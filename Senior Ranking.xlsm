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62637BE-A601-8D4A-AFC7-8F8E90CA0A2F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X4" i="27" l="1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EA11" i="27"/>
  <c r="EB11" i="27"/>
  <c r="EH11" i="27" s="1"/>
  <c r="EC11" i="27"/>
  <c r="ED11" i="27"/>
  <c r="EF11" i="27"/>
  <c r="EG11" i="27"/>
  <c r="FC11" i="27"/>
  <c r="FD11" i="27"/>
  <c r="FE11" i="27"/>
  <c r="FF11" i="27"/>
  <c r="FH11" i="27"/>
  <c r="FI11" i="27"/>
  <c r="GE11" i="27"/>
  <c r="GF11" i="27"/>
  <c r="GG11" i="27"/>
  <c r="GH11" i="27"/>
  <c r="GJ11" i="27"/>
  <c r="GK11" i="27"/>
  <c r="HG11" i="27"/>
  <c r="HH11" i="27"/>
  <c r="HI11" i="27"/>
  <c r="HJ11" i="27"/>
  <c r="HL11" i="27"/>
  <c r="HM11" i="27"/>
  <c r="II11" i="27"/>
  <c r="IJ11" i="27"/>
  <c r="IP11" i="27" s="1"/>
  <c r="IK11" i="27"/>
  <c r="IL11" i="27"/>
  <c r="IN11" i="27"/>
  <c r="IO11" i="27"/>
  <c r="JK11" i="27"/>
  <c r="JL11" i="27"/>
  <c r="JM11" i="27"/>
  <c r="JN11" i="27"/>
  <c r="JP11" i="27"/>
  <c r="JQ11" i="27"/>
  <c r="KM11" i="27"/>
  <c r="KN11" i="27"/>
  <c r="KO11" i="27"/>
  <c r="KP11" i="27"/>
  <c r="KR11" i="27"/>
  <c r="KS11" i="27"/>
  <c r="LO11" i="27"/>
  <c r="LP11" i="27"/>
  <c r="LQ11" i="27"/>
  <c r="LR11" i="27"/>
  <c r="LT11" i="27"/>
  <c r="LU11" i="27"/>
  <c r="MQ11" i="27"/>
  <c r="MR11" i="27"/>
  <c r="MX11" i="27" s="1"/>
  <c r="MS11" i="27"/>
  <c r="MT11" i="27"/>
  <c r="MV11" i="27"/>
  <c r="MW11" i="27"/>
  <c r="NS11" i="27"/>
  <c r="NT11" i="27"/>
  <c r="NU11" i="27"/>
  <c r="NV11" i="27"/>
  <c r="NX11" i="27"/>
  <c r="NY11" i="27"/>
  <c r="OU11" i="27"/>
  <c r="OV11" i="27"/>
  <c r="OY11" i="27" s="1"/>
  <c r="OW11" i="27"/>
  <c r="OX11" i="27"/>
  <c r="OZ11" i="27"/>
  <c r="PA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NZ11" i="27" l="1"/>
  <c r="JR11" i="27"/>
  <c r="FJ11" i="27"/>
  <c r="AW11" i="27"/>
  <c r="KQ11" i="27"/>
  <c r="GI11" i="27"/>
  <c r="BZ11" i="27"/>
  <c r="RE11" i="27"/>
  <c r="GL11" i="27"/>
  <c r="QD11" i="27"/>
  <c r="HN11" i="27"/>
  <c r="DC11" i="27"/>
  <c r="KT11" i="27"/>
  <c r="LV11" i="27"/>
  <c r="PB11" i="27"/>
  <c r="P11" i="27"/>
  <c r="DF11" i="27" s="1"/>
  <c r="JO11" i="27"/>
  <c r="NW11" i="27"/>
  <c r="HK11" i="27"/>
  <c r="EE11" i="27"/>
  <c r="LS11" i="27"/>
  <c r="QA11" i="27"/>
  <c r="MU11" i="27"/>
  <c r="IM11" i="27"/>
  <c r="FG11" i="27"/>
  <c r="QZ11" i="27"/>
  <c r="N11" i="27"/>
  <c r="DE11" i="27" s="1"/>
  <c r="RB11" i="27"/>
  <c r="RF11" i="27"/>
  <c r="RA11" i="27"/>
  <c r="RG11" i="27" s="1"/>
  <c r="L11" i="27"/>
  <c r="M11" i="27" s="1"/>
  <c r="RC11" i="27"/>
  <c r="F11" i="27"/>
  <c r="CZ11" i="27"/>
  <c r="BW11" i="27"/>
  <c r="AT11" i="27"/>
  <c r="J11" i="27"/>
  <c r="G11" i="27"/>
  <c r="AP9" i="26"/>
  <c r="AQ9" i="26"/>
  <c r="AR9" i="26"/>
  <c r="AS9" i="26"/>
  <c r="AU9" i="26"/>
  <c r="AV9" i="26"/>
  <c r="BS9" i="26"/>
  <c r="BT9" i="26"/>
  <c r="BZ9" i="26" s="1"/>
  <c r="BU9" i="26"/>
  <c r="BV9" i="26"/>
  <c r="BX9" i="26"/>
  <c r="BY9" i="26"/>
  <c r="CV9" i="26"/>
  <c r="CW9" i="26"/>
  <c r="CX9" i="26"/>
  <c r="CY9" i="26"/>
  <c r="DA9" i="26"/>
  <c r="DB9" i="26"/>
  <c r="EA9" i="26"/>
  <c r="EB9" i="26"/>
  <c r="EC9" i="26"/>
  <c r="ED9" i="26"/>
  <c r="EF9" i="26"/>
  <c r="EG9" i="26"/>
  <c r="FC9" i="26"/>
  <c r="FD9" i="26"/>
  <c r="FE9" i="26"/>
  <c r="FF9" i="26"/>
  <c r="FH9" i="26"/>
  <c r="FI9" i="26"/>
  <c r="GE9" i="26"/>
  <c r="GF9" i="26"/>
  <c r="GL9" i="26" s="1"/>
  <c r="GG9" i="26"/>
  <c r="GH9" i="26"/>
  <c r="GJ9" i="26"/>
  <c r="GK9" i="26"/>
  <c r="HG9" i="26"/>
  <c r="HH9" i="26"/>
  <c r="HI9" i="26"/>
  <c r="HJ9" i="26"/>
  <c r="HL9" i="26"/>
  <c r="HM9" i="26"/>
  <c r="II9" i="26"/>
  <c r="IJ9" i="26"/>
  <c r="IK9" i="26"/>
  <c r="IL9" i="26"/>
  <c r="IN9" i="26"/>
  <c r="IO9" i="26"/>
  <c r="JK9" i="26"/>
  <c r="JL9" i="26"/>
  <c r="JM9" i="26"/>
  <c r="JN9" i="26"/>
  <c r="JP9" i="26"/>
  <c r="JQ9" i="26"/>
  <c r="KM9" i="26"/>
  <c r="KN9" i="26"/>
  <c r="KT9" i="26" s="1"/>
  <c r="KO9" i="26"/>
  <c r="KP9" i="26"/>
  <c r="KR9" i="26"/>
  <c r="KS9" i="26"/>
  <c r="LO9" i="26"/>
  <c r="LP9" i="26"/>
  <c r="LQ9" i="26"/>
  <c r="LR9" i="26"/>
  <c r="LT9" i="26"/>
  <c r="LU9" i="26"/>
  <c r="MQ9" i="26"/>
  <c r="MR9" i="26"/>
  <c r="MS9" i="26"/>
  <c r="MT9" i="26"/>
  <c r="MV9" i="26"/>
  <c r="MW9" i="26"/>
  <c r="NS9" i="26"/>
  <c r="NT9" i="26"/>
  <c r="NU9" i="26"/>
  <c r="NV9" i="26"/>
  <c r="NX9" i="26"/>
  <c r="NY9" i="26"/>
  <c r="OU9" i="26"/>
  <c r="OV9" i="26"/>
  <c r="PB9" i="26" s="1"/>
  <c r="OW9" i="26"/>
  <c r="OX9" i="26"/>
  <c r="OZ9" i="26"/>
  <c r="PA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R15" i="4" s="1"/>
  <c r="KY15" i="4" s="1"/>
  <c r="KO15" i="4"/>
  <c r="KP15" i="4"/>
  <c r="KQ15" i="4"/>
  <c r="KS15" i="4"/>
  <c r="KT15" i="4"/>
  <c r="KU15" i="4"/>
  <c r="KV15" i="4"/>
  <c r="KW15" i="4"/>
  <c r="KX15" i="4"/>
  <c r="LT15" i="4"/>
  <c r="LU15" i="4"/>
  <c r="LV15" i="4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Y15" i="4"/>
  <c r="PZ15" i="4"/>
  <c r="QA15" i="4"/>
  <c r="QB15" i="4"/>
  <c r="QC15" i="4"/>
  <c r="QD15" i="4"/>
  <c r="QZ15" i="4"/>
  <c r="RA15" i="4"/>
  <c r="RB15" i="4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1" i="4"/>
  <c r="AP21" i="4"/>
  <c r="AQ21" i="4"/>
  <c r="AR21" i="4"/>
  <c r="AS21" i="4"/>
  <c r="AT21" i="4"/>
  <c r="AV21" i="4"/>
  <c r="AW21" i="4"/>
  <c r="AX21" i="4"/>
  <c r="BP21" i="4"/>
  <c r="BQ21" i="4"/>
  <c r="BR21" i="4"/>
  <c r="BS21" i="4"/>
  <c r="BT21" i="4"/>
  <c r="BU21" i="4"/>
  <c r="BV21" i="4"/>
  <c r="BZ21" i="4" s="1"/>
  <c r="BW21" i="4"/>
  <c r="BX21" i="4"/>
  <c r="BY21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B21" i="4"/>
  <c r="IC21" i="4"/>
  <c r="ID21" i="4"/>
  <c r="IE21" i="4"/>
  <c r="IF21" i="4"/>
  <c r="IG21" i="4"/>
  <c r="IH21" i="4"/>
  <c r="JD21" i="4"/>
  <c r="JE21" i="4"/>
  <c r="JF21" i="4"/>
  <c r="JJ21" i="4" s="1"/>
  <c r="JQ21" i="4" s="1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Z21" i="4" s="1"/>
  <c r="MG21" i="4" s="1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H21" i="4"/>
  <c r="NO21" i="4" s="1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Q11" i="27" l="1"/>
  <c r="DC9" i="26"/>
  <c r="LV9" i="26"/>
  <c r="MX9" i="26"/>
  <c r="EH9" i="26"/>
  <c r="IP9" i="26"/>
  <c r="AW9" i="26"/>
  <c r="QD9" i="26"/>
  <c r="HN9" i="26"/>
  <c r="NZ9" i="26"/>
  <c r="JR9" i="26"/>
  <c r="FJ9" i="26"/>
  <c r="II21" i="4"/>
  <c r="QA9" i="26"/>
  <c r="HK9" i="26"/>
  <c r="LS9" i="26"/>
  <c r="BV15" i="4"/>
  <c r="BZ15" i="4" s="1"/>
  <c r="OP21" i="4"/>
  <c r="OW21" i="4" s="1"/>
  <c r="JO9" i="26"/>
  <c r="FG9" i="26"/>
  <c r="AT9" i="26"/>
  <c r="MU9" i="26"/>
  <c r="IM9" i="26"/>
  <c r="GI9" i="26"/>
  <c r="BW9" i="26"/>
  <c r="GT21" i="4"/>
  <c r="HA21" i="4" s="1"/>
  <c r="ED21" i="4"/>
  <c r="EK21" i="4" s="1"/>
  <c r="PX21" i="4"/>
  <c r="QE21" i="4" s="1"/>
  <c r="CW21" i="4"/>
  <c r="DA21" i="4" s="1"/>
  <c r="SN21" i="4"/>
  <c r="SU21" i="4" s="1"/>
  <c r="RF15" i="4"/>
  <c r="RM15" i="4" s="1"/>
  <c r="OP15" i="4"/>
  <c r="OW15" i="4" s="1"/>
  <c r="LZ15" i="4"/>
  <c r="MG15" i="4" s="1"/>
  <c r="JJ15" i="4"/>
  <c r="JQ15" i="4" s="1"/>
  <c r="GT15" i="4"/>
  <c r="HA15" i="4" s="1"/>
  <c r="ED15" i="4"/>
  <c r="EK15" i="4" s="1"/>
  <c r="PX15" i="4"/>
  <c r="QE15" i="4" s="1"/>
  <c r="FL15" i="4"/>
  <c r="FS15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9" i="26"/>
  <c r="DE9" i="26" s="1"/>
  <c r="OY9" i="26"/>
  <c r="RF9" i="26"/>
  <c r="RB9" i="26"/>
  <c r="RA9" i="26"/>
  <c r="RG9" i="26" s="1"/>
  <c r="RE9" i="26"/>
  <c r="CZ9" i="26"/>
  <c r="QZ9" i="26"/>
  <c r="P9" i="26"/>
  <c r="DF9" i="26" s="1"/>
  <c r="L9" i="26"/>
  <c r="M9" i="26" s="1"/>
  <c r="F9" i="26"/>
  <c r="J9" i="26"/>
  <c r="K9" i="26" s="1"/>
  <c r="G9" i="26"/>
  <c r="RC9" i="26"/>
  <c r="NW9" i="26"/>
  <c r="KQ9" i="26"/>
  <c r="EE9" i="26"/>
  <c r="SN15" i="4"/>
  <c r="SU15" i="4" s="1"/>
  <c r="NH15" i="4"/>
  <c r="NO15" i="4" s="1"/>
  <c r="IB15" i="4"/>
  <c r="II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1" i="4"/>
  <c r="FL21" i="4"/>
  <c r="FS21" i="4" s="1"/>
  <c r="RF21" i="4"/>
  <c r="RM21" i="4" s="1"/>
  <c r="KR21" i="4"/>
  <c r="KY21" i="4" s="1"/>
  <c r="TN21" i="4"/>
  <c r="L21" i="4"/>
  <c r="M21" i="4" s="1"/>
  <c r="TU21" i="4"/>
  <c r="P21" i="4"/>
  <c r="DC21" i="4" s="1"/>
  <c r="R21" i="4"/>
  <c r="S21" i="4" s="1"/>
  <c r="N21" i="4"/>
  <c r="O21" i="4" s="1"/>
  <c r="T21" i="4"/>
  <c r="U21" i="4" s="1"/>
  <c r="J21" i="4"/>
  <c r="K21" i="4" s="1"/>
  <c r="I21" i="4"/>
  <c r="AU21" i="4"/>
  <c r="AY21" i="4" s="1"/>
  <c r="G21" i="4"/>
  <c r="F21" i="4"/>
  <c r="TR21" i="4" l="1"/>
  <c r="DD9" i="26"/>
  <c r="R9" i="26" s="1"/>
  <c r="E11" i="27"/>
  <c r="T11" i="27"/>
  <c r="S11" i="27"/>
  <c r="RD9" i="26"/>
  <c r="O9" i="26"/>
  <c r="Q9" i="26"/>
  <c r="I9" i="26"/>
  <c r="H9" i="26" s="1"/>
  <c r="TR15" i="4"/>
  <c r="TV15" i="4" s="1"/>
  <c r="Q15" i="4"/>
  <c r="H15" i="4"/>
  <c r="DB15" i="4"/>
  <c r="V15" i="4" s="1"/>
  <c r="O15" i="4"/>
  <c r="Q21" i="4"/>
  <c r="DB21" i="4"/>
  <c r="V21" i="4" s="1"/>
  <c r="TV21" i="4"/>
  <c r="H21" i="4"/>
  <c r="A21" i="4" s="1" a="1"/>
  <c r="A21" i="4" s="1"/>
  <c r="E9" i="26" l="1"/>
  <c r="T9" i="26"/>
  <c r="S9" i="26"/>
  <c r="E15" i="4"/>
  <c r="W15" i="4"/>
  <c r="X15" i="4"/>
  <c r="W21" i="4"/>
  <c r="X21" i="4"/>
  <c r="E21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5" i="21"/>
  <c r="AU15" i="21"/>
  <c r="AS15" i="21"/>
  <c r="AR15" i="21"/>
  <c r="AQ15" i="21"/>
  <c r="AP15" i="21"/>
  <c r="AV14" i="21"/>
  <c r="AU14" i="21"/>
  <c r="AS14" i="21"/>
  <c r="AR14" i="21"/>
  <c r="AQ14" i="21"/>
  <c r="AW14" i="21" s="1"/>
  <c r="AP14" i="21"/>
  <c r="AV12" i="21"/>
  <c r="AU12" i="21"/>
  <c r="AS12" i="21"/>
  <c r="AR12" i="21"/>
  <c r="AQ12" i="21"/>
  <c r="AP12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5" i="21"/>
  <c r="AU5" i="21"/>
  <c r="AS5" i="21"/>
  <c r="AR5" i="21"/>
  <c r="AQ5" i="21"/>
  <c r="AW5" i="21" s="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W6" i="21" s="1"/>
  <c r="AP6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16" i="19"/>
  <c r="BX16" i="19"/>
  <c r="BV16" i="19"/>
  <c r="BU16" i="19"/>
  <c r="BT16" i="19"/>
  <c r="BZ16" i="19" s="1"/>
  <c r="BS16" i="19"/>
  <c r="BY26" i="19"/>
  <c r="BX26" i="19"/>
  <c r="BV26" i="19"/>
  <c r="BU26" i="19"/>
  <c r="BT26" i="19"/>
  <c r="BS2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Z23" i="19" s="1"/>
  <c r="BS23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9" i="19"/>
  <c r="BX19" i="19"/>
  <c r="BV19" i="19"/>
  <c r="BU19" i="19"/>
  <c r="BT19" i="19"/>
  <c r="BZ19" i="19" s="1"/>
  <c r="BS19" i="19"/>
  <c r="BY13" i="19"/>
  <c r="BX13" i="19"/>
  <c r="BV13" i="19"/>
  <c r="BU13" i="19"/>
  <c r="BT13" i="19"/>
  <c r="BS13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0" i="19"/>
  <c r="BX10" i="19"/>
  <c r="BV10" i="19"/>
  <c r="BU10" i="19"/>
  <c r="BT10" i="19"/>
  <c r="BZ10" i="19" s="1"/>
  <c r="BS10" i="19"/>
  <c r="BY14" i="19"/>
  <c r="BX14" i="19"/>
  <c r="BV14" i="19"/>
  <c r="BU14" i="19"/>
  <c r="BT14" i="19"/>
  <c r="BS14" i="19"/>
  <c r="BY8" i="19"/>
  <c r="BX8" i="19"/>
  <c r="BV8" i="19"/>
  <c r="BU8" i="19"/>
  <c r="BT8" i="19"/>
  <c r="BS8" i="19"/>
  <c r="BY15" i="19"/>
  <c r="BX15" i="19"/>
  <c r="BV15" i="19"/>
  <c r="BU15" i="19"/>
  <c r="BT15" i="19"/>
  <c r="BS15" i="19"/>
  <c r="BY11" i="19"/>
  <c r="BX11" i="19"/>
  <c r="BV11" i="19"/>
  <c r="BU11" i="19"/>
  <c r="BT11" i="19"/>
  <c r="BZ11" i="19" s="1"/>
  <c r="BS11" i="19"/>
  <c r="BY12" i="19"/>
  <c r="BX12" i="19"/>
  <c r="BV12" i="19"/>
  <c r="BU12" i="19"/>
  <c r="BT12" i="19"/>
  <c r="BS12" i="19"/>
  <c r="BY17" i="19"/>
  <c r="BX17" i="19"/>
  <c r="BV17" i="19"/>
  <c r="BU17" i="19"/>
  <c r="BT17" i="19"/>
  <c r="BS17" i="19"/>
  <c r="BY7" i="19"/>
  <c r="BX7" i="19"/>
  <c r="BV7" i="19"/>
  <c r="BU7" i="19"/>
  <c r="BT7" i="19"/>
  <c r="BS7" i="19"/>
  <c r="BY5" i="19"/>
  <c r="BX5" i="19"/>
  <c r="BV5" i="19"/>
  <c r="BU5" i="19"/>
  <c r="BT5" i="19"/>
  <c r="BZ5" i="19" s="1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16" i="19"/>
  <c r="AU16" i="19"/>
  <c r="AS16" i="19"/>
  <c r="AR16" i="19"/>
  <c r="AQ16" i="19"/>
  <c r="AW16" i="19" s="1"/>
  <c r="AP16" i="19"/>
  <c r="AV26" i="19"/>
  <c r="AU26" i="19"/>
  <c r="AS26" i="19"/>
  <c r="AR26" i="19"/>
  <c r="AQ26" i="19"/>
  <c r="AP26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9" i="19"/>
  <c r="AU19" i="19"/>
  <c r="AS19" i="19"/>
  <c r="AR19" i="19"/>
  <c r="AQ19" i="19"/>
  <c r="AW19" i="19" s="1"/>
  <c r="AP19" i="19"/>
  <c r="AV13" i="19"/>
  <c r="AU13" i="19"/>
  <c r="AS13" i="19"/>
  <c r="AR13" i="19"/>
  <c r="AQ13" i="19"/>
  <c r="AP13" i="19"/>
  <c r="AV18" i="19"/>
  <c r="AU18" i="19"/>
  <c r="AS18" i="19"/>
  <c r="AR18" i="19"/>
  <c r="AQ18" i="19"/>
  <c r="AP18" i="19"/>
  <c r="AV9" i="19"/>
  <c r="AU9" i="19"/>
  <c r="AS9" i="19"/>
  <c r="AR9" i="19"/>
  <c r="AQ9" i="19"/>
  <c r="AP9" i="19"/>
  <c r="AV10" i="19"/>
  <c r="AU10" i="19"/>
  <c r="AS10" i="19"/>
  <c r="AR10" i="19"/>
  <c r="AQ10" i="19"/>
  <c r="AW10" i="19" s="1"/>
  <c r="AP10" i="19"/>
  <c r="AV14" i="19"/>
  <c r="AU14" i="19"/>
  <c r="AS14" i="19"/>
  <c r="AR14" i="19"/>
  <c r="AQ14" i="19"/>
  <c r="AP14" i="19"/>
  <c r="AV8" i="19"/>
  <c r="AU8" i="19"/>
  <c r="AS8" i="19"/>
  <c r="AR8" i="19"/>
  <c r="AQ8" i="19"/>
  <c r="AP8" i="19"/>
  <c r="AV15" i="19"/>
  <c r="AU15" i="19"/>
  <c r="AS15" i="19"/>
  <c r="AR15" i="19"/>
  <c r="AQ15" i="19"/>
  <c r="AP15" i="19"/>
  <c r="AV11" i="19"/>
  <c r="AU11" i="19"/>
  <c r="AS11" i="19"/>
  <c r="AR11" i="19"/>
  <c r="AQ11" i="19"/>
  <c r="AW11" i="19" s="1"/>
  <c r="AP11" i="19"/>
  <c r="AV12" i="19"/>
  <c r="AU12" i="19"/>
  <c r="AS12" i="19"/>
  <c r="AR12" i="19"/>
  <c r="AQ12" i="19"/>
  <c r="AP12" i="19"/>
  <c r="AV17" i="19"/>
  <c r="AU17" i="19"/>
  <c r="AS17" i="19"/>
  <c r="AR17" i="19"/>
  <c r="AQ17" i="19"/>
  <c r="AP17" i="19"/>
  <c r="AV7" i="19"/>
  <c r="AU7" i="19"/>
  <c r="AS7" i="19"/>
  <c r="AR7" i="19"/>
  <c r="AQ7" i="19"/>
  <c r="AP7" i="19"/>
  <c r="AV5" i="19"/>
  <c r="AU5" i="19"/>
  <c r="AS5" i="19"/>
  <c r="AR5" i="19"/>
  <c r="AQ5" i="19"/>
  <c r="AW5" i="19" s="1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0" i="27"/>
  <c r="BX10" i="27"/>
  <c r="BV10" i="27"/>
  <c r="BU10" i="27"/>
  <c r="BT10" i="27"/>
  <c r="BZ10" i="27" s="1"/>
  <c r="BS10" i="27"/>
  <c r="BY9" i="27"/>
  <c r="BX9" i="27"/>
  <c r="BV9" i="27"/>
  <c r="BU9" i="27"/>
  <c r="BT9" i="27"/>
  <c r="BZ9" i="27" s="1"/>
  <c r="BS9" i="27"/>
  <c r="BY8" i="27"/>
  <c r="BX8" i="27"/>
  <c r="BV8" i="27"/>
  <c r="BU8" i="27"/>
  <c r="BT8" i="27"/>
  <c r="BS8" i="27"/>
  <c r="BY7" i="27"/>
  <c r="BX7" i="27"/>
  <c r="BV7" i="27"/>
  <c r="BU7" i="27"/>
  <c r="BT7" i="27"/>
  <c r="BZ7" i="27" s="1"/>
  <c r="BS7" i="27"/>
  <c r="BY6" i="27"/>
  <c r="BX6" i="27"/>
  <c r="BV6" i="27"/>
  <c r="BU6" i="27"/>
  <c r="BT6" i="27"/>
  <c r="BZ6" i="27" s="1"/>
  <c r="BS6" i="27"/>
  <c r="BY5" i="27"/>
  <c r="BX5" i="27"/>
  <c r="BV5" i="27"/>
  <c r="BU5" i="27"/>
  <c r="BT5" i="27"/>
  <c r="BZ5" i="27" s="1"/>
  <c r="BS5" i="27"/>
  <c r="BY4" i="27"/>
  <c r="BX4" i="27"/>
  <c r="BV4" i="27"/>
  <c r="BU4" i="27"/>
  <c r="BT4" i="27"/>
  <c r="BS4" i="27"/>
  <c r="AV12" i="27"/>
  <c r="AU12" i="27"/>
  <c r="AS12" i="27"/>
  <c r="AR12" i="27"/>
  <c r="AQ12" i="27"/>
  <c r="AW12" i="27" s="1"/>
  <c r="AP12" i="27"/>
  <c r="AV13" i="27"/>
  <c r="AU13" i="27"/>
  <c r="AS13" i="27"/>
  <c r="AR13" i="27"/>
  <c r="AQ13" i="27"/>
  <c r="AW13" i="27" s="1"/>
  <c r="AP13" i="27"/>
  <c r="AV10" i="27"/>
  <c r="AU10" i="27"/>
  <c r="AS10" i="27"/>
  <c r="AR10" i="27"/>
  <c r="AQ10" i="27"/>
  <c r="AW10" i="27" s="1"/>
  <c r="AP10" i="27"/>
  <c r="AV9" i="27"/>
  <c r="AU9" i="27"/>
  <c r="AS9" i="27"/>
  <c r="AR9" i="27"/>
  <c r="AQ9" i="27"/>
  <c r="AP9" i="27"/>
  <c r="AV8" i="27"/>
  <c r="AU8" i="27"/>
  <c r="AS8" i="27"/>
  <c r="AR8" i="27"/>
  <c r="AQ8" i="27"/>
  <c r="AW8" i="27" s="1"/>
  <c r="AP8" i="27"/>
  <c r="AV7" i="27"/>
  <c r="AU7" i="27"/>
  <c r="AS7" i="27"/>
  <c r="AR7" i="27"/>
  <c r="AQ7" i="27"/>
  <c r="AW7" i="27" s="1"/>
  <c r="AP7" i="27"/>
  <c r="AV6" i="27"/>
  <c r="AU6" i="27"/>
  <c r="AS6" i="27"/>
  <c r="AR6" i="27"/>
  <c r="AQ6" i="27"/>
  <c r="AW6" i="27" s="1"/>
  <c r="AP6" i="27"/>
  <c r="AV5" i="27"/>
  <c r="AU5" i="27"/>
  <c r="AS5" i="27"/>
  <c r="AR5" i="27"/>
  <c r="AQ5" i="27"/>
  <c r="AP5" i="27"/>
  <c r="AV4" i="27"/>
  <c r="AU4" i="27"/>
  <c r="AS4" i="27"/>
  <c r="AR4" i="27"/>
  <c r="AQ4" i="27"/>
  <c r="AW4" i="27" s="1"/>
  <c r="AP4" i="27"/>
  <c r="BY11" i="26"/>
  <c r="BX11" i="26"/>
  <c r="BV11" i="26"/>
  <c r="BU11" i="26"/>
  <c r="BT11" i="26"/>
  <c r="BZ11" i="26" s="1"/>
  <c r="BS11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10" i="26"/>
  <c r="BX10" i="26"/>
  <c r="BV10" i="26"/>
  <c r="BU10" i="26"/>
  <c r="BT10" i="26"/>
  <c r="BZ10" i="26" s="1"/>
  <c r="BS10" i="26"/>
  <c r="BY8" i="26"/>
  <c r="BX8" i="26"/>
  <c r="BV8" i="26"/>
  <c r="BU8" i="26"/>
  <c r="BT8" i="26"/>
  <c r="BZ8" i="26" s="1"/>
  <c r="BS8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W11" i="26" s="1"/>
  <c r="AP11" i="26"/>
  <c r="AV7" i="26"/>
  <c r="AU7" i="26"/>
  <c r="AS7" i="26"/>
  <c r="AR7" i="26"/>
  <c r="AQ7" i="26"/>
  <c r="AW7" i="26" s="1"/>
  <c r="AP7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8" i="26"/>
  <c r="AU8" i="26"/>
  <c r="AS8" i="26"/>
  <c r="AR8" i="26"/>
  <c r="AQ8" i="26"/>
  <c r="AW8" i="26" s="1"/>
  <c r="AP8" i="26"/>
  <c r="AV5" i="26"/>
  <c r="AU5" i="26"/>
  <c r="AS5" i="26"/>
  <c r="AR5" i="26"/>
  <c r="AQ5" i="26"/>
  <c r="AW5" i="26" s="1"/>
  <c r="AP5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5" i="23"/>
  <c r="AO15" i="23"/>
  <c r="AN15" i="23"/>
  <c r="AL15" i="23"/>
  <c r="AK15" i="23"/>
  <c r="AJ15" i="23"/>
  <c r="AI15" i="23"/>
  <c r="AM15" i="23" s="1"/>
  <c r="AQ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M11" i="23" s="1"/>
  <c r="AH11" i="23"/>
  <c r="AG11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V17" i="22" s="1"/>
  <c r="BQ17" i="22"/>
  <c r="BP17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U15" i="22" s="1"/>
  <c r="AP15" i="22"/>
  <c r="AO15" i="22"/>
  <c r="AX10" i="22"/>
  <c r="AW10" i="22"/>
  <c r="AV10" i="22"/>
  <c r="AT10" i="22"/>
  <c r="AS10" i="22"/>
  <c r="AR10" i="22"/>
  <c r="AQ10" i="22"/>
  <c r="AU10" i="22" s="1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Q22" i="4"/>
  <c r="BP22" i="4"/>
  <c r="BY11" i="4"/>
  <c r="BX11" i="4"/>
  <c r="BW11" i="4"/>
  <c r="BU11" i="4"/>
  <c r="BT11" i="4"/>
  <c r="BS11" i="4"/>
  <c r="BR11" i="4"/>
  <c r="BQ11" i="4"/>
  <c r="BP11" i="4"/>
  <c r="BY19" i="4"/>
  <c r="BX19" i="4"/>
  <c r="BW19" i="4"/>
  <c r="BU19" i="4"/>
  <c r="BT19" i="4"/>
  <c r="BS19" i="4"/>
  <c r="BR19" i="4"/>
  <c r="BQ19" i="4"/>
  <c r="BP19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3" i="4"/>
  <c r="AW23" i="4"/>
  <c r="AV23" i="4"/>
  <c r="AT23" i="4"/>
  <c r="AS23" i="4"/>
  <c r="AR23" i="4"/>
  <c r="AQ23" i="4"/>
  <c r="AU23" i="4" s="1"/>
  <c r="AP23" i="4"/>
  <c r="AO23" i="4"/>
  <c r="AX22" i="4"/>
  <c r="AW22" i="4"/>
  <c r="AV22" i="4"/>
  <c r="AT22" i="4"/>
  <c r="AS22" i="4"/>
  <c r="AR22" i="4"/>
  <c r="AQ22" i="4"/>
  <c r="AP22" i="4"/>
  <c r="AO22" i="4"/>
  <c r="AX11" i="4"/>
  <c r="AW11" i="4"/>
  <c r="AV11" i="4"/>
  <c r="AT11" i="4"/>
  <c r="AS11" i="4"/>
  <c r="AR11" i="4"/>
  <c r="AQ11" i="4"/>
  <c r="AU11" i="4" s="1"/>
  <c r="AP11" i="4"/>
  <c r="AO11" i="4"/>
  <c r="AX19" i="4"/>
  <c r="AW19" i="4"/>
  <c r="AV19" i="4"/>
  <c r="AT19" i="4"/>
  <c r="AS19" i="4"/>
  <c r="AR19" i="4"/>
  <c r="AQ19" i="4"/>
  <c r="AP19" i="4"/>
  <c r="AO19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V9" i="24" s="1"/>
  <c r="EC9" i="24" s="1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E9" i="24"/>
  <c r="FF9" i="24"/>
  <c r="FG9" i="24"/>
  <c r="FH9" i="24"/>
  <c r="FI9" i="24"/>
  <c r="FJ9" i="24"/>
  <c r="GF9" i="24"/>
  <c r="GG9" i="24"/>
  <c r="GH9" i="24"/>
  <c r="GL9" i="24" s="1"/>
  <c r="GS9" i="24" s="1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JB9" i="24" s="1"/>
  <c r="JI9" i="24" s="1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SV9" i="24"/>
  <c r="TH9" i="24" s="1"/>
  <c r="SW9" i="24"/>
  <c r="SX9" i="24"/>
  <c r="SY9" i="24"/>
  <c r="SZ9" i="24"/>
  <c r="TK9" i="24" s="1"/>
  <c r="TA9" i="24"/>
  <c r="TL9" i="24" s="1"/>
  <c r="TB9" i="24"/>
  <c r="TG9" i="24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PA18" i="21"/>
  <c r="OZ18" i="21"/>
  <c r="OX18" i="21"/>
  <c r="OW18" i="21"/>
  <c r="OV18" i="21"/>
  <c r="OU18" i="21"/>
  <c r="PA17" i="21"/>
  <c r="OZ17" i="21"/>
  <c r="OX17" i="21"/>
  <c r="OW17" i="21"/>
  <c r="OV17" i="21"/>
  <c r="PB17" i="21" s="1"/>
  <c r="OU17" i="21"/>
  <c r="PA16" i="21"/>
  <c r="OZ16" i="21"/>
  <c r="OX16" i="21"/>
  <c r="OW16" i="21"/>
  <c r="OV16" i="21"/>
  <c r="PB16" i="21" s="1"/>
  <c r="OU16" i="21"/>
  <c r="PA13" i="21"/>
  <c r="OZ13" i="21"/>
  <c r="OX13" i="21"/>
  <c r="OW13" i="21"/>
  <c r="OV13" i="21"/>
  <c r="OU13" i="21"/>
  <c r="PA15" i="21"/>
  <c r="OZ15" i="21"/>
  <c r="OX15" i="21"/>
  <c r="OW15" i="21"/>
  <c r="OV15" i="21"/>
  <c r="OU15" i="21"/>
  <c r="PA14" i="21"/>
  <c r="OZ14" i="21"/>
  <c r="OX14" i="21"/>
  <c r="OW14" i="21"/>
  <c r="OV14" i="21"/>
  <c r="PB14" i="21" s="1"/>
  <c r="OU14" i="21"/>
  <c r="PA12" i="21"/>
  <c r="OZ12" i="21"/>
  <c r="OX12" i="21"/>
  <c r="OW12" i="21"/>
  <c r="OV12" i="21"/>
  <c r="PB12" i="21" s="1"/>
  <c r="OU12" i="21"/>
  <c r="PA10" i="21"/>
  <c r="OZ10" i="21"/>
  <c r="OX10" i="21"/>
  <c r="OW10" i="21"/>
  <c r="OV10" i="21"/>
  <c r="OU10" i="21"/>
  <c r="PA11" i="21"/>
  <c r="OZ11" i="21"/>
  <c r="OX11" i="21"/>
  <c r="OW11" i="21"/>
  <c r="OV11" i="21"/>
  <c r="OU11" i="21"/>
  <c r="PA5" i="21"/>
  <c r="OZ5" i="21"/>
  <c r="OX5" i="21"/>
  <c r="OW5" i="21"/>
  <c r="OV5" i="21"/>
  <c r="PB5" i="21" s="1"/>
  <c r="OU5" i="21"/>
  <c r="PA9" i="21"/>
  <c r="OZ9" i="21"/>
  <c r="OX9" i="21"/>
  <c r="OW9" i="21"/>
  <c r="OV9" i="21"/>
  <c r="PB9" i="21" s="1"/>
  <c r="OU9" i="21"/>
  <c r="PA7" i="21"/>
  <c r="OZ7" i="21"/>
  <c r="OX7" i="21"/>
  <c r="OW7" i="21"/>
  <c r="OV7" i="21"/>
  <c r="OU7" i="21"/>
  <c r="PA8" i="21"/>
  <c r="OZ8" i="21"/>
  <c r="OX8" i="21"/>
  <c r="OW8" i="21"/>
  <c r="OV8" i="21"/>
  <c r="OU8" i="21"/>
  <c r="PA6" i="21"/>
  <c r="OZ6" i="21"/>
  <c r="OX6" i="21"/>
  <c r="OW6" i="21"/>
  <c r="OV6" i="21"/>
  <c r="PB6" i="21" s="1"/>
  <c r="OU6" i="21"/>
  <c r="PA4" i="21"/>
  <c r="OZ4" i="21"/>
  <c r="OX4" i="21"/>
  <c r="OW4" i="21"/>
  <c r="OV4" i="21"/>
  <c r="PB4" i="21" s="1"/>
  <c r="OU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Z16" i="21" s="1"/>
  <c r="NS16" i="21"/>
  <c r="NY13" i="21"/>
  <c r="NX13" i="21"/>
  <c r="NV13" i="21"/>
  <c r="NU13" i="21"/>
  <c r="NT13" i="21"/>
  <c r="NZ13" i="21" s="1"/>
  <c r="NS13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2" i="21"/>
  <c r="NX12" i="21"/>
  <c r="NV12" i="21"/>
  <c r="NU12" i="21"/>
  <c r="NT12" i="21"/>
  <c r="NZ12" i="21" s="1"/>
  <c r="NS12" i="21"/>
  <c r="NY10" i="21"/>
  <c r="NX10" i="21"/>
  <c r="NV10" i="21"/>
  <c r="NU10" i="21"/>
  <c r="NT10" i="21"/>
  <c r="NZ10" i="21" s="1"/>
  <c r="NS10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9" i="21"/>
  <c r="NX9" i="21"/>
  <c r="NV9" i="21"/>
  <c r="NU9" i="21"/>
  <c r="NT9" i="21"/>
  <c r="NZ9" i="21" s="1"/>
  <c r="NS9" i="21"/>
  <c r="NY7" i="21"/>
  <c r="NX7" i="21"/>
  <c r="NV7" i="21"/>
  <c r="NU7" i="21"/>
  <c r="NT7" i="21"/>
  <c r="NZ7" i="21" s="1"/>
  <c r="NS7" i="21"/>
  <c r="NY8" i="21"/>
  <c r="NX8" i="21"/>
  <c r="NV8" i="21"/>
  <c r="NU8" i="21"/>
  <c r="NT8" i="21"/>
  <c r="NS8" i="21"/>
  <c r="NY6" i="21"/>
  <c r="NX6" i="21"/>
  <c r="NV6" i="21"/>
  <c r="NU6" i="21"/>
  <c r="NT6" i="21"/>
  <c r="NS6" i="21"/>
  <c r="NY4" i="21"/>
  <c r="NX4" i="21"/>
  <c r="NV4" i="21"/>
  <c r="NU4" i="21"/>
  <c r="NT4" i="21"/>
  <c r="NZ4" i="21" s="1"/>
  <c r="NS4" i="21"/>
  <c r="MW18" i="21"/>
  <c r="MV18" i="21"/>
  <c r="MT18" i="21"/>
  <c r="MS18" i="21"/>
  <c r="MR18" i="21"/>
  <c r="MX18" i="21" s="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3" i="21"/>
  <c r="MV13" i="21"/>
  <c r="MT13" i="21"/>
  <c r="MS13" i="21"/>
  <c r="MR13" i="21"/>
  <c r="MX13" i="21" s="1"/>
  <c r="MQ13" i="21"/>
  <c r="MW15" i="21"/>
  <c r="MV15" i="21"/>
  <c r="MT15" i="21"/>
  <c r="MS15" i="21"/>
  <c r="MR15" i="21"/>
  <c r="MX15" i="21" s="1"/>
  <c r="MQ15" i="21"/>
  <c r="MW14" i="21"/>
  <c r="MV14" i="21"/>
  <c r="MT14" i="21"/>
  <c r="MS14" i="21"/>
  <c r="MR14" i="21"/>
  <c r="MQ14" i="21"/>
  <c r="MW12" i="21"/>
  <c r="MV12" i="21"/>
  <c r="MT12" i="21"/>
  <c r="MS12" i="21"/>
  <c r="MR12" i="21"/>
  <c r="MQ12" i="21"/>
  <c r="MW10" i="21"/>
  <c r="MV10" i="21"/>
  <c r="MT10" i="21"/>
  <c r="MS10" i="21"/>
  <c r="MR10" i="21"/>
  <c r="MX10" i="21" s="1"/>
  <c r="MQ10" i="21"/>
  <c r="MW11" i="21"/>
  <c r="MV11" i="21"/>
  <c r="MT11" i="21"/>
  <c r="MS11" i="21"/>
  <c r="MR11" i="21"/>
  <c r="MX11" i="21" s="1"/>
  <c r="MQ11" i="21"/>
  <c r="MW5" i="21"/>
  <c r="MV5" i="21"/>
  <c r="MT5" i="21"/>
  <c r="MS5" i="21"/>
  <c r="MR5" i="21"/>
  <c r="MQ5" i="21"/>
  <c r="MW9" i="21"/>
  <c r="MV9" i="21"/>
  <c r="MT9" i="21"/>
  <c r="MS9" i="21"/>
  <c r="MR9" i="21"/>
  <c r="MQ9" i="21"/>
  <c r="MW7" i="21"/>
  <c r="MV7" i="21"/>
  <c r="MT7" i="21"/>
  <c r="MS7" i="21"/>
  <c r="MR7" i="21"/>
  <c r="MX7" i="21" s="1"/>
  <c r="MQ7" i="21"/>
  <c r="MW8" i="21"/>
  <c r="MV8" i="21"/>
  <c r="MT8" i="21"/>
  <c r="MS8" i="21"/>
  <c r="MR8" i="21"/>
  <c r="MX8" i="21" s="1"/>
  <c r="MQ8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18" i="21"/>
  <c r="LT18" i="21"/>
  <c r="LR18" i="21"/>
  <c r="LQ18" i="21"/>
  <c r="LP18" i="21"/>
  <c r="LV18" i="21" s="1"/>
  <c r="LO18" i="21"/>
  <c r="LU17" i="21"/>
  <c r="LT17" i="21"/>
  <c r="LR17" i="21"/>
  <c r="LQ17" i="21"/>
  <c r="LP17" i="21"/>
  <c r="LV17" i="21" s="1"/>
  <c r="LO17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V14" i="21" s="1"/>
  <c r="LO14" i="21"/>
  <c r="LU12" i="21"/>
  <c r="LT12" i="21"/>
  <c r="LR12" i="21"/>
  <c r="LQ12" i="21"/>
  <c r="LP12" i="21"/>
  <c r="LO12" i="21"/>
  <c r="LU10" i="21"/>
  <c r="LT10" i="21"/>
  <c r="LR10" i="21"/>
  <c r="LQ10" i="21"/>
  <c r="LP10" i="21"/>
  <c r="LO10" i="21"/>
  <c r="LU11" i="21"/>
  <c r="LT11" i="21"/>
  <c r="LR11" i="21"/>
  <c r="LQ11" i="21"/>
  <c r="LP11" i="21"/>
  <c r="LV11" i="21" s="1"/>
  <c r="LO11" i="21"/>
  <c r="LU5" i="21"/>
  <c r="LT5" i="21"/>
  <c r="LR5" i="21"/>
  <c r="LQ5" i="21"/>
  <c r="LP5" i="21"/>
  <c r="LV5" i="21" s="1"/>
  <c r="LO5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8" i="21"/>
  <c r="LT8" i="21"/>
  <c r="LR8" i="21"/>
  <c r="LQ8" i="21"/>
  <c r="LP8" i="21"/>
  <c r="LV8" i="21" s="1"/>
  <c r="LO8" i="21"/>
  <c r="LU6" i="21"/>
  <c r="LT6" i="21"/>
  <c r="LR6" i="21"/>
  <c r="LQ6" i="21"/>
  <c r="LP6" i="21"/>
  <c r="LV6" i="21" s="1"/>
  <c r="LO6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T17" i="21" s="1"/>
  <c r="KM17" i="21"/>
  <c r="KS16" i="21"/>
  <c r="KR16" i="21"/>
  <c r="KP16" i="21"/>
  <c r="KO16" i="21"/>
  <c r="KN16" i="21"/>
  <c r="KT16" i="21" s="1"/>
  <c r="KM16" i="21"/>
  <c r="KS13" i="21"/>
  <c r="KR13" i="21"/>
  <c r="KP13" i="21"/>
  <c r="KO13" i="21"/>
  <c r="KN13" i="21"/>
  <c r="KM13" i="21"/>
  <c r="KS15" i="21"/>
  <c r="KR15" i="21"/>
  <c r="KP15" i="21"/>
  <c r="KO15" i="21"/>
  <c r="KN15" i="21"/>
  <c r="KM15" i="21"/>
  <c r="KS14" i="21"/>
  <c r="KR14" i="21"/>
  <c r="KP14" i="21"/>
  <c r="KO14" i="21"/>
  <c r="KN14" i="21"/>
  <c r="KT14" i="21" s="1"/>
  <c r="KM14" i="21"/>
  <c r="KS12" i="21"/>
  <c r="KR12" i="21"/>
  <c r="KP12" i="21"/>
  <c r="KO12" i="21"/>
  <c r="KN12" i="21"/>
  <c r="KT12" i="21" s="1"/>
  <c r="KM12" i="21"/>
  <c r="KS10" i="21"/>
  <c r="KR10" i="21"/>
  <c r="KP10" i="21"/>
  <c r="KO10" i="21"/>
  <c r="KN10" i="21"/>
  <c r="KM10" i="21"/>
  <c r="KS11" i="21"/>
  <c r="KR11" i="21"/>
  <c r="KP11" i="21"/>
  <c r="KO11" i="21"/>
  <c r="KN11" i="21"/>
  <c r="KM11" i="21"/>
  <c r="KS5" i="21"/>
  <c r="KR5" i="21"/>
  <c r="KP5" i="21"/>
  <c r="KO5" i="21"/>
  <c r="KN5" i="21"/>
  <c r="KT5" i="21" s="1"/>
  <c r="KM5" i="21"/>
  <c r="KS9" i="21"/>
  <c r="KR9" i="21"/>
  <c r="KP9" i="21"/>
  <c r="KO9" i="21"/>
  <c r="KN9" i="21"/>
  <c r="KT9" i="21" s="1"/>
  <c r="KM9" i="21"/>
  <c r="KS7" i="21"/>
  <c r="KR7" i="21"/>
  <c r="KP7" i="21"/>
  <c r="KO7" i="21"/>
  <c r="KN7" i="21"/>
  <c r="KM7" i="21"/>
  <c r="KS8" i="21"/>
  <c r="KR8" i="21"/>
  <c r="KP8" i="21"/>
  <c r="KO8" i="21"/>
  <c r="KN8" i="21"/>
  <c r="KM8" i="21"/>
  <c r="KS6" i="21"/>
  <c r="KR6" i="21"/>
  <c r="KP6" i="21"/>
  <c r="KO6" i="21"/>
  <c r="KN6" i="21"/>
  <c r="KT6" i="21" s="1"/>
  <c r="KM6" i="21"/>
  <c r="KS4" i="21"/>
  <c r="KR4" i="21"/>
  <c r="KP4" i="21"/>
  <c r="KO4" i="21"/>
  <c r="KN4" i="21"/>
  <c r="KT4" i="21" s="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R16" i="21" s="1"/>
  <c r="JK16" i="21"/>
  <c r="JQ13" i="21"/>
  <c r="JP13" i="21"/>
  <c r="JN13" i="21"/>
  <c r="JM13" i="21"/>
  <c r="JL13" i="21"/>
  <c r="JR13" i="21" s="1"/>
  <c r="JK13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2" i="21"/>
  <c r="JP12" i="21"/>
  <c r="JN12" i="21"/>
  <c r="JM12" i="21"/>
  <c r="JL12" i="21"/>
  <c r="JR12" i="21" s="1"/>
  <c r="JK12" i="21"/>
  <c r="JQ10" i="21"/>
  <c r="JP10" i="21"/>
  <c r="JN10" i="21"/>
  <c r="JM10" i="21"/>
  <c r="JL10" i="21"/>
  <c r="JR10" i="21" s="1"/>
  <c r="JK10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9" i="21"/>
  <c r="JP9" i="21"/>
  <c r="JN9" i="21"/>
  <c r="JM9" i="21"/>
  <c r="JL9" i="21"/>
  <c r="JR9" i="21" s="1"/>
  <c r="JK9" i="21"/>
  <c r="JQ7" i="21"/>
  <c r="JP7" i="21"/>
  <c r="JN7" i="21"/>
  <c r="JM7" i="21"/>
  <c r="JL7" i="21"/>
  <c r="JR7" i="21" s="1"/>
  <c r="JK7" i="21"/>
  <c r="JQ8" i="21"/>
  <c r="JP8" i="21"/>
  <c r="JN8" i="21"/>
  <c r="JM8" i="21"/>
  <c r="JL8" i="21"/>
  <c r="JK8" i="21"/>
  <c r="JQ6" i="21"/>
  <c r="JP6" i="21"/>
  <c r="JN6" i="21"/>
  <c r="JM6" i="21"/>
  <c r="JL6" i="21"/>
  <c r="JK6" i="21"/>
  <c r="JQ4" i="21"/>
  <c r="JP4" i="21"/>
  <c r="JN4" i="21"/>
  <c r="JM4" i="21"/>
  <c r="JL4" i="21"/>
  <c r="JR4" i="21" s="1"/>
  <c r="JK4" i="21"/>
  <c r="IO18" i="21"/>
  <c r="IN18" i="21"/>
  <c r="IL18" i="21"/>
  <c r="IK18" i="21"/>
  <c r="IJ18" i="21"/>
  <c r="IP18" i="21" s="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3" i="21"/>
  <c r="IN13" i="21"/>
  <c r="IL13" i="21"/>
  <c r="IK13" i="21"/>
  <c r="IJ13" i="21"/>
  <c r="IP13" i="21" s="1"/>
  <c r="II13" i="21"/>
  <c r="IO15" i="21"/>
  <c r="IN15" i="21"/>
  <c r="IL15" i="21"/>
  <c r="IK15" i="21"/>
  <c r="IJ15" i="21"/>
  <c r="IP15" i="21" s="1"/>
  <c r="II15" i="21"/>
  <c r="IO14" i="21"/>
  <c r="IN14" i="21"/>
  <c r="IL14" i="21"/>
  <c r="IK14" i="21"/>
  <c r="IJ14" i="21"/>
  <c r="II14" i="21"/>
  <c r="IO12" i="21"/>
  <c r="IN12" i="21"/>
  <c r="IL12" i="21"/>
  <c r="IK12" i="21"/>
  <c r="IJ12" i="21"/>
  <c r="II12" i="21"/>
  <c r="IO10" i="21"/>
  <c r="IN10" i="21"/>
  <c r="IL10" i="21"/>
  <c r="IK10" i="21"/>
  <c r="IJ10" i="21"/>
  <c r="IP10" i="21" s="1"/>
  <c r="II10" i="21"/>
  <c r="IO11" i="21"/>
  <c r="IN11" i="21"/>
  <c r="IL11" i="21"/>
  <c r="IK11" i="21"/>
  <c r="IJ11" i="21"/>
  <c r="IP11" i="21" s="1"/>
  <c r="II11" i="21"/>
  <c r="IO5" i="21"/>
  <c r="IN5" i="21"/>
  <c r="IL5" i="21"/>
  <c r="IK5" i="21"/>
  <c r="IJ5" i="21"/>
  <c r="II5" i="21"/>
  <c r="IO9" i="21"/>
  <c r="IN9" i="21"/>
  <c r="IL9" i="21"/>
  <c r="IK9" i="21"/>
  <c r="IJ9" i="21"/>
  <c r="II9" i="21"/>
  <c r="IO7" i="21"/>
  <c r="IN7" i="21"/>
  <c r="IL7" i="21"/>
  <c r="IK7" i="21"/>
  <c r="IJ7" i="21"/>
  <c r="IP7" i="21" s="1"/>
  <c r="II7" i="21"/>
  <c r="IO8" i="21"/>
  <c r="IN8" i="21"/>
  <c r="IL8" i="21"/>
  <c r="IK8" i="21"/>
  <c r="IJ8" i="21"/>
  <c r="IP8" i="21" s="1"/>
  <c r="II8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18" i="21"/>
  <c r="HL18" i="21"/>
  <c r="HJ18" i="21"/>
  <c r="HI18" i="21"/>
  <c r="HH18" i="21"/>
  <c r="HN18" i="21" s="1"/>
  <c r="HG18" i="21"/>
  <c r="HM17" i="21"/>
  <c r="HL17" i="21"/>
  <c r="HJ17" i="21"/>
  <c r="HI17" i="21"/>
  <c r="HH17" i="21"/>
  <c r="HN17" i="21" s="1"/>
  <c r="HG17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N14" i="21" s="1"/>
  <c r="HG14" i="21"/>
  <c r="HM12" i="21"/>
  <c r="HL12" i="21"/>
  <c r="HJ12" i="21"/>
  <c r="HI12" i="21"/>
  <c r="HH12" i="21"/>
  <c r="HG12" i="21"/>
  <c r="HM10" i="21"/>
  <c r="HL10" i="21"/>
  <c r="HJ10" i="21"/>
  <c r="HI10" i="21"/>
  <c r="HH10" i="21"/>
  <c r="HG10" i="21"/>
  <c r="HM11" i="21"/>
  <c r="HL11" i="21"/>
  <c r="HJ11" i="21"/>
  <c r="HI11" i="21"/>
  <c r="HH11" i="21"/>
  <c r="HN11" i="21" s="1"/>
  <c r="HG11" i="21"/>
  <c r="HM5" i="21"/>
  <c r="HL5" i="21"/>
  <c r="HJ5" i="21"/>
  <c r="HI5" i="21"/>
  <c r="HH5" i="21"/>
  <c r="HN5" i="21" s="1"/>
  <c r="HG5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8" i="21"/>
  <c r="HL8" i="21"/>
  <c r="HJ8" i="21"/>
  <c r="HI8" i="21"/>
  <c r="HH8" i="21"/>
  <c r="HN8" i="21" s="1"/>
  <c r="HG8" i="21"/>
  <c r="HM6" i="21"/>
  <c r="HL6" i="21"/>
  <c r="HJ6" i="21"/>
  <c r="HI6" i="21"/>
  <c r="HH6" i="21"/>
  <c r="HN6" i="21" s="1"/>
  <c r="HG6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L17" i="21" s="1"/>
  <c r="GE17" i="21"/>
  <c r="GK16" i="21"/>
  <c r="GJ16" i="21"/>
  <c r="GH16" i="21"/>
  <c r="GG16" i="21"/>
  <c r="GF16" i="21"/>
  <c r="GL16" i="21" s="1"/>
  <c r="GE16" i="21"/>
  <c r="GK13" i="21"/>
  <c r="GJ13" i="21"/>
  <c r="GH13" i="21"/>
  <c r="GG13" i="21"/>
  <c r="GF13" i="21"/>
  <c r="GE13" i="21"/>
  <c r="GK15" i="21"/>
  <c r="GJ15" i="21"/>
  <c r="GH15" i="21"/>
  <c r="GG15" i="21"/>
  <c r="GF15" i="21"/>
  <c r="GE15" i="21"/>
  <c r="GK14" i="21"/>
  <c r="GJ14" i="21"/>
  <c r="GH14" i="21"/>
  <c r="GG14" i="21"/>
  <c r="GF14" i="21"/>
  <c r="GL14" i="21" s="1"/>
  <c r="GE14" i="21"/>
  <c r="GK12" i="21"/>
  <c r="GJ12" i="21"/>
  <c r="GH12" i="21"/>
  <c r="GG12" i="21"/>
  <c r="GF12" i="21"/>
  <c r="GL12" i="21" s="1"/>
  <c r="GE12" i="21"/>
  <c r="GK10" i="21"/>
  <c r="GJ10" i="21"/>
  <c r="GH10" i="21"/>
  <c r="GG10" i="21"/>
  <c r="GF10" i="21"/>
  <c r="GE10" i="21"/>
  <c r="GK11" i="21"/>
  <c r="GJ11" i="21"/>
  <c r="GH11" i="21"/>
  <c r="GG11" i="21"/>
  <c r="GF11" i="21"/>
  <c r="GE11" i="21"/>
  <c r="GK5" i="21"/>
  <c r="GJ5" i="21"/>
  <c r="GH5" i="21"/>
  <c r="GG5" i="21"/>
  <c r="GF5" i="21"/>
  <c r="GL5" i="21" s="1"/>
  <c r="GE5" i="21"/>
  <c r="GK9" i="21"/>
  <c r="GJ9" i="21"/>
  <c r="GH9" i="21"/>
  <c r="GG9" i="21"/>
  <c r="GF9" i="21"/>
  <c r="GL9" i="21" s="1"/>
  <c r="GE9" i="21"/>
  <c r="GK7" i="21"/>
  <c r="GJ7" i="21"/>
  <c r="GH7" i="21"/>
  <c r="GG7" i="21"/>
  <c r="GF7" i="21"/>
  <c r="GE7" i="21"/>
  <c r="GK8" i="21"/>
  <c r="GJ8" i="21"/>
  <c r="GH8" i="21"/>
  <c r="GG8" i="21"/>
  <c r="GF8" i="21"/>
  <c r="GE8" i="21"/>
  <c r="GK6" i="21"/>
  <c r="GJ6" i="21"/>
  <c r="GH6" i="21"/>
  <c r="GG6" i="21"/>
  <c r="GF6" i="21"/>
  <c r="GL6" i="21" s="1"/>
  <c r="GE6" i="21"/>
  <c r="GK4" i="21"/>
  <c r="GJ4" i="21"/>
  <c r="GH4" i="21"/>
  <c r="GG4" i="21"/>
  <c r="GF4" i="21"/>
  <c r="GL4" i="21" s="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J16" i="21" s="1"/>
  <c r="FC16" i="21"/>
  <c r="FI13" i="21"/>
  <c r="FH13" i="21"/>
  <c r="FF13" i="21"/>
  <c r="FE13" i="21"/>
  <c r="FD13" i="21"/>
  <c r="FJ13" i="21" s="1"/>
  <c r="FC13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2" i="21"/>
  <c r="FH12" i="21"/>
  <c r="FF12" i="21"/>
  <c r="FE12" i="21"/>
  <c r="FD12" i="21"/>
  <c r="FJ12" i="21" s="1"/>
  <c r="FC12" i="21"/>
  <c r="FI10" i="21"/>
  <c r="FH10" i="21"/>
  <c r="FF10" i="21"/>
  <c r="FE10" i="21"/>
  <c r="FD10" i="21"/>
  <c r="FJ10" i="21" s="1"/>
  <c r="FC10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9" i="21"/>
  <c r="FH9" i="21"/>
  <c r="FF9" i="21"/>
  <c r="FE9" i="21"/>
  <c r="FD9" i="21"/>
  <c r="FJ9" i="21" s="1"/>
  <c r="FC9" i="21"/>
  <c r="FI7" i="21"/>
  <c r="FH7" i="21"/>
  <c r="FF7" i="21"/>
  <c r="FE7" i="21"/>
  <c r="FD7" i="21"/>
  <c r="FJ7" i="21" s="1"/>
  <c r="FC7" i="21"/>
  <c r="FI8" i="21"/>
  <c r="FH8" i="21"/>
  <c r="FF8" i="21"/>
  <c r="FE8" i="21"/>
  <c r="FD8" i="21"/>
  <c r="FC8" i="21"/>
  <c r="FI6" i="21"/>
  <c r="FH6" i="21"/>
  <c r="FF6" i="21"/>
  <c r="FE6" i="21"/>
  <c r="FD6" i="21"/>
  <c r="FC6" i="21"/>
  <c r="FI4" i="21"/>
  <c r="FH4" i="21"/>
  <c r="FF4" i="21"/>
  <c r="FE4" i="21"/>
  <c r="FD4" i="21"/>
  <c r="FJ4" i="21" s="1"/>
  <c r="FC4" i="21"/>
  <c r="EG18" i="21"/>
  <c r="EF18" i="21"/>
  <c r="ED18" i="21"/>
  <c r="EC18" i="21"/>
  <c r="EB18" i="21"/>
  <c r="EH18" i="21" s="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3" i="21"/>
  <c r="EF13" i="21"/>
  <c r="ED13" i="21"/>
  <c r="EC13" i="21"/>
  <c r="EB13" i="21"/>
  <c r="EH13" i="21" s="1"/>
  <c r="EA13" i="21"/>
  <c r="EG15" i="21"/>
  <c r="EF15" i="21"/>
  <c r="ED15" i="21"/>
  <c r="EC15" i="21"/>
  <c r="EB15" i="21"/>
  <c r="EH15" i="21" s="1"/>
  <c r="EA15" i="21"/>
  <c r="EG14" i="21"/>
  <c r="EF14" i="21"/>
  <c r="ED14" i="21"/>
  <c r="EC14" i="21"/>
  <c r="EB14" i="21"/>
  <c r="EA14" i="21"/>
  <c r="EG12" i="21"/>
  <c r="EF12" i="21"/>
  <c r="ED12" i="21"/>
  <c r="EC12" i="21"/>
  <c r="EB12" i="21"/>
  <c r="EA12" i="21"/>
  <c r="EG10" i="21"/>
  <c r="EF10" i="21"/>
  <c r="ED10" i="21"/>
  <c r="EC10" i="21"/>
  <c r="EB10" i="21"/>
  <c r="EH10" i="21" s="1"/>
  <c r="EA10" i="21"/>
  <c r="EG11" i="21"/>
  <c r="EF11" i="21"/>
  <c r="ED11" i="21"/>
  <c r="EC11" i="21"/>
  <c r="EB11" i="21"/>
  <c r="EH11" i="21" s="1"/>
  <c r="EA11" i="21"/>
  <c r="EG5" i="21"/>
  <c r="EF5" i="21"/>
  <c r="ED5" i="21"/>
  <c r="EC5" i="21"/>
  <c r="EB5" i="21"/>
  <c r="EA5" i="21"/>
  <c r="EG9" i="21"/>
  <c r="EF9" i="21"/>
  <c r="ED9" i="21"/>
  <c r="EC9" i="21"/>
  <c r="EB9" i="21"/>
  <c r="EA9" i="21"/>
  <c r="EG7" i="21"/>
  <c r="EF7" i="21"/>
  <c r="ED7" i="21"/>
  <c r="EC7" i="21"/>
  <c r="EB7" i="21"/>
  <c r="EH7" i="21" s="1"/>
  <c r="EA7" i="21"/>
  <c r="EG8" i="21"/>
  <c r="EF8" i="21"/>
  <c r="ED8" i="21"/>
  <c r="EC8" i="21"/>
  <c r="EB8" i="21"/>
  <c r="EH8" i="21" s="1"/>
  <c r="EA8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16" i="19"/>
  <c r="OZ16" i="19"/>
  <c r="OX16" i="19"/>
  <c r="OW16" i="19"/>
  <c r="OV16" i="19"/>
  <c r="OU16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22" i="19"/>
  <c r="OZ22" i="19"/>
  <c r="OX22" i="19"/>
  <c r="OW22" i="19"/>
  <c r="OV22" i="19"/>
  <c r="OU22" i="19"/>
  <c r="PA19" i="19"/>
  <c r="OZ19" i="19"/>
  <c r="OX19" i="19"/>
  <c r="OW19" i="19"/>
  <c r="OV19" i="19"/>
  <c r="OU19" i="19"/>
  <c r="PA13" i="19"/>
  <c r="OZ13" i="19"/>
  <c r="OX13" i="19"/>
  <c r="OW13" i="19"/>
  <c r="OV13" i="19"/>
  <c r="OU13" i="19"/>
  <c r="PA9" i="19"/>
  <c r="OZ9" i="19"/>
  <c r="OX9" i="19"/>
  <c r="OW9" i="19"/>
  <c r="OV9" i="19"/>
  <c r="OU9" i="19"/>
  <c r="PA18" i="19"/>
  <c r="OZ18" i="19"/>
  <c r="OX18" i="19"/>
  <c r="OW18" i="19"/>
  <c r="OV18" i="19"/>
  <c r="OU18" i="19"/>
  <c r="PA10" i="19"/>
  <c r="OZ10" i="19"/>
  <c r="OX10" i="19"/>
  <c r="OW10" i="19"/>
  <c r="OV10" i="19"/>
  <c r="OU10" i="19"/>
  <c r="PA14" i="19"/>
  <c r="OZ14" i="19"/>
  <c r="OX14" i="19"/>
  <c r="OW14" i="19"/>
  <c r="OV14" i="19"/>
  <c r="OU14" i="19"/>
  <c r="PA8" i="19"/>
  <c r="OZ8" i="19"/>
  <c r="OX8" i="19"/>
  <c r="OW8" i="19"/>
  <c r="OV8" i="19"/>
  <c r="OU8" i="19"/>
  <c r="PA15" i="19"/>
  <c r="OZ15" i="19"/>
  <c r="OX15" i="19"/>
  <c r="OW15" i="19"/>
  <c r="OV15" i="19"/>
  <c r="OU15" i="19"/>
  <c r="PA11" i="19"/>
  <c r="OZ11" i="19"/>
  <c r="OX11" i="19"/>
  <c r="OW11" i="19"/>
  <c r="OV11" i="19"/>
  <c r="OU11" i="19"/>
  <c r="PA12" i="19"/>
  <c r="OZ12" i="19"/>
  <c r="OX12" i="19"/>
  <c r="OW12" i="19"/>
  <c r="OV12" i="19"/>
  <c r="OU12" i="19"/>
  <c r="PA17" i="19"/>
  <c r="OZ17" i="19"/>
  <c r="OX17" i="19"/>
  <c r="OW17" i="19"/>
  <c r="OV17" i="19"/>
  <c r="OU17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6" i="19"/>
  <c r="OZ6" i="19"/>
  <c r="OX6" i="19"/>
  <c r="OW6" i="19"/>
  <c r="OV6" i="19"/>
  <c r="OU6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16" i="19"/>
  <c r="NX16" i="19"/>
  <c r="NV16" i="19"/>
  <c r="NU16" i="19"/>
  <c r="NT16" i="19"/>
  <c r="NS16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3" i="19"/>
  <c r="NX13" i="19"/>
  <c r="NV13" i="19"/>
  <c r="NU13" i="19"/>
  <c r="NT13" i="19"/>
  <c r="NS13" i="19"/>
  <c r="NY9" i="19"/>
  <c r="NX9" i="19"/>
  <c r="NV9" i="19"/>
  <c r="NU9" i="19"/>
  <c r="NT9" i="19"/>
  <c r="NS9" i="19"/>
  <c r="NY18" i="19"/>
  <c r="NX18" i="19"/>
  <c r="NV18" i="19"/>
  <c r="NU18" i="19"/>
  <c r="NT18" i="19"/>
  <c r="NS18" i="19"/>
  <c r="NY10" i="19"/>
  <c r="NX10" i="19"/>
  <c r="NV10" i="19"/>
  <c r="NU10" i="19"/>
  <c r="NT10" i="19"/>
  <c r="NS10" i="19"/>
  <c r="NY14" i="19"/>
  <c r="NX14" i="19"/>
  <c r="NV14" i="19"/>
  <c r="NU14" i="19"/>
  <c r="NT14" i="19"/>
  <c r="NS14" i="19"/>
  <c r="NY8" i="19"/>
  <c r="NX8" i="19"/>
  <c r="NV8" i="19"/>
  <c r="NU8" i="19"/>
  <c r="NT8" i="19"/>
  <c r="NS8" i="19"/>
  <c r="NY15" i="19"/>
  <c r="NX15" i="19"/>
  <c r="NV15" i="19"/>
  <c r="NU15" i="19"/>
  <c r="NT15" i="19"/>
  <c r="NZ15" i="19" s="1"/>
  <c r="NS15" i="19"/>
  <c r="NY11" i="19"/>
  <c r="NX11" i="19"/>
  <c r="NV11" i="19"/>
  <c r="NU11" i="19"/>
  <c r="NT11" i="19"/>
  <c r="NS11" i="19"/>
  <c r="NY12" i="19"/>
  <c r="NX12" i="19"/>
  <c r="NV12" i="19"/>
  <c r="NU12" i="19"/>
  <c r="NT12" i="19"/>
  <c r="NS12" i="19"/>
  <c r="NY17" i="19"/>
  <c r="NX17" i="19"/>
  <c r="NV17" i="19"/>
  <c r="NU17" i="19"/>
  <c r="NT17" i="19"/>
  <c r="NS17" i="19"/>
  <c r="NY7" i="19"/>
  <c r="NX7" i="19"/>
  <c r="NV7" i="19"/>
  <c r="NU7" i="19"/>
  <c r="NT7" i="19"/>
  <c r="NZ7" i="19" s="1"/>
  <c r="NS7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S4" i="19"/>
  <c r="MW27" i="19"/>
  <c r="MV27" i="19"/>
  <c r="MT27" i="19"/>
  <c r="MS27" i="19"/>
  <c r="MR27" i="19"/>
  <c r="MX27" i="19" s="1"/>
  <c r="MQ27" i="19"/>
  <c r="MW16" i="19"/>
  <c r="MV16" i="19"/>
  <c r="MT16" i="19"/>
  <c r="MS16" i="19"/>
  <c r="MR16" i="19"/>
  <c r="MX16" i="19" s="1"/>
  <c r="MQ16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X24" i="19" s="1"/>
  <c r="MQ24" i="19"/>
  <c r="MW23" i="19"/>
  <c r="MV23" i="19"/>
  <c r="MT23" i="19"/>
  <c r="MS23" i="19"/>
  <c r="MR23" i="19"/>
  <c r="MX23" i="19" s="1"/>
  <c r="MQ23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22" i="19"/>
  <c r="MV22" i="19"/>
  <c r="MT22" i="19"/>
  <c r="MS22" i="19"/>
  <c r="MR22" i="19"/>
  <c r="MX22" i="19" s="1"/>
  <c r="MQ22" i="19"/>
  <c r="MW19" i="19"/>
  <c r="MV19" i="19"/>
  <c r="MT19" i="19"/>
  <c r="MS19" i="19"/>
  <c r="MR19" i="19"/>
  <c r="MX19" i="19" s="1"/>
  <c r="MQ19" i="19"/>
  <c r="MW13" i="19"/>
  <c r="MV13" i="19"/>
  <c r="MT13" i="19"/>
  <c r="MS13" i="19"/>
  <c r="MR13" i="19"/>
  <c r="MQ13" i="19"/>
  <c r="MW9" i="19"/>
  <c r="MV9" i="19"/>
  <c r="MT9" i="19"/>
  <c r="MS9" i="19"/>
  <c r="MR9" i="19"/>
  <c r="MQ9" i="19"/>
  <c r="MW18" i="19"/>
  <c r="MV18" i="19"/>
  <c r="MT18" i="19"/>
  <c r="MS18" i="19"/>
  <c r="MR18" i="19"/>
  <c r="MX18" i="19" s="1"/>
  <c r="MQ18" i="19"/>
  <c r="MW10" i="19"/>
  <c r="MV10" i="19"/>
  <c r="MT10" i="19"/>
  <c r="MS10" i="19"/>
  <c r="MR10" i="19"/>
  <c r="MX10" i="19" s="1"/>
  <c r="MQ10" i="19"/>
  <c r="MW14" i="19"/>
  <c r="MV14" i="19"/>
  <c r="MT14" i="19"/>
  <c r="MS14" i="19"/>
  <c r="MR14" i="19"/>
  <c r="MQ14" i="19"/>
  <c r="MW8" i="19"/>
  <c r="MV8" i="19"/>
  <c r="MT8" i="19"/>
  <c r="MS8" i="19"/>
  <c r="MR8" i="19"/>
  <c r="MQ8" i="19"/>
  <c r="MW15" i="19"/>
  <c r="MV15" i="19"/>
  <c r="MT15" i="19"/>
  <c r="MS15" i="19"/>
  <c r="MR15" i="19"/>
  <c r="MX15" i="19" s="1"/>
  <c r="MQ15" i="19"/>
  <c r="MW11" i="19"/>
  <c r="MV11" i="19"/>
  <c r="MT11" i="19"/>
  <c r="MS11" i="19"/>
  <c r="MR11" i="19"/>
  <c r="MX11" i="19" s="1"/>
  <c r="MQ11" i="19"/>
  <c r="MW12" i="19"/>
  <c r="MV12" i="19"/>
  <c r="MT12" i="19"/>
  <c r="MS12" i="19"/>
  <c r="MR12" i="19"/>
  <c r="MQ12" i="19"/>
  <c r="MW17" i="19"/>
  <c r="MV17" i="19"/>
  <c r="MT17" i="19"/>
  <c r="MS17" i="19"/>
  <c r="MR17" i="19"/>
  <c r="MQ17" i="19"/>
  <c r="MW7" i="19"/>
  <c r="MV7" i="19"/>
  <c r="MT7" i="19"/>
  <c r="MS7" i="19"/>
  <c r="MR7" i="19"/>
  <c r="MX7" i="19" s="1"/>
  <c r="MQ7" i="19"/>
  <c r="MW5" i="19"/>
  <c r="MV5" i="19"/>
  <c r="MT5" i="19"/>
  <c r="MS5" i="19"/>
  <c r="MR5" i="19"/>
  <c r="MX5" i="19" s="1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7" i="19"/>
  <c r="LT27" i="19"/>
  <c r="LR27" i="19"/>
  <c r="LQ27" i="19"/>
  <c r="LP27" i="19"/>
  <c r="LV27" i="19" s="1"/>
  <c r="LO27" i="19"/>
  <c r="LU16" i="19"/>
  <c r="LT16" i="19"/>
  <c r="LR16" i="19"/>
  <c r="LQ16" i="19"/>
  <c r="LP16" i="19"/>
  <c r="LV16" i="19" s="1"/>
  <c r="LO16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V23" i="19" s="1"/>
  <c r="LO23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22" i="19"/>
  <c r="LT22" i="19"/>
  <c r="LR22" i="19"/>
  <c r="LQ22" i="19"/>
  <c r="LP22" i="19"/>
  <c r="LV22" i="19" s="1"/>
  <c r="LO22" i="19"/>
  <c r="LU19" i="19"/>
  <c r="LT19" i="19"/>
  <c r="LR19" i="19"/>
  <c r="LQ19" i="19"/>
  <c r="LP19" i="19"/>
  <c r="LV19" i="19" s="1"/>
  <c r="LO19" i="19"/>
  <c r="LU13" i="19"/>
  <c r="LT13" i="19"/>
  <c r="LR13" i="19"/>
  <c r="LQ13" i="19"/>
  <c r="LP13" i="19"/>
  <c r="LO13" i="19"/>
  <c r="LU9" i="19"/>
  <c r="LT9" i="19"/>
  <c r="LR9" i="19"/>
  <c r="LQ9" i="19"/>
  <c r="LP9" i="19"/>
  <c r="LO9" i="19"/>
  <c r="LU18" i="19"/>
  <c r="LT18" i="19"/>
  <c r="LR18" i="19"/>
  <c r="LQ18" i="19"/>
  <c r="LP18" i="19"/>
  <c r="LV18" i="19" s="1"/>
  <c r="LO18" i="19"/>
  <c r="LU10" i="19"/>
  <c r="LT10" i="19"/>
  <c r="LR10" i="19"/>
  <c r="LQ10" i="19"/>
  <c r="LP10" i="19"/>
  <c r="LV10" i="19" s="1"/>
  <c r="LO10" i="19"/>
  <c r="LU14" i="19"/>
  <c r="LT14" i="19"/>
  <c r="LR14" i="19"/>
  <c r="LQ14" i="19"/>
  <c r="LP14" i="19"/>
  <c r="LO14" i="19"/>
  <c r="LU8" i="19"/>
  <c r="LT8" i="19"/>
  <c r="LR8" i="19"/>
  <c r="LQ8" i="19"/>
  <c r="LP8" i="19"/>
  <c r="LO8" i="19"/>
  <c r="LU15" i="19"/>
  <c r="LT15" i="19"/>
  <c r="LR15" i="19"/>
  <c r="LQ15" i="19"/>
  <c r="LP15" i="19"/>
  <c r="LV15" i="19" s="1"/>
  <c r="LO15" i="19"/>
  <c r="LU11" i="19"/>
  <c r="LT11" i="19"/>
  <c r="LR11" i="19"/>
  <c r="LQ11" i="19"/>
  <c r="LP11" i="19"/>
  <c r="LV11" i="19" s="1"/>
  <c r="LO11" i="19"/>
  <c r="LU12" i="19"/>
  <c r="LT12" i="19"/>
  <c r="LR12" i="19"/>
  <c r="LQ12" i="19"/>
  <c r="LP12" i="19"/>
  <c r="LO12" i="19"/>
  <c r="LU17" i="19"/>
  <c r="LT17" i="19"/>
  <c r="LR17" i="19"/>
  <c r="LQ17" i="19"/>
  <c r="LP17" i="19"/>
  <c r="LO17" i="19"/>
  <c r="LU7" i="19"/>
  <c r="LT7" i="19"/>
  <c r="LR7" i="19"/>
  <c r="LQ7" i="19"/>
  <c r="LP7" i="19"/>
  <c r="LV7" i="19" s="1"/>
  <c r="LO7" i="19"/>
  <c r="LU5" i="19"/>
  <c r="LT5" i="19"/>
  <c r="LR5" i="19"/>
  <c r="LQ5" i="19"/>
  <c r="LP5" i="19"/>
  <c r="LV5" i="19" s="1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27" i="19"/>
  <c r="KR27" i="19"/>
  <c r="KP27" i="19"/>
  <c r="KO27" i="19"/>
  <c r="KN27" i="19"/>
  <c r="KT27" i="19" s="1"/>
  <c r="KM27" i="19"/>
  <c r="KS16" i="19"/>
  <c r="KR16" i="19"/>
  <c r="KP16" i="19"/>
  <c r="KO16" i="19"/>
  <c r="KN16" i="19"/>
  <c r="KT16" i="19" s="1"/>
  <c r="KM16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T24" i="19" s="1"/>
  <c r="KM24" i="19"/>
  <c r="KS23" i="19"/>
  <c r="KR23" i="19"/>
  <c r="KP23" i="19"/>
  <c r="KO23" i="19"/>
  <c r="KN23" i="19"/>
  <c r="KT23" i="19" s="1"/>
  <c r="KM23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22" i="19"/>
  <c r="KR22" i="19"/>
  <c r="KP22" i="19"/>
  <c r="KO22" i="19"/>
  <c r="KN22" i="19"/>
  <c r="KT22" i="19" s="1"/>
  <c r="KM22" i="19"/>
  <c r="KS19" i="19"/>
  <c r="KR19" i="19"/>
  <c r="KP19" i="19"/>
  <c r="KO19" i="19"/>
  <c r="KN19" i="19"/>
  <c r="KT19" i="19" s="1"/>
  <c r="KM19" i="19"/>
  <c r="KS13" i="19"/>
  <c r="KR13" i="19"/>
  <c r="KP13" i="19"/>
  <c r="KO13" i="19"/>
  <c r="KN13" i="19"/>
  <c r="KM13" i="19"/>
  <c r="KS9" i="19"/>
  <c r="KR9" i="19"/>
  <c r="KP9" i="19"/>
  <c r="KO9" i="19"/>
  <c r="KN9" i="19"/>
  <c r="KM9" i="19"/>
  <c r="KS18" i="19"/>
  <c r="KR18" i="19"/>
  <c r="KP18" i="19"/>
  <c r="KO18" i="19"/>
  <c r="KN18" i="19"/>
  <c r="KT18" i="19" s="1"/>
  <c r="KM18" i="19"/>
  <c r="KS10" i="19"/>
  <c r="KR10" i="19"/>
  <c r="KP10" i="19"/>
  <c r="KO10" i="19"/>
  <c r="KN10" i="19"/>
  <c r="KT10" i="19" s="1"/>
  <c r="KM10" i="19"/>
  <c r="KS14" i="19"/>
  <c r="KR14" i="19"/>
  <c r="KP14" i="19"/>
  <c r="KO14" i="19"/>
  <c r="KN14" i="19"/>
  <c r="KM14" i="19"/>
  <c r="KS8" i="19"/>
  <c r="KR8" i="19"/>
  <c r="KP8" i="19"/>
  <c r="KO8" i="19"/>
  <c r="KN8" i="19"/>
  <c r="KM8" i="19"/>
  <c r="KS15" i="19"/>
  <c r="KR15" i="19"/>
  <c r="KP15" i="19"/>
  <c r="KO15" i="19"/>
  <c r="KN15" i="19"/>
  <c r="KT15" i="19" s="1"/>
  <c r="KM15" i="19"/>
  <c r="KS11" i="19"/>
  <c r="KR11" i="19"/>
  <c r="KP11" i="19"/>
  <c r="KO11" i="19"/>
  <c r="KN11" i="19"/>
  <c r="KT11" i="19" s="1"/>
  <c r="KM11" i="19"/>
  <c r="KS12" i="19"/>
  <c r="KR12" i="19"/>
  <c r="KP12" i="19"/>
  <c r="KO12" i="19"/>
  <c r="KN12" i="19"/>
  <c r="KM12" i="19"/>
  <c r="KS17" i="19"/>
  <c r="KR17" i="19"/>
  <c r="KP17" i="19"/>
  <c r="KO17" i="19"/>
  <c r="KN17" i="19"/>
  <c r="KM17" i="19"/>
  <c r="KS7" i="19"/>
  <c r="KR7" i="19"/>
  <c r="KP7" i="19"/>
  <c r="KO7" i="19"/>
  <c r="KN7" i="19"/>
  <c r="KT7" i="19" s="1"/>
  <c r="KM7" i="19"/>
  <c r="KS5" i="19"/>
  <c r="KR5" i="19"/>
  <c r="KP5" i="19"/>
  <c r="KO5" i="19"/>
  <c r="KN5" i="19"/>
  <c r="KT5" i="19" s="1"/>
  <c r="KM5" i="19"/>
  <c r="KS6" i="19"/>
  <c r="KR6" i="19"/>
  <c r="KP6" i="19"/>
  <c r="KO6" i="19"/>
  <c r="KN6" i="19"/>
  <c r="KM6" i="19"/>
  <c r="KS4" i="19"/>
  <c r="KR4" i="19"/>
  <c r="KP4" i="19"/>
  <c r="KO4" i="19"/>
  <c r="KN4" i="19"/>
  <c r="KM4" i="19"/>
  <c r="JQ27" i="19"/>
  <c r="JP27" i="19"/>
  <c r="JN27" i="19"/>
  <c r="JM27" i="19"/>
  <c r="JL27" i="19"/>
  <c r="JR27" i="19" s="1"/>
  <c r="JK27" i="19"/>
  <c r="JQ16" i="19"/>
  <c r="JP16" i="19"/>
  <c r="JN16" i="19"/>
  <c r="JM16" i="19"/>
  <c r="JL16" i="19"/>
  <c r="JR16" i="19" s="1"/>
  <c r="JK16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R24" i="19" s="1"/>
  <c r="JK24" i="19"/>
  <c r="JQ23" i="19"/>
  <c r="JP23" i="19"/>
  <c r="JN23" i="19"/>
  <c r="JM23" i="19"/>
  <c r="JL23" i="19"/>
  <c r="JR23" i="19" s="1"/>
  <c r="JK23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22" i="19"/>
  <c r="JP22" i="19"/>
  <c r="JN22" i="19"/>
  <c r="JM22" i="19"/>
  <c r="JL22" i="19"/>
  <c r="JR22" i="19" s="1"/>
  <c r="JK22" i="19"/>
  <c r="JQ19" i="19"/>
  <c r="JP19" i="19"/>
  <c r="JN19" i="19"/>
  <c r="JM19" i="19"/>
  <c r="JL19" i="19"/>
  <c r="JR19" i="19" s="1"/>
  <c r="JK19" i="19"/>
  <c r="JQ13" i="19"/>
  <c r="JP13" i="19"/>
  <c r="JN13" i="19"/>
  <c r="JM13" i="19"/>
  <c r="JL13" i="19"/>
  <c r="JK13" i="19"/>
  <c r="JQ9" i="19"/>
  <c r="JP9" i="19"/>
  <c r="JN9" i="19"/>
  <c r="JM9" i="19"/>
  <c r="JL9" i="19"/>
  <c r="JK9" i="19"/>
  <c r="JQ18" i="19"/>
  <c r="JP18" i="19"/>
  <c r="JN18" i="19"/>
  <c r="JM18" i="19"/>
  <c r="JL18" i="19"/>
  <c r="JR18" i="19" s="1"/>
  <c r="JK18" i="19"/>
  <c r="JQ10" i="19"/>
  <c r="JP10" i="19"/>
  <c r="JN10" i="19"/>
  <c r="JM10" i="19"/>
  <c r="JL10" i="19"/>
  <c r="JR10" i="19" s="1"/>
  <c r="JK10" i="19"/>
  <c r="JQ14" i="19"/>
  <c r="JP14" i="19"/>
  <c r="JN14" i="19"/>
  <c r="JM14" i="19"/>
  <c r="JL14" i="19"/>
  <c r="JK14" i="19"/>
  <c r="JQ8" i="19"/>
  <c r="JP8" i="19"/>
  <c r="JN8" i="19"/>
  <c r="JM8" i="19"/>
  <c r="JL8" i="19"/>
  <c r="JK8" i="19"/>
  <c r="JQ15" i="19"/>
  <c r="JP15" i="19"/>
  <c r="JN15" i="19"/>
  <c r="JM15" i="19"/>
  <c r="JL15" i="19"/>
  <c r="JR15" i="19" s="1"/>
  <c r="JK15" i="19"/>
  <c r="JQ11" i="19"/>
  <c r="JP11" i="19"/>
  <c r="JN11" i="19"/>
  <c r="JM11" i="19"/>
  <c r="JL11" i="19"/>
  <c r="JR11" i="19" s="1"/>
  <c r="JK11" i="19"/>
  <c r="JQ12" i="19"/>
  <c r="JP12" i="19"/>
  <c r="JN12" i="19"/>
  <c r="JM12" i="19"/>
  <c r="JL12" i="19"/>
  <c r="JK12" i="19"/>
  <c r="JQ17" i="19"/>
  <c r="JP17" i="19"/>
  <c r="JN17" i="19"/>
  <c r="JM17" i="19"/>
  <c r="JL17" i="19"/>
  <c r="JK17" i="19"/>
  <c r="JQ7" i="19"/>
  <c r="JP7" i="19"/>
  <c r="JN7" i="19"/>
  <c r="JM7" i="19"/>
  <c r="JL7" i="19"/>
  <c r="JR7" i="19" s="1"/>
  <c r="JK7" i="19"/>
  <c r="JQ5" i="19"/>
  <c r="JP5" i="19"/>
  <c r="JN5" i="19"/>
  <c r="JM5" i="19"/>
  <c r="JL5" i="19"/>
  <c r="JR5" i="19" s="1"/>
  <c r="JK5" i="19"/>
  <c r="JQ6" i="19"/>
  <c r="JP6" i="19"/>
  <c r="JN6" i="19"/>
  <c r="JM6" i="19"/>
  <c r="JL6" i="19"/>
  <c r="JK6" i="19"/>
  <c r="JQ4" i="19"/>
  <c r="JP4" i="19"/>
  <c r="JN4" i="19"/>
  <c r="JM4" i="19"/>
  <c r="JL4" i="19"/>
  <c r="JK4" i="19"/>
  <c r="IO27" i="19"/>
  <c r="IN27" i="19"/>
  <c r="IL27" i="19"/>
  <c r="IK27" i="19"/>
  <c r="IJ27" i="19"/>
  <c r="IP27" i="19" s="1"/>
  <c r="II27" i="19"/>
  <c r="IO16" i="19"/>
  <c r="IN16" i="19"/>
  <c r="IL16" i="19"/>
  <c r="IK16" i="19"/>
  <c r="IJ16" i="19"/>
  <c r="IP16" i="19" s="1"/>
  <c r="II16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P24" i="19" s="1"/>
  <c r="II24" i="19"/>
  <c r="IO23" i="19"/>
  <c r="IN23" i="19"/>
  <c r="IL23" i="19"/>
  <c r="IK23" i="19"/>
  <c r="IJ23" i="19"/>
  <c r="IP23" i="19" s="1"/>
  <c r="II23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22" i="19"/>
  <c r="IN22" i="19"/>
  <c r="IL22" i="19"/>
  <c r="IK22" i="19"/>
  <c r="IJ22" i="19"/>
  <c r="IP22" i="19" s="1"/>
  <c r="II22" i="19"/>
  <c r="IO19" i="19"/>
  <c r="IN19" i="19"/>
  <c r="IL19" i="19"/>
  <c r="IK19" i="19"/>
  <c r="IJ19" i="19"/>
  <c r="IP19" i="19" s="1"/>
  <c r="II19" i="19"/>
  <c r="IO13" i="19"/>
  <c r="IN13" i="19"/>
  <c r="IL13" i="19"/>
  <c r="IK13" i="19"/>
  <c r="IJ13" i="19"/>
  <c r="II13" i="19"/>
  <c r="IO9" i="19"/>
  <c r="IN9" i="19"/>
  <c r="IL9" i="19"/>
  <c r="IK9" i="19"/>
  <c r="IJ9" i="19"/>
  <c r="II9" i="19"/>
  <c r="IO18" i="19"/>
  <c r="IN18" i="19"/>
  <c r="IL18" i="19"/>
  <c r="IK18" i="19"/>
  <c r="IJ18" i="19"/>
  <c r="IP18" i="19" s="1"/>
  <c r="II18" i="19"/>
  <c r="IO10" i="19"/>
  <c r="IN10" i="19"/>
  <c r="IL10" i="19"/>
  <c r="IK10" i="19"/>
  <c r="IJ10" i="19"/>
  <c r="IP10" i="19" s="1"/>
  <c r="II10" i="19"/>
  <c r="IO14" i="19"/>
  <c r="IN14" i="19"/>
  <c r="IL14" i="19"/>
  <c r="IK14" i="19"/>
  <c r="IJ14" i="19"/>
  <c r="II14" i="19"/>
  <c r="IO8" i="19"/>
  <c r="IN8" i="19"/>
  <c r="IL8" i="19"/>
  <c r="IK8" i="19"/>
  <c r="IJ8" i="19"/>
  <c r="II8" i="19"/>
  <c r="IO15" i="19"/>
  <c r="IN15" i="19"/>
  <c r="IL15" i="19"/>
  <c r="IK15" i="19"/>
  <c r="IJ15" i="19"/>
  <c r="IP15" i="19" s="1"/>
  <c r="II15" i="19"/>
  <c r="IO11" i="19"/>
  <c r="IN11" i="19"/>
  <c r="IL11" i="19"/>
  <c r="IK11" i="19"/>
  <c r="IJ11" i="19"/>
  <c r="IP11" i="19" s="1"/>
  <c r="II11" i="19"/>
  <c r="IO12" i="19"/>
  <c r="IN12" i="19"/>
  <c r="IL12" i="19"/>
  <c r="IK12" i="19"/>
  <c r="IJ12" i="19"/>
  <c r="II12" i="19"/>
  <c r="IO17" i="19"/>
  <c r="IN17" i="19"/>
  <c r="IL17" i="19"/>
  <c r="IK17" i="19"/>
  <c r="IJ17" i="19"/>
  <c r="II17" i="19"/>
  <c r="IO7" i="19"/>
  <c r="IN7" i="19"/>
  <c r="IL7" i="19"/>
  <c r="IK7" i="19"/>
  <c r="IJ7" i="19"/>
  <c r="IP7" i="19" s="1"/>
  <c r="II7" i="19"/>
  <c r="IO5" i="19"/>
  <c r="IN5" i="19"/>
  <c r="IL5" i="19"/>
  <c r="IK5" i="19"/>
  <c r="IJ5" i="19"/>
  <c r="IP5" i="19" s="1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7" i="19"/>
  <c r="HL27" i="19"/>
  <c r="HJ27" i="19"/>
  <c r="HI27" i="19"/>
  <c r="HH27" i="19"/>
  <c r="HN27" i="19" s="1"/>
  <c r="HG27" i="19"/>
  <c r="HM16" i="19"/>
  <c r="HL16" i="19"/>
  <c r="HJ16" i="19"/>
  <c r="HI16" i="19"/>
  <c r="HH16" i="19"/>
  <c r="HN16" i="19" s="1"/>
  <c r="HG16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N24" i="19" s="1"/>
  <c r="HG24" i="19"/>
  <c r="HM23" i="19"/>
  <c r="HL23" i="19"/>
  <c r="HJ23" i="19"/>
  <c r="HI23" i="19"/>
  <c r="HH23" i="19"/>
  <c r="HN23" i="19" s="1"/>
  <c r="HG23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22" i="19"/>
  <c r="HL22" i="19"/>
  <c r="HJ22" i="19"/>
  <c r="HI22" i="19"/>
  <c r="HH22" i="19"/>
  <c r="HN22" i="19" s="1"/>
  <c r="HG22" i="19"/>
  <c r="HM19" i="19"/>
  <c r="HL19" i="19"/>
  <c r="HJ19" i="19"/>
  <c r="HI19" i="19"/>
  <c r="HH19" i="19"/>
  <c r="HN19" i="19" s="1"/>
  <c r="HG19" i="19"/>
  <c r="HM13" i="19"/>
  <c r="HL13" i="19"/>
  <c r="HJ13" i="19"/>
  <c r="HI13" i="19"/>
  <c r="HH13" i="19"/>
  <c r="HG13" i="19"/>
  <c r="HM9" i="19"/>
  <c r="HL9" i="19"/>
  <c r="HJ9" i="19"/>
  <c r="HI9" i="19"/>
  <c r="HH9" i="19"/>
  <c r="HG9" i="19"/>
  <c r="HM18" i="19"/>
  <c r="HL18" i="19"/>
  <c r="HJ18" i="19"/>
  <c r="HI18" i="19"/>
  <c r="HH18" i="19"/>
  <c r="HN18" i="19" s="1"/>
  <c r="HG18" i="19"/>
  <c r="HM10" i="19"/>
  <c r="HL10" i="19"/>
  <c r="HJ10" i="19"/>
  <c r="HI10" i="19"/>
  <c r="HH10" i="19"/>
  <c r="HN10" i="19" s="1"/>
  <c r="HG10" i="19"/>
  <c r="HM14" i="19"/>
  <c r="HL14" i="19"/>
  <c r="HJ14" i="19"/>
  <c r="HI14" i="19"/>
  <c r="HH14" i="19"/>
  <c r="HG14" i="19"/>
  <c r="HM8" i="19"/>
  <c r="HL8" i="19"/>
  <c r="HJ8" i="19"/>
  <c r="HI8" i="19"/>
  <c r="HH8" i="19"/>
  <c r="HG8" i="19"/>
  <c r="HM15" i="19"/>
  <c r="HL15" i="19"/>
  <c r="HJ15" i="19"/>
  <c r="HI15" i="19"/>
  <c r="HH15" i="19"/>
  <c r="HN15" i="19" s="1"/>
  <c r="HG15" i="19"/>
  <c r="HM11" i="19"/>
  <c r="HL11" i="19"/>
  <c r="HJ11" i="19"/>
  <c r="HI11" i="19"/>
  <c r="HH11" i="19"/>
  <c r="HN11" i="19" s="1"/>
  <c r="HG11" i="19"/>
  <c r="HM12" i="19"/>
  <c r="HL12" i="19"/>
  <c r="HJ12" i="19"/>
  <c r="HI12" i="19"/>
  <c r="HH12" i="19"/>
  <c r="HG12" i="19"/>
  <c r="HM17" i="19"/>
  <c r="HL17" i="19"/>
  <c r="HJ17" i="19"/>
  <c r="HI17" i="19"/>
  <c r="HH17" i="19"/>
  <c r="HG17" i="19"/>
  <c r="HM7" i="19"/>
  <c r="HL7" i="19"/>
  <c r="HJ7" i="19"/>
  <c r="HI7" i="19"/>
  <c r="HH7" i="19"/>
  <c r="HN7" i="19" s="1"/>
  <c r="HG7" i="19"/>
  <c r="HM5" i="19"/>
  <c r="HL5" i="19"/>
  <c r="HJ5" i="19"/>
  <c r="HI5" i="19"/>
  <c r="HH5" i="19"/>
  <c r="HN5" i="19" s="1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27" i="19"/>
  <c r="GJ27" i="19"/>
  <c r="GH27" i="19"/>
  <c r="GG27" i="19"/>
  <c r="GF27" i="19"/>
  <c r="GL27" i="19" s="1"/>
  <c r="GE27" i="19"/>
  <c r="GK16" i="19"/>
  <c r="GJ16" i="19"/>
  <c r="GH16" i="19"/>
  <c r="GG16" i="19"/>
  <c r="GF16" i="19"/>
  <c r="GL16" i="19" s="1"/>
  <c r="GE16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L24" i="19" s="1"/>
  <c r="GE24" i="19"/>
  <c r="GK23" i="19"/>
  <c r="GJ23" i="19"/>
  <c r="GH23" i="19"/>
  <c r="GG23" i="19"/>
  <c r="GF23" i="19"/>
  <c r="GL23" i="19" s="1"/>
  <c r="GE23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22" i="19"/>
  <c r="GJ22" i="19"/>
  <c r="GH22" i="19"/>
  <c r="GG22" i="19"/>
  <c r="GF22" i="19"/>
  <c r="GL22" i="19" s="1"/>
  <c r="GE22" i="19"/>
  <c r="GK19" i="19"/>
  <c r="GJ19" i="19"/>
  <c r="GH19" i="19"/>
  <c r="GG19" i="19"/>
  <c r="GF19" i="19"/>
  <c r="GL19" i="19" s="1"/>
  <c r="GE19" i="19"/>
  <c r="GK13" i="19"/>
  <c r="GJ13" i="19"/>
  <c r="GH13" i="19"/>
  <c r="GG13" i="19"/>
  <c r="GF13" i="19"/>
  <c r="GE13" i="19"/>
  <c r="GK9" i="19"/>
  <c r="GJ9" i="19"/>
  <c r="GH9" i="19"/>
  <c r="GG9" i="19"/>
  <c r="GF9" i="19"/>
  <c r="GE9" i="19"/>
  <c r="GK18" i="19"/>
  <c r="GJ18" i="19"/>
  <c r="GH18" i="19"/>
  <c r="GG18" i="19"/>
  <c r="GF18" i="19"/>
  <c r="GL18" i="19" s="1"/>
  <c r="GE18" i="19"/>
  <c r="GK10" i="19"/>
  <c r="GJ10" i="19"/>
  <c r="GH10" i="19"/>
  <c r="GG10" i="19"/>
  <c r="GF10" i="19"/>
  <c r="GL10" i="19" s="1"/>
  <c r="GE10" i="19"/>
  <c r="GK14" i="19"/>
  <c r="GJ14" i="19"/>
  <c r="GH14" i="19"/>
  <c r="GG14" i="19"/>
  <c r="GF14" i="19"/>
  <c r="GE14" i="19"/>
  <c r="GK8" i="19"/>
  <c r="GJ8" i="19"/>
  <c r="GH8" i="19"/>
  <c r="GG8" i="19"/>
  <c r="GF8" i="19"/>
  <c r="GE8" i="19"/>
  <c r="GK15" i="19"/>
  <c r="GJ15" i="19"/>
  <c r="GH15" i="19"/>
  <c r="GG15" i="19"/>
  <c r="GF15" i="19"/>
  <c r="GL15" i="19" s="1"/>
  <c r="GE15" i="19"/>
  <c r="GK11" i="19"/>
  <c r="GJ11" i="19"/>
  <c r="GH11" i="19"/>
  <c r="GG11" i="19"/>
  <c r="GF11" i="19"/>
  <c r="GL11" i="19" s="1"/>
  <c r="GE11" i="19"/>
  <c r="GK12" i="19"/>
  <c r="GJ12" i="19"/>
  <c r="GH12" i="19"/>
  <c r="GG12" i="19"/>
  <c r="GF12" i="19"/>
  <c r="GE12" i="19"/>
  <c r="GK17" i="19"/>
  <c r="GJ17" i="19"/>
  <c r="GH17" i="19"/>
  <c r="GG17" i="19"/>
  <c r="GF17" i="19"/>
  <c r="GE17" i="19"/>
  <c r="GK7" i="19"/>
  <c r="GJ7" i="19"/>
  <c r="GH7" i="19"/>
  <c r="GG7" i="19"/>
  <c r="GF7" i="19"/>
  <c r="GL7" i="19" s="1"/>
  <c r="GE7" i="19"/>
  <c r="GK5" i="19"/>
  <c r="GJ5" i="19"/>
  <c r="GH5" i="19"/>
  <c r="GG5" i="19"/>
  <c r="GF5" i="19"/>
  <c r="GL5" i="19" s="1"/>
  <c r="GE5" i="19"/>
  <c r="GK6" i="19"/>
  <c r="GJ6" i="19"/>
  <c r="GH6" i="19"/>
  <c r="GG6" i="19"/>
  <c r="GF6" i="19"/>
  <c r="GE6" i="19"/>
  <c r="GK4" i="19"/>
  <c r="GJ4" i="19"/>
  <c r="GH4" i="19"/>
  <c r="GG4" i="19"/>
  <c r="GF4" i="19"/>
  <c r="GE4" i="19"/>
  <c r="FI27" i="19"/>
  <c r="FH27" i="19"/>
  <c r="FF27" i="19"/>
  <c r="FE27" i="19"/>
  <c r="FD27" i="19"/>
  <c r="FJ27" i="19" s="1"/>
  <c r="FC27" i="19"/>
  <c r="FI16" i="19"/>
  <c r="FH16" i="19"/>
  <c r="FF16" i="19"/>
  <c r="FE16" i="19"/>
  <c r="FD16" i="19"/>
  <c r="FJ16" i="19" s="1"/>
  <c r="FC16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J24" i="19" s="1"/>
  <c r="FC24" i="19"/>
  <c r="FI23" i="19"/>
  <c r="FH23" i="19"/>
  <c r="FF23" i="19"/>
  <c r="FE23" i="19"/>
  <c r="FD23" i="19"/>
  <c r="FJ23" i="19" s="1"/>
  <c r="FC23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22" i="19"/>
  <c r="FH22" i="19"/>
  <c r="FF22" i="19"/>
  <c r="FE22" i="19"/>
  <c r="FD22" i="19"/>
  <c r="FJ22" i="19" s="1"/>
  <c r="FC22" i="19"/>
  <c r="FI19" i="19"/>
  <c r="FH19" i="19"/>
  <c r="FF19" i="19"/>
  <c r="FE19" i="19"/>
  <c r="FD19" i="19"/>
  <c r="FJ19" i="19" s="1"/>
  <c r="FC19" i="19"/>
  <c r="FI13" i="19"/>
  <c r="FH13" i="19"/>
  <c r="FF13" i="19"/>
  <c r="FE13" i="19"/>
  <c r="FD13" i="19"/>
  <c r="FC13" i="19"/>
  <c r="FI9" i="19"/>
  <c r="FH9" i="19"/>
  <c r="FF9" i="19"/>
  <c r="FE9" i="19"/>
  <c r="FD9" i="19"/>
  <c r="FC9" i="19"/>
  <c r="FI18" i="19"/>
  <c r="FH18" i="19"/>
  <c r="FF18" i="19"/>
  <c r="FE18" i="19"/>
  <c r="FD18" i="19"/>
  <c r="FJ18" i="19" s="1"/>
  <c r="FC18" i="19"/>
  <c r="FI10" i="19"/>
  <c r="FH10" i="19"/>
  <c r="FF10" i="19"/>
  <c r="FE10" i="19"/>
  <c r="FD10" i="19"/>
  <c r="FJ10" i="19" s="1"/>
  <c r="FC10" i="19"/>
  <c r="FI14" i="19"/>
  <c r="FH14" i="19"/>
  <c r="FF14" i="19"/>
  <c r="FE14" i="19"/>
  <c r="FD14" i="19"/>
  <c r="FC14" i="19"/>
  <c r="FI8" i="19"/>
  <c r="FH8" i="19"/>
  <c r="FF8" i="19"/>
  <c r="FE8" i="19"/>
  <c r="FD8" i="19"/>
  <c r="FC8" i="19"/>
  <c r="FI15" i="19"/>
  <c r="FH15" i="19"/>
  <c r="FF15" i="19"/>
  <c r="FE15" i="19"/>
  <c r="FD15" i="19"/>
  <c r="FJ15" i="19" s="1"/>
  <c r="FC15" i="19"/>
  <c r="FI11" i="19"/>
  <c r="FH11" i="19"/>
  <c r="FF11" i="19"/>
  <c r="FE11" i="19"/>
  <c r="FD11" i="19"/>
  <c r="FJ11" i="19" s="1"/>
  <c r="FC11" i="19"/>
  <c r="FI12" i="19"/>
  <c r="FH12" i="19"/>
  <c r="FF12" i="19"/>
  <c r="FE12" i="19"/>
  <c r="FD12" i="19"/>
  <c r="FC12" i="19"/>
  <c r="FI17" i="19"/>
  <c r="FH17" i="19"/>
  <c r="FF17" i="19"/>
  <c r="FE17" i="19"/>
  <c r="FD17" i="19"/>
  <c r="FC17" i="19"/>
  <c r="FI7" i="19"/>
  <c r="FH7" i="19"/>
  <c r="FF7" i="19"/>
  <c r="FE7" i="19"/>
  <c r="FD7" i="19"/>
  <c r="FJ7" i="19" s="1"/>
  <c r="FC7" i="19"/>
  <c r="FI5" i="19"/>
  <c r="FH5" i="19"/>
  <c r="FF5" i="19"/>
  <c r="FE5" i="19"/>
  <c r="FD5" i="19"/>
  <c r="FJ5" i="19" s="1"/>
  <c r="FC5" i="19"/>
  <c r="FI6" i="19"/>
  <c r="FH6" i="19"/>
  <c r="FF6" i="19"/>
  <c r="FE6" i="19"/>
  <c r="FD6" i="19"/>
  <c r="FC6" i="19"/>
  <c r="FI4" i="19"/>
  <c r="FH4" i="19"/>
  <c r="FF4" i="19"/>
  <c r="FE4" i="19"/>
  <c r="FD4" i="19"/>
  <c r="FC4" i="19"/>
  <c r="EG27" i="19"/>
  <c r="EF27" i="19"/>
  <c r="ED27" i="19"/>
  <c r="EC27" i="19"/>
  <c r="EB27" i="19"/>
  <c r="EH27" i="19" s="1"/>
  <c r="EA27" i="19"/>
  <c r="EG16" i="19"/>
  <c r="EF16" i="19"/>
  <c r="ED16" i="19"/>
  <c r="EC16" i="19"/>
  <c r="EB16" i="19"/>
  <c r="EH16" i="19" s="1"/>
  <c r="EA16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H24" i="19" s="1"/>
  <c r="EA24" i="19"/>
  <c r="EG23" i="19"/>
  <c r="EF23" i="19"/>
  <c r="ED23" i="19"/>
  <c r="EC23" i="19"/>
  <c r="EB23" i="19"/>
  <c r="EH23" i="19" s="1"/>
  <c r="EA23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22" i="19"/>
  <c r="EF22" i="19"/>
  <c r="ED22" i="19"/>
  <c r="EC22" i="19"/>
  <c r="EB22" i="19"/>
  <c r="EH22" i="19" s="1"/>
  <c r="EA22" i="19"/>
  <c r="EG19" i="19"/>
  <c r="EF19" i="19"/>
  <c r="ED19" i="19"/>
  <c r="EC19" i="19"/>
  <c r="EB19" i="19"/>
  <c r="EH19" i="19" s="1"/>
  <c r="EA19" i="19"/>
  <c r="EG13" i="19"/>
  <c r="EF13" i="19"/>
  <c r="ED13" i="19"/>
  <c r="EC13" i="19"/>
  <c r="EB13" i="19"/>
  <c r="EA13" i="19"/>
  <c r="EG9" i="19"/>
  <c r="EF9" i="19"/>
  <c r="ED9" i="19"/>
  <c r="EC9" i="19"/>
  <c r="EB9" i="19"/>
  <c r="EA9" i="19"/>
  <c r="EG18" i="19"/>
  <c r="EF18" i="19"/>
  <c r="ED18" i="19"/>
  <c r="EC18" i="19"/>
  <c r="EB18" i="19"/>
  <c r="EH18" i="19" s="1"/>
  <c r="EA18" i="19"/>
  <c r="EG10" i="19"/>
  <c r="EF10" i="19"/>
  <c r="ED10" i="19"/>
  <c r="EC10" i="19"/>
  <c r="EB10" i="19"/>
  <c r="EH10" i="19" s="1"/>
  <c r="EA10" i="19"/>
  <c r="EG14" i="19"/>
  <c r="EF14" i="19"/>
  <c r="ED14" i="19"/>
  <c r="EC14" i="19"/>
  <c r="EB14" i="19"/>
  <c r="EA14" i="19"/>
  <c r="EG8" i="19"/>
  <c r="EF8" i="19"/>
  <c r="ED8" i="19"/>
  <c r="EC8" i="19"/>
  <c r="EB8" i="19"/>
  <c r="EA8" i="19"/>
  <c r="EG15" i="19"/>
  <c r="EF15" i="19"/>
  <c r="ED15" i="19"/>
  <c r="EC15" i="19"/>
  <c r="EB15" i="19"/>
  <c r="EH15" i="19" s="1"/>
  <c r="EA15" i="19"/>
  <c r="EG11" i="19"/>
  <c r="EF11" i="19"/>
  <c r="ED11" i="19"/>
  <c r="EC11" i="19"/>
  <c r="EB11" i="19"/>
  <c r="EH11" i="19" s="1"/>
  <c r="EA11" i="19"/>
  <c r="EG12" i="19"/>
  <c r="EF12" i="19"/>
  <c r="ED12" i="19"/>
  <c r="EC12" i="19"/>
  <c r="EB12" i="19"/>
  <c r="EA12" i="19"/>
  <c r="EG17" i="19"/>
  <c r="EF17" i="19"/>
  <c r="ED17" i="19"/>
  <c r="EC17" i="19"/>
  <c r="EB17" i="19"/>
  <c r="EA17" i="19"/>
  <c r="EG7" i="19"/>
  <c r="EF7" i="19"/>
  <c r="ED7" i="19"/>
  <c r="EC7" i="19"/>
  <c r="EB7" i="19"/>
  <c r="EH7" i="19" s="1"/>
  <c r="EA7" i="19"/>
  <c r="EG5" i="19"/>
  <c r="EF5" i="19"/>
  <c r="ED5" i="19"/>
  <c r="EC5" i="19"/>
  <c r="EB5" i="19"/>
  <c r="EH5" i="19" s="1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2" i="27"/>
  <c r="OZ12" i="27"/>
  <c r="OX12" i="27"/>
  <c r="OW12" i="27"/>
  <c r="OV12" i="27"/>
  <c r="PB12" i="27" s="1"/>
  <c r="OU12" i="27"/>
  <c r="PA13" i="27"/>
  <c r="OZ13" i="27"/>
  <c r="OX13" i="27"/>
  <c r="OW13" i="27"/>
  <c r="OV13" i="27"/>
  <c r="PB13" i="27" s="1"/>
  <c r="OU13" i="27"/>
  <c r="PA10" i="27"/>
  <c r="OZ10" i="27"/>
  <c r="OX10" i="27"/>
  <c r="OW10" i="27"/>
  <c r="OV10" i="27"/>
  <c r="PB10" i="27" s="1"/>
  <c r="OU10" i="27"/>
  <c r="PA9" i="27"/>
  <c r="OZ9" i="27"/>
  <c r="OX9" i="27"/>
  <c r="OW9" i="27"/>
  <c r="OV9" i="27"/>
  <c r="OU9" i="27"/>
  <c r="PA8" i="27"/>
  <c r="OZ8" i="27"/>
  <c r="OX8" i="27"/>
  <c r="OW8" i="27"/>
  <c r="OV8" i="27"/>
  <c r="PB8" i="27" s="1"/>
  <c r="OU8" i="27"/>
  <c r="PA7" i="27"/>
  <c r="OZ7" i="27"/>
  <c r="OX7" i="27"/>
  <c r="OW7" i="27"/>
  <c r="OV7" i="27"/>
  <c r="PB7" i="27" s="1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PB4" i="27" s="1"/>
  <c r="OU4" i="27"/>
  <c r="NY12" i="27"/>
  <c r="NX12" i="27"/>
  <c r="NV12" i="27"/>
  <c r="NU12" i="27"/>
  <c r="NT12" i="27"/>
  <c r="NZ12" i="27" s="1"/>
  <c r="NS12" i="27"/>
  <c r="NY13" i="27"/>
  <c r="NX13" i="27"/>
  <c r="NV13" i="27"/>
  <c r="NU13" i="27"/>
  <c r="NT13" i="27"/>
  <c r="NZ13" i="27" s="1"/>
  <c r="NS13" i="27"/>
  <c r="NY10" i="27"/>
  <c r="NX10" i="27"/>
  <c r="NV10" i="27"/>
  <c r="NU10" i="27"/>
  <c r="NT10" i="27"/>
  <c r="NS10" i="27"/>
  <c r="NY9" i="27"/>
  <c r="NX9" i="27"/>
  <c r="NV9" i="27"/>
  <c r="NU9" i="27"/>
  <c r="NT9" i="27"/>
  <c r="NZ9" i="27" s="1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Z5" i="27" s="1"/>
  <c r="NS5" i="27"/>
  <c r="NY4" i="27"/>
  <c r="NX4" i="27"/>
  <c r="NV4" i="27"/>
  <c r="NU4" i="27"/>
  <c r="NT4" i="27"/>
  <c r="NZ4" i="27" s="1"/>
  <c r="NS4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10" i="27"/>
  <c r="MV10" i="27"/>
  <c r="MT10" i="27"/>
  <c r="MS10" i="27"/>
  <c r="MR10" i="27"/>
  <c r="MX10" i="27" s="1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X6" i="27" s="1"/>
  <c r="MQ6" i="27"/>
  <c r="MW5" i="27"/>
  <c r="MV5" i="27"/>
  <c r="MT5" i="27"/>
  <c r="MS5" i="27"/>
  <c r="MR5" i="27"/>
  <c r="MX5" i="27" s="1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3" i="27"/>
  <c r="LT13" i="27"/>
  <c r="LR13" i="27"/>
  <c r="LQ13" i="27"/>
  <c r="LP13" i="27"/>
  <c r="LV13" i="27" s="1"/>
  <c r="LO13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V7" i="27" s="1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T12" i="27" s="1"/>
  <c r="KM12" i="27"/>
  <c r="KS13" i="27"/>
  <c r="KR13" i="27"/>
  <c r="KP13" i="27"/>
  <c r="KO13" i="27"/>
  <c r="KN13" i="27"/>
  <c r="KT13" i="27" s="1"/>
  <c r="KM13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T8" i="27" s="1"/>
  <c r="KM8" i="27"/>
  <c r="KS7" i="27"/>
  <c r="KR7" i="27"/>
  <c r="KP7" i="27"/>
  <c r="KO7" i="27"/>
  <c r="KN7" i="27"/>
  <c r="KT7" i="27" s="1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T4" i="27" s="1"/>
  <c r="KM4" i="27"/>
  <c r="JQ12" i="27"/>
  <c r="JP12" i="27"/>
  <c r="JN12" i="27"/>
  <c r="JM12" i="27"/>
  <c r="JL12" i="27"/>
  <c r="JR12" i="27" s="1"/>
  <c r="JK12" i="27"/>
  <c r="JQ13" i="27"/>
  <c r="JP13" i="27"/>
  <c r="JN13" i="27"/>
  <c r="JM13" i="27"/>
  <c r="JL13" i="27"/>
  <c r="JK13" i="27"/>
  <c r="JQ10" i="27"/>
  <c r="JP10" i="27"/>
  <c r="JN10" i="27"/>
  <c r="JM10" i="27"/>
  <c r="JL10" i="27"/>
  <c r="JK10" i="27"/>
  <c r="JQ9" i="27"/>
  <c r="JP9" i="27"/>
  <c r="JN9" i="27"/>
  <c r="JM9" i="27"/>
  <c r="JL9" i="27"/>
  <c r="JR9" i="27" s="1"/>
  <c r="JK9" i="27"/>
  <c r="JQ8" i="27"/>
  <c r="JP8" i="27"/>
  <c r="JN8" i="27"/>
  <c r="JM8" i="27"/>
  <c r="JL8" i="27"/>
  <c r="JR8" i="27" s="1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R5" i="27" s="1"/>
  <c r="JK5" i="27"/>
  <c r="JQ4" i="27"/>
  <c r="JP4" i="27"/>
  <c r="JN4" i="27"/>
  <c r="JM4" i="27"/>
  <c r="JL4" i="27"/>
  <c r="JR4" i="27" s="1"/>
  <c r="JK4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10" i="27"/>
  <c r="IN10" i="27"/>
  <c r="IL10" i="27"/>
  <c r="IK10" i="27"/>
  <c r="IJ10" i="27"/>
  <c r="IP10" i="27" s="1"/>
  <c r="II10" i="27"/>
  <c r="IO9" i="27"/>
  <c r="IN9" i="27"/>
  <c r="IL9" i="27"/>
  <c r="IK9" i="27"/>
  <c r="IJ9" i="27"/>
  <c r="IP9" i="27" s="1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P5" i="27" s="1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10" i="27"/>
  <c r="HL10" i="27"/>
  <c r="HJ10" i="27"/>
  <c r="HI10" i="27"/>
  <c r="HH10" i="27"/>
  <c r="HN10" i="27" s="1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N6" i="27" s="1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3" i="27"/>
  <c r="GJ13" i="27"/>
  <c r="GH13" i="27"/>
  <c r="GG13" i="27"/>
  <c r="GF13" i="27"/>
  <c r="GL13" i="27" s="1"/>
  <c r="GE13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L8" i="27" s="1"/>
  <c r="GE8" i="27"/>
  <c r="GK7" i="27"/>
  <c r="GJ7" i="27"/>
  <c r="GH7" i="27"/>
  <c r="GG7" i="27"/>
  <c r="GF7" i="27"/>
  <c r="GL7" i="27" s="1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L4" i="27" s="1"/>
  <c r="GE4" i="27"/>
  <c r="FI12" i="27"/>
  <c r="FH12" i="27"/>
  <c r="FF12" i="27"/>
  <c r="FE12" i="27"/>
  <c r="FD12" i="27"/>
  <c r="FJ12" i="27" s="1"/>
  <c r="FC12" i="27"/>
  <c r="FI13" i="27"/>
  <c r="FH13" i="27"/>
  <c r="FF13" i="27"/>
  <c r="FE13" i="27"/>
  <c r="FD13" i="27"/>
  <c r="FJ13" i="27" s="1"/>
  <c r="FC13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J8" i="27" s="1"/>
  <c r="FC8" i="27"/>
  <c r="FI7" i="27"/>
  <c r="FH7" i="27"/>
  <c r="FF7" i="27"/>
  <c r="FE7" i="27"/>
  <c r="FD7" i="27"/>
  <c r="FJ7" i="27" s="1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J4" i="27" s="1"/>
  <c r="FC4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10" i="27"/>
  <c r="EF10" i="27"/>
  <c r="ED10" i="27"/>
  <c r="EC10" i="27"/>
  <c r="EB10" i="27"/>
  <c r="EA10" i="27"/>
  <c r="EG9" i="27"/>
  <c r="EF9" i="27"/>
  <c r="ED9" i="27"/>
  <c r="EC9" i="27"/>
  <c r="EB9" i="27"/>
  <c r="EH9" i="27" s="1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H5" i="27" s="1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10" i="26"/>
  <c r="OZ10" i="26"/>
  <c r="OX10" i="26"/>
  <c r="OW10" i="26"/>
  <c r="OV10" i="26"/>
  <c r="OU10" i="26"/>
  <c r="PA5" i="26"/>
  <c r="OZ5" i="26"/>
  <c r="OX5" i="26"/>
  <c r="OW5" i="26"/>
  <c r="OV5" i="26"/>
  <c r="PB5" i="26" s="1"/>
  <c r="OU5" i="26"/>
  <c r="PA4" i="26"/>
  <c r="OZ4" i="26"/>
  <c r="OX4" i="26"/>
  <c r="OW4" i="26"/>
  <c r="OV4" i="26"/>
  <c r="PB4" i="26" s="1"/>
  <c r="OU4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7" i="26"/>
  <c r="NX7" i="26"/>
  <c r="NV7" i="26"/>
  <c r="NU7" i="26"/>
  <c r="NT7" i="26"/>
  <c r="NZ7" i="26" s="1"/>
  <c r="NS7" i="26"/>
  <c r="NY6" i="26"/>
  <c r="NX6" i="26"/>
  <c r="NV6" i="26"/>
  <c r="NU6" i="26"/>
  <c r="NT6" i="26"/>
  <c r="NZ6" i="26" s="1"/>
  <c r="NS6" i="26"/>
  <c r="NY10" i="26"/>
  <c r="NX10" i="26"/>
  <c r="NV10" i="26"/>
  <c r="NU10" i="26"/>
  <c r="NT10" i="26"/>
  <c r="NS10" i="26"/>
  <c r="NY5" i="26"/>
  <c r="NX5" i="26"/>
  <c r="NV5" i="26"/>
  <c r="NU5" i="26"/>
  <c r="NT5" i="26"/>
  <c r="NS5" i="26"/>
  <c r="NY4" i="26"/>
  <c r="NX4" i="26"/>
  <c r="NV4" i="26"/>
  <c r="NU4" i="26"/>
  <c r="NT4" i="26"/>
  <c r="NZ4" i="26" s="1"/>
  <c r="NS4" i="26"/>
  <c r="MW11" i="26"/>
  <c r="MV11" i="26"/>
  <c r="MT11" i="26"/>
  <c r="MS11" i="26"/>
  <c r="MR11" i="26"/>
  <c r="MX11" i="26" s="1"/>
  <c r="MQ11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X6" i="26" s="1"/>
  <c r="MQ6" i="26"/>
  <c r="MW10" i="26"/>
  <c r="MV10" i="26"/>
  <c r="MT10" i="26"/>
  <c r="MS10" i="26"/>
  <c r="MR10" i="26"/>
  <c r="MX10" i="26" s="1"/>
  <c r="MQ10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V11" i="26" s="1"/>
  <c r="LO11" i="26"/>
  <c r="LU8" i="26"/>
  <c r="LT8" i="26"/>
  <c r="LR8" i="26"/>
  <c r="LQ8" i="26"/>
  <c r="LP8" i="26"/>
  <c r="LV8" i="26" s="1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10" i="26"/>
  <c r="LT10" i="26"/>
  <c r="LR10" i="26"/>
  <c r="LQ10" i="26"/>
  <c r="LP10" i="26"/>
  <c r="LV10" i="26" s="1"/>
  <c r="LO10" i="26"/>
  <c r="LU5" i="26"/>
  <c r="LT5" i="26"/>
  <c r="LR5" i="26"/>
  <c r="LQ5" i="26"/>
  <c r="LP5" i="26"/>
  <c r="LV5" i="26" s="1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8" i="26"/>
  <c r="KR8" i="26"/>
  <c r="KP8" i="26"/>
  <c r="KO8" i="26"/>
  <c r="KN8" i="26"/>
  <c r="KT8" i="26" s="1"/>
  <c r="KM8" i="26"/>
  <c r="KS7" i="26"/>
  <c r="KR7" i="26"/>
  <c r="KP7" i="26"/>
  <c r="KO7" i="26"/>
  <c r="KN7" i="26"/>
  <c r="KT7" i="26" s="1"/>
  <c r="KM7" i="26"/>
  <c r="KS6" i="26"/>
  <c r="KR6" i="26"/>
  <c r="KP6" i="26"/>
  <c r="KO6" i="26"/>
  <c r="KN6" i="26"/>
  <c r="KM6" i="26"/>
  <c r="KS10" i="26"/>
  <c r="KR10" i="26"/>
  <c r="KP10" i="26"/>
  <c r="KO10" i="26"/>
  <c r="KN10" i="26"/>
  <c r="KM10" i="26"/>
  <c r="KS5" i="26"/>
  <c r="KR5" i="26"/>
  <c r="KP5" i="26"/>
  <c r="KO5" i="26"/>
  <c r="KN5" i="26"/>
  <c r="KT5" i="26" s="1"/>
  <c r="KM5" i="26"/>
  <c r="KS4" i="26"/>
  <c r="KR4" i="26"/>
  <c r="KP4" i="26"/>
  <c r="KO4" i="26"/>
  <c r="KN4" i="26"/>
  <c r="KT4" i="26" s="1"/>
  <c r="KM4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7" i="26"/>
  <c r="JP7" i="26"/>
  <c r="JN7" i="26"/>
  <c r="JM7" i="26"/>
  <c r="JL7" i="26"/>
  <c r="JR7" i="26" s="1"/>
  <c r="JK7" i="26"/>
  <c r="JQ6" i="26"/>
  <c r="JP6" i="26"/>
  <c r="JN6" i="26"/>
  <c r="JM6" i="26"/>
  <c r="JL6" i="26"/>
  <c r="JR6" i="26" s="1"/>
  <c r="JK6" i="26"/>
  <c r="JQ10" i="26"/>
  <c r="JP10" i="26"/>
  <c r="JN10" i="26"/>
  <c r="JM10" i="26"/>
  <c r="JL10" i="26"/>
  <c r="JK10" i="26"/>
  <c r="JQ5" i="26"/>
  <c r="JP5" i="26"/>
  <c r="JN5" i="26"/>
  <c r="JM5" i="26"/>
  <c r="JL5" i="26"/>
  <c r="JK5" i="26"/>
  <c r="JQ4" i="26"/>
  <c r="JP4" i="26"/>
  <c r="JN4" i="26"/>
  <c r="JM4" i="26"/>
  <c r="JL4" i="26"/>
  <c r="JR4" i="26" s="1"/>
  <c r="JK4" i="26"/>
  <c r="IO11" i="26"/>
  <c r="IN11" i="26"/>
  <c r="IL11" i="26"/>
  <c r="IK11" i="26"/>
  <c r="IJ11" i="26"/>
  <c r="IP11" i="26" s="1"/>
  <c r="II11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P6" i="26" s="1"/>
  <c r="II6" i="26"/>
  <c r="IO10" i="26"/>
  <c r="IN10" i="26"/>
  <c r="IL10" i="26"/>
  <c r="IK10" i="26"/>
  <c r="IJ10" i="26"/>
  <c r="IP10" i="26" s="1"/>
  <c r="II10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N11" i="26" s="1"/>
  <c r="HG11" i="26"/>
  <c r="HM8" i="26"/>
  <c r="HL8" i="26"/>
  <c r="HJ8" i="26"/>
  <c r="HI8" i="26"/>
  <c r="HH8" i="26"/>
  <c r="HN8" i="26" s="1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10" i="26"/>
  <c r="HL10" i="26"/>
  <c r="HJ10" i="26"/>
  <c r="HI10" i="26"/>
  <c r="HH10" i="26"/>
  <c r="HN10" i="26" s="1"/>
  <c r="HG10" i="26"/>
  <c r="HM5" i="26"/>
  <c r="HL5" i="26"/>
  <c r="HJ5" i="26"/>
  <c r="HI5" i="26"/>
  <c r="HH5" i="26"/>
  <c r="HN5" i="26" s="1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8" i="26"/>
  <c r="GJ8" i="26"/>
  <c r="GH8" i="26"/>
  <c r="GG8" i="26"/>
  <c r="GF8" i="26"/>
  <c r="GL8" i="26" s="1"/>
  <c r="GE8" i="26"/>
  <c r="GK7" i="26"/>
  <c r="GJ7" i="26"/>
  <c r="GH7" i="26"/>
  <c r="GG7" i="26"/>
  <c r="GF7" i="26"/>
  <c r="GL7" i="26" s="1"/>
  <c r="GE7" i="26"/>
  <c r="GK6" i="26"/>
  <c r="GJ6" i="26"/>
  <c r="GH6" i="26"/>
  <c r="GG6" i="26"/>
  <c r="GF6" i="26"/>
  <c r="GE6" i="26"/>
  <c r="GK10" i="26"/>
  <c r="GJ10" i="26"/>
  <c r="GH10" i="26"/>
  <c r="GG10" i="26"/>
  <c r="GF10" i="26"/>
  <c r="GE10" i="26"/>
  <c r="GK5" i="26"/>
  <c r="GJ5" i="26"/>
  <c r="GH5" i="26"/>
  <c r="GG5" i="26"/>
  <c r="GF5" i="26"/>
  <c r="GL5" i="26" s="1"/>
  <c r="GE5" i="26"/>
  <c r="GK4" i="26"/>
  <c r="GJ4" i="26"/>
  <c r="GH4" i="26"/>
  <c r="GG4" i="26"/>
  <c r="GF4" i="26"/>
  <c r="GL4" i="26" s="1"/>
  <c r="GE4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J6" i="26" s="1"/>
  <c r="FC6" i="26"/>
  <c r="FI10" i="26"/>
  <c r="FH10" i="26"/>
  <c r="FF10" i="26"/>
  <c r="FE10" i="26"/>
  <c r="FD10" i="26"/>
  <c r="FC10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11" i="26"/>
  <c r="EF11" i="26"/>
  <c r="ED11" i="26"/>
  <c r="EC11" i="26"/>
  <c r="EB11" i="26"/>
  <c r="EH11" i="26" s="1"/>
  <c r="EA11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H6" i="26" s="1"/>
  <c r="EA6" i="26"/>
  <c r="EG10" i="26"/>
  <c r="EF10" i="26"/>
  <c r="ED10" i="26"/>
  <c r="EC10" i="26"/>
  <c r="EB10" i="26"/>
  <c r="EH10" i="26" s="1"/>
  <c r="EA10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AW8" i="21" l="1"/>
  <c r="AW11" i="21"/>
  <c r="AW15" i="21"/>
  <c r="AW18" i="21"/>
  <c r="BZ7" i="21"/>
  <c r="BZ10" i="21"/>
  <c r="BZ13" i="21"/>
  <c r="AW17" i="21"/>
  <c r="BZ8" i="21"/>
  <c r="BZ11" i="21"/>
  <c r="BZ15" i="21"/>
  <c r="BZ18" i="21"/>
  <c r="DC13" i="21"/>
  <c r="DC15" i="21"/>
  <c r="EH6" i="21"/>
  <c r="EH5" i="21"/>
  <c r="EH17" i="21"/>
  <c r="FJ15" i="21"/>
  <c r="FJ18" i="21"/>
  <c r="GL7" i="21"/>
  <c r="GL10" i="21"/>
  <c r="GL13" i="21"/>
  <c r="HN4" i="21"/>
  <c r="HN9" i="21"/>
  <c r="HN12" i="21"/>
  <c r="HN16" i="21"/>
  <c r="IP6" i="21"/>
  <c r="IP5" i="21"/>
  <c r="IP14" i="21"/>
  <c r="IP17" i="21"/>
  <c r="JR8" i="21"/>
  <c r="JR11" i="21"/>
  <c r="JR15" i="21"/>
  <c r="JR18" i="21"/>
  <c r="KT7" i="21"/>
  <c r="KT10" i="21"/>
  <c r="KT13" i="21"/>
  <c r="LV4" i="21"/>
  <c r="LV9" i="21"/>
  <c r="LV12" i="21"/>
  <c r="LV16" i="21"/>
  <c r="MX6" i="21"/>
  <c r="MX5" i="21"/>
  <c r="MX14" i="21"/>
  <c r="MX17" i="21"/>
  <c r="NZ8" i="21"/>
  <c r="NZ11" i="21"/>
  <c r="NZ15" i="21"/>
  <c r="NZ18" i="21"/>
  <c r="PB7" i="21"/>
  <c r="PB10" i="21"/>
  <c r="PB13" i="21"/>
  <c r="EH14" i="21"/>
  <c r="FJ8" i="21"/>
  <c r="QD13" i="21"/>
  <c r="QD15" i="21"/>
  <c r="AW4" i="21"/>
  <c r="AW9" i="21"/>
  <c r="AW12" i="21"/>
  <c r="AW16" i="21"/>
  <c r="BZ6" i="21"/>
  <c r="BZ5" i="21"/>
  <c r="BZ14" i="21"/>
  <c r="BZ17" i="21"/>
  <c r="FJ11" i="21"/>
  <c r="EH4" i="21"/>
  <c r="EH9" i="21"/>
  <c r="EH12" i="21"/>
  <c r="EH16" i="21"/>
  <c r="FJ6" i="21"/>
  <c r="FJ5" i="21"/>
  <c r="FJ14" i="21"/>
  <c r="FJ17" i="21"/>
  <c r="GL8" i="21"/>
  <c r="GL11" i="21"/>
  <c r="GL15" i="21"/>
  <c r="GL18" i="21"/>
  <c r="HN7" i="21"/>
  <c r="HN10" i="21"/>
  <c r="HN13" i="21"/>
  <c r="IP4" i="21"/>
  <c r="IP9" i="21"/>
  <c r="IP12" i="21"/>
  <c r="IP16" i="21"/>
  <c r="JR6" i="21"/>
  <c r="JR5" i="21"/>
  <c r="JR14" i="21"/>
  <c r="JR17" i="21"/>
  <c r="KT8" i="21"/>
  <c r="KT11" i="21"/>
  <c r="KT15" i="21"/>
  <c r="KT18" i="21"/>
  <c r="LV7" i="21"/>
  <c r="LV10" i="21"/>
  <c r="LV13" i="21"/>
  <c r="MX4" i="21"/>
  <c r="MX9" i="21"/>
  <c r="MX12" i="21"/>
  <c r="MX16" i="21"/>
  <c r="NZ6" i="21"/>
  <c r="NZ5" i="21"/>
  <c r="NZ14" i="21"/>
  <c r="NZ17" i="21"/>
  <c r="PB8" i="21"/>
  <c r="PB11" i="21"/>
  <c r="PB15" i="21"/>
  <c r="PB18" i="21"/>
  <c r="AW7" i="21"/>
  <c r="AW10" i="21"/>
  <c r="AW13" i="21"/>
  <c r="BZ4" i="21"/>
  <c r="BZ9" i="21"/>
  <c r="BZ12" i="21"/>
  <c r="BZ16" i="21"/>
  <c r="NZ18" i="19"/>
  <c r="NZ22" i="19"/>
  <c r="NZ24" i="19"/>
  <c r="NZ27" i="19"/>
  <c r="PB7" i="19"/>
  <c r="PB15" i="19"/>
  <c r="PB18" i="19"/>
  <c r="PB22" i="19"/>
  <c r="PB24" i="19"/>
  <c r="PB27" i="19"/>
  <c r="AW12" i="19"/>
  <c r="AW14" i="19"/>
  <c r="AW13" i="19"/>
  <c r="AW21" i="19"/>
  <c r="BZ6" i="19"/>
  <c r="BZ12" i="19"/>
  <c r="BZ14" i="19"/>
  <c r="BZ13" i="19"/>
  <c r="BZ21" i="19"/>
  <c r="BZ26" i="19"/>
  <c r="NZ5" i="19"/>
  <c r="NZ11" i="19"/>
  <c r="NZ10" i="19"/>
  <c r="NZ19" i="19"/>
  <c r="NZ23" i="19"/>
  <c r="NZ16" i="19"/>
  <c r="PB5" i="19"/>
  <c r="PB11" i="19"/>
  <c r="PB10" i="19"/>
  <c r="PB19" i="19"/>
  <c r="PB23" i="19"/>
  <c r="PB16" i="19"/>
  <c r="AT23" i="19"/>
  <c r="AW23" i="19"/>
  <c r="DC13" i="19"/>
  <c r="AT6" i="19"/>
  <c r="AW6" i="19"/>
  <c r="AT26" i="19"/>
  <c r="AW26" i="19"/>
  <c r="EH6" i="19"/>
  <c r="EH21" i="19"/>
  <c r="FJ6" i="19"/>
  <c r="FJ21" i="19"/>
  <c r="GL13" i="19"/>
  <c r="GL26" i="19"/>
  <c r="HN6" i="19"/>
  <c r="HN12" i="19"/>
  <c r="HN14" i="19"/>
  <c r="HN13" i="19"/>
  <c r="HN21" i="19"/>
  <c r="HN26" i="19"/>
  <c r="IP6" i="19"/>
  <c r="IP12" i="19"/>
  <c r="IP14" i="19"/>
  <c r="IP13" i="19"/>
  <c r="IP21" i="19"/>
  <c r="IP26" i="19"/>
  <c r="JR6" i="19"/>
  <c r="JR12" i="19"/>
  <c r="JR14" i="19"/>
  <c r="JR13" i="19"/>
  <c r="JR21" i="19"/>
  <c r="JR26" i="19"/>
  <c r="KT6" i="19"/>
  <c r="KT12" i="19"/>
  <c r="KT14" i="19"/>
  <c r="KT13" i="19"/>
  <c r="KT21" i="19"/>
  <c r="KT26" i="19"/>
  <c r="LV6" i="19"/>
  <c r="LV12" i="19"/>
  <c r="LV14" i="19"/>
  <c r="LV13" i="19"/>
  <c r="LV21" i="19"/>
  <c r="LV26" i="19"/>
  <c r="MX6" i="19"/>
  <c r="MX12" i="19"/>
  <c r="MX14" i="19"/>
  <c r="MX13" i="19"/>
  <c r="MX21" i="19"/>
  <c r="MX26" i="19"/>
  <c r="NZ6" i="19"/>
  <c r="NZ12" i="19"/>
  <c r="NZ14" i="19"/>
  <c r="NZ13" i="19"/>
  <c r="NZ21" i="19"/>
  <c r="NZ26" i="19"/>
  <c r="PB6" i="19"/>
  <c r="PB12" i="19"/>
  <c r="PB14" i="19"/>
  <c r="PB13" i="19"/>
  <c r="PB21" i="19"/>
  <c r="PB26" i="19"/>
  <c r="EH13" i="19"/>
  <c r="EH26" i="19"/>
  <c r="FJ13" i="19"/>
  <c r="FJ26" i="19"/>
  <c r="GL21" i="19"/>
  <c r="AT4" i="19"/>
  <c r="AW4" i="19"/>
  <c r="AW17" i="19"/>
  <c r="AW8" i="19"/>
  <c r="AT18" i="19"/>
  <c r="AW18" i="19"/>
  <c r="AW20" i="19"/>
  <c r="AT25" i="19"/>
  <c r="AW25" i="19"/>
  <c r="BZ4" i="19"/>
  <c r="BZ17" i="19"/>
  <c r="BZ8" i="19"/>
  <c r="BZ18" i="19"/>
  <c r="BZ20" i="19"/>
  <c r="BZ25" i="19"/>
  <c r="EH12" i="19"/>
  <c r="FJ14" i="19"/>
  <c r="GL12" i="19"/>
  <c r="EH4" i="19"/>
  <c r="EH17" i="19"/>
  <c r="EH8" i="19"/>
  <c r="EH9" i="19"/>
  <c r="EH20" i="19"/>
  <c r="EH25" i="19"/>
  <c r="FJ17" i="19"/>
  <c r="FJ9" i="19"/>
  <c r="GL4" i="19"/>
  <c r="GL17" i="19"/>
  <c r="GL8" i="19"/>
  <c r="GL9" i="19"/>
  <c r="GL20" i="19"/>
  <c r="GL25" i="19"/>
  <c r="HN4" i="19"/>
  <c r="HN17" i="19"/>
  <c r="HN8" i="19"/>
  <c r="HN9" i="19"/>
  <c r="HN20" i="19"/>
  <c r="HN25" i="19"/>
  <c r="IP4" i="19"/>
  <c r="IP17" i="19"/>
  <c r="IP8" i="19"/>
  <c r="IP9" i="19"/>
  <c r="IP20" i="19"/>
  <c r="IP25" i="19"/>
  <c r="JR4" i="19"/>
  <c r="JR17" i="19"/>
  <c r="JR8" i="19"/>
  <c r="JR9" i="19"/>
  <c r="JR20" i="19"/>
  <c r="JR25" i="19"/>
  <c r="KT4" i="19"/>
  <c r="KT17" i="19"/>
  <c r="KT8" i="19"/>
  <c r="KT9" i="19"/>
  <c r="KT20" i="19"/>
  <c r="KT25" i="19"/>
  <c r="LV4" i="19"/>
  <c r="LV17" i="19"/>
  <c r="LV8" i="19"/>
  <c r="LV9" i="19"/>
  <c r="LV20" i="19"/>
  <c r="LV25" i="19"/>
  <c r="MX4" i="19"/>
  <c r="MX17" i="19"/>
  <c r="MX8" i="19"/>
  <c r="MX9" i="19"/>
  <c r="MX20" i="19"/>
  <c r="MX25" i="19"/>
  <c r="NZ4" i="19"/>
  <c r="NZ17" i="19"/>
  <c r="NZ8" i="19"/>
  <c r="NZ9" i="19"/>
  <c r="NZ20" i="19"/>
  <c r="NZ25" i="19"/>
  <c r="PB4" i="19"/>
  <c r="PB17" i="19"/>
  <c r="PB8" i="19"/>
  <c r="PB9" i="19"/>
  <c r="PB20" i="19"/>
  <c r="PB25" i="19"/>
  <c r="EH14" i="19"/>
  <c r="FJ12" i="19"/>
  <c r="GL6" i="19"/>
  <c r="GL14" i="19"/>
  <c r="QD13" i="19"/>
  <c r="FJ4" i="19"/>
  <c r="FJ8" i="19"/>
  <c r="FJ20" i="19"/>
  <c r="FJ25" i="19"/>
  <c r="AW7" i="19"/>
  <c r="AW15" i="19"/>
  <c r="AW9" i="19"/>
  <c r="AW22" i="19"/>
  <c r="AW24" i="19"/>
  <c r="AW27" i="19"/>
  <c r="BZ7" i="19"/>
  <c r="BZ15" i="19"/>
  <c r="BZ9" i="19"/>
  <c r="BZ22" i="19"/>
  <c r="BZ24" i="19"/>
  <c r="BZ27" i="19"/>
  <c r="GL6" i="27"/>
  <c r="GL10" i="27"/>
  <c r="HN5" i="27"/>
  <c r="HN9" i="27"/>
  <c r="IP4" i="27"/>
  <c r="IP8" i="27"/>
  <c r="IP12" i="27"/>
  <c r="JR7" i="27"/>
  <c r="JR13" i="27"/>
  <c r="KT6" i="27"/>
  <c r="KT10" i="27"/>
  <c r="LV5" i="27"/>
  <c r="LV9" i="27"/>
  <c r="MX4" i="27"/>
  <c r="MX8" i="27"/>
  <c r="NZ7" i="27"/>
  <c r="PB6" i="27"/>
  <c r="EH8" i="27"/>
  <c r="EH12" i="27"/>
  <c r="PB9" i="27"/>
  <c r="EH4" i="27"/>
  <c r="AW5" i="27"/>
  <c r="AW9" i="27"/>
  <c r="BZ4" i="27"/>
  <c r="BZ8" i="27"/>
  <c r="BZ12" i="27"/>
  <c r="EH10" i="27"/>
  <c r="GL12" i="27"/>
  <c r="HN7" i="27"/>
  <c r="HN13" i="27"/>
  <c r="IP6" i="27"/>
  <c r="EH6" i="27"/>
  <c r="FJ5" i="27"/>
  <c r="FJ9" i="27"/>
  <c r="BZ13" i="27"/>
  <c r="MX12" i="27"/>
  <c r="EH13" i="27"/>
  <c r="FJ6" i="27"/>
  <c r="FJ10" i="27"/>
  <c r="GL9" i="27"/>
  <c r="HN4" i="27"/>
  <c r="HN8" i="27"/>
  <c r="HN12" i="27"/>
  <c r="IP7" i="27"/>
  <c r="IP13" i="27"/>
  <c r="JR6" i="27"/>
  <c r="JR10" i="27"/>
  <c r="KT5" i="27"/>
  <c r="KT9" i="27"/>
  <c r="LV4" i="27"/>
  <c r="LV8" i="27"/>
  <c r="LV12" i="27"/>
  <c r="MX7" i="27"/>
  <c r="MX13" i="27"/>
  <c r="NZ6" i="27"/>
  <c r="NZ10" i="27"/>
  <c r="PB5" i="27"/>
  <c r="EH7" i="27"/>
  <c r="GL5" i="27"/>
  <c r="EH8" i="26"/>
  <c r="HN4" i="26"/>
  <c r="JR10" i="26"/>
  <c r="JR11" i="26"/>
  <c r="KT6" i="26"/>
  <c r="LV4" i="26"/>
  <c r="LV7" i="26"/>
  <c r="MX5" i="26"/>
  <c r="MX8" i="26"/>
  <c r="NZ10" i="26"/>
  <c r="NZ11" i="26"/>
  <c r="PB6" i="26"/>
  <c r="EH5" i="26"/>
  <c r="FJ11" i="26"/>
  <c r="HN7" i="26"/>
  <c r="IP5" i="26"/>
  <c r="IP8" i="26"/>
  <c r="AW4" i="26"/>
  <c r="AW6" i="26"/>
  <c r="BZ5" i="26"/>
  <c r="BZ7" i="26"/>
  <c r="FJ10" i="26"/>
  <c r="GL6" i="26"/>
  <c r="EH7" i="26"/>
  <c r="FJ8" i="26"/>
  <c r="GL10" i="26"/>
  <c r="GL11" i="26"/>
  <c r="HN6" i="26"/>
  <c r="IP4" i="26"/>
  <c r="IP7" i="26"/>
  <c r="JR5" i="26"/>
  <c r="JR8" i="26"/>
  <c r="KT10" i="26"/>
  <c r="KT11" i="26"/>
  <c r="LV6" i="26"/>
  <c r="MX4" i="26"/>
  <c r="MX7" i="26"/>
  <c r="NZ5" i="26"/>
  <c r="NZ8" i="26"/>
  <c r="PB10" i="26"/>
  <c r="PB11" i="26"/>
  <c r="EH4" i="26"/>
  <c r="FJ5" i="26"/>
  <c r="AW10" i="26"/>
  <c r="BZ4" i="26"/>
  <c r="BZ6" i="26"/>
  <c r="AM7" i="24"/>
  <c r="AQ7" i="24" s="1"/>
  <c r="BR7" i="24"/>
  <c r="BR15" i="24"/>
  <c r="BR8" i="24"/>
  <c r="AT15" i="19"/>
  <c r="AT22" i="19"/>
  <c r="AQ8" i="24"/>
  <c r="AQ9" i="24"/>
  <c r="AQ13" i="24"/>
  <c r="AQ9" i="23"/>
  <c r="AY10" i="22"/>
  <c r="BZ17" i="22"/>
  <c r="AY13" i="22"/>
  <c r="AY15" i="22"/>
  <c r="AU7" i="22"/>
  <c r="BV9" i="22"/>
  <c r="BZ9" i="22" s="1"/>
  <c r="AU4" i="4"/>
  <c r="AY4" i="4" s="1"/>
  <c r="AU14" i="4"/>
  <c r="AY14" i="4" s="1"/>
  <c r="BV12" i="4"/>
  <c r="BZ12" i="4" s="1"/>
  <c r="AT10" i="19"/>
  <c r="AQ15" i="24"/>
  <c r="BR4" i="24"/>
  <c r="AQ10" i="24"/>
  <c r="AM6" i="24"/>
  <c r="AQ6" i="24" s="1"/>
  <c r="BR15" i="23"/>
  <c r="BR8" i="23"/>
  <c r="AQ6" i="23"/>
  <c r="AQ13" i="23"/>
  <c r="AQ14" i="23"/>
  <c r="BV16" i="22"/>
  <c r="BZ16" i="22" s="1"/>
  <c r="BV4" i="22"/>
  <c r="BZ4" i="22" s="1"/>
  <c r="BV4" i="4"/>
  <c r="BZ4" i="4" s="1"/>
  <c r="BV14" i="4"/>
  <c r="BZ14" i="4" s="1"/>
  <c r="BV22" i="4"/>
  <c r="BZ22" i="4" s="1"/>
  <c r="AU22" i="4"/>
  <c r="AY22" i="4" s="1"/>
  <c r="BV10" i="4"/>
  <c r="BZ10" i="4" s="1"/>
  <c r="AU19" i="4"/>
  <c r="AY19" i="4" s="1"/>
  <c r="BV23" i="4"/>
  <c r="BZ23" i="4" s="1"/>
  <c r="BV13" i="4"/>
  <c r="BZ13" i="4" s="1"/>
  <c r="BV6" i="4"/>
  <c r="BZ6" i="4" s="1"/>
  <c r="BZ16" i="4"/>
  <c r="AU12" i="4"/>
  <c r="AY12" i="4" s="1"/>
  <c r="BV20" i="4"/>
  <c r="BZ20" i="4" s="1"/>
  <c r="BV19" i="4"/>
  <c r="BZ19" i="4" s="1"/>
  <c r="AT17" i="19"/>
  <c r="AT13" i="19"/>
  <c r="AT8" i="19"/>
  <c r="AT5" i="19"/>
  <c r="AT20" i="19"/>
  <c r="AT12" i="19"/>
  <c r="AT27" i="19"/>
  <c r="AT7" i="19"/>
  <c r="AT9" i="19"/>
  <c r="AT24" i="19"/>
  <c r="AT14" i="19"/>
  <c r="AT21" i="19"/>
  <c r="AT11" i="19"/>
  <c r="AT19" i="19"/>
  <c r="AT16" i="19"/>
  <c r="AQ12" i="24"/>
  <c r="BR14" i="24"/>
  <c r="BN12" i="24"/>
  <c r="BR12" i="24" s="1"/>
  <c r="BN6" i="24"/>
  <c r="BR6" i="24" s="1"/>
  <c r="BR9" i="24"/>
  <c r="BN11" i="24"/>
  <c r="BR11" i="24" s="1"/>
  <c r="AM11" i="24"/>
  <c r="AQ11" i="24" s="1"/>
  <c r="BN5" i="24"/>
  <c r="BR5" i="24" s="1"/>
  <c r="FD9" i="24"/>
  <c r="FK9" i="24" s="1"/>
  <c r="AM5" i="24"/>
  <c r="AQ5" i="24" s="1"/>
  <c r="BR10" i="24"/>
  <c r="BN13" i="24"/>
  <c r="BR13" i="24" s="1"/>
  <c r="AM4" i="24"/>
  <c r="AQ4" i="24" s="1"/>
  <c r="AM7" i="23"/>
  <c r="AQ7" i="23" s="1"/>
  <c r="BN4" i="23"/>
  <c r="BR4" i="23" s="1"/>
  <c r="AQ11" i="23"/>
  <c r="AQ4" i="23"/>
  <c r="BR6" i="23"/>
  <c r="BR12" i="23"/>
  <c r="BN7" i="23"/>
  <c r="BR7" i="23" s="1"/>
  <c r="BN13" i="23"/>
  <c r="BR13" i="23" s="1"/>
  <c r="AM8" i="23"/>
  <c r="AQ8" i="23" s="1"/>
  <c r="BN9" i="23"/>
  <c r="BR9" i="23" s="1"/>
  <c r="BR10" i="23"/>
  <c r="AQ12" i="23"/>
  <c r="BR5" i="23"/>
  <c r="BR11" i="23"/>
  <c r="BN14" i="23"/>
  <c r="BR14" i="23" s="1"/>
  <c r="AQ5" i="23"/>
  <c r="AQ10" i="23"/>
  <c r="AU17" i="22"/>
  <c r="AY17" i="22" s="1"/>
  <c r="BV5" i="22"/>
  <c r="BZ5" i="22" s="1"/>
  <c r="BV11" i="22"/>
  <c r="BZ11" i="22" s="1"/>
  <c r="AU4" i="22"/>
  <c r="AY4" i="22" s="1"/>
  <c r="AU16" i="22"/>
  <c r="AY16" i="22" s="1"/>
  <c r="AU11" i="22"/>
  <c r="AY11" i="22" s="1"/>
  <c r="BZ13" i="22"/>
  <c r="AY7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5" i="22"/>
  <c r="BZ15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8" i="4"/>
  <c r="BZ18" i="4" s="1"/>
  <c r="AY23" i="4"/>
  <c r="AU6" i="4"/>
  <c r="AY6" i="4" s="1"/>
  <c r="AU20" i="4"/>
  <c r="AY20" i="4" s="1"/>
  <c r="AU18" i="4"/>
  <c r="AY18" i="4" s="1"/>
  <c r="BV11" i="4"/>
  <c r="BZ11" i="4" s="1"/>
  <c r="AU9" i="4"/>
  <c r="AY9" i="4" s="1"/>
  <c r="AU13" i="4"/>
  <c r="AY13" i="4" s="1"/>
  <c r="BV5" i="4"/>
  <c r="BZ5" i="4" s="1"/>
  <c r="AU7" i="4"/>
  <c r="AY7" i="4" s="1"/>
  <c r="AU16" i="4"/>
  <c r="AY16" i="4" s="1"/>
  <c r="AY11" i="4"/>
  <c r="AU10" i="4"/>
  <c r="AY10" i="4" s="1"/>
  <c r="BV7" i="4"/>
  <c r="BZ7" i="4" s="1"/>
  <c r="AU5" i="4"/>
  <c r="AY5" i="4" s="1"/>
  <c r="BV8" i="4"/>
  <c r="BZ8" i="4" s="1"/>
  <c r="BV17" i="4"/>
  <c r="BZ17" i="4" s="1"/>
  <c r="AU17" i="4"/>
  <c r="AY17" i="4" s="1"/>
  <c r="BV9" i="4"/>
  <c r="BZ9" i="4" s="1"/>
  <c r="AU8" i="4"/>
  <c r="AY8" i="4" s="1"/>
  <c r="BW4" i="21"/>
  <c r="BW6" i="21"/>
  <c r="BW8" i="21"/>
  <c r="BW7" i="21"/>
  <c r="BW9" i="21"/>
  <c r="BW5" i="21"/>
  <c r="BW11" i="21"/>
  <c r="BW10" i="21"/>
  <c r="BW12" i="21"/>
  <c r="BW14" i="21"/>
  <c r="BW15" i="21"/>
  <c r="BW13" i="21"/>
  <c r="BW16" i="21"/>
  <c r="BW17" i="21"/>
  <c r="BW18" i="21"/>
  <c r="AT4" i="21"/>
  <c r="AT6" i="21"/>
  <c r="AT8" i="21"/>
  <c r="AT7" i="21"/>
  <c r="AT9" i="21"/>
  <c r="AT5" i="21"/>
  <c r="AT11" i="21"/>
  <c r="AT10" i="21"/>
  <c r="AT12" i="21"/>
  <c r="AT14" i="21"/>
  <c r="AT15" i="21"/>
  <c r="AT13" i="21"/>
  <c r="AT16" i="21"/>
  <c r="AT17" i="21"/>
  <c r="AT18" i="21"/>
  <c r="BW4" i="19"/>
  <c r="BW6" i="19"/>
  <c r="BW5" i="19"/>
  <c r="BW7" i="19"/>
  <c r="BW17" i="19"/>
  <c r="BW12" i="19"/>
  <c r="BW11" i="19"/>
  <c r="BW15" i="19"/>
  <c r="BW8" i="19"/>
  <c r="BW14" i="19"/>
  <c r="BW10" i="19"/>
  <c r="BW9" i="19"/>
  <c r="BW18" i="19"/>
  <c r="BW13" i="19"/>
  <c r="BW19" i="19"/>
  <c r="BW22" i="19"/>
  <c r="BW20" i="19"/>
  <c r="BW21" i="19"/>
  <c r="BW23" i="19"/>
  <c r="BW24" i="19"/>
  <c r="BW25" i="19"/>
  <c r="BW26" i="19"/>
  <c r="BW16" i="19"/>
  <c r="BW27" i="19"/>
  <c r="BW4" i="27"/>
  <c r="BW5" i="27"/>
  <c r="BW6" i="27"/>
  <c r="BW7" i="27"/>
  <c r="BW8" i="27"/>
  <c r="BW9" i="27"/>
  <c r="BW10" i="27"/>
  <c r="BW13" i="27"/>
  <c r="BW12" i="27"/>
  <c r="AT4" i="27"/>
  <c r="AT5" i="27"/>
  <c r="AT6" i="27"/>
  <c r="AT7" i="27"/>
  <c r="AT8" i="27"/>
  <c r="AT9" i="27"/>
  <c r="AT10" i="27"/>
  <c r="AT13" i="27"/>
  <c r="AT12" i="27"/>
  <c r="BW4" i="26"/>
  <c r="BW5" i="26"/>
  <c r="BW8" i="26"/>
  <c r="BW10" i="26"/>
  <c r="BW6" i="26"/>
  <c r="BW7" i="26"/>
  <c r="BW11" i="26"/>
  <c r="AT4" i="26"/>
  <c r="AT5" i="26"/>
  <c r="AT8" i="26"/>
  <c r="AT10" i="26"/>
  <c r="AT6" i="26"/>
  <c r="AT7" i="26"/>
  <c r="AT11" i="26"/>
  <c r="CS9" i="24"/>
  <c r="NW4" i="19"/>
  <c r="LR11" i="23"/>
  <c r="LY11" i="23" s="1"/>
  <c r="GL11" i="23"/>
  <c r="GS11" i="23" s="1"/>
  <c r="DV11" i="23"/>
  <c r="EC11" i="23" s="1"/>
  <c r="TI11" i="23"/>
  <c r="PP11" i="23"/>
  <c r="PW11" i="23" s="1"/>
  <c r="KJ11" i="23"/>
  <c r="KQ11" i="23" s="1"/>
  <c r="FD11" i="23"/>
  <c r="FK11" i="23" s="1"/>
  <c r="SF9" i="24"/>
  <c r="SM9" i="24" s="1"/>
  <c r="PP9" i="24"/>
  <c r="PW9" i="24" s="1"/>
  <c r="KJ9" i="24"/>
  <c r="KQ9" i="24" s="1"/>
  <c r="TF9" i="24"/>
  <c r="QX11" i="23"/>
  <c r="RE11" i="23" s="1"/>
  <c r="CS11" i="23"/>
  <c r="OH9" i="24"/>
  <c r="OO9" i="24" s="1"/>
  <c r="QX9" i="24"/>
  <c r="RE9" i="24" s="1"/>
  <c r="MZ9" i="24"/>
  <c r="NG9" i="24" s="1"/>
  <c r="LR9" i="24"/>
  <c r="LY9" i="24" s="1"/>
  <c r="HT9" i="24"/>
  <c r="IA9" i="24" s="1"/>
  <c r="L9" i="24"/>
  <c r="M9" i="24" s="1"/>
  <c r="TM9" i="24"/>
  <c r="TI9" i="24"/>
  <c r="J9" i="24"/>
  <c r="K9" i="24" s="1"/>
  <c r="I9" i="24"/>
  <c r="G9" i="24"/>
  <c r="F9" i="24"/>
  <c r="MZ11" i="23"/>
  <c r="NG11" i="23" s="1"/>
  <c r="SF11" i="23"/>
  <c r="SM11" i="23" s="1"/>
  <c r="OH11" i="23"/>
  <c r="OO11" i="23" s="1"/>
  <c r="JB11" i="23"/>
  <c r="JI11" i="23" s="1"/>
  <c r="HT11" i="23"/>
  <c r="IA11" i="23" s="1"/>
  <c r="TM11" i="23"/>
  <c r="G11" i="23"/>
  <c r="L11" i="23"/>
  <c r="CU11" i="23" s="1"/>
  <c r="F11" i="23"/>
  <c r="J11" i="23"/>
  <c r="I11" i="23"/>
  <c r="TF11" i="23"/>
  <c r="G13" i="21"/>
  <c r="F13" i="21"/>
  <c r="G15" i="21"/>
  <c r="F15" i="21"/>
  <c r="RE13" i="21"/>
  <c r="G13" i="19"/>
  <c r="F13" i="19"/>
  <c r="FG4" i="21"/>
  <c r="FG9" i="21"/>
  <c r="FG12" i="21"/>
  <c r="FG16" i="21"/>
  <c r="JO4" i="21"/>
  <c r="JO12" i="21"/>
  <c r="FG6" i="21"/>
  <c r="JO6" i="21"/>
  <c r="JO14" i="21"/>
  <c r="RC13" i="21"/>
  <c r="FG7" i="21"/>
  <c r="FG10" i="21"/>
  <c r="FG13" i="21"/>
  <c r="FG11" i="21"/>
  <c r="JO10" i="21"/>
  <c r="FG14" i="21"/>
  <c r="NW6" i="19"/>
  <c r="JO18" i="21"/>
  <c r="FG5" i="21"/>
  <c r="JO5" i="21"/>
  <c r="JO17" i="21"/>
  <c r="JO11" i="21"/>
  <c r="RE15" i="21"/>
  <c r="RC15" i="21"/>
  <c r="JO9" i="21"/>
  <c r="JO16" i="21"/>
  <c r="JO7" i="21"/>
  <c r="JO13" i="21"/>
  <c r="FG8" i="21"/>
  <c r="FG15" i="21"/>
  <c r="JO8" i="21"/>
  <c r="JO15" i="21"/>
  <c r="NW5" i="19"/>
  <c r="OY4" i="21"/>
  <c r="OY6" i="21"/>
  <c r="OY8" i="21"/>
  <c r="OY7" i="21"/>
  <c r="OY9" i="21"/>
  <c r="OY5" i="21"/>
  <c r="OY11" i="21"/>
  <c r="OY10" i="21"/>
  <c r="OY12" i="21"/>
  <c r="OY14" i="21"/>
  <c r="OY15" i="21"/>
  <c r="OY13" i="21"/>
  <c r="OY16" i="21"/>
  <c r="OY17" i="21"/>
  <c r="OY18" i="21"/>
  <c r="NW4" i="21"/>
  <c r="NW6" i="21"/>
  <c r="NW8" i="21"/>
  <c r="NW7" i="21"/>
  <c r="NW9" i="21"/>
  <c r="NW5" i="21"/>
  <c r="NW11" i="21"/>
  <c r="NW10" i="21"/>
  <c r="NW12" i="21"/>
  <c r="NW14" i="21"/>
  <c r="NW15" i="21"/>
  <c r="NW13" i="21"/>
  <c r="NW16" i="21"/>
  <c r="NW17" i="21"/>
  <c r="NW18" i="21"/>
  <c r="MU4" i="21"/>
  <c r="MU6" i="21"/>
  <c r="MU8" i="21"/>
  <c r="MU7" i="21"/>
  <c r="MU9" i="21"/>
  <c r="MU5" i="21"/>
  <c r="MU11" i="21"/>
  <c r="MU10" i="21"/>
  <c r="MU12" i="21"/>
  <c r="MU14" i="21"/>
  <c r="MU15" i="21"/>
  <c r="MU13" i="21"/>
  <c r="MU16" i="21"/>
  <c r="MU17" i="21"/>
  <c r="MU18" i="21"/>
  <c r="LS4" i="21"/>
  <c r="LS6" i="21"/>
  <c r="LS8" i="21"/>
  <c r="LS7" i="21"/>
  <c r="LS9" i="21"/>
  <c r="LS5" i="21"/>
  <c r="LS11" i="21"/>
  <c r="LS10" i="21"/>
  <c r="LS12" i="21"/>
  <c r="LS14" i="21"/>
  <c r="LS15" i="21"/>
  <c r="LS13" i="21"/>
  <c r="LS16" i="21"/>
  <c r="LS17" i="21"/>
  <c r="LS18" i="21"/>
  <c r="KQ4" i="21"/>
  <c r="KQ6" i="21"/>
  <c r="KQ8" i="21"/>
  <c r="KQ7" i="21"/>
  <c r="KQ9" i="21"/>
  <c r="KQ5" i="21"/>
  <c r="KQ11" i="21"/>
  <c r="KQ10" i="21"/>
  <c r="KQ12" i="21"/>
  <c r="KQ14" i="21"/>
  <c r="KQ15" i="21"/>
  <c r="KQ13" i="21"/>
  <c r="KQ16" i="21"/>
  <c r="KQ17" i="21"/>
  <c r="KQ18" i="21"/>
  <c r="IM4" i="21"/>
  <c r="IM6" i="21"/>
  <c r="IM8" i="21"/>
  <c r="IM7" i="21"/>
  <c r="IM9" i="21"/>
  <c r="IM5" i="21"/>
  <c r="IM11" i="21"/>
  <c r="IM10" i="21"/>
  <c r="IM12" i="21"/>
  <c r="IM14" i="21"/>
  <c r="IM15" i="21"/>
  <c r="IM13" i="21"/>
  <c r="IM16" i="21"/>
  <c r="IM17" i="21"/>
  <c r="IM18" i="21"/>
  <c r="HK4" i="21"/>
  <c r="HK6" i="21"/>
  <c r="HK8" i="21"/>
  <c r="HK7" i="21"/>
  <c r="HK9" i="21"/>
  <c r="HK5" i="21"/>
  <c r="HK11" i="21"/>
  <c r="HK10" i="21"/>
  <c r="HK12" i="21"/>
  <c r="HK14" i="21"/>
  <c r="HK15" i="21"/>
  <c r="HK13" i="21"/>
  <c r="HK16" i="21"/>
  <c r="HK17" i="21"/>
  <c r="HK18" i="21"/>
  <c r="GI4" i="21"/>
  <c r="GI6" i="21"/>
  <c r="GI8" i="21"/>
  <c r="GI7" i="21"/>
  <c r="GI9" i="21"/>
  <c r="GI5" i="21"/>
  <c r="GI11" i="21"/>
  <c r="GI10" i="21"/>
  <c r="GI12" i="21"/>
  <c r="GI14" i="21"/>
  <c r="GI15" i="21"/>
  <c r="GI13" i="21"/>
  <c r="GI16" i="21"/>
  <c r="GI17" i="21"/>
  <c r="GI18" i="21"/>
  <c r="FG17" i="21"/>
  <c r="FG18" i="21"/>
  <c r="EE4" i="21"/>
  <c r="EE6" i="21"/>
  <c r="EE8" i="21"/>
  <c r="EE7" i="21"/>
  <c r="EE9" i="21"/>
  <c r="EE5" i="21"/>
  <c r="EE11" i="21"/>
  <c r="EE10" i="21"/>
  <c r="EE12" i="21"/>
  <c r="EE14" i="21"/>
  <c r="EE15" i="21"/>
  <c r="EE13" i="21"/>
  <c r="EE16" i="21"/>
  <c r="EE17" i="21"/>
  <c r="EE18" i="21"/>
  <c r="OY4" i="19"/>
  <c r="OY6" i="19"/>
  <c r="OY5" i="19"/>
  <c r="OY7" i="19"/>
  <c r="OY17" i="19"/>
  <c r="OY12" i="19"/>
  <c r="OY11" i="19"/>
  <c r="OY15" i="19"/>
  <c r="OY8" i="19"/>
  <c r="OY14" i="19"/>
  <c r="OY10" i="19"/>
  <c r="OY18" i="19"/>
  <c r="OY9" i="19"/>
  <c r="OY13" i="19"/>
  <c r="OY19" i="19"/>
  <c r="OY22" i="19"/>
  <c r="OY20" i="19"/>
  <c r="OY21" i="19"/>
  <c r="OY23" i="19"/>
  <c r="OY24" i="19"/>
  <c r="OY25" i="19"/>
  <c r="OY26" i="19"/>
  <c r="OY16" i="19"/>
  <c r="OY27" i="19"/>
  <c r="NW7" i="19"/>
  <c r="NW17" i="19"/>
  <c r="NW12" i="19"/>
  <c r="NW11" i="19"/>
  <c r="NW15" i="19"/>
  <c r="NW8" i="19"/>
  <c r="NW14" i="19"/>
  <c r="NW10" i="19"/>
  <c r="NW18" i="19"/>
  <c r="NW9" i="19"/>
  <c r="NW13" i="19"/>
  <c r="NW19" i="19"/>
  <c r="NW22" i="19"/>
  <c r="NW20" i="19"/>
  <c r="NW21" i="19"/>
  <c r="NW23" i="19"/>
  <c r="NW24" i="19"/>
  <c r="NW25" i="19"/>
  <c r="NW26" i="19"/>
  <c r="NW16" i="19"/>
  <c r="NW27" i="19"/>
  <c r="MU4" i="19"/>
  <c r="MU6" i="19"/>
  <c r="MU5" i="19"/>
  <c r="MU7" i="19"/>
  <c r="MU17" i="19"/>
  <c r="MU12" i="19"/>
  <c r="MU11" i="19"/>
  <c r="MU15" i="19"/>
  <c r="MU8" i="19"/>
  <c r="MU14" i="19"/>
  <c r="MU10" i="19"/>
  <c r="MU18" i="19"/>
  <c r="MU9" i="19"/>
  <c r="MU13" i="19"/>
  <c r="MU19" i="19"/>
  <c r="MU22" i="19"/>
  <c r="MU20" i="19"/>
  <c r="MU21" i="19"/>
  <c r="MU23" i="19"/>
  <c r="MU24" i="19"/>
  <c r="MU25" i="19"/>
  <c r="MU26" i="19"/>
  <c r="MU16" i="19"/>
  <c r="MU27" i="19"/>
  <c r="LS4" i="19"/>
  <c r="LS6" i="19"/>
  <c r="LS5" i="19"/>
  <c r="LS7" i="19"/>
  <c r="LS17" i="19"/>
  <c r="LS12" i="19"/>
  <c r="LS11" i="19"/>
  <c r="LS15" i="19"/>
  <c r="LS8" i="19"/>
  <c r="LS14" i="19"/>
  <c r="LS10" i="19"/>
  <c r="LS18" i="19"/>
  <c r="LS9" i="19"/>
  <c r="LS13" i="19"/>
  <c r="LS19" i="19"/>
  <c r="LS22" i="19"/>
  <c r="LS20" i="19"/>
  <c r="LS21" i="19"/>
  <c r="LS23" i="19"/>
  <c r="LS24" i="19"/>
  <c r="LS25" i="19"/>
  <c r="LS26" i="19"/>
  <c r="LS16" i="19"/>
  <c r="LS27" i="19"/>
  <c r="KQ4" i="19"/>
  <c r="KQ6" i="19"/>
  <c r="KQ5" i="19"/>
  <c r="KQ7" i="19"/>
  <c r="KQ17" i="19"/>
  <c r="KQ12" i="19"/>
  <c r="KQ11" i="19"/>
  <c r="KQ15" i="19"/>
  <c r="KQ8" i="19"/>
  <c r="KQ14" i="19"/>
  <c r="KQ10" i="19"/>
  <c r="KQ18" i="19"/>
  <c r="KQ9" i="19"/>
  <c r="KQ13" i="19"/>
  <c r="KQ19" i="19"/>
  <c r="KQ22" i="19"/>
  <c r="KQ20" i="19"/>
  <c r="KQ21" i="19"/>
  <c r="KQ23" i="19"/>
  <c r="KQ24" i="19"/>
  <c r="KQ25" i="19"/>
  <c r="KQ26" i="19"/>
  <c r="KQ16" i="19"/>
  <c r="KQ27" i="19"/>
  <c r="JO4" i="19"/>
  <c r="JO6" i="19"/>
  <c r="JO5" i="19"/>
  <c r="JO7" i="19"/>
  <c r="JO17" i="19"/>
  <c r="JO12" i="19"/>
  <c r="JO11" i="19"/>
  <c r="JO15" i="19"/>
  <c r="JO8" i="19"/>
  <c r="JO14" i="19"/>
  <c r="JO10" i="19"/>
  <c r="JO18" i="19"/>
  <c r="JO9" i="19"/>
  <c r="JO13" i="19"/>
  <c r="JO19" i="19"/>
  <c r="JO22" i="19"/>
  <c r="JO20" i="19"/>
  <c r="JO21" i="19"/>
  <c r="JO23" i="19"/>
  <c r="JO24" i="19"/>
  <c r="JO25" i="19"/>
  <c r="JO26" i="19"/>
  <c r="JO16" i="19"/>
  <c r="JO27" i="19"/>
  <c r="IM4" i="19"/>
  <c r="IM6" i="19"/>
  <c r="IM5" i="19"/>
  <c r="IM7" i="19"/>
  <c r="IM17" i="19"/>
  <c r="IM12" i="19"/>
  <c r="IM11" i="19"/>
  <c r="IM15" i="19"/>
  <c r="IM8" i="19"/>
  <c r="IM14" i="19"/>
  <c r="IM10" i="19"/>
  <c r="IM18" i="19"/>
  <c r="IM9" i="19"/>
  <c r="IM13" i="19"/>
  <c r="IM19" i="19"/>
  <c r="IM22" i="19"/>
  <c r="IM20" i="19"/>
  <c r="IM21" i="19"/>
  <c r="IM23" i="19"/>
  <c r="IM24" i="19"/>
  <c r="IM25" i="19"/>
  <c r="IM26" i="19"/>
  <c r="IM16" i="19"/>
  <c r="IM27" i="19"/>
  <c r="HK4" i="19"/>
  <c r="HK6" i="19"/>
  <c r="HK5" i="19"/>
  <c r="HK7" i="19"/>
  <c r="HK17" i="19"/>
  <c r="HK12" i="19"/>
  <c r="HK11" i="19"/>
  <c r="HK15" i="19"/>
  <c r="HK8" i="19"/>
  <c r="HK14" i="19"/>
  <c r="HK10" i="19"/>
  <c r="HK18" i="19"/>
  <c r="HK9" i="19"/>
  <c r="HK13" i="19"/>
  <c r="HK19" i="19"/>
  <c r="HK22" i="19"/>
  <c r="HK20" i="19"/>
  <c r="HK21" i="19"/>
  <c r="HK23" i="19"/>
  <c r="HK24" i="19"/>
  <c r="HK25" i="19"/>
  <c r="HK26" i="19"/>
  <c r="HK16" i="19"/>
  <c r="HK27" i="19"/>
  <c r="GI4" i="19"/>
  <c r="GI6" i="19"/>
  <c r="GI5" i="19"/>
  <c r="GI7" i="19"/>
  <c r="GI17" i="19"/>
  <c r="GI12" i="19"/>
  <c r="GI11" i="19"/>
  <c r="GI15" i="19"/>
  <c r="GI8" i="19"/>
  <c r="GI14" i="19"/>
  <c r="GI10" i="19"/>
  <c r="GI18" i="19"/>
  <c r="GI9" i="19"/>
  <c r="GI13" i="19"/>
  <c r="GI19" i="19"/>
  <c r="GI22" i="19"/>
  <c r="GI20" i="19"/>
  <c r="GI21" i="19"/>
  <c r="GI23" i="19"/>
  <c r="GI24" i="19"/>
  <c r="GI25" i="19"/>
  <c r="GI26" i="19"/>
  <c r="GI16" i="19"/>
  <c r="GI27" i="19"/>
  <c r="FG4" i="19"/>
  <c r="FG6" i="19"/>
  <c r="FG5" i="19"/>
  <c r="FG7" i="19"/>
  <c r="FG17" i="19"/>
  <c r="FG12" i="19"/>
  <c r="FG11" i="19"/>
  <c r="FG15" i="19"/>
  <c r="FG8" i="19"/>
  <c r="FG14" i="19"/>
  <c r="FG10" i="19"/>
  <c r="FG18" i="19"/>
  <c r="FG9" i="19"/>
  <c r="FG13" i="19"/>
  <c r="FG19" i="19"/>
  <c r="FG22" i="19"/>
  <c r="FG20" i="19"/>
  <c r="FG21" i="19"/>
  <c r="FG23" i="19"/>
  <c r="FG24" i="19"/>
  <c r="FG25" i="19"/>
  <c r="FG26" i="19"/>
  <c r="FG16" i="19"/>
  <c r="FG27" i="19"/>
  <c r="EE4" i="19"/>
  <c r="EE6" i="19"/>
  <c r="EE5" i="19"/>
  <c r="EE7" i="19"/>
  <c r="EE17" i="19"/>
  <c r="EE12" i="19"/>
  <c r="EE11" i="19"/>
  <c r="EE15" i="19"/>
  <c r="EE8" i="19"/>
  <c r="EE14" i="19"/>
  <c r="EE10" i="19"/>
  <c r="EE18" i="19"/>
  <c r="EE9" i="19"/>
  <c r="EE13" i="19"/>
  <c r="EE19" i="19"/>
  <c r="EE22" i="19"/>
  <c r="EE20" i="19"/>
  <c r="EE21" i="19"/>
  <c r="EE23" i="19"/>
  <c r="EE24" i="19"/>
  <c r="EE25" i="19"/>
  <c r="EE26" i="19"/>
  <c r="EE16" i="19"/>
  <c r="EE27" i="19"/>
  <c r="OY4" i="27"/>
  <c r="OY5" i="27"/>
  <c r="OY6" i="27"/>
  <c r="OY7" i="27"/>
  <c r="OY8" i="27"/>
  <c r="OY9" i="27"/>
  <c r="OY10" i="27"/>
  <c r="OY13" i="27"/>
  <c r="OY12" i="27"/>
  <c r="NW4" i="27"/>
  <c r="NW5" i="27"/>
  <c r="NW6" i="27"/>
  <c r="NW7" i="27"/>
  <c r="NW8" i="27"/>
  <c r="NW9" i="27"/>
  <c r="NW10" i="27"/>
  <c r="NW13" i="27"/>
  <c r="NW12" i="27"/>
  <c r="MU4" i="27"/>
  <c r="MU5" i="27"/>
  <c r="MU6" i="27"/>
  <c r="MU7" i="27"/>
  <c r="MU8" i="27"/>
  <c r="MU9" i="27"/>
  <c r="MU10" i="27"/>
  <c r="MU13" i="27"/>
  <c r="MU12" i="27"/>
  <c r="LS4" i="27"/>
  <c r="LS5" i="27"/>
  <c r="LS6" i="27"/>
  <c r="LS7" i="27"/>
  <c r="LS8" i="27"/>
  <c r="LS9" i="27"/>
  <c r="LS10" i="27"/>
  <c r="LS13" i="27"/>
  <c r="LS12" i="27"/>
  <c r="KQ4" i="27"/>
  <c r="KQ5" i="27"/>
  <c r="KQ6" i="27"/>
  <c r="KQ7" i="27"/>
  <c r="KQ8" i="27"/>
  <c r="KQ9" i="27"/>
  <c r="KQ10" i="27"/>
  <c r="KQ13" i="27"/>
  <c r="KQ12" i="27"/>
  <c r="JO4" i="27"/>
  <c r="JO5" i="27"/>
  <c r="JO6" i="27"/>
  <c r="JO7" i="27"/>
  <c r="JO8" i="27"/>
  <c r="JO9" i="27"/>
  <c r="JO10" i="27"/>
  <c r="JO13" i="27"/>
  <c r="JO12" i="27"/>
  <c r="IM4" i="27"/>
  <c r="IM5" i="27"/>
  <c r="IM6" i="27"/>
  <c r="IM7" i="27"/>
  <c r="IM8" i="27"/>
  <c r="IM9" i="27"/>
  <c r="IM10" i="27"/>
  <c r="IM13" i="27"/>
  <c r="IM12" i="27"/>
  <c r="HK4" i="27"/>
  <c r="HK5" i="27"/>
  <c r="HK6" i="27"/>
  <c r="HK7" i="27"/>
  <c r="HK8" i="27"/>
  <c r="HK9" i="27"/>
  <c r="HK10" i="27"/>
  <c r="HK13" i="27"/>
  <c r="HK12" i="27"/>
  <c r="GI4" i="27"/>
  <c r="GI5" i="27"/>
  <c r="GI6" i="27"/>
  <c r="GI7" i="27"/>
  <c r="GI8" i="27"/>
  <c r="GI9" i="27"/>
  <c r="GI10" i="27"/>
  <c r="GI13" i="27"/>
  <c r="GI12" i="27"/>
  <c r="FG4" i="27"/>
  <c r="FG5" i="27"/>
  <c r="FG6" i="27"/>
  <c r="FG7" i="27"/>
  <c r="FG8" i="27"/>
  <c r="FG9" i="27"/>
  <c r="FG10" i="27"/>
  <c r="FG13" i="27"/>
  <c r="FG12" i="27"/>
  <c r="EE4" i="27"/>
  <c r="EE5" i="27"/>
  <c r="EE6" i="27"/>
  <c r="EE7" i="27"/>
  <c r="EE8" i="27"/>
  <c r="EE9" i="27"/>
  <c r="EE10" i="27"/>
  <c r="EE13" i="27"/>
  <c r="EE12" i="27"/>
  <c r="OY4" i="26"/>
  <c r="OY5" i="26"/>
  <c r="OY10" i="26"/>
  <c r="OY6" i="26"/>
  <c r="OY7" i="26"/>
  <c r="OY8" i="26"/>
  <c r="OY11" i="26"/>
  <c r="NW4" i="26"/>
  <c r="NW5" i="26"/>
  <c r="NW10" i="26"/>
  <c r="NW6" i="26"/>
  <c r="NW7" i="26"/>
  <c r="NW8" i="26"/>
  <c r="NW11" i="26"/>
  <c r="MU4" i="26"/>
  <c r="MU5" i="26"/>
  <c r="MU10" i="26"/>
  <c r="MU6" i="26"/>
  <c r="MU7" i="26"/>
  <c r="MU8" i="26"/>
  <c r="MU11" i="26"/>
  <c r="LS4" i="26"/>
  <c r="LS5" i="26"/>
  <c r="LS10" i="26"/>
  <c r="LS6" i="26"/>
  <c r="LS7" i="26"/>
  <c r="LS8" i="26"/>
  <c r="LS11" i="26"/>
  <c r="KQ4" i="26"/>
  <c r="KQ5" i="26"/>
  <c r="KQ10" i="26"/>
  <c r="KQ6" i="26"/>
  <c r="KQ7" i="26"/>
  <c r="KQ8" i="26"/>
  <c r="KQ11" i="26"/>
  <c r="JO4" i="26"/>
  <c r="JO5" i="26"/>
  <c r="JO10" i="26"/>
  <c r="JO6" i="26"/>
  <c r="JO7" i="26"/>
  <c r="JO8" i="26"/>
  <c r="JO11" i="26"/>
  <c r="IM4" i="26"/>
  <c r="IM5" i="26"/>
  <c r="IM10" i="26"/>
  <c r="IM6" i="26"/>
  <c r="IM7" i="26"/>
  <c r="IM8" i="26"/>
  <c r="IM11" i="26"/>
  <c r="HK4" i="26"/>
  <c r="HK5" i="26"/>
  <c r="HK10" i="26"/>
  <c r="HK6" i="26"/>
  <c r="HK7" i="26"/>
  <c r="HK8" i="26"/>
  <c r="HK11" i="26"/>
  <c r="GI4" i="26"/>
  <c r="GI5" i="26"/>
  <c r="GI10" i="26"/>
  <c r="GI6" i="26"/>
  <c r="GI7" i="26"/>
  <c r="GI8" i="26"/>
  <c r="GI11" i="26"/>
  <c r="FG4" i="26"/>
  <c r="FG5" i="26"/>
  <c r="FG10" i="26"/>
  <c r="FG6" i="26"/>
  <c r="FG7" i="26"/>
  <c r="FG8" i="26"/>
  <c r="FG11" i="26"/>
  <c r="EE4" i="26"/>
  <c r="EE5" i="26"/>
  <c r="EE10" i="26"/>
  <c r="EE6" i="26"/>
  <c r="EE7" i="26"/>
  <c r="EE8" i="26"/>
  <c r="EE11" i="26"/>
  <c r="P15" i="21"/>
  <c r="DF15" i="21" s="1"/>
  <c r="P13" i="21"/>
  <c r="DF13" i="21" s="1"/>
  <c r="QA15" i="21"/>
  <c r="N15" i="21"/>
  <c r="O15" i="21" s="1"/>
  <c r="RA15" i="21"/>
  <c r="RF15" i="21"/>
  <c r="RB15" i="21"/>
  <c r="L15" i="21"/>
  <c r="DD15" i="21" s="1"/>
  <c r="QZ15" i="21"/>
  <c r="J15" i="21"/>
  <c r="K15" i="21" s="1"/>
  <c r="CZ15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Z13" i="19"/>
  <c r="QA13" i="19"/>
  <c r="RF13" i="19"/>
  <c r="N13" i="19"/>
  <c r="O13" i="19" s="1"/>
  <c r="RE13" i="19"/>
  <c r="CZ13" i="19"/>
  <c r="RB13" i="19"/>
  <c r="RA13" i="19"/>
  <c r="L13" i="19"/>
  <c r="M13" i="19" s="1"/>
  <c r="J13" i="19"/>
  <c r="K13" i="19" s="1"/>
  <c r="P13" i="19"/>
  <c r="RC13" i="19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RG13" i="21" l="1"/>
  <c r="RG15" i="21"/>
  <c r="RG13" i="19"/>
  <c r="DC9" i="27"/>
  <c r="QD9" i="27"/>
  <c r="G9" i="27"/>
  <c r="TJ11" i="23"/>
  <c r="TN11" i="23" s="1"/>
  <c r="M11" i="23"/>
  <c r="CT9" i="24"/>
  <c r="CU9" i="24"/>
  <c r="TJ9" i="24"/>
  <c r="TN9" i="24" s="1"/>
  <c r="CT11" i="23"/>
  <c r="N11" i="23" s="1"/>
  <c r="H9" i="24"/>
  <c r="H11" i="23"/>
  <c r="A11" i="23" s="1" a="1"/>
  <c r="A11" i="23" s="1"/>
  <c r="K11" i="23"/>
  <c r="Q13" i="21"/>
  <c r="F9" i="27"/>
  <c r="DE13" i="19"/>
  <c r="QA9" i="27"/>
  <c r="QZ9" i="27"/>
  <c r="P9" i="27"/>
  <c r="DF9" i="27" s="1"/>
  <c r="RD13" i="21"/>
  <c r="Q15" i="21"/>
  <c r="DE15" i="21"/>
  <c r="R15" i="21" s="1"/>
  <c r="DE13" i="21"/>
  <c r="RD15" i="21"/>
  <c r="M15" i="21"/>
  <c r="I15" i="21"/>
  <c r="DD13" i="21"/>
  <c r="I13" i="21"/>
  <c r="RD13" i="19"/>
  <c r="I13" i="19"/>
  <c r="DD13" i="19"/>
  <c r="Q13" i="19"/>
  <c r="DF13" i="19"/>
  <c r="N9" i="27"/>
  <c r="O9" i="27" s="1"/>
  <c r="RB9" i="27"/>
  <c r="RA9" i="27"/>
  <c r="RE9" i="27"/>
  <c r="CZ9" i="27"/>
  <c r="L9" i="27"/>
  <c r="DD9" i="27" s="1"/>
  <c r="RF9" i="27"/>
  <c r="J9" i="27"/>
  <c r="K9" i="27" s="1"/>
  <c r="RC9" i="27"/>
  <c r="RG9" i="27" l="1"/>
  <c r="N9" i="24"/>
  <c r="P9" i="24" s="1"/>
  <c r="O11" i="23"/>
  <c r="P11" i="23"/>
  <c r="E11" i="23"/>
  <c r="Q9" i="27"/>
  <c r="I9" i="27"/>
  <c r="R13" i="19"/>
  <c r="E13" i="19" s="1"/>
  <c r="DE9" i="27"/>
  <c r="R9" i="27" s="1"/>
  <c r="S9" i="27" s="1"/>
  <c r="R13" i="21"/>
  <c r="E13" i="21" s="1"/>
  <c r="T15" i="21"/>
  <c r="S15" i="21"/>
  <c r="E15" i="21"/>
  <c r="M9" i="27"/>
  <c r="RD9" i="27"/>
  <c r="E9" i="24" l="1"/>
  <c r="O9" i="24"/>
  <c r="H13" i="21"/>
  <c r="H15" i="21"/>
  <c r="A15" i="21" s="1" a="1"/>
  <c r="A15" i="21" s="1"/>
  <c r="H13" i="19"/>
  <c r="S13" i="21"/>
  <c r="T13" i="19"/>
  <c r="S13" i="19"/>
  <c r="T13" i="21"/>
  <c r="E9" i="27"/>
  <c r="T9" i="27"/>
  <c r="H9" i="27" l="1"/>
  <c r="A9" i="27" s="1" a="1"/>
  <c r="A9" i="27" s="1"/>
  <c r="CI13" i="24"/>
  <c r="CJ13" i="24"/>
  <c r="CK13" i="24"/>
  <c r="CL13" i="24"/>
  <c r="CM13" i="24"/>
  <c r="CN13" i="24"/>
  <c r="CP13" i="24"/>
  <c r="CQ13" i="24"/>
  <c r="CR13" i="24"/>
  <c r="DP13" i="24"/>
  <c r="DQ13" i="24"/>
  <c r="DR13" i="24"/>
  <c r="DS13" i="24"/>
  <c r="DT13" i="24"/>
  <c r="DU13" i="24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E13" i="24"/>
  <c r="FF13" i="24"/>
  <c r="FG13" i="24"/>
  <c r="FH13" i="24"/>
  <c r="FI13" i="24"/>
  <c r="FJ13" i="24"/>
  <c r="GF13" i="24"/>
  <c r="GG13" i="24"/>
  <c r="GH13" i="24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IY13" i="24"/>
  <c r="IZ13" i="24"/>
  <c r="JA13" i="24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K13" i="24"/>
  <c r="KL13" i="24"/>
  <c r="KM13" i="24"/>
  <c r="KN13" i="24"/>
  <c r="KO13" i="24"/>
  <c r="KP13" i="24"/>
  <c r="LL13" i="24"/>
  <c r="LM13" i="24"/>
  <c r="LN13" i="24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E13" i="24"/>
  <c r="OF13" i="24"/>
  <c r="OG13" i="24"/>
  <c r="OI13" i="24"/>
  <c r="OJ13" i="24"/>
  <c r="OK13" i="24"/>
  <c r="OL13" i="24"/>
  <c r="OM13" i="24"/>
  <c r="ON13" i="24"/>
  <c r="PJ13" i="24"/>
  <c r="PK13" i="24"/>
  <c r="PL13" i="24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SV4" i="23"/>
  <c r="TH4" i="23" s="1"/>
  <c r="SW4" i="23"/>
  <c r="SX4" i="23"/>
  <c r="SY4" i="23"/>
  <c r="SZ4" i="23"/>
  <c r="TK4" i="23" s="1"/>
  <c r="TA4" i="23"/>
  <c r="TL4" i="23" s="1"/>
  <c r="TB4" i="23"/>
  <c r="TG4" i="23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E10" i="24"/>
  <c r="FF10" i="24"/>
  <c r="FG10" i="24"/>
  <c r="FH10" i="24"/>
  <c r="FI10" i="24"/>
  <c r="FJ10" i="24"/>
  <c r="GF10" i="24"/>
  <c r="GG10" i="24"/>
  <c r="GH10" i="24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K10" i="24"/>
  <c r="KL10" i="24"/>
  <c r="KM10" i="24"/>
  <c r="KN10" i="24"/>
  <c r="KO10" i="24"/>
  <c r="KP10" i="24"/>
  <c r="LL10" i="24"/>
  <c r="LM10" i="24"/>
  <c r="LN10" i="24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0" i="23"/>
  <c r="CJ10" i="23"/>
  <c r="CK10" i="23"/>
  <c r="CO10" i="23" s="1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OH13" i="24" l="1"/>
  <c r="OO13" i="24" s="1"/>
  <c r="LR13" i="24"/>
  <c r="LY13" i="24" s="1"/>
  <c r="JB13" i="24"/>
  <c r="JI13" i="24" s="1"/>
  <c r="MZ8" i="23"/>
  <c r="NG8" i="23" s="1"/>
  <c r="OH14" i="23"/>
  <c r="OO14" i="23" s="1"/>
  <c r="OH15" i="23"/>
  <c r="OO15" i="23" s="1"/>
  <c r="PP5" i="23"/>
  <c r="PW5" i="23" s="1"/>
  <c r="PP8" i="23"/>
  <c r="PW8" i="23" s="1"/>
  <c r="QX14" i="23"/>
  <c r="RE14" i="23" s="1"/>
  <c r="QX15" i="23"/>
  <c r="RE15" i="23" s="1"/>
  <c r="KJ8" i="23"/>
  <c r="KQ8" i="23" s="1"/>
  <c r="GL13" i="24"/>
  <c r="GS13" i="24" s="1"/>
  <c r="DV13" i="24"/>
  <c r="EC13" i="24" s="1"/>
  <c r="KJ13" i="24"/>
  <c r="KQ13" i="24" s="1"/>
  <c r="F9" i="23"/>
  <c r="F10" i="24"/>
  <c r="G10" i="24"/>
  <c r="F14" i="24"/>
  <c r="G13" i="24"/>
  <c r="F15" i="24"/>
  <c r="G14" i="24"/>
  <c r="F13" i="24"/>
  <c r="G15" i="24"/>
  <c r="PP9" i="23"/>
  <c r="PW9" i="23" s="1"/>
  <c r="F10" i="23"/>
  <c r="F13" i="23"/>
  <c r="G10" i="23"/>
  <c r="G4" i="23"/>
  <c r="F6" i="23"/>
  <c r="F4" i="23"/>
  <c r="G9" i="23"/>
  <c r="G13" i="23"/>
  <c r="G6" i="23"/>
  <c r="G19" i="4"/>
  <c r="F19" i="4"/>
  <c r="OP19" i="4"/>
  <c r="OW19" i="4" s="1"/>
  <c r="LZ19" i="4"/>
  <c r="MG19" i="4" s="1"/>
  <c r="JJ19" i="4"/>
  <c r="JQ19" i="4" s="1"/>
  <c r="GT19" i="4"/>
  <c r="HA19" i="4" s="1"/>
  <c r="ED19" i="4"/>
  <c r="EK19" i="4" s="1"/>
  <c r="DV11" i="24"/>
  <c r="EC11" i="24" s="1"/>
  <c r="DV15" i="24"/>
  <c r="EC15" i="24" s="1"/>
  <c r="FD4" i="24"/>
  <c r="FK4" i="24" s="1"/>
  <c r="QX8" i="24"/>
  <c r="RE8" i="24" s="1"/>
  <c r="QX5" i="24"/>
  <c r="RE5" i="24" s="1"/>
  <c r="QX6" i="24"/>
  <c r="RE6" i="24" s="1"/>
  <c r="FD13" i="24"/>
  <c r="FK13" i="24" s="1"/>
  <c r="KJ14" i="23"/>
  <c r="KQ14" i="23" s="1"/>
  <c r="KJ15" i="23"/>
  <c r="KQ15" i="23" s="1"/>
  <c r="LR5" i="23"/>
  <c r="LY5" i="23" s="1"/>
  <c r="MZ14" i="23"/>
  <c r="NG14" i="23" s="1"/>
  <c r="MZ15" i="23"/>
  <c r="NG15" i="23" s="1"/>
  <c r="OH5" i="23"/>
  <c r="OO5" i="23" s="1"/>
  <c r="OH8" i="23"/>
  <c r="OO8" i="23" s="1"/>
  <c r="PP15" i="23"/>
  <c r="PW15" i="23" s="1"/>
  <c r="QX5" i="23"/>
  <c r="RE5" i="23" s="1"/>
  <c r="QX8" i="23"/>
  <c r="RE8" i="23" s="1"/>
  <c r="PP13" i="23"/>
  <c r="PW13" i="23" s="1"/>
  <c r="KJ13" i="23"/>
  <c r="KQ13" i="23" s="1"/>
  <c r="FD13" i="23"/>
  <c r="FK13" i="23" s="1"/>
  <c r="PX16" i="4"/>
  <c r="QE16" i="4" s="1"/>
  <c r="PX18" i="4"/>
  <c r="QE18" i="4" s="1"/>
  <c r="RF23" i="4"/>
  <c r="RM23" i="4" s="1"/>
  <c r="CO13" i="24"/>
  <c r="CS13" i="24" s="1"/>
  <c r="FD12" i="24"/>
  <c r="FK12" i="24" s="1"/>
  <c r="OH9" i="23"/>
  <c r="OO9" i="23" s="1"/>
  <c r="LR9" i="23"/>
  <c r="LY9" i="23" s="1"/>
  <c r="JB9" i="23"/>
  <c r="JI9" i="23" s="1"/>
  <c r="FD4" i="23"/>
  <c r="FK4" i="23" s="1"/>
  <c r="QX13" i="23"/>
  <c r="RE13" i="23" s="1"/>
  <c r="OH13" i="23"/>
  <c r="OO13" i="23" s="1"/>
  <c r="LR13" i="23"/>
  <c r="LY13" i="23" s="1"/>
  <c r="JB13" i="23"/>
  <c r="JI13" i="23" s="1"/>
  <c r="DV13" i="23"/>
  <c r="EC13" i="23" s="1"/>
  <c r="PX23" i="4"/>
  <c r="QE23" i="4" s="1"/>
  <c r="RF6" i="4"/>
  <c r="RM6" i="4" s="1"/>
  <c r="RF9" i="4"/>
  <c r="RM9" i="4" s="1"/>
  <c r="RF16" i="4"/>
  <c r="RM16" i="4" s="1"/>
  <c r="RF18" i="4"/>
  <c r="RM18" i="4" s="1"/>
  <c r="RF11" i="4"/>
  <c r="RM11" i="4" s="1"/>
  <c r="PX19" i="4"/>
  <c r="QE19" i="4" s="1"/>
  <c r="KR19" i="4"/>
  <c r="KY19" i="4" s="1"/>
  <c r="FL19" i="4"/>
  <c r="FS19" i="4" s="1"/>
  <c r="PP13" i="24"/>
  <c r="PW13" i="24" s="1"/>
  <c r="QX13" i="24"/>
  <c r="RE13" i="24" s="1"/>
  <c r="FD9" i="23"/>
  <c r="FK9" i="23" s="1"/>
  <c r="GL9" i="23"/>
  <c r="GS9" i="23" s="1"/>
  <c r="TM13" i="23"/>
  <c r="MZ13" i="23"/>
  <c r="NG13" i="23" s="1"/>
  <c r="KJ9" i="23"/>
  <c r="KQ9" i="23" s="1"/>
  <c r="DV9" i="23"/>
  <c r="EC9" i="23" s="1"/>
  <c r="PX5" i="22"/>
  <c r="QE5" i="22" s="1"/>
  <c r="PX13" i="22"/>
  <c r="QE13" i="22" s="1"/>
  <c r="PX7" i="22"/>
  <c r="QE7" i="22" s="1"/>
  <c r="PX12" i="22"/>
  <c r="QE12" i="22" s="1"/>
  <c r="PX10" i="22"/>
  <c r="QE10" i="22" s="1"/>
  <c r="PX17" i="22"/>
  <c r="QE17" i="22" s="1"/>
  <c r="PX15" i="22"/>
  <c r="QE15" i="22" s="1"/>
  <c r="RF5" i="22"/>
  <c r="RM5" i="22" s="1"/>
  <c r="RF13" i="22"/>
  <c r="RM13" i="22" s="1"/>
  <c r="RF7" i="22"/>
  <c r="RM7" i="22" s="1"/>
  <c r="RF15" i="22"/>
  <c r="RM15" i="22" s="1"/>
  <c r="SF13" i="24"/>
  <c r="SM13" i="24" s="1"/>
  <c r="MZ13" i="24"/>
  <c r="NG13" i="24" s="1"/>
  <c r="HT13" i="24"/>
  <c r="IA13" i="24" s="1"/>
  <c r="TF13" i="24"/>
  <c r="L13" i="24"/>
  <c r="CU13" i="24" s="1"/>
  <c r="TM13" i="24"/>
  <c r="TI13" i="24"/>
  <c r="J13" i="24"/>
  <c r="K13" i="24" s="1"/>
  <c r="I13" i="24"/>
  <c r="QX10" i="24"/>
  <c r="RE10" i="24" s="1"/>
  <c r="OH10" i="24"/>
  <c r="OO10" i="24" s="1"/>
  <c r="LR10" i="24"/>
  <c r="LY10" i="24" s="1"/>
  <c r="CO9" i="23"/>
  <c r="CS9" i="23" s="1"/>
  <c r="CO4" i="23"/>
  <c r="CS4" i="23" s="1"/>
  <c r="CO13" i="23"/>
  <c r="CS13" i="23" s="1"/>
  <c r="SF13" i="23"/>
  <c r="SM13" i="23" s="1"/>
  <c r="HT13" i="23"/>
  <c r="IA13" i="23" s="1"/>
  <c r="GL13" i="23"/>
  <c r="GS13" i="23" s="1"/>
  <c r="TI13" i="23"/>
  <c r="J13" i="23"/>
  <c r="K13" i="23" s="1"/>
  <c r="L13" i="23"/>
  <c r="CU13" i="23" s="1"/>
  <c r="I13" i="23"/>
  <c r="TF13" i="23"/>
  <c r="JB4" i="23"/>
  <c r="JI4" i="23" s="1"/>
  <c r="GL4" i="23"/>
  <c r="GS4" i="23" s="1"/>
  <c r="DV4" i="23"/>
  <c r="EC4" i="23" s="1"/>
  <c r="SF9" i="23"/>
  <c r="SM9" i="23" s="1"/>
  <c r="QX9" i="23"/>
  <c r="RE9" i="23" s="1"/>
  <c r="MZ9" i="23"/>
  <c r="NG9" i="23" s="1"/>
  <c r="HT9" i="23"/>
  <c r="IA9" i="23" s="1"/>
  <c r="TI9" i="23"/>
  <c r="TF9" i="23"/>
  <c r="TM9" i="23"/>
  <c r="L9" i="23"/>
  <c r="CU9" i="23" s="1"/>
  <c r="J9" i="23"/>
  <c r="I9" i="23"/>
  <c r="PP4" i="23"/>
  <c r="PW4" i="23" s="1"/>
  <c r="KJ4" i="23"/>
  <c r="KQ4" i="23" s="1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GL10" i="24"/>
  <c r="GS10" i="24" s="1"/>
  <c r="RF12" i="4"/>
  <c r="RM12" i="4" s="1"/>
  <c r="RF10" i="4"/>
  <c r="RM10" i="4" s="1"/>
  <c r="CW19" i="4"/>
  <c r="DA19" i="4" s="1"/>
  <c r="JB10" i="24"/>
  <c r="JI10" i="24" s="1"/>
  <c r="PP10" i="24"/>
  <c r="PW10" i="24" s="1"/>
  <c r="KJ10" i="24"/>
  <c r="KQ10" i="24" s="1"/>
  <c r="FD10" i="24"/>
  <c r="FK10" i="24" s="1"/>
  <c r="KR7" i="4"/>
  <c r="KY7" i="4" s="1"/>
  <c r="KR9" i="4"/>
  <c r="KY9" i="4" s="1"/>
  <c r="TN19" i="4"/>
  <c r="SN19" i="4"/>
  <c r="SU19" i="4" s="1"/>
  <c r="RF19" i="4"/>
  <c r="RM19" i="4" s="1"/>
  <c r="NH19" i="4"/>
  <c r="NO19" i="4" s="1"/>
  <c r="IB19" i="4"/>
  <c r="II19" i="4" s="1"/>
  <c r="L19" i="4"/>
  <c r="M19" i="4" s="1"/>
  <c r="J19" i="4"/>
  <c r="K19" i="4" s="1"/>
  <c r="TU19" i="4"/>
  <c r="TQ19" i="4"/>
  <c r="T19" i="4"/>
  <c r="U19" i="4" s="1"/>
  <c r="R19" i="4"/>
  <c r="S19" i="4" s="1"/>
  <c r="I19" i="4"/>
  <c r="P19" i="4"/>
  <c r="N19" i="4"/>
  <c r="HT12" i="24"/>
  <c r="IA12" i="24" s="1"/>
  <c r="HT7" i="24"/>
  <c r="IA7" i="24" s="1"/>
  <c r="HT11" i="24"/>
  <c r="IA11" i="24" s="1"/>
  <c r="HT15" i="24"/>
  <c r="IA15" i="24" s="1"/>
  <c r="JB4" i="24"/>
  <c r="JI4" i="24" s="1"/>
  <c r="JB12" i="24"/>
  <c r="JI12" i="24" s="1"/>
  <c r="JB7" i="24"/>
  <c r="JI7" i="24" s="1"/>
  <c r="JB11" i="24"/>
  <c r="JI11" i="24" s="1"/>
  <c r="JB15" i="24"/>
  <c r="JI15" i="24" s="1"/>
  <c r="KJ11" i="24"/>
  <c r="KQ11" i="24" s="1"/>
  <c r="KJ15" i="24"/>
  <c r="KQ15" i="24" s="1"/>
  <c r="LR12" i="24"/>
  <c r="LY12" i="24" s="1"/>
  <c r="LR7" i="24"/>
  <c r="LY7" i="24" s="1"/>
  <c r="LR11" i="24"/>
  <c r="LY11" i="24" s="1"/>
  <c r="LR15" i="24"/>
  <c r="LY15" i="24" s="1"/>
  <c r="OH12" i="24"/>
  <c r="OO12" i="24" s="1"/>
  <c r="OH7" i="24"/>
  <c r="OO7" i="24" s="1"/>
  <c r="OH11" i="24"/>
  <c r="OO11" i="24" s="1"/>
  <c r="OH15" i="24"/>
  <c r="OO15" i="24" s="1"/>
  <c r="PP4" i="24"/>
  <c r="PW4" i="24" s="1"/>
  <c r="PP15" i="24"/>
  <c r="PW15" i="24" s="1"/>
  <c r="SF6" i="23"/>
  <c r="SM6" i="23" s="1"/>
  <c r="PX20" i="4"/>
  <c r="QE20" i="4" s="1"/>
  <c r="RF17" i="4"/>
  <c r="RM17" i="4" s="1"/>
  <c r="IB9" i="4"/>
  <c r="II9" i="4" s="1"/>
  <c r="KR10" i="4"/>
  <c r="KY10" i="4" s="1"/>
  <c r="KR18" i="4"/>
  <c r="KY18" i="4" s="1"/>
  <c r="KR11" i="4"/>
  <c r="KY11" i="4" s="1"/>
  <c r="KR23" i="4"/>
  <c r="KY23" i="4" s="1"/>
  <c r="NH9" i="4"/>
  <c r="NO9" i="4" s="1"/>
  <c r="NH10" i="4"/>
  <c r="NO10" i="4" s="1"/>
  <c r="NH16" i="4"/>
  <c r="NO16" i="4" s="1"/>
  <c r="NH18" i="4"/>
  <c r="NO18" i="4" s="1"/>
  <c r="OH6" i="23"/>
  <c r="OO6" i="23" s="1"/>
  <c r="NH12" i="22"/>
  <c r="NO12" i="22" s="1"/>
  <c r="NH10" i="22"/>
  <c r="NO10" i="22" s="1"/>
  <c r="NH17" i="22"/>
  <c r="NO17" i="22" s="1"/>
  <c r="NH15" i="22"/>
  <c r="NO15" i="22" s="1"/>
  <c r="LZ17" i="4"/>
  <c r="MG17" i="4" s="1"/>
  <c r="KR20" i="4"/>
  <c r="KY20" i="4" s="1"/>
  <c r="QX4" i="24"/>
  <c r="RE4" i="24" s="1"/>
  <c r="CS10" i="24"/>
  <c r="GL5" i="24"/>
  <c r="GS5" i="24" s="1"/>
  <c r="DV15" i="23"/>
  <c r="EC15" i="23" s="1"/>
  <c r="FD8" i="23"/>
  <c r="FK8" i="23" s="1"/>
  <c r="FD14" i="23"/>
  <c r="FK14" i="23" s="1"/>
  <c r="FD15" i="23"/>
  <c r="FK15" i="23" s="1"/>
  <c r="GL5" i="23"/>
  <c r="GS5" i="23" s="1"/>
  <c r="GL8" i="23"/>
  <c r="GS8" i="23" s="1"/>
  <c r="HT8" i="23"/>
  <c r="IA8" i="23" s="1"/>
  <c r="HT14" i="23"/>
  <c r="IA14" i="23" s="1"/>
  <c r="HT15" i="23"/>
  <c r="IA15" i="23" s="1"/>
  <c r="JB5" i="23"/>
  <c r="JI5" i="23" s="1"/>
  <c r="JB8" i="23"/>
  <c r="JI8" i="23" s="1"/>
  <c r="JB15" i="23"/>
  <c r="JI15" i="23" s="1"/>
  <c r="KJ5" i="23"/>
  <c r="KQ5" i="23" s="1"/>
  <c r="LR8" i="23"/>
  <c r="LY8" i="23" s="1"/>
  <c r="ED11" i="22"/>
  <c r="EK11" i="22" s="1"/>
  <c r="GT11" i="22"/>
  <c r="HA11" i="22" s="1"/>
  <c r="IB4" i="22"/>
  <c r="II4" i="22" s="1"/>
  <c r="IB6" i="22"/>
  <c r="II6" i="22" s="1"/>
  <c r="RF6" i="22"/>
  <c r="RM6" i="22" s="1"/>
  <c r="RF11" i="22"/>
  <c r="RM11" i="22" s="1"/>
  <c r="RF14" i="22"/>
  <c r="RM14" i="22" s="1"/>
  <c r="IB8" i="22"/>
  <c r="II8" i="22" s="1"/>
  <c r="LZ20" i="4"/>
  <c r="MG20" i="4" s="1"/>
  <c r="ED5" i="4"/>
  <c r="EK5" i="4" s="1"/>
  <c r="GT4" i="4"/>
  <c r="HA4" i="4" s="1"/>
  <c r="GT5" i="4"/>
  <c r="HA5" i="4" s="1"/>
  <c r="GT14" i="4"/>
  <c r="HA14" i="4" s="1"/>
  <c r="IB4" i="4"/>
  <c r="II4" i="4" s="1"/>
  <c r="IB5" i="4"/>
  <c r="II5" i="4" s="1"/>
  <c r="ED8" i="4"/>
  <c r="EK8" i="4" s="1"/>
  <c r="ED13" i="4"/>
  <c r="EK13" i="4" s="1"/>
  <c r="MZ4" i="24"/>
  <c r="NG4" i="24" s="1"/>
  <c r="OP5" i="22"/>
  <c r="OW5" i="22" s="1"/>
  <c r="PP12" i="24"/>
  <c r="PW12" i="24" s="1"/>
  <c r="PP7" i="24"/>
  <c r="PW7" i="24" s="1"/>
  <c r="FD8" i="24"/>
  <c r="FK8" i="24" s="1"/>
  <c r="LR8" i="24"/>
  <c r="LY8" i="24" s="1"/>
  <c r="LR6" i="24"/>
  <c r="LY6" i="24" s="1"/>
  <c r="LR14" i="24"/>
  <c r="LY14" i="24" s="1"/>
  <c r="OH14" i="24"/>
  <c r="OO14" i="24" s="1"/>
  <c r="PP8" i="24"/>
  <c r="PW8" i="24" s="1"/>
  <c r="PP11" i="24"/>
  <c r="PW11" i="24" s="1"/>
  <c r="QX15" i="24"/>
  <c r="RE15" i="24" s="1"/>
  <c r="DV10" i="23"/>
  <c r="EC10" i="23" s="1"/>
  <c r="FD7" i="23"/>
  <c r="FK7" i="23" s="1"/>
  <c r="GL10" i="23"/>
  <c r="GS10" i="23" s="1"/>
  <c r="OH7" i="23"/>
  <c r="OO7" i="23" s="1"/>
  <c r="OH10" i="23"/>
  <c r="OO10" i="23" s="1"/>
  <c r="PP10" i="23"/>
  <c r="PW10" i="23" s="1"/>
  <c r="CS6" i="23"/>
  <c r="IB14" i="22"/>
  <c r="II14" i="22" s="1"/>
  <c r="JJ16" i="22"/>
  <c r="JQ16" i="22" s="1"/>
  <c r="KR4" i="22"/>
  <c r="KY4" i="22" s="1"/>
  <c r="LZ16" i="22"/>
  <c r="MG16" i="22" s="1"/>
  <c r="ED5" i="22"/>
  <c r="EK5" i="22" s="1"/>
  <c r="ED13" i="22"/>
  <c r="EK13" i="22" s="1"/>
  <c r="ED7" i="22"/>
  <c r="EK7" i="22" s="1"/>
  <c r="ED12" i="22"/>
  <c r="EK12" i="22" s="1"/>
  <c r="ED10" i="22"/>
  <c r="EK10" i="22" s="1"/>
  <c r="ED15" i="22"/>
  <c r="EK15" i="22" s="1"/>
  <c r="FL12" i="22"/>
  <c r="FS12" i="22" s="1"/>
  <c r="FL10" i="22"/>
  <c r="FS10" i="22" s="1"/>
  <c r="FL17" i="22"/>
  <c r="FS17" i="22" s="1"/>
  <c r="FL15" i="22"/>
  <c r="FS15" i="22" s="1"/>
  <c r="GT5" i="22"/>
  <c r="HA5" i="22" s="1"/>
  <c r="GT13" i="22"/>
  <c r="HA13" i="22" s="1"/>
  <c r="GT7" i="22"/>
  <c r="HA7" i="22" s="1"/>
  <c r="GT12" i="22"/>
  <c r="HA12" i="22" s="1"/>
  <c r="GT10" i="22"/>
  <c r="HA10" i="22" s="1"/>
  <c r="IB13" i="22"/>
  <c r="II13" i="22" s="1"/>
  <c r="IB7" i="22"/>
  <c r="II7" i="22" s="1"/>
  <c r="JJ5" i="22"/>
  <c r="JQ5" i="22" s="1"/>
  <c r="LZ5" i="22"/>
  <c r="MG5" i="22" s="1"/>
  <c r="LZ15" i="22"/>
  <c r="MG15" i="22" s="1"/>
  <c r="NH13" i="22"/>
  <c r="NO13" i="22" s="1"/>
  <c r="OP7" i="22"/>
  <c r="OW7" i="22" s="1"/>
  <c r="FL9" i="22"/>
  <c r="FS9" i="22" s="1"/>
  <c r="FL16" i="22"/>
  <c r="FS16" i="22" s="1"/>
  <c r="GT4" i="22"/>
  <c r="HA4" i="22" s="1"/>
  <c r="NH8" i="22"/>
  <c r="NO8" i="22" s="1"/>
  <c r="NH9" i="22"/>
  <c r="NO9" i="22" s="1"/>
  <c r="NH16" i="22"/>
  <c r="NO16" i="22" s="1"/>
  <c r="PX4" i="22"/>
  <c r="QE4" i="22" s="1"/>
  <c r="PX8" i="22"/>
  <c r="QE8" i="22" s="1"/>
  <c r="PX9" i="22"/>
  <c r="QE9" i="22" s="1"/>
  <c r="PX16" i="22"/>
  <c r="QE16" i="22" s="1"/>
  <c r="RF4" i="22"/>
  <c r="RM4" i="22" s="1"/>
  <c r="GT15" i="22"/>
  <c r="HA15" i="22" s="1"/>
  <c r="IB15" i="22"/>
  <c r="II15" i="22" s="1"/>
  <c r="IB11" i="22"/>
  <c r="II11" i="22" s="1"/>
  <c r="JJ7" i="22"/>
  <c r="JQ7" i="22" s="1"/>
  <c r="JJ10" i="22"/>
  <c r="JQ10" i="22" s="1"/>
  <c r="KR15" i="22"/>
  <c r="KY15" i="22" s="1"/>
  <c r="IB8" i="4"/>
  <c r="II8" i="4" s="1"/>
  <c r="ED9" i="4"/>
  <c r="EK9" i="4" s="1"/>
  <c r="FL5" i="4"/>
  <c r="FS5" i="4" s="1"/>
  <c r="IB23" i="4"/>
  <c r="II23" i="4" s="1"/>
  <c r="JJ6" i="4"/>
  <c r="JQ6" i="4" s="1"/>
  <c r="JJ9" i="4"/>
  <c r="JQ9" i="4" s="1"/>
  <c r="IB13" i="4"/>
  <c r="II13" i="4" s="1"/>
  <c r="IB14" i="4"/>
  <c r="II14" i="4" s="1"/>
  <c r="IB20" i="4"/>
  <c r="II20" i="4" s="1"/>
  <c r="JJ5" i="4"/>
  <c r="JQ5" i="4" s="1"/>
  <c r="KR4" i="4"/>
  <c r="KY4" i="4" s="1"/>
  <c r="KR5" i="4"/>
  <c r="KY5" i="4" s="1"/>
  <c r="NH14" i="4"/>
  <c r="NO14" i="4" s="1"/>
  <c r="DV10" i="24"/>
  <c r="EC10" i="24" s="1"/>
  <c r="PP6" i="24"/>
  <c r="PW6" i="24" s="1"/>
  <c r="CS15" i="24"/>
  <c r="GL4" i="24"/>
  <c r="GS4" i="24" s="1"/>
  <c r="DV5" i="24"/>
  <c r="EC5" i="24" s="1"/>
  <c r="HT5" i="24"/>
  <c r="IA5" i="24" s="1"/>
  <c r="QX7" i="24"/>
  <c r="RE7" i="24" s="1"/>
  <c r="DV4" i="24"/>
  <c r="EC4" i="24" s="1"/>
  <c r="DV7" i="24"/>
  <c r="EC7" i="24" s="1"/>
  <c r="GL7" i="24"/>
  <c r="GS7" i="24" s="1"/>
  <c r="GL15" i="24"/>
  <c r="GS15" i="24" s="1"/>
  <c r="HT4" i="24"/>
  <c r="IA4" i="24" s="1"/>
  <c r="KJ4" i="24"/>
  <c r="KQ4" i="24" s="1"/>
  <c r="KJ7" i="24"/>
  <c r="KQ7" i="24" s="1"/>
  <c r="MZ10" i="24"/>
  <c r="NG10" i="24" s="1"/>
  <c r="HT10" i="24"/>
  <c r="IA10" i="24" s="1"/>
  <c r="KJ8" i="24"/>
  <c r="KQ8" i="24" s="1"/>
  <c r="KJ5" i="24"/>
  <c r="KQ5" i="24" s="1"/>
  <c r="MZ7" i="24"/>
  <c r="NG7" i="24" s="1"/>
  <c r="MZ15" i="24"/>
  <c r="NG15" i="24" s="1"/>
  <c r="OH4" i="24"/>
  <c r="OO4" i="24" s="1"/>
  <c r="FD6" i="24"/>
  <c r="FK6" i="24" s="1"/>
  <c r="FD14" i="24"/>
  <c r="FK14" i="24" s="1"/>
  <c r="MZ5" i="24"/>
  <c r="NG5" i="24" s="1"/>
  <c r="OH5" i="24"/>
  <c r="OO5" i="24" s="1"/>
  <c r="TF10" i="24"/>
  <c r="FD7" i="24"/>
  <c r="FK7" i="24" s="1"/>
  <c r="FD11" i="24"/>
  <c r="FK11" i="24" s="1"/>
  <c r="FD15" i="24"/>
  <c r="FK15" i="24" s="1"/>
  <c r="HT14" i="24"/>
  <c r="IA14" i="24" s="1"/>
  <c r="JB8" i="24"/>
  <c r="JI8" i="24" s="1"/>
  <c r="JB6" i="24"/>
  <c r="JI6" i="24" s="1"/>
  <c r="CS10" i="23"/>
  <c r="DV8" i="23"/>
  <c r="EC8" i="23" s="1"/>
  <c r="DV12" i="23"/>
  <c r="EC12" i="23" s="1"/>
  <c r="LR12" i="23"/>
  <c r="LY12" i="23" s="1"/>
  <c r="MZ12" i="23"/>
  <c r="NG12" i="23" s="1"/>
  <c r="MZ7" i="23"/>
  <c r="NG7" i="23" s="1"/>
  <c r="JB6" i="23"/>
  <c r="JI6" i="23" s="1"/>
  <c r="QX7" i="23"/>
  <c r="RE7" i="23" s="1"/>
  <c r="SF10" i="23"/>
  <c r="SM10" i="23" s="1"/>
  <c r="JB10" i="23"/>
  <c r="JI10" i="23" s="1"/>
  <c r="KJ7" i="23"/>
  <c r="KQ7" i="23" s="1"/>
  <c r="KJ10" i="23"/>
  <c r="KQ10" i="23" s="1"/>
  <c r="LR10" i="23"/>
  <c r="LY10" i="23" s="1"/>
  <c r="GL15" i="23"/>
  <c r="GS15" i="23" s="1"/>
  <c r="GL6" i="23"/>
  <c r="GS6" i="23" s="1"/>
  <c r="DV6" i="23"/>
  <c r="EC6" i="23" s="1"/>
  <c r="GL12" i="23"/>
  <c r="GS12" i="23" s="1"/>
  <c r="JB12" i="23"/>
  <c r="JI12" i="23" s="1"/>
  <c r="LR15" i="23"/>
  <c r="LY15" i="23" s="1"/>
  <c r="TM6" i="23"/>
  <c r="PP6" i="23"/>
  <c r="PW6" i="23" s="1"/>
  <c r="DV5" i="23"/>
  <c r="EC5" i="23" s="1"/>
  <c r="HT7" i="23"/>
  <c r="IA7" i="23" s="1"/>
  <c r="MZ10" i="23"/>
  <c r="NG10" i="23" s="1"/>
  <c r="PP12" i="23"/>
  <c r="PW12" i="23" s="1"/>
  <c r="HT6" i="23"/>
  <c r="IA6" i="23" s="1"/>
  <c r="ED14" i="22"/>
  <c r="EK14" i="22" s="1"/>
  <c r="FL5" i="22"/>
  <c r="FS5" i="22" s="1"/>
  <c r="FL7" i="22"/>
  <c r="FS7" i="22" s="1"/>
  <c r="IB12" i="22"/>
  <c r="II12" i="22" s="1"/>
  <c r="IB10" i="22"/>
  <c r="II10" i="22" s="1"/>
  <c r="LZ6" i="22"/>
  <c r="MG6" i="22" s="1"/>
  <c r="LZ11" i="22"/>
  <c r="MG11" i="22" s="1"/>
  <c r="OP6" i="22"/>
  <c r="OW6" i="22" s="1"/>
  <c r="OP10" i="22"/>
  <c r="OW10" i="22" s="1"/>
  <c r="OP15" i="22"/>
  <c r="OW15" i="22" s="1"/>
  <c r="FL6" i="22"/>
  <c r="FS6" i="22" s="1"/>
  <c r="KR8" i="22"/>
  <c r="KY8" i="22" s="1"/>
  <c r="KR9" i="22"/>
  <c r="KY9" i="22" s="1"/>
  <c r="KR16" i="22"/>
  <c r="KY16" i="22" s="1"/>
  <c r="OP11" i="22"/>
  <c r="OW11" i="22" s="1"/>
  <c r="OP14" i="22"/>
  <c r="OW14" i="22" s="1"/>
  <c r="ED4" i="22"/>
  <c r="EK4" i="22" s="1"/>
  <c r="ED8" i="22"/>
  <c r="EK8" i="22" s="1"/>
  <c r="GT14" i="22"/>
  <c r="HA14" i="22" s="1"/>
  <c r="IB5" i="22"/>
  <c r="II5" i="22" s="1"/>
  <c r="JJ15" i="22"/>
  <c r="JQ15" i="22" s="1"/>
  <c r="KR5" i="22"/>
  <c r="KY5" i="22" s="1"/>
  <c r="KR13" i="22"/>
  <c r="KY13" i="22" s="1"/>
  <c r="KR7" i="22"/>
  <c r="KY7" i="22" s="1"/>
  <c r="KR12" i="22"/>
  <c r="KY12" i="22" s="1"/>
  <c r="KR10" i="22"/>
  <c r="KY10" i="22" s="1"/>
  <c r="RF10" i="22"/>
  <c r="RM10" i="22" s="1"/>
  <c r="GT8" i="22"/>
  <c r="HA8" i="22" s="1"/>
  <c r="IB16" i="22"/>
  <c r="II16" i="22" s="1"/>
  <c r="JJ6" i="22"/>
  <c r="JQ6" i="22" s="1"/>
  <c r="JJ11" i="22"/>
  <c r="JQ11" i="22" s="1"/>
  <c r="LZ7" i="22"/>
  <c r="MG7" i="22" s="1"/>
  <c r="LZ10" i="22"/>
  <c r="MG10" i="22" s="1"/>
  <c r="ED9" i="22"/>
  <c r="EK9" i="22" s="1"/>
  <c r="GT9" i="22"/>
  <c r="HA9" i="22" s="1"/>
  <c r="ED16" i="22"/>
  <c r="EK16" i="22" s="1"/>
  <c r="FL11" i="22"/>
  <c r="FS11" i="22" s="1"/>
  <c r="GT16" i="22"/>
  <c r="HA16" i="22" s="1"/>
  <c r="IB17" i="22"/>
  <c r="II17" i="22" s="1"/>
  <c r="JJ4" i="22"/>
  <c r="JQ4" i="22" s="1"/>
  <c r="JJ14" i="22"/>
  <c r="JQ14" i="22" s="1"/>
  <c r="KR17" i="22"/>
  <c r="KY17" i="22" s="1"/>
  <c r="LZ4" i="22"/>
  <c r="MG4" i="22" s="1"/>
  <c r="LZ14" i="22"/>
  <c r="MG14" i="22" s="1"/>
  <c r="OP8" i="22"/>
  <c r="OW8" i="22" s="1"/>
  <c r="RF8" i="22"/>
  <c r="RM8" i="22" s="1"/>
  <c r="ED17" i="22"/>
  <c r="EK17" i="22" s="1"/>
  <c r="FL4" i="22"/>
  <c r="FS4" i="22" s="1"/>
  <c r="FL14" i="22"/>
  <c r="FS14" i="22" s="1"/>
  <c r="GT17" i="22"/>
  <c r="HA17" i="22" s="1"/>
  <c r="JJ8" i="22"/>
  <c r="JQ8" i="22" s="1"/>
  <c r="LZ8" i="22"/>
  <c r="MG8" i="22" s="1"/>
  <c r="NH11" i="22"/>
  <c r="NO11" i="22" s="1"/>
  <c r="OP13" i="22"/>
  <c r="OW13" i="22" s="1"/>
  <c r="OP9" i="22"/>
  <c r="OW9" i="22" s="1"/>
  <c r="PX6" i="22"/>
  <c r="QE6" i="22" s="1"/>
  <c r="RF9" i="22"/>
  <c r="RM9" i="22" s="1"/>
  <c r="FL8" i="22"/>
  <c r="FS8" i="22" s="1"/>
  <c r="IB9" i="22"/>
  <c r="II9" i="22" s="1"/>
  <c r="JJ13" i="22"/>
  <c r="JQ13" i="22" s="1"/>
  <c r="JJ9" i="22"/>
  <c r="JQ9" i="22" s="1"/>
  <c r="KR6" i="22"/>
  <c r="KY6" i="22" s="1"/>
  <c r="LZ13" i="22"/>
  <c r="MG13" i="22" s="1"/>
  <c r="LZ9" i="22"/>
  <c r="MG9" i="22" s="1"/>
  <c r="NH14" i="22"/>
  <c r="NO14" i="22" s="1"/>
  <c r="OP12" i="22"/>
  <c r="OW12" i="22" s="1"/>
  <c r="OP16" i="22"/>
  <c r="OW16" i="22" s="1"/>
  <c r="PX11" i="22"/>
  <c r="QE11" i="22" s="1"/>
  <c r="RF12" i="22"/>
  <c r="RM12" i="22" s="1"/>
  <c r="RF16" i="22"/>
  <c r="RM16" i="22" s="1"/>
  <c r="ED6" i="22"/>
  <c r="EK6" i="22" s="1"/>
  <c r="FL13" i="22"/>
  <c r="FS13" i="22" s="1"/>
  <c r="GT6" i="22"/>
  <c r="HA6" i="22" s="1"/>
  <c r="JJ12" i="22"/>
  <c r="JQ12" i="22" s="1"/>
  <c r="KR11" i="22"/>
  <c r="KY11" i="22" s="1"/>
  <c r="LZ12" i="22"/>
  <c r="MG12" i="22" s="1"/>
  <c r="OP4" i="22"/>
  <c r="OW4" i="22" s="1"/>
  <c r="OP17" i="22"/>
  <c r="OW17" i="22" s="1"/>
  <c r="PX14" i="22"/>
  <c r="QE14" i="22" s="1"/>
  <c r="RF17" i="22"/>
  <c r="RM17" i="22" s="1"/>
  <c r="JJ17" i="22"/>
  <c r="JQ17" i="22" s="1"/>
  <c r="KR14" i="22"/>
  <c r="KY14" i="22" s="1"/>
  <c r="LZ17" i="22"/>
  <c r="MG17" i="22" s="1"/>
  <c r="LZ6" i="4"/>
  <c r="MG6" i="4" s="1"/>
  <c r="LZ9" i="4"/>
  <c r="MG9" i="4" s="1"/>
  <c r="LZ18" i="4"/>
  <c r="MG18" i="4" s="1"/>
  <c r="NH6" i="4"/>
  <c r="NO6" i="4" s="1"/>
  <c r="ED18" i="4"/>
  <c r="EK18" i="4" s="1"/>
  <c r="ED23" i="4"/>
  <c r="EK23" i="4" s="1"/>
  <c r="FL20" i="4"/>
  <c r="FS20" i="4" s="1"/>
  <c r="NH23" i="4"/>
  <c r="NO23" i="4" s="1"/>
  <c r="OP9" i="4"/>
  <c r="OW9" i="4" s="1"/>
  <c r="OP23" i="4"/>
  <c r="OW23" i="4" s="1"/>
  <c r="FL7" i="4"/>
  <c r="FS7" i="4" s="1"/>
  <c r="FL9" i="4"/>
  <c r="FS9" i="4" s="1"/>
  <c r="FL10" i="4"/>
  <c r="FS10" i="4" s="1"/>
  <c r="FL18" i="4"/>
  <c r="FS18" i="4" s="1"/>
  <c r="FL11" i="4"/>
  <c r="FS11" i="4" s="1"/>
  <c r="FL23" i="4"/>
  <c r="FS23" i="4" s="1"/>
  <c r="GT7" i="4"/>
  <c r="HA7" i="4" s="1"/>
  <c r="GT9" i="4"/>
  <c r="HA9" i="4" s="1"/>
  <c r="GT16" i="4"/>
  <c r="HA16" i="4" s="1"/>
  <c r="GT18" i="4"/>
  <c r="HA18" i="4" s="1"/>
  <c r="GT11" i="4"/>
  <c r="HA11" i="4" s="1"/>
  <c r="GT23" i="4"/>
  <c r="HA23" i="4" s="1"/>
  <c r="IB7" i="4"/>
  <c r="II7" i="4" s="1"/>
  <c r="NH22" i="4"/>
  <c r="NO22" i="4" s="1"/>
  <c r="OP5" i="4"/>
  <c r="OW5" i="4" s="1"/>
  <c r="OP13" i="4"/>
  <c r="OW13" i="4" s="1"/>
  <c r="OP22" i="4"/>
  <c r="OW22" i="4" s="1"/>
  <c r="PX17" i="4"/>
  <c r="QE17" i="4" s="1"/>
  <c r="PX14" i="4"/>
  <c r="QE14" i="4" s="1"/>
  <c r="JJ16" i="4"/>
  <c r="JQ16" i="4" s="1"/>
  <c r="JJ18" i="4"/>
  <c r="JQ18" i="4" s="1"/>
  <c r="NH5" i="4"/>
  <c r="NO5" i="4" s="1"/>
  <c r="ED10" i="4"/>
  <c r="EK10" i="4" s="1"/>
  <c r="GT17" i="4"/>
  <c r="HA17" i="4" s="1"/>
  <c r="JJ8" i="4"/>
  <c r="JQ8" i="4" s="1"/>
  <c r="JJ10" i="4"/>
  <c r="JQ10" i="4" s="1"/>
  <c r="JJ23" i="4"/>
  <c r="JQ23" i="4" s="1"/>
  <c r="LZ12" i="4"/>
  <c r="MG12" i="4" s="1"/>
  <c r="LZ10" i="4"/>
  <c r="MG10" i="4" s="1"/>
  <c r="LZ11" i="4"/>
  <c r="MG11" i="4" s="1"/>
  <c r="LZ23" i="4"/>
  <c r="MG23" i="4" s="1"/>
  <c r="NH17" i="4"/>
  <c r="NO17" i="4" s="1"/>
  <c r="PX5" i="4"/>
  <c r="QE5" i="4" s="1"/>
  <c r="PX10" i="4"/>
  <c r="QE10" i="4" s="1"/>
  <c r="IB22" i="4"/>
  <c r="II22" i="4" s="1"/>
  <c r="FL4" i="4"/>
  <c r="FS4" i="4" s="1"/>
  <c r="IB12" i="4"/>
  <c r="II12" i="4" s="1"/>
  <c r="IB10" i="4"/>
  <c r="II10" i="4" s="1"/>
  <c r="IB16" i="4"/>
  <c r="II16" i="4" s="1"/>
  <c r="IB18" i="4"/>
  <c r="II18" i="4" s="1"/>
  <c r="KR13" i="4"/>
  <c r="KY13" i="4" s="1"/>
  <c r="OP6" i="4"/>
  <c r="OW6" i="4" s="1"/>
  <c r="OP20" i="4"/>
  <c r="OW20" i="4" s="1"/>
  <c r="KR22" i="4"/>
  <c r="KY22" i="4" s="1"/>
  <c r="OP12" i="4"/>
  <c r="OW12" i="4" s="1"/>
  <c r="OP10" i="4"/>
  <c r="OW10" i="4" s="1"/>
  <c r="OP16" i="4"/>
  <c r="OW16" i="4" s="1"/>
  <c r="OP18" i="4"/>
  <c r="OW18" i="4" s="1"/>
  <c r="PX22" i="4"/>
  <c r="QE22" i="4" s="1"/>
  <c r="RF4" i="4"/>
  <c r="RM4" i="4" s="1"/>
  <c r="RF5" i="4"/>
  <c r="RM5" i="4" s="1"/>
  <c r="RF8" i="4"/>
  <c r="RM8" i="4" s="1"/>
  <c r="RF22" i="4"/>
  <c r="RM22" i="4" s="1"/>
  <c r="FL13" i="4"/>
  <c r="FS13" i="4" s="1"/>
  <c r="ED7" i="4"/>
  <c r="EK7" i="4" s="1"/>
  <c r="ED20" i="4"/>
  <c r="EK20" i="4" s="1"/>
  <c r="FL22" i="4"/>
  <c r="FS22" i="4" s="1"/>
  <c r="GT6" i="4"/>
  <c r="HA6" i="4" s="1"/>
  <c r="GT10" i="4"/>
  <c r="HA10" i="4" s="1"/>
  <c r="JJ7" i="4"/>
  <c r="JQ7" i="4" s="1"/>
  <c r="JJ17" i="4"/>
  <c r="JQ17" i="4" s="1"/>
  <c r="JJ20" i="4"/>
  <c r="JQ20" i="4" s="1"/>
  <c r="LZ22" i="4"/>
  <c r="MG22" i="4" s="1"/>
  <c r="NH8" i="4"/>
  <c r="NO8" i="4" s="1"/>
  <c r="PX6" i="4"/>
  <c r="QE6" i="4" s="1"/>
  <c r="PX9" i="4"/>
  <c r="QE9" i="4" s="1"/>
  <c r="PX12" i="4"/>
  <c r="QE12" i="4" s="1"/>
  <c r="FL17" i="4"/>
  <c r="FS17" i="4" s="1"/>
  <c r="JJ13" i="4"/>
  <c r="JQ13" i="4" s="1"/>
  <c r="KR17" i="4"/>
  <c r="KY17" i="4" s="1"/>
  <c r="LZ8" i="4"/>
  <c r="MG8" i="4" s="1"/>
  <c r="PX8" i="4"/>
  <c r="QE8" i="4" s="1"/>
  <c r="ED14" i="4"/>
  <c r="EK14" i="4" s="1"/>
  <c r="FL12" i="4"/>
  <c r="FS12" i="4" s="1"/>
  <c r="GT8" i="4"/>
  <c r="HA8" i="4" s="1"/>
  <c r="IB6" i="4"/>
  <c r="II6" i="4" s="1"/>
  <c r="IB17" i="4"/>
  <c r="II17" i="4" s="1"/>
  <c r="IB11" i="4"/>
  <c r="II11" i="4" s="1"/>
  <c r="JJ14" i="4"/>
  <c r="JQ14" i="4" s="1"/>
  <c r="KR12" i="4"/>
  <c r="KY12" i="4" s="1"/>
  <c r="LZ13" i="4"/>
  <c r="MG13" i="4" s="1"/>
  <c r="NH7" i="4"/>
  <c r="NO7" i="4" s="1"/>
  <c r="OP4" i="4"/>
  <c r="OW4" i="4" s="1"/>
  <c r="OP11" i="4"/>
  <c r="OW11" i="4" s="1"/>
  <c r="PX13" i="4"/>
  <c r="QE13" i="4" s="1"/>
  <c r="PX11" i="4"/>
  <c r="QE11" i="4" s="1"/>
  <c r="RF13" i="4"/>
  <c r="RM13" i="4" s="1"/>
  <c r="ED22" i="4"/>
  <c r="EK22" i="4" s="1"/>
  <c r="FL6" i="4"/>
  <c r="FS6" i="4" s="1"/>
  <c r="FL16" i="4"/>
  <c r="FS16" i="4" s="1"/>
  <c r="GT13" i="4"/>
  <c r="HA13" i="4" s="1"/>
  <c r="JJ22" i="4"/>
  <c r="JQ22" i="4" s="1"/>
  <c r="KR6" i="4"/>
  <c r="KY6" i="4" s="1"/>
  <c r="KR16" i="4"/>
  <c r="KY16" i="4" s="1"/>
  <c r="LZ14" i="4"/>
  <c r="MG14" i="4" s="1"/>
  <c r="NH12" i="4"/>
  <c r="NO12" i="4" s="1"/>
  <c r="NH20" i="4"/>
  <c r="NO20" i="4" s="1"/>
  <c r="OP8" i="4"/>
  <c r="OW8" i="4" s="1"/>
  <c r="RF14" i="4"/>
  <c r="RM14" i="4" s="1"/>
  <c r="ED17" i="4"/>
  <c r="EK17" i="4" s="1"/>
  <c r="ED12" i="4"/>
  <c r="EK12" i="4" s="1"/>
  <c r="FL8" i="4"/>
  <c r="FS8" i="4" s="1"/>
  <c r="GT22" i="4"/>
  <c r="HA22" i="4" s="1"/>
  <c r="JJ12" i="4"/>
  <c r="JQ12" i="4" s="1"/>
  <c r="KR8" i="4"/>
  <c r="KY8" i="4" s="1"/>
  <c r="NH4" i="4"/>
  <c r="NO4" i="4" s="1"/>
  <c r="NH11" i="4"/>
  <c r="NO11" i="4" s="1"/>
  <c r="OP14" i="4"/>
  <c r="OW14" i="4" s="1"/>
  <c r="PX7" i="4"/>
  <c r="QE7" i="4" s="1"/>
  <c r="RF7" i="4"/>
  <c r="RM7" i="4" s="1"/>
  <c r="ED16" i="4"/>
  <c r="EK16" i="4" s="1"/>
  <c r="RF20" i="4"/>
  <c r="RM20" i="4" s="1"/>
  <c r="ED6" i="4"/>
  <c r="EK6" i="4" s="1"/>
  <c r="ED4" i="4"/>
  <c r="EK4" i="4" s="1"/>
  <c r="ED11" i="4"/>
  <c r="EK11" i="4" s="1"/>
  <c r="FL14" i="4"/>
  <c r="FS14" i="4" s="1"/>
  <c r="GT12" i="4"/>
  <c r="HA12" i="4" s="1"/>
  <c r="GT20" i="4"/>
  <c r="HA20" i="4" s="1"/>
  <c r="JJ4" i="4"/>
  <c r="JQ4" i="4" s="1"/>
  <c r="JJ11" i="4"/>
  <c r="JQ11" i="4" s="1"/>
  <c r="KR14" i="4"/>
  <c r="KY14" i="4" s="1"/>
  <c r="LZ16" i="4"/>
  <c r="MG16" i="4" s="1"/>
  <c r="NH13" i="4"/>
  <c r="NO13" i="4" s="1"/>
  <c r="OP7" i="4"/>
  <c r="OW7" i="4" s="1"/>
  <c r="OP17" i="4"/>
  <c r="OW17" i="4" s="1"/>
  <c r="PX4" i="4"/>
  <c r="QE4" i="4" s="1"/>
  <c r="LR4" i="24"/>
  <c r="LY4" i="24" s="1"/>
  <c r="SF10" i="24"/>
  <c r="SM10" i="24" s="1"/>
  <c r="L10" i="24"/>
  <c r="J10" i="24"/>
  <c r="K10" i="24" s="1"/>
  <c r="TM10" i="24"/>
  <c r="TI10" i="24"/>
  <c r="I10" i="24"/>
  <c r="GL8" i="24"/>
  <c r="GS8" i="24" s="1"/>
  <c r="JB14" i="24"/>
  <c r="JI14" i="24" s="1"/>
  <c r="MZ8" i="24"/>
  <c r="NG8" i="24" s="1"/>
  <c r="PP14" i="24"/>
  <c r="PW14" i="24" s="1"/>
  <c r="GL6" i="24"/>
  <c r="GS6" i="24" s="1"/>
  <c r="MZ6" i="24"/>
  <c r="NG6" i="24" s="1"/>
  <c r="DV8" i="24"/>
  <c r="EC8" i="24" s="1"/>
  <c r="GL12" i="24"/>
  <c r="GS12" i="24" s="1"/>
  <c r="GL14" i="24"/>
  <c r="GS14" i="24" s="1"/>
  <c r="MZ12" i="24"/>
  <c r="NG12" i="24" s="1"/>
  <c r="MZ14" i="24"/>
  <c r="NG14" i="24" s="1"/>
  <c r="DV6" i="24"/>
  <c r="EC6" i="24" s="1"/>
  <c r="FD5" i="24"/>
  <c r="FK5" i="24" s="1"/>
  <c r="GL11" i="24"/>
  <c r="GS11" i="24" s="1"/>
  <c r="HT8" i="24"/>
  <c r="IA8" i="24" s="1"/>
  <c r="KJ6" i="24"/>
  <c r="KQ6" i="24" s="1"/>
  <c r="LR5" i="24"/>
  <c r="LY5" i="24" s="1"/>
  <c r="MZ11" i="24"/>
  <c r="NG11" i="24" s="1"/>
  <c r="OH8" i="24"/>
  <c r="OO8" i="24" s="1"/>
  <c r="QX12" i="24"/>
  <c r="RE12" i="24" s="1"/>
  <c r="QX14" i="24"/>
  <c r="RE14" i="24" s="1"/>
  <c r="DV12" i="24"/>
  <c r="EC12" i="24" s="1"/>
  <c r="DV14" i="24"/>
  <c r="EC14" i="24" s="1"/>
  <c r="HT6" i="24"/>
  <c r="IA6" i="24" s="1"/>
  <c r="JB5" i="24"/>
  <c r="JI5" i="24" s="1"/>
  <c r="KJ12" i="24"/>
  <c r="KQ12" i="24" s="1"/>
  <c r="KJ14" i="24"/>
  <c r="KQ14" i="24" s="1"/>
  <c r="OH6" i="24"/>
  <c r="OO6" i="24" s="1"/>
  <c r="PP5" i="24"/>
  <c r="PW5" i="24" s="1"/>
  <c r="QX11" i="24"/>
  <c r="RE11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I6" i="23"/>
  <c r="GL14" i="23"/>
  <c r="GS14" i="23" s="1"/>
  <c r="LR14" i="23"/>
  <c r="LY14" i="23" s="1"/>
  <c r="PP14" i="23"/>
  <c r="PW14" i="23" s="1"/>
  <c r="FD12" i="23"/>
  <c r="FK12" i="23" s="1"/>
  <c r="HT5" i="23"/>
  <c r="IA5" i="23" s="1"/>
  <c r="HT10" i="23"/>
  <c r="IA10" i="23" s="1"/>
  <c r="KJ12" i="23"/>
  <c r="KQ12" i="23" s="1"/>
  <c r="MZ5" i="23"/>
  <c r="NG5" i="23" s="1"/>
  <c r="OH12" i="23"/>
  <c r="OO12" i="23" s="1"/>
  <c r="QX10" i="23"/>
  <c r="RE10" i="23" s="1"/>
  <c r="DV7" i="23"/>
  <c r="EC7" i="23" s="1"/>
  <c r="JB7" i="23"/>
  <c r="JI7" i="23" s="1"/>
  <c r="DV14" i="23"/>
  <c r="EC14" i="23" s="1"/>
  <c r="JB14" i="23"/>
  <c r="JI14" i="23" s="1"/>
  <c r="FD5" i="23"/>
  <c r="FK5" i="23" s="1"/>
  <c r="FD10" i="23"/>
  <c r="FK10" i="23" s="1"/>
  <c r="HT12" i="23"/>
  <c r="IA12" i="23" s="1"/>
  <c r="QX12" i="23"/>
  <c r="RE12" i="23" s="1"/>
  <c r="GL7" i="23"/>
  <c r="GS7" i="23" s="1"/>
  <c r="LR7" i="23"/>
  <c r="LY7" i="23" s="1"/>
  <c r="PP7" i="23"/>
  <c r="PW7" i="23" s="1"/>
  <c r="NH6" i="22"/>
  <c r="NO6" i="22" s="1"/>
  <c r="NH7" i="22"/>
  <c r="NO7" i="22" s="1"/>
  <c r="NH4" i="22"/>
  <c r="NO4" i="22" s="1"/>
  <c r="NH5" i="22"/>
  <c r="NO5" i="22" s="1"/>
  <c r="LZ7" i="4"/>
  <c r="MG7" i="4" s="1"/>
  <c r="LZ5" i="4"/>
  <c r="MG5" i="4" s="1"/>
  <c r="LZ4" i="4"/>
  <c r="MG4" i="4" s="1"/>
  <c r="SF15" i="24"/>
  <c r="SM15" i="24" s="1"/>
  <c r="TF15" i="24"/>
  <c r="TF10" i="23"/>
  <c r="L15" i="24"/>
  <c r="CU15" i="24" s="1"/>
  <c r="TM15" i="24"/>
  <c r="J15" i="24"/>
  <c r="K15" i="24" s="1"/>
  <c r="TI15" i="24"/>
  <c r="I15" i="24"/>
  <c r="TF14" i="24"/>
  <c r="TI10" i="23"/>
  <c r="L10" i="23"/>
  <c r="M10" i="23" s="1"/>
  <c r="TM10" i="23"/>
  <c r="J10" i="23"/>
  <c r="K10" i="23" s="1"/>
  <c r="I10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9" i="23"/>
  <c r="TN9" i="23" s="1"/>
  <c r="M13" i="23"/>
  <c r="TJ4" i="23"/>
  <c r="TN4" i="23" s="1"/>
  <c r="M9" i="23"/>
  <c r="CT9" i="23"/>
  <c r="N9" i="23" s="1"/>
  <c r="E9" i="23" s="1"/>
  <c r="K9" i="23"/>
  <c r="CT4" i="23"/>
  <c r="M4" i="23"/>
  <c r="CU4" i="23"/>
  <c r="TR19" i="4"/>
  <c r="TV19" i="4" s="1"/>
  <c r="O19" i="4"/>
  <c r="DB19" i="4"/>
  <c r="DC19" i="4"/>
  <c r="Q19" i="4"/>
  <c r="TJ10" i="24"/>
  <c r="TN10" i="24" s="1"/>
  <c r="CT10" i="24"/>
  <c r="TJ10" i="23"/>
  <c r="TN10" i="23" s="1"/>
  <c r="CU6" i="23"/>
  <c r="M10" i="24"/>
  <c r="CU10" i="24"/>
  <c r="CT6" i="23"/>
  <c r="TJ6" i="23"/>
  <c r="TN6" i="23" s="1"/>
  <c r="TJ14" i="24"/>
  <c r="TN14" i="24" s="1"/>
  <c r="TJ15" i="24"/>
  <c r="TN15" i="24" s="1"/>
  <c r="H6" i="23"/>
  <c r="CU10" i="23"/>
  <c r="CT15" i="24"/>
  <c r="N15" i="24" s="1"/>
  <c r="E15" i="24" s="1"/>
  <c r="M15" i="24"/>
  <c r="CT14" i="24"/>
  <c r="N14" i="24" s="1"/>
  <c r="E14" i="24" s="1"/>
  <c r="M14" i="24"/>
  <c r="H10" i="23"/>
  <c r="A10" i="23" s="1" a="1"/>
  <c r="A10" i="23" s="1"/>
  <c r="CT10" i="23"/>
  <c r="H10" i="24" l="1"/>
  <c r="H15" i="24"/>
  <c r="A15" i="24" s="1" a="1"/>
  <c r="A15" i="24" s="1"/>
  <c r="H4" i="23"/>
  <c r="H9" i="23"/>
  <c r="A9" i="23" s="1" a="1"/>
  <c r="A9" i="23" s="1"/>
  <c r="H19" i="4"/>
  <c r="A19" i="4" s="1" a="1"/>
  <c r="A19" i="4" s="1"/>
  <c r="N10" i="24"/>
  <c r="E10" i="24" s="1"/>
  <c r="P13" i="24"/>
  <c r="O13" i="24"/>
  <c r="O13" i="23"/>
  <c r="P13" i="23"/>
  <c r="E13" i="23"/>
  <c r="N4" i="23"/>
  <c r="P4" i="23" s="1"/>
  <c r="P9" i="23"/>
  <c r="O9" i="23"/>
  <c r="V19" i="4"/>
  <c r="E19" i="4" s="1"/>
  <c r="N6" i="23"/>
  <c r="E6" i="23" s="1"/>
  <c r="N10" i="23"/>
  <c r="P10" i="23" s="1"/>
  <c r="O15" i="24"/>
  <c r="P15" i="24"/>
  <c r="P14" i="24"/>
  <c r="O14" i="24"/>
  <c r="P10" i="24" l="1"/>
  <c r="O10" i="24"/>
  <c r="E4" i="23"/>
  <c r="O4" i="23"/>
  <c r="O6" i="23"/>
  <c r="P6" i="23"/>
  <c r="W19" i="4"/>
  <c r="X19" i="4"/>
  <c r="O10" i="23"/>
  <c r="E10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7" i="24" l="1"/>
  <c r="G11" i="24"/>
  <c r="F11" i="24"/>
  <c r="G7" i="24"/>
  <c r="G8" i="23"/>
  <c r="F8" i="23"/>
  <c r="SF7" i="24"/>
  <c r="SM7" i="24" s="1"/>
  <c r="CO8" i="23"/>
  <c r="CS8" i="23" s="1"/>
  <c r="SF8" i="23"/>
  <c r="SM8" i="23" s="1"/>
  <c r="CO7" i="24"/>
  <c r="CS7" i="24" s="1"/>
  <c r="CO11" i="24"/>
  <c r="CS11" i="24" s="1"/>
  <c r="TF8" i="23"/>
  <c r="TI8" i="23"/>
  <c r="TM8" i="23"/>
  <c r="L8" i="23"/>
  <c r="CU8" i="23" s="1"/>
  <c r="J8" i="23"/>
  <c r="K8" i="23" s="1"/>
  <c r="I8" i="23"/>
  <c r="TM11" i="24"/>
  <c r="TF7" i="24"/>
  <c r="J7" i="24"/>
  <c r="K7" i="24" s="1"/>
  <c r="L7" i="24"/>
  <c r="M7" i="24" s="1"/>
  <c r="TM7" i="24"/>
  <c r="TI7" i="24"/>
  <c r="I7" i="24"/>
  <c r="SF11" i="24"/>
  <c r="SM11" i="24" s="1"/>
  <c r="TF11" i="24"/>
  <c r="TI11" i="24"/>
  <c r="L11" i="24"/>
  <c r="CU11" i="24" s="1"/>
  <c r="J11" i="24"/>
  <c r="I11" i="24"/>
  <c r="TJ11" i="24" l="1"/>
  <c r="TN11" i="24" s="1"/>
  <c r="TJ8" i="23"/>
  <c r="TN8" i="23" s="1"/>
  <c r="CT8" i="23"/>
  <c r="N8" i="23" s="1"/>
  <c r="M8" i="23"/>
  <c r="TJ7" i="24"/>
  <c r="TN7" i="24" s="1"/>
  <c r="CT11" i="24"/>
  <c r="N11" i="24" s="1"/>
  <c r="O11" i="24" s="1"/>
  <c r="M11" i="24"/>
  <c r="CT7" i="24"/>
  <c r="CU7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DC14" i="21" l="1"/>
  <c r="DC17" i="21"/>
  <c r="QD14" i="21"/>
  <c r="QD17" i="21"/>
  <c r="DC22" i="19"/>
  <c r="DC19" i="19"/>
  <c r="DC24" i="19"/>
  <c r="QD19" i="19"/>
  <c r="QD22" i="19"/>
  <c r="QD21" i="19"/>
  <c r="QD24" i="19"/>
  <c r="DC26" i="19"/>
  <c r="DC21" i="19"/>
  <c r="QD26" i="19"/>
  <c r="DC10" i="27"/>
  <c r="DC12" i="27"/>
  <c r="QD10" i="27"/>
  <c r="QD12" i="27"/>
  <c r="DC5" i="26"/>
  <c r="DC11" i="26"/>
  <c r="QD5" i="26"/>
  <c r="QD11" i="26"/>
  <c r="G14" i="21"/>
  <c r="G17" i="21"/>
  <c r="F14" i="21"/>
  <c r="F17" i="21"/>
  <c r="G26" i="19"/>
  <c r="G19" i="19"/>
  <c r="G22" i="19"/>
  <c r="G21" i="19"/>
  <c r="G24" i="19"/>
  <c r="F19" i="19"/>
  <c r="F22" i="19"/>
  <c r="F21" i="19"/>
  <c r="F24" i="19"/>
  <c r="F26" i="19"/>
  <c r="G10" i="27"/>
  <c r="F10" i="27"/>
  <c r="F12" i="27"/>
  <c r="G12" i="27"/>
  <c r="G5" i="26"/>
  <c r="G11" i="26"/>
  <c r="F11" i="26"/>
  <c r="F5" i="26"/>
  <c r="G16" i="22"/>
  <c r="F16" i="22"/>
  <c r="H11" i="24"/>
  <c r="H7" i="24"/>
  <c r="H8" i="23"/>
  <c r="A8" i="23" s="1" a="1"/>
  <c r="A8" i="23" s="1"/>
  <c r="RE12" i="27"/>
  <c r="N7" i="24"/>
  <c r="E7" i="24" s="1"/>
  <c r="RE24" i="19"/>
  <c r="O8" i="23"/>
  <c r="P8" i="23"/>
  <c r="E8" i="23"/>
  <c r="QZ5" i="26"/>
  <c r="RE5" i="26"/>
  <c r="SN16" i="22"/>
  <c r="SU16" i="22" s="1"/>
  <c r="CW16" i="22"/>
  <c r="DA16" i="22" s="1"/>
  <c r="QA14" i="21"/>
  <c r="P17" i="21"/>
  <c r="Q17" i="21" s="1"/>
  <c r="QZ17" i="21"/>
  <c r="RE21" i="19"/>
  <c r="QZ21" i="19"/>
  <c r="CZ24" i="19"/>
  <c r="CZ22" i="19"/>
  <c r="QA12" i="27"/>
  <c r="RB12" i="27"/>
  <c r="RA12" i="27"/>
  <c r="RG12" i="27" s="1"/>
  <c r="QA10" i="27"/>
  <c r="P10" i="27"/>
  <c r="DF10" i="27" s="1"/>
  <c r="P11" i="26"/>
  <c r="Q11" i="26" s="1"/>
  <c r="T16" i="22"/>
  <c r="U16" i="22" s="1"/>
  <c r="E11" i="24"/>
  <c r="P11" i="24"/>
  <c r="QA17" i="21"/>
  <c r="RB17" i="21"/>
  <c r="RA17" i="21"/>
  <c r="QZ14" i="21"/>
  <c r="N14" i="21"/>
  <c r="DE14" i="21" s="1"/>
  <c r="RE17" i="21"/>
  <c r="CZ17" i="21"/>
  <c r="N17" i="21"/>
  <c r="DE17" i="21" s="1"/>
  <c r="L17" i="21"/>
  <c r="M17" i="21" s="1"/>
  <c r="RF17" i="21"/>
  <c r="J17" i="21"/>
  <c r="K17" i="21" s="1"/>
  <c r="RC17" i="21"/>
  <c r="RB14" i="21"/>
  <c r="RA14" i="21"/>
  <c r="P14" i="21"/>
  <c r="DF14" i="21" s="1"/>
  <c r="CZ14" i="21"/>
  <c r="L14" i="21"/>
  <c r="M14" i="21" s="1"/>
  <c r="RE14" i="21"/>
  <c r="RF14" i="21"/>
  <c r="J14" i="21"/>
  <c r="K14" i="21" s="1"/>
  <c r="RC14" i="21"/>
  <c r="QA24" i="19"/>
  <c r="N24" i="19"/>
  <c r="DE24" i="19" s="1"/>
  <c r="QZ24" i="19"/>
  <c r="RF24" i="19"/>
  <c r="RB24" i="19"/>
  <c r="L24" i="19"/>
  <c r="M24" i="19" s="1"/>
  <c r="RA24" i="19"/>
  <c r="J24" i="19"/>
  <c r="K24" i="19" s="1"/>
  <c r="P24" i="19"/>
  <c r="RC24" i="19"/>
  <c r="QA19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RF22" i="19"/>
  <c r="QZ19" i="19"/>
  <c r="QZ22" i="19"/>
  <c r="QA22" i="19"/>
  <c r="N22" i="19"/>
  <c r="DE22" i="19" s="1"/>
  <c r="RE22" i="19"/>
  <c r="RB22" i="19"/>
  <c r="RA22" i="19"/>
  <c r="L22" i="19"/>
  <c r="M22" i="19" s="1"/>
  <c r="J22" i="19"/>
  <c r="K22" i="19" s="1"/>
  <c r="P22" i="19"/>
  <c r="RC22" i="19"/>
  <c r="QZ26" i="19"/>
  <c r="RB19" i="19"/>
  <c r="RA19" i="19"/>
  <c r="RG19" i="19" s="1"/>
  <c r="P19" i="19"/>
  <c r="Q19" i="19" s="1"/>
  <c r="N19" i="19"/>
  <c r="O19" i="19" s="1"/>
  <c r="RE19" i="19"/>
  <c r="CZ19" i="19"/>
  <c r="L19" i="19"/>
  <c r="M19" i="19" s="1"/>
  <c r="RF19" i="19"/>
  <c r="J19" i="19"/>
  <c r="K19" i="19" s="1"/>
  <c r="RC19" i="19"/>
  <c r="QA26" i="19"/>
  <c r="RB26" i="19"/>
  <c r="RA26" i="19"/>
  <c r="RG26" i="19" s="1"/>
  <c r="P26" i="19"/>
  <c r="DF26" i="19" s="1"/>
  <c r="N26" i="19"/>
  <c r="O26" i="19" s="1"/>
  <c r="RE26" i="19"/>
  <c r="CZ26" i="19"/>
  <c r="L26" i="19"/>
  <c r="M26" i="19" s="1"/>
  <c r="RF26" i="19"/>
  <c r="J26" i="19"/>
  <c r="K26" i="19" s="1"/>
  <c r="RC26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10" i="27"/>
  <c r="QZ10" i="27"/>
  <c r="RA10" i="27"/>
  <c r="RB10" i="27"/>
  <c r="CZ10" i="27"/>
  <c r="N10" i="27"/>
  <c r="DE10" i="27" s="1"/>
  <c r="L10" i="27"/>
  <c r="DD10" i="27" s="1"/>
  <c r="RF10" i="27"/>
  <c r="J10" i="27"/>
  <c r="K10" i="27" s="1"/>
  <c r="RC10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RG11" i="26" s="1"/>
  <c r="QA5" i="26"/>
  <c r="RB5" i="26"/>
  <c r="RA5" i="26"/>
  <c r="CZ5" i="26"/>
  <c r="L5" i="26"/>
  <c r="M5" i="26" s="1"/>
  <c r="N5" i="26"/>
  <c r="DE5" i="26" s="1"/>
  <c r="RF5" i="26"/>
  <c r="J5" i="26"/>
  <c r="K5" i="26" s="1"/>
  <c r="P5" i="26"/>
  <c r="RC5" i="26"/>
  <c r="TN16" i="22"/>
  <c r="N16" i="22"/>
  <c r="O16" i="22" s="1"/>
  <c r="TU16" i="22"/>
  <c r="TQ16" i="22"/>
  <c r="L16" i="22"/>
  <c r="M16" i="22" s="1"/>
  <c r="R16" i="22"/>
  <c r="S16" i="22" s="1"/>
  <c r="J16" i="22"/>
  <c r="K16" i="22" s="1"/>
  <c r="P16" i="22"/>
  <c r="I16" i="22"/>
  <c r="RG17" i="21" l="1"/>
  <c r="RG14" i="21"/>
  <c r="RG24" i="19"/>
  <c r="RG21" i="19"/>
  <c r="RG22" i="19"/>
  <c r="RG10" i="27"/>
  <c r="RG5" i="26"/>
  <c r="RD12" i="27"/>
  <c r="P7" i="24"/>
  <c r="O7" i="24"/>
  <c r="RD17" i="21"/>
  <c r="RD24" i="19"/>
  <c r="RD10" i="27"/>
  <c r="O24" i="19"/>
  <c r="RD21" i="19"/>
  <c r="DD5" i="26"/>
  <c r="DF11" i="26"/>
  <c r="DD14" i="21"/>
  <c r="R14" i="21" s="1"/>
  <c r="T14" i="21" s="1"/>
  <c r="DF17" i="21"/>
  <c r="RD14" i="21"/>
  <c r="O14" i="21"/>
  <c r="DF19" i="19"/>
  <c r="DD24" i="19"/>
  <c r="M21" i="19"/>
  <c r="RD22" i="19"/>
  <c r="O22" i="19"/>
  <c r="RD19" i="19"/>
  <c r="I12" i="27"/>
  <c r="M10" i="27"/>
  <c r="DD12" i="27"/>
  <c r="O10" i="27"/>
  <c r="I10" i="27"/>
  <c r="Q10" i="27"/>
  <c r="O12" i="27"/>
  <c r="I11" i="26"/>
  <c r="I5" i="26"/>
  <c r="Q14" i="21"/>
  <c r="I17" i="21"/>
  <c r="O17" i="21"/>
  <c r="DD17" i="21"/>
  <c r="I14" i="21"/>
  <c r="I24" i="19"/>
  <c r="DF24" i="19"/>
  <c r="Q24" i="19"/>
  <c r="RD26" i="19"/>
  <c r="I21" i="19"/>
  <c r="O21" i="19"/>
  <c r="DF21" i="19"/>
  <c r="R21" i="19" s="1"/>
  <c r="DD22" i="19"/>
  <c r="I26" i="19"/>
  <c r="Q26" i="19"/>
  <c r="I19" i="19"/>
  <c r="I22" i="19"/>
  <c r="DF22" i="19"/>
  <c r="Q22" i="19"/>
  <c r="DE26" i="19"/>
  <c r="DE19" i="19"/>
  <c r="DD19" i="19"/>
  <c r="DD26" i="19"/>
  <c r="Q12" i="27"/>
  <c r="DF12" i="27"/>
  <c r="R10" i="27"/>
  <c r="O11" i="26"/>
  <c r="DD11" i="26"/>
  <c r="RD11" i="26"/>
  <c r="K11" i="26"/>
  <c r="RD5" i="26"/>
  <c r="O5" i="26"/>
  <c r="DF5" i="26"/>
  <c r="Q5" i="26"/>
  <c r="DB16" i="22"/>
  <c r="TR16" i="22"/>
  <c r="TV16" i="22" s="1"/>
  <c r="DC16" i="22"/>
  <c r="Q16" i="22"/>
  <c r="H17" i="21" l="1"/>
  <c r="A17" i="21" s="1" a="1"/>
  <c r="A17" i="21" s="1"/>
  <c r="H26" i="19"/>
  <c r="A26" i="19" s="1" a="1"/>
  <c r="A26" i="19" s="1"/>
  <c r="H5" i="26"/>
  <c r="H16" i="22"/>
  <c r="A16" i="22" s="1" a="1"/>
  <c r="A16" i="22" s="1"/>
  <c r="R5" i="26"/>
  <c r="T5" i="26" s="1"/>
  <c r="R24" i="19"/>
  <c r="E24" i="19" s="1"/>
  <c r="R11" i="26"/>
  <c r="S11" i="26" s="1"/>
  <c r="R17" i="21"/>
  <c r="T17" i="21" s="1"/>
  <c r="R12" i="27"/>
  <c r="S12" i="27" s="1"/>
  <c r="E14" i="21"/>
  <c r="S14" i="21"/>
  <c r="R22" i="19"/>
  <c r="T22" i="19" s="1"/>
  <c r="E21" i="19"/>
  <c r="S21" i="19"/>
  <c r="T21" i="19"/>
  <c r="R26" i="19"/>
  <c r="S26" i="19" s="1"/>
  <c r="R19" i="19"/>
  <c r="T19" i="19" s="1"/>
  <c r="T10" i="27"/>
  <c r="S10" i="27"/>
  <c r="E10" i="27"/>
  <c r="V16" i="22"/>
  <c r="W16" i="22" s="1"/>
  <c r="H14" i="21" l="1"/>
  <c r="A14" i="21" s="1" a="1"/>
  <c r="A14" i="21" s="1"/>
  <c r="H21" i="19"/>
  <c r="A21" i="19" s="1" a="1"/>
  <c r="A21" i="19" s="1"/>
  <c r="H22" i="19"/>
  <c r="A22" i="19" s="1" a="1"/>
  <c r="A22" i="19" s="1"/>
  <c r="H19" i="19"/>
  <c r="A19" i="19" s="1" a="1"/>
  <c r="A19" i="19" s="1"/>
  <c r="H24" i="19"/>
  <c r="A24" i="19" s="1" a="1"/>
  <c r="A24" i="19" s="1"/>
  <c r="H10" i="27"/>
  <c r="A10" i="27" s="1" a="1"/>
  <c r="A10" i="27" s="1"/>
  <c r="H12" i="27"/>
  <c r="A12" i="27" s="1" a="1"/>
  <c r="A12" i="27" s="1"/>
  <c r="H11" i="26"/>
  <c r="A11" i="26" s="1" a="1"/>
  <c r="A11" i="26" s="1"/>
  <c r="E5" i="26"/>
  <c r="S5" i="26"/>
  <c r="S17" i="21"/>
  <c r="E17" i="21"/>
  <c r="S24" i="19"/>
  <c r="T24" i="19"/>
  <c r="T11" i="26"/>
  <c r="E11" i="26"/>
  <c r="S22" i="19"/>
  <c r="T12" i="27"/>
  <c r="E12" i="27"/>
  <c r="E22" i="19"/>
  <c r="E19" i="19"/>
  <c r="S19" i="19"/>
  <c r="E26" i="19"/>
  <c r="T26" i="19"/>
  <c r="E16" i="22"/>
  <c r="X16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14" i="4" l="1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QD8" i="27" s="1"/>
  <c r="PW8" i="27"/>
  <c r="DB8" i="27"/>
  <c r="DA8" i="27"/>
  <c r="CY8" i="27"/>
  <c r="CX8" i="27"/>
  <c r="CW8" i="27"/>
  <c r="CV8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QD13" i="27" s="1"/>
  <c r="PW13" i="27"/>
  <c r="DB13" i="27"/>
  <c r="DA13" i="27"/>
  <c r="CY13" i="27"/>
  <c r="CX13" i="27"/>
  <c r="CW13" i="27"/>
  <c r="CV13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QD4" i="27" s="1"/>
  <c r="PW4" i="27"/>
  <c r="DB4" i="27"/>
  <c r="DA4" i="27"/>
  <c r="CY4" i="27"/>
  <c r="CW4" i="27"/>
  <c r="CV4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QE4" i="19"/>
  <c r="QD7" i="27" l="1"/>
  <c r="QD5" i="27"/>
  <c r="QD6" i="27"/>
  <c r="DC13" i="27"/>
  <c r="DC8" i="27"/>
  <c r="DC7" i="27"/>
  <c r="DC5" i="27"/>
  <c r="DC6" i="27"/>
  <c r="DC4" i="27"/>
  <c r="QD4" i="26"/>
  <c r="DC4" i="26"/>
  <c r="DC7" i="26"/>
  <c r="DC10" i="26"/>
  <c r="DC8" i="26"/>
  <c r="DC6" i="26"/>
  <c r="QD7" i="26"/>
  <c r="QD10" i="26"/>
  <c r="QD8" i="26"/>
  <c r="QD6" i="26"/>
  <c r="F7" i="27"/>
  <c r="F5" i="27"/>
  <c r="F6" i="27"/>
  <c r="F4" i="27"/>
  <c r="F13" i="27"/>
  <c r="F8" i="27"/>
  <c r="G4" i="27"/>
  <c r="G13" i="27"/>
  <c r="G8" i="27"/>
  <c r="G7" i="27"/>
  <c r="G6" i="27"/>
  <c r="G5" i="27"/>
  <c r="G4" i="26"/>
  <c r="G7" i="26"/>
  <c r="G10" i="26"/>
  <c r="F4" i="26"/>
  <c r="F7" i="26"/>
  <c r="F10" i="26"/>
  <c r="F8" i="26"/>
  <c r="F6" i="26"/>
  <c r="G8" i="26"/>
  <c r="G6" i="26"/>
  <c r="CO15" i="23"/>
  <c r="CS15" i="23" s="1"/>
  <c r="G15" i="23"/>
  <c r="F15" i="23"/>
  <c r="G14" i="4"/>
  <c r="F14" i="4"/>
  <c r="P7" i="26"/>
  <c r="Q7" i="26" s="1"/>
  <c r="CW14" i="4"/>
  <c r="DA14" i="4" s="1"/>
  <c r="J14" i="4"/>
  <c r="K14" i="4" s="1"/>
  <c r="T14" i="4"/>
  <c r="U14" i="4" s="1"/>
  <c r="RC8" i="27"/>
  <c r="RE8" i="27"/>
  <c r="QA6" i="27"/>
  <c r="CZ8" i="27"/>
  <c r="QA10" i="26"/>
  <c r="TU14" i="4"/>
  <c r="SN14" i="4"/>
  <c r="SU14" i="4" s="1"/>
  <c r="TQ14" i="4"/>
  <c r="TN14" i="4"/>
  <c r="N14" i="4"/>
  <c r="P14" i="4"/>
  <c r="DC14" i="4" s="1"/>
  <c r="L14" i="4"/>
  <c r="M14" i="4" s="1"/>
  <c r="R14" i="4"/>
  <c r="S14" i="4" s="1"/>
  <c r="I14" i="4"/>
  <c r="QZ4" i="26"/>
  <c r="QZ6" i="26"/>
  <c r="P8" i="27"/>
  <c r="Q8" i="27" s="1"/>
  <c r="P4" i="27"/>
  <c r="Q4" i="27" s="1"/>
  <c r="QA8" i="27"/>
  <c r="RB8" i="27"/>
  <c r="QZ5" i="27"/>
  <c r="RE5" i="27"/>
  <c r="RB6" i="26"/>
  <c r="N10" i="26"/>
  <c r="O10" i="26" s="1"/>
  <c r="QA4" i="26"/>
  <c r="QZ8" i="26"/>
  <c r="QA6" i="26"/>
  <c r="CZ8" i="26"/>
  <c r="QA8" i="26"/>
  <c r="L15" i="23"/>
  <c r="M15" i="23" s="1"/>
  <c r="RB13" i="27"/>
  <c r="QZ8" i="27"/>
  <c r="RA5" i="27"/>
  <c r="RB5" i="27"/>
  <c r="N6" i="27"/>
  <c r="O6" i="27" s="1"/>
  <c r="P13" i="27"/>
  <c r="DF13" i="27" s="1"/>
  <c r="P7" i="27"/>
  <c r="Q7" i="27" s="1"/>
  <c r="QZ6" i="27"/>
  <c r="RE6" i="27"/>
  <c r="P6" i="27"/>
  <c r="Q6" i="27" s="1"/>
  <c r="RF8" i="27"/>
  <c r="RB6" i="27"/>
  <c r="RA4" i="27"/>
  <c r="RB4" i="27"/>
  <c r="N7" i="27"/>
  <c r="DE7" i="27" s="1"/>
  <c r="L4" i="27"/>
  <c r="M4" i="27" s="1"/>
  <c r="CZ13" i="27"/>
  <c r="N8" i="27"/>
  <c r="DE8" i="27" s="1"/>
  <c r="J7" i="27"/>
  <c r="K7" i="27" s="1"/>
  <c r="P5" i="27"/>
  <c r="Q5" i="27" s="1"/>
  <c r="RA8" i="27"/>
  <c r="QA13" i="27"/>
  <c r="RA7" i="27"/>
  <c r="RB7" i="27"/>
  <c r="J4" i="27"/>
  <c r="K4" i="27" s="1"/>
  <c r="QA4" i="27"/>
  <c r="N13" i="27"/>
  <c r="O13" i="27" s="1"/>
  <c r="QZ13" i="27"/>
  <c r="RE13" i="27"/>
  <c r="J6" i="27"/>
  <c r="K6" i="27" s="1"/>
  <c r="N4" i="27"/>
  <c r="DE4" i="27" s="1"/>
  <c r="QZ4" i="27"/>
  <c r="RE4" i="27"/>
  <c r="RC7" i="27"/>
  <c r="RE7" i="27"/>
  <c r="J5" i="27"/>
  <c r="K5" i="27" s="1"/>
  <c r="N5" i="27"/>
  <c r="O5" i="27" s="1"/>
  <c r="QA5" i="27"/>
  <c r="RB4" i="26"/>
  <c r="N6" i="26"/>
  <c r="DE6" i="26" s="1"/>
  <c r="RB10" i="26"/>
  <c r="P4" i="26"/>
  <c r="Q4" i="26" s="1"/>
  <c r="RB8" i="26"/>
  <c r="RA7" i="26"/>
  <c r="N7" i="26"/>
  <c r="DE7" i="26" s="1"/>
  <c r="RC7" i="26"/>
  <c r="N8" i="26"/>
  <c r="DE8" i="26" s="1"/>
  <c r="RA4" i="26"/>
  <c r="RB7" i="26"/>
  <c r="P8" i="26"/>
  <c r="Q8" i="26" s="1"/>
  <c r="RA8" i="26"/>
  <c r="RF8" i="26"/>
  <c r="RC8" i="26"/>
  <c r="RE8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4" i="26"/>
  <c r="O4" i="26" s="1"/>
  <c r="RC4" i="26"/>
  <c r="QA7" i="26"/>
  <c r="QZ7" i="26"/>
  <c r="CZ10" i="26"/>
  <c r="RA13" i="27"/>
  <c r="RG13" i="27" s="1"/>
  <c r="CZ7" i="27"/>
  <c r="RA6" i="27"/>
  <c r="RC5" i="27"/>
  <c r="L6" i="27"/>
  <c r="RC6" i="27"/>
  <c r="RC4" i="27"/>
  <c r="RC13" i="27"/>
  <c r="CZ5" i="27"/>
  <c r="L5" i="27"/>
  <c r="RF5" i="27"/>
  <c r="CZ6" i="27"/>
  <c r="CZ4" i="27"/>
  <c r="L13" i="27"/>
  <c r="J13" i="27"/>
  <c r="L7" i="27"/>
  <c r="RF7" i="27"/>
  <c r="QZ7" i="27"/>
  <c r="QA7" i="27"/>
  <c r="RF6" i="27"/>
  <c r="RF4" i="27"/>
  <c r="RF13" i="27"/>
  <c r="L8" i="27"/>
  <c r="J8" i="27"/>
  <c r="RA10" i="26"/>
  <c r="L4" i="26"/>
  <c r="J4" i="26"/>
  <c r="L7" i="26"/>
  <c r="J7" i="26"/>
  <c r="J10" i="26"/>
  <c r="CZ6" i="26"/>
  <c r="CZ4" i="26"/>
  <c r="J8" i="26"/>
  <c r="RF4" i="26"/>
  <c r="RE4" i="26"/>
  <c r="CZ7" i="26"/>
  <c r="L10" i="26"/>
  <c r="J6" i="26"/>
  <c r="RC10" i="26"/>
  <c r="RF7" i="26"/>
  <c r="RE7" i="26"/>
  <c r="RF10" i="26"/>
  <c r="L8" i="26"/>
  <c r="SF15" i="23"/>
  <c r="SM15" i="23" s="1"/>
  <c r="TM15" i="23"/>
  <c r="TI15" i="23"/>
  <c r="TF15" i="23"/>
  <c r="J15" i="23"/>
  <c r="I15" i="23"/>
  <c r="RG6" i="27" l="1"/>
  <c r="RG7" i="27"/>
  <c r="RG5" i="27"/>
  <c r="RG4" i="27"/>
  <c r="RG8" i="27"/>
  <c r="RG6" i="26"/>
  <c r="RG7" i="26"/>
  <c r="RG10" i="26"/>
  <c r="RG8" i="26"/>
  <c r="RG4" i="26"/>
  <c r="I10" i="26"/>
  <c r="DF7" i="26"/>
  <c r="DF4" i="27"/>
  <c r="CU15" i="23"/>
  <c r="DB14" i="4"/>
  <c r="V14" i="4" s="1"/>
  <c r="TR14" i="4"/>
  <c r="TV14" i="4" s="1"/>
  <c r="O7" i="27"/>
  <c r="O7" i="26"/>
  <c r="O14" i="4"/>
  <c r="Q14" i="4"/>
  <c r="RD5" i="27"/>
  <c r="DF8" i="27"/>
  <c r="RD4" i="26"/>
  <c r="RD6" i="26"/>
  <c r="O8" i="26"/>
  <c r="DE10" i="26"/>
  <c r="RD4" i="27"/>
  <c r="Q13" i="27"/>
  <c r="DF6" i="26"/>
  <c r="DF4" i="26"/>
  <c r="RD7" i="26"/>
  <c r="O6" i="26"/>
  <c r="CT15" i="23"/>
  <c r="RD8" i="27"/>
  <c r="DE6" i="27"/>
  <c r="DF5" i="27"/>
  <c r="DF6" i="27"/>
  <c r="RD7" i="27"/>
  <c r="I5" i="27"/>
  <c r="O4" i="27"/>
  <c r="DF7" i="27"/>
  <c r="O8" i="27"/>
  <c r="DE5" i="27"/>
  <c r="I13" i="27"/>
  <c r="I6" i="27"/>
  <c r="DE13" i="27"/>
  <c r="I7" i="27"/>
  <c r="DD4" i="27"/>
  <c r="RD8" i="26"/>
  <c r="DE4" i="26"/>
  <c r="DF10" i="26"/>
  <c r="I4" i="26"/>
  <c r="DF8" i="26"/>
  <c r="DD6" i="26"/>
  <c r="I7" i="26"/>
  <c r="DD6" i="27"/>
  <c r="M6" i="27"/>
  <c r="DD5" i="27"/>
  <c r="M5" i="27"/>
  <c r="RD6" i="27"/>
  <c r="I4" i="27"/>
  <c r="DD7" i="27"/>
  <c r="M7" i="27"/>
  <c r="K13" i="27"/>
  <c r="RD13" i="27"/>
  <c r="DD13" i="27"/>
  <c r="M13" i="27"/>
  <c r="K8" i="27"/>
  <c r="DD8" i="27"/>
  <c r="M8" i="27"/>
  <c r="I8" i="27"/>
  <c r="M8" i="26"/>
  <c r="DD8" i="26"/>
  <c r="M10" i="26"/>
  <c r="DD10" i="26"/>
  <c r="M7" i="26"/>
  <c r="DD7" i="26"/>
  <c r="K10" i="26"/>
  <c r="RD10" i="26"/>
  <c r="K8" i="26"/>
  <c r="K6" i="26"/>
  <c r="DD4" i="26"/>
  <c r="M4" i="26"/>
  <c r="K7" i="26"/>
  <c r="I6" i="26"/>
  <c r="I8" i="26"/>
  <c r="K4" i="26"/>
  <c r="TJ15" i="23"/>
  <c r="TN15" i="23" s="1"/>
  <c r="K15" i="23"/>
  <c r="H4" i="27" l="1"/>
  <c r="H6" i="27"/>
  <c r="H13" i="27"/>
  <c r="A13" i="27" s="1" a="1"/>
  <c r="A13" i="27" s="1"/>
  <c r="H8" i="26"/>
  <c r="H7" i="26"/>
  <c r="H15" i="23"/>
  <c r="A15" i="23" s="1" a="1"/>
  <c r="A15" i="23" s="1"/>
  <c r="H14" i="4"/>
  <c r="R7" i="26"/>
  <c r="S7" i="26" s="1"/>
  <c r="R4" i="27"/>
  <c r="T4" i="27" s="1"/>
  <c r="E14" i="4"/>
  <c r="R8" i="27"/>
  <c r="E8" i="27" s="1"/>
  <c r="W14" i="4"/>
  <c r="X14" i="4"/>
  <c r="R6" i="26"/>
  <c r="S6" i="26" s="1"/>
  <c r="R13" i="27"/>
  <c r="E13" i="27" s="1"/>
  <c r="R7" i="27"/>
  <c r="R6" i="27"/>
  <c r="R5" i="27"/>
  <c r="R4" i="26"/>
  <c r="R10" i="26"/>
  <c r="R8" i="26"/>
  <c r="N15" i="23"/>
  <c r="H8" i="27" l="1"/>
  <c r="H7" i="27"/>
  <c r="H5" i="27"/>
  <c r="H6" i="26"/>
  <c r="H4" i="26"/>
  <c r="H10" i="26"/>
  <c r="S4" i="27"/>
  <c r="E4" i="27"/>
  <c r="T7" i="26"/>
  <c r="E7" i="26"/>
  <c r="S8" i="27"/>
  <c r="T8" i="27"/>
  <c r="E6" i="26"/>
  <c r="E5" i="27"/>
  <c r="S5" i="27"/>
  <c r="T5" i="27"/>
  <c r="E6" i="27"/>
  <c r="T6" i="27"/>
  <c r="S6" i="27"/>
  <c r="E7" i="27"/>
  <c r="S7" i="27"/>
  <c r="T7" i="27"/>
  <c r="S13" i="27"/>
  <c r="T13" i="27"/>
  <c r="T6" i="26"/>
  <c r="S8" i="26"/>
  <c r="T8" i="26"/>
  <c r="S4" i="26"/>
  <c r="T4" i="26"/>
  <c r="E10" i="26"/>
  <c r="S10" i="26"/>
  <c r="T10" i="26"/>
  <c r="E4" i="26"/>
  <c r="E15" i="23"/>
  <c r="O15" i="23"/>
  <c r="P15" i="23"/>
  <c r="E8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DC11" i="19" l="1"/>
  <c r="QD11" i="19"/>
  <c r="A9" i="26" a="1"/>
  <c r="A9" i="26" s="1"/>
  <c r="A6" i="27" a="1"/>
  <c r="A6" i="27" s="1"/>
  <c r="A8" i="26" a="1"/>
  <c r="A8" i="26" s="1"/>
  <c r="G11" i="19"/>
  <c r="F11" i="19"/>
  <c r="A4" i="27" a="1"/>
  <c r="A4" i="27" s="1"/>
  <c r="A5" i="27" a="1"/>
  <c r="A5" i="27" s="1"/>
  <c r="A7" i="27" a="1"/>
  <c r="A7" i="27" s="1"/>
  <c r="A8" i="27" a="1"/>
  <c r="A8" i="27" s="1"/>
  <c r="A4" i="26" a="1"/>
  <c r="A4" i="26" s="1"/>
  <c r="A5" i="26" a="1"/>
  <c r="A5" i="26" s="1"/>
  <c r="A7" i="26" a="1"/>
  <c r="A7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0" i="19" l="1"/>
  <c r="CW20" i="19"/>
  <c r="CX20" i="19"/>
  <c r="CY20" i="19"/>
  <c r="DA20" i="19"/>
  <c r="DB20" i="19"/>
  <c r="PW20" i="19"/>
  <c r="PX20" i="19"/>
  <c r="QD20" i="19" s="1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7" i="19"/>
  <c r="CW17" i="19"/>
  <c r="CX17" i="19"/>
  <c r="CY17" i="19"/>
  <c r="DA17" i="19"/>
  <c r="DB17" i="19"/>
  <c r="PW17" i="19"/>
  <c r="PX17" i="19"/>
  <c r="QD17" i="19" s="1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18" i="19"/>
  <c r="CW18" i="19"/>
  <c r="CX18" i="19"/>
  <c r="CY18" i="19"/>
  <c r="DA18" i="19"/>
  <c r="DB18" i="19"/>
  <c r="PW18" i="19"/>
  <c r="PX18" i="19"/>
  <c r="QD18" i="19" s="1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9" i="19"/>
  <c r="CW9" i="19"/>
  <c r="CX9" i="19"/>
  <c r="CY9" i="19"/>
  <c r="DA9" i="19"/>
  <c r="DB9" i="19"/>
  <c r="PW9" i="19"/>
  <c r="PX9" i="19"/>
  <c r="QD9" i="19" s="1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DC9" i="19" l="1"/>
  <c r="DC18" i="19"/>
  <c r="DC17" i="19"/>
  <c r="DC20" i="19"/>
  <c r="G9" i="19"/>
  <c r="G18" i="19"/>
  <c r="G17" i="19"/>
  <c r="G20" i="19"/>
  <c r="F9" i="19"/>
  <c r="F18" i="19"/>
  <c r="F17" i="19"/>
  <c r="F20" i="19"/>
  <c r="CZ17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Z17" i="19"/>
  <c r="RE18" i="19"/>
  <c r="QA17" i="19"/>
  <c r="RB17" i="19"/>
  <c r="RA17" i="19"/>
  <c r="P17" i="19"/>
  <c r="DF17" i="19" s="1"/>
  <c r="RF17" i="19"/>
  <c r="N17" i="19"/>
  <c r="DE17" i="19" s="1"/>
  <c r="RE17" i="19"/>
  <c r="L17" i="19"/>
  <c r="DD17" i="19" s="1"/>
  <c r="J17" i="19"/>
  <c r="RC17" i="19"/>
  <c r="QZ18" i="19"/>
  <c r="QA18" i="19"/>
  <c r="P18" i="19"/>
  <c r="DF18" i="19" s="1"/>
  <c r="N18" i="19"/>
  <c r="DE18" i="19" s="1"/>
  <c r="CZ18" i="19"/>
  <c r="RA18" i="19"/>
  <c r="RB18" i="19"/>
  <c r="RF18" i="19"/>
  <c r="L18" i="19"/>
  <c r="DD18" i="19" s="1"/>
  <c r="J18" i="19"/>
  <c r="K18" i="19" s="1"/>
  <c r="RC18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0" i="19" l="1"/>
  <c r="RG18" i="19"/>
  <c r="RG17" i="19"/>
  <c r="RG9" i="19"/>
  <c r="Q20" i="19"/>
  <c r="DF20" i="19"/>
  <c r="M20" i="19"/>
  <c r="DD20" i="19"/>
  <c r="O17" i="19"/>
  <c r="O20" i="19"/>
  <c r="O9" i="19"/>
  <c r="R9" i="19"/>
  <c r="O18" i="19"/>
  <c r="R18" i="19"/>
  <c r="RD17" i="19"/>
  <c r="I17" i="19"/>
  <c r="I20" i="19"/>
  <c r="Q18" i="19"/>
  <c r="RD9" i="19"/>
  <c r="RD20" i="19"/>
  <c r="K20" i="19"/>
  <c r="Q17" i="19"/>
  <c r="M17" i="19"/>
  <c r="R17" i="19"/>
  <c r="K17" i="19"/>
  <c r="Q9" i="19"/>
  <c r="I18" i="19"/>
  <c r="RD18" i="19"/>
  <c r="M18" i="19"/>
  <c r="I9" i="19"/>
  <c r="M9" i="19"/>
  <c r="K9" i="19"/>
  <c r="H9" i="19" l="1"/>
  <c r="H20" i="19"/>
  <c r="A20" i="19" s="1" a="1"/>
  <c r="A20" i="19" s="1"/>
  <c r="H18" i="19"/>
  <c r="S9" i="19"/>
  <c r="T9" i="19"/>
  <c r="T17" i="19"/>
  <c r="S17" i="19"/>
  <c r="T18" i="19"/>
  <c r="S18" i="19"/>
  <c r="R20" i="19"/>
  <c r="E17" i="19"/>
  <c r="E18" i="19"/>
  <c r="E9" i="19"/>
  <c r="H17" i="19" l="1"/>
  <c r="S20" i="19"/>
  <c r="T20" i="19"/>
  <c r="E20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4" i="23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2" i="24" l="1"/>
  <c r="G15" i="22"/>
  <c r="G13" i="4"/>
  <c r="G14" i="23"/>
  <c r="F12" i="24"/>
  <c r="F14" i="23"/>
  <c r="G8" i="22"/>
  <c r="G11" i="22"/>
  <c r="F15" i="22"/>
  <c r="F11" i="22"/>
  <c r="F8" i="22"/>
  <c r="F13" i="4"/>
  <c r="G22" i="4"/>
  <c r="F22" i="4"/>
  <c r="T13" i="4"/>
  <c r="U13" i="4" s="1"/>
  <c r="T8" i="22"/>
  <c r="U8" i="22" s="1"/>
  <c r="T15" i="22"/>
  <c r="U15" i="22" s="1"/>
  <c r="T11" i="22"/>
  <c r="U11" i="22" s="1"/>
  <c r="T22" i="4"/>
  <c r="U22" i="4" s="1"/>
  <c r="L12" i="24"/>
  <c r="L14" i="23"/>
  <c r="CO14" i="23"/>
  <c r="CS14" i="23" s="1"/>
  <c r="CW11" i="22"/>
  <c r="DA11" i="22" s="1"/>
  <c r="SN22" i="4"/>
  <c r="SU22" i="4" s="1"/>
  <c r="SF12" i="24"/>
  <c r="SM12" i="24" s="1"/>
  <c r="SF14" i="23"/>
  <c r="SM14" i="23" s="1"/>
  <c r="CW8" i="22"/>
  <c r="DA8" i="22" s="1"/>
  <c r="CO12" i="24"/>
  <c r="CS12" i="24" s="1"/>
  <c r="TI12" i="24"/>
  <c r="TF12" i="24"/>
  <c r="TM12" i="24"/>
  <c r="J12" i="24"/>
  <c r="I12" i="24"/>
  <c r="TM14" i="23"/>
  <c r="TI14" i="23"/>
  <c r="TF14" i="23"/>
  <c r="J14" i="23"/>
  <c r="I14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5" i="22"/>
  <c r="DA15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2" i="4"/>
  <c r="DA22" i="4" s="1"/>
  <c r="TQ22" i="4"/>
  <c r="J22" i="4"/>
  <c r="K22" i="4" s="1"/>
  <c r="TN22" i="4"/>
  <c r="CW13" i="4"/>
  <c r="DA13" i="4" s="1"/>
  <c r="R22" i="4"/>
  <c r="S22" i="4" s="1"/>
  <c r="TU22" i="4"/>
  <c r="L22" i="4"/>
  <c r="M22" i="4" s="1"/>
  <c r="I22" i="4"/>
  <c r="P22" i="4"/>
  <c r="DC22" i="4" s="1"/>
  <c r="N22" i="4"/>
  <c r="SN13" i="4"/>
  <c r="SU13" i="4" s="1"/>
  <c r="TN13" i="4"/>
  <c r="L13" i="4"/>
  <c r="M13" i="4" s="1"/>
  <c r="TU13" i="4"/>
  <c r="TQ13" i="4"/>
  <c r="P13" i="4"/>
  <c r="DC13" i="4" s="1"/>
  <c r="N13" i="4"/>
  <c r="R13" i="4"/>
  <c r="S13" i="4" s="1"/>
  <c r="J13" i="4"/>
  <c r="K13" i="4" s="1"/>
  <c r="I13" i="4"/>
  <c r="H14" i="23" l="1"/>
  <c r="A14" i="23" s="1" a="1"/>
  <c r="A14" i="23" s="1"/>
  <c r="H11" i="22"/>
  <c r="H15" i="22"/>
  <c r="A15" i="22" s="1" a="1"/>
  <c r="A15" i="22" s="1"/>
  <c r="DB8" i="22"/>
  <c r="CT12" i="24"/>
  <c r="M12" i="24"/>
  <c r="CU12" i="24"/>
  <c r="M14" i="23"/>
  <c r="CT14" i="23"/>
  <c r="CU14" i="23"/>
  <c r="DB15" i="22"/>
  <c r="DB11" i="22"/>
  <c r="DB13" i="4"/>
  <c r="V13" i="4" s="1"/>
  <c r="DB22" i="4"/>
  <c r="TR11" i="22"/>
  <c r="TV11" i="22" s="1"/>
  <c r="TR8" i="22"/>
  <c r="TV8" i="22" s="1"/>
  <c r="TJ12" i="24"/>
  <c r="TN12" i="24" s="1"/>
  <c r="K12" i="24"/>
  <c r="TJ14" i="23"/>
  <c r="TN14" i="23" s="1"/>
  <c r="K14" i="23"/>
  <c r="O11" i="22"/>
  <c r="Q11" i="22"/>
  <c r="TR15" i="22"/>
  <c r="TV15" i="22" s="1"/>
  <c r="Q8" i="22"/>
  <c r="H8" i="22"/>
  <c r="O8" i="22"/>
  <c r="O15" i="22"/>
  <c r="Q15" i="22"/>
  <c r="TR22" i="4"/>
  <c r="TV22" i="4" s="1"/>
  <c r="O22" i="4"/>
  <c r="Q22" i="4"/>
  <c r="TR13" i="4"/>
  <c r="TV13" i="4" s="1"/>
  <c r="O13" i="4"/>
  <c r="Q13" i="4"/>
  <c r="H12" i="24" l="1"/>
  <c r="H13" i="4"/>
  <c r="H22" i="4"/>
  <c r="A22" i="4" s="1" a="1"/>
  <c r="A22" i="4" s="1"/>
  <c r="N12" i="24"/>
  <c r="N14" i="23"/>
  <c r="V11" i="22"/>
  <c r="W11" i="22" s="1"/>
  <c r="V8" i="22"/>
  <c r="W8" i="22" s="1"/>
  <c r="V15" i="22"/>
  <c r="W15" i="22" s="1"/>
  <c r="E13" i="4"/>
  <c r="V22" i="4"/>
  <c r="X13" i="4"/>
  <c r="W13" i="4"/>
  <c r="E12" i="24" l="1"/>
  <c r="P12" i="24"/>
  <c r="O14" i="23"/>
  <c r="P14" i="23"/>
  <c r="E14" i="23"/>
  <c r="O12" i="24"/>
  <c r="X11" i="22"/>
  <c r="E11" i="22"/>
  <c r="E8" i="22"/>
  <c r="X8" i="22"/>
  <c r="X15" i="22"/>
  <c r="E15" i="22"/>
  <c r="W22" i="4"/>
  <c r="X22" i="4"/>
  <c r="E22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0" i="21"/>
  <c r="CW10" i="21"/>
  <c r="CX10" i="21"/>
  <c r="CY10" i="21"/>
  <c r="DA10" i="21"/>
  <c r="DB10" i="21"/>
  <c r="PW10" i="21"/>
  <c r="PX10" i="21"/>
  <c r="QD10" i="21" s="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2" i="19"/>
  <c r="CW12" i="19"/>
  <c r="CX12" i="19"/>
  <c r="CY12" i="19"/>
  <c r="DA12" i="19"/>
  <c r="DB12" i="19"/>
  <c r="PW12" i="19"/>
  <c r="PX12" i="19"/>
  <c r="QD12" i="19" s="1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DC10" i="21" l="1"/>
  <c r="DC12" i="19"/>
  <c r="F10" i="21"/>
  <c r="G10" i="21"/>
  <c r="F12" i="19"/>
  <c r="G12" i="19"/>
  <c r="DB8" i="4"/>
  <c r="CU5" i="24"/>
  <c r="CT5" i="24"/>
  <c r="M5" i="24"/>
  <c r="TR8" i="4"/>
  <c r="TV8" i="4" s="1"/>
  <c r="O8" i="4"/>
  <c r="Q8" i="4"/>
  <c r="TJ5" i="24"/>
  <c r="TN5" i="24" s="1"/>
  <c r="QA10" i="21"/>
  <c r="H5" i="24"/>
  <c r="K5" i="24"/>
  <c r="QA12" i="19"/>
  <c r="QZ10" i="21"/>
  <c r="RE10" i="21"/>
  <c r="N10" i="21"/>
  <c r="DE10" i="21" s="1"/>
  <c r="CZ10" i="21"/>
  <c r="P10" i="21"/>
  <c r="DF10" i="21" s="1"/>
  <c r="RB10" i="21"/>
  <c r="RA10" i="21"/>
  <c r="RF10" i="21"/>
  <c r="L10" i="21"/>
  <c r="J10" i="21"/>
  <c r="RC10" i="21"/>
  <c r="QZ12" i="19"/>
  <c r="RE12" i="19"/>
  <c r="P12" i="19"/>
  <c r="CZ12" i="19"/>
  <c r="RB12" i="19"/>
  <c r="RA12" i="19"/>
  <c r="RF12" i="19"/>
  <c r="N12" i="19"/>
  <c r="DE12" i="19" s="1"/>
  <c r="L12" i="19"/>
  <c r="J12" i="19"/>
  <c r="K12" i="19" s="1"/>
  <c r="RC12" i="19"/>
  <c r="RG10" i="21" l="1"/>
  <c r="RG12" i="19"/>
  <c r="H8" i="4"/>
  <c r="M10" i="21"/>
  <c r="DD10" i="21"/>
  <c r="Q12" i="19"/>
  <c r="DF12" i="19"/>
  <c r="M12" i="19"/>
  <c r="DD12" i="19"/>
  <c r="O10" i="21"/>
  <c r="K10" i="21"/>
  <c r="O12" i="19"/>
  <c r="RD12" i="19"/>
  <c r="V8" i="4"/>
  <c r="E8" i="4" s="1"/>
  <c r="N5" i="24"/>
  <c r="RD10" i="21"/>
  <c r="I10" i="21"/>
  <c r="Q10" i="21"/>
  <c r="I12" i="19"/>
  <c r="H10" i="21" l="1"/>
  <c r="E5" i="24"/>
  <c r="P5" i="24"/>
  <c r="W8" i="4"/>
  <c r="X8" i="4"/>
  <c r="R10" i="21"/>
  <c r="O5" i="24"/>
  <c r="R12" i="19"/>
  <c r="H12" i="19" l="1"/>
  <c r="S10" i="21"/>
  <c r="T10" i="21"/>
  <c r="T12" i="19"/>
  <c r="S12" i="19"/>
  <c r="E10" i="21"/>
  <c r="E12" i="19"/>
  <c r="CI12" i="23" l="1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6" i="24"/>
  <c r="TA6" i="24"/>
  <c r="TL6" i="24" s="1"/>
  <c r="SZ6" i="24"/>
  <c r="TK6" i="24" s="1"/>
  <c r="SY6" i="24"/>
  <c r="SX6" i="24"/>
  <c r="SW6" i="24"/>
  <c r="SV6" i="24"/>
  <c r="TH6" i="24" s="1"/>
  <c r="SU6" i="24"/>
  <c r="TG6" i="24" s="1"/>
  <c r="ST6" i="24"/>
  <c r="SS6" i="24"/>
  <c r="SR6" i="24"/>
  <c r="SQ6" i="24"/>
  <c r="TE6" i="24" s="1"/>
  <c r="SP6" i="24"/>
  <c r="TD6" i="24" s="1"/>
  <c r="SO6" i="24"/>
  <c r="SN6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CR6" i="24"/>
  <c r="CQ6" i="24"/>
  <c r="CP6" i="24"/>
  <c r="CN6" i="24"/>
  <c r="CM6" i="24"/>
  <c r="CL6" i="24"/>
  <c r="CK6" i="24"/>
  <c r="CJ6" i="24"/>
  <c r="CI6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5" i="19"/>
  <c r="CW25" i="19"/>
  <c r="CX25" i="19"/>
  <c r="CY25" i="19"/>
  <c r="DA25" i="19"/>
  <c r="DB25" i="19"/>
  <c r="PW25" i="19"/>
  <c r="PX25" i="19"/>
  <c r="QD25" i="19" s="1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DC25" i="19" l="1"/>
  <c r="F7" i="22"/>
  <c r="F4" i="24"/>
  <c r="F9" i="22"/>
  <c r="G12" i="23"/>
  <c r="F5" i="22"/>
  <c r="G25" i="19"/>
  <c r="F25" i="19"/>
  <c r="F6" i="24"/>
  <c r="G6" i="24"/>
  <c r="G8" i="24"/>
  <c r="G4" i="24"/>
  <c r="F8" i="24"/>
  <c r="G7" i="23"/>
  <c r="G5" i="23"/>
  <c r="F7" i="23"/>
  <c r="F5" i="23"/>
  <c r="F12" i="23"/>
  <c r="F6" i="22"/>
  <c r="F13" i="22"/>
  <c r="G4" i="22"/>
  <c r="G5" i="22"/>
  <c r="G7" i="22"/>
  <c r="G9" i="22"/>
  <c r="F12" i="22"/>
  <c r="F17" i="22"/>
  <c r="G13" i="22"/>
  <c r="G12" i="22"/>
  <c r="G17" i="22"/>
  <c r="G6" i="22"/>
  <c r="T6" i="22"/>
  <c r="U6" i="22" s="1"/>
  <c r="T13" i="22"/>
  <c r="U13" i="22" s="1"/>
  <c r="T12" i="22"/>
  <c r="U12" i="22" s="1"/>
  <c r="T17" i="22"/>
  <c r="U17" i="22" s="1"/>
  <c r="T5" i="22"/>
  <c r="U5" i="22" s="1"/>
  <c r="T7" i="22"/>
  <c r="U7" i="22" s="1"/>
  <c r="T9" i="22"/>
  <c r="U9" i="22" s="1"/>
  <c r="T4" i="22"/>
  <c r="U4" i="22" s="1"/>
  <c r="L7" i="23"/>
  <c r="CU7" i="23" s="1"/>
  <c r="L6" i="24"/>
  <c r="L4" i="24"/>
  <c r="L8" i="24"/>
  <c r="L12" i="23"/>
  <c r="CO5" i="23"/>
  <c r="CS5" i="23" s="1"/>
  <c r="L5" i="23"/>
  <c r="CO6" i="24"/>
  <c r="CS6" i="24" s="1"/>
  <c r="CO4" i="24"/>
  <c r="CS4" i="24" s="1"/>
  <c r="CO8" i="24"/>
  <c r="CS8" i="24" s="1"/>
  <c r="CO7" i="23"/>
  <c r="CS7" i="23" s="1"/>
  <c r="CO12" i="23"/>
  <c r="CS12" i="23" s="1"/>
  <c r="CW13" i="22"/>
  <c r="DA13" i="22" s="1"/>
  <c r="SF8" i="24"/>
  <c r="SM8" i="24" s="1"/>
  <c r="CW17" i="22"/>
  <c r="DA17" i="22" s="1"/>
  <c r="TU17" i="22"/>
  <c r="SF12" i="23"/>
  <c r="SM12" i="23" s="1"/>
  <c r="P5" i="22"/>
  <c r="DC5" i="22" s="1"/>
  <c r="TM12" i="23"/>
  <c r="TI12" i="23"/>
  <c r="TF12" i="23"/>
  <c r="J12" i="23"/>
  <c r="K12" i="23" s="1"/>
  <c r="I12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7" i="22"/>
  <c r="I6" i="24"/>
  <c r="I4" i="24"/>
  <c r="J4" i="24"/>
  <c r="TI6" i="24"/>
  <c r="J6" i="24"/>
  <c r="K6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6" i="24"/>
  <c r="SF6" i="24"/>
  <c r="SM6" i="24" s="1"/>
  <c r="TM6" i="24"/>
  <c r="SF4" i="24"/>
  <c r="SM4" i="24" s="1"/>
  <c r="J7" i="23"/>
  <c r="K7" i="23" s="1"/>
  <c r="SF7" i="23"/>
  <c r="SM7" i="23" s="1"/>
  <c r="TF7" i="23"/>
  <c r="TI7" i="23"/>
  <c r="TM7" i="23"/>
  <c r="I7" i="23"/>
  <c r="TG7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7" i="22"/>
  <c r="TN5" i="22"/>
  <c r="SN17" i="22"/>
  <c r="SU17" i="22" s="1"/>
  <c r="TQ17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7" i="22"/>
  <c r="N17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7" i="22"/>
  <c r="R9" i="22"/>
  <c r="S9" i="22" s="1"/>
  <c r="J17" i="22"/>
  <c r="R17" i="22"/>
  <c r="S17" i="22" s="1"/>
  <c r="QA25" i="19"/>
  <c r="CZ25" i="19"/>
  <c r="P25" i="19"/>
  <c r="DF25" i="19" s="1"/>
  <c r="RB25" i="19"/>
  <c r="RF25" i="19"/>
  <c r="RE25" i="19"/>
  <c r="N25" i="19"/>
  <c r="DE25" i="19" s="1"/>
  <c r="L25" i="19"/>
  <c r="DD25" i="19" s="1"/>
  <c r="RA25" i="19"/>
  <c r="QZ25" i="19"/>
  <c r="J25" i="19"/>
  <c r="K25" i="19" s="1"/>
  <c r="RC25" i="19"/>
  <c r="RG25" i="19" l="1"/>
  <c r="H7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7" i="23"/>
  <c r="DB7" i="22"/>
  <c r="DB12" i="22"/>
  <c r="V12" i="22" s="1"/>
  <c r="X12" i="22" s="1"/>
  <c r="DB17" i="22"/>
  <c r="CU8" i="24"/>
  <c r="CT8" i="24"/>
  <c r="M8" i="24"/>
  <c r="CU4" i="24"/>
  <c r="M4" i="24"/>
  <c r="CT4" i="24"/>
  <c r="CT6" i="24"/>
  <c r="M6" i="24"/>
  <c r="CU6" i="24"/>
  <c r="CU5" i="23"/>
  <c r="M5" i="23"/>
  <c r="CT5" i="23"/>
  <c r="M12" i="23"/>
  <c r="CT12" i="23"/>
  <c r="CU12" i="23"/>
  <c r="CT7" i="23"/>
  <c r="DB13" i="22"/>
  <c r="Q17" i="22"/>
  <c r="DC17" i="22"/>
  <c r="Q6" i="22"/>
  <c r="DC6" i="22"/>
  <c r="Q7" i="22"/>
  <c r="DC7" i="22"/>
  <c r="O25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7" i="22"/>
  <c r="Q4" i="22"/>
  <c r="O5" i="22"/>
  <c r="TR12" i="22"/>
  <c r="TV12" i="22" s="1"/>
  <c r="TR5" i="22"/>
  <c r="TV5" i="22" s="1"/>
  <c r="H7" i="22"/>
  <c r="TR17" i="22"/>
  <c r="TV17" i="22" s="1"/>
  <c r="TR9" i="22"/>
  <c r="TV9" i="22" s="1"/>
  <c r="TJ8" i="24"/>
  <c r="TN8" i="24" s="1"/>
  <c r="K8" i="24"/>
  <c r="TJ12" i="23"/>
  <c r="TN12" i="23" s="1"/>
  <c r="H5" i="23"/>
  <c r="TJ5" i="23"/>
  <c r="TN5" i="23" s="1"/>
  <c r="K5" i="23"/>
  <c r="H8" i="24"/>
  <c r="H4" i="24"/>
  <c r="TJ6" i="24"/>
  <c r="TN6" i="24" s="1"/>
  <c r="K4" i="24"/>
  <c r="TJ4" i="24"/>
  <c r="TN4" i="24" s="1"/>
  <c r="TJ7" i="23"/>
  <c r="TN7" i="23" s="1"/>
  <c r="H4" i="22"/>
  <c r="TR6" i="22"/>
  <c r="TV6" i="22" s="1"/>
  <c r="K7" i="22"/>
  <c r="M17" i="22"/>
  <c r="M5" i="22"/>
  <c r="K6" i="22"/>
  <c r="K17" i="22"/>
  <c r="K12" i="22"/>
  <c r="M6" i="22"/>
  <c r="M9" i="22"/>
  <c r="Q13" i="22"/>
  <c r="K9" i="22"/>
  <c r="Q25" i="19"/>
  <c r="M25" i="19"/>
  <c r="RD25" i="19"/>
  <c r="I25" i="19"/>
  <c r="H25" i="19" l="1"/>
  <c r="A25" i="19" s="1" a="1"/>
  <c r="A25" i="19" s="1"/>
  <c r="H6" i="24"/>
  <c r="H12" i="23"/>
  <c r="A12" i="23" s="1" a="1"/>
  <c r="A12" i="23" s="1"/>
  <c r="H12" i="22"/>
  <c r="H17" i="22"/>
  <c r="A17" i="22" s="1" a="1"/>
  <c r="A17" i="22" s="1"/>
  <c r="V17" i="22"/>
  <c r="X17" i="22" s="1"/>
  <c r="N12" i="23"/>
  <c r="V7" i="22"/>
  <c r="X7" i="22" s="1"/>
  <c r="V13" i="22"/>
  <c r="X13" i="22" s="1"/>
  <c r="R25" i="19"/>
  <c r="N8" i="24"/>
  <c r="P8" i="24" s="1"/>
  <c r="N5" i="23"/>
  <c r="N4" i="24"/>
  <c r="N7" i="23"/>
  <c r="N6" i="24"/>
  <c r="P6" i="24" s="1"/>
  <c r="V6" i="22"/>
  <c r="X6" i="22" s="1"/>
  <c r="V4" i="22"/>
  <c r="X4" i="22" s="1"/>
  <c r="E5" i="22"/>
  <c r="E12" i="22"/>
  <c r="E9" i="22"/>
  <c r="W12" i="22"/>
  <c r="W9" i="22"/>
  <c r="W5" i="22"/>
  <c r="E17" i="22" l="1"/>
  <c r="W17" i="22"/>
  <c r="S25" i="19"/>
  <c r="T25" i="19"/>
  <c r="E4" i="24"/>
  <c r="P4" i="24"/>
  <c r="E7" i="23"/>
  <c r="O7" i="23"/>
  <c r="P7" i="23"/>
  <c r="E5" i="23"/>
  <c r="O5" i="23"/>
  <c r="P5" i="23"/>
  <c r="P12" i="23"/>
  <c r="O12" i="23"/>
  <c r="E8" i="24"/>
  <c r="E12" i="23"/>
  <c r="E6" i="24"/>
  <c r="W7" i="22"/>
  <c r="E7" i="22"/>
  <c r="W6" i="22"/>
  <c r="E4" i="22"/>
  <c r="E25" i="19"/>
  <c r="O8" i="24"/>
  <c r="E13" i="22"/>
  <c r="W13" i="22"/>
  <c r="O4" i="24"/>
  <c r="O6" i="24"/>
  <c r="W4" i="22"/>
  <c r="E6" i="22"/>
  <c r="CV23" i="19"/>
  <c r="CW23" i="19"/>
  <c r="CX23" i="19"/>
  <c r="CY23" i="19"/>
  <c r="DA23" i="19"/>
  <c r="DB23" i="19"/>
  <c r="PW23" i="19"/>
  <c r="PX23" i="19"/>
  <c r="QD23" i="19" s="1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DC23" i="19" l="1"/>
  <c r="A9" i="24" a="1"/>
  <c r="A9" i="24" s="1"/>
  <c r="A11" i="22" a="1"/>
  <c r="A11" i="22" s="1"/>
  <c r="G23" i="19"/>
  <c r="A10" i="22" a="1"/>
  <c r="A10" i="22" s="1"/>
  <c r="A12" i="22" a="1"/>
  <c r="A12" i="22" s="1"/>
  <c r="A12" i="24" a="1"/>
  <c r="A12" i="24" s="1"/>
  <c r="A6" i="24" a="1"/>
  <c r="A6" i="24" s="1"/>
  <c r="A6" i="23" a="1"/>
  <c r="A6" i="23" s="1"/>
  <c r="A7" i="23" a="1"/>
  <c r="A7" i="23" s="1"/>
  <c r="F23" i="19"/>
  <c r="A5" i="24" a="1"/>
  <c r="A5" i="24" s="1"/>
  <c r="A8" i="24" a="1"/>
  <c r="A8" i="24" s="1"/>
  <c r="A7" i="24" a="1"/>
  <c r="A7" i="24" s="1"/>
  <c r="A10" i="24" a="1"/>
  <c r="A10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3" i="19"/>
  <c r="N23" i="19"/>
  <c r="DE23" i="19" s="1"/>
  <c r="RE23" i="19"/>
  <c r="CZ23" i="19"/>
  <c r="L23" i="19"/>
  <c r="DD23" i="19" s="1"/>
  <c r="RF23" i="19"/>
  <c r="RB23" i="19"/>
  <c r="RA23" i="19"/>
  <c r="RG23" i="19" s="1"/>
  <c r="QZ23" i="19"/>
  <c r="P23" i="19"/>
  <c r="DF23" i="19" s="1"/>
  <c r="J23" i="19"/>
  <c r="K23" i="19" s="1"/>
  <c r="RC23" i="19"/>
  <c r="O23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3" i="19"/>
  <c r="Q23" i="19"/>
  <c r="I23" i="19"/>
  <c r="RD23" i="19"/>
  <c r="H23" i="19" l="1"/>
  <c r="A23" i="19" s="1" a="1"/>
  <c r="A23" i="19" s="1"/>
  <c r="R23" i="19"/>
  <c r="T23" i="19" l="1"/>
  <c r="S23" i="19"/>
  <c r="E23" i="19"/>
  <c r="CQ12" i="4"/>
  <c r="CR12" i="4"/>
  <c r="CS12" i="4"/>
  <c r="G12" i="4" s="1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F12" i="4" l="1"/>
  <c r="T12" i="4"/>
  <c r="U12" i="4" s="1"/>
  <c r="R12" i="4"/>
  <c r="S12" i="4" s="1"/>
  <c r="SN12" i="4"/>
  <c r="SU12" i="4" s="1"/>
  <c r="CW12" i="4"/>
  <c r="DA12" i="4" s="1"/>
  <c r="TQ12" i="4"/>
  <c r="TU12" i="4"/>
  <c r="P12" i="4"/>
  <c r="DC12" i="4" s="1"/>
  <c r="L12" i="4"/>
  <c r="J12" i="4"/>
  <c r="I12" i="4"/>
  <c r="TN12" i="4"/>
  <c r="N12" i="4"/>
  <c r="DB12" i="4" l="1"/>
  <c r="V12" i="4" s="1"/>
  <c r="X12" i="4" s="1"/>
  <c r="O12" i="4"/>
  <c r="M12" i="4"/>
  <c r="TR12" i="4"/>
  <c r="TV12" i="4" s="1"/>
  <c r="Q12" i="4"/>
  <c r="K12" i="4"/>
  <c r="H12" i="4" l="1"/>
  <c r="W12" i="4"/>
  <c r="E12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DC9" i="21" s="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DC5" i="21" s="1"/>
  <c r="CV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DC18" i="21" s="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DC16" i="21" s="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DC12" i="21" s="1"/>
  <c r="CV12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DC11" i="21" s="1"/>
  <c r="CV11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DC7" i="21" s="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DC4" i="21" s="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DC8" i="21" s="1"/>
  <c r="CV8" i="21"/>
  <c r="PZ10" i="19"/>
  <c r="PZ8" i="19"/>
  <c r="PZ16" i="19"/>
  <c r="PZ27" i="19"/>
  <c r="PZ7" i="19"/>
  <c r="PZ15" i="19"/>
  <c r="PZ5" i="19"/>
  <c r="PZ14" i="19"/>
  <c r="PZ4" i="19"/>
  <c r="PZ6" i="19"/>
  <c r="CY10" i="19"/>
  <c r="CY8" i="19"/>
  <c r="CY16" i="19"/>
  <c r="CY27" i="19"/>
  <c r="CY7" i="19"/>
  <c r="CY15" i="19"/>
  <c r="CY5" i="19"/>
  <c r="CY14" i="19"/>
  <c r="CY4" i="19"/>
  <c r="CY6" i="19"/>
  <c r="PY4" i="19"/>
  <c r="PY14" i="19"/>
  <c r="PY5" i="19"/>
  <c r="PY15" i="19"/>
  <c r="PY7" i="19"/>
  <c r="PY27" i="19"/>
  <c r="PY16" i="19"/>
  <c r="PY8" i="19"/>
  <c r="PY10" i="19"/>
  <c r="PY6" i="19"/>
  <c r="CX6" i="19"/>
  <c r="CX4" i="19"/>
  <c r="CX14" i="19"/>
  <c r="CX5" i="19"/>
  <c r="CX15" i="19"/>
  <c r="CX7" i="19"/>
  <c r="CX27" i="19"/>
  <c r="CX16" i="19"/>
  <c r="CX8" i="19"/>
  <c r="CX10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6" i="19"/>
  <c r="CW16" i="19"/>
  <c r="DA16" i="19"/>
  <c r="DB16" i="19"/>
  <c r="PW16" i="19"/>
  <c r="PX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F14" i="19"/>
  <c r="QE14" i="19"/>
  <c r="QC14" i="19"/>
  <c r="QB14" i="19"/>
  <c r="PX14" i="19"/>
  <c r="QD14" i="19" s="1"/>
  <c r="PW14" i="19"/>
  <c r="DB14" i="19"/>
  <c r="DA14" i="19"/>
  <c r="CW14" i="19"/>
  <c r="DC14" i="19" s="1"/>
  <c r="CV1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D8" i="21" l="1"/>
  <c r="QD6" i="21"/>
  <c r="QD4" i="21"/>
  <c r="QD7" i="21"/>
  <c r="QD11" i="21"/>
  <c r="QD12" i="21"/>
  <c r="QD16" i="21"/>
  <c r="QD18" i="21"/>
  <c r="QD5" i="21"/>
  <c r="QD9" i="21"/>
  <c r="DC6" i="19"/>
  <c r="QD4" i="19"/>
  <c r="QD10" i="19"/>
  <c r="DC8" i="19"/>
  <c r="QD16" i="19"/>
  <c r="QD7" i="19"/>
  <c r="QD5" i="19"/>
  <c r="DC10" i="19"/>
  <c r="QD8" i="19"/>
  <c r="DC16" i="19"/>
  <c r="QD27" i="19"/>
  <c r="DC7" i="19"/>
  <c r="QD15" i="19"/>
  <c r="DC5" i="19"/>
  <c r="DC4" i="19"/>
  <c r="DC27" i="19"/>
  <c r="DC15" i="19"/>
  <c r="QD6" i="19"/>
  <c r="F8" i="21"/>
  <c r="F4" i="21"/>
  <c r="F7" i="21"/>
  <c r="F11" i="21"/>
  <c r="F12" i="21"/>
  <c r="F16" i="21"/>
  <c r="F18" i="21"/>
  <c r="F5" i="21"/>
  <c r="F9" i="21"/>
  <c r="G4" i="21"/>
  <c r="G7" i="21"/>
  <c r="G11" i="21"/>
  <c r="G12" i="21"/>
  <c r="G16" i="21"/>
  <c r="G18" i="21"/>
  <c r="G5" i="21"/>
  <c r="G9" i="21"/>
  <c r="F6" i="21"/>
  <c r="G6" i="21"/>
  <c r="G8" i="21"/>
  <c r="G6" i="19"/>
  <c r="F4" i="19"/>
  <c r="G5" i="19"/>
  <c r="G4" i="19"/>
  <c r="G27" i="19"/>
  <c r="G15" i="19"/>
  <c r="G8" i="19"/>
  <c r="F14" i="19"/>
  <c r="F6" i="19"/>
  <c r="G14" i="19"/>
  <c r="G10" i="19"/>
  <c r="G16" i="19"/>
  <c r="G7" i="19"/>
  <c r="F10" i="19"/>
  <c r="F16" i="19"/>
  <c r="F7" i="19"/>
  <c r="F5" i="19"/>
  <c r="F8" i="19"/>
  <c r="F27" i="19"/>
  <c r="F15" i="19"/>
  <c r="QA27" i="19"/>
  <c r="CZ5" i="19"/>
  <c r="CZ15" i="19"/>
  <c r="QA15" i="19"/>
  <c r="QA7" i="19"/>
  <c r="QA8" i="19"/>
  <c r="CZ16" i="19"/>
  <c r="CZ4" i="19"/>
  <c r="QA4" i="19"/>
  <c r="QA14" i="19"/>
  <c r="N10" i="19"/>
  <c r="DE10" i="19" s="1"/>
  <c r="CZ10" i="19"/>
  <c r="QA6" i="19"/>
  <c r="QZ18" i="21"/>
  <c r="P5" i="21"/>
  <c r="DF5" i="21" s="1"/>
  <c r="QZ9" i="21"/>
  <c r="RE9" i="21"/>
  <c r="QA16" i="19"/>
  <c r="CZ5" i="21"/>
  <c r="RE18" i="21"/>
  <c r="RF9" i="21"/>
  <c r="QA6" i="21"/>
  <c r="QA5" i="21"/>
  <c r="L9" i="21"/>
  <c r="DD9" i="21" s="1"/>
  <c r="RB7" i="21"/>
  <c r="QZ6" i="21"/>
  <c r="RE6" i="21"/>
  <c r="P4" i="21"/>
  <c r="DF4" i="21" s="1"/>
  <c r="QA4" i="21"/>
  <c r="RC16" i="21"/>
  <c r="P18" i="21"/>
  <c r="DF18" i="21" s="1"/>
  <c r="L5" i="21"/>
  <c r="DD5" i="21" s="1"/>
  <c r="P16" i="21"/>
  <c r="DF16" i="21" s="1"/>
  <c r="P9" i="21"/>
  <c r="DF9" i="21" s="1"/>
  <c r="RB9" i="21"/>
  <c r="N8" i="21"/>
  <c r="DE8" i="21" s="1"/>
  <c r="QZ4" i="21"/>
  <c r="RC7" i="21"/>
  <c r="QA10" i="19"/>
  <c r="CZ8" i="19"/>
  <c r="CZ14" i="19"/>
  <c r="QA5" i="19"/>
  <c r="QZ11" i="21"/>
  <c r="P12" i="21"/>
  <c r="DF12" i="21" s="1"/>
  <c r="CZ12" i="21"/>
  <c r="P8" i="21"/>
  <c r="DF8" i="21" s="1"/>
  <c r="N18" i="21"/>
  <c r="DE18" i="21" s="1"/>
  <c r="QZ8" i="21"/>
  <c r="CZ6" i="21"/>
  <c r="RC5" i="21"/>
  <c r="CZ9" i="21"/>
  <c r="RE16" i="21"/>
  <c r="RA18" i="21"/>
  <c r="RB18" i="21"/>
  <c r="CZ4" i="21"/>
  <c r="RA16" i="21"/>
  <c r="RB16" i="21"/>
  <c r="RF16" i="21"/>
  <c r="QA18" i="21"/>
  <c r="QA9" i="21"/>
  <c r="RB11" i="21"/>
  <c r="RF5" i="21"/>
  <c r="RB6" i="21"/>
  <c r="N7" i="21"/>
  <c r="DE7" i="21" s="1"/>
  <c r="P7" i="21"/>
  <c r="DF7" i="21" s="1"/>
  <c r="QA7" i="21"/>
  <c r="N11" i="21"/>
  <c r="DE11" i="21" s="1"/>
  <c r="N5" i="21"/>
  <c r="DE5" i="21" s="1"/>
  <c r="QZ5" i="21"/>
  <c r="RE5" i="21"/>
  <c r="RE7" i="21"/>
  <c r="L11" i="21"/>
  <c r="DD11" i="21" s="1"/>
  <c r="QA11" i="21"/>
  <c r="RF11" i="21"/>
  <c r="L12" i="21"/>
  <c r="DD12" i="21" s="1"/>
  <c r="RC12" i="21"/>
  <c r="RE12" i="21"/>
  <c r="CZ16" i="21"/>
  <c r="N9" i="21"/>
  <c r="DE9" i="21" s="1"/>
  <c r="RF8" i="21"/>
  <c r="N6" i="21"/>
  <c r="DE6" i="21" s="1"/>
  <c r="RE11" i="21"/>
  <c r="N12" i="21"/>
  <c r="DE12" i="21" s="1"/>
  <c r="RB12" i="21"/>
  <c r="RF18" i="21"/>
  <c r="RB5" i="21"/>
  <c r="RC9" i="21"/>
  <c r="RE8" i="21"/>
  <c r="RA4" i="21"/>
  <c r="RB4" i="21"/>
  <c r="CZ11" i="21"/>
  <c r="RF12" i="21"/>
  <c r="QA8" i="21"/>
  <c r="RB8" i="21"/>
  <c r="RC6" i="19"/>
  <c r="RC5" i="19"/>
  <c r="CZ27" i="19"/>
  <c r="CZ7" i="19"/>
  <c r="RC15" i="19"/>
  <c r="RC10" i="19"/>
  <c r="RC4" i="19"/>
  <c r="RC8" i="19"/>
  <c r="RC16" i="19"/>
  <c r="RC14" i="19"/>
  <c r="RC27" i="19"/>
  <c r="RC7" i="19"/>
  <c r="CZ6" i="19"/>
  <c r="L6" i="21"/>
  <c r="DD6" i="21" s="1"/>
  <c r="RA12" i="21"/>
  <c r="RC6" i="21"/>
  <c r="RA11" i="21"/>
  <c r="RA8" i="21"/>
  <c r="RG8" i="21" s="1"/>
  <c r="RC4" i="21"/>
  <c r="QZ7" i="21"/>
  <c r="J11" i="21"/>
  <c r="RC8" i="21"/>
  <c r="RC11" i="21"/>
  <c r="J12" i="21"/>
  <c r="RA9" i="21"/>
  <c r="L8" i="21"/>
  <c r="DD8" i="21" s="1"/>
  <c r="J6" i="21"/>
  <c r="J16" i="21"/>
  <c r="J18" i="21"/>
  <c r="L16" i="21"/>
  <c r="DD16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1" i="21"/>
  <c r="DF11" i="21" s="1"/>
  <c r="RF4" i="21"/>
  <c r="RE4" i="21"/>
  <c r="RA6" i="21"/>
  <c r="RG6" i="21" s="1"/>
  <c r="RF7" i="21"/>
  <c r="L7" i="21"/>
  <c r="DD7" i="21" s="1"/>
  <c r="J7" i="21"/>
  <c r="RC18" i="21"/>
  <c r="RA5" i="21"/>
  <c r="RG5" i="21" s="1"/>
  <c r="QA12" i="21"/>
  <c r="QZ12" i="21"/>
  <c r="CZ18" i="21"/>
  <c r="QA16" i="21"/>
  <c r="QZ16" i="21"/>
  <c r="L18" i="21"/>
  <c r="DD18" i="21" s="1"/>
  <c r="J5" i="21"/>
  <c r="N16" i="21"/>
  <c r="DE16" i="21" s="1"/>
  <c r="J9" i="21"/>
  <c r="J6" i="19"/>
  <c r="N8" i="19"/>
  <c r="DE8" i="19" s="1"/>
  <c r="N6" i="19"/>
  <c r="DE6" i="19" s="1"/>
  <c r="N16" i="19"/>
  <c r="DE16" i="19" s="1"/>
  <c r="N14" i="19"/>
  <c r="DE14" i="19" s="1"/>
  <c r="N15" i="19"/>
  <c r="DE15" i="19" s="1"/>
  <c r="N5" i="19"/>
  <c r="DE5" i="19" s="1"/>
  <c r="N27" i="19"/>
  <c r="DE27" i="19" s="1"/>
  <c r="N7" i="19"/>
  <c r="DE7" i="19" s="1"/>
  <c r="RE16" i="19"/>
  <c r="RB16" i="19"/>
  <c r="J8" i="19"/>
  <c r="K8" i="19" s="1"/>
  <c r="QZ16" i="19"/>
  <c r="P7" i="19"/>
  <c r="DF7" i="19" s="1"/>
  <c r="RE10" i="19"/>
  <c r="QZ10" i="19"/>
  <c r="RA7" i="19"/>
  <c r="RE8" i="19"/>
  <c r="P16" i="19"/>
  <c r="DF16" i="19" s="1"/>
  <c r="RB27" i="19"/>
  <c r="RB7" i="19"/>
  <c r="RA16" i="19"/>
  <c r="RF10" i="19"/>
  <c r="RB10" i="19"/>
  <c r="P10" i="19"/>
  <c r="DF10" i="19" s="1"/>
  <c r="P15" i="19"/>
  <c r="DF15" i="19" s="1"/>
  <c r="RF8" i="19"/>
  <c r="RB8" i="19"/>
  <c r="RA8" i="19"/>
  <c r="RG8" i="19" s="1"/>
  <c r="RF16" i="19"/>
  <c r="J16" i="19"/>
  <c r="RA27" i="19"/>
  <c r="RA10" i="19"/>
  <c r="RE27" i="19"/>
  <c r="QZ27" i="19"/>
  <c r="L10" i="19"/>
  <c r="DD10" i="19" s="1"/>
  <c r="P8" i="19"/>
  <c r="DF8" i="19" s="1"/>
  <c r="RF27" i="19"/>
  <c r="RE7" i="19"/>
  <c r="QZ7" i="19"/>
  <c r="QZ8" i="19"/>
  <c r="RF7" i="19"/>
  <c r="RB15" i="19"/>
  <c r="RA15" i="19"/>
  <c r="RE15" i="19"/>
  <c r="QZ15" i="19"/>
  <c r="L15" i="19"/>
  <c r="DD15" i="19" s="1"/>
  <c r="P27" i="19"/>
  <c r="DF27" i="19" s="1"/>
  <c r="J10" i="19"/>
  <c r="L7" i="19"/>
  <c r="DD7" i="19" s="1"/>
  <c r="J15" i="19"/>
  <c r="L27" i="19"/>
  <c r="DD27" i="19" s="1"/>
  <c r="RF15" i="19"/>
  <c r="L16" i="19"/>
  <c r="DD16" i="19" s="1"/>
  <c r="J7" i="19"/>
  <c r="L8" i="19"/>
  <c r="DD8" i="19" s="1"/>
  <c r="J27" i="19"/>
  <c r="RF5" i="19"/>
  <c r="RE5" i="19"/>
  <c r="P14" i="19"/>
  <c r="DF14" i="19" s="1"/>
  <c r="QZ4" i="19"/>
  <c r="RE6" i="19"/>
  <c r="L6" i="19"/>
  <c r="DD6" i="19" s="1"/>
  <c r="QZ14" i="19"/>
  <c r="RF4" i="19"/>
  <c r="P6" i="19"/>
  <c r="DF6" i="19" s="1"/>
  <c r="RA14" i="19"/>
  <c r="RF6" i="19"/>
  <c r="RF14" i="19"/>
  <c r="L5" i="19"/>
  <c r="DD5" i="19" s="1"/>
  <c r="RA4" i="19"/>
  <c r="RB4" i="19"/>
  <c r="RE14" i="19"/>
  <c r="P5" i="19"/>
  <c r="DF5" i="19" s="1"/>
  <c r="QZ6" i="19"/>
  <c r="J5" i="19"/>
  <c r="QZ5" i="19"/>
  <c r="RA6" i="19"/>
  <c r="RB6" i="19"/>
  <c r="J14" i="19"/>
  <c r="RA5" i="19"/>
  <c r="RG5" i="19" s="1"/>
  <c r="RB5" i="19"/>
  <c r="RB14" i="19"/>
  <c r="RE4" i="19"/>
  <c r="L14" i="19"/>
  <c r="DD14" i="19" s="1"/>
  <c r="RG4" i="21" l="1"/>
  <c r="RG16" i="21"/>
  <c r="RG9" i="21"/>
  <c r="RG11" i="21"/>
  <c r="RG7" i="21"/>
  <c r="RG12" i="21"/>
  <c r="RG18" i="21"/>
  <c r="RG10" i="19"/>
  <c r="RG7" i="19"/>
  <c r="RG6" i="19"/>
  <c r="RG15" i="19"/>
  <c r="RG14" i="19"/>
  <c r="RG27" i="19"/>
  <c r="RG4" i="19"/>
  <c r="RG16" i="19"/>
  <c r="O16" i="21"/>
  <c r="O4" i="21"/>
  <c r="O6" i="21"/>
  <c r="O5" i="21"/>
  <c r="O11" i="21"/>
  <c r="K12" i="21"/>
  <c r="O9" i="21"/>
  <c r="O8" i="21"/>
  <c r="O7" i="21"/>
  <c r="O12" i="21"/>
  <c r="O18" i="21"/>
  <c r="O27" i="19"/>
  <c r="O5" i="19"/>
  <c r="O15" i="19"/>
  <c r="R15" i="19"/>
  <c r="O6" i="19"/>
  <c r="O8" i="19"/>
  <c r="O14" i="19"/>
  <c r="O16" i="19"/>
  <c r="O7" i="19"/>
  <c r="O10" i="19"/>
  <c r="RD9" i="21"/>
  <c r="Q12" i="21"/>
  <c r="Q9" i="21"/>
  <c r="Q4" i="21"/>
  <c r="M9" i="21"/>
  <c r="Q5" i="21"/>
  <c r="R11" i="21"/>
  <c r="M6" i="21"/>
  <c r="R16" i="21"/>
  <c r="Q7" i="21"/>
  <c r="Q8" i="21"/>
  <c r="R12" i="21"/>
  <c r="Q18" i="21"/>
  <c r="Q14" i="19"/>
  <c r="M6" i="19"/>
  <c r="R10" i="19"/>
  <c r="M5" i="19"/>
  <c r="Q16" i="19"/>
  <c r="Q8" i="19"/>
  <c r="Q7" i="19"/>
  <c r="Q5" i="19"/>
  <c r="M5" i="21"/>
  <c r="M12" i="21"/>
  <c r="I9" i="21"/>
  <c r="RD12" i="21"/>
  <c r="RD16" i="21"/>
  <c r="I5" i="21"/>
  <c r="I8" i="19"/>
  <c r="I16" i="19"/>
  <c r="I15" i="19"/>
  <c r="RD18" i="21"/>
  <c r="RD8" i="19"/>
  <c r="RD5" i="19"/>
  <c r="RD4" i="21"/>
  <c r="RD8" i="21"/>
  <c r="Q16" i="21"/>
  <c r="K6" i="21"/>
  <c r="K11" i="21"/>
  <c r="K18" i="21"/>
  <c r="K16" i="21"/>
  <c r="I7" i="19"/>
  <c r="K5" i="19"/>
  <c r="K14" i="19"/>
  <c r="K16" i="19"/>
  <c r="I10" i="19"/>
  <c r="RD11" i="21"/>
  <c r="M16" i="21"/>
  <c r="RD15" i="19"/>
  <c r="I14" i="19"/>
  <c r="I27" i="19"/>
  <c r="I5" i="19"/>
  <c r="M11" i="21"/>
  <c r="I11" i="21"/>
  <c r="I4" i="21"/>
  <c r="I12" i="21"/>
  <c r="I16" i="21"/>
  <c r="RD4" i="19"/>
  <c r="RD27" i="19"/>
  <c r="RD14" i="19"/>
  <c r="I6" i="19"/>
  <c r="RD7" i="19"/>
  <c r="RD6" i="19"/>
  <c r="RD10" i="19"/>
  <c r="RD16" i="19"/>
  <c r="I8" i="21"/>
  <c r="I7" i="21"/>
  <c r="M8" i="21"/>
  <c r="M4" i="21"/>
  <c r="I6" i="21"/>
  <c r="K4" i="21"/>
  <c r="RD6" i="21"/>
  <c r="I18" i="21"/>
  <c r="RD5" i="21"/>
  <c r="K7" i="21"/>
  <c r="Q11" i="21"/>
  <c r="RD7" i="21"/>
  <c r="K9" i="21"/>
  <c r="M7" i="21"/>
  <c r="Q6" i="21"/>
  <c r="M18" i="21"/>
  <c r="K5" i="21"/>
  <c r="K8" i="21"/>
  <c r="Q15" i="19"/>
  <c r="M10" i="19"/>
  <c r="Q10" i="19"/>
  <c r="M7" i="19"/>
  <c r="M8" i="19"/>
  <c r="M15" i="19"/>
  <c r="M16" i="19"/>
  <c r="K15" i="19"/>
  <c r="Q27" i="19"/>
  <c r="M27" i="19"/>
  <c r="K27" i="19"/>
  <c r="K10" i="19"/>
  <c r="K7" i="19"/>
  <c r="Q6" i="19"/>
  <c r="M14" i="19"/>
  <c r="K6" i="19"/>
  <c r="H18" i="21" l="1"/>
  <c r="A18" i="21" s="1" a="1"/>
  <c r="A18" i="21" s="1"/>
  <c r="H9" i="21"/>
  <c r="H6" i="21"/>
  <c r="H4" i="21"/>
  <c r="H5" i="19"/>
  <c r="H27" i="19"/>
  <c r="A27" i="19" s="1" a="1"/>
  <c r="A27" i="19" s="1"/>
  <c r="H15" i="19"/>
  <c r="H7" i="19"/>
  <c r="H14" i="19"/>
  <c r="H8" i="19"/>
  <c r="H6" i="19"/>
  <c r="T11" i="21"/>
  <c r="S11" i="21"/>
  <c r="T12" i="21"/>
  <c r="S12" i="21"/>
  <c r="T16" i="21"/>
  <c r="S16" i="21"/>
  <c r="S15" i="19"/>
  <c r="T15" i="19"/>
  <c r="T10" i="19"/>
  <c r="S10" i="19"/>
  <c r="E12" i="21"/>
  <c r="E16" i="21"/>
  <c r="E11" i="21"/>
  <c r="R6" i="21"/>
  <c r="R5" i="21"/>
  <c r="R8" i="21"/>
  <c r="R18" i="21"/>
  <c r="R6" i="19"/>
  <c r="R9" i="21"/>
  <c r="R7" i="21"/>
  <c r="R4" i="21"/>
  <c r="E10" i="19"/>
  <c r="E15" i="19"/>
  <c r="R7" i="19"/>
  <c r="R16" i="19"/>
  <c r="R8" i="19"/>
  <c r="R27" i="19"/>
  <c r="R14" i="19"/>
  <c r="R5" i="19"/>
  <c r="H7" i="21" l="1"/>
  <c r="H12" i="21"/>
  <c r="H8" i="21"/>
  <c r="H5" i="21"/>
  <c r="H11" i="21"/>
  <c r="H16" i="21"/>
  <c r="A16" i="21" s="1" a="1"/>
  <c r="A16" i="21" s="1"/>
  <c r="H16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E18" i="21"/>
  <c r="S18" i="21"/>
  <c r="T18" i="21"/>
  <c r="S8" i="19"/>
  <c r="T8" i="19"/>
  <c r="S14" i="19"/>
  <c r="T14" i="19"/>
  <c r="E27" i="19"/>
  <c r="S27" i="19"/>
  <c r="T27" i="19"/>
  <c r="E16" i="19"/>
  <c r="S16" i="19"/>
  <c r="T16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4" i="19"/>
  <c r="E8" i="19"/>
  <c r="A13" i="21" l="1" a="1"/>
  <c r="A13" i="21" s="1"/>
  <c r="A12" i="21" a="1"/>
  <c r="A12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0" i="21" a="1"/>
  <c r="A10" i="21" s="1"/>
  <c r="A8" i="21" a="1"/>
  <c r="A8" i="21" s="1"/>
  <c r="A11" i="21" a="1"/>
  <c r="A11" i="21" s="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9" i="4"/>
  <c r="SS9" i="4"/>
  <c r="SR9" i="4"/>
  <c r="SQ9" i="4"/>
  <c r="SP9" i="4"/>
  <c r="SO9" i="4"/>
  <c r="SM9" i="4"/>
  <c r="SL9" i="4"/>
  <c r="SK9" i="4"/>
  <c r="SJ9" i="4"/>
  <c r="SI9" i="4"/>
  <c r="SH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6" i="4"/>
  <c r="CY7" i="4"/>
  <c r="CY11" i="4"/>
  <c r="CY9" i="4"/>
  <c r="CY23" i="4"/>
  <c r="CY20" i="4"/>
  <c r="CY18" i="4"/>
  <c r="CY16" i="4"/>
  <c r="CY17" i="4"/>
  <c r="CY10" i="4"/>
  <c r="CY5" i="4"/>
  <c r="CX5" i="4"/>
  <c r="CU5" i="4"/>
  <c r="CU6" i="4"/>
  <c r="CU7" i="4"/>
  <c r="CU11" i="4"/>
  <c r="CU9" i="4"/>
  <c r="CU23" i="4"/>
  <c r="CU20" i="4"/>
  <c r="CU18" i="4"/>
  <c r="CU16" i="4"/>
  <c r="CU17" i="4"/>
  <c r="CU10" i="4"/>
  <c r="CU4" i="4"/>
  <c r="CT4" i="4"/>
  <c r="CR5" i="4"/>
  <c r="CR6" i="4"/>
  <c r="CR7" i="4"/>
  <c r="CR11" i="4"/>
  <c r="CR9" i="4"/>
  <c r="CR23" i="4"/>
  <c r="CR20" i="4"/>
  <c r="CR18" i="4"/>
  <c r="CR16" i="4"/>
  <c r="CR17" i="4"/>
  <c r="CR10" i="4"/>
  <c r="CR4" i="4"/>
  <c r="CQ4" i="4"/>
  <c r="CQ5" i="4"/>
  <c r="CQ6" i="4"/>
  <c r="CQ7" i="4"/>
  <c r="CQ11" i="4"/>
  <c r="CQ9" i="4"/>
  <c r="CQ23" i="4"/>
  <c r="CQ20" i="4"/>
  <c r="CQ18" i="4"/>
  <c r="CQ16" i="4"/>
  <c r="CQ17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7" i="4"/>
  <c r="SU17" i="4" s="1"/>
  <c r="SN23" i="4"/>
  <c r="SU23" i="4" s="1"/>
  <c r="SN4" i="4"/>
  <c r="SU4" i="4" s="1"/>
  <c r="SN5" i="4"/>
  <c r="SU5" i="4" s="1"/>
  <c r="SN6" i="4"/>
  <c r="SU6" i="4" s="1"/>
  <c r="SN11" i="4"/>
  <c r="SU11" i="4" s="1"/>
  <c r="SN9" i="4"/>
  <c r="SU9" i="4" s="1"/>
  <c r="SN20" i="4"/>
  <c r="SU20" i="4" s="1"/>
  <c r="SN18" i="4"/>
  <c r="SU18" i="4" s="1"/>
  <c r="SN16" i="4"/>
  <c r="SU16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G10" i="4" l="1"/>
  <c r="F10" i="4"/>
  <c r="T10" i="4"/>
  <c r="U10" i="4" s="1"/>
  <c r="R10" i="4"/>
  <c r="S10" i="4" s="1"/>
  <c r="N10" i="4"/>
  <c r="DB10" i="4" s="1"/>
  <c r="L10" i="4"/>
  <c r="J10" i="4"/>
  <c r="TU10" i="4"/>
  <c r="I10" i="4"/>
  <c r="TQ10" i="4"/>
  <c r="TN10" i="4"/>
  <c r="CW10" i="4"/>
  <c r="DA10" i="4" s="1"/>
  <c r="P10" i="4"/>
  <c r="DC10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1" i="4"/>
  <c r="CT11" i="4"/>
  <c r="CV11" i="4"/>
  <c r="CX11" i="4"/>
  <c r="CZ11" i="4"/>
  <c r="P11" i="4" s="1"/>
  <c r="DC11" i="4" s="1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1" i="4" l="1"/>
  <c r="F11" i="4"/>
  <c r="G17" i="4"/>
  <c r="F17" i="4"/>
  <c r="G16" i="4"/>
  <c r="F16" i="4"/>
  <c r="T11" i="4"/>
  <c r="U11" i="4" s="1"/>
  <c r="T17" i="4"/>
  <c r="U17" i="4" s="1"/>
  <c r="T16" i="4"/>
  <c r="U16" i="4" s="1"/>
  <c r="O10" i="4"/>
  <c r="V10" i="4"/>
  <c r="X10" i="4" s="1"/>
  <c r="R16" i="4"/>
  <c r="S16" i="4" s="1"/>
  <c r="R17" i="4"/>
  <c r="S17" i="4" s="1"/>
  <c r="R11" i="4"/>
  <c r="S11" i="4" s="1"/>
  <c r="N17" i="4"/>
  <c r="DB17" i="4" s="1"/>
  <c r="N11" i="4"/>
  <c r="DB11" i="4" s="1"/>
  <c r="N16" i="4"/>
  <c r="DB16" i="4" s="1"/>
  <c r="K10" i="4"/>
  <c r="L11" i="4"/>
  <c r="J16" i="4"/>
  <c r="K16" i="4" s="1"/>
  <c r="I11" i="4"/>
  <c r="J11" i="4"/>
  <c r="I16" i="4"/>
  <c r="L17" i="4"/>
  <c r="L16" i="4"/>
  <c r="J17" i="4"/>
  <c r="TR10" i="4"/>
  <c r="TV10" i="4" s="1"/>
  <c r="I17" i="4"/>
  <c r="TU11" i="4"/>
  <c r="TN11" i="4"/>
  <c r="H10" i="4"/>
  <c r="A10" i="4" s="1" a="1"/>
  <c r="A10" i="4" s="1"/>
  <c r="Q17" i="4"/>
  <c r="Q16" i="4"/>
  <c r="TQ17" i="4"/>
  <c r="TQ16" i="4"/>
  <c r="Q11" i="4"/>
  <c r="M10" i="4"/>
  <c r="TU17" i="4"/>
  <c r="TU16" i="4"/>
  <c r="TQ11" i="4"/>
  <c r="TN17" i="4"/>
  <c r="TN16" i="4"/>
  <c r="Q10" i="4"/>
  <c r="CW11" i="4"/>
  <c r="DA11" i="4" s="1"/>
  <c r="CW17" i="4"/>
  <c r="DA17" i="4" s="1"/>
  <c r="CW16" i="4"/>
  <c r="DA16" i="4" s="1"/>
  <c r="H17" i="4" l="1"/>
  <c r="A17" i="4" s="1" a="1"/>
  <c r="A17" i="4" s="1"/>
  <c r="H16" i="4"/>
  <c r="A16" i="4" s="1" a="1"/>
  <c r="A16" i="4" s="1"/>
  <c r="O16" i="4"/>
  <c r="V16" i="4"/>
  <c r="X16" i="4" s="1"/>
  <c r="O11" i="4"/>
  <c r="V11" i="4"/>
  <c r="O17" i="4"/>
  <c r="V17" i="4"/>
  <c r="W10" i="4"/>
  <c r="TR16" i="4"/>
  <c r="TV16" i="4" s="1"/>
  <c r="K11" i="4"/>
  <c r="K17" i="4"/>
  <c r="TR17" i="4"/>
  <c r="TV17" i="4" s="1"/>
  <c r="TR11" i="4"/>
  <c r="TV11" i="4" s="1"/>
  <c r="M17" i="4"/>
  <c r="M16" i="4"/>
  <c r="M11" i="4"/>
  <c r="H11" i="4" l="1"/>
  <c r="A11" i="4" s="1" a="1"/>
  <c r="A11" i="4" s="1"/>
  <c r="X17" i="4"/>
  <c r="W17" i="4"/>
  <c r="X11" i="4"/>
  <c r="W11" i="4"/>
  <c r="W16" i="4"/>
  <c r="E17" i="4" l="1"/>
  <c r="E10" i="4"/>
  <c r="E16" i="4"/>
  <c r="E11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5" i="4"/>
  <c r="CT5" i="4"/>
  <c r="T5" i="4" s="1"/>
  <c r="CV5" i="4"/>
  <c r="CZ5" i="4"/>
  <c r="P5" i="4" s="1"/>
  <c r="DC5" i="4" s="1"/>
  <c r="CS23" i="4"/>
  <c r="CT23" i="4"/>
  <c r="CV23" i="4"/>
  <c r="CX23" i="4"/>
  <c r="CZ23" i="4"/>
  <c r="P23" i="4" s="1"/>
  <c r="DC23" i="4" s="1"/>
  <c r="CS18" i="4"/>
  <c r="CT18" i="4"/>
  <c r="CV18" i="4"/>
  <c r="CX18" i="4"/>
  <c r="CZ18" i="4"/>
  <c r="P18" i="4" s="1"/>
  <c r="DC18" i="4" s="1"/>
  <c r="CS20" i="4"/>
  <c r="CT20" i="4"/>
  <c r="CV20" i="4"/>
  <c r="CX20" i="4"/>
  <c r="CZ20" i="4"/>
  <c r="P20" i="4" s="1"/>
  <c r="DC20" i="4" s="1"/>
  <c r="CV4" i="4"/>
  <c r="CS4" i="4"/>
  <c r="G5" i="4" l="1"/>
  <c r="F5" i="4"/>
  <c r="G18" i="4"/>
  <c r="F18" i="4"/>
  <c r="G20" i="4"/>
  <c r="F20" i="4"/>
  <c r="G7" i="4"/>
  <c r="F7" i="4"/>
  <c r="G23" i="4"/>
  <c r="F23" i="4"/>
  <c r="G9" i="4"/>
  <c r="F9" i="4"/>
  <c r="G6" i="4"/>
  <c r="F6" i="4"/>
  <c r="T23" i="4"/>
  <c r="U23" i="4" s="1"/>
  <c r="T7" i="4"/>
  <c r="U7" i="4" s="1"/>
  <c r="T18" i="4"/>
  <c r="U18" i="4" s="1"/>
  <c r="T9" i="4"/>
  <c r="U9" i="4" s="1"/>
  <c r="T20" i="4"/>
  <c r="U20" i="4" s="1"/>
  <c r="T6" i="4"/>
  <c r="U6" i="4" s="1"/>
  <c r="L4" i="4"/>
  <c r="R6" i="4"/>
  <c r="S6" i="4" s="1"/>
  <c r="R9" i="4"/>
  <c r="S9" i="4" s="1"/>
  <c r="R18" i="4"/>
  <c r="S18" i="4" s="1"/>
  <c r="R20" i="4"/>
  <c r="S20" i="4" s="1"/>
  <c r="R7" i="4"/>
  <c r="S7" i="4" s="1"/>
  <c r="R23" i="4"/>
  <c r="S23" i="4" s="1"/>
  <c r="N9" i="4"/>
  <c r="DB9" i="4" s="1"/>
  <c r="N18" i="4"/>
  <c r="DB18" i="4" s="1"/>
  <c r="N6" i="4"/>
  <c r="DB6" i="4" s="1"/>
  <c r="N20" i="4"/>
  <c r="DB20" i="4" s="1"/>
  <c r="N4" i="4"/>
  <c r="DB4" i="4" s="1"/>
  <c r="N23" i="4"/>
  <c r="DB23" i="4" s="1"/>
  <c r="N7" i="4"/>
  <c r="DB7" i="4" s="1"/>
  <c r="L5" i="4"/>
  <c r="M5" i="4" s="1"/>
  <c r="N5" i="4"/>
  <c r="DB5" i="4" s="1"/>
  <c r="J20" i="4"/>
  <c r="K20" i="4" s="1"/>
  <c r="L20" i="4"/>
  <c r="J4" i="4"/>
  <c r="L23" i="4"/>
  <c r="J23" i="4"/>
  <c r="K23" i="4" s="1"/>
  <c r="L7" i="4"/>
  <c r="J7" i="4"/>
  <c r="L6" i="4"/>
  <c r="J6" i="4"/>
  <c r="K6" i="4" s="1"/>
  <c r="J18" i="4"/>
  <c r="K18" i="4" s="1"/>
  <c r="L18" i="4"/>
  <c r="J9" i="4"/>
  <c r="K9" i="4" s="1"/>
  <c r="L9" i="4"/>
  <c r="J5" i="4"/>
  <c r="K5" i="4" s="1"/>
  <c r="I23" i="4"/>
  <c r="I7" i="4"/>
  <c r="I6" i="4"/>
  <c r="I18" i="4"/>
  <c r="I9" i="4"/>
  <c r="I20" i="4"/>
  <c r="TQ9" i="4"/>
  <c r="TU5" i="4"/>
  <c r="TU20" i="4"/>
  <c r="TQ18" i="4"/>
  <c r="TQ6" i="4"/>
  <c r="Q20" i="4"/>
  <c r="TU9" i="4"/>
  <c r="TQ7" i="4"/>
  <c r="TQ23" i="4"/>
  <c r="TU6" i="4"/>
  <c r="Q23" i="4"/>
  <c r="TQ4" i="4"/>
  <c r="Q5" i="4"/>
  <c r="TU18" i="4"/>
  <c r="Q6" i="4"/>
  <c r="TQ20" i="4"/>
  <c r="TU7" i="4"/>
  <c r="Q7" i="4"/>
  <c r="Q18" i="4"/>
  <c r="Q9" i="4"/>
  <c r="TU4" i="4"/>
  <c r="TU23" i="4"/>
  <c r="TQ5" i="4"/>
  <c r="CW23" i="4"/>
  <c r="DA23" i="4" s="1"/>
  <c r="CW7" i="4"/>
  <c r="DA7" i="4" s="1"/>
  <c r="CW6" i="4"/>
  <c r="DA6" i="4" s="1"/>
  <c r="CW4" i="4"/>
  <c r="CW5" i="4"/>
  <c r="DA5" i="4" s="1"/>
  <c r="CW18" i="4"/>
  <c r="DA18" i="4" s="1"/>
  <c r="CW9" i="4"/>
  <c r="DA9" i="4" s="1"/>
  <c r="CW20" i="4"/>
  <c r="DA20" i="4" s="1"/>
  <c r="SV4" i="4"/>
  <c r="SW4" i="4"/>
  <c r="SX4" i="4"/>
  <c r="TL4" i="4" s="1"/>
  <c r="SY4" i="4"/>
  <c r="TM4" i="4" s="1"/>
  <c r="SZ4" i="4"/>
  <c r="SW6" i="4"/>
  <c r="SX6" i="4"/>
  <c r="TL6" i="4" s="1"/>
  <c r="SY6" i="4"/>
  <c r="TM6" i="4" s="1"/>
  <c r="SW7" i="4"/>
  <c r="SX7" i="4"/>
  <c r="TL7" i="4" s="1"/>
  <c r="SY7" i="4"/>
  <c r="TM7" i="4" s="1"/>
  <c r="SW9" i="4"/>
  <c r="SX9" i="4"/>
  <c r="TL9" i="4" s="1"/>
  <c r="SY9" i="4"/>
  <c r="TM9" i="4" s="1"/>
  <c r="SW5" i="4"/>
  <c r="SX5" i="4"/>
  <c r="TL5" i="4" s="1"/>
  <c r="SY5" i="4"/>
  <c r="TM5" i="4" s="1"/>
  <c r="SW23" i="4"/>
  <c r="SX23" i="4"/>
  <c r="TL23" i="4" s="1"/>
  <c r="SY23" i="4"/>
  <c r="TM23" i="4" s="1"/>
  <c r="SW18" i="4"/>
  <c r="SX18" i="4"/>
  <c r="TL18" i="4" s="1"/>
  <c r="SY18" i="4"/>
  <c r="TM18" i="4" s="1"/>
  <c r="SW20" i="4"/>
  <c r="SX20" i="4"/>
  <c r="TL20" i="4" s="1"/>
  <c r="SY20" i="4"/>
  <c r="TM20" i="4" s="1"/>
  <c r="SV6" i="4"/>
  <c r="SV7" i="4"/>
  <c r="SV9" i="4"/>
  <c r="SV5" i="4"/>
  <c r="SV23" i="4"/>
  <c r="SV18" i="4"/>
  <c r="SV20" i="4"/>
  <c r="H18" i="4" l="1"/>
  <c r="A18" i="4" s="1" a="1"/>
  <c r="A18" i="4" s="1"/>
  <c r="O5" i="4"/>
  <c r="O20" i="4"/>
  <c r="V20" i="4"/>
  <c r="O6" i="4"/>
  <c r="V6" i="4"/>
  <c r="O18" i="4"/>
  <c r="V18" i="4"/>
  <c r="X18" i="4" s="1"/>
  <c r="O7" i="4"/>
  <c r="V7" i="4"/>
  <c r="X7" i="4" s="1"/>
  <c r="O9" i="4"/>
  <c r="V9" i="4"/>
  <c r="X9" i="4" s="1"/>
  <c r="O23" i="4"/>
  <c r="V23" i="4"/>
  <c r="O4" i="4"/>
  <c r="K7" i="4"/>
  <c r="H7" i="4"/>
  <c r="H6" i="4"/>
  <c r="H23" i="4"/>
  <c r="A23" i="4" s="1" a="1"/>
  <c r="A23" i="4" s="1"/>
  <c r="TN7" i="4"/>
  <c r="TR7" i="4" s="1"/>
  <c r="TV7" i="4" s="1"/>
  <c r="M20" i="4"/>
  <c r="M4" i="4"/>
  <c r="M7" i="4"/>
  <c r="TN9" i="4"/>
  <c r="TR9" i="4" s="1"/>
  <c r="TV9" i="4" s="1"/>
  <c r="M9" i="4"/>
  <c r="TN5" i="4"/>
  <c r="TR5" i="4" s="1"/>
  <c r="TV5" i="4" s="1"/>
  <c r="TN20" i="4"/>
  <c r="TR20" i="4" s="1"/>
  <c r="TV20" i="4" s="1"/>
  <c r="TN6" i="4"/>
  <c r="TR6" i="4" s="1"/>
  <c r="TV6" i="4" s="1"/>
  <c r="M18" i="4"/>
  <c r="M6" i="4"/>
  <c r="M23" i="4"/>
  <c r="TN18" i="4"/>
  <c r="TR18" i="4" s="1"/>
  <c r="TV18" i="4" s="1"/>
  <c r="TN4" i="4"/>
  <c r="TR4" i="4" s="1"/>
  <c r="TV4" i="4" s="1"/>
  <c r="TN23" i="4"/>
  <c r="TR23" i="4" s="1"/>
  <c r="TV23" i="4" s="1"/>
  <c r="K4" i="4"/>
  <c r="CZ4" i="4"/>
  <c r="G4" i="4" s="1"/>
  <c r="CX4" i="4"/>
  <c r="T4" i="4" l="1"/>
  <c r="U4" i="4" s="1"/>
  <c r="F4" i="4"/>
  <c r="H9" i="4"/>
  <c r="H20" i="4"/>
  <c r="A20" i="4" s="1" a="1"/>
  <c r="A20" i="4" s="1"/>
  <c r="X20" i="4"/>
  <c r="W20" i="4"/>
  <c r="X6" i="4"/>
  <c r="W6" i="4"/>
  <c r="X23" i="4"/>
  <c r="W23" i="4"/>
  <c r="W9" i="4"/>
  <c r="W18" i="4"/>
  <c r="W7" i="4"/>
  <c r="R4" i="4"/>
  <c r="S4" i="4" s="1"/>
  <c r="I4" i="4"/>
  <c r="P4" i="4"/>
  <c r="DA4" i="4"/>
  <c r="DC4" i="4" l="1"/>
  <c r="V4" i="4" s="1"/>
  <c r="H4" i="4"/>
  <c r="Q4" i="4"/>
  <c r="X4" i="4" l="1"/>
  <c r="W4" i="4"/>
  <c r="E20" i="4"/>
  <c r="E23" i="4" l="1"/>
  <c r="E4" i="4" l="1"/>
  <c r="E18" i="4" l="1"/>
  <c r="E9" i="4" l="1"/>
  <c r="E7" i="4" l="1"/>
  <c r="E6" i="4" l="1"/>
  <c r="U5" i="4" l="1"/>
  <c r="R5" i="4"/>
  <c r="S5" i="4" s="1"/>
  <c r="I5" i="4"/>
  <c r="H5" i="4" l="1"/>
  <c r="V5" i="4"/>
  <c r="X5" i="4" s="1"/>
  <c r="W5" i="4" l="1"/>
  <c r="E5" i="4"/>
  <c r="A12" i="4" s="1" a="1"/>
  <c r="A12" i="4" s="1"/>
  <c r="A15" i="4" l="1" a="1"/>
  <c r="A15" i="4" s="1"/>
  <c r="A8" i="4" a="1"/>
  <c r="A8" i="4" s="1"/>
  <c r="A13" i="4" a="1"/>
  <c r="A13" i="4" s="1"/>
  <c r="A4" i="4" a="1"/>
  <c r="A4" i="4" s="1"/>
  <c r="A14" i="4" a="1"/>
  <c r="A14" i="4" s="1"/>
  <c r="A7" i="4" a="1"/>
  <c r="A7" i="4" s="1"/>
  <c r="A5" i="4" a="1"/>
  <c r="A5" i="4" s="1"/>
  <c r="A6" i="4" a="1"/>
  <c r="A6" i="4" s="1"/>
  <c r="A9" i="4" a="1"/>
  <c r="A9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3" i="19" l="1" a="1"/>
  <c r="A13" i="19" s="1"/>
  <c r="A16" i="19" a="1"/>
  <c r="A16" i="19" s="1"/>
  <c r="A4" i="19" a="1"/>
  <c r="A4" i="19" s="1"/>
  <c r="A11" i="19" a="1"/>
  <c r="A11" i="19" s="1"/>
  <c r="A18" i="19" a="1"/>
  <c r="A18" i="19" s="1"/>
  <c r="A9" i="19" a="1"/>
  <c r="A9" i="19" s="1"/>
  <c r="A17" i="19" a="1"/>
  <c r="A17" i="19" s="1"/>
  <c r="A12" i="19" a="1"/>
  <c r="A12" i="19" s="1"/>
  <c r="A15" i="19" a="1"/>
  <c r="A15" i="19" s="1"/>
  <c r="A6" i="19" a="1"/>
  <c r="A6" i="19" s="1"/>
  <c r="A7" i="19" a="1"/>
  <c r="A7" i="19" s="1"/>
  <c r="A5" i="19" a="1"/>
  <c r="A5" i="19" s="1"/>
  <c r="A8" i="19" a="1"/>
  <c r="A8" i="19" s="1"/>
  <c r="A14" i="19" a="1"/>
  <c r="A14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<sst xmlns="http://schemas.openxmlformats.org/spreadsheetml/2006/main" count="5192" uniqueCount="251">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</sst>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LEVASSEUR</v>
      </c>
      <c r="D21" s="14" t="str">
        <f>IF(B5&gt;MAX('SYN-M'!A:A),"",INDEX('SYN-M'!H:H,MATCH(B5,'SYN-M'!A:A,0)))</f>
        <v>No DD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JAMES &amp; NOGA-BARD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SOEHN &amp; TAM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THOMPSON, Justin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MATTHEWS, Jared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PEDERSEN, Mitchel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NEUFELD, Simon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CANUEL, Victor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THOMPSON, Abby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IBACH, Sam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JACKSON, Claire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DALGETTY, McKayla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45203</v>
      </c>
      <c r="C66" s="65"/>
    </row>
    <row r="67" spans="1:3" x14ac:dyDescent="0.2">
      <c r="B67" t="s">
        <v>250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101</v>
      </c>
      <c r="K1" s="68" t="s">
        <v>33</v>
      </c>
      <c r="L1" s="72" t="s">
        <v>102</v>
      </c>
      <c r="M1" s="68" t="s">
        <v>33</v>
      </c>
      <c r="N1" s="72" t="s">
        <v>126</v>
      </c>
      <c r="O1" s="68" t="s">
        <v>33</v>
      </c>
      <c r="P1" s="68" t="s">
        <v>13</v>
      </c>
      <c r="Q1" s="68" t="s">
        <v>33</v>
      </c>
      <c r="R1" s="68" t="s">
        <v>103</v>
      </c>
      <c r="S1" s="68" t="s">
        <v>33</v>
      </c>
      <c r="T1" s="72" t="s">
        <v>104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190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228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175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176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183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212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211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213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220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227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240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110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110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110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110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110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110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110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110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110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110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110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110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DD"),SUMPRODUCT((H$4:H$24&lt;&gt;"")*(H$4:H$24&lt;&gt;"No DD")*(E$4:E$24&gt;E4))+1,IF(H4="No DD",SUMPRODUCT((H$4:H$24="No DD")*(E$4:E$24&gt;E4))+1+SUMPRODUCT((H$4:H$24&lt;&gt;"")*(H$4:H$24&lt;&gt;"No DD")),""))</f>
        <v>1</v>
      </c>
      <c r="B4" s="5" t="s">
        <v>63</v>
      </c>
      <c r="C4" s="4" t="s">
        <v>8</v>
      </c>
      <c r="D4" s="4">
        <v>2001</v>
      </c>
      <c r="E4" s="9">
        <f t="shared" ref="E4:E23" si="0">SUM(J4:V4)+SUM(J4:T4)*0.0000001+SUM(J4)*0.0000000000001</f>
        <v>271.660025235006</v>
      </c>
      <c r="F4" s="3" t="str">
        <f t="shared" ref="F4:F23" si="1"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G4" s="3" t="str">
        <f t="shared" ref="G4:G23" si="2">IF(OR(AND(AQ4&gt;=AY$30,AQ4&lt;&gt;"",AN4=""),AND(AT4&gt;=AY$30,AT4&lt;&gt;"",AN4=""),AND(AX4&gt;=AY$30,AX4&lt;&gt;"",AN4=""),AND(BR4&gt;=BZ$30,BR4&lt;&gt;"",BO4=""),AND(BU4&gt;=BZ$30,BU4&lt;&gt;"",BO4=""),AND(BY4&gt;=BZ$30,BY4&lt;&gt;"",BO4=""),AND(CS4&gt;=DA$30,CS4&lt;&gt;"",CP4=""),AND(CV4&gt;=DA$30,CV4&lt;&gt;"",CP4=""),AND(CZ4&gt;=DA$30,CZ4&lt;&gt;"",CP4=""),AND(DZ4&gt;=EK$30,DZ4&lt;&gt;""),AND(EC4&gt;=EK$30,EC4&lt;&gt;""),AND(EG4&gt;=EK$30,EG4&lt;&gt;""),AND(EJ4&gt;=EK$30,EJ4&lt;&gt;""),AND(FH4&gt;=FS$30,FH4&lt;&gt;""),AND(FK4&gt;=FS$30,FK4&lt;&gt;""),AND(FO4&gt;=FS$30,FO4&lt;&gt;""),AND(FR4&gt;=FS$30,FR4&lt;&gt;""),AND(GP4&gt;=HA$30,GP4&lt;&gt;""),AND(GS4&gt;=HA$30,GS4&lt;&gt;""),AND(GW4&gt;=HA$30,GW4&lt;&gt;""),AND(GZ4&gt;=HA$30,GZ4&lt;&gt;""),AND(HX4&gt;=II$30,HX4&lt;&gt;""),AND(IA4&gt;=II$30,IA4&lt;&gt;""),AND(IE4&gt;=II$30,IE4&lt;&gt;""),AND(IH4&gt;=II$30,IH4&lt;&gt;""),AND(JF4&gt;=JQ$30,JF4&lt;&gt;""),AND(JI4&gt;=JQ$30,JI4&lt;&gt;""),AND(JM4&gt;=JQ$30,JM4&lt;&gt;""),AND(JP4&gt;=JQ$30,JP4&lt;&gt;""),AND(KN4&gt;=KY$30,KN4&lt;&gt;""),AND(KQ4&gt;=KY$30,KQ4&lt;&gt;""),AND(KU4&gt;=KY$30,KU4&lt;&gt;""),AND(KX4&gt;=KY$30,KX4&lt;&gt;""),AND(LV4&gt;=MG$30,LV4&lt;&gt;""),AND(LY4&gt;=MG$30,LY4&lt;&gt;""),AND(MC4&gt;=MG$30,MC4&lt;&gt;""),AND(MF4&gt;=MG$30,MF4&lt;&gt;""),AND(ND4&gt;=NO$30,ND4&lt;&gt;""),AND(NG4&gt;=NO$30,NG4&lt;&gt;""),AND(NK4&gt;=NO$30,NK4&lt;&gt;""),AND(NN4&gt;=NO$30,NN4&lt;&gt;""),AND(OL4&gt;=OW$30,OL4&lt;&gt;""),AND(OO4&gt;=OW$30,OO4&lt;&gt;""),AND(OS4&gt;=OW$30,OS4&lt;&gt;""),AND(OV4&gt;=OW$30,OV4&lt;&gt;""),AND(PT4&gt;=QE$30,PT4&lt;&gt;""),AND(PW4&gt;=QE$30,PW4&lt;&gt;""),AND(QA4&gt;=QE$30,QA4&lt;&gt;""),AND(QD4&gt;=QE$30,QD4&lt;&gt;""),AND(RB4&gt;=RM$30,RB4&lt;&gt;""),AND(RE4&gt;=RM$30,RE4&lt;&gt;""),AND(RI4&gt;=RM$30,RI4&lt;&gt;""),AND(RL4&gt;=RM$30,RL4&lt;&gt;""),AND(SJ4&gt;=SU$30,SJ4&lt;&gt;""),AND(SM4&gt;=SU$30,SM4&lt;&gt;""),AND(SQ4&gt;=SU$30,SQ4&lt;&gt;""),AND(ST4&gt;=SU$30,ST4&lt;&gt;"")),"P","")</f>
        <v>P</v>
      </c>
      <c r="H4" s="37" t="str">
        <f t="shared" ref="H4:H23" si="3">IF(AND(G4="P",F4=""),"No DD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Merit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Excellence",IF(I4="P","Worlds Team",IF(F4="P","National Team","")))))</f>
        <v>Merit</v>
      </c>
      <c r="I4" s="3" t="str">
        <f t="shared" ref="I4:I23" si="4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J4" s="8">
        <f>IF(COUNT(AQ4,AT4,BR4,BU4,CS4,CV4)&gt;0,LARGE((AQ4,AT4,BR4,BU4,CS4,CV4),1),0)</f>
        <v>59.84</v>
      </c>
      <c r="K4" s="8" t="str">
        <f t="shared" ref="K4:K23" si="5">IF(J4="","",IF(OR(J4=CS4,J4=CV4),$CA$1,IF(OR(J4=BR4,J4=BU4),$AZ$1,IF(OR(J4=AQ4,J4=AT4),$Y$1,""))))</f>
        <v>2023 Elite Canada</v>
      </c>
      <c r="L4" s="8">
        <f>IF(COUNT(AQ4,AT4,BR4,BU4,CS4,CV4)&gt;1,LARGE((AQ4,AT4,BR4,BU4,CS4,CV4),2),0)</f>
        <v>58.85</v>
      </c>
      <c r="M4" s="8" t="str">
        <f t="shared" ref="M4:M23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40.85</v>
      </c>
      <c r="O4" s="8" t="str">
        <f t="shared" ref="O4:O23" si="7">IF(N4="","",IF(OR(N4=CS4,N4=CV4),$CA$1,IF(OR(N4=BR4,N4=BU4),$AZ$1,IF(OR(N4=AQ4,N4=AT4),$Y$1,""))))</f>
        <v>2023 Domestic 3rd Trial</v>
      </c>
      <c r="P4" s="8">
        <f t="shared" ref="P4:P23" si="8">IF(MAX(AX4,BY4,CZ4)&gt;0,MAX(AX4,BY4,CZ4),0)</f>
        <v>57.769999999999996</v>
      </c>
      <c r="Q4" s="8" t="str">
        <f t="shared" ref="Q4:Q23" si="9">IF(P4="","",IF(P4=CZ4,$CA$1,IF(P4=BY4,$AZ$1,IF(P4=AX4,$Y$1,""))))</f>
        <v>2023 Domestic 3rd Trial</v>
      </c>
      <c r="R4" s="8">
        <f t="shared" ref="R4:R23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 t="shared" ref="S4:S23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 t="shared" ref="T4:T23" si="12">IF(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&gt;0,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,0)</f>
        <v>17.239999999999998</v>
      </c>
      <c r="U4" s="8" t="str">
        <f t="shared" ref="U4:U23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Worlds (Nov 19)</v>
      </c>
      <c r="V4" s="8">
        <f t="shared" ref="V4:V23" si="14">IF(MAX(DB4,DC4)&gt;0,MAX(DB4,DC4),"")</f>
        <v>19.310000000000002</v>
      </c>
      <c r="W4" s="11" t="str">
        <f t="shared" ref="W4:W23" si="15">IF(V4="","",IF(V4=DB4,"("&amp;DB$2&amp;")",IF(V4=DC4,"("&amp;DC$2&amp;")")))</f>
        <v>(Prelim)</v>
      </c>
      <c r="X4" s="8" t="str">
        <f t="shared" ref="X4:X23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16.75</v>
      </c>
      <c r="Z4" s="23">
        <v>9.3000000000000007</v>
      </c>
      <c r="AA4" s="23">
        <v>16.649999999999999</v>
      </c>
      <c r="AB4" s="23">
        <v>17.14</v>
      </c>
      <c r="AC4" s="23">
        <v>0</v>
      </c>
      <c r="AD4" s="23">
        <v>5.8</v>
      </c>
      <c r="AE4" s="23">
        <v>3.05</v>
      </c>
      <c r="AF4" s="23">
        <v>6.5</v>
      </c>
      <c r="AG4" s="23">
        <v>6.27</v>
      </c>
      <c r="AH4" s="23">
        <v>0</v>
      </c>
      <c r="AI4" s="23">
        <v>15.4</v>
      </c>
      <c r="AJ4" s="23">
        <v>8.3000000000000007</v>
      </c>
      <c r="AK4" s="23">
        <v>15.75</v>
      </c>
      <c r="AL4" s="23">
        <v>16.28</v>
      </c>
      <c r="AM4" s="23">
        <v>0</v>
      </c>
      <c r="AN4" s="28" t="s">
        <v>57</v>
      </c>
      <c r="AO4" s="39">
        <f t="shared" ref="AO4:AO23" si="17">IF(AA4&gt;0,AA4,"")</f>
        <v>16.649999999999999</v>
      </c>
      <c r="AP4" s="39">
        <f t="shared" ref="AP4:AP23" si="18">IF(AB4&gt;0,AB4,"")</f>
        <v>17.14</v>
      </c>
      <c r="AQ4" s="41">
        <f t="shared" ref="AQ4:AQ23" si="19">IF(SUM(Y4:AB4)-AC4&gt;0,SUM(Y4:AB4)-AC4,"")</f>
        <v>59.84</v>
      </c>
      <c r="AR4" s="41">
        <f t="shared" ref="AR4:AR23" si="20">IF(AF4&gt;0,AF4,"")</f>
        <v>6.5</v>
      </c>
      <c r="AS4" s="41">
        <f t="shared" ref="AS4:AS23" si="21">IF(AG4&gt;0,AG4,"")</f>
        <v>6.27</v>
      </c>
      <c r="AT4" s="41">
        <f t="shared" ref="AT4:AT23" si="22">IF(SUM(AD4:AG4)-AH4&gt;0,SUM(AD4:AG4)-AH4,"")</f>
        <v>21.619999999999997</v>
      </c>
      <c r="AU4" s="41">
        <f t="shared" ref="AU4:AU23" si="23">IF(AQ4="","",MAX(AQ4,AT4))</f>
        <v>59.84</v>
      </c>
      <c r="AV4" s="41">
        <f t="shared" ref="AV4:AV23" si="24">IF(AK4&gt;0,AK4,"")</f>
        <v>15.75</v>
      </c>
      <c r="AW4" s="41">
        <f t="shared" ref="AW4:AW23" si="25">IF(AL4&gt;0,AL4,"")</f>
        <v>16.28</v>
      </c>
      <c r="AX4" s="41">
        <f t="shared" ref="AX4:AX23" si="26">IF(SUM(AI4:AL4)-AM4&gt;0,SUM(AI4:AL4)-AM4,"")</f>
        <v>55.730000000000004</v>
      </c>
      <c r="AY4" s="41">
        <f t="shared" ref="AY4:AY23" si="27">IF(SUM(AU4,AX4)&gt;0,SUM(AU4,AX4),"")</f>
        <v>115.57000000000001</v>
      </c>
      <c r="AZ4" s="27">
        <v>1.8</v>
      </c>
      <c r="BA4" s="27">
        <v>1</v>
      </c>
      <c r="BB4" s="27">
        <v>2</v>
      </c>
      <c r="BC4" s="27">
        <v>1.78</v>
      </c>
      <c r="BD4" s="27">
        <v>0</v>
      </c>
      <c r="BE4" s="27">
        <v>1.7</v>
      </c>
      <c r="BF4" s="27">
        <v>1</v>
      </c>
      <c r="BG4" s="27">
        <v>2</v>
      </c>
      <c r="BH4" s="27">
        <v>1.78</v>
      </c>
      <c r="BI4" s="27">
        <v>0</v>
      </c>
      <c r="BJ4" s="27"/>
      <c r="BK4" s="27"/>
      <c r="BL4" s="27"/>
      <c r="BM4" s="27"/>
      <c r="BN4" s="27"/>
      <c r="BO4" s="29"/>
      <c r="BP4" s="40">
        <f t="shared" ref="BP4:BP23" si="28">IF(BB4&gt;0,BB4,"")</f>
        <v>2</v>
      </c>
      <c r="BQ4" s="40">
        <f t="shared" ref="BQ4:BQ23" si="29">IF(BC4&gt;0,BC4,"")</f>
        <v>1.78</v>
      </c>
      <c r="BR4" s="11">
        <f t="shared" ref="BR4:BR23" si="30">IF(SUM(AZ4:BC4)-BD4&gt;0,SUM(AZ4:BC4)-BD4,"")</f>
        <v>6.58</v>
      </c>
      <c r="BS4" s="11">
        <f t="shared" ref="BS4:BS23" si="31">IF(BG4&gt;0,BG4,"")</f>
        <v>2</v>
      </c>
      <c r="BT4" s="11">
        <f t="shared" ref="BT4:BT23" si="32">IF(BH4&gt;0,BH4,"")</f>
        <v>1.78</v>
      </c>
      <c r="BU4" s="11">
        <f t="shared" ref="BU4:BU23" si="33">IF(SUM(BE4:BH4)-BI4&gt;0,SUM(BE4:BH4)-BI4,"")</f>
        <v>6.48</v>
      </c>
      <c r="BV4" s="11">
        <f t="shared" ref="BV4:BV23" si="34">IF(BR4="","",MAX(BR4,BU4))</f>
        <v>6.58</v>
      </c>
      <c r="BW4" s="11" t="str">
        <f t="shared" ref="BW4:BW23" si="35">IF(BL4&gt;0,BL4,"")</f>
        <v/>
      </c>
      <c r="BX4" s="11" t="str">
        <f t="shared" ref="BX4:BX23" si="36">IF(BM4&gt;0,BM4,"")</f>
        <v/>
      </c>
      <c r="BY4" s="11" t="str">
        <f t="shared" ref="BY4:BY23" si="37">IF(SUM(BJ4:BM4)-BN4&gt;0,SUM(BJ4:BM4)-BN4,"")</f>
        <v/>
      </c>
      <c r="BZ4" s="11">
        <f t="shared" ref="BZ4:BZ23" si="38">IF(SUM(BV4,BY4)&gt;0,SUM(BV4,BY4),"")</f>
        <v>6.58</v>
      </c>
      <c r="CA4" s="23">
        <v>11.5</v>
      </c>
      <c r="CB4" s="23">
        <v>5.7</v>
      </c>
      <c r="CC4" s="23">
        <v>11.8</v>
      </c>
      <c r="CD4" s="23">
        <v>11.85</v>
      </c>
      <c r="CE4" s="23">
        <v>0</v>
      </c>
      <c r="CF4" s="23">
        <v>16.5</v>
      </c>
      <c r="CG4" s="23">
        <v>9.1999999999999993</v>
      </c>
      <c r="CH4" s="23">
        <v>16.5</v>
      </c>
      <c r="CI4" s="23">
        <v>16.649999999999999</v>
      </c>
      <c r="CJ4" s="23">
        <v>0</v>
      </c>
      <c r="CK4" s="23">
        <v>16.2</v>
      </c>
      <c r="CL4" s="23">
        <v>8.3000000000000007</v>
      </c>
      <c r="CM4" s="23">
        <v>16.5</v>
      </c>
      <c r="CN4" s="23">
        <v>16.77</v>
      </c>
      <c r="CO4" s="23">
        <v>0</v>
      </c>
      <c r="CP4" s="28"/>
      <c r="CQ4" s="39">
        <f t="shared" ref="CQ4:CQ23" si="39">IF(CC4&gt;0,CC4,"")</f>
        <v>11.8</v>
      </c>
      <c r="CR4" s="39">
        <f t="shared" ref="CR4:CR23" si="40">IF(CD4&gt;0,CD4,"")</f>
        <v>11.85</v>
      </c>
      <c r="CS4" s="41">
        <f t="shared" ref="CS4:CS23" si="41">IF(SUM(CA4:CD4)-CE4&gt;0,SUM(CA4:CD4)-CE4,"")</f>
        <v>40.85</v>
      </c>
      <c r="CT4" s="41">
        <f t="shared" ref="CT4:CT23" si="42">IF(CH4&gt;0,CH4,"")</f>
        <v>16.5</v>
      </c>
      <c r="CU4" s="41">
        <f t="shared" ref="CU4:CU23" si="43">IF(CI4&gt;0,CI4,"")</f>
        <v>16.649999999999999</v>
      </c>
      <c r="CV4" s="41">
        <f t="shared" ref="CV4:CV23" si="44">IF(SUM(CF4:CI4)-CJ4&gt;0,SUM(CF4:CI4)-CJ4,"")</f>
        <v>58.85</v>
      </c>
      <c r="CW4" s="41">
        <f t="shared" ref="CW4:CW23" si="45">IF(CS4="","",MAX(CS4,CV4))</f>
        <v>58.85</v>
      </c>
      <c r="CX4" s="41">
        <f t="shared" ref="CX4:CX23" si="46">IF(CM4&gt;0,CM4,"")</f>
        <v>16.5</v>
      </c>
      <c r="CY4" s="41">
        <f t="shared" ref="CY4:CY23" si="47">IF(CN4&gt;0,CN4,"")</f>
        <v>16.77</v>
      </c>
      <c r="CZ4" s="41">
        <f t="shared" ref="CZ4:CZ23" si="48">IF(SUM(CK4:CN4)-CO4&gt;0,SUM(CK4:CN4)-CO4,"")</f>
        <v>57.769999999999996</v>
      </c>
      <c r="DA4" s="41">
        <f t="shared" ref="DA4:DA23" si="49">IF(SUM(CW4,CZ4)&gt;0,SUM(CW4,CZ4),"")</f>
        <v>116.62</v>
      </c>
      <c r="DB4" s="52">
        <f t="shared" ref="DB4:DB23" si="50">IF(MAX(ED4,FL4,GT4,IB4,JJ4,KR4,LZ4,NH4,OP4,PX4,RF4,SN4)-IF(N4="",0,N4)&gt;0.001,MAX(ED4,FL4,GT4,IB4,JJ4,KR4,LZ4,NH4,OP4,PX4,RF4,SN4)-IF(N4="",0,N4),"")</f>
        <v>19.310000000000002</v>
      </c>
      <c r="DC4" s="52">
        <f t="shared" ref="DC4:DC23" si="51">IF(MAX(EG4,EJ4,FO4,FR4,GW4,GZ4,IE4,IH4,JM4,JP4,KU4,KX4,MC4,MF4,NK4,NN4,OS4,OV4,QA4,QD4,RI4,RL4,SQ4,ST4)-IF(P4="",0,P4)&gt;0.001,MAX(EG4,EJ4,FO4,FR4,GW4,GZ4,IE4,IH4,JM4,JP4,KU4,KX4,MC4,MF4,NK4,NN4,OS4,OV4,QA4,QD4,RI4,RL4,SQ4,ST4)-IF(P4="",0,P4),"")</f>
        <v>2.8700000000000045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 t="shared" ref="DX4:DX23" si="52">IF(DF4&gt;0,DF4,"")</f>
        <v>17.399999999999999</v>
      </c>
      <c r="DY4" s="41">
        <f t="shared" ref="DY4:DY23" si="53">IF(DG4&gt;0,DG4,"")</f>
        <v>16.84</v>
      </c>
      <c r="DZ4" s="41">
        <f t="shared" ref="DZ4:DZ23" si="54">IF(SUM(DD4:DG4)-DH4&gt;0,SUM(DD4:DG4)-DH4,"")</f>
        <v>59.14</v>
      </c>
      <c r="EA4" s="41">
        <f t="shared" ref="EA4:EA23" si="55">IF(DK4&gt;0,DK4,"")</f>
        <v>17.8</v>
      </c>
      <c r="EB4" s="41">
        <f t="shared" ref="EB4:EB23" si="56">IF(DL4&gt;0,DL4,"")</f>
        <v>16.96</v>
      </c>
      <c r="EC4" s="41">
        <f t="shared" ref="EC4:EC23" si="57">IF(SUM(DI4:DL4)-DM4&gt;0,SUM(DI4:DL4)-DM4,"")</f>
        <v>60.160000000000004</v>
      </c>
      <c r="ED4" s="41">
        <f t="shared" ref="ED4:ED23" si="58">IF(MAX(DZ4,EC4)&gt;0,MAX(DZ4,EC4),"")</f>
        <v>60.160000000000004</v>
      </c>
      <c r="EE4" s="41">
        <f t="shared" ref="EE4:EE23" si="59">IF(DP4&gt;0,DP4,"")</f>
        <v>17.399999999999999</v>
      </c>
      <c r="EF4" s="41">
        <f t="shared" ref="EF4:EF23" si="60">IF(DQ4&gt;0,DQ4,"")</f>
        <v>17.239999999999998</v>
      </c>
      <c r="EG4" s="41">
        <f t="shared" ref="EG4:EG23" si="61">IF(SUM(DN4:DQ4)-DR4&gt;0,SUM(DN4:DQ4)-DR4,"")</f>
        <v>60.64</v>
      </c>
      <c r="EH4" s="41">
        <f t="shared" ref="EH4:EH23" si="62">IF(DU4&gt;0,DU4,"")</f>
        <v>17</v>
      </c>
      <c r="EI4" s="41">
        <f t="shared" ref="EI4:EI23" si="63">IF(DV4&gt;0,DV4,"")</f>
        <v>16.82</v>
      </c>
      <c r="EJ4" s="41">
        <f t="shared" ref="EJ4:EJ23" si="64">IF(SUM(DS4:DV4)-DW4&gt;0,SUM(DS4:DV4)-DW4,"")</f>
        <v>57.82</v>
      </c>
      <c r="EK4" s="41">
        <f t="shared" ref="EK4:EK23" si="65">IF(SUM(ED4,EG4,EJ4)&gt;0,SUM(ED4,EG4,EJ4),"")</f>
        <v>178.62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 t="shared" ref="FF4:FF23" si="66">IF(EN4&gt;0,EN4,"")</f>
        <v/>
      </c>
      <c r="FG4" s="11" t="str">
        <f t="shared" ref="FG4:FG23" si="67">IF(EO4&gt;0,EO4,"")</f>
        <v/>
      </c>
      <c r="FH4" s="11" t="str">
        <f t="shared" ref="FH4:FH23" si="68">IF(SUM(EL4:EO4)-EP4&gt;0,SUM(EL4:EO4)-EP4,"")</f>
        <v/>
      </c>
      <c r="FI4" s="11" t="str">
        <f t="shared" ref="FI4:FI23" si="69">IF(ES4&gt;0,ES4,"")</f>
        <v/>
      </c>
      <c r="FJ4" s="11" t="str">
        <f t="shared" ref="FJ4:FJ23" si="70">IF(ET4&gt;0,ET4,"")</f>
        <v/>
      </c>
      <c r="FK4" s="11" t="str">
        <f t="shared" ref="FK4:FK23" si="71">IF(SUM(EQ4:ET4)-EU4&gt;0,SUM(EQ4:ET4)-EU4,"")</f>
        <v/>
      </c>
      <c r="FL4" s="11" t="str">
        <f t="shared" ref="FL4:FL23" si="72">IF(MAX(FH4,FK4)&gt;0,MAX(FH4,FK4),"")</f>
        <v/>
      </c>
      <c r="FM4" s="11" t="str">
        <f t="shared" ref="FM4:FM23" si="73">IF(EX4&gt;0,EX4,"")</f>
        <v/>
      </c>
      <c r="FN4" s="11" t="str">
        <f t="shared" ref="FN4:FN23" si="74">IF(EY4&gt;0,EY4,"")</f>
        <v/>
      </c>
      <c r="FO4" s="11" t="str">
        <f t="shared" ref="FO4:FO23" si="75">IF(SUM(EV4:EY4)-EZ4&gt;0,SUM(EV4:EY4)-EZ4,"")</f>
        <v/>
      </c>
      <c r="FP4" s="11">
        <f t="shared" ref="FP4:FP23" si="76">IF(FC4&gt;0,FC4,"")</f>
        <v>11</v>
      </c>
      <c r="FQ4" s="11">
        <f t="shared" ref="FQ4:FQ23" si="77">IF(FD4&gt;0,FD4,"")</f>
        <v>10.38</v>
      </c>
      <c r="FR4" s="11">
        <f t="shared" ref="FR4:FR23" si="78">IF(SUM(FA4:FD4)-FE4&gt;0,SUM(FA4:FD4)-FE4,"")</f>
        <v>36.18</v>
      </c>
      <c r="FS4" s="11">
        <f t="shared" ref="FS4:FS23" si="79">IF(SUM(FL4,FO4,FR4)&gt;0,SUM(FL4,FO4,FR4),"")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23" si="80">IF(FV4&gt;0,FV4,"")</f>
        <v/>
      </c>
      <c r="GO4" s="41" t="str">
        <f t="shared" ref="GO4:GO23" si="81">IF(FW4&gt;0,FW4,"")</f>
        <v/>
      </c>
      <c r="GP4" s="41" t="str">
        <f t="shared" ref="GP4:GP23" si="82">IF(SUM(FT4:FW4)-FX4&gt;0,SUM(FT4:FW4)-FX4,"")</f>
        <v/>
      </c>
      <c r="GQ4" s="41" t="str">
        <f t="shared" ref="GQ4:GQ23" si="83">IF(GA4&gt;0,GA4,"")</f>
        <v/>
      </c>
      <c r="GR4" s="41" t="str">
        <f t="shared" ref="GR4:GR23" si="84">IF(GB4&gt;0,GB4,"")</f>
        <v/>
      </c>
      <c r="GS4" s="41" t="str">
        <f t="shared" ref="GS4:GS23" si="85">IF(SUM(FY4:GB4)-GC4&gt;0,SUM(FY4:GB4)-GC4,"")</f>
        <v/>
      </c>
      <c r="GT4" s="41" t="str">
        <f t="shared" ref="GT4:GT23" si="86">IF(MAX(GP4,GS4)&gt;0,MAX(GP4,GS4),"")</f>
        <v/>
      </c>
      <c r="GU4" s="41" t="str">
        <f t="shared" ref="GU4:GU23" si="87">IF(GF4&gt;0,GF4,"")</f>
        <v/>
      </c>
      <c r="GV4" s="41" t="str">
        <f t="shared" ref="GV4:GV23" si="88">IF(GG4&gt;0,GG4,"")</f>
        <v/>
      </c>
      <c r="GW4" s="41" t="str">
        <f t="shared" ref="GW4:GW23" si="89">IF(SUM(GD4:GG4)-GH4&gt;0,SUM(GD4:GG4)-GH4,"")</f>
        <v/>
      </c>
      <c r="GX4" s="41" t="str">
        <f t="shared" ref="GX4:GX23" si="90">IF(GK4&gt;0,GK4,"")</f>
        <v/>
      </c>
      <c r="GY4" s="41" t="str">
        <f t="shared" ref="GY4:GY23" si="91">IF(GL4&gt;0,GL4,"")</f>
        <v/>
      </c>
      <c r="GZ4" s="41" t="str">
        <f t="shared" ref="GZ4:GZ23" si="92">IF(SUM(GI4:GL4)-GM4&gt;0,SUM(GI4:GL4)-GM4,"")</f>
        <v/>
      </c>
      <c r="HA4" s="41" t="str">
        <f t="shared" ref="HA4:HA23" si="93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3" si="94">IF(HD4&gt;0,HD4,"")</f>
        <v/>
      </c>
      <c r="HW4" s="11" t="str">
        <f t="shared" ref="HW4:HW23" si="95">IF(HE4&gt;0,HE4,"")</f>
        <v/>
      </c>
      <c r="HX4" s="11" t="str">
        <f t="shared" ref="HX4:HX23" si="96">IF(SUM(HB4:HE4)-HF4&gt;0,SUM(HB4:HE4)-HF4,"")</f>
        <v/>
      </c>
      <c r="HY4" s="11" t="str">
        <f t="shared" ref="HY4:HY23" si="97">IF(HI4&gt;0,HI4,"")</f>
        <v/>
      </c>
      <c r="HZ4" s="11" t="str">
        <f t="shared" ref="HZ4:HZ23" si="98">IF(HJ4&gt;0,HJ4,"")</f>
        <v/>
      </c>
      <c r="IA4" s="11" t="str">
        <f t="shared" ref="IA4:IA23" si="99">IF(SUM(HG4:HJ4)-HK4&gt;0,SUM(HG4:HJ4)-HK4,"")</f>
        <v/>
      </c>
      <c r="IB4" s="11" t="str">
        <f t="shared" ref="IB4:IB23" si="100">IF(MAX(HX4,IA4)&gt;0,MAX(HX4,IA4),"")</f>
        <v/>
      </c>
      <c r="IC4" s="11" t="str">
        <f t="shared" ref="IC4:IC23" si="101">IF(HN4&gt;0,HN4,"")</f>
        <v/>
      </c>
      <c r="ID4" s="11" t="str">
        <f t="shared" ref="ID4:ID23" si="102">IF(HO4&gt;0,HO4,"")</f>
        <v/>
      </c>
      <c r="IE4" s="11" t="str">
        <f t="shared" ref="IE4:IE23" si="103">IF(SUM(HL4:HO4)-HP4&gt;0,SUM(HL4:HO4)-HP4,"")</f>
        <v/>
      </c>
      <c r="IF4" s="11" t="str">
        <f t="shared" ref="IF4:IF23" si="104">IF(HS4&gt;0,HS4,"")</f>
        <v/>
      </c>
      <c r="IG4" s="11" t="str">
        <f t="shared" ref="IG4:IG23" si="105">IF(HT4&gt;0,HT4,"")</f>
        <v/>
      </c>
      <c r="IH4" s="11" t="str">
        <f t="shared" ref="IH4:IH23" si="106">IF(SUM(HQ4:HT4)-HU4&gt;0,SUM(HQ4:HT4)-HU4,"")</f>
        <v/>
      </c>
      <c r="II4" s="11" t="str">
        <f t="shared" ref="II4:II23" si="107">IF(SUM(IB4,IE4,IH4)&gt;0,SUM(IB4,IE4,IH4),"")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 t="shared" ref="JD4:JD23" si="108">IF(IL4&gt;0,IL4,"")</f>
        <v>15.2</v>
      </c>
      <c r="JE4" s="41">
        <f t="shared" ref="JE4:JE23" si="109">IF(IM4&gt;0,IM4,"")</f>
        <v>17</v>
      </c>
      <c r="JF4" s="41">
        <f t="shared" ref="JF4:JF23" si="110">IF(SUM(IJ4:IM4)-IN4&gt;0,SUM(IJ4:IM4)-IN4,"")</f>
        <v>57.3</v>
      </c>
      <c r="JG4" s="41" t="str">
        <f t="shared" ref="JG4:JG23" si="111">IF(IQ4&gt;0,IQ4,"")</f>
        <v/>
      </c>
      <c r="JH4" s="41" t="str">
        <f t="shared" ref="JH4:JH23" si="112">IF(IR4&gt;0,IR4,"")</f>
        <v/>
      </c>
      <c r="JI4" s="41" t="str">
        <f t="shared" ref="JI4:JI23" si="113">IF(SUM(IO4:IR4)-IS4&gt;0,SUM(IO4:IR4)-IS4,"")</f>
        <v/>
      </c>
      <c r="JJ4" s="41">
        <f t="shared" ref="JJ4:JJ23" si="114">IF(MAX(JF4,JI4)&gt;0,MAX(JF4,JI4),"")</f>
        <v>57.3</v>
      </c>
      <c r="JK4" s="41" t="str">
        <f t="shared" ref="JK4:JK23" si="115">IF(IV4&gt;0,IV4,"")</f>
        <v/>
      </c>
      <c r="JL4" s="41" t="str">
        <f t="shared" ref="JL4:JL23" si="116">IF(IW4&gt;0,IW4,"")</f>
        <v/>
      </c>
      <c r="JM4" s="41" t="str">
        <f t="shared" ref="JM4:JM23" si="117">IF(SUM(IT4:IW4)-IX4&gt;0,SUM(IT4:IW4)-IX4,"")</f>
        <v/>
      </c>
      <c r="JN4" s="41">
        <f t="shared" ref="JN4:JN23" si="118">IF(JA4&gt;0,JA4,"")</f>
        <v>15.6</v>
      </c>
      <c r="JO4" s="41">
        <f t="shared" ref="JO4:JO23" si="119">IF(JB4&gt;0,JB4,"")</f>
        <v>17.16</v>
      </c>
      <c r="JP4" s="41">
        <f t="shared" ref="JP4:JP23" si="120">IF(SUM(IY4:JB4)-JC4&gt;0,SUM(IY4:JB4)-JC4,"")</f>
        <v>58.459999999999994</v>
      </c>
      <c r="JQ4" s="41">
        <f t="shared" ref="JQ4:JQ23" si="121">IF(SUM(JJ4,JM4,JP4)&gt;0,SUM(JJ4,JM4,JP4),"")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 t="shared" ref="KL4:KL23" si="122">IF(JT4&gt;0,JT4,"")</f>
        <v/>
      </c>
      <c r="KM4" s="11" t="str">
        <f t="shared" ref="KM4:KM23" si="123">IF(JU4&gt;0,JU4,"")</f>
        <v/>
      </c>
      <c r="KN4" s="11" t="str">
        <f t="shared" ref="KN4:KN23" si="124">IF(SUM(JR4:JU4)-JV4&gt;0,SUM(JR4:JU4)-JV4,"")</f>
        <v/>
      </c>
      <c r="KO4" s="11" t="str">
        <f t="shared" ref="KO4:KO23" si="125">IF(JY4&gt;0,JY4,"")</f>
        <v/>
      </c>
      <c r="KP4" s="11" t="str">
        <f t="shared" ref="KP4:KP23" si="126">IF(JZ4&gt;0,JZ4,"")</f>
        <v/>
      </c>
      <c r="KQ4" s="11" t="str">
        <f t="shared" ref="KQ4:KQ23" si="127">IF(SUM(JW4:JZ4)-KA4&gt;0,SUM(JW4:JZ4)-KA4,"")</f>
        <v/>
      </c>
      <c r="KR4" s="11" t="str">
        <f t="shared" ref="KR4:KR23" si="128">IF(MAX(KN4,KQ4)&gt;0,MAX(KN4,KQ4),"")</f>
        <v/>
      </c>
      <c r="KS4" s="11" t="str">
        <f t="shared" ref="KS4:KS23" si="129">IF(KD4&gt;0,KD4,"")</f>
        <v/>
      </c>
      <c r="KT4" s="11" t="str">
        <f t="shared" ref="KT4:KT23" si="130">IF(KE4&gt;0,KE4,"")</f>
        <v/>
      </c>
      <c r="KU4" s="11" t="str">
        <f t="shared" ref="KU4:KU23" si="131">IF(SUM(KB4:KE4)-KF4&gt;0,SUM(KB4:KE4)-KF4,"")</f>
        <v/>
      </c>
      <c r="KV4" s="11">
        <f t="shared" ref="KV4:KV23" si="132">IF(KI4&gt;0,KI4,"")</f>
        <v>15.2</v>
      </c>
      <c r="KW4" s="11">
        <f t="shared" ref="KW4:KW23" si="133">IF(KJ4&gt;0,KJ4,"")</f>
        <v>17.07</v>
      </c>
      <c r="KX4" s="11">
        <f t="shared" ref="KX4:KX23" si="134">IF(SUM(KG4:KJ4)-KK4&gt;0,SUM(KG4:KJ4)-KK4,"")</f>
        <v>56.77</v>
      </c>
      <c r="KY4" s="11">
        <f t="shared" ref="KY4:KY23" si="135">IF(SUM(KR4,KU4,KX4)&gt;0,SUM(KR4,KU4,KX4),"")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 t="shared" ref="LT4:LT23" si="136">IF(LB4&gt;0,LB4,"")</f>
        <v>12.9</v>
      </c>
      <c r="LU4" s="41">
        <f t="shared" ref="LU4:LU23" si="137">IF(LC4&gt;0,LC4,"")</f>
        <v>13.23</v>
      </c>
      <c r="LV4" s="41">
        <f t="shared" ref="LV4:LV23" si="138">IF(SUM(KZ4:LC4)-LD4&gt;0,SUM(KZ4:LC4)-LD4,"")</f>
        <v>45.430000000000007</v>
      </c>
      <c r="LW4" s="41">
        <f t="shared" ref="LW4:LW23" si="139">IF(LG4&gt;0,LG4,"")</f>
        <v>16.2</v>
      </c>
      <c r="LX4" s="41">
        <f t="shared" ref="LX4:LX23" si="140">IF(LH4&gt;0,LH4,"")</f>
        <v>16.79</v>
      </c>
      <c r="LY4" s="41">
        <f t="shared" ref="LY4:LY23" si="141">IF(SUM(LE4:LH4)-LI4&gt;0,SUM(LE4:LH4)-LI4,"")</f>
        <v>58.589999999999996</v>
      </c>
      <c r="LZ4" s="41">
        <f t="shared" ref="LZ4:LZ23" si="142">IF(MAX(LV4,LY4)&gt;0,MAX(LV4,LY4),"")</f>
        <v>58.589999999999996</v>
      </c>
      <c r="MA4" s="41">
        <f t="shared" ref="MA4:MA23" si="143">IF(LL4&gt;0,LL4,"")</f>
        <v>16.2</v>
      </c>
      <c r="MB4" s="41">
        <f t="shared" ref="MB4:MB23" si="144">IF(LM4&gt;0,LM4,"")</f>
        <v>16.809999999999999</v>
      </c>
      <c r="MC4" s="41">
        <f t="shared" ref="MC4:MC23" si="145">IF(SUM(LJ4:LM4)-LN4&gt;0,SUM(LJ4:LM4)-LN4,"")</f>
        <v>58.81</v>
      </c>
      <c r="MD4" s="41">
        <f t="shared" ref="MD4:MD23" si="146">IF(LQ4&gt;0,LQ4,"")</f>
        <v>16.2</v>
      </c>
      <c r="ME4" s="41">
        <f t="shared" ref="ME4:ME23" si="147">IF(LR4&gt;0,LR4,"")</f>
        <v>16.77</v>
      </c>
      <c r="MF4" s="41">
        <f t="shared" ref="MF4:MF23" si="148">IF(SUM(LO4:LR4)-LS4&gt;0,SUM(LO4:LR4)-LS4,"")</f>
        <v>58.769999999999996</v>
      </c>
      <c r="MG4" s="41">
        <f t="shared" ref="MG4:MG23" si="149">IF(SUM(LZ4,MC4,MF4)&gt;0,SUM(LZ4,MC4,MF4),"")</f>
        <v>176.17000000000002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3" si="150">IF(MJ4&gt;0,MJ4,"")</f>
        <v/>
      </c>
      <c r="NC4" s="11" t="str">
        <f t="shared" ref="NC4:NC23" si="151">IF(MK4&gt;0,MK4,"")</f>
        <v/>
      </c>
      <c r="ND4" s="11" t="str">
        <f t="shared" ref="ND4:ND23" si="152">IF(SUM(MH4:MK4)-ML4&gt;0,SUM(MH4:MK4)-ML4,"")</f>
        <v/>
      </c>
      <c r="NE4" s="11" t="str">
        <f t="shared" ref="NE4:NE23" si="153">IF(MO4&gt;0,MO4,"")</f>
        <v/>
      </c>
      <c r="NF4" s="11" t="str">
        <f t="shared" ref="NF4:NF23" si="154">IF(MP4&gt;0,MP4,"")</f>
        <v/>
      </c>
      <c r="NG4" s="11" t="str">
        <f t="shared" ref="NG4:NG23" si="155">IF(SUM(MM4:MP4)-MQ4&gt;0,SUM(MM4:MP4)-MQ4,"")</f>
        <v/>
      </c>
      <c r="NH4" s="11" t="str">
        <f t="shared" ref="NH4:NH23" si="156">IF(MAX(ND4,NG4)&gt;0,MAX(ND4,NG4),"")</f>
        <v/>
      </c>
      <c r="NI4" s="11" t="str">
        <f t="shared" ref="NI4:NI23" si="157">IF(MT4&gt;0,MT4,"")</f>
        <v/>
      </c>
      <c r="NJ4" s="11" t="str">
        <f t="shared" ref="NJ4:NJ23" si="158">IF(MU4&gt;0,MU4,"")</f>
        <v/>
      </c>
      <c r="NK4" s="11" t="str">
        <f t="shared" ref="NK4:NK23" si="159">IF(SUM(MR4:MU4)-MV4&gt;0,SUM(MR4:MU4)-MV4,"")</f>
        <v/>
      </c>
      <c r="NL4" s="11" t="str">
        <f t="shared" ref="NL4:NL23" si="160">IF(MY4&gt;0,MY4,"")</f>
        <v/>
      </c>
      <c r="NM4" s="11" t="str">
        <f t="shared" ref="NM4:NM23" si="161">IF(MZ4&gt;0,MZ4,"")</f>
        <v/>
      </c>
      <c r="NN4" s="11" t="str">
        <f t="shared" ref="NN4:NN23" si="162">IF(SUM(MW4:MZ4)-NA4&gt;0,SUM(MW4:MZ4)-NA4,"")</f>
        <v/>
      </c>
      <c r="NO4" s="11" t="str">
        <f t="shared" ref="NO4:NO23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23" si="164">IF(NR4&gt;0,NR4,"")</f>
        <v/>
      </c>
      <c r="OK4" s="41" t="str">
        <f t="shared" ref="OK4:OK23" si="165">IF(NS4&gt;0,NS4,"")</f>
        <v/>
      </c>
      <c r="OL4" s="41" t="str">
        <f t="shared" ref="OL4:OL23" si="166">IF(SUM(NP4:NS4)-NT4&gt;0,SUM(NP4:NS4)-NT4,"")</f>
        <v/>
      </c>
      <c r="OM4" s="41" t="str">
        <f t="shared" ref="OM4:OM23" si="167">IF(NW4&gt;0,NW4,"")</f>
        <v/>
      </c>
      <c r="ON4" s="41" t="str">
        <f t="shared" ref="ON4:ON23" si="168">IF(NX4&gt;0,NX4,"")</f>
        <v/>
      </c>
      <c r="OO4" s="41" t="str">
        <f t="shared" ref="OO4:OO23" si="169">IF(SUM(NU4:NX4)-NY4&gt;0,SUM(NU4:NX4)-NY4,"")</f>
        <v/>
      </c>
      <c r="OP4" s="41" t="str">
        <f t="shared" ref="OP4:OP23" si="170">IF(MAX(OL4,OO4)&gt;0,MAX(OL4,OO4),"")</f>
        <v/>
      </c>
      <c r="OQ4" s="41" t="str">
        <f t="shared" ref="OQ4:OQ23" si="171">IF(OB4&gt;0,OB4,"")</f>
        <v/>
      </c>
      <c r="OR4" s="41" t="str">
        <f t="shared" ref="OR4:OR23" si="172">IF(OC4&gt;0,OC4,"")</f>
        <v/>
      </c>
      <c r="OS4" s="41" t="str">
        <f t="shared" ref="OS4:OS23" si="173">IF(SUM(NZ4:OC4)-OD4&gt;0,SUM(NZ4:OC4)-OD4,"")</f>
        <v/>
      </c>
      <c r="OT4" s="41" t="str">
        <f t="shared" ref="OT4:OT23" si="174">IF(OG4&gt;0,OG4,"")</f>
        <v/>
      </c>
      <c r="OU4" s="41" t="str">
        <f t="shared" ref="OU4:OU23" si="175">IF(OH4&gt;0,OH4,"")</f>
        <v/>
      </c>
      <c r="OV4" s="41" t="str">
        <f t="shared" ref="OV4:OV23" si="176">IF(SUM(OE4:OH4)-OI4&gt;0,SUM(OE4:OH4)-OI4,"")</f>
        <v/>
      </c>
      <c r="OW4" s="41" t="str">
        <f t="shared" ref="OW4:OW23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3" si="178">IF(OZ4&gt;0,OZ4,"")</f>
        <v/>
      </c>
      <c r="PS4" s="11" t="str">
        <f t="shared" ref="PS4:PS23" si="179">IF(PA4&gt;0,PA4,"")</f>
        <v/>
      </c>
      <c r="PT4" s="11" t="str">
        <f t="shared" ref="PT4:PT23" si="180">IF(SUM(OX4:PA4)-PB4&gt;0,SUM(OX4:PA4)-PB4,"")</f>
        <v/>
      </c>
      <c r="PU4" s="11" t="str">
        <f t="shared" ref="PU4:PU23" si="181">IF(PE4&gt;0,PE4,"")</f>
        <v/>
      </c>
      <c r="PV4" s="11" t="str">
        <f t="shared" ref="PV4:PV23" si="182">IF(PF4&gt;0,PF4,"")</f>
        <v/>
      </c>
      <c r="PW4" s="11" t="str">
        <f t="shared" ref="PW4:PW23" si="183">IF(SUM(PC4:PF4)-PG4&gt;0,SUM(PC4:PF4)-PG4,"")</f>
        <v/>
      </c>
      <c r="PX4" s="11" t="str">
        <f t="shared" ref="PX4:PX23" si="184">IF(MAX(PT4,PW4)&gt;0,MAX(PT4,PW4),"")</f>
        <v/>
      </c>
      <c r="PY4" s="11" t="str">
        <f t="shared" ref="PY4:PY23" si="185">IF(PJ4&gt;0,PJ4,"")</f>
        <v/>
      </c>
      <c r="PZ4" s="11" t="str">
        <f t="shared" ref="PZ4:PZ23" si="186">IF(PK4&gt;0,PK4,"")</f>
        <v/>
      </c>
      <c r="QA4" s="11" t="str">
        <f t="shared" ref="QA4:QA23" si="187">IF(SUM(PH4:PK4)-PL4&gt;0,SUM(PH4:PK4)-PL4,"")</f>
        <v/>
      </c>
      <c r="QB4" s="11" t="str">
        <f t="shared" ref="QB4:QB23" si="188">IF(PO4&gt;0,PO4,"")</f>
        <v/>
      </c>
      <c r="QC4" s="11" t="str">
        <f t="shared" ref="QC4:QC23" si="189">IF(PP4&gt;0,PP4,"")</f>
        <v/>
      </c>
      <c r="QD4" s="11" t="str">
        <f t="shared" ref="QD4:QD23" si="190">IF(SUM(PM4:PP4)-PQ4&gt;0,SUM(PM4:PP4)-PQ4,"")</f>
        <v/>
      </c>
      <c r="QE4" s="11" t="str">
        <f t="shared" ref="QE4:QE23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23" si="192">IF(QH4&gt;0,QH4,"")</f>
        <v/>
      </c>
      <c r="RA4" s="41" t="str">
        <f t="shared" ref="RA4:RA23" si="193">IF(QI4&gt;0,QI4,"")</f>
        <v/>
      </c>
      <c r="RB4" s="41" t="str">
        <f t="shared" ref="RB4:RB23" si="194">IF(SUM(QF4:QI4)-QJ4&gt;0,SUM(QF4:QI4)-QJ4,"")</f>
        <v/>
      </c>
      <c r="RC4" s="41" t="str">
        <f t="shared" ref="RC4:RC23" si="195">IF(QM4&gt;0,QM4,"")</f>
        <v/>
      </c>
      <c r="RD4" s="41" t="str">
        <f t="shared" ref="RD4:RD23" si="196">IF(QN4&gt;0,QN4,"")</f>
        <v/>
      </c>
      <c r="RE4" s="41" t="str">
        <f t="shared" ref="RE4:RE23" si="197">IF(SUM(QK4:QN4)-QO4&gt;0,SUM(QK4:QN4)-QO4,"")</f>
        <v/>
      </c>
      <c r="RF4" s="41" t="str">
        <f t="shared" ref="RF4:RF23" si="198">IF(MAX(RB4,RE4)&gt;0,MAX(RB4,RE4),"")</f>
        <v/>
      </c>
      <c r="RG4" s="41" t="str">
        <f t="shared" ref="RG4:RG23" si="199">IF(QR4&gt;0,QR4,"")</f>
        <v/>
      </c>
      <c r="RH4" s="41" t="str">
        <f t="shared" ref="RH4:RH23" si="200">IF(QS4&gt;0,QS4,"")</f>
        <v/>
      </c>
      <c r="RI4" s="41" t="str">
        <f t="shared" ref="RI4:RI23" si="201">IF(SUM(QP4:QS4)-QT4&gt;0,SUM(QP4:QS4)-QT4,"")</f>
        <v/>
      </c>
      <c r="RJ4" s="41" t="str">
        <f t="shared" ref="RJ4:RJ23" si="202">IF(QW4&gt;0,QW4,"")</f>
        <v/>
      </c>
      <c r="RK4" s="41" t="str">
        <f t="shared" ref="RK4:RK23" si="203">IF(QX4&gt;0,QX4,"")</f>
        <v/>
      </c>
      <c r="RL4" s="41" t="str">
        <f t="shared" ref="RL4:RL23" si="204">IF(SUM(QU4:QX4)-QY4&gt;0,SUM(QU4:QX4)-QY4,"")</f>
        <v/>
      </c>
      <c r="RM4" s="41" t="str">
        <f t="shared" ref="RM4:RM23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3" si="206">IF(RP4&gt;0,RP4,"")</f>
        <v/>
      </c>
      <c r="SI4" s="11" t="str">
        <f t="shared" ref="SI4:SI23" si="207">IF(RQ4&gt;0,RQ4,"")</f>
        <v/>
      </c>
      <c r="SJ4" s="11" t="str">
        <f t="shared" ref="SJ4:SJ23" si="208">IF(SUM(RN4:RQ4)-RR4&gt;0,SUM(RN4:RQ4)-RR4,"")</f>
        <v/>
      </c>
      <c r="SK4" s="11" t="str">
        <f t="shared" ref="SK4:SK23" si="209">IF(RU4&gt;0,RU4,"")</f>
        <v/>
      </c>
      <c r="SL4" s="11" t="str">
        <f t="shared" ref="SL4:SL23" si="210">IF(RV4&gt;0,RV4,"")</f>
        <v/>
      </c>
      <c r="SM4" s="11" t="str">
        <f t="shared" ref="SM4:SM23" si="211">IF(SUM(RS4:RV4)-RW4&gt;0,SUM(RS4:RV4)-RW4,"")</f>
        <v/>
      </c>
      <c r="SN4" s="11" t="str">
        <f t="shared" ref="SN4:SN23" si="212">IF(MAX(SJ4,SM4)&gt;0,MAX(SJ4,SM4),"")</f>
        <v/>
      </c>
      <c r="SO4" s="11" t="str">
        <f t="shared" ref="SO4:SO23" si="213">IF(RZ4&gt;0,RZ4,"")</f>
        <v/>
      </c>
      <c r="SP4" s="11" t="str">
        <f t="shared" ref="SP4:SP23" si="214">IF(SA4&gt;0,SA4,"")</f>
        <v/>
      </c>
      <c r="SQ4" s="11" t="str">
        <f t="shared" ref="SQ4:SQ23" si="215">IF(SUM(RX4:SA4)-SB4&gt;0,SUM(RX4:SA4)-SB4,"")</f>
        <v/>
      </c>
      <c r="SR4" s="11" t="str">
        <f t="shared" ref="SR4:SR23" si="216">IF(SE4&gt;0,SE4,"")</f>
        <v/>
      </c>
      <c r="SS4" s="11" t="str">
        <f t="shared" ref="SS4:SS23" si="217">IF(SF4&gt;0,SF4,"")</f>
        <v/>
      </c>
      <c r="ST4" s="11" t="str">
        <f t="shared" ref="ST4:ST23" si="218">IF(SUM(SC4:SF4)-SG4&gt;0,SUM(SC4:SF4)-SG4,"")</f>
        <v/>
      </c>
      <c r="SU4" s="11" t="str">
        <f t="shared" ref="SU4:SU23" si="219">IF(SUM(SN4,SQ4,ST4)&gt;0,SUM(SN4,SQ4,ST4),"")</f>
        <v/>
      </c>
      <c r="SV4" s="23">
        <f t="shared" ref="SV4:SV23" si="220">IF($CP4="P",CA4,(CA4+AZ4)/2)</f>
        <v>6.65</v>
      </c>
      <c r="SW4" s="23">
        <f t="shared" ref="SW4:SW23" si="221">IF($CP4="P",CB4,(CB4+BA4)/2)</f>
        <v>3.35</v>
      </c>
      <c r="SX4" s="23">
        <f t="shared" ref="SX4:SX23" si="222">IF($CP4="P",CC4,(CC4+BB4)/2)</f>
        <v>6.9</v>
      </c>
      <c r="SY4" s="23">
        <f t="shared" ref="SY4:SY23" si="223">IF($CP4="P",CD4,(CD4+BC4)/2)</f>
        <v>6.8149999999999995</v>
      </c>
      <c r="SZ4" s="23">
        <f t="shared" ref="SZ4:SZ23" si="224">IF($CP4="P",CE4,(CE4+BD4)/2)</f>
        <v>0</v>
      </c>
      <c r="TA4" s="23">
        <f t="shared" ref="TA4:TA23" si="225">IF($CP4="P",CF4,(CF4+BE4)/2)</f>
        <v>9.1</v>
      </c>
      <c r="TB4" s="23">
        <f t="shared" ref="TB4:TB23" si="226">IF($CP4="P",CG4,(CG4+BF4)/2)</f>
        <v>5.0999999999999996</v>
      </c>
      <c r="TC4" s="23">
        <f t="shared" ref="TC4:TC23" si="227">IF($CP4="P",CH4,(CH4+BG4)/2)</f>
        <v>9.25</v>
      </c>
      <c r="TD4" s="23">
        <f t="shared" ref="TD4:TD23" si="228">IF($CP4="P",CI4,(CI4+BH4)/2)</f>
        <v>9.2149999999999999</v>
      </c>
      <c r="TE4" s="23">
        <f t="shared" ref="TE4:TE23" si="229">IF($CP4="P",CJ4,(CJ4+BI4)/2)</f>
        <v>0</v>
      </c>
      <c r="TF4" s="23">
        <f t="shared" ref="TF4:TF23" si="230">IF($CP4="P",CK4,(CK4+BJ4)/2)</f>
        <v>8.1</v>
      </c>
      <c r="TG4" s="23">
        <f t="shared" ref="TG4:TG23" si="231">IF($CP4="P",CL4,(CL4+BK4)/2)</f>
        <v>4.1500000000000004</v>
      </c>
      <c r="TH4" s="23">
        <f t="shared" ref="TH4:TH23" si="232">IF($CP4="P",CM4,(CM4+BL4)/2)</f>
        <v>8.25</v>
      </c>
      <c r="TI4" s="23">
        <f t="shared" ref="TI4:TI23" si="233">IF($CP4="P",CN4,(CN4+BM4)/2)</f>
        <v>8.3849999999999998</v>
      </c>
      <c r="TJ4" s="23">
        <f t="shared" ref="TJ4:TJ23" si="234">IF($CP4="P",CO4,(CO4+BN4)/2)</f>
        <v>0</v>
      </c>
      <c r="TK4" s="28" t="s">
        <v>57</v>
      </c>
      <c r="TL4" s="41">
        <f t="shared" ref="TL4:TL23" si="235">IF(SX4&gt;0,SX4,"")</f>
        <v>6.9</v>
      </c>
      <c r="TM4" s="41">
        <f t="shared" ref="TM4:TM23" si="236">IF(SY4&gt;0,SY4,"")</f>
        <v>6.8149999999999995</v>
      </c>
      <c r="TN4" s="41">
        <f t="shared" ref="TN4:TN23" si="237">IF(SUM(SV4:SY4)-SZ4&gt;0,SUM(SV4:SY4)-SZ4,"")</f>
        <v>23.714999999999996</v>
      </c>
      <c r="TO4" s="41">
        <f t="shared" ref="TO4:TO23" si="238">IF(TC4&gt;0,TC4,"")</f>
        <v>9.25</v>
      </c>
      <c r="TP4" s="41">
        <f t="shared" ref="TP4:TP23" si="239">IF(TD4&gt;0,TD4,"")</f>
        <v>9.2149999999999999</v>
      </c>
      <c r="TQ4" s="41">
        <f t="shared" ref="TQ4:TQ23" si="240">IF(SUM(TA4:TD4)-TE4&gt;0,SUM(TA4:TD4)-TE4,"")</f>
        <v>32.664999999999999</v>
      </c>
      <c r="TR4" s="41">
        <f t="shared" ref="TR4:TR23" si="241">IF(MAX(TN4,TQ4)&gt;0,MAX(TN4,TQ4),"")</f>
        <v>32.664999999999999</v>
      </c>
      <c r="TS4" s="41">
        <f t="shared" ref="TS4:TS23" si="242">IF(TH4&gt;0,TH4,"")</f>
        <v>8.25</v>
      </c>
      <c r="TT4" s="41">
        <f t="shared" ref="TT4:TT23" si="243">IF(TI4&gt;0,TI4,"")</f>
        <v>8.3849999999999998</v>
      </c>
      <c r="TU4" s="41">
        <f t="shared" ref="TU4:TU23" si="244">IF(SUM(TF4:TI4)-TJ4&gt;0,SUM(TF4:TI4)-TJ4,"")</f>
        <v>28.884999999999998</v>
      </c>
      <c r="TV4" s="41">
        <f t="shared" ref="TV4:TV23" si="245">IF(SUM(TR4,TU4)&gt;0,SUM(TR4,TU4),"")</f>
        <v>61.55</v>
      </c>
    </row>
    <row r="5" spans="1:542" x14ac:dyDescent="0.2">
      <c r="A5" s="4" cm="1">
        <f t="array" ref="A5">IF(AND(H5&lt;&gt;"",H5&lt;&gt;"No DD"),SUMPRODUCT((H$4:H$24&lt;&gt;"")*(H$4:H$24&lt;&gt;"No DD")*(E$4:E$24&gt;E5))+1,IF(H5="No DD",SUMPRODUCT((H$4:H$24="No DD")*(E$4:E$24&gt;E5))+1+SUMPRODUCT((H$4:H$24&lt;&gt;"")*(H$4:H$24&lt;&gt;"No DD")),""))</f>
        <v>2</v>
      </c>
      <c r="B5" s="5" t="s">
        <v>73</v>
      </c>
      <c r="C5" s="4" t="s">
        <v>8</v>
      </c>
      <c r="D5" s="4">
        <v>2001</v>
      </c>
      <c r="E5" s="9">
        <f t="shared" si="0"/>
        <v>269.64002678200592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58.83</v>
      </c>
      <c r="K5" s="8" t="str">
        <f t="shared" si="5"/>
        <v>2023 Domestic 3rd Trial</v>
      </c>
      <c r="L5" s="8">
        <f>IF(COUNT(AQ5,AT5,BR5,BU5,CS5,CV5)&gt;1,LARGE((AQ5,AT5,BR5,BU5,CS5,CV5),2),0)</f>
        <v>58.08</v>
      </c>
      <c r="M5" s="8" t="str">
        <f t="shared" si="6"/>
        <v>2023 Domestic 3rd Trial</v>
      </c>
      <c r="N5" s="8">
        <f>IF(COUNT(AQ5,AT5,BR5,BU5,CS5,CV5)&gt;2,LARGE((AQ5,AT5,BR5,BU5,CS5,CV5),3),0)</f>
        <v>56.63000000000001</v>
      </c>
      <c r="O5" s="8" t="str">
        <f t="shared" si="7"/>
        <v>2023 Nationals</v>
      </c>
      <c r="P5" s="8">
        <f t="shared" si="8"/>
        <v>59.42</v>
      </c>
      <c r="Q5" s="8" t="str">
        <f t="shared" si="9"/>
        <v>2023 Nationals</v>
      </c>
      <c r="R5" s="8">
        <f t="shared" si="10"/>
        <v>17.5</v>
      </c>
      <c r="S5" s="8" t="str">
        <f t="shared" si="11"/>
        <v>2023 Domestic 3rd Trial</v>
      </c>
      <c r="T5" s="8">
        <f t="shared" si="12"/>
        <v>17.36</v>
      </c>
      <c r="U5" s="8" t="str">
        <f t="shared" si="13"/>
        <v>2023 Elite Canada</v>
      </c>
      <c r="V5" s="8">
        <f t="shared" si="14"/>
        <v>1.8199999999999932</v>
      </c>
      <c r="W5" s="11" t="str">
        <f t="shared" si="15"/>
        <v>(Prelim)</v>
      </c>
      <c r="X5" s="8" t="str">
        <f t="shared" si="16"/>
        <v>2023 World Cup USA (Aug 5)</v>
      </c>
      <c r="Y5" s="23">
        <v>10.199999999999999</v>
      </c>
      <c r="Z5" s="23">
        <v>6.1000000000000005</v>
      </c>
      <c r="AA5" s="23">
        <v>10.85</v>
      </c>
      <c r="AB5" s="23">
        <v>11.115</v>
      </c>
      <c r="AC5" s="23">
        <v>0</v>
      </c>
      <c r="AD5" s="23">
        <v>14.95</v>
      </c>
      <c r="AE5" s="23">
        <v>8.9</v>
      </c>
      <c r="AF5" s="23">
        <v>15.35</v>
      </c>
      <c r="AG5" s="23">
        <v>17.25</v>
      </c>
      <c r="AH5" s="23">
        <v>0</v>
      </c>
      <c r="AI5" s="23">
        <v>15.45</v>
      </c>
      <c r="AJ5" s="23">
        <v>9.4</v>
      </c>
      <c r="AK5" s="23">
        <v>16.2</v>
      </c>
      <c r="AL5" s="23">
        <v>17.36</v>
      </c>
      <c r="AM5" s="23">
        <v>0</v>
      </c>
      <c r="AN5" s="28" t="s">
        <v>57</v>
      </c>
      <c r="AO5" s="39">
        <f t="shared" si="17"/>
        <v>10.85</v>
      </c>
      <c r="AP5" s="39">
        <f t="shared" si="18"/>
        <v>11.115</v>
      </c>
      <c r="AQ5" s="41">
        <f t="shared" si="19"/>
        <v>38.265000000000001</v>
      </c>
      <c r="AR5" s="41">
        <f t="shared" si="20"/>
        <v>15.35</v>
      </c>
      <c r="AS5" s="41">
        <f t="shared" si="21"/>
        <v>17.25</v>
      </c>
      <c r="AT5" s="41">
        <f t="shared" si="22"/>
        <v>56.45</v>
      </c>
      <c r="AU5" s="41">
        <f t="shared" si="23"/>
        <v>56.45</v>
      </c>
      <c r="AV5" s="41">
        <f t="shared" si="24"/>
        <v>16.2</v>
      </c>
      <c r="AW5" s="41">
        <f t="shared" si="25"/>
        <v>17.36</v>
      </c>
      <c r="AX5" s="41">
        <f t="shared" si="26"/>
        <v>58.41</v>
      </c>
      <c r="AY5" s="41">
        <f t="shared" si="27"/>
        <v>114.86</v>
      </c>
      <c r="AZ5" s="27">
        <v>1.6</v>
      </c>
      <c r="BA5" s="27">
        <v>1</v>
      </c>
      <c r="BB5" s="27">
        <v>2.2000000000000002</v>
      </c>
      <c r="BC5" s="27">
        <v>1.83</v>
      </c>
      <c r="BD5" s="27">
        <v>0</v>
      </c>
      <c r="BE5" s="27">
        <v>15.1</v>
      </c>
      <c r="BF5" s="27">
        <v>9</v>
      </c>
      <c r="BG5" s="27">
        <v>16.3</v>
      </c>
      <c r="BH5" s="27">
        <v>16.23</v>
      </c>
      <c r="BI5" s="27">
        <v>0</v>
      </c>
      <c r="BJ5" s="27">
        <v>16.100000000000001</v>
      </c>
      <c r="BK5" s="27">
        <v>9.6</v>
      </c>
      <c r="BL5" s="27">
        <v>17.100000000000001</v>
      </c>
      <c r="BM5" s="27">
        <v>16.62</v>
      </c>
      <c r="BN5" s="27">
        <v>0</v>
      </c>
      <c r="BO5" s="29"/>
      <c r="BP5" s="40">
        <f t="shared" si="28"/>
        <v>2.2000000000000002</v>
      </c>
      <c r="BQ5" s="40">
        <f t="shared" si="29"/>
        <v>1.83</v>
      </c>
      <c r="BR5" s="11">
        <f t="shared" si="30"/>
        <v>6.6300000000000008</v>
      </c>
      <c r="BS5" s="11">
        <f t="shared" si="31"/>
        <v>16.3</v>
      </c>
      <c r="BT5" s="11">
        <f t="shared" si="32"/>
        <v>16.23</v>
      </c>
      <c r="BU5" s="11">
        <f t="shared" si="33"/>
        <v>56.63000000000001</v>
      </c>
      <c r="BV5" s="11">
        <f t="shared" si="34"/>
        <v>56.63000000000001</v>
      </c>
      <c r="BW5" s="11">
        <f t="shared" si="35"/>
        <v>17.100000000000001</v>
      </c>
      <c r="BX5" s="11">
        <f t="shared" si="36"/>
        <v>16.62</v>
      </c>
      <c r="BY5" s="11">
        <f t="shared" si="37"/>
        <v>59.42</v>
      </c>
      <c r="BZ5" s="11">
        <f t="shared" si="38"/>
        <v>116.05000000000001</v>
      </c>
      <c r="CA5" s="23">
        <v>15.5</v>
      </c>
      <c r="CB5" s="23">
        <v>9</v>
      </c>
      <c r="CC5" s="23">
        <v>17.100000000000001</v>
      </c>
      <c r="CD5" s="23">
        <v>17.23</v>
      </c>
      <c r="CE5" s="23">
        <v>0</v>
      </c>
      <c r="CF5" s="23">
        <v>15</v>
      </c>
      <c r="CG5" s="23">
        <v>9.3000000000000007</v>
      </c>
      <c r="CH5" s="23">
        <v>16.7</v>
      </c>
      <c r="CI5" s="23">
        <v>17.079999999999998</v>
      </c>
      <c r="CJ5" s="23">
        <v>0</v>
      </c>
      <c r="CK5" s="23">
        <v>14.5</v>
      </c>
      <c r="CL5" s="23">
        <v>8.9</v>
      </c>
      <c r="CM5" s="23">
        <v>17.5</v>
      </c>
      <c r="CN5" s="23">
        <v>17.07</v>
      </c>
      <c r="CO5" s="23">
        <v>0</v>
      </c>
      <c r="CP5" s="28"/>
      <c r="CQ5" s="39">
        <f t="shared" si="39"/>
        <v>17.100000000000001</v>
      </c>
      <c r="CR5" s="39">
        <f t="shared" si="40"/>
        <v>17.23</v>
      </c>
      <c r="CS5" s="41">
        <f t="shared" si="41"/>
        <v>58.83</v>
      </c>
      <c r="CT5" s="41">
        <f t="shared" si="42"/>
        <v>16.7</v>
      </c>
      <c r="CU5" s="41">
        <f t="shared" si="43"/>
        <v>17.079999999999998</v>
      </c>
      <c r="CV5" s="41">
        <f t="shared" si="44"/>
        <v>58.08</v>
      </c>
      <c r="CW5" s="41">
        <f t="shared" si="45"/>
        <v>58.83</v>
      </c>
      <c r="CX5" s="41">
        <f t="shared" si="46"/>
        <v>17.5</v>
      </c>
      <c r="CY5" s="41">
        <f t="shared" si="47"/>
        <v>17.07</v>
      </c>
      <c r="CZ5" s="41">
        <f t="shared" si="48"/>
        <v>57.97</v>
      </c>
      <c r="DA5" s="41">
        <f t="shared" si="49"/>
        <v>116.8</v>
      </c>
      <c r="DB5" s="52">
        <f t="shared" si="50"/>
        <v>1.8199999999999932</v>
      </c>
      <c r="DC5" s="52" t="str">
        <f t="shared" si="51"/>
        <v/>
      </c>
      <c r="DD5" s="17">
        <v>15.3</v>
      </c>
      <c r="DE5" s="17">
        <v>9.8000000000000007</v>
      </c>
      <c r="DF5" s="17">
        <v>15.6</v>
      </c>
      <c r="DG5" s="17">
        <v>17.16</v>
      </c>
      <c r="DH5" s="17">
        <v>0</v>
      </c>
      <c r="DI5" s="17">
        <v>15.2</v>
      </c>
      <c r="DJ5" s="17">
        <v>9</v>
      </c>
      <c r="DK5" s="17">
        <v>15.6</v>
      </c>
      <c r="DL5" s="17">
        <v>17.059999999999999</v>
      </c>
      <c r="DM5" s="17">
        <v>0</v>
      </c>
      <c r="DN5" s="17">
        <v>15.1</v>
      </c>
      <c r="DO5" s="17">
        <v>9.1999999999999993</v>
      </c>
      <c r="DP5" s="17">
        <v>16.2</v>
      </c>
      <c r="DQ5" s="17">
        <v>16.7</v>
      </c>
      <c r="DR5" s="17">
        <v>0</v>
      </c>
      <c r="DS5" s="17">
        <v>3.2</v>
      </c>
      <c r="DT5" s="17">
        <v>1.8</v>
      </c>
      <c r="DU5" s="17">
        <v>3.8</v>
      </c>
      <c r="DV5" s="17">
        <v>3.64</v>
      </c>
      <c r="DW5" s="17">
        <v>0</v>
      </c>
      <c r="DX5" s="41">
        <f t="shared" si="52"/>
        <v>15.6</v>
      </c>
      <c r="DY5" s="41">
        <f t="shared" si="53"/>
        <v>17.16</v>
      </c>
      <c r="DZ5" s="41">
        <f t="shared" si="54"/>
        <v>57.86</v>
      </c>
      <c r="EA5" s="41">
        <f t="shared" si="55"/>
        <v>15.6</v>
      </c>
      <c r="EB5" s="41">
        <f t="shared" si="56"/>
        <v>17.059999999999999</v>
      </c>
      <c r="EC5" s="41">
        <f t="shared" si="57"/>
        <v>56.86</v>
      </c>
      <c r="ED5" s="41">
        <f t="shared" si="58"/>
        <v>57.86</v>
      </c>
      <c r="EE5" s="41">
        <f t="shared" si="59"/>
        <v>16.2</v>
      </c>
      <c r="EF5" s="41">
        <f t="shared" si="60"/>
        <v>16.7</v>
      </c>
      <c r="EG5" s="41">
        <f t="shared" si="61"/>
        <v>57.2</v>
      </c>
      <c r="EH5" s="41">
        <f t="shared" si="62"/>
        <v>3.8</v>
      </c>
      <c r="EI5" s="41">
        <f t="shared" si="63"/>
        <v>3.64</v>
      </c>
      <c r="EJ5" s="41">
        <f t="shared" si="64"/>
        <v>12.440000000000001</v>
      </c>
      <c r="EK5" s="41">
        <f t="shared" si="65"/>
        <v>127.5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5</v>
      </c>
      <c r="IK5" s="17">
        <v>2.7</v>
      </c>
      <c r="IL5" s="17">
        <v>5.0999999999999996</v>
      </c>
      <c r="IM5" s="17">
        <v>5.37</v>
      </c>
      <c r="IN5" s="17">
        <v>0</v>
      </c>
      <c r="IO5" s="17">
        <v>15.2</v>
      </c>
      <c r="IP5" s="17">
        <v>9.1999999999999993</v>
      </c>
      <c r="IQ5" s="17">
        <v>15.6</v>
      </c>
      <c r="IR5" s="17">
        <v>17.079999999999998</v>
      </c>
      <c r="IS5" s="17">
        <v>0</v>
      </c>
      <c r="IT5" s="17"/>
      <c r="IU5" s="17"/>
      <c r="IV5" s="17"/>
      <c r="IW5" s="17"/>
      <c r="IX5" s="17"/>
      <c r="IY5" s="17">
        <v>1.8</v>
      </c>
      <c r="IZ5" s="17">
        <v>0.9</v>
      </c>
      <c r="JA5" s="17">
        <v>2</v>
      </c>
      <c r="JB5" s="17">
        <v>1.71</v>
      </c>
      <c r="JC5" s="17">
        <v>0</v>
      </c>
      <c r="JD5" s="41">
        <f t="shared" si="108"/>
        <v>5.0999999999999996</v>
      </c>
      <c r="JE5" s="41">
        <f t="shared" si="109"/>
        <v>5.37</v>
      </c>
      <c r="JF5" s="41">
        <f t="shared" si="110"/>
        <v>18.170000000000002</v>
      </c>
      <c r="JG5" s="41">
        <f t="shared" si="111"/>
        <v>15.6</v>
      </c>
      <c r="JH5" s="41">
        <f t="shared" si="112"/>
        <v>17.079999999999998</v>
      </c>
      <c r="JI5" s="41">
        <f t="shared" si="113"/>
        <v>57.08</v>
      </c>
      <c r="JJ5" s="41">
        <f t="shared" si="114"/>
        <v>57.08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>
        <f t="shared" si="118"/>
        <v>2</v>
      </c>
      <c r="JO5" s="41">
        <f t="shared" si="119"/>
        <v>1.71</v>
      </c>
      <c r="JP5" s="41">
        <f t="shared" si="120"/>
        <v>6.41</v>
      </c>
      <c r="JQ5" s="41">
        <f t="shared" si="121"/>
        <v>63.489999999999995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15.6</v>
      </c>
      <c r="KH5" s="18">
        <v>8.9</v>
      </c>
      <c r="KI5" s="18">
        <v>15.6</v>
      </c>
      <c r="KJ5" s="18">
        <v>17.05</v>
      </c>
      <c r="KK5" s="18">
        <v>0</v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>
        <f t="shared" si="132"/>
        <v>15.6</v>
      </c>
      <c r="KW5" s="11">
        <f t="shared" si="133"/>
        <v>17.05</v>
      </c>
      <c r="KX5" s="11">
        <f t="shared" si="134"/>
        <v>57.150000000000006</v>
      </c>
      <c r="KY5" s="11">
        <f t="shared" si="135"/>
        <v>57.150000000000006</v>
      </c>
      <c r="KZ5" s="17">
        <v>10.8</v>
      </c>
      <c r="LA5" s="17">
        <v>6.3</v>
      </c>
      <c r="LB5" s="17">
        <v>12.2</v>
      </c>
      <c r="LC5" s="17">
        <v>12.18</v>
      </c>
      <c r="LD5" s="17">
        <v>0</v>
      </c>
      <c r="LE5" s="17">
        <v>14.5</v>
      </c>
      <c r="LF5" s="17">
        <v>9.1</v>
      </c>
      <c r="LG5" s="17">
        <v>16</v>
      </c>
      <c r="LH5" s="17">
        <v>16.62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 t="shared" si="136"/>
        <v>12.2</v>
      </c>
      <c r="LU5" s="41">
        <f t="shared" si="137"/>
        <v>12.18</v>
      </c>
      <c r="LV5" s="41">
        <f t="shared" si="138"/>
        <v>41.480000000000004</v>
      </c>
      <c r="LW5" s="41">
        <f t="shared" si="139"/>
        <v>16</v>
      </c>
      <c r="LX5" s="41">
        <f t="shared" si="140"/>
        <v>16.62</v>
      </c>
      <c r="LY5" s="41">
        <f t="shared" si="141"/>
        <v>56.22</v>
      </c>
      <c r="LZ5" s="41">
        <f t="shared" si="142"/>
        <v>56.22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>
        <f t="shared" si="149"/>
        <v>56.22</v>
      </c>
      <c r="MH5" s="18">
        <v>14.6</v>
      </c>
      <c r="MI5" s="18">
        <v>9.3000000000000007</v>
      </c>
      <c r="MJ5" s="18">
        <v>17.100000000000001</v>
      </c>
      <c r="MK5" s="18">
        <v>17.100000000000001</v>
      </c>
      <c r="ML5" s="18">
        <v>0</v>
      </c>
      <c r="MM5" s="18">
        <v>14.4</v>
      </c>
      <c r="MN5" s="18">
        <v>9.1</v>
      </c>
      <c r="MO5" s="18">
        <v>16.100000000000001</v>
      </c>
      <c r="MP5" s="18">
        <v>16.760000000000002</v>
      </c>
      <c r="MQ5" s="18">
        <v>0</v>
      </c>
      <c r="MR5" s="18">
        <v>1.6</v>
      </c>
      <c r="MS5" s="18">
        <v>0.9</v>
      </c>
      <c r="MT5" s="18">
        <v>2.2000000000000002</v>
      </c>
      <c r="MU5" s="18">
        <v>1.77</v>
      </c>
      <c r="MV5" s="18">
        <v>0</v>
      </c>
      <c r="MW5" s="18"/>
      <c r="MX5" s="18"/>
      <c r="MY5" s="18"/>
      <c r="MZ5" s="18"/>
      <c r="NA5" s="18"/>
      <c r="NB5" s="11">
        <f t="shared" si="150"/>
        <v>17.100000000000001</v>
      </c>
      <c r="NC5" s="11">
        <f t="shared" si="151"/>
        <v>17.100000000000001</v>
      </c>
      <c r="ND5" s="11">
        <f t="shared" si="152"/>
        <v>58.1</v>
      </c>
      <c r="NE5" s="11">
        <f t="shared" si="153"/>
        <v>16.100000000000001</v>
      </c>
      <c r="NF5" s="11">
        <f t="shared" si="154"/>
        <v>16.760000000000002</v>
      </c>
      <c r="NG5" s="11">
        <f t="shared" si="155"/>
        <v>56.36</v>
      </c>
      <c r="NH5" s="11">
        <f t="shared" si="156"/>
        <v>58.1</v>
      </c>
      <c r="NI5" s="11">
        <f t="shared" si="157"/>
        <v>2.2000000000000002</v>
      </c>
      <c r="NJ5" s="11">
        <f t="shared" si="158"/>
        <v>1.77</v>
      </c>
      <c r="NK5" s="11">
        <f t="shared" si="159"/>
        <v>6.4700000000000006</v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>
        <f t="shared" si="163"/>
        <v>64.570000000000007</v>
      </c>
      <c r="NP5" s="17">
        <v>15.1</v>
      </c>
      <c r="NQ5" s="17">
        <v>9.5</v>
      </c>
      <c r="NR5" s="17">
        <v>17.100000000000001</v>
      </c>
      <c r="NS5" s="17">
        <v>16.75</v>
      </c>
      <c r="NT5" s="17">
        <v>0</v>
      </c>
      <c r="NU5" s="17">
        <v>1.6</v>
      </c>
      <c r="NV5" s="17">
        <v>1</v>
      </c>
      <c r="NW5" s="17">
        <v>2.2000000000000002</v>
      </c>
      <c r="NX5" s="17">
        <v>1.8</v>
      </c>
      <c r="NY5" s="17">
        <v>0</v>
      </c>
      <c r="NZ5" s="17">
        <v>14.3</v>
      </c>
      <c r="OA5" s="17">
        <v>9</v>
      </c>
      <c r="OB5" s="17">
        <v>16.100000000000001</v>
      </c>
      <c r="OC5" s="17">
        <v>16.579999999999998</v>
      </c>
      <c r="OD5" s="17"/>
      <c r="OE5" s="17"/>
      <c r="OF5" s="17"/>
      <c r="OG5" s="17"/>
      <c r="OH5" s="17"/>
      <c r="OI5" s="17"/>
      <c r="OJ5" s="41">
        <f t="shared" si="164"/>
        <v>17.100000000000001</v>
      </c>
      <c r="OK5" s="41">
        <f t="shared" si="165"/>
        <v>16.75</v>
      </c>
      <c r="OL5" s="41">
        <f t="shared" si="166"/>
        <v>58.45</v>
      </c>
      <c r="OM5" s="41">
        <f t="shared" si="167"/>
        <v>2.2000000000000002</v>
      </c>
      <c r="ON5" s="41">
        <f t="shared" si="168"/>
        <v>1.8</v>
      </c>
      <c r="OO5" s="41">
        <f t="shared" si="169"/>
        <v>6.6000000000000005</v>
      </c>
      <c r="OP5" s="41">
        <f t="shared" si="170"/>
        <v>58.45</v>
      </c>
      <c r="OQ5" s="41">
        <f t="shared" si="171"/>
        <v>16.100000000000001</v>
      </c>
      <c r="OR5" s="41">
        <f t="shared" si="172"/>
        <v>16.579999999999998</v>
      </c>
      <c r="OS5" s="41">
        <f t="shared" si="173"/>
        <v>55.980000000000004</v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>
        <f t="shared" si="177"/>
        <v>114.43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8.5500000000000007</v>
      </c>
      <c r="SW5" s="23">
        <f t="shared" si="221"/>
        <v>5</v>
      </c>
      <c r="SX5" s="23">
        <f t="shared" si="222"/>
        <v>9.65</v>
      </c>
      <c r="SY5" s="23">
        <f t="shared" si="223"/>
        <v>9.5300000000000011</v>
      </c>
      <c r="SZ5" s="23">
        <f t="shared" si="224"/>
        <v>0</v>
      </c>
      <c r="TA5" s="23">
        <f t="shared" si="225"/>
        <v>15.05</v>
      </c>
      <c r="TB5" s="23">
        <f t="shared" si="226"/>
        <v>9.15</v>
      </c>
      <c r="TC5" s="23">
        <f t="shared" si="227"/>
        <v>16.5</v>
      </c>
      <c r="TD5" s="23">
        <f t="shared" si="228"/>
        <v>16.655000000000001</v>
      </c>
      <c r="TE5" s="23">
        <f t="shared" si="229"/>
        <v>0</v>
      </c>
      <c r="TF5" s="23">
        <f t="shared" si="230"/>
        <v>15.3</v>
      </c>
      <c r="TG5" s="23">
        <f t="shared" si="231"/>
        <v>9.25</v>
      </c>
      <c r="TH5" s="23">
        <f t="shared" si="232"/>
        <v>17.3</v>
      </c>
      <c r="TI5" s="23">
        <f t="shared" si="233"/>
        <v>16.844999999999999</v>
      </c>
      <c r="TJ5" s="23">
        <f t="shared" si="234"/>
        <v>0</v>
      </c>
      <c r="TK5" s="28" t="s">
        <v>57</v>
      </c>
      <c r="TL5" s="41">
        <f t="shared" si="235"/>
        <v>9.65</v>
      </c>
      <c r="TM5" s="41">
        <f t="shared" si="236"/>
        <v>9.5300000000000011</v>
      </c>
      <c r="TN5" s="41">
        <f t="shared" si="237"/>
        <v>32.730000000000004</v>
      </c>
      <c r="TO5" s="41">
        <f t="shared" si="238"/>
        <v>16.5</v>
      </c>
      <c r="TP5" s="41">
        <f t="shared" si="239"/>
        <v>16.655000000000001</v>
      </c>
      <c r="TQ5" s="41">
        <f t="shared" si="240"/>
        <v>57.355000000000004</v>
      </c>
      <c r="TR5" s="41">
        <f t="shared" si="241"/>
        <v>57.355000000000004</v>
      </c>
      <c r="TS5" s="41">
        <f t="shared" si="242"/>
        <v>17.3</v>
      </c>
      <c r="TT5" s="41">
        <f t="shared" si="243"/>
        <v>16.844999999999999</v>
      </c>
      <c r="TU5" s="41">
        <f t="shared" si="244"/>
        <v>58.695</v>
      </c>
      <c r="TV5" s="41">
        <f t="shared" si="245"/>
        <v>116.05000000000001</v>
      </c>
    </row>
    <row r="6" spans="1:542" x14ac:dyDescent="0.2">
      <c r="A6" s="4" cm="1">
        <f t="array" ref="A6">IF(AND(H6&lt;&gt;"",H6&lt;&gt;"No DD"),SUMPRODUCT((H$4:H$24&lt;&gt;"")*(H$4:H$24&lt;&gt;"No DD")*(E$4:E$24&gt;E6))+1,IF(H6="No DD",SUMPRODUCT((H$4:H$24="No DD")*(E$4:E$24&gt;E6))+1+SUMPRODUCT((H$4:H$24&lt;&gt;"")*(H$4:H$24&lt;&gt;"No DD")),""))</f>
        <v>3</v>
      </c>
      <c r="B6" s="5" t="s">
        <v>4</v>
      </c>
      <c r="C6" s="4" t="s">
        <v>5</v>
      </c>
      <c r="D6" s="4">
        <v>1992</v>
      </c>
      <c r="E6" s="9">
        <f t="shared" si="0"/>
        <v>267.2200267220058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58.67</v>
      </c>
      <c r="K6" s="8" t="str">
        <f t="shared" si="5"/>
        <v>2023 Domestic 3rd Trial</v>
      </c>
      <c r="L6" s="8">
        <f>IF(COUNT(AQ6,AT6,BR6,BU6,CS6,CV6)&gt;1,LARGE((AQ6,AT6,BR6,BU6,CS6,CV6),2),0)</f>
        <v>58.295000000000002</v>
      </c>
      <c r="M6" s="8" t="str">
        <f t="shared" si="6"/>
        <v>2023 Elite Canada</v>
      </c>
      <c r="N6" s="8">
        <f>IF(COUNT(AQ6,AT6,BR6,BU6,CS6,CV6)&gt;2,LARGE((AQ6,AT6,BR6,BU6,CS6,CV6),3),0)</f>
        <v>58.25</v>
      </c>
      <c r="O6" s="8" t="str">
        <f t="shared" si="7"/>
        <v>2023 Nationals</v>
      </c>
      <c r="P6" s="8">
        <f t="shared" si="8"/>
        <v>58.160000000000004</v>
      </c>
      <c r="Q6" s="8" t="str">
        <f t="shared" si="9"/>
        <v>2023 Elite Canada</v>
      </c>
      <c r="R6" s="8">
        <f t="shared" si="10"/>
        <v>17.100000000000001</v>
      </c>
      <c r="S6" s="8" t="str">
        <f t="shared" si="11"/>
        <v>2023 Domestic 3rd Trial</v>
      </c>
      <c r="T6" s="8">
        <f t="shared" si="12"/>
        <v>16.745000000000001</v>
      </c>
      <c r="U6" s="8" t="str">
        <f t="shared" si="13"/>
        <v>2023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 t="shared" si="17"/>
        <v>16.149999999999999</v>
      </c>
      <c r="AP6" s="39">
        <f t="shared" si="18"/>
        <v>16.745000000000001</v>
      </c>
      <c r="AQ6" s="41">
        <f t="shared" si="19"/>
        <v>58.295000000000002</v>
      </c>
      <c r="AR6" s="41">
        <f t="shared" si="20"/>
        <v>16.3</v>
      </c>
      <c r="AS6" s="41">
        <f t="shared" si="21"/>
        <v>16.125</v>
      </c>
      <c r="AT6" s="41">
        <f t="shared" si="22"/>
        <v>57.075000000000003</v>
      </c>
      <c r="AU6" s="41">
        <f t="shared" si="23"/>
        <v>58.295000000000002</v>
      </c>
      <c r="AV6" s="41">
        <f t="shared" si="24"/>
        <v>16.25</v>
      </c>
      <c r="AW6" s="41">
        <f t="shared" si="25"/>
        <v>16.259999999999998</v>
      </c>
      <c r="AX6" s="41">
        <f t="shared" si="26"/>
        <v>58.160000000000004</v>
      </c>
      <c r="AY6" s="41">
        <f t="shared" si="27"/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 t="shared" si="28"/>
        <v>8</v>
      </c>
      <c r="BQ6" s="40">
        <f t="shared" si="29"/>
        <v>8.58</v>
      </c>
      <c r="BR6" s="11">
        <f t="shared" si="30"/>
        <v>30.18</v>
      </c>
      <c r="BS6" s="11">
        <f t="shared" si="31"/>
        <v>15.2</v>
      </c>
      <c r="BT6" s="11">
        <f t="shared" si="32"/>
        <v>16.45</v>
      </c>
      <c r="BU6" s="11">
        <f t="shared" si="33"/>
        <v>58.25</v>
      </c>
      <c r="BV6" s="11">
        <f t="shared" si="34"/>
        <v>58.25</v>
      </c>
      <c r="BW6" s="11">
        <f t="shared" si="35"/>
        <v>2</v>
      </c>
      <c r="BX6" s="11">
        <f t="shared" si="36"/>
        <v>1.82</v>
      </c>
      <c r="BY6" s="11">
        <f t="shared" si="37"/>
        <v>6.7200000000000006</v>
      </c>
      <c r="BZ6" s="11">
        <f t="shared" si="38"/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 t="shared" si="39"/>
        <v>17.100000000000001</v>
      </c>
      <c r="CR6" s="39">
        <f t="shared" si="40"/>
        <v>16.57</v>
      </c>
      <c r="CS6" s="41">
        <f t="shared" si="41"/>
        <v>58.67</v>
      </c>
      <c r="CT6" s="41">
        <f t="shared" si="42"/>
        <v>16.899999999999999</v>
      </c>
      <c r="CU6" s="41">
        <f t="shared" si="43"/>
        <v>16.190000000000001</v>
      </c>
      <c r="CV6" s="41">
        <f t="shared" si="44"/>
        <v>57.59</v>
      </c>
      <c r="CW6" s="41">
        <f t="shared" si="45"/>
        <v>58.67</v>
      </c>
      <c r="CX6" s="41">
        <f t="shared" si="46"/>
        <v>17.100000000000001</v>
      </c>
      <c r="CY6" s="41">
        <f t="shared" si="47"/>
        <v>16.61</v>
      </c>
      <c r="CZ6" s="41">
        <f t="shared" si="48"/>
        <v>57.809999999999995</v>
      </c>
      <c r="DA6" s="41">
        <f t="shared" si="49"/>
        <v>116.47999999999999</v>
      </c>
      <c r="DB6" s="52" t="str">
        <f t="shared" si="50"/>
        <v/>
      </c>
      <c r="DC6" s="52" t="str">
        <f t="shared" si="51"/>
        <v/>
      </c>
      <c r="DD6" s="17">
        <v>3.2</v>
      </c>
      <c r="DE6" s="17">
        <v>1.5</v>
      </c>
      <c r="DF6" s="17">
        <v>3.6</v>
      </c>
      <c r="DG6" s="17">
        <v>3.56</v>
      </c>
      <c r="DH6" s="17">
        <v>0</v>
      </c>
      <c r="DI6" s="17">
        <v>1.4</v>
      </c>
      <c r="DJ6" s="17">
        <v>1</v>
      </c>
      <c r="DK6" s="17">
        <v>2.2000000000000002</v>
      </c>
      <c r="DL6" s="17">
        <v>1.8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 t="shared" si="52"/>
        <v>3.6</v>
      </c>
      <c r="DY6" s="41">
        <f t="shared" si="53"/>
        <v>3.56</v>
      </c>
      <c r="DZ6" s="41">
        <f t="shared" si="54"/>
        <v>11.860000000000001</v>
      </c>
      <c r="EA6" s="41">
        <f t="shared" si="55"/>
        <v>2.2000000000000002</v>
      </c>
      <c r="EB6" s="41">
        <f t="shared" si="56"/>
        <v>1.8</v>
      </c>
      <c r="EC6" s="41">
        <f t="shared" si="57"/>
        <v>6.3999999999999995</v>
      </c>
      <c r="ED6" s="41">
        <f t="shared" si="58"/>
        <v>11.860000000000001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11.860000000000001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14.5</v>
      </c>
      <c r="IK6" s="17">
        <v>8.5</v>
      </c>
      <c r="IL6" s="17">
        <v>13.2</v>
      </c>
      <c r="IM6" s="17">
        <v>15.64</v>
      </c>
      <c r="IN6" s="17">
        <v>0</v>
      </c>
      <c r="IO6" s="17">
        <v>15.9</v>
      </c>
      <c r="IP6" s="17">
        <v>9.1999999999999993</v>
      </c>
      <c r="IQ6" s="17">
        <v>15</v>
      </c>
      <c r="IR6" s="17">
        <v>15.96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 t="shared" si="108"/>
        <v>13.2</v>
      </c>
      <c r="JE6" s="41">
        <f t="shared" si="109"/>
        <v>15.64</v>
      </c>
      <c r="JF6" s="41">
        <f t="shared" si="110"/>
        <v>51.84</v>
      </c>
      <c r="JG6" s="41">
        <f t="shared" si="111"/>
        <v>15</v>
      </c>
      <c r="JH6" s="41">
        <f t="shared" si="112"/>
        <v>15.96</v>
      </c>
      <c r="JI6" s="41">
        <f t="shared" si="113"/>
        <v>56.06</v>
      </c>
      <c r="JJ6" s="41">
        <f t="shared" si="114"/>
        <v>56.06</v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56.06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16.399999999999999</v>
      </c>
      <c r="KH6" s="18">
        <v>9.8000000000000007</v>
      </c>
      <c r="KI6" s="18">
        <v>15.2</v>
      </c>
      <c r="KJ6" s="18">
        <v>16.190000000000001</v>
      </c>
      <c r="KK6" s="18">
        <v>0</v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>
        <f t="shared" si="132"/>
        <v>15.2</v>
      </c>
      <c r="KW6" s="11">
        <f t="shared" si="133"/>
        <v>16.190000000000001</v>
      </c>
      <c r="KX6" s="11">
        <f t="shared" si="134"/>
        <v>57.59</v>
      </c>
      <c r="KY6" s="11">
        <f t="shared" si="135"/>
        <v>57.59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>
        <v>9.4</v>
      </c>
      <c r="MI6" s="18">
        <v>5.5</v>
      </c>
      <c r="MJ6" s="18">
        <v>10.1</v>
      </c>
      <c r="MK6" s="18">
        <v>9.9600000000000009</v>
      </c>
      <c r="ML6" s="18">
        <v>0</v>
      </c>
      <c r="MM6" s="18">
        <v>12.7</v>
      </c>
      <c r="MN6" s="18">
        <v>7.5</v>
      </c>
      <c r="MO6" s="18">
        <v>13</v>
      </c>
      <c r="MP6" s="18">
        <v>13.39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 t="shared" si="150"/>
        <v>10.1</v>
      </c>
      <c r="NC6" s="11">
        <f t="shared" si="151"/>
        <v>9.9600000000000009</v>
      </c>
      <c r="ND6" s="11">
        <f t="shared" si="152"/>
        <v>34.96</v>
      </c>
      <c r="NE6" s="11">
        <f t="shared" si="153"/>
        <v>13</v>
      </c>
      <c r="NF6" s="11">
        <f t="shared" si="154"/>
        <v>13.39</v>
      </c>
      <c r="NG6" s="11">
        <f t="shared" si="155"/>
        <v>46.59</v>
      </c>
      <c r="NH6" s="11">
        <f t="shared" si="156"/>
        <v>46.59</v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>
        <f t="shared" si="163"/>
        <v>46.59</v>
      </c>
      <c r="NP6" s="17">
        <v>11.2</v>
      </c>
      <c r="NQ6" s="17">
        <v>7.1</v>
      </c>
      <c r="NR6" s="17">
        <v>12.6</v>
      </c>
      <c r="NS6" s="17">
        <v>13.01</v>
      </c>
      <c r="NT6" s="17">
        <v>0</v>
      </c>
      <c r="NU6" s="17">
        <v>14.3</v>
      </c>
      <c r="NV6" s="17">
        <v>9.3000000000000007</v>
      </c>
      <c r="NW6" s="17">
        <v>16.100000000000001</v>
      </c>
      <c r="NX6" s="17">
        <v>16.12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 t="shared" si="164"/>
        <v>12.6</v>
      </c>
      <c r="OK6" s="41">
        <f t="shared" si="165"/>
        <v>13.01</v>
      </c>
      <c r="OL6" s="41">
        <f t="shared" si="166"/>
        <v>43.91</v>
      </c>
      <c r="OM6" s="41">
        <f t="shared" si="167"/>
        <v>16.100000000000001</v>
      </c>
      <c r="ON6" s="41">
        <f t="shared" si="168"/>
        <v>16.12</v>
      </c>
      <c r="OO6" s="41">
        <f t="shared" si="169"/>
        <v>55.820000000000007</v>
      </c>
      <c r="OP6" s="41">
        <f t="shared" si="170"/>
        <v>55.820000000000007</v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>
        <f t="shared" si="177"/>
        <v>55.820000000000007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12.25</v>
      </c>
      <c r="SW6" s="23">
        <f t="shared" si="221"/>
        <v>7.0500000000000007</v>
      </c>
      <c r="SX6" s="23">
        <f t="shared" si="222"/>
        <v>12.55</v>
      </c>
      <c r="SY6" s="23">
        <f t="shared" si="223"/>
        <v>12.574999999999999</v>
      </c>
      <c r="SZ6" s="23">
        <f t="shared" si="224"/>
        <v>0</v>
      </c>
      <c r="TA6" s="23">
        <f t="shared" si="225"/>
        <v>16.100000000000001</v>
      </c>
      <c r="TB6" s="23">
        <f t="shared" si="226"/>
        <v>9.4499999999999993</v>
      </c>
      <c r="TC6" s="23">
        <f t="shared" si="227"/>
        <v>16.049999999999997</v>
      </c>
      <c r="TD6" s="23">
        <f t="shared" si="228"/>
        <v>16.32</v>
      </c>
      <c r="TE6" s="23">
        <f t="shared" si="229"/>
        <v>0</v>
      </c>
      <c r="TF6" s="23">
        <f t="shared" si="230"/>
        <v>8.5499999999999989</v>
      </c>
      <c r="TG6" s="23">
        <f t="shared" si="231"/>
        <v>5.05</v>
      </c>
      <c r="TH6" s="23">
        <f t="shared" si="232"/>
        <v>9.5500000000000007</v>
      </c>
      <c r="TI6" s="23">
        <f t="shared" si="233"/>
        <v>9.2149999999999999</v>
      </c>
      <c r="TJ6" s="23">
        <f t="shared" si="234"/>
        <v>0.1</v>
      </c>
      <c r="TK6" s="28" t="s">
        <v>57</v>
      </c>
      <c r="TL6" s="41">
        <f t="shared" si="235"/>
        <v>12.55</v>
      </c>
      <c r="TM6" s="41">
        <f t="shared" si="236"/>
        <v>12.574999999999999</v>
      </c>
      <c r="TN6" s="41">
        <f t="shared" si="237"/>
        <v>44.424999999999997</v>
      </c>
      <c r="TO6" s="41">
        <f t="shared" si="238"/>
        <v>16.049999999999997</v>
      </c>
      <c r="TP6" s="41">
        <f t="shared" si="239"/>
        <v>16.32</v>
      </c>
      <c r="TQ6" s="41">
        <f t="shared" si="240"/>
        <v>57.919999999999995</v>
      </c>
      <c r="TR6" s="41">
        <f t="shared" si="241"/>
        <v>57.919999999999995</v>
      </c>
      <c r="TS6" s="41">
        <f t="shared" si="242"/>
        <v>9.5500000000000007</v>
      </c>
      <c r="TT6" s="41">
        <f t="shared" si="243"/>
        <v>9.2149999999999999</v>
      </c>
      <c r="TU6" s="41">
        <f t="shared" si="244"/>
        <v>32.264999999999993</v>
      </c>
      <c r="TV6" s="41">
        <f t="shared" si="245"/>
        <v>90.184999999999988</v>
      </c>
    </row>
    <row r="7" spans="1:542" x14ac:dyDescent="0.2">
      <c r="A7" s="4" cm="1">
        <f t="array" ref="A7">IF(AND(H7&lt;&gt;"",H7&lt;&gt;"No DD"),SUMPRODUCT((H$4:H$24&lt;&gt;"")*(H$4:H$24&lt;&gt;"No DD")*(E$4:E$24&gt;E7))+1,IF(H7="No DD",SUMPRODUCT((H$4:H$24="No DD")*(E$4:E$24&gt;E7))+1+SUMPRODUCT((H$4:H$24&lt;&gt;"")*(H$4:H$24&lt;&gt;"No DD")),""))</f>
        <v>4</v>
      </c>
      <c r="B7" s="5" t="s">
        <v>7</v>
      </c>
      <c r="C7" s="4" t="s">
        <v>3</v>
      </c>
      <c r="D7" s="4">
        <v>1997</v>
      </c>
      <c r="E7" s="9">
        <f t="shared" si="0"/>
        <v>259.61002590400579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58.109999999999992</v>
      </c>
      <c r="K7" s="8" t="str">
        <f t="shared" si="5"/>
        <v>2023 Domestic 3rd Trial</v>
      </c>
      <c r="L7" s="8">
        <f>IF(COUNT(AQ7,AT7,BR7,BU7,CS7,CV7)&gt;1,LARGE((AQ7,AT7,BR7,BU7,CS7,CV7),2),0)</f>
        <v>55.940000000000005</v>
      </c>
      <c r="M7" s="8" t="str">
        <f t="shared" si="6"/>
        <v>2023 Domestic 3rd Trial</v>
      </c>
      <c r="N7" s="8">
        <f>IF(COUNT(AQ7,AT7,BR7,BU7,CS7,CV7)&gt;2,LARGE((AQ7,AT7,BR7,BU7,CS7,CV7),3),0)</f>
        <v>55.5</v>
      </c>
      <c r="O7" s="8" t="str">
        <f t="shared" si="7"/>
        <v>2023 Nationals</v>
      </c>
      <c r="P7" s="8">
        <f t="shared" si="8"/>
        <v>56.580000000000005</v>
      </c>
      <c r="Q7" s="8" t="str">
        <f t="shared" si="9"/>
        <v>2023 Elite Canada</v>
      </c>
      <c r="R7" s="8">
        <f t="shared" si="10"/>
        <v>16.2</v>
      </c>
      <c r="S7" s="8" t="str">
        <f t="shared" si="11"/>
        <v>2023 Domestic 3rd Trial</v>
      </c>
      <c r="T7" s="8">
        <f t="shared" si="12"/>
        <v>16.71</v>
      </c>
      <c r="U7" s="8" t="str">
        <f t="shared" si="13"/>
        <v>2023 Domestic 3rd Trial</v>
      </c>
      <c r="V7" s="8">
        <f t="shared" si="14"/>
        <v>0.57000000000000028</v>
      </c>
      <c r="W7" s="11" t="str">
        <f t="shared" si="15"/>
        <v>(Prelim)</v>
      </c>
      <c r="X7" s="8" t="str">
        <f t="shared" si="16"/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 t="shared" si="17"/>
        <v>15.6</v>
      </c>
      <c r="AP7" s="39">
        <f t="shared" si="18"/>
        <v>15.38</v>
      </c>
      <c r="AQ7" s="41">
        <f t="shared" si="19"/>
        <v>54.080000000000005</v>
      </c>
      <c r="AR7" s="41">
        <f t="shared" si="20"/>
        <v>3.8</v>
      </c>
      <c r="AS7" s="41">
        <f t="shared" si="21"/>
        <v>3.38</v>
      </c>
      <c r="AT7" s="41">
        <f t="shared" si="22"/>
        <v>27.779999999999998</v>
      </c>
      <c r="AU7" s="41">
        <f t="shared" si="23"/>
        <v>54.080000000000005</v>
      </c>
      <c r="AV7" s="41">
        <f t="shared" si="24"/>
        <v>16.2</v>
      </c>
      <c r="AW7" s="41">
        <f t="shared" si="25"/>
        <v>15.88</v>
      </c>
      <c r="AX7" s="41">
        <f t="shared" si="26"/>
        <v>56.580000000000005</v>
      </c>
      <c r="AY7" s="41">
        <f t="shared" si="27"/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 t="shared" si="28"/>
        <v>16.2</v>
      </c>
      <c r="BQ7" s="40">
        <f t="shared" si="29"/>
        <v>15.8</v>
      </c>
      <c r="BR7" s="11">
        <f t="shared" si="30"/>
        <v>55.5</v>
      </c>
      <c r="BS7" s="11">
        <f t="shared" si="31"/>
        <v>2</v>
      </c>
      <c r="BT7" s="11">
        <f t="shared" si="32"/>
        <v>1.76</v>
      </c>
      <c r="BU7" s="11">
        <f t="shared" si="33"/>
        <v>5.9599999999999991</v>
      </c>
      <c r="BV7" s="11">
        <f t="shared" si="34"/>
        <v>55.5</v>
      </c>
      <c r="BW7" s="11" t="str">
        <f t="shared" si="35"/>
        <v/>
      </c>
      <c r="BX7" s="11" t="str">
        <f t="shared" si="36"/>
        <v/>
      </c>
      <c r="BY7" s="11" t="str">
        <f t="shared" si="37"/>
        <v/>
      </c>
      <c r="BZ7" s="11">
        <f t="shared" si="38"/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 t="shared" si="39"/>
        <v>16.100000000000001</v>
      </c>
      <c r="CR7" s="39">
        <f t="shared" si="40"/>
        <v>15.74</v>
      </c>
      <c r="CS7" s="41">
        <f t="shared" si="41"/>
        <v>55.940000000000005</v>
      </c>
      <c r="CT7" s="41">
        <f t="shared" si="42"/>
        <v>16.2</v>
      </c>
      <c r="CU7" s="41">
        <f t="shared" si="43"/>
        <v>16.71</v>
      </c>
      <c r="CV7" s="41">
        <f t="shared" si="44"/>
        <v>58.109999999999992</v>
      </c>
      <c r="CW7" s="41">
        <f t="shared" si="45"/>
        <v>58.109999999999992</v>
      </c>
      <c r="CX7" s="41">
        <f t="shared" si="46"/>
        <v>5.6</v>
      </c>
      <c r="CY7" s="41">
        <f t="shared" si="47"/>
        <v>5.13</v>
      </c>
      <c r="CZ7" s="41">
        <f t="shared" si="48"/>
        <v>17.53</v>
      </c>
      <c r="DA7" s="41">
        <f t="shared" si="49"/>
        <v>75.639999999999986</v>
      </c>
      <c r="DB7" s="52">
        <f t="shared" si="50"/>
        <v>0.57000000000000028</v>
      </c>
      <c r="DC7" s="52" t="str">
        <f t="shared" si="51"/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 t="shared" si="52"/>
        <v>15.8</v>
      </c>
      <c r="DY7" s="41">
        <f t="shared" si="53"/>
        <v>15.14</v>
      </c>
      <c r="DZ7" s="41">
        <f t="shared" si="54"/>
        <v>53.34</v>
      </c>
      <c r="EA7" s="41">
        <f t="shared" si="55"/>
        <v>5.5</v>
      </c>
      <c r="EB7" s="41">
        <f t="shared" si="56"/>
        <v>5</v>
      </c>
      <c r="EC7" s="41">
        <f t="shared" si="57"/>
        <v>17.2</v>
      </c>
      <c r="ED7" s="41">
        <f t="shared" si="58"/>
        <v>53.34</v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10</v>
      </c>
      <c r="JE7" s="41">
        <f t="shared" si="109"/>
        <v>9.76</v>
      </c>
      <c r="JF7" s="41">
        <f t="shared" si="110"/>
        <v>34.46</v>
      </c>
      <c r="JG7" s="41">
        <f t="shared" si="111"/>
        <v>16.2</v>
      </c>
      <c r="JH7" s="41">
        <f t="shared" si="112"/>
        <v>15.34</v>
      </c>
      <c r="JI7" s="41">
        <f t="shared" si="113"/>
        <v>54.84</v>
      </c>
      <c r="JJ7" s="41">
        <f t="shared" si="114"/>
        <v>54.84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 t="shared" si="136"/>
        <v>3.8</v>
      </c>
      <c r="LU7" s="41">
        <f t="shared" si="137"/>
        <v>3.46</v>
      </c>
      <c r="LV7" s="41">
        <f t="shared" si="138"/>
        <v>11.86</v>
      </c>
      <c r="LW7" s="41">
        <f t="shared" si="139"/>
        <v>15.8</v>
      </c>
      <c r="LX7" s="41">
        <f t="shared" si="140"/>
        <v>15.57</v>
      </c>
      <c r="LY7" s="41">
        <f t="shared" si="141"/>
        <v>54.470000000000006</v>
      </c>
      <c r="LZ7" s="41">
        <f t="shared" si="142"/>
        <v>54.470000000000006</v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>
        <f t="shared" si="149"/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 t="shared" si="150"/>
        <v>16.2</v>
      </c>
      <c r="NC7" s="11">
        <f t="shared" si="151"/>
        <v>16.07</v>
      </c>
      <c r="ND7" s="11">
        <f t="shared" si="152"/>
        <v>56.07</v>
      </c>
      <c r="NE7" s="11">
        <f t="shared" si="153"/>
        <v>15.8</v>
      </c>
      <c r="NF7" s="11">
        <f t="shared" si="154"/>
        <v>15.28</v>
      </c>
      <c r="NG7" s="11">
        <f t="shared" si="155"/>
        <v>53.78</v>
      </c>
      <c r="NH7" s="11">
        <f t="shared" si="156"/>
        <v>56.07</v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>
        <f t="shared" si="163"/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14.649999999999999</v>
      </c>
      <c r="SW7" s="23">
        <f t="shared" si="221"/>
        <v>9.15</v>
      </c>
      <c r="SX7" s="23">
        <f t="shared" si="222"/>
        <v>16.149999999999999</v>
      </c>
      <c r="SY7" s="23">
        <f t="shared" si="223"/>
        <v>15.77</v>
      </c>
      <c r="SZ7" s="23">
        <f t="shared" si="224"/>
        <v>0</v>
      </c>
      <c r="TA7" s="23">
        <f t="shared" si="225"/>
        <v>8.6</v>
      </c>
      <c r="TB7" s="23">
        <f t="shared" si="226"/>
        <v>5.4</v>
      </c>
      <c r="TC7" s="23">
        <f t="shared" si="227"/>
        <v>9.1</v>
      </c>
      <c r="TD7" s="23">
        <f t="shared" si="228"/>
        <v>9.2350000000000012</v>
      </c>
      <c r="TE7" s="23">
        <f t="shared" si="229"/>
        <v>0.30000000000000004</v>
      </c>
      <c r="TF7" s="23">
        <f t="shared" si="230"/>
        <v>2.1</v>
      </c>
      <c r="TG7" s="23">
        <f t="shared" si="231"/>
        <v>1.3</v>
      </c>
      <c r="TH7" s="23">
        <f t="shared" si="232"/>
        <v>2.8</v>
      </c>
      <c r="TI7" s="23">
        <f t="shared" si="233"/>
        <v>2.5649999999999999</v>
      </c>
      <c r="TJ7" s="23">
        <f t="shared" si="234"/>
        <v>0</v>
      </c>
      <c r="TK7" s="28" t="s">
        <v>57</v>
      </c>
      <c r="TL7" s="41">
        <f t="shared" si="235"/>
        <v>16.149999999999999</v>
      </c>
      <c r="TM7" s="41">
        <f t="shared" si="236"/>
        <v>15.77</v>
      </c>
      <c r="TN7" s="41">
        <f t="shared" si="237"/>
        <v>55.72</v>
      </c>
      <c r="TO7" s="41">
        <f t="shared" si="238"/>
        <v>9.1</v>
      </c>
      <c r="TP7" s="41">
        <f t="shared" si="239"/>
        <v>9.2350000000000012</v>
      </c>
      <c r="TQ7" s="41">
        <f t="shared" si="240"/>
        <v>32.035000000000004</v>
      </c>
      <c r="TR7" s="41">
        <f t="shared" si="241"/>
        <v>55.72</v>
      </c>
      <c r="TS7" s="41">
        <f t="shared" si="242"/>
        <v>2.8</v>
      </c>
      <c r="TT7" s="41">
        <f t="shared" si="243"/>
        <v>2.5649999999999999</v>
      </c>
      <c r="TU7" s="41">
        <f t="shared" si="244"/>
        <v>8.7650000000000006</v>
      </c>
      <c r="TV7" s="41">
        <f t="shared" si="245"/>
        <v>64.484999999999999</v>
      </c>
    </row>
    <row r="8" spans="1:542" x14ac:dyDescent="0.2">
      <c r="A8" s="4" cm="1">
        <f t="array" ref="A8">IF(AND(H8&lt;&gt;"",H8&lt;&gt;"No DD"),SUMPRODUCT((H$4:H$24&lt;&gt;"")*(H$4:H$24&lt;&gt;"No DD")*(E$4:E$24&gt;E8))+1,IF(H8="No DD",SUMPRODUCT((H$4:H$24="No DD")*(E$4:E$24&gt;E8))+1+SUMPRODUCT((H$4:H$24&lt;&gt;"")*(H$4:H$24&lt;&gt;"No DD")),""))</f>
        <v>5</v>
      </c>
      <c r="B8" s="5" t="s">
        <v>90</v>
      </c>
      <c r="C8" s="4" t="s">
        <v>6</v>
      </c>
      <c r="D8" s="4">
        <v>2003</v>
      </c>
      <c r="E8" s="9">
        <f t="shared" si="0"/>
        <v>251.00002510000553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55.540000000000006</v>
      </c>
      <c r="K8" s="8" t="str">
        <f t="shared" si="5"/>
        <v>2023 Elite Canada</v>
      </c>
      <c r="L8" s="8">
        <f>IF(COUNT(AQ8,AT8,BR8,BU8,CS8,CV8)&gt;1,LARGE((AQ8,AT8,BR8,BU8,CS8,CV8),2),0)</f>
        <v>54.879999999999995</v>
      </c>
      <c r="M8" s="8" t="str">
        <f t="shared" si="6"/>
        <v>2023 Nationals</v>
      </c>
      <c r="N8" s="8">
        <f>IF(COUNT(AQ8,AT8,BR8,BU8,CS8,CV8)&gt;2,LARGE((AQ8,AT8,BR8,BU8,CS8,CV8),3),0)</f>
        <v>54.08</v>
      </c>
      <c r="O8" s="8" t="str">
        <f t="shared" si="7"/>
        <v>2023 Domestic 3rd Trial</v>
      </c>
      <c r="P8" s="8">
        <f t="shared" si="8"/>
        <v>54.32</v>
      </c>
      <c r="Q8" s="8" t="str">
        <f t="shared" si="9"/>
        <v>2023 Elite Canada</v>
      </c>
      <c r="R8" s="8">
        <f t="shared" si="10"/>
        <v>15.8</v>
      </c>
      <c r="S8" s="8" t="str">
        <f t="shared" si="11"/>
        <v>2023 Elite Canada</v>
      </c>
      <c r="T8" s="8">
        <f t="shared" si="12"/>
        <v>16.38</v>
      </c>
      <c r="U8" s="8" t="str">
        <f t="shared" si="13"/>
        <v>2023 Nationals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 t="shared" si="17"/>
        <v>14.8</v>
      </c>
      <c r="AP8" s="39">
        <f t="shared" si="18"/>
        <v>15.62</v>
      </c>
      <c r="AQ8" s="41">
        <f t="shared" si="19"/>
        <v>54.02</v>
      </c>
      <c r="AR8" s="41">
        <f t="shared" si="20"/>
        <v>15.8</v>
      </c>
      <c r="AS8" s="41">
        <f t="shared" si="21"/>
        <v>15.84</v>
      </c>
      <c r="AT8" s="41">
        <f t="shared" si="22"/>
        <v>55.540000000000006</v>
      </c>
      <c r="AU8" s="41">
        <f t="shared" si="23"/>
        <v>55.540000000000006</v>
      </c>
      <c r="AV8" s="41">
        <f t="shared" si="24"/>
        <v>14.8</v>
      </c>
      <c r="AW8" s="41">
        <f t="shared" si="25"/>
        <v>15.82</v>
      </c>
      <c r="AX8" s="41">
        <f t="shared" si="26"/>
        <v>54.32</v>
      </c>
      <c r="AY8" s="41">
        <f t="shared" si="27"/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 t="shared" si="28"/>
        <v>15.4</v>
      </c>
      <c r="BQ8" s="40">
        <f t="shared" si="29"/>
        <v>16.38</v>
      </c>
      <c r="BR8" s="11">
        <f t="shared" si="30"/>
        <v>54.879999999999995</v>
      </c>
      <c r="BS8" s="11">
        <f t="shared" si="31"/>
        <v>2</v>
      </c>
      <c r="BT8" s="11">
        <f t="shared" si="32"/>
        <v>1.75</v>
      </c>
      <c r="BU8" s="11">
        <f t="shared" si="33"/>
        <v>6.45</v>
      </c>
      <c r="BV8" s="11">
        <f t="shared" si="34"/>
        <v>54.879999999999995</v>
      </c>
      <c r="BW8" s="11">
        <f t="shared" si="35"/>
        <v>2</v>
      </c>
      <c r="BX8" s="11">
        <f t="shared" si="36"/>
        <v>1.76</v>
      </c>
      <c r="BY8" s="11">
        <f t="shared" si="37"/>
        <v>6.26</v>
      </c>
      <c r="BZ8" s="11">
        <f t="shared" si="38"/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 t="shared" si="39"/>
        <v>10</v>
      </c>
      <c r="CR8" s="39">
        <f t="shared" si="40"/>
        <v>11.73</v>
      </c>
      <c r="CS8" s="41">
        <f t="shared" si="41"/>
        <v>38.03</v>
      </c>
      <c r="CT8" s="41">
        <f t="shared" si="42"/>
        <v>14.7</v>
      </c>
      <c r="CU8" s="41">
        <f t="shared" si="43"/>
        <v>16.48</v>
      </c>
      <c r="CV8" s="41">
        <f t="shared" si="44"/>
        <v>54.08</v>
      </c>
      <c r="CW8" s="41">
        <f t="shared" si="45"/>
        <v>54.08</v>
      </c>
      <c r="CX8" s="41">
        <f t="shared" si="46"/>
        <v>2</v>
      </c>
      <c r="CY8" s="41">
        <f t="shared" si="47"/>
        <v>1.8</v>
      </c>
      <c r="CZ8" s="41">
        <f t="shared" si="48"/>
        <v>6.3999999999999995</v>
      </c>
      <c r="DA8" s="41">
        <f t="shared" si="49"/>
        <v>60.48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 t="shared" si="80"/>
        <v>15</v>
      </c>
      <c r="GO8" s="41">
        <f t="shared" si="81"/>
        <v>16.309999999999999</v>
      </c>
      <c r="GP8" s="41">
        <f t="shared" si="82"/>
        <v>52.61</v>
      </c>
      <c r="GQ8" s="41">
        <f t="shared" si="83"/>
        <v>6.5</v>
      </c>
      <c r="GR8" s="41">
        <f t="shared" si="84"/>
        <v>6.7</v>
      </c>
      <c r="GS8" s="41">
        <f t="shared" si="85"/>
        <v>22.400000000000002</v>
      </c>
      <c r="GT8" s="41">
        <f t="shared" si="86"/>
        <v>52.61</v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>
        <f t="shared" si="93"/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12.2</v>
      </c>
      <c r="SW8" s="23">
        <f t="shared" si="221"/>
        <v>7.5</v>
      </c>
      <c r="SX8" s="23">
        <f t="shared" si="222"/>
        <v>12.7</v>
      </c>
      <c r="SY8" s="23">
        <f t="shared" si="223"/>
        <v>14.055</v>
      </c>
      <c r="SZ8" s="23">
        <f t="shared" si="224"/>
        <v>0</v>
      </c>
      <c r="TA8" s="23">
        <f t="shared" si="225"/>
        <v>7.8500000000000005</v>
      </c>
      <c r="TB8" s="23">
        <f t="shared" si="226"/>
        <v>4.95</v>
      </c>
      <c r="TC8" s="23">
        <f t="shared" si="227"/>
        <v>8.35</v>
      </c>
      <c r="TD8" s="23">
        <f t="shared" si="228"/>
        <v>9.1150000000000002</v>
      </c>
      <c r="TE8" s="23">
        <f t="shared" si="229"/>
        <v>0</v>
      </c>
      <c r="TF8" s="23">
        <f t="shared" si="230"/>
        <v>1.65</v>
      </c>
      <c r="TG8" s="23">
        <f t="shared" si="231"/>
        <v>0.9</v>
      </c>
      <c r="TH8" s="23">
        <f t="shared" si="232"/>
        <v>2</v>
      </c>
      <c r="TI8" s="23">
        <f t="shared" si="233"/>
        <v>1.78</v>
      </c>
      <c r="TJ8" s="23">
        <f t="shared" si="234"/>
        <v>0</v>
      </c>
      <c r="TK8" s="28" t="s">
        <v>57</v>
      </c>
      <c r="TL8" s="41">
        <f t="shared" si="235"/>
        <v>12.7</v>
      </c>
      <c r="TM8" s="41">
        <f t="shared" si="236"/>
        <v>14.055</v>
      </c>
      <c r="TN8" s="41">
        <f t="shared" si="237"/>
        <v>46.454999999999998</v>
      </c>
      <c r="TO8" s="41">
        <f t="shared" si="238"/>
        <v>8.35</v>
      </c>
      <c r="TP8" s="41">
        <f t="shared" si="239"/>
        <v>9.1150000000000002</v>
      </c>
      <c r="TQ8" s="41">
        <f t="shared" si="240"/>
        <v>30.265000000000001</v>
      </c>
      <c r="TR8" s="41">
        <f t="shared" si="241"/>
        <v>46.454999999999998</v>
      </c>
      <c r="TS8" s="41">
        <f t="shared" si="242"/>
        <v>2</v>
      </c>
      <c r="TT8" s="41">
        <f t="shared" si="243"/>
        <v>1.78</v>
      </c>
      <c r="TU8" s="41">
        <f t="shared" si="244"/>
        <v>6.33</v>
      </c>
      <c r="TV8" s="41">
        <f t="shared" si="245"/>
        <v>52.784999999999997</v>
      </c>
    </row>
    <row r="9" spans="1:542" x14ac:dyDescent="0.2">
      <c r="A9" s="4" cm="1">
        <f t="array" ref="A9">IF(AND(H9&lt;&gt;"",H9&lt;&gt;"No DD"),SUMPRODUCT((H$4:H$24&lt;&gt;"")*(H$4:H$24&lt;&gt;"No DD")*(E$4:E$24&gt;E9))+1,IF(H9="No DD",SUMPRODUCT((H$4:H$24="No DD")*(E$4:E$24&gt;E9))+1+SUMPRODUCT((H$4:H$24&lt;&gt;"")*(H$4:H$24&lt;&gt;"No DD")),""))</f>
        <v>6</v>
      </c>
      <c r="B9" s="5" t="s">
        <v>55</v>
      </c>
      <c r="C9" s="4" t="s">
        <v>5</v>
      </c>
      <c r="D9" s="4">
        <v>1999</v>
      </c>
      <c r="E9" s="9">
        <f t="shared" si="0"/>
        <v>244.78252447825534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IF(COUNT(AQ9,AT9,BR9,BU9,CS9,CV9)&gt;0,LARGE((AQ9,AT9,BR9,BU9,CS9,CV9),1),0)</f>
        <v>53.349999999999994</v>
      </c>
      <c r="K9" s="8" t="str">
        <f t="shared" si="5"/>
        <v>2023 Elite Canada</v>
      </c>
      <c r="L9" s="8">
        <f>IF(COUNT(AQ9,AT9,BR9,BU9,CS9,CV9)&gt;1,LARGE((AQ9,AT9,BR9,BU9,CS9,CV9),2),0)</f>
        <v>53.29</v>
      </c>
      <c r="M9" s="8" t="str">
        <f t="shared" si="6"/>
        <v>2023 Elite Canada</v>
      </c>
      <c r="N9" s="8">
        <f>IF(COUNT(AQ9,AT9,BR9,BU9,CS9,CV9)&gt;2,LARGE((AQ9,AT9,BR9,BU9,CS9,CV9),3),0)</f>
        <v>53.182500000000005</v>
      </c>
      <c r="O9" s="8" t="str">
        <f t="shared" si="7"/>
        <v>2023 Nationals</v>
      </c>
      <c r="P9" s="8">
        <f t="shared" si="8"/>
        <v>54.61</v>
      </c>
      <c r="Q9" s="8" t="str">
        <f t="shared" si="9"/>
        <v>2023 Elite Canada</v>
      </c>
      <c r="R9" s="8">
        <f t="shared" si="10"/>
        <v>15.4</v>
      </c>
      <c r="S9" s="8" t="str">
        <f t="shared" si="11"/>
        <v>2023 Elite Canada</v>
      </c>
      <c r="T9" s="8">
        <f t="shared" si="12"/>
        <v>14.95</v>
      </c>
      <c r="U9" s="8" t="str">
        <f t="shared" si="13"/>
        <v>2023 Elite Canada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14.7</v>
      </c>
      <c r="Z9" s="23">
        <v>9</v>
      </c>
      <c r="AA9" s="23">
        <v>14.8</v>
      </c>
      <c r="AB9" s="23">
        <v>14.79</v>
      </c>
      <c r="AC9" s="23">
        <v>0</v>
      </c>
      <c r="AD9" s="23">
        <v>14.1</v>
      </c>
      <c r="AE9" s="23">
        <v>8.9</v>
      </c>
      <c r="AF9" s="23">
        <v>15.4</v>
      </c>
      <c r="AG9" s="23">
        <v>14.95</v>
      </c>
      <c r="AH9" s="23">
        <v>0</v>
      </c>
      <c r="AI9" s="23">
        <v>15.7</v>
      </c>
      <c r="AJ9" s="23">
        <v>9.6</v>
      </c>
      <c r="AK9" s="23">
        <v>14</v>
      </c>
      <c r="AL9" s="23">
        <v>15.31</v>
      </c>
      <c r="AM9" s="23">
        <v>0</v>
      </c>
      <c r="AN9" s="28"/>
      <c r="AO9" s="39">
        <f t="shared" si="17"/>
        <v>14.8</v>
      </c>
      <c r="AP9" s="39">
        <f t="shared" si="18"/>
        <v>14.79</v>
      </c>
      <c r="AQ9" s="41">
        <f t="shared" si="19"/>
        <v>53.29</v>
      </c>
      <c r="AR9" s="41">
        <f t="shared" si="20"/>
        <v>15.4</v>
      </c>
      <c r="AS9" s="41">
        <f t="shared" si="21"/>
        <v>14.95</v>
      </c>
      <c r="AT9" s="41">
        <f t="shared" si="22"/>
        <v>53.349999999999994</v>
      </c>
      <c r="AU9" s="41">
        <f t="shared" si="23"/>
        <v>53.349999999999994</v>
      </c>
      <c r="AV9" s="41">
        <f t="shared" si="24"/>
        <v>14</v>
      </c>
      <c r="AW9" s="41">
        <f t="shared" si="25"/>
        <v>15.31</v>
      </c>
      <c r="AX9" s="41">
        <f t="shared" si="26"/>
        <v>54.61</v>
      </c>
      <c r="AY9" s="41">
        <f t="shared" si="27"/>
        <v>107.96</v>
      </c>
      <c r="AZ9" s="27">
        <v>14.125</v>
      </c>
      <c r="BA9" s="27">
        <v>9</v>
      </c>
      <c r="BB9" s="27">
        <v>14.950000000000001</v>
      </c>
      <c r="BC9" s="27">
        <v>15.1075</v>
      </c>
      <c r="BD9" s="27">
        <v>0</v>
      </c>
      <c r="BE9" s="27">
        <v>13.45</v>
      </c>
      <c r="BF9" s="27">
        <v>8.3500000000000014</v>
      </c>
      <c r="BG9" s="27">
        <v>13.600000000000001</v>
      </c>
      <c r="BH9" s="27">
        <v>15.014999999999999</v>
      </c>
      <c r="BI9" s="27">
        <v>0.2</v>
      </c>
      <c r="BJ9" s="27">
        <v>13.85</v>
      </c>
      <c r="BK9" s="27">
        <v>8.4250000000000007</v>
      </c>
      <c r="BL9" s="27">
        <v>12.9</v>
      </c>
      <c r="BM9" s="27">
        <v>13.995000000000001</v>
      </c>
      <c r="BN9" s="27">
        <v>0</v>
      </c>
      <c r="BO9" s="29" t="s">
        <v>57</v>
      </c>
      <c r="BP9" s="40">
        <f t="shared" si="28"/>
        <v>14.950000000000001</v>
      </c>
      <c r="BQ9" s="40">
        <f t="shared" si="29"/>
        <v>15.1075</v>
      </c>
      <c r="BR9" s="11">
        <f t="shared" si="30"/>
        <v>53.182500000000005</v>
      </c>
      <c r="BS9" s="11">
        <f t="shared" si="31"/>
        <v>13.600000000000001</v>
      </c>
      <c r="BT9" s="11">
        <f t="shared" si="32"/>
        <v>15.014999999999999</v>
      </c>
      <c r="BU9" s="11">
        <f t="shared" si="33"/>
        <v>50.215000000000003</v>
      </c>
      <c r="BV9" s="11">
        <f t="shared" si="34"/>
        <v>53.182500000000005</v>
      </c>
      <c r="BW9" s="11">
        <f t="shared" si="35"/>
        <v>12.9</v>
      </c>
      <c r="BX9" s="11">
        <f t="shared" si="36"/>
        <v>13.995000000000001</v>
      </c>
      <c r="BY9" s="11">
        <f t="shared" si="37"/>
        <v>49.17</v>
      </c>
      <c r="BZ9" s="11">
        <f t="shared" si="38"/>
        <v>102.35250000000001</v>
      </c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8"/>
      <c r="CQ9" s="39" t="str">
        <f t="shared" si="39"/>
        <v/>
      </c>
      <c r="CR9" s="39" t="str">
        <f t="shared" si="40"/>
        <v/>
      </c>
      <c r="CS9" s="41" t="str">
        <f t="shared" si="41"/>
        <v/>
      </c>
      <c r="CT9" s="41" t="str">
        <f t="shared" si="42"/>
        <v/>
      </c>
      <c r="CU9" s="41" t="str">
        <f t="shared" si="43"/>
        <v/>
      </c>
      <c r="CV9" s="41" t="str">
        <f t="shared" si="44"/>
        <v/>
      </c>
      <c r="CW9" s="41" t="str">
        <f t="shared" si="45"/>
        <v/>
      </c>
      <c r="CX9" s="41" t="str">
        <f t="shared" si="46"/>
        <v/>
      </c>
      <c r="CY9" s="41" t="str">
        <f t="shared" si="47"/>
        <v/>
      </c>
      <c r="CZ9" s="41" t="str">
        <f t="shared" si="48"/>
        <v/>
      </c>
      <c r="DA9" s="41" t="str">
        <f t="shared" si="49"/>
        <v/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7.0625</v>
      </c>
      <c r="SW9" s="23">
        <f t="shared" si="221"/>
        <v>4.5</v>
      </c>
      <c r="SX9" s="23">
        <f t="shared" si="222"/>
        <v>7.4750000000000005</v>
      </c>
      <c r="SY9" s="23">
        <f t="shared" si="223"/>
        <v>7.55375</v>
      </c>
      <c r="SZ9" s="23">
        <f t="shared" si="224"/>
        <v>0</v>
      </c>
      <c r="TA9" s="23">
        <f t="shared" si="225"/>
        <v>6.7249999999999996</v>
      </c>
      <c r="TB9" s="23">
        <f t="shared" si="226"/>
        <v>4.1750000000000007</v>
      </c>
      <c r="TC9" s="23">
        <f t="shared" si="227"/>
        <v>6.8000000000000007</v>
      </c>
      <c r="TD9" s="23">
        <f t="shared" si="228"/>
        <v>7.5074999999999994</v>
      </c>
      <c r="TE9" s="23">
        <f t="shared" si="229"/>
        <v>0.1</v>
      </c>
      <c r="TF9" s="23">
        <f t="shared" si="230"/>
        <v>6.9249999999999998</v>
      </c>
      <c r="TG9" s="23">
        <f t="shared" si="231"/>
        <v>4.2125000000000004</v>
      </c>
      <c r="TH9" s="23">
        <f t="shared" si="232"/>
        <v>6.45</v>
      </c>
      <c r="TI9" s="23">
        <f t="shared" si="233"/>
        <v>6.9975000000000005</v>
      </c>
      <c r="TJ9" s="23">
        <f t="shared" si="234"/>
        <v>0</v>
      </c>
      <c r="TK9" s="28" t="s">
        <v>57</v>
      </c>
      <c r="TL9" s="41">
        <f t="shared" si="235"/>
        <v>7.4750000000000005</v>
      </c>
      <c r="TM9" s="41">
        <f t="shared" si="236"/>
        <v>7.55375</v>
      </c>
      <c r="TN9" s="41">
        <f t="shared" si="237"/>
        <v>26.591250000000002</v>
      </c>
      <c r="TO9" s="41">
        <f t="shared" si="238"/>
        <v>6.8000000000000007</v>
      </c>
      <c r="TP9" s="41">
        <f t="shared" si="239"/>
        <v>7.5074999999999994</v>
      </c>
      <c r="TQ9" s="41">
        <f t="shared" si="240"/>
        <v>25.107500000000002</v>
      </c>
      <c r="TR9" s="41">
        <f t="shared" si="241"/>
        <v>26.591250000000002</v>
      </c>
      <c r="TS9" s="41">
        <f t="shared" si="242"/>
        <v>6.45</v>
      </c>
      <c r="TT9" s="41">
        <f t="shared" si="243"/>
        <v>6.9975000000000005</v>
      </c>
      <c r="TU9" s="41">
        <f t="shared" si="244"/>
        <v>24.585000000000001</v>
      </c>
      <c r="TV9" s="41">
        <f t="shared" si="245"/>
        <v>51.176250000000003</v>
      </c>
    </row>
    <row r="10" spans="1:542" x14ac:dyDescent="0.2">
      <c r="A10" s="4" t="str" cm="1">
        <f t="array" ref="A10">IF(AND(H10&lt;&gt;"",H10&lt;&gt;"No DD"),SUMPRODUCT((H$4:H$24&lt;&gt;"")*(H$4:H$24&lt;&gt;"No DD")*(E$4:E$24&gt;E10))+1,IF(H10="No DD",SUMPRODUCT((H$4:H$24="No DD")*(E$4:E$24&gt;E10))+1+SUMPRODUCT((H$4:H$24&lt;&gt;"")*(H$4:H$24&lt;&gt;"No DD")),""))</f>
        <v/>
      </c>
      <c r="B10" s="5" t="s">
        <v>95</v>
      </c>
      <c r="C10" s="4" t="s">
        <v>8</v>
      </c>
      <c r="D10" s="4">
        <v>2002</v>
      </c>
      <c r="E10" s="9">
        <f t="shared" si="0"/>
        <v>241.93002419300541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IF(COUNT(AQ10,AT10,BR10,BU10,CS10,CV10)&gt;0,LARGE((AQ10,AT10,BR10,BU10,CS10,CV10),1),0)</f>
        <v>53.97</v>
      </c>
      <c r="K10" s="8" t="str">
        <f t="shared" si="5"/>
        <v>2023 Nationals</v>
      </c>
      <c r="L10" s="8">
        <f>IF(COUNT(AQ10,AT10,BR10,BU10,CS10,CV10)&gt;1,LARGE((AQ10,AT10,BR10,BU10,CS10,CV10),2),0)</f>
        <v>52.44</v>
      </c>
      <c r="M10" s="8" t="str">
        <f t="shared" si="6"/>
        <v>2023 Domestic 3rd Trial</v>
      </c>
      <c r="N10" s="8">
        <f>IF(COUNT(AQ10,AT10,BR10,BU10,CS10,CV10)&gt;2,LARGE((AQ10,AT10,BR10,BU10,CS10,CV10),3),0)</f>
        <v>51.78</v>
      </c>
      <c r="O10" s="8" t="str">
        <f t="shared" si="7"/>
        <v>2023 Elite Canada</v>
      </c>
      <c r="P10" s="8">
        <f t="shared" si="8"/>
        <v>53.17</v>
      </c>
      <c r="Q10" s="8" t="str">
        <f t="shared" si="9"/>
        <v>2023 Elite Canada</v>
      </c>
      <c r="R10" s="8">
        <f t="shared" si="10"/>
        <v>15.6</v>
      </c>
      <c r="S10" s="8" t="str">
        <f t="shared" si="11"/>
        <v>2023 Nationals</v>
      </c>
      <c r="T10" s="8">
        <f t="shared" si="12"/>
        <v>14.97</v>
      </c>
      <c r="U10" s="8" t="str">
        <f t="shared" si="13"/>
        <v>2023 Nationals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13.9</v>
      </c>
      <c r="Z10" s="23">
        <v>9.1999999999999993</v>
      </c>
      <c r="AA10" s="23">
        <v>13.5</v>
      </c>
      <c r="AB10" s="23">
        <v>14.79</v>
      </c>
      <c r="AC10" s="23">
        <v>0</v>
      </c>
      <c r="AD10" s="23">
        <v>13.1</v>
      </c>
      <c r="AE10" s="23">
        <v>9.1</v>
      </c>
      <c r="AF10" s="23">
        <v>14.5</v>
      </c>
      <c r="AG10" s="23">
        <v>15.08</v>
      </c>
      <c r="AH10" s="23">
        <v>0</v>
      </c>
      <c r="AI10" s="23">
        <v>14.5</v>
      </c>
      <c r="AJ10" s="23">
        <v>9.1</v>
      </c>
      <c r="AK10" s="23">
        <v>14.5</v>
      </c>
      <c r="AL10" s="23">
        <v>15.07</v>
      </c>
      <c r="AM10" s="23">
        <v>0</v>
      </c>
      <c r="AN10" s="28"/>
      <c r="AO10" s="39">
        <f t="shared" si="17"/>
        <v>13.5</v>
      </c>
      <c r="AP10" s="39">
        <f t="shared" si="18"/>
        <v>14.79</v>
      </c>
      <c r="AQ10" s="41">
        <f t="shared" si="19"/>
        <v>51.39</v>
      </c>
      <c r="AR10" s="41">
        <f t="shared" si="20"/>
        <v>14.5</v>
      </c>
      <c r="AS10" s="41">
        <f t="shared" si="21"/>
        <v>15.08</v>
      </c>
      <c r="AT10" s="41">
        <f t="shared" si="22"/>
        <v>51.78</v>
      </c>
      <c r="AU10" s="41">
        <f t="shared" si="23"/>
        <v>51.78</v>
      </c>
      <c r="AV10" s="41">
        <f t="shared" si="24"/>
        <v>14.5</v>
      </c>
      <c r="AW10" s="41">
        <f t="shared" si="25"/>
        <v>15.07</v>
      </c>
      <c r="AX10" s="41">
        <f t="shared" si="26"/>
        <v>53.17</v>
      </c>
      <c r="AY10" s="41">
        <f t="shared" si="27"/>
        <v>104.95</v>
      </c>
      <c r="AZ10" s="27">
        <v>4.5999999999999996</v>
      </c>
      <c r="BA10" s="27">
        <v>2.6</v>
      </c>
      <c r="BB10" s="27">
        <v>5.5</v>
      </c>
      <c r="BC10" s="27">
        <v>4.95</v>
      </c>
      <c r="BD10" s="27">
        <v>0</v>
      </c>
      <c r="BE10" s="27">
        <v>13.9</v>
      </c>
      <c r="BF10" s="27">
        <v>9.5</v>
      </c>
      <c r="BG10" s="27">
        <v>15.6</v>
      </c>
      <c r="BH10" s="27">
        <v>14.97</v>
      </c>
      <c r="BI10" s="27">
        <v>0</v>
      </c>
      <c r="BJ10" s="27">
        <v>4.3</v>
      </c>
      <c r="BK10" s="27">
        <v>2.7</v>
      </c>
      <c r="BL10" s="27">
        <v>5.5</v>
      </c>
      <c r="BM10" s="27">
        <v>4.8899999999999997</v>
      </c>
      <c r="BN10" s="27">
        <v>0</v>
      </c>
      <c r="BO10" s="29"/>
      <c r="BP10" s="40">
        <f t="shared" si="28"/>
        <v>5.5</v>
      </c>
      <c r="BQ10" s="40">
        <f t="shared" si="29"/>
        <v>4.95</v>
      </c>
      <c r="BR10" s="11">
        <f t="shared" si="30"/>
        <v>17.649999999999999</v>
      </c>
      <c r="BS10" s="11">
        <f t="shared" si="31"/>
        <v>15.6</v>
      </c>
      <c r="BT10" s="11">
        <f t="shared" si="32"/>
        <v>14.97</v>
      </c>
      <c r="BU10" s="11">
        <f t="shared" si="33"/>
        <v>53.97</v>
      </c>
      <c r="BV10" s="11">
        <f t="shared" si="34"/>
        <v>53.97</v>
      </c>
      <c r="BW10" s="11">
        <f t="shared" si="35"/>
        <v>5.5</v>
      </c>
      <c r="BX10" s="11">
        <f t="shared" si="36"/>
        <v>4.8899999999999997</v>
      </c>
      <c r="BY10" s="11">
        <f t="shared" si="37"/>
        <v>17.39</v>
      </c>
      <c r="BZ10" s="11">
        <f t="shared" si="38"/>
        <v>71.36</v>
      </c>
      <c r="CA10" s="23">
        <v>1.5</v>
      </c>
      <c r="CB10" s="23">
        <v>1</v>
      </c>
      <c r="CC10" s="23">
        <v>2</v>
      </c>
      <c r="CD10" s="23">
        <v>1.73</v>
      </c>
      <c r="CE10" s="23">
        <v>0</v>
      </c>
      <c r="CF10" s="23">
        <v>12.8</v>
      </c>
      <c r="CG10" s="23">
        <v>9.1999999999999993</v>
      </c>
      <c r="CH10" s="23">
        <v>15</v>
      </c>
      <c r="CI10" s="23">
        <v>15.44</v>
      </c>
      <c r="CJ10" s="23">
        <v>0</v>
      </c>
      <c r="CK10" s="23">
        <v>12.5</v>
      </c>
      <c r="CL10" s="23">
        <v>8.8000000000000007</v>
      </c>
      <c r="CM10" s="23">
        <v>14</v>
      </c>
      <c r="CN10" s="23">
        <v>15.57</v>
      </c>
      <c r="CO10" s="23">
        <v>0</v>
      </c>
      <c r="CP10" s="28"/>
      <c r="CQ10" s="39">
        <f t="shared" si="39"/>
        <v>2</v>
      </c>
      <c r="CR10" s="39">
        <f t="shared" si="40"/>
        <v>1.73</v>
      </c>
      <c r="CS10" s="41">
        <f t="shared" si="41"/>
        <v>6.23</v>
      </c>
      <c r="CT10" s="41">
        <f t="shared" si="42"/>
        <v>15</v>
      </c>
      <c r="CU10" s="41">
        <f t="shared" si="43"/>
        <v>15.44</v>
      </c>
      <c r="CV10" s="41">
        <f t="shared" si="44"/>
        <v>52.44</v>
      </c>
      <c r="CW10" s="41">
        <f t="shared" si="45"/>
        <v>52.44</v>
      </c>
      <c r="CX10" s="41">
        <f t="shared" si="46"/>
        <v>14</v>
      </c>
      <c r="CY10" s="41">
        <f t="shared" si="47"/>
        <v>15.57</v>
      </c>
      <c r="CZ10" s="41">
        <f t="shared" si="48"/>
        <v>50.87</v>
      </c>
      <c r="DA10" s="41">
        <f t="shared" si="49"/>
        <v>103.31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3.05</v>
      </c>
      <c r="SW10" s="23">
        <f t="shared" si="221"/>
        <v>1.8</v>
      </c>
      <c r="SX10" s="23">
        <f t="shared" si="222"/>
        <v>3.75</v>
      </c>
      <c r="SY10" s="23">
        <f t="shared" si="223"/>
        <v>3.34</v>
      </c>
      <c r="SZ10" s="23">
        <f t="shared" si="224"/>
        <v>0</v>
      </c>
      <c r="TA10" s="23">
        <f t="shared" si="225"/>
        <v>13.350000000000001</v>
      </c>
      <c r="TB10" s="23">
        <f t="shared" si="226"/>
        <v>9.35</v>
      </c>
      <c r="TC10" s="23">
        <f t="shared" si="227"/>
        <v>15.3</v>
      </c>
      <c r="TD10" s="23">
        <f t="shared" si="228"/>
        <v>15.205</v>
      </c>
      <c r="TE10" s="23">
        <f t="shared" si="229"/>
        <v>0</v>
      </c>
      <c r="TF10" s="23">
        <f t="shared" si="230"/>
        <v>8.4</v>
      </c>
      <c r="TG10" s="23">
        <f t="shared" si="231"/>
        <v>5.75</v>
      </c>
      <c r="TH10" s="23">
        <f t="shared" si="232"/>
        <v>9.75</v>
      </c>
      <c r="TI10" s="23">
        <f t="shared" si="233"/>
        <v>10.23</v>
      </c>
      <c r="TJ10" s="23">
        <f t="shared" si="234"/>
        <v>0</v>
      </c>
      <c r="TK10" s="28" t="s">
        <v>57</v>
      </c>
      <c r="TL10" s="41">
        <f t="shared" si="235"/>
        <v>3.75</v>
      </c>
      <c r="TM10" s="41">
        <f t="shared" si="236"/>
        <v>3.34</v>
      </c>
      <c r="TN10" s="41">
        <f t="shared" si="237"/>
        <v>11.94</v>
      </c>
      <c r="TO10" s="41">
        <f t="shared" si="238"/>
        <v>15.3</v>
      </c>
      <c r="TP10" s="41">
        <f t="shared" si="239"/>
        <v>15.205</v>
      </c>
      <c r="TQ10" s="41">
        <f t="shared" si="240"/>
        <v>53.204999999999998</v>
      </c>
      <c r="TR10" s="41">
        <f t="shared" si="241"/>
        <v>53.204999999999998</v>
      </c>
      <c r="TS10" s="41">
        <f t="shared" si="242"/>
        <v>9.75</v>
      </c>
      <c r="TT10" s="41">
        <f t="shared" si="243"/>
        <v>10.23</v>
      </c>
      <c r="TU10" s="41">
        <f t="shared" si="244"/>
        <v>34.129999999999995</v>
      </c>
      <c r="TV10" s="41">
        <f t="shared" si="245"/>
        <v>87.334999999999994</v>
      </c>
    </row>
    <row r="11" spans="1:542" x14ac:dyDescent="0.2">
      <c r="A11" s="4" t="str" cm="1">
        <f t="array" ref="A11">IF(AND(H11&lt;&gt;"",H11&lt;&gt;"No DD"),SUMPRODUCT((H$4:H$24&lt;&gt;"")*(H$4:H$24&lt;&gt;"No DD")*(E$4:E$24&gt;E11))+1,IF(H11="No DD",SUMPRODUCT((H$4:H$24="No DD")*(E$4:E$24&gt;E11))+1+SUMPRODUCT((H$4:H$24&lt;&gt;"")*(H$4:H$24&lt;&gt;"No DD")),""))</f>
        <v/>
      </c>
      <c r="B11" s="5" t="s">
        <v>94</v>
      </c>
      <c r="C11" s="4" t="s">
        <v>3</v>
      </c>
      <c r="D11" s="4">
        <v>1988</v>
      </c>
      <c r="E11" s="9">
        <f t="shared" si="0"/>
        <v>233.38002333800529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IF(COUNT(AQ11,AT11,BR11,BU11,CS11,CV11)&gt;0,LARGE((AQ11,AT11,BR11,BU11,CS11,CV11),1),0)</f>
        <v>52.900000000000006</v>
      </c>
      <c r="K11" s="8" t="str">
        <f t="shared" si="5"/>
        <v>2023 Domestic 3rd Trial</v>
      </c>
      <c r="L11" s="8">
        <f>IF(COUNT(AQ11,AT11,BR11,BU11,CS11,CV11)&gt;1,LARGE((AQ11,AT11,BR11,BU11,CS11,CV11),2),0)</f>
        <v>51.22</v>
      </c>
      <c r="M11" s="8" t="str">
        <f t="shared" si="6"/>
        <v>2023 Domestic 3rd Trial</v>
      </c>
      <c r="N11" s="8">
        <f>IF(COUNT(AQ11,AT11,BR11,BU11,CS11,CV11)&gt;2,LARGE((AQ11,AT11,BR11,BU11,CS11,CV11),3),0)</f>
        <v>48.04</v>
      </c>
      <c r="O11" s="8" t="str">
        <f t="shared" si="7"/>
        <v>2023 Nationals</v>
      </c>
      <c r="P11" s="8">
        <f t="shared" si="8"/>
        <v>50.400000000000006</v>
      </c>
      <c r="Q11" s="8" t="str">
        <f t="shared" si="9"/>
        <v>2023 Nationals</v>
      </c>
      <c r="R11" s="8">
        <f t="shared" si="10"/>
        <v>15.4</v>
      </c>
      <c r="S11" s="8" t="str">
        <f t="shared" si="11"/>
        <v>2023 Domestic 3rd Trial</v>
      </c>
      <c r="T11" s="8">
        <f t="shared" si="12"/>
        <v>15.42</v>
      </c>
      <c r="U11" s="8" t="str">
        <f t="shared" si="13"/>
        <v>2023 Domestic 3rd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8"/>
      <c r="AO11" s="39" t="str">
        <f t="shared" si="17"/>
        <v/>
      </c>
      <c r="AP11" s="39" t="str">
        <f t="shared" si="18"/>
        <v/>
      </c>
      <c r="AQ11" s="41" t="str">
        <f t="shared" si="19"/>
        <v/>
      </c>
      <c r="AR11" s="41" t="str">
        <f t="shared" si="20"/>
        <v/>
      </c>
      <c r="AS11" s="41" t="str">
        <f t="shared" si="21"/>
        <v/>
      </c>
      <c r="AT11" s="41" t="str">
        <f t="shared" si="22"/>
        <v/>
      </c>
      <c r="AU11" s="41" t="str">
        <f t="shared" si="23"/>
        <v/>
      </c>
      <c r="AV11" s="41" t="str">
        <f t="shared" si="24"/>
        <v/>
      </c>
      <c r="AW11" s="41" t="str">
        <f t="shared" si="25"/>
        <v/>
      </c>
      <c r="AX11" s="41" t="str">
        <f t="shared" si="26"/>
        <v/>
      </c>
      <c r="AY11" s="41" t="str">
        <f t="shared" si="27"/>
        <v/>
      </c>
      <c r="AZ11" s="27">
        <v>13.5</v>
      </c>
      <c r="BA11" s="27">
        <v>8.8000000000000007</v>
      </c>
      <c r="BB11" s="27">
        <v>11.3</v>
      </c>
      <c r="BC11" s="27">
        <v>14.44</v>
      </c>
      <c r="BD11" s="27">
        <v>0</v>
      </c>
      <c r="BE11" s="27">
        <v>1.6</v>
      </c>
      <c r="BF11" s="27">
        <v>0.9</v>
      </c>
      <c r="BG11" s="27">
        <v>2</v>
      </c>
      <c r="BH11" s="27">
        <v>1.59</v>
      </c>
      <c r="BI11" s="27">
        <v>0</v>
      </c>
      <c r="BJ11" s="27">
        <v>12.8</v>
      </c>
      <c r="BK11" s="27">
        <v>8.9</v>
      </c>
      <c r="BL11" s="27">
        <v>14.4</v>
      </c>
      <c r="BM11" s="27">
        <v>14.3</v>
      </c>
      <c r="BN11" s="27">
        <v>0</v>
      </c>
      <c r="BO11" s="29"/>
      <c r="BP11" s="40">
        <f t="shared" si="28"/>
        <v>11.3</v>
      </c>
      <c r="BQ11" s="40">
        <f t="shared" si="29"/>
        <v>14.44</v>
      </c>
      <c r="BR11" s="11">
        <f t="shared" si="30"/>
        <v>48.04</v>
      </c>
      <c r="BS11" s="11">
        <f t="shared" si="31"/>
        <v>2</v>
      </c>
      <c r="BT11" s="11">
        <f t="shared" si="32"/>
        <v>1.59</v>
      </c>
      <c r="BU11" s="11">
        <f t="shared" si="33"/>
        <v>6.09</v>
      </c>
      <c r="BV11" s="11">
        <f t="shared" si="34"/>
        <v>48.04</v>
      </c>
      <c r="BW11" s="11">
        <f t="shared" si="35"/>
        <v>14.4</v>
      </c>
      <c r="BX11" s="11">
        <f t="shared" si="36"/>
        <v>14.3</v>
      </c>
      <c r="BY11" s="11">
        <f t="shared" si="37"/>
        <v>50.400000000000006</v>
      </c>
      <c r="BZ11" s="11">
        <f t="shared" si="38"/>
        <v>98.44</v>
      </c>
      <c r="CA11" s="23">
        <v>13.2</v>
      </c>
      <c r="CB11" s="23">
        <v>9</v>
      </c>
      <c r="CC11" s="23">
        <v>15.4</v>
      </c>
      <c r="CD11" s="23">
        <v>15.3</v>
      </c>
      <c r="CE11" s="23">
        <v>0</v>
      </c>
      <c r="CF11" s="23">
        <v>11.9</v>
      </c>
      <c r="CG11" s="23">
        <v>8.5</v>
      </c>
      <c r="CH11" s="23">
        <v>15.4</v>
      </c>
      <c r="CI11" s="23">
        <v>15.42</v>
      </c>
      <c r="CJ11" s="23">
        <v>0</v>
      </c>
      <c r="CK11" s="23">
        <v>2.8</v>
      </c>
      <c r="CL11" s="23">
        <v>1.6</v>
      </c>
      <c r="CM11" s="23">
        <v>3.4</v>
      </c>
      <c r="CN11" s="23">
        <v>3.28</v>
      </c>
      <c r="CO11" s="23">
        <v>0</v>
      </c>
      <c r="CP11" s="28"/>
      <c r="CQ11" s="39">
        <f t="shared" si="39"/>
        <v>15.4</v>
      </c>
      <c r="CR11" s="39">
        <f t="shared" si="40"/>
        <v>15.3</v>
      </c>
      <c r="CS11" s="41">
        <f t="shared" si="41"/>
        <v>52.900000000000006</v>
      </c>
      <c r="CT11" s="41">
        <f t="shared" si="42"/>
        <v>15.4</v>
      </c>
      <c r="CU11" s="41">
        <f t="shared" si="43"/>
        <v>15.42</v>
      </c>
      <c r="CV11" s="41">
        <f t="shared" si="44"/>
        <v>51.22</v>
      </c>
      <c r="CW11" s="41">
        <f t="shared" si="45"/>
        <v>52.900000000000006</v>
      </c>
      <c r="CX11" s="41">
        <f t="shared" si="46"/>
        <v>3.4</v>
      </c>
      <c r="CY11" s="41">
        <f t="shared" si="47"/>
        <v>3.28</v>
      </c>
      <c r="CZ11" s="41">
        <f t="shared" si="48"/>
        <v>11.08</v>
      </c>
      <c r="DA11" s="41">
        <f t="shared" si="49"/>
        <v>63.980000000000004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13.35</v>
      </c>
      <c r="SW11" s="23">
        <f t="shared" si="221"/>
        <v>8.9</v>
      </c>
      <c r="SX11" s="23">
        <f t="shared" si="222"/>
        <v>13.350000000000001</v>
      </c>
      <c r="SY11" s="23">
        <f t="shared" si="223"/>
        <v>14.870000000000001</v>
      </c>
      <c r="SZ11" s="23">
        <f t="shared" si="224"/>
        <v>0</v>
      </c>
      <c r="TA11" s="23">
        <f t="shared" si="225"/>
        <v>6.75</v>
      </c>
      <c r="TB11" s="23">
        <f t="shared" si="226"/>
        <v>4.7</v>
      </c>
      <c r="TC11" s="23">
        <f t="shared" si="227"/>
        <v>8.6999999999999993</v>
      </c>
      <c r="TD11" s="23">
        <f t="shared" si="228"/>
        <v>8.5050000000000008</v>
      </c>
      <c r="TE11" s="23">
        <f t="shared" si="229"/>
        <v>0</v>
      </c>
      <c r="TF11" s="23">
        <f t="shared" si="230"/>
        <v>7.8000000000000007</v>
      </c>
      <c r="TG11" s="23">
        <f t="shared" si="231"/>
        <v>5.25</v>
      </c>
      <c r="TH11" s="23">
        <f t="shared" si="232"/>
        <v>8.9</v>
      </c>
      <c r="TI11" s="23">
        <f t="shared" si="233"/>
        <v>8.7900000000000009</v>
      </c>
      <c r="TJ11" s="23">
        <f t="shared" si="234"/>
        <v>0</v>
      </c>
      <c r="TK11" s="28" t="s">
        <v>57</v>
      </c>
      <c r="TL11" s="41">
        <f t="shared" si="235"/>
        <v>13.350000000000001</v>
      </c>
      <c r="TM11" s="41">
        <f t="shared" si="236"/>
        <v>14.870000000000001</v>
      </c>
      <c r="TN11" s="41">
        <f t="shared" si="237"/>
        <v>50.47</v>
      </c>
      <c r="TO11" s="41">
        <f t="shared" si="238"/>
        <v>8.6999999999999993</v>
      </c>
      <c r="TP11" s="41">
        <f t="shared" si="239"/>
        <v>8.5050000000000008</v>
      </c>
      <c r="TQ11" s="41">
        <f t="shared" si="240"/>
        <v>28.655000000000001</v>
      </c>
      <c r="TR11" s="41">
        <f t="shared" si="241"/>
        <v>50.47</v>
      </c>
      <c r="TS11" s="41">
        <f t="shared" si="242"/>
        <v>8.9</v>
      </c>
      <c r="TT11" s="41">
        <f t="shared" si="243"/>
        <v>8.7900000000000009</v>
      </c>
      <c r="TU11" s="41">
        <f t="shared" si="244"/>
        <v>30.740000000000002</v>
      </c>
      <c r="TV11" s="41">
        <f t="shared" si="245"/>
        <v>81.210000000000008</v>
      </c>
    </row>
    <row r="12" spans="1:542" x14ac:dyDescent="0.2">
      <c r="A12" s="4" cm="1">
        <f t="array" ref="A12">IF(AND(H12&lt;&gt;"",H12&lt;&gt;"No DD"),SUMPRODUCT((H$4:H$24&lt;&gt;"")*(H$4:H$24&lt;&gt;"No DD")*(E$4:E$24&gt;E12))+1,IF(H12="No DD",SUMPRODUCT((H$4:H$24="No DD")*(E$4:E$24&gt;E12))+1+SUMPRODUCT((H$4:H$24&lt;&gt;"")*(H$4:H$24&lt;&gt;"No DD")),""))</f>
        <v>7</v>
      </c>
      <c r="B12" s="5" t="s">
        <v>127</v>
      </c>
      <c r="C12" s="4" t="s">
        <v>8</v>
      </c>
      <c r="D12" s="4">
        <v>2005</v>
      </c>
      <c r="E12" s="9">
        <f t="shared" si="0"/>
        <v>232.17002319800551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IF(COUNT(AQ12,AT12,BR12,BU12,CS12,CV12)&gt;0,LARGE((AQ12,AT12,BR12,BU12,CS12,CV12),1),0)</f>
        <v>55.14</v>
      </c>
      <c r="K12" s="8" t="str">
        <f t="shared" si="5"/>
        <v>2023 Nationals</v>
      </c>
      <c r="L12" s="8">
        <f>IF(COUNT(AQ12,AT12,BR12,BU12,CS12,CV12)&gt;1,LARGE((AQ12,AT12,BR12,BU12,CS12,CV12),2),0)</f>
        <v>54.33</v>
      </c>
      <c r="M12" s="8" t="str">
        <f t="shared" si="6"/>
        <v>2023 Nationals</v>
      </c>
      <c r="N12" s="8">
        <f>IF(COUNT(AQ12,AT12,BR12,BU12,CS12,CV12)&gt;2,LARGE((AQ12,AT12,BR12,BU12,CS12,CV12),3),0)</f>
        <v>53.98</v>
      </c>
      <c r="O12" s="8" t="str">
        <f t="shared" si="7"/>
        <v>2023 Elite Canada</v>
      </c>
      <c r="P12" s="8">
        <f t="shared" si="8"/>
        <v>54.13</v>
      </c>
      <c r="Q12" s="8" t="str">
        <f t="shared" si="9"/>
        <v>2023 Nationals</v>
      </c>
      <c r="R12" s="8">
        <f t="shared" si="10"/>
        <v>14.4</v>
      </c>
      <c r="S12" s="8" t="str">
        <f t="shared" si="11"/>
        <v>2023 Nationals</v>
      </c>
      <c r="T12" s="8">
        <f t="shared" si="12"/>
        <v>0</v>
      </c>
      <c r="U12" s="8" t="str">
        <f t="shared" si="13"/>
        <v/>
      </c>
      <c r="V12" s="8">
        <f t="shared" si="14"/>
        <v>0.18999999999999773</v>
      </c>
      <c r="W12" s="11" t="str">
        <f t="shared" si="15"/>
        <v>(Prelim)</v>
      </c>
      <c r="X12" s="8" t="str">
        <f t="shared" si="16"/>
        <v>2023 Pan Am Club Championships (May 14)</v>
      </c>
      <c r="Y12" s="23">
        <v>15.7</v>
      </c>
      <c r="Z12" s="23">
        <v>9.1</v>
      </c>
      <c r="AA12" s="23">
        <v>14.4</v>
      </c>
      <c r="AB12" s="23">
        <v>14.78</v>
      </c>
      <c r="AC12" s="23">
        <v>0</v>
      </c>
      <c r="AD12" s="23">
        <v>15.3</v>
      </c>
      <c r="AE12" s="23">
        <v>9.1999999999999993</v>
      </c>
      <c r="AF12" s="23">
        <v>14.2</v>
      </c>
      <c r="AG12" s="23">
        <v>14.51</v>
      </c>
      <c r="AH12" s="23">
        <v>0</v>
      </c>
      <c r="AI12" s="23">
        <v>6.5</v>
      </c>
      <c r="AJ12" s="23">
        <v>3.7</v>
      </c>
      <c r="AK12" s="23">
        <v>6.1</v>
      </c>
      <c r="AL12" s="23">
        <v>6.26</v>
      </c>
      <c r="AM12" s="23">
        <v>0</v>
      </c>
      <c r="AN12" s="28"/>
      <c r="AO12" s="39">
        <f t="shared" si="17"/>
        <v>14.4</v>
      </c>
      <c r="AP12" s="39">
        <f t="shared" si="18"/>
        <v>14.78</v>
      </c>
      <c r="AQ12" s="41">
        <f t="shared" si="19"/>
        <v>53.98</v>
      </c>
      <c r="AR12" s="41">
        <f t="shared" si="20"/>
        <v>14.2</v>
      </c>
      <c r="AS12" s="41">
        <f t="shared" si="21"/>
        <v>14.51</v>
      </c>
      <c r="AT12" s="41">
        <f t="shared" si="22"/>
        <v>53.21</v>
      </c>
      <c r="AU12" s="41">
        <f t="shared" si="23"/>
        <v>53.98</v>
      </c>
      <c r="AV12" s="41">
        <f t="shared" si="24"/>
        <v>6.1</v>
      </c>
      <c r="AW12" s="41">
        <f t="shared" si="25"/>
        <v>6.26</v>
      </c>
      <c r="AX12" s="41">
        <f t="shared" si="26"/>
        <v>22.559999999999995</v>
      </c>
      <c r="AY12" s="41">
        <f t="shared" si="27"/>
        <v>76.539999999999992</v>
      </c>
      <c r="AZ12" s="27">
        <v>15.9</v>
      </c>
      <c r="BA12" s="27">
        <v>9.1</v>
      </c>
      <c r="BB12" s="27">
        <v>14.4</v>
      </c>
      <c r="BC12" s="27">
        <v>14.93</v>
      </c>
      <c r="BD12" s="27">
        <v>0</v>
      </c>
      <c r="BE12" s="27">
        <v>16.399999999999999</v>
      </c>
      <c r="BF12" s="27">
        <v>9.1999999999999993</v>
      </c>
      <c r="BG12" s="27">
        <v>14.4</v>
      </c>
      <c r="BH12" s="27">
        <v>15.14</v>
      </c>
      <c r="BI12" s="27">
        <v>0</v>
      </c>
      <c r="BJ12" s="27">
        <v>15.3</v>
      </c>
      <c r="BK12" s="27">
        <v>9.4</v>
      </c>
      <c r="BL12" s="27">
        <v>14.4</v>
      </c>
      <c r="BM12" s="27">
        <v>15.03</v>
      </c>
      <c r="BN12" s="27">
        <v>0</v>
      </c>
      <c r="BO12" s="29"/>
      <c r="BP12" s="40">
        <f t="shared" si="28"/>
        <v>14.4</v>
      </c>
      <c r="BQ12" s="40">
        <f t="shared" si="29"/>
        <v>14.93</v>
      </c>
      <c r="BR12" s="11">
        <f t="shared" si="30"/>
        <v>54.33</v>
      </c>
      <c r="BS12" s="11">
        <f t="shared" si="31"/>
        <v>14.4</v>
      </c>
      <c r="BT12" s="11">
        <f t="shared" si="32"/>
        <v>15.14</v>
      </c>
      <c r="BU12" s="11">
        <f t="shared" si="33"/>
        <v>55.14</v>
      </c>
      <c r="BV12" s="11">
        <f t="shared" si="34"/>
        <v>55.14</v>
      </c>
      <c r="BW12" s="11">
        <f t="shared" si="35"/>
        <v>14.4</v>
      </c>
      <c r="BX12" s="11">
        <f t="shared" si="36"/>
        <v>15.03</v>
      </c>
      <c r="BY12" s="11">
        <f t="shared" si="37"/>
        <v>54.13</v>
      </c>
      <c r="BZ12" s="11">
        <f t="shared" si="38"/>
        <v>109.27000000000001</v>
      </c>
      <c r="CA12" s="23">
        <v>5.8</v>
      </c>
      <c r="CB12" s="23">
        <v>3.4</v>
      </c>
      <c r="CC12" s="23">
        <v>5.9</v>
      </c>
      <c r="CD12" s="23">
        <v>6.18</v>
      </c>
      <c r="CE12" s="23">
        <v>0</v>
      </c>
      <c r="CF12" s="23">
        <v>5.7</v>
      </c>
      <c r="CG12" s="23">
        <v>3.3</v>
      </c>
      <c r="CH12" s="23">
        <v>5.9</v>
      </c>
      <c r="CI12" s="23">
        <v>6.13</v>
      </c>
      <c r="CJ12" s="23">
        <v>0</v>
      </c>
      <c r="CK12" s="23"/>
      <c r="CL12" s="23"/>
      <c r="CM12" s="23"/>
      <c r="CN12" s="23"/>
      <c r="CO12" s="23"/>
      <c r="CP12" s="28"/>
      <c r="CQ12" s="39">
        <f t="shared" si="39"/>
        <v>5.9</v>
      </c>
      <c r="CR12" s="39">
        <f t="shared" si="40"/>
        <v>6.18</v>
      </c>
      <c r="CS12" s="41">
        <f t="shared" si="41"/>
        <v>21.28</v>
      </c>
      <c r="CT12" s="41">
        <f t="shared" si="42"/>
        <v>5.9</v>
      </c>
      <c r="CU12" s="41">
        <f t="shared" si="43"/>
        <v>6.13</v>
      </c>
      <c r="CV12" s="41">
        <f t="shared" si="44"/>
        <v>21.03</v>
      </c>
      <c r="CW12" s="41">
        <f t="shared" si="45"/>
        <v>21.28</v>
      </c>
      <c r="CX12" s="41" t="str">
        <f t="shared" si="46"/>
        <v/>
      </c>
      <c r="CY12" s="41" t="str">
        <f t="shared" si="47"/>
        <v/>
      </c>
      <c r="CZ12" s="41" t="str">
        <f t="shared" si="48"/>
        <v/>
      </c>
      <c r="DA12" s="41">
        <f t="shared" si="49"/>
        <v>21.28</v>
      </c>
      <c r="DB12" s="52">
        <f t="shared" si="50"/>
        <v>0.18999999999999773</v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>
        <v>1.6</v>
      </c>
      <c r="FU12" s="17">
        <v>1</v>
      </c>
      <c r="FV12" s="17">
        <v>1.7</v>
      </c>
      <c r="FW12" s="17">
        <v>1.63</v>
      </c>
      <c r="FX12" s="17">
        <v>0.2</v>
      </c>
      <c r="FY12" s="17">
        <v>14.9</v>
      </c>
      <c r="FZ12" s="17">
        <v>8.6</v>
      </c>
      <c r="GA12" s="17">
        <v>13.3</v>
      </c>
      <c r="GB12" s="17">
        <v>15.04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 t="shared" si="80"/>
        <v>1.7</v>
      </c>
      <c r="GO12" s="41">
        <f t="shared" si="81"/>
        <v>1.63</v>
      </c>
      <c r="GP12" s="41">
        <f t="shared" si="82"/>
        <v>5.7299999999999995</v>
      </c>
      <c r="GQ12" s="41">
        <f t="shared" si="83"/>
        <v>13.3</v>
      </c>
      <c r="GR12" s="41">
        <f t="shared" si="84"/>
        <v>15.04</v>
      </c>
      <c r="GS12" s="41">
        <f t="shared" si="85"/>
        <v>51.839999999999996</v>
      </c>
      <c r="GT12" s="41">
        <f t="shared" si="86"/>
        <v>51.839999999999996</v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>
        <f t="shared" si="93"/>
        <v>51.839999999999996</v>
      </c>
      <c r="HB12" s="18">
        <v>15.2</v>
      </c>
      <c r="HC12" s="18">
        <v>9.5</v>
      </c>
      <c r="HD12" s="18">
        <v>14.4</v>
      </c>
      <c r="HE12" s="18">
        <v>14.7</v>
      </c>
      <c r="HF12" s="18">
        <v>0</v>
      </c>
      <c r="HG12" s="18">
        <v>15.7</v>
      </c>
      <c r="HH12" s="18">
        <v>9.1</v>
      </c>
      <c r="HI12" s="18">
        <v>14.4</v>
      </c>
      <c r="HJ12" s="18">
        <v>14.97</v>
      </c>
      <c r="HK12" s="18">
        <v>0</v>
      </c>
      <c r="HL12" s="18"/>
      <c r="HM12" s="18"/>
      <c r="HN12" s="18"/>
      <c r="HO12" s="18"/>
      <c r="HP12" s="18"/>
      <c r="HQ12" s="18">
        <v>15.3</v>
      </c>
      <c r="HR12" s="18">
        <v>8.8000000000000007</v>
      </c>
      <c r="HS12" s="18">
        <v>14.4</v>
      </c>
      <c r="HT12" s="18">
        <v>14.8</v>
      </c>
      <c r="HU12" s="18">
        <v>0</v>
      </c>
      <c r="HV12" s="11">
        <f t="shared" si="94"/>
        <v>14.4</v>
      </c>
      <c r="HW12" s="11">
        <f t="shared" si="95"/>
        <v>14.7</v>
      </c>
      <c r="HX12" s="11">
        <f t="shared" si="96"/>
        <v>53.8</v>
      </c>
      <c r="HY12" s="11">
        <f t="shared" si="97"/>
        <v>14.4</v>
      </c>
      <c r="HZ12" s="11">
        <f t="shared" si="98"/>
        <v>14.97</v>
      </c>
      <c r="IA12" s="11">
        <f t="shared" si="99"/>
        <v>54.169999999999995</v>
      </c>
      <c r="IB12" s="11">
        <f t="shared" si="100"/>
        <v>54.169999999999995</v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>
        <f t="shared" si="104"/>
        <v>14.4</v>
      </c>
      <c r="IG12" s="11">
        <f t="shared" si="105"/>
        <v>14.8</v>
      </c>
      <c r="IH12" s="11">
        <f t="shared" si="106"/>
        <v>53.3</v>
      </c>
      <c r="II12" s="11">
        <f t="shared" si="107"/>
        <v>107.47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10.85</v>
      </c>
      <c r="SW12" s="23">
        <f t="shared" si="221"/>
        <v>6.25</v>
      </c>
      <c r="SX12" s="23">
        <f t="shared" si="222"/>
        <v>10.15</v>
      </c>
      <c r="SY12" s="23">
        <f t="shared" si="223"/>
        <v>10.555</v>
      </c>
      <c r="SZ12" s="23">
        <f t="shared" si="224"/>
        <v>0</v>
      </c>
      <c r="TA12" s="23">
        <f t="shared" si="225"/>
        <v>11.049999999999999</v>
      </c>
      <c r="TB12" s="23">
        <f t="shared" si="226"/>
        <v>6.25</v>
      </c>
      <c r="TC12" s="23">
        <f t="shared" si="227"/>
        <v>10.15</v>
      </c>
      <c r="TD12" s="23">
        <f t="shared" si="228"/>
        <v>10.635</v>
      </c>
      <c r="TE12" s="23">
        <f t="shared" si="229"/>
        <v>0</v>
      </c>
      <c r="TF12" s="23">
        <f t="shared" si="230"/>
        <v>7.65</v>
      </c>
      <c r="TG12" s="23">
        <f t="shared" si="231"/>
        <v>4.7</v>
      </c>
      <c r="TH12" s="23">
        <f t="shared" si="232"/>
        <v>7.2</v>
      </c>
      <c r="TI12" s="23">
        <f t="shared" si="233"/>
        <v>7.5149999999999997</v>
      </c>
      <c r="TJ12" s="23">
        <f t="shared" si="234"/>
        <v>0</v>
      </c>
      <c r="TK12" s="28" t="s">
        <v>57</v>
      </c>
      <c r="TL12" s="41">
        <f t="shared" si="235"/>
        <v>10.15</v>
      </c>
      <c r="TM12" s="41">
        <f t="shared" si="236"/>
        <v>10.555</v>
      </c>
      <c r="TN12" s="41">
        <f t="shared" si="237"/>
        <v>37.805</v>
      </c>
      <c r="TO12" s="41">
        <f t="shared" si="238"/>
        <v>10.15</v>
      </c>
      <c r="TP12" s="41">
        <f t="shared" si="239"/>
        <v>10.635</v>
      </c>
      <c r="TQ12" s="41">
        <f t="shared" si="240"/>
        <v>38.084999999999994</v>
      </c>
      <c r="TR12" s="41">
        <f t="shared" si="241"/>
        <v>38.084999999999994</v>
      </c>
      <c r="TS12" s="41">
        <f t="shared" si="242"/>
        <v>7.2</v>
      </c>
      <c r="TT12" s="41">
        <f t="shared" si="243"/>
        <v>7.5149999999999997</v>
      </c>
      <c r="TU12" s="41">
        <f t="shared" si="244"/>
        <v>27.065000000000001</v>
      </c>
      <c r="TV12" s="41">
        <f t="shared" si="245"/>
        <v>65.149999999999991</v>
      </c>
    </row>
    <row r="13" spans="1:542" x14ac:dyDescent="0.2">
      <c r="A13" s="4" cm="1">
        <f t="array" ref="A13">IF(AND(H13&lt;&gt;"",H13&lt;&gt;"No DD"),SUMPRODUCT((H$4:H$24&lt;&gt;"")*(H$4:H$24&lt;&gt;"No DD")*(E$4:E$24&gt;E13))+1,IF(H13="No DD",SUMPRODUCT((H$4:H$24="No DD")*(E$4:E$24&gt;E13))+1+SUMPRODUCT((H$4:H$24&lt;&gt;"")*(H$4:H$24&lt;&gt;"No DD")),""))</f>
        <v>8</v>
      </c>
      <c r="B13" s="5" t="s">
        <v>153</v>
      </c>
      <c r="C13" s="4" t="s">
        <v>152</v>
      </c>
      <c r="D13" s="4">
        <v>2004</v>
      </c>
      <c r="E13" s="9">
        <f t="shared" si="0"/>
        <v>230.70002208200546</v>
      </c>
      <c r="F13" s="3" t="str">
        <f t="shared" si="1"/>
        <v/>
      </c>
      <c r="G13" s="3" t="str">
        <f t="shared" si="2"/>
        <v>P</v>
      </c>
      <c r="H13" s="37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54.769999999999996</v>
      </c>
      <c r="K13" s="8" t="str">
        <f t="shared" si="5"/>
        <v>2023 Elite Canada</v>
      </c>
      <c r="L13" s="8">
        <f>IF(COUNT(AQ13,AT13,BR13,BU13,CS13,CV13)&gt;1,LARGE((AQ13,AT13,BR13,BU13,CS13,CV13),2),0)</f>
        <v>53.910000000000004</v>
      </c>
      <c r="M13" s="8" t="str">
        <f t="shared" si="6"/>
        <v>2023 Domestic 3rd Trial</v>
      </c>
      <c r="N13" s="8">
        <f>IF(COUNT(AQ13,AT13,BR13,BU13,CS13,CV13)&gt;2,LARGE((AQ13,AT13,BR13,BU13,CS13,CV13),3),0)</f>
        <v>43.65</v>
      </c>
      <c r="O13" s="8" t="str">
        <f t="shared" si="7"/>
        <v>2023 Elite Canada</v>
      </c>
      <c r="P13" s="8">
        <f t="shared" si="8"/>
        <v>54.489999999999995</v>
      </c>
      <c r="Q13" s="8" t="str">
        <f t="shared" si="9"/>
        <v>2023 Domestic 3rd Trial</v>
      </c>
      <c r="R13" s="8">
        <f t="shared" si="10"/>
        <v>14</v>
      </c>
      <c r="S13" s="8" t="str">
        <f t="shared" si="11"/>
        <v>2023 Domestic 3rd Trial</v>
      </c>
      <c r="T13" s="8">
        <f t="shared" si="12"/>
        <v>0</v>
      </c>
      <c r="U13" s="8" t="str">
        <f t="shared" si="13"/>
        <v/>
      </c>
      <c r="V13" s="8">
        <f t="shared" si="14"/>
        <v>9.8800000000000026</v>
      </c>
      <c r="W13" s="11" t="str">
        <f t="shared" si="15"/>
        <v>(Prelim)</v>
      </c>
      <c r="X13" s="8" t="str">
        <f t="shared" si="16"/>
        <v>2023 Pan Am Club Championships (May 14)</v>
      </c>
      <c r="Y13" s="23">
        <v>12.2</v>
      </c>
      <c r="Z13" s="23">
        <v>8.1999999999999993</v>
      </c>
      <c r="AA13" s="23">
        <v>10.7</v>
      </c>
      <c r="AB13" s="23">
        <v>12.55</v>
      </c>
      <c r="AC13" s="23">
        <v>0</v>
      </c>
      <c r="AD13" s="23">
        <v>16</v>
      </c>
      <c r="AE13" s="23">
        <v>9.5</v>
      </c>
      <c r="AF13" s="23">
        <v>13.4</v>
      </c>
      <c r="AG13" s="23">
        <v>15.97</v>
      </c>
      <c r="AH13" s="23">
        <v>0.1</v>
      </c>
      <c r="AI13" s="23">
        <v>14.7</v>
      </c>
      <c r="AJ13" s="23">
        <v>8.9</v>
      </c>
      <c r="AK13" s="23">
        <v>13.4</v>
      </c>
      <c r="AL13" s="23">
        <v>15.87</v>
      </c>
      <c r="AM13" s="23">
        <v>0.1</v>
      </c>
      <c r="AN13" s="28"/>
      <c r="AO13" s="39">
        <f t="shared" si="17"/>
        <v>10.7</v>
      </c>
      <c r="AP13" s="39">
        <f t="shared" si="18"/>
        <v>12.55</v>
      </c>
      <c r="AQ13" s="41">
        <f t="shared" si="19"/>
        <v>43.65</v>
      </c>
      <c r="AR13" s="41">
        <f t="shared" si="20"/>
        <v>13.4</v>
      </c>
      <c r="AS13" s="41">
        <f t="shared" si="21"/>
        <v>15.97</v>
      </c>
      <c r="AT13" s="41">
        <f t="shared" si="22"/>
        <v>54.769999999999996</v>
      </c>
      <c r="AU13" s="41">
        <f t="shared" si="23"/>
        <v>54.769999999999996</v>
      </c>
      <c r="AV13" s="41">
        <f t="shared" si="24"/>
        <v>13.4</v>
      </c>
      <c r="AW13" s="41">
        <f t="shared" si="25"/>
        <v>15.87</v>
      </c>
      <c r="AX13" s="41">
        <f t="shared" si="26"/>
        <v>52.769999999999996</v>
      </c>
      <c r="AY13" s="41">
        <f t="shared" si="27"/>
        <v>107.53999999999999</v>
      </c>
      <c r="AZ13" s="27">
        <v>6.85</v>
      </c>
      <c r="BA13" s="27">
        <v>4.5999999999999996</v>
      </c>
      <c r="BB13" s="27">
        <v>6.35</v>
      </c>
      <c r="BC13" s="27">
        <v>7.1800000000000006</v>
      </c>
      <c r="BD13" s="27">
        <v>0</v>
      </c>
      <c r="BE13" s="27">
        <v>10.9</v>
      </c>
      <c r="BF13" s="27">
        <v>6.65</v>
      </c>
      <c r="BG13" s="27">
        <v>9.4499999999999993</v>
      </c>
      <c r="BH13" s="27">
        <v>11.49</v>
      </c>
      <c r="BI13" s="27">
        <v>0.05</v>
      </c>
      <c r="BJ13" s="27">
        <v>7.35</v>
      </c>
      <c r="BK13" s="27">
        <v>4.45</v>
      </c>
      <c r="BL13" s="27">
        <v>6.7</v>
      </c>
      <c r="BM13" s="27">
        <v>7.9349999999999996</v>
      </c>
      <c r="BN13" s="27">
        <v>0.05</v>
      </c>
      <c r="BO13" s="29" t="s">
        <v>57</v>
      </c>
      <c r="BP13" s="40">
        <f t="shared" si="28"/>
        <v>6.35</v>
      </c>
      <c r="BQ13" s="40">
        <f t="shared" si="29"/>
        <v>7.1800000000000006</v>
      </c>
      <c r="BR13" s="11">
        <f t="shared" si="30"/>
        <v>24.979999999999997</v>
      </c>
      <c r="BS13" s="11">
        <f t="shared" si="31"/>
        <v>9.4499999999999993</v>
      </c>
      <c r="BT13" s="11">
        <f t="shared" si="32"/>
        <v>11.49</v>
      </c>
      <c r="BU13" s="11">
        <f t="shared" si="33"/>
        <v>38.440000000000005</v>
      </c>
      <c r="BV13" s="11">
        <f t="shared" si="34"/>
        <v>38.440000000000005</v>
      </c>
      <c r="BW13" s="11">
        <f t="shared" si="35"/>
        <v>6.7</v>
      </c>
      <c r="BX13" s="11">
        <f t="shared" si="36"/>
        <v>7.9349999999999996</v>
      </c>
      <c r="BY13" s="11">
        <f t="shared" si="37"/>
        <v>26.384999999999998</v>
      </c>
      <c r="BZ13" s="11">
        <f t="shared" si="38"/>
        <v>64.825000000000003</v>
      </c>
      <c r="CA13" s="23">
        <v>11.2</v>
      </c>
      <c r="CB13" s="23">
        <v>7.1</v>
      </c>
      <c r="CC13" s="23">
        <v>10.1</v>
      </c>
      <c r="CD13" s="23">
        <v>13.07</v>
      </c>
      <c r="CE13" s="23">
        <v>0</v>
      </c>
      <c r="CF13" s="23">
        <v>15.3</v>
      </c>
      <c r="CG13" s="23">
        <v>9</v>
      </c>
      <c r="CH13" s="23">
        <v>13.4</v>
      </c>
      <c r="CI13" s="23">
        <v>16.309999999999999</v>
      </c>
      <c r="CJ13" s="23">
        <v>0.1</v>
      </c>
      <c r="CK13" s="23">
        <v>15.8</v>
      </c>
      <c r="CL13" s="23">
        <v>8.5</v>
      </c>
      <c r="CM13" s="23">
        <v>14</v>
      </c>
      <c r="CN13" s="23">
        <v>16.190000000000001</v>
      </c>
      <c r="CO13" s="23">
        <v>0</v>
      </c>
      <c r="CP13" s="28"/>
      <c r="CQ13" s="39">
        <f t="shared" si="39"/>
        <v>10.1</v>
      </c>
      <c r="CR13" s="39">
        <f t="shared" si="40"/>
        <v>13.07</v>
      </c>
      <c r="CS13" s="41">
        <f t="shared" si="41"/>
        <v>41.47</v>
      </c>
      <c r="CT13" s="41">
        <f t="shared" si="42"/>
        <v>13.4</v>
      </c>
      <c r="CU13" s="41">
        <f t="shared" si="43"/>
        <v>16.309999999999999</v>
      </c>
      <c r="CV13" s="41">
        <f t="shared" si="44"/>
        <v>53.910000000000004</v>
      </c>
      <c r="CW13" s="41">
        <f t="shared" si="45"/>
        <v>53.910000000000004</v>
      </c>
      <c r="CX13" s="41">
        <f t="shared" si="46"/>
        <v>14</v>
      </c>
      <c r="CY13" s="41">
        <f t="shared" si="47"/>
        <v>16.190000000000001</v>
      </c>
      <c r="CZ13" s="41">
        <f t="shared" si="48"/>
        <v>54.489999999999995</v>
      </c>
      <c r="DA13" s="41">
        <f t="shared" si="49"/>
        <v>108.4</v>
      </c>
      <c r="DB13" s="52">
        <f t="shared" si="50"/>
        <v>9.8800000000000026</v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>
        <v>1.4</v>
      </c>
      <c r="FU13" s="17">
        <v>0.8</v>
      </c>
      <c r="FV13" s="17">
        <v>2</v>
      </c>
      <c r="FW13" s="17">
        <v>1.76</v>
      </c>
      <c r="FX13" s="17">
        <v>0.4</v>
      </c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>
        <f t="shared" si="80"/>
        <v>2</v>
      </c>
      <c r="GO13" s="41">
        <f t="shared" si="81"/>
        <v>1.76</v>
      </c>
      <c r="GP13" s="41">
        <f t="shared" si="82"/>
        <v>5.56</v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>
        <f t="shared" si="86"/>
        <v>5.56</v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>
        <f t="shared" si="93"/>
        <v>5.56</v>
      </c>
      <c r="HB13" s="18">
        <v>13.3</v>
      </c>
      <c r="HC13" s="18">
        <v>9.4</v>
      </c>
      <c r="HD13" s="18">
        <v>12.3</v>
      </c>
      <c r="HE13" s="18">
        <v>15.58</v>
      </c>
      <c r="HF13" s="18">
        <v>0</v>
      </c>
      <c r="HG13" s="18">
        <v>14.7</v>
      </c>
      <c r="HH13" s="18">
        <v>9.1999999999999993</v>
      </c>
      <c r="HI13" s="18">
        <v>13.8</v>
      </c>
      <c r="HJ13" s="18">
        <v>15.83</v>
      </c>
      <c r="HK13" s="18">
        <v>0</v>
      </c>
      <c r="HL13" s="18"/>
      <c r="HM13" s="18"/>
      <c r="HN13" s="18"/>
      <c r="HO13" s="18"/>
      <c r="HP13" s="18"/>
      <c r="HQ13" s="18">
        <v>15.1</v>
      </c>
      <c r="HR13" s="18">
        <v>8.8000000000000007</v>
      </c>
      <c r="HS13" s="18">
        <v>13.8</v>
      </c>
      <c r="HT13" s="18">
        <v>15.76</v>
      </c>
      <c r="HU13" s="18">
        <v>0</v>
      </c>
      <c r="HV13" s="11">
        <f t="shared" si="94"/>
        <v>12.3</v>
      </c>
      <c r="HW13" s="11">
        <f t="shared" si="95"/>
        <v>15.58</v>
      </c>
      <c r="HX13" s="11">
        <f t="shared" si="96"/>
        <v>50.58</v>
      </c>
      <c r="HY13" s="11">
        <f t="shared" si="97"/>
        <v>13.8</v>
      </c>
      <c r="HZ13" s="11">
        <f t="shared" si="98"/>
        <v>15.83</v>
      </c>
      <c r="IA13" s="11">
        <f t="shared" si="99"/>
        <v>53.53</v>
      </c>
      <c r="IB13" s="11">
        <f t="shared" si="100"/>
        <v>53.53</v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>
        <f t="shared" si="104"/>
        <v>13.8</v>
      </c>
      <c r="IG13" s="11">
        <f t="shared" si="105"/>
        <v>15.76</v>
      </c>
      <c r="IH13" s="11">
        <f t="shared" si="106"/>
        <v>53.46</v>
      </c>
      <c r="II13" s="11">
        <f t="shared" si="107"/>
        <v>106.99000000000001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9.0249999999999986</v>
      </c>
      <c r="SW13" s="23">
        <f t="shared" si="221"/>
        <v>5.85</v>
      </c>
      <c r="SX13" s="23">
        <f t="shared" si="222"/>
        <v>8.2249999999999996</v>
      </c>
      <c r="SY13" s="23">
        <f t="shared" si="223"/>
        <v>10.125</v>
      </c>
      <c r="SZ13" s="23">
        <f t="shared" si="224"/>
        <v>0</v>
      </c>
      <c r="TA13" s="23">
        <f t="shared" si="225"/>
        <v>13.100000000000001</v>
      </c>
      <c r="TB13" s="23">
        <f t="shared" si="226"/>
        <v>7.8250000000000002</v>
      </c>
      <c r="TC13" s="23">
        <f t="shared" si="227"/>
        <v>11.425000000000001</v>
      </c>
      <c r="TD13" s="23">
        <f t="shared" si="228"/>
        <v>13.899999999999999</v>
      </c>
      <c r="TE13" s="23">
        <f t="shared" si="229"/>
        <v>7.5000000000000011E-2</v>
      </c>
      <c r="TF13" s="23">
        <f t="shared" si="230"/>
        <v>11.574999999999999</v>
      </c>
      <c r="TG13" s="23">
        <f t="shared" si="231"/>
        <v>6.4749999999999996</v>
      </c>
      <c r="TH13" s="23">
        <f t="shared" si="232"/>
        <v>10.35</v>
      </c>
      <c r="TI13" s="23">
        <f t="shared" si="233"/>
        <v>12.0625</v>
      </c>
      <c r="TJ13" s="23">
        <f t="shared" si="234"/>
        <v>2.5000000000000001E-2</v>
      </c>
      <c r="TK13" s="28" t="s">
        <v>57</v>
      </c>
      <c r="TL13" s="41">
        <f t="shared" si="235"/>
        <v>8.2249999999999996</v>
      </c>
      <c r="TM13" s="41">
        <f t="shared" si="236"/>
        <v>10.125</v>
      </c>
      <c r="TN13" s="41">
        <f t="shared" si="237"/>
        <v>33.224999999999994</v>
      </c>
      <c r="TO13" s="41">
        <f t="shared" si="238"/>
        <v>11.425000000000001</v>
      </c>
      <c r="TP13" s="41">
        <f t="shared" si="239"/>
        <v>13.899999999999999</v>
      </c>
      <c r="TQ13" s="41">
        <f t="shared" si="240"/>
        <v>46.174999999999997</v>
      </c>
      <c r="TR13" s="41">
        <f t="shared" si="241"/>
        <v>46.174999999999997</v>
      </c>
      <c r="TS13" s="41">
        <f t="shared" si="242"/>
        <v>10.35</v>
      </c>
      <c r="TT13" s="41">
        <f t="shared" si="243"/>
        <v>12.0625</v>
      </c>
      <c r="TU13" s="41">
        <f t="shared" si="244"/>
        <v>40.4375</v>
      </c>
      <c r="TV13" s="41">
        <f t="shared" si="245"/>
        <v>86.612499999999997</v>
      </c>
    </row>
    <row r="14" spans="1:542" x14ac:dyDescent="0.2">
      <c r="A14" s="4" cm="1">
        <f t="array" ref="A14">IF(AND(H14&lt;&gt;"",H14&lt;&gt;"No DD"),SUMPRODUCT((H$4:H$24&lt;&gt;"")*(H$4:H$24&lt;&gt;"No DD")*(E$4:E$24&gt;E14))+1,IF(H14="No DD",SUMPRODUCT((H$4:H$24="No DD")*(E$4:E$24&gt;E14))+1+SUMPRODUCT((H$4:H$24&lt;&gt;"")*(H$4:H$24&lt;&gt;"No DD")),""))</f>
        <v>9</v>
      </c>
      <c r="B14" s="5" t="s">
        <v>210</v>
      </c>
      <c r="C14" s="4" t="s">
        <v>8</v>
      </c>
      <c r="D14" s="4">
        <v>2006</v>
      </c>
      <c r="E14" s="9">
        <f t="shared" si="0"/>
        <v>227.57002140800546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54.68</v>
      </c>
      <c r="K14" s="8" t="str">
        <f t="shared" si="5"/>
        <v>2023 Elite Canada</v>
      </c>
      <c r="L14" s="8">
        <f>IF(COUNT(AQ14,AT14,BR14,BU14,CS14,CV14)&gt;1,LARGE((AQ14,AT14,BR14,BU14,CS14,CV14),2),0)</f>
        <v>54.089999999999996</v>
      </c>
      <c r="M14" s="8" t="str">
        <f t="shared" si="6"/>
        <v>2023 Nationals</v>
      </c>
      <c r="N14" s="8">
        <f>IF(COUNT(AQ14,AT14,BR14,BU14,CS14,CV14)&gt;2,LARGE((AQ14,AT14,BR14,BU14,CS14,CV14),3),0)</f>
        <v>37.56</v>
      </c>
      <c r="O14" s="8" t="str">
        <f t="shared" si="7"/>
        <v>2023 Nationals</v>
      </c>
      <c r="P14" s="8">
        <f t="shared" si="8"/>
        <v>53.35</v>
      </c>
      <c r="Q14" s="8" t="str">
        <f t="shared" si="9"/>
        <v>2023 Nationals</v>
      </c>
      <c r="R14" s="8">
        <f t="shared" si="10"/>
        <v>14.4</v>
      </c>
      <c r="S14" s="8" t="str">
        <f t="shared" si="11"/>
        <v>2023 Elite Canada</v>
      </c>
      <c r="T14" s="8">
        <f t="shared" si="12"/>
        <v>0</v>
      </c>
      <c r="U14" s="8" t="str">
        <f t="shared" si="13"/>
        <v/>
      </c>
      <c r="V14" s="8">
        <f t="shared" si="14"/>
        <v>13.489999999999995</v>
      </c>
      <c r="W14" s="11" t="str">
        <f t="shared" si="15"/>
        <v>(Prelim)</v>
      </c>
      <c r="X14" s="8" t="str">
        <f t="shared" si="16"/>
        <v>2022 WAGC (Nov 25)</v>
      </c>
      <c r="Y14" s="23">
        <v>5.0999999999999996</v>
      </c>
      <c r="Z14" s="23">
        <v>3.4</v>
      </c>
      <c r="AA14" s="23">
        <v>6.1</v>
      </c>
      <c r="AB14" s="23">
        <v>6.49</v>
      </c>
      <c r="AC14" s="23">
        <v>0</v>
      </c>
      <c r="AD14" s="23">
        <v>15.7</v>
      </c>
      <c r="AE14" s="23">
        <v>9</v>
      </c>
      <c r="AF14" s="23">
        <v>14.4</v>
      </c>
      <c r="AG14" s="23">
        <v>15.58</v>
      </c>
      <c r="AH14" s="23">
        <v>0</v>
      </c>
      <c r="AI14" s="23">
        <v>2.8</v>
      </c>
      <c r="AJ14" s="23">
        <v>1.7</v>
      </c>
      <c r="AK14" s="23">
        <v>3.2</v>
      </c>
      <c r="AL14" s="23">
        <v>3.37</v>
      </c>
      <c r="AM14" s="23">
        <v>0</v>
      </c>
      <c r="AN14" s="28"/>
      <c r="AO14" s="39">
        <f t="shared" si="17"/>
        <v>6.1</v>
      </c>
      <c r="AP14" s="39">
        <f t="shared" si="18"/>
        <v>6.49</v>
      </c>
      <c r="AQ14" s="41">
        <f t="shared" si="19"/>
        <v>21.09</v>
      </c>
      <c r="AR14" s="41">
        <f t="shared" si="20"/>
        <v>14.4</v>
      </c>
      <c r="AS14" s="41">
        <f t="shared" si="21"/>
        <v>15.58</v>
      </c>
      <c r="AT14" s="41">
        <f t="shared" si="22"/>
        <v>54.68</v>
      </c>
      <c r="AU14" s="41">
        <f t="shared" si="23"/>
        <v>54.68</v>
      </c>
      <c r="AV14" s="41">
        <f t="shared" si="24"/>
        <v>3.2</v>
      </c>
      <c r="AW14" s="41">
        <f t="shared" si="25"/>
        <v>3.37</v>
      </c>
      <c r="AX14" s="41">
        <f t="shared" si="26"/>
        <v>11.07</v>
      </c>
      <c r="AY14" s="41">
        <f t="shared" si="27"/>
        <v>65.75</v>
      </c>
      <c r="AZ14" s="27">
        <v>16.3</v>
      </c>
      <c r="BA14" s="27">
        <v>9.1</v>
      </c>
      <c r="BB14" s="27">
        <v>13.5</v>
      </c>
      <c r="BC14" s="27">
        <v>15.19</v>
      </c>
      <c r="BD14" s="27">
        <v>0</v>
      </c>
      <c r="BE14" s="27">
        <v>10.8</v>
      </c>
      <c r="BF14" s="27">
        <v>6.4</v>
      </c>
      <c r="BG14" s="27">
        <v>9.6</v>
      </c>
      <c r="BH14" s="27">
        <v>10.76</v>
      </c>
      <c r="BI14" s="27">
        <v>0</v>
      </c>
      <c r="BJ14" s="27">
        <v>16</v>
      </c>
      <c r="BK14" s="27">
        <v>9.1</v>
      </c>
      <c r="BL14" s="27">
        <v>13.5</v>
      </c>
      <c r="BM14" s="27">
        <v>14.75</v>
      </c>
      <c r="BN14" s="27">
        <v>0</v>
      </c>
      <c r="BO14" s="29"/>
      <c r="BP14" s="40">
        <f t="shared" si="28"/>
        <v>13.5</v>
      </c>
      <c r="BQ14" s="40">
        <f t="shared" si="29"/>
        <v>15.19</v>
      </c>
      <c r="BR14" s="11">
        <f t="shared" si="30"/>
        <v>54.089999999999996</v>
      </c>
      <c r="BS14" s="11">
        <f t="shared" si="31"/>
        <v>9.6</v>
      </c>
      <c r="BT14" s="11">
        <f t="shared" si="32"/>
        <v>10.76</v>
      </c>
      <c r="BU14" s="11">
        <f t="shared" si="33"/>
        <v>37.56</v>
      </c>
      <c r="BV14" s="11">
        <f t="shared" si="34"/>
        <v>54.089999999999996</v>
      </c>
      <c r="BW14" s="11">
        <f t="shared" si="35"/>
        <v>13.5</v>
      </c>
      <c r="BX14" s="11">
        <f t="shared" si="36"/>
        <v>14.75</v>
      </c>
      <c r="BY14" s="11">
        <f t="shared" si="37"/>
        <v>53.35</v>
      </c>
      <c r="BZ14" s="11">
        <f t="shared" si="38"/>
        <v>107.44</v>
      </c>
      <c r="CA14" s="23">
        <v>4.5999999999999996</v>
      </c>
      <c r="CB14" s="23">
        <v>2.5</v>
      </c>
      <c r="CC14" s="23">
        <v>4.9000000000000004</v>
      </c>
      <c r="CD14" s="23">
        <v>5.0999999999999996</v>
      </c>
      <c r="CE14" s="23">
        <v>0</v>
      </c>
      <c r="CF14" s="23">
        <v>6.1</v>
      </c>
      <c r="CG14" s="23">
        <v>3.6</v>
      </c>
      <c r="CH14" s="23">
        <v>6.5</v>
      </c>
      <c r="CI14" s="23">
        <v>6.78</v>
      </c>
      <c r="CJ14" s="23">
        <v>0</v>
      </c>
      <c r="CK14" s="23"/>
      <c r="CL14" s="23"/>
      <c r="CM14" s="23"/>
      <c r="CN14" s="23"/>
      <c r="CO14" s="23"/>
      <c r="CP14" s="28"/>
      <c r="CQ14" s="39">
        <f t="shared" si="39"/>
        <v>4.9000000000000004</v>
      </c>
      <c r="CR14" s="39">
        <f t="shared" si="40"/>
        <v>5.0999999999999996</v>
      </c>
      <c r="CS14" s="41">
        <f t="shared" si="41"/>
        <v>17.100000000000001</v>
      </c>
      <c r="CT14" s="41">
        <f t="shared" si="42"/>
        <v>6.5</v>
      </c>
      <c r="CU14" s="41">
        <f t="shared" si="43"/>
        <v>6.78</v>
      </c>
      <c r="CV14" s="41">
        <f t="shared" si="44"/>
        <v>22.98</v>
      </c>
      <c r="CW14" s="41">
        <f t="shared" si="45"/>
        <v>22.98</v>
      </c>
      <c r="CX14" s="41" t="str">
        <f t="shared" si="46"/>
        <v/>
      </c>
      <c r="CY14" s="41" t="str">
        <f t="shared" si="47"/>
        <v/>
      </c>
      <c r="CZ14" s="41" t="str">
        <f t="shared" si="48"/>
        <v/>
      </c>
      <c r="DA14" s="41">
        <f t="shared" si="49"/>
        <v>22.98</v>
      </c>
      <c r="DB14" s="52">
        <f t="shared" si="50"/>
        <v>13.489999999999995</v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>
        <v>14.3</v>
      </c>
      <c r="FZ14" s="17">
        <v>8.8000000000000007</v>
      </c>
      <c r="GA14" s="17">
        <v>13.5</v>
      </c>
      <c r="GB14" s="17">
        <v>14.65</v>
      </c>
      <c r="GC14" s="17">
        <v>0.2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>
        <f t="shared" si="83"/>
        <v>13.5</v>
      </c>
      <c r="GR14" s="41">
        <f t="shared" si="84"/>
        <v>14.65</v>
      </c>
      <c r="GS14" s="41">
        <f t="shared" si="85"/>
        <v>51.05</v>
      </c>
      <c r="GT14" s="41">
        <f t="shared" si="86"/>
        <v>51.05</v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>
        <f t="shared" si="93"/>
        <v>51.05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10.45</v>
      </c>
      <c r="SW14" s="23">
        <f t="shared" si="221"/>
        <v>5.8</v>
      </c>
      <c r="SX14" s="23">
        <f t="shared" si="222"/>
        <v>9.1999999999999993</v>
      </c>
      <c r="SY14" s="23">
        <f t="shared" si="223"/>
        <v>10.145</v>
      </c>
      <c r="SZ14" s="23">
        <f t="shared" si="224"/>
        <v>0</v>
      </c>
      <c r="TA14" s="23">
        <f t="shared" si="225"/>
        <v>8.4499999999999993</v>
      </c>
      <c r="TB14" s="23">
        <f t="shared" si="226"/>
        <v>5</v>
      </c>
      <c r="TC14" s="23">
        <f t="shared" si="227"/>
        <v>8.0500000000000007</v>
      </c>
      <c r="TD14" s="23">
        <f t="shared" si="228"/>
        <v>8.77</v>
      </c>
      <c r="TE14" s="23">
        <f t="shared" si="229"/>
        <v>0</v>
      </c>
      <c r="TF14" s="23">
        <f t="shared" si="230"/>
        <v>8</v>
      </c>
      <c r="TG14" s="23">
        <f t="shared" si="231"/>
        <v>4.55</v>
      </c>
      <c r="TH14" s="23">
        <f t="shared" si="232"/>
        <v>6.75</v>
      </c>
      <c r="TI14" s="23">
        <f t="shared" si="233"/>
        <v>7.375</v>
      </c>
      <c r="TJ14" s="23">
        <f t="shared" si="234"/>
        <v>0</v>
      </c>
      <c r="TK14" s="28" t="s">
        <v>57</v>
      </c>
      <c r="TL14" s="41">
        <f t="shared" si="235"/>
        <v>9.1999999999999993</v>
      </c>
      <c r="TM14" s="41">
        <f t="shared" si="236"/>
        <v>10.145</v>
      </c>
      <c r="TN14" s="41">
        <f t="shared" si="237"/>
        <v>35.594999999999999</v>
      </c>
      <c r="TO14" s="41">
        <f t="shared" si="238"/>
        <v>8.0500000000000007</v>
      </c>
      <c r="TP14" s="41">
        <f t="shared" si="239"/>
        <v>8.77</v>
      </c>
      <c r="TQ14" s="41">
        <f t="shared" si="240"/>
        <v>30.27</v>
      </c>
      <c r="TR14" s="41">
        <f t="shared" si="241"/>
        <v>35.594999999999999</v>
      </c>
      <c r="TS14" s="41">
        <f t="shared" si="242"/>
        <v>6.75</v>
      </c>
      <c r="TT14" s="41">
        <f t="shared" si="243"/>
        <v>7.375</v>
      </c>
      <c r="TU14" s="41">
        <f t="shared" si="244"/>
        <v>26.675000000000001</v>
      </c>
      <c r="TV14" s="41">
        <f t="shared" si="245"/>
        <v>62.269999999999996</v>
      </c>
    </row>
    <row r="15" spans="1:542" x14ac:dyDescent="0.2">
      <c r="A15" s="4" cm="1">
        <f t="array" ref="A15">IF(AND(H15&lt;&gt;"",H15&lt;&gt;"No DD"),SUMPRODUCT((H$4:H$24&lt;&gt;"")*(H$4:H$24&lt;&gt;"No DD")*(E$4:E$24&gt;E15))+1,IF(H15="No DD",SUMPRODUCT((H$4:H$24="No DD")*(E$4:E$24&gt;E15))+1+SUMPRODUCT((H$4:H$24&lt;&gt;"")*(H$4:H$24&lt;&gt;"No DD")),""))</f>
        <v>10</v>
      </c>
      <c r="B15" s="5" t="s">
        <v>247</v>
      </c>
      <c r="C15" s="4" t="s">
        <v>3</v>
      </c>
      <c r="D15" s="4">
        <v>2005</v>
      </c>
      <c r="E15" s="9">
        <f t="shared" si="0"/>
        <v>226.17002261700543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54.05</v>
      </c>
      <c r="K15" s="8" t="str">
        <f t="shared" si="5"/>
        <v>2023 Nationals</v>
      </c>
      <c r="L15" s="8">
        <f>IF(COUNT(AQ15,AT15,BR15,BU15,CS15,CV15)&gt;1,LARGE((AQ15,AT15,BR15,BU15,CS15,CV15),2),0)</f>
        <v>53.04</v>
      </c>
      <c r="M15" s="8" t="str">
        <f t="shared" si="6"/>
        <v>2023 Nationals</v>
      </c>
      <c r="N15" s="8">
        <f>IF(COUNT(AQ15,AT15,BR15,BU15,CS15,CV15)&gt;2,LARGE((AQ15,AT15,BR15,BU15,CS15,CV15),3),0)</f>
        <v>51.749999999999993</v>
      </c>
      <c r="O15" s="8" t="str">
        <f t="shared" si="7"/>
        <v>2023 Domestic 3rd Trial</v>
      </c>
      <c r="P15" s="8">
        <f t="shared" si="8"/>
        <v>53.33</v>
      </c>
      <c r="Q15" s="8" t="str">
        <f t="shared" si="9"/>
        <v>2023 Nationals</v>
      </c>
      <c r="R15" s="8">
        <f t="shared" si="10"/>
        <v>14</v>
      </c>
      <c r="S15" s="8" t="str">
        <f t="shared" si="11"/>
        <v>2023 Domestic 3rd Trial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 t="shared" si="17"/>
        <v>5.6</v>
      </c>
      <c r="AP15" s="39">
        <f t="shared" si="18"/>
        <v>6.37</v>
      </c>
      <c r="AQ15" s="41">
        <f t="shared" si="19"/>
        <v>33.669999999999995</v>
      </c>
      <c r="AR15" s="41">
        <f t="shared" si="20"/>
        <v>11.5</v>
      </c>
      <c r="AS15" s="41">
        <f t="shared" si="21"/>
        <v>14.05</v>
      </c>
      <c r="AT15" s="41">
        <f t="shared" si="22"/>
        <v>49.25</v>
      </c>
      <c r="AU15" s="41">
        <f t="shared" si="23"/>
        <v>49.25</v>
      </c>
      <c r="AV15" s="41">
        <f t="shared" si="24"/>
        <v>12.7</v>
      </c>
      <c r="AW15" s="41">
        <f t="shared" si="25"/>
        <v>15.13</v>
      </c>
      <c r="AX15" s="41">
        <f t="shared" si="26"/>
        <v>48.73</v>
      </c>
      <c r="AY15" s="41">
        <f t="shared" si="27"/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 t="shared" si="28"/>
        <v>13.7</v>
      </c>
      <c r="BQ15" s="40">
        <f t="shared" si="29"/>
        <v>15.55</v>
      </c>
      <c r="BR15" s="11">
        <f t="shared" si="30"/>
        <v>54.05</v>
      </c>
      <c r="BS15" s="11">
        <f t="shared" si="31"/>
        <v>13.7</v>
      </c>
      <c r="BT15" s="11">
        <f t="shared" si="32"/>
        <v>15.24</v>
      </c>
      <c r="BU15" s="11">
        <f t="shared" si="33"/>
        <v>53.04</v>
      </c>
      <c r="BV15" s="11">
        <f t="shared" si="34"/>
        <v>54.05</v>
      </c>
      <c r="BW15" s="11">
        <f t="shared" si="35"/>
        <v>13.7</v>
      </c>
      <c r="BX15" s="11">
        <f t="shared" si="36"/>
        <v>15.53</v>
      </c>
      <c r="BY15" s="11">
        <f t="shared" si="37"/>
        <v>53.33</v>
      </c>
      <c r="BZ15" s="11">
        <f t="shared" si="38"/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 t="shared" si="39"/>
        <v>6.5</v>
      </c>
      <c r="CR15" s="39">
        <f t="shared" si="40"/>
        <v>6.48</v>
      </c>
      <c r="CS15" s="41">
        <f t="shared" si="41"/>
        <v>22.48</v>
      </c>
      <c r="CT15" s="41">
        <f t="shared" si="42"/>
        <v>14</v>
      </c>
      <c r="CU15" s="41">
        <f t="shared" si="43"/>
        <v>15.15</v>
      </c>
      <c r="CV15" s="41">
        <f t="shared" si="44"/>
        <v>51.749999999999993</v>
      </c>
      <c r="CW15" s="41">
        <f t="shared" si="45"/>
        <v>51.749999999999993</v>
      </c>
      <c r="CX15" s="41" t="str">
        <f t="shared" si="46"/>
        <v/>
      </c>
      <c r="CY15" s="41" t="str">
        <f t="shared" si="47"/>
        <v/>
      </c>
      <c r="CZ15" s="41" t="str">
        <f t="shared" si="48"/>
        <v/>
      </c>
      <c r="DA15" s="41">
        <f t="shared" si="49"/>
        <v>51.749999999999993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10.55</v>
      </c>
      <c r="SW15" s="23">
        <f t="shared" si="221"/>
        <v>6.6</v>
      </c>
      <c r="SX15" s="23">
        <f t="shared" si="222"/>
        <v>10.1</v>
      </c>
      <c r="SY15" s="23">
        <f t="shared" si="223"/>
        <v>11.015000000000001</v>
      </c>
      <c r="SZ15" s="23">
        <f t="shared" si="224"/>
        <v>0</v>
      </c>
      <c r="TA15" s="23">
        <f t="shared" si="225"/>
        <v>14.3</v>
      </c>
      <c r="TB15" s="23">
        <f t="shared" si="226"/>
        <v>9.15</v>
      </c>
      <c r="TC15" s="23">
        <f t="shared" si="227"/>
        <v>13.85</v>
      </c>
      <c r="TD15" s="23">
        <f t="shared" si="228"/>
        <v>15.195</v>
      </c>
      <c r="TE15" s="23">
        <f t="shared" si="229"/>
        <v>0.1</v>
      </c>
      <c r="TF15" s="23">
        <f t="shared" si="230"/>
        <v>7.55</v>
      </c>
      <c r="TG15" s="23">
        <f t="shared" si="231"/>
        <v>4.5</v>
      </c>
      <c r="TH15" s="23">
        <f t="shared" si="232"/>
        <v>6.85</v>
      </c>
      <c r="TI15" s="23">
        <f t="shared" si="233"/>
        <v>7.7649999999999997</v>
      </c>
      <c r="TJ15" s="23">
        <f t="shared" si="234"/>
        <v>0</v>
      </c>
      <c r="TK15" s="28" t="s">
        <v>57</v>
      </c>
      <c r="TL15" s="41">
        <f t="shared" si="235"/>
        <v>10.1</v>
      </c>
      <c r="TM15" s="41">
        <f t="shared" si="236"/>
        <v>11.015000000000001</v>
      </c>
      <c r="TN15" s="41">
        <f t="shared" si="237"/>
        <v>38.265000000000001</v>
      </c>
      <c r="TO15" s="41">
        <f t="shared" si="238"/>
        <v>13.85</v>
      </c>
      <c r="TP15" s="41">
        <f t="shared" si="239"/>
        <v>15.195</v>
      </c>
      <c r="TQ15" s="41">
        <f t="shared" si="240"/>
        <v>52.395000000000003</v>
      </c>
      <c r="TR15" s="41">
        <f t="shared" si="241"/>
        <v>52.395000000000003</v>
      </c>
      <c r="TS15" s="41">
        <f t="shared" si="242"/>
        <v>6.85</v>
      </c>
      <c r="TT15" s="41">
        <f t="shared" si="243"/>
        <v>7.7649999999999997</v>
      </c>
      <c r="TU15" s="41">
        <f t="shared" si="244"/>
        <v>26.664999999999999</v>
      </c>
      <c r="TV15" s="41">
        <f t="shared" si="245"/>
        <v>79.06</v>
      </c>
    </row>
    <row r="16" spans="1:542" x14ac:dyDescent="0.2">
      <c r="A16" s="4" t="str" cm="1">
        <f t="array" ref="A16">IF(AND(H16&lt;&gt;"",H16&lt;&gt;"No DD"),SUMPRODUCT((H$4:H$24&lt;&gt;"")*(H$4:H$24&lt;&gt;"No DD")*(E$4:E$24&gt;E16))+1,IF(H16="No DD",SUMPRODUCT((H$4:H$24="No DD")*(E$4:E$24&gt;E16))+1+SUMPRODUCT((H$4:H$24&lt;&gt;"")*(H$4:H$24&lt;&gt;"No DD")),""))</f>
        <v/>
      </c>
      <c r="B16" s="5" t="s">
        <v>87</v>
      </c>
      <c r="C16" s="4" t="s">
        <v>5</v>
      </c>
      <c r="D16" s="4">
        <v>2003</v>
      </c>
      <c r="E16" s="9">
        <f t="shared" si="0"/>
        <v>223.40002223700523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52.440000000000005</v>
      </c>
      <c r="K16" s="8" t="str">
        <f t="shared" si="5"/>
        <v>2023 Domestic 3rd Trial</v>
      </c>
      <c r="L16" s="8">
        <f>IF(COUNT(AQ16,AT16,BR16,BU16,CS16,CV16)&gt;1,LARGE((AQ16,AT16,BR16,BU16,CS16,CV16),2),0)</f>
        <v>51.69</v>
      </c>
      <c r="M16" s="8" t="str">
        <f t="shared" si="6"/>
        <v>2023 Domestic 3rd Trial</v>
      </c>
      <c r="N16" s="8">
        <f>IF(COUNT(AQ16,AT16,BR16,BU16,CS16,CV16)&gt;2,LARGE((AQ16,AT16,BR16,BU16,CS16,CV16),3),0)</f>
        <v>50.85</v>
      </c>
      <c r="O16" s="8" t="str">
        <f t="shared" si="7"/>
        <v>2023 Elite Canada</v>
      </c>
      <c r="P16" s="8">
        <f t="shared" si="8"/>
        <v>52.790000000000006</v>
      </c>
      <c r="Q16" s="8" t="str">
        <f t="shared" si="9"/>
        <v>2023 Domestic 3rd Trial</v>
      </c>
      <c r="R16" s="8">
        <f t="shared" si="10"/>
        <v>14.6</v>
      </c>
      <c r="S16" s="8" t="str">
        <f t="shared" si="11"/>
        <v>2023 Domestic 3rd Trial</v>
      </c>
      <c r="T16" s="8">
        <f t="shared" si="12"/>
        <v>0</v>
      </c>
      <c r="U16" s="8" t="str">
        <f t="shared" si="13"/>
        <v/>
      </c>
      <c r="V16" s="8">
        <f t="shared" si="14"/>
        <v>1.029999999999994</v>
      </c>
      <c r="W16" s="11" t="str">
        <f t="shared" si="15"/>
        <v>(Prelim)</v>
      </c>
      <c r="X16" s="8" t="str">
        <f t="shared" si="16"/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 t="shared" si="17"/>
        <v>13.9</v>
      </c>
      <c r="AP16" s="39">
        <f t="shared" si="18"/>
        <v>13.99</v>
      </c>
      <c r="AQ16" s="41">
        <f t="shared" si="19"/>
        <v>50.39</v>
      </c>
      <c r="AR16" s="41">
        <f t="shared" si="20"/>
        <v>13.7</v>
      </c>
      <c r="AS16" s="41">
        <f t="shared" si="21"/>
        <v>14.35</v>
      </c>
      <c r="AT16" s="41">
        <f t="shared" si="22"/>
        <v>50.85</v>
      </c>
      <c r="AU16" s="41">
        <f t="shared" si="23"/>
        <v>50.85</v>
      </c>
      <c r="AV16" s="41">
        <f t="shared" si="24"/>
        <v>13.7</v>
      </c>
      <c r="AW16" s="41">
        <f t="shared" si="25"/>
        <v>14.64</v>
      </c>
      <c r="AX16" s="41">
        <f t="shared" si="26"/>
        <v>52.14</v>
      </c>
      <c r="AY16" s="41">
        <f t="shared" si="27"/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 t="shared" si="28"/>
        <v/>
      </c>
      <c r="BQ16" s="40" t="str">
        <f t="shared" si="29"/>
        <v/>
      </c>
      <c r="BR16" s="11" t="str">
        <f t="shared" si="30"/>
        <v/>
      </c>
      <c r="BS16" s="11">
        <f t="shared" si="31"/>
        <v>14.2</v>
      </c>
      <c r="BT16" s="11">
        <f t="shared" si="32"/>
        <v>14.45</v>
      </c>
      <c r="BU16" s="11">
        <f t="shared" si="33"/>
        <v>49.650000000000006</v>
      </c>
      <c r="BV16" s="11" t="str">
        <f t="shared" si="34"/>
        <v/>
      </c>
      <c r="BW16" s="11">
        <f t="shared" si="35"/>
        <v>4.9000000000000004</v>
      </c>
      <c r="BX16" s="11">
        <f t="shared" si="36"/>
        <v>4.71</v>
      </c>
      <c r="BY16" s="11">
        <f t="shared" si="37"/>
        <v>16.510000000000002</v>
      </c>
      <c r="BZ16" s="11">
        <f t="shared" si="38"/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 t="shared" si="39"/>
        <v>13.5</v>
      </c>
      <c r="CR16" s="39">
        <f t="shared" si="40"/>
        <v>15.24</v>
      </c>
      <c r="CS16" s="41">
        <f t="shared" si="41"/>
        <v>52.440000000000005</v>
      </c>
      <c r="CT16" s="41">
        <f t="shared" si="42"/>
        <v>14.6</v>
      </c>
      <c r="CU16" s="41">
        <f t="shared" si="43"/>
        <v>15.39</v>
      </c>
      <c r="CV16" s="41">
        <f t="shared" si="44"/>
        <v>51.69</v>
      </c>
      <c r="CW16" s="41">
        <f t="shared" si="45"/>
        <v>52.440000000000005</v>
      </c>
      <c r="CX16" s="41">
        <f t="shared" si="46"/>
        <v>13.7</v>
      </c>
      <c r="CY16" s="41">
        <f t="shared" si="47"/>
        <v>15.59</v>
      </c>
      <c r="CZ16" s="41">
        <f t="shared" si="48"/>
        <v>52.790000000000006</v>
      </c>
      <c r="DA16" s="41">
        <f t="shared" si="49"/>
        <v>105.23000000000002</v>
      </c>
      <c r="DB16" s="52">
        <f t="shared" si="50"/>
        <v>1.029999999999994</v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>
        <v>13.9</v>
      </c>
      <c r="HC16" s="18">
        <v>9.5</v>
      </c>
      <c r="HD16" s="18">
        <v>13.7</v>
      </c>
      <c r="HE16" s="18">
        <v>14.78</v>
      </c>
      <c r="HF16" s="18">
        <v>0</v>
      </c>
      <c r="HG16" s="18">
        <v>2.6</v>
      </c>
      <c r="HH16" s="18">
        <v>1.7</v>
      </c>
      <c r="HI16" s="18">
        <v>3.2</v>
      </c>
      <c r="HJ16" s="18">
        <v>3.28</v>
      </c>
      <c r="HK16" s="18">
        <v>0</v>
      </c>
      <c r="HL16" s="18"/>
      <c r="HM16" s="18"/>
      <c r="HN16" s="18"/>
      <c r="HO16" s="18"/>
      <c r="HP16" s="18"/>
      <c r="HQ16" s="18">
        <v>5.5</v>
      </c>
      <c r="HR16" s="18">
        <v>3.7</v>
      </c>
      <c r="HS16" s="18">
        <v>5.8</v>
      </c>
      <c r="HT16" s="18">
        <v>6.33</v>
      </c>
      <c r="HU16" s="18">
        <v>0</v>
      </c>
      <c r="HV16" s="11">
        <f t="shared" si="94"/>
        <v>13.7</v>
      </c>
      <c r="HW16" s="11">
        <f t="shared" si="95"/>
        <v>14.78</v>
      </c>
      <c r="HX16" s="11">
        <f t="shared" si="96"/>
        <v>51.879999999999995</v>
      </c>
      <c r="HY16" s="11">
        <f t="shared" si="97"/>
        <v>3.2</v>
      </c>
      <c r="HZ16" s="11">
        <f t="shared" si="98"/>
        <v>3.28</v>
      </c>
      <c r="IA16" s="11">
        <f t="shared" si="99"/>
        <v>10.78</v>
      </c>
      <c r="IB16" s="11">
        <f t="shared" si="100"/>
        <v>51.879999999999995</v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>
        <f t="shared" si="104"/>
        <v>5.8</v>
      </c>
      <c r="IG16" s="11">
        <f t="shared" si="105"/>
        <v>6.33</v>
      </c>
      <c r="IH16" s="11">
        <f t="shared" si="106"/>
        <v>21.33</v>
      </c>
      <c r="II16" s="11">
        <f t="shared" si="107"/>
        <v>73.209999999999994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7.45</v>
      </c>
      <c r="SW16" s="23">
        <f t="shared" si="221"/>
        <v>4.4000000000000004</v>
      </c>
      <c r="SX16" s="23">
        <f t="shared" si="222"/>
        <v>6.75</v>
      </c>
      <c r="SY16" s="23">
        <f t="shared" si="223"/>
        <v>7.62</v>
      </c>
      <c r="SZ16" s="23">
        <f t="shared" si="224"/>
        <v>0</v>
      </c>
      <c r="TA16" s="23">
        <f t="shared" si="225"/>
        <v>12.55</v>
      </c>
      <c r="TB16" s="23">
        <f t="shared" si="226"/>
        <v>8.8000000000000007</v>
      </c>
      <c r="TC16" s="23">
        <f t="shared" si="227"/>
        <v>14.399999999999999</v>
      </c>
      <c r="TD16" s="23">
        <f t="shared" si="228"/>
        <v>14.92</v>
      </c>
      <c r="TE16" s="23">
        <f t="shared" si="229"/>
        <v>0</v>
      </c>
      <c r="TF16" s="23">
        <f t="shared" si="230"/>
        <v>9.3000000000000007</v>
      </c>
      <c r="TG16" s="23">
        <f t="shared" si="231"/>
        <v>5.9</v>
      </c>
      <c r="TH16" s="23">
        <f t="shared" si="232"/>
        <v>9.3000000000000007</v>
      </c>
      <c r="TI16" s="23">
        <f t="shared" si="233"/>
        <v>10.15</v>
      </c>
      <c r="TJ16" s="23">
        <f t="shared" si="234"/>
        <v>0</v>
      </c>
      <c r="TK16" s="28" t="s">
        <v>57</v>
      </c>
      <c r="TL16" s="41">
        <f t="shared" si="235"/>
        <v>6.75</v>
      </c>
      <c r="TM16" s="41">
        <f t="shared" si="236"/>
        <v>7.62</v>
      </c>
      <c r="TN16" s="41">
        <f t="shared" si="237"/>
        <v>26.220000000000002</v>
      </c>
      <c r="TO16" s="41">
        <f t="shared" si="238"/>
        <v>14.399999999999999</v>
      </c>
      <c r="TP16" s="41">
        <f t="shared" si="239"/>
        <v>14.92</v>
      </c>
      <c r="TQ16" s="41">
        <f t="shared" si="240"/>
        <v>50.67</v>
      </c>
      <c r="TR16" s="41">
        <f t="shared" si="241"/>
        <v>50.67</v>
      </c>
      <c r="TS16" s="41">
        <f t="shared" si="242"/>
        <v>9.3000000000000007</v>
      </c>
      <c r="TT16" s="41">
        <f t="shared" si="243"/>
        <v>10.15</v>
      </c>
      <c r="TU16" s="41">
        <f t="shared" si="244"/>
        <v>34.65</v>
      </c>
      <c r="TV16" s="41">
        <f t="shared" si="245"/>
        <v>85.32</v>
      </c>
    </row>
    <row r="17" spans="1:542" x14ac:dyDescent="0.2">
      <c r="A17" s="4" t="str" cm="1">
        <f t="array" ref="A17">IF(AND(H17&lt;&gt;"",H17&lt;&gt;"No DD"),SUMPRODUCT((H$4:H$24&lt;&gt;"")*(H$4:H$24&lt;&gt;"No DD")*(E$4:E$24&gt;E17))+1,IF(H17="No DD",SUMPRODUCT((H$4:H$24="No DD")*(E$4:E$24&gt;E17))+1+SUMPRODUCT((H$4:H$24&lt;&gt;"")*(H$4:H$24&lt;&gt;"No DD")),""))</f>
        <v/>
      </c>
      <c r="B17" s="5" t="s">
        <v>93</v>
      </c>
      <c r="C17" s="4" t="s">
        <v>8</v>
      </c>
      <c r="D17" s="4">
        <v>2004</v>
      </c>
      <c r="E17" s="9">
        <f t="shared" si="0"/>
        <v>222.35001869900523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52.599999999999994</v>
      </c>
      <c r="K17" s="8" t="str">
        <f t="shared" si="5"/>
        <v>2023 Elite Canada</v>
      </c>
      <c r="L17" s="8">
        <f>IF(COUNT(AQ17,AT17,BR17,BU17,CS17,CV17)&gt;1,LARGE((AQ17,AT17,BR17,BU17,CS17,CV17),2),0)</f>
        <v>50.26</v>
      </c>
      <c r="M17" s="8" t="str">
        <f t="shared" si="6"/>
        <v>2023 Nationals</v>
      </c>
      <c r="N17" s="8">
        <f>IF(COUNT(AQ17,AT17,BR17,BU17,CS17,CV17)&gt;2,LARGE((AQ17,AT17,BR17,BU17,CS17,CV17),3),0)</f>
        <v>16.79</v>
      </c>
      <c r="O17" s="8" t="str">
        <f t="shared" si="7"/>
        <v>2023 Elite Canada</v>
      </c>
      <c r="P17" s="8">
        <f t="shared" si="8"/>
        <v>53.84</v>
      </c>
      <c r="Q17" s="8" t="str">
        <f t="shared" si="9"/>
        <v>2023 Elite Canada</v>
      </c>
      <c r="R17" s="8">
        <f t="shared" si="10"/>
        <v>13.5</v>
      </c>
      <c r="S17" s="8" t="str">
        <f t="shared" si="11"/>
        <v>2023 Elite Canada</v>
      </c>
      <c r="T17" s="8">
        <f t="shared" si="12"/>
        <v>0</v>
      </c>
      <c r="U17" s="8" t="str">
        <f t="shared" si="13"/>
        <v/>
      </c>
      <c r="V17" s="8">
        <f t="shared" si="14"/>
        <v>35.36</v>
      </c>
      <c r="W17" s="11" t="str">
        <f t="shared" si="15"/>
        <v>(Prelim)</v>
      </c>
      <c r="X17" s="8" t="str">
        <f t="shared" si="16"/>
        <v>2022 WAGC (Nov 25)</v>
      </c>
      <c r="Y17" s="23">
        <v>4.8</v>
      </c>
      <c r="Z17" s="23">
        <v>2.9</v>
      </c>
      <c r="AA17" s="23">
        <v>4.4000000000000004</v>
      </c>
      <c r="AB17" s="23">
        <v>4.6900000000000004</v>
      </c>
      <c r="AC17" s="23">
        <v>0</v>
      </c>
      <c r="AD17" s="23">
        <v>14.8</v>
      </c>
      <c r="AE17" s="23">
        <v>9.5</v>
      </c>
      <c r="AF17" s="23">
        <v>13.5</v>
      </c>
      <c r="AG17" s="23">
        <v>14.8</v>
      </c>
      <c r="AH17" s="23">
        <v>0</v>
      </c>
      <c r="AI17" s="23">
        <v>15.5</v>
      </c>
      <c r="AJ17" s="23">
        <v>9.6999999999999993</v>
      </c>
      <c r="AK17" s="23">
        <v>13.5</v>
      </c>
      <c r="AL17" s="23">
        <v>15.14</v>
      </c>
      <c r="AM17" s="23">
        <v>0</v>
      </c>
      <c r="AN17" s="28"/>
      <c r="AO17" s="39">
        <f t="shared" si="17"/>
        <v>4.4000000000000004</v>
      </c>
      <c r="AP17" s="39">
        <f t="shared" si="18"/>
        <v>4.6900000000000004</v>
      </c>
      <c r="AQ17" s="41">
        <f t="shared" si="19"/>
        <v>16.79</v>
      </c>
      <c r="AR17" s="41">
        <f t="shared" si="20"/>
        <v>13.5</v>
      </c>
      <c r="AS17" s="41">
        <f t="shared" si="21"/>
        <v>14.8</v>
      </c>
      <c r="AT17" s="41">
        <f t="shared" si="22"/>
        <v>52.599999999999994</v>
      </c>
      <c r="AU17" s="41">
        <f t="shared" si="23"/>
        <v>52.599999999999994</v>
      </c>
      <c r="AV17" s="41">
        <f t="shared" si="24"/>
        <v>13.5</v>
      </c>
      <c r="AW17" s="41">
        <f t="shared" si="25"/>
        <v>15.14</v>
      </c>
      <c r="AX17" s="41">
        <f t="shared" si="26"/>
        <v>53.84</v>
      </c>
      <c r="AY17" s="41">
        <f t="shared" si="27"/>
        <v>106.44</v>
      </c>
      <c r="AZ17" s="27">
        <v>4.4000000000000004</v>
      </c>
      <c r="BA17" s="27">
        <v>2.6</v>
      </c>
      <c r="BB17" s="27">
        <v>4.2</v>
      </c>
      <c r="BC17" s="27">
        <v>4.66</v>
      </c>
      <c r="BD17" s="27">
        <v>0</v>
      </c>
      <c r="BE17" s="27">
        <v>15.08</v>
      </c>
      <c r="BF17" s="27">
        <v>9.3000000000000007</v>
      </c>
      <c r="BG17" s="27">
        <v>11.7</v>
      </c>
      <c r="BH17" s="27">
        <v>14.18</v>
      </c>
      <c r="BI17" s="27">
        <v>0</v>
      </c>
      <c r="BJ17" s="27">
        <v>4.4000000000000004</v>
      </c>
      <c r="BK17" s="27">
        <v>2.5</v>
      </c>
      <c r="BL17" s="27">
        <v>4.2</v>
      </c>
      <c r="BM17" s="27">
        <v>4.57</v>
      </c>
      <c r="BN17" s="27">
        <v>0</v>
      </c>
      <c r="BO17" s="29"/>
      <c r="BP17" s="40">
        <f t="shared" si="28"/>
        <v>4.2</v>
      </c>
      <c r="BQ17" s="40">
        <f t="shared" si="29"/>
        <v>4.66</v>
      </c>
      <c r="BR17" s="11">
        <f t="shared" si="30"/>
        <v>15.86</v>
      </c>
      <c r="BS17" s="11">
        <f t="shared" si="31"/>
        <v>11.7</v>
      </c>
      <c r="BT17" s="11">
        <f t="shared" si="32"/>
        <v>14.18</v>
      </c>
      <c r="BU17" s="11">
        <f t="shared" si="33"/>
        <v>50.26</v>
      </c>
      <c r="BV17" s="11">
        <f t="shared" si="34"/>
        <v>50.26</v>
      </c>
      <c r="BW17" s="11">
        <f t="shared" si="35"/>
        <v>4.2</v>
      </c>
      <c r="BX17" s="11">
        <f t="shared" si="36"/>
        <v>4.57</v>
      </c>
      <c r="BY17" s="11">
        <f t="shared" si="37"/>
        <v>15.670000000000002</v>
      </c>
      <c r="BZ17" s="11">
        <f t="shared" si="38"/>
        <v>65.930000000000007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>
        <f t="shared" si="50"/>
        <v>35.36</v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>
        <v>14.4</v>
      </c>
      <c r="FU17" s="17">
        <v>9.5</v>
      </c>
      <c r="FV17" s="17">
        <v>13.5</v>
      </c>
      <c r="FW17" s="17">
        <v>14.75</v>
      </c>
      <c r="FX17" s="17">
        <v>0</v>
      </c>
      <c r="FY17" s="17">
        <v>13.9</v>
      </c>
      <c r="FZ17" s="17">
        <v>9.6</v>
      </c>
      <c r="GA17" s="17">
        <v>13.5</v>
      </c>
      <c r="GB17" s="17">
        <v>14.79</v>
      </c>
      <c r="GC17" s="17">
        <v>0</v>
      </c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>
        <f t="shared" si="80"/>
        <v>13.5</v>
      </c>
      <c r="GO17" s="41">
        <f t="shared" si="81"/>
        <v>14.75</v>
      </c>
      <c r="GP17" s="41">
        <f t="shared" si="82"/>
        <v>52.15</v>
      </c>
      <c r="GQ17" s="41">
        <f t="shared" si="83"/>
        <v>13.5</v>
      </c>
      <c r="GR17" s="41">
        <f t="shared" si="84"/>
        <v>14.79</v>
      </c>
      <c r="GS17" s="41">
        <f t="shared" si="85"/>
        <v>51.79</v>
      </c>
      <c r="GT17" s="41">
        <f t="shared" si="86"/>
        <v>52.15</v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>
        <f t="shared" si="93"/>
        <v>52.15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2.2000000000000002</v>
      </c>
      <c r="SW17" s="23">
        <f t="shared" si="221"/>
        <v>1.3</v>
      </c>
      <c r="SX17" s="23">
        <f t="shared" si="222"/>
        <v>2.1</v>
      </c>
      <c r="SY17" s="23">
        <f t="shared" si="223"/>
        <v>2.33</v>
      </c>
      <c r="SZ17" s="23">
        <f t="shared" si="224"/>
        <v>0</v>
      </c>
      <c r="TA17" s="23">
        <f t="shared" si="225"/>
        <v>7.54</v>
      </c>
      <c r="TB17" s="23">
        <f t="shared" si="226"/>
        <v>4.6500000000000004</v>
      </c>
      <c r="TC17" s="23">
        <f t="shared" si="227"/>
        <v>5.85</v>
      </c>
      <c r="TD17" s="23">
        <f t="shared" si="228"/>
        <v>7.09</v>
      </c>
      <c r="TE17" s="23">
        <f t="shared" si="229"/>
        <v>0</v>
      </c>
      <c r="TF17" s="23">
        <f t="shared" si="230"/>
        <v>2.2000000000000002</v>
      </c>
      <c r="TG17" s="23">
        <f t="shared" si="231"/>
        <v>1.25</v>
      </c>
      <c r="TH17" s="23">
        <f t="shared" si="232"/>
        <v>2.1</v>
      </c>
      <c r="TI17" s="23">
        <f t="shared" si="233"/>
        <v>2.2850000000000001</v>
      </c>
      <c r="TJ17" s="23">
        <f t="shared" si="234"/>
        <v>0</v>
      </c>
      <c r="TK17" s="28" t="s">
        <v>57</v>
      </c>
      <c r="TL17" s="41">
        <f t="shared" si="235"/>
        <v>2.1</v>
      </c>
      <c r="TM17" s="41">
        <f t="shared" si="236"/>
        <v>2.33</v>
      </c>
      <c r="TN17" s="41">
        <f t="shared" si="237"/>
        <v>7.93</v>
      </c>
      <c r="TO17" s="41">
        <f t="shared" si="238"/>
        <v>5.85</v>
      </c>
      <c r="TP17" s="41">
        <f t="shared" si="239"/>
        <v>7.09</v>
      </c>
      <c r="TQ17" s="41">
        <f t="shared" si="240"/>
        <v>25.13</v>
      </c>
      <c r="TR17" s="41">
        <f t="shared" si="241"/>
        <v>25.13</v>
      </c>
      <c r="TS17" s="41">
        <f t="shared" si="242"/>
        <v>2.1</v>
      </c>
      <c r="TT17" s="41">
        <f t="shared" si="243"/>
        <v>2.2850000000000001</v>
      </c>
      <c r="TU17" s="41">
        <f t="shared" si="244"/>
        <v>7.8350000000000009</v>
      </c>
      <c r="TV17" s="41">
        <f t="shared" si="245"/>
        <v>32.965000000000003</v>
      </c>
    </row>
    <row r="18" spans="1:542" x14ac:dyDescent="0.2">
      <c r="A18" s="4" t="str" cm="1">
        <f t="array" ref="A18">IF(AND(H18&lt;&gt;"",H18&lt;&gt;"No DD"),SUMPRODUCT((H$4:H$24&lt;&gt;"")*(H$4:H$24&lt;&gt;"No DD")*(E$4:E$24&gt;E18))+1,IF(H18="No DD",SUMPRODUCT((H$4:H$24="No DD")*(E$4:E$24&gt;E18))+1+SUMPRODUCT((H$4:H$24&lt;&gt;"")*(H$4:H$24&lt;&gt;"No DD")),""))</f>
        <v/>
      </c>
      <c r="B18" s="5" t="s">
        <v>32</v>
      </c>
      <c r="C18" s="4" t="s">
        <v>8</v>
      </c>
      <c r="D18" s="4">
        <v>1998</v>
      </c>
      <c r="E18" s="9">
        <f t="shared" si="0"/>
        <v>220.49002204900523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52.54</v>
      </c>
      <c r="K18" s="8" t="str">
        <f t="shared" si="5"/>
        <v>2023 Elite Canada</v>
      </c>
      <c r="L18" s="8">
        <f>IF(COUNT(AQ18,AT18,BR18,BU18,CS18,CV18)&gt;1,LARGE((AQ18,AT18,BR18,BU18,CS18,CV18),2),0)</f>
        <v>52.319999999999993</v>
      </c>
      <c r="M18" s="8" t="str">
        <f t="shared" si="6"/>
        <v>2023 Nationals</v>
      </c>
      <c r="N18" s="8">
        <f>IF(COUNT(AQ18,AT18,BR18,BU18,CS18,CV18)&gt;2,LARGE((AQ18,AT18,BR18,BU18,CS18,CV18),3),0)</f>
        <v>52.07</v>
      </c>
      <c r="O18" s="8" t="str">
        <f t="shared" si="7"/>
        <v>2023 Domestic 3rd Trial</v>
      </c>
      <c r="P18" s="8">
        <f t="shared" si="8"/>
        <v>49.76</v>
      </c>
      <c r="Q18" s="8" t="str">
        <f t="shared" si="9"/>
        <v>2023 Elite Canada</v>
      </c>
      <c r="R18" s="8">
        <f t="shared" si="10"/>
        <v>13.8</v>
      </c>
      <c r="S18" s="8" t="str">
        <f t="shared" si="11"/>
        <v>2023 Domestic 3rd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14.5</v>
      </c>
      <c r="Z18" s="23">
        <v>9</v>
      </c>
      <c r="AA18" s="23">
        <v>13.6</v>
      </c>
      <c r="AB18" s="23">
        <v>15.44</v>
      </c>
      <c r="AC18" s="23">
        <v>0</v>
      </c>
      <c r="AD18" s="23">
        <v>12.6</v>
      </c>
      <c r="AE18" s="23">
        <v>9.1999999999999993</v>
      </c>
      <c r="AF18" s="23">
        <v>13.5</v>
      </c>
      <c r="AG18" s="23">
        <v>15.77</v>
      </c>
      <c r="AH18" s="23">
        <v>0.2</v>
      </c>
      <c r="AI18" s="23">
        <v>14.9</v>
      </c>
      <c r="AJ18" s="23">
        <v>8.9</v>
      </c>
      <c r="AK18" s="23">
        <v>12.1</v>
      </c>
      <c r="AL18" s="23">
        <v>15.26</v>
      </c>
      <c r="AM18" s="23">
        <v>1.4</v>
      </c>
      <c r="AN18" s="28"/>
      <c r="AO18" s="39">
        <f t="shared" si="17"/>
        <v>13.6</v>
      </c>
      <c r="AP18" s="39">
        <f t="shared" si="18"/>
        <v>15.44</v>
      </c>
      <c r="AQ18" s="41">
        <f t="shared" si="19"/>
        <v>52.54</v>
      </c>
      <c r="AR18" s="41">
        <f t="shared" si="20"/>
        <v>13.5</v>
      </c>
      <c r="AS18" s="41">
        <f t="shared" si="21"/>
        <v>15.77</v>
      </c>
      <c r="AT18" s="41">
        <f t="shared" si="22"/>
        <v>50.86999999999999</v>
      </c>
      <c r="AU18" s="41">
        <f t="shared" si="23"/>
        <v>52.54</v>
      </c>
      <c r="AV18" s="41">
        <f t="shared" si="24"/>
        <v>12.1</v>
      </c>
      <c r="AW18" s="41">
        <f t="shared" si="25"/>
        <v>15.26</v>
      </c>
      <c r="AX18" s="41">
        <f t="shared" si="26"/>
        <v>49.76</v>
      </c>
      <c r="AY18" s="41">
        <f t="shared" si="27"/>
        <v>102.3</v>
      </c>
      <c r="AZ18" s="27">
        <v>4.5999999999999996</v>
      </c>
      <c r="BA18" s="27">
        <v>3</v>
      </c>
      <c r="BB18" s="27">
        <v>4.2</v>
      </c>
      <c r="BC18" s="27">
        <v>4.9400000000000004</v>
      </c>
      <c r="BD18" s="27">
        <v>0</v>
      </c>
      <c r="BE18" s="27">
        <v>15.1</v>
      </c>
      <c r="BF18" s="27">
        <v>9.1</v>
      </c>
      <c r="BG18" s="27">
        <v>12.6</v>
      </c>
      <c r="BH18" s="27">
        <v>15.52</v>
      </c>
      <c r="BI18" s="27">
        <v>0</v>
      </c>
      <c r="BJ18" s="27">
        <v>3</v>
      </c>
      <c r="BK18" s="27">
        <v>1.5</v>
      </c>
      <c r="BL18" s="27">
        <v>2.7</v>
      </c>
      <c r="BM18" s="27">
        <v>4.04</v>
      </c>
      <c r="BN18" s="27">
        <v>0</v>
      </c>
      <c r="BO18" s="29"/>
      <c r="BP18" s="40">
        <f t="shared" si="28"/>
        <v>4.2</v>
      </c>
      <c r="BQ18" s="40">
        <f t="shared" si="29"/>
        <v>4.9400000000000004</v>
      </c>
      <c r="BR18" s="11">
        <f t="shared" si="30"/>
        <v>16.740000000000002</v>
      </c>
      <c r="BS18" s="11">
        <f t="shared" si="31"/>
        <v>12.6</v>
      </c>
      <c r="BT18" s="11">
        <f t="shared" si="32"/>
        <v>15.52</v>
      </c>
      <c r="BU18" s="11">
        <f t="shared" si="33"/>
        <v>52.319999999999993</v>
      </c>
      <c r="BV18" s="11">
        <f t="shared" si="34"/>
        <v>52.319999999999993</v>
      </c>
      <c r="BW18" s="11">
        <f t="shared" si="35"/>
        <v>2.7</v>
      </c>
      <c r="BX18" s="11">
        <f t="shared" si="36"/>
        <v>4.04</v>
      </c>
      <c r="BY18" s="11">
        <f t="shared" si="37"/>
        <v>11.24</v>
      </c>
      <c r="BZ18" s="11">
        <f t="shared" si="38"/>
        <v>63.559999999999995</v>
      </c>
      <c r="CA18" s="23">
        <v>13.4</v>
      </c>
      <c r="CB18" s="23">
        <v>9.1</v>
      </c>
      <c r="CC18" s="23">
        <v>13.8</v>
      </c>
      <c r="CD18" s="23">
        <v>15.98</v>
      </c>
      <c r="CE18" s="23">
        <v>0.4</v>
      </c>
      <c r="CF18" s="23">
        <v>13.5</v>
      </c>
      <c r="CG18" s="23">
        <v>8.9</v>
      </c>
      <c r="CH18" s="23">
        <v>13.8</v>
      </c>
      <c r="CI18" s="23">
        <v>16.07</v>
      </c>
      <c r="CJ18" s="23">
        <v>0.2</v>
      </c>
      <c r="CK18" s="23"/>
      <c r="CL18" s="23"/>
      <c r="CM18" s="23"/>
      <c r="CN18" s="23"/>
      <c r="CO18" s="23"/>
      <c r="CP18" s="28"/>
      <c r="CQ18" s="39">
        <f t="shared" si="39"/>
        <v>13.8</v>
      </c>
      <c r="CR18" s="39">
        <f t="shared" si="40"/>
        <v>15.98</v>
      </c>
      <c r="CS18" s="41">
        <f t="shared" si="41"/>
        <v>51.88</v>
      </c>
      <c r="CT18" s="41">
        <f t="shared" si="42"/>
        <v>13.8</v>
      </c>
      <c r="CU18" s="41">
        <f t="shared" si="43"/>
        <v>16.07</v>
      </c>
      <c r="CV18" s="41">
        <f t="shared" si="44"/>
        <v>52.07</v>
      </c>
      <c r="CW18" s="41">
        <f t="shared" si="45"/>
        <v>52.07</v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>
        <f t="shared" si="49"/>
        <v>52.07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9</v>
      </c>
      <c r="SW18" s="23">
        <f t="shared" si="221"/>
        <v>6.05</v>
      </c>
      <c r="SX18" s="23">
        <f t="shared" si="222"/>
        <v>9</v>
      </c>
      <c r="SY18" s="23">
        <f t="shared" si="223"/>
        <v>10.46</v>
      </c>
      <c r="SZ18" s="23">
        <f t="shared" si="224"/>
        <v>0.2</v>
      </c>
      <c r="TA18" s="23">
        <f t="shared" si="225"/>
        <v>14.3</v>
      </c>
      <c r="TB18" s="23">
        <f t="shared" si="226"/>
        <v>9</v>
      </c>
      <c r="TC18" s="23">
        <f t="shared" si="227"/>
        <v>13.2</v>
      </c>
      <c r="TD18" s="23">
        <f t="shared" si="228"/>
        <v>15.795</v>
      </c>
      <c r="TE18" s="23">
        <f t="shared" si="229"/>
        <v>0.1</v>
      </c>
      <c r="TF18" s="23">
        <f t="shared" si="230"/>
        <v>1.5</v>
      </c>
      <c r="TG18" s="23">
        <f t="shared" si="231"/>
        <v>0.75</v>
      </c>
      <c r="TH18" s="23">
        <f t="shared" si="232"/>
        <v>1.35</v>
      </c>
      <c r="TI18" s="23">
        <f t="shared" si="233"/>
        <v>2.02</v>
      </c>
      <c r="TJ18" s="23">
        <f t="shared" si="234"/>
        <v>0</v>
      </c>
      <c r="TK18" s="28" t="s">
        <v>57</v>
      </c>
      <c r="TL18" s="41">
        <f t="shared" si="235"/>
        <v>9</v>
      </c>
      <c r="TM18" s="41">
        <f t="shared" si="236"/>
        <v>10.46</v>
      </c>
      <c r="TN18" s="41">
        <f t="shared" si="237"/>
        <v>34.31</v>
      </c>
      <c r="TO18" s="41">
        <f t="shared" si="238"/>
        <v>13.2</v>
      </c>
      <c r="TP18" s="41">
        <f t="shared" si="239"/>
        <v>15.795</v>
      </c>
      <c r="TQ18" s="41">
        <f t="shared" si="240"/>
        <v>52.195</v>
      </c>
      <c r="TR18" s="41">
        <f t="shared" si="241"/>
        <v>52.195</v>
      </c>
      <c r="TS18" s="41">
        <f t="shared" si="242"/>
        <v>1.35</v>
      </c>
      <c r="TT18" s="41">
        <f t="shared" si="243"/>
        <v>2.02</v>
      </c>
      <c r="TU18" s="41">
        <f t="shared" si="244"/>
        <v>5.62</v>
      </c>
      <c r="TV18" s="41">
        <f t="shared" si="245"/>
        <v>57.814999999999998</v>
      </c>
    </row>
    <row r="19" spans="1:542" x14ac:dyDescent="0.2">
      <c r="A19" s="4" t="str" cm="1">
        <f t="array" ref="A19">IF(AND(H19&lt;&gt;"",H19&lt;&gt;"No DD"),SUMPRODUCT((H$4:H$24&lt;&gt;"")*(H$4:H$24&lt;&gt;"No DD")*(E$4:E$24&gt;E19))+1,IF(H19="No DD",SUMPRODUCT((H$4:H$24="No DD")*(E$4:E$24&gt;E19))+1+SUMPRODUCT((H$4:H$24&lt;&gt;"")*(H$4:H$24&lt;&gt;"No DD")),""))</f>
        <v/>
      </c>
      <c r="B19" s="5" t="s">
        <v>148</v>
      </c>
      <c r="C19" s="4" t="s">
        <v>5</v>
      </c>
      <c r="D19" s="4">
        <v>2004</v>
      </c>
      <c r="E19" s="9">
        <f t="shared" si="0"/>
        <v>140.01001256300447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44.629999999999995</v>
      </c>
      <c r="K19" s="8" t="str">
        <f t="shared" si="5"/>
        <v>2023 Elite Canada</v>
      </c>
      <c r="L19" s="8">
        <f>IF(COUNT(AQ19,AT19,BR19,BU19,CS19,CV19)&gt;1,LARGE((AQ19,AT19,BR19,BU19,CS19,CV19),2),0)</f>
        <v>35.81</v>
      </c>
      <c r="M19" s="8" t="str">
        <f t="shared" si="6"/>
        <v>2023 Nationals</v>
      </c>
      <c r="N19" s="8">
        <f>IF(COUNT(AQ19,AT19,BR19,BU19,CS19,CV19)&gt;2,LARGE((AQ19,AT19,BR19,BU19,CS19,CV19),3),0)</f>
        <v>33.29</v>
      </c>
      <c r="O19" s="8" t="str">
        <f t="shared" si="7"/>
        <v>2023 Nationals</v>
      </c>
      <c r="P19" s="8">
        <f t="shared" si="8"/>
        <v>0</v>
      </c>
      <c r="Q19" s="8" t="str">
        <f t="shared" si="9"/>
        <v/>
      </c>
      <c r="R19" s="8">
        <f t="shared" si="10"/>
        <v>11.9</v>
      </c>
      <c r="S19" s="8" t="str">
        <f t="shared" si="11"/>
        <v>2023 Elite Canada</v>
      </c>
      <c r="T19" s="8">
        <f t="shared" si="12"/>
        <v>0</v>
      </c>
      <c r="U19" s="8" t="str">
        <f t="shared" si="13"/>
        <v/>
      </c>
      <c r="V19" s="8">
        <f t="shared" si="14"/>
        <v>14.380000000000003</v>
      </c>
      <c r="W19" s="11" t="str">
        <f t="shared" si="15"/>
        <v>(Prelim)</v>
      </c>
      <c r="X19" s="8" t="str">
        <f t="shared" si="16"/>
        <v>2023 Pan Am Club Championships (May 14)</v>
      </c>
      <c r="Y19" s="23">
        <v>5.8</v>
      </c>
      <c r="Z19" s="23">
        <v>3.8</v>
      </c>
      <c r="AA19" s="23">
        <v>5.4</v>
      </c>
      <c r="AB19" s="23">
        <v>6.49</v>
      </c>
      <c r="AC19" s="23">
        <v>0.2</v>
      </c>
      <c r="AD19" s="23">
        <v>10.8</v>
      </c>
      <c r="AE19" s="23">
        <v>8.1</v>
      </c>
      <c r="AF19" s="23">
        <v>11.9</v>
      </c>
      <c r="AG19" s="23">
        <v>13.83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5.4</v>
      </c>
      <c r="AP19" s="39">
        <f t="shared" si="18"/>
        <v>6.49</v>
      </c>
      <c r="AQ19" s="41">
        <f t="shared" si="19"/>
        <v>21.290000000000003</v>
      </c>
      <c r="AR19" s="41">
        <f t="shared" si="20"/>
        <v>11.9</v>
      </c>
      <c r="AS19" s="41">
        <f t="shared" si="21"/>
        <v>13.83</v>
      </c>
      <c r="AT19" s="41">
        <f t="shared" si="22"/>
        <v>44.629999999999995</v>
      </c>
      <c r="AU19" s="41">
        <f t="shared" si="23"/>
        <v>44.629999999999995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44.629999999999995</v>
      </c>
      <c r="AZ19" s="27">
        <v>4.25</v>
      </c>
      <c r="BA19" s="27">
        <v>6.7</v>
      </c>
      <c r="BB19" s="27">
        <v>9.4</v>
      </c>
      <c r="BC19" s="27">
        <v>12.94</v>
      </c>
      <c r="BD19" s="27">
        <v>0</v>
      </c>
      <c r="BE19" s="27">
        <v>8.6999999999999993</v>
      </c>
      <c r="BF19" s="27">
        <v>6.6</v>
      </c>
      <c r="BG19" s="27">
        <v>9.4</v>
      </c>
      <c r="BH19" s="27">
        <v>11.11</v>
      </c>
      <c r="BI19" s="27">
        <v>0</v>
      </c>
      <c r="BJ19" s="27"/>
      <c r="BK19" s="27"/>
      <c r="BL19" s="27"/>
      <c r="BM19" s="27"/>
      <c r="BN19" s="27"/>
      <c r="BO19" s="29"/>
      <c r="BP19" s="40">
        <f t="shared" si="28"/>
        <v>9.4</v>
      </c>
      <c r="BQ19" s="40">
        <f t="shared" si="29"/>
        <v>12.94</v>
      </c>
      <c r="BR19" s="11">
        <f t="shared" si="30"/>
        <v>33.29</v>
      </c>
      <c r="BS19" s="11">
        <f t="shared" si="31"/>
        <v>9.4</v>
      </c>
      <c r="BT19" s="11">
        <f t="shared" si="32"/>
        <v>11.11</v>
      </c>
      <c r="BU19" s="11">
        <f t="shared" si="33"/>
        <v>35.81</v>
      </c>
      <c r="BV19" s="11">
        <f t="shared" si="34"/>
        <v>35.81</v>
      </c>
      <c r="BW19" s="11" t="str">
        <f t="shared" si="35"/>
        <v/>
      </c>
      <c r="BX19" s="11" t="str">
        <f t="shared" si="36"/>
        <v/>
      </c>
      <c r="BY19" s="11" t="str">
        <f t="shared" si="37"/>
        <v/>
      </c>
      <c r="BZ19" s="11">
        <f t="shared" si="38"/>
        <v>35.81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 t="shared" si="39"/>
        <v/>
      </c>
      <c r="CR19" s="39" t="str">
        <f t="shared" si="40"/>
        <v/>
      </c>
      <c r="CS19" s="41" t="str">
        <f t="shared" si="41"/>
        <v/>
      </c>
      <c r="CT19" s="41" t="str">
        <f t="shared" si="42"/>
        <v/>
      </c>
      <c r="CU19" s="41" t="str">
        <f t="shared" si="43"/>
        <v/>
      </c>
      <c r="CV19" s="41" t="str">
        <f t="shared" si="44"/>
        <v/>
      </c>
      <c r="CW19" s="41" t="str">
        <f t="shared" si="45"/>
        <v/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 t="str">
        <f t="shared" si="49"/>
        <v/>
      </c>
      <c r="DB19" s="52">
        <f t="shared" si="50"/>
        <v>14.380000000000003</v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>
        <v>11.6</v>
      </c>
      <c r="HC19" s="18">
        <v>8.6</v>
      </c>
      <c r="HD19" s="18">
        <v>10.5</v>
      </c>
      <c r="HE19" s="18">
        <v>15.95</v>
      </c>
      <c r="HF19" s="18">
        <v>0</v>
      </c>
      <c r="HG19" s="18">
        <v>11.5</v>
      </c>
      <c r="HH19" s="18">
        <v>9.4</v>
      </c>
      <c r="HI19" s="18">
        <v>11.6</v>
      </c>
      <c r="HJ19" s="18">
        <v>15.17</v>
      </c>
      <c r="HK19" s="18">
        <v>0</v>
      </c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>
        <f t="shared" si="94"/>
        <v>10.5</v>
      </c>
      <c r="HW19" s="11">
        <f t="shared" si="95"/>
        <v>15.95</v>
      </c>
      <c r="HX19" s="11">
        <f t="shared" si="96"/>
        <v>46.65</v>
      </c>
      <c r="HY19" s="11">
        <f t="shared" si="97"/>
        <v>11.6</v>
      </c>
      <c r="HZ19" s="11">
        <f t="shared" si="98"/>
        <v>15.17</v>
      </c>
      <c r="IA19" s="11">
        <f t="shared" si="99"/>
        <v>47.67</v>
      </c>
      <c r="IB19" s="11">
        <f t="shared" si="100"/>
        <v>47.67</v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>
        <f t="shared" si="107"/>
        <v>47.67</v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2.125</v>
      </c>
      <c r="SW19" s="23">
        <f t="shared" si="221"/>
        <v>3.35</v>
      </c>
      <c r="SX19" s="23">
        <f t="shared" si="222"/>
        <v>4.7</v>
      </c>
      <c r="SY19" s="23">
        <f t="shared" si="223"/>
        <v>6.47</v>
      </c>
      <c r="SZ19" s="23">
        <f t="shared" si="224"/>
        <v>0</v>
      </c>
      <c r="TA19" s="23">
        <f t="shared" si="225"/>
        <v>4.3499999999999996</v>
      </c>
      <c r="TB19" s="23">
        <f t="shared" si="226"/>
        <v>3.3</v>
      </c>
      <c r="TC19" s="23">
        <f t="shared" si="227"/>
        <v>4.7</v>
      </c>
      <c r="TD19" s="23">
        <f t="shared" si="228"/>
        <v>5.5549999999999997</v>
      </c>
      <c r="TE19" s="23">
        <f t="shared" si="229"/>
        <v>0</v>
      </c>
      <c r="TF19" s="23">
        <f t="shared" si="230"/>
        <v>0</v>
      </c>
      <c r="TG19" s="23">
        <f t="shared" si="231"/>
        <v>0</v>
      </c>
      <c r="TH19" s="23">
        <f t="shared" si="232"/>
        <v>0</v>
      </c>
      <c r="TI19" s="23">
        <f t="shared" si="233"/>
        <v>0</v>
      </c>
      <c r="TJ19" s="23">
        <f t="shared" si="234"/>
        <v>0</v>
      </c>
      <c r="TK19" s="28" t="s">
        <v>57</v>
      </c>
      <c r="TL19" s="41">
        <f t="shared" si="235"/>
        <v>4.7</v>
      </c>
      <c r="TM19" s="41">
        <f t="shared" si="236"/>
        <v>6.47</v>
      </c>
      <c r="TN19" s="41">
        <f t="shared" si="237"/>
        <v>16.645</v>
      </c>
      <c r="TO19" s="41">
        <f t="shared" si="238"/>
        <v>4.7</v>
      </c>
      <c r="TP19" s="41">
        <f t="shared" si="239"/>
        <v>5.5549999999999997</v>
      </c>
      <c r="TQ19" s="41">
        <f t="shared" si="240"/>
        <v>17.905000000000001</v>
      </c>
      <c r="TR19" s="41">
        <f t="shared" si="241"/>
        <v>17.905000000000001</v>
      </c>
      <c r="TS19" s="41" t="str">
        <f t="shared" si="242"/>
        <v/>
      </c>
      <c r="TT19" s="41" t="str">
        <f t="shared" si="243"/>
        <v/>
      </c>
      <c r="TU19" s="41" t="str">
        <f t="shared" si="244"/>
        <v/>
      </c>
      <c r="TV19" s="41">
        <f t="shared" si="245"/>
        <v>17.905000000000001</v>
      </c>
    </row>
    <row r="20" spans="1:542" x14ac:dyDescent="0.2">
      <c r="A20" s="4" t="str" cm="1">
        <f t="array" ref="A20">IF(AND(H20&lt;&gt;"",H20&lt;&gt;"No DD"),SUMPRODUCT((H$4:H$24&lt;&gt;"")*(H$4:H$24&lt;&gt;"No DD")*(E$4:E$24&gt;E20))+1,IF(H20="No DD",SUMPRODUCT((H$4:H$24="No DD")*(E$4:E$24&gt;E20))+1+SUMPRODUCT((H$4:H$24&lt;&gt;"")*(H$4:H$24&lt;&gt;"No DD")),""))</f>
        <v/>
      </c>
      <c r="B20" s="5" t="s">
        <v>77</v>
      </c>
      <c r="C20" s="4" t="s">
        <v>76</v>
      </c>
      <c r="D20" s="4">
        <v>2001</v>
      </c>
      <c r="E20" s="9">
        <f t="shared" si="0"/>
        <v>107.16001071600367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36.51</v>
      </c>
      <c r="K20" s="8" t="str">
        <f t="shared" si="5"/>
        <v>2023 Nationals</v>
      </c>
      <c r="L20" s="8">
        <f>IF(COUNT(AQ20,AT20,BR20,BU20,CS20,CV20)&gt;1,LARGE((AQ20,AT20,BR20,BU20,CS20,CV20),2),0)</f>
        <v>32.42</v>
      </c>
      <c r="M20" s="8" t="str">
        <f t="shared" si="6"/>
        <v>2023 Domestic 3rd Trial</v>
      </c>
      <c r="N20" s="8">
        <f>IF(COUNT(AQ20,AT20,BR20,BU20,CS20,CV20)&gt;2,LARGE((AQ20,AT20,BR20,BU20,CS20,CV20),3),0)</f>
        <v>28.33</v>
      </c>
      <c r="O20" s="8" t="str">
        <f t="shared" si="7"/>
        <v>2023 Elite Canada</v>
      </c>
      <c r="P20" s="8">
        <f t="shared" si="8"/>
        <v>0</v>
      </c>
      <c r="Q20" s="8" t="str">
        <f t="shared" si="9"/>
        <v/>
      </c>
      <c r="R20" s="8">
        <f t="shared" si="10"/>
        <v>9.9</v>
      </c>
      <c r="S20" s="8" t="str">
        <f t="shared" si="11"/>
        <v>2023 Nationals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3">
        <v>7.3</v>
      </c>
      <c r="Z20" s="23">
        <v>4.8</v>
      </c>
      <c r="AA20" s="23">
        <v>8.1999999999999993</v>
      </c>
      <c r="AB20" s="23">
        <v>8.0299999999999994</v>
      </c>
      <c r="AC20" s="23">
        <v>0</v>
      </c>
      <c r="AD20" s="23">
        <v>18.8</v>
      </c>
      <c r="AE20" s="23">
        <v>2</v>
      </c>
      <c r="AF20" s="23">
        <v>3.8</v>
      </c>
      <c r="AG20" s="23">
        <v>3.29</v>
      </c>
      <c r="AH20" s="23">
        <v>0</v>
      </c>
      <c r="AI20" s="23"/>
      <c r="AJ20" s="23"/>
      <c r="AK20" s="23"/>
      <c r="AL20" s="23"/>
      <c r="AM20" s="23"/>
      <c r="AN20" s="28"/>
      <c r="AO20" s="39">
        <f t="shared" si="17"/>
        <v>8.1999999999999993</v>
      </c>
      <c r="AP20" s="39">
        <f t="shared" si="18"/>
        <v>8.0299999999999994</v>
      </c>
      <c r="AQ20" s="41">
        <f t="shared" si="19"/>
        <v>28.33</v>
      </c>
      <c r="AR20" s="41">
        <f t="shared" si="20"/>
        <v>3.8</v>
      </c>
      <c r="AS20" s="41">
        <f t="shared" si="21"/>
        <v>3.29</v>
      </c>
      <c r="AT20" s="41">
        <f t="shared" si="22"/>
        <v>27.89</v>
      </c>
      <c r="AU20" s="41">
        <f t="shared" si="23"/>
        <v>28.33</v>
      </c>
      <c r="AV20" s="41" t="str">
        <f t="shared" si="24"/>
        <v/>
      </c>
      <c r="AW20" s="41" t="str">
        <f t="shared" si="25"/>
        <v/>
      </c>
      <c r="AX20" s="41" t="str">
        <f t="shared" si="26"/>
        <v/>
      </c>
      <c r="AY20" s="41">
        <f t="shared" si="27"/>
        <v>28.33</v>
      </c>
      <c r="AZ20" s="27">
        <v>10.199999999999999</v>
      </c>
      <c r="BA20" s="27">
        <v>5.9</v>
      </c>
      <c r="BB20" s="27">
        <v>9.9</v>
      </c>
      <c r="BC20" s="27">
        <v>10.51</v>
      </c>
      <c r="BD20" s="27">
        <v>0</v>
      </c>
      <c r="BE20" s="27">
        <v>7.5</v>
      </c>
      <c r="BF20" s="27">
        <v>4.5</v>
      </c>
      <c r="BG20" s="27">
        <v>7.8</v>
      </c>
      <c r="BH20" s="27">
        <v>7.7</v>
      </c>
      <c r="BI20" s="27">
        <v>0</v>
      </c>
      <c r="BJ20" s="27"/>
      <c r="BK20" s="27"/>
      <c r="BL20" s="27"/>
      <c r="BM20" s="27"/>
      <c r="BN20" s="27"/>
      <c r="BO20" s="29"/>
      <c r="BP20" s="40">
        <f t="shared" si="28"/>
        <v>9.9</v>
      </c>
      <c r="BQ20" s="40">
        <f t="shared" si="29"/>
        <v>10.51</v>
      </c>
      <c r="BR20" s="11">
        <f t="shared" si="30"/>
        <v>36.51</v>
      </c>
      <c r="BS20" s="11">
        <f t="shared" si="31"/>
        <v>7.8</v>
      </c>
      <c r="BT20" s="11">
        <f t="shared" si="32"/>
        <v>7.7</v>
      </c>
      <c r="BU20" s="11">
        <f t="shared" si="33"/>
        <v>27.5</v>
      </c>
      <c r="BV20" s="11">
        <f t="shared" si="34"/>
        <v>36.51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36.51</v>
      </c>
      <c r="CA20" s="23">
        <v>8.75</v>
      </c>
      <c r="CB20" s="23">
        <v>5.35</v>
      </c>
      <c r="CC20" s="23">
        <v>9.0500000000000007</v>
      </c>
      <c r="CD20" s="23">
        <v>9.27</v>
      </c>
      <c r="CE20" s="23">
        <v>0</v>
      </c>
      <c r="CF20" s="23">
        <v>13.15</v>
      </c>
      <c r="CG20" s="23">
        <v>3.25</v>
      </c>
      <c r="CH20" s="23">
        <v>5.8</v>
      </c>
      <c r="CI20" s="23">
        <v>5.4950000000000001</v>
      </c>
      <c r="CJ20" s="23">
        <v>0</v>
      </c>
      <c r="CK20" s="23">
        <v>0</v>
      </c>
      <c r="CL20" s="23">
        <v>0</v>
      </c>
      <c r="CM20" s="23">
        <v>0</v>
      </c>
      <c r="CN20" s="23">
        <v>0</v>
      </c>
      <c r="CO20" s="23">
        <v>0</v>
      </c>
      <c r="CP20" s="28" t="s">
        <v>57</v>
      </c>
      <c r="CQ20" s="39">
        <f t="shared" si="39"/>
        <v>9.0500000000000007</v>
      </c>
      <c r="CR20" s="39">
        <f t="shared" si="40"/>
        <v>9.27</v>
      </c>
      <c r="CS20" s="41">
        <f t="shared" si="41"/>
        <v>32.42</v>
      </c>
      <c r="CT20" s="41">
        <f t="shared" si="42"/>
        <v>5.8</v>
      </c>
      <c r="CU20" s="41">
        <f t="shared" si="43"/>
        <v>5.4950000000000001</v>
      </c>
      <c r="CV20" s="41">
        <f t="shared" si="44"/>
        <v>27.695</v>
      </c>
      <c r="CW20" s="41">
        <f t="shared" si="45"/>
        <v>32.42</v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>
        <f t="shared" si="49"/>
        <v>32.42</v>
      </c>
      <c r="DB20" s="52" t="str">
        <f t="shared" si="50"/>
        <v/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 t="shared" si="80"/>
        <v/>
      </c>
      <c r="GO20" s="41" t="str">
        <f t="shared" si="81"/>
        <v/>
      </c>
      <c r="GP20" s="41" t="str">
        <f t="shared" si="82"/>
        <v/>
      </c>
      <c r="GQ20" s="41" t="str">
        <f t="shared" si="83"/>
        <v/>
      </c>
      <c r="GR20" s="41" t="str">
        <f t="shared" si="84"/>
        <v/>
      </c>
      <c r="GS20" s="41" t="str">
        <f t="shared" si="85"/>
        <v/>
      </c>
      <c r="GT20" s="41" t="str">
        <f t="shared" si="86"/>
        <v/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8.75</v>
      </c>
      <c r="SW20" s="23">
        <f t="shared" si="221"/>
        <v>5.35</v>
      </c>
      <c r="SX20" s="23">
        <f t="shared" si="222"/>
        <v>9.0500000000000007</v>
      </c>
      <c r="SY20" s="23">
        <f t="shared" si="223"/>
        <v>9.27</v>
      </c>
      <c r="SZ20" s="23">
        <f t="shared" si="224"/>
        <v>0</v>
      </c>
      <c r="TA20" s="23">
        <f t="shared" si="225"/>
        <v>13.15</v>
      </c>
      <c r="TB20" s="23">
        <f t="shared" si="226"/>
        <v>3.25</v>
      </c>
      <c r="TC20" s="23">
        <f t="shared" si="227"/>
        <v>5.8</v>
      </c>
      <c r="TD20" s="23">
        <f t="shared" si="228"/>
        <v>5.4950000000000001</v>
      </c>
      <c r="TE20" s="23">
        <f t="shared" si="229"/>
        <v>0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57</v>
      </c>
      <c r="TL20" s="41">
        <f t="shared" si="235"/>
        <v>9.0500000000000007</v>
      </c>
      <c r="TM20" s="41">
        <f t="shared" si="236"/>
        <v>9.27</v>
      </c>
      <c r="TN20" s="41">
        <f t="shared" si="237"/>
        <v>32.42</v>
      </c>
      <c r="TO20" s="41">
        <f t="shared" si="238"/>
        <v>5.8</v>
      </c>
      <c r="TP20" s="41">
        <f t="shared" si="239"/>
        <v>5.4950000000000001</v>
      </c>
      <c r="TQ20" s="41">
        <f t="shared" si="240"/>
        <v>27.695</v>
      </c>
      <c r="TR20" s="41">
        <f t="shared" si="241"/>
        <v>32.42</v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>
        <f t="shared" si="245"/>
        <v>32.42</v>
      </c>
    </row>
    <row r="21" spans="1:542" x14ac:dyDescent="0.2">
      <c r="A21" s="4" t="str" cm="1">
        <f t="array" ref="A21">IF(AND(H21&lt;&gt;"",H21&lt;&gt;"No DD"),SUMPRODUCT((H$4:H$24&lt;&gt;"")*(H$4:H$24&lt;&gt;"No DD")*(E$4:E$24&gt;E21))+1,IF(H21="No DD",SUMPRODUCT((H$4:H$24="No DD")*(E$4:E$24&gt;E21))+1+SUMPRODUCT((H$4:H$24&lt;&gt;"")*(H$4:H$24&lt;&gt;"No DD")),""))</f>
        <v/>
      </c>
      <c r="B21" s="5" t="s">
        <v>246</v>
      </c>
      <c r="C21" s="4" t="s">
        <v>6</v>
      </c>
      <c r="D21" s="4">
        <v>2001</v>
      </c>
      <c r="E21" s="9">
        <f t="shared" si="0"/>
        <v>106.27001062700531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53.19</v>
      </c>
      <c r="K21" s="8" t="str">
        <f t="shared" si="5"/>
        <v>2023 Domestic 3rd Trial</v>
      </c>
      <c r="L21" s="8">
        <f>IF(COUNT(AQ21,AT21,BR21,BU21,CS21,CV21)&gt;1,LARGE((AQ21,AT21,BR21,BU21,CS21,CV21),2),0)</f>
        <v>21.62</v>
      </c>
      <c r="M21" s="8" t="str">
        <f t="shared" si="6"/>
        <v>2023 Domestic 3rd Trial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16.66</v>
      </c>
      <c r="Q21" s="8" t="str">
        <f t="shared" si="9"/>
        <v>2023 Domestic 3rd Trial</v>
      </c>
      <c r="R21" s="8">
        <f t="shared" si="10"/>
        <v>14.8</v>
      </c>
      <c r="S21" s="8" t="str">
        <f t="shared" si="11"/>
        <v>2023 Domestic 3rd Trial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 t="shared" si="17"/>
        <v/>
      </c>
      <c r="AP21" s="39" t="str">
        <f t="shared" si="18"/>
        <v/>
      </c>
      <c r="AQ21" s="41" t="str">
        <f t="shared" si="19"/>
        <v/>
      </c>
      <c r="AR21" s="41" t="str">
        <f t="shared" si="20"/>
        <v/>
      </c>
      <c r="AS21" s="41" t="str">
        <f t="shared" si="21"/>
        <v/>
      </c>
      <c r="AT21" s="41" t="str">
        <f t="shared" si="22"/>
        <v/>
      </c>
      <c r="AU21" s="41" t="str">
        <f t="shared" si="23"/>
        <v/>
      </c>
      <c r="AV21" s="41" t="str">
        <f t="shared" si="24"/>
        <v/>
      </c>
      <c r="AW21" s="41" t="str">
        <f t="shared" si="25"/>
        <v/>
      </c>
      <c r="AX21" s="41" t="str">
        <f t="shared" si="26"/>
        <v/>
      </c>
      <c r="AY21" s="41" t="str">
        <f t="shared" si="27"/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>
        <v>5.2</v>
      </c>
      <c r="CB21" s="23">
        <v>3.6</v>
      </c>
      <c r="CC21" s="23">
        <v>6.3</v>
      </c>
      <c r="CD21" s="23">
        <v>6.52</v>
      </c>
      <c r="CE21" s="23">
        <v>0</v>
      </c>
      <c r="CF21" s="23">
        <v>13.1</v>
      </c>
      <c r="CG21" s="23">
        <v>9.6999999999999993</v>
      </c>
      <c r="CH21" s="23">
        <v>14.8</v>
      </c>
      <c r="CI21" s="23">
        <v>15.59</v>
      </c>
      <c r="CJ21" s="23">
        <v>0</v>
      </c>
      <c r="CK21" s="23">
        <v>3.8</v>
      </c>
      <c r="CL21" s="23">
        <v>3</v>
      </c>
      <c r="CM21" s="23">
        <v>4.9000000000000004</v>
      </c>
      <c r="CN21" s="23">
        <v>4.96</v>
      </c>
      <c r="CO21" s="23">
        <v>0</v>
      </c>
      <c r="CP21" s="28"/>
      <c r="CQ21" s="39">
        <f t="shared" si="39"/>
        <v>6.3</v>
      </c>
      <c r="CR21" s="39">
        <f t="shared" si="40"/>
        <v>6.52</v>
      </c>
      <c r="CS21" s="41">
        <f t="shared" si="41"/>
        <v>21.62</v>
      </c>
      <c r="CT21" s="41">
        <f t="shared" si="42"/>
        <v>14.8</v>
      </c>
      <c r="CU21" s="41">
        <f t="shared" si="43"/>
        <v>15.59</v>
      </c>
      <c r="CV21" s="41">
        <f t="shared" si="44"/>
        <v>53.19</v>
      </c>
      <c r="CW21" s="41">
        <f t="shared" si="45"/>
        <v>53.19</v>
      </c>
      <c r="CX21" s="41">
        <f t="shared" si="46"/>
        <v>4.9000000000000004</v>
      </c>
      <c r="CY21" s="41">
        <f t="shared" si="47"/>
        <v>4.96</v>
      </c>
      <c r="CZ21" s="41">
        <f t="shared" si="48"/>
        <v>16.66</v>
      </c>
      <c r="DA21" s="41">
        <f t="shared" si="49"/>
        <v>69.849999999999994</v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2.6</v>
      </c>
      <c r="SW21" s="23">
        <f t="shared" si="221"/>
        <v>1.8</v>
      </c>
      <c r="SX21" s="23">
        <f t="shared" si="222"/>
        <v>3.15</v>
      </c>
      <c r="SY21" s="23">
        <f t="shared" si="223"/>
        <v>3.26</v>
      </c>
      <c r="SZ21" s="23">
        <f t="shared" si="224"/>
        <v>0</v>
      </c>
      <c r="TA21" s="23">
        <f t="shared" si="225"/>
        <v>6.55</v>
      </c>
      <c r="TB21" s="23">
        <f t="shared" si="226"/>
        <v>4.8499999999999996</v>
      </c>
      <c r="TC21" s="23">
        <f t="shared" si="227"/>
        <v>7.4</v>
      </c>
      <c r="TD21" s="23">
        <f t="shared" si="228"/>
        <v>7.7949999999999999</v>
      </c>
      <c r="TE21" s="23">
        <f t="shared" si="229"/>
        <v>0</v>
      </c>
      <c r="TF21" s="23">
        <f t="shared" si="230"/>
        <v>1.9</v>
      </c>
      <c r="TG21" s="23">
        <f t="shared" si="231"/>
        <v>1.5</v>
      </c>
      <c r="TH21" s="23">
        <f t="shared" si="232"/>
        <v>2.4500000000000002</v>
      </c>
      <c r="TI21" s="23">
        <f t="shared" si="233"/>
        <v>2.48</v>
      </c>
      <c r="TJ21" s="23">
        <f t="shared" si="234"/>
        <v>0</v>
      </c>
      <c r="TK21" s="28" t="s">
        <v>57</v>
      </c>
      <c r="TL21" s="41">
        <f t="shared" si="235"/>
        <v>3.15</v>
      </c>
      <c r="TM21" s="41">
        <f t="shared" si="236"/>
        <v>3.26</v>
      </c>
      <c r="TN21" s="41">
        <f t="shared" si="237"/>
        <v>10.81</v>
      </c>
      <c r="TO21" s="41">
        <f t="shared" si="238"/>
        <v>7.4</v>
      </c>
      <c r="TP21" s="41">
        <f t="shared" si="239"/>
        <v>7.7949999999999999</v>
      </c>
      <c r="TQ21" s="41">
        <f t="shared" si="240"/>
        <v>26.594999999999999</v>
      </c>
      <c r="TR21" s="41">
        <f t="shared" si="241"/>
        <v>26.594999999999999</v>
      </c>
      <c r="TS21" s="41">
        <f t="shared" si="242"/>
        <v>2.4500000000000002</v>
      </c>
      <c r="TT21" s="41">
        <f t="shared" si="243"/>
        <v>2.48</v>
      </c>
      <c r="TU21" s="41">
        <f t="shared" si="244"/>
        <v>8.33</v>
      </c>
      <c r="TV21" s="41">
        <f t="shared" si="245"/>
        <v>34.924999999999997</v>
      </c>
    </row>
    <row r="22" spans="1:542" x14ac:dyDescent="0.2">
      <c r="A22" s="4" t="str" cm="1">
        <f t="array" ref="A22">IF(AND(H22&lt;&gt;"",H22&lt;&gt;"No DD"),SUMPRODUCT((H$4:H$24&lt;&gt;"")*(H$4:H$24&lt;&gt;"No DD")*(E$4:E$24&gt;E22))+1,IF(H22="No DD",SUMPRODUCT((H$4:H$24="No DD")*(E$4:E$24&gt;E22))+1+SUMPRODUCT((H$4:H$24&lt;&gt;"")*(H$4:H$24&lt;&gt;"No DD")),""))</f>
        <v/>
      </c>
      <c r="B22" s="5" t="s">
        <v>154</v>
      </c>
      <c r="C22" s="4" t="s">
        <v>5</v>
      </c>
      <c r="D22" s="4">
        <v>1993</v>
      </c>
      <c r="E22" s="9">
        <f t="shared" si="0"/>
        <v>62.73000627300339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33.92</v>
      </c>
      <c r="K22" s="8" t="str">
        <f t="shared" si="5"/>
        <v>2023 Elite Canada</v>
      </c>
      <c r="L22" s="8">
        <f>IF(COUNT(AQ22,AT22,BR22,BU22,CS22,CV22)&gt;1,LARGE((AQ22,AT22,BR22,BU22,CS22,CV22),2),0)</f>
        <v>15.63</v>
      </c>
      <c r="M22" s="8" t="str">
        <f t="shared" si="6"/>
        <v>2023 Elite Canada</v>
      </c>
      <c r="N22" s="8">
        <f>IF(COUNT(AQ22,AT22,BR22,BU22,CS22,CV22)&gt;2,LARGE((AQ22,AT22,BR22,BU22,CS22,CV22),3),0)</f>
        <v>5.58</v>
      </c>
      <c r="O22" s="8" t="str">
        <f t="shared" si="7"/>
        <v>2023 Nationals</v>
      </c>
      <c r="P22" s="8">
        <f t="shared" si="8"/>
        <v>0</v>
      </c>
      <c r="Q22" s="8" t="str">
        <f t="shared" si="9"/>
        <v/>
      </c>
      <c r="R22" s="8">
        <f t="shared" si="10"/>
        <v>7.6</v>
      </c>
      <c r="S22" s="8" t="str">
        <f t="shared" si="11"/>
        <v>2023 Elite Canada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3">
        <v>4.3</v>
      </c>
      <c r="Z22" s="23">
        <v>3</v>
      </c>
      <c r="AA22" s="23">
        <v>3.5</v>
      </c>
      <c r="AB22" s="23">
        <v>4.83</v>
      </c>
      <c r="AC22" s="23">
        <v>0</v>
      </c>
      <c r="AD22" s="23">
        <v>9.6</v>
      </c>
      <c r="AE22" s="23">
        <v>6.3</v>
      </c>
      <c r="AF22" s="23">
        <v>7.6</v>
      </c>
      <c r="AG22" s="23">
        <v>10.42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3.5</v>
      </c>
      <c r="AP22" s="39">
        <f t="shared" si="18"/>
        <v>4.83</v>
      </c>
      <c r="AQ22" s="41">
        <f t="shared" si="19"/>
        <v>15.63</v>
      </c>
      <c r="AR22" s="41">
        <f t="shared" si="20"/>
        <v>7.6</v>
      </c>
      <c r="AS22" s="41">
        <f t="shared" si="21"/>
        <v>10.42</v>
      </c>
      <c r="AT22" s="41">
        <f t="shared" si="22"/>
        <v>33.92</v>
      </c>
      <c r="AU22" s="41">
        <f t="shared" si="23"/>
        <v>33.92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33.92</v>
      </c>
      <c r="AZ22" s="27">
        <v>1.2</v>
      </c>
      <c r="BA22" s="27">
        <v>1</v>
      </c>
      <c r="BB22" s="27">
        <v>1.7</v>
      </c>
      <c r="BC22" s="27">
        <v>1.65</v>
      </c>
      <c r="BD22" s="27">
        <v>0</v>
      </c>
      <c r="BE22" s="27">
        <v>1.2</v>
      </c>
      <c r="BF22" s="27">
        <v>1</v>
      </c>
      <c r="BG22" s="27">
        <v>1.7</v>
      </c>
      <c r="BH22" s="27">
        <v>1.68</v>
      </c>
      <c r="BI22" s="27">
        <v>0</v>
      </c>
      <c r="BJ22" s="27"/>
      <c r="BK22" s="27"/>
      <c r="BL22" s="27"/>
      <c r="BM22" s="27"/>
      <c r="BN22" s="27"/>
      <c r="BO22" s="29"/>
      <c r="BP22" s="40">
        <f t="shared" si="28"/>
        <v>1.7</v>
      </c>
      <c r="BQ22" s="40">
        <f t="shared" si="29"/>
        <v>1.65</v>
      </c>
      <c r="BR22" s="11">
        <f t="shared" si="30"/>
        <v>5.5500000000000007</v>
      </c>
      <c r="BS22" s="11">
        <f t="shared" si="31"/>
        <v>1.7</v>
      </c>
      <c r="BT22" s="11">
        <f t="shared" si="32"/>
        <v>1.68</v>
      </c>
      <c r="BU22" s="11">
        <f t="shared" si="33"/>
        <v>5.58</v>
      </c>
      <c r="BV22" s="11">
        <f t="shared" si="34"/>
        <v>5.58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5.58</v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 t="shared" si="39"/>
        <v/>
      </c>
      <c r="CR22" s="39" t="str">
        <f t="shared" si="40"/>
        <v/>
      </c>
      <c r="CS22" s="41" t="str">
        <f t="shared" si="41"/>
        <v/>
      </c>
      <c r="CT22" s="41" t="str">
        <f t="shared" si="42"/>
        <v/>
      </c>
      <c r="CU22" s="41" t="str">
        <f t="shared" si="43"/>
        <v/>
      </c>
      <c r="CV22" s="41" t="str">
        <f t="shared" si="44"/>
        <v/>
      </c>
      <c r="CW22" s="41" t="str">
        <f t="shared" si="45"/>
        <v/>
      </c>
      <c r="CX22" s="41" t="str">
        <f t="shared" si="46"/>
        <v/>
      </c>
      <c r="CY22" s="41" t="str">
        <f t="shared" si="47"/>
        <v/>
      </c>
      <c r="CZ22" s="41" t="str">
        <f t="shared" si="48"/>
        <v/>
      </c>
      <c r="DA22" s="41" t="str">
        <f t="shared" si="49"/>
        <v/>
      </c>
      <c r="DB22" s="52" t="str">
        <f t="shared" si="50"/>
        <v/>
      </c>
      <c r="DC22" s="52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 t="shared" si="52"/>
        <v/>
      </c>
      <c r="DY22" s="41" t="str">
        <f t="shared" si="53"/>
        <v/>
      </c>
      <c r="DZ22" s="41" t="str">
        <f t="shared" si="54"/>
        <v/>
      </c>
      <c r="EA22" s="41" t="str">
        <f t="shared" si="55"/>
        <v/>
      </c>
      <c r="EB22" s="41" t="str">
        <f t="shared" si="56"/>
        <v/>
      </c>
      <c r="EC22" s="41" t="str">
        <f t="shared" si="57"/>
        <v/>
      </c>
      <c r="ED22" s="41" t="str">
        <f t="shared" si="58"/>
        <v/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0.6</v>
      </c>
      <c r="SW22" s="23">
        <f t="shared" si="221"/>
        <v>0.5</v>
      </c>
      <c r="SX22" s="23">
        <f t="shared" si="222"/>
        <v>0.85</v>
      </c>
      <c r="SY22" s="23">
        <f t="shared" si="223"/>
        <v>0.82499999999999996</v>
      </c>
      <c r="SZ22" s="23">
        <f t="shared" si="224"/>
        <v>0</v>
      </c>
      <c r="TA22" s="23">
        <f t="shared" si="225"/>
        <v>0.6</v>
      </c>
      <c r="TB22" s="23">
        <f t="shared" si="226"/>
        <v>0.5</v>
      </c>
      <c r="TC22" s="23">
        <f t="shared" si="227"/>
        <v>0.85</v>
      </c>
      <c r="TD22" s="23">
        <f t="shared" si="228"/>
        <v>0.84</v>
      </c>
      <c r="TE22" s="23">
        <f t="shared" si="229"/>
        <v>0</v>
      </c>
      <c r="TF22" s="23">
        <f t="shared" si="230"/>
        <v>0</v>
      </c>
      <c r="TG22" s="23">
        <f t="shared" si="231"/>
        <v>0</v>
      </c>
      <c r="TH22" s="23">
        <f t="shared" si="232"/>
        <v>0</v>
      </c>
      <c r="TI22" s="23">
        <f t="shared" si="233"/>
        <v>0</v>
      </c>
      <c r="TJ22" s="23">
        <f t="shared" si="234"/>
        <v>0</v>
      </c>
      <c r="TK22" s="28" t="s">
        <v>57</v>
      </c>
      <c r="TL22" s="41">
        <f t="shared" si="235"/>
        <v>0.85</v>
      </c>
      <c r="TM22" s="41">
        <f t="shared" si="236"/>
        <v>0.82499999999999996</v>
      </c>
      <c r="TN22" s="41">
        <f t="shared" si="237"/>
        <v>2.7750000000000004</v>
      </c>
      <c r="TO22" s="41">
        <f t="shared" si="238"/>
        <v>0.85</v>
      </c>
      <c r="TP22" s="41">
        <f t="shared" si="239"/>
        <v>0.84</v>
      </c>
      <c r="TQ22" s="41">
        <f t="shared" si="240"/>
        <v>2.79</v>
      </c>
      <c r="TR22" s="41">
        <f t="shared" si="241"/>
        <v>2.79</v>
      </c>
      <c r="TS22" s="41" t="str">
        <f t="shared" si="242"/>
        <v/>
      </c>
      <c r="TT22" s="41" t="str">
        <f t="shared" si="243"/>
        <v/>
      </c>
      <c r="TU22" s="41" t="str">
        <f t="shared" si="244"/>
        <v/>
      </c>
      <c r="TV22" s="41">
        <f t="shared" si="245"/>
        <v>2.79</v>
      </c>
    </row>
    <row r="23" spans="1:542" x14ac:dyDescent="0.2">
      <c r="A23" s="4" t="str" cm="1">
        <f t="array" ref="A23">IF(AND(H23&lt;&gt;"",H23&lt;&gt;"No DD"),SUMPRODUCT((H$4:H$24&lt;&gt;"")*(H$4:H$24&lt;&gt;"No DD")*(E$4:E$24&gt;E23))+1,IF(H23="No DD",SUMPRODUCT((H$4:H$24="No DD")*(E$4:E$24&gt;E23))+1+SUMPRODUCT((H$4:H$24&lt;&gt;"")*(H$4:H$24&lt;&gt;"No DD")),""))</f>
        <v/>
      </c>
      <c r="B23" s="5" t="s">
        <v>69</v>
      </c>
      <c r="C23" s="4" t="s">
        <v>5</v>
      </c>
      <c r="D23" s="4">
        <v>1991</v>
      </c>
      <c r="E23" s="9">
        <f t="shared" si="0"/>
        <v>18.550001855001085</v>
      </c>
      <c r="F23" s="3" t="str">
        <f t="shared" si="1"/>
        <v/>
      </c>
      <c r="G23" s="3" t="str">
        <f t="shared" si="2"/>
        <v/>
      </c>
      <c r="H23" s="37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10.8</v>
      </c>
      <c r="K23" s="8" t="str">
        <f t="shared" si="5"/>
        <v>2023 Nationals</v>
      </c>
      <c r="L23" s="8">
        <f>IF(COUNT(AQ23,AT23,BR23,BU23,CS23,CV23)&gt;1,LARGE((AQ23,AT23,BR23,BU23,CS23,CV23),2),0)</f>
        <v>5.65</v>
      </c>
      <c r="M23" s="8" t="str">
        <f t="shared" si="6"/>
        <v>2023 Nationals</v>
      </c>
      <c r="N23" s="8">
        <f>IF(COUNT(AQ23,AT23,BR23,BU23,CS23,CV23)&gt;2,LARGE((AQ23,AT23,BR23,BU23,CS23,CV23),3),0)</f>
        <v>0</v>
      </c>
      <c r="O23" s="8" t="str">
        <f t="shared" si="7"/>
        <v/>
      </c>
      <c r="P23" s="8">
        <f t="shared" si="8"/>
        <v>0</v>
      </c>
      <c r="Q23" s="8" t="str">
        <f t="shared" si="9"/>
        <v/>
      </c>
      <c r="R23" s="8">
        <f t="shared" si="10"/>
        <v>2.1</v>
      </c>
      <c r="S23" s="8" t="str">
        <f t="shared" si="11"/>
        <v>2023 Nationals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8"/>
      <c r="AO23" s="39" t="str">
        <f t="shared" si="17"/>
        <v/>
      </c>
      <c r="AP23" s="39" t="str">
        <f t="shared" si="18"/>
        <v/>
      </c>
      <c r="AQ23" s="41" t="str">
        <f t="shared" si="19"/>
        <v/>
      </c>
      <c r="AR23" s="41" t="str">
        <f t="shared" si="20"/>
        <v/>
      </c>
      <c r="AS23" s="41" t="str">
        <f t="shared" si="21"/>
        <v/>
      </c>
      <c r="AT23" s="41" t="str">
        <f t="shared" si="22"/>
        <v/>
      </c>
      <c r="AU23" s="41" t="str">
        <f t="shared" si="23"/>
        <v/>
      </c>
      <c r="AV23" s="41" t="str">
        <f t="shared" si="24"/>
        <v/>
      </c>
      <c r="AW23" s="41" t="str">
        <f t="shared" si="25"/>
        <v/>
      </c>
      <c r="AX23" s="41" t="str">
        <f t="shared" si="26"/>
        <v/>
      </c>
      <c r="AY23" s="41" t="str">
        <f t="shared" si="27"/>
        <v/>
      </c>
      <c r="AZ23" s="27">
        <v>3.4</v>
      </c>
      <c r="BA23" s="27">
        <v>1.8</v>
      </c>
      <c r="BB23" s="27">
        <v>2.1</v>
      </c>
      <c r="BC23" s="27">
        <v>3.5</v>
      </c>
      <c r="BD23" s="27">
        <v>0</v>
      </c>
      <c r="BE23" s="27">
        <v>1.4</v>
      </c>
      <c r="BF23" s="27">
        <v>1</v>
      </c>
      <c r="BG23" s="27">
        <v>1.5</v>
      </c>
      <c r="BH23" s="27">
        <v>1.75</v>
      </c>
      <c r="BI23" s="27">
        <v>0</v>
      </c>
      <c r="BJ23" s="27"/>
      <c r="BK23" s="27"/>
      <c r="BL23" s="27"/>
      <c r="BM23" s="27"/>
      <c r="BN23" s="27"/>
      <c r="BO23" s="29"/>
      <c r="BP23" s="40">
        <f t="shared" si="28"/>
        <v>2.1</v>
      </c>
      <c r="BQ23" s="40">
        <f t="shared" si="29"/>
        <v>3.5</v>
      </c>
      <c r="BR23" s="11">
        <f t="shared" si="30"/>
        <v>10.8</v>
      </c>
      <c r="BS23" s="11">
        <f t="shared" si="31"/>
        <v>1.5</v>
      </c>
      <c r="BT23" s="11">
        <f t="shared" si="32"/>
        <v>1.75</v>
      </c>
      <c r="BU23" s="11">
        <f t="shared" si="33"/>
        <v>5.65</v>
      </c>
      <c r="BV23" s="11">
        <f t="shared" si="34"/>
        <v>10.8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10.8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 t="shared" si="39"/>
        <v/>
      </c>
      <c r="CR23" s="39" t="str">
        <f t="shared" si="40"/>
        <v/>
      </c>
      <c r="CS23" s="41" t="str">
        <f t="shared" si="41"/>
        <v/>
      </c>
      <c r="CT23" s="41" t="str">
        <f t="shared" si="42"/>
        <v/>
      </c>
      <c r="CU23" s="41" t="str">
        <f t="shared" si="43"/>
        <v/>
      </c>
      <c r="CV23" s="41" t="str">
        <f t="shared" si="44"/>
        <v/>
      </c>
      <c r="CW23" s="41" t="str">
        <f t="shared" si="45"/>
        <v/>
      </c>
      <c r="CX23" s="41" t="str">
        <f t="shared" si="46"/>
        <v/>
      </c>
      <c r="CY23" s="41" t="str">
        <f t="shared" si="47"/>
        <v/>
      </c>
      <c r="CZ23" s="41" t="str">
        <f t="shared" si="48"/>
        <v/>
      </c>
      <c r="DA23" s="41" t="str">
        <f t="shared" si="49"/>
        <v/>
      </c>
      <c r="DB23" s="52" t="str">
        <f t="shared" si="50"/>
        <v/>
      </c>
      <c r="DC23" s="52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 t="shared" si="52"/>
        <v/>
      </c>
      <c r="DY23" s="41" t="str">
        <f t="shared" si="53"/>
        <v/>
      </c>
      <c r="DZ23" s="41" t="str">
        <f t="shared" si="54"/>
        <v/>
      </c>
      <c r="EA23" s="41" t="str">
        <f t="shared" si="55"/>
        <v/>
      </c>
      <c r="EB23" s="41" t="str">
        <f t="shared" si="56"/>
        <v/>
      </c>
      <c r="EC23" s="41" t="str">
        <f t="shared" si="57"/>
        <v/>
      </c>
      <c r="ED23" s="41" t="str">
        <f t="shared" si="58"/>
        <v/>
      </c>
      <c r="EE23" s="41" t="str">
        <f t="shared" si="59"/>
        <v/>
      </c>
      <c r="EF23" s="41" t="str">
        <f t="shared" si="60"/>
        <v/>
      </c>
      <c r="EG23" s="41" t="str">
        <f t="shared" si="61"/>
        <v/>
      </c>
      <c r="EH23" s="41" t="str">
        <f t="shared" si="62"/>
        <v/>
      </c>
      <c r="EI23" s="41" t="str">
        <f t="shared" si="63"/>
        <v/>
      </c>
      <c r="EJ23" s="41" t="str">
        <f t="shared" si="64"/>
        <v/>
      </c>
      <c r="EK23" s="41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 t="shared" si="80"/>
        <v/>
      </c>
      <c r="GO23" s="41" t="str">
        <f t="shared" si="81"/>
        <v/>
      </c>
      <c r="GP23" s="41" t="str">
        <f t="shared" si="82"/>
        <v/>
      </c>
      <c r="GQ23" s="41" t="str">
        <f t="shared" si="83"/>
        <v/>
      </c>
      <c r="GR23" s="41" t="str">
        <f t="shared" si="84"/>
        <v/>
      </c>
      <c r="GS23" s="41" t="str">
        <f t="shared" si="85"/>
        <v/>
      </c>
      <c r="GT23" s="41" t="str">
        <f t="shared" si="86"/>
        <v/>
      </c>
      <c r="GU23" s="41" t="str">
        <f t="shared" si="87"/>
        <v/>
      </c>
      <c r="GV23" s="41" t="str">
        <f t="shared" si="88"/>
        <v/>
      </c>
      <c r="GW23" s="41" t="str">
        <f t="shared" si="89"/>
        <v/>
      </c>
      <c r="GX23" s="41" t="str">
        <f t="shared" si="90"/>
        <v/>
      </c>
      <c r="GY23" s="41" t="str">
        <f t="shared" si="91"/>
        <v/>
      </c>
      <c r="GZ23" s="41" t="str">
        <f t="shared" si="92"/>
        <v/>
      </c>
      <c r="HA23" s="41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 t="shared" si="108"/>
        <v/>
      </c>
      <c r="JE23" s="41" t="str">
        <f t="shared" si="109"/>
        <v/>
      </c>
      <c r="JF23" s="41" t="str">
        <f t="shared" si="110"/>
        <v/>
      </c>
      <c r="JG23" s="41" t="str">
        <f t="shared" si="111"/>
        <v/>
      </c>
      <c r="JH23" s="41" t="str">
        <f t="shared" si="112"/>
        <v/>
      </c>
      <c r="JI23" s="41" t="str">
        <f t="shared" si="113"/>
        <v/>
      </c>
      <c r="JJ23" s="41" t="str">
        <f t="shared" si="114"/>
        <v/>
      </c>
      <c r="JK23" s="41" t="str">
        <f t="shared" si="115"/>
        <v/>
      </c>
      <c r="JL23" s="41" t="str">
        <f t="shared" si="116"/>
        <v/>
      </c>
      <c r="JM23" s="41" t="str">
        <f t="shared" si="117"/>
        <v/>
      </c>
      <c r="JN23" s="41" t="str">
        <f t="shared" si="118"/>
        <v/>
      </c>
      <c r="JO23" s="41" t="str">
        <f t="shared" si="119"/>
        <v/>
      </c>
      <c r="JP23" s="41" t="str">
        <f t="shared" si="120"/>
        <v/>
      </c>
      <c r="JQ23" s="41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 t="shared" si="136"/>
        <v/>
      </c>
      <c r="LU23" s="41" t="str">
        <f t="shared" si="137"/>
        <v/>
      </c>
      <c r="LV23" s="41" t="str">
        <f t="shared" si="138"/>
        <v/>
      </c>
      <c r="LW23" s="41" t="str">
        <f t="shared" si="139"/>
        <v/>
      </c>
      <c r="LX23" s="41" t="str">
        <f t="shared" si="140"/>
        <v/>
      </c>
      <c r="LY23" s="41" t="str">
        <f t="shared" si="141"/>
        <v/>
      </c>
      <c r="LZ23" s="41" t="str">
        <f t="shared" si="142"/>
        <v/>
      </c>
      <c r="MA23" s="41" t="str">
        <f t="shared" si="143"/>
        <v/>
      </c>
      <c r="MB23" s="41" t="str">
        <f t="shared" si="144"/>
        <v/>
      </c>
      <c r="MC23" s="41" t="str">
        <f t="shared" si="145"/>
        <v/>
      </c>
      <c r="MD23" s="41" t="str">
        <f t="shared" si="146"/>
        <v/>
      </c>
      <c r="ME23" s="41" t="str">
        <f t="shared" si="147"/>
        <v/>
      </c>
      <c r="MF23" s="41" t="str">
        <f t="shared" si="148"/>
        <v/>
      </c>
      <c r="MG23" s="41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 t="shared" si="164"/>
        <v/>
      </c>
      <c r="OK23" s="41" t="str">
        <f t="shared" si="165"/>
        <v/>
      </c>
      <c r="OL23" s="41" t="str">
        <f t="shared" si="166"/>
        <v/>
      </c>
      <c r="OM23" s="41" t="str">
        <f t="shared" si="167"/>
        <v/>
      </c>
      <c r="ON23" s="41" t="str">
        <f t="shared" si="168"/>
        <v/>
      </c>
      <c r="OO23" s="41" t="str">
        <f t="shared" si="169"/>
        <v/>
      </c>
      <c r="OP23" s="41" t="str">
        <f t="shared" si="170"/>
        <v/>
      </c>
      <c r="OQ23" s="41" t="str">
        <f t="shared" si="171"/>
        <v/>
      </c>
      <c r="OR23" s="41" t="str">
        <f t="shared" si="172"/>
        <v/>
      </c>
      <c r="OS23" s="41" t="str">
        <f t="shared" si="173"/>
        <v/>
      </c>
      <c r="OT23" s="41" t="str">
        <f t="shared" si="174"/>
        <v/>
      </c>
      <c r="OU23" s="41" t="str">
        <f t="shared" si="175"/>
        <v/>
      </c>
      <c r="OV23" s="41" t="str">
        <f t="shared" si="176"/>
        <v/>
      </c>
      <c r="OW23" s="41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 t="shared" si="192"/>
        <v/>
      </c>
      <c r="RA23" s="41" t="str">
        <f t="shared" si="193"/>
        <v/>
      </c>
      <c r="RB23" s="41" t="str">
        <f t="shared" si="194"/>
        <v/>
      </c>
      <c r="RC23" s="41" t="str">
        <f t="shared" si="195"/>
        <v/>
      </c>
      <c r="RD23" s="41" t="str">
        <f t="shared" si="196"/>
        <v/>
      </c>
      <c r="RE23" s="41" t="str">
        <f t="shared" si="197"/>
        <v/>
      </c>
      <c r="RF23" s="41" t="str">
        <f t="shared" si="198"/>
        <v/>
      </c>
      <c r="RG23" s="41" t="str">
        <f t="shared" si="199"/>
        <v/>
      </c>
      <c r="RH23" s="41" t="str">
        <f t="shared" si="200"/>
        <v/>
      </c>
      <c r="RI23" s="41" t="str">
        <f t="shared" si="201"/>
        <v/>
      </c>
      <c r="RJ23" s="41" t="str">
        <f t="shared" si="202"/>
        <v/>
      </c>
      <c r="RK23" s="41" t="str">
        <f t="shared" si="203"/>
        <v/>
      </c>
      <c r="RL23" s="41" t="str">
        <f t="shared" si="204"/>
        <v/>
      </c>
      <c r="RM23" s="41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23">
        <f t="shared" si="220"/>
        <v>1.7</v>
      </c>
      <c r="SW23" s="23">
        <f t="shared" si="221"/>
        <v>0.9</v>
      </c>
      <c r="SX23" s="23">
        <f t="shared" si="222"/>
        <v>1.05</v>
      </c>
      <c r="SY23" s="23">
        <f t="shared" si="223"/>
        <v>1.75</v>
      </c>
      <c r="SZ23" s="23">
        <f t="shared" si="224"/>
        <v>0</v>
      </c>
      <c r="TA23" s="23">
        <f t="shared" si="225"/>
        <v>0.7</v>
      </c>
      <c r="TB23" s="23">
        <f t="shared" si="226"/>
        <v>0.5</v>
      </c>
      <c r="TC23" s="23">
        <f t="shared" si="227"/>
        <v>0.75</v>
      </c>
      <c r="TD23" s="23">
        <f t="shared" si="228"/>
        <v>0.875</v>
      </c>
      <c r="TE23" s="23">
        <f t="shared" si="229"/>
        <v>0</v>
      </c>
      <c r="TF23" s="23">
        <f t="shared" si="230"/>
        <v>0</v>
      </c>
      <c r="TG23" s="23">
        <f t="shared" si="231"/>
        <v>0</v>
      </c>
      <c r="TH23" s="23">
        <f t="shared" si="232"/>
        <v>0</v>
      </c>
      <c r="TI23" s="23">
        <f t="shared" si="233"/>
        <v>0</v>
      </c>
      <c r="TJ23" s="23">
        <f t="shared" si="234"/>
        <v>0</v>
      </c>
      <c r="TK23" s="28" t="s">
        <v>57</v>
      </c>
      <c r="TL23" s="41">
        <f t="shared" si="235"/>
        <v>1.05</v>
      </c>
      <c r="TM23" s="41">
        <f t="shared" si="236"/>
        <v>1.75</v>
      </c>
      <c r="TN23" s="41">
        <f t="shared" si="237"/>
        <v>5.4</v>
      </c>
      <c r="TO23" s="41">
        <f t="shared" si="238"/>
        <v>0.75</v>
      </c>
      <c r="TP23" s="41">
        <f t="shared" si="239"/>
        <v>0.875</v>
      </c>
      <c r="TQ23" s="41">
        <f t="shared" si="240"/>
        <v>2.8250000000000002</v>
      </c>
      <c r="TR23" s="41">
        <f t="shared" si="241"/>
        <v>5.4</v>
      </c>
      <c r="TS23" s="41" t="str">
        <f t="shared" si="242"/>
        <v/>
      </c>
      <c r="TT23" s="41" t="str">
        <f t="shared" si="243"/>
        <v/>
      </c>
      <c r="TU23" s="41" t="str">
        <f t="shared" si="244"/>
        <v/>
      </c>
      <c r="TV23" s="41">
        <f t="shared" si="245"/>
        <v>5.4</v>
      </c>
    </row>
    <row r="24" spans="1:542" x14ac:dyDescent="0.2">
      <c r="B24" s="5"/>
      <c r="D24" s="1"/>
    </row>
    <row r="25" spans="1:542" x14ac:dyDescent="0.2">
      <c r="G25" s="37"/>
      <c r="I25" s="37"/>
    </row>
    <row r="26" spans="1:542" x14ac:dyDescent="0.2">
      <c r="B26" s="24" t="s">
        <v>54</v>
      </c>
      <c r="C26" s="5"/>
      <c r="G26" s="3"/>
      <c r="AR26" s="42"/>
      <c r="AS26" s="42"/>
      <c r="AT26" s="42"/>
      <c r="AV26" s="33"/>
      <c r="AW26" s="33"/>
      <c r="AY26" s="43">
        <v>15.4</v>
      </c>
      <c r="BS26" s="42"/>
      <c r="BT26" s="42"/>
      <c r="BU26" s="42"/>
      <c r="BW26" s="33"/>
      <c r="BX26" s="33"/>
      <c r="BZ26" s="43">
        <v>15.4</v>
      </c>
      <c r="CT26" s="42"/>
      <c r="CU26" s="42"/>
      <c r="CV26" s="42"/>
      <c r="CX26" s="33"/>
      <c r="CY26" s="33"/>
      <c r="DA26" s="43">
        <v>15.4</v>
      </c>
      <c r="DX26" s="5"/>
      <c r="DY26" s="5"/>
      <c r="EH26" s="2"/>
      <c r="EI26" s="2"/>
      <c r="EK26" s="43">
        <v>15.4</v>
      </c>
      <c r="FF26" s="5"/>
      <c r="FG26" s="5"/>
      <c r="FP26" s="2"/>
      <c r="FQ26" s="2"/>
      <c r="FS26" s="43">
        <v>15.4</v>
      </c>
      <c r="GN26" s="5"/>
      <c r="GO26" s="5"/>
      <c r="GX26" s="2"/>
      <c r="GY26" s="2"/>
      <c r="HA26" s="43">
        <v>15.4</v>
      </c>
      <c r="HV26" s="5"/>
      <c r="HW26" s="5"/>
      <c r="IF26" s="2"/>
      <c r="IG26" s="2"/>
      <c r="II26" s="43">
        <v>15.4</v>
      </c>
      <c r="JD26" s="5"/>
      <c r="JE26" s="5"/>
      <c r="JN26" s="2"/>
      <c r="JO26" s="2"/>
      <c r="JQ26" s="43">
        <v>15.4</v>
      </c>
      <c r="KL26" s="5"/>
      <c r="KM26" s="5"/>
      <c r="KV26" s="2"/>
      <c r="KW26" s="2"/>
      <c r="KY26" s="43">
        <v>15.4</v>
      </c>
      <c r="LT26" s="5"/>
      <c r="LU26" s="5"/>
      <c r="MD26" s="2"/>
      <c r="ME26" s="2"/>
      <c r="MG26" s="43">
        <v>15.4</v>
      </c>
      <c r="NB26" s="5"/>
      <c r="NC26" s="5"/>
      <c r="NL26" s="2"/>
      <c r="NM26" s="2"/>
      <c r="NO26" s="43">
        <v>15.4</v>
      </c>
      <c r="OJ26" s="5"/>
      <c r="OK26" s="5"/>
      <c r="OT26" s="2"/>
      <c r="OU26" s="2"/>
      <c r="OW26" s="43">
        <v>15.4</v>
      </c>
      <c r="PR26" s="5"/>
      <c r="PS26" s="5"/>
      <c r="QB26" s="2"/>
      <c r="QC26" s="2"/>
      <c r="QE26" s="43">
        <v>15.4</v>
      </c>
      <c r="QZ26" s="5"/>
      <c r="RA26" s="5"/>
      <c r="RJ26" s="2"/>
      <c r="RK26" s="2"/>
      <c r="RM26" s="43">
        <v>15.4</v>
      </c>
      <c r="SH26" s="5"/>
      <c r="SI26" s="5"/>
      <c r="SR26" s="2"/>
      <c r="SS26" s="2"/>
      <c r="SU26" s="43">
        <v>15.4</v>
      </c>
    </row>
    <row r="27" spans="1:542" x14ac:dyDescent="0.2">
      <c r="B27" s="31" t="s">
        <v>53</v>
      </c>
      <c r="C27" s="5"/>
      <c r="X27" s="2"/>
      <c r="AR27" s="42"/>
      <c r="AS27" s="42"/>
      <c r="AT27" s="42"/>
      <c r="AV27" s="33"/>
      <c r="AW27" s="33"/>
      <c r="AY27" s="44">
        <v>16</v>
      </c>
      <c r="BS27" s="42"/>
      <c r="BT27" s="42"/>
      <c r="BU27" s="42"/>
      <c r="BW27" s="33"/>
      <c r="BX27" s="33"/>
      <c r="BZ27" s="44">
        <v>16</v>
      </c>
      <c r="CT27" s="42"/>
      <c r="CU27" s="42"/>
      <c r="CV27" s="42"/>
      <c r="CX27" s="33"/>
      <c r="CY27" s="33"/>
      <c r="DA27" s="44">
        <v>16</v>
      </c>
      <c r="DX27" s="5"/>
      <c r="DY27" s="5"/>
      <c r="EH27" s="2"/>
      <c r="EI27" s="2"/>
      <c r="EK27" s="44">
        <v>16</v>
      </c>
      <c r="FF27" s="5"/>
      <c r="FG27" s="5"/>
      <c r="FP27" s="2"/>
      <c r="FQ27" s="2"/>
      <c r="FS27" s="44">
        <v>16</v>
      </c>
      <c r="GN27" s="5"/>
      <c r="GO27" s="5"/>
      <c r="GX27" s="2"/>
      <c r="GY27" s="2"/>
      <c r="HA27" s="44">
        <v>16</v>
      </c>
      <c r="HV27" s="5"/>
      <c r="HW27" s="5"/>
      <c r="IF27" s="2"/>
      <c r="IG27" s="2"/>
      <c r="II27" s="44">
        <v>16</v>
      </c>
      <c r="JD27" s="5"/>
      <c r="JE27" s="5"/>
      <c r="JN27" s="2"/>
      <c r="JO27" s="2"/>
      <c r="JQ27" s="44">
        <v>16</v>
      </c>
      <c r="KL27" s="5"/>
      <c r="KM27" s="5"/>
      <c r="KV27" s="2"/>
      <c r="KW27" s="2"/>
      <c r="KY27" s="44">
        <v>16</v>
      </c>
      <c r="LT27" s="5"/>
      <c r="LU27" s="5"/>
      <c r="MD27" s="2"/>
      <c r="ME27" s="2"/>
      <c r="MG27" s="44">
        <v>16</v>
      </c>
      <c r="NB27" s="5"/>
      <c r="NC27" s="5"/>
      <c r="NL27" s="2"/>
      <c r="NM27" s="2"/>
      <c r="NO27" s="44">
        <v>16</v>
      </c>
      <c r="OJ27" s="5"/>
      <c r="OK27" s="5"/>
      <c r="OT27" s="2"/>
      <c r="OU27" s="2"/>
      <c r="OW27" s="44">
        <v>16</v>
      </c>
      <c r="PR27" s="5"/>
      <c r="PS27" s="5"/>
      <c r="QB27" s="2"/>
      <c r="QC27" s="2"/>
      <c r="QE27" s="44">
        <v>16</v>
      </c>
      <c r="QZ27" s="5"/>
      <c r="RA27" s="5"/>
      <c r="RJ27" s="2"/>
      <c r="RK27" s="2"/>
      <c r="RM27" s="44">
        <v>16</v>
      </c>
      <c r="SH27" s="5"/>
      <c r="SI27" s="5"/>
      <c r="SR27" s="2"/>
      <c r="SS27" s="2"/>
      <c r="SU27" s="44">
        <v>16</v>
      </c>
    </row>
    <row r="28" spans="1:542" x14ac:dyDescent="0.2">
      <c r="A28" s="5"/>
      <c r="B28" s="32" t="s">
        <v>67</v>
      </c>
      <c r="C28" s="5"/>
      <c r="E28" s="2"/>
      <c r="AR28" s="42"/>
      <c r="AS28" s="42"/>
      <c r="AT28" s="42"/>
      <c r="AU28" s="33"/>
      <c r="AV28" s="33"/>
      <c r="AW28" s="33"/>
      <c r="AX28" s="33"/>
      <c r="AY28" s="45">
        <v>16.2</v>
      </c>
      <c r="BS28" s="42"/>
      <c r="BT28" s="42"/>
      <c r="BU28" s="42"/>
      <c r="BW28" s="33"/>
      <c r="BX28" s="33"/>
      <c r="BZ28" s="45">
        <v>16.2</v>
      </c>
      <c r="CT28" s="42"/>
      <c r="CU28" s="42"/>
      <c r="CV28" s="42"/>
      <c r="CW28" s="33"/>
      <c r="CX28" s="33"/>
      <c r="CY28" s="33"/>
      <c r="CZ28" s="33"/>
      <c r="DA28" s="45">
        <v>16.2</v>
      </c>
      <c r="DX28" s="5"/>
      <c r="DY28" s="5"/>
      <c r="EH28" s="2"/>
      <c r="EI28" s="2"/>
      <c r="EK28" s="45">
        <v>16.2</v>
      </c>
      <c r="FF28" s="5"/>
      <c r="FG28" s="5"/>
      <c r="FP28" s="2"/>
      <c r="FQ28" s="2"/>
      <c r="FS28" s="45">
        <v>16.2</v>
      </c>
      <c r="GN28" s="5"/>
      <c r="GO28" s="5"/>
      <c r="GX28" s="2"/>
      <c r="GY28" s="2"/>
      <c r="HA28" s="45">
        <v>16.2</v>
      </c>
      <c r="HV28" s="5"/>
      <c r="HW28" s="5"/>
      <c r="IF28" s="2"/>
      <c r="IG28" s="2"/>
      <c r="II28" s="45">
        <v>16.2</v>
      </c>
      <c r="JD28" s="5"/>
      <c r="JE28" s="5"/>
      <c r="JN28" s="2"/>
      <c r="JO28" s="2"/>
      <c r="JQ28" s="45">
        <v>16.2</v>
      </c>
      <c r="KL28" s="5"/>
      <c r="KM28" s="5"/>
      <c r="KV28" s="2"/>
      <c r="KW28" s="2"/>
      <c r="KY28" s="45">
        <v>16.2</v>
      </c>
      <c r="LT28" s="5"/>
      <c r="LU28" s="5"/>
      <c r="MD28" s="2"/>
      <c r="ME28" s="2"/>
      <c r="MG28" s="45">
        <v>16.2</v>
      </c>
      <c r="NB28" s="5"/>
      <c r="NC28" s="5"/>
      <c r="NL28" s="2"/>
      <c r="NM28" s="2"/>
      <c r="NO28" s="45">
        <v>16.2</v>
      </c>
      <c r="OJ28" s="5"/>
      <c r="OK28" s="5"/>
      <c r="OT28" s="2"/>
      <c r="OU28" s="2"/>
      <c r="OW28" s="45">
        <v>16.2</v>
      </c>
      <c r="PR28" s="5"/>
      <c r="PS28" s="5"/>
      <c r="QB28" s="2"/>
      <c r="QC28" s="2"/>
      <c r="QE28" s="45">
        <v>16.2</v>
      </c>
      <c r="QZ28" s="5"/>
      <c r="RA28" s="5"/>
      <c r="RJ28" s="2"/>
      <c r="RK28" s="2"/>
      <c r="RM28" s="45">
        <v>16.2</v>
      </c>
      <c r="SH28" s="5"/>
      <c r="SI28" s="5"/>
      <c r="SR28" s="2"/>
      <c r="SS28" s="2"/>
      <c r="SU28" s="45">
        <v>16.2</v>
      </c>
    </row>
    <row r="29" spans="1:542" x14ac:dyDescent="0.2">
      <c r="A29" s="5"/>
      <c r="B29" s="36" t="s">
        <v>80</v>
      </c>
      <c r="C29" s="5"/>
      <c r="E29" s="2"/>
      <c r="AR29" s="42"/>
      <c r="AS29" s="42"/>
      <c r="AT29" s="42"/>
      <c r="AU29" s="33"/>
      <c r="AV29" s="33"/>
      <c r="AW29" s="33"/>
      <c r="AX29" s="33"/>
      <c r="AY29" s="46">
        <v>17.100000000000001</v>
      </c>
      <c r="BS29" s="42"/>
      <c r="BT29" s="42"/>
      <c r="BU29" s="42"/>
      <c r="BW29" s="33"/>
      <c r="BX29" s="33"/>
      <c r="BZ29" s="46">
        <v>17.100000000000001</v>
      </c>
      <c r="CT29" s="42"/>
      <c r="CU29" s="42"/>
      <c r="CV29" s="42"/>
      <c r="CW29" s="33"/>
      <c r="CX29" s="33"/>
      <c r="CY29" s="33"/>
      <c r="CZ29" s="33"/>
      <c r="DA29" s="46">
        <v>17.100000000000001</v>
      </c>
      <c r="DX29" s="5"/>
      <c r="DY29" s="5"/>
      <c r="EH29" s="2"/>
      <c r="EI29" s="2"/>
      <c r="EK29" s="46">
        <v>17.100000000000001</v>
      </c>
      <c r="FF29" s="5"/>
      <c r="FG29" s="5"/>
      <c r="FP29" s="2"/>
      <c r="FQ29" s="2"/>
      <c r="FS29" s="46">
        <v>17.100000000000001</v>
      </c>
      <c r="GN29" s="5"/>
      <c r="GO29" s="5"/>
      <c r="GX29" s="2"/>
      <c r="GY29" s="2"/>
      <c r="HA29" s="46">
        <v>17.100000000000001</v>
      </c>
      <c r="HV29" s="5"/>
      <c r="HW29" s="5"/>
      <c r="IF29" s="2"/>
      <c r="IG29" s="2"/>
      <c r="II29" s="46">
        <v>17.100000000000001</v>
      </c>
      <c r="JD29" s="5"/>
      <c r="JE29" s="5"/>
      <c r="JN29" s="2"/>
      <c r="JO29" s="2"/>
      <c r="JQ29" s="46">
        <v>17.100000000000001</v>
      </c>
      <c r="KL29" s="5"/>
      <c r="KM29" s="5"/>
      <c r="KV29" s="2"/>
      <c r="KW29" s="2"/>
      <c r="KY29" s="46">
        <v>17.100000000000001</v>
      </c>
      <c r="LT29" s="5"/>
      <c r="LU29" s="5"/>
      <c r="MD29" s="2"/>
      <c r="ME29" s="2"/>
      <c r="MG29" s="46">
        <v>17.100000000000001</v>
      </c>
      <c r="NB29" s="5"/>
      <c r="NC29" s="5"/>
      <c r="NL29" s="2"/>
      <c r="NM29" s="2"/>
      <c r="NO29" s="46">
        <v>17.100000000000001</v>
      </c>
      <c r="OJ29" s="5"/>
      <c r="OK29" s="5"/>
      <c r="OT29" s="2"/>
      <c r="OU29" s="2"/>
      <c r="OW29" s="46">
        <v>17.100000000000001</v>
      </c>
      <c r="PR29" s="5"/>
      <c r="PS29" s="5"/>
      <c r="QB29" s="2"/>
      <c r="QC29" s="2"/>
      <c r="QE29" s="46">
        <v>17.100000000000001</v>
      </c>
      <c r="QZ29" s="5"/>
      <c r="RA29" s="5"/>
      <c r="RJ29" s="2"/>
      <c r="RK29" s="2"/>
      <c r="RM29" s="46">
        <v>17.100000000000001</v>
      </c>
      <c r="SH29" s="5"/>
      <c r="SI29" s="5"/>
      <c r="SR29" s="2"/>
      <c r="SS29" s="2"/>
      <c r="SU29" s="46">
        <v>17.100000000000001</v>
      </c>
    </row>
    <row r="30" spans="1:542" x14ac:dyDescent="0.2">
      <c r="A30" s="5"/>
      <c r="B30" s="35" t="s">
        <v>51</v>
      </c>
      <c r="C30" s="5"/>
      <c r="P30" s="2"/>
      <c r="AR30" s="42"/>
      <c r="AS30" s="42"/>
      <c r="AT30" s="42"/>
      <c r="AU30" s="33"/>
      <c r="AV30" s="33"/>
      <c r="AW30" s="33"/>
      <c r="AX30" s="33"/>
      <c r="AY30" s="47">
        <v>54</v>
      </c>
      <c r="BS30" s="42"/>
      <c r="BT30" s="42"/>
      <c r="BU30" s="42"/>
      <c r="BW30" s="33"/>
      <c r="BX30" s="33"/>
      <c r="BZ30" s="47">
        <v>54</v>
      </c>
      <c r="CT30" s="42"/>
      <c r="CU30" s="42"/>
      <c r="CV30" s="42"/>
      <c r="CW30" s="33"/>
      <c r="CX30" s="33"/>
      <c r="CY30" s="33"/>
      <c r="CZ30" s="33"/>
      <c r="DA30" s="47">
        <v>54</v>
      </c>
      <c r="DX30" s="5"/>
      <c r="DY30" s="5"/>
      <c r="EH30" s="2"/>
      <c r="EI30" s="2"/>
      <c r="EK30" s="47">
        <v>54</v>
      </c>
      <c r="FF30" s="5"/>
      <c r="FG30" s="5"/>
      <c r="FP30" s="2"/>
      <c r="FQ30" s="2"/>
      <c r="FS30" s="47">
        <v>54</v>
      </c>
      <c r="GN30" s="5"/>
      <c r="GO30" s="5"/>
      <c r="GX30" s="2"/>
      <c r="GY30" s="2"/>
      <c r="HA30" s="47">
        <v>54</v>
      </c>
      <c r="HV30" s="5"/>
      <c r="HW30" s="5"/>
      <c r="IF30" s="2"/>
      <c r="IG30" s="2"/>
      <c r="II30" s="47">
        <v>54</v>
      </c>
      <c r="JD30" s="5"/>
      <c r="JE30" s="5"/>
      <c r="JN30" s="2"/>
      <c r="JO30" s="2"/>
      <c r="JQ30" s="47">
        <v>54</v>
      </c>
      <c r="KL30" s="5"/>
      <c r="KM30" s="5"/>
      <c r="KV30" s="2"/>
      <c r="KW30" s="2"/>
      <c r="KY30" s="47">
        <v>54</v>
      </c>
      <c r="LT30" s="5"/>
      <c r="LU30" s="5"/>
      <c r="MD30" s="2"/>
      <c r="ME30" s="2"/>
      <c r="MG30" s="47">
        <v>54</v>
      </c>
      <c r="NB30" s="5"/>
      <c r="NC30" s="5"/>
      <c r="NL30" s="2"/>
      <c r="NM30" s="2"/>
      <c r="NO30" s="47">
        <v>54</v>
      </c>
      <c r="OJ30" s="5"/>
      <c r="OK30" s="5"/>
      <c r="OT30" s="2"/>
      <c r="OU30" s="2"/>
      <c r="OW30" s="47">
        <v>54</v>
      </c>
      <c r="PR30" s="5"/>
      <c r="PS30" s="5"/>
      <c r="QB30" s="2"/>
      <c r="QC30" s="2"/>
      <c r="QE30" s="47">
        <v>54</v>
      </c>
      <c r="QZ30" s="5"/>
      <c r="RA30" s="5"/>
      <c r="RJ30" s="2"/>
      <c r="RK30" s="2"/>
      <c r="RM30" s="47">
        <v>54</v>
      </c>
      <c r="SH30" s="5"/>
      <c r="SI30" s="5"/>
      <c r="SR30" s="2"/>
      <c r="SS30" s="2"/>
      <c r="SU30" s="47">
        <v>54</v>
      </c>
    </row>
    <row r="31" spans="1:542" x14ac:dyDescent="0.2">
      <c r="A31" s="5"/>
      <c r="B31" s="25" t="s">
        <v>52</v>
      </c>
      <c r="C31" s="5"/>
      <c r="P31" s="2"/>
      <c r="AR31" s="42"/>
      <c r="AS31" s="42"/>
      <c r="AT31" s="42"/>
      <c r="AU31" s="33"/>
      <c r="AV31" s="33"/>
      <c r="AW31" s="33"/>
      <c r="AX31" s="33"/>
      <c r="AY31" s="48">
        <v>56</v>
      </c>
      <c r="BS31" s="42"/>
      <c r="BT31" s="42"/>
      <c r="BU31" s="42"/>
      <c r="BW31" s="33"/>
      <c r="BX31" s="33"/>
      <c r="BZ31" s="48">
        <v>56</v>
      </c>
      <c r="CT31" s="42"/>
      <c r="CU31" s="42"/>
      <c r="CV31" s="42"/>
      <c r="CW31" s="33"/>
      <c r="CX31" s="33"/>
      <c r="CY31" s="33"/>
      <c r="CZ31" s="33"/>
      <c r="DA31" s="48">
        <v>56</v>
      </c>
      <c r="DX31" s="5"/>
      <c r="DY31" s="5"/>
      <c r="EH31" s="2"/>
      <c r="EI31" s="2"/>
      <c r="EK31" s="48">
        <v>56</v>
      </c>
      <c r="FF31" s="5"/>
      <c r="FG31" s="5"/>
      <c r="FP31" s="2"/>
      <c r="FQ31" s="2"/>
      <c r="FS31" s="48">
        <v>56</v>
      </c>
      <c r="GN31" s="5"/>
      <c r="GO31" s="5"/>
      <c r="GX31" s="2"/>
      <c r="GY31" s="2"/>
      <c r="HA31" s="48">
        <v>56</v>
      </c>
      <c r="HV31" s="5"/>
      <c r="HW31" s="5"/>
      <c r="IF31" s="2"/>
      <c r="IG31" s="2"/>
      <c r="II31" s="48">
        <v>56</v>
      </c>
      <c r="JD31" s="5"/>
      <c r="JE31" s="5"/>
      <c r="JN31" s="2"/>
      <c r="JO31" s="2"/>
      <c r="JQ31" s="48">
        <v>56</v>
      </c>
      <c r="KL31" s="5"/>
      <c r="KM31" s="5"/>
      <c r="KV31" s="2"/>
      <c r="KW31" s="2"/>
      <c r="KY31" s="48">
        <v>56</v>
      </c>
      <c r="LT31" s="5"/>
      <c r="LU31" s="5"/>
      <c r="MD31" s="2"/>
      <c r="ME31" s="2"/>
      <c r="MG31" s="48">
        <v>56</v>
      </c>
      <c r="NB31" s="5"/>
      <c r="NC31" s="5"/>
      <c r="NL31" s="2"/>
      <c r="NM31" s="2"/>
      <c r="NO31" s="48">
        <v>56</v>
      </c>
      <c r="OJ31" s="5"/>
      <c r="OK31" s="5"/>
      <c r="OT31" s="2"/>
      <c r="OU31" s="2"/>
      <c r="OW31" s="48">
        <v>56</v>
      </c>
      <c r="PR31" s="5"/>
      <c r="PS31" s="5"/>
      <c r="QB31" s="2"/>
      <c r="QC31" s="2"/>
      <c r="QE31" s="48">
        <v>56</v>
      </c>
      <c r="QZ31" s="5"/>
      <c r="RA31" s="5"/>
      <c r="RJ31" s="2"/>
      <c r="RK31" s="2"/>
      <c r="RM31" s="48">
        <v>56</v>
      </c>
      <c r="SH31" s="5"/>
      <c r="SI31" s="5"/>
      <c r="SR31" s="2"/>
      <c r="SS31" s="2"/>
      <c r="SU31" s="48">
        <v>56</v>
      </c>
    </row>
    <row r="32" spans="1:542" x14ac:dyDescent="0.2">
      <c r="A32" s="5"/>
      <c r="B32" s="34" t="s">
        <v>66</v>
      </c>
      <c r="C32" s="5"/>
      <c r="AR32" s="42"/>
      <c r="AS32" s="42"/>
      <c r="AT32" s="42"/>
      <c r="AU32" s="33"/>
      <c r="AV32" s="33"/>
      <c r="AW32" s="33"/>
      <c r="AX32" s="33"/>
      <c r="AY32" s="49">
        <v>57</v>
      </c>
      <c r="BS32" s="42"/>
      <c r="BT32" s="42"/>
      <c r="BU32" s="42"/>
      <c r="BW32" s="33"/>
      <c r="BX32" s="33"/>
      <c r="BZ32" s="49">
        <v>57</v>
      </c>
      <c r="CT32" s="42"/>
      <c r="CU32" s="42"/>
      <c r="CV32" s="42"/>
      <c r="CW32" s="33"/>
      <c r="CX32" s="33"/>
      <c r="CY32" s="33"/>
      <c r="CZ32" s="33"/>
      <c r="DA32" s="49">
        <v>57</v>
      </c>
      <c r="DX32" s="5"/>
      <c r="DY32" s="5"/>
      <c r="EH32" s="2"/>
      <c r="EI32" s="2"/>
      <c r="EJ32" s="38"/>
      <c r="EK32" s="49">
        <v>57</v>
      </c>
      <c r="FF32" s="5"/>
      <c r="FG32" s="5"/>
      <c r="FP32" s="2"/>
      <c r="FQ32" s="2"/>
      <c r="FR32" s="38"/>
      <c r="FS32" s="49">
        <v>57</v>
      </c>
      <c r="GN32" s="5"/>
      <c r="GO32" s="5"/>
      <c r="GX32" s="2"/>
      <c r="GY32" s="2"/>
      <c r="GZ32" s="38"/>
      <c r="HA32" s="49">
        <v>57</v>
      </c>
      <c r="HV32" s="5"/>
      <c r="HW32" s="5"/>
      <c r="IF32" s="2"/>
      <c r="IG32" s="2"/>
      <c r="IH32" s="38"/>
      <c r="II32" s="49">
        <v>57</v>
      </c>
      <c r="JD32" s="5"/>
      <c r="JE32" s="5"/>
      <c r="JN32" s="2"/>
      <c r="JO32" s="2"/>
      <c r="JP32" s="38"/>
      <c r="JQ32" s="49">
        <v>57</v>
      </c>
      <c r="KL32" s="5"/>
      <c r="KM32" s="5"/>
      <c r="KV32" s="2"/>
      <c r="KW32" s="2"/>
      <c r="KX32" s="38"/>
      <c r="KY32" s="49">
        <v>57</v>
      </c>
      <c r="LT32" s="5"/>
      <c r="LU32" s="5"/>
      <c r="MD32" s="2"/>
      <c r="ME32" s="2"/>
      <c r="MF32" s="38"/>
      <c r="MG32" s="49">
        <v>57</v>
      </c>
      <c r="NB32" s="5"/>
      <c r="NC32" s="5"/>
      <c r="NL32" s="2"/>
      <c r="NM32" s="2"/>
      <c r="NN32" s="38"/>
      <c r="NO32" s="49">
        <v>57</v>
      </c>
      <c r="OJ32" s="5"/>
      <c r="OK32" s="5"/>
      <c r="OT32" s="2"/>
      <c r="OU32" s="2"/>
      <c r="OV32" s="38"/>
      <c r="OW32" s="49">
        <v>57</v>
      </c>
      <c r="PR32" s="5"/>
      <c r="PS32" s="5"/>
      <c r="QB32" s="2"/>
      <c r="QC32" s="2"/>
      <c r="QD32" s="38"/>
      <c r="QE32" s="49">
        <v>57</v>
      </c>
      <c r="QZ32" s="5"/>
      <c r="RA32" s="5"/>
      <c r="RJ32" s="2"/>
      <c r="RK32" s="2"/>
      <c r="RL32" s="38"/>
      <c r="RM32" s="49">
        <v>57</v>
      </c>
      <c r="SH32" s="5"/>
      <c r="SI32" s="5"/>
      <c r="SR32" s="2"/>
      <c r="SS32" s="2"/>
      <c r="ST32" s="38"/>
      <c r="SU32" s="49">
        <v>57</v>
      </c>
    </row>
    <row r="33" spans="1:515" x14ac:dyDescent="0.2">
      <c r="A33" s="5"/>
      <c r="B33" s="26" t="s">
        <v>35</v>
      </c>
      <c r="C33" s="5"/>
      <c r="P33" s="2"/>
      <c r="AR33" s="42"/>
      <c r="AS33" s="42"/>
      <c r="AT33" s="42"/>
      <c r="AU33" s="33"/>
      <c r="AV33" s="42"/>
      <c r="AW33" s="42"/>
      <c r="AX33" s="33"/>
      <c r="AY33" s="50">
        <v>59</v>
      </c>
      <c r="BS33" s="42"/>
      <c r="BT33" s="42"/>
      <c r="BU33" s="42"/>
      <c r="BW33" s="42"/>
      <c r="BX33" s="33"/>
      <c r="BZ33" s="50">
        <v>59</v>
      </c>
      <c r="CT33" s="42"/>
      <c r="CU33" s="42"/>
      <c r="CV33" s="42"/>
      <c r="CW33" s="33"/>
      <c r="CX33" s="42"/>
      <c r="CY33" s="33"/>
      <c r="CZ33" s="33"/>
      <c r="DA33" s="50">
        <v>59</v>
      </c>
      <c r="DX33" s="5"/>
      <c r="DY33" s="5"/>
      <c r="EH33" s="42"/>
      <c r="EI33" s="2"/>
      <c r="EK33" s="50">
        <v>59</v>
      </c>
      <c r="FF33" s="5"/>
      <c r="FG33" s="5"/>
      <c r="FP33" s="42"/>
      <c r="FQ33" s="2"/>
      <c r="FS33" s="50">
        <v>59</v>
      </c>
      <c r="GN33" s="5"/>
      <c r="GO33" s="5"/>
      <c r="GX33" s="2"/>
      <c r="GY33" s="2"/>
      <c r="HA33" s="50">
        <v>59</v>
      </c>
      <c r="HV33" s="5"/>
      <c r="HW33" s="5"/>
      <c r="IF33" s="42"/>
      <c r="IG33" s="2"/>
      <c r="II33" s="50">
        <v>59</v>
      </c>
      <c r="JD33" s="5"/>
      <c r="JE33" s="5"/>
      <c r="JN33" s="2"/>
      <c r="JO33" s="2"/>
      <c r="JQ33" s="50">
        <v>59</v>
      </c>
      <c r="KL33" s="5"/>
      <c r="KM33" s="5"/>
      <c r="KV33" s="2"/>
      <c r="KW33" s="2"/>
      <c r="KY33" s="50">
        <v>59</v>
      </c>
      <c r="LT33" s="5"/>
      <c r="LU33" s="5"/>
      <c r="MD33" s="2"/>
      <c r="ME33" s="2"/>
      <c r="MG33" s="50">
        <v>59</v>
      </c>
      <c r="NB33" s="5"/>
      <c r="NC33" s="5"/>
      <c r="NL33" s="2"/>
      <c r="NM33" s="2"/>
      <c r="NO33" s="50">
        <v>59</v>
      </c>
      <c r="OJ33" s="5"/>
      <c r="OK33" s="5"/>
      <c r="OT33" s="2"/>
      <c r="OU33" s="2"/>
      <c r="OW33" s="50">
        <v>59</v>
      </c>
      <c r="PR33" s="5"/>
      <c r="PS33" s="5"/>
      <c r="QB33" s="2"/>
      <c r="QC33" s="2"/>
      <c r="QE33" s="50">
        <v>59</v>
      </c>
      <c r="QZ33" s="5"/>
      <c r="RA33" s="5"/>
      <c r="RJ33" s="2"/>
      <c r="RK33" s="2"/>
      <c r="RM33" s="50">
        <v>59</v>
      </c>
      <c r="SH33" s="5"/>
      <c r="SI33" s="5"/>
      <c r="SR33" s="2"/>
      <c r="SS33" s="2"/>
      <c r="SU33" s="50">
        <v>59</v>
      </c>
    </row>
    <row r="34" spans="1:515" x14ac:dyDescent="0.2">
      <c r="B34" s="30" t="s">
        <v>58</v>
      </c>
      <c r="C34" s="2"/>
      <c r="AU34" s="33"/>
      <c r="AX34" s="33"/>
      <c r="CW34" s="33"/>
      <c r="CZ34" s="33"/>
    </row>
    <row r="35" spans="1:515" x14ac:dyDescent="0.2">
      <c r="A35" s="5"/>
      <c r="B35" s="5"/>
      <c r="C35" s="2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515" ht="17" x14ac:dyDescent="0.2">
      <c r="A36" s="5"/>
      <c r="B36" s="5"/>
      <c r="C36" s="20"/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X41" s="10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3">
      <sortCondition descending="1" ref="F1:F24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3">
    <cfRule type="expression" dxfId="733" priority="51274" stopIfTrue="1">
      <formula>IF($AN4&lt;&gt;"",1,0)</formula>
    </cfRule>
  </conditionalFormatting>
  <conditionalFormatting sqref="AZ4:BZ23">
    <cfRule type="expression" dxfId="732" priority="209" stopIfTrue="1">
      <formula>IF($BO4&lt;&gt;"",1,0)</formula>
    </cfRule>
  </conditionalFormatting>
  <conditionalFormatting sqref="CA4:DA23">
    <cfRule type="expression" dxfId="731" priority="205" stopIfTrue="1">
      <formula>IF($CP4&lt;&gt;"",1,0)</formula>
    </cfRule>
  </conditionalFormatting>
  <conditionalFormatting sqref="BW34:BW1048576 BP1:BP1048576 BS1:BS1048576 BW1:BW32">
    <cfRule type="cellIs" dxfId="730" priority="52631" operator="between">
      <formula>$BZ$29</formula>
      <formula>1000</formula>
    </cfRule>
    <cfRule type="cellIs" dxfId="729" priority="52632" operator="between">
      <formula>$BZ$28</formula>
      <formula>$BZ$29</formula>
    </cfRule>
    <cfRule type="cellIs" dxfId="728" priority="52633" operator="between">
      <formula>$BZ$27</formula>
      <formula>$BZ$28</formula>
    </cfRule>
    <cfRule type="cellIs" dxfId="727" priority="52634" operator="between">
      <formula>$BZ$26</formula>
      <formula>$BZ$27</formula>
    </cfRule>
  </conditionalFormatting>
  <conditionalFormatting sqref="CX34:CX1048576 CQ1:CQ1048576 CT1:CT1048576 CX1:CX32">
    <cfRule type="cellIs" dxfId="726" priority="51508" operator="between">
      <formula>$DA$29</formula>
      <formula>1000</formula>
    </cfRule>
    <cfRule type="cellIs" dxfId="725" priority="51509" operator="between">
      <formula>$DA$28</formula>
      <formula>$DA$29</formula>
    </cfRule>
    <cfRule type="cellIs" dxfId="724" priority="51510" operator="between">
      <formula>$DA$27</formula>
      <formula>$DA$28</formula>
    </cfRule>
    <cfRule type="cellIs" dxfId="723" priority="51511" operator="between">
      <formula>$DA$26</formula>
      <formula>$DA$27</formula>
    </cfRule>
  </conditionalFormatting>
  <conditionalFormatting sqref="EH34:EH1048576 DX1:DX1048576 EA1:EA1048576 EE1:EE1048576 EH1:EH32">
    <cfRule type="cellIs" dxfId="722" priority="52659" operator="between">
      <formula>$EK$29</formula>
      <formula>1000</formula>
    </cfRule>
    <cfRule type="cellIs" dxfId="721" priority="52660" operator="between">
      <formula>$EK$28</formula>
      <formula>$EK$29</formula>
    </cfRule>
    <cfRule type="cellIs" dxfId="720" priority="52661" operator="between">
      <formula>$EK$27</formula>
      <formula>$EK$28</formula>
    </cfRule>
    <cfRule type="cellIs" dxfId="719" priority="52662" operator="between">
      <formula>$EK$26</formula>
      <formula>$EK$27</formula>
    </cfRule>
  </conditionalFormatting>
  <conditionalFormatting sqref="FP34:FP1048576 FF1:FF1048576 FI1:FI1048576 FM1:FM1048576 FP1:FP32">
    <cfRule type="cellIs" dxfId="718" priority="189" operator="between">
      <formula>$FS$29</formula>
      <formula>1000</formula>
    </cfRule>
    <cfRule type="cellIs" dxfId="717" priority="190" operator="between">
      <formula>$FS$28</formula>
      <formula>$FS$29</formula>
    </cfRule>
    <cfRule type="cellIs" dxfId="716" priority="191" operator="between">
      <formula>$FS$27</formula>
      <formula>$FS$28</formula>
    </cfRule>
    <cfRule type="cellIs" dxfId="715" priority="192" operator="between">
      <formula>$FS$26</formula>
      <formula>$FS$27</formula>
    </cfRule>
  </conditionalFormatting>
  <conditionalFormatting sqref="IF34:IF1048576 HV1:HV1048576 HY1:HY1048576 IC1:IC1048576 IF1:IF32">
    <cfRule type="cellIs" dxfId="714" priority="157" operator="between">
      <formula>$II$29</formula>
      <formula>1000</formula>
    </cfRule>
    <cfRule type="cellIs" dxfId="713" priority="158" operator="between">
      <formula>$II$28</formula>
      <formula>$II$29</formula>
    </cfRule>
    <cfRule type="cellIs" dxfId="712" priority="159" operator="between">
      <formula>$II$27</formula>
      <formula>$II$28</formula>
    </cfRule>
    <cfRule type="cellIs" dxfId="711" priority="160" operator="between">
      <formula>$II$26</formula>
      <formula>$II$27</formula>
    </cfRule>
  </conditionalFormatting>
  <conditionalFormatting sqref="AW33 AO1:AO1048576 AR1:AR1048576 AV1:AV1048576">
    <cfRule type="cellIs" dxfId="710" priority="21" operator="between">
      <formula>$AY$29</formula>
      <formula>1000</formula>
    </cfRule>
    <cfRule type="cellIs" dxfId="709" priority="22" operator="between">
      <formula>$AY$28</formula>
      <formula>$AY$29</formula>
    </cfRule>
    <cfRule type="cellIs" dxfId="708" priority="23" operator="between">
      <formula>$AY$27</formula>
      <formula>$AY$28</formula>
    </cfRule>
    <cfRule type="cellIs" dxfId="707" priority="24" operator="between">
      <formula>$AY$26</formula>
      <formula>$AY$27</formula>
    </cfRule>
  </conditionalFormatting>
  <conditionalFormatting sqref="BW33">
    <cfRule type="cellIs" dxfId="706" priority="17" operator="between">
      <formula>$AY$29</formula>
      <formula>1000</formula>
    </cfRule>
    <cfRule type="cellIs" dxfId="705" priority="18" operator="between">
      <formula>$AY$28</formula>
      <formula>$AY$29</formula>
    </cfRule>
    <cfRule type="cellIs" dxfId="704" priority="19" operator="between">
      <formula>$AY$27</formula>
      <formula>$AY$28</formula>
    </cfRule>
    <cfRule type="cellIs" dxfId="703" priority="20" operator="between">
      <formula>$AY$26</formula>
      <formula>$AY$27</formula>
    </cfRule>
  </conditionalFormatting>
  <conditionalFormatting sqref="CX33">
    <cfRule type="cellIs" dxfId="702" priority="13" operator="between">
      <formula>$AY$29</formula>
      <formula>1000</formula>
    </cfRule>
    <cfRule type="cellIs" dxfId="701" priority="14" operator="between">
      <formula>$AY$28</formula>
      <formula>$AY$29</formula>
    </cfRule>
    <cfRule type="cellIs" dxfId="700" priority="15" operator="between">
      <formula>$AY$27</formula>
      <formula>$AY$28</formula>
    </cfRule>
    <cfRule type="cellIs" dxfId="699" priority="16" operator="between">
      <formula>$AY$26</formula>
      <formula>$AY$27</formula>
    </cfRule>
  </conditionalFormatting>
  <conditionalFormatting sqref="EH33">
    <cfRule type="cellIs" dxfId="698" priority="9" operator="between">
      <formula>$AY$29</formula>
      <formula>1000</formula>
    </cfRule>
    <cfRule type="cellIs" dxfId="697" priority="10" operator="between">
      <formula>$AY$28</formula>
      <formula>$AY$29</formula>
    </cfRule>
    <cfRule type="cellIs" dxfId="696" priority="11" operator="between">
      <formula>$AY$27</formula>
      <formula>$AY$28</formula>
    </cfRule>
    <cfRule type="cellIs" dxfId="695" priority="12" operator="between">
      <formula>$AY$26</formula>
      <formula>$AY$27</formula>
    </cfRule>
  </conditionalFormatting>
  <conditionalFormatting sqref="FP33">
    <cfRule type="cellIs" dxfId="694" priority="5" operator="between">
      <formula>$AY$29</formula>
      <formula>1000</formula>
    </cfRule>
    <cfRule type="cellIs" dxfId="693" priority="6" operator="between">
      <formula>$AY$28</formula>
      <formula>$AY$29</formula>
    </cfRule>
    <cfRule type="cellIs" dxfId="692" priority="7" operator="between">
      <formula>$AY$27</formula>
      <formula>$AY$28</formula>
    </cfRule>
    <cfRule type="cellIs" dxfId="691" priority="8" operator="between">
      <formula>$AY$26</formula>
      <formula>$AY$27</formula>
    </cfRule>
  </conditionalFormatting>
  <conditionalFormatting sqref="IF33">
    <cfRule type="cellIs" dxfId="690" priority="1" operator="between">
      <formula>$AY$29</formula>
      <formula>1000</formula>
    </cfRule>
    <cfRule type="cellIs" dxfId="689" priority="2" operator="between">
      <formula>$AY$28</formula>
      <formula>$AY$29</formula>
    </cfRule>
    <cfRule type="cellIs" dxfId="688" priority="3" operator="between">
      <formula>$AY$27</formula>
      <formula>$AY$28</formula>
    </cfRule>
    <cfRule type="cellIs" dxfId="687" priority="4" operator="between">
      <formula>$AY$26</formula>
      <formula>$AY$27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AY$33</formula>
      <formula>1000</formula>
    </cfRule>
    <cfRule type="cellIs" dxfId="682" priority="81977" operator="between">
      <formula>AY$32</formula>
      <formula>AY$33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EK$33</formula>
      <formula>1000</formula>
    </cfRule>
    <cfRule type="cellIs" dxfId="680" priority="81989" operator="between">
      <formula>EK$32</formula>
      <formula>EK$33</formula>
    </cfRule>
  </conditionalFormatting>
  <conditionalFormatting sqref="AQ1:AQ1048576 AT1:AT1048576 AX1:AX1048576">
    <cfRule type="cellIs" dxfId="679" priority="82060" operator="between">
      <formula>$AY$33</formula>
      <formula>1000</formula>
    </cfRule>
    <cfRule type="cellIs" dxfId="678" priority="82061" operator="between">
      <formula>$AY$32</formula>
      <formula>$AY$33</formula>
    </cfRule>
    <cfRule type="cellIs" dxfId="677" priority="82062" operator="between">
      <formula>$AY$31</formula>
      <formula>$AY$32</formula>
    </cfRule>
    <cfRule type="cellIs" dxfId="676" priority="82063" operator="between">
      <formula>$AY$30</formula>
      <formula>$AY$31</formula>
    </cfRule>
  </conditionalFormatting>
  <conditionalFormatting sqref="BR1:BR1048576 BU1:BU1048576 BY1:BY1048576">
    <cfRule type="cellIs" dxfId="675" priority="82096" operator="between">
      <formula>$BZ$33</formula>
      <formula>1000</formula>
    </cfRule>
    <cfRule type="cellIs" dxfId="674" priority="82097" operator="between">
      <formula>$BZ$32</formula>
      <formula>$BZ$33</formula>
    </cfRule>
    <cfRule type="cellIs" dxfId="673" priority="82098" operator="between">
      <formula>$BZ$31</formula>
      <formula>$BZ$32</formula>
    </cfRule>
    <cfRule type="cellIs" dxfId="672" priority="82099" operator="between">
      <formula>$BZ$30</formula>
      <formula>$BZ$31</formula>
    </cfRule>
  </conditionalFormatting>
  <conditionalFormatting sqref="CS1:CS1048576 CV1:CV1048576 CZ1:CZ1048576">
    <cfRule type="cellIs" dxfId="671" priority="82132" operator="between">
      <formula>$DA$33</formula>
      <formula>1000</formula>
    </cfRule>
    <cfRule type="cellIs" dxfId="670" priority="82133" operator="between">
      <formula>$DA$32</formula>
      <formula>$DA$33</formula>
    </cfRule>
    <cfRule type="cellIs" dxfId="669" priority="82134" operator="between">
      <formula>$DA$31</formula>
      <formula>$DA$32</formula>
    </cfRule>
    <cfRule type="cellIs" dxfId="668" priority="82135" operator="between">
      <formula>$DA$30</formula>
      <formula>$DA$31</formula>
    </cfRule>
  </conditionalFormatting>
  <conditionalFormatting sqref="NB1:NB1048576 NE1:NE1048576 NI1:NI1048576 NL1:NL1048576">
    <cfRule type="cellIs" dxfId="667" priority="82168" operator="between">
      <formula>$NO$26</formula>
      <formula>$NO$27</formula>
    </cfRule>
  </conditionalFormatting>
  <conditionalFormatting sqref="DZ1:DZ1048576 EC1:EC1048576 EG1:EG1048576 EJ1:EJ1048576">
    <cfRule type="cellIs" dxfId="666" priority="82180" operator="between">
      <formula>$EK$33</formula>
      <formula>1000</formula>
    </cfRule>
    <cfRule type="cellIs" dxfId="665" priority="82181" operator="between">
      <formula>$EK$32</formula>
      <formula>$EK$33</formula>
    </cfRule>
    <cfRule type="cellIs" dxfId="664" priority="82182" operator="between">
      <formula>$EK$31</formula>
      <formula>$EK$32</formula>
    </cfRule>
    <cfRule type="cellIs" dxfId="663" priority="82183" operator="between">
      <formula>$EK$30</formula>
      <formula>$EK$31</formula>
    </cfRule>
  </conditionalFormatting>
  <conditionalFormatting sqref="FH1:FH1048576 FK1:FK1048576 FO1:FO1048576 FR1:FR1048576">
    <cfRule type="cellIs" dxfId="662" priority="82228" operator="between">
      <formula>$FS$33</formula>
      <formula>1000</formula>
    </cfRule>
    <cfRule type="cellIs" dxfId="661" priority="82229" operator="between">
      <formula>$FS$32</formula>
      <formula>$FS$33</formula>
    </cfRule>
    <cfRule type="cellIs" dxfId="660" priority="82230" operator="between">
      <formula>$FS$31</formula>
      <formula>$FS$32</formula>
    </cfRule>
    <cfRule type="cellIs" dxfId="659" priority="82231" operator="between">
      <formula>$FS$30</formula>
      <formula>$FS$31</formula>
    </cfRule>
  </conditionalFormatting>
  <conditionalFormatting sqref="GN1:GN1048576 GQ1:GQ1048576 GU1:GU1048576 GX1:GX1048576">
    <cfRule type="cellIs" dxfId="658" priority="82276" operator="between">
      <formula>$HA$29</formula>
      <formula>1000</formula>
    </cfRule>
    <cfRule type="cellIs" dxfId="657" priority="82277" operator="between">
      <formula>$HA$28</formula>
      <formula>$HA$29</formula>
    </cfRule>
    <cfRule type="cellIs" dxfId="656" priority="82278" operator="between">
      <formula>$HA$27</formula>
      <formula>$HA$28</formula>
    </cfRule>
    <cfRule type="cellIs" dxfId="655" priority="82279" operator="between">
      <formula>$HA$26</formula>
      <formula>$HA$27</formula>
    </cfRule>
  </conditionalFormatting>
  <conditionalFormatting sqref="GP1:GP1048576 GS1:GS1048576 GW1:GW1048576 GZ1:GZ1048576">
    <cfRule type="cellIs" dxfId="654" priority="82324" operator="between">
      <formula>$HA$33</formula>
      <formula>1000</formula>
    </cfRule>
    <cfRule type="cellIs" dxfId="653" priority="82325" operator="between">
      <formula>$HA$32</formula>
      <formula>$HA$33</formula>
    </cfRule>
    <cfRule type="cellIs" dxfId="652" priority="82326" operator="between">
      <formula>$HA$31</formula>
      <formula>$HA$32</formula>
    </cfRule>
    <cfRule type="cellIs" dxfId="651" priority="82327" operator="between">
      <formula>$HA$30</formula>
      <formula>$HA$31</formula>
    </cfRule>
  </conditionalFormatting>
  <conditionalFormatting sqref="HX1:HX1048576 IA1:IA1048576 IE1:IE1048576 IH1:IH1048576">
    <cfRule type="cellIs" dxfId="650" priority="82372" operator="between">
      <formula>$II$33</formula>
      <formula>1000</formula>
    </cfRule>
    <cfRule type="cellIs" dxfId="649" priority="82373" operator="between">
      <formula>$II$32</formula>
      <formula>$II$33</formula>
    </cfRule>
    <cfRule type="cellIs" dxfId="648" priority="82374" operator="between">
      <formula>$II$31</formula>
      <formula>$II$32</formula>
    </cfRule>
    <cfRule type="cellIs" dxfId="647" priority="82375" operator="between">
      <formula>$II$30</formula>
      <formula>$II$31</formula>
    </cfRule>
  </conditionalFormatting>
  <conditionalFormatting sqref="JD1:JD1048576 JG1:JG1048576 JK1:JK1048576 JN1:JN1048576">
    <cfRule type="cellIs" dxfId="646" priority="82420" operator="between">
      <formula>$JQ$29</formula>
      <formula>1000</formula>
    </cfRule>
    <cfRule type="cellIs" dxfId="645" priority="82421" operator="between">
      <formula>$JQ$28</formula>
      <formula>$JQ$29</formula>
    </cfRule>
    <cfRule type="cellIs" dxfId="644" priority="82422" operator="between">
      <formula>$JQ$27</formula>
      <formula>$JQ$28</formula>
    </cfRule>
    <cfRule type="cellIs" dxfId="643" priority="82423" operator="between">
      <formula>$JQ$26</formula>
      <formula>$JQ$27</formula>
    </cfRule>
  </conditionalFormatting>
  <conditionalFormatting sqref="JF1:JF1048576 JI1:JI1048576 JM1:JM1048576 JP1:JP1048576">
    <cfRule type="cellIs" dxfId="642" priority="82468" operator="between">
      <formula>$JQ$33</formula>
      <formula>1000</formula>
    </cfRule>
    <cfRule type="cellIs" dxfId="641" priority="82469" operator="between">
      <formula>$JQ$32</formula>
      <formula>$JQ$33</formula>
    </cfRule>
    <cfRule type="cellIs" dxfId="640" priority="82470" operator="between">
      <formula>$JQ$31</formula>
      <formula>$JQ$32</formula>
    </cfRule>
    <cfRule type="cellIs" dxfId="639" priority="82471" operator="between">
      <formula>$JQ$30</formula>
      <formula>$JQ$31</formula>
    </cfRule>
  </conditionalFormatting>
  <conditionalFormatting sqref="KL1:KL1048576 KO1:KO1048576 KS1:KS1048576 KV1:KV1048576">
    <cfRule type="cellIs" dxfId="638" priority="82516" operator="between">
      <formula>$KY$29</formula>
      <formula>1000</formula>
    </cfRule>
    <cfRule type="cellIs" dxfId="637" priority="82517" operator="between">
      <formula>$KY$28</formula>
      <formula>$KY$29</formula>
    </cfRule>
    <cfRule type="cellIs" dxfId="636" priority="82518" operator="between">
      <formula>$KY$27</formula>
      <formula>$KY$28</formula>
    </cfRule>
    <cfRule type="cellIs" dxfId="635" priority="82519" operator="between">
      <formula>$KY$26</formula>
      <formula>$KY$27</formula>
    </cfRule>
  </conditionalFormatting>
  <conditionalFormatting sqref="KN1:KN1048576 KQ1:KQ1048576 KU1:KU1048576 KX1:KX1048576">
    <cfRule type="cellIs" dxfId="634" priority="82564" operator="between">
      <formula>$KY$33</formula>
      <formula>1000</formula>
    </cfRule>
    <cfRule type="cellIs" dxfId="633" priority="82565" operator="between">
      <formula>$KY$32</formula>
      <formula>$KY$33</formula>
    </cfRule>
    <cfRule type="cellIs" dxfId="632" priority="82566" operator="between">
      <formula>$KY$31</formula>
      <formula>$KY$32</formula>
    </cfRule>
    <cfRule type="cellIs" dxfId="631" priority="82567" operator="between">
      <formula>$KY$30</formula>
      <formula>$KY$31</formula>
    </cfRule>
  </conditionalFormatting>
  <conditionalFormatting sqref="LT1:LT1048576 LW1:LW1048576 MA1:MA1048576 MD1:MD1048576">
    <cfRule type="cellIs" dxfId="630" priority="82612" operator="between">
      <formula>$MG$29</formula>
      <formula>1000</formula>
    </cfRule>
    <cfRule type="cellIs" dxfId="629" priority="82613" operator="between">
      <formula>$MG$28</formula>
      <formula>$MG$29</formula>
    </cfRule>
    <cfRule type="cellIs" dxfId="628" priority="82614" operator="between">
      <formula>$MG$27</formula>
      <formula>$MG$28</formula>
    </cfRule>
    <cfRule type="cellIs" dxfId="627" priority="82615" operator="between">
      <formula>$MG$26</formula>
      <formula>$MG$27</formula>
    </cfRule>
  </conditionalFormatting>
  <conditionalFormatting sqref="LV1:LV1048576 LY1:LY1048576 MC1:MC1048576 MF1:MF1048576">
    <cfRule type="cellIs" dxfId="626" priority="82660" operator="between">
      <formula>$MG$33</formula>
      <formula>1000</formula>
    </cfRule>
    <cfRule type="cellIs" dxfId="625" priority="82661" operator="between">
      <formula>$MG$32</formula>
      <formula>$MG$33</formula>
    </cfRule>
    <cfRule type="cellIs" dxfId="624" priority="82662" operator="between">
      <formula>$MG$31</formula>
      <formula>$MG$32</formula>
    </cfRule>
    <cfRule type="cellIs" dxfId="623" priority="82663" operator="between">
      <formula>$MG$30</formula>
      <formula>$MG$31</formula>
    </cfRule>
  </conditionalFormatting>
  <conditionalFormatting sqref="NB1:NB1048576 NE1:NE1048576 NI1:NI1048576">
    <cfRule type="cellIs" dxfId="622" priority="82708" operator="between">
      <formula>$NO$29</formula>
      <formula>1000</formula>
    </cfRule>
    <cfRule type="cellIs" dxfId="621" priority="82709" operator="between">
      <formula>$NO$28</formula>
      <formula>$NO$29</formula>
    </cfRule>
    <cfRule type="cellIs" dxfId="620" priority="82710" operator="between">
      <formula>$NO$27</formula>
      <formula>$NO$28</formula>
    </cfRule>
  </conditionalFormatting>
  <conditionalFormatting sqref="ND1:ND1048576 NG1:NG1048576 NK1:NK1048576 NN1:NN1048576">
    <cfRule type="cellIs" dxfId="619" priority="82735" operator="between">
      <formula>$NO$33</formula>
      <formula>1000</formula>
    </cfRule>
    <cfRule type="cellIs" dxfId="618" priority="82736" operator="between">
      <formula>$NO$32</formula>
      <formula>$NO$33</formula>
    </cfRule>
    <cfRule type="cellIs" dxfId="617" priority="82737" operator="between">
      <formula>$NO$31</formula>
      <formula>$NO$32</formula>
    </cfRule>
    <cfRule type="cellIs" dxfId="616" priority="82738" operator="between">
      <formula>$NO$30</formula>
      <formula>$NO$31</formula>
    </cfRule>
  </conditionalFormatting>
  <conditionalFormatting sqref="OJ1:OJ1048576 OM1:OM1048576 OQ1:OQ1048576 OT1:OT1048576">
    <cfRule type="cellIs" dxfId="615" priority="82783" operator="between">
      <formula>$OW$29</formula>
      <formula>1000</formula>
    </cfRule>
    <cfRule type="cellIs" dxfId="614" priority="82784" operator="between">
      <formula>$OW$28</formula>
      <formula>$OW$29</formula>
    </cfRule>
    <cfRule type="cellIs" dxfId="613" priority="82785" operator="between">
      <formula>$OW$27</formula>
      <formula>$OW$28</formula>
    </cfRule>
    <cfRule type="cellIs" dxfId="612" priority="82786" operator="between">
      <formula>$OW$26</formula>
      <formula>$OW$27</formula>
    </cfRule>
  </conditionalFormatting>
  <conditionalFormatting sqref="OL1:OL1048576 OO1:OO1048576 OS1:OS1048576 OV1:OV1048576">
    <cfRule type="cellIs" dxfId="611" priority="82831" operator="between">
      <formula>$OW$33</formula>
      <formula>1000</formula>
    </cfRule>
    <cfRule type="cellIs" dxfId="610" priority="82832" operator="between">
      <formula>$OW$32</formula>
      <formula>$OW$33</formula>
    </cfRule>
    <cfRule type="cellIs" dxfId="609" priority="82833" operator="between">
      <formula>$OW$31</formula>
      <formula>$OW$32</formula>
    </cfRule>
    <cfRule type="cellIs" dxfId="608" priority="82834" operator="between">
      <formula>$OW$30</formula>
      <formula>$OW$31</formula>
    </cfRule>
  </conditionalFormatting>
  <conditionalFormatting sqref="PR1:PR1048576 PU1:PU1048576 PY1:PY1048576 QB1:QB1048576">
    <cfRule type="cellIs" dxfId="607" priority="82879" operator="between">
      <formula>$QE$29</formula>
      <formula>1000</formula>
    </cfRule>
    <cfRule type="cellIs" dxfId="606" priority="82880" operator="between">
      <formula>$QE$28</formula>
      <formula>$QE$29</formula>
    </cfRule>
    <cfRule type="cellIs" dxfId="605" priority="82881" operator="between">
      <formula>$QE$27</formula>
      <formula>$QE$28</formula>
    </cfRule>
    <cfRule type="cellIs" dxfId="604" priority="82882" operator="between">
      <formula>$QE$26</formula>
      <formula>$QE$27</formula>
    </cfRule>
  </conditionalFormatting>
  <conditionalFormatting sqref="PT1:PT1048576 PW1:PW1048576 QA1:QA1048576 QD1:QD1048576">
    <cfRule type="cellIs" dxfId="603" priority="82927" operator="between">
      <formula>$QE$33</formula>
      <formula>1000</formula>
    </cfRule>
    <cfRule type="cellIs" dxfId="602" priority="82928" operator="between">
      <formula>$QE$32</formula>
      <formula>$QE$33</formula>
    </cfRule>
    <cfRule type="cellIs" dxfId="601" priority="82929" operator="between">
      <formula>$QE$31</formula>
      <formula>$QE$32</formula>
    </cfRule>
    <cfRule type="cellIs" dxfId="600" priority="82930" operator="between">
      <formula>$QE$30</formula>
      <formula>$QE$31</formula>
    </cfRule>
  </conditionalFormatting>
  <conditionalFormatting sqref="QZ1:QZ1048576 RC1:RC1048576 RG1:RG1048576 RJ1:RJ1048576">
    <cfRule type="cellIs" dxfId="599" priority="82975" operator="between">
      <formula>$RM$29</formula>
      <formula>1000</formula>
    </cfRule>
    <cfRule type="cellIs" dxfId="598" priority="82976" operator="between">
      <formula>$RM$28</formula>
      <formula>$RM$29</formula>
    </cfRule>
    <cfRule type="cellIs" dxfId="597" priority="82977" operator="between">
      <formula>$RM$27</formula>
      <formula>$RM$28</formula>
    </cfRule>
    <cfRule type="cellIs" dxfId="596" priority="82978" operator="between">
      <formula>$RM$26</formula>
      <formula>$RM$27</formula>
    </cfRule>
  </conditionalFormatting>
  <conditionalFormatting sqref="RB1:RB1048576 RE1:RE1048576 RI1:RI1048576 RL1:RL1048576">
    <cfRule type="cellIs" dxfId="595" priority="83023" operator="between">
      <formula>$RM$33</formula>
      <formula>1000</formula>
    </cfRule>
    <cfRule type="cellIs" dxfId="594" priority="83024" operator="between">
      <formula>$RM$32</formula>
      <formula>$RM$33</formula>
    </cfRule>
    <cfRule type="cellIs" dxfId="593" priority="83025" operator="between">
      <formula>$RM$31</formula>
      <formula>$RM$32</formula>
    </cfRule>
    <cfRule type="cellIs" dxfId="592" priority="83026" operator="between">
      <formula>$RM$30</formula>
      <formula>$RM$31</formula>
    </cfRule>
  </conditionalFormatting>
  <conditionalFormatting sqref="SH1:SH1048576 SK1:SK1048576 SO1:SO1048576 SR1:SR1048576">
    <cfRule type="cellIs" dxfId="591" priority="83071" operator="between">
      <formula>$SU$29</formula>
      <formula>1000</formula>
    </cfRule>
    <cfRule type="cellIs" dxfId="590" priority="83072" operator="between">
      <formula>$SU$28</formula>
      <formula>$SU$29</formula>
    </cfRule>
    <cfRule type="cellIs" dxfId="589" priority="83073" operator="between">
      <formula>$SU$27</formula>
      <formula>$SU$28</formula>
    </cfRule>
    <cfRule type="cellIs" dxfId="588" priority="83074" operator="between">
      <formula>$SU$26</formula>
      <formula>$SU$27</formula>
    </cfRule>
  </conditionalFormatting>
  <conditionalFormatting sqref="SJ1:SJ1048576 SM1:SM1048576 SQ1:SQ1048576 ST1:ST1048576">
    <cfRule type="cellIs" dxfId="587" priority="83119" operator="between">
      <formula>$SU$33</formula>
      <formula>1000</formula>
    </cfRule>
    <cfRule type="cellIs" dxfId="586" priority="83120" operator="between">
      <formula>$SU$32</formula>
      <formula>$SU$33</formula>
    </cfRule>
    <cfRule type="cellIs" dxfId="585" priority="83121" operator="between">
      <formula>$SU$31</formula>
      <formula>$SU$32</formula>
    </cfRule>
    <cfRule type="cellIs" dxfId="584" priority="83122" operator="between">
      <formula>$SU$30</formula>
      <formula>$SU$31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101</v>
      </c>
      <c r="K1" s="68" t="s">
        <v>33</v>
      </c>
      <c r="L1" s="72" t="s">
        <v>102</v>
      </c>
      <c r="M1" s="68" t="s">
        <v>33</v>
      </c>
      <c r="N1" s="72" t="s">
        <v>126</v>
      </c>
      <c r="O1" s="68" t="s">
        <v>33</v>
      </c>
      <c r="P1" s="68" t="s">
        <v>13</v>
      </c>
      <c r="Q1" s="68" t="s">
        <v>33</v>
      </c>
      <c r="R1" s="68" t="s">
        <v>103</v>
      </c>
      <c r="S1" s="68" t="s">
        <v>33</v>
      </c>
      <c r="T1" s="72" t="s">
        <v>104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190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228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177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176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183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188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212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211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213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220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227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240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110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110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110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110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110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110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110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110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110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110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110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110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 t="shared" ref="E4:E17" si="0">SUM(J4:V4)+SUM(J4:T4)*0.0000001+SUM(J4)*0.0000000000001</f>
        <v>252.31002523100551</v>
      </c>
      <c r="F4" s="3" t="str">
        <f t="shared" ref="F4:F17" si="1"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 t="shared" ref="G4:G17" si="2"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 t="shared" ref="H4:H17" si="3"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 t="shared" ref="I4:I17" si="4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 t="shared" ref="K4:K17" si="5"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 t="shared" ref="M4:M17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 t="shared" ref="O4:O17" si="7">IF(N4="","",IF(OR(N4=CS4,N4=CV4),$CA$1,IF(OR(N4=BR4,N4=BU4),$AZ$1,IF(OR(N4=AQ4,N4=AT4),$Y$1,""))))</f>
        <v>2023 Nationals</v>
      </c>
      <c r="P4" s="8">
        <f t="shared" ref="P4:P17" si="8">IF(MAX(AX4,BY4,CZ4)&gt;0,MAX(AX4,BY4,CZ4),0)</f>
        <v>56.46</v>
      </c>
      <c r="Q4" s="8" t="str">
        <f t="shared" ref="Q4:Q17" si="9">IF(P4="","",IF(P4=CZ4,$CA$1,IF(P4=BY4,$AZ$1,IF(P4=AX4,$Y$1,""))))</f>
        <v>2023 Elite Canada</v>
      </c>
      <c r="R4" s="8">
        <f t="shared" ref="R4:R1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 t="shared" ref="S4:S1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 t="shared" ref="T4:T17" si="12"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 t="shared" ref="U4:U1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 t="shared" ref="V4:V17" si="14">IF(MAX(DB4,DC4)&gt;0,MAX(DB4,DC4),"")</f>
        <v/>
      </c>
      <c r="W4" s="11" t="str">
        <f t="shared" ref="W4:W17" si="15">IF(V4="","",IF(V4=DB4,"("&amp;DB$2&amp;")",IF(V4=DC4,"("&amp;DC$2&amp;")")))</f>
        <v/>
      </c>
      <c r="X4" s="8" t="str">
        <f t="shared" ref="X4:X1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 t="shared" ref="AO4:AO17" si="17">IF(AA4&gt;0,AA4,"")</f>
        <v>14.4</v>
      </c>
      <c r="AP4" s="39">
        <f t="shared" ref="AP4:AP17" si="18">IF(AB4&gt;0,AB4,"")</f>
        <v>15.56</v>
      </c>
      <c r="AQ4" s="41">
        <f t="shared" ref="AQ4:AQ17" si="19">IF(SUM(Y4:AB4)-AC4&gt;0,SUM(Y4:AB4)-AC4,"")</f>
        <v>55.260000000000005</v>
      </c>
      <c r="AR4" s="41">
        <f t="shared" ref="AR4:AR17" si="20">IF(AF4&gt;0,AF4,"")</f>
        <v>14.8</v>
      </c>
      <c r="AS4" s="41">
        <f t="shared" ref="AS4:AS17" si="21">IF(AG4&gt;0,AG4,"")</f>
        <v>15.56</v>
      </c>
      <c r="AT4" s="41">
        <f t="shared" ref="AT4:AT17" si="22">IF(SUM(AD4:AG4)-AH4&gt;0,SUM(AD4:AG4)-AH4,"")</f>
        <v>55.06</v>
      </c>
      <c r="AU4" s="41">
        <f t="shared" ref="AU4:AU17" si="23">IF(AQ4="","",MAX(AQ4,AT4))</f>
        <v>55.260000000000005</v>
      </c>
      <c r="AV4" s="41">
        <f t="shared" ref="AV4:AV17" si="24">IF(AK4&gt;0,AK4,"")</f>
        <v>14.4</v>
      </c>
      <c r="AW4" s="41">
        <f t="shared" ref="AW4:AW17" si="25">IF(AL4&gt;0,AL4,"")</f>
        <v>15.86</v>
      </c>
      <c r="AX4" s="41">
        <f t="shared" ref="AX4:AX17" si="26">IF(SUM(AI4:AL4)-AM4&gt;0,SUM(AI4:AL4)-AM4,"")</f>
        <v>56.46</v>
      </c>
      <c r="AY4" s="41">
        <f t="shared" ref="AY4:AY17" si="27"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 t="shared" ref="BP4:BP17" si="28">IF(BB4&gt;0,BB4,"")</f>
        <v>14</v>
      </c>
      <c r="BQ4" s="40">
        <f t="shared" ref="BQ4:BQ17" si="29">IF(BC4&gt;0,BC4,"")</f>
        <v>15.32</v>
      </c>
      <c r="BR4" s="11">
        <f t="shared" ref="BR4:BR17" si="30">IF(SUM(AZ4:BC4)-BD4&gt;0,SUM(AZ4:BC4)-BD4,"")</f>
        <v>51.32</v>
      </c>
      <c r="BS4" s="11">
        <f t="shared" ref="BS4:BS17" si="31">IF(BG4&gt;0,BG4,"")</f>
        <v>14</v>
      </c>
      <c r="BT4" s="11">
        <f t="shared" ref="BT4:BT17" si="32">IF(BH4&gt;0,BH4,"")</f>
        <v>15.47</v>
      </c>
      <c r="BU4" s="11">
        <f t="shared" ref="BU4:BU17" si="33">IF(SUM(BE4:BH4)-BI4&gt;0,SUM(BE4:BH4)-BI4,"")</f>
        <v>54.87</v>
      </c>
      <c r="BV4" s="11">
        <f t="shared" ref="BV4:BV17" si="34">IF(BR4="","",MAX(BR4,BU4))</f>
        <v>54.87</v>
      </c>
      <c r="BW4" s="11">
        <f t="shared" ref="BW4:BW17" si="35">IF(BL4&gt;0,BL4,"")</f>
        <v>10.3</v>
      </c>
      <c r="BX4" s="11">
        <f t="shared" ref="BX4:BX17" si="36">IF(BM4&gt;0,BM4,"")</f>
        <v>10.73</v>
      </c>
      <c r="BY4" s="11">
        <f t="shared" ref="BY4:BY17" si="37">IF(SUM(BJ4:BM4)-BN4&gt;0,SUM(BJ4:BM4)-BN4,"")</f>
        <v>36.93</v>
      </c>
      <c r="BZ4" s="11">
        <f t="shared" ref="BZ4:BZ17" si="38"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 t="shared" ref="CQ4:CQ17" si="39">IF(CC4&gt;0,CC4,"")</f>
        <v>14</v>
      </c>
      <c r="CR4" s="39">
        <f t="shared" ref="CR4:CR17" si="40">IF(CD4&gt;0,CD4,"")</f>
        <v>15.05</v>
      </c>
      <c r="CS4" s="41">
        <f t="shared" ref="CS4:CS17" si="41">IF(SUM(CA4:CD4)-CE4&gt;0,SUM(CA4:CD4)-CE4,"")</f>
        <v>53.55</v>
      </c>
      <c r="CT4" s="41">
        <f t="shared" ref="CT4:CT17" si="42">IF(CH4&gt;0,CH4,"")</f>
        <v>4.9000000000000004</v>
      </c>
      <c r="CU4" s="41">
        <f t="shared" ref="CU4:CU17" si="43">IF(CI4&gt;0,CI4,"")</f>
        <v>4.9800000000000004</v>
      </c>
      <c r="CV4" s="41">
        <f t="shared" ref="CV4:CV17" si="44">IF(SUM(CF4:CI4)-CJ4&gt;0,SUM(CF4:CI4)-CJ4,"")</f>
        <v>17.48</v>
      </c>
      <c r="CW4" s="41">
        <f t="shared" ref="CW4:CW17" si="45">IF(CS4="","",MAX(CS4,CV4))</f>
        <v>53.55</v>
      </c>
      <c r="CX4" s="41">
        <f t="shared" ref="CX4:CX17" si="46">IF(CM4&gt;0,CM4,"")</f>
        <v>13.2</v>
      </c>
      <c r="CY4" s="41">
        <f t="shared" ref="CY4:CY17" si="47">IF(CN4&gt;0,CN4,"")</f>
        <v>15.2</v>
      </c>
      <c r="CZ4" s="41">
        <f t="shared" ref="CZ4:CZ17" si="48">IF(SUM(CK4:CN4)-CO4&gt;0,SUM(CK4:CN4)-CO4,"")</f>
        <v>52.8</v>
      </c>
      <c r="DA4" s="41">
        <f t="shared" ref="DA4:DA17" si="49">IF(SUM(CW4,CZ4)&gt;0,SUM(CW4,CZ4),"")</f>
        <v>106.35</v>
      </c>
      <c r="DB4" s="52" t="str">
        <f t="shared" ref="DB4:DB17" si="50">IF(MAX(ED4,FL4,GT4,IB4,JJ4,KR4,LZ4,NH4,OP4,PX4,RF4,SN4)-IF(N4="",0,N4)&gt;0.001,MAX(ED4,FL4,GT4,IB4,JJ4,KR4,LZ4,NH4,OP4,PX4,RF4,SN4)-IF(N4="",0,N4),"")</f>
        <v/>
      </c>
      <c r="DC4" s="52" t="str">
        <f t="shared" ref="DC4:DC1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 t="shared" ref="DX4:DX17" si="52">IF(DF4&gt;0,DF4,"")</f>
        <v>13.2</v>
      </c>
      <c r="DY4" s="41">
        <f t="shared" ref="DY4:DY17" si="53">IF(DG4&gt;0,DG4,"")</f>
        <v>15.33</v>
      </c>
      <c r="DZ4" s="41">
        <f t="shared" ref="DZ4:DZ17" si="54">IF(SUM(DD4:DG4)-DH4&gt;0,SUM(DD4:DG4)-DH4,"")</f>
        <v>53.03</v>
      </c>
      <c r="EA4" s="41">
        <f t="shared" ref="EA4:EA17" si="55">IF(DK4&gt;0,DK4,"")</f>
        <v>14.4</v>
      </c>
      <c r="EB4" s="41">
        <f t="shared" ref="EB4:EB17" si="56">IF(DL4&gt;0,DL4,"")</f>
        <v>15.19</v>
      </c>
      <c r="EC4" s="41">
        <f t="shared" ref="EC4:EC17" si="57">IF(SUM(DI4:DL4)-DM4&gt;0,SUM(DI4:DL4)-DM4,"")</f>
        <v>54.089999999999996</v>
      </c>
      <c r="ED4" s="41">
        <f t="shared" ref="ED4:ED17" si="58">IF(MAX(DZ4,EC4)&gt;0,MAX(DZ4,EC4),"")</f>
        <v>54.089999999999996</v>
      </c>
      <c r="EE4" s="41">
        <f t="shared" ref="EE4:EE17" si="59">IF(DP4&gt;0,DP4,"")</f>
        <v>14.2</v>
      </c>
      <c r="EF4" s="41">
        <f t="shared" ref="EF4:EF17" si="60">IF(DQ4&gt;0,DQ4,"")</f>
        <v>15.24</v>
      </c>
      <c r="EG4" s="41">
        <f t="shared" ref="EG4:EG17" si="61">IF(SUM(DN4:DQ4)-DR4&gt;0,SUM(DN4:DQ4)-DR4,"")</f>
        <v>53.940000000000005</v>
      </c>
      <c r="EH4" s="41" t="str">
        <f t="shared" ref="EH4:EH17" si="62">IF(DU4&gt;0,DU4,"")</f>
        <v/>
      </c>
      <c r="EI4" s="41" t="str">
        <f t="shared" ref="EI4:EI17" si="63">IF(DV4&gt;0,DV4,"")</f>
        <v/>
      </c>
      <c r="EJ4" s="41" t="str">
        <f t="shared" ref="EJ4:EJ17" si="64">IF(SUM(DS4:DV4)-DW4&gt;0,SUM(DS4:DV4)-DW4,"")</f>
        <v/>
      </c>
      <c r="EK4" s="41">
        <f t="shared" ref="EK4:EK17" si="65">IF(SUM(ED4,EG4,EJ4)&gt;0,SUM(ED4,EG4,EJ4),"")</f>
        <v>108.03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17" si="66">IF(EN4&gt;0,EN4,"")</f>
        <v/>
      </c>
      <c r="FG4" s="11" t="str">
        <f t="shared" ref="FG4:FG17" si="67">IF(EO4&gt;0,EO4,"")</f>
        <v/>
      </c>
      <c r="FH4" s="11" t="str">
        <f t="shared" ref="FH4:FH17" si="68">IF(SUM(EL4:EO4)-EP4&gt;0,SUM(EL4:EO4)-EP4,"")</f>
        <v/>
      </c>
      <c r="FI4" s="11" t="str">
        <f t="shared" ref="FI4:FI17" si="69">IF(ES4&gt;0,ES4,"")</f>
        <v/>
      </c>
      <c r="FJ4" s="11" t="str">
        <f t="shared" ref="FJ4:FJ17" si="70">IF(ET4&gt;0,ET4,"")</f>
        <v/>
      </c>
      <c r="FK4" s="11" t="str">
        <f t="shared" ref="FK4:FK17" si="71">IF(SUM(EQ4:ET4)-EU4&gt;0,SUM(EQ4:ET4)-EU4,"")</f>
        <v/>
      </c>
      <c r="FL4" s="11" t="str">
        <f t="shared" ref="FL4:FL17" si="72">IF(MAX(FH4,FK4)&gt;0,MAX(FH4,FK4),"")</f>
        <v/>
      </c>
      <c r="FM4" s="11" t="str">
        <f t="shared" ref="FM4:FM17" si="73">IF(EX4&gt;0,EX4,"")</f>
        <v/>
      </c>
      <c r="FN4" s="11" t="str">
        <f t="shared" ref="FN4:FN17" si="74">IF(EY4&gt;0,EY4,"")</f>
        <v/>
      </c>
      <c r="FO4" s="11" t="str">
        <f t="shared" ref="FO4:FO17" si="75">IF(SUM(EV4:EY4)-EZ4&gt;0,SUM(EV4:EY4)-EZ4,"")</f>
        <v/>
      </c>
      <c r="FP4" s="11" t="str">
        <f t="shared" ref="FP4:FP17" si="76">IF(FC4&gt;0,FC4,"")</f>
        <v/>
      </c>
      <c r="FQ4" s="11" t="str">
        <f t="shared" ref="FQ4:FQ17" si="77">IF(FD4&gt;0,FD4,"")</f>
        <v/>
      </c>
      <c r="FR4" s="11" t="str">
        <f t="shared" ref="FR4:FR17" si="78">IF(SUM(FA4:FD4)-FE4&gt;0,SUM(FA4:FD4)-FE4,"")</f>
        <v/>
      </c>
      <c r="FS4" s="11" t="str">
        <f t="shared" ref="FS4:FS17" si="79"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17" si="80">IF(FV4&gt;0,FV4,"")</f>
        <v/>
      </c>
      <c r="GO4" s="41" t="str">
        <f t="shared" ref="GO4:GO17" si="81">IF(FW4&gt;0,FW4,"")</f>
        <v/>
      </c>
      <c r="GP4" s="41" t="str">
        <f t="shared" ref="GP4:GP17" si="82">IF(SUM(FT4:FW4)-FX4&gt;0,SUM(FT4:FW4)-FX4,"")</f>
        <v/>
      </c>
      <c r="GQ4" s="41" t="str">
        <f t="shared" ref="GQ4:GQ17" si="83">IF(GA4&gt;0,GA4,"")</f>
        <v/>
      </c>
      <c r="GR4" s="41" t="str">
        <f t="shared" ref="GR4:GR17" si="84">IF(GB4&gt;0,GB4,"")</f>
        <v/>
      </c>
      <c r="GS4" s="41" t="str">
        <f t="shared" ref="GS4:GS17" si="85">IF(SUM(FY4:GB4)-GC4&gt;0,SUM(FY4:GB4)-GC4,"")</f>
        <v/>
      </c>
      <c r="GT4" s="41" t="str">
        <f t="shared" ref="GT4:GT17" si="86">IF(MAX(GP4,GS4)&gt;0,MAX(GP4,GS4),"")</f>
        <v/>
      </c>
      <c r="GU4" s="41" t="str">
        <f t="shared" ref="GU4:GU17" si="87">IF(GF4&gt;0,GF4,"")</f>
        <v/>
      </c>
      <c r="GV4" s="41" t="str">
        <f t="shared" ref="GV4:GV17" si="88">IF(GG4&gt;0,GG4,"")</f>
        <v/>
      </c>
      <c r="GW4" s="41" t="str">
        <f t="shared" ref="GW4:GW17" si="89">IF(SUM(GD4:GG4)-GH4&gt;0,SUM(GD4:GG4)-GH4,"")</f>
        <v/>
      </c>
      <c r="GX4" s="41" t="str">
        <f t="shared" ref="GX4:GX17" si="90">IF(GK4&gt;0,GK4,"")</f>
        <v/>
      </c>
      <c r="GY4" s="41" t="str">
        <f t="shared" ref="GY4:GY17" si="91">IF(GL4&gt;0,GL4,"")</f>
        <v/>
      </c>
      <c r="GZ4" s="41" t="str">
        <f t="shared" ref="GZ4:GZ17" si="92">IF(SUM(GI4:GL4)-GM4&gt;0,SUM(GI4:GL4)-GM4,"")</f>
        <v/>
      </c>
      <c r="HA4" s="41" t="str">
        <f t="shared" ref="HA4:HA17" si="93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7" si="94">IF(HD4&gt;0,HD4,"")</f>
        <v/>
      </c>
      <c r="HW4" s="11" t="str">
        <f t="shared" ref="HW4:HW17" si="95">IF(HE4&gt;0,HE4,"")</f>
        <v/>
      </c>
      <c r="HX4" s="11" t="str">
        <f t="shared" ref="HX4:HX17" si="96">IF(SUM(HB4:HE4)-HF4&gt;0,SUM(HB4:HE4)-HF4,"")</f>
        <v/>
      </c>
      <c r="HY4" s="11" t="str">
        <f t="shared" ref="HY4:HY17" si="97">IF(HI4&gt;0,HI4,"")</f>
        <v/>
      </c>
      <c r="HZ4" s="11" t="str">
        <f t="shared" ref="HZ4:HZ17" si="98">IF(HJ4&gt;0,HJ4,"")</f>
        <v/>
      </c>
      <c r="IA4" s="11" t="str">
        <f t="shared" ref="IA4:IA17" si="99">IF(SUM(HG4:HJ4)-HK4&gt;0,SUM(HG4:HJ4)-HK4,"")</f>
        <v/>
      </c>
      <c r="IB4" s="11" t="str">
        <f t="shared" ref="IB4:IB17" si="100">IF(MAX(HX4,IA4)&gt;0,MAX(HX4,IA4),"")</f>
        <v/>
      </c>
      <c r="IC4" s="11" t="str">
        <f t="shared" ref="IC4:IC17" si="101">IF(HN4&gt;0,HN4,"")</f>
        <v/>
      </c>
      <c r="ID4" s="11" t="str">
        <f t="shared" ref="ID4:ID17" si="102">IF(HO4&gt;0,HO4,"")</f>
        <v/>
      </c>
      <c r="IE4" s="11" t="str">
        <f t="shared" ref="IE4:IE17" si="103">IF(SUM(HL4:HO4)-HP4&gt;0,SUM(HL4:HO4)-HP4,"")</f>
        <v/>
      </c>
      <c r="IF4" s="11" t="str">
        <f t="shared" ref="IF4:IF17" si="104">IF(HS4&gt;0,HS4,"")</f>
        <v/>
      </c>
      <c r="IG4" s="11" t="str">
        <f t="shared" ref="IG4:IG17" si="105">IF(HT4&gt;0,HT4,"")</f>
        <v/>
      </c>
      <c r="IH4" s="11" t="str">
        <f t="shared" ref="IH4:IH17" si="106">IF(SUM(HQ4:HT4)-HU4&gt;0,SUM(HQ4:HT4)-HU4,"")</f>
        <v/>
      </c>
      <c r="II4" s="11" t="str">
        <f t="shared" ref="II4:II17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 t="shared" ref="JD4:JD17" si="108">IF(IL4&gt;0,IL4,"")</f>
        <v/>
      </c>
      <c r="JE4" s="41" t="str">
        <f t="shared" ref="JE4:JE17" si="109">IF(IM4&gt;0,IM4,"")</f>
        <v/>
      </c>
      <c r="JF4" s="41" t="str">
        <f t="shared" ref="JF4:JF17" si="110">IF(SUM(IJ4:IM4)-IN4&gt;0,SUM(IJ4:IM4)-IN4,"")</f>
        <v/>
      </c>
      <c r="JG4" s="41" t="str">
        <f t="shared" ref="JG4:JG17" si="111">IF(IQ4&gt;0,IQ4,"")</f>
        <v/>
      </c>
      <c r="JH4" s="41" t="str">
        <f t="shared" ref="JH4:JH17" si="112">IF(IR4&gt;0,IR4,"")</f>
        <v/>
      </c>
      <c r="JI4" s="41" t="str">
        <f t="shared" ref="JI4:JI17" si="113">IF(SUM(IO4:IR4)-IS4&gt;0,SUM(IO4:IR4)-IS4,"")</f>
        <v/>
      </c>
      <c r="JJ4" s="41" t="str">
        <f t="shared" ref="JJ4:JJ17" si="114">IF(MAX(JF4,JI4)&gt;0,MAX(JF4,JI4),"")</f>
        <v/>
      </c>
      <c r="JK4" s="41" t="str">
        <f t="shared" ref="JK4:JK17" si="115">IF(IV4&gt;0,IV4,"")</f>
        <v/>
      </c>
      <c r="JL4" s="41" t="str">
        <f t="shared" ref="JL4:JL17" si="116">IF(IW4&gt;0,IW4,"")</f>
        <v/>
      </c>
      <c r="JM4" s="41" t="str">
        <f t="shared" ref="JM4:JM17" si="117">IF(SUM(IT4:IW4)-IX4&gt;0,SUM(IT4:IW4)-IX4,"")</f>
        <v/>
      </c>
      <c r="JN4" s="41" t="str">
        <f t="shared" ref="JN4:JN17" si="118">IF(JA4&gt;0,JA4,"")</f>
        <v/>
      </c>
      <c r="JO4" s="41" t="str">
        <f t="shared" ref="JO4:JO17" si="119">IF(JB4&gt;0,JB4,"")</f>
        <v/>
      </c>
      <c r="JP4" s="41" t="str">
        <f t="shared" ref="JP4:JP17" si="120">IF(SUM(IY4:JB4)-JC4&gt;0,SUM(IY4:JB4)-JC4,"")</f>
        <v/>
      </c>
      <c r="JQ4" s="41" t="str">
        <f t="shared" ref="JQ4:JQ17" si="121">IF(SUM(JJ4,JM4,JP4)&gt;0,SUM(JJ4,JM4,JP4),"")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 t="shared" ref="KL4:KL17" si="122">IF(JT4&gt;0,JT4,"")</f>
        <v>13.6</v>
      </c>
      <c r="KM4" s="11">
        <f t="shared" ref="KM4:KM17" si="123">IF(JU4&gt;0,JU4,"")</f>
        <v>14.84</v>
      </c>
      <c r="KN4" s="11">
        <f t="shared" ref="KN4:KN17" si="124">IF(SUM(JR4:JU4)-JV4&gt;0,SUM(JR4:JU4)-JV4,"")</f>
        <v>52.239999999999995</v>
      </c>
      <c r="KO4" s="11">
        <f t="shared" ref="KO4:KO17" si="125">IF(JY4&gt;0,JY4,"")</f>
        <v>14</v>
      </c>
      <c r="KP4" s="11">
        <f t="shared" ref="KP4:KP17" si="126">IF(JZ4&gt;0,JZ4,"")</f>
        <v>15.19</v>
      </c>
      <c r="KQ4" s="11">
        <f t="shared" ref="KQ4:KQ17" si="127">IF(SUM(JW4:JZ4)-KA4&gt;0,SUM(JW4:JZ4)-KA4,"")</f>
        <v>54.29</v>
      </c>
      <c r="KR4" s="11">
        <f t="shared" ref="KR4:KR17" si="128">IF(MAX(KN4,KQ4)&gt;0,MAX(KN4,KQ4),"")</f>
        <v>54.29</v>
      </c>
      <c r="KS4" s="11" t="str">
        <f t="shared" ref="KS4:KS17" si="129">IF(KD4&gt;0,KD4,"")</f>
        <v/>
      </c>
      <c r="KT4" s="11" t="str">
        <f t="shared" ref="KT4:KT17" si="130">IF(KE4&gt;0,KE4,"")</f>
        <v/>
      </c>
      <c r="KU4" s="11" t="str">
        <f t="shared" ref="KU4:KU17" si="131">IF(SUM(KB4:KE4)-KF4&gt;0,SUM(KB4:KE4)-KF4,"")</f>
        <v/>
      </c>
      <c r="KV4" s="11">
        <f t="shared" ref="KV4:KV17" si="132">IF(KI4&gt;0,KI4,"")</f>
        <v>7.6</v>
      </c>
      <c r="KW4" s="11">
        <f t="shared" ref="KW4:KW17" si="133">IF(KJ4&gt;0,KJ4,"")</f>
        <v>8.14</v>
      </c>
      <c r="KX4" s="11">
        <f t="shared" ref="KX4:KX17" si="134">IF(SUM(KG4:KJ4)-KK4&gt;0,SUM(KG4:KJ4)-KK4,"")</f>
        <v>28.740000000000002</v>
      </c>
      <c r="KY4" s="11">
        <f t="shared" ref="KY4:KY17" si="135">IF(SUM(KR4,KU4,KX4)&gt;0,SUM(KR4,KU4,KX4),"")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 t="shared" ref="LT4:LT17" si="136">IF(LB4&gt;0,LB4,"")</f>
        <v/>
      </c>
      <c r="LU4" s="41" t="str">
        <f t="shared" ref="LU4:LU17" si="137">IF(LC4&gt;0,LC4,"")</f>
        <v/>
      </c>
      <c r="LV4" s="41" t="str">
        <f t="shared" ref="LV4:LV17" si="138">IF(SUM(KZ4:LC4)-LD4&gt;0,SUM(KZ4:LC4)-LD4,"")</f>
        <v/>
      </c>
      <c r="LW4" s="41" t="str">
        <f t="shared" ref="LW4:LW17" si="139">IF(LG4&gt;0,LG4,"")</f>
        <v/>
      </c>
      <c r="LX4" s="41" t="str">
        <f t="shared" ref="LX4:LX17" si="140">IF(LH4&gt;0,LH4,"")</f>
        <v/>
      </c>
      <c r="LY4" s="41" t="str">
        <f t="shared" ref="LY4:LY17" si="141">IF(SUM(LE4:LH4)-LI4&gt;0,SUM(LE4:LH4)-LI4,"")</f>
        <v/>
      </c>
      <c r="LZ4" s="41" t="str">
        <f t="shared" ref="LZ4:LZ17" si="142">IF(MAX(LV4,LY4)&gt;0,MAX(LV4,LY4),"")</f>
        <v/>
      </c>
      <c r="MA4" s="41" t="str">
        <f t="shared" ref="MA4:MA17" si="143">IF(LL4&gt;0,LL4,"")</f>
        <v/>
      </c>
      <c r="MB4" s="41" t="str">
        <f t="shared" ref="MB4:MB17" si="144">IF(LM4&gt;0,LM4,"")</f>
        <v/>
      </c>
      <c r="MC4" s="41" t="str">
        <f t="shared" ref="MC4:MC17" si="145">IF(SUM(LJ4:LM4)-LN4&gt;0,SUM(LJ4:LM4)-LN4,"")</f>
        <v/>
      </c>
      <c r="MD4" s="41">
        <f t="shared" ref="MD4:MD17" si="146">IF(LQ4&gt;0,LQ4,"")</f>
        <v>14</v>
      </c>
      <c r="ME4" s="41">
        <f t="shared" ref="ME4:ME17" si="147">IF(LR4&gt;0,LR4,"")</f>
        <v>15.16</v>
      </c>
      <c r="MF4" s="41">
        <f t="shared" ref="MF4:MF17" si="148">IF(SUM(LO4:LR4)-LS4&gt;0,SUM(LO4:LR4)-LS4,"")</f>
        <v>54.36</v>
      </c>
      <c r="MG4" s="41">
        <f t="shared" ref="MG4:MG17" si="149">IF(SUM(LZ4,MC4,MF4)&gt;0,SUM(LZ4,MC4,MF4),"")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 t="shared" ref="NB4:NB17" si="150">IF(MJ4&gt;0,MJ4,"")</f>
        <v>13.1</v>
      </c>
      <c r="NC4" s="11">
        <f t="shared" ref="NC4:NC17" si="151">IF(MK4&gt;0,MK4,"")</f>
        <v>14.85</v>
      </c>
      <c r="ND4" s="11">
        <f t="shared" ref="ND4:ND17" si="152">IF(SUM(MH4:MK4)-ML4&gt;0,SUM(MH4:MK4)-ML4,"")</f>
        <v>51.35</v>
      </c>
      <c r="NE4" s="11">
        <f t="shared" ref="NE4:NE17" si="153">IF(MO4&gt;0,MO4,"")</f>
        <v>14</v>
      </c>
      <c r="NF4" s="11">
        <f t="shared" ref="NF4:NF17" si="154">IF(MP4&gt;0,MP4,"")</f>
        <v>15.24</v>
      </c>
      <c r="NG4" s="11">
        <f t="shared" ref="NG4:NG17" si="155">IF(SUM(MM4:MP4)-MQ4&gt;0,SUM(MM4:MP4)-MQ4,"")</f>
        <v>53.34</v>
      </c>
      <c r="NH4" s="11">
        <f t="shared" ref="NH4:NH17" si="156">IF(MAX(ND4,NG4)&gt;0,MAX(ND4,NG4),"")</f>
        <v>53.34</v>
      </c>
      <c r="NI4" s="11">
        <f t="shared" ref="NI4:NI17" si="157">IF(MT4&gt;0,MT4,"")</f>
        <v>14.4</v>
      </c>
      <c r="NJ4" s="11">
        <f t="shared" ref="NJ4:NJ17" si="158">IF(MU4&gt;0,MU4,"")</f>
        <v>15.31</v>
      </c>
      <c r="NK4" s="11">
        <f t="shared" ref="NK4:NK17" si="159">IF(SUM(MR4:MU4)-MV4&gt;0,SUM(MR4:MU4)-MV4,"")</f>
        <v>54.11</v>
      </c>
      <c r="NL4" s="11">
        <f t="shared" ref="NL4:NL17" si="160">IF(MY4&gt;0,MY4,"")</f>
        <v>3.2</v>
      </c>
      <c r="NM4" s="11">
        <f t="shared" ref="NM4:NM17" si="161">IF(MZ4&gt;0,MZ4,"")</f>
        <v>3.43</v>
      </c>
      <c r="NN4" s="11">
        <f t="shared" ref="NN4:NN17" si="162">IF(SUM(MW4:MZ4)-NA4&gt;0,SUM(MW4:MZ4)-NA4,"")</f>
        <v>11.629999999999999</v>
      </c>
      <c r="NO4" s="11">
        <f t="shared" ref="NO4:NO17" si="163">IF(SUM(NH4,NK4,NN4)&gt;0,SUM(NH4,NK4,NN4),"")</f>
        <v>119.08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 t="shared" ref="OJ4:OJ17" si="164">IF(NR4&gt;0,NR4,"")</f>
        <v>14.4</v>
      </c>
      <c r="OK4" s="41">
        <f t="shared" ref="OK4:OK17" si="165">IF(NS4&gt;0,NS4,"")</f>
        <v>15.32</v>
      </c>
      <c r="OL4" s="41">
        <f t="shared" ref="OL4:OL17" si="166">IF(SUM(NP4:NS4)-NT4&gt;0,SUM(NP4:NS4)-NT4,"")</f>
        <v>54.12</v>
      </c>
      <c r="OM4" s="41">
        <f t="shared" ref="OM4:OM17" si="167">IF(NW4&gt;0,NW4,"")</f>
        <v>3.2</v>
      </c>
      <c r="ON4" s="41">
        <f t="shared" ref="ON4:ON17" si="168">IF(NX4&gt;0,NX4,"")</f>
        <v>3.31</v>
      </c>
      <c r="OO4" s="41">
        <f t="shared" ref="OO4:OO17" si="169">IF(SUM(NU4:NX4)-NY4&gt;0,SUM(NU4:NX4)-NY4,"")</f>
        <v>11.610000000000001</v>
      </c>
      <c r="OP4" s="41">
        <f t="shared" ref="OP4:OP17" si="170">IF(MAX(OL4,OO4)&gt;0,MAX(OL4,OO4),"")</f>
        <v>54.12</v>
      </c>
      <c r="OQ4" s="41">
        <f t="shared" ref="OQ4:OQ17" si="171">IF(OB4&gt;0,OB4,"")</f>
        <v>14</v>
      </c>
      <c r="OR4" s="41">
        <f t="shared" ref="OR4:OR17" si="172">IF(OC4&gt;0,OC4,"")</f>
        <v>15.3</v>
      </c>
      <c r="OS4" s="41">
        <f t="shared" ref="OS4:OS17" si="173">IF(SUM(NZ4:OC4)-OD4&gt;0,SUM(NZ4:OC4)-OD4,"")</f>
        <v>53.8</v>
      </c>
      <c r="OT4" s="41" t="str">
        <f t="shared" ref="OT4:OT17" si="174">IF(OG4&gt;0,OG4,"")</f>
        <v/>
      </c>
      <c r="OU4" s="41" t="str">
        <f t="shared" ref="OU4:OU17" si="175">IF(OH4&gt;0,OH4,"")</f>
        <v/>
      </c>
      <c r="OV4" s="41" t="str">
        <f t="shared" ref="OV4:OV17" si="176">IF(SUM(OE4:OH4)-OI4&gt;0,SUM(OE4:OH4)-OI4,"")</f>
        <v/>
      </c>
      <c r="OW4" s="41">
        <f t="shared" ref="OW4:OW17" si="177">IF(SUM(OP4,OS4,OV4)&gt;0,SUM(OP4,OS4,OV4),"")</f>
        <v>107.91999999999999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7" si="178">IF(OZ4&gt;0,OZ4,"")</f>
        <v/>
      </c>
      <c r="PS4" s="11" t="str">
        <f t="shared" ref="PS4:PS17" si="179">IF(PA4&gt;0,PA4,"")</f>
        <v/>
      </c>
      <c r="PT4" s="11" t="str">
        <f t="shared" ref="PT4:PT17" si="180">IF(SUM(OX4:PA4)-PB4&gt;0,SUM(OX4:PA4)-PB4,"")</f>
        <v/>
      </c>
      <c r="PU4" s="11" t="str">
        <f t="shared" ref="PU4:PU17" si="181">IF(PE4&gt;0,PE4,"")</f>
        <v/>
      </c>
      <c r="PV4" s="11" t="str">
        <f t="shared" ref="PV4:PV17" si="182">IF(PF4&gt;0,PF4,"")</f>
        <v/>
      </c>
      <c r="PW4" s="11" t="str">
        <f t="shared" ref="PW4:PW17" si="183">IF(SUM(PC4:PF4)-PG4&gt;0,SUM(PC4:PF4)-PG4,"")</f>
        <v/>
      </c>
      <c r="PX4" s="11" t="str">
        <f t="shared" ref="PX4:PX17" si="184">IF(MAX(PT4,PW4)&gt;0,MAX(PT4,PW4),"")</f>
        <v/>
      </c>
      <c r="PY4" s="11" t="str">
        <f t="shared" ref="PY4:PY17" si="185">IF(PJ4&gt;0,PJ4,"")</f>
        <v/>
      </c>
      <c r="PZ4" s="11" t="str">
        <f t="shared" ref="PZ4:PZ17" si="186">IF(PK4&gt;0,PK4,"")</f>
        <v/>
      </c>
      <c r="QA4" s="11" t="str">
        <f t="shared" ref="QA4:QA17" si="187">IF(SUM(PH4:PK4)-PL4&gt;0,SUM(PH4:PK4)-PL4,"")</f>
        <v/>
      </c>
      <c r="QB4" s="11" t="str">
        <f t="shared" ref="QB4:QB17" si="188">IF(PO4&gt;0,PO4,"")</f>
        <v/>
      </c>
      <c r="QC4" s="11" t="str">
        <f t="shared" ref="QC4:QC17" si="189">IF(PP4&gt;0,PP4,"")</f>
        <v/>
      </c>
      <c r="QD4" s="11" t="str">
        <f t="shared" ref="QD4:QD17" si="190">IF(SUM(PM4:PP4)-PQ4&gt;0,SUM(PM4:PP4)-PQ4,"")</f>
        <v/>
      </c>
      <c r="QE4" s="11" t="str">
        <f t="shared" ref="QE4:QE17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17" si="192">IF(QH4&gt;0,QH4,"")</f>
        <v/>
      </c>
      <c r="RA4" s="41" t="str">
        <f t="shared" ref="RA4:RA17" si="193">IF(QI4&gt;0,QI4,"")</f>
        <v/>
      </c>
      <c r="RB4" s="41" t="str">
        <f t="shared" ref="RB4:RB17" si="194">IF(SUM(QF4:QI4)-QJ4&gt;0,SUM(QF4:QI4)-QJ4,"")</f>
        <v/>
      </c>
      <c r="RC4" s="41" t="str">
        <f t="shared" ref="RC4:RC17" si="195">IF(QM4&gt;0,QM4,"")</f>
        <v/>
      </c>
      <c r="RD4" s="41" t="str">
        <f t="shared" ref="RD4:RD17" si="196">IF(QN4&gt;0,QN4,"")</f>
        <v/>
      </c>
      <c r="RE4" s="41" t="str">
        <f t="shared" ref="RE4:RE17" si="197">IF(SUM(QK4:QN4)-QO4&gt;0,SUM(QK4:QN4)-QO4,"")</f>
        <v/>
      </c>
      <c r="RF4" s="41" t="str">
        <f t="shared" ref="RF4:RF17" si="198">IF(MAX(RB4,RE4)&gt;0,MAX(RB4,RE4),"")</f>
        <v/>
      </c>
      <c r="RG4" s="41" t="str">
        <f t="shared" ref="RG4:RG17" si="199">IF(QR4&gt;0,QR4,"")</f>
        <v/>
      </c>
      <c r="RH4" s="41" t="str">
        <f t="shared" ref="RH4:RH17" si="200">IF(QS4&gt;0,QS4,"")</f>
        <v/>
      </c>
      <c r="RI4" s="41" t="str">
        <f t="shared" ref="RI4:RI17" si="201">IF(SUM(QP4:QS4)-QT4&gt;0,SUM(QP4:QS4)-QT4,"")</f>
        <v/>
      </c>
      <c r="RJ4" s="41" t="str">
        <f t="shared" ref="RJ4:RJ17" si="202">IF(QW4&gt;0,QW4,"")</f>
        <v/>
      </c>
      <c r="RK4" s="41" t="str">
        <f t="shared" ref="RK4:RK17" si="203">IF(QX4&gt;0,QX4,"")</f>
        <v/>
      </c>
      <c r="RL4" s="41" t="str">
        <f t="shared" ref="RL4:RL17" si="204">IF(SUM(QU4:QX4)-QY4&gt;0,SUM(QU4:QX4)-QY4,"")</f>
        <v/>
      </c>
      <c r="RM4" s="41" t="str">
        <f t="shared" ref="RM4:RM17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7" si="206">IF(RP4&gt;0,RP4,"")</f>
        <v/>
      </c>
      <c r="SI4" s="11" t="str">
        <f t="shared" ref="SI4:SI17" si="207">IF(RQ4&gt;0,RQ4,"")</f>
        <v/>
      </c>
      <c r="SJ4" s="11" t="str">
        <f t="shared" ref="SJ4:SJ17" si="208">IF(SUM(RN4:RQ4)-RR4&gt;0,SUM(RN4:RQ4)-RR4,"")</f>
        <v/>
      </c>
      <c r="SK4" s="11" t="str">
        <f t="shared" ref="SK4:SK17" si="209">IF(RU4&gt;0,RU4,"")</f>
        <v/>
      </c>
      <c r="SL4" s="11" t="str">
        <f t="shared" ref="SL4:SL17" si="210">IF(RV4&gt;0,RV4,"")</f>
        <v/>
      </c>
      <c r="SM4" s="11" t="str">
        <f t="shared" ref="SM4:SM17" si="211">IF(SUM(RS4:RV4)-RW4&gt;0,SUM(RS4:RV4)-RW4,"")</f>
        <v/>
      </c>
      <c r="SN4" s="11" t="str">
        <f t="shared" ref="SN4:SN17" si="212">IF(MAX(SJ4,SM4)&gt;0,MAX(SJ4,SM4),"")</f>
        <v/>
      </c>
      <c r="SO4" s="11" t="str">
        <f t="shared" ref="SO4:SO17" si="213">IF(RZ4&gt;0,RZ4,"")</f>
        <v/>
      </c>
      <c r="SP4" s="11" t="str">
        <f t="shared" ref="SP4:SP17" si="214">IF(SA4&gt;0,SA4,"")</f>
        <v/>
      </c>
      <c r="SQ4" s="11" t="str">
        <f t="shared" ref="SQ4:SQ17" si="215">IF(SUM(RX4:SA4)-SB4&gt;0,SUM(RX4:SA4)-SB4,"")</f>
        <v/>
      </c>
      <c r="SR4" s="11" t="str">
        <f t="shared" ref="SR4:SR17" si="216">IF(SE4&gt;0,SE4,"")</f>
        <v/>
      </c>
      <c r="SS4" s="11" t="str">
        <f t="shared" ref="SS4:SS17" si="217">IF(SF4&gt;0,SF4,"")</f>
        <v/>
      </c>
      <c r="ST4" s="11" t="str">
        <f t="shared" ref="ST4:ST17" si="218">IF(SUM(SC4:SF4)-SG4&gt;0,SUM(SC4:SF4)-SG4,"")</f>
        <v/>
      </c>
      <c r="SU4" s="11" t="str">
        <f t="shared" ref="SU4:SU17" si="219">IF(SUM(SN4,SQ4,ST4)&gt;0,SUM(SN4,SQ4,ST4),"")</f>
        <v/>
      </c>
      <c r="SV4" s="23">
        <f t="shared" ref="SV4:SV17" si="220">IF($CP4="P",CA4,(CA4+AZ4)/2)</f>
        <v>14.15</v>
      </c>
      <c r="SW4" s="23">
        <f t="shared" ref="SW4:SW17" si="221">IF($CP4="P",CB4,(CB4+BA4)/2)</f>
        <v>9.1</v>
      </c>
      <c r="SX4" s="23">
        <f t="shared" ref="SX4:SX17" si="222">IF($CP4="P",CC4,(CC4+BB4)/2)</f>
        <v>14</v>
      </c>
      <c r="SY4" s="23">
        <f t="shared" ref="SY4:SY17" si="223">IF($CP4="P",CD4,(CD4+BC4)/2)</f>
        <v>15.185</v>
      </c>
      <c r="SZ4" s="23">
        <f t="shared" ref="SZ4:SZ17" si="224">IF($CP4="P",CE4,(CE4+BD4)/2)</f>
        <v>0</v>
      </c>
      <c r="TA4" s="23">
        <f t="shared" ref="TA4:TA17" si="225">IF($CP4="P",CF4,(CF4+BE4)/2)</f>
        <v>10.15</v>
      </c>
      <c r="TB4" s="23">
        <f t="shared" ref="TB4:TB17" si="226">IF($CP4="P",CG4,(CG4+BF4)/2)</f>
        <v>6.35</v>
      </c>
      <c r="TC4" s="23">
        <f t="shared" ref="TC4:TC17" si="227">IF($CP4="P",CH4,(CH4+BG4)/2)</f>
        <v>9.4499999999999993</v>
      </c>
      <c r="TD4" s="23">
        <f t="shared" ref="TD4:TD17" si="228">IF($CP4="P",CI4,(CI4+BH4)/2)</f>
        <v>10.225000000000001</v>
      </c>
      <c r="TE4" s="23">
        <f t="shared" ref="TE4:TE17" si="229">IF($CP4="P",CJ4,(CJ4+BI4)/2)</f>
        <v>0</v>
      </c>
      <c r="TF4" s="23">
        <f t="shared" ref="TF4:TF17" si="230">IF($CP4="P",CK4,(CK4+BJ4)/2)</f>
        <v>12.85</v>
      </c>
      <c r="TG4" s="23">
        <f t="shared" ref="TG4:TG17" si="231">IF($CP4="P",CL4,(CL4+BK4)/2)</f>
        <v>7.4</v>
      </c>
      <c r="TH4" s="23">
        <f t="shared" ref="TH4:TH17" si="232">IF($CP4="P",CM4,(CM4+BL4)/2)</f>
        <v>11.75</v>
      </c>
      <c r="TI4" s="23">
        <f t="shared" ref="TI4:TI17" si="233">IF($CP4="P",CN4,(CN4+BM4)/2)</f>
        <v>12.965</v>
      </c>
      <c r="TJ4" s="23">
        <f t="shared" ref="TJ4:TJ17" si="234">IF($CP4="P",CO4,(CO4+BN4)/2)</f>
        <v>0.1</v>
      </c>
      <c r="TK4" s="28" t="s">
        <v>57</v>
      </c>
      <c r="TL4" s="41">
        <f t="shared" ref="TL4:TL17" si="235">IF(SX4&gt;0,SX4,"")</f>
        <v>14</v>
      </c>
      <c r="TM4" s="41">
        <f t="shared" ref="TM4:TM17" si="236">IF(SY4&gt;0,SY4,"")</f>
        <v>15.185</v>
      </c>
      <c r="TN4" s="41">
        <f t="shared" ref="TN4:TN17" si="237">IF(SUM(SV4:SY4)-SZ4&gt;0,SUM(SV4:SY4)-SZ4,"")</f>
        <v>52.435000000000002</v>
      </c>
      <c r="TO4" s="41">
        <f t="shared" ref="TO4:TO17" si="238">IF(TC4&gt;0,TC4,"")</f>
        <v>9.4499999999999993</v>
      </c>
      <c r="TP4" s="41">
        <f t="shared" ref="TP4:TP17" si="239">IF(TD4&gt;0,TD4,"")</f>
        <v>10.225000000000001</v>
      </c>
      <c r="TQ4" s="41">
        <f t="shared" ref="TQ4:TQ17" si="240">IF(SUM(TA4:TD4)-TE4&gt;0,SUM(TA4:TD4)-TE4,"")</f>
        <v>36.174999999999997</v>
      </c>
      <c r="TR4" s="41">
        <f t="shared" ref="TR4:TR17" si="241">IF(MAX(TN4,TQ4)&gt;0,MAX(TN4,TQ4),"")</f>
        <v>52.435000000000002</v>
      </c>
      <c r="TS4" s="41">
        <f t="shared" ref="TS4:TS17" si="242">IF(TH4&gt;0,TH4,"")</f>
        <v>11.75</v>
      </c>
      <c r="TT4" s="41">
        <f t="shared" ref="TT4:TT17" si="243">IF(TI4&gt;0,TI4,"")</f>
        <v>12.965</v>
      </c>
      <c r="TU4" s="41">
        <f t="shared" ref="TU4:TU17" si="244">IF(SUM(TF4:TI4)-TJ4&gt;0,SUM(TF4:TI4)-TJ4,"")</f>
        <v>44.865000000000002</v>
      </c>
      <c r="TV4" s="41">
        <f t="shared" ref="TV4:TV17" si="245">IF(SUM(TR4,TU4)&gt;0,SUM(TR4,TU4),"")</f>
        <v>97.300000000000011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 t="shared" si="0"/>
        <v>250.90002508800558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55.43</v>
      </c>
      <c r="K5" s="8" t="str">
        <f t="shared" si="5"/>
        <v>2023 Domestic 3rd Trial</v>
      </c>
      <c r="L5" s="8">
        <f>IF(COUNT(AQ5,AT5,BR5,BU5,CS5,CV5)&gt;1,LARGE((AQ5,AT5,BR5,BU5,CS5,CV5),2),0)</f>
        <v>55.19</v>
      </c>
      <c r="M5" s="8" t="str">
        <f t="shared" si="6"/>
        <v>2023 Elite Canada</v>
      </c>
      <c r="N5" s="8">
        <f>IF(COUNT(AQ5,AT5,BR5,BU5,CS5,CV5)&gt;2,LARGE((AQ5,AT5,BR5,BU5,CS5,CV5),3),0)</f>
        <v>55.1</v>
      </c>
      <c r="O5" s="8" t="str">
        <f t="shared" si="7"/>
        <v>2023 Domestic 3rd Trial</v>
      </c>
      <c r="P5" s="8">
        <f t="shared" si="8"/>
        <v>55.33</v>
      </c>
      <c r="Q5" s="8" t="str">
        <f t="shared" si="9"/>
        <v>2023 Elite Canada</v>
      </c>
      <c r="R5" s="8">
        <f t="shared" si="10"/>
        <v>14.4</v>
      </c>
      <c r="S5" s="8" t="str">
        <f t="shared" si="11"/>
        <v>2023 Domestic 3rd Trial</v>
      </c>
      <c r="T5" s="8">
        <f t="shared" si="12"/>
        <v>15.43</v>
      </c>
      <c r="U5" s="8" t="str">
        <f t="shared" si="13"/>
        <v>2023 Domestic 3rd Trial</v>
      </c>
      <c r="V5" s="8">
        <f t="shared" si="14"/>
        <v>1.9999999999996021E-2</v>
      </c>
      <c r="W5" s="11" t="str">
        <f t="shared" si="15"/>
        <v>(Final)</v>
      </c>
      <c r="X5" s="8" t="str">
        <f t="shared" si="16"/>
        <v>2023 Pan Am Championships Team Final (May 14)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 t="shared" si="17"/>
        <v>14.4</v>
      </c>
      <c r="AP5" s="39">
        <f t="shared" si="18"/>
        <v>15.39</v>
      </c>
      <c r="AQ5" s="41">
        <f t="shared" si="19"/>
        <v>55.19</v>
      </c>
      <c r="AR5" s="41">
        <f t="shared" si="20"/>
        <v>2</v>
      </c>
      <c r="AS5" s="41">
        <f t="shared" si="21"/>
        <v>1.76</v>
      </c>
      <c r="AT5" s="41">
        <f t="shared" si="22"/>
        <v>6.3599999999999994</v>
      </c>
      <c r="AU5" s="41">
        <f t="shared" si="23"/>
        <v>55.19</v>
      </c>
      <c r="AV5" s="41">
        <f t="shared" si="24"/>
        <v>14.4</v>
      </c>
      <c r="AW5" s="41">
        <f t="shared" si="25"/>
        <v>15.23</v>
      </c>
      <c r="AX5" s="41">
        <f t="shared" si="26"/>
        <v>55.33</v>
      </c>
      <c r="AY5" s="41">
        <f t="shared" si="27"/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 t="shared" si="28"/>
        <v>14</v>
      </c>
      <c r="BQ5" s="40">
        <f t="shared" si="29"/>
        <v>14.81</v>
      </c>
      <c r="BR5" s="11">
        <f t="shared" si="30"/>
        <v>54.71</v>
      </c>
      <c r="BS5" s="11">
        <f t="shared" si="31"/>
        <v>4.9000000000000004</v>
      </c>
      <c r="BT5" s="11">
        <f t="shared" si="32"/>
        <v>4.8</v>
      </c>
      <c r="BU5" s="11">
        <f t="shared" si="33"/>
        <v>17.3</v>
      </c>
      <c r="BV5" s="11">
        <f t="shared" si="34"/>
        <v>54.71</v>
      </c>
      <c r="BW5" s="11">
        <f t="shared" si="35"/>
        <v>14</v>
      </c>
      <c r="BX5" s="11">
        <f t="shared" si="36"/>
        <v>14.46</v>
      </c>
      <c r="BY5" s="11">
        <f t="shared" si="37"/>
        <v>52.059999999999995</v>
      </c>
      <c r="BZ5" s="11">
        <f t="shared" si="38"/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 t="shared" si="39"/>
        <v>14.4</v>
      </c>
      <c r="CR5" s="39">
        <f t="shared" si="40"/>
        <v>15.1</v>
      </c>
      <c r="CS5" s="41">
        <f t="shared" si="41"/>
        <v>55.1</v>
      </c>
      <c r="CT5" s="41">
        <f t="shared" si="42"/>
        <v>14.4</v>
      </c>
      <c r="CU5" s="41">
        <f t="shared" si="43"/>
        <v>15.43</v>
      </c>
      <c r="CV5" s="41">
        <f t="shared" si="44"/>
        <v>55.43</v>
      </c>
      <c r="CW5" s="41">
        <f t="shared" si="45"/>
        <v>55.43</v>
      </c>
      <c r="CX5" s="41">
        <f t="shared" si="46"/>
        <v>14.4</v>
      </c>
      <c r="CY5" s="41">
        <f t="shared" si="47"/>
        <v>15.36</v>
      </c>
      <c r="CZ5" s="41">
        <f t="shared" si="48"/>
        <v>54.76</v>
      </c>
      <c r="DA5" s="41">
        <f t="shared" si="49"/>
        <v>110.19</v>
      </c>
      <c r="DB5" s="52" t="str">
        <f t="shared" si="50"/>
        <v/>
      </c>
      <c r="DC5" s="52">
        <f t="shared" si="51"/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 t="shared" si="52"/>
        <v>14.4</v>
      </c>
      <c r="DY5" s="41">
        <f t="shared" si="53"/>
        <v>15.07</v>
      </c>
      <c r="DZ5" s="41">
        <f t="shared" si="54"/>
        <v>54.37</v>
      </c>
      <c r="EA5" s="41">
        <f t="shared" si="55"/>
        <v>3.2</v>
      </c>
      <c r="EB5" s="41">
        <f t="shared" si="56"/>
        <v>3.31</v>
      </c>
      <c r="EC5" s="41">
        <f t="shared" si="57"/>
        <v>11.31</v>
      </c>
      <c r="ED5" s="41">
        <f t="shared" si="58"/>
        <v>54.37</v>
      </c>
      <c r="EE5" s="41">
        <f t="shared" si="59"/>
        <v>2</v>
      </c>
      <c r="EF5" s="41">
        <f t="shared" si="60"/>
        <v>1.63</v>
      </c>
      <c r="EG5" s="41">
        <f t="shared" si="61"/>
        <v>6.2299999999999995</v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60.599999999999994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>
        <f t="shared" si="76"/>
        <v>5.9</v>
      </c>
      <c r="FQ5" s="11">
        <f t="shared" si="77"/>
        <v>6.21</v>
      </c>
      <c r="FR5" s="11">
        <f t="shared" si="78"/>
        <v>21.91</v>
      </c>
      <c r="FS5" s="11">
        <f t="shared" si="79"/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 t="shared" si="108"/>
        <v/>
      </c>
      <c r="JE5" s="41" t="str">
        <f t="shared" si="109"/>
        <v/>
      </c>
      <c r="JF5" s="41" t="str">
        <f t="shared" si="110"/>
        <v/>
      </c>
      <c r="JG5" s="41" t="str">
        <f t="shared" si="111"/>
        <v/>
      </c>
      <c r="JH5" s="41" t="str">
        <f t="shared" si="112"/>
        <v/>
      </c>
      <c r="JI5" s="41" t="str">
        <f t="shared" si="113"/>
        <v/>
      </c>
      <c r="JJ5" s="41" t="str">
        <f t="shared" si="114"/>
        <v/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 t="str">
        <f t="shared" si="121"/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 t="shared" si="122"/>
        <v>14</v>
      </c>
      <c r="KM5" s="11">
        <f t="shared" si="123"/>
        <v>14.83</v>
      </c>
      <c r="KN5" s="11">
        <f t="shared" si="124"/>
        <v>54.13</v>
      </c>
      <c r="KO5" s="11">
        <f t="shared" si="125"/>
        <v>14.4</v>
      </c>
      <c r="KP5" s="11">
        <f t="shared" si="126"/>
        <v>15.01</v>
      </c>
      <c r="KQ5" s="11">
        <f t="shared" si="127"/>
        <v>54.71</v>
      </c>
      <c r="KR5" s="11">
        <f t="shared" si="128"/>
        <v>54.71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>
        <f t="shared" si="132"/>
        <v>13.2</v>
      </c>
      <c r="KW5" s="11">
        <f t="shared" si="133"/>
        <v>14.8</v>
      </c>
      <c r="KX5" s="11">
        <f t="shared" si="134"/>
        <v>54.3</v>
      </c>
      <c r="KY5" s="11">
        <f t="shared" si="135"/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>
        <f t="shared" si="146"/>
        <v>14</v>
      </c>
      <c r="ME5" s="41">
        <f t="shared" si="147"/>
        <v>15.05</v>
      </c>
      <c r="MF5" s="41">
        <f t="shared" si="148"/>
        <v>55.349999999999994</v>
      </c>
      <c r="MG5" s="41">
        <f t="shared" si="149"/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 t="shared" si="150"/>
        <v>14.4</v>
      </c>
      <c r="NC5" s="11">
        <f t="shared" si="151"/>
        <v>14.76</v>
      </c>
      <c r="ND5" s="11">
        <f t="shared" si="152"/>
        <v>53.66</v>
      </c>
      <c r="NE5" s="11">
        <f t="shared" si="153"/>
        <v>14.4</v>
      </c>
      <c r="NF5" s="11">
        <f t="shared" si="154"/>
        <v>15.13</v>
      </c>
      <c r="NG5" s="11">
        <f t="shared" si="155"/>
        <v>54.53</v>
      </c>
      <c r="NH5" s="11">
        <f t="shared" si="156"/>
        <v>54.53</v>
      </c>
      <c r="NI5" s="11">
        <f t="shared" si="157"/>
        <v>14.4</v>
      </c>
      <c r="NJ5" s="11">
        <f t="shared" si="158"/>
        <v>14.91</v>
      </c>
      <c r="NK5" s="11">
        <f t="shared" si="159"/>
        <v>54.11</v>
      </c>
      <c r="NL5" s="11">
        <f t="shared" si="160"/>
        <v>2</v>
      </c>
      <c r="NM5" s="11">
        <f t="shared" si="161"/>
        <v>1.68</v>
      </c>
      <c r="NN5" s="11">
        <f t="shared" si="162"/>
        <v>6.2799999999999994</v>
      </c>
      <c r="NO5" s="11">
        <f t="shared" si="163"/>
        <v>114.92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 t="shared" si="164"/>
        <v>12.4</v>
      </c>
      <c r="OK5" s="41">
        <f t="shared" si="165"/>
        <v>13.58</v>
      </c>
      <c r="OL5" s="41">
        <f t="shared" si="166"/>
        <v>48.879999999999995</v>
      </c>
      <c r="OM5" s="41">
        <f t="shared" si="167"/>
        <v>14.4</v>
      </c>
      <c r="ON5" s="41">
        <f t="shared" si="168"/>
        <v>14.84</v>
      </c>
      <c r="OO5" s="41">
        <f t="shared" si="169"/>
        <v>54.539999999999992</v>
      </c>
      <c r="OP5" s="41">
        <f t="shared" si="170"/>
        <v>54.539999999999992</v>
      </c>
      <c r="OQ5" s="41">
        <f t="shared" si="171"/>
        <v>14</v>
      </c>
      <c r="OR5" s="41">
        <f t="shared" si="172"/>
        <v>14.87</v>
      </c>
      <c r="OS5" s="41">
        <f t="shared" si="173"/>
        <v>54.57</v>
      </c>
      <c r="OT5" s="41">
        <f t="shared" si="174"/>
        <v>9.1999999999999993</v>
      </c>
      <c r="OU5" s="41">
        <f t="shared" si="175"/>
        <v>9.2200000000000006</v>
      </c>
      <c r="OV5" s="41">
        <f t="shared" si="176"/>
        <v>33.519999999999996</v>
      </c>
      <c r="OW5" s="41">
        <f t="shared" si="177"/>
        <v>142.63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16.25</v>
      </c>
      <c r="SW5" s="23">
        <f t="shared" si="221"/>
        <v>9.5</v>
      </c>
      <c r="SX5" s="23">
        <f t="shared" si="222"/>
        <v>14.2</v>
      </c>
      <c r="SY5" s="23">
        <f t="shared" si="223"/>
        <v>14.955</v>
      </c>
      <c r="SZ5" s="23">
        <f t="shared" si="224"/>
        <v>0</v>
      </c>
      <c r="TA5" s="23">
        <f t="shared" si="225"/>
        <v>10.8</v>
      </c>
      <c r="TB5" s="23">
        <f t="shared" si="226"/>
        <v>6</v>
      </c>
      <c r="TC5" s="23">
        <f t="shared" si="227"/>
        <v>9.65</v>
      </c>
      <c r="TD5" s="23">
        <f t="shared" si="228"/>
        <v>10.115</v>
      </c>
      <c r="TE5" s="23">
        <f t="shared" si="229"/>
        <v>0.2</v>
      </c>
      <c r="TF5" s="23">
        <f t="shared" si="230"/>
        <v>15.5</v>
      </c>
      <c r="TG5" s="23">
        <f t="shared" si="231"/>
        <v>8.9</v>
      </c>
      <c r="TH5" s="23">
        <f t="shared" si="232"/>
        <v>14.2</v>
      </c>
      <c r="TI5" s="23">
        <f t="shared" si="233"/>
        <v>14.91</v>
      </c>
      <c r="TJ5" s="23">
        <f t="shared" si="234"/>
        <v>0.1</v>
      </c>
      <c r="TK5" s="28" t="s">
        <v>57</v>
      </c>
      <c r="TL5" s="41">
        <f t="shared" si="235"/>
        <v>14.2</v>
      </c>
      <c r="TM5" s="41">
        <f t="shared" si="236"/>
        <v>14.955</v>
      </c>
      <c r="TN5" s="41">
        <f t="shared" si="237"/>
        <v>54.905000000000001</v>
      </c>
      <c r="TO5" s="41">
        <f t="shared" si="238"/>
        <v>9.65</v>
      </c>
      <c r="TP5" s="41">
        <f t="shared" si="239"/>
        <v>10.115</v>
      </c>
      <c r="TQ5" s="41">
        <f t="shared" si="240"/>
        <v>36.365000000000002</v>
      </c>
      <c r="TR5" s="41">
        <f t="shared" si="241"/>
        <v>54.905000000000001</v>
      </c>
      <c r="TS5" s="41">
        <f t="shared" si="242"/>
        <v>14.2</v>
      </c>
      <c r="TT5" s="41">
        <f t="shared" si="243"/>
        <v>14.91</v>
      </c>
      <c r="TU5" s="41">
        <f t="shared" si="244"/>
        <v>53.409999999999989</v>
      </c>
      <c r="TV5" s="41">
        <f t="shared" si="245"/>
        <v>108.315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 t="shared" si="0"/>
        <v>244.90002443400553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54.900000000000006</v>
      </c>
      <c r="K6" s="8" t="str">
        <f t="shared" si="5"/>
        <v>2023 Domestic 3rd Trial</v>
      </c>
      <c r="L6" s="8">
        <f>IF(COUNT(AQ6,AT6,BR6,BU6,CS6,CV6)&gt;1,LARGE((AQ6,AT6,BR6,BU6,CS6,CV6),2),0)</f>
        <v>53.569999999999993</v>
      </c>
      <c r="M6" s="8" t="str">
        <f t="shared" si="6"/>
        <v>2023 Elite Canada</v>
      </c>
      <c r="N6" s="8">
        <f>IF(COUNT(AQ6,AT6,BR6,BU6,CS6,CV6)&gt;2,LARGE((AQ6,AT6,BR6,BU6,CS6,CV6),3),0)</f>
        <v>53.45</v>
      </c>
      <c r="O6" s="8" t="str">
        <f t="shared" si="7"/>
        <v>2023 Nationals</v>
      </c>
      <c r="P6" s="8">
        <f t="shared" si="8"/>
        <v>52.92</v>
      </c>
      <c r="Q6" s="8" t="str">
        <f t="shared" si="9"/>
        <v>2023 Domestic 3rd Trial</v>
      </c>
      <c r="R6" s="8">
        <f t="shared" si="10"/>
        <v>14.2</v>
      </c>
      <c r="S6" s="8" t="str">
        <f t="shared" si="11"/>
        <v>2023 Domestic 3rd Trial</v>
      </c>
      <c r="T6" s="8">
        <f t="shared" si="12"/>
        <v>15.3</v>
      </c>
      <c r="U6" s="8" t="str">
        <f t="shared" si="13"/>
        <v>2023 Domestic 3rd Trial</v>
      </c>
      <c r="V6" s="8">
        <f t="shared" si="14"/>
        <v>0.55999999999999517</v>
      </c>
      <c r="W6" s="11" t="str">
        <f t="shared" si="15"/>
        <v>(Prelim)</v>
      </c>
      <c r="X6" s="8" t="str">
        <f t="shared" si="16"/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 t="shared" si="17"/>
        <v>14</v>
      </c>
      <c r="AP6" s="39">
        <f t="shared" si="18"/>
        <v>15.27</v>
      </c>
      <c r="AQ6" s="41">
        <f t="shared" si="19"/>
        <v>53.569999999999993</v>
      </c>
      <c r="AR6" s="41">
        <f t="shared" si="20"/>
        <v>2</v>
      </c>
      <c r="AS6" s="41">
        <f t="shared" si="21"/>
        <v>1.62</v>
      </c>
      <c r="AT6" s="41">
        <f t="shared" si="22"/>
        <v>6.22</v>
      </c>
      <c r="AU6" s="41">
        <f t="shared" si="23"/>
        <v>53.569999999999993</v>
      </c>
      <c r="AV6" s="41">
        <f t="shared" si="24"/>
        <v>14.2</v>
      </c>
      <c r="AW6" s="41">
        <f t="shared" si="25"/>
        <v>14.83</v>
      </c>
      <c r="AX6" s="41">
        <f t="shared" si="26"/>
        <v>52.730000000000004</v>
      </c>
      <c r="AY6" s="41">
        <f t="shared" si="27"/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 t="shared" si="28"/>
        <v>14.2</v>
      </c>
      <c r="BQ6" s="40">
        <f t="shared" si="29"/>
        <v>14.55</v>
      </c>
      <c r="BR6" s="11">
        <f t="shared" si="30"/>
        <v>53.45</v>
      </c>
      <c r="BS6" s="11">
        <f t="shared" si="31"/>
        <v>14.2</v>
      </c>
      <c r="BT6" s="11">
        <f t="shared" si="32"/>
        <v>14.45</v>
      </c>
      <c r="BU6" s="11">
        <f t="shared" si="33"/>
        <v>52.650000000000006</v>
      </c>
      <c r="BV6" s="11">
        <f t="shared" si="34"/>
        <v>53.45</v>
      </c>
      <c r="BW6" s="11">
        <f t="shared" si="35"/>
        <v>14.2</v>
      </c>
      <c r="BX6" s="11">
        <f t="shared" si="36"/>
        <v>14.55</v>
      </c>
      <c r="BY6" s="11">
        <f t="shared" si="37"/>
        <v>51.95</v>
      </c>
      <c r="BZ6" s="11">
        <f t="shared" si="38"/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 t="shared" si="39"/>
        <v>14.2</v>
      </c>
      <c r="CR6" s="39">
        <f t="shared" si="40"/>
        <v>15.3</v>
      </c>
      <c r="CS6" s="41">
        <f t="shared" si="41"/>
        <v>54.900000000000006</v>
      </c>
      <c r="CT6" s="41">
        <f t="shared" si="42"/>
        <v>14.2</v>
      </c>
      <c r="CU6" s="41">
        <f t="shared" si="43"/>
        <v>15.25</v>
      </c>
      <c r="CV6" s="41">
        <f t="shared" si="44"/>
        <v>53.25</v>
      </c>
      <c r="CW6" s="41">
        <f t="shared" si="45"/>
        <v>54.900000000000006</v>
      </c>
      <c r="CX6" s="41">
        <f t="shared" si="46"/>
        <v>14.2</v>
      </c>
      <c r="CY6" s="41">
        <f t="shared" si="47"/>
        <v>15.02</v>
      </c>
      <c r="CZ6" s="41">
        <f t="shared" si="48"/>
        <v>52.92</v>
      </c>
      <c r="DA6" s="41">
        <f t="shared" si="49"/>
        <v>107.82000000000001</v>
      </c>
      <c r="DB6" s="52">
        <f t="shared" si="50"/>
        <v>0.55999999999999517</v>
      </c>
      <c r="DC6" s="52">
        <f t="shared" si="51"/>
        <v>7.000000000000739E-2</v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 t="shared" si="52"/>
        <v>13.8</v>
      </c>
      <c r="DY6" s="41">
        <f t="shared" si="53"/>
        <v>14.38</v>
      </c>
      <c r="DZ6" s="41">
        <f t="shared" si="54"/>
        <v>52.68</v>
      </c>
      <c r="EA6" s="41">
        <f t="shared" si="55"/>
        <v>8.8000000000000007</v>
      </c>
      <c r="EB6" s="41">
        <f t="shared" si="56"/>
        <v>8.98</v>
      </c>
      <c r="EC6" s="41">
        <f t="shared" si="57"/>
        <v>31.78</v>
      </c>
      <c r="ED6" s="41">
        <f t="shared" si="58"/>
        <v>52.68</v>
      </c>
      <c r="EE6" s="41">
        <f t="shared" si="59"/>
        <v>3.4</v>
      </c>
      <c r="EF6" s="41">
        <f t="shared" si="60"/>
        <v>3.1</v>
      </c>
      <c r="EG6" s="41">
        <f t="shared" si="61"/>
        <v>11.1</v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63.78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 t="shared" si="108"/>
        <v/>
      </c>
      <c r="JE6" s="41" t="str">
        <f t="shared" si="109"/>
        <v/>
      </c>
      <c r="JF6" s="41" t="str">
        <f t="shared" si="110"/>
        <v/>
      </c>
      <c r="JG6" s="41" t="str">
        <f t="shared" si="111"/>
        <v/>
      </c>
      <c r="JH6" s="41" t="str">
        <f t="shared" si="112"/>
        <v/>
      </c>
      <c r="JI6" s="41" t="str">
        <f t="shared" si="113"/>
        <v/>
      </c>
      <c r="JJ6" s="41" t="str">
        <f t="shared" si="114"/>
        <v/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 t="str">
        <f t="shared" si="121"/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 t="shared" si="122"/>
        <v>14.2</v>
      </c>
      <c r="KM6" s="11">
        <f t="shared" si="123"/>
        <v>14.09</v>
      </c>
      <c r="KN6" s="11">
        <f t="shared" si="124"/>
        <v>50.790000000000006</v>
      </c>
      <c r="KO6" s="11">
        <f t="shared" si="125"/>
        <v>14.2</v>
      </c>
      <c r="KP6" s="11">
        <f t="shared" si="126"/>
        <v>14.04</v>
      </c>
      <c r="KQ6" s="11">
        <f t="shared" si="127"/>
        <v>51.440000000000005</v>
      </c>
      <c r="KR6" s="11">
        <f t="shared" si="128"/>
        <v>51.440000000000005</v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 t="shared" si="150"/>
        <v>2</v>
      </c>
      <c r="NC6" s="11">
        <f t="shared" si="151"/>
        <v>1.59</v>
      </c>
      <c r="ND6" s="11">
        <f t="shared" si="152"/>
        <v>5.79</v>
      </c>
      <c r="NE6" s="11">
        <f t="shared" si="153"/>
        <v>6.3</v>
      </c>
      <c r="NF6" s="11">
        <f t="shared" si="154"/>
        <v>5.95</v>
      </c>
      <c r="NG6" s="11">
        <f t="shared" si="155"/>
        <v>21.25</v>
      </c>
      <c r="NH6" s="11">
        <f t="shared" si="156"/>
        <v>21.25</v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>
        <f t="shared" si="163"/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 t="shared" si="164"/>
        <v>13.8</v>
      </c>
      <c r="OK6" s="41">
        <f t="shared" si="165"/>
        <v>14.63</v>
      </c>
      <c r="OL6" s="41">
        <f t="shared" si="166"/>
        <v>52.330000000000005</v>
      </c>
      <c r="OM6" s="41">
        <f t="shared" si="167"/>
        <v>13.8</v>
      </c>
      <c r="ON6" s="41">
        <f t="shared" si="168"/>
        <v>15.01</v>
      </c>
      <c r="OO6" s="41">
        <f t="shared" si="169"/>
        <v>54.01</v>
      </c>
      <c r="OP6" s="41">
        <f t="shared" si="170"/>
        <v>54.01</v>
      </c>
      <c r="OQ6" s="41">
        <f t="shared" si="171"/>
        <v>13.8</v>
      </c>
      <c r="OR6" s="41">
        <f t="shared" si="172"/>
        <v>14.59</v>
      </c>
      <c r="OS6" s="41">
        <f t="shared" si="173"/>
        <v>52.990000000000009</v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>
        <f t="shared" si="177"/>
        <v>107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15.700000000000001</v>
      </c>
      <c r="SW6" s="23">
        <f t="shared" si="221"/>
        <v>9.3500000000000014</v>
      </c>
      <c r="SX6" s="23">
        <f t="shared" si="222"/>
        <v>14.2</v>
      </c>
      <c r="SY6" s="23">
        <f t="shared" si="223"/>
        <v>14.925000000000001</v>
      </c>
      <c r="SZ6" s="23">
        <f t="shared" si="224"/>
        <v>0</v>
      </c>
      <c r="TA6" s="23">
        <f t="shared" si="225"/>
        <v>14.95</v>
      </c>
      <c r="TB6" s="23">
        <f t="shared" si="226"/>
        <v>8.9499999999999993</v>
      </c>
      <c r="TC6" s="23">
        <f t="shared" si="227"/>
        <v>14.2</v>
      </c>
      <c r="TD6" s="23">
        <f t="shared" si="228"/>
        <v>14.85</v>
      </c>
      <c r="TE6" s="23">
        <f t="shared" si="229"/>
        <v>0</v>
      </c>
      <c r="TF6" s="23">
        <f t="shared" si="230"/>
        <v>14.75</v>
      </c>
      <c r="TG6" s="23">
        <f t="shared" si="231"/>
        <v>8.6999999999999993</v>
      </c>
      <c r="TH6" s="23">
        <f t="shared" si="232"/>
        <v>14.2</v>
      </c>
      <c r="TI6" s="23">
        <f t="shared" si="233"/>
        <v>14.785</v>
      </c>
      <c r="TJ6" s="23">
        <f t="shared" si="234"/>
        <v>0</v>
      </c>
      <c r="TK6" s="28" t="s">
        <v>57</v>
      </c>
      <c r="TL6" s="41">
        <f t="shared" si="235"/>
        <v>14.2</v>
      </c>
      <c r="TM6" s="41">
        <f t="shared" si="236"/>
        <v>14.925000000000001</v>
      </c>
      <c r="TN6" s="41">
        <f t="shared" si="237"/>
        <v>54.174999999999997</v>
      </c>
      <c r="TO6" s="41">
        <f t="shared" si="238"/>
        <v>14.2</v>
      </c>
      <c r="TP6" s="41">
        <f t="shared" si="239"/>
        <v>14.85</v>
      </c>
      <c r="TQ6" s="41">
        <f t="shared" si="240"/>
        <v>52.949999999999996</v>
      </c>
      <c r="TR6" s="41">
        <f t="shared" si="241"/>
        <v>54.174999999999997</v>
      </c>
      <c r="TS6" s="41">
        <f t="shared" si="242"/>
        <v>14.2</v>
      </c>
      <c r="TT6" s="41">
        <f t="shared" si="243"/>
        <v>14.785</v>
      </c>
      <c r="TU6" s="41">
        <f t="shared" si="244"/>
        <v>52.435000000000002</v>
      </c>
      <c r="TV6" s="41">
        <f t="shared" si="245"/>
        <v>106.61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74</v>
      </c>
      <c r="C7" s="4" t="s">
        <v>6</v>
      </c>
      <c r="D7" s="4">
        <v>2001</v>
      </c>
      <c r="E7" s="9">
        <f t="shared" si="0"/>
        <v>237.02002361100523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52.51</v>
      </c>
      <c r="K7" s="8" t="str">
        <f t="shared" si="5"/>
        <v>2023 Nationals</v>
      </c>
      <c r="L7" s="8">
        <f>IF(COUNT(AQ7,AT7,BR7,BU7,CS7,CV7)&gt;1,LARGE((AQ7,AT7,BR7,BU7,CS7,CV7),2),0)</f>
        <v>52.11</v>
      </c>
      <c r="M7" s="8" t="str">
        <f t="shared" si="6"/>
        <v>2023 Domestic 3rd Trial</v>
      </c>
      <c r="N7" s="8">
        <f>IF(COUNT(AQ7,AT7,BR7,BU7,CS7,CV7)&gt;2,LARGE((AQ7,AT7,BR7,BU7,CS7,CV7),3),0)</f>
        <v>49.76</v>
      </c>
      <c r="O7" s="8" t="str">
        <f t="shared" si="7"/>
        <v>2023 Elite Canada</v>
      </c>
      <c r="P7" s="8">
        <f t="shared" si="8"/>
        <v>53.26</v>
      </c>
      <c r="Q7" s="8" t="str">
        <f t="shared" si="9"/>
        <v>2023 Nationals</v>
      </c>
      <c r="R7" s="8">
        <f t="shared" si="10"/>
        <v>13.6</v>
      </c>
      <c r="S7" s="8" t="str">
        <f t="shared" si="11"/>
        <v>2023 Domestic 3rd Trial</v>
      </c>
      <c r="T7" s="8">
        <f t="shared" si="12"/>
        <v>14.87</v>
      </c>
      <c r="U7" s="8" t="str">
        <f t="shared" si="13"/>
        <v>2022 WAGC (Nov 25)</v>
      </c>
      <c r="V7" s="8">
        <f t="shared" si="14"/>
        <v>0.90999999999999659</v>
      </c>
      <c r="W7" s="11" t="str">
        <f t="shared" si="15"/>
        <v>(Prelim)</v>
      </c>
      <c r="X7" s="8" t="str">
        <f t="shared" si="16"/>
        <v>2022 WAGC (Nov 25)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 t="shared" si="17"/>
        <v>9.1999999999999993</v>
      </c>
      <c r="AP7" s="39">
        <f t="shared" si="18"/>
        <v>10.6</v>
      </c>
      <c r="AQ7" s="41">
        <f t="shared" si="19"/>
        <v>35.9</v>
      </c>
      <c r="AR7" s="41">
        <f t="shared" si="20"/>
        <v>13.3</v>
      </c>
      <c r="AS7" s="41">
        <f t="shared" si="21"/>
        <v>14.46</v>
      </c>
      <c r="AT7" s="41">
        <f t="shared" si="22"/>
        <v>49.76</v>
      </c>
      <c r="AU7" s="41">
        <f t="shared" si="23"/>
        <v>49.76</v>
      </c>
      <c r="AV7" s="41">
        <f t="shared" si="24"/>
        <v>12.7</v>
      </c>
      <c r="AW7" s="41">
        <f t="shared" si="25"/>
        <v>14.34</v>
      </c>
      <c r="AX7" s="41">
        <f t="shared" si="26"/>
        <v>49.739999999999995</v>
      </c>
      <c r="AY7" s="41">
        <f t="shared" si="27"/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 t="shared" si="28"/>
        <v>3.4</v>
      </c>
      <c r="BQ7" s="40">
        <f t="shared" si="29"/>
        <v>3.12</v>
      </c>
      <c r="BR7" s="11">
        <f t="shared" si="30"/>
        <v>10.82</v>
      </c>
      <c r="BS7" s="11">
        <f t="shared" si="31"/>
        <v>13.6</v>
      </c>
      <c r="BT7" s="11">
        <f t="shared" si="32"/>
        <v>14.71</v>
      </c>
      <c r="BU7" s="11">
        <f t="shared" si="33"/>
        <v>52.51</v>
      </c>
      <c r="BV7" s="11">
        <f t="shared" si="34"/>
        <v>52.51</v>
      </c>
      <c r="BW7" s="11">
        <f t="shared" si="35"/>
        <v>13.6</v>
      </c>
      <c r="BX7" s="11">
        <f t="shared" si="36"/>
        <v>14.76</v>
      </c>
      <c r="BY7" s="11">
        <f t="shared" si="37"/>
        <v>53.26</v>
      </c>
      <c r="BZ7" s="11">
        <f t="shared" si="38"/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 t="shared" si="39"/>
        <v>13.6</v>
      </c>
      <c r="CR7" s="39">
        <f t="shared" si="40"/>
        <v>14.81</v>
      </c>
      <c r="CS7" s="41">
        <f t="shared" si="41"/>
        <v>52.11</v>
      </c>
      <c r="CT7" s="41">
        <f t="shared" si="42"/>
        <v>10.1</v>
      </c>
      <c r="CU7" s="41">
        <f t="shared" si="43"/>
        <v>10.82</v>
      </c>
      <c r="CV7" s="41">
        <f t="shared" si="44"/>
        <v>37.119999999999997</v>
      </c>
      <c r="CW7" s="41">
        <f t="shared" si="45"/>
        <v>52.11</v>
      </c>
      <c r="CX7" s="41">
        <f t="shared" si="46"/>
        <v>5.0999999999999996</v>
      </c>
      <c r="CY7" s="41">
        <f t="shared" si="47"/>
        <v>4.83</v>
      </c>
      <c r="CZ7" s="41">
        <f t="shared" si="48"/>
        <v>16.729999999999997</v>
      </c>
      <c r="DA7" s="41">
        <f t="shared" si="49"/>
        <v>68.84</v>
      </c>
      <c r="DB7" s="52">
        <f t="shared" si="50"/>
        <v>0.90999999999999659</v>
      </c>
      <c r="DC7" s="52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12.1</v>
      </c>
      <c r="FU7" s="17">
        <v>8.3000000000000007</v>
      </c>
      <c r="FV7" s="17">
        <v>11.7</v>
      </c>
      <c r="FW7" s="17">
        <v>13.36</v>
      </c>
      <c r="FX7" s="17">
        <v>0</v>
      </c>
      <c r="FY7" s="17">
        <v>13.7</v>
      </c>
      <c r="FZ7" s="17">
        <v>8.8000000000000007</v>
      </c>
      <c r="GA7" s="17">
        <v>13.3</v>
      </c>
      <c r="GB7" s="17">
        <v>14.87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>
        <f t="shared" si="80"/>
        <v>11.7</v>
      </c>
      <c r="GO7" s="41">
        <f t="shared" si="81"/>
        <v>13.36</v>
      </c>
      <c r="GP7" s="41">
        <f t="shared" si="82"/>
        <v>45.459999999999994</v>
      </c>
      <c r="GQ7" s="41">
        <f t="shared" si="83"/>
        <v>13.3</v>
      </c>
      <c r="GR7" s="41">
        <f t="shared" si="84"/>
        <v>14.87</v>
      </c>
      <c r="GS7" s="41">
        <f t="shared" si="85"/>
        <v>50.669999999999995</v>
      </c>
      <c r="GT7" s="41">
        <f t="shared" si="86"/>
        <v>50.669999999999995</v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>
        <f t="shared" si="93"/>
        <v>50.669999999999995</v>
      </c>
      <c r="HB7" s="18">
        <v>13.3</v>
      </c>
      <c r="HC7" s="18">
        <v>9</v>
      </c>
      <c r="HD7" s="18">
        <v>13.3</v>
      </c>
      <c r="HE7" s="18">
        <v>14.51</v>
      </c>
      <c r="HF7" s="18">
        <v>0</v>
      </c>
      <c r="HG7" s="18">
        <v>12.8</v>
      </c>
      <c r="HH7" s="18">
        <v>8.1999999999999993</v>
      </c>
      <c r="HI7" s="18">
        <v>11.7</v>
      </c>
      <c r="HJ7" s="18">
        <v>13.3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 t="shared" si="94"/>
        <v>13.3</v>
      </c>
      <c r="HW7" s="11">
        <f t="shared" si="95"/>
        <v>14.51</v>
      </c>
      <c r="HX7" s="11">
        <f t="shared" si="96"/>
        <v>50.11</v>
      </c>
      <c r="HY7" s="11">
        <f t="shared" si="97"/>
        <v>11.7</v>
      </c>
      <c r="HZ7" s="11">
        <f t="shared" si="98"/>
        <v>13.3</v>
      </c>
      <c r="IA7" s="11">
        <f t="shared" si="99"/>
        <v>46</v>
      </c>
      <c r="IB7" s="11">
        <f t="shared" si="100"/>
        <v>50.11</v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>
        <f t="shared" si="107"/>
        <v>50.11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 t="shared" si="108"/>
        <v/>
      </c>
      <c r="JE7" s="41" t="str">
        <f t="shared" si="109"/>
        <v/>
      </c>
      <c r="JF7" s="41" t="str">
        <f t="shared" si="110"/>
        <v/>
      </c>
      <c r="JG7" s="41" t="str">
        <f t="shared" si="111"/>
        <v/>
      </c>
      <c r="JH7" s="41" t="str">
        <f t="shared" si="112"/>
        <v/>
      </c>
      <c r="JI7" s="41" t="str">
        <f t="shared" si="113"/>
        <v/>
      </c>
      <c r="JJ7" s="41" t="str">
        <f t="shared" si="114"/>
        <v/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 t="str">
        <f t="shared" si="121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>
        <v>13.4</v>
      </c>
      <c r="MI7" s="18">
        <v>9</v>
      </c>
      <c r="MJ7" s="18">
        <v>13.6</v>
      </c>
      <c r="MK7" s="18">
        <v>14.5</v>
      </c>
      <c r="ML7" s="18">
        <v>0.2</v>
      </c>
      <c r="MM7" s="18">
        <v>13.1</v>
      </c>
      <c r="MN7" s="18">
        <v>9.1</v>
      </c>
      <c r="MO7" s="18">
        <v>13.6</v>
      </c>
      <c r="MP7" s="18">
        <v>14.5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 t="shared" si="150"/>
        <v>13.6</v>
      </c>
      <c r="NC7" s="11">
        <f t="shared" si="151"/>
        <v>14.5</v>
      </c>
      <c r="ND7" s="11">
        <f t="shared" si="152"/>
        <v>50.3</v>
      </c>
      <c r="NE7" s="11">
        <f t="shared" si="153"/>
        <v>13.6</v>
      </c>
      <c r="NF7" s="11">
        <f t="shared" si="154"/>
        <v>14.5</v>
      </c>
      <c r="NG7" s="11">
        <f t="shared" si="155"/>
        <v>50.3</v>
      </c>
      <c r="NH7" s="11">
        <f t="shared" si="156"/>
        <v>50.3</v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>
        <f t="shared" si="163"/>
        <v>50.3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8.4</v>
      </c>
      <c r="SW7" s="23">
        <f t="shared" si="221"/>
        <v>5.6</v>
      </c>
      <c r="SX7" s="23">
        <f t="shared" si="222"/>
        <v>8.5</v>
      </c>
      <c r="SY7" s="23">
        <f t="shared" si="223"/>
        <v>8.9649999999999999</v>
      </c>
      <c r="SZ7" s="23">
        <f t="shared" si="224"/>
        <v>0</v>
      </c>
      <c r="TA7" s="23">
        <f t="shared" si="225"/>
        <v>12.6</v>
      </c>
      <c r="TB7" s="23">
        <f t="shared" si="226"/>
        <v>7.6</v>
      </c>
      <c r="TC7" s="23">
        <f t="shared" si="227"/>
        <v>11.85</v>
      </c>
      <c r="TD7" s="23">
        <f t="shared" si="228"/>
        <v>12.765000000000001</v>
      </c>
      <c r="TE7" s="23">
        <f t="shared" si="229"/>
        <v>0</v>
      </c>
      <c r="TF7" s="23">
        <f t="shared" si="230"/>
        <v>9.8999999999999986</v>
      </c>
      <c r="TG7" s="23">
        <f t="shared" si="231"/>
        <v>5.9499999999999993</v>
      </c>
      <c r="TH7" s="23">
        <f t="shared" si="232"/>
        <v>9.35</v>
      </c>
      <c r="TI7" s="23">
        <f t="shared" si="233"/>
        <v>9.7949999999999999</v>
      </c>
      <c r="TJ7" s="23">
        <f t="shared" si="234"/>
        <v>0</v>
      </c>
      <c r="TK7" s="28" t="s">
        <v>57</v>
      </c>
      <c r="TL7" s="41">
        <f t="shared" si="235"/>
        <v>8.5</v>
      </c>
      <c r="TM7" s="41">
        <f t="shared" si="236"/>
        <v>8.9649999999999999</v>
      </c>
      <c r="TN7" s="41">
        <f t="shared" si="237"/>
        <v>31.465</v>
      </c>
      <c r="TO7" s="41">
        <f t="shared" si="238"/>
        <v>11.85</v>
      </c>
      <c r="TP7" s="41">
        <f t="shared" si="239"/>
        <v>12.765000000000001</v>
      </c>
      <c r="TQ7" s="41">
        <f t="shared" si="240"/>
        <v>44.814999999999998</v>
      </c>
      <c r="TR7" s="41">
        <f t="shared" si="241"/>
        <v>44.814999999999998</v>
      </c>
      <c r="TS7" s="41">
        <f t="shared" si="242"/>
        <v>9.35</v>
      </c>
      <c r="TT7" s="41">
        <f t="shared" si="243"/>
        <v>9.7949999999999999</v>
      </c>
      <c r="TU7" s="41">
        <f t="shared" si="244"/>
        <v>34.994999999999997</v>
      </c>
      <c r="TV7" s="41">
        <f t="shared" si="245"/>
        <v>79.81</v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156</v>
      </c>
      <c r="C8" s="4" t="s">
        <v>3</v>
      </c>
      <c r="D8" s="4">
        <v>2004</v>
      </c>
      <c r="E8" s="9">
        <f t="shared" si="0"/>
        <v>236.32002363200522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52.349999999999994</v>
      </c>
      <c r="K8" s="8" t="str">
        <f t="shared" si="5"/>
        <v>2023 Domestic 3rd Trial</v>
      </c>
      <c r="L8" s="8">
        <f>IF(COUNT(AQ8,AT8,BR8,BU8,CS8,CV8)&gt;1,LARGE((AQ8,AT8,BR8,BU8,CS8,CV8),2),0)</f>
        <v>51.870000000000005</v>
      </c>
      <c r="M8" s="8" t="str">
        <f t="shared" si="6"/>
        <v>2023 Domestic 3rd Trial</v>
      </c>
      <c r="N8" s="8">
        <f>IF(COUNT(AQ8,AT8,BR8,BU8,CS8,CV8)&gt;2,LARGE((AQ8,AT8,BR8,BU8,CS8,CV8),3),0)</f>
        <v>51.149999999999991</v>
      </c>
      <c r="O8" s="8" t="str">
        <f t="shared" si="7"/>
        <v>2023 Elite Canada</v>
      </c>
      <c r="P8" s="8">
        <f t="shared" si="8"/>
        <v>52.400000000000006</v>
      </c>
      <c r="Q8" s="8" t="str">
        <f t="shared" si="9"/>
        <v>2023 Nationals</v>
      </c>
      <c r="R8" s="8">
        <f t="shared" si="10"/>
        <v>13.6</v>
      </c>
      <c r="S8" s="8" t="str">
        <f t="shared" si="11"/>
        <v>2023 Domestic 3rd Trial</v>
      </c>
      <c r="T8" s="8">
        <f t="shared" si="12"/>
        <v>14.95</v>
      </c>
      <c r="U8" s="8" t="str">
        <f t="shared" si="13"/>
        <v>2023 Domestic 3rd Trial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 t="shared" si="17"/>
        <v>11.5</v>
      </c>
      <c r="AP8" s="39">
        <f t="shared" si="18"/>
        <v>14.25</v>
      </c>
      <c r="AQ8" s="41">
        <f t="shared" si="19"/>
        <v>46.05</v>
      </c>
      <c r="AR8" s="41">
        <f t="shared" si="20"/>
        <v>12.7</v>
      </c>
      <c r="AS8" s="41">
        <f t="shared" si="21"/>
        <v>14.05</v>
      </c>
      <c r="AT8" s="41">
        <f t="shared" si="22"/>
        <v>51.149999999999991</v>
      </c>
      <c r="AU8" s="41">
        <f t="shared" si="23"/>
        <v>51.149999999999991</v>
      </c>
      <c r="AV8" s="41">
        <f t="shared" si="24"/>
        <v>12.7</v>
      </c>
      <c r="AW8" s="41">
        <f t="shared" si="25"/>
        <v>14.33</v>
      </c>
      <c r="AX8" s="41">
        <f t="shared" si="26"/>
        <v>51.629999999999995</v>
      </c>
      <c r="AY8" s="41">
        <f t="shared" si="27"/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 t="shared" si="28"/>
        <v>13.4</v>
      </c>
      <c r="BQ8" s="40">
        <f t="shared" si="29"/>
        <v>14.14</v>
      </c>
      <c r="BR8" s="11">
        <f t="shared" si="30"/>
        <v>50.84</v>
      </c>
      <c r="BS8" s="11">
        <f t="shared" si="31"/>
        <v>2</v>
      </c>
      <c r="BT8" s="11">
        <f t="shared" si="32"/>
        <v>1.53</v>
      </c>
      <c r="BU8" s="11">
        <f t="shared" si="33"/>
        <v>5.73</v>
      </c>
      <c r="BV8" s="11">
        <f t="shared" si="34"/>
        <v>50.84</v>
      </c>
      <c r="BW8" s="11">
        <f t="shared" si="35"/>
        <v>13.6</v>
      </c>
      <c r="BX8" s="11">
        <f t="shared" si="36"/>
        <v>14.7</v>
      </c>
      <c r="BY8" s="11">
        <f t="shared" si="37"/>
        <v>52.400000000000006</v>
      </c>
      <c r="BZ8" s="11">
        <f t="shared" si="38"/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 t="shared" si="39"/>
        <v>13.4</v>
      </c>
      <c r="CR8" s="39">
        <f t="shared" si="40"/>
        <v>14.77</v>
      </c>
      <c r="CS8" s="41">
        <f t="shared" si="41"/>
        <v>51.870000000000005</v>
      </c>
      <c r="CT8" s="41">
        <f t="shared" si="42"/>
        <v>13.6</v>
      </c>
      <c r="CU8" s="41">
        <f t="shared" si="43"/>
        <v>14.95</v>
      </c>
      <c r="CV8" s="41">
        <f t="shared" si="44"/>
        <v>52.349999999999994</v>
      </c>
      <c r="CW8" s="41">
        <f t="shared" si="45"/>
        <v>52.349999999999994</v>
      </c>
      <c r="CX8" s="41">
        <f t="shared" si="46"/>
        <v>13.6</v>
      </c>
      <c r="CY8" s="41">
        <f t="shared" si="47"/>
        <v>14.1</v>
      </c>
      <c r="CZ8" s="41">
        <f t="shared" si="48"/>
        <v>49.1</v>
      </c>
      <c r="DA8" s="41">
        <f t="shared" si="49"/>
        <v>101.44999999999999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>
        <v>13.8</v>
      </c>
      <c r="IK8" s="17">
        <v>9.5</v>
      </c>
      <c r="IL8" s="17">
        <v>12.7</v>
      </c>
      <c r="IM8" s="17">
        <v>14.7</v>
      </c>
      <c r="IN8" s="17">
        <v>0</v>
      </c>
      <c r="IO8" s="17">
        <v>14</v>
      </c>
      <c r="IP8" s="17">
        <v>8.8000000000000007</v>
      </c>
      <c r="IQ8" s="17">
        <v>12.9</v>
      </c>
      <c r="IR8" s="17">
        <v>14.44</v>
      </c>
      <c r="IS8" s="17">
        <v>0</v>
      </c>
      <c r="IT8" s="17"/>
      <c r="IU8" s="17"/>
      <c r="IV8" s="17"/>
      <c r="IW8" s="17"/>
      <c r="IX8" s="17"/>
      <c r="IY8" s="17">
        <v>14.2</v>
      </c>
      <c r="IZ8" s="17">
        <v>9.4</v>
      </c>
      <c r="JA8" s="17">
        <v>12.9</v>
      </c>
      <c r="JB8" s="17">
        <v>14.59</v>
      </c>
      <c r="JC8" s="17">
        <v>0</v>
      </c>
      <c r="JD8" s="41">
        <f t="shared" si="108"/>
        <v>12.7</v>
      </c>
      <c r="JE8" s="41">
        <f t="shared" si="109"/>
        <v>14.7</v>
      </c>
      <c r="JF8" s="41">
        <f t="shared" si="110"/>
        <v>50.7</v>
      </c>
      <c r="JG8" s="41">
        <f t="shared" si="111"/>
        <v>12.9</v>
      </c>
      <c r="JH8" s="41">
        <f t="shared" si="112"/>
        <v>14.44</v>
      </c>
      <c r="JI8" s="41">
        <f t="shared" si="113"/>
        <v>50.14</v>
      </c>
      <c r="JJ8" s="41">
        <f t="shared" si="114"/>
        <v>50.7</v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>
        <f t="shared" si="118"/>
        <v>12.9</v>
      </c>
      <c r="JO8" s="41">
        <f t="shared" si="119"/>
        <v>14.59</v>
      </c>
      <c r="JP8" s="41">
        <f t="shared" si="120"/>
        <v>51.09</v>
      </c>
      <c r="JQ8" s="41">
        <f t="shared" si="121"/>
        <v>101.79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>
        <v>12.9</v>
      </c>
      <c r="OY8" s="18">
        <v>9.1</v>
      </c>
      <c r="OZ8" s="18">
        <v>13.4</v>
      </c>
      <c r="PA8" s="18">
        <v>14.46</v>
      </c>
      <c r="PB8" s="18">
        <v>0</v>
      </c>
      <c r="PC8" s="18">
        <v>12.1</v>
      </c>
      <c r="PD8" s="18">
        <v>8.9</v>
      </c>
      <c r="PE8" s="18">
        <v>12.2</v>
      </c>
      <c r="PF8" s="18">
        <v>14.38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 t="shared" si="178"/>
        <v>13.4</v>
      </c>
      <c r="PS8" s="11">
        <f t="shared" si="179"/>
        <v>14.46</v>
      </c>
      <c r="PT8" s="11">
        <f t="shared" si="180"/>
        <v>49.86</v>
      </c>
      <c r="PU8" s="11">
        <f t="shared" si="181"/>
        <v>12.2</v>
      </c>
      <c r="PV8" s="11">
        <f t="shared" si="182"/>
        <v>14.38</v>
      </c>
      <c r="PW8" s="11">
        <f t="shared" si="183"/>
        <v>47.580000000000005</v>
      </c>
      <c r="PX8" s="11">
        <f t="shared" si="184"/>
        <v>49.86</v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>
        <f t="shared" si="191"/>
        <v>49.86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13.9</v>
      </c>
      <c r="SW8" s="23">
        <f t="shared" si="221"/>
        <v>9.6000000000000014</v>
      </c>
      <c r="SX8" s="23">
        <f t="shared" si="222"/>
        <v>13.4</v>
      </c>
      <c r="SY8" s="23">
        <f t="shared" si="223"/>
        <v>14.455</v>
      </c>
      <c r="SZ8" s="23">
        <f t="shared" si="224"/>
        <v>0</v>
      </c>
      <c r="TA8" s="23">
        <f t="shared" si="225"/>
        <v>7.8</v>
      </c>
      <c r="TB8" s="23">
        <f t="shared" si="226"/>
        <v>5.2</v>
      </c>
      <c r="TC8" s="23">
        <f t="shared" si="227"/>
        <v>7.8</v>
      </c>
      <c r="TD8" s="23">
        <f t="shared" si="228"/>
        <v>8.24</v>
      </c>
      <c r="TE8" s="23">
        <f t="shared" si="229"/>
        <v>0</v>
      </c>
      <c r="TF8" s="23">
        <f t="shared" si="230"/>
        <v>14</v>
      </c>
      <c r="TG8" s="23">
        <f t="shared" si="231"/>
        <v>8.75</v>
      </c>
      <c r="TH8" s="23">
        <f t="shared" si="232"/>
        <v>13.6</v>
      </c>
      <c r="TI8" s="23">
        <f t="shared" si="233"/>
        <v>14.399999999999999</v>
      </c>
      <c r="TJ8" s="23">
        <f t="shared" si="234"/>
        <v>0</v>
      </c>
      <c r="TK8" s="28" t="s">
        <v>57</v>
      </c>
      <c r="TL8" s="41">
        <f t="shared" si="235"/>
        <v>13.4</v>
      </c>
      <c r="TM8" s="41">
        <f t="shared" si="236"/>
        <v>14.455</v>
      </c>
      <c r="TN8" s="41">
        <f t="shared" si="237"/>
        <v>51.354999999999997</v>
      </c>
      <c r="TO8" s="41">
        <f t="shared" si="238"/>
        <v>7.8</v>
      </c>
      <c r="TP8" s="41">
        <f t="shared" si="239"/>
        <v>8.24</v>
      </c>
      <c r="TQ8" s="41">
        <f t="shared" si="240"/>
        <v>29.04</v>
      </c>
      <c r="TR8" s="41">
        <f t="shared" si="241"/>
        <v>51.354999999999997</v>
      </c>
      <c r="TS8" s="41">
        <f t="shared" si="242"/>
        <v>13.6</v>
      </c>
      <c r="TT8" s="41">
        <f t="shared" si="243"/>
        <v>14.399999999999999</v>
      </c>
      <c r="TU8" s="41">
        <f t="shared" si="244"/>
        <v>50.75</v>
      </c>
      <c r="TV8" s="41">
        <f t="shared" si="245"/>
        <v>102.10499999999999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128</v>
      </c>
      <c r="C9" s="4" t="s">
        <v>3</v>
      </c>
      <c r="D9" s="4">
        <v>2001</v>
      </c>
      <c r="E9" s="9">
        <f t="shared" si="0"/>
        <v>233.33002333300516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51.32</v>
      </c>
      <c r="K9" s="8" t="str">
        <f t="shared" si="5"/>
        <v>2023 Domestic 3rd Trial</v>
      </c>
      <c r="L9" s="8">
        <f>IF(COUNT(AQ9,AT9,BR9,BU9,CS9,CV9)&gt;1,LARGE((AQ9,AT9,BR9,BU9,CS9,CV9),2),0)</f>
        <v>51.309999999999995</v>
      </c>
      <c r="M9" s="8" t="str">
        <f t="shared" si="6"/>
        <v>2023 Nationals</v>
      </c>
      <c r="N9" s="8">
        <f>IF(COUNT(AQ9,AT9,BR9,BU9,CS9,CV9)&gt;2,LARGE((AQ9,AT9,BR9,BU9,CS9,CV9),3),0)</f>
        <v>50.86</v>
      </c>
      <c r="O9" s="8" t="str">
        <f t="shared" si="7"/>
        <v>2023 Domestic 3rd Trial</v>
      </c>
      <c r="P9" s="8">
        <f t="shared" si="8"/>
        <v>51.52</v>
      </c>
      <c r="Q9" s="8" t="str">
        <f t="shared" si="9"/>
        <v>2023 Domestic 3rd Trial</v>
      </c>
      <c r="R9" s="8">
        <f t="shared" si="10"/>
        <v>13.1</v>
      </c>
      <c r="S9" s="8" t="str">
        <f t="shared" si="11"/>
        <v>2023 Domestic 3rd Trial</v>
      </c>
      <c r="T9" s="8">
        <f t="shared" si="12"/>
        <v>15.22</v>
      </c>
      <c r="U9" s="8" t="str">
        <f t="shared" si="13"/>
        <v>2023 Domestic 3rd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 t="shared" si="17"/>
        <v>11.6</v>
      </c>
      <c r="AP9" s="39">
        <f t="shared" si="18"/>
        <v>14.67</v>
      </c>
      <c r="AQ9" s="41">
        <f t="shared" si="19"/>
        <v>46.17</v>
      </c>
      <c r="AR9" s="41">
        <f t="shared" si="20"/>
        <v>12.2</v>
      </c>
      <c r="AS9" s="41">
        <f t="shared" si="21"/>
        <v>14.52</v>
      </c>
      <c r="AT9" s="41">
        <f t="shared" si="22"/>
        <v>50.42</v>
      </c>
      <c r="AU9" s="41">
        <f t="shared" si="23"/>
        <v>50.42</v>
      </c>
      <c r="AV9" s="41">
        <f t="shared" si="24"/>
        <v>10.4</v>
      </c>
      <c r="AW9" s="41">
        <f t="shared" si="25"/>
        <v>12.07</v>
      </c>
      <c r="AX9" s="41">
        <f t="shared" si="26"/>
        <v>41.67</v>
      </c>
      <c r="AY9" s="41">
        <f t="shared" si="27"/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 t="shared" si="28"/>
        <v>13.1</v>
      </c>
      <c r="BQ9" s="40">
        <f t="shared" si="29"/>
        <v>14.14</v>
      </c>
      <c r="BR9" s="11">
        <f t="shared" si="30"/>
        <v>50.24</v>
      </c>
      <c r="BS9" s="11">
        <f t="shared" si="31"/>
        <v>13.1</v>
      </c>
      <c r="BT9" s="11">
        <f t="shared" si="32"/>
        <v>14.51</v>
      </c>
      <c r="BU9" s="11">
        <f t="shared" si="33"/>
        <v>51.309999999999995</v>
      </c>
      <c r="BV9" s="11">
        <f t="shared" si="34"/>
        <v>51.309999999999995</v>
      </c>
      <c r="BW9" s="11">
        <f t="shared" si="35"/>
        <v>12.9</v>
      </c>
      <c r="BX9" s="11">
        <f t="shared" si="36"/>
        <v>14.58</v>
      </c>
      <c r="BY9" s="11">
        <f t="shared" si="37"/>
        <v>50.78</v>
      </c>
      <c r="BZ9" s="11">
        <f t="shared" si="38"/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 t="shared" si="39"/>
        <v>13.1</v>
      </c>
      <c r="CR9" s="39">
        <f t="shared" si="40"/>
        <v>14.66</v>
      </c>
      <c r="CS9" s="41">
        <f t="shared" si="41"/>
        <v>50.86</v>
      </c>
      <c r="CT9" s="41">
        <f t="shared" si="42"/>
        <v>13.1</v>
      </c>
      <c r="CU9" s="41">
        <f t="shared" si="43"/>
        <v>14.92</v>
      </c>
      <c r="CV9" s="41">
        <f t="shared" si="44"/>
        <v>51.32</v>
      </c>
      <c r="CW9" s="41">
        <f t="shared" si="45"/>
        <v>51.32</v>
      </c>
      <c r="CX9" s="41">
        <f t="shared" si="46"/>
        <v>13.1</v>
      </c>
      <c r="CY9" s="41">
        <f t="shared" si="47"/>
        <v>15.22</v>
      </c>
      <c r="CZ9" s="41">
        <f t="shared" si="48"/>
        <v>51.52</v>
      </c>
      <c r="DA9" s="41">
        <f t="shared" si="49"/>
        <v>102.84</v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14.100000000000001</v>
      </c>
      <c r="SW9" s="23">
        <f t="shared" si="221"/>
        <v>8.9499999999999993</v>
      </c>
      <c r="SX9" s="23">
        <f t="shared" si="222"/>
        <v>13.1</v>
      </c>
      <c r="SY9" s="23">
        <f t="shared" si="223"/>
        <v>14.4</v>
      </c>
      <c r="SZ9" s="23">
        <f t="shared" si="224"/>
        <v>0</v>
      </c>
      <c r="TA9" s="23">
        <f t="shared" si="225"/>
        <v>14.45</v>
      </c>
      <c r="TB9" s="23">
        <f t="shared" si="226"/>
        <v>9.0500000000000007</v>
      </c>
      <c r="TC9" s="23">
        <f t="shared" si="227"/>
        <v>13.1</v>
      </c>
      <c r="TD9" s="23">
        <f t="shared" si="228"/>
        <v>14.715</v>
      </c>
      <c r="TE9" s="23">
        <f t="shared" si="229"/>
        <v>0</v>
      </c>
      <c r="TF9" s="23">
        <f t="shared" si="230"/>
        <v>14.65</v>
      </c>
      <c r="TG9" s="23">
        <f t="shared" si="231"/>
        <v>8.6000000000000014</v>
      </c>
      <c r="TH9" s="23">
        <f t="shared" si="232"/>
        <v>13</v>
      </c>
      <c r="TI9" s="23">
        <f t="shared" si="233"/>
        <v>14.9</v>
      </c>
      <c r="TJ9" s="23">
        <f t="shared" si="234"/>
        <v>0</v>
      </c>
      <c r="TK9" s="28" t="s">
        <v>57</v>
      </c>
      <c r="TL9" s="41">
        <f t="shared" si="235"/>
        <v>13.1</v>
      </c>
      <c r="TM9" s="41">
        <f t="shared" si="236"/>
        <v>14.4</v>
      </c>
      <c r="TN9" s="41">
        <f t="shared" si="237"/>
        <v>50.55</v>
      </c>
      <c r="TO9" s="41">
        <f t="shared" si="238"/>
        <v>13.1</v>
      </c>
      <c r="TP9" s="41">
        <f t="shared" si="239"/>
        <v>14.715</v>
      </c>
      <c r="TQ9" s="41">
        <f t="shared" si="240"/>
        <v>51.314999999999998</v>
      </c>
      <c r="TR9" s="41">
        <f t="shared" si="241"/>
        <v>51.314999999999998</v>
      </c>
      <c r="TS9" s="41">
        <f t="shared" si="242"/>
        <v>13</v>
      </c>
      <c r="TT9" s="41">
        <f t="shared" si="243"/>
        <v>14.9</v>
      </c>
      <c r="TU9" s="41">
        <f t="shared" si="244"/>
        <v>51.15</v>
      </c>
      <c r="TV9" s="41">
        <f t="shared" si="245"/>
        <v>102.465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192</v>
      </c>
      <c r="C10" s="4" t="s">
        <v>8</v>
      </c>
      <c r="D10" s="4">
        <v>2006</v>
      </c>
      <c r="E10" s="9">
        <f t="shared" si="0"/>
        <v>228.90002289000509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50.75</v>
      </c>
      <c r="K10" s="8" t="str">
        <f t="shared" si="5"/>
        <v>2023 Elite Canada</v>
      </c>
      <c r="L10" s="8">
        <f>IF(COUNT(AQ10,AT10,BR10,BU10,CS10,CV10)&gt;1,LARGE((AQ10,AT10,BR10,BU10,CS10,CV10),2),0)</f>
        <v>50.14</v>
      </c>
      <c r="M10" s="8" t="str">
        <f t="shared" si="6"/>
        <v>2023 Domestic 3rd Trial</v>
      </c>
      <c r="N10" s="8">
        <f>IF(COUNT(AQ10,AT10,BR10,BU10,CS10,CV10)&gt;2,LARGE((AQ10,AT10,BR10,BU10,CS10,CV10),3),0)</f>
        <v>49.47</v>
      </c>
      <c r="O10" s="8" t="str">
        <f t="shared" si="7"/>
        <v>2023 Domestic 3rd Trial</v>
      </c>
      <c r="P10" s="8">
        <f t="shared" si="8"/>
        <v>51.17</v>
      </c>
      <c r="Q10" s="8" t="str">
        <f t="shared" si="9"/>
        <v>2023 Elite Canada</v>
      </c>
      <c r="R10" s="8">
        <f t="shared" si="10"/>
        <v>12.7</v>
      </c>
      <c r="S10" s="8" t="str">
        <f t="shared" si="11"/>
        <v>2023 Domestic 3rd Trial</v>
      </c>
      <c r="T10" s="8">
        <f t="shared" si="12"/>
        <v>14.67</v>
      </c>
      <c r="U10" s="8" t="str">
        <f t="shared" si="13"/>
        <v>2023 Domestic 3rd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 t="shared" si="17"/>
        <v>11.2</v>
      </c>
      <c r="AP10" s="39">
        <f t="shared" si="18"/>
        <v>15.35</v>
      </c>
      <c r="AQ10" s="41">
        <f t="shared" si="19"/>
        <v>50.75</v>
      </c>
      <c r="AR10" s="41">
        <f t="shared" si="20"/>
        <v>11.2</v>
      </c>
      <c r="AS10" s="41">
        <f t="shared" si="21"/>
        <v>14.57</v>
      </c>
      <c r="AT10" s="41">
        <f t="shared" si="22"/>
        <v>48.97</v>
      </c>
      <c r="AU10" s="41">
        <f t="shared" si="23"/>
        <v>50.75</v>
      </c>
      <c r="AV10" s="41">
        <f t="shared" si="24"/>
        <v>11.2</v>
      </c>
      <c r="AW10" s="41">
        <f t="shared" si="25"/>
        <v>15.27</v>
      </c>
      <c r="AX10" s="41">
        <f t="shared" si="26"/>
        <v>51.17</v>
      </c>
      <c r="AY10" s="41">
        <f t="shared" si="27"/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 t="shared" si="28"/>
        <v>4</v>
      </c>
      <c r="BQ10" s="40">
        <f t="shared" si="29"/>
        <v>4.4400000000000004</v>
      </c>
      <c r="BR10" s="11">
        <f t="shared" si="30"/>
        <v>15.84</v>
      </c>
      <c r="BS10" s="11">
        <f t="shared" si="31"/>
        <v>1.5</v>
      </c>
      <c r="BT10" s="11">
        <f t="shared" si="32"/>
        <v>1.55</v>
      </c>
      <c r="BU10" s="11">
        <f t="shared" si="33"/>
        <v>5.75</v>
      </c>
      <c r="BV10" s="11">
        <f t="shared" si="34"/>
        <v>15.84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 t="shared" si="39"/>
        <v>12.4</v>
      </c>
      <c r="CR10" s="39">
        <f t="shared" si="40"/>
        <v>14.47</v>
      </c>
      <c r="CS10" s="41">
        <f t="shared" si="41"/>
        <v>49.47</v>
      </c>
      <c r="CT10" s="41">
        <f t="shared" si="42"/>
        <v>12.4</v>
      </c>
      <c r="CU10" s="41">
        <f t="shared" si="43"/>
        <v>14.34</v>
      </c>
      <c r="CV10" s="41">
        <f t="shared" si="44"/>
        <v>50.14</v>
      </c>
      <c r="CW10" s="41">
        <f t="shared" si="45"/>
        <v>50.14</v>
      </c>
      <c r="CX10" s="41">
        <f t="shared" si="46"/>
        <v>12.7</v>
      </c>
      <c r="CY10" s="41">
        <f t="shared" si="47"/>
        <v>14.67</v>
      </c>
      <c r="CZ10" s="41">
        <f t="shared" si="48"/>
        <v>50.67</v>
      </c>
      <c r="DA10" s="41">
        <f t="shared" si="49"/>
        <v>100.81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>
        <v>14.6</v>
      </c>
      <c r="FZ10" s="17">
        <v>9.5</v>
      </c>
      <c r="GA10" s="17">
        <v>10.5</v>
      </c>
      <c r="GB10" s="17">
        <v>14.47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>
        <f t="shared" si="83"/>
        <v>10.5</v>
      </c>
      <c r="GR10" s="41">
        <f t="shared" si="84"/>
        <v>14.47</v>
      </c>
      <c r="GS10" s="41">
        <f t="shared" si="85"/>
        <v>49.07</v>
      </c>
      <c r="GT10" s="41">
        <f t="shared" si="86"/>
        <v>49.07</v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>
        <f t="shared" si="93"/>
        <v>49.07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9.0500000000000007</v>
      </c>
      <c r="SW10" s="23">
        <f t="shared" si="221"/>
        <v>5.9499999999999993</v>
      </c>
      <c r="SX10" s="23">
        <f t="shared" si="222"/>
        <v>8.1999999999999993</v>
      </c>
      <c r="SY10" s="23">
        <f t="shared" si="223"/>
        <v>9.4550000000000001</v>
      </c>
      <c r="SZ10" s="23">
        <f t="shared" si="224"/>
        <v>0</v>
      </c>
      <c r="TA10" s="23">
        <f t="shared" si="225"/>
        <v>8.15</v>
      </c>
      <c r="TB10" s="23">
        <f t="shared" si="226"/>
        <v>4.9000000000000004</v>
      </c>
      <c r="TC10" s="23">
        <f t="shared" si="227"/>
        <v>6.95</v>
      </c>
      <c r="TD10" s="23">
        <f t="shared" si="228"/>
        <v>7.9450000000000003</v>
      </c>
      <c r="TE10" s="23">
        <f t="shared" si="229"/>
        <v>0</v>
      </c>
      <c r="TF10" s="23">
        <f t="shared" si="230"/>
        <v>6.9</v>
      </c>
      <c r="TG10" s="23">
        <f t="shared" si="231"/>
        <v>4.75</v>
      </c>
      <c r="TH10" s="23">
        <f t="shared" si="232"/>
        <v>6.35</v>
      </c>
      <c r="TI10" s="23">
        <f t="shared" si="233"/>
        <v>7.335</v>
      </c>
      <c r="TJ10" s="23">
        <f t="shared" si="234"/>
        <v>0</v>
      </c>
      <c r="TK10" s="28" t="s">
        <v>57</v>
      </c>
      <c r="TL10" s="41">
        <f t="shared" si="235"/>
        <v>8.1999999999999993</v>
      </c>
      <c r="TM10" s="41">
        <f t="shared" si="236"/>
        <v>9.4550000000000001</v>
      </c>
      <c r="TN10" s="41">
        <f t="shared" si="237"/>
        <v>32.655000000000001</v>
      </c>
      <c r="TO10" s="41">
        <f t="shared" si="238"/>
        <v>6.95</v>
      </c>
      <c r="TP10" s="41">
        <f t="shared" si="239"/>
        <v>7.9450000000000003</v>
      </c>
      <c r="TQ10" s="41">
        <f t="shared" si="240"/>
        <v>27.945</v>
      </c>
      <c r="TR10" s="41">
        <f t="shared" si="241"/>
        <v>32.655000000000001</v>
      </c>
      <c r="TS10" s="41">
        <f t="shared" si="242"/>
        <v>6.35</v>
      </c>
      <c r="TT10" s="41">
        <f t="shared" si="243"/>
        <v>7.335</v>
      </c>
      <c r="TU10" s="41">
        <f t="shared" si="244"/>
        <v>25.335000000000001</v>
      </c>
      <c r="TV10" s="41">
        <f t="shared" si="245"/>
        <v>57.99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98</v>
      </c>
      <c r="C11" s="4" t="s">
        <v>5</v>
      </c>
      <c r="D11" s="4">
        <v>1999</v>
      </c>
      <c r="E11" s="9">
        <f t="shared" si="0"/>
        <v>228.37002283700508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IF(COUNT(AQ11,AT11,BR11,BU11,CS11,CV11)&gt;0,LARGE((AQ11,AT11,BR11,BU11,CS11,CV11),1),0)</f>
        <v>50.91</v>
      </c>
      <c r="K11" s="8" t="str">
        <f t="shared" si="5"/>
        <v>2023 Domestic 3rd Trial</v>
      </c>
      <c r="L11" s="8">
        <f>IF(COUNT(AQ11,AT11,BR11,BU11,CS11,CV11)&gt;1,LARGE((AQ11,AT11,BR11,BU11,CS11,CV11),2),0)</f>
        <v>50.790000000000006</v>
      </c>
      <c r="M11" s="8" t="str">
        <f t="shared" si="6"/>
        <v>2023 Domestic 3rd Trial</v>
      </c>
      <c r="N11" s="8">
        <f>IF(COUNT(AQ11,AT11,BR11,BU11,CS11,CV11)&gt;2,LARGE((AQ11,AT11,BR11,BU11,CS11,CV11),3),0)</f>
        <v>47.91</v>
      </c>
      <c r="O11" s="8" t="str">
        <f t="shared" si="7"/>
        <v>2023 Elite Canada</v>
      </c>
      <c r="P11" s="8">
        <f t="shared" si="8"/>
        <v>51.430000000000007</v>
      </c>
      <c r="Q11" s="8" t="str">
        <f t="shared" si="9"/>
        <v>2023 Domestic 3rd Trial</v>
      </c>
      <c r="R11" s="8">
        <f t="shared" si="10"/>
        <v>13.1</v>
      </c>
      <c r="S11" s="8" t="str">
        <f t="shared" si="11"/>
        <v>2023 Domestic 3rd Trial</v>
      </c>
      <c r="T11" s="8">
        <f t="shared" si="12"/>
        <v>14.23</v>
      </c>
      <c r="U11" s="8" t="str">
        <f t="shared" si="13"/>
        <v>2023 Domestic 3rd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 t="shared" si="17"/>
        <v>3.8</v>
      </c>
      <c r="AP11" s="39">
        <f t="shared" si="18"/>
        <v>4.32</v>
      </c>
      <c r="AQ11" s="41">
        <f t="shared" si="19"/>
        <v>15.02</v>
      </c>
      <c r="AR11" s="41">
        <f t="shared" si="20"/>
        <v>12</v>
      </c>
      <c r="AS11" s="41">
        <f t="shared" si="21"/>
        <v>13.11</v>
      </c>
      <c r="AT11" s="41">
        <f t="shared" si="22"/>
        <v>47.91</v>
      </c>
      <c r="AU11" s="41">
        <f t="shared" si="23"/>
        <v>47.91</v>
      </c>
      <c r="AV11" s="41">
        <f t="shared" si="24"/>
        <v>11.3</v>
      </c>
      <c r="AW11" s="41">
        <f t="shared" si="25"/>
        <v>12.49</v>
      </c>
      <c r="AX11" s="41">
        <f t="shared" si="26"/>
        <v>44.589999999999996</v>
      </c>
      <c r="AY11" s="41">
        <f t="shared" si="27"/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 t="shared" si="28"/>
        <v>6.5</v>
      </c>
      <c r="BQ11" s="40">
        <f t="shared" si="29"/>
        <v>6.94</v>
      </c>
      <c r="BR11" s="11">
        <f t="shared" si="30"/>
        <v>24.94</v>
      </c>
      <c r="BS11" s="11">
        <f t="shared" si="31"/>
        <v>1.5</v>
      </c>
      <c r="BT11" s="11">
        <f t="shared" si="32"/>
        <v>1.45</v>
      </c>
      <c r="BU11" s="11">
        <f t="shared" si="33"/>
        <v>5.55</v>
      </c>
      <c r="BV11" s="11">
        <f t="shared" si="34"/>
        <v>24.94</v>
      </c>
      <c r="BW11" s="11" t="str">
        <f t="shared" si="35"/>
        <v/>
      </c>
      <c r="BX11" s="11" t="str">
        <f t="shared" si="36"/>
        <v/>
      </c>
      <c r="BY11" s="11" t="str">
        <f t="shared" si="37"/>
        <v/>
      </c>
      <c r="BZ11" s="11">
        <f t="shared" si="38"/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 t="shared" si="39"/>
        <v>12.9</v>
      </c>
      <c r="CR11" s="39">
        <f t="shared" si="40"/>
        <v>14.09</v>
      </c>
      <c r="CS11" s="41">
        <f t="shared" si="41"/>
        <v>50.790000000000006</v>
      </c>
      <c r="CT11" s="41">
        <f t="shared" si="42"/>
        <v>12.9</v>
      </c>
      <c r="CU11" s="41">
        <f t="shared" si="43"/>
        <v>14.01</v>
      </c>
      <c r="CV11" s="41">
        <f t="shared" si="44"/>
        <v>50.91</v>
      </c>
      <c r="CW11" s="41">
        <f t="shared" si="45"/>
        <v>50.91</v>
      </c>
      <c r="CX11" s="41">
        <f t="shared" si="46"/>
        <v>13.1</v>
      </c>
      <c r="CY11" s="41">
        <f t="shared" si="47"/>
        <v>14.23</v>
      </c>
      <c r="CZ11" s="41">
        <f t="shared" si="48"/>
        <v>51.430000000000007</v>
      </c>
      <c r="DA11" s="41">
        <f t="shared" si="49"/>
        <v>102.34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10.75</v>
      </c>
      <c r="SW11" s="23">
        <f t="shared" si="221"/>
        <v>6.9</v>
      </c>
      <c r="SX11" s="23">
        <f t="shared" si="222"/>
        <v>9.6999999999999993</v>
      </c>
      <c r="SY11" s="23">
        <f t="shared" si="223"/>
        <v>10.515000000000001</v>
      </c>
      <c r="SZ11" s="23">
        <f t="shared" si="224"/>
        <v>0</v>
      </c>
      <c r="TA11" s="23">
        <f t="shared" si="225"/>
        <v>8.2000000000000011</v>
      </c>
      <c r="TB11" s="23">
        <f t="shared" si="226"/>
        <v>5.0999999999999996</v>
      </c>
      <c r="TC11" s="23">
        <f t="shared" si="227"/>
        <v>7.2</v>
      </c>
      <c r="TD11" s="23">
        <f t="shared" si="228"/>
        <v>7.7299999999999995</v>
      </c>
      <c r="TE11" s="23">
        <f t="shared" si="229"/>
        <v>0</v>
      </c>
      <c r="TF11" s="23">
        <f t="shared" si="230"/>
        <v>7.3</v>
      </c>
      <c r="TG11" s="23">
        <f t="shared" si="231"/>
        <v>4.75</v>
      </c>
      <c r="TH11" s="23">
        <f t="shared" si="232"/>
        <v>6.55</v>
      </c>
      <c r="TI11" s="23">
        <f t="shared" si="233"/>
        <v>7.1150000000000002</v>
      </c>
      <c r="TJ11" s="23">
        <f t="shared" si="234"/>
        <v>0</v>
      </c>
      <c r="TK11" s="28" t="s">
        <v>57</v>
      </c>
      <c r="TL11" s="41">
        <f t="shared" si="235"/>
        <v>9.6999999999999993</v>
      </c>
      <c r="TM11" s="41">
        <f t="shared" si="236"/>
        <v>10.515000000000001</v>
      </c>
      <c r="TN11" s="41">
        <f t="shared" si="237"/>
        <v>37.864999999999995</v>
      </c>
      <c r="TO11" s="41">
        <f t="shared" si="238"/>
        <v>7.2</v>
      </c>
      <c r="TP11" s="41">
        <f t="shared" si="239"/>
        <v>7.7299999999999995</v>
      </c>
      <c r="TQ11" s="41">
        <f t="shared" si="240"/>
        <v>28.23</v>
      </c>
      <c r="TR11" s="41">
        <f t="shared" si="241"/>
        <v>37.864999999999995</v>
      </c>
      <c r="TS11" s="41">
        <f t="shared" si="242"/>
        <v>6.55</v>
      </c>
      <c r="TT11" s="41">
        <f t="shared" si="243"/>
        <v>7.1150000000000002</v>
      </c>
      <c r="TU11" s="41">
        <f t="shared" si="244"/>
        <v>25.715000000000003</v>
      </c>
      <c r="TV11" s="41">
        <f t="shared" si="245"/>
        <v>63.58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83</v>
      </c>
      <c r="C12" s="4" t="s">
        <v>6</v>
      </c>
      <c r="D12" s="4">
        <v>2002</v>
      </c>
      <c r="E12" s="9">
        <f t="shared" si="0"/>
        <v>226.17002261700503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50.08</v>
      </c>
      <c r="K12" s="8" t="str">
        <f t="shared" si="5"/>
        <v>2023 Nationals</v>
      </c>
      <c r="L12" s="8">
        <f>IF(COUNT(AQ12,AT12,BR12,BU12,CS12,CV12)&gt;1,LARGE((AQ12,AT12,BR12,BU12,CS12,CV12),2),0)</f>
        <v>49.940000000000005</v>
      </c>
      <c r="M12" s="8" t="str">
        <f t="shared" si="6"/>
        <v>2023 Nationals</v>
      </c>
      <c r="N12" s="8">
        <f>IF(COUNT(AQ12,AT12,BR12,BU12,CS12,CV12)&gt;2,LARGE((AQ12,AT12,BR12,BU12,CS12,CV12),3),0)</f>
        <v>49.150000000000006</v>
      </c>
      <c r="O12" s="8" t="str">
        <f t="shared" si="7"/>
        <v>2023 Domestic 3rd Trial</v>
      </c>
      <c r="P12" s="8">
        <f t="shared" si="8"/>
        <v>50.56</v>
      </c>
      <c r="Q12" s="8" t="str">
        <f t="shared" si="9"/>
        <v>2023 Nationals</v>
      </c>
      <c r="R12" s="8">
        <f t="shared" si="10"/>
        <v>12.7</v>
      </c>
      <c r="S12" s="8" t="str">
        <f t="shared" si="11"/>
        <v>2023 Nationals</v>
      </c>
      <c r="T12" s="8">
        <f t="shared" si="12"/>
        <v>13.74</v>
      </c>
      <c r="U12" s="8" t="str">
        <f t="shared" si="13"/>
        <v>2023 Nationals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 t="shared" si="17"/>
        <v>8.1</v>
      </c>
      <c r="AP12" s="39">
        <f t="shared" si="18"/>
        <v>8.59</v>
      </c>
      <c r="AQ12" s="41">
        <f t="shared" si="19"/>
        <v>29.889999999999997</v>
      </c>
      <c r="AR12" s="41">
        <f t="shared" si="20"/>
        <v>0.6</v>
      </c>
      <c r="AS12" s="41">
        <f t="shared" si="21"/>
        <v>1.59</v>
      </c>
      <c r="AT12" s="41">
        <f t="shared" si="22"/>
        <v>5.09</v>
      </c>
      <c r="AU12" s="41">
        <f t="shared" si="23"/>
        <v>29.889999999999997</v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>
        <f t="shared" si="27"/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 t="shared" si="28"/>
        <v>12.7</v>
      </c>
      <c r="BQ12" s="40">
        <f t="shared" si="29"/>
        <v>13.74</v>
      </c>
      <c r="BR12" s="11">
        <f t="shared" si="30"/>
        <v>49.940000000000005</v>
      </c>
      <c r="BS12" s="11">
        <f t="shared" si="31"/>
        <v>12.4</v>
      </c>
      <c r="BT12" s="11">
        <f t="shared" si="32"/>
        <v>13.88</v>
      </c>
      <c r="BU12" s="11">
        <f t="shared" si="33"/>
        <v>50.08</v>
      </c>
      <c r="BV12" s="11">
        <f t="shared" si="34"/>
        <v>50.08</v>
      </c>
      <c r="BW12" s="11">
        <f t="shared" si="35"/>
        <v>12</v>
      </c>
      <c r="BX12" s="11">
        <f t="shared" si="36"/>
        <v>14.16</v>
      </c>
      <c r="BY12" s="11">
        <f t="shared" si="37"/>
        <v>50.56</v>
      </c>
      <c r="BZ12" s="11">
        <f t="shared" si="38"/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 t="shared" si="39"/>
        <v>11.3</v>
      </c>
      <c r="CR12" s="39">
        <f t="shared" si="40"/>
        <v>14.45</v>
      </c>
      <c r="CS12" s="41">
        <f t="shared" si="41"/>
        <v>49.150000000000006</v>
      </c>
      <c r="CT12" s="41">
        <f t="shared" si="42"/>
        <v>12.4</v>
      </c>
      <c r="CU12" s="41">
        <f t="shared" si="43"/>
        <v>14.05</v>
      </c>
      <c r="CV12" s="41">
        <f t="shared" si="44"/>
        <v>46.95</v>
      </c>
      <c r="CW12" s="41">
        <f t="shared" si="45"/>
        <v>49.150000000000006</v>
      </c>
      <c r="CX12" s="41">
        <f t="shared" si="46"/>
        <v>12.4</v>
      </c>
      <c r="CY12" s="41">
        <f t="shared" si="47"/>
        <v>14.16</v>
      </c>
      <c r="CZ12" s="41">
        <f t="shared" si="48"/>
        <v>49.459999999999994</v>
      </c>
      <c r="DA12" s="41">
        <f t="shared" si="49"/>
        <v>98.61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>
        <v>13.7</v>
      </c>
      <c r="FU12" s="17">
        <v>9.3000000000000007</v>
      </c>
      <c r="FV12" s="17">
        <v>11.8</v>
      </c>
      <c r="FW12" s="17">
        <v>13.62</v>
      </c>
      <c r="FX12" s="17">
        <v>0</v>
      </c>
      <c r="FY12" s="17">
        <v>1.2</v>
      </c>
      <c r="FZ12" s="17">
        <v>0.7</v>
      </c>
      <c r="GA12" s="17">
        <v>1.7</v>
      </c>
      <c r="GB12" s="17">
        <v>1.52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 t="shared" si="80"/>
        <v>11.8</v>
      </c>
      <c r="GO12" s="41">
        <f t="shared" si="81"/>
        <v>13.62</v>
      </c>
      <c r="GP12" s="41">
        <f t="shared" si="82"/>
        <v>48.419999999999995</v>
      </c>
      <c r="GQ12" s="41">
        <f t="shared" si="83"/>
        <v>1.7</v>
      </c>
      <c r="GR12" s="41">
        <f t="shared" si="84"/>
        <v>1.52</v>
      </c>
      <c r="GS12" s="41">
        <f t="shared" si="85"/>
        <v>5.1199999999999992</v>
      </c>
      <c r="GT12" s="41">
        <f t="shared" si="86"/>
        <v>48.419999999999995</v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>
        <f t="shared" si="93"/>
        <v>48.419999999999995</v>
      </c>
      <c r="HB12" s="18">
        <v>11.6</v>
      </c>
      <c r="HC12" s="18">
        <v>8.9</v>
      </c>
      <c r="HD12" s="18">
        <v>11.7</v>
      </c>
      <c r="HE12" s="18">
        <v>13.42</v>
      </c>
      <c r="HF12" s="18">
        <v>0</v>
      </c>
      <c r="HG12" s="18">
        <v>1.2</v>
      </c>
      <c r="HH12" s="18">
        <v>1</v>
      </c>
      <c r="HI12" s="18">
        <v>1.7</v>
      </c>
      <c r="HJ12" s="18">
        <v>1.5</v>
      </c>
      <c r="HK12" s="18">
        <v>0</v>
      </c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>
        <f t="shared" si="94"/>
        <v>11.7</v>
      </c>
      <c r="HW12" s="11">
        <f t="shared" si="95"/>
        <v>13.42</v>
      </c>
      <c r="HX12" s="11">
        <f t="shared" si="96"/>
        <v>45.620000000000005</v>
      </c>
      <c r="HY12" s="11">
        <f t="shared" si="97"/>
        <v>1.7</v>
      </c>
      <c r="HZ12" s="11">
        <f t="shared" si="98"/>
        <v>1.5</v>
      </c>
      <c r="IA12" s="11">
        <f t="shared" si="99"/>
        <v>5.4</v>
      </c>
      <c r="IB12" s="11">
        <f t="shared" si="100"/>
        <v>45.620000000000005</v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>
        <f t="shared" si="107"/>
        <v>45.620000000000005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14.5</v>
      </c>
      <c r="SW12" s="23">
        <f t="shared" si="221"/>
        <v>8.9499999999999993</v>
      </c>
      <c r="SX12" s="23">
        <f t="shared" si="222"/>
        <v>12</v>
      </c>
      <c r="SY12" s="23">
        <f t="shared" si="223"/>
        <v>14.094999999999999</v>
      </c>
      <c r="SZ12" s="23">
        <f t="shared" si="224"/>
        <v>0</v>
      </c>
      <c r="TA12" s="23">
        <f t="shared" si="225"/>
        <v>12.95</v>
      </c>
      <c r="TB12" s="23">
        <f t="shared" si="226"/>
        <v>9.1999999999999993</v>
      </c>
      <c r="TC12" s="23">
        <f t="shared" si="227"/>
        <v>12.4</v>
      </c>
      <c r="TD12" s="23">
        <f t="shared" si="228"/>
        <v>13.965</v>
      </c>
      <c r="TE12" s="23">
        <f t="shared" si="229"/>
        <v>0</v>
      </c>
      <c r="TF12" s="23">
        <f t="shared" si="230"/>
        <v>14.55</v>
      </c>
      <c r="TG12" s="23">
        <f t="shared" si="231"/>
        <v>9.1</v>
      </c>
      <c r="TH12" s="23">
        <f t="shared" si="232"/>
        <v>12.2</v>
      </c>
      <c r="TI12" s="23">
        <f t="shared" si="233"/>
        <v>14.16</v>
      </c>
      <c r="TJ12" s="23">
        <f t="shared" si="234"/>
        <v>0</v>
      </c>
      <c r="TK12" s="28" t="s">
        <v>57</v>
      </c>
      <c r="TL12" s="41">
        <f t="shared" si="235"/>
        <v>12</v>
      </c>
      <c r="TM12" s="41">
        <f t="shared" si="236"/>
        <v>14.094999999999999</v>
      </c>
      <c r="TN12" s="41">
        <f t="shared" si="237"/>
        <v>49.545000000000002</v>
      </c>
      <c r="TO12" s="41">
        <f t="shared" si="238"/>
        <v>12.4</v>
      </c>
      <c r="TP12" s="41">
        <f t="shared" si="239"/>
        <v>13.965</v>
      </c>
      <c r="TQ12" s="41">
        <f t="shared" si="240"/>
        <v>48.515000000000001</v>
      </c>
      <c r="TR12" s="41">
        <f t="shared" si="241"/>
        <v>49.545000000000002</v>
      </c>
      <c r="TS12" s="41">
        <f t="shared" si="242"/>
        <v>12.2</v>
      </c>
      <c r="TT12" s="41">
        <f t="shared" si="243"/>
        <v>14.16</v>
      </c>
      <c r="TU12" s="41">
        <f t="shared" si="244"/>
        <v>50.009999999999991</v>
      </c>
      <c r="TV12" s="41">
        <f t="shared" si="245"/>
        <v>99.554999999999993</v>
      </c>
    </row>
    <row r="13" spans="1:542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27</v>
      </c>
      <c r="C13" s="4" t="s">
        <v>6</v>
      </c>
      <c r="D13" s="4">
        <v>1992</v>
      </c>
      <c r="E13" s="9">
        <f t="shared" si="0"/>
        <v>82.080002878999991</v>
      </c>
      <c r="F13" s="3" t="str">
        <f t="shared" si="1"/>
        <v>P</v>
      </c>
      <c r="G13" s="3" t="str">
        <f t="shared" si="2"/>
        <v>P</v>
      </c>
      <c r="H13" s="37" t="str">
        <f t="shared" si="3"/>
        <v>Excellence</v>
      </c>
      <c r="I13" s="3" t="str">
        <f t="shared" si="4"/>
        <v>P</v>
      </c>
      <c r="J13" s="8">
        <f>IF(COUNT(AQ13,AT13,BR13,BU13,CS13,CV13)&gt;0,LARGE((AQ13,AT13,BR13,BU13,CS13,CV13),1),0)</f>
        <v>0</v>
      </c>
      <c r="K13" s="8" t="str">
        <f t="shared" si="5"/>
        <v/>
      </c>
      <c r="L13" s="8">
        <f>IF(COUNT(AQ13,AT13,BR13,BU13,CS13,CV13)&gt;1,LARGE((AQ13,AT13,BR13,BU13,CS13,CV13),2),0)</f>
        <v>0</v>
      </c>
      <c r="M13" s="8" t="str">
        <f t="shared" si="6"/>
        <v/>
      </c>
      <c r="N13" s="8">
        <f>IF(COUNT(AQ13,AT13,BR13,BU13,CS13,CV13)&gt;2,LARGE((AQ13,AT13,BR13,BU13,CS13,CV13),3),0)</f>
        <v>0</v>
      </c>
      <c r="O13" s="8" t="str">
        <f t="shared" si="7"/>
        <v/>
      </c>
      <c r="P13" s="8">
        <f t="shared" si="8"/>
        <v>0</v>
      </c>
      <c r="Q13" s="8" t="str">
        <f t="shared" si="9"/>
        <v/>
      </c>
      <c r="R13" s="8">
        <f t="shared" si="10"/>
        <v>14</v>
      </c>
      <c r="S13" s="8" t="str">
        <f t="shared" si="11"/>
        <v>2023 World Cup POR 2 (July 8)</v>
      </c>
      <c r="T13" s="8">
        <f t="shared" si="12"/>
        <v>14.79</v>
      </c>
      <c r="U13" s="8" t="str">
        <f t="shared" si="13"/>
        <v>2023 World Cup POR 2 (July 8)</v>
      </c>
      <c r="V13" s="8">
        <f t="shared" si="14"/>
        <v>53.29</v>
      </c>
      <c r="W13" s="11" t="str">
        <f t="shared" si="15"/>
        <v>(Prelim)</v>
      </c>
      <c r="X13" s="8" t="str">
        <f t="shared" si="16"/>
        <v>2023 Pan Am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 t="shared" si="17"/>
        <v/>
      </c>
      <c r="AP13" s="39" t="str">
        <f t="shared" si="18"/>
        <v/>
      </c>
      <c r="AQ13" s="41" t="str">
        <f t="shared" si="19"/>
        <v/>
      </c>
      <c r="AR13" s="41" t="str">
        <f t="shared" si="20"/>
        <v/>
      </c>
      <c r="AS13" s="41" t="str">
        <f t="shared" si="21"/>
        <v/>
      </c>
      <c r="AT13" s="41" t="str">
        <f t="shared" si="22"/>
        <v/>
      </c>
      <c r="AU13" s="41" t="str">
        <f t="shared" si="23"/>
        <v/>
      </c>
      <c r="AV13" s="41" t="str">
        <f t="shared" si="24"/>
        <v/>
      </c>
      <c r="AW13" s="41" t="str">
        <f t="shared" si="25"/>
        <v/>
      </c>
      <c r="AX13" s="41" t="str">
        <f t="shared" si="26"/>
        <v/>
      </c>
      <c r="AY13" s="41" t="str">
        <f t="shared" si="27"/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 t="shared" si="28"/>
        <v/>
      </c>
      <c r="BQ13" s="40" t="str">
        <f t="shared" si="29"/>
        <v/>
      </c>
      <c r="BR13" s="11" t="str">
        <f t="shared" si="30"/>
        <v/>
      </c>
      <c r="BS13" s="11" t="str">
        <f t="shared" si="31"/>
        <v/>
      </c>
      <c r="BT13" s="11" t="str">
        <f t="shared" si="32"/>
        <v/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 t="str">
        <f t="shared" si="36"/>
        <v/>
      </c>
      <c r="BY13" s="11" t="str">
        <f t="shared" si="37"/>
        <v/>
      </c>
      <c r="BZ13" s="11" t="str">
        <f t="shared" si="38"/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 t="shared" si="39"/>
        <v/>
      </c>
      <c r="CR13" s="39" t="str">
        <f t="shared" si="40"/>
        <v/>
      </c>
      <c r="CS13" s="41" t="str">
        <f t="shared" si="41"/>
        <v/>
      </c>
      <c r="CT13" s="41" t="str">
        <f t="shared" si="42"/>
        <v/>
      </c>
      <c r="CU13" s="41" t="str">
        <f t="shared" si="43"/>
        <v/>
      </c>
      <c r="CV13" s="41" t="str">
        <f t="shared" si="44"/>
        <v/>
      </c>
      <c r="CW13" s="41" t="str">
        <f t="shared" si="45"/>
        <v/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 t="str">
        <f t="shared" si="49"/>
        <v/>
      </c>
      <c r="DB13" s="52">
        <f t="shared" si="50"/>
        <v>53.29</v>
      </c>
      <c r="DC13" s="52">
        <f t="shared" si="51"/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>
        <v>15</v>
      </c>
      <c r="JS13" s="18">
        <v>9.4</v>
      </c>
      <c r="JT13" s="18">
        <v>14</v>
      </c>
      <c r="JU13" s="18">
        <v>14.71</v>
      </c>
      <c r="JV13" s="18">
        <v>0</v>
      </c>
      <c r="JW13" s="18">
        <v>15</v>
      </c>
      <c r="JX13" s="18">
        <v>9.6</v>
      </c>
      <c r="JY13" s="18">
        <v>14</v>
      </c>
      <c r="JZ13" s="18">
        <v>14.69</v>
      </c>
      <c r="KA13" s="18">
        <v>0</v>
      </c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>
        <f t="shared" si="122"/>
        <v>14</v>
      </c>
      <c r="KM13" s="11">
        <f t="shared" si="123"/>
        <v>14.71</v>
      </c>
      <c r="KN13" s="11">
        <f t="shared" si="124"/>
        <v>53.11</v>
      </c>
      <c r="KO13" s="11">
        <f t="shared" si="125"/>
        <v>14</v>
      </c>
      <c r="KP13" s="11">
        <f t="shared" si="126"/>
        <v>14.69</v>
      </c>
      <c r="KQ13" s="11">
        <f t="shared" si="127"/>
        <v>53.29</v>
      </c>
      <c r="KR13" s="11">
        <f t="shared" si="128"/>
        <v>53.29</v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>
        <f t="shared" si="135"/>
        <v>53.29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>
        <v>15.2</v>
      </c>
      <c r="LP13" s="17">
        <v>9.5</v>
      </c>
      <c r="LQ13" s="17">
        <v>14</v>
      </c>
      <c r="LR13" s="17">
        <v>14.54</v>
      </c>
      <c r="LS13" s="17">
        <v>0</v>
      </c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>
        <f t="shared" si="146"/>
        <v>14</v>
      </c>
      <c r="ME13" s="41">
        <f t="shared" si="147"/>
        <v>14.54</v>
      </c>
      <c r="MF13" s="41">
        <f t="shared" si="148"/>
        <v>53.24</v>
      </c>
      <c r="MG13" s="41">
        <f t="shared" si="149"/>
        <v>53.24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>
        <v>13.8</v>
      </c>
      <c r="NQ13" s="17">
        <v>9.6</v>
      </c>
      <c r="NR13" s="17">
        <v>14</v>
      </c>
      <c r="NS13" s="17">
        <v>14.79</v>
      </c>
      <c r="NT13" s="17">
        <v>0</v>
      </c>
      <c r="NU13" s="17">
        <v>14.1</v>
      </c>
      <c r="NV13" s="17">
        <v>9</v>
      </c>
      <c r="NW13" s="17">
        <v>13.7</v>
      </c>
      <c r="NX13" s="17">
        <v>14.43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>
        <f t="shared" si="164"/>
        <v>14</v>
      </c>
      <c r="OK13" s="41">
        <f t="shared" si="165"/>
        <v>14.79</v>
      </c>
      <c r="OL13" s="41">
        <f t="shared" si="166"/>
        <v>52.19</v>
      </c>
      <c r="OM13" s="41">
        <f t="shared" si="167"/>
        <v>13.7</v>
      </c>
      <c r="ON13" s="41">
        <f t="shared" si="168"/>
        <v>14.43</v>
      </c>
      <c r="OO13" s="41">
        <f t="shared" si="169"/>
        <v>51.23</v>
      </c>
      <c r="OP13" s="41">
        <f t="shared" si="170"/>
        <v>52.19</v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>
        <f t="shared" si="177"/>
        <v>52.19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0</v>
      </c>
      <c r="SW13" s="23">
        <f t="shared" si="221"/>
        <v>0</v>
      </c>
      <c r="SX13" s="23">
        <f t="shared" si="222"/>
        <v>0</v>
      </c>
      <c r="SY13" s="23">
        <f t="shared" si="223"/>
        <v>0</v>
      </c>
      <c r="SZ13" s="23">
        <f t="shared" si="224"/>
        <v>0</v>
      </c>
      <c r="TA13" s="23">
        <f t="shared" si="225"/>
        <v>0</v>
      </c>
      <c r="TB13" s="23">
        <f t="shared" si="226"/>
        <v>0</v>
      </c>
      <c r="TC13" s="23">
        <f t="shared" si="227"/>
        <v>0</v>
      </c>
      <c r="TD13" s="23">
        <f t="shared" si="228"/>
        <v>0</v>
      </c>
      <c r="TE13" s="23">
        <f t="shared" si="229"/>
        <v>0</v>
      </c>
      <c r="TF13" s="23">
        <f t="shared" si="230"/>
        <v>0</v>
      </c>
      <c r="TG13" s="23">
        <f t="shared" si="231"/>
        <v>0</v>
      </c>
      <c r="TH13" s="23">
        <f t="shared" si="232"/>
        <v>0</v>
      </c>
      <c r="TI13" s="23">
        <f t="shared" si="233"/>
        <v>0</v>
      </c>
      <c r="TJ13" s="23">
        <f t="shared" si="234"/>
        <v>0</v>
      </c>
      <c r="TK13" s="28" t="s">
        <v>57</v>
      </c>
      <c r="TL13" s="41" t="str">
        <f t="shared" si="235"/>
        <v/>
      </c>
      <c r="TM13" s="41" t="str">
        <f t="shared" si="236"/>
        <v/>
      </c>
      <c r="TN13" s="41" t="str">
        <f t="shared" si="237"/>
        <v/>
      </c>
      <c r="TO13" s="41" t="str">
        <f t="shared" si="238"/>
        <v/>
      </c>
      <c r="TP13" s="41" t="str">
        <f t="shared" si="239"/>
        <v/>
      </c>
      <c r="TQ13" s="41" t="str">
        <f t="shared" si="240"/>
        <v/>
      </c>
      <c r="TR13" s="41" t="str">
        <f t="shared" si="241"/>
        <v/>
      </c>
      <c r="TS13" s="41" t="str">
        <f t="shared" si="242"/>
        <v/>
      </c>
      <c r="TT13" s="41" t="str">
        <f t="shared" si="243"/>
        <v/>
      </c>
      <c r="TU13" s="41" t="str">
        <f t="shared" si="244"/>
        <v/>
      </c>
      <c r="TV13" s="41" t="str">
        <f t="shared" si="245"/>
        <v/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11</v>
      </c>
      <c r="B14" s="5" t="s">
        <v>191</v>
      </c>
      <c r="C14" s="4" t="s">
        <v>3</v>
      </c>
      <c r="D14" s="4">
        <v>2006</v>
      </c>
      <c r="E14" s="9">
        <f t="shared" si="0"/>
        <v>225.12002250200493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49.31</v>
      </c>
      <c r="K14" s="8" t="str">
        <f t="shared" si="5"/>
        <v>2023 Elite Canada</v>
      </c>
      <c r="L14" s="8">
        <f>IF(COUNT(AQ14,AT14,BR14,BU14,CS14,CV14)&gt;1,LARGE((AQ14,AT14,BR14,BU14,CS14,CV14),2),0)</f>
        <v>49.09</v>
      </c>
      <c r="M14" s="8" t="str">
        <f t="shared" si="6"/>
        <v>2023 Elite Canada</v>
      </c>
      <c r="N14" s="8">
        <f>IF(COUNT(AQ14,AT14,BR14,BU14,CS14,CV14)&gt;2,LARGE((AQ14,AT14,BR14,BU14,CS14,CV14),3),0)</f>
        <v>48.790000000000006</v>
      </c>
      <c r="O14" s="8" t="str">
        <f t="shared" si="7"/>
        <v>2023 Domestic 3rd Trial</v>
      </c>
      <c r="P14" s="8">
        <f t="shared" si="8"/>
        <v>50.55</v>
      </c>
      <c r="Q14" s="8" t="str">
        <f t="shared" si="9"/>
        <v>2023 Elite Canada</v>
      </c>
      <c r="R14" s="8">
        <f t="shared" si="10"/>
        <v>13</v>
      </c>
      <c r="S14" s="8" t="str">
        <f t="shared" si="11"/>
        <v>2023 Nationals</v>
      </c>
      <c r="T14" s="8">
        <f t="shared" si="12"/>
        <v>14.280000000000001</v>
      </c>
      <c r="U14" s="8" t="str">
        <f t="shared" si="13"/>
        <v>2023 Domestic 3rd Trial</v>
      </c>
      <c r="V14" s="8">
        <f t="shared" si="14"/>
        <v>9.9999999999994316E-2</v>
      </c>
      <c r="W14" s="11" t="str">
        <f t="shared" si="15"/>
        <v>(Prelim)</v>
      </c>
      <c r="X14" s="8" t="str">
        <f t="shared" si="16"/>
        <v>2023 Pan Am Club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 t="shared" si="17"/>
        <v>11.3</v>
      </c>
      <c r="AP14" s="39">
        <f t="shared" si="18"/>
        <v>13.99</v>
      </c>
      <c r="AQ14" s="41">
        <f t="shared" si="19"/>
        <v>49.09</v>
      </c>
      <c r="AR14" s="41">
        <f t="shared" si="20"/>
        <v>11.1</v>
      </c>
      <c r="AS14" s="41">
        <f t="shared" si="21"/>
        <v>13.91</v>
      </c>
      <c r="AT14" s="41">
        <f t="shared" si="22"/>
        <v>49.31</v>
      </c>
      <c r="AU14" s="41">
        <f t="shared" si="23"/>
        <v>49.31</v>
      </c>
      <c r="AV14" s="41">
        <f t="shared" si="24"/>
        <v>12.4</v>
      </c>
      <c r="AW14" s="41">
        <f t="shared" si="25"/>
        <v>14.75</v>
      </c>
      <c r="AX14" s="41">
        <f t="shared" si="26"/>
        <v>50.55</v>
      </c>
      <c r="AY14" s="41">
        <f t="shared" si="27"/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 t="shared" si="28"/>
        <v>1.5</v>
      </c>
      <c r="BQ14" s="40">
        <f t="shared" si="29"/>
        <v>1.52</v>
      </c>
      <c r="BR14" s="11">
        <f t="shared" si="30"/>
        <v>5.6199999999999992</v>
      </c>
      <c r="BS14" s="11">
        <f t="shared" si="31"/>
        <v>12</v>
      </c>
      <c r="BT14" s="11">
        <f t="shared" si="32"/>
        <v>13.37</v>
      </c>
      <c r="BU14" s="11">
        <f t="shared" si="33"/>
        <v>48.269999999999996</v>
      </c>
      <c r="BV14" s="11">
        <f t="shared" si="34"/>
        <v>48.269999999999996</v>
      </c>
      <c r="BW14" s="11">
        <f t="shared" si="35"/>
        <v>13</v>
      </c>
      <c r="BX14" s="11">
        <f t="shared" si="36"/>
        <v>13.81</v>
      </c>
      <c r="BY14" s="11">
        <f t="shared" si="37"/>
        <v>49.010000000000005</v>
      </c>
      <c r="BZ14" s="11">
        <f t="shared" si="38"/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 t="shared" si="39"/>
        <v>6.4</v>
      </c>
      <c r="CR14" s="39">
        <f t="shared" si="40"/>
        <v>7.7549999999999999</v>
      </c>
      <c r="CS14" s="41">
        <f t="shared" si="41"/>
        <v>27.355</v>
      </c>
      <c r="CT14" s="41">
        <f t="shared" si="42"/>
        <v>11.55</v>
      </c>
      <c r="CU14" s="41">
        <f t="shared" si="43"/>
        <v>13.64</v>
      </c>
      <c r="CV14" s="41">
        <f t="shared" si="44"/>
        <v>48.790000000000006</v>
      </c>
      <c r="CW14" s="41">
        <f t="shared" si="45"/>
        <v>48.790000000000006</v>
      </c>
      <c r="CX14" s="41">
        <f t="shared" si="46"/>
        <v>12.7</v>
      </c>
      <c r="CY14" s="41">
        <f t="shared" si="47"/>
        <v>14.280000000000001</v>
      </c>
      <c r="CZ14" s="41">
        <f t="shared" si="48"/>
        <v>49.78</v>
      </c>
      <c r="DA14" s="41">
        <f t="shared" si="49"/>
        <v>98.570000000000007</v>
      </c>
      <c r="DB14" s="52">
        <f t="shared" si="50"/>
        <v>9.9999999999994316E-2</v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>
        <v>12.1</v>
      </c>
      <c r="FZ14" s="17">
        <v>9.1</v>
      </c>
      <c r="GA14" s="17">
        <v>11.3</v>
      </c>
      <c r="GB14" s="17">
        <v>13.48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>
        <f t="shared" si="83"/>
        <v>11.3</v>
      </c>
      <c r="GR14" s="41">
        <f t="shared" si="84"/>
        <v>13.48</v>
      </c>
      <c r="GS14" s="41">
        <f t="shared" si="85"/>
        <v>45.980000000000004</v>
      </c>
      <c r="GT14" s="41">
        <f t="shared" si="86"/>
        <v>45.980000000000004</v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>
        <f t="shared" si="93"/>
        <v>45.980000000000004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>
        <v>13.3</v>
      </c>
      <c r="IK14" s="17">
        <v>9.3000000000000007</v>
      </c>
      <c r="IL14" s="17">
        <v>12.4</v>
      </c>
      <c r="IM14" s="17">
        <v>13.89</v>
      </c>
      <c r="IN14" s="17">
        <v>0</v>
      </c>
      <c r="IO14" s="17">
        <v>13</v>
      </c>
      <c r="IP14" s="17">
        <v>9.1</v>
      </c>
      <c r="IQ14" s="17">
        <v>12.2</v>
      </c>
      <c r="IR14" s="17">
        <v>13.41</v>
      </c>
      <c r="IS14" s="17">
        <v>0</v>
      </c>
      <c r="IT14" s="17"/>
      <c r="IU14" s="17"/>
      <c r="IV14" s="17"/>
      <c r="IW14" s="17"/>
      <c r="IX14" s="17"/>
      <c r="IY14" s="17">
        <v>1.4</v>
      </c>
      <c r="IZ14" s="17">
        <v>0.9</v>
      </c>
      <c r="JA14" s="17">
        <v>1.5</v>
      </c>
      <c r="JB14" s="17">
        <v>1.5</v>
      </c>
      <c r="JC14" s="17">
        <v>0</v>
      </c>
      <c r="JD14" s="41">
        <f t="shared" si="108"/>
        <v>12.4</v>
      </c>
      <c r="JE14" s="41">
        <f t="shared" si="109"/>
        <v>13.89</v>
      </c>
      <c r="JF14" s="41">
        <f t="shared" si="110"/>
        <v>48.89</v>
      </c>
      <c r="JG14" s="41">
        <f t="shared" si="111"/>
        <v>12.2</v>
      </c>
      <c r="JH14" s="41">
        <f t="shared" si="112"/>
        <v>13.41</v>
      </c>
      <c r="JI14" s="41">
        <f t="shared" si="113"/>
        <v>47.709999999999994</v>
      </c>
      <c r="JJ14" s="41">
        <f t="shared" si="114"/>
        <v>48.89</v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>
        <f t="shared" si="118"/>
        <v>1.5</v>
      </c>
      <c r="JO14" s="41">
        <f t="shared" si="119"/>
        <v>1.5</v>
      </c>
      <c r="JP14" s="41">
        <f t="shared" si="120"/>
        <v>5.3</v>
      </c>
      <c r="JQ14" s="41">
        <f t="shared" si="121"/>
        <v>54.19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8.2000000000000011</v>
      </c>
      <c r="SW14" s="23">
        <f t="shared" si="221"/>
        <v>5</v>
      </c>
      <c r="SX14" s="23">
        <f t="shared" si="222"/>
        <v>6.4</v>
      </c>
      <c r="SY14" s="23">
        <f t="shared" si="223"/>
        <v>7.7549999999999999</v>
      </c>
      <c r="SZ14" s="23">
        <f t="shared" si="224"/>
        <v>0</v>
      </c>
      <c r="TA14" s="23">
        <f t="shared" si="225"/>
        <v>14.25</v>
      </c>
      <c r="TB14" s="23">
        <f t="shared" si="226"/>
        <v>9.35</v>
      </c>
      <c r="TC14" s="23">
        <f t="shared" si="227"/>
        <v>11.55</v>
      </c>
      <c r="TD14" s="23">
        <f t="shared" si="228"/>
        <v>13.64</v>
      </c>
      <c r="TE14" s="23">
        <f t="shared" si="229"/>
        <v>0</v>
      </c>
      <c r="TF14" s="23">
        <f t="shared" si="230"/>
        <v>13.75</v>
      </c>
      <c r="TG14" s="23">
        <f t="shared" si="231"/>
        <v>9.0500000000000007</v>
      </c>
      <c r="TH14" s="23">
        <f t="shared" si="232"/>
        <v>12.7</v>
      </c>
      <c r="TI14" s="23">
        <f t="shared" si="233"/>
        <v>14.280000000000001</v>
      </c>
      <c r="TJ14" s="23">
        <f t="shared" si="234"/>
        <v>0</v>
      </c>
      <c r="TK14" s="28" t="s">
        <v>57</v>
      </c>
      <c r="TL14" s="41">
        <f t="shared" si="235"/>
        <v>6.4</v>
      </c>
      <c r="TM14" s="41">
        <f t="shared" si="236"/>
        <v>7.7549999999999999</v>
      </c>
      <c r="TN14" s="41">
        <f t="shared" si="237"/>
        <v>27.355</v>
      </c>
      <c r="TO14" s="41">
        <f t="shared" si="238"/>
        <v>11.55</v>
      </c>
      <c r="TP14" s="41">
        <f t="shared" si="239"/>
        <v>13.64</v>
      </c>
      <c r="TQ14" s="41">
        <f t="shared" si="240"/>
        <v>48.790000000000006</v>
      </c>
      <c r="TR14" s="41">
        <f t="shared" si="241"/>
        <v>48.790000000000006</v>
      </c>
      <c r="TS14" s="41">
        <f t="shared" si="242"/>
        <v>12.7</v>
      </c>
      <c r="TT14" s="41">
        <f t="shared" si="243"/>
        <v>14.280000000000001</v>
      </c>
      <c r="TU14" s="41">
        <f t="shared" si="244"/>
        <v>49.78</v>
      </c>
      <c r="TV14" s="41">
        <f t="shared" si="245"/>
        <v>98.570000000000007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155</v>
      </c>
      <c r="C15" s="4" t="s">
        <v>5</v>
      </c>
      <c r="D15" s="4">
        <v>2004</v>
      </c>
      <c r="E15" s="9">
        <f t="shared" si="0"/>
        <v>193.14001931400472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47.3</v>
      </c>
      <c r="K15" s="8" t="str">
        <f t="shared" si="5"/>
        <v>2023 Nationals</v>
      </c>
      <c r="L15" s="8">
        <f>IF(COUNT(AQ15,AT15,BR15,BU15,CS15,CV15)&gt;1,LARGE((AQ15,AT15,BR15,BU15,CS15,CV15),2),0)</f>
        <v>47.12</v>
      </c>
      <c r="M15" s="8" t="str">
        <f t="shared" si="6"/>
        <v>2023 Nationals</v>
      </c>
      <c r="N15" s="8">
        <f>IF(COUNT(AQ15,AT15,BR15,BU15,CS15,CV15)&gt;2,LARGE((AQ15,AT15,BR15,BU15,CS15,CV15),3),0)</f>
        <v>44.34</v>
      </c>
      <c r="O15" s="8" t="str">
        <f t="shared" si="7"/>
        <v>2023 Domestic 3rd Trial</v>
      </c>
      <c r="P15" s="8">
        <f t="shared" si="8"/>
        <v>42.98</v>
      </c>
      <c r="Q15" s="8" t="str">
        <f t="shared" si="9"/>
        <v>2023 Nationals</v>
      </c>
      <c r="R15" s="8">
        <f t="shared" si="10"/>
        <v>11.4</v>
      </c>
      <c r="S15" s="8" t="str">
        <f t="shared" si="11"/>
        <v>2023 Nationals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 t="shared" si="17"/>
        <v/>
      </c>
      <c r="AP15" s="39" t="str">
        <f t="shared" si="18"/>
        <v/>
      </c>
      <c r="AQ15" s="41" t="str">
        <f t="shared" si="19"/>
        <v/>
      </c>
      <c r="AR15" s="41" t="str">
        <f t="shared" si="20"/>
        <v/>
      </c>
      <c r="AS15" s="41" t="str">
        <f t="shared" si="21"/>
        <v/>
      </c>
      <c r="AT15" s="41" t="str">
        <f t="shared" si="22"/>
        <v/>
      </c>
      <c r="AU15" s="41" t="str">
        <f t="shared" si="23"/>
        <v/>
      </c>
      <c r="AV15" s="41" t="str">
        <f t="shared" si="24"/>
        <v/>
      </c>
      <c r="AW15" s="41" t="str">
        <f t="shared" si="25"/>
        <v/>
      </c>
      <c r="AX15" s="41" t="str">
        <f t="shared" si="26"/>
        <v/>
      </c>
      <c r="AY15" s="41" t="str">
        <f t="shared" si="27"/>
        <v/>
      </c>
      <c r="AZ15" s="27">
        <v>13.4</v>
      </c>
      <c r="BA15" s="27">
        <v>8.9</v>
      </c>
      <c r="BB15" s="27">
        <v>11.2</v>
      </c>
      <c r="BC15" s="27">
        <v>13.62</v>
      </c>
      <c r="BD15" s="27">
        <v>0</v>
      </c>
      <c r="BE15" s="27">
        <v>13.7</v>
      </c>
      <c r="BF15" s="27">
        <v>8.6999999999999993</v>
      </c>
      <c r="BG15" s="27">
        <v>11.4</v>
      </c>
      <c r="BH15" s="27">
        <v>13.5</v>
      </c>
      <c r="BI15" s="27">
        <v>0</v>
      </c>
      <c r="BJ15" s="27">
        <v>12.3</v>
      </c>
      <c r="BK15" s="27">
        <v>8.6</v>
      </c>
      <c r="BL15" s="27">
        <v>10.1</v>
      </c>
      <c r="BM15" s="27">
        <v>13.08</v>
      </c>
      <c r="BN15" s="27">
        <v>1.1000000000000001</v>
      </c>
      <c r="BO15" s="29"/>
      <c r="BP15" s="40">
        <f t="shared" si="28"/>
        <v>11.2</v>
      </c>
      <c r="BQ15" s="40">
        <f t="shared" si="29"/>
        <v>13.62</v>
      </c>
      <c r="BR15" s="11">
        <f t="shared" si="30"/>
        <v>47.12</v>
      </c>
      <c r="BS15" s="11">
        <f t="shared" si="31"/>
        <v>11.4</v>
      </c>
      <c r="BT15" s="11">
        <f t="shared" si="32"/>
        <v>13.5</v>
      </c>
      <c r="BU15" s="11">
        <f t="shared" si="33"/>
        <v>47.3</v>
      </c>
      <c r="BV15" s="11">
        <f t="shared" si="34"/>
        <v>47.3</v>
      </c>
      <c r="BW15" s="11">
        <f t="shared" si="35"/>
        <v>10.1</v>
      </c>
      <c r="BX15" s="11">
        <f t="shared" si="36"/>
        <v>13.08</v>
      </c>
      <c r="BY15" s="11">
        <f t="shared" si="37"/>
        <v>42.98</v>
      </c>
      <c r="BZ15" s="11">
        <f t="shared" si="38"/>
        <v>90.28</v>
      </c>
      <c r="CA15" s="23">
        <v>11.9</v>
      </c>
      <c r="CB15" s="23">
        <v>8.6</v>
      </c>
      <c r="CC15" s="23">
        <v>10.3</v>
      </c>
      <c r="CD15" s="23">
        <v>14.44</v>
      </c>
      <c r="CE15" s="23">
        <v>0.9</v>
      </c>
      <c r="CF15" s="23">
        <v>5.2</v>
      </c>
      <c r="CG15" s="23">
        <v>3.2</v>
      </c>
      <c r="CH15" s="23">
        <v>3.7</v>
      </c>
      <c r="CI15" s="23">
        <v>5.93</v>
      </c>
      <c r="CJ15" s="23">
        <v>0.2</v>
      </c>
      <c r="CK15" s="23">
        <v>11.3</v>
      </c>
      <c r="CL15" s="23">
        <v>7.2</v>
      </c>
      <c r="CM15" s="23">
        <v>9.1999999999999993</v>
      </c>
      <c r="CN15" s="23">
        <v>11.73</v>
      </c>
      <c r="CO15" s="23">
        <v>0</v>
      </c>
      <c r="CP15" s="28"/>
      <c r="CQ15" s="39">
        <f t="shared" si="39"/>
        <v>10.3</v>
      </c>
      <c r="CR15" s="39">
        <f t="shared" si="40"/>
        <v>14.44</v>
      </c>
      <c r="CS15" s="41">
        <f t="shared" si="41"/>
        <v>44.34</v>
      </c>
      <c r="CT15" s="41">
        <f t="shared" si="42"/>
        <v>3.7</v>
      </c>
      <c r="CU15" s="41">
        <f t="shared" si="43"/>
        <v>5.93</v>
      </c>
      <c r="CV15" s="41">
        <f t="shared" si="44"/>
        <v>17.830000000000002</v>
      </c>
      <c r="CW15" s="41">
        <f t="shared" si="45"/>
        <v>44.34</v>
      </c>
      <c r="CX15" s="41">
        <f t="shared" si="46"/>
        <v>9.1999999999999993</v>
      </c>
      <c r="CY15" s="41">
        <f t="shared" si="47"/>
        <v>11.73</v>
      </c>
      <c r="CZ15" s="41">
        <f t="shared" si="48"/>
        <v>39.43</v>
      </c>
      <c r="DA15" s="41">
        <f t="shared" si="49"/>
        <v>83.77000000000001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12.65</v>
      </c>
      <c r="SW15" s="23">
        <f t="shared" si="221"/>
        <v>8.75</v>
      </c>
      <c r="SX15" s="23">
        <f t="shared" si="222"/>
        <v>10.75</v>
      </c>
      <c r="SY15" s="23">
        <f t="shared" si="223"/>
        <v>14.03</v>
      </c>
      <c r="SZ15" s="23">
        <f t="shared" si="224"/>
        <v>0.45</v>
      </c>
      <c r="TA15" s="23">
        <f t="shared" si="225"/>
        <v>9.4499999999999993</v>
      </c>
      <c r="TB15" s="23">
        <f t="shared" si="226"/>
        <v>5.9499999999999993</v>
      </c>
      <c r="TC15" s="23">
        <f t="shared" si="227"/>
        <v>7.5500000000000007</v>
      </c>
      <c r="TD15" s="23">
        <f t="shared" si="228"/>
        <v>9.7149999999999999</v>
      </c>
      <c r="TE15" s="23">
        <f t="shared" si="229"/>
        <v>0.1</v>
      </c>
      <c r="TF15" s="23">
        <f t="shared" si="230"/>
        <v>11.8</v>
      </c>
      <c r="TG15" s="23">
        <f t="shared" si="231"/>
        <v>7.9</v>
      </c>
      <c r="TH15" s="23">
        <f t="shared" si="232"/>
        <v>9.6499999999999986</v>
      </c>
      <c r="TI15" s="23">
        <f t="shared" si="233"/>
        <v>12.405000000000001</v>
      </c>
      <c r="TJ15" s="23">
        <f t="shared" si="234"/>
        <v>0.55000000000000004</v>
      </c>
      <c r="TK15" s="28" t="s">
        <v>57</v>
      </c>
      <c r="TL15" s="41">
        <f t="shared" si="235"/>
        <v>10.75</v>
      </c>
      <c r="TM15" s="41">
        <f t="shared" si="236"/>
        <v>14.03</v>
      </c>
      <c r="TN15" s="41">
        <f t="shared" si="237"/>
        <v>45.73</v>
      </c>
      <c r="TO15" s="41">
        <f t="shared" si="238"/>
        <v>7.5500000000000007</v>
      </c>
      <c r="TP15" s="41">
        <f t="shared" si="239"/>
        <v>9.7149999999999999</v>
      </c>
      <c r="TQ15" s="41">
        <f t="shared" si="240"/>
        <v>32.564999999999998</v>
      </c>
      <c r="TR15" s="41">
        <f t="shared" si="241"/>
        <v>45.73</v>
      </c>
      <c r="TS15" s="41">
        <f t="shared" si="242"/>
        <v>9.6499999999999986</v>
      </c>
      <c r="TT15" s="41">
        <f t="shared" si="243"/>
        <v>12.405000000000001</v>
      </c>
      <c r="TU15" s="41">
        <f t="shared" si="244"/>
        <v>41.205000000000005</v>
      </c>
      <c r="TV15" s="41">
        <f t="shared" si="245"/>
        <v>86.935000000000002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134</v>
      </c>
      <c r="C16" s="4" t="s">
        <v>39</v>
      </c>
      <c r="D16" s="4">
        <v>2000</v>
      </c>
      <c r="E16" s="9">
        <f t="shared" si="0"/>
        <v>115.97001159700453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45.39</v>
      </c>
      <c r="K16" s="8" t="str">
        <f t="shared" si="5"/>
        <v>2023 Elite Canada</v>
      </c>
      <c r="L16" s="8">
        <f>IF(COUNT(AQ16,AT16,BR16,BU16,CS16,CV16)&gt;1,LARGE((AQ16,AT16,BR16,BU16,CS16,CV16),2),0)</f>
        <v>19.53</v>
      </c>
      <c r="M16" s="8" t="str">
        <f t="shared" si="6"/>
        <v>2023 Nationals</v>
      </c>
      <c r="N16" s="8">
        <f>IF(COUNT(AQ16,AT16,BR16,BU16,CS16,CV16)&gt;2,LARGE((AQ16,AT16,BR16,BU16,CS16,CV16),3),0)</f>
        <v>10.129999999999999</v>
      </c>
      <c r="O16" s="8" t="str">
        <f t="shared" si="7"/>
        <v>2023 Elite Canada</v>
      </c>
      <c r="P16" s="8">
        <f t="shared" si="8"/>
        <v>30.52</v>
      </c>
      <c r="Q16" s="8" t="str">
        <f t="shared" si="9"/>
        <v>2023 Elite Canada</v>
      </c>
      <c r="R16" s="8">
        <f t="shared" si="10"/>
        <v>10.4</v>
      </c>
      <c r="S16" s="8" t="str">
        <f t="shared" si="11"/>
        <v>2023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12.4</v>
      </c>
      <c r="Z16" s="23">
        <v>8.6</v>
      </c>
      <c r="AA16" s="23">
        <v>10.4</v>
      </c>
      <c r="AB16" s="23">
        <v>13.99</v>
      </c>
      <c r="AC16" s="23">
        <v>0</v>
      </c>
      <c r="AD16" s="23">
        <v>2.6</v>
      </c>
      <c r="AE16" s="23">
        <v>2</v>
      </c>
      <c r="AF16" s="23">
        <v>2.5</v>
      </c>
      <c r="AG16" s="23">
        <v>3.03</v>
      </c>
      <c r="AH16" s="23">
        <v>0</v>
      </c>
      <c r="AI16" s="23">
        <v>8.4</v>
      </c>
      <c r="AJ16" s="23">
        <v>5.8</v>
      </c>
      <c r="AK16" s="23">
        <v>6.8</v>
      </c>
      <c r="AL16" s="23">
        <v>9.52</v>
      </c>
      <c r="AM16" s="23">
        <v>0</v>
      </c>
      <c r="AN16" s="28"/>
      <c r="AO16" s="39">
        <f t="shared" si="17"/>
        <v>10.4</v>
      </c>
      <c r="AP16" s="39">
        <f t="shared" si="18"/>
        <v>13.99</v>
      </c>
      <c r="AQ16" s="41">
        <f t="shared" si="19"/>
        <v>45.39</v>
      </c>
      <c r="AR16" s="41">
        <f t="shared" si="20"/>
        <v>2.5</v>
      </c>
      <c r="AS16" s="41">
        <f t="shared" si="21"/>
        <v>3.03</v>
      </c>
      <c r="AT16" s="41">
        <f t="shared" si="22"/>
        <v>10.129999999999999</v>
      </c>
      <c r="AU16" s="41">
        <f t="shared" si="23"/>
        <v>45.39</v>
      </c>
      <c r="AV16" s="41">
        <f t="shared" si="24"/>
        <v>6.8</v>
      </c>
      <c r="AW16" s="41">
        <f t="shared" si="25"/>
        <v>9.52</v>
      </c>
      <c r="AX16" s="41">
        <f t="shared" si="26"/>
        <v>30.52</v>
      </c>
      <c r="AY16" s="41">
        <f t="shared" si="27"/>
        <v>75.91</v>
      </c>
      <c r="AZ16" s="27">
        <v>3.1</v>
      </c>
      <c r="BA16" s="27">
        <v>1.8</v>
      </c>
      <c r="BB16" s="27">
        <v>2</v>
      </c>
      <c r="BC16" s="27">
        <v>2.94</v>
      </c>
      <c r="BD16" s="27">
        <v>0</v>
      </c>
      <c r="BE16" s="27">
        <v>5.9</v>
      </c>
      <c r="BF16" s="27">
        <v>3.4</v>
      </c>
      <c r="BG16" s="27">
        <v>4.4000000000000004</v>
      </c>
      <c r="BH16" s="27">
        <v>5.83</v>
      </c>
      <c r="BI16" s="27">
        <v>0</v>
      </c>
      <c r="BJ16" s="27"/>
      <c r="BK16" s="27"/>
      <c r="BL16" s="27"/>
      <c r="BM16" s="27"/>
      <c r="BN16" s="27"/>
      <c r="BO16" s="29"/>
      <c r="BP16" s="40">
        <f t="shared" si="28"/>
        <v>2</v>
      </c>
      <c r="BQ16" s="40">
        <f t="shared" si="29"/>
        <v>2.94</v>
      </c>
      <c r="BR16" s="11">
        <f t="shared" si="30"/>
        <v>9.84</v>
      </c>
      <c r="BS16" s="11">
        <f t="shared" si="31"/>
        <v>4.4000000000000004</v>
      </c>
      <c r="BT16" s="11">
        <f t="shared" si="32"/>
        <v>5.83</v>
      </c>
      <c r="BU16" s="11">
        <f t="shared" si="33"/>
        <v>19.53</v>
      </c>
      <c r="BV16" s="11">
        <f t="shared" si="34"/>
        <v>19.53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19.53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 t="shared" si="39"/>
        <v/>
      </c>
      <c r="CR16" s="39" t="str">
        <f t="shared" si="40"/>
        <v/>
      </c>
      <c r="CS16" s="41" t="str">
        <f t="shared" si="41"/>
        <v/>
      </c>
      <c r="CT16" s="41" t="str">
        <f t="shared" si="42"/>
        <v/>
      </c>
      <c r="CU16" s="41" t="str">
        <f t="shared" si="43"/>
        <v/>
      </c>
      <c r="CV16" s="41" t="str">
        <f t="shared" si="44"/>
        <v/>
      </c>
      <c r="CW16" s="41" t="str">
        <f t="shared" si="45"/>
        <v/>
      </c>
      <c r="CX16" s="41" t="str">
        <f t="shared" si="46"/>
        <v/>
      </c>
      <c r="CY16" s="41" t="str">
        <f t="shared" si="47"/>
        <v/>
      </c>
      <c r="CZ16" s="41" t="str">
        <f t="shared" si="48"/>
        <v/>
      </c>
      <c r="DA16" s="41" t="str">
        <f t="shared" si="49"/>
        <v/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1.55</v>
      </c>
      <c r="SW16" s="23">
        <f t="shared" si="221"/>
        <v>0.9</v>
      </c>
      <c r="SX16" s="23">
        <f t="shared" si="222"/>
        <v>1</v>
      </c>
      <c r="SY16" s="23">
        <f t="shared" si="223"/>
        <v>1.47</v>
      </c>
      <c r="SZ16" s="23">
        <f t="shared" si="224"/>
        <v>0</v>
      </c>
      <c r="TA16" s="23">
        <f t="shared" si="225"/>
        <v>2.95</v>
      </c>
      <c r="TB16" s="23">
        <f t="shared" si="226"/>
        <v>1.7</v>
      </c>
      <c r="TC16" s="23">
        <f t="shared" si="227"/>
        <v>2.2000000000000002</v>
      </c>
      <c r="TD16" s="23">
        <f t="shared" si="228"/>
        <v>2.915</v>
      </c>
      <c r="TE16" s="23">
        <f t="shared" si="229"/>
        <v>0</v>
      </c>
      <c r="TF16" s="23">
        <f t="shared" si="230"/>
        <v>0</v>
      </c>
      <c r="TG16" s="23">
        <f t="shared" si="231"/>
        <v>0</v>
      </c>
      <c r="TH16" s="23">
        <f t="shared" si="232"/>
        <v>0</v>
      </c>
      <c r="TI16" s="23">
        <f t="shared" si="233"/>
        <v>0</v>
      </c>
      <c r="TJ16" s="23">
        <f t="shared" si="234"/>
        <v>0</v>
      </c>
      <c r="TK16" s="28" t="s">
        <v>57</v>
      </c>
      <c r="TL16" s="41">
        <f t="shared" si="235"/>
        <v>1</v>
      </c>
      <c r="TM16" s="41">
        <f t="shared" si="236"/>
        <v>1.47</v>
      </c>
      <c r="TN16" s="41">
        <f t="shared" si="237"/>
        <v>4.92</v>
      </c>
      <c r="TO16" s="41">
        <f t="shared" si="238"/>
        <v>2.2000000000000002</v>
      </c>
      <c r="TP16" s="41">
        <f t="shared" si="239"/>
        <v>2.915</v>
      </c>
      <c r="TQ16" s="41">
        <f t="shared" si="240"/>
        <v>9.7650000000000006</v>
      </c>
      <c r="TR16" s="41">
        <f t="shared" si="241"/>
        <v>9.7650000000000006</v>
      </c>
      <c r="TS16" s="41" t="str">
        <f t="shared" si="242"/>
        <v/>
      </c>
      <c r="TT16" s="41" t="str">
        <f t="shared" si="243"/>
        <v/>
      </c>
      <c r="TU16" s="41" t="str">
        <f t="shared" si="244"/>
        <v/>
      </c>
      <c r="TV16" s="41">
        <f t="shared" si="245"/>
        <v>9.7650000000000006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82</v>
      </c>
      <c r="C17" s="4" t="s">
        <v>3</v>
      </c>
      <c r="D17" s="4">
        <v>2002</v>
      </c>
      <c r="E17" s="9">
        <f t="shared" si="0"/>
        <v>60.450006045004521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45.2</v>
      </c>
      <c r="K17" s="8" t="str">
        <f t="shared" si="5"/>
        <v>2023 Elite Canada</v>
      </c>
      <c r="L17" s="8">
        <f>IF(COUNT(AQ17,AT17,BR17,BU17,CS17,CV17)&gt;1,LARGE((AQ17,AT17,BR17,BU17,CS17,CV17),2),0)</f>
        <v>5.35</v>
      </c>
      <c r="M17" s="8" t="str">
        <f t="shared" si="6"/>
        <v>2023 Elite Canada</v>
      </c>
      <c r="N17" s="8">
        <f>IF(COUNT(AQ17,AT17,BR17,BU17,CS17,CV17)&gt;2,LARGE((AQ17,AT17,BR17,BU17,CS17,CV17),3),0)</f>
        <v>0</v>
      </c>
      <c r="O17" s="8" t="str">
        <f t="shared" si="7"/>
        <v/>
      </c>
      <c r="P17" s="8">
        <f t="shared" si="8"/>
        <v>0</v>
      </c>
      <c r="Q17" s="8" t="str">
        <f t="shared" si="9"/>
        <v/>
      </c>
      <c r="R17" s="8">
        <f t="shared" si="10"/>
        <v>9.9</v>
      </c>
      <c r="S17" s="8" t="str">
        <f t="shared" si="11"/>
        <v>2023 Elite Canada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14</v>
      </c>
      <c r="Z17" s="23">
        <v>8.5</v>
      </c>
      <c r="AA17" s="23">
        <v>9.9</v>
      </c>
      <c r="AB17" s="23">
        <v>12.8</v>
      </c>
      <c r="AC17" s="23">
        <v>0</v>
      </c>
      <c r="AD17" s="23">
        <v>1.4</v>
      </c>
      <c r="AE17" s="23">
        <v>0.9</v>
      </c>
      <c r="AF17" s="23">
        <v>1.5</v>
      </c>
      <c r="AG17" s="23">
        <v>1.55</v>
      </c>
      <c r="AH17" s="23">
        <v>0</v>
      </c>
      <c r="AI17" s="23"/>
      <c r="AJ17" s="23"/>
      <c r="AK17" s="23"/>
      <c r="AL17" s="23"/>
      <c r="AM17" s="23"/>
      <c r="AN17" s="28"/>
      <c r="AO17" s="39">
        <f t="shared" si="17"/>
        <v>9.9</v>
      </c>
      <c r="AP17" s="39">
        <f t="shared" si="18"/>
        <v>12.8</v>
      </c>
      <c r="AQ17" s="41">
        <f t="shared" si="19"/>
        <v>45.2</v>
      </c>
      <c r="AR17" s="41">
        <f t="shared" si="20"/>
        <v>1.5</v>
      </c>
      <c r="AS17" s="41">
        <f t="shared" si="21"/>
        <v>1.55</v>
      </c>
      <c r="AT17" s="41">
        <f t="shared" si="22"/>
        <v>5.35</v>
      </c>
      <c r="AU17" s="41">
        <f t="shared" si="23"/>
        <v>45.2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45.2</v>
      </c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9"/>
      <c r="BP17" s="40" t="str">
        <f t="shared" si="28"/>
        <v/>
      </c>
      <c r="BQ17" s="40" t="str">
        <f t="shared" si="29"/>
        <v/>
      </c>
      <c r="BR17" s="11" t="str">
        <f t="shared" si="30"/>
        <v/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 t="str">
        <f t="shared" si="34"/>
        <v/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 t="str">
        <f t="shared" si="38"/>
        <v/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0</v>
      </c>
      <c r="SW17" s="23">
        <f t="shared" si="221"/>
        <v>0</v>
      </c>
      <c r="SX17" s="23">
        <f t="shared" si="222"/>
        <v>0</v>
      </c>
      <c r="SY17" s="23">
        <f t="shared" si="223"/>
        <v>0</v>
      </c>
      <c r="SZ17" s="23">
        <f t="shared" si="224"/>
        <v>0</v>
      </c>
      <c r="TA17" s="23">
        <f t="shared" si="225"/>
        <v>0</v>
      </c>
      <c r="TB17" s="23">
        <f t="shared" si="226"/>
        <v>0</v>
      </c>
      <c r="TC17" s="23">
        <f t="shared" si="227"/>
        <v>0</v>
      </c>
      <c r="TD17" s="23">
        <f t="shared" si="228"/>
        <v>0</v>
      </c>
      <c r="TE17" s="23">
        <f t="shared" si="229"/>
        <v>0</v>
      </c>
      <c r="TF17" s="23">
        <f t="shared" si="230"/>
        <v>0</v>
      </c>
      <c r="TG17" s="23">
        <f t="shared" si="231"/>
        <v>0</v>
      </c>
      <c r="TH17" s="23">
        <f t="shared" si="232"/>
        <v>0</v>
      </c>
      <c r="TI17" s="23">
        <f t="shared" si="233"/>
        <v>0</v>
      </c>
      <c r="TJ17" s="23">
        <f t="shared" si="234"/>
        <v>0</v>
      </c>
      <c r="TK17" s="28" t="s">
        <v>57</v>
      </c>
      <c r="TL17" s="41" t="str">
        <f t="shared" si="235"/>
        <v/>
      </c>
      <c r="TM17" s="41" t="str">
        <f t="shared" si="236"/>
        <v/>
      </c>
      <c r="TN17" s="41" t="str">
        <f t="shared" si="237"/>
        <v/>
      </c>
      <c r="TO17" s="41" t="str">
        <f t="shared" si="238"/>
        <v/>
      </c>
      <c r="TP17" s="41" t="str">
        <f t="shared" si="239"/>
        <v/>
      </c>
      <c r="TQ17" s="41" t="str">
        <f t="shared" si="240"/>
        <v/>
      </c>
      <c r="TR17" s="41" t="str">
        <f t="shared" si="241"/>
        <v/>
      </c>
      <c r="TS17" s="41" t="str">
        <f t="shared" si="242"/>
        <v/>
      </c>
      <c r="TT17" s="41" t="str">
        <f t="shared" si="243"/>
        <v/>
      </c>
      <c r="TU17" s="41" t="str">
        <f t="shared" si="244"/>
        <v/>
      </c>
      <c r="TV17" s="41" t="str">
        <f t="shared" si="245"/>
        <v/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7">
      <sortCondition descending="1" ref="F1:F18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113</v>
      </c>
      <c r="K1" s="68" t="s">
        <v>33</v>
      </c>
      <c r="L1" s="72" t="s">
        <v>189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190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228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178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176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185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212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211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220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227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240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110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110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110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110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110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110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110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110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110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110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110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110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231</v>
      </c>
      <c r="C4" s="4" t="s">
        <v>230</v>
      </c>
      <c r="D4" s="4" t="s">
        <v>229</v>
      </c>
      <c r="E4" s="9">
        <f t="shared" ref="E4:E15" si="0">SUM(J4,L4,N4)</f>
        <v>102.15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 t="shared" ref="K4:K15" si="5"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 t="shared" ref="M4:M15" si="6">IF(L4="","",IF(OR(L4=CK4,L4=CN4,L4=CR4),$BS$1,IF(OR(L4=BJ4,L4=BM4,L4=BQ4),$AR$1,IF(OR(L4=AI4,L4=AL4,L4=AP4),$Q$1,""))))</f>
        <v>2023 Nationals</v>
      </c>
      <c r="N4" s="8">
        <f t="shared" ref="N4:N15" si="7">IF(MAX(CT4,CU4)&gt;0,MAX(CT4,CU4),"")</f>
        <v>4.9399999999999977</v>
      </c>
      <c r="O4" s="11" t="str">
        <f t="shared" ref="O4:O15" si="8">IF(N4="","",IF(N4=CT4,"("&amp;CT$2&amp;")",IF(N4=CU4,"("&amp;CU$2&amp;")")))</f>
        <v>(Final)</v>
      </c>
      <c r="P4" s="8" t="str">
        <f t="shared" ref="P4:P15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USA (Aug 5)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G15" si="10">IF(S4&gt;0,S4,"")</f>
        <v/>
      </c>
      <c r="AH4" s="39" t="str">
        <f t="shared" ref="AH4:AH15" si="11">IF(T4&gt;0,T4,"")</f>
        <v/>
      </c>
      <c r="AI4" s="41" t="str">
        <f t="shared" ref="AI4:AI15" si="12">IF(SUM(Q4:T4)-U4&gt;0,SUM(Q4:T4)-U4,"")</f>
        <v/>
      </c>
      <c r="AJ4" s="41" t="str">
        <f t="shared" ref="AJ4:AJ15" si="13">IF(X4&gt;0,X4,"")</f>
        <v/>
      </c>
      <c r="AK4" s="41" t="str">
        <f t="shared" ref="AK4:AK15" si="14">IF(Y4&gt;0,Y4,"")</f>
        <v/>
      </c>
      <c r="AL4" s="41" t="str">
        <f t="shared" ref="AL4:AL15" si="15">IF(SUM(V4:Y4)-Z4&gt;0,SUM(V4:Y4)-Z4,"")</f>
        <v/>
      </c>
      <c r="AM4" s="41" t="str">
        <f t="shared" ref="AM4:AM15" si="16">IF(AI4="","",MAX(AI4,AL4))</f>
        <v/>
      </c>
      <c r="AN4" s="41" t="str">
        <f t="shared" ref="AN4:AN15" si="17">IF(AC4&gt;0,AC4,"")</f>
        <v/>
      </c>
      <c r="AO4" s="41" t="str">
        <f t="shared" ref="AO4:AO15" si="18">IF(AD4&gt;0,AD4,"")</f>
        <v/>
      </c>
      <c r="AP4" s="41" t="str">
        <f t="shared" ref="AP4:AP15" si="19">IF(SUM(AA4:AD4)-AE4&gt;0,SUM(AA4:AD4)-AE4,"")</f>
        <v/>
      </c>
      <c r="AQ4" s="41" t="str">
        <f t="shared" ref="AQ4:AQ15" si="20"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 t="shared" ref="BH4:BH15" si="21">IF(AT4&gt;0,AT4,"")</f>
        <v>5.0999999999999996</v>
      </c>
      <c r="BI4" s="40">
        <f t="shared" ref="BI4:BI15" si="22">IF(AU4&gt;0,AU4,"")</f>
        <v>4.66</v>
      </c>
      <c r="BJ4" s="11">
        <f t="shared" ref="BJ4:BJ15" si="23">IF(SUM(AR4:AU4)-AV4&gt;0,SUM(AR4:AU4)-AV4,"")</f>
        <v>14.91</v>
      </c>
      <c r="BK4" s="11">
        <f t="shared" ref="BK4:BK15" si="24">IF(AY4&gt;0,AY4,"")</f>
        <v>15.6</v>
      </c>
      <c r="BL4" s="11">
        <f t="shared" ref="BL4:BL15" si="25">IF(AZ4&gt;0,AZ4,"")</f>
        <v>13.74</v>
      </c>
      <c r="BM4" s="11">
        <f t="shared" ref="BM4:BM15" si="26">IF(SUM(AW4:AZ4)-BA4&gt;0,SUM(AW4:AZ4)-BA4,"")</f>
        <v>46.09</v>
      </c>
      <c r="BN4" s="11">
        <f t="shared" ref="BN4:BN15" si="27">IF(BJ4="","",MAX(BJ4,BM4))</f>
        <v>46.09</v>
      </c>
      <c r="BO4" s="11">
        <f t="shared" ref="BO4:BO15" si="28">IF(BD4&gt;0,BD4,"")</f>
        <v>15.6</v>
      </c>
      <c r="BP4" s="11">
        <f t="shared" ref="BP4:BP15" si="29">IF(BE4&gt;0,BE4,"")</f>
        <v>17.72</v>
      </c>
      <c r="BQ4" s="11">
        <f t="shared" ref="BQ4:BQ15" si="30">IF(SUM(BB4:BE4)-BF4&gt;0,SUM(BB4:BE4)-BF4,"")</f>
        <v>51.12</v>
      </c>
      <c r="BR4" s="11">
        <f t="shared" ref="BR4:BR15" si="31"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5" si="32">IF(BU4&gt;0,BU4,"")</f>
        <v/>
      </c>
      <c r="CJ4" s="39" t="str">
        <f t="shared" ref="CJ4:CJ15" si="33">IF(BV4&gt;0,BV4,"")</f>
        <v/>
      </c>
      <c r="CK4" s="41" t="str">
        <f t="shared" ref="CK4:CK15" si="34">IF(SUM(BS4:BV4)-BW4&gt;0,SUM(BS4:BV4)-BW4,"")</f>
        <v/>
      </c>
      <c r="CL4" s="41" t="str">
        <f t="shared" ref="CL4:CL15" si="35">IF(BZ4&gt;0,BZ4,"")</f>
        <v/>
      </c>
      <c r="CM4" s="41" t="str">
        <f t="shared" ref="CM4:CM15" si="36">IF(CA4&gt;0,CA4,"")</f>
        <v/>
      </c>
      <c r="CN4" s="41" t="str">
        <f t="shared" ref="CN4:CN15" si="37">IF(SUM(BX4:CA4)-CB4&gt;0,SUM(BX4:CA4)-CB4,"")</f>
        <v/>
      </c>
      <c r="CO4" s="41" t="str">
        <f t="shared" ref="CO4:CO15" si="38">IF(CK4="","",MAX(CK4,CN4))</f>
        <v/>
      </c>
      <c r="CP4" s="41" t="str">
        <f t="shared" ref="CP4:CP15" si="39">IF(CE4&gt;0,CE4,"")</f>
        <v/>
      </c>
      <c r="CQ4" s="41" t="str">
        <f t="shared" ref="CQ4:CQ15" si="40">IF(CF4&gt;0,CF4,"")</f>
        <v/>
      </c>
      <c r="CR4" s="41" t="str">
        <f t="shared" ref="CR4:CR15" si="41">IF(SUM(CC4:CF4)-CG4&gt;0,SUM(CC4:CF4)-CG4,"")</f>
        <v/>
      </c>
      <c r="CS4" s="41" t="str">
        <f t="shared" ref="CS4:CS15" si="42">IF(SUM(CO4,CR4)&gt;0,SUM(CO4,CR4),"")</f>
        <v/>
      </c>
      <c r="CT4" s="52">
        <f t="shared" ref="CT4:CT15" si="43">IF(MAX(DV4,FD4,GL4,HT4,JB4,KJ4,LR4,MZ4,OH4,PP4,QX4,SF4)-IF(L4="",0,L4)&gt;0.001,MAX(DV4,FD4,GL4,HT4,JB4,KJ4,LR4,MZ4,OH4,PP4,QX4,SF4)-IF(L4="",0,L4),"")</f>
        <v>4.2199999999999989</v>
      </c>
      <c r="CU4" s="52">
        <f t="shared" ref="CU4:CU15" si="44">IF(MAX(DY4,EB4,FG4,FJ4,GO4,GR4,HW4,HZ4,JE4,JH4,KM4,KP4,LU4,LX4,NC4,NF4,OK4,ON4,PS4,PV4,RA4,RD4,SI4,SL4)-IF(L4="",0,L4)&gt;0.001,MAX(DY4,EB4,FG4,FJ4,GO4,GR4,HW4,HZ4,JE4,JH4,KM4,KP4,LU4,LX4,NC4,NF4,OK4,ON4,PS4,PV4,RA4,RD4,SI4,SL4)-IF(L4="",0,L4),"")</f>
        <v>4.9399999999999977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15" si="45">IF(CX4&gt;0,CX4,"")</f>
        <v/>
      </c>
      <c r="DQ4" s="41" t="str">
        <f t="shared" ref="DQ4:DQ15" si="46">IF(CY4&gt;0,CY4,"")</f>
        <v/>
      </c>
      <c r="DR4" s="41" t="str">
        <f t="shared" ref="DR4:DR15" si="47">IF(SUM(CV4:CY4)-CZ4&gt;0,SUM(CV4:CY4)-CZ4,"")</f>
        <v/>
      </c>
      <c r="DS4" s="41" t="str">
        <f t="shared" ref="DS4:DS15" si="48">IF(DC4&gt;0,DC4,"")</f>
        <v/>
      </c>
      <c r="DT4" s="41" t="str">
        <f t="shared" ref="DT4:DT15" si="49">IF(DD4&gt;0,DD4,"")</f>
        <v/>
      </c>
      <c r="DU4" s="41" t="str">
        <f t="shared" ref="DU4:DU15" si="50">IF(SUM(DA4:DD4)-DE4&gt;0,SUM(DA4:DD4)-DE4,"")</f>
        <v/>
      </c>
      <c r="DV4" s="41" t="str">
        <f t="shared" ref="DV4:DV15" si="51">IF(MAX(DR4,DU4)&gt;0,MAX(DR4,DU4),"")</f>
        <v/>
      </c>
      <c r="DW4" s="41" t="str">
        <f t="shared" ref="DW4:DW15" si="52">IF(DH4&gt;0,DH4,"")</f>
        <v/>
      </c>
      <c r="DX4" s="41" t="str">
        <f t="shared" ref="DX4:DX15" si="53">IF(DI4&gt;0,DI4,"")</f>
        <v/>
      </c>
      <c r="DY4" s="41" t="str">
        <f t="shared" ref="DY4:DY15" si="54">IF(SUM(DF4:DI4)-DJ4&gt;0,SUM(DF4:DI4)-DJ4,"")</f>
        <v/>
      </c>
      <c r="DZ4" s="41" t="str">
        <f t="shared" ref="DZ4:DZ15" si="55">IF(DM4&gt;0,DM4,"")</f>
        <v/>
      </c>
      <c r="EA4" s="41" t="str">
        <f t="shared" ref="EA4:EA15" si="56">IF(DN4&gt;0,DN4,"")</f>
        <v/>
      </c>
      <c r="EB4" s="41" t="str">
        <f t="shared" ref="EB4:EB15" si="57">IF(SUM(DK4:DN4)-DO4&gt;0,SUM(DK4:DN4)-DO4,"")</f>
        <v/>
      </c>
      <c r="EC4" s="41" t="str">
        <f t="shared" ref="EC4:EC15" si="58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5" si="59">IF(EF4&gt;0,EF4,"")</f>
        <v/>
      </c>
      <c r="EY4" s="11" t="str">
        <f t="shared" ref="EY4:EY15" si="60">IF(EG4&gt;0,EG4,"")</f>
        <v/>
      </c>
      <c r="EZ4" s="11" t="str">
        <f t="shared" ref="EZ4:EZ15" si="61">IF(SUM(ED4:EG4)-EH4&gt;0,SUM(ED4:EG4)-EH4,"")</f>
        <v/>
      </c>
      <c r="FA4" s="11" t="str">
        <f t="shared" ref="FA4:FA15" si="62">IF(EK4&gt;0,EK4,"")</f>
        <v/>
      </c>
      <c r="FB4" s="11" t="str">
        <f t="shared" ref="FB4:FB15" si="63">IF(EL4&gt;0,EL4,"")</f>
        <v/>
      </c>
      <c r="FC4" s="11" t="str">
        <f t="shared" ref="FC4:FC15" si="64">IF(SUM(EI4:EL4)-EM4&gt;0,SUM(EI4:EL4)-EM4,"")</f>
        <v/>
      </c>
      <c r="FD4" s="11" t="str">
        <f t="shared" ref="FD4:FD15" si="65">IF(MAX(EZ4,FC4)&gt;0,MAX(EZ4,FC4),"")</f>
        <v/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 t="str">
        <f t="shared" ref="FK4:FK15" si="72"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15" si="73">IF(FN4&gt;0,FN4,"")</f>
        <v/>
      </c>
      <c r="GG4" s="41" t="str">
        <f t="shared" ref="GG4:GG15" si="74">IF(FO4&gt;0,FO4,"")</f>
        <v/>
      </c>
      <c r="GH4" s="41" t="str">
        <f t="shared" ref="GH4:GH15" si="75">IF(SUM(FL4:FO4)-FP4&gt;0,SUM(FL4:FO4)-FP4,"")</f>
        <v/>
      </c>
      <c r="GI4" s="41" t="str">
        <f t="shared" ref="GI4:GI15" si="76">IF(FS4&gt;0,FS4,"")</f>
        <v/>
      </c>
      <c r="GJ4" s="41" t="str">
        <f t="shared" ref="GJ4:GJ15" si="77">IF(FT4&gt;0,FT4,"")</f>
        <v/>
      </c>
      <c r="GK4" s="41" t="str">
        <f t="shared" ref="GK4:GK15" si="78">IF(SUM(FQ4:FT4)-FU4&gt;0,SUM(FQ4:FT4)-FU4,"")</f>
        <v/>
      </c>
      <c r="GL4" s="41" t="str">
        <f t="shared" ref="GL4:GL15" si="79">IF(MAX(GH4,GK4)&gt;0,MAX(GH4,GK4),"")</f>
        <v/>
      </c>
      <c r="GM4" s="41" t="str">
        <f t="shared" ref="GM4:GM15" si="80">IF(FX4&gt;0,FX4,"")</f>
        <v/>
      </c>
      <c r="GN4" s="41" t="str">
        <f t="shared" ref="GN4:GN15" si="81">IF(FY4&gt;0,FY4,"")</f>
        <v/>
      </c>
      <c r="GO4" s="41" t="str">
        <f t="shared" ref="GO4:GO15" si="82">IF(SUM(FV4:FY4)-FZ4&gt;0,SUM(FV4:FY4)-FZ4,"")</f>
        <v/>
      </c>
      <c r="GP4" s="41" t="str">
        <f t="shared" ref="GP4:GP15" si="83">IF(GC4&gt;0,GC4,"")</f>
        <v/>
      </c>
      <c r="GQ4" s="41" t="str">
        <f t="shared" ref="GQ4:GQ15" si="84">IF(GD4&gt;0,GD4,"")</f>
        <v/>
      </c>
      <c r="GR4" s="41" t="str">
        <f t="shared" ref="GR4:GR15" si="85">IF(SUM(GA4:GD4)-GE4&gt;0,SUM(GA4:GD4)-GE4,"")</f>
        <v/>
      </c>
      <c r="GS4" s="41" t="str">
        <f t="shared" ref="GS4:GS15" si="86"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5" si="87">IF(GV4&gt;0,GV4,"")</f>
        <v/>
      </c>
      <c r="HO4" s="11" t="str">
        <f t="shared" ref="HO4:HO15" si="88">IF(GW4&gt;0,GW4,"")</f>
        <v/>
      </c>
      <c r="HP4" s="11" t="str">
        <f t="shared" ref="HP4:HP15" si="89">IF(SUM(GT4:GW4)-GX4&gt;0,SUM(GT4:GW4)-GX4,"")</f>
        <v/>
      </c>
      <c r="HQ4" s="11" t="str">
        <f t="shared" ref="HQ4:HQ15" si="90">IF(HA4&gt;0,HA4,"")</f>
        <v/>
      </c>
      <c r="HR4" s="11" t="str">
        <f t="shared" ref="HR4:HR15" si="91">IF(HB4&gt;0,HB4,"")</f>
        <v/>
      </c>
      <c r="HS4" s="11" t="str">
        <f t="shared" ref="HS4:HS15" si="92">IF(SUM(GY4:HB4)-HC4&gt;0,SUM(GY4:HB4)-HC4,"")</f>
        <v/>
      </c>
      <c r="HT4" s="11" t="str">
        <f t="shared" ref="HT4:HT15" si="93">IF(MAX(HP4,HS4)&gt;0,MAX(HP4,HS4),"")</f>
        <v/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 t="str">
        <f t="shared" ref="IA4:IA15" si="100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5" si="101">IF(ID4&gt;0,ID4,"")</f>
        <v/>
      </c>
      <c r="IW4" s="41" t="str">
        <f t="shared" ref="IW4:IW15" si="102">IF(IE4&gt;0,IE4,"")</f>
        <v/>
      </c>
      <c r="IX4" s="41" t="str">
        <f t="shared" ref="IX4:IX15" si="103">IF(SUM(IB4:IE4)-IF4&gt;0,SUM(IB4:IE4)-IF4,"")</f>
        <v/>
      </c>
      <c r="IY4" s="41" t="str">
        <f t="shared" ref="IY4:IY15" si="104">IF(II4&gt;0,II4,"")</f>
        <v/>
      </c>
      <c r="IZ4" s="41" t="str">
        <f t="shared" ref="IZ4:IZ15" si="105">IF(IJ4&gt;0,IJ4,"")</f>
        <v/>
      </c>
      <c r="JA4" s="41" t="str">
        <f t="shared" ref="JA4:JA15" si="106">IF(SUM(IG4:IJ4)-IK4&gt;0,SUM(IG4:IJ4)-IK4,"")</f>
        <v/>
      </c>
      <c r="JB4" s="41" t="str">
        <f t="shared" ref="JB4:JB15" si="107">IF(MAX(IX4,JA4)&gt;0,MAX(IX4,JA4),"")</f>
        <v/>
      </c>
      <c r="JC4" s="41" t="str">
        <f t="shared" ref="JC4:JC15" si="108">IF(IN4&gt;0,IN4,"")</f>
        <v/>
      </c>
      <c r="JD4" s="41" t="str">
        <f t="shared" ref="JD4:JD15" si="109">IF(IO4&gt;0,IO4,"")</f>
        <v/>
      </c>
      <c r="JE4" s="41" t="str">
        <f t="shared" ref="JE4:JE15" si="110">IF(SUM(IL4:IO4)-IP4&gt;0,SUM(IL4:IO4)-IP4,"")</f>
        <v/>
      </c>
      <c r="JF4" s="41" t="str">
        <f t="shared" ref="JF4:JF15" si="111">IF(IS4&gt;0,IS4,"")</f>
        <v/>
      </c>
      <c r="JG4" s="41" t="str">
        <f t="shared" ref="JG4:JG15" si="112">IF(IT4&gt;0,IT4,"")</f>
        <v/>
      </c>
      <c r="JH4" s="41" t="str">
        <f t="shared" ref="JH4:JH15" si="113">IF(SUM(IQ4:IT4)-IU4&gt;0,SUM(IQ4:IT4)-IU4,"")</f>
        <v/>
      </c>
      <c r="JI4" s="41" t="str">
        <f t="shared" ref="JI4:JI15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5" si="115">IF(JL4&gt;0,JL4,"")</f>
        <v/>
      </c>
      <c r="KE4" s="11" t="str">
        <f t="shared" ref="KE4:KE15" si="116">IF(JM4&gt;0,JM4,"")</f>
        <v/>
      </c>
      <c r="KF4" s="11" t="str">
        <f t="shared" ref="KF4:KF15" si="117">IF(SUM(JJ4:JM4)-JN4&gt;0,SUM(JJ4:JM4)-JN4,"")</f>
        <v/>
      </c>
      <c r="KG4" s="11" t="str">
        <f t="shared" ref="KG4:KG15" si="118">IF(JQ4&gt;0,JQ4,"")</f>
        <v/>
      </c>
      <c r="KH4" s="11" t="str">
        <f t="shared" ref="KH4:KH15" si="119">IF(JR4&gt;0,JR4,"")</f>
        <v/>
      </c>
      <c r="KI4" s="11" t="str">
        <f t="shared" ref="KI4:KI15" si="120">IF(SUM(JO4:JR4)-JS4&gt;0,SUM(JO4:JR4)-JS4,"")</f>
        <v/>
      </c>
      <c r="KJ4" s="11" t="str">
        <f t="shared" ref="KJ4:KJ15" si="121">IF(MAX(KF4,KI4)&gt;0,MAX(KF4,KI4),"")</f>
        <v/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 t="str">
        <f t="shared" ref="KQ4:KQ15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L15" si="129">IF(KT4&gt;0,KT4,"")</f>
        <v/>
      </c>
      <c r="LM4" s="41" t="str">
        <f t="shared" ref="LM4:LM15" si="130">IF(KU4&gt;0,KU4,"")</f>
        <v/>
      </c>
      <c r="LN4" s="41" t="str">
        <f t="shared" ref="LN4:LN15" si="131">IF(SUM(KR4:KU4)-KV4&gt;0,SUM(KR4:KU4)-KV4,"")</f>
        <v/>
      </c>
      <c r="LO4" s="41" t="str">
        <f t="shared" ref="LO4:LO15" si="132">IF(KY4&gt;0,KY4,"")</f>
        <v/>
      </c>
      <c r="LP4" s="41" t="str">
        <f t="shared" ref="LP4:LP15" si="133">IF(KZ4&gt;0,KZ4,"")</f>
        <v/>
      </c>
      <c r="LQ4" s="41" t="str">
        <f t="shared" ref="LQ4:LQ15" si="134">IF(SUM(KW4:KZ4)-LA4&gt;0,SUM(KW4:KZ4)-LA4,"")</f>
        <v/>
      </c>
      <c r="LR4" s="41" t="str">
        <f t="shared" ref="LR4:LR15" si="135">IF(MAX(LN4,LQ4)&gt;0,MAX(LN4,LQ4),"")</f>
        <v/>
      </c>
      <c r="LS4" s="41" t="str">
        <f t="shared" ref="LS4:LS15" si="136">IF(LD4&gt;0,LD4,"")</f>
        <v/>
      </c>
      <c r="LT4" s="41" t="str">
        <f t="shared" ref="LT4:LT15" si="137">IF(LE4&gt;0,LE4,"")</f>
        <v/>
      </c>
      <c r="LU4" s="41" t="str">
        <f t="shared" ref="LU4:LU15" si="138">IF(SUM(LB4:LE4)-LF4&gt;0,SUM(LB4:LE4)-LF4,"")</f>
        <v/>
      </c>
      <c r="LV4" s="41" t="str">
        <f t="shared" ref="LV4:LV15" si="139">IF(LI4&gt;0,LI4,"")</f>
        <v/>
      </c>
      <c r="LW4" s="41" t="str">
        <f t="shared" ref="LW4:LW15" si="140">IF(LJ4&gt;0,LJ4,"")</f>
        <v/>
      </c>
      <c r="LX4" s="41" t="str">
        <f t="shared" ref="LX4:LX15" si="141">IF(SUM(LG4:LJ4)-LK4&gt;0,SUM(LG4:LJ4)-LK4,"")</f>
        <v/>
      </c>
      <c r="LY4" s="41" t="str">
        <f t="shared" ref="LY4:LY15" si="142">IF(SUM(LR4,LX4)&gt;0,SUM(LR4,LX4),"")</f>
        <v/>
      </c>
      <c r="LZ4" s="18">
        <v>3.05</v>
      </c>
      <c r="MA4" s="18">
        <v>3.6</v>
      </c>
      <c r="MB4" s="18">
        <v>6.7</v>
      </c>
      <c r="MC4" s="18">
        <v>7.08</v>
      </c>
      <c r="MD4" s="18">
        <v>0</v>
      </c>
      <c r="ME4" s="18">
        <v>7.4</v>
      </c>
      <c r="MF4" s="18">
        <v>9.25</v>
      </c>
      <c r="MG4" s="18">
        <v>15.6</v>
      </c>
      <c r="MH4" s="18">
        <v>18.059999999999999</v>
      </c>
      <c r="MI4" s="18">
        <v>0</v>
      </c>
      <c r="MJ4" s="18"/>
      <c r="MK4" s="18"/>
      <c r="ML4" s="18"/>
      <c r="MM4" s="18"/>
      <c r="MN4" s="18"/>
      <c r="MO4" s="18">
        <v>7.6</v>
      </c>
      <c r="MP4" s="18">
        <v>9.0500000000000007</v>
      </c>
      <c r="MQ4" s="18">
        <v>15.6</v>
      </c>
      <c r="MR4" s="18">
        <v>18.78</v>
      </c>
      <c r="MS4" s="18">
        <v>0</v>
      </c>
      <c r="MT4" s="11">
        <f t="shared" ref="MT4:MT15" si="143">IF(MB4&gt;0,MB4,"")</f>
        <v>6.7</v>
      </c>
      <c r="MU4" s="11">
        <f t="shared" ref="MU4:MU15" si="144">IF(MC4&gt;0,MC4,"")</f>
        <v>7.08</v>
      </c>
      <c r="MV4" s="11">
        <f t="shared" ref="MV4:MV15" si="145">IF(SUM(LZ4:MC4)-MD4&gt;0,SUM(LZ4:MC4)-MD4,"")</f>
        <v>20.43</v>
      </c>
      <c r="MW4" s="11">
        <f t="shared" ref="MW4:MW15" si="146">IF(MG4&gt;0,MG4,"")</f>
        <v>15.6</v>
      </c>
      <c r="MX4" s="11">
        <f t="shared" ref="MX4:MX15" si="147">IF(MH4&gt;0,MH4,"")</f>
        <v>18.059999999999999</v>
      </c>
      <c r="MY4" s="11">
        <f t="shared" ref="MY4:MY15" si="148">IF(SUM(ME4:MH4)-MI4&gt;0,SUM(ME4:MH4)-MI4,"")</f>
        <v>50.31</v>
      </c>
      <c r="MZ4" s="11">
        <f t="shared" ref="MZ4:MZ15" si="149">IF(MAX(MV4,MY4)&gt;0,MAX(MV4,MY4),"")</f>
        <v>50.31</v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>
        <f t="shared" ref="ND4:ND15" si="153">IF(MQ4&gt;0,MQ4,"")</f>
        <v>15.6</v>
      </c>
      <c r="NE4" s="11">
        <f t="shared" ref="NE4:NE15" si="154">IF(MR4&gt;0,MR4,"")</f>
        <v>18.78</v>
      </c>
      <c r="NF4" s="11">
        <f t="shared" ref="NF4:NF15" si="155">IF(SUM(MO4:MR4)-MS4&gt;0,SUM(MO4:MR4)-MS4,"")</f>
        <v>51.03</v>
      </c>
      <c r="NG4" s="11">
        <f t="shared" ref="NG4:NG15" si="156">IF(SUM(MZ4,NF4)&gt;0,SUM(MZ4,NF4),"")</f>
        <v>101.34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5" si="157">IF(NJ4&gt;0,NJ4,"")</f>
        <v/>
      </c>
      <c r="OC4" s="41" t="str">
        <f t="shared" ref="OC4:OC15" si="158">IF(NK4&gt;0,NK4,"")</f>
        <v/>
      </c>
      <c r="OD4" s="41" t="str">
        <f t="shared" ref="OD4:OD15" si="159">IF(SUM(NH4:NK4)-NL4&gt;0,SUM(NH4:NK4)-NL4,"")</f>
        <v/>
      </c>
      <c r="OE4" s="41" t="str">
        <f t="shared" ref="OE4:OE15" si="160">IF(NO4&gt;0,NO4,"")</f>
        <v/>
      </c>
      <c r="OF4" s="41" t="str">
        <f t="shared" ref="OF4:OF15" si="161">IF(NP4&gt;0,NP4,"")</f>
        <v/>
      </c>
      <c r="OG4" s="41" t="str">
        <f t="shared" ref="OG4:OG15" si="162">IF(SUM(NM4:NP4)-NQ4&gt;0,SUM(NM4:NP4)-NQ4,"")</f>
        <v/>
      </c>
      <c r="OH4" s="41" t="str">
        <f t="shared" ref="OH4:OH15" si="163">IF(MAX(OD4,OG4)&gt;0,MAX(OD4,OG4),"")</f>
        <v/>
      </c>
      <c r="OI4" s="41" t="str">
        <f t="shared" ref="OI4:OI15" si="164">IF(NT4&gt;0,NT4,"")</f>
        <v/>
      </c>
      <c r="OJ4" s="41" t="str">
        <f t="shared" ref="OJ4:OJ15" si="165">IF(NU4&gt;0,NU4,"")</f>
        <v/>
      </c>
      <c r="OK4" s="41" t="str">
        <f t="shared" ref="OK4:OK15" si="166">IF(SUM(NR4:NU4)-NV4&gt;0,SUM(NR4:NU4)-NV4,"")</f>
        <v/>
      </c>
      <c r="OL4" s="41" t="str">
        <f t="shared" ref="OL4:OL15" si="167">IF(NY4&gt;0,NY4,"")</f>
        <v/>
      </c>
      <c r="OM4" s="41" t="str">
        <f t="shared" ref="OM4:OM15" si="168">IF(NZ4&gt;0,NZ4,"")</f>
        <v/>
      </c>
      <c r="ON4" s="41" t="str">
        <f t="shared" ref="ON4:ON15" si="169">IF(SUM(NW4:NZ4)-OA4&gt;0,SUM(NW4:NZ4)-OA4,"")</f>
        <v/>
      </c>
      <c r="OO4" s="41" t="str">
        <f t="shared" ref="OO4:OO15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5" si="185">IF(PZ4&gt;0,PZ4,"")</f>
        <v/>
      </c>
      <c r="QS4" s="41" t="str">
        <f t="shared" ref="QS4:QS15" si="186">IF(QA4&gt;0,QA4,"")</f>
        <v/>
      </c>
      <c r="QT4" s="41" t="str">
        <f t="shared" ref="QT4:QT15" si="187">IF(SUM(PX4:QA4)-QB4&gt;0,SUM(PX4:QA4)-QB4,"")</f>
        <v/>
      </c>
      <c r="QU4" s="41" t="str">
        <f t="shared" ref="QU4:QU15" si="188">IF(QE4&gt;0,QE4,"")</f>
        <v/>
      </c>
      <c r="QV4" s="41" t="str">
        <f t="shared" ref="QV4:QV15" si="189">IF(QF4&gt;0,QF4,"")</f>
        <v/>
      </c>
      <c r="QW4" s="41" t="str">
        <f t="shared" ref="QW4:QW15" si="190">IF(SUM(QC4:QF4)-QG4&gt;0,SUM(QC4:QF4)-QG4,"")</f>
        <v/>
      </c>
      <c r="QX4" s="41" t="str">
        <f t="shared" ref="QX4:QX15" si="191">IF(MAX(QT4,QW4)&gt;0,MAX(QT4,QW4),"")</f>
        <v/>
      </c>
      <c r="QY4" s="41" t="str">
        <f t="shared" ref="QY4:QY15" si="192">IF(QJ4&gt;0,QJ4,"")</f>
        <v/>
      </c>
      <c r="QZ4" s="41" t="str">
        <f t="shared" ref="QZ4:QZ15" si="193">IF(QK4&gt;0,QK4,"")</f>
        <v/>
      </c>
      <c r="RA4" s="41" t="str">
        <f t="shared" ref="RA4:RA15" si="194">IF(SUM(QH4:QK4)-QL4&gt;0,SUM(QH4:QK4)-QL4,"")</f>
        <v/>
      </c>
      <c r="RB4" s="41" t="str">
        <f t="shared" ref="RB4:RB15" si="195">IF(QO4&gt;0,QO4,"")</f>
        <v/>
      </c>
      <c r="RC4" s="41" t="str">
        <f t="shared" ref="RC4:RC15" si="196">IF(QP4&gt;0,QP4,"")</f>
        <v/>
      </c>
      <c r="RD4" s="41" t="str">
        <f t="shared" ref="RD4:RD15" si="197">IF(SUM(QM4:QP4)-QQ4&gt;0,SUM(QM4:QP4)-QQ4,"")</f>
        <v/>
      </c>
      <c r="RE4" s="41" t="str">
        <f t="shared" ref="RE4:RE15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IF(SUM(SF4,SL4)&gt;0,SUM(SF4,SL4),"")</f>
        <v/>
      </c>
      <c r="SN4" s="23">
        <f t="shared" ref="SN4:SN15" si="213">IF($CH4="P",BS4,(BS4+AR4)/2)</f>
        <v>1.2</v>
      </c>
      <c r="SO4" s="23">
        <f t="shared" ref="SO4:SO15" si="214">IF($CH4="P",BT4,(BT4+AS4)/2)</f>
        <v>1.375</v>
      </c>
      <c r="SP4" s="23">
        <f t="shared" ref="SP4:SP15" si="215">IF($CH4="P",BU4,(BU4+AT4)/2)</f>
        <v>2.5499999999999998</v>
      </c>
      <c r="SQ4" s="23">
        <f t="shared" ref="SQ4:SQ15" si="216">IF($CH4="P",BV4,(BV4+AU4)/2)</f>
        <v>2.33</v>
      </c>
      <c r="SR4" s="23">
        <f t="shared" ref="SR4:SR15" si="217">IF($CH4="P",BW4,(BW4+AV4)/2)</f>
        <v>0</v>
      </c>
      <c r="SS4" s="23">
        <f t="shared" ref="SS4:SS15" si="218">IF($CH4="P",BX4,(BX4+AW4)/2)</f>
        <v>3.95</v>
      </c>
      <c r="ST4" s="23">
        <f t="shared" ref="ST4:ST15" si="219">IF($CH4="P",BY4,(BY4+AX4)/2)</f>
        <v>4.4249999999999998</v>
      </c>
      <c r="SU4" s="23">
        <f t="shared" ref="SU4:SU15" si="220">IF($CH4="P",BZ4,(BZ4+AY4)/2)</f>
        <v>7.8</v>
      </c>
      <c r="SV4" s="23">
        <f t="shared" ref="SV4:SV15" si="221">IF($CH4="P",CA4,(CA4+AZ4)/2)</f>
        <v>6.87</v>
      </c>
      <c r="SW4" s="23">
        <f t="shared" ref="SW4:SW15" si="222">IF($CH4="P",CB4,(CB4+BA4)/2)</f>
        <v>0</v>
      </c>
      <c r="SX4" s="23">
        <f t="shared" ref="SX4:SX15" si="223">IF($CH4="P",CC4,(CC4+BB4)/2)</f>
        <v>4.2249999999999996</v>
      </c>
      <c r="SY4" s="23">
        <f t="shared" ref="SY4:SY15" si="224">IF($CH4="P",CD4,(CD4+BC4)/2)</f>
        <v>4.6749999999999998</v>
      </c>
      <c r="SZ4" s="23">
        <f t="shared" ref="SZ4:SZ15" si="225">IF($CH4="P",CE4,(CE4+BD4)/2)</f>
        <v>7.8</v>
      </c>
      <c r="TA4" s="23">
        <f t="shared" ref="TA4:TA15" si="226">IF($CH4="P",CF4,(CF4+BE4)/2)</f>
        <v>8.86</v>
      </c>
      <c r="TB4" s="23">
        <f t="shared" ref="TB4:TB15" si="227">IF($CH4="P",CG4,(CG4+BF4)/2)</f>
        <v>0</v>
      </c>
      <c r="TC4" s="28" t="s">
        <v>57</v>
      </c>
      <c r="TD4" s="41">
        <f t="shared" ref="TD4:TD15" si="228">IF(SP4&gt;0,SP4,"")</f>
        <v>2.5499999999999998</v>
      </c>
      <c r="TE4" s="41">
        <f t="shared" ref="TE4:TE15" si="229">IF(SQ4&gt;0,SQ4,"")</f>
        <v>2.33</v>
      </c>
      <c r="TF4" s="41">
        <f t="shared" ref="TF4:TF15" si="230">IF(SUM(SN4:SQ4)-SR4&gt;0,SUM(SN4:SQ4)-SR4,"")</f>
        <v>7.4550000000000001</v>
      </c>
      <c r="TG4" s="41">
        <f t="shared" ref="TG4:TG15" si="231">IF(SU4&gt;0,SU4,"")</f>
        <v>7.8</v>
      </c>
      <c r="TH4" s="41">
        <f t="shared" ref="TH4:TH15" si="232">IF(SV4&gt;0,SV4,"")</f>
        <v>6.87</v>
      </c>
      <c r="TI4" s="41">
        <f t="shared" ref="TI4:TI15" si="233">IF(SUM(SS4:SV4)-SW4&gt;0,SUM(SS4:SV4)-SW4,"")</f>
        <v>23.045000000000002</v>
      </c>
      <c r="TJ4" s="41">
        <f t="shared" ref="TJ4:TJ15" si="234">IF(MAX(TF4,TI4)&gt;0,MAX(TF4,TI4),"")</f>
        <v>23.045000000000002</v>
      </c>
      <c r="TK4" s="41">
        <f t="shared" ref="TK4:TK15" si="235">IF(SZ4&gt;0,SZ4,"")</f>
        <v>7.8</v>
      </c>
      <c r="TL4" s="41">
        <f t="shared" ref="TL4:TL15" si="236">IF(TA4&gt;0,TA4,"")</f>
        <v>8.86</v>
      </c>
      <c r="TM4" s="41">
        <f t="shared" ref="TM4:TM15" si="237">IF(SUM(SX4:TA4)-TB4&gt;0,SUM(SX4:TA4)-TB4,"")</f>
        <v>25.56</v>
      </c>
      <c r="TN4" s="41">
        <f t="shared" ref="TN4:TN15" si="238"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141</v>
      </c>
      <c r="C5" s="4" t="s">
        <v>140</v>
      </c>
      <c r="D5" s="4" t="s">
        <v>139</v>
      </c>
      <c r="E5" s="9">
        <f t="shared" si="0"/>
        <v>50.230000000000004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0</v>
      </c>
      <c r="K5" s="8" t="str">
        <f t="shared" si="5"/>
        <v/>
      </c>
      <c r="L5" s="8">
        <f>IF(COUNT(AI5,AL5,AP5,BJ5,BM5,BQ5,CK5,CN5,CR5)&gt;1,LARGE((AI5,AL5,AP5,BJ5,BM5,BQ5,CK5,CN5,CR5),2),0)</f>
        <v>0</v>
      </c>
      <c r="M5" s="8" t="str">
        <f t="shared" si="6"/>
        <v/>
      </c>
      <c r="N5" s="8">
        <f t="shared" si="7"/>
        <v>50.230000000000004</v>
      </c>
      <c r="O5" s="11" t="str">
        <f t="shared" si="8"/>
        <v>(Final)</v>
      </c>
      <c r="P5" s="8" t="str">
        <f t="shared" si="9"/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1"/>
        <v/>
      </c>
      <c r="AI5" s="41" t="str">
        <f t="shared" si="12"/>
        <v/>
      </c>
      <c r="AJ5" s="41" t="str">
        <f t="shared" si="13"/>
        <v/>
      </c>
      <c r="AK5" s="41" t="str">
        <f t="shared" si="14"/>
        <v/>
      </c>
      <c r="AL5" s="41" t="str">
        <f t="shared" si="15"/>
        <v/>
      </c>
      <c r="AM5" s="41" t="str">
        <f t="shared" si="16"/>
        <v/>
      </c>
      <c r="AN5" s="41" t="str">
        <f t="shared" si="17"/>
        <v/>
      </c>
      <c r="AO5" s="41" t="str">
        <f t="shared" si="18"/>
        <v/>
      </c>
      <c r="AP5" s="41" t="str">
        <f t="shared" si="19"/>
        <v/>
      </c>
      <c r="AQ5" s="41" t="str">
        <f t="shared" si="20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32"/>
        <v/>
      </c>
      <c r="CJ5" s="39" t="str">
        <f t="shared" si="33"/>
        <v/>
      </c>
      <c r="CK5" s="41" t="str">
        <f t="shared" si="34"/>
        <v/>
      </c>
      <c r="CL5" s="41" t="str">
        <f t="shared" si="35"/>
        <v/>
      </c>
      <c r="CM5" s="41" t="str">
        <f t="shared" si="36"/>
        <v/>
      </c>
      <c r="CN5" s="41" t="str">
        <f t="shared" si="37"/>
        <v/>
      </c>
      <c r="CO5" s="41" t="str">
        <f t="shared" si="38"/>
        <v/>
      </c>
      <c r="CP5" s="41" t="str">
        <f t="shared" si="39"/>
        <v/>
      </c>
      <c r="CQ5" s="41" t="str">
        <f t="shared" si="40"/>
        <v/>
      </c>
      <c r="CR5" s="41" t="str">
        <f t="shared" si="41"/>
        <v/>
      </c>
      <c r="CS5" s="41" t="str">
        <f t="shared" si="42"/>
        <v/>
      </c>
      <c r="CT5" s="52">
        <f t="shared" si="43"/>
        <v>49.48</v>
      </c>
      <c r="CU5" s="52">
        <f t="shared" si="44"/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 t="shared" si="101"/>
        <v>14.2</v>
      </c>
      <c r="IW5" s="41">
        <f t="shared" si="102"/>
        <v>16.7</v>
      </c>
      <c r="IX5" s="41">
        <f t="shared" si="103"/>
        <v>48.25</v>
      </c>
      <c r="IY5" s="41">
        <f t="shared" si="104"/>
        <v>15.2</v>
      </c>
      <c r="IZ5" s="41">
        <f t="shared" si="105"/>
        <v>17.68</v>
      </c>
      <c r="JA5" s="41">
        <f t="shared" si="106"/>
        <v>49.48</v>
      </c>
      <c r="JB5" s="41">
        <f t="shared" si="107"/>
        <v>49.48</v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>
        <f t="shared" si="111"/>
        <v>15.2</v>
      </c>
      <c r="JG5" s="41">
        <f t="shared" si="112"/>
        <v>17.78</v>
      </c>
      <c r="JH5" s="41">
        <f t="shared" si="113"/>
        <v>50.230000000000004</v>
      </c>
      <c r="JI5" s="41">
        <f t="shared" si="114"/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0</v>
      </c>
      <c r="SO5" s="23">
        <f t="shared" si="214"/>
        <v>0</v>
      </c>
      <c r="SP5" s="23">
        <f t="shared" si="215"/>
        <v>0</v>
      </c>
      <c r="SQ5" s="23">
        <f t="shared" si="216"/>
        <v>0</v>
      </c>
      <c r="SR5" s="23">
        <f t="shared" si="217"/>
        <v>0</v>
      </c>
      <c r="SS5" s="23">
        <f t="shared" si="218"/>
        <v>0</v>
      </c>
      <c r="ST5" s="23">
        <f t="shared" si="219"/>
        <v>0</v>
      </c>
      <c r="SU5" s="23">
        <f t="shared" si="220"/>
        <v>0</v>
      </c>
      <c r="SV5" s="23">
        <f t="shared" si="221"/>
        <v>0</v>
      </c>
      <c r="SW5" s="23">
        <f t="shared" si="222"/>
        <v>0</v>
      </c>
      <c r="SX5" s="23">
        <f t="shared" si="223"/>
        <v>0</v>
      </c>
      <c r="SY5" s="23">
        <f t="shared" si="224"/>
        <v>0</v>
      </c>
      <c r="SZ5" s="23">
        <f t="shared" si="225"/>
        <v>0</v>
      </c>
      <c r="TA5" s="23">
        <f t="shared" si="226"/>
        <v>0</v>
      </c>
      <c r="TB5" s="23">
        <f t="shared" si="227"/>
        <v>0</v>
      </c>
      <c r="TC5" s="28" t="s">
        <v>57</v>
      </c>
      <c r="TD5" s="41" t="str">
        <f t="shared" si="228"/>
        <v/>
      </c>
      <c r="TE5" s="41" t="str">
        <f t="shared" si="229"/>
        <v/>
      </c>
      <c r="TF5" s="41" t="str">
        <f t="shared" si="230"/>
        <v/>
      </c>
      <c r="TG5" s="41" t="str">
        <f t="shared" si="231"/>
        <v/>
      </c>
      <c r="TH5" s="41" t="str">
        <f t="shared" si="232"/>
        <v/>
      </c>
      <c r="TI5" s="41" t="str">
        <f t="shared" si="233"/>
        <v/>
      </c>
      <c r="TJ5" s="41" t="str">
        <f t="shared" si="234"/>
        <v/>
      </c>
      <c r="TK5" s="41" t="str">
        <f t="shared" si="235"/>
        <v/>
      </c>
      <c r="TL5" s="41" t="str">
        <f t="shared" si="236"/>
        <v/>
      </c>
      <c r="TM5" s="41" t="str">
        <f t="shared" si="237"/>
        <v/>
      </c>
      <c r="TN5" s="41" t="str">
        <f t="shared" si="238"/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224</v>
      </c>
      <c r="C6" s="4" t="s">
        <v>223</v>
      </c>
      <c r="D6" s="4" t="s">
        <v>222</v>
      </c>
      <c r="E6" s="9">
        <f t="shared" si="0"/>
        <v>49.91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IF(COUNT(AI6,AL6,AP6,BJ6,BM6,BQ6,CK6,CN6,CR6)&gt;0,LARGE((AI6,AL6,AP6,BJ6,BM6,BQ6,CK6,CN6,CR6),1),0)</f>
        <v>0</v>
      </c>
      <c r="K6" s="8" t="str">
        <f t="shared" si="5"/>
        <v/>
      </c>
      <c r="L6" s="8">
        <f>IF(COUNT(AI6,AL6,AP6,BJ6,BM6,BQ6,CK6,CN6,CR6)&gt;1,LARGE((AI6,AL6,AP6,BJ6,BM6,BQ6,CK6,CN6,CR6),2),0)</f>
        <v>0</v>
      </c>
      <c r="M6" s="8" t="str">
        <f t="shared" si="6"/>
        <v/>
      </c>
      <c r="N6" s="8">
        <f t="shared" si="7"/>
        <v>49.91</v>
      </c>
      <c r="O6" s="11" t="str">
        <f t="shared" si="8"/>
        <v>(Final)</v>
      </c>
      <c r="P6" s="8" t="str">
        <f t="shared" si="9"/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10"/>
        <v/>
      </c>
      <c r="AH6" s="39" t="str">
        <f t="shared" si="11"/>
        <v/>
      </c>
      <c r="AI6" s="41" t="str">
        <f t="shared" si="12"/>
        <v/>
      </c>
      <c r="AJ6" s="41" t="str">
        <f t="shared" si="13"/>
        <v/>
      </c>
      <c r="AK6" s="41" t="str">
        <f t="shared" si="14"/>
        <v/>
      </c>
      <c r="AL6" s="41" t="str">
        <f t="shared" si="15"/>
        <v/>
      </c>
      <c r="AM6" s="41" t="str">
        <f t="shared" si="16"/>
        <v/>
      </c>
      <c r="AN6" s="41" t="str">
        <f t="shared" si="17"/>
        <v/>
      </c>
      <c r="AO6" s="41" t="str">
        <f t="shared" si="18"/>
        <v/>
      </c>
      <c r="AP6" s="41" t="str">
        <f t="shared" si="19"/>
        <v/>
      </c>
      <c r="AQ6" s="41" t="str">
        <f t="shared" si="20"/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48.02</v>
      </c>
      <c r="CU6" s="52">
        <f t="shared" si="44"/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 t="shared" si="115"/>
        <v>15.2</v>
      </c>
      <c r="KE6" s="11">
        <f t="shared" si="116"/>
        <v>16.12</v>
      </c>
      <c r="KF6" s="11">
        <f t="shared" si="117"/>
        <v>48.02</v>
      </c>
      <c r="KG6" s="11">
        <f t="shared" si="118"/>
        <v>13.4</v>
      </c>
      <c r="KH6" s="11">
        <f t="shared" si="119"/>
        <v>14.12</v>
      </c>
      <c r="KI6" s="11">
        <f t="shared" si="120"/>
        <v>42.12</v>
      </c>
      <c r="KJ6" s="11">
        <f t="shared" si="121"/>
        <v>48.02</v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>
        <f t="shared" si="125"/>
        <v>15.2</v>
      </c>
      <c r="KO6" s="11">
        <f t="shared" si="126"/>
        <v>18.059999999999999</v>
      </c>
      <c r="KP6" s="11">
        <f t="shared" si="127"/>
        <v>49.91</v>
      </c>
      <c r="KQ6" s="11">
        <f t="shared" si="128"/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 t="shared" si="129"/>
        <v>15.2</v>
      </c>
      <c r="LM6" s="41">
        <f t="shared" si="130"/>
        <v>16.16</v>
      </c>
      <c r="LN6" s="41">
        <f t="shared" si="131"/>
        <v>47.209999999999994</v>
      </c>
      <c r="LO6" s="41">
        <f t="shared" si="132"/>
        <v>9.4</v>
      </c>
      <c r="LP6" s="41">
        <f t="shared" si="133"/>
        <v>10.36</v>
      </c>
      <c r="LQ6" s="41">
        <f t="shared" si="134"/>
        <v>29.36</v>
      </c>
      <c r="LR6" s="41">
        <f t="shared" si="135"/>
        <v>47.209999999999994</v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>
        <f t="shared" si="142"/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157</v>
      </c>
      <c r="C7" s="4" t="s">
        <v>8</v>
      </c>
      <c r="D7" s="4" t="s">
        <v>158</v>
      </c>
      <c r="E7" s="9">
        <f t="shared" si="0"/>
        <v>94.299999999999983</v>
      </c>
      <c r="F7" s="3" t="str">
        <f t="shared" si="1"/>
        <v/>
      </c>
      <c r="G7" s="3" t="str">
        <f t="shared" si="2"/>
        <v>P</v>
      </c>
      <c r="H7" s="37" t="str">
        <f t="shared" si="3"/>
        <v>No DD</v>
      </c>
      <c r="I7" s="3" t="str">
        <f t="shared" si="4"/>
        <v/>
      </c>
      <c r="J7" s="8">
        <f>IF(COUNT(AI7,AL7,AP7,BJ7,BM7,BQ7,CK7,CN7,CR7)&gt;0,LARGE((AI7,AL7,AP7,BJ7,BM7,BQ7,CK7,CN7,CR7),1),0)</f>
        <v>47.26</v>
      </c>
      <c r="K7" s="8" t="str">
        <f t="shared" si="5"/>
        <v>2023 Elite Canada</v>
      </c>
      <c r="L7" s="8">
        <f>IF(COUNT(AI7,AL7,AP7,BJ7,BM7,BQ7,CK7,CN7,CR7)&gt;1,LARGE((AI7,AL7,AP7,BJ7,BM7,BQ7,CK7,CN7,CR7),2),0)</f>
        <v>46.870000000000005</v>
      </c>
      <c r="M7" s="8" t="str">
        <f t="shared" si="6"/>
        <v>2023 Nationals</v>
      </c>
      <c r="N7" s="8">
        <f t="shared" si="7"/>
        <v>0.1699999999999946</v>
      </c>
      <c r="O7" s="11" t="str">
        <f t="shared" si="8"/>
        <v>(Prelim)</v>
      </c>
      <c r="P7" s="8" t="str">
        <f t="shared" si="9"/>
        <v>2022 WAGC (Nov 26)</v>
      </c>
      <c r="Q7" s="23">
        <v>1.6</v>
      </c>
      <c r="R7" s="23">
        <v>1.8</v>
      </c>
      <c r="S7" s="23">
        <v>2.5</v>
      </c>
      <c r="T7" s="23">
        <v>3.64</v>
      </c>
      <c r="U7" s="23">
        <v>0</v>
      </c>
      <c r="V7" s="23">
        <v>8.1</v>
      </c>
      <c r="W7" s="23">
        <v>9.6</v>
      </c>
      <c r="X7" s="23">
        <v>11.2</v>
      </c>
      <c r="Y7" s="23">
        <v>18.36</v>
      </c>
      <c r="Z7" s="23">
        <v>0</v>
      </c>
      <c r="AA7" s="23">
        <v>8.4499999999999993</v>
      </c>
      <c r="AB7" s="23">
        <v>9.25</v>
      </c>
      <c r="AC7" s="23">
        <v>11.2</v>
      </c>
      <c r="AD7" s="23">
        <v>17.32</v>
      </c>
      <c r="AE7" s="23">
        <v>0</v>
      </c>
      <c r="AF7" s="28"/>
      <c r="AG7" s="39">
        <f t="shared" si="10"/>
        <v>2.5</v>
      </c>
      <c r="AH7" s="39">
        <f t="shared" si="11"/>
        <v>3.64</v>
      </c>
      <c r="AI7" s="41">
        <f t="shared" si="12"/>
        <v>9.5400000000000009</v>
      </c>
      <c r="AJ7" s="41">
        <f t="shared" si="13"/>
        <v>11.2</v>
      </c>
      <c r="AK7" s="41">
        <f t="shared" si="14"/>
        <v>18.36</v>
      </c>
      <c r="AL7" s="41">
        <f t="shared" si="15"/>
        <v>47.26</v>
      </c>
      <c r="AM7" s="41">
        <f t="shared" si="16"/>
        <v>47.26</v>
      </c>
      <c r="AN7" s="41">
        <f t="shared" si="17"/>
        <v>11.2</v>
      </c>
      <c r="AO7" s="41">
        <f t="shared" si="18"/>
        <v>17.32</v>
      </c>
      <c r="AP7" s="41">
        <f t="shared" si="19"/>
        <v>46.22</v>
      </c>
      <c r="AQ7" s="41">
        <f t="shared" si="20"/>
        <v>93.47999999999999</v>
      </c>
      <c r="AR7" s="27">
        <v>7</v>
      </c>
      <c r="AS7" s="27">
        <v>9.1999999999999993</v>
      </c>
      <c r="AT7" s="27">
        <v>11.4</v>
      </c>
      <c r="AU7" s="27">
        <v>17.239999999999998</v>
      </c>
      <c r="AV7" s="27">
        <v>0</v>
      </c>
      <c r="AW7" s="27">
        <v>3.15</v>
      </c>
      <c r="AX7" s="27">
        <v>3.45</v>
      </c>
      <c r="AY7" s="27">
        <v>5.2</v>
      </c>
      <c r="AZ7" s="27">
        <v>7.08</v>
      </c>
      <c r="BA7" s="27">
        <v>0</v>
      </c>
      <c r="BB7" s="27">
        <v>8.1999999999999993</v>
      </c>
      <c r="BC7" s="27">
        <v>9.0500000000000007</v>
      </c>
      <c r="BD7" s="27">
        <v>11.2</v>
      </c>
      <c r="BE7" s="27">
        <v>18.420000000000002</v>
      </c>
      <c r="BF7" s="27">
        <v>0</v>
      </c>
      <c r="BG7" s="29"/>
      <c r="BH7" s="40">
        <f t="shared" si="21"/>
        <v>11.4</v>
      </c>
      <c r="BI7" s="40">
        <f t="shared" si="22"/>
        <v>17.239999999999998</v>
      </c>
      <c r="BJ7" s="11">
        <f t="shared" si="23"/>
        <v>44.84</v>
      </c>
      <c r="BK7" s="11">
        <f t="shared" si="24"/>
        <v>5.2</v>
      </c>
      <c r="BL7" s="11">
        <f t="shared" si="25"/>
        <v>7.08</v>
      </c>
      <c r="BM7" s="11">
        <f t="shared" si="26"/>
        <v>18.880000000000003</v>
      </c>
      <c r="BN7" s="11">
        <f t="shared" si="27"/>
        <v>44.84</v>
      </c>
      <c r="BO7" s="11">
        <f t="shared" si="28"/>
        <v>11.2</v>
      </c>
      <c r="BP7" s="11">
        <f t="shared" si="29"/>
        <v>18.420000000000002</v>
      </c>
      <c r="BQ7" s="11">
        <f t="shared" si="30"/>
        <v>46.870000000000005</v>
      </c>
      <c r="BR7" s="11">
        <f t="shared" si="31"/>
        <v>91.710000000000008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0.1699999999999946</v>
      </c>
      <c r="CU7" s="52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>
        <v>7.85</v>
      </c>
      <c r="FM7" s="17">
        <v>9.15</v>
      </c>
      <c r="FN7" s="17">
        <v>11.2</v>
      </c>
      <c r="FO7" s="17">
        <v>18.84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5.15</v>
      </c>
      <c r="GB7" s="17">
        <v>6.55</v>
      </c>
      <c r="GC7" s="17">
        <v>8.4</v>
      </c>
      <c r="GD7" s="17">
        <v>12.62</v>
      </c>
      <c r="GE7" s="17">
        <v>0</v>
      </c>
      <c r="GF7" s="41">
        <f t="shared" si="73"/>
        <v>11.2</v>
      </c>
      <c r="GG7" s="41">
        <f t="shared" si="74"/>
        <v>18.84</v>
      </c>
      <c r="GH7" s="41">
        <f t="shared" si="75"/>
        <v>47.04</v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>
        <f t="shared" si="79"/>
        <v>47.04</v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>
        <f t="shared" si="83"/>
        <v>8.4</v>
      </c>
      <c r="GQ7" s="41">
        <f t="shared" si="84"/>
        <v>12.62</v>
      </c>
      <c r="GR7" s="41">
        <f t="shared" si="85"/>
        <v>32.72</v>
      </c>
      <c r="GS7" s="41">
        <f t="shared" si="86"/>
        <v>79.759999999999991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3.5</v>
      </c>
      <c r="SO7" s="23">
        <f t="shared" si="214"/>
        <v>4.5999999999999996</v>
      </c>
      <c r="SP7" s="23">
        <f t="shared" si="215"/>
        <v>5.7</v>
      </c>
      <c r="SQ7" s="23">
        <f t="shared" si="216"/>
        <v>8.6199999999999992</v>
      </c>
      <c r="SR7" s="23">
        <f t="shared" si="217"/>
        <v>0</v>
      </c>
      <c r="SS7" s="23">
        <f t="shared" si="218"/>
        <v>1.575</v>
      </c>
      <c r="ST7" s="23">
        <f t="shared" si="219"/>
        <v>1.7250000000000001</v>
      </c>
      <c r="SU7" s="23">
        <f t="shared" si="220"/>
        <v>2.6</v>
      </c>
      <c r="SV7" s="23">
        <f t="shared" si="221"/>
        <v>3.54</v>
      </c>
      <c r="SW7" s="23">
        <f t="shared" si="222"/>
        <v>0</v>
      </c>
      <c r="SX7" s="23">
        <f t="shared" si="223"/>
        <v>4.0999999999999996</v>
      </c>
      <c r="SY7" s="23">
        <f t="shared" si="224"/>
        <v>4.5250000000000004</v>
      </c>
      <c r="SZ7" s="23">
        <f t="shared" si="225"/>
        <v>5.6</v>
      </c>
      <c r="TA7" s="23">
        <f t="shared" si="226"/>
        <v>9.2100000000000009</v>
      </c>
      <c r="TB7" s="23">
        <f t="shared" si="227"/>
        <v>0</v>
      </c>
      <c r="TC7" s="28" t="s">
        <v>57</v>
      </c>
      <c r="TD7" s="41">
        <f t="shared" si="228"/>
        <v>5.7</v>
      </c>
      <c r="TE7" s="41">
        <f t="shared" si="229"/>
        <v>8.6199999999999992</v>
      </c>
      <c r="TF7" s="41">
        <f t="shared" si="230"/>
        <v>22.42</v>
      </c>
      <c r="TG7" s="41">
        <f t="shared" si="231"/>
        <v>2.6</v>
      </c>
      <c r="TH7" s="41">
        <f t="shared" si="232"/>
        <v>3.54</v>
      </c>
      <c r="TI7" s="41">
        <f t="shared" si="233"/>
        <v>9.4400000000000013</v>
      </c>
      <c r="TJ7" s="41">
        <f t="shared" si="234"/>
        <v>22.42</v>
      </c>
      <c r="TK7" s="41">
        <f t="shared" si="235"/>
        <v>5.6</v>
      </c>
      <c r="TL7" s="41">
        <f t="shared" si="236"/>
        <v>9.2100000000000009</v>
      </c>
      <c r="TM7" s="41">
        <f t="shared" si="237"/>
        <v>23.435000000000002</v>
      </c>
      <c r="TN7" s="41">
        <f t="shared" si="238"/>
        <v>45.855000000000004</v>
      </c>
    </row>
    <row r="8" spans="1:534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209</v>
      </c>
      <c r="C8" s="4" t="s">
        <v>208</v>
      </c>
      <c r="D8" s="4" t="s">
        <v>207</v>
      </c>
      <c r="E8" s="9">
        <f t="shared" si="0"/>
        <v>89.539999999999992</v>
      </c>
      <c r="F8" s="3" t="str">
        <f t="shared" si="1"/>
        <v/>
      </c>
      <c r="G8" s="3" t="str">
        <f t="shared" si="2"/>
        <v/>
      </c>
      <c r="H8" s="37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45.97</v>
      </c>
      <c r="K8" s="8" t="str">
        <f t="shared" si="5"/>
        <v>2023 Elite Canada</v>
      </c>
      <c r="L8" s="8">
        <f>IF(COUNT(AI8,AL8,AP8,BJ8,BM8,BQ8,CK8,CN8,CR8)&gt;1,LARGE((AI8,AL8,AP8,BJ8,BM8,BQ8,CK8,CN8,CR8),2),0)</f>
        <v>43.569999999999993</v>
      </c>
      <c r="M8" s="8" t="str">
        <f t="shared" si="6"/>
        <v>2023 Elite Canada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3">
        <v>8.1999999999999993</v>
      </c>
      <c r="R8" s="23">
        <v>9.35</v>
      </c>
      <c r="S8" s="23">
        <v>10.7</v>
      </c>
      <c r="T8" s="23">
        <v>15.32</v>
      </c>
      <c r="U8" s="23">
        <v>0</v>
      </c>
      <c r="V8" s="23">
        <v>7.95</v>
      </c>
      <c r="W8" s="23">
        <v>9.1999999999999993</v>
      </c>
      <c r="X8" s="23">
        <v>11.8</v>
      </c>
      <c r="Y8" s="23">
        <v>17.02</v>
      </c>
      <c r="Z8" s="23">
        <v>0</v>
      </c>
      <c r="AA8" s="23">
        <v>4.7</v>
      </c>
      <c r="AB8" s="23">
        <v>5.35</v>
      </c>
      <c r="AC8" s="23">
        <v>7.5</v>
      </c>
      <c r="AD8" s="23">
        <v>8.7799999999999994</v>
      </c>
      <c r="AE8" s="23">
        <v>0</v>
      </c>
      <c r="AF8" s="28"/>
      <c r="AG8" s="39">
        <f t="shared" si="10"/>
        <v>10.7</v>
      </c>
      <c r="AH8" s="39">
        <f t="shared" si="11"/>
        <v>15.32</v>
      </c>
      <c r="AI8" s="41">
        <f t="shared" si="12"/>
        <v>43.569999999999993</v>
      </c>
      <c r="AJ8" s="41">
        <f t="shared" si="13"/>
        <v>11.8</v>
      </c>
      <c r="AK8" s="41">
        <f t="shared" si="14"/>
        <v>17.02</v>
      </c>
      <c r="AL8" s="41">
        <f t="shared" si="15"/>
        <v>45.97</v>
      </c>
      <c r="AM8" s="41">
        <f t="shared" si="16"/>
        <v>45.97</v>
      </c>
      <c r="AN8" s="41">
        <f t="shared" si="17"/>
        <v>7.5</v>
      </c>
      <c r="AO8" s="41">
        <f t="shared" si="18"/>
        <v>8.7799999999999994</v>
      </c>
      <c r="AP8" s="41">
        <f t="shared" si="19"/>
        <v>26.33</v>
      </c>
      <c r="AQ8" s="41">
        <f t="shared" si="20"/>
        <v>72.3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 t="str">
        <f t="shared" si="43"/>
        <v/>
      </c>
      <c r="CU8" s="52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101"/>
        <v/>
      </c>
      <c r="IW8" s="41" t="str">
        <f t="shared" si="102"/>
        <v/>
      </c>
      <c r="IX8" s="41" t="str">
        <f t="shared" si="103"/>
        <v/>
      </c>
      <c r="IY8" s="41" t="str">
        <f t="shared" si="104"/>
        <v/>
      </c>
      <c r="IZ8" s="41" t="str">
        <f t="shared" si="105"/>
        <v/>
      </c>
      <c r="JA8" s="41" t="str">
        <f t="shared" si="106"/>
        <v/>
      </c>
      <c r="JB8" s="41" t="str">
        <f t="shared" si="107"/>
        <v/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232</v>
      </c>
      <c r="C9" s="4" t="s">
        <v>140</v>
      </c>
      <c r="D9" s="4" t="s">
        <v>158</v>
      </c>
      <c r="E9" s="9">
        <f t="shared" si="0"/>
        <v>87.01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43.650000000000006</v>
      </c>
      <c r="K9" s="8" t="str">
        <f t="shared" si="5"/>
        <v>2023 Nationals</v>
      </c>
      <c r="L9" s="8">
        <f>IF(COUNT(AI9,AL9,AP9,BJ9,BM9,BQ9,CK9,CN9,CR9)&gt;1,LARGE((AI9,AL9,AP9,BJ9,BM9,BQ9,CK9,CN9,CR9),2),0)</f>
        <v>43.36</v>
      </c>
      <c r="M9" s="8" t="str">
        <f t="shared" si="6"/>
        <v>2023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>
        <v>7.05</v>
      </c>
      <c r="AS9" s="27">
        <v>9</v>
      </c>
      <c r="AT9" s="27">
        <v>10.5</v>
      </c>
      <c r="AU9" s="27">
        <v>17.100000000000001</v>
      </c>
      <c r="AV9" s="27">
        <v>0</v>
      </c>
      <c r="AW9" s="27">
        <v>7.05</v>
      </c>
      <c r="AX9" s="27">
        <v>9.15</v>
      </c>
      <c r="AY9" s="27">
        <v>10.5</v>
      </c>
      <c r="AZ9" s="27">
        <v>17.059999999999999</v>
      </c>
      <c r="BA9" s="27">
        <v>0.4</v>
      </c>
      <c r="BB9" s="27">
        <v>7.25</v>
      </c>
      <c r="BC9" s="27">
        <v>8.8000000000000007</v>
      </c>
      <c r="BD9" s="27">
        <v>10.5</v>
      </c>
      <c r="BE9" s="27">
        <v>15.68</v>
      </c>
      <c r="BF9" s="27">
        <v>0</v>
      </c>
      <c r="BG9" s="29"/>
      <c r="BH9" s="40">
        <f t="shared" si="21"/>
        <v>10.5</v>
      </c>
      <c r="BI9" s="40">
        <f t="shared" si="22"/>
        <v>17.100000000000001</v>
      </c>
      <c r="BJ9" s="11">
        <f t="shared" si="23"/>
        <v>43.650000000000006</v>
      </c>
      <c r="BK9" s="11">
        <f t="shared" si="24"/>
        <v>10.5</v>
      </c>
      <c r="BL9" s="11">
        <f t="shared" si="25"/>
        <v>17.059999999999999</v>
      </c>
      <c r="BM9" s="11">
        <f t="shared" si="26"/>
        <v>43.36</v>
      </c>
      <c r="BN9" s="11">
        <f t="shared" si="27"/>
        <v>43.650000000000006</v>
      </c>
      <c r="BO9" s="11">
        <f t="shared" si="28"/>
        <v>10.5</v>
      </c>
      <c r="BP9" s="11">
        <f t="shared" si="29"/>
        <v>15.68</v>
      </c>
      <c r="BQ9" s="11">
        <f t="shared" si="30"/>
        <v>42.230000000000004</v>
      </c>
      <c r="BR9" s="11">
        <f t="shared" si="31"/>
        <v>85.88000000000001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 t="str">
        <f t="shared" si="43"/>
        <v/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3.5249999999999999</v>
      </c>
      <c r="SO9" s="23">
        <f t="shared" si="214"/>
        <v>4.5</v>
      </c>
      <c r="SP9" s="23">
        <f t="shared" si="215"/>
        <v>5.25</v>
      </c>
      <c r="SQ9" s="23">
        <f t="shared" si="216"/>
        <v>8.5500000000000007</v>
      </c>
      <c r="SR9" s="23">
        <f t="shared" si="217"/>
        <v>0</v>
      </c>
      <c r="SS9" s="23">
        <f t="shared" si="218"/>
        <v>3.5249999999999999</v>
      </c>
      <c r="ST9" s="23">
        <f t="shared" si="219"/>
        <v>4.5750000000000002</v>
      </c>
      <c r="SU9" s="23">
        <f t="shared" si="220"/>
        <v>5.25</v>
      </c>
      <c r="SV9" s="23">
        <f t="shared" si="221"/>
        <v>8.5299999999999994</v>
      </c>
      <c r="SW9" s="23">
        <f t="shared" si="222"/>
        <v>0.2</v>
      </c>
      <c r="SX9" s="23">
        <f t="shared" si="223"/>
        <v>3.625</v>
      </c>
      <c r="SY9" s="23">
        <f t="shared" si="224"/>
        <v>4.4000000000000004</v>
      </c>
      <c r="SZ9" s="23">
        <f t="shared" si="225"/>
        <v>5.25</v>
      </c>
      <c r="TA9" s="23">
        <f t="shared" si="226"/>
        <v>7.84</v>
      </c>
      <c r="TB9" s="23">
        <f t="shared" si="227"/>
        <v>0</v>
      </c>
      <c r="TC9" s="28" t="s">
        <v>57</v>
      </c>
      <c r="TD9" s="41">
        <f t="shared" si="228"/>
        <v>5.25</v>
      </c>
      <c r="TE9" s="41">
        <f t="shared" si="229"/>
        <v>8.5500000000000007</v>
      </c>
      <c r="TF9" s="41">
        <f t="shared" si="230"/>
        <v>21.825000000000003</v>
      </c>
      <c r="TG9" s="41">
        <f t="shared" si="231"/>
        <v>5.25</v>
      </c>
      <c r="TH9" s="41">
        <f t="shared" si="232"/>
        <v>8.5299999999999994</v>
      </c>
      <c r="TI9" s="41">
        <f t="shared" si="233"/>
        <v>21.68</v>
      </c>
      <c r="TJ9" s="41">
        <f t="shared" si="234"/>
        <v>21.825000000000003</v>
      </c>
      <c r="TK9" s="41">
        <f t="shared" si="235"/>
        <v>5.25</v>
      </c>
      <c r="TL9" s="41">
        <f t="shared" si="236"/>
        <v>7.84</v>
      </c>
      <c r="TM9" s="41">
        <f t="shared" si="237"/>
        <v>21.115000000000002</v>
      </c>
      <c r="TN9" s="41">
        <f t="shared" si="238"/>
        <v>42.940000000000005</v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216</v>
      </c>
      <c r="C10" s="4" t="s">
        <v>215</v>
      </c>
      <c r="D10" s="4" t="s">
        <v>158</v>
      </c>
      <c r="E10" s="9">
        <f t="shared" si="0"/>
        <v>43.93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43.93</v>
      </c>
      <c r="O10" s="11" t="str">
        <f t="shared" si="8"/>
        <v>(Final)</v>
      </c>
      <c r="P10" s="8" t="str">
        <f t="shared" si="9"/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 t="str">
        <f t="shared" si="43"/>
        <v/>
      </c>
      <c r="CU10" s="52">
        <f t="shared" si="44"/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8.0500000000000007</v>
      </c>
      <c r="HJ10" s="18">
        <v>9.5</v>
      </c>
      <c r="HK10" s="18">
        <v>10</v>
      </c>
      <c r="HL10" s="18">
        <v>16.38</v>
      </c>
      <c r="HM10" s="18">
        <v>0</v>
      </c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>
        <f t="shared" si="97"/>
        <v>10</v>
      </c>
      <c r="HY10" s="11">
        <f t="shared" si="98"/>
        <v>16.38</v>
      </c>
      <c r="HZ10" s="11">
        <f t="shared" si="99"/>
        <v>43.93</v>
      </c>
      <c r="IA10" s="11">
        <f t="shared" si="100"/>
        <v>43.93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241</v>
      </c>
      <c r="C11" s="4" t="s">
        <v>137</v>
      </c>
      <c r="D11" s="4" t="s">
        <v>242</v>
      </c>
      <c r="E11" s="9">
        <f t="shared" si="0"/>
        <v>42.68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42.68</v>
      </c>
      <c r="O11" s="11" t="str">
        <f t="shared" si="8"/>
        <v>(Prelim)</v>
      </c>
      <c r="P11" s="8" t="str">
        <f t="shared" si="9"/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 t="shared" si="10"/>
        <v/>
      </c>
      <c r="AH11" s="39" t="str">
        <f t="shared" si="11"/>
        <v/>
      </c>
      <c r="AI11" s="41" t="str">
        <f t="shared" si="12"/>
        <v/>
      </c>
      <c r="AJ11" s="41" t="str">
        <f t="shared" si="13"/>
        <v/>
      </c>
      <c r="AK11" s="41" t="str">
        <f t="shared" si="14"/>
        <v/>
      </c>
      <c r="AL11" s="41" t="str">
        <f t="shared" si="15"/>
        <v/>
      </c>
      <c r="AM11" s="41" t="str">
        <f t="shared" si="16"/>
        <v/>
      </c>
      <c r="AN11" s="41" t="str">
        <f t="shared" si="17"/>
        <v/>
      </c>
      <c r="AO11" s="41" t="str">
        <f t="shared" si="18"/>
        <v/>
      </c>
      <c r="AP11" s="41" t="str">
        <f t="shared" si="19"/>
        <v/>
      </c>
      <c r="AQ11" s="41" t="str">
        <f t="shared" si="20"/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>
        <f t="shared" si="43"/>
        <v>42.68</v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>
        <v>1.45</v>
      </c>
      <c r="MA11" s="18">
        <v>1.55</v>
      </c>
      <c r="MB11" s="18">
        <v>3.2</v>
      </c>
      <c r="MC11" s="18">
        <v>3.58</v>
      </c>
      <c r="MD11" s="18">
        <v>0</v>
      </c>
      <c r="ME11" s="18">
        <v>6.75</v>
      </c>
      <c r="MF11" s="18">
        <v>9.0500000000000007</v>
      </c>
      <c r="MG11" s="18">
        <v>14.8</v>
      </c>
      <c r="MH11" s="18">
        <v>12.08</v>
      </c>
      <c r="MI11" s="18">
        <v>0</v>
      </c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>
        <f t="shared" si="143"/>
        <v>3.2</v>
      </c>
      <c r="MU11" s="11">
        <f t="shared" si="144"/>
        <v>3.58</v>
      </c>
      <c r="MV11" s="11">
        <f t="shared" si="145"/>
        <v>9.7800000000000011</v>
      </c>
      <c r="MW11" s="11">
        <f t="shared" si="146"/>
        <v>14.8</v>
      </c>
      <c r="MX11" s="11">
        <f t="shared" si="147"/>
        <v>12.08</v>
      </c>
      <c r="MY11" s="11">
        <f t="shared" si="148"/>
        <v>42.68</v>
      </c>
      <c r="MZ11" s="11">
        <f t="shared" si="149"/>
        <v>42.68</v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>
        <f t="shared" si="156"/>
        <v>42.68</v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221</v>
      </c>
      <c r="C12" s="4" t="s">
        <v>8</v>
      </c>
      <c r="D12" s="4">
        <v>2001</v>
      </c>
      <c r="E12" s="9">
        <f t="shared" si="0"/>
        <v>29.45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0</v>
      </c>
      <c r="K12" s="8" t="str">
        <f t="shared" si="5"/>
        <v/>
      </c>
      <c r="L12" s="8">
        <f>IF(COUNT(AI12,AL12,AP12,BJ12,BM12,BQ12,CK12,CN12,CR12)&gt;1,LARGE((AI12,AL12,AP12,BJ12,BM12,BQ12,CK12,CN12,CR12),2),0)</f>
        <v>0</v>
      </c>
      <c r="M12" s="8" t="str">
        <f t="shared" si="6"/>
        <v/>
      </c>
      <c r="N12" s="8">
        <f t="shared" si="7"/>
        <v>29.45</v>
      </c>
      <c r="O12" s="11" t="str">
        <f t="shared" si="8"/>
        <v>(Prelim)</v>
      </c>
      <c r="P12" s="8" t="str">
        <f t="shared" si="9"/>
        <v>2022 Worlds (Nov 17)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>
        <f t="shared" si="43"/>
        <v>29.45</v>
      </c>
      <c r="CU12" s="52">
        <f t="shared" si="44"/>
        <v>20.36</v>
      </c>
      <c r="CV12" s="17">
        <v>4.6500000000000004</v>
      </c>
      <c r="CW12" s="17">
        <v>5.6</v>
      </c>
      <c r="CX12" s="17">
        <v>9</v>
      </c>
      <c r="CY12" s="17">
        <v>10.199999999999999</v>
      </c>
      <c r="CZ12" s="17">
        <v>0</v>
      </c>
      <c r="DA12" s="17">
        <v>3.95</v>
      </c>
      <c r="DB12" s="17">
        <v>4.6500000000000004</v>
      </c>
      <c r="DC12" s="17">
        <v>7.8</v>
      </c>
      <c r="DD12" s="17">
        <v>9.76</v>
      </c>
      <c r="DE12" s="17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>
        <f t="shared" si="45"/>
        <v>9</v>
      </c>
      <c r="DQ12" s="41">
        <f t="shared" si="46"/>
        <v>10.199999999999999</v>
      </c>
      <c r="DR12" s="41">
        <f t="shared" si="47"/>
        <v>29.45</v>
      </c>
      <c r="DS12" s="41">
        <f t="shared" si="48"/>
        <v>7.8</v>
      </c>
      <c r="DT12" s="41">
        <f t="shared" si="49"/>
        <v>9.76</v>
      </c>
      <c r="DU12" s="41">
        <f t="shared" si="50"/>
        <v>26.160000000000004</v>
      </c>
      <c r="DV12" s="41">
        <f t="shared" si="51"/>
        <v>29.45</v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>
        <f t="shared" si="58"/>
        <v>29.45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3.1</v>
      </c>
      <c r="ET12" s="18">
        <v>3.7</v>
      </c>
      <c r="EU12" s="18">
        <v>6.3</v>
      </c>
      <c r="EV12" s="18">
        <v>7.26</v>
      </c>
      <c r="EW12" s="18">
        <v>0</v>
      </c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>
        <f t="shared" si="69"/>
        <v>6.3</v>
      </c>
      <c r="FI12" s="11">
        <f t="shared" si="70"/>
        <v>7.26</v>
      </c>
      <c r="FJ12" s="11">
        <f t="shared" si="71"/>
        <v>20.36</v>
      </c>
      <c r="FK12" s="11">
        <f t="shared" si="72"/>
        <v>20.36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0</v>
      </c>
      <c r="SO12" s="23">
        <f t="shared" si="214"/>
        <v>0</v>
      </c>
      <c r="SP12" s="23">
        <f t="shared" si="215"/>
        <v>0</v>
      </c>
      <c r="SQ12" s="23">
        <f t="shared" si="216"/>
        <v>0</v>
      </c>
      <c r="SR12" s="23">
        <f t="shared" si="217"/>
        <v>0</v>
      </c>
      <c r="SS12" s="23">
        <f t="shared" si="218"/>
        <v>0</v>
      </c>
      <c r="ST12" s="23">
        <f t="shared" si="219"/>
        <v>0</v>
      </c>
      <c r="SU12" s="23">
        <f t="shared" si="220"/>
        <v>0</v>
      </c>
      <c r="SV12" s="23">
        <f t="shared" si="221"/>
        <v>0</v>
      </c>
      <c r="SW12" s="23">
        <f t="shared" si="222"/>
        <v>0</v>
      </c>
      <c r="SX12" s="23">
        <f t="shared" si="223"/>
        <v>0</v>
      </c>
      <c r="SY12" s="23">
        <f t="shared" si="224"/>
        <v>0</v>
      </c>
      <c r="SZ12" s="23">
        <f t="shared" si="225"/>
        <v>0</v>
      </c>
      <c r="TA12" s="23">
        <f t="shared" si="226"/>
        <v>0</v>
      </c>
      <c r="TB12" s="23">
        <f t="shared" si="227"/>
        <v>0</v>
      </c>
      <c r="TC12" s="28" t="s">
        <v>57</v>
      </c>
      <c r="TD12" s="41" t="str">
        <f t="shared" si="228"/>
        <v/>
      </c>
      <c r="TE12" s="41" t="str">
        <f t="shared" si="229"/>
        <v/>
      </c>
      <c r="TF12" s="41" t="str">
        <f t="shared" si="230"/>
        <v/>
      </c>
      <c r="TG12" s="41" t="str">
        <f t="shared" si="231"/>
        <v/>
      </c>
      <c r="TH12" s="41" t="str">
        <f t="shared" si="232"/>
        <v/>
      </c>
      <c r="TI12" s="41" t="str">
        <f t="shared" si="233"/>
        <v/>
      </c>
      <c r="TJ12" s="41" t="str">
        <f t="shared" si="234"/>
        <v/>
      </c>
      <c r="TK12" s="41" t="str">
        <f t="shared" si="235"/>
        <v/>
      </c>
      <c r="TL12" s="41" t="str">
        <f t="shared" si="236"/>
        <v/>
      </c>
      <c r="TM12" s="41" t="str">
        <f t="shared" si="237"/>
        <v/>
      </c>
      <c r="TN12" s="41" t="str">
        <f t="shared" si="238"/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234</v>
      </c>
      <c r="C13" s="4" t="s">
        <v>5</v>
      </c>
      <c r="D13" s="4" t="s">
        <v>233</v>
      </c>
      <c r="E13" s="9">
        <f t="shared" si="0"/>
        <v>28.9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24.009999999999998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 t="shared" si="6"/>
        <v>2023 Nationals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 t="shared" si="21"/>
        <v>1.7</v>
      </c>
      <c r="BI13" s="40">
        <f t="shared" si="22"/>
        <v>1.74</v>
      </c>
      <c r="BJ13" s="11">
        <f t="shared" si="23"/>
        <v>4.8900000000000006</v>
      </c>
      <c r="BK13" s="11">
        <f t="shared" si="24"/>
        <v>6.7</v>
      </c>
      <c r="BL13" s="11">
        <f t="shared" si="25"/>
        <v>9.26</v>
      </c>
      <c r="BM13" s="11">
        <f t="shared" si="26"/>
        <v>24.009999999999998</v>
      </c>
      <c r="BN13" s="11">
        <f t="shared" si="27"/>
        <v>24.009999999999998</v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>
        <f t="shared" si="31"/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0.27500000000000002</v>
      </c>
      <c r="SO13" s="23">
        <f t="shared" si="214"/>
        <v>0.45</v>
      </c>
      <c r="SP13" s="23">
        <f t="shared" si="215"/>
        <v>0.85</v>
      </c>
      <c r="SQ13" s="23">
        <f t="shared" si="216"/>
        <v>0.87</v>
      </c>
      <c r="SR13" s="23">
        <f t="shared" si="217"/>
        <v>0</v>
      </c>
      <c r="SS13" s="23">
        <f t="shared" si="218"/>
        <v>1.75</v>
      </c>
      <c r="ST13" s="23">
        <f t="shared" si="219"/>
        <v>2.2749999999999999</v>
      </c>
      <c r="SU13" s="23">
        <f t="shared" si="220"/>
        <v>3.35</v>
      </c>
      <c r="SV13" s="23">
        <f t="shared" si="221"/>
        <v>4.63</v>
      </c>
      <c r="SW13" s="23">
        <f t="shared" si="222"/>
        <v>0</v>
      </c>
      <c r="SX13" s="23">
        <f t="shared" si="223"/>
        <v>0</v>
      </c>
      <c r="SY13" s="23">
        <f t="shared" si="224"/>
        <v>0</v>
      </c>
      <c r="SZ13" s="23">
        <f t="shared" si="225"/>
        <v>0</v>
      </c>
      <c r="TA13" s="23">
        <f t="shared" si="226"/>
        <v>0</v>
      </c>
      <c r="TB13" s="23">
        <f t="shared" si="227"/>
        <v>0</v>
      </c>
      <c r="TC13" s="28" t="s">
        <v>57</v>
      </c>
      <c r="TD13" s="41">
        <f t="shared" si="228"/>
        <v>0.85</v>
      </c>
      <c r="TE13" s="41">
        <f t="shared" si="229"/>
        <v>0.87</v>
      </c>
      <c r="TF13" s="41">
        <f t="shared" si="230"/>
        <v>2.4450000000000003</v>
      </c>
      <c r="TG13" s="41">
        <f t="shared" si="231"/>
        <v>3.35</v>
      </c>
      <c r="TH13" s="41">
        <f t="shared" si="232"/>
        <v>4.63</v>
      </c>
      <c r="TI13" s="41">
        <f t="shared" si="233"/>
        <v>12.004999999999999</v>
      </c>
      <c r="TJ13" s="41">
        <f t="shared" si="234"/>
        <v>12.004999999999999</v>
      </c>
      <c r="TK13" s="41" t="str">
        <f t="shared" si="235"/>
        <v/>
      </c>
      <c r="TL13" s="41" t="str">
        <f t="shared" si="236"/>
        <v/>
      </c>
      <c r="TM13" s="41" t="str">
        <f t="shared" si="237"/>
        <v/>
      </c>
      <c r="TN13" s="41">
        <f t="shared" si="238"/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160</v>
      </c>
      <c r="C14" s="4" t="s">
        <v>5</v>
      </c>
      <c r="D14" s="4" t="s">
        <v>159</v>
      </c>
      <c r="E14" s="9">
        <f t="shared" si="0"/>
        <v>12.68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7.55</v>
      </c>
      <c r="K14" s="8" t="str">
        <f t="shared" si="5"/>
        <v>2023 Nationals</v>
      </c>
      <c r="L14" s="8">
        <f>IF(COUNT(AI14,AL14,AP14,BJ14,BM14,BQ14,CK14,CN14,CR14)&gt;1,LARGE((AI14,AL14,AP14,BJ14,BM14,BQ14,CK14,CN14,CR14),2),0)</f>
        <v>5.13</v>
      </c>
      <c r="M14" s="8" t="str">
        <f t="shared" si="6"/>
        <v>2023 Nationals</v>
      </c>
      <c r="N14" s="8" t="str">
        <f t="shared" si="7"/>
        <v/>
      </c>
      <c r="O14" s="11" t="str">
        <f t="shared" si="8"/>
        <v/>
      </c>
      <c r="P14" s="8" t="str">
        <f t="shared" si="9"/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>
        <v>0.7</v>
      </c>
      <c r="AS14" s="27">
        <v>0.95</v>
      </c>
      <c r="AT14" s="27">
        <v>1.5</v>
      </c>
      <c r="AU14" s="27">
        <v>1.98</v>
      </c>
      <c r="AV14" s="27">
        <v>0</v>
      </c>
      <c r="AW14" s="27">
        <v>1.35</v>
      </c>
      <c r="AX14" s="27">
        <v>1.8</v>
      </c>
      <c r="AY14" s="27">
        <v>2.1</v>
      </c>
      <c r="AZ14" s="27">
        <v>2.2999999999999998</v>
      </c>
      <c r="BA14" s="27">
        <v>0</v>
      </c>
      <c r="BB14" s="27"/>
      <c r="BC14" s="27"/>
      <c r="BD14" s="27"/>
      <c r="BE14" s="27"/>
      <c r="BF14" s="27"/>
      <c r="BG14" s="29"/>
      <c r="BH14" s="40">
        <f t="shared" si="21"/>
        <v>1.5</v>
      </c>
      <c r="BI14" s="40">
        <f t="shared" si="22"/>
        <v>1.98</v>
      </c>
      <c r="BJ14" s="11">
        <f t="shared" si="23"/>
        <v>5.13</v>
      </c>
      <c r="BK14" s="11">
        <f t="shared" si="24"/>
        <v>2.1</v>
      </c>
      <c r="BL14" s="11">
        <f t="shared" si="25"/>
        <v>2.2999999999999998</v>
      </c>
      <c r="BM14" s="11">
        <f t="shared" si="26"/>
        <v>7.55</v>
      </c>
      <c r="BN14" s="11">
        <f t="shared" si="27"/>
        <v>7.55</v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>
        <f t="shared" si="31"/>
        <v>7.55</v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 t="str">
        <f t="shared" si="43"/>
        <v/>
      </c>
      <c r="CU14" s="52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0.35</v>
      </c>
      <c r="SO14" s="23">
        <f t="shared" si="214"/>
        <v>0.47499999999999998</v>
      </c>
      <c r="SP14" s="23">
        <f t="shared" si="215"/>
        <v>0.75</v>
      </c>
      <c r="SQ14" s="23">
        <f t="shared" si="216"/>
        <v>0.99</v>
      </c>
      <c r="SR14" s="23">
        <f t="shared" si="217"/>
        <v>0</v>
      </c>
      <c r="SS14" s="23">
        <f t="shared" si="218"/>
        <v>0.67500000000000004</v>
      </c>
      <c r="ST14" s="23">
        <f t="shared" si="219"/>
        <v>0.9</v>
      </c>
      <c r="SU14" s="23">
        <f t="shared" si="220"/>
        <v>1.05</v>
      </c>
      <c r="SV14" s="23">
        <f t="shared" si="221"/>
        <v>1.1499999999999999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>
        <f t="shared" si="228"/>
        <v>0.75</v>
      </c>
      <c r="TE14" s="41">
        <f t="shared" si="229"/>
        <v>0.99</v>
      </c>
      <c r="TF14" s="41">
        <f t="shared" si="230"/>
        <v>2.5649999999999999</v>
      </c>
      <c r="TG14" s="41">
        <f t="shared" si="231"/>
        <v>1.05</v>
      </c>
      <c r="TH14" s="41">
        <f t="shared" si="232"/>
        <v>1.1499999999999999</v>
      </c>
      <c r="TI14" s="41">
        <f t="shared" si="233"/>
        <v>3.7749999999999999</v>
      </c>
      <c r="TJ14" s="41">
        <f t="shared" si="234"/>
        <v>3.7749999999999999</v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>
        <f t="shared" si="238"/>
        <v>3.7749999999999999</v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187</v>
      </c>
      <c r="C15" s="4" t="s">
        <v>186</v>
      </c>
      <c r="D15" s="4">
        <v>2003</v>
      </c>
      <c r="E15" s="9">
        <f t="shared" si="0"/>
        <v>4.16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4.16</v>
      </c>
      <c r="O15" s="11" t="str">
        <f t="shared" si="8"/>
        <v>(Prelim)</v>
      </c>
      <c r="P15" s="8" t="str">
        <f t="shared" si="9"/>
        <v>2022 WAGC (Nov 26)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>
        <f t="shared" si="43"/>
        <v>4.16</v>
      </c>
      <c r="CU15" s="52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 t="str">
        <f t="shared" si="55"/>
        <v/>
      </c>
      <c r="EA15" s="41" t="str">
        <f t="shared" si="56"/>
        <v/>
      </c>
      <c r="EB15" s="41" t="str">
        <f t="shared" si="57"/>
        <v/>
      </c>
      <c r="EC15" s="41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>
        <v>0.7</v>
      </c>
      <c r="FM15" s="17">
        <v>1</v>
      </c>
      <c r="FN15" s="17">
        <v>1.5</v>
      </c>
      <c r="FO15" s="17">
        <v>0.96</v>
      </c>
      <c r="FP15" s="17">
        <v>0</v>
      </c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>
        <f t="shared" si="73"/>
        <v>1.5</v>
      </c>
      <c r="GG15" s="41">
        <f t="shared" si="74"/>
        <v>0.96</v>
      </c>
      <c r="GH15" s="41">
        <f t="shared" si="75"/>
        <v>4.16</v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>
        <f t="shared" si="79"/>
        <v>4.16</v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>
        <f t="shared" si="86"/>
        <v>4.16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5">
    <cfRule type="expression" dxfId="421" priority="41" stopIfTrue="1">
      <formula>IF($AF4&lt;&gt;"",1,0)</formula>
    </cfRule>
  </conditionalFormatting>
  <conditionalFormatting sqref="AR4:BR15">
    <cfRule type="expression" dxfId="420" priority="34" stopIfTrue="1">
      <formula>IF($BG4&lt;&gt;"",1,0)</formula>
    </cfRule>
  </conditionalFormatting>
  <conditionalFormatting sqref="BS4:CS15">
    <cfRule type="expression" dxfId="419" priority="33" stopIfTrue="1">
      <formula>IF($CH4&lt;&gt;"",1,0)</formula>
    </cfRule>
  </conditionalFormatting>
  <conditionalFormatting sqref="BO26:BO1048576 BH1:BH1048576 BK1:BK1048576 BO1:BO24">
    <cfRule type="cellIs" dxfId="418" priority="46" operator="between">
      <formula>$BR$21</formula>
      <formula>1000</formula>
    </cfRule>
    <cfRule type="cellIs" dxfId="417" priority="47" operator="between">
      <formula>$BR$20</formula>
      <formula>$BR$21</formula>
    </cfRule>
    <cfRule type="cellIs" dxfId="416" priority="48" operator="between">
      <formula>$BR$19</formula>
      <formula>$BR$20</formula>
    </cfRule>
    <cfRule type="cellIs" dxfId="415" priority="49" operator="between">
      <formula>$BR$18</formula>
      <formula>$BR$19</formula>
    </cfRule>
  </conditionalFormatting>
  <conditionalFormatting sqref="CP26:CP1048576 CI1:CI1048576 CL1:CL1048576 CP1:CP24">
    <cfRule type="cellIs" dxfId="414" priority="42" operator="between">
      <formula>$CS$21</formula>
      <formula>1000</formula>
    </cfRule>
    <cfRule type="cellIs" dxfId="413" priority="43" operator="between">
      <formula>$CS$20</formula>
      <formula>$CS$21</formula>
    </cfRule>
    <cfRule type="cellIs" dxfId="412" priority="44" operator="between">
      <formula>$CS$19</formula>
      <formula>$CS$20</formula>
    </cfRule>
    <cfRule type="cellIs" dxfId="411" priority="45" operator="between">
      <formula>$CS$18</formula>
      <formula>$CS$19</formula>
    </cfRule>
  </conditionalFormatting>
  <conditionalFormatting sqref="DZ26:DZ1048576 DP1:DP1048576 DS1:DS1048576 DW1:DW1048576 DZ1:DZ24">
    <cfRule type="cellIs" dxfId="410" priority="53" operator="between">
      <formula>$EC$21</formula>
      <formula>1000</formula>
    </cfRule>
    <cfRule type="cellIs" dxfId="409" priority="54" operator="between">
      <formula>$EC$20</formula>
      <formula>$EC$21</formula>
    </cfRule>
    <cfRule type="cellIs" dxfId="408" priority="55" operator="between">
      <formula>$EC$19</formula>
      <formula>$EC$20</formula>
    </cfRule>
    <cfRule type="cellIs" dxfId="407" priority="56" operator="between">
      <formula>$EC$18</formula>
      <formula>$EC$19</formula>
    </cfRule>
  </conditionalFormatting>
  <conditionalFormatting sqref="FH26:FH1048576 EX1:EX1048576 FA1:FA1048576 FE1:FE1048576 FH1:FH24">
    <cfRule type="cellIs" dxfId="406" priority="29" operator="between">
      <formula>$FK$21</formula>
      <formula>1000</formula>
    </cfRule>
    <cfRule type="cellIs" dxfId="405" priority="30" operator="between">
      <formula>$FK$20</formula>
      <formula>$FK$21</formula>
    </cfRule>
    <cfRule type="cellIs" dxfId="404" priority="31" operator="between">
      <formula>$FK$19</formula>
      <formula>$FK$20</formula>
    </cfRule>
    <cfRule type="cellIs" dxfId="403" priority="32" operator="between">
      <formula>$FK$18</formula>
      <formula>$FK$19</formula>
    </cfRule>
  </conditionalFormatting>
  <conditionalFormatting sqref="HX26:HX1048576 HN1:HN1048576 HQ1:HQ1048576 HU1:HU1048576 HX1:HX24">
    <cfRule type="cellIs" dxfId="402" priority="25" operator="between">
      <formula>$IA$21</formula>
      <formula>1000</formula>
    </cfRule>
    <cfRule type="cellIs" dxfId="401" priority="26" operator="between">
      <formula>$IA$20</formula>
      <formula>$IA$21</formula>
    </cfRule>
    <cfRule type="cellIs" dxfId="400" priority="27" operator="between">
      <formula>$IA$19</formula>
      <formula>$IA$20</formula>
    </cfRule>
    <cfRule type="cellIs" dxfId="399" priority="28" operator="between">
      <formula>$IA$18</formula>
      <formula>$IA$19</formula>
    </cfRule>
  </conditionalFormatting>
  <conditionalFormatting sqref="AO25 AG1:AG1048576 AJ1:AJ1048576 AN1:AN1048576">
    <cfRule type="cellIs" dxfId="398" priority="21" operator="between">
      <formula>$AQ$21</formula>
      <formula>1000</formula>
    </cfRule>
    <cfRule type="cellIs" dxfId="397" priority="22" operator="between">
      <formula>$AQ$20</formula>
      <formula>$AQ$21</formula>
    </cfRule>
    <cfRule type="cellIs" dxfId="396" priority="23" operator="between">
      <formula>$AQ$19</formula>
      <formula>$AQ$20</formula>
    </cfRule>
    <cfRule type="cellIs" dxfId="395" priority="24" operator="between">
      <formula>$AQ$18</formula>
      <formula>$AQ$19</formula>
    </cfRule>
  </conditionalFormatting>
  <conditionalFormatting sqref="BO25">
    <cfRule type="cellIs" dxfId="394" priority="17" operator="between">
      <formula>$AQ$21</formula>
      <formula>1000</formula>
    </cfRule>
    <cfRule type="cellIs" dxfId="393" priority="18" operator="between">
      <formula>$AQ$20</formula>
      <formula>$AQ$21</formula>
    </cfRule>
    <cfRule type="cellIs" dxfId="392" priority="19" operator="between">
      <formula>$AQ$19</formula>
      <formula>$AQ$20</formula>
    </cfRule>
    <cfRule type="cellIs" dxfId="391" priority="20" operator="between">
      <formula>$AQ$18</formula>
      <formula>$AQ$19</formula>
    </cfRule>
  </conditionalFormatting>
  <conditionalFormatting sqref="CP25">
    <cfRule type="cellIs" dxfId="390" priority="13" operator="between">
      <formula>$AQ$21</formula>
      <formula>1000</formula>
    </cfRule>
    <cfRule type="cellIs" dxfId="389" priority="14" operator="between">
      <formula>$AQ$20</formula>
      <formula>$AQ$21</formula>
    </cfRule>
    <cfRule type="cellIs" dxfId="388" priority="15" operator="between">
      <formula>$AQ$19</formula>
      <formula>$AQ$20</formula>
    </cfRule>
    <cfRule type="cellIs" dxfId="387" priority="16" operator="between">
      <formula>$AQ$18</formula>
      <formula>$AQ$19</formula>
    </cfRule>
  </conditionalFormatting>
  <conditionalFormatting sqref="DZ25">
    <cfRule type="cellIs" dxfId="386" priority="9" operator="between">
      <formula>$AQ$21</formula>
      <formula>1000</formula>
    </cfRule>
    <cfRule type="cellIs" dxfId="385" priority="10" operator="between">
      <formula>$AQ$20</formula>
      <formula>$AQ$21</formula>
    </cfRule>
    <cfRule type="cellIs" dxfId="384" priority="11" operator="between">
      <formula>$AQ$19</formula>
      <formula>$AQ$20</formula>
    </cfRule>
    <cfRule type="cellIs" dxfId="383" priority="12" operator="between">
      <formula>$AQ$18</formula>
      <formula>$AQ$19</formula>
    </cfRule>
  </conditionalFormatting>
  <conditionalFormatting sqref="FH25">
    <cfRule type="cellIs" dxfId="382" priority="5" operator="between">
      <formula>$AQ$21</formula>
      <formula>1000</formula>
    </cfRule>
    <cfRule type="cellIs" dxfId="381" priority="6" operator="between">
      <formula>$AQ$20</formula>
      <formula>$AQ$21</formula>
    </cfRule>
    <cfRule type="cellIs" dxfId="380" priority="7" operator="between">
      <formula>$AQ$19</formula>
      <formula>$AQ$20</formula>
    </cfRule>
    <cfRule type="cellIs" dxfId="379" priority="8" operator="between">
      <formula>$AQ$18</formula>
      <formula>$AQ$19</formula>
    </cfRule>
  </conditionalFormatting>
  <conditionalFormatting sqref="HX25">
    <cfRule type="cellIs" dxfId="378" priority="1" operator="between">
      <formula>$AQ$21</formula>
      <formula>1000</formula>
    </cfRule>
    <cfRule type="cellIs" dxfId="377" priority="2" operator="between">
      <formula>$AQ$20</formula>
      <formula>$AQ$21</formula>
    </cfRule>
    <cfRule type="cellIs" dxfId="376" priority="3" operator="between">
      <formula>$AQ$19</formula>
      <formula>$AQ$20</formula>
    </cfRule>
    <cfRule type="cellIs" dxfId="375" priority="4" operator="between">
      <formula>$AQ$18</formula>
      <formula>$AQ$19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AQ$25</formula>
      <formula>1000</formula>
    </cfRule>
    <cfRule type="cellIs" dxfId="370" priority="833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EC$25</formula>
      <formula>1000</formula>
    </cfRule>
    <cfRule type="cellIs" dxfId="368" priority="83389" operator="between">
      <formula>EC$24</formula>
      <formula>EC$25</formula>
    </cfRule>
  </conditionalFormatting>
  <conditionalFormatting sqref="AI1:AI1048576 AL1:AL1048576 AP1:AP1048576">
    <cfRule type="cellIs" dxfId="367" priority="83460" operator="between">
      <formula>$AQ$25</formula>
      <formula>1000</formula>
    </cfRule>
    <cfRule type="cellIs" dxfId="366" priority="83461" operator="between">
      <formula>$AQ$24</formula>
      <formula>$AQ$25</formula>
    </cfRule>
    <cfRule type="cellIs" dxfId="365" priority="83462" operator="between">
      <formula>$AQ$23</formula>
      <formula>$AQ$24</formula>
    </cfRule>
    <cfRule type="cellIs" dxfId="364" priority="83463" operator="between">
      <formula>$AQ$22</formula>
      <formula>$AQ$23</formula>
    </cfRule>
  </conditionalFormatting>
  <conditionalFormatting sqref="BJ1:BJ1048576 BM1:BM1048576 BQ1:BQ1048576">
    <cfRule type="cellIs" dxfId="363" priority="83496" operator="between">
      <formula>$BR$25</formula>
      <formula>1000</formula>
    </cfRule>
    <cfRule type="cellIs" dxfId="362" priority="83497" operator="between">
      <formula>$BR$24</formula>
      <formula>$BR$25</formula>
    </cfRule>
    <cfRule type="cellIs" dxfId="361" priority="83498" operator="between">
      <formula>$BR$23</formula>
      <formula>$BR$24</formula>
    </cfRule>
    <cfRule type="cellIs" dxfId="360" priority="83499" operator="between">
      <formula>$BR$22</formula>
      <formula>$BR$23</formula>
    </cfRule>
  </conditionalFormatting>
  <conditionalFormatting sqref="CK1:CK1048576 CN1:CN1048576 CR1:CR1048576">
    <cfRule type="cellIs" dxfId="359" priority="83532" operator="between">
      <formula>$CS$25</formula>
      <formula>1000</formula>
    </cfRule>
    <cfRule type="cellIs" dxfId="358" priority="83533" operator="between">
      <formula>$CS$24</formula>
      <formula>$CS$25</formula>
    </cfRule>
    <cfRule type="cellIs" dxfId="357" priority="83534" operator="between">
      <formula>$CS$23</formula>
      <formula>$CS$24</formula>
    </cfRule>
    <cfRule type="cellIs" dxfId="356" priority="83535" operator="between">
      <formula>$CS$22</formula>
      <formula>$CS$23</formula>
    </cfRule>
  </conditionalFormatting>
  <conditionalFormatting sqref="MT1:MT1048576 MW1:MW1048576 NA1:NA1048576 ND1:ND1048576">
    <cfRule type="cellIs" dxfId="355" priority="83568" operator="between">
      <formula>$NG$18</formula>
      <formula>$NG$19</formula>
    </cfRule>
  </conditionalFormatting>
  <conditionalFormatting sqref="DR1:DR1048576 DU1:DU1048576 DY1:DY1048576 EB1:EB1048576">
    <cfRule type="cellIs" dxfId="354" priority="83580" operator="between">
      <formula>$EC$25</formula>
      <formula>1000</formula>
    </cfRule>
    <cfRule type="cellIs" dxfId="353" priority="83581" operator="between">
      <formula>$EC$24</formula>
      <formula>$EC$25</formula>
    </cfRule>
    <cfRule type="cellIs" dxfId="352" priority="83582" operator="between">
      <formula>$EC$23</formula>
      <formula>$EC$24</formula>
    </cfRule>
    <cfRule type="cellIs" dxfId="351" priority="83583" operator="between">
      <formula>$EC$22</formula>
      <formula>$EC$23</formula>
    </cfRule>
  </conditionalFormatting>
  <conditionalFormatting sqref="EZ1:EZ1048576 FC1:FC1048576 FG1:FG1048576 FJ1:FJ1048576">
    <cfRule type="cellIs" dxfId="350" priority="83628" operator="between">
      <formula>$FK$25</formula>
      <formula>1000</formula>
    </cfRule>
    <cfRule type="cellIs" dxfId="349" priority="83629" operator="between">
      <formula>$FK$24</formula>
      <formula>$FK$25</formula>
    </cfRule>
    <cfRule type="cellIs" dxfId="348" priority="83630" operator="between">
      <formula>$FK$23</formula>
      <formula>$FK$24</formula>
    </cfRule>
    <cfRule type="cellIs" dxfId="347" priority="83631" operator="between">
      <formula>$FK$22</formula>
      <formula>$FK$23</formula>
    </cfRule>
  </conditionalFormatting>
  <conditionalFormatting sqref="GF1:GF1048576 GI1:GI1048576 GM1:GM1048576 GP1:GP1048576">
    <cfRule type="cellIs" dxfId="346" priority="83676" operator="between">
      <formula>$GS$21</formula>
      <formula>1000</formula>
    </cfRule>
    <cfRule type="cellIs" dxfId="345" priority="83677" operator="between">
      <formula>$GS$20</formula>
      <formula>$GS$21</formula>
    </cfRule>
    <cfRule type="cellIs" dxfId="344" priority="83678" operator="between">
      <formula>$GS$19</formula>
      <formula>$GS$20</formula>
    </cfRule>
    <cfRule type="cellIs" dxfId="343" priority="83679" operator="between">
      <formula>$GS$18</formula>
      <formula>$GS$19</formula>
    </cfRule>
  </conditionalFormatting>
  <conditionalFormatting sqref="GH1:GH1048576 GK1:GK1048576 GO1:GO1048576 GR1:GR1048576">
    <cfRule type="cellIs" dxfId="342" priority="83724" operator="between">
      <formula>$GS$25</formula>
      <formula>1000</formula>
    </cfRule>
    <cfRule type="cellIs" dxfId="341" priority="83725" operator="between">
      <formula>$GS$24</formula>
      <formula>$GS$25</formula>
    </cfRule>
    <cfRule type="cellIs" dxfId="340" priority="83726" operator="between">
      <formula>$GS$23</formula>
      <formula>$GS$24</formula>
    </cfRule>
    <cfRule type="cellIs" dxfId="339" priority="83727" operator="between">
      <formula>$GS$22</formula>
      <formula>$GS$23</formula>
    </cfRule>
  </conditionalFormatting>
  <conditionalFormatting sqref="HP1:HP1048576 HS1:HS1048576 HW1:HW1048576 HZ1:HZ1048576">
    <cfRule type="cellIs" dxfId="338" priority="83772" operator="between">
      <formula>$IA$25</formula>
      <formula>1000</formula>
    </cfRule>
    <cfRule type="cellIs" dxfId="337" priority="83773" operator="between">
      <formula>$IA$24</formula>
      <formula>$IA$25</formula>
    </cfRule>
    <cfRule type="cellIs" dxfId="336" priority="83774" operator="between">
      <formula>$IA$23</formula>
      <formula>$IA$24</formula>
    </cfRule>
    <cfRule type="cellIs" dxfId="335" priority="83775" operator="between">
      <formula>$IA$22</formula>
      <formula>$IA$23</formula>
    </cfRule>
  </conditionalFormatting>
  <conditionalFormatting sqref="IV1:IV1048576 IY1:IY1048576 JC1:JC1048576 JF1:JF1048576">
    <cfRule type="cellIs" dxfId="334" priority="83820" operator="between">
      <formula>$JI$21</formula>
      <formula>1000</formula>
    </cfRule>
    <cfRule type="cellIs" dxfId="333" priority="83821" operator="between">
      <formula>$JI$20</formula>
      <formula>$JI$21</formula>
    </cfRule>
    <cfRule type="cellIs" dxfId="332" priority="83822" operator="between">
      <formula>$JI$19</formula>
      <formula>$JI$20</formula>
    </cfRule>
    <cfRule type="cellIs" dxfId="331" priority="83823" operator="between">
      <formula>$JI$18</formula>
      <formula>$JI$19</formula>
    </cfRule>
  </conditionalFormatting>
  <conditionalFormatting sqref="IX1:IX1048576 JA1:JA1048576 JE1:JE1048576 JH1:JH1048576">
    <cfRule type="cellIs" dxfId="330" priority="83868" operator="between">
      <formula>$JI$25</formula>
      <formula>1000</formula>
    </cfRule>
    <cfRule type="cellIs" dxfId="329" priority="83869" operator="between">
      <formula>$JI$24</formula>
      <formula>$JI$25</formula>
    </cfRule>
    <cfRule type="cellIs" dxfId="328" priority="83870" operator="between">
      <formula>$JI$23</formula>
      <formula>$JI$24</formula>
    </cfRule>
    <cfRule type="cellIs" dxfId="327" priority="83871" operator="between">
      <formula>$JI$22</formula>
      <formula>$JI$23</formula>
    </cfRule>
  </conditionalFormatting>
  <conditionalFormatting sqref="KD1:KD1048576 KG1:KG1048576 KK1:KK1048576 KN1:KN1048576">
    <cfRule type="cellIs" dxfId="326" priority="83916" operator="between">
      <formula>$KQ$21</formula>
      <formula>1000</formula>
    </cfRule>
    <cfRule type="cellIs" dxfId="325" priority="83917" operator="between">
      <formula>$KQ$20</formula>
      <formula>$KQ$21</formula>
    </cfRule>
    <cfRule type="cellIs" dxfId="324" priority="83918" operator="between">
      <formula>$KQ$19</formula>
      <formula>$KQ$20</formula>
    </cfRule>
    <cfRule type="cellIs" dxfId="323" priority="83919" operator="between">
      <formula>$KQ$18</formula>
      <formula>$KQ$19</formula>
    </cfRule>
  </conditionalFormatting>
  <conditionalFormatting sqref="KF1:KF1048576 KI1:KI1048576 KM1:KM1048576 KP1:KP1048576">
    <cfRule type="cellIs" dxfId="322" priority="83964" operator="between">
      <formula>$KQ$25</formula>
      <formula>1000</formula>
    </cfRule>
    <cfRule type="cellIs" dxfId="321" priority="83965" operator="between">
      <formula>$KQ$24</formula>
      <formula>$KQ$25</formula>
    </cfRule>
    <cfRule type="cellIs" dxfId="320" priority="83966" operator="between">
      <formula>$KQ$23</formula>
      <formula>$KQ$24</formula>
    </cfRule>
    <cfRule type="cellIs" dxfId="319" priority="83967" operator="between">
      <formula>$KQ$22</formula>
      <formula>$KQ$23</formula>
    </cfRule>
  </conditionalFormatting>
  <conditionalFormatting sqref="LL1:LL1048576 LO1:LO1048576 LS1:LS1048576 LV1:LV1048576">
    <cfRule type="cellIs" dxfId="318" priority="84012" operator="between">
      <formula>$LY$21</formula>
      <formula>1000</formula>
    </cfRule>
    <cfRule type="cellIs" dxfId="317" priority="84013" operator="between">
      <formula>$LY$20</formula>
      <formula>$LY$21</formula>
    </cfRule>
    <cfRule type="cellIs" dxfId="316" priority="84014" operator="between">
      <formula>$LY$19</formula>
      <formula>$LY$20</formula>
    </cfRule>
    <cfRule type="cellIs" dxfId="315" priority="84015" operator="between">
      <formula>$LY$18</formula>
      <formula>$LY$19</formula>
    </cfRule>
  </conditionalFormatting>
  <conditionalFormatting sqref="LN1:LN1048576 LQ1:LQ1048576 LU1:LU1048576 LX1:LX1048576">
    <cfRule type="cellIs" dxfId="314" priority="84060" operator="between">
      <formula>$LY$25</formula>
      <formula>1000</formula>
    </cfRule>
    <cfRule type="cellIs" dxfId="313" priority="84061" operator="between">
      <formula>$LY$24</formula>
      <formula>$LY$25</formula>
    </cfRule>
    <cfRule type="cellIs" dxfId="312" priority="84062" operator="between">
      <formula>$LY$23</formula>
      <formula>$LY$24</formula>
    </cfRule>
    <cfRule type="cellIs" dxfId="311" priority="84063" operator="between">
      <formula>$LY$22</formula>
      <formula>$LY$23</formula>
    </cfRule>
  </conditionalFormatting>
  <conditionalFormatting sqref="MT1:MT1048576 MW1:MW1048576 NA1:NA1048576">
    <cfRule type="cellIs" dxfId="310" priority="84108" operator="between">
      <formula>$NG$21</formula>
      <formula>1000</formula>
    </cfRule>
    <cfRule type="cellIs" dxfId="309" priority="84109" operator="between">
      <formula>$NG$20</formula>
      <formula>$NG$21</formula>
    </cfRule>
    <cfRule type="cellIs" dxfId="308" priority="84110" operator="between">
      <formula>$NG$19</formula>
      <formula>$NG$20</formula>
    </cfRule>
  </conditionalFormatting>
  <conditionalFormatting sqref="MV1:MV1048576 MY1:MY1048576 NC1:NC1048576 NF1:NF1048576">
    <cfRule type="cellIs" dxfId="307" priority="84135" operator="between">
      <formula>$NG$25</formula>
      <formula>1000</formula>
    </cfRule>
    <cfRule type="cellIs" dxfId="306" priority="84136" operator="between">
      <formula>$NG$24</formula>
      <formula>$NG$25</formula>
    </cfRule>
    <cfRule type="cellIs" dxfId="305" priority="84137" operator="between">
      <formula>$NG$23</formula>
      <formula>$NG$24</formula>
    </cfRule>
    <cfRule type="cellIs" dxfId="304" priority="84138" operator="between">
      <formula>$NG$22</formula>
      <formula>$NG$23</formula>
    </cfRule>
  </conditionalFormatting>
  <conditionalFormatting sqref="OB1:OB1048576 OE1:OE1048576 OI1:OI1048576 OL1:OL1048576">
    <cfRule type="cellIs" dxfId="303" priority="84183" operator="between">
      <formula>$OO$21</formula>
      <formula>1000</formula>
    </cfRule>
    <cfRule type="cellIs" dxfId="302" priority="84184" operator="between">
      <formula>$OO$20</formula>
      <formula>$OO$21</formula>
    </cfRule>
    <cfRule type="cellIs" dxfId="301" priority="84185" operator="between">
      <formula>$OO$19</formula>
      <formula>$OO$20</formula>
    </cfRule>
    <cfRule type="cellIs" dxfId="300" priority="84186" operator="between">
      <formula>$OO$18</formula>
      <formula>$OO$19</formula>
    </cfRule>
  </conditionalFormatting>
  <conditionalFormatting sqref="OD1:OD1048576 OG1:OG1048576 OK1:OK1048576 ON1:ON1048576">
    <cfRule type="cellIs" dxfId="299" priority="84231" operator="between">
      <formula>$OO$25</formula>
      <formula>1000</formula>
    </cfRule>
    <cfRule type="cellIs" dxfId="298" priority="84232" operator="between">
      <formula>$OO$24</formula>
      <formula>$OO$25</formula>
    </cfRule>
    <cfRule type="cellIs" dxfId="297" priority="84233" operator="between">
      <formula>$OO$23</formula>
      <formula>$OO$24</formula>
    </cfRule>
    <cfRule type="cellIs" dxfId="296" priority="84234" operator="between">
      <formula>$OO$22</formula>
      <formula>$OO$23</formula>
    </cfRule>
  </conditionalFormatting>
  <conditionalFormatting sqref="PJ1:PJ1048576 PM1:PM1048576 PQ1:PQ1048576 PT1:PT1048576">
    <cfRule type="cellIs" dxfId="295" priority="84279" operator="between">
      <formula>$PW$21</formula>
      <formula>1000</formula>
    </cfRule>
    <cfRule type="cellIs" dxfId="294" priority="84280" operator="between">
      <formula>$PW$20</formula>
      <formula>$PW$21</formula>
    </cfRule>
    <cfRule type="cellIs" dxfId="293" priority="84281" operator="between">
      <formula>$PW$19</formula>
      <formula>$PW$20</formula>
    </cfRule>
    <cfRule type="cellIs" dxfId="292" priority="84282" operator="between">
      <formula>$PW$18</formula>
      <formula>$PW$19</formula>
    </cfRule>
  </conditionalFormatting>
  <conditionalFormatting sqref="PL1:PL1048576 PO1:PO1048576 PS1:PS1048576 PV1:PV1048576">
    <cfRule type="cellIs" dxfId="291" priority="84327" operator="between">
      <formula>$PW$25</formula>
      <formula>1000</formula>
    </cfRule>
    <cfRule type="cellIs" dxfId="290" priority="84328" operator="between">
      <formula>$PW$24</formula>
      <formula>$PW$25</formula>
    </cfRule>
    <cfRule type="cellIs" dxfId="289" priority="84329" operator="between">
      <formula>$PW$23</formula>
      <formula>$PW$24</formula>
    </cfRule>
    <cfRule type="cellIs" dxfId="288" priority="84330" operator="between">
      <formula>$PW$22</formula>
      <formula>$PW$23</formula>
    </cfRule>
  </conditionalFormatting>
  <conditionalFormatting sqref="QR1:QR1048576 QU1:QU1048576 QY1:QY1048576 RB1:RB1048576">
    <cfRule type="cellIs" dxfId="287" priority="84375" operator="between">
      <formula>$RE$21</formula>
      <formula>1000</formula>
    </cfRule>
    <cfRule type="cellIs" dxfId="286" priority="84376" operator="between">
      <formula>$RE$20</formula>
      <formula>$RE$21</formula>
    </cfRule>
    <cfRule type="cellIs" dxfId="285" priority="84377" operator="between">
      <formula>$RE$19</formula>
      <formula>$RE$20</formula>
    </cfRule>
    <cfRule type="cellIs" dxfId="284" priority="84378" operator="between">
      <formula>$RE$18</formula>
      <formula>$RE$19</formula>
    </cfRule>
  </conditionalFormatting>
  <conditionalFormatting sqref="QT1:QT1048576 QW1:QW1048576 RA1:RA1048576 RD1:RD1048576">
    <cfRule type="cellIs" dxfId="283" priority="84423" operator="between">
      <formula>$RE$25</formula>
      <formula>1000</formula>
    </cfRule>
    <cfRule type="cellIs" dxfId="282" priority="84424" operator="between">
      <formula>$RE$24</formula>
      <formula>$RE$25</formula>
    </cfRule>
    <cfRule type="cellIs" dxfId="281" priority="84425" operator="between">
      <formula>$RE$23</formula>
      <formula>$RE$24</formula>
    </cfRule>
    <cfRule type="cellIs" dxfId="280" priority="84426" operator="between">
      <formula>$RE$22</formula>
      <formula>$RE$23</formula>
    </cfRule>
  </conditionalFormatting>
  <conditionalFormatting sqref="RZ1:RZ1048576 SC1:SC1048576 SG1:SG1048576 SJ1:SJ1048576">
    <cfRule type="cellIs" dxfId="279" priority="84471" operator="between">
      <formula>$SM$21</formula>
      <formula>1000</formula>
    </cfRule>
    <cfRule type="cellIs" dxfId="278" priority="84472" operator="between">
      <formula>$SM$20</formula>
      <formula>$SM$21</formula>
    </cfRule>
    <cfRule type="cellIs" dxfId="277" priority="84473" operator="between">
      <formula>$SM$19</formula>
      <formula>$SM$20</formula>
    </cfRule>
    <cfRule type="cellIs" dxfId="276" priority="84474" operator="between">
      <formula>$SM$18</formula>
      <formula>$SM$19</formula>
    </cfRule>
  </conditionalFormatting>
  <conditionalFormatting sqref="SB1:SB1048576 SE1:SE1048576 SI1:SI1048576 SL1:SL1048576">
    <cfRule type="cellIs" dxfId="275" priority="84519" operator="between">
      <formula>$SM$25</formula>
      <formula>1000</formula>
    </cfRule>
    <cfRule type="cellIs" dxfId="274" priority="84520" operator="between">
      <formula>$SM$24</formula>
      <formula>$SM$25</formula>
    </cfRule>
    <cfRule type="cellIs" dxfId="273" priority="84521" operator="between">
      <formula>$SM$23</formula>
      <formula>$SM$24</formula>
    </cfRule>
    <cfRule type="cellIs" dxfId="272" priority="84522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113</v>
      </c>
      <c r="K1" s="68" t="s">
        <v>33</v>
      </c>
      <c r="L1" s="72" t="s">
        <v>189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190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228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175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179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185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188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212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211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220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227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240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110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110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110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110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110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110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110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110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110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110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110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110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100</v>
      </c>
      <c r="C4" s="4" t="s">
        <v>8</v>
      </c>
      <c r="D4" s="4" t="s">
        <v>99</v>
      </c>
      <c r="E4" s="9">
        <f t="shared" ref="E4:E15" si="0">SUM(J4,L4,N4)</f>
        <v>93.36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 t="shared" ref="K4:K15" si="5"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 t="shared" ref="M4:M15" si="6">IF(L4="","",IF(OR(L4=CK4,L4=CN4,L4=CR4),$BS$1,IF(OR(L4=BJ4,L4=BM4,L4=BQ4),$AR$1,IF(OR(L4=AI4,L4=AL4,L4=AP4),$Q$1,""))))</f>
        <v>2023 Elite Canada</v>
      </c>
      <c r="N4" s="8">
        <f t="shared" ref="N4:N15" si="7">IF(MAX(CT4,CU4)&gt;0,MAX(CT4,CU4),"")</f>
        <v>39.01</v>
      </c>
      <c r="O4" s="11" t="str">
        <f t="shared" ref="O4:O15" si="8">IF(N4="","",IF(N4=CT4,"("&amp;CT$2&amp;")",IF(N4=CU4,"("&amp;CU$2&amp;")")))</f>
        <v>(Prelim)</v>
      </c>
      <c r="P4" s="8" t="str">
        <f t="shared" ref="P4:P15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 t="shared" ref="AG4:AG15" si="10">IF(S4&gt;0,S4,"")</f>
        <v>12</v>
      </c>
      <c r="AH4" s="39">
        <f t="shared" ref="AH4:AH15" si="11">IF(T4&gt;0,T4,"")</f>
        <v>15.16</v>
      </c>
      <c r="AI4" s="41">
        <f t="shared" ref="AI4:AI15" si="12">IF(SUM(Q4:T4)-U4&gt;0,SUM(Q4:T4)-U4,"")</f>
        <v>45.21</v>
      </c>
      <c r="AJ4" s="41">
        <f t="shared" ref="AJ4:AJ15" si="13">IF(X4&gt;0,X4,"")</f>
        <v>2.9</v>
      </c>
      <c r="AK4" s="41">
        <f t="shared" ref="AK4:AK15" si="14">IF(Y4&gt;0,Y4,"")</f>
        <v>2.54</v>
      </c>
      <c r="AL4" s="41">
        <f t="shared" ref="AL4:AL15" si="15">IF(SUM(V4:Y4)-Z4&gt;0,SUM(V4:Y4)-Z4,"")</f>
        <v>9.14</v>
      </c>
      <c r="AM4" s="41">
        <f t="shared" ref="AM4:AM15" si="16">IF(AI4="","",MAX(AI4,AL4))</f>
        <v>45.21</v>
      </c>
      <c r="AN4" s="41">
        <f t="shared" ref="AN4:AN15" si="17">IF(AC4&gt;0,AC4,"")</f>
        <v>1.5</v>
      </c>
      <c r="AO4" s="41">
        <f t="shared" ref="AO4:AO15" si="18">IF(AD4&gt;0,AD4,"")</f>
        <v>1.4</v>
      </c>
      <c r="AP4" s="41">
        <f t="shared" ref="AP4:AP15" si="19">IF(SUM(AA4:AD4)-AE4&gt;0,SUM(AA4:AD4)-AE4,"")</f>
        <v>4.6999999999999993</v>
      </c>
      <c r="AQ4" s="41">
        <f t="shared" ref="AQ4:AQ15" si="20"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15" si="21">IF(AT4&gt;0,AT4,"")</f>
        <v/>
      </c>
      <c r="BI4" s="40" t="str">
        <f t="shared" ref="BI4:BI15" si="22">IF(AU4&gt;0,AU4,"")</f>
        <v/>
      </c>
      <c r="BJ4" s="11" t="str">
        <f t="shared" ref="BJ4:BJ15" si="23">IF(SUM(AR4:AU4)-AV4&gt;0,SUM(AR4:AU4)-AV4,"")</f>
        <v/>
      </c>
      <c r="BK4" s="11" t="str">
        <f t="shared" ref="BK4:BK15" si="24">IF(AY4&gt;0,AY4,"")</f>
        <v/>
      </c>
      <c r="BL4" s="11" t="str">
        <f t="shared" ref="BL4:BL15" si="25">IF(AZ4&gt;0,AZ4,"")</f>
        <v/>
      </c>
      <c r="BM4" s="11" t="str">
        <f t="shared" ref="BM4:BM15" si="26">IF(SUM(AW4:AZ4)-BA4&gt;0,SUM(AW4:AZ4)-BA4,"")</f>
        <v/>
      </c>
      <c r="BN4" s="11" t="str">
        <f t="shared" ref="BN4:BN15" si="27">IF(BJ4="","",MAX(BJ4,BM4))</f>
        <v/>
      </c>
      <c r="BO4" s="11" t="str">
        <f t="shared" ref="BO4:BO15" si="28">IF(BD4&gt;0,BD4,"")</f>
        <v/>
      </c>
      <c r="BP4" s="11" t="str">
        <f t="shared" ref="BP4:BP15" si="29">IF(BE4&gt;0,BE4,"")</f>
        <v/>
      </c>
      <c r="BQ4" s="11" t="str">
        <f t="shared" ref="BQ4:BQ15" si="30">IF(SUM(BB4:BE4)-BF4&gt;0,SUM(BB4:BE4)-BF4,"")</f>
        <v/>
      </c>
      <c r="BR4" s="11" t="str">
        <f t="shared" ref="BR4:BR15" si="31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5" si="32">IF(BU4&gt;0,BU4,"")</f>
        <v/>
      </c>
      <c r="CJ4" s="39" t="str">
        <f t="shared" ref="CJ4:CJ15" si="33">IF(BV4&gt;0,BV4,"")</f>
        <v/>
      </c>
      <c r="CK4" s="41" t="str">
        <f t="shared" ref="CK4:CK15" si="34">IF(SUM(BS4:BV4)-BW4&gt;0,SUM(BS4:BV4)-BW4,"")</f>
        <v/>
      </c>
      <c r="CL4" s="41" t="str">
        <f t="shared" ref="CL4:CL15" si="35">IF(BZ4&gt;0,BZ4,"")</f>
        <v/>
      </c>
      <c r="CM4" s="41" t="str">
        <f t="shared" ref="CM4:CM15" si="36">IF(CA4&gt;0,CA4,"")</f>
        <v/>
      </c>
      <c r="CN4" s="41" t="str">
        <f t="shared" ref="CN4:CN15" si="37">IF(SUM(BX4:CA4)-CB4&gt;0,SUM(BX4:CA4)-CB4,"")</f>
        <v/>
      </c>
      <c r="CO4" s="41" t="str">
        <f t="shared" ref="CO4:CO15" si="38">IF(CK4="","",MAX(CK4,CN4))</f>
        <v/>
      </c>
      <c r="CP4" s="41" t="str">
        <f t="shared" ref="CP4:CP15" si="39">IF(CE4&gt;0,CE4,"")</f>
        <v/>
      </c>
      <c r="CQ4" s="41" t="str">
        <f t="shared" ref="CQ4:CQ15" si="40">IF(CF4&gt;0,CF4,"")</f>
        <v/>
      </c>
      <c r="CR4" s="41" t="str">
        <f t="shared" ref="CR4:CR15" si="41">IF(SUM(CC4:CF4)-CG4&gt;0,SUM(CC4:CF4)-CG4,"")</f>
        <v/>
      </c>
      <c r="CS4" s="41" t="str">
        <f t="shared" ref="CS4:CS15" si="42">IF(SUM(CO4,CR4)&gt;0,SUM(CO4,CR4),"")</f>
        <v/>
      </c>
      <c r="CT4" s="52">
        <f t="shared" ref="CT4:CT15" si="43">IF(MAX(DV4,FD4,GL4,HT4,JB4,KJ4,LR4,MZ4,OH4,PP4,QX4,SF4)-IF(L4="",0,L4)&gt;0.001,MAX(DV4,FD4,GL4,HT4,JB4,KJ4,LR4,MZ4,OH4,PP4,QX4,SF4)-IF(L4="",0,L4),"")</f>
        <v>39.01</v>
      </c>
      <c r="CU4" s="52">
        <f t="shared" ref="CU4:CU15" si="44"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 t="shared" ref="DP4:DP15" si="45">IF(CX4&gt;0,CX4,"")</f>
        <v>11.8</v>
      </c>
      <c r="DQ4" s="41">
        <f t="shared" ref="DQ4:DQ15" si="46">IF(CY4&gt;0,CY4,"")</f>
        <v>16.54</v>
      </c>
      <c r="DR4" s="41">
        <f t="shared" ref="DR4:DR15" si="47">IF(SUM(CV4:CY4)-CZ4&gt;0,SUM(CV4:CY4)-CZ4,"")</f>
        <v>45.94</v>
      </c>
      <c r="DS4" s="41">
        <f t="shared" ref="DS4:DS15" si="48">IF(DC4&gt;0,DC4,"")</f>
        <v>11.8</v>
      </c>
      <c r="DT4" s="41">
        <f t="shared" ref="DT4:DT15" si="49">IF(DD4&gt;0,DD4,"")</f>
        <v>19</v>
      </c>
      <c r="DU4" s="41">
        <f t="shared" ref="DU4:DU15" si="50">IF(SUM(DA4:DD4)-DE4&gt;0,SUM(DA4:DD4)-DE4,"")</f>
        <v>48.15</v>
      </c>
      <c r="DV4" s="41">
        <f t="shared" ref="DV4:DV15" si="51">IF(MAX(DR4,DU4)&gt;0,MAX(DR4,DU4),"")</f>
        <v>48.15</v>
      </c>
      <c r="DW4" s="41" t="str">
        <f t="shared" ref="DW4:DW15" si="52">IF(DH4&gt;0,DH4,"")</f>
        <v/>
      </c>
      <c r="DX4" s="41" t="str">
        <f t="shared" ref="DX4:DX15" si="53">IF(DI4&gt;0,DI4,"")</f>
        <v/>
      </c>
      <c r="DY4" s="41" t="str">
        <f t="shared" ref="DY4:DY15" si="54">IF(SUM(DF4:DI4)-DJ4&gt;0,SUM(DF4:DI4)-DJ4,"")</f>
        <v/>
      </c>
      <c r="DZ4" s="41">
        <f t="shared" ref="DZ4:DZ15" si="55">IF(DM4&gt;0,DM4,"")</f>
        <v>10.199999999999999</v>
      </c>
      <c r="EA4" s="41">
        <f t="shared" ref="EA4:EA15" si="56">IF(DN4&gt;0,DN4,"")</f>
        <v>17.46</v>
      </c>
      <c r="EB4" s="41">
        <f t="shared" ref="EB4:EB15" si="57">IF(SUM(DK4:DN4)-DO4&gt;0,SUM(DK4:DN4)-DO4,"")</f>
        <v>43.66</v>
      </c>
      <c r="EC4" s="41">
        <f t="shared" ref="EC4:EC15" si="58">IF(SUM(DV4,DY4,EB4)&gt;0,SUM(DV4,DY4,EB4),"")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 t="shared" ref="EX4:EX15" si="59">IF(EF4&gt;0,EF4,"")</f>
        <v/>
      </c>
      <c r="EY4" s="11" t="str">
        <f t="shared" ref="EY4:EY15" si="60">IF(EG4&gt;0,EG4,"")</f>
        <v/>
      </c>
      <c r="EZ4" s="11" t="str">
        <f t="shared" ref="EZ4:EZ15" si="61">IF(SUM(ED4:EG4)-EH4&gt;0,SUM(ED4:EG4)-EH4,"")</f>
        <v/>
      </c>
      <c r="FA4" s="11" t="str">
        <f t="shared" ref="FA4:FA15" si="62">IF(EK4&gt;0,EK4,"")</f>
        <v/>
      </c>
      <c r="FB4" s="11" t="str">
        <f t="shared" ref="FB4:FB15" si="63">IF(EL4&gt;0,EL4,"")</f>
        <v/>
      </c>
      <c r="FC4" s="11" t="str">
        <f t="shared" ref="FC4:FC15" si="64">IF(SUM(EI4:EL4)-EM4&gt;0,SUM(EI4:EL4)-EM4,"")</f>
        <v/>
      </c>
      <c r="FD4" s="11" t="str">
        <f t="shared" ref="FD4:FD15" si="65">IF(MAX(EZ4,FC4)&gt;0,MAX(EZ4,FC4),"")</f>
        <v/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>
        <f t="shared" ref="FH4:FH15" si="69">IF(EU4&gt;0,EU4,"")</f>
        <v>5.4</v>
      </c>
      <c r="FI4" s="11">
        <f t="shared" ref="FI4:FI15" si="70">IF(EV4&gt;0,EV4,"")</f>
        <v>5.64</v>
      </c>
      <c r="FJ4" s="11">
        <f t="shared" ref="FJ4:FJ15" si="71">IF(SUM(ES4:EV4)-EW4&gt;0,SUM(ES4:EV4)-EW4,"")</f>
        <v>17.89</v>
      </c>
      <c r="FK4" s="11">
        <f t="shared" ref="FK4:FK15" si="72">IF(SUM(FD4,FG4,FJ4)&gt;0,SUM(FD4,FG4,FJ4),"")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15" si="73">IF(FN4&gt;0,FN4,"")</f>
        <v/>
      </c>
      <c r="GG4" s="41" t="str">
        <f t="shared" ref="GG4:GG15" si="74">IF(FO4&gt;0,FO4,"")</f>
        <v/>
      </c>
      <c r="GH4" s="41" t="str">
        <f t="shared" ref="GH4:GH15" si="75">IF(SUM(FL4:FO4)-FP4&gt;0,SUM(FL4:FO4)-FP4,"")</f>
        <v/>
      </c>
      <c r="GI4" s="41" t="str">
        <f t="shared" ref="GI4:GI15" si="76">IF(FS4&gt;0,FS4,"")</f>
        <v/>
      </c>
      <c r="GJ4" s="41" t="str">
        <f t="shared" ref="GJ4:GJ15" si="77">IF(FT4&gt;0,FT4,"")</f>
        <v/>
      </c>
      <c r="GK4" s="41" t="str">
        <f t="shared" ref="GK4:GK15" si="78">IF(SUM(FQ4:FT4)-FU4&gt;0,SUM(FQ4:FT4)-FU4,"")</f>
        <v/>
      </c>
      <c r="GL4" s="41" t="str">
        <f t="shared" ref="GL4:GL15" si="79">IF(MAX(GH4,GK4)&gt;0,MAX(GH4,GK4),"")</f>
        <v/>
      </c>
      <c r="GM4" s="41" t="str">
        <f t="shared" ref="GM4:GM15" si="80">IF(FX4&gt;0,FX4,"")</f>
        <v/>
      </c>
      <c r="GN4" s="41" t="str">
        <f t="shared" ref="GN4:GN15" si="81">IF(FY4&gt;0,FY4,"")</f>
        <v/>
      </c>
      <c r="GO4" s="41" t="str">
        <f t="shared" ref="GO4:GO15" si="82">IF(SUM(FV4:FY4)-FZ4&gt;0,SUM(FV4:FY4)-FZ4,"")</f>
        <v/>
      </c>
      <c r="GP4" s="41" t="str">
        <f t="shared" ref="GP4:GP15" si="83">IF(GC4&gt;0,GC4,"")</f>
        <v/>
      </c>
      <c r="GQ4" s="41" t="str">
        <f t="shared" ref="GQ4:GQ15" si="84">IF(GD4&gt;0,GD4,"")</f>
        <v/>
      </c>
      <c r="GR4" s="41" t="str">
        <f t="shared" ref="GR4:GR15" si="85">IF(SUM(GA4:GD4)-GE4&gt;0,SUM(GA4:GD4)-GE4,"")</f>
        <v/>
      </c>
      <c r="GS4" s="41" t="str">
        <f t="shared" ref="GS4:GS15" si="86"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5" si="87">IF(GV4&gt;0,GV4,"")</f>
        <v/>
      </c>
      <c r="HO4" s="11" t="str">
        <f t="shared" ref="HO4:HO15" si="88">IF(GW4&gt;0,GW4,"")</f>
        <v/>
      </c>
      <c r="HP4" s="11" t="str">
        <f t="shared" ref="HP4:HP15" si="89">IF(SUM(GT4:GW4)-GX4&gt;0,SUM(GT4:GW4)-GX4,"")</f>
        <v/>
      </c>
      <c r="HQ4" s="11" t="str">
        <f t="shared" ref="HQ4:HQ15" si="90">IF(HA4&gt;0,HA4,"")</f>
        <v/>
      </c>
      <c r="HR4" s="11" t="str">
        <f t="shared" ref="HR4:HR15" si="91">IF(HB4&gt;0,HB4,"")</f>
        <v/>
      </c>
      <c r="HS4" s="11" t="str">
        <f t="shared" ref="HS4:HS15" si="92">IF(SUM(GY4:HB4)-HC4&gt;0,SUM(GY4:HB4)-HC4,"")</f>
        <v/>
      </c>
      <c r="HT4" s="11" t="str">
        <f t="shared" ref="HT4:HT15" si="93">IF(MAX(HP4,HS4)&gt;0,MAX(HP4,HS4),"")</f>
        <v/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 t="str">
        <f t="shared" ref="IA4:IA15" si="100"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5" si="101">IF(ID4&gt;0,ID4,"")</f>
        <v/>
      </c>
      <c r="IW4" s="41" t="str">
        <f t="shared" ref="IW4:IW15" si="102">IF(IE4&gt;0,IE4,"")</f>
        <v/>
      </c>
      <c r="IX4" s="41" t="str">
        <f t="shared" ref="IX4:IX15" si="103">IF(SUM(IB4:IE4)-IF4&gt;0,SUM(IB4:IE4)-IF4,"")</f>
        <v/>
      </c>
      <c r="IY4" s="41" t="str">
        <f t="shared" ref="IY4:IY15" si="104">IF(II4&gt;0,II4,"")</f>
        <v/>
      </c>
      <c r="IZ4" s="41" t="str">
        <f t="shared" ref="IZ4:IZ15" si="105">IF(IJ4&gt;0,IJ4,"")</f>
        <v/>
      </c>
      <c r="JA4" s="41" t="str">
        <f t="shared" ref="JA4:JA15" si="106">IF(SUM(IG4:IJ4)-IK4&gt;0,SUM(IG4:IJ4)-IK4,"")</f>
        <v/>
      </c>
      <c r="JB4" s="41" t="str">
        <f t="shared" ref="JB4:JB15" si="107">IF(MAX(IX4,JA4)&gt;0,MAX(IX4,JA4),"")</f>
        <v/>
      </c>
      <c r="JC4" s="41" t="str">
        <f t="shared" ref="JC4:JC15" si="108">IF(IN4&gt;0,IN4,"")</f>
        <v/>
      </c>
      <c r="JD4" s="41" t="str">
        <f t="shared" ref="JD4:JD15" si="109">IF(IO4&gt;0,IO4,"")</f>
        <v/>
      </c>
      <c r="JE4" s="41" t="str">
        <f t="shared" ref="JE4:JE15" si="110">IF(SUM(IL4:IO4)-IP4&gt;0,SUM(IL4:IO4)-IP4,"")</f>
        <v/>
      </c>
      <c r="JF4" s="41" t="str">
        <f t="shared" ref="JF4:JF15" si="111">IF(IS4&gt;0,IS4,"")</f>
        <v/>
      </c>
      <c r="JG4" s="41" t="str">
        <f t="shared" ref="JG4:JG15" si="112">IF(IT4&gt;0,IT4,"")</f>
        <v/>
      </c>
      <c r="JH4" s="41" t="str">
        <f t="shared" ref="JH4:JH15" si="113">IF(SUM(IQ4:IT4)-IU4&gt;0,SUM(IQ4:IT4)-IU4,"")</f>
        <v/>
      </c>
      <c r="JI4" s="41" t="str">
        <f t="shared" ref="JI4:JI15" si="114">IF(SUM(JB4,JE4,JH4)&gt;0,SUM(JB4,JE4,JH4),"")</f>
        <v/>
      </c>
      <c r="JJ4" s="18">
        <v>8.5500000000000007</v>
      </c>
      <c r="JK4" s="18">
        <v>9.35</v>
      </c>
      <c r="JL4" s="18">
        <v>11.8</v>
      </c>
      <c r="JM4" s="18">
        <v>17.66</v>
      </c>
      <c r="JN4" s="18">
        <v>0</v>
      </c>
      <c r="JO4" s="18">
        <v>8.35</v>
      </c>
      <c r="JP4" s="18">
        <v>9.6</v>
      </c>
      <c r="JQ4" s="18">
        <v>11.8</v>
      </c>
      <c r="JR4" s="18">
        <v>17</v>
      </c>
      <c r="JS4" s="18">
        <v>0.6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 t="shared" ref="KD4:KD15" si="115">IF(JL4&gt;0,JL4,"")</f>
        <v>11.8</v>
      </c>
      <c r="KE4" s="11">
        <f t="shared" ref="KE4:KE15" si="116">IF(JM4&gt;0,JM4,"")</f>
        <v>17.66</v>
      </c>
      <c r="KF4" s="11">
        <f t="shared" ref="KF4:KF15" si="117">IF(SUM(JJ4:JM4)-JN4&gt;0,SUM(JJ4:JM4)-JN4,"")</f>
        <v>47.36</v>
      </c>
      <c r="KG4" s="11">
        <f t="shared" ref="KG4:KG15" si="118">IF(JQ4&gt;0,JQ4,"")</f>
        <v>11.8</v>
      </c>
      <c r="KH4" s="11">
        <f t="shared" ref="KH4:KH15" si="119">IF(JR4&gt;0,JR4,"")</f>
        <v>17</v>
      </c>
      <c r="KI4" s="11">
        <f t="shared" ref="KI4:KI15" si="120">IF(SUM(JO4:JR4)-JS4&gt;0,SUM(JO4:JR4)-JS4,"")</f>
        <v>46.15</v>
      </c>
      <c r="KJ4" s="11">
        <f t="shared" ref="KJ4:KJ15" si="121">IF(MAX(KF4,KI4)&gt;0,MAX(KF4,KI4),"")</f>
        <v>47.36</v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>
        <f t="shared" ref="KQ4:KQ15" si="128">IF(SUM(KJ4,KM4,KP4)&gt;0,SUM(KJ4,KM4,KP4),"")</f>
        <v>47.36</v>
      </c>
      <c r="KR4" s="17">
        <v>8.1</v>
      </c>
      <c r="KS4" s="17">
        <v>9</v>
      </c>
      <c r="KT4" s="17">
        <v>11.8</v>
      </c>
      <c r="KU4" s="17">
        <v>15.96</v>
      </c>
      <c r="KV4" s="17">
        <v>0</v>
      </c>
      <c r="KW4" s="17">
        <v>7.9</v>
      </c>
      <c r="KX4" s="17">
        <v>9.1</v>
      </c>
      <c r="KY4" s="17">
        <v>11.8</v>
      </c>
      <c r="KZ4" s="17">
        <v>16.2</v>
      </c>
      <c r="LA4" s="17">
        <v>0.2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 t="shared" ref="LL4:LL15" si="129">IF(KT4&gt;0,KT4,"")</f>
        <v>11.8</v>
      </c>
      <c r="LM4" s="41">
        <f t="shared" ref="LM4:LM15" si="130">IF(KU4&gt;0,KU4,"")</f>
        <v>15.96</v>
      </c>
      <c r="LN4" s="41">
        <f t="shared" ref="LN4:LN15" si="131">IF(SUM(KR4:KU4)-KV4&gt;0,SUM(KR4:KU4)-KV4,"")</f>
        <v>44.86</v>
      </c>
      <c r="LO4" s="41">
        <f t="shared" ref="LO4:LO15" si="132">IF(KY4&gt;0,KY4,"")</f>
        <v>11.8</v>
      </c>
      <c r="LP4" s="41">
        <f t="shared" ref="LP4:LP15" si="133">IF(KZ4&gt;0,KZ4,"")</f>
        <v>16.2</v>
      </c>
      <c r="LQ4" s="41">
        <f t="shared" ref="LQ4:LQ15" si="134">IF(SUM(KW4:KZ4)-LA4&gt;0,SUM(KW4:KZ4)-LA4,"")</f>
        <v>44.8</v>
      </c>
      <c r="LR4" s="41">
        <f t="shared" ref="LR4:LR15" si="135">IF(MAX(LN4,LQ4)&gt;0,MAX(LN4,LQ4),"")</f>
        <v>44.86</v>
      </c>
      <c r="LS4" s="41" t="str">
        <f t="shared" ref="LS4:LS15" si="136">IF(LD4&gt;0,LD4,"")</f>
        <v/>
      </c>
      <c r="LT4" s="41" t="str">
        <f t="shared" ref="LT4:LT15" si="137">IF(LE4&gt;0,LE4,"")</f>
        <v/>
      </c>
      <c r="LU4" s="41" t="str">
        <f t="shared" ref="LU4:LU15" si="138">IF(SUM(LB4:LE4)-LF4&gt;0,SUM(LB4:LE4)-LF4,"")</f>
        <v/>
      </c>
      <c r="LV4" s="41" t="str">
        <f t="shared" ref="LV4:LV15" si="139">IF(LI4&gt;0,LI4,"")</f>
        <v/>
      </c>
      <c r="LW4" s="41" t="str">
        <f t="shared" ref="LW4:LW15" si="140">IF(LJ4&gt;0,LJ4,"")</f>
        <v/>
      </c>
      <c r="LX4" s="41" t="str">
        <f t="shared" ref="LX4:LX15" si="141">IF(SUM(LG4:LJ4)-LK4&gt;0,SUM(LG4:LJ4)-LK4,"")</f>
        <v/>
      </c>
      <c r="LY4" s="41">
        <f t="shared" ref="LY4:LY15" si="142">IF(SUM(LR4,LU4,LX4)&gt;0,SUM(LR4,LU4,LX4),"")</f>
        <v>44.86</v>
      </c>
      <c r="LZ4" s="18">
        <v>8.4</v>
      </c>
      <c r="MA4" s="18">
        <v>9.35</v>
      </c>
      <c r="MB4" s="18">
        <v>11.8</v>
      </c>
      <c r="MC4" s="18">
        <v>18.14</v>
      </c>
      <c r="MD4" s="18">
        <v>0</v>
      </c>
      <c r="ME4" s="18">
        <v>8.1999999999999993</v>
      </c>
      <c r="MF4" s="18">
        <v>8.8000000000000007</v>
      </c>
      <c r="MG4" s="18">
        <v>11.8</v>
      </c>
      <c r="MH4" s="18">
        <v>15.74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 t="shared" ref="MT4:MT15" si="143">IF(MB4&gt;0,MB4,"")</f>
        <v>11.8</v>
      </c>
      <c r="MU4" s="11">
        <f t="shared" ref="MU4:MU15" si="144">IF(MC4&gt;0,MC4,"")</f>
        <v>18.14</v>
      </c>
      <c r="MV4" s="11">
        <f t="shared" ref="MV4:MV15" si="145">IF(SUM(LZ4:MC4)-MD4&gt;0,SUM(LZ4:MC4)-MD4,"")</f>
        <v>47.69</v>
      </c>
      <c r="MW4" s="11">
        <f t="shared" ref="MW4:MW15" si="146">IF(MG4&gt;0,MG4,"")</f>
        <v>11.8</v>
      </c>
      <c r="MX4" s="11">
        <f t="shared" ref="MX4:MX15" si="147">IF(MH4&gt;0,MH4,"")</f>
        <v>15.74</v>
      </c>
      <c r="MY4" s="11">
        <f t="shared" ref="MY4:MY15" si="148">IF(SUM(ME4:MH4)-MI4&gt;0,SUM(ME4:MH4)-MI4,"")</f>
        <v>44.54</v>
      </c>
      <c r="MZ4" s="11">
        <f t="shared" ref="MZ4:MZ15" si="149">IF(MAX(MV4,MY4)&gt;0,MAX(MV4,MY4),"")</f>
        <v>47.69</v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>
        <f t="shared" ref="NG4:NG15" si="156">IF(SUM(MZ4,NC4,NF4)&gt;0,SUM(MZ4,NC4,NF4),"")</f>
        <v>47.69</v>
      </c>
      <c r="NH4" s="17">
        <v>0.75</v>
      </c>
      <c r="NI4" s="17">
        <v>0.95</v>
      </c>
      <c r="NJ4" s="17">
        <v>1.5</v>
      </c>
      <c r="NK4" s="17">
        <v>1.68</v>
      </c>
      <c r="NL4" s="17">
        <v>0</v>
      </c>
      <c r="NM4" s="17">
        <v>7.85</v>
      </c>
      <c r="NN4" s="17">
        <v>9.1999999999999993</v>
      </c>
      <c r="NO4" s="17">
        <v>11.8</v>
      </c>
      <c r="NP4" s="17">
        <v>16.02</v>
      </c>
      <c r="NQ4" s="17">
        <v>0</v>
      </c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>
        <f t="shared" ref="OB4:OB15" si="157">IF(NJ4&gt;0,NJ4,"")</f>
        <v>1.5</v>
      </c>
      <c r="OC4" s="41">
        <f t="shared" ref="OC4:OC15" si="158">IF(NK4&gt;0,NK4,"")</f>
        <v>1.68</v>
      </c>
      <c r="OD4" s="41">
        <f t="shared" ref="OD4:OD15" si="159">IF(SUM(NH4:NK4)-NL4&gt;0,SUM(NH4:NK4)-NL4,"")</f>
        <v>4.88</v>
      </c>
      <c r="OE4" s="41">
        <f t="shared" ref="OE4:OE15" si="160">IF(NO4&gt;0,NO4,"")</f>
        <v>11.8</v>
      </c>
      <c r="OF4" s="41">
        <f t="shared" ref="OF4:OF15" si="161">IF(NP4&gt;0,NP4,"")</f>
        <v>16.02</v>
      </c>
      <c r="OG4" s="41">
        <f t="shared" ref="OG4:OG15" si="162">IF(SUM(NM4:NP4)-NQ4&gt;0,SUM(NM4:NP4)-NQ4,"")</f>
        <v>44.87</v>
      </c>
      <c r="OH4" s="41">
        <f t="shared" ref="OH4:OH15" si="163">IF(MAX(OD4,OG4)&gt;0,MAX(OD4,OG4),"")</f>
        <v>44.87</v>
      </c>
      <c r="OI4" s="41" t="str">
        <f t="shared" ref="OI4:OI15" si="164">IF(NT4&gt;0,NT4,"")</f>
        <v/>
      </c>
      <c r="OJ4" s="41" t="str">
        <f t="shared" ref="OJ4:OJ15" si="165">IF(NU4&gt;0,NU4,"")</f>
        <v/>
      </c>
      <c r="OK4" s="41" t="str">
        <f t="shared" ref="OK4:OK15" si="166">IF(SUM(NR4:NU4)-NV4&gt;0,SUM(NR4:NU4)-NV4,"")</f>
        <v/>
      </c>
      <c r="OL4" s="41" t="str">
        <f t="shared" ref="OL4:OL15" si="167">IF(NY4&gt;0,NY4,"")</f>
        <v/>
      </c>
      <c r="OM4" s="41" t="str">
        <f t="shared" ref="OM4:OM15" si="168">IF(NZ4&gt;0,NZ4,"")</f>
        <v/>
      </c>
      <c r="ON4" s="41" t="str">
        <f t="shared" ref="ON4:ON15" si="169">IF(SUM(NW4:NZ4)-OA4&gt;0,SUM(NW4:NZ4)-OA4,"")</f>
        <v/>
      </c>
      <c r="OO4" s="41">
        <f t="shared" ref="OO4:OO15" si="170">IF(SUM(OH4,OK4,ON4)&gt;0,SUM(OH4,OK4,ON4),"")</f>
        <v>44.87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5" si="185">IF(PZ4&gt;0,PZ4,"")</f>
        <v/>
      </c>
      <c r="QS4" s="41" t="str">
        <f t="shared" ref="QS4:QS15" si="186">IF(QA4&gt;0,QA4,"")</f>
        <v/>
      </c>
      <c r="QT4" s="41" t="str">
        <f t="shared" ref="QT4:QT15" si="187">IF(SUM(PX4:QA4)-QB4&gt;0,SUM(PX4:QA4)-QB4,"")</f>
        <v/>
      </c>
      <c r="QU4" s="41" t="str">
        <f t="shared" ref="QU4:QU15" si="188">IF(QE4&gt;0,QE4,"")</f>
        <v/>
      </c>
      <c r="QV4" s="41" t="str">
        <f t="shared" ref="QV4:QV15" si="189">IF(QF4&gt;0,QF4,"")</f>
        <v/>
      </c>
      <c r="QW4" s="41" t="str">
        <f t="shared" ref="QW4:QW15" si="190">IF(SUM(QC4:QF4)-QG4&gt;0,SUM(QC4:QF4)-QG4,"")</f>
        <v/>
      </c>
      <c r="QX4" s="41" t="str">
        <f t="shared" ref="QX4:QX15" si="191">IF(MAX(QT4,QW4)&gt;0,MAX(QT4,QW4),"")</f>
        <v/>
      </c>
      <c r="QY4" s="41" t="str">
        <f t="shared" ref="QY4:QY15" si="192">IF(QJ4&gt;0,QJ4,"")</f>
        <v/>
      </c>
      <c r="QZ4" s="41" t="str">
        <f t="shared" ref="QZ4:QZ15" si="193">IF(QK4&gt;0,QK4,"")</f>
        <v/>
      </c>
      <c r="RA4" s="41" t="str">
        <f t="shared" ref="RA4:RA15" si="194">IF(SUM(QH4:QK4)-QL4&gt;0,SUM(QH4:QK4)-QL4,"")</f>
        <v/>
      </c>
      <c r="RB4" s="41" t="str">
        <f t="shared" ref="RB4:RB15" si="195">IF(QO4&gt;0,QO4,"")</f>
        <v/>
      </c>
      <c r="RC4" s="41" t="str">
        <f t="shared" ref="RC4:RC15" si="196">IF(QP4&gt;0,QP4,"")</f>
        <v/>
      </c>
      <c r="RD4" s="41" t="str">
        <f t="shared" ref="RD4:RD15" si="197">IF(SUM(QM4:QP4)-QQ4&gt;0,SUM(QM4:QP4)-QQ4,"")</f>
        <v/>
      </c>
      <c r="RE4" s="41" t="str">
        <f t="shared" ref="RE4:RE15" si="198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IF(SUM(SF4,SI4,SL4)&gt;0,SUM(SF4,SI4,SL4),"")</f>
        <v/>
      </c>
      <c r="SN4" s="23">
        <f t="shared" ref="SN4:SN15" si="213">IF($CH4="P",BS4,(BS4+AR4)/2)</f>
        <v>0</v>
      </c>
      <c r="SO4" s="23">
        <f t="shared" ref="SO4:SO15" si="214">IF($CH4="P",BT4,(BT4+AS4)/2)</f>
        <v>0</v>
      </c>
      <c r="SP4" s="23">
        <f t="shared" ref="SP4:SP15" si="215">IF($CH4="P",BU4,(BU4+AT4)/2)</f>
        <v>0</v>
      </c>
      <c r="SQ4" s="23">
        <f t="shared" ref="SQ4:SQ15" si="216">IF($CH4="P",BV4,(BV4+AU4)/2)</f>
        <v>0</v>
      </c>
      <c r="SR4" s="23">
        <f t="shared" ref="SR4:SR15" si="217">IF($CH4="P",BW4,(BW4+AV4)/2)</f>
        <v>0</v>
      </c>
      <c r="SS4" s="23">
        <f t="shared" ref="SS4:SS15" si="218">IF($CH4="P",BX4,(BX4+AW4)/2)</f>
        <v>0</v>
      </c>
      <c r="ST4" s="23">
        <f t="shared" ref="ST4:ST15" si="219">IF($CH4="P",BY4,(BY4+AX4)/2)</f>
        <v>0</v>
      </c>
      <c r="SU4" s="23">
        <f t="shared" ref="SU4:SU15" si="220">IF($CH4="P",BZ4,(BZ4+AY4)/2)</f>
        <v>0</v>
      </c>
      <c r="SV4" s="23">
        <f t="shared" ref="SV4:SV15" si="221">IF($CH4="P",CA4,(CA4+AZ4)/2)</f>
        <v>0</v>
      </c>
      <c r="SW4" s="23">
        <f t="shared" ref="SW4:SW15" si="222">IF($CH4="P",CB4,(CB4+BA4)/2)</f>
        <v>0</v>
      </c>
      <c r="SX4" s="23">
        <f t="shared" ref="SX4:SX15" si="223">IF($CH4="P",CC4,(CC4+BB4)/2)</f>
        <v>0</v>
      </c>
      <c r="SY4" s="23">
        <f t="shared" ref="SY4:SY15" si="224">IF($CH4="P",CD4,(CD4+BC4)/2)</f>
        <v>0</v>
      </c>
      <c r="SZ4" s="23">
        <f t="shared" ref="SZ4:SZ15" si="225">IF($CH4="P",CE4,(CE4+BD4)/2)</f>
        <v>0</v>
      </c>
      <c r="TA4" s="23">
        <f t="shared" ref="TA4:TA15" si="226">IF($CH4="P",CF4,(CF4+BE4)/2)</f>
        <v>0</v>
      </c>
      <c r="TB4" s="23">
        <f t="shared" ref="TB4:TB15" si="227">IF($CH4="P",CG4,(CG4+BF4)/2)</f>
        <v>0</v>
      </c>
      <c r="TC4" s="28" t="s">
        <v>57</v>
      </c>
      <c r="TD4" s="41" t="str">
        <f t="shared" ref="TD4:TD15" si="228">IF(SP4&gt;0,SP4,"")</f>
        <v/>
      </c>
      <c r="TE4" s="41" t="str">
        <f t="shared" ref="TE4:TE15" si="229">IF(SQ4&gt;0,SQ4,"")</f>
        <v/>
      </c>
      <c r="TF4" s="41" t="str">
        <f t="shared" ref="TF4:TF15" si="230">IF(SUM(SN4:SQ4)-SR4&gt;0,SUM(SN4:SQ4)-SR4,"")</f>
        <v/>
      </c>
      <c r="TG4" s="41" t="str">
        <f t="shared" ref="TG4:TG15" si="231">IF(SU4&gt;0,SU4,"")</f>
        <v/>
      </c>
      <c r="TH4" s="41" t="str">
        <f t="shared" ref="TH4:TH15" si="232">IF(SV4&gt;0,SV4,"")</f>
        <v/>
      </c>
      <c r="TI4" s="41" t="str">
        <f t="shared" ref="TI4:TI15" si="233">IF(SUM(SS4:SV4)-SW4&gt;0,SUM(SS4:SV4)-SW4,"")</f>
        <v/>
      </c>
      <c r="TJ4" s="41" t="str">
        <f t="shared" ref="TJ4:TJ15" si="234">IF(MAX(TF4,TI4)&gt;0,MAX(TF4,TI4),"")</f>
        <v/>
      </c>
      <c r="TK4" s="41" t="str">
        <f t="shared" ref="TK4:TK15" si="235">IF(SZ4&gt;0,SZ4,"")</f>
        <v/>
      </c>
      <c r="TL4" s="41" t="str">
        <f t="shared" ref="TL4:TL15" si="236">IF(TA4&gt;0,TA4,"")</f>
        <v/>
      </c>
      <c r="TM4" s="41" t="str">
        <f t="shared" ref="TM4:TM15" si="237">IF(SUM(SX4:TA4)-TB4&gt;0,SUM(SX4:TA4)-TB4,"")</f>
        <v/>
      </c>
      <c r="TN4" s="41" t="str">
        <f t="shared" ref="TN4:TN15" si="238"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151</v>
      </c>
      <c r="C5" s="4" t="s">
        <v>6</v>
      </c>
      <c r="D5" s="4" t="s">
        <v>150</v>
      </c>
      <c r="E5" s="9">
        <f t="shared" si="0"/>
        <v>91.850000000000009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45.870000000000005</v>
      </c>
      <c r="K5" s="8" t="str">
        <f t="shared" si="5"/>
        <v>2023 Nationals</v>
      </c>
      <c r="L5" s="8">
        <f>IF(COUNT(AI5,AL5,AP5,BJ5,BM5,BQ5,CK5,CN5,CR5)&gt;1,LARGE((AI5,AL5,AP5,BJ5,BM5,BQ5,CK5,CN5,CR5),2),0)</f>
        <v>45.510000000000005</v>
      </c>
      <c r="M5" s="8" t="str">
        <f t="shared" si="6"/>
        <v>2023 Elite Canada</v>
      </c>
      <c r="N5" s="8">
        <f t="shared" si="7"/>
        <v>0.46999999999999886</v>
      </c>
      <c r="O5" s="11" t="str">
        <f t="shared" si="8"/>
        <v>(Prelim)</v>
      </c>
      <c r="P5" s="8" t="str">
        <f t="shared" si="9"/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 t="shared" si="10"/>
        <v>11.3</v>
      </c>
      <c r="AH5" s="39">
        <f t="shared" si="11"/>
        <v>17.059999999999999</v>
      </c>
      <c r="AI5" s="41">
        <f t="shared" si="12"/>
        <v>45.31</v>
      </c>
      <c r="AJ5" s="41">
        <f t="shared" si="13"/>
        <v>6.9</v>
      </c>
      <c r="AK5" s="41">
        <f t="shared" si="14"/>
        <v>16.739999999999998</v>
      </c>
      <c r="AL5" s="41">
        <f t="shared" si="15"/>
        <v>39.49</v>
      </c>
      <c r="AM5" s="41">
        <f t="shared" si="16"/>
        <v>45.31</v>
      </c>
      <c r="AN5" s="41">
        <f t="shared" si="17"/>
        <v>11.3</v>
      </c>
      <c r="AO5" s="41">
        <f t="shared" si="18"/>
        <v>17.46</v>
      </c>
      <c r="AP5" s="41">
        <f t="shared" si="19"/>
        <v>45.510000000000005</v>
      </c>
      <c r="AQ5" s="41">
        <f t="shared" si="20"/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 t="shared" si="21"/>
        <v>11.3</v>
      </c>
      <c r="BI5" s="40">
        <f t="shared" si="22"/>
        <v>15.04</v>
      </c>
      <c r="BJ5" s="11">
        <f t="shared" si="23"/>
        <v>43.239999999999995</v>
      </c>
      <c r="BK5" s="11">
        <f t="shared" si="24"/>
        <v>11.3</v>
      </c>
      <c r="BL5" s="11">
        <f t="shared" si="25"/>
        <v>13.62</v>
      </c>
      <c r="BM5" s="11">
        <f t="shared" si="26"/>
        <v>41.57</v>
      </c>
      <c r="BN5" s="11">
        <f t="shared" si="27"/>
        <v>43.239999999999995</v>
      </c>
      <c r="BO5" s="11">
        <f t="shared" si="28"/>
        <v>11.3</v>
      </c>
      <c r="BP5" s="11">
        <f t="shared" si="29"/>
        <v>17.12</v>
      </c>
      <c r="BQ5" s="11">
        <f t="shared" si="30"/>
        <v>45.870000000000005</v>
      </c>
      <c r="BR5" s="11">
        <f t="shared" si="31"/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32"/>
        <v/>
      </c>
      <c r="CJ5" s="39" t="str">
        <f t="shared" si="33"/>
        <v/>
      </c>
      <c r="CK5" s="41" t="str">
        <f t="shared" si="34"/>
        <v/>
      </c>
      <c r="CL5" s="41" t="str">
        <f t="shared" si="35"/>
        <v/>
      </c>
      <c r="CM5" s="41" t="str">
        <f t="shared" si="36"/>
        <v/>
      </c>
      <c r="CN5" s="41" t="str">
        <f t="shared" si="37"/>
        <v/>
      </c>
      <c r="CO5" s="41" t="str">
        <f t="shared" si="38"/>
        <v/>
      </c>
      <c r="CP5" s="41" t="str">
        <f t="shared" si="39"/>
        <v/>
      </c>
      <c r="CQ5" s="41" t="str">
        <f t="shared" si="40"/>
        <v/>
      </c>
      <c r="CR5" s="41" t="str">
        <f t="shared" si="41"/>
        <v/>
      </c>
      <c r="CS5" s="41" t="str">
        <f t="shared" si="42"/>
        <v/>
      </c>
      <c r="CT5" s="52">
        <f t="shared" si="43"/>
        <v>0.46999999999999886</v>
      </c>
      <c r="CU5" s="52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 t="shared" si="73"/>
        <v>10.4</v>
      </c>
      <c r="GG5" s="41">
        <f t="shared" si="74"/>
        <v>11.98</v>
      </c>
      <c r="GH5" s="41">
        <f t="shared" si="75"/>
        <v>38.229999999999997</v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>
        <f t="shared" si="79"/>
        <v>38.229999999999997</v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>
        <f t="shared" si="86"/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 t="shared" si="87"/>
        <v>11.3</v>
      </c>
      <c r="HO5" s="11">
        <f t="shared" si="88"/>
        <v>18.38</v>
      </c>
      <c r="HP5" s="11">
        <f t="shared" si="89"/>
        <v>45.980000000000004</v>
      </c>
      <c r="HQ5" s="11">
        <f t="shared" si="90"/>
        <v>9.9</v>
      </c>
      <c r="HR5" s="11">
        <f t="shared" si="91"/>
        <v>13.98</v>
      </c>
      <c r="HS5" s="11">
        <f t="shared" si="92"/>
        <v>37.78</v>
      </c>
      <c r="HT5" s="11">
        <f t="shared" si="93"/>
        <v>45.980000000000004</v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>
        <f t="shared" si="97"/>
        <v>11.3</v>
      </c>
      <c r="HY5" s="11">
        <f t="shared" si="98"/>
        <v>15.96</v>
      </c>
      <c r="HZ5" s="11">
        <f t="shared" si="99"/>
        <v>43.41</v>
      </c>
      <c r="IA5" s="11">
        <f t="shared" si="100"/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3.6749999999999998</v>
      </c>
      <c r="SO5" s="23">
        <f t="shared" si="214"/>
        <v>4.7750000000000004</v>
      </c>
      <c r="SP5" s="23">
        <f t="shared" si="215"/>
        <v>5.65</v>
      </c>
      <c r="SQ5" s="23">
        <f t="shared" si="216"/>
        <v>7.52</v>
      </c>
      <c r="SR5" s="23">
        <f t="shared" si="217"/>
        <v>0</v>
      </c>
      <c r="SS5" s="23">
        <f t="shared" si="218"/>
        <v>3.7</v>
      </c>
      <c r="ST5" s="23">
        <f t="shared" si="219"/>
        <v>4.625</v>
      </c>
      <c r="SU5" s="23">
        <f t="shared" si="220"/>
        <v>5.65</v>
      </c>
      <c r="SV5" s="23">
        <f t="shared" si="221"/>
        <v>6.81</v>
      </c>
      <c r="SW5" s="23">
        <f t="shared" si="222"/>
        <v>0</v>
      </c>
      <c r="SX5" s="23">
        <f t="shared" si="223"/>
        <v>4.0999999999999996</v>
      </c>
      <c r="SY5" s="23">
        <f t="shared" si="224"/>
        <v>4.625</v>
      </c>
      <c r="SZ5" s="23">
        <f t="shared" si="225"/>
        <v>5.65</v>
      </c>
      <c r="TA5" s="23">
        <f t="shared" si="226"/>
        <v>8.56</v>
      </c>
      <c r="TB5" s="23">
        <f t="shared" si="227"/>
        <v>0</v>
      </c>
      <c r="TC5" s="28" t="s">
        <v>57</v>
      </c>
      <c r="TD5" s="41">
        <f t="shared" si="228"/>
        <v>5.65</v>
      </c>
      <c r="TE5" s="41">
        <f t="shared" si="229"/>
        <v>7.52</v>
      </c>
      <c r="TF5" s="41">
        <f t="shared" si="230"/>
        <v>21.619999999999997</v>
      </c>
      <c r="TG5" s="41">
        <f t="shared" si="231"/>
        <v>5.65</v>
      </c>
      <c r="TH5" s="41">
        <f t="shared" si="232"/>
        <v>6.81</v>
      </c>
      <c r="TI5" s="41">
        <f t="shared" si="233"/>
        <v>20.785</v>
      </c>
      <c r="TJ5" s="41">
        <f t="shared" si="234"/>
        <v>21.619999999999997</v>
      </c>
      <c r="TK5" s="41">
        <f t="shared" si="235"/>
        <v>5.65</v>
      </c>
      <c r="TL5" s="41">
        <f t="shared" si="236"/>
        <v>8.56</v>
      </c>
      <c r="TM5" s="41">
        <f t="shared" si="237"/>
        <v>22.935000000000002</v>
      </c>
      <c r="TN5" s="41">
        <f t="shared" si="238"/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163</v>
      </c>
      <c r="C6" s="4" t="s">
        <v>3</v>
      </c>
      <c r="D6" s="4" t="s">
        <v>164</v>
      </c>
      <c r="E6" s="9">
        <f t="shared" si="0"/>
        <v>89.490000000000009</v>
      </c>
      <c r="F6" s="3" t="str">
        <f t="shared" si="1"/>
        <v>P</v>
      </c>
      <c r="G6" s="3" t="str">
        <f t="shared" si="2"/>
        <v>P</v>
      </c>
      <c r="H6" s="37" t="str">
        <f t="shared" si="3"/>
        <v>National Team</v>
      </c>
      <c r="I6" s="3" t="str">
        <f t="shared" si="4"/>
        <v/>
      </c>
      <c r="J6" s="8">
        <f>IF(COUNT(AI6,AL6,AP6,BJ6,BM6,BQ6,CK6,CN6,CR6)&gt;0,LARGE((AI6,AL6,AP6,BJ6,BM6,BQ6,CK6,CN6,CR6),1),0)</f>
        <v>44.790000000000006</v>
      </c>
      <c r="K6" s="8" t="str">
        <f t="shared" si="5"/>
        <v>2023 Elite Canada</v>
      </c>
      <c r="L6" s="8">
        <f>IF(COUNT(AI6,AL6,AP6,BJ6,BM6,BQ6,CK6,CN6,CR6)&gt;1,LARGE((AI6,AL6,AP6,BJ6,BM6,BQ6,CK6,CN6,CR6),2),0)</f>
        <v>44.7</v>
      </c>
      <c r="M6" s="8" t="str">
        <f t="shared" si="6"/>
        <v>2023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3">
        <v>7.35</v>
      </c>
      <c r="R6" s="23">
        <v>8.85</v>
      </c>
      <c r="S6" s="23">
        <v>11.3</v>
      </c>
      <c r="T6" s="23">
        <v>14.62</v>
      </c>
      <c r="U6" s="23">
        <v>0</v>
      </c>
      <c r="V6" s="23">
        <v>7</v>
      </c>
      <c r="W6" s="23">
        <v>9.15</v>
      </c>
      <c r="X6" s="23">
        <v>11.3</v>
      </c>
      <c r="Y6" s="23">
        <v>16.86</v>
      </c>
      <c r="Z6" s="23">
        <v>0</v>
      </c>
      <c r="AA6" s="23">
        <v>7.55</v>
      </c>
      <c r="AB6" s="23">
        <v>9.3000000000000007</v>
      </c>
      <c r="AC6" s="23">
        <v>11.3</v>
      </c>
      <c r="AD6" s="23">
        <v>16.64</v>
      </c>
      <c r="AE6" s="23">
        <v>0</v>
      </c>
      <c r="AF6" s="28"/>
      <c r="AG6" s="39">
        <f t="shared" si="10"/>
        <v>11.3</v>
      </c>
      <c r="AH6" s="39">
        <f t="shared" si="11"/>
        <v>14.62</v>
      </c>
      <c r="AI6" s="41">
        <f t="shared" si="12"/>
        <v>42.12</v>
      </c>
      <c r="AJ6" s="41">
        <f t="shared" si="13"/>
        <v>11.3</v>
      </c>
      <c r="AK6" s="41">
        <f t="shared" si="14"/>
        <v>16.86</v>
      </c>
      <c r="AL6" s="41">
        <f t="shared" si="15"/>
        <v>44.31</v>
      </c>
      <c r="AM6" s="41">
        <f t="shared" si="16"/>
        <v>44.31</v>
      </c>
      <c r="AN6" s="41">
        <f t="shared" si="17"/>
        <v>11.3</v>
      </c>
      <c r="AO6" s="41">
        <f t="shared" si="18"/>
        <v>16.64</v>
      </c>
      <c r="AP6" s="41">
        <f t="shared" si="19"/>
        <v>44.790000000000006</v>
      </c>
      <c r="AQ6" s="41">
        <f t="shared" si="20"/>
        <v>89.100000000000009</v>
      </c>
      <c r="AR6" s="27">
        <v>7.35</v>
      </c>
      <c r="AS6" s="27">
        <v>9</v>
      </c>
      <c r="AT6" s="27">
        <v>11.3</v>
      </c>
      <c r="AU6" s="27">
        <v>15.54</v>
      </c>
      <c r="AV6" s="27">
        <v>0</v>
      </c>
      <c r="AW6" s="27">
        <v>7.2</v>
      </c>
      <c r="AX6" s="27">
        <v>9.4</v>
      </c>
      <c r="AY6" s="27">
        <v>11.3</v>
      </c>
      <c r="AZ6" s="27">
        <v>16.12</v>
      </c>
      <c r="BA6" s="27">
        <v>0</v>
      </c>
      <c r="BB6" s="27">
        <v>7.55</v>
      </c>
      <c r="BC6" s="27">
        <v>8.9499999999999993</v>
      </c>
      <c r="BD6" s="27">
        <v>11.3</v>
      </c>
      <c r="BE6" s="27">
        <v>16.899999999999999</v>
      </c>
      <c r="BF6" s="27">
        <v>0</v>
      </c>
      <c r="BG6" s="29"/>
      <c r="BH6" s="40">
        <f t="shared" si="21"/>
        <v>11.3</v>
      </c>
      <c r="BI6" s="40">
        <f t="shared" si="22"/>
        <v>15.54</v>
      </c>
      <c r="BJ6" s="11">
        <f t="shared" si="23"/>
        <v>43.19</v>
      </c>
      <c r="BK6" s="11">
        <f t="shared" si="24"/>
        <v>11.3</v>
      </c>
      <c r="BL6" s="11">
        <f t="shared" si="25"/>
        <v>16.12</v>
      </c>
      <c r="BM6" s="11">
        <f t="shared" si="26"/>
        <v>44.02</v>
      </c>
      <c r="BN6" s="11">
        <f t="shared" si="27"/>
        <v>44.02</v>
      </c>
      <c r="BO6" s="11">
        <f t="shared" si="28"/>
        <v>11.3</v>
      </c>
      <c r="BP6" s="11">
        <f t="shared" si="29"/>
        <v>16.899999999999999</v>
      </c>
      <c r="BQ6" s="11">
        <f t="shared" si="30"/>
        <v>44.7</v>
      </c>
      <c r="BR6" s="11">
        <f t="shared" si="31"/>
        <v>88.72</v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 t="str">
        <f t="shared" si="43"/>
        <v/>
      </c>
      <c r="CU6" s="52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>
        <v>5.2</v>
      </c>
      <c r="FM6" s="17">
        <v>6.25</v>
      </c>
      <c r="FN6" s="17">
        <v>7.2</v>
      </c>
      <c r="FO6" s="17">
        <v>13.2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 t="shared" si="73"/>
        <v>7.2</v>
      </c>
      <c r="GG6" s="41">
        <f t="shared" si="74"/>
        <v>13.2</v>
      </c>
      <c r="GH6" s="41">
        <f t="shared" si="75"/>
        <v>31.849999999999998</v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>
        <f t="shared" si="79"/>
        <v>31.849999999999998</v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>
        <f t="shared" si="86"/>
        <v>31.849999999999998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3.6749999999999998</v>
      </c>
      <c r="SO6" s="23">
        <f t="shared" si="214"/>
        <v>4.5</v>
      </c>
      <c r="SP6" s="23">
        <f t="shared" si="215"/>
        <v>5.65</v>
      </c>
      <c r="SQ6" s="23">
        <f t="shared" si="216"/>
        <v>7.77</v>
      </c>
      <c r="SR6" s="23">
        <f t="shared" si="217"/>
        <v>0</v>
      </c>
      <c r="SS6" s="23">
        <f t="shared" si="218"/>
        <v>3.6</v>
      </c>
      <c r="ST6" s="23">
        <f t="shared" si="219"/>
        <v>4.7</v>
      </c>
      <c r="SU6" s="23">
        <f t="shared" si="220"/>
        <v>5.65</v>
      </c>
      <c r="SV6" s="23">
        <f t="shared" si="221"/>
        <v>8.06</v>
      </c>
      <c r="SW6" s="23">
        <f t="shared" si="222"/>
        <v>0</v>
      </c>
      <c r="SX6" s="23">
        <f t="shared" si="223"/>
        <v>3.7749999999999999</v>
      </c>
      <c r="SY6" s="23">
        <f t="shared" si="224"/>
        <v>4.4749999999999996</v>
      </c>
      <c r="SZ6" s="23">
        <f t="shared" si="225"/>
        <v>5.65</v>
      </c>
      <c r="TA6" s="23">
        <f t="shared" si="226"/>
        <v>8.4499999999999993</v>
      </c>
      <c r="TB6" s="23">
        <f t="shared" si="227"/>
        <v>0</v>
      </c>
      <c r="TC6" s="28" t="s">
        <v>57</v>
      </c>
      <c r="TD6" s="41">
        <f t="shared" si="228"/>
        <v>5.65</v>
      </c>
      <c r="TE6" s="41">
        <f t="shared" si="229"/>
        <v>7.77</v>
      </c>
      <c r="TF6" s="41">
        <f t="shared" si="230"/>
        <v>21.594999999999999</v>
      </c>
      <c r="TG6" s="41">
        <f t="shared" si="231"/>
        <v>5.65</v>
      </c>
      <c r="TH6" s="41">
        <f t="shared" si="232"/>
        <v>8.06</v>
      </c>
      <c r="TI6" s="41">
        <f t="shared" si="233"/>
        <v>22.01</v>
      </c>
      <c r="TJ6" s="41">
        <f t="shared" si="234"/>
        <v>22.01</v>
      </c>
      <c r="TK6" s="41">
        <f t="shared" si="235"/>
        <v>5.65</v>
      </c>
      <c r="TL6" s="41">
        <f t="shared" si="236"/>
        <v>8.4499999999999993</v>
      </c>
      <c r="TM6" s="41">
        <f t="shared" si="237"/>
        <v>22.35</v>
      </c>
      <c r="TN6" s="41">
        <f t="shared" si="238"/>
        <v>44.36</v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204</v>
      </c>
      <c r="C7" s="4" t="s">
        <v>203</v>
      </c>
      <c r="D7" s="4" t="s">
        <v>202</v>
      </c>
      <c r="E7" s="9">
        <f t="shared" si="0"/>
        <v>87.78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44.230000000000004</v>
      </c>
      <c r="K7" s="8" t="str">
        <f t="shared" si="5"/>
        <v>2023 Elite Canada</v>
      </c>
      <c r="L7" s="8">
        <f>IF(COUNT(AI7,AL7,AP7,BJ7,BM7,BQ7,CK7,CN7,CR7)&gt;1,LARGE((AI7,AL7,AP7,BJ7,BM7,BQ7,CK7,CN7,CR7),2),0)</f>
        <v>43.55</v>
      </c>
      <c r="M7" s="8" t="str">
        <f t="shared" si="6"/>
        <v>2023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>
        <v>8.4499999999999993</v>
      </c>
      <c r="R7" s="23">
        <v>9.5</v>
      </c>
      <c r="S7" s="23">
        <v>9.6</v>
      </c>
      <c r="T7" s="23">
        <v>16</v>
      </c>
      <c r="U7" s="23">
        <v>0</v>
      </c>
      <c r="V7" s="23">
        <v>3.9</v>
      </c>
      <c r="W7" s="23">
        <v>4.8</v>
      </c>
      <c r="X7" s="23">
        <v>5.2</v>
      </c>
      <c r="Y7" s="23">
        <v>7.86</v>
      </c>
      <c r="Z7" s="23">
        <v>0</v>
      </c>
      <c r="AA7" s="23">
        <v>7.9</v>
      </c>
      <c r="AB7" s="23">
        <v>9.65</v>
      </c>
      <c r="AC7" s="23">
        <v>10.4</v>
      </c>
      <c r="AD7" s="23">
        <v>16.28</v>
      </c>
      <c r="AE7" s="23">
        <v>0</v>
      </c>
      <c r="AF7" s="28"/>
      <c r="AG7" s="39">
        <f t="shared" si="10"/>
        <v>9.6</v>
      </c>
      <c r="AH7" s="39">
        <f t="shared" si="11"/>
        <v>16</v>
      </c>
      <c r="AI7" s="41">
        <f t="shared" si="12"/>
        <v>43.55</v>
      </c>
      <c r="AJ7" s="41">
        <f t="shared" si="13"/>
        <v>5.2</v>
      </c>
      <c r="AK7" s="41">
        <f t="shared" si="14"/>
        <v>7.86</v>
      </c>
      <c r="AL7" s="41">
        <f t="shared" si="15"/>
        <v>21.759999999999998</v>
      </c>
      <c r="AM7" s="41">
        <f t="shared" si="16"/>
        <v>43.55</v>
      </c>
      <c r="AN7" s="41">
        <f t="shared" si="17"/>
        <v>10.4</v>
      </c>
      <c r="AO7" s="41">
        <f t="shared" si="18"/>
        <v>16.28</v>
      </c>
      <c r="AP7" s="41">
        <f t="shared" si="19"/>
        <v>44.230000000000004</v>
      </c>
      <c r="AQ7" s="41">
        <f t="shared" si="20"/>
        <v>87.78</v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 t="str">
        <f t="shared" si="43"/>
        <v/>
      </c>
      <c r="CU7" s="52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73"/>
        <v/>
      </c>
      <c r="GG7" s="41" t="str">
        <f t="shared" si="74"/>
        <v/>
      </c>
      <c r="GH7" s="41" t="str">
        <f t="shared" si="75"/>
        <v/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 t="str">
        <f t="shared" si="79"/>
        <v/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 t="str">
        <f t="shared" si="83"/>
        <v/>
      </c>
      <c r="GQ7" s="41" t="str">
        <f t="shared" si="84"/>
        <v/>
      </c>
      <c r="GR7" s="41" t="str">
        <f t="shared" si="85"/>
        <v/>
      </c>
      <c r="GS7" s="41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138</v>
      </c>
      <c r="C8" s="4" t="s">
        <v>137</v>
      </c>
      <c r="D8" s="4" t="s">
        <v>136</v>
      </c>
      <c r="E8" s="9">
        <f t="shared" si="0"/>
        <v>47.78</v>
      </c>
      <c r="F8" s="3" t="str">
        <f t="shared" si="1"/>
        <v>P</v>
      </c>
      <c r="G8" s="3" t="str">
        <f t="shared" si="2"/>
        <v>P</v>
      </c>
      <c r="H8" s="37" t="str">
        <f t="shared" si="3"/>
        <v>Merit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47.78</v>
      </c>
      <c r="O8" s="11" t="str">
        <f t="shared" si="8"/>
        <v>(Prelim)</v>
      </c>
      <c r="P8" s="8" t="str">
        <f t="shared" si="9"/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47.78</v>
      </c>
      <c r="CU8" s="52">
        <f t="shared" si="44"/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101"/>
        <v/>
      </c>
      <c r="IW8" s="41" t="str">
        <f t="shared" si="102"/>
        <v/>
      </c>
      <c r="IX8" s="41" t="str">
        <f t="shared" si="103"/>
        <v/>
      </c>
      <c r="IY8" s="41" t="str">
        <f t="shared" si="104"/>
        <v/>
      </c>
      <c r="IZ8" s="41" t="str">
        <f t="shared" si="105"/>
        <v/>
      </c>
      <c r="JA8" s="41" t="str">
        <f t="shared" si="106"/>
        <v/>
      </c>
      <c r="JB8" s="41" t="str">
        <f t="shared" si="107"/>
        <v/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 t="str">
        <f t="shared" si="114"/>
        <v/>
      </c>
      <c r="JJ8" s="18">
        <v>7.6</v>
      </c>
      <c r="JK8" s="18">
        <v>9.15</v>
      </c>
      <c r="JL8" s="18">
        <v>13.1</v>
      </c>
      <c r="JM8" s="18">
        <v>17.7</v>
      </c>
      <c r="JN8" s="18">
        <v>0</v>
      </c>
      <c r="JO8" s="18">
        <v>5.3</v>
      </c>
      <c r="JP8" s="18">
        <v>6.6</v>
      </c>
      <c r="JQ8" s="18">
        <v>9.4</v>
      </c>
      <c r="JR8" s="18">
        <v>12.56</v>
      </c>
      <c r="JS8" s="18">
        <v>0</v>
      </c>
      <c r="JT8" s="18"/>
      <c r="JU8" s="18"/>
      <c r="JV8" s="18"/>
      <c r="JW8" s="18"/>
      <c r="JX8" s="18"/>
      <c r="JY8" s="18">
        <v>0.75</v>
      </c>
      <c r="JZ8" s="18">
        <v>0.95</v>
      </c>
      <c r="KA8" s="18">
        <v>1.5</v>
      </c>
      <c r="KB8" s="18">
        <v>2</v>
      </c>
      <c r="KC8" s="18">
        <v>0</v>
      </c>
      <c r="KD8" s="11">
        <f t="shared" si="115"/>
        <v>13.1</v>
      </c>
      <c r="KE8" s="11">
        <f t="shared" si="116"/>
        <v>17.7</v>
      </c>
      <c r="KF8" s="11">
        <f t="shared" si="117"/>
        <v>47.55</v>
      </c>
      <c r="KG8" s="11">
        <f t="shared" si="118"/>
        <v>9.4</v>
      </c>
      <c r="KH8" s="11">
        <f t="shared" si="119"/>
        <v>12.56</v>
      </c>
      <c r="KI8" s="11">
        <f t="shared" si="120"/>
        <v>33.86</v>
      </c>
      <c r="KJ8" s="11">
        <f t="shared" si="121"/>
        <v>47.55</v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>
        <f t="shared" si="125"/>
        <v>1.5</v>
      </c>
      <c r="KO8" s="11">
        <f t="shared" si="126"/>
        <v>2</v>
      </c>
      <c r="KP8" s="11">
        <f t="shared" si="127"/>
        <v>5.2</v>
      </c>
      <c r="KQ8" s="11">
        <f t="shared" si="128"/>
        <v>52.75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>
        <v>7.15</v>
      </c>
      <c r="MA8" s="18">
        <v>9.25</v>
      </c>
      <c r="MB8" s="18">
        <v>13.1</v>
      </c>
      <c r="MC8" s="18">
        <v>18.28</v>
      </c>
      <c r="MD8" s="18">
        <v>0</v>
      </c>
      <c r="ME8" s="18">
        <v>6.6</v>
      </c>
      <c r="MF8" s="18">
        <v>8.35</v>
      </c>
      <c r="MG8" s="18">
        <v>11.5</v>
      </c>
      <c r="MH8" s="18">
        <v>13.92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9.25</v>
      </c>
      <c r="MQ8" s="18">
        <v>13.1</v>
      </c>
      <c r="MR8" s="18">
        <v>18.02</v>
      </c>
      <c r="MS8" s="18">
        <v>0</v>
      </c>
      <c r="MT8" s="11">
        <f t="shared" si="143"/>
        <v>13.1</v>
      </c>
      <c r="MU8" s="11">
        <f t="shared" si="144"/>
        <v>18.28</v>
      </c>
      <c r="MV8" s="11">
        <f t="shared" si="145"/>
        <v>47.78</v>
      </c>
      <c r="MW8" s="11">
        <f t="shared" si="146"/>
        <v>11.5</v>
      </c>
      <c r="MX8" s="11">
        <f t="shared" si="147"/>
        <v>13.92</v>
      </c>
      <c r="MY8" s="11">
        <f t="shared" si="148"/>
        <v>40.369999999999997</v>
      </c>
      <c r="MZ8" s="11">
        <f t="shared" si="149"/>
        <v>47.78</v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>
        <f t="shared" si="153"/>
        <v>13.1</v>
      </c>
      <c r="NE8" s="11">
        <f t="shared" si="154"/>
        <v>18.02</v>
      </c>
      <c r="NF8" s="11">
        <f t="shared" si="155"/>
        <v>47.72</v>
      </c>
      <c r="NG8" s="11">
        <f t="shared" si="156"/>
        <v>95.5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244</v>
      </c>
      <c r="C9" s="4" t="s">
        <v>3</v>
      </c>
      <c r="D9" s="4" t="s">
        <v>243</v>
      </c>
      <c r="E9" s="9">
        <f t="shared" si="0"/>
        <v>46.2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46.2</v>
      </c>
      <c r="O9" s="11" t="str">
        <f t="shared" si="8"/>
        <v>(Prelim)</v>
      </c>
      <c r="P9" s="8" t="str">
        <f t="shared" si="9"/>
        <v>2023 World Cup USA (Aug 5)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>
        <f t="shared" si="43"/>
        <v>46.2</v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>
        <v>6.95</v>
      </c>
      <c r="NI9" s="17">
        <v>9.15</v>
      </c>
      <c r="NJ9" s="17">
        <v>11.4</v>
      </c>
      <c r="NK9" s="17">
        <v>18.7</v>
      </c>
      <c r="NL9" s="17">
        <v>0</v>
      </c>
      <c r="NM9" s="17">
        <v>1.4</v>
      </c>
      <c r="NN9" s="17">
        <v>1.85</v>
      </c>
      <c r="NO9" s="17">
        <v>2.7</v>
      </c>
      <c r="NP9" s="17">
        <v>3.56</v>
      </c>
      <c r="NQ9" s="17">
        <v>0</v>
      </c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>
        <f t="shared" si="157"/>
        <v>11.4</v>
      </c>
      <c r="OC9" s="41">
        <f t="shared" si="158"/>
        <v>18.7</v>
      </c>
      <c r="OD9" s="41">
        <f t="shared" si="159"/>
        <v>46.2</v>
      </c>
      <c r="OE9" s="41">
        <f t="shared" si="160"/>
        <v>2.7</v>
      </c>
      <c r="OF9" s="41">
        <f t="shared" si="161"/>
        <v>3.56</v>
      </c>
      <c r="OG9" s="41">
        <f t="shared" si="162"/>
        <v>9.51</v>
      </c>
      <c r="OH9" s="41">
        <f t="shared" si="163"/>
        <v>46.2</v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>
        <f t="shared" si="170"/>
        <v>46.2</v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226</v>
      </c>
      <c r="C10" s="4" t="s">
        <v>137</v>
      </c>
      <c r="D10" s="4" t="s">
        <v>225</v>
      </c>
      <c r="E10" s="9">
        <f t="shared" si="0"/>
        <v>45.22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45.22</v>
      </c>
      <c r="O10" s="11" t="str">
        <f t="shared" si="8"/>
        <v>(Prelim)</v>
      </c>
      <c r="P10" s="8" t="str">
        <f t="shared" si="9"/>
        <v>2023 World Cup POR 1 (July 2)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>
        <f t="shared" si="43"/>
        <v>45.22</v>
      </c>
      <c r="CU10" s="52">
        <f t="shared" si="44"/>
        <v>44.18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>
        <v>7.2</v>
      </c>
      <c r="KS10" s="17">
        <v>9.0500000000000007</v>
      </c>
      <c r="KT10" s="17">
        <v>12.1</v>
      </c>
      <c r="KU10" s="17">
        <v>15.6</v>
      </c>
      <c r="KV10" s="17">
        <v>0</v>
      </c>
      <c r="KW10" s="17">
        <v>7.15</v>
      </c>
      <c r="KX10" s="17">
        <v>9.65</v>
      </c>
      <c r="KY10" s="17">
        <v>12.1</v>
      </c>
      <c r="KZ10" s="17">
        <v>16.32</v>
      </c>
      <c r="LA10" s="17">
        <v>0</v>
      </c>
      <c r="LB10" s="17"/>
      <c r="LC10" s="17"/>
      <c r="LD10" s="17"/>
      <c r="LE10" s="17"/>
      <c r="LF10" s="17"/>
      <c r="LG10" s="17">
        <v>6.35</v>
      </c>
      <c r="LH10" s="17">
        <v>9.0500000000000007</v>
      </c>
      <c r="LI10" s="17">
        <v>12.1</v>
      </c>
      <c r="LJ10" s="17">
        <v>16.68</v>
      </c>
      <c r="LK10" s="17">
        <v>0</v>
      </c>
      <c r="LL10" s="41">
        <f t="shared" si="129"/>
        <v>12.1</v>
      </c>
      <c r="LM10" s="41">
        <f t="shared" si="130"/>
        <v>15.6</v>
      </c>
      <c r="LN10" s="41">
        <f t="shared" si="131"/>
        <v>43.95</v>
      </c>
      <c r="LO10" s="41">
        <f t="shared" si="132"/>
        <v>12.1</v>
      </c>
      <c r="LP10" s="41">
        <f t="shared" si="133"/>
        <v>16.32</v>
      </c>
      <c r="LQ10" s="41">
        <f t="shared" si="134"/>
        <v>45.22</v>
      </c>
      <c r="LR10" s="41">
        <f t="shared" si="135"/>
        <v>45.22</v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>
        <f t="shared" si="139"/>
        <v>12.1</v>
      </c>
      <c r="LW10" s="41">
        <f t="shared" si="140"/>
        <v>16.68</v>
      </c>
      <c r="LX10" s="41">
        <f t="shared" si="141"/>
        <v>44.18</v>
      </c>
      <c r="LY10" s="41">
        <f t="shared" si="142"/>
        <v>89.4</v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205</v>
      </c>
      <c r="C11" s="4" t="s">
        <v>3</v>
      </c>
      <c r="D11" s="4" t="s">
        <v>206</v>
      </c>
      <c r="E11" s="9">
        <f t="shared" si="0"/>
        <v>87.9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44.629999999999995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43.27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 t="shared" si="10"/>
        <v>9.6</v>
      </c>
      <c r="AH11" s="39">
        <f t="shared" si="11"/>
        <v>16.760000000000002</v>
      </c>
      <c r="AI11" s="41">
        <f t="shared" si="12"/>
        <v>43.260000000000005</v>
      </c>
      <c r="AJ11" s="41">
        <f t="shared" si="13"/>
        <v>2.1</v>
      </c>
      <c r="AK11" s="41">
        <f t="shared" si="14"/>
        <v>3.78</v>
      </c>
      <c r="AL11" s="41">
        <f t="shared" si="15"/>
        <v>8.93</v>
      </c>
      <c r="AM11" s="41">
        <f t="shared" si="16"/>
        <v>43.260000000000005</v>
      </c>
      <c r="AN11" s="41">
        <f t="shared" si="17"/>
        <v>7.1</v>
      </c>
      <c r="AO11" s="41">
        <f t="shared" si="18"/>
        <v>10.220000000000001</v>
      </c>
      <c r="AP11" s="41">
        <f t="shared" si="19"/>
        <v>27.17</v>
      </c>
      <c r="AQ11" s="41">
        <f t="shared" si="20"/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 t="shared" si="21"/>
        <v>6.8</v>
      </c>
      <c r="BI11" s="40">
        <f t="shared" si="22"/>
        <v>12.6</v>
      </c>
      <c r="BJ11" s="11">
        <f t="shared" si="23"/>
        <v>31</v>
      </c>
      <c r="BK11" s="11">
        <f t="shared" si="24"/>
        <v>9.6</v>
      </c>
      <c r="BL11" s="11">
        <f t="shared" si="25"/>
        <v>17.98</v>
      </c>
      <c r="BM11" s="11">
        <f t="shared" si="26"/>
        <v>44.629999999999995</v>
      </c>
      <c r="BN11" s="11">
        <f t="shared" si="27"/>
        <v>44.629999999999995</v>
      </c>
      <c r="BO11" s="11">
        <f t="shared" si="28"/>
        <v>9.6</v>
      </c>
      <c r="BP11" s="11">
        <f t="shared" si="29"/>
        <v>16.920000000000002</v>
      </c>
      <c r="BQ11" s="11">
        <f t="shared" si="30"/>
        <v>43.27</v>
      </c>
      <c r="BR11" s="11">
        <f t="shared" si="31"/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2.5</v>
      </c>
      <c r="SO11" s="23">
        <f t="shared" si="214"/>
        <v>3.3</v>
      </c>
      <c r="SP11" s="23">
        <f t="shared" si="215"/>
        <v>3.4</v>
      </c>
      <c r="SQ11" s="23">
        <f t="shared" si="216"/>
        <v>6.3</v>
      </c>
      <c r="SR11" s="23">
        <f t="shared" si="217"/>
        <v>0</v>
      </c>
      <c r="SS11" s="23">
        <f t="shared" si="218"/>
        <v>3.7</v>
      </c>
      <c r="ST11" s="23">
        <f t="shared" si="219"/>
        <v>4.8250000000000002</v>
      </c>
      <c r="SU11" s="23">
        <f t="shared" si="220"/>
        <v>4.8</v>
      </c>
      <c r="SV11" s="23">
        <f t="shared" si="221"/>
        <v>8.99</v>
      </c>
      <c r="SW11" s="23">
        <f t="shared" si="222"/>
        <v>0</v>
      </c>
      <c r="SX11" s="23">
        <f t="shared" si="223"/>
        <v>3.7</v>
      </c>
      <c r="SY11" s="23">
        <f t="shared" si="224"/>
        <v>4.6749999999999998</v>
      </c>
      <c r="SZ11" s="23">
        <f t="shared" si="225"/>
        <v>4.8</v>
      </c>
      <c r="TA11" s="23">
        <f t="shared" si="226"/>
        <v>8.4600000000000009</v>
      </c>
      <c r="TB11" s="23">
        <f t="shared" si="227"/>
        <v>0</v>
      </c>
      <c r="TC11" s="28" t="s">
        <v>57</v>
      </c>
      <c r="TD11" s="41">
        <f t="shared" si="228"/>
        <v>3.4</v>
      </c>
      <c r="TE11" s="41">
        <f t="shared" si="229"/>
        <v>6.3</v>
      </c>
      <c r="TF11" s="41">
        <f t="shared" si="230"/>
        <v>15.5</v>
      </c>
      <c r="TG11" s="41">
        <f t="shared" si="231"/>
        <v>4.8</v>
      </c>
      <c r="TH11" s="41">
        <f t="shared" si="232"/>
        <v>8.99</v>
      </c>
      <c r="TI11" s="41">
        <f t="shared" si="233"/>
        <v>22.314999999999998</v>
      </c>
      <c r="TJ11" s="41">
        <f t="shared" si="234"/>
        <v>22.314999999999998</v>
      </c>
      <c r="TK11" s="41">
        <f t="shared" si="235"/>
        <v>4.8</v>
      </c>
      <c r="TL11" s="41">
        <f t="shared" si="236"/>
        <v>8.4600000000000009</v>
      </c>
      <c r="TM11" s="41">
        <f t="shared" si="237"/>
        <v>21.635000000000002</v>
      </c>
      <c r="TN11" s="41">
        <f t="shared" si="238"/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162</v>
      </c>
      <c r="C12" s="4" t="s">
        <v>5</v>
      </c>
      <c r="D12" s="4" t="s">
        <v>161</v>
      </c>
      <c r="E12" s="9">
        <f t="shared" si="0"/>
        <v>87.06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44.26</v>
      </c>
      <c r="K12" s="8" t="str">
        <f t="shared" si="5"/>
        <v>2023 Nationals</v>
      </c>
      <c r="L12" s="8">
        <f>IF(COUNT(AI12,AL12,AP12,BJ12,BM12,BQ12,CK12,CN12,CR12)&gt;1,LARGE((AI12,AL12,AP12,BJ12,BM12,BQ12,CK12,CN12,CR12),2),0)</f>
        <v>42.8</v>
      </c>
      <c r="M12" s="8" t="str">
        <f t="shared" si="6"/>
        <v>2023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 t="shared" si="21"/>
        <v>7.8</v>
      </c>
      <c r="BI12" s="40">
        <f t="shared" si="22"/>
        <v>11.36</v>
      </c>
      <c r="BJ12" s="11">
        <f t="shared" si="23"/>
        <v>31.759999999999998</v>
      </c>
      <c r="BK12" s="11">
        <f t="shared" si="24"/>
        <v>9.6</v>
      </c>
      <c r="BL12" s="11">
        <f t="shared" si="25"/>
        <v>17.86</v>
      </c>
      <c r="BM12" s="11">
        <f t="shared" si="26"/>
        <v>44.26</v>
      </c>
      <c r="BN12" s="11">
        <f t="shared" si="27"/>
        <v>44.26</v>
      </c>
      <c r="BO12" s="11">
        <f t="shared" si="28"/>
        <v>9.8000000000000007</v>
      </c>
      <c r="BP12" s="11">
        <f t="shared" si="29"/>
        <v>16</v>
      </c>
      <c r="BQ12" s="11">
        <f t="shared" si="30"/>
        <v>42.8</v>
      </c>
      <c r="BR12" s="11">
        <f t="shared" si="31"/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2.7749999999999999</v>
      </c>
      <c r="SO12" s="23">
        <f t="shared" si="214"/>
        <v>3.5249999999999999</v>
      </c>
      <c r="SP12" s="23">
        <f t="shared" si="215"/>
        <v>3.9</v>
      </c>
      <c r="SQ12" s="23">
        <f t="shared" si="216"/>
        <v>5.68</v>
      </c>
      <c r="SR12" s="23">
        <f t="shared" si="217"/>
        <v>0</v>
      </c>
      <c r="SS12" s="23">
        <f t="shared" si="218"/>
        <v>3.65</v>
      </c>
      <c r="ST12" s="23">
        <f t="shared" si="219"/>
        <v>4.75</v>
      </c>
      <c r="SU12" s="23">
        <f t="shared" si="220"/>
        <v>4.8</v>
      </c>
      <c r="SV12" s="23">
        <f t="shared" si="221"/>
        <v>8.93</v>
      </c>
      <c r="SW12" s="23">
        <f t="shared" si="222"/>
        <v>0</v>
      </c>
      <c r="SX12" s="23">
        <f t="shared" si="223"/>
        <v>3.9</v>
      </c>
      <c r="SY12" s="23">
        <f t="shared" si="224"/>
        <v>4.5999999999999996</v>
      </c>
      <c r="SZ12" s="23">
        <f t="shared" si="225"/>
        <v>4.9000000000000004</v>
      </c>
      <c r="TA12" s="23">
        <f t="shared" si="226"/>
        <v>8</v>
      </c>
      <c r="TB12" s="23">
        <f t="shared" si="227"/>
        <v>0</v>
      </c>
      <c r="TC12" s="28" t="s">
        <v>57</v>
      </c>
      <c r="TD12" s="41">
        <f t="shared" si="228"/>
        <v>3.9</v>
      </c>
      <c r="TE12" s="41">
        <f t="shared" si="229"/>
        <v>5.68</v>
      </c>
      <c r="TF12" s="41">
        <f t="shared" si="230"/>
        <v>15.879999999999999</v>
      </c>
      <c r="TG12" s="41">
        <f t="shared" si="231"/>
        <v>4.8</v>
      </c>
      <c r="TH12" s="41">
        <f t="shared" si="232"/>
        <v>8.93</v>
      </c>
      <c r="TI12" s="41">
        <f t="shared" si="233"/>
        <v>22.13</v>
      </c>
      <c r="TJ12" s="41">
        <f t="shared" si="234"/>
        <v>22.13</v>
      </c>
      <c r="TK12" s="41">
        <f t="shared" si="235"/>
        <v>4.9000000000000004</v>
      </c>
      <c r="TL12" s="41">
        <f t="shared" si="236"/>
        <v>8</v>
      </c>
      <c r="TM12" s="41">
        <f t="shared" si="237"/>
        <v>21.4</v>
      </c>
      <c r="TN12" s="41">
        <f t="shared" si="238"/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236</v>
      </c>
      <c r="C13" s="4" t="s">
        <v>8</v>
      </c>
      <c r="D13" s="4" t="s">
        <v>235</v>
      </c>
      <c r="E13" s="9">
        <f t="shared" si="0"/>
        <v>83.800000000000011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43.54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 t="shared" si="6"/>
        <v>2023 Nationals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 t="shared" si="21"/>
        <v>9</v>
      </c>
      <c r="BI13" s="40">
        <f t="shared" si="22"/>
        <v>17.64</v>
      </c>
      <c r="BJ13" s="11">
        <f t="shared" si="23"/>
        <v>43.54</v>
      </c>
      <c r="BK13" s="11">
        <f t="shared" si="24"/>
        <v>9</v>
      </c>
      <c r="BL13" s="11">
        <f t="shared" si="25"/>
        <v>14.46</v>
      </c>
      <c r="BM13" s="11">
        <f t="shared" si="26"/>
        <v>40.260000000000005</v>
      </c>
      <c r="BN13" s="11">
        <f t="shared" si="27"/>
        <v>43.54</v>
      </c>
      <c r="BO13" s="11">
        <f t="shared" si="28"/>
        <v>5.8</v>
      </c>
      <c r="BP13" s="11">
        <f t="shared" si="29"/>
        <v>9.8800000000000008</v>
      </c>
      <c r="BQ13" s="11">
        <f t="shared" si="30"/>
        <v>26.18</v>
      </c>
      <c r="BR13" s="11">
        <f t="shared" si="31"/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3.85</v>
      </c>
      <c r="SO13" s="23">
        <f t="shared" si="214"/>
        <v>4.5999999999999996</v>
      </c>
      <c r="SP13" s="23">
        <f t="shared" si="215"/>
        <v>4.5</v>
      </c>
      <c r="SQ13" s="23">
        <f t="shared" si="216"/>
        <v>8.82</v>
      </c>
      <c r="SR13" s="23">
        <f t="shared" si="217"/>
        <v>0</v>
      </c>
      <c r="SS13" s="23">
        <f t="shared" si="218"/>
        <v>3.7250000000000001</v>
      </c>
      <c r="ST13" s="23">
        <f t="shared" si="219"/>
        <v>4.6749999999999998</v>
      </c>
      <c r="SU13" s="23">
        <f t="shared" si="220"/>
        <v>4.5</v>
      </c>
      <c r="SV13" s="23">
        <f t="shared" si="221"/>
        <v>7.23</v>
      </c>
      <c r="SW13" s="23">
        <f t="shared" si="222"/>
        <v>0</v>
      </c>
      <c r="SX13" s="23">
        <f t="shared" si="223"/>
        <v>2.4500000000000002</v>
      </c>
      <c r="SY13" s="23">
        <f t="shared" si="224"/>
        <v>2.8</v>
      </c>
      <c r="SZ13" s="23">
        <f t="shared" si="225"/>
        <v>2.9</v>
      </c>
      <c r="TA13" s="23">
        <f t="shared" si="226"/>
        <v>4.9400000000000004</v>
      </c>
      <c r="TB13" s="23">
        <f t="shared" si="227"/>
        <v>0</v>
      </c>
      <c r="TC13" s="28" t="s">
        <v>57</v>
      </c>
      <c r="TD13" s="41">
        <f t="shared" si="228"/>
        <v>4.5</v>
      </c>
      <c r="TE13" s="41">
        <f t="shared" si="229"/>
        <v>8.82</v>
      </c>
      <c r="TF13" s="41">
        <f t="shared" si="230"/>
        <v>21.77</v>
      </c>
      <c r="TG13" s="41">
        <f t="shared" si="231"/>
        <v>4.5</v>
      </c>
      <c r="TH13" s="41">
        <f t="shared" si="232"/>
        <v>7.23</v>
      </c>
      <c r="TI13" s="41">
        <f t="shared" si="233"/>
        <v>20.130000000000003</v>
      </c>
      <c r="TJ13" s="41">
        <f t="shared" si="234"/>
        <v>21.77</v>
      </c>
      <c r="TK13" s="41">
        <f t="shared" si="235"/>
        <v>2.9</v>
      </c>
      <c r="TL13" s="41">
        <f t="shared" si="236"/>
        <v>4.9400000000000004</v>
      </c>
      <c r="TM13" s="41">
        <f t="shared" si="237"/>
        <v>13.09</v>
      </c>
      <c r="TN13" s="41">
        <f t="shared" si="238"/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214</v>
      </c>
      <c r="C14" s="4" t="s">
        <v>3</v>
      </c>
      <c r="D14" s="4" t="s">
        <v>206</v>
      </c>
      <c r="E14" s="9">
        <f t="shared" si="0"/>
        <v>44.25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44.25</v>
      </c>
      <c r="O14" s="11" t="str">
        <f t="shared" si="8"/>
        <v>(Final)</v>
      </c>
      <c r="P14" s="8" t="str">
        <f t="shared" si="9"/>
        <v>2023 Pan Am Club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 t="str">
        <f t="shared" si="43"/>
        <v/>
      </c>
      <c r="CU14" s="52">
        <f t="shared" si="44"/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>
        <v>7.35</v>
      </c>
      <c r="IR14" s="17">
        <v>9</v>
      </c>
      <c r="IS14" s="17">
        <v>9.6</v>
      </c>
      <c r="IT14" s="17">
        <v>18.3</v>
      </c>
      <c r="IU14" s="17">
        <v>0</v>
      </c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>
        <f t="shared" si="111"/>
        <v>9.6</v>
      </c>
      <c r="JG14" s="41">
        <f t="shared" si="112"/>
        <v>18.3</v>
      </c>
      <c r="JH14" s="41">
        <f t="shared" si="113"/>
        <v>44.25</v>
      </c>
      <c r="JI14" s="41">
        <f t="shared" si="114"/>
        <v>44.25</v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219</v>
      </c>
      <c r="C15" s="4" t="s">
        <v>218</v>
      </c>
      <c r="D15" s="4" t="s">
        <v>217</v>
      </c>
      <c r="E15" s="9">
        <f t="shared" si="0"/>
        <v>4.6800000000000006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4.6800000000000006</v>
      </c>
      <c r="O15" s="11" t="str">
        <f t="shared" si="8"/>
        <v>(Final)</v>
      </c>
      <c r="P15" s="8" t="str">
        <f t="shared" si="9"/>
        <v>2023 Pan Am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 t="str">
        <f t="shared" si="55"/>
        <v/>
      </c>
      <c r="EA15" s="41" t="str">
        <f t="shared" si="56"/>
        <v/>
      </c>
      <c r="EB15" s="41" t="str">
        <f t="shared" si="57"/>
        <v/>
      </c>
      <c r="EC15" s="41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>
        <v>0.75</v>
      </c>
      <c r="JZ15" s="18">
        <v>0.85</v>
      </c>
      <c r="KA15" s="18">
        <v>1.3</v>
      </c>
      <c r="KB15" s="18">
        <v>1.78</v>
      </c>
      <c r="KC15" s="18">
        <v>0</v>
      </c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>
        <f t="shared" si="125"/>
        <v>1.3</v>
      </c>
      <c r="KO15" s="11">
        <f t="shared" si="126"/>
        <v>1.78</v>
      </c>
      <c r="KP15" s="11">
        <f t="shared" si="127"/>
        <v>4.6800000000000006</v>
      </c>
      <c r="KQ15" s="11">
        <f t="shared" si="128"/>
        <v>4.6800000000000006</v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5">
    <cfRule type="expression" dxfId="265" priority="45" stopIfTrue="1">
      <formula>IF($AF4&lt;&gt;"",1,0)</formula>
    </cfRule>
  </conditionalFormatting>
  <conditionalFormatting sqref="AR4:BR15">
    <cfRule type="expression" dxfId="264" priority="38" stopIfTrue="1">
      <formula>IF($BG4&lt;&gt;"",1,0)</formula>
    </cfRule>
  </conditionalFormatting>
  <conditionalFormatting sqref="BS4:CS15">
    <cfRule type="expression" dxfId="263" priority="37" stopIfTrue="1">
      <formula>IF($CH4&lt;&gt;"",1,0)</formula>
    </cfRule>
  </conditionalFormatting>
  <conditionalFormatting sqref="BO26:BO1048576 BH1:BH1048576 BK1:BK1048576 BO1:BO24">
    <cfRule type="cellIs" dxfId="262" priority="50" operator="between">
      <formula>$BR$21</formula>
      <formula>1000</formula>
    </cfRule>
    <cfRule type="cellIs" dxfId="261" priority="51" operator="between">
      <formula>$BR$20</formula>
      <formula>$BR$21</formula>
    </cfRule>
    <cfRule type="cellIs" dxfId="260" priority="52" operator="between">
      <formula>$BR$19</formula>
      <formula>$BR$20</formula>
    </cfRule>
    <cfRule type="cellIs" dxfId="259" priority="53" operator="between">
      <formula>$BR$18</formula>
      <formula>$BR$19</formula>
    </cfRule>
  </conditionalFormatting>
  <conditionalFormatting sqref="CP26:CP1048576 CI1:CI1048576 CL1:CL1048576 CP1:CP24">
    <cfRule type="cellIs" dxfId="258" priority="46" operator="between">
      <formula>$CS$21</formula>
      <formula>1000</formula>
    </cfRule>
    <cfRule type="cellIs" dxfId="257" priority="47" operator="between">
      <formula>$CS$20</formula>
      <formula>$CS$21</formula>
    </cfRule>
    <cfRule type="cellIs" dxfId="256" priority="48" operator="between">
      <formula>$CS$19</formula>
      <formula>$CS$20</formula>
    </cfRule>
    <cfRule type="cellIs" dxfId="255" priority="49" operator="between">
      <formula>$CS$18</formula>
      <formula>$CS$19</formula>
    </cfRule>
  </conditionalFormatting>
  <conditionalFormatting sqref="DZ26:DZ1048576 DP1:DP1048576 DS1:DS1048576 DW1:DW1048576 DZ1:DZ24">
    <cfRule type="cellIs" dxfId="254" priority="57" operator="between">
      <formula>$EC$21</formula>
      <formula>1000</formula>
    </cfRule>
    <cfRule type="cellIs" dxfId="253" priority="58" operator="between">
      <formula>$EC$20</formula>
      <formula>$EC$21</formula>
    </cfRule>
    <cfRule type="cellIs" dxfId="252" priority="59" operator="between">
      <formula>$EC$19</formula>
      <formula>$EC$20</formula>
    </cfRule>
    <cfRule type="cellIs" dxfId="251" priority="60" operator="between">
      <formula>$EC$18</formula>
      <formula>$EC$19</formula>
    </cfRule>
  </conditionalFormatting>
  <conditionalFormatting sqref="FH26:FH1048576 EX1:EX1048576 FA1:FA1048576 FE1:FE1048576 FH1:FH24">
    <cfRule type="cellIs" dxfId="250" priority="33" operator="between">
      <formula>$FK$21</formula>
      <formula>1000</formula>
    </cfRule>
    <cfRule type="cellIs" dxfId="249" priority="34" operator="between">
      <formula>$FK$20</formula>
      <formula>$FK$21</formula>
    </cfRule>
    <cfRule type="cellIs" dxfId="248" priority="35" operator="between">
      <formula>$FK$19</formula>
      <formula>$FK$20</formula>
    </cfRule>
    <cfRule type="cellIs" dxfId="247" priority="36" operator="between">
      <formula>$FK$18</formula>
      <formula>$FK$19</formula>
    </cfRule>
  </conditionalFormatting>
  <conditionalFormatting sqref="HX26:HX1048576 HN1:HN1048576 HQ1:HQ1048576 HU1:HU1048576 HX1:HX24">
    <cfRule type="cellIs" dxfId="246" priority="29" operator="between">
      <formula>$IA$21</formula>
      <formula>1000</formula>
    </cfRule>
    <cfRule type="cellIs" dxfId="245" priority="30" operator="between">
      <formula>$IA$20</formula>
      <formula>$IA$21</formula>
    </cfRule>
    <cfRule type="cellIs" dxfId="244" priority="31" operator="between">
      <formula>$IA$19</formula>
      <formula>$IA$20</formula>
    </cfRule>
    <cfRule type="cellIs" dxfId="243" priority="32" operator="between">
      <formula>$IA$18</formula>
      <formula>$IA$19</formula>
    </cfRule>
  </conditionalFormatting>
  <conditionalFormatting sqref="AO25 AG1:AG1048576 AJ1:AJ1048576 AN1:AN1048576">
    <cfRule type="cellIs" dxfId="242" priority="25" operator="between">
      <formula>$AQ$21</formula>
      <formula>1000</formula>
    </cfRule>
    <cfRule type="cellIs" dxfId="241" priority="26" operator="between">
      <formula>$AQ$20</formula>
      <formula>$AQ$21</formula>
    </cfRule>
    <cfRule type="cellIs" dxfId="240" priority="27" operator="between">
      <formula>$AQ$19</formula>
      <formula>$AQ$20</formula>
    </cfRule>
    <cfRule type="cellIs" dxfId="239" priority="28" operator="between">
      <formula>$AQ$18</formula>
      <formula>$AQ$19</formula>
    </cfRule>
  </conditionalFormatting>
  <conditionalFormatting sqref="BO25">
    <cfRule type="cellIs" dxfId="238" priority="21" operator="between">
      <formula>$AQ$21</formula>
      <formula>1000</formula>
    </cfRule>
    <cfRule type="cellIs" dxfId="237" priority="22" operator="between">
      <formula>$AQ$20</formula>
      <formula>$AQ$21</formula>
    </cfRule>
    <cfRule type="cellIs" dxfId="236" priority="23" operator="between">
      <formula>$AQ$19</formula>
      <formula>$AQ$20</formula>
    </cfRule>
    <cfRule type="cellIs" dxfId="235" priority="24" operator="between">
      <formula>$AQ$18</formula>
      <formula>$AQ$19</formula>
    </cfRule>
  </conditionalFormatting>
  <conditionalFormatting sqref="CP25">
    <cfRule type="cellIs" dxfId="234" priority="17" operator="between">
      <formula>$AQ$21</formula>
      <formula>1000</formula>
    </cfRule>
    <cfRule type="cellIs" dxfId="233" priority="18" operator="between">
      <formula>$AQ$20</formula>
      <formula>$AQ$21</formula>
    </cfRule>
    <cfRule type="cellIs" dxfId="232" priority="19" operator="between">
      <formula>$AQ$19</formula>
      <formula>$AQ$20</formula>
    </cfRule>
    <cfRule type="cellIs" dxfId="231" priority="20" operator="between">
      <formula>$AQ$18</formula>
      <formula>$AQ$19</formula>
    </cfRule>
  </conditionalFormatting>
  <conditionalFormatting sqref="DZ25">
    <cfRule type="cellIs" dxfId="230" priority="13" operator="between">
      <formula>$AQ$21</formula>
      <formula>1000</formula>
    </cfRule>
    <cfRule type="cellIs" dxfId="229" priority="14" operator="between">
      <formula>$AQ$20</formula>
      <formula>$AQ$21</formula>
    </cfRule>
    <cfRule type="cellIs" dxfId="228" priority="15" operator="between">
      <formula>$AQ$19</formula>
      <formula>$AQ$20</formula>
    </cfRule>
    <cfRule type="cellIs" dxfId="227" priority="16" operator="between">
      <formula>$AQ$18</formula>
      <formula>$AQ$19</formula>
    </cfRule>
  </conditionalFormatting>
  <conditionalFormatting sqref="FH25">
    <cfRule type="cellIs" dxfId="226" priority="9" operator="between">
      <formula>$AQ$21</formula>
      <formula>1000</formula>
    </cfRule>
    <cfRule type="cellIs" dxfId="225" priority="10" operator="between">
      <formula>$AQ$20</formula>
      <formula>$AQ$21</formula>
    </cfRule>
    <cfRule type="cellIs" dxfId="224" priority="11" operator="between">
      <formula>$AQ$19</formula>
      <formula>$AQ$20</formula>
    </cfRule>
    <cfRule type="cellIs" dxfId="223" priority="12" operator="between">
      <formula>$AQ$18</formula>
      <formula>$AQ$19</formula>
    </cfRule>
  </conditionalFormatting>
  <conditionalFormatting sqref="HX25">
    <cfRule type="cellIs" dxfId="222" priority="5" operator="between">
      <formula>$AQ$21</formula>
      <formula>1000</formula>
    </cfRule>
    <cfRule type="cellIs" dxfId="221" priority="6" operator="between">
      <formula>$AQ$20</formula>
      <formula>$AQ$21</formula>
    </cfRule>
    <cfRule type="cellIs" dxfId="220" priority="7" operator="between">
      <formula>$AQ$19</formula>
      <formula>$AQ$20</formula>
    </cfRule>
    <cfRule type="cellIs" dxfId="219" priority="8" operator="between">
      <formula>$AQ$18</formula>
      <formula>$AQ$19</formula>
    </cfRule>
  </conditionalFormatting>
  <conditionalFormatting sqref="GP26:GP1048576 GF1:GF1048576 GI1:GI1048576 GM1:GM1048576 GP1:GP24">
    <cfRule type="cellIs" dxfId="218" priority="88" operator="between">
      <formula>$GS$21</formula>
      <formula>1000</formula>
    </cfRule>
    <cfRule type="cellIs" dxfId="217" priority="89" operator="between">
      <formula>$GS$20</formula>
      <formula>$GS$21</formula>
    </cfRule>
    <cfRule type="cellIs" dxfId="216" priority="90" operator="between">
      <formula>$GS$19</formula>
      <formula>$GS$20</formula>
    </cfRule>
    <cfRule type="cellIs" dxfId="215" priority="91" operator="between">
      <formula>$GS$18</formula>
      <formula>$GS$19</formula>
    </cfRule>
  </conditionalFormatting>
  <conditionalFormatting sqref="GP25">
    <cfRule type="cellIs" dxfId="214" priority="1" operator="between">
      <formula>$AQ$21</formula>
      <formula>1000</formula>
    </cfRule>
    <cfRule type="cellIs" dxfId="213" priority="2" operator="between">
      <formula>$AQ$20</formula>
      <formula>$AQ$21</formula>
    </cfRule>
    <cfRule type="cellIs" dxfId="212" priority="3" operator="between">
      <formula>$AQ$19</formula>
      <formula>$AQ$20</formula>
    </cfRule>
    <cfRule type="cellIs" dxfId="211" priority="4" operator="between">
      <formula>$AQ$18</formula>
      <formula>$AQ$19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AQ$25</formula>
      <formula>1000</formula>
    </cfRule>
    <cfRule type="cellIs" dxfId="206" priority="847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EC$25</formula>
      <formula>1000</formula>
    </cfRule>
    <cfRule type="cellIs" dxfId="204" priority="84789" operator="between">
      <formula>EC$24</formula>
      <formula>EC$25</formula>
    </cfRule>
  </conditionalFormatting>
  <conditionalFormatting sqref="AI1:AI1048576 AL1:AL1048576 AP1:AP1048576">
    <cfRule type="cellIs" dxfId="203" priority="84860" operator="between">
      <formula>$AQ$25</formula>
      <formula>1000</formula>
    </cfRule>
    <cfRule type="cellIs" dxfId="202" priority="84861" operator="between">
      <formula>$AQ$24</formula>
      <formula>$AQ$25</formula>
    </cfRule>
    <cfRule type="cellIs" dxfId="201" priority="84862" operator="between">
      <formula>$AQ$23</formula>
      <formula>$AQ$24</formula>
    </cfRule>
    <cfRule type="cellIs" dxfId="200" priority="84863" operator="between">
      <formula>$AQ$22</formula>
      <formula>$AQ$23</formula>
    </cfRule>
  </conditionalFormatting>
  <conditionalFormatting sqref="BJ1:BJ1048576 BM1:BM1048576 BQ1:BQ1048576">
    <cfRule type="cellIs" dxfId="199" priority="84896" operator="between">
      <formula>$BR$25</formula>
      <formula>1000</formula>
    </cfRule>
    <cfRule type="cellIs" dxfId="198" priority="84897" operator="between">
      <formula>$BR$24</formula>
      <formula>$BR$25</formula>
    </cfRule>
    <cfRule type="cellIs" dxfId="197" priority="84898" operator="between">
      <formula>$BR$23</formula>
      <formula>$BR$24</formula>
    </cfRule>
    <cfRule type="cellIs" dxfId="196" priority="84899" operator="between">
      <formula>$BR$22</formula>
      <formula>$BR$23</formula>
    </cfRule>
  </conditionalFormatting>
  <conditionalFormatting sqref="CK1:CK1048576 CN1:CN1048576 CR1:CR1048576">
    <cfRule type="cellIs" dxfId="195" priority="84932" operator="between">
      <formula>$CS$25</formula>
      <formula>1000</formula>
    </cfRule>
    <cfRule type="cellIs" dxfId="194" priority="84933" operator="between">
      <formula>$CS$24</formula>
      <formula>$CS$25</formula>
    </cfRule>
    <cfRule type="cellIs" dxfId="193" priority="84934" operator="between">
      <formula>$CS$23</formula>
      <formula>$CS$24</formula>
    </cfRule>
    <cfRule type="cellIs" dxfId="192" priority="84935" operator="between">
      <formula>$CS$22</formula>
      <formula>$CS$23</formula>
    </cfRule>
  </conditionalFormatting>
  <conditionalFormatting sqref="MT1:MT1048576 MW1:MW1048576 NA1:NA1048576 ND1:ND1048576">
    <cfRule type="cellIs" dxfId="191" priority="84968" operator="between">
      <formula>$NG$18</formula>
      <formula>$NG$19</formula>
    </cfRule>
    <cfRule type="cellIs" dxfId="190" priority="84969" operator="between">
      <formula>$NG$19</formula>
      <formula>$NG$20</formula>
    </cfRule>
    <cfRule type="cellIs" dxfId="189" priority="84970" stopIfTrue="1" operator="between">
      <formula>$NG$20</formula>
      <formula>$NG$21</formula>
    </cfRule>
    <cfRule type="cellIs" dxfId="188" priority="84971" stopIfTrue="1" operator="between">
      <formula>$NG$21</formula>
      <formula>1000</formula>
    </cfRule>
  </conditionalFormatting>
  <conditionalFormatting sqref="DR1:DR1048576 DU1:DU1048576 DY1:DY1048576 EB1:EB1048576">
    <cfRule type="cellIs" dxfId="187" priority="85016" operator="between">
      <formula>$EC$25</formula>
      <formula>1000</formula>
    </cfRule>
    <cfRule type="cellIs" dxfId="186" priority="85017" operator="between">
      <formula>$EC$24</formula>
      <formula>$EC$25</formula>
    </cfRule>
    <cfRule type="cellIs" dxfId="185" priority="85018" operator="between">
      <formula>$EC$23</formula>
      <formula>$EC$24</formula>
    </cfRule>
    <cfRule type="cellIs" dxfId="184" priority="85019" operator="between">
      <formula>$EC$22</formula>
      <formula>$EC$23</formula>
    </cfRule>
  </conditionalFormatting>
  <conditionalFormatting sqref="EZ1:EZ1048576 FC1:FC1048576 FG1:FG1048576 FJ1:FJ1048576">
    <cfRule type="cellIs" dxfId="183" priority="85064" operator="between">
      <formula>$FK$25</formula>
      <formula>1000</formula>
    </cfRule>
    <cfRule type="cellIs" dxfId="182" priority="85065" operator="between">
      <formula>$FK$24</formula>
      <formula>$FK$25</formula>
    </cfRule>
    <cfRule type="cellIs" dxfId="181" priority="85066" operator="between">
      <formula>$FK$23</formula>
      <formula>$FK$24</formula>
    </cfRule>
    <cfRule type="cellIs" dxfId="180" priority="85067" operator="between">
      <formula>$FK$22</formula>
      <formula>$FK$23</formula>
    </cfRule>
  </conditionalFormatting>
  <conditionalFormatting sqref="GH1:GH1048576 GK1:GK1048576 GO1:GO1048576 GR1:GR1048576">
    <cfRule type="cellIs" dxfId="179" priority="85156" operator="between">
      <formula>$GS$25</formula>
      <formula>1000</formula>
    </cfRule>
    <cfRule type="cellIs" dxfId="178" priority="85157" operator="between">
      <formula>$GS$24</formula>
      <formula>$GS$25</formula>
    </cfRule>
    <cfRule type="cellIs" dxfId="177" priority="85158" operator="between">
      <formula>$GS$23</formula>
      <formula>$GS$24</formula>
    </cfRule>
    <cfRule type="cellIs" dxfId="176" priority="85159" operator="between">
      <formula>$GS$22</formula>
      <formula>$GS$23</formula>
    </cfRule>
  </conditionalFormatting>
  <conditionalFormatting sqref="HP1:HP1048576 HS1:HS1048576 HW1:HW1048576 HZ1:HZ1048576">
    <cfRule type="cellIs" dxfId="175" priority="85204" operator="between">
      <formula>$IA$25</formula>
      <formula>1000</formula>
    </cfRule>
    <cfRule type="cellIs" dxfId="174" priority="85205" operator="between">
      <formula>$IA$24</formula>
      <formula>$IA$25</formula>
    </cfRule>
    <cfRule type="cellIs" dxfId="173" priority="85206" operator="between">
      <formula>$IA$23</formula>
      <formula>$IA$24</formula>
    </cfRule>
    <cfRule type="cellIs" dxfId="172" priority="85207" operator="between">
      <formula>$IA$22</formula>
      <formula>$IA$23</formula>
    </cfRule>
  </conditionalFormatting>
  <conditionalFormatting sqref="IV1:IV1048576 IY1:IY1048576 JC1:JC1048576 JF1:JF1048576">
    <cfRule type="cellIs" dxfId="171" priority="85252" operator="between">
      <formula>$JI$21</formula>
      <formula>1000</formula>
    </cfRule>
    <cfRule type="cellIs" dxfId="170" priority="85253" operator="between">
      <formula>$JI$20</formula>
      <formula>$JI$21</formula>
    </cfRule>
    <cfRule type="cellIs" dxfId="169" priority="85254" operator="between">
      <formula>$JI$19</formula>
      <formula>$JI$20</formula>
    </cfRule>
    <cfRule type="cellIs" dxfId="168" priority="85255" operator="between">
      <formula>$JI$18</formula>
      <formula>$JI$19</formula>
    </cfRule>
  </conditionalFormatting>
  <conditionalFormatting sqref="IX1:IX1048576 JA1:JA1048576 JE1:JE1048576 JH1:JH1048576">
    <cfRule type="cellIs" dxfId="167" priority="85300" operator="between">
      <formula>$JI$25</formula>
      <formula>1000</formula>
    </cfRule>
    <cfRule type="cellIs" dxfId="166" priority="85301" operator="between">
      <formula>$JI$24</formula>
      <formula>$JI$25</formula>
    </cfRule>
    <cfRule type="cellIs" dxfId="165" priority="85302" operator="between">
      <formula>$JI$23</formula>
      <formula>$JI$24</formula>
    </cfRule>
    <cfRule type="cellIs" dxfId="164" priority="85303" operator="between">
      <formula>$JI$22</formula>
      <formula>$JI$23</formula>
    </cfRule>
  </conditionalFormatting>
  <conditionalFormatting sqref="KD1:KD1048576 KG1:KG1048576 KK1:KK1048576 KN1:KN1048576">
    <cfRule type="cellIs" dxfId="163" priority="85348" operator="between">
      <formula>$KQ$21</formula>
      <formula>1000</formula>
    </cfRule>
    <cfRule type="cellIs" dxfId="162" priority="85349" operator="between">
      <formula>$KQ$20</formula>
      <formula>$KQ$21</formula>
    </cfRule>
    <cfRule type="cellIs" dxfId="161" priority="85350" operator="between">
      <formula>$KQ$19</formula>
      <formula>$KQ$20</formula>
    </cfRule>
    <cfRule type="cellIs" dxfId="160" priority="85351" operator="between">
      <formula>$KQ$18</formula>
      <formula>$KQ$19</formula>
    </cfRule>
  </conditionalFormatting>
  <conditionalFormatting sqref="KF1:KF1048576 KI1:KI1048576 KM1:KM1048576 KP1:KP1048576">
    <cfRule type="cellIs" dxfId="159" priority="85396" operator="between">
      <formula>$KQ$25</formula>
      <formula>1000</formula>
    </cfRule>
    <cfRule type="cellIs" dxfId="158" priority="85397" operator="between">
      <formula>$KQ$24</formula>
      <formula>$KQ$25</formula>
    </cfRule>
    <cfRule type="cellIs" dxfId="157" priority="85398" operator="between">
      <formula>$KQ$23</formula>
      <formula>$KQ$24</formula>
    </cfRule>
    <cfRule type="cellIs" dxfId="156" priority="85399" operator="between">
      <formula>$KQ$22</formula>
      <formula>$KQ$23</formula>
    </cfRule>
  </conditionalFormatting>
  <conditionalFormatting sqref="LL1:LL1048576 LO1:LO1048576 LS1:LS1048576 LV1:LV1048576">
    <cfRule type="cellIs" dxfId="155" priority="85444" operator="between">
      <formula>$LY$21</formula>
      <formula>1000</formula>
    </cfRule>
    <cfRule type="cellIs" dxfId="154" priority="85445" operator="between">
      <formula>$LY$20</formula>
      <formula>$LY$21</formula>
    </cfRule>
    <cfRule type="cellIs" dxfId="153" priority="85446" operator="between">
      <formula>$LY$19</formula>
      <formula>$LY$20</formula>
    </cfRule>
    <cfRule type="cellIs" dxfId="152" priority="85447" operator="between">
      <formula>$LY$18</formula>
      <formula>$LY$19</formula>
    </cfRule>
  </conditionalFormatting>
  <conditionalFormatting sqref="LN1:LN1048576 LQ1:LQ1048576 LU1:LU1048576 LX1:LX1048576">
    <cfRule type="cellIs" dxfId="151" priority="85492" operator="between">
      <formula>$LY$25</formula>
      <formula>1000</formula>
    </cfRule>
    <cfRule type="cellIs" dxfId="150" priority="85493" operator="between">
      <formula>$LY$24</formula>
      <formula>$LY$25</formula>
    </cfRule>
    <cfRule type="cellIs" dxfId="149" priority="85494" operator="between">
      <formula>$LY$23</formula>
      <formula>$LY$24</formula>
    </cfRule>
    <cfRule type="cellIs" dxfId="148" priority="85495" operator="between">
      <formula>$LY$22</formula>
      <formula>$LY$23</formula>
    </cfRule>
  </conditionalFormatting>
  <conditionalFormatting sqref="MV1:MV1048576 MY1:MY1048576 NC1:NC1048576 NF1:NF1048576">
    <cfRule type="cellIs" dxfId="147" priority="85540" operator="between">
      <formula>$NG$25</formula>
      <formula>1000</formula>
    </cfRule>
    <cfRule type="cellIs" dxfId="146" priority="85541" operator="between">
      <formula>$NG$24</formula>
      <formula>$NG$25</formula>
    </cfRule>
    <cfRule type="cellIs" dxfId="145" priority="85542" operator="between">
      <formula>$NG$23</formula>
      <formula>$NG$24</formula>
    </cfRule>
    <cfRule type="cellIs" dxfId="144" priority="85543" operator="between">
      <formula>$NG$22</formula>
      <formula>$NG$23</formula>
    </cfRule>
  </conditionalFormatting>
  <conditionalFormatting sqref="OB1:OB1048576 OE1:OE1048576 OI1:OI1048576 OL1:OL1048576">
    <cfRule type="cellIs" dxfId="143" priority="85588" operator="between">
      <formula>$OO$21</formula>
      <formula>1000</formula>
    </cfRule>
    <cfRule type="cellIs" dxfId="142" priority="85589" operator="between">
      <formula>$OO$20</formula>
      <formula>$OO$21</formula>
    </cfRule>
    <cfRule type="cellIs" dxfId="141" priority="85590" operator="between">
      <formula>$OO$19</formula>
      <formula>$OO$20</formula>
    </cfRule>
    <cfRule type="cellIs" dxfId="140" priority="85591" operator="between">
      <formula>$OO$18</formula>
      <formula>$OO$19</formula>
    </cfRule>
  </conditionalFormatting>
  <conditionalFormatting sqref="OD1:OD1048576 OG1:OG1048576 OK1:OK1048576 ON1:ON1048576">
    <cfRule type="cellIs" dxfId="139" priority="85636" operator="between">
      <formula>$OO$25</formula>
      <formula>1000</formula>
    </cfRule>
    <cfRule type="cellIs" dxfId="138" priority="85637" operator="between">
      <formula>$OO$24</formula>
      <formula>$OO$25</formula>
    </cfRule>
    <cfRule type="cellIs" dxfId="137" priority="85638" operator="between">
      <formula>$OO$23</formula>
      <formula>$OO$24</formula>
    </cfRule>
    <cfRule type="cellIs" dxfId="136" priority="85639" operator="between">
      <formula>$OO$22</formula>
      <formula>$OO$23</formula>
    </cfRule>
  </conditionalFormatting>
  <conditionalFormatting sqref="PJ1:PJ1048576 PM1:PM1048576 PQ1:PQ1048576 PT1:PT1048576">
    <cfRule type="cellIs" dxfId="135" priority="85684" operator="between">
      <formula>$PW$21</formula>
      <formula>1000</formula>
    </cfRule>
    <cfRule type="cellIs" dxfId="134" priority="85685" operator="between">
      <formula>$PW$20</formula>
      <formula>$PW$21</formula>
    </cfRule>
    <cfRule type="cellIs" dxfId="133" priority="85686" operator="between">
      <formula>$PW$19</formula>
      <formula>$PW$20</formula>
    </cfRule>
    <cfRule type="cellIs" dxfId="132" priority="85687" operator="between">
      <formula>$PW$18</formula>
      <formula>$PW$19</formula>
    </cfRule>
  </conditionalFormatting>
  <conditionalFormatting sqref="PL1:PL1048576 PO1:PO1048576 PS1:PS1048576 PV1:PV1048576">
    <cfRule type="cellIs" dxfId="131" priority="85732" operator="between">
      <formula>$PW$25</formula>
      <formula>1000</formula>
    </cfRule>
    <cfRule type="cellIs" dxfId="130" priority="85733" operator="between">
      <formula>$PW$24</formula>
      <formula>$PW$25</formula>
    </cfRule>
    <cfRule type="cellIs" dxfId="129" priority="85734" operator="between">
      <formula>$PW$23</formula>
      <formula>$PW$24</formula>
    </cfRule>
    <cfRule type="cellIs" dxfId="128" priority="85735" operator="between">
      <formula>$PW$22</formula>
      <formula>$PW$23</formula>
    </cfRule>
  </conditionalFormatting>
  <conditionalFormatting sqref="QR1:QR1048576 QU1:QU1048576 QY1:QY1048576 RB1:RB1048576">
    <cfRule type="cellIs" dxfId="127" priority="85780" operator="between">
      <formula>$RE$21</formula>
      <formula>1000</formula>
    </cfRule>
    <cfRule type="cellIs" dxfId="126" priority="85781" operator="between">
      <formula>$RE$20</formula>
      <formula>$RE$21</formula>
    </cfRule>
    <cfRule type="cellIs" dxfId="125" priority="85782" operator="between">
      <formula>$RE$19</formula>
      <formula>$RE$20</formula>
    </cfRule>
    <cfRule type="cellIs" dxfId="124" priority="85783" operator="between">
      <formula>$RE$18</formula>
      <formula>$RE$19</formula>
    </cfRule>
  </conditionalFormatting>
  <conditionalFormatting sqref="QT1:QT1048576 QW1:QW1048576 RA1:RA1048576 RD1:RD1048576">
    <cfRule type="cellIs" dxfId="123" priority="85828" operator="between">
      <formula>$RE$25</formula>
      <formula>1000</formula>
    </cfRule>
    <cfRule type="cellIs" dxfId="122" priority="85829" operator="between">
      <formula>$RE$24</formula>
      <formula>$RE$25</formula>
    </cfRule>
    <cfRule type="cellIs" dxfId="121" priority="85830" operator="between">
      <formula>$RE$23</formula>
      <formula>$RE$24</formula>
    </cfRule>
    <cfRule type="cellIs" dxfId="120" priority="85831" operator="between">
      <formula>$RE$22</formula>
      <formula>$RE$23</formula>
    </cfRule>
  </conditionalFormatting>
  <conditionalFormatting sqref="RZ1:RZ1048576 SC1:SC1048576 SG1:SG1048576 SJ1:SJ1048576">
    <cfRule type="cellIs" dxfId="119" priority="85876" operator="between">
      <formula>$SM$21</formula>
      <formula>1000</formula>
    </cfRule>
    <cfRule type="cellIs" dxfId="118" priority="85877" operator="between">
      <formula>$SM$20</formula>
      <formula>$SM$21</formula>
    </cfRule>
    <cfRule type="cellIs" dxfId="117" priority="85878" operator="between">
      <formula>$SM$19</formula>
      <formula>$SM$20</formula>
    </cfRule>
    <cfRule type="cellIs" dxfId="116" priority="85879" operator="between">
      <formula>$SM$18</formula>
      <formula>$SM$19</formula>
    </cfRule>
  </conditionalFormatting>
  <conditionalFormatting sqref="SB1:SB1048576 SE1:SE1048576 SI1:SI1048576 SL1:SL1048576">
    <cfRule type="cellIs" dxfId="115" priority="85924" operator="between">
      <formula>$SM$25</formula>
      <formula>1000</formula>
    </cfRule>
    <cfRule type="cellIs" dxfId="114" priority="85925" operator="between">
      <formula>$SM$24</formula>
      <formula>$SM$25</formula>
    </cfRule>
    <cfRule type="cellIs" dxfId="113" priority="85926" operator="between">
      <formula>$SM$23</formula>
      <formula>$SM$24</formula>
    </cfRule>
    <cfRule type="cellIs" dxfId="112" priority="85927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181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179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184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220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240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129</v>
      </c>
      <c r="C4" s="4" t="s">
        <v>3</v>
      </c>
      <c r="D4" s="4">
        <v>2003</v>
      </c>
      <c r="E4" s="9">
        <f t="shared" ref="E4:E11" si="0">SUM(J4:R4)+SUM(J4:N4)*0.0000001+SUM(J4)*0.0000000000001</f>
        <v>184.10001301000517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 t="shared" ref="I4:I9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51.599999999999994</v>
      </c>
      <c r="K4" s="8" t="str">
        <f t="shared" ref="K4:K11" si="5">IF(J4=0,"",IF(J4=CW4,$CA$1,IF(J4=BT4,$AX$1,IF(J4=AQ4,$U$1,""))))</f>
        <v>2023 Elite Canada</v>
      </c>
      <c r="L4" s="8">
        <f>IF(COUNT(AQ4,BT4,CW4)&gt;1,LARGE((AQ4,BT4,CW4),2),0)</f>
        <v>51.5</v>
      </c>
      <c r="M4" s="8" t="str">
        <f t="shared" ref="M4:M11" si="6">IF(L4=0,"",IF(L4=CW4,$CA$1,IF(L4=BT4,$AX$1,IF(L4=AQ4,$U$1,""))))</f>
        <v>2023 Domestic 3rd Trial</v>
      </c>
      <c r="N4" s="8">
        <f>IF(COUNT(AR4,BU4,CX4)&gt;0,LARGE((AR4,BU4,CX4),1),0)</f>
        <v>27</v>
      </c>
      <c r="O4" s="8" t="str">
        <f t="shared" ref="O4:O11" si="7">IF(N4=0,"",IF(N4=CX4,$CA$1,IF(N4=BU4,$AX$1,IF(N4=AR4,$U$1,""))))</f>
        <v>2023 Elite Canada</v>
      </c>
      <c r="P4" s="8">
        <f t="shared" ref="P4:P11" si="8">IF(MAX(AV4,BY4,DB4)&gt;0,MAX(AV4,BY4,DB4),0)</f>
        <v>53.400000000000006</v>
      </c>
      <c r="Q4" s="8" t="str">
        <f t="shared" ref="Q4:Q11" si="9">IF(P4=0,"",IF(P4=DB4,$CA$1,IF(P4=BY4,$AX$1,IF(P4=AV4,$U$1,""))))</f>
        <v>2023 Elite Canada</v>
      </c>
      <c r="R4" s="8">
        <f t="shared" ref="R4:R11" si="10">IF(MAX(DD4:DF4)&gt;0,MAX(DD4:DF4),"")</f>
        <v>0.60000000000000142</v>
      </c>
      <c r="S4" s="11" t="str">
        <f t="shared" ref="S4:S11" si="11">IF(R4="","",IF(R4=DD4,"("&amp;DD$2&amp;")",IF(R4=DE4,"("&amp;DE$2&amp;")",IF(R4=DF4,"("&amp;DF$2&amp;")"))))</f>
        <v>(Q1)</v>
      </c>
      <c r="T4" s="8" t="str">
        <f t="shared" ref="T4:T1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18.8</v>
      </c>
      <c r="V4" s="19">
        <v>8.1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18.899999999999999</v>
      </c>
      <c r="AD4" s="19">
        <v>8.1</v>
      </c>
      <c r="AE4" s="19">
        <v>0</v>
      </c>
      <c r="AF4" s="19">
        <v>0</v>
      </c>
      <c r="AG4" s="19">
        <v>19.100000000000001</v>
      </c>
      <c r="AH4" s="19">
        <v>8.1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8"/>
      <c r="AP4" s="41">
        <f t="shared" ref="AP4:AP11" si="13">IF(SUM(V4,Z4)&gt;0,SUM(V4,Z4),"")</f>
        <v>14.6</v>
      </c>
      <c r="AQ4" s="41">
        <f t="shared" ref="AQ4:AQ11" si="14">IF(SUM(U4:V4,X4:Z4,AB4)-W4-AA4&gt;0,SUM(U4:V4,X4:Z4,AB4)-W4-AA4,"")</f>
        <v>51.599999999999994</v>
      </c>
      <c r="AR4" s="41">
        <f t="shared" ref="AR4:AR11" si="15">IF(SUM(AC4:AD4,AF4)-AE4&gt;0,SUM(AC4:AD4,AF4)-AE4,"")</f>
        <v>27</v>
      </c>
      <c r="AS4" s="41">
        <f t="shared" ref="AS4:AS11" si="16">IF(SUM(V4,Z4,AD4)&gt;0,SUM(V4,Z4,AD4),"")</f>
        <v>22.7</v>
      </c>
      <c r="AT4" s="41">
        <f t="shared" ref="AT4:AT11" si="17">IF(SUM(AQ4,AR4)&gt;0,SUM(AQ4,AR4),"")</f>
        <v>78.599999999999994</v>
      </c>
      <c r="AU4" s="41">
        <f t="shared" ref="AU4:AU11" si="18">IF(SUM(AH4,AL4)&gt;0,SUM(AH4,AL4),"")</f>
        <v>15.8</v>
      </c>
      <c r="AV4" s="41">
        <f t="shared" ref="AV4:AV11" si="19">IF(SUM(AG4:AH4,AJ4:AL4,AN4)-SUM(AI4,AM4)&gt;0,SUM(AG4:AH4,AJ4:AL4,AN4)-SUM(AI4,AM4),"")</f>
        <v>53.400000000000006</v>
      </c>
      <c r="AW4" s="41">
        <f t="shared" ref="AW4:AW11" si="20">IF(SUM(AQ4,AR4,AV4)&gt;0,SUM(AQ4,AR4,AV4),"")</f>
        <v>132</v>
      </c>
      <c r="AX4" s="18">
        <v>17.399999999999999</v>
      </c>
      <c r="AY4" s="18">
        <v>9.3000000000000007</v>
      </c>
      <c r="AZ4" s="18">
        <v>0</v>
      </c>
      <c r="BA4" s="18">
        <v>0</v>
      </c>
      <c r="BB4" s="18">
        <v>17.8</v>
      </c>
      <c r="BC4" s="18">
        <v>6.9</v>
      </c>
      <c r="BD4" s="18">
        <v>0</v>
      </c>
      <c r="BE4" s="18">
        <v>0</v>
      </c>
      <c r="BF4" s="18">
        <v>17.899999999999999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8.9</v>
      </c>
      <c r="BL4" s="18">
        <v>0</v>
      </c>
      <c r="BM4" s="18">
        <v>0</v>
      </c>
      <c r="BN4" s="18">
        <v>19.100000000000001</v>
      </c>
      <c r="BO4" s="18">
        <v>6.9</v>
      </c>
      <c r="BP4" s="18">
        <v>0</v>
      </c>
      <c r="BQ4" s="18">
        <v>0</v>
      </c>
      <c r="BR4" s="29"/>
      <c r="BS4" s="11">
        <f t="shared" ref="BS4:BS11" si="21">IF(SUM(AY4,BC4)&gt;0,SUM(AY4,BC4),"")</f>
        <v>16.200000000000003</v>
      </c>
      <c r="BT4" s="11">
        <f t="shared" ref="BT4:BT11" si="22">IF(SUM(AX4:AY4,BA4:BC4,BE4)-AZ4-BD4&gt;0,SUM(AX4:AY4,BA4:BC4,BE4)-AZ4-BD4,"")</f>
        <v>51.4</v>
      </c>
      <c r="BU4" s="11">
        <f t="shared" ref="BU4:BU11" si="23">IF(SUM(BF4:BG4,BI4)-BH4&gt;0,SUM(BF4:BG4,BI4)-BH4,"")</f>
        <v>26.4</v>
      </c>
      <c r="BV4" s="11">
        <f t="shared" ref="BV4:BV11" si="24">IF(SUM(AY4,BC4,BG4)&gt;0,SUM(AY4,BC4,BG4),"")</f>
        <v>24.700000000000003</v>
      </c>
      <c r="BW4" s="11">
        <f t="shared" ref="BW4:BW11" si="25">IF(SUM(BT4,BU4)&gt;0,SUM(BT4,BU4),"")</f>
        <v>77.8</v>
      </c>
      <c r="BX4" s="11">
        <f t="shared" ref="BX4:BX11" si="26">IF(SUM(BK4,BO4)&gt;0,SUM(BK4,BO4),"")</f>
        <v>15.8</v>
      </c>
      <c r="BY4" s="11">
        <f t="shared" ref="BY4:BY11" si="27">IF(SUM(BJ4:BK4,BM4:BO4,BQ4)-SUM(BL4,BP4)&gt;0,SUM(BJ4:BK4,BM4:BO4,BQ4)-SUM(BL4,BP4),"")</f>
        <v>53.3</v>
      </c>
      <c r="BZ4" s="11">
        <f t="shared" ref="BZ4:BZ11" si="28">IF(SUM(BT4,BU4,BY4)&gt;0,SUM(BT4,BU4,BY4),"")</f>
        <v>131.1</v>
      </c>
      <c r="CA4" s="19">
        <v>18.100000000000001</v>
      </c>
      <c r="CB4" s="19">
        <v>8.6999999999999993</v>
      </c>
      <c r="CC4" s="19">
        <v>0</v>
      </c>
      <c r="CD4" s="19">
        <v>0</v>
      </c>
      <c r="CE4" s="19">
        <v>18</v>
      </c>
      <c r="CF4" s="19">
        <v>6.7</v>
      </c>
      <c r="CG4" s="19">
        <v>0</v>
      </c>
      <c r="CH4" s="19">
        <v>0</v>
      </c>
      <c r="CI4" s="19">
        <v>18.399999999999999</v>
      </c>
      <c r="CJ4" s="19">
        <v>8.3000000000000007</v>
      </c>
      <c r="CK4" s="19">
        <v>0</v>
      </c>
      <c r="CL4" s="19">
        <v>0</v>
      </c>
      <c r="CM4" s="19">
        <v>18.75</v>
      </c>
      <c r="CN4" s="19">
        <v>8.5</v>
      </c>
      <c r="CO4" s="19">
        <v>0</v>
      </c>
      <c r="CP4" s="19">
        <v>0</v>
      </c>
      <c r="CQ4" s="19">
        <v>18.8</v>
      </c>
      <c r="CR4" s="19">
        <v>7.3000000000000007</v>
      </c>
      <c r="CS4" s="19">
        <v>0</v>
      </c>
      <c r="CT4" s="19">
        <v>0</v>
      </c>
      <c r="CU4" s="28" t="s">
        <v>57</v>
      </c>
      <c r="CV4" s="41">
        <f t="shared" ref="CV4:CV11" si="29">IF(SUM(CB4,CF4)&gt;0,SUM(CB4,CF4),"")</f>
        <v>15.399999999999999</v>
      </c>
      <c r="CW4" s="41">
        <f t="shared" ref="CW4:CW11" si="30">IF(SUM(CA4:CB4,CD4:CF4,CH4)-CC4-CG4&gt;0,SUM(CA4:CB4,CD4:CF4,CH4)-CC4-CG4,"")</f>
        <v>51.5</v>
      </c>
      <c r="CX4" s="41">
        <f t="shared" ref="CX4:CX11" si="31">IF(SUM(CI4:CJ4,CL4)-CK4&gt;0,SUM(CI4:CJ4,CL4)-CK4,"")</f>
        <v>26.7</v>
      </c>
      <c r="CY4" s="41">
        <f t="shared" ref="CY4:CY11" si="32">IF(SUM(CB4,CF4,CJ4)&gt;0,SUM(CB4,CF4,CJ4),"")</f>
        <v>23.7</v>
      </c>
      <c r="CZ4" s="41">
        <f t="shared" ref="CZ4:CZ11" si="33">IF(SUM(CW4,CX4)&gt;0,SUM(CW4,CX4),"")</f>
        <v>78.2</v>
      </c>
      <c r="DA4" s="41">
        <f t="shared" ref="DA4:DA11" si="34">IF(SUM(CN4,CR4)&gt;0,SUM(CN4,CR4),"")</f>
        <v>15.8</v>
      </c>
      <c r="DB4" s="41">
        <f t="shared" ref="DB4:DB11" si="35">IF(SUM(CM4:CN4,CP4:CR4,CT4)-SUM(CO4,CS4)&gt;0,SUM(CM4:CN4,CP4:CR4,CT4)-SUM(CO4,CS4),"")</f>
        <v>53.349999999999994</v>
      </c>
      <c r="DC4" s="41">
        <f t="shared" ref="DC4:DC11" si="36">IF(SUM(CW4,CX4,DB4)&gt;0,SUM(CW4,CX4,DB4),"")</f>
        <v>131.55000000000001</v>
      </c>
      <c r="DD4" s="52">
        <f t="shared" ref="DD4:DD11" si="37">IF(MAX(EB4,FD4,GF4,HH4,IJ4,JL4,KN4,LP4,MR4,NT4,OV4,PX4)-IF(L4="",0,L4)&gt;0.001,MAX(EB4,FD4,GF4,HH4,IJ4,JL4,KN4,LP4,MR4,NT4,OV4,PX4)-IF(L4="",0,L4),"")</f>
        <v>0.60000000000000142</v>
      </c>
      <c r="DE4" s="52" t="str">
        <f t="shared" ref="DE4:DE11" si="38">IF(MAX(EC4,FE4,GG4,HI4,IK4,JM4,KO4,LQ4,MS4,NU4,OW4,PY4)-IF(N4="",0,N4)&gt;0.001,MAX(EC4,FE4,GG4,HI4,IK4,JM4,KO4,LQ4,MS4,NU4,OW4,PY4)-IF(N4="",0,N4),"")</f>
        <v/>
      </c>
      <c r="DF4" s="52" t="str">
        <f t="shared" ref="DF4:DF11" si="39"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1">
        <f t="shared" ref="EA4:EA11" si="40">IF(SUM(DH4,DL4)&gt;0,SUM(DH4,DL4),"")</f>
        <v>15.8</v>
      </c>
      <c r="EB4" s="41">
        <f t="shared" ref="EB4:EB11" si="41">IF(SUM(DG4:DH4,DJ4:DL4,DN4)-DI4-DM4&gt;0,SUM(DG4:DH4,DJ4:DL4,DN4)-DI4-DM4,"")</f>
        <v>51.4</v>
      </c>
      <c r="EC4" s="41">
        <f t="shared" ref="EC4:EC11" si="42">IF(SUM(DO4:DP4,DR4)-DQ4&gt;0,SUM(DO4:DP4,DR4)-DQ4,"")</f>
        <v>26.6</v>
      </c>
      <c r="ED4" s="41">
        <f t="shared" ref="ED4:ED11" si="43">IF(SUM(DH4,DL4,DP4)&gt;0,SUM(DH4,DL4,DP4),"")</f>
        <v>24.700000000000003</v>
      </c>
      <c r="EE4" s="41">
        <f t="shared" ref="EE4:EE11" si="44">IF(SUM(EB4,EC4)&gt;0,SUM(EB4,EC4),"")</f>
        <v>78</v>
      </c>
      <c r="EF4" s="41" t="str">
        <f t="shared" ref="EF4:EF11" si="45">IF(SUM(DT4,DX4)&gt;0,SUM(DT4,DX4),"")</f>
        <v/>
      </c>
      <c r="EG4" s="41" t="str">
        <f t="shared" ref="EG4:EG11" si="46">IF(SUM(DS4:DT4,DV4:DX4,DZ4)-SUM(DU4,DY4)&gt;0,SUM(DS4:DT4,DV4:DX4,DZ4)-SUM(DU4,DY4),"")</f>
        <v/>
      </c>
      <c r="EH4" s="41">
        <f t="shared" ref="EH4:EH11" si="47">IF(SUM(EB4,EC4,EG4)&gt;0,SUM(EB4,EC4,EG4),"")</f>
        <v>78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 t="shared" ref="FC4:FC11" si="48">IF(SUM(EJ4,EN4)&gt;0,SUM(EJ4,EN4),"")</f>
        <v/>
      </c>
      <c r="FD4" s="11" t="str">
        <f t="shared" ref="FD4:FD11" si="49">IF(SUM(EI4:EJ4,EL4:EN4,EP4)-EK4-EO4&gt;0,SUM(EI4:EJ4,EL4:EN4,EP4)-EK4-EO4,"")</f>
        <v/>
      </c>
      <c r="FE4" s="11" t="str">
        <f t="shared" ref="FE4:FE11" si="50">IF(SUM(EQ4:ER4,ET4)-ES4&gt;0,SUM(EQ4:ER4,ET4)-ES4,"")</f>
        <v/>
      </c>
      <c r="FF4" s="11" t="str">
        <f t="shared" ref="FF4:FF11" si="51">IF(SUM(EJ4,EN4,ER4)&gt;0,SUM(EJ4,EN4,ER4),"")</f>
        <v/>
      </c>
      <c r="FG4" s="11" t="str">
        <f t="shared" ref="FG4:FG11" si="52">IF(SUM(FD4,FE4)&gt;0,SUM(FD4,FE4),"")</f>
        <v/>
      </c>
      <c r="FH4" s="11">
        <f t="shared" ref="FH4:FH11" si="53">IF(SUM(EV4,EZ4)&gt;0,SUM(EV4,EZ4),"")</f>
        <v>7.7</v>
      </c>
      <c r="FI4" s="11">
        <f t="shared" ref="FI4:FI11" si="54">IF(SUM(EU4:EV4,EX4:EZ4,FB4)-SUM(EW4,FA4)&gt;0,SUM(EU4:EV4,EX4:EZ4,FB4)-SUM(EW4,FA4),"")</f>
        <v>25.599999999999998</v>
      </c>
      <c r="FJ4" s="11">
        <f t="shared" ref="FJ4:FJ11" si="55">IF(SUM(FD4,FE4,FI4)&gt;0,SUM(FD4,FE4,FI4),"")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1" si="56">IF(SUM(FL4,FP4)&gt;0,SUM(FL4,FP4),"")</f>
        <v/>
      </c>
      <c r="GF4" s="41" t="str">
        <f t="shared" ref="GF4:GF11" si="57">IF(SUM(FK4:FL4,FN4:FP4,FR4)-FM4-FQ4&gt;0,SUM(FK4:FL4,FN4:FP4,FR4)-FM4-FQ4,"")</f>
        <v/>
      </c>
      <c r="GG4" s="41" t="str">
        <f t="shared" ref="GG4:GG11" si="58">IF(SUM(FS4:FT4,FV4)-FU4&gt;0,SUM(FS4:FT4,FV4)-FU4,"")</f>
        <v/>
      </c>
      <c r="GH4" s="41" t="str">
        <f t="shared" ref="GH4:GH11" si="59">IF(SUM(FL4,FP4,FT4)&gt;0,SUM(FL4,FP4,FT4),"")</f>
        <v/>
      </c>
      <c r="GI4" s="41" t="str">
        <f t="shared" ref="GI4:GI11" si="60">IF(SUM(GF4,GG4)&gt;0,SUM(GF4,GG4),"")</f>
        <v/>
      </c>
      <c r="GJ4" s="41" t="str">
        <f t="shared" ref="GJ4:GJ11" si="61">IF(SUM(FX4,GB4)&gt;0,SUM(FX4,GB4),"")</f>
        <v/>
      </c>
      <c r="GK4" s="41" t="str">
        <f t="shared" ref="GK4:GK11" si="62">IF(SUM(FW4:FX4,FZ4:GB4,GD4)-SUM(FY4,GC4)&gt;0,SUM(FW4:FX4,FZ4:GB4,GD4)-SUM(FY4,GC4),"")</f>
        <v/>
      </c>
      <c r="GL4" s="41" t="str">
        <f t="shared" ref="GL4:GL11" si="63">IF(SUM(GF4,GG4,GK4)&gt;0,SUM(GF4,GG4,GK4),"")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 t="shared" ref="HG4:HG11" si="64">IF(SUM(GN4,GR4)&gt;0,SUM(GN4,GR4),"")</f>
        <v>15.8</v>
      </c>
      <c r="HH4" s="11">
        <f t="shared" ref="HH4:HH11" si="65">IF(SUM(GM4:GN4,GP4:GR4,GT4)-GO4-GS4&gt;0,SUM(GM4:GN4,GP4:GR4,GT4)-GO4-GS4,"")</f>
        <v>51.6</v>
      </c>
      <c r="HI4" s="11" t="str">
        <f t="shared" ref="HI4:HI11" si="66">IF(SUM(GU4:GV4,GX4)-GW4&gt;0,SUM(GU4:GV4,GX4)-GW4,"")</f>
        <v/>
      </c>
      <c r="HJ4" s="11">
        <f t="shared" ref="HJ4:HJ11" si="67">IF(SUM(GN4,GR4,GV4)&gt;0,SUM(GN4,GR4,GV4),"")</f>
        <v>15.8</v>
      </c>
      <c r="HK4" s="11">
        <f t="shared" ref="HK4:HK11" si="68">IF(SUM(HH4,HI4)&gt;0,SUM(HH4,HI4),"")</f>
        <v>51.6</v>
      </c>
      <c r="HL4" s="11">
        <f t="shared" ref="HL4:HL11" si="69">IF(SUM(GZ4,HD4)&gt;0,SUM(GZ4,HD4),"")</f>
        <v>17.399999999999999</v>
      </c>
      <c r="HM4" s="11">
        <f t="shared" ref="HM4:HM11" si="70">IF(SUM(GY4:GZ4,HB4:HD4,HF4)-SUM(HA4,HE4)&gt;0,SUM(GY4:GZ4,HB4:HD4,HF4)-SUM(HA4,HE4),"")</f>
        <v>53.300000000000004</v>
      </c>
      <c r="HN4" s="11">
        <f t="shared" ref="HN4:HN11" si="71">IF(SUM(HH4,HI4,HM4)&gt;0,SUM(HH4,HI4,HM4),"")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1">
        <f t="shared" ref="II4:II11" si="72">IF(SUM(HP4,HT4)&gt;0,SUM(HP4,HT4),"")</f>
        <v>15.8</v>
      </c>
      <c r="IJ4" s="41">
        <f t="shared" ref="IJ4:IJ11" si="73">IF(SUM(HO4:HP4,HR4:HT4,HV4)-HQ4-HU4&gt;0,SUM(HO4:HP4,HR4:HT4,HV4)-HQ4-HU4,"")</f>
        <v>52.1</v>
      </c>
      <c r="IK4" s="41" t="str">
        <f t="shared" ref="IK4:IK11" si="74">IF(SUM(HW4:HX4,HZ4)-HY4&gt;0,SUM(HW4:HX4,HZ4)-HY4,"")</f>
        <v/>
      </c>
      <c r="IL4" s="41">
        <f t="shared" ref="IL4:IL11" si="75">IF(SUM(HP4,HT4,HX4)&gt;0,SUM(HP4,HT4,HX4),"")</f>
        <v>15.8</v>
      </c>
      <c r="IM4" s="41">
        <f t="shared" ref="IM4:IM11" si="76">IF(SUM(IJ4,IK4)&gt;0,SUM(IJ4,IK4),"")</f>
        <v>52.1</v>
      </c>
      <c r="IN4" s="41">
        <f t="shared" ref="IN4:IN11" si="77">IF(SUM(IB4,IF4)&gt;0,SUM(IB4,IF4),"")</f>
        <v>8.9</v>
      </c>
      <c r="IO4" s="41">
        <f t="shared" ref="IO4:IO11" si="78">IF(SUM(IA4:IB4,ID4:IF4,IH4)-SUM(IC4,IG4)&gt;0,SUM(IA4:IB4,ID4:IF4,IH4)-SUM(IC4,IG4),"")</f>
        <v>26.6</v>
      </c>
      <c r="IP4" s="41">
        <f t="shared" ref="IP4:IP11" si="79">IF(SUM(IJ4,IK4,IO4)&gt;0,SUM(IJ4,IK4,IO4),"")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1" si="88">IF(SUM(JT4,JX4)&gt;0,SUM(JT4,JX4),"")</f>
        <v/>
      </c>
      <c r="KN4" s="41" t="str">
        <f t="shared" ref="KN4:KN11" si="89">IF(SUM(JS4:JT4,JV4:JX4,JZ4)-JU4-JY4&gt;0,SUM(JS4:JT4,JV4:JX4,JZ4)-JU4-JY4,"")</f>
        <v/>
      </c>
      <c r="KO4" s="41" t="str">
        <f t="shared" ref="KO4:KO11" si="90">IF(SUM(KA4:KB4,KD4)-KC4&gt;0,SUM(KA4:KB4,KD4)-KC4,"")</f>
        <v/>
      </c>
      <c r="KP4" s="41" t="str">
        <f t="shared" ref="KP4:KP11" si="91">IF(SUM(JT4,JX4,KB4)&gt;0,SUM(JT4,JX4,KB4),"")</f>
        <v/>
      </c>
      <c r="KQ4" s="41" t="str">
        <f t="shared" ref="KQ4:KQ11" si="92">IF(SUM(KN4,KO4)&gt;0,SUM(KN4,KO4),"")</f>
        <v/>
      </c>
      <c r="KR4" s="41" t="str">
        <f t="shared" ref="KR4:KR11" si="93">IF(SUM(KF4,KJ4)&gt;0,SUM(KF4,KJ4),"")</f>
        <v/>
      </c>
      <c r="KS4" s="41" t="str">
        <f t="shared" ref="KS4:KS11" si="94">IF(SUM(KE4:KF4,KH4:KJ4,KL4)-SUM(KG4,KK4)&gt;0,SUM(KE4:KF4,KH4:KJ4,KL4)-SUM(KG4,KK4),"")</f>
        <v/>
      </c>
      <c r="KT4" s="41" t="str">
        <f t="shared" ref="KT4:KT11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1" si="104">IF(SUM(LX4,MB4)&gt;0,SUM(LX4,MB4),"")</f>
        <v/>
      </c>
      <c r="MR4" s="41" t="str">
        <f t="shared" ref="MR4:MR11" si="105">IF(SUM(LW4:LX4,LZ4:MB4,MD4)-LY4-MC4&gt;0,SUM(LW4:LX4,LZ4:MB4,MD4)-LY4-MC4,"")</f>
        <v/>
      </c>
      <c r="MS4" s="41" t="str">
        <f t="shared" ref="MS4:MS11" si="106">IF(SUM(ME4:MF4,MH4)-MG4&gt;0,SUM(ME4:MF4,MH4)-MG4,"")</f>
        <v/>
      </c>
      <c r="MT4" s="41" t="str">
        <f t="shared" ref="MT4:MT11" si="107">IF(SUM(LX4,MB4,MF4)&gt;0,SUM(LX4,MB4,MF4),"")</f>
        <v/>
      </c>
      <c r="MU4" s="41" t="str">
        <f t="shared" ref="MU4:MU11" si="108">IF(SUM(MR4,MS4)&gt;0,SUM(MR4,MS4),"")</f>
        <v/>
      </c>
      <c r="MV4" s="41" t="str">
        <f t="shared" ref="MV4:MV11" si="109">IF(SUM(MJ4,MN4)&gt;0,SUM(MJ4,MN4),"")</f>
        <v/>
      </c>
      <c r="MW4" s="41" t="str">
        <f t="shared" ref="MW4:MW11" si="110">IF(SUM(MI4:MJ4,ML4:MN4,MP4)-SUM(MK4,MO4)&gt;0,SUM(MI4:MJ4,ML4:MN4,MP4)-SUM(MK4,MO4),"")</f>
        <v/>
      </c>
      <c r="MX4" s="41" t="str">
        <f t="shared" ref="MX4:MX11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1" si="120">IF(SUM(OB4,OF4)&gt;0,SUM(OB4,OF4),"")</f>
        <v/>
      </c>
      <c r="OV4" s="41" t="str">
        <f t="shared" ref="OV4:OV11" si="121">IF(SUM(OA4:OB4,OD4:OF4,OH4)-OC4-OG4&gt;0,SUM(OA4:OB4,OD4:OF4,OH4)-OC4-OG4,"")</f>
        <v/>
      </c>
      <c r="OW4" s="41" t="str">
        <f t="shared" ref="OW4:OW11" si="122">IF(SUM(OI4:OJ4,OL4)-OK4&gt;0,SUM(OI4:OJ4,OL4)-OK4,"")</f>
        <v/>
      </c>
      <c r="OX4" s="41" t="str">
        <f t="shared" ref="OX4:OX11" si="123">IF(SUM(OB4,OF4,OJ4)&gt;0,SUM(OB4,OF4,OJ4),"")</f>
        <v/>
      </c>
      <c r="OY4" s="41" t="str">
        <f t="shared" ref="OY4:OY11" si="124">IF(SUM(OV4,OW4)&gt;0,SUM(OV4,OW4),"")</f>
        <v/>
      </c>
      <c r="OZ4" s="41" t="str">
        <f t="shared" ref="OZ4:OZ11" si="125">IF(SUM(ON4,OR4)&gt;0,SUM(ON4,OR4),"")</f>
        <v/>
      </c>
      <c r="PA4" s="41" t="str">
        <f t="shared" ref="PA4:PA11" si="126">IF(SUM(OM4:ON4,OP4:OR4,OT4)-SUM(OO4,OS4)&gt;0,SUM(OM4:ON4,OP4:OR4,OT4)-SUM(OO4,OS4),"")</f>
        <v/>
      </c>
      <c r="PB4" s="41" t="str">
        <f t="shared" ref="PB4:PB11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IF(SUM(PX4,PY4,QC4)&gt;0,SUM(PX4,PY4,QC4),"")</f>
        <v/>
      </c>
      <c r="QE4" s="23">
        <f t="shared" ref="QE4:QN11" si="136">IF($CU4="P",CA4,(CA4+AX4)/2)</f>
        <v>18.100000000000001</v>
      </c>
      <c r="QF4" s="23">
        <f t="shared" si="136"/>
        <v>8.6999999999999993</v>
      </c>
      <c r="QG4" s="23">
        <f t="shared" si="136"/>
        <v>0</v>
      </c>
      <c r="QH4" s="23">
        <f t="shared" si="136"/>
        <v>0</v>
      </c>
      <c r="QI4" s="23">
        <f t="shared" si="136"/>
        <v>18</v>
      </c>
      <c r="QJ4" s="23">
        <f t="shared" si="136"/>
        <v>6.7</v>
      </c>
      <c r="QK4" s="23">
        <f t="shared" si="136"/>
        <v>0</v>
      </c>
      <c r="QL4" s="23">
        <f t="shared" si="136"/>
        <v>0</v>
      </c>
      <c r="QM4" s="23">
        <f t="shared" si="136"/>
        <v>18.399999999999999</v>
      </c>
      <c r="QN4" s="23">
        <f t="shared" si="136"/>
        <v>8.3000000000000007</v>
      </c>
      <c r="QO4" s="23">
        <f t="shared" ref="QO4:QX11" si="137">IF($CU4="P",CK4,(CK4+BH4)/2)</f>
        <v>0</v>
      </c>
      <c r="QP4" s="23">
        <f t="shared" si="137"/>
        <v>0</v>
      </c>
      <c r="QQ4" s="23">
        <f t="shared" si="137"/>
        <v>18.75</v>
      </c>
      <c r="QR4" s="23">
        <f t="shared" si="137"/>
        <v>8.5</v>
      </c>
      <c r="QS4" s="23">
        <f t="shared" si="137"/>
        <v>0</v>
      </c>
      <c r="QT4" s="23">
        <f t="shared" si="137"/>
        <v>0</v>
      </c>
      <c r="QU4" s="23">
        <f t="shared" si="137"/>
        <v>18.8</v>
      </c>
      <c r="QV4" s="23">
        <f t="shared" si="137"/>
        <v>7.3000000000000007</v>
      </c>
      <c r="QW4" s="23">
        <f t="shared" si="137"/>
        <v>0</v>
      </c>
      <c r="QX4" s="23">
        <f t="shared" si="137"/>
        <v>0</v>
      </c>
      <c r="QY4" s="28" t="s">
        <v>57</v>
      </c>
      <c r="QZ4" s="41">
        <f t="shared" ref="QZ4:QZ11" si="138">IF(SUM(QF4,QJ4)&gt;0,SUM(QF4,QJ4),"")</f>
        <v>15.399999999999999</v>
      </c>
      <c r="RA4" s="41">
        <f t="shared" ref="RA4:RA11" si="139">IF(SUM(QE4:QF4,QH4:QJ4,QL4)-QG4-QK4&gt;0,SUM(QE4:QF4,QH4:QJ4,QL4)-QG4-QK4,"")</f>
        <v>51.5</v>
      </c>
      <c r="RB4" s="41">
        <f t="shared" ref="RB4:RB11" si="140">IF(SUM(QM4:QN4,QP4)-QO4&gt;0,SUM(QM4:QN4,QP4)-QO4,"")</f>
        <v>26.7</v>
      </c>
      <c r="RC4" s="41">
        <f t="shared" ref="RC4:RC11" si="141">IF(SUM(QF4,QJ4,QN4)&gt;0,SUM(QF4,QJ4,QN4),"")</f>
        <v>23.7</v>
      </c>
      <c r="RD4" s="41">
        <f t="shared" ref="RD4:RD11" si="142">IF(SUM(RA4,RB4)&gt;0,SUM(RA4,RB4),"")</f>
        <v>78.2</v>
      </c>
      <c r="RE4" s="41">
        <f t="shared" ref="RE4:RE11" si="143">IF(SUM(QR4,QV4)&gt;0,SUM(QR4,QV4),"")</f>
        <v>15.8</v>
      </c>
      <c r="RF4" s="41">
        <f t="shared" ref="RF4:RF11" si="144">IF(SUM(QQ4:QR4,QT4:QV4,QX4)-SUM(QS4,QW4)&gt;0,SUM(QQ4:QR4,QT4:QV4,QX4)-SUM(QS4,QW4),"")</f>
        <v>53.349999999999994</v>
      </c>
      <c r="RG4" s="41">
        <f t="shared" ref="RG4:RG11" si="145">IF(SUM(RA4,RB4,RF4)&gt;0,SUM(RA4,RB4,RF4),"")</f>
        <v>131.55000000000001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193</v>
      </c>
      <c r="C5" s="4" t="s">
        <v>3</v>
      </c>
      <c r="D5" s="4">
        <v>2006</v>
      </c>
      <c r="E5" s="9">
        <f t="shared" si="0"/>
        <v>182.50001289000519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51.900000000000006</v>
      </c>
      <c r="K5" s="8" t="str">
        <f t="shared" si="5"/>
        <v>2023 Domestic 3rd Trial</v>
      </c>
      <c r="L5" s="8">
        <f>IF(COUNT(AQ5,BT5,CW5)&gt;1,LARGE((AQ5,BT5,CW5),2),0)</f>
        <v>51</v>
      </c>
      <c r="M5" s="8" t="str">
        <f t="shared" si="6"/>
        <v>2023 Nationals</v>
      </c>
      <c r="N5" s="8">
        <f>IF(COUNT(AR5,BU5,CX5)&gt;0,LARGE((AR5,BU5,CX5),1),0)</f>
        <v>26</v>
      </c>
      <c r="O5" s="8" t="str">
        <f t="shared" si="7"/>
        <v>2023 Domestic 3rd Trial</v>
      </c>
      <c r="P5" s="8">
        <f t="shared" si="8"/>
        <v>51.800000000000004</v>
      </c>
      <c r="Q5" s="8" t="str">
        <f t="shared" si="9"/>
        <v>2023 Domestic 3rd Trial</v>
      </c>
      <c r="R5" s="8">
        <f t="shared" si="10"/>
        <v>1.7999999999999972</v>
      </c>
      <c r="S5" s="11" t="str">
        <f t="shared" si="11"/>
        <v>(Q1)</v>
      </c>
      <c r="T5" s="8" t="str">
        <f t="shared" si="12"/>
        <v>2023 World Cup USA (Aug 5)</v>
      </c>
      <c r="U5" s="19">
        <v>16.899999999999999</v>
      </c>
      <c r="V5" s="19">
        <v>3.3</v>
      </c>
      <c r="W5" s="19">
        <v>0</v>
      </c>
      <c r="X5" s="19">
        <v>0</v>
      </c>
      <c r="Y5" s="19">
        <v>18.5</v>
      </c>
      <c r="Z5" s="19">
        <v>6.9</v>
      </c>
      <c r="AA5" s="19">
        <v>0</v>
      </c>
      <c r="AB5" s="19">
        <v>0</v>
      </c>
      <c r="AC5" s="19">
        <v>18.600000000000001</v>
      </c>
      <c r="AD5" s="19">
        <v>6.5</v>
      </c>
      <c r="AE5" s="19">
        <v>0</v>
      </c>
      <c r="AF5" s="19">
        <v>0</v>
      </c>
      <c r="AG5" s="19">
        <v>18.899999999999999</v>
      </c>
      <c r="AH5" s="19">
        <v>6.9</v>
      </c>
      <c r="AI5" s="19">
        <v>0</v>
      </c>
      <c r="AJ5" s="19">
        <v>0</v>
      </c>
      <c r="AK5" s="19">
        <v>18</v>
      </c>
      <c r="AL5" s="19">
        <v>6.9</v>
      </c>
      <c r="AM5" s="19">
        <v>0</v>
      </c>
      <c r="AN5" s="19">
        <v>0</v>
      </c>
      <c r="AO5" s="28"/>
      <c r="AP5" s="41">
        <f t="shared" si="13"/>
        <v>10.199999999999999</v>
      </c>
      <c r="AQ5" s="41">
        <f t="shared" si="14"/>
        <v>45.6</v>
      </c>
      <c r="AR5" s="41">
        <f t="shared" si="15"/>
        <v>25.1</v>
      </c>
      <c r="AS5" s="41">
        <f t="shared" si="16"/>
        <v>16.7</v>
      </c>
      <c r="AT5" s="41">
        <f t="shared" si="17"/>
        <v>70.7</v>
      </c>
      <c r="AU5" s="41">
        <f t="shared" si="18"/>
        <v>13.8</v>
      </c>
      <c r="AV5" s="41">
        <f t="shared" si="19"/>
        <v>50.699999999999996</v>
      </c>
      <c r="AW5" s="41">
        <f t="shared" si="20"/>
        <v>121.4</v>
      </c>
      <c r="AX5" s="18">
        <v>17.8</v>
      </c>
      <c r="AY5" s="18">
        <v>7.3</v>
      </c>
      <c r="AZ5" s="18">
        <v>0</v>
      </c>
      <c r="BA5" s="18">
        <v>0</v>
      </c>
      <c r="BB5" s="18">
        <v>17.399999999999999</v>
      </c>
      <c r="BC5" s="18">
        <v>8.5</v>
      </c>
      <c r="BD5" s="18">
        <v>0</v>
      </c>
      <c r="BE5" s="18">
        <v>0</v>
      </c>
      <c r="BF5" s="18">
        <v>17.399999999999999</v>
      </c>
      <c r="BG5" s="18">
        <v>8.1999999999999993</v>
      </c>
      <c r="BH5" s="18">
        <v>0</v>
      </c>
      <c r="BI5" s="18">
        <v>0</v>
      </c>
      <c r="BJ5" s="18">
        <v>18.2</v>
      </c>
      <c r="BK5" s="18">
        <v>8.1999999999999993</v>
      </c>
      <c r="BL5" s="18">
        <v>0</v>
      </c>
      <c r="BM5" s="18">
        <v>0</v>
      </c>
      <c r="BN5" s="18">
        <v>16.8</v>
      </c>
      <c r="BO5" s="18">
        <v>6.5</v>
      </c>
      <c r="BP5" s="18">
        <v>0</v>
      </c>
      <c r="BQ5" s="18">
        <v>0</v>
      </c>
      <c r="BR5" s="29"/>
      <c r="BS5" s="11">
        <f t="shared" si="21"/>
        <v>15.8</v>
      </c>
      <c r="BT5" s="11">
        <f t="shared" si="22"/>
        <v>51</v>
      </c>
      <c r="BU5" s="11">
        <f t="shared" si="23"/>
        <v>25.599999999999998</v>
      </c>
      <c r="BV5" s="11">
        <f t="shared" si="24"/>
        <v>24</v>
      </c>
      <c r="BW5" s="11">
        <f t="shared" si="25"/>
        <v>76.599999999999994</v>
      </c>
      <c r="BX5" s="11">
        <f t="shared" si="26"/>
        <v>14.7</v>
      </c>
      <c r="BY5" s="11">
        <f t="shared" si="27"/>
        <v>49.7</v>
      </c>
      <c r="BZ5" s="11">
        <f t="shared" si="28"/>
        <v>126.3</v>
      </c>
      <c r="CA5" s="19">
        <v>17.8</v>
      </c>
      <c r="CB5" s="19">
        <v>8.1999999999999993</v>
      </c>
      <c r="CC5" s="19">
        <v>0</v>
      </c>
      <c r="CD5" s="19">
        <v>0</v>
      </c>
      <c r="CE5" s="19">
        <v>18.2</v>
      </c>
      <c r="CF5" s="19">
        <v>7.7</v>
      </c>
      <c r="CG5" s="19">
        <v>0</v>
      </c>
      <c r="CH5" s="19">
        <v>0</v>
      </c>
      <c r="CI5" s="19">
        <v>17.8</v>
      </c>
      <c r="CJ5" s="19">
        <v>8.1999999999999993</v>
      </c>
      <c r="CK5" s="19">
        <v>0</v>
      </c>
      <c r="CL5" s="19">
        <v>0</v>
      </c>
      <c r="CM5" s="19">
        <v>17.8</v>
      </c>
      <c r="CN5" s="19">
        <v>8.1999999999999993</v>
      </c>
      <c r="CO5" s="19">
        <v>0</v>
      </c>
      <c r="CP5" s="19">
        <v>0</v>
      </c>
      <c r="CQ5" s="19">
        <v>18.100000000000001</v>
      </c>
      <c r="CR5" s="19">
        <v>7.7</v>
      </c>
      <c r="CS5" s="19">
        <v>0</v>
      </c>
      <c r="CT5" s="19">
        <v>0</v>
      </c>
      <c r="CU5" s="28"/>
      <c r="CV5" s="41">
        <f t="shared" si="29"/>
        <v>15.899999999999999</v>
      </c>
      <c r="CW5" s="41">
        <f t="shared" si="30"/>
        <v>51.900000000000006</v>
      </c>
      <c r="CX5" s="41">
        <f t="shared" si="31"/>
        <v>26</v>
      </c>
      <c r="CY5" s="41">
        <f t="shared" si="32"/>
        <v>24.099999999999998</v>
      </c>
      <c r="CZ5" s="41">
        <f t="shared" si="33"/>
        <v>77.900000000000006</v>
      </c>
      <c r="DA5" s="41">
        <f t="shared" si="34"/>
        <v>15.899999999999999</v>
      </c>
      <c r="DB5" s="41">
        <f t="shared" si="35"/>
        <v>51.800000000000004</v>
      </c>
      <c r="DC5" s="41">
        <f t="shared" si="36"/>
        <v>129.70000000000002</v>
      </c>
      <c r="DD5" s="52">
        <f t="shared" si="37"/>
        <v>1.7999999999999972</v>
      </c>
      <c r="DE5" s="52" t="str">
        <f t="shared" si="38"/>
        <v/>
      </c>
      <c r="DF5" s="52">
        <f t="shared" si="39"/>
        <v>1.7000000000000028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1">
        <f t="shared" si="56"/>
        <v>14.899999999999999</v>
      </c>
      <c r="GF5" s="41">
        <f t="shared" si="57"/>
        <v>50.599999999999994</v>
      </c>
      <c r="GG5" s="41" t="str">
        <f t="shared" si="58"/>
        <v/>
      </c>
      <c r="GH5" s="41">
        <f t="shared" si="59"/>
        <v>14.899999999999999</v>
      </c>
      <c r="GI5" s="41">
        <f t="shared" si="60"/>
        <v>50.599999999999994</v>
      </c>
      <c r="GJ5" s="41">
        <f t="shared" si="61"/>
        <v>12.100000000000001</v>
      </c>
      <c r="GK5" s="41">
        <f t="shared" si="62"/>
        <v>45.3</v>
      </c>
      <c r="GL5" s="41">
        <f t="shared" si="63"/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1">
        <f t="shared" si="72"/>
        <v>16.7</v>
      </c>
      <c r="IJ5" s="41">
        <f t="shared" si="73"/>
        <v>52.8</v>
      </c>
      <c r="IK5" s="41" t="str">
        <f t="shared" si="74"/>
        <v/>
      </c>
      <c r="IL5" s="41">
        <f t="shared" si="75"/>
        <v>16.7</v>
      </c>
      <c r="IM5" s="41">
        <f t="shared" si="76"/>
        <v>52.8</v>
      </c>
      <c r="IN5" s="41">
        <f t="shared" si="77"/>
        <v>17.100000000000001</v>
      </c>
      <c r="IO5" s="41">
        <f t="shared" si="78"/>
        <v>53.500000000000007</v>
      </c>
      <c r="IP5" s="41">
        <f t="shared" si="79"/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17.8</v>
      </c>
      <c r="QF5" s="23">
        <f t="shared" si="136"/>
        <v>7.75</v>
      </c>
      <c r="QG5" s="23">
        <f t="shared" si="136"/>
        <v>0</v>
      </c>
      <c r="QH5" s="23">
        <f t="shared" si="136"/>
        <v>0</v>
      </c>
      <c r="QI5" s="23">
        <f t="shared" si="136"/>
        <v>17.799999999999997</v>
      </c>
      <c r="QJ5" s="23">
        <f t="shared" si="136"/>
        <v>8.1</v>
      </c>
      <c r="QK5" s="23">
        <f t="shared" si="136"/>
        <v>0</v>
      </c>
      <c r="QL5" s="23">
        <f t="shared" si="136"/>
        <v>0</v>
      </c>
      <c r="QM5" s="23">
        <f t="shared" si="136"/>
        <v>17.600000000000001</v>
      </c>
      <c r="QN5" s="23">
        <f t="shared" si="136"/>
        <v>8.1999999999999993</v>
      </c>
      <c r="QO5" s="23">
        <f t="shared" si="137"/>
        <v>0</v>
      </c>
      <c r="QP5" s="23">
        <f t="shared" si="137"/>
        <v>0</v>
      </c>
      <c r="QQ5" s="23">
        <f t="shared" si="137"/>
        <v>18</v>
      </c>
      <c r="QR5" s="23">
        <f t="shared" si="137"/>
        <v>8.1999999999999993</v>
      </c>
      <c r="QS5" s="23">
        <f t="shared" si="137"/>
        <v>0</v>
      </c>
      <c r="QT5" s="23">
        <f t="shared" si="137"/>
        <v>0</v>
      </c>
      <c r="QU5" s="23">
        <f t="shared" si="137"/>
        <v>17.450000000000003</v>
      </c>
      <c r="QV5" s="23">
        <f t="shared" si="137"/>
        <v>7.1</v>
      </c>
      <c r="QW5" s="23">
        <f t="shared" si="137"/>
        <v>0</v>
      </c>
      <c r="QX5" s="23">
        <f t="shared" si="137"/>
        <v>0</v>
      </c>
      <c r="QY5" s="28" t="s">
        <v>57</v>
      </c>
      <c r="QZ5" s="41">
        <f t="shared" si="138"/>
        <v>15.85</v>
      </c>
      <c r="RA5" s="41">
        <f t="shared" si="139"/>
        <v>51.449999999999996</v>
      </c>
      <c r="RB5" s="41">
        <f t="shared" si="140"/>
        <v>25.8</v>
      </c>
      <c r="RC5" s="41">
        <f t="shared" si="141"/>
        <v>24.049999999999997</v>
      </c>
      <c r="RD5" s="41">
        <f t="shared" si="142"/>
        <v>77.25</v>
      </c>
      <c r="RE5" s="41">
        <f t="shared" si="143"/>
        <v>15.299999999999999</v>
      </c>
      <c r="RF5" s="41">
        <f t="shared" si="144"/>
        <v>50.750000000000007</v>
      </c>
      <c r="RG5" s="41">
        <f t="shared" si="145"/>
        <v>128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165</v>
      </c>
      <c r="C6" s="4" t="s">
        <v>5</v>
      </c>
      <c r="D6" s="4">
        <v>2003</v>
      </c>
      <c r="E6" s="9">
        <f t="shared" si="0"/>
        <v>163.90001172000467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46.8</v>
      </c>
      <c r="K6" s="8" t="str">
        <f t="shared" si="5"/>
        <v>2023 Domestic 3rd Trial</v>
      </c>
      <c r="L6" s="8">
        <f>IF(COUNT(AQ6,BT6,CW6)&gt;1,LARGE((AQ6,BT6,CW6),2),0)</f>
        <v>45.9</v>
      </c>
      <c r="M6" s="8" t="str">
        <f t="shared" si="6"/>
        <v>2023 Nationals</v>
      </c>
      <c r="N6" s="8">
        <f>IF(COUNT(AR6,BU6,CX6)&gt;0,LARGE((AR6,BU6,CX6),1),0)</f>
        <v>24.5</v>
      </c>
      <c r="O6" s="8" t="str">
        <f t="shared" si="7"/>
        <v>2023 Domestic 3rd Trial</v>
      </c>
      <c r="P6" s="8">
        <f t="shared" si="8"/>
        <v>46.7</v>
      </c>
      <c r="Q6" s="8" t="str">
        <f t="shared" si="9"/>
        <v>2023 Domestic 3rd Trial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 t="shared" si="13"/>
        <v/>
      </c>
      <c r="AQ6" s="41" t="str">
        <f t="shared" si="14"/>
        <v/>
      </c>
      <c r="AR6" s="41" t="str">
        <f t="shared" si="15"/>
        <v/>
      </c>
      <c r="AS6" s="41" t="str">
        <f t="shared" si="16"/>
        <v/>
      </c>
      <c r="AT6" s="41" t="str">
        <f t="shared" si="17"/>
        <v/>
      </c>
      <c r="AU6" s="41" t="str">
        <f t="shared" si="18"/>
        <v/>
      </c>
      <c r="AV6" s="41" t="str">
        <f t="shared" si="19"/>
        <v/>
      </c>
      <c r="AW6" s="41" t="str">
        <f t="shared" si="20"/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 t="shared" si="21"/>
        <v>11</v>
      </c>
      <c r="BT6" s="11">
        <f t="shared" si="22"/>
        <v>45.9</v>
      </c>
      <c r="BU6" s="11">
        <f t="shared" si="23"/>
        <v>19.3</v>
      </c>
      <c r="BV6" s="11">
        <f t="shared" si="24"/>
        <v>14.3</v>
      </c>
      <c r="BW6" s="11">
        <f t="shared" si="25"/>
        <v>65.2</v>
      </c>
      <c r="BX6" s="11">
        <f t="shared" si="26"/>
        <v>11.6</v>
      </c>
      <c r="BY6" s="11">
        <f t="shared" si="27"/>
        <v>46.6</v>
      </c>
      <c r="BZ6" s="11">
        <f t="shared" si="28"/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17.600000000000001</v>
      </c>
      <c r="CN6" s="19">
        <v>6.1</v>
      </c>
      <c r="CO6" s="19">
        <v>0</v>
      </c>
      <c r="CP6" s="19">
        <v>0</v>
      </c>
      <c r="CQ6" s="19">
        <v>17.5</v>
      </c>
      <c r="CR6" s="19">
        <v>5.5</v>
      </c>
      <c r="CS6" s="19">
        <v>0</v>
      </c>
      <c r="CT6" s="19">
        <v>0</v>
      </c>
      <c r="CU6" s="28"/>
      <c r="CV6" s="41">
        <f t="shared" si="29"/>
        <v>11.6</v>
      </c>
      <c r="CW6" s="41">
        <f t="shared" si="30"/>
        <v>46.8</v>
      </c>
      <c r="CX6" s="41">
        <f t="shared" si="31"/>
        <v>24.5</v>
      </c>
      <c r="CY6" s="41">
        <f t="shared" si="32"/>
        <v>18.5</v>
      </c>
      <c r="CZ6" s="41">
        <f t="shared" si="33"/>
        <v>71.3</v>
      </c>
      <c r="DA6" s="41">
        <f t="shared" si="34"/>
        <v>11.6</v>
      </c>
      <c r="DB6" s="41">
        <f t="shared" si="35"/>
        <v>46.7</v>
      </c>
      <c r="DC6" s="41">
        <f t="shared" si="36"/>
        <v>118</v>
      </c>
      <c r="DD6" s="52" t="str">
        <f t="shared" si="37"/>
        <v/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17.25</v>
      </c>
      <c r="QF6" s="23">
        <f t="shared" si="136"/>
        <v>5.8</v>
      </c>
      <c r="QG6" s="23">
        <f t="shared" si="136"/>
        <v>0</v>
      </c>
      <c r="QH6" s="23">
        <f t="shared" si="136"/>
        <v>0</v>
      </c>
      <c r="QI6" s="23">
        <f t="shared" si="136"/>
        <v>17.799999999999997</v>
      </c>
      <c r="QJ6" s="23">
        <f t="shared" si="136"/>
        <v>5.5</v>
      </c>
      <c r="QK6" s="23">
        <f t="shared" si="136"/>
        <v>0</v>
      </c>
      <c r="QL6" s="23">
        <f t="shared" si="136"/>
        <v>0</v>
      </c>
      <c r="QM6" s="23">
        <f t="shared" si="136"/>
        <v>16.8</v>
      </c>
      <c r="QN6" s="23">
        <f t="shared" si="136"/>
        <v>5.0999999999999996</v>
      </c>
      <c r="QO6" s="23">
        <f t="shared" si="137"/>
        <v>0</v>
      </c>
      <c r="QP6" s="23">
        <f t="shared" si="137"/>
        <v>0</v>
      </c>
      <c r="QQ6" s="23">
        <f t="shared" si="137"/>
        <v>17.100000000000001</v>
      </c>
      <c r="QR6" s="23">
        <f t="shared" si="137"/>
        <v>6.1</v>
      </c>
      <c r="QS6" s="23">
        <f t="shared" si="137"/>
        <v>0</v>
      </c>
      <c r="QT6" s="23">
        <f t="shared" si="137"/>
        <v>0</v>
      </c>
      <c r="QU6" s="23">
        <f t="shared" si="137"/>
        <v>17.95</v>
      </c>
      <c r="QV6" s="23">
        <f t="shared" si="137"/>
        <v>5.5</v>
      </c>
      <c r="QW6" s="23">
        <f t="shared" si="137"/>
        <v>0</v>
      </c>
      <c r="QX6" s="23">
        <f t="shared" si="137"/>
        <v>0</v>
      </c>
      <c r="QY6" s="28" t="s">
        <v>57</v>
      </c>
      <c r="QZ6" s="41">
        <f t="shared" si="138"/>
        <v>11.3</v>
      </c>
      <c r="RA6" s="41">
        <f t="shared" si="139"/>
        <v>46.349999999999994</v>
      </c>
      <c r="RB6" s="41">
        <f t="shared" si="140"/>
        <v>21.9</v>
      </c>
      <c r="RC6" s="41">
        <f t="shared" si="141"/>
        <v>16.399999999999999</v>
      </c>
      <c r="RD6" s="41">
        <f t="shared" si="142"/>
        <v>68.25</v>
      </c>
      <c r="RE6" s="41">
        <f t="shared" si="143"/>
        <v>11.6</v>
      </c>
      <c r="RF6" s="41">
        <f t="shared" si="144"/>
        <v>46.650000000000006</v>
      </c>
      <c r="RG6" s="41">
        <f t="shared" si="145"/>
        <v>114.9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84</v>
      </c>
      <c r="C7" s="4" t="s">
        <v>5</v>
      </c>
      <c r="D7" s="4">
        <v>2002</v>
      </c>
      <c r="E7" s="9">
        <f t="shared" si="0"/>
        <v>163.70001176000468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46.9</v>
      </c>
      <c r="K7" s="8" t="str">
        <f t="shared" si="5"/>
        <v>2023 Domestic 3rd Trial</v>
      </c>
      <c r="L7" s="8">
        <f>IF(COUNT(AQ7,BT7,CW7)&gt;1,LARGE((AQ7,BT7,CW7),2),0)</f>
        <v>45.9</v>
      </c>
      <c r="M7" s="8" t="str">
        <f t="shared" si="6"/>
        <v>2023 Nationals</v>
      </c>
      <c r="N7" s="8">
        <f>IF(COUNT(AR7,BU7,CX7)&gt;0,LARGE((AR7,BU7,CX7),1),0)</f>
        <v>24.799999999999997</v>
      </c>
      <c r="O7" s="8" t="str">
        <f t="shared" si="7"/>
        <v>2023 Nationals</v>
      </c>
      <c r="P7" s="8">
        <f t="shared" si="8"/>
        <v>46.099999999999994</v>
      </c>
      <c r="Q7" s="8" t="str">
        <f t="shared" si="9"/>
        <v>2023 Nationals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8"/>
      <c r="AP7" s="41">
        <f t="shared" si="13"/>
        <v>11.600000000000001</v>
      </c>
      <c r="AQ7" s="41">
        <f t="shared" si="14"/>
        <v>45.9</v>
      </c>
      <c r="AR7" s="41">
        <f t="shared" si="15"/>
        <v>23.4</v>
      </c>
      <c r="AS7" s="41">
        <f t="shared" si="16"/>
        <v>17.700000000000003</v>
      </c>
      <c r="AT7" s="41">
        <f t="shared" si="17"/>
        <v>69.3</v>
      </c>
      <c r="AU7" s="41">
        <f t="shared" si="18"/>
        <v>9.6</v>
      </c>
      <c r="AV7" s="41">
        <f t="shared" si="19"/>
        <v>44.599999999999994</v>
      </c>
      <c r="AW7" s="41">
        <f t="shared" si="20"/>
        <v>113.89999999999999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9"/>
      <c r="BS7" s="11">
        <f t="shared" si="21"/>
        <v>11.600000000000001</v>
      </c>
      <c r="BT7" s="11">
        <f t="shared" si="22"/>
        <v>45.9</v>
      </c>
      <c r="BU7" s="11">
        <f t="shared" si="23"/>
        <v>24.799999999999997</v>
      </c>
      <c r="BV7" s="11">
        <f t="shared" si="24"/>
        <v>19.700000000000003</v>
      </c>
      <c r="BW7" s="11">
        <f t="shared" si="25"/>
        <v>70.699999999999989</v>
      </c>
      <c r="BX7" s="11">
        <f t="shared" si="26"/>
        <v>12.2</v>
      </c>
      <c r="BY7" s="11">
        <f t="shared" si="27"/>
        <v>46.099999999999994</v>
      </c>
      <c r="BZ7" s="11">
        <f t="shared" si="28"/>
        <v>116.79999999999998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</v>
      </c>
      <c r="CJ7" s="19">
        <v>5.9</v>
      </c>
      <c r="CK7" s="19">
        <v>0</v>
      </c>
      <c r="CL7" s="19">
        <v>0</v>
      </c>
      <c r="CM7" s="19">
        <v>17.8</v>
      </c>
      <c r="CN7" s="19">
        <v>6.1</v>
      </c>
      <c r="CO7" s="19">
        <v>0</v>
      </c>
      <c r="CP7" s="19">
        <v>0</v>
      </c>
      <c r="CQ7" s="19">
        <v>16.3</v>
      </c>
      <c r="CR7" s="19">
        <v>3.7</v>
      </c>
      <c r="CS7" s="19">
        <v>0</v>
      </c>
      <c r="CT7" s="19">
        <v>0</v>
      </c>
      <c r="CU7" s="28"/>
      <c r="CV7" s="41">
        <f t="shared" si="29"/>
        <v>11.7</v>
      </c>
      <c r="CW7" s="41">
        <f t="shared" si="30"/>
        <v>46.9</v>
      </c>
      <c r="CX7" s="41">
        <f t="shared" si="31"/>
        <v>23.700000000000003</v>
      </c>
      <c r="CY7" s="41">
        <f t="shared" si="32"/>
        <v>17.600000000000001</v>
      </c>
      <c r="CZ7" s="41">
        <f t="shared" si="33"/>
        <v>70.599999999999994</v>
      </c>
      <c r="DA7" s="41">
        <f t="shared" si="34"/>
        <v>9.8000000000000007</v>
      </c>
      <c r="DB7" s="41">
        <f t="shared" si="35"/>
        <v>43.900000000000006</v>
      </c>
      <c r="DC7" s="41">
        <f t="shared" si="36"/>
        <v>114.5</v>
      </c>
      <c r="DD7" s="52" t="str">
        <f t="shared" si="37"/>
        <v/>
      </c>
      <c r="DE7" s="52" t="str">
        <f t="shared" si="38"/>
        <v/>
      </c>
      <c r="DF7" s="52" t="str">
        <f t="shared" si="39"/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 t="shared" si="40"/>
        <v>6.5</v>
      </c>
      <c r="EB7" s="41">
        <f t="shared" si="41"/>
        <v>29.900000000000002</v>
      </c>
      <c r="EC7" s="41" t="str">
        <f t="shared" si="42"/>
        <v/>
      </c>
      <c r="ED7" s="41">
        <f t="shared" si="43"/>
        <v>6.5</v>
      </c>
      <c r="EE7" s="41">
        <f t="shared" si="44"/>
        <v>29.900000000000002</v>
      </c>
      <c r="EF7" s="41" t="str">
        <f t="shared" si="45"/>
        <v/>
      </c>
      <c r="EG7" s="41" t="str">
        <f t="shared" si="46"/>
        <v/>
      </c>
      <c r="EH7" s="41">
        <f t="shared" si="47"/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17.399999999999999</v>
      </c>
      <c r="QF7" s="23">
        <f t="shared" si="136"/>
        <v>5.65</v>
      </c>
      <c r="QG7" s="23">
        <f t="shared" si="136"/>
        <v>0</v>
      </c>
      <c r="QH7" s="23">
        <f t="shared" si="136"/>
        <v>0</v>
      </c>
      <c r="QI7" s="23">
        <f t="shared" si="136"/>
        <v>17.350000000000001</v>
      </c>
      <c r="QJ7" s="23">
        <f t="shared" si="136"/>
        <v>6</v>
      </c>
      <c r="QK7" s="23">
        <f t="shared" si="136"/>
        <v>0</v>
      </c>
      <c r="QL7" s="23">
        <f t="shared" si="136"/>
        <v>0</v>
      </c>
      <c r="QM7" s="23">
        <f t="shared" si="136"/>
        <v>17.25</v>
      </c>
      <c r="QN7" s="23">
        <f t="shared" si="136"/>
        <v>7</v>
      </c>
      <c r="QO7" s="23">
        <f t="shared" si="137"/>
        <v>0</v>
      </c>
      <c r="QP7" s="23">
        <f t="shared" si="137"/>
        <v>0</v>
      </c>
      <c r="QQ7" s="23">
        <f t="shared" si="137"/>
        <v>17.950000000000003</v>
      </c>
      <c r="QR7" s="23">
        <f t="shared" si="137"/>
        <v>5.9</v>
      </c>
      <c r="QS7" s="23">
        <f t="shared" si="137"/>
        <v>0</v>
      </c>
      <c r="QT7" s="23">
        <f t="shared" si="137"/>
        <v>0</v>
      </c>
      <c r="QU7" s="23">
        <f t="shared" si="137"/>
        <v>16.149999999999999</v>
      </c>
      <c r="QV7" s="23">
        <f t="shared" si="137"/>
        <v>5.0999999999999996</v>
      </c>
      <c r="QW7" s="23">
        <f t="shared" si="137"/>
        <v>0.1</v>
      </c>
      <c r="QX7" s="23">
        <f t="shared" si="137"/>
        <v>0</v>
      </c>
      <c r="QY7" s="28" t="s">
        <v>57</v>
      </c>
      <c r="QZ7" s="41">
        <f t="shared" si="138"/>
        <v>11.65</v>
      </c>
      <c r="RA7" s="41">
        <f t="shared" si="139"/>
        <v>46.4</v>
      </c>
      <c r="RB7" s="41">
        <f t="shared" si="140"/>
        <v>24.25</v>
      </c>
      <c r="RC7" s="41">
        <f t="shared" si="141"/>
        <v>18.649999999999999</v>
      </c>
      <c r="RD7" s="41">
        <f t="shared" si="142"/>
        <v>70.650000000000006</v>
      </c>
      <c r="RE7" s="41">
        <f t="shared" si="143"/>
        <v>11</v>
      </c>
      <c r="RF7" s="41">
        <f t="shared" si="144"/>
        <v>45</v>
      </c>
      <c r="RG7" s="41">
        <f t="shared" si="145"/>
        <v>115.65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132</v>
      </c>
      <c r="C8" s="4" t="s">
        <v>5</v>
      </c>
      <c r="D8" s="4">
        <v>2004</v>
      </c>
      <c r="E8" s="9">
        <f t="shared" si="0"/>
        <v>163.30001112000454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45.2</v>
      </c>
      <c r="K8" s="8" t="str">
        <f t="shared" si="5"/>
        <v>2023 Elite Canada</v>
      </c>
      <c r="L8" s="8">
        <f>IF(COUNT(AQ8,BT8,CW8)&gt;1,LARGE((AQ8,BT8,CW8),2),0)</f>
        <v>41.6</v>
      </c>
      <c r="M8" s="8" t="str">
        <f t="shared" si="6"/>
        <v>2023 Domestic 3rd Trial</v>
      </c>
      <c r="N8" s="8">
        <f>IF(COUNT(AR8,BU8,CX8)&gt;0,LARGE((AR8,BU8,CX8),1),0)</f>
        <v>24.4</v>
      </c>
      <c r="O8" s="8" t="str">
        <f t="shared" si="7"/>
        <v>2023 Domestic 3rd Trial</v>
      </c>
      <c r="P8" s="8">
        <f t="shared" si="8"/>
        <v>46.099999999999994</v>
      </c>
      <c r="Q8" s="8" t="str">
        <f t="shared" si="9"/>
        <v>2023 Nationals</v>
      </c>
      <c r="R8" s="8">
        <f t="shared" si="10"/>
        <v>6.0000000000000071</v>
      </c>
      <c r="S8" s="11" t="str">
        <f t="shared" si="11"/>
        <v>(Q1)</v>
      </c>
      <c r="T8" s="8" t="str">
        <f t="shared" si="12"/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8"/>
      <c r="AP8" s="41">
        <f t="shared" si="13"/>
        <v>12.3</v>
      </c>
      <c r="AQ8" s="41">
        <f t="shared" si="14"/>
        <v>45.2</v>
      </c>
      <c r="AR8" s="41">
        <f t="shared" si="15"/>
        <v>22.5</v>
      </c>
      <c r="AS8" s="41">
        <f t="shared" si="16"/>
        <v>18.5</v>
      </c>
      <c r="AT8" s="41">
        <f t="shared" si="17"/>
        <v>67.7</v>
      </c>
      <c r="AU8" s="41">
        <f t="shared" si="18"/>
        <v>9</v>
      </c>
      <c r="AV8" s="41">
        <f t="shared" si="19"/>
        <v>38.300000000000004</v>
      </c>
      <c r="AW8" s="41">
        <f t="shared" si="20"/>
        <v>106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9"/>
      <c r="BS8" s="11">
        <f t="shared" si="21"/>
        <v>9.1999999999999993</v>
      </c>
      <c r="BT8" s="11">
        <f t="shared" si="22"/>
        <v>41.300000000000004</v>
      </c>
      <c r="BU8" s="11">
        <f t="shared" si="23"/>
        <v>22.8</v>
      </c>
      <c r="BV8" s="11">
        <f t="shared" si="24"/>
        <v>15.399999999999999</v>
      </c>
      <c r="BW8" s="11">
        <f t="shared" si="25"/>
        <v>64.100000000000009</v>
      </c>
      <c r="BX8" s="11">
        <f t="shared" si="26"/>
        <v>11.9</v>
      </c>
      <c r="BY8" s="11">
        <f t="shared" si="27"/>
        <v>46.099999999999994</v>
      </c>
      <c r="BZ8" s="11">
        <f t="shared" si="28"/>
        <v>110.2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18.2</v>
      </c>
      <c r="CJ8" s="19">
        <v>6.2</v>
      </c>
      <c r="CK8" s="19">
        <v>0</v>
      </c>
      <c r="CL8" s="19">
        <v>0</v>
      </c>
      <c r="CM8" s="19">
        <v>14.2</v>
      </c>
      <c r="CN8" s="19">
        <v>3.6</v>
      </c>
      <c r="CO8" s="19">
        <v>0</v>
      </c>
      <c r="CP8" s="19">
        <v>0</v>
      </c>
      <c r="CQ8" s="19">
        <v>16.899999999999999</v>
      </c>
      <c r="CR8" s="19">
        <v>5.8</v>
      </c>
      <c r="CS8" s="19">
        <v>0</v>
      </c>
      <c r="CT8" s="19">
        <v>0</v>
      </c>
      <c r="CU8" s="28"/>
      <c r="CV8" s="41">
        <f t="shared" si="29"/>
        <v>9.6</v>
      </c>
      <c r="CW8" s="41">
        <f t="shared" si="30"/>
        <v>41.6</v>
      </c>
      <c r="CX8" s="41">
        <f t="shared" si="31"/>
        <v>24.4</v>
      </c>
      <c r="CY8" s="41">
        <f t="shared" si="32"/>
        <v>15.8</v>
      </c>
      <c r="CZ8" s="41">
        <f t="shared" si="33"/>
        <v>66</v>
      </c>
      <c r="DA8" s="41">
        <f t="shared" si="34"/>
        <v>9.4</v>
      </c>
      <c r="DB8" s="41">
        <f t="shared" si="35"/>
        <v>40.5</v>
      </c>
      <c r="DC8" s="41">
        <f t="shared" si="36"/>
        <v>106.5</v>
      </c>
      <c r="DD8" s="52">
        <f t="shared" si="37"/>
        <v>6.0000000000000071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 t="shared" si="56"/>
        <v>7.4</v>
      </c>
      <c r="GF8" s="41">
        <f t="shared" si="57"/>
        <v>37.699999999999996</v>
      </c>
      <c r="GG8" s="41" t="str">
        <f t="shared" si="58"/>
        <v/>
      </c>
      <c r="GH8" s="41">
        <f t="shared" si="59"/>
        <v>7.4</v>
      </c>
      <c r="GI8" s="41">
        <f t="shared" si="60"/>
        <v>37.699999999999996</v>
      </c>
      <c r="GJ8" s="41" t="str">
        <f t="shared" si="61"/>
        <v/>
      </c>
      <c r="GK8" s="41" t="str">
        <f t="shared" si="62"/>
        <v/>
      </c>
      <c r="GL8" s="41">
        <f t="shared" si="63"/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 t="shared" si="72"/>
        <v>12.8</v>
      </c>
      <c r="IJ8" s="41">
        <f t="shared" si="73"/>
        <v>47.600000000000009</v>
      </c>
      <c r="IK8" s="41" t="str">
        <f t="shared" si="74"/>
        <v/>
      </c>
      <c r="IL8" s="41">
        <f t="shared" si="75"/>
        <v>12.8</v>
      </c>
      <c r="IM8" s="41">
        <f t="shared" si="76"/>
        <v>47.600000000000009</v>
      </c>
      <c r="IN8" s="41" t="str">
        <f t="shared" si="77"/>
        <v/>
      </c>
      <c r="IO8" s="41" t="str">
        <f t="shared" si="78"/>
        <v/>
      </c>
      <c r="IP8" s="41">
        <f t="shared" si="79"/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16</v>
      </c>
      <c r="QF8" s="23">
        <f t="shared" si="136"/>
        <v>5</v>
      </c>
      <c r="QG8" s="23">
        <f t="shared" si="136"/>
        <v>0</v>
      </c>
      <c r="QH8" s="23">
        <f t="shared" si="136"/>
        <v>0</v>
      </c>
      <c r="QI8" s="23">
        <f t="shared" si="136"/>
        <v>16.05</v>
      </c>
      <c r="QJ8" s="23">
        <f t="shared" si="136"/>
        <v>4.4000000000000004</v>
      </c>
      <c r="QK8" s="23">
        <f t="shared" si="136"/>
        <v>0</v>
      </c>
      <c r="QL8" s="23">
        <f t="shared" si="136"/>
        <v>0</v>
      </c>
      <c r="QM8" s="23">
        <f t="shared" si="136"/>
        <v>17.399999999999999</v>
      </c>
      <c r="QN8" s="23">
        <f t="shared" si="136"/>
        <v>6.2</v>
      </c>
      <c r="QO8" s="23">
        <f t="shared" si="137"/>
        <v>0</v>
      </c>
      <c r="QP8" s="23">
        <f t="shared" si="137"/>
        <v>0</v>
      </c>
      <c r="QQ8" s="23">
        <f t="shared" si="137"/>
        <v>15.7</v>
      </c>
      <c r="QR8" s="23">
        <f t="shared" si="137"/>
        <v>4.6500000000000004</v>
      </c>
      <c r="QS8" s="23">
        <f t="shared" si="137"/>
        <v>0.1</v>
      </c>
      <c r="QT8" s="23">
        <f t="shared" si="137"/>
        <v>0</v>
      </c>
      <c r="QU8" s="23">
        <f t="shared" si="137"/>
        <v>17.049999999999997</v>
      </c>
      <c r="QV8" s="23">
        <f t="shared" si="137"/>
        <v>6</v>
      </c>
      <c r="QW8" s="23">
        <f t="shared" si="137"/>
        <v>0</v>
      </c>
      <c r="QX8" s="23">
        <f t="shared" si="137"/>
        <v>0</v>
      </c>
      <c r="QY8" s="28" t="s">
        <v>57</v>
      </c>
      <c r="QZ8" s="41">
        <f t="shared" si="138"/>
        <v>9.4</v>
      </c>
      <c r="RA8" s="41">
        <f t="shared" si="139"/>
        <v>41.449999999999996</v>
      </c>
      <c r="RB8" s="41">
        <f t="shared" si="140"/>
        <v>23.599999999999998</v>
      </c>
      <c r="RC8" s="41">
        <f t="shared" si="141"/>
        <v>15.600000000000001</v>
      </c>
      <c r="RD8" s="41">
        <f t="shared" si="142"/>
        <v>65.05</v>
      </c>
      <c r="RE8" s="41">
        <f t="shared" si="143"/>
        <v>10.65</v>
      </c>
      <c r="RF8" s="41">
        <f t="shared" si="144"/>
        <v>43.3</v>
      </c>
      <c r="RG8" s="41">
        <f t="shared" si="145"/>
        <v>108.35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248</v>
      </c>
      <c r="C9" s="4" t="s">
        <v>8</v>
      </c>
      <c r="D9" s="4">
        <v>2006</v>
      </c>
      <c r="E9" s="9">
        <f t="shared" si="0"/>
        <v>161.30001140000451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IF(COUNT(AQ9,BT9,CW9)&gt;0,LARGE((AQ9,BT9,CW9),1),0)</f>
        <v>45.3</v>
      </c>
      <c r="K9" s="8" t="str">
        <f t="shared" si="5"/>
        <v>2023 Nationals</v>
      </c>
      <c r="L9" s="8">
        <f>IF(COUNT(AQ9,BT9,CW9)&gt;1,LARGE((AQ9,BT9,CW9),2),0)</f>
        <v>44.9</v>
      </c>
      <c r="M9" s="8" t="str">
        <f t="shared" si="6"/>
        <v>2023 Domestic 3rd Trial</v>
      </c>
      <c r="N9" s="8">
        <f>IF(COUNT(AR9,BU9,CX9)&gt;0,LARGE((AR9,BU9,CX9),1),0)</f>
        <v>23.8</v>
      </c>
      <c r="O9" s="8" t="str">
        <f t="shared" si="7"/>
        <v>2023 Domestic 3rd Trial</v>
      </c>
      <c r="P9" s="8">
        <f t="shared" si="8"/>
        <v>47.3</v>
      </c>
      <c r="Q9" s="8" t="str">
        <f t="shared" si="9"/>
        <v>2023 Domestic 3rd Trial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8"/>
      <c r="AP9" s="41" t="str">
        <f t="shared" si="13"/>
        <v/>
      </c>
      <c r="AQ9" s="41" t="str">
        <f t="shared" si="14"/>
        <v/>
      </c>
      <c r="AR9" s="41" t="str">
        <f t="shared" si="15"/>
        <v/>
      </c>
      <c r="AS9" s="41" t="str">
        <f t="shared" si="16"/>
        <v/>
      </c>
      <c r="AT9" s="41" t="str">
        <f t="shared" si="17"/>
        <v/>
      </c>
      <c r="AU9" s="41" t="str">
        <f t="shared" si="18"/>
        <v/>
      </c>
      <c r="AV9" s="41" t="str">
        <f t="shared" si="19"/>
        <v/>
      </c>
      <c r="AW9" s="41" t="str">
        <f t="shared" si="20"/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9"/>
      <c r="BS9" s="11">
        <f t="shared" si="21"/>
        <v>10.6</v>
      </c>
      <c r="BT9" s="11">
        <f t="shared" si="22"/>
        <v>45.3</v>
      </c>
      <c r="BU9" s="11">
        <f t="shared" si="23"/>
        <v>22.6</v>
      </c>
      <c r="BV9" s="11">
        <f t="shared" si="24"/>
        <v>16.100000000000001</v>
      </c>
      <c r="BW9" s="11">
        <f t="shared" si="25"/>
        <v>67.900000000000006</v>
      </c>
      <c r="BX9" s="11">
        <f t="shared" si="26"/>
        <v>10.6</v>
      </c>
      <c r="BY9" s="11">
        <f t="shared" si="27"/>
        <v>47</v>
      </c>
      <c r="BZ9" s="11">
        <f t="shared" si="28"/>
        <v>114.9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</v>
      </c>
      <c r="CJ9" s="19">
        <v>5.5</v>
      </c>
      <c r="CK9" s="19">
        <v>0</v>
      </c>
      <c r="CL9" s="19">
        <v>0</v>
      </c>
      <c r="CM9" s="19">
        <v>18.3</v>
      </c>
      <c r="CN9" s="19">
        <v>6.5</v>
      </c>
      <c r="CO9" s="19">
        <v>0</v>
      </c>
      <c r="CP9" s="19">
        <v>0</v>
      </c>
      <c r="CQ9" s="19">
        <v>17</v>
      </c>
      <c r="CR9" s="19">
        <v>5.5</v>
      </c>
      <c r="CS9" s="19">
        <v>0</v>
      </c>
      <c r="CT9" s="19">
        <v>0</v>
      </c>
      <c r="CU9" s="28"/>
      <c r="CV9" s="41">
        <f t="shared" si="29"/>
        <v>10.6</v>
      </c>
      <c r="CW9" s="41">
        <f t="shared" si="30"/>
        <v>44.9</v>
      </c>
      <c r="CX9" s="41">
        <f t="shared" si="31"/>
        <v>23.8</v>
      </c>
      <c r="CY9" s="41">
        <f t="shared" si="32"/>
        <v>16.100000000000001</v>
      </c>
      <c r="CZ9" s="41">
        <f t="shared" si="33"/>
        <v>68.7</v>
      </c>
      <c r="DA9" s="41">
        <f t="shared" si="34"/>
        <v>12</v>
      </c>
      <c r="DB9" s="41">
        <f t="shared" si="35"/>
        <v>47.3</v>
      </c>
      <c r="DC9" s="41">
        <f t="shared" si="36"/>
        <v>116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17.2</v>
      </c>
      <c r="QF9" s="23">
        <f t="shared" si="136"/>
        <v>5.3</v>
      </c>
      <c r="QG9" s="23">
        <f t="shared" si="136"/>
        <v>0.30000000000000004</v>
      </c>
      <c r="QH9" s="23">
        <f t="shared" si="136"/>
        <v>0.15</v>
      </c>
      <c r="QI9" s="23">
        <f t="shared" si="136"/>
        <v>17.3</v>
      </c>
      <c r="QJ9" s="23">
        <f t="shared" si="136"/>
        <v>5.3</v>
      </c>
      <c r="QK9" s="23">
        <f t="shared" si="136"/>
        <v>0</v>
      </c>
      <c r="QL9" s="23">
        <f t="shared" si="136"/>
        <v>0.15</v>
      </c>
      <c r="QM9" s="23">
        <f t="shared" si="136"/>
        <v>17.649999999999999</v>
      </c>
      <c r="QN9" s="23">
        <f t="shared" si="136"/>
        <v>5.5</v>
      </c>
      <c r="QO9" s="23">
        <f t="shared" si="137"/>
        <v>0.1</v>
      </c>
      <c r="QP9" s="23">
        <f t="shared" si="137"/>
        <v>0.15</v>
      </c>
      <c r="QQ9" s="23">
        <f t="shared" si="137"/>
        <v>18.149999999999999</v>
      </c>
      <c r="QR9" s="23">
        <f t="shared" si="137"/>
        <v>6</v>
      </c>
      <c r="QS9" s="23">
        <f t="shared" si="137"/>
        <v>0</v>
      </c>
      <c r="QT9" s="23">
        <f t="shared" si="137"/>
        <v>0.15</v>
      </c>
      <c r="QU9" s="23">
        <f t="shared" si="137"/>
        <v>17.399999999999999</v>
      </c>
      <c r="QV9" s="23">
        <f t="shared" si="137"/>
        <v>5.3</v>
      </c>
      <c r="QW9" s="23">
        <f t="shared" si="137"/>
        <v>0</v>
      </c>
      <c r="QX9" s="23">
        <f t="shared" si="137"/>
        <v>0.15</v>
      </c>
      <c r="QY9" s="28" t="s">
        <v>57</v>
      </c>
      <c r="QZ9" s="41">
        <f t="shared" si="138"/>
        <v>10.6</v>
      </c>
      <c r="RA9" s="41">
        <f t="shared" si="139"/>
        <v>45.1</v>
      </c>
      <c r="RB9" s="41">
        <f t="shared" si="140"/>
        <v>23.199999999999996</v>
      </c>
      <c r="RC9" s="41">
        <f t="shared" si="141"/>
        <v>16.100000000000001</v>
      </c>
      <c r="RD9" s="41">
        <f t="shared" si="142"/>
        <v>68.3</v>
      </c>
      <c r="RE9" s="41">
        <f t="shared" si="143"/>
        <v>11.3</v>
      </c>
      <c r="RF9" s="41">
        <f t="shared" si="144"/>
        <v>47.149999999999991</v>
      </c>
      <c r="RG9" s="41">
        <f t="shared" si="145"/>
        <v>115.44999999999999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166</v>
      </c>
      <c r="C10" s="4" t="s">
        <v>3</v>
      </c>
      <c r="D10" s="4">
        <v>2003</v>
      </c>
      <c r="E10" s="9">
        <f t="shared" si="0"/>
        <v>160.10001119000461</v>
      </c>
      <c r="F10" s="3" t="str">
        <f t="shared" si="1"/>
        <v>P</v>
      </c>
      <c r="G10" s="3" t="str">
        <f t="shared" si="2"/>
        <v>P</v>
      </c>
      <c r="H10" s="37" t="str">
        <f t="shared" ca="1" si="3"/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 t="shared" si="5"/>
        <v>2023 Elite Canada</v>
      </c>
      <c r="L10" s="8">
        <f>IF(COUNT(AQ10,BT10,CW10)&gt;1,LARGE((AQ10,BT10,CW10),2),0)</f>
        <v>43</v>
      </c>
      <c r="M10" s="8" t="str">
        <f t="shared" si="6"/>
        <v>2023 Nationals</v>
      </c>
      <c r="N10" s="8">
        <f>IF(COUNT(AR10,BU10,CX10)&gt;0,LARGE((AR10,BU10,CX10),1),0)</f>
        <v>23.2</v>
      </c>
      <c r="O10" s="8" t="str">
        <f t="shared" si="7"/>
        <v>2023 Nationals</v>
      </c>
      <c r="P10" s="8">
        <f t="shared" si="8"/>
        <v>48.2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 t="shared" si="13"/>
        <v>11.1</v>
      </c>
      <c r="AQ10" s="41">
        <f t="shared" si="14"/>
        <v>45.7</v>
      </c>
      <c r="AR10" s="41">
        <f t="shared" si="15"/>
        <v>18.7</v>
      </c>
      <c r="AS10" s="41">
        <f t="shared" si="16"/>
        <v>14.1</v>
      </c>
      <c r="AT10" s="41">
        <f t="shared" si="17"/>
        <v>64.400000000000006</v>
      </c>
      <c r="AU10" s="41">
        <f t="shared" si="18"/>
        <v>9.1999999999999993</v>
      </c>
      <c r="AV10" s="41">
        <f t="shared" si="19"/>
        <v>42.6</v>
      </c>
      <c r="AW10" s="41">
        <f t="shared" si="20"/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 t="shared" si="21"/>
        <v>10.9</v>
      </c>
      <c r="BT10" s="11">
        <f t="shared" si="22"/>
        <v>43</v>
      </c>
      <c r="BU10" s="11">
        <f t="shared" si="23"/>
        <v>23.2</v>
      </c>
      <c r="BV10" s="11">
        <f t="shared" si="24"/>
        <v>17.399999999999999</v>
      </c>
      <c r="BW10" s="11">
        <f t="shared" si="25"/>
        <v>66.2</v>
      </c>
      <c r="BX10" s="11">
        <f t="shared" si="26"/>
        <v>12</v>
      </c>
      <c r="BY10" s="11">
        <f t="shared" si="27"/>
        <v>48.2</v>
      </c>
      <c r="BZ10" s="11">
        <f t="shared" si="28"/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 t="shared" si="56"/>
        <v>8.8000000000000007</v>
      </c>
      <c r="GF10" s="41">
        <f t="shared" si="57"/>
        <v>41</v>
      </c>
      <c r="GG10" s="41" t="str">
        <f t="shared" si="58"/>
        <v/>
      </c>
      <c r="GH10" s="41">
        <f t="shared" si="59"/>
        <v>8.8000000000000007</v>
      </c>
      <c r="GI10" s="41">
        <f t="shared" si="60"/>
        <v>41</v>
      </c>
      <c r="GJ10" s="41" t="str">
        <f t="shared" si="61"/>
        <v/>
      </c>
      <c r="GK10" s="41" t="str">
        <f t="shared" si="62"/>
        <v/>
      </c>
      <c r="GL10" s="41">
        <f t="shared" si="63"/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 t="shared" si="72"/>
        <v>6.6</v>
      </c>
      <c r="IJ10" s="41">
        <f t="shared" si="73"/>
        <v>38.099999999999994</v>
      </c>
      <c r="IK10" s="41" t="str">
        <f t="shared" si="74"/>
        <v/>
      </c>
      <c r="IL10" s="41">
        <f t="shared" si="75"/>
        <v>6.6</v>
      </c>
      <c r="IM10" s="41">
        <f t="shared" si="76"/>
        <v>38.099999999999994</v>
      </c>
      <c r="IN10" s="41" t="str">
        <f t="shared" si="77"/>
        <v/>
      </c>
      <c r="IO10" s="41" t="str">
        <f t="shared" si="78"/>
        <v/>
      </c>
      <c r="IP10" s="41">
        <f t="shared" si="79"/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8.15</v>
      </c>
      <c r="QF10" s="23">
        <f t="shared" si="136"/>
        <v>2.75</v>
      </c>
      <c r="QG10" s="23">
        <f t="shared" si="136"/>
        <v>0.2</v>
      </c>
      <c r="QH10" s="23">
        <f t="shared" si="136"/>
        <v>0</v>
      </c>
      <c r="QI10" s="23">
        <f t="shared" si="136"/>
        <v>8.1999999999999993</v>
      </c>
      <c r="QJ10" s="23">
        <f t="shared" si="136"/>
        <v>2.7</v>
      </c>
      <c r="QK10" s="23">
        <f t="shared" si="136"/>
        <v>0.1</v>
      </c>
      <c r="QL10" s="23">
        <f t="shared" si="136"/>
        <v>0</v>
      </c>
      <c r="QM10" s="23">
        <f t="shared" si="136"/>
        <v>8.4499999999999993</v>
      </c>
      <c r="QN10" s="23">
        <f t="shared" si="136"/>
        <v>3.25</v>
      </c>
      <c r="QO10" s="23">
        <f t="shared" si="137"/>
        <v>0.1</v>
      </c>
      <c r="QP10" s="23">
        <f t="shared" si="137"/>
        <v>0</v>
      </c>
      <c r="QQ10" s="23">
        <f t="shared" si="137"/>
        <v>8.9</v>
      </c>
      <c r="QR10" s="23">
        <f t="shared" si="137"/>
        <v>3.25</v>
      </c>
      <c r="QS10" s="23">
        <f t="shared" si="137"/>
        <v>0</v>
      </c>
      <c r="QT10" s="23">
        <f t="shared" si="137"/>
        <v>0</v>
      </c>
      <c r="QU10" s="23">
        <f t="shared" si="137"/>
        <v>9.1999999999999993</v>
      </c>
      <c r="QV10" s="23">
        <f t="shared" si="137"/>
        <v>2.75</v>
      </c>
      <c r="QW10" s="23">
        <f t="shared" si="137"/>
        <v>0</v>
      </c>
      <c r="QX10" s="23">
        <f t="shared" si="137"/>
        <v>0</v>
      </c>
      <c r="QY10" s="28" t="s">
        <v>57</v>
      </c>
      <c r="QZ10" s="41">
        <f t="shared" si="138"/>
        <v>5.45</v>
      </c>
      <c r="RA10" s="41">
        <f t="shared" si="139"/>
        <v>21.5</v>
      </c>
      <c r="RB10" s="41">
        <f t="shared" si="140"/>
        <v>11.6</v>
      </c>
      <c r="RC10" s="41">
        <f t="shared" si="141"/>
        <v>8.6999999999999993</v>
      </c>
      <c r="RD10" s="41">
        <f t="shared" si="142"/>
        <v>33.1</v>
      </c>
      <c r="RE10" s="41">
        <f t="shared" si="143"/>
        <v>6</v>
      </c>
      <c r="RF10" s="41">
        <f t="shared" si="144"/>
        <v>24.1</v>
      </c>
      <c r="RG10" s="41">
        <f t="shared" si="145"/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 t="shared" si="0"/>
        <v>104.40000635000415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 t="shared" si="5"/>
        <v>2023 Domestic 3rd Trial</v>
      </c>
      <c r="L11" s="8">
        <f>IF(COUNT(AQ11,BT11,CW11)&gt;1,LARGE((AQ11,BT11,CW11),2),0)</f>
        <v>0</v>
      </c>
      <c r="M11" s="8" t="str">
        <f t="shared" si="6"/>
        <v/>
      </c>
      <c r="N11" s="8">
        <f>IF(COUNT(AR11,BU11,CX11)&gt;0,LARGE((AR11,BU11,CX11),1),0)</f>
        <v>22.099999999999998</v>
      </c>
      <c r="O11" s="8" t="str">
        <f t="shared" si="7"/>
        <v>2023 Domestic 3rd Trial</v>
      </c>
      <c r="P11" s="8">
        <f t="shared" si="8"/>
        <v>40.900000000000006</v>
      </c>
      <c r="Q11" s="8" t="str">
        <f t="shared" si="9"/>
        <v>2023 Domestic 3rd Trial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 t="shared" si="13"/>
        <v/>
      </c>
      <c r="AQ11" s="41" t="str">
        <f t="shared" si="14"/>
        <v/>
      </c>
      <c r="AR11" s="41" t="str">
        <f t="shared" si="15"/>
        <v/>
      </c>
      <c r="AS11" s="41" t="str">
        <f t="shared" si="16"/>
        <v/>
      </c>
      <c r="AT11" s="41" t="str">
        <f t="shared" si="17"/>
        <v/>
      </c>
      <c r="AU11" s="41" t="str">
        <f t="shared" si="18"/>
        <v/>
      </c>
      <c r="AV11" s="41" t="str">
        <f t="shared" si="19"/>
        <v/>
      </c>
      <c r="AW11" s="41" t="str">
        <f t="shared" si="20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16.399999999999999</v>
      </c>
      <c r="CJ11" s="19">
        <v>5.7</v>
      </c>
      <c r="CK11" s="19">
        <v>0</v>
      </c>
      <c r="CL11" s="19">
        <v>0</v>
      </c>
      <c r="CM11" s="19">
        <v>16.399999999999999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 t="shared" si="29"/>
        <v>10.9</v>
      </c>
      <c r="CW11" s="41">
        <f t="shared" si="30"/>
        <v>41.4</v>
      </c>
      <c r="CX11" s="41">
        <f t="shared" si="31"/>
        <v>22.099999999999998</v>
      </c>
      <c r="CY11" s="41">
        <f t="shared" si="32"/>
        <v>16.600000000000001</v>
      </c>
      <c r="CZ11" s="41">
        <f t="shared" si="33"/>
        <v>63.5</v>
      </c>
      <c r="DA11" s="41">
        <f t="shared" si="34"/>
        <v>9.6999999999999993</v>
      </c>
      <c r="DB11" s="41">
        <f t="shared" si="35"/>
        <v>40.900000000000006</v>
      </c>
      <c r="DC11" s="41">
        <f t="shared" si="36"/>
        <v>104.4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8.1</v>
      </c>
      <c r="QF11" s="23">
        <f t="shared" si="136"/>
        <v>3</v>
      </c>
      <c r="QG11" s="23">
        <f t="shared" si="136"/>
        <v>1</v>
      </c>
      <c r="QH11" s="23">
        <f t="shared" si="136"/>
        <v>0</v>
      </c>
      <c r="QI11" s="23">
        <f t="shared" si="136"/>
        <v>8.15</v>
      </c>
      <c r="QJ11" s="23">
        <f t="shared" si="136"/>
        <v>2.4500000000000002</v>
      </c>
      <c r="QK11" s="23">
        <f t="shared" si="136"/>
        <v>0</v>
      </c>
      <c r="QL11" s="23">
        <f t="shared" si="136"/>
        <v>0</v>
      </c>
      <c r="QM11" s="23">
        <f t="shared" si="136"/>
        <v>8.1999999999999993</v>
      </c>
      <c r="QN11" s="23">
        <f t="shared" si="136"/>
        <v>2.85</v>
      </c>
      <c r="QO11" s="23">
        <f t="shared" si="137"/>
        <v>0</v>
      </c>
      <c r="QP11" s="23">
        <f t="shared" si="137"/>
        <v>0</v>
      </c>
      <c r="QQ11" s="23">
        <f t="shared" si="137"/>
        <v>8.1999999999999993</v>
      </c>
      <c r="QR11" s="23">
        <f t="shared" si="137"/>
        <v>3</v>
      </c>
      <c r="QS11" s="23">
        <f t="shared" si="137"/>
        <v>0</v>
      </c>
      <c r="QT11" s="23">
        <f t="shared" si="137"/>
        <v>0</v>
      </c>
      <c r="QU11" s="23">
        <f t="shared" si="137"/>
        <v>7.4</v>
      </c>
      <c r="QV11" s="23">
        <f t="shared" si="137"/>
        <v>1.85</v>
      </c>
      <c r="QW11" s="23">
        <f t="shared" si="137"/>
        <v>0</v>
      </c>
      <c r="QX11" s="23">
        <f t="shared" si="137"/>
        <v>0</v>
      </c>
      <c r="QY11" s="28" t="s">
        <v>57</v>
      </c>
      <c r="QZ11" s="41">
        <f t="shared" si="138"/>
        <v>5.45</v>
      </c>
      <c r="RA11" s="41">
        <f t="shared" si="139"/>
        <v>20.7</v>
      </c>
      <c r="RB11" s="41">
        <f t="shared" si="140"/>
        <v>11.049999999999999</v>
      </c>
      <c r="RC11" s="41">
        <f t="shared" si="141"/>
        <v>8.3000000000000007</v>
      </c>
      <c r="RD11" s="41">
        <f t="shared" si="142"/>
        <v>31.75</v>
      </c>
      <c r="RE11" s="41">
        <f t="shared" si="143"/>
        <v>4.8499999999999996</v>
      </c>
      <c r="RF11" s="41">
        <f t="shared" si="144"/>
        <v>20.450000000000003</v>
      </c>
      <c r="RG11" s="41">
        <f t="shared" si="145"/>
        <v>52.2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</v>
      </c>
      <c r="FC14" s="4"/>
      <c r="FJ14" s="43">
        <v>11</v>
      </c>
      <c r="GE14" s="4"/>
      <c r="GL14" s="43">
        <v>11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11</v>
      </c>
      <c r="FC15" s="4"/>
      <c r="FJ15" s="53">
        <v>11</v>
      </c>
      <c r="GE15" s="4"/>
      <c r="GL15" s="53">
        <v>11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11</v>
      </c>
      <c r="FC16" s="4"/>
      <c r="FJ16" s="45">
        <v>11</v>
      </c>
      <c r="GE16" s="4"/>
      <c r="GL16" s="45">
        <v>11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14.6</v>
      </c>
      <c r="FC17" s="4"/>
      <c r="FJ17" s="46">
        <v>14.6</v>
      </c>
      <c r="GE17" s="4"/>
      <c r="GL17" s="46">
        <v>14.6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45</v>
      </c>
      <c r="FC18" s="4"/>
      <c r="FJ18" s="47">
        <v>45</v>
      </c>
      <c r="GE18" s="4"/>
      <c r="GL18" s="47">
        <v>45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46.2</v>
      </c>
      <c r="FC19" s="4"/>
      <c r="FJ19" s="48">
        <v>46.2</v>
      </c>
      <c r="GE19" s="4"/>
      <c r="GL19" s="48">
        <v>46.2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47.4</v>
      </c>
      <c r="FC20" s="4"/>
      <c r="FJ20" s="49">
        <v>47.4</v>
      </c>
      <c r="GE20" s="4"/>
      <c r="GL20" s="49">
        <v>47.4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51</v>
      </c>
      <c r="FC21" s="4"/>
      <c r="FJ21" s="50">
        <v>51</v>
      </c>
      <c r="GE21" s="4"/>
      <c r="GL21" s="50">
        <v>51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1">
      <sortCondition descending="1" ref="F1:F1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11" priority="28" stopIfTrue="1">
      <formula>IF($AO4&lt;&gt;"",1,0)</formula>
    </cfRule>
  </conditionalFormatting>
  <conditionalFormatting sqref="AX4:BZ1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99" priority="14" operator="between">
      <formula>AW$21</formula>
      <formula>1000</formula>
    </cfRule>
    <cfRule type="cellIs" dxfId="98" priority="15" operator="between">
      <formula>AW$20</formula>
      <formula>AW$21</formula>
    </cfRule>
    <cfRule type="cellIs" dxfId="97" priority="1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AW$14</formula>
      <formula>AW$15</formula>
    </cfRule>
    <cfRule type="cellIs" dxfId="93" priority="75276" operator="between">
      <formula>AW$15</formula>
      <formula>AW$16</formula>
    </cfRule>
    <cfRule type="cellIs" dxfId="92" priority="75277" operator="between">
      <formula>AW$16</formula>
      <formula>AW$17</formula>
    </cfRule>
    <cfRule type="cellIs" dxfId="91" priority="75278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AW$18</formula>
      <formula>AW$19</formula>
    </cfRule>
    <cfRule type="cellIs" dxfId="89" priority="75456" operator="between">
      <formula>AW$19</formula>
      <formula>AW$20</formula>
    </cfRule>
    <cfRule type="cellIs" dxfId="88" priority="75457" operator="between">
      <formula>AW$20</formula>
      <formula>AW$21</formula>
    </cfRule>
    <cfRule type="cellIs" dxfId="87" priority="75458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AW$17</formula>
      <formula>1000</formula>
    </cfRule>
    <cfRule type="cellIs" dxfId="85" priority="75636" operator="between">
      <formula>AW$16</formula>
      <formula>AW$17</formula>
    </cfRule>
    <cfRule type="cellIs" dxfId="84" priority="75637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178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179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184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220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240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 t="shared" ref="E4:E13" si="0">SUM(J4:R4)+SUM(J4:N4)*0.0000001+SUM(J4)*0.0000000000001</f>
        <v>157.10001103000445</v>
      </c>
      <c r="F4" s="3" t="str">
        <f t="shared" ref="F4:F13" si="1"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 t="shared" ref="G4:G13" si="2"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 t="shared" ref="H4:H13" si="3"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 t="shared" ref="I4:I13" si="4"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 t="shared" ref="K4:K13" si="5"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 t="shared" ref="M4:M13" si="6"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 t="shared" ref="O4:O13" si="7">IF(N4=0,"",IF(N4=CX4,$CA$1,IF(N4=BU4,$AX$1,IF(N4=AR4,$U$1,""))))</f>
        <v>2023 Elite Canada</v>
      </c>
      <c r="P4" s="8">
        <f t="shared" ref="P4:P13" si="8">IF(MAX(AV4,BY4,DB4)&gt;0,MAX(AV4,BY4,DB4),0)</f>
        <v>45.4</v>
      </c>
      <c r="Q4" s="8" t="str">
        <f t="shared" ref="Q4:Q13" si="9">IF(P4=0,"",IF(P4=DB4,$CA$1,IF(P4=BY4,$AX$1,IF(P4=AV4,$U$1,""))))</f>
        <v>2023 Nationals</v>
      </c>
      <c r="R4" s="8">
        <f t="shared" ref="R4:R13" si="10">IF(MAX(DD4:DF4)&gt;0,MAX(DD4:DF4),"")</f>
        <v>1.4000000000000128</v>
      </c>
      <c r="S4" s="11" t="str">
        <f t="shared" ref="S4:S13" si="11">IF(R4="","",IF(R4=DD4,"("&amp;DD$2&amp;")",IF(R4=DE4,"("&amp;DE$2&amp;")",IF(R4=DF4,"("&amp;DF$2&amp;")"))))</f>
        <v>(Q1)</v>
      </c>
      <c r="T4" s="8" t="str">
        <f t="shared" ref="T4:T13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 t="shared" ref="AP4:AP13" si="13">IF(SUM(V4,Z4)&gt;0,SUM(V4,Z4),"")</f>
        <v>8.1999999999999993</v>
      </c>
      <c r="AQ4" s="41">
        <f t="shared" ref="AQ4:AQ13" si="14">IF(SUM(U4:V4,X4:Z4,AB4)-W4-AA4&gt;0,SUM(U4:V4,X4:Z4,AB4)-W4-AA4,"")</f>
        <v>43.399999999999991</v>
      </c>
      <c r="AR4" s="41">
        <f t="shared" ref="AR4:AR13" si="15">IF(SUM(AC4:AD4,AF4)-AE4&gt;0,SUM(AC4:AD4,AF4)-AE4,"")</f>
        <v>22.200000000000003</v>
      </c>
      <c r="AS4" s="41">
        <f t="shared" ref="AS4:AS13" si="16">IF(SUM(V4,Z4,AD4)&gt;0,SUM(V4,Z4,AD4),"")</f>
        <v>13</v>
      </c>
      <c r="AT4" s="41">
        <f t="shared" ref="AT4:AT13" si="17">IF(SUM(AQ4,AR4)&gt;0,SUM(AQ4,AR4),"")</f>
        <v>65.599999999999994</v>
      </c>
      <c r="AU4" s="41">
        <f t="shared" ref="AU4:AU13" si="18">IF(SUM(AH4,AL4)&gt;0,SUM(AH4,AL4),"")</f>
        <v>9.1</v>
      </c>
      <c r="AV4" s="41">
        <f t="shared" ref="AV4:AV13" si="19">IF(SUM(AG4:AH4,AJ4:AL4,AN4)-SUM(AI4,AM4)&gt;0,SUM(AG4:AH4,AJ4:AL4,AN4)-SUM(AI4,AM4),"")</f>
        <v>42</v>
      </c>
      <c r="AW4" s="41">
        <f t="shared" ref="AW4:AW13" si="20"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 t="shared" ref="BS4:BS13" si="21">IF(SUM(AY4,BC4)&gt;0,SUM(AY4,BC4),"")</f>
        <v>10.199999999999999</v>
      </c>
      <c r="BT4" s="11">
        <f t="shared" ref="BT4:BT13" si="22">IF(SUM(AX4:AY4,BA4:BC4,BE4)-AZ4-BD4&gt;0,SUM(AX4:AY4,BA4:BC4,BE4)-AZ4-BD4,"")</f>
        <v>44.70000000000001</v>
      </c>
      <c r="BU4" s="11">
        <f t="shared" ref="BU4:BU13" si="23">IF(SUM(BF4:BG4,BI4)-BH4&gt;0,SUM(BF4:BG4,BI4)-BH4,"")</f>
        <v>20.5</v>
      </c>
      <c r="BV4" s="11">
        <f t="shared" ref="BV4:BV13" si="24">IF(SUM(AY4,BC4,BG4)&gt;0,SUM(AY4,BC4,BG4),"")</f>
        <v>15.2</v>
      </c>
      <c r="BW4" s="11">
        <f t="shared" ref="BW4:BW13" si="25">IF(SUM(BT4,BU4)&gt;0,SUM(BT4,BU4),"")</f>
        <v>65.200000000000017</v>
      </c>
      <c r="BX4" s="11">
        <f t="shared" ref="BX4:BX13" si="26">IF(SUM(BK4,BO4)&gt;0,SUM(BK4,BO4),"")</f>
        <v>10.199999999999999</v>
      </c>
      <c r="BY4" s="11">
        <f t="shared" ref="BY4:BY13" si="27">IF(SUM(BJ4:BK4,BM4:BO4,BQ4)-SUM(BL4,BP4)&gt;0,SUM(BJ4:BK4,BM4:BO4,BQ4)-SUM(BL4,BP4),"")</f>
        <v>45.4</v>
      </c>
      <c r="BZ4" s="11">
        <f t="shared" ref="BZ4:BZ13" si="28"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17.899999999999999</v>
      </c>
      <c r="CN4" s="19">
        <v>4.5999999999999996</v>
      </c>
      <c r="CO4" s="19">
        <v>0</v>
      </c>
      <c r="CP4" s="19">
        <v>0.6</v>
      </c>
      <c r="CQ4" s="19">
        <v>16.3</v>
      </c>
      <c r="CR4" s="19">
        <v>4.8</v>
      </c>
      <c r="CS4" s="19">
        <v>0</v>
      </c>
      <c r="CT4" s="19">
        <v>0.6</v>
      </c>
      <c r="CU4" s="28"/>
      <c r="CV4" s="41">
        <f t="shared" ref="CV4:CV13" si="29">IF(SUM(CB4,CF4)&gt;0,SUM(CB4,CF4),"")</f>
        <v>9.6</v>
      </c>
      <c r="CW4" s="41">
        <f t="shared" ref="CW4:CW13" si="30">IF(SUM(CA4:CB4,CD4:CF4,CH4)-CC4-CG4&gt;0,SUM(CA4:CB4,CD4:CF4,CH4)-CC4-CG4,"")</f>
        <v>43.2</v>
      </c>
      <c r="CX4" s="41">
        <f t="shared" ref="CX4:CX13" si="31">IF(SUM(CI4:CJ4,CL4)-CK4&gt;0,SUM(CI4:CJ4,CL4)-CK4,"")</f>
        <v>19.100000000000001</v>
      </c>
      <c r="CY4" s="41">
        <f t="shared" ref="CY4:CY13" si="32">IF(SUM(CB4,CF4,CJ4)&gt;0,SUM(CB4,CF4,CJ4),"")</f>
        <v>12.2</v>
      </c>
      <c r="CZ4" s="41">
        <f t="shared" ref="CZ4:CZ13" si="33">IF(SUM(CW4,CX4)&gt;0,SUM(CW4,CX4),"")</f>
        <v>62.300000000000004</v>
      </c>
      <c r="DA4" s="41">
        <f t="shared" ref="DA4:DA13" si="34">IF(SUM(CN4,CR4)&gt;0,SUM(CN4,CR4),"")</f>
        <v>9.3999999999999986</v>
      </c>
      <c r="DB4" s="41">
        <f t="shared" ref="DB4:DB13" si="35">IF(SUM(CM4:CN4,CP4:CR4,CT4)-SUM(CO4,CS4)&gt;0,SUM(CM4:CN4,CP4:CR4,CT4)-SUM(CO4,CS4),"")</f>
        <v>44.800000000000004</v>
      </c>
      <c r="DC4" s="41">
        <f t="shared" ref="DC4:DC13" si="36">IF(SUM(CW4,CX4,DB4)&gt;0,SUM(CW4,CX4,DB4),"")</f>
        <v>107.10000000000001</v>
      </c>
      <c r="DD4" s="52">
        <f t="shared" ref="DD4:DD13" si="37">IF(MAX(EB4,FD4,GF4,HH4,IJ4,JL4,KN4,LP4,MR4,NT4,OV4,PX4)-IF(L4="",0,L4)&gt;0.001,MAX(EB4,FD4,GF4,HH4,IJ4,JL4,KN4,LP4,MR4,NT4,OV4,PX4)-IF(L4="",0,L4),"")</f>
        <v>1.4000000000000128</v>
      </c>
      <c r="DE4" s="52" t="str">
        <f t="shared" ref="DE4:DE13" si="38">IF(MAX(EC4,FE4,GG4,HI4,IK4,JM4,KO4,LQ4,MS4,NU4,OW4,PY4)-IF(N4="",0,N4)&gt;0.001,MAX(EC4,FE4,GG4,HI4,IK4,JM4,KO4,LQ4,MS4,NU4,OW4,PY4)-IF(N4="",0,N4),"")</f>
        <v/>
      </c>
      <c r="DF4" s="52" t="str">
        <f t="shared" ref="DF4:DF13" si="39"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 t="shared" ref="EA4:EA13" si="40">IF(SUM(DH4,DL4)&gt;0,SUM(DH4,DL4),"")</f>
        <v>9.3999999999999986</v>
      </c>
      <c r="EB4" s="41">
        <f t="shared" ref="EB4:EB13" si="41">IF(SUM(DG4:DH4,DJ4:DL4,DN4)-DI4-DM4&gt;0,SUM(DG4:DH4,DJ4:DL4,DN4)-DI4-DM4,"")</f>
        <v>40.9</v>
      </c>
      <c r="EC4" s="41" t="str">
        <f t="shared" ref="EC4:EC13" si="42">IF(SUM(DO4:DP4,DR4)-DQ4&gt;0,SUM(DO4:DP4,DR4)-DQ4,"")</f>
        <v/>
      </c>
      <c r="ED4" s="41">
        <f t="shared" ref="ED4:ED13" si="43">IF(SUM(DH4,DL4,DP4)&gt;0,SUM(DH4,DL4,DP4),"")</f>
        <v>9.3999999999999986</v>
      </c>
      <c r="EE4" s="41">
        <f t="shared" ref="EE4:EE13" si="44">IF(SUM(EB4,EC4)&gt;0,SUM(EB4,EC4),"")</f>
        <v>40.9</v>
      </c>
      <c r="EF4" s="41" t="str">
        <f t="shared" ref="EF4:EF13" si="45">IF(SUM(DT4,DX4)&gt;0,SUM(DT4,DX4),"")</f>
        <v/>
      </c>
      <c r="EG4" s="41" t="str">
        <f t="shared" ref="EG4:EG13" si="46">IF(SUM(DS4:DT4,DV4:DX4,DZ4)-SUM(DU4,DY4)&gt;0,SUM(DS4:DT4,DV4:DX4,DZ4)-SUM(DU4,DY4),"")</f>
        <v/>
      </c>
      <c r="EH4" s="41">
        <f t="shared" ref="EH4:EH13" si="47">IF(SUM(EB4,EC4,EG4)&gt;0,SUM(EB4,EC4,EG4),"")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3" si="48">IF(SUM(EJ4,EN4)&gt;0,SUM(EJ4,EN4),"")</f>
        <v/>
      </c>
      <c r="FD4" s="11" t="str">
        <f t="shared" ref="FD4:FD13" si="49">IF(SUM(EI4:EJ4,EL4:EN4,EP4)-EK4-EO4&gt;0,SUM(EI4:EJ4,EL4:EN4,EP4)-EK4-EO4,"")</f>
        <v/>
      </c>
      <c r="FE4" s="11" t="str">
        <f t="shared" ref="FE4:FE13" si="50">IF(SUM(EQ4:ER4,ET4)-ES4&gt;0,SUM(EQ4:ER4,ET4)-ES4,"")</f>
        <v/>
      </c>
      <c r="FF4" s="11" t="str">
        <f t="shared" ref="FF4:FF13" si="51">IF(SUM(EJ4,EN4,ER4)&gt;0,SUM(EJ4,EN4,ER4),"")</f>
        <v/>
      </c>
      <c r="FG4" s="11" t="str">
        <f t="shared" ref="FG4:FG13" si="52">IF(SUM(FD4,FE4)&gt;0,SUM(FD4,FE4),"")</f>
        <v/>
      </c>
      <c r="FH4" s="11" t="str">
        <f t="shared" ref="FH4:FH13" si="53">IF(SUM(EV4,EZ4)&gt;0,SUM(EV4,EZ4),"")</f>
        <v/>
      </c>
      <c r="FI4" s="11" t="str">
        <f t="shared" ref="FI4:FI13" si="54">IF(SUM(EU4:EV4,EX4:EZ4,FB4)-SUM(EW4,FA4)&gt;0,SUM(EU4:EV4,EX4:EZ4,FB4)-SUM(EW4,FA4),"")</f>
        <v/>
      </c>
      <c r="FJ4" s="11" t="str">
        <f t="shared" ref="FJ4:FJ13" si="55"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3" si="56">IF(SUM(FL4,FP4)&gt;0,SUM(FL4,FP4),"")</f>
        <v/>
      </c>
      <c r="GF4" s="41" t="str">
        <f t="shared" ref="GF4:GF13" si="57">IF(SUM(FK4:FL4,FN4:FP4,FR4)-FM4-FQ4&gt;0,SUM(FK4:FL4,FN4:FP4,FR4)-FM4-FQ4,"")</f>
        <v/>
      </c>
      <c r="GG4" s="41" t="str">
        <f t="shared" ref="GG4:GG13" si="58">IF(SUM(FS4:FT4,FV4)-FU4&gt;0,SUM(FS4:FT4,FV4)-FU4,"")</f>
        <v/>
      </c>
      <c r="GH4" s="41" t="str">
        <f t="shared" ref="GH4:GH13" si="59">IF(SUM(FL4,FP4,FT4)&gt;0,SUM(FL4,FP4,FT4),"")</f>
        <v/>
      </c>
      <c r="GI4" s="41" t="str">
        <f t="shared" ref="GI4:GI13" si="60">IF(SUM(GF4,GG4)&gt;0,SUM(GF4,GG4),"")</f>
        <v/>
      </c>
      <c r="GJ4" s="41" t="str">
        <f t="shared" ref="GJ4:GJ13" si="61">IF(SUM(FX4,GB4)&gt;0,SUM(FX4,GB4),"")</f>
        <v/>
      </c>
      <c r="GK4" s="41" t="str">
        <f t="shared" ref="GK4:GK13" si="62">IF(SUM(FW4:FX4,FZ4:GB4,GD4)-SUM(FY4,GC4)&gt;0,SUM(FW4:FX4,FZ4:GB4,GD4)-SUM(FY4,GC4),"")</f>
        <v/>
      </c>
      <c r="GL4" s="41" t="str">
        <f t="shared" ref="GL4:GL13" si="63">IF(SUM(GF4,GG4,GK4)&gt;0,SUM(GF4,GG4,GK4),"")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13" si="64">IF(SUM(GN4,GR4)&gt;0,SUM(GN4,GR4),"")</f>
        <v>9.5</v>
      </c>
      <c r="HH4" s="11">
        <f t="shared" ref="HH4:HH13" si="65">IF(SUM(GM4:GN4,GP4:GR4,GT4)-GO4-GS4&gt;0,SUM(GM4:GN4,GP4:GR4,GT4)-GO4-GS4,"")</f>
        <v>41.1</v>
      </c>
      <c r="HI4" s="11" t="str">
        <f t="shared" ref="HI4:HI13" si="66">IF(SUM(GU4:GV4,GX4)-GW4&gt;0,SUM(GU4:GV4,GX4)-GW4,"")</f>
        <v/>
      </c>
      <c r="HJ4" s="11">
        <f t="shared" ref="HJ4:HJ13" si="67">IF(SUM(GN4,GR4,GV4)&gt;0,SUM(GN4,GR4,GV4),"")</f>
        <v>9.5</v>
      </c>
      <c r="HK4" s="11">
        <f t="shared" ref="HK4:HK13" si="68">IF(SUM(HH4,HI4)&gt;0,SUM(HH4,HI4),"")</f>
        <v>41.1</v>
      </c>
      <c r="HL4" s="11" t="str">
        <f t="shared" ref="HL4:HL13" si="69">IF(SUM(GZ4,HD4)&gt;0,SUM(GZ4,HD4),"")</f>
        <v/>
      </c>
      <c r="HM4" s="11" t="str">
        <f t="shared" ref="HM4:HM13" si="70">IF(SUM(GY4:GZ4,HB4:HD4,HF4)-SUM(HA4,HE4)&gt;0,SUM(GY4:GZ4,HB4:HD4,HF4)-SUM(HA4,HE4),"")</f>
        <v/>
      </c>
      <c r="HN4" s="11">
        <f t="shared" ref="HN4:HN13" si="71">IF(SUM(HH4,HI4,HM4)&gt;0,SUM(HH4,HI4,HM4),"")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1">
        <f t="shared" ref="II4:II13" si="72">IF(SUM(HP4,HT4)&gt;0,SUM(HP4,HT4),"")</f>
        <v>10.199999999999999</v>
      </c>
      <c r="IJ4" s="41">
        <f t="shared" ref="IJ4:IJ13" si="73">IF(SUM(HO4:HP4,HR4:HT4,HV4)-HQ4-HU4&gt;0,SUM(HO4:HP4,HR4:HT4,HV4)-HQ4-HU4,"")</f>
        <v>44.800000000000004</v>
      </c>
      <c r="IK4" s="41" t="str">
        <f t="shared" ref="IK4:IK13" si="74">IF(SUM(HW4:HX4,HZ4)-HY4&gt;0,SUM(HW4:HX4,HZ4)-HY4,"")</f>
        <v/>
      </c>
      <c r="IL4" s="41">
        <f t="shared" ref="IL4:IL13" si="75">IF(SUM(HP4,HT4,HX4)&gt;0,SUM(HP4,HT4,HX4),"")</f>
        <v>10.199999999999999</v>
      </c>
      <c r="IM4" s="41">
        <f t="shared" ref="IM4:IM13" si="76">IF(SUM(IJ4,IK4)&gt;0,SUM(IJ4,IK4),"")</f>
        <v>44.800000000000004</v>
      </c>
      <c r="IN4" s="41">
        <f t="shared" ref="IN4:IN13" si="77">IF(SUM(IB4,IF4)&gt;0,SUM(IB4,IF4),"")</f>
        <v>5</v>
      </c>
      <c r="IO4" s="41">
        <f t="shared" ref="IO4:IO13" si="78">IF(SUM(IA4:IB4,ID4:IF4,IH4)-SUM(IC4,IG4)&gt;0,SUM(IA4:IB4,ID4:IF4,IH4)-SUM(IC4,IG4),"")</f>
        <v>21.9</v>
      </c>
      <c r="IP4" s="41">
        <f t="shared" ref="IP4:IP13" si="79">IF(SUM(IJ4,IK4,IO4)&gt;0,SUM(IJ4,IK4,IO4),"")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3" si="80">IF(SUM(IR4,IV4)&gt;0,SUM(IR4,IV4),"")</f>
        <v/>
      </c>
      <c r="JL4" s="11" t="str">
        <f t="shared" ref="JL4:JL13" si="81">IF(SUM(IQ4:IR4,IT4:IV4,IX4)-IS4-IW4&gt;0,SUM(IQ4:IR4,IT4:IV4,IX4)-IS4-IW4,"")</f>
        <v/>
      </c>
      <c r="JM4" s="11" t="str">
        <f t="shared" ref="JM4:JM13" si="82">IF(SUM(IY4:IZ4,JB4)-JA4&gt;0,SUM(IY4:IZ4,JB4)-JA4,"")</f>
        <v/>
      </c>
      <c r="JN4" s="11" t="str">
        <f t="shared" ref="JN4:JN13" si="83">IF(SUM(IR4,IV4,IZ4)&gt;0,SUM(IR4,IV4,IZ4),"")</f>
        <v/>
      </c>
      <c r="JO4" s="11" t="str">
        <f t="shared" ref="JO4:JO13" si="84">IF(SUM(JL4,JM4)&gt;0,SUM(JL4,JM4),"")</f>
        <v/>
      </c>
      <c r="JP4" s="11" t="str">
        <f t="shared" ref="JP4:JP13" si="85">IF(SUM(JD4,JH4)&gt;0,SUM(JD4,JH4),"")</f>
        <v/>
      </c>
      <c r="JQ4" s="11" t="str">
        <f t="shared" ref="JQ4:JQ13" si="86">IF(SUM(JC4:JD4,JF4:JH4,JJ4)-SUM(JE4,JI4)&gt;0,SUM(JC4:JD4,JF4:JH4,JJ4)-SUM(JE4,JI4),"")</f>
        <v/>
      </c>
      <c r="JR4" s="11" t="str">
        <f t="shared" ref="JR4:JR13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3" si="88">IF(SUM(JT4,JX4)&gt;0,SUM(JT4,JX4),"")</f>
        <v/>
      </c>
      <c r="KN4" s="41" t="str">
        <f t="shared" ref="KN4:KN13" si="89">IF(SUM(JS4:JT4,JV4:JX4,JZ4)-JU4-JY4&gt;0,SUM(JS4:JT4,JV4:JX4,JZ4)-JU4-JY4,"")</f>
        <v/>
      </c>
      <c r="KO4" s="41" t="str">
        <f t="shared" ref="KO4:KO13" si="90">IF(SUM(KA4:KB4,KD4)-KC4&gt;0,SUM(KA4:KB4,KD4)-KC4,"")</f>
        <v/>
      </c>
      <c r="KP4" s="41" t="str">
        <f t="shared" ref="KP4:KP13" si="91">IF(SUM(JT4,JX4,KB4)&gt;0,SUM(JT4,JX4,KB4),"")</f>
        <v/>
      </c>
      <c r="KQ4" s="41" t="str">
        <f t="shared" ref="KQ4:KQ13" si="92">IF(SUM(KN4,KO4)&gt;0,SUM(KN4,KO4),"")</f>
        <v/>
      </c>
      <c r="KR4" s="41" t="str">
        <f t="shared" ref="KR4:KR13" si="93">IF(SUM(KF4,KJ4)&gt;0,SUM(KF4,KJ4),"")</f>
        <v/>
      </c>
      <c r="KS4" s="41" t="str">
        <f t="shared" ref="KS4:KS13" si="94">IF(SUM(KE4:KF4,KH4:KJ4,KL4)-SUM(KG4,KK4)&gt;0,SUM(KE4:KF4,KH4:KJ4,KL4)-SUM(KG4,KK4),"")</f>
        <v/>
      </c>
      <c r="KT4" s="41" t="str">
        <f t="shared" ref="KT4:KT13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3" si="96">IF(SUM(KV4,KZ4)&gt;0,SUM(KV4,KZ4),"")</f>
        <v/>
      </c>
      <c r="LP4" s="11" t="str">
        <f t="shared" ref="LP4:LP13" si="97">IF(SUM(KU4:KV4,KX4:KZ4,LB4)-KW4-LA4&gt;0,SUM(KU4:KV4,KX4:KZ4,LB4)-KW4-LA4,"")</f>
        <v/>
      </c>
      <c r="LQ4" s="11" t="str">
        <f t="shared" ref="LQ4:LQ13" si="98">IF(SUM(LC4:LD4,LF4)-LE4&gt;0,SUM(LC4:LD4,LF4)-LE4,"")</f>
        <v/>
      </c>
      <c r="LR4" s="11" t="str">
        <f t="shared" ref="LR4:LR13" si="99">IF(SUM(KV4,KZ4,LD4)&gt;0,SUM(KV4,KZ4,LD4),"")</f>
        <v/>
      </c>
      <c r="LS4" s="11" t="str">
        <f t="shared" ref="LS4:LS13" si="100">IF(SUM(LP4,LQ4)&gt;0,SUM(LP4,LQ4),"")</f>
        <v/>
      </c>
      <c r="LT4" s="11" t="str">
        <f t="shared" ref="LT4:LT13" si="101">IF(SUM(LH4,LL4)&gt;0,SUM(LH4,LL4),"")</f>
        <v/>
      </c>
      <c r="LU4" s="11" t="str">
        <f t="shared" ref="LU4:LU13" si="102">IF(SUM(LG4:LH4,LJ4:LL4,LN4)-SUM(LI4,LM4)&gt;0,SUM(LG4:LH4,LJ4:LL4,LN4)-SUM(LI4,LM4),"")</f>
        <v/>
      </c>
      <c r="LV4" s="11" t="str">
        <f t="shared" ref="LV4:LV13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3" si="104">IF(SUM(LX4,MB4)&gt;0,SUM(LX4,MB4),"")</f>
        <v/>
      </c>
      <c r="MR4" s="41" t="str">
        <f t="shared" ref="MR4:MR13" si="105">IF(SUM(LW4:LX4,LZ4:MB4,MD4)-LY4-MC4&gt;0,SUM(LW4:LX4,LZ4:MB4,MD4)-LY4-MC4,"")</f>
        <v/>
      </c>
      <c r="MS4" s="41" t="str">
        <f t="shared" ref="MS4:MS13" si="106">IF(SUM(ME4:MF4,MH4)-MG4&gt;0,SUM(ME4:MF4,MH4)-MG4,"")</f>
        <v/>
      </c>
      <c r="MT4" s="41" t="str">
        <f t="shared" ref="MT4:MT13" si="107">IF(SUM(LX4,MB4,MF4)&gt;0,SUM(LX4,MB4,MF4),"")</f>
        <v/>
      </c>
      <c r="MU4" s="41" t="str">
        <f t="shared" ref="MU4:MU13" si="108">IF(SUM(MR4,MS4)&gt;0,SUM(MR4,MS4),"")</f>
        <v/>
      </c>
      <c r="MV4" s="41" t="str">
        <f t="shared" ref="MV4:MV13" si="109">IF(SUM(MJ4,MN4)&gt;0,SUM(MJ4,MN4),"")</f>
        <v/>
      </c>
      <c r="MW4" s="41" t="str">
        <f t="shared" ref="MW4:MW13" si="110">IF(SUM(MI4:MJ4,ML4:MN4,MP4)-SUM(MK4,MO4)&gt;0,SUM(MI4:MJ4,ML4:MN4,MP4)-SUM(MK4,MO4),"")</f>
        <v/>
      </c>
      <c r="MX4" s="41" t="str">
        <f t="shared" ref="MX4:MX13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3" si="112">IF(SUM(MZ4,ND4)&gt;0,SUM(MZ4,ND4),"")</f>
        <v/>
      </c>
      <c r="NT4" s="11" t="str">
        <f t="shared" ref="NT4:NT13" si="113">IF(SUM(MY4:MZ4,NB4:ND4,NF4)-NA4-NE4&gt;0,SUM(MY4:MZ4,NB4:ND4,NF4)-NA4-NE4,"")</f>
        <v/>
      </c>
      <c r="NU4" s="11" t="str">
        <f t="shared" ref="NU4:NU13" si="114">IF(SUM(NG4:NH4,NJ4)-NI4&gt;0,SUM(NG4:NH4,NJ4)-NI4,"")</f>
        <v/>
      </c>
      <c r="NV4" s="11" t="str">
        <f t="shared" ref="NV4:NV13" si="115">IF(SUM(MZ4,ND4,NH4)&gt;0,SUM(MZ4,ND4,NH4),"")</f>
        <v/>
      </c>
      <c r="NW4" s="11" t="str">
        <f t="shared" ref="NW4:NW13" si="116">IF(SUM(NT4,NU4)&gt;0,SUM(NT4,NU4),"")</f>
        <v/>
      </c>
      <c r="NX4" s="11" t="str">
        <f t="shared" ref="NX4:NX13" si="117">IF(SUM(NL4,NP4)&gt;0,SUM(NL4,NP4),"")</f>
        <v/>
      </c>
      <c r="NY4" s="11" t="str">
        <f t="shared" ref="NY4:NY13" si="118">IF(SUM(NK4:NL4,NN4:NP4,NR4)-SUM(NM4,NQ4)&gt;0,SUM(NK4:NL4,NN4:NP4,NR4)-SUM(NM4,NQ4),"")</f>
        <v/>
      </c>
      <c r="NZ4" s="11" t="str">
        <f t="shared" ref="NZ4:NZ13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3" si="120">IF(SUM(OB4,OF4)&gt;0,SUM(OB4,OF4),"")</f>
        <v/>
      </c>
      <c r="OV4" s="41" t="str">
        <f t="shared" ref="OV4:OV13" si="121">IF(SUM(OA4:OB4,OD4:OF4,OH4)-OC4-OG4&gt;0,SUM(OA4:OB4,OD4:OF4,OH4)-OC4-OG4,"")</f>
        <v/>
      </c>
      <c r="OW4" s="41" t="str">
        <f t="shared" ref="OW4:OW13" si="122">IF(SUM(OI4:OJ4,OL4)-OK4&gt;0,SUM(OI4:OJ4,OL4)-OK4,"")</f>
        <v/>
      </c>
      <c r="OX4" s="41" t="str">
        <f t="shared" ref="OX4:OX13" si="123">IF(SUM(OB4,OF4,OJ4)&gt;0,SUM(OB4,OF4,OJ4),"")</f>
        <v/>
      </c>
      <c r="OY4" s="41" t="str">
        <f t="shared" ref="OY4:OY13" si="124">IF(SUM(OV4,OW4)&gt;0,SUM(OV4,OW4),"")</f>
        <v/>
      </c>
      <c r="OZ4" s="41" t="str">
        <f t="shared" ref="OZ4:OZ13" si="125">IF(SUM(ON4,OR4)&gt;0,SUM(ON4,OR4),"")</f>
        <v/>
      </c>
      <c r="PA4" s="41" t="str">
        <f t="shared" ref="PA4:PA13" si="126">IF(SUM(OM4:ON4,OP4:OR4,OT4)-SUM(OO4,OS4)&gt;0,SUM(OM4:ON4,OP4:OR4,OT4)-SUM(OO4,OS4),"")</f>
        <v/>
      </c>
      <c r="PB4" s="41" t="str">
        <f t="shared" ref="PB4:PB13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3" si="128">IF(SUM(PD4,PH4)&gt;0,SUM(PD4,PH4),"")</f>
        <v/>
      </c>
      <c r="PX4" s="11" t="str">
        <f t="shared" ref="PX4:PX13" si="129">IF(SUM(PC4:PD4,PF4:PH4,PJ4)-PE4-PI4&gt;0,SUM(PC4:PD4,PF4:PH4,PJ4)-PE4-PI4,"")</f>
        <v/>
      </c>
      <c r="PY4" s="11" t="str">
        <f t="shared" ref="PY4:PY13" si="130">IF(SUM(PK4:PL4,PN4)-PM4&gt;0,SUM(PK4:PL4,PN4)-PM4,"")</f>
        <v/>
      </c>
      <c r="PZ4" s="11" t="str">
        <f t="shared" ref="PZ4:PZ13" si="131">IF(SUM(PD4,PH4,PL4)&gt;0,SUM(PD4,PH4,PL4),"")</f>
        <v/>
      </c>
      <c r="QA4" s="11" t="str">
        <f t="shared" ref="QA4:QA13" si="132">IF(SUM(PX4,PY4)&gt;0,SUM(PX4,PY4),"")</f>
        <v/>
      </c>
      <c r="QB4" s="11" t="str">
        <f t="shared" ref="QB4:QB13" si="133">IF(SUM(PP4,PT4)&gt;0,SUM(PP4,PT4),"")</f>
        <v/>
      </c>
      <c r="QC4" s="11" t="str">
        <f t="shared" ref="QC4:QC13" si="134">IF(SUM(PO4:PP4,PR4:PT4,PV4)-SUM(PQ4,PU4)&gt;0,SUM(PO4:PP4,PR4:PT4,PV4)-SUM(PQ4,PU4),"")</f>
        <v/>
      </c>
      <c r="QD4" s="11" t="str">
        <f t="shared" ref="QD4:QD13" si="135">IF(SUM(PX4,PY4,QC4)&gt;0,SUM(PX4,PY4,QC4),"")</f>
        <v/>
      </c>
      <c r="QE4" s="23">
        <f t="shared" ref="QE4:QE13" si="136">IF($CU4="P",CA4,(CA4+AX4)/2)</f>
        <v>16.05</v>
      </c>
      <c r="QF4" s="23">
        <f t="shared" ref="QF4:QF13" si="137">IF($CU4="P",CB4,(CB4+AY4)/2)</f>
        <v>5</v>
      </c>
      <c r="QG4" s="23">
        <f t="shared" ref="QG4:QG13" si="138">IF($CU4="P",CC4,(CC4+AZ4)/2)</f>
        <v>0</v>
      </c>
      <c r="QH4" s="23">
        <f t="shared" ref="QH4:QH13" si="139">IF($CU4="P",CD4,(CD4+BA4)/2)</f>
        <v>0.6</v>
      </c>
      <c r="QI4" s="23">
        <f t="shared" ref="QI4:QI13" si="140">IF($CU4="P",CE4,(CE4+BB4)/2)</f>
        <v>16.8</v>
      </c>
      <c r="QJ4" s="23">
        <f t="shared" ref="QJ4:QJ13" si="141">IF($CU4="P",CF4,(CF4+BC4)/2)</f>
        <v>4.9000000000000004</v>
      </c>
      <c r="QK4" s="23">
        <f t="shared" ref="QK4:QK13" si="142">IF($CU4="P",CG4,(CG4+BD4)/2)</f>
        <v>0</v>
      </c>
      <c r="QL4" s="23">
        <f t="shared" ref="QL4:QL13" si="143">IF($CU4="P",CH4,(CH4+BE4)/2)</f>
        <v>0.6</v>
      </c>
      <c r="QM4" s="23">
        <f t="shared" ref="QM4:QM13" si="144">IF($CU4="P",CI4,(CI4+BF4)/2)</f>
        <v>15.4</v>
      </c>
      <c r="QN4" s="23">
        <f t="shared" ref="QN4:QN13" si="145">IF($CU4="P",CJ4,(CJ4+BG4)/2)</f>
        <v>3.8</v>
      </c>
      <c r="QO4" s="23">
        <f t="shared" ref="QO4:QO13" si="146">IF($CU4="P",CK4,(CK4+BH4)/2)</f>
        <v>0</v>
      </c>
      <c r="QP4" s="23">
        <f t="shared" ref="QP4:QP13" si="147">IF($CU4="P",CL4,(CL4+BI4)/2)</f>
        <v>0.6</v>
      </c>
      <c r="QQ4" s="23">
        <f t="shared" ref="QQ4:QQ13" si="148">IF($CU4="P",CM4,(CM4+BJ4)/2)</f>
        <v>17.549999999999997</v>
      </c>
      <c r="QR4" s="23">
        <f t="shared" ref="QR4:QR13" si="149">IF($CU4="P",CN4,(CN4+BK4)/2)</f>
        <v>4.8</v>
      </c>
      <c r="QS4" s="23">
        <f t="shared" ref="QS4:QS13" si="150">IF($CU4="P",CO4,(CO4+BL4)/2)</f>
        <v>0</v>
      </c>
      <c r="QT4" s="23">
        <f t="shared" ref="QT4:QT13" si="151">IF($CU4="P",CP4,(CP4+BM4)/2)</f>
        <v>0.6</v>
      </c>
      <c r="QU4" s="23">
        <f t="shared" ref="QU4:QU13" si="152">IF($CU4="P",CQ4,(CQ4+BN4)/2)</f>
        <v>16.649999999999999</v>
      </c>
      <c r="QV4" s="23">
        <f t="shared" ref="QV4:QV13" si="153">IF($CU4="P",CR4,(CR4+BO4)/2)</f>
        <v>5</v>
      </c>
      <c r="QW4" s="23">
        <f t="shared" ref="QW4:QW13" si="154">IF($CU4="P",CS4,(CS4+BP4)/2)</f>
        <v>0.1</v>
      </c>
      <c r="QX4" s="23">
        <f t="shared" ref="QX4:QX13" si="155">IF($CU4="P",CT4,(CT4+BQ4)/2)</f>
        <v>0.6</v>
      </c>
      <c r="QY4" s="28" t="s">
        <v>57</v>
      </c>
      <c r="QZ4" s="41">
        <f t="shared" ref="QZ4:QZ13" si="156">IF(SUM(QF4,QJ4)&gt;0,SUM(QF4,QJ4),"")</f>
        <v>9.9</v>
      </c>
      <c r="RA4" s="41">
        <f t="shared" ref="RA4:RA13" si="157">IF(SUM(QE4:QF4,QH4:QJ4,QL4)-QG4-QK4&gt;0,SUM(QE4:QF4,QH4:QJ4,QL4)-QG4-QK4,"")</f>
        <v>43.95</v>
      </c>
      <c r="RB4" s="41">
        <f t="shared" ref="RB4:RB13" si="158">IF(SUM(QM4:QN4,QP4)-QO4&gt;0,SUM(QM4:QN4,QP4)-QO4,"")</f>
        <v>19.8</v>
      </c>
      <c r="RC4" s="41">
        <f t="shared" ref="RC4:RC13" si="159">IF(SUM(QF4,QJ4,QN4)&gt;0,SUM(QF4,QJ4,QN4),"")</f>
        <v>13.7</v>
      </c>
      <c r="RD4" s="41">
        <f t="shared" ref="RD4:RD13" si="160">IF(SUM(RA4,RB4)&gt;0,SUM(RA4,RB4),"")</f>
        <v>63.75</v>
      </c>
      <c r="RE4" s="41">
        <f t="shared" ref="RE4:RE13" si="161">IF(SUM(QR4,QV4)&gt;0,SUM(QR4,QV4),"")</f>
        <v>9.8000000000000007</v>
      </c>
      <c r="RF4" s="41">
        <f t="shared" ref="RF4:RF13" si="162">IF(SUM(QQ4:QR4,QT4:QV4,QX4)-SUM(QS4,QW4)&gt;0,SUM(QQ4:QR4,QT4:QV4,QX4)-SUM(QS4,QW4),"")</f>
        <v>45.099999999999994</v>
      </c>
      <c r="RG4" s="41">
        <f t="shared" ref="RG4:RG13" si="163">IF(SUM(RA4,RB4,RF4)&gt;0,SUM(RA4,RB4,RF4),"")</f>
        <v>108.85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147</v>
      </c>
      <c r="C5" s="4" t="s">
        <v>5</v>
      </c>
      <c r="D5" s="4">
        <v>2003</v>
      </c>
      <c r="E5" s="9">
        <f t="shared" si="0"/>
        <v>154.80001093000445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44.699999999999996</v>
      </c>
      <c r="K5" s="8" t="str">
        <f t="shared" si="5"/>
        <v>2023 Nationals</v>
      </c>
      <c r="L5" s="8">
        <f>IF(COUNT(AQ5,BT5,CW5)&gt;1,LARGE((AQ5,BT5,CW5),2),0)</f>
        <v>43.500000000000007</v>
      </c>
      <c r="M5" s="8" t="str">
        <f t="shared" si="6"/>
        <v>2023 Domestic 3rd Trial</v>
      </c>
      <c r="N5" s="8">
        <f>IF(COUNT(AR5,BU5,CX5)&gt;0,LARGE((AR5,BU5,CX5),1),0)</f>
        <v>21.099999999999998</v>
      </c>
      <c r="O5" s="8" t="str">
        <f t="shared" si="7"/>
        <v>2023 Nationals</v>
      </c>
      <c r="P5" s="8">
        <f t="shared" si="8"/>
        <v>45.300000000000004</v>
      </c>
      <c r="Q5" s="8" t="str">
        <f t="shared" si="9"/>
        <v>2023 Nationals</v>
      </c>
      <c r="R5" s="8">
        <f t="shared" si="10"/>
        <v>0.19999999999998863</v>
      </c>
      <c r="S5" s="11" t="str">
        <f t="shared" si="11"/>
        <v>(Q1)</v>
      </c>
      <c r="T5" s="8" t="str">
        <f t="shared" si="12"/>
        <v>2022 Worlds (Nov 17)</v>
      </c>
      <c r="U5" s="19">
        <v>17.3</v>
      </c>
      <c r="V5" s="19">
        <v>3.9</v>
      </c>
      <c r="W5" s="19">
        <v>0</v>
      </c>
      <c r="X5" s="19">
        <v>0.3</v>
      </c>
      <c r="Y5" s="19">
        <v>16.100000000000001</v>
      </c>
      <c r="Z5" s="19">
        <v>2.6</v>
      </c>
      <c r="AA5" s="19">
        <v>0</v>
      </c>
      <c r="AB5" s="19">
        <v>0.6</v>
      </c>
      <c r="AC5" s="19">
        <v>15.8</v>
      </c>
      <c r="AD5" s="19">
        <v>1.9</v>
      </c>
      <c r="AE5" s="19">
        <v>0</v>
      </c>
      <c r="AF5" s="19">
        <v>0.3</v>
      </c>
      <c r="AG5" s="19">
        <v>17</v>
      </c>
      <c r="AH5" s="19">
        <v>3.9</v>
      </c>
      <c r="AI5" s="19">
        <v>0.2</v>
      </c>
      <c r="AJ5" s="19">
        <v>0.3</v>
      </c>
      <c r="AK5" s="19">
        <v>16.399999999999999</v>
      </c>
      <c r="AL5" s="19">
        <v>1.9</v>
      </c>
      <c r="AM5" s="19">
        <v>0</v>
      </c>
      <c r="AN5" s="19">
        <v>0.3</v>
      </c>
      <c r="AO5" s="28"/>
      <c r="AP5" s="41">
        <f t="shared" si="13"/>
        <v>6.5</v>
      </c>
      <c r="AQ5" s="41">
        <f t="shared" si="14"/>
        <v>40.800000000000004</v>
      </c>
      <c r="AR5" s="41">
        <f t="shared" si="15"/>
        <v>18</v>
      </c>
      <c r="AS5" s="41">
        <f t="shared" si="16"/>
        <v>8.4</v>
      </c>
      <c r="AT5" s="41">
        <f t="shared" si="17"/>
        <v>58.800000000000004</v>
      </c>
      <c r="AU5" s="41">
        <f t="shared" si="18"/>
        <v>5.8</v>
      </c>
      <c r="AV5" s="41">
        <f t="shared" si="19"/>
        <v>39.599999999999987</v>
      </c>
      <c r="AW5" s="41">
        <f t="shared" si="20"/>
        <v>98.399999999999991</v>
      </c>
      <c r="AX5" s="18">
        <v>17.399999999999999</v>
      </c>
      <c r="AY5" s="18">
        <v>4.3</v>
      </c>
      <c r="AZ5" s="18">
        <v>0</v>
      </c>
      <c r="BA5" s="18">
        <v>0.3</v>
      </c>
      <c r="BB5" s="18">
        <v>17.5</v>
      </c>
      <c r="BC5" s="18">
        <v>4.8</v>
      </c>
      <c r="BD5" s="18">
        <v>0.2</v>
      </c>
      <c r="BE5" s="18">
        <v>0.6</v>
      </c>
      <c r="BF5" s="18">
        <v>16.7</v>
      </c>
      <c r="BG5" s="18">
        <v>4.0999999999999996</v>
      </c>
      <c r="BH5" s="18">
        <v>0</v>
      </c>
      <c r="BI5" s="18">
        <v>0.3</v>
      </c>
      <c r="BJ5" s="18">
        <v>17.399999999999999</v>
      </c>
      <c r="BK5" s="18">
        <v>4.8</v>
      </c>
      <c r="BL5" s="18">
        <v>0</v>
      </c>
      <c r="BM5" s="18">
        <v>0.6</v>
      </c>
      <c r="BN5" s="18">
        <v>17.3</v>
      </c>
      <c r="BO5" s="18">
        <v>4.5999999999999996</v>
      </c>
      <c r="BP5" s="18">
        <v>0</v>
      </c>
      <c r="BQ5" s="18">
        <v>0.6</v>
      </c>
      <c r="BR5" s="29"/>
      <c r="BS5" s="11">
        <f t="shared" si="21"/>
        <v>9.1</v>
      </c>
      <c r="BT5" s="11">
        <f t="shared" si="22"/>
        <v>44.699999999999996</v>
      </c>
      <c r="BU5" s="11">
        <f t="shared" si="23"/>
        <v>21.099999999999998</v>
      </c>
      <c r="BV5" s="11">
        <f t="shared" si="24"/>
        <v>13.2</v>
      </c>
      <c r="BW5" s="11">
        <f t="shared" si="25"/>
        <v>65.8</v>
      </c>
      <c r="BX5" s="11">
        <f t="shared" si="26"/>
        <v>9.3999999999999986</v>
      </c>
      <c r="BY5" s="11">
        <f t="shared" si="27"/>
        <v>45.300000000000004</v>
      </c>
      <c r="BZ5" s="11">
        <f t="shared" si="28"/>
        <v>111.1</v>
      </c>
      <c r="CA5" s="19">
        <v>17.5</v>
      </c>
      <c r="CB5" s="19">
        <v>4.3</v>
      </c>
      <c r="CC5" s="19">
        <v>0</v>
      </c>
      <c r="CD5" s="19">
        <v>0.3</v>
      </c>
      <c r="CE5" s="19">
        <v>16.600000000000001</v>
      </c>
      <c r="CF5" s="19">
        <v>4.5999999999999996</v>
      </c>
      <c r="CG5" s="19">
        <v>0.4</v>
      </c>
      <c r="CH5" s="19">
        <v>0.6</v>
      </c>
      <c r="CI5" s="19">
        <v>18</v>
      </c>
      <c r="CJ5" s="19">
        <v>1.9</v>
      </c>
      <c r="CK5" s="19">
        <v>0</v>
      </c>
      <c r="CL5" s="19">
        <v>0.3</v>
      </c>
      <c r="CM5" s="62">
        <v>17.2</v>
      </c>
      <c r="CN5" s="62">
        <v>4.3499999999999996</v>
      </c>
      <c r="CO5" s="62">
        <v>0.1</v>
      </c>
      <c r="CP5" s="62">
        <v>0.44999999999999996</v>
      </c>
      <c r="CQ5" s="62">
        <v>16.850000000000001</v>
      </c>
      <c r="CR5" s="62">
        <v>3.25</v>
      </c>
      <c r="CS5" s="62">
        <v>0</v>
      </c>
      <c r="CT5" s="62">
        <v>0.44999999999999996</v>
      </c>
      <c r="CU5" s="28"/>
      <c r="CV5" s="41">
        <f t="shared" si="29"/>
        <v>8.8999999999999986</v>
      </c>
      <c r="CW5" s="41">
        <f t="shared" si="30"/>
        <v>43.500000000000007</v>
      </c>
      <c r="CX5" s="41">
        <f t="shared" si="31"/>
        <v>20.2</v>
      </c>
      <c r="CY5" s="41">
        <f t="shared" si="32"/>
        <v>10.799999999999999</v>
      </c>
      <c r="CZ5" s="41">
        <f t="shared" si="33"/>
        <v>63.7</v>
      </c>
      <c r="DA5" s="64">
        <f t="shared" si="34"/>
        <v>7.6</v>
      </c>
      <c r="DB5" s="64">
        <f t="shared" si="35"/>
        <v>42.449999999999996</v>
      </c>
      <c r="DC5" s="41">
        <f t="shared" si="36"/>
        <v>106.15</v>
      </c>
      <c r="DD5" s="52">
        <f t="shared" si="37"/>
        <v>0.19999999999998863</v>
      </c>
      <c r="DE5" s="52" t="str">
        <f t="shared" si="38"/>
        <v/>
      </c>
      <c r="DF5" s="52" t="str">
        <f t="shared" si="39"/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 t="shared" si="40"/>
        <v>8.8999999999999986</v>
      </c>
      <c r="EB5" s="41">
        <f t="shared" si="41"/>
        <v>43.699999999999996</v>
      </c>
      <c r="EC5" s="41" t="str">
        <f t="shared" si="42"/>
        <v/>
      </c>
      <c r="ED5" s="41">
        <f t="shared" si="43"/>
        <v>8.8999999999999986</v>
      </c>
      <c r="EE5" s="41">
        <f t="shared" si="44"/>
        <v>43.699999999999996</v>
      </c>
      <c r="EF5" s="41" t="str">
        <f t="shared" si="45"/>
        <v/>
      </c>
      <c r="EG5" s="41" t="str">
        <f t="shared" si="46"/>
        <v/>
      </c>
      <c r="EH5" s="41">
        <f t="shared" si="47"/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>
        <f t="shared" si="53"/>
        <v>4.8</v>
      </c>
      <c r="FI5" s="11">
        <f t="shared" si="54"/>
        <v>22.1</v>
      </c>
      <c r="FJ5" s="11">
        <f t="shared" si="55"/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 t="shared" si="72"/>
        <v>5.4</v>
      </c>
      <c r="IJ5" s="41">
        <f t="shared" si="73"/>
        <v>38.4</v>
      </c>
      <c r="IK5" s="41" t="str">
        <f t="shared" si="74"/>
        <v/>
      </c>
      <c r="IL5" s="41">
        <f t="shared" si="75"/>
        <v>5.4</v>
      </c>
      <c r="IM5" s="41">
        <f t="shared" si="76"/>
        <v>38.4</v>
      </c>
      <c r="IN5" s="41" t="str">
        <f t="shared" si="77"/>
        <v/>
      </c>
      <c r="IO5" s="41" t="str">
        <f t="shared" si="78"/>
        <v/>
      </c>
      <c r="IP5" s="41">
        <f t="shared" si="79"/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17.45</v>
      </c>
      <c r="QF5" s="23">
        <f t="shared" si="137"/>
        <v>4.3</v>
      </c>
      <c r="QG5" s="23">
        <f t="shared" si="138"/>
        <v>0</v>
      </c>
      <c r="QH5" s="23">
        <f t="shared" si="139"/>
        <v>0.3</v>
      </c>
      <c r="QI5" s="23">
        <f t="shared" si="140"/>
        <v>17.05</v>
      </c>
      <c r="QJ5" s="23">
        <f t="shared" si="141"/>
        <v>4.6999999999999993</v>
      </c>
      <c r="QK5" s="23">
        <f t="shared" si="142"/>
        <v>0.30000000000000004</v>
      </c>
      <c r="QL5" s="23">
        <f t="shared" si="143"/>
        <v>0.6</v>
      </c>
      <c r="QM5" s="23">
        <f t="shared" si="144"/>
        <v>17.350000000000001</v>
      </c>
      <c r="QN5" s="23">
        <f t="shared" si="145"/>
        <v>3</v>
      </c>
      <c r="QO5" s="23">
        <f t="shared" si="146"/>
        <v>0</v>
      </c>
      <c r="QP5" s="23">
        <f t="shared" si="147"/>
        <v>0.3</v>
      </c>
      <c r="QQ5" s="23">
        <f t="shared" si="148"/>
        <v>17.299999999999997</v>
      </c>
      <c r="QR5" s="23">
        <f t="shared" si="149"/>
        <v>4.5749999999999993</v>
      </c>
      <c r="QS5" s="23">
        <f t="shared" si="150"/>
        <v>0.05</v>
      </c>
      <c r="QT5" s="23">
        <f t="shared" si="151"/>
        <v>0.52499999999999991</v>
      </c>
      <c r="QU5" s="23">
        <f t="shared" si="152"/>
        <v>17.075000000000003</v>
      </c>
      <c r="QV5" s="23">
        <f t="shared" si="153"/>
        <v>3.9249999999999998</v>
      </c>
      <c r="QW5" s="23">
        <f t="shared" si="154"/>
        <v>0</v>
      </c>
      <c r="QX5" s="23">
        <f t="shared" si="155"/>
        <v>0.52499999999999991</v>
      </c>
      <c r="QY5" s="28" t="s">
        <v>57</v>
      </c>
      <c r="QZ5" s="41">
        <f t="shared" si="156"/>
        <v>9</v>
      </c>
      <c r="RA5" s="41">
        <f t="shared" si="157"/>
        <v>44.1</v>
      </c>
      <c r="RB5" s="41">
        <f t="shared" si="158"/>
        <v>20.650000000000002</v>
      </c>
      <c r="RC5" s="41">
        <f t="shared" si="159"/>
        <v>12</v>
      </c>
      <c r="RD5" s="41">
        <f t="shared" si="160"/>
        <v>64.75</v>
      </c>
      <c r="RE5" s="41">
        <f t="shared" si="161"/>
        <v>8.5</v>
      </c>
      <c r="RF5" s="41">
        <f t="shared" si="162"/>
        <v>43.874999999999993</v>
      </c>
      <c r="RG5" s="41">
        <f t="shared" si="163"/>
        <v>108.625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174</v>
      </c>
      <c r="C6" s="4" t="s">
        <v>5</v>
      </c>
      <c r="D6" s="4">
        <v>2003</v>
      </c>
      <c r="E6" s="9">
        <f t="shared" si="0"/>
        <v>154.00001087000444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44.300000000000004</v>
      </c>
      <c r="K6" s="8" t="str">
        <f t="shared" si="5"/>
        <v>2023 Domestic 3rd Trial</v>
      </c>
      <c r="L6" s="8">
        <f>IF(COUNT(AQ6,BT6,CW6)&gt;1,LARGE((AQ6,BT6,CW6),2),0)</f>
        <v>42.900000000000006</v>
      </c>
      <c r="M6" s="8" t="str">
        <f t="shared" si="6"/>
        <v>2023 Nationals</v>
      </c>
      <c r="N6" s="8">
        <f>IF(COUNT(AR6,BU6,CX6)&gt;0,LARGE((AR6,BU6,CX6),1),0)</f>
        <v>21.5</v>
      </c>
      <c r="O6" s="8" t="str">
        <f t="shared" si="7"/>
        <v>2023 Nationals</v>
      </c>
      <c r="P6" s="8">
        <f t="shared" si="8"/>
        <v>44.599999999999994</v>
      </c>
      <c r="Q6" s="8" t="str">
        <f t="shared" si="9"/>
        <v>2023 Nationals</v>
      </c>
      <c r="R6" s="8">
        <f t="shared" si="10"/>
        <v>0.69999999999999574</v>
      </c>
      <c r="S6" s="11" t="str">
        <f t="shared" si="11"/>
        <v>(Q1)</v>
      </c>
      <c r="T6" s="8" t="str">
        <f t="shared" si="12"/>
        <v>2022 WAGC (Nov 24)</v>
      </c>
      <c r="U6" s="19">
        <v>17.100000000000001</v>
      </c>
      <c r="V6" s="19">
        <v>3.9</v>
      </c>
      <c r="W6" s="19">
        <v>0</v>
      </c>
      <c r="X6" s="19">
        <v>0.3</v>
      </c>
      <c r="Y6" s="19">
        <v>16.399999999999999</v>
      </c>
      <c r="Z6" s="19">
        <v>1.9</v>
      </c>
      <c r="AA6" s="19">
        <v>0</v>
      </c>
      <c r="AB6" s="19">
        <v>0.3</v>
      </c>
      <c r="AC6" s="19">
        <v>16.899999999999999</v>
      </c>
      <c r="AD6" s="19">
        <v>4.0999999999999996</v>
      </c>
      <c r="AE6" s="19">
        <v>0</v>
      </c>
      <c r="AF6" s="19">
        <v>0.3</v>
      </c>
      <c r="AG6" s="19">
        <v>17.600000000000001</v>
      </c>
      <c r="AH6" s="19">
        <v>4.0999999999999996</v>
      </c>
      <c r="AI6" s="19">
        <v>0</v>
      </c>
      <c r="AJ6" s="19">
        <v>0.3</v>
      </c>
      <c r="AK6" s="19">
        <v>17.399999999999999</v>
      </c>
      <c r="AL6" s="19">
        <v>3.2</v>
      </c>
      <c r="AM6" s="19">
        <v>0.4</v>
      </c>
      <c r="AN6" s="19">
        <v>0.6</v>
      </c>
      <c r="AO6" s="28"/>
      <c r="AP6" s="41">
        <f t="shared" si="13"/>
        <v>5.8</v>
      </c>
      <c r="AQ6" s="41">
        <f t="shared" si="14"/>
        <v>39.9</v>
      </c>
      <c r="AR6" s="41">
        <f t="shared" si="15"/>
        <v>21.3</v>
      </c>
      <c r="AS6" s="41">
        <f t="shared" si="16"/>
        <v>9.8999999999999986</v>
      </c>
      <c r="AT6" s="41">
        <f t="shared" si="17"/>
        <v>61.2</v>
      </c>
      <c r="AU6" s="41">
        <f t="shared" si="18"/>
        <v>7.3</v>
      </c>
      <c r="AV6" s="41">
        <f t="shared" si="19"/>
        <v>42.800000000000011</v>
      </c>
      <c r="AW6" s="41">
        <f t="shared" si="20"/>
        <v>104.00000000000001</v>
      </c>
      <c r="AX6" s="18">
        <v>17.2</v>
      </c>
      <c r="AY6" s="18">
        <v>4.3</v>
      </c>
      <c r="AZ6" s="18">
        <v>0</v>
      </c>
      <c r="BA6" s="18">
        <v>0.3</v>
      </c>
      <c r="BB6" s="18">
        <v>15.9</v>
      </c>
      <c r="BC6" s="18">
        <v>4.5999999999999996</v>
      </c>
      <c r="BD6" s="18">
        <v>0</v>
      </c>
      <c r="BE6" s="18">
        <v>0.6</v>
      </c>
      <c r="BF6" s="18">
        <v>16.3</v>
      </c>
      <c r="BG6" s="18">
        <v>4.5999999999999996</v>
      </c>
      <c r="BH6" s="18">
        <v>0</v>
      </c>
      <c r="BI6" s="18">
        <v>0.6</v>
      </c>
      <c r="BJ6" s="18">
        <v>16.7</v>
      </c>
      <c r="BK6" s="18">
        <v>4.5999999999999996</v>
      </c>
      <c r="BL6" s="18">
        <v>0.2</v>
      </c>
      <c r="BM6" s="18">
        <v>0.6</v>
      </c>
      <c r="BN6" s="18">
        <v>18.3</v>
      </c>
      <c r="BO6" s="18">
        <v>4.3</v>
      </c>
      <c r="BP6" s="18">
        <v>0</v>
      </c>
      <c r="BQ6" s="18">
        <v>0.3</v>
      </c>
      <c r="BR6" s="29"/>
      <c r="BS6" s="11">
        <f t="shared" si="21"/>
        <v>8.8999999999999986</v>
      </c>
      <c r="BT6" s="11">
        <f t="shared" si="22"/>
        <v>42.900000000000006</v>
      </c>
      <c r="BU6" s="11">
        <f t="shared" si="23"/>
        <v>21.5</v>
      </c>
      <c r="BV6" s="11">
        <f t="shared" si="24"/>
        <v>13.499999999999998</v>
      </c>
      <c r="BW6" s="11">
        <f t="shared" si="25"/>
        <v>64.400000000000006</v>
      </c>
      <c r="BX6" s="11">
        <f t="shared" si="26"/>
        <v>8.8999999999999986</v>
      </c>
      <c r="BY6" s="11">
        <f t="shared" si="27"/>
        <v>44.599999999999994</v>
      </c>
      <c r="BZ6" s="11">
        <f t="shared" si="28"/>
        <v>109</v>
      </c>
      <c r="CA6" s="19">
        <v>17.5</v>
      </c>
      <c r="CB6" s="19">
        <v>4.3</v>
      </c>
      <c r="CC6" s="19">
        <v>0</v>
      </c>
      <c r="CD6" s="19">
        <v>0.3</v>
      </c>
      <c r="CE6" s="19">
        <v>17</v>
      </c>
      <c r="CF6" s="19">
        <v>4.5999999999999996</v>
      </c>
      <c r="CG6" s="19">
        <v>0</v>
      </c>
      <c r="CH6" s="19">
        <v>0.6</v>
      </c>
      <c r="CI6" s="19">
        <v>15</v>
      </c>
      <c r="CJ6" s="19">
        <v>4.5999999999999996</v>
      </c>
      <c r="CK6" s="19">
        <v>0</v>
      </c>
      <c r="CL6" s="19">
        <v>0.6</v>
      </c>
      <c r="CM6" s="19">
        <v>15</v>
      </c>
      <c r="CN6" s="19">
        <v>3.9</v>
      </c>
      <c r="CO6" s="19">
        <v>0.2</v>
      </c>
      <c r="CP6" s="19">
        <v>0.3</v>
      </c>
      <c r="CQ6" s="19">
        <v>14.9</v>
      </c>
      <c r="CR6" s="19">
        <v>4.8</v>
      </c>
      <c r="CS6" s="19">
        <v>0</v>
      </c>
      <c r="CT6" s="63">
        <v>0.6</v>
      </c>
      <c r="CU6" s="28"/>
      <c r="CV6" s="41">
        <f t="shared" si="29"/>
        <v>8.8999999999999986</v>
      </c>
      <c r="CW6" s="41">
        <f t="shared" si="30"/>
        <v>44.300000000000004</v>
      </c>
      <c r="CX6" s="41">
        <f t="shared" si="31"/>
        <v>20.200000000000003</v>
      </c>
      <c r="CY6" s="41">
        <f t="shared" si="32"/>
        <v>13.499999999999998</v>
      </c>
      <c r="CZ6" s="41">
        <f t="shared" si="33"/>
        <v>64.5</v>
      </c>
      <c r="DA6" s="41">
        <f t="shared" si="34"/>
        <v>8.6999999999999993</v>
      </c>
      <c r="DB6" s="41">
        <f t="shared" si="35"/>
        <v>39.299999999999997</v>
      </c>
      <c r="DC6" s="41">
        <f t="shared" si="36"/>
        <v>103.8</v>
      </c>
      <c r="DD6" s="52">
        <f t="shared" si="37"/>
        <v>0.69999999999999574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8.8999999999999986</v>
      </c>
      <c r="GF6" s="41">
        <f t="shared" si="57"/>
        <v>43.6</v>
      </c>
      <c r="GG6" s="41" t="str">
        <f t="shared" si="58"/>
        <v/>
      </c>
      <c r="GH6" s="41">
        <f t="shared" si="59"/>
        <v>8.8999999999999986</v>
      </c>
      <c r="GI6" s="41">
        <f t="shared" si="60"/>
        <v>43.6</v>
      </c>
      <c r="GJ6" s="41" t="str">
        <f t="shared" si="61"/>
        <v/>
      </c>
      <c r="GK6" s="41" t="str">
        <f t="shared" si="62"/>
        <v/>
      </c>
      <c r="GL6" s="41">
        <f t="shared" si="63"/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1">
        <f t="shared" si="72"/>
        <v>8</v>
      </c>
      <c r="IJ6" s="41">
        <f t="shared" si="73"/>
        <v>43.4</v>
      </c>
      <c r="IK6" s="41" t="str">
        <f t="shared" si="74"/>
        <v/>
      </c>
      <c r="IL6" s="41">
        <f t="shared" si="75"/>
        <v>8</v>
      </c>
      <c r="IM6" s="41">
        <f t="shared" si="76"/>
        <v>43.4</v>
      </c>
      <c r="IN6" s="41">
        <f t="shared" si="77"/>
        <v>5</v>
      </c>
      <c r="IO6" s="41">
        <f t="shared" si="78"/>
        <v>22.7</v>
      </c>
      <c r="IP6" s="41">
        <f t="shared" si="79"/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17.350000000000001</v>
      </c>
      <c r="QF6" s="23">
        <f t="shared" si="137"/>
        <v>4.3</v>
      </c>
      <c r="QG6" s="23">
        <f t="shared" si="138"/>
        <v>0</v>
      </c>
      <c r="QH6" s="23">
        <f t="shared" si="139"/>
        <v>0.3</v>
      </c>
      <c r="QI6" s="23">
        <f t="shared" si="140"/>
        <v>16.45</v>
      </c>
      <c r="QJ6" s="23">
        <f t="shared" si="141"/>
        <v>4.5999999999999996</v>
      </c>
      <c r="QK6" s="23">
        <f t="shared" si="142"/>
        <v>0</v>
      </c>
      <c r="QL6" s="23">
        <f t="shared" si="143"/>
        <v>0.6</v>
      </c>
      <c r="QM6" s="23">
        <f t="shared" si="144"/>
        <v>15.65</v>
      </c>
      <c r="QN6" s="23">
        <f t="shared" si="145"/>
        <v>4.5999999999999996</v>
      </c>
      <c r="QO6" s="23">
        <f t="shared" si="146"/>
        <v>0</v>
      </c>
      <c r="QP6" s="23">
        <f t="shared" si="147"/>
        <v>0.6</v>
      </c>
      <c r="QQ6" s="23">
        <f t="shared" si="148"/>
        <v>15.85</v>
      </c>
      <c r="QR6" s="23">
        <f t="shared" si="149"/>
        <v>4.25</v>
      </c>
      <c r="QS6" s="23">
        <f t="shared" si="150"/>
        <v>0.2</v>
      </c>
      <c r="QT6" s="23">
        <f t="shared" si="151"/>
        <v>0.44999999999999996</v>
      </c>
      <c r="QU6" s="23">
        <f t="shared" si="152"/>
        <v>16.600000000000001</v>
      </c>
      <c r="QV6" s="23">
        <f t="shared" si="153"/>
        <v>4.55</v>
      </c>
      <c r="QW6" s="23">
        <f t="shared" si="154"/>
        <v>0</v>
      </c>
      <c r="QX6" s="23">
        <f t="shared" si="155"/>
        <v>0.44999999999999996</v>
      </c>
      <c r="QY6" s="28" t="s">
        <v>57</v>
      </c>
      <c r="QZ6" s="41">
        <f t="shared" si="156"/>
        <v>8.8999999999999986</v>
      </c>
      <c r="RA6" s="41">
        <f t="shared" si="157"/>
        <v>43.600000000000009</v>
      </c>
      <c r="RB6" s="41">
        <f t="shared" si="158"/>
        <v>20.85</v>
      </c>
      <c r="RC6" s="41">
        <f t="shared" si="159"/>
        <v>13.499999999999998</v>
      </c>
      <c r="RD6" s="41">
        <f t="shared" si="160"/>
        <v>64.450000000000017</v>
      </c>
      <c r="RE6" s="41">
        <f t="shared" si="161"/>
        <v>8.8000000000000007</v>
      </c>
      <c r="RF6" s="41">
        <f t="shared" si="162"/>
        <v>41.95</v>
      </c>
      <c r="RG6" s="41">
        <f t="shared" si="163"/>
        <v>106.40000000000002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237</v>
      </c>
      <c r="C7" s="4" t="s">
        <v>5</v>
      </c>
      <c r="D7" s="4">
        <v>2006</v>
      </c>
      <c r="E7" s="9">
        <f t="shared" si="0"/>
        <v>153.10001093000437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43.5</v>
      </c>
      <c r="K7" s="8" t="str">
        <f t="shared" si="5"/>
        <v>2023 Elite Canada</v>
      </c>
      <c r="L7" s="8">
        <f>IF(COUNT(AQ7,BT7,CW7)&gt;1,LARGE((AQ7,BT7,CW7),2),0)</f>
        <v>43.4</v>
      </c>
      <c r="M7" s="8" t="str">
        <f t="shared" si="6"/>
        <v>2023 Nationals</v>
      </c>
      <c r="N7" s="8">
        <f>IF(COUNT(AR7,BU7,CX7)&gt;0,LARGE((AR7,BU7,CX7),1),0)</f>
        <v>22.400000000000002</v>
      </c>
      <c r="O7" s="8" t="str">
        <f t="shared" si="7"/>
        <v>2023 Domestic 3rd Trial</v>
      </c>
      <c r="P7" s="8">
        <f t="shared" si="8"/>
        <v>43.800000000000004</v>
      </c>
      <c r="Q7" s="8" t="str">
        <f t="shared" si="9"/>
        <v>2023 Domestic 3rd Trial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16.7</v>
      </c>
      <c r="V7" s="19">
        <v>4.8</v>
      </c>
      <c r="W7" s="19">
        <v>0</v>
      </c>
      <c r="X7" s="19">
        <v>0.6</v>
      </c>
      <c r="Y7" s="19">
        <v>16.2</v>
      </c>
      <c r="Z7" s="19">
        <v>4.5999999999999996</v>
      </c>
      <c r="AA7" s="19">
        <v>0</v>
      </c>
      <c r="AB7" s="19">
        <v>0.6</v>
      </c>
      <c r="AC7" s="19">
        <v>16.8</v>
      </c>
      <c r="AD7" s="19">
        <v>4.8</v>
      </c>
      <c r="AE7" s="19">
        <v>0</v>
      </c>
      <c r="AF7" s="19">
        <v>0.6</v>
      </c>
      <c r="AG7" s="19">
        <v>17.3</v>
      </c>
      <c r="AH7" s="19">
        <v>4.0999999999999996</v>
      </c>
      <c r="AI7" s="19">
        <v>0</v>
      </c>
      <c r="AJ7" s="19">
        <v>0.3</v>
      </c>
      <c r="AK7" s="19">
        <v>16.3</v>
      </c>
      <c r="AL7" s="19">
        <v>4.5999999999999996</v>
      </c>
      <c r="AM7" s="19">
        <v>0</v>
      </c>
      <c r="AN7" s="19">
        <v>0.6</v>
      </c>
      <c r="AO7" s="28"/>
      <c r="AP7" s="41">
        <f t="shared" si="13"/>
        <v>9.3999999999999986</v>
      </c>
      <c r="AQ7" s="41">
        <f t="shared" si="14"/>
        <v>43.5</v>
      </c>
      <c r="AR7" s="41">
        <f t="shared" si="15"/>
        <v>22.200000000000003</v>
      </c>
      <c r="AS7" s="41">
        <f t="shared" si="16"/>
        <v>14.2</v>
      </c>
      <c r="AT7" s="41">
        <f t="shared" si="17"/>
        <v>65.7</v>
      </c>
      <c r="AU7" s="41">
        <f t="shared" si="18"/>
        <v>8.6999999999999993</v>
      </c>
      <c r="AV7" s="41">
        <f t="shared" si="19"/>
        <v>43.2</v>
      </c>
      <c r="AW7" s="41">
        <f t="shared" si="20"/>
        <v>108.9</v>
      </c>
      <c r="AX7" s="18">
        <v>16.899999999999999</v>
      </c>
      <c r="AY7" s="18">
        <v>4.3</v>
      </c>
      <c r="AZ7" s="18">
        <v>0</v>
      </c>
      <c r="BA7" s="18">
        <v>0.3</v>
      </c>
      <c r="BB7" s="18">
        <v>16.5</v>
      </c>
      <c r="BC7" s="18">
        <v>4.8</v>
      </c>
      <c r="BD7" s="18">
        <v>0</v>
      </c>
      <c r="BE7" s="18">
        <v>0.6</v>
      </c>
      <c r="BF7" s="18">
        <v>15.7</v>
      </c>
      <c r="BG7" s="18">
        <v>3.8</v>
      </c>
      <c r="BH7" s="18">
        <v>0</v>
      </c>
      <c r="BI7" s="18">
        <v>0.3</v>
      </c>
      <c r="BJ7" s="18">
        <v>17.3</v>
      </c>
      <c r="BK7" s="18">
        <v>5</v>
      </c>
      <c r="BL7" s="18">
        <v>0</v>
      </c>
      <c r="BM7" s="18">
        <v>0.6</v>
      </c>
      <c r="BN7" s="18">
        <v>16.100000000000001</v>
      </c>
      <c r="BO7" s="18">
        <v>2.6</v>
      </c>
      <c r="BP7" s="18">
        <v>0</v>
      </c>
      <c r="BQ7" s="18">
        <v>0.6</v>
      </c>
      <c r="BR7" s="29"/>
      <c r="BS7" s="11">
        <f t="shared" si="21"/>
        <v>9.1</v>
      </c>
      <c r="BT7" s="11">
        <f t="shared" si="22"/>
        <v>43.4</v>
      </c>
      <c r="BU7" s="11">
        <f t="shared" si="23"/>
        <v>19.8</v>
      </c>
      <c r="BV7" s="11">
        <f t="shared" si="24"/>
        <v>12.899999999999999</v>
      </c>
      <c r="BW7" s="11">
        <f t="shared" si="25"/>
        <v>63.2</v>
      </c>
      <c r="BX7" s="11">
        <f t="shared" si="26"/>
        <v>7.6</v>
      </c>
      <c r="BY7" s="11">
        <f t="shared" si="27"/>
        <v>42.2</v>
      </c>
      <c r="BZ7" s="11">
        <f t="shared" si="28"/>
        <v>105.4</v>
      </c>
      <c r="CA7" s="19">
        <v>16.8</v>
      </c>
      <c r="CB7" s="19">
        <v>5</v>
      </c>
      <c r="CC7" s="19">
        <v>0</v>
      </c>
      <c r="CD7" s="19">
        <v>0.6</v>
      </c>
      <c r="CE7" s="19">
        <v>15.5</v>
      </c>
      <c r="CF7" s="19">
        <v>4.5999999999999996</v>
      </c>
      <c r="CG7" s="19">
        <v>0</v>
      </c>
      <c r="CH7" s="19">
        <v>0.6</v>
      </c>
      <c r="CI7" s="19">
        <v>16.8</v>
      </c>
      <c r="CJ7" s="19">
        <v>5</v>
      </c>
      <c r="CK7" s="19">
        <v>0</v>
      </c>
      <c r="CL7" s="19">
        <v>0.6</v>
      </c>
      <c r="CM7" s="19">
        <v>16.8</v>
      </c>
      <c r="CN7" s="19">
        <v>4.8</v>
      </c>
      <c r="CO7" s="19">
        <v>0</v>
      </c>
      <c r="CP7" s="19">
        <v>0.6</v>
      </c>
      <c r="CQ7" s="19">
        <v>16.399999999999999</v>
      </c>
      <c r="CR7" s="19">
        <v>4.5999999999999996</v>
      </c>
      <c r="CS7" s="19">
        <v>0</v>
      </c>
      <c r="CT7" s="19">
        <v>0.6</v>
      </c>
      <c r="CU7" s="28"/>
      <c r="CV7" s="41">
        <f t="shared" si="29"/>
        <v>9.6</v>
      </c>
      <c r="CW7" s="41">
        <f t="shared" si="30"/>
        <v>43.100000000000009</v>
      </c>
      <c r="CX7" s="41">
        <f t="shared" si="31"/>
        <v>22.400000000000002</v>
      </c>
      <c r="CY7" s="41">
        <f t="shared" si="32"/>
        <v>14.6</v>
      </c>
      <c r="CZ7" s="41">
        <f t="shared" si="33"/>
        <v>65.500000000000014</v>
      </c>
      <c r="DA7" s="41">
        <f t="shared" si="34"/>
        <v>9.3999999999999986</v>
      </c>
      <c r="DB7" s="41">
        <f t="shared" si="35"/>
        <v>43.800000000000004</v>
      </c>
      <c r="DC7" s="41">
        <f t="shared" si="36"/>
        <v>109.30000000000001</v>
      </c>
      <c r="DD7" s="52" t="str">
        <f t="shared" si="37"/>
        <v/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 t="shared" si="56"/>
        <v>6.5</v>
      </c>
      <c r="GF7" s="41">
        <f t="shared" si="57"/>
        <v>39.700000000000003</v>
      </c>
      <c r="GG7" s="41" t="str">
        <f t="shared" si="58"/>
        <v/>
      </c>
      <c r="GH7" s="41">
        <f t="shared" si="59"/>
        <v>6.5</v>
      </c>
      <c r="GI7" s="41">
        <f t="shared" si="60"/>
        <v>39.700000000000003</v>
      </c>
      <c r="GJ7" s="41" t="str">
        <f t="shared" si="61"/>
        <v/>
      </c>
      <c r="GK7" s="41" t="str">
        <f t="shared" si="62"/>
        <v/>
      </c>
      <c r="GL7" s="41">
        <f t="shared" si="63"/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16.850000000000001</v>
      </c>
      <c r="QF7" s="23">
        <f t="shared" si="137"/>
        <v>4.6500000000000004</v>
      </c>
      <c r="QG7" s="23">
        <f t="shared" si="138"/>
        <v>0</v>
      </c>
      <c r="QH7" s="23">
        <f t="shared" si="139"/>
        <v>0.44999999999999996</v>
      </c>
      <c r="QI7" s="23">
        <f t="shared" si="140"/>
        <v>16</v>
      </c>
      <c r="QJ7" s="23">
        <f t="shared" si="141"/>
        <v>4.6999999999999993</v>
      </c>
      <c r="QK7" s="23">
        <f t="shared" si="142"/>
        <v>0</v>
      </c>
      <c r="QL7" s="23">
        <f t="shared" si="143"/>
        <v>0.6</v>
      </c>
      <c r="QM7" s="23">
        <f t="shared" si="144"/>
        <v>16.25</v>
      </c>
      <c r="QN7" s="23">
        <f t="shared" si="145"/>
        <v>4.4000000000000004</v>
      </c>
      <c r="QO7" s="23">
        <f t="shared" si="146"/>
        <v>0</v>
      </c>
      <c r="QP7" s="23">
        <f t="shared" si="147"/>
        <v>0.44999999999999996</v>
      </c>
      <c r="QQ7" s="23">
        <f t="shared" si="148"/>
        <v>17.05</v>
      </c>
      <c r="QR7" s="23">
        <f t="shared" si="149"/>
        <v>4.9000000000000004</v>
      </c>
      <c r="QS7" s="23">
        <f t="shared" si="150"/>
        <v>0</v>
      </c>
      <c r="QT7" s="23">
        <f t="shared" si="151"/>
        <v>0.6</v>
      </c>
      <c r="QU7" s="23">
        <f t="shared" si="152"/>
        <v>16.25</v>
      </c>
      <c r="QV7" s="23">
        <f t="shared" si="153"/>
        <v>3.5999999999999996</v>
      </c>
      <c r="QW7" s="23">
        <f t="shared" si="154"/>
        <v>0</v>
      </c>
      <c r="QX7" s="23">
        <f t="shared" si="155"/>
        <v>0.6</v>
      </c>
      <c r="QY7" s="28" t="s">
        <v>57</v>
      </c>
      <c r="QZ7" s="41">
        <f t="shared" si="156"/>
        <v>9.35</v>
      </c>
      <c r="RA7" s="41">
        <f t="shared" si="157"/>
        <v>43.250000000000007</v>
      </c>
      <c r="RB7" s="41">
        <f t="shared" si="158"/>
        <v>21.099999999999998</v>
      </c>
      <c r="RC7" s="41">
        <f t="shared" si="159"/>
        <v>13.75</v>
      </c>
      <c r="RD7" s="41">
        <f t="shared" si="160"/>
        <v>64.350000000000009</v>
      </c>
      <c r="RE7" s="41">
        <f t="shared" si="161"/>
        <v>8.5</v>
      </c>
      <c r="RF7" s="41">
        <f t="shared" si="162"/>
        <v>43.000000000000007</v>
      </c>
      <c r="RG7" s="41">
        <f t="shared" si="163"/>
        <v>107.35000000000002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167</v>
      </c>
      <c r="C8" s="4" t="s">
        <v>3</v>
      </c>
      <c r="D8" s="4">
        <v>2004</v>
      </c>
      <c r="E8" s="9">
        <f t="shared" si="0"/>
        <v>148.55001050500422</v>
      </c>
      <c r="F8" s="3" t="str">
        <f t="shared" si="1"/>
        <v/>
      </c>
      <c r="G8" s="3" t="str">
        <f t="shared" si="2"/>
        <v>P</v>
      </c>
      <c r="H8" s="37" t="str">
        <f t="shared" si="3"/>
        <v>No DD</v>
      </c>
      <c r="I8" s="3" t="str">
        <f t="shared" si="4"/>
        <v/>
      </c>
      <c r="J8" s="8">
        <f>IF(COUNT(AQ8,BT8,CW8)&gt;0,LARGE((AQ8,BT8,CW8),1),0)</f>
        <v>42.1</v>
      </c>
      <c r="K8" s="8" t="str">
        <f t="shared" si="5"/>
        <v>2023 Nationals</v>
      </c>
      <c r="L8" s="8">
        <f>IF(COUNT(AQ8,BT8,CW8)&gt;1,LARGE((AQ8,BT8,CW8),2),0)</f>
        <v>41.65</v>
      </c>
      <c r="M8" s="8" t="str">
        <f t="shared" si="6"/>
        <v>2023 Domestic 3rd Trial</v>
      </c>
      <c r="N8" s="8">
        <f>IF(COUNT(AR8,BU8,CX8)&gt;0,LARGE((AR8,BU8,CX8),1),0)</f>
        <v>21.3</v>
      </c>
      <c r="O8" s="8" t="str">
        <f t="shared" si="7"/>
        <v>2023 Nationals</v>
      </c>
      <c r="P8" s="8">
        <f t="shared" si="8"/>
        <v>43.5</v>
      </c>
      <c r="Q8" s="8" t="str">
        <f t="shared" si="9"/>
        <v>2023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16.600000000000001</v>
      </c>
      <c r="V8" s="19">
        <v>3.6</v>
      </c>
      <c r="W8" s="19">
        <v>0.2</v>
      </c>
      <c r="X8" s="19">
        <v>0</v>
      </c>
      <c r="Y8" s="19">
        <v>17</v>
      </c>
      <c r="Z8" s="19">
        <v>4.0999999999999996</v>
      </c>
      <c r="AA8" s="19">
        <v>0.2</v>
      </c>
      <c r="AB8" s="19">
        <v>0.3</v>
      </c>
      <c r="AC8" s="19">
        <v>16.440000000000001</v>
      </c>
      <c r="AD8" s="19">
        <v>4.0999999999999996</v>
      </c>
      <c r="AE8" s="19">
        <v>0</v>
      </c>
      <c r="AF8" s="19">
        <v>0.3</v>
      </c>
      <c r="AG8" s="19">
        <v>17.5</v>
      </c>
      <c r="AH8" s="19">
        <v>4.0999999999999996</v>
      </c>
      <c r="AI8" s="19">
        <v>0</v>
      </c>
      <c r="AJ8" s="19">
        <v>0.3</v>
      </c>
      <c r="AK8" s="19">
        <v>17.2</v>
      </c>
      <c r="AL8" s="19">
        <v>3.9</v>
      </c>
      <c r="AM8" s="19">
        <v>0</v>
      </c>
      <c r="AN8" s="19">
        <v>0.3</v>
      </c>
      <c r="AO8" s="28"/>
      <c r="AP8" s="41">
        <f t="shared" si="13"/>
        <v>7.6999999999999993</v>
      </c>
      <c r="AQ8" s="41">
        <f t="shared" si="14"/>
        <v>41.199999999999996</v>
      </c>
      <c r="AR8" s="41">
        <f t="shared" si="15"/>
        <v>20.84</v>
      </c>
      <c r="AS8" s="41">
        <f t="shared" si="16"/>
        <v>11.799999999999999</v>
      </c>
      <c r="AT8" s="41">
        <f t="shared" si="17"/>
        <v>62.039999999999992</v>
      </c>
      <c r="AU8" s="41">
        <f t="shared" si="18"/>
        <v>8</v>
      </c>
      <c r="AV8" s="41">
        <f t="shared" si="19"/>
        <v>43.3</v>
      </c>
      <c r="AW8" s="41">
        <f t="shared" si="20"/>
        <v>105.33999999999999</v>
      </c>
      <c r="AX8" s="18">
        <v>16.600000000000001</v>
      </c>
      <c r="AY8" s="18">
        <v>4.3</v>
      </c>
      <c r="AZ8" s="18">
        <v>0</v>
      </c>
      <c r="BA8" s="18">
        <v>0.3</v>
      </c>
      <c r="BB8" s="18">
        <v>16.5</v>
      </c>
      <c r="BC8" s="18">
        <v>4.0999999999999996</v>
      </c>
      <c r="BD8" s="18">
        <v>0</v>
      </c>
      <c r="BE8" s="18">
        <v>0.3</v>
      </c>
      <c r="BF8" s="18">
        <v>16.899999999999999</v>
      </c>
      <c r="BG8" s="18">
        <v>4.0999999999999996</v>
      </c>
      <c r="BH8" s="18">
        <v>0</v>
      </c>
      <c r="BI8" s="18">
        <v>0.3</v>
      </c>
      <c r="BJ8" s="18">
        <v>17.100000000000001</v>
      </c>
      <c r="BK8" s="18">
        <v>4.3</v>
      </c>
      <c r="BL8" s="18">
        <v>0.2</v>
      </c>
      <c r="BM8" s="18">
        <v>0.3</v>
      </c>
      <c r="BN8" s="18">
        <v>17.600000000000001</v>
      </c>
      <c r="BO8" s="18">
        <v>4.0999999999999996</v>
      </c>
      <c r="BP8" s="18">
        <v>0</v>
      </c>
      <c r="BQ8" s="18">
        <v>0.3</v>
      </c>
      <c r="BR8" s="29"/>
      <c r="BS8" s="11">
        <f t="shared" si="21"/>
        <v>8.3999999999999986</v>
      </c>
      <c r="BT8" s="11">
        <f t="shared" si="22"/>
        <v>42.1</v>
      </c>
      <c r="BU8" s="11">
        <f t="shared" si="23"/>
        <v>21.3</v>
      </c>
      <c r="BV8" s="11">
        <f t="shared" si="24"/>
        <v>12.499999999999998</v>
      </c>
      <c r="BW8" s="11">
        <f t="shared" si="25"/>
        <v>63.400000000000006</v>
      </c>
      <c r="BX8" s="11">
        <f t="shared" si="26"/>
        <v>8.3999999999999986</v>
      </c>
      <c r="BY8" s="11">
        <f t="shared" si="27"/>
        <v>43.5</v>
      </c>
      <c r="BZ8" s="11">
        <f t="shared" si="28"/>
        <v>106.9</v>
      </c>
      <c r="CA8" s="19">
        <v>16.600000000000001</v>
      </c>
      <c r="CB8" s="19">
        <v>3.95</v>
      </c>
      <c r="CC8" s="19">
        <v>0.1</v>
      </c>
      <c r="CD8" s="19">
        <v>0.15</v>
      </c>
      <c r="CE8" s="19">
        <v>16.75</v>
      </c>
      <c r="CF8" s="19">
        <v>4.0999999999999996</v>
      </c>
      <c r="CG8" s="19">
        <v>0.1</v>
      </c>
      <c r="CH8" s="19">
        <v>0.3</v>
      </c>
      <c r="CI8" s="19">
        <v>16.670000000000002</v>
      </c>
      <c r="CJ8" s="19">
        <v>4.0999999999999996</v>
      </c>
      <c r="CK8" s="19">
        <v>0</v>
      </c>
      <c r="CL8" s="19">
        <v>0.3</v>
      </c>
      <c r="CM8" s="19">
        <v>17.3</v>
      </c>
      <c r="CN8" s="19">
        <v>4.1999999999999993</v>
      </c>
      <c r="CO8" s="19">
        <v>0.1</v>
      </c>
      <c r="CP8" s="19">
        <v>0.3</v>
      </c>
      <c r="CQ8" s="19">
        <v>17.399999999999999</v>
      </c>
      <c r="CR8" s="19">
        <v>4</v>
      </c>
      <c r="CS8" s="19">
        <v>0</v>
      </c>
      <c r="CT8" s="19">
        <v>0.3</v>
      </c>
      <c r="CU8" s="28" t="s">
        <v>57</v>
      </c>
      <c r="CV8" s="41">
        <f t="shared" si="29"/>
        <v>8.0500000000000007</v>
      </c>
      <c r="CW8" s="41">
        <f t="shared" si="30"/>
        <v>41.65</v>
      </c>
      <c r="CX8" s="41">
        <f t="shared" si="31"/>
        <v>21.070000000000004</v>
      </c>
      <c r="CY8" s="41">
        <f t="shared" si="32"/>
        <v>12.15</v>
      </c>
      <c r="CZ8" s="41">
        <f t="shared" si="33"/>
        <v>62.72</v>
      </c>
      <c r="DA8" s="41">
        <f t="shared" si="34"/>
        <v>8.1999999999999993</v>
      </c>
      <c r="DB8" s="41">
        <f t="shared" si="35"/>
        <v>43.4</v>
      </c>
      <c r="DC8" s="41">
        <f t="shared" si="36"/>
        <v>106.12</v>
      </c>
      <c r="DD8" s="52" t="str">
        <f t="shared" si="37"/>
        <v/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 t="shared" si="72"/>
        <v>8.3999999999999986</v>
      </c>
      <c r="IJ8" s="41">
        <f t="shared" si="73"/>
        <v>41.300000000000004</v>
      </c>
      <c r="IK8" s="41" t="str">
        <f t="shared" si="74"/>
        <v/>
      </c>
      <c r="IL8" s="41">
        <f t="shared" si="75"/>
        <v>8.3999999999999986</v>
      </c>
      <c r="IM8" s="41">
        <f t="shared" si="76"/>
        <v>41.300000000000004</v>
      </c>
      <c r="IN8" s="41" t="str">
        <f t="shared" si="77"/>
        <v/>
      </c>
      <c r="IO8" s="41" t="str">
        <f t="shared" si="78"/>
        <v/>
      </c>
      <c r="IP8" s="41">
        <f t="shared" si="79"/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16.600000000000001</v>
      </c>
      <c r="QF8" s="23">
        <f t="shared" si="137"/>
        <v>3.95</v>
      </c>
      <c r="QG8" s="23">
        <f t="shared" si="138"/>
        <v>0.1</v>
      </c>
      <c r="QH8" s="23">
        <f t="shared" si="139"/>
        <v>0.15</v>
      </c>
      <c r="QI8" s="23">
        <f t="shared" si="140"/>
        <v>16.75</v>
      </c>
      <c r="QJ8" s="23">
        <f t="shared" si="141"/>
        <v>4.0999999999999996</v>
      </c>
      <c r="QK8" s="23">
        <f t="shared" si="142"/>
        <v>0.1</v>
      </c>
      <c r="QL8" s="23">
        <f t="shared" si="143"/>
        <v>0.3</v>
      </c>
      <c r="QM8" s="23">
        <f t="shared" si="144"/>
        <v>16.670000000000002</v>
      </c>
      <c r="QN8" s="23">
        <f t="shared" si="145"/>
        <v>4.0999999999999996</v>
      </c>
      <c r="QO8" s="23">
        <f t="shared" si="146"/>
        <v>0</v>
      </c>
      <c r="QP8" s="23">
        <f t="shared" si="147"/>
        <v>0.3</v>
      </c>
      <c r="QQ8" s="23">
        <f t="shared" si="148"/>
        <v>17.3</v>
      </c>
      <c r="QR8" s="23">
        <f t="shared" si="149"/>
        <v>4.1999999999999993</v>
      </c>
      <c r="QS8" s="23">
        <f t="shared" si="150"/>
        <v>0.1</v>
      </c>
      <c r="QT8" s="23">
        <f t="shared" si="151"/>
        <v>0.3</v>
      </c>
      <c r="QU8" s="23">
        <f t="shared" si="152"/>
        <v>17.399999999999999</v>
      </c>
      <c r="QV8" s="23">
        <f t="shared" si="153"/>
        <v>4</v>
      </c>
      <c r="QW8" s="23">
        <f t="shared" si="154"/>
        <v>0</v>
      </c>
      <c r="QX8" s="23">
        <f t="shared" si="155"/>
        <v>0.3</v>
      </c>
      <c r="QY8" s="28" t="s">
        <v>57</v>
      </c>
      <c r="QZ8" s="41">
        <f t="shared" si="156"/>
        <v>8.0500000000000007</v>
      </c>
      <c r="RA8" s="41">
        <f t="shared" si="157"/>
        <v>41.65</v>
      </c>
      <c r="RB8" s="41">
        <f t="shared" si="158"/>
        <v>21.070000000000004</v>
      </c>
      <c r="RC8" s="41">
        <f t="shared" si="159"/>
        <v>12.15</v>
      </c>
      <c r="RD8" s="41">
        <f t="shared" si="160"/>
        <v>62.72</v>
      </c>
      <c r="RE8" s="41">
        <f t="shared" si="161"/>
        <v>8.1999999999999993</v>
      </c>
      <c r="RF8" s="41">
        <f t="shared" si="162"/>
        <v>43.4</v>
      </c>
      <c r="RG8" s="41">
        <f t="shared" si="163"/>
        <v>106.12</v>
      </c>
    </row>
    <row r="9" spans="1:475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149</v>
      </c>
      <c r="C9" s="4" t="s">
        <v>5</v>
      </c>
      <c r="D9" s="4">
        <v>2001</v>
      </c>
      <c r="E9" s="9">
        <f t="shared" si="0"/>
        <v>145.00001026000422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IF(COUNT(AQ9,BT9,CW9)&gt;0,LARGE((AQ9,BT9,CW9),1),0)</f>
        <v>42.2</v>
      </c>
      <c r="K9" s="8" t="str">
        <f t="shared" si="5"/>
        <v>2023 Domestic 3rd Trial</v>
      </c>
      <c r="L9" s="8">
        <f>IF(COUNT(AQ9,BT9,CW9)&gt;1,LARGE((AQ9,BT9,CW9),2),0)</f>
        <v>39.400000000000006</v>
      </c>
      <c r="M9" s="8" t="str">
        <f t="shared" si="6"/>
        <v>2023 Nationals</v>
      </c>
      <c r="N9" s="8">
        <f>IF(COUNT(AR9,BU9,CX9)&gt;0,LARGE((AR9,BU9,CX9),1),0)</f>
        <v>21</v>
      </c>
      <c r="O9" s="8" t="str">
        <f t="shared" si="7"/>
        <v>2023 Nationals</v>
      </c>
      <c r="P9" s="8">
        <f t="shared" si="8"/>
        <v>42.400000000000006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15.5</v>
      </c>
      <c r="V9" s="19">
        <v>1.9</v>
      </c>
      <c r="W9" s="19">
        <v>0</v>
      </c>
      <c r="X9" s="19">
        <v>0.3</v>
      </c>
      <c r="Y9" s="19">
        <v>15.8</v>
      </c>
      <c r="Z9" s="19">
        <v>3.5</v>
      </c>
      <c r="AA9" s="19">
        <v>0</v>
      </c>
      <c r="AB9" s="19">
        <v>0.6</v>
      </c>
      <c r="AC9" s="19">
        <v>16.2</v>
      </c>
      <c r="AD9" s="19">
        <v>3.5</v>
      </c>
      <c r="AE9" s="19">
        <v>0</v>
      </c>
      <c r="AF9" s="19">
        <v>0.6</v>
      </c>
      <c r="AG9" s="19">
        <v>16.5</v>
      </c>
      <c r="AH9" s="19">
        <v>3.5</v>
      </c>
      <c r="AI9" s="19">
        <v>0</v>
      </c>
      <c r="AJ9" s="19">
        <v>0.6</v>
      </c>
      <c r="AK9" s="19">
        <v>16.399999999999999</v>
      </c>
      <c r="AL9" s="19">
        <v>3.9</v>
      </c>
      <c r="AM9" s="19">
        <v>0</v>
      </c>
      <c r="AN9" s="19">
        <v>0.3</v>
      </c>
      <c r="AO9" s="28"/>
      <c r="AP9" s="41">
        <f t="shared" si="13"/>
        <v>5.4</v>
      </c>
      <c r="AQ9" s="41">
        <f t="shared" si="14"/>
        <v>37.6</v>
      </c>
      <c r="AR9" s="41">
        <f t="shared" si="15"/>
        <v>20.3</v>
      </c>
      <c r="AS9" s="41">
        <f t="shared" si="16"/>
        <v>8.9</v>
      </c>
      <c r="AT9" s="41">
        <f t="shared" si="17"/>
        <v>57.900000000000006</v>
      </c>
      <c r="AU9" s="41">
        <f t="shared" si="18"/>
        <v>7.4</v>
      </c>
      <c r="AV9" s="41">
        <f t="shared" si="19"/>
        <v>41.199999999999996</v>
      </c>
      <c r="AW9" s="41">
        <f t="shared" si="20"/>
        <v>99.1</v>
      </c>
      <c r="AX9" s="18">
        <v>15.9</v>
      </c>
      <c r="AY9" s="18">
        <v>4.5999999999999996</v>
      </c>
      <c r="AZ9" s="18">
        <v>0</v>
      </c>
      <c r="BA9" s="18">
        <v>0.6</v>
      </c>
      <c r="BB9" s="18">
        <v>15.1</v>
      </c>
      <c r="BC9" s="18">
        <v>2.6</v>
      </c>
      <c r="BD9" s="18">
        <v>0</v>
      </c>
      <c r="BE9" s="18">
        <v>0.6</v>
      </c>
      <c r="BF9" s="18">
        <v>15.8</v>
      </c>
      <c r="BG9" s="18">
        <v>4.5999999999999996</v>
      </c>
      <c r="BH9" s="18">
        <v>0</v>
      </c>
      <c r="BI9" s="18">
        <v>0.6</v>
      </c>
      <c r="BJ9" s="18">
        <v>16.600000000000001</v>
      </c>
      <c r="BK9" s="18">
        <v>4.0999999999999996</v>
      </c>
      <c r="BL9" s="18">
        <v>0</v>
      </c>
      <c r="BM9" s="18">
        <v>0.3</v>
      </c>
      <c r="BN9" s="18">
        <v>16.2</v>
      </c>
      <c r="BO9" s="18">
        <v>4.5999999999999996</v>
      </c>
      <c r="BP9" s="18">
        <v>0</v>
      </c>
      <c r="BQ9" s="18">
        <v>0.6</v>
      </c>
      <c r="BR9" s="29"/>
      <c r="BS9" s="11">
        <f t="shared" si="21"/>
        <v>7.1999999999999993</v>
      </c>
      <c r="BT9" s="11">
        <f t="shared" si="22"/>
        <v>39.400000000000006</v>
      </c>
      <c r="BU9" s="11">
        <f t="shared" si="23"/>
        <v>21</v>
      </c>
      <c r="BV9" s="11">
        <f t="shared" si="24"/>
        <v>11.799999999999999</v>
      </c>
      <c r="BW9" s="11">
        <f t="shared" si="25"/>
        <v>60.400000000000006</v>
      </c>
      <c r="BX9" s="11">
        <f t="shared" si="26"/>
        <v>8.6999999999999993</v>
      </c>
      <c r="BY9" s="11">
        <f t="shared" si="27"/>
        <v>42.400000000000006</v>
      </c>
      <c r="BZ9" s="11">
        <f t="shared" si="28"/>
        <v>102.80000000000001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17.5</v>
      </c>
      <c r="CF9" s="19">
        <v>3.6</v>
      </c>
      <c r="CG9" s="19">
        <v>0</v>
      </c>
      <c r="CH9" s="19">
        <v>0</v>
      </c>
      <c r="CI9" s="19">
        <v>15.6</v>
      </c>
      <c r="CJ9" s="19">
        <v>2.6</v>
      </c>
      <c r="CK9" s="19">
        <v>0</v>
      </c>
      <c r="CL9" s="19">
        <v>0.6</v>
      </c>
      <c r="CM9" s="19">
        <v>15.6</v>
      </c>
      <c r="CN9" s="19">
        <v>1.9</v>
      </c>
      <c r="CO9" s="19">
        <v>0</v>
      </c>
      <c r="CP9" s="19">
        <v>0.3</v>
      </c>
      <c r="CQ9" s="19">
        <v>17.7</v>
      </c>
      <c r="CR9" s="19">
        <v>4.5999999999999996</v>
      </c>
      <c r="CS9" s="19">
        <v>0</v>
      </c>
      <c r="CT9" s="19">
        <v>0.6</v>
      </c>
      <c r="CU9" s="28"/>
      <c r="CV9" s="41">
        <f t="shared" si="29"/>
        <v>8.1999999999999993</v>
      </c>
      <c r="CW9" s="41">
        <f t="shared" si="30"/>
        <v>42.2</v>
      </c>
      <c r="CX9" s="41">
        <f t="shared" si="31"/>
        <v>18.8</v>
      </c>
      <c r="CY9" s="41">
        <f t="shared" si="32"/>
        <v>10.799999999999999</v>
      </c>
      <c r="CZ9" s="41">
        <f t="shared" si="33"/>
        <v>61</v>
      </c>
      <c r="DA9" s="41">
        <f t="shared" si="34"/>
        <v>6.5</v>
      </c>
      <c r="DB9" s="41">
        <f t="shared" si="35"/>
        <v>40.700000000000003</v>
      </c>
      <c r="DC9" s="41">
        <f t="shared" si="36"/>
        <v>101.7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15.9</v>
      </c>
      <c r="QF9" s="23">
        <f t="shared" si="137"/>
        <v>4.5999999999999996</v>
      </c>
      <c r="QG9" s="23">
        <f t="shared" si="138"/>
        <v>0</v>
      </c>
      <c r="QH9" s="23">
        <f t="shared" si="139"/>
        <v>0.6</v>
      </c>
      <c r="QI9" s="23">
        <f t="shared" si="140"/>
        <v>16.3</v>
      </c>
      <c r="QJ9" s="23">
        <f t="shared" si="141"/>
        <v>3.1</v>
      </c>
      <c r="QK9" s="23">
        <f t="shared" si="142"/>
        <v>0</v>
      </c>
      <c r="QL9" s="23">
        <f t="shared" si="143"/>
        <v>0.3</v>
      </c>
      <c r="QM9" s="23">
        <f t="shared" si="144"/>
        <v>15.7</v>
      </c>
      <c r="QN9" s="23">
        <f t="shared" si="145"/>
        <v>3.5999999999999996</v>
      </c>
      <c r="QO9" s="23">
        <f t="shared" si="146"/>
        <v>0</v>
      </c>
      <c r="QP9" s="23">
        <f t="shared" si="147"/>
        <v>0.6</v>
      </c>
      <c r="QQ9" s="23">
        <f t="shared" si="148"/>
        <v>16.100000000000001</v>
      </c>
      <c r="QR9" s="23">
        <f t="shared" si="149"/>
        <v>3</v>
      </c>
      <c r="QS9" s="23">
        <f t="shared" si="150"/>
        <v>0</v>
      </c>
      <c r="QT9" s="23">
        <f t="shared" si="151"/>
        <v>0.3</v>
      </c>
      <c r="QU9" s="23">
        <f t="shared" si="152"/>
        <v>16.95</v>
      </c>
      <c r="QV9" s="23">
        <f t="shared" si="153"/>
        <v>4.5999999999999996</v>
      </c>
      <c r="QW9" s="23">
        <f t="shared" si="154"/>
        <v>0</v>
      </c>
      <c r="QX9" s="23">
        <f t="shared" si="155"/>
        <v>0.6</v>
      </c>
      <c r="QY9" s="28" t="s">
        <v>57</v>
      </c>
      <c r="QZ9" s="41">
        <f t="shared" si="156"/>
        <v>7.6999999999999993</v>
      </c>
      <c r="RA9" s="41">
        <f t="shared" si="157"/>
        <v>40.800000000000004</v>
      </c>
      <c r="RB9" s="41">
        <f t="shared" si="158"/>
        <v>19.899999999999999</v>
      </c>
      <c r="RC9" s="41">
        <f t="shared" si="159"/>
        <v>11.299999999999999</v>
      </c>
      <c r="RD9" s="41">
        <f t="shared" si="160"/>
        <v>60.7</v>
      </c>
      <c r="RE9" s="41">
        <f t="shared" si="161"/>
        <v>7.6</v>
      </c>
      <c r="RF9" s="41">
        <f t="shared" si="162"/>
        <v>41.550000000000004</v>
      </c>
      <c r="RG9" s="41">
        <f t="shared" si="163"/>
        <v>102.25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97</v>
      </c>
      <c r="C10" s="4" t="s">
        <v>6</v>
      </c>
      <c r="D10" s="4">
        <v>2004</v>
      </c>
      <c r="E10" s="9">
        <f t="shared" si="0"/>
        <v>140.60000978000389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IF(COUNT(AQ10,BT10,CW10)&gt;0,LARGE((AQ10,BT10,CW10),1),0)</f>
        <v>38.700000000000003</v>
      </c>
      <c r="K10" s="8" t="str">
        <f t="shared" si="5"/>
        <v>2023 Nationals</v>
      </c>
      <c r="L10" s="8">
        <f>IF(COUNT(AQ10,BT10,CW10)&gt;1,LARGE((AQ10,BT10,CW10),2),0)</f>
        <v>37.500000000000007</v>
      </c>
      <c r="M10" s="8" t="str">
        <f t="shared" si="6"/>
        <v>2023 Elite Canada</v>
      </c>
      <c r="N10" s="8">
        <f>IF(COUNT(AR10,BU10,CX10)&gt;0,LARGE((AR10,BU10,CX10),1),0)</f>
        <v>21.6</v>
      </c>
      <c r="O10" s="8" t="str">
        <f t="shared" si="7"/>
        <v>2023 Domestic 3rd Trial</v>
      </c>
      <c r="P10" s="8">
        <f t="shared" si="8"/>
        <v>42.800000000000004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8"/>
      <c r="AP10" s="41">
        <f t="shared" si="13"/>
        <v>8</v>
      </c>
      <c r="AQ10" s="41">
        <f t="shared" si="14"/>
        <v>37.500000000000007</v>
      </c>
      <c r="AR10" s="41">
        <f t="shared" si="15"/>
        <v>18.500000000000004</v>
      </c>
      <c r="AS10" s="41">
        <f t="shared" si="16"/>
        <v>10.6</v>
      </c>
      <c r="AT10" s="41">
        <f t="shared" si="17"/>
        <v>56.000000000000014</v>
      </c>
      <c r="AU10" s="41">
        <f t="shared" si="18"/>
        <v>8.3999999999999986</v>
      </c>
      <c r="AV10" s="41">
        <f t="shared" si="19"/>
        <v>42.2</v>
      </c>
      <c r="AW10" s="41">
        <f t="shared" si="20"/>
        <v>98.200000000000017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9"/>
      <c r="BS10" s="11">
        <f t="shared" si="21"/>
        <v>8.6999999999999993</v>
      </c>
      <c r="BT10" s="11">
        <f t="shared" si="22"/>
        <v>38.700000000000003</v>
      </c>
      <c r="BU10" s="11">
        <f t="shared" si="23"/>
        <v>20.700000000000003</v>
      </c>
      <c r="BV10" s="11">
        <f t="shared" si="24"/>
        <v>12.899999999999999</v>
      </c>
      <c r="BW10" s="11">
        <f t="shared" si="25"/>
        <v>59.400000000000006</v>
      </c>
      <c r="BX10" s="11">
        <f t="shared" si="26"/>
        <v>10.1</v>
      </c>
      <c r="BY10" s="11">
        <f t="shared" si="27"/>
        <v>42.800000000000004</v>
      </c>
      <c r="BZ10" s="11">
        <f t="shared" si="28"/>
        <v>102.20000000000002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16.399999999999999</v>
      </c>
      <c r="CJ10" s="19">
        <v>4.5999999999999996</v>
      </c>
      <c r="CK10" s="19">
        <v>0</v>
      </c>
      <c r="CL10" s="19">
        <v>0.6</v>
      </c>
      <c r="CM10" s="19">
        <v>16.399999999999999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8"/>
      <c r="CV10" s="41">
        <f t="shared" si="29"/>
        <v>4.7</v>
      </c>
      <c r="CW10" s="41">
        <f t="shared" si="30"/>
        <v>36.700000000000003</v>
      </c>
      <c r="CX10" s="41">
        <f t="shared" si="31"/>
        <v>21.6</v>
      </c>
      <c r="CY10" s="41">
        <f t="shared" si="32"/>
        <v>9.3000000000000007</v>
      </c>
      <c r="CZ10" s="41">
        <f t="shared" si="33"/>
        <v>58.300000000000004</v>
      </c>
      <c r="DA10" s="41">
        <f t="shared" si="34"/>
        <v>8.6999999999999993</v>
      </c>
      <c r="DB10" s="41">
        <f t="shared" si="35"/>
        <v>41.79999999999999</v>
      </c>
      <c r="DC10" s="41">
        <f t="shared" si="36"/>
        <v>100.1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15.5</v>
      </c>
      <c r="QF10" s="23">
        <f t="shared" si="137"/>
        <v>2.2999999999999998</v>
      </c>
      <c r="QG10" s="23">
        <f t="shared" si="138"/>
        <v>0.2</v>
      </c>
      <c r="QH10" s="23">
        <f t="shared" si="139"/>
        <v>0</v>
      </c>
      <c r="QI10" s="23">
        <f t="shared" si="140"/>
        <v>16.3</v>
      </c>
      <c r="QJ10" s="23">
        <f t="shared" si="141"/>
        <v>4.4000000000000004</v>
      </c>
      <c r="QK10" s="23">
        <f t="shared" si="142"/>
        <v>1.2</v>
      </c>
      <c r="QL10" s="23">
        <f t="shared" si="143"/>
        <v>0.6</v>
      </c>
      <c r="QM10" s="23">
        <f t="shared" si="144"/>
        <v>16.149999999999999</v>
      </c>
      <c r="QN10" s="23">
        <f t="shared" si="145"/>
        <v>4.4000000000000004</v>
      </c>
      <c r="QO10" s="23">
        <f t="shared" si="146"/>
        <v>0</v>
      </c>
      <c r="QP10" s="23">
        <f t="shared" si="147"/>
        <v>0.6</v>
      </c>
      <c r="QQ10" s="23">
        <f t="shared" si="148"/>
        <v>15.649999999999999</v>
      </c>
      <c r="QR10" s="23">
        <f t="shared" si="149"/>
        <v>4.6999999999999993</v>
      </c>
      <c r="QS10" s="23">
        <f t="shared" si="150"/>
        <v>0</v>
      </c>
      <c r="QT10" s="23">
        <f t="shared" si="151"/>
        <v>0.6</v>
      </c>
      <c r="QU10" s="23">
        <f t="shared" si="152"/>
        <v>16.3</v>
      </c>
      <c r="QV10" s="23">
        <f t="shared" si="153"/>
        <v>4.7</v>
      </c>
      <c r="QW10" s="23">
        <f t="shared" si="154"/>
        <v>0.1</v>
      </c>
      <c r="QX10" s="23">
        <f t="shared" si="155"/>
        <v>0.44999999999999996</v>
      </c>
      <c r="QY10" s="28" t="s">
        <v>57</v>
      </c>
      <c r="QZ10" s="41">
        <f t="shared" si="156"/>
        <v>6.7</v>
      </c>
      <c r="RA10" s="41">
        <f t="shared" si="157"/>
        <v>37.699999999999996</v>
      </c>
      <c r="RB10" s="41">
        <f t="shared" si="158"/>
        <v>21.15</v>
      </c>
      <c r="RC10" s="41">
        <f t="shared" si="159"/>
        <v>11.100000000000001</v>
      </c>
      <c r="RD10" s="41">
        <f t="shared" si="160"/>
        <v>58.849999999999994</v>
      </c>
      <c r="RE10" s="41">
        <f t="shared" si="161"/>
        <v>9.3999999999999986</v>
      </c>
      <c r="RF10" s="41">
        <f t="shared" si="162"/>
        <v>42.300000000000004</v>
      </c>
      <c r="RG10" s="41">
        <f t="shared" si="163"/>
        <v>101.15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75</v>
      </c>
      <c r="C11" s="4" t="s">
        <v>6</v>
      </c>
      <c r="D11" s="4">
        <v>2001</v>
      </c>
      <c r="E11" s="9">
        <f t="shared" si="0"/>
        <v>139.8000099600041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IF(COUNT(AQ11,BT11,CW11)&gt;0,LARGE((AQ11,BT11,CW11),1),0)</f>
        <v>41.1</v>
      </c>
      <c r="K11" s="8" t="str">
        <f t="shared" si="5"/>
        <v>2023 Domestic 3rd Trial</v>
      </c>
      <c r="L11" s="8">
        <f>IF(COUNT(AQ11,BT11,CW11)&gt;1,LARGE((AQ11,BT11,CW11),2),0)</f>
        <v>39.199999999999996</v>
      </c>
      <c r="M11" s="8" t="str">
        <f t="shared" si="6"/>
        <v>2023 Elite Canada</v>
      </c>
      <c r="N11" s="8">
        <f>IF(COUNT(AR11,BU11,CX11)&gt;0,LARGE((AR11,BU11,CX11),1),0)</f>
        <v>19.3</v>
      </c>
      <c r="O11" s="8" t="str">
        <f t="shared" si="7"/>
        <v>2023 Elite Canada</v>
      </c>
      <c r="P11" s="8">
        <f t="shared" si="8"/>
        <v>40.199999999999989</v>
      </c>
      <c r="Q11" s="8" t="str">
        <f t="shared" si="9"/>
        <v>2023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 t="shared" si="13"/>
        <v>4</v>
      </c>
      <c r="AQ11" s="41">
        <f t="shared" si="14"/>
        <v>39.199999999999996</v>
      </c>
      <c r="AR11" s="41">
        <f t="shared" si="15"/>
        <v>19.3</v>
      </c>
      <c r="AS11" s="41">
        <f t="shared" si="16"/>
        <v>7.2</v>
      </c>
      <c r="AT11" s="41">
        <f t="shared" si="17"/>
        <v>58.5</v>
      </c>
      <c r="AU11" s="41">
        <f t="shared" si="18"/>
        <v>6</v>
      </c>
      <c r="AV11" s="41">
        <f t="shared" si="19"/>
        <v>40.199999999999989</v>
      </c>
      <c r="AW11" s="41">
        <f t="shared" si="20"/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14.8</v>
      </c>
      <c r="CJ11" s="19">
        <v>4.0999999999999996</v>
      </c>
      <c r="CK11" s="19">
        <v>1</v>
      </c>
      <c r="CL11" s="19">
        <v>0.3</v>
      </c>
      <c r="CM11" s="19">
        <v>14.8</v>
      </c>
      <c r="CN11" s="19">
        <v>3.9</v>
      </c>
      <c r="CO11" s="19">
        <v>0</v>
      </c>
      <c r="CP11" s="19">
        <v>0.3</v>
      </c>
      <c r="CQ11" s="19">
        <v>16.3</v>
      </c>
      <c r="CR11" s="19">
        <v>2.4</v>
      </c>
      <c r="CS11" s="19">
        <v>1</v>
      </c>
      <c r="CT11" s="19">
        <v>0.3</v>
      </c>
      <c r="CU11" s="28"/>
      <c r="CV11" s="41">
        <f t="shared" si="29"/>
        <v>8</v>
      </c>
      <c r="CW11" s="41">
        <f t="shared" si="30"/>
        <v>41.1</v>
      </c>
      <c r="CX11" s="41">
        <f t="shared" si="31"/>
        <v>18.2</v>
      </c>
      <c r="CY11" s="41">
        <f t="shared" si="32"/>
        <v>12.1</v>
      </c>
      <c r="CZ11" s="41">
        <f t="shared" si="33"/>
        <v>59.3</v>
      </c>
      <c r="DA11" s="41">
        <f t="shared" si="34"/>
        <v>6.3</v>
      </c>
      <c r="DB11" s="41">
        <f t="shared" si="35"/>
        <v>36.999999999999993</v>
      </c>
      <c r="DC11" s="41">
        <f t="shared" si="36"/>
        <v>96.299999999999983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8.1999999999999993</v>
      </c>
      <c r="QF11" s="23">
        <f t="shared" si="137"/>
        <v>2.0499999999999998</v>
      </c>
      <c r="QG11" s="23">
        <f t="shared" si="138"/>
        <v>0</v>
      </c>
      <c r="QH11" s="23">
        <f t="shared" si="139"/>
        <v>0.15</v>
      </c>
      <c r="QI11" s="23">
        <f t="shared" si="140"/>
        <v>8.0500000000000007</v>
      </c>
      <c r="QJ11" s="23">
        <f t="shared" si="141"/>
        <v>1.95</v>
      </c>
      <c r="QK11" s="23">
        <f t="shared" si="142"/>
        <v>0</v>
      </c>
      <c r="QL11" s="23">
        <f t="shared" si="143"/>
        <v>0.15</v>
      </c>
      <c r="QM11" s="23">
        <f t="shared" si="144"/>
        <v>7.4</v>
      </c>
      <c r="QN11" s="23">
        <f t="shared" si="145"/>
        <v>2.0499999999999998</v>
      </c>
      <c r="QO11" s="23">
        <f t="shared" si="146"/>
        <v>0.5</v>
      </c>
      <c r="QP11" s="23">
        <f t="shared" si="147"/>
        <v>0.15</v>
      </c>
      <c r="QQ11" s="23">
        <f t="shared" si="148"/>
        <v>7.4</v>
      </c>
      <c r="QR11" s="23">
        <f t="shared" si="149"/>
        <v>1.95</v>
      </c>
      <c r="QS11" s="23">
        <f t="shared" si="150"/>
        <v>0</v>
      </c>
      <c r="QT11" s="23">
        <f t="shared" si="151"/>
        <v>0.15</v>
      </c>
      <c r="QU11" s="23">
        <f t="shared" si="152"/>
        <v>8.15</v>
      </c>
      <c r="QV11" s="23">
        <f t="shared" si="153"/>
        <v>1.2</v>
      </c>
      <c r="QW11" s="23">
        <f t="shared" si="154"/>
        <v>0.5</v>
      </c>
      <c r="QX11" s="23">
        <f t="shared" si="155"/>
        <v>0.15</v>
      </c>
      <c r="QY11" s="28" t="s">
        <v>57</v>
      </c>
      <c r="QZ11" s="41">
        <f t="shared" si="156"/>
        <v>4</v>
      </c>
      <c r="RA11" s="41">
        <f t="shared" si="157"/>
        <v>20.55</v>
      </c>
      <c r="RB11" s="41">
        <f t="shared" si="158"/>
        <v>9.1</v>
      </c>
      <c r="RC11" s="41">
        <f t="shared" si="159"/>
        <v>6.05</v>
      </c>
      <c r="RD11" s="41">
        <f t="shared" si="160"/>
        <v>29.65</v>
      </c>
      <c r="RE11" s="41">
        <f t="shared" si="161"/>
        <v>3.15</v>
      </c>
      <c r="RF11" s="41">
        <f t="shared" si="162"/>
        <v>18.499999999999996</v>
      </c>
      <c r="RG11" s="41">
        <f t="shared" si="163"/>
        <v>48.149999999999991</v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194</v>
      </c>
      <c r="C12" s="4" t="s">
        <v>5</v>
      </c>
      <c r="D12" s="4">
        <v>1999</v>
      </c>
      <c r="E12" s="9">
        <f t="shared" si="0"/>
        <v>83.300005240003514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IF(COUNT(AQ12,BT12,CW12)&gt;0,LARGE((AQ12,BT12,CW12),1),0)</f>
        <v>35.199999999999996</v>
      </c>
      <c r="K12" s="8" t="str">
        <f t="shared" si="5"/>
        <v>2023 Elite Canada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17.200000000000003</v>
      </c>
      <c r="O12" s="8" t="str">
        <f t="shared" si="7"/>
        <v>2023 Elite Canada</v>
      </c>
      <c r="P12" s="8">
        <f t="shared" si="8"/>
        <v>30.9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 t="shared" si="13"/>
        <v>4.4000000000000004</v>
      </c>
      <c r="AQ12" s="41">
        <f t="shared" si="14"/>
        <v>35.199999999999996</v>
      </c>
      <c r="AR12" s="41">
        <f t="shared" si="15"/>
        <v>17.200000000000003</v>
      </c>
      <c r="AS12" s="41">
        <f t="shared" si="16"/>
        <v>7.7</v>
      </c>
      <c r="AT12" s="41">
        <f t="shared" si="17"/>
        <v>52.4</v>
      </c>
      <c r="AU12" s="41">
        <f t="shared" si="18"/>
        <v>4</v>
      </c>
      <c r="AV12" s="41">
        <f t="shared" si="19"/>
        <v>30.9</v>
      </c>
      <c r="AW12" s="41">
        <f t="shared" si="20"/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9"/>
        <v/>
      </c>
      <c r="CW12" s="41" t="str">
        <f t="shared" si="30"/>
        <v/>
      </c>
      <c r="CX12" s="41" t="str">
        <f t="shared" si="31"/>
        <v/>
      </c>
      <c r="CY12" s="41" t="str">
        <f t="shared" si="32"/>
        <v/>
      </c>
      <c r="CZ12" s="41" t="str">
        <f t="shared" si="33"/>
        <v/>
      </c>
      <c r="DA12" s="41" t="str">
        <f t="shared" si="34"/>
        <v/>
      </c>
      <c r="DB12" s="41" t="str">
        <f t="shared" si="35"/>
        <v/>
      </c>
      <c r="DC12" s="41" t="str">
        <f t="shared" si="36"/>
        <v/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0</v>
      </c>
      <c r="QF12" s="23">
        <f t="shared" si="137"/>
        <v>0</v>
      </c>
      <c r="QG12" s="23">
        <f t="shared" si="138"/>
        <v>0</v>
      </c>
      <c r="QH12" s="23">
        <f t="shared" si="139"/>
        <v>0</v>
      </c>
      <c r="QI12" s="23">
        <f t="shared" si="140"/>
        <v>0</v>
      </c>
      <c r="QJ12" s="23">
        <f t="shared" si="141"/>
        <v>0</v>
      </c>
      <c r="QK12" s="23">
        <f t="shared" si="142"/>
        <v>0</v>
      </c>
      <c r="QL12" s="23">
        <f t="shared" si="143"/>
        <v>0</v>
      </c>
      <c r="QM12" s="23">
        <f t="shared" si="144"/>
        <v>0</v>
      </c>
      <c r="QN12" s="23">
        <f t="shared" si="145"/>
        <v>0</v>
      </c>
      <c r="QO12" s="23">
        <f t="shared" si="146"/>
        <v>0</v>
      </c>
      <c r="QP12" s="23">
        <f t="shared" si="147"/>
        <v>0</v>
      </c>
      <c r="QQ12" s="23">
        <f t="shared" si="148"/>
        <v>0</v>
      </c>
      <c r="QR12" s="23">
        <f t="shared" si="149"/>
        <v>0</v>
      </c>
      <c r="QS12" s="23">
        <f t="shared" si="150"/>
        <v>0</v>
      </c>
      <c r="QT12" s="23">
        <f t="shared" si="151"/>
        <v>0</v>
      </c>
      <c r="QU12" s="23">
        <f t="shared" si="152"/>
        <v>0</v>
      </c>
      <c r="QV12" s="23">
        <f t="shared" si="153"/>
        <v>0</v>
      </c>
      <c r="QW12" s="23">
        <f t="shared" si="154"/>
        <v>0</v>
      </c>
      <c r="QX12" s="23">
        <f t="shared" si="155"/>
        <v>0</v>
      </c>
      <c r="QY12" s="28" t="s">
        <v>57</v>
      </c>
      <c r="QZ12" s="41" t="str">
        <f t="shared" si="156"/>
        <v/>
      </c>
      <c r="RA12" s="41" t="str">
        <f t="shared" si="157"/>
        <v/>
      </c>
      <c r="RB12" s="41" t="str">
        <f t="shared" si="158"/>
        <v/>
      </c>
      <c r="RC12" s="41" t="str">
        <f t="shared" si="159"/>
        <v/>
      </c>
      <c r="RD12" s="41" t="str">
        <f t="shared" si="160"/>
        <v/>
      </c>
      <c r="RE12" s="41" t="str">
        <f t="shared" si="161"/>
        <v/>
      </c>
      <c r="RF12" s="41" t="str">
        <f t="shared" si="162"/>
        <v/>
      </c>
      <c r="RG12" s="41" t="str">
        <f t="shared" si="163"/>
        <v/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168</v>
      </c>
      <c r="C13" s="4" t="s">
        <v>3</v>
      </c>
      <c r="D13" s="4">
        <v>2004</v>
      </c>
      <c r="E13" s="9">
        <f t="shared" si="0"/>
        <v>39.300000000000004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IF(COUNT(AQ13,BT13,CW13)&gt;0,LARGE((AQ13,BT13,CW13),1),0)</f>
        <v>0</v>
      </c>
      <c r="K13" s="8" t="str">
        <f t="shared" si="5"/>
        <v/>
      </c>
      <c r="L13" s="8">
        <f>IF(COUNT(AQ13,BT13,CW13)&gt;1,LARGE((AQ13,BT13,CW13),2),0)</f>
        <v>0</v>
      </c>
      <c r="M13" s="8" t="str">
        <f t="shared" si="6"/>
        <v/>
      </c>
      <c r="N13" s="8">
        <f>IF(COUNT(AR13,BU13,CX13)&gt;0,LARGE((AR13,BU13,CX13),1),0)</f>
        <v>0</v>
      </c>
      <c r="O13" s="8" t="str">
        <f t="shared" si="7"/>
        <v/>
      </c>
      <c r="P13" s="8">
        <f t="shared" si="8"/>
        <v>0</v>
      </c>
      <c r="Q13" s="8" t="str">
        <f t="shared" si="9"/>
        <v/>
      </c>
      <c r="R13" s="8">
        <f t="shared" si="10"/>
        <v>39.300000000000004</v>
      </c>
      <c r="S13" s="11" t="str">
        <f t="shared" si="11"/>
        <v>(Q1)</v>
      </c>
      <c r="T13" s="8" t="str">
        <f t="shared" si="12"/>
        <v>2022 WAGC (Nov 24)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 t="shared" si="13"/>
        <v/>
      </c>
      <c r="AQ13" s="41" t="str">
        <f t="shared" si="14"/>
        <v/>
      </c>
      <c r="AR13" s="41" t="str">
        <f t="shared" si="15"/>
        <v/>
      </c>
      <c r="AS13" s="41" t="str">
        <f t="shared" si="16"/>
        <v/>
      </c>
      <c r="AT13" s="41" t="str">
        <f t="shared" si="17"/>
        <v/>
      </c>
      <c r="AU13" s="41" t="str">
        <f t="shared" si="18"/>
        <v/>
      </c>
      <c r="AV13" s="41" t="str">
        <f t="shared" si="19"/>
        <v/>
      </c>
      <c r="AW13" s="41" t="str">
        <f t="shared" si="20"/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 t="shared" si="29"/>
        <v/>
      </c>
      <c r="CW13" s="41" t="str">
        <f t="shared" si="30"/>
        <v/>
      </c>
      <c r="CX13" s="41" t="str">
        <f t="shared" si="31"/>
        <v/>
      </c>
      <c r="CY13" s="41" t="str">
        <f t="shared" si="32"/>
        <v/>
      </c>
      <c r="CZ13" s="41" t="str">
        <f t="shared" si="33"/>
        <v/>
      </c>
      <c r="DA13" s="41" t="str">
        <f t="shared" si="34"/>
        <v/>
      </c>
      <c r="DB13" s="41" t="str">
        <f t="shared" si="35"/>
        <v/>
      </c>
      <c r="DC13" s="41" t="str">
        <f t="shared" si="36"/>
        <v/>
      </c>
      <c r="DD13" s="52">
        <f t="shared" si="37"/>
        <v>39.300000000000004</v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>
        <v>17</v>
      </c>
      <c r="FL13" s="17">
        <v>4.0999999999999996</v>
      </c>
      <c r="FM13" s="17">
        <v>0</v>
      </c>
      <c r="FN13" s="17">
        <v>0</v>
      </c>
      <c r="FO13" s="17">
        <v>16.3</v>
      </c>
      <c r="FP13" s="17">
        <v>1.9</v>
      </c>
      <c r="FQ13" s="17">
        <v>0</v>
      </c>
      <c r="FR13" s="17">
        <v>0</v>
      </c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>
        <f t="shared" si="56"/>
        <v>6</v>
      </c>
      <c r="GF13" s="41">
        <f t="shared" si="57"/>
        <v>39.300000000000004</v>
      </c>
      <c r="GG13" s="41" t="str">
        <f t="shared" si="58"/>
        <v/>
      </c>
      <c r="GH13" s="41">
        <f t="shared" si="59"/>
        <v>6</v>
      </c>
      <c r="GI13" s="41">
        <f t="shared" si="60"/>
        <v>39.300000000000004</v>
      </c>
      <c r="GJ13" s="41" t="str">
        <f t="shared" si="61"/>
        <v/>
      </c>
      <c r="GK13" s="41" t="str">
        <f t="shared" si="62"/>
        <v/>
      </c>
      <c r="GL13" s="41">
        <f t="shared" si="63"/>
        <v>39.300000000000004</v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0</v>
      </c>
      <c r="QF13" s="23">
        <f t="shared" si="137"/>
        <v>0</v>
      </c>
      <c r="QG13" s="23">
        <f t="shared" si="138"/>
        <v>0</v>
      </c>
      <c r="QH13" s="23">
        <f t="shared" si="139"/>
        <v>0</v>
      </c>
      <c r="QI13" s="23">
        <f t="shared" si="140"/>
        <v>0</v>
      </c>
      <c r="QJ13" s="23">
        <f t="shared" si="141"/>
        <v>0</v>
      </c>
      <c r="QK13" s="23">
        <f t="shared" si="142"/>
        <v>0</v>
      </c>
      <c r="QL13" s="23">
        <f t="shared" si="143"/>
        <v>0</v>
      </c>
      <c r="QM13" s="23">
        <f t="shared" si="144"/>
        <v>0</v>
      </c>
      <c r="QN13" s="23">
        <f t="shared" si="145"/>
        <v>0</v>
      </c>
      <c r="QO13" s="23">
        <f t="shared" si="146"/>
        <v>0</v>
      </c>
      <c r="QP13" s="23">
        <f t="shared" si="147"/>
        <v>0</v>
      </c>
      <c r="QQ13" s="23">
        <f t="shared" si="148"/>
        <v>0</v>
      </c>
      <c r="QR13" s="23">
        <f t="shared" si="149"/>
        <v>0</v>
      </c>
      <c r="QS13" s="23">
        <f t="shared" si="150"/>
        <v>0</v>
      </c>
      <c r="QT13" s="23">
        <f t="shared" si="151"/>
        <v>0</v>
      </c>
      <c r="QU13" s="23">
        <f t="shared" si="152"/>
        <v>0</v>
      </c>
      <c r="QV13" s="23">
        <f t="shared" si="153"/>
        <v>0</v>
      </c>
      <c r="QW13" s="23">
        <f t="shared" si="154"/>
        <v>0</v>
      </c>
      <c r="QX13" s="23">
        <f t="shared" si="155"/>
        <v>0</v>
      </c>
      <c r="QY13" s="28" t="s">
        <v>57</v>
      </c>
      <c r="QZ13" s="41" t="str">
        <f t="shared" si="156"/>
        <v/>
      </c>
      <c r="RA13" s="41" t="str">
        <f t="shared" si="157"/>
        <v/>
      </c>
      <c r="RB13" s="41" t="str">
        <f t="shared" si="158"/>
        <v/>
      </c>
      <c r="RC13" s="41" t="str">
        <f t="shared" si="159"/>
        <v/>
      </c>
      <c r="RD13" s="41" t="str">
        <f t="shared" si="160"/>
        <v/>
      </c>
      <c r="RE13" s="41" t="str">
        <f t="shared" si="161"/>
        <v/>
      </c>
      <c r="RF13" s="41" t="str">
        <f t="shared" si="162"/>
        <v/>
      </c>
      <c r="RG13" s="41" t="str">
        <f t="shared" si="163"/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12.9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15.1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15.1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43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65.7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68.099999999999994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69.900000000000006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3">
      <sortCondition descending="1" ref="F1:F14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87374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87419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87464" operator="between">
      <formula>AW$16</formula>
      <formula>AW$17</formula>
    </cfRule>
    <cfRule type="cellIs" dxfId="65" priority="87465" operator="between">
      <formula>AW$17</formula>
      <formula>AW$18</formula>
    </cfRule>
    <cfRule type="cellIs" dxfId="64" priority="87466" operator="between">
      <formula>AW$18</formula>
      <formula>AW$19</formula>
    </cfRule>
    <cfRule type="cellIs" dxfId="63" priority="87467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87644" operator="between">
      <formula>AW$20</formula>
      <formula>AW$21</formula>
    </cfRule>
    <cfRule type="cellIs" dxfId="61" priority="87645" operator="between">
      <formula>AW$21</formula>
      <formula>AW$22</formula>
    </cfRule>
    <cfRule type="cellIs" dxfId="60" priority="87646" operator="between">
      <formula>AW$22</formula>
      <formula>AW$23</formula>
    </cfRule>
    <cfRule type="cellIs" dxfId="59" priority="87647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87824" operator="between">
      <formula>AW$19</formula>
      <formula>1000</formula>
    </cfRule>
    <cfRule type="cellIs" dxfId="57" priority="87825" operator="between">
      <formula>AW$18</formula>
      <formula>AW$19</formula>
    </cfRule>
    <cfRule type="cellIs" dxfId="56" priority="87826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177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180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176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182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212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211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220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 t="s">
        <v>227</v>
      </c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 t="s">
        <v>240</v>
      </c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 t="shared" ref="F4:F27" si="0"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 t="shared" ref="G4:G27" si="1"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 t="shared" ref="H4:H27" si="2"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 t="shared" ref="I4:I27" si="3"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 t="shared" ref="K4:K27" si="4"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 t="shared" ref="M4:M27" si="5">IF(L4=0,"",IF(L4=CW4,$CA$1,IF(L4=BT4,$AX$1,IF(L4=AQ4,$U$1,""))))</f>
        <v>2023 Elite Canada</v>
      </c>
      <c r="N4" s="8">
        <f>IF(COUNT(AR4,BU4,CX4)&gt;0,LARGE((AR4,BU4,CX4),1),0)</f>
        <v>29.4</v>
      </c>
      <c r="O4" s="8" t="str">
        <f t="shared" ref="O4:O27" si="6">IF(N4=0,"",IF(N4=CX4,$CA$1,IF(N4=BU4,$AX$1,IF(N4=AR4,$U$1,""))))</f>
        <v>2023 Domestic 3rd Trial</v>
      </c>
      <c r="P4" s="8">
        <f t="shared" ref="P4:P27" si="7">IF(MAX(AV4,BY4,DB4)&gt;0,MAX(AV4,BY4,DB4),0)</f>
        <v>59.400000000000006</v>
      </c>
      <c r="Q4" s="8" t="str">
        <f t="shared" ref="Q4:Q27" si="8">IF(P4=0,"",IF(P4=DB4,$CA$1,IF(P4=BY4,$AX$1,IF(P4=AV4,$U$1,""))))</f>
        <v>2023 Nationals</v>
      </c>
      <c r="R4" s="8" t="str">
        <f t="shared" ref="R4:R27" si="9">IF(MAX(DD4:DF4)&gt;0,MAX(DD4:DF4),"")</f>
        <v/>
      </c>
      <c r="S4" s="11" t="str">
        <f t="shared" ref="S4:S27" si="10">IF(R4="","",IF(R4=DD4,"("&amp;DD$2&amp;")",IF(R4=DE4,"("&amp;DE$2&amp;")",IF(R4=DF4,"("&amp;DF$2&amp;")"))))</f>
        <v/>
      </c>
      <c r="T4" s="8" t="str">
        <f t="shared" ref="T4:T27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 t="shared" ref="AP4:AP27" si="12">IF(SUM(V4,Z4)&gt;0,SUM(V4,Z4),"")</f>
        <v>20.8</v>
      </c>
      <c r="AQ4" s="41">
        <f t="shared" ref="AQ4:AQ27" si="13">IF(SUM(U4:V4,X4:Z4,AB4)-W4-AA4&gt;0,SUM(U4:V4,X4:Z4,AB4)-W4-AA4,"")</f>
        <v>58.699999999999996</v>
      </c>
      <c r="AR4" s="41">
        <f t="shared" ref="AR4:AR27" si="14">IF(SUM(AC4:AD4,AF4)-AE4&gt;0,SUM(AC4:AD4,AF4)-AE4,"")</f>
        <v>27.6</v>
      </c>
      <c r="AS4" s="41">
        <f t="shared" ref="AS4:AS27" si="15">IF(SUM(V4,Z4,AD4)&gt;0,SUM(V4,Z4,AD4),"")</f>
        <v>29.200000000000003</v>
      </c>
      <c r="AT4" s="41">
        <f t="shared" ref="AT4:AT27" si="16">IF(SUM(AQ4,AR4)&gt;0,SUM(AQ4,AR4),"")</f>
        <v>86.3</v>
      </c>
      <c r="AU4" s="41">
        <f t="shared" ref="AU4:AU27" si="17">IF(SUM(AH4,AL4)&gt;0,SUM(AH4,AL4),"")</f>
        <v>20.8</v>
      </c>
      <c r="AV4" s="41">
        <f t="shared" ref="AV4:AV27" si="18">IF(SUM(AG4:AH4,AJ4:AL4,AN4)-SUM(AI4,AM4)&gt;0,SUM(AG4:AH4,AJ4:AL4,AN4)-SUM(AI4,AM4),"")</f>
        <v>58.800000000000004</v>
      </c>
      <c r="AW4" s="41">
        <f t="shared" ref="AW4:AW27" si="19"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 t="shared" ref="BS4:BS27" si="20">IF(SUM(AY4,BC4)&gt;0,SUM(AY4,BC4),"")</f>
        <v>21.1</v>
      </c>
      <c r="BT4" s="11">
        <f t="shared" ref="BT4:BT27" si="21">IF(SUM(AX4:AY4,BA4:BC4,BE4)-AZ4-BD4&gt;0,SUM(AX4:AY4,BA4:BC4,BE4)-AZ4-BD4,"")</f>
        <v>60.5</v>
      </c>
      <c r="BU4" s="11">
        <f t="shared" ref="BU4:BU27" si="22">IF(SUM(BF4:BG4,BI4)-BH4&gt;0,SUM(BF4:BG4,BI4)-BH4,"")</f>
        <v>27.7</v>
      </c>
      <c r="BV4" s="11">
        <f t="shared" ref="BV4:BV27" si="23">IF(SUM(AY4,BC4,BG4)&gt;0,SUM(AY4,BC4,BG4),"")</f>
        <v>30.400000000000002</v>
      </c>
      <c r="BW4" s="11">
        <f t="shared" ref="BW4:BW27" si="24">IF(SUM(BT4,BU4)&gt;0,SUM(BT4,BU4),"")</f>
        <v>88.2</v>
      </c>
      <c r="BX4" s="11">
        <f t="shared" ref="BX4:BX27" si="25">IF(SUM(BK4,BO4)&gt;0,SUM(BK4,BO4),"")</f>
        <v>22.7</v>
      </c>
      <c r="BY4" s="11">
        <f t="shared" ref="BY4:BY27" si="26">IF(SUM(BJ4:BK4,BM4:BO4,BQ4)-SUM(BL4,BP4)&gt;0,SUM(BJ4:BK4,BM4:BO4,BQ4)-SUM(BL4,BP4),"")</f>
        <v>59.400000000000006</v>
      </c>
      <c r="BZ4" s="11">
        <f t="shared" ref="BZ4:BZ27" si="27"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 t="shared" ref="CV4:CV27" si="28">IF(SUM(CB4,CF4)&gt;0,SUM(CB4,CF4),"")</f>
        <v>18.100000000000001</v>
      </c>
      <c r="CW4" s="41">
        <f t="shared" ref="CW4:CW27" si="29">IF(SUM(CA4:CB4,CD4:CF4,CH4)-CC4-CG4&gt;0,SUM(CA4:CB4,CD4:CF4,CH4)-CC4-CG4,"")</f>
        <v>55.7</v>
      </c>
      <c r="CX4" s="41">
        <f t="shared" ref="CX4:CX27" si="30">IF(SUM(CI4:CJ4,CL4)-CK4&gt;0,SUM(CI4:CJ4,CL4)-CK4,"")</f>
        <v>29.4</v>
      </c>
      <c r="CY4" s="41">
        <f t="shared" ref="CY4:CY27" si="31">IF(SUM(CB4,CF4,CJ4)&gt;0,SUM(CB4,CF4,CJ4),"")</f>
        <v>29.200000000000003</v>
      </c>
      <c r="CZ4" s="41">
        <f t="shared" ref="CZ4:CZ27" si="32">IF(SUM(CW4,CX4)&gt;0,SUM(CW4,CX4),"")</f>
        <v>85.1</v>
      </c>
      <c r="DA4" s="41">
        <f t="shared" ref="DA4:DA27" si="33">IF(SUM(CN4,CR4)&gt;0,SUM(CN4,CR4),"")</f>
        <v>20.8</v>
      </c>
      <c r="DB4" s="41">
        <f t="shared" ref="DB4:DB27" si="34">IF(SUM(CM4:CN4,CP4:CR4,CT4)-SUM(CO4,CS4)&gt;0,SUM(CM4:CN4,CP4:CR4,CT4)-SUM(CO4,CS4),"")</f>
        <v>58.1</v>
      </c>
      <c r="DC4" s="41">
        <f t="shared" ref="DC4:DC27" si="35">IF(SUM(CW4,CX4,DB4)&gt;0,SUM(CW4,CX4,DB4),"")</f>
        <v>143.19999999999999</v>
      </c>
      <c r="DD4" s="52" t="str">
        <f t="shared" ref="DD4:DD27" si="36">IF(MAX(EB4,FD4,GF4,HH4,IJ4,JL4,KN4,LP4,MR4,NT4,OV4,PX4)-IF(L4="",0,L4)&gt;0.001,MAX(EB4,FD4,GF4,HH4,IJ4,JL4,KN4,LP4,MR4,NT4,OV4,PX4)-IF(L4="",0,L4),"")</f>
        <v/>
      </c>
      <c r="DE4" s="52" t="str">
        <f t="shared" ref="DE4:DE27" si="37">IF(MAX(EC4,FE4,GG4,HI4,IK4,JM4,KO4,LQ4,MS4,NU4,OW4,PY4)-IF(N4="",0,N4)&gt;0.001,MAX(EC4,FE4,GG4,HI4,IK4,JM4,KO4,LQ4,MS4,NU4,OW4,PY4)-IF(N4="",0,N4),"")</f>
        <v/>
      </c>
      <c r="DF4" s="52" t="str">
        <f t="shared" ref="DF4:DF27" si="38"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 t="shared" ref="EA4:EA27" si="39">IF(SUM(DH4,DL4)&gt;0,SUM(DH4,DL4),"")</f>
        <v>17.600000000000001</v>
      </c>
      <c r="EB4" s="41">
        <f t="shared" ref="EB4:EB27" si="40">IF(SUM(DG4:DH4,DJ4:DL4,DN4)-DI4-DM4&gt;0,SUM(DG4:DH4,DJ4:DL4,DN4)-DI4-DM4,"")</f>
        <v>54.8</v>
      </c>
      <c r="EC4" s="41">
        <f t="shared" ref="EC4:EC27" si="41">IF(SUM(DO4:DP4,DR4)-DQ4&gt;0,SUM(DO4:DP4,DR4)-DQ4,"")</f>
        <v>28.2</v>
      </c>
      <c r="ED4" s="41">
        <f t="shared" ref="ED4:ED27" si="42">IF(SUM(DH4,DL4,DP4)&gt;0,SUM(DH4,DL4,DP4),"")</f>
        <v>28.400000000000002</v>
      </c>
      <c r="EE4" s="41">
        <f t="shared" ref="EE4:EE27" si="43">IF(SUM(EB4,EC4)&gt;0,SUM(EB4,EC4),"")</f>
        <v>83</v>
      </c>
      <c r="EF4" s="41">
        <f t="shared" ref="EF4:EF27" si="44">IF(SUM(DT4,DX4)&gt;0,SUM(DT4,DX4),"")</f>
        <v>20.8</v>
      </c>
      <c r="EG4" s="41">
        <f t="shared" ref="EG4:EG27" si="45">IF(SUM(DS4:DT4,DV4:DX4,DZ4)-SUM(DU4,DY4)&gt;0,SUM(DS4:DT4,DV4:DX4,DZ4)-SUM(DU4,DY4),"")</f>
        <v>57.4</v>
      </c>
      <c r="EH4" s="41">
        <f t="shared" ref="EH4:EH27" si="46">IF(SUM(EB4,EC4,EG4)&gt;0,SUM(EB4,EC4,EG4),"")</f>
        <v>140.4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 t="shared" ref="FC4:FC27" si="47">IF(SUM(EJ4,EN4)&gt;0,SUM(EJ4,EN4),"")</f>
        <v/>
      </c>
      <c r="FD4" s="11" t="str">
        <f t="shared" ref="FD4:FD27" si="48">IF(SUM(EI4:EJ4,EL4:EN4,EP4)-EK4-EO4&gt;0,SUM(EI4:EJ4,EL4:EN4,EP4)-EK4-EO4,"")</f>
        <v/>
      </c>
      <c r="FE4" s="11" t="str">
        <f t="shared" ref="FE4:FE27" si="49">IF(SUM(EQ4:ER4,ET4)-ES4&gt;0,SUM(EQ4:ER4,ET4)-ES4,"")</f>
        <v/>
      </c>
      <c r="FF4" s="11" t="str">
        <f t="shared" ref="FF4:FF27" si="50">IF(SUM(EJ4,EN4,ER4)&gt;0,SUM(EJ4,EN4,ER4),"")</f>
        <v/>
      </c>
      <c r="FG4" s="11" t="str">
        <f t="shared" ref="FG4:FG27" si="51">IF(SUM(FD4,FE4)&gt;0,SUM(FD4,FE4),"")</f>
        <v/>
      </c>
      <c r="FH4" s="11">
        <f t="shared" ref="FH4:FH27" si="52">IF(SUM(EV4,EZ4)&gt;0,SUM(EV4,EZ4),"")</f>
        <v>10</v>
      </c>
      <c r="FI4" s="11">
        <f t="shared" ref="FI4:FI27" si="53">IF(SUM(EU4:EV4,EX4:EZ4,FB4)-SUM(EW4,FA4)&gt;0,SUM(EU4:EV4,EX4:EZ4,FB4)-SUM(EW4,FA4),"")</f>
        <v>28.5</v>
      </c>
      <c r="FJ4" s="11">
        <f t="shared" ref="FJ4:FJ27" si="54">IF(SUM(FD4,FE4,FI4)&gt;0,SUM(FD4,FE4,FI4),"")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 t="shared" ref="GE4:GE27" si="55">IF(SUM(FL4,FP4)&gt;0,SUM(FL4,FP4),"")</f>
        <v/>
      </c>
      <c r="GF4" s="41" t="str">
        <f t="shared" ref="GF4:GF27" si="56">IF(SUM(FK4:FL4,FN4:FP4,FR4)-FM4-FQ4&gt;0,SUM(FK4:FL4,FN4:FP4,FR4)-FM4-FQ4,"")</f>
        <v/>
      </c>
      <c r="GG4" s="41" t="str">
        <f t="shared" ref="GG4:GG27" si="57">IF(SUM(FS4:FT4,FV4)-FU4&gt;0,SUM(FS4:FT4,FV4)-FU4,"")</f>
        <v/>
      </c>
      <c r="GH4" s="41" t="str">
        <f t="shared" ref="GH4:GH27" si="58">IF(SUM(FL4,FP4,FT4)&gt;0,SUM(FL4,FP4,FT4),"")</f>
        <v/>
      </c>
      <c r="GI4" s="41" t="str">
        <f t="shared" ref="GI4:GI27" si="59">IF(SUM(GF4,GG4)&gt;0,SUM(GF4,GG4),"")</f>
        <v/>
      </c>
      <c r="GJ4" s="41">
        <f t="shared" ref="GJ4:GJ27" si="60">IF(SUM(FX4,GB4)&gt;0,SUM(FX4,GB4),"")</f>
        <v>10.8</v>
      </c>
      <c r="GK4" s="41">
        <f t="shared" ref="GK4:GK27" si="61">IF(SUM(FW4:FX4,FZ4:GB4,GD4)-SUM(FY4,GC4)&gt;0,SUM(FW4:FX4,FZ4:GB4,GD4)-SUM(FY4,GC4),"")</f>
        <v>28.2</v>
      </c>
      <c r="GL4" s="41">
        <f t="shared" ref="GL4:GL27" si="62">IF(SUM(GF4,GG4,GK4)&gt;0,SUM(GF4,GG4,GK4),"")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7" si="63">IF(SUM(GN4,GR4)&gt;0,SUM(GN4,GR4),"")</f>
        <v/>
      </c>
      <c r="HH4" s="11" t="str">
        <f t="shared" ref="HH4:HH27" si="64">IF(SUM(GM4:GN4,GP4:GR4,GT4)-GO4-GS4&gt;0,SUM(GM4:GN4,GP4:GR4,GT4)-GO4-GS4,"")</f>
        <v/>
      </c>
      <c r="HI4" s="11" t="str">
        <f t="shared" ref="HI4:HI27" si="65">IF(SUM(GU4:GV4,GX4)-GW4&gt;0,SUM(GU4:GV4,GX4)-GW4,"")</f>
        <v/>
      </c>
      <c r="HJ4" s="11" t="str">
        <f t="shared" ref="HJ4:HJ27" si="66">IF(SUM(GN4,GR4,GV4)&gt;0,SUM(GN4,GR4,GV4),"")</f>
        <v/>
      </c>
      <c r="HK4" s="11" t="str">
        <f t="shared" ref="HK4:HK27" si="67">IF(SUM(HH4,HI4)&gt;0,SUM(HH4,HI4),"")</f>
        <v/>
      </c>
      <c r="HL4" s="11" t="str">
        <f t="shared" ref="HL4:HL27" si="68">IF(SUM(GZ4,HD4)&gt;0,SUM(GZ4,HD4),"")</f>
        <v/>
      </c>
      <c r="HM4" s="11" t="str">
        <f t="shared" ref="HM4:HM27" si="69">IF(SUM(GY4:GZ4,HB4:HD4,HF4)-SUM(HA4,HE4)&gt;0,SUM(GY4:GZ4,HB4:HD4,HF4)-SUM(HA4,HE4),"")</f>
        <v/>
      </c>
      <c r="HN4" s="11" t="str">
        <f t="shared" ref="HN4:HN27" si="70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27" si="71">IF(SUM(HP4,HT4)&gt;0,SUM(HP4,HT4),"")</f>
        <v/>
      </c>
      <c r="IJ4" s="41" t="str">
        <f t="shared" ref="IJ4:IJ27" si="72">IF(SUM(HO4:HP4,HR4:HT4,HV4)-HQ4-HU4&gt;0,SUM(HO4:HP4,HR4:HT4,HV4)-HQ4-HU4,"")</f>
        <v/>
      </c>
      <c r="IK4" s="41" t="str">
        <f t="shared" ref="IK4:IK27" si="73">IF(SUM(HW4:HX4,HZ4)-HY4&gt;0,SUM(HW4:HX4,HZ4)-HY4,"")</f>
        <v/>
      </c>
      <c r="IL4" s="41" t="str">
        <f t="shared" ref="IL4:IL27" si="74">IF(SUM(HP4,HT4,HX4)&gt;0,SUM(HP4,HT4,HX4),"")</f>
        <v/>
      </c>
      <c r="IM4" s="41" t="str">
        <f t="shared" ref="IM4:IM27" si="75">IF(SUM(IJ4,IK4)&gt;0,SUM(IJ4,IK4),"")</f>
        <v/>
      </c>
      <c r="IN4" s="41" t="str">
        <f t="shared" ref="IN4:IN27" si="76">IF(SUM(IB4,IF4)&gt;0,SUM(IB4,IF4),"")</f>
        <v/>
      </c>
      <c r="IO4" s="41" t="str">
        <f t="shared" ref="IO4:IO27" si="77">IF(SUM(IA4:IB4,ID4:IF4,IH4)-SUM(IC4,IG4)&gt;0,SUM(IA4:IB4,ID4:IF4,IH4)-SUM(IC4,IG4),"")</f>
        <v/>
      </c>
      <c r="IP4" s="41" t="str">
        <f t="shared" ref="IP4:IP27" si="78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7" si="79">IF(SUM(IR4,IV4)&gt;0,SUM(IR4,IV4),"")</f>
        <v/>
      </c>
      <c r="JL4" s="11" t="str">
        <f t="shared" ref="JL4:JL27" si="80">IF(SUM(IQ4:IR4,IT4:IV4,IX4)-IS4-IW4&gt;0,SUM(IQ4:IR4,IT4:IV4,IX4)-IS4-IW4,"")</f>
        <v/>
      </c>
      <c r="JM4" s="11" t="str">
        <f t="shared" ref="JM4:JM27" si="81">IF(SUM(IY4:IZ4,JB4)-JA4&gt;0,SUM(IY4:IZ4,JB4)-JA4,"")</f>
        <v/>
      </c>
      <c r="JN4" s="11" t="str">
        <f t="shared" ref="JN4:JN27" si="82">IF(SUM(IR4,IV4,IZ4)&gt;0,SUM(IR4,IV4,IZ4),"")</f>
        <v/>
      </c>
      <c r="JO4" s="11" t="str">
        <f t="shared" ref="JO4:JO27" si="83">IF(SUM(JL4,JM4)&gt;0,SUM(JL4,JM4),"")</f>
        <v/>
      </c>
      <c r="JP4" s="11" t="str">
        <f t="shared" ref="JP4:JP27" si="84">IF(SUM(JD4,JH4)&gt;0,SUM(JD4,JH4),"")</f>
        <v/>
      </c>
      <c r="JQ4" s="11" t="str">
        <f t="shared" ref="JQ4:JQ27" si="85">IF(SUM(JC4:JD4,JF4:JH4,JJ4)-SUM(JE4,JI4)&gt;0,SUM(JC4:JD4,JF4:JH4,JJ4)-SUM(JE4,JI4),"")</f>
        <v/>
      </c>
      <c r="JR4" s="11" t="str">
        <f t="shared" ref="JR4:JR27" si="86">IF(SUM(JL4,JM4,JQ4)&gt;0,SUM(JL4,JM4,JQ4),"")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 t="shared" ref="KM4:KM27" si="87">IF(SUM(JT4,JX4)&gt;0,SUM(JT4,JX4),"")</f>
        <v>20.8</v>
      </c>
      <c r="KN4" s="41">
        <f t="shared" ref="KN4:KN27" si="88">IF(SUM(JS4:JT4,JV4:JX4,JZ4)-JU4-JY4&gt;0,SUM(JS4:JT4,JV4:JX4,JZ4)-JU4-JY4,"")</f>
        <v>57.499999999999993</v>
      </c>
      <c r="KO4" s="41" t="str">
        <f t="shared" ref="KO4:KO27" si="89">IF(SUM(KA4:KB4,KD4)-KC4&gt;0,SUM(KA4:KB4,KD4)-KC4,"")</f>
        <v/>
      </c>
      <c r="KP4" s="41">
        <f t="shared" ref="KP4:KP27" si="90">IF(SUM(JT4,JX4,KB4)&gt;0,SUM(JT4,JX4,KB4),"")</f>
        <v>20.8</v>
      </c>
      <c r="KQ4" s="41">
        <f t="shared" ref="KQ4:KQ27" si="91">IF(SUM(KN4,KO4)&gt;0,SUM(KN4,KO4),"")</f>
        <v>57.499999999999993</v>
      </c>
      <c r="KR4" s="41">
        <f t="shared" ref="KR4:KR27" si="92">IF(SUM(KF4,KJ4)&gt;0,SUM(KF4,KJ4),"")</f>
        <v>21.1</v>
      </c>
      <c r="KS4" s="41">
        <f t="shared" ref="KS4:KS27" si="93">IF(SUM(KE4:KF4,KH4:KJ4,KL4)-SUM(KG4,KK4)&gt;0,SUM(KE4:KF4,KH4:KJ4,KL4)-SUM(KG4,KK4),"")</f>
        <v>57.8</v>
      </c>
      <c r="KT4" s="41">
        <f t="shared" ref="KT4:KT27" si="94">IF(SUM(KN4,KO4,KS4)&gt;0,SUM(KN4,KO4,KS4),"")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 t="shared" ref="LO4:LO27" si="95">IF(SUM(KV4,KZ4)&gt;0,SUM(KV4,KZ4),"")</f>
        <v>20.8</v>
      </c>
      <c r="LP4" s="11">
        <f t="shared" ref="LP4:LP27" si="96">IF(SUM(KU4:KV4,KX4:KZ4,LB4)-KW4-LA4&gt;0,SUM(KU4:KV4,KX4:KZ4,LB4)-KW4-LA4,"")</f>
        <v>57</v>
      </c>
      <c r="LQ4" s="11" t="str">
        <f t="shared" ref="LQ4:LQ27" si="97">IF(SUM(LC4:LD4,LF4)-LE4&gt;0,SUM(LC4:LD4,LF4)-LE4,"")</f>
        <v/>
      </c>
      <c r="LR4" s="11">
        <f t="shared" ref="LR4:LR27" si="98">IF(SUM(KV4,KZ4,LD4)&gt;0,SUM(KV4,KZ4,LD4),"")</f>
        <v>20.8</v>
      </c>
      <c r="LS4" s="11">
        <f t="shared" ref="LS4:LS27" si="99">IF(SUM(LP4,LQ4)&gt;0,SUM(LP4,LQ4),"")</f>
        <v>57</v>
      </c>
      <c r="LT4" s="11">
        <f t="shared" ref="LT4:LT27" si="100">IF(SUM(LH4,LL4)&gt;0,SUM(LH4,LL4),"")</f>
        <v>21.1</v>
      </c>
      <c r="LU4" s="11">
        <f t="shared" ref="LU4:LU27" si="101">IF(SUM(LG4:LH4,LJ4:LL4,LN4)-SUM(LI4,LM4)&gt;0,SUM(LG4:LH4,LJ4:LL4,LN4)-SUM(LI4,LM4),"")</f>
        <v>57.20000000000001</v>
      </c>
      <c r="LV4" s="11">
        <f t="shared" ref="LV4:LV27" si="102">IF(SUM(LP4,LQ4,LU4)&gt;0,SUM(LP4,LQ4,LU4),"")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>
        <f t="shared" ref="MQ4:MQ27" si="103">IF(SUM(LX4,MB4)&gt;0,SUM(LX4,MB4),"")</f>
        <v>15.1</v>
      </c>
      <c r="MR4" s="41">
        <f t="shared" ref="MR4:MR27" si="104">IF(SUM(LW4:LX4,LZ4:MB4,MD4)-LY4-MC4&gt;0,SUM(LW4:LX4,LZ4:MB4,MD4)-LY4-MC4,"")</f>
        <v>50.3</v>
      </c>
      <c r="MS4" s="41" t="str">
        <f t="shared" ref="MS4:MS27" si="105">IF(SUM(ME4:MF4,MH4)-MG4&gt;0,SUM(ME4:MF4,MH4)-MG4,"")</f>
        <v/>
      </c>
      <c r="MT4" s="41">
        <f t="shared" ref="MT4:MT27" si="106">IF(SUM(LX4,MB4,MF4)&gt;0,SUM(LX4,MB4,MF4),"")</f>
        <v>15.1</v>
      </c>
      <c r="MU4" s="41">
        <f t="shared" ref="MU4:MU27" si="107">IF(SUM(MR4,MS4)&gt;0,SUM(MR4,MS4),"")</f>
        <v>50.3</v>
      </c>
      <c r="MV4" s="41" t="str">
        <f t="shared" ref="MV4:MV27" si="108">IF(SUM(MJ4,MN4)&gt;0,SUM(MJ4,MN4),"")</f>
        <v/>
      </c>
      <c r="MW4" s="41" t="str">
        <f t="shared" ref="MW4:MW27" si="109">IF(SUM(MI4:MJ4,ML4:MN4,MP4)-SUM(MK4,MO4)&gt;0,SUM(MI4:MJ4,ML4:MN4,MP4)-SUM(MK4,MO4),"")</f>
        <v/>
      </c>
      <c r="MX4" s="41">
        <f t="shared" ref="MX4:MX27" si="110">IF(SUM(MR4,MS4,MW4)&gt;0,SUM(MR4,MS4,MW4),"")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7" si="111">IF(SUM(MZ4,ND4)&gt;0,SUM(MZ4,ND4),"")</f>
        <v/>
      </c>
      <c r="NT4" s="11" t="str">
        <f t="shared" ref="NT4:NT27" si="112">IF(SUM(MY4:MZ4,NB4:ND4,NF4)-NA4-NE4&gt;0,SUM(MY4:MZ4,NB4:ND4,NF4)-NA4-NE4,"")</f>
        <v/>
      </c>
      <c r="NU4" s="11" t="str">
        <f t="shared" ref="NU4:NU27" si="113">IF(SUM(NG4:NH4,NJ4)-NI4&gt;0,SUM(NG4:NH4,NJ4)-NI4,"")</f>
        <v/>
      </c>
      <c r="NV4" s="11" t="str">
        <f t="shared" ref="NV4:NV27" si="114">IF(SUM(MZ4,ND4,NH4)&gt;0,SUM(MZ4,ND4,NH4),"")</f>
        <v/>
      </c>
      <c r="NW4" s="11" t="str">
        <f t="shared" ref="NW4:NW27" si="115">IF(SUM(NT4,NU4)&gt;0,SUM(NT4,NU4),"")</f>
        <v/>
      </c>
      <c r="NX4" s="11" t="str">
        <f t="shared" ref="NX4:NX27" si="116">IF(SUM(NL4,NP4)&gt;0,SUM(NL4,NP4),"")</f>
        <v/>
      </c>
      <c r="NY4" s="11" t="str">
        <f t="shared" ref="NY4:NY27" si="117">IF(SUM(NK4:NL4,NN4:NP4,NR4)-SUM(NM4,NQ4)&gt;0,SUM(NK4:NL4,NN4:NP4,NR4)-SUM(NM4,NQ4),"")</f>
        <v/>
      </c>
      <c r="NZ4" s="11" t="str">
        <f t="shared" ref="NZ4:NZ27" si="118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7" si="119">IF(SUM(OB4,OF4)&gt;0,SUM(OB4,OF4),"")</f>
        <v/>
      </c>
      <c r="OV4" s="41" t="str">
        <f t="shared" ref="OV4:OV27" si="120">IF(SUM(OA4:OB4,OD4:OF4,OH4)-OC4-OG4&gt;0,SUM(OA4:OB4,OD4:OF4,OH4)-OC4-OG4,"")</f>
        <v/>
      </c>
      <c r="OW4" s="41" t="str">
        <f t="shared" ref="OW4:OW27" si="121">IF(SUM(OI4:OJ4,OL4)-OK4&gt;0,SUM(OI4:OJ4,OL4)-OK4,"")</f>
        <v/>
      </c>
      <c r="OX4" s="41" t="str">
        <f t="shared" ref="OX4:OX27" si="122">IF(SUM(OB4,OF4,OJ4)&gt;0,SUM(OB4,OF4,OJ4),"")</f>
        <v/>
      </c>
      <c r="OY4" s="41" t="str">
        <f t="shared" ref="OY4:OY27" si="123">IF(SUM(OV4,OW4)&gt;0,SUM(OV4,OW4),"")</f>
        <v/>
      </c>
      <c r="OZ4" s="41" t="str">
        <f t="shared" ref="OZ4:OZ27" si="124">IF(SUM(ON4,OR4)&gt;0,SUM(ON4,OR4),"")</f>
        <v/>
      </c>
      <c r="PA4" s="41" t="str">
        <f t="shared" ref="PA4:PA27" si="125">IF(SUM(OM4:ON4,OP4:OR4,OT4)-SUM(OO4,OS4)&gt;0,SUM(OM4:ON4,OP4:OR4,OT4)-SUM(OO4,OS4),"")</f>
        <v/>
      </c>
      <c r="PB4" s="41" t="str">
        <f t="shared" ref="PB4:PB27" si="126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7" si="127">IF(SUM(PD4,PH4)&gt;0,SUM(PD4,PH4),"")</f>
        <v/>
      </c>
      <c r="PX4" s="11" t="str">
        <f t="shared" ref="PX4:PX27" si="128">IF(SUM(PC4:PD4,PF4:PH4,PJ4)-PE4-PI4&gt;0,SUM(PC4:PD4,PF4:PH4,PJ4)-PE4-PI4,"")</f>
        <v/>
      </c>
      <c r="PY4" s="11" t="str">
        <f t="shared" ref="PY4:PY27" si="129">IF(SUM(PK4:PL4,PN4)-PM4&gt;0,SUM(PK4:PL4,PN4)-PM4,"")</f>
        <v/>
      </c>
      <c r="PZ4" s="11" t="str">
        <f t="shared" ref="PZ4:PZ27" si="130">IF(SUM(PD4,PH4,PL4)&gt;0,SUM(PD4,PH4,PL4),"")</f>
        <v/>
      </c>
      <c r="QA4" s="11" t="str">
        <f t="shared" ref="QA4:QA27" si="131">IF(SUM(PX4,PY4)&gt;0,SUM(PX4,PY4),"")</f>
        <v/>
      </c>
      <c r="QB4" s="11" t="str">
        <f t="shared" ref="QB4:QB27" si="132">IF(SUM(PP4,PT4)&gt;0,SUM(PP4,PT4),"")</f>
        <v/>
      </c>
      <c r="QC4" s="11" t="str">
        <f t="shared" ref="QC4:QC27" si="133">IF(SUM(PO4:PP4,PR4:PT4,PV4)-SUM(PQ4,PU4)&gt;0,SUM(PO4:PP4,PR4:PT4,PV4)-SUM(PQ4,PU4),"")</f>
        <v/>
      </c>
      <c r="QD4" s="11" t="str">
        <f t="shared" ref="QD4:QD27" si="134">IF(SUM(PX4,PY4,QC4)&gt;0,SUM(PX4,PY4,QC4),"")</f>
        <v/>
      </c>
      <c r="QE4" s="23">
        <f t="shared" ref="QE4:QE27" si="135">IF($CU4="P",CA4,(CA4+AX4)/2)</f>
        <v>19.2</v>
      </c>
      <c r="QF4" s="23">
        <f t="shared" ref="QF4:QF27" si="136">IF($CU4="P",CB4,(CB4+AY4)/2)</f>
        <v>10</v>
      </c>
      <c r="QG4" s="23">
        <f t="shared" ref="QG4:QG27" si="137">IF($CU4="P",CC4,(CC4+AZ4)/2)</f>
        <v>0.3</v>
      </c>
      <c r="QH4" s="23">
        <f t="shared" ref="QH4:QH27" si="138">IF($CU4="P",CD4,(CD4+BA4)/2)</f>
        <v>0.6</v>
      </c>
      <c r="QI4" s="23">
        <f t="shared" ref="QI4:QI27" si="139">IF($CU4="P",CE4,(CE4+BB4)/2)</f>
        <v>18.8</v>
      </c>
      <c r="QJ4" s="23">
        <f t="shared" ref="QJ4:QJ27" si="140">IF($CU4="P",CF4,(CF4+BC4)/2)</f>
        <v>9.6</v>
      </c>
      <c r="QK4" s="23">
        <f t="shared" ref="QK4:QK27" si="141">IF($CU4="P",CG4,(CG4+BD4)/2)</f>
        <v>0.1</v>
      </c>
      <c r="QL4" s="23">
        <f t="shared" ref="QL4:QL27" si="142">IF($CU4="P",CH4,(CH4+BE4)/2)</f>
        <v>0.3</v>
      </c>
      <c r="QM4" s="23">
        <f t="shared" ref="QM4:QM27" si="143">IF($CU4="P",CI4,(CI4+BF4)/2)</f>
        <v>18.5</v>
      </c>
      <c r="QN4" s="23">
        <f t="shared" ref="QN4:QN27" si="144">IF($CU4="P",CJ4,(CJ4+BG4)/2)</f>
        <v>10.199999999999999</v>
      </c>
      <c r="QO4" s="23">
        <f t="shared" ref="QO4:QO27" si="145">IF($CU4="P",CK4,(CK4+BH4)/2)</f>
        <v>0.6</v>
      </c>
      <c r="QP4" s="23">
        <f t="shared" ref="QP4:QP27" si="146">IF($CU4="P",CL4,(CL4+BI4)/2)</f>
        <v>0.44999999999999996</v>
      </c>
      <c r="QQ4" s="23">
        <f t="shared" ref="QQ4:QQ27" si="147">IF($CU4="P",CM4,(CM4+BJ4)/2)</f>
        <v>18.3</v>
      </c>
      <c r="QR4" s="23">
        <f t="shared" ref="QR4:QR27" si="148">IF($CU4="P",CN4,(CN4+BK4)/2)</f>
        <v>10.8</v>
      </c>
      <c r="QS4" s="23">
        <f t="shared" ref="QS4:QS27" si="149">IF($CU4="P",CO4,(CO4+BL4)/2)</f>
        <v>0.8</v>
      </c>
      <c r="QT4" s="23">
        <f t="shared" ref="QT4:QT27" si="150">IF($CU4="P",CP4,(CP4+BM4)/2)</f>
        <v>0.44999999999999996</v>
      </c>
      <c r="QU4" s="23">
        <f t="shared" ref="QU4:QU27" si="151">IF($CU4="P",CQ4,(CQ4+BN4)/2)</f>
        <v>18.75</v>
      </c>
      <c r="QV4" s="23">
        <f t="shared" ref="QV4:QV27" si="152">IF($CU4="P",CR4,(CR4+BO4)/2)</f>
        <v>10.95</v>
      </c>
      <c r="QW4" s="23">
        <f t="shared" ref="QW4:QW27" si="153">IF($CU4="P",CS4,(CS4+BP4)/2)</f>
        <v>0.3</v>
      </c>
      <c r="QX4" s="23">
        <f t="shared" ref="QX4:QX27" si="154">IF($CU4="P",CT4,(CT4+BQ4)/2)</f>
        <v>0.6</v>
      </c>
      <c r="QY4" s="28" t="s">
        <v>57</v>
      </c>
      <c r="QZ4" s="41">
        <f t="shared" ref="QZ4:QZ27" si="155">IF(SUM(QF4,QJ4)&gt;0,SUM(QF4,QJ4),"")</f>
        <v>19.600000000000001</v>
      </c>
      <c r="RA4" s="41">
        <f t="shared" ref="RA4:RA27" si="156">IF(SUM(QE4:QF4,QH4:QJ4,QL4)-QG4-QK4&gt;0,SUM(QE4:QF4,QH4:QJ4,QL4)-QG4-QK4,"")</f>
        <v>58.1</v>
      </c>
      <c r="RB4" s="41">
        <f t="shared" ref="RB4:RB27" si="157">IF(SUM(QM4:QN4,QP4)-QO4&gt;0,SUM(QM4:QN4,QP4)-QO4,"")</f>
        <v>28.549999999999997</v>
      </c>
      <c r="RC4" s="41">
        <f t="shared" ref="RC4:RC27" si="158">IF(SUM(QF4,QJ4,QN4)&gt;0,SUM(QF4,QJ4,QN4),"")</f>
        <v>29.8</v>
      </c>
      <c r="RD4" s="41">
        <f t="shared" ref="RD4:RD27" si="159">IF(SUM(RA4,RB4)&gt;0,SUM(RA4,RB4),"")</f>
        <v>86.65</v>
      </c>
      <c r="RE4" s="41">
        <f t="shared" ref="RE4:RE27" si="160">IF(SUM(QR4,QV4)&gt;0,SUM(QR4,QV4),"")</f>
        <v>21.75</v>
      </c>
      <c r="RF4" s="41">
        <f t="shared" ref="RF4:RF27" si="161">IF(SUM(QQ4:QR4,QT4:QV4,QX4)-SUM(QS4,QW4)&gt;0,SUM(QQ4:QR4,QT4:QV4,QX4)-SUM(QS4,QW4),"")</f>
        <v>58.75</v>
      </c>
      <c r="RG4" s="41">
        <f t="shared" ref="RG4:RG27" si="162">IF(SUM(RA4,RB4,RF4)&gt;0,SUM(RA4,RB4,RF4),"")</f>
        <v>145.4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87</v>
      </c>
      <c r="C5" s="4" t="s">
        <v>5</v>
      </c>
      <c r="D5" s="4">
        <v>2003</v>
      </c>
      <c r="E5" s="9">
        <f t="shared" ref="E5:E27" si="163">SUM(J5:R5)+SUM(J5:O5)*0.0000001+SUM(J5)*0.0000000000001</f>
        <v>186.90001313000539</v>
      </c>
      <c r="F5" s="3" t="str">
        <f t="shared" si="0"/>
        <v>P</v>
      </c>
      <c r="G5" s="3" t="str">
        <f t="shared" si="1"/>
        <v>P</v>
      </c>
      <c r="H5" s="37" t="str">
        <f t="shared" si="2"/>
        <v>Excellence</v>
      </c>
      <c r="I5" s="3" t="str">
        <f t="shared" si="3"/>
        <v>P</v>
      </c>
      <c r="J5" s="8">
        <f>IF(COUNT(AQ5,BT5,CW5)&gt;0,LARGE((AQ5,BT5,CW5),1),0)</f>
        <v>53.6</v>
      </c>
      <c r="K5" s="8" t="str">
        <f t="shared" si="4"/>
        <v>2023 Nationals</v>
      </c>
      <c r="L5" s="8">
        <f>IF(COUNT(AQ5,BT5,CW5)&gt;1,LARGE((AQ5,BT5,CW5),2),0)</f>
        <v>50.9</v>
      </c>
      <c r="M5" s="8" t="str">
        <f t="shared" si="5"/>
        <v>2023 Domestic 3rd Trial</v>
      </c>
      <c r="N5" s="8">
        <f>IF(COUNT(AR5,BU5,CX5)&gt;0,LARGE((AR5,BU5,CX5),1),0)</f>
        <v>26.8</v>
      </c>
      <c r="O5" s="8" t="str">
        <f t="shared" si="6"/>
        <v>2023 Domestic 3rd Trial</v>
      </c>
      <c r="P5" s="8">
        <f t="shared" si="7"/>
        <v>52.199999999999989</v>
      </c>
      <c r="Q5" s="8" t="str">
        <f t="shared" si="8"/>
        <v>2023 Domestic 3rd Trial</v>
      </c>
      <c r="R5" s="8">
        <f t="shared" si="9"/>
        <v>3.3999999999999986</v>
      </c>
      <c r="S5" s="11" t="str">
        <f t="shared" si="10"/>
        <v>(Q1)</v>
      </c>
      <c r="T5" s="8" t="str">
        <f t="shared" si="11"/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 t="shared" si="12"/>
        <v>16</v>
      </c>
      <c r="AQ5" s="41">
        <f t="shared" si="13"/>
        <v>50.800000000000004</v>
      </c>
      <c r="AR5" s="41">
        <f t="shared" si="14"/>
        <v>26.7</v>
      </c>
      <c r="AS5" s="41">
        <f t="shared" si="15"/>
        <v>23.6</v>
      </c>
      <c r="AT5" s="41">
        <f t="shared" si="16"/>
        <v>77.5</v>
      </c>
      <c r="AU5" s="41">
        <f t="shared" si="17"/>
        <v>14.8</v>
      </c>
      <c r="AV5" s="41">
        <f t="shared" si="18"/>
        <v>51.3</v>
      </c>
      <c r="AW5" s="41">
        <f t="shared" si="19"/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 t="shared" si="20"/>
        <v>16.799999999999997</v>
      </c>
      <c r="BT5" s="11">
        <f t="shared" si="21"/>
        <v>53.6</v>
      </c>
      <c r="BU5" s="11">
        <f t="shared" si="22"/>
        <v>26.499999999999996</v>
      </c>
      <c r="BV5" s="11">
        <f t="shared" si="23"/>
        <v>25.199999999999996</v>
      </c>
      <c r="BW5" s="11">
        <f t="shared" si="24"/>
        <v>80.099999999999994</v>
      </c>
      <c r="BX5" s="11">
        <f t="shared" si="25"/>
        <v>14.8</v>
      </c>
      <c r="BY5" s="11">
        <f t="shared" si="26"/>
        <v>50.9</v>
      </c>
      <c r="BZ5" s="11">
        <f t="shared" si="27"/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 t="shared" si="28"/>
        <v>14.8</v>
      </c>
      <c r="CW5" s="41">
        <f t="shared" si="29"/>
        <v>50.9</v>
      </c>
      <c r="CX5" s="41">
        <f t="shared" si="30"/>
        <v>26.8</v>
      </c>
      <c r="CY5" s="41">
        <f t="shared" si="31"/>
        <v>23.6</v>
      </c>
      <c r="CZ5" s="41">
        <f t="shared" si="32"/>
        <v>77.7</v>
      </c>
      <c r="DA5" s="41">
        <f t="shared" si="33"/>
        <v>16.8</v>
      </c>
      <c r="DB5" s="41">
        <f t="shared" si="34"/>
        <v>52.199999999999989</v>
      </c>
      <c r="DC5" s="41">
        <f t="shared" si="35"/>
        <v>129.89999999999998</v>
      </c>
      <c r="DD5" s="52">
        <f t="shared" si="36"/>
        <v>3.3999999999999986</v>
      </c>
      <c r="DE5" s="52" t="str">
        <f t="shared" si="37"/>
        <v/>
      </c>
      <c r="DF5" s="52">
        <f t="shared" si="38"/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 t="shared" si="39"/>
        <v>15.6</v>
      </c>
      <c r="EB5" s="41">
        <f t="shared" si="40"/>
        <v>52.2</v>
      </c>
      <c r="EC5" s="41" t="str">
        <f t="shared" si="41"/>
        <v/>
      </c>
      <c r="ED5" s="41">
        <f t="shared" si="42"/>
        <v>15.6</v>
      </c>
      <c r="EE5" s="41">
        <f t="shared" si="43"/>
        <v>52.2</v>
      </c>
      <c r="EF5" s="41" t="str">
        <f t="shared" si="44"/>
        <v/>
      </c>
      <c r="EG5" s="41" t="str">
        <f t="shared" si="45"/>
        <v/>
      </c>
      <c r="EH5" s="41">
        <f t="shared" si="46"/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>
        <f t="shared" si="52"/>
        <v>5.6</v>
      </c>
      <c r="FI5" s="11">
        <f t="shared" si="53"/>
        <v>23.299999999999997</v>
      </c>
      <c r="FJ5" s="11">
        <f t="shared" si="54"/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5"/>
        <v/>
      </c>
      <c r="GF5" s="41" t="str">
        <f t="shared" si="56"/>
        <v/>
      </c>
      <c r="GG5" s="41" t="str">
        <f t="shared" si="57"/>
        <v/>
      </c>
      <c r="GH5" s="41" t="str">
        <f t="shared" si="58"/>
        <v/>
      </c>
      <c r="GI5" s="41" t="str">
        <f t="shared" si="59"/>
        <v/>
      </c>
      <c r="GJ5" s="41" t="str">
        <f t="shared" si="60"/>
        <v/>
      </c>
      <c r="GK5" s="41" t="str">
        <f t="shared" si="61"/>
        <v/>
      </c>
      <c r="GL5" s="41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1"/>
        <v/>
      </c>
      <c r="IJ5" s="41" t="str">
        <f t="shared" si="72"/>
        <v/>
      </c>
      <c r="IK5" s="41" t="str">
        <f t="shared" si="73"/>
        <v/>
      </c>
      <c r="IL5" s="41" t="str">
        <f t="shared" si="74"/>
        <v/>
      </c>
      <c r="IM5" s="41" t="str">
        <f t="shared" si="75"/>
        <v/>
      </c>
      <c r="IN5" s="41" t="str">
        <f t="shared" si="76"/>
        <v/>
      </c>
      <c r="IO5" s="41" t="str">
        <f t="shared" si="77"/>
        <v/>
      </c>
      <c r="IP5" s="41" t="str">
        <f t="shared" si="78"/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79"/>
        <v>6.8000000000000007</v>
      </c>
      <c r="JL5" s="11">
        <f t="shared" si="80"/>
        <v>41.4</v>
      </c>
      <c r="JM5" s="11" t="str">
        <f t="shared" si="81"/>
        <v/>
      </c>
      <c r="JN5" s="11">
        <f t="shared" si="82"/>
        <v>6.8000000000000007</v>
      </c>
      <c r="JO5" s="11">
        <f t="shared" si="83"/>
        <v>41.4</v>
      </c>
      <c r="JP5" s="11" t="str">
        <f t="shared" si="84"/>
        <v/>
      </c>
      <c r="JQ5" s="11" t="str">
        <f t="shared" si="85"/>
        <v/>
      </c>
      <c r="JR5" s="11">
        <f t="shared" si="86"/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1">
        <f t="shared" si="87"/>
        <v>16.8</v>
      </c>
      <c r="KN5" s="41">
        <f t="shared" si="88"/>
        <v>54.3</v>
      </c>
      <c r="KO5" s="41" t="str">
        <f t="shared" si="89"/>
        <v/>
      </c>
      <c r="KP5" s="41">
        <f t="shared" si="90"/>
        <v>16.8</v>
      </c>
      <c r="KQ5" s="41">
        <f t="shared" si="91"/>
        <v>54.3</v>
      </c>
      <c r="KR5" s="41">
        <f t="shared" si="92"/>
        <v>17.2</v>
      </c>
      <c r="KS5" s="41">
        <f t="shared" si="93"/>
        <v>53.6</v>
      </c>
      <c r="KT5" s="41">
        <f t="shared" si="94"/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 t="shared" si="95"/>
        <v>16.8</v>
      </c>
      <c r="LP5" s="11">
        <f t="shared" si="96"/>
        <v>51.4</v>
      </c>
      <c r="LQ5" s="11" t="str">
        <f t="shared" si="97"/>
        <v/>
      </c>
      <c r="LR5" s="11">
        <f t="shared" si="98"/>
        <v>16.8</v>
      </c>
      <c r="LS5" s="11">
        <f t="shared" si="99"/>
        <v>51.4</v>
      </c>
      <c r="LT5" s="11" t="str">
        <f t="shared" si="100"/>
        <v/>
      </c>
      <c r="LU5" s="11" t="str">
        <f t="shared" si="101"/>
        <v/>
      </c>
      <c r="LV5" s="11">
        <f t="shared" si="102"/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1">
        <f t="shared" si="103"/>
        <v>16</v>
      </c>
      <c r="MR5" s="41">
        <f t="shared" si="104"/>
        <v>51.9</v>
      </c>
      <c r="MS5" s="41" t="str">
        <f t="shared" si="105"/>
        <v/>
      </c>
      <c r="MT5" s="41">
        <f t="shared" si="106"/>
        <v>16</v>
      </c>
      <c r="MU5" s="41">
        <f t="shared" si="107"/>
        <v>51.9</v>
      </c>
      <c r="MV5" s="41">
        <f t="shared" si="108"/>
        <v>17.600000000000001</v>
      </c>
      <c r="MW5" s="41">
        <f t="shared" si="109"/>
        <v>53.4</v>
      </c>
      <c r="MX5" s="41">
        <f t="shared" si="110"/>
        <v>105.3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18.649999999999999</v>
      </c>
      <c r="QF5" s="23">
        <f t="shared" si="136"/>
        <v>7.4</v>
      </c>
      <c r="QG5" s="23">
        <f t="shared" si="137"/>
        <v>0.6</v>
      </c>
      <c r="QH5" s="23">
        <f t="shared" si="138"/>
        <v>0</v>
      </c>
      <c r="QI5" s="23">
        <f t="shared" si="139"/>
        <v>18.25</v>
      </c>
      <c r="QJ5" s="23">
        <f t="shared" si="140"/>
        <v>8.3999999999999986</v>
      </c>
      <c r="QK5" s="23">
        <f t="shared" si="141"/>
        <v>0</v>
      </c>
      <c r="QL5" s="23">
        <f t="shared" si="142"/>
        <v>0.15</v>
      </c>
      <c r="QM5" s="23">
        <f t="shared" si="143"/>
        <v>18.45</v>
      </c>
      <c r="QN5" s="23">
        <f t="shared" si="144"/>
        <v>8.6000000000000014</v>
      </c>
      <c r="QO5" s="23">
        <f t="shared" si="145"/>
        <v>0.7</v>
      </c>
      <c r="QP5" s="23">
        <f t="shared" si="146"/>
        <v>0.3</v>
      </c>
      <c r="QQ5" s="23">
        <f t="shared" si="147"/>
        <v>18.5</v>
      </c>
      <c r="QR5" s="23">
        <f t="shared" si="148"/>
        <v>7.6</v>
      </c>
      <c r="QS5" s="23">
        <f t="shared" si="149"/>
        <v>1</v>
      </c>
      <c r="QT5" s="23">
        <f t="shared" si="150"/>
        <v>0</v>
      </c>
      <c r="QU5" s="23">
        <f t="shared" si="151"/>
        <v>18.55</v>
      </c>
      <c r="QV5" s="23">
        <f t="shared" si="152"/>
        <v>8.1999999999999993</v>
      </c>
      <c r="QW5" s="23">
        <f t="shared" si="153"/>
        <v>0.6</v>
      </c>
      <c r="QX5" s="23">
        <f t="shared" si="154"/>
        <v>0.3</v>
      </c>
      <c r="QY5" s="28" t="s">
        <v>57</v>
      </c>
      <c r="QZ5" s="41">
        <f t="shared" si="155"/>
        <v>15.799999999999999</v>
      </c>
      <c r="RA5" s="41">
        <f t="shared" si="156"/>
        <v>52.249999999999993</v>
      </c>
      <c r="RB5" s="41">
        <f t="shared" si="157"/>
        <v>26.650000000000002</v>
      </c>
      <c r="RC5" s="41">
        <f t="shared" si="158"/>
        <v>24.4</v>
      </c>
      <c r="RD5" s="41">
        <f t="shared" si="159"/>
        <v>78.899999999999991</v>
      </c>
      <c r="RE5" s="41">
        <f t="shared" si="160"/>
        <v>15.799999999999999</v>
      </c>
      <c r="RF5" s="41">
        <f t="shared" si="161"/>
        <v>51.550000000000004</v>
      </c>
      <c r="RG5" s="41">
        <f t="shared" si="162"/>
        <v>130.44999999999999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79</v>
      </c>
      <c r="C6" s="4" t="s">
        <v>3</v>
      </c>
      <c r="D6" s="4">
        <v>2003</v>
      </c>
      <c r="E6" s="9">
        <f t="shared" si="163"/>
        <v>186.80001300000518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51.5</v>
      </c>
      <c r="K6" s="8" t="str">
        <f t="shared" si="4"/>
        <v>2023 Domestic 3rd Trial</v>
      </c>
      <c r="L6" s="8">
        <f>IF(COUNT(AQ6,BT6,CW6)&gt;1,LARGE((AQ6,BT6,CW6),2),0)</f>
        <v>51.199999999999989</v>
      </c>
      <c r="M6" s="8" t="str">
        <f t="shared" si="5"/>
        <v>2023 Nationals</v>
      </c>
      <c r="N6" s="8">
        <f>IF(COUNT(AR6,BU6,CX6)&gt;0,LARGE((AR6,BU6,CX6),1),0)</f>
        <v>27.3</v>
      </c>
      <c r="O6" s="8" t="str">
        <f t="shared" si="6"/>
        <v>2023 Domestic 3rd Trial</v>
      </c>
      <c r="P6" s="8">
        <f t="shared" si="7"/>
        <v>52.600000000000009</v>
      </c>
      <c r="Q6" s="8" t="str">
        <f t="shared" si="8"/>
        <v>2023 Domestic 3rd Trial</v>
      </c>
      <c r="R6" s="8">
        <f t="shared" si="9"/>
        <v>4.2000000000000171</v>
      </c>
      <c r="S6" s="11" t="str">
        <f t="shared" si="10"/>
        <v>(Q1)</v>
      </c>
      <c r="T6" s="8" t="str">
        <f t="shared" si="11"/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 t="shared" si="12"/>
        <v/>
      </c>
      <c r="AQ6" s="41" t="str">
        <f t="shared" si="13"/>
        <v/>
      </c>
      <c r="AR6" s="41" t="str">
        <f t="shared" si="14"/>
        <v/>
      </c>
      <c r="AS6" s="41" t="str">
        <f t="shared" si="15"/>
        <v/>
      </c>
      <c r="AT6" s="41" t="str">
        <f t="shared" si="16"/>
        <v/>
      </c>
      <c r="AU6" s="41" t="str">
        <f t="shared" si="17"/>
        <v/>
      </c>
      <c r="AV6" s="41" t="str">
        <f t="shared" si="18"/>
        <v/>
      </c>
      <c r="AW6" s="41" t="str">
        <f t="shared" si="19"/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 t="shared" si="20"/>
        <v>14</v>
      </c>
      <c r="BT6" s="11">
        <f t="shared" si="21"/>
        <v>51.199999999999989</v>
      </c>
      <c r="BU6" s="11">
        <f t="shared" si="22"/>
        <v>21.200000000000003</v>
      </c>
      <c r="BV6" s="11">
        <f t="shared" si="23"/>
        <v>17.600000000000001</v>
      </c>
      <c r="BW6" s="11">
        <f t="shared" si="24"/>
        <v>72.399999999999991</v>
      </c>
      <c r="BX6" s="11" t="str">
        <f t="shared" si="25"/>
        <v/>
      </c>
      <c r="BY6" s="11" t="str">
        <f t="shared" si="26"/>
        <v/>
      </c>
      <c r="BZ6" s="11">
        <f t="shared" si="27"/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 t="shared" si="28"/>
        <v>16.399999999999999</v>
      </c>
      <c r="CW6" s="41">
        <f t="shared" si="29"/>
        <v>51.5</v>
      </c>
      <c r="CX6" s="41">
        <f t="shared" si="30"/>
        <v>27.3</v>
      </c>
      <c r="CY6" s="41">
        <f t="shared" si="31"/>
        <v>24.799999999999997</v>
      </c>
      <c r="CZ6" s="41">
        <f t="shared" si="32"/>
        <v>78.8</v>
      </c>
      <c r="DA6" s="41">
        <f t="shared" si="33"/>
        <v>15.6</v>
      </c>
      <c r="DB6" s="41">
        <f t="shared" si="34"/>
        <v>52.600000000000009</v>
      </c>
      <c r="DC6" s="41">
        <f t="shared" si="35"/>
        <v>131.4</v>
      </c>
      <c r="DD6" s="52">
        <f t="shared" si="36"/>
        <v>4.2000000000000171</v>
      </c>
      <c r="DE6" s="52" t="str">
        <f t="shared" si="37"/>
        <v/>
      </c>
      <c r="DF6" s="52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9"/>
        <v/>
      </c>
      <c r="EB6" s="41" t="str">
        <f t="shared" si="40"/>
        <v/>
      </c>
      <c r="EC6" s="41" t="str">
        <f t="shared" si="41"/>
        <v/>
      </c>
      <c r="ED6" s="41" t="str">
        <f t="shared" si="42"/>
        <v/>
      </c>
      <c r="EE6" s="41" t="str">
        <f t="shared" si="43"/>
        <v/>
      </c>
      <c r="EF6" s="41" t="str">
        <f t="shared" si="44"/>
        <v/>
      </c>
      <c r="EG6" s="41" t="str">
        <f t="shared" si="45"/>
        <v/>
      </c>
      <c r="EH6" s="41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1"/>
        <v/>
      </c>
      <c r="IJ6" s="41" t="str">
        <f t="shared" si="72"/>
        <v/>
      </c>
      <c r="IK6" s="41" t="str">
        <f t="shared" si="73"/>
        <v/>
      </c>
      <c r="IL6" s="41" t="str">
        <f t="shared" si="74"/>
        <v/>
      </c>
      <c r="IM6" s="41" t="str">
        <f t="shared" si="75"/>
        <v/>
      </c>
      <c r="IN6" s="41" t="str">
        <f t="shared" si="76"/>
        <v/>
      </c>
      <c r="IO6" s="41" t="str">
        <f t="shared" si="77"/>
        <v/>
      </c>
      <c r="IP6" s="41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 t="str">
        <f t="shared" si="92"/>
        <v/>
      </c>
      <c r="KS6" s="41" t="str">
        <f t="shared" si="93"/>
        <v/>
      </c>
      <c r="KT6" s="41" t="str">
        <f t="shared" si="94"/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 t="shared" si="95"/>
        <v>18.399999999999999</v>
      </c>
      <c r="LP6" s="11">
        <f t="shared" si="96"/>
        <v>55.400000000000006</v>
      </c>
      <c r="LQ6" s="11" t="str">
        <f t="shared" si="97"/>
        <v/>
      </c>
      <c r="LR6" s="11">
        <f t="shared" si="98"/>
        <v>18.399999999999999</v>
      </c>
      <c r="LS6" s="11">
        <f t="shared" si="99"/>
        <v>55.400000000000006</v>
      </c>
      <c r="LT6" s="11">
        <f t="shared" si="100"/>
        <v>10</v>
      </c>
      <c r="LU6" s="11">
        <f t="shared" si="101"/>
        <v>27.799999999999997</v>
      </c>
      <c r="LV6" s="11">
        <f t="shared" si="102"/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18.149999999999999</v>
      </c>
      <c r="QF6" s="23">
        <f t="shared" si="136"/>
        <v>8.6</v>
      </c>
      <c r="QG6" s="23">
        <f t="shared" si="137"/>
        <v>0.6</v>
      </c>
      <c r="QH6" s="23">
        <f t="shared" si="138"/>
        <v>0.3</v>
      </c>
      <c r="QI6" s="23">
        <f t="shared" si="139"/>
        <v>18.350000000000001</v>
      </c>
      <c r="QJ6" s="23">
        <f t="shared" si="140"/>
        <v>6.6</v>
      </c>
      <c r="QK6" s="23">
        <f t="shared" si="141"/>
        <v>0.2</v>
      </c>
      <c r="QL6" s="23">
        <f t="shared" si="142"/>
        <v>0.15</v>
      </c>
      <c r="QM6" s="23">
        <f t="shared" si="143"/>
        <v>18.3</v>
      </c>
      <c r="QN6" s="23">
        <f t="shared" si="144"/>
        <v>6</v>
      </c>
      <c r="QO6" s="23">
        <f t="shared" si="145"/>
        <v>0.2</v>
      </c>
      <c r="QP6" s="23">
        <f t="shared" si="146"/>
        <v>0.15</v>
      </c>
      <c r="QQ6" s="23">
        <f t="shared" si="147"/>
        <v>9.5500000000000007</v>
      </c>
      <c r="QR6" s="23">
        <f t="shared" si="148"/>
        <v>4</v>
      </c>
      <c r="QS6" s="23">
        <f t="shared" si="149"/>
        <v>0.3</v>
      </c>
      <c r="QT6" s="23">
        <f t="shared" si="150"/>
        <v>0.15</v>
      </c>
      <c r="QU6" s="23">
        <f t="shared" si="151"/>
        <v>9.5</v>
      </c>
      <c r="QV6" s="23">
        <f t="shared" si="152"/>
        <v>3.8</v>
      </c>
      <c r="QW6" s="23">
        <f t="shared" si="153"/>
        <v>0.4</v>
      </c>
      <c r="QX6" s="23">
        <f t="shared" si="154"/>
        <v>0</v>
      </c>
      <c r="QY6" s="28" t="s">
        <v>57</v>
      </c>
      <c r="QZ6" s="41">
        <f t="shared" si="155"/>
        <v>15.2</v>
      </c>
      <c r="RA6" s="41">
        <f t="shared" si="156"/>
        <v>51.35</v>
      </c>
      <c r="RB6" s="41">
        <f t="shared" si="157"/>
        <v>24.25</v>
      </c>
      <c r="RC6" s="41">
        <f t="shared" si="158"/>
        <v>21.2</v>
      </c>
      <c r="RD6" s="41">
        <f t="shared" si="159"/>
        <v>75.599999999999994</v>
      </c>
      <c r="RE6" s="41">
        <f t="shared" si="160"/>
        <v>7.8</v>
      </c>
      <c r="RF6" s="41">
        <f t="shared" si="161"/>
        <v>26.300000000000004</v>
      </c>
      <c r="RG6" s="41">
        <f t="shared" si="162"/>
        <v>101.9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 t="shared" si="163"/>
        <v>185.40001324000536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53.400000000000006</v>
      </c>
      <c r="K7" s="8" t="str">
        <f t="shared" si="4"/>
        <v>2023 Domestic 3rd Trial</v>
      </c>
      <c r="L7" s="8">
        <f>IF(COUNT(AQ7,BT7,CW7)&gt;1,LARGE((AQ7,BT7,CW7),2),0)</f>
        <v>53.300000000000004</v>
      </c>
      <c r="M7" s="8" t="str">
        <f t="shared" si="5"/>
        <v>2023 Nationals</v>
      </c>
      <c r="N7" s="8">
        <f>IF(COUNT(AR7,BU7,CX7)&gt;0,LARGE((AR7,BU7,CX7),1),0)</f>
        <v>25.700000000000003</v>
      </c>
      <c r="O7" s="8" t="str">
        <f t="shared" si="6"/>
        <v>2023 Elite Canada</v>
      </c>
      <c r="P7" s="8">
        <f t="shared" si="7"/>
        <v>53</v>
      </c>
      <c r="Q7" s="8" t="str">
        <f t="shared" si="8"/>
        <v>2023 Domestic 3rd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 t="shared" si="12"/>
        <v>14.8</v>
      </c>
      <c r="AQ7" s="41">
        <f t="shared" si="13"/>
        <v>51.3</v>
      </c>
      <c r="AR7" s="41">
        <f t="shared" si="14"/>
        <v>25.700000000000003</v>
      </c>
      <c r="AS7" s="41">
        <f t="shared" si="15"/>
        <v>22.1</v>
      </c>
      <c r="AT7" s="41">
        <f t="shared" si="16"/>
        <v>77</v>
      </c>
      <c r="AU7" s="41">
        <f t="shared" si="17"/>
        <v>12</v>
      </c>
      <c r="AV7" s="41">
        <f t="shared" si="18"/>
        <v>47.4</v>
      </c>
      <c r="AW7" s="41">
        <f t="shared" si="19"/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 t="shared" si="20"/>
        <v>15.600000000000001</v>
      </c>
      <c r="BT7" s="11">
        <f t="shared" si="21"/>
        <v>53.300000000000004</v>
      </c>
      <c r="BU7" s="11">
        <f t="shared" si="22"/>
        <v>20.900000000000002</v>
      </c>
      <c r="BV7" s="11">
        <f t="shared" si="23"/>
        <v>21</v>
      </c>
      <c r="BW7" s="11">
        <f t="shared" si="24"/>
        <v>74.2</v>
      </c>
      <c r="BX7" s="11">
        <f t="shared" si="25"/>
        <v>15.600000000000001</v>
      </c>
      <c r="BY7" s="11">
        <f t="shared" si="26"/>
        <v>52.7</v>
      </c>
      <c r="BZ7" s="11">
        <f t="shared" si="27"/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 t="shared" si="28"/>
        <v>15.600000000000001</v>
      </c>
      <c r="CW7" s="41">
        <f t="shared" si="29"/>
        <v>53.400000000000006</v>
      </c>
      <c r="CX7" s="41">
        <f t="shared" si="30"/>
        <v>25.299999999999997</v>
      </c>
      <c r="CY7" s="41">
        <f t="shared" si="31"/>
        <v>22</v>
      </c>
      <c r="CZ7" s="41">
        <f t="shared" si="32"/>
        <v>78.7</v>
      </c>
      <c r="DA7" s="41">
        <f t="shared" si="33"/>
        <v>16.5</v>
      </c>
      <c r="DB7" s="41">
        <f t="shared" si="34"/>
        <v>53</v>
      </c>
      <c r="DC7" s="41">
        <f t="shared" si="35"/>
        <v>131.69999999999999</v>
      </c>
      <c r="DD7" s="52" t="str">
        <f t="shared" si="36"/>
        <v/>
      </c>
      <c r="DE7" s="52" t="str">
        <f t="shared" si="37"/>
        <v/>
      </c>
      <c r="DF7" s="52" t="str">
        <f t="shared" si="38"/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 t="shared" si="39"/>
        <v>14.8</v>
      </c>
      <c r="EB7" s="41">
        <f t="shared" si="40"/>
        <v>50.3</v>
      </c>
      <c r="EC7" s="41" t="str">
        <f t="shared" si="41"/>
        <v/>
      </c>
      <c r="ED7" s="41">
        <f t="shared" si="42"/>
        <v>14.8</v>
      </c>
      <c r="EE7" s="41">
        <f t="shared" si="43"/>
        <v>50.3</v>
      </c>
      <c r="EF7" s="41" t="str">
        <f t="shared" si="44"/>
        <v/>
      </c>
      <c r="EG7" s="41" t="str">
        <f t="shared" si="45"/>
        <v/>
      </c>
      <c r="EH7" s="41">
        <f t="shared" si="46"/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1"/>
        <v/>
      </c>
      <c r="IJ7" s="41" t="str">
        <f t="shared" si="72"/>
        <v/>
      </c>
      <c r="IK7" s="41" t="str">
        <f t="shared" si="73"/>
        <v/>
      </c>
      <c r="IL7" s="41" t="str">
        <f t="shared" si="74"/>
        <v/>
      </c>
      <c r="IM7" s="41" t="str">
        <f t="shared" si="75"/>
        <v/>
      </c>
      <c r="IN7" s="41" t="str">
        <f t="shared" si="76"/>
        <v/>
      </c>
      <c r="IO7" s="41" t="str">
        <f t="shared" si="77"/>
        <v/>
      </c>
      <c r="IP7" s="41" t="str">
        <f t="shared" si="78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7"/>
        <v/>
      </c>
      <c r="KN7" s="41" t="str">
        <f t="shared" si="88"/>
        <v/>
      </c>
      <c r="KO7" s="41" t="str">
        <f t="shared" si="89"/>
        <v/>
      </c>
      <c r="KP7" s="41" t="str">
        <f t="shared" si="90"/>
        <v/>
      </c>
      <c r="KQ7" s="41" t="str">
        <f t="shared" si="91"/>
        <v/>
      </c>
      <c r="KR7" s="41" t="str">
        <f t="shared" si="92"/>
        <v/>
      </c>
      <c r="KS7" s="41" t="str">
        <f t="shared" si="93"/>
        <v/>
      </c>
      <c r="KT7" s="41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18.8</v>
      </c>
      <c r="QF7" s="23">
        <f t="shared" si="136"/>
        <v>8.4</v>
      </c>
      <c r="QG7" s="23">
        <f t="shared" si="137"/>
        <v>0</v>
      </c>
      <c r="QH7" s="23">
        <f t="shared" si="138"/>
        <v>0</v>
      </c>
      <c r="QI7" s="23">
        <f t="shared" si="139"/>
        <v>18.95</v>
      </c>
      <c r="QJ7" s="23">
        <f t="shared" si="140"/>
        <v>7.2</v>
      </c>
      <c r="QK7" s="23">
        <f t="shared" si="141"/>
        <v>0</v>
      </c>
      <c r="QL7" s="23">
        <f t="shared" si="142"/>
        <v>0</v>
      </c>
      <c r="QM7" s="23">
        <f t="shared" si="143"/>
        <v>17.75</v>
      </c>
      <c r="QN7" s="23">
        <f t="shared" si="144"/>
        <v>5.9</v>
      </c>
      <c r="QO7" s="23">
        <f t="shared" si="145"/>
        <v>0.7</v>
      </c>
      <c r="QP7" s="23">
        <f t="shared" si="146"/>
        <v>0.15</v>
      </c>
      <c r="QQ7" s="23">
        <f t="shared" si="147"/>
        <v>18.8</v>
      </c>
      <c r="QR7" s="23">
        <f t="shared" si="148"/>
        <v>8.1999999999999993</v>
      </c>
      <c r="QS7" s="23">
        <f t="shared" si="149"/>
        <v>0</v>
      </c>
      <c r="QT7" s="23">
        <f t="shared" si="150"/>
        <v>0</v>
      </c>
      <c r="QU7" s="23">
        <f t="shared" si="151"/>
        <v>18.7</v>
      </c>
      <c r="QV7" s="23">
        <f t="shared" si="152"/>
        <v>7.85</v>
      </c>
      <c r="QW7" s="23">
        <f t="shared" si="153"/>
        <v>0.7</v>
      </c>
      <c r="QX7" s="23">
        <f t="shared" si="154"/>
        <v>0</v>
      </c>
      <c r="QY7" s="28" t="s">
        <v>57</v>
      </c>
      <c r="QZ7" s="41">
        <f t="shared" si="155"/>
        <v>15.600000000000001</v>
      </c>
      <c r="RA7" s="41">
        <f t="shared" si="156"/>
        <v>53.350000000000009</v>
      </c>
      <c r="RB7" s="41">
        <f t="shared" si="157"/>
        <v>23.099999999999998</v>
      </c>
      <c r="RC7" s="41">
        <f t="shared" si="158"/>
        <v>21.5</v>
      </c>
      <c r="RD7" s="41">
        <f t="shared" si="159"/>
        <v>76.45</v>
      </c>
      <c r="RE7" s="41">
        <f t="shared" si="160"/>
        <v>16.049999999999997</v>
      </c>
      <c r="RF7" s="41">
        <f t="shared" si="161"/>
        <v>52.85</v>
      </c>
      <c r="RG7" s="41">
        <f t="shared" si="162"/>
        <v>129.30000000000001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132</v>
      </c>
      <c r="C8" s="4" t="s">
        <v>5</v>
      </c>
      <c r="D8" s="4">
        <v>2004</v>
      </c>
      <c r="E8" s="9">
        <f t="shared" si="163"/>
        <v>185.00001247000512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51.4</v>
      </c>
      <c r="K8" s="8" t="str">
        <f t="shared" si="4"/>
        <v>2023 Domestic 3rd Trial</v>
      </c>
      <c r="L8" s="8">
        <f>IF(COUNT(AQ8,BT8,CW8)&gt;1,LARGE((AQ8,BT8,CW8),2),0)</f>
        <v>46.4</v>
      </c>
      <c r="M8" s="8" t="str">
        <f t="shared" si="5"/>
        <v>2023 Elite Canada</v>
      </c>
      <c r="N8" s="8">
        <f>IF(COUNT(AR8,BU8,CX8)&gt;0,LARGE((AR8,BU8,CX8),1),0)</f>
        <v>26.9</v>
      </c>
      <c r="O8" s="8" t="str">
        <f t="shared" si="6"/>
        <v>2023 Domestic 3rd Trial</v>
      </c>
      <c r="P8" s="8">
        <f t="shared" si="7"/>
        <v>54.29999999999999</v>
      </c>
      <c r="Q8" s="8" t="str">
        <f t="shared" si="8"/>
        <v>2023 Domestic 3rd Trial</v>
      </c>
      <c r="R8" s="8">
        <f t="shared" si="9"/>
        <v>5.9999999999999929</v>
      </c>
      <c r="S8" s="11" t="str">
        <f t="shared" si="10"/>
        <v>(Q1)</v>
      </c>
      <c r="T8" s="8" t="str">
        <f t="shared" si="11"/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2"/>
        <v>10.4</v>
      </c>
      <c r="AQ8" s="41">
        <f t="shared" si="13"/>
        <v>46.4</v>
      </c>
      <c r="AR8" s="41">
        <f t="shared" si="14"/>
        <v>25.6</v>
      </c>
      <c r="AS8" s="41">
        <f t="shared" si="15"/>
        <v>19.3</v>
      </c>
      <c r="AT8" s="41">
        <f t="shared" si="16"/>
        <v>72</v>
      </c>
      <c r="AU8" s="41" t="str">
        <f t="shared" si="17"/>
        <v/>
      </c>
      <c r="AV8" s="41" t="str">
        <f t="shared" si="18"/>
        <v/>
      </c>
      <c r="AW8" s="41">
        <f t="shared" si="19"/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 t="shared" si="20"/>
        <v>9.1999999999999993</v>
      </c>
      <c r="BT8" s="11">
        <f t="shared" si="21"/>
        <v>26.5</v>
      </c>
      <c r="BU8" s="11">
        <f t="shared" si="22"/>
        <v>26.200000000000003</v>
      </c>
      <c r="BV8" s="11">
        <f t="shared" si="23"/>
        <v>17.299999999999997</v>
      </c>
      <c r="BW8" s="11">
        <f t="shared" si="24"/>
        <v>52.7</v>
      </c>
      <c r="BX8" s="11" t="str">
        <f t="shared" si="25"/>
        <v/>
      </c>
      <c r="BY8" s="11" t="str">
        <f t="shared" si="26"/>
        <v/>
      </c>
      <c r="BZ8" s="11">
        <f t="shared" si="27"/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 t="shared" si="28"/>
        <v>15.6</v>
      </c>
      <c r="CW8" s="41">
        <f t="shared" si="29"/>
        <v>51.4</v>
      </c>
      <c r="CX8" s="41">
        <f t="shared" si="30"/>
        <v>26.9</v>
      </c>
      <c r="CY8" s="41">
        <f t="shared" si="31"/>
        <v>23.6</v>
      </c>
      <c r="CZ8" s="41">
        <f t="shared" si="32"/>
        <v>78.3</v>
      </c>
      <c r="DA8" s="41">
        <f t="shared" si="33"/>
        <v>18.100000000000001</v>
      </c>
      <c r="DB8" s="41">
        <f t="shared" si="34"/>
        <v>54.29999999999999</v>
      </c>
      <c r="DC8" s="41">
        <f t="shared" si="35"/>
        <v>132.6</v>
      </c>
      <c r="DD8" s="52">
        <f t="shared" si="36"/>
        <v>5.9999999999999929</v>
      </c>
      <c r="DE8" s="52" t="str">
        <f t="shared" si="37"/>
        <v/>
      </c>
      <c r="DF8" s="52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39"/>
        <v/>
      </c>
      <c r="EB8" s="41" t="str">
        <f t="shared" si="40"/>
        <v/>
      </c>
      <c r="EC8" s="41" t="str">
        <f t="shared" si="41"/>
        <v/>
      </c>
      <c r="ED8" s="41" t="str">
        <f t="shared" si="42"/>
        <v/>
      </c>
      <c r="EE8" s="41" t="str">
        <f t="shared" si="43"/>
        <v/>
      </c>
      <c r="EF8" s="41" t="str">
        <f t="shared" si="44"/>
        <v/>
      </c>
      <c r="EG8" s="41" t="str">
        <f t="shared" si="45"/>
        <v/>
      </c>
      <c r="EH8" s="41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5"/>
        <v/>
      </c>
      <c r="GF8" s="41" t="str">
        <f t="shared" si="56"/>
        <v/>
      </c>
      <c r="GG8" s="41" t="str">
        <f t="shared" si="57"/>
        <v/>
      </c>
      <c r="GH8" s="41" t="str">
        <f t="shared" si="58"/>
        <v/>
      </c>
      <c r="GI8" s="41" t="str">
        <f t="shared" si="59"/>
        <v/>
      </c>
      <c r="GJ8" s="41" t="str">
        <f t="shared" si="60"/>
        <v/>
      </c>
      <c r="GK8" s="41" t="str">
        <f t="shared" si="61"/>
        <v/>
      </c>
      <c r="GL8" s="41" t="str">
        <f t="shared" si="62"/>
        <v/>
      </c>
      <c r="GM8" s="18">
        <v>18.7</v>
      </c>
      <c r="GN8" s="18">
        <v>8.4</v>
      </c>
      <c r="GO8" s="18">
        <v>0.8</v>
      </c>
      <c r="GP8" s="18">
        <v>0</v>
      </c>
      <c r="GQ8" s="18">
        <v>16.899999999999999</v>
      </c>
      <c r="GR8" s="18">
        <v>8</v>
      </c>
      <c r="GS8" s="18">
        <v>1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3"/>
        <v>16.399999999999999</v>
      </c>
      <c r="HH8" s="11">
        <f t="shared" si="64"/>
        <v>50.2</v>
      </c>
      <c r="HI8" s="11" t="str">
        <f t="shared" si="65"/>
        <v/>
      </c>
      <c r="HJ8" s="11">
        <f t="shared" si="66"/>
        <v>16.399999999999999</v>
      </c>
      <c r="HK8" s="11">
        <f t="shared" si="67"/>
        <v>50.2</v>
      </c>
      <c r="HL8" s="11" t="str">
        <f t="shared" si="68"/>
        <v/>
      </c>
      <c r="HM8" s="11" t="str">
        <f t="shared" si="69"/>
        <v/>
      </c>
      <c r="HN8" s="11">
        <f t="shared" si="70"/>
        <v>50.2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>
        <v>18.600000000000001</v>
      </c>
      <c r="IB8" s="17">
        <v>8</v>
      </c>
      <c r="IC8" s="17">
        <v>0.8</v>
      </c>
      <c r="ID8" s="17">
        <v>0</v>
      </c>
      <c r="IE8" s="17">
        <v>18.600000000000001</v>
      </c>
      <c r="IF8" s="17">
        <v>9.1999999999999993</v>
      </c>
      <c r="IG8" s="17">
        <v>0.6</v>
      </c>
      <c r="IH8" s="17">
        <v>0</v>
      </c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>
        <f t="shared" si="76"/>
        <v>17.2</v>
      </c>
      <c r="IO8" s="41">
        <f t="shared" si="77"/>
        <v>53.000000000000007</v>
      </c>
      <c r="IP8" s="41">
        <f t="shared" si="78"/>
        <v>53.000000000000007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>
        <v>18.600000000000001</v>
      </c>
      <c r="LX8" s="17">
        <v>9.1999999999999993</v>
      </c>
      <c r="LY8" s="17">
        <v>0.6</v>
      </c>
      <c r="LZ8" s="17">
        <v>0</v>
      </c>
      <c r="MA8" s="17">
        <v>16.5</v>
      </c>
      <c r="MB8" s="17">
        <v>8.9</v>
      </c>
      <c r="MC8" s="17">
        <v>0.2</v>
      </c>
      <c r="MD8" s="17">
        <v>0</v>
      </c>
      <c r="ME8" s="17"/>
      <c r="MF8" s="17"/>
      <c r="MG8" s="17"/>
      <c r="MH8" s="17"/>
      <c r="MI8" s="17">
        <v>18.7</v>
      </c>
      <c r="MJ8" s="17">
        <v>9.1999999999999993</v>
      </c>
      <c r="MK8" s="17">
        <v>0.8</v>
      </c>
      <c r="ML8" s="17">
        <v>0</v>
      </c>
      <c r="MM8" s="17">
        <v>0</v>
      </c>
      <c r="MN8" s="17">
        <v>0</v>
      </c>
      <c r="MO8" s="17">
        <v>0</v>
      </c>
      <c r="MP8" s="17">
        <v>0</v>
      </c>
      <c r="MQ8" s="41">
        <f t="shared" si="103"/>
        <v>18.100000000000001</v>
      </c>
      <c r="MR8" s="41">
        <f t="shared" si="104"/>
        <v>52.399999999999991</v>
      </c>
      <c r="MS8" s="41" t="str">
        <f t="shared" si="105"/>
        <v/>
      </c>
      <c r="MT8" s="41">
        <f t="shared" si="106"/>
        <v>18.100000000000001</v>
      </c>
      <c r="MU8" s="41">
        <f t="shared" si="107"/>
        <v>52.399999999999991</v>
      </c>
      <c r="MV8" s="41">
        <f t="shared" si="108"/>
        <v>9.1999999999999993</v>
      </c>
      <c r="MW8" s="41">
        <f t="shared" si="109"/>
        <v>27.099999999999998</v>
      </c>
      <c r="MX8" s="41">
        <f t="shared" si="110"/>
        <v>79.499999999999986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17.799999999999997</v>
      </c>
      <c r="QF8" s="23">
        <f t="shared" si="136"/>
        <v>8.3999999999999986</v>
      </c>
      <c r="QG8" s="23">
        <f t="shared" si="137"/>
        <v>0.6</v>
      </c>
      <c r="QH8" s="23">
        <f t="shared" si="138"/>
        <v>0.15</v>
      </c>
      <c r="QI8" s="23">
        <f t="shared" si="139"/>
        <v>9.5</v>
      </c>
      <c r="QJ8" s="23">
        <f t="shared" si="140"/>
        <v>4</v>
      </c>
      <c r="QK8" s="23">
        <f t="shared" si="141"/>
        <v>0.3</v>
      </c>
      <c r="QL8" s="23">
        <f t="shared" si="142"/>
        <v>0</v>
      </c>
      <c r="QM8" s="23">
        <f t="shared" si="143"/>
        <v>18.899999999999999</v>
      </c>
      <c r="QN8" s="23">
        <f t="shared" si="144"/>
        <v>8.0500000000000007</v>
      </c>
      <c r="QO8" s="23">
        <f t="shared" si="145"/>
        <v>0.7</v>
      </c>
      <c r="QP8" s="23">
        <f t="shared" si="146"/>
        <v>0.3</v>
      </c>
      <c r="QQ8" s="23">
        <f t="shared" si="147"/>
        <v>9.1999999999999993</v>
      </c>
      <c r="QR8" s="23">
        <f t="shared" si="148"/>
        <v>4.5999999999999996</v>
      </c>
      <c r="QS8" s="23">
        <f t="shared" si="149"/>
        <v>0.3</v>
      </c>
      <c r="QT8" s="23">
        <f t="shared" si="150"/>
        <v>0.15</v>
      </c>
      <c r="QU8" s="23">
        <f t="shared" si="151"/>
        <v>9.1999999999999993</v>
      </c>
      <c r="QV8" s="23">
        <f t="shared" si="152"/>
        <v>4.45</v>
      </c>
      <c r="QW8" s="23">
        <f t="shared" si="153"/>
        <v>0.3</v>
      </c>
      <c r="QX8" s="23">
        <f t="shared" si="154"/>
        <v>0.15</v>
      </c>
      <c r="QY8" s="28" t="s">
        <v>57</v>
      </c>
      <c r="QZ8" s="41">
        <f t="shared" si="155"/>
        <v>12.399999999999999</v>
      </c>
      <c r="RA8" s="41">
        <f t="shared" si="156"/>
        <v>38.949999999999996</v>
      </c>
      <c r="RB8" s="41">
        <f t="shared" si="157"/>
        <v>26.55</v>
      </c>
      <c r="RC8" s="41">
        <f t="shared" si="158"/>
        <v>20.45</v>
      </c>
      <c r="RD8" s="41">
        <f t="shared" si="159"/>
        <v>65.5</v>
      </c>
      <c r="RE8" s="41">
        <f t="shared" si="160"/>
        <v>9.0500000000000007</v>
      </c>
      <c r="RF8" s="41">
        <f t="shared" si="161"/>
        <v>27.149999999999995</v>
      </c>
      <c r="RG8" s="41">
        <f t="shared" si="162"/>
        <v>92.649999999999991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170</v>
      </c>
      <c r="C9" s="4" t="s">
        <v>169</v>
      </c>
      <c r="D9" s="4">
        <v>2002</v>
      </c>
      <c r="E9" s="9">
        <f t="shared" si="163"/>
        <v>182.50001297000529</v>
      </c>
      <c r="F9" s="3" t="str">
        <f t="shared" si="0"/>
        <v>P</v>
      </c>
      <c r="G9" s="3" t="str">
        <f t="shared" si="1"/>
        <v>P</v>
      </c>
      <c r="H9" s="37" t="str">
        <f t="shared" si="2"/>
        <v>Worlds Team</v>
      </c>
      <c r="I9" s="3" t="str">
        <f t="shared" si="3"/>
        <v>P</v>
      </c>
      <c r="J9" s="8">
        <f>IF(COUNT(AQ9,BT9,CW9)&gt;0,LARGE((AQ9,BT9,CW9),1),0)</f>
        <v>52.9</v>
      </c>
      <c r="K9" s="8" t="str">
        <f t="shared" si="4"/>
        <v>2023 Nationals</v>
      </c>
      <c r="L9" s="8">
        <f>IF(COUNT(AQ9,BT9,CW9)&gt;1,LARGE((AQ9,BT9,CW9),2),0)</f>
        <v>51.4</v>
      </c>
      <c r="M9" s="8" t="str">
        <f t="shared" si="5"/>
        <v>2023 Domestic 3rd Trial</v>
      </c>
      <c r="N9" s="8">
        <f>IF(COUNT(AR9,BU9,CX9)&gt;0,LARGE((AR9,BU9,CX9),1),0)</f>
        <v>25.4</v>
      </c>
      <c r="O9" s="8" t="str">
        <f t="shared" si="6"/>
        <v>2023 Domestic 3rd Trial</v>
      </c>
      <c r="P9" s="8">
        <f t="shared" si="7"/>
        <v>52.800000000000004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 t="shared" si="12"/>
        <v>7</v>
      </c>
      <c r="AQ9" s="41">
        <f t="shared" si="13"/>
        <v>25.1</v>
      </c>
      <c r="AR9" s="41">
        <f t="shared" si="14"/>
        <v>10.199999999999999</v>
      </c>
      <c r="AS9" s="41">
        <f t="shared" si="15"/>
        <v>8.6</v>
      </c>
      <c r="AT9" s="41">
        <f t="shared" si="16"/>
        <v>35.299999999999997</v>
      </c>
      <c r="AU9" s="41" t="str">
        <f t="shared" si="17"/>
        <v/>
      </c>
      <c r="AV9" s="41" t="str">
        <f t="shared" si="18"/>
        <v/>
      </c>
      <c r="AW9" s="41">
        <f t="shared" si="19"/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 t="shared" si="20"/>
        <v>14.8</v>
      </c>
      <c r="BT9" s="11">
        <f t="shared" si="21"/>
        <v>52.9</v>
      </c>
      <c r="BU9" s="11">
        <f t="shared" si="22"/>
        <v>24.999999999999996</v>
      </c>
      <c r="BV9" s="11">
        <f t="shared" si="23"/>
        <v>22.5</v>
      </c>
      <c r="BW9" s="11">
        <f t="shared" si="24"/>
        <v>77.899999999999991</v>
      </c>
      <c r="BX9" s="11">
        <f t="shared" si="25"/>
        <v>15.2</v>
      </c>
      <c r="BY9" s="11">
        <f t="shared" si="26"/>
        <v>52.800000000000004</v>
      </c>
      <c r="BZ9" s="11">
        <f t="shared" si="27"/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 t="shared" si="28"/>
        <v>14.8</v>
      </c>
      <c r="CW9" s="41">
        <f t="shared" si="29"/>
        <v>51.4</v>
      </c>
      <c r="CX9" s="41">
        <f t="shared" si="30"/>
        <v>25.4</v>
      </c>
      <c r="CY9" s="41">
        <f t="shared" si="31"/>
        <v>22.5</v>
      </c>
      <c r="CZ9" s="41">
        <f t="shared" si="32"/>
        <v>76.8</v>
      </c>
      <c r="DA9" s="41">
        <f t="shared" si="33"/>
        <v>14</v>
      </c>
      <c r="DB9" s="41">
        <f t="shared" si="34"/>
        <v>51.9</v>
      </c>
      <c r="DC9" s="41">
        <f t="shared" si="35"/>
        <v>128.69999999999999</v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19.2</v>
      </c>
      <c r="QF9" s="23">
        <f t="shared" si="136"/>
        <v>7.2</v>
      </c>
      <c r="QG9" s="23">
        <f t="shared" si="137"/>
        <v>0.3</v>
      </c>
      <c r="QH9" s="23">
        <f t="shared" si="138"/>
        <v>0</v>
      </c>
      <c r="QI9" s="23">
        <f t="shared" si="139"/>
        <v>18.75</v>
      </c>
      <c r="QJ9" s="23">
        <f t="shared" si="140"/>
        <v>7.6</v>
      </c>
      <c r="QK9" s="23">
        <f t="shared" si="141"/>
        <v>0.3</v>
      </c>
      <c r="QL9" s="23">
        <f t="shared" si="142"/>
        <v>0</v>
      </c>
      <c r="QM9" s="23">
        <f t="shared" si="143"/>
        <v>18.100000000000001</v>
      </c>
      <c r="QN9" s="23">
        <f t="shared" si="144"/>
        <v>7.7</v>
      </c>
      <c r="QO9" s="23">
        <f t="shared" si="145"/>
        <v>0.6</v>
      </c>
      <c r="QP9" s="23">
        <f t="shared" si="146"/>
        <v>0</v>
      </c>
      <c r="QQ9" s="23">
        <f t="shared" si="147"/>
        <v>19.05</v>
      </c>
      <c r="QR9" s="23">
        <f t="shared" si="148"/>
        <v>7.4</v>
      </c>
      <c r="QS9" s="23">
        <f t="shared" si="149"/>
        <v>0</v>
      </c>
      <c r="QT9" s="23">
        <f t="shared" si="150"/>
        <v>0</v>
      </c>
      <c r="QU9" s="23">
        <f t="shared" si="151"/>
        <v>18.700000000000003</v>
      </c>
      <c r="QV9" s="23">
        <f t="shared" si="152"/>
        <v>7.1999999999999993</v>
      </c>
      <c r="QW9" s="23">
        <f t="shared" si="153"/>
        <v>0</v>
      </c>
      <c r="QX9" s="23">
        <f t="shared" si="154"/>
        <v>0</v>
      </c>
      <c r="QY9" s="28" t="s">
        <v>57</v>
      </c>
      <c r="QZ9" s="41">
        <f t="shared" si="155"/>
        <v>14.8</v>
      </c>
      <c r="RA9" s="41">
        <f t="shared" si="156"/>
        <v>52.150000000000006</v>
      </c>
      <c r="RB9" s="41">
        <f t="shared" si="157"/>
        <v>25.2</v>
      </c>
      <c r="RC9" s="41">
        <f t="shared" si="158"/>
        <v>22.5</v>
      </c>
      <c r="RD9" s="41">
        <f t="shared" si="159"/>
        <v>77.350000000000009</v>
      </c>
      <c r="RE9" s="41">
        <f t="shared" si="160"/>
        <v>14.6</v>
      </c>
      <c r="RF9" s="41">
        <f t="shared" si="161"/>
        <v>52.350000000000009</v>
      </c>
      <c r="RG9" s="41">
        <f t="shared" si="162"/>
        <v>129.70000000000002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131</v>
      </c>
      <c r="C10" s="4" t="s">
        <v>5</v>
      </c>
      <c r="D10" s="4">
        <v>1999</v>
      </c>
      <c r="E10" s="9">
        <f t="shared" si="163"/>
        <v>181.10001300000525</v>
      </c>
      <c r="F10" s="3" t="str">
        <f t="shared" si="0"/>
        <v>P</v>
      </c>
      <c r="G10" s="3" t="str">
        <f t="shared" si="1"/>
        <v>P</v>
      </c>
      <c r="H10" s="37" t="str">
        <f t="shared" si="2"/>
        <v>Worlds Team</v>
      </c>
      <c r="I10" s="3" t="str">
        <f t="shared" si="3"/>
        <v>P</v>
      </c>
      <c r="J10" s="8">
        <f>IF(COUNT(AQ10,BT10,CW10)&gt;0,LARGE((AQ10,BT10,CW10),1),0)</f>
        <v>52.2</v>
      </c>
      <c r="K10" s="8" t="str">
        <f t="shared" si="4"/>
        <v>2023 Nationals</v>
      </c>
      <c r="L10" s="8">
        <f>IF(COUNT(AQ10,BT10,CW10)&gt;1,LARGE((AQ10,BT10,CW10),2),0)</f>
        <v>52</v>
      </c>
      <c r="M10" s="8" t="str">
        <f t="shared" si="5"/>
        <v>2023 Elite Canada</v>
      </c>
      <c r="N10" s="8">
        <f>IF(COUNT(AR10,BU10,CX10)&gt;0,LARGE((AR10,BU10,CX10),1),0)</f>
        <v>25.799999999999997</v>
      </c>
      <c r="O10" s="8" t="str">
        <f t="shared" si="6"/>
        <v>2023 Domestic 3rd Trial</v>
      </c>
      <c r="P10" s="8">
        <f t="shared" si="7"/>
        <v>51.100000000000009</v>
      </c>
      <c r="Q10" s="8" t="str">
        <f t="shared" si="8"/>
        <v>2023 Domestic 3rd Trial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 t="shared" si="12"/>
        <v>14.4</v>
      </c>
      <c r="AQ10" s="41">
        <f t="shared" si="13"/>
        <v>52</v>
      </c>
      <c r="AR10" s="41">
        <f t="shared" si="14"/>
        <v>25</v>
      </c>
      <c r="AS10" s="41">
        <f t="shared" si="15"/>
        <v>21.2</v>
      </c>
      <c r="AT10" s="41">
        <f t="shared" si="16"/>
        <v>77</v>
      </c>
      <c r="AU10" s="41">
        <f t="shared" si="17"/>
        <v>10</v>
      </c>
      <c r="AV10" s="41">
        <f t="shared" si="18"/>
        <v>46.199999999999996</v>
      </c>
      <c r="AW10" s="41">
        <f t="shared" si="19"/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 t="shared" si="20"/>
        <v>14.8</v>
      </c>
      <c r="BT10" s="11">
        <f t="shared" si="21"/>
        <v>52.2</v>
      </c>
      <c r="BU10" s="11">
        <f t="shared" si="22"/>
        <v>25.2</v>
      </c>
      <c r="BV10" s="11">
        <f t="shared" si="23"/>
        <v>21.6</v>
      </c>
      <c r="BW10" s="11">
        <f t="shared" si="24"/>
        <v>77.400000000000006</v>
      </c>
      <c r="BX10" s="11">
        <f t="shared" si="25"/>
        <v>10</v>
      </c>
      <c r="BY10" s="11">
        <f t="shared" si="26"/>
        <v>46.099999999999994</v>
      </c>
      <c r="BZ10" s="11">
        <f t="shared" si="27"/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 t="shared" si="28"/>
        <v>14</v>
      </c>
      <c r="CW10" s="41">
        <f t="shared" si="29"/>
        <v>50.9</v>
      </c>
      <c r="CX10" s="41">
        <f t="shared" si="30"/>
        <v>25.799999999999997</v>
      </c>
      <c r="CY10" s="41">
        <f t="shared" si="31"/>
        <v>21.2</v>
      </c>
      <c r="CZ10" s="41">
        <f t="shared" si="32"/>
        <v>76.699999999999989</v>
      </c>
      <c r="DA10" s="41">
        <f t="shared" si="33"/>
        <v>14.4</v>
      </c>
      <c r="DB10" s="41">
        <f t="shared" si="34"/>
        <v>51.100000000000009</v>
      </c>
      <c r="DC10" s="41">
        <f t="shared" si="35"/>
        <v>127.8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9"/>
        <v/>
      </c>
      <c r="EB10" s="41" t="str">
        <f t="shared" si="40"/>
        <v/>
      </c>
      <c r="EC10" s="41" t="str">
        <f t="shared" si="41"/>
        <v/>
      </c>
      <c r="ED10" s="41" t="str">
        <f t="shared" si="42"/>
        <v/>
      </c>
      <c r="EE10" s="41" t="str">
        <f t="shared" si="43"/>
        <v/>
      </c>
      <c r="EF10" s="41" t="str">
        <f t="shared" si="44"/>
        <v/>
      </c>
      <c r="EG10" s="41" t="str">
        <f t="shared" si="45"/>
        <v/>
      </c>
      <c r="EH10" s="41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7"/>
        <v/>
      </c>
      <c r="KN10" s="41" t="str">
        <f t="shared" si="88"/>
        <v/>
      </c>
      <c r="KO10" s="41" t="str">
        <f t="shared" si="89"/>
        <v/>
      </c>
      <c r="KP10" s="41" t="str">
        <f t="shared" si="90"/>
        <v/>
      </c>
      <c r="KQ10" s="41" t="str">
        <f t="shared" si="91"/>
        <v/>
      </c>
      <c r="KR10" s="41" t="str">
        <f t="shared" si="92"/>
        <v/>
      </c>
      <c r="KS10" s="41" t="str">
        <f t="shared" si="93"/>
        <v/>
      </c>
      <c r="KT10" s="41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>
        <v>18.5</v>
      </c>
      <c r="LX10" s="17">
        <v>7.2</v>
      </c>
      <c r="LY10" s="17">
        <v>0.8</v>
      </c>
      <c r="LZ10" s="17">
        <v>0</v>
      </c>
      <c r="MA10" s="17">
        <v>18.2</v>
      </c>
      <c r="MB10" s="17">
        <v>6.8</v>
      </c>
      <c r="MC10" s="17">
        <v>0.6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>
        <f t="shared" si="103"/>
        <v>14</v>
      </c>
      <c r="MR10" s="41">
        <f t="shared" si="104"/>
        <v>49.3</v>
      </c>
      <c r="MS10" s="41" t="str">
        <f t="shared" si="105"/>
        <v/>
      </c>
      <c r="MT10" s="41">
        <f t="shared" si="106"/>
        <v>14</v>
      </c>
      <c r="MU10" s="41">
        <f t="shared" si="107"/>
        <v>49.3</v>
      </c>
      <c r="MV10" s="41" t="str">
        <f t="shared" si="108"/>
        <v/>
      </c>
      <c r="MW10" s="41" t="str">
        <f t="shared" si="109"/>
        <v/>
      </c>
      <c r="MX10" s="41">
        <f t="shared" si="110"/>
        <v>49.3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18.8</v>
      </c>
      <c r="QF10" s="23">
        <f t="shared" si="136"/>
        <v>7.4</v>
      </c>
      <c r="QG10" s="23">
        <f t="shared" si="137"/>
        <v>0.3</v>
      </c>
      <c r="QH10" s="23">
        <f t="shared" si="138"/>
        <v>0</v>
      </c>
      <c r="QI10" s="23">
        <f t="shared" si="139"/>
        <v>18.75</v>
      </c>
      <c r="QJ10" s="23">
        <f t="shared" si="140"/>
        <v>7</v>
      </c>
      <c r="QK10" s="23">
        <f t="shared" si="141"/>
        <v>0.1</v>
      </c>
      <c r="QL10" s="23">
        <f t="shared" si="142"/>
        <v>0</v>
      </c>
      <c r="QM10" s="23">
        <f t="shared" si="143"/>
        <v>19.100000000000001</v>
      </c>
      <c r="QN10" s="23">
        <f t="shared" si="144"/>
        <v>7</v>
      </c>
      <c r="QO10" s="23">
        <f t="shared" si="145"/>
        <v>0.6</v>
      </c>
      <c r="QP10" s="23">
        <f t="shared" si="146"/>
        <v>0</v>
      </c>
      <c r="QQ10" s="23">
        <f t="shared" si="147"/>
        <v>18.649999999999999</v>
      </c>
      <c r="QR10" s="23">
        <f t="shared" si="148"/>
        <v>7.2</v>
      </c>
      <c r="QS10" s="23">
        <f t="shared" si="149"/>
        <v>0.1</v>
      </c>
      <c r="QT10" s="23">
        <f t="shared" si="150"/>
        <v>0</v>
      </c>
      <c r="QU10" s="23">
        <f t="shared" si="151"/>
        <v>18.149999999999999</v>
      </c>
      <c r="QV10" s="23">
        <f t="shared" si="152"/>
        <v>5</v>
      </c>
      <c r="QW10" s="23">
        <f t="shared" si="153"/>
        <v>0.3</v>
      </c>
      <c r="QX10" s="23">
        <f t="shared" si="154"/>
        <v>0</v>
      </c>
      <c r="QY10" s="28" t="s">
        <v>57</v>
      </c>
      <c r="QZ10" s="41">
        <f t="shared" si="155"/>
        <v>14.4</v>
      </c>
      <c r="RA10" s="41">
        <f t="shared" si="156"/>
        <v>51.550000000000004</v>
      </c>
      <c r="RB10" s="41">
        <f t="shared" si="157"/>
        <v>25.5</v>
      </c>
      <c r="RC10" s="41">
        <f t="shared" si="158"/>
        <v>21.4</v>
      </c>
      <c r="RD10" s="41">
        <f t="shared" si="159"/>
        <v>77.050000000000011</v>
      </c>
      <c r="RE10" s="41">
        <f t="shared" si="160"/>
        <v>12.2</v>
      </c>
      <c r="RF10" s="41">
        <f t="shared" si="161"/>
        <v>48.6</v>
      </c>
      <c r="RG10" s="41">
        <f t="shared" si="162"/>
        <v>125.65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173</v>
      </c>
      <c r="C11" s="4" t="s">
        <v>3</v>
      </c>
      <c r="D11" s="4">
        <v>2002</v>
      </c>
      <c r="E11" s="9">
        <f t="shared" si="163"/>
        <v>179.20001266500512</v>
      </c>
      <c r="F11" s="3" t="str">
        <f t="shared" si="0"/>
        <v>P</v>
      </c>
      <c r="G11" s="3" t="str">
        <f t="shared" si="1"/>
        <v>P</v>
      </c>
      <c r="H11" s="37" t="str">
        <f t="shared" si="2"/>
        <v>National Team</v>
      </c>
      <c r="I11" s="3" t="str">
        <f t="shared" si="3"/>
        <v/>
      </c>
      <c r="J11" s="8">
        <f>IF(COUNT(AQ11,BT11,CW11)&gt;0,LARGE((AQ11,BT11,CW11),1),0)</f>
        <v>51.2</v>
      </c>
      <c r="K11" s="8" t="str">
        <f t="shared" si="4"/>
        <v>2023 Elite Canada</v>
      </c>
      <c r="L11" s="8">
        <f>IF(COUNT(AQ11,BT11,CW11)&gt;1,LARGE((AQ11,BT11,CW11),2),0)</f>
        <v>50.449999999999996</v>
      </c>
      <c r="M11" s="8" t="str">
        <f t="shared" si="5"/>
        <v>2023 Nationals</v>
      </c>
      <c r="N11" s="8">
        <f>IF(COUNT(AR11,BU11,CX11)&gt;0,LARGE((AR11,BU11,CX11),1),0)</f>
        <v>25</v>
      </c>
      <c r="O11" s="8" t="str">
        <f t="shared" si="6"/>
        <v>2023 Nationals</v>
      </c>
      <c r="P11" s="8">
        <f t="shared" si="7"/>
        <v>51</v>
      </c>
      <c r="Q11" s="8" t="str">
        <f t="shared" si="8"/>
        <v>2023 Elite Canada</v>
      </c>
      <c r="R11" s="8">
        <f t="shared" si="9"/>
        <v>1.5499999999999972</v>
      </c>
      <c r="S11" s="11" t="str">
        <f t="shared" si="10"/>
        <v>(Q1)</v>
      </c>
      <c r="T11" s="8" t="str">
        <f t="shared" si="11"/>
        <v>2023 World Cup POR 1 (July 2)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 t="shared" si="12"/>
        <v>14</v>
      </c>
      <c r="AQ11" s="41">
        <f t="shared" si="13"/>
        <v>51.2</v>
      </c>
      <c r="AR11" s="41">
        <f t="shared" si="14"/>
        <v>24.900000000000002</v>
      </c>
      <c r="AS11" s="41">
        <f t="shared" si="15"/>
        <v>20.8</v>
      </c>
      <c r="AT11" s="41">
        <f t="shared" si="16"/>
        <v>76.100000000000009</v>
      </c>
      <c r="AU11" s="41">
        <f t="shared" si="17"/>
        <v>15.2</v>
      </c>
      <c r="AV11" s="41">
        <f t="shared" si="18"/>
        <v>51</v>
      </c>
      <c r="AW11" s="41">
        <f t="shared" si="19"/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 t="shared" si="20"/>
        <v>13.399999999999999</v>
      </c>
      <c r="BT11" s="11">
        <f t="shared" si="21"/>
        <v>50.449999999999996</v>
      </c>
      <c r="BU11" s="11">
        <f t="shared" si="22"/>
        <v>25</v>
      </c>
      <c r="BV11" s="11">
        <f t="shared" si="23"/>
        <v>20.399999999999999</v>
      </c>
      <c r="BW11" s="11">
        <f t="shared" si="24"/>
        <v>75.449999999999989</v>
      </c>
      <c r="BX11" s="11">
        <f t="shared" si="25"/>
        <v>14.2</v>
      </c>
      <c r="BY11" s="11">
        <f t="shared" si="26"/>
        <v>49.8</v>
      </c>
      <c r="BZ11" s="11">
        <f t="shared" si="27"/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 t="shared" si="28"/>
        <v/>
      </c>
      <c r="CW11" s="41" t="str">
        <f t="shared" si="29"/>
        <v/>
      </c>
      <c r="CX11" s="41" t="str">
        <f t="shared" si="30"/>
        <v/>
      </c>
      <c r="CY11" s="41" t="str">
        <f t="shared" si="31"/>
        <v/>
      </c>
      <c r="CZ11" s="41" t="str">
        <f t="shared" si="32"/>
        <v/>
      </c>
      <c r="DA11" s="41" t="str">
        <f t="shared" si="33"/>
        <v/>
      </c>
      <c r="DB11" s="41" t="str">
        <f t="shared" si="34"/>
        <v/>
      </c>
      <c r="DC11" s="41" t="str">
        <f t="shared" si="35"/>
        <v/>
      </c>
      <c r="DD11" s="52">
        <f t="shared" si="36"/>
        <v>1.5499999999999972</v>
      </c>
      <c r="DE11" s="52" t="str">
        <f t="shared" si="37"/>
        <v/>
      </c>
      <c r="DF11" s="52">
        <f t="shared" si="38"/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9"/>
        <v/>
      </c>
      <c r="EB11" s="41" t="str">
        <f t="shared" si="40"/>
        <v/>
      </c>
      <c r="EC11" s="41" t="str">
        <f t="shared" si="41"/>
        <v/>
      </c>
      <c r="ED11" s="41" t="str">
        <f t="shared" si="42"/>
        <v/>
      </c>
      <c r="EE11" s="41" t="str">
        <f t="shared" si="43"/>
        <v/>
      </c>
      <c r="EF11" s="41" t="str">
        <f t="shared" si="44"/>
        <v/>
      </c>
      <c r="EG11" s="41" t="str">
        <f t="shared" si="45"/>
        <v/>
      </c>
      <c r="EH11" s="41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5"/>
        <v/>
      </c>
      <c r="GF11" s="41" t="str">
        <f t="shared" si="56"/>
        <v/>
      </c>
      <c r="GG11" s="41" t="str">
        <f t="shared" si="57"/>
        <v/>
      </c>
      <c r="GH11" s="41" t="str">
        <f t="shared" si="58"/>
        <v/>
      </c>
      <c r="GI11" s="41" t="str">
        <f t="shared" si="59"/>
        <v/>
      </c>
      <c r="GJ11" s="41" t="str">
        <f t="shared" si="60"/>
        <v/>
      </c>
      <c r="GK11" s="41" t="str">
        <f t="shared" si="61"/>
        <v/>
      </c>
      <c r="GL11" s="41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>
        <v>18.399999999999999</v>
      </c>
      <c r="IR11" s="18">
        <v>8.4</v>
      </c>
      <c r="IS11" s="18">
        <v>0.6</v>
      </c>
      <c r="IT11" s="18">
        <v>0</v>
      </c>
      <c r="IU11" s="18">
        <v>18.600000000000001</v>
      </c>
      <c r="IV11" s="18">
        <v>6.8</v>
      </c>
      <c r="IW11" s="18">
        <v>0.2</v>
      </c>
      <c r="IX11" s="18">
        <v>0</v>
      </c>
      <c r="IY11" s="18"/>
      <c r="IZ11" s="18"/>
      <c r="JA11" s="18"/>
      <c r="JB11" s="18"/>
      <c r="JC11" s="18">
        <v>18.600000000000001</v>
      </c>
      <c r="JD11" s="18">
        <v>8.4</v>
      </c>
      <c r="JE11" s="18">
        <v>0.6</v>
      </c>
      <c r="JF11" s="18">
        <v>0</v>
      </c>
      <c r="JG11" s="18">
        <v>19.100000000000001</v>
      </c>
      <c r="JH11" s="18">
        <v>6.8</v>
      </c>
      <c r="JI11" s="18">
        <v>0.6</v>
      </c>
      <c r="JJ11" s="18">
        <v>0</v>
      </c>
      <c r="JK11" s="11">
        <f t="shared" si="79"/>
        <v>15.2</v>
      </c>
      <c r="JL11" s="11">
        <f t="shared" si="80"/>
        <v>51.399999999999991</v>
      </c>
      <c r="JM11" s="11" t="str">
        <f t="shared" si="81"/>
        <v/>
      </c>
      <c r="JN11" s="11">
        <f t="shared" si="82"/>
        <v>15.2</v>
      </c>
      <c r="JO11" s="11">
        <f t="shared" si="83"/>
        <v>51.399999999999991</v>
      </c>
      <c r="JP11" s="11">
        <f t="shared" si="84"/>
        <v>15.2</v>
      </c>
      <c r="JQ11" s="11">
        <f t="shared" si="85"/>
        <v>51.699999999999996</v>
      </c>
      <c r="JR11" s="11">
        <f t="shared" si="86"/>
        <v>103.1</v>
      </c>
      <c r="JS11" s="17">
        <v>18.600000000000001</v>
      </c>
      <c r="JT11" s="17">
        <v>8.4</v>
      </c>
      <c r="JU11" s="17">
        <v>0.6</v>
      </c>
      <c r="JV11" s="17">
        <v>0</v>
      </c>
      <c r="JW11" s="17">
        <v>18.8</v>
      </c>
      <c r="JX11" s="17">
        <v>6.8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 t="shared" si="87"/>
        <v>15.2</v>
      </c>
      <c r="KN11" s="41">
        <f t="shared" si="88"/>
        <v>51.999999999999993</v>
      </c>
      <c r="KO11" s="41" t="str">
        <f t="shared" si="89"/>
        <v/>
      </c>
      <c r="KP11" s="41">
        <f t="shared" si="90"/>
        <v>15.2</v>
      </c>
      <c r="KQ11" s="41">
        <f t="shared" si="91"/>
        <v>51.999999999999993</v>
      </c>
      <c r="KR11" s="41" t="str">
        <f t="shared" si="92"/>
        <v/>
      </c>
      <c r="KS11" s="41" t="str">
        <f t="shared" si="93"/>
        <v/>
      </c>
      <c r="KT11" s="41">
        <f t="shared" si="94"/>
        <v>51.999999999999993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9.35</v>
      </c>
      <c r="QF11" s="23">
        <f t="shared" si="136"/>
        <v>3.4</v>
      </c>
      <c r="QG11" s="23">
        <f t="shared" si="137"/>
        <v>0.05</v>
      </c>
      <c r="QH11" s="23">
        <f t="shared" si="138"/>
        <v>0</v>
      </c>
      <c r="QI11" s="23">
        <f t="shared" si="139"/>
        <v>9.2749999999999986</v>
      </c>
      <c r="QJ11" s="23">
        <f t="shared" si="140"/>
        <v>3.3</v>
      </c>
      <c r="QK11" s="23">
        <f t="shared" si="141"/>
        <v>0.05</v>
      </c>
      <c r="QL11" s="23">
        <f t="shared" si="142"/>
        <v>0</v>
      </c>
      <c r="QM11" s="23">
        <f t="shared" si="143"/>
        <v>9.25</v>
      </c>
      <c r="QN11" s="23">
        <f t="shared" si="144"/>
        <v>3.5</v>
      </c>
      <c r="QO11" s="23">
        <f t="shared" si="145"/>
        <v>0.25</v>
      </c>
      <c r="QP11" s="23">
        <f t="shared" si="146"/>
        <v>0</v>
      </c>
      <c r="QQ11" s="23">
        <f t="shared" si="147"/>
        <v>9.0250000000000004</v>
      </c>
      <c r="QR11" s="23">
        <f t="shared" si="148"/>
        <v>3.6</v>
      </c>
      <c r="QS11" s="23">
        <f t="shared" si="149"/>
        <v>0.35</v>
      </c>
      <c r="QT11" s="23">
        <f t="shared" si="150"/>
        <v>0</v>
      </c>
      <c r="QU11" s="23">
        <f t="shared" si="151"/>
        <v>9.3249999999999993</v>
      </c>
      <c r="QV11" s="23">
        <f t="shared" si="152"/>
        <v>3.5</v>
      </c>
      <c r="QW11" s="23">
        <f t="shared" si="153"/>
        <v>0.2</v>
      </c>
      <c r="QX11" s="23">
        <f t="shared" si="154"/>
        <v>0</v>
      </c>
      <c r="QY11" s="28" t="s">
        <v>57</v>
      </c>
      <c r="QZ11" s="41">
        <f t="shared" si="155"/>
        <v>6.6999999999999993</v>
      </c>
      <c r="RA11" s="41">
        <f t="shared" si="156"/>
        <v>25.224999999999998</v>
      </c>
      <c r="RB11" s="41">
        <f t="shared" si="157"/>
        <v>12.5</v>
      </c>
      <c r="RC11" s="41">
        <f t="shared" si="158"/>
        <v>10.199999999999999</v>
      </c>
      <c r="RD11" s="41">
        <f t="shared" si="159"/>
        <v>37.724999999999994</v>
      </c>
      <c r="RE11" s="41">
        <f t="shared" si="160"/>
        <v>7.1</v>
      </c>
      <c r="RF11" s="41">
        <f t="shared" si="161"/>
        <v>24.9</v>
      </c>
      <c r="RG11" s="41">
        <f t="shared" si="162"/>
        <v>62.624999999999993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148</v>
      </c>
      <c r="C12" s="4" t="s">
        <v>5</v>
      </c>
      <c r="D12" s="4">
        <v>2004</v>
      </c>
      <c r="E12" s="9">
        <f t="shared" si="163"/>
        <v>179.00001269000504</v>
      </c>
      <c r="F12" s="3" t="str">
        <f t="shared" si="0"/>
        <v>P</v>
      </c>
      <c r="G12" s="3" t="str">
        <f t="shared" si="1"/>
        <v>P</v>
      </c>
      <c r="H12" s="37" t="str">
        <f t="shared" si="2"/>
        <v>National Team</v>
      </c>
      <c r="I12" s="3" t="str">
        <f t="shared" si="3"/>
        <v/>
      </c>
      <c r="J12" s="8">
        <f>IF(COUNT(AQ12,BT12,CW12)&gt;0,LARGE((AQ12,BT12,CW12),1),0)</f>
        <v>50.4</v>
      </c>
      <c r="K12" s="8" t="str">
        <f t="shared" si="4"/>
        <v>2023 Nationals</v>
      </c>
      <c r="L12" s="8">
        <f>IF(COUNT(AQ12,BT12,CW12)&gt;1,LARGE((AQ12,BT12,CW12),2),0)</f>
        <v>50</v>
      </c>
      <c r="M12" s="8" t="str">
        <f t="shared" si="5"/>
        <v>2023 Elite Canada</v>
      </c>
      <c r="N12" s="8">
        <f>IF(COUNT(AR12,BU12,CX12)&gt;0,LARGE((AR12,BU12,CX12),1),0)</f>
        <v>26.5</v>
      </c>
      <c r="O12" s="8" t="str">
        <f t="shared" si="6"/>
        <v>2023 Elite Canada</v>
      </c>
      <c r="P12" s="8">
        <f t="shared" si="7"/>
        <v>51.3</v>
      </c>
      <c r="Q12" s="8" t="str">
        <f t="shared" si="8"/>
        <v>2023 Elite Canada</v>
      </c>
      <c r="R12" s="8">
        <f t="shared" si="9"/>
        <v>0.79999999999999716</v>
      </c>
      <c r="S12" s="11" t="str">
        <f t="shared" si="10"/>
        <v>(Q1)</v>
      </c>
      <c r="T12" s="8" t="str">
        <f t="shared" si="11"/>
        <v>2022 WAGC (Nov 23)</v>
      </c>
      <c r="U12" s="19">
        <v>16.5</v>
      </c>
      <c r="V12" s="19">
        <v>8.1</v>
      </c>
      <c r="W12" s="19">
        <v>0.2</v>
      </c>
      <c r="X12" s="19">
        <v>0.3</v>
      </c>
      <c r="Y12" s="19">
        <v>18.3</v>
      </c>
      <c r="Z12" s="19">
        <v>7.6</v>
      </c>
      <c r="AA12" s="19">
        <v>0.6</v>
      </c>
      <c r="AB12" s="19">
        <v>0</v>
      </c>
      <c r="AC12" s="19">
        <v>18.5</v>
      </c>
      <c r="AD12" s="19">
        <v>8</v>
      </c>
      <c r="AE12" s="19">
        <v>0</v>
      </c>
      <c r="AF12" s="19">
        <v>0</v>
      </c>
      <c r="AG12" s="19">
        <v>18.3</v>
      </c>
      <c r="AH12" s="19">
        <v>7.3</v>
      </c>
      <c r="AI12" s="19">
        <v>0.2</v>
      </c>
      <c r="AJ12" s="19">
        <v>0.3</v>
      </c>
      <c r="AK12" s="19">
        <v>18.399999999999999</v>
      </c>
      <c r="AL12" s="19">
        <v>8</v>
      </c>
      <c r="AM12" s="19">
        <v>0.8</v>
      </c>
      <c r="AN12" s="19">
        <v>0</v>
      </c>
      <c r="AO12" s="28"/>
      <c r="AP12" s="41">
        <f t="shared" si="12"/>
        <v>15.7</v>
      </c>
      <c r="AQ12" s="41">
        <f t="shared" si="13"/>
        <v>50</v>
      </c>
      <c r="AR12" s="41">
        <f t="shared" si="14"/>
        <v>26.5</v>
      </c>
      <c r="AS12" s="41">
        <f t="shared" si="15"/>
        <v>23.7</v>
      </c>
      <c r="AT12" s="41">
        <f t="shared" si="16"/>
        <v>76.5</v>
      </c>
      <c r="AU12" s="41">
        <f t="shared" si="17"/>
        <v>15.3</v>
      </c>
      <c r="AV12" s="41">
        <f t="shared" si="18"/>
        <v>51.3</v>
      </c>
      <c r="AW12" s="41">
        <f t="shared" si="19"/>
        <v>127.8</v>
      </c>
      <c r="AX12" s="18">
        <v>17.75</v>
      </c>
      <c r="AY12" s="18">
        <v>7.65</v>
      </c>
      <c r="AZ12" s="18">
        <v>0.4</v>
      </c>
      <c r="BA12" s="18">
        <v>0.15</v>
      </c>
      <c r="BB12" s="18">
        <v>18.350000000000001</v>
      </c>
      <c r="BC12" s="18">
        <v>7.6</v>
      </c>
      <c r="BD12" s="18">
        <v>0.7</v>
      </c>
      <c r="BE12" s="18">
        <v>0</v>
      </c>
      <c r="BF12" s="18">
        <v>18.55</v>
      </c>
      <c r="BG12" s="18">
        <v>7.2</v>
      </c>
      <c r="BH12" s="18">
        <v>0.4</v>
      </c>
      <c r="BI12" s="18">
        <v>0</v>
      </c>
      <c r="BJ12" s="18">
        <v>18.600000000000001</v>
      </c>
      <c r="BK12" s="18">
        <v>7.25</v>
      </c>
      <c r="BL12" s="18">
        <v>0.4</v>
      </c>
      <c r="BM12" s="18">
        <v>0.15</v>
      </c>
      <c r="BN12" s="18">
        <v>18.399999999999999</v>
      </c>
      <c r="BO12" s="18">
        <v>7.8</v>
      </c>
      <c r="BP12" s="18">
        <v>0.7</v>
      </c>
      <c r="BQ12" s="18">
        <v>0</v>
      </c>
      <c r="BR12" s="29" t="s">
        <v>57</v>
      </c>
      <c r="BS12" s="11">
        <f t="shared" si="20"/>
        <v>15.25</v>
      </c>
      <c r="BT12" s="11">
        <f t="shared" si="21"/>
        <v>50.4</v>
      </c>
      <c r="BU12" s="11">
        <f t="shared" si="22"/>
        <v>25.35</v>
      </c>
      <c r="BV12" s="11">
        <f t="shared" si="23"/>
        <v>22.45</v>
      </c>
      <c r="BW12" s="11">
        <f t="shared" si="24"/>
        <v>75.75</v>
      </c>
      <c r="BX12" s="11">
        <f t="shared" si="25"/>
        <v>15.05</v>
      </c>
      <c r="BY12" s="11">
        <f t="shared" si="26"/>
        <v>51.099999999999994</v>
      </c>
      <c r="BZ12" s="11">
        <f t="shared" si="27"/>
        <v>126.85</v>
      </c>
      <c r="CA12" s="19">
        <v>17.2</v>
      </c>
      <c r="CB12" s="19">
        <v>3.6</v>
      </c>
      <c r="CC12" s="19">
        <v>0</v>
      </c>
      <c r="CD12" s="19">
        <v>0</v>
      </c>
      <c r="CE12" s="19">
        <v>18.600000000000001</v>
      </c>
      <c r="CF12" s="19">
        <v>7.6</v>
      </c>
      <c r="CG12" s="19">
        <v>1</v>
      </c>
      <c r="CH12" s="19">
        <v>0</v>
      </c>
      <c r="CI12" s="19">
        <v>17.600000000000001</v>
      </c>
      <c r="CJ12" s="19">
        <v>2.8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 t="shared" si="28"/>
        <v>11.2</v>
      </c>
      <c r="CW12" s="41">
        <f t="shared" si="29"/>
        <v>46.000000000000007</v>
      </c>
      <c r="CX12" s="41">
        <f t="shared" si="30"/>
        <v>20.400000000000002</v>
      </c>
      <c r="CY12" s="41">
        <f t="shared" si="31"/>
        <v>14</v>
      </c>
      <c r="CZ12" s="41">
        <f t="shared" si="32"/>
        <v>66.400000000000006</v>
      </c>
      <c r="DA12" s="41" t="str">
        <f t="shared" si="33"/>
        <v/>
      </c>
      <c r="DB12" s="41" t="str">
        <f t="shared" si="34"/>
        <v/>
      </c>
      <c r="DC12" s="41">
        <f t="shared" si="35"/>
        <v>66.400000000000006</v>
      </c>
      <c r="DD12" s="52">
        <f t="shared" si="36"/>
        <v>0.79999999999999716</v>
      </c>
      <c r="DE12" s="52" t="str">
        <f t="shared" si="37"/>
        <v/>
      </c>
      <c r="DF12" s="52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39"/>
        <v/>
      </c>
      <c r="EB12" s="41" t="str">
        <f t="shared" si="40"/>
        <v/>
      </c>
      <c r="EC12" s="41" t="str">
        <f t="shared" si="41"/>
        <v/>
      </c>
      <c r="ED12" s="41" t="str">
        <f t="shared" si="42"/>
        <v/>
      </c>
      <c r="EE12" s="41" t="str">
        <f t="shared" si="43"/>
        <v/>
      </c>
      <c r="EF12" s="41" t="str">
        <f t="shared" si="44"/>
        <v/>
      </c>
      <c r="EG12" s="41" t="str">
        <f t="shared" si="45"/>
        <v/>
      </c>
      <c r="EH12" s="41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5"/>
        <v/>
      </c>
      <c r="GF12" s="41" t="str">
        <f t="shared" si="56"/>
        <v/>
      </c>
      <c r="GG12" s="41" t="str">
        <f t="shared" si="57"/>
        <v/>
      </c>
      <c r="GH12" s="41" t="str">
        <f t="shared" si="58"/>
        <v/>
      </c>
      <c r="GI12" s="41" t="str">
        <f t="shared" si="59"/>
        <v/>
      </c>
      <c r="GJ12" s="41" t="str">
        <f t="shared" si="60"/>
        <v/>
      </c>
      <c r="GK12" s="41" t="str">
        <f t="shared" si="61"/>
        <v/>
      </c>
      <c r="GL12" s="41" t="str">
        <f t="shared" si="62"/>
        <v/>
      </c>
      <c r="GM12" s="18">
        <v>18.600000000000001</v>
      </c>
      <c r="GN12" s="18">
        <v>7.2</v>
      </c>
      <c r="GO12" s="18">
        <v>0.2</v>
      </c>
      <c r="GP12" s="18">
        <v>0</v>
      </c>
      <c r="GQ12" s="18">
        <v>18.8</v>
      </c>
      <c r="GR12" s="18">
        <v>7.6</v>
      </c>
      <c r="GS12" s="18">
        <v>1.2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 t="shared" si="63"/>
        <v>14.8</v>
      </c>
      <c r="HH12" s="11">
        <f t="shared" si="64"/>
        <v>50.8</v>
      </c>
      <c r="HI12" s="11" t="str">
        <f t="shared" si="65"/>
        <v/>
      </c>
      <c r="HJ12" s="11">
        <f t="shared" si="66"/>
        <v>14.8</v>
      </c>
      <c r="HK12" s="11">
        <f t="shared" si="67"/>
        <v>50.8</v>
      </c>
      <c r="HL12" s="11" t="str">
        <f t="shared" si="68"/>
        <v/>
      </c>
      <c r="HM12" s="11" t="str">
        <f t="shared" si="69"/>
        <v/>
      </c>
      <c r="HN12" s="11">
        <f t="shared" si="70"/>
        <v>50.8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1"/>
        <v/>
      </c>
      <c r="IJ12" s="41" t="str">
        <f t="shared" si="72"/>
        <v/>
      </c>
      <c r="IK12" s="41" t="str">
        <f t="shared" si="73"/>
        <v/>
      </c>
      <c r="IL12" s="41" t="str">
        <f t="shared" si="74"/>
        <v/>
      </c>
      <c r="IM12" s="41" t="str">
        <f t="shared" si="75"/>
        <v/>
      </c>
      <c r="IN12" s="41" t="str">
        <f t="shared" si="76"/>
        <v/>
      </c>
      <c r="IO12" s="41" t="str">
        <f t="shared" si="77"/>
        <v/>
      </c>
      <c r="IP12" s="41" t="str">
        <f t="shared" si="78"/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18</v>
      </c>
      <c r="IV12" s="18">
        <v>5.2</v>
      </c>
      <c r="IW12" s="18">
        <v>0.6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 t="shared" si="79"/>
        <v>5.2</v>
      </c>
      <c r="JL12" s="11">
        <f t="shared" si="80"/>
        <v>22.599999999999998</v>
      </c>
      <c r="JM12" s="11" t="str">
        <f t="shared" si="81"/>
        <v/>
      </c>
      <c r="JN12" s="11">
        <f t="shared" si="82"/>
        <v>5.2</v>
      </c>
      <c r="JO12" s="11">
        <f t="shared" si="83"/>
        <v>22.599999999999998</v>
      </c>
      <c r="JP12" s="11" t="str">
        <f t="shared" si="84"/>
        <v/>
      </c>
      <c r="JQ12" s="11" t="str">
        <f t="shared" si="85"/>
        <v/>
      </c>
      <c r="JR12" s="11">
        <f t="shared" si="86"/>
        <v>22.599999999999998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3"/>
        <v/>
      </c>
      <c r="MR12" s="41" t="str">
        <f t="shared" si="104"/>
        <v/>
      </c>
      <c r="MS12" s="41" t="str">
        <f t="shared" si="105"/>
        <v/>
      </c>
      <c r="MT12" s="41" t="str">
        <f t="shared" si="106"/>
        <v/>
      </c>
      <c r="MU12" s="41" t="str">
        <f t="shared" si="107"/>
        <v/>
      </c>
      <c r="MV12" s="41" t="str">
        <f t="shared" si="108"/>
        <v/>
      </c>
      <c r="MW12" s="41" t="str">
        <f t="shared" si="109"/>
        <v/>
      </c>
      <c r="MX12" s="41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17.475000000000001</v>
      </c>
      <c r="QF12" s="23">
        <f t="shared" si="136"/>
        <v>5.625</v>
      </c>
      <c r="QG12" s="23">
        <f t="shared" si="137"/>
        <v>0.2</v>
      </c>
      <c r="QH12" s="23">
        <f t="shared" si="138"/>
        <v>7.4999999999999997E-2</v>
      </c>
      <c r="QI12" s="23">
        <f t="shared" si="139"/>
        <v>18.475000000000001</v>
      </c>
      <c r="QJ12" s="23">
        <f t="shared" si="140"/>
        <v>7.6</v>
      </c>
      <c r="QK12" s="23">
        <f t="shared" si="141"/>
        <v>0.85</v>
      </c>
      <c r="QL12" s="23">
        <f t="shared" si="142"/>
        <v>0</v>
      </c>
      <c r="QM12" s="23">
        <f t="shared" si="143"/>
        <v>18.075000000000003</v>
      </c>
      <c r="QN12" s="23">
        <f t="shared" si="144"/>
        <v>5</v>
      </c>
      <c r="QO12" s="23">
        <f t="shared" si="145"/>
        <v>0.2</v>
      </c>
      <c r="QP12" s="23">
        <f t="shared" si="146"/>
        <v>0</v>
      </c>
      <c r="QQ12" s="23">
        <f t="shared" si="147"/>
        <v>9.3000000000000007</v>
      </c>
      <c r="QR12" s="23">
        <f t="shared" si="148"/>
        <v>3.625</v>
      </c>
      <c r="QS12" s="23">
        <f t="shared" si="149"/>
        <v>0.2</v>
      </c>
      <c r="QT12" s="23">
        <f t="shared" si="150"/>
        <v>7.4999999999999997E-2</v>
      </c>
      <c r="QU12" s="23">
        <f t="shared" si="151"/>
        <v>9.1999999999999993</v>
      </c>
      <c r="QV12" s="23">
        <f t="shared" si="152"/>
        <v>3.9</v>
      </c>
      <c r="QW12" s="23">
        <f t="shared" si="153"/>
        <v>0.35</v>
      </c>
      <c r="QX12" s="23">
        <f t="shared" si="154"/>
        <v>0</v>
      </c>
      <c r="QY12" s="28" t="s">
        <v>57</v>
      </c>
      <c r="QZ12" s="41">
        <f t="shared" si="155"/>
        <v>13.225</v>
      </c>
      <c r="RA12" s="41">
        <f t="shared" si="156"/>
        <v>48.2</v>
      </c>
      <c r="RB12" s="41">
        <f t="shared" si="157"/>
        <v>22.875000000000004</v>
      </c>
      <c r="RC12" s="41">
        <f t="shared" si="158"/>
        <v>18.225000000000001</v>
      </c>
      <c r="RD12" s="41">
        <f t="shared" si="159"/>
        <v>71.075000000000003</v>
      </c>
      <c r="RE12" s="41">
        <f t="shared" si="160"/>
        <v>7.5250000000000004</v>
      </c>
      <c r="RF12" s="41">
        <f t="shared" si="161"/>
        <v>25.549999999999997</v>
      </c>
      <c r="RG12" s="41">
        <f t="shared" si="162"/>
        <v>96.625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238</v>
      </c>
      <c r="C13" s="4" t="s">
        <v>169</v>
      </c>
      <c r="D13" s="4">
        <v>2005</v>
      </c>
      <c r="E13" s="9">
        <f t="shared" si="163"/>
        <v>178.60001276000514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51.4</v>
      </c>
      <c r="K13" s="8" t="str">
        <f t="shared" si="4"/>
        <v>2023 Domestic 3rd Trial</v>
      </c>
      <c r="L13" s="8">
        <f>IF(COUNT(AQ13,BT13,CW13)&gt;1,LARGE((AQ13,BT13,CW13),2),0)</f>
        <v>50.9</v>
      </c>
      <c r="M13" s="8" t="str">
        <f t="shared" si="5"/>
        <v>2023 Nationals</v>
      </c>
      <c r="N13" s="8">
        <f>IF(COUNT(AR13,BU13,CX13)&gt;0,LARGE((AR13,BU13,CX13),1),0)</f>
        <v>25.3</v>
      </c>
      <c r="O13" s="8" t="str">
        <f t="shared" si="6"/>
        <v>2023 Nationals</v>
      </c>
      <c r="P13" s="8">
        <f t="shared" si="7"/>
        <v>51</v>
      </c>
      <c r="Q13" s="8" t="str">
        <f t="shared" si="8"/>
        <v>2023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18.600000000000001</v>
      </c>
      <c r="V13" s="19">
        <v>6</v>
      </c>
      <c r="W13" s="19">
        <v>0.8</v>
      </c>
      <c r="X13" s="19">
        <v>0</v>
      </c>
      <c r="Y13" s="19">
        <v>18.8</v>
      </c>
      <c r="Z13" s="19">
        <v>6.4</v>
      </c>
      <c r="AA13" s="19">
        <v>0.6</v>
      </c>
      <c r="AB13" s="19">
        <v>0</v>
      </c>
      <c r="AC13" s="19">
        <v>18.600000000000001</v>
      </c>
      <c r="AD13" s="19">
        <v>6</v>
      </c>
      <c r="AE13" s="19">
        <v>0</v>
      </c>
      <c r="AF13" s="19">
        <v>0</v>
      </c>
      <c r="AG13" s="19">
        <v>18.7</v>
      </c>
      <c r="AH13" s="19">
        <v>6.8</v>
      </c>
      <c r="AI13" s="19">
        <v>0.6</v>
      </c>
      <c r="AJ13" s="19">
        <v>0</v>
      </c>
      <c r="AK13" s="19">
        <v>18.7</v>
      </c>
      <c r="AL13" s="19">
        <v>6.4</v>
      </c>
      <c r="AM13" s="19">
        <v>0.2</v>
      </c>
      <c r="AN13" s="19">
        <v>0</v>
      </c>
      <c r="AO13" s="28"/>
      <c r="AP13" s="41">
        <f t="shared" si="12"/>
        <v>12.4</v>
      </c>
      <c r="AQ13" s="41">
        <f t="shared" si="13"/>
        <v>48.400000000000006</v>
      </c>
      <c r="AR13" s="41">
        <f t="shared" si="14"/>
        <v>24.6</v>
      </c>
      <c r="AS13" s="41">
        <f t="shared" si="15"/>
        <v>18.399999999999999</v>
      </c>
      <c r="AT13" s="41">
        <f t="shared" si="16"/>
        <v>73</v>
      </c>
      <c r="AU13" s="41">
        <f t="shared" si="17"/>
        <v>13.2</v>
      </c>
      <c r="AV13" s="41">
        <f t="shared" si="18"/>
        <v>49.800000000000004</v>
      </c>
      <c r="AW13" s="41">
        <f t="shared" si="19"/>
        <v>122.80000000000001</v>
      </c>
      <c r="AX13" s="18">
        <v>18.5</v>
      </c>
      <c r="AY13" s="18">
        <v>6.8</v>
      </c>
      <c r="AZ13" s="18">
        <v>0</v>
      </c>
      <c r="BA13" s="18">
        <v>0</v>
      </c>
      <c r="BB13" s="18">
        <v>19</v>
      </c>
      <c r="BC13" s="18">
        <v>7.2</v>
      </c>
      <c r="BD13" s="18">
        <v>0.6</v>
      </c>
      <c r="BE13" s="18">
        <v>0</v>
      </c>
      <c r="BF13" s="18">
        <v>18.600000000000001</v>
      </c>
      <c r="BG13" s="18">
        <v>6.9</v>
      </c>
      <c r="BH13" s="18">
        <v>0.2</v>
      </c>
      <c r="BI13" s="18">
        <v>0</v>
      </c>
      <c r="BJ13" s="18">
        <v>18.7</v>
      </c>
      <c r="BK13" s="18">
        <v>6.8</v>
      </c>
      <c r="BL13" s="18">
        <v>0</v>
      </c>
      <c r="BM13" s="18">
        <v>0</v>
      </c>
      <c r="BN13" s="18">
        <v>18.899999999999999</v>
      </c>
      <c r="BO13" s="18">
        <v>7.2</v>
      </c>
      <c r="BP13" s="18">
        <v>0.6</v>
      </c>
      <c r="BQ13" s="18">
        <v>0</v>
      </c>
      <c r="BR13" s="29"/>
      <c r="BS13" s="11">
        <f t="shared" si="20"/>
        <v>14</v>
      </c>
      <c r="BT13" s="11">
        <f t="shared" si="21"/>
        <v>50.9</v>
      </c>
      <c r="BU13" s="11">
        <f t="shared" si="22"/>
        <v>25.3</v>
      </c>
      <c r="BV13" s="11">
        <f t="shared" si="23"/>
        <v>20.9</v>
      </c>
      <c r="BW13" s="11">
        <f t="shared" si="24"/>
        <v>76.2</v>
      </c>
      <c r="BX13" s="11">
        <f t="shared" si="25"/>
        <v>14</v>
      </c>
      <c r="BY13" s="11">
        <f t="shared" si="26"/>
        <v>51</v>
      </c>
      <c r="BZ13" s="11">
        <f t="shared" si="27"/>
        <v>127.2</v>
      </c>
      <c r="CA13" s="19">
        <v>18.600000000000001</v>
      </c>
      <c r="CB13" s="19">
        <v>6.8</v>
      </c>
      <c r="CC13" s="19">
        <v>0</v>
      </c>
      <c r="CD13" s="19">
        <v>0</v>
      </c>
      <c r="CE13" s="19">
        <v>18.600000000000001</v>
      </c>
      <c r="CF13" s="19">
        <v>8</v>
      </c>
      <c r="CG13" s="19">
        <v>0.6</v>
      </c>
      <c r="CH13" s="19">
        <v>0</v>
      </c>
      <c r="CI13" s="19">
        <v>17.600000000000001</v>
      </c>
      <c r="CJ13" s="19">
        <v>2.4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 t="shared" si="28"/>
        <v>14.8</v>
      </c>
      <c r="CW13" s="41">
        <f t="shared" si="29"/>
        <v>51.4</v>
      </c>
      <c r="CX13" s="41">
        <f t="shared" si="30"/>
        <v>20</v>
      </c>
      <c r="CY13" s="41">
        <f t="shared" si="31"/>
        <v>17.2</v>
      </c>
      <c r="CZ13" s="41">
        <f t="shared" si="32"/>
        <v>71.400000000000006</v>
      </c>
      <c r="DA13" s="41" t="str">
        <f t="shared" si="33"/>
        <v/>
      </c>
      <c r="DB13" s="41" t="str">
        <f t="shared" si="34"/>
        <v/>
      </c>
      <c r="DC13" s="41">
        <f t="shared" si="35"/>
        <v>71.400000000000006</v>
      </c>
      <c r="DD13" s="52" t="str">
        <f t="shared" si="36"/>
        <v/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7"/>
        <v/>
      </c>
      <c r="KN13" s="41" t="str">
        <f t="shared" si="88"/>
        <v/>
      </c>
      <c r="KO13" s="41" t="str">
        <f t="shared" si="89"/>
        <v/>
      </c>
      <c r="KP13" s="41" t="str">
        <f t="shared" si="90"/>
        <v/>
      </c>
      <c r="KQ13" s="41" t="str">
        <f t="shared" si="91"/>
        <v/>
      </c>
      <c r="KR13" s="41" t="str">
        <f t="shared" si="92"/>
        <v/>
      </c>
      <c r="KS13" s="41" t="str">
        <f t="shared" si="93"/>
        <v/>
      </c>
      <c r="KT13" s="41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18.55</v>
      </c>
      <c r="QF13" s="23">
        <f t="shared" si="136"/>
        <v>6.8</v>
      </c>
      <c r="QG13" s="23">
        <f t="shared" si="137"/>
        <v>0</v>
      </c>
      <c r="QH13" s="23">
        <f t="shared" si="138"/>
        <v>0</v>
      </c>
      <c r="QI13" s="23">
        <f t="shared" si="139"/>
        <v>18.8</v>
      </c>
      <c r="QJ13" s="23">
        <f t="shared" si="140"/>
        <v>7.6</v>
      </c>
      <c r="QK13" s="23">
        <f t="shared" si="141"/>
        <v>0.6</v>
      </c>
      <c r="QL13" s="23">
        <f t="shared" si="142"/>
        <v>0</v>
      </c>
      <c r="QM13" s="23">
        <f t="shared" si="143"/>
        <v>18.100000000000001</v>
      </c>
      <c r="QN13" s="23">
        <f t="shared" si="144"/>
        <v>4.6500000000000004</v>
      </c>
      <c r="QO13" s="23">
        <f t="shared" si="145"/>
        <v>0.1</v>
      </c>
      <c r="QP13" s="23">
        <f t="shared" si="146"/>
        <v>0</v>
      </c>
      <c r="QQ13" s="23">
        <f t="shared" si="147"/>
        <v>9.35</v>
      </c>
      <c r="QR13" s="23">
        <f t="shared" si="148"/>
        <v>3.4</v>
      </c>
      <c r="QS13" s="23">
        <f t="shared" si="149"/>
        <v>0</v>
      </c>
      <c r="QT13" s="23">
        <f t="shared" si="150"/>
        <v>0</v>
      </c>
      <c r="QU13" s="23">
        <f t="shared" si="151"/>
        <v>9.4499999999999993</v>
      </c>
      <c r="QV13" s="23">
        <f t="shared" si="152"/>
        <v>3.6</v>
      </c>
      <c r="QW13" s="23">
        <f t="shared" si="153"/>
        <v>0.3</v>
      </c>
      <c r="QX13" s="23">
        <f t="shared" si="154"/>
        <v>0</v>
      </c>
      <c r="QY13" s="28" t="s">
        <v>57</v>
      </c>
      <c r="QZ13" s="41">
        <f t="shared" si="155"/>
        <v>14.399999999999999</v>
      </c>
      <c r="RA13" s="41">
        <f t="shared" si="156"/>
        <v>51.150000000000006</v>
      </c>
      <c r="RB13" s="41">
        <f t="shared" si="157"/>
        <v>22.65</v>
      </c>
      <c r="RC13" s="41">
        <f t="shared" si="158"/>
        <v>19.049999999999997</v>
      </c>
      <c r="RD13" s="41">
        <f t="shared" si="159"/>
        <v>73.800000000000011</v>
      </c>
      <c r="RE13" s="41">
        <f t="shared" si="160"/>
        <v>7</v>
      </c>
      <c r="RF13" s="41">
        <f t="shared" si="161"/>
        <v>25.5</v>
      </c>
      <c r="RG13" s="41">
        <f t="shared" si="162"/>
        <v>99.300000000000011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84</v>
      </c>
      <c r="C14" s="4" t="s">
        <v>5</v>
      </c>
      <c r="D14" s="4">
        <v>2002</v>
      </c>
      <c r="E14" s="9">
        <f t="shared" si="163"/>
        <v>177.60001268000514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51.4</v>
      </c>
      <c r="K14" s="8" t="str">
        <f t="shared" si="4"/>
        <v>2023 Domestic 3rd Trial</v>
      </c>
      <c r="L14" s="8">
        <f>IF(COUNT(AQ14,BT14,CW14)&gt;1,LARGE((AQ14,BT14,CW14),2),0)</f>
        <v>48.8</v>
      </c>
      <c r="M14" s="8" t="str">
        <f t="shared" si="5"/>
        <v>2023 Nationals</v>
      </c>
      <c r="N14" s="8">
        <f>IF(COUNT(AR14,BU14,CX14)&gt;0,LARGE((AR14,BU14,CX14),1),0)</f>
        <v>26.6</v>
      </c>
      <c r="O14" s="8" t="str">
        <f t="shared" si="6"/>
        <v>2023 Elite Canada</v>
      </c>
      <c r="P14" s="8">
        <f t="shared" si="7"/>
        <v>50.800000000000004</v>
      </c>
      <c r="Q14" s="8" t="str">
        <f t="shared" si="8"/>
        <v>2023 Domestic 3rd Trial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19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18.600000000000001</v>
      </c>
      <c r="AD14" s="19">
        <v>8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 t="shared" si="12"/>
        <v>6</v>
      </c>
      <c r="AQ14" s="41">
        <f t="shared" si="13"/>
        <v>24.4</v>
      </c>
      <c r="AR14" s="41">
        <f t="shared" si="14"/>
        <v>26.6</v>
      </c>
      <c r="AS14" s="41">
        <f t="shared" si="15"/>
        <v>14</v>
      </c>
      <c r="AT14" s="41">
        <f t="shared" si="16"/>
        <v>51</v>
      </c>
      <c r="AU14" s="41" t="str">
        <f t="shared" si="17"/>
        <v/>
      </c>
      <c r="AV14" s="41" t="str">
        <f t="shared" si="18"/>
        <v/>
      </c>
      <c r="AW14" s="41">
        <f t="shared" si="19"/>
        <v>51</v>
      </c>
      <c r="AX14" s="18">
        <v>18.3</v>
      </c>
      <c r="AY14" s="18">
        <v>5.6</v>
      </c>
      <c r="AZ14" s="18">
        <v>1.4</v>
      </c>
      <c r="BA14" s="18">
        <v>0</v>
      </c>
      <c r="BB14" s="18">
        <v>18.7</v>
      </c>
      <c r="BC14" s="18">
        <v>7.6</v>
      </c>
      <c r="BD14" s="18">
        <v>0</v>
      </c>
      <c r="BE14" s="18">
        <v>0</v>
      </c>
      <c r="BF14" s="18">
        <v>16.600000000000001</v>
      </c>
      <c r="BG14" s="18">
        <v>7.3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 t="shared" si="20"/>
        <v>13.2</v>
      </c>
      <c r="BT14" s="11">
        <f t="shared" si="21"/>
        <v>48.8</v>
      </c>
      <c r="BU14" s="11">
        <f t="shared" si="22"/>
        <v>23.3</v>
      </c>
      <c r="BV14" s="11">
        <f t="shared" si="23"/>
        <v>20.5</v>
      </c>
      <c r="BW14" s="11">
        <f t="shared" si="24"/>
        <v>72.099999999999994</v>
      </c>
      <c r="BX14" s="11" t="str">
        <f t="shared" si="25"/>
        <v/>
      </c>
      <c r="BY14" s="11" t="str">
        <f t="shared" si="26"/>
        <v/>
      </c>
      <c r="BZ14" s="11">
        <f t="shared" si="27"/>
        <v>72.099999999999994</v>
      </c>
      <c r="CA14" s="19">
        <v>18.5</v>
      </c>
      <c r="CB14" s="19">
        <v>7.6</v>
      </c>
      <c r="CC14" s="19">
        <v>0.6</v>
      </c>
      <c r="CD14" s="19">
        <v>0</v>
      </c>
      <c r="CE14" s="19">
        <v>18.5</v>
      </c>
      <c r="CF14" s="19">
        <v>8</v>
      </c>
      <c r="CG14" s="19">
        <v>0.6</v>
      </c>
      <c r="CH14" s="19">
        <v>0</v>
      </c>
      <c r="CI14" s="19">
        <v>16.8</v>
      </c>
      <c r="CJ14" s="19">
        <v>8.1</v>
      </c>
      <c r="CK14" s="19">
        <v>0.2</v>
      </c>
      <c r="CL14" s="19">
        <v>0.3</v>
      </c>
      <c r="CM14" s="19">
        <v>18.5</v>
      </c>
      <c r="CN14" s="19">
        <v>9.3000000000000007</v>
      </c>
      <c r="CO14" s="19">
        <v>0</v>
      </c>
      <c r="CP14" s="19">
        <v>0.3</v>
      </c>
      <c r="CQ14" s="19">
        <v>18.100000000000001</v>
      </c>
      <c r="CR14" s="19">
        <v>5.6</v>
      </c>
      <c r="CS14" s="19">
        <v>1</v>
      </c>
      <c r="CT14" s="19">
        <v>0</v>
      </c>
      <c r="CU14" s="28"/>
      <c r="CV14" s="41">
        <f t="shared" si="28"/>
        <v>15.6</v>
      </c>
      <c r="CW14" s="41">
        <f t="shared" si="29"/>
        <v>51.4</v>
      </c>
      <c r="CX14" s="41">
        <f t="shared" si="30"/>
        <v>25</v>
      </c>
      <c r="CY14" s="41">
        <f t="shared" si="31"/>
        <v>23.7</v>
      </c>
      <c r="CZ14" s="41">
        <f t="shared" si="32"/>
        <v>76.400000000000006</v>
      </c>
      <c r="DA14" s="41">
        <f t="shared" si="33"/>
        <v>14.9</v>
      </c>
      <c r="DB14" s="41">
        <f t="shared" si="34"/>
        <v>50.800000000000004</v>
      </c>
      <c r="DC14" s="41">
        <f t="shared" si="35"/>
        <v>127.20000000000002</v>
      </c>
      <c r="DD14" s="52" t="str">
        <f t="shared" si="36"/>
        <v/>
      </c>
      <c r="DE14" s="52" t="str">
        <f t="shared" si="37"/>
        <v/>
      </c>
      <c r="DF14" s="52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39"/>
        <v/>
      </c>
      <c r="EB14" s="41" t="str">
        <f t="shared" si="40"/>
        <v/>
      </c>
      <c r="EC14" s="41" t="str">
        <f t="shared" si="41"/>
        <v/>
      </c>
      <c r="ED14" s="41" t="str">
        <f t="shared" si="42"/>
        <v/>
      </c>
      <c r="EE14" s="41" t="str">
        <f t="shared" si="43"/>
        <v/>
      </c>
      <c r="EF14" s="41" t="str">
        <f t="shared" si="44"/>
        <v/>
      </c>
      <c r="EG14" s="41" t="str">
        <f t="shared" si="45"/>
        <v/>
      </c>
      <c r="EH14" s="41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5"/>
        <v/>
      </c>
      <c r="GF14" s="41" t="str">
        <f t="shared" si="56"/>
        <v/>
      </c>
      <c r="GG14" s="41" t="str">
        <f t="shared" si="57"/>
        <v/>
      </c>
      <c r="GH14" s="41" t="str">
        <f t="shared" si="58"/>
        <v/>
      </c>
      <c r="GI14" s="41" t="str">
        <f t="shared" si="59"/>
        <v/>
      </c>
      <c r="GJ14" s="41" t="str">
        <f t="shared" si="60"/>
        <v/>
      </c>
      <c r="GK14" s="41" t="str">
        <f t="shared" si="61"/>
        <v/>
      </c>
      <c r="GL14" s="41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7"/>
        <v/>
      </c>
      <c r="KN14" s="41" t="str">
        <f t="shared" si="88"/>
        <v/>
      </c>
      <c r="KO14" s="41" t="str">
        <f t="shared" si="89"/>
        <v/>
      </c>
      <c r="KP14" s="41" t="str">
        <f t="shared" si="90"/>
        <v/>
      </c>
      <c r="KQ14" s="41" t="str">
        <f t="shared" si="91"/>
        <v/>
      </c>
      <c r="KR14" s="41" t="str">
        <f t="shared" si="92"/>
        <v/>
      </c>
      <c r="KS14" s="41" t="str">
        <f t="shared" si="93"/>
        <v/>
      </c>
      <c r="KT14" s="41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18.399999999999999</v>
      </c>
      <c r="QF14" s="23">
        <f t="shared" si="136"/>
        <v>6.6</v>
      </c>
      <c r="QG14" s="23">
        <f t="shared" si="137"/>
        <v>1</v>
      </c>
      <c r="QH14" s="23">
        <f t="shared" si="138"/>
        <v>0</v>
      </c>
      <c r="QI14" s="23">
        <f t="shared" si="139"/>
        <v>18.600000000000001</v>
      </c>
      <c r="QJ14" s="23">
        <f t="shared" si="140"/>
        <v>7.8</v>
      </c>
      <c r="QK14" s="23">
        <f t="shared" si="141"/>
        <v>0.3</v>
      </c>
      <c r="QL14" s="23">
        <f t="shared" si="142"/>
        <v>0</v>
      </c>
      <c r="QM14" s="23">
        <f t="shared" si="143"/>
        <v>16.700000000000003</v>
      </c>
      <c r="QN14" s="23">
        <f t="shared" si="144"/>
        <v>7.6999999999999993</v>
      </c>
      <c r="QO14" s="23">
        <f t="shared" si="145"/>
        <v>0.4</v>
      </c>
      <c r="QP14" s="23">
        <f t="shared" si="146"/>
        <v>0.15</v>
      </c>
      <c r="QQ14" s="23">
        <f t="shared" si="147"/>
        <v>9.25</v>
      </c>
      <c r="QR14" s="23">
        <f t="shared" si="148"/>
        <v>4.6500000000000004</v>
      </c>
      <c r="QS14" s="23">
        <f t="shared" si="149"/>
        <v>0</v>
      </c>
      <c r="QT14" s="23">
        <f t="shared" si="150"/>
        <v>0.15</v>
      </c>
      <c r="QU14" s="23">
        <f t="shared" si="151"/>
        <v>9.0500000000000007</v>
      </c>
      <c r="QV14" s="23">
        <f t="shared" si="152"/>
        <v>2.8</v>
      </c>
      <c r="QW14" s="23">
        <f t="shared" si="153"/>
        <v>0.5</v>
      </c>
      <c r="QX14" s="23">
        <f t="shared" si="154"/>
        <v>0</v>
      </c>
      <c r="QY14" s="28" t="s">
        <v>57</v>
      </c>
      <c r="QZ14" s="41">
        <f t="shared" si="155"/>
        <v>14.399999999999999</v>
      </c>
      <c r="RA14" s="41">
        <f t="shared" si="156"/>
        <v>50.1</v>
      </c>
      <c r="RB14" s="41">
        <f t="shared" si="157"/>
        <v>24.150000000000002</v>
      </c>
      <c r="RC14" s="41">
        <f t="shared" si="158"/>
        <v>22.099999999999998</v>
      </c>
      <c r="RD14" s="41">
        <f t="shared" si="159"/>
        <v>74.25</v>
      </c>
      <c r="RE14" s="41">
        <f t="shared" si="160"/>
        <v>7.45</v>
      </c>
      <c r="RF14" s="41">
        <f t="shared" si="161"/>
        <v>25.400000000000002</v>
      </c>
      <c r="RG14" s="41">
        <f t="shared" si="162"/>
        <v>99.65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130</v>
      </c>
      <c r="C15" s="4" t="s">
        <v>6</v>
      </c>
      <c r="D15" s="4">
        <v>2003</v>
      </c>
      <c r="E15" s="9">
        <f t="shared" si="163"/>
        <v>177.10001286000514</v>
      </c>
      <c r="F15" s="3" t="str">
        <f t="shared" si="0"/>
        <v>P</v>
      </c>
      <c r="G15" s="3" t="str">
        <f t="shared" si="1"/>
        <v>P</v>
      </c>
      <c r="H15" s="37" t="str">
        <f t="shared" si="2"/>
        <v>Worlds Team</v>
      </c>
      <c r="I15" s="3" t="str">
        <f t="shared" si="3"/>
        <v>P</v>
      </c>
      <c r="J15" s="8">
        <f>IF(COUNT(AQ15,BT15,CW15)&gt;0,LARGE((AQ15,BT15,CW15),1),0)</f>
        <v>51.4</v>
      </c>
      <c r="K15" s="8" t="str">
        <f t="shared" si="4"/>
        <v>2023 Nationals</v>
      </c>
      <c r="L15" s="8">
        <f>IF(COUNT(AQ15,BT15,CW15)&gt;1,LARGE((AQ15,BT15,CW15),2),0)</f>
        <v>51.29999999999999</v>
      </c>
      <c r="M15" s="8" t="str">
        <f t="shared" si="5"/>
        <v>2023 Domestic 3rd Trial</v>
      </c>
      <c r="N15" s="8">
        <f>IF(COUNT(AR15,BU15,CX15)&gt;0,LARGE((AR15,BU15,CX15),1),0)</f>
        <v>25.9</v>
      </c>
      <c r="O15" s="8" t="str">
        <f t="shared" si="6"/>
        <v>2023 Nationals</v>
      </c>
      <c r="P15" s="8">
        <f t="shared" si="7"/>
        <v>48.5</v>
      </c>
      <c r="Q15" s="8" t="str">
        <f t="shared" si="8"/>
        <v>2023 Nationals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18.399999999999999</v>
      </c>
      <c r="Z15" s="19">
        <v>7.3</v>
      </c>
      <c r="AA15" s="19">
        <v>0</v>
      </c>
      <c r="AB15" s="19">
        <v>0</v>
      </c>
      <c r="AC15" s="19">
        <v>17.399999999999999</v>
      </c>
      <c r="AD15" s="19">
        <v>4.4000000000000004</v>
      </c>
      <c r="AE15" s="19">
        <v>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 t="shared" si="12"/>
        <v>9.6999999999999993</v>
      </c>
      <c r="AQ15" s="41">
        <f t="shared" si="13"/>
        <v>45.499999999999993</v>
      </c>
      <c r="AR15" s="41">
        <f t="shared" si="14"/>
        <v>19.799999999999997</v>
      </c>
      <c r="AS15" s="41">
        <f t="shared" si="15"/>
        <v>14.1</v>
      </c>
      <c r="AT15" s="41">
        <f t="shared" si="16"/>
        <v>65.299999999999983</v>
      </c>
      <c r="AU15" s="41" t="str">
        <f t="shared" si="17"/>
        <v/>
      </c>
      <c r="AV15" s="41" t="str">
        <f t="shared" si="18"/>
        <v/>
      </c>
      <c r="AW15" s="41">
        <f t="shared" si="19"/>
        <v>65.299999999999983</v>
      </c>
      <c r="AX15" s="18">
        <v>18.2</v>
      </c>
      <c r="AY15" s="18">
        <v>6.9</v>
      </c>
      <c r="AZ15" s="18">
        <v>0.6</v>
      </c>
      <c r="BA15" s="18">
        <v>0</v>
      </c>
      <c r="BB15" s="18">
        <v>18.3</v>
      </c>
      <c r="BC15" s="18">
        <v>8.5</v>
      </c>
      <c r="BD15" s="18">
        <v>0.2</v>
      </c>
      <c r="BE15" s="18">
        <v>0.3</v>
      </c>
      <c r="BF15" s="18">
        <v>18.7</v>
      </c>
      <c r="BG15" s="18">
        <v>7.5</v>
      </c>
      <c r="BH15" s="18">
        <v>0.6</v>
      </c>
      <c r="BI15" s="18">
        <v>0.3</v>
      </c>
      <c r="BJ15" s="18">
        <v>18.600000000000001</v>
      </c>
      <c r="BK15" s="18">
        <v>7.3</v>
      </c>
      <c r="BL15" s="18">
        <v>0</v>
      </c>
      <c r="BM15" s="18">
        <v>0</v>
      </c>
      <c r="BN15" s="18">
        <v>17.2</v>
      </c>
      <c r="BO15" s="18">
        <v>5.0999999999999996</v>
      </c>
      <c r="BP15" s="18">
        <v>0</v>
      </c>
      <c r="BQ15" s="18">
        <v>0.3</v>
      </c>
      <c r="BR15" s="29"/>
      <c r="BS15" s="11">
        <f t="shared" si="20"/>
        <v>15.4</v>
      </c>
      <c r="BT15" s="11">
        <f t="shared" si="21"/>
        <v>51.4</v>
      </c>
      <c r="BU15" s="11">
        <f t="shared" si="22"/>
        <v>25.9</v>
      </c>
      <c r="BV15" s="11">
        <f t="shared" si="23"/>
        <v>22.9</v>
      </c>
      <c r="BW15" s="11">
        <f t="shared" si="24"/>
        <v>77.3</v>
      </c>
      <c r="BX15" s="11">
        <f t="shared" si="25"/>
        <v>12.399999999999999</v>
      </c>
      <c r="BY15" s="11">
        <f t="shared" si="26"/>
        <v>48.5</v>
      </c>
      <c r="BZ15" s="11">
        <f t="shared" si="27"/>
        <v>125.8</v>
      </c>
      <c r="CA15" s="19">
        <v>18.3</v>
      </c>
      <c r="CB15" s="19">
        <v>7.7</v>
      </c>
      <c r="CC15" s="19">
        <v>0.2</v>
      </c>
      <c r="CD15" s="19">
        <v>0.3</v>
      </c>
      <c r="CE15" s="19">
        <v>18.5</v>
      </c>
      <c r="CF15" s="19">
        <v>7.3</v>
      </c>
      <c r="CG15" s="19">
        <v>0.6</v>
      </c>
      <c r="CH15" s="19">
        <v>0</v>
      </c>
      <c r="CI15" s="19">
        <v>17.2</v>
      </c>
      <c r="CJ15" s="19">
        <v>5.4</v>
      </c>
      <c r="CK15" s="19">
        <v>0</v>
      </c>
      <c r="CL15" s="19">
        <v>0.3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8"/>
        <v>15</v>
      </c>
      <c r="CW15" s="41">
        <f t="shared" si="29"/>
        <v>51.29999999999999</v>
      </c>
      <c r="CX15" s="41">
        <f t="shared" si="30"/>
        <v>22.900000000000002</v>
      </c>
      <c r="CY15" s="41">
        <f t="shared" si="31"/>
        <v>20.399999999999999</v>
      </c>
      <c r="CZ15" s="41">
        <f t="shared" si="32"/>
        <v>74.199999999999989</v>
      </c>
      <c r="DA15" s="41" t="str">
        <f t="shared" si="33"/>
        <v/>
      </c>
      <c r="DB15" s="41" t="str">
        <f t="shared" si="34"/>
        <v/>
      </c>
      <c r="DC15" s="41">
        <f t="shared" si="35"/>
        <v>74.199999999999989</v>
      </c>
      <c r="DD15" s="52" t="str">
        <f t="shared" si="36"/>
        <v/>
      </c>
      <c r="DE15" s="52" t="str">
        <f t="shared" si="37"/>
        <v/>
      </c>
      <c r="DF15" s="52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39"/>
        <v/>
      </c>
      <c r="EB15" s="41" t="str">
        <f t="shared" si="40"/>
        <v/>
      </c>
      <c r="EC15" s="41" t="str">
        <f t="shared" si="41"/>
        <v/>
      </c>
      <c r="ED15" s="41" t="str">
        <f t="shared" si="42"/>
        <v/>
      </c>
      <c r="EE15" s="41" t="str">
        <f t="shared" si="43"/>
        <v/>
      </c>
      <c r="EF15" s="41" t="str">
        <f t="shared" si="44"/>
        <v/>
      </c>
      <c r="EG15" s="41" t="str">
        <f t="shared" si="45"/>
        <v/>
      </c>
      <c r="EH15" s="41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5"/>
        <v/>
      </c>
      <c r="GF15" s="41" t="str">
        <f t="shared" si="56"/>
        <v/>
      </c>
      <c r="GG15" s="41" t="str">
        <f t="shared" si="57"/>
        <v/>
      </c>
      <c r="GH15" s="41" t="str">
        <f t="shared" si="58"/>
        <v/>
      </c>
      <c r="GI15" s="41" t="str">
        <f t="shared" si="59"/>
        <v/>
      </c>
      <c r="GJ15" s="41" t="str">
        <f t="shared" si="60"/>
        <v/>
      </c>
      <c r="GK15" s="41" t="str">
        <f t="shared" si="61"/>
        <v/>
      </c>
      <c r="GL15" s="41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7"/>
        <v/>
      </c>
      <c r="KN15" s="41" t="str">
        <f t="shared" si="88"/>
        <v/>
      </c>
      <c r="KO15" s="41" t="str">
        <f t="shared" si="89"/>
        <v/>
      </c>
      <c r="KP15" s="41" t="str">
        <f t="shared" si="90"/>
        <v/>
      </c>
      <c r="KQ15" s="41" t="str">
        <f t="shared" si="91"/>
        <v/>
      </c>
      <c r="KR15" s="41" t="str">
        <f t="shared" si="92"/>
        <v/>
      </c>
      <c r="KS15" s="41" t="str">
        <f t="shared" si="93"/>
        <v/>
      </c>
      <c r="KT15" s="41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18.25</v>
      </c>
      <c r="QF15" s="23">
        <f t="shared" si="136"/>
        <v>7.3000000000000007</v>
      </c>
      <c r="QG15" s="23">
        <f t="shared" si="137"/>
        <v>0.4</v>
      </c>
      <c r="QH15" s="23">
        <f t="shared" si="138"/>
        <v>0.15</v>
      </c>
      <c r="QI15" s="23">
        <f t="shared" si="139"/>
        <v>18.399999999999999</v>
      </c>
      <c r="QJ15" s="23">
        <f t="shared" si="140"/>
        <v>7.9</v>
      </c>
      <c r="QK15" s="23">
        <f t="shared" si="141"/>
        <v>0.4</v>
      </c>
      <c r="QL15" s="23">
        <f t="shared" si="142"/>
        <v>0.15</v>
      </c>
      <c r="QM15" s="23">
        <f t="shared" si="143"/>
        <v>17.95</v>
      </c>
      <c r="QN15" s="23">
        <f t="shared" si="144"/>
        <v>6.45</v>
      </c>
      <c r="QO15" s="23">
        <f t="shared" si="145"/>
        <v>0.3</v>
      </c>
      <c r="QP15" s="23">
        <f t="shared" si="146"/>
        <v>0.3</v>
      </c>
      <c r="QQ15" s="23">
        <f t="shared" si="147"/>
        <v>9.3000000000000007</v>
      </c>
      <c r="QR15" s="23">
        <f t="shared" si="148"/>
        <v>3.65</v>
      </c>
      <c r="QS15" s="23">
        <f t="shared" si="149"/>
        <v>0</v>
      </c>
      <c r="QT15" s="23">
        <f t="shared" si="150"/>
        <v>0</v>
      </c>
      <c r="QU15" s="23">
        <f t="shared" si="151"/>
        <v>8.6</v>
      </c>
      <c r="QV15" s="23">
        <f t="shared" si="152"/>
        <v>2.5499999999999998</v>
      </c>
      <c r="QW15" s="23">
        <f t="shared" si="153"/>
        <v>0</v>
      </c>
      <c r="QX15" s="23">
        <f t="shared" si="154"/>
        <v>0.15</v>
      </c>
      <c r="QY15" s="28" t="s">
        <v>57</v>
      </c>
      <c r="QZ15" s="41">
        <f t="shared" si="155"/>
        <v>15.200000000000001</v>
      </c>
      <c r="RA15" s="41">
        <f t="shared" si="156"/>
        <v>51.349999999999994</v>
      </c>
      <c r="RB15" s="41">
        <f t="shared" si="157"/>
        <v>24.4</v>
      </c>
      <c r="RC15" s="41">
        <f t="shared" si="158"/>
        <v>21.650000000000002</v>
      </c>
      <c r="RD15" s="41">
        <f t="shared" si="159"/>
        <v>75.75</v>
      </c>
      <c r="RE15" s="41">
        <f t="shared" si="160"/>
        <v>6.1999999999999993</v>
      </c>
      <c r="RF15" s="41">
        <f t="shared" si="161"/>
        <v>24.25</v>
      </c>
      <c r="RG15" s="41">
        <f t="shared" si="162"/>
        <v>100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249</v>
      </c>
      <c r="C16" s="4" t="s">
        <v>5</v>
      </c>
      <c r="D16" s="4">
        <v>2005</v>
      </c>
      <c r="E16" s="9">
        <f t="shared" si="163"/>
        <v>174.30001250000518</v>
      </c>
      <c r="F16" s="3" t="str">
        <f t="shared" si="0"/>
        <v>P</v>
      </c>
      <c r="G16" s="3" t="str">
        <f t="shared" si="1"/>
        <v>P</v>
      </c>
      <c r="H16" s="37" t="str">
        <f t="shared" si="2"/>
        <v>National Team</v>
      </c>
      <c r="I16" s="3" t="str">
        <f t="shared" si="3"/>
        <v/>
      </c>
      <c r="J16" s="8">
        <f>IF(COUNT(AQ16,BT16,CW16)&gt;0,LARGE((AQ16,BT16,CW16),1),0)</f>
        <v>51.800000000000004</v>
      </c>
      <c r="K16" s="8" t="str">
        <f t="shared" si="4"/>
        <v>2023 Domestic 3rd Trial</v>
      </c>
      <c r="L16" s="8">
        <f>IF(COUNT(AQ16,BT16,CW16)&gt;1,LARGE((AQ16,BT16,CW16),2),0)</f>
        <v>49.7</v>
      </c>
      <c r="M16" s="8" t="str">
        <f t="shared" si="5"/>
        <v>2023 Nationals</v>
      </c>
      <c r="N16" s="8">
        <f>IF(COUNT(AR16,BU16,CX16)&gt;0,LARGE((AR16,BU16,CX16),1),0)</f>
        <v>23.5</v>
      </c>
      <c r="O16" s="8" t="str">
        <f t="shared" si="6"/>
        <v>2023 Nationals</v>
      </c>
      <c r="P16" s="8">
        <f t="shared" si="7"/>
        <v>49.300000000000004</v>
      </c>
      <c r="Q16" s="8" t="str">
        <f t="shared" si="8"/>
        <v>2023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18.3</v>
      </c>
      <c r="V16" s="19">
        <v>6.9</v>
      </c>
      <c r="W16" s="19">
        <v>0.8</v>
      </c>
      <c r="X16" s="19">
        <v>0</v>
      </c>
      <c r="Y16" s="19">
        <v>18.3</v>
      </c>
      <c r="Z16" s="19">
        <v>6.4</v>
      </c>
      <c r="AA16" s="19">
        <v>0.6</v>
      </c>
      <c r="AB16" s="19">
        <v>0</v>
      </c>
      <c r="AC16" s="19">
        <v>18.8</v>
      </c>
      <c r="AD16" s="19">
        <v>4.3</v>
      </c>
      <c r="AE16" s="19">
        <v>0</v>
      </c>
      <c r="AF16" s="19">
        <v>0</v>
      </c>
      <c r="AG16" s="19">
        <v>18</v>
      </c>
      <c r="AH16" s="19">
        <v>6.9</v>
      </c>
      <c r="AI16" s="19">
        <v>0.2</v>
      </c>
      <c r="AJ16" s="19">
        <v>0</v>
      </c>
      <c r="AK16" s="19">
        <v>18.8</v>
      </c>
      <c r="AL16" s="19">
        <v>6.4</v>
      </c>
      <c r="AM16" s="19">
        <v>0.6</v>
      </c>
      <c r="AN16" s="19">
        <v>0</v>
      </c>
      <c r="AO16" s="28"/>
      <c r="AP16" s="41">
        <f t="shared" si="12"/>
        <v>13.3</v>
      </c>
      <c r="AQ16" s="41">
        <f t="shared" si="13"/>
        <v>48.5</v>
      </c>
      <c r="AR16" s="41">
        <f t="shared" si="14"/>
        <v>23.1</v>
      </c>
      <c r="AS16" s="41">
        <f t="shared" si="15"/>
        <v>17.600000000000001</v>
      </c>
      <c r="AT16" s="41">
        <f t="shared" si="16"/>
        <v>71.599999999999994</v>
      </c>
      <c r="AU16" s="41">
        <f t="shared" si="17"/>
        <v>13.3</v>
      </c>
      <c r="AV16" s="41">
        <f t="shared" si="18"/>
        <v>49.300000000000004</v>
      </c>
      <c r="AW16" s="41">
        <f t="shared" si="19"/>
        <v>120.9</v>
      </c>
      <c r="AX16" s="18">
        <v>18.3</v>
      </c>
      <c r="AY16" s="18">
        <v>6.8</v>
      </c>
      <c r="AZ16" s="18">
        <v>0.2</v>
      </c>
      <c r="BA16" s="18">
        <v>0</v>
      </c>
      <c r="BB16" s="18">
        <v>18.3</v>
      </c>
      <c r="BC16" s="18">
        <v>7.3</v>
      </c>
      <c r="BD16" s="18">
        <v>0.8</v>
      </c>
      <c r="BE16" s="18">
        <v>0</v>
      </c>
      <c r="BF16" s="18">
        <v>19.2</v>
      </c>
      <c r="BG16" s="18">
        <v>4.3</v>
      </c>
      <c r="BH16" s="18">
        <v>0</v>
      </c>
      <c r="BI16" s="18">
        <v>0</v>
      </c>
      <c r="BJ16" s="18">
        <v>18.600000000000001</v>
      </c>
      <c r="BK16" s="18">
        <v>6.8</v>
      </c>
      <c r="BL16" s="18">
        <v>0.6</v>
      </c>
      <c r="BM16" s="18">
        <v>0</v>
      </c>
      <c r="BN16" s="18">
        <v>18</v>
      </c>
      <c r="BO16" s="18">
        <v>7.3</v>
      </c>
      <c r="BP16" s="18">
        <v>1</v>
      </c>
      <c r="BQ16" s="18">
        <v>0</v>
      </c>
      <c r="BR16" s="29"/>
      <c r="BS16" s="11">
        <f t="shared" si="20"/>
        <v>14.1</v>
      </c>
      <c r="BT16" s="11">
        <f t="shared" si="21"/>
        <v>49.7</v>
      </c>
      <c r="BU16" s="11">
        <f t="shared" si="22"/>
        <v>23.5</v>
      </c>
      <c r="BV16" s="11">
        <f t="shared" si="23"/>
        <v>18.399999999999999</v>
      </c>
      <c r="BW16" s="11">
        <f t="shared" si="24"/>
        <v>73.2</v>
      </c>
      <c r="BX16" s="11">
        <f t="shared" si="25"/>
        <v>14.1</v>
      </c>
      <c r="BY16" s="11">
        <f t="shared" si="26"/>
        <v>49.1</v>
      </c>
      <c r="BZ16" s="11">
        <f t="shared" si="27"/>
        <v>122.30000000000001</v>
      </c>
      <c r="CA16" s="19">
        <v>18</v>
      </c>
      <c r="CB16" s="19">
        <v>7.7</v>
      </c>
      <c r="CC16" s="19">
        <v>0</v>
      </c>
      <c r="CD16" s="19">
        <v>0.3</v>
      </c>
      <c r="CE16" s="19">
        <v>18.600000000000001</v>
      </c>
      <c r="CF16" s="19">
        <v>7.2</v>
      </c>
      <c r="CG16" s="19">
        <v>0</v>
      </c>
      <c r="CH16" s="19">
        <v>0</v>
      </c>
      <c r="CI16" s="19">
        <v>17</v>
      </c>
      <c r="CJ16" s="19">
        <v>3.6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8"/>
        <v>14.9</v>
      </c>
      <c r="CW16" s="41">
        <f t="shared" si="29"/>
        <v>51.800000000000004</v>
      </c>
      <c r="CX16" s="41">
        <f t="shared" si="30"/>
        <v>20.6</v>
      </c>
      <c r="CY16" s="41">
        <f t="shared" si="31"/>
        <v>18.5</v>
      </c>
      <c r="CZ16" s="41">
        <f t="shared" si="32"/>
        <v>72.400000000000006</v>
      </c>
      <c r="DA16" s="41" t="str">
        <f t="shared" si="33"/>
        <v/>
      </c>
      <c r="DB16" s="41" t="str">
        <f t="shared" si="34"/>
        <v/>
      </c>
      <c r="DC16" s="41">
        <f t="shared" si="35"/>
        <v>72.400000000000006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18.149999999999999</v>
      </c>
      <c r="QF16" s="23">
        <f t="shared" si="136"/>
        <v>7.25</v>
      </c>
      <c r="QG16" s="23">
        <f t="shared" si="137"/>
        <v>0.1</v>
      </c>
      <c r="QH16" s="23">
        <f t="shared" si="138"/>
        <v>0.15</v>
      </c>
      <c r="QI16" s="23">
        <f t="shared" si="139"/>
        <v>18.450000000000003</v>
      </c>
      <c r="QJ16" s="23">
        <f t="shared" si="140"/>
        <v>7.25</v>
      </c>
      <c r="QK16" s="23">
        <f t="shared" si="141"/>
        <v>0.4</v>
      </c>
      <c r="QL16" s="23">
        <f t="shared" si="142"/>
        <v>0</v>
      </c>
      <c r="QM16" s="23">
        <f t="shared" si="143"/>
        <v>18.100000000000001</v>
      </c>
      <c r="QN16" s="23">
        <f t="shared" si="144"/>
        <v>3.95</v>
      </c>
      <c r="QO16" s="23">
        <f t="shared" si="145"/>
        <v>0</v>
      </c>
      <c r="QP16" s="23">
        <f t="shared" si="146"/>
        <v>0</v>
      </c>
      <c r="QQ16" s="23">
        <f t="shared" si="147"/>
        <v>9.3000000000000007</v>
      </c>
      <c r="QR16" s="23">
        <f t="shared" si="148"/>
        <v>3.4</v>
      </c>
      <c r="QS16" s="23">
        <f t="shared" si="149"/>
        <v>0.3</v>
      </c>
      <c r="QT16" s="23">
        <f t="shared" si="150"/>
        <v>0</v>
      </c>
      <c r="QU16" s="23">
        <f t="shared" si="151"/>
        <v>9</v>
      </c>
      <c r="QV16" s="23">
        <f t="shared" si="152"/>
        <v>3.65</v>
      </c>
      <c r="QW16" s="23">
        <f t="shared" si="153"/>
        <v>0.5</v>
      </c>
      <c r="QX16" s="23">
        <f t="shared" si="154"/>
        <v>0</v>
      </c>
      <c r="QY16" s="28" t="s">
        <v>57</v>
      </c>
      <c r="QZ16" s="41">
        <f t="shared" si="155"/>
        <v>14.5</v>
      </c>
      <c r="RA16" s="41">
        <f t="shared" si="156"/>
        <v>50.75</v>
      </c>
      <c r="RB16" s="41">
        <f t="shared" si="157"/>
        <v>22.05</v>
      </c>
      <c r="RC16" s="41">
        <f t="shared" si="158"/>
        <v>18.45</v>
      </c>
      <c r="RD16" s="41">
        <f t="shared" si="159"/>
        <v>72.8</v>
      </c>
      <c r="RE16" s="41">
        <f t="shared" si="160"/>
        <v>7.05</v>
      </c>
      <c r="RF16" s="41">
        <f t="shared" si="161"/>
        <v>24.55</v>
      </c>
      <c r="RG16" s="41">
        <f t="shared" si="162"/>
        <v>97.35</v>
      </c>
    </row>
    <row r="17" spans="1:475" x14ac:dyDescent="0.2">
      <c r="A17" s="4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>14</v>
      </c>
      <c r="B17" s="5" t="s">
        <v>171</v>
      </c>
      <c r="C17" s="4" t="s">
        <v>5</v>
      </c>
      <c r="D17" s="4">
        <v>1999</v>
      </c>
      <c r="E17" s="9">
        <f t="shared" si="163"/>
        <v>174.25001224500502</v>
      </c>
      <c r="F17" s="3" t="str">
        <f t="shared" si="0"/>
        <v>P</v>
      </c>
      <c r="G17" s="3" t="str">
        <f t="shared" si="1"/>
        <v>P</v>
      </c>
      <c r="H17" s="37" t="str">
        <f t="shared" si="2"/>
        <v>National Team</v>
      </c>
      <c r="I17" s="3" t="str">
        <f t="shared" si="3"/>
        <v/>
      </c>
      <c r="J17" s="8">
        <f>IF(COUNT(AQ17,BT17,CW17)&gt;0,LARGE((AQ17,BT17,CW17),1),0)</f>
        <v>50.300000000000004</v>
      </c>
      <c r="K17" s="8" t="str">
        <f t="shared" si="4"/>
        <v>2023 Nationals</v>
      </c>
      <c r="L17" s="8">
        <f>IF(COUNT(AQ17,BT17,CW17)&gt;1,LARGE((AQ17,BT17,CW17),2),0)</f>
        <v>48.1</v>
      </c>
      <c r="M17" s="8" t="str">
        <f t="shared" si="5"/>
        <v>2023 Elite Canada</v>
      </c>
      <c r="N17" s="8">
        <f>IF(COUNT(AR17,BU17,CX17)&gt;0,LARGE((AR17,BU17,CX17),1),0)</f>
        <v>24.05</v>
      </c>
      <c r="O17" s="8" t="str">
        <f t="shared" si="6"/>
        <v>2023 Nationals</v>
      </c>
      <c r="P17" s="8">
        <f t="shared" si="7"/>
        <v>26.4</v>
      </c>
      <c r="Q17" s="8" t="str">
        <f t="shared" si="8"/>
        <v>2023 Nationals</v>
      </c>
      <c r="R17" s="8">
        <f t="shared" si="9"/>
        <v>25.400000000000006</v>
      </c>
      <c r="S17" s="11" t="str">
        <f t="shared" si="10"/>
        <v>(Final)</v>
      </c>
      <c r="T17" s="8" t="str">
        <f t="shared" si="11"/>
        <v>2023 Pan Am Championships (May 14)</v>
      </c>
      <c r="U17" s="19">
        <v>18.399999999999999</v>
      </c>
      <c r="V17" s="19">
        <v>7.6</v>
      </c>
      <c r="W17" s="19">
        <v>0.6</v>
      </c>
      <c r="X17" s="19">
        <v>0</v>
      </c>
      <c r="Y17" s="19">
        <v>16.5</v>
      </c>
      <c r="Z17" s="19">
        <v>7.2</v>
      </c>
      <c r="AA17" s="19">
        <v>1</v>
      </c>
      <c r="AB17" s="19">
        <v>0</v>
      </c>
      <c r="AC17" s="19">
        <v>18.3</v>
      </c>
      <c r="AD17" s="19">
        <v>5.2</v>
      </c>
      <c r="AE17" s="19">
        <v>1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 t="shared" si="12"/>
        <v>14.8</v>
      </c>
      <c r="AQ17" s="41">
        <f t="shared" si="13"/>
        <v>48.1</v>
      </c>
      <c r="AR17" s="41">
        <f t="shared" si="14"/>
        <v>22.5</v>
      </c>
      <c r="AS17" s="41">
        <f t="shared" si="15"/>
        <v>20</v>
      </c>
      <c r="AT17" s="41">
        <f t="shared" si="16"/>
        <v>70.599999999999994</v>
      </c>
      <c r="AU17" s="41" t="str">
        <f t="shared" si="17"/>
        <v/>
      </c>
      <c r="AV17" s="41" t="str">
        <f t="shared" si="18"/>
        <v/>
      </c>
      <c r="AW17" s="41">
        <f t="shared" si="19"/>
        <v>70.599999999999994</v>
      </c>
      <c r="AX17" s="18">
        <v>18.600000000000001</v>
      </c>
      <c r="AY17" s="18">
        <v>7.6</v>
      </c>
      <c r="AZ17" s="18">
        <v>0.7</v>
      </c>
      <c r="BA17" s="18">
        <v>0</v>
      </c>
      <c r="BB17" s="18">
        <v>17.7</v>
      </c>
      <c r="BC17" s="18">
        <v>7.6</v>
      </c>
      <c r="BD17" s="18">
        <v>0.5</v>
      </c>
      <c r="BE17" s="18">
        <v>0</v>
      </c>
      <c r="BF17" s="18">
        <v>18.55</v>
      </c>
      <c r="BG17" s="18">
        <v>6</v>
      </c>
      <c r="BH17" s="18">
        <v>0.5</v>
      </c>
      <c r="BI17" s="18">
        <v>0</v>
      </c>
      <c r="BJ17" s="18">
        <v>9.4</v>
      </c>
      <c r="BK17" s="18">
        <v>3.8</v>
      </c>
      <c r="BL17" s="18">
        <v>0</v>
      </c>
      <c r="BM17" s="18">
        <v>0</v>
      </c>
      <c r="BN17" s="18">
        <v>9.3000000000000007</v>
      </c>
      <c r="BO17" s="18">
        <v>4</v>
      </c>
      <c r="BP17" s="18">
        <v>0.1</v>
      </c>
      <c r="BQ17" s="18">
        <v>0</v>
      </c>
      <c r="BR17" s="29" t="s">
        <v>57</v>
      </c>
      <c r="BS17" s="11">
        <f t="shared" si="20"/>
        <v>15.2</v>
      </c>
      <c r="BT17" s="11">
        <f t="shared" si="21"/>
        <v>50.300000000000004</v>
      </c>
      <c r="BU17" s="11">
        <f t="shared" si="22"/>
        <v>24.05</v>
      </c>
      <c r="BV17" s="11">
        <f t="shared" si="23"/>
        <v>21.2</v>
      </c>
      <c r="BW17" s="11">
        <f t="shared" si="24"/>
        <v>74.350000000000009</v>
      </c>
      <c r="BX17" s="11">
        <f t="shared" si="25"/>
        <v>7.8</v>
      </c>
      <c r="BY17" s="11">
        <f t="shared" si="26"/>
        <v>26.4</v>
      </c>
      <c r="BZ17" s="11">
        <f t="shared" si="27"/>
        <v>100.75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 t="shared" si="28"/>
        <v/>
      </c>
      <c r="CW17" s="41" t="str">
        <f t="shared" si="29"/>
        <v/>
      </c>
      <c r="CX17" s="41" t="str">
        <f t="shared" si="30"/>
        <v/>
      </c>
      <c r="CY17" s="41" t="str">
        <f t="shared" si="31"/>
        <v/>
      </c>
      <c r="CZ17" s="41" t="str">
        <f t="shared" si="32"/>
        <v/>
      </c>
      <c r="DA17" s="41" t="str">
        <f t="shared" si="33"/>
        <v/>
      </c>
      <c r="DB17" s="41" t="str">
        <f t="shared" si="34"/>
        <v/>
      </c>
      <c r="DC17" s="41" t="str">
        <f t="shared" si="35"/>
        <v/>
      </c>
      <c r="DD17" s="52">
        <f t="shared" si="36"/>
        <v>3.5</v>
      </c>
      <c r="DE17" s="52" t="str">
        <f t="shared" si="37"/>
        <v/>
      </c>
      <c r="DF17" s="52">
        <f t="shared" si="38"/>
        <v>25.400000000000006</v>
      </c>
      <c r="DG17" s="17">
        <v>18.2</v>
      </c>
      <c r="DH17" s="17">
        <v>8.4</v>
      </c>
      <c r="DI17" s="17">
        <v>1</v>
      </c>
      <c r="DJ17" s="17">
        <v>0</v>
      </c>
      <c r="DK17" s="17">
        <v>18.399999999999999</v>
      </c>
      <c r="DL17" s="17">
        <v>7.6</v>
      </c>
      <c r="DM17" s="17">
        <v>0</v>
      </c>
      <c r="DN17" s="17">
        <v>0</v>
      </c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>
        <f t="shared" si="39"/>
        <v>16</v>
      </c>
      <c r="EB17" s="41">
        <f t="shared" si="40"/>
        <v>51.6</v>
      </c>
      <c r="EC17" s="41" t="str">
        <f t="shared" si="41"/>
        <v/>
      </c>
      <c r="ED17" s="41">
        <f t="shared" si="42"/>
        <v>16</v>
      </c>
      <c r="EE17" s="41">
        <f t="shared" si="43"/>
        <v>51.6</v>
      </c>
      <c r="EF17" s="41" t="str">
        <f t="shared" si="44"/>
        <v/>
      </c>
      <c r="EG17" s="41" t="str">
        <f t="shared" si="45"/>
        <v/>
      </c>
      <c r="EH17" s="41">
        <f t="shared" si="46"/>
        <v>51.6</v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>
        <v>18</v>
      </c>
      <c r="EZ17" s="18">
        <v>7.6</v>
      </c>
      <c r="FA17" s="18">
        <v>1</v>
      </c>
      <c r="FB17" s="18">
        <v>0</v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>
        <f t="shared" si="52"/>
        <v>7.6</v>
      </c>
      <c r="FI17" s="11">
        <f t="shared" si="53"/>
        <v>24.6</v>
      </c>
      <c r="FJ17" s="11">
        <f t="shared" si="54"/>
        <v>24.6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5"/>
        <v/>
      </c>
      <c r="GF17" s="41" t="str">
        <f t="shared" si="56"/>
        <v/>
      </c>
      <c r="GG17" s="41" t="str">
        <f t="shared" si="57"/>
        <v/>
      </c>
      <c r="GH17" s="41" t="str">
        <f t="shared" si="58"/>
        <v/>
      </c>
      <c r="GI17" s="41" t="str">
        <f t="shared" si="59"/>
        <v/>
      </c>
      <c r="GJ17" s="41" t="str">
        <f t="shared" si="60"/>
        <v/>
      </c>
      <c r="GK17" s="41" t="str">
        <f t="shared" si="61"/>
        <v/>
      </c>
      <c r="GL17" s="41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1"/>
        <v/>
      </c>
      <c r="IJ17" s="41" t="str">
        <f t="shared" si="72"/>
        <v/>
      </c>
      <c r="IK17" s="41" t="str">
        <f t="shared" si="73"/>
        <v/>
      </c>
      <c r="IL17" s="41" t="str">
        <f t="shared" si="74"/>
        <v/>
      </c>
      <c r="IM17" s="41" t="str">
        <f t="shared" si="75"/>
        <v/>
      </c>
      <c r="IN17" s="41" t="str">
        <f t="shared" si="76"/>
        <v/>
      </c>
      <c r="IO17" s="41" t="str">
        <f t="shared" si="77"/>
        <v/>
      </c>
      <c r="IP17" s="41" t="str">
        <f t="shared" si="78"/>
        <v/>
      </c>
      <c r="IQ17" s="18">
        <v>18.5</v>
      </c>
      <c r="IR17" s="18">
        <v>7.2</v>
      </c>
      <c r="IS17" s="18">
        <v>0.6</v>
      </c>
      <c r="IT17" s="18">
        <v>0</v>
      </c>
      <c r="IU17" s="18">
        <v>18.8</v>
      </c>
      <c r="IV17" s="18">
        <v>6.8</v>
      </c>
      <c r="IW17" s="18">
        <v>0</v>
      </c>
      <c r="IX17" s="18">
        <v>0</v>
      </c>
      <c r="IY17" s="18"/>
      <c r="IZ17" s="18"/>
      <c r="JA17" s="18"/>
      <c r="JB17" s="18"/>
      <c r="JC17" s="18">
        <v>18.8</v>
      </c>
      <c r="JD17" s="18">
        <v>7.6</v>
      </c>
      <c r="JE17" s="18">
        <v>0</v>
      </c>
      <c r="JF17" s="18">
        <v>0</v>
      </c>
      <c r="JG17" s="18">
        <v>18.8</v>
      </c>
      <c r="JH17" s="18">
        <v>7.2</v>
      </c>
      <c r="JI17" s="18">
        <v>0.6</v>
      </c>
      <c r="JJ17" s="18">
        <v>0</v>
      </c>
      <c r="JK17" s="11">
        <f t="shared" si="79"/>
        <v>14</v>
      </c>
      <c r="JL17" s="11">
        <f t="shared" si="80"/>
        <v>50.699999999999996</v>
      </c>
      <c r="JM17" s="11" t="str">
        <f t="shared" si="81"/>
        <v/>
      </c>
      <c r="JN17" s="11">
        <f t="shared" si="82"/>
        <v>14</v>
      </c>
      <c r="JO17" s="11">
        <f t="shared" si="83"/>
        <v>50.699999999999996</v>
      </c>
      <c r="JP17" s="11">
        <f t="shared" si="84"/>
        <v>14.8</v>
      </c>
      <c r="JQ17" s="11">
        <f t="shared" si="85"/>
        <v>51.800000000000004</v>
      </c>
      <c r="JR17" s="11">
        <f t="shared" si="86"/>
        <v>102.5</v>
      </c>
      <c r="JS17" s="17">
        <v>18.5</v>
      </c>
      <c r="JT17" s="17">
        <v>6.8</v>
      </c>
      <c r="JU17" s="17">
        <v>0.6</v>
      </c>
      <c r="JV17" s="17">
        <v>0</v>
      </c>
      <c r="JW17" s="17">
        <v>18.399999999999999</v>
      </c>
      <c r="JX17" s="17">
        <v>8.5</v>
      </c>
      <c r="JY17" s="17">
        <v>0.2</v>
      </c>
      <c r="JZ17" s="17">
        <v>0</v>
      </c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>
        <f t="shared" si="87"/>
        <v>15.3</v>
      </c>
      <c r="KN17" s="41">
        <f t="shared" si="88"/>
        <v>51.4</v>
      </c>
      <c r="KO17" s="41" t="str">
        <f t="shared" si="89"/>
        <v/>
      </c>
      <c r="KP17" s="41">
        <f t="shared" si="90"/>
        <v>15.3</v>
      </c>
      <c r="KQ17" s="41">
        <f t="shared" si="91"/>
        <v>51.4</v>
      </c>
      <c r="KR17" s="41" t="str">
        <f t="shared" si="92"/>
        <v/>
      </c>
      <c r="KS17" s="41" t="str">
        <f t="shared" si="93"/>
        <v/>
      </c>
      <c r="KT17" s="41">
        <f t="shared" si="94"/>
        <v>51.4</v>
      </c>
      <c r="KU17" s="18">
        <v>16.7</v>
      </c>
      <c r="KV17" s="18">
        <v>8.4</v>
      </c>
      <c r="KW17" s="18">
        <v>1</v>
      </c>
      <c r="KX17" s="18">
        <v>0</v>
      </c>
      <c r="KY17" s="18">
        <v>17.399999999999999</v>
      </c>
      <c r="KZ17" s="18">
        <v>3.6</v>
      </c>
      <c r="LA17" s="18">
        <v>0</v>
      </c>
      <c r="LB17" s="18">
        <v>0</v>
      </c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>
        <f t="shared" si="95"/>
        <v>12</v>
      </c>
      <c r="LP17" s="11">
        <f t="shared" si="96"/>
        <v>45.1</v>
      </c>
      <c r="LQ17" s="11" t="str">
        <f t="shared" si="97"/>
        <v/>
      </c>
      <c r="LR17" s="11">
        <f t="shared" si="98"/>
        <v>12</v>
      </c>
      <c r="LS17" s="11">
        <f t="shared" si="99"/>
        <v>45.1</v>
      </c>
      <c r="LT17" s="11" t="str">
        <f t="shared" si="100"/>
        <v/>
      </c>
      <c r="LU17" s="11" t="str">
        <f t="shared" si="101"/>
        <v/>
      </c>
      <c r="LV17" s="11">
        <f t="shared" si="102"/>
        <v>45.1</v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9.3000000000000007</v>
      </c>
      <c r="QF17" s="23">
        <f t="shared" si="136"/>
        <v>3.8</v>
      </c>
      <c r="QG17" s="23">
        <f t="shared" si="137"/>
        <v>0.35</v>
      </c>
      <c r="QH17" s="23">
        <f t="shared" si="138"/>
        <v>0</v>
      </c>
      <c r="QI17" s="23">
        <f t="shared" si="139"/>
        <v>8.85</v>
      </c>
      <c r="QJ17" s="23">
        <f t="shared" si="140"/>
        <v>3.8</v>
      </c>
      <c r="QK17" s="23">
        <f t="shared" si="141"/>
        <v>0.25</v>
      </c>
      <c r="QL17" s="23">
        <f t="shared" si="142"/>
        <v>0</v>
      </c>
      <c r="QM17" s="23">
        <f t="shared" si="143"/>
        <v>9.2750000000000004</v>
      </c>
      <c r="QN17" s="23">
        <f t="shared" si="144"/>
        <v>3</v>
      </c>
      <c r="QO17" s="23">
        <f t="shared" si="145"/>
        <v>0.25</v>
      </c>
      <c r="QP17" s="23">
        <f t="shared" si="146"/>
        <v>0</v>
      </c>
      <c r="QQ17" s="23">
        <f t="shared" si="147"/>
        <v>4.7</v>
      </c>
      <c r="QR17" s="23">
        <f t="shared" si="148"/>
        <v>1.9</v>
      </c>
      <c r="QS17" s="23">
        <f t="shared" si="149"/>
        <v>0</v>
      </c>
      <c r="QT17" s="23">
        <f t="shared" si="150"/>
        <v>0</v>
      </c>
      <c r="QU17" s="23">
        <f t="shared" si="151"/>
        <v>4.6500000000000004</v>
      </c>
      <c r="QV17" s="23">
        <f t="shared" si="152"/>
        <v>2</v>
      </c>
      <c r="QW17" s="23">
        <f t="shared" si="153"/>
        <v>0.05</v>
      </c>
      <c r="QX17" s="23">
        <f t="shared" si="154"/>
        <v>0</v>
      </c>
      <c r="QY17" s="28" t="s">
        <v>57</v>
      </c>
      <c r="QZ17" s="41">
        <f t="shared" si="155"/>
        <v>7.6</v>
      </c>
      <c r="RA17" s="41">
        <f t="shared" si="156"/>
        <v>25.150000000000002</v>
      </c>
      <c r="RB17" s="41">
        <f t="shared" si="157"/>
        <v>12.025</v>
      </c>
      <c r="RC17" s="41">
        <f t="shared" si="158"/>
        <v>10.6</v>
      </c>
      <c r="RD17" s="41">
        <f t="shared" si="159"/>
        <v>37.175000000000004</v>
      </c>
      <c r="RE17" s="41">
        <f t="shared" si="160"/>
        <v>3.9</v>
      </c>
      <c r="RF17" s="41">
        <f t="shared" si="161"/>
        <v>13.2</v>
      </c>
      <c r="RG17" s="41">
        <f t="shared" si="162"/>
        <v>50.375</v>
      </c>
    </row>
    <row r="18" spans="1:475" x14ac:dyDescent="0.2">
      <c r="A18" s="4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>15</v>
      </c>
      <c r="B18" s="5" t="s">
        <v>77</v>
      </c>
      <c r="C18" s="4" t="s">
        <v>76</v>
      </c>
      <c r="D18" s="4">
        <v>2001</v>
      </c>
      <c r="E18" s="9">
        <f t="shared" si="163"/>
        <v>156.15001310500523</v>
      </c>
      <c r="F18" s="3" t="str">
        <f t="shared" si="0"/>
        <v>P</v>
      </c>
      <c r="G18" s="3" t="str">
        <f t="shared" si="1"/>
        <v>P</v>
      </c>
      <c r="H18" s="37" t="str">
        <f t="shared" si="2"/>
        <v>Worlds Team</v>
      </c>
      <c r="I18" s="3" t="str">
        <f t="shared" si="3"/>
        <v>P</v>
      </c>
      <c r="J18" s="8">
        <f>IF(COUNT(AQ18,BT18,CW18)&gt;0,LARGE((AQ18,BT18,CW18),1),0)</f>
        <v>52.599999999999994</v>
      </c>
      <c r="K18" s="8" t="str">
        <f t="shared" si="4"/>
        <v>2023 Nationals</v>
      </c>
      <c r="L18" s="8">
        <f>IF(COUNT(AQ18,BT18,CW18)&gt;1,LARGE((AQ18,BT18,CW18),2),0)</f>
        <v>51.649999999999991</v>
      </c>
      <c r="M18" s="8" t="str">
        <f t="shared" si="5"/>
        <v>2023 Domestic 3rd Trial</v>
      </c>
      <c r="N18" s="8">
        <f>IF(COUNT(AR18,BU18,CX18)&gt;0,LARGE((AR18,BU18,CX18),1),0)</f>
        <v>26.8</v>
      </c>
      <c r="O18" s="8" t="str">
        <f t="shared" si="6"/>
        <v>2023 Nationals</v>
      </c>
      <c r="P18" s="8">
        <f t="shared" si="7"/>
        <v>25.1</v>
      </c>
      <c r="Q18" s="8" t="str">
        <f t="shared" si="8"/>
        <v>2023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16.8</v>
      </c>
      <c r="V18" s="19">
        <v>7.2</v>
      </c>
      <c r="W18" s="19">
        <v>0.2</v>
      </c>
      <c r="X18" s="19">
        <v>0</v>
      </c>
      <c r="Y18" s="19">
        <v>19</v>
      </c>
      <c r="Z18" s="19">
        <v>7.6</v>
      </c>
      <c r="AA18" s="19">
        <v>0</v>
      </c>
      <c r="AB18" s="19">
        <v>0.3</v>
      </c>
      <c r="AC18" s="19">
        <v>17.399999999999999</v>
      </c>
      <c r="AD18" s="19">
        <v>2.8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 t="shared" si="12"/>
        <v>14.8</v>
      </c>
      <c r="AQ18" s="41">
        <f t="shared" si="13"/>
        <v>50.699999999999996</v>
      </c>
      <c r="AR18" s="41">
        <f t="shared" si="14"/>
        <v>20.2</v>
      </c>
      <c r="AS18" s="41">
        <f t="shared" si="15"/>
        <v>17.600000000000001</v>
      </c>
      <c r="AT18" s="41">
        <f t="shared" si="16"/>
        <v>70.899999999999991</v>
      </c>
      <c r="AU18" s="41" t="str">
        <f t="shared" si="17"/>
        <v/>
      </c>
      <c r="AV18" s="41" t="str">
        <f t="shared" si="18"/>
        <v/>
      </c>
      <c r="AW18" s="41">
        <f t="shared" si="19"/>
        <v>70.899999999999991</v>
      </c>
      <c r="AX18" s="18">
        <v>18.7</v>
      </c>
      <c r="AY18" s="18">
        <v>8.4</v>
      </c>
      <c r="AZ18" s="18">
        <v>0.2</v>
      </c>
      <c r="BA18" s="18">
        <v>0</v>
      </c>
      <c r="BB18" s="18">
        <v>18.600000000000001</v>
      </c>
      <c r="BC18" s="18">
        <v>6.8</v>
      </c>
      <c r="BD18" s="18">
        <v>0</v>
      </c>
      <c r="BE18" s="18">
        <v>0.3</v>
      </c>
      <c r="BF18" s="18">
        <v>19.100000000000001</v>
      </c>
      <c r="BG18" s="18">
        <v>8</v>
      </c>
      <c r="BH18" s="18">
        <v>0.6</v>
      </c>
      <c r="BI18" s="18">
        <v>0.3</v>
      </c>
      <c r="BJ18" s="18">
        <v>18.5</v>
      </c>
      <c r="BK18" s="18">
        <v>6.8</v>
      </c>
      <c r="BL18" s="18">
        <v>0.2</v>
      </c>
      <c r="BM18" s="18">
        <v>0</v>
      </c>
      <c r="BN18" s="18"/>
      <c r="BO18" s="18"/>
      <c r="BP18" s="18"/>
      <c r="BQ18" s="18"/>
      <c r="BR18" s="29"/>
      <c r="BS18" s="11">
        <f t="shared" si="20"/>
        <v>15.2</v>
      </c>
      <c r="BT18" s="11">
        <f t="shared" si="21"/>
        <v>52.599999999999994</v>
      </c>
      <c r="BU18" s="11">
        <f t="shared" si="22"/>
        <v>26.8</v>
      </c>
      <c r="BV18" s="11">
        <f t="shared" si="23"/>
        <v>23.2</v>
      </c>
      <c r="BW18" s="11">
        <f t="shared" si="24"/>
        <v>79.399999999999991</v>
      </c>
      <c r="BX18" s="11">
        <f t="shared" si="25"/>
        <v>6.8</v>
      </c>
      <c r="BY18" s="11">
        <f t="shared" si="26"/>
        <v>25.1</v>
      </c>
      <c r="BZ18" s="11">
        <f t="shared" si="27"/>
        <v>104.5</v>
      </c>
      <c r="CA18" s="19">
        <v>17.75</v>
      </c>
      <c r="CB18" s="19">
        <v>7.8000000000000007</v>
      </c>
      <c r="CC18" s="19">
        <v>0.2</v>
      </c>
      <c r="CD18" s="19">
        <v>0</v>
      </c>
      <c r="CE18" s="19">
        <v>18.8</v>
      </c>
      <c r="CF18" s="19">
        <v>7.1999999999999993</v>
      </c>
      <c r="CG18" s="19">
        <v>0</v>
      </c>
      <c r="CH18" s="19">
        <v>0.3</v>
      </c>
      <c r="CI18" s="19">
        <v>18.25</v>
      </c>
      <c r="CJ18" s="19">
        <v>5.4</v>
      </c>
      <c r="CK18" s="19">
        <v>0.3</v>
      </c>
      <c r="CL18" s="19">
        <v>0.15</v>
      </c>
      <c r="CM18" s="19">
        <v>9.25</v>
      </c>
      <c r="CN18" s="19">
        <v>3.4</v>
      </c>
      <c r="CO18" s="19">
        <v>0.1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8" t="s">
        <v>57</v>
      </c>
      <c r="CV18" s="41">
        <f t="shared" si="28"/>
        <v>15</v>
      </c>
      <c r="CW18" s="41">
        <f t="shared" si="29"/>
        <v>51.649999999999991</v>
      </c>
      <c r="CX18" s="41">
        <f t="shared" si="30"/>
        <v>23.499999999999996</v>
      </c>
      <c r="CY18" s="41">
        <f t="shared" si="31"/>
        <v>20.399999999999999</v>
      </c>
      <c r="CZ18" s="41">
        <f t="shared" si="32"/>
        <v>75.149999999999991</v>
      </c>
      <c r="DA18" s="41">
        <f t="shared" si="33"/>
        <v>3.4</v>
      </c>
      <c r="DB18" s="41">
        <f t="shared" si="34"/>
        <v>12.55</v>
      </c>
      <c r="DC18" s="41">
        <f t="shared" si="35"/>
        <v>87.699999999999989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9"/>
        <v/>
      </c>
      <c r="EB18" s="41" t="str">
        <f t="shared" si="40"/>
        <v/>
      </c>
      <c r="EC18" s="41" t="str">
        <f t="shared" si="41"/>
        <v/>
      </c>
      <c r="ED18" s="41" t="str">
        <f t="shared" si="42"/>
        <v/>
      </c>
      <c r="EE18" s="41" t="str">
        <f t="shared" si="43"/>
        <v/>
      </c>
      <c r="EF18" s="41" t="str">
        <f t="shared" si="44"/>
        <v/>
      </c>
      <c r="EG18" s="41" t="str">
        <f t="shared" si="45"/>
        <v/>
      </c>
      <c r="EH18" s="41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>
        <v>18.600000000000001</v>
      </c>
      <c r="GN18" s="18">
        <v>8.4</v>
      </c>
      <c r="GO18" s="18">
        <v>0.8</v>
      </c>
      <c r="GP18" s="18">
        <v>0</v>
      </c>
      <c r="GQ18" s="18">
        <v>0</v>
      </c>
      <c r="GR18" s="18">
        <v>0</v>
      </c>
      <c r="GS18" s="18">
        <v>0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 t="shared" si="63"/>
        <v>8.4</v>
      </c>
      <c r="HH18" s="11">
        <f t="shared" si="64"/>
        <v>26.2</v>
      </c>
      <c r="HI18" s="11" t="str">
        <f t="shared" si="65"/>
        <v/>
      </c>
      <c r="HJ18" s="11">
        <f t="shared" si="66"/>
        <v>8.4</v>
      </c>
      <c r="HK18" s="11">
        <f t="shared" si="67"/>
        <v>26.2</v>
      </c>
      <c r="HL18" s="11" t="str">
        <f t="shared" si="68"/>
        <v/>
      </c>
      <c r="HM18" s="11" t="str">
        <f t="shared" si="69"/>
        <v/>
      </c>
      <c r="HN18" s="11">
        <f t="shared" si="70"/>
        <v>26.2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17.75</v>
      </c>
      <c r="QF18" s="23">
        <f t="shared" si="136"/>
        <v>7.8000000000000007</v>
      </c>
      <c r="QG18" s="23">
        <f t="shared" si="137"/>
        <v>0.2</v>
      </c>
      <c r="QH18" s="23">
        <f t="shared" si="138"/>
        <v>0</v>
      </c>
      <c r="QI18" s="23">
        <f t="shared" si="139"/>
        <v>18.8</v>
      </c>
      <c r="QJ18" s="23">
        <f t="shared" si="140"/>
        <v>7.1999999999999993</v>
      </c>
      <c r="QK18" s="23">
        <f t="shared" si="141"/>
        <v>0</v>
      </c>
      <c r="QL18" s="23">
        <f t="shared" si="142"/>
        <v>0.3</v>
      </c>
      <c r="QM18" s="23">
        <f t="shared" si="143"/>
        <v>18.25</v>
      </c>
      <c r="QN18" s="23">
        <f t="shared" si="144"/>
        <v>5.4</v>
      </c>
      <c r="QO18" s="23">
        <f t="shared" si="145"/>
        <v>0.3</v>
      </c>
      <c r="QP18" s="23">
        <f t="shared" si="146"/>
        <v>0.15</v>
      </c>
      <c r="QQ18" s="23">
        <f t="shared" si="147"/>
        <v>9.25</v>
      </c>
      <c r="QR18" s="23">
        <f t="shared" si="148"/>
        <v>3.4</v>
      </c>
      <c r="QS18" s="23">
        <f t="shared" si="149"/>
        <v>0.1</v>
      </c>
      <c r="QT18" s="23">
        <f t="shared" si="150"/>
        <v>0</v>
      </c>
      <c r="QU18" s="23">
        <f t="shared" si="151"/>
        <v>0</v>
      </c>
      <c r="QV18" s="23">
        <f t="shared" si="152"/>
        <v>0</v>
      </c>
      <c r="QW18" s="23">
        <f t="shared" si="153"/>
        <v>0</v>
      </c>
      <c r="QX18" s="23">
        <f t="shared" si="154"/>
        <v>0</v>
      </c>
      <c r="QY18" s="28" t="s">
        <v>57</v>
      </c>
      <c r="QZ18" s="41">
        <f t="shared" si="155"/>
        <v>15</v>
      </c>
      <c r="RA18" s="41">
        <f t="shared" si="156"/>
        <v>51.649999999999991</v>
      </c>
      <c r="RB18" s="41">
        <f t="shared" si="157"/>
        <v>23.499999999999996</v>
      </c>
      <c r="RC18" s="41">
        <f t="shared" si="158"/>
        <v>20.399999999999999</v>
      </c>
      <c r="RD18" s="41">
        <f t="shared" si="159"/>
        <v>75.149999999999991</v>
      </c>
      <c r="RE18" s="41">
        <f t="shared" si="160"/>
        <v>3.4</v>
      </c>
      <c r="RF18" s="41">
        <f t="shared" si="161"/>
        <v>12.55</v>
      </c>
      <c r="RG18" s="41">
        <f t="shared" si="162"/>
        <v>87.699999999999989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196</v>
      </c>
      <c r="C19" s="4" t="s">
        <v>3</v>
      </c>
      <c r="D19" s="4">
        <v>2005</v>
      </c>
      <c r="E19" s="9">
        <f t="shared" si="163"/>
        <v>176.20001258000505</v>
      </c>
      <c r="F19" s="3" t="str">
        <f t="shared" si="0"/>
        <v/>
      </c>
      <c r="G19" s="3" t="str">
        <f t="shared" si="1"/>
        <v/>
      </c>
      <c r="H19" s="37" t="str">
        <f t="shared" si="2"/>
        <v/>
      </c>
      <c r="I19" s="3" t="str">
        <f t="shared" si="3"/>
        <v/>
      </c>
      <c r="J19" s="8">
        <f>IF(COUNT(AQ19,BT19,CW19)&gt;0,LARGE((AQ19,BT19,CW19),1),0)</f>
        <v>50.599999999999994</v>
      </c>
      <c r="K19" s="8" t="str">
        <f t="shared" si="4"/>
        <v>2023 Domestic 3rd Trial</v>
      </c>
      <c r="L19" s="8">
        <f>IF(COUNT(AQ19,BT19,CW19)&gt;1,LARGE((AQ19,BT19,CW19),2),0)</f>
        <v>49.499999999999993</v>
      </c>
      <c r="M19" s="8" t="str">
        <f t="shared" si="5"/>
        <v>2023 Nationals</v>
      </c>
      <c r="N19" s="8">
        <f>IF(COUNT(AR19,BU19,CX19)&gt;0,LARGE((AR19,BU19,CX19),1),0)</f>
        <v>25.7</v>
      </c>
      <c r="O19" s="8" t="str">
        <f t="shared" si="6"/>
        <v>2023 Elite Canada</v>
      </c>
      <c r="P19" s="8">
        <f t="shared" si="7"/>
        <v>50.4</v>
      </c>
      <c r="Q19" s="8" t="str">
        <f t="shared" si="8"/>
        <v>2023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18.8</v>
      </c>
      <c r="V19" s="19">
        <v>6</v>
      </c>
      <c r="W19" s="19">
        <v>0.6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18.5</v>
      </c>
      <c r="AD19" s="19">
        <v>7.2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 t="shared" si="12"/>
        <v>6</v>
      </c>
      <c r="AQ19" s="41">
        <f t="shared" si="13"/>
        <v>24.2</v>
      </c>
      <c r="AR19" s="41">
        <f t="shared" si="14"/>
        <v>25.7</v>
      </c>
      <c r="AS19" s="41">
        <f t="shared" si="15"/>
        <v>13.2</v>
      </c>
      <c r="AT19" s="41">
        <f t="shared" si="16"/>
        <v>49.9</v>
      </c>
      <c r="AU19" s="41" t="str">
        <f t="shared" si="17"/>
        <v/>
      </c>
      <c r="AV19" s="41" t="str">
        <f t="shared" si="18"/>
        <v/>
      </c>
      <c r="AW19" s="41">
        <f t="shared" si="19"/>
        <v>49.9</v>
      </c>
      <c r="AX19" s="18">
        <v>18.7</v>
      </c>
      <c r="AY19" s="18">
        <v>6</v>
      </c>
      <c r="AZ19" s="18">
        <v>0</v>
      </c>
      <c r="BA19" s="18">
        <v>0</v>
      </c>
      <c r="BB19" s="18">
        <v>18.399999999999999</v>
      </c>
      <c r="BC19" s="18">
        <v>6.4</v>
      </c>
      <c r="BD19" s="18">
        <v>0</v>
      </c>
      <c r="BE19" s="18">
        <v>0</v>
      </c>
      <c r="BF19" s="18">
        <v>18.399999999999999</v>
      </c>
      <c r="BG19" s="18">
        <v>6.4</v>
      </c>
      <c r="BH19" s="18">
        <v>0</v>
      </c>
      <c r="BI19" s="18">
        <v>0</v>
      </c>
      <c r="BJ19" s="18">
        <v>18.8</v>
      </c>
      <c r="BK19" s="18">
        <v>6.4</v>
      </c>
      <c r="BL19" s="18">
        <v>0</v>
      </c>
      <c r="BM19" s="18">
        <v>0</v>
      </c>
      <c r="BN19" s="18">
        <v>18.399999999999999</v>
      </c>
      <c r="BO19" s="18">
        <v>6.8</v>
      </c>
      <c r="BP19" s="18">
        <v>0</v>
      </c>
      <c r="BQ19" s="18">
        <v>0</v>
      </c>
      <c r="BR19" s="29"/>
      <c r="BS19" s="11">
        <f t="shared" si="20"/>
        <v>12.4</v>
      </c>
      <c r="BT19" s="11">
        <f t="shared" si="21"/>
        <v>49.499999999999993</v>
      </c>
      <c r="BU19" s="11">
        <f t="shared" si="22"/>
        <v>24.799999999999997</v>
      </c>
      <c r="BV19" s="11">
        <f t="shared" si="23"/>
        <v>18.8</v>
      </c>
      <c r="BW19" s="11">
        <f t="shared" si="24"/>
        <v>74.299999999999983</v>
      </c>
      <c r="BX19" s="11">
        <f t="shared" si="25"/>
        <v>13.2</v>
      </c>
      <c r="BY19" s="11">
        <f t="shared" si="26"/>
        <v>50.4</v>
      </c>
      <c r="BZ19" s="11">
        <f t="shared" si="27"/>
        <v>124.69999999999999</v>
      </c>
      <c r="CA19" s="19">
        <v>18.8</v>
      </c>
      <c r="CB19" s="19">
        <v>7.2</v>
      </c>
      <c r="CC19" s="19">
        <v>0.6</v>
      </c>
      <c r="CD19" s="19">
        <v>0</v>
      </c>
      <c r="CE19" s="19">
        <v>18.399999999999999</v>
      </c>
      <c r="CF19" s="19">
        <v>6.8</v>
      </c>
      <c r="CG19" s="19">
        <v>0</v>
      </c>
      <c r="CH19" s="19">
        <v>0</v>
      </c>
      <c r="CI19" s="19">
        <v>18.600000000000001</v>
      </c>
      <c r="CJ19" s="19">
        <v>6</v>
      </c>
      <c r="CK19" s="19">
        <v>0.6</v>
      </c>
      <c r="CL19" s="19">
        <v>0</v>
      </c>
      <c r="CM19" s="19">
        <v>18.600000000000001</v>
      </c>
      <c r="CN19" s="19">
        <v>6.4</v>
      </c>
      <c r="CO19" s="19">
        <v>0</v>
      </c>
      <c r="CP19" s="19">
        <v>0</v>
      </c>
      <c r="CQ19" s="19">
        <v>17.2</v>
      </c>
      <c r="CR19" s="19">
        <v>3.2</v>
      </c>
      <c r="CS19" s="19">
        <v>0</v>
      </c>
      <c r="CT19" s="19">
        <v>0</v>
      </c>
      <c r="CU19" s="28"/>
      <c r="CV19" s="41">
        <f t="shared" si="28"/>
        <v>14</v>
      </c>
      <c r="CW19" s="41">
        <f t="shared" si="29"/>
        <v>50.599999999999994</v>
      </c>
      <c r="CX19" s="41">
        <f t="shared" si="30"/>
        <v>24</v>
      </c>
      <c r="CY19" s="41">
        <f t="shared" si="31"/>
        <v>20</v>
      </c>
      <c r="CZ19" s="41">
        <f t="shared" si="32"/>
        <v>74.599999999999994</v>
      </c>
      <c r="DA19" s="41">
        <f t="shared" si="33"/>
        <v>9.6000000000000014</v>
      </c>
      <c r="DB19" s="41">
        <f t="shared" si="34"/>
        <v>45.400000000000006</v>
      </c>
      <c r="DC19" s="41">
        <f t="shared" si="35"/>
        <v>120</v>
      </c>
      <c r="DD19" s="52" t="str">
        <f t="shared" si="36"/>
        <v/>
      </c>
      <c r="DE19" s="52" t="str">
        <f t="shared" si="37"/>
        <v/>
      </c>
      <c r="DF19" s="52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5"/>
        <v/>
      </c>
      <c r="GF19" s="41" t="str">
        <f t="shared" si="56"/>
        <v/>
      </c>
      <c r="GG19" s="41" t="str">
        <f t="shared" si="57"/>
        <v/>
      </c>
      <c r="GH19" s="41" t="str">
        <f t="shared" si="58"/>
        <v/>
      </c>
      <c r="GI19" s="41" t="str">
        <f t="shared" si="59"/>
        <v/>
      </c>
      <c r="GJ19" s="41" t="str">
        <f t="shared" si="60"/>
        <v/>
      </c>
      <c r="GK19" s="41" t="str">
        <f t="shared" si="61"/>
        <v/>
      </c>
      <c r="GL19" s="41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18.75</v>
      </c>
      <c r="QF19" s="23">
        <f t="shared" si="136"/>
        <v>6.6</v>
      </c>
      <c r="QG19" s="23">
        <f t="shared" si="137"/>
        <v>0.3</v>
      </c>
      <c r="QH19" s="23">
        <f t="shared" si="138"/>
        <v>0</v>
      </c>
      <c r="QI19" s="23">
        <f t="shared" si="139"/>
        <v>18.399999999999999</v>
      </c>
      <c r="QJ19" s="23">
        <f t="shared" si="140"/>
        <v>6.6</v>
      </c>
      <c r="QK19" s="23">
        <f t="shared" si="141"/>
        <v>0</v>
      </c>
      <c r="QL19" s="23">
        <f t="shared" si="142"/>
        <v>0</v>
      </c>
      <c r="QM19" s="23">
        <f t="shared" si="143"/>
        <v>18.5</v>
      </c>
      <c r="QN19" s="23">
        <f t="shared" si="144"/>
        <v>6.2</v>
      </c>
      <c r="QO19" s="23">
        <f t="shared" si="145"/>
        <v>0.3</v>
      </c>
      <c r="QP19" s="23">
        <f t="shared" si="146"/>
        <v>0</v>
      </c>
      <c r="QQ19" s="23">
        <f t="shared" si="147"/>
        <v>18.700000000000003</v>
      </c>
      <c r="QR19" s="23">
        <f t="shared" si="148"/>
        <v>6.4</v>
      </c>
      <c r="QS19" s="23">
        <f t="shared" si="149"/>
        <v>0</v>
      </c>
      <c r="QT19" s="23">
        <f t="shared" si="150"/>
        <v>0</v>
      </c>
      <c r="QU19" s="23">
        <f t="shared" si="151"/>
        <v>17.799999999999997</v>
      </c>
      <c r="QV19" s="23">
        <f t="shared" si="152"/>
        <v>5</v>
      </c>
      <c r="QW19" s="23">
        <f t="shared" si="153"/>
        <v>0</v>
      </c>
      <c r="QX19" s="23">
        <f t="shared" si="154"/>
        <v>0</v>
      </c>
      <c r="QY19" s="28" t="s">
        <v>57</v>
      </c>
      <c r="QZ19" s="41">
        <f t="shared" si="155"/>
        <v>13.2</v>
      </c>
      <c r="RA19" s="41">
        <f t="shared" si="156"/>
        <v>50.050000000000004</v>
      </c>
      <c r="RB19" s="41">
        <f t="shared" si="157"/>
        <v>24.4</v>
      </c>
      <c r="RC19" s="41">
        <f t="shared" si="158"/>
        <v>19.399999999999999</v>
      </c>
      <c r="RD19" s="41">
        <f t="shared" si="159"/>
        <v>74.45</v>
      </c>
      <c r="RE19" s="41">
        <f t="shared" si="160"/>
        <v>11.4</v>
      </c>
      <c r="RF19" s="41">
        <f t="shared" si="161"/>
        <v>47.9</v>
      </c>
      <c r="RG19" s="41">
        <f t="shared" si="162"/>
        <v>122.35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172</v>
      </c>
      <c r="C20" s="4" t="s">
        <v>3</v>
      </c>
      <c r="D20" s="4">
        <v>2000</v>
      </c>
      <c r="E20" s="9">
        <f t="shared" si="163"/>
        <v>174.900012490005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</v>
      </c>
      <c r="K20" s="8" t="str">
        <f t="shared" si="4"/>
        <v>2023 Domestic 3rd Trial</v>
      </c>
      <c r="L20" s="8">
        <f>IF(COUNT(AQ20,BT20,CW20)&gt;1,LARGE((AQ20,BT20,CW20),2),0)</f>
        <v>49.7</v>
      </c>
      <c r="M20" s="8" t="str">
        <f t="shared" si="5"/>
        <v>2023 Nationals</v>
      </c>
      <c r="N20" s="8">
        <f>IF(COUNT(AR20,BU20,CX20)&gt;0,LARGE((AR20,BU20,CX20),1),0)</f>
        <v>25.2</v>
      </c>
      <c r="O20" s="8" t="str">
        <f t="shared" si="6"/>
        <v>2023 Domestic 3rd Trial</v>
      </c>
      <c r="P20" s="8">
        <f t="shared" si="7"/>
        <v>50</v>
      </c>
      <c r="Q20" s="8" t="str">
        <f t="shared" si="8"/>
        <v>2023 Domestic 3rd Trial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18.2</v>
      </c>
      <c r="V20" s="19">
        <v>7.2</v>
      </c>
      <c r="W20" s="19">
        <v>0</v>
      </c>
      <c r="X20" s="19">
        <v>0</v>
      </c>
      <c r="Y20" s="19">
        <v>16.8</v>
      </c>
      <c r="Z20" s="19">
        <v>6.9</v>
      </c>
      <c r="AA20" s="19">
        <v>0.2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17.399999999999999</v>
      </c>
      <c r="AH20" s="19">
        <v>2.4</v>
      </c>
      <c r="AI20" s="19">
        <v>0</v>
      </c>
      <c r="AJ20" s="19">
        <v>0</v>
      </c>
      <c r="AK20" s="19">
        <v>18.399999999999999</v>
      </c>
      <c r="AL20" s="19">
        <v>6.4</v>
      </c>
      <c r="AM20" s="19">
        <v>1</v>
      </c>
      <c r="AN20" s="19">
        <v>0</v>
      </c>
      <c r="AO20" s="28"/>
      <c r="AP20" s="41">
        <f t="shared" si="12"/>
        <v>14.100000000000001</v>
      </c>
      <c r="AQ20" s="41">
        <f t="shared" si="13"/>
        <v>48.9</v>
      </c>
      <c r="AR20" s="41">
        <f t="shared" si="14"/>
        <v>25.2</v>
      </c>
      <c r="AS20" s="41">
        <f t="shared" si="15"/>
        <v>20.900000000000002</v>
      </c>
      <c r="AT20" s="41">
        <f t="shared" si="16"/>
        <v>74.099999999999994</v>
      </c>
      <c r="AU20" s="41">
        <f t="shared" si="17"/>
        <v>8.8000000000000007</v>
      </c>
      <c r="AV20" s="41">
        <f t="shared" si="18"/>
        <v>43.599999999999994</v>
      </c>
      <c r="AW20" s="41">
        <f t="shared" si="19"/>
        <v>117.69999999999999</v>
      </c>
      <c r="AX20" s="18">
        <v>18.7</v>
      </c>
      <c r="AY20" s="18">
        <v>6.8</v>
      </c>
      <c r="AZ20" s="18">
        <v>0</v>
      </c>
      <c r="BA20" s="18">
        <v>0</v>
      </c>
      <c r="BB20" s="18">
        <v>18.2</v>
      </c>
      <c r="BC20" s="18">
        <v>6.8</v>
      </c>
      <c r="BD20" s="18">
        <v>0.8</v>
      </c>
      <c r="BE20" s="18">
        <v>0</v>
      </c>
      <c r="BF20" s="18">
        <v>17.2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9"/>
      <c r="BS20" s="11">
        <f t="shared" si="20"/>
        <v>13.6</v>
      </c>
      <c r="BT20" s="11">
        <f t="shared" si="21"/>
        <v>49.7</v>
      </c>
      <c r="BU20" s="11">
        <f t="shared" si="22"/>
        <v>20</v>
      </c>
      <c r="BV20" s="11">
        <f t="shared" si="23"/>
        <v>16.399999999999999</v>
      </c>
      <c r="BW20" s="11">
        <f t="shared" si="24"/>
        <v>69.7</v>
      </c>
      <c r="BX20" s="11" t="str">
        <f t="shared" si="25"/>
        <v/>
      </c>
      <c r="BY20" s="11" t="str">
        <f t="shared" si="26"/>
        <v/>
      </c>
      <c r="BZ20" s="11">
        <f t="shared" si="27"/>
        <v>69.7</v>
      </c>
      <c r="CA20" s="19">
        <v>18.8</v>
      </c>
      <c r="CB20" s="19">
        <v>6</v>
      </c>
      <c r="CC20" s="19">
        <v>0.2</v>
      </c>
      <c r="CD20" s="19">
        <v>0</v>
      </c>
      <c r="CE20" s="19">
        <v>18.600000000000001</v>
      </c>
      <c r="CF20" s="19">
        <v>6.8</v>
      </c>
      <c r="CG20" s="19">
        <v>0</v>
      </c>
      <c r="CH20" s="19">
        <v>0</v>
      </c>
      <c r="CI20" s="19">
        <v>18.600000000000001</v>
      </c>
      <c r="CJ20" s="19">
        <v>7.2</v>
      </c>
      <c r="CK20" s="19">
        <v>0.6</v>
      </c>
      <c r="CL20" s="19">
        <v>0</v>
      </c>
      <c r="CM20" s="19">
        <v>18.600000000000001</v>
      </c>
      <c r="CN20" s="19">
        <v>6.8</v>
      </c>
      <c r="CO20" s="19">
        <v>0.2</v>
      </c>
      <c r="CP20" s="19">
        <v>0</v>
      </c>
      <c r="CQ20" s="19">
        <v>18.2</v>
      </c>
      <c r="CR20" s="19">
        <v>6.8</v>
      </c>
      <c r="CS20" s="19">
        <v>0.2</v>
      </c>
      <c r="CT20" s="19">
        <v>0</v>
      </c>
      <c r="CU20" s="28"/>
      <c r="CV20" s="41">
        <f t="shared" si="28"/>
        <v>12.8</v>
      </c>
      <c r="CW20" s="41">
        <f t="shared" si="29"/>
        <v>50</v>
      </c>
      <c r="CX20" s="41">
        <f t="shared" si="30"/>
        <v>25.2</v>
      </c>
      <c r="CY20" s="41">
        <f t="shared" si="31"/>
        <v>20</v>
      </c>
      <c r="CZ20" s="41">
        <f t="shared" si="32"/>
        <v>75.2</v>
      </c>
      <c r="DA20" s="41">
        <f t="shared" si="33"/>
        <v>13.6</v>
      </c>
      <c r="DB20" s="41">
        <f t="shared" si="34"/>
        <v>50</v>
      </c>
      <c r="DC20" s="41">
        <f t="shared" si="35"/>
        <v>125.2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3"/>
        <v/>
      </c>
      <c r="MR20" s="41" t="str">
        <f t="shared" si="104"/>
        <v/>
      </c>
      <c r="MS20" s="41" t="str">
        <f t="shared" si="105"/>
        <v/>
      </c>
      <c r="MT20" s="41" t="str">
        <f t="shared" si="106"/>
        <v/>
      </c>
      <c r="MU20" s="41" t="str">
        <f t="shared" si="107"/>
        <v/>
      </c>
      <c r="MV20" s="41" t="str">
        <f t="shared" si="108"/>
        <v/>
      </c>
      <c r="MW20" s="41" t="str">
        <f t="shared" si="109"/>
        <v/>
      </c>
      <c r="MX20" s="41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18.75</v>
      </c>
      <c r="QF20" s="23">
        <f t="shared" si="136"/>
        <v>6.4</v>
      </c>
      <c r="QG20" s="23">
        <f t="shared" si="137"/>
        <v>0.1</v>
      </c>
      <c r="QH20" s="23">
        <f t="shared" si="138"/>
        <v>0</v>
      </c>
      <c r="QI20" s="23">
        <f t="shared" si="139"/>
        <v>18.399999999999999</v>
      </c>
      <c r="QJ20" s="23">
        <f t="shared" si="140"/>
        <v>6.8</v>
      </c>
      <c r="QK20" s="23">
        <f t="shared" si="141"/>
        <v>0.4</v>
      </c>
      <c r="QL20" s="23">
        <f t="shared" si="142"/>
        <v>0</v>
      </c>
      <c r="QM20" s="23">
        <f t="shared" si="143"/>
        <v>17.899999999999999</v>
      </c>
      <c r="QN20" s="23">
        <f t="shared" si="144"/>
        <v>5</v>
      </c>
      <c r="QO20" s="23">
        <f t="shared" si="145"/>
        <v>0.3</v>
      </c>
      <c r="QP20" s="23">
        <f t="shared" si="146"/>
        <v>0</v>
      </c>
      <c r="QQ20" s="23">
        <f t="shared" si="147"/>
        <v>9.3000000000000007</v>
      </c>
      <c r="QR20" s="23">
        <f t="shared" si="148"/>
        <v>3.4</v>
      </c>
      <c r="QS20" s="23">
        <f t="shared" si="149"/>
        <v>0.1</v>
      </c>
      <c r="QT20" s="23">
        <f t="shared" si="150"/>
        <v>0</v>
      </c>
      <c r="QU20" s="23">
        <f t="shared" si="151"/>
        <v>9.1</v>
      </c>
      <c r="QV20" s="23">
        <f t="shared" si="152"/>
        <v>3.4</v>
      </c>
      <c r="QW20" s="23">
        <f t="shared" si="153"/>
        <v>0.1</v>
      </c>
      <c r="QX20" s="23">
        <f t="shared" si="154"/>
        <v>0</v>
      </c>
      <c r="QY20" s="28" t="s">
        <v>57</v>
      </c>
      <c r="QZ20" s="41">
        <f t="shared" si="155"/>
        <v>13.2</v>
      </c>
      <c r="RA20" s="41">
        <f t="shared" si="156"/>
        <v>49.849999999999994</v>
      </c>
      <c r="RB20" s="41">
        <f t="shared" si="157"/>
        <v>22.599999999999998</v>
      </c>
      <c r="RC20" s="41">
        <f t="shared" si="158"/>
        <v>18.2</v>
      </c>
      <c r="RD20" s="41">
        <f t="shared" si="159"/>
        <v>72.449999999999989</v>
      </c>
      <c r="RE20" s="41">
        <f t="shared" si="160"/>
        <v>6.8</v>
      </c>
      <c r="RF20" s="41">
        <f t="shared" si="161"/>
        <v>25</v>
      </c>
      <c r="RG20" s="41">
        <f t="shared" si="162"/>
        <v>97.449999999999989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198</v>
      </c>
      <c r="C21" s="4" t="s">
        <v>8</v>
      </c>
      <c r="D21" s="4">
        <v>2006</v>
      </c>
      <c r="E21" s="9">
        <f t="shared" si="163"/>
        <v>173.20001222000508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51</v>
      </c>
      <c r="K21" s="8" t="str">
        <f t="shared" si="4"/>
        <v>2023 Elite Canada</v>
      </c>
      <c r="L21" s="8">
        <f>IF(COUNT(AQ21,BT21,CW21)&gt;1,LARGE((AQ21,BT21,CW21),2),0)</f>
        <v>46</v>
      </c>
      <c r="M21" s="8" t="str">
        <f t="shared" si="5"/>
        <v>2023 Domestic 3rd Trial</v>
      </c>
      <c r="N21" s="8">
        <f>IF(COUNT(AR21,BU21,CX21)&gt;0,LARGE((AR21,BU21,CX21),1),0)</f>
        <v>25.2</v>
      </c>
      <c r="O21" s="8" t="str">
        <f t="shared" si="6"/>
        <v>2023 Nationals</v>
      </c>
      <c r="P21" s="8">
        <f t="shared" si="7"/>
        <v>50.999999999999993</v>
      </c>
      <c r="Q21" s="8" t="str">
        <f t="shared" si="8"/>
        <v>2023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18.399999999999999</v>
      </c>
      <c r="V21" s="19">
        <v>7.6</v>
      </c>
      <c r="W21" s="19">
        <v>0.2</v>
      </c>
      <c r="X21" s="19">
        <v>0</v>
      </c>
      <c r="Y21" s="19">
        <v>18.2</v>
      </c>
      <c r="Z21" s="19">
        <v>7.6</v>
      </c>
      <c r="AA21" s="19">
        <v>0.6</v>
      </c>
      <c r="AB21" s="19">
        <v>0</v>
      </c>
      <c r="AC21" s="19">
        <v>18.8</v>
      </c>
      <c r="AD21" s="19">
        <v>5.6</v>
      </c>
      <c r="AE21" s="19">
        <v>1</v>
      </c>
      <c r="AF21" s="19">
        <v>0</v>
      </c>
      <c r="AG21" s="19">
        <v>17.8</v>
      </c>
      <c r="AH21" s="19">
        <v>7.6</v>
      </c>
      <c r="AI21" s="19">
        <v>0.2</v>
      </c>
      <c r="AJ21" s="19">
        <v>0</v>
      </c>
      <c r="AK21" s="19">
        <v>18.2</v>
      </c>
      <c r="AL21" s="19">
        <v>7.6</v>
      </c>
      <c r="AM21" s="19">
        <v>0</v>
      </c>
      <c r="AN21" s="19">
        <v>0</v>
      </c>
      <c r="AO21" s="28"/>
      <c r="AP21" s="41">
        <f t="shared" si="12"/>
        <v>15.2</v>
      </c>
      <c r="AQ21" s="41">
        <f t="shared" si="13"/>
        <v>51</v>
      </c>
      <c r="AR21" s="41">
        <f t="shared" si="14"/>
        <v>23.4</v>
      </c>
      <c r="AS21" s="41">
        <f t="shared" si="15"/>
        <v>20.799999999999997</v>
      </c>
      <c r="AT21" s="41">
        <f t="shared" si="16"/>
        <v>74.400000000000006</v>
      </c>
      <c r="AU21" s="41">
        <f t="shared" si="17"/>
        <v>15.2</v>
      </c>
      <c r="AV21" s="41">
        <f t="shared" si="18"/>
        <v>50.999999999999993</v>
      </c>
      <c r="AW21" s="41">
        <f t="shared" si="19"/>
        <v>125.4</v>
      </c>
      <c r="AX21" s="18">
        <v>0</v>
      </c>
      <c r="AY21" s="18">
        <v>0</v>
      </c>
      <c r="AZ21" s="18">
        <v>0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18.5</v>
      </c>
      <c r="BG21" s="18">
        <v>7.3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9"/>
      <c r="BS21" s="11">
        <f t="shared" si="20"/>
        <v>7.6</v>
      </c>
      <c r="BT21" s="11">
        <f t="shared" si="21"/>
        <v>25.199999999999996</v>
      </c>
      <c r="BU21" s="11">
        <f t="shared" si="22"/>
        <v>25.2</v>
      </c>
      <c r="BV21" s="11">
        <f t="shared" si="23"/>
        <v>14.899999999999999</v>
      </c>
      <c r="BW21" s="11">
        <f t="shared" si="24"/>
        <v>50.399999999999991</v>
      </c>
      <c r="BX21" s="11" t="str">
        <f t="shared" si="25"/>
        <v/>
      </c>
      <c r="BY21" s="11" t="str">
        <f t="shared" si="26"/>
        <v/>
      </c>
      <c r="BZ21" s="11">
        <f t="shared" si="27"/>
        <v>50.399999999999991</v>
      </c>
      <c r="CA21" s="19">
        <v>18.600000000000001</v>
      </c>
      <c r="CB21" s="19">
        <v>7.6</v>
      </c>
      <c r="CC21" s="19">
        <v>0</v>
      </c>
      <c r="CD21" s="19">
        <v>0</v>
      </c>
      <c r="CE21" s="19">
        <v>17.8</v>
      </c>
      <c r="CF21" s="19">
        <v>3.2</v>
      </c>
      <c r="CG21" s="19">
        <v>1.2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 t="shared" si="28"/>
        <v>10.8</v>
      </c>
      <c r="CW21" s="41">
        <f t="shared" si="29"/>
        <v>46</v>
      </c>
      <c r="CX21" s="41" t="str">
        <f t="shared" si="30"/>
        <v/>
      </c>
      <c r="CY21" s="41">
        <f t="shared" si="31"/>
        <v>10.8</v>
      </c>
      <c r="CZ21" s="41">
        <f t="shared" si="32"/>
        <v>46</v>
      </c>
      <c r="DA21" s="41" t="str">
        <f t="shared" si="33"/>
        <v/>
      </c>
      <c r="DB21" s="41" t="str">
        <f t="shared" si="34"/>
        <v/>
      </c>
      <c r="DC21" s="41">
        <f t="shared" si="35"/>
        <v>46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9.3000000000000007</v>
      </c>
      <c r="QF21" s="23">
        <f t="shared" si="136"/>
        <v>3.8</v>
      </c>
      <c r="QG21" s="23">
        <f t="shared" si="137"/>
        <v>0</v>
      </c>
      <c r="QH21" s="23">
        <f t="shared" si="138"/>
        <v>0</v>
      </c>
      <c r="QI21" s="23">
        <f t="shared" si="139"/>
        <v>18</v>
      </c>
      <c r="QJ21" s="23">
        <f t="shared" si="140"/>
        <v>5.4</v>
      </c>
      <c r="QK21" s="23">
        <f t="shared" si="141"/>
        <v>0.89999999999999991</v>
      </c>
      <c r="QL21" s="23">
        <f t="shared" si="142"/>
        <v>0</v>
      </c>
      <c r="QM21" s="23">
        <f t="shared" si="143"/>
        <v>9.25</v>
      </c>
      <c r="QN21" s="23">
        <f t="shared" si="144"/>
        <v>3.65</v>
      </c>
      <c r="QO21" s="23">
        <f t="shared" si="145"/>
        <v>0.3</v>
      </c>
      <c r="QP21" s="23">
        <f t="shared" si="146"/>
        <v>0</v>
      </c>
      <c r="QQ21" s="23">
        <f t="shared" si="147"/>
        <v>0</v>
      </c>
      <c r="QR21" s="23">
        <f t="shared" si="148"/>
        <v>0</v>
      </c>
      <c r="QS21" s="23">
        <f t="shared" si="149"/>
        <v>0</v>
      </c>
      <c r="QT21" s="23">
        <f t="shared" si="150"/>
        <v>0</v>
      </c>
      <c r="QU21" s="23">
        <f t="shared" si="151"/>
        <v>0</v>
      </c>
      <c r="QV21" s="23">
        <f t="shared" si="152"/>
        <v>0</v>
      </c>
      <c r="QW21" s="23">
        <f t="shared" si="153"/>
        <v>0</v>
      </c>
      <c r="QX21" s="23">
        <f t="shared" si="154"/>
        <v>0</v>
      </c>
      <c r="QY21" s="28" t="s">
        <v>57</v>
      </c>
      <c r="QZ21" s="41">
        <f t="shared" si="155"/>
        <v>9.1999999999999993</v>
      </c>
      <c r="RA21" s="41">
        <f t="shared" si="156"/>
        <v>35.6</v>
      </c>
      <c r="RB21" s="41">
        <f t="shared" si="157"/>
        <v>12.6</v>
      </c>
      <c r="RC21" s="41">
        <f t="shared" si="158"/>
        <v>12.85</v>
      </c>
      <c r="RD21" s="41">
        <f t="shared" si="159"/>
        <v>48.2</v>
      </c>
      <c r="RE21" s="41" t="str">
        <f t="shared" si="160"/>
        <v/>
      </c>
      <c r="RF21" s="41" t="str">
        <f t="shared" si="161"/>
        <v/>
      </c>
      <c r="RG21" s="41">
        <f t="shared" si="162"/>
        <v>48.2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197</v>
      </c>
      <c r="C22" s="4" t="s">
        <v>6</v>
      </c>
      <c r="D22" s="4">
        <v>1998</v>
      </c>
      <c r="E22" s="9">
        <f t="shared" si="163"/>
        <v>168.80001212000491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48.899999999999991</v>
      </c>
      <c r="K22" s="8" t="str">
        <f t="shared" si="4"/>
        <v>2023 Elite Canada</v>
      </c>
      <c r="L22" s="8">
        <f>IF(COUNT(AQ22,BT22,CW22)&gt;1,LARGE((AQ22,BT22,CW22),2),0)</f>
        <v>46.500000000000007</v>
      </c>
      <c r="M22" s="8" t="str">
        <f t="shared" si="5"/>
        <v>2023 Nationals</v>
      </c>
      <c r="N22" s="8">
        <f>IF(COUNT(AR22,BU22,CX22)&gt;0,LARGE((AR22,BU22,CX22),1),0)</f>
        <v>25.8</v>
      </c>
      <c r="O22" s="8" t="str">
        <f t="shared" si="6"/>
        <v>2023 Nationals</v>
      </c>
      <c r="P22" s="8">
        <f t="shared" si="7"/>
        <v>47.600000000000009</v>
      </c>
      <c r="Q22" s="8" t="str">
        <f t="shared" si="8"/>
        <v>2023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18.8</v>
      </c>
      <c r="V22" s="19">
        <v>7.6</v>
      </c>
      <c r="W22" s="19">
        <v>0.2</v>
      </c>
      <c r="X22" s="19">
        <v>0</v>
      </c>
      <c r="Y22" s="19">
        <v>16.7</v>
      </c>
      <c r="Z22" s="19">
        <v>6.8</v>
      </c>
      <c r="AA22" s="19">
        <v>0.8</v>
      </c>
      <c r="AB22" s="19">
        <v>0</v>
      </c>
      <c r="AC22" s="19">
        <v>16.8</v>
      </c>
      <c r="AD22" s="19">
        <v>7.3</v>
      </c>
      <c r="AE22" s="19">
        <v>0.2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18.5</v>
      </c>
      <c r="AL22" s="19">
        <v>8.4</v>
      </c>
      <c r="AM22" s="19">
        <v>0.2</v>
      </c>
      <c r="AN22" s="19">
        <v>0</v>
      </c>
      <c r="AO22" s="28"/>
      <c r="AP22" s="41">
        <f t="shared" si="12"/>
        <v>14.399999999999999</v>
      </c>
      <c r="AQ22" s="41">
        <f t="shared" si="13"/>
        <v>48.899999999999991</v>
      </c>
      <c r="AR22" s="41">
        <f t="shared" si="14"/>
        <v>23.900000000000002</v>
      </c>
      <c r="AS22" s="41">
        <f t="shared" si="15"/>
        <v>21.7</v>
      </c>
      <c r="AT22" s="41">
        <f t="shared" si="16"/>
        <v>72.8</v>
      </c>
      <c r="AU22" s="41">
        <f t="shared" si="17"/>
        <v>8.4</v>
      </c>
      <c r="AV22" s="41">
        <f t="shared" si="18"/>
        <v>26.7</v>
      </c>
      <c r="AW22" s="41">
        <f t="shared" si="19"/>
        <v>99.5</v>
      </c>
      <c r="AX22" s="18">
        <v>17.600000000000001</v>
      </c>
      <c r="AY22" s="18">
        <v>2.8</v>
      </c>
      <c r="AZ22" s="18">
        <v>0</v>
      </c>
      <c r="BA22" s="18">
        <v>0</v>
      </c>
      <c r="BB22" s="18">
        <v>18.5</v>
      </c>
      <c r="BC22" s="18">
        <v>8.4</v>
      </c>
      <c r="BD22" s="18">
        <v>0.8</v>
      </c>
      <c r="BE22" s="18">
        <v>0</v>
      </c>
      <c r="BF22" s="18">
        <v>18.399999999999999</v>
      </c>
      <c r="BG22" s="18">
        <v>7.6</v>
      </c>
      <c r="BH22" s="18">
        <v>0.2</v>
      </c>
      <c r="BI22" s="18">
        <v>0</v>
      </c>
      <c r="BJ22" s="18">
        <v>17.5</v>
      </c>
      <c r="BK22" s="18">
        <v>4.8</v>
      </c>
      <c r="BL22" s="18">
        <v>0</v>
      </c>
      <c r="BM22" s="18">
        <v>0.3</v>
      </c>
      <c r="BN22" s="18">
        <v>18.8</v>
      </c>
      <c r="BO22" s="18">
        <v>7.2</v>
      </c>
      <c r="BP22" s="18">
        <v>1</v>
      </c>
      <c r="BQ22" s="18">
        <v>0</v>
      </c>
      <c r="BR22" s="29"/>
      <c r="BS22" s="11">
        <f t="shared" si="20"/>
        <v>11.2</v>
      </c>
      <c r="BT22" s="11">
        <f t="shared" si="21"/>
        <v>46.500000000000007</v>
      </c>
      <c r="BU22" s="11">
        <f t="shared" si="22"/>
        <v>25.8</v>
      </c>
      <c r="BV22" s="11">
        <f t="shared" si="23"/>
        <v>18.799999999999997</v>
      </c>
      <c r="BW22" s="11">
        <f t="shared" si="24"/>
        <v>72.300000000000011</v>
      </c>
      <c r="BX22" s="11">
        <f t="shared" si="25"/>
        <v>12</v>
      </c>
      <c r="BY22" s="11">
        <f t="shared" si="26"/>
        <v>47.600000000000009</v>
      </c>
      <c r="BZ22" s="11">
        <f t="shared" si="27"/>
        <v>119.90000000000002</v>
      </c>
      <c r="CA22" s="19">
        <v>18.600000000000001</v>
      </c>
      <c r="CB22" s="19">
        <v>8.4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17</v>
      </c>
      <c r="CJ22" s="19">
        <v>4.8</v>
      </c>
      <c r="CK22" s="19">
        <v>1.2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 t="shared" si="28"/>
        <v>8.4</v>
      </c>
      <c r="CW22" s="41">
        <f t="shared" si="29"/>
        <v>26.4</v>
      </c>
      <c r="CX22" s="41">
        <f t="shared" si="30"/>
        <v>20.6</v>
      </c>
      <c r="CY22" s="41">
        <f t="shared" si="31"/>
        <v>13.2</v>
      </c>
      <c r="CZ22" s="41">
        <f t="shared" si="32"/>
        <v>47</v>
      </c>
      <c r="DA22" s="41" t="str">
        <f t="shared" si="33"/>
        <v/>
      </c>
      <c r="DB22" s="41" t="str">
        <f t="shared" si="34"/>
        <v/>
      </c>
      <c r="DC22" s="41">
        <f t="shared" si="35"/>
        <v>47</v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18.100000000000001</v>
      </c>
      <c r="QF22" s="23">
        <f t="shared" si="136"/>
        <v>5.6</v>
      </c>
      <c r="QG22" s="23">
        <f t="shared" si="137"/>
        <v>0.3</v>
      </c>
      <c r="QH22" s="23">
        <f t="shared" si="138"/>
        <v>0</v>
      </c>
      <c r="QI22" s="23">
        <f t="shared" si="139"/>
        <v>9.25</v>
      </c>
      <c r="QJ22" s="23">
        <f t="shared" si="140"/>
        <v>4.2</v>
      </c>
      <c r="QK22" s="23">
        <f t="shared" si="141"/>
        <v>0.4</v>
      </c>
      <c r="QL22" s="23">
        <f t="shared" si="142"/>
        <v>0</v>
      </c>
      <c r="QM22" s="23">
        <f t="shared" si="143"/>
        <v>17.7</v>
      </c>
      <c r="QN22" s="23">
        <f t="shared" si="144"/>
        <v>6.1999999999999993</v>
      </c>
      <c r="QO22" s="23">
        <f t="shared" si="145"/>
        <v>0.7</v>
      </c>
      <c r="QP22" s="23">
        <f t="shared" si="146"/>
        <v>0</v>
      </c>
      <c r="QQ22" s="23">
        <f t="shared" si="147"/>
        <v>8.75</v>
      </c>
      <c r="QR22" s="23">
        <f t="shared" si="148"/>
        <v>2.4</v>
      </c>
      <c r="QS22" s="23">
        <f t="shared" si="149"/>
        <v>0</v>
      </c>
      <c r="QT22" s="23">
        <f t="shared" si="150"/>
        <v>0.15</v>
      </c>
      <c r="QU22" s="23">
        <f t="shared" si="151"/>
        <v>9.4</v>
      </c>
      <c r="QV22" s="23">
        <f t="shared" si="152"/>
        <v>3.6</v>
      </c>
      <c r="QW22" s="23">
        <f t="shared" si="153"/>
        <v>0.5</v>
      </c>
      <c r="QX22" s="23">
        <f t="shared" si="154"/>
        <v>0</v>
      </c>
      <c r="QY22" s="28" t="s">
        <v>57</v>
      </c>
      <c r="QZ22" s="41">
        <f t="shared" si="155"/>
        <v>9.8000000000000007</v>
      </c>
      <c r="RA22" s="41">
        <f t="shared" si="156"/>
        <v>36.45000000000001</v>
      </c>
      <c r="RB22" s="41">
        <f t="shared" si="157"/>
        <v>23.2</v>
      </c>
      <c r="RC22" s="41">
        <f t="shared" si="158"/>
        <v>16</v>
      </c>
      <c r="RD22" s="41">
        <f t="shared" si="159"/>
        <v>59.650000000000006</v>
      </c>
      <c r="RE22" s="41">
        <f t="shared" si="160"/>
        <v>6</v>
      </c>
      <c r="RF22" s="41">
        <f t="shared" si="161"/>
        <v>23.800000000000004</v>
      </c>
      <c r="RG22" s="41">
        <f t="shared" si="162"/>
        <v>83.450000000000017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133</v>
      </c>
      <c r="C23" s="4" t="s">
        <v>8</v>
      </c>
      <c r="D23" s="4">
        <v>2005</v>
      </c>
      <c r="E23" s="9">
        <f t="shared" si="163"/>
        <v>120.40000745000495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49.500000000000007</v>
      </c>
      <c r="K23" s="8" t="str">
        <f t="shared" si="4"/>
        <v>2023 Elite Canada</v>
      </c>
      <c r="L23" s="8">
        <f>IF(COUNT(AQ23,BT23,CW23)&gt;1,LARGE((AQ23,BT23,CW23),2),0)</f>
        <v>0</v>
      </c>
      <c r="M23" s="8" t="str">
        <f t="shared" si="5"/>
        <v/>
      </c>
      <c r="N23" s="8">
        <f>IF(COUNT(AR23,BU23,CX23)&gt;0,LARGE((AR23,BU23,CX23),1),0)</f>
        <v>25</v>
      </c>
      <c r="O23" s="8" t="str">
        <f t="shared" si="6"/>
        <v>2023 Elite Canada</v>
      </c>
      <c r="P23" s="8">
        <f t="shared" si="7"/>
        <v>45.9</v>
      </c>
      <c r="Q23" s="8" t="str">
        <f t="shared" si="8"/>
        <v>2023 Elite Canada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19.3</v>
      </c>
      <c r="V23" s="19">
        <v>6.8</v>
      </c>
      <c r="W23" s="19">
        <v>0.6</v>
      </c>
      <c r="X23" s="19">
        <v>0</v>
      </c>
      <c r="Y23" s="19">
        <v>18.8</v>
      </c>
      <c r="Z23" s="19">
        <v>5.6</v>
      </c>
      <c r="AA23" s="19">
        <v>0.4</v>
      </c>
      <c r="AB23" s="19">
        <v>0</v>
      </c>
      <c r="AC23" s="19">
        <v>18.8</v>
      </c>
      <c r="AD23" s="19">
        <v>6.8</v>
      </c>
      <c r="AE23" s="19">
        <v>0.6</v>
      </c>
      <c r="AF23" s="19">
        <v>0</v>
      </c>
      <c r="AG23" s="19">
        <v>19</v>
      </c>
      <c r="AH23" s="19">
        <v>5.2</v>
      </c>
      <c r="AI23" s="19">
        <v>1.6</v>
      </c>
      <c r="AJ23" s="19">
        <v>0</v>
      </c>
      <c r="AK23" s="19">
        <v>18.7</v>
      </c>
      <c r="AL23" s="19">
        <v>5.6</v>
      </c>
      <c r="AM23" s="19">
        <v>1</v>
      </c>
      <c r="AN23" s="19">
        <v>0</v>
      </c>
      <c r="AO23" s="28"/>
      <c r="AP23" s="41">
        <f t="shared" si="12"/>
        <v>12.399999999999999</v>
      </c>
      <c r="AQ23" s="41">
        <f t="shared" si="13"/>
        <v>49.500000000000007</v>
      </c>
      <c r="AR23" s="41">
        <f t="shared" si="14"/>
        <v>25</v>
      </c>
      <c r="AS23" s="41">
        <f t="shared" si="15"/>
        <v>19.2</v>
      </c>
      <c r="AT23" s="41">
        <f t="shared" si="16"/>
        <v>74.5</v>
      </c>
      <c r="AU23" s="41">
        <f t="shared" si="17"/>
        <v>10.8</v>
      </c>
      <c r="AV23" s="41">
        <f t="shared" si="18"/>
        <v>45.9</v>
      </c>
      <c r="AW23" s="41">
        <f t="shared" si="19"/>
        <v>120.4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 t="shared" si="28"/>
        <v/>
      </c>
      <c r="CW23" s="41" t="str">
        <f t="shared" si="29"/>
        <v/>
      </c>
      <c r="CX23" s="41" t="str">
        <f t="shared" si="30"/>
        <v/>
      </c>
      <c r="CY23" s="41" t="str">
        <f t="shared" si="31"/>
        <v/>
      </c>
      <c r="CZ23" s="41" t="str">
        <f t="shared" si="32"/>
        <v/>
      </c>
      <c r="DA23" s="41" t="str">
        <f t="shared" si="33"/>
        <v/>
      </c>
      <c r="DB23" s="41" t="str">
        <f t="shared" si="34"/>
        <v/>
      </c>
      <c r="DC23" s="41" t="str">
        <f t="shared" si="35"/>
        <v/>
      </c>
      <c r="DD23" s="52" t="str">
        <f t="shared" si="36"/>
        <v/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0</v>
      </c>
      <c r="QF23" s="23">
        <f t="shared" si="136"/>
        <v>0</v>
      </c>
      <c r="QG23" s="23">
        <f t="shared" si="137"/>
        <v>0</v>
      </c>
      <c r="QH23" s="23">
        <f t="shared" si="138"/>
        <v>0</v>
      </c>
      <c r="QI23" s="23">
        <f t="shared" si="139"/>
        <v>0</v>
      </c>
      <c r="QJ23" s="23">
        <f t="shared" si="140"/>
        <v>0</v>
      </c>
      <c r="QK23" s="23">
        <f t="shared" si="141"/>
        <v>0</v>
      </c>
      <c r="QL23" s="23">
        <f t="shared" si="142"/>
        <v>0</v>
      </c>
      <c r="QM23" s="23">
        <f t="shared" si="143"/>
        <v>0</v>
      </c>
      <c r="QN23" s="23">
        <f t="shared" si="144"/>
        <v>0</v>
      </c>
      <c r="QO23" s="23">
        <f t="shared" si="145"/>
        <v>0</v>
      </c>
      <c r="QP23" s="23">
        <f t="shared" si="146"/>
        <v>0</v>
      </c>
      <c r="QQ23" s="23">
        <f t="shared" si="147"/>
        <v>0</v>
      </c>
      <c r="QR23" s="23">
        <f t="shared" si="148"/>
        <v>0</v>
      </c>
      <c r="QS23" s="23">
        <f t="shared" si="149"/>
        <v>0</v>
      </c>
      <c r="QT23" s="23">
        <f t="shared" si="150"/>
        <v>0</v>
      </c>
      <c r="QU23" s="23">
        <f t="shared" si="151"/>
        <v>0</v>
      </c>
      <c r="QV23" s="23">
        <f t="shared" si="152"/>
        <v>0</v>
      </c>
      <c r="QW23" s="23">
        <f t="shared" si="153"/>
        <v>0</v>
      </c>
      <c r="QX23" s="23">
        <f t="shared" si="154"/>
        <v>0</v>
      </c>
      <c r="QY23" s="28" t="s">
        <v>57</v>
      </c>
      <c r="QZ23" s="41" t="str">
        <f t="shared" si="155"/>
        <v/>
      </c>
      <c r="RA23" s="41" t="str">
        <f t="shared" si="156"/>
        <v/>
      </c>
      <c r="RB23" s="41" t="str">
        <f t="shared" si="157"/>
        <v/>
      </c>
      <c r="RC23" s="41" t="str">
        <f t="shared" si="158"/>
        <v/>
      </c>
      <c r="RD23" s="41" t="str">
        <f t="shared" si="159"/>
        <v/>
      </c>
      <c r="RE23" s="41" t="str">
        <f t="shared" si="160"/>
        <v/>
      </c>
      <c r="RF23" s="41" t="str">
        <f t="shared" si="161"/>
        <v/>
      </c>
      <c r="RG23" s="41" t="str">
        <f t="shared" si="162"/>
        <v/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199</v>
      </c>
      <c r="C24" s="4" t="s">
        <v>6</v>
      </c>
      <c r="D24" s="4">
        <v>2005</v>
      </c>
      <c r="E24" s="9">
        <f t="shared" si="163"/>
        <v>120.30001203000496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49.7</v>
      </c>
      <c r="K24" s="8" t="str">
        <f t="shared" si="4"/>
        <v>2023 Elite Canada</v>
      </c>
      <c r="L24" s="8">
        <f>IF(COUNT(AQ24,BT24,CW24)&gt;1,LARGE((AQ24,BT24,CW24),2),0)</f>
        <v>44.300000000000004</v>
      </c>
      <c r="M24" s="8" t="str">
        <f t="shared" si="5"/>
        <v>2023 Domestic 3rd Trial</v>
      </c>
      <c r="N24" s="8">
        <f>IF(COUNT(AR24,BU24,CX24)&gt;0,LARGE((AR24,BU24,CX24),1),0)</f>
        <v>26.299999999999997</v>
      </c>
      <c r="O24" s="8" t="str">
        <f t="shared" si="6"/>
        <v>2023 Domestic 3rd Trial</v>
      </c>
      <c r="P24" s="8">
        <f t="shared" si="7"/>
        <v>0</v>
      </c>
      <c r="Q24" s="8" t="str">
        <f t="shared" si="8"/>
        <v/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18.5</v>
      </c>
      <c r="V24" s="19">
        <v>7.2</v>
      </c>
      <c r="W24" s="19">
        <v>0</v>
      </c>
      <c r="X24" s="19">
        <v>0</v>
      </c>
      <c r="Y24" s="19">
        <v>18</v>
      </c>
      <c r="Z24" s="19">
        <v>6.8</v>
      </c>
      <c r="AA24" s="19">
        <v>0.8</v>
      </c>
      <c r="AB24" s="19">
        <v>0</v>
      </c>
      <c r="AC24" s="19">
        <v>17.600000000000001</v>
      </c>
      <c r="AD24" s="19">
        <v>4.4000000000000004</v>
      </c>
      <c r="AE24" s="19">
        <v>1.2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8"/>
      <c r="AP24" s="41">
        <f t="shared" si="12"/>
        <v>14</v>
      </c>
      <c r="AQ24" s="41">
        <f t="shared" si="13"/>
        <v>49.7</v>
      </c>
      <c r="AR24" s="41">
        <f t="shared" si="14"/>
        <v>20.8</v>
      </c>
      <c r="AS24" s="41">
        <f t="shared" si="15"/>
        <v>18.399999999999999</v>
      </c>
      <c r="AT24" s="41">
        <f t="shared" si="16"/>
        <v>70.5</v>
      </c>
      <c r="AU24" s="41" t="str">
        <f t="shared" si="17"/>
        <v/>
      </c>
      <c r="AV24" s="41" t="str">
        <f t="shared" si="18"/>
        <v/>
      </c>
      <c r="AW24" s="41">
        <f t="shared" si="19"/>
        <v>70.5</v>
      </c>
      <c r="AX24" s="18">
        <v>16.8</v>
      </c>
      <c r="AY24" s="18">
        <v>3.4</v>
      </c>
      <c r="AZ24" s="18">
        <v>1.8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 t="shared" si="20"/>
        <v>3.4</v>
      </c>
      <c r="BT24" s="11">
        <f t="shared" si="21"/>
        <v>18.399999999999999</v>
      </c>
      <c r="BU24" s="11" t="str">
        <f t="shared" si="22"/>
        <v/>
      </c>
      <c r="BV24" s="11">
        <f t="shared" si="23"/>
        <v>3.4</v>
      </c>
      <c r="BW24" s="11">
        <f t="shared" si="24"/>
        <v>18.399999999999999</v>
      </c>
      <c r="BX24" s="11" t="str">
        <f t="shared" si="25"/>
        <v/>
      </c>
      <c r="BY24" s="11" t="str">
        <f t="shared" si="26"/>
        <v/>
      </c>
      <c r="BZ24" s="11">
        <f t="shared" si="27"/>
        <v>18.399999999999999</v>
      </c>
      <c r="CA24" s="19">
        <v>18.100000000000001</v>
      </c>
      <c r="CB24" s="19">
        <v>6.8</v>
      </c>
      <c r="CC24" s="19">
        <v>0</v>
      </c>
      <c r="CD24" s="19">
        <v>0</v>
      </c>
      <c r="CE24" s="19">
        <v>17</v>
      </c>
      <c r="CF24" s="19">
        <v>2.4</v>
      </c>
      <c r="CG24" s="19">
        <v>0</v>
      </c>
      <c r="CH24" s="19">
        <v>0</v>
      </c>
      <c r="CI24" s="19">
        <v>18.2</v>
      </c>
      <c r="CJ24" s="19">
        <v>8.1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 t="shared" si="28"/>
        <v>9.1999999999999993</v>
      </c>
      <c r="CW24" s="41">
        <f t="shared" si="29"/>
        <v>44.300000000000004</v>
      </c>
      <c r="CX24" s="41">
        <f t="shared" si="30"/>
        <v>26.299999999999997</v>
      </c>
      <c r="CY24" s="41">
        <f t="shared" si="31"/>
        <v>17.299999999999997</v>
      </c>
      <c r="CZ24" s="41">
        <f t="shared" si="32"/>
        <v>70.599999999999994</v>
      </c>
      <c r="DA24" s="41" t="str">
        <f t="shared" si="33"/>
        <v/>
      </c>
      <c r="DB24" s="41" t="str">
        <f t="shared" si="34"/>
        <v/>
      </c>
      <c r="DC24" s="41">
        <f t="shared" si="35"/>
        <v>70.599999999999994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17.450000000000003</v>
      </c>
      <c r="QF24" s="23">
        <f t="shared" si="136"/>
        <v>5.0999999999999996</v>
      </c>
      <c r="QG24" s="23">
        <f t="shared" si="137"/>
        <v>0.9</v>
      </c>
      <c r="QH24" s="23">
        <f t="shared" si="138"/>
        <v>0</v>
      </c>
      <c r="QI24" s="23">
        <f t="shared" si="139"/>
        <v>8.5</v>
      </c>
      <c r="QJ24" s="23">
        <f t="shared" si="140"/>
        <v>1.2</v>
      </c>
      <c r="QK24" s="23">
        <f t="shared" si="141"/>
        <v>0</v>
      </c>
      <c r="QL24" s="23">
        <f t="shared" si="142"/>
        <v>0</v>
      </c>
      <c r="QM24" s="23">
        <f t="shared" si="143"/>
        <v>9.1</v>
      </c>
      <c r="QN24" s="23">
        <f t="shared" si="144"/>
        <v>4.05</v>
      </c>
      <c r="QO24" s="23">
        <f t="shared" si="145"/>
        <v>0</v>
      </c>
      <c r="QP24" s="23">
        <f t="shared" si="146"/>
        <v>0</v>
      </c>
      <c r="QQ24" s="23">
        <f t="shared" si="147"/>
        <v>0</v>
      </c>
      <c r="QR24" s="23">
        <f t="shared" si="148"/>
        <v>0</v>
      </c>
      <c r="QS24" s="23">
        <f t="shared" si="149"/>
        <v>0</v>
      </c>
      <c r="QT24" s="23">
        <f t="shared" si="150"/>
        <v>0</v>
      </c>
      <c r="QU24" s="23">
        <f t="shared" si="151"/>
        <v>0</v>
      </c>
      <c r="QV24" s="23">
        <f t="shared" si="152"/>
        <v>0</v>
      </c>
      <c r="QW24" s="23">
        <f t="shared" si="153"/>
        <v>0</v>
      </c>
      <c r="QX24" s="23">
        <f t="shared" si="154"/>
        <v>0</v>
      </c>
      <c r="QY24" s="28" t="s">
        <v>57</v>
      </c>
      <c r="QZ24" s="41">
        <f t="shared" si="155"/>
        <v>6.3</v>
      </c>
      <c r="RA24" s="41">
        <f t="shared" si="156"/>
        <v>31.350000000000009</v>
      </c>
      <c r="RB24" s="41">
        <f t="shared" si="157"/>
        <v>13.149999999999999</v>
      </c>
      <c r="RC24" s="41">
        <f t="shared" si="158"/>
        <v>10.35</v>
      </c>
      <c r="RD24" s="41">
        <f t="shared" si="159"/>
        <v>44.500000000000007</v>
      </c>
      <c r="RE24" s="41" t="str">
        <f t="shared" si="160"/>
        <v/>
      </c>
      <c r="RF24" s="41" t="str">
        <f t="shared" si="161"/>
        <v/>
      </c>
      <c r="RG24" s="41">
        <f t="shared" si="162"/>
        <v>44.500000000000007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135</v>
      </c>
      <c r="C25" s="4" t="s">
        <v>6</v>
      </c>
      <c r="D25" s="4">
        <v>2001</v>
      </c>
      <c r="E25" s="9">
        <f t="shared" si="163"/>
        <v>70.10000701000493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49.2</v>
      </c>
      <c r="K25" s="8" t="str">
        <f t="shared" si="4"/>
        <v>2023 Elite Canada</v>
      </c>
      <c r="L25" s="8">
        <f>IF(COUNT(AQ25,BT25,CW25)&gt;1,LARGE((AQ25,BT25,CW25),2),0)</f>
        <v>0</v>
      </c>
      <c r="M25" s="8" t="str">
        <f t="shared" si="5"/>
        <v/>
      </c>
      <c r="N25" s="8">
        <f>IF(COUNT(AR25,BU25,CX25)&gt;0,LARGE((AR25,BU25,CX25),1),0)</f>
        <v>20.900000000000002</v>
      </c>
      <c r="O25" s="8" t="str">
        <f t="shared" si="6"/>
        <v>2023 Elite Canada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18.8</v>
      </c>
      <c r="V25" s="19">
        <v>7.2</v>
      </c>
      <c r="W25" s="19">
        <v>0.6</v>
      </c>
      <c r="X25" s="19">
        <v>0</v>
      </c>
      <c r="Y25" s="19">
        <v>18.600000000000001</v>
      </c>
      <c r="Z25" s="19">
        <v>6</v>
      </c>
      <c r="AA25" s="19">
        <v>0.8</v>
      </c>
      <c r="AB25" s="19">
        <v>0</v>
      </c>
      <c r="AC25" s="19">
        <v>16.5</v>
      </c>
      <c r="AD25" s="19">
        <v>5.0999999999999996</v>
      </c>
      <c r="AE25" s="19">
        <v>1</v>
      </c>
      <c r="AF25" s="19">
        <v>0.3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 t="shared" si="12"/>
        <v>13.2</v>
      </c>
      <c r="AQ25" s="41">
        <f t="shared" si="13"/>
        <v>49.2</v>
      </c>
      <c r="AR25" s="41">
        <f t="shared" si="14"/>
        <v>20.900000000000002</v>
      </c>
      <c r="AS25" s="41">
        <f t="shared" si="15"/>
        <v>18.299999999999997</v>
      </c>
      <c r="AT25" s="41">
        <f t="shared" si="16"/>
        <v>70.100000000000009</v>
      </c>
      <c r="AU25" s="41" t="str">
        <f t="shared" si="17"/>
        <v/>
      </c>
      <c r="AV25" s="41" t="str">
        <f t="shared" si="18"/>
        <v/>
      </c>
      <c r="AW25" s="41">
        <f t="shared" si="19"/>
        <v>70.100000000000009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9"/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1" t="str">
        <f t="shared" si="26"/>
        <v/>
      </c>
      <c r="BZ25" s="11" t="str">
        <f t="shared" si="27"/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 t="shared" si="28"/>
        <v/>
      </c>
      <c r="CW25" s="41" t="str">
        <f t="shared" si="29"/>
        <v/>
      </c>
      <c r="CX25" s="41" t="str">
        <f t="shared" si="30"/>
        <v/>
      </c>
      <c r="CY25" s="41" t="str">
        <f t="shared" si="31"/>
        <v/>
      </c>
      <c r="CZ25" s="41" t="str">
        <f t="shared" si="32"/>
        <v/>
      </c>
      <c r="DA25" s="41" t="str">
        <f t="shared" si="33"/>
        <v/>
      </c>
      <c r="DB25" s="41" t="str">
        <f t="shared" si="34"/>
        <v/>
      </c>
      <c r="DC25" s="41" t="str">
        <f t="shared" si="35"/>
        <v/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 t="shared" si="87"/>
        <v/>
      </c>
      <c r="KN25" s="41" t="str">
        <f t="shared" si="88"/>
        <v/>
      </c>
      <c r="KO25" s="41" t="str">
        <f t="shared" si="89"/>
        <v/>
      </c>
      <c r="KP25" s="41" t="str">
        <f t="shared" si="90"/>
        <v/>
      </c>
      <c r="KQ25" s="41" t="str">
        <f t="shared" si="91"/>
        <v/>
      </c>
      <c r="KR25" s="41" t="str">
        <f t="shared" si="92"/>
        <v/>
      </c>
      <c r="KS25" s="41" t="str">
        <f t="shared" si="93"/>
        <v/>
      </c>
      <c r="KT25" s="41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0</v>
      </c>
      <c r="QF25" s="23">
        <f t="shared" si="136"/>
        <v>0</v>
      </c>
      <c r="QG25" s="23">
        <f t="shared" si="137"/>
        <v>0</v>
      </c>
      <c r="QH25" s="23">
        <f t="shared" si="138"/>
        <v>0</v>
      </c>
      <c r="QI25" s="23">
        <f t="shared" si="139"/>
        <v>0</v>
      </c>
      <c r="QJ25" s="23">
        <f t="shared" si="140"/>
        <v>0</v>
      </c>
      <c r="QK25" s="23">
        <f t="shared" si="141"/>
        <v>0</v>
      </c>
      <c r="QL25" s="23">
        <f t="shared" si="142"/>
        <v>0</v>
      </c>
      <c r="QM25" s="23">
        <f t="shared" si="143"/>
        <v>0</v>
      </c>
      <c r="QN25" s="23">
        <f t="shared" si="144"/>
        <v>0</v>
      </c>
      <c r="QO25" s="23">
        <f t="shared" si="145"/>
        <v>0</v>
      </c>
      <c r="QP25" s="23">
        <f t="shared" si="146"/>
        <v>0</v>
      </c>
      <c r="QQ25" s="23">
        <f t="shared" si="147"/>
        <v>0</v>
      </c>
      <c r="QR25" s="23">
        <f t="shared" si="148"/>
        <v>0</v>
      </c>
      <c r="QS25" s="23">
        <f t="shared" si="149"/>
        <v>0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57</v>
      </c>
      <c r="QZ25" s="41" t="str">
        <f t="shared" si="155"/>
        <v/>
      </c>
      <c r="RA25" s="41" t="str">
        <f t="shared" si="156"/>
        <v/>
      </c>
      <c r="RB25" s="41" t="str">
        <f t="shared" si="157"/>
        <v/>
      </c>
      <c r="RC25" s="41" t="str">
        <f t="shared" si="158"/>
        <v/>
      </c>
      <c r="RD25" s="41" t="str">
        <f t="shared" si="159"/>
        <v/>
      </c>
      <c r="RE25" s="41" t="str">
        <f t="shared" si="160"/>
        <v/>
      </c>
      <c r="RF25" s="41" t="str">
        <f t="shared" si="161"/>
        <v/>
      </c>
      <c r="RG25" s="41" t="str">
        <f t="shared" si="162"/>
        <v/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195</v>
      </c>
      <c r="C26" s="4" t="s">
        <v>5</v>
      </c>
      <c r="D26" s="4">
        <v>1993</v>
      </c>
      <c r="E26" s="9">
        <f t="shared" si="163"/>
        <v>60.900006090004133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41.399999999999991</v>
      </c>
      <c r="K26" s="8" t="str">
        <f t="shared" si="4"/>
        <v>2023 Elite Canada</v>
      </c>
      <c r="L26" s="8">
        <f>IF(COUNT(AQ26,BT26,CW26)&gt;1,LARGE((AQ26,BT26,CW26),2),0)</f>
        <v>0</v>
      </c>
      <c r="M26" s="8" t="str">
        <f t="shared" si="5"/>
        <v/>
      </c>
      <c r="N26" s="8">
        <f>IF(COUNT(AR26,BU26,CX26)&gt;0,LARGE((AR26,BU26,CX26),1),0)</f>
        <v>19.5</v>
      </c>
      <c r="O26" s="8" t="str">
        <f t="shared" si="6"/>
        <v>2023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17.8</v>
      </c>
      <c r="V26" s="19">
        <v>3</v>
      </c>
      <c r="W26" s="19">
        <v>1.2</v>
      </c>
      <c r="X26" s="19">
        <v>0</v>
      </c>
      <c r="Y26" s="19">
        <v>18.2</v>
      </c>
      <c r="Z26" s="19">
        <v>4.8</v>
      </c>
      <c r="AA26" s="19">
        <v>1.2</v>
      </c>
      <c r="AB26" s="19">
        <v>0</v>
      </c>
      <c r="AC26" s="19">
        <v>18.3</v>
      </c>
      <c r="AD26" s="19">
        <v>3.2</v>
      </c>
      <c r="AE26" s="19">
        <v>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 t="shared" si="12"/>
        <v>7.8</v>
      </c>
      <c r="AQ26" s="41">
        <f t="shared" si="13"/>
        <v>41.399999999999991</v>
      </c>
      <c r="AR26" s="41">
        <f t="shared" si="14"/>
        <v>19.5</v>
      </c>
      <c r="AS26" s="41">
        <f t="shared" si="15"/>
        <v>11</v>
      </c>
      <c r="AT26" s="41">
        <f t="shared" si="16"/>
        <v>60.899999999999991</v>
      </c>
      <c r="AU26" s="41" t="str">
        <f t="shared" si="17"/>
        <v/>
      </c>
      <c r="AV26" s="41" t="str">
        <f t="shared" si="18"/>
        <v/>
      </c>
      <c r="AW26" s="41">
        <f t="shared" si="19"/>
        <v>60.899999999999991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 t="shared" si="28"/>
        <v/>
      </c>
      <c r="CW26" s="41" t="str">
        <f t="shared" si="29"/>
        <v/>
      </c>
      <c r="CX26" s="41" t="str">
        <f t="shared" si="30"/>
        <v/>
      </c>
      <c r="CY26" s="41" t="str">
        <f t="shared" si="31"/>
        <v/>
      </c>
      <c r="CZ26" s="41" t="str">
        <f t="shared" si="32"/>
        <v/>
      </c>
      <c r="DA26" s="41" t="str">
        <f t="shared" si="33"/>
        <v/>
      </c>
      <c r="DB26" s="41" t="str">
        <f t="shared" si="34"/>
        <v/>
      </c>
      <c r="DC26" s="41" t="str">
        <f t="shared" si="35"/>
        <v/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0</v>
      </c>
      <c r="QF26" s="23">
        <f t="shared" si="136"/>
        <v>0</v>
      </c>
      <c r="QG26" s="23">
        <f t="shared" si="137"/>
        <v>0</v>
      </c>
      <c r="QH26" s="23">
        <f t="shared" si="138"/>
        <v>0</v>
      </c>
      <c r="QI26" s="23">
        <f t="shared" si="139"/>
        <v>0</v>
      </c>
      <c r="QJ26" s="23">
        <f t="shared" si="140"/>
        <v>0</v>
      </c>
      <c r="QK26" s="23">
        <f t="shared" si="141"/>
        <v>0</v>
      </c>
      <c r="QL26" s="23">
        <f t="shared" si="142"/>
        <v>0</v>
      </c>
      <c r="QM26" s="23">
        <f t="shared" si="143"/>
        <v>0</v>
      </c>
      <c r="QN26" s="23">
        <f t="shared" si="144"/>
        <v>0</v>
      </c>
      <c r="QO26" s="23">
        <f t="shared" si="145"/>
        <v>0</v>
      </c>
      <c r="QP26" s="23">
        <f t="shared" si="146"/>
        <v>0</v>
      </c>
      <c r="QQ26" s="23">
        <f t="shared" si="147"/>
        <v>0</v>
      </c>
      <c r="QR26" s="23">
        <f t="shared" si="148"/>
        <v>0</v>
      </c>
      <c r="QS26" s="23">
        <f t="shared" si="149"/>
        <v>0</v>
      </c>
      <c r="QT26" s="23">
        <f t="shared" si="150"/>
        <v>0</v>
      </c>
      <c r="QU26" s="23">
        <f t="shared" si="151"/>
        <v>0</v>
      </c>
      <c r="QV26" s="23">
        <f t="shared" si="152"/>
        <v>0</v>
      </c>
      <c r="QW26" s="23">
        <f t="shared" si="153"/>
        <v>0</v>
      </c>
      <c r="QX26" s="23">
        <f t="shared" si="154"/>
        <v>0</v>
      </c>
      <c r="QY26" s="28" t="s">
        <v>57</v>
      </c>
      <c r="QZ26" s="41" t="str">
        <f t="shared" si="155"/>
        <v/>
      </c>
      <c r="RA26" s="41" t="str">
        <f t="shared" si="156"/>
        <v/>
      </c>
      <c r="RB26" s="41" t="str">
        <f t="shared" si="157"/>
        <v/>
      </c>
      <c r="RC26" s="41" t="str">
        <f t="shared" si="158"/>
        <v/>
      </c>
      <c r="RD26" s="41" t="str">
        <f t="shared" si="159"/>
        <v/>
      </c>
      <c r="RE26" s="41" t="str">
        <f t="shared" si="160"/>
        <v/>
      </c>
      <c r="RF26" s="41" t="str">
        <f t="shared" si="161"/>
        <v/>
      </c>
      <c r="RG26" s="41" t="str">
        <f t="shared" si="162"/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 t="shared" si="163"/>
        <v>46.000004600004594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46</v>
      </c>
      <c r="K27" s="8" t="str">
        <f t="shared" si="4"/>
        <v>2023 Nationals</v>
      </c>
      <c r="L27" s="8">
        <f>IF(COUNT(AQ27,BT27,CW27)&gt;1,LARGE((AQ27,BT27,CW27),2),0)</f>
        <v>0</v>
      </c>
      <c r="M27" s="8" t="str">
        <f t="shared" si="5"/>
        <v/>
      </c>
      <c r="N27" s="8">
        <f>IF(COUNT(AR27,BU27,CX27)&gt;0,LARGE((AR27,BU27,CX27),1),0)</f>
        <v>0</v>
      </c>
      <c r="O27" s="8" t="str">
        <f t="shared" si="6"/>
        <v/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 t="shared" si="12"/>
        <v/>
      </c>
      <c r="AQ27" s="41" t="str">
        <f t="shared" si="13"/>
        <v/>
      </c>
      <c r="AR27" s="41" t="str">
        <f t="shared" si="14"/>
        <v/>
      </c>
      <c r="AS27" s="41" t="str">
        <f t="shared" si="15"/>
        <v/>
      </c>
      <c r="AT27" s="41" t="str">
        <f t="shared" si="16"/>
        <v/>
      </c>
      <c r="AU27" s="41" t="str">
        <f t="shared" si="17"/>
        <v/>
      </c>
      <c r="AV27" s="41" t="str">
        <f t="shared" si="18"/>
        <v/>
      </c>
      <c r="AW27" s="41" t="str">
        <f t="shared" si="19"/>
        <v/>
      </c>
      <c r="AX27" s="18">
        <v>16.600000000000001</v>
      </c>
      <c r="AY27" s="18">
        <v>6</v>
      </c>
      <c r="AZ27" s="18">
        <v>1</v>
      </c>
      <c r="BA27" s="18">
        <v>0</v>
      </c>
      <c r="BB27" s="18">
        <v>18.600000000000001</v>
      </c>
      <c r="BC27" s="18">
        <v>6.4</v>
      </c>
      <c r="BD27" s="18">
        <v>0.6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 t="shared" si="20"/>
        <v>12.4</v>
      </c>
      <c r="BT27" s="11">
        <f t="shared" si="21"/>
        <v>46</v>
      </c>
      <c r="BU27" s="11" t="str">
        <f t="shared" si="22"/>
        <v/>
      </c>
      <c r="BV27" s="11">
        <f t="shared" si="23"/>
        <v>12.4</v>
      </c>
      <c r="BW27" s="11">
        <f t="shared" si="24"/>
        <v>46</v>
      </c>
      <c r="BX27" s="11" t="str">
        <f t="shared" si="25"/>
        <v/>
      </c>
      <c r="BY27" s="11" t="str">
        <f t="shared" si="26"/>
        <v/>
      </c>
      <c r="BZ27" s="11">
        <f t="shared" si="27"/>
        <v>46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8.3000000000000007</v>
      </c>
      <c r="QF27" s="23">
        <f t="shared" si="136"/>
        <v>3</v>
      </c>
      <c r="QG27" s="23">
        <f t="shared" si="137"/>
        <v>0.5</v>
      </c>
      <c r="QH27" s="23">
        <f t="shared" si="138"/>
        <v>0</v>
      </c>
      <c r="QI27" s="23">
        <f t="shared" si="139"/>
        <v>9.3000000000000007</v>
      </c>
      <c r="QJ27" s="23">
        <f t="shared" si="140"/>
        <v>3.2</v>
      </c>
      <c r="QK27" s="23">
        <f t="shared" si="141"/>
        <v>0.3</v>
      </c>
      <c r="QL27" s="23">
        <f t="shared" si="142"/>
        <v>0</v>
      </c>
      <c r="QM27" s="23">
        <f t="shared" si="143"/>
        <v>0</v>
      </c>
      <c r="QN27" s="23">
        <f t="shared" si="144"/>
        <v>0</v>
      </c>
      <c r="QO27" s="23">
        <f t="shared" si="145"/>
        <v>0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57</v>
      </c>
      <c r="QZ27" s="41">
        <f t="shared" si="155"/>
        <v>6.2</v>
      </c>
      <c r="RA27" s="41">
        <f t="shared" si="156"/>
        <v>23</v>
      </c>
      <c r="RB27" s="41" t="str">
        <f t="shared" si="157"/>
        <v/>
      </c>
      <c r="RC27" s="41">
        <f t="shared" si="158"/>
        <v>6.2</v>
      </c>
      <c r="RD27" s="41">
        <f t="shared" si="159"/>
        <v>23</v>
      </c>
      <c r="RE27" s="41" t="str">
        <f t="shared" si="160"/>
        <v/>
      </c>
      <c r="RF27" s="41" t="str">
        <f t="shared" si="161"/>
        <v/>
      </c>
      <c r="RG27" s="41">
        <f t="shared" si="162"/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7">
      <sortCondition descending="1" ref="F1:F28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181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180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179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182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211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220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227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 t="s">
        <v>240</v>
      </c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 t="shared" ref="E4:E18" si="0">SUM(J4:R4)+SUM(J4:N4)*0.0000001+SUM(J4)*0.0000000000001</f>
        <v>183.30001302000528</v>
      </c>
      <c r="F4" s="3" t="str">
        <f t="shared" ref="F4:F18" si="1"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 t="shared" ref="G4:G18" si="2"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 t="shared" ref="H4:H18" si="3"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 t="shared" ref="I4:I18" si="4"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 t="shared" ref="K4:K18" si="5"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 t="shared" ref="M4:M18" si="6"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 t="shared" ref="O4:O18" si="7">IF(N4=0,"",IF(N4=CX4,$CA$1,IF(N4=BU4,$AX$1,IF(N4=AR4,$U$1,""))))</f>
        <v>2023 Nationals</v>
      </c>
      <c r="P4" s="8">
        <f t="shared" ref="P4:P18" si="8">IF(MAX(AV4,BY4,DB4)&gt;0,MAX(AV4,BY4,DB4),0)</f>
        <v>53.1</v>
      </c>
      <c r="Q4" s="8" t="str">
        <f t="shared" ref="Q4:Q18" si="9">IF(P4=0,"",IF(P4=DB4,$CA$1,IF(P4=BY4,$AX$1,IF(P4=AV4,$U$1,""))))</f>
        <v>2023 Elite Canada</v>
      </c>
      <c r="R4" s="8" t="str">
        <f t="shared" ref="R4:R18" si="10">IF(MAX(DD4:DF4)&gt;0,MAX(DD4:DF4),"")</f>
        <v/>
      </c>
      <c r="S4" s="11" t="str">
        <f t="shared" ref="S4:S18" si="11">IF(R4="","",IF(R4=DD4,"("&amp;DD$2&amp;")",IF(R4=DE4,"("&amp;DE$2&amp;")",IF(R4=DF4,"("&amp;DF$2&amp;")"))))</f>
        <v/>
      </c>
      <c r="T4" s="8" t="str">
        <f t="shared" ref="T4:T18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 t="shared" ref="AP4:AP18" si="13">IF(SUM(V4,Z4)&gt;0,SUM(V4,Z4),"")</f>
        <v>13.2</v>
      </c>
      <c r="AQ4" s="41">
        <f t="shared" ref="AQ4:AQ18" si="14">IF(SUM(U4:V4,X4:Z4,AB4)-W4-AA4&gt;0,SUM(U4:V4,X4:Z4,AB4)-W4-AA4,"")</f>
        <v>50.8</v>
      </c>
      <c r="AR4" s="41">
        <f t="shared" ref="AR4:AR18" si="15">IF(SUM(AC4:AD4,AF4)-AE4&gt;0,SUM(AC4:AD4,AF4)-AE4,"")</f>
        <v>24.900000000000002</v>
      </c>
      <c r="AS4" s="41">
        <f t="shared" ref="AS4:AS18" si="16">IF(SUM(V4,Z4,AD4)&gt;0,SUM(V4,Z4,AD4),"")</f>
        <v>19.2</v>
      </c>
      <c r="AT4" s="41">
        <f t="shared" ref="AT4:AT18" si="17">IF(SUM(AQ4,AR4)&gt;0,SUM(AQ4,AR4),"")</f>
        <v>75.7</v>
      </c>
      <c r="AU4" s="41">
        <f t="shared" ref="AU4:AU18" si="18">IF(SUM(AH4,AL4)&gt;0,SUM(AH4,AL4),"")</f>
        <v>15.2</v>
      </c>
      <c r="AV4" s="41">
        <f t="shared" ref="AV4:AV18" si="19">IF(SUM(AG4:AH4,AJ4:AL4,AN4)-SUM(AI4,AM4)&gt;0,SUM(AG4:AH4,AJ4:AL4,AN4)-SUM(AI4,AM4),"")</f>
        <v>53.1</v>
      </c>
      <c r="AW4" s="41">
        <f t="shared" ref="AW4:AW18" si="20"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 t="shared" ref="BS4:BS18" si="21">IF(SUM(AY4,BC4)&gt;0,SUM(AY4,BC4),"")</f>
        <v>14.8</v>
      </c>
      <c r="BT4" s="11">
        <f t="shared" ref="BT4:BT18" si="22">IF(SUM(AX4:AY4,BA4:BC4,BE4)-AZ4-BD4&gt;0,SUM(AX4:AY4,BA4:BC4,BE4)-AZ4-BD4,"")</f>
        <v>52.8</v>
      </c>
      <c r="BU4" s="11">
        <f t="shared" ref="BU4:BU18" si="23">IF(SUM(BF4:BG4,BI4)-BH4&gt;0,SUM(BF4:BG4,BI4)-BH4,"")</f>
        <v>25.8</v>
      </c>
      <c r="BV4" s="11">
        <f t="shared" ref="BV4:BV18" si="24">IF(SUM(AY4,BC4,BG4)&gt;0,SUM(AY4,BC4,BG4),"")</f>
        <v>21.6</v>
      </c>
      <c r="BW4" s="11">
        <f t="shared" ref="BW4:BW18" si="25">IF(SUM(BT4,BU4)&gt;0,SUM(BT4,BU4),"")</f>
        <v>78.599999999999994</v>
      </c>
      <c r="BX4" s="11">
        <f t="shared" ref="BX4:BX18" si="26">IF(SUM(BK4,BO4)&gt;0,SUM(BK4,BO4),"")</f>
        <v>12.4</v>
      </c>
      <c r="BY4" s="11">
        <f t="shared" ref="BY4:BY18" si="27">IF(SUM(BJ4:BK4,BM4:BO4,BQ4)-SUM(BL4,BP4)&gt;0,SUM(BJ4:BK4,BM4:BO4,BQ4)-SUM(BL4,BP4),"")</f>
        <v>49.699999999999996</v>
      </c>
      <c r="BZ4" s="11">
        <f t="shared" ref="BZ4:BZ18" si="28"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 t="shared" ref="CV4:CV18" si="29">IF(SUM(CB4,CF4)&gt;0,SUM(CB4,CF4),"")</f>
        <v>13.6</v>
      </c>
      <c r="CW4" s="41">
        <f t="shared" ref="CW4:CW18" si="30">IF(SUM(CA4:CB4,CD4:CF4,CH4)-CC4-CG4&gt;0,SUM(CA4:CB4,CD4:CF4,CH4)-CC4-CG4,"")</f>
        <v>51.599999999999994</v>
      </c>
      <c r="CX4" s="41">
        <f t="shared" ref="CX4:CX18" si="31">IF(SUM(CI4:CJ4,CL4)-CK4&gt;0,SUM(CI4:CJ4,CL4)-CK4,"")</f>
        <v>22.4</v>
      </c>
      <c r="CY4" s="41">
        <f t="shared" ref="CY4:CY18" si="32">IF(SUM(CB4,CF4,CJ4)&gt;0,SUM(CB4,CF4,CJ4),"")</f>
        <v>18.399999999999999</v>
      </c>
      <c r="CZ4" s="41">
        <f t="shared" ref="CZ4:CZ18" si="33">IF(SUM(CW4,CX4)&gt;0,SUM(CW4,CX4),"")</f>
        <v>74</v>
      </c>
      <c r="DA4" s="41">
        <f t="shared" ref="DA4:DA18" si="34">IF(SUM(CN4,CR4)&gt;0,SUM(CN4,CR4),"")</f>
        <v>13.6</v>
      </c>
      <c r="DB4" s="41">
        <f t="shared" ref="DB4:DB18" si="35">IF(SUM(CM4:CN4,CP4:CR4,CT4)-SUM(CO4,CS4)&gt;0,SUM(CM4:CN4,CP4:CR4,CT4)-SUM(CO4,CS4),"")</f>
        <v>52</v>
      </c>
      <c r="DC4" s="41">
        <f t="shared" ref="DC4:DC18" si="36">IF(SUM(CW4,CX4,DB4)&gt;0,SUM(CW4,CX4,DB4),"")</f>
        <v>126</v>
      </c>
      <c r="DD4" s="52" t="str">
        <f t="shared" ref="DD4:DD18" si="37">IF(MAX(EB4,FD4,GF4,HH4,IJ4,JL4,KN4,LP4,MR4,NT4,OV4,PX4)-IF(L4="",0,L4)&gt;0.001,MAX(EB4,FD4,GF4,HH4,IJ4,JL4,KN4,LP4,MR4,NT4,OV4,PX4)-IF(L4="",0,L4),"")</f>
        <v/>
      </c>
      <c r="DE4" s="52" t="str">
        <f t="shared" ref="DE4:DE18" si="38">IF(MAX(EC4,FE4,GG4,HI4,IK4,JM4,KO4,LQ4,MS4,NU4,OW4,PY4)-IF(N4="",0,N4)&gt;0.001,MAX(EC4,FE4,GG4,HI4,IK4,JM4,KO4,LQ4,MS4,NU4,OW4,PY4)-IF(N4="",0,N4),"")</f>
        <v/>
      </c>
      <c r="DF4" s="52" t="str">
        <f t="shared" ref="DF4:DF18" si="39"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 t="shared" ref="EA4:EA18" si="40">IF(SUM(DH4,DL4)&gt;0,SUM(DH4,DL4),"")</f>
        <v>11.2</v>
      </c>
      <c r="EB4" s="41">
        <f t="shared" ref="EB4:EB18" si="41">IF(SUM(DG4:DH4,DJ4:DL4,DN4)-DI4-DM4&gt;0,SUM(DG4:DH4,DJ4:DL4,DN4)-DI4-DM4,"")</f>
        <v>46.4</v>
      </c>
      <c r="EC4" s="41" t="str">
        <f t="shared" ref="EC4:EC18" si="42">IF(SUM(DO4:DP4,DR4)-DQ4&gt;0,SUM(DO4:DP4,DR4)-DQ4,"")</f>
        <v/>
      </c>
      <c r="ED4" s="41">
        <f t="shared" ref="ED4:ED18" si="43">IF(SUM(DH4,DL4,DP4)&gt;0,SUM(DH4,DL4,DP4),"")</f>
        <v>11.2</v>
      </c>
      <c r="EE4" s="41">
        <f t="shared" ref="EE4:EE18" si="44">IF(SUM(EB4,EC4)&gt;0,SUM(EB4,EC4),"")</f>
        <v>46.4</v>
      </c>
      <c r="EF4" s="41" t="str">
        <f t="shared" ref="EF4:EF18" si="45">IF(SUM(DT4,DX4)&gt;0,SUM(DT4,DX4),"")</f>
        <v/>
      </c>
      <c r="EG4" s="41" t="str">
        <f t="shared" ref="EG4:EG18" si="46">IF(SUM(DS4:DT4,DV4:DX4,DZ4)-SUM(DU4,DY4)&gt;0,SUM(DS4:DT4,DV4:DX4,DZ4)-SUM(DU4,DY4),"")</f>
        <v/>
      </c>
      <c r="EH4" s="41">
        <f t="shared" ref="EH4:EH18" si="47">IF(SUM(EB4,EC4,EG4)&gt;0,SUM(EB4,EC4,EG4),"")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 t="shared" ref="FC4:FC18" si="48">IF(SUM(EJ4,EN4)&gt;0,SUM(EJ4,EN4),"")</f>
        <v/>
      </c>
      <c r="FD4" s="11" t="str">
        <f t="shared" ref="FD4:FD18" si="49">IF(SUM(EI4:EJ4,EL4:EN4,EP4)-EK4-EO4&gt;0,SUM(EI4:EJ4,EL4:EN4,EP4)-EK4-EO4,"")</f>
        <v/>
      </c>
      <c r="FE4" s="11" t="str">
        <f t="shared" ref="FE4:FE18" si="50">IF(SUM(EQ4:ER4,ET4)-ES4&gt;0,SUM(EQ4:ER4,ET4)-ES4,"")</f>
        <v/>
      </c>
      <c r="FF4" s="11" t="str">
        <f t="shared" ref="FF4:FF18" si="51">IF(SUM(EJ4,EN4,ER4)&gt;0,SUM(EJ4,EN4,ER4),"")</f>
        <v/>
      </c>
      <c r="FG4" s="11" t="str">
        <f t="shared" ref="FG4:FG18" si="52">IF(SUM(FD4,FE4)&gt;0,SUM(FD4,FE4),"")</f>
        <v/>
      </c>
      <c r="FH4" s="11">
        <f t="shared" ref="FH4:FH18" si="53">IF(SUM(EV4,EZ4)&gt;0,SUM(EV4,EZ4),"")</f>
        <v>7.6</v>
      </c>
      <c r="FI4" s="11">
        <f t="shared" ref="FI4:FI18" si="54">IF(SUM(EU4:EV4,EX4:EZ4,FB4)-SUM(EW4,FA4)&gt;0,SUM(EU4:EV4,EX4:EZ4,FB4)-SUM(EW4,FA4),"")</f>
        <v>22.9</v>
      </c>
      <c r="FJ4" s="11">
        <f t="shared" ref="FJ4:FJ18" si="55">IF(SUM(FD4,FE4,FI4)&gt;0,SUM(FD4,FE4,FI4),"")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 t="shared" ref="GE4:GE18" si="56">IF(SUM(FL4,FP4)&gt;0,SUM(FL4,FP4),"")</f>
        <v/>
      </c>
      <c r="GF4" s="41" t="str">
        <f t="shared" ref="GF4:GF18" si="57">IF(SUM(FK4:FL4,FN4:FP4,FR4)-FM4-FQ4&gt;0,SUM(FK4:FL4,FN4:FP4,FR4)-FM4-FQ4,"")</f>
        <v/>
      </c>
      <c r="GG4" s="41" t="str">
        <f t="shared" ref="GG4:GG18" si="58">IF(SUM(FS4:FT4,FV4)-FU4&gt;0,SUM(FS4:FT4,FV4)-FU4,"")</f>
        <v/>
      </c>
      <c r="GH4" s="41" t="str">
        <f t="shared" ref="GH4:GH18" si="59">IF(SUM(FL4,FP4,FT4)&gt;0,SUM(FL4,FP4,FT4),"")</f>
        <v/>
      </c>
      <c r="GI4" s="41" t="str">
        <f t="shared" ref="GI4:GI18" si="60">IF(SUM(GF4,GG4)&gt;0,SUM(GF4,GG4),"")</f>
        <v/>
      </c>
      <c r="GJ4" s="41">
        <f t="shared" ref="GJ4:GJ18" si="61">IF(SUM(FX4,GB4)&gt;0,SUM(FX4,GB4),"")</f>
        <v>8.4</v>
      </c>
      <c r="GK4" s="41">
        <f t="shared" ref="GK4:GK18" si="62">IF(SUM(FW4:FX4,FZ4:GB4,GD4)-SUM(FY4,GC4)&gt;0,SUM(FW4:FX4,FZ4:GB4,GD4)-SUM(FY4,GC4),"")</f>
        <v>27.1</v>
      </c>
      <c r="GL4" s="41">
        <f t="shared" ref="GL4:GL18" si="63">IF(SUM(GF4,GG4,GK4)&gt;0,SUM(GF4,GG4,GK4),"")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8" si="64">IF(SUM(GN4,GR4)&gt;0,SUM(GN4,GR4),"")</f>
        <v/>
      </c>
      <c r="HH4" s="11" t="str">
        <f t="shared" ref="HH4:HH18" si="65">IF(SUM(GM4:GN4,GP4:GR4,GT4)-GO4-GS4&gt;0,SUM(GM4:GN4,GP4:GR4,GT4)-GO4-GS4,"")</f>
        <v/>
      </c>
      <c r="HI4" s="11" t="str">
        <f t="shared" ref="HI4:HI18" si="66">IF(SUM(GU4:GV4,GX4)-GW4&gt;0,SUM(GU4:GV4,GX4)-GW4,"")</f>
        <v/>
      </c>
      <c r="HJ4" s="11" t="str">
        <f t="shared" ref="HJ4:HJ18" si="67">IF(SUM(GN4,GR4,GV4)&gt;0,SUM(GN4,GR4,GV4),"")</f>
        <v/>
      </c>
      <c r="HK4" s="11" t="str">
        <f t="shared" ref="HK4:HK18" si="68">IF(SUM(HH4,HI4)&gt;0,SUM(HH4,HI4),"")</f>
        <v/>
      </c>
      <c r="HL4" s="11" t="str">
        <f t="shared" ref="HL4:HL18" si="69">IF(SUM(GZ4,HD4)&gt;0,SUM(GZ4,HD4),"")</f>
        <v/>
      </c>
      <c r="HM4" s="11" t="str">
        <f t="shared" ref="HM4:HM18" si="70">IF(SUM(GY4:GZ4,HB4:HD4,HF4)-SUM(HA4,HE4)&gt;0,SUM(GY4:GZ4,HB4:HD4,HF4)-SUM(HA4,HE4),"")</f>
        <v/>
      </c>
      <c r="HN4" s="11" t="str">
        <f t="shared" ref="HN4:HN18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8" si="72">IF(SUM(HP4,HT4)&gt;0,SUM(HP4,HT4),"")</f>
        <v/>
      </c>
      <c r="IJ4" s="41" t="str">
        <f t="shared" ref="IJ4:IJ18" si="73">IF(SUM(HO4:HP4,HR4:HT4,HV4)-HQ4-HU4&gt;0,SUM(HO4:HP4,HR4:HT4,HV4)-HQ4-HU4,"")</f>
        <v/>
      </c>
      <c r="IK4" s="41" t="str">
        <f t="shared" ref="IK4:IK18" si="74">IF(SUM(HW4:HX4,HZ4)-HY4&gt;0,SUM(HW4:HX4,HZ4)-HY4,"")</f>
        <v/>
      </c>
      <c r="IL4" s="41" t="str">
        <f t="shared" ref="IL4:IL18" si="75">IF(SUM(HP4,HT4,HX4)&gt;0,SUM(HP4,HT4,HX4),"")</f>
        <v/>
      </c>
      <c r="IM4" s="41" t="str">
        <f t="shared" ref="IM4:IM18" si="76">IF(SUM(IJ4,IK4)&gt;0,SUM(IJ4,IK4),"")</f>
        <v/>
      </c>
      <c r="IN4" s="41" t="str">
        <f t="shared" ref="IN4:IN18" si="77">IF(SUM(IB4,IF4)&gt;0,SUM(IB4,IF4),"")</f>
        <v/>
      </c>
      <c r="IO4" s="41" t="str">
        <f t="shared" ref="IO4:IO18" si="78">IF(SUM(IA4:IB4,ID4:IF4,IH4)-SUM(IC4,IG4)&gt;0,SUM(IA4:IB4,ID4:IF4,IH4)-SUM(IC4,IG4),"")</f>
        <v/>
      </c>
      <c r="IP4" s="41" t="str">
        <f t="shared" ref="IP4:IP18" si="79">IF(SUM(IJ4,IK4,IO4)&gt;0,SUM(IJ4,IK4,IO4),"")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 t="shared" ref="JK4:JK18" si="80">IF(SUM(IR4,IV4)&gt;0,SUM(IR4,IV4),"")</f>
        <v>14</v>
      </c>
      <c r="JL4" s="11">
        <f t="shared" ref="JL4:JL18" si="81">IF(SUM(IQ4:IR4,IT4:IV4,IX4)-IS4-IW4&gt;0,SUM(IQ4:IR4,IT4:IV4,IX4)-IS4-IW4,"")</f>
        <v>50</v>
      </c>
      <c r="JM4" s="11" t="str">
        <f t="shared" ref="JM4:JM18" si="82">IF(SUM(IY4:IZ4,JB4)-JA4&gt;0,SUM(IY4:IZ4,JB4)-JA4,"")</f>
        <v/>
      </c>
      <c r="JN4" s="11">
        <f t="shared" ref="JN4:JN18" si="83">IF(SUM(IR4,IV4,IZ4)&gt;0,SUM(IR4,IV4,IZ4),"")</f>
        <v>14</v>
      </c>
      <c r="JO4" s="11">
        <f t="shared" ref="JO4:JO18" si="84">IF(SUM(JL4,JM4)&gt;0,SUM(JL4,JM4),"")</f>
        <v>50</v>
      </c>
      <c r="JP4" s="11">
        <f t="shared" ref="JP4:JP18" si="85">IF(SUM(JD4,JH4)&gt;0,SUM(JD4,JH4),"")</f>
        <v>15.2</v>
      </c>
      <c r="JQ4" s="11">
        <f t="shared" ref="JQ4:JQ18" si="86">IF(SUM(JC4:JD4,JF4:JH4,JJ4)-SUM(JE4,JI4)&gt;0,SUM(JC4:JD4,JF4:JH4,JJ4)-SUM(JE4,JI4),"")</f>
        <v>51.199999999999996</v>
      </c>
      <c r="JR4" s="11">
        <f t="shared" ref="JR4:JR18" si="87">IF(SUM(JL4,JM4,JQ4)&gt;0,SUM(JL4,JM4,JQ4),"")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8" si="88">IF(SUM(JT4,JX4)&gt;0,SUM(JT4,JX4),"")</f>
        <v/>
      </c>
      <c r="KN4" s="41" t="str">
        <f t="shared" ref="KN4:KN18" si="89">IF(SUM(JS4:JT4,JV4:JX4,JZ4)-JU4-JY4&gt;0,SUM(JS4:JT4,JV4:JX4,JZ4)-JU4-JY4,"")</f>
        <v/>
      </c>
      <c r="KO4" s="41" t="str">
        <f t="shared" ref="KO4:KO18" si="90">IF(SUM(KA4:KB4,KD4)-KC4&gt;0,SUM(KA4:KB4,KD4)-KC4,"")</f>
        <v/>
      </c>
      <c r="KP4" s="41" t="str">
        <f t="shared" ref="KP4:KP18" si="91">IF(SUM(JT4,JX4,KB4)&gt;0,SUM(JT4,JX4,KB4),"")</f>
        <v/>
      </c>
      <c r="KQ4" s="41" t="str">
        <f t="shared" ref="KQ4:KQ18" si="92">IF(SUM(KN4,KO4)&gt;0,SUM(KN4,KO4),"")</f>
        <v/>
      </c>
      <c r="KR4" s="41" t="str">
        <f t="shared" ref="KR4:KR18" si="93">IF(SUM(KF4,KJ4)&gt;0,SUM(KF4,KJ4),"")</f>
        <v/>
      </c>
      <c r="KS4" s="41" t="str">
        <f t="shared" ref="KS4:KS18" si="94">IF(SUM(KE4:KF4,KH4:KJ4,KL4)-SUM(KG4,KK4)&gt;0,SUM(KE4:KF4,KH4:KJ4,KL4)-SUM(KG4,KK4),"")</f>
        <v/>
      </c>
      <c r="KT4" s="41" t="str">
        <f t="shared" ref="KT4:KT18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8" si="96">IF(SUM(KV4,KZ4)&gt;0,SUM(KV4,KZ4),"")</f>
        <v/>
      </c>
      <c r="LP4" s="11" t="str">
        <f t="shared" ref="LP4:LP18" si="97">IF(SUM(KU4:KV4,KX4:KZ4,LB4)-KW4-LA4&gt;0,SUM(KU4:KV4,KX4:KZ4,LB4)-KW4-LA4,"")</f>
        <v/>
      </c>
      <c r="LQ4" s="11" t="str">
        <f t="shared" ref="LQ4:LQ18" si="98">IF(SUM(LC4:LD4,LF4)-LE4&gt;0,SUM(LC4:LD4,LF4)-LE4,"")</f>
        <v/>
      </c>
      <c r="LR4" s="11" t="str">
        <f t="shared" ref="LR4:LR18" si="99">IF(SUM(KV4,KZ4,LD4)&gt;0,SUM(KV4,KZ4,LD4),"")</f>
        <v/>
      </c>
      <c r="LS4" s="11" t="str">
        <f t="shared" ref="LS4:LS18" si="100">IF(SUM(LP4,LQ4)&gt;0,SUM(LP4,LQ4),"")</f>
        <v/>
      </c>
      <c r="LT4" s="11" t="str">
        <f t="shared" ref="LT4:LT18" si="101">IF(SUM(LH4,LL4)&gt;0,SUM(LH4,LL4),"")</f>
        <v/>
      </c>
      <c r="LU4" s="11" t="str">
        <f t="shared" ref="LU4:LU18" si="102">IF(SUM(LG4:LH4,LJ4:LL4,LN4)-SUM(LI4,LM4)&gt;0,SUM(LG4:LH4,LJ4:LL4,LN4)-SUM(LI4,LM4),"")</f>
        <v/>
      </c>
      <c r="LV4" s="11" t="str">
        <f t="shared" ref="LV4:LV18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8" si="104">IF(SUM(LX4,MB4)&gt;0,SUM(LX4,MB4),"")</f>
        <v/>
      </c>
      <c r="MR4" s="41" t="str">
        <f t="shared" ref="MR4:MR18" si="105">IF(SUM(LW4:LX4,LZ4:MB4,MD4)-LY4-MC4&gt;0,SUM(LW4:LX4,LZ4:MB4,MD4)-LY4-MC4,"")</f>
        <v/>
      </c>
      <c r="MS4" s="41" t="str">
        <f t="shared" ref="MS4:MS18" si="106">IF(SUM(ME4:MF4,MH4)-MG4&gt;0,SUM(ME4:MF4,MH4)-MG4,"")</f>
        <v/>
      </c>
      <c r="MT4" s="41" t="str">
        <f t="shared" ref="MT4:MT18" si="107">IF(SUM(LX4,MB4,MF4)&gt;0,SUM(LX4,MB4,MF4),"")</f>
        <v/>
      </c>
      <c r="MU4" s="41" t="str">
        <f t="shared" ref="MU4:MU18" si="108">IF(SUM(MR4,MS4)&gt;0,SUM(MR4,MS4),"")</f>
        <v/>
      </c>
      <c r="MV4" s="41" t="str">
        <f t="shared" ref="MV4:MV18" si="109">IF(SUM(MJ4,MN4)&gt;0,SUM(MJ4,MN4),"")</f>
        <v/>
      </c>
      <c r="MW4" s="41" t="str">
        <f t="shared" ref="MW4:MW18" si="110">IF(SUM(MI4:MJ4,ML4:MN4,MP4)-SUM(MK4,MO4)&gt;0,SUM(MI4:MJ4,ML4:MN4,MP4)-SUM(MK4,MO4),"")</f>
        <v/>
      </c>
      <c r="MX4" s="41" t="str">
        <f t="shared" ref="MX4:MX18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8" si="112">IF(SUM(MZ4,ND4)&gt;0,SUM(MZ4,ND4),"")</f>
        <v/>
      </c>
      <c r="NT4" s="11" t="str">
        <f t="shared" ref="NT4:NT18" si="113">IF(SUM(MY4:MZ4,NB4:ND4,NF4)-NA4-NE4&gt;0,SUM(MY4:MZ4,NB4:ND4,NF4)-NA4-NE4,"")</f>
        <v/>
      </c>
      <c r="NU4" s="11" t="str">
        <f t="shared" ref="NU4:NU18" si="114">IF(SUM(NG4:NH4,NJ4)-NI4&gt;0,SUM(NG4:NH4,NJ4)-NI4,"")</f>
        <v/>
      </c>
      <c r="NV4" s="11" t="str">
        <f t="shared" ref="NV4:NV18" si="115">IF(SUM(MZ4,ND4,NH4)&gt;0,SUM(MZ4,ND4,NH4),"")</f>
        <v/>
      </c>
      <c r="NW4" s="11" t="str">
        <f t="shared" ref="NW4:NW18" si="116">IF(SUM(NT4,NU4)&gt;0,SUM(NT4,NU4),"")</f>
        <v/>
      </c>
      <c r="NX4" s="11" t="str">
        <f t="shared" ref="NX4:NX18" si="117">IF(SUM(NL4,NP4)&gt;0,SUM(NL4,NP4),"")</f>
        <v/>
      </c>
      <c r="NY4" s="11" t="str">
        <f t="shared" ref="NY4:NY18" si="118">IF(SUM(NK4:NL4,NN4:NP4,NR4)-SUM(NM4,NQ4)&gt;0,SUM(NK4:NL4,NN4:NP4,NR4)-SUM(NM4,NQ4),"")</f>
        <v/>
      </c>
      <c r="NZ4" s="11" t="str">
        <f t="shared" ref="NZ4:NZ18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8" si="120">IF(SUM(OB4,OF4)&gt;0,SUM(OB4,OF4),"")</f>
        <v/>
      </c>
      <c r="OV4" s="41" t="str">
        <f t="shared" ref="OV4:OV18" si="121">IF(SUM(OA4:OB4,OD4:OF4,OH4)-OC4-OG4&gt;0,SUM(OA4:OB4,OD4:OF4,OH4)-OC4-OG4,"")</f>
        <v/>
      </c>
      <c r="OW4" s="41" t="str">
        <f t="shared" ref="OW4:OW18" si="122">IF(SUM(OI4:OJ4,OL4)-OK4&gt;0,SUM(OI4:OJ4,OL4)-OK4,"")</f>
        <v/>
      </c>
      <c r="OX4" s="41" t="str">
        <f t="shared" ref="OX4:OX18" si="123">IF(SUM(OB4,OF4,OJ4)&gt;0,SUM(OB4,OF4,OJ4),"")</f>
        <v/>
      </c>
      <c r="OY4" s="41" t="str">
        <f t="shared" ref="OY4:OY18" si="124">IF(SUM(OV4,OW4)&gt;0,SUM(OV4,OW4),"")</f>
        <v/>
      </c>
      <c r="OZ4" s="41" t="str">
        <f t="shared" ref="OZ4:OZ18" si="125">IF(SUM(ON4,OR4)&gt;0,SUM(ON4,OR4),"")</f>
        <v/>
      </c>
      <c r="PA4" s="41" t="str">
        <f t="shared" ref="PA4:PA18" si="126">IF(SUM(OM4:ON4,OP4:OR4,OT4)-SUM(OO4,OS4)&gt;0,SUM(OM4:ON4,OP4:OR4,OT4)-SUM(OO4,OS4),"")</f>
        <v/>
      </c>
      <c r="PB4" s="41" t="str">
        <f t="shared" ref="PB4:PB18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8" si="128">IF(SUM(PD4,PH4)&gt;0,SUM(PD4,PH4),"")</f>
        <v/>
      </c>
      <c r="PX4" s="11" t="str">
        <f t="shared" ref="PX4:PX18" si="129">IF(SUM(PC4:PD4,PF4:PH4,PJ4)-PE4-PI4&gt;0,SUM(PC4:PD4,PF4:PH4,PJ4)-PE4-PI4,"")</f>
        <v/>
      </c>
      <c r="PY4" s="11" t="str">
        <f t="shared" ref="PY4:PY18" si="130">IF(SUM(PK4:PL4,PN4)-PM4&gt;0,SUM(PK4:PL4,PN4)-PM4,"")</f>
        <v/>
      </c>
      <c r="PZ4" s="11" t="str">
        <f t="shared" ref="PZ4:PZ18" si="131">IF(SUM(PD4,PH4,PL4)&gt;0,SUM(PD4,PH4,PL4),"")</f>
        <v/>
      </c>
      <c r="QA4" s="11" t="str">
        <f t="shared" ref="QA4:QA18" si="132">IF(SUM(PX4,PY4)&gt;0,SUM(PX4,PY4),"")</f>
        <v/>
      </c>
      <c r="QB4" s="11" t="str">
        <f t="shared" ref="QB4:QB18" si="133">IF(SUM(PP4,PT4)&gt;0,SUM(PP4,PT4),"")</f>
        <v/>
      </c>
      <c r="QC4" s="11" t="str">
        <f t="shared" ref="QC4:QC18" si="134">IF(SUM(PO4:PP4,PR4:PT4,PV4)-SUM(PQ4,PU4)&gt;0,SUM(PO4:PP4,PR4:PT4,PV4)-SUM(PQ4,PU4),"")</f>
        <v/>
      </c>
      <c r="QD4" s="11" t="str">
        <f t="shared" ref="QD4:QD18" si="135">IF(SUM(PX4,PY4,QC4)&gt;0,SUM(PX4,PY4,QC4),"")</f>
        <v/>
      </c>
      <c r="QE4" s="23">
        <f t="shared" ref="QE4:QE18" si="136">IF($CU4="P",CA4,(CA4+AX4)/2)</f>
        <v>18.899999999999999</v>
      </c>
      <c r="QF4" s="23">
        <f t="shared" ref="QF4:QF18" si="137">IF($CU4="P",CB4,(CB4+AY4)/2)</f>
        <v>7</v>
      </c>
      <c r="QG4" s="23">
        <f t="shared" ref="QG4:QG18" si="138">IF($CU4="P",CC4,(CC4+AZ4)/2)</f>
        <v>0</v>
      </c>
      <c r="QH4" s="23">
        <f t="shared" ref="QH4:QH18" si="139">IF($CU4="P",CD4,(CD4+BA4)/2)</f>
        <v>0.3</v>
      </c>
      <c r="QI4" s="23">
        <f t="shared" ref="QI4:QI18" si="140">IF($CU4="P",CE4,(CE4+BB4)/2)</f>
        <v>18.700000000000003</v>
      </c>
      <c r="QJ4" s="23">
        <f t="shared" ref="QJ4:QJ18" si="141">IF($CU4="P",CF4,(CF4+BC4)/2)</f>
        <v>7.1999999999999993</v>
      </c>
      <c r="QK4" s="23">
        <f t="shared" ref="QK4:QK18" si="142">IF($CU4="P",CG4,(CG4+BD4)/2)</f>
        <v>0.2</v>
      </c>
      <c r="QL4" s="23">
        <f t="shared" ref="QL4:QL18" si="143">IF($CU4="P",CH4,(CH4+BE4)/2)</f>
        <v>0.3</v>
      </c>
      <c r="QM4" s="23">
        <f t="shared" ref="QM4:QM18" si="144">IF($CU4="P",CI4,(CI4+BF4)/2)</f>
        <v>18.399999999999999</v>
      </c>
      <c r="QN4" s="23">
        <f t="shared" ref="QN4:QN18" si="145">IF($CU4="P",CJ4,(CJ4+BG4)/2)</f>
        <v>5.8</v>
      </c>
      <c r="QO4" s="23">
        <f t="shared" ref="QO4:QO18" si="146">IF($CU4="P",CK4,(CK4+BH4)/2)</f>
        <v>0.4</v>
      </c>
      <c r="QP4" s="23">
        <f t="shared" ref="QP4:QP18" si="147">IF($CU4="P",CL4,(CL4+BI4)/2)</f>
        <v>0.3</v>
      </c>
      <c r="QQ4" s="23">
        <f t="shared" ref="QQ4:QQ18" si="148">IF($CU4="P",CM4,(CM4+BJ4)/2)</f>
        <v>18.850000000000001</v>
      </c>
      <c r="QR4" s="23">
        <f t="shared" ref="QR4:QR18" si="149">IF($CU4="P",CN4,(CN4+BK4)/2)</f>
        <v>6</v>
      </c>
      <c r="QS4" s="23">
        <f t="shared" ref="QS4:QS18" si="150">IF($CU4="P",CO4,(CO4+BL4)/2)</f>
        <v>0.3</v>
      </c>
      <c r="QT4" s="23">
        <f t="shared" ref="QT4:QT18" si="151">IF($CU4="P",CP4,(CP4+BM4)/2)</f>
        <v>0.3</v>
      </c>
      <c r="QU4" s="23">
        <f t="shared" ref="QU4:QU18" si="152">IF($CU4="P",CQ4,(CQ4+BN4)/2)</f>
        <v>18.700000000000003</v>
      </c>
      <c r="QV4" s="23">
        <f t="shared" ref="QV4:QV18" si="153">IF($CU4="P",CR4,(CR4+BO4)/2)</f>
        <v>7</v>
      </c>
      <c r="QW4" s="23">
        <f t="shared" ref="QW4:QW18" si="154">IF($CU4="P",CS4,(CS4+BP4)/2)</f>
        <v>0</v>
      </c>
      <c r="QX4" s="23">
        <f t="shared" ref="QX4:QX18" si="155">IF($CU4="P",CT4,(CT4+BQ4)/2)</f>
        <v>0.3</v>
      </c>
      <c r="QY4" s="28" t="s">
        <v>57</v>
      </c>
      <c r="QZ4" s="41">
        <f t="shared" ref="QZ4:QZ18" si="156">IF(SUM(QF4,QJ4)&gt;0,SUM(QF4,QJ4),"")</f>
        <v>14.2</v>
      </c>
      <c r="RA4" s="41">
        <f t="shared" ref="RA4:RA18" si="157">IF(SUM(QE4:QF4,QH4:QJ4,QL4)-QG4-QK4&gt;0,SUM(QE4:QF4,QH4:QJ4,QL4)-QG4-QK4,"")</f>
        <v>52.2</v>
      </c>
      <c r="RB4" s="41">
        <f t="shared" ref="RB4:RB18" si="158">IF(SUM(QM4:QN4,QP4)-QO4&gt;0,SUM(QM4:QN4,QP4)-QO4,"")</f>
        <v>24.1</v>
      </c>
      <c r="RC4" s="41">
        <f t="shared" ref="RC4:RC18" si="159">IF(SUM(QF4,QJ4,QN4)&gt;0,SUM(QF4,QJ4,QN4),"")</f>
        <v>20</v>
      </c>
      <c r="RD4" s="41">
        <f t="shared" ref="RD4:RD18" si="160">IF(SUM(RA4,RB4)&gt;0,SUM(RA4,RB4),"")</f>
        <v>76.300000000000011</v>
      </c>
      <c r="RE4" s="41">
        <f t="shared" ref="RE4:RE18" si="161">IF(SUM(QR4,QV4)&gt;0,SUM(QR4,QV4),"")</f>
        <v>13</v>
      </c>
      <c r="RF4" s="41">
        <f t="shared" ref="RF4:RF18" si="162">IF(SUM(QQ4:QR4,QT4:QV4,QX4)-SUM(QS4,QW4)&gt;0,SUM(QQ4:QR4,QT4:QV4,QX4)-SUM(QS4,QW4),"")</f>
        <v>50.850000000000009</v>
      </c>
      <c r="RG4" s="41">
        <f t="shared" ref="RG4:RG18" si="163"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98</v>
      </c>
      <c r="C5" s="4" t="s">
        <v>5</v>
      </c>
      <c r="D5" s="4">
        <v>1999</v>
      </c>
      <c r="E5" s="9">
        <f t="shared" si="0"/>
        <v>174.20001236000496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49.8</v>
      </c>
      <c r="K5" s="8" t="str">
        <f t="shared" si="5"/>
        <v>2023 Domestic 3rd Trial</v>
      </c>
      <c r="L5" s="8">
        <f>IF(COUNT(AQ5,BT5,CW5)&gt;1,LARGE((AQ5,BT5,CW5),2),0)</f>
        <v>48.4</v>
      </c>
      <c r="M5" s="8" t="str">
        <f t="shared" si="6"/>
        <v>2023 Nationals</v>
      </c>
      <c r="N5" s="8">
        <f>IF(COUNT(AR5,BU5,CX5)&gt;0,LARGE((AR5,BU5,CX5),1),0)</f>
        <v>25.4</v>
      </c>
      <c r="O5" s="8" t="str">
        <f t="shared" si="7"/>
        <v>2023 Domestic 3rd Trial</v>
      </c>
      <c r="P5" s="8">
        <f t="shared" si="8"/>
        <v>50.599999999999994</v>
      </c>
      <c r="Q5" s="8" t="str">
        <f t="shared" si="9"/>
        <v>2023 Domestic 3rd Trial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 t="shared" si="13"/>
        <v>8.3999999999999986</v>
      </c>
      <c r="AQ5" s="41">
        <f t="shared" si="14"/>
        <v>41.8</v>
      </c>
      <c r="AR5" s="41">
        <f t="shared" si="15"/>
        <v>23.1</v>
      </c>
      <c r="AS5" s="41">
        <f t="shared" si="16"/>
        <v>13.2</v>
      </c>
      <c r="AT5" s="41">
        <f t="shared" si="17"/>
        <v>64.900000000000006</v>
      </c>
      <c r="AU5" s="41" t="str">
        <f t="shared" si="18"/>
        <v/>
      </c>
      <c r="AV5" s="41" t="str">
        <f t="shared" si="19"/>
        <v/>
      </c>
      <c r="AW5" s="41">
        <f t="shared" si="20"/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 t="shared" si="21"/>
        <v>11.2</v>
      </c>
      <c r="BT5" s="11">
        <f t="shared" si="22"/>
        <v>48.4</v>
      </c>
      <c r="BU5" s="11">
        <f t="shared" si="23"/>
        <v>24.1</v>
      </c>
      <c r="BV5" s="11">
        <f t="shared" si="24"/>
        <v>17.2</v>
      </c>
      <c r="BW5" s="11">
        <f t="shared" si="25"/>
        <v>72.5</v>
      </c>
      <c r="BX5" s="11">
        <f t="shared" si="26"/>
        <v>12</v>
      </c>
      <c r="BY5" s="11">
        <f t="shared" si="27"/>
        <v>48.300000000000004</v>
      </c>
      <c r="BZ5" s="11">
        <f t="shared" si="28"/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 t="shared" si="29"/>
        <v>13.6</v>
      </c>
      <c r="CW5" s="41">
        <f t="shared" si="30"/>
        <v>49.8</v>
      </c>
      <c r="CX5" s="41">
        <f t="shared" si="31"/>
        <v>25.4</v>
      </c>
      <c r="CY5" s="41">
        <f t="shared" si="32"/>
        <v>20</v>
      </c>
      <c r="CZ5" s="41">
        <f t="shared" si="33"/>
        <v>75.199999999999989</v>
      </c>
      <c r="DA5" s="41">
        <f t="shared" si="34"/>
        <v>12.8</v>
      </c>
      <c r="DB5" s="41">
        <f t="shared" si="35"/>
        <v>50.599999999999994</v>
      </c>
      <c r="DC5" s="41">
        <f t="shared" si="36"/>
        <v>125.79999999999998</v>
      </c>
      <c r="DD5" s="52" t="str">
        <f t="shared" si="37"/>
        <v/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>
        <v>18.5</v>
      </c>
      <c r="JT5" s="17">
        <v>5.6</v>
      </c>
      <c r="JU5" s="17">
        <v>0.6</v>
      </c>
      <c r="JV5" s="17">
        <v>0</v>
      </c>
      <c r="JW5" s="17">
        <v>18.7</v>
      </c>
      <c r="JX5" s="17">
        <v>5.6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>
        <f t="shared" si="88"/>
        <v>11.2</v>
      </c>
      <c r="KN5" s="41">
        <f t="shared" si="89"/>
        <v>47.8</v>
      </c>
      <c r="KO5" s="41" t="str">
        <f t="shared" si="90"/>
        <v/>
      </c>
      <c r="KP5" s="41">
        <f t="shared" si="91"/>
        <v>11.2</v>
      </c>
      <c r="KQ5" s="41">
        <f t="shared" si="92"/>
        <v>47.8</v>
      </c>
      <c r="KR5" s="41" t="str">
        <f t="shared" si="93"/>
        <v/>
      </c>
      <c r="KS5" s="41" t="str">
        <f t="shared" si="94"/>
        <v/>
      </c>
      <c r="KT5" s="41">
        <f t="shared" si="95"/>
        <v>47.8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18.8</v>
      </c>
      <c r="QF5" s="23">
        <f t="shared" si="137"/>
        <v>6.1999999999999993</v>
      </c>
      <c r="QG5" s="23">
        <f t="shared" si="138"/>
        <v>0.3</v>
      </c>
      <c r="QH5" s="23">
        <f t="shared" si="139"/>
        <v>0.15</v>
      </c>
      <c r="QI5" s="23">
        <f t="shared" si="140"/>
        <v>18</v>
      </c>
      <c r="QJ5" s="23">
        <f t="shared" si="141"/>
        <v>6.1999999999999993</v>
      </c>
      <c r="QK5" s="23">
        <f t="shared" si="142"/>
        <v>0.1</v>
      </c>
      <c r="QL5" s="23">
        <f t="shared" si="143"/>
        <v>0.15</v>
      </c>
      <c r="QM5" s="23">
        <f t="shared" si="144"/>
        <v>18.8</v>
      </c>
      <c r="QN5" s="23">
        <f t="shared" si="145"/>
        <v>6.2</v>
      </c>
      <c r="QO5" s="23">
        <f t="shared" si="146"/>
        <v>0.4</v>
      </c>
      <c r="QP5" s="23">
        <f t="shared" si="147"/>
        <v>0.15</v>
      </c>
      <c r="QQ5" s="23">
        <f t="shared" si="148"/>
        <v>18.600000000000001</v>
      </c>
      <c r="QR5" s="23">
        <f t="shared" si="149"/>
        <v>6</v>
      </c>
      <c r="QS5" s="23">
        <f t="shared" si="150"/>
        <v>0.3</v>
      </c>
      <c r="QT5" s="23">
        <f t="shared" si="151"/>
        <v>0.3</v>
      </c>
      <c r="QU5" s="23">
        <f t="shared" si="152"/>
        <v>18.8</v>
      </c>
      <c r="QV5" s="23">
        <f t="shared" si="153"/>
        <v>6.4</v>
      </c>
      <c r="QW5" s="23">
        <f t="shared" si="154"/>
        <v>0.5</v>
      </c>
      <c r="QX5" s="23">
        <f t="shared" si="155"/>
        <v>0.15</v>
      </c>
      <c r="QY5" s="28" t="s">
        <v>57</v>
      </c>
      <c r="QZ5" s="41">
        <f t="shared" si="156"/>
        <v>12.399999999999999</v>
      </c>
      <c r="RA5" s="41">
        <f t="shared" si="157"/>
        <v>49.099999999999994</v>
      </c>
      <c r="RB5" s="41">
        <f t="shared" si="158"/>
        <v>24.75</v>
      </c>
      <c r="RC5" s="41">
        <f t="shared" si="159"/>
        <v>18.599999999999998</v>
      </c>
      <c r="RD5" s="41">
        <f t="shared" si="160"/>
        <v>73.849999999999994</v>
      </c>
      <c r="RE5" s="41">
        <f t="shared" si="161"/>
        <v>12.4</v>
      </c>
      <c r="RF5" s="41">
        <f t="shared" si="162"/>
        <v>49.45</v>
      </c>
      <c r="RG5" s="41">
        <f t="shared" si="163"/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96</v>
      </c>
      <c r="C6" s="4" t="s">
        <v>39</v>
      </c>
      <c r="D6" s="4">
        <v>2002</v>
      </c>
      <c r="E6" s="9">
        <f t="shared" si="0"/>
        <v>173.70001237000506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50.499999999999993</v>
      </c>
      <c r="K6" s="8" t="str">
        <f t="shared" si="5"/>
        <v>2023 Elite Canada</v>
      </c>
      <c r="L6" s="8">
        <f>IF(COUNT(AQ6,BT6,CW6)&gt;1,LARGE((AQ6,BT6,CW6),2),0)</f>
        <v>48.2</v>
      </c>
      <c r="M6" s="8" t="str">
        <f t="shared" si="6"/>
        <v>2023 Nationals</v>
      </c>
      <c r="N6" s="8">
        <f>IF(COUNT(AR6,BU6,CX6)&gt;0,LARGE((AR6,BU6,CX6),1),0)</f>
        <v>25</v>
      </c>
      <c r="O6" s="8" t="str">
        <f t="shared" si="7"/>
        <v>2023 Domestic 3rd Trial</v>
      </c>
      <c r="P6" s="8">
        <f t="shared" si="8"/>
        <v>49.999999999999993</v>
      </c>
      <c r="Q6" s="8" t="str">
        <f t="shared" si="9"/>
        <v>2023 Elite Canada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 t="shared" si="13"/>
        <v>13.2</v>
      </c>
      <c r="AQ6" s="41">
        <f t="shared" si="14"/>
        <v>50.499999999999993</v>
      </c>
      <c r="AR6" s="41">
        <f t="shared" si="15"/>
        <v>21.5</v>
      </c>
      <c r="AS6" s="41">
        <f t="shared" si="16"/>
        <v>18.399999999999999</v>
      </c>
      <c r="AT6" s="41">
        <f t="shared" si="17"/>
        <v>72</v>
      </c>
      <c r="AU6" s="41">
        <f t="shared" si="18"/>
        <v>13.2</v>
      </c>
      <c r="AV6" s="41">
        <f t="shared" si="19"/>
        <v>49.999999999999993</v>
      </c>
      <c r="AW6" s="41">
        <f t="shared" si="20"/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 t="shared" si="21"/>
        <v>11.6</v>
      </c>
      <c r="BT6" s="11">
        <f t="shared" si="22"/>
        <v>48.2</v>
      </c>
      <c r="BU6" s="11">
        <f t="shared" si="23"/>
        <v>22.9</v>
      </c>
      <c r="BV6" s="11">
        <f t="shared" si="24"/>
        <v>16.8</v>
      </c>
      <c r="BW6" s="11">
        <f t="shared" si="25"/>
        <v>71.099999999999994</v>
      </c>
      <c r="BX6" s="11">
        <f t="shared" si="26"/>
        <v>11.6</v>
      </c>
      <c r="BY6" s="11">
        <f t="shared" si="27"/>
        <v>48.6</v>
      </c>
      <c r="BZ6" s="11">
        <f t="shared" si="28"/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 t="shared" si="29"/>
        <v>8.4</v>
      </c>
      <c r="CW6" s="41">
        <f t="shared" si="30"/>
        <v>44.3</v>
      </c>
      <c r="CX6" s="41">
        <f t="shared" si="31"/>
        <v>25</v>
      </c>
      <c r="CY6" s="41">
        <f t="shared" si="32"/>
        <v>14.8</v>
      </c>
      <c r="CZ6" s="41">
        <f t="shared" si="33"/>
        <v>69.3</v>
      </c>
      <c r="DA6" s="41">
        <f t="shared" si="34"/>
        <v>13.2</v>
      </c>
      <c r="DB6" s="41">
        <f t="shared" si="35"/>
        <v>49.79999999999999</v>
      </c>
      <c r="DC6" s="41">
        <f t="shared" si="36"/>
        <v>119.1</v>
      </c>
      <c r="DD6" s="52" t="str">
        <f t="shared" si="37"/>
        <v/>
      </c>
      <c r="DE6" s="52" t="str">
        <f t="shared" si="38"/>
        <v/>
      </c>
      <c r="DF6" s="52" t="str">
        <f t="shared" si="39"/>
        <v/>
      </c>
      <c r="DG6" s="17">
        <v>18.2</v>
      </c>
      <c r="DH6" s="17">
        <v>7.2</v>
      </c>
      <c r="DI6" s="17">
        <v>0.2</v>
      </c>
      <c r="DJ6" s="17">
        <v>0</v>
      </c>
      <c r="DK6" s="17">
        <v>17.600000000000001</v>
      </c>
      <c r="DL6" s="17">
        <v>6</v>
      </c>
      <c r="DM6" s="17">
        <v>0.8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 t="shared" si="40"/>
        <v>13.2</v>
      </c>
      <c r="EB6" s="41">
        <f t="shared" si="41"/>
        <v>48</v>
      </c>
      <c r="EC6" s="41" t="str">
        <f t="shared" si="42"/>
        <v/>
      </c>
      <c r="ED6" s="41">
        <f t="shared" si="43"/>
        <v>13.2</v>
      </c>
      <c r="EE6" s="41">
        <f t="shared" si="44"/>
        <v>48</v>
      </c>
      <c r="EF6" s="41" t="str">
        <f t="shared" si="45"/>
        <v/>
      </c>
      <c r="EG6" s="41" t="str">
        <f t="shared" si="46"/>
        <v/>
      </c>
      <c r="EH6" s="41">
        <f t="shared" si="47"/>
        <v>48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17.8</v>
      </c>
      <c r="EZ6" s="18">
        <v>7.2</v>
      </c>
      <c r="FA6" s="18">
        <v>0.2</v>
      </c>
      <c r="FB6" s="18">
        <v>0</v>
      </c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>
        <f t="shared" si="53"/>
        <v>7.2</v>
      </c>
      <c r="FI6" s="11">
        <f t="shared" si="54"/>
        <v>24.8</v>
      </c>
      <c r="FJ6" s="11">
        <f t="shared" si="55"/>
        <v>24.8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>
        <v>16.600000000000001</v>
      </c>
      <c r="IB6" s="17">
        <v>6</v>
      </c>
      <c r="IC6" s="17">
        <v>0.8</v>
      </c>
      <c r="ID6" s="17">
        <v>0</v>
      </c>
      <c r="IE6" s="17">
        <v>18.600000000000001</v>
      </c>
      <c r="IF6" s="17">
        <v>6.4</v>
      </c>
      <c r="IG6" s="17">
        <v>0.2</v>
      </c>
      <c r="IH6" s="17">
        <v>0</v>
      </c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>
        <f t="shared" si="77"/>
        <v>12.4</v>
      </c>
      <c r="IO6" s="41">
        <f t="shared" si="78"/>
        <v>46.6</v>
      </c>
      <c r="IP6" s="41">
        <f t="shared" si="79"/>
        <v>46.6</v>
      </c>
      <c r="IQ6" s="18">
        <v>18.5</v>
      </c>
      <c r="IR6" s="18">
        <v>6.4</v>
      </c>
      <c r="IS6" s="18">
        <v>0</v>
      </c>
      <c r="IT6" s="18">
        <v>0</v>
      </c>
      <c r="IU6" s="18">
        <v>17.5</v>
      </c>
      <c r="IV6" s="18">
        <v>2.4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0"/>
        <v>8.8000000000000007</v>
      </c>
      <c r="JL6" s="11">
        <f t="shared" si="81"/>
        <v>44.8</v>
      </c>
      <c r="JM6" s="11" t="str">
        <f t="shared" si="82"/>
        <v/>
      </c>
      <c r="JN6" s="11">
        <f t="shared" si="83"/>
        <v>8.8000000000000007</v>
      </c>
      <c r="JO6" s="11">
        <f t="shared" si="84"/>
        <v>44.8</v>
      </c>
      <c r="JP6" s="11" t="str">
        <f t="shared" si="85"/>
        <v/>
      </c>
      <c r="JQ6" s="11" t="str">
        <f t="shared" si="86"/>
        <v/>
      </c>
      <c r="JR6" s="11">
        <f t="shared" si="87"/>
        <v>44.8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>
        <v>18.399999999999999</v>
      </c>
      <c r="KV6" s="18">
        <v>6.4</v>
      </c>
      <c r="KW6" s="18">
        <v>0</v>
      </c>
      <c r="KX6" s="18">
        <v>0</v>
      </c>
      <c r="KY6" s="18">
        <v>18.399999999999999</v>
      </c>
      <c r="KZ6" s="18">
        <v>5.2</v>
      </c>
      <c r="LA6" s="18">
        <v>0.2</v>
      </c>
      <c r="LB6" s="18">
        <v>0</v>
      </c>
      <c r="LC6" s="18"/>
      <c r="LD6" s="18"/>
      <c r="LE6" s="18"/>
      <c r="LF6" s="18"/>
      <c r="LG6" s="18">
        <v>18.600000000000001</v>
      </c>
      <c r="LH6" s="18">
        <v>6.4</v>
      </c>
      <c r="LI6" s="18">
        <v>0</v>
      </c>
      <c r="LJ6" s="18">
        <v>0</v>
      </c>
      <c r="LK6" s="18">
        <v>18.600000000000001</v>
      </c>
      <c r="LL6" s="18">
        <v>5.2</v>
      </c>
      <c r="LM6" s="18">
        <v>0.6</v>
      </c>
      <c r="LN6" s="18">
        <v>0</v>
      </c>
      <c r="LO6" s="11">
        <f t="shared" si="96"/>
        <v>11.600000000000001</v>
      </c>
      <c r="LP6" s="11">
        <f t="shared" si="97"/>
        <v>48.199999999999996</v>
      </c>
      <c r="LQ6" s="11" t="str">
        <f t="shared" si="98"/>
        <v/>
      </c>
      <c r="LR6" s="11">
        <f t="shared" si="99"/>
        <v>11.600000000000001</v>
      </c>
      <c r="LS6" s="11">
        <f t="shared" si="100"/>
        <v>48.199999999999996</v>
      </c>
      <c r="LT6" s="11">
        <f t="shared" si="101"/>
        <v>11.600000000000001</v>
      </c>
      <c r="LU6" s="11">
        <f t="shared" si="102"/>
        <v>48.2</v>
      </c>
      <c r="LV6" s="11">
        <f t="shared" si="103"/>
        <v>96.4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18.049999999999997</v>
      </c>
      <c r="QF6" s="23">
        <f t="shared" si="137"/>
        <v>5.8</v>
      </c>
      <c r="QG6" s="23">
        <f t="shared" si="138"/>
        <v>0.1</v>
      </c>
      <c r="QH6" s="23">
        <f t="shared" si="139"/>
        <v>0.15</v>
      </c>
      <c r="QI6" s="23">
        <f t="shared" si="140"/>
        <v>18.149999999999999</v>
      </c>
      <c r="QJ6" s="23">
        <f t="shared" si="141"/>
        <v>4.2</v>
      </c>
      <c r="QK6" s="23">
        <f t="shared" si="142"/>
        <v>0</v>
      </c>
      <c r="QL6" s="23">
        <f t="shared" si="143"/>
        <v>0</v>
      </c>
      <c r="QM6" s="23">
        <f t="shared" si="144"/>
        <v>18.3</v>
      </c>
      <c r="QN6" s="23">
        <f t="shared" si="145"/>
        <v>5.8000000000000007</v>
      </c>
      <c r="QO6" s="23">
        <f t="shared" si="146"/>
        <v>0.3</v>
      </c>
      <c r="QP6" s="23">
        <f t="shared" si="147"/>
        <v>0.15</v>
      </c>
      <c r="QQ6" s="23">
        <f t="shared" si="148"/>
        <v>18.649999999999999</v>
      </c>
      <c r="QR6" s="23">
        <f t="shared" si="149"/>
        <v>6.2</v>
      </c>
      <c r="QS6" s="23">
        <f t="shared" si="150"/>
        <v>0.1</v>
      </c>
      <c r="QT6" s="23">
        <f t="shared" si="151"/>
        <v>0</v>
      </c>
      <c r="QU6" s="23">
        <f t="shared" si="152"/>
        <v>18.399999999999999</v>
      </c>
      <c r="QV6" s="23">
        <f t="shared" si="153"/>
        <v>6.1999999999999993</v>
      </c>
      <c r="QW6" s="23">
        <f t="shared" si="154"/>
        <v>0.3</v>
      </c>
      <c r="QX6" s="23">
        <f t="shared" si="155"/>
        <v>0.15</v>
      </c>
      <c r="QY6" s="28" t="s">
        <v>57</v>
      </c>
      <c r="QZ6" s="41">
        <f t="shared" si="156"/>
        <v>10</v>
      </c>
      <c r="RA6" s="41">
        <f t="shared" si="157"/>
        <v>46.249999999999993</v>
      </c>
      <c r="RB6" s="41">
        <f t="shared" si="158"/>
        <v>23.95</v>
      </c>
      <c r="RC6" s="41">
        <f t="shared" si="159"/>
        <v>15.8</v>
      </c>
      <c r="RD6" s="41">
        <f t="shared" si="160"/>
        <v>70.199999999999989</v>
      </c>
      <c r="RE6" s="41">
        <f t="shared" si="161"/>
        <v>12.399999999999999</v>
      </c>
      <c r="RF6" s="41">
        <f t="shared" si="162"/>
        <v>49.2</v>
      </c>
      <c r="RG6" s="41">
        <f t="shared" si="163"/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 t="shared" si="0"/>
        <v>173.60001239000499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49.9</v>
      </c>
      <c r="K7" s="8" t="str">
        <f t="shared" si="5"/>
        <v>2023 Elite Canada</v>
      </c>
      <c r="L7" s="8">
        <f>IF(COUNT(AQ7,BT7,CW7)&gt;1,LARGE((AQ7,BT7,CW7),2),0)</f>
        <v>49.3</v>
      </c>
      <c r="M7" s="8" t="str">
        <f t="shared" si="6"/>
        <v>2023 Nationals</v>
      </c>
      <c r="N7" s="8">
        <f>IF(COUNT(AR7,BU7,CX7)&gt;0,LARGE((AR7,BU7,CX7),1),0)</f>
        <v>24.700000000000003</v>
      </c>
      <c r="O7" s="8" t="str">
        <f t="shared" si="7"/>
        <v>2023 Domestic 3rd Trial</v>
      </c>
      <c r="P7" s="8">
        <f t="shared" si="8"/>
        <v>49.7</v>
      </c>
      <c r="Q7" s="8" t="str">
        <f t="shared" si="9"/>
        <v>2023 Domestic 3rd Trial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 t="shared" si="13"/>
        <v>12.4</v>
      </c>
      <c r="AQ7" s="41">
        <f t="shared" si="14"/>
        <v>49.9</v>
      </c>
      <c r="AR7" s="41">
        <f t="shared" si="15"/>
        <v>22.7</v>
      </c>
      <c r="AS7" s="41">
        <f t="shared" si="16"/>
        <v>17.600000000000001</v>
      </c>
      <c r="AT7" s="41">
        <f t="shared" si="17"/>
        <v>72.599999999999994</v>
      </c>
      <c r="AU7" s="41">
        <f t="shared" si="18"/>
        <v>12.4</v>
      </c>
      <c r="AV7" s="41">
        <f t="shared" si="19"/>
        <v>49.199999999999996</v>
      </c>
      <c r="AW7" s="41">
        <f t="shared" si="20"/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 t="shared" si="21"/>
        <v>12.4</v>
      </c>
      <c r="BT7" s="11">
        <f t="shared" si="22"/>
        <v>49.3</v>
      </c>
      <c r="BU7" s="11">
        <f t="shared" si="23"/>
        <v>23</v>
      </c>
      <c r="BV7" s="11">
        <f t="shared" si="24"/>
        <v>17.600000000000001</v>
      </c>
      <c r="BW7" s="11">
        <f t="shared" si="25"/>
        <v>72.3</v>
      </c>
      <c r="BX7" s="11">
        <f t="shared" si="26"/>
        <v>9.3000000000000007</v>
      </c>
      <c r="BY7" s="11">
        <f t="shared" si="27"/>
        <v>42.4</v>
      </c>
      <c r="BZ7" s="11">
        <f t="shared" si="28"/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 t="shared" si="29"/>
        <v>11.2</v>
      </c>
      <c r="CW7" s="41">
        <f t="shared" si="30"/>
        <v>48.300000000000004</v>
      </c>
      <c r="CX7" s="41">
        <f t="shared" si="31"/>
        <v>24.700000000000003</v>
      </c>
      <c r="CY7" s="41">
        <f t="shared" si="32"/>
        <v>17.600000000000001</v>
      </c>
      <c r="CZ7" s="41">
        <f t="shared" si="33"/>
        <v>73</v>
      </c>
      <c r="DA7" s="41">
        <f t="shared" si="34"/>
        <v>13.2</v>
      </c>
      <c r="DB7" s="41">
        <f t="shared" si="35"/>
        <v>49.7</v>
      </c>
      <c r="DC7" s="41">
        <f t="shared" si="36"/>
        <v>122.7</v>
      </c>
      <c r="DD7" s="52" t="str">
        <f t="shared" si="37"/>
        <v/>
      </c>
      <c r="DE7" s="52" t="str">
        <f t="shared" si="38"/>
        <v/>
      </c>
      <c r="DF7" s="52" t="str">
        <f t="shared" si="39"/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 t="shared" si="40"/>
        <v>12.399999999999999</v>
      </c>
      <c r="EB7" s="41">
        <f t="shared" si="41"/>
        <v>48</v>
      </c>
      <c r="EC7" s="41" t="str">
        <f t="shared" si="42"/>
        <v/>
      </c>
      <c r="ED7" s="41">
        <f t="shared" si="43"/>
        <v>12.399999999999999</v>
      </c>
      <c r="EE7" s="41">
        <f t="shared" si="44"/>
        <v>48</v>
      </c>
      <c r="EF7" s="41" t="str">
        <f t="shared" si="45"/>
        <v/>
      </c>
      <c r="EG7" s="41" t="str">
        <f t="shared" si="46"/>
        <v/>
      </c>
      <c r="EH7" s="41">
        <f t="shared" si="47"/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>
        <v>18.100000000000001</v>
      </c>
      <c r="KV7" s="18">
        <v>6.4</v>
      </c>
      <c r="KW7" s="18">
        <v>0</v>
      </c>
      <c r="KX7" s="18">
        <v>0</v>
      </c>
      <c r="KY7" s="18">
        <v>18.3</v>
      </c>
      <c r="KZ7" s="18">
        <v>5.2</v>
      </c>
      <c r="LA7" s="18">
        <v>0.8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 t="shared" si="96"/>
        <v>11.600000000000001</v>
      </c>
      <c r="LP7" s="11">
        <f t="shared" si="97"/>
        <v>47.2</v>
      </c>
      <c r="LQ7" s="11" t="str">
        <f t="shared" si="98"/>
        <v/>
      </c>
      <c r="LR7" s="11">
        <f t="shared" si="99"/>
        <v>11.600000000000001</v>
      </c>
      <c r="LS7" s="11">
        <f t="shared" si="100"/>
        <v>47.2</v>
      </c>
      <c r="LT7" s="11" t="str">
        <f t="shared" si="101"/>
        <v/>
      </c>
      <c r="LU7" s="11" t="str">
        <f t="shared" si="102"/>
        <v/>
      </c>
      <c r="LV7" s="11">
        <f t="shared" si="103"/>
        <v>47.2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18.3</v>
      </c>
      <c r="QF7" s="23">
        <f t="shared" si="137"/>
        <v>6.2</v>
      </c>
      <c r="QG7" s="23">
        <f t="shared" si="138"/>
        <v>0</v>
      </c>
      <c r="QH7" s="23">
        <f t="shared" si="139"/>
        <v>0.15</v>
      </c>
      <c r="QI7" s="23">
        <f t="shared" si="140"/>
        <v>18.5</v>
      </c>
      <c r="QJ7" s="23">
        <f t="shared" si="141"/>
        <v>5.6</v>
      </c>
      <c r="QK7" s="23">
        <f t="shared" si="142"/>
        <v>0.1</v>
      </c>
      <c r="QL7" s="23">
        <f t="shared" si="143"/>
        <v>0.15</v>
      </c>
      <c r="QM7" s="23">
        <f t="shared" si="144"/>
        <v>18.149999999999999</v>
      </c>
      <c r="QN7" s="23">
        <f t="shared" si="145"/>
        <v>5.8000000000000007</v>
      </c>
      <c r="QO7" s="23">
        <f t="shared" si="146"/>
        <v>0.1</v>
      </c>
      <c r="QP7" s="23">
        <f t="shared" si="147"/>
        <v>0</v>
      </c>
      <c r="QQ7" s="23">
        <f t="shared" si="148"/>
        <v>18.5</v>
      </c>
      <c r="QR7" s="23">
        <f t="shared" si="149"/>
        <v>6.8000000000000007</v>
      </c>
      <c r="QS7" s="23">
        <f t="shared" si="150"/>
        <v>0.1</v>
      </c>
      <c r="QT7" s="23">
        <f t="shared" si="151"/>
        <v>0.15</v>
      </c>
      <c r="QU7" s="23">
        <f t="shared" si="152"/>
        <v>17.450000000000003</v>
      </c>
      <c r="QV7" s="23">
        <f t="shared" si="153"/>
        <v>4.45</v>
      </c>
      <c r="QW7" s="23">
        <f t="shared" si="154"/>
        <v>1.2</v>
      </c>
      <c r="QX7" s="23">
        <f t="shared" si="155"/>
        <v>0</v>
      </c>
      <c r="QY7" s="28" t="s">
        <v>57</v>
      </c>
      <c r="QZ7" s="41">
        <f t="shared" si="156"/>
        <v>11.8</v>
      </c>
      <c r="RA7" s="41">
        <f t="shared" si="157"/>
        <v>48.8</v>
      </c>
      <c r="RB7" s="41">
        <f t="shared" si="158"/>
        <v>23.849999999999998</v>
      </c>
      <c r="RC7" s="41">
        <f t="shared" si="159"/>
        <v>17.600000000000001</v>
      </c>
      <c r="RD7" s="41">
        <f t="shared" si="160"/>
        <v>72.649999999999991</v>
      </c>
      <c r="RE7" s="41">
        <f t="shared" si="161"/>
        <v>11.25</v>
      </c>
      <c r="RF7" s="41">
        <f t="shared" si="162"/>
        <v>46.050000000000011</v>
      </c>
      <c r="RG7" s="41">
        <f t="shared" si="163"/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 t="shared" si="0"/>
        <v>171.80001203000486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48.7</v>
      </c>
      <c r="K8" s="8" t="str">
        <f t="shared" si="5"/>
        <v>2023 Nationals</v>
      </c>
      <c r="L8" s="8">
        <f>IF(COUNT(AQ8,BT8,CW8)&gt;1,LARGE((AQ8,BT8,CW8),2),0)</f>
        <v>47.699999999999996</v>
      </c>
      <c r="M8" s="8" t="str">
        <f t="shared" si="6"/>
        <v>2023 Domestic 3rd Trial</v>
      </c>
      <c r="N8" s="8">
        <f>IF(COUNT(AR8,BU8,CX8)&gt;0,LARGE((AR8,BU8,CX8),1),0)</f>
        <v>23.9</v>
      </c>
      <c r="O8" s="8" t="str">
        <f t="shared" si="7"/>
        <v>2023 Domestic 3rd Trial</v>
      </c>
      <c r="P8" s="8">
        <f t="shared" si="8"/>
        <v>49.8</v>
      </c>
      <c r="Q8" s="8" t="str">
        <f t="shared" si="9"/>
        <v>2023 Nationals</v>
      </c>
      <c r="R8" s="8">
        <f t="shared" si="10"/>
        <v>1.7000000000000028</v>
      </c>
      <c r="S8" s="11" t="str">
        <f t="shared" si="11"/>
        <v>(Q1)</v>
      </c>
      <c r="T8" s="8" t="str">
        <f t="shared" si="12"/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 t="shared" si="13"/>
        <v>10.8</v>
      </c>
      <c r="AQ8" s="41">
        <f t="shared" si="14"/>
        <v>47.3</v>
      </c>
      <c r="AR8" s="41">
        <f t="shared" si="15"/>
        <v>23.6</v>
      </c>
      <c r="AS8" s="41">
        <f t="shared" si="16"/>
        <v>16</v>
      </c>
      <c r="AT8" s="41">
        <f t="shared" si="17"/>
        <v>70.900000000000006</v>
      </c>
      <c r="AU8" s="41">
        <f t="shared" si="18"/>
        <v>11.600000000000001</v>
      </c>
      <c r="AV8" s="41">
        <f t="shared" si="19"/>
        <v>48.300000000000004</v>
      </c>
      <c r="AW8" s="41">
        <f t="shared" si="20"/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 t="shared" si="21"/>
        <v>12.4</v>
      </c>
      <c r="BT8" s="11">
        <f t="shared" si="22"/>
        <v>48.7</v>
      </c>
      <c r="BU8" s="11">
        <f t="shared" si="23"/>
        <v>22.5</v>
      </c>
      <c r="BV8" s="11">
        <f t="shared" si="24"/>
        <v>17.600000000000001</v>
      </c>
      <c r="BW8" s="11">
        <f t="shared" si="25"/>
        <v>71.2</v>
      </c>
      <c r="BX8" s="11">
        <f t="shared" si="26"/>
        <v>12.4</v>
      </c>
      <c r="BY8" s="11">
        <f t="shared" si="27"/>
        <v>49.8</v>
      </c>
      <c r="BZ8" s="11">
        <f t="shared" si="28"/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 t="shared" si="29"/>
        <v>10.4</v>
      </c>
      <c r="CW8" s="41">
        <f t="shared" si="30"/>
        <v>47.699999999999996</v>
      </c>
      <c r="CX8" s="41">
        <f t="shared" si="31"/>
        <v>23.9</v>
      </c>
      <c r="CY8" s="41">
        <f t="shared" si="32"/>
        <v>16</v>
      </c>
      <c r="CZ8" s="41">
        <f t="shared" si="33"/>
        <v>71.599999999999994</v>
      </c>
      <c r="DA8" s="41">
        <f t="shared" si="34"/>
        <v>11.600000000000001</v>
      </c>
      <c r="DB8" s="41">
        <f t="shared" si="35"/>
        <v>49.199999999999996</v>
      </c>
      <c r="DC8" s="41">
        <f t="shared" si="36"/>
        <v>120.79999999999998</v>
      </c>
      <c r="DD8" s="52">
        <f t="shared" si="37"/>
        <v>1.7000000000000028</v>
      </c>
      <c r="DE8" s="52" t="str">
        <f t="shared" si="38"/>
        <v/>
      </c>
      <c r="DF8" s="52" t="str">
        <f t="shared" si="39"/>
        <v/>
      </c>
      <c r="DG8" s="17">
        <v>18.399999999999999</v>
      </c>
      <c r="DH8" s="17">
        <v>6.4</v>
      </c>
      <c r="DI8" s="17">
        <v>0</v>
      </c>
      <c r="DJ8" s="17">
        <v>0</v>
      </c>
      <c r="DK8" s="17">
        <v>18.399999999999999</v>
      </c>
      <c r="DL8" s="17">
        <v>5.2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 t="shared" si="40"/>
        <v>11.600000000000001</v>
      </c>
      <c r="EB8" s="41">
        <f t="shared" si="41"/>
        <v>48.4</v>
      </c>
      <c r="EC8" s="41" t="str">
        <f t="shared" si="42"/>
        <v/>
      </c>
      <c r="ED8" s="41">
        <f t="shared" si="43"/>
        <v>11.600000000000001</v>
      </c>
      <c r="EE8" s="41">
        <f t="shared" si="44"/>
        <v>48.4</v>
      </c>
      <c r="EF8" s="41" t="str">
        <f t="shared" si="45"/>
        <v/>
      </c>
      <c r="EG8" s="41" t="str">
        <f t="shared" si="46"/>
        <v/>
      </c>
      <c r="EH8" s="41">
        <f t="shared" si="47"/>
        <v>48.4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17.2</v>
      </c>
      <c r="EZ8" s="18">
        <v>2.8</v>
      </c>
      <c r="FA8" s="18">
        <v>0</v>
      </c>
      <c r="FB8" s="18">
        <v>0</v>
      </c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>
        <f t="shared" si="53"/>
        <v>2.8</v>
      </c>
      <c r="FI8" s="11">
        <f t="shared" si="54"/>
        <v>20</v>
      </c>
      <c r="FJ8" s="11">
        <f t="shared" si="55"/>
        <v>20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>
        <v>18.399999999999999</v>
      </c>
      <c r="IR8" s="18">
        <v>6.4</v>
      </c>
      <c r="IS8" s="18">
        <v>0</v>
      </c>
      <c r="IT8" s="18">
        <v>0</v>
      </c>
      <c r="IU8" s="18">
        <v>18.600000000000001</v>
      </c>
      <c r="IV8" s="18">
        <v>6</v>
      </c>
      <c r="IW8" s="18">
        <v>0</v>
      </c>
      <c r="IX8" s="18">
        <v>0</v>
      </c>
      <c r="IY8" s="18"/>
      <c r="IZ8" s="18"/>
      <c r="JA8" s="18"/>
      <c r="JB8" s="18"/>
      <c r="JC8" s="18">
        <v>18.600000000000001</v>
      </c>
      <c r="JD8" s="18">
        <v>6.4</v>
      </c>
      <c r="JE8" s="18">
        <v>0</v>
      </c>
      <c r="JF8" s="18">
        <v>0</v>
      </c>
      <c r="JG8" s="18">
        <v>18.399999999999999</v>
      </c>
      <c r="JH8" s="18">
        <v>5.2</v>
      </c>
      <c r="JI8" s="18">
        <v>1</v>
      </c>
      <c r="JJ8" s="18">
        <v>0</v>
      </c>
      <c r="JK8" s="11">
        <f t="shared" si="80"/>
        <v>12.4</v>
      </c>
      <c r="JL8" s="11">
        <f t="shared" si="81"/>
        <v>49.4</v>
      </c>
      <c r="JM8" s="11" t="str">
        <f t="shared" si="82"/>
        <v/>
      </c>
      <c r="JN8" s="11">
        <f t="shared" si="83"/>
        <v>12.4</v>
      </c>
      <c r="JO8" s="11">
        <f t="shared" si="84"/>
        <v>49.4</v>
      </c>
      <c r="JP8" s="11">
        <f t="shared" si="85"/>
        <v>11.600000000000001</v>
      </c>
      <c r="JQ8" s="11">
        <f t="shared" si="86"/>
        <v>47.6</v>
      </c>
      <c r="JR8" s="11">
        <f t="shared" si="87"/>
        <v>97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>
        <v>17.600000000000001</v>
      </c>
      <c r="KV8" s="18">
        <v>6</v>
      </c>
      <c r="KW8" s="18">
        <v>0.8</v>
      </c>
      <c r="KX8" s="18">
        <v>0</v>
      </c>
      <c r="KY8" s="18">
        <v>18.3</v>
      </c>
      <c r="KZ8" s="18">
        <v>6.4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 t="shared" si="96"/>
        <v>12.4</v>
      </c>
      <c r="LP8" s="11">
        <f t="shared" si="97"/>
        <v>47.300000000000004</v>
      </c>
      <c r="LQ8" s="11" t="str">
        <f t="shared" si="98"/>
        <v/>
      </c>
      <c r="LR8" s="11">
        <f t="shared" si="99"/>
        <v>12.4</v>
      </c>
      <c r="LS8" s="11">
        <f t="shared" si="100"/>
        <v>47.300000000000004</v>
      </c>
      <c r="LT8" s="11" t="str">
        <f t="shared" si="101"/>
        <v/>
      </c>
      <c r="LU8" s="11" t="str">
        <f t="shared" si="102"/>
        <v/>
      </c>
      <c r="LV8" s="11">
        <f t="shared" si="103"/>
        <v>47.300000000000004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18.5</v>
      </c>
      <c r="QF8" s="23">
        <f t="shared" si="137"/>
        <v>5.8000000000000007</v>
      </c>
      <c r="QG8" s="23">
        <f t="shared" si="138"/>
        <v>0.4</v>
      </c>
      <c r="QH8" s="23">
        <f t="shared" si="139"/>
        <v>0</v>
      </c>
      <c r="QI8" s="23">
        <f t="shared" si="140"/>
        <v>18.5</v>
      </c>
      <c r="QJ8" s="23">
        <f t="shared" si="141"/>
        <v>5.6</v>
      </c>
      <c r="QK8" s="23">
        <f t="shared" si="142"/>
        <v>0.1</v>
      </c>
      <c r="QL8" s="23">
        <f t="shared" si="143"/>
        <v>0.3</v>
      </c>
      <c r="QM8" s="23">
        <f t="shared" si="144"/>
        <v>18.200000000000003</v>
      </c>
      <c r="QN8" s="23">
        <f t="shared" si="145"/>
        <v>5.4</v>
      </c>
      <c r="QO8" s="23">
        <f t="shared" si="146"/>
        <v>0.4</v>
      </c>
      <c r="QP8" s="23">
        <f t="shared" si="147"/>
        <v>0</v>
      </c>
      <c r="QQ8" s="23">
        <f t="shared" si="148"/>
        <v>18.799999999999997</v>
      </c>
      <c r="QR8" s="23">
        <f t="shared" si="149"/>
        <v>5.8000000000000007</v>
      </c>
      <c r="QS8" s="23">
        <f t="shared" si="150"/>
        <v>0</v>
      </c>
      <c r="QT8" s="23">
        <f t="shared" si="151"/>
        <v>0</v>
      </c>
      <c r="QU8" s="23">
        <f t="shared" si="152"/>
        <v>18.75</v>
      </c>
      <c r="QV8" s="23">
        <f t="shared" si="153"/>
        <v>6.2</v>
      </c>
      <c r="QW8" s="23">
        <f t="shared" si="154"/>
        <v>0.2</v>
      </c>
      <c r="QX8" s="23">
        <f t="shared" si="155"/>
        <v>0.15</v>
      </c>
      <c r="QY8" s="28" t="s">
        <v>57</v>
      </c>
      <c r="QZ8" s="41">
        <f t="shared" si="156"/>
        <v>11.4</v>
      </c>
      <c r="RA8" s="41">
        <f t="shared" si="157"/>
        <v>48.199999999999996</v>
      </c>
      <c r="RB8" s="41">
        <f t="shared" si="158"/>
        <v>23.200000000000003</v>
      </c>
      <c r="RC8" s="41">
        <f t="shared" si="159"/>
        <v>16.8</v>
      </c>
      <c r="RD8" s="41">
        <f t="shared" si="160"/>
        <v>71.400000000000006</v>
      </c>
      <c r="RE8" s="41">
        <f t="shared" si="161"/>
        <v>12</v>
      </c>
      <c r="RF8" s="41">
        <f t="shared" si="162"/>
        <v>49.499999999999993</v>
      </c>
      <c r="RG8" s="41">
        <f t="shared" si="163"/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39</v>
      </c>
      <c r="D9" s="4">
        <v>2000</v>
      </c>
      <c r="E9" s="9">
        <f t="shared" si="0"/>
        <v>169.90001176000479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47.8</v>
      </c>
      <c r="K9" s="8" t="str">
        <f t="shared" si="5"/>
        <v>2023 Nationals</v>
      </c>
      <c r="L9" s="8">
        <f>IF(COUNT(AQ9,BT9,CW9)&gt;1,LARGE((AQ9,BT9,CW9),2),0)</f>
        <v>44.899999999999991</v>
      </c>
      <c r="M9" s="8" t="str">
        <f t="shared" si="6"/>
        <v>2023 Elite Canada</v>
      </c>
      <c r="N9" s="8">
        <f>IF(COUNT(AR9,BU9,CX9)&gt;0,LARGE((AR9,BU9,CX9),1),0)</f>
        <v>24.900000000000002</v>
      </c>
      <c r="O9" s="8" t="str">
        <f t="shared" si="7"/>
        <v>2023 Nationals</v>
      </c>
      <c r="P9" s="8">
        <f t="shared" si="8"/>
        <v>48.9</v>
      </c>
      <c r="Q9" s="8" t="str">
        <f t="shared" si="9"/>
        <v>2023 Nationals</v>
      </c>
      <c r="R9" s="8">
        <f t="shared" si="10"/>
        <v>3.4000000000000057</v>
      </c>
      <c r="S9" s="11" t="str">
        <f t="shared" si="11"/>
        <v>(Q1)</v>
      </c>
      <c r="T9" s="8" t="str">
        <f t="shared" si="12"/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 t="shared" si="13"/>
        <v>10</v>
      </c>
      <c r="AQ9" s="41">
        <f t="shared" si="14"/>
        <v>44.899999999999991</v>
      </c>
      <c r="AR9" s="41">
        <f t="shared" si="15"/>
        <v>23.9</v>
      </c>
      <c r="AS9" s="41">
        <f t="shared" si="16"/>
        <v>16</v>
      </c>
      <c r="AT9" s="41">
        <f t="shared" si="17"/>
        <v>68.799999999999983</v>
      </c>
      <c r="AU9" s="41">
        <f t="shared" si="18"/>
        <v>11.6</v>
      </c>
      <c r="AV9" s="41">
        <f t="shared" si="19"/>
        <v>48.400000000000006</v>
      </c>
      <c r="AW9" s="41">
        <f t="shared" si="20"/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 t="shared" si="21"/>
        <v>12</v>
      </c>
      <c r="BT9" s="11">
        <f t="shared" si="22"/>
        <v>47.8</v>
      </c>
      <c r="BU9" s="11">
        <f t="shared" si="23"/>
        <v>24.900000000000002</v>
      </c>
      <c r="BV9" s="11">
        <f t="shared" si="24"/>
        <v>18</v>
      </c>
      <c r="BW9" s="11">
        <f t="shared" si="25"/>
        <v>72.7</v>
      </c>
      <c r="BX9" s="11">
        <f t="shared" si="26"/>
        <v>12</v>
      </c>
      <c r="BY9" s="11">
        <f t="shared" si="27"/>
        <v>48.9</v>
      </c>
      <c r="BZ9" s="11">
        <f t="shared" si="28"/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 t="shared" si="29"/>
        <v>6.4</v>
      </c>
      <c r="CW9" s="41">
        <f t="shared" si="30"/>
        <v>25.1</v>
      </c>
      <c r="CX9" s="41">
        <f t="shared" si="31"/>
        <v>23.8</v>
      </c>
      <c r="CY9" s="41">
        <f t="shared" si="32"/>
        <v>11.600000000000001</v>
      </c>
      <c r="CZ9" s="41">
        <f t="shared" si="33"/>
        <v>48.900000000000006</v>
      </c>
      <c r="DA9" s="41" t="str">
        <f t="shared" si="34"/>
        <v/>
      </c>
      <c r="DB9" s="41" t="str">
        <f t="shared" si="35"/>
        <v/>
      </c>
      <c r="DC9" s="41">
        <f t="shared" si="36"/>
        <v>48.900000000000006</v>
      </c>
      <c r="DD9" s="52">
        <f t="shared" si="37"/>
        <v>3.4000000000000057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>
        <v>18.399999999999999</v>
      </c>
      <c r="IR9" s="18">
        <v>6</v>
      </c>
      <c r="IS9" s="18">
        <v>0.2</v>
      </c>
      <c r="IT9" s="18">
        <v>0</v>
      </c>
      <c r="IU9" s="18">
        <v>18.5</v>
      </c>
      <c r="IV9" s="18">
        <v>5.6</v>
      </c>
      <c r="IW9" s="18">
        <v>0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 t="shared" si="80"/>
        <v>11.6</v>
      </c>
      <c r="JL9" s="11">
        <f t="shared" si="81"/>
        <v>48.3</v>
      </c>
      <c r="JM9" s="11" t="str">
        <f t="shared" si="82"/>
        <v/>
      </c>
      <c r="JN9" s="11">
        <f t="shared" si="83"/>
        <v>11.6</v>
      </c>
      <c r="JO9" s="11">
        <f t="shared" si="84"/>
        <v>48.3</v>
      </c>
      <c r="JP9" s="11" t="str">
        <f t="shared" si="85"/>
        <v/>
      </c>
      <c r="JQ9" s="11" t="str">
        <f t="shared" si="86"/>
        <v/>
      </c>
      <c r="JR9" s="11">
        <f t="shared" si="87"/>
        <v>48.3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>
        <v>18</v>
      </c>
      <c r="KV9" s="18">
        <v>5.2</v>
      </c>
      <c r="KW9" s="18">
        <v>0.2</v>
      </c>
      <c r="KX9" s="18">
        <v>0</v>
      </c>
      <c r="KY9" s="18">
        <v>18.8</v>
      </c>
      <c r="KZ9" s="18">
        <v>5.6</v>
      </c>
      <c r="LA9" s="18">
        <v>0</v>
      </c>
      <c r="LB9" s="18">
        <v>0</v>
      </c>
      <c r="LC9" s="18"/>
      <c r="LD9" s="18"/>
      <c r="LE9" s="18"/>
      <c r="LF9" s="18"/>
      <c r="LG9" s="18">
        <v>18.5</v>
      </c>
      <c r="LH9" s="18">
        <v>5.6</v>
      </c>
      <c r="LI9" s="18">
        <v>0.8</v>
      </c>
      <c r="LJ9" s="18">
        <v>0</v>
      </c>
      <c r="LK9" s="18">
        <v>18.3</v>
      </c>
      <c r="LL9" s="18">
        <v>6</v>
      </c>
      <c r="LM9" s="18">
        <v>0.2</v>
      </c>
      <c r="LN9" s="18">
        <v>0</v>
      </c>
      <c r="LO9" s="11">
        <f t="shared" si="96"/>
        <v>10.8</v>
      </c>
      <c r="LP9" s="11">
        <f t="shared" si="97"/>
        <v>47.4</v>
      </c>
      <c r="LQ9" s="11" t="str">
        <f t="shared" si="98"/>
        <v/>
      </c>
      <c r="LR9" s="11">
        <f t="shared" si="99"/>
        <v>10.8</v>
      </c>
      <c r="LS9" s="11">
        <f t="shared" si="100"/>
        <v>47.4</v>
      </c>
      <c r="LT9" s="11">
        <f t="shared" si="101"/>
        <v>11.6</v>
      </c>
      <c r="LU9" s="11">
        <f t="shared" si="102"/>
        <v>47.400000000000006</v>
      </c>
      <c r="LV9" s="11">
        <f t="shared" si="103"/>
        <v>94.800000000000011</v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18.75</v>
      </c>
      <c r="QF9" s="23">
        <f t="shared" si="137"/>
        <v>6</v>
      </c>
      <c r="QG9" s="23">
        <f t="shared" si="138"/>
        <v>0</v>
      </c>
      <c r="QH9" s="23">
        <f t="shared" si="139"/>
        <v>0</v>
      </c>
      <c r="QI9" s="23">
        <f t="shared" si="140"/>
        <v>8.5</v>
      </c>
      <c r="QJ9" s="23">
        <f t="shared" si="141"/>
        <v>3.2</v>
      </c>
      <c r="QK9" s="23">
        <f t="shared" si="142"/>
        <v>0</v>
      </c>
      <c r="QL9" s="23">
        <f t="shared" si="143"/>
        <v>0</v>
      </c>
      <c r="QM9" s="23">
        <f t="shared" si="144"/>
        <v>18.700000000000003</v>
      </c>
      <c r="QN9" s="23">
        <f t="shared" si="145"/>
        <v>5.6</v>
      </c>
      <c r="QO9" s="23">
        <f t="shared" si="146"/>
        <v>0.1</v>
      </c>
      <c r="QP9" s="23">
        <f t="shared" si="147"/>
        <v>0.15</v>
      </c>
      <c r="QQ9" s="23">
        <f t="shared" si="148"/>
        <v>9.1999999999999993</v>
      </c>
      <c r="QR9" s="23">
        <f t="shared" si="149"/>
        <v>3</v>
      </c>
      <c r="QS9" s="23">
        <f t="shared" si="150"/>
        <v>0.1</v>
      </c>
      <c r="QT9" s="23">
        <f t="shared" si="151"/>
        <v>0.15</v>
      </c>
      <c r="QU9" s="23">
        <f t="shared" si="152"/>
        <v>9.3000000000000007</v>
      </c>
      <c r="QV9" s="23">
        <f t="shared" si="153"/>
        <v>3</v>
      </c>
      <c r="QW9" s="23">
        <f t="shared" si="154"/>
        <v>0.1</v>
      </c>
      <c r="QX9" s="23">
        <f t="shared" si="155"/>
        <v>0</v>
      </c>
      <c r="QY9" s="28" t="s">
        <v>57</v>
      </c>
      <c r="QZ9" s="41">
        <f t="shared" si="156"/>
        <v>9.1999999999999993</v>
      </c>
      <c r="RA9" s="41">
        <f t="shared" si="157"/>
        <v>36.450000000000003</v>
      </c>
      <c r="RB9" s="41">
        <f t="shared" si="158"/>
        <v>24.35</v>
      </c>
      <c r="RC9" s="41">
        <f t="shared" si="159"/>
        <v>14.799999999999999</v>
      </c>
      <c r="RD9" s="41">
        <f t="shared" si="160"/>
        <v>60.800000000000004</v>
      </c>
      <c r="RE9" s="41">
        <f t="shared" si="161"/>
        <v>6</v>
      </c>
      <c r="RF9" s="41">
        <f t="shared" si="162"/>
        <v>24.45</v>
      </c>
      <c r="RG9" s="41">
        <f t="shared" si="163"/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149</v>
      </c>
      <c r="C10" s="4" t="s">
        <v>5</v>
      </c>
      <c r="D10" s="4">
        <v>2001</v>
      </c>
      <c r="E10" s="9">
        <f t="shared" si="0"/>
        <v>169.00001209000484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IF(COUNT(AQ10,BT10,CW10)&gt;0,LARGE((AQ10,BT10,CW10),1),0)</f>
        <v>48.3</v>
      </c>
      <c r="K10" s="8" t="str">
        <f t="shared" si="5"/>
        <v>2023 Elite Canada</v>
      </c>
      <c r="L10" s="8">
        <f>IF(COUNT(AQ10,BT10,CW10)&gt;1,LARGE((AQ10,BT10,CW10),2),0)</f>
        <v>48.099999999999994</v>
      </c>
      <c r="M10" s="8" t="str">
        <f t="shared" si="6"/>
        <v>2023 Nationals</v>
      </c>
      <c r="N10" s="8">
        <f>IF(COUNT(AR10,BU10,CX10)&gt;0,LARGE((AR10,BU10,CX10),1),0)</f>
        <v>24.5</v>
      </c>
      <c r="O10" s="8" t="str">
        <f t="shared" si="7"/>
        <v>2023 Domestic 3rd Trial</v>
      </c>
      <c r="P10" s="8">
        <f t="shared" si="8"/>
        <v>48.1</v>
      </c>
      <c r="Q10" s="8" t="str">
        <f t="shared" si="9"/>
        <v>2023 Domestic 3rd Trial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18.399999999999999</v>
      </c>
      <c r="V10" s="19">
        <v>5.6</v>
      </c>
      <c r="W10" s="19">
        <v>0</v>
      </c>
      <c r="X10" s="19">
        <v>0</v>
      </c>
      <c r="Y10" s="19">
        <v>18.5</v>
      </c>
      <c r="Z10" s="19">
        <v>6</v>
      </c>
      <c r="AA10" s="19">
        <v>0.2</v>
      </c>
      <c r="AB10" s="19">
        <v>0</v>
      </c>
      <c r="AC10" s="19">
        <v>16.2</v>
      </c>
      <c r="AD10" s="19">
        <v>4.8</v>
      </c>
      <c r="AE10" s="19">
        <v>1</v>
      </c>
      <c r="AF10" s="19">
        <v>0</v>
      </c>
      <c r="AG10" s="19">
        <v>18.399999999999999</v>
      </c>
      <c r="AH10" s="19">
        <v>5.2</v>
      </c>
      <c r="AI10" s="19">
        <v>1</v>
      </c>
      <c r="AJ10" s="19">
        <v>0</v>
      </c>
      <c r="AK10" s="19">
        <v>18.3</v>
      </c>
      <c r="AL10" s="19">
        <v>2</v>
      </c>
      <c r="AM10" s="19">
        <v>1</v>
      </c>
      <c r="AN10" s="19">
        <v>0</v>
      </c>
      <c r="AO10" s="28"/>
      <c r="AP10" s="41">
        <f t="shared" si="13"/>
        <v>11.6</v>
      </c>
      <c r="AQ10" s="41">
        <f t="shared" si="14"/>
        <v>48.3</v>
      </c>
      <c r="AR10" s="41">
        <f t="shared" si="15"/>
        <v>20</v>
      </c>
      <c r="AS10" s="41">
        <f t="shared" si="16"/>
        <v>16.399999999999999</v>
      </c>
      <c r="AT10" s="41">
        <f t="shared" si="17"/>
        <v>68.3</v>
      </c>
      <c r="AU10" s="41">
        <f t="shared" si="18"/>
        <v>7.2</v>
      </c>
      <c r="AV10" s="41">
        <f t="shared" si="19"/>
        <v>41.9</v>
      </c>
      <c r="AW10" s="41">
        <f t="shared" si="20"/>
        <v>110.19999999999999</v>
      </c>
      <c r="AX10" s="18">
        <v>18.399999999999999</v>
      </c>
      <c r="AY10" s="18">
        <v>5.6</v>
      </c>
      <c r="AZ10" s="18">
        <v>0.2</v>
      </c>
      <c r="BA10" s="18">
        <v>0</v>
      </c>
      <c r="BB10" s="18">
        <v>18.5</v>
      </c>
      <c r="BC10" s="18">
        <v>6</v>
      </c>
      <c r="BD10" s="18">
        <v>0.2</v>
      </c>
      <c r="BE10" s="18">
        <v>0</v>
      </c>
      <c r="BF10" s="18">
        <v>18.399999999999999</v>
      </c>
      <c r="BG10" s="18">
        <v>4.8</v>
      </c>
      <c r="BH10" s="18">
        <v>0.2</v>
      </c>
      <c r="BI10" s="18">
        <v>0</v>
      </c>
      <c r="BJ10" s="18">
        <v>18.5</v>
      </c>
      <c r="BK10" s="18">
        <v>5.2</v>
      </c>
      <c r="BL10" s="18">
        <v>0.2</v>
      </c>
      <c r="BM10" s="18">
        <v>0</v>
      </c>
      <c r="BN10" s="18">
        <v>18.399999999999999</v>
      </c>
      <c r="BO10" s="18">
        <v>6.4</v>
      </c>
      <c r="BP10" s="18">
        <v>0.8</v>
      </c>
      <c r="BQ10" s="18">
        <v>0</v>
      </c>
      <c r="BR10" s="29"/>
      <c r="BS10" s="11">
        <f t="shared" si="21"/>
        <v>11.6</v>
      </c>
      <c r="BT10" s="11">
        <f t="shared" si="22"/>
        <v>48.099999999999994</v>
      </c>
      <c r="BU10" s="11">
        <f t="shared" si="23"/>
        <v>23</v>
      </c>
      <c r="BV10" s="11">
        <f t="shared" si="24"/>
        <v>16.399999999999999</v>
      </c>
      <c r="BW10" s="11">
        <f t="shared" si="25"/>
        <v>71.099999999999994</v>
      </c>
      <c r="BX10" s="11">
        <f t="shared" si="26"/>
        <v>11.600000000000001</v>
      </c>
      <c r="BY10" s="11">
        <f t="shared" si="27"/>
        <v>47.499999999999993</v>
      </c>
      <c r="BZ10" s="11">
        <f t="shared" si="28"/>
        <v>118.6</v>
      </c>
      <c r="CA10" s="19">
        <v>18.2</v>
      </c>
      <c r="CB10" s="19">
        <v>5.6</v>
      </c>
      <c r="CC10" s="19">
        <v>0.2</v>
      </c>
      <c r="CD10" s="19">
        <v>0</v>
      </c>
      <c r="CE10" s="19">
        <v>19</v>
      </c>
      <c r="CF10" s="19">
        <v>5.0999999999999996</v>
      </c>
      <c r="CG10" s="19">
        <v>0</v>
      </c>
      <c r="CH10" s="19">
        <v>0.3</v>
      </c>
      <c r="CI10" s="19">
        <v>18.5</v>
      </c>
      <c r="CJ10" s="19">
        <v>6</v>
      </c>
      <c r="CK10" s="19">
        <v>0</v>
      </c>
      <c r="CL10" s="19">
        <v>0</v>
      </c>
      <c r="CM10" s="19">
        <v>18.5</v>
      </c>
      <c r="CN10" s="19">
        <v>5.6</v>
      </c>
      <c r="CO10" s="19">
        <v>0.6</v>
      </c>
      <c r="CP10" s="19">
        <v>0</v>
      </c>
      <c r="CQ10" s="19">
        <v>18.600000000000001</v>
      </c>
      <c r="CR10" s="19">
        <v>6</v>
      </c>
      <c r="CS10" s="19">
        <v>0</v>
      </c>
      <c r="CT10" s="19">
        <v>0</v>
      </c>
      <c r="CU10" s="28"/>
      <c r="CV10" s="41">
        <f t="shared" si="29"/>
        <v>10.7</v>
      </c>
      <c r="CW10" s="41">
        <f t="shared" si="30"/>
        <v>47.999999999999993</v>
      </c>
      <c r="CX10" s="41">
        <f t="shared" si="31"/>
        <v>24.5</v>
      </c>
      <c r="CY10" s="41">
        <f t="shared" si="32"/>
        <v>16.7</v>
      </c>
      <c r="CZ10" s="41">
        <f t="shared" si="33"/>
        <v>72.5</v>
      </c>
      <c r="DA10" s="41">
        <f t="shared" si="34"/>
        <v>11.6</v>
      </c>
      <c r="DB10" s="41">
        <f t="shared" si="35"/>
        <v>48.1</v>
      </c>
      <c r="DC10" s="41">
        <f t="shared" si="36"/>
        <v>120.6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>
        <v>17.899999999999999</v>
      </c>
      <c r="GN10" s="18">
        <v>4.8</v>
      </c>
      <c r="GO10" s="18">
        <v>0.6</v>
      </c>
      <c r="GP10" s="18">
        <v>0</v>
      </c>
      <c r="GQ10" s="18">
        <v>16.5</v>
      </c>
      <c r="GR10" s="18">
        <v>6</v>
      </c>
      <c r="GS10" s="18">
        <v>0.2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4"/>
        <v>10.8</v>
      </c>
      <c r="HH10" s="11">
        <f t="shared" si="65"/>
        <v>44.4</v>
      </c>
      <c r="HI10" s="11" t="str">
        <f t="shared" si="66"/>
        <v/>
      </c>
      <c r="HJ10" s="11">
        <f t="shared" si="67"/>
        <v>10.8</v>
      </c>
      <c r="HK10" s="11">
        <f t="shared" si="68"/>
        <v>44.4</v>
      </c>
      <c r="HL10" s="11" t="str">
        <f t="shared" si="69"/>
        <v/>
      </c>
      <c r="HM10" s="11" t="str">
        <f t="shared" si="70"/>
        <v/>
      </c>
      <c r="HN10" s="11">
        <f t="shared" si="71"/>
        <v>44.4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18.299999999999997</v>
      </c>
      <c r="QF10" s="23">
        <f t="shared" si="137"/>
        <v>5.6</v>
      </c>
      <c r="QG10" s="23">
        <f t="shared" si="138"/>
        <v>0.2</v>
      </c>
      <c r="QH10" s="23">
        <f t="shared" si="139"/>
        <v>0</v>
      </c>
      <c r="QI10" s="23">
        <f t="shared" si="140"/>
        <v>18.75</v>
      </c>
      <c r="QJ10" s="23">
        <f t="shared" si="141"/>
        <v>5.55</v>
      </c>
      <c r="QK10" s="23">
        <f t="shared" si="142"/>
        <v>0.1</v>
      </c>
      <c r="QL10" s="23">
        <f t="shared" si="143"/>
        <v>0.15</v>
      </c>
      <c r="QM10" s="23">
        <f t="shared" si="144"/>
        <v>18.45</v>
      </c>
      <c r="QN10" s="23">
        <f t="shared" si="145"/>
        <v>5.4</v>
      </c>
      <c r="QO10" s="23">
        <f t="shared" si="146"/>
        <v>0.1</v>
      </c>
      <c r="QP10" s="23">
        <f t="shared" si="147"/>
        <v>0</v>
      </c>
      <c r="QQ10" s="23">
        <f t="shared" si="148"/>
        <v>18.5</v>
      </c>
      <c r="QR10" s="23">
        <f t="shared" si="149"/>
        <v>5.4</v>
      </c>
      <c r="QS10" s="23">
        <f t="shared" si="150"/>
        <v>0.4</v>
      </c>
      <c r="QT10" s="23">
        <f t="shared" si="151"/>
        <v>0</v>
      </c>
      <c r="QU10" s="23">
        <f t="shared" si="152"/>
        <v>18.5</v>
      </c>
      <c r="QV10" s="23">
        <f t="shared" si="153"/>
        <v>6.2</v>
      </c>
      <c r="QW10" s="23">
        <f t="shared" si="154"/>
        <v>0.4</v>
      </c>
      <c r="QX10" s="23">
        <f t="shared" si="155"/>
        <v>0</v>
      </c>
      <c r="QY10" s="28" t="s">
        <v>57</v>
      </c>
      <c r="QZ10" s="41">
        <f t="shared" si="156"/>
        <v>11.149999999999999</v>
      </c>
      <c r="RA10" s="41">
        <f t="shared" si="157"/>
        <v>48.04999999999999</v>
      </c>
      <c r="RB10" s="41">
        <f t="shared" si="158"/>
        <v>23.75</v>
      </c>
      <c r="RC10" s="41">
        <f t="shared" si="159"/>
        <v>16.549999999999997</v>
      </c>
      <c r="RD10" s="41">
        <f t="shared" si="160"/>
        <v>71.799999999999983</v>
      </c>
      <c r="RE10" s="41">
        <f t="shared" si="161"/>
        <v>11.600000000000001</v>
      </c>
      <c r="RF10" s="41">
        <f t="shared" si="162"/>
        <v>47.800000000000004</v>
      </c>
      <c r="RG10" s="41">
        <f t="shared" si="163"/>
        <v>119.6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6</v>
      </c>
      <c r="D11" s="4">
        <v>2004</v>
      </c>
      <c r="E11" s="9">
        <f t="shared" si="0"/>
        <v>167.90001197000487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48.6</v>
      </c>
      <c r="K11" s="8" t="str">
        <f t="shared" si="5"/>
        <v>2023 Elite Canada</v>
      </c>
      <c r="L11" s="8">
        <f>IF(COUNT(AQ11,BT11,CW11)&gt;1,LARGE((AQ11,BT11,CW11),2),0)</f>
        <v>47.100000000000009</v>
      </c>
      <c r="M11" s="8" t="str">
        <f t="shared" si="6"/>
        <v>2023 Nationals</v>
      </c>
      <c r="N11" s="8">
        <f>IF(COUNT(AR11,BU11,CX11)&gt;0,LARGE((AR11,BU11,CX11),1),0)</f>
        <v>24</v>
      </c>
      <c r="O11" s="8" t="str">
        <f t="shared" si="7"/>
        <v>2023 Elite Canada</v>
      </c>
      <c r="P11" s="8">
        <f t="shared" si="8"/>
        <v>47.1</v>
      </c>
      <c r="Q11" s="8" t="str">
        <f t="shared" si="9"/>
        <v>2023 Elite Canada</v>
      </c>
      <c r="R11" s="8">
        <f t="shared" si="10"/>
        <v>1.0999999999999872</v>
      </c>
      <c r="S11" s="11" t="str">
        <f t="shared" si="11"/>
        <v>(Q1)</v>
      </c>
      <c r="T11" s="8" t="str">
        <f t="shared" si="12"/>
        <v>2023 World Cup POR 2 (July 8)</v>
      </c>
      <c r="U11" s="19">
        <v>18.5</v>
      </c>
      <c r="V11" s="19">
        <v>6</v>
      </c>
      <c r="W11" s="19">
        <v>0.2</v>
      </c>
      <c r="X11" s="19">
        <v>0</v>
      </c>
      <c r="Y11" s="19">
        <v>18.7</v>
      </c>
      <c r="Z11" s="19">
        <v>5.6</v>
      </c>
      <c r="AA11" s="19">
        <v>0</v>
      </c>
      <c r="AB11" s="19">
        <v>0</v>
      </c>
      <c r="AC11" s="19">
        <v>18.8</v>
      </c>
      <c r="AD11" s="19">
        <v>5.2</v>
      </c>
      <c r="AE11" s="19">
        <v>0</v>
      </c>
      <c r="AF11" s="19">
        <v>0</v>
      </c>
      <c r="AG11" s="19">
        <v>18.2</v>
      </c>
      <c r="AH11" s="19">
        <v>5.6</v>
      </c>
      <c r="AI11" s="19">
        <v>0.2</v>
      </c>
      <c r="AJ11" s="19">
        <v>0</v>
      </c>
      <c r="AK11" s="19">
        <v>18.7</v>
      </c>
      <c r="AL11" s="19">
        <v>5.6</v>
      </c>
      <c r="AM11" s="19">
        <v>0.8</v>
      </c>
      <c r="AN11" s="19">
        <v>0</v>
      </c>
      <c r="AO11" s="28"/>
      <c r="AP11" s="41">
        <f t="shared" si="13"/>
        <v>11.6</v>
      </c>
      <c r="AQ11" s="41">
        <f t="shared" si="14"/>
        <v>48.6</v>
      </c>
      <c r="AR11" s="41">
        <f t="shared" si="15"/>
        <v>24</v>
      </c>
      <c r="AS11" s="41">
        <f t="shared" si="16"/>
        <v>16.8</v>
      </c>
      <c r="AT11" s="41">
        <f t="shared" si="17"/>
        <v>72.599999999999994</v>
      </c>
      <c r="AU11" s="41">
        <f t="shared" si="18"/>
        <v>11.2</v>
      </c>
      <c r="AV11" s="41">
        <f t="shared" si="19"/>
        <v>47.1</v>
      </c>
      <c r="AW11" s="41">
        <f t="shared" si="20"/>
        <v>119.69999999999999</v>
      </c>
      <c r="AX11" s="18">
        <v>17</v>
      </c>
      <c r="AY11" s="18">
        <v>6.4</v>
      </c>
      <c r="AZ11" s="18">
        <v>0.8</v>
      </c>
      <c r="BA11" s="18">
        <v>0</v>
      </c>
      <c r="BB11" s="18">
        <v>19.3</v>
      </c>
      <c r="BC11" s="18">
        <v>5.2</v>
      </c>
      <c r="BD11" s="18">
        <v>0</v>
      </c>
      <c r="BE11" s="18">
        <v>0</v>
      </c>
      <c r="BF11" s="18">
        <v>18.7</v>
      </c>
      <c r="BG11" s="18">
        <v>5.2</v>
      </c>
      <c r="BH11" s="18">
        <v>0</v>
      </c>
      <c r="BI11" s="18">
        <v>0</v>
      </c>
      <c r="BJ11" s="18">
        <v>17.600000000000001</v>
      </c>
      <c r="BK11" s="18">
        <v>2.8</v>
      </c>
      <c r="BL11" s="18">
        <v>0</v>
      </c>
      <c r="BM11" s="18">
        <v>0</v>
      </c>
      <c r="BN11" s="18">
        <v>18.600000000000001</v>
      </c>
      <c r="BO11" s="18">
        <v>6</v>
      </c>
      <c r="BP11" s="18">
        <v>0.6</v>
      </c>
      <c r="BQ11" s="18">
        <v>0</v>
      </c>
      <c r="BR11" s="29"/>
      <c r="BS11" s="11">
        <f t="shared" si="21"/>
        <v>11.600000000000001</v>
      </c>
      <c r="BT11" s="11">
        <f t="shared" si="22"/>
        <v>47.100000000000009</v>
      </c>
      <c r="BU11" s="11">
        <f t="shared" si="23"/>
        <v>23.9</v>
      </c>
      <c r="BV11" s="11">
        <f t="shared" si="24"/>
        <v>16.8</v>
      </c>
      <c r="BW11" s="11">
        <f t="shared" si="25"/>
        <v>71</v>
      </c>
      <c r="BX11" s="11">
        <f t="shared" si="26"/>
        <v>8.8000000000000007</v>
      </c>
      <c r="BY11" s="11">
        <f t="shared" si="27"/>
        <v>44.4</v>
      </c>
      <c r="BZ11" s="11">
        <f t="shared" si="28"/>
        <v>115.4</v>
      </c>
      <c r="CA11" s="19">
        <v>18.600000000000001</v>
      </c>
      <c r="CB11" s="19">
        <v>6.4</v>
      </c>
      <c r="CC11" s="19">
        <v>0</v>
      </c>
      <c r="CD11" s="19">
        <v>0</v>
      </c>
      <c r="CE11" s="19">
        <v>18.100000000000001</v>
      </c>
      <c r="CF11" s="19">
        <v>4.4000000000000004</v>
      </c>
      <c r="CG11" s="19">
        <v>0.6</v>
      </c>
      <c r="CH11" s="19">
        <v>0</v>
      </c>
      <c r="CI11" s="19">
        <v>18.100000000000001</v>
      </c>
      <c r="CJ11" s="19">
        <v>5.2</v>
      </c>
      <c r="CK11" s="19">
        <v>0.6</v>
      </c>
      <c r="CL11" s="19">
        <v>0</v>
      </c>
      <c r="CM11" s="19">
        <v>18</v>
      </c>
      <c r="CN11" s="19">
        <v>6.4</v>
      </c>
      <c r="CO11" s="19">
        <v>0.6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 t="shared" si="29"/>
        <v>10.8</v>
      </c>
      <c r="CW11" s="41">
        <f t="shared" si="30"/>
        <v>46.9</v>
      </c>
      <c r="CX11" s="41">
        <f t="shared" si="31"/>
        <v>22.7</v>
      </c>
      <c r="CY11" s="41">
        <f t="shared" si="32"/>
        <v>16</v>
      </c>
      <c r="CZ11" s="41">
        <f t="shared" si="33"/>
        <v>69.599999999999994</v>
      </c>
      <c r="DA11" s="41">
        <f t="shared" si="34"/>
        <v>6.4</v>
      </c>
      <c r="DB11" s="41">
        <f t="shared" si="35"/>
        <v>23.799999999999997</v>
      </c>
      <c r="DC11" s="41">
        <f t="shared" si="36"/>
        <v>93.399999999999991</v>
      </c>
      <c r="DD11" s="52">
        <f t="shared" si="37"/>
        <v>1.0999999999999872</v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16.899999999999999</v>
      </c>
      <c r="GN11" s="18">
        <v>6</v>
      </c>
      <c r="GO11" s="18">
        <v>0.8</v>
      </c>
      <c r="GP11" s="18">
        <v>0</v>
      </c>
      <c r="GQ11" s="18">
        <v>18.8</v>
      </c>
      <c r="GR11" s="18">
        <v>5.6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11.6</v>
      </c>
      <c r="HH11" s="11">
        <f t="shared" si="65"/>
        <v>46.500000000000007</v>
      </c>
      <c r="HI11" s="11" t="str">
        <f t="shared" si="66"/>
        <v/>
      </c>
      <c r="HJ11" s="11">
        <f t="shared" si="67"/>
        <v>11.6</v>
      </c>
      <c r="HK11" s="11">
        <f t="shared" si="68"/>
        <v>46.500000000000007</v>
      </c>
      <c r="HL11" s="11" t="str">
        <f t="shared" si="69"/>
        <v/>
      </c>
      <c r="HM11" s="11" t="str">
        <f t="shared" si="70"/>
        <v/>
      </c>
      <c r="HN11" s="11">
        <f t="shared" si="71"/>
        <v>46.500000000000007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>
        <v>16.7</v>
      </c>
      <c r="IB11" s="17">
        <v>6.9</v>
      </c>
      <c r="IC11" s="17">
        <v>0.2</v>
      </c>
      <c r="ID11" s="17">
        <v>0</v>
      </c>
      <c r="IE11" s="17">
        <v>17.600000000000001</v>
      </c>
      <c r="IF11" s="17">
        <v>2.8</v>
      </c>
      <c r="IG11" s="17">
        <v>0</v>
      </c>
      <c r="IH11" s="17">
        <v>0</v>
      </c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>
        <f t="shared" si="77"/>
        <v>9.6999999999999993</v>
      </c>
      <c r="IO11" s="41">
        <f t="shared" si="78"/>
        <v>43.8</v>
      </c>
      <c r="IP11" s="41">
        <f t="shared" si="79"/>
        <v>43.8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>
        <v>18.7</v>
      </c>
      <c r="JT11" s="17">
        <v>6.4</v>
      </c>
      <c r="JU11" s="17">
        <v>0.2</v>
      </c>
      <c r="JV11" s="17">
        <v>0</v>
      </c>
      <c r="JW11" s="17">
        <v>16.600000000000001</v>
      </c>
      <c r="JX11" s="17">
        <v>6.9</v>
      </c>
      <c r="JY11" s="17">
        <v>0.2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 t="shared" si="88"/>
        <v>13.3</v>
      </c>
      <c r="KN11" s="41">
        <f t="shared" si="89"/>
        <v>48.199999999999996</v>
      </c>
      <c r="KO11" s="41" t="str">
        <f t="shared" si="90"/>
        <v/>
      </c>
      <c r="KP11" s="41">
        <f t="shared" si="91"/>
        <v>13.3</v>
      </c>
      <c r="KQ11" s="41">
        <f t="shared" si="92"/>
        <v>48.199999999999996</v>
      </c>
      <c r="KR11" s="41" t="str">
        <f t="shared" si="93"/>
        <v/>
      </c>
      <c r="KS11" s="41" t="str">
        <f t="shared" si="94"/>
        <v/>
      </c>
      <c r="KT11" s="41">
        <f t="shared" si="95"/>
        <v>48.199999999999996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17.8</v>
      </c>
      <c r="QF11" s="23">
        <f t="shared" si="137"/>
        <v>6.4</v>
      </c>
      <c r="QG11" s="23">
        <f t="shared" si="138"/>
        <v>0.4</v>
      </c>
      <c r="QH11" s="23">
        <f t="shared" si="139"/>
        <v>0</v>
      </c>
      <c r="QI11" s="23">
        <f t="shared" si="140"/>
        <v>18.700000000000003</v>
      </c>
      <c r="QJ11" s="23">
        <f t="shared" si="141"/>
        <v>4.8000000000000007</v>
      </c>
      <c r="QK11" s="23">
        <f t="shared" si="142"/>
        <v>0.3</v>
      </c>
      <c r="QL11" s="23">
        <f t="shared" si="143"/>
        <v>0</v>
      </c>
      <c r="QM11" s="23">
        <f t="shared" si="144"/>
        <v>18.399999999999999</v>
      </c>
      <c r="QN11" s="23">
        <f t="shared" si="145"/>
        <v>5.2</v>
      </c>
      <c r="QO11" s="23">
        <f t="shared" si="146"/>
        <v>0.3</v>
      </c>
      <c r="QP11" s="23">
        <f t="shared" si="147"/>
        <v>0</v>
      </c>
      <c r="QQ11" s="23">
        <f t="shared" si="148"/>
        <v>17.8</v>
      </c>
      <c r="QR11" s="23">
        <f t="shared" si="149"/>
        <v>4.5999999999999996</v>
      </c>
      <c r="QS11" s="23">
        <f t="shared" si="150"/>
        <v>0.3</v>
      </c>
      <c r="QT11" s="23">
        <f t="shared" si="151"/>
        <v>0</v>
      </c>
      <c r="QU11" s="23">
        <f t="shared" si="152"/>
        <v>9.3000000000000007</v>
      </c>
      <c r="QV11" s="23">
        <f t="shared" si="153"/>
        <v>3</v>
      </c>
      <c r="QW11" s="23">
        <f t="shared" si="154"/>
        <v>0.3</v>
      </c>
      <c r="QX11" s="23">
        <f t="shared" si="155"/>
        <v>0</v>
      </c>
      <c r="QY11" s="28" t="s">
        <v>57</v>
      </c>
      <c r="QZ11" s="41">
        <f t="shared" si="156"/>
        <v>11.200000000000001</v>
      </c>
      <c r="RA11" s="41">
        <f t="shared" si="157"/>
        <v>47.000000000000007</v>
      </c>
      <c r="RB11" s="41">
        <f t="shared" si="158"/>
        <v>23.299999999999997</v>
      </c>
      <c r="RC11" s="41">
        <f t="shared" si="159"/>
        <v>16.400000000000002</v>
      </c>
      <c r="RD11" s="41">
        <f t="shared" si="160"/>
        <v>70.300000000000011</v>
      </c>
      <c r="RE11" s="41">
        <f t="shared" si="161"/>
        <v>7.6</v>
      </c>
      <c r="RF11" s="41">
        <f t="shared" si="162"/>
        <v>34.1</v>
      </c>
      <c r="RG11" s="41">
        <f t="shared" si="163"/>
        <v>104.4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75</v>
      </c>
      <c r="C12" s="4" t="s">
        <v>6</v>
      </c>
      <c r="D12" s="4">
        <v>2001</v>
      </c>
      <c r="E12" s="9">
        <f t="shared" si="0"/>
        <v>167.00001189000486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IF(COUNT(AQ12,BT12,CW12)&gt;0,LARGE((AQ12,BT12,CW12),1),0)</f>
        <v>48.7</v>
      </c>
      <c r="K12" s="8" t="str">
        <f t="shared" si="5"/>
        <v>2023 Domestic 3rd Trial</v>
      </c>
      <c r="L12" s="8">
        <f>IF(COUNT(AQ12,BT12,CW12)&gt;1,LARGE((AQ12,BT12,CW12),2),0)</f>
        <v>47.300000000000004</v>
      </c>
      <c r="M12" s="8" t="str">
        <f t="shared" si="6"/>
        <v>2023 Elite Canada</v>
      </c>
      <c r="N12" s="8">
        <f>IF(COUNT(AR12,BU12,CX12)&gt;0,LARGE((AR12,BU12,CX12),1),0)</f>
        <v>22.9</v>
      </c>
      <c r="O12" s="8" t="str">
        <f t="shared" si="7"/>
        <v>2023 Elite Canada</v>
      </c>
      <c r="P12" s="8">
        <f t="shared" si="8"/>
        <v>47.7</v>
      </c>
      <c r="Q12" s="8" t="str">
        <f t="shared" si="9"/>
        <v>2023 Elite Canada</v>
      </c>
      <c r="R12" s="8">
        <f t="shared" si="10"/>
        <v>0.39999999999999147</v>
      </c>
      <c r="S12" s="11" t="str">
        <f t="shared" si="11"/>
        <v>(Q1)</v>
      </c>
      <c r="T12" s="8" t="str">
        <f t="shared" si="12"/>
        <v>2022 WAGC (Nov 23)</v>
      </c>
      <c r="U12" s="19">
        <v>18.5</v>
      </c>
      <c r="V12" s="19">
        <v>5.6</v>
      </c>
      <c r="W12" s="19">
        <v>0</v>
      </c>
      <c r="X12" s="19">
        <v>0</v>
      </c>
      <c r="Y12" s="19">
        <v>18</v>
      </c>
      <c r="Z12" s="19">
        <v>6</v>
      </c>
      <c r="AA12" s="19">
        <v>0.8</v>
      </c>
      <c r="AB12" s="19">
        <v>0</v>
      </c>
      <c r="AC12" s="19">
        <v>18.3</v>
      </c>
      <c r="AD12" s="19">
        <v>5.2</v>
      </c>
      <c r="AE12" s="19">
        <v>0.6</v>
      </c>
      <c r="AF12" s="19">
        <v>0</v>
      </c>
      <c r="AG12" s="19">
        <v>18.399999999999999</v>
      </c>
      <c r="AH12" s="19">
        <v>5.6</v>
      </c>
      <c r="AI12" s="19">
        <v>0.2</v>
      </c>
      <c r="AJ12" s="19">
        <v>0</v>
      </c>
      <c r="AK12" s="19">
        <v>18.5</v>
      </c>
      <c r="AL12" s="19">
        <v>5.6</v>
      </c>
      <c r="AM12" s="19">
        <v>0.2</v>
      </c>
      <c r="AN12" s="19">
        <v>0</v>
      </c>
      <c r="AO12" s="28"/>
      <c r="AP12" s="41">
        <f t="shared" si="13"/>
        <v>11.6</v>
      </c>
      <c r="AQ12" s="41">
        <f t="shared" si="14"/>
        <v>47.300000000000004</v>
      </c>
      <c r="AR12" s="41">
        <f t="shared" si="15"/>
        <v>22.9</v>
      </c>
      <c r="AS12" s="41">
        <f t="shared" si="16"/>
        <v>16.8</v>
      </c>
      <c r="AT12" s="41">
        <f t="shared" si="17"/>
        <v>70.2</v>
      </c>
      <c r="AU12" s="41">
        <f t="shared" si="18"/>
        <v>11.2</v>
      </c>
      <c r="AV12" s="41">
        <f t="shared" si="19"/>
        <v>47.7</v>
      </c>
      <c r="AW12" s="41">
        <f t="shared" si="20"/>
        <v>117.9</v>
      </c>
      <c r="AX12" s="18">
        <v>17.399999999999999</v>
      </c>
      <c r="AY12" s="18">
        <v>2.8</v>
      </c>
      <c r="AZ12" s="18">
        <v>0</v>
      </c>
      <c r="BA12" s="18">
        <v>0</v>
      </c>
      <c r="BB12" s="18">
        <v>0</v>
      </c>
      <c r="BC12" s="18">
        <v>0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 t="shared" si="21"/>
        <v>2.8</v>
      </c>
      <c r="BT12" s="11">
        <f t="shared" si="22"/>
        <v>20.2</v>
      </c>
      <c r="BU12" s="11" t="str">
        <f t="shared" si="23"/>
        <v/>
      </c>
      <c r="BV12" s="11">
        <f t="shared" si="24"/>
        <v>2.8</v>
      </c>
      <c r="BW12" s="11">
        <f t="shared" si="25"/>
        <v>20.2</v>
      </c>
      <c r="BX12" s="11" t="str">
        <f t="shared" si="26"/>
        <v/>
      </c>
      <c r="BY12" s="11" t="str">
        <f t="shared" si="27"/>
        <v/>
      </c>
      <c r="BZ12" s="11">
        <f t="shared" si="28"/>
        <v>20.2</v>
      </c>
      <c r="CA12" s="19">
        <v>18.8</v>
      </c>
      <c r="CB12" s="19">
        <v>5.6</v>
      </c>
      <c r="CC12" s="19">
        <v>0</v>
      </c>
      <c r="CD12" s="19">
        <v>0</v>
      </c>
      <c r="CE12" s="19">
        <v>18.3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18.7</v>
      </c>
      <c r="CN12" s="19">
        <v>5.6</v>
      </c>
      <c r="CO12" s="19">
        <v>0.6</v>
      </c>
      <c r="CP12" s="19">
        <v>0</v>
      </c>
      <c r="CQ12" s="19">
        <v>18.2</v>
      </c>
      <c r="CR12" s="19">
        <v>5.2</v>
      </c>
      <c r="CS12" s="19">
        <v>0</v>
      </c>
      <c r="CT12" s="19">
        <v>0</v>
      </c>
      <c r="CU12" s="28"/>
      <c r="CV12" s="41">
        <f t="shared" si="29"/>
        <v>11.6</v>
      </c>
      <c r="CW12" s="41">
        <f t="shared" si="30"/>
        <v>48.7</v>
      </c>
      <c r="CX12" s="41">
        <f t="shared" si="31"/>
        <v>22.2</v>
      </c>
      <c r="CY12" s="41">
        <f t="shared" si="32"/>
        <v>16.399999999999999</v>
      </c>
      <c r="CZ12" s="41">
        <f t="shared" si="33"/>
        <v>70.900000000000006</v>
      </c>
      <c r="DA12" s="41">
        <f t="shared" si="34"/>
        <v>10.8</v>
      </c>
      <c r="DB12" s="41">
        <f t="shared" si="35"/>
        <v>47.1</v>
      </c>
      <c r="DC12" s="41">
        <f t="shared" si="36"/>
        <v>118</v>
      </c>
      <c r="DD12" s="52">
        <f t="shared" si="37"/>
        <v>0.39999999999999147</v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 t="shared" si="64"/>
        <v>11.6</v>
      </c>
      <c r="HH12" s="11">
        <f t="shared" si="65"/>
        <v>47.699999999999996</v>
      </c>
      <c r="HI12" s="11" t="str">
        <f t="shared" si="66"/>
        <v/>
      </c>
      <c r="HJ12" s="11">
        <f t="shared" si="67"/>
        <v>11.6</v>
      </c>
      <c r="HK12" s="11">
        <f t="shared" si="68"/>
        <v>47.699999999999996</v>
      </c>
      <c r="HL12" s="11">
        <f t="shared" si="69"/>
        <v>5.6</v>
      </c>
      <c r="HM12" s="11">
        <f t="shared" si="70"/>
        <v>23.799999999999997</v>
      </c>
      <c r="HN12" s="11">
        <f t="shared" si="71"/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18.100000000000001</v>
      </c>
      <c r="QF12" s="23">
        <f t="shared" si="137"/>
        <v>4.1999999999999993</v>
      </c>
      <c r="QG12" s="23">
        <f t="shared" si="138"/>
        <v>0</v>
      </c>
      <c r="QH12" s="23">
        <f t="shared" si="139"/>
        <v>0</v>
      </c>
      <c r="QI12" s="23">
        <f t="shared" si="140"/>
        <v>9.15</v>
      </c>
      <c r="QJ12" s="23">
        <f t="shared" si="141"/>
        <v>3</v>
      </c>
      <c r="QK12" s="23">
        <f t="shared" si="142"/>
        <v>0</v>
      </c>
      <c r="QL12" s="23">
        <f t="shared" si="143"/>
        <v>0</v>
      </c>
      <c r="QM12" s="23">
        <f t="shared" si="144"/>
        <v>9</v>
      </c>
      <c r="QN12" s="23">
        <f t="shared" si="145"/>
        <v>2.4</v>
      </c>
      <c r="QO12" s="23">
        <f t="shared" si="146"/>
        <v>0.3</v>
      </c>
      <c r="QP12" s="23">
        <f t="shared" si="147"/>
        <v>0</v>
      </c>
      <c r="QQ12" s="23">
        <f t="shared" si="148"/>
        <v>9.35</v>
      </c>
      <c r="QR12" s="23">
        <f t="shared" si="149"/>
        <v>2.8</v>
      </c>
      <c r="QS12" s="23">
        <f t="shared" si="150"/>
        <v>0.3</v>
      </c>
      <c r="QT12" s="23">
        <f t="shared" si="151"/>
        <v>0</v>
      </c>
      <c r="QU12" s="23">
        <f t="shared" si="152"/>
        <v>9.1</v>
      </c>
      <c r="QV12" s="23">
        <f t="shared" si="153"/>
        <v>2.6</v>
      </c>
      <c r="QW12" s="23">
        <f t="shared" si="154"/>
        <v>0</v>
      </c>
      <c r="QX12" s="23">
        <f t="shared" si="155"/>
        <v>0</v>
      </c>
      <c r="QY12" s="28" t="s">
        <v>57</v>
      </c>
      <c r="QZ12" s="41">
        <f t="shared" si="156"/>
        <v>7.1999999999999993</v>
      </c>
      <c r="RA12" s="41">
        <f t="shared" si="157"/>
        <v>34.450000000000003</v>
      </c>
      <c r="RB12" s="41">
        <f t="shared" si="158"/>
        <v>11.1</v>
      </c>
      <c r="RC12" s="41">
        <f t="shared" si="159"/>
        <v>9.6</v>
      </c>
      <c r="RD12" s="41">
        <f t="shared" si="160"/>
        <v>45.550000000000004</v>
      </c>
      <c r="RE12" s="41">
        <f t="shared" si="161"/>
        <v>5.4</v>
      </c>
      <c r="RF12" s="41">
        <f t="shared" si="162"/>
        <v>23.55</v>
      </c>
      <c r="RG12" s="41">
        <f t="shared" si="163"/>
        <v>69.100000000000009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237</v>
      </c>
      <c r="C13" s="4" t="s">
        <v>5</v>
      </c>
      <c r="D13" s="4">
        <v>2006</v>
      </c>
      <c r="E13" s="9">
        <f t="shared" si="0"/>
        <v>165.30001176000485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48.599999999999994</v>
      </c>
      <c r="K13" s="8" t="str">
        <f t="shared" si="5"/>
        <v>2023 Domestic 3rd Trial</v>
      </c>
      <c r="L13" s="8">
        <f>IF(COUNT(AQ13,BT13,CW13)&gt;1,LARGE((AQ13,BT13,CW13),2),0)</f>
        <v>46.6</v>
      </c>
      <c r="M13" s="8" t="str">
        <f t="shared" si="6"/>
        <v>2023 Nationals</v>
      </c>
      <c r="N13" s="8">
        <f>IF(COUNT(AR13,BU13,CX13)&gt;0,LARGE((AR13,BU13,CX13),1),0)</f>
        <v>22.4</v>
      </c>
      <c r="O13" s="8" t="str">
        <f t="shared" si="7"/>
        <v>2023 Nationals</v>
      </c>
      <c r="P13" s="8">
        <f t="shared" si="8"/>
        <v>47.699999999999996</v>
      </c>
      <c r="Q13" s="8" t="str">
        <f t="shared" si="9"/>
        <v>2023 Domestic 3rd Trial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 t="shared" si="13"/>
        <v/>
      </c>
      <c r="AQ13" s="41" t="str">
        <f t="shared" si="14"/>
        <v/>
      </c>
      <c r="AR13" s="41" t="str">
        <f t="shared" si="15"/>
        <v/>
      </c>
      <c r="AS13" s="41" t="str">
        <f t="shared" si="16"/>
        <v/>
      </c>
      <c r="AT13" s="41" t="str">
        <f t="shared" si="17"/>
        <v/>
      </c>
      <c r="AU13" s="41" t="str">
        <f t="shared" si="18"/>
        <v/>
      </c>
      <c r="AV13" s="41" t="str">
        <f t="shared" si="19"/>
        <v/>
      </c>
      <c r="AW13" s="41" t="str">
        <f t="shared" si="20"/>
        <v/>
      </c>
      <c r="AX13" s="18">
        <v>18.399999999999999</v>
      </c>
      <c r="AY13" s="18">
        <v>5.6</v>
      </c>
      <c r="AZ13" s="18">
        <v>0.8</v>
      </c>
      <c r="BA13" s="18">
        <v>0</v>
      </c>
      <c r="BB13" s="18">
        <v>18.399999999999999</v>
      </c>
      <c r="BC13" s="18">
        <v>6</v>
      </c>
      <c r="BD13" s="18">
        <v>1</v>
      </c>
      <c r="BE13" s="18">
        <v>0</v>
      </c>
      <c r="BF13" s="18">
        <v>17.7</v>
      </c>
      <c r="BG13" s="18">
        <v>5.2</v>
      </c>
      <c r="BH13" s="18">
        <v>0.8</v>
      </c>
      <c r="BI13" s="18">
        <v>0.3</v>
      </c>
      <c r="BJ13" s="18">
        <v>18</v>
      </c>
      <c r="BK13" s="18">
        <v>4.8</v>
      </c>
      <c r="BL13" s="18">
        <v>0.2</v>
      </c>
      <c r="BM13" s="18">
        <v>0</v>
      </c>
      <c r="BN13" s="18">
        <v>18</v>
      </c>
      <c r="BO13" s="18">
        <v>5.2</v>
      </c>
      <c r="BP13" s="18">
        <v>0.8</v>
      </c>
      <c r="BQ13" s="18">
        <v>0</v>
      </c>
      <c r="BR13" s="29"/>
      <c r="BS13" s="11">
        <f t="shared" si="21"/>
        <v>11.6</v>
      </c>
      <c r="BT13" s="11">
        <f t="shared" si="22"/>
        <v>46.6</v>
      </c>
      <c r="BU13" s="11">
        <f t="shared" si="23"/>
        <v>22.4</v>
      </c>
      <c r="BV13" s="11">
        <f t="shared" si="24"/>
        <v>16.8</v>
      </c>
      <c r="BW13" s="11">
        <f t="shared" si="25"/>
        <v>69</v>
      </c>
      <c r="BX13" s="11">
        <f t="shared" si="26"/>
        <v>10</v>
      </c>
      <c r="BY13" s="11">
        <f t="shared" si="27"/>
        <v>45</v>
      </c>
      <c r="BZ13" s="11">
        <f t="shared" si="28"/>
        <v>114</v>
      </c>
      <c r="CA13" s="19">
        <v>18.7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17.2</v>
      </c>
      <c r="CJ13" s="19">
        <v>2</v>
      </c>
      <c r="CK13" s="19">
        <v>0</v>
      </c>
      <c r="CL13" s="19">
        <v>0</v>
      </c>
      <c r="CM13" s="19">
        <v>18.3</v>
      </c>
      <c r="CN13" s="19">
        <v>5.6</v>
      </c>
      <c r="CO13" s="19">
        <v>0</v>
      </c>
      <c r="CP13" s="19">
        <v>0</v>
      </c>
      <c r="CQ13" s="19">
        <v>18.399999999999999</v>
      </c>
      <c r="CR13" s="19">
        <v>6</v>
      </c>
      <c r="CS13" s="19">
        <v>0.6</v>
      </c>
      <c r="CT13" s="19">
        <v>0</v>
      </c>
      <c r="CU13" s="28"/>
      <c r="CV13" s="41">
        <f t="shared" si="29"/>
        <v>11.6</v>
      </c>
      <c r="CW13" s="41">
        <f t="shared" si="30"/>
        <v>48.599999999999994</v>
      </c>
      <c r="CX13" s="41">
        <f t="shared" si="31"/>
        <v>19.2</v>
      </c>
      <c r="CY13" s="41">
        <f t="shared" si="32"/>
        <v>13.6</v>
      </c>
      <c r="CZ13" s="41">
        <f t="shared" si="33"/>
        <v>67.8</v>
      </c>
      <c r="DA13" s="41">
        <f t="shared" si="34"/>
        <v>11.6</v>
      </c>
      <c r="DB13" s="41">
        <f t="shared" si="35"/>
        <v>47.699999999999996</v>
      </c>
      <c r="DC13" s="41">
        <f t="shared" si="36"/>
        <v>115.5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18.549999999999997</v>
      </c>
      <c r="QF13" s="23">
        <f t="shared" si="137"/>
        <v>5.6</v>
      </c>
      <c r="QG13" s="23">
        <f t="shared" si="138"/>
        <v>0.4</v>
      </c>
      <c r="QH13" s="23">
        <f t="shared" si="139"/>
        <v>0</v>
      </c>
      <c r="QI13" s="23">
        <f t="shared" si="140"/>
        <v>18.350000000000001</v>
      </c>
      <c r="QJ13" s="23">
        <f t="shared" si="141"/>
        <v>6</v>
      </c>
      <c r="QK13" s="23">
        <f t="shared" si="142"/>
        <v>0.5</v>
      </c>
      <c r="QL13" s="23">
        <f t="shared" si="143"/>
        <v>0</v>
      </c>
      <c r="QM13" s="23">
        <f t="shared" si="144"/>
        <v>17.45</v>
      </c>
      <c r="QN13" s="23">
        <f t="shared" si="145"/>
        <v>3.6</v>
      </c>
      <c r="QO13" s="23">
        <f t="shared" si="146"/>
        <v>0.4</v>
      </c>
      <c r="QP13" s="23">
        <f t="shared" si="147"/>
        <v>0.15</v>
      </c>
      <c r="QQ13" s="23">
        <f t="shared" si="148"/>
        <v>18.149999999999999</v>
      </c>
      <c r="QR13" s="23">
        <f t="shared" si="149"/>
        <v>5.1999999999999993</v>
      </c>
      <c r="QS13" s="23">
        <f t="shared" si="150"/>
        <v>0.1</v>
      </c>
      <c r="QT13" s="23">
        <f t="shared" si="151"/>
        <v>0</v>
      </c>
      <c r="QU13" s="23">
        <f t="shared" si="152"/>
        <v>18.2</v>
      </c>
      <c r="QV13" s="23">
        <f t="shared" si="153"/>
        <v>5.6</v>
      </c>
      <c r="QW13" s="23">
        <f t="shared" si="154"/>
        <v>0.7</v>
      </c>
      <c r="QX13" s="23">
        <f t="shared" si="155"/>
        <v>0</v>
      </c>
      <c r="QY13" s="28" t="s">
        <v>57</v>
      </c>
      <c r="QZ13" s="41">
        <f t="shared" si="156"/>
        <v>11.6</v>
      </c>
      <c r="RA13" s="41">
        <f t="shared" si="157"/>
        <v>47.6</v>
      </c>
      <c r="RB13" s="41">
        <f t="shared" si="158"/>
        <v>20.8</v>
      </c>
      <c r="RC13" s="41">
        <f t="shared" si="159"/>
        <v>15.2</v>
      </c>
      <c r="RD13" s="41">
        <f t="shared" si="160"/>
        <v>68.400000000000006</v>
      </c>
      <c r="RE13" s="41">
        <f t="shared" si="161"/>
        <v>10.799999999999999</v>
      </c>
      <c r="RF13" s="41">
        <f t="shared" si="162"/>
        <v>46.35</v>
      </c>
      <c r="RG13" s="41">
        <f t="shared" si="163"/>
        <v>114.75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200</v>
      </c>
      <c r="C14" s="4" t="s">
        <v>8</v>
      </c>
      <c r="D14" s="4">
        <v>2002</v>
      </c>
      <c r="E14" s="9">
        <f t="shared" si="0"/>
        <v>163.60001158000472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47.199999999999996</v>
      </c>
      <c r="K14" s="8" t="str">
        <f t="shared" si="5"/>
        <v>2023 Nationals</v>
      </c>
      <c r="L14" s="8">
        <f>IF(COUNT(AQ14,BT14,CW14)&gt;1,LARGE((AQ14,BT14,CW14),2),0)</f>
        <v>47</v>
      </c>
      <c r="M14" s="8" t="str">
        <f t="shared" si="6"/>
        <v>2023 Elite Canada</v>
      </c>
      <c r="N14" s="8">
        <f>IF(COUNT(AR14,BU14,CX14)&gt;0,LARGE((AR14,BU14,CX14),1),0)</f>
        <v>21.6</v>
      </c>
      <c r="O14" s="8" t="str">
        <f t="shared" si="7"/>
        <v>2023 Nationals</v>
      </c>
      <c r="P14" s="8">
        <f t="shared" si="8"/>
        <v>47.800000000000004</v>
      </c>
      <c r="Q14" s="8" t="str">
        <f t="shared" si="9"/>
        <v>2023 Nationals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18.2</v>
      </c>
      <c r="V14" s="19">
        <v>5.6</v>
      </c>
      <c r="W14" s="19">
        <v>0.6</v>
      </c>
      <c r="X14" s="19">
        <v>0</v>
      </c>
      <c r="Y14" s="19">
        <v>18.600000000000001</v>
      </c>
      <c r="Z14" s="19">
        <v>5.2</v>
      </c>
      <c r="AA14" s="19">
        <v>0</v>
      </c>
      <c r="AB14" s="19">
        <v>0</v>
      </c>
      <c r="AC14" s="19">
        <v>19</v>
      </c>
      <c r="AD14" s="19">
        <v>3.1</v>
      </c>
      <c r="AE14" s="19">
        <v>1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18.8</v>
      </c>
      <c r="AL14" s="19">
        <v>5.2</v>
      </c>
      <c r="AM14" s="19">
        <v>0.8</v>
      </c>
      <c r="AN14" s="19">
        <v>0</v>
      </c>
      <c r="AO14" s="28"/>
      <c r="AP14" s="41">
        <f t="shared" si="13"/>
        <v>10.8</v>
      </c>
      <c r="AQ14" s="41">
        <f t="shared" si="14"/>
        <v>47</v>
      </c>
      <c r="AR14" s="41">
        <f t="shared" si="15"/>
        <v>21.1</v>
      </c>
      <c r="AS14" s="41">
        <f t="shared" si="16"/>
        <v>13.9</v>
      </c>
      <c r="AT14" s="41">
        <f t="shared" si="17"/>
        <v>68.099999999999994</v>
      </c>
      <c r="AU14" s="41">
        <f t="shared" si="18"/>
        <v>5.2</v>
      </c>
      <c r="AV14" s="41">
        <f t="shared" si="19"/>
        <v>23.2</v>
      </c>
      <c r="AW14" s="41">
        <f t="shared" si="20"/>
        <v>91.3</v>
      </c>
      <c r="AX14" s="18">
        <v>18.5</v>
      </c>
      <c r="AY14" s="18">
        <v>5.6</v>
      </c>
      <c r="AZ14" s="18">
        <v>0</v>
      </c>
      <c r="BA14" s="18">
        <v>0</v>
      </c>
      <c r="BB14" s="18">
        <v>18.7</v>
      </c>
      <c r="BC14" s="18">
        <v>4.4000000000000004</v>
      </c>
      <c r="BD14" s="18">
        <v>0</v>
      </c>
      <c r="BE14" s="18">
        <v>0</v>
      </c>
      <c r="BF14" s="18">
        <v>19</v>
      </c>
      <c r="BG14" s="18">
        <v>3.5</v>
      </c>
      <c r="BH14" s="18">
        <v>0.9</v>
      </c>
      <c r="BI14" s="18">
        <v>0</v>
      </c>
      <c r="BJ14" s="18">
        <v>18.8</v>
      </c>
      <c r="BK14" s="18">
        <v>5.6</v>
      </c>
      <c r="BL14" s="18">
        <v>0.2</v>
      </c>
      <c r="BM14" s="18">
        <v>0</v>
      </c>
      <c r="BN14" s="18">
        <v>18.600000000000001</v>
      </c>
      <c r="BO14" s="18">
        <v>5.2</v>
      </c>
      <c r="BP14" s="18">
        <v>0.2</v>
      </c>
      <c r="BQ14" s="18">
        <v>0</v>
      </c>
      <c r="BR14" s="29"/>
      <c r="BS14" s="11">
        <f t="shared" si="21"/>
        <v>10</v>
      </c>
      <c r="BT14" s="11">
        <f t="shared" si="22"/>
        <v>47.199999999999996</v>
      </c>
      <c r="BU14" s="11">
        <f t="shared" si="23"/>
        <v>21.6</v>
      </c>
      <c r="BV14" s="11">
        <f t="shared" si="24"/>
        <v>13.5</v>
      </c>
      <c r="BW14" s="11">
        <f t="shared" si="25"/>
        <v>68.8</v>
      </c>
      <c r="BX14" s="11">
        <f t="shared" si="26"/>
        <v>10.8</v>
      </c>
      <c r="BY14" s="11">
        <f t="shared" si="27"/>
        <v>47.800000000000004</v>
      </c>
      <c r="BZ14" s="11">
        <f t="shared" si="28"/>
        <v>116.6</v>
      </c>
      <c r="CA14" s="19">
        <v>18.3</v>
      </c>
      <c r="CB14" s="19">
        <v>5.2</v>
      </c>
      <c r="CC14" s="19">
        <v>0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19</v>
      </c>
      <c r="CJ14" s="19">
        <v>2.8</v>
      </c>
      <c r="CK14" s="19">
        <v>1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 t="shared" si="29"/>
        <v>5.2</v>
      </c>
      <c r="CW14" s="41">
        <f t="shared" si="30"/>
        <v>23.5</v>
      </c>
      <c r="CX14" s="41">
        <f t="shared" si="31"/>
        <v>20.8</v>
      </c>
      <c r="CY14" s="41">
        <f t="shared" si="32"/>
        <v>8</v>
      </c>
      <c r="CZ14" s="41">
        <f t="shared" si="33"/>
        <v>44.3</v>
      </c>
      <c r="DA14" s="41" t="str">
        <f t="shared" si="34"/>
        <v/>
      </c>
      <c r="DB14" s="41" t="str">
        <f t="shared" si="35"/>
        <v/>
      </c>
      <c r="DC14" s="41">
        <f t="shared" si="36"/>
        <v>44.3</v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18.399999999999999</v>
      </c>
      <c r="QF14" s="23">
        <f t="shared" si="137"/>
        <v>5.4</v>
      </c>
      <c r="QG14" s="23">
        <f t="shared" si="138"/>
        <v>0</v>
      </c>
      <c r="QH14" s="23">
        <f t="shared" si="139"/>
        <v>0</v>
      </c>
      <c r="QI14" s="23">
        <f t="shared" si="140"/>
        <v>9.35</v>
      </c>
      <c r="QJ14" s="23">
        <f t="shared" si="141"/>
        <v>2.2000000000000002</v>
      </c>
      <c r="QK14" s="23">
        <f t="shared" si="142"/>
        <v>0</v>
      </c>
      <c r="QL14" s="23">
        <f t="shared" si="143"/>
        <v>0</v>
      </c>
      <c r="QM14" s="23">
        <f t="shared" si="144"/>
        <v>19</v>
      </c>
      <c r="QN14" s="23">
        <f t="shared" si="145"/>
        <v>3.15</v>
      </c>
      <c r="QO14" s="23">
        <f t="shared" si="146"/>
        <v>0.95</v>
      </c>
      <c r="QP14" s="23">
        <f t="shared" si="147"/>
        <v>0</v>
      </c>
      <c r="QQ14" s="23">
        <f t="shared" si="148"/>
        <v>9.4</v>
      </c>
      <c r="QR14" s="23">
        <f t="shared" si="149"/>
        <v>2.8</v>
      </c>
      <c r="QS14" s="23">
        <f t="shared" si="150"/>
        <v>0.1</v>
      </c>
      <c r="QT14" s="23">
        <f t="shared" si="151"/>
        <v>0</v>
      </c>
      <c r="QU14" s="23">
        <f t="shared" si="152"/>
        <v>9.3000000000000007</v>
      </c>
      <c r="QV14" s="23">
        <f t="shared" si="153"/>
        <v>2.6</v>
      </c>
      <c r="QW14" s="23">
        <f t="shared" si="154"/>
        <v>0.1</v>
      </c>
      <c r="QX14" s="23">
        <f t="shared" si="155"/>
        <v>0</v>
      </c>
      <c r="QY14" s="28" t="s">
        <v>57</v>
      </c>
      <c r="QZ14" s="41">
        <f t="shared" si="156"/>
        <v>7.6000000000000005</v>
      </c>
      <c r="RA14" s="41">
        <f t="shared" si="157"/>
        <v>35.35</v>
      </c>
      <c r="RB14" s="41">
        <f t="shared" si="158"/>
        <v>21.2</v>
      </c>
      <c r="RC14" s="41">
        <f t="shared" si="159"/>
        <v>10.75</v>
      </c>
      <c r="RD14" s="41">
        <f t="shared" si="160"/>
        <v>56.55</v>
      </c>
      <c r="RE14" s="41">
        <f t="shared" si="161"/>
        <v>5.4</v>
      </c>
      <c r="RF14" s="41">
        <f t="shared" si="162"/>
        <v>23.900000000000002</v>
      </c>
      <c r="RG14" s="41">
        <f t="shared" si="163"/>
        <v>80.45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239</v>
      </c>
      <c r="C15" s="4" t="s">
        <v>5</v>
      </c>
      <c r="D15" s="4">
        <v>1999</v>
      </c>
      <c r="E15" s="9">
        <f t="shared" si="0"/>
        <v>162.80001155000471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46.800000000000004</v>
      </c>
      <c r="K15" s="8" t="str">
        <f t="shared" si="5"/>
        <v>2023 Nationals</v>
      </c>
      <c r="L15" s="8">
        <f>IF(COUNT(AQ15,BT15,CW15)&gt;1,LARGE((AQ15,BT15,CW15),2),0)</f>
        <v>45.3</v>
      </c>
      <c r="M15" s="8" t="str">
        <f t="shared" si="6"/>
        <v>2023 Elite Canada</v>
      </c>
      <c r="N15" s="8">
        <f>IF(COUNT(AR15,BU15,CX15)&gt;0,LARGE((AR15,BU15,CX15),1),0)</f>
        <v>23.400000000000002</v>
      </c>
      <c r="O15" s="8" t="str">
        <f t="shared" si="7"/>
        <v>2023 Elite Canada</v>
      </c>
      <c r="P15" s="8">
        <f t="shared" si="8"/>
        <v>47.3</v>
      </c>
      <c r="Q15" s="8" t="str">
        <f t="shared" si="9"/>
        <v>2023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18.2</v>
      </c>
      <c r="V15" s="19">
        <v>4.8</v>
      </c>
      <c r="W15" s="19">
        <v>0.2</v>
      </c>
      <c r="X15" s="19">
        <v>0</v>
      </c>
      <c r="Y15" s="19">
        <v>19</v>
      </c>
      <c r="Z15" s="19">
        <v>3.5</v>
      </c>
      <c r="AA15" s="19">
        <v>0</v>
      </c>
      <c r="AB15" s="19">
        <v>0</v>
      </c>
      <c r="AC15" s="19">
        <v>18.3</v>
      </c>
      <c r="AD15" s="19">
        <v>4.8</v>
      </c>
      <c r="AE15" s="19">
        <v>0</v>
      </c>
      <c r="AF15" s="19">
        <v>0.3</v>
      </c>
      <c r="AG15" s="19">
        <v>19</v>
      </c>
      <c r="AH15" s="19">
        <v>4.8</v>
      </c>
      <c r="AI15" s="19">
        <v>0</v>
      </c>
      <c r="AJ15" s="19">
        <v>0</v>
      </c>
      <c r="AK15" s="19">
        <v>18.399999999999999</v>
      </c>
      <c r="AL15" s="19">
        <v>4.8</v>
      </c>
      <c r="AM15" s="19">
        <v>0</v>
      </c>
      <c r="AN15" s="19">
        <v>0.3</v>
      </c>
      <c r="AO15" s="28"/>
      <c r="AP15" s="41">
        <f t="shared" si="13"/>
        <v>8.3000000000000007</v>
      </c>
      <c r="AQ15" s="41">
        <f t="shared" si="14"/>
        <v>45.3</v>
      </c>
      <c r="AR15" s="41">
        <f t="shared" si="15"/>
        <v>23.400000000000002</v>
      </c>
      <c r="AS15" s="41">
        <f t="shared" si="16"/>
        <v>13.100000000000001</v>
      </c>
      <c r="AT15" s="41">
        <f t="shared" si="17"/>
        <v>68.7</v>
      </c>
      <c r="AU15" s="41">
        <f t="shared" si="18"/>
        <v>9.6</v>
      </c>
      <c r="AV15" s="41">
        <f t="shared" si="19"/>
        <v>47.3</v>
      </c>
      <c r="AW15" s="41">
        <f t="shared" si="20"/>
        <v>116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18.399999999999999</v>
      </c>
      <c r="BC15" s="18">
        <v>5.2</v>
      </c>
      <c r="BD15" s="18">
        <v>0.6</v>
      </c>
      <c r="BE15" s="18">
        <v>0</v>
      </c>
      <c r="BF15" s="18">
        <v>17</v>
      </c>
      <c r="BG15" s="18">
        <v>2.4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 t="shared" si="21"/>
        <v>10.4</v>
      </c>
      <c r="BT15" s="11">
        <f t="shared" si="22"/>
        <v>46.800000000000004</v>
      </c>
      <c r="BU15" s="11">
        <f t="shared" si="23"/>
        <v>19.399999999999999</v>
      </c>
      <c r="BV15" s="11">
        <f t="shared" si="24"/>
        <v>12.8</v>
      </c>
      <c r="BW15" s="11">
        <f t="shared" si="25"/>
        <v>66.2</v>
      </c>
      <c r="BX15" s="11" t="str">
        <f t="shared" si="26"/>
        <v/>
      </c>
      <c r="BY15" s="11" t="str">
        <f t="shared" si="27"/>
        <v/>
      </c>
      <c r="BZ15" s="11">
        <f t="shared" si="28"/>
        <v>66.2</v>
      </c>
      <c r="CA15" s="19">
        <v>0</v>
      </c>
      <c r="CB15" s="19">
        <v>0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0</v>
      </c>
      <c r="CJ15" s="19">
        <v>0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 t="shared" si="29"/>
        <v/>
      </c>
      <c r="CW15" s="41" t="str">
        <f t="shared" si="30"/>
        <v/>
      </c>
      <c r="CX15" s="41" t="str">
        <f t="shared" si="31"/>
        <v/>
      </c>
      <c r="CY15" s="41" t="str">
        <f t="shared" si="32"/>
        <v/>
      </c>
      <c r="CZ15" s="41" t="str">
        <f t="shared" si="33"/>
        <v/>
      </c>
      <c r="DA15" s="41" t="str">
        <f t="shared" si="34"/>
        <v/>
      </c>
      <c r="DB15" s="41" t="str">
        <f t="shared" si="35"/>
        <v/>
      </c>
      <c r="DC15" s="41" t="str">
        <f t="shared" si="36"/>
        <v/>
      </c>
      <c r="DD15" s="52" t="str">
        <f t="shared" si="37"/>
        <v/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9.3000000000000007</v>
      </c>
      <c r="QF15" s="23">
        <f t="shared" si="137"/>
        <v>2.6</v>
      </c>
      <c r="QG15" s="23">
        <f t="shared" si="138"/>
        <v>0</v>
      </c>
      <c r="QH15" s="23">
        <f t="shared" si="139"/>
        <v>0</v>
      </c>
      <c r="QI15" s="23">
        <f t="shared" si="140"/>
        <v>9.1999999999999993</v>
      </c>
      <c r="QJ15" s="23">
        <f t="shared" si="141"/>
        <v>2.6</v>
      </c>
      <c r="QK15" s="23">
        <f t="shared" si="142"/>
        <v>0.3</v>
      </c>
      <c r="QL15" s="23">
        <f t="shared" si="143"/>
        <v>0</v>
      </c>
      <c r="QM15" s="23">
        <f t="shared" si="144"/>
        <v>8.5</v>
      </c>
      <c r="QN15" s="23">
        <f t="shared" si="145"/>
        <v>1.2</v>
      </c>
      <c r="QO15" s="23">
        <f t="shared" si="146"/>
        <v>0</v>
      </c>
      <c r="QP15" s="23">
        <f t="shared" si="147"/>
        <v>0</v>
      </c>
      <c r="QQ15" s="23">
        <f t="shared" si="148"/>
        <v>0</v>
      </c>
      <c r="QR15" s="23">
        <f t="shared" si="149"/>
        <v>0</v>
      </c>
      <c r="QS15" s="23">
        <f t="shared" si="150"/>
        <v>0</v>
      </c>
      <c r="QT15" s="23">
        <f t="shared" si="151"/>
        <v>0</v>
      </c>
      <c r="QU15" s="23">
        <f t="shared" si="152"/>
        <v>0</v>
      </c>
      <c r="QV15" s="23">
        <f t="shared" si="153"/>
        <v>0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5.2</v>
      </c>
      <c r="RA15" s="41">
        <f t="shared" si="157"/>
        <v>23.400000000000002</v>
      </c>
      <c r="RB15" s="41">
        <f t="shared" si="158"/>
        <v>9.6999999999999993</v>
      </c>
      <c r="RC15" s="41">
        <f t="shared" si="159"/>
        <v>6.4</v>
      </c>
      <c r="RD15" s="41">
        <f t="shared" si="160"/>
        <v>33.1</v>
      </c>
      <c r="RE15" s="41" t="str">
        <f t="shared" si="161"/>
        <v/>
      </c>
      <c r="RF15" s="41" t="str">
        <f t="shared" si="162"/>
        <v/>
      </c>
      <c r="RG15" s="41">
        <f t="shared" si="163"/>
        <v>33.1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 t="shared" si="0"/>
        <v>110.6000110600045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45.099999999999994</v>
      </c>
      <c r="K16" s="8" t="str">
        <f t="shared" si="5"/>
        <v>2023 Nationals</v>
      </c>
      <c r="L16" s="8">
        <f>IF(COUNT(AQ16,BT16,CW16)&gt;1,LARGE((AQ16,BT16,CW16),2),0)</f>
        <v>42.9</v>
      </c>
      <c r="M16" s="8" t="str">
        <f t="shared" si="6"/>
        <v>2023 Elite Canada</v>
      </c>
      <c r="N16" s="8">
        <f>IF(COUNT(AR16,BU16,CX16)&gt;0,LARGE((AR16,BU16,CX16),1),0)</f>
        <v>22.6</v>
      </c>
      <c r="O16" s="8" t="str">
        <f t="shared" si="7"/>
        <v>2023 Nationals</v>
      </c>
      <c r="P16" s="8">
        <f t="shared" si="8"/>
        <v>0</v>
      </c>
      <c r="Q16" s="8" t="str">
        <f t="shared" si="9"/>
        <v/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17.399999999999999</v>
      </c>
      <c r="V16" s="19">
        <v>2.9</v>
      </c>
      <c r="W16" s="19">
        <v>1.2</v>
      </c>
      <c r="X16" s="19">
        <v>0</v>
      </c>
      <c r="Y16" s="19">
        <v>18.2</v>
      </c>
      <c r="Z16" s="19">
        <v>5.6</v>
      </c>
      <c r="AA16" s="19">
        <v>0</v>
      </c>
      <c r="AB16" s="19">
        <v>0</v>
      </c>
      <c r="AC16" s="19">
        <v>17</v>
      </c>
      <c r="AD16" s="19">
        <v>2.8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3"/>
        <v>8.5</v>
      </c>
      <c r="AQ16" s="41">
        <f t="shared" si="14"/>
        <v>42.9</v>
      </c>
      <c r="AR16" s="41">
        <f t="shared" si="15"/>
        <v>19.8</v>
      </c>
      <c r="AS16" s="41">
        <f t="shared" si="16"/>
        <v>11.3</v>
      </c>
      <c r="AT16" s="41">
        <f t="shared" si="17"/>
        <v>62.7</v>
      </c>
      <c r="AU16" s="41" t="str">
        <f t="shared" si="18"/>
        <v/>
      </c>
      <c r="AV16" s="41" t="str">
        <f t="shared" si="19"/>
        <v/>
      </c>
      <c r="AW16" s="41">
        <f t="shared" si="20"/>
        <v>62.7</v>
      </c>
      <c r="AX16" s="18">
        <v>18</v>
      </c>
      <c r="AY16" s="18">
        <v>5.6</v>
      </c>
      <c r="AZ16" s="18">
        <v>0.2</v>
      </c>
      <c r="BA16" s="18">
        <v>0</v>
      </c>
      <c r="BB16" s="18">
        <v>16.2</v>
      </c>
      <c r="BC16" s="18">
        <v>6</v>
      </c>
      <c r="BD16" s="18">
        <v>0.8</v>
      </c>
      <c r="BE16" s="18">
        <v>0.3</v>
      </c>
      <c r="BF16" s="18">
        <v>18</v>
      </c>
      <c r="BG16" s="18">
        <v>4.8</v>
      </c>
      <c r="BH16" s="18">
        <v>0.2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 t="shared" si="21"/>
        <v>11.6</v>
      </c>
      <c r="BT16" s="11">
        <f t="shared" si="22"/>
        <v>45.099999999999994</v>
      </c>
      <c r="BU16" s="11">
        <f t="shared" si="23"/>
        <v>22.6</v>
      </c>
      <c r="BV16" s="11">
        <f t="shared" si="24"/>
        <v>16.399999999999999</v>
      </c>
      <c r="BW16" s="11">
        <f t="shared" si="25"/>
        <v>67.699999999999989</v>
      </c>
      <c r="BX16" s="11" t="str">
        <f t="shared" si="26"/>
        <v/>
      </c>
      <c r="BY16" s="11" t="str">
        <f t="shared" si="27"/>
        <v/>
      </c>
      <c r="BZ16" s="11">
        <f t="shared" si="28"/>
        <v>67.699999999999989</v>
      </c>
      <c r="CA16" s="19">
        <v>16.399999999999999</v>
      </c>
      <c r="CB16" s="19">
        <v>5.2</v>
      </c>
      <c r="CC16" s="19">
        <v>0.8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9"/>
        <v>5.2</v>
      </c>
      <c r="CW16" s="41">
        <f t="shared" si="30"/>
        <v>20.799999999999997</v>
      </c>
      <c r="CX16" s="41" t="str">
        <f t="shared" si="31"/>
        <v/>
      </c>
      <c r="CY16" s="41">
        <f t="shared" si="32"/>
        <v>5.2</v>
      </c>
      <c r="CZ16" s="41">
        <f t="shared" si="33"/>
        <v>20.799999999999997</v>
      </c>
      <c r="DA16" s="41" t="str">
        <f t="shared" si="34"/>
        <v/>
      </c>
      <c r="DB16" s="41" t="str">
        <f t="shared" si="35"/>
        <v/>
      </c>
      <c r="DC16" s="41">
        <f t="shared" si="36"/>
        <v>20.799999999999997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17.2</v>
      </c>
      <c r="QF16" s="23">
        <f t="shared" si="137"/>
        <v>5.4</v>
      </c>
      <c r="QG16" s="23">
        <f t="shared" si="138"/>
        <v>0.5</v>
      </c>
      <c r="QH16" s="23">
        <f t="shared" si="139"/>
        <v>0</v>
      </c>
      <c r="QI16" s="23">
        <f t="shared" si="140"/>
        <v>8.1</v>
      </c>
      <c r="QJ16" s="23">
        <f t="shared" si="141"/>
        <v>3</v>
      </c>
      <c r="QK16" s="23">
        <f t="shared" si="142"/>
        <v>0.4</v>
      </c>
      <c r="QL16" s="23">
        <f t="shared" si="143"/>
        <v>0.15</v>
      </c>
      <c r="QM16" s="23">
        <f t="shared" si="144"/>
        <v>9</v>
      </c>
      <c r="QN16" s="23">
        <f t="shared" si="145"/>
        <v>2.4</v>
      </c>
      <c r="QO16" s="23">
        <f t="shared" si="146"/>
        <v>0.1</v>
      </c>
      <c r="QP16" s="23">
        <f t="shared" si="147"/>
        <v>0</v>
      </c>
      <c r="QQ16" s="23">
        <f t="shared" si="148"/>
        <v>0</v>
      </c>
      <c r="QR16" s="23">
        <f t="shared" si="149"/>
        <v>0</v>
      </c>
      <c r="QS16" s="23">
        <f t="shared" si="150"/>
        <v>0</v>
      </c>
      <c r="QT16" s="23">
        <f t="shared" si="151"/>
        <v>0</v>
      </c>
      <c r="QU16" s="23">
        <f t="shared" si="152"/>
        <v>0</v>
      </c>
      <c r="QV16" s="23">
        <f t="shared" si="153"/>
        <v>0</v>
      </c>
      <c r="QW16" s="23">
        <f t="shared" si="154"/>
        <v>0</v>
      </c>
      <c r="QX16" s="23">
        <f t="shared" si="155"/>
        <v>0</v>
      </c>
      <c r="QY16" s="28" t="s">
        <v>57</v>
      </c>
      <c r="QZ16" s="41">
        <f t="shared" si="156"/>
        <v>8.4</v>
      </c>
      <c r="RA16" s="41">
        <f t="shared" si="157"/>
        <v>32.950000000000003</v>
      </c>
      <c r="RB16" s="41">
        <f t="shared" si="158"/>
        <v>11.3</v>
      </c>
      <c r="RC16" s="41">
        <f t="shared" si="159"/>
        <v>10.8</v>
      </c>
      <c r="RD16" s="41">
        <f t="shared" si="160"/>
        <v>44.25</v>
      </c>
      <c r="RE16" s="41" t="str">
        <f t="shared" si="161"/>
        <v/>
      </c>
      <c r="RF16" s="41" t="str">
        <f t="shared" si="162"/>
        <v/>
      </c>
      <c r="RG16" s="41">
        <f t="shared" si="163"/>
        <v>44.25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201</v>
      </c>
      <c r="C17" s="4" t="s">
        <v>6</v>
      </c>
      <c r="D17" s="4">
        <v>2001</v>
      </c>
      <c r="E17" s="9">
        <f t="shared" si="0"/>
        <v>105.30001053000427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42.9</v>
      </c>
      <c r="K17" s="8" t="str">
        <f t="shared" si="5"/>
        <v>2023 Nationals</v>
      </c>
      <c r="L17" s="8">
        <f>IF(COUNT(AQ17,BT17,CW17)&gt;1,LARGE((AQ17,BT17,CW17),2),0)</f>
        <v>40.299999999999997</v>
      </c>
      <c r="M17" s="8" t="str">
        <f t="shared" si="6"/>
        <v>2023 Elite Canada</v>
      </c>
      <c r="N17" s="8">
        <f>IF(COUNT(AR17,BU17,CX17)&gt;0,LARGE((AR17,BU17,CX17),1),0)</f>
        <v>22.099999999999998</v>
      </c>
      <c r="O17" s="8" t="str">
        <f t="shared" si="7"/>
        <v>2023 Elite Canada</v>
      </c>
      <c r="P17" s="8">
        <f t="shared" si="8"/>
        <v>0</v>
      </c>
      <c r="Q17" s="8" t="str">
        <f t="shared" si="9"/>
        <v/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18.3</v>
      </c>
      <c r="V17" s="19">
        <v>3.1</v>
      </c>
      <c r="W17" s="19">
        <v>1</v>
      </c>
      <c r="X17" s="19">
        <v>0</v>
      </c>
      <c r="Y17" s="19">
        <v>17.100000000000001</v>
      </c>
      <c r="Z17" s="19">
        <v>2.8</v>
      </c>
      <c r="AA17" s="19">
        <v>0</v>
      </c>
      <c r="AB17" s="19">
        <v>0</v>
      </c>
      <c r="AC17" s="19">
        <v>17.899999999999999</v>
      </c>
      <c r="AD17" s="19">
        <v>4.8</v>
      </c>
      <c r="AE17" s="19">
        <v>0.6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 t="shared" si="13"/>
        <v>5.9</v>
      </c>
      <c r="AQ17" s="41">
        <f t="shared" si="14"/>
        <v>40.299999999999997</v>
      </c>
      <c r="AR17" s="41">
        <f t="shared" si="15"/>
        <v>22.099999999999998</v>
      </c>
      <c r="AS17" s="41">
        <f t="shared" si="16"/>
        <v>10.7</v>
      </c>
      <c r="AT17" s="41">
        <f t="shared" si="17"/>
        <v>62.399999999999991</v>
      </c>
      <c r="AU17" s="41" t="str">
        <f t="shared" si="18"/>
        <v/>
      </c>
      <c r="AV17" s="41" t="str">
        <f t="shared" si="19"/>
        <v/>
      </c>
      <c r="AW17" s="41">
        <f t="shared" si="20"/>
        <v>62.399999999999991</v>
      </c>
      <c r="AX17" s="18">
        <v>16.2</v>
      </c>
      <c r="AY17" s="18">
        <v>5.2</v>
      </c>
      <c r="AZ17" s="18">
        <v>0.8</v>
      </c>
      <c r="BA17" s="18">
        <v>0</v>
      </c>
      <c r="BB17" s="18">
        <v>18.100000000000001</v>
      </c>
      <c r="BC17" s="18">
        <v>4.8</v>
      </c>
      <c r="BD17" s="18">
        <v>0.6</v>
      </c>
      <c r="BE17" s="18">
        <v>0</v>
      </c>
      <c r="BF17" s="18">
        <v>17</v>
      </c>
      <c r="BG17" s="18">
        <v>2.4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 t="shared" si="21"/>
        <v>10</v>
      </c>
      <c r="BT17" s="11">
        <f t="shared" si="22"/>
        <v>42.9</v>
      </c>
      <c r="BU17" s="11">
        <f t="shared" si="23"/>
        <v>19.399999999999999</v>
      </c>
      <c r="BV17" s="11">
        <f t="shared" si="24"/>
        <v>12.4</v>
      </c>
      <c r="BW17" s="11">
        <f t="shared" si="25"/>
        <v>62.3</v>
      </c>
      <c r="BX17" s="11" t="str">
        <f t="shared" si="26"/>
        <v/>
      </c>
      <c r="BY17" s="11" t="str">
        <f t="shared" si="27"/>
        <v/>
      </c>
      <c r="BZ17" s="11">
        <f t="shared" si="28"/>
        <v>62.3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 t="shared" si="29"/>
        <v/>
      </c>
      <c r="CW17" s="41" t="str">
        <f t="shared" si="30"/>
        <v/>
      </c>
      <c r="CX17" s="41" t="str">
        <f t="shared" si="31"/>
        <v/>
      </c>
      <c r="CY17" s="41" t="str">
        <f t="shared" si="32"/>
        <v/>
      </c>
      <c r="CZ17" s="41" t="str">
        <f t="shared" si="33"/>
        <v/>
      </c>
      <c r="DA17" s="41" t="str">
        <f t="shared" si="34"/>
        <v/>
      </c>
      <c r="DB17" s="41" t="str">
        <f t="shared" si="35"/>
        <v/>
      </c>
      <c r="DC17" s="41" t="str">
        <f t="shared" si="36"/>
        <v/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8.1</v>
      </c>
      <c r="QF17" s="23">
        <f t="shared" si="137"/>
        <v>2.6</v>
      </c>
      <c r="QG17" s="23">
        <f t="shared" si="138"/>
        <v>0.4</v>
      </c>
      <c r="QH17" s="23">
        <f t="shared" si="139"/>
        <v>0</v>
      </c>
      <c r="QI17" s="23">
        <f t="shared" si="140"/>
        <v>9.0500000000000007</v>
      </c>
      <c r="QJ17" s="23">
        <f t="shared" si="141"/>
        <v>2.4</v>
      </c>
      <c r="QK17" s="23">
        <f t="shared" si="142"/>
        <v>0.3</v>
      </c>
      <c r="QL17" s="23">
        <f t="shared" si="143"/>
        <v>0</v>
      </c>
      <c r="QM17" s="23">
        <f t="shared" si="144"/>
        <v>8.5</v>
      </c>
      <c r="QN17" s="23">
        <f t="shared" si="145"/>
        <v>1.2</v>
      </c>
      <c r="QO17" s="23">
        <f t="shared" si="146"/>
        <v>0</v>
      </c>
      <c r="QP17" s="23">
        <f t="shared" si="147"/>
        <v>0</v>
      </c>
      <c r="QQ17" s="23">
        <f t="shared" si="148"/>
        <v>0</v>
      </c>
      <c r="QR17" s="23">
        <f t="shared" si="149"/>
        <v>0</v>
      </c>
      <c r="QS17" s="23">
        <f t="shared" si="150"/>
        <v>0</v>
      </c>
      <c r="QT17" s="23">
        <f t="shared" si="151"/>
        <v>0</v>
      </c>
      <c r="QU17" s="23">
        <f t="shared" si="152"/>
        <v>0</v>
      </c>
      <c r="QV17" s="23">
        <f t="shared" si="153"/>
        <v>0</v>
      </c>
      <c r="QW17" s="23">
        <f t="shared" si="154"/>
        <v>0</v>
      </c>
      <c r="QX17" s="23">
        <f t="shared" si="155"/>
        <v>0</v>
      </c>
      <c r="QY17" s="28" t="s">
        <v>57</v>
      </c>
      <c r="QZ17" s="41">
        <f t="shared" si="156"/>
        <v>5</v>
      </c>
      <c r="RA17" s="41">
        <f t="shared" si="157"/>
        <v>21.45</v>
      </c>
      <c r="RB17" s="41">
        <f t="shared" si="158"/>
        <v>9.6999999999999993</v>
      </c>
      <c r="RC17" s="41">
        <f t="shared" si="159"/>
        <v>6.2</v>
      </c>
      <c r="RD17" s="41">
        <f t="shared" si="160"/>
        <v>31.15</v>
      </c>
      <c r="RE17" s="41" t="str">
        <f t="shared" si="161"/>
        <v/>
      </c>
      <c r="RF17" s="41" t="str">
        <f t="shared" si="162"/>
        <v/>
      </c>
      <c r="RG17" s="41">
        <f t="shared" si="163"/>
        <v>31.15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 t="shared" si="0"/>
        <v>47.400000000000006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IF(COUNT(AQ18,BT18,CW18)&gt;0,LARGE((AQ18,BT18,CW18),1),0)</f>
        <v>0</v>
      </c>
      <c r="K18" s="8" t="str">
        <f t="shared" si="5"/>
        <v/>
      </c>
      <c r="L18" s="8">
        <f>IF(COUNT(AQ18,BT18,CW18)&gt;1,LARGE((AQ18,BT18,CW18),2),0)</f>
        <v>0</v>
      </c>
      <c r="M18" s="8" t="str">
        <f t="shared" si="6"/>
        <v/>
      </c>
      <c r="N18" s="8">
        <f>IF(COUNT(AR18,BU18,CX18)&gt;0,LARGE((AR18,BU18,CX18),1),0)</f>
        <v>0</v>
      </c>
      <c r="O18" s="8" t="str">
        <f t="shared" si="7"/>
        <v/>
      </c>
      <c r="P18" s="8">
        <f t="shared" si="8"/>
        <v>0</v>
      </c>
      <c r="Q18" s="8" t="str">
        <f t="shared" si="9"/>
        <v/>
      </c>
      <c r="R18" s="8">
        <f t="shared" si="10"/>
        <v>47.400000000000006</v>
      </c>
      <c r="S18" s="11" t="str">
        <f t="shared" si="11"/>
        <v>(Q1)</v>
      </c>
      <c r="T18" s="8" t="str">
        <f t="shared" si="12"/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 t="shared" si="13"/>
        <v/>
      </c>
      <c r="AQ18" s="41" t="str">
        <f t="shared" si="14"/>
        <v/>
      </c>
      <c r="AR18" s="41" t="str">
        <f t="shared" si="15"/>
        <v/>
      </c>
      <c r="AS18" s="41" t="str">
        <f t="shared" si="16"/>
        <v/>
      </c>
      <c r="AT18" s="41" t="str">
        <f t="shared" si="17"/>
        <v/>
      </c>
      <c r="AU18" s="41" t="str">
        <f t="shared" si="18"/>
        <v/>
      </c>
      <c r="AV18" s="41" t="str">
        <f t="shared" si="19"/>
        <v/>
      </c>
      <c r="AW18" s="41" t="str">
        <f t="shared" si="20"/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 t="shared" si="29"/>
        <v/>
      </c>
      <c r="CW18" s="41" t="str">
        <f t="shared" si="30"/>
        <v/>
      </c>
      <c r="CX18" s="41" t="str">
        <f t="shared" si="31"/>
        <v/>
      </c>
      <c r="CY18" s="41" t="str">
        <f t="shared" si="32"/>
        <v/>
      </c>
      <c r="CZ18" s="41" t="str">
        <f t="shared" si="33"/>
        <v/>
      </c>
      <c r="DA18" s="41" t="str">
        <f t="shared" si="34"/>
        <v/>
      </c>
      <c r="DB18" s="41" t="str">
        <f t="shared" si="35"/>
        <v/>
      </c>
      <c r="DC18" s="41" t="str">
        <f t="shared" si="36"/>
        <v/>
      </c>
      <c r="DD18" s="52">
        <f t="shared" si="37"/>
        <v>47.400000000000006</v>
      </c>
      <c r="DE18" s="52" t="str">
        <f t="shared" si="38"/>
        <v/>
      </c>
      <c r="DF18" s="52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40"/>
        <v/>
      </c>
      <c r="EB18" s="41" t="str">
        <f t="shared" si="41"/>
        <v/>
      </c>
      <c r="EC18" s="41" t="str">
        <f t="shared" si="42"/>
        <v/>
      </c>
      <c r="ED18" s="41" t="str">
        <f t="shared" si="43"/>
        <v/>
      </c>
      <c r="EE18" s="41" t="str">
        <f t="shared" si="44"/>
        <v/>
      </c>
      <c r="EF18" s="41" t="str">
        <f t="shared" si="45"/>
        <v/>
      </c>
      <c r="EG18" s="41" t="str">
        <f t="shared" si="46"/>
        <v/>
      </c>
      <c r="EH18" s="41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6"/>
        <v/>
      </c>
      <c r="GF18" s="41" t="str">
        <f t="shared" si="57"/>
        <v/>
      </c>
      <c r="GG18" s="41" t="str">
        <f t="shared" si="58"/>
        <v/>
      </c>
      <c r="GH18" s="41" t="str">
        <f t="shared" si="59"/>
        <v/>
      </c>
      <c r="GI18" s="41" t="str">
        <f t="shared" si="60"/>
        <v/>
      </c>
      <c r="GJ18" s="41" t="str">
        <f t="shared" si="61"/>
        <v/>
      </c>
      <c r="GK18" s="41" t="str">
        <f t="shared" si="62"/>
        <v/>
      </c>
      <c r="GL18" s="41" t="str">
        <f t="shared" si="63"/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 t="shared" si="64"/>
        <v>11.6</v>
      </c>
      <c r="HH18" s="11">
        <f t="shared" si="65"/>
        <v>47.400000000000006</v>
      </c>
      <c r="HI18" s="11" t="str">
        <f t="shared" si="66"/>
        <v/>
      </c>
      <c r="HJ18" s="11">
        <f t="shared" si="67"/>
        <v>11.6</v>
      </c>
      <c r="HK18" s="11">
        <f t="shared" si="68"/>
        <v>47.400000000000006</v>
      </c>
      <c r="HL18" s="11" t="str">
        <f t="shared" si="69"/>
        <v/>
      </c>
      <c r="HM18" s="11" t="str">
        <f t="shared" si="70"/>
        <v/>
      </c>
      <c r="HN18" s="11">
        <f t="shared" si="71"/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2"/>
        <v/>
      </c>
      <c r="IJ18" s="41" t="str">
        <f t="shared" si="73"/>
        <v/>
      </c>
      <c r="IK18" s="41" t="str">
        <f t="shared" si="74"/>
        <v/>
      </c>
      <c r="IL18" s="41" t="str">
        <f t="shared" si="75"/>
        <v/>
      </c>
      <c r="IM18" s="41" t="str">
        <f t="shared" si="76"/>
        <v/>
      </c>
      <c r="IN18" s="41" t="str">
        <f t="shared" si="77"/>
        <v/>
      </c>
      <c r="IO18" s="41" t="str">
        <f t="shared" si="78"/>
        <v/>
      </c>
      <c r="IP18" s="41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8"/>
        <v/>
      </c>
      <c r="KN18" s="41" t="str">
        <f t="shared" si="89"/>
        <v/>
      </c>
      <c r="KO18" s="41" t="str">
        <f t="shared" si="90"/>
        <v/>
      </c>
      <c r="KP18" s="41" t="str">
        <f t="shared" si="91"/>
        <v/>
      </c>
      <c r="KQ18" s="41" t="str">
        <f t="shared" si="92"/>
        <v/>
      </c>
      <c r="KR18" s="41" t="str">
        <f t="shared" si="93"/>
        <v/>
      </c>
      <c r="KS18" s="41" t="str">
        <f t="shared" si="94"/>
        <v/>
      </c>
      <c r="KT18" s="41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4"/>
        <v/>
      </c>
      <c r="MR18" s="41" t="str">
        <f t="shared" si="105"/>
        <v/>
      </c>
      <c r="MS18" s="41" t="str">
        <f t="shared" si="106"/>
        <v/>
      </c>
      <c r="MT18" s="41" t="str">
        <f t="shared" si="107"/>
        <v/>
      </c>
      <c r="MU18" s="41" t="str">
        <f t="shared" si="108"/>
        <v/>
      </c>
      <c r="MV18" s="41" t="str">
        <f t="shared" si="109"/>
        <v/>
      </c>
      <c r="MW18" s="41" t="str">
        <f t="shared" si="110"/>
        <v/>
      </c>
      <c r="MX18" s="41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20"/>
        <v/>
      </c>
      <c r="OV18" s="41" t="str">
        <f t="shared" si="121"/>
        <v/>
      </c>
      <c r="OW18" s="41" t="str">
        <f t="shared" si="122"/>
        <v/>
      </c>
      <c r="OX18" s="41" t="str">
        <f t="shared" si="123"/>
        <v/>
      </c>
      <c r="OY18" s="41" t="str">
        <f t="shared" si="124"/>
        <v/>
      </c>
      <c r="OZ18" s="41" t="str">
        <f t="shared" si="125"/>
        <v/>
      </c>
      <c r="PA18" s="41" t="str">
        <f t="shared" si="126"/>
        <v/>
      </c>
      <c r="PB18" s="41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3">
        <f t="shared" si="136"/>
        <v>0</v>
      </c>
      <c r="QF18" s="23">
        <f t="shared" si="137"/>
        <v>0</v>
      </c>
      <c r="QG18" s="23">
        <f t="shared" si="138"/>
        <v>0</v>
      </c>
      <c r="QH18" s="23">
        <f t="shared" si="139"/>
        <v>0</v>
      </c>
      <c r="QI18" s="23">
        <f t="shared" si="140"/>
        <v>0</v>
      </c>
      <c r="QJ18" s="23">
        <f t="shared" si="141"/>
        <v>0</v>
      </c>
      <c r="QK18" s="23">
        <f t="shared" si="142"/>
        <v>0</v>
      </c>
      <c r="QL18" s="23">
        <f t="shared" si="143"/>
        <v>0</v>
      </c>
      <c r="QM18" s="23">
        <f t="shared" si="144"/>
        <v>0</v>
      </c>
      <c r="QN18" s="23">
        <f t="shared" si="145"/>
        <v>0</v>
      </c>
      <c r="QO18" s="23">
        <f t="shared" si="146"/>
        <v>0</v>
      </c>
      <c r="QP18" s="23">
        <f t="shared" si="147"/>
        <v>0</v>
      </c>
      <c r="QQ18" s="23">
        <f t="shared" si="148"/>
        <v>0</v>
      </c>
      <c r="QR18" s="23">
        <f t="shared" si="149"/>
        <v>0</v>
      </c>
      <c r="QS18" s="23">
        <f t="shared" si="150"/>
        <v>0</v>
      </c>
      <c r="QT18" s="23">
        <f t="shared" si="151"/>
        <v>0</v>
      </c>
      <c r="QU18" s="23">
        <f t="shared" si="152"/>
        <v>0</v>
      </c>
      <c r="QV18" s="23">
        <f t="shared" si="153"/>
        <v>0</v>
      </c>
      <c r="QW18" s="23">
        <f t="shared" si="154"/>
        <v>0</v>
      </c>
      <c r="QX18" s="23">
        <f t="shared" si="155"/>
        <v>0</v>
      </c>
      <c r="QY18" s="28" t="s">
        <v>57</v>
      </c>
      <c r="QZ18" s="41" t="str">
        <f t="shared" si="156"/>
        <v/>
      </c>
      <c r="RA18" s="41" t="str">
        <f t="shared" si="157"/>
        <v/>
      </c>
      <c r="RB18" s="41" t="str">
        <f t="shared" si="158"/>
        <v/>
      </c>
      <c r="RC18" s="41" t="str">
        <f t="shared" si="159"/>
        <v/>
      </c>
      <c r="RD18" s="41" t="str">
        <f t="shared" si="160"/>
        <v/>
      </c>
      <c r="RE18" s="41" t="str">
        <f t="shared" si="161"/>
        <v/>
      </c>
      <c r="RF18" s="41" t="str">
        <f t="shared" si="162"/>
        <v/>
      </c>
      <c r="RG18" s="41" t="str">
        <f t="shared" si="163"/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8">
      <sortCondition descending="1" ref="F1:F19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2023-10-04T13:28:57Z</dcterms:modified>
</cp:coreProperties>
</file>