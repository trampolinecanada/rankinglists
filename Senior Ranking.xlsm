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7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6DA711FD-2D77-FA41-BE0F-1185A828E21B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18" r:id="rId6"/>
    <sheet name="TUM-W" sheetId="8" r:id="rId7"/>
    <sheet name="DMT-M" sheetId="19" r:id="rId8"/>
    <sheet name="DMT-W" sheetId="21" r:id="rId9"/>
  </sheets>
  <definedNames>
    <definedName name="_xlnm._FilterDatabase" localSheetId="7" hidden="1">'DMT-M'!$A$1:$RI$6</definedName>
    <definedName name="_xlnm._FilterDatabase" localSheetId="8" hidden="1">'DMT-W'!$A$1:$RI$6</definedName>
    <definedName name="_xlnm._FilterDatabase" localSheetId="3" hidden="1">'SYN-M'!$A$1:$TL$3</definedName>
    <definedName name="_xlnm._FilterDatabase" localSheetId="4" hidden="1">'SYN-W'!$A$1:$TL$3</definedName>
    <definedName name="_xlnm._FilterDatabase" localSheetId="1" hidden="1">'TRA-M'!$A$1:$TV$20</definedName>
    <definedName name="_xlnm._FilterDatabase" localSheetId="2" hidden="1">'TRA-W'!$A$1:$TV$14</definedName>
    <definedName name="_xlnm._FilterDatabase" localSheetId="5" hidden="1">'TUM-M'!$A$1:$PX$5</definedName>
    <definedName name="_xlnm._FilterDatabase" localSheetId="6" hidden="1">'TUM-W'!$A$1:$PX$6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Z5" i="24" l="1"/>
  <c r="SY5" i="24"/>
  <c r="TJ5" i="24" s="1"/>
  <c r="SX5" i="24"/>
  <c r="TI5" i="24" s="1"/>
  <c r="SW5" i="24"/>
  <c r="SV5" i="24"/>
  <c r="SU5" i="24"/>
  <c r="ST5" i="24"/>
  <c r="TF5" i="24" s="1"/>
  <c r="SS5" i="24"/>
  <c r="TE5" i="24" s="1"/>
  <c r="SR5" i="24"/>
  <c r="SQ5" i="24"/>
  <c r="SP5" i="24"/>
  <c r="SO5" i="24"/>
  <c r="TC5" i="24" s="1"/>
  <c r="SN5" i="24"/>
  <c r="TB5" i="24" s="1"/>
  <c r="SM5" i="24"/>
  <c r="SL5" i="24"/>
  <c r="SJ5" i="24"/>
  <c r="SI5" i="24"/>
  <c r="SH5" i="24"/>
  <c r="SG5" i="24"/>
  <c r="SF5" i="24"/>
  <c r="SE5" i="24"/>
  <c r="SC5" i="24"/>
  <c r="SB5" i="24"/>
  <c r="SA5" i="24"/>
  <c r="RZ5" i="24"/>
  <c r="RY5" i="24"/>
  <c r="RX5" i="24"/>
  <c r="RB5" i="24"/>
  <c r="RA5" i="24"/>
  <c r="QZ5" i="24"/>
  <c r="QY5" i="24"/>
  <c r="QX5" i="24"/>
  <c r="QW5" i="24"/>
  <c r="QU5" i="24"/>
  <c r="QT5" i="24"/>
  <c r="QS5" i="24"/>
  <c r="QR5" i="24"/>
  <c r="QQ5" i="24"/>
  <c r="QP5" i="24"/>
  <c r="PT5" i="24"/>
  <c r="PS5" i="24"/>
  <c r="PR5" i="24"/>
  <c r="PQ5" i="24"/>
  <c r="PP5" i="24"/>
  <c r="PO5" i="24"/>
  <c r="PM5" i="24"/>
  <c r="PL5" i="24"/>
  <c r="PK5" i="24"/>
  <c r="PJ5" i="24"/>
  <c r="PI5" i="24"/>
  <c r="PH5" i="24"/>
  <c r="OL5" i="24"/>
  <c r="OK5" i="24"/>
  <c r="OJ5" i="24"/>
  <c r="OI5" i="24"/>
  <c r="OH5" i="24"/>
  <c r="OG5" i="24"/>
  <c r="OE5" i="24"/>
  <c r="OD5" i="24"/>
  <c r="OC5" i="24"/>
  <c r="OB5" i="24"/>
  <c r="OA5" i="24"/>
  <c r="NZ5" i="24"/>
  <c r="ND5" i="24"/>
  <c r="NC5" i="24"/>
  <c r="NB5" i="24"/>
  <c r="NA5" i="24"/>
  <c r="MZ5" i="24"/>
  <c r="MY5" i="24"/>
  <c r="MW5" i="24"/>
  <c r="MV5" i="24"/>
  <c r="MU5" i="24"/>
  <c r="MT5" i="24"/>
  <c r="MS5" i="24"/>
  <c r="MR5" i="24"/>
  <c r="LV5" i="24"/>
  <c r="LU5" i="24"/>
  <c r="LT5" i="24"/>
  <c r="LS5" i="24"/>
  <c r="LR5" i="24"/>
  <c r="LQ5" i="24"/>
  <c r="LO5" i="24"/>
  <c r="LN5" i="24"/>
  <c r="LM5" i="24"/>
  <c r="LL5" i="24"/>
  <c r="LK5" i="24"/>
  <c r="LJ5" i="24"/>
  <c r="KN5" i="24"/>
  <c r="KM5" i="24"/>
  <c r="KL5" i="24"/>
  <c r="KK5" i="24"/>
  <c r="KJ5" i="24"/>
  <c r="KI5" i="24"/>
  <c r="KG5" i="24"/>
  <c r="KF5" i="24"/>
  <c r="KE5" i="24"/>
  <c r="KD5" i="24"/>
  <c r="KC5" i="24"/>
  <c r="KB5" i="24"/>
  <c r="JF5" i="24"/>
  <c r="JE5" i="24"/>
  <c r="JD5" i="24"/>
  <c r="JC5" i="24"/>
  <c r="JB5" i="24"/>
  <c r="JA5" i="24"/>
  <c r="IY5" i="24"/>
  <c r="IX5" i="24"/>
  <c r="IW5" i="24"/>
  <c r="IV5" i="24"/>
  <c r="IU5" i="24"/>
  <c r="IT5" i="24"/>
  <c r="HX5" i="24"/>
  <c r="HW5" i="24"/>
  <c r="HV5" i="24"/>
  <c r="HU5" i="24"/>
  <c r="HT5" i="24"/>
  <c r="HS5" i="24"/>
  <c r="HQ5" i="24"/>
  <c r="HP5" i="24"/>
  <c r="HO5" i="24"/>
  <c r="HN5" i="24"/>
  <c r="HM5" i="24"/>
  <c r="HL5" i="24"/>
  <c r="GP5" i="24"/>
  <c r="GO5" i="24"/>
  <c r="GN5" i="24"/>
  <c r="GM5" i="24"/>
  <c r="GL5" i="24"/>
  <c r="GK5" i="24"/>
  <c r="GI5" i="24"/>
  <c r="GH5" i="24"/>
  <c r="GG5" i="24"/>
  <c r="GF5" i="24"/>
  <c r="GE5" i="24"/>
  <c r="GD5" i="24"/>
  <c r="FH5" i="24"/>
  <c r="FG5" i="24"/>
  <c r="FF5" i="24"/>
  <c r="FE5" i="24"/>
  <c r="FD5" i="24"/>
  <c r="FC5" i="24"/>
  <c r="FA5" i="24"/>
  <c r="EZ5" i="24"/>
  <c r="EY5" i="24"/>
  <c r="EX5" i="24"/>
  <c r="EW5" i="24"/>
  <c r="EV5" i="24"/>
  <c r="DZ5" i="24"/>
  <c r="DY5" i="24"/>
  <c r="DX5" i="24"/>
  <c r="DW5" i="24"/>
  <c r="DV5" i="24"/>
  <c r="DU5" i="24"/>
  <c r="DS5" i="24"/>
  <c r="DR5" i="24"/>
  <c r="DQ5" i="24"/>
  <c r="DP5" i="24"/>
  <c r="DO5" i="24"/>
  <c r="DN5" i="24"/>
  <c r="CP5" i="24"/>
  <c r="CO5" i="24"/>
  <c r="CN5" i="24"/>
  <c r="CL5" i="24"/>
  <c r="CK5" i="24"/>
  <c r="CJ5" i="24"/>
  <c r="CI5" i="24"/>
  <c r="CM5" i="24" s="1"/>
  <c r="CH5" i="24"/>
  <c r="CG5" i="24"/>
  <c r="BO5" i="24"/>
  <c r="BN5" i="24"/>
  <c r="BM5" i="24"/>
  <c r="BK5" i="24"/>
  <c r="BJ5" i="24"/>
  <c r="BI5" i="24"/>
  <c r="BH5" i="24"/>
  <c r="BL5" i="24" s="1"/>
  <c r="BG5" i="24"/>
  <c r="BF5" i="24"/>
  <c r="AN5" i="24"/>
  <c r="AM5" i="24"/>
  <c r="AL5" i="24"/>
  <c r="AJ5" i="24"/>
  <c r="AI5" i="24"/>
  <c r="AH5" i="24"/>
  <c r="AG5" i="24"/>
  <c r="AK5" i="24" s="1"/>
  <c r="AF5" i="24"/>
  <c r="AE5" i="24"/>
  <c r="SZ4" i="24"/>
  <c r="SY4" i="24"/>
  <c r="TJ4" i="24" s="1"/>
  <c r="SX4" i="24"/>
  <c r="TI4" i="24" s="1"/>
  <c r="SW4" i="24"/>
  <c r="SV4" i="24"/>
  <c r="SU4" i="24"/>
  <c r="ST4" i="24"/>
  <c r="TF4" i="24" s="1"/>
  <c r="SS4" i="24"/>
  <c r="TE4" i="24" s="1"/>
  <c r="SR4" i="24"/>
  <c r="SQ4" i="24"/>
  <c r="SP4" i="24"/>
  <c r="SO4" i="24"/>
  <c r="TC4" i="24" s="1"/>
  <c r="SN4" i="24"/>
  <c r="TB4" i="24" s="1"/>
  <c r="SM4" i="24"/>
  <c r="SL4" i="24"/>
  <c r="SJ4" i="24"/>
  <c r="SI4" i="24"/>
  <c r="SH4" i="24"/>
  <c r="SG4" i="24"/>
  <c r="SF4" i="24"/>
  <c r="SE4" i="24"/>
  <c r="SC4" i="24"/>
  <c r="SB4" i="24"/>
  <c r="SA4" i="24"/>
  <c r="RZ4" i="24"/>
  <c r="RY4" i="24"/>
  <c r="RX4" i="24"/>
  <c r="RB4" i="24"/>
  <c r="RA4" i="24"/>
  <c r="QZ4" i="24"/>
  <c r="QY4" i="24"/>
  <c r="QX4" i="24"/>
  <c r="QW4" i="24"/>
  <c r="QU4" i="24"/>
  <c r="QT4" i="24"/>
  <c r="QS4" i="24"/>
  <c r="QR4" i="24"/>
  <c r="QQ4" i="24"/>
  <c r="QP4" i="24"/>
  <c r="PT4" i="24"/>
  <c r="PS4" i="24"/>
  <c r="PR4" i="24"/>
  <c r="PQ4" i="24"/>
  <c r="PP4" i="24"/>
  <c r="PO4" i="24"/>
  <c r="PM4" i="24"/>
  <c r="PL4" i="24"/>
  <c r="PK4" i="24"/>
  <c r="PJ4" i="24"/>
  <c r="PI4" i="24"/>
  <c r="PH4" i="24"/>
  <c r="OL4" i="24"/>
  <c r="OK4" i="24"/>
  <c r="OJ4" i="24"/>
  <c r="OI4" i="24"/>
  <c r="OH4" i="24"/>
  <c r="OG4" i="24"/>
  <c r="OE4" i="24"/>
  <c r="OD4" i="24"/>
  <c r="OC4" i="24"/>
  <c r="OB4" i="24"/>
  <c r="OA4" i="24"/>
  <c r="NZ4" i="24"/>
  <c r="ND4" i="24"/>
  <c r="NC4" i="24"/>
  <c r="NB4" i="24"/>
  <c r="NA4" i="24"/>
  <c r="MZ4" i="24"/>
  <c r="MY4" i="24"/>
  <c r="MW4" i="24"/>
  <c r="MV4" i="24"/>
  <c r="MU4" i="24"/>
  <c r="MT4" i="24"/>
  <c r="MS4" i="24"/>
  <c r="MR4" i="24"/>
  <c r="LV4" i="24"/>
  <c r="LU4" i="24"/>
  <c r="LT4" i="24"/>
  <c r="LS4" i="24"/>
  <c r="LR4" i="24"/>
  <c r="LQ4" i="24"/>
  <c r="LO4" i="24"/>
  <c r="LN4" i="24"/>
  <c r="LM4" i="24"/>
  <c r="LL4" i="24"/>
  <c r="LP4" i="24" s="1"/>
  <c r="LK4" i="24"/>
  <c r="LJ4" i="24"/>
  <c r="KN4" i="24"/>
  <c r="KM4" i="24"/>
  <c r="KL4" i="24"/>
  <c r="KK4" i="24"/>
  <c r="KJ4" i="24"/>
  <c r="KI4" i="24"/>
  <c r="KG4" i="24"/>
  <c r="KF4" i="24"/>
  <c r="KE4" i="24"/>
  <c r="KD4" i="24"/>
  <c r="KC4" i="24"/>
  <c r="KB4" i="24"/>
  <c r="JF4" i="24"/>
  <c r="JE4" i="24"/>
  <c r="JD4" i="24"/>
  <c r="JC4" i="24"/>
  <c r="JB4" i="24"/>
  <c r="JA4" i="24"/>
  <c r="IY4" i="24"/>
  <c r="IX4" i="24"/>
  <c r="IW4" i="24"/>
  <c r="IV4" i="24"/>
  <c r="IU4" i="24"/>
  <c r="IT4" i="24"/>
  <c r="HX4" i="24"/>
  <c r="HW4" i="24"/>
  <c r="HV4" i="24"/>
  <c r="HU4" i="24"/>
  <c r="HT4" i="24"/>
  <c r="HS4" i="24"/>
  <c r="HQ4" i="24"/>
  <c r="HP4" i="24"/>
  <c r="HO4" i="24"/>
  <c r="HN4" i="24"/>
  <c r="HM4" i="24"/>
  <c r="HL4" i="24"/>
  <c r="GP4" i="24"/>
  <c r="GO4" i="24"/>
  <c r="GN4" i="24"/>
  <c r="GM4" i="24"/>
  <c r="GL4" i="24"/>
  <c r="GK4" i="24"/>
  <c r="GI4" i="24"/>
  <c r="GH4" i="24"/>
  <c r="GG4" i="24"/>
  <c r="GF4" i="24"/>
  <c r="GE4" i="24"/>
  <c r="GD4" i="24"/>
  <c r="FH4" i="24"/>
  <c r="FG4" i="24"/>
  <c r="FF4" i="24"/>
  <c r="FE4" i="24"/>
  <c r="FD4" i="24"/>
  <c r="FC4" i="24"/>
  <c r="FA4" i="24"/>
  <c r="EZ4" i="24"/>
  <c r="EY4" i="24"/>
  <c r="EX4" i="24"/>
  <c r="EW4" i="24"/>
  <c r="EV4" i="24"/>
  <c r="DZ4" i="24"/>
  <c r="DY4" i="24"/>
  <c r="DX4" i="24"/>
  <c r="DW4" i="24"/>
  <c r="DV4" i="24"/>
  <c r="DU4" i="24"/>
  <c r="DS4" i="24"/>
  <c r="DR4" i="24"/>
  <c r="DQ4" i="24"/>
  <c r="DP4" i="24"/>
  <c r="DO4" i="24"/>
  <c r="DN4" i="24"/>
  <c r="CP4" i="24"/>
  <c r="CO4" i="24"/>
  <c r="CN4" i="24"/>
  <c r="CL4" i="24"/>
  <c r="CK4" i="24"/>
  <c r="CJ4" i="24"/>
  <c r="CI4" i="24"/>
  <c r="CM4" i="24" s="1"/>
  <c r="CH4" i="24"/>
  <c r="CG4" i="24"/>
  <c r="BO4" i="24"/>
  <c r="BN4" i="24"/>
  <c r="BM4" i="24"/>
  <c r="BK4" i="24"/>
  <c r="BJ4" i="24"/>
  <c r="BI4" i="24"/>
  <c r="BH4" i="24"/>
  <c r="BL4" i="24" s="1"/>
  <c r="BG4" i="24"/>
  <c r="BF4" i="24"/>
  <c r="AN4" i="24"/>
  <c r="AM4" i="24"/>
  <c r="AL4" i="24"/>
  <c r="AJ4" i="24"/>
  <c r="AI4" i="24"/>
  <c r="AH4" i="24"/>
  <c r="AG4" i="24"/>
  <c r="AK4" i="24" s="1"/>
  <c r="AF4" i="24"/>
  <c r="AE4" i="24"/>
  <c r="AE4" i="23"/>
  <c r="AF4" i="23"/>
  <c r="AG4" i="23"/>
  <c r="AH4" i="23"/>
  <c r="AI4" i="23"/>
  <c r="AJ4" i="23"/>
  <c r="AL4" i="23"/>
  <c r="AM4" i="23"/>
  <c r="AN4" i="23"/>
  <c r="BF4" i="23"/>
  <c r="BG4" i="23"/>
  <c r="BH4" i="23"/>
  <c r="BI4" i="23"/>
  <c r="BJ4" i="23"/>
  <c r="BK4" i="23"/>
  <c r="BM4" i="23"/>
  <c r="BN4" i="23"/>
  <c r="BO4" i="23"/>
  <c r="CG4" i="23"/>
  <c r="CH4" i="23"/>
  <c r="CI4" i="23"/>
  <c r="CM4" i="23" s="1"/>
  <c r="CJ4" i="23"/>
  <c r="CK4" i="23"/>
  <c r="CL4" i="23"/>
  <c r="CN4" i="23"/>
  <c r="CO4" i="23"/>
  <c r="CP4" i="23"/>
  <c r="DN4" i="23"/>
  <c r="DO4" i="23"/>
  <c r="DP4" i="23"/>
  <c r="DQ4" i="23"/>
  <c r="DR4" i="23"/>
  <c r="DS4" i="23"/>
  <c r="DU4" i="23"/>
  <c r="DV4" i="23"/>
  <c r="DW4" i="23"/>
  <c r="DX4" i="23"/>
  <c r="DY4" i="23"/>
  <c r="DZ4" i="23"/>
  <c r="EV4" i="23"/>
  <c r="EW4" i="23"/>
  <c r="EX4" i="23"/>
  <c r="EY4" i="23"/>
  <c r="EZ4" i="23"/>
  <c r="FA4" i="23"/>
  <c r="FC4" i="23"/>
  <c r="FD4" i="23"/>
  <c r="FE4" i="23"/>
  <c r="FF4" i="23"/>
  <c r="FG4" i="23"/>
  <c r="FH4" i="23"/>
  <c r="GD4" i="23"/>
  <c r="GE4" i="23"/>
  <c r="GF4" i="23"/>
  <c r="GG4" i="23"/>
  <c r="GH4" i="23"/>
  <c r="GI4" i="23"/>
  <c r="GK4" i="23"/>
  <c r="GL4" i="23"/>
  <c r="GM4" i="23"/>
  <c r="GN4" i="23"/>
  <c r="GO4" i="23"/>
  <c r="GP4" i="23"/>
  <c r="HL4" i="23"/>
  <c r="HM4" i="23"/>
  <c r="HN4" i="23"/>
  <c r="HO4" i="23"/>
  <c r="HP4" i="23"/>
  <c r="HQ4" i="23"/>
  <c r="HS4" i="23"/>
  <c r="HT4" i="23"/>
  <c r="HU4" i="23"/>
  <c r="HV4" i="23"/>
  <c r="HW4" i="23"/>
  <c r="HX4" i="23"/>
  <c r="IT4" i="23"/>
  <c r="IU4" i="23"/>
  <c r="IV4" i="23"/>
  <c r="IW4" i="23"/>
  <c r="IX4" i="23"/>
  <c r="IY4" i="23"/>
  <c r="JA4" i="23"/>
  <c r="JB4" i="23"/>
  <c r="JC4" i="23"/>
  <c r="JD4" i="23"/>
  <c r="JE4" i="23"/>
  <c r="JF4" i="23"/>
  <c r="KB4" i="23"/>
  <c r="KC4" i="23"/>
  <c r="KD4" i="23"/>
  <c r="KE4" i="23"/>
  <c r="KF4" i="23"/>
  <c r="KG4" i="23"/>
  <c r="KI4" i="23"/>
  <c r="KJ4" i="23"/>
  <c r="KK4" i="23"/>
  <c r="KL4" i="23"/>
  <c r="KM4" i="23"/>
  <c r="KN4" i="23"/>
  <c r="LJ4" i="23"/>
  <c r="LK4" i="23"/>
  <c r="LL4" i="23"/>
  <c r="LM4" i="23"/>
  <c r="LN4" i="23"/>
  <c r="LO4" i="23"/>
  <c r="LP4" i="23" s="1"/>
  <c r="LW4" i="23" s="1"/>
  <c r="LQ4" i="23"/>
  <c r="LR4" i="23"/>
  <c r="LS4" i="23"/>
  <c r="LT4" i="23"/>
  <c r="LU4" i="23"/>
  <c r="LV4" i="23"/>
  <c r="MR4" i="23"/>
  <c r="MS4" i="23"/>
  <c r="MT4" i="23"/>
  <c r="MU4" i="23"/>
  <c r="MV4" i="23"/>
  <c r="MW4" i="23"/>
  <c r="MY4" i="23"/>
  <c r="MZ4" i="23"/>
  <c r="NA4" i="23"/>
  <c r="NB4" i="23"/>
  <c r="NC4" i="23"/>
  <c r="ND4" i="23"/>
  <c r="NZ4" i="23"/>
  <c r="OA4" i="23"/>
  <c r="OB4" i="23"/>
  <c r="OC4" i="23"/>
  <c r="OD4" i="23"/>
  <c r="OE4" i="23"/>
  <c r="OG4" i="23"/>
  <c r="OH4" i="23"/>
  <c r="OI4" i="23"/>
  <c r="OJ4" i="23"/>
  <c r="OK4" i="23"/>
  <c r="OL4" i="23"/>
  <c r="PH4" i="23"/>
  <c r="PI4" i="23"/>
  <c r="PJ4" i="23"/>
  <c r="PK4" i="23"/>
  <c r="PL4" i="23"/>
  <c r="PM4" i="23"/>
  <c r="PO4" i="23"/>
  <c r="PP4" i="23"/>
  <c r="PQ4" i="23"/>
  <c r="PR4" i="23"/>
  <c r="PS4" i="23"/>
  <c r="PT4" i="23"/>
  <c r="QP4" i="23"/>
  <c r="QQ4" i="23"/>
  <c r="QR4" i="23"/>
  <c r="QS4" i="23"/>
  <c r="QT4" i="23"/>
  <c r="QU4" i="23"/>
  <c r="QV4" i="23" s="1"/>
  <c r="RC4" i="23" s="1"/>
  <c r="QW4" i="23"/>
  <c r="QX4" i="23"/>
  <c r="QY4" i="23"/>
  <c r="QZ4" i="23"/>
  <c r="RA4" i="23"/>
  <c r="RB4" i="23"/>
  <c r="RX4" i="23"/>
  <c r="RY4" i="23"/>
  <c r="RZ4" i="23"/>
  <c r="SA4" i="23"/>
  <c r="SB4" i="23"/>
  <c r="SC4" i="23"/>
  <c r="SE4" i="23"/>
  <c r="SF4" i="23"/>
  <c r="SG4" i="23"/>
  <c r="SH4" i="23"/>
  <c r="SI4" i="23"/>
  <c r="SJ4" i="23"/>
  <c r="SL4" i="23"/>
  <c r="SM4" i="23"/>
  <c r="SN4" i="23"/>
  <c r="TB4" i="23" s="1"/>
  <c r="SO4" i="23"/>
  <c r="TC4" i="23" s="1"/>
  <c r="SP4" i="23"/>
  <c r="SQ4" i="23"/>
  <c r="SR4" i="23"/>
  <c r="SS4" i="23"/>
  <c r="ST4" i="23"/>
  <c r="TF4" i="23" s="1"/>
  <c r="SU4" i="23"/>
  <c r="SV4" i="23"/>
  <c r="SW4" i="23"/>
  <c r="SX4" i="23"/>
  <c r="TI4" i="23" s="1"/>
  <c r="SY4" i="23"/>
  <c r="TJ4" i="23" s="1"/>
  <c r="SZ4" i="23"/>
  <c r="AE5" i="23"/>
  <c r="AF5" i="23"/>
  <c r="AG5" i="23"/>
  <c r="AH5" i="23"/>
  <c r="AI5" i="23"/>
  <c r="AJ5" i="23"/>
  <c r="AL5" i="23"/>
  <c r="AM5" i="23"/>
  <c r="AN5" i="23"/>
  <c r="BF5" i="23"/>
  <c r="BG5" i="23"/>
  <c r="BH5" i="23"/>
  <c r="BL5" i="23" s="1"/>
  <c r="BI5" i="23"/>
  <c r="BJ5" i="23"/>
  <c r="BK5" i="23"/>
  <c r="BM5" i="23"/>
  <c r="BN5" i="23"/>
  <c r="BO5" i="23"/>
  <c r="CG5" i="23"/>
  <c r="CH5" i="23"/>
  <c r="CI5" i="23"/>
  <c r="CM5" i="23" s="1"/>
  <c r="CJ5" i="23"/>
  <c r="CK5" i="23"/>
  <c r="CL5" i="23"/>
  <c r="CN5" i="23"/>
  <c r="CO5" i="23"/>
  <c r="CP5" i="23"/>
  <c r="DN5" i="23"/>
  <c r="DO5" i="23"/>
  <c r="DP5" i="23"/>
  <c r="DQ5" i="23"/>
  <c r="DR5" i="23"/>
  <c r="DS5" i="23"/>
  <c r="DU5" i="23"/>
  <c r="DV5" i="23"/>
  <c r="DW5" i="23"/>
  <c r="DX5" i="23"/>
  <c r="DY5" i="23"/>
  <c r="DZ5" i="23"/>
  <c r="EV5" i="23"/>
  <c r="EW5" i="23"/>
  <c r="EX5" i="23"/>
  <c r="EY5" i="23"/>
  <c r="EZ5" i="23"/>
  <c r="FA5" i="23"/>
  <c r="FC5" i="23"/>
  <c r="FD5" i="23"/>
  <c r="FE5" i="23"/>
  <c r="FF5" i="23"/>
  <c r="FG5" i="23"/>
  <c r="FH5" i="23"/>
  <c r="GD5" i="23"/>
  <c r="GE5" i="23"/>
  <c r="GF5" i="23"/>
  <c r="GG5" i="23"/>
  <c r="GH5" i="23"/>
  <c r="GI5" i="23"/>
  <c r="GK5" i="23"/>
  <c r="GL5" i="23"/>
  <c r="GM5" i="23"/>
  <c r="GN5" i="23"/>
  <c r="GO5" i="23"/>
  <c r="GP5" i="23"/>
  <c r="HL5" i="23"/>
  <c r="HM5" i="23"/>
  <c r="HN5" i="23"/>
  <c r="HO5" i="23"/>
  <c r="HP5" i="23"/>
  <c r="HQ5" i="23"/>
  <c r="HS5" i="23"/>
  <c r="HT5" i="23"/>
  <c r="HU5" i="23"/>
  <c r="HV5" i="23"/>
  <c r="HW5" i="23"/>
  <c r="HX5" i="23"/>
  <c r="IT5" i="23"/>
  <c r="IU5" i="23"/>
  <c r="IV5" i="23"/>
  <c r="IW5" i="23"/>
  <c r="IX5" i="23"/>
  <c r="IY5" i="23"/>
  <c r="JA5" i="23"/>
  <c r="JB5" i="23"/>
  <c r="JC5" i="23"/>
  <c r="JD5" i="23"/>
  <c r="JE5" i="23"/>
  <c r="JF5" i="23"/>
  <c r="KB5" i="23"/>
  <c r="KC5" i="23"/>
  <c r="KD5" i="23"/>
  <c r="KE5" i="23"/>
  <c r="KF5" i="23"/>
  <c r="KG5" i="23"/>
  <c r="KI5" i="23"/>
  <c r="KJ5" i="23"/>
  <c r="KK5" i="23"/>
  <c r="KL5" i="23"/>
  <c r="KM5" i="23"/>
  <c r="KN5" i="23"/>
  <c r="LJ5" i="23"/>
  <c r="LK5" i="23"/>
  <c r="LL5" i="23"/>
  <c r="LM5" i="23"/>
  <c r="LN5" i="23"/>
  <c r="LO5" i="23"/>
  <c r="LQ5" i="23"/>
  <c r="LR5" i="23"/>
  <c r="LS5" i="23"/>
  <c r="LT5" i="23"/>
  <c r="LU5" i="23"/>
  <c r="LV5" i="23"/>
  <c r="MR5" i="23"/>
  <c r="MS5" i="23"/>
  <c r="MT5" i="23"/>
  <c r="MU5" i="23"/>
  <c r="MV5" i="23"/>
  <c r="MW5" i="23"/>
  <c r="MY5" i="23"/>
  <c r="MZ5" i="23"/>
  <c r="NA5" i="23"/>
  <c r="NB5" i="23"/>
  <c r="NC5" i="23"/>
  <c r="ND5" i="23"/>
  <c r="NZ5" i="23"/>
  <c r="OA5" i="23"/>
  <c r="OB5" i="23"/>
  <c r="OC5" i="23"/>
  <c r="OD5" i="23"/>
  <c r="OE5" i="23"/>
  <c r="OG5" i="23"/>
  <c r="OH5" i="23"/>
  <c r="OI5" i="23"/>
  <c r="OJ5" i="23"/>
  <c r="OK5" i="23"/>
  <c r="OL5" i="23"/>
  <c r="PH5" i="23"/>
  <c r="PI5" i="23"/>
  <c r="PJ5" i="23"/>
  <c r="PK5" i="23"/>
  <c r="PL5" i="23"/>
  <c r="PM5" i="23"/>
  <c r="PO5" i="23"/>
  <c r="PP5" i="23"/>
  <c r="PQ5" i="23"/>
  <c r="PR5" i="23"/>
  <c r="PS5" i="23"/>
  <c r="PT5" i="23"/>
  <c r="QP5" i="23"/>
  <c r="QQ5" i="23"/>
  <c r="QR5" i="23"/>
  <c r="QS5" i="23"/>
  <c r="QT5" i="23"/>
  <c r="QU5" i="23"/>
  <c r="QW5" i="23"/>
  <c r="QX5" i="23"/>
  <c r="QY5" i="23"/>
  <c r="QZ5" i="23"/>
  <c r="RA5" i="23"/>
  <c r="RB5" i="23"/>
  <c r="RX5" i="23"/>
  <c r="RY5" i="23"/>
  <c r="RZ5" i="23"/>
  <c r="SA5" i="23"/>
  <c r="SB5" i="23"/>
  <c r="SC5" i="23"/>
  <c r="SE5" i="23"/>
  <c r="SF5" i="23"/>
  <c r="SG5" i="23"/>
  <c r="SH5" i="23"/>
  <c r="SI5" i="23"/>
  <c r="SJ5" i="23"/>
  <c r="SL5" i="23"/>
  <c r="SM5" i="23"/>
  <c r="SN5" i="23"/>
  <c r="TB5" i="23" s="1"/>
  <c r="SO5" i="23"/>
  <c r="TC5" i="23" s="1"/>
  <c r="SP5" i="23"/>
  <c r="SQ5" i="23"/>
  <c r="SR5" i="23"/>
  <c r="SS5" i="23"/>
  <c r="TE5" i="23" s="1"/>
  <c r="ST5" i="23"/>
  <c r="TF5" i="23" s="1"/>
  <c r="SU5" i="23"/>
  <c r="SV5" i="23"/>
  <c r="SW5" i="23"/>
  <c r="SX5" i="23"/>
  <c r="TI5" i="23" s="1"/>
  <c r="SY5" i="23"/>
  <c r="TJ5" i="23" s="1"/>
  <c r="SZ5" i="23"/>
  <c r="TJ14" i="22"/>
  <c r="TI14" i="22"/>
  <c r="TT14" i="22" s="1"/>
  <c r="TH14" i="22"/>
  <c r="TS14" i="22" s="1"/>
  <c r="TG14" i="22"/>
  <c r="TF14" i="22"/>
  <c r="TU14" i="22" s="1"/>
  <c r="TE14" i="22"/>
  <c r="TD14" i="22"/>
  <c r="TP14" i="22" s="1"/>
  <c r="TC14" i="22"/>
  <c r="TO14" i="22" s="1"/>
  <c r="TB14" i="22"/>
  <c r="TA14" i="22"/>
  <c r="SZ14" i="22"/>
  <c r="SY14" i="22"/>
  <c r="TM14" i="22" s="1"/>
  <c r="SX14" i="22"/>
  <c r="TL14" i="22" s="1"/>
  <c r="SW14" i="22"/>
  <c r="SV1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MF14" i="22"/>
  <c r="ME14" i="22"/>
  <c r="MD14" i="22"/>
  <c r="MC14" i="22"/>
  <c r="MB14" i="22"/>
  <c r="MA14" i="22"/>
  <c r="LY14" i="22"/>
  <c r="LX14" i="22"/>
  <c r="LW14" i="22"/>
  <c r="LV14" i="22"/>
  <c r="LZ14" i="22" s="1"/>
  <c r="LU14" i="22"/>
  <c r="LT14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CZ14" i="22"/>
  <c r="CY14" i="22"/>
  <c r="CX14" i="22"/>
  <c r="CV14" i="22"/>
  <c r="CU14" i="22"/>
  <c r="CT14" i="22"/>
  <c r="CS14" i="22"/>
  <c r="CW14" i="22" s="1"/>
  <c r="CR14" i="22"/>
  <c r="CQ14" i="22"/>
  <c r="BY14" i="22"/>
  <c r="BX14" i="22"/>
  <c r="BW14" i="22"/>
  <c r="BU14" i="22"/>
  <c r="BT14" i="22"/>
  <c r="BS14" i="22"/>
  <c r="BR14" i="22"/>
  <c r="BQ14" i="22"/>
  <c r="BP14" i="22"/>
  <c r="AX14" i="22"/>
  <c r="AW14" i="22"/>
  <c r="AV14" i="22"/>
  <c r="AT14" i="22"/>
  <c r="AS14" i="22"/>
  <c r="AR14" i="22"/>
  <c r="AQ14" i="22"/>
  <c r="AP14" i="22"/>
  <c r="AO14" i="22"/>
  <c r="TJ13" i="22"/>
  <c r="TI13" i="22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RL13" i="22"/>
  <c r="RK13" i="22"/>
  <c r="RJ13" i="22"/>
  <c r="RI13" i="22"/>
  <c r="RH13" i="22"/>
  <c r="RG13" i="22"/>
  <c r="RE13" i="22"/>
  <c r="RD13" i="22"/>
  <c r="RC13" i="22"/>
  <c r="RB13" i="22"/>
  <c r="RF13" i="22" s="1"/>
  <c r="RA13" i="22"/>
  <c r="QZ13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JP13" i="22"/>
  <c r="JO13" i="22"/>
  <c r="JN13" i="22"/>
  <c r="JM13" i="22"/>
  <c r="JL13" i="22"/>
  <c r="JK13" i="22"/>
  <c r="JI13" i="22"/>
  <c r="JH13" i="22"/>
  <c r="JG13" i="22"/>
  <c r="JF13" i="22"/>
  <c r="JJ13" i="22" s="1"/>
  <c r="JE13" i="22"/>
  <c r="JD13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CZ13" i="22"/>
  <c r="CY13" i="22"/>
  <c r="CX13" i="22"/>
  <c r="CV13" i="22"/>
  <c r="CU13" i="22"/>
  <c r="CT13" i="22"/>
  <c r="CS13" i="22"/>
  <c r="CR13" i="22"/>
  <c r="CQ13" i="22"/>
  <c r="BY13" i="22"/>
  <c r="BX13" i="22"/>
  <c r="BW13" i="22"/>
  <c r="BU13" i="22"/>
  <c r="BT13" i="22"/>
  <c r="BS13" i="22"/>
  <c r="BR13" i="22"/>
  <c r="BQ13" i="22"/>
  <c r="BP13" i="22"/>
  <c r="AX13" i="22"/>
  <c r="AW13" i="22"/>
  <c r="AV13" i="22"/>
  <c r="AT13" i="22"/>
  <c r="AS13" i="22"/>
  <c r="AR13" i="22"/>
  <c r="AQ13" i="22"/>
  <c r="AP13" i="22"/>
  <c r="AO13" i="22"/>
  <c r="TJ12" i="22"/>
  <c r="TI12" i="22"/>
  <c r="TT12" i="22" s="1"/>
  <c r="TH12" i="22"/>
  <c r="TS12" i="22" s="1"/>
  <c r="TG12" i="22"/>
  <c r="TF12" i="22"/>
  <c r="TE12" i="22"/>
  <c r="TD12" i="22"/>
  <c r="TP12" i="22" s="1"/>
  <c r="TC12" i="22"/>
  <c r="TO12" i="22" s="1"/>
  <c r="TB12" i="22"/>
  <c r="TA12" i="22"/>
  <c r="SZ12" i="22"/>
  <c r="SY12" i="22"/>
  <c r="TM12" i="22" s="1"/>
  <c r="SX12" i="22"/>
  <c r="TL12" i="22" s="1"/>
  <c r="SW12" i="22"/>
  <c r="SV12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NN12" i="22"/>
  <c r="NM12" i="22"/>
  <c r="NL12" i="22"/>
  <c r="NK12" i="22"/>
  <c r="NJ12" i="22"/>
  <c r="NI12" i="22"/>
  <c r="NG12" i="22"/>
  <c r="NF12" i="22"/>
  <c r="NE12" i="22"/>
  <c r="ND12" i="22"/>
  <c r="NH12" i="22" s="1"/>
  <c r="NO12" i="22" s="1"/>
  <c r="NC12" i="22"/>
  <c r="NB12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KX12" i="22"/>
  <c r="KW12" i="22"/>
  <c r="KV12" i="22"/>
  <c r="KU12" i="22"/>
  <c r="KT12" i="22"/>
  <c r="KS12" i="22"/>
  <c r="KQ12" i="22"/>
  <c r="KP12" i="22"/>
  <c r="KO12" i="22"/>
  <c r="KN12" i="22"/>
  <c r="KR12" i="22" s="1"/>
  <c r="KM12" i="22"/>
  <c r="KL12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IH12" i="22"/>
  <c r="IG12" i="22"/>
  <c r="IF12" i="22"/>
  <c r="IE12" i="22"/>
  <c r="ID12" i="22"/>
  <c r="IC12" i="22"/>
  <c r="IA12" i="22"/>
  <c r="HZ12" i="22"/>
  <c r="HY12" i="22"/>
  <c r="HX12" i="22"/>
  <c r="IB12" i="22" s="1"/>
  <c r="HW12" i="22"/>
  <c r="HV12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FR12" i="22"/>
  <c r="FQ12" i="22"/>
  <c r="FP12" i="22"/>
  <c r="FO12" i="22"/>
  <c r="FN12" i="22"/>
  <c r="FM12" i="22"/>
  <c r="FK12" i="22"/>
  <c r="FJ12" i="22"/>
  <c r="FI12" i="22"/>
  <c r="FH12" i="22"/>
  <c r="FL12" i="22" s="1"/>
  <c r="FG12" i="22"/>
  <c r="FF12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CZ12" i="22"/>
  <c r="CY12" i="22"/>
  <c r="CX12" i="22"/>
  <c r="CV12" i="22"/>
  <c r="CU12" i="22"/>
  <c r="CT12" i="22"/>
  <c r="CS12" i="22"/>
  <c r="CR12" i="22"/>
  <c r="CQ12" i="22"/>
  <c r="BY12" i="22"/>
  <c r="BX12" i="22"/>
  <c r="BW12" i="22"/>
  <c r="BU12" i="22"/>
  <c r="BT12" i="22"/>
  <c r="BS12" i="22"/>
  <c r="BR12" i="22"/>
  <c r="BQ12" i="22"/>
  <c r="BP12" i="22"/>
  <c r="AX12" i="22"/>
  <c r="AW12" i="22"/>
  <c r="AV12" i="22"/>
  <c r="AT12" i="22"/>
  <c r="AS12" i="22"/>
  <c r="AR12" i="22"/>
  <c r="AQ12" i="22"/>
  <c r="AP12" i="22"/>
  <c r="AO12" i="22"/>
  <c r="TJ11" i="22"/>
  <c r="TI11" i="22"/>
  <c r="TT11" i="22" s="1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CZ11" i="22"/>
  <c r="CY11" i="22"/>
  <c r="CX11" i="22"/>
  <c r="CV11" i="22"/>
  <c r="CU11" i="22"/>
  <c r="CT11" i="22"/>
  <c r="CS11" i="22"/>
  <c r="CW11" i="22" s="1"/>
  <c r="CR11" i="22"/>
  <c r="CQ11" i="22"/>
  <c r="BY11" i="22"/>
  <c r="BX11" i="22"/>
  <c r="BW11" i="22"/>
  <c r="BU11" i="22"/>
  <c r="BT11" i="22"/>
  <c r="BS11" i="22"/>
  <c r="BR11" i="22"/>
  <c r="BQ11" i="22"/>
  <c r="BP11" i="22"/>
  <c r="AX11" i="22"/>
  <c r="AW11" i="22"/>
  <c r="AV11" i="22"/>
  <c r="AT11" i="22"/>
  <c r="AS11" i="22"/>
  <c r="AR11" i="22"/>
  <c r="AQ11" i="22"/>
  <c r="AP11" i="22"/>
  <c r="AO11" i="22"/>
  <c r="TJ10" i="22"/>
  <c r="TI10" i="22"/>
  <c r="TT10" i="22" s="1"/>
  <c r="TH10" i="22"/>
  <c r="TS10" i="22" s="1"/>
  <c r="TG10" i="22"/>
  <c r="TF10" i="22"/>
  <c r="TE10" i="22"/>
  <c r="TD10" i="22"/>
  <c r="TP10" i="22" s="1"/>
  <c r="TC10" i="22"/>
  <c r="TO10" i="22" s="1"/>
  <c r="TB10" i="22"/>
  <c r="TA10" i="22"/>
  <c r="SZ10" i="22"/>
  <c r="SY10" i="22"/>
  <c r="TM10" i="22" s="1"/>
  <c r="SX10" i="22"/>
  <c r="TL10" i="22" s="1"/>
  <c r="SW10" i="22"/>
  <c r="SV10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RL10" i="22"/>
  <c r="RK10" i="22"/>
  <c r="RJ10" i="22"/>
  <c r="RI10" i="22"/>
  <c r="RH10" i="22"/>
  <c r="RG10" i="22"/>
  <c r="RE10" i="22"/>
  <c r="RD10" i="22"/>
  <c r="RC10" i="22"/>
  <c r="RB10" i="22"/>
  <c r="RF10" i="22" s="1"/>
  <c r="RA10" i="22"/>
  <c r="QZ10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OV10" i="22"/>
  <c r="OU10" i="22"/>
  <c r="OT10" i="22"/>
  <c r="OS10" i="22"/>
  <c r="OR10" i="22"/>
  <c r="OQ10" i="22"/>
  <c r="OO10" i="22"/>
  <c r="ON10" i="22"/>
  <c r="OM10" i="22"/>
  <c r="OL10" i="22"/>
  <c r="OP10" i="22" s="1"/>
  <c r="OK10" i="22"/>
  <c r="OJ10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CZ10" i="22"/>
  <c r="CY10" i="22"/>
  <c r="CX10" i="22"/>
  <c r="CV10" i="22"/>
  <c r="CU10" i="22"/>
  <c r="CT10" i="22"/>
  <c r="CS10" i="22"/>
  <c r="CR10" i="22"/>
  <c r="CQ10" i="22"/>
  <c r="BY10" i="22"/>
  <c r="BX10" i="22"/>
  <c r="BW10" i="22"/>
  <c r="BU10" i="22"/>
  <c r="BT10" i="22"/>
  <c r="BS10" i="22"/>
  <c r="BR10" i="22"/>
  <c r="BQ10" i="22"/>
  <c r="BP10" i="22"/>
  <c r="AX10" i="22"/>
  <c r="AW10" i="22"/>
  <c r="AV10" i="22"/>
  <c r="AT10" i="22"/>
  <c r="AS10" i="22"/>
  <c r="AR10" i="22"/>
  <c r="AQ10" i="22"/>
  <c r="AP10" i="22"/>
  <c r="AO10" i="22"/>
  <c r="TJ9" i="22"/>
  <c r="TI9" i="22"/>
  <c r="TT9" i="22" s="1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IH9" i="22"/>
  <c r="IG9" i="22"/>
  <c r="IF9" i="22"/>
  <c r="IE9" i="22"/>
  <c r="ID9" i="22"/>
  <c r="IC9" i="22"/>
  <c r="IB9" i="22"/>
  <c r="II9" i="22" s="1"/>
  <c r="IA9" i="22"/>
  <c r="HZ9" i="22"/>
  <c r="HY9" i="22"/>
  <c r="HX9" i="22"/>
  <c r="HW9" i="22"/>
  <c r="HV9" i="22"/>
  <c r="GZ9" i="22"/>
  <c r="GY9" i="22"/>
  <c r="GX9" i="22"/>
  <c r="GW9" i="22"/>
  <c r="GV9" i="22"/>
  <c r="GU9" i="22"/>
  <c r="GS9" i="22"/>
  <c r="GR9" i="22"/>
  <c r="GQ9" i="22"/>
  <c r="GP9" i="22"/>
  <c r="GT9" i="22" s="1"/>
  <c r="GO9" i="22"/>
  <c r="GN9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CZ9" i="22"/>
  <c r="CY9" i="22"/>
  <c r="CX9" i="22"/>
  <c r="CV9" i="22"/>
  <c r="CU9" i="22"/>
  <c r="CT9" i="22"/>
  <c r="CS9" i="22"/>
  <c r="CR9" i="22"/>
  <c r="CQ9" i="22"/>
  <c r="BY9" i="22"/>
  <c r="BX9" i="22"/>
  <c r="BW9" i="22"/>
  <c r="BU9" i="22"/>
  <c r="BT9" i="22"/>
  <c r="BS9" i="22"/>
  <c r="BR9" i="22"/>
  <c r="BQ9" i="22"/>
  <c r="BP9" i="22"/>
  <c r="AX9" i="22"/>
  <c r="AW9" i="22"/>
  <c r="AV9" i="22"/>
  <c r="AT9" i="22"/>
  <c r="AS9" i="22"/>
  <c r="AR9" i="22"/>
  <c r="AQ9" i="22"/>
  <c r="AP9" i="22"/>
  <c r="AO9" i="22"/>
  <c r="TJ8" i="22"/>
  <c r="TI8" i="22"/>
  <c r="TT8" i="22" s="1"/>
  <c r="TH8" i="22"/>
  <c r="TS8" i="22" s="1"/>
  <c r="TG8" i="22"/>
  <c r="TF8" i="22"/>
  <c r="TE8" i="22"/>
  <c r="TD8" i="22"/>
  <c r="TP8" i="22" s="1"/>
  <c r="TC8" i="22"/>
  <c r="TO8" i="22" s="1"/>
  <c r="TB8" i="22"/>
  <c r="TA8" i="22"/>
  <c r="SZ8" i="22"/>
  <c r="SY8" i="22"/>
  <c r="TM8" i="22" s="1"/>
  <c r="SX8" i="22"/>
  <c r="TL8" i="22" s="1"/>
  <c r="SW8" i="22"/>
  <c r="SV8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IH8" i="22"/>
  <c r="IG8" i="22"/>
  <c r="IF8" i="22"/>
  <c r="IE8" i="22"/>
  <c r="ID8" i="22"/>
  <c r="IC8" i="22"/>
  <c r="IA8" i="22"/>
  <c r="HZ8" i="22"/>
  <c r="HY8" i="22"/>
  <c r="HX8" i="22"/>
  <c r="IB8" i="22" s="1"/>
  <c r="HW8" i="22"/>
  <c r="HV8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FR8" i="22"/>
  <c r="FQ8" i="22"/>
  <c r="FP8" i="22"/>
  <c r="FO8" i="22"/>
  <c r="FN8" i="22"/>
  <c r="FM8" i="22"/>
  <c r="FK8" i="22"/>
  <c r="FJ8" i="22"/>
  <c r="FI8" i="22"/>
  <c r="FH8" i="22"/>
  <c r="FL8" i="22" s="1"/>
  <c r="FG8" i="22"/>
  <c r="FF8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CZ8" i="22"/>
  <c r="CY8" i="22"/>
  <c r="CX8" i="22"/>
  <c r="CW8" i="22"/>
  <c r="DA8" i="22" s="1"/>
  <c r="CV8" i="22"/>
  <c r="CU8" i="22"/>
  <c r="CT8" i="22"/>
  <c r="CS8" i="22"/>
  <c r="CR8" i="22"/>
  <c r="CQ8" i="22"/>
  <c r="BY8" i="22"/>
  <c r="BX8" i="22"/>
  <c r="BW8" i="22"/>
  <c r="BU8" i="22"/>
  <c r="BT8" i="22"/>
  <c r="BS8" i="22"/>
  <c r="BR8" i="22"/>
  <c r="BQ8" i="22"/>
  <c r="BP8" i="22"/>
  <c r="AX8" i="22"/>
  <c r="AW8" i="22"/>
  <c r="AV8" i="22"/>
  <c r="AT8" i="22"/>
  <c r="AS8" i="22"/>
  <c r="AR8" i="22"/>
  <c r="AQ8" i="22"/>
  <c r="AP8" i="22"/>
  <c r="AO8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RL7" i="22"/>
  <c r="RK7" i="22"/>
  <c r="RJ7" i="22"/>
  <c r="RI7" i="22"/>
  <c r="RH7" i="22"/>
  <c r="RG7" i="22"/>
  <c r="RE7" i="22"/>
  <c r="RD7" i="22"/>
  <c r="RC7" i="22"/>
  <c r="RB7" i="22"/>
  <c r="RF7" i="22" s="1"/>
  <c r="RA7" i="22"/>
  <c r="QZ7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OV7" i="22"/>
  <c r="OU7" i="22"/>
  <c r="OT7" i="22"/>
  <c r="OS7" i="22"/>
  <c r="OR7" i="22"/>
  <c r="OQ7" i="22"/>
  <c r="OO7" i="22"/>
  <c r="ON7" i="22"/>
  <c r="OM7" i="22"/>
  <c r="OL7" i="22"/>
  <c r="OP7" i="22" s="1"/>
  <c r="OW7" i="22" s="1"/>
  <c r="OK7" i="22"/>
  <c r="OJ7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MF7" i="22"/>
  <c r="ME7" i="22"/>
  <c r="MD7" i="22"/>
  <c r="MC7" i="22"/>
  <c r="MB7" i="22"/>
  <c r="MA7" i="22"/>
  <c r="LY7" i="22"/>
  <c r="LX7" i="22"/>
  <c r="LW7" i="22"/>
  <c r="LV7" i="22"/>
  <c r="LZ7" i="22" s="1"/>
  <c r="MG7" i="22" s="1"/>
  <c r="LU7" i="22"/>
  <c r="LT7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EJ7" i="22"/>
  <c r="EI7" i="22"/>
  <c r="EH7" i="22"/>
  <c r="EG7" i="22"/>
  <c r="EF7" i="22"/>
  <c r="EE7" i="22"/>
  <c r="EC7" i="22"/>
  <c r="EB7" i="22"/>
  <c r="EA7" i="22"/>
  <c r="DZ7" i="22"/>
  <c r="ED7" i="22" s="1"/>
  <c r="DY7" i="22"/>
  <c r="DX7" i="22"/>
  <c r="CZ7" i="22"/>
  <c r="CY7" i="22"/>
  <c r="CX7" i="22"/>
  <c r="CV7" i="22"/>
  <c r="CU7" i="22"/>
  <c r="CT7" i="22"/>
  <c r="CS7" i="22"/>
  <c r="CW7" i="22" s="1"/>
  <c r="CR7" i="22"/>
  <c r="CQ7" i="22"/>
  <c r="BY7" i="22"/>
  <c r="BX7" i="22"/>
  <c r="BW7" i="22"/>
  <c r="BU7" i="22"/>
  <c r="BT7" i="22"/>
  <c r="BS7" i="22"/>
  <c r="BR7" i="22"/>
  <c r="BQ7" i="22"/>
  <c r="BP7" i="22"/>
  <c r="AX7" i="22"/>
  <c r="AW7" i="22"/>
  <c r="AV7" i="22"/>
  <c r="AT7" i="22"/>
  <c r="AS7" i="22"/>
  <c r="AR7" i="22"/>
  <c r="AQ7" i="22"/>
  <c r="AP7" i="22"/>
  <c r="AO7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OV6" i="22"/>
  <c r="OU6" i="22"/>
  <c r="OT6" i="22"/>
  <c r="OS6" i="22"/>
  <c r="OR6" i="22"/>
  <c r="OQ6" i="22"/>
  <c r="OO6" i="22"/>
  <c r="ON6" i="22"/>
  <c r="OM6" i="22"/>
  <c r="OL6" i="22"/>
  <c r="OP6" i="22" s="1"/>
  <c r="OK6" i="22"/>
  <c r="OJ6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MF6" i="22"/>
  <c r="ME6" i="22"/>
  <c r="MD6" i="22"/>
  <c r="MC6" i="22"/>
  <c r="MB6" i="22"/>
  <c r="MA6" i="22"/>
  <c r="LY6" i="22"/>
  <c r="LX6" i="22"/>
  <c r="LW6" i="22"/>
  <c r="LV6" i="22"/>
  <c r="LZ6" i="22" s="1"/>
  <c r="LU6" i="22"/>
  <c r="LT6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JP6" i="22"/>
  <c r="JO6" i="22"/>
  <c r="JN6" i="22"/>
  <c r="JM6" i="22"/>
  <c r="JL6" i="22"/>
  <c r="JK6" i="22"/>
  <c r="JI6" i="22"/>
  <c r="JH6" i="22"/>
  <c r="JG6" i="22"/>
  <c r="JF6" i="22"/>
  <c r="JJ6" i="22" s="1"/>
  <c r="JE6" i="22"/>
  <c r="JD6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GZ6" i="22"/>
  <c r="GY6" i="22"/>
  <c r="GX6" i="22"/>
  <c r="GW6" i="22"/>
  <c r="GV6" i="22"/>
  <c r="GU6" i="22"/>
  <c r="GS6" i="22"/>
  <c r="GR6" i="22"/>
  <c r="GQ6" i="22"/>
  <c r="GP6" i="22"/>
  <c r="GT6" i="22" s="1"/>
  <c r="GO6" i="22"/>
  <c r="GN6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CZ6" i="22"/>
  <c r="CY6" i="22"/>
  <c r="CX6" i="22"/>
  <c r="CV6" i="22"/>
  <c r="CU6" i="22"/>
  <c r="CT6" i="22"/>
  <c r="CS6" i="22"/>
  <c r="CR6" i="22"/>
  <c r="CQ6" i="22"/>
  <c r="BY6" i="22"/>
  <c r="BX6" i="22"/>
  <c r="BW6" i="22"/>
  <c r="BU6" i="22"/>
  <c r="BT6" i="22"/>
  <c r="BS6" i="22"/>
  <c r="BR6" i="22"/>
  <c r="BQ6" i="22"/>
  <c r="BP6" i="22"/>
  <c r="AX6" i="22"/>
  <c r="P6" i="22" s="1"/>
  <c r="AW6" i="22"/>
  <c r="AV6" i="22"/>
  <c r="AT6" i="22"/>
  <c r="AS6" i="22"/>
  <c r="AR6" i="22"/>
  <c r="AQ6" i="22"/>
  <c r="AP6" i="22"/>
  <c r="AO6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QD5" i="22"/>
  <c r="QC5" i="22"/>
  <c r="QB5" i="22"/>
  <c r="QA5" i="22"/>
  <c r="PZ5" i="22"/>
  <c r="PY5" i="22"/>
  <c r="PW5" i="22"/>
  <c r="PV5" i="22"/>
  <c r="PU5" i="22"/>
  <c r="PT5" i="22"/>
  <c r="PX5" i="22" s="1"/>
  <c r="PS5" i="22"/>
  <c r="PR5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IH5" i="22"/>
  <c r="IG5" i="22"/>
  <c r="IF5" i="22"/>
  <c r="IE5" i="22"/>
  <c r="ID5" i="22"/>
  <c r="IC5" i="22"/>
  <c r="IA5" i="22"/>
  <c r="HZ5" i="22"/>
  <c r="HY5" i="22"/>
  <c r="HX5" i="22"/>
  <c r="IB5" i="22" s="1"/>
  <c r="II5" i="22" s="1"/>
  <c r="HW5" i="22"/>
  <c r="HV5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FR5" i="22"/>
  <c r="FQ5" i="22"/>
  <c r="FP5" i="22"/>
  <c r="FO5" i="22"/>
  <c r="FN5" i="22"/>
  <c r="FM5" i="22"/>
  <c r="FK5" i="22"/>
  <c r="FJ5" i="22"/>
  <c r="FI5" i="22"/>
  <c r="FH5" i="22"/>
  <c r="FL5" i="22" s="1"/>
  <c r="FS5" i="22" s="1"/>
  <c r="FG5" i="22"/>
  <c r="FF5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CZ5" i="22"/>
  <c r="CY5" i="22"/>
  <c r="CX5" i="22"/>
  <c r="CV5" i="22"/>
  <c r="CU5" i="22"/>
  <c r="CT5" i="22"/>
  <c r="CS5" i="22"/>
  <c r="CR5" i="22"/>
  <c r="CQ5" i="22"/>
  <c r="BY5" i="22"/>
  <c r="BX5" i="22"/>
  <c r="BW5" i="22"/>
  <c r="BU5" i="22"/>
  <c r="BT5" i="22"/>
  <c r="BS5" i="22"/>
  <c r="BR5" i="22"/>
  <c r="BQ5" i="22"/>
  <c r="BP5" i="22"/>
  <c r="AX5" i="22"/>
  <c r="AW5" i="22"/>
  <c r="AV5" i="22"/>
  <c r="AT5" i="22"/>
  <c r="AS5" i="22"/>
  <c r="AR5" i="22"/>
  <c r="AQ5" i="22"/>
  <c r="AP5" i="22"/>
  <c r="AO5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4" i="22"/>
  <c r="NM4" i="22"/>
  <c r="NL4" i="22"/>
  <c r="NK4" i="22"/>
  <c r="NJ4" i="22"/>
  <c r="NI4" i="22"/>
  <c r="NG4" i="22"/>
  <c r="NF4" i="22"/>
  <c r="NE4" i="22"/>
  <c r="ND4" i="22"/>
  <c r="NH4" i="22" s="1"/>
  <c r="NO4" i="22" s="1"/>
  <c r="NC4" i="22"/>
  <c r="NB4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4" i="22"/>
  <c r="IG4" i="22"/>
  <c r="IF4" i="22"/>
  <c r="IE4" i="22"/>
  <c r="ID4" i="22"/>
  <c r="IC4" i="22"/>
  <c r="IA4" i="22"/>
  <c r="HZ4" i="22"/>
  <c r="HY4" i="22"/>
  <c r="HX4" i="22"/>
  <c r="IB4" i="22" s="1"/>
  <c r="HW4" i="22"/>
  <c r="HV4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CZ4" i="22"/>
  <c r="CY4" i="22"/>
  <c r="CX4" i="22"/>
  <c r="CV4" i="22"/>
  <c r="CU4" i="22"/>
  <c r="CT4" i="22"/>
  <c r="CS4" i="22"/>
  <c r="CR4" i="22"/>
  <c r="CQ4" i="22"/>
  <c r="BY4" i="22"/>
  <c r="BX4" i="22"/>
  <c r="BW4" i="22"/>
  <c r="BU4" i="22"/>
  <c r="BT4" i="22"/>
  <c r="BS4" i="22"/>
  <c r="BR4" i="22"/>
  <c r="BV4" i="22" s="1"/>
  <c r="BQ4" i="22"/>
  <c r="BP4" i="22"/>
  <c r="AX4" i="22"/>
  <c r="AW4" i="22"/>
  <c r="AV4" i="22"/>
  <c r="AT4" i="22"/>
  <c r="AS4" i="22"/>
  <c r="AR4" i="22"/>
  <c r="AQ4" i="22"/>
  <c r="AP4" i="22"/>
  <c r="AO4" i="22"/>
  <c r="ED8" i="19"/>
  <c r="AR8" i="19"/>
  <c r="AS8" i="19"/>
  <c r="AT8" i="19"/>
  <c r="AU8" i="19"/>
  <c r="AW8" i="19"/>
  <c r="AX8" i="19"/>
  <c r="BU8" i="19"/>
  <c r="BV8" i="19"/>
  <c r="BW8" i="19"/>
  <c r="BX8" i="19"/>
  <c r="BZ8" i="19"/>
  <c r="CA8" i="19"/>
  <c r="CX8" i="19"/>
  <c r="CY8" i="19"/>
  <c r="CZ8" i="19"/>
  <c r="DA8" i="19"/>
  <c r="DC8" i="19"/>
  <c r="DD8" i="19"/>
  <c r="EC8" i="19"/>
  <c r="EE8" i="19"/>
  <c r="EF8" i="19"/>
  <c r="EH8" i="19"/>
  <c r="EI8" i="19"/>
  <c r="FE8" i="19"/>
  <c r="FF8" i="19"/>
  <c r="FG8" i="19"/>
  <c r="FH8" i="19"/>
  <c r="FJ8" i="19"/>
  <c r="FK8" i="19"/>
  <c r="GG8" i="19"/>
  <c r="GH8" i="19"/>
  <c r="GI8" i="19"/>
  <c r="GJ8" i="19"/>
  <c r="GL8" i="19"/>
  <c r="GM8" i="19"/>
  <c r="HI8" i="19"/>
  <c r="HJ8" i="19"/>
  <c r="HK8" i="19"/>
  <c r="HL8" i="19"/>
  <c r="HN8" i="19"/>
  <c r="HO8" i="19"/>
  <c r="IK8" i="19"/>
  <c r="IL8" i="19"/>
  <c r="IM8" i="19"/>
  <c r="IN8" i="19"/>
  <c r="IP8" i="19"/>
  <c r="IQ8" i="19"/>
  <c r="JM8" i="19"/>
  <c r="JN8" i="19"/>
  <c r="JO8" i="19"/>
  <c r="JP8" i="19"/>
  <c r="JR8" i="19"/>
  <c r="JS8" i="19"/>
  <c r="KO8" i="19"/>
  <c r="KP8" i="19"/>
  <c r="KQ8" i="19"/>
  <c r="KR8" i="19"/>
  <c r="KT8" i="19"/>
  <c r="KU8" i="19"/>
  <c r="LQ8" i="19"/>
  <c r="LR8" i="19"/>
  <c r="LS8" i="19"/>
  <c r="LT8" i="19"/>
  <c r="LV8" i="19"/>
  <c r="LW8" i="19"/>
  <c r="MS8" i="19"/>
  <c r="MT8" i="19"/>
  <c r="MU8" i="19"/>
  <c r="MV8" i="19"/>
  <c r="MX8" i="19"/>
  <c r="MY8" i="19"/>
  <c r="NU8" i="19"/>
  <c r="NV8" i="19"/>
  <c r="NW8" i="19"/>
  <c r="NX8" i="19"/>
  <c r="NZ8" i="19"/>
  <c r="OA8" i="19"/>
  <c r="OW8" i="19"/>
  <c r="OX8" i="19"/>
  <c r="OY8" i="19"/>
  <c r="OZ8" i="19"/>
  <c r="PB8" i="19"/>
  <c r="PC8" i="19"/>
  <c r="PY8" i="19"/>
  <c r="PZ8" i="19"/>
  <c r="QA8" i="19"/>
  <c r="QB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LP5" i="24" l="1"/>
  <c r="LW5" i="24" s="1"/>
  <c r="PX4" i="22"/>
  <c r="QE4" i="22" s="1"/>
  <c r="SN4" i="22"/>
  <c r="SU4" i="22" s="1"/>
  <c r="BV7" i="22"/>
  <c r="BZ7" i="22" s="1"/>
  <c r="LZ9" i="22"/>
  <c r="RF9" i="22"/>
  <c r="GT5" i="22"/>
  <c r="ED12" i="22"/>
  <c r="HA6" i="22"/>
  <c r="JQ6" i="22"/>
  <c r="MG6" i="22"/>
  <c r="GT11" i="22"/>
  <c r="HA11" i="22" s="1"/>
  <c r="JJ11" i="22"/>
  <c r="JQ11" i="22" s="1"/>
  <c r="LZ11" i="22"/>
  <c r="MG11" i="22" s="1"/>
  <c r="RF11" i="22"/>
  <c r="FL13" i="22"/>
  <c r="FS13" i="22" s="1"/>
  <c r="PX13" i="22"/>
  <c r="QE13" i="22" s="1"/>
  <c r="SN13" i="22"/>
  <c r="P14" i="22"/>
  <c r="Q14" i="22" s="1"/>
  <c r="F4" i="24"/>
  <c r="I5" i="24"/>
  <c r="I4" i="24"/>
  <c r="BP4" i="24"/>
  <c r="FB5" i="24"/>
  <c r="FI5" i="24" s="1"/>
  <c r="HR5" i="24"/>
  <c r="HY5" i="24" s="1"/>
  <c r="KH5" i="24"/>
  <c r="KO5" i="24" s="1"/>
  <c r="CQ4" i="24"/>
  <c r="FB4" i="24"/>
  <c r="FI4" i="24" s="1"/>
  <c r="MX5" i="24"/>
  <c r="NE5" i="24" s="1"/>
  <c r="PN5" i="24"/>
  <c r="PU5" i="24" s="1"/>
  <c r="DT4" i="24"/>
  <c r="EA4" i="24" s="1"/>
  <c r="IZ4" i="24"/>
  <c r="JG4" i="24" s="1"/>
  <c r="OF4" i="24"/>
  <c r="QV4" i="24"/>
  <c r="J4" i="24"/>
  <c r="TG5" i="24"/>
  <c r="F5" i="24"/>
  <c r="OF5" i="24"/>
  <c r="OM5" i="24" s="1"/>
  <c r="QV5" i="24"/>
  <c r="RC5" i="24" s="1"/>
  <c r="G5" i="24"/>
  <c r="AO4" i="24"/>
  <c r="G4" i="24"/>
  <c r="J5" i="24"/>
  <c r="K5" i="24" s="1"/>
  <c r="PN5" i="23"/>
  <c r="PU5" i="23" s="1"/>
  <c r="P9" i="22"/>
  <c r="Q9" i="22" s="1"/>
  <c r="IB7" i="22"/>
  <c r="II7" i="22" s="1"/>
  <c r="JJ8" i="22"/>
  <c r="JQ8" i="22" s="1"/>
  <c r="OP8" i="22"/>
  <c r="OW8" i="22" s="1"/>
  <c r="RF8" i="22"/>
  <c r="GT10" i="22"/>
  <c r="FL10" i="22"/>
  <c r="FS10" i="22" s="1"/>
  <c r="IB10" i="22"/>
  <c r="II10" i="22" s="1"/>
  <c r="NH10" i="22"/>
  <c r="NO10" i="22" s="1"/>
  <c r="SN10" i="22"/>
  <c r="SU10" i="22" s="1"/>
  <c r="HA9" i="22"/>
  <c r="NH9" i="22"/>
  <c r="NO9" i="22" s="1"/>
  <c r="SN9" i="22"/>
  <c r="RM13" i="22"/>
  <c r="BV14" i="22"/>
  <c r="BZ14" i="22" s="1"/>
  <c r="DA7" i="22"/>
  <c r="PX7" i="22"/>
  <c r="QE7" i="22" s="1"/>
  <c r="ED8" i="22"/>
  <c r="RM9" i="22"/>
  <c r="CW6" i="22"/>
  <c r="RM7" i="22"/>
  <c r="FS8" i="22"/>
  <c r="ED6" i="22"/>
  <c r="ED9" i="22"/>
  <c r="LZ12" i="22"/>
  <c r="MG12" i="22" s="1"/>
  <c r="SN12" i="22"/>
  <c r="SU12" i="22" s="1"/>
  <c r="SU13" i="22"/>
  <c r="JJ5" i="22"/>
  <c r="JQ5" i="22" s="1"/>
  <c r="FL6" i="22"/>
  <c r="FS6" i="22" s="1"/>
  <c r="PX6" i="22"/>
  <c r="QE6" i="22" s="1"/>
  <c r="SN6" i="22"/>
  <c r="SU6" i="22" s="1"/>
  <c r="FL9" i="22"/>
  <c r="FS9" i="22" s="1"/>
  <c r="KR11" i="22"/>
  <c r="KY11" i="22" s="1"/>
  <c r="PX11" i="22"/>
  <c r="QE11" i="22" s="1"/>
  <c r="RF12" i="22"/>
  <c r="RF14" i="22"/>
  <c r="RM14" i="22" s="1"/>
  <c r="JJ4" i="22"/>
  <c r="JQ4" i="22" s="1"/>
  <c r="RF4" i="22"/>
  <c r="AU6" i="22"/>
  <c r="JJ7" i="22"/>
  <c r="JQ7" i="22" s="1"/>
  <c r="NH8" i="22"/>
  <c r="NO8" i="22" s="1"/>
  <c r="SN8" i="22"/>
  <c r="JJ10" i="22"/>
  <c r="JQ10" i="22" s="1"/>
  <c r="AU11" i="22"/>
  <c r="AY11" i="22" s="1"/>
  <c r="IB13" i="22"/>
  <c r="II13" i="22" s="1"/>
  <c r="NH13" i="22"/>
  <c r="NO13" i="22" s="1"/>
  <c r="IB14" i="22"/>
  <c r="II14" i="22" s="1"/>
  <c r="PX14" i="22"/>
  <c r="RM8" i="22"/>
  <c r="OW10" i="22"/>
  <c r="RM10" i="22"/>
  <c r="JQ13" i="22"/>
  <c r="P10" i="22"/>
  <c r="FS12" i="22"/>
  <c r="II12" i="22"/>
  <c r="KY12" i="22"/>
  <c r="TD4" i="24"/>
  <c r="TG4" i="24"/>
  <c r="LW4" i="24"/>
  <c r="OM4" i="24"/>
  <c r="RC4" i="24"/>
  <c r="TK4" i="24"/>
  <c r="TD5" i="24"/>
  <c r="AO5" i="24"/>
  <c r="GJ4" i="24"/>
  <c r="GQ4" i="24" s="1"/>
  <c r="BP5" i="24"/>
  <c r="SD5" i="24"/>
  <c r="SK5" i="24" s="1"/>
  <c r="TK5" i="24"/>
  <c r="HR4" i="24"/>
  <c r="HY4" i="24" s="1"/>
  <c r="KH4" i="24"/>
  <c r="KO4" i="24" s="1"/>
  <c r="MX4" i="24"/>
  <c r="NE4" i="24" s="1"/>
  <c r="PN4" i="24"/>
  <c r="PU4" i="24" s="1"/>
  <c r="SD4" i="24"/>
  <c r="SK4" i="24" s="1"/>
  <c r="CQ5" i="24"/>
  <c r="DT5" i="24"/>
  <c r="EA5" i="24" s="1"/>
  <c r="GJ5" i="24"/>
  <c r="GQ5" i="24" s="1"/>
  <c r="IZ5" i="24"/>
  <c r="JG5" i="24" s="1"/>
  <c r="J5" i="23"/>
  <c r="J4" i="23"/>
  <c r="K4" i="23" s="1"/>
  <c r="SD4" i="23"/>
  <c r="SK4" i="23" s="1"/>
  <c r="PN4" i="23"/>
  <c r="PU4" i="23" s="1"/>
  <c r="KH4" i="23"/>
  <c r="KO4" i="23" s="1"/>
  <c r="FB4" i="23"/>
  <c r="FI4" i="23" s="1"/>
  <c r="OF5" i="23"/>
  <c r="OM5" i="23" s="1"/>
  <c r="LP5" i="23"/>
  <c r="LW5" i="23" s="1"/>
  <c r="IZ5" i="23"/>
  <c r="JG5" i="23" s="1"/>
  <c r="DT5" i="23"/>
  <c r="EA5" i="23" s="1"/>
  <c r="KH5" i="23"/>
  <c r="KO5" i="23" s="1"/>
  <c r="FB5" i="23"/>
  <c r="FI5" i="23" s="1"/>
  <c r="IZ4" i="23"/>
  <c r="JG4" i="23" s="1"/>
  <c r="DT4" i="23"/>
  <c r="EA4" i="23" s="1"/>
  <c r="CQ4" i="23"/>
  <c r="TG5" i="23"/>
  <c r="TD4" i="23"/>
  <c r="BP5" i="23"/>
  <c r="TG4" i="23"/>
  <c r="SD5" i="23"/>
  <c r="SK5" i="23" s="1"/>
  <c r="GJ5" i="23"/>
  <c r="GQ5" i="23" s="1"/>
  <c r="CQ5" i="23"/>
  <c r="MX4" i="23"/>
  <c r="NE4" i="23" s="1"/>
  <c r="F5" i="23"/>
  <c r="HR4" i="23"/>
  <c r="HY4" i="23" s="1"/>
  <c r="BL4" i="23"/>
  <c r="BP4" i="23" s="1"/>
  <c r="TD5" i="23"/>
  <c r="TH5" i="23" s="1"/>
  <c r="MX5" i="23"/>
  <c r="NE5" i="23" s="1"/>
  <c r="GJ4" i="23"/>
  <c r="GQ4" i="23" s="1"/>
  <c r="TK4" i="23"/>
  <c r="QV5" i="23"/>
  <c r="RC5" i="23" s="1"/>
  <c r="HR5" i="23"/>
  <c r="HY5" i="23" s="1"/>
  <c r="OF4" i="23"/>
  <c r="OM4" i="23" s="1"/>
  <c r="I4" i="23"/>
  <c r="TK5" i="23"/>
  <c r="AK4" i="23"/>
  <c r="AO4" i="23" s="1"/>
  <c r="G4" i="23"/>
  <c r="TE4" i="23"/>
  <c r="F4" i="23"/>
  <c r="I5" i="23"/>
  <c r="AK5" i="23"/>
  <c r="AO5" i="23" s="1"/>
  <c r="G5" i="23"/>
  <c r="LZ10" i="22"/>
  <c r="LZ8" i="22"/>
  <c r="MG8" i="22" s="1"/>
  <c r="LZ13" i="22"/>
  <c r="MG13" i="22" s="1"/>
  <c r="KR5" i="22"/>
  <c r="KY5" i="22" s="1"/>
  <c r="KR14" i="22"/>
  <c r="KY14" i="22" s="1"/>
  <c r="KR6" i="22"/>
  <c r="KY6" i="22" s="1"/>
  <c r="II4" i="22"/>
  <c r="GT4" i="22"/>
  <c r="HA4" i="22" s="1"/>
  <c r="HA5" i="22"/>
  <c r="GT14" i="22"/>
  <c r="HA14" i="22" s="1"/>
  <c r="GT13" i="22"/>
  <c r="HA13" i="22" s="1"/>
  <c r="FL4" i="22"/>
  <c r="FS4" i="22" s="1"/>
  <c r="FL14" i="22"/>
  <c r="J4" i="22"/>
  <c r="TU10" i="22"/>
  <c r="TU12" i="22"/>
  <c r="CW4" i="22"/>
  <c r="L7" i="22"/>
  <c r="M7" i="22" s="1"/>
  <c r="P12" i="22"/>
  <c r="TQ6" i="22"/>
  <c r="TN7" i="22"/>
  <c r="TU4" i="22"/>
  <c r="BV6" i="22"/>
  <c r="BZ6" i="22" s="1"/>
  <c r="TN10" i="22"/>
  <c r="BV8" i="22"/>
  <c r="BZ8" i="22" s="1"/>
  <c r="TQ8" i="22"/>
  <c r="TU8" i="22"/>
  <c r="BV12" i="22"/>
  <c r="L9" i="22"/>
  <c r="R6" i="22"/>
  <c r="S6" i="22" s="1"/>
  <c r="R12" i="22"/>
  <c r="S12" i="22" s="1"/>
  <c r="L8" i="22"/>
  <c r="M8" i="22" s="1"/>
  <c r="L10" i="22"/>
  <c r="T10" i="22"/>
  <c r="U10" i="22" s="1"/>
  <c r="I5" i="22"/>
  <c r="TU6" i="22"/>
  <c r="TQ7" i="22"/>
  <c r="TR7" i="22" s="1"/>
  <c r="R8" i="22"/>
  <c r="S8" i="22" s="1"/>
  <c r="MG9" i="22"/>
  <c r="TN9" i="22"/>
  <c r="N10" i="22"/>
  <c r="O10" i="22" s="1"/>
  <c r="TN11" i="22"/>
  <c r="FS14" i="22"/>
  <c r="QE5" i="22"/>
  <c r="AY6" i="22"/>
  <c r="EK7" i="22"/>
  <c r="EK8" i="22"/>
  <c r="EK9" i="22"/>
  <c r="SU9" i="22"/>
  <c r="TQ9" i="22"/>
  <c r="DA11" i="22"/>
  <c r="RM11" i="22"/>
  <c r="MG14" i="22"/>
  <c r="BZ4" i="22"/>
  <c r="F4" i="22"/>
  <c r="P5" i="22"/>
  <c r="Q5" i="22" s="1"/>
  <c r="TN5" i="22"/>
  <c r="TQ5" i="22"/>
  <c r="N9" i="22"/>
  <c r="O9" i="22" s="1"/>
  <c r="IB11" i="22"/>
  <c r="II11" i="22" s="1"/>
  <c r="TU11" i="22"/>
  <c r="BZ12" i="22"/>
  <c r="JJ12" i="22"/>
  <c r="JQ12" i="22" s="1"/>
  <c r="P13" i="22"/>
  <c r="L4" i="22"/>
  <c r="M4" i="22" s="1"/>
  <c r="AU4" i="22"/>
  <c r="AY4" i="22" s="1"/>
  <c r="ED4" i="22"/>
  <c r="EK4" i="22" s="1"/>
  <c r="BV5" i="22"/>
  <c r="BZ5" i="22" s="1"/>
  <c r="J6" i="22"/>
  <c r="AU7" i="22"/>
  <c r="AY7" i="22" s="1"/>
  <c r="J8" i="22"/>
  <c r="K8" i="22" s="1"/>
  <c r="AU8" i="22"/>
  <c r="JJ9" i="22"/>
  <c r="JQ9" i="22" s="1"/>
  <c r="TU9" i="22"/>
  <c r="TQ10" i="22"/>
  <c r="TR10" i="22" s="1"/>
  <c r="TV10" i="22" s="1"/>
  <c r="NH11" i="22"/>
  <c r="NO11" i="22" s="1"/>
  <c r="OP12" i="22"/>
  <c r="OW12" i="22" s="1"/>
  <c r="TN13" i="22"/>
  <c r="DA14" i="22"/>
  <c r="N4" i="22"/>
  <c r="O4" i="22" s="1"/>
  <c r="T4" i="22"/>
  <c r="KR4" i="22"/>
  <c r="KY4" i="22" s="1"/>
  <c r="TQ4" i="22"/>
  <c r="T5" i="22"/>
  <c r="U5" i="22" s="1"/>
  <c r="CW5" i="22"/>
  <c r="DA5" i="22" s="1"/>
  <c r="LZ5" i="22"/>
  <c r="MG5" i="22" s="1"/>
  <c r="N6" i="22"/>
  <c r="O6" i="22" s="1"/>
  <c r="IB6" i="22"/>
  <c r="II6" i="22" s="1"/>
  <c r="RF6" i="22"/>
  <c r="RM6" i="22" s="1"/>
  <c r="J7" i="22"/>
  <c r="K7" i="22" s="1"/>
  <c r="NH7" i="22"/>
  <c r="NO7" i="22" s="1"/>
  <c r="KR8" i="22"/>
  <c r="KY8" i="22" s="1"/>
  <c r="G9" i="22"/>
  <c r="KR9" i="22"/>
  <c r="KY9" i="22" s="1"/>
  <c r="OP9" i="22"/>
  <c r="OW9" i="22" s="1"/>
  <c r="BV10" i="22"/>
  <c r="BZ10" i="22" s="1"/>
  <c r="KR10" i="22"/>
  <c r="KY10" i="22" s="1"/>
  <c r="OP11" i="22"/>
  <c r="OW11" i="22" s="1"/>
  <c r="F12" i="22"/>
  <c r="PX12" i="22"/>
  <c r="QE12" i="22" s="1"/>
  <c r="TQ12" i="22"/>
  <c r="BV13" i="22"/>
  <c r="BZ13" i="22" s="1"/>
  <c r="TQ13" i="22"/>
  <c r="TR13" i="22" s="1"/>
  <c r="ED14" i="22"/>
  <c r="EK14" i="22" s="1"/>
  <c r="P4" i="22"/>
  <c r="Q4" i="22" s="1"/>
  <c r="I4" i="22"/>
  <c r="LZ4" i="22"/>
  <c r="MG4" i="22" s="1"/>
  <c r="OP4" i="22"/>
  <c r="OW4" i="22" s="1"/>
  <c r="NH5" i="22"/>
  <c r="NO5" i="22" s="1"/>
  <c r="RF5" i="22"/>
  <c r="RM5" i="22" s="1"/>
  <c r="FL7" i="22"/>
  <c r="FS7" i="22" s="1"/>
  <c r="SN7" i="22"/>
  <c r="SU7" i="22" s="1"/>
  <c r="TU7" i="22"/>
  <c r="TN8" i="22"/>
  <c r="CW9" i="22"/>
  <c r="DA9" i="22" s="1"/>
  <c r="P11" i="22"/>
  <c r="DC11" i="22" s="1"/>
  <c r="SN11" i="22"/>
  <c r="SU11" i="22" s="1"/>
  <c r="T12" i="22"/>
  <c r="U12" i="22" s="1"/>
  <c r="CW13" i="22"/>
  <c r="DA13" i="22" s="1"/>
  <c r="KR13" i="22"/>
  <c r="KY13" i="22" s="1"/>
  <c r="JJ14" i="22"/>
  <c r="JQ14" i="22" s="1"/>
  <c r="NH14" i="22"/>
  <c r="NO14" i="22" s="1"/>
  <c r="TN14" i="22"/>
  <c r="TR14" i="22" s="1"/>
  <c r="TV14" i="22" s="1"/>
  <c r="NH6" i="22"/>
  <c r="NO6" i="22" s="1"/>
  <c r="TN6" i="22"/>
  <c r="TR6" i="22" s="1"/>
  <c r="TV6" i="22" s="1"/>
  <c r="KR7" i="22"/>
  <c r="KY7" i="22" s="1"/>
  <c r="GT8" i="22"/>
  <c r="HA8" i="22" s="1"/>
  <c r="PX8" i="22"/>
  <c r="QE8" i="22" s="1"/>
  <c r="AU9" i="22"/>
  <c r="AY9" i="22" s="1"/>
  <c r="ED10" i="22"/>
  <c r="EK10" i="22" s="1"/>
  <c r="PX10" i="22"/>
  <c r="QE10" i="22" s="1"/>
  <c r="FL11" i="22"/>
  <c r="FS11" i="22" s="1"/>
  <c r="GT12" i="22"/>
  <c r="HA12" i="22" s="1"/>
  <c r="AU13" i="22"/>
  <c r="AY13" i="22" s="1"/>
  <c r="T14" i="22"/>
  <c r="U14" i="22" s="1"/>
  <c r="OP14" i="22"/>
  <c r="OW14" i="22" s="1"/>
  <c r="SN14" i="22"/>
  <c r="SU14" i="22" s="1"/>
  <c r="TQ14" i="22"/>
  <c r="K4" i="22"/>
  <c r="G4" i="22"/>
  <c r="T6" i="22"/>
  <c r="U6" i="22" s="1"/>
  <c r="OW6" i="22"/>
  <c r="I8" i="22"/>
  <c r="II8" i="22"/>
  <c r="DC9" i="22"/>
  <c r="I9" i="22"/>
  <c r="R10" i="22"/>
  <c r="S10" i="22" s="1"/>
  <c r="DC10" i="22"/>
  <c r="Q10" i="22"/>
  <c r="M10" i="22"/>
  <c r="DA4" i="22"/>
  <c r="RM4" i="22"/>
  <c r="DA6" i="22"/>
  <c r="PX9" i="22"/>
  <c r="QE9" i="22" s="1"/>
  <c r="HA10" i="22"/>
  <c r="BV11" i="22"/>
  <c r="BZ11" i="22" s="1"/>
  <c r="TQ11" i="22"/>
  <c r="L12" i="22"/>
  <c r="EK12" i="22"/>
  <c r="F11" i="22"/>
  <c r="T11" i="22"/>
  <c r="U11" i="22" s="1"/>
  <c r="R11" i="22"/>
  <c r="S11" i="22" s="1"/>
  <c r="R7" i="22"/>
  <c r="S7" i="22" s="1"/>
  <c r="P8" i="22"/>
  <c r="G8" i="22"/>
  <c r="R4" i="22"/>
  <c r="S4" i="22" s="1"/>
  <c r="TN4" i="22"/>
  <c r="TR4" i="22" s="1"/>
  <c r="TV4" i="22" s="1"/>
  <c r="L5" i="22"/>
  <c r="T7" i="22"/>
  <c r="M9" i="22"/>
  <c r="F6" i="22"/>
  <c r="I6" i="22"/>
  <c r="R5" i="22"/>
  <c r="S5" i="22" s="1"/>
  <c r="F5" i="22"/>
  <c r="ED5" i="22"/>
  <c r="EK5" i="22" s="1"/>
  <c r="SN5" i="22"/>
  <c r="SU5" i="22" s="1"/>
  <c r="K6" i="22"/>
  <c r="P7" i="22"/>
  <c r="GT7" i="22"/>
  <c r="HA7" i="22" s="1"/>
  <c r="F9" i="22"/>
  <c r="H9" i="22" s="1"/>
  <c r="I10" i="22"/>
  <c r="F10" i="22"/>
  <c r="MG10" i="22"/>
  <c r="DC13" i="22"/>
  <c r="Q13" i="22"/>
  <c r="I13" i="22"/>
  <c r="J5" i="22"/>
  <c r="AU5" i="22"/>
  <c r="AY5" i="22" s="1"/>
  <c r="G5" i="22"/>
  <c r="N5" i="22"/>
  <c r="O5" i="22" s="1"/>
  <c r="OP5" i="22"/>
  <c r="OW5" i="22" s="1"/>
  <c r="EK6" i="22"/>
  <c r="AY8" i="22"/>
  <c r="SU8" i="22"/>
  <c r="CW10" i="22"/>
  <c r="DA10" i="22" s="1"/>
  <c r="I11" i="22"/>
  <c r="ED11" i="22"/>
  <c r="EK11" i="22" s="1"/>
  <c r="N12" i="22"/>
  <c r="O12" i="22" s="1"/>
  <c r="I14" i="22"/>
  <c r="N14" i="22"/>
  <c r="O14" i="22" s="1"/>
  <c r="F14" i="22"/>
  <c r="DC6" i="22"/>
  <c r="Q6" i="22"/>
  <c r="G7" i="22"/>
  <c r="T8" i="22"/>
  <c r="U8" i="22" s="1"/>
  <c r="TR9" i="22"/>
  <c r="TV9" i="22" s="1"/>
  <c r="J10" i="22"/>
  <c r="Q11" i="22"/>
  <c r="DC14" i="22"/>
  <c r="TU5" i="22"/>
  <c r="F7" i="22"/>
  <c r="N7" i="22"/>
  <c r="O7" i="22" s="1"/>
  <c r="J11" i="22"/>
  <c r="G12" i="22"/>
  <c r="AU12" i="22"/>
  <c r="AY12" i="22" s="1"/>
  <c r="J13" i="22"/>
  <c r="TU13" i="22"/>
  <c r="TV13" i="22" s="1"/>
  <c r="TT13" i="22"/>
  <c r="DC12" i="22"/>
  <c r="J9" i="22"/>
  <c r="R9" i="22"/>
  <c r="S9" i="22" s="1"/>
  <c r="BV9" i="22"/>
  <c r="BZ9" i="22" s="1"/>
  <c r="G10" i="22"/>
  <c r="AU10" i="22"/>
  <c r="AY10" i="22" s="1"/>
  <c r="L11" i="22"/>
  <c r="I12" i="22"/>
  <c r="Q12" i="22"/>
  <c r="CW12" i="22"/>
  <c r="DA12" i="22" s="1"/>
  <c r="OP13" i="22"/>
  <c r="OW13" i="22" s="1"/>
  <c r="L6" i="22"/>
  <c r="I7" i="22"/>
  <c r="F8" i="22"/>
  <c r="N8" i="22"/>
  <c r="O8" i="22" s="1"/>
  <c r="J12" i="22"/>
  <c r="RM12" i="22"/>
  <c r="T9" i="22"/>
  <c r="U9" i="22" s="1"/>
  <c r="N11" i="22"/>
  <c r="O11" i="22" s="1"/>
  <c r="N13" i="22"/>
  <c r="O13" i="22" s="1"/>
  <c r="L13" i="22"/>
  <c r="ED13" i="22"/>
  <c r="EK13" i="22" s="1"/>
  <c r="L14" i="22"/>
  <c r="G11" i="22"/>
  <c r="G6" i="22"/>
  <c r="H6" i="22" s="1"/>
  <c r="TN12" i="22"/>
  <c r="TR12" i="22" s="1"/>
  <c r="TV12" i="22" s="1"/>
  <c r="F13" i="22"/>
  <c r="T13" i="22"/>
  <c r="U13" i="22" s="1"/>
  <c r="R13" i="22"/>
  <c r="S13" i="22" s="1"/>
  <c r="QE14" i="22"/>
  <c r="G14" i="22"/>
  <c r="AU14" i="22"/>
  <c r="AY14" i="22" s="1"/>
  <c r="J14" i="22"/>
  <c r="R14" i="22"/>
  <c r="S14" i="22" s="1"/>
  <c r="G13" i="22"/>
  <c r="AV8" i="19"/>
  <c r="QC8" i="19"/>
  <c r="LU8" i="19"/>
  <c r="NY8" i="19"/>
  <c r="JQ8" i="19"/>
  <c r="FI8" i="19"/>
  <c r="DB8" i="19"/>
  <c r="R8" i="19"/>
  <c r="HM8" i="19"/>
  <c r="RD8" i="19"/>
  <c r="BY8" i="19"/>
  <c r="IO8" i="19"/>
  <c r="EG8" i="19"/>
  <c r="RH8" i="19"/>
  <c r="RG8" i="19"/>
  <c r="CB8" i="19"/>
  <c r="PA8" i="19"/>
  <c r="KS8" i="19"/>
  <c r="GK8" i="19"/>
  <c r="N8" i="19"/>
  <c r="O8" i="19" s="1"/>
  <c r="L8" i="19"/>
  <c r="DF8" i="19" s="1"/>
  <c r="RC8" i="19"/>
  <c r="DE8" i="19"/>
  <c r="RB8" i="19"/>
  <c r="MW8" i="19"/>
  <c r="J8" i="19"/>
  <c r="K8" i="19" s="1"/>
  <c r="F8" i="19"/>
  <c r="RE8" i="19"/>
  <c r="QF8" i="19"/>
  <c r="PD8" i="19"/>
  <c r="OB8" i="19"/>
  <c r="MZ8" i="19"/>
  <c r="LX8" i="19"/>
  <c r="KV8" i="19"/>
  <c r="JT8" i="19"/>
  <c r="IR8" i="19"/>
  <c r="HP8" i="19"/>
  <c r="GN8" i="19"/>
  <c r="FL8" i="19"/>
  <c r="EJ8" i="19"/>
  <c r="P8" i="19"/>
  <c r="G8" i="19"/>
  <c r="AY8" i="19"/>
  <c r="DB8" i="22" l="1"/>
  <c r="TR8" i="22"/>
  <c r="TV8" i="22" s="1"/>
  <c r="H4" i="24"/>
  <c r="TH5" i="24"/>
  <c r="TL5" i="24" s="1"/>
  <c r="CS5" i="24"/>
  <c r="CR5" i="24"/>
  <c r="K4" i="24"/>
  <c r="CS4" i="24"/>
  <c r="CR4" i="24"/>
  <c r="H5" i="24"/>
  <c r="CR4" i="23"/>
  <c r="CS4" i="23"/>
  <c r="U7" i="22"/>
  <c r="CS5" i="23"/>
  <c r="CR5" i="23"/>
  <c r="K5" i="23"/>
  <c r="TH4" i="24"/>
  <c r="TL4" i="24" s="1"/>
  <c r="TH4" i="23"/>
  <c r="TL4" i="23" s="1"/>
  <c r="A5" i="24" a="1"/>
  <c r="A5" i="24" s="1"/>
  <c r="H5" i="23"/>
  <c r="TL5" i="23"/>
  <c r="A4" i="23" a="1"/>
  <c r="A4" i="23" s="1"/>
  <c r="H4" i="23"/>
  <c r="DB7" i="22"/>
  <c r="H12" i="22"/>
  <c r="TR11" i="22"/>
  <c r="TV11" i="22" s="1"/>
  <c r="H4" i="22"/>
  <c r="DC5" i="22"/>
  <c r="H10" i="22"/>
  <c r="TV7" i="22"/>
  <c r="U4" i="22"/>
  <c r="DC4" i="22"/>
  <c r="H13" i="22"/>
  <c r="H14" i="22"/>
  <c r="DB10" i="22"/>
  <c r="V10" i="22" s="1"/>
  <c r="TR5" i="22"/>
  <c r="TV5" i="22" s="1"/>
  <c r="H11" i="22"/>
  <c r="DB4" i="22"/>
  <c r="K9" i="22"/>
  <c r="M14" i="22"/>
  <c r="DB14" i="22"/>
  <c r="V14" i="22" s="1"/>
  <c r="M6" i="22"/>
  <c r="DB6" i="22"/>
  <c r="V6" i="22" s="1"/>
  <c r="A14" i="22" a="1"/>
  <c r="A14" i="22" s="1"/>
  <c r="K5" i="22"/>
  <c r="K14" i="22"/>
  <c r="K11" i="22"/>
  <c r="K10" i="22"/>
  <c r="DB5" i="22"/>
  <c r="M5" i="22"/>
  <c r="M13" i="22"/>
  <c r="DB13" i="22"/>
  <c r="V13" i="22" s="1"/>
  <c r="M11" i="22"/>
  <c r="DB11" i="22"/>
  <c r="V11" i="22" s="1"/>
  <c r="K12" i="22"/>
  <c r="H7" i="22"/>
  <c r="DC7" i="22"/>
  <c r="V7" i="22" s="1"/>
  <c r="Q7" i="22"/>
  <c r="H8" i="22"/>
  <c r="M12" i="22"/>
  <c r="DB12" i="22"/>
  <c r="V12" i="22" s="1"/>
  <c r="K13" i="22"/>
  <c r="H5" i="22"/>
  <c r="DB9" i="22"/>
  <c r="V9" i="22" s="1"/>
  <c r="E9" i="22" s="1"/>
  <c r="Q8" i="22"/>
  <c r="DC8" i="22"/>
  <c r="V8" i="22" s="1"/>
  <c r="Q8" i="19"/>
  <c r="DG8" i="19"/>
  <c r="S8" i="19"/>
  <c r="DH8" i="19"/>
  <c r="M8" i="19"/>
  <c r="RF8" i="19"/>
  <c r="T8" i="19"/>
  <c r="U8" i="19" s="1"/>
  <c r="I8" i="19"/>
  <c r="H8" i="19" s="1"/>
  <c r="RI8" i="19"/>
  <c r="L4" i="24" l="1"/>
  <c r="E4" i="24" s="1"/>
  <c r="L4" i="23"/>
  <c r="L5" i="24"/>
  <c r="L5" i="23"/>
  <c r="N5" i="23" s="1"/>
  <c r="M4" i="23"/>
  <c r="E12" i="22"/>
  <c r="V5" i="22"/>
  <c r="W5" i="22" s="1"/>
  <c r="V4" i="22"/>
  <c r="E4" i="22" s="1"/>
  <c r="E6" i="22"/>
  <c r="E14" i="22"/>
  <c r="E10" i="22"/>
  <c r="E13" i="22"/>
  <c r="E11" i="22"/>
  <c r="X7" i="22"/>
  <c r="W7" i="22"/>
  <c r="E7" i="22"/>
  <c r="X8" i="22"/>
  <c r="W8" i="22"/>
  <c r="E8" i="22"/>
  <c r="X11" i="22"/>
  <c r="W11" i="22"/>
  <c r="X12" i="22"/>
  <c r="W12" i="22"/>
  <c r="X10" i="22"/>
  <c r="W10" i="22"/>
  <c r="X14" i="22"/>
  <c r="W14" i="22"/>
  <c r="X13" i="22"/>
  <c r="W13" i="22"/>
  <c r="X9" i="22"/>
  <c r="W9" i="22"/>
  <c r="W6" i="22"/>
  <c r="X6" i="22"/>
  <c r="E8" i="19"/>
  <c r="V8" i="19"/>
  <c r="M4" i="24" l="1"/>
  <c r="N4" i="24"/>
  <c r="N4" i="23"/>
  <c r="E4" i="23"/>
  <c r="N5" i="24"/>
  <c r="M5" i="24"/>
  <c r="E5" i="24"/>
  <c r="A4" i="24" s="1" a="1"/>
  <c r="A4" i="24" s="1"/>
  <c r="C22" i="11" s="1"/>
  <c r="M5" i="23"/>
  <c r="E5" i="23"/>
  <c r="A5" i="23" s="1" a="1"/>
  <c r="A5" i="23" s="1"/>
  <c r="D20" i="11" s="1"/>
  <c r="X4" i="22"/>
  <c r="W4" i="22"/>
  <c r="E5" i="22"/>
  <c r="A11" i="22" s="1" a="1"/>
  <c r="A11" i="22" s="1"/>
  <c r="X5" i="22"/>
  <c r="A12" i="22" a="1"/>
  <c r="A12" i="22" s="1"/>
  <c r="AR17" i="19"/>
  <c r="AS17" i="19"/>
  <c r="AT17" i="19"/>
  <c r="AU17" i="19"/>
  <c r="AW17" i="19"/>
  <c r="AX17" i="19"/>
  <c r="BU17" i="19"/>
  <c r="BV17" i="19"/>
  <c r="BW17" i="19"/>
  <c r="BX17" i="19"/>
  <c r="BZ17" i="19"/>
  <c r="CA17" i="19"/>
  <c r="CX17" i="19"/>
  <c r="CY17" i="19"/>
  <c r="CZ17" i="19"/>
  <c r="DA17" i="19"/>
  <c r="DC17" i="19"/>
  <c r="DD17" i="19"/>
  <c r="EC17" i="19"/>
  <c r="ED17" i="19"/>
  <c r="EE17" i="19"/>
  <c r="EF17" i="19"/>
  <c r="EH17" i="19"/>
  <c r="EI17" i="19"/>
  <c r="FE17" i="19"/>
  <c r="FF17" i="19"/>
  <c r="FG17" i="19"/>
  <c r="FH17" i="19"/>
  <c r="FJ17" i="19"/>
  <c r="FK17" i="19"/>
  <c r="GG17" i="19"/>
  <c r="GH17" i="19"/>
  <c r="GI17" i="19"/>
  <c r="GJ17" i="19"/>
  <c r="GL17" i="19"/>
  <c r="GM17" i="19"/>
  <c r="HI17" i="19"/>
  <c r="HJ17" i="19"/>
  <c r="HK17" i="19"/>
  <c r="HL17" i="19"/>
  <c r="HN17" i="19"/>
  <c r="HO17" i="19"/>
  <c r="IK17" i="19"/>
  <c r="IL17" i="19"/>
  <c r="IM17" i="19"/>
  <c r="IN17" i="19"/>
  <c r="IP17" i="19"/>
  <c r="IQ17" i="19"/>
  <c r="JM17" i="19"/>
  <c r="JN17" i="19"/>
  <c r="JO17" i="19"/>
  <c r="JP17" i="19"/>
  <c r="JR17" i="19"/>
  <c r="JS17" i="19"/>
  <c r="KO17" i="19"/>
  <c r="KP17" i="19"/>
  <c r="KQ17" i="19"/>
  <c r="KR17" i="19"/>
  <c r="KT17" i="19"/>
  <c r="KU17" i="19"/>
  <c r="LQ17" i="19"/>
  <c r="LR17" i="19"/>
  <c r="LS17" i="19"/>
  <c r="LT17" i="19"/>
  <c r="LV17" i="19"/>
  <c r="LW17" i="19"/>
  <c r="MS17" i="19"/>
  <c r="MT17" i="19"/>
  <c r="MU17" i="19"/>
  <c r="MV17" i="19"/>
  <c r="MX17" i="19"/>
  <c r="MY17" i="19"/>
  <c r="NU17" i="19"/>
  <c r="NV17" i="19"/>
  <c r="NW17" i="19"/>
  <c r="NX17" i="19"/>
  <c r="NZ17" i="19"/>
  <c r="OA17" i="19"/>
  <c r="OW17" i="19"/>
  <c r="OX17" i="19"/>
  <c r="OY17" i="19"/>
  <c r="OZ17" i="19"/>
  <c r="PB17" i="19"/>
  <c r="PC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AO18" i="4"/>
  <c r="AP18" i="4"/>
  <c r="AQ18" i="4"/>
  <c r="AU18" i="4" s="1"/>
  <c r="AR18" i="4"/>
  <c r="AS18" i="4"/>
  <c r="AT18" i="4"/>
  <c r="AV18" i="4"/>
  <c r="AW18" i="4"/>
  <c r="AX18" i="4"/>
  <c r="BP18" i="4"/>
  <c r="BQ18" i="4"/>
  <c r="BR18" i="4"/>
  <c r="BV18" i="4" s="1"/>
  <c r="BS18" i="4"/>
  <c r="BT18" i="4"/>
  <c r="BU18" i="4"/>
  <c r="BW18" i="4"/>
  <c r="BX18" i="4"/>
  <c r="BY18" i="4"/>
  <c r="CQ18" i="4"/>
  <c r="CR18" i="4"/>
  <c r="CS18" i="4"/>
  <c r="CT18" i="4"/>
  <c r="CU18" i="4"/>
  <c r="CV18" i="4"/>
  <c r="CX18" i="4"/>
  <c r="CY18" i="4"/>
  <c r="CZ18" i="4"/>
  <c r="DX18" i="4"/>
  <c r="DY18" i="4"/>
  <c r="DZ18" i="4"/>
  <c r="EA18" i="4"/>
  <c r="EB18" i="4"/>
  <c r="EC18" i="4"/>
  <c r="EE18" i="4"/>
  <c r="EF18" i="4"/>
  <c r="EG18" i="4"/>
  <c r="EH18" i="4"/>
  <c r="EI18" i="4"/>
  <c r="EJ18" i="4"/>
  <c r="FF18" i="4"/>
  <c r="FG18" i="4"/>
  <c r="FH18" i="4"/>
  <c r="FI18" i="4"/>
  <c r="FJ18" i="4"/>
  <c r="FK18" i="4"/>
  <c r="FM18" i="4"/>
  <c r="FN18" i="4"/>
  <c r="FO18" i="4"/>
  <c r="FP18" i="4"/>
  <c r="FQ18" i="4"/>
  <c r="FR18" i="4"/>
  <c r="GN18" i="4"/>
  <c r="GO18" i="4"/>
  <c r="GP18" i="4"/>
  <c r="GQ18" i="4"/>
  <c r="GR18" i="4"/>
  <c r="GS18" i="4"/>
  <c r="GU18" i="4"/>
  <c r="GV18" i="4"/>
  <c r="GW18" i="4"/>
  <c r="GX18" i="4"/>
  <c r="GY18" i="4"/>
  <c r="GZ18" i="4"/>
  <c r="HV18" i="4"/>
  <c r="HW18" i="4"/>
  <c r="HX18" i="4"/>
  <c r="HY18" i="4"/>
  <c r="HZ18" i="4"/>
  <c r="IA18" i="4"/>
  <c r="IC18" i="4"/>
  <c r="ID18" i="4"/>
  <c r="IE18" i="4"/>
  <c r="IF18" i="4"/>
  <c r="IG18" i="4"/>
  <c r="IH18" i="4"/>
  <c r="JD18" i="4"/>
  <c r="JE18" i="4"/>
  <c r="JF18" i="4"/>
  <c r="JG18" i="4"/>
  <c r="JH18" i="4"/>
  <c r="JI18" i="4"/>
  <c r="JK18" i="4"/>
  <c r="JL18" i="4"/>
  <c r="JM18" i="4"/>
  <c r="JN18" i="4"/>
  <c r="JO18" i="4"/>
  <c r="JP18" i="4"/>
  <c r="KL18" i="4"/>
  <c r="KM18" i="4"/>
  <c r="KN18" i="4"/>
  <c r="KO18" i="4"/>
  <c r="KP18" i="4"/>
  <c r="KQ18" i="4"/>
  <c r="KS18" i="4"/>
  <c r="KT18" i="4"/>
  <c r="KU18" i="4"/>
  <c r="KV18" i="4"/>
  <c r="KW18" i="4"/>
  <c r="KX18" i="4"/>
  <c r="LT18" i="4"/>
  <c r="LU18" i="4"/>
  <c r="LV18" i="4"/>
  <c r="LW18" i="4"/>
  <c r="LX18" i="4"/>
  <c r="LY18" i="4"/>
  <c r="MA18" i="4"/>
  <c r="MB18" i="4"/>
  <c r="MC18" i="4"/>
  <c r="MD18" i="4"/>
  <c r="ME18" i="4"/>
  <c r="MF18" i="4"/>
  <c r="NB18" i="4"/>
  <c r="NC18" i="4"/>
  <c r="ND18" i="4"/>
  <c r="NE18" i="4"/>
  <c r="NF18" i="4"/>
  <c r="NG18" i="4"/>
  <c r="NI18" i="4"/>
  <c r="NJ18" i="4"/>
  <c r="NK18" i="4"/>
  <c r="NL18" i="4"/>
  <c r="NM18" i="4"/>
  <c r="NN18" i="4"/>
  <c r="OJ18" i="4"/>
  <c r="OK18" i="4"/>
  <c r="OL18" i="4"/>
  <c r="OM18" i="4"/>
  <c r="ON18" i="4"/>
  <c r="OO18" i="4"/>
  <c r="OQ18" i="4"/>
  <c r="OR18" i="4"/>
  <c r="OS18" i="4"/>
  <c r="OT18" i="4"/>
  <c r="OU18" i="4"/>
  <c r="OV18" i="4"/>
  <c r="PR18" i="4"/>
  <c r="PS18" i="4"/>
  <c r="PT18" i="4"/>
  <c r="PU18" i="4"/>
  <c r="PV18" i="4"/>
  <c r="PW18" i="4"/>
  <c r="PY18" i="4"/>
  <c r="PZ18" i="4"/>
  <c r="QA18" i="4"/>
  <c r="QB18" i="4"/>
  <c r="QC18" i="4"/>
  <c r="QD18" i="4"/>
  <c r="QZ18" i="4"/>
  <c r="RA18" i="4"/>
  <c r="RB18" i="4"/>
  <c r="RC18" i="4"/>
  <c r="RD18" i="4"/>
  <c r="RE18" i="4"/>
  <c r="RG18" i="4"/>
  <c r="RH18" i="4"/>
  <c r="RI18" i="4"/>
  <c r="RJ18" i="4"/>
  <c r="RK18" i="4"/>
  <c r="RL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GK17" i="19" l="1"/>
  <c r="BY17" i="19"/>
  <c r="C25" i="11"/>
  <c r="C24" i="11"/>
  <c r="D23" i="11"/>
  <c r="C23" i="11"/>
  <c r="D24" i="11"/>
  <c r="D25" i="11"/>
  <c r="D22" i="11"/>
  <c r="C18" i="11"/>
  <c r="C19" i="11"/>
  <c r="C20" i="11"/>
  <c r="D18" i="11"/>
  <c r="A10" i="22" a="1"/>
  <c r="A10" i="22" s="1"/>
  <c r="A8" i="22" a="1"/>
  <c r="A8" i="22" s="1"/>
  <c r="FL18" i="4"/>
  <c r="FS18" i="4" s="1"/>
  <c r="R18" i="4"/>
  <c r="S18" i="4" s="1"/>
  <c r="T18" i="4"/>
  <c r="U18" i="4" s="1"/>
  <c r="D19" i="11"/>
  <c r="C21" i="11"/>
  <c r="D21" i="11"/>
  <c r="A7" i="22" a="1"/>
  <c r="A7" i="22" s="1"/>
  <c r="A13" i="22" a="1"/>
  <c r="A13" i="22" s="1"/>
  <c r="A5" i="22" a="1"/>
  <c r="A5" i="22" s="1"/>
  <c r="A9" i="22" a="1"/>
  <c r="A9" i="22" s="1"/>
  <c r="A4" i="22" a="1"/>
  <c r="A4" i="22" s="1"/>
  <c r="A6" i="22" a="1"/>
  <c r="A6" i="22" s="1"/>
  <c r="DE17" i="19"/>
  <c r="KR18" i="4"/>
  <c r="KY18" i="4" s="1"/>
  <c r="RF18" i="4"/>
  <c r="RM18" i="4" s="1"/>
  <c r="GT18" i="4"/>
  <c r="HA18" i="4" s="1"/>
  <c r="BZ18" i="4"/>
  <c r="ED18" i="4"/>
  <c r="EK18" i="4" s="1"/>
  <c r="IO17" i="19"/>
  <c r="EG17" i="19"/>
  <c r="MW17" i="19"/>
  <c r="HM17" i="19"/>
  <c r="CW18" i="4"/>
  <c r="DA18" i="4" s="1"/>
  <c r="QC17" i="19"/>
  <c r="PA17" i="19"/>
  <c r="NY17" i="19"/>
  <c r="LU17" i="19"/>
  <c r="KS17" i="19"/>
  <c r="JQ17" i="19"/>
  <c r="FI17" i="19"/>
  <c r="N17" i="19"/>
  <c r="O17" i="19" s="1"/>
  <c r="RG17" i="19"/>
  <c r="DB17" i="19"/>
  <c r="L17" i="19"/>
  <c r="RH17" i="19"/>
  <c r="CB17" i="19"/>
  <c r="RD17" i="19"/>
  <c r="RC17" i="19"/>
  <c r="RB17" i="19"/>
  <c r="R17" i="19"/>
  <c r="DH17" i="19" s="1"/>
  <c r="F17" i="19"/>
  <c r="AV17" i="19"/>
  <c r="J17" i="19"/>
  <c r="K17" i="19" s="1"/>
  <c r="RE17" i="19"/>
  <c r="QF17" i="19"/>
  <c r="PD17" i="19"/>
  <c r="OB17" i="19"/>
  <c r="MZ17" i="19"/>
  <c r="LX17" i="19"/>
  <c r="KV17" i="19"/>
  <c r="JT17" i="19"/>
  <c r="IR17" i="19"/>
  <c r="HP17" i="19"/>
  <c r="GN17" i="19"/>
  <c r="FL17" i="19"/>
  <c r="EJ17" i="19"/>
  <c r="P17" i="19"/>
  <c r="G17" i="19"/>
  <c r="AY17" i="19"/>
  <c r="SN18" i="4"/>
  <c r="SU18" i="4" s="1"/>
  <c r="J18" i="4"/>
  <c r="K18" i="4" s="1"/>
  <c r="AY18" i="4"/>
  <c r="LZ18" i="4"/>
  <c r="MG18" i="4" s="1"/>
  <c r="PX18" i="4"/>
  <c r="QE18" i="4" s="1"/>
  <c r="TN18" i="4"/>
  <c r="OP18" i="4"/>
  <c r="OW18" i="4" s="1"/>
  <c r="NH18" i="4"/>
  <c r="NO18" i="4" s="1"/>
  <c r="JJ18" i="4"/>
  <c r="JQ18" i="4" s="1"/>
  <c r="IB18" i="4"/>
  <c r="II18" i="4" s="1"/>
  <c r="TQ18" i="4"/>
  <c r="TU18" i="4"/>
  <c r="L18" i="4"/>
  <c r="G18" i="4"/>
  <c r="I18" i="4"/>
  <c r="P18" i="4"/>
  <c r="DC18" i="4" s="1"/>
  <c r="N18" i="4"/>
  <c r="O18" i="4" s="1"/>
  <c r="F18" i="4"/>
  <c r="D17" i="11" l="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17" i="19"/>
  <c r="DF17" i="19"/>
  <c r="Q17" i="19"/>
  <c r="DG17" i="19"/>
  <c r="M18" i="4"/>
  <c r="DB18" i="4"/>
  <c r="V18" i="4" s="1"/>
  <c r="S17" i="19"/>
  <c r="I17" i="19"/>
  <c r="RI17" i="19"/>
  <c r="A18" i="4" a="1"/>
  <c r="A18" i="4" s="1"/>
  <c r="RF17" i="19"/>
  <c r="H17" i="19"/>
  <c r="A17" i="19"/>
  <c r="TR18" i="4"/>
  <c r="TV18" i="4" s="1"/>
  <c r="Q18" i="4"/>
  <c r="H18" i="4"/>
  <c r="T17" i="19" l="1"/>
  <c r="U17" i="19" s="1"/>
  <c r="X18" i="4"/>
  <c r="W18" i="4"/>
  <c r="E17" i="19"/>
  <c r="E18" i="4"/>
  <c r="V17" i="19" l="1"/>
  <c r="AO13" i="4"/>
  <c r="AP13" i="4"/>
  <c r="AQ13" i="4"/>
  <c r="AR13" i="4"/>
  <c r="AS13" i="4"/>
  <c r="AT13" i="4"/>
  <c r="AV13" i="4"/>
  <c r="AW13" i="4"/>
  <c r="AX13" i="4"/>
  <c r="BP13" i="4"/>
  <c r="BQ13" i="4"/>
  <c r="BR13" i="4"/>
  <c r="BS13" i="4"/>
  <c r="BT13" i="4"/>
  <c r="BU13" i="4"/>
  <c r="BW13" i="4"/>
  <c r="BX13" i="4"/>
  <c r="BY13" i="4"/>
  <c r="CQ13" i="4"/>
  <c r="CR13" i="4"/>
  <c r="CS13" i="4"/>
  <c r="CT13" i="4"/>
  <c r="CU13" i="4"/>
  <c r="CV13" i="4"/>
  <c r="CX13" i="4"/>
  <c r="CY13" i="4"/>
  <c r="CZ13" i="4"/>
  <c r="DX13" i="4"/>
  <c r="DY13" i="4"/>
  <c r="DZ13" i="4"/>
  <c r="EA13" i="4"/>
  <c r="EB13" i="4"/>
  <c r="EC13" i="4"/>
  <c r="EE13" i="4"/>
  <c r="EF13" i="4"/>
  <c r="EG13" i="4"/>
  <c r="EH13" i="4"/>
  <c r="EI13" i="4"/>
  <c r="EJ13" i="4"/>
  <c r="FF13" i="4"/>
  <c r="FG13" i="4"/>
  <c r="FH13" i="4"/>
  <c r="FI13" i="4"/>
  <c r="FJ13" i="4"/>
  <c r="FK13" i="4"/>
  <c r="FM13" i="4"/>
  <c r="FN13" i="4"/>
  <c r="FO13" i="4"/>
  <c r="FP13" i="4"/>
  <c r="FQ13" i="4"/>
  <c r="FR13" i="4"/>
  <c r="GN13" i="4"/>
  <c r="GO13" i="4"/>
  <c r="GP13" i="4"/>
  <c r="GQ13" i="4"/>
  <c r="GR13" i="4"/>
  <c r="GS13" i="4"/>
  <c r="GU13" i="4"/>
  <c r="GV13" i="4"/>
  <c r="GW13" i="4"/>
  <c r="GX13" i="4"/>
  <c r="GY13" i="4"/>
  <c r="GZ13" i="4"/>
  <c r="HV13" i="4"/>
  <c r="HW13" i="4"/>
  <c r="HX13" i="4"/>
  <c r="HY13" i="4"/>
  <c r="HZ13" i="4"/>
  <c r="IA13" i="4"/>
  <c r="IC13" i="4"/>
  <c r="ID13" i="4"/>
  <c r="IE13" i="4"/>
  <c r="IF13" i="4"/>
  <c r="IG13" i="4"/>
  <c r="IH13" i="4"/>
  <c r="JD13" i="4"/>
  <c r="JE13" i="4"/>
  <c r="JF13" i="4"/>
  <c r="JG13" i="4"/>
  <c r="JH13" i="4"/>
  <c r="JI13" i="4"/>
  <c r="JK13" i="4"/>
  <c r="JL13" i="4"/>
  <c r="JM13" i="4"/>
  <c r="JN13" i="4"/>
  <c r="JO13" i="4"/>
  <c r="JP13" i="4"/>
  <c r="KL13" i="4"/>
  <c r="KM13" i="4"/>
  <c r="KN13" i="4"/>
  <c r="KO13" i="4"/>
  <c r="KP13" i="4"/>
  <c r="KQ13" i="4"/>
  <c r="KS13" i="4"/>
  <c r="KT13" i="4"/>
  <c r="KU13" i="4"/>
  <c r="KV13" i="4"/>
  <c r="KW13" i="4"/>
  <c r="KX13" i="4"/>
  <c r="LT13" i="4"/>
  <c r="LU13" i="4"/>
  <c r="LV13" i="4"/>
  <c r="LW13" i="4"/>
  <c r="LX13" i="4"/>
  <c r="LY13" i="4"/>
  <c r="MA13" i="4"/>
  <c r="MB13" i="4"/>
  <c r="MC13" i="4"/>
  <c r="MD13" i="4"/>
  <c r="ME13" i="4"/>
  <c r="MF13" i="4"/>
  <c r="NB13" i="4"/>
  <c r="NC13" i="4"/>
  <c r="ND13" i="4"/>
  <c r="NE13" i="4"/>
  <c r="NF13" i="4"/>
  <c r="NG13" i="4"/>
  <c r="NI13" i="4"/>
  <c r="NJ13" i="4"/>
  <c r="NK13" i="4"/>
  <c r="NL13" i="4"/>
  <c r="NM13" i="4"/>
  <c r="NN13" i="4"/>
  <c r="OJ13" i="4"/>
  <c r="OK13" i="4"/>
  <c r="OL13" i="4"/>
  <c r="OM13" i="4"/>
  <c r="ON13" i="4"/>
  <c r="OO13" i="4"/>
  <c r="OQ13" i="4"/>
  <c r="OR13" i="4"/>
  <c r="OS13" i="4"/>
  <c r="OT13" i="4"/>
  <c r="OU13" i="4"/>
  <c r="OV13" i="4"/>
  <c r="PR13" i="4"/>
  <c r="PS13" i="4"/>
  <c r="PT13" i="4"/>
  <c r="PU13" i="4"/>
  <c r="PV13" i="4"/>
  <c r="PW13" i="4"/>
  <c r="PY13" i="4"/>
  <c r="PZ13" i="4"/>
  <c r="QA13" i="4"/>
  <c r="QB13" i="4"/>
  <c r="QC13" i="4"/>
  <c r="QD13" i="4"/>
  <c r="QZ13" i="4"/>
  <c r="RA13" i="4"/>
  <c r="RB13" i="4"/>
  <c r="RC13" i="4"/>
  <c r="RD13" i="4"/>
  <c r="RE13" i="4"/>
  <c r="RG13" i="4"/>
  <c r="RH13" i="4"/>
  <c r="RI13" i="4"/>
  <c r="RJ13" i="4"/>
  <c r="RK13" i="4"/>
  <c r="RL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T13" i="4" l="1"/>
  <c r="U13" i="4" s="1"/>
  <c r="R13" i="4"/>
  <c r="S13" i="4" s="1"/>
  <c r="JJ13" i="4"/>
  <c r="RF13" i="4"/>
  <c r="RM13" i="4" s="1"/>
  <c r="OP13" i="4"/>
  <c r="OW13" i="4" s="1"/>
  <c r="LZ13" i="4"/>
  <c r="MG13" i="4" s="1"/>
  <c r="ED13" i="4"/>
  <c r="EK13" i="4" s="1"/>
  <c r="GT13" i="4"/>
  <c r="HA13" i="4" s="1"/>
  <c r="NH13" i="4"/>
  <c r="NO13" i="4" s="1"/>
  <c r="IB13" i="4"/>
  <c r="II13" i="4" s="1"/>
  <c r="SN13" i="4"/>
  <c r="SU13" i="4" s="1"/>
  <c r="BV13" i="4"/>
  <c r="BZ13" i="4" s="1"/>
  <c r="CW13" i="4"/>
  <c r="DA13" i="4" s="1"/>
  <c r="PX13" i="4"/>
  <c r="QE13" i="4" s="1"/>
  <c r="KR13" i="4"/>
  <c r="KY13" i="4" s="1"/>
  <c r="JQ13" i="4"/>
  <c r="FL13" i="4"/>
  <c r="FS13" i="4" s="1"/>
  <c r="TQ13" i="4"/>
  <c r="TU13" i="4"/>
  <c r="P13" i="4"/>
  <c r="DC13" i="4" s="1"/>
  <c r="L13" i="4"/>
  <c r="F13" i="4"/>
  <c r="J13" i="4"/>
  <c r="I13" i="4"/>
  <c r="TN13" i="4"/>
  <c r="AU13" i="4"/>
  <c r="AY13" i="4" s="1"/>
  <c r="G13" i="4"/>
  <c r="N13" i="4"/>
  <c r="O13" i="4" s="1"/>
  <c r="M13" i="4" l="1"/>
  <c r="DB13" i="4"/>
  <c r="V13" i="4" s="1"/>
  <c r="TR13" i="4"/>
  <c r="TV13" i="4" s="1"/>
  <c r="Q13" i="4"/>
  <c r="H13" i="4"/>
  <c r="K13" i="4"/>
  <c r="A13" i="4" a="1"/>
  <c r="A13" i="4" s="1"/>
  <c r="X13" i="4" l="1"/>
  <c r="W13" i="4"/>
  <c r="E13" i="4"/>
  <c r="CA13" i="21" l="1"/>
  <c r="BZ13" i="21"/>
  <c r="BX13" i="21"/>
  <c r="BW13" i="21"/>
  <c r="BV13" i="21"/>
  <c r="BU13" i="21"/>
  <c r="CA9" i="21"/>
  <c r="BZ9" i="21"/>
  <c r="BX9" i="21"/>
  <c r="BW9" i="21"/>
  <c r="BV9" i="21"/>
  <c r="BU9" i="21"/>
  <c r="CA10" i="21"/>
  <c r="BZ10" i="21"/>
  <c r="BX10" i="21"/>
  <c r="BW10" i="21"/>
  <c r="BV10" i="21"/>
  <c r="BU10" i="21"/>
  <c r="CA14" i="21"/>
  <c r="BZ14" i="21"/>
  <c r="BX14" i="21"/>
  <c r="BW14" i="21"/>
  <c r="BV14" i="21"/>
  <c r="BU14" i="21"/>
  <c r="CA8" i="21"/>
  <c r="BZ8" i="21"/>
  <c r="BX8" i="21"/>
  <c r="BW8" i="21"/>
  <c r="BV8" i="21"/>
  <c r="BU8" i="21"/>
  <c r="CA11" i="21"/>
  <c r="BZ11" i="21"/>
  <c r="BX11" i="21"/>
  <c r="BW11" i="21"/>
  <c r="BV11" i="21"/>
  <c r="BU11" i="21"/>
  <c r="CA12" i="21"/>
  <c r="BZ12" i="21"/>
  <c r="BX12" i="21"/>
  <c r="BW12" i="21"/>
  <c r="BV12" i="21"/>
  <c r="BU12" i="21"/>
  <c r="CA7" i="21"/>
  <c r="BZ7" i="21"/>
  <c r="BX7" i="21"/>
  <c r="BW7" i="21"/>
  <c r="BV7" i="21"/>
  <c r="BU7" i="21"/>
  <c r="CA4" i="21"/>
  <c r="BZ4" i="21"/>
  <c r="BX4" i="21"/>
  <c r="BW4" i="21"/>
  <c r="BV4" i="21"/>
  <c r="BU4" i="21"/>
  <c r="CA5" i="21"/>
  <c r="BZ5" i="21"/>
  <c r="BX5" i="21"/>
  <c r="BW5" i="21"/>
  <c r="BV5" i="21"/>
  <c r="BU5" i="21"/>
  <c r="CA6" i="21"/>
  <c r="BZ6" i="21"/>
  <c r="BX6" i="21"/>
  <c r="BW6" i="21"/>
  <c r="BV6" i="21"/>
  <c r="BU6" i="21"/>
  <c r="AX13" i="21"/>
  <c r="AW13" i="21"/>
  <c r="AU13" i="21"/>
  <c r="AT13" i="21"/>
  <c r="AS13" i="21"/>
  <c r="AR13" i="21"/>
  <c r="AX9" i="21"/>
  <c r="AW9" i="21"/>
  <c r="AU9" i="21"/>
  <c r="AT9" i="21"/>
  <c r="AS9" i="21"/>
  <c r="AR9" i="21"/>
  <c r="AX10" i="21"/>
  <c r="AW10" i="21"/>
  <c r="AU10" i="21"/>
  <c r="AT10" i="21"/>
  <c r="AS10" i="21"/>
  <c r="AR10" i="21"/>
  <c r="AX14" i="21"/>
  <c r="AW14" i="21"/>
  <c r="AU14" i="21"/>
  <c r="AT14" i="21"/>
  <c r="AS14" i="21"/>
  <c r="AR14" i="21"/>
  <c r="AX8" i="21"/>
  <c r="AW8" i="21"/>
  <c r="AU8" i="21"/>
  <c r="AT8" i="21"/>
  <c r="AS8" i="21"/>
  <c r="AR8" i="21"/>
  <c r="AX11" i="21"/>
  <c r="AW11" i="21"/>
  <c r="AU11" i="21"/>
  <c r="AT11" i="21"/>
  <c r="AS11" i="21"/>
  <c r="AR11" i="21"/>
  <c r="AX12" i="21"/>
  <c r="AW12" i="21"/>
  <c r="AU12" i="21"/>
  <c r="AT12" i="21"/>
  <c r="AS12" i="21"/>
  <c r="AR12" i="21"/>
  <c r="AX7" i="21"/>
  <c r="AW7" i="21"/>
  <c r="AU7" i="21"/>
  <c r="AT7" i="21"/>
  <c r="AS7" i="21"/>
  <c r="AR7" i="21"/>
  <c r="AX4" i="21"/>
  <c r="AW4" i="21"/>
  <c r="AU4" i="21"/>
  <c r="AT4" i="21"/>
  <c r="AS4" i="21"/>
  <c r="AR4" i="21"/>
  <c r="AX5" i="21"/>
  <c r="AW5" i="21"/>
  <c r="AU5" i="21"/>
  <c r="AT5" i="21"/>
  <c r="AS5" i="21"/>
  <c r="AR5" i="21"/>
  <c r="AX6" i="21"/>
  <c r="AW6" i="21"/>
  <c r="AU6" i="21"/>
  <c r="AT6" i="21"/>
  <c r="AS6" i="21"/>
  <c r="AR6" i="21"/>
  <c r="CA9" i="19"/>
  <c r="BZ9" i="19"/>
  <c r="BX9" i="19"/>
  <c r="BW9" i="19"/>
  <c r="BV9" i="19"/>
  <c r="BU9" i="19"/>
  <c r="CA10" i="19"/>
  <c r="BZ10" i="19"/>
  <c r="BX10" i="19"/>
  <c r="BW10" i="19"/>
  <c r="BV10" i="19"/>
  <c r="BU10" i="19"/>
  <c r="CA14" i="19"/>
  <c r="BZ14" i="19"/>
  <c r="BX14" i="19"/>
  <c r="BW14" i="19"/>
  <c r="BV14" i="19"/>
  <c r="BU14" i="19"/>
  <c r="CA15" i="19"/>
  <c r="BZ15" i="19"/>
  <c r="BX15" i="19"/>
  <c r="BW15" i="19"/>
  <c r="BV15" i="19"/>
  <c r="BU15" i="19"/>
  <c r="CA6" i="19"/>
  <c r="BZ6" i="19"/>
  <c r="BX6" i="19"/>
  <c r="BW6" i="19"/>
  <c r="BV6" i="19"/>
  <c r="BU6" i="19"/>
  <c r="CA12" i="19"/>
  <c r="BZ12" i="19"/>
  <c r="BX12" i="19"/>
  <c r="BW12" i="19"/>
  <c r="BV12" i="19"/>
  <c r="BU12" i="19"/>
  <c r="CA11" i="19"/>
  <c r="BZ11" i="19"/>
  <c r="BX11" i="19"/>
  <c r="BW11" i="19"/>
  <c r="BV11" i="19"/>
  <c r="BU11" i="19"/>
  <c r="CA16" i="19"/>
  <c r="BZ16" i="19"/>
  <c r="BX16" i="19"/>
  <c r="BW16" i="19"/>
  <c r="BV16" i="19"/>
  <c r="BU16" i="19"/>
  <c r="CA13" i="19"/>
  <c r="BZ13" i="19"/>
  <c r="BX13" i="19"/>
  <c r="BW13" i="19"/>
  <c r="BV13" i="19"/>
  <c r="BU13" i="19"/>
  <c r="CA7" i="19"/>
  <c r="BZ7" i="19"/>
  <c r="BX7" i="19"/>
  <c r="BW7" i="19"/>
  <c r="BV7" i="19"/>
  <c r="BU7" i="19"/>
  <c r="CA4" i="19"/>
  <c r="BZ4" i="19"/>
  <c r="BX4" i="19"/>
  <c r="BW4" i="19"/>
  <c r="BV4" i="19"/>
  <c r="BU4" i="19"/>
  <c r="CA5" i="19"/>
  <c r="BZ5" i="19"/>
  <c r="BX5" i="19"/>
  <c r="BW5" i="19"/>
  <c r="BV5" i="19"/>
  <c r="BU5" i="19"/>
  <c r="AX9" i="19"/>
  <c r="AW9" i="19"/>
  <c r="AU9" i="19"/>
  <c r="AT9" i="19"/>
  <c r="AS9" i="19"/>
  <c r="AR9" i="19"/>
  <c r="AX10" i="19"/>
  <c r="AW10" i="19"/>
  <c r="AU10" i="19"/>
  <c r="AT10" i="19"/>
  <c r="AS10" i="19"/>
  <c r="AR10" i="19"/>
  <c r="AX14" i="19"/>
  <c r="AW14" i="19"/>
  <c r="AU14" i="19"/>
  <c r="AT14" i="19"/>
  <c r="AS14" i="19"/>
  <c r="AR14" i="19"/>
  <c r="AX15" i="19"/>
  <c r="AW15" i="19"/>
  <c r="AU15" i="19"/>
  <c r="AT15" i="19"/>
  <c r="AS15" i="19"/>
  <c r="AR15" i="19"/>
  <c r="AX6" i="19"/>
  <c r="AW6" i="19"/>
  <c r="AU6" i="19"/>
  <c r="AT6" i="19"/>
  <c r="AS6" i="19"/>
  <c r="AR6" i="19"/>
  <c r="AX12" i="19"/>
  <c r="AW12" i="19"/>
  <c r="AU12" i="19"/>
  <c r="AT12" i="19"/>
  <c r="AS12" i="19"/>
  <c r="AR12" i="19"/>
  <c r="AX11" i="19"/>
  <c r="AW11" i="19"/>
  <c r="AU11" i="19"/>
  <c r="AT11" i="19"/>
  <c r="AS11" i="19"/>
  <c r="AR11" i="19"/>
  <c r="AX16" i="19"/>
  <c r="AW16" i="19"/>
  <c r="AU16" i="19"/>
  <c r="AT16" i="19"/>
  <c r="AS16" i="19"/>
  <c r="AR16" i="19"/>
  <c r="AX13" i="19"/>
  <c r="AW13" i="19"/>
  <c r="AU13" i="19"/>
  <c r="AT13" i="19"/>
  <c r="AS13" i="19"/>
  <c r="AR13" i="19"/>
  <c r="AX7" i="19"/>
  <c r="AW7" i="19"/>
  <c r="AU7" i="19"/>
  <c r="AT7" i="19"/>
  <c r="AS7" i="19"/>
  <c r="AR7" i="19"/>
  <c r="AX4" i="19"/>
  <c r="AW4" i="19"/>
  <c r="AU4" i="19"/>
  <c r="AT4" i="19"/>
  <c r="AS4" i="19"/>
  <c r="AR4" i="19"/>
  <c r="AX5" i="19"/>
  <c r="AW5" i="19"/>
  <c r="AU5" i="19"/>
  <c r="AT5" i="19"/>
  <c r="AS5" i="19"/>
  <c r="AR5" i="19"/>
  <c r="BS5" i="8"/>
  <c r="BR5" i="8"/>
  <c r="BQ5" i="8"/>
  <c r="BP5" i="8"/>
  <c r="BO5" i="8"/>
  <c r="BS6" i="8"/>
  <c r="BR6" i="8"/>
  <c r="BQ6" i="8"/>
  <c r="BP6" i="8"/>
  <c r="BO6" i="8"/>
  <c r="BS7" i="8"/>
  <c r="BR7" i="8"/>
  <c r="BQ7" i="8"/>
  <c r="BP7" i="8"/>
  <c r="BO7" i="8"/>
  <c r="BS4" i="8"/>
  <c r="BR4" i="8"/>
  <c r="BQ4" i="8"/>
  <c r="BP4" i="8"/>
  <c r="BO4" i="8"/>
  <c r="AR5" i="8"/>
  <c r="AQ5" i="8"/>
  <c r="AP5" i="8"/>
  <c r="AO5" i="8"/>
  <c r="AN5" i="8"/>
  <c r="AR6" i="8"/>
  <c r="AQ6" i="8"/>
  <c r="AP6" i="8"/>
  <c r="AO6" i="8"/>
  <c r="AN6" i="8"/>
  <c r="AR7" i="8"/>
  <c r="AQ7" i="8"/>
  <c r="AP7" i="8"/>
  <c r="AO7" i="8"/>
  <c r="AN7" i="8"/>
  <c r="AR4" i="8"/>
  <c r="AQ4" i="8"/>
  <c r="AP4" i="8"/>
  <c r="AO4" i="8"/>
  <c r="AN4" i="8"/>
  <c r="BS4" i="18"/>
  <c r="BR4" i="18"/>
  <c r="BQ4" i="18"/>
  <c r="BP4" i="18"/>
  <c r="BO4" i="18"/>
  <c r="BS5" i="18"/>
  <c r="BR5" i="18"/>
  <c r="BQ5" i="18"/>
  <c r="BP5" i="18"/>
  <c r="BO5" i="18"/>
  <c r="AR4" i="18"/>
  <c r="AQ4" i="18"/>
  <c r="AP4" i="18"/>
  <c r="AO4" i="18"/>
  <c r="AN4" i="18"/>
  <c r="AR5" i="18"/>
  <c r="AQ5" i="18"/>
  <c r="AP5" i="18"/>
  <c r="AO5" i="18"/>
  <c r="AN5" i="18"/>
  <c r="BY22" i="4"/>
  <c r="BX22" i="4"/>
  <c r="BW22" i="4"/>
  <c r="BU22" i="4"/>
  <c r="BT22" i="4"/>
  <c r="BS22" i="4"/>
  <c r="BR22" i="4"/>
  <c r="BV22" i="4" s="1"/>
  <c r="BQ22" i="4"/>
  <c r="BP22" i="4"/>
  <c r="BY19" i="4"/>
  <c r="BX19" i="4"/>
  <c r="BW19" i="4"/>
  <c r="BU19" i="4"/>
  <c r="BT19" i="4"/>
  <c r="BS19" i="4"/>
  <c r="BR19" i="4"/>
  <c r="BQ19" i="4"/>
  <c r="BP19" i="4"/>
  <c r="BY15" i="4"/>
  <c r="BX15" i="4"/>
  <c r="BW15" i="4"/>
  <c r="BU15" i="4"/>
  <c r="BT15" i="4"/>
  <c r="BS15" i="4"/>
  <c r="BR15" i="4"/>
  <c r="BQ15" i="4"/>
  <c r="BP15" i="4"/>
  <c r="BY17" i="4"/>
  <c r="BX17" i="4"/>
  <c r="BW17" i="4"/>
  <c r="BU17" i="4"/>
  <c r="BT17" i="4"/>
  <c r="BS17" i="4"/>
  <c r="BR17" i="4"/>
  <c r="BQ17" i="4"/>
  <c r="BP17" i="4"/>
  <c r="BY14" i="4"/>
  <c r="BX14" i="4"/>
  <c r="BW14" i="4"/>
  <c r="BU14" i="4"/>
  <c r="BT14" i="4"/>
  <c r="BS14" i="4"/>
  <c r="BR14" i="4"/>
  <c r="BQ14" i="4"/>
  <c r="BP14" i="4"/>
  <c r="BY21" i="4"/>
  <c r="BX21" i="4"/>
  <c r="BW21" i="4"/>
  <c r="BU21" i="4"/>
  <c r="BT21" i="4"/>
  <c r="BS21" i="4"/>
  <c r="BR21" i="4"/>
  <c r="BQ21" i="4"/>
  <c r="BP21" i="4"/>
  <c r="BY11" i="4"/>
  <c r="BX11" i="4"/>
  <c r="BW11" i="4"/>
  <c r="BU11" i="4"/>
  <c r="BT11" i="4"/>
  <c r="BS11" i="4"/>
  <c r="BR11" i="4"/>
  <c r="BQ11" i="4"/>
  <c r="BP11" i="4"/>
  <c r="BY16" i="4"/>
  <c r="BX16" i="4"/>
  <c r="BW16" i="4"/>
  <c r="BU16" i="4"/>
  <c r="BT16" i="4"/>
  <c r="BS16" i="4"/>
  <c r="BR16" i="4"/>
  <c r="BQ16" i="4"/>
  <c r="BP16" i="4"/>
  <c r="BY20" i="4"/>
  <c r="BX20" i="4"/>
  <c r="BW20" i="4"/>
  <c r="BU20" i="4"/>
  <c r="BT20" i="4"/>
  <c r="BS20" i="4"/>
  <c r="BR20" i="4"/>
  <c r="BV20" i="4" s="1"/>
  <c r="BQ20" i="4"/>
  <c r="BP20" i="4"/>
  <c r="BY12" i="4"/>
  <c r="BX12" i="4"/>
  <c r="BW12" i="4"/>
  <c r="BU12" i="4"/>
  <c r="BT12" i="4"/>
  <c r="BS12" i="4"/>
  <c r="BR12" i="4"/>
  <c r="BQ12" i="4"/>
  <c r="BP12" i="4"/>
  <c r="BY9" i="4"/>
  <c r="BX9" i="4"/>
  <c r="BW9" i="4"/>
  <c r="BU9" i="4"/>
  <c r="BT9" i="4"/>
  <c r="BS9" i="4"/>
  <c r="BR9" i="4"/>
  <c r="BQ9" i="4"/>
  <c r="BP9" i="4"/>
  <c r="BY7" i="4"/>
  <c r="BX7" i="4"/>
  <c r="BW7" i="4"/>
  <c r="BU7" i="4"/>
  <c r="BT7" i="4"/>
  <c r="BS7" i="4"/>
  <c r="BR7" i="4"/>
  <c r="BQ7" i="4"/>
  <c r="BP7" i="4"/>
  <c r="BY8" i="4"/>
  <c r="BX8" i="4"/>
  <c r="BW8" i="4"/>
  <c r="BU8" i="4"/>
  <c r="BT8" i="4"/>
  <c r="BS8" i="4"/>
  <c r="BR8" i="4"/>
  <c r="BQ8" i="4"/>
  <c r="BP8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BY10" i="4"/>
  <c r="BX10" i="4"/>
  <c r="BW10" i="4"/>
  <c r="BU10" i="4"/>
  <c r="BT10" i="4"/>
  <c r="BS10" i="4"/>
  <c r="BR10" i="4"/>
  <c r="BV10" i="4" s="1"/>
  <c r="BQ10" i="4"/>
  <c r="BP10" i="4"/>
  <c r="AX22" i="4"/>
  <c r="AW22" i="4"/>
  <c r="AV22" i="4"/>
  <c r="AT22" i="4"/>
  <c r="AS22" i="4"/>
  <c r="AR22" i="4"/>
  <c r="AQ22" i="4"/>
  <c r="AU22" i="4" s="1"/>
  <c r="AP22" i="4"/>
  <c r="AO22" i="4"/>
  <c r="AX19" i="4"/>
  <c r="AW19" i="4"/>
  <c r="AV19" i="4"/>
  <c r="AT19" i="4"/>
  <c r="AS19" i="4"/>
  <c r="AR19" i="4"/>
  <c r="AQ19" i="4"/>
  <c r="AP19" i="4"/>
  <c r="AO19" i="4"/>
  <c r="AX15" i="4"/>
  <c r="AW15" i="4"/>
  <c r="AV15" i="4"/>
  <c r="AT15" i="4"/>
  <c r="AS15" i="4"/>
  <c r="AR15" i="4"/>
  <c r="AQ15" i="4"/>
  <c r="AU15" i="4" s="1"/>
  <c r="AP15" i="4"/>
  <c r="AO15" i="4"/>
  <c r="AX17" i="4"/>
  <c r="AW17" i="4"/>
  <c r="AV17" i="4"/>
  <c r="AT17" i="4"/>
  <c r="AS17" i="4"/>
  <c r="AR17" i="4"/>
  <c r="AQ17" i="4"/>
  <c r="AP17" i="4"/>
  <c r="AO17" i="4"/>
  <c r="AX14" i="4"/>
  <c r="AW14" i="4"/>
  <c r="AV14" i="4"/>
  <c r="AT14" i="4"/>
  <c r="AS14" i="4"/>
  <c r="AR14" i="4"/>
  <c r="AQ14" i="4"/>
  <c r="AP14" i="4"/>
  <c r="AO14" i="4"/>
  <c r="AX21" i="4"/>
  <c r="AW21" i="4"/>
  <c r="AV21" i="4"/>
  <c r="AT21" i="4"/>
  <c r="AS21" i="4"/>
  <c r="AR21" i="4"/>
  <c r="AQ21" i="4"/>
  <c r="AP21" i="4"/>
  <c r="AO21" i="4"/>
  <c r="AX11" i="4"/>
  <c r="AW11" i="4"/>
  <c r="AV11" i="4"/>
  <c r="AT11" i="4"/>
  <c r="AS11" i="4"/>
  <c r="AR11" i="4"/>
  <c r="AQ11" i="4"/>
  <c r="AP11" i="4"/>
  <c r="AO11" i="4"/>
  <c r="AX16" i="4"/>
  <c r="AW16" i="4"/>
  <c r="AV16" i="4"/>
  <c r="AT16" i="4"/>
  <c r="AS16" i="4"/>
  <c r="AR16" i="4"/>
  <c r="AQ16" i="4"/>
  <c r="AP16" i="4"/>
  <c r="AO16" i="4"/>
  <c r="AX20" i="4"/>
  <c r="AW20" i="4"/>
  <c r="AV20" i="4"/>
  <c r="AT20" i="4"/>
  <c r="AS20" i="4"/>
  <c r="AR20" i="4"/>
  <c r="AQ20" i="4"/>
  <c r="AP20" i="4"/>
  <c r="AO20" i="4"/>
  <c r="AX12" i="4"/>
  <c r="AW12" i="4"/>
  <c r="AV12" i="4"/>
  <c r="AT12" i="4"/>
  <c r="AS12" i="4"/>
  <c r="AR12" i="4"/>
  <c r="AQ12" i="4"/>
  <c r="AP12" i="4"/>
  <c r="AO12" i="4"/>
  <c r="AX9" i="4"/>
  <c r="AW9" i="4"/>
  <c r="AV9" i="4"/>
  <c r="AT9" i="4"/>
  <c r="AS9" i="4"/>
  <c r="AR9" i="4"/>
  <c r="AQ9" i="4"/>
  <c r="AP9" i="4"/>
  <c r="AO9" i="4"/>
  <c r="AX7" i="4"/>
  <c r="AW7" i="4"/>
  <c r="AV7" i="4"/>
  <c r="AT7" i="4"/>
  <c r="AS7" i="4"/>
  <c r="AR7" i="4"/>
  <c r="AQ7" i="4"/>
  <c r="AP7" i="4"/>
  <c r="AO7" i="4"/>
  <c r="AX8" i="4"/>
  <c r="AW8" i="4"/>
  <c r="AV8" i="4"/>
  <c r="AT8" i="4"/>
  <c r="AS8" i="4"/>
  <c r="AR8" i="4"/>
  <c r="AQ8" i="4"/>
  <c r="AP8" i="4"/>
  <c r="AO8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AX10" i="4"/>
  <c r="AW10" i="4"/>
  <c r="AV10" i="4"/>
  <c r="AT10" i="4"/>
  <c r="AS10" i="4"/>
  <c r="AR10" i="4"/>
  <c r="AQ10" i="4"/>
  <c r="AP10" i="4"/>
  <c r="AO10" i="4"/>
  <c r="QZ13" i="21"/>
  <c r="QY13" i="21"/>
  <c r="QX13" i="21"/>
  <c r="QW13" i="21"/>
  <c r="QV13" i="21"/>
  <c r="QU13" i="21"/>
  <c r="QT13" i="21"/>
  <c r="QS13" i="21"/>
  <c r="QR13" i="21"/>
  <c r="QQ13" i="21"/>
  <c r="QP13" i="21"/>
  <c r="QO13" i="21"/>
  <c r="QN13" i="21"/>
  <c r="QM13" i="21"/>
  <c r="QL13" i="21"/>
  <c r="QK13" i="21"/>
  <c r="QJ13" i="21"/>
  <c r="QI13" i="21"/>
  <c r="QH13" i="21"/>
  <c r="QG13" i="21"/>
  <c r="QE13" i="21"/>
  <c r="QD13" i="21"/>
  <c r="QB13" i="21"/>
  <c r="QA13" i="21"/>
  <c r="PZ13" i="21"/>
  <c r="PY13" i="21"/>
  <c r="PC13" i="21"/>
  <c r="PB13" i="21"/>
  <c r="OZ13" i="21"/>
  <c r="OY13" i="21"/>
  <c r="OX13" i="21"/>
  <c r="OW13" i="21"/>
  <c r="OA13" i="21"/>
  <c r="NZ13" i="21"/>
  <c r="NX13" i="21"/>
  <c r="NW13" i="21"/>
  <c r="NV13" i="21"/>
  <c r="NU13" i="21"/>
  <c r="MY13" i="21"/>
  <c r="MX13" i="21"/>
  <c r="MV13" i="21"/>
  <c r="MU13" i="21"/>
  <c r="MT13" i="21"/>
  <c r="MS13" i="21"/>
  <c r="LW13" i="21"/>
  <c r="LV13" i="21"/>
  <c r="LT13" i="21"/>
  <c r="LS13" i="21"/>
  <c r="LR13" i="21"/>
  <c r="LQ13" i="21"/>
  <c r="KU13" i="21"/>
  <c r="KT13" i="21"/>
  <c r="KR13" i="21"/>
  <c r="KQ13" i="21"/>
  <c r="KP13" i="21"/>
  <c r="KO13" i="21"/>
  <c r="JS13" i="21"/>
  <c r="JR13" i="21"/>
  <c r="JP13" i="21"/>
  <c r="JO13" i="21"/>
  <c r="JN13" i="21"/>
  <c r="JM13" i="21"/>
  <c r="IQ13" i="21"/>
  <c r="IP13" i="21"/>
  <c r="IN13" i="21"/>
  <c r="IM13" i="21"/>
  <c r="IL13" i="21"/>
  <c r="IK13" i="21"/>
  <c r="HO13" i="21"/>
  <c r="HN13" i="21"/>
  <c r="HL13" i="21"/>
  <c r="HK13" i="21"/>
  <c r="HJ13" i="21"/>
  <c r="HI13" i="21"/>
  <c r="GM13" i="21"/>
  <c r="GL13" i="21"/>
  <c r="GJ13" i="21"/>
  <c r="GI13" i="21"/>
  <c r="GH13" i="21"/>
  <c r="GG13" i="21"/>
  <c r="FK13" i="21"/>
  <c r="FJ13" i="21"/>
  <c r="FH13" i="21"/>
  <c r="FG13" i="21"/>
  <c r="FF13" i="21"/>
  <c r="FE13" i="21"/>
  <c r="EI13" i="21"/>
  <c r="EH13" i="21"/>
  <c r="EF13" i="21"/>
  <c r="EE13" i="21"/>
  <c r="ED13" i="21"/>
  <c r="EC13" i="21"/>
  <c r="DD13" i="21"/>
  <c r="DC13" i="21"/>
  <c r="DA13" i="21"/>
  <c r="CZ13" i="21"/>
  <c r="CY13" i="21"/>
  <c r="CX13" i="21"/>
  <c r="QZ9" i="21"/>
  <c r="QY9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E9" i="21"/>
  <c r="QD9" i="21"/>
  <c r="QB9" i="21"/>
  <c r="QA9" i="21"/>
  <c r="PZ9" i="21"/>
  <c r="PY9" i="21"/>
  <c r="PC9" i="21"/>
  <c r="PB9" i="21"/>
  <c r="OZ9" i="21"/>
  <c r="OY9" i="21"/>
  <c r="OX9" i="21"/>
  <c r="OW9" i="21"/>
  <c r="OA9" i="21"/>
  <c r="NZ9" i="21"/>
  <c r="NX9" i="21"/>
  <c r="NW9" i="21"/>
  <c r="NV9" i="21"/>
  <c r="NU9" i="21"/>
  <c r="MY9" i="21"/>
  <c r="MX9" i="21"/>
  <c r="MV9" i="21"/>
  <c r="MU9" i="21"/>
  <c r="MT9" i="21"/>
  <c r="MS9" i="21"/>
  <c r="LW9" i="21"/>
  <c r="LV9" i="21"/>
  <c r="LT9" i="21"/>
  <c r="LS9" i="21"/>
  <c r="LR9" i="21"/>
  <c r="LQ9" i="21"/>
  <c r="KU9" i="21"/>
  <c r="KT9" i="21"/>
  <c r="KR9" i="21"/>
  <c r="KQ9" i="21"/>
  <c r="KP9" i="21"/>
  <c r="KO9" i="21"/>
  <c r="JS9" i="21"/>
  <c r="JR9" i="21"/>
  <c r="JP9" i="21"/>
  <c r="JO9" i="21"/>
  <c r="JN9" i="21"/>
  <c r="JM9" i="21"/>
  <c r="IQ9" i="21"/>
  <c r="IP9" i="21"/>
  <c r="IN9" i="21"/>
  <c r="IM9" i="21"/>
  <c r="IL9" i="21"/>
  <c r="IK9" i="21"/>
  <c r="HO9" i="21"/>
  <c r="HN9" i="21"/>
  <c r="HL9" i="21"/>
  <c r="HK9" i="21"/>
  <c r="HJ9" i="21"/>
  <c r="HI9" i="21"/>
  <c r="GM9" i="21"/>
  <c r="GL9" i="21"/>
  <c r="GJ9" i="21"/>
  <c r="GI9" i="21"/>
  <c r="GH9" i="21"/>
  <c r="GG9" i="21"/>
  <c r="FK9" i="21"/>
  <c r="FJ9" i="21"/>
  <c r="FH9" i="21"/>
  <c r="FG9" i="21"/>
  <c r="FF9" i="21"/>
  <c r="FE9" i="21"/>
  <c r="EI9" i="21"/>
  <c r="EH9" i="21"/>
  <c r="EF9" i="21"/>
  <c r="EE9" i="21"/>
  <c r="ED9" i="21"/>
  <c r="EC9" i="21"/>
  <c r="DD9" i="21"/>
  <c r="DC9" i="21"/>
  <c r="DA9" i="21"/>
  <c r="CZ9" i="21"/>
  <c r="CY9" i="21"/>
  <c r="CX9" i="21"/>
  <c r="QZ10" i="21"/>
  <c r="QY10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E10" i="21"/>
  <c r="QD10" i="21"/>
  <c r="QB10" i="21"/>
  <c r="QA10" i="21"/>
  <c r="PZ10" i="21"/>
  <c r="PY10" i="21"/>
  <c r="PC10" i="21"/>
  <c r="PB10" i="21"/>
  <c r="OZ10" i="21"/>
  <c r="OY10" i="21"/>
  <c r="OX10" i="21"/>
  <c r="OW10" i="21"/>
  <c r="OA10" i="21"/>
  <c r="NZ10" i="21"/>
  <c r="NX10" i="21"/>
  <c r="NW10" i="21"/>
  <c r="NV10" i="21"/>
  <c r="NU10" i="21"/>
  <c r="MY10" i="21"/>
  <c r="MX10" i="21"/>
  <c r="MV10" i="21"/>
  <c r="MU10" i="21"/>
  <c r="MT10" i="21"/>
  <c r="MS10" i="21"/>
  <c r="LW10" i="21"/>
  <c r="LV10" i="21"/>
  <c r="LT10" i="21"/>
  <c r="LS10" i="21"/>
  <c r="LR10" i="21"/>
  <c r="LQ10" i="21"/>
  <c r="KU10" i="21"/>
  <c r="KT10" i="21"/>
  <c r="KR10" i="21"/>
  <c r="KQ10" i="21"/>
  <c r="KP10" i="21"/>
  <c r="KO10" i="21"/>
  <c r="JS10" i="21"/>
  <c r="JR10" i="21"/>
  <c r="JP10" i="21"/>
  <c r="JO10" i="21"/>
  <c r="JN10" i="21"/>
  <c r="JM10" i="21"/>
  <c r="IQ10" i="21"/>
  <c r="IP10" i="21"/>
  <c r="IN10" i="21"/>
  <c r="IM10" i="21"/>
  <c r="IL10" i="21"/>
  <c r="IK10" i="21"/>
  <c r="HO10" i="21"/>
  <c r="HN10" i="21"/>
  <c r="HL10" i="21"/>
  <c r="HK10" i="21"/>
  <c r="HJ10" i="21"/>
  <c r="HI10" i="21"/>
  <c r="GM10" i="21"/>
  <c r="GL10" i="21"/>
  <c r="GJ10" i="21"/>
  <c r="GI10" i="21"/>
  <c r="GH10" i="21"/>
  <c r="GG10" i="21"/>
  <c r="FK10" i="21"/>
  <c r="FJ10" i="21"/>
  <c r="FH10" i="21"/>
  <c r="FG10" i="21"/>
  <c r="FF10" i="21"/>
  <c r="FE10" i="21"/>
  <c r="EI10" i="21"/>
  <c r="EH10" i="21"/>
  <c r="EF10" i="21"/>
  <c r="EE10" i="21"/>
  <c r="ED10" i="21"/>
  <c r="EC10" i="21"/>
  <c r="DD10" i="21"/>
  <c r="DC10" i="21"/>
  <c r="DA10" i="21"/>
  <c r="CZ10" i="21"/>
  <c r="CY10" i="21"/>
  <c r="CX10" i="21"/>
  <c r="QZ14" i="21"/>
  <c r="QY14" i="21"/>
  <c r="QX14" i="21"/>
  <c r="QW14" i="21"/>
  <c r="QV14" i="21"/>
  <c r="QU14" i="21"/>
  <c r="QT14" i="21"/>
  <c r="QS14" i="21"/>
  <c r="QR14" i="21"/>
  <c r="QQ14" i="21"/>
  <c r="QP14" i="21"/>
  <c r="QO14" i="21"/>
  <c r="QN14" i="21"/>
  <c r="QM14" i="21"/>
  <c r="QL14" i="21"/>
  <c r="QK14" i="21"/>
  <c r="QJ14" i="21"/>
  <c r="QI14" i="21"/>
  <c r="QH14" i="21"/>
  <c r="QG14" i="21"/>
  <c r="QE14" i="21"/>
  <c r="QD14" i="21"/>
  <c r="QB14" i="21"/>
  <c r="QA14" i="21"/>
  <c r="PZ14" i="21"/>
  <c r="PY14" i="21"/>
  <c r="PC14" i="21"/>
  <c r="PB14" i="21"/>
  <c r="OZ14" i="21"/>
  <c r="OY14" i="21"/>
  <c r="OX14" i="21"/>
  <c r="OW14" i="21"/>
  <c r="OA14" i="21"/>
  <c r="NZ14" i="21"/>
  <c r="NX14" i="21"/>
  <c r="NW14" i="21"/>
  <c r="NV14" i="21"/>
  <c r="NU14" i="21"/>
  <c r="MY14" i="21"/>
  <c r="MX14" i="21"/>
  <c r="MV14" i="21"/>
  <c r="MU14" i="21"/>
  <c r="MT14" i="21"/>
  <c r="MS14" i="21"/>
  <c r="LW14" i="21"/>
  <c r="LV14" i="21"/>
  <c r="LT14" i="21"/>
  <c r="LS14" i="21"/>
  <c r="LR14" i="21"/>
  <c r="LQ14" i="21"/>
  <c r="KU14" i="21"/>
  <c r="KT14" i="21"/>
  <c r="KR14" i="21"/>
  <c r="KQ14" i="21"/>
  <c r="KP14" i="21"/>
  <c r="KO14" i="21"/>
  <c r="JS14" i="21"/>
  <c r="JR14" i="21"/>
  <c r="JP14" i="21"/>
  <c r="JO14" i="21"/>
  <c r="JN14" i="21"/>
  <c r="JM14" i="21"/>
  <c r="IQ14" i="21"/>
  <c r="IP14" i="21"/>
  <c r="IN14" i="21"/>
  <c r="IM14" i="21"/>
  <c r="IL14" i="21"/>
  <c r="IK14" i="21"/>
  <c r="HO14" i="21"/>
  <c r="HN14" i="21"/>
  <c r="HL14" i="21"/>
  <c r="HK14" i="21"/>
  <c r="HJ14" i="21"/>
  <c r="HI14" i="21"/>
  <c r="GM14" i="21"/>
  <c r="GL14" i="21"/>
  <c r="GJ14" i="21"/>
  <c r="GI14" i="21"/>
  <c r="GH14" i="21"/>
  <c r="GG14" i="21"/>
  <c r="FK14" i="21"/>
  <c r="FJ14" i="21"/>
  <c r="FH14" i="21"/>
  <c r="FG14" i="21"/>
  <c r="FF14" i="21"/>
  <c r="FE14" i="21"/>
  <c r="EI14" i="21"/>
  <c r="EH14" i="21"/>
  <c r="EF14" i="21"/>
  <c r="EE14" i="21"/>
  <c r="ED14" i="21"/>
  <c r="EC14" i="21"/>
  <c r="DD14" i="21"/>
  <c r="DC14" i="21"/>
  <c r="DA14" i="21"/>
  <c r="CZ14" i="21"/>
  <c r="CY14" i="21"/>
  <c r="CX14" i="21"/>
  <c r="QZ8" i="21"/>
  <c r="QY8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E8" i="21"/>
  <c r="QD8" i="21"/>
  <c r="QB8" i="21"/>
  <c r="QA8" i="21"/>
  <c r="PZ8" i="21"/>
  <c r="PY8" i="21"/>
  <c r="PC8" i="21"/>
  <c r="PB8" i="21"/>
  <c r="OZ8" i="21"/>
  <c r="OY8" i="21"/>
  <c r="OX8" i="21"/>
  <c r="OW8" i="21"/>
  <c r="OA8" i="21"/>
  <c r="NZ8" i="21"/>
  <c r="NX8" i="21"/>
  <c r="NW8" i="21"/>
  <c r="NV8" i="21"/>
  <c r="NU8" i="21"/>
  <c r="MY8" i="21"/>
  <c r="MX8" i="21"/>
  <c r="MV8" i="21"/>
  <c r="MU8" i="21"/>
  <c r="MT8" i="21"/>
  <c r="MS8" i="21"/>
  <c r="LW8" i="21"/>
  <c r="LV8" i="21"/>
  <c r="LT8" i="21"/>
  <c r="LS8" i="21"/>
  <c r="LR8" i="21"/>
  <c r="LQ8" i="21"/>
  <c r="KU8" i="21"/>
  <c r="KT8" i="21"/>
  <c r="KR8" i="21"/>
  <c r="KQ8" i="21"/>
  <c r="KP8" i="21"/>
  <c r="KO8" i="21"/>
  <c r="JS8" i="21"/>
  <c r="JR8" i="21"/>
  <c r="JP8" i="21"/>
  <c r="JO8" i="21"/>
  <c r="JN8" i="21"/>
  <c r="JM8" i="21"/>
  <c r="IQ8" i="21"/>
  <c r="IP8" i="21"/>
  <c r="IN8" i="21"/>
  <c r="IM8" i="21"/>
  <c r="IL8" i="21"/>
  <c r="IK8" i="21"/>
  <c r="HO8" i="21"/>
  <c r="HN8" i="21"/>
  <c r="HL8" i="21"/>
  <c r="HK8" i="21"/>
  <c r="HJ8" i="21"/>
  <c r="HI8" i="21"/>
  <c r="GM8" i="21"/>
  <c r="GL8" i="21"/>
  <c r="GJ8" i="21"/>
  <c r="GI8" i="21"/>
  <c r="GH8" i="21"/>
  <c r="GG8" i="21"/>
  <c r="FK8" i="21"/>
  <c r="FJ8" i="21"/>
  <c r="FH8" i="21"/>
  <c r="FG8" i="21"/>
  <c r="FF8" i="21"/>
  <c r="FE8" i="21"/>
  <c r="EI8" i="21"/>
  <c r="EH8" i="21"/>
  <c r="EF8" i="21"/>
  <c r="EE8" i="21"/>
  <c r="ED8" i="21"/>
  <c r="EC8" i="21"/>
  <c r="DD8" i="21"/>
  <c r="DC8" i="21"/>
  <c r="DA8" i="21"/>
  <c r="CZ8" i="21"/>
  <c r="CY8" i="21"/>
  <c r="CX8" i="21"/>
  <c r="QZ11" i="21"/>
  <c r="QY11" i="21"/>
  <c r="QX11" i="21"/>
  <c r="QW11" i="21"/>
  <c r="QV11" i="21"/>
  <c r="QU11" i="21"/>
  <c r="QT11" i="21"/>
  <c r="QS11" i="21"/>
  <c r="QR11" i="21"/>
  <c r="QQ11" i="21"/>
  <c r="QP11" i="21"/>
  <c r="QO11" i="21"/>
  <c r="QN11" i="21"/>
  <c r="QM11" i="21"/>
  <c r="QL11" i="21"/>
  <c r="QK11" i="21"/>
  <c r="QJ11" i="21"/>
  <c r="QI11" i="21"/>
  <c r="QH11" i="21"/>
  <c r="QG11" i="21"/>
  <c r="QE11" i="21"/>
  <c r="QD11" i="21"/>
  <c r="QB11" i="21"/>
  <c r="QA11" i="21"/>
  <c r="PZ11" i="21"/>
  <c r="PY11" i="21"/>
  <c r="PC11" i="21"/>
  <c r="PB11" i="21"/>
  <c r="OZ11" i="21"/>
  <c r="OY11" i="21"/>
  <c r="OX11" i="21"/>
  <c r="OW11" i="21"/>
  <c r="OA11" i="21"/>
  <c r="NZ11" i="21"/>
  <c r="NX11" i="21"/>
  <c r="NW11" i="21"/>
  <c r="NV11" i="21"/>
  <c r="NU11" i="21"/>
  <c r="MY11" i="21"/>
  <c r="MX11" i="21"/>
  <c r="MV11" i="21"/>
  <c r="MU11" i="21"/>
  <c r="MT11" i="21"/>
  <c r="MS11" i="21"/>
  <c r="LW11" i="21"/>
  <c r="LV11" i="21"/>
  <c r="LT11" i="21"/>
  <c r="LS11" i="21"/>
  <c r="LR11" i="21"/>
  <c r="LQ11" i="21"/>
  <c r="KU11" i="21"/>
  <c r="KT11" i="21"/>
  <c r="KR11" i="21"/>
  <c r="KQ11" i="21"/>
  <c r="KP11" i="21"/>
  <c r="KO11" i="21"/>
  <c r="JS11" i="21"/>
  <c r="JR11" i="21"/>
  <c r="JP11" i="21"/>
  <c r="JO11" i="21"/>
  <c r="JN11" i="21"/>
  <c r="JM11" i="21"/>
  <c r="IQ11" i="21"/>
  <c r="IP11" i="21"/>
  <c r="IN11" i="21"/>
  <c r="IM11" i="21"/>
  <c r="IL11" i="21"/>
  <c r="IK11" i="21"/>
  <c r="HO11" i="21"/>
  <c r="HN11" i="21"/>
  <c r="HL11" i="21"/>
  <c r="HK11" i="21"/>
  <c r="HJ11" i="21"/>
  <c r="HI11" i="21"/>
  <c r="GM11" i="21"/>
  <c r="GL11" i="21"/>
  <c r="GJ11" i="21"/>
  <c r="GI11" i="21"/>
  <c r="GH11" i="21"/>
  <c r="GG11" i="21"/>
  <c r="FK11" i="21"/>
  <c r="FJ11" i="21"/>
  <c r="FH11" i="21"/>
  <c r="FG11" i="21"/>
  <c r="FF11" i="21"/>
  <c r="FE11" i="21"/>
  <c r="EI11" i="21"/>
  <c r="EH11" i="21"/>
  <c r="EF11" i="21"/>
  <c r="EE11" i="21"/>
  <c r="ED11" i="21"/>
  <c r="EC11" i="21"/>
  <c r="DD11" i="21"/>
  <c r="DC11" i="21"/>
  <c r="DA11" i="21"/>
  <c r="CZ11" i="21"/>
  <c r="CY11" i="21"/>
  <c r="CX11" i="21"/>
  <c r="QZ12" i="21"/>
  <c r="QY12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E12" i="21"/>
  <c r="QD12" i="21"/>
  <c r="QB12" i="21"/>
  <c r="QA12" i="21"/>
  <c r="PZ12" i="21"/>
  <c r="PY12" i="21"/>
  <c r="PC12" i="21"/>
  <c r="PB12" i="21"/>
  <c r="OZ12" i="21"/>
  <c r="OY12" i="21"/>
  <c r="OX12" i="21"/>
  <c r="OW12" i="21"/>
  <c r="OA12" i="21"/>
  <c r="NZ12" i="21"/>
  <c r="NX12" i="21"/>
  <c r="NW12" i="21"/>
  <c r="NV12" i="21"/>
  <c r="NU12" i="21"/>
  <c r="MY12" i="21"/>
  <c r="MX12" i="21"/>
  <c r="MV12" i="21"/>
  <c r="MU12" i="21"/>
  <c r="MT12" i="21"/>
  <c r="MS12" i="21"/>
  <c r="LW12" i="21"/>
  <c r="LV12" i="21"/>
  <c r="LT12" i="21"/>
  <c r="LS12" i="21"/>
  <c r="LR12" i="21"/>
  <c r="LQ12" i="21"/>
  <c r="KU12" i="21"/>
  <c r="KT12" i="21"/>
  <c r="KR12" i="21"/>
  <c r="KQ12" i="21"/>
  <c r="KP12" i="21"/>
  <c r="KO12" i="21"/>
  <c r="JS12" i="21"/>
  <c r="JR12" i="21"/>
  <c r="JP12" i="21"/>
  <c r="JO12" i="21"/>
  <c r="JN12" i="21"/>
  <c r="JM12" i="21"/>
  <c r="IQ12" i="21"/>
  <c r="IP12" i="21"/>
  <c r="IN12" i="21"/>
  <c r="IM12" i="21"/>
  <c r="IL12" i="21"/>
  <c r="IK12" i="21"/>
  <c r="HO12" i="21"/>
  <c r="HN12" i="21"/>
  <c r="HL12" i="21"/>
  <c r="HK12" i="21"/>
  <c r="HJ12" i="21"/>
  <c r="HI12" i="21"/>
  <c r="GM12" i="21"/>
  <c r="GL12" i="21"/>
  <c r="GJ12" i="21"/>
  <c r="GI12" i="21"/>
  <c r="GH12" i="21"/>
  <c r="GG12" i="21"/>
  <c r="FK12" i="21"/>
  <c r="FJ12" i="21"/>
  <c r="FH12" i="21"/>
  <c r="FG12" i="21"/>
  <c r="FF12" i="21"/>
  <c r="FE12" i="21"/>
  <c r="EI12" i="21"/>
  <c r="EH12" i="21"/>
  <c r="EF12" i="21"/>
  <c r="EE12" i="21"/>
  <c r="ED12" i="21"/>
  <c r="EC12" i="21"/>
  <c r="DD12" i="21"/>
  <c r="DC12" i="21"/>
  <c r="DA12" i="21"/>
  <c r="CZ12" i="21"/>
  <c r="CY12" i="21"/>
  <c r="CX12" i="21"/>
  <c r="QZ7" i="21"/>
  <c r="QY7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E7" i="21"/>
  <c r="QD7" i="21"/>
  <c r="QB7" i="21"/>
  <c r="QA7" i="21"/>
  <c r="PZ7" i="21"/>
  <c r="PY7" i="21"/>
  <c r="PC7" i="21"/>
  <c r="PB7" i="21"/>
  <c r="OZ7" i="21"/>
  <c r="OY7" i="21"/>
  <c r="OX7" i="21"/>
  <c r="OW7" i="21"/>
  <c r="OA7" i="21"/>
  <c r="NZ7" i="21"/>
  <c r="NX7" i="21"/>
  <c r="NW7" i="21"/>
  <c r="NV7" i="21"/>
  <c r="NU7" i="21"/>
  <c r="MY7" i="21"/>
  <c r="MX7" i="21"/>
  <c r="MV7" i="21"/>
  <c r="MU7" i="21"/>
  <c r="MT7" i="21"/>
  <c r="MS7" i="21"/>
  <c r="LW7" i="21"/>
  <c r="LV7" i="21"/>
  <c r="LT7" i="21"/>
  <c r="LS7" i="21"/>
  <c r="LR7" i="21"/>
  <c r="LQ7" i="21"/>
  <c r="KU7" i="21"/>
  <c r="KT7" i="21"/>
  <c r="KR7" i="21"/>
  <c r="KQ7" i="21"/>
  <c r="KP7" i="21"/>
  <c r="KO7" i="21"/>
  <c r="JS7" i="21"/>
  <c r="JR7" i="21"/>
  <c r="JP7" i="21"/>
  <c r="JO7" i="21"/>
  <c r="JN7" i="21"/>
  <c r="JM7" i="21"/>
  <c r="IQ7" i="21"/>
  <c r="IP7" i="21"/>
  <c r="IN7" i="21"/>
  <c r="IM7" i="21"/>
  <c r="IL7" i="21"/>
  <c r="IK7" i="21"/>
  <c r="HO7" i="21"/>
  <c r="HN7" i="21"/>
  <c r="HL7" i="21"/>
  <c r="HK7" i="21"/>
  <c r="HJ7" i="21"/>
  <c r="HI7" i="21"/>
  <c r="GM7" i="21"/>
  <c r="GL7" i="21"/>
  <c r="GJ7" i="21"/>
  <c r="GI7" i="21"/>
  <c r="GH7" i="21"/>
  <c r="GG7" i="21"/>
  <c r="FK7" i="21"/>
  <c r="FJ7" i="21"/>
  <c r="FH7" i="21"/>
  <c r="FG7" i="21"/>
  <c r="FF7" i="21"/>
  <c r="FE7" i="21"/>
  <c r="EI7" i="21"/>
  <c r="EH7" i="21"/>
  <c r="EF7" i="21"/>
  <c r="EE7" i="21"/>
  <c r="ED7" i="21"/>
  <c r="EC7" i="21"/>
  <c r="DD7" i="21"/>
  <c r="DC7" i="21"/>
  <c r="DA7" i="21"/>
  <c r="CZ7" i="21"/>
  <c r="CY7" i="21"/>
  <c r="CX7" i="21"/>
  <c r="QZ4" i="21"/>
  <c r="QY4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E4" i="21"/>
  <c r="QD4" i="21"/>
  <c r="QB4" i="21"/>
  <c r="QA4" i="21"/>
  <c r="PZ4" i="21"/>
  <c r="PY4" i="21"/>
  <c r="PC4" i="21"/>
  <c r="PB4" i="21"/>
  <c r="OZ4" i="21"/>
  <c r="OY4" i="21"/>
  <c r="OX4" i="21"/>
  <c r="OW4" i="21"/>
  <c r="OA4" i="21"/>
  <c r="NZ4" i="21"/>
  <c r="NX4" i="21"/>
  <c r="NW4" i="21"/>
  <c r="NV4" i="21"/>
  <c r="NU4" i="21"/>
  <c r="MY4" i="21"/>
  <c r="MX4" i="21"/>
  <c r="MV4" i="21"/>
  <c r="MU4" i="21"/>
  <c r="MT4" i="21"/>
  <c r="MS4" i="21"/>
  <c r="LW4" i="21"/>
  <c r="LV4" i="21"/>
  <c r="LT4" i="21"/>
  <c r="LS4" i="21"/>
  <c r="LR4" i="21"/>
  <c r="LQ4" i="21"/>
  <c r="KU4" i="21"/>
  <c r="KT4" i="21"/>
  <c r="KR4" i="21"/>
  <c r="KQ4" i="21"/>
  <c r="KP4" i="21"/>
  <c r="KO4" i="21"/>
  <c r="JS4" i="21"/>
  <c r="JR4" i="21"/>
  <c r="JP4" i="21"/>
  <c r="JO4" i="21"/>
  <c r="JN4" i="21"/>
  <c r="JM4" i="21"/>
  <c r="IQ4" i="21"/>
  <c r="IP4" i="21"/>
  <c r="IN4" i="21"/>
  <c r="IM4" i="21"/>
  <c r="IL4" i="21"/>
  <c r="IK4" i="21"/>
  <c r="HO4" i="21"/>
  <c r="HN4" i="21"/>
  <c r="HL4" i="21"/>
  <c r="HK4" i="21"/>
  <c r="HJ4" i="21"/>
  <c r="HI4" i="21"/>
  <c r="GM4" i="21"/>
  <c r="GL4" i="21"/>
  <c r="GJ4" i="21"/>
  <c r="GI4" i="21"/>
  <c r="GH4" i="21"/>
  <c r="GG4" i="21"/>
  <c r="FK4" i="21"/>
  <c r="FJ4" i="21"/>
  <c r="FH4" i="21"/>
  <c r="FG4" i="21"/>
  <c r="FF4" i="21"/>
  <c r="FE4" i="21"/>
  <c r="EI4" i="21"/>
  <c r="EH4" i="21"/>
  <c r="EF4" i="21"/>
  <c r="EE4" i="21"/>
  <c r="ED4" i="21"/>
  <c r="EC4" i="21"/>
  <c r="DD4" i="21"/>
  <c r="DC4" i="21"/>
  <c r="DA4" i="21"/>
  <c r="CZ4" i="21"/>
  <c r="CY4" i="21"/>
  <c r="CX4" i="21"/>
  <c r="QZ5" i="21"/>
  <c r="QY5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E5" i="21"/>
  <c r="QD5" i="21"/>
  <c r="QB5" i="21"/>
  <c r="QA5" i="21"/>
  <c r="PZ5" i="21"/>
  <c r="PY5" i="21"/>
  <c r="PC5" i="21"/>
  <c r="PB5" i="21"/>
  <c r="OZ5" i="21"/>
  <c r="OY5" i="21"/>
  <c r="OX5" i="21"/>
  <c r="OW5" i="21"/>
  <c r="OA5" i="21"/>
  <c r="NZ5" i="21"/>
  <c r="NX5" i="21"/>
  <c r="NW5" i="21"/>
  <c r="NV5" i="21"/>
  <c r="NU5" i="21"/>
  <c r="MY5" i="21"/>
  <c r="MX5" i="21"/>
  <c r="MV5" i="21"/>
  <c r="MU5" i="21"/>
  <c r="MT5" i="21"/>
  <c r="MS5" i="21"/>
  <c r="LW5" i="21"/>
  <c r="LV5" i="21"/>
  <c r="LT5" i="21"/>
  <c r="LS5" i="21"/>
  <c r="LR5" i="21"/>
  <c r="LQ5" i="21"/>
  <c r="KU5" i="21"/>
  <c r="KT5" i="21"/>
  <c r="KR5" i="21"/>
  <c r="KQ5" i="21"/>
  <c r="KP5" i="21"/>
  <c r="KO5" i="21"/>
  <c r="JS5" i="21"/>
  <c r="JR5" i="21"/>
  <c r="JP5" i="21"/>
  <c r="JO5" i="21"/>
  <c r="JN5" i="21"/>
  <c r="JM5" i="21"/>
  <c r="IQ5" i="21"/>
  <c r="IP5" i="21"/>
  <c r="IN5" i="21"/>
  <c r="IM5" i="21"/>
  <c r="IL5" i="21"/>
  <c r="IK5" i="21"/>
  <c r="HO5" i="21"/>
  <c r="HN5" i="21"/>
  <c r="HL5" i="21"/>
  <c r="HK5" i="21"/>
  <c r="HJ5" i="21"/>
  <c r="HI5" i="21"/>
  <c r="GM5" i="21"/>
  <c r="GL5" i="21"/>
  <c r="GJ5" i="21"/>
  <c r="GI5" i="21"/>
  <c r="GH5" i="21"/>
  <c r="GG5" i="21"/>
  <c r="FK5" i="21"/>
  <c r="FJ5" i="21"/>
  <c r="FH5" i="21"/>
  <c r="FG5" i="21"/>
  <c r="FF5" i="21"/>
  <c r="FE5" i="21"/>
  <c r="EI5" i="21"/>
  <c r="EH5" i="21"/>
  <c r="EF5" i="21"/>
  <c r="EE5" i="21"/>
  <c r="ED5" i="21"/>
  <c r="EC5" i="21"/>
  <c r="DD5" i="21"/>
  <c r="DC5" i="21"/>
  <c r="DA5" i="21"/>
  <c r="CZ5" i="21"/>
  <c r="CY5" i="21"/>
  <c r="CX5" i="21"/>
  <c r="QZ6" i="21"/>
  <c r="QY6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E6" i="21"/>
  <c r="QD6" i="21"/>
  <c r="QB6" i="21"/>
  <c r="QA6" i="21"/>
  <c r="PZ6" i="21"/>
  <c r="PY6" i="21"/>
  <c r="PC6" i="21"/>
  <c r="PB6" i="21"/>
  <c r="OZ6" i="21"/>
  <c r="OY6" i="21"/>
  <c r="OX6" i="21"/>
  <c r="OW6" i="21"/>
  <c r="OA6" i="21"/>
  <c r="NZ6" i="21"/>
  <c r="NX6" i="21"/>
  <c r="NW6" i="21"/>
  <c r="NV6" i="21"/>
  <c r="NU6" i="21"/>
  <c r="MY6" i="21"/>
  <c r="MX6" i="21"/>
  <c r="MV6" i="21"/>
  <c r="MU6" i="21"/>
  <c r="MT6" i="21"/>
  <c r="MS6" i="21"/>
  <c r="LW6" i="21"/>
  <c r="LV6" i="21"/>
  <c r="LT6" i="21"/>
  <c r="LS6" i="21"/>
  <c r="LR6" i="21"/>
  <c r="LQ6" i="21"/>
  <c r="KU6" i="21"/>
  <c r="KT6" i="21"/>
  <c r="KR6" i="21"/>
  <c r="KQ6" i="21"/>
  <c r="KP6" i="21"/>
  <c r="KO6" i="21"/>
  <c r="JS6" i="21"/>
  <c r="JR6" i="21"/>
  <c r="JP6" i="21"/>
  <c r="JO6" i="21"/>
  <c r="JN6" i="21"/>
  <c r="JM6" i="21"/>
  <c r="IQ6" i="21"/>
  <c r="IP6" i="21"/>
  <c r="IN6" i="21"/>
  <c r="IM6" i="21"/>
  <c r="IL6" i="21"/>
  <c r="IK6" i="21"/>
  <c r="HO6" i="21"/>
  <c r="HN6" i="21"/>
  <c r="HL6" i="21"/>
  <c r="HK6" i="21"/>
  <c r="HJ6" i="21"/>
  <c r="HI6" i="21"/>
  <c r="GM6" i="21"/>
  <c r="GL6" i="21"/>
  <c r="GJ6" i="21"/>
  <c r="GI6" i="21"/>
  <c r="GH6" i="21"/>
  <c r="GG6" i="21"/>
  <c r="FK6" i="21"/>
  <c r="FJ6" i="21"/>
  <c r="FH6" i="21"/>
  <c r="FG6" i="21"/>
  <c r="FF6" i="21"/>
  <c r="FE6" i="21"/>
  <c r="EI6" i="21"/>
  <c r="EH6" i="21"/>
  <c r="EF6" i="21"/>
  <c r="EE6" i="21"/>
  <c r="ED6" i="21"/>
  <c r="EC6" i="21"/>
  <c r="DD6" i="21"/>
  <c r="DC6" i="21"/>
  <c r="DA6" i="21"/>
  <c r="CZ6" i="21"/>
  <c r="CY6" i="21"/>
  <c r="CX6" i="21"/>
  <c r="QB9" i="19"/>
  <c r="QB10" i="19"/>
  <c r="QB14" i="19"/>
  <c r="QB15" i="19"/>
  <c r="QB6" i="19"/>
  <c r="QB12" i="19"/>
  <c r="QB11" i="19"/>
  <c r="QB16" i="19"/>
  <c r="QB13" i="19"/>
  <c r="QB7" i="19"/>
  <c r="QB4" i="19"/>
  <c r="QB5" i="19"/>
  <c r="OZ9" i="19"/>
  <c r="OZ10" i="19"/>
  <c r="OZ14" i="19"/>
  <c r="OZ15" i="19"/>
  <c r="OZ6" i="19"/>
  <c r="OZ12" i="19"/>
  <c r="OZ11" i="19"/>
  <c r="OZ16" i="19"/>
  <c r="OZ13" i="19"/>
  <c r="OZ7" i="19"/>
  <c r="OZ4" i="19"/>
  <c r="OZ5" i="19"/>
  <c r="NX9" i="19"/>
  <c r="NX10" i="19"/>
  <c r="NX14" i="19"/>
  <c r="NX15" i="19"/>
  <c r="NX6" i="19"/>
  <c r="NX12" i="19"/>
  <c r="NX11" i="19"/>
  <c r="NX16" i="19"/>
  <c r="NX13" i="19"/>
  <c r="NX7" i="19"/>
  <c r="NX4" i="19"/>
  <c r="NX5" i="19"/>
  <c r="MV9" i="19"/>
  <c r="MV10" i="19"/>
  <c r="MV14" i="19"/>
  <c r="MV15" i="19"/>
  <c r="MV6" i="19"/>
  <c r="MV12" i="19"/>
  <c r="MV11" i="19"/>
  <c r="MV16" i="19"/>
  <c r="MV13" i="19"/>
  <c r="MV7" i="19"/>
  <c r="MV4" i="19"/>
  <c r="MV5" i="19"/>
  <c r="LT9" i="19"/>
  <c r="LT10" i="19"/>
  <c r="LT14" i="19"/>
  <c r="LT15" i="19"/>
  <c r="LT6" i="19"/>
  <c r="LT12" i="19"/>
  <c r="LT11" i="19"/>
  <c r="LT16" i="19"/>
  <c r="LT13" i="19"/>
  <c r="LT7" i="19"/>
  <c r="LT4" i="19"/>
  <c r="LT5" i="19"/>
  <c r="KR9" i="19"/>
  <c r="KR10" i="19"/>
  <c r="KR14" i="19"/>
  <c r="KR15" i="19"/>
  <c r="KR6" i="19"/>
  <c r="KR12" i="19"/>
  <c r="KR11" i="19"/>
  <c r="KR16" i="19"/>
  <c r="KR13" i="19"/>
  <c r="KR7" i="19"/>
  <c r="KR4" i="19"/>
  <c r="KR5" i="19"/>
  <c r="JP9" i="19"/>
  <c r="JP10" i="19"/>
  <c r="JP14" i="19"/>
  <c r="JP15" i="19"/>
  <c r="JP6" i="19"/>
  <c r="JP12" i="19"/>
  <c r="JP11" i="19"/>
  <c r="JP16" i="19"/>
  <c r="JP13" i="19"/>
  <c r="JP7" i="19"/>
  <c r="JP4" i="19"/>
  <c r="JP5" i="19"/>
  <c r="IN9" i="19"/>
  <c r="IN10" i="19"/>
  <c r="IN14" i="19"/>
  <c r="IN15" i="19"/>
  <c r="IN6" i="19"/>
  <c r="IN12" i="19"/>
  <c r="IN11" i="19"/>
  <c r="IN16" i="19"/>
  <c r="IN13" i="19"/>
  <c r="IN7" i="19"/>
  <c r="IN4" i="19"/>
  <c r="IN5" i="19"/>
  <c r="HL9" i="19"/>
  <c r="HL10" i="19"/>
  <c r="HL14" i="19"/>
  <c r="HL15" i="19"/>
  <c r="HL6" i="19"/>
  <c r="HL12" i="19"/>
  <c r="HL11" i="19"/>
  <c r="HL16" i="19"/>
  <c r="HL13" i="19"/>
  <c r="HL7" i="19"/>
  <c r="HL4" i="19"/>
  <c r="HL5" i="19"/>
  <c r="GJ9" i="19"/>
  <c r="GJ10" i="19"/>
  <c r="GJ14" i="19"/>
  <c r="GJ15" i="19"/>
  <c r="GJ6" i="19"/>
  <c r="GJ12" i="19"/>
  <c r="GJ11" i="19"/>
  <c r="GJ16" i="19"/>
  <c r="GJ13" i="19"/>
  <c r="GJ7" i="19"/>
  <c r="GJ4" i="19"/>
  <c r="GJ5" i="19"/>
  <c r="FH9" i="19"/>
  <c r="FH10" i="19"/>
  <c r="FH14" i="19"/>
  <c r="FH15" i="19"/>
  <c r="FH6" i="19"/>
  <c r="FH12" i="19"/>
  <c r="FH11" i="19"/>
  <c r="FH16" i="19"/>
  <c r="FH13" i="19"/>
  <c r="FH7" i="19"/>
  <c r="FH4" i="19"/>
  <c r="FH5" i="19"/>
  <c r="EF4" i="19"/>
  <c r="EF7" i="19"/>
  <c r="EF13" i="19"/>
  <c r="EF16" i="19"/>
  <c r="EF11" i="19"/>
  <c r="EF12" i="19"/>
  <c r="EF6" i="19"/>
  <c r="EF15" i="19"/>
  <c r="EF14" i="19"/>
  <c r="EF10" i="19"/>
  <c r="EF9" i="19"/>
  <c r="EF5" i="19"/>
  <c r="DA9" i="19"/>
  <c r="DA10" i="19"/>
  <c r="DA14" i="19"/>
  <c r="DA15" i="19"/>
  <c r="DA6" i="19"/>
  <c r="DA12" i="19"/>
  <c r="DA11" i="19"/>
  <c r="DA16" i="19"/>
  <c r="DA13" i="19"/>
  <c r="DA7" i="19"/>
  <c r="DA4" i="19"/>
  <c r="DA5" i="19"/>
  <c r="OT4" i="8"/>
  <c r="OT7" i="8"/>
  <c r="OT6" i="8"/>
  <c r="OT5" i="8"/>
  <c r="NT7" i="8"/>
  <c r="NT6" i="8"/>
  <c r="NT5" i="8"/>
  <c r="NT4" i="8"/>
  <c r="MT7" i="8"/>
  <c r="MT6" i="8"/>
  <c r="MT5" i="8"/>
  <c r="MT4" i="8"/>
  <c r="LT7" i="8"/>
  <c r="LT6" i="8"/>
  <c r="LT5" i="8"/>
  <c r="LT4" i="8"/>
  <c r="KT7" i="8"/>
  <c r="KT6" i="8"/>
  <c r="KT5" i="8"/>
  <c r="KT4" i="8"/>
  <c r="JT7" i="8"/>
  <c r="JT6" i="8"/>
  <c r="JT5" i="8"/>
  <c r="JT4" i="8"/>
  <c r="IT7" i="8"/>
  <c r="IT6" i="8"/>
  <c r="IT5" i="8"/>
  <c r="IT4" i="8"/>
  <c r="HT7" i="8"/>
  <c r="HT6" i="8"/>
  <c r="HT5" i="8"/>
  <c r="HT4" i="8"/>
  <c r="GT7" i="8"/>
  <c r="GT6" i="8"/>
  <c r="GT5" i="8"/>
  <c r="GT4" i="8"/>
  <c r="FT7" i="8"/>
  <c r="FT6" i="8"/>
  <c r="FT5" i="8"/>
  <c r="FT4" i="8"/>
  <c r="ET7" i="8"/>
  <c r="ET6" i="8"/>
  <c r="ET5" i="8"/>
  <c r="ET4" i="8"/>
  <c r="DT7" i="8"/>
  <c r="DT6" i="8"/>
  <c r="DT5" i="8"/>
  <c r="DT4" i="8"/>
  <c r="CR7" i="8"/>
  <c r="CR6" i="8"/>
  <c r="CR5" i="8"/>
  <c r="CR4" i="8"/>
  <c r="OT4" i="18"/>
  <c r="OT5" i="18"/>
  <c r="NT4" i="18"/>
  <c r="NT5" i="18"/>
  <c r="MT4" i="18"/>
  <c r="MT5" i="18"/>
  <c r="LT4" i="18"/>
  <c r="LT5" i="18"/>
  <c r="KT4" i="18"/>
  <c r="KT5" i="18"/>
  <c r="JT4" i="18"/>
  <c r="JT5" i="18"/>
  <c r="IT4" i="18"/>
  <c r="IT5" i="18"/>
  <c r="HT4" i="18"/>
  <c r="HT5" i="18"/>
  <c r="GT4" i="18"/>
  <c r="GT5" i="18"/>
  <c r="FT4" i="18"/>
  <c r="FT5" i="18"/>
  <c r="ET4" i="18"/>
  <c r="ET5" i="18"/>
  <c r="DT4" i="18"/>
  <c r="DT5" i="18"/>
  <c r="CR4" i="18"/>
  <c r="CR5" i="18"/>
  <c r="QA4" i="19"/>
  <c r="QA7" i="19"/>
  <c r="QA13" i="19"/>
  <c r="QA16" i="19"/>
  <c r="QA11" i="19"/>
  <c r="QA12" i="19"/>
  <c r="QA6" i="19"/>
  <c r="QA15" i="19"/>
  <c r="QA14" i="19"/>
  <c r="QA10" i="19"/>
  <c r="QA9" i="19"/>
  <c r="QA5" i="19"/>
  <c r="OY4" i="19"/>
  <c r="OY7" i="19"/>
  <c r="OY13" i="19"/>
  <c r="OY16" i="19"/>
  <c r="OY11" i="19"/>
  <c r="OY12" i="19"/>
  <c r="OY6" i="19"/>
  <c r="OY15" i="19"/>
  <c r="OY14" i="19"/>
  <c r="OY10" i="19"/>
  <c r="OY9" i="19"/>
  <c r="OY5" i="19"/>
  <c r="NW4" i="19"/>
  <c r="NW7" i="19"/>
  <c r="NW13" i="19"/>
  <c r="NW16" i="19"/>
  <c r="NW11" i="19"/>
  <c r="NW12" i="19"/>
  <c r="NW6" i="19"/>
  <c r="NW15" i="19"/>
  <c r="NW14" i="19"/>
  <c r="NW10" i="19"/>
  <c r="NW9" i="19"/>
  <c r="NW5" i="19"/>
  <c r="MU4" i="19"/>
  <c r="MU7" i="19"/>
  <c r="MU13" i="19"/>
  <c r="MU16" i="19"/>
  <c r="MU11" i="19"/>
  <c r="MU12" i="19"/>
  <c r="MU6" i="19"/>
  <c r="MU15" i="19"/>
  <c r="MU14" i="19"/>
  <c r="MU10" i="19"/>
  <c r="MU9" i="19"/>
  <c r="MU5" i="19"/>
  <c r="LS4" i="19"/>
  <c r="LS7" i="19"/>
  <c r="LS13" i="19"/>
  <c r="LS16" i="19"/>
  <c r="LS11" i="19"/>
  <c r="LS12" i="19"/>
  <c r="LS6" i="19"/>
  <c r="LS15" i="19"/>
  <c r="LS14" i="19"/>
  <c r="LS10" i="19"/>
  <c r="LS9" i="19"/>
  <c r="LS5" i="19"/>
  <c r="KQ4" i="19"/>
  <c r="KQ7" i="19"/>
  <c r="KQ13" i="19"/>
  <c r="KQ16" i="19"/>
  <c r="KQ11" i="19"/>
  <c r="KQ12" i="19"/>
  <c r="KQ6" i="19"/>
  <c r="KQ15" i="19"/>
  <c r="KQ14" i="19"/>
  <c r="KQ10" i="19"/>
  <c r="KQ9" i="19"/>
  <c r="KQ5" i="19"/>
  <c r="JO5" i="19"/>
  <c r="JO4" i="19"/>
  <c r="JO7" i="19"/>
  <c r="JO13" i="19"/>
  <c r="JO16" i="19"/>
  <c r="JO11" i="19"/>
  <c r="JO12" i="19"/>
  <c r="JO6" i="19"/>
  <c r="JO15" i="19"/>
  <c r="JO14" i="19"/>
  <c r="JO10" i="19"/>
  <c r="JO9" i="19"/>
  <c r="IM4" i="19"/>
  <c r="IM7" i="19"/>
  <c r="IM13" i="19"/>
  <c r="IM16" i="19"/>
  <c r="IM11" i="19"/>
  <c r="IM12" i="19"/>
  <c r="IM6" i="19"/>
  <c r="IM15" i="19"/>
  <c r="IM14" i="19"/>
  <c r="IM10" i="19"/>
  <c r="IM9" i="19"/>
  <c r="IM5" i="19"/>
  <c r="HK4" i="19"/>
  <c r="HK7" i="19"/>
  <c r="HK13" i="19"/>
  <c r="HK16" i="19"/>
  <c r="HK11" i="19"/>
  <c r="HK12" i="19"/>
  <c r="HK6" i="19"/>
  <c r="HK15" i="19"/>
  <c r="HK14" i="19"/>
  <c r="HK10" i="19"/>
  <c r="HK9" i="19"/>
  <c r="HK5" i="19"/>
  <c r="GI4" i="19"/>
  <c r="GI7" i="19"/>
  <c r="GI13" i="19"/>
  <c r="GI16" i="19"/>
  <c r="GI11" i="19"/>
  <c r="GI12" i="19"/>
  <c r="GI6" i="19"/>
  <c r="GI15" i="19"/>
  <c r="GI14" i="19"/>
  <c r="GI10" i="19"/>
  <c r="GI9" i="19"/>
  <c r="GI5" i="19"/>
  <c r="FG4" i="19"/>
  <c r="FG7" i="19"/>
  <c r="FG13" i="19"/>
  <c r="FG16" i="19"/>
  <c r="FG11" i="19"/>
  <c r="FG12" i="19"/>
  <c r="FG6" i="19"/>
  <c r="FG15" i="19"/>
  <c r="FG14" i="19"/>
  <c r="FG10" i="19"/>
  <c r="FG9" i="19"/>
  <c r="FG5" i="19"/>
  <c r="EE4" i="19"/>
  <c r="EE7" i="19"/>
  <c r="EE13" i="19"/>
  <c r="EE16" i="19"/>
  <c r="EE11" i="19"/>
  <c r="EE12" i="19"/>
  <c r="EE6" i="19"/>
  <c r="EE15" i="19"/>
  <c r="EE14" i="19"/>
  <c r="EE10" i="19"/>
  <c r="EE9" i="19"/>
  <c r="EE5" i="19"/>
  <c r="CZ5" i="19"/>
  <c r="CZ4" i="19"/>
  <c r="CZ7" i="19"/>
  <c r="CZ13" i="19"/>
  <c r="CZ16" i="19"/>
  <c r="CZ11" i="19"/>
  <c r="CZ12" i="19"/>
  <c r="CZ6" i="19"/>
  <c r="CZ15" i="19"/>
  <c r="CZ14" i="19"/>
  <c r="CZ10" i="19"/>
  <c r="CZ9" i="19"/>
  <c r="N9" i="19" s="1"/>
  <c r="O9" i="19" s="1"/>
  <c r="CX16" i="19"/>
  <c r="CY16" i="19"/>
  <c r="DC16" i="19"/>
  <c r="DD16" i="19"/>
  <c r="EC16" i="19"/>
  <c r="ED16" i="19"/>
  <c r="EH16" i="19"/>
  <c r="EI16" i="19"/>
  <c r="FE16" i="19"/>
  <c r="FF16" i="19"/>
  <c r="FJ16" i="19"/>
  <c r="FK16" i="19"/>
  <c r="GG16" i="19"/>
  <c r="GH16" i="19"/>
  <c r="GL16" i="19"/>
  <c r="GM16" i="19"/>
  <c r="HI16" i="19"/>
  <c r="HJ16" i="19"/>
  <c r="HN16" i="19"/>
  <c r="HO16" i="19"/>
  <c r="IK16" i="19"/>
  <c r="IL16" i="19"/>
  <c r="IP16" i="19"/>
  <c r="IQ16" i="19"/>
  <c r="JM16" i="19"/>
  <c r="JN16" i="19"/>
  <c r="JQ16" i="19" s="1"/>
  <c r="JR16" i="19"/>
  <c r="JS16" i="19"/>
  <c r="KO16" i="19"/>
  <c r="KP16" i="19"/>
  <c r="KS16" i="19" s="1"/>
  <c r="KT16" i="19"/>
  <c r="KU16" i="19"/>
  <c r="LQ16" i="19"/>
  <c r="LR16" i="19"/>
  <c r="LV16" i="19"/>
  <c r="LW16" i="19"/>
  <c r="MS16" i="19"/>
  <c r="MT16" i="19"/>
  <c r="MW16" i="19" s="1"/>
  <c r="MX16" i="19"/>
  <c r="MY16" i="19"/>
  <c r="NU16" i="19"/>
  <c r="NV16" i="19"/>
  <c r="NZ16" i="19"/>
  <c r="OA16" i="19"/>
  <c r="OW16" i="19"/>
  <c r="OX16" i="19"/>
  <c r="PA16" i="19" s="1"/>
  <c r="PB16" i="19"/>
  <c r="PC16" i="19"/>
  <c r="PY16" i="19"/>
  <c r="PZ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11" i="19"/>
  <c r="CY11" i="19"/>
  <c r="DB11" i="19" s="1"/>
  <c r="DC11" i="19"/>
  <c r="DD11" i="19"/>
  <c r="EC11" i="19"/>
  <c r="ED11" i="19"/>
  <c r="EH11" i="19"/>
  <c r="EI11" i="19"/>
  <c r="FE11" i="19"/>
  <c r="FF11" i="19"/>
  <c r="FI11" i="19" s="1"/>
  <c r="FJ11" i="19"/>
  <c r="FK11" i="19"/>
  <c r="GG11" i="19"/>
  <c r="GH11" i="19"/>
  <c r="GL11" i="19"/>
  <c r="GM11" i="19"/>
  <c r="HI11" i="19"/>
  <c r="HJ11" i="19"/>
  <c r="HM11" i="19" s="1"/>
  <c r="HN11" i="19"/>
  <c r="HO11" i="19"/>
  <c r="IK11" i="19"/>
  <c r="IL11" i="19"/>
  <c r="IP11" i="19"/>
  <c r="IQ11" i="19"/>
  <c r="JM11" i="19"/>
  <c r="JN11" i="19"/>
  <c r="JQ11" i="19" s="1"/>
  <c r="JR11" i="19"/>
  <c r="JS11" i="19"/>
  <c r="KO11" i="19"/>
  <c r="KP11" i="19"/>
  <c r="KT11" i="19"/>
  <c r="KU11" i="19"/>
  <c r="LQ11" i="19"/>
  <c r="LR11" i="19"/>
  <c r="LU11" i="19" s="1"/>
  <c r="LV11" i="19"/>
  <c r="LW11" i="19"/>
  <c r="MS11" i="19"/>
  <c r="MT11" i="19"/>
  <c r="MX11" i="19"/>
  <c r="MY11" i="19"/>
  <c r="NU11" i="19"/>
  <c r="NV11" i="19"/>
  <c r="NY11" i="19" s="1"/>
  <c r="NZ11" i="19"/>
  <c r="OA11" i="19"/>
  <c r="OW11" i="19"/>
  <c r="OX11" i="19"/>
  <c r="PB11" i="19"/>
  <c r="PC11" i="19"/>
  <c r="PY11" i="19"/>
  <c r="PZ11" i="19"/>
  <c r="QC11" i="19" s="1"/>
  <c r="QD11" i="19"/>
  <c r="QE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QY11" i="19"/>
  <c r="QZ11" i="19"/>
  <c r="CX12" i="19"/>
  <c r="CY12" i="19"/>
  <c r="DC12" i="19"/>
  <c r="DD12" i="19"/>
  <c r="EC12" i="19"/>
  <c r="ED12" i="19"/>
  <c r="EG12" i="19" s="1"/>
  <c r="EH12" i="19"/>
  <c r="EI12" i="19"/>
  <c r="FE12" i="19"/>
  <c r="FF12" i="19"/>
  <c r="FI12" i="19" s="1"/>
  <c r="FJ12" i="19"/>
  <c r="FK12" i="19"/>
  <c r="GG12" i="19"/>
  <c r="GH12" i="19"/>
  <c r="GK12" i="19" s="1"/>
  <c r="GL12" i="19"/>
  <c r="GM12" i="19"/>
  <c r="HI12" i="19"/>
  <c r="HJ12" i="19"/>
  <c r="HM12" i="19" s="1"/>
  <c r="HN12" i="19"/>
  <c r="HO12" i="19"/>
  <c r="IK12" i="19"/>
  <c r="IL12" i="19"/>
  <c r="IO12" i="19" s="1"/>
  <c r="IP12" i="19"/>
  <c r="IQ12" i="19"/>
  <c r="JM12" i="19"/>
  <c r="JN12" i="19"/>
  <c r="JQ12" i="19" s="1"/>
  <c r="JR12" i="19"/>
  <c r="JS12" i="19"/>
  <c r="KO12" i="19"/>
  <c r="KP12" i="19"/>
  <c r="KS12" i="19" s="1"/>
  <c r="KT12" i="19"/>
  <c r="KU12" i="19"/>
  <c r="LQ12" i="19"/>
  <c r="LR12" i="19"/>
  <c r="LU12" i="19" s="1"/>
  <c r="LV12" i="19"/>
  <c r="LW12" i="19"/>
  <c r="MS12" i="19"/>
  <c r="MT12" i="19"/>
  <c r="MW12" i="19" s="1"/>
  <c r="MX12" i="19"/>
  <c r="MY12" i="19"/>
  <c r="NU12" i="19"/>
  <c r="NV12" i="19"/>
  <c r="NY12" i="19" s="1"/>
  <c r="NZ12" i="19"/>
  <c r="OA12" i="19"/>
  <c r="OW12" i="19"/>
  <c r="OX12" i="19"/>
  <c r="PA12" i="19" s="1"/>
  <c r="PB12" i="19"/>
  <c r="PC12" i="19"/>
  <c r="PY12" i="19"/>
  <c r="PZ12" i="19"/>
  <c r="QC12" i="19" s="1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6" i="19"/>
  <c r="CY6" i="19"/>
  <c r="DC6" i="19"/>
  <c r="DD6" i="19"/>
  <c r="EC6" i="19"/>
  <c r="ED6" i="19"/>
  <c r="EG6" i="19" s="1"/>
  <c r="EH6" i="19"/>
  <c r="EI6" i="19"/>
  <c r="FE6" i="19"/>
  <c r="FF6" i="19"/>
  <c r="FI6" i="19" s="1"/>
  <c r="FJ6" i="19"/>
  <c r="FK6" i="19"/>
  <c r="GG6" i="19"/>
  <c r="GH6" i="19"/>
  <c r="GK6" i="19" s="1"/>
  <c r="GL6" i="19"/>
  <c r="GM6" i="19"/>
  <c r="HI6" i="19"/>
  <c r="HJ6" i="19"/>
  <c r="HM6" i="19" s="1"/>
  <c r="HN6" i="19"/>
  <c r="HO6" i="19"/>
  <c r="IK6" i="19"/>
  <c r="IL6" i="19"/>
  <c r="IO6" i="19" s="1"/>
  <c r="IP6" i="19"/>
  <c r="IQ6" i="19"/>
  <c r="JM6" i="19"/>
  <c r="JN6" i="19"/>
  <c r="JR6" i="19"/>
  <c r="JS6" i="19"/>
  <c r="KO6" i="19"/>
  <c r="KP6" i="19"/>
  <c r="KS6" i="19" s="1"/>
  <c r="KT6" i="19"/>
  <c r="KU6" i="19"/>
  <c r="LQ6" i="19"/>
  <c r="LR6" i="19"/>
  <c r="LU6" i="19" s="1"/>
  <c r="LV6" i="19"/>
  <c r="LW6" i="19"/>
  <c r="MS6" i="19"/>
  <c r="MT6" i="19"/>
  <c r="MW6" i="19" s="1"/>
  <c r="MX6" i="19"/>
  <c r="MY6" i="19"/>
  <c r="NU6" i="19"/>
  <c r="NV6" i="19"/>
  <c r="NY6" i="19" s="1"/>
  <c r="NZ6" i="19"/>
  <c r="OA6" i="19"/>
  <c r="OW6" i="19"/>
  <c r="OX6" i="19"/>
  <c r="PA6" i="19" s="1"/>
  <c r="PB6" i="19"/>
  <c r="PC6" i="19"/>
  <c r="PY6" i="19"/>
  <c r="PZ6" i="19"/>
  <c r="QC6" i="19" s="1"/>
  <c r="QD6" i="19"/>
  <c r="QE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X6" i="19"/>
  <c r="QY6" i="19"/>
  <c r="QZ6" i="19"/>
  <c r="CX15" i="19"/>
  <c r="CY15" i="19"/>
  <c r="DC15" i="19"/>
  <c r="DD15" i="19"/>
  <c r="EC15" i="19"/>
  <c r="ED15" i="19"/>
  <c r="EH15" i="19"/>
  <c r="EI15" i="19"/>
  <c r="FE15" i="19"/>
  <c r="FF15" i="19"/>
  <c r="FI15" i="19" s="1"/>
  <c r="FJ15" i="19"/>
  <c r="FK15" i="19"/>
  <c r="GG15" i="19"/>
  <c r="GH15" i="19"/>
  <c r="GL15" i="19"/>
  <c r="GM15" i="19"/>
  <c r="HI15" i="19"/>
  <c r="HJ15" i="19"/>
  <c r="HM15" i="19" s="1"/>
  <c r="HN15" i="19"/>
  <c r="HO15" i="19"/>
  <c r="IK15" i="19"/>
  <c r="IL15" i="19"/>
  <c r="IP15" i="19"/>
  <c r="IQ15" i="19"/>
  <c r="JM15" i="19"/>
  <c r="JN15" i="19"/>
  <c r="JR15" i="19"/>
  <c r="JS15" i="19"/>
  <c r="KO15" i="19"/>
  <c r="KP15" i="19"/>
  <c r="KT15" i="19"/>
  <c r="KU15" i="19"/>
  <c r="LQ15" i="19"/>
  <c r="LR15" i="19"/>
  <c r="LU15" i="19" s="1"/>
  <c r="LV15" i="19"/>
  <c r="LW15" i="19"/>
  <c r="MS15" i="19"/>
  <c r="MT15" i="19"/>
  <c r="MX15" i="19"/>
  <c r="MY15" i="19"/>
  <c r="NU15" i="19"/>
  <c r="NV15" i="19"/>
  <c r="NY15" i="19" s="1"/>
  <c r="NZ15" i="19"/>
  <c r="OA15" i="19"/>
  <c r="OW15" i="19"/>
  <c r="OX15" i="19"/>
  <c r="PB15" i="19"/>
  <c r="PC15" i="19"/>
  <c r="PY15" i="19"/>
  <c r="PZ15" i="19"/>
  <c r="QC15" i="19" s="1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14" i="19"/>
  <c r="CY14" i="19"/>
  <c r="DB14" i="19" s="1"/>
  <c r="DC14" i="19"/>
  <c r="DD14" i="19"/>
  <c r="EC14" i="19"/>
  <c r="ED14" i="19"/>
  <c r="EG14" i="19" s="1"/>
  <c r="EH14" i="19"/>
  <c r="EI14" i="19"/>
  <c r="FE14" i="19"/>
  <c r="FF14" i="19"/>
  <c r="FJ14" i="19"/>
  <c r="FK14" i="19"/>
  <c r="GG14" i="19"/>
  <c r="GH14" i="19"/>
  <c r="GK14" i="19" s="1"/>
  <c r="GL14" i="19"/>
  <c r="GM14" i="19"/>
  <c r="HI14" i="19"/>
  <c r="HJ14" i="19"/>
  <c r="HN14" i="19"/>
  <c r="HO14" i="19"/>
  <c r="IK14" i="19"/>
  <c r="IL14" i="19"/>
  <c r="IO14" i="19" s="1"/>
  <c r="IP14" i="19"/>
  <c r="IQ14" i="19"/>
  <c r="JM14" i="19"/>
  <c r="JN14" i="19"/>
  <c r="JQ14" i="19" s="1"/>
  <c r="JR14" i="19"/>
  <c r="JS14" i="19"/>
  <c r="KO14" i="19"/>
  <c r="KP14" i="19"/>
  <c r="KS14" i="19" s="1"/>
  <c r="KT14" i="19"/>
  <c r="KU14" i="19"/>
  <c r="LQ14" i="19"/>
  <c r="LR14" i="19"/>
  <c r="LV14" i="19"/>
  <c r="LW14" i="19"/>
  <c r="MS14" i="19"/>
  <c r="MT14" i="19"/>
  <c r="MW14" i="19" s="1"/>
  <c r="MX14" i="19"/>
  <c r="MY14" i="19"/>
  <c r="NU14" i="19"/>
  <c r="NV14" i="19"/>
  <c r="NZ14" i="19"/>
  <c r="OA14" i="19"/>
  <c r="OW14" i="19"/>
  <c r="OX14" i="19"/>
  <c r="PA14" i="19" s="1"/>
  <c r="PB14" i="19"/>
  <c r="PC14" i="19"/>
  <c r="PY14" i="19"/>
  <c r="PZ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CX10" i="19"/>
  <c r="CY10" i="19"/>
  <c r="DC10" i="19"/>
  <c r="DD10" i="19"/>
  <c r="EC10" i="19"/>
  <c r="ED10" i="19"/>
  <c r="EH10" i="19"/>
  <c r="EI10" i="19"/>
  <c r="FE10" i="19"/>
  <c r="FF10" i="19"/>
  <c r="FI10" i="19" s="1"/>
  <c r="FJ10" i="19"/>
  <c r="FK10" i="19"/>
  <c r="GG10" i="19"/>
  <c r="GH10" i="19"/>
  <c r="GL10" i="19"/>
  <c r="GM10" i="19"/>
  <c r="HI10" i="19"/>
  <c r="HJ10" i="19"/>
  <c r="HM10" i="19" s="1"/>
  <c r="HN10" i="19"/>
  <c r="HO10" i="19"/>
  <c r="IK10" i="19"/>
  <c r="IL10" i="19"/>
  <c r="IP10" i="19"/>
  <c r="IQ10" i="19"/>
  <c r="JM10" i="19"/>
  <c r="JN10" i="19"/>
  <c r="JR10" i="19"/>
  <c r="JS10" i="19"/>
  <c r="KO10" i="19"/>
  <c r="KP10" i="19"/>
  <c r="KT10" i="19"/>
  <c r="KU10" i="19"/>
  <c r="LQ10" i="19"/>
  <c r="LR10" i="19"/>
  <c r="LU10" i="19" s="1"/>
  <c r="LV10" i="19"/>
  <c r="LW10" i="19"/>
  <c r="MS10" i="19"/>
  <c r="MT10" i="19"/>
  <c r="MX10" i="19"/>
  <c r="MY10" i="19"/>
  <c r="NU10" i="19"/>
  <c r="NV10" i="19"/>
  <c r="NY10" i="19" s="1"/>
  <c r="NZ10" i="19"/>
  <c r="OA10" i="19"/>
  <c r="OW10" i="19"/>
  <c r="OX10" i="19"/>
  <c r="PA10" i="19" s="1"/>
  <c r="PB10" i="19"/>
  <c r="PC10" i="19"/>
  <c r="PY10" i="19"/>
  <c r="PZ10" i="19"/>
  <c r="QC10" i="19" s="1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CX9" i="19"/>
  <c r="CY9" i="19"/>
  <c r="DC9" i="19"/>
  <c r="DD9" i="19"/>
  <c r="EC9" i="19"/>
  <c r="ED9" i="19"/>
  <c r="EG9" i="19" s="1"/>
  <c r="EH9" i="19"/>
  <c r="EI9" i="19"/>
  <c r="FE9" i="19"/>
  <c r="FF9" i="19"/>
  <c r="FJ9" i="19"/>
  <c r="FK9" i="19"/>
  <c r="GG9" i="19"/>
  <c r="GH9" i="19"/>
  <c r="GK9" i="19" s="1"/>
  <c r="GL9" i="19"/>
  <c r="GM9" i="19"/>
  <c r="HI9" i="19"/>
  <c r="HJ9" i="19"/>
  <c r="HN9" i="19"/>
  <c r="HO9" i="19"/>
  <c r="IK9" i="19"/>
  <c r="IL9" i="19"/>
  <c r="IO9" i="19" s="1"/>
  <c r="IP9" i="19"/>
  <c r="IQ9" i="19"/>
  <c r="JM9" i="19"/>
  <c r="JN9" i="19"/>
  <c r="JR9" i="19"/>
  <c r="JS9" i="19"/>
  <c r="KO9" i="19"/>
  <c r="KP9" i="19"/>
  <c r="KS9" i="19" s="1"/>
  <c r="KT9" i="19"/>
  <c r="KU9" i="19"/>
  <c r="LQ9" i="19"/>
  <c r="LR9" i="19"/>
  <c r="LV9" i="19"/>
  <c r="LW9" i="19"/>
  <c r="MS9" i="19"/>
  <c r="MT9" i="19"/>
  <c r="MW9" i="19" s="1"/>
  <c r="MX9" i="19"/>
  <c r="MY9" i="19"/>
  <c r="NU9" i="19"/>
  <c r="NV9" i="19"/>
  <c r="NZ9" i="19"/>
  <c r="OA9" i="19"/>
  <c r="OW9" i="19"/>
  <c r="OX9" i="19"/>
  <c r="PA9" i="19" s="1"/>
  <c r="PB9" i="19"/>
  <c r="PC9" i="19"/>
  <c r="PY9" i="19"/>
  <c r="PZ9" i="19"/>
  <c r="QD9" i="19"/>
  <c r="QE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Y9" i="19"/>
  <c r="QZ9" i="19"/>
  <c r="QZ13" i="19"/>
  <c r="QY13" i="19"/>
  <c r="QX13" i="19"/>
  <c r="QW13" i="19"/>
  <c r="QV13" i="19"/>
  <c r="QU13" i="19"/>
  <c r="QT13" i="19"/>
  <c r="QS13" i="19"/>
  <c r="QR13" i="19"/>
  <c r="QQ13" i="19"/>
  <c r="QP13" i="19"/>
  <c r="QO13" i="19"/>
  <c r="QN13" i="19"/>
  <c r="QM13" i="19"/>
  <c r="QL13" i="19"/>
  <c r="QK13" i="19"/>
  <c r="QJ13" i="19"/>
  <c r="QI13" i="19"/>
  <c r="QH13" i="19"/>
  <c r="QG13" i="19"/>
  <c r="QE13" i="19"/>
  <c r="QD13" i="19"/>
  <c r="PZ13" i="19"/>
  <c r="PY13" i="19"/>
  <c r="PC13" i="19"/>
  <c r="PB13" i="19"/>
  <c r="OX13" i="19"/>
  <c r="PA13" i="19" s="1"/>
  <c r="OW13" i="19"/>
  <c r="OA13" i="19"/>
  <c r="NZ13" i="19"/>
  <c r="NV13" i="19"/>
  <c r="NU13" i="19"/>
  <c r="MY13" i="19"/>
  <c r="MX13" i="19"/>
  <c r="MT13" i="19"/>
  <c r="MW13" i="19" s="1"/>
  <c r="MS13" i="19"/>
  <c r="LW13" i="19"/>
  <c r="LV13" i="19"/>
  <c r="LR13" i="19"/>
  <c r="LQ13" i="19"/>
  <c r="KU13" i="19"/>
  <c r="KT13" i="19"/>
  <c r="KP13" i="19"/>
  <c r="KS13" i="19" s="1"/>
  <c r="KO13" i="19"/>
  <c r="JS13" i="19"/>
  <c r="JR13" i="19"/>
  <c r="JN13" i="19"/>
  <c r="JQ13" i="19" s="1"/>
  <c r="JM13" i="19"/>
  <c r="IQ13" i="19"/>
  <c r="IP13" i="19"/>
  <c r="IL13" i="19"/>
  <c r="IO13" i="19" s="1"/>
  <c r="IK13" i="19"/>
  <c r="HO13" i="19"/>
  <c r="HN13" i="19"/>
  <c r="HJ13" i="19"/>
  <c r="HI13" i="19"/>
  <c r="GM13" i="19"/>
  <c r="GL13" i="19"/>
  <c r="GH13" i="19"/>
  <c r="GK13" i="19" s="1"/>
  <c r="GG13" i="19"/>
  <c r="FK13" i="19"/>
  <c r="FJ13" i="19"/>
  <c r="FF13" i="19"/>
  <c r="FE13" i="19"/>
  <c r="EI13" i="19"/>
  <c r="EH13" i="19"/>
  <c r="ED13" i="19"/>
  <c r="EG13" i="19" s="1"/>
  <c r="EC13" i="19"/>
  <c r="DD13" i="19"/>
  <c r="DC13" i="19"/>
  <c r="CY13" i="19"/>
  <c r="DB13" i="19" s="1"/>
  <c r="CX13" i="19"/>
  <c r="QZ7" i="19"/>
  <c r="QY7" i="19"/>
  <c r="QX7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E7" i="19"/>
  <c r="QD7" i="19"/>
  <c r="PZ7" i="19"/>
  <c r="QC7" i="19" s="1"/>
  <c r="PY7" i="19"/>
  <c r="PC7" i="19"/>
  <c r="PB7" i="19"/>
  <c r="OX7" i="19"/>
  <c r="PA7" i="19" s="1"/>
  <c r="OW7" i="19"/>
  <c r="OA7" i="19"/>
  <c r="NZ7" i="19"/>
  <c r="NV7" i="19"/>
  <c r="NY7" i="19" s="1"/>
  <c r="NU7" i="19"/>
  <c r="MY7" i="19"/>
  <c r="MX7" i="19"/>
  <c r="MT7" i="19"/>
  <c r="MW7" i="19" s="1"/>
  <c r="MS7" i="19"/>
  <c r="LW7" i="19"/>
  <c r="LV7" i="19"/>
  <c r="LR7" i="19"/>
  <c r="LU7" i="19" s="1"/>
  <c r="LQ7" i="19"/>
  <c r="KU7" i="19"/>
  <c r="KT7" i="19"/>
  <c r="KP7" i="19"/>
  <c r="KS7" i="19" s="1"/>
  <c r="KO7" i="19"/>
  <c r="JS7" i="19"/>
  <c r="JR7" i="19"/>
  <c r="JN7" i="19"/>
  <c r="JM7" i="19"/>
  <c r="IQ7" i="19"/>
  <c r="IP7" i="19"/>
  <c r="IL7" i="19"/>
  <c r="IO7" i="19" s="1"/>
  <c r="IK7" i="19"/>
  <c r="HO7" i="19"/>
  <c r="HN7" i="19"/>
  <c r="HJ7" i="19"/>
  <c r="HM7" i="19" s="1"/>
  <c r="HI7" i="19"/>
  <c r="GM7" i="19"/>
  <c r="GL7" i="19"/>
  <c r="GH7" i="19"/>
  <c r="GK7" i="19" s="1"/>
  <c r="GG7" i="19"/>
  <c r="FK7" i="19"/>
  <c r="FJ7" i="19"/>
  <c r="FF7" i="19"/>
  <c r="FI7" i="19" s="1"/>
  <c r="FE7" i="19"/>
  <c r="EI7" i="19"/>
  <c r="EH7" i="19"/>
  <c r="ED7" i="19"/>
  <c r="EG7" i="19" s="1"/>
  <c r="EC7" i="19"/>
  <c r="DD7" i="19"/>
  <c r="DC7" i="19"/>
  <c r="CY7" i="19"/>
  <c r="CX7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E4" i="19"/>
  <c r="QD4" i="19"/>
  <c r="PZ4" i="19"/>
  <c r="QC4" i="19" s="1"/>
  <c r="PY4" i="19"/>
  <c r="PC4" i="19"/>
  <c r="PB4" i="19"/>
  <c r="OX4" i="19"/>
  <c r="PA4" i="19" s="1"/>
  <c r="OW4" i="19"/>
  <c r="OA4" i="19"/>
  <c r="NZ4" i="19"/>
  <c r="NV4" i="19"/>
  <c r="NY4" i="19" s="1"/>
  <c r="NU4" i="19"/>
  <c r="MY4" i="19"/>
  <c r="MX4" i="19"/>
  <c r="MT4" i="19"/>
  <c r="MW4" i="19" s="1"/>
  <c r="MS4" i="19"/>
  <c r="LW4" i="19"/>
  <c r="LV4" i="19"/>
  <c r="LR4" i="19"/>
  <c r="LU4" i="19" s="1"/>
  <c r="LQ4" i="19"/>
  <c r="KU4" i="19"/>
  <c r="KT4" i="19"/>
  <c r="KP4" i="19"/>
  <c r="KS4" i="19" s="1"/>
  <c r="KO4" i="19"/>
  <c r="JS4" i="19"/>
  <c r="JR4" i="19"/>
  <c r="JN4" i="19"/>
  <c r="JQ4" i="19" s="1"/>
  <c r="JM4" i="19"/>
  <c r="IQ4" i="19"/>
  <c r="IP4" i="19"/>
  <c r="IL4" i="19"/>
  <c r="IO4" i="19" s="1"/>
  <c r="IK4" i="19"/>
  <c r="HO4" i="19"/>
  <c r="HN4" i="19"/>
  <c r="HJ4" i="19"/>
  <c r="HM4" i="19" s="1"/>
  <c r="HI4" i="19"/>
  <c r="GM4" i="19"/>
  <c r="GL4" i="19"/>
  <c r="GH4" i="19"/>
  <c r="GK4" i="19" s="1"/>
  <c r="GG4" i="19"/>
  <c r="FK4" i="19"/>
  <c r="FJ4" i="19"/>
  <c r="FF4" i="19"/>
  <c r="FI4" i="19" s="1"/>
  <c r="FE4" i="19"/>
  <c r="EI4" i="19"/>
  <c r="EH4" i="19"/>
  <c r="ED4" i="19"/>
  <c r="EG4" i="19" s="1"/>
  <c r="EC4" i="19"/>
  <c r="DD4" i="19"/>
  <c r="DC4" i="19"/>
  <c r="CY4" i="19"/>
  <c r="DB4" i="19" s="1"/>
  <c r="CX4" i="19"/>
  <c r="P4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PC5" i="19"/>
  <c r="PB5" i="19"/>
  <c r="OX5" i="19"/>
  <c r="PA5" i="19" s="1"/>
  <c r="OW5" i="19"/>
  <c r="OA5" i="19"/>
  <c r="NZ5" i="19"/>
  <c r="NV5" i="19"/>
  <c r="NU5" i="19"/>
  <c r="MY5" i="19"/>
  <c r="MX5" i="19"/>
  <c r="MT5" i="19"/>
  <c r="MW5" i="19" s="1"/>
  <c r="MS5" i="19"/>
  <c r="LW5" i="19"/>
  <c r="LV5" i="19"/>
  <c r="LR5" i="19"/>
  <c r="LQ5" i="19"/>
  <c r="KU5" i="19"/>
  <c r="KT5" i="19"/>
  <c r="KP5" i="19"/>
  <c r="KS5" i="19" s="1"/>
  <c r="KO5" i="19"/>
  <c r="JS5" i="19"/>
  <c r="JR5" i="19"/>
  <c r="JN5" i="19"/>
  <c r="JM5" i="19"/>
  <c r="IQ5" i="19"/>
  <c r="IP5" i="19"/>
  <c r="IL5" i="19"/>
  <c r="IO5" i="19" s="1"/>
  <c r="IK5" i="19"/>
  <c r="HO5" i="19"/>
  <c r="HN5" i="19"/>
  <c r="HJ5" i="19"/>
  <c r="HI5" i="19"/>
  <c r="GM5" i="19"/>
  <c r="GL5" i="19"/>
  <c r="GH5" i="19"/>
  <c r="GK5" i="19" s="1"/>
  <c r="GG5" i="19"/>
  <c r="FK5" i="19"/>
  <c r="FJ5" i="19"/>
  <c r="FF5" i="19"/>
  <c r="FE5" i="19"/>
  <c r="EI5" i="19"/>
  <c r="EH5" i="19"/>
  <c r="ED5" i="19"/>
  <c r="EG5" i="19" s="1"/>
  <c r="EC5" i="19"/>
  <c r="DD5" i="19"/>
  <c r="DC5" i="19"/>
  <c r="CY5" i="19"/>
  <c r="CX5" i="19"/>
  <c r="PQ4" i="18"/>
  <c r="PP4" i="18"/>
  <c r="PO4" i="18"/>
  <c r="PN4" i="18"/>
  <c r="PM4" i="18"/>
  <c r="PL4" i="18"/>
  <c r="PK4" i="18"/>
  <c r="PJ4" i="18"/>
  <c r="PI4" i="18"/>
  <c r="PH4" i="18"/>
  <c r="PG4" i="18"/>
  <c r="PF4" i="18"/>
  <c r="PE4" i="18"/>
  <c r="PD4" i="18"/>
  <c r="PC4" i="18"/>
  <c r="PB4" i="18"/>
  <c r="PA4" i="18"/>
  <c r="OZ4" i="18"/>
  <c r="OY4" i="18"/>
  <c r="OX4" i="18"/>
  <c r="OV4" i="18"/>
  <c r="OU4" i="18"/>
  <c r="OS4" i="18"/>
  <c r="OR4" i="18"/>
  <c r="NV4" i="18"/>
  <c r="NU4" i="18"/>
  <c r="NS4" i="18"/>
  <c r="NR4" i="18"/>
  <c r="MV4" i="18"/>
  <c r="MU4" i="18"/>
  <c r="MS4" i="18"/>
  <c r="MR4" i="18"/>
  <c r="LV4" i="18"/>
  <c r="LU4" i="18"/>
  <c r="LS4" i="18"/>
  <c r="LR4" i="18"/>
  <c r="KV4" i="18"/>
  <c r="KU4" i="18"/>
  <c r="KS4" i="18"/>
  <c r="KR4" i="18"/>
  <c r="JV4" i="18"/>
  <c r="JU4" i="18"/>
  <c r="JS4" i="18"/>
  <c r="JR4" i="18"/>
  <c r="IV4" i="18"/>
  <c r="IU4" i="18"/>
  <c r="IS4" i="18"/>
  <c r="IR4" i="18"/>
  <c r="HV4" i="18"/>
  <c r="HU4" i="18"/>
  <c r="HS4" i="18"/>
  <c r="HR4" i="18"/>
  <c r="GV4" i="18"/>
  <c r="GU4" i="18"/>
  <c r="GS4" i="18"/>
  <c r="GR4" i="18"/>
  <c r="FV4" i="18"/>
  <c r="FU4" i="18"/>
  <c r="FS4" i="18"/>
  <c r="FR4" i="18"/>
  <c r="EV4" i="18"/>
  <c r="EU4" i="18"/>
  <c r="ES4" i="18"/>
  <c r="ER4" i="18"/>
  <c r="DV4" i="18"/>
  <c r="DU4" i="18"/>
  <c r="CT4" i="18"/>
  <c r="CS4" i="18"/>
  <c r="CQ4" i="18"/>
  <c r="CP4" i="18"/>
  <c r="PQ5" i="18"/>
  <c r="PP5" i="18"/>
  <c r="PO5" i="18"/>
  <c r="PN5" i="18"/>
  <c r="PM5" i="18"/>
  <c r="PL5" i="18"/>
  <c r="PK5" i="18"/>
  <c r="PJ5" i="18"/>
  <c r="PI5" i="18"/>
  <c r="PH5" i="18"/>
  <c r="PG5" i="18"/>
  <c r="PF5" i="18"/>
  <c r="PE5" i="18"/>
  <c r="PD5" i="18"/>
  <c r="PC5" i="18"/>
  <c r="PB5" i="18"/>
  <c r="PA5" i="18"/>
  <c r="OZ5" i="18"/>
  <c r="OY5" i="18"/>
  <c r="OX5" i="18"/>
  <c r="OV5" i="18"/>
  <c r="OU5" i="18"/>
  <c r="OS5" i="18"/>
  <c r="OR5" i="18"/>
  <c r="NV5" i="18"/>
  <c r="NU5" i="18"/>
  <c r="NS5" i="18"/>
  <c r="NR5" i="18"/>
  <c r="MV5" i="18"/>
  <c r="MU5" i="18"/>
  <c r="MS5" i="18"/>
  <c r="MR5" i="18"/>
  <c r="LV5" i="18"/>
  <c r="LU5" i="18"/>
  <c r="LS5" i="18"/>
  <c r="LR5" i="18"/>
  <c r="KV5" i="18"/>
  <c r="KU5" i="18"/>
  <c r="KS5" i="18"/>
  <c r="KR5" i="18"/>
  <c r="JV5" i="18"/>
  <c r="JU5" i="18"/>
  <c r="JS5" i="18"/>
  <c r="JR5" i="18"/>
  <c r="IV5" i="18"/>
  <c r="IU5" i="18"/>
  <c r="IS5" i="18"/>
  <c r="IR5" i="18"/>
  <c r="HV5" i="18"/>
  <c r="HU5" i="18"/>
  <c r="HS5" i="18"/>
  <c r="HR5" i="18"/>
  <c r="GV5" i="18"/>
  <c r="GU5" i="18"/>
  <c r="GS5" i="18"/>
  <c r="GR5" i="18"/>
  <c r="FV5" i="18"/>
  <c r="FU5" i="18"/>
  <c r="FS5" i="18"/>
  <c r="FR5" i="18"/>
  <c r="EV5" i="18"/>
  <c r="EU5" i="18"/>
  <c r="ES5" i="18"/>
  <c r="ER5" i="18"/>
  <c r="DV5" i="18"/>
  <c r="DU5" i="18"/>
  <c r="DS5" i="18"/>
  <c r="DR5" i="18"/>
  <c r="CT5" i="18"/>
  <c r="CS5" i="18"/>
  <c r="CQ5" i="18"/>
  <c r="CP5" i="18"/>
  <c r="PE7" i="8"/>
  <c r="PF7" i="8"/>
  <c r="PG7" i="8"/>
  <c r="PH7" i="8"/>
  <c r="PI7" i="8"/>
  <c r="PE6" i="8"/>
  <c r="PF6" i="8"/>
  <c r="PG6" i="8"/>
  <c r="PH6" i="8"/>
  <c r="PI6" i="8"/>
  <c r="PE5" i="8"/>
  <c r="PF5" i="8"/>
  <c r="PG5" i="8"/>
  <c r="PH5" i="8"/>
  <c r="PI5" i="8"/>
  <c r="PF4" i="8"/>
  <c r="PG4" i="8"/>
  <c r="PH4" i="8"/>
  <c r="PI4" i="8"/>
  <c r="BT7" i="8" l="1"/>
  <c r="IO16" i="19"/>
  <c r="GK16" i="19"/>
  <c r="EG16" i="19"/>
  <c r="Q4" i="19"/>
  <c r="DG4" i="19"/>
  <c r="JQ9" i="19"/>
  <c r="DB9" i="19"/>
  <c r="QC16" i="19"/>
  <c r="NY16" i="19"/>
  <c r="LU16" i="19"/>
  <c r="HM16" i="19"/>
  <c r="FI16" i="19"/>
  <c r="FI5" i="19"/>
  <c r="HM5" i="19"/>
  <c r="LU5" i="19"/>
  <c r="NY5" i="19"/>
  <c r="QC5" i="19"/>
  <c r="PA15" i="19"/>
  <c r="MW15" i="19"/>
  <c r="KS15" i="19"/>
  <c r="IO15" i="19"/>
  <c r="GK15" i="19"/>
  <c r="EG15" i="19"/>
  <c r="PA6" i="21"/>
  <c r="KS12" i="21"/>
  <c r="GK10" i="21"/>
  <c r="KS10" i="21"/>
  <c r="BT4" i="18"/>
  <c r="AU12" i="4"/>
  <c r="AY12" i="4" s="1"/>
  <c r="AU19" i="4"/>
  <c r="AY19" i="4" s="1"/>
  <c r="CB6" i="19"/>
  <c r="CB9" i="19"/>
  <c r="IO7" i="21"/>
  <c r="FI12" i="21"/>
  <c r="FI5" i="21"/>
  <c r="DB16" i="19"/>
  <c r="MW10" i="19"/>
  <c r="KS10" i="19"/>
  <c r="IO10" i="19"/>
  <c r="GK10" i="19"/>
  <c r="EG10" i="19"/>
  <c r="CB14" i="21"/>
  <c r="CB13" i="21"/>
  <c r="KS13" i="21"/>
  <c r="PA13" i="21"/>
  <c r="FI10" i="21"/>
  <c r="JQ10" i="21"/>
  <c r="NY10" i="21"/>
  <c r="AY5" i="19"/>
  <c r="AY16" i="19"/>
  <c r="AY15" i="19"/>
  <c r="CB5" i="19"/>
  <c r="AS5" i="8"/>
  <c r="AS4" i="8"/>
  <c r="AY15" i="4"/>
  <c r="AU5" i="4"/>
  <c r="AY5" i="4" s="1"/>
  <c r="BV4" i="4"/>
  <c r="BZ4" i="4" s="1"/>
  <c r="EJ6" i="21"/>
  <c r="IR6" i="21"/>
  <c r="GN4" i="21"/>
  <c r="RB10" i="21"/>
  <c r="LU6" i="21"/>
  <c r="KS7" i="21"/>
  <c r="LU12" i="21"/>
  <c r="FI9" i="21"/>
  <c r="NY9" i="21"/>
  <c r="R9" i="21"/>
  <c r="IR13" i="21"/>
  <c r="RB13" i="21"/>
  <c r="RG13" i="21"/>
  <c r="AY4" i="21"/>
  <c r="AY8" i="21"/>
  <c r="AY9" i="21"/>
  <c r="CB4" i="21"/>
  <c r="CB8" i="21"/>
  <c r="CB9" i="21"/>
  <c r="AY5" i="21"/>
  <c r="AY11" i="21"/>
  <c r="CB5" i="21"/>
  <c r="CB11" i="21"/>
  <c r="QC14" i="19"/>
  <c r="NY14" i="19"/>
  <c r="LU14" i="19"/>
  <c r="HM14" i="19"/>
  <c r="FI14" i="19"/>
  <c r="PA11" i="19"/>
  <c r="MW11" i="19"/>
  <c r="AY14" i="19"/>
  <c r="CB4" i="19"/>
  <c r="CB14" i="19"/>
  <c r="CB12" i="19"/>
  <c r="CB10" i="19"/>
  <c r="KS11" i="19"/>
  <c r="IO11" i="19"/>
  <c r="GK11" i="19"/>
  <c r="EG11" i="19"/>
  <c r="AS6" i="8"/>
  <c r="BV21" i="4"/>
  <c r="BZ21" i="4" s="1"/>
  <c r="BV7" i="4"/>
  <c r="BZ7" i="4" s="1"/>
  <c r="BV17" i="4"/>
  <c r="BZ17" i="4" s="1"/>
  <c r="BZ20" i="4"/>
  <c r="BZ22" i="4"/>
  <c r="BV8" i="4"/>
  <c r="BZ8" i="4" s="1"/>
  <c r="BV14" i="4"/>
  <c r="BZ14" i="4" s="1"/>
  <c r="AU10" i="4"/>
  <c r="AY10" i="4" s="1"/>
  <c r="AU20" i="4"/>
  <c r="AY20" i="4" s="1"/>
  <c r="BV12" i="4"/>
  <c r="BZ12" i="4" s="1"/>
  <c r="BV19" i="4"/>
  <c r="BZ19" i="4" s="1"/>
  <c r="MZ9" i="21"/>
  <c r="PD9" i="21"/>
  <c r="QF6" i="21"/>
  <c r="AY6" i="21"/>
  <c r="AY12" i="21"/>
  <c r="AY10" i="21"/>
  <c r="CB6" i="21"/>
  <c r="CB12" i="21"/>
  <c r="CB10" i="21"/>
  <c r="HP5" i="21"/>
  <c r="JT5" i="21"/>
  <c r="LX5" i="21"/>
  <c r="AY7" i="21"/>
  <c r="AY14" i="21"/>
  <c r="AY13" i="21"/>
  <c r="CB7" i="21"/>
  <c r="JQ13" i="21"/>
  <c r="NY13" i="21"/>
  <c r="QF9" i="21"/>
  <c r="EG13" i="21"/>
  <c r="IO13" i="21"/>
  <c r="CB16" i="19"/>
  <c r="AY13" i="19"/>
  <c r="AY6" i="19"/>
  <c r="AY9" i="19"/>
  <c r="CB13" i="19"/>
  <c r="AY7" i="19"/>
  <c r="CB15" i="19"/>
  <c r="AY12" i="19"/>
  <c r="AY10" i="19"/>
  <c r="CB7" i="19"/>
  <c r="AY4" i="19"/>
  <c r="AY11" i="19"/>
  <c r="CB11" i="19"/>
  <c r="AS7" i="8"/>
  <c r="BT6" i="8"/>
  <c r="BT5" i="8"/>
  <c r="BT4" i="8"/>
  <c r="AS5" i="18"/>
  <c r="AS4" i="18"/>
  <c r="BT5" i="18"/>
  <c r="BV16" i="4"/>
  <c r="BZ16" i="4" s="1"/>
  <c r="AU16" i="4"/>
  <c r="AY16" i="4" s="1"/>
  <c r="AU6" i="4"/>
  <c r="AY6" i="4" s="1"/>
  <c r="AU4" i="4"/>
  <c r="AY4" i="4" s="1"/>
  <c r="AU8" i="4"/>
  <c r="AY8" i="4" s="1"/>
  <c r="AU7" i="4"/>
  <c r="AY7" i="4" s="1"/>
  <c r="BV11" i="4"/>
  <c r="BZ11" i="4" s="1"/>
  <c r="AY22" i="4"/>
  <c r="BV9" i="4"/>
  <c r="BZ9" i="4" s="1"/>
  <c r="BZ10" i="4"/>
  <c r="AU9" i="4"/>
  <c r="AY9" i="4" s="1"/>
  <c r="AU21" i="4"/>
  <c r="AY21" i="4" s="1"/>
  <c r="BV15" i="4"/>
  <c r="BZ15" i="4" s="1"/>
  <c r="AU14" i="4"/>
  <c r="AY14" i="4" s="1"/>
  <c r="BV5" i="4"/>
  <c r="BZ5" i="4" s="1"/>
  <c r="AU11" i="4"/>
  <c r="AY11" i="4" s="1"/>
  <c r="AU17" i="4"/>
  <c r="AY17" i="4" s="1"/>
  <c r="BV6" i="4"/>
  <c r="BZ6" i="4" s="1"/>
  <c r="DB9" i="21"/>
  <c r="RG10" i="21"/>
  <c r="DB12" i="21"/>
  <c r="BY6" i="21"/>
  <c r="BY5" i="21"/>
  <c r="BY4" i="21"/>
  <c r="BY7" i="21"/>
  <c r="BY12" i="21"/>
  <c r="BY11" i="21"/>
  <c r="BY8" i="21"/>
  <c r="BY14" i="21"/>
  <c r="BY10" i="21"/>
  <c r="BY9" i="21"/>
  <c r="BY13" i="21"/>
  <c r="RH13" i="21"/>
  <c r="AV6" i="21"/>
  <c r="AV5" i="21"/>
  <c r="AV4" i="21"/>
  <c r="AV7" i="21"/>
  <c r="AV12" i="21"/>
  <c r="AV11" i="21"/>
  <c r="AV8" i="21"/>
  <c r="AV14" i="21"/>
  <c r="AV10" i="21"/>
  <c r="AV9" i="21"/>
  <c r="AV13" i="21"/>
  <c r="DB12" i="19"/>
  <c r="BY5" i="19"/>
  <c r="BY4" i="19"/>
  <c r="BY7" i="19"/>
  <c r="BY13" i="19"/>
  <c r="BY16" i="19"/>
  <c r="BY11" i="19"/>
  <c r="BY12" i="19"/>
  <c r="BY6" i="19"/>
  <c r="BY15" i="19"/>
  <c r="BY14" i="19"/>
  <c r="BY10" i="19"/>
  <c r="BY9" i="19"/>
  <c r="AV5" i="19"/>
  <c r="AV4" i="19"/>
  <c r="AV7" i="19"/>
  <c r="AV13" i="19"/>
  <c r="AV16" i="19"/>
  <c r="AV11" i="19"/>
  <c r="AV12" i="19"/>
  <c r="AV6" i="19"/>
  <c r="AV15" i="19"/>
  <c r="AV14" i="19"/>
  <c r="AV10" i="19"/>
  <c r="AV9" i="19"/>
  <c r="PS4" i="18"/>
  <c r="PV5" i="18"/>
  <c r="QC5" i="21"/>
  <c r="PA4" i="21"/>
  <c r="FI7" i="21"/>
  <c r="JQ12" i="21"/>
  <c r="QC9" i="21"/>
  <c r="L13" i="21"/>
  <c r="PA5" i="21"/>
  <c r="RD7" i="21"/>
  <c r="EJ5" i="21"/>
  <c r="JT7" i="21"/>
  <c r="IR5" i="21"/>
  <c r="RB5" i="21"/>
  <c r="RG5" i="21"/>
  <c r="R4" i="21"/>
  <c r="LX4" i="21"/>
  <c r="OB4" i="21"/>
  <c r="LU9" i="21"/>
  <c r="QC4" i="21"/>
  <c r="LU7" i="21"/>
  <c r="HM12" i="21"/>
  <c r="FI13" i="21"/>
  <c r="GN11" i="21"/>
  <c r="KV11" i="21"/>
  <c r="PD11" i="21"/>
  <c r="DE8" i="21"/>
  <c r="FL8" i="21"/>
  <c r="JT8" i="21"/>
  <c r="OB8" i="21"/>
  <c r="EJ14" i="21"/>
  <c r="IR14" i="21"/>
  <c r="MZ14" i="21"/>
  <c r="RE14" i="21"/>
  <c r="R10" i="21"/>
  <c r="DE10" i="21"/>
  <c r="L9" i="21"/>
  <c r="DF9" i="21" s="1"/>
  <c r="MZ6" i="21"/>
  <c r="GN5" i="21"/>
  <c r="OB7" i="21"/>
  <c r="MZ12" i="21"/>
  <c r="P10" i="21"/>
  <c r="P9" i="21"/>
  <c r="FI6" i="21"/>
  <c r="FL11" i="21"/>
  <c r="JT11" i="21"/>
  <c r="OB11" i="21"/>
  <c r="R14" i="21"/>
  <c r="DH14" i="21" s="1"/>
  <c r="DE14" i="21"/>
  <c r="HP14" i="21"/>
  <c r="LX14" i="21"/>
  <c r="QF14" i="21"/>
  <c r="PA10" i="21"/>
  <c r="EJ9" i="21"/>
  <c r="IR9" i="21"/>
  <c r="R13" i="21"/>
  <c r="RD13" i="21"/>
  <c r="N6" i="21"/>
  <c r="O6" i="21" s="1"/>
  <c r="JQ6" i="21"/>
  <c r="NY6" i="21"/>
  <c r="RB4" i="21"/>
  <c r="HM7" i="21"/>
  <c r="KV7" i="21"/>
  <c r="RE7" i="21"/>
  <c r="LX12" i="21"/>
  <c r="NY12" i="21"/>
  <c r="JT13" i="21"/>
  <c r="QC9" i="19"/>
  <c r="NY9" i="19"/>
  <c r="LU9" i="19"/>
  <c r="HM9" i="19"/>
  <c r="FI9" i="19"/>
  <c r="JQ10" i="19"/>
  <c r="DB10" i="19"/>
  <c r="P7" i="19"/>
  <c r="DB7" i="19"/>
  <c r="JQ7" i="19"/>
  <c r="FI13" i="19"/>
  <c r="HM13" i="19"/>
  <c r="LU13" i="19"/>
  <c r="NY13" i="19"/>
  <c r="QC13" i="19"/>
  <c r="IR4" i="21"/>
  <c r="KV4" i="21"/>
  <c r="GK7" i="21"/>
  <c r="QF7" i="21"/>
  <c r="JT12" i="21"/>
  <c r="MW12" i="21"/>
  <c r="LX6" i="21"/>
  <c r="FL5" i="21"/>
  <c r="MZ4" i="21"/>
  <c r="IR7" i="21"/>
  <c r="EJ11" i="21"/>
  <c r="IR11" i="21"/>
  <c r="MZ11" i="21"/>
  <c r="RB11" i="21"/>
  <c r="R8" i="21"/>
  <c r="DH8" i="21" s="1"/>
  <c r="DB8" i="21"/>
  <c r="LX9" i="21"/>
  <c r="P13" i="21"/>
  <c r="R6" i="21"/>
  <c r="KV6" i="21"/>
  <c r="HM5" i="21"/>
  <c r="HP4" i="21"/>
  <c r="JQ4" i="21"/>
  <c r="P7" i="21"/>
  <c r="PD7" i="21"/>
  <c r="GN12" i="21"/>
  <c r="KV9" i="21"/>
  <c r="HP6" i="21"/>
  <c r="GK5" i="21"/>
  <c r="P4" i="21"/>
  <c r="NY4" i="21"/>
  <c r="EG7" i="21"/>
  <c r="GN7" i="21"/>
  <c r="JQ7" i="21"/>
  <c r="P12" i="21"/>
  <c r="OB12" i="21"/>
  <c r="QC12" i="21"/>
  <c r="HP11" i="21"/>
  <c r="LX11" i="21"/>
  <c r="QF11" i="21"/>
  <c r="GN8" i="21"/>
  <c r="KV8" i="21"/>
  <c r="PD8" i="21"/>
  <c r="N10" i="21"/>
  <c r="O10" i="21" s="1"/>
  <c r="HP9" i="21"/>
  <c r="RB6" i="21"/>
  <c r="DB5" i="21"/>
  <c r="NY5" i="21"/>
  <c r="EG4" i="21"/>
  <c r="IO4" i="21"/>
  <c r="JT9" i="21"/>
  <c r="RE9" i="21"/>
  <c r="DB13" i="21"/>
  <c r="HM13" i="21"/>
  <c r="KV13" i="21"/>
  <c r="MW13" i="21"/>
  <c r="GK6" i="21"/>
  <c r="P5" i="21"/>
  <c r="MW4" i="21"/>
  <c r="PA12" i="21"/>
  <c r="P11" i="21"/>
  <c r="RG14" i="21"/>
  <c r="RC10" i="21"/>
  <c r="RD10" i="21"/>
  <c r="GK9" i="21"/>
  <c r="DB4" i="21"/>
  <c r="MW7" i="21"/>
  <c r="IO12" i="21"/>
  <c r="RC14" i="21"/>
  <c r="RD14" i="21"/>
  <c r="RH14" i="21"/>
  <c r="HM10" i="21"/>
  <c r="LU10" i="21"/>
  <c r="QC10" i="21"/>
  <c r="KS9" i="21"/>
  <c r="GK13" i="21"/>
  <c r="LU13" i="21"/>
  <c r="QC13" i="21"/>
  <c r="RD12" i="21"/>
  <c r="RD11" i="21"/>
  <c r="P8" i="21"/>
  <c r="G14" i="21"/>
  <c r="PA9" i="21"/>
  <c r="RH9" i="21"/>
  <c r="EG6" i="21"/>
  <c r="JT6" i="21"/>
  <c r="MW6" i="21"/>
  <c r="KS5" i="21"/>
  <c r="RD5" i="21"/>
  <c r="N7" i="21"/>
  <c r="O7" i="21" s="1"/>
  <c r="R7" i="21"/>
  <c r="HP7" i="21"/>
  <c r="NY7" i="21"/>
  <c r="PA7" i="21"/>
  <c r="QC7" i="21"/>
  <c r="DE12" i="21"/>
  <c r="FL12" i="21"/>
  <c r="KV12" i="21"/>
  <c r="N11" i="21"/>
  <c r="O11" i="21" s="1"/>
  <c r="P14" i="21"/>
  <c r="N9" i="21"/>
  <c r="O9" i="21" s="1"/>
  <c r="EG9" i="21"/>
  <c r="MW9" i="21"/>
  <c r="RB9" i="21"/>
  <c r="RG9" i="21"/>
  <c r="G13" i="21"/>
  <c r="P6" i="21"/>
  <c r="DE6" i="21"/>
  <c r="RG7" i="21"/>
  <c r="G12" i="21"/>
  <c r="R12" i="21"/>
  <c r="DH12" i="21" s="1"/>
  <c r="RG12" i="21"/>
  <c r="L11" i="21"/>
  <c r="DF11" i="21" s="1"/>
  <c r="FI11" i="21"/>
  <c r="GK11" i="21"/>
  <c r="HM11" i="21"/>
  <c r="IO11" i="21"/>
  <c r="JQ11" i="21"/>
  <c r="KS11" i="21"/>
  <c r="LU11" i="21"/>
  <c r="MW11" i="21"/>
  <c r="NY11" i="21"/>
  <c r="PA11" i="21"/>
  <c r="QC11" i="21"/>
  <c r="RH11" i="21"/>
  <c r="L8" i="21"/>
  <c r="DF8" i="21" s="1"/>
  <c r="EJ8" i="21"/>
  <c r="IR8" i="21"/>
  <c r="MZ8" i="21"/>
  <c r="RE8" i="21"/>
  <c r="RG8" i="21"/>
  <c r="DB14" i="21"/>
  <c r="GN14" i="21"/>
  <c r="KV14" i="21"/>
  <c r="PD14" i="21"/>
  <c r="N13" i="21"/>
  <c r="O13" i="21" s="1"/>
  <c r="HP13" i="21"/>
  <c r="QF13" i="21"/>
  <c r="KS6" i="21"/>
  <c r="RH6" i="21"/>
  <c r="N5" i="21"/>
  <c r="O5" i="21" s="1"/>
  <c r="JQ5" i="21"/>
  <c r="FL7" i="21"/>
  <c r="L12" i="21"/>
  <c r="DF12" i="21" s="1"/>
  <c r="EJ12" i="21"/>
  <c r="GK12" i="21"/>
  <c r="IR12" i="21"/>
  <c r="RG11" i="21"/>
  <c r="N8" i="21"/>
  <c r="O8" i="21" s="1"/>
  <c r="RD8" i="21"/>
  <c r="GN13" i="21"/>
  <c r="PD13" i="21"/>
  <c r="GN6" i="21"/>
  <c r="PD6" i="21"/>
  <c r="EJ4" i="21"/>
  <c r="JT4" i="21"/>
  <c r="QF4" i="21"/>
  <c r="EJ7" i="21"/>
  <c r="MZ7" i="21"/>
  <c r="N12" i="21"/>
  <c r="O12" i="21" s="1"/>
  <c r="HP12" i="21"/>
  <c r="QF12" i="21"/>
  <c r="HP8" i="21"/>
  <c r="LX8" i="21"/>
  <c r="QF8" i="21"/>
  <c r="FL14" i="21"/>
  <c r="JT14" i="21"/>
  <c r="OB14" i="21"/>
  <c r="RH10" i="21"/>
  <c r="GN9" i="21"/>
  <c r="JQ9" i="21"/>
  <c r="RD9" i="21"/>
  <c r="FL13" i="21"/>
  <c r="OB13" i="21"/>
  <c r="RE13" i="21"/>
  <c r="FL6" i="21"/>
  <c r="IO6" i="21"/>
  <c r="OB6" i="21"/>
  <c r="RG6" i="21"/>
  <c r="EG5" i="21"/>
  <c r="QF5" i="21"/>
  <c r="LU4" i="21"/>
  <c r="PD4" i="21"/>
  <c r="RC4" i="21"/>
  <c r="RD4" i="21"/>
  <c r="LX7" i="21"/>
  <c r="PD12" i="21"/>
  <c r="DB11" i="21"/>
  <c r="RH8" i="21"/>
  <c r="FL9" i="21"/>
  <c r="IO9" i="21"/>
  <c r="OB9" i="21"/>
  <c r="EJ13" i="21"/>
  <c r="MZ13" i="21"/>
  <c r="HM6" i="21"/>
  <c r="QC6" i="21"/>
  <c r="RD6" i="21"/>
  <c r="FI4" i="21"/>
  <c r="KS4" i="21"/>
  <c r="EG10" i="21"/>
  <c r="IO10" i="21"/>
  <c r="MW10" i="21"/>
  <c r="HM9" i="21"/>
  <c r="LX13" i="21"/>
  <c r="RE5" i="19"/>
  <c r="RE13" i="19"/>
  <c r="PU4" i="8"/>
  <c r="FW4" i="18"/>
  <c r="CU5" i="18"/>
  <c r="EW5" i="18"/>
  <c r="GW5" i="18"/>
  <c r="IW5" i="18"/>
  <c r="MW5" i="18"/>
  <c r="OW5" i="18"/>
  <c r="EW4" i="18"/>
  <c r="JQ15" i="19"/>
  <c r="DB15" i="19"/>
  <c r="RE16" i="19"/>
  <c r="JQ6" i="19"/>
  <c r="DB6" i="19"/>
  <c r="RE11" i="19"/>
  <c r="RE9" i="19"/>
  <c r="RE4" i="19"/>
  <c r="RE10" i="19"/>
  <c r="RE14" i="19"/>
  <c r="RE7" i="19"/>
  <c r="RE15" i="19"/>
  <c r="F5" i="19"/>
  <c r="RE6" i="19"/>
  <c r="G5" i="19"/>
  <c r="DB5" i="19"/>
  <c r="JQ5" i="19"/>
  <c r="RE12" i="19"/>
  <c r="EG11" i="21"/>
  <c r="EG12" i="21"/>
  <c r="G8" i="21"/>
  <c r="J12" i="21"/>
  <c r="DE11" i="21"/>
  <c r="RC12" i="21"/>
  <c r="F4" i="21"/>
  <c r="L5" i="21"/>
  <c r="RC8" i="21"/>
  <c r="F6" i="21"/>
  <c r="RE5" i="21"/>
  <c r="RC11" i="21"/>
  <c r="F10" i="21"/>
  <c r="G6" i="21"/>
  <c r="RC6" i="21"/>
  <c r="RE4" i="21"/>
  <c r="RB7" i="21"/>
  <c r="G10" i="21"/>
  <c r="F12" i="21"/>
  <c r="J11" i="21"/>
  <c r="RE6" i="21"/>
  <c r="RE11" i="21"/>
  <c r="J8" i="21"/>
  <c r="K8" i="21" s="1"/>
  <c r="F13" i="21"/>
  <c r="RC13" i="21"/>
  <c r="RF13" i="21" s="1"/>
  <c r="F8" i="21"/>
  <c r="L6" i="21"/>
  <c r="DF6" i="21" s="1"/>
  <c r="J5" i="21"/>
  <c r="F5" i="21"/>
  <c r="J14" i="21"/>
  <c r="G5" i="21"/>
  <c r="J10" i="21"/>
  <c r="L14" i="21"/>
  <c r="DF14" i="21" s="1"/>
  <c r="F14" i="21"/>
  <c r="KV5" i="21"/>
  <c r="RH5" i="21"/>
  <c r="DE4" i="21"/>
  <c r="FL4" i="21"/>
  <c r="RC7" i="21"/>
  <c r="J6" i="21"/>
  <c r="R5" i="21"/>
  <c r="DH5" i="21" s="1"/>
  <c r="MW5" i="21"/>
  <c r="HM4" i="21"/>
  <c r="DB6" i="21"/>
  <c r="LU5" i="21"/>
  <c r="N4" i="21"/>
  <c r="O4" i="21" s="1"/>
  <c r="L4" i="21"/>
  <c r="DF4" i="21" s="1"/>
  <c r="J4" i="21"/>
  <c r="GK4" i="21"/>
  <c r="F11" i="21"/>
  <c r="DB7" i="21"/>
  <c r="DE7" i="21"/>
  <c r="R11" i="21"/>
  <c r="DH11" i="21" s="1"/>
  <c r="DE5" i="21"/>
  <c r="PD5" i="21"/>
  <c r="RH4" i="21"/>
  <c r="RG4" i="21"/>
  <c r="RI14" i="21"/>
  <c r="IO5" i="21"/>
  <c r="OB5" i="21"/>
  <c r="M12" i="21"/>
  <c r="MZ5" i="21"/>
  <c r="RC5" i="21"/>
  <c r="G4" i="21"/>
  <c r="F7" i="21"/>
  <c r="RH7" i="21"/>
  <c r="S12" i="21"/>
  <c r="RH12" i="21"/>
  <c r="G7" i="21"/>
  <c r="L7" i="21"/>
  <c r="DF7" i="21" s="1"/>
  <c r="J7" i="21"/>
  <c r="RE12" i="21"/>
  <c r="RB12" i="21"/>
  <c r="EJ10" i="21"/>
  <c r="FL10" i="21"/>
  <c r="GN10" i="21"/>
  <c r="HP10" i="21"/>
  <c r="IR10" i="21"/>
  <c r="JT10" i="21"/>
  <c r="KV10" i="21"/>
  <c r="LX10" i="21"/>
  <c r="MZ10" i="21"/>
  <c r="OB10" i="21"/>
  <c r="PD10" i="21"/>
  <c r="QF10" i="21"/>
  <c r="RE10" i="21"/>
  <c r="F9" i="21"/>
  <c r="DE9" i="21"/>
  <c r="RC9" i="21"/>
  <c r="S8" i="21"/>
  <c r="G9" i="21"/>
  <c r="DE13" i="21"/>
  <c r="EG8" i="21"/>
  <c r="FI8" i="21"/>
  <c r="GK8" i="21"/>
  <c r="HM8" i="21"/>
  <c r="IO8" i="21"/>
  <c r="JQ8" i="21"/>
  <c r="KS8" i="21"/>
  <c r="LU8" i="21"/>
  <c r="MW8" i="21"/>
  <c r="NY8" i="21"/>
  <c r="PA8" i="21"/>
  <c r="QC8" i="21"/>
  <c r="RB8" i="21"/>
  <c r="DB10" i="21"/>
  <c r="G11" i="21"/>
  <c r="EG14" i="21"/>
  <c r="FI14" i="21"/>
  <c r="GK14" i="21"/>
  <c r="HM14" i="21"/>
  <c r="IO14" i="21"/>
  <c r="JQ14" i="21"/>
  <c r="KS14" i="21"/>
  <c r="LU14" i="21"/>
  <c r="MW14" i="21"/>
  <c r="NY14" i="21"/>
  <c r="PA14" i="21"/>
  <c r="QC14" i="21"/>
  <c r="RB14" i="21"/>
  <c r="L10" i="21"/>
  <c r="DF10" i="21" s="1"/>
  <c r="J9" i="21"/>
  <c r="N14" i="21"/>
  <c r="O14" i="21" s="1"/>
  <c r="J13" i="21"/>
  <c r="IR15" i="19"/>
  <c r="GN15" i="19"/>
  <c r="J5" i="19"/>
  <c r="P14" i="19"/>
  <c r="N10" i="19"/>
  <c r="O10" i="19" s="1"/>
  <c r="N5" i="19"/>
  <c r="O5" i="19" s="1"/>
  <c r="DE9" i="19"/>
  <c r="QF9" i="19"/>
  <c r="QF14" i="19"/>
  <c r="P16" i="19"/>
  <c r="N14" i="19"/>
  <c r="O14" i="19" s="1"/>
  <c r="N7" i="19"/>
  <c r="O7" i="19" s="1"/>
  <c r="EJ12" i="19"/>
  <c r="N4" i="19"/>
  <c r="O4" i="19" s="1"/>
  <c r="P9" i="19"/>
  <c r="P10" i="19"/>
  <c r="OB14" i="19"/>
  <c r="OB6" i="19"/>
  <c r="PD16" i="19"/>
  <c r="KV16" i="19"/>
  <c r="P12" i="19"/>
  <c r="LX11" i="19"/>
  <c r="P11" i="19"/>
  <c r="PU5" i="8"/>
  <c r="PU7" i="8"/>
  <c r="PU6" i="8"/>
  <c r="GW4" i="18"/>
  <c r="HW5" i="18"/>
  <c r="N5" i="18"/>
  <c r="PW4" i="18"/>
  <c r="KW4" i="18"/>
  <c r="PW5" i="18"/>
  <c r="JW5" i="18"/>
  <c r="NW5" i="18"/>
  <c r="PS5" i="18"/>
  <c r="HW4" i="18"/>
  <c r="JW4" i="18"/>
  <c r="LW4" i="18"/>
  <c r="NW4" i="18"/>
  <c r="P15" i="19"/>
  <c r="P6" i="19"/>
  <c r="N16" i="19"/>
  <c r="O16" i="19" s="1"/>
  <c r="N12" i="19"/>
  <c r="O12" i="19" s="1"/>
  <c r="N11" i="19"/>
  <c r="O11" i="19" s="1"/>
  <c r="N13" i="19"/>
  <c r="O13" i="19" s="1"/>
  <c r="N15" i="19"/>
  <c r="O15" i="19" s="1"/>
  <c r="N6" i="19"/>
  <c r="O6" i="19" s="1"/>
  <c r="P5" i="19"/>
  <c r="P13" i="19"/>
  <c r="FL6" i="19"/>
  <c r="HP10" i="19"/>
  <c r="KV15" i="19"/>
  <c r="LX14" i="19"/>
  <c r="PD12" i="19"/>
  <c r="GN12" i="19"/>
  <c r="MZ9" i="19"/>
  <c r="KV9" i="19"/>
  <c r="MZ12" i="19"/>
  <c r="DE16" i="19"/>
  <c r="QF11" i="19"/>
  <c r="QF10" i="19"/>
  <c r="RG14" i="19"/>
  <c r="JT15" i="19"/>
  <c r="HP15" i="19"/>
  <c r="FL15" i="19"/>
  <c r="DE6" i="19"/>
  <c r="GN11" i="19"/>
  <c r="EJ11" i="19"/>
  <c r="RD14" i="19"/>
  <c r="J10" i="19"/>
  <c r="K10" i="19" s="1"/>
  <c r="MZ14" i="19"/>
  <c r="KV14" i="19"/>
  <c r="IR14" i="19"/>
  <c r="OB9" i="19"/>
  <c r="KV10" i="19"/>
  <c r="DE11" i="19"/>
  <c r="RB14" i="19"/>
  <c r="QF16" i="19"/>
  <c r="FL10" i="19"/>
  <c r="R6" i="19"/>
  <c r="LX12" i="19"/>
  <c r="RG9" i="19"/>
  <c r="RB9" i="19"/>
  <c r="EJ9" i="19"/>
  <c r="OB15" i="19"/>
  <c r="PD6" i="19"/>
  <c r="IR6" i="19"/>
  <c r="MZ16" i="19"/>
  <c r="RC6" i="19"/>
  <c r="JT9" i="19"/>
  <c r="FL9" i="19"/>
  <c r="GN10" i="19"/>
  <c r="EJ10" i="19"/>
  <c r="EJ6" i="19"/>
  <c r="R12" i="19"/>
  <c r="PD11" i="19"/>
  <c r="MZ11" i="19"/>
  <c r="PD9" i="19"/>
  <c r="PD15" i="19"/>
  <c r="DE12" i="19"/>
  <c r="R16" i="19"/>
  <c r="RG10" i="19"/>
  <c r="OB10" i="19"/>
  <c r="LX10" i="19"/>
  <c r="R14" i="19"/>
  <c r="RD15" i="19"/>
  <c r="LX6" i="19"/>
  <c r="JT6" i="19"/>
  <c r="RD16" i="19"/>
  <c r="RC16" i="19"/>
  <c r="JT16" i="19"/>
  <c r="HP16" i="19"/>
  <c r="HP14" i="19"/>
  <c r="FL14" i="19"/>
  <c r="DE14" i="19"/>
  <c r="KV12" i="19"/>
  <c r="IR12" i="19"/>
  <c r="RG16" i="19"/>
  <c r="RB16" i="19"/>
  <c r="EJ13" i="19"/>
  <c r="GN13" i="19"/>
  <c r="IR13" i="19"/>
  <c r="KV13" i="19"/>
  <c r="MZ13" i="19"/>
  <c r="PD13" i="19"/>
  <c r="MZ10" i="19"/>
  <c r="LX15" i="19"/>
  <c r="JT11" i="19"/>
  <c r="HP11" i="19"/>
  <c r="GN16" i="19"/>
  <c r="EJ16" i="19"/>
  <c r="IR10" i="19"/>
  <c r="RD6" i="19"/>
  <c r="GN6" i="19"/>
  <c r="RB12" i="19"/>
  <c r="QF12" i="19"/>
  <c r="JT12" i="19"/>
  <c r="RC14" i="19"/>
  <c r="F14" i="19"/>
  <c r="G15" i="19"/>
  <c r="RH9" i="19"/>
  <c r="RD9" i="19"/>
  <c r="R9" i="19"/>
  <c r="DH9" i="19" s="1"/>
  <c r="JT10" i="19"/>
  <c r="MZ15" i="19"/>
  <c r="HP6" i="19"/>
  <c r="RH12" i="19"/>
  <c r="OB12" i="19"/>
  <c r="FL11" i="19"/>
  <c r="R11" i="19"/>
  <c r="DH11" i="19" s="1"/>
  <c r="F9" i="19"/>
  <c r="RH10" i="19"/>
  <c r="RD10" i="19"/>
  <c r="RC10" i="19"/>
  <c r="PD10" i="19"/>
  <c r="RH14" i="19"/>
  <c r="J14" i="19"/>
  <c r="RC15" i="19"/>
  <c r="DE15" i="19"/>
  <c r="MZ6" i="19"/>
  <c r="G12" i="19"/>
  <c r="KV11" i="19"/>
  <c r="FL16" i="19"/>
  <c r="RC9" i="19"/>
  <c r="GN14" i="19"/>
  <c r="RG15" i="19"/>
  <c r="RB15" i="19"/>
  <c r="QF15" i="19"/>
  <c r="KV6" i="19"/>
  <c r="RD12" i="19"/>
  <c r="RC12" i="19"/>
  <c r="IR11" i="19"/>
  <c r="IR9" i="19"/>
  <c r="GN9" i="19"/>
  <c r="L9" i="19"/>
  <c r="DF9" i="19" s="1"/>
  <c r="R10" i="19"/>
  <c r="EJ14" i="19"/>
  <c r="RH15" i="19"/>
  <c r="RG6" i="19"/>
  <c r="RB6" i="19"/>
  <c r="QF6" i="19"/>
  <c r="RG12" i="19"/>
  <c r="OB11" i="19"/>
  <c r="G11" i="19"/>
  <c r="IR16" i="19"/>
  <c r="RB10" i="19"/>
  <c r="DE10" i="19"/>
  <c r="JT14" i="19"/>
  <c r="RH6" i="19"/>
  <c r="HP12" i="19"/>
  <c r="RD11" i="19"/>
  <c r="RC11" i="19"/>
  <c r="F11" i="19"/>
  <c r="L16" i="19"/>
  <c r="LX9" i="19"/>
  <c r="HP9" i="19"/>
  <c r="PD14" i="19"/>
  <c r="EJ15" i="19"/>
  <c r="FL12" i="19"/>
  <c r="RG11" i="19"/>
  <c r="RB11" i="19"/>
  <c r="OB16" i="19"/>
  <c r="LX16" i="19"/>
  <c r="F16" i="19"/>
  <c r="G6" i="19"/>
  <c r="F15" i="19"/>
  <c r="F12" i="19"/>
  <c r="F10" i="19"/>
  <c r="F6" i="19"/>
  <c r="L11" i="19"/>
  <c r="DF11" i="19" s="1"/>
  <c r="G14" i="19"/>
  <c r="R15" i="19"/>
  <c r="DH15" i="19" s="1"/>
  <c r="L12" i="19"/>
  <c r="DF12" i="19" s="1"/>
  <c r="J16" i="19"/>
  <c r="J9" i="19"/>
  <c r="G10" i="19"/>
  <c r="L6" i="19"/>
  <c r="DF6" i="19" s="1"/>
  <c r="J11" i="19"/>
  <c r="RH16" i="19"/>
  <c r="G9" i="19"/>
  <c r="L15" i="19"/>
  <c r="DF15" i="19" s="1"/>
  <c r="J12" i="19"/>
  <c r="RH11" i="19"/>
  <c r="L14" i="19"/>
  <c r="DF14" i="19" s="1"/>
  <c r="J6" i="19"/>
  <c r="G16" i="19"/>
  <c r="L10" i="19"/>
  <c r="DF10" i="19" s="1"/>
  <c r="J15" i="19"/>
  <c r="HP13" i="19"/>
  <c r="JT13" i="19"/>
  <c r="OB13" i="19"/>
  <c r="QF13" i="19"/>
  <c r="GN5" i="19"/>
  <c r="KV5" i="19"/>
  <c r="PD5" i="19"/>
  <c r="DE7" i="19"/>
  <c r="FL7" i="19"/>
  <c r="HP7" i="19"/>
  <c r="JT7" i="19"/>
  <c r="LX7" i="19"/>
  <c r="OB7" i="19"/>
  <c r="QF7" i="19"/>
  <c r="RH13" i="19"/>
  <c r="JT4" i="19"/>
  <c r="RG13" i="19"/>
  <c r="R7" i="19"/>
  <c r="EJ4" i="19"/>
  <c r="GN4" i="19"/>
  <c r="IR4" i="19"/>
  <c r="KV4" i="19"/>
  <c r="MZ4" i="19"/>
  <c r="PD4" i="19"/>
  <c r="RB4" i="19"/>
  <c r="KV7" i="19"/>
  <c r="MZ7" i="19"/>
  <c r="LX5" i="19"/>
  <c r="OB5" i="19"/>
  <c r="QF5" i="19"/>
  <c r="RG5" i="19"/>
  <c r="L5" i="19"/>
  <c r="RB7" i="19"/>
  <c r="R4" i="19"/>
  <c r="RH4" i="19"/>
  <c r="GN7" i="19"/>
  <c r="R5" i="19"/>
  <c r="DH5" i="19" s="1"/>
  <c r="DE5" i="19"/>
  <c r="HP5" i="19"/>
  <c r="JT5" i="19"/>
  <c r="J4" i="19"/>
  <c r="PD7" i="19"/>
  <c r="LX13" i="19"/>
  <c r="RC7" i="19"/>
  <c r="RH5" i="19"/>
  <c r="RH7" i="19"/>
  <c r="L13" i="19"/>
  <c r="RC4" i="19"/>
  <c r="RD4" i="19"/>
  <c r="RG7" i="19"/>
  <c r="R13" i="19"/>
  <c r="EJ5" i="19"/>
  <c r="RB5" i="19"/>
  <c r="J13" i="19"/>
  <c r="RB13" i="19"/>
  <c r="IR5" i="19"/>
  <c r="MZ5" i="19"/>
  <c r="RC5" i="19"/>
  <c r="RD5" i="19"/>
  <c r="FL4" i="19"/>
  <c r="HP4" i="19"/>
  <c r="LX4" i="19"/>
  <c r="J7" i="19"/>
  <c r="DE13" i="19"/>
  <c r="RC13" i="19"/>
  <c r="RD13" i="19"/>
  <c r="RD7" i="19"/>
  <c r="FL5" i="19"/>
  <c r="DE4" i="19"/>
  <c r="OB4" i="19"/>
  <c r="QF4" i="19"/>
  <c r="RG4" i="19"/>
  <c r="EJ7" i="19"/>
  <c r="IR7" i="19"/>
  <c r="FL13" i="19"/>
  <c r="L7" i="19"/>
  <c r="DF7" i="19" s="1"/>
  <c r="L4" i="19"/>
  <c r="DF4" i="19" s="1"/>
  <c r="F13" i="19"/>
  <c r="F7" i="19"/>
  <c r="G13" i="19"/>
  <c r="F4" i="19"/>
  <c r="G7" i="19"/>
  <c r="G4" i="19"/>
  <c r="DW5" i="18"/>
  <c r="G5" i="18"/>
  <c r="LW5" i="18"/>
  <c r="PT5" i="18"/>
  <c r="PU5" i="18"/>
  <c r="CU4" i="18"/>
  <c r="PT4" i="18"/>
  <c r="PU4" i="18"/>
  <c r="L5" i="18"/>
  <c r="L4" i="18"/>
  <c r="MW4" i="18"/>
  <c r="F5" i="18"/>
  <c r="FW5" i="18"/>
  <c r="KW5" i="18"/>
  <c r="N4" i="18"/>
  <c r="O4" i="18" s="1"/>
  <c r="IW4" i="18"/>
  <c r="OW4" i="18"/>
  <c r="PV4" i="18"/>
  <c r="I5" i="18"/>
  <c r="J4" i="18"/>
  <c r="J5" i="18"/>
  <c r="Q4" i="21" l="1"/>
  <c r="DG4" i="21"/>
  <c r="S13" i="21"/>
  <c r="DH13" i="21"/>
  <c r="S4" i="21"/>
  <c r="DH4" i="21"/>
  <c r="M13" i="21"/>
  <c r="DF13" i="21"/>
  <c r="S9" i="21"/>
  <c r="DH9" i="21"/>
  <c r="Q11" i="21"/>
  <c r="DG11" i="21"/>
  <c r="M5" i="21"/>
  <c r="DF5" i="21"/>
  <c r="Q14" i="21"/>
  <c r="DG14" i="21"/>
  <c r="T14" i="21" s="1"/>
  <c r="V14" i="21" s="1"/>
  <c r="Q6" i="21"/>
  <c r="DG6" i="21"/>
  <c r="S7" i="21"/>
  <c r="DH7" i="21"/>
  <c r="Q12" i="21"/>
  <c r="DG12" i="21"/>
  <c r="S6" i="21"/>
  <c r="DH6" i="21"/>
  <c r="T6" i="21" s="1"/>
  <c r="Q5" i="21"/>
  <c r="DG5" i="21"/>
  <c r="Q13" i="21"/>
  <c r="DG13" i="21"/>
  <c r="Q8" i="21"/>
  <c r="DG8" i="21"/>
  <c r="T8" i="21" s="1"/>
  <c r="Q9" i="21"/>
  <c r="DG9" i="21"/>
  <c r="T9" i="21" s="1"/>
  <c r="U9" i="21" s="1"/>
  <c r="S10" i="21"/>
  <c r="DH10" i="21"/>
  <c r="Q7" i="21"/>
  <c r="DG7" i="21"/>
  <c r="Q10" i="21"/>
  <c r="DG10" i="21"/>
  <c r="T10" i="21" s="1"/>
  <c r="S4" i="19"/>
  <c r="DH4" i="19"/>
  <c r="S7" i="19"/>
  <c r="DH7" i="19"/>
  <c r="Q7" i="19"/>
  <c r="DG7" i="19"/>
  <c r="S16" i="19"/>
  <c r="DH16" i="19"/>
  <c r="Q10" i="19"/>
  <c r="DG10" i="19"/>
  <c r="M5" i="19"/>
  <c r="DF5" i="19"/>
  <c r="Q11" i="19"/>
  <c r="DG11" i="19"/>
  <c r="T11" i="19" s="1"/>
  <c r="Q9" i="19"/>
  <c r="DG9" i="19"/>
  <c r="M13" i="19"/>
  <c r="DF13" i="19"/>
  <c r="M16" i="19"/>
  <c r="DF16" i="19"/>
  <c r="Q12" i="19"/>
  <c r="DG12" i="19"/>
  <c r="S14" i="19"/>
  <c r="DH14" i="19"/>
  <c r="Q13" i="19"/>
  <c r="DG13" i="19"/>
  <c r="Q6" i="19"/>
  <c r="DG6" i="19"/>
  <c r="Q14" i="19"/>
  <c r="DG14" i="19"/>
  <c r="S10" i="19"/>
  <c r="DH10" i="19"/>
  <c r="S6" i="19"/>
  <c r="DH6" i="19"/>
  <c r="Q5" i="19"/>
  <c r="DG5" i="19"/>
  <c r="Q15" i="19"/>
  <c r="DG15" i="19"/>
  <c r="S13" i="19"/>
  <c r="DH13" i="19"/>
  <c r="S12" i="19"/>
  <c r="DH12" i="19"/>
  <c r="Q16" i="19"/>
  <c r="DG16" i="19"/>
  <c r="O5" i="18"/>
  <c r="CW5" i="18"/>
  <c r="M4" i="18"/>
  <c r="CV4" i="18"/>
  <c r="M5" i="18"/>
  <c r="CV5" i="18"/>
  <c r="CW4" i="18"/>
  <c r="M9" i="21"/>
  <c r="M8" i="21"/>
  <c r="I13" i="21"/>
  <c r="H13" i="21" s="1"/>
  <c r="RF8" i="21"/>
  <c r="RF14" i="21"/>
  <c r="I16" i="19"/>
  <c r="I9" i="21"/>
  <c r="RF12" i="21"/>
  <c r="RI6" i="21"/>
  <c r="RI10" i="21"/>
  <c r="I10" i="19"/>
  <c r="I14" i="19"/>
  <c r="H14" i="19" s="1"/>
  <c r="I4" i="19"/>
  <c r="I11" i="19"/>
  <c r="H11" i="19" s="1"/>
  <c r="RF10" i="21"/>
  <c r="RF10" i="19"/>
  <c r="RF13" i="19"/>
  <c r="I12" i="19"/>
  <c r="H12" i="19" s="1"/>
  <c r="A14" i="21"/>
  <c r="RI4" i="21"/>
  <c r="RI8" i="21"/>
  <c r="RF4" i="21"/>
  <c r="RI11" i="21"/>
  <c r="RF6" i="21"/>
  <c r="S14" i="21"/>
  <c r="K5" i="21"/>
  <c r="K11" i="21"/>
  <c r="K12" i="21"/>
  <c r="K10" i="21"/>
  <c r="K14" i="21"/>
  <c r="I6" i="19"/>
  <c r="H6" i="19" s="1"/>
  <c r="K4" i="19"/>
  <c r="K13" i="19"/>
  <c r="K7" i="19"/>
  <c r="K14" i="19"/>
  <c r="I9" i="19"/>
  <c r="H9" i="19" s="1"/>
  <c r="I12" i="21"/>
  <c r="H12" i="21" s="1"/>
  <c r="RF11" i="21"/>
  <c r="M14" i="21"/>
  <c r="RI12" i="21"/>
  <c r="RF11" i="19"/>
  <c r="I7" i="19"/>
  <c r="H7" i="19" s="1"/>
  <c r="I15" i="19"/>
  <c r="H15" i="19" s="1"/>
  <c r="I13" i="19"/>
  <c r="H13" i="19" s="1"/>
  <c r="M11" i="21"/>
  <c r="I11" i="21"/>
  <c r="I4" i="21"/>
  <c r="H4" i="21" s="1"/>
  <c r="A13" i="21"/>
  <c r="I8" i="21"/>
  <c r="H8" i="21" s="1"/>
  <c r="I14" i="21"/>
  <c r="H14" i="21" s="1"/>
  <c r="RI13" i="21"/>
  <c r="RF16" i="19"/>
  <c r="RF4" i="19"/>
  <c r="H5" i="19"/>
  <c r="PX4" i="18"/>
  <c r="H4" i="19"/>
  <c r="RF15" i="19"/>
  <c r="RF7" i="19"/>
  <c r="I5" i="19"/>
  <c r="RF6" i="19"/>
  <c r="RI5" i="19"/>
  <c r="RF5" i="19"/>
  <c r="RF12" i="19"/>
  <c r="RI9" i="19"/>
  <c r="RF9" i="19"/>
  <c r="RF14" i="19"/>
  <c r="H16" i="19"/>
  <c r="I6" i="21"/>
  <c r="H6" i="21" s="1"/>
  <c r="I7" i="21"/>
  <c r="H7" i="21" s="1"/>
  <c r="H11" i="21"/>
  <c r="M6" i="21"/>
  <c r="M4" i="21"/>
  <c r="I5" i="21"/>
  <c r="H5" i="21" s="1"/>
  <c r="K4" i="21"/>
  <c r="H9" i="21"/>
  <c r="RI5" i="21"/>
  <c r="RF5" i="21"/>
  <c r="T12" i="21"/>
  <c r="I10" i="21"/>
  <c r="H10" i="21" s="1"/>
  <c r="RI9" i="21"/>
  <c r="RF9" i="21"/>
  <c r="K7" i="21"/>
  <c r="T11" i="21"/>
  <c r="S11" i="21"/>
  <c r="RI7" i="21"/>
  <c r="RF7" i="21"/>
  <c r="K13" i="21"/>
  <c r="M7" i="21"/>
  <c r="T5" i="21"/>
  <c r="S5" i="21"/>
  <c r="M10" i="21"/>
  <c r="K9" i="21"/>
  <c r="K6" i="21"/>
  <c r="H10" i="19"/>
  <c r="S11" i="19"/>
  <c r="PX5" i="18"/>
  <c r="H5" i="18"/>
  <c r="RI10" i="19"/>
  <c r="RI11" i="19"/>
  <c r="RI12" i="19"/>
  <c r="M9" i="19"/>
  <c r="RI15" i="19"/>
  <c r="S9" i="19"/>
  <c r="RI6" i="19"/>
  <c r="RI16" i="19"/>
  <c r="RI14" i="19"/>
  <c r="T5" i="19"/>
  <c r="V5" i="19" s="1"/>
  <c r="M6" i="19"/>
  <c r="M10" i="19"/>
  <c r="M11" i="19"/>
  <c r="M14" i="19"/>
  <c r="K11" i="19"/>
  <c r="S15" i="19"/>
  <c r="K12" i="19"/>
  <c r="M15" i="19"/>
  <c r="K15" i="19"/>
  <c r="K9" i="19"/>
  <c r="K16" i="19"/>
  <c r="T9" i="19"/>
  <c r="K6" i="19"/>
  <c r="M12" i="19"/>
  <c r="S5" i="19"/>
  <c r="RI13" i="19"/>
  <c r="RI4" i="19"/>
  <c r="RI7" i="19"/>
  <c r="M7" i="19"/>
  <c r="M4" i="19"/>
  <c r="K5" i="19"/>
  <c r="K4" i="18"/>
  <c r="K5" i="18"/>
  <c r="T13" i="21" l="1"/>
  <c r="U13" i="21" s="1"/>
  <c r="E8" i="21"/>
  <c r="E9" i="21"/>
  <c r="T7" i="21"/>
  <c r="V7" i="21" s="1"/>
  <c r="U8" i="21"/>
  <c r="V8" i="21"/>
  <c r="T4" i="21"/>
  <c r="E4" i="21" s="1"/>
  <c r="V9" i="21"/>
  <c r="T16" i="19"/>
  <c r="U16" i="19" s="1"/>
  <c r="P5" i="18"/>
  <c r="R5" i="18" s="1"/>
  <c r="E12" i="21"/>
  <c r="V6" i="21"/>
  <c r="U6" i="21"/>
  <c r="E6" i="21"/>
  <c r="E5" i="19"/>
  <c r="U14" i="21"/>
  <c r="E14" i="21"/>
  <c r="E11" i="21"/>
  <c r="E10" i="21"/>
  <c r="E5" i="21"/>
  <c r="E9" i="19"/>
  <c r="E11" i="19"/>
  <c r="T12" i="19"/>
  <c r="E12" i="19" s="1"/>
  <c r="P4" i="18"/>
  <c r="T6" i="19"/>
  <c r="U6" i="19" s="1"/>
  <c r="V11" i="21"/>
  <c r="U11" i="21"/>
  <c r="V5" i="21"/>
  <c r="U5" i="21"/>
  <c r="V10" i="21"/>
  <c r="U10" i="21"/>
  <c r="U12" i="21"/>
  <c r="V12" i="21"/>
  <c r="T14" i="19"/>
  <c r="E14" i="19" s="1"/>
  <c r="T10" i="19"/>
  <c r="V10" i="19" s="1"/>
  <c r="U11" i="19"/>
  <c r="V11" i="19"/>
  <c r="U9" i="19"/>
  <c r="V9" i="19"/>
  <c r="T15" i="19"/>
  <c r="E15" i="19" s="1"/>
  <c r="T7" i="19"/>
  <c r="V7" i="19" s="1"/>
  <c r="T4" i="19"/>
  <c r="V4" i="19" s="1"/>
  <c r="U5" i="19"/>
  <c r="T13" i="19"/>
  <c r="E13" i="19" s="1"/>
  <c r="E13" i="21" l="1"/>
  <c r="V13" i="21"/>
  <c r="E7" i="21"/>
  <c r="A12" i="21" s="1"/>
  <c r="U7" i="21"/>
  <c r="R4" i="18"/>
  <c r="DR4" i="18"/>
  <c r="V4" i="21"/>
  <c r="U4" i="21"/>
  <c r="Q5" i="18"/>
  <c r="V16" i="19"/>
  <c r="E16" i="19"/>
  <c r="E5" i="18"/>
  <c r="A8" i="21"/>
  <c r="A5" i="21"/>
  <c r="A6" i="21" a="1"/>
  <c r="A6" i="21" s="1"/>
  <c r="E4" i="19"/>
  <c r="E6" i="19"/>
  <c r="V6" i="19"/>
  <c r="E7" i="19"/>
  <c r="V12" i="19"/>
  <c r="E10" i="19"/>
  <c r="U12" i="19"/>
  <c r="E4" i="18"/>
  <c r="A4" i="21"/>
  <c r="Q4" i="18"/>
  <c r="A7" i="21"/>
  <c r="A11" i="21"/>
  <c r="V14" i="19"/>
  <c r="U14" i="19"/>
  <c r="U10" i="19"/>
  <c r="U4" i="19"/>
  <c r="U15" i="19"/>
  <c r="V15" i="19"/>
  <c r="A12" i="19"/>
  <c r="A11" i="19"/>
  <c r="A10" i="19"/>
  <c r="U7" i="19"/>
  <c r="U13" i="19"/>
  <c r="V13" i="19"/>
  <c r="A10" i="21" l="1"/>
  <c r="A9" i="21"/>
  <c r="A8" i="19"/>
  <c r="A5" i="19" a="1"/>
  <c r="A5" i="19" s="1"/>
  <c r="A13" i="19"/>
  <c r="A15" i="19"/>
  <c r="A14" i="19"/>
  <c r="A16" i="19"/>
  <c r="A9" i="19"/>
  <c r="A6" i="19"/>
  <c r="A4" i="19"/>
  <c r="A7" i="19"/>
  <c r="C52" i="11" l="1"/>
  <c r="C55" i="11"/>
  <c r="C56" i="11"/>
  <c r="D53" i="11"/>
  <c r="C57" i="11"/>
  <c r="D54" i="11"/>
  <c r="D55" i="11"/>
  <c r="C50" i="11"/>
  <c r="C51" i="11"/>
  <c r="D56" i="11"/>
  <c r="D57" i="11"/>
  <c r="C53" i="11"/>
  <c r="D50" i="11"/>
  <c r="C54" i="11"/>
  <c r="D51" i="11"/>
  <c r="D52" i="11"/>
  <c r="D43" i="11"/>
  <c r="C44" i="11"/>
  <c r="D44" i="11"/>
  <c r="C45" i="11"/>
  <c r="D45" i="11"/>
  <c r="C46" i="11"/>
  <c r="D46" i="11"/>
  <c r="C47" i="11"/>
  <c r="D47" i="11"/>
  <c r="C48" i="11"/>
  <c r="D48" i="11"/>
  <c r="C49" i="11"/>
  <c r="D49" i="11"/>
  <c r="D42" i="11"/>
  <c r="C43" i="11"/>
  <c r="C42" i="11"/>
  <c r="ST19" i="4"/>
  <c r="SS19" i="4"/>
  <c r="SR19" i="4"/>
  <c r="SQ19" i="4"/>
  <c r="SP19" i="4"/>
  <c r="SO19" i="4"/>
  <c r="SM19" i="4"/>
  <c r="SL19" i="4"/>
  <c r="SK19" i="4"/>
  <c r="SJ19" i="4"/>
  <c r="SI19" i="4"/>
  <c r="SH19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ST15" i="4"/>
  <c r="SS15" i="4"/>
  <c r="SR15" i="4"/>
  <c r="SQ15" i="4"/>
  <c r="SP15" i="4"/>
  <c r="SO15" i="4"/>
  <c r="SM15" i="4"/>
  <c r="SN15" i="4" s="1"/>
  <c r="SL15" i="4"/>
  <c r="SK15" i="4"/>
  <c r="SJ15" i="4"/>
  <c r="SI15" i="4"/>
  <c r="SH15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NN15" i="4"/>
  <c r="NM15" i="4"/>
  <c r="NL15" i="4"/>
  <c r="NK15" i="4"/>
  <c r="NJ15" i="4"/>
  <c r="NI15" i="4"/>
  <c r="NG15" i="4"/>
  <c r="NH15" i="4" s="1"/>
  <c r="NF15" i="4"/>
  <c r="NE15" i="4"/>
  <c r="ND15" i="4"/>
  <c r="NC15" i="4"/>
  <c r="NB15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RL21" i="4"/>
  <c r="RK21" i="4"/>
  <c r="RJ21" i="4"/>
  <c r="RI21" i="4"/>
  <c r="RH21" i="4"/>
  <c r="RG21" i="4"/>
  <c r="RE21" i="4"/>
  <c r="RD21" i="4"/>
  <c r="RC21" i="4"/>
  <c r="RB21" i="4"/>
  <c r="RF21" i="4" s="1"/>
  <c r="RA21" i="4"/>
  <c r="QZ21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MF21" i="4"/>
  <c r="ME21" i="4"/>
  <c r="MD21" i="4"/>
  <c r="MC21" i="4"/>
  <c r="MB21" i="4"/>
  <c r="MA21" i="4"/>
  <c r="LY21" i="4"/>
  <c r="LX21" i="4"/>
  <c r="LW21" i="4"/>
  <c r="LV21" i="4"/>
  <c r="LZ21" i="4" s="1"/>
  <c r="LU21" i="4"/>
  <c r="LT21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OV11" i="4"/>
  <c r="OU11" i="4"/>
  <c r="OT11" i="4"/>
  <c r="OS11" i="4"/>
  <c r="OR11" i="4"/>
  <c r="OQ11" i="4"/>
  <c r="OO11" i="4"/>
  <c r="ON11" i="4"/>
  <c r="OM11" i="4"/>
  <c r="OL11" i="4"/>
  <c r="OP11" i="4" s="1"/>
  <c r="OK11" i="4"/>
  <c r="OJ11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ST9" i="4"/>
  <c r="SS9" i="4"/>
  <c r="SR9" i="4"/>
  <c r="SQ9" i="4"/>
  <c r="SP9" i="4"/>
  <c r="SO9" i="4"/>
  <c r="SM9" i="4"/>
  <c r="SL9" i="4"/>
  <c r="SK9" i="4"/>
  <c r="SJ9" i="4"/>
  <c r="SI9" i="4"/>
  <c r="SH9" i="4"/>
  <c r="RL9" i="4"/>
  <c r="RK9" i="4"/>
  <c r="RJ9" i="4"/>
  <c r="RI9" i="4"/>
  <c r="RH9" i="4"/>
  <c r="RG9" i="4"/>
  <c r="RE9" i="4"/>
  <c r="RD9" i="4"/>
  <c r="RC9" i="4"/>
  <c r="RB9" i="4"/>
  <c r="RA9" i="4"/>
  <c r="QZ9" i="4"/>
  <c r="QD9" i="4"/>
  <c r="QC9" i="4"/>
  <c r="QB9" i="4"/>
  <c r="QA9" i="4"/>
  <c r="PZ9" i="4"/>
  <c r="PY9" i="4"/>
  <c r="PW9" i="4"/>
  <c r="PV9" i="4"/>
  <c r="PU9" i="4"/>
  <c r="PT9" i="4"/>
  <c r="PS9" i="4"/>
  <c r="PR9" i="4"/>
  <c r="OV9" i="4"/>
  <c r="OU9" i="4"/>
  <c r="OT9" i="4"/>
  <c r="OS9" i="4"/>
  <c r="OR9" i="4"/>
  <c r="OQ9" i="4"/>
  <c r="OO9" i="4"/>
  <c r="ON9" i="4"/>
  <c r="OM9" i="4"/>
  <c r="OL9" i="4"/>
  <c r="OK9" i="4"/>
  <c r="OJ9" i="4"/>
  <c r="NN9" i="4"/>
  <c r="NM9" i="4"/>
  <c r="NL9" i="4"/>
  <c r="NK9" i="4"/>
  <c r="NJ9" i="4"/>
  <c r="NI9" i="4"/>
  <c r="NG9" i="4"/>
  <c r="NF9" i="4"/>
  <c r="NE9" i="4"/>
  <c r="ND9" i="4"/>
  <c r="NC9" i="4"/>
  <c r="NB9" i="4"/>
  <c r="MF9" i="4"/>
  <c r="ME9" i="4"/>
  <c r="MD9" i="4"/>
  <c r="MC9" i="4"/>
  <c r="MB9" i="4"/>
  <c r="MA9" i="4"/>
  <c r="LY9" i="4"/>
  <c r="LX9" i="4"/>
  <c r="LW9" i="4"/>
  <c r="LV9" i="4"/>
  <c r="LU9" i="4"/>
  <c r="LT9" i="4"/>
  <c r="ST8" i="4"/>
  <c r="SS8" i="4"/>
  <c r="SR8" i="4"/>
  <c r="SQ8" i="4"/>
  <c r="SP8" i="4"/>
  <c r="SO8" i="4"/>
  <c r="SM8" i="4"/>
  <c r="SL8" i="4"/>
  <c r="SK8" i="4"/>
  <c r="SJ8" i="4"/>
  <c r="SI8" i="4"/>
  <c r="SH8" i="4"/>
  <c r="RL8" i="4"/>
  <c r="RK8" i="4"/>
  <c r="RJ8" i="4"/>
  <c r="RI8" i="4"/>
  <c r="RH8" i="4"/>
  <c r="RG8" i="4"/>
  <c r="RE8" i="4"/>
  <c r="RD8" i="4"/>
  <c r="RC8" i="4"/>
  <c r="RB8" i="4"/>
  <c r="RA8" i="4"/>
  <c r="QZ8" i="4"/>
  <c r="QD8" i="4"/>
  <c r="QC8" i="4"/>
  <c r="QB8" i="4"/>
  <c r="QA8" i="4"/>
  <c r="PZ8" i="4"/>
  <c r="PY8" i="4"/>
  <c r="PW8" i="4"/>
  <c r="PV8" i="4"/>
  <c r="PU8" i="4"/>
  <c r="PT8" i="4"/>
  <c r="PS8" i="4"/>
  <c r="PR8" i="4"/>
  <c r="OV8" i="4"/>
  <c r="OU8" i="4"/>
  <c r="OT8" i="4"/>
  <c r="OS8" i="4"/>
  <c r="OR8" i="4"/>
  <c r="OQ8" i="4"/>
  <c r="OO8" i="4"/>
  <c r="ON8" i="4"/>
  <c r="OM8" i="4"/>
  <c r="OL8" i="4"/>
  <c r="OK8" i="4"/>
  <c r="OJ8" i="4"/>
  <c r="NN8" i="4"/>
  <c r="NM8" i="4"/>
  <c r="NL8" i="4"/>
  <c r="NK8" i="4"/>
  <c r="NJ8" i="4"/>
  <c r="NI8" i="4"/>
  <c r="NG8" i="4"/>
  <c r="NF8" i="4"/>
  <c r="NE8" i="4"/>
  <c r="ND8" i="4"/>
  <c r="NC8" i="4"/>
  <c r="NB8" i="4"/>
  <c r="MF8" i="4"/>
  <c r="ME8" i="4"/>
  <c r="MD8" i="4"/>
  <c r="MC8" i="4"/>
  <c r="MB8" i="4"/>
  <c r="MA8" i="4"/>
  <c r="LY8" i="4"/>
  <c r="LX8" i="4"/>
  <c r="LW8" i="4"/>
  <c r="LV8" i="4"/>
  <c r="LU8" i="4"/>
  <c r="LT8" i="4"/>
  <c r="ST7" i="4"/>
  <c r="SS7" i="4"/>
  <c r="SR7" i="4"/>
  <c r="SQ7" i="4"/>
  <c r="SP7" i="4"/>
  <c r="SO7" i="4"/>
  <c r="SM7" i="4"/>
  <c r="SL7" i="4"/>
  <c r="SK7" i="4"/>
  <c r="SJ7" i="4"/>
  <c r="SI7" i="4"/>
  <c r="SH7" i="4"/>
  <c r="RL7" i="4"/>
  <c r="RK7" i="4"/>
  <c r="RJ7" i="4"/>
  <c r="RI7" i="4"/>
  <c r="RH7" i="4"/>
  <c r="RG7" i="4"/>
  <c r="RE7" i="4"/>
  <c r="RD7" i="4"/>
  <c r="RC7" i="4"/>
  <c r="RB7" i="4"/>
  <c r="RA7" i="4"/>
  <c r="QZ7" i="4"/>
  <c r="QD7" i="4"/>
  <c r="QC7" i="4"/>
  <c r="QB7" i="4"/>
  <c r="QA7" i="4"/>
  <c r="PZ7" i="4"/>
  <c r="PY7" i="4"/>
  <c r="PW7" i="4"/>
  <c r="PV7" i="4"/>
  <c r="PU7" i="4"/>
  <c r="PT7" i="4"/>
  <c r="PS7" i="4"/>
  <c r="PR7" i="4"/>
  <c r="OV7" i="4"/>
  <c r="OU7" i="4"/>
  <c r="OT7" i="4"/>
  <c r="OS7" i="4"/>
  <c r="OR7" i="4"/>
  <c r="OQ7" i="4"/>
  <c r="OO7" i="4"/>
  <c r="ON7" i="4"/>
  <c r="OM7" i="4"/>
  <c r="OL7" i="4"/>
  <c r="OK7" i="4"/>
  <c r="OJ7" i="4"/>
  <c r="NN7" i="4"/>
  <c r="NM7" i="4"/>
  <c r="NL7" i="4"/>
  <c r="NK7" i="4"/>
  <c r="NJ7" i="4"/>
  <c r="NI7" i="4"/>
  <c r="NG7" i="4"/>
  <c r="NF7" i="4"/>
  <c r="NE7" i="4"/>
  <c r="ND7" i="4"/>
  <c r="NC7" i="4"/>
  <c r="NB7" i="4"/>
  <c r="MF7" i="4"/>
  <c r="ME7" i="4"/>
  <c r="MD7" i="4"/>
  <c r="MC7" i="4"/>
  <c r="MB7" i="4"/>
  <c r="MA7" i="4"/>
  <c r="LY7" i="4"/>
  <c r="LX7" i="4"/>
  <c r="LW7" i="4"/>
  <c r="LV7" i="4"/>
  <c r="LU7" i="4"/>
  <c r="LT7" i="4"/>
  <c r="ST6" i="4"/>
  <c r="SS6" i="4"/>
  <c r="SR6" i="4"/>
  <c r="SQ6" i="4"/>
  <c r="SP6" i="4"/>
  <c r="SO6" i="4"/>
  <c r="SM6" i="4"/>
  <c r="SL6" i="4"/>
  <c r="SK6" i="4"/>
  <c r="SJ6" i="4"/>
  <c r="SI6" i="4"/>
  <c r="SH6" i="4"/>
  <c r="RL6" i="4"/>
  <c r="RK6" i="4"/>
  <c r="RJ6" i="4"/>
  <c r="RI6" i="4"/>
  <c r="RH6" i="4"/>
  <c r="RG6" i="4"/>
  <c r="RE6" i="4"/>
  <c r="RD6" i="4"/>
  <c r="RC6" i="4"/>
  <c r="RB6" i="4"/>
  <c r="RA6" i="4"/>
  <c r="QZ6" i="4"/>
  <c r="QD6" i="4"/>
  <c r="QC6" i="4"/>
  <c r="QB6" i="4"/>
  <c r="QA6" i="4"/>
  <c r="PZ6" i="4"/>
  <c r="PY6" i="4"/>
  <c r="PW6" i="4"/>
  <c r="PV6" i="4"/>
  <c r="PU6" i="4"/>
  <c r="PT6" i="4"/>
  <c r="PS6" i="4"/>
  <c r="PR6" i="4"/>
  <c r="OV6" i="4"/>
  <c r="OU6" i="4"/>
  <c r="OT6" i="4"/>
  <c r="OS6" i="4"/>
  <c r="OR6" i="4"/>
  <c r="OQ6" i="4"/>
  <c r="OO6" i="4"/>
  <c r="ON6" i="4"/>
  <c r="OM6" i="4"/>
  <c r="OL6" i="4"/>
  <c r="OK6" i="4"/>
  <c r="OJ6" i="4"/>
  <c r="NN6" i="4"/>
  <c r="NM6" i="4"/>
  <c r="NL6" i="4"/>
  <c r="NK6" i="4"/>
  <c r="NJ6" i="4"/>
  <c r="NI6" i="4"/>
  <c r="NG6" i="4"/>
  <c r="NF6" i="4"/>
  <c r="NE6" i="4"/>
  <c r="ND6" i="4"/>
  <c r="NC6" i="4"/>
  <c r="NB6" i="4"/>
  <c r="MF6" i="4"/>
  <c r="ME6" i="4"/>
  <c r="MD6" i="4"/>
  <c r="MC6" i="4"/>
  <c r="MB6" i="4"/>
  <c r="MA6" i="4"/>
  <c r="LY6" i="4"/>
  <c r="LX6" i="4"/>
  <c r="LW6" i="4"/>
  <c r="LV6" i="4"/>
  <c r="LU6" i="4"/>
  <c r="LT6" i="4"/>
  <c r="ST5" i="4"/>
  <c r="SS5" i="4"/>
  <c r="SR5" i="4"/>
  <c r="SQ5" i="4"/>
  <c r="SP5" i="4"/>
  <c r="SO5" i="4"/>
  <c r="SM5" i="4"/>
  <c r="SL5" i="4"/>
  <c r="SK5" i="4"/>
  <c r="SJ5" i="4"/>
  <c r="SI5" i="4"/>
  <c r="SH5" i="4"/>
  <c r="RL5" i="4"/>
  <c r="RK5" i="4"/>
  <c r="RJ5" i="4"/>
  <c r="RI5" i="4"/>
  <c r="RH5" i="4"/>
  <c r="RG5" i="4"/>
  <c r="RE5" i="4"/>
  <c r="RD5" i="4"/>
  <c r="RC5" i="4"/>
  <c r="RB5" i="4"/>
  <c r="RA5" i="4"/>
  <c r="QZ5" i="4"/>
  <c r="QD5" i="4"/>
  <c r="QC5" i="4"/>
  <c r="QB5" i="4"/>
  <c r="QA5" i="4"/>
  <c r="PZ5" i="4"/>
  <c r="PY5" i="4"/>
  <c r="PW5" i="4"/>
  <c r="PV5" i="4"/>
  <c r="PU5" i="4"/>
  <c r="PT5" i="4"/>
  <c r="PS5" i="4"/>
  <c r="PR5" i="4"/>
  <c r="OV5" i="4"/>
  <c r="OU5" i="4"/>
  <c r="OT5" i="4"/>
  <c r="OS5" i="4"/>
  <c r="OR5" i="4"/>
  <c r="OQ5" i="4"/>
  <c r="OO5" i="4"/>
  <c r="ON5" i="4"/>
  <c r="OM5" i="4"/>
  <c r="OL5" i="4"/>
  <c r="OK5" i="4"/>
  <c r="OJ5" i="4"/>
  <c r="NN5" i="4"/>
  <c r="NM5" i="4"/>
  <c r="NL5" i="4"/>
  <c r="NK5" i="4"/>
  <c r="NJ5" i="4"/>
  <c r="NI5" i="4"/>
  <c r="NG5" i="4"/>
  <c r="NF5" i="4"/>
  <c r="NE5" i="4"/>
  <c r="ND5" i="4"/>
  <c r="NC5" i="4"/>
  <c r="NB5" i="4"/>
  <c r="MF5" i="4"/>
  <c r="ME5" i="4"/>
  <c r="MD5" i="4"/>
  <c r="MC5" i="4"/>
  <c r="MB5" i="4"/>
  <c r="MA5" i="4"/>
  <c r="LY5" i="4"/>
  <c r="LX5" i="4"/>
  <c r="LW5" i="4"/>
  <c r="LV5" i="4"/>
  <c r="LU5" i="4"/>
  <c r="LT5" i="4"/>
  <c r="ST4" i="4"/>
  <c r="SS4" i="4"/>
  <c r="SR4" i="4"/>
  <c r="SQ4" i="4"/>
  <c r="SP4" i="4"/>
  <c r="SO4" i="4"/>
  <c r="SM4" i="4"/>
  <c r="SL4" i="4"/>
  <c r="SK4" i="4"/>
  <c r="SJ4" i="4"/>
  <c r="SI4" i="4"/>
  <c r="SH4" i="4"/>
  <c r="RL4" i="4"/>
  <c r="RK4" i="4"/>
  <c r="RJ4" i="4"/>
  <c r="RI4" i="4"/>
  <c r="RH4" i="4"/>
  <c r="RG4" i="4"/>
  <c r="RE4" i="4"/>
  <c r="RD4" i="4"/>
  <c r="RC4" i="4"/>
  <c r="RB4" i="4"/>
  <c r="RA4" i="4"/>
  <c r="QZ4" i="4"/>
  <c r="QD4" i="4"/>
  <c r="QC4" i="4"/>
  <c r="QB4" i="4"/>
  <c r="QA4" i="4"/>
  <c r="PZ4" i="4"/>
  <c r="PY4" i="4"/>
  <c r="PW4" i="4"/>
  <c r="PV4" i="4"/>
  <c r="PU4" i="4"/>
  <c r="PT4" i="4"/>
  <c r="PS4" i="4"/>
  <c r="PR4" i="4"/>
  <c r="OV4" i="4"/>
  <c r="OU4" i="4"/>
  <c r="OT4" i="4"/>
  <c r="OS4" i="4"/>
  <c r="OR4" i="4"/>
  <c r="OQ4" i="4"/>
  <c r="OO4" i="4"/>
  <c r="ON4" i="4"/>
  <c r="OM4" i="4"/>
  <c r="OL4" i="4"/>
  <c r="OK4" i="4"/>
  <c r="OJ4" i="4"/>
  <c r="NN4" i="4"/>
  <c r="NM4" i="4"/>
  <c r="NL4" i="4"/>
  <c r="NK4" i="4"/>
  <c r="NJ4" i="4"/>
  <c r="NI4" i="4"/>
  <c r="NG4" i="4"/>
  <c r="NF4" i="4"/>
  <c r="NE4" i="4"/>
  <c r="ND4" i="4"/>
  <c r="NC4" i="4"/>
  <c r="NB4" i="4"/>
  <c r="MF4" i="4"/>
  <c r="ME4" i="4"/>
  <c r="MD4" i="4"/>
  <c r="MC4" i="4"/>
  <c r="MB4" i="4"/>
  <c r="MA4" i="4"/>
  <c r="LY4" i="4"/>
  <c r="LX4" i="4"/>
  <c r="LW4" i="4"/>
  <c r="LV4" i="4"/>
  <c r="LU4" i="4"/>
  <c r="LT4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KX9" i="4"/>
  <c r="KW9" i="4"/>
  <c r="KV9" i="4"/>
  <c r="KU9" i="4"/>
  <c r="KT9" i="4"/>
  <c r="KS9" i="4"/>
  <c r="KQ9" i="4"/>
  <c r="KP9" i="4"/>
  <c r="KO9" i="4"/>
  <c r="KN9" i="4"/>
  <c r="KM9" i="4"/>
  <c r="KL9" i="4"/>
  <c r="JP9" i="4"/>
  <c r="JO9" i="4"/>
  <c r="JN9" i="4"/>
  <c r="JM9" i="4"/>
  <c r="JL9" i="4"/>
  <c r="JK9" i="4"/>
  <c r="JI9" i="4"/>
  <c r="JH9" i="4"/>
  <c r="JG9" i="4"/>
  <c r="JF9" i="4"/>
  <c r="JE9" i="4"/>
  <c r="JD9" i="4"/>
  <c r="KX8" i="4"/>
  <c r="KW8" i="4"/>
  <c r="KV8" i="4"/>
  <c r="KU8" i="4"/>
  <c r="KT8" i="4"/>
  <c r="KS8" i="4"/>
  <c r="KQ8" i="4"/>
  <c r="KP8" i="4"/>
  <c r="KO8" i="4"/>
  <c r="KN8" i="4"/>
  <c r="KM8" i="4"/>
  <c r="KL8" i="4"/>
  <c r="JP8" i="4"/>
  <c r="JO8" i="4"/>
  <c r="JN8" i="4"/>
  <c r="JM8" i="4"/>
  <c r="JL8" i="4"/>
  <c r="JK8" i="4"/>
  <c r="JI8" i="4"/>
  <c r="JH8" i="4"/>
  <c r="JG8" i="4"/>
  <c r="JF8" i="4"/>
  <c r="JE8" i="4"/>
  <c r="JD8" i="4"/>
  <c r="KX7" i="4"/>
  <c r="KW7" i="4"/>
  <c r="KV7" i="4"/>
  <c r="KU7" i="4"/>
  <c r="KT7" i="4"/>
  <c r="KS7" i="4"/>
  <c r="KQ7" i="4"/>
  <c r="KP7" i="4"/>
  <c r="KO7" i="4"/>
  <c r="KN7" i="4"/>
  <c r="KM7" i="4"/>
  <c r="KL7" i="4"/>
  <c r="JP7" i="4"/>
  <c r="JO7" i="4"/>
  <c r="JN7" i="4"/>
  <c r="JM7" i="4"/>
  <c r="JL7" i="4"/>
  <c r="JK7" i="4"/>
  <c r="JI7" i="4"/>
  <c r="JH7" i="4"/>
  <c r="JG7" i="4"/>
  <c r="JF7" i="4"/>
  <c r="JE7" i="4"/>
  <c r="JD7" i="4"/>
  <c r="KX6" i="4"/>
  <c r="KW6" i="4"/>
  <c r="KV6" i="4"/>
  <c r="KU6" i="4"/>
  <c r="KT6" i="4"/>
  <c r="KS6" i="4"/>
  <c r="KQ6" i="4"/>
  <c r="KP6" i="4"/>
  <c r="KO6" i="4"/>
  <c r="KN6" i="4"/>
  <c r="KM6" i="4"/>
  <c r="KL6" i="4"/>
  <c r="JP6" i="4"/>
  <c r="JO6" i="4"/>
  <c r="JN6" i="4"/>
  <c r="JM6" i="4"/>
  <c r="JL6" i="4"/>
  <c r="JK6" i="4"/>
  <c r="JI6" i="4"/>
  <c r="JH6" i="4"/>
  <c r="JG6" i="4"/>
  <c r="JF6" i="4"/>
  <c r="JE6" i="4"/>
  <c r="JD6" i="4"/>
  <c r="KX5" i="4"/>
  <c r="KW5" i="4"/>
  <c r="KV5" i="4"/>
  <c r="KU5" i="4"/>
  <c r="KT5" i="4"/>
  <c r="KS5" i="4"/>
  <c r="KQ5" i="4"/>
  <c r="KP5" i="4"/>
  <c r="KO5" i="4"/>
  <c r="KN5" i="4"/>
  <c r="KM5" i="4"/>
  <c r="KL5" i="4"/>
  <c r="JP5" i="4"/>
  <c r="JO5" i="4"/>
  <c r="JN5" i="4"/>
  <c r="JM5" i="4"/>
  <c r="JL5" i="4"/>
  <c r="JK5" i="4"/>
  <c r="JI5" i="4"/>
  <c r="JH5" i="4"/>
  <c r="JG5" i="4"/>
  <c r="JF5" i="4"/>
  <c r="JE5" i="4"/>
  <c r="JD5" i="4"/>
  <c r="KX4" i="4"/>
  <c r="KW4" i="4"/>
  <c r="KV4" i="4"/>
  <c r="KU4" i="4"/>
  <c r="KT4" i="4"/>
  <c r="KS4" i="4"/>
  <c r="KQ4" i="4"/>
  <c r="KP4" i="4"/>
  <c r="KO4" i="4"/>
  <c r="KN4" i="4"/>
  <c r="KM4" i="4"/>
  <c r="KL4" i="4"/>
  <c r="JP4" i="4"/>
  <c r="JO4" i="4"/>
  <c r="JN4" i="4"/>
  <c r="JM4" i="4"/>
  <c r="JL4" i="4"/>
  <c r="JK4" i="4"/>
  <c r="JI4" i="4"/>
  <c r="JH4" i="4"/>
  <c r="JG4" i="4"/>
  <c r="JF4" i="4"/>
  <c r="JE4" i="4"/>
  <c r="JD4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IH9" i="4"/>
  <c r="IG9" i="4"/>
  <c r="IF9" i="4"/>
  <c r="IE9" i="4"/>
  <c r="ID9" i="4"/>
  <c r="IC9" i="4"/>
  <c r="IA9" i="4"/>
  <c r="HZ9" i="4"/>
  <c r="HY9" i="4"/>
  <c r="HX9" i="4"/>
  <c r="HW9" i="4"/>
  <c r="HV9" i="4"/>
  <c r="GZ9" i="4"/>
  <c r="GY9" i="4"/>
  <c r="GX9" i="4"/>
  <c r="GW9" i="4"/>
  <c r="GV9" i="4"/>
  <c r="GU9" i="4"/>
  <c r="GS9" i="4"/>
  <c r="GR9" i="4"/>
  <c r="GQ9" i="4"/>
  <c r="GP9" i="4"/>
  <c r="GO9" i="4"/>
  <c r="GN9" i="4"/>
  <c r="IH8" i="4"/>
  <c r="IG8" i="4"/>
  <c r="IF8" i="4"/>
  <c r="IE8" i="4"/>
  <c r="ID8" i="4"/>
  <c r="IC8" i="4"/>
  <c r="IA8" i="4"/>
  <c r="HZ8" i="4"/>
  <c r="HY8" i="4"/>
  <c r="HX8" i="4"/>
  <c r="HW8" i="4"/>
  <c r="HV8" i="4"/>
  <c r="GZ8" i="4"/>
  <c r="GY8" i="4"/>
  <c r="GX8" i="4"/>
  <c r="GW8" i="4"/>
  <c r="GV8" i="4"/>
  <c r="GU8" i="4"/>
  <c r="GS8" i="4"/>
  <c r="GR8" i="4"/>
  <c r="GQ8" i="4"/>
  <c r="GP8" i="4"/>
  <c r="GO8" i="4"/>
  <c r="GN8" i="4"/>
  <c r="IH7" i="4"/>
  <c r="IG7" i="4"/>
  <c r="IF7" i="4"/>
  <c r="IE7" i="4"/>
  <c r="ID7" i="4"/>
  <c r="IC7" i="4"/>
  <c r="IA7" i="4"/>
  <c r="HZ7" i="4"/>
  <c r="HY7" i="4"/>
  <c r="HX7" i="4"/>
  <c r="HW7" i="4"/>
  <c r="HV7" i="4"/>
  <c r="GZ7" i="4"/>
  <c r="GY7" i="4"/>
  <c r="GX7" i="4"/>
  <c r="GW7" i="4"/>
  <c r="GV7" i="4"/>
  <c r="GU7" i="4"/>
  <c r="GS7" i="4"/>
  <c r="GR7" i="4"/>
  <c r="GQ7" i="4"/>
  <c r="GP7" i="4"/>
  <c r="GO7" i="4"/>
  <c r="GN7" i="4"/>
  <c r="IH6" i="4"/>
  <c r="IG6" i="4"/>
  <c r="IF6" i="4"/>
  <c r="IE6" i="4"/>
  <c r="ID6" i="4"/>
  <c r="IC6" i="4"/>
  <c r="IA6" i="4"/>
  <c r="HZ6" i="4"/>
  <c r="HY6" i="4"/>
  <c r="HX6" i="4"/>
  <c r="HW6" i="4"/>
  <c r="HV6" i="4"/>
  <c r="GZ6" i="4"/>
  <c r="GY6" i="4"/>
  <c r="GX6" i="4"/>
  <c r="GW6" i="4"/>
  <c r="GV6" i="4"/>
  <c r="GU6" i="4"/>
  <c r="GS6" i="4"/>
  <c r="GR6" i="4"/>
  <c r="GQ6" i="4"/>
  <c r="GP6" i="4"/>
  <c r="GO6" i="4"/>
  <c r="GN6" i="4"/>
  <c r="IH5" i="4"/>
  <c r="IG5" i="4"/>
  <c r="IF5" i="4"/>
  <c r="IE5" i="4"/>
  <c r="ID5" i="4"/>
  <c r="IC5" i="4"/>
  <c r="IA5" i="4"/>
  <c r="HZ5" i="4"/>
  <c r="HY5" i="4"/>
  <c r="HX5" i="4"/>
  <c r="HW5" i="4"/>
  <c r="HV5" i="4"/>
  <c r="GZ5" i="4"/>
  <c r="GY5" i="4"/>
  <c r="GX5" i="4"/>
  <c r="GW5" i="4"/>
  <c r="GV5" i="4"/>
  <c r="GU5" i="4"/>
  <c r="GS5" i="4"/>
  <c r="GR5" i="4"/>
  <c r="GQ5" i="4"/>
  <c r="GP5" i="4"/>
  <c r="GO5" i="4"/>
  <c r="GN5" i="4"/>
  <c r="IH4" i="4"/>
  <c r="IG4" i="4"/>
  <c r="IF4" i="4"/>
  <c r="IE4" i="4"/>
  <c r="ID4" i="4"/>
  <c r="IC4" i="4"/>
  <c r="IA4" i="4"/>
  <c r="HZ4" i="4"/>
  <c r="HY4" i="4"/>
  <c r="HX4" i="4"/>
  <c r="HW4" i="4"/>
  <c r="HV4" i="4"/>
  <c r="GZ4" i="4"/>
  <c r="GY4" i="4"/>
  <c r="GX4" i="4"/>
  <c r="GW4" i="4"/>
  <c r="GV4" i="4"/>
  <c r="GU4" i="4"/>
  <c r="GS4" i="4"/>
  <c r="GR4" i="4"/>
  <c r="GQ4" i="4"/>
  <c r="GP4" i="4"/>
  <c r="GO4" i="4"/>
  <c r="GN4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EE4" i="4"/>
  <c r="EF4" i="4"/>
  <c r="EE5" i="4"/>
  <c r="EF5" i="4"/>
  <c r="EG5" i="4"/>
  <c r="EE6" i="4"/>
  <c r="EF6" i="4"/>
  <c r="EG6" i="4"/>
  <c r="EE7" i="4"/>
  <c r="EF7" i="4"/>
  <c r="EG7" i="4"/>
  <c r="EE8" i="4"/>
  <c r="EF8" i="4"/>
  <c r="EG8" i="4"/>
  <c r="EE9" i="4"/>
  <c r="EF9" i="4"/>
  <c r="EG9" i="4"/>
  <c r="EE12" i="4"/>
  <c r="EF12" i="4"/>
  <c r="EG12" i="4"/>
  <c r="EE16" i="4"/>
  <c r="EF16" i="4"/>
  <c r="EG16" i="4"/>
  <c r="EE11" i="4"/>
  <c r="EF11" i="4"/>
  <c r="EG11" i="4"/>
  <c r="EE21" i="4"/>
  <c r="EF21" i="4"/>
  <c r="EG21" i="4"/>
  <c r="EE20" i="4"/>
  <c r="EF20" i="4"/>
  <c r="EG20" i="4"/>
  <c r="EE14" i="4"/>
  <c r="EF14" i="4"/>
  <c r="EG14" i="4"/>
  <c r="EE17" i="4"/>
  <c r="EF17" i="4"/>
  <c r="EG17" i="4"/>
  <c r="EE15" i="4"/>
  <c r="EF15" i="4"/>
  <c r="EG15" i="4"/>
  <c r="EE22" i="4"/>
  <c r="EF22" i="4"/>
  <c r="EG22" i="4"/>
  <c r="EE19" i="4"/>
  <c r="EF19" i="4"/>
  <c r="EG19" i="4"/>
  <c r="EG10" i="4"/>
  <c r="DZ10" i="4"/>
  <c r="EF10" i="4"/>
  <c r="EE10" i="4"/>
  <c r="EA10" i="4"/>
  <c r="EH4" i="4"/>
  <c r="EI4" i="4"/>
  <c r="EJ4" i="4"/>
  <c r="DX5" i="4"/>
  <c r="DY5" i="4"/>
  <c r="DZ5" i="4"/>
  <c r="EA5" i="4"/>
  <c r="EB5" i="4"/>
  <c r="EC5" i="4"/>
  <c r="EH5" i="4"/>
  <c r="EI5" i="4"/>
  <c r="EJ5" i="4"/>
  <c r="DX6" i="4"/>
  <c r="DY6" i="4"/>
  <c r="DZ6" i="4"/>
  <c r="EA6" i="4"/>
  <c r="EB6" i="4"/>
  <c r="EC6" i="4"/>
  <c r="EH6" i="4"/>
  <c r="EI6" i="4"/>
  <c r="EJ6" i="4"/>
  <c r="DX7" i="4"/>
  <c r="DY7" i="4"/>
  <c r="DZ7" i="4"/>
  <c r="EA7" i="4"/>
  <c r="EB7" i="4"/>
  <c r="EC7" i="4"/>
  <c r="EH7" i="4"/>
  <c r="EI7" i="4"/>
  <c r="EJ7" i="4"/>
  <c r="DX8" i="4"/>
  <c r="DY8" i="4"/>
  <c r="DZ8" i="4"/>
  <c r="EA8" i="4"/>
  <c r="EB8" i="4"/>
  <c r="EC8" i="4"/>
  <c r="EH8" i="4"/>
  <c r="EI8" i="4"/>
  <c r="EJ8" i="4"/>
  <c r="DX9" i="4"/>
  <c r="DY9" i="4"/>
  <c r="DZ9" i="4"/>
  <c r="EA9" i="4"/>
  <c r="EB9" i="4"/>
  <c r="EC9" i="4"/>
  <c r="EH9" i="4"/>
  <c r="EI9" i="4"/>
  <c r="EJ9" i="4"/>
  <c r="DX12" i="4"/>
  <c r="DY12" i="4"/>
  <c r="DZ12" i="4"/>
  <c r="EA12" i="4"/>
  <c r="EB12" i="4"/>
  <c r="EC12" i="4"/>
  <c r="EH12" i="4"/>
  <c r="EI12" i="4"/>
  <c r="EJ12" i="4"/>
  <c r="DX16" i="4"/>
  <c r="DY16" i="4"/>
  <c r="DZ16" i="4"/>
  <c r="EA16" i="4"/>
  <c r="EB16" i="4"/>
  <c r="EC16" i="4"/>
  <c r="EH16" i="4"/>
  <c r="EI16" i="4"/>
  <c r="EJ16" i="4"/>
  <c r="DX11" i="4"/>
  <c r="DY11" i="4"/>
  <c r="DZ11" i="4"/>
  <c r="EA11" i="4"/>
  <c r="EB11" i="4"/>
  <c r="EC11" i="4"/>
  <c r="EH11" i="4"/>
  <c r="EI11" i="4"/>
  <c r="EJ11" i="4"/>
  <c r="DX21" i="4"/>
  <c r="DY21" i="4"/>
  <c r="DZ21" i="4"/>
  <c r="EA21" i="4"/>
  <c r="EB21" i="4"/>
  <c r="EC21" i="4"/>
  <c r="EH21" i="4"/>
  <c r="EI21" i="4"/>
  <c r="EJ21" i="4"/>
  <c r="DX20" i="4"/>
  <c r="DY20" i="4"/>
  <c r="DZ20" i="4"/>
  <c r="EA20" i="4"/>
  <c r="EB20" i="4"/>
  <c r="EC20" i="4"/>
  <c r="EH20" i="4"/>
  <c r="EI20" i="4"/>
  <c r="EJ20" i="4"/>
  <c r="DX14" i="4"/>
  <c r="DY14" i="4"/>
  <c r="DZ14" i="4"/>
  <c r="EA14" i="4"/>
  <c r="EB14" i="4"/>
  <c r="EC14" i="4"/>
  <c r="EH14" i="4"/>
  <c r="EI14" i="4"/>
  <c r="EJ14" i="4"/>
  <c r="DX17" i="4"/>
  <c r="DY17" i="4"/>
  <c r="DZ17" i="4"/>
  <c r="EA17" i="4"/>
  <c r="EB17" i="4"/>
  <c r="EC17" i="4"/>
  <c r="EH17" i="4"/>
  <c r="EI17" i="4"/>
  <c r="EJ17" i="4"/>
  <c r="DX15" i="4"/>
  <c r="DY15" i="4"/>
  <c r="DZ15" i="4"/>
  <c r="EA15" i="4"/>
  <c r="EB15" i="4"/>
  <c r="EC15" i="4"/>
  <c r="EH15" i="4"/>
  <c r="EI15" i="4"/>
  <c r="EJ15" i="4"/>
  <c r="DX22" i="4"/>
  <c r="DY22" i="4"/>
  <c r="DZ22" i="4"/>
  <c r="EA22" i="4"/>
  <c r="EB22" i="4"/>
  <c r="EC22" i="4"/>
  <c r="EH22" i="4"/>
  <c r="EI22" i="4"/>
  <c r="EJ22" i="4"/>
  <c r="DX19" i="4"/>
  <c r="DY19" i="4"/>
  <c r="DZ19" i="4"/>
  <c r="EA19" i="4"/>
  <c r="EB19" i="4"/>
  <c r="EC19" i="4"/>
  <c r="EH19" i="4"/>
  <c r="EI19" i="4"/>
  <c r="EJ19" i="4"/>
  <c r="EJ10" i="4"/>
  <c r="EI10" i="4"/>
  <c r="EH10" i="4"/>
  <c r="EC10" i="4"/>
  <c r="EB10" i="4"/>
  <c r="DY10" i="4"/>
  <c r="DX10" i="4"/>
  <c r="CY10" i="4"/>
  <c r="CY5" i="4"/>
  <c r="CY6" i="4"/>
  <c r="CY7" i="4"/>
  <c r="CY8" i="4"/>
  <c r="CY9" i="4"/>
  <c r="CY12" i="4"/>
  <c r="CY16" i="4"/>
  <c r="CY11" i="4"/>
  <c r="CY21" i="4"/>
  <c r="CY20" i="4"/>
  <c r="CY14" i="4"/>
  <c r="CY17" i="4"/>
  <c r="CY15" i="4"/>
  <c r="CY22" i="4"/>
  <c r="CY19" i="4"/>
  <c r="CY4" i="4"/>
  <c r="CX4" i="4"/>
  <c r="CU4" i="4"/>
  <c r="CU5" i="4"/>
  <c r="CU6" i="4"/>
  <c r="CU7" i="4"/>
  <c r="CU8" i="4"/>
  <c r="CU9" i="4"/>
  <c r="CU12" i="4"/>
  <c r="CU16" i="4"/>
  <c r="CU11" i="4"/>
  <c r="CU21" i="4"/>
  <c r="CU20" i="4"/>
  <c r="CU14" i="4"/>
  <c r="CU17" i="4"/>
  <c r="CU15" i="4"/>
  <c r="CU22" i="4"/>
  <c r="CU19" i="4"/>
  <c r="CU10" i="4"/>
  <c r="CT10" i="4"/>
  <c r="CR4" i="4"/>
  <c r="CR5" i="4"/>
  <c r="CR6" i="4"/>
  <c r="CR7" i="4"/>
  <c r="CR8" i="4"/>
  <c r="CR9" i="4"/>
  <c r="CR12" i="4"/>
  <c r="CR16" i="4"/>
  <c r="CR11" i="4"/>
  <c r="CR21" i="4"/>
  <c r="CR20" i="4"/>
  <c r="CR14" i="4"/>
  <c r="CR17" i="4"/>
  <c r="CR15" i="4"/>
  <c r="CR22" i="4"/>
  <c r="CR19" i="4"/>
  <c r="CR10" i="4"/>
  <c r="CQ10" i="4"/>
  <c r="CQ4" i="4"/>
  <c r="CQ5" i="4"/>
  <c r="CQ6" i="4"/>
  <c r="CQ7" i="4"/>
  <c r="CQ8" i="4"/>
  <c r="CQ9" i="4"/>
  <c r="CQ12" i="4"/>
  <c r="CQ16" i="4"/>
  <c r="CQ11" i="4"/>
  <c r="CQ21" i="4"/>
  <c r="CQ20" i="4"/>
  <c r="CQ14" i="4"/>
  <c r="CQ17" i="4"/>
  <c r="CQ15" i="4"/>
  <c r="CQ22" i="4"/>
  <c r="CQ19" i="4"/>
  <c r="GT6" i="4" l="1"/>
  <c r="HA6" i="4" s="1"/>
  <c r="GT7" i="4"/>
  <c r="HA7" i="4" s="1"/>
  <c r="OP20" i="4"/>
  <c r="MG21" i="4"/>
  <c r="EA4" i="4"/>
  <c r="EG4" i="4"/>
  <c r="RF17" i="4"/>
  <c r="RM17" i="4" s="1"/>
  <c r="LZ15" i="4"/>
  <c r="MG15" i="4" s="1"/>
  <c r="OP15" i="4"/>
  <c r="OW15" i="4" s="1"/>
  <c r="RF15" i="4"/>
  <c r="RM15" i="4" s="1"/>
  <c r="LZ22" i="4"/>
  <c r="MG22" i="4" s="1"/>
  <c r="OP22" i="4"/>
  <c r="OW22" i="4" s="1"/>
  <c r="RF22" i="4"/>
  <c r="RM22" i="4" s="1"/>
  <c r="LZ19" i="4"/>
  <c r="MG19" i="4" s="1"/>
  <c r="OP19" i="4"/>
  <c r="OW19" i="4" s="1"/>
  <c r="RF19" i="4"/>
  <c r="RM19" i="4" s="1"/>
  <c r="JJ4" i="4"/>
  <c r="JQ4" i="4" s="1"/>
  <c r="JJ6" i="4"/>
  <c r="JQ6" i="4" s="1"/>
  <c r="JJ8" i="4"/>
  <c r="JQ8" i="4" s="1"/>
  <c r="NO15" i="4"/>
  <c r="SU15" i="4"/>
  <c r="GT8" i="4"/>
  <c r="HA8" i="4" s="1"/>
  <c r="GT9" i="4"/>
  <c r="HA9" i="4" s="1"/>
  <c r="NH21" i="4"/>
  <c r="NO21" i="4" s="1"/>
  <c r="SN21" i="4"/>
  <c r="SU21" i="4" s="1"/>
  <c r="OP9" i="4"/>
  <c r="OW9" i="4" s="1"/>
  <c r="LZ12" i="4"/>
  <c r="MG12" i="4" s="1"/>
  <c r="RF12" i="4"/>
  <c r="RM12" i="4" s="1"/>
  <c r="KR9" i="4"/>
  <c r="KY9" i="4" s="1"/>
  <c r="PX10" i="4"/>
  <c r="QE10" i="4" s="1"/>
  <c r="SN10" i="4"/>
  <c r="SU10" i="4" s="1"/>
  <c r="NH4" i="4"/>
  <c r="NO4" i="4" s="1"/>
  <c r="PX4" i="4"/>
  <c r="QE4" i="4" s="1"/>
  <c r="SN4" i="4"/>
  <c r="SU4" i="4" s="1"/>
  <c r="NH5" i="4"/>
  <c r="NO5" i="4" s="1"/>
  <c r="PX5" i="4"/>
  <c r="QE5" i="4" s="1"/>
  <c r="SN5" i="4"/>
  <c r="SU5" i="4" s="1"/>
  <c r="NH6" i="4"/>
  <c r="NO6" i="4" s="1"/>
  <c r="PX6" i="4"/>
  <c r="QE6" i="4" s="1"/>
  <c r="SN7" i="4"/>
  <c r="SU7" i="4" s="1"/>
  <c r="SN8" i="4"/>
  <c r="SU8" i="4" s="1"/>
  <c r="NH9" i="4"/>
  <c r="NO9" i="4" s="1"/>
  <c r="PX9" i="4"/>
  <c r="QE9" i="4" s="1"/>
  <c r="SN9" i="4"/>
  <c r="SU9" i="4" s="1"/>
  <c r="NH12" i="4"/>
  <c r="NO12" i="4" s="1"/>
  <c r="PX12" i="4"/>
  <c r="QE12" i="4" s="1"/>
  <c r="SN12" i="4"/>
  <c r="SU12" i="4" s="1"/>
  <c r="NH16" i="4"/>
  <c r="NO16" i="4" s="1"/>
  <c r="PX16" i="4"/>
  <c r="QE16" i="4" s="1"/>
  <c r="SN16" i="4"/>
  <c r="SU16" i="4" s="1"/>
  <c r="OW20" i="4"/>
  <c r="IB5" i="4"/>
  <c r="II5" i="4" s="1"/>
  <c r="IB14" i="4"/>
  <c r="II14" i="4" s="1"/>
  <c r="KR5" i="4"/>
  <c r="KY5" i="4" s="1"/>
  <c r="NH10" i="4"/>
  <c r="NO10" i="4" s="1"/>
  <c r="RF20" i="4"/>
  <c r="RM20" i="4" s="1"/>
  <c r="OP14" i="4"/>
  <c r="OW14" i="4" s="1"/>
  <c r="JJ17" i="4"/>
  <c r="JQ17" i="4" s="1"/>
  <c r="LZ10" i="4"/>
  <c r="MG10" i="4" s="1"/>
  <c r="OP10" i="4"/>
  <c r="OW10" i="4" s="1"/>
  <c r="RF10" i="4"/>
  <c r="RM10" i="4" s="1"/>
  <c r="LZ6" i="4"/>
  <c r="MG6" i="4" s="1"/>
  <c r="OP6" i="4"/>
  <c r="OW6" i="4" s="1"/>
  <c r="NH7" i="4"/>
  <c r="NO7" i="4" s="1"/>
  <c r="NH20" i="4"/>
  <c r="NO20" i="4" s="1"/>
  <c r="PX20" i="4"/>
  <c r="QE20" i="4" s="1"/>
  <c r="SN20" i="4"/>
  <c r="SU20" i="4" s="1"/>
  <c r="NH14" i="4"/>
  <c r="NO14" i="4" s="1"/>
  <c r="PX14" i="4"/>
  <c r="QE14" i="4" s="1"/>
  <c r="SN14" i="4"/>
  <c r="SU14" i="4" s="1"/>
  <c r="NH17" i="4"/>
  <c r="NO17" i="4" s="1"/>
  <c r="PX17" i="4"/>
  <c r="QE17" i="4" s="1"/>
  <c r="SN17" i="4"/>
  <c r="SU17" i="4" s="1"/>
  <c r="RF6" i="4"/>
  <c r="RM6" i="4" s="1"/>
  <c r="LZ7" i="4"/>
  <c r="MG7" i="4" s="1"/>
  <c r="OP7" i="4"/>
  <c r="OW7" i="4" s="1"/>
  <c r="RF7" i="4"/>
  <c r="RM7" i="4" s="1"/>
  <c r="PX8" i="4"/>
  <c r="QE8" i="4" s="1"/>
  <c r="OP8" i="4"/>
  <c r="OW8" i="4" s="1"/>
  <c r="LZ9" i="4"/>
  <c r="MG9" i="4" s="1"/>
  <c r="RF16" i="4"/>
  <c r="RM16" i="4" s="1"/>
  <c r="PX11" i="4"/>
  <c r="QE11" i="4" s="1"/>
  <c r="GT10" i="4"/>
  <c r="HA10" i="4" s="1"/>
  <c r="OW11" i="4"/>
  <c r="OP16" i="4"/>
  <c r="OW16" i="4" s="1"/>
  <c r="RM21" i="4"/>
  <c r="LZ11" i="4"/>
  <c r="MG11" i="4" s="1"/>
  <c r="FL10" i="4"/>
  <c r="FS10" i="4" s="1"/>
  <c r="FL5" i="4"/>
  <c r="FS5" i="4" s="1"/>
  <c r="FL9" i="4"/>
  <c r="FS9" i="4" s="1"/>
  <c r="IB10" i="4"/>
  <c r="II10" i="4" s="1"/>
  <c r="IB4" i="4"/>
  <c r="II4" i="4" s="1"/>
  <c r="GT19" i="4"/>
  <c r="HA19" i="4" s="1"/>
  <c r="JJ10" i="4"/>
  <c r="JQ10" i="4" s="1"/>
  <c r="LZ4" i="4"/>
  <c r="MG4" i="4" s="1"/>
  <c r="OP4" i="4"/>
  <c r="OW4" i="4" s="1"/>
  <c r="SN6" i="4"/>
  <c r="SU6" i="4" s="1"/>
  <c r="RF9" i="4"/>
  <c r="RM9" i="4" s="1"/>
  <c r="NH11" i="4"/>
  <c r="NO11" i="4" s="1"/>
  <c r="RF11" i="4"/>
  <c r="RM11" i="4" s="1"/>
  <c r="LZ14" i="4"/>
  <c r="MG14" i="4" s="1"/>
  <c r="PX15" i="4"/>
  <c r="QE15" i="4" s="1"/>
  <c r="IB9" i="4"/>
  <c r="II9" i="4" s="1"/>
  <c r="IB12" i="4"/>
  <c r="II12" i="4" s="1"/>
  <c r="IB16" i="4"/>
  <c r="II16" i="4" s="1"/>
  <c r="IB11" i="4"/>
  <c r="II11" i="4" s="1"/>
  <c r="IB21" i="4"/>
  <c r="II21" i="4" s="1"/>
  <c r="KR10" i="4"/>
  <c r="KY10" i="4" s="1"/>
  <c r="KR7" i="4"/>
  <c r="KY7" i="4" s="1"/>
  <c r="KR8" i="4"/>
  <c r="KY8" i="4" s="1"/>
  <c r="JJ16" i="4"/>
  <c r="JQ16" i="4" s="1"/>
  <c r="JJ21" i="4"/>
  <c r="JQ21" i="4" s="1"/>
  <c r="JJ14" i="4"/>
  <c r="JQ14" i="4" s="1"/>
  <c r="JJ19" i="4"/>
  <c r="JQ19" i="4" s="1"/>
  <c r="RF4" i="4"/>
  <c r="RM4" i="4" s="1"/>
  <c r="LZ5" i="4"/>
  <c r="MG5" i="4" s="1"/>
  <c r="PX7" i="4"/>
  <c r="QE7" i="4" s="1"/>
  <c r="LZ8" i="4"/>
  <c r="MG8" i="4" s="1"/>
  <c r="OP12" i="4"/>
  <c r="OW12" i="4" s="1"/>
  <c r="SN11" i="4"/>
  <c r="SU11" i="4" s="1"/>
  <c r="OP21" i="4"/>
  <c r="OW21" i="4" s="1"/>
  <c r="RF14" i="4"/>
  <c r="RM14" i="4" s="1"/>
  <c r="NH22" i="4"/>
  <c r="NO22" i="4" s="1"/>
  <c r="PX22" i="4"/>
  <c r="QE22" i="4" s="1"/>
  <c r="SN22" i="4"/>
  <c r="SU22" i="4" s="1"/>
  <c r="NH19" i="4"/>
  <c r="NO19" i="4" s="1"/>
  <c r="PX19" i="4"/>
  <c r="QE19" i="4" s="1"/>
  <c r="SN19" i="4"/>
  <c r="SU19" i="4" s="1"/>
  <c r="KR16" i="4"/>
  <c r="KY16" i="4" s="1"/>
  <c r="KR11" i="4"/>
  <c r="KY11" i="4" s="1"/>
  <c r="KR21" i="4"/>
  <c r="KY21" i="4" s="1"/>
  <c r="KR20" i="4"/>
  <c r="KY20" i="4" s="1"/>
  <c r="KR14" i="4"/>
  <c r="KY14" i="4" s="1"/>
  <c r="KR17" i="4"/>
  <c r="KY17" i="4" s="1"/>
  <c r="KR15" i="4"/>
  <c r="KY15" i="4" s="1"/>
  <c r="KR19" i="4"/>
  <c r="KY19" i="4" s="1"/>
  <c r="OP5" i="4"/>
  <c r="OW5" i="4" s="1"/>
  <c r="RF5" i="4"/>
  <c r="RM5" i="4" s="1"/>
  <c r="NH8" i="4"/>
  <c r="NO8" i="4" s="1"/>
  <c r="RF8" i="4"/>
  <c r="RM8" i="4" s="1"/>
  <c r="LZ16" i="4"/>
  <c r="MG16" i="4" s="1"/>
  <c r="PX21" i="4"/>
  <c r="QE21" i="4" s="1"/>
  <c r="LZ20" i="4"/>
  <c r="MG20" i="4" s="1"/>
  <c r="LZ17" i="4"/>
  <c r="MG17" i="4" s="1"/>
  <c r="OP17" i="4"/>
  <c r="OW17" i="4" s="1"/>
  <c r="IB15" i="4"/>
  <c r="II15" i="4" s="1"/>
  <c r="IB22" i="4"/>
  <c r="II22" i="4" s="1"/>
  <c r="IB19" i="4"/>
  <c r="II19" i="4" s="1"/>
  <c r="JJ5" i="4"/>
  <c r="JQ5" i="4" s="1"/>
  <c r="JJ12" i="4"/>
  <c r="JQ12" i="4" s="1"/>
  <c r="KR22" i="4"/>
  <c r="KY22" i="4" s="1"/>
  <c r="KR4" i="4"/>
  <c r="KY4" i="4" s="1"/>
  <c r="JJ7" i="4"/>
  <c r="JQ7" i="4" s="1"/>
  <c r="JJ11" i="4"/>
  <c r="JQ11" i="4" s="1"/>
  <c r="IB7" i="4"/>
  <c r="II7" i="4" s="1"/>
  <c r="KR6" i="4"/>
  <c r="KY6" i="4" s="1"/>
  <c r="JJ9" i="4"/>
  <c r="JQ9" i="4" s="1"/>
  <c r="JJ20" i="4"/>
  <c r="JQ20" i="4" s="1"/>
  <c r="GT20" i="4"/>
  <c r="HA20" i="4" s="1"/>
  <c r="GT14" i="4"/>
  <c r="HA14" i="4" s="1"/>
  <c r="GT17" i="4"/>
  <c r="HA17" i="4" s="1"/>
  <c r="GT15" i="4"/>
  <c r="HA15" i="4" s="1"/>
  <c r="KR12" i="4"/>
  <c r="KY12" i="4" s="1"/>
  <c r="JJ22" i="4"/>
  <c r="JQ22" i="4" s="1"/>
  <c r="FL16" i="4"/>
  <c r="FS16" i="4" s="1"/>
  <c r="FL21" i="4"/>
  <c r="FS21" i="4" s="1"/>
  <c r="FL14" i="4"/>
  <c r="FS14" i="4" s="1"/>
  <c r="FL15" i="4"/>
  <c r="FS15" i="4" s="1"/>
  <c r="FL19" i="4"/>
  <c r="FS19" i="4" s="1"/>
  <c r="GT5" i="4"/>
  <c r="HA5" i="4" s="1"/>
  <c r="GT16" i="4"/>
  <c r="HA16" i="4" s="1"/>
  <c r="GT21" i="4"/>
  <c r="HA21" i="4" s="1"/>
  <c r="JJ15" i="4"/>
  <c r="JQ15" i="4" s="1"/>
  <c r="FL6" i="4"/>
  <c r="FS6" i="4" s="1"/>
  <c r="FL8" i="4"/>
  <c r="FS8" i="4" s="1"/>
  <c r="FL12" i="4"/>
  <c r="FS12" i="4" s="1"/>
  <c r="IB6" i="4"/>
  <c r="II6" i="4" s="1"/>
  <c r="GT12" i="4"/>
  <c r="HA12" i="4" s="1"/>
  <c r="IB20" i="4"/>
  <c r="II20" i="4" s="1"/>
  <c r="GT22" i="4"/>
  <c r="HA22" i="4" s="1"/>
  <c r="GT4" i="4"/>
  <c r="HA4" i="4" s="1"/>
  <c r="IB8" i="4"/>
  <c r="II8" i="4" s="1"/>
  <c r="GT11" i="4"/>
  <c r="HA11" i="4" s="1"/>
  <c r="IB17" i="4"/>
  <c r="II17" i="4" s="1"/>
  <c r="FL11" i="4"/>
  <c r="FS11" i="4" s="1"/>
  <c r="FL20" i="4"/>
  <c r="FS20" i="4" s="1"/>
  <c r="FL17" i="4"/>
  <c r="FS17" i="4" s="1"/>
  <c r="FL22" i="4"/>
  <c r="FS22" i="4" s="1"/>
  <c r="FL7" i="4"/>
  <c r="FS7" i="4" s="1"/>
  <c r="FL4" i="4"/>
  <c r="FS4" i="4" s="1"/>
  <c r="ED6" i="4"/>
  <c r="ED9" i="4"/>
  <c r="ED21" i="4"/>
  <c r="ED11" i="4"/>
  <c r="ED19" i="4"/>
  <c r="ED14" i="4"/>
  <c r="ED22" i="4"/>
  <c r="ED7" i="4"/>
  <c r="ED15" i="4"/>
  <c r="ED10" i="4"/>
  <c r="ED20" i="4"/>
  <c r="ED16" i="4"/>
  <c r="ED17" i="4"/>
  <c r="ED12" i="4"/>
  <c r="ED5" i="4"/>
  <c r="ED8" i="4"/>
  <c r="CP7" i="8"/>
  <c r="CQ7" i="8"/>
  <c r="CS7" i="8"/>
  <c r="CT7" i="8"/>
  <c r="DR7" i="8"/>
  <c r="DS7" i="8"/>
  <c r="DU7" i="8"/>
  <c r="DV7" i="8"/>
  <c r="ER7" i="8"/>
  <c r="ES7" i="8"/>
  <c r="EU7" i="8"/>
  <c r="EV7" i="8"/>
  <c r="FR7" i="8"/>
  <c r="FS7" i="8"/>
  <c r="FU7" i="8"/>
  <c r="FV7" i="8"/>
  <c r="GR7" i="8"/>
  <c r="GS7" i="8"/>
  <c r="GU7" i="8"/>
  <c r="GV7" i="8"/>
  <c r="HR7" i="8"/>
  <c r="HS7" i="8"/>
  <c r="HU7" i="8"/>
  <c r="HV7" i="8"/>
  <c r="IR7" i="8"/>
  <c r="IS7" i="8"/>
  <c r="IU7" i="8"/>
  <c r="IV7" i="8"/>
  <c r="JR7" i="8"/>
  <c r="JS7" i="8"/>
  <c r="JU7" i="8"/>
  <c r="JV7" i="8"/>
  <c r="KR7" i="8"/>
  <c r="KS7" i="8"/>
  <c r="KU7" i="8"/>
  <c r="KV7" i="8"/>
  <c r="LR7" i="8"/>
  <c r="LS7" i="8"/>
  <c r="LU7" i="8"/>
  <c r="LV7" i="8"/>
  <c r="MR7" i="8"/>
  <c r="MS7" i="8"/>
  <c r="MU7" i="8"/>
  <c r="MV7" i="8"/>
  <c r="NR7" i="8"/>
  <c r="NS7" i="8"/>
  <c r="NU7" i="8"/>
  <c r="NV7" i="8"/>
  <c r="OR7" i="8"/>
  <c r="OS7" i="8"/>
  <c r="OU7" i="8"/>
  <c r="OV7" i="8"/>
  <c r="OX7" i="8"/>
  <c r="OY7" i="8"/>
  <c r="OZ7" i="8"/>
  <c r="PA7" i="8"/>
  <c r="PB7" i="8"/>
  <c r="PC7" i="8"/>
  <c r="PD7" i="8"/>
  <c r="PJ7" i="8"/>
  <c r="PK7" i="8"/>
  <c r="PL7" i="8"/>
  <c r="PM7" i="8"/>
  <c r="PN7" i="8"/>
  <c r="PO7" i="8"/>
  <c r="PP7" i="8"/>
  <c r="PQ7" i="8"/>
  <c r="G7" i="8" l="1"/>
  <c r="I7" i="8"/>
  <c r="F7" i="8"/>
  <c r="J7" i="8"/>
  <c r="L7" i="8"/>
  <c r="CV7" i="8" s="1"/>
  <c r="N7" i="8"/>
  <c r="EK10" i="4"/>
  <c r="EK9" i="4"/>
  <c r="EK6" i="4"/>
  <c r="EK15" i="4"/>
  <c r="EK12" i="4"/>
  <c r="EK14" i="4"/>
  <c r="EK5" i="4"/>
  <c r="EK22" i="4"/>
  <c r="EK16" i="4"/>
  <c r="EK19" i="4"/>
  <c r="EK8" i="4"/>
  <c r="EK7" i="4"/>
  <c r="EK17" i="4"/>
  <c r="EK11" i="4"/>
  <c r="EK20" i="4"/>
  <c r="EK21" i="4"/>
  <c r="NW7" i="8"/>
  <c r="JW7" i="8"/>
  <c r="DW7" i="8"/>
  <c r="LW7" i="8"/>
  <c r="GW7" i="8"/>
  <c r="KW7" i="8"/>
  <c r="EW7" i="8"/>
  <c r="MW7" i="8"/>
  <c r="IW7" i="8"/>
  <c r="CU7" i="8"/>
  <c r="PV7" i="8"/>
  <c r="PS7" i="8"/>
  <c r="OW7" i="8"/>
  <c r="HW7" i="8"/>
  <c r="FW7" i="8"/>
  <c r="PW7" i="8"/>
  <c r="PT7" i="8"/>
  <c r="O7" i="8" l="1"/>
  <c r="CW7" i="8"/>
  <c r="M7" i="8"/>
  <c r="PX7" i="8"/>
  <c r="K7" i="8"/>
  <c r="P7" i="8" l="1"/>
  <c r="E7" i="8" s="1"/>
  <c r="R7" i="8" l="1"/>
  <c r="Q7" i="8"/>
  <c r="CS19" i="4"/>
  <c r="CT19" i="4"/>
  <c r="CV19" i="4"/>
  <c r="CX19" i="4"/>
  <c r="CZ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T19" i="4" l="1"/>
  <c r="U19" i="4" s="1"/>
  <c r="R19" i="4"/>
  <c r="S19" i="4" s="1"/>
  <c r="N19" i="4"/>
  <c r="O19" i="4" s="1"/>
  <c r="L19" i="4"/>
  <c r="DB19" i="4" s="1"/>
  <c r="J19" i="4"/>
  <c r="TU19" i="4"/>
  <c r="G19" i="4"/>
  <c r="I19" i="4"/>
  <c r="F19" i="4"/>
  <c r="TQ19" i="4"/>
  <c r="TN19" i="4"/>
  <c r="CW19" i="4"/>
  <c r="DA19" i="4" s="1"/>
  <c r="P19" i="4"/>
  <c r="DC19" i="4" s="1"/>
  <c r="CS17" i="4"/>
  <c r="CT17" i="4"/>
  <c r="CV17" i="4"/>
  <c r="CX17" i="4"/>
  <c r="CZ17" i="4"/>
  <c r="P17" i="4" s="1"/>
  <c r="DC17" i="4" s="1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S9" i="4"/>
  <c r="CT9" i="4"/>
  <c r="CV9" i="4"/>
  <c r="CX9" i="4"/>
  <c r="CZ9" i="4"/>
  <c r="P9" i="4" s="1"/>
  <c r="DC9" i="4" s="1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S5" i="8"/>
  <c r="CS6" i="8"/>
  <c r="NV6" i="8"/>
  <c r="NU6" i="8"/>
  <c r="NS6" i="8"/>
  <c r="NR6" i="8"/>
  <c r="NV5" i="8"/>
  <c r="NU5" i="8"/>
  <c r="NS5" i="8"/>
  <c r="NR5" i="8"/>
  <c r="NV4" i="8"/>
  <c r="NU4" i="8"/>
  <c r="NS4" i="8"/>
  <c r="NR4" i="8"/>
  <c r="MV6" i="8"/>
  <c r="MU6" i="8"/>
  <c r="MS6" i="8"/>
  <c r="MR6" i="8"/>
  <c r="MV5" i="8"/>
  <c r="MU5" i="8"/>
  <c r="MS5" i="8"/>
  <c r="MR5" i="8"/>
  <c r="MV4" i="8"/>
  <c r="MU4" i="8"/>
  <c r="MS4" i="8"/>
  <c r="MR4" i="8"/>
  <c r="LV6" i="8"/>
  <c r="LU6" i="8"/>
  <c r="LS6" i="8"/>
  <c r="LR6" i="8"/>
  <c r="LV5" i="8"/>
  <c r="LU5" i="8"/>
  <c r="LS5" i="8"/>
  <c r="LR5" i="8"/>
  <c r="LV4" i="8"/>
  <c r="LU4" i="8"/>
  <c r="LS4" i="8"/>
  <c r="LR4" i="8"/>
  <c r="KV6" i="8"/>
  <c r="KU6" i="8"/>
  <c r="KS6" i="8"/>
  <c r="KR6" i="8"/>
  <c r="KV5" i="8"/>
  <c r="KU5" i="8"/>
  <c r="KS5" i="8"/>
  <c r="KR5" i="8"/>
  <c r="KV4" i="8"/>
  <c r="KU4" i="8"/>
  <c r="KS4" i="8"/>
  <c r="KR4" i="8"/>
  <c r="JV6" i="8"/>
  <c r="JU6" i="8"/>
  <c r="JS6" i="8"/>
  <c r="JR6" i="8"/>
  <c r="JV5" i="8"/>
  <c r="JU5" i="8"/>
  <c r="JS5" i="8"/>
  <c r="JR5" i="8"/>
  <c r="JV4" i="8"/>
  <c r="JU4" i="8"/>
  <c r="JS4" i="8"/>
  <c r="JR4" i="8"/>
  <c r="IV6" i="8"/>
  <c r="IU6" i="8"/>
  <c r="IS6" i="8"/>
  <c r="IR6" i="8"/>
  <c r="IV5" i="8"/>
  <c r="IU5" i="8"/>
  <c r="IS5" i="8"/>
  <c r="IR5" i="8"/>
  <c r="IV4" i="8"/>
  <c r="IU4" i="8"/>
  <c r="IS4" i="8"/>
  <c r="IR4" i="8"/>
  <c r="HV6" i="8"/>
  <c r="HU6" i="8"/>
  <c r="HS6" i="8"/>
  <c r="HR6" i="8"/>
  <c r="HV5" i="8"/>
  <c r="HU5" i="8"/>
  <c r="HS5" i="8"/>
  <c r="HR5" i="8"/>
  <c r="HV4" i="8"/>
  <c r="HU4" i="8"/>
  <c r="HS4" i="8"/>
  <c r="HR4" i="8"/>
  <c r="GV6" i="8"/>
  <c r="GU6" i="8"/>
  <c r="GS6" i="8"/>
  <c r="GR6" i="8"/>
  <c r="GV5" i="8"/>
  <c r="GU5" i="8"/>
  <c r="GS5" i="8"/>
  <c r="GR5" i="8"/>
  <c r="GV4" i="8"/>
  <c r="GU4" i="8"/>
  <c r="GS4" i="8"/>
  <c r="GR4" i="8"/>
  <c r="FV6" i="8"/>
  <c r="FU6" i="8"/>
  <c r="FS6" i="8"/>
  <c r="FR6" i="8"/>
  <c r="FV5" i="8"/>
  <c r="FU5" i="8"/>
  <c r="FS5" i="8"/>
  <c r="FR5" i="8"/>
  <c r="FV4" i="8"/>
  <c r="FU4" i="8"/>
  <c r="FS4" i="8"/>
  <c r="FR4" i="8"/>
  <c r="EV6" i="8"/>
  <c r="EU6" i="8"/>
  <c r="ES6" i="8"/>
  <c r="ER6" i="8"/>
  <c r="EV5" i="8"/>
  <c r="EU5" i="8"/>
  <c r="ES5" i="8"/>
  <c r="ER5" i="8"/>
  <c r="EV4" i="8"/>
  <c r="EU4" i="8"/>
  <c r="ES4" i="8"/>
  <c r="ER4" i="8"/>
  <c r="DV6" i="8"/>
  <c r="DU6" i="8"/>
  <c r="DS6" i="8"/>
  <c r="DR6" i="8"/>
  <c r="DV5" i="8"/>
  <c r="DU5" i="8"/>
  <c r="DS5" i="8"/>
  <c r="DR5" i="8"/>
  <c r="DV4" i="8"/>
  <c r="DU4" i="8"/>
  <c r="DS4" i="8"/>
  <c r="DR4" i="8"/>
  <c r="CP5" i="8"/>
  <c r="CQ5" i="8"/>
  <c r="L5" i="8" s="1"/>
  <c r="CV5" i="8" s="1"/>
  <c r="CT5" i="8"/>
  <c r="N5" i="8" s="1"/>
  <c r="OR5" i="8"/>
  <c r="OS5" i="8"/>
  <c r="OU5" i="8"/>
  <c r="OV5" i="8"/>
  <c r="OX5" i="8"/>
  <c r="OY5" i="8"/>
  <c r="OZ5" i="8"/>
  <c r="PA5" i="8"/>
  <c r="PB5" i="8"/>
  <c r="PC5" i="8"/>
  <c r="PD5" i="8"/>
  <c r="PJ5" i="8"/>
  <c r="PK5" i="8"/>
  <c r="PL5" i="8"/>
  <c r="PM5" i="8"/>
  <c r="PN5" i="8"/>
  <c r="PO5" i="8"/>
  <c r="PP5" i="8"/>
  <c r="PQ5" i="8"/>
  <c r="CS15" i="4"/>
  <c r="CT15" i="4"/>
  <c r="CV15" i="4"/>
  <c r="CX15" i="4"/>
  <c r="CZ15" i="4"/>
  <c r="P15" i="4" s="1"/>
  <c r="DC15" i="4" s="1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S16" i="4"/>
  <c r="CT16" i="4"/>
  <c r="CV16" i="4"/>
  <c r="CX16" i="4"/>
  <c r="CZ16" i="4"/>
  <c r="P16" i="4" s="1"/>
  <c r="DC16" i="4" s="1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R17" i="4" l="1"/>
  <c r="S17" i="4" s="1"/>
  <c r="T17" i="4"/>
  <c r="U17" i="4" s="1"/>
  <c r="V19" i="4"/>
  <c r="R16" i="4"/>
  <c r="S16" i="4" s="1"/>
  <c r="T16" i="4"/>
  <c r="U16" i="4" s="1"/>
  <c r="T15" i="4"/>
  <c r="U15" i="4" s="1"/>
  <c r="R15" i="4"/>
  <c r="S15" i="4" s="1"/>
  <c r="R9" i="4"/>
  <c r="S9" i="4" s="1"/>
  <c r="T9" i="4"/>
  <c r="U9" i="4" s="1"/>
  <c r="O5" i="8"/>
  <c r="CW5" i="8"/>
  <c r="N15" i="4"/>
  <c r="O15" i="4" s="1"/>
  <c r="N9" i="4"/>
  <c r="O9" i="4" s="1"/>
  <c r="N17" i="4"/>
  <c r="O17" i="4" s="1"/>
  <c r="N16" i="4"/>
  <c r="O16" i="4" s="1"/>
  <c r="K19" i="4"/>
  <c r="L9" i="4"/>
  <c r="DB9" i="4" s="1"/>
  <c r="V9" i="4" s="1"/>
  <c r="I5" i="8"/>
  <c r="G5" i="8"/>
  <c r="F5" i="8"/>
  <c r="G17" i="4"/>
  <c r="G16" i="4"/>
  <c r="M5" i="8"/>
  <c r="J5" i="8"/>
  <c r="J17" i="4"/>
  <c r="I9" i="4"/>
  <c r="F15" i="4"/>
  <c r="J9" i="4"/>
  <c r="L16" i="4"/>
  <c r="DB16" i="4" s="1"/>
  <c r="V16" i="4" s="1"/>
  <c r="J16" i="4"/>
  <c r="I17" i="4"/>
  <c r="L15" i="4"/>
  <c r="DB15" i="4" s="1"/>
  <c r="V15" i="4" s="1"/>
  <c r="L17" i="4"/>
  <c r="DB17" i="4" s="1"/>
  <c r="V17" i="4" s="1"/>
  <c r="J15" i="4"/>
  <c r="F9" i="4"/>
  <c r="G15" i="4"/>
  <c r="F16" i="4"/>
  <c r="TR19" i="4"/>
  <c r="TV19" i="4" s="1"/>
  <c r="I16" i="4"/>
  <c r="G9" i="4"/>
  <c r="I15" i="4"/>
  <c r="F17" i="4"/>
  <c r="TU9" i="4"/>
  <c r="TN16" i="4"/>
  <c r="TN9" i="4"/>
  <c r="H19" i="4"/>
  <c r="Q15" i="4"/>
  <c r="Q17" i="4"/>
  <c r="TU16" i="4"/>
  <c r="TQ15" i="4"/>
  <c r="TQ17" i="4"/>
  <c r="Q16" i="4"/>
  <c r="Q9" i="4"/>
  <c r="M19" i="4"/>
  <c r="TU15" i="4"/>
  <c r="TU17" i="4"/>
  <c r="TQ16" i="4"/>
  <c r="TQ9" i="4"/>
  <c r="TN15" i="4"/>
  <c r="TN17" i="4"/>
  <c r="Q19" i="4"/>
  <c r="CW9" i="4"/>
  <c r="DA9" i="4" s="1"/>
  <c r="CW15" i="4"/>
  <c r="DA15" i="4" s="1"/>
  <c r="CW16" i="4"/>
  <c r="DA16" i="4" s="1"/>
  <c r="K17" i="4"/>
  <c r="CW17" i="4"/>
  <c r="DA17" i="4" s="1"/>
  <c r="K16" i="4"/>
  <c r="EW6" i="8"/>
  <c r="LW6" i="8"/>
  <c r="LW5" i="8"/>
  <c r="EW5" i="8"/>
  <c r="MW5" i="8"/>
  <c r="LW4" i="8"/>
  <c r="MW4" i="8"/>
  <c r="NW4" i="8"/>
  <c r="EW4" i="8"/>
  <c r="GW4" i="8"/>
  <c r="DW4" i="8"/>
  <c r="GW5" i="8"/>
  <c r="FW4" i="8"/>
  <c r="HW4" i="8"/>
  <c r="IW4" i="8"/>
  <c r="JW4" i="8"/>
  <c r="KW4" i="8"/>
  <c r="FW5" i="8"/>
  <c r="FW6" i="8"/>
  <c r="KW5" i="8"/>
  <c r="KW6" i="8"/>
  <c r="DW5" i="8"/>
  <c r="DW6" i="8"/>
  <c r="JW5" i="8"/>
  <c r="JW6" i="8"/>
  <c r="NW5" i="8"/>
  <c r="NW6" i="8"/>
  <c r="GW6" i="8"/>
  <c r="HW5" i="8"/>
  <c r="HW6" i="8"/>
  <c r="IW5" i="8"/>
  <c r="IW6" i="8"/>
  <c r="MW6" i="8"/>
  <c r="OW5" i="8"/>
  <c r="PV5" i="8"/>
  <c r="PS5" i="8"/>
  <c r="CU5" i="8"/>
  <c r="PT5" i="8"/>
  <c r="PW5" i="8"/>
  <c r="X16" i="4" l="1"/>
  <c r="W16" i="4"/>
  <c r="X19" i="4"/>
  <c r="W19" i="4"/>
  <c r="X17" i="4"/>
  <c r="W17" i="4"/>
  <c r="X9" i="4"/>
  <c r="W9" i="4"/>
  <c r="W15" i="4"/>
  <c r="X15" i="4"/>
  <c r="H16" i="4"/>
  <c r="H17" i="4"/>
  <c r="TR17" i="4"/>
  <c r="TV17" i="4" s="1"/>
  <c r="K9" i="4"/>
  <c r="K15" i="4"/>
  <c r="H15" i="4"/>
  <c r="H9" i="4"/>
  <c r="TR16" i="4"/>
  <c r="TV16" i="4" s="1"/>
  <c r="TR15" i="4"/>
  <c r="TV15" i="4" s="1"/>
  <c r="TR9" i="4"/>
  <c r="TV9" i="4" s="1"/>
  <c r="M15" i="4"/>
  <c r="M17" i="4"/>
  <c r="M9" i="4"/>
  <c r="M16" i="4"/>
  <c r="PX5" i="8"/>
  <c r="P5" i="8"/>
  <c r="K5" i="8"/>
  <c r="E5" i="8" l="1"/>
  <c r="R5" i="8"/>
  <c r="Q5" i="8"/>
  <c r="E15" i="4" l="1"/>
  <c r="E19" i="4"/>
  <c r="E17" i="4"/>
  <c r="E16" i="4" l="1"/>
  <c r="E9" i="4"/>
  <c r="CS11" i="4"/>
  <c r="CT11" i="4"/>
  <c r="CV11" i="4"/>
  <c r="CX11" i="4"/>
  <c r="CZ11" i="4"/>
  <c r="P11" i="4" s="1"/>
  <c r="DC11" i="4" s="1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CS5" i="4"/>
  <c r="CT5" i="4"/>
  <c r="CV5" i="4"/>
  <c r="CX5" i="4"/>
  <c r="CZ5" i="4"/>
  <c r="P5" i="4" s="1"/>
  <c r="DC5" i="4" s="1"/>
  <c r="CS8" i="4"/>
  <c r="CT8" i="4"/>
  <c r="CV8" i="4"/>
  <c r="CX8" i="4"/>
  <c r="CZ8" i="4"/>
  <c r="P8" i="4" s="1"/>
  <c r="DC8" i="4" s="1"/>
  <c r="CS6" i="4"/>
  <c r="CT6" i="4"/>
  <c r="CV6" i="4"/>
  <c r="CX6" i="4"/>
  <c r="CZ6" i="4"/>
  <c r="P6" i="4" s="1"/>
  <c r="DC6" i="4" s="1"/>
  <c r="CS12" i="4"/>
  <c r="CT12" i="4"/>
  <c r="CV12" i="4"/>
  <c r="CX12" i="4"/>
  <c r="CZ12" i="4"/>
  <c r="P12" i="4" s="1"/>
  <c r="DC12" i="4" s="1"/>
  <c r="CS22" i="4"/>
  <c r="CT22" i="4"/>
  <c r="CV22" i="4"/>
  <c r="CX22" i="4"/>
  <c r="CZ22" i="4"/>
  <c r="P22" i="4" s="1"/>
  <c r="DC22" i="4" s="1"/>
  <c r="CS7" i="4"/>
  <c r="CT7" i="4"/>
  <c r="CV7" i="4"/>
  <c r="CX7" i="4"/>
  <c r="CZ7" i="4"/>
  <c r="P7" i="4" s="1"/>
  <c r="DC7" i="4" s="1"/>
  <c r="CS4" i="4"/>
  <c r="CT4" i="4"/>
  <c r="CV4" i="4"/>
  <c r="CZ4" i="4"/>
  <c r="P4" i="4" s="1"/>
  <c r="DC4" i="4" s="1"/>
  <c r="CS21" i="4"/>
  <c r="CT21" i="4"/>
  <c r="CV21" i="4"/>
  <c r="CX21" i="4"/>
  <c r="CZ21" i="4"/>
  <c r="P21" i="4" s="1"/>
  <c r="DC21" i="4" s="1"/>
  <c r="CS14" i="4"/>
  <c r="CT14" i="4"/>
  <c r="CV14" i="4"/>
  <c r="CX14" i="4"/>
  <c r="CZ14" i="4"/>
  <c r="P14" i="4" s="1"/>
  <c r="DC14" i="4" s="1"/>
  <c r="CS20" i="4"/>
  <c r="CT20" i="4"/>
  <c r="CV20" i="4"/>
  <c r="CX20" i="4"/>
  <c r="CZ20" i="4"/>
  <c r="P20" i="4" s="1"/>
  <c r="DC20" i="4" s="1"/>
  <c r="CV10" i="4"/>
  <c r="CS10" i="4"/>
  <c r="OU6" i="8"/>
  <c r="OU4" i="8"/>
  <c r="CS4" i="8"/>
  <c r="T5" i="4" l="1"/>
  <c r="U5" i="4" s="1"/>
  <c r="R5" i="4"/>
  <c r="S5" i="4" s="1"/>
  <c r="T12" i="4"/>
  <c r="U12" i="4" s="1"/>
  <c r="R12" i="4"/>
  <c r="S12" i="4" s="1"/>
  <c r="R8" i="4"/>
  <c r="S8" i="4" s="1"/>
  <c r="T8" i="4"/>
  <c r="U8" i="4" s="1"/>
  <c r="T14" i="4"/>
  <c r="U14" i="4" s="1"/>
  <c r="R14" i="4"/>
  <c r="S14" i="4" s="1"/>
  <c r="T20" i="4"/>
  <c r="U20" i="4" s="1"/>
  <c r="R20" i="4"/>
  <c r="S20" i="4" s="1"/>
  <c r="T22" i="4"/>
  <c r="U22" i="4" s="1"/>
  <c r="R22" i="4"/>
  <c r="S22" i="4" s="1"/>
  <c r="T11" i="4"/>
  <c r="U11" i="4" s="1"/>
  <c r="R11" i="4"/>
  <c r="S11" i="4" s="1"/>
  <c r="T6" i="4"/>
  <c r="U6" i="4" s="1"/>
  <c r="R6" i="4"/>
  <c r="S6" i="4" s="1"/>
  <c r="T21" i="4"/>
  <c r="U21" i="4" s="1"/>
  <c r="R21" i="4"/>
  <c r="S21" i="4" s="1"/>
  <c r="T7" i="4"/>
  <c r="U7" i="4" s="1"/>
  <c r="R7" i="4"/>
  <c r="S7" i="4" s="1"/>
  <c r="N12" i="4"/>
  <c r="O12" i="4" s="1"/>
  <c r="N14" i="4"/>
  <c r="O14" i="4" s="1"/>
  <c r="N5" i="4"/>
  <c r="O5" i="4" s="1"/>
  <c r="N20" i="4"/>
  <c r="O20" i="4" s="1"/>
  <c r="N22" i="4"/>
  <c r="O22" i="4" s="1"/>
  <c r="N11" i="4"/>
  <c r="O11" i="4" s="1"/>
  <c r="N10" i="4"/>
  <c r="O10" i="4" s="1"/>
  <c r="N21" i="4"/>
  <c r="O21" i="4" s="1"/>
  <c r="N6" i="4"/>
  <c r="O6" i="4" s="1"/>
  <c r="N7" i="4"/>
  <c r="O7" i="4" s="1"/>
  <c r="L4" i="4"/>
  <c r="M4" i="4" s="1"/>
  <c r="N4" i="4"/>
  <c r="O4" i="4" s="1"/>
  <c r="N8" i="4"/>
  <c r="O8" i="4" s="1"/>
  <c r="J20" i="4"/>
  <c r="K20" i="4" s="1"/>
  <c r="L20" i="4"/>
  <c r="DB20" i="4" s="1"/>
  <c r="V20" i="4" s="1"/>
  <c r="L11" i="4"/>
  <c r="DB11" i="4" s="1"/>
  <c r="V11" i="4" s="1"/>
  <c r="J11" i="4"/>
  <c r="K11" i="4" s="1"/>
  <c r="L10" i="4"/>
  <c r="DB10" i="4" s="1"/>
  <c r="J10" i="4"/>
  <c r="L21" i="4"/>
  <c r="DB21" i="4" s="1"/>
  <c r="V21" i="4" s="1"/>
  <c r="J21" i="4"/>
  <c r="L6" i="4"/>
  <c r="DB6" i="4" s="1"/>
  <c r="V6" i="4" s="1"/>
  <c r="J6" i="4"/>
  <c r="J7" i="4"/>
  <c r="K7" i="4" s="1"/>
  <c r="L7" i="4"/>
  <c r="DB7" i="4" s="1"/>
  <c r="V7" i="4" s="1"/>
  <c r="L5" i="4"/>
  <c r="DB5" i="4" s="1"/>
  <c r="V5" i="4" s="1"/>
  <c r="J5" i="4"/>
  <c r="K5" i="4" s="1"/>
  <c r="L22" i="4"/>
  <c r="DB22" i="4" s="1"/>
  <c r="V22" i="4" s="1"/>
  <c r="J22" i="4"/>
  <c r="K22" i="4" s="1"/>
  <c r="L8" i="4"/>
  <c r="DB8" i="4" s="1"/>
  <c r="V8" i="4" s="1"/>
  <c r="J8" i="4"/>
  <c r="J14" i="4"/>
  <c r="K14" i="4" s="1"/>
  <c r="L14" i="4"/>
  <c r="DB14" i="4" s="1"/>
  <c r="V14" i="4" s="1"/>
  <c r="J12" i="4"/>
  <c r="K12" i="4" s="1"/>
  <c r="L12" i="4"/>
  <c r="DB12" i="4" s="1"/>
  <c r="V12" i="4" s="1"/>
  <c r="J4" i="4"/>
  <c r="K4" i="4" s="1"/>
  <c r="F21" i="4"/>
  <c r="G21" i="4"/>
  <c r="I21" i="4"/>
  <c r="I6" i="4"/>
  <c r="G6" i="4"/>
  <c r="F6" i="4"/>
  <c r="I7" i="4"/>
  <c r="F7" i="4"/>
  <c r="G7" i="4"/>
  <c r="G5" i="4"/>
  <c r="I5" i="4"/>
  <c r="F5" i="4"/>
  <c r="G14" i="4"/>
  <c r="I14" i="4"/>
  <c r="F14" i="4"/>
  <c r="F12" i="4"/>
  <c r="G12" i="4"/>
  <c r="I12" i="4"/>
  <c r="I8" i="4"/>
  <c r="F8" i="4"/>
  <c r="G8" i="4"/>
  <c r="I20" i="4"/>
  <c r="G20" i="4"/>
  <c r="F20" i="4"/>
  <c r="G22" i="4"/>
  <c r="I22" i="4"/>
  <c r="F22" i="4"/>
  <c r="F11" i="4"/>
  <c r="G11" i="4"/>
  <c r="I11" i="4"/>
  <c r="TU22" i="4"/>
  <c r="TQ12" i="4"/>
  <c r="TU4" i="4"/>
  <c r="TQ7" i="4"/>
  <c r="Q8" i="4"/>
  <c r="TU20" i="4"/>
  <c r="TQ14" i="4"/>
  <c r="TU8" i="4"/>
  <c r="TQ5" i="4"/>
  <c r="TN11" i="4"/>
  <c r="Q11" i="4"/>
  <c r="Q20" i="4"/>
  <c r="TU12" i="4"/>
  <c r="TQ6" i="4"/>
  <c r="TQ21" i="4"/>
  <c r="TU5" i="4"/>
  <c r="TQ11" i="4"/>
  <c r="Q21" i="4"/>
  <c r="TQ10" i="4"/>
  <c r="TU7" i="4"/>
  <c r="Q4" i="4"/>
  <c r="TU14" i="4"/>
  <c r="Q5" i="4"/>
  <c r="TQ20" i="4"/>
  <c r="TU6" i="4"/>
  <c r="TQ8" i="4"/>
  <c r="Q22" i="4"/>
  <c r="Q6" i="4"/>
  <c r="Q7" i="4"/>
  <c r="TQ22" i="4"/>
  <c r="Q14" i="4"/>
  <c r="Q12" i="4"/>
  <c r="TU10" i="4"/>
  <c r="TU21" i="4"/>
  <c r="TQ4" i="4"/>
  <c r="TU11" i="4"/>
  <c r="CW21" i="4"/>
  <c r="DA21" i="4" s="1"/>
  <c r="K21" i="4"/>
  <c r="CW11" i="4"/>
  <c r="DA11" i="4" s="1"/>
  <c r="CW6" i="4"/>
  <c r="DA6" i="4" s="1"/>
  <c r="CW5" i="4"/>
  <c r="DA5" i="4" s="1"/>
  <c r="CW22" i="4"/>
  <c r="DA22" i="4" s="1"/>
  <c r="CW10" i="4"/>
  <c r="CW4" i="4"/>
  <c r="DA4" i="4" s="1"/>
  <c r="CW7" i="4"/>
  <c r="DA7" i="4" s="1"/>
  <c r="CW14" i="4"/>
  <c r="DA14" i="4" s="1"/>
  <c r="CW12" i="4"/>
  <c r="DA12" i="4" s="1"/>
  <c r="CW20" i="4"/>
  <c r="DA20" i="4" s="1"/>
  <c r="CW8" i="4"/>
  <c r="DA8" i="4" s="1"/>
  <c r="OX6" i="8"/>
  <c r="OY6" i="8"/>
  <c r="OZ6" i="8"/>
  <c r="PA6" i="8"/>
  <c r="PB6" i="8"/>
  <c r="PC6" i="8"/>
  <c r="PD6" i="8"/>
  <c r="PJ6" i="8"/>
  <c r="PK6" i="8"/>
  <c r="PL6" i="8"/>
  <c r="PM6" i="8"/>
  <c r="PN6" i="8"/>
  <c r="PO6" i="8"/>
  <c r="PP6" i="8"/>
  <c r="PQ6" i="8"/>
  <c r="OY4" i="8"/>
  <c r="OZ4" i="8"/>
  <c r="PA4" i="8"/>
  <c r="PB4" i="8"/>
  <c r="PC4" i="8"/>
  <c r="PD4" i="8"/>
  <c r="PE4" i="8"/>
  <c r="PJ4" i="8"/>
  <c r="PK4" i="8"/>
  <c r="PL4" i="8"/>
  <c r="PM4" i="8"/>
  <c r="PN4" i="8"/>
  <c r="PO4" i="8"/>
  <c r="PP4" i="8"/>
  <c r="PQ4" i="8"/>
  <c r="OX4" i="8"/>
  <c r="SV10" i="4"/>
  <c r="CT6" i="8"/>
  <c r="N6" i="8" s="1"/>
  <c r="CQ6" i="8"/>
  <c r="CP6" i="8"/>
  <c r="CT4" i="8"/>
  <c r="N4" i="8" s="1"/>
  <c r="CQ4" i="8"/>
  <c r="CP4" i="8"/>
  <c r="SW10" i="4"/>
  <c r="SX10" i="4"/>
  <c r="TL10" i="4" s="1"/>
  <c r="SY10" i="4"/>
  <c r="TM10" i="4" s="1"/>
  <c r="SZ10" i="4"/>
  <c r="SW5" i="4"/>
  <c r="SX5" i="4"/>
  <c r="TL5" i="4" s="1"/>
  <c r="SY5" i="4"/>
  <c r="TM5" i="4" s="1"/>
  <c r="SW8" i="4"/>
  <c r="SX8" i="4"/>
  <c r="TL8" i="4" s="1"/>
  <c r="SY8" i="4"/>
  <c r="TM8" i="4" s="1"/>
  <c r="SW6" i="4"/>
  <c r="SX6" i="4"/>
  <c r="TL6" i="4" s="1"/>
  <c r="SY6" i="4"/>
  <c r="TM6" i="4" s="1"/>
  <c r="SW12" i="4"/>
  <c r="SX12" i="4"/>
  <c r="TL12" i="4" s="1"/>
  <c r="SY12" i="4"/>
  <c r="TM12" i="4" s="1"/>
  <c r="SW22" i="4"/>
  <c r="SX22" i="4"/>
  <c r="TL22" i="4" s="1"/>
  <c r="SY22" i="4"/>
  <c r="TM22" i="4" s="1"/>
  <c r="SW7" i="4"/>
  <c r="SX7" i="4"/>
  <c r="TL7" i="4" s="1"/>
  <c r="SY7" i="4"/>
  <c r="TM7" i="4" s="1"/>
  <c r="SW4" i="4"/>
  <c r="SX4" i="4"/>
  <c r="TL4" i="4" s="1"/>
  <c r="SY4" i="4"/>
  <c r="TM4" i="4" s="1"/>
  <c r="SW21" i="4"/>
  <c r="SX21" i="4"/>
  <c r="TL21" i="4" s="1"/>
  <c r="SY21" i="4"/>
  <c r="TM21" i="4" s="1"/>
  <c r="SW14" i="4"/>
  <c r="SX14" i="4"/>
  <c r="TL14" i="4" s="1"/>
  <c r="SY14" i="4"/>
  <c r="TM14" i="4" s="1"/>
  <c r="SW20" i="4"/>
  <c r="SX20" i="4"/>
  <c r="TL20" i="4" s="1"/>
  <c r="SY20" i="4"/>
  <c r="TM20" i="4" s="1"/>
  <c r="SV5" i="4"/>
  <c r="SV8" i="4"/>
  <c r="SV6" i="4"/>
  <c r="SV12" i="4"/>
  <c r="SV22" i="4"/>
  <c r="SV7" i="4"/>
  <c r="SV4" i="4"/>
  <c r="SV21" i="4"/>
  <c r="SV14" i="4"/>
  <c r="SV20" i="4"/>
  <c r="X5" i="4" l="1"/>
  <c r="W5" i="4"/>
  <c r="X14" i="4"/>
  <c r="W14" i="4"/>
  <c r="X7" i="4"/>
  <c r="W7" i="4"/>
  <c r="X11" i="4"/>
  <c r="W11" i="4"/>
  <c r="X20" i="4"/>
  <c r="W20" i="4"/>
  <c r="X8" i="4"/>
  <c r="W8" i="4"/>
  <c r="X6" i="4"/>
  <c r="W6" i="4"/>
  <c r="X22" i="4"/>
  <c r="W22" i="4"/>
  <c r="W21" i="4"/>
  <c r="X21" i="4"/>
  <c r="W12" i="4"/>
  <c r="X12" i="4"/>
  <c r="O4" i="8"/>
  <c r="O6" i="8"/>
  <c r="K8" i="4"/>
  <c r="K6" i="4"/>
  <c r="PT4" i="8"/>
  <c r="L4" i="8"/>
  <c r="CV4" i="8" s="1"/>
  <c r="J4" i="8"/>
  <c r="J6" i="8"/>
  <c r="L6" i="8"/>
  <c r="CV6" i="8" s="1"/>
  <c r="H14" i="4"/>
  <c r="H22" i="4"/>
  <c r="H12" i="4"/>
  <c r="H8" i="4"/>
  <c r="H6" i="4"/>
  <c r="H7" i="4"/>
  <c r="H20" i="4"/>
  <c r="H5" i="4"/>
  <c r="H21" i="4"/>
  <c r="TN6" i="4"/>
  <c r="TR6" i="4" s="1"/>
  <c r="TV6" i="4" s="1"/>
  <c r="H11" i="4"/>
  <c r="TN7" i="4"/>
  <c r="TR7" i="4" s="1"/>
  <c r="TV7" i="4" s="1"/>
  <c r="M20" i="4"/>
  <c r="M10" i="4"/>
  <c r="M6" i="4"/>
  <c r="TN22" i="4"/>
  <c r="TR22" i="4" s="1"/>
  <c r="TV22" i="4" s="1"/>
  <c r="M22" i="4"/>
  <c r="TN12" i="4"/>
  <c r="TR12" i="4" s="1"/>
  <c r="TV12" i="4" s="1"/>
  <c r="M12" i="4"/>
  <c r="M11" i="4"/>
  <c r="TN4" i="4"/>
  <c r="TR4" i="4" s="1"/>
  <c r="TV4" i="4" s="1"/>
  <c r="M7" i="4"/>
  <c r="TN20" i="4"/>
  <c r="TR20" i="4" s="1"/>
  <c r="TV20" i="4" s="1"/>
  <c r="TN5" i="4"/>
  <c r="TR5" i="4" s="1"/>
  <c r="TV5" i="4" s="1"/>
  <c r="M8" i="4"/>
  <c r="M14" i="4"/>
  <c r="M5" i="4"/>
  <c r="M21" i="4"/>
  <c r="TN8" i="4"/>
  <c r="TR8" i="4" s="1"/>
  <c r="TV8" i="4" s="1"/>
  <c r="TN14" i="4"/>
  <c r="TR14" i="4" s="1"/>
  <c r="TV14" i="4" s="1"/>
  <c r="TN10" i="4"/>
  <c r="TR10" i="4" s="1"/>
  <c r="TV10" i="4" s="1"/>
  <c r="TN21" i="4"/>
  <c r="TR21" i="4" s="1"/>
  <c r="TV21" i="4" s="1"/>
  <c r="TR11" i="4"/>
  <c r="TV11" i="4" s="1"/>
  <c r="K10" i="4"/>
  <c r="PV6" i="8"/>
  <c r="PV4" i="8"/>
  <c r="CU6" i="8"/>
  <c r="CU4" i="8"/>
  <c r="CZ10" i="4"/>
  <c r="G10" i="4" s="1"/>
  <c r="CX10" i="4"/>
  <c r="OR6" i="8"/>
  <c r="OS6" i="8"/>
  <c r="OV6" i="8"/>
  <c r="CW6" i="8" s="1"/>
  <c r="R10" i="4" l="1"/>
  <c r="S10" i="4" s="1"/>
  <c r="T10" i="4"/>
  <c r="U10" i="4" s="1"/>
  <c r="F10" i="4"/>
  <c r="G6" i="8"/>
  <c r="I6" i="8"/>
  <c r="F6" i="8"/>
  <c r="M6" i="8"/>
  <c r="M4" i="8"/>
  <c r="I10" i="4"/>
  <c r="P10" i="4"/>
  <c r="DC10" i="4" s="1"/>
  <c r="V10" i="4" s="1"/>
  <c r="DA10" i="4"/>
  <c r="K6" i="8"/>
  <c r="OW6" i="8"/>
  <c r="PS6" i="8"/>
  <c r="PT6" i="8"/>
  <c r="PW6" i="8"/>
  <c r="X10" i="4" l="1"/>
  <c r="W10" i="4"/>
  <c r="H10" i="4"/>
  <c r="Q10" i="4"/>
  <c r="E11" i="4"/>
  <c r="PX6" i="8"/>
  <c r="P6" i="8" l="1"/>
  <c r="E6" i="8" s="1"/>
  <c r="R6" i="8" l="1"/>
  <c r="Q6" i="8"/>
  <c r="E20" i="4" l="1"/>
  <c r="PS4" i="8" l="1"/>
  <c r="PW4" i="8"/>
  <c r="PX4" i="8" l="1"/>
  <c r="E21" i="4" l="1"/>
  <c r="OS4" i="8"/>
  <c r="A7" i="8" l="1"/>
  <c r="K4" i="8"/>
  <c r="E10" i="4" l="1"/>
  <c r="A19" i="4" l="1" a="1"/>
  <c r="A19" i="4" s="1"/>
  <c r="A15" i="4" a="1"/>
  <c r="A15" i="4" s="1"/>
  <c r="A17" i="4" a="1"/>
  <c r="A17" i="4" s="1"/>
  <c r="A16" i="4" a="1"/>
  <c r="A16" i="4" s="1"/>
  <c r="A11" i="4" a="1"/>
  <c r="A11" i="4" s="1"/>
  <c r="OV4" i="8"/>
  <c r="OR4" i="8"/>
  <c r="G4" i="8" l="1"/>
  <c r="CW4" i="8"/>
  <c r="I4" i="8"/>
  <c r="F4" i="8"/>
  <c r="H4" i="8" s="1"/>
  <c r="OW4" i="8"/>
  <c r="E14" i="4" l="1"/>
  <c r="A14" i="4" a="1"/>
  <c r="A14" i="4" s="1"/>
  <c r="P4" i="8"/>
  <c r="E4" i="8" s="1"/>
  <c r="Q4" i="8" l="1"/>
  <c r="R4" i="8"/>
  <c r="A5" i="8"/>
  <c r="E12" i="4" l="1"/>
  <c r="E6" i="4" l="1"/>
  <c r="E22" i="4"/>
  <c r="E8" i="4"/>
  <c r="E7" i="4" l="1"/>
  <c r="E5" i="4"/>
  <c r="A6" i="8"/>
  <c r="A20" i="4" l="1" a="1"/>
  <c r="A20" i="4" s="1"/>
  <c r="A21" i="4" a="1"/>
  <c r="A21" i="4" s="1"/>
  <c r="A22" i="4" a="1"/>
  <c r="A22" i="4" s="1"/>
  <c r="A4" i="8"/>
  <c r="C34" i="11" l="1"/>
  <c r="C35" i="11"/>
  <c r="C36" i="11"/>
  <c r="C37" i="11"/>
  <c r="C38" i="11"/>
  <c r="C39" i="11"/>
  <c r="C40" i="11"/>
  <c r="C41" i="11"/>
  <c r="D37" i="11"/>
  <c r="D36" i="11"/>
  <c r="D39" i="11"/>
  <c r="D41" i="11"/>
  <c r="D40" i="11"/>
  <c r="D38" i="11"/>
  <c r="H6" i="8"/>
  <c r="H5" i="8"/>
  <c r="D35" i="11" s="1"/>
  <c r="H7" i="8"/>
  <c r="D34" i="11" l="1"/>
  <c r="EC4" i="4"/>
  <c r="EB4" i="4"/>
  <c r="DY4" i="4"/>
  <c r="DZ4" i="4"/>
  <c r="DX4" i="4"/>
  <c r="T4" i="4" l="1"/>
  <c r="U4" i="4" s="1"/>
  <c r="R4" i="4"/>
  <c r="S4" i="4" s="1"/>
  <c r="F4" i="4"/>
  <c r="ED4" i="4"/>
  <c r="G4" i="4"/>
  <c r="I4" i="4"/>
  <c r="H4" i="4" l="1"/>
  <c r="EK4" i="4"/>
  <c r="DB4" i="4"/>
  <c r="V4" i="4" s="1"/>
  <c r="W4" i="4" l="1"/>
  <c r="X4" i="4"/>
  <c r="E4" i="4"/>
  <c r="A10" i="4" l="1" a="1"/>
  <c r="A10" i="4" s="1"/>
  <c r="A12" i="4" a="1"/>
  <c r="A12" i="4" s="1"/>
  <c r="A8" i="4" a="1"/>
  <c r="A8" i="4" s="1"/>
  <c r="A9" i="4" a="1"/>
  <c r="A9" i="4" s="1"/>
  <c r="A4" i="4" a="1"/>
  <c r="A4" i="4" s="1"/>
  <c r="A7" i="4" a="1"/>
  <c r="A7" i="4" s="1"/>
  <c r="A5" i="4" a="1"/>
  <c r="A5" i="4" s="1"/>
  <c r="A6" i="4" a="1"/>
  <c r="A6" i="4" s="1"/>
  <c r="D4" i="11" l="1"/>
  <c r="C3" i="11"/>
  <c r="C6" i="11"/>
  <c r="C2" i="11"/>
  <c r="D9" i="11"/>
  <c r="C4" i="11"/>
  <c r="C8" i="11"/>
  <c r="D5" i="11"/>
  <c r="C7" i="11"/>
  <c r="D6" i="11"/>
  <c r="D3" i="11"/>
  <c r="C9" i="11"/>
  <c r="D2" i="11"/>
  <c r="D8" i="11"/>
  <c r="C5" i="11"/>
  <c r="D7" i="11"/>
  <c r="DS4" i="18"/>
  <c r="DW4" i="18" s="1"/>
  <c r="I4" i="18" l="1"/>
  <c r="G4" i="18"/>
  <c r="F4" i="18"/>
  <c r="A5" i="18" s="1"/>
  <c r="A4" i="18" l="1"/>
  <c r="C28" i="11" s="1"/>
  <c r="H4" i="18"/>
  <c r="D26" i="11" s="1"/>
  <c r="D31" i="11"/>
  <c r="D30" i="11"/>
  <c r="D32" i="11"/>
  <c r="C29" i="11"/>
  <c r="D27" i="11"/>
  <c r="C27" i="11"/>
  <c r="C26" i="11"/>
  <c r="D33" i="11"/>
  <c r="C32" i="11" l="1"/>
  <c r="D28" i="11"/>
  <c r="C30" i="11"/>
  <c r="D29" i="11"/>
  <c r="C31" i="11"/>
  <c r="C3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<sst xmlns="http://schemas.openxmlformats.org/spreadsheetml/2006/main" count="4945" uniqueCount="177">
  <si>
    <t>Province</t>
  </si>
  <si>
    <t>Rank</t>
  </si>
  <si>
    <t>Total Points</t>
  </si>
  <si>
    <t>ON</t>
  </si>
  <si>
    <t>SOEHN, Keegan</t>
  </si>
  <si>
    <t>AB</t>
  </si>
  <si>
    <t>BC</t>
  </si>
  <si>
    <t>CRANHAM, Jacob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</si>
  <si>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</si>
  <si>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</si>
  <si>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</si>
  <si>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</si>
  <si>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</si>
  <si>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</si>
  <si>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</si>
  <si>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</si>
  <si>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</si>
  <si>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</si>
  <si>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</si>
  <si>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</si>
  <si>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</si>
  <si>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</si>
  <si>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</si>
  <si>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</si>
  <si>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</si>
  <si>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</si>
  <si>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</si>
  <si>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</si>
  <si>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</si>
  <si>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</si>
  <si>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MacLENNAN, Rosannagh</t>
  </si>
  <si>
    <t>ROUX, Laurence</t>
  </si>
  <si>
    <t>Athlete</t>
  </si>
  <si>
    <t>STIRLING, Trevor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</si>
  <si>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</si>
  <si>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</si>
  <si>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</si>
  <si>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</si>
  <si>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</si>
  <si>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</si>
  <si>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</si>
  <si>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</si>
  <si>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</si>
  <si>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</si>
  <si>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</si>
  <si>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</si>
  <si>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</si>
  <si>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</si>
  <si>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</si>
  <si>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</si>
  <si>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</si>
  <si>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</si>
  <si>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</si>
  <si>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</si>
  <si>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</si>
  <si>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</si>
  <si>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</si>
  <si>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</si>
  <si>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</si>
  <si>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</si>
  <si>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</si>
  <si>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</si>
  <si>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</si>
  <si>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</si>
  <si>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</si>
  <si>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</si>
  <si>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</si>
  <si>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</si>
  <si>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</si>
  <si>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</si>
  <si>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</si>
  <si>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</si>
  <si>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</si>
  <si>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</si>
  <si>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MADIGAN, Mariah</t>
  </si>
  <si>
    <t>BERTHIAUME, Sara-Jade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</si>
  <si>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</si>
  <si>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</si>
  <si>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</si>
  <si>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</si>
  <si>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</si>
  <si>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</si>
  <si>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</si>
  <si>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</si>
  <si>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</si>
  <si>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</si>
  <si>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</si>
  <si>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</si>
  <si>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</si>
  <si>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</si>
  <si>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</si>
  <si>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</si>
  <si>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</si>
  <si>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</si>
  <si>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</si>
  <si>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</si>
  <si>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</si>
  <si>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SÉROUART, Guillaume</t>
  </si>
  <si>
    <t>DODD, Gavin</t>
  </si>
  <si>
    <t>MASSON, Félix</t>
  </si>
  <si>
    <t>BODNAR, Cassidy</t>
  </si>
  <si>
    <t>PARHAR, Jasmine</t>
  </si>
  <si>
    <t>MCLEAN, Declan</t>
  </si>
  <si>
    <t>LEVASSEUR, Nathan</t>
  </si>
  <si>
    <t>2021 Elite Canada</t>
  </si>
  <si>
    <t>2020 Olympic Games (July 30, 2021)</t>
  </si>
  <si>
    <t>CARISSE, Jesse</t>
  </si>
  <si>
    <t>DON, Alexander</t>
  </si>
  <si>
    <t>METHERAL, Hannah</t>
  </si>
  <si>
    <t>HOWELL, Kayla</t>
  </si>
  <si>
    <t>2021 World Cup ITA/Olympic Technical Trial (June 4/9)</t>
  </si>
  <si>
    <t>2021 Canadian Championships</t>
  </si>
  <si>
    <t>DONG, Helen</t>
  </si>
  <si>
    <t>SOEHN, Kalena</t>
  </si>
  <si>
    <t>2021 World Championships (Nov 18)</t>
  </si>
  <si>
    <t>2021 World Championships Team Finals (Nov 19)</t>
  </si>
  <si>
    <t>2021 World Championships (Nov 19)</t>
  </si>
  <si>
    <t>2001/1997</t>
  </si>
  <si>
    <t>QC/ON</t>
  </si>
  <si>
    <t>AUBIN &amp; SHUH</t>
  </si>
  <si>
    <t>1992/1995</t>
  </si>
  <si>
    <t>AB/ON</t>
  </si>
  <si>
    <t>SOEHN &amp; STIRLING</t>
  </si>
  <si>
    <t>1997/1998</t>
  </si>
  <si>
    <t>MÉTHOT &amp; MILETTE</t>
  </si>
  <si>
    <t>2021 World Championships All-Around Team Finals (Nov 21)</t>
  </si>
  <si>
    <t>2021 WAGC (Nov 27)</t>
  </si>
  <si>
    <t>BONHAM &amp; ANDERSON</t>
  </si>
  <si>
    <t>2002/2003</t>
  </si>
  <si>
    <t>2021 WAGC (Nov 28)</t>
  </si>
  <si>
    <t>2021 Junior Pan Am Games (Dec 4)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</si>
  <si>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</si>
  <si>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</si>
  <si>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</si>
  <si>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</si>
  <si>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</si>
  <si>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</si>
  <si>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</si>
  <si>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</si>
  <si>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</si>
  <si>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</si>
  <si>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</si>
  <si>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</si>
  <si>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*Scores adjusted for 2022 rules</t>
  </si>
  <si>
    <t>2021 World Championships (Nov 21)</t>
  </si>
  <si>
    <t>Best Routine</t>
  </si>
  <si>
    <t>2022 Elite Canada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</si>
  <si>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</si>
  <si>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</si>
  <si>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</si>
  <si>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</si>
  <si>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</si>
  <si>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</si>
  <si>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</si>
  <si>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</si>
  <si>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</si>
  <si>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</si>
  <si>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</si>
  <si>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2nd Best Q2</t>
  </si>
  <si>
    <t>Prelim DD</t>
  </si>
  <si>
    <t>3rd Best
Prelim Routine</t>
  </si>
  <si>
    <t>CLOUTIER, Etienne</t>
  </si>
  <si>
    <t>NOGA-BARD, Kasha</t>
  </si>
  <si>
    <t>THOMPSON, Justin</t>
  </si>
  <si>
    <t>SUGRIM, Jordan</t>
  </si>
  <si>
    <t>SIMINIUC, Alexandra</t>
  </si>
  <si>
    <t>DYKMAN, Matvey</t>
  </si>
  <si>
    <t>CHAMPAGNE, Tyler</t>
  </si>
  <si>
    <t>BOLDIZAR, Samson</t>
  </si>
  <si>
    <t>NEUFELD, Simon</t>
  </si>
  <si>
    <t>CLOUTIER, Étienne</t>
  </si>
  <si>
    <t>ANAKA, Ashley</t>
  </si>
  <si>
    <t>2022 World Games Technical Trial #1 (Mar 12)</t>
  </si>
  <si>
    <t>BRENNER, Adin</t>
  </si>
  <si>
    <t>*Scores removed but hit standards remain for 2022 rules</t>
  </si>
  <si>
    <t>2022 World Games Technical Trial #2 (May 15)</t>
  </si>
  <si>
    <t>World Games Trial #2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</si>
</sst>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24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 applyAlignment="1"/>
    <xf numFmtId="0" fontId="9" fillId="7" borderId="0" xfId="0" applyFont="1" applyFill="1" applyAlignment="1"/>
    <xf numFmtId="0" fontId="10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 applyAlignment="1"/>
    <xf numFmtId="0" fontId="2" fillId="12" borderId="0" xfId="0" applyFont="1" applyFill="1" applyAlignment="1"/>
    <xf numFmtId="164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0" borderId="0" xfId="0" applyFill="1" applyBorder="1" applyAlignment="1"/>
    <xf numFmtId="0" fontId="0" fillId="3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9" fillId="14" borderId="0" xfId="0" applyFont="1" applyFill="1" applyAlignment="1"/>
    <xf numFmtId="0" fontId="21" fillId="5" borderId="0" xfId="0" applyFont="1" applyFill="1" applyAlignment="1"/>
    <xf numFmtId="0" fontId="20" fillId="15" borderId="0" xfId="0" applyFont="1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6" fillId="3" borderId="0" xfId="0" applyNumberFormat="1" applyFont="1" applyFill="1" applyBorder="1" applyAlignment="1" applyProtection="1">
      <alignment horizontal="center"/>
      <protection locked="0"/>
    </xf>
    <xf numFmtId="164" fontId="6" fillId="4" borderId="0" xfId="0" applyNumberFormat="1" applyFont="1" applyFill="1" applyBorder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Fill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61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44</v>
      </c>
      <c r="B1" t="s">
        <v>1</v>
      </c>
      <c r="C1" t="s">
        <v>46</v>
      </c>
      <c r="D1" s="70" t="s">
        <v>13</v>
      </c>
      <c r="E1" s="31"/>
      <c r="F1" s="31"/>
      <c r="J1" s="31"/>
      <c r="K1" s="31"/>
      <c r="L1" s="31"/>
    </row>
    <row r="2" spans="1:12" x14ac:dyDescent="0.2">
      <c r="A2" s="10" t="s">
        <v>45</v>
      </c>
      <c r="B2" s="10">
        <v>1</v>
      </c>
      <c r="C2" s="10" t="str">
        <f>IF(B2&gt;MAX('TRA-M'!A:A),"",INDEX('TRA-M'!B:B,MATCH(B2,'TRA-M'!A:A,0)))</f>
        <v>AUBIN, Rémi</v>
      </c>
      <c r="D2" s="67" t="str">
        <f>IF(B2&gt;MAX('TRA-M'!A:A),"",INDEX('TRA-M'!H:H,MATCH(B2,'TRA-M'!A:A,0)))</f>
        <v>Excellence</v>
      </c>
      <c r="E2" s="17"/>
      <c r="F2" s="17"/>
    </row>
    <row r="3" spans="1:12" x14ac:dyDescent="0.2">
      <c r="A3" s="10"/>
      <c r="B3" s="10">
        <v>2</v>
      </c>
      <c r="C3" s="10" t="str">
        <f>IF(B3&gt;MAX('TRA-M'!A:A),"",INDEX('TRA-M'!B:B,MATCH(B3,'TRA-M'!A:A,0)))</f>
        <v>SOEHN, Keegan</v>
      </c>
      <c r="D3" s="67" t="str">
        <f>IF(B3&gt;MAX('TRA-M'!A:A),"",INDEX('TRA-M'!H:H,MATCH(B3,'TRA-M'!A:A,0)))</f>
        <v>Worlds Team</v>
      </c>
      <c r="E3" s="17"/>
      <c r="F3" s="17"/>
    </row>
    <row r="4" spans="1:12" x14ac:dyDescent="0.2">
      <c r="A4" s="10"/>
      <c r="B4" s="10">
        <v>3</v>
      </c>
      <c r="C4" s="10" t="str">
        <f>IF(B4&gt;MAX('TRA-M'!A:A),"",INDEX('TRA-M'!B:B,MATCH(B4,'TRA-M'!A:A,0)))</f>
        <v>SHUH, Nathan</v>
      </c>
      <c r="D4" s="67" t="str">
        <f>IF(B4&gt;MAX('TRA-M'!A:A),"",INDEX('TRA-M'!H:H,MATCH(B4,'TRA-M'!A:A,0)))</f>
        <v>Worlds Team</v>
      </c>
      <c r="E4" s="17"/>
      <c r="F4" s="17"/>
    </row>
    <row r="5" spans="1:12" x14ac:dyDescent="0.2">
      <c r="A5" s="10"/>
      <c r="B5" s="10">
        <v>4</v>
      </c>
      <c r="C5" s="10" t="str">
        <f>IF(B5&gt;MAX('TRA-M'!A:A),"",INDEX('TRA-M'!B:B,MATCH(B5,'TRA-M'!A:A,0)))</f>
        <v>STIRLING, Trevor</v>
      </c>
      <c r="D5" s="67" t="str">
        <f>IF(B5&gt;MAX('TRA-M'!A:A),"",INDEX('TRA-M'!H:H,MATCH(B5,'TRA-M'!A:A,0)))</f>
        <v>Worlds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CRANHAM, Jacob</v>
      </c>
      <c r="D6" s="67" t="str">
        <f>IF(B6&gt;MAX('TRA-M'!A:A),"",INDEX('TRA-M'!H:H,MATCH(B6,'TRA-M'!A:A,0)))</f>
        <v>Worlds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CARISSE, Jesse</v>
      </c>
      <c r="D7" s="67" t="str">
        <f>IF(B7&gt;MAX('TRA-M'!A:A),"",INDEX('TRA-M'!H:H,MATCH(B7,'TRA-M'!A:A,0)))</f>
        <v>National Team</v>
      </c>
      <c r="G7" s="32"/>
    </row>
    <row r="8" spans="1:12" x14ac:dyDescent="0.2">
      <c r="A8" s="10"/>
      <c r="B8" s="10">
        <v>7</v>
      </c>
      <c r="C8" s="10" t="str">
        <f>IF(B8&gt;MAX('TRA-M'!A:A),"",INDEX('TRA-M'!B:B,MATCH(B8,'TRA-M'!A:A,0)))</f>
        <v>CHARTIER, Jérémy</v>
      </c>
      <c r="D8" s="67" t="str">
        <f>IF(B8&gt;MAX('TRA-M'!A:A),"",INDEX('TRA-M'!H:H,MATCH(B8,'TRA-M'!A:A,0)))</f>
        <v>Worlds Team</v>
      </c>
      <c r="G8" s="32"/>
    </row>
    <row r="9" spans="1:12" x14ac:dyDescent="0.2">
      <c r="A9" s="10"/>
      <c r="B9" s="10">
        <v>8</v>
      </c>
      <c r="C9" s="10" t="str">
        <f>IF(B9&gt;MAX('TRA-M'!A:A),"",INDEX('TRA-M'!B:B,MATCH(B9,'TRA-M'!A:A,0)))</f>
        <v>BLAKELY, Zachary</v>
      </c>
      <c r="D9" s="67" t="str">
        <f>IF(B9&gt;MAX('TRA-M'!A:A),"",INDEX('TRA-M'!H:H,MATCH(B9,'TRA-M'!A:A,0)))</f>
        <v>No DD</v>
      </c>
    </row>
    <row r="10" spans="1:12" x14ac:dyDescent="0.2">
      <c r="A10" s="12" t="s">
        <v>48</v>
      </c>
      <c r="B10" s="12">
        <v>1</v>
      </c>
      <c r="C10" s="12" t="str">
        <f>IF(B2&gt;MAX('TRA-W'!A:A),"",INDEX('TRA-W'!B:B,MATCH(B2,'TRA-W'!A:A,0)))</f>
        <v>MILETTE, Sarah</v>
      </c>
      <c r="D10" s="68" t="str">
        <f>IF(B2&gt;MAX('TRA-W'!A:A),"",INDEX('TRA-W'!H:H,MATCH(B2,'TRA-W'!A:A,0)))</f>
        <v>Merit</v>
      </c>
    </row>
    <row r="11" spans="1:12" x14ac:dyDescent="0.2">
      <c r="A11" s="12"/>
      <c r="B11" s="12">
        <v>2</v>
      </c>
      <c r="C11" s="12" t="str">
        <f>IF(B3&gt;MAX('TRA-W'!A:A),"",INDEX('TRA-W'!B:B,MATCH(B3,'TRA-W'!A:A,0)))</f>
        <v>TAM, Rachel</v>
      </c>
      <c r="D11" s="102" t="str">
        <f>IF(B3&gt;MAX('TRA-W'!A:A),"",INDEX('TRA-W'!H:H,MATCH(B3,'TRA-W'!A:A,0)))</f>
        <v>Merit</v>
      </c>
    </row>
    <row r="12" spans="1:12" x14ac:dyDescent="0.2">
      <c r="A12" s="12"/>
      <c r="B12" s="12">
        <v>3</v>
      </c>
      <c r="C12" s="12" t="str">
        <f>IF(B4&gt;MAX('TRA-W'!A:A),"",INDEX('TRA-W'!B:B,MATCH(B4,'TRA-W'!A:A,0)))</f>
        <v>MÉTHOT, Sophiane</v>
      </c>
      <c r="D12" s="102" t="str">
        <f>IF(B4&gt;MAX('TRA-W'!A:A),"",INDEX('TRA-W'!H:H,MATCH(B4,'TRA-W'!A:A,0)))</f>
        <v>Merit</v>
      </c>
    </row>
    <row r="13" spans="1:12" x14ac:dyDescent="0.2">
      <c r="A13" s="12"/>
      <c r="B13" s="12">
        <v>4</v>
      </c>
      <c r="C13" s="12" t="str">
        <f>IF(B5&gt;MAX('TRA-W'!A:A),"",INDEX('TRA-W'!B:B,MATCH(B5,'TRA-W'!A:A,0)))</f>
        <v>SMITH, Samantha</v>
      </c>
      <c r="D13" s="102" t="str">
        <f>IF(B5&gt;MAX('TRA-W'!A:A),"",INDEX('TRA-W'!H:H,MATCH(B5,'TRA-W'!A:A,0)))</f>
        <v>Merit</v>
      </c>
    </row>
    <row r="14" spans="1:12" x14ac:dyDescent="0.2">
      <c r="A14" s="12"/>
      <c r="B14" s="12">
        <v>5</v>
      </c>
      <c r="C14" s="12" t="str">
        <f>IF(B6&gt;MAX('TRA-W'!A:A),"",INDEX('TRA-W'!B:B,MATCH(B6,'TRA-W'!A:A,0)))</f>
        <v>BERTHIAUME, Sara-Jade</v>
      </c>
      <c r="D14" s="102" t="str">
        <f>IF(B6&gt;MAX('TRA-W'!A:A),"",INDEX('TRA-W'!H:H,MATCH(B6,'TRA-W'!A:A,0)))</f>
        <v>National Team</v>
      </c>
    </row>
    <row r="15" spans="1:12" x14ac:dyDescent="0.2">
      <c r="A15" s="12"/>
      <c r="B15" s="12">
        <v>6</v>
      </c>
      <c r="C15" s="12" t="str">
        <f>IF(B7&gt;MAX('TRA-W'!A:A),"",INDEX('TRA-W'!B:B,MATCH(B7,'TRA-W'!A:A,0)))</f>
        <v>FLYNN, Gabby</v>
      </c>
      <c r="D15" s="102" t="str">
        <f>IF(B7&gt;MAX('TRA-W'!A:A),"",INDEX('TRA-W'!H:H,MATCH(B7,'TRA-W'!A:A,0)))</f>
        <v>National Team</v>
      </c>
    </row>
    <row r="16" spans="1:12" x14ac:dyDescent="0.2">
      <c r="A16" s="12"/>
      <c r="B16" s="12">
        <v>7</v>
      </c>
      <c r="C16" s="12" t="str">
        <f>IF(B8&gt;MAX('TRA-W'!A:A),"",INDEX('TRA-W'!B:B,MATCH(B8,'TRA-W'!A:A,0)))</f>
        <v>BONHAM, Maja</v>
      </c>
      <c r="D16" s="102" t="str">
        <f>IF(B8&gt;MAX('TRA-W'!A:A),"",INDEX('TRA-W'!H:H,MATCH(B8,'TRA-W'!A:A,0)))</f>
        <v>National Team</v>
      </c>
      <c r="J16" s="31"/>
    </row>
    <row r="17" spans="1:10" x14ac:dyDescent="0.2">
      <c r="A17" s="12"/>
      <c r="B17" s="12">
        <v>8</v>
      </c>
      <c r="C17" s="12" t="str">
        <f>IF(B9&gt;MAX('TRA-W'!A:A),"",INDEX('TRA-W'!B:B,MATCH(B9,'TRA-W'!A:A,0)))</f>
        <v>MacLENNAN, Rosannagh</v>
      </c>
      <c r="D17" s="102" t="str">
        <f>IF(B9&gt;MAX('TRA-W'!A:A),"",INDEX('TRA-W'!H:H,MATCH(B9,'TRA-W'!A:A,0)))</f>
        <v>Merit</v>
      </c>
      <c r="J17" s="31"/>
    </row>
    <row r="18" spans="1:10" hidden="1" x14ac:dyDescent="0.2">
      <c r="A18" s="10" t="s">
        <v>49</v>
      </c>
      <c r="B18" s="10">
        <v>1</v>
      </c>
      <c r="C18" s="10" t="str">
        <f>IF(B2&gt;MAX('SYN-M'!A:A),"",INDEX('SYN-M'!B:B,MATCH(B2,'SYN-M'!A:A,0)))</f>
        <v/>
      </c>
      <c r="D18" s="67" t="str">
        <f>IF(B2&gt;MAX('SYN-M'!A:A),"",INDEX('SYN-M'!H:H,MATCH(B2,'SYN-M'!A:A,0)))</f>
        <v/>
      </c>
      <c r="J18" s="31"/>
    </row>
    <row r="19" spans="1:10" hidden="1" x14ac:dyDescent="0.2">
      <c r="A19" s="10"/>
      <c r="B19" s="10">
        <v>2</v>
      </c>
      <c r="C19" s="10" t="str">
        <f>IF(B3&gt;MAX('SYN-M'!A:A),"",INDEX('SYN-M'!B:B,MATCH(B3,'SYN-M'!A:A,0)))</f>
        <v/>
      </c>
      <c r="D19" s="101" t="str">
        <f>IF(B3&gt;MAX('SYN-M'!A:A),"",INDEX('SYN-M'!H:H,MATCH(B3,'SYN-M'!A:A,0)))</f>
        <v/>
      </c>
      <c r="J19" s="31"/>
    </row>
    <row r="20" spans="1:10" hidden="1" x14ac:dyDescent="0.2">
      <c r="A20" s="10"/>
      <c r="B20" s="10">
        <v>3</v>
      </c>
      <c r="C20" s="10" t="str">
        <f>IF(B4&gt;MAX('SYN-M'!A:A),"",INDEX('SYN-M'!B:B,MATCH(B4,'SYN-M'!A:A,0)))</f>
        <v/>
      </c>
      <c r="D20" s="101" t="str">
        <f>IF(B4&gt;MAX('SYN-M'!A:A),"",INDEX('SYN-M'!H:H,MATCH(B4,'SYN-M'!A:A,0)))</f>
        <v/>
      </c>
    </row>
    <row r="21" spans="1:10" hidden="1" x14ac:dyDescent="0.2">
      <c r="A21" s="10"/>
      <c r="B21" s="10">
        <v>4</v>
      </c>
      <c r="C21" s="10" t="str">
        <f>IF(B5&gt;MAX('SYN-M'!A:A),"",INDEX('SYN-M'!B:B,MATCH(B5,'SYN-M'!A:A,0)))</f>
        <v/>
      </c>
      <c r="D21" s="101" t="str">
        <f>IF(B5&gt;MAX('SYN-M'!A:A),"",INDEX('SYN-M'!H:H,MATCH(B5,'SYN-M'!A:A,0)))</f>
        <v/>
      </c>
    </row>
    <row r="22" spans="1:10" x14ac:dyDescent="0.2">
      <c r="A22" s="12" t="s">
        <v>50</v>
      </c>
      <c r="B22" s="12">
        <v>1</v>
      </c>
      <c r="C22" s="12" t="str">
        <f>IF(B2&gt;MAX('SYN-W'!A:A),"",INDEX('SYN-W'!B:B,MATCH(B2,'SYN-W'!A:A,0)))</f>
        <v>MÉTHOT &amp; MILETTE</v>
      </c>
      <c r="D22" s="68" t="str">
        <f>IF(B2&gt;MAX('SYN-W'!A:A),"",INDEX('SYN-W'!H:H,MATCH(B2,'SYN-W'!A:A,0)))</f>
        <v>National Team</v>
      </c>
    </row>
    <row r="23" spans="1:10" hidden="1" x14ac:dyDescent="0.2">
      <c r="A23" s="12"/>
      <c r="B23" s="12">
        <v>2</v>
      </c>
      <c r="C23" s="12" t="str">
        <f>IF(B3&gt;MAX('SYN-W'!A:A),"",INDEX('SYN-W'!B:B,MATCH(B3,'SYN-W'!A:A,0)))</f>
        <v/>
      </c>
      <c r="D23" s="102" t="str">
        <f>IF(B3&gt;MAX('SYN-W'!A:A),"",INDEX('SYN-W'!H:H,MATCH(B3,'SYN-W'!A:A,0)))</f>
        <v/>
      </c>
    </row>
    <row r="24" spans="1:10" hidden="1" x14ac:dyDescent="0.2">
      <c r="A24" s="12"/>
      <c r="B24" s="12">
        <v>3</v>
      </c>
      <c r="C24" s="12" t="str">
        <f>IF(B4&gt;MAX('SYN-W'!A:A),"",INDEX('SYN-W'!B:B,MATCH(B4,'SYN-W'!A:A,0)))</f>
        <v/>
      </c>
      <c r="D24" s="102" t="str">
        <f>IF(B4&gt;MAX('SYN-W'!A:A),"",INDEX('SYN-W'!H:H,MATCH(B4,'SYN-W'!A:A,0)))</f>
        <v/>
      </c>
    </row>
    <row r="25" spans="1:10" hidden="1" x14ac:dyDescent="0.2">
      <c r="A25" s="12"/>
      <c r="B25" s="12">
        <v>4</v>
      </c>
      <c r="C25" s="12" t="str">
        <f>IF(B5&gt;MAX('SYN-W'!A:A),"",INDEX('SYN-W'!B:B,MATCH(B5,'SYN-W'!A:A,0)))</f>
        <v/>
      </c>
      <c r="D25" s="102" t="str">
        <f>IF(B5&gt;MAX('SYN-W'!A:A),"",INDEX('SYN-W'!H:H,MATCH(B5,'SYN-W'!A:A,0)))</f>
        <v/>
      </c>
    </row>
    <row r="26" spans="1:10" x14ac:dyDescent="0.2">
      <c r="A26" s="10" t="s">
        <v>51</v>
      </c>
      <c r="B26" s="10">
        <v>1</v>
      </c>
      <c r="C26" s="10" t="str">
        <f>IF(B2&gt;MAX('TUM-M'!A:A),"",INDEX('TUM-M'!B:B,MATCH(B2,'TUM-M'!A:A,0)))</f>
        <v>THOMPSON, Justin</v>
      </c>
      <c r="D26" s="67" t="str">
        <f>IF(B2&gt;MAX('TUM-M'!A:A),"",INDEX('TUM-M'!H:H,MATCH(B2,'TUM-M'!A:A,0)))</f>
        <v>Excellence</v>
      </c>
    </row>
    <row r="27" spans="1:10" x14ac:dyDescent="0.2">
      <c r="A27" s="10"/>
      <c r="B27" s="10">
        <v>2</v>
      </c>
      <c r="C27" s="10" t="str">
        <f>IF(B3&gt;MAX('TUM-M'!A:A),"",INDEX('TUM-M'!B:B,MATCH(B3,'TUM-M'!A:A,0)))</f>
        <v>PEDERSEN, Mitchel</v>
      </c>
      <c r="D27" s="88" t="str">
        <f>IF(B3&gt;MAX('TUM-M'!A:A),"",INDEX('TUM-M'!H:H,MATCH(B3,'TUM-M'!A:A,0)))</f>
        <v>Worlds Team</v>
      </c>
    </row>
    <row r="28" spans="1:10" hidden="1" x14ac:dyDescent="0.2">
      <c r="A28" s="10"/>
      <c r="B28" s="10">
        <v>3</v>
      </c>
      <c r="C28" s="10" t="str">
        <f>IF(B4&gt;MAX('TUM-M'!A:A),"",INDEX('TUM-M'!B:B,MATCH(B4,'TUM-M'!A:A,0)))</f>
        <v/>
      </c>
      <c r="D28" s="88" t="str">
        <f>IF(B4&gt;MAX('TUM-M'!A:A),"",INDEX('TUM-M'!H:H,MATCH(B4,'TUM-M'!A:A,0)))</f>
        <v/>
      </c>
    </row>
    <row r="29" spans="1:10" hidden="1" x14ac:dyDescent="0.2">
      <c r="A29" s="10"/>
      <c r="B29" s="10">
        <v>4</v>
      </c>
      <c r="C29" s="10" t="str">
        <f>IF(B5&gt;MAX('TUM-M'!A:A),"",INDEX('TUM-M'!B:B,MATCH(B5,'TUM-M'!A:A,0)))</f>
        <v/>
      </c>
      <c r="D29" s="88" t="str">
        <f>IF(B5&gt;MAX('TUM-M'!A:A),"",INDEX('TUM-M'!H:H,MATCH(B5,'TUM-M'!A:A,0)))</f>
        <v/>
      </c>
    </row>
    <row r="30" spans="1:10" hidden="1" x14ac:dyDescent="0.2">
      <c r="A30" s="10"/>
      <c r="B30" s="10">
        <v>5</v>
      </c>
      <c r="C30" s="10" t="str">
        <f>IF(B6&gt;MAX('TUM-M'!A:A),"",INDEX('TUM-M'!B:B,MATCH(B6,'TUM-M'!A:A,0)))</f>
        <v/>
      </c>
      <c r="D30" s="88" t="str">
        <f>IF(B6&gt;MAX('TUM-M'!A:A),"",INDEX('TUM-M'!H:H,MATCH(B6,'TUM-M'!A:A,0)))</f>
        <v/>
      </c>
    </row>
    <row r="31" spans="1:10" hidden="1" x14ac:dyDescent="0.2">
      <c r="A31" s="10"/>
      <c r="B31" s="10">
        <v>6</v>
      </c>
      <c r="C31" s="10" t="str">
        <f>IF(B7&gt;MAX('TUM-M'!A:A),"",INDEX('TUM-M'!B:B,MATCH(B7,'TUM-M'!A:A,0)))</f>
        <v/>
      </c>
      <c r="D31" s="88" t="str">
        <f>IF(B7&gt;MAX('TUM-M'!A:A),"",INDEX('TUM-M'!H:H,MATCH(B7,'TUM-M'!A:A,0)))</f>
        <v/>
      </c>
    </row>
    <row r="32" spans="1:10" hidden="1" x14ac:dyDescent="0.2">
      <c r="A32" s="10"/>
      <c r="B32" s="10">
        <v>7</v>
      </c>
      <c r="C32" s="10" t="str">
        <f>IF(B8&gt;MAX('TUM-M'!A:A),"",INDEX('TUM-M'!B:B,MATCH(B8,'TUM-M'!A:A,0)))</f>
        <v/>
      </c>
      <c r="D32" s="88" t="str">
        <f>IF(B8&gt;MAX('TUM-M'!A:A),"",INDEX('TUM-M'!H:H,MATCH(B8,'TUM-M'!A:A,0)))</f>
        <v/>
      </c>
    </row>
    <row r="33" spans="1:4" hidden="1" x14ac:dyDescent="0.2">
      <c r="A33" s="10"/>
      <c r="B33" s="10">
        <v>8</v>
      </c>
      <c r="C33" s="10" t="str">
        <f>IF(B9&gt;MAX('TUM-M'!A:A),"",INDEX('TUM-M'!B:B,MATCH(B9,'TUM-M'!A:A,0)))</f>
        <v/>
      </c>
      <c r="D33" s="88" t="str">
        <f>IF(B9&gt;MAX('TUM-M'!A:A),"",INDEX('TUM-M'!H:H,MATCH(B9,'TUM-M'!A:A,0)))</f>
        <v/>
      </c>
    </row>
    <row r="34" spans="1:4" x14ac:dyDescent="0.2">
      <c r="A34" s="12" t="s">
        <v>52</v>
      </c>
      <c r="B34" s="12">
        <v>1</v>
      </c>
      <c r="C34" s="12" t="str">
        <f>IF(B2&gt;MAX('TUM-W'!A:A),"",INDEX('TUM-W'!B:B,MATCH(B2,'TUM-W'!A:A,0)))</f>
        <v>SUGRIM, Jordan</v>
      </c>
      <c r="D34" s="68" t="str">
        <f>IF(B2&gt;MAX('TUM-W'!A:A),"",INDEX('TUM-W'!H:H,MATCH(B2,'TUM-W'!A:A,0)))</f>
        <v>Excellence</v>
      </c>
    </row>
    <row r="35" spans="1:4" x14ac:dyDescent="0.2">
      <c r="A35" s="12"/>
      <c r="B35" s="12">
        <v>2</v>
      </c>
      <c r="C35" s="12" t="str">
        <f>IF(B3&gt;MAX('TUM-W'!A:A),"",INDEX('TUM-W'!B:B,MATCH(B3,'TUM-W'!A:A,0)))</f>
        <v>SIMINIUC, Alexandra</v>
      </c>
      <c r="D35" s="68" t="str">
        <f>IF(B3&gt;MAX('TUM-W'!A:A),"",INDEX('TUM-W'!H:H,MATCH(B3,'TUM-W'!A:A,0)))</f>
        <v>National Team</v>
      </c>
    </row>
    <row r="36" spans="1:4" x14ac:dyDescent="0.2">
      <c r="A36" s="12"/>
      <c r="B36" s="12">
        <v>3</v>
      </c>
      <c r="C36" s="12" t="str">
        <f>IF(B4&gt;MAX('TUM-W'!A:A),"",INDEX('TUM-W'!B:B,MATCH(B4,'TUM-W'!A:A,0)))</f>
        <v>PILLINGER, Taylor</v>
      </c>
      <c r="D36" s="68" t="str">
        <f>IF(B4&gt;MAX('TUM-W'!A:A),"",INDEX('TUM-W'!H:H,MATCH(B4,'TUM-W'!A:A,0)))</f>
        <v>No DD</v>
      </c>
    </row>
    <row r="37" spans="1:4" hidden="1" x14ac:dyDescent="0.2">
      <c r="A37" s="12"/>
      <c r="B37" s="12">
        <v>4</v>
      </c>
      <c r="C37" s="12" t="str">
        <f>IF(B5&gt;MAX('TUM-W'!A:A),"",INDEX('TUM-W'!B:B,MATCH(B5,'TUM-W'!A:A,0)))</f>
        <v/>
      </c>
      <c r="D37" s="68" t="str">
        <f>IF(B5&gt;MAX('TUM-W'!A:A),"",INDEX('TUM-W'!H:H,MATCH(B5,'TUM-W'!A:A,0)))</f>
        <v/>
      </c>
    </row>
    <row r="38" spans="1:4" hidden="1" x14ac:dyDescent="0.2">
      <c r="A38" s="12"/>
      <c r="B38" s="12">
        <v>5</v>
      </c>
      <c r="C38" s="12" t="str">
        <f>IF(B6&gt;MAX('TUM-W'!A:A),"",INDEX('TUM-W'!B:B,MATCH(B6,'TUM-W'!A:A,0)))</f>
        <v/>
      </c>
      <c r="D38" s="68" t="str">
        <f>IF(B6&gt;MAX('TUM-W'!A:A),"",INDEX('TUM-W'!H:H,MATCH(B6,'TUM-W'!A:A,0)))</f>
        <v/>
      </c>
    </row>
    <row r="39" spans="1:4" hidden="1" x14ac:dyDescent="0.2">
      <c r="A39" s="12"/>
      <c r="B39" s="12">
        <v>6</v>
      </c>
      <c r="C39" s="12" t="str">
        <f>IF(B7&gt;MAX('TUM-W'!A:A),"",INDEX('TUM-W'!B:B,MATCH(B7,'TUM-W'!A:A,0)))</f>
        <v/>
      </c>
      <c r="D39" s="68" t="str">
        <f>IF(B7&gt;MAX('TUM-W'!A:A),"",INDEX('TUM-W'!H:H,MATCH(B7,'TUM-W'!A:A,0)))</f>
        <v/>
      </c>
    </row>
    <row r="40" spans="1:4" hidden="1" x14ac:dyDescent="0.2">
      <c r="A40" s="12"/>
      <c r="B40" s="12">
        <v>7</v>
      </c>
      <c r="C40" s="12" t="str">
        <f>IF(B8&gt;MAX('TUM-W'!A:A),"",INDEX('TUM-W'!B:B,MATCH(B8,'TUM-W'!A:A,0)))</f>
        <v/>
      </c>
      <c r="D40" s="68" t="str">
        <f>IF(B8&gt;MAX('TUM-W'!A:A),"",INDEX('TUM-W'!H:H,MATCH(B8,'TUM-W'!A:A,0)))</f>
        <v/>
      </c>
    </row>
    <row r="41" spans="1:4" hidden="1" x14ac:dyDescent="0.2">
      <c r="A41" s="12"/>
      <c r="B41" s="12">
        <v>8</v>
      </c>
      <c r="C41" s="12" t="str">
        <f>IF(B9&gt;MAX('TUM-W'!A:A),"",INDEX('TUM-W'!B:B,MATCH(B9,'TUM-W'!A:A,0)))</f>
        <v/>
      </c>
      <c r="D41" s="68" t="str">
        <f>IF(B9&gt;MAX('TUM-W'!A:A),"",INDEX('TUM-W'!H:H,MATCH(B9,'TUM-W'!A:A,0)))</f>
        <v/>
      </c>
    </row>
    <row r="42" spans="1:4" x14ac:dyDescent="0.2">
      <c r="A42" s="10" t="s">
        <v>53</v>
      </c>
      <c r="B42" s="10">
        <v>1</v>
      </c>
      <c r="C42" s="10" t="str">
        <f>IF(B2&gt;MAX('DMT-M'!A:A),"",INDEX('DMT-M'!B:B,MATCH(B2,'DMT-M'!A:A,0)))</f>
        <v>DODD, Gavin</v>
      </c>
      <c r="D42" s="67" t="str">
        <f>IF(B2&gt;MAX('DMT-M'!A:A),"",INDEX('DMT-M'!H:H,MATCH(B2,'DMT-M'!A:A,0)))</f>
        <v>Excellence</v>
      </c>
    </row>
    <row r="43" spans="1:4" x14ac:dyDescent="0.2">
      <c r="A43" s="10"/>
      <c r="B43" s="10">
        <v>2</v>
      </c>
      <c r="C43" s="10" t="str">
        <f>IF(B3&gt;MAX('DMT-M'!A:A),"",INDEX('DMT-M'!B:B,MATCH(B3,'DMT-M'!A:A,0)))</f>
        <v>LUPISH, Kieran</v>
      </c>
      <c r="D43" s="88" t="str">
        <f>IF(B3&gt;MAX('DMT-M'!A:A),"",INDEX('DMT-M'!H:H,MATCH(B3,'DMT-M'!A:A,0)))</f>
        <v>Merit</v>
      </c>
    </row>
    <row r="44" spans="1:4" x14ac:dyDescent="0.2">
      <c r="A44" s="10"/>
      <c r="B44" s="10">
        <v>3</v>
      </c>
      <c r="C44" s="10" t="str">
        <f>IF(B4&gt;MAX('DMT-M'!A:A),"",INDEX('DMT-M'!B:B,MATCH(B4,'DMT-M'!A:A,0)))</f>
        <v>ARMSTRONG, Mark</v>
      </c>
      <c r="D44" s="88" t="str">
        <f>IF(B4&gt;MAX('DMT-M'!A:A),"",INDEX('DMT-M'!H:H,MATCH(B4,'DMT-M'!A:A,0)))</f>
        <v>Worlds Team</v>
      </c>
    </row>
    <row r="45" spans="1:4" x14ac:dyDescent="0.2">
      <c r="A45" s="10"/>
      <c r="B45" s="10">
        <v>4</v>
      </c>
      <c r="C45" s="10" t="str">
        <f>IF(B5&gt;MAX('DMT-M'!A:A),"",INDEX('DMT-M'!B:B,MATCH(B5,'DMT-M'!A:A,0)))</f>
        <v>PEDERSEN, Mitchel</v>
      </c>
      <c r="D45" s="88" t="str">
        <f>IF(B5&gt;MAX('DMT-M'!A:A),"",INDEX('DMT-M'!H:H,MATCH(B5,'DMT-M'!A:A,0)))</f>
        <v>National Team</v>
      </c>
    </row>
    <row r="46" spans="1:4" x14ac:dyDescent="0.2">
      <c r="A46" s="10"/>
      <c r="B46" s="10">
        <v>5</v>
      </c>
      <c r="C46" s="10" t="str">
        <f>IF(B6&gt;MAX('DMT-M'!A:A),"",INDEX('DMT-M'!B:B,MATCH(B6,'DMT-M'!A:A,0)))</f>
        <v>BRENNER, Adin</v>
      </c>
      <c r="D46" s="88" t="str">
        <f>IF(B6&gt;MAX('DMT-M'!A:A),"",INDEX('DMT-M'!H:H,MATCH(B6,'DMT-M'!A:A,0)))</f>
        <v>National Team</v>
      </c>
    </row>
    <row r="47" spans="1:4" hidden="1" x14ac:dyDescent="0.2">
      <c r="A47" s="10"/>
      <c r="B47" s="10">
        <v>6</v>
      </c>
      <c r="C47" s="10" t="str">
        <f>IF(B7&gt;MAX('DMT-M'!A:A),"",INDEX('DMT-M'!B:B,MATCH(B7,'DMT-M'!A:A,0)))</f>
        <v/>
      </c>
      <c r="D47" s="88" t="str">
        <f>IF(B7&gt;MAX('DMT-M'!A:A),"",INDEX('DMT-M'!H:H,MATCH(B7,'DMT-M'!A:A,0)))</f>
        <v/>
      </c>
    </row>
    <row r="48" spans="1:4" hidden="1" x14ac:dyDescent="0.2">
      <c r="A48" s="10"/>
      <c r="B48" s="10">
        <v>7</v>
      </c>
      <c r="C48" s="10" t="str">
        <f>IF(B8&gt;MAX('DMT-M'!A:A),"",INDEX('DMT-M'!B:B,MATCH(B8,'DMT-M'!A:A,0)))</f>
        <v/>
      </c>
      <c r="D48" s="88" t="str">
        <f>IF(B8&gt;MAX('DMT-M'!A:A),"",INDEX('DMT-M'!H:H,MATCH(B8,'DMT-M'!A:A,0)))</f>
        <v/>
      </c>
    </row>
    <row r="49" spans="1:5" hidden="1" x14ac:dyDescent="0.2">
      <c r="A49" s="10"/>
      <c r="B49" s="10">
        <v>8</v>
      </c>
      <c r="C49" s="10" t="str">
        <f>IF(B9&gt;MAX('DMT-M'!A:A),"",INDEX('DMT-M'!B:B,MATCH(B9,'DMT-M'!A:A,0)))</f>
        <v/>
      </c>
      <c r="D49" s="88" t="str">
        <f>IF(B9&gt;MAX('DMT-M'!A:A),"",INDEX('DMT-M'!H:H,MATCH(B9,'DMT-M'!A:A,0)))</f>
        <v/>
      </c>
    </row>
    <row r="50" spans="1:5" x14ac:dyDescent="0.2">
      <c r="A50" s="12" t="s">
        <v>54</v>
      </c>
      <c r="B50" s="12">
        <v>1</v>
      </c>
      <c r="C50" s="12" t="str">
        <f>IF(B2&gt;MAX('DMT-W'!A:A),"",INDEX('DMT-W'!B:B,MATCH(B2,'DMT-W'!A:A,0)))</f>
        <v>FLYNN, Gabby</v>
      </c>
      <c r="D50" s="68" t="str">
        <f>IF(B2&gt;MAX('DMT-W'!A:A),"",INDEX('DMT-W'!H:H,MATCH(B2,'DMT-W'!A:A,0)))</f>
        <v>Excellence</v>
      </c>
    </row>
    <row r="51" spans="1:5" x14ac:dyDescent="0.2">
      <c r="A51" s="12"/>
      <c r="B51" s="12">
        <v>2</v>
      </c>
      <c r="C51" s="12" t="str">
        <f>IF(B3&gt;MAX('DMT-W'!A:A),"",INDEX('DMT-W'!B:B,MATCH(B3,'DMT-W'!A:A,0)))</f>
        <v>METHERAL, Hannah</v>
      </c>
      <c r="D51" s="95" t="str">
        <f>IF(B3&gt;MAX('DMT-W'!A:A),"",INDEX('DMT-W'!H:H,MATCH(B3,'DMT-W'!A:A,0)))</f>
        <v>Worlds Team</v>
      </c>
    </row>
    <row r="52" spans="1:5" x14ac:dyDescent="0.2">
      <c r="A52" s="12"/>
      <c r="B52" s="12">
        <v>3</v>
      </c>
      <c r="C52" s="12" t="str">
        <f>IF(B4&gt;MAX('DMT-W'!A:A),"",INDEX('DMT-W'!B:B,MATCH(B4,'DMT-W'!A:A,0)))</f>
        <v>BROWN, Hannah</v>
      </c>
      <c r="D52" s="95" t="str">
        <f>IF(B4&gt;MAX('DMT-W'!A:A),"",INDEX('DMT-W'!H:H,MATCH(B4,'DMT-W'!A:A,0)))</f>
        <v>Worlds Team</v>
      </c>
    </row>
    <row r="53" spans="1:5" x14ac:dyDescent="0.2">
      <c r="A53" s="12"/>
      <c r="B53" s="12">
        <v>4</v>
      </c>
      <c r="C53" s="12" t="str">
        <f>IF(B5&gt;MAX('DMT-W'!A:A),"",INDEX('DMT-W'!B:B,MATCH(B5,'DMT-W'!A:A,0)))</f>
        <v>PHANEUF, Zoe</v>
      </c>
      <c r="D53" s="95" t="str">
        <f>IF(B5&gt;MAX('DMT-W'!A:A),"",INDEX('DMT-W'!H:H,MATCH(B5,'DMT-W'!A:A,0)))</f>
        <v>Worlds Team</v>
      </c>
    </row>
    <row r="54" spans="1:5" x14ac:dyDescent="0.2">
      <c r="A54" s="12"/>
      <c r="B54" s="12">
        <v>5</v>
      </c>
      <c r="C54" s="12" t="str">
        <f>IF(B6&gt;MAX('DMT-W'!A:A),"",INDEX('DMT-W'!B:B,MATCH(B6,'DMT-W'!A:A,0)))</f>
        <v>DODD, Kristina</v>
      </c>
      <c r="D54" s="95" t="str">
        <f>IF(B6&gt;MAX('DMT-W'!A:A),"",INDEX('DMT-W'!H:H,MATCH(B6,'DMT-W'!A:A,0)))</f>
        <v>Worlds Team</v>
      </c>
    </row>
    <row r="55" spans="1:5" x14ac:dyDescent="0.2">
      <c r="A55" s="12"/>
      <c r="B55" s="12">
        <v>6</v>
      </c>
      <c r="C55" s="12" t="str">
        <f>IF(B7&gt;MAX('DMT-W'!A:A),"",INDEX('DMT-W'!B:B,MATCH(B7,'DMT-W'!A:A,0)))</f>
        <v>SOEHN, Kalena</v>
      </c>
      <c r="D55" s="95" t="str">
        <f>IF(B7&gt;MAX('DMT-W'!A:A),"",INDEX('DMT-W'!H:H,MATCH(B7,'DMT-W'!A:A,0)))</f>
        <v>National Team</v>
      </c>
    </row>
    <row r="56" spans="1:5" x14ac:dyDescent="0.2">
      <c r="A56" s="12"/>
      <c r="B56" s="12">
        <v>7</v>
      </c>
      <c r="C56" s="12" t="str">
        <f>IF(B8&gt;MAX('DMT-W'!A:A),"",INDEX('DMT-W'!B:B,MATCH(B8,'DMT-W'!A:A,0)))</f>
        <v>BODNAR, Cassidy</v>
      </c>
      <c r="D56" s="95" t="str">
        <f>IF(B8&gt;MAX('DMT-W'!A:A),"",INDEX('DMT-W'!H:H,MATCH(B8,'DMT-W'!A:A,0)))</f>
        <v>National Team</v>
      </c>
    </row>
    <row r="57" spans="1:5" x14ac:dyDescent="0.2">
      <c r="A57" s="12"/>
      <c r="B57" s="12">
        <v>8</v>
      </c>
      <c r="C57" s="12" t="str">
        <f>IF(B9&gt;MAX('DMT-W'!A:A),"",INDEX('DMT-W'!B:B,MATCH(B9,'DMT-W'!A:A,0)))</f>
        <v>HOWELL, Kayla</v>
      </c>
      <c r="D57" s="95" t="str">
        <f>IF(B9&gt;MAX('DMT-W'!A:A),"",INDEX('DMT-W'!H:H,MATCH(B9,'DMT-W'!A:A,0)))</f>
        <v>National Team</v>
      </c>
    </row>
    <row r="58" spans="1:5" x14ac:dyDescent="0.2">
      <c r="D58" s="70"/>
    </row>
    <row r="59" spans="1:5" x14ac:dyDescent="0.2">
      <c r="B59" s="31" t="s">
        <v>42</v>
      </c>
    </row>
    <row r="60" spans="1:5" x14ac:dyDescent="0.2">
      <c r="B60" s="31" t="s">
        <v>40</v>
      </c>
    </row>
    <row r="61" spans="1:5" x14ac:dyDescent="0.2">
      <c r="B61" s="31" t="s">
        <v>41</v>
      </c>
    </row>
    <row r="62" spans="1:5" x14ac:dyDescent="0.2">
      <c r="B62" s="17" t="s">
        <v>66</v>
      </c>
      <c r="D62" s="31" t="s">
        <v>64</v>
      </c>
    </row>
    <row r="63" spans="1:5" x14ac:dyDescent="0.2">
      <c r="B63" s="17" t="s">
        <v>77</v>
      </c>
      <c r="D63" s="31" t="s">
        <v>64</v>
      </c>
      <c r="E63" t="s">
        <v>64</v>
      </c>
    </row>
    <row r="64" spans="1:5" x14ac:dyDescent="0.2">
      <c r="B64" s="31" t="s">
        <v>65</v>
      </c>
      <c r="D64" s="31"/>
    </row>
    <row r="65" spans="1:4" x14ac:dyDescent="0.2">
      <c r="B65" s="31" t="s">
        <v>78</v>
      </c>
      <c r="D65" s="31"/>
    </row>
    <row r="66" spans="1:4" x14ac:dyDescent="0.2">
      <c r="A66" t="s">
        <v>47</v>
      </c>
      <c r="B66" s="110">
        <v>44699</v>
      </c>
      <c r="C66" s="110"/>
    </row>
    <row r="67" spans="1:4" x14ac:dyDescent="0.2">
      <c r="B67" s="59" t="s">
        <v>176</v>
      </c>
    </row>
    <row r="68" spans="1:4" x14ac:dyDescent="0.2">
      <c r="B68" s="59"/>
    </row>
    <row r="69" spans="1:4" x14ac:dyDescent="0.2">
      <c r="B69" s="31"/>
    </row>
    <row r="70" spans="1:4" x14ac:dyDescent="0.2">
      <c r="B70" s="31"/>
    </row>
    <row r="71" spans="1:4" x14ac:dyDescent="0.2">
      <c r="B71" s="31"/>
    </row>
  </sheetData>
  <sheetProtection formatCells="0" formatColumns="0" formatRows="0"/>
  <mergeCells count="1">
    <mergeCell ref="B66:C66"/>
  </mergeCells>
  <conditionalFormatting sqref="D2:D57">
    <cfRule type="containsText" dxfId="760" priority="1" operator="containsText" text="No DD">
      <formula>NOT(ISERROR(SEARCH("No DD",D2)))</formula>
    </cfRule>
    <cfRule type="containsText" dxfId="759" priority="4" operator="containsText" text="Merit">
      <formula>NOT(ISERROR(SEARCH("Merit",D2)))</formula>
    </cfRule>
    <cfRule type="containsText" dxfId="758" priority="5" operator="containsText" text="Excellence">
      <formula>NOT(ISERROR(SEARCH("Excellence",D2)))</formula>
    </cfRule>
    <cfRule type="containsText" dxfId="757" priority="6" operator="containsText" text="Worlds Team">
      <formula>NOT(ISERROR(SEARCH("Worlds Team",D2)))</formula>
    </cfRule>
    <cfRule type="containsText" dxfId="756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70" customWidth="1"/>
    <col min="52" max="67" width="10.83203125" hidden="1" customWidth="1"/>
    <col min="68" max="78" width="10.83203125" style="70" customWidth="1"/>
    <col min="79" max="94" width="10.83203125" hidden="1" customWidth="1"/>
    <col min="95" max="105" width="10.83203125" style="70" customWidth="1"/>
    <col min="106" max="107" width="12.83203125" style="70" customWidth="1"/>
    <col min="108" max="127" width="10.83203125" hidden="1" customWidth="1"/>
    <col min="128" max="140" width="10.83203125" customWidth="1"/>
    <col min="141" max="141" width="10.83203125" style="70" customWidth="1"/>
    <col min="142" max="161" width="10.83203125" hidden="1" customWidth="1"/>
    <col min="162" max="174" width="10.83203125" customWidth="1"/>
    <col min="175" max="175" width="10.83203125" style="70" customWidth="1"/>
    <col min="176" max="195" width="10.83203125" hidden="1" customWidth="1"/>
    <col min="196" max="208" width="10.83203125" customWidth="1"/>
    <col min="209" max="209" width="10.83203125" style="70" customWidth="1"/>
    <col min="210" max="229" width="10.83203125" hidden="1" customWidth="1"/>
    <col min="230" max="242" width="10.83203125" customWidth="1"/>
    <col min="243" max="243" width="10.83203125" style="70" customWidth="1"/>
    <col min="244" max="276" width="10.83203125" hidden="1" customWidth="1"/>
    <col min="277" max="277" width="10.83203125" style="70" hidden="1" customWidth="1"/>
    <col min="278" max="542" width="10.83203125" hidden="1" customWidth="1"/>
  </cols>
  <sheetData>
    <row r="1" spans="1:542" x14ac:dyDescent="0.2">
      <c r="A1" s="117" t="s">
        <v>1</v>
      </c>
      <c r="B1" s="117" t="s">
        <v>32</v>
      </c>
      <c r="C1" s="117" t="s">
        <v>0</v>
      </c>
      <c r="D1" s="117" t="s">
        <v>63</v>
      </c>
      <c r="E1" s="117" t="s">
        <v>2</v>
      </c>
      <c r="F1" s="119" t="s">
        <v>69</v>
      </c>
      <c r="G1" s="117" t="s">
        <v>12</v>
      </c>
      <c r="H1" s="117" t="s">
        <v>13</v>
      </c>
      <c r="I1" s="117" t="s">
        <v>96</v>
      </c>
      <c r="J1" s="118" t="s">
        <v>131</v>
      </c>
      <c r="K1" s="116" t="s">
        <v>37</v>
      </c>
      <c r="L1" s="118" t="s">
        <v>132</v>
      </c>
      <c r="M1" s="116" t="s">
        <v>37</v>
      </c>
      <c r="N1" s="118" t="s">
        <v>160</v>
      </c>
      <c r="O1" s="116" t="s">
        <v>37</v>
      </c>
      <c r="P1" s="116" t="s">
        <v>14</v>
      </c>
      <c r="Q1" s="116" t="s">
        <v>37</v>
      </c>
      <c r="R1" s="116" t="s">
        <v>133</v>
      </c>
      <c r="S1" s="116" t="s">
        <v>37</v>
      </c>
      <c r="T1" s="118" t="s">
        <v>134</v>
      </c>
      <c r="U1" s="116" t="s">
        <v>37</v>
      </c>
      <c r="V1" s="120" t="s">
        <v>15</v>
      </c>
      <c r="W1" s="116" t="s">
        <v>38</v>
      </c>
      <c r="X1" s="116" t="s">
        <v>37</v>
      </c>
      <c r="Y1" s="113" t="s">
        <v>104</v>
      </c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4" t="s">
        <v>111</v>
      </c>
      <c r="BA1" s="114"/>
      <c r="BB1" s="114"/>
      <c r="BC1" s="114"/>
      <c r="BD1" s="114"/>
      <c r="BE1" s="114"/>
      <c r="BF1" s="114"/>
      <c r="BG1" s="114"/>
      <c r="BH1" s="114"/>
      <c r="BI1" s="114"/>
      <c r="BJ1" s="114"/>
      <c r="BK1" s="114"/>
      <c r="BL1" s="114"/>
      <c r="BM1" s="114"/>
      <c r="BN1" s="114"/>
      <c r="BO1" s="114"/>
      <c r="BP1" s="114"/>
      <c r="BQ1" s="114"/>
      <c r="BR1" s="114"/>
      <c r="BS1" s="114"/>
      <c r="BT1" s="114"/>
      <c r="BU1" s="114"/>
      <c r="BV1" s="114"/>
      <c r="BW1" s="114"/>
      <c r="BX1" s="114"/>
      <c r="BY1" s="114"/>
      <c r="BZ1" s="114"/>
      <c r="CA1" s="113" t="s">
        <v>146</v>
      </c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  <c r="CY1" s="113"/>
      <c r="CZ1" s="113"/>
      <c r="DA1" s="113"/>
      <c r="DB1" s="115" t="s">
        <v>15</v>
      </c>
      <c r="DC1" s="115"/>
      <c r="DD1" s="113" t="s">
        <v>110</v>
      </c>
      <c r="DE1" s="113"/>
      <c r="DF1" s="113"/>
      <c r="DG1" s="113"/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3"/>
      <c r="EH1" s="113"/>
      <c r="EI1" s="113"/>
      <c r="EJ1" s="113"/>
      <c r="EK1" s="113"/>
      <c r="EL1" s="114" t="s">
        <v>114</v>
      </c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4"/>
      <c r="EX1" s="114"/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4"/>
      <c r="FJ1" s="114"/>
      <c r="FK1" s="114"/>
      <c r="FL1" s="114"/>
      <c r="FM1" s="114"/>
      <c r="FN1" s="114"/>
      <c r="FO1" s="114"/>
      <c r="FP1" s="114"/>
      <c r="FQ1" s="114"/>
      <c r="FR1" s="114"/>
      <c r="FS1" s="114"/>
      <c r="FT1" s="113" t="s">
        <v>125</v>
      </c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3"/>
      <c r="GG1" s="113"/>
      <c r="GH1" s="113"/>
      <c r="GI1" s="113"/>
      <c r="GJ1" s="113"/>
      <c r="GK1" s="113"/>
      <c r="GL1" s="113"/>
      <c r="GM1" s="113"/>
      <c r="GN1" s="113"/>
      <c r="GO1" s="113"/>
      <c r="GP1" s="113"/>
      <c r="GQ1" s="113"/>
      <c r="GR1" s="113"/>
      <c r="GS1" s="113"/>
      <c r="GT1" s="113"/>
      <c r="GU1" s="113"/>
      <c r="GV1" s="113"/>
      <c r="GW1" s="113"/>
      <c r="GX1" s="113"/>
      <c r="GY1" s="113"/>
      <c r="GZ1" s="113"/>
      <c r="HA1" s="113"/>
      <c r="HB1" s="114" t="s">
        <v>130</v>
      </c>
      <c r="HC1" s="114"/>
      <c r="HD1" s="114"/>
      <c r="HE1" s="114"/>
      <c r="HF1" s="114"/>
      <c r="HG1" s="114"/>
      <c r="HH1" s="114"/>
      <c r="HI1" s="114"/>
      <c r="HJ1" s="114"/>
      <c r="HK1" s="114"/>
      <c r="HL1" s="114"/>
      <c r="HM1" s="114"/>
      <c r="HN1" s="114"/>
      <c r="HO1" s="114"/>
      <c r="HP1" s="114"/>
      <c r="HQ1" s="114"/>
      <c r="HR1" s="114"/>
      <c r="HS1" s="114"/>
      <c r="HT1" s="114"/>
      <c r="HU1" s="114"/>
      <c r="HV1" s="114"/>
      <c r="HW1" s="114"/>
      <c r="HX1" s="114"/>
      <c r="HY1" s="114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3"/>
      <c r="IK1" s="113"/>
      <c r="IL1" s="113"/>
      <c r="IM1" s="113"/>
      <c r="IN1" s="113"/>
      <c r="IO1" s="113"/>
      <c r="IP1" s="113"/>
      <c r="IQ1" s="113"/>
      <c r="IR1" s="113"/>
      <c r="IS1" s="113"/>
      <c r="IT1" s="113"/>
      <c r="IU1" s="113"/>
      <c r="IV1" s="113"/>
      <c r="IW1" s="113"/>
      <c r="IX1" s="113"/>
      <c r="IY1" s="113"/>
      <c r="IZ1" s="113"/>
      <c r="JA1" s="113"/>
      <c r="JB1" s="113"/>
      <c r="JC1" s="113"/>
      <c r="JD1" s="113"/>
      <c r="JE1" s="113"/>
      <c r="JF1" s="113"/>
      <c r="JG1" s="113"/>
      <c r="JH1" s="113"/>
      <c r="JI1" s="113"/>
      <c r="JJ1" s="113"/>
      <c r="JK1" s="113"/>
      <c r="JL1" s="113"/>
      <c r="JM1" s="113"/>
      <c r="JN1" s="113"/>
      <c r="JO1" s="113"/>
      <c r="JP1" s="113"/>
      <c r="JQ1" s="113"/>
      <c r="JR1" s="114"/>
      <c r="JS1" s="114"/>
      <c r="JT1" s="114"/>
      <c r="JU1" s="114"/>
      <c r="JV1" s="114"/>
      <c r="JW1" s="114"/>
      <c r="JX1" s="114"/>
      <c r="JY1" s="114"/>
      <c r="JZ1" s="114"/>
      <c r="KA1" s="114"/>
      <c r="KB1" s="114"/>
      <c r="KC1" s="114"/>
      <c r="KD1" s="114"/>
      <c r="KE1" s="114"/>
      <c r="KF1" s="114"/>
      <c r="KG1" s="114"/>
      <c r="KH1" s="114"/>
      <c r="KI1" s="114"/>
      <c r="KJ1" s="114"/>
      <c r="KK1" s="114"/>
      <c r="KL1" s="114"/>
      <c r="KM1" s="114"/>
      <c r="KN1" s="114"/>
      <c r="KO1" s="114"/>
      <c r="KP1" s="114"/>
      <c r="KQ1" s="114"/>
      <c r="KR1" s="114"/>
      <c r="KS1" s="114"/>
      <c r="KT1" s="114"/>
      <c r="KU1" s="114"/>
      <c r="KV1" s="114"/>
      <c r="KW1" s="114"/>
      <c r="KX1" s="114"/>
      <c r="KY1" s="114"/>
      <c r="KZ1" s="113"/>
      <c r="LA1" s="113"/>
      <c r="LB1" s="113"/>
      <c r="LC1" s="113"/>
      <c r="LD1" s="113"/>
      <c r="LE1" s="113"/>
      <c r="LF1" s="113"/>
      <c r="LG1" s="113"/>
      <c r="LH1" s="113"/>
      <c r="LI1" s="113"/>
      <c r="LJ1" s="113"/>
      <c r="LK1" s="113"/>
      <c r="LL1" s="113"/>
      <c r="LM1" s="113"/>
      <c r="LN1" s="113"/>
      <c r="LO1" s="113"/>
      <c r="LP1" s="113"/>
      <c r="LQ1" s="113"/>
      <c r="LR1" s="113"/>
      <c r="LS1" s="113"/>
      <c r="LT1" s="113"/>
      <c r="LU1" s="113"/>
      <c r="LV1" s="113"/>
      <c r="LW1" s="113"/>
      <c r="LX1" s="113"/>
      <c r="LY1" s="113"/>
      <c r="LZ1" s="113"/>
      <c r="MA1" s="113"/>
      <c r="MB1" s="113"/>
      <c r="MC1" s="113"/>
      <c r="MD1" s="113"/>
      <c r="ME1" s="113"/>
      <c r="MF1" s="113"/>
      <c r="MG1" s="113"/>
      <c r="MH1" s="114"/>
      <c r="MI1" s="114"/>
      <c r="MJ1" s="114"/>
      <c r="MK1" s="114"/>
      <c r="ML1" s="114"/>
      <c r="MM1" s="114"/>
      <c r="MN1" s="114"/>
      <c r="MO1" s="114"/>
      <c r="MP1" s="114"/>
      <c r="MQ1" s="114"/>
      <c r="MR1" s="114"/>
      <c r="MS1" s="114"/>
      <c r="MT1" s="114"/>
      <c r="MU1" s="114"/>
      <c r="MV1" s="114"/>
      <c r="MW1" s="114"/>
      <c r="MX1" s="114"/>
      <c r="MY1" s="114"/>
      <c r="MZ1" s="114"/>
      <c r="NA1" s="114"/>
      <c r="NB1" s="114"/>
      <c r="NC1" s="114"/>
      <c r="ND1" s="114"/>
      <c r="NE1" s="114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3"/>
      <c r="NQ1" s="113"/>
      <c r="NR1" s="113"/>
      <c r="NS1" s="113"/>
      <c r="NT1" s="113"/>
      <c r="NU1" s="113"/>
      <c r="NV1" s="113"/>
      <c r="NW1" s="113"/>
      <c r="NX1" s="113"/>
      <c r="NY1" s="113"/>
      <c r="NZ1" s="113"/>
      <c r="OA1" s="113"/>
      <c r="OB1" s="113"/>
      <c r="OC1" s="113"/>
      <c r="OD1" s="113"/>
      <c r="OE1" s="113"/>
      <c r="OF1" s="113"/>
      <c r="OG1" s="113"/>
      <c r="OH1" s="113"/>
      <c r="OI1" s="113"/>
      <c r="OJ1" s="113"/>
      <c r="OK1" s="113"/>
      <c r="OL1" s="113"/>
      <c r="OM1" s="113"/>
      <c r="ON1" s="113"/>
      <c r="OO1" s="113"/>
      <c r="OP1" s="113"/>
      <c r="OQ1" s="113"/>
      <c r="OR1" s="113"/>
      <c r="OS1" s="113"/>
      <c r="OT1" s="113"/>
      <c r="OU1" s="113"/>
      <c r="OV1" s="113"/>
      <c r="OW1" s="113"/>
      <c r="OX1" s="114"/>
      <c r="OY1" s="114"/>
      <c r="OZ1" s="114"/>
      <c r="PA1" s="114"/>
      <c r="PB1" s="114"/>
      <c r="PC1" s="114"/>
      <c r="PD1" s="114"/>
      <c r="PE1" s="114"/>
      <c r="PF1" s="114"/>
      <c r="PG1" s="114"/>
      <c r="PH1" s="114"/>
      <c r="PI1" s="114"/>
      <c r="PJ1" s="114"/>
      <c r="PK1" s="114"/>
      <c r="PL1" s="114"/>
      <c r="PM1" s="114"/>
      <c r="PN1" s="114"/>
      <c r="PO1" s="114"/>
      <c r="PP1" s="114"/>
      <c r="PQ1" s="114"/>
      <c r="PR1" s="114"/>
      <c r="PS1" s="114"/>
      <c r="PT1" s="114"/>
      <c r="PU1" s="114"/>
      <c r="PV1" s="114"/>
      <c r="PW1" s="114"/>
      <c r="PX1" s="114"/>
      <c r="PY1" s="114"/>
      <c r="PZ1" s="114"/>
      <c r="QA1" s="114"/>
      <c r="QB1" s="114"/>
      <c r="QC1" s="114"/>
      <c r="QD1" s="114"/>
      <c r="QE1" s="114"/>
      <c r="QF1" s="113"/>
      <c r="QG1" s="113"/>
      <c r="QH1" s="113"/>
      <c r="QI1" s="113"/>
      <c r="QJ1" s="113"/>
      <c r="QK1" s="113"/>
      <c r="QL1" s="113"/>
      <c r="QM1" s="113"/>
      <c r="QN1" s="113"/>
      <c r="QO1" s="113"/>
      <c r="QP1" s="113"/>
      <c r="QQ1" s="113"/>
      <c r="QR1" s="113"/>
      <c r="QS1" s="113"/>
      <c r="QT1" s="113"/>
      <c r="QU1" s="113"/>
      <c r="QV1" s="113"/>
      <c r="QW1" s="113"/>
      <c r="QX1" s="113"/>
      <c r="QY1" s="113"/>
      <c r="QZ1" s="113"/>
      <c r="RA1" s="113"/>
      <c r="RB1" s="113"/>
      <c r="RC1" s="113"/>
      <c r="RD1" s="113"/>
      <c r="RE1" s="113"/>
      <c r="RF1" s="113"/>
      <c r="RG1" s="113"/>
      <c r="RH1" s="113"/>
      <c r="RI1" s="113"/>
      <c r="RJ1" s="113"/>
      <c r="RK1" s="113"/>
      <c r="RL1" s="113"/>
      <c r="RM1" s="113"/>
      <c r="RN1" s="114"/>
      <c r="RO1" s="114"/>
      <c r="RP1" s="114"/>
      <c r="RQ1" s="114"/>
      <c r="RR1" s="114"/>
      <c r="RS1" s="114"/>
      <c r="RT1" s="114"/>
      <c r="RU1" s="114"/>
      <c r="RV1" s="114"/>
      <c r="RW1" s="114"/>
      <c r="RX1" s="114"/>
      <c r="RY1" s="114"/>
      <c r="RZ1" s="114"/>
      <c r="SA1" s="114"/>
      <c r="SB1" s="114"/>
      <c r="SC1" s="114"/>
      <c r="SD1" s="114"/>
      <c r="SE1" s="114"/>
      <c r="SF1" s="114"/>
      <c r="SG1" s="114"/>
      <c r="SH1" s="114"/>
      <c r="SI1" s="114"/>
      <c r="SJ1" s="114"/>
      <c r="SK1" s="114"/>
      <c r="SL1" s="114"/>
      <c r="SM1" s="114"/>
      <c r="SN1" s="114"/>
      <c r="SO1" s="114"/>
      <c r="SP1" s="114"/>
      <c r="SQ1" s="114"/>
      <c r="SR1" s="114"/>
      <c r="SS1" s="114"/>
      <c r="ST1" s="114"/>
      <c r="SU1" s="114"/>
      <c r="SV1" s="113" t="s">
        <v>72</v>
      </c>
      <c r="SW1" s="113"/>
      <c r="SX1" s="113"/>
      <c r="SY1" s="113"/>
      <c r="SZ1" s="113"/>
      <c r="TA1" s="113"/>
      <c r="TB1" s="113"/>
      <c r="TC1" s="113"/>
      <c r="TD1" s="113"/>
      <c r="TE1" s="113"/>
      <c r="TF1" s="113"/>
      <c r="TG1" s="113"/>
      <c r="TH1" s="113"/>
      <c r="TI1" s="113"/>
      <c r="TJ1" s="113"/>
      <c r="TK1" s="113"/>
      <c r="TL1" s="113"/>
      <c r="TM1" s="113"/>
      <c r="TN1" s="113"/>
      <c r="TO1" s="113"/>
      <c r="TP1" s="113"/>
      <c r="TQ1" s="113"/>
      <c r="TR1" s="113"/>
      <c r="TS1" s="113"/>
      <c r="TT1" s="113"/>
      <c r="TU1" s="113"/>
      <c r="TV1" s="113"/>
    </row>
    <row r="2" spans="1:542" x14ac:dyDescent="0.2">
      <c r="A2" s="117"/>
      <c r="B2" s="117"/>
      <c r="C2" s="117"/>
      <c r="D2" s="117"/>
      <c r="E2" s="117"/>
      <c r="F2" s="119"/>
      <c r="G2" s="117"/>
      <c r="H2" s="117"/>
      <c r="I2" s="117"/>
      <c r="J2" s="118"/>
      <c r="K2" s="116"/>
      <c r="L2" s="118"/>
      <c r="M2" s="116"/>
      <c r="N2" s="118"/>
      <c r="O2" s="116"/>
      <c r="P2" s="116"/>
      <c r="Q2" s="116"/>
      <c r="R2" s="116"/>
      <c r="S2" s="116"/>
      <c r="T2" s="118"/>
      <c r="U2" s="116"/>
      <c r="V2" s="120"/>
      <c r="W2" s="116"/>
      <c r="X2" s="116"/>
      <c r="Y2" s="111" t="s">
        <v>20</v>
      </c>
      <c r="Z2" s="111"/>
      <c r="AA2" s="111"/>
      <c r="AB2" s="111"/>
      <c r="AC2" s="111"/>
      <c r="AD2" s="111" t="s">
        <v>21</v>
      </c>
      <c r="AE2" s="111"/>
      <c r="AF2" s="111"/>
      <c r="AG2" s="111"/>
      <c r="AH2" s="111"/>
      <c r="AI2" s="111" t="s">
        <v>24</v>
      </c>
      <c r="AJ2" s="111"/>
      <c r="AK2" s="111"/>
      <c r="AL2" s="111"/>
      <c r="AM2" s="111"/>
      <c r="AN2" s="48"/>
      <c r="AO2" s="73" t="s">
        <v>135</v>
      </c>
      <c r="AP2" s="73" t="s">
        <v>136</v>
      </c>
      <c r="AQ2" s="73" t="s">
        <v>22</v>
      </c>
      <c r="AR2" s="73" t="s">
        <v>87</v>
      </c>
      <c r="AS2" s="73" t="s">
        <v>137</v>
      </c>
      <c r="AT2" s="73" t="s">
        <v>23</v>
      </c>
      <c r="AU2" s="73" t="s">
        <v>25</v>
      </c>
      <c r="AV2" s="73" t="s">
        <v>138</v>
      </c>
      <c r="AW2" s="73" t="s">
        <v>139</v>
      </c>
      <c r="AX2" s="73" t="s">
        <v>24</v>
      </c>
      <c r="AY2" s="73" t="s">
        <v>19</v>
      </c>
      <c r="AZ2" s="112" t="s">
        <v>20</v>
      </c>
      <c r="BA2" s="112"/>
      <c r="BB2" s="112"/>
      <c r="BC2" s="112"/>
      <c r="BD2" s="112"/>
      <c r="BE2" s="112" t="s">
        <v>21</v>
      </c>
      <c r="BF2" s="112"/>
      <c r="BG2" s="112"/>
      <c r="BH2" s="112"/>
      <c r="BI2" s="112"/>
      <c r="BJ2" s="112" t="s">
        <v>24</v>
      </c>
      <c r="BK2" s="112"/>
      <c r="BL2" s="112"/>
      <c r="BM2" s="112"/>
      <c r="BN2" s="112"/>
      <c r="BO2" s="47"/>
      <c r="BP2" s="72" t="s">
        <v>135</v>
      </c>
      <c r="BQ2" s="72" t="s">
        <v>136</v>
      </c>
      <c r="BR2" s="72" t="s">
        <v>22</v>
      </c>
      <c r="BS2" s="72" t="s">
        <v>87</v>
      </c>
      <c r="BT2" s="72" t="s">
        <v>137</v>
      </c>
      <c r="BU2" s="72" t="s">
        <v>23</v>
      </c>
      <c r="BV2" s="72" t="s">
        <v>25</v>
      </c>
      <c r="BW2" s="72" t="s">
        <v>138</v>
      </c>
      <c r="BX2" s="72" t="s">
        <v>139</v>
      </c>
      <c r="BY2" s="72" t="s">
        <v>24</v>
      </c>
      <c r="BZ2" s="72" t="s">
        <v>19</v>
      </c>
      <c r="CA2" s="111" t="s">
        <v>20</v>
      </c>
      <c r="CB2" s="111"/>
      <c r="CC2" s="111"/>
      <c r="CD2" s="111"/>
      <c r="CE2" s="111"/>
      <c r="CF2" s="111" t="s">
        <v>21</v>
      </c>
      <c r="CG2" s="111"/>
      <c r="CH2" s="111"/>
      <c r="CI2" s="111"/>
      <c r="CJ2" s="111"/>
      <c r="CK2" s="111" t="s">
        <v>24</v>
      </c>
      <c r="CL2" s="111"/>
      <c r="CM2" s="111"/>
      <c r="CN2" s="111"/>
      <c r="CO2" s="111"/>
      <c r="CP2" s="60"/>
      <c r="CQ2" s="73" t="s">
        <v>135</v>
      </c>
      <c r="CR2" s="73" t="s">
        <v>136</v>
      </c>
      <c r="CS2" s="73" t="s">
        <v>22</v>
      </c>
      <c r="CT2" s="73" t="s">
        <v>87</v>
      </c>
      <c r="CU2" s="73" t="s">
        <v>137</v>
      </c>
      <c r="CV2" s="73" t="s">
        <v>23</v>
      </c>
      <c r="CW2" s="73" t="s">
        <v>25</v>
      </c>
      <c r="CX2" s="73" t="s">
        <v>138</v>
      </c>
      <c r="CY2" s="73" t="s">
        <v>139</v>
      </c>
      <c r="CZ2" s="73" t="s">
        <v>24</v>
      </c>
      <c r="DA2" s="73" t="s">
        <v>19</v>
      </c>
      <c r="DB2" s="86" t="s">
        <v>25</v>
      </c>
      <c r="DC2" s="86" t="s">
        <v>24</v>
      </c>
      <c r="DD2" s="111" t="s">
        <v>20</v>
      </c>
      <c r="DE2" s="111"/>
      <c r="DF2" s="111"/>
      <c r="DG2" s="111"/>
      <c r="DH2" s="111"/>
      <c r="DI2" s="111" t="s">
        <v>21</v>
      </c>
      <c r="DJ2" s="111"/>
      <c r="DK2" s="111"/>
      <c r="DL2" s="111"/>
      <c r="DM2" s="111"/>
      <c r="DN2" s="111" t="s">
        <v>140</v>
      </c>
      <c r="DO2" s="111"/>
      <c r="DP2" s="111"/>
      <c r="DQ2" s="111"/>
      <c r="DR2" s="111"/>
      <c r="DS2" s="111" t="s">
        <v>24</v>
      </c>
      <c r="DT2" s="111"/>
      <c r="DU2" s="111"/>
      <c r="DV2" s="111"/>
      <c r="DW2" s="111"/>
      <c r="DX2" s="73" t="s">
        <v>135</v>
      </c>
      <c r="DY2" s="73" t="s">
        <v>136</v>
      </c>
      <c r="DZ2" s="73" t="s">
        <v>22</v>
      </c>
      <c r="EA2" s="73" t="s">
        <v>87</v>
      </c>
      <c r="EB2" s="73" t="s">
        <v>137</v>
      </c>
      <c r="EC2" s="73" t="s">
        <v>23</v>
      </c>
      <c r="ED2" s="73" t="s">
        <v>25</v>
      </c>
      <c r="EE2" s="73" t="s">
        <v>141</v>
      </c>
      <c r="EF2" s="73" t="s">
        <v>142</v>
      </c>
      <c r="EG2" s="73" t="s">
        <v>140</v>
      </c>
      <c r="EH2" s="73" t="s">
        <v>138</v>
      </c>
      <c r="EI2" s="73" t="s">
        <v>139</v>
      </c>
      <c r="EJ2" s="73" t="s">
        <v>24</v>
      </c>
      <c r="EK2" s="100" t="s">
        <v>19</v>
      </c>
      <c r="EL2" s="112" t="s">
        <v>20</v>
      </c>
      <c r="EM2" s="112"/>
      <c r="EN2" s="112"/>
      <c r="EO2" s="112"/>
      <c r="EP2" s="112"/>
      <c r="EQ2" s="112" t="s">
        <v>21</v>
      </c>
      <c r="ER2" s="112"/>
      <c r="ES2" s="112"/>
      <c r="ET2" s="112"/>
      <c r="EU2" s="112"/>
      <c r="EV2" s="112" t="s">
        <v>140</v>
      </c>
      <c r="EW2" s="112"/>
      <c r="EX2" s="112"/>
      <c r="EY2" s="112"/>
      <c r="EZ2" s="112"/>
      <c r="FA2" s="112" t="s">
        <v>24</v>
      </c>
      <c r="FB2" s="112"/>
      <c r="FC2" s="112"/>
      <c r="FD2" s="112"/>
      <c r="FE2" s="112"/>
      <c r="FF2" s="72" t="s">
        <v>135</v>
      </c>
      <c r="FG2" s="72" t="s">
        <v>136</v>
      </c>
      <c r="FH2" s="72" t="s">
        <v>22</v>
      </c>
      <c r="FI2" s="72" t="s">
        <v>87</v>
      </c>
      <c r="FJ2" s="72" t="s">
        <v>137</v>
      </c>
      <c r="FK2" s="72" t="s">
        <v>23</v>
      </c>
      <c r="FL2" s="72" t="s">
        <v>25</v>
      </c>
      <c r="FM2" s="72" t="s">
        <v>141</v>
      </c>
      <c r="FN2" s="72" t="s">
        <v>142</v>
      </c>
      <c r="FO2" s="72" t="s">
        <v>140</v>
      </c>
      <c r="FP2" s="72" t="s">
        <v>138</v>
      </c>
      <c r="FQ2" s="72" t="s">
        <v>139</v>
      </c>
      <c r="FR2" s="72" t="s">
        <v>24</v>
      </c>
      <c r="FS2" s="99" t="s">
        <v>19</v>
      </c>
      <c r="FT2" s="111" t="s">
        <v>20</v>
      </c>
      <c r="FU2" s="111"/>
      <c r="FV2" s="111"/>
      <c r="FW2" s="111"/>
      <c r="FX2" s="111"/>
      <c r="FY2" s="111" t="s">
        <v>21</v>
      </c>
      <c r="FZ2" s="111"/>
      <c r="GA2" s="111"/>
      <c r="GB2" s="111"/>
      <c r="GC2" s="111"/>
      <c r="GD2" s="111" t="s">
        <v>140</v>
      </c>
      <c r="GE2" s="111"/>
      <c r="GF2" s="111"/>
      <c r="GG2" s="111"/>
      <c r="GH2" s="111"/>
      <c r="GI2" s="111" t="s">
        <v>24</v>
      </c>
      <c r="GJ2" s="111"/>
      <c r="GK2" s="111"/>
      <c r="GL2" s="111"/>
      <c r="GM2" s="111"/>
      <c r="GN2" s="73" t="s">
        <v>135</v>
      </c>
      <c r="GO2" s="73" t="s">
        <v>136</v>
      </c>
      <c r="GP2" s="73" t="s">
        <v>22</v>
      </c>
      <c r="GQ2" s="73" t="s">
        <v>87</v>
      </c>
      <c r="GR2" s="73" t="s">
        <v>137</v>
      </c>
      <c r="GS2" s="73" t="s">
        <v>23</v>
      </c>
      <c r="GT2" s="73" t="s">
        <v>25</v>
      </c>
      <c r="GU2" s="73" t="s">
        <v>141</v>
      </c>
      <c r="GV2" s="73" t="s">
        <v>142</v>
      </c>
      <c r="GW2" s="73" t="s">
        <v>140</v>
      </c>
      <c r="GX2" s="73" t="s">
        <v>138</v>
      </c>
      <c r="GY2" s="73" t="s">
        <v>139</v>
      </c>
      <c r="GZ2" s="73" t="s">
        <v>24</v>
      </c>
      <c r="HA2" s="100" t="s">
        <v>19</v>
      </c>
      <c r="HB2" s="112" t="s">
        <v>20</v>
      </c>
      <c r="HC2" s="112"/>
      <c r="HD2" s="112"/>
      <c r="HE2" s="112"/>
      <c r="HF2" s="112"/>
      <c r="HG2" s="112" t="s">
        <v>21</v>
      </c>
      <c r="HH2" s="112"/>
      <c r="HI2" s="112"/>
      <c r="HJ2" s="112"/>
      <c r="HK2" s="112"/>
      <c r="HL2" s="112" t="s">
        <v>140</v>
      </c>
      <c r="HM2" s="112"/>
      <c r="HN2" s="112"/>
      <c r="HO2" s="112"/>
      <c r="HP2" s="112"/>
      <c r="HQ2" s="112" t="s">
        <v>24</v>
      </c>
      <c r="HR2" s="112"/>
      <c r="HS2" s="112"/>
      <c r="HT2" s="112"/>
      <c r="HU2" s="112"/>
      <c r="HV2" s="72" t="s">
        <v>135</v>
      </c>
      <c r="HW2" s="72" t="s">
        <v>136</v>
      </c>
      <c r="HX2" s="72" t="s">
        <v>22</v>
      </c>
      <c r="HY2" s="72" t="s">
        <v>87</v>
      </c>
      <c r="HZ2" s="72" t="s">
        <v>137</v>
      </c>
      <c r="IA2" s="72" t="s">
        <v>23</v>
      </c>
      <c r="IB2" s="72" t="s">
        <v>25</v>
      </c>
      <c r="IC2" s="72" t="s">
        <v>141</v>
      </c>
      <c r="ID2" s="72" t="s">
        <v>142</v>
      </c>
      <c r="IE2" s="72" t="s">
        <v>140</v>
      </c>
      <c r="IF2" s="72" t="s">
        <v>138</v>
      </c>
      <c r="IG2" s="72" t="s">
        <v>139</v>
      </c>
      <c r="IH2" s="72" t="s">
        <v>24</v>
      </c>
      <c r="II2" s="99" t="s">
        <v>19</v>
      </c>
      <c r="IJ2" s="111" t="s">
        <v>20</v>
      </c>
      <c r="IK2" s="111"/>
      <c r="IL2" s="111"/>
      <c r="IM2" s="111"/>
      <c r="IN2" s="111"/>
      <c r="IO2" s="111" t="s">
        <v>21</v>
      </c>
      <c r="IP2" s="111"/>
      <c r="IQ2" s="111"/>
      <c r="IR2" s="111"/>
      <c r="IS2" s="111"/>
      <c r="IT2" s="111" t="s">
        <v>140</v>
      </c>
      <c r="IU2" s="111"/>
      <c r="IV2" s="111"/>
      <c r="IW2" s="111"/>
      <c r="IX2" s="111"/>
      <c r="IY2" s="111" t="s">
        <v>24</v>
      </c>
      <c r="IZ2" s="111"/>
      <c r="JA2" s="111"/>
      <c r="JB2" s="111"/>
      <c r="JC2" s="111"/>
      <c r="JD2" s="73" t="s">
        <v>135</v>
      </c>
      <c r="JE2" s="73" t="s">
        <v>136</v>
      </c>
      <c r="JF2" s="73" t="s">
        <v>22</v>
      </c>
      <c r="JG2" s="73" t="s">
        <v>87</v>
      </c>
      <c r="JH2" s="73" t="s">
        <v>137</v>
      </c>
      <c r="JI2" s="73" t="s">
        <v>23</v>
      </c>
      <c r="JJ2" s="73" t="s">
        <v>25</v>
      </c>
      <c r="JK2" s="73" t="s">
        <v>141</v>
      </c>
      <c r="JL2" s="73" t="s">
        <v>142</v>
      </c>
      <c r="JM2" s="73" t="s">
        <v>140</v>
      </c>
      <c r="JN2" s="73" t="s">
        <v>138</v>
      </c>
      <c r="JO2" s="73" t="s">
        <v>139</v>
      </c>
      <c r="JP2" s="73" t="s">
        <v>24</v>
      </c>
      <c r="JQ2" s="100" t="s">
        <v>19</v>
      </c>
      <c r="JR2" s="112" t="s">
        <v>20</v>
      </c>
      <c r="JS2" s="112"/>
      <c r="JT2" s="112"/>
      <c r="JU2" s="112"/>
      <c r="JV2" s="112"/>
      <c r="JW2" s="112" t="s">
        <v>21</v>
      </c>
      <c r="JX2" s="112"/>
      <c r="JY2" s="112"/>
      <c r="JZ2" s="112"/>
      <c r="KA2" s="112"/>
      <c r="KB2" s="112" t="s">
        <v>140</v>
      </c>
      <c r="KC2" s="112"/>
      <c r="KD2" s="112"/>
      <c r="KE2" s="112"/>
      <c r="KF2" s="112"/>
      <c r="KG2" s="112" t="s">
        <v>24</v>
      </c>
      <c r="KH2" s="112"/>
      <c r="KI2" s="112"/>
      <c r="KJ2" s="112"/>
      <c r="KK2" s="112"/>
      <c r="KL2" s="72" t="s">
        <v>135</v>
      </c>
      <c r="KM2" s="72" t="s">
        <v>136</v>
      </c>
      <c r="KN2" s="72" t="s">
        <v>22</v>
      </c>
      <c r="KO2" s="72" t="s">
        <v>87</v>
      </c>
      <c r="KP2" s="72" t="s">
        <v>137</v>
      </c>
      <c r="KQ2" s="72" t="s">
        <v>23</v>
      </c>
      <c r="KR2" s="72" t="s">
        <v>25</v>
      </c>
      <c r="KS2" s="72" t="s">
        <v>141</v>
      </c>
      <c r="KT2" s="72" t="s">
        <v>142</v>
      </c>
      <c r="KU2" s="72" t="s">
        <v>140</v>
      </c>
      <c r="KV2" s="72" t="s">
        <v>138</v>
      </c>
      <c r="KW2" s="72" t="s">
        <v>139</v>
      </c>
      <c r="KX2" s="72" t="s">
        <v>24</v>
      </c>
      <c r="KY2" s="72" t="s">
        <v>19</v>
      </c>
      <c r="KZ2" s="111" t="s">
        <v>20</v>
      </c>
      <c r="LA2" s="111"/>
      <c r="LB2" s="111"/>
      <c r="LC2" s="111"/>
      <c r="LD2" s="111"/>
      <c r="LE2" s="111" t="s">
        <v>21</v>
      </c>
      <c r="LF2" s="111"/>
      <c r="LG2" s="111"/>
      <c r="LH2" s="111"/>
      <c r="LI2" s="111"/>
      <c r="LJ2" s="111" t="s">
        <v>140</v>
      </c>
      <c r="LK2" s="111"/>
      <c r="LL2" s="111"/>
      <c r="LM2" s="111"/>
      <c r="LN2" s="111"/>
      <c r="LO2" s="111" t="s">
        <v>24</v>
      </c>
      <c r="LP2" s="111"/>
      <c r="LQ2" s="111"/>
      <c r="LR2" s="111"/>
      <c r="LS2" s="111"/>
      <c r="LT2" s="73" t="s">
        <v>135</v>
      </c>
      <c r="LU2" s="73" t="s">
        <v>136</v>
      </c>
      <c r="LV2" s="73" t="s">
        <v>22</v>
      </c>
      <c r="LW2" s="73" t="s">
        <v>87</v>
      </c>
      <c r="LX2" s="73" t="s">
        <v>137</v>
      </c>
      <c r="LY2" s="73" t="s">
        <v>23</v>
      </c>
      <c r="LZ2" s="73" t="s">
        <v>25</v>
      </c>
      <c r="MA2" s="73" t="s">
        <v>141</v>
      </c>
      <c r="MB2" s="73" t="s">
        <v>142</v>
      </c>
      <c r="MC2" s="73" t="s">
        <v>140</v>
      </c>
      <c r="MD2" s="73" t="s">
        <v>138</v>
      </c>
      <c r="ME2" s="73" t="s">
        <v>139</v>
      </c>
      <c r="MF2" s="73" t="s">
        <v>24</v>
      </c>
      <c r="MG2" s="73" t="s">
        <v>19</v>
      </c>
      <c r="MH2" s="112" t="s">
        <v>20</v>
      </c>
      <c r="MI2" s="112"/>
      <c r="MJ2" s="112"/>
      <c r="MK2" s="112"/>
      <c r="ML2" s="112"/>
      <c r="MM2" s="112" t="s">
        <v>21</v>
      </c>
      <c r="MN2" s="112"/>
      <c r="MO2" s="112"/>
      <c r="MP2" s="112"/>
      <c r="MQ2" s="112"/>
      <c r="MR2" s="112" t="s">
        <v>140</v>
      </c>
      <c r="MS2" s="112"/>
      <c r="MT2" s="112"/>
      <c r="MU2" s="112"/>
      <c r="MV2" s="112"/>
      <c r="MW2" s="112" t="s">
        <v>24</v>
      </c>
      <c r="MX2" s="112"/>
      <c r="MY2" s="112"/>
      <c r="MZ2" s="112"/>
      <c r="NA2" s="112"/>
      <c r="NB2" s="72" t="s">
        <v>135</v>
      </c>
      <c r="NC2" s="72" t="s">
        <v>136</v>
      </c>
      <c r="ND2" s="72" t="s">
        <v>22</v>
      </c>
      <c r="NE2" s="72" t="s">
        <v>87</v>
      </c>
      <c r="NF2" s="72" t="s">
        <v>137</v>
      </c>
      <c r="NG2" s="72" t="s">
        <v>23</v>
      </c>
      <c r="NH2" s="72" t="s">
        <v>25</v>
      </c>
      <c r="NI2" s="72" t="s">
        <v>141</v>
      </c>
      <c r="NJ2" s="72" t="s">
        <v>142</v>
      </c>
      <c r="NK2" s="72" t="s">
        <v>140</v>
      </c>
      <c r="NL2" s="72" t="s">
        <v>138</v>
      </c>
      <c r="NM2" s="72" t="s">
        <v>139</v>
      </c>
      <c r="NN2" s="72" t="s">
        <v>24</v>
      </c>
      <c r="NO2" s="72" t="s">
        <v>19</v>
      </c>
      <c r="NP2" s="111" t="s">
        <v>20</v>
      </c>
      <c r="NQ2" s="111"/>
      <c r="NR2" s="111"/>
      <c r="NS2" s="111"/>
      <c r="NT2" s="111"/>
      <c r="NU2" s="111" t="s">
        <v>21</v>
      </c>
      <c r="NV2" s="111"/>
      <c r="NW2" s="111"/>
      <c r="NX2" s="111"/>
      <c r="NY2" s="111"/>
      <c r="NZ2" s="111" t="s">
        <v>140</v>
      </c>
      <c r="OA2" s="111"/>
      <c r="OB2" s="111"/>
      <c r="OC2" s="111"/>
      <c r="OD2" s="111"/>
      <c r="OE2" s="111" t="s">
        <v>24</v>
      </c>
      <c r="OF2" s="111"/>
      <c r="OG2" s="111"/>
      <c r="OH2" s="111"/>
      <c r="OI2" s="111"/>
      <c r="OJ2" s="73" t="s">
        <v>135</v>
      </c>
      <c r="OK2" s="73" t="s">
        <v>136</v>
      </c>
      <c r="OL2" s="73" t="s">
        <v>22</v>
      </c>
      <c r="OM2" s="73" t="s">
        <v>87</v>
      </c>
      <c r="ON2" s="73" t="s">
        <v>137</v>
      </c>
      <c r="OO2" s="73" t="s">
        <v>23</v>
      </c>
      <c r="OP2" s="73" t="s">
        <v>25</v>
      </c>
      <c r="OQ2" s="73" t="s">
        <v>141</v>
      </c>
      <c r="OR2" s="73" t="s">
        <v>142</v>
      </c>
      <c r="OS2" s="73" t="s">
        <v>140</v>
      </c>
      <c r="OT2" s="73" t="s">
        <v>138</v>
      </c>
      <c r="OU2" s="73" t="s">
        <v>139</v>
      </c>
      <c r="OV2" s="73" t="s">
        <v>24</v>
      </c>
      <c r="OW2" s="73" t="s">
        <v>19</v>
      </c>
      <c r="OX2" s="112" t="s">
        <v>20</v>
      </c>
      <c r="OY2" s="112"/>
      <c r="OZ2" s="112"/>
      <c r="PA2" s="112"/>
      <c r="PB2" s="112"/>
      <c r="PC2" s="112" t="s">
        <v>21</v>
      </c>
      <c r="PD2" s="112"/>
      <c r="PE2" s="112"/>
      <c r="PF2" s="112"/>
      <c r="PG2" s="112"/>
      <c r="PH2" s="112" t="s">
        <v>140</v>
      </c>
      <c r="PI2" s="112"/>
      <c r="PJ2" s="112"/>
      <c r="PK2" s="112"/>
      <c r="PL2" s="112"/>
      <c r="PM2" s="112" t="s">
        <v>24</v>
      </c>
      <c r="PN2" s="112"/>
      <c r="PO2" s="112"/>
      <c r="PP2" s="112"/>
      <c r="PQ2" s="112"/>
      <c r="PR2" s="72" t="s">
        <v>135</v>
      </c>
      <c r="PS2" s="72" t="s">
        <v>136</v>
      </c>
      <c r="PT2" s="72" t="s">
        <v>22</v>
      </c>
      <c r="PU2" s="72" t="s">
        <v>87</v>
      </c>
      <c r="PV2" s="72" t="s">
        <v>137</v>
      </c>
      <c r="PW2" s="72" t="s">
        <v>23</v>
      </c>
      <c r="PX2" s="72" t="s">
        <v>25</v>
      </c>
      <c r="PY2" s="72" t="s">
        <v>141</v>
      </c>
      <c r="PZ2" s="72" t="s">
        <v>142</v>
      </c>
      <c r="QA2" s="72" t="s">
        <v>140</v>
      </c>
      <c r="QB2" s="72" t="s">
        <v>138</v>
      </c>
      <c r="QC2" s="72" t="s">
        <v>139</v>
      </c>
      <c r="QD2" s="72" t="s">
        <v>24</v>
      </c>
      <c r="QE2" s="72" t="s">
        <v>19</v>
      </c>
      <c r="QF2" s="111" t="s">
        <v>20</v>
      </c>
      <c r="QG2" s="111"/>
      <c r="QH2" s="111"/>
      <c r="QI2" s="111"/>
      <c r="QJ2" s="111"/>
      <c r="QK2" s="111" t="s">
        <v>21</v>
      </c>
      <c r="QL2" s="111"/>
      <c r="QM2" s="111"/>
      <c r="QN2" s="111"/>
      <c r="QO2" s="111"/>
      <c r="QP2" s="111" t="s">
        <v>140</v>
      </c>
      <c r="QQ2" s="111"/>
      <c r="QR2" s="111"/>
      <c r="QS2" s="111"/>
      <c r="QT2" s="111"/>
      <c r="QU2" s="111" t="s">
        <v>24</v>
      </c>
      <c r="QV2" s="111"/>
      <c r="QW2" s="111"/>
      <c r="QX2" s="111"/>
      <c r="QY2" s="111"/>
      <c r="QZ2" s="73" t="s">
        <v>135</v>
      </c>
      <c r="RA2" s="73" t="s">
        <v>136</v>
      </c>
      <c r="RB2" s="73" t="s">
        <v>22</v>
      </c>
      <c r="RC2" s="73" t="s">
        <v>87</v>
      </c>
      <c r="RD2" s="73" t="s">
        <v>137</v>
      </c>
      <c r="RE2" s="73" t="s">
        <v>23</v>
      </c>
      <c r="RF2" s="73" t="s">
        <v>25</v>
      </c>
      <c r="RG2" s="73" t="s">
        <v>141</v>
      </c>
      <c r="RH2" s="73" t="s">
        <v>142</v>
      </c>
      <c r="RI2" s="73" t="s">
        <v>140</v>
      </c>
      <c r="RJ2" s="73" t="s">
        <v>138</v>
      </c>
      <c r="RK2" s="73" t="s">
        <v>139</v>
      </c>
      <c r="RL2" s="73" t="s">
        <v>24</v>
      </c>
      <c r="RM2" s="73" t="s">
        <v>19</v>
      </c>
      <c r="RN2" s="112" t="s">
        <v>20</v>
      </c>
      <c r="RO2" s="112"/>
      <c r="RP2" s="112"/>
      <c r="RQ2" s="112"/>
      <c r="RR2" s="112"/>
      <c r="RS2" s="112" t="s">
        <v>21</v>
      </c>
      <c r="RT2" s="112"/>
      <c r="RU2" s="112"/>
      <c r="RV2" s="112"/>
      <c r="RW2" s="112"/>
      <c r="RX2" s="112" t="s">
        <v>140</v>
      </c>
      <c r="RY2" s="112"/>
      <c r="RZ2" s="112"/>
      <c r="SA2" s="112"/>
      <c r="SB2" s="112"/>
      <c r="SC2" s="112" t="s">
        <v>24</v>
      </c>
      <c r="SD2" s="112"/>
      <c r="SE2" s="112"/>
      <c r="SF2" s="112"/>
      <c r="SG2" s="112"/>
      <c r="SH2" s="72" t="s">
        <v>135</v>
      </c>
      <c r="SI2" s="72" t="s">
        <v>136</v>
      </c>
      <c r="SJ2" s="72" t="s">
        <v>22</v>
      </c>
      <c r="SK2" s="72" t="s">
        <v>87</v>
      </c>
      <c r="SL2" s="72" t="s">
        <v>137</v>
      </c>
      <c r="SM2" s="72" t="s">
        <v>23</v>
      </c>
      <c r="SN2" s="72" t="s">
        <v>25</v>
      </c>
      <c r="SO2" s="72" t="s">
        <v>141</v>
      </c>
      <c r="SP2" s="72" t="s">
        <v>142</v>
      </c>
      <c r="SQ2" s="72" t="s">
        <v>140</v>
      </c>
      <c r="SR2" s="72" t="s">
        <v>138</v>
      </c>
      <c r="SS2" s="72" t="s">
        <v>139</v>
      </c>
      <c r="ST2" s="72" t="s">
        <v>24</v>
      </c>
      <c r="SU2" s="72" t="s">
        <v>19</v>
      </c>
      <c r="SV2" s="111" t="s">
        <v>20</v>
      </c>
      <c r="SW2" s="111"/>
      <c r="SX2" s="111"/>
      <c r="SY2" s="111"/>
      <c r="SZ2" s="111"/>
      <c r="TA2" s="111" t="s">
        <v>21</v>
      </c>
      <c r="TB2" s="111"/>
      <c r="TC2" s="111"/>
      <c r="TD2" s="111"/>
      <c r="TE2" s="111"/>
      <c r="TF2" s="111" t="s">
        <v>24</v>
      </c>
      <c r="TG2" s="111"/>
      <c r="TH2" s="111"/>
      <c r="TI2" s="111"/>
      <c r="TJ2" s="111"/>
      <c r="TK2" s="57"/>
      <c r="TL2" s="73" t="s">
        <v>135</v>
      </c>
      <c r="TM2" s="73" t="s">
        <v>136</v>
      </c>
      <c r="TN2" s="73" t="s">
        <v>22</v>
      </c>
      <c r="TO2" s="73" t="s">
        <v>87</v>
      </c>
      <c r="TP2" s="73" t="s">
        <v>137</v>
      </c>
      <c r="TQ2" s="73" t="s">
        <v>23</v>
      </c>
      <c r="TR2" s="73" t="s">
        <v>25</v>
      </c>
      <c r="TS2" s="73" t="s">
        <v>138</v>
      </c>
      <c r="TT2" s="73" t="s">
        <v>139</v>
      </c>
      <c r="TU2" s="73" t="s">
        <v>24</v>
      </c>
      <c r="TV2" s="73" t="s">
        <v>19</v>
      </c>
    </row>
    <row r="3" spans="1:542" x14ac:dyDescent="0.2">
      <c r="A3" s="117"/>
      <c r="B3" s="117"/>
      <c r="C3" s="117"/>
      <c r="D3" s="117"/>
      <c r="E3" s="117"/>
      <c r="F3" s="119"/>
      <c r="G3" s="117"/>
      <c r="H3" s="117"/>
      <c r="I3" s="117"/>
      <c r="J3" s="118"/>
      <c r="K3" s="116"/>
      <c r="L3" s="118"/>
      <c r="M3" s="116"/>
      <c r="N3" s="118"/>
      <c r="O3" s="116"/>
      <c r="P3" s="116"/>
      <c r="Q3" s="116"/>
      <c r="R3" s="116"/>
      <c r="S3" s="116"/>
      <c r="T3" s="118"/>
      <c r="U3" s="116"/>
      <c r="V3" s="120"/>
      <c r="W3" s="116"/>
      <c r="X3" s="116"/>
      <c r="Y3" s="23" t="s">
        <v>16</v>
      </c>
      <c r="Z3" s="23" t="s">
        <v>17</v>
      </c>
      <c r="AA3" s="23" t="s">
        <v>11</v>
      </c>
      <c r="AB3" s="23" t="s">
        <v>18</v>
      </c>
      <c r="AC3" s="29" t="s">
        <v>34</v>
      </c>
      <c r="AD3" s="62" t="s">
        <v>16</v>
      </c>
      <c r="AE3" s="62" t="s">
        <v>17</v>
      </c>
      <c r="AF3" s="62" t="s">
        <v>11</v>
      </c>
      <c r="AG3" s="62" t="s">
        <v>18</v>
      </c>
      <c r="AH3" s="62" t="s">
        <v>34</v>
      </c>
      <c r="AI3" s="23" t="s">
        <v>16</v>
      </c>
      <c r="AJ3" s="23" t="s">
        <v>17</v>
      </c>
      <c r="AK3" s="23" t="s">
        <v>11</v>
      </c>
      <c r="AL3" s="23" t="s">
        <v>18</v>
      </c>
      <c r="AM3" s="29" t="s">
        <v>34</v>
      </c>
      <c r="AN3" s="48" t="s">
        <v>60</v>
      </c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24" t="s">
        <v>16</v>
      </c>
      <c r="BA3" s="24" t="s">
        <v>17</v>
      </c>
      <c r="BB3" s="24" t="s">
        <v>11</v>
      </c>
      <c r="BC3" s="24" t="s">
        <v>18</v>
      </c>
      <c r="BD3" s="30" t="s">
        <v>34</v>
      </c>
      <c r="BE3" s="63" t="s">
        <v>16</v>
      </c>
      <c r="BF3" s="63" t="s">
        <v>17</v>
      </c>
      <c r="BG3" s="63" t="s">
        <v>11</v>
      </c>
      <c r="BH3" s="63" t="s">
        <v>18</v>
      </c>
      <c r="BI3" s="63" t="s">
        <v>34</v>
      </c>
      <c r="BJ3" s="24" t="s">
        <v>16</v>
      </c>
      <c r="BK3" s="24" t="s">
        <v>17</v>
      </c>
      <c r="BL3" s="24" t="s">
        <v>11</v>
      </c>
      <c r="BM3" s="30" t="s">
        <v>18</v>
      </c>
      <c r="BN3" s="24" t="s">
        <v>34</v>
      </c>
      <c r="BO3" s="47" t="s">
        <v>60</v>
      </c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60" t="s">
        <v>16</v>
      </c>
      <c r="CB3" s="60" t="s">
        <v>17</v>
      </c>
      <c r="CC3" s="60" t="s">
        <v>11</v>
      </c>
      <c r="CD3" s="60" t="s">
        <v>18</v>
      </c>
      <c r="CE3" s="60" t="s">
        <v>34</v>
      </c>
      <c r="CF3" s="62" t="s">
        <v>16</v>
      </c>
      <c r="CG3" s="62" t="s">
        <v>17</v>
      </c>
      <c r="CH3" s="62" t="s">
        <v>11</v>
      </c>
      <c r="CI3" s="62" t="s">
        <v>18</v>
      </c>
      <c r="CJ3" s="62" t="s">
        <v>34</v>
      </c>
      <c r="CK3" s="60" t="s">
        <v>16</v>
      </c>
      <c r="CL3" s="60" t="s">
        <v>17</v>
      </c>
      <c r="CM3" s="60" t="s">
        <v>11</v>
      </c>
      <c r="CN3" s="60" t="s">
        <v>18</v>
      </c>
      <c r="CO3" s="60" t="s">
        <v>34</v>
      </c>
      <c r="CP3" s="60" t="s">
        <v>60</v>
      </c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86"/>
      <c r="DC3" s="86"/>
      <c r="DD3" s="23" t="s">
        <v>16</v>
      </c>
      <c r="DE3" s="23" t="s">
        <v>17</v>
      </c>
      <c r="DF3" s="23" t="s">
        <v>11</v>
      </c>
      <c r="DG3" s="23" t="s">
        <v>18</v>
      </c>
      <c r="DH3" s="29" t="s">
        <v>34</v>
      </c>
      <c r="DI3" s="23" t="s">
        <v>16</v>
      </c>
      <c r="DJ3" s="23" t="s">
        <v>17</v>
      </c>
      <c r="DK3" s="23" t="s">
        <v>11</v>
      </c>
      <c r="DL3" s="23" t="s">
        <v>18</v>
      </c>
      <c r="DM3" s="29" t="s">
        <v>34</v>
      </c>
      <c r="DN3" s="73" t="s">
        <v>16</v>
      </c>
      <c r="DO3" s="73" t="s">
        <v>17</v>
      </c>
      <c r="DP3" s="73" t="s">
        <v>11</v>
      </c>
      <c r="DQ3" s="73" t="s">
        <v>18</v>
      </c>
      <c r="DR3" s="73" t="s">
        <v>34</v>
      </c>
      <c r="DS3" s="23" t="s">
        <v>16</v>
      </c>
      <c r="DT3" s="23" t="s">
        <v>17</v>
      </c>
      <c r="DU3" s="23" t="s">
        <v>11</v>
      </c>
      <c r="DV3" s="23" t="s">
        <v>18</v>
      </c>
      <c r="DW3" s="29" t="s">
        <v>34</v>
      </c>
      <c r="DX3" s="10"/>
      <c r="DY3" s="10"/>
      <c r="DZ3" s="9"/>
      <c r="EA3" s="9"/>
      <c r="EB3" s="9"/>
      <c r="EC3" s="9"/>
      <c r="ED3" s="9"/>
      <c r="EE3" s="9"/>
      <c r="EF3" s="9"/>
      <c r="EG3" s="9"/>
      <c r="EH3" s="9"/>
      <c r="EI3" s="9"/>
      <c r="EJ3" s="10"/>
      <c r="EK3" s="100"/>
      <c r="EL3" s="72" t="s">
        <v>16</v>
      </c>
      <c r="EM3" s="72" t="s">
        <v>17</v>
      </c>
      <c r="EN3" s="72" t="s">
        <v>11</v>
      </c>
      <c r="EO3" s="72" t="s">
        <v>18</v>
      </c>
      <c r="EP3" s="72" t="s">
        <v>34</v>
      </c>
      <c r="EQ3" s="72" t="s">
        <v>16</v>
      </c>
      <c r="ER3" s="72" t="s">
        <v>17</v>
      </c>
      <c r="ES3" s="72" t="s">
        <v>11</v>
      </c>
      <c r="ET3" s="72" t="s">
        <v>18</v>
      </c>
      <c r="EU3" s="72" t="s">
        <v>34</v>
      </c>
      <c r="EV3" s="72" t="s">
        <v>16</v>
      </c>
      <c r="EW3" s="72" t="s">
        <v>17</v>
      </c>
      <c r="EX3" s="72" t="s">
        <v>11</v>
      </c>
      <c r="EY3" s="72" t="s">
        <v>18</v>
      </c>
      <c r="EZ3" s="72" t="s">
        <v>34</v>
      </c>
      <c r="FA3" s="72" t="s">
        <v>16</v>
      </c>
      <c r="FB3" s="72" t="s">
        <v>17</v>
      </c>
      <c r="FC3" s="72" t="s">
        <v>11</v>
      </c>
      <c r="FD3" s="72" t="s">
        <v>18</v>
      </c>
      <c r="FE3" s="72" t="s">
        <v>34</v>
      </c>
      <c r="FF3" s="12"/>
      <c r="FG3" s="12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2"/>
      <c r="FS3" s="99"/>
      <c r="FT3" s="73" t="s">
        <v>16</v>
      </c>
      <c r="FU3" s="73" t="s">
        <v>17</v>
      </c>
      <c r="FV3" s="73" t="s">
        <v>11</v>
      </c>
      <c r="FW3" s="73" t="s">
        <v>18</v>
      </c>
      <c r="FX3" s="73" t="s">
        <v>34</v>
      </c>
      <c r="FY3" s="73" t="s">
        <v>16</v>
      </c>
      <c r="FZ3" s="73" t="s">
        <v>17</v>
      </c>
      <c r="GA3" s="73" t="s">
        <v>11</v>
      </c>
      <c r="GB3" s="73" t="s">
        <v>18</v>
      </c>
      <c r="GC3" s="73" t="s">
        <v>34</v>
      </c>
      <c r="GD3" s="73" t="s">
        <v>16</v>
      </c>
      <c r="GE3" s="73" t="s">
        <v>17</v>
      </c>
      <c r="GF3" s="73" t="s">
        <v>11</v>
      </c>
      <c r="GG3" s="73" t="s">
        <v>18</v>
      </c>
      <c r="GH3" s="73" t="s">
        <v>34</v>
      </c>
      <c r="GI3" s="73" t="s">
        <v>16</v>
      </c>
      <c r="GJ3" s="73" t="s">
        <v>17</v>
      </c>
      <c r="GK3" s="73" t="s">
        <v>11</v>
      </c>
      <c r="GL3" s="73" t="s">
        <v>18</v>
      </c>
      <c r="GM3" s="73" t="s">
        <v>34</v>
      </c>
      <c r="GN3" s="10"/>
      <c r="GO3" s="10"/>
      <c r="GP3" s="9"/>
      <c r="GQ3" s="9"/>
      <c r="GR3" s="9"/>
      <c r="GS3" s="9"/>
      <c r="GT3" s="9"/>
      <c r="GU3" s="9"/>
      <c r="GV3" s="9"/>
      <c r="GW3" s="9"/>
      <c r="GX3" s="9"/>
      <c r="GY3" s="9"/>
      <c r="GZ3" s="10"/>
      <c r="HA3" s="100"/>
      <c r="HB3" s="72" t="s">
        <v>16</v>
      </c>
      <c r="HC3" s="72" t="s">
        <v>17</v>
      </c>
      <c r="HD3" s="72" t="s">
        <v>11</v>
      </c>
      <c r="HE3" s="72" t="s">
        <v>18</v>
      </c>
      <c r="HF3" s="72" t="s">
        <v>34</v>
      </c>
      <c r="HG3" s="72" t="s">
        <v>16</v>
      </c>
      <c r="HH3" s="72" t="s">
        <v>17</v>
      </c>
      <c r="HI3" s="72" t="s">
        <v>11</v>
      </c>
      <c r="HJ3" s="72" t="s">
        <v>18</v>
      </c>
      <c r="HK3" s="72" t="s">
        <v>34</v>
      </c>
      <c r="HL3" s="72" t="s">
        <v>16</v>
      </c>
      <c r="HM3" s="72" t="s">
        <v>17</v>
      </c>
      <c r="HN3" s="72" t="s">
        <v>11</v>
      </c>
      <c r="HO3" s="72" t="s">
        <v>18</v>
      </c>
      <c r="HP3" s="72" t="s">
        <v>34</v>
      </c>
      <c r="HQ3" s="72" t="s">
        <v>16</v>
      </c>
      <c r="HR3" s="72" t="s">
        <v>17</v>
      </c>
      <c r="HS3" s="72" t="s">
        <v>11</v>
      </c>
      <c r="HT3" s="72" t="s">
        <v>18</v>
      </c>
      <c r="HU3" s="72" t="s">
        <v>34</v>
      </c>
      <c r="HV3" s="12"/>
      <c r="HW3" s="12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2"/>
      <c r="II3" s="99"/>
      <c r="IJ3" s="73" t="s">
        <v>16</v>
      </c>
      <c r="IK3" s="73" t="s">
        <v>17</v>
      </c>
      <c r="IL3" s="73" t="s">
        <v>11</v>
      </c>
      <c r="IM3" s="73" t="s">
        <v>18</v>
      </c>
      <c r="IN3" s="73" t="s">
        <v>34</v>
      </c>
      <c r="IO3" s="73" t="s">
        <v>16</v>
      </c>
      <c r="IP3" s="73" t="s">
        <v>17</v>
      </c>
      <c r="IQ3" s="73" t="s">
        <v>11</v>
      </c>
      <c r="IR3" s="73" t="s">
        <v>18</v>
      </c>
      <c r="IS3" s="73" t="s">
        <v>34</v>
      </c>
      <c r="IT3" s="73" t="s">
        <v>16</v>
      </c>
      <c r="IU3" s="73" t="s">
        <v>17</v>
      </c>
      <c r="IV3" s="73" t="s">
        <v>11</v>
      </c>
      <c r="IW3" s="73" t="s">
        <v>18</v>
      </c>
      <c r="IX3" s="73" t="s">
        <v>34</v>
      </c>
      <c r="IY3" s="73" t="s">
        <v>16</v>
      </c>
      <c r="IZ3" s="73" t="s">
        <v>17</v>
      </c>
      <c r="JA3" s="73" t="s">
        <v>11</v>
      </c>
      <c r="JB3" s="73" t="s">
        <v>18</v>
      </c>
      <c r="JC3" s="73" t="s">
        <v>34</v>
      </c>
      <c r="JD3" s="10"/>
      <c r="JE3" s="10"/>
      <c r="JF3" s="9"/>
      <c r="JG3" s="9"/>
      <c r="JH3" s="9"/>
      <c r="JI3" s="9"/>
      <c r="JJ3" s="9"/>
      <c r="JK3" s="9"/>
      <c r="JL3" s="9"/>
      <c r="JM3" s="9"/>
      <c r="JN3" s="9"/>
      <c r="JO3" s="9"/>
      <c r="JP3" s="10"/>
      <c r="JQ3" s="100"/>
      <c r="JR3" s="72" t="s">
        <v>16</v>
      </c>
      <c r="JS3" s="72" t="s">
        <v>17</v>
      </c>
      <c r="JT3" s="72" t="s">
        <v>11</v>
      </c>
      <c r="JU3" s="72" t="s">
        <v>18</v>
      </c>
      <c r="JV3" s="72" t="s">
        <v>34</v>
      </c>
      <c r="JW3" s="72" t="s">
        <v>16</v>
      </c>
      <c r="JX3" s="72" t="s">
        <v>17</v>
      </c>
      <c r="JY3" s="72" t="s">
        <v>11</v>
      </c>
      <c r="JZ3" s="72" t="s">
        <v>18</v>
      </c>
      <c r="KA3" s="72" t="s">
        <v>34</v>
      </c>
      <c r="KB3" s="72" t="s">
        <v>16</v>
      </c>
      <c r="KC3" s="72" t="s">
        <v>17</v>
      </c>
      <c r="KD3" s="72" t="s">
        <v>11</v>
      </c>
      <c r="KE3" s="72" t="s">
        <v>18</v>
      </c>
      <c r="KF3" s="72" t="s">
        <v>34</v>
      </c>
      <c r="KG3" s="72" t="s">
        <v>16</v>
      </c>
      <c r="KH3" s="72" t="s">
        <v>17</v>
      </c>
      <c r="KI3" s="72" t="s">
        <v>11</v>
      </c>
      <c r="KJ3" s="72" t="s">
        <v>18</v>
      </c>
      <c r="KK3" s="72" t="s">
        <v>34</v>
      </c>
      <c r="KL3" s="12"/>
      <c r="KM3" s="12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2"/>
      <c r="KY3" s="12"/>
      <c r="KZ3" s="73" t="s">
        <v>16</v>
      </c>
      <c r="LA3" s="73" t="s">
        <v>17</v>
      </c>
      <c r="LB3" s="73" t="s">
        <v>11</v>
      </c>
      <c r="LC3" s="73" t="s">
        <v>18</v>
      </c>
      <c r="LD3" s="73" t="s">
        <v>34</v>
      </c>
      <c r="LE3" s="73" t="s">
        <v>16</v>
      </c>
      <c r="LF3" s="73" t="s">
        <v>17</v>
      </c>
      <c r="LG3" s="73" t="s">
        <v>11</v>
      </c>
      <c r="LH3" s="73" t="s">
        <v>18</v>
      </c>
      <c r="LI3" s="73" t="s">
        <v>34</v>
      </c>
      <c r="LJ3" s="73" t="s">
        <v>16</v>
      </c>
      <c r="LK3" s="73" t="s">
        <v>17</v>
      </c>
      <c r="LL3" s="73" t="s">
        <v>11</v>
      </c>
      <c r="LM3" s="73" t="s">
        <v>18</v>
      </c>
      <c r="LN3" s="73" t="s">
        <v>34</v>
      </c>
      <c r="LO3" s="73" t="s">
        <v>16</v>
      </c>
      <c r="LP3" s="73" t="s">
        <v>17</v>
      </c>
      <c r="LQ3" s="73" t="s">
        <v>11</v>
      </c>
      <c r="LR3" s="73" t="s">
        <v>18</v>
      </c>
      <c r="LS3" s="73" t="s">
        <v>34</v>
      </c>
      <c r="LT3" s="10"/>
      <c r="LU3" s="10"/>
      <c r="LV3" s="9"/>
      <c r="LW3" s="9"/>
      <c r="LX3" s="9"/>
      <c r="LY3" s="9"/>
      <c r="LZ3" s="9"/>
      <c r="MA3" s="9"/>
      <c r="MB3" s="9"/>
      <c r="MC3" s="9"/>
      <c r="MD3" s="9"/>
      <c r="ME3" s="9"/>
      <c r="MF3" s="10"/>
      <c r="MG3" s="10"/>
      <c r="MH3" s="72" t="s">
        <v>16</v>
      </c>
      <c r="MI3" s="72" t="s">
        <v>17</v>
      </c>
      <c r="MJ3" s="72" t="s">
        <v>11</v>
      </c>
      <c r="MK3" s="72" t="s">
        <v>18</v>
      </c>
      <c r="ML3" s="72" t="s">
        <v>34</v>
      </c>
      <c r="MM3" s="72" t="s">
        <v>16</v>
      </c>
      <c r="MN3" s="72" t="s">
        <v>17</v>
      </c>
      <c r="MO3" s="72" t="s">
        <v>11</v>
      </c>
      <c r="MP3" s="72" t="s">
        <v>18</v>
      </c>
      <c r="MQ3" s="72" t="s">
        <v>34</v>
      </c>
      <c r="MR3" s="72" t="s">
        <v>16</v>
      </c>
      <c r="MS3" s="72" t="s">
        <v>17</v>
      </c>
      <c r="MT3" s="72" t="s">
        <v>11</v>
      </c>
      <c r="MU3" s="72" t="s">
        <v>18</v>
      </c>
      <c r="MV3" s="72" t="s">
        <v>34</v>
      </c>
      <c r="MW3" s="72" t="s">
        <v>16</v>
      </c>
      <c r="MX3" s="72" t="s">
        <v>17</v>
      </c>
      <c r="MY3" s="72" t="s">
        <v>11</v>
      </c>
      <c r="MZ3" s="72" t="s">
        <v>18</v>
      </c>
      <c r="NA3" s="72" t="s">
        <v>34</v>
      </c>
      <c r="NB3" s="12"/>
      <c r="NC3" s="1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2"/>
      <c r="NO3" s="12"/>
      <c r="NP3" s="73" t="s">
        <v>16</v>
      </c>
      <c r="NQ3" s="73" t="s">
        <v>17</v>
      </c>
      <c r="NR3" s="73" t="s">
        <v>11</v>
      </c>
      <c r="NS3" s="73" t="s">
        <v>18</v>
      </c>
      <c r="NT3" s="73" t="s">
        <v>34</v>
      </c>
      <c r="NU3" s="73" t="s">
        <v>16</v>
      </c>
      <c r="NV3" s="73" t="s">
        <v>17</v>
      </c>
      <c r="NW3" s="73" t="s">
        <v>11</v>
      </c>
      <c r="NX3" s="73" t="s">
        <v>18</v>
      </c>
      <c r="NY3" s="73" t="s">
        <v>34</v>
      </c>
      <c r="NZ3" s="73" t="s">
        <v>16</v>
      </c>
      <c r="OA3" s="73" t="s">
        <v>17</v>
      </c>
      <c r="OB3" s="73" t="s">
        <v>11</v>
      </c>
      <c r="OC3" s="73" t="s">
        <v>18</v>
      </c>
      <c r="OD3" s="73" t="s">
        <v>34</v>
      </c>
      <c r="OE3" s="73" t="s">
        <v>16</v>
      </c>
      <c r="OF3" s="73" t="s">
        <v>17</v>
      </c>
      <c r="OG3" s="73" t="s">
        <v>11</v>
      </c>
      <c r="OH3" s="73" t="s">
        <v>18</v>
      </c>
      <c r="OI3" s="73" t="s">
        <v>34</v>
      </c>
      <c r="OJ3" s="10"/>
      <c r="OK3" s="10"/>
      <c r="OL3" s="9"/>
      <c r="OM3" s="9"/>
      <c r="ON3" s="9"/>
      <c r="OO3" s="9"/>
      <c r="OP3" s="9"/>
      <c r="OQ3" s="9"/>
      <c r="OR3" s="9"/>
      <c r="OS3" s="9"/>
      <c r="OT3" s="9"/>
      <c r="OU3" s="9"/>
      <c r="OV3" s="10"/>
      <c r="OW3" s="10"/>
      <c r="OX3" s="72" t="s">
        <v>16</v>
      </c>
      <c r="OY3" s="72" t="s">
        <v>17</v>
      </c>
      <c r="OZ3" s="72" t="s">
        <v>11</v>
      </c>
      <c r="PA3" s="72" t="s">
        <v>18</v>
      </c>
      <c r="PB3" s="72" t="s">
        <v>34</v>
      </c>
      <c r="PC3" s="72" t="s">
        <v>16</v>
      </c>
      <c r="PD3" s="72" t="s">
        <v>17</v>
      </c>
      <c r="PE3" s="72" t="s">
        <v>11</v>
      </c>
      <c r="PF3" s="72" t="s">
        <v>18</v>
      </c>
      <c r="PG3" s="72" t="s">
        <v>34</v>
      </c>
      <c r="PH3" s="72" t="s">
        <v>16</v>
      </c>
      <c r="PI3" s="72" t="s">
        <v>17</v>
      </c>
      <c r="PJ3" s="72" t="s">
        <v>11</v>
      </c>
      <c r="PK3" s="72" t="s">
        <v>18</v>
      </c>
      <c r="PL3" s="72" t="s">
        <v>34</v>
      </c>
      <c r="PM3" s="72" t="s">
        <v>16</v>
      </c>
      <c r="PN3" s="72" t="s">
        <v>17</v>
      </c>
      <c r="PO3" s="72" t="s">
        <v>11</v>
      </c>
      <c r="PP3" s="72" t="s">
        <v>18</v>
      </c>
      <c r="PQ3" s="72" t="s">
        <v>34</v>
      </c>
      <c r="PR3" s="12"/>
      <c r="PS3" s="12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2"/>
      <c r="QE3" s="12"/>
      <c r="QF3" s="73" t="s">
        <v>16</v>
      </c>
      <c r="QG3" s="73" t="s">
        <v>17</v>
      </c>
      <c r="QH3" s="73" t="s">
        <v>11</v>
      </c>
      <c r="QI3" s="73" t="s">
        <v>18</v>
      </c>
      <c r="QJ3" s="73" t="s">
        <v>34</v>
      </c>
      <c r="QK3" s="73" t="s">
        <v>16</v>
      </c>
      <c r="QL3" s="73" t="s">
        <v>17</v>
      </c>
      <c r="QM3" s="73" t="s">
        <v>11</v>
      </c>
      <c r="QN3" s="73" t="s">
        <v>18</v>
      </c>
      <c r="QO3" s="73" t="s">
        <v>34</v>
      </c>
      <c r="QP3" s="73" t="s">
        <v>16</v>
      </c>
      <c r="QQ3" s="73" t="s">
        <v>17</v>
      </c>
      <c r="QR3" s="73" t="s">
        <v>11</v>
      </c>
      <c r="QS3" s="73" t="s">
        <v>18</v>
      </c>
      <c r="QT3" s="73" t="s">
        <v>34</v>
      </c>
      <c r="QU3" s="73" t="s">
        <v>16</v>
      </c>
      <c r="QV3" s="73" t="s">
        <v>17</v>
      </c>
      <c r="QW3" s="73" t="s">
        <v>11</v>
      </c>
      <c r="QX3" s="73" t="s">
        <v>18</v>
      </c>
      <c r="QY3" s="73" t="s">
        <v>34</v>
      </c>
      <c r="QZ3" s="10"/>
      <c r="RA3" s="10"/>
      <c r="RB3" s="9"/>
      <c r="RC3" s="9"/>
      <c r="RD3" s="9"/>
      <c r="RE3" s="9"/>
      <c r="RF3" s="9"/>
      <c r="RG3" s="9"/>
      <c r="RH3" s="9"/>
      <c r="RI3" s="9"/>
      <c r="RJ3" s="9"/>
      <c r="RK3" s="9"/>
      <c r="RL3" s="10"/>
      <c r="RM3" s="10"/>
      <c r="RN3" s="72" t="s">
        <v>16</v>
      </c>
      <c r="RO3" s="72" t="s">
        <v>17</v>
      </c>
      <c r="RP3" s="72" t="s">
        <v>11</v>
      </c>
      <c r="RQ3" s="72" t="s">
        <v>18</v>
      </c>
      <c r="RR3" s="72" t="s">
        <v>34</v>
      </c>
      <c r="RS3" s="72" t="s">
        <v>16</v>
      </c>
      <c r="RT3" s="72" t="s">
        <v>17</v>
      </c>
      <c r="RU3" s="72" t="s">
        <v>11</v>
      </c>
      <c r="RV3" s="72" t="s">
        <v>18</v>
      </c>
      <c r="RW3" s="72" t="s">
        <v>34</v>
      </c>
      <c r="RX3" s="72" t="s">
        <v>16</v>
      </c>
      <c r="RY3" s="72" t="s">
        <v>17</v>
      </c>
      <c r="RZ3" s="72" t="s">
        <v>11</v>
      </c>
      <c r="SA3" s="72" t="s">
        <v>18</v>
      </c>
      <c r="SB3" s="72" t="s">
        <v>34</v>
      </c>
      <c r="SC3" s="72" t="s">
        <v>16</v>
      </c>
      <c r="SD3" s="72" t="s">
        <v>17</v>
      </c>
      <c r="SE3" s="72" t="s">
        <v>11</v>
      </c>
      <c r="SF3" s="72" t="s">
        <v>18</v>
      </c>
      <c r="SG3" s="72" t="s">
        <v>34</v>
      </c>
      <c r="SH3" s="12"/>
      <c r="SI3" s="12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2"/>
      <c r="SU3" s="12"/>
      <c r="SV3" s="57" t="s">
        <v>16</v>
      </c>
      <c r="SW3" s="57" t="s">
        <v>17</v>
      </c>
      <c r="SX3" s="57" t="s">
        <v>11</v>
      </c>
      <c r="SY3" s="57" t="s">
        <v>18</v>
      </c>
      <c r="SZ3" s="57" t="s">
        <v>34</v>
      </c>
      <c r="TA3" s="62" t="s">
        <v>16</v>
      </c>
      <c r="TB3" s="62" t="s">
        <v>17</v>
      </c>
      <c r="TC3" s="62" t="s">
        <v>11</v>
      </c>
      <c r="TD3" s="62" t="s">
        <v>18</v>
      </c>
      <c r="TE3" s="62" t="s">
        <v>34</v>
      </c>
      <c r="TF3" s="57" t="s">
        <v>16</v>
      </c>
      <c r="TG3" s="57" t="s">
        <v>17</v>
      </c>
      <c r="TH3" s="57" t="s">
        <v>11</v>
      </c>
      <c r="TI3" s="57" t="s">
        <v>18</v>
      </c>
      <c r="TJ3" s="57" t="s">
        <v>34</v>
      </c>
      <c r="TK3" s="57" t="s">
        <v>60</v>
      </c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</row>
    <row r="4" spans="1:542" x14ac:dyDescent="0.2">
      <c r="A4" s="5" cm="1">
        <f t="array" ref="A4">IF(AND(F4&lt;&gt;"",G4&lt;&gt;""),SUMPRODUCT((F$4:F$23&lt;&gt;"")*(G$4:G$23&lt;&gt;"")*(E$4:E$23&gt;E4))+1,IF(G4&lt;&gt;"",SUMPRODUCT((H$4:H$23="No DD")*(E$4:E$23&gt;E4))+1+SUMPRODUCT((F$4:F$23&lt;&gt;"")*(G$4:G$23&lt;&gt;"")),""))</f>
        <v>1</v>
      </c>
      <c r="B4" s="6" t="s">
        <v>79</v>
      </c>
      <c r="C4" s="7" t="s">
        <v>9</v>
      </c>
      <c r="D4" s="18">
        <v>2001</v>
      </c>
      <c r="E4" s="14">
        <f>SUM(J4:V4)+SUM(J4:T4)*0.0000001+SUM(J4)*0.0000000000001</f>
        <v>266.55502665550586</v>
      </c>
      <c r="F4" s="3" t="str">
        <f>IF(OR(AND(AO4&gt;=AY$25,AO4&lt;&gt;"",AQ4&gt;=AY$29,AQ4&lt;&gt;"",AN4=""),AND(AR4&gt;=AY$25,AR4&lt;&gt;"",AT4&gt;=AY$29,AT4&lt;&gt;"",AN4=""),AND(AV4&gt;=AY$25,AV4&lt;&gt;"",AX4&gt;=AY$29,AX4&lt;&gt;"",AN4=""),AND(BP4&gt;=BZ$25,BP4&lt;&gt;"",BR4&gt;=BZ$29,BR4&lt;&gt;"",BO4=""),AND(BS4&gt;=BZ$25,BS4&lt;&gt;"",BU4&gt;=BZ$29,BU4&lt;&gt;"",BO4=""),AND(BW4&gt;=BZ$25,BW4&lt;&gt;"",BY4&gt;=BZ$29,BY4&lt;&gt;"",BO4=""),AND(CQ4&gt;=DA$25,CQ4&lt;&gt;"",CS4&gt;=DA$29,CS4&lt;&gt;"",CP4=""),AND(CT4&gt;=DA$25,CT4&lt;&gt;"",CV4&gt;=DA$29,CV4&lt;&gt;"",CP4=""),AND(CX4&gt;=DA$25,CX4&lt;&gt;"",CZ4&gt;=DA$29,CZ4&lt;&gt;"",CP4=""),AND(DX4&gt;=EK$25,DX4&lt;&gt;"",DZ4&gt;=EK$29,DZ4&lt;&gt;""),AND(EA4&gt;=EK$25,EA4&lt;&gt;"",EC4&gt;=EK$29,EC4&lt;&gt;""),AND(EE4&gt;=EK$25,EE4&lt;&gt;"",EG4&gt;=EK$29,EG4&lt;&gt;""),AND(EH4&gt;=EK$25,EH4&lt;&gt;"",EJ4&gt;=EK$29,EJ4&lt;&gt;""),AND(FF4&gt;=FS$25,FF4&lt;&gt;"",FH4&gt;=FS$29,FH4&lt;&gt;""),AND(FI4&gt;=FS$25,FI4&lt;&gt;"",FK4&gt;=FS$29,FK4&lt;&gt;""),AND(FM4&gt;=FS$25,FM4&lt;&gt;"",FO4&gt;=FS$29,FO4&lt;&gt;""),AND(FP4&gt;=FS$25,FP4&lt;&gt;"",FR4&gt;=FS$29,FR4&lt;&gt;""),AND(GN4&gt;=HA$25,GN4&lt;&gt;"",GP4&gt;=HA$29,GP4&lt;&gt;""),AND(GQ4&gt;=HA$25,GQ4&lt;&gt;"",GS4&gt;=HA$29,GS4&lt;&gt;""),AND(GU4&gt;=HA$25,GU4&lt;&gt;"",GW4&gt;=HA$29,GW4&lt;&gt;""),AND(GX4&gt;=HA$25,GX4&lt;&gt;"",GZ4&gt;=HA$29,GZ4&lt;&gt;""),AND(HV4&gt;=II$25,HV4&lt;&gt;"",HX4&gt;=II$29,HX4&lt;&gt;""),AND(HY4&gt;=II$25,HY4&lt;&gt;"",IA4&gt;=II$29,IA4&lt;&gt;""),AND(IC4&gt;=II$25,IC4&lt;&gt;"",IE4&gt;=II$29,IE4&lt;&gt;""),AND(IF4&gt;=II$25,IF4&lt;&gt;"",IH4&gt;=II$29,IH4&lt;&gt;""),AND(JD4&gt;=JQ$25,JD4&lt;&gt;"",JF4&gt;=JQ$29,JF4&lt;&gt;""),AND(JG4&gt;=JQ$25,JG4&lt;&gt;"",JI4&gt;=JQ$29,JI4&lt;&gt;""),AND(JK4&gt;=JQ$25,JK4&lt;&gt;"",JM4&gt;=JQ$29,JM4&lt;&gt;""),AND(JN4&gt;=JQ$25,JN4&lt;&gt;"",JP4&gt;=JQ$29,JP4&lt;&gt;""),AND(KL4&gt;=KY$25,KL4&lt;&gt;"",KN4&gt;=KY$29,KN4&lt;&gt;""),AND(KO4&gt;=KY$25,KO4&lt;&gt;"",KQ4&gt;=KY$29,KQ4&lt;&gt;""),AND(KS4&gt;=KY$25,KS4&lt;&gt;"",KU4&gt;=KY$29,KU4&lt;&gt;""),AND(KV4&gt;=KY$25,KV4&lt;&gt;"",KX4&gt;=KY$29,KX4&lt;&gt;""),AND(LT4&gt;=MG$25,LT4&lt;&gt;"",LV4&gt;=MG$29,LV4&lt;&gt;""),AND(LW4&gt;=MG$25,LW4&lt;&gt;"",LY4&gt;=MG$29,LY4&lt;&gt;""),AND(MA4&gt;=MG$25,MA4&lt;&gt;"",MC4&gt;=MG$29,MC4&lt;&gt;""),AND(MD4&gt;=MG$25,MD4&lt;&gt;"",MF4&gt;=MG$29,MF4&lt;&gt;""),AND(NB4&gt;=NO$25,NB4&lt;&gt;"",ND4&gt;=NO$29,ND4&lt;&gt;""),AND(NE4&gt;=NO$25,NE4&lt;&gt;"",NG4&gt;=NO$29,NG4&lt;&gt;""),AND(NI4&gt;=NO$25,NI4&lt;&gt;"",NK4&gt;=NO$29,NK4&lt;&gt;""),AND(NL4&gt;=NO$25,NL4&lt;&gt;"",NN4&gt;=NO$29,NN4&lt;&gt;""),AND(OJ4&gt;=OW$25,OJ4&lt;&gt;"",OL4&gt;=OW$29,OL4&lt;&gt;""),AND(OM4&gt;=OW$25,OM4&lt;&gt;"",OO4&gt;=OW$29,OO4&lt;&gt;""),AND(OQ4&gt;=OW$25,OQ4&lt;&gt;"",OS4&gt;=OW$29,OS4&lt;&gt;""),AND(OT4&gt;=OW$25,OT4&lt;&gt;"",OV4&gt;=OW$29,OV4&lt;&gt;""),AND(PR4&gt;=QE$25,PR4&lt;&gt;"",PT4&gt;=QE$29,PT4&lt;&gt;""),AND(PU4&gt;=QE$25,PU4&lt;&gt;"",PW4&gt;=QE$29,PW4&lt;&gt;""),AND(PY4&gt;=QE$25,PY4&lt;&gt;"",QA4&gt;=QE$29,QA4&lt;&gt;""),AND(QB4&gt;=QE$25,QB4&lt;&gt;"",QD4&gt;=QE$29,QD4&lt;&gt;""),AND(QZ4&gt;=RM$25,QZ4&lt;&gt;"",RB4&gt;=RM$29,RB4&lt;&gt;""),AND(RC4&gt;=RM$25,RC4&lt;&gt;"",RE4&gt;=RM$29,RE4&lt;&gt;""),AND(RG4&gt;=RM$25,RG4&lt;&gt;"",RI4&gt;=RM$29,RI4&lt;&gt;""),AND(RJ4&gt;=RM$25,RJ4&lt;&gt;"",RL4&gt;=RM$29,RL4&lt;&gt;""),AND(SH4&gt;=SU$25,SH4&lt;&gt;"",SJ4&gt;=SU$29,SJ4&lt;&gt;""),AND(SK4&gt;=SU$25,SK4&lt;&gt;"",SM4&gt;=SU$29,SM4&lt;&gt;""),AND(SO4&gt;=SU$25,SO4&lt;&gt;"",SQ4&gt;=SU$29,SQ4&lt;&gt;""),AND(SR4&gt;=SU$25,SR4&lt;&gt;"",ST4&gt;=SU$29,ST4&lt;&gt;"")),"P","")</f>
        <v>P</v>
      </c>
      <c r="G4" s="3" t="str">
        <f>IF(OR(AND(AQ4&gt;=AY$29,AQ4&lt;&gt;"",AN4=""),AND(AT4&gt;=AY$29,AT4&lt;&gt;"",AN4=""),AND(AX4&gt;=AY$29,AX4&lt;&gt;"",AN4=""),AND(BR4&gt;=BZ$29,BR4&lt;&gt;"",BO4=""),AND(BU4&gt;=BZ$29,BU4&lt;&gt;"",BO4=""),AND(BY4&gt;=BZ$29,BY4&lt;&gt;"",BO4=""),AND(CS4&gt;=DA$29,CS4&lt;&gt;"",CP4=""),AND(CV4&gt;=DA$29,CV4&lt;&gt;"",CP4=""),AND(CZ4&gt;=DA$29,CZ4&lt;&gt;"",CP4=""),AND(DZ4&gt;=EK$29,DZ4&lt;&gt;""),AND(EC4&gt;=EK$29,EC4&lt;&gt;""),AND(EG4&gt;=EK$29,EG4&lt;&gt;""),AND(EJ4&gt;=EK$29,EJ4&lt;&gt;""),AND(FH4&gt;=FS$29,FH4&lt;&gt;""),AND(FK4&gt;=FS$29,FK4&lt;&gt;""),AND(FO4&gt;=FS$29,FO4&lt;&gt;""),AND(FR4&gt;=FS$29,FR4&lt;&gt;""),AND(GP4&gt;=HA$29,GP4&lt;&gt;""),AND(GS4&gt;=HA$29,GS4&lt;&gt;""),AND(GW4&gt;=HA$29,GW4&lt;&gt;""),AND(GZ4&gt;=HA$29,GZ4&lt;&gt;""),AND(HX4&gt;=II$29,HX4&lt;&gt;""),AND(IA4&gt;=II$29,IA4&lt;&gt;""),AND(IE4&gt;=II$29,IE4&lt;&gt;""),AND(IH4&gt;=II$29,IH4&lt;&gt;""),AND(JF4&gt;=JQ$29,JF4&lt;&gt;""),AND(JI4&gt;=JQ$29,JI4&lt;&gt;""),AND(JM4&gt;=JQ$29,JM4&lt;&gt;""),AND(JP4&gt;=JQ$29,JP4&lt;&gt;""),AND(KN4&gt;=KY$29,KN4&lt;&gt;""),AND(KQ4&gt;=KY$29,KQ4&lt;&gt;""),AND(KU4&gt;=KY$29,KU4&lt;&gt;""),AND(KX4&gt;=KY$29,KX4&lt;&gt;""),AND(LV4&gt;=MG$29,LV4&lt;&gt;""),AND(LY4&gt;=MG$29,LY4&lt;&gt;""),AND(MC4&gt;=MG$29,MC4&lt;&gt;""),AND(MF4&gt;=MG$29,MF4&lt;&gt;""),AND(ND4&gt;=NO$29,ND4&lt;&gt;""),AND(NG4&gt;=NO$29,NG4&lt;&gt;""),AND(NK4&gt;=NO$29,NK4&lt;&gt;""),AND(NN4&gt;=NO$29,NN4&lt;&gt;""),AND(OL4&gt;=OW$29,OL4&lt;&gt;""),AND(OO4&gt;=OW$29,OO4&lt;&gt;""),AND(OS4&gt;=OW$29,OS4&lt;&gt;""),AND(OV4&gt;=OW$29,OV4&lt;&gt;""),AND(PT4&gt;=QE$29,PT4&lt;&gt;""),AND(PW4&gt;=QE$29,PW4&lt;&gt;""),AND(QA4&gt;=QE$29,QA4&lt;&gt;""),AND(QD4&gt;=QE$29,QD4&lt;&gt;""),AND(RB4&gt;=RM$29,RB4&lt;&gt;""),AND(RE4&gt;=RM$29,RE4&lt;&gt;""),AND(RI4&gt;=RM$29,RI4&lt;&gt;""),AND(RL4&gt;=RM$29,RL4&lt;&gt;""),AND(SJ4&gt;=SU$29,SJ4&lt;&gt;""),AND(SM4&gt;=SU$29,SM4&lt;&gt;""),AND(SQ4&gt;=SU$29,SQ4&lt;&gt;""),AND(ST4&gt;=SU$29,ST4&lt;&gt;"")),"P","")</f>
        <v>P</v>
      </c>
      <c r="H4" s="70" t="str">
        <f>IF(AND(G4="P",F4=""),"No DD",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Merit",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Excellence",IF(I4="P","Worlds Team",IF(F4="P","National Team","")))))</f>
        <v>Excellence</v>
      </c>
      <c r="I4" s="3" t="str">
        <f>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P","")</f>
        <v>P</v>
      </c>
      <c r="J4" s="13">
        <f>IF(COUNT(AQ4,AT4,BR4,BU4,CS4,CV4)&gt;0,LARGE((AQ4,AT4,BR4,BU4,CS4,CV4),1),0)</f>
        <v>58.6</v>
      </c>
      <c r="K4" s="13" t="str">
        <f>IF(J4="","",IF(OR(J4=CS4,J4=CV4),$CA$1,IF(OR(J4=BR4,J4=BU4),$AZ$1,IF(OR(J4=AQ4,J4=AT4),$Y$1,""))))</f>
        <v>2021 Elite Canada</v>
      </c>
      <c r="L4" s="13">
        <f>IF(COUNT(AQ4,AT4,BR4,BU4,CS4,CV4)&gt;1,LARGE((AQ4,AT4,BR4,BU4,CS4,CV4),2),0)</f>
        <v>58.15</v>
      </c>
      <c r="M4" s="13" t="str">
        <f>IF(L4="","",IF(OR(L4=CS4,L4=CV4),$CA$1,IF(OR(L4=BR4,L4=BU4),$AZ$1,IF(OR(L4=AQ4,L4=AT4),$Y$1,""))))</f>
        <v>2021 Elite Canada</v>
      </c>
      <c r="N4" s="13">
        <f>IF(COUNT(AQ4,AT4,BR4,BU4,CS4,CV4)&gt;2,LARGE((AQ4,AT4,BR4,BU4,CS4,CV4),3),0)</f>
        <v>57.92</v>
      </c>
      <c r="O4" s="13" t="str">
        <f>IF(N4="","",IF(OR(N4=CS4,N4=CV4),$CA$1,IF(OR(N4=BR4,N4=BU4),$AZ$1,IF(OR(N4=AQ4,N4=AT4),$Y$1,""))))</f>
        <v>2021 Canadian Championships</v>
      </c>
      <c r="P4" s="13">
        <f>IF(MAX(AX4,BY4,CZ4)&gt;0,MAX(AX4,BY4,CZ4),0)</f>
        <v>58.885000000000005</v>
      </c>
      <c r="Q4" s="13" t="str">
        <f>IF(P4="","",IF(P4=CZ4,$CA$1,IF(P4=BY4,$AZ$1,IF(P4=AX4,$Y$1,""))))</f>
        <v>2021 Canadian Championships</v>
      </c>
      <c r="R4" s="13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15.6</v>
      </c>
      <c r="S4" s="13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Elite Canada</v>
      </c>
      <c r="T4" s="13">
        <f>IF(MAX(IF(AO4&gt;=$AY$25,AP4,0),IF(AR4&gt;=$AY$25,AS4,0),IF(AV4&gt;=$AY$25,AW4,0),IF(BP4&gt;=$BZ$25,BQ4,0),IF(BS4&gt;=$BZ$25,BT4,0),IF(BW4&gt;=$BZ$25,BX4,0),IF(CQ4&gt;=$DA$25,CR4,0),IF(CT4&gt;=$DA$25,CU4,0),IF(CX4&gt;=$DA$25,CY4,0))&gt;0,MAX(IF(AO4&gt;=$AY$25,AP4,0),IF(AR4&gt;=$AY$25,AS4,0),IF(AV4&gt;=$AY$25,AW4,0),IF(BP4&gt;=$BZ$25,BQ4,0),IF(BS4&gt;=$BZ$25,BT4,0),IF(BW4&gt;=$BZ$25,BX4,0),IF(CQ4&gt;=$DA$25,CR4,0),IF(CT4&gt;=$DA$25,CU4,0),IF(CX4&gt;=$DA$25,CY4,0),IF(DX4&gt;=$EK$25,DY4,0),IF(EA4&gt;=$EK$25,EB4,0),IF(EE4&gt;=$EK$25,EF4,0),IF(EH4&gt;=$EK$25,EI4,0),IF(FF4&gt;=$FS$25,FG4,0),IF(FI4&gt;=$FS$25,FJ4,0),IF(FM4&gt;=$FS$25,FN4,0),IF(FP4&gt;=$FS$25,FQ4,0),IF(GN4&gt;=$HA$25,GO4,0),IF(GQ4&gt;=$HA$25,GR4,0),IF(GU4&gt;=$HA$25,GV4,0),IF(GX4&gt;=$HA$25,GY4,0),IF(HV4&gt;=$II$25,HW4,0),IF(HY4&gt;=$II$25,HZ4,0),IF(IC4&gt;=$II$25,ID4,0),IF(IF4&gt;=$II$25,IG4,0),IF(JD4&gt;=$JQ$25,JE4,0),IF(JG4&gt;=$JQ$25,JH4,0),IF(JK4&gt;=$JQ$25,JL4,0),IF(JN4&gt;=$JQ$25,JO4,0),IF(KL4&gt;=$KY$25,KM4,0),IF(KO4&gt;=$KY$25,KP4,0),IF(KS4&gt;=$KY$25,KT4,0),IF(KV4&gt;=$KY$25,KW4,0),IF(LT4&gt;=$MG$25,LU4,0),IF(LW4&gt;=$MG$25,LX4,0),IF(MA4&gt;=$MG$25,MB4,0),IF(MD4&gt;=$MG$25,ME4,0),IF(NB4&gt;=$NO$25,NC4,0),IF(NE4&gt;=$NO$25,NF4,0),IF(NI4&gt;=$NO$25,NJ4,0),IF(NL4&gt;=$NO$25,NM4,0),IF(OJ4&gt;=$OW$25,OK4,0),IF(OM4&gt;=$OW$25,ON4,0),IF(OQ4&gt;=$OW$25,OR4,0),IF(OT4&gt;=$OW$25,OU4,0),IF(PR4&gt;=$QE$25,PS4,0),IF(PU4&gt;=$QE$25,PV4,0),IF(PY4&gt;=$QE$25,PZ4,0),IF(QB4&gt;=$QE$25,QC4,0),IF(QZ4&gt;=$RM$25,RA4,0),IF(RC4&gt;=$RM$25,RD4,0),IF(RG4&gt;=$RM$25,RH4,0),IF(RJ4&gt;=$RM$25,RK4,0),IF(SH4&gt;=$SU$25,SI4,0),IF(SK4&gt;=$SU$25,SL4,0),IF(SO4&gt;=$SU$25,SP4,0),IF(SR4&gt;=$SU$25,SS4,0)),0)</f>
        <v>17.399999999999999</v>
      </c>
      <c r="U4" s="13" t="str">
        <f>IF(T4=0,"",IF(OR(T4=CR4,T4=CU4,T4=CY4),$CA$1,IF(OR(T4=BQ4,T4=BT4,T4=BX4),$AZ$1,IF(OR(T4=AP4,T4=AS4,T4=AW4),$Y$1,IF(OR(R4=SI4,R4=SL4,R4=SP4,R4=SS4),$RN$1,IF(OR(R4=RA4,R4=RD4,R4=RH4,R4=RK4),$QF$1,IF(OR(R4=PS4,R4=PV4,R4=PZ4,R4=QC4),$OX$1,IF(OR(R4=OK4,R4=ON4,R4=OR4,R4=OU4),$NP$1,IF(OR(R4=NC4,R4=NF4,R4=NJ4,R4=NM4),$MH$1,IF(OR(R4=LU4,R4=LX4,R4=MB4,R4=ME4),$KZ$1,IF(OR(R4=KM4,R4=KP4,R4=KT4,R4=KW4),$JR$1,IF(OR(R4=JE4,R4=JH4,R4=JL4,R4=JO4),$IJ$1,IF(OR(R4=HW4,R4=HZ4,R4=ID4,R4=IG4),$HB$1,IF(OR(R4=GO4,R4=GR4,R4=GV4,R4=GY4),$FT$1,IF(OR(R4=FG4,R4=FJ4,R4=FN4,R4=FQ4),$EL$1,IF(OR(R4=DY4,R4=EB4,R4=EF4,R4=EI4),$DD$1,""))))))))))))))))</f>
        <v>2021 Elite Canada</v>
      </c>
      <c r="V4" s="13" t="str">
        <f>IF(MAX(DB4,DC4)&gt;0,MAX(DB4,DC4),"")</f>
        <v/>
      </c>
      <c r="W4" s="16" t="str">
        <f>IF(V4="","",IF(V4=DB4,"("&amp;DB$2&amp;")",IF(V4=DC4,"("&amp;DC$2&amp;")")))</f>
        <v/>
      </c>
      <c r="X4" s="13" t="str">
        <f>IF(V4="","",IF(V4=DB4,IF(V4+IF(L4="",0,L4)=SN4,$RN$1,IF(V4+IF(L4="",0,L4)=RF4,$QF$1,IF(V4+IF(L4="",0,L4)=PX4,$OX$1,IF(V4+IF(L4="",0,L4)=OP4,$NP$1,IF(V4+IF(L4="",0,L4)=NH4,$MH$1,IF(V4+IF(L4="",0,L4)=LZ4,$KZ$1,IF(V4+IF(L4="",0,L4)=KR4,$JR$1,IF(V4+IF(L4="",0,L4)=JJ4,$IJ$1,IF(V4+IF(L4="",0,L4)=IB4,$HB$1,IF(V4+IF(L4="",0,L4)=GT4,$FT$1,IF(V4+IF(L4="",0,L4)=FL4,$EL$1,IF(V4+IF(L4="",0,L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$1)))))))))))))))</f>
        <v/>
      </c>
      <c r="Y4" s="42">
        <v>16.2</v>
      </c>
      <c r="Z4" s="42">
        <v>9.1</v>
      </c>
      <c r="AA4" s="42">
        <v>15.6</v>
      </c>
      <c r="AB4" s="42">
        <v>17.25</v>
      </c>
      <c r="AC4" s="42">
        <v>0</v>
      </c>
      <c r="AD4" s="42">
        <v>16.5</v>
      </c>
      <c r="AE4" s="42">
        <v>9.1</v>
      </c>
      <c r="AF4" s="42">
        <v>15.6</v>
      </c>
      <c r="AG4" s="42">
        <v>17.399999999999999</v>
      </c>
      <c r="AH4" s="42">
        <v>0</v>
      </c>
      <c r="AI4" s="42"/>
      <c r="AJ4" s="42"/>
      <c r="AK4" s="42"/>
      <c r="AL4" s="42"/>
      <c r="AM4" s="42"/>
      <c r="AN4" s="51"/>
      <c r="AO4" s="74">
        <f>IF(AA4&gt;0,AA4,"")</f>
        <v>15.6</v>
      </c>
      <c r="AP4" s="74">
        <f>IF(AB4&gt;0,AB4,"")</f>
        <v>17.25</v>
      </c>
      <c r="AQ4" s="76">
        <f>IF(SUM(Y4:AB4)-AC4&gt;0,SUM(Y4:AB4)-AC4,"")</f>
        <v>58.15</v>
      </c>
      <c r="AR4" s="76">
        <f>IF(AF4&gt;0,AF4,"")</f>
        <v>15.6</v>
      </c>
      <c r="AS4" s="76">
        <f>IF(AG4&gt;0,AG4,"")</f>
        <v>17.399999999999999</v>
      </c>
      <c r="AT4" s="76">
        <f>IF(SUM(AD4:AG4)-AH4&gt;0,SUM(AD4:AG4)-AH4,"")</f>
        <v>58.6</v>
      </c>
      <c r="AU4" s="76">
        <f>IF(AQ4="","",MAX(AQ4,AT4))</f>
        <v>58.6</v>
      </c>
      <c r="AV4" s="76" t="str">
        <f>IF(AK4&gt;0,AK4,"")</f>
        <v/>
      </c>
      <c r="AW4" s="76" t="str">
        <f>IF(AL4&gt;0,AL4,"")</f>
        <v/>
      </c>
      <c r="AX4" s="76" t="str">
        <f>IF(SUM(AI4:AL4)-AM4&gt;0,SUM(AI4:AL4)-AM4,"")</f>
        <v/>
      </c>
      <c r="AY4" s="76">
        <f>IF(SUM(AU4,AX4)&gt;0,SUM(AU4,AX4),"")</f>
        <v>58.6</v>
      </c>
      <c r="AZ4" s="46">
        <v>15.8</v>
      </c>
      <c r="BA4" s="46">
        <v>9.1</v>
      </c>
      <c r="BB4" s="46">
        <v>15</v>
      </c>
      <c r="BC4" s="46">
        <v>16.75</v>
      </c>
      <c r="BD4" s="46">
        <v>0</v>
      </c>
      <c r="BE4" s="46">
        <v>16.100000000000001</v>
      </c>
      <c r="BF4" s="46">
        <v>9</v>
      </c>
      <c r="BG4" s="46">
        <v>15.6</v>
      </c>
      <c r="BH4" s="46">
        <v>17.22</v>
      </c>
      <c r="BI4" s="46">
        <v>0</v>
      </c>
      <c r="BJ4" s="46">
        <v>16.7</v>
      </c>
      <c r="BK4" s="46">
        <v>9.4</v>
      </c>
      <c r="BL4" s="46">
        <v>15.6</v>
      </c>
      <c r="BM4" s="46">
        <v>17.184999999999999</v>
      </c>
      <c r="BN4" s="46">
        <v>0</v>
      </c>
      <c r="BO4" s="52"/>
      <c r="BP4" s="75">
        <f>IF(BB4&gt;0,BB4,"")</f>
        <v>15</v>
      </c>
      <c r="BQ4" s="75">
        <f>IF(BC4&gt;0,BC4,"")</f>
        <v>16.75</v>
      </c>
      <c r="BR4" s="16">
        <f>IF(SUM(AZ4:BC4)-BD4&gt;0,SUM(AZ4:BC4)-BD4,"")</f>
        <v>56.65</v>
      </c>
      <c r="BS4" s="16">
        <f>IF(BG4&gt;0,BG4,"")</f>
        <v>15.6</v>
      </c>
      <c r="BT4" s="16">
        <f>IF(BH4&gt;0,BH4,"")</f>
        <v>17.22</v>
      </c>
      <c r="BU4" s="16">
        <f>IF(SUM(BE4:BH4)-BI4&gt;0,SUM(BE4:BH4)-BI4,"")</f>
        <v>57.92</v>
      </c>
      <c r="BV4" s="16">
        <f>IF(BR4="","",MAX(BR4,BU4))</f>
        <v>57.92</v>
      </c>
      <c r="BW4" s="16">
        <f>IF(BL4&gt;0,BL4,"")</f>
        <v>15.6</v>
      </c>
      <c r="BX4" s="16">
        <f>IF(BM4&gt;0,BM4,"")</f>
        <v>17.184999999999999</v>
      </c>
      <c r="BY4" s="16">
        <f>IF(SUM(BJ4:BM4)-BN4&gt;0,SUM(BJ4:BM4)-BN4,"")</f>
        <v>58.885000000000005</v>
      </c>
      <c r="BZ4" s="16">
        <f>IF(SUM(BV4,BY4)&gt;0,SUM(BV4,BY4),"")</f>
        <v>116.80500000000001</v>
      </c>
      <c r="CA4" s="42">
        <v>16.100000000000001</v>
      </c>
      <c r="CB4" s="42">
        <v>9</v>
      </c>
      <c r="CC4" s="42">
        <v>15</v>
      </c>
      <c r="CD4" s="42">
        <v>17.309999999999999</v>
      </c>
      <c r="CE4" s="42">
        <v>0</v>
      </c>
      <c r="CF4" s="42">
        <v>14.9</v>
      </c>
      <c r="CG4" s="42">
        <v>9</v>
      </c>
      <c r="CH4" s="42">
        <v>12.7</v>
      </c>
      <c r="CI4" s="42">
        <v>17.29</v>
      </c>
      <c r="CJ4" s="42">
        <v>0.8</v>
      </c>
      <c r="CK4" s="42">
        <v>15.7</v>
      </c>
      <c r="CL4" s="42">
        <v>9.4</v>
      </c>
      <c r="CM4" s="42">
        <v>15.6</v>
      </c>
      <c r="CN4" s="42">
        <v>17.350000000000001</v>
      </c>
      <c r="CO4" s="42">
        <v>0</v>
      </c>
      <c r="CP4" s="51"/>
      <c r="CQ4" s="74">
        <f>IF(CC4&gt;0,CC4,"")</f>
        <v>15</v>
      </c>
      <c r="CR4" s="74">
        <f>IF(CD4&gt;0,CD4,"")</f>
        <v>17.309999999999999</v>
      </c>
      <c r="CS4" s="76">
        <f>IF(SUM(CA4:CD4)-CE4&gt;0,SUM(CA4:CD4)-CE4,"")</f>
        <v>57.41</v>
      </c>
      <c r="CT4" s="76">
        <f>IF(CH4&gt;0,CH4,"")</f>
        <v>12.7</v>
      </c>
      <c r="CU4" s="76">
        <f>IF(CI4&gt;0,CI4,"")</f>
        <v>17.29</v>
      </c>
      <c r="CV4" s="76">
        <f>IF(SUM(CF4:CI4)-CJ4&gt;0,SUM(CF4:CI4)-CJ4,"")</f>
        <v>53.089999999999996</v>
      </c>
      <c r="CW4" s="76">
        <f>IF(CS4="","",MAX(CS4,CV4))</f>
        <v>57.41</v>
      </c>
      <c r="CX4" s="76">
        <f>IF(CM4&gt;0,CM4,"")</f>
        <v>15.6</v>
      </c>
      <c r="CY4" s="76">
        <f>IF(CN4&gt;0,CN4,"")</f>
        <v>17.350000000000001</v>
      </c>
      <c r="CZ4" s="76">
        <f>IF(SUM(CK4:CN4)-CO4&gt;0,SUM(CK4:CN4)-CO4,"")</f>
        <v>58.050000000000004</v>
      </c>
      <c r="DA4" s="76">
        <f>IF(SUM(CW4,CZ4)&gt;0,SUM(CW4,CZ4),"")</f>
        <v>115.46000000000001</v>
      </c>
      <c r="DB4" s="87" t="str">
        <f>IF(L4&gt;=0.001,IF(MAX(ED4,FL4,GT4,IB4,JJ4,KR4,LZ4,NH4,OP4,PX4,RF4,SN4)-IF(L4="",0,L4)&gt;0.001,MAX(ED4,FL4,GT4,IB4,JJ4,KR4,LZ4,NH4,OP4,PX4,RF4,SN4)-IF(L4="",0,L4),""),"")</f>
        <v/>
      </c>
      <c r="DC4" s="87" t="str">
        <f>IF(P4&gt;=0.001,IF(MAX(EG4,EJ4,FO4,FR4,GW4,GZ4,IE4,IH4,JM4,JP4,KU4,KX4,MC4,MF4,NK4,NN4,OS4,OV4,QA4,QD4,RI4,RL4,SQ4,ST4)-IF(P4="",0,P4)&gt;0.001,MAX(EG4,EJ4,FO4,FR4,GW4,GZ4,IE4,IH4,JM4,JP4,KU4,KX4,MC4,MF4,NK4,NN4,OS4,OV4,QA4,QD4,RI4,RL4,SQ4,ST4)-IF(P4="",0,P4),""),"")</f>
        <v/>
      </c>
      <c r="DD4" s="25">
        <v>15.8</v>
      </c>
      <c r="DE4" s="25">
        <v>9.4</v>
      </c>
      <c r="DF4" s="25">
        <v>15.6</v>
      </c>
      <c r="DG4" s="25">
        <v>17.399999999999999</v>
      </c>
      <c r="DH4" s="25">
        <v>0.6</v>
      </c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>
        <v>14.8</v>
      </c>
      <c r="DT4" s="25">
        <v>8.9</v>
      </c>
      <c r="DU4" s="25">
        <v>15.6</v>
      </c>
      <c r="DV4" s="25">
        <v>17.079999999999998</v>
      </c>
      <c r="DW4" s="25">
        <v>0</v>
      </c>
      <c r="DX4" s="76">
        <f>IF(DF4&gt;0,DF4,"")</f>
        <v>15.6</v>
      </c>
      <c r="DY4" s="76">
        <f>IF(DG4&gt;0,DG4,"")</f>
        <v>17.399999999999999</v>
      </c>
      <c r="DZ4" s="76">
        <f>IF(SUM(DD4:DG4)-DH4&gt;0,SUM(DD4:DG4)-DH4,"")</f>
        <v>57.6</v>
      </c>
      <c r="EA4" s="76" t="str">
        <f>IF(DK4&gt;0,DK4,"")</f>
        <v/>
      </c>
      <c r="EB4" s="76" t="str">
        <f>IF(DL4&gt;0,DL4,"")</f>
        <v/>
      </c>
      <c r="EC4" s="76" t="str">
        <f>IF(SUM(DI4:DL4)-DM4&gt;0,SUM(DI4:DL4)-DM4,"")</f>
        <v/>
      </c>
      <c r="ED4" s="76">
        <f>IF(MAX(DZ4,EC4)&gt;0,MAX(DZ4,EC4),"")</f>
        <v>57.6</v>
      </c>
      <c r="EE4" s="76" t="str">
        <f>IF(DP4&gt;0,DP4,"")</f>
        <v/>
      </c>
      <c r="EF4" s="76" t="str">
        <f>IF(DQ4&gt;0,DQ4,"")</f>
        <v/>
      </c>
      <c r="EG4" s="76" t="str">
        <f>IF(SUM(DN4:DQ4)-DR4&gt;0,SUM(DN4:DQ4)-DR4,"")</f>
        <v/>
      </c>
      <c r="EH4" s="76">
        <f>IF(DU4&gt;0,DU4,"")</f>
        <v>15.6</v>
      </c>
      <c r="EI4" s="76">
        <f>IF(DV4&gt;0,DV4,"")</f>
        <v>17.079999999999998</v>
      </c>
      <c r="EJ4" s="76">
        <f>IF(SUM(DS4:DV4)-DW4&gt;0,SUM(DS4:DV4)-DW4,"")</f>
        <v>56.38</v>
      </c>
      <c r="EK4" s="76">
        <f>IF(SUM(ED4,EJ4)&gt;0,SUM(ED4,EJ4),"")</f>
        <v>113.98</v>
      </c>
      <c r="EL4" s="26">
        <v>14.9</v>
      </c>
      <c r="EM4" s="26">
        <v>9.1999999999999993</v>
      </c>
      <c r="EN4" s="26">
        <v>15.4</v>
      </c>
      <c r="EO4" s="26">
        <v>16.43</v>
      </c>
      <c r="EP4" s="26">
        <v>0</v>
      </c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16">
        <f>IF(EN4&gt;0,EN4,"")</f>
        <v>15.4</v>
      </c>
      <c r="FG4" s="16">
        <f>IF(EO4&gt;0,EO4,"")</f>
        <v>16.43</v>
      </c>
      <c r="FH4" s="16">
        <f>IF(SUM(EL4:EO4)-EP4&gt;0,SUM(EL4:EO4)-EP4,"")</f>
        <v>55.93</v>
      </c>
      <c r="FI4" s="16" t="str">
        <f>IF(ES4&gt;0,ES4,"")</f>
        <v/>
      </c>
      <c r="FJ4" s="16" t="str">
        <f>IF(ET4&gt;0,ET4,"")</f>
        <v/>
      </c>
      <c r="FK4" s="16" t="str">
        <f>IF(SUM(EQ4:ET4)-EU4&gt;0,SUM(EQ4:ET4)-EU4,"")</f>
        <v/>
      </c>
      <c r="FL4" s="16">
        <f>IF(MAX(FH4,FK4)&gt;0,MAX(FH4,FK4),"")</f>
        <v>55.93</v>
      </c>
      <c r="FM4" s="16" t="str">
        <f>IF(EX4&gt;0,EX4,"")</f>
        <v/>
      </c>
      <c r="FN4" s="16" t="str">
        <f>IF(EY4&gt;0,EY4,"")</f>
        <v/>
      </c>
      <c r="FO4" s="16" t="str">
        <f>IF(SUM(EV4:EY4)-EZ4&gt;0,SUM(EV4:EY4)-EZ4,"")</f>
        <v/>
      </c>
      <c r="FP4" s="16" t="str">
        <f>IF(FC4&gt;0,FC4,"")</f>
        <v/>
      </c>
      <c r="FQ4" s="16" t="str">
        <f>IF(FD4&gt;0,FD4,"")</f>
        <v/>
      </c>
      <c r="FR4" s="16" t="str">
        <f>IF(SUM(FA4:FD4)-FE4&gt;0,SUM(FA4:FD4)-FE4,"")</f>
        <v/>
      </c>
      <c r="FS4" s="16">
        <f>IF(SUM(FL4,FR4)&gt;0,SUM(FL4,FR4),"")</f>
        <v>55.93</v>
      </c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>
        <v>14.8</v>
      </c>
      <c r="GJ4" s="25">
        <v>9.4</v>
      </c>
      <c r="GK4" s="25">
        <v>15.6</v>
      </c>
      <c r="GL4" s="25">
        <v>16.614999999999998</v>
      </c>
      <c r="GM4" s="25">
        <v>0</v>
      </c>
      <c r="GN4" s="76" t="str">
        <f>IF(FV4&gt;0,FV4,"")</f>
        <v/>
      </c>
      <c r="GO4" s="76" t="str">
        <f>IF(FW4&gt;0,FW4,"")</f>
        <v/>
      </c>
      <c r="GP4" s="76" t="str">
        <f>IF(SUM(FT4:FW4)-FX4&gt;0,SUM(FT4:FW4)-FX4,"")</f>
        <v/>
      </c>
      <c r="GQ4" s="76" t="str">
        <f>IF(GA4&gt;0,GA4,"")</f>
        <v/>
      </c>
      <c r="GR4" s="76" t="str">
        <f>IF(GB4&gt;0,GB4,"")</f>
        <v/>
      </c>
      <c r="GS4" s="76" t="str">
        <f>IF(SUM(FY4:GB4)-GC4&gt;0,SUM(FY4:GB4)-GC4,"")</f>
        <v/>
      </c>
      <c r="GT4" s="76" t="str">
        <f>IF(MAX(GP4,GS4)&gt;0,MAX(GP4,GS4),"")</f>
        <v/>
      </c>
      <c r="GU4" s="76" t="str">
        <f>IF(GF4&gt;0,GF4,"")</f>
        <v/>
      </c>
      <c r="GV4" s="76" t="str">
        <f>IF(GG4&gt;0,GG4,"")</f>
        <v/>
      </c>
      <c r="GW4" s="76" t="str">
        <f>IF(SUM(GD4:GG4)-GH4&gt;0,SUM(GD4:GG4)-GH4,"")</f>
        <v/>
      </c>
      <c r="GX4" s="76">
        <f>IF(GK4&gt;0,GK4,"")</f>
        <v>15.6</v>
      </c>
      <c r="GY4" s="76">
        <f>IF(GL4&gt;0,GL4,"")</f>
        <v>16.614999999999998</v>
      </c>
      <c r="GZ4" s="76">
        <f>IF(SUM(GI4:GL4)-GM4&gt;0,SUM(GI4:GL4)-GM4,"")</f>
        <v>56.415000000000006</v>
      </c>
      <c r="HA4" s="76">
        <f>IF(SUM(GT4,GZ4)&gt;0,SUM(GT4,GZ4),"")</f>
        <v>56.415000000000006</v>
      </c>
      <c r="HB4" s="26">
        <v>14.4</v>
      </c>
      <c r="HC4" s="26">
        <v>9.5</v>
      </c>
      <c r="HD4" s="26">
        <v>15.4</v>
      </c>
      <c r="HE4" s="26">
        <v>16.574999999999999</v>
      </c>
      <c r="HF4" s="26">
        <v>0</v>
      </c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>
        <v>3</v>
      </c>
      <c r="HR4" s="26">
        <v>1.8</v>
      </c>
      <c r="HS4" s="26">
        <v>3.2</v>
      </c>
      <c r="HT4" s="26">
        <v>3.5649999999999999</v>
      </c>
      <c r="HU4" s="26">
        <v>0</v>
      </c>
      <c r="HV4" s="16">
        <f>IF(HD4&gt;0,HD4,"")</f>
        <v>15.4</v>
      </c>
      <c r="HW4" s="16">
        <f>IF(HE4&gt;0,HE4,"")</f>
        <v>16.574999999999999</v>
      </c>
      <c r="HX4" s="16">
        <f>IF(SUM(HB4:HE4)-HF4&gt;0,SUM(HB4:HE4)-HF4,"")</f>
        <v>55.875</v>
      </c>
      <c r="HY4" s="16" t="str">
        <f>IF(HI4&gt;0,HI4,"")</f>
        <v/>
      </c>
      <c r="HZ4" s="16" t="str">
        <f>IF(HJ4&gt;0,HJ4,"")</f>
        <v/>
      </c>
      <c r="IA4" s="16" t="str">
        <f>IF(SUM(HG4:HJ4)-HK4&gt;0,SUM(HG4:HJ4)-HK4,"")</f>
        <v/>
      </c>
      <c r="IB4" s="16">
        <f>IF(MAX(HX4,IA4)&gt;0,MAX(HX4,IA4),"")</f>
        <v>55.875</v>
      </c>
      <c r="IC4" s="16" t="str">
        <f>IF(HN4&gt;0,HN4,"")</f>
        <v/>
      </c>
      <c r="ID4" s="16" t="str">
        <f>IF(HO4&gt;0,HO4,"")</f>
        <v/>
      </c>
      <c r="IE4" s="16" t="str">
        <f>IF(SUM(HL4:HO4)-HP4&gt;0,SUM(HL4:HO4)-HP4,"")</f>
        <v/>
      </c>
      <c r="IF4" s="16">
        <f>IF(HS4&gt;0,HS4,"")</f>
        <v>3.2</v>
      </c>
      <c r="IG4" s="16">
        <f>IF(HT4&gt;0,HT4,"")</f>
        <v>3.5649999999999999</v>
      </c>
      <c r="IH4" s="16">
        <f>IF(SUM(HQ4:HT4)-HU4&gt;0,SUM(HQ4:HT4)-HU4,"")</f>
        <v>11.565</v>
      </c>
      <c r="II4" s="16">
        <f>IF(SUM(IB4,IH4)&gt;0,SUM(IB4,IH4),"")</f>
        <v>67.44</v>
      </c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76" t="str">
        <f>IF(IL4&gt;0,IL4,"")</f>
        <v/>
      </c>
      <c r="JE4" s="76" t="str">
        <f>IF(IM4&gt;0,IM4,"")</f>
        <v/>
      </c>
      <c r="JF4" s="76" t="str">
        <f>IF(SUM(IJ4:IM4)-IN4&gt;0,SUM(IJ4:IM4)-IN4,"")</f>
        <v/>
      </c>
      <c r="JG4" s="76" t="str">
        <f>IF(IQ4&gt;0,IQ4,"")</f>
        <v/>
      </c>
      <c r="JH4" s="76" t="str">
        <f>IF(IR4&gt;0,IR4,"")</f>
        <v/>
      </c>
      <c r="JI4" s="76" t="str">
        <f>IF(SUM(IO4:IR4)-IS4&gt;0,SUM(IO4:IR4)-IS4,"")</f>
        <v/>
      </c>
      <c r="JJ4" s="76" t="str">
        <f>IF(MAX(JF4,JI4)&gt;0,MAX(JF4,JI4),"")</f>
        <v/>
      </c>
      <c r="JK4" s="76" t="str">
        <f>IF(IV4&gt;0,IV4,"")</f>
        <v/>
      </c>
      <c r="JL4" s="76" t="str">
        <f>IF(IW4&gt;0,IW4,"")</f>
        <v/>
      </c>
      <c r="JM4" s="76" t="str">
        <f>IF(SUM(IT4:IW4)-IX4&gt;0,SUM(IT4:IW4)-IX4,"")</f>
        <v/>
      </c>
      <c r="JN4" s="76" t="str">
        <f>IF(JA4&gt;0,JA4,"")</f>
        <v/>
      </c>
      <c r="JO4" s="76" t="str">
        <f>IF(JB4&gt;0,JB4,"")</f>
        <v/>
      </c>
      <c r="JP4" s="76" t="str">
        <f>IF(SUM(IY4:JB4)-JC4&gt;0,SUM(IY4:JB4)-JC4,"")</f>
        <v/>
      </c>
      <c r="JQ4" s="76" t="str">
        <f>IF(SUM(JJ4,JP4)&gt;0,SUM(JJ4,JP4),"")</f>
        <v/>
      </c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16" t="str">
        <f>IF(JT4&gt;0,JT4,"")</f>
        <v/>
      </c>
      <c r="KM4" s="16" t="str">
        <f>IF(JU4&gt;0,JU4,"")</f>
        <v/>
      </c>
      <c r="KN4" s="16" t="str">
        <f>IF(SUM(JR4:JU4)-JV4&gt;0,SUM(JR4:JU4)-JV4,"")</f>
        <v/>
      </c>
      <c r="KO4" s="16" t="str">
        <f>IF(JY4&gt;0,JY4,"")</f>
        <v/>
      </c>
      <c r="KP4" s="16" t="str">
        <f>IF(JZ4&gt;0,JZ4,"")</f>
        <v/>
      </c>
      <c r="KQ4" s="16" t="str">
        <f>IF(SUM(JW4:JZ4)-KA4&gt;0,SUM(JW4:JZ4)-KA4,"")</f>
        <v/>
      </c>
      <c r="KR4" s="16" t="str">
        <f>IF(MAX(KN4,KQ4)&gt;0,MAX(KN4,KQ4),"")</f>
        <v/>
      </c>
      <c r="KS4" s="16" t="str">
        <f>IF(KD4&gt;0,KD4,"")</f>
        <v/>
      </c>
      <c r="KT4" s="16" t="str">
        <f>IF(KE4&gt;0,KE4,"")</f>
        <v/>
      </c>
      <c r="KU4" s="16" t="str">
        <f>IF(SUM(KB4:KE4)-KF4&gt;0,SUM(KB4:KE4)-KF4,"")</f>
        <v/>
      </c>
      <c r="KV4" s="16" t="str">
        <f>IF(KI4&gt;0,KI4,"")</f>
        <v/>
      </c>
      <c r="KW4" s="16" t="str">
        <f>IF(KJ4&gt;0,KJ4,"")</f>
        <v/>
      </c>
      <c r="KX4" s="16" t="str">
        <f>IF(SUM(KG4:KJ4)-KK4&gt;0,SUM(KG4:KJ4)-KK4,"")</f>
        <v/>
      </c>
      <c r="KY4" s="16" t="str">
        <f>IF(SUM(KR4,KX4)&gt;0,SUM(KR4,KX4),"")</f>
        <v/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25"/>
      <c r="LS4" s="25"/>
      <c r="LT4" s="76" t="str">
        <f>IF(LB4&gt;0,LB4,"")</f>
        <v/>
      </c>
      <c r="LU4" s="76" t="str">
        <f>IF(LC4&gt;0,LC4,"")</f>
        <v/>
      </c>
      <c r="LV4" s="76" t="str">
        <f>IF(SUM(KZ4:LC4)-LD4&gt;0,SUM(KZ4:LC4)-LD4,"")</f>
        <v/>
      </c>
      <c r="LW4" s="76" t="str">
        <f>IF(LG4&gt;0,LG4,"")</f>
        <v/>
      </c>
      <c r="LX4" s="76" t="str">
        <f>IF(LH4&gt;0,LH4,"")</f>
        <v/>
      </c>
      <c r="LY4" s="76" t="str">
        <f>IF(SUM(LE4:LH4)-LI4&gt;0,SUM(LE4:LH4)-LI4,"")</f>
        <v/>
      </c>
      <c r="LZ4" s="76" t="str">
        <f>IF(MAX(LV4,LY4)&gt;0,MAX(LV4,LY4),"")</f>
        <v/>
      </c>
      <c r="MA4" s="76" t="str">
        <f>IF(LL4&gt;0,LL4,"")</f>
        <v/>
      </c>
      <c r="MB4" s="76" t="str">
        <f>IF(LM4&gt;0,LM4,"")</f>
        <v/>
      </c>
      <c r="MC4" s="76" t="str">
        <f>IF(SUM(LJ4:LM4)-LN4&gt;0,SUM(LJ4:LM4)-LN4,"")</f>
        <v/>
      </c>
      <c r="MD4" s="76" t="str">
        <f>IF(LQ4&gt;0,LQ4,"")</f>
        <v/>
      </c>
      <c r="ME4" s="76" t="str">
        <f>IF(LR4&gt;0,LR4,"")</f>
        <v/>
      </c>
      <c r="MF4" s="76" t="str">
        <f>IF(SUM(LO4:LR4)-LS4&gt;0,SUM(LO4:LR4)-LS4,"")</f>
        <v/>
      </c>
      <c r="MG4" s="76" t="str">
        <f>IF(SUM(LZ4,MF4)&gt;0,SUM(LZ4,MF4),"")</f>
        <v/>
      </c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16" t="str">
        <f>IF(MJ4&gt;0,MJ4,"")</f>
        <v/>
      </c>
      <c r="NC4" s="16" t="str">
        <f>IF(MK4&gt;0,MK4,"")</f>
        <v/>
      </c>
      <c r="ND4" s="16" t="str">
        <f>IF(SUM(MH4:MK4)-ML4&gt;0,SUM(MH4:MK4)-ML4,"")</f>
        <v/>
      </c>
      <c r="NE4" s="16" t="str">
        <f>IF(MO4&gt;0,MO4,"")</f>
        <v/>
      </c>
      <c r="NF4" s="16" t="str">
        <f>IF(MP4&gt;0,MP4,"")</f>
        <v/>
      </c>
      <c r="NG4" s="16" t="str">
        <f>IF(SUM(MM4:MP4)-MQ4&gt;0,SUM(MM4:MP4)-MQ4,"")</f>
        <v/>
      </c>
      <c r="NH4" s="16" t="str">
        <f>IF(MAX(ND4,NG4)&gt;0,MAX(ND4,NG4),"")</f>
        <v/>
      </c>
      <c r="NI4" s="16" t="str">
        <f>IF(MT4&gt;0,MT4,"")</f>
        <v/>
      </c>
      <c r="NJ4" s="16" t="str">
        <f>IF(MU4&gt;0,MU4,"")</f>
        <v/>
      </c>
      <c r="NK4" s="16" t="str">
        <f>IF(SUM(MR4:MU4)-MV4&gt;0,SUM(MR4:MU4)-MV4,"")</f>
        <v/>
      </c>
      <c r="NL4" s="16" t="str">
        <f>IF(MY4&gt;0,MY4,"")</f>
        <v/>
      </c>
      <c r="NM4" s="16" t="str">
        <f>IF(MZ4&gt;0,MZ4,"")</f>
        <v/>
      </c>
      <c r="NN4" s="16" t="str">
        <f>IF(SUM(MW4:MZ4)-NA4&gt;0,SUM(MW4:MZ4)-NA4,"")</f>
        <v/>
      </c>
      <c r="NO4" s="16" t="str">
        <f>IF(SUM(NH4,NN4)&gt;0,SUM(NH4,NN4),"")</f>
        <v/>
      </c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76" t="str">
        <f>IF(NR4&gt;0,NR4,"")</f>
        <v/>
      </c>
      <c r="OK4" s="76" t="str">
        <f>IF(NS4&gt;0,NS4,"")</f>
        <v/>
      </c>
      <c r="OL4" s="76" t="str">
        <f>IF(SUM(NP4:NS4)-NT4&gt;0,SUM(NP4:NS4)-NT4,"")</f>
        <v/>
      </c>
      <c r="OM4" s="76" t="str">
        <f>IF(NW4&gt;0,NW4,"")</f>
        <v/>
      </c>
      <c r="ON4" s="76" t="str">
        <f>IF(NX4&gt;0,NX4,"")</f>
        <v/>
      </c>
      <c r="OO4" s="76" t="str">
        <f>IF(SUM(NU4:NX4)-NY4&gt;0,SUM(NU4:NX4)-NY4,"")</f>
        <v/>
      </c>
      <c r="OP4" s="76" t="str">
        <f>IF(MAX(OL4,OO4)&gt;0,MAX(OL4,OO4),"")</f>
        <v/>
      </c>
      <c r="OQ4" s="76" t="str">
        <f>IF(OB4&gt;0,OB4,"")</f>
        <v/>
      </c>
      <c r="OR4" s="76" t="str">
        <f>IF(OC4&gt;0,OC4,"")</f>
        <v/>
      </c>
      <c r="OS4" s="76" t="str">
        <f>IF(SUM(NZ4:OC4)-OD4&gt;0,SUM(NZ4:OC4)-OD4,"")</f>
        <v/>
      </c>
      <c r="OT4" s="76" t="str">
        <f>IF(OG4&gt;0,OG4,"")</f>
        <v/>
      </c>
      <c r="OU4" s="76" t="str">
        <f>IF(OH4&gt;0,OH4,"")</f>
        <v/>
      </c>
      <c r="OV4" s="76" t="str">
        <f>IF(SUM(OE4:OH4)-OI4&gt;0,SUM(OE4:OH4)-OI4,"")</f>
        <v/>
      </c>
      <c r="OW4" s="76" t="str">
        <f>IF(SUM(OP4,OV4)&gt;0,SUM(OP4,OV4),"")</f>
        <v/>
      </c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16" t="str">
        <f>IF(OZ4&gt;0,OZ4,"")</f>
        <v/>
      </c>
      <c r="PS4" s="16" t="str">
        <f>IF(PA4&gt;0,PA4,"")</f>
        <v/>
      </c>
      <c r="PT4" s="16" t="str">
        <f>IF(SUM(OX4:PA4)-PB4&gt;0,SUM(OX4:PA4)-PB4,"")</f>
        <v/>
      </c>
      <c r="PU4" s="16" t="str">
        <f>IF(PE4&gt;0,PE4,"")</f>
        <v/>
      </c>
      <c r="PV4" s="16" t="str">
        <f>IF(PF4&gt;0,PF4,"")</f>
        <v/>
      </c>
      <c r="PW4" s="16" t="str">
        <f>IF(SUM(PC4:PF4)-PG4&gt;0,SUM(PC4:PF4)-PG4,"")</f>
        <v/>
      </c>
      <c r="PX4" s="16" t="str">
        <f>IF(MAX(PT4,PW4)&gt;0,MAX(PT4,PW4),"")</f>
        <v/>
      </c>
      <c r="PY4" s="16" t="str">
        <f>IF(PJ4&gt;0,PJ4,"")</f>
        <v/>
      </c>
      <c r="PZ4" s="16" t="str">
        <f>IF(PK4&gt;0,PK4,"")</f>
        <v/>
      </c>
      <c r="QA4" s="16" t="str">
        <f>IF(SUM(PH4:PK4)-PL4&gt;0,SUM(PH4:PK4)-PL4,"")</f>
        <v/>
      </c>
      <c r="QB4" s="16" t="str">
        <f>IF(PO4&gt;0,PO4,"")</f>
        <v/>
      </c>
      <c r="QC4" s="16" t="str">
        <f>IF(PP4&gt;0,PP4,"")</f>
        <v/>
      </c>
      <c r="QD4" s="16" t="str">
        <f>IF(SUM(PM4:PP4)-PQ4&gt;0,SUM(PM4:PP4)-PQ4,"")</f>
        <v/>
      </c>
      <c r="QE4" s="16" t="str">
        <f>IF(SUM(PX4,QD4)&gt;0,SUM(PX4,QD4),"")</f>
        <v/>
      </c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76" t="str">
        <f>IF(QH4&gt;0,QH4,"")</f>
        <v/>
      </c>
      <c r="RA4" s="76" t="str">
        <f>IF(QI4&gt;0,QI4,"")</f>
        <v/>
      </c>
      <c r="RB4" s="76" t="str">
        <f>IF(SUM(QF4:QI4)-QJ4&gt;0,SUM(QF4:QI4)-QJ4,"")</f>
        <v/>
      </c>
      <c r="RC4" s="76" t="str">
        <f>IF(QM4&gt;0,QM4,"")</f>
        <v/>
      </c>
      <c r="RD4" s="76" t="str">
        <f>IF(QN4&gt;0,QN4,"")</f>
        <v/>
      </c>
      <c r="RE4" s="76" t="str">
        <f>IF(SUM(QK4:QN4)-QO4&gt;0,SUM(QK4:QN4)-QO4,"")</f>
        <v/>
      </c>
      <c r="RF4" s="76" t="str">
        <f>IF(MAX(RB4,RE4)&gt;0,MAX(RB4,RE4),"")</f>
        <v/>
      </c>
      <c r="RG4" s="76" t="str">
        <f>IF(QR4&gt;0,QR4,"")</f>
        <v/>
      </c>
      <c r="RH4" s="76" t="str">
        <f>IF(QS4&gt;0,QS4,"")</f>
        <v/>
      </c>
      <c r="RI4" s="76" t="str">
        <f>IF(SUM(QP4:QS4)-QT4&gt;0,SUM(QP4:QS4)-QT4,"")</f>
        <v/>
      </c>
      <c r="RJ4" s="76" t="str">
        <f>IF(QW4&gt;0,QW4,"")</f>
        <v/>
      </c>
      <c r="RK4" s="76" t="str">
        <f>IF(QX4&gt;0,QX4,"")</f>
        <v/>
      </c>
      <c r="RL4" s="76" t="str">
        <f>IF(SUM(QU4:QX4)-QY4&gt;0,SUM(QU4:QX4)-QY4,"")</f>
        <v/>
      </c>
      <c r="RM4" s="76" t="str">
        <f>IF(SUM(RF4,RL4)&gt;0,SUM(RF4,RL4),"")</f>
        <v/>
      </c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16" t="str">
        <f>IF(RP4&gt;0,RP4,"")</f>
        <v/>
      </c>
      <c r="SI4" s="16" t="str">
        <f>IF(RQ4&gt;0,RQ4,"")</f>
        <v/>
      </c>
      <c r="SJ4" s="16" t="str">
        <f>IF(SUM(RN4:RQ4)-RR4&gt;0,SUM(RN4:RQ4)-RR4,"")</f>
        <v/>
      </c>
      <c r="SK4" s="16" t="str">
        <f>IF(RU4&gt;0,RU4,"")</f>
        <v/>
      </c>
      <c r="SL4" s="16" t="str">
        <f>IF(RV4&gt;0,RV4,"")</f>
        <v/>
      </c>
      <c r="SM4" s="16" t="str">
        <f>IF(SUM(RS4:RV4)-RW4&gt;0,SUM(RS4:RV4)-RW4,"")</f>
        <v/>
      </c>
      <c r="SN4" s="16" t="str">
        <f>IF(MAX(SJ4,SM4)&gt;0,MAX(SJ4,SM4),"")</f>
        <v/>
      </c>
      <c r="SO4" s="16" t="str">
        <f>IF(RZ4&gt;0,RZ4,"")</f>
        <v/>
      </c>
      <c r="SP4" s="16" t="str">
        <f>IF(SA4&gt;0,SA4,"")</f>
        <v/>
      </c>
      <c r="SQ4" s="16" t="str">
        <f>IF(SUM(RX4:SA4)-SB4&gt;0,SUM(RX4:SA4)-SB4,"")</f>
        <v/>
      </c>
      <c r="SR4" s="16" t="str">
        <f>IF(SE4&gt;0,SE4,"")</f>
        <v/>
      </c>
      <c r="SS4" s="16" t="str">
        <f>IF(SF4&gt;0,SF4,"")</f>
        <v/>
      </c>
      <c r="ST4" s="16" t="str">
        <f>IF(SUM(SC4:SF4)-SG4&gt;0,SUM(SC4:SF4)-SG4,"")</f>
        <v/>
      </c>
      <c r="SU4" s="16" t="str">
        <f>IF(SUM(SN4,ST4)&gt;0,SUM(SN4,ST4),"")</f>
        <v/>
      </c>
      <c r="SV4" s="42">
        <f>IF($CP4="P",CA4,(CA4+AZ4)/2)</f>
        <v>15.950000000000001</v>
      </c>
      <c r="SW4" s="42">
        <f>IF($CP4="P",CB4,(CB4+BA4)/2)</f>
        <v>9.0500000000000007</v>
      </c>
      <c r="SX4" s="42">
        <f>IF($CP4="P",CC4,(CC4+BB4)/2)</f>
        <v>15</v>
      </c>
      <c r="SY4" s="42">
        <f>IF($CP4="P",CD4,(CD4+BC4)/2)</f>
        <v>17.03</v>
      </c>
      <c r="SZ4" s="42">
        <f>IF($CP4="P",CE4,(CE4+BD4)/2)</f>
        <v>0</v>
      </c>
      <c r="TA4" s="42">
        <f>IF($CP4="P",CF4,(CF4+BE4)/2)</f>
        <v>15.5</v>
      </c>
      <c r="TB4" s="42">
        <f>IF($CP4="P",CG4,(CG4+BF4)/2)</f>
        <v>9</v>
      </c>
      <c r="TC4" s="42">
        <f>IF($CP4="P",CH4,(CH4+BG4)/2)</f>
        <v>14.149999999999999</v>
      </c>
      <c r="TD4" s="42">
        <f>IF($CP4="P",CI4,(CI4+BH4)/2)</f>
        <v>17.254999999999999</v>
      </c>
      <c r="TE4" s="42">
        <f>IF($CP4="P",CJ4,(CJ4+BI4)/2)</f>
        <v>0.4</v>
      </c>
      <c r="TF4" s="42">
        <f>IF($CP4="P",CK4,(CK4+BJ4)/2)</f>
        <v>16.2</v>
      </c>
      <c r="TG4" s="42">
        <f>IF($CP4="P",CL4,(CL4+BK4)/2)</f>
        <v>9.4</v>
      </c>
      <c r="TH4" s="42">
        <f>IF($CP4="P",CM4,(CM4+BL4)/2)</f>
        <v>15.6</v>
      </c>
      <c r="TI4" s="42">
        <f>IF($CP4="P",CN4,(CN4+BM4)/2)</f>
        <v>17.267499999999998</v>
      </c>
      <c r="TJ4" s="42">
        <f>IF($CP4="P",CO4,(CO4+BN4)/2)</f>
        <v>0</v>
      </c>
      <c r="TK4" s="51" t="s">
        <v>61</v>
      </c>
      <c r="TL4" s="76">
        <f>IF(SX4&gt;0,SX4,"")</f>
        <v>15</v>
      </c>
      <c r="TM4" s="76">
        <f>IF(SY4&gt;0,SY4,"")</f>
        <v>17.03</v>
      </c>
      <c r="TN4" s="76">
        <f>IF(SUM(SV4:SY4)-SZ4&gt;0,SUM(SV4:SY4)-SZ4,"")</f>
        <v>57.03</v>
      </c>
      <c r="TO4" s="76">
        <f>IF(TC4&gt;0,TC4,"")</f>
        <v>14.149999999999999</v>
      </c>
      <c r="TP4" s="76">
        <f>IF(TD4&gt;0,TD4,"")</f>
        <v>17.254999999999999</v>
      </c>
      <c r="TQ4" s="76">
        <f>IF(SUM(TA4:TD4)-TE4&gt;0,SUM(TA4:TD4)-TE4,"")</f>
        <v>55.505000000000003</v>
      </c>
      <c r="TR4" s="76">
        <f>IF(MAX(TN4,TQ4)&gt;0,MAX(TN4,TQ4),"")</f>
        <v>57.03</v>
      </c>
      <c r="TS4" s="76">
        <f>IF(TH4&gt;0,TH4,"")</f>
        <v>15.6</v>
      </c>
      <c r="TT4" s="76">
        <f>IF(TI4&gt;0,TI4,"")</f>
        <v>17.267499999999998</v>
      </c>
      <c r="TU4" s="76">
        <f>IF(SUM(TF4:TI4)-TJ4&gt;0,SUM(TF4:TI4)-TJ4,"")</f>
        <v>58.467500000000001</v>
      </c>
      <c r="TV4" s="76">
        <f>IF(SUM(TR4,TU4)&gt;0,SUM(TR4,TU4),"")</f>
        <v>115.4975</v>
      </c>
    </row>
    <row r="5" spans="1:542" x14ac:dyDescent="0.2">
      <c r="A5" s="5" cm="1">
        <f t="array" ref="A5">IF(AND(F5&lt;&gt;"",G5&lt;&gt;""),SUMPRODUCT((F$4:F$23&lt;&gt;"")*(G$4:G$23&lt;&gt;"")*(E$4:E$23&gt;E5))+1,IF(G5&lt;&gt;"",SUMPRODUCT((H$4:H$23="No DD")*(E$4:E$23&gt;E5))+1+SUMPRODUCT((F$4:F$23&lt;&gt;"")*(G$4:G$23&lt;&gt;"")),""))</f>
        <v>2</v>
      </c>
      <c r="B5" s="8" t="s">
        <v>4</v>
      </c>
      <c r="C5" s="4" t="s">
        <v>5</v>
      </c>
      <c r="D5" s="5">
        <v>1992</v>
      </c>
      <c r="E5" s="14">
        <f>SUM(J5:V5)+SUM(J5:T5)*0.0000001+SUM(J5)*0.0000000000001</f>
        <v>264.70002647000587</v>
      </c>
      <c r="F5" s="3" t="str">
        <f>IF(OR(AND(AO5&gt;=AY$25,AO5&lt;&gt;"",AQ5&gt;=AY$29,AQ5&lt;&gt;"",AN5=""),AND(AR5&gt;=AY$25,AR5&lt;&gt;"",AT5&gt;=AY$29,AT5&lt;&gt;"",AN5=""),AND(AV5&gt;=AY$25,AV5&lt;&gt;"",AX5&gt;=AY$29,AX5&lt;&gt;"",AN5=""),AND(BP5&gt;=BZ$25,BP5&lt;&gt;"",BR5&gt;=BZ$29,BR5&lt;&gt;"",BO5=""),AND(BS5&gt;=BZ$25,BS5&lt;&gt;"",BU5&gt;=BZ$29,BU5&lt;&gt;"",BO5=""),AND(BW5&gt;=BZ$25,BW5&lt;&gt;"",BY5&gt;=BZ$29,BY5&lt;&gt;"",BO5=""),AND(CQ5&gt;=DA$25,CQ5&lt;&gt;"",CS5&gt;=DA$29,CS5&lt;&gt;"",CP5=""),AND(CT5&gt;=DA$25,CT5&lt;&gt;"",CV5&gt;=DA$29,CV5&lt;&gt;"",CP5=""),AND(CX5&gt;=DA$25,CX5&lt;&gt;"",CZ5&gt;=DA$29,CZ5&lt;&gt;"",CP5=""),AND(DX5&gt;=EK$25,DX5&lt;&gt;"",DZ5&gt;=EK$29,DZ5&lt;&gt;""),AND(EA5&gt;=EK$25,EA5&lt;&gt;"",EC5&gt;=EK$29,EC5&lt;&gt;""),AND(EE5&gt;=EK$25,EE5&lt;&gt;"",EG5&gt;=EK$29,EG5&lt;&gt;""),AND(EH5&gt;=EK$25,EH5&lt;&gt;"",EJ5&gt;=EK$29,EJ5&lt;&gt;""),AND(FF5&gt;=FS$25,FF5&lt;&gt;"",FH5&gt;=FS$29,FH5&lt;&gt;""),AND(FI5&gt;=FS$25,FI5&lt;&gt;"",FK5&gt;=FS$29,FK5&lt;&gt;""),AND(FM5&gt;=FS$25,FM5&lt;&gt;"",FO5&gt;=FS$29,FO5&lt;&gt;""),AND(FP5&gt;=FS$25,FP5&lt;&gt;"",FR5&gt;=FS$29,FR5&lt;&gt;""),AND(GN5&gt;=HA$25,GN5&lt;&gt;"",GP5&gt;=HA$29,GP5&lt;&gt;""),AND(GQ5&gt;=HA$25,GQ5&lt;&gt;"",GS5&gt;=HA$29,GS5&lt;&gt;""),AND(GU5&gt;=HA$25,GU5&lt;&gt;"",GW5&gt;=HA$29,GW5&lt;&gt;""),AND(GX5&gt;=HA$25,GX5&lt;&gt;"",GZ5&gt;=HA$29,GZ5&lt;&gt;""),AND(HV5&gt;=II$25,HV5&lt;&gt;"",HX5&gt;=II$29,HX5&lt;&gt;""),AND(HY5&gt;=II$25,HY5&lt;&gt;"",IA5&gt;=II$29,IA5&lt;&gt;""),AND(IC5&gt;=II$25,IC5&lt;&gt;"",IE5&gt;=II$29,IE5&lt;&gt;""),AND(IF5&gt;=II$25,IF5&lt;&gt;"",IH5&gt;=II$29,IH5&lt;&gt;""),AND(JD5&gt;=JQ$25,JD5&lt;&gt;"",JF5&gt;=JQ$29,JF5&lt;&gt;""),AND(JG5&gt;=JQ$25,JG5&lt;&gt;"",JI5&gt;=JQ$29,JI5&lt;&gt;""),AND(JK5&gt;=JQ$25,JK5&lt;&gt;"",JM5&gt;=JQ$29,JM5&lt;&gt;""),AND(JN5&gt;=JQ$25,JN5&lt;&gt;"",JP5&gt;=JQ$29,JP5&lt;&gt;""),AND(KL5&gt;=KY$25,KL5&lt;&gt;"",KN5&gt;=KY$29,KN5&lt;&gt;""),AND(KO5&gt;=KY$25,KO5&lt;&gt;"",KQ5&gt;=KY$29,KQ5&lt;&gt;""),AND(KS5&gt;=KY$25,KS5&lt;&gt;"",KU5&gt;=KY$29,KU5&lt;&gt;""),AND(KV5&gt;=KY$25,KV5&lt;&gt;"",KX5&gt;=KY$29,KX5&lt;&gt;""),AND(LT5&gt;=MG$25,LT5&lt;&gt;"",LV5&gt;=MG$29,LV5&lt;&gt;""),AND(LW5&gt;=MG$25,LW5&lt;&gt;"",LY5&gt;=MG$29,LY5&lt;&gt;""),AND(MA5&gt;=MG$25,MA5&lt;&gt;"",MC5&gt;=MG$29,MC5&lt;&gt;""),AND(MD5&gt;=MG$25,MD5&lt;&gt;"",MF5&gt;=MG$29,MF5&lt;&gt;""),AND(NB5&gt;=NO$25,NB5&lt;&gt;"",ND5&gt;=NO$29,ND5&lt;&gt;""),AND(NE5&gt;=NO$25,NE5&lt;&gt;"",NG5&gt;=NO$29,NG5&lt;&gt;""),AND(NI5&gt;=NO$25,NI5&lt;&gt;"",NK5&gt;=NO$29,NK5&lt;&gt;""),AND(NL5&gt;=NO$25,NL5&lt;&gt;"",NN5&gt;=NO$29,NN5&lt;&gt;""),AND(OJ5&gt;=OW$25,OJ5&lt;&gt;"",OL5&gt;=OW$29,OL5&lt;&gt;""),AND(OM5&gt;=OW$25,OM5&lt;&gt;"",OO5&gt;=OW$29,OO5&lt;&gt;""),AND(OQ5&gt;=OW$25,OQ5&lt;&gt;"",OS5&gt;=OW$29,OS5&lt;&gt;""),AND(OT5&gt;=OW$25,OT5&lt;&gt;"",OV5&gt;=OW$29,OV5&lt;&gt;""),AND(PR5&gt;=QE$25,PR5&lt;&gt;"",PT5&gt;=QE$29,PT5&lt;&gt;""),AND(PU5&gt;=QE$25,PU5&lt;&gt;"",PW5&gt;=QE$29,PW5&lt;&gt;""),AND(PY5&gt;=QE$25,PY5&lt;&gt;"",QA5&gt;=QE$29,QA5&lt;&gt;""),AND(QB5&gt;=QE$25,QB5&lt;&gt;"",QD5&gt;=QE$29,QD5&lt;&gt;""),AND(QZ5&gt;=RM$25,QZ5&lt;&gt;"",RB5&gt;=RM$29,RB5&lt;&gt;""),AND(RC5&gt;=RM$25,RC5&lt;&gt;"",RE5&gt;=RM$29,RE5&lt;&gt;""),AND(RG5&gt;=RM$25,RG5&lt;&gt;"",RI5&gt;=RM$29,RI5&lt;&gt;""),AND(RJ5&gt;=RM$25,RJ5&lt;&gt;"",RL5&gt;=RM$29,RL5&lt;&gt;""),AND(SH5&gt;=SU$25,SH5&lt;&gt;"",SJ5&gt;=SU$29,SJ5&lt;&gt;""),AND(SK5&gt;=SU$25,SK5&lt;&gt;"",SM5&gt;=SU$29,SM5&lt;&gt;""),AND(SO5&gt;=SU$25,SO5&lt;&gt;"",SQ5&gt;=SU$29,SQ5&lt;&gt;""),AND(SR5&gt;=SU$25,SR5&lt;&gt;"",ST5&gt;=SU$29,ST5&lt;&gt;"")),"P","")</f>
        <v>P</v>
      </c>
      <c r="G5" s="3" t="str">
        <f>IF(OR(AND(AQ5&gt;=AY$29,AQ5&lt;&gt;"",AN5=""),AND(AT5&gt;=AY$29,AT5&lt;&gt;"",AN5=""),AND(AX5&gt;=AY$29,AX5&lt;&gt;"",AN5=""),AND(BR5&gt;=BZ$29,BR5&lt;&gt;"",BO5=""),AND(BU5&gt;=BZ$29,BU5&lt;&gt;"",BO5=""),AND(BY5&gt;=BZ$29,BY5&lt;&gt;"",BO5=""),AND(CS5&gt;=DA$29,CS5&lt;&gt;"",CP5=""),AND(CV5&gt;=DA$29,CV5&lt;&gt;"",CP5=""),AND(CZ5&gt;=DA$29,CZ5&lt;&gt;"",CP5=""),AND(DZ5&gt;=EK$29,DZ5&lt;&gt;""),AND(EC5&gt;=EK$29,EC5&lt;&gt;""),AND(EG5&gt;=EK$29,EG5&lt;&gt;""),AND(EJ5&gt;=EK$29,EJ5&lt;&gt;""),AND(FH5&gt;=FS$29,FH5&lt;&gt;""),AND(FK5&gt;=FS$29,FK5&lt;&gt;""),AND(FO5&gt;=FS$29,FO5&lt;&gt;""),AND(FR5&gt;=FS$29,FR5&lt;&gt;""),AND(GP5&gt;=HA$29,GP5&lt;&gt;""),AND(GS5&gt;=HA$29,GS5&lt;&gt;""),AND(GW5&gt;=HA$29,GW5&lt;&gt;""),AND(GZ5&gt;=HA$29,GZ5&lt;&gt;""),AND(HX5&gt;=II$29,HX5&lt;&gt;""),AND(IA5&gt;=II$29,IA5&lt;&gt;""),AND(IE5&gt;=II$29,IE5&lt;&gt;""),AND(IH5&gt;=II$29,IH5&lt;&gt;""),AND(JF5&gt;=JQ$29,JF5&lt;&gt;""),AND(JI5&gt;=JQ$29,JI5&lt;&gt;""),AND(JM5&gt;=JQ$29,JM5&lt;&gt;""),AND(JP5&gt;=JQ$29,JP5&lt;&gt;""),AND(KN5&gt;=KY$29,KN5&lt;&gt;""),AND(KQ5&gt;=KY$29,KQ5&lt;&gt;""),AND(KU5&gt;=KY$29,KU5&lt;&gt;""),AND(KX5&gt;=KY$29,KX5&lt;&gt;""),AND(LV5&gt;=MG$29,LV5&lt;&gt;""),AND(LY5&gt;=MG$29,LY5&lt;&gt;""),AND(MC5&gt;=MG$29,MC5&lt;&gt;""),AND(MF5&gt;=MG$29,MF5&lt;&gt;""),AND(ND5&gt;=NO$29,ND5&lt;&gt;""),AND(NG5&gt;=NO$29,NG5&lt;&gt;""),AND(NK5&gt;=NO$29,NK5&lt;&gt;""),AND(NN5&gt;=NO$29,NN5&lt;&gt;""),AND(OL5&gt;=OW$29,OL5&lt;&gt;""),AND(OO5&gt;=OW$29,OO5&lt;&gt;""),AND(OS5&gt;=OW$29,OS5&lt;&gt;""),AND(OV5&gt;=OW$29,OV5&lt;&gt;""),AND(PT5&gt;=QE$29,PT5&lt;&gt;""),AND(PW5&gt;=QE$29,PW5&lt;&gt;""),AND(QA5&gt;=QE$29,QA5&lt;&gt;""),AND(QD5&gt;=QE$29,QD5&lt;&gt;""),AND(RB5&gt;=RM$29,RB5&lt;&gt;""),AND(RE5&gt;=RM$29,RE5&lt;&gt;""),AND(RI5&gt;=RM$29,RI5&lt;&gt;""),AND(RL5&gt;=RM$29,RL5&lt;&gt;""),AND(SJ5&gt;=SU$29,SJ5&lt;&gt;""),AND(SM5&gt;=SU$29,SM5&lt;&gt;""),AND(SQ5&gt;=SU$29,SQ5&lt;&gt;""),AND(ST5&gt;=SU$29,ST5&lt;&gt;"")),"P","")</f>
        <v>P</v>
      </c>
      <c r="H5" s="70" t="str">
        <f>IF(AND(G5="P",F5=""),"No DD",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),"Merit",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X5&gt;=EK$27,DX5&lt;&gt;"",DZ5&gt;=EK$31,DZ5&lt;&gt;""),AND(EA5&gt;=EK$27,EA5&lt;&gt;"",EC5&gt;=EK$31,EC5&lt;&gt;""),AND(EE5&gt;=EK$27,EE5&lt;&gt;"",EG5&gt;=EK$31,EG5&lt;&gt;""),AND(EH5&gt;=EK$27,EH5&lt;&gt;"",EJ5&gt;=EK$31,EJ5&lt;&gt;""),AND(FF5&gt;=FS$27,FF5&lt;&gt;"",FH5&gt;=FS$31,FH5&lt;&gt;""),AND(FI5&gt;=FS$27,FI5&lt;&gt;"",FK5&gt;=FS$31,FK5&lt;&gt;""),AND(FM5&gt;=FS$27,FM5&lt;&gt;"",FO5&gt;=FS$31,FO5&lt;&gt;""),AND(FP5&gt;=FS$27,FP5&lt;&gt;"",FR5&gt;=FS$31,FR5&lt;&gt;""),AND(GN5&gt;=HA$27,GN5&lt;&gt;"",GP5&gt;=HA$31,GP5&lt;&gt;""),AND(GQ5&gt;=HA$27,GQ5&lt;&gt;"",GS5&gt;=HA$31,GS5&lt;&gt;""),AND(GU5&gt;=HA$27,GU5&lt;&gt;"",GW5&gt;=HA$31,GW5&lt;&gt;""),AND(GX5&gt;=HA$27,GX5&lt;&gt;"",GZ5&gt;=HA$31,GZ5&lt;&gt;""),AND(HV5&gt;=II$27,HV5&lt;&gt;"",HX5&gt;=II$31,HX5&lt;&gt;""),AND(HY5&gt;=II$27,HY5&lt;&gt;"",IA5&gt;=II$31,IA5&lt;&gt;""),AND(IC5&gt;=II$27,IC5&lt;&gt;"",IE5&gt;=II$31,IE5&lt;&gt;""),AND(IF5&gt;=II$27,IF5&lt;&gt;"",IH5&gt;=II$31,IH5&lt;&gt;""),AND(JD5&gt;=JQ$27,JD5&lt;&gt;"",JF5&gt;=JQ$31,JF5&lt;&gt;""),AND(JG5&gt;=JQ$27,JG5&lt;&gt;"",JI5&gt;=JQ$31,JI5&lt;&gt;""),AND(JK5&gt;=JQ$27,JK5&lt;&gt;"",JM5&gt;=JQ$31,JM5&lt;&gt;""),AND(JN5&gt;=JQ$27,JN5&lt;&gt;"",JP5&gt;=JQ$31,JP5&lt;&gt;""),AND(KL5&gt;=KY$27,KL5&lt;&gt;"",KN5&gt;=KY$31,KN5&lt;&gt;""),AND(KO5&gt;=KY$27,KO5&lt;&gt;"",KQ5&gt;=KY$31,KQ5&lt;&gt;""),AND(KS5&gt;=KY$27,KS5&lt;&gt;"",KU5&gt;=KY$31,KU5&lt;&gt;""),AND(KV5&gt;=KY$27,KV5&lt;&gt;"",KX5&gt;=KY$31,KX5&lt;&gt;""),AND(LT5&gt;=MG$27,LT5&lt;&gt;"",LV5&gt;=MG$31,LV5&lt;&gt;""),AND(LW5&gt;=MG$27,LW5&lt;&gt;"",LY5&gt;=MG$31,LY5&lt;&gt;""),AND(MA5&gt;=MG$27,MA5&lt;&gt;"",MC5&gt;=MG$31,MC5&lt;&gt;""),AND(MD5&gt;=MG$27,MD5&lt;&gt;"",MF5&gt;=MG$31,MF5&lt;&gt;""),AND(NB5&gt;=NO$27,NB5&lt;&gt;"",ND5&gt;=NO$31,ND5&lt;&gt;""),AND(NE5&gt;=NO$27,NE5&lt;&gt;"",NG5&gt;=NO$31,NG5&lt;&gt;""),AND(NI5&gt;=NO$27,NI5&lt;&gt;"",NK5&gt;=NO$31,NK5&lt;&gt;""),AND(NL5&gt;=NO$27,NL5&lt;&gt;"",NN5&gt;=NO$31,NN5&lt;&gt;""),AND(OJ5&gt;=OW$27,OJ5&lt;&gt;"",OL5&gt;=OW$31,OL5&lt;&gt;""),AND(OM5&gt;=OW$27,OM5&lt;&gt;"",OO5&gt;=OW$31,OO5&lt;&gt;""),AND(OQ5&gt;=OW$27,OQ5&lt;&gt;"",OS5&gt;=OW$31,OS5&lt;&gt;""),AND(OT5&gt;=OW$27,OT5&lt;&gt;"",OV5&gt;=OW$31,OV5&lt;&gt;""),AND(PR5&gt;=QE$27,PR5&lt;&gt;"",PT5&gt;=QE$31,PT5&lt;&gt;""),AND(PU5&gt;=QE$27,PU5&lt;&gt;"",PW5&gt;=QE$31,PW5&lt;&gt;""),AND(PY5&gt;=QE$27,PY5&lt;&gt;"",QA5&gt;=QE$31,QA5&lt;&gt;""),AND(QB5&gt;=QE$27,QB5&lt;&gt;"",QD5&gt;=QE$31,QD5&lt;&gt;""),AND(QZ5&gt;=RM$27,QZ5&lt;&gt;"",RB5&gt;=RM$31,RB5&lt;&gt;""),AND(RC5&gt;=RM$27,RC5&lt;&gt;"",RE5&gt;=RM$31,RE5&lt;&gt;""),AND(RG5&gt;=RM$27,RG5&lt;&gt;"",RI5&gt;=RM$31,RI5&lt;&gt;""),AND(RJ5&gt;=RM$27,RJ5&lt;&gt;"",RL5&gt;=RM$31,RL5&lt;&gt;""),AND(SH5&gt;=SU$27,SH5&lt;&gt;"",SJ5&gt;=SU$31,SJ5&lt;&gt;""),AND(SK5&gt;=SU$27,SK5&lt;&gt;"",SM5&gt;=SU$31,SM5&lt;&gt;""),AND(SO5&gt;=SU$27,SO5&lt;&gt;"",SQ5&gt;=SU$31,SQ5&lt;&gt;""),AND(SR5&gt;=SU$27,SR5&lt;&gt;"",ST5&gt;=SU$31,ST5&lt;&gt;"")),"Excellence",IF(I5="P","Worlds Team",IF(F5="P","National Team","")))))</f>
        <v>Worlds Team</v>
      </c>
      <c r="I5" s="3" t="str">
        <f>IF(OR(AND(AO5&gt;=AY$26,AO5&lt;&gt;"",AQ5&gt;=AY$30,AQ5&lt;&gt;"",AN5=""),AND(AR5&gt;=AY$26,AR5&lt;&gt;"",AT5&gt;=AY$30,AT5&lt;&gt;"",AN5=""),AND(AV5&gt;=AY$26,AV5&lt;&gt;"",AX5&gt;=AY$30,AX5&lt;&gt;"",AN5=""),AND(BP5&gt;=BZ$26,BP5&lt;&gt;"",BR5&gt;=BZ$30,BR5&lt;&gt;"",BO5=""),AND(BS5&gt;=BZ$26,BS5&lt;&gt;"",BU5&gt;=BZ$30,BU5&lt;&gt;"",BO5=""),AND(BW5&gt;=BZ$26,BW5&lt;&gt;"",BY5&gt;=BZ$30,BY5&lt;&gt;"",BO5=""),AND(CQ5&gt;=DA$26,CQ5&lt;&gt;"",CS5&gt;=DA$30,CS5&lt;&gt;"",CP5=""),AND(CT5&gt;=DA$26,CT5&lt;&gt;"",CV5&gt;=DA$30,CV5&lt;&gt;"",CP5=""),AND(CX5&gt;=DA$26,CX5&lt;&gt;"",CZ5&gt;=DA$30,CZ5&lt;&gt;"",CP5=""),AND(DX5&gt;=EK$26,DX5&lt;&gt;"",DZ5&gt;=EK$30,DZ5&lt;&gt;""),AND(EA5&gt;=EK$26,EA5&lt;&gt;"",EC5&gt;=EK$30,EC5&lt;&gt;""),AND(EE5&gt;=EK$26,EE5&lt;&gt;"",EG5&gt;=EK$30,EG5&lt;&gt;""),AND(EH5&gt;=EK$26,EH5&lt;&gt;"",EJ5&gt;=EK$30,EJ5&lt;&gt;""),AND(FF5&gt;=FS$26,FF5&lt;&gt;"",FH5&gt;=FS$30,FH5&lt;&gt;""),AND(FI5&gt;=FS$26,FI5&lt;&gt;"",FK5&gt;=FS$30,FK5&lt;&gt;""),AND(FM5&gt;=FS$26,FM5&lt;&gt;"",FO5&gt;=FS$30,FO5&lt;&gt;""),AND(FP5&gt;=FS$26,FP5&lt;&gt;"",FR5&gt;=FS$30,FR5&lt;&gt;""),AND(GN5&gt;=HA$26,GN5&lt;&gt;"",GP5&gt;=HA$30,GP5&lt;&gt;""),AND(GQ5&gt;=HA$26,GQ5&lt;&gt;"",GS5&gt;=HA$30,GS5&lt;&gt;""),AND(GU5&gt;=HA$26,GU5&lt;&gt;"",GW5&gt;=HA$30,GW5&lt;&gt;""),AND(GX5&gt;=HA$26,GX5&lt;&gt;"",GZ5&gt;=HA$30,GZ5&lt;&gt;""),AND(HV5&gt;=II$26,HV5&lt;&gt;"",HX5&gt;=II$30,HX5&lt;&gt;""),AND(HY5&gt;=II$26,HY5&lt;&gt;"",IA5&gt;=II$30,IA5&lt;&gt;""),AND(IC5&gt;=II$26,IC5&lt;&gt;"",IE5&gt;=II$30,IE5&lt;&gt;""),AND(IF5&gt;=II$26,IF5&lt;&gt;"",IH5&gt;=II$30,IH5&lt;&gt;""),AND(JD5&gt;=JQ$26,JD5&lt;&gt;"",JF5&gt;=JQ$30,JF5&lt;&gt;""),AND(JG5&gt;=JQ$26,JG5&lt;&gt;"",JI5&gt;=JQ$30,JI5&lt;&gt;""),AND(JK5&gt;=JQ$26,JK5&lt;&gt;"",JM5&gt;=JQ$30,JM5&lt;&gt;""),AND(JN5&gt;=JQ$26,JN5&lt;&gt;"",JP5&gt;=JQ$30,JP5&lt;&gt;""),AND(KL5&gt;=KY$26,KL5&lt;&gt;"",KN5&gt;=KY$30,KN5&lt;&gt;""),AND(KO5&gt;=KY$26,KO5&lt;&gt;"",KQ5&gt;=KY$30,KQ5&lt;&gt;""),AND(KS5&gt;=KY$26,KS5&lt;&gt;"",KU5&gt;=KY$30,KU5&lt;&gt;""),AND(KV5&gt;=KY$26,KV5&lt;&gt;"",KX5&gt;=KY$30,KX5&lt;&gt;""),AND(LT5&gt;=MG$26,LT5&lt;&gt;"",LV5&gt;=MG$30,LV5&lt;&gt;""),AND(LW5&gt;=MG$26,LW5&lt;&gt;"",LY5&gt;=MG$30,LY5&lt;&gt;""),AND(MA5&gt;=MG$26,MA5&lt;&gt;"",MC5&gt;=MG$30,MC5&lt;&gt;""),AND(MD5&gt;=MG$26,MD5&lt;&gt;"",MF5&gt;=MG$30,MF5&lt;&gt;""),AND(NB5&gt;=NO$26,NB5&lt;&gt;"",ND5&gt;=NO$30,ND5&lt;&gt;""),AND(NE5&gt;=NO$26,NE5&lt;&gt;"",NG5&gt;=NO$30,NG5&lt;&gt;""),AND(NI5&gt;=NO$26,NI5&lt;&gt;"",NK5&gt;=NO$30,NK5&lt;&gt;""),AND(NL5&gt;=NO$26,NL5&lt;&gt;"",NN5&gt;=NO$30,NN5&lt;&gt;""),AND(OJ5&gt;=OW$26,OJ5&lt;&gt;"",OL5&gt;=OW$30,OL5&lt;&gt;""),AND(OM5&gt;=OW$26,OM5&lt;&gt;"",OO5&gt;=OW$30,OO5&lt;&gt;""),AND(OQ5&gt;=OW$26,OQ5&lt;&gt;"",OS5&gt;=OW$30,OS5&lt;&gt;""),AND(OT5&gt;=OW$26,OT5&lt;&gt;"",OV5&gt;=OW$30,OV5&lt;&gt;""),AND(PR5&gt;=QE$26,PR5&lt;&gt;"",PT5&gt;=QE$30,PT5&lt;&gt;""),AND(PU5&gt;=QE$26,PU5&lt;&gt;"",PW5&gt;=QE$30,PW5&lt;&gt;""),AND(PY5&gt;=QE$26,PY5&lt;&gt;"",QA5&gt;=QE$30,QA5&lt;&gt;""),AND(QB5&gt;=QE$26,QB5&lt;&gt;"",QD5&gt;=QE$30,QD5&lt;&gt;""),AND(QZ5&gt;=RM$26,QZ5&lt;&gt;"",RB5&gt;=RM$30,RB5&lt;&gt;""),AND(RC5&gt;=RM$26,RC5&lt;&gt;"",RE5&gt;=RM$30,RE5&lt;&gt;""),AND(RG5&gt;=RM$26,RG5&lt;&gt;"",RI5&gt;=RM$30,RI5&lt;&gt;""),AND(RJ5&gt;=RM$26,RJ5&lt;&gt;"",RL5&gt;=RM$30,RL5&lt;&gt;""),AND(SH5&gt;=SU$26,SH5&lt;&gt;"",SJ5&gt;=SU$30,SJ5&lt;&gt;""),AND(SK5&gt;=SU$26,SK5&lt;&gt;"",SM5&gt;=SU$30,SM5&lt;&gt;""),AND(SO5&gt;=SU$26,SO5&lt;&gt;"",SQ5&gt;=SU$30,SQ5&lt;&gt;""),AND(SR5&gt;=SU$26,SR5&lt;&gt;"",ST5&gt;=SU$30,ST5&lt;&gt;"")),"P","")</f>
        <v>P</v>
      </c>
      <c r="J5" s="13">
        <f>IF(COUNT(AQ5,AT5,BR5,BU5,CS5,CV5)&gt;0,LARGE((AQ5,AT5,BR5,BU5,CS5,CV5),1),0)</f>
        <v>58.174999999999997</v>
      </c>
      <c r="K5" s="13" t="str">
        <f>IF(J5="","",IF(OR(J5=CS5,J5=CV5),$CA$1,IF(OR(J5=BR5,J5=BU5),$AZ$1,IF(OR(J5=AQ5,J5=AT5),$Y$1,""))))</f>
        <v>2022 Elite Canada</v>
      </c>
      <c r="L5" s="13">
        <f>IF(COUNT(AQ5,AT5,BR5,BU5,CS5,CV5)&gt;1,LARGE((AQ5,AT5,BR5,BU5,CS5,CV5),2),0)</f>
        <v>57.91</v>
      </c>
      <c r="M5" s="13" t="str">
        <f>IF(L5="","",IF(OR(L5=CS5,L5=CV5),$CA$1,IF(OR(L5=BR5,L5=BU5),$AZ$1,IF(OR(L5=AQ5,L5=AT5),$Y$1,""))))</f>
        <v>2021 Canadian Championships</v>
      </c>
      <c r="N5" s="13">
        <f>IF(COUNT(AQ5,AT5,BR5,BU5,CS5,CV5)&gt;2,LARGE((AQ5,AT5,BR5,BU5,CS5,CV5),3),0)</f>
        <v>57.89500000000001</v>
      </c>
      <c r="O5" s="13" t="str">
        <f>IF(N5="","",IF(OR(N5=CS5,N5=CV5),$CA$1,IF(OR(N5=BR5,N5=BU5),$AZ$1,IF(OR(N5=AQ5,N5=AT5),$Y$1,""))))</f>
        <v>2021 Canadian Championships</v>
      </c>
      <c r="P5" s="13">
        <f>IF(MAX(AX5,BY5,CZ5)&gt;0,MAX(AX5,BY5,CZ5),0)</f>
        <v>57.510000000000005</v>
      </c>
      <c r="Q5" s="13" t="str">
        <f>IF(P5="","",IF(P5=CZ5,$CA$1,IF(P5=BY5,$AZ$1,IF(P5=AX5,$Y$1,""))))</f>
        <v>2021 Canadian Championships</v>
      </c>
      <c r="R5" s="13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16.3</v>
      </c>
      <c r="S5" s="13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2022 Elite Canada</v>
      </c>
      <c r="T5" s="13">
        <f>IF(MAX(IF(AO5&gt;=$AY$25,AP5,0),IF(AR5&gt;=$AY$25,AS5,0),IF(AV5&gt;=$AY$25,AW5,0),IF(BP5&gt;=$BZ$25,BQ5,0),IF(BS5&gt;=$BZ$25,BT5,0),IF(BW5&gt;=$BZ$25,BX5,0),IF(CQ5&gt;=$DA$25,CR5,0),IF(CT5&gt;=$DA$25,CU5,0),IF(CX5&gt;=$DA$25,CY5,0))&gt;0,MAX(IF(AO5&gt;=$AY$25,AP5,0),IF(AR5&gt;=$AY$25,AS5,0),IF(AV5&gt;=$AY$25,AW5,0),IF(BP5&gt;=$BZ$25,BQ5,0),IF(BS5&gt;=$BZ$25,BT5,0),IF(BW5&gt;=$BZ$25,BX5,0),IF(CQ5&gt;=$DA$25,CR5,0),IF(CT5&gt;=$DA$25,CU5,0),IF(CX5&gt;=$DA$25,CY5,0),IF(DX5&gt;=$EK$25,DY5,0),IF(EA5&gt;=$EK$25,EB5,0),IF(EE5&gt;=$EK$25,EF5,0),IF(EH5&gt;=$EK$25,EI5,0),IF(FF5&gt;=$FS$25,FG5,0),IF(FI5&gt;=$FS$25,FJ5,0),IF(FM5&gt;=$FS$25,FN5,0),IF(FP5&gt;=$FS$25,FQ5,0),IF(GN5&gt;=$HA$25,GO5,0),IF(GQ5&gt;=$HA$25,GR5,0),IF(GU5&gt;=$HA$25,GV5,0),IF(GX5&gt;=$HA$25,GY5,0),IF(HV5&gt;=$II$25,HW5,0),IF(HY5&gt;=$II$25,HZ5,0),IF(IC5&gt;=$II$25,ID5,0),IF(IF5&gt;=$II$25,IG5,0),IF(JD5&gt;=$JQ$25,JE5,0),IF(JG5&gt;=$JQ$25,JH5,0),IF(JK5&gt;=$JQ$25,JL5,0),IF(JN5&gt;=$JQ$25,JO5,0),IF(KL5&gt;=$KY$25,KM5,0),IF(KO5&gt;=$KY$25,KP5,0),IF(KS5&gt;=$KY$25,KT5,0),IF(KV5&gt;=$KY$25,KW5,0),IF(LT5&gt;=$MG$25,LU5,0),IF(LW5&gt;=$MG$25,LX5,0),IF(MA5&gt;=$MG$25,MB5,0),IF(MD5&gt;=$MG$25,ME5,0),IF(NB5&gt;=$NO$25,NC5,0),IF(NE5&gt;=$NO$25,NF5,0),IF(NI5&gt;=$NO$25,NJ5,0),IF(NL5&gt;=$NO$25,NM5,0),IF(OJ5&gt;=$OW$25,OK5,0),IF(OM5&gt;=$OW$25,ON5,0),IF(OQ5&gt;=$OW$25,OR5,0),IF(OT5&gt;=$OW$25,OU5,0),IF(PR5&gt;=$QE$25,PS5,0),IF(PU5&gt;=$QE$25,PV5,0),IF(PY5&gt;=$QE$25,PZ5,0),IF(QB5&gt;=$QE$25,QC5,0),IF(QZ5&gt;=$RM$25,RA5,0),IF(RC5&gt;=$RM$25,RD5,0),IF(RG5&gt;=$RM$25,RH5,0),IF(RJ5&gt;=$RM$25,RK5,0),IF(SH5&gt;=$SU$25,SI5,0),IF(SK5&gt;=$SU$25,SL5,0),IF(SO5&gt;=$SU$25,SP5,0),IF(SR5&gt;=$SU$25,SS5,0)),0)</f>
        <v>16.91</v>
      </c>
      <c r="U5" s="13" t="str">
        <f>IF(T5=0,"",IF(OR(T5=CR5,T5=CU5,T5=CY5),$CA$1,IF(OR(T5=BQ5,T5=BT5,T5=BX5),$AZ$1,IF(OR(T5=AP5,T5=AS5,T5=AW5),$Y$1,IF(OR(R5=SI5,R5=SL5,R5=SP5,R5=SS5),$RN$1,IF(OR(R5=RA5,R5=RD5,R5=RH5,R5=RK5),$QF$1,IF(OR(R5=PS5,R5=PV5,R5=PZ5,R5=QC5),$OX$1,IF(OR(R5=OK5,R5=ON5,R5=OR5,R5=OU5),$NP$1,IF(OR(R5=NC5,R5=NF5,R5=NJ5,R5=NM5),$MH$1,IF(OR(R5=LU5,R5=LX5,R5=MB5,R5=ME5),$KZ$1,IF(OR(R5=KM5,R5=KP5,R5=KT5,R5=KW5),$JR$1,IF(OR(R5=JE5,R5=JH5,R5=JL5,R5=JO5),$IJ$1,IF(OR(R5=HW5,R5=HZ5,R5=ID5,R5=IG5),$HB$1,IF(OR(R5=GO5,R5=GR5,R5=GV5,R5=GY5),$FT$1,IF(OR(R5=FG5,R5=FJ5,R5=FN5,R5=FQ5),$EL$1,IF(OR(R5=DY5,R5=EB5,R5=EF5,R5=EI5),$DD$1,""))))))))))))))))</f>
        <v>2021 Canadian Championships</v>
      </c>
      <c r="V5" s="13" t="str">
        <f>IF(MAX(DB5,DC5)&gt;0,MAX(DB5,DC5),"")</f>
        <v/>
      </c>
      <c r="W5" s="16" t="str">
        <f>IF(V5="","",IF(V5=DB5,"("&amp;DB$2&amp;")",IF(V5=DC5,"("&amp;DC$2&amp;")")))</f>
        <v/>
      </c>
      <c r="X5" s="13" t="str">
        <f>IF(V5="","",IF(V5=DB5,IF(V5+IF(L5="",0,L5)=SN5,$RN$1,IF(V5+IF(L5="",0,L5)=RF5,$QF$1,IF(V5+IF(L5="",0,L5)=PX5,$OX$1,IF(V5+IF(L5="",0,L5)=OP5,$NP$1,IF(V5+IF(L5="",0,L5)=NH5,$MH$1,IF(V5+IF(L5="",0,L5)=LZ5,$KZ$1,IF(V5+IF(L5="",0,L5)=KR5,$JR$1,IF(V5+IF(L5="",0,L5)=JJ5,$IJ$1,IF(V5+IF(L5="",0,L5)=IB5,$HB$1,IF(V5+IF(L5="",0,L5)=GT5,$FT$1,IF(V5+IF(L5="",0,L5)=FL5,$EL$1,IF(V5+IF(L5="",0,L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$1)))))))))))))))</f>
        <v/>
      </c>
      <c r="Y5" s="42">
        <v>16.899999999999999</v>
      </c>
      <c r="Z5" s="42">
        <v>9.1999999999999993</v>
      </c>
      <c r="AA5" s="42">
        <v>15.2</v>
      </c>
      <c r="AB5" s="42">
        <v>16.225000000000001</v>
      </c>
      <c r="AC5" s="42">
        <v>0</v>
      </c>
      <c r="AD5" s="42">
        <v>17</v>
      </c>
      <c r="AE5" s="42">
        <v>9.3000000000000007</v>
      </c>
      <c r="AF5" s="42">
        <v>15.2</v>
      </c>
      <c r="AG5" s="42">
        <v>16.11</v>
      </c>
      <c r="AH5" s="42">
        <v>0</v>
      </c>
      <c r="AI5" s="42">
        <v>14.9</v>
      </c>
      <c r="AJ5" s="42">
        <v>9.3000000000000007</v>
      </c>
      <c r="AK5" s="42">
        <v>15.6</v>
      </c>
      <c r="AL5" s="42">
        <v>16.04</v>
      </c>
      <c r="AM5" s="42">
        <v>0</v>
      </c>
      <c r="AN5" s="51"/>
      <c r="AO5" s="74">
        <f>IF(AA5&gt;0,AA5,"")</f>
        <v>15.2</v>
      </c>
      <c r="AP5" s="74">
        <f>IF(AB5&gt;0,AB5,"")</f>
        <v>16.225000000000001</v>
      </c>
      <c r="AQ5" s="76">
        <f>IF(SUM(Y5:AB5)-AC5&gt;0,SUM(Y5:AB5)-AC5,"")</f>
        <v>57.524999999999999</v>
      </c>
      <c r="AR5" s="76">
        <f>IF(AF5&gt;0,AF5,"")</f>
        <v>15.2</v>
      </c>
      <c r="AS5" s="76">
        <f>IF(AG5&gt;0,AG5,"")</f>
        <v>16.11</v>
      </c>
      <c r="AT5" s="76">
        <f>IF(SUM(AD5:AG5)-AH5&gt;0,SUM(AD5:AG5)-AH5,"")</f>
        <v>57.61</v>
      </c>
      <c r="AU5" s="76">
        <f>IF(AQ5="","",MAX(AQ5,AT5))</f>
        <v>57.61</v>
      </c>
      <c r="AV5" s="76">
        <f>IF(AK5&gt;0,AK5,"")</f>
        <v>15.6</v>
      </c>
      <c r="AW5" s="76">
        <f>IF(AL5&gt;0,AL5,"")</f>
        <v>16.04</v>
      </c>
      <c r="AX5" s="76">
        <f>IF(SUM(AI5:AL5)-AM5&gt;0,SUM(AI5:AL5)-AM5,"")</f>
        <v>55.84</v>
      </c>
      <c r="AY5" s="76">
        <f>IF(SUM(AU5,AX5)&gt;0,SUM(AU5,AX5),"")</f>
        <v>113.45</v>
      </c>
      <c r="AZ5" s="46">
        <v>16.8</v>
      </c>
      <c r="BA5" s="46">
        <v>9.1999999999999993</v>
      </c>
      <c r="BB5" s="46">
        <v>15</v>
      </c>
      <c r="BC5" s="46">
        <v>16.91</v>
      </c>
      <c r="BD5" s="46">
        <v>0</v>
      </c>
      <c r="BE5" s="46">
        <v>17.100000000000001</v>
      </c>
      <c r="BF5" s="46">
        <v>9.3000000000000007</v>
      </c>
      <c r="BG5" s="46">
        <v>15</v>
      </c>
      <c r="BH5" s="46">
        <v>16.495000000000001</v>
      </c>
      <c r="BI5" s="46">
        <v>0</v>
      </c>
      <c r="BJ5" s="46">
        <v>17.100000000000001</v>
      </c>
      <c r="BK5" s="46">
        <v>9</v>
      </c>
      <c r="BL5" s="46">
        <v>15</v>
      </c>
      <c r="BM5" s="46">
        <v>16.41</v>
      </c>
      <c r="BN5" s="46">
        <v>0</v>
      </c>
      <c r="BO5" s="52"/>
      <c r="BP5" s="75">
        <f>IF(BB5&gt;0,BB5,"")</f>
        <v>15</v>
      </c>
      <c r="BQ5" s="75">
        <f>IF(BC5&gt;0,BC5,"")</f>
        <v>16.91</v>
      </c>
      <c r="BR5" s="16">
        <f>IF(SUM(AZ5:BC5)-BD5&gt;0,SUM(AZ5:BC5)-BD5,"")</f>
        <v>57.91</v>
      </c>
      <c r="BS5" s="16">
        <f>IF(BG5&gt;0,BG5,"")</f>
        <v>15</v>
      </c>
      <c r="BT5" s="16">
        <f>IF(BH5&gt;0,BH5,"")</f>
        <v>16.495000000000001</v>
      </c>
      <c r="BU5" s="16">
        <f>IF(SUM(BE5:BH5)-BI5&gt;0,SUM(BE5:BH5)-BI5,"")</f>
        <v>57.89500000000001</v>
      </c>
      <c r="BV5" s="16">
        <f>IF(BR5="","",MAX(BR5,BU5))</f>
        <v>57.91</v>
      </c>
      <c r="BW5" s="16">
        <f>IF(BL5&gt;0,BL5,"")</f>
        <v>15</v>
      </c>
      <c r="BX5" s="16">
        <f>IF(BM5&gt;0,BM5,"")</f>
        <v>16.41</v>
      </c>
      <c r="BY5" s="16">
        <f>IF(SUM(BJ5:BM5)-BN5&gt;0,SUM(BJ5:BM5)-BN5,"")</f>
        <v>57.510000000000005</v>
      </c>
      <c r="BZ5" s="16">
        <f>IF(SUM(BV5,BY5)&gt;0,SUM(BV5,BY5),"")</f>
        <v>115.42</v>
      </c>
      <c r="CA5" s="42">
        <v>16.899999999999999</v>
      </c>
      <c r="CB5" s="42">
        <v>9.3000000000000007</v>
      </c>
      <c r="CC5" s="42">
        <v>15.4</v>
      </c>
      <c r="CD5" s="42">
        <v>16.574999999999999</v>
      </c>
      <c r="CE5" s="42">
        <v>0</v>
      </c>
      <c r="CF5" s="42">
        <v>3.1</v>
      </c>
      <c r="CG5" s="42">
        <v>1.6</v>
      </c>
      <c r="CH5" s="42">
        <v>3.6</v>
      </c>
      <c r="CI5" s="42">
        <v>3.5150000000000001</v>
      </c>
      <c r="CJ5" s="42">
        <v>0</v>
      </c>
      <c r="CK5" s="42">
        <v>15.7</v>
      </c>
      <c r="CL5" s="42">
        <v>8.6999999999999993</v>
      </c>
      <c r="CM5" s="42">
        <v>16.3</v>
      </c>
      <c r="CN5" s="42">
        <v>16.295000000000002</v>
      </c>
      <c r="CO5" s="42">
        <v>0</v>
      </c>
      <c r="CP5" s="51"/>
      <c r="CQ5" s="74">
        <f>IF(CC5&gt;0,CC5,"")</f>
        <v>15.4</v>
      </c>
      <c r="CR5" s="74">
        <f>IF(CD5&gt;0,CD5,"")</f>
        <v>16.574999999999999</v>
      </c>
      <c r="CS5" s="76">
        <f>IF(SUM(CA5:CD5)-CE5&gt;0,SUM(CA5:CD5)-CE5,"")</f>
        <v>58.174999999999997</v>
      </c>
      <c r="CT5" s="76">
        <f>IF(CH5&gt;0,CH5,"")</f>
        <v>3.6</v>
      </c>
      <c r="CU5" s="76">
        <f>IF(CI5&gt;0,CI5,"")</f>
        <v>3.5150000000000001</v>
      </c>
      <c r="CV5" s="76">
        <f>IF(SUM(CF5:CI5)-CJ5&gt;0,SUM(CF5:CI5)-CJ5,"")</f>
        <v>11.815000000000001</v>
      </c>
      <c r="CW5" s="76">
        <f>IF(CS5="","",MAX(CS5,CV5))</f>
        <v>58.174999999999997</v>
      </c>
      <c r="CX5" s="76">
        <f>IF(CM5&gt;0,CM5,"")</f>
        <v>16.3</v>
      </c>
      <c r="CY5" s="76">
        <f>IF(CN5&gt;0,CN5,"")</f>
        <v>16.295000000000002</v>
      </c>
      <c r="CZ5" s="76">
        <f>IF(SUM(CK5:CN5)-CO5&gt;0,SUM(CK5:CN5)-CO5,"")</f>
        <v>56.995000000000005</v>
      </c>
      <c r="DA5" s="76">
        <f>IF(SUM(CW5,CZ5)&gt;0,SUM(CW5,CZ5),"")</f>
        <v>115.17</v>
      </c>
      <c r="DB5" s="87" t="str">
        <f>IF(L5&gt;=0.001,IF(MAX(ED5,FL5,GT5,IB5,JJ5,KR5,LZ5,NH5,OP5,PX5,RF5,SN5)-IF(L5="",0,L5)&gt;0.001,MAX(ED5,FL5,GT5,IB5,JJ5,KR5,LZ5,NH5,OP5,PX5,RF5,SN5)-IF(L5="",0,L5),""),"")</f>
        <v/>
      </c>
      <c r="DC5" s="87" t="str">
        <f>IF(P5&gt;=0.001,IF(MAX(EG5,EJ5,FO5,FR5,GW5,GZ5,IE5,IH5,JM5,JP5,KU5,KX5,MC5,MF5,NK5,NN5,OS5,OV5,QA5,QD5,RI5,RL5,SQ5,ST5)-IF(P5="",0,P5)&gt;0.001,MAX(EG5,EJ5,FO5,FR5,GW5,GZ5,IE5,IH5,JM5,JP5,KU5,KX5,MC5,MF5,NK5,NN5,OS5,OV5,QA5,QD5,RI5,RL5,SQ5,ST5)-IF(P5="",0,P5),""),"")</f>
        <v/>
      </c>
      <c r="DD5" s="25">
        <v>17</v>
      </c>
      <c r="DE5" s="25">
        <v>9.6</v>
      </c>
      <c r="DF5" s="25">
        <v>15</v>
      </c>
      <c r="DG5" s="25">
        <v>15.76</v>
      </c>
      <c r="DH5" s="25">
        <v>0</v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>
        <v>16.600000000000001</v>
      </c>
      <c r="DT5" s="25">
        <v>9.4</v>
      </c>
      <c r="DU5" s="25">
        <v>15</v>
      </c>
      <c r="DV5" s="25">
        <v>15.994999999999999</v>
      </c>
      <c r="DW5" s="25">
        <v>0</v>
      </c>
      <c r="DX5" s="76">
        <f>IF(DF5&gt;0,DF5,"")</f>
        <v>15</v>
      </c>
      <c r="DY5" s="76">
        <f>IF(DG5&gt;0,DG5,"")</f>
        <v>15.76</v>
      </c>
      <c r="DZ5" s="76">
        <f>IF(SUM(DD5:DG5)-DH5&gt;0,SUM(DD5:DG5)-DH5,"")</f>
        <v>57.36</v>
      </c>
      <c r="EA5" s="76" t="str">
        <f>IF(DK5&gt;0,DK5,"")</f>
        <v/>
      </c>
      <c r="EB5" s="76" t="str">
        <f>IF(DL5&gt;0,DL5,"")</f>
        <v/>
      </c>
      <c r="EC5" s="76" t="str">
        <f>IF(SUM(DI5:DL5)-DM5&gt;0,SUM(DI5:DL5)-DM5,"")</f>
        <v/>
      </c>
      <c r="ED5" s="76">
        <f>IF(MAX(DZ5,EC5)&gt;0,MAX(DZ5,EC5),"")</f>
        <v>57.36</v>
      </c>
      <c r="EE5" s="76" t="str">
        <f>IF(DP5&gt;0,DP5,"")</f>
        <v/>
      </c>
      <c r="EF5" s="76" t="str">
        <f>IF(DQ5&gt;0,DQ5,"")</f>
        <v/>
      </c>
      <c r="EG5" s="76" t="str">
        <f>IF(SUM(DN5:DQ5)-DR5&gt;0,SUM(DN5:DQ5)-DR5,"")</f>
        <v/>
      </c>
      <c r="EH5" s="76">
        <f>IF(DU5&gt;0,DU5,"")</f>
        <v>15</v>
      </c>
      <c r="EI5" s="76">
        <f>IF(DV5&gt;0,DV5,"")</f>
        <v>15.994999999999999</v>
      </c>
      <c r="EJ5" s="76">
        <f>IF(SUM(DS5:DV5)-DW5&gt;0,SUM(DS5:DV5)-DW5,"")</f>
        <v>56.994999999999997</v>
      </c>
      <c r="EK5" s="76">
        <f>IF(SUM(ED5,EJ5)&gt;0,SUM(ED5,EJ5),"")</f>
        <v>114.35499999999999</v>
      </c>
      <c r="EL5" s="26">
        <v>14.1</v>
      </c>
      <c r="EM5" s="26">
        <v>8.6999999999999993</v>
      </c>
      <c r="EN5" s="26">
        <v>15.9</v>
      </c>
      <c r="EO5" s="26">
        <v>15.9</v>
      </c>
      <c r="EP5" s="26">
        <v>0</v>
      </c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16">
        <f>IF(EN5&gt;0,EN5,"")</f>
        <v>15.9</v>
      </c>
      <c r="FG5" s="16">
        <f>IF(EO5&gt;0,EO5,"")</f>
        <v>15.9</v>
      </c>
      <c r="FH5" s="16">
        <f>IF(SUM(EL5:EO5)-EP5&gt;0,SUM(EL5:EO5)-EP5,"")</f>
        <v>54.599999999999994</v>
      </c>
      <c r="FI5" s="16" t="str">
        <f>IF(ES5&gt;0,ES5,"")</f>
        <v/>
      </c>
      <c r="FJ5" s="16" t="str">
        <f>IF(ET5&gt;0,ET5,"")</f>
        <v/>
      </c>
      <c r="FK5" s="16" t="str">
        <f>IF(SUM(EQ5:ET5)-EU5&gt;0,SUM(EQ5:ET5)-EU5,"")</f>
        <v/>
      </c>
      <c r="FL5" s="16">
        <f>IF(MAX(FH5,FK5)&gt;0,MAX(FH5,FK5),"")</f>
        <v>54.599999999999994</v>
      </c>
      <c r="FM5" s="16" t="str">
        <f>IF(EX5&gt;0,EX5,"")</f>
        <v/>
      </c>
      <c r="FN5" s="16" t="str">
        <f>IF(EY5&gt;0,EY5,"")</f>
        <v/>
      </c>
      <c r="FO5" s="16" t="str">
        <f>IF(SUM(EV5:EY5)-EZ5&gt;0,SUM(EV5:EY5)-EZ5,"")</f>
        <v/>
      </c>
      <c r="FP5" s="16" t="str">
        <f>IF(FC5&gt;0,FC5,"")</f>
        <v/>
      </c>
      <c r="FQ5" s="16" t="str">
        <f>IF(FD5&gt;0,FD5,"")</f>
        <v/>
      </c>
      <c r="FR5" s="16" t="str">
        <f>IF(SUM(FA5:FD5)-FE5&gt;0,SUM(FA5:FD5)-FE5,"")</f>
        <v/>
      </c>
      <c r="FS5" s="16">
        <f>IF(SUM(FL5,FR5)&gt;0,SUM(FL5,FR5),"")</f>
        <v>54.599999999999994</v>
      </c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76" t="str">
        <f>IF(FV5&gt;0,FV5,"")</f>
        <v/>
      </c>
      <c r="GO5" s="76" t="str">
        <f>IF(FW5&gt;0,FW5,"")</f>
        <v/>
      </c>
      <c r="GP5" s="76" t="str">
        <f>IF(SUM(FT5:FW5)-FX5&gt;0,SUM(FT5:FW5)-FX5,"")</f>
        <v/>
      </c>
      <c r="GQ5" s="76" t="str">
        <f>IF(GA5&gt;0,GA5,"")</f>
        <v/>
      </c>
      <c r="GR5" s="76" t="str">
        <f>IF(GB5&gt;0,GB5,"")</f>
        <v/>
      </c>
      <c r="GS5" s="76" t="str">
        <f>IF(SUM(FY5:GB5)-GC5&gt;0,SUM(FY5:GB5)-GC5,"")</f>
        <v/>
      </c>
      <c r="GT5" s="76" t="str">
        <f>IF(MAX(GP5,GS5)&gt;0,MAX(GP5,GS5),"")</f>
        <v/>
      </c>
      <c r="GU5" s="76" t="str">
        <f>IF(GF5&gt;0,GF5,"")</f>
        <v/>
      </c>
      <c r="GV5" s="76" t="str">
        <f>IF(GG5&gt;0,GG5,"")</f>
        <v/>
      </c>
      <c r="GW5" s="76" t="str">
        <f>IF(SUM(GD5:GG5)-GH5&gt;0,SUM(GD5:GG5)-GH5,"")</f>
        <v/>
      </c>
      <c r="GX5" s="76" t="str">
        <f>IF(GK5&gt;0,GK5,"")</f>
        <v/>
      </c>
      <c r="GY5" s="76" t="str">
        <f>IF(GL5&gt;0,GL5,"")</f>
        <v/>
      </c>
      <c r="GZ5" s="76" t="str">
        <f>IF(SUM(GI5:GL5)-GM5&gt;0,SUM(GI5:GL5)-GM5,"")</f>
        <v/>
      </c>
      <c r="HA5" s="76" t="str">
        <f>IF(SUM(GT5,GZ5)&gt;0,SUM(GT5,GZ5),"")</f>
        <v/>
      </c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16" t="str">
        <f>IF(HD5&gt;0,HD5,"")</f>
        <v/>
      </c>
      <c r="HW5" s="16" t="str">
        <f>IF(HE5&gt;0,HE5,"")</f>
        <v/>
      </c>
      <c r="HX5" s="16" t="str">
        <f>IF(SUM(HB5:HE5)-HF5&gt;0,SUM(HB5:HE5)-HF5,"")</f>
        <v/>
      </c>
      <c r="HY5" s="16" t="str">
        <f>IF(HI5&gt;0,HI5,"")</f>
        <v/>
      </c>
      <c r="HZ5" s="16" t="str">
        <f>IF(HJ5&gt;0,HJ5,"")</f>
        <v/>
      </c>
      <c r="IA5" s="16" t="str">
        <f>IF(SUM(HG5:HJ5)-HK5&gt;0,SUM(HG5:HJ5)-HK5,"")</f>
        <v/>
      </c>
      <c r="IB5" s="16" t="str">
        <f>IF(MAX(HX5,IA5)&gt;0,MAX(HX5,IA5),"")</f>
        <v/>
      </c>
      <c r="IC5" s="16" t="str">
        <f>IF(HN5&gt;0,HN5,"")</f>
        <v/>
      </c>
      <c r="ID5" s="16" t="str">
        <f>IF(HO5&gt;0,HO5,"")</f>
        <v/>
      </c>
      <c r="IE5" s="16" t="str">
        <f>IF(SUM(HL5:HO5)-HP5&gt;0,SUM(HL5:HO5)-HP5,"")</f>
        <v/>
      </c>
      <c r="IF5" s="16" t="str">
        <f>IF(HS5&gt;0,HS5,"")</f>
        <v/>
      </c>
      <c r="IG5" s="16" t="str">
        <f>IF(HT5&gt;0,HT5,"")</f>
        <v/>
      </c>
      <c r="IH5" s="16" t="str">
        <f>IF(SUM(HQ5:HT5)-HU5&gt;0,SUM(HQ5:HT5)-HU5,"")</f>
        <v/>
      </c>
      <c r="II5" s="16" t="str">
        <f>IF(SUM(IB5,IH5)&gt;0,SUM(IB5,IH5),"")</f>
        <v/>
      </c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76" t="str">
        <f>IF(IL5&gt;0,IL5,"")</f>
        <v/>
      </c>
      <c r="JE5" s="76" t="str">
        <f>IF(IM5&gt;0,IM5,"")</f>
        <v/>
      </c>
      <c r="JF5" s="76" t="str">
        <f>IF(SUM(IJ5:IM5)-IN5&gt;0,SUM(IJ5:IM5)-IN5,"")</f>
        <v/>
      </c>
      <c r="JG5" s="76" t="str">
        <f>IF(IQ5&gt;0,IQ5,"")</f>
        <v/>
      </c>
      <c r="JH5" s="76" t="str">
        <f>IF(IR5&gt;0,IR5,"")</f>
        <v/>
      </c>
      <c r="JI5" s="76" t="str">
        <f>IF(SUM(IO5:IR5)-IS5&gt;0,SUM(IO5:IR5)-IS5,"")</f>
        <v/>
      </c>
      <c r="JJ5" s="76" t="str">
        <f>IF(MAX(JF5,JI5)&gt;0,MAX(JF5,JI5),"")</f>
        <v/>
      </c>
      <c r="JK5" s="76" t="str">
        <f>IF(IV5&gt;0,IV5,"")</f>
        <v/>
      </c>
      <c r="JL5" s="76" t="str">
        <f>IF(IW5&gt;0,IW5,"")</f>
        <v/>
      </c>
      <c r="JM5" s="76" t="str">
        <f>IF(SUM(IT5:IW5)-IX5&gt;0,SUM(IT5:IW5)-IX5,"")</f>
        <v/>
      </c>
      <c r="JN5" s="76" t="str">
        <f>IF(JA5&gt;0,JA5,"")</f>
        <v/>
      </c>
      <c r="JO5" s="76" t="str">
        <f>IF(JB5&gt;0,JB5,"")</f>
        <v/>
      </c>
      <c r="JP5" s="76" t="str">
        <f>IF(SUM(IY5:JB5)-JC5&gt;0,SUM(IY5:JB5)-JC5,"")</f>
        <v/>
      </c>
      <c r="JQ5" s="76" t="str">
        <f>IF(SUM(JJ5,JP5)&gt;0,SUM(JJ5,JP5),"")</f>
        <v/>
      </c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16" t="str">
        <f>IF(JT5&gt;0,JT5,"")</f>
        <v/>
      </c>
      <c r="KM5" s="16" t="str">
        <f>IF(JU5&gt;0,JU5,"")</f>
        <v/>
      </c>
      <c r="KN5" s="16" t="str">
        <f>IF(SUM(JR5:JU5)-JV5&gt;0,SUM(JR5:JU5)-JV5,"")</f>
        <v/>
      </c>
      <c r="KO5" s="16" t="str">
        <f>IF(JY5&gt;0,JY5,"")</f>
        <v/>
      </c>
      <c r="KP5" s="16" t="str">
        <f>IF(JZ5&gt;0,JZ5,"")</f>
        <v/>
      </c>
      <c r="KQ5" s="16" t="str">
        <f>IF(SUM(JW5:JZ5)-KA5&gt;0,SUM(JW5:JZ5)-KA5,"")</f>
        <v/>
      </c>
      <c r="KR5" s="16" t="str">
        <f>IF(MAX(KN5,KQ5)&gt;0,MAX(KN5,KQ5),"")</f>
        <v/>
      </c>
      <c r="KS5" s="16" t="str">
        <f>IF(KD5&gt;0,KD5,"")</f>
        <v/>
      </c>
      <c r="KT5" s="16" t="str">
        <f>IF(KE5&gt;0,KE5,"")</f>
        <v/>
      </c>
      <c r="KU5" s="16" t="str">
        <f>IF(SUM(KB5:KE5)-KF5&gt;0,SUM(KB5:KE5)-KF5,"")</f>
        <v/>
      </c>
      <c r="KV5" s="16" t="str">
        <f>IF(KI5&gt;0,KI5,"")</f>
        <v/>
      </c>
      <c r="KW5" s="16" t="str">
        <f>IF(KJ5&gt;0,KJ5,"")</f>
        <v/>
      </c>
      <c r="KX5" s="16" t="str">
        <f>IF(SUM(KG5:KJ5)-KK5&gt;0,SUM(KG5:KJ5)-KK5,"")</f>
        <v/>
      </c>
      <c r="KY5" s="16" t="str">
        <f>IF(SUM(KR5,KX5)&gt;0,SUM(KR5,KX5),"")</f>
        <v/>
      </c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76" t="str">
        <f>IF(LB5&gt;0,LB5,"")</f>
        <v/>
      </c>
      <c r="LU5" s="76" t="str">
        <f>IF(LC5&gt;0,LC5,"")</f>
        <v/>
      </c>
      <c r="LV5" s="76" t="str">
        <f>IF(SUM(KZ5:LC5)-LD5&gt;0,SUM(KZ5:LC5)-LD5,"")</f>
        <v/>
      </c>
      <c r="LW5" s="76" t="str">
        <f>IF(LG5&gt;0,LG5,"")</f>
        <v/>
      </c>
      <c r="LX5" s="76" t="str">
        <f>IF(LH5&gt;0,LH5,"")</f>
        <v/>
      </c>
      <c r="LY5" s="76" t="str">
        <f>IF(SUM(LE5:LH5)-LI5&gt;0,SUM(LE5:LH5)-LI5,"")</f>
        <v/>
      </c>
      <c r="LZ5" s="76" t="str">
        <f>IF(MAX(LV5,LY5)&gt;0,MAX(LV5,LY5),"")</f>
        <v/>
      </c>
      <c r="MA5" s="76" t="str">
        <f>IF(LL5&gt;0,LL5,"")</f>
        <v/>
      </c>
      <c r="MB5" s="76" t="str">
        <f>IF(LM5&gt;0,LM5,"")</f>
        <v/>
      </c>
      <c r="MC5" s="76" t="str">
        <f>IF(SUM(LJ5:LM5)-LN5&gt;0,SUM(LJ5:LM5)-LN5,"")</f>
        <v/>
      </c>
      <c r="MD5" s="76" t="str">
        <f>IF(LQ5&gt;0,LQ5,"")</f>
        <v/>
      </c>
      <c r="ME5" s="76" t="str">
        <f>IF(LR5&gt;0,LR5,"")</f>
        <v/>
      </c>
      <c r="MF5" s="76" t="str">
        <f>IF(SUM(LO5:LR5)-LS5&gt;0,SUM(LO5:LR5)-LS5,"")</f>
        <v/>
      </c>
      <c r="MG5" s="76" t="str">
        <f>IF(SUM(LZ5,MF5)&gt;0,SUM(LZ5,MF5),"")</f>
        <v/>
      </c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16" t="str">
        <f>IF(MJ5&gt;0,MJ5,"")</f>
        <v/>
      </c>
      <c r="NC5" s="16" t="str">
        <f>IF(MK5&gt;0,MK5,"")</f>
        <v/>
      </c>
      <c r="ND5" s="16" t="str">
        <f>IF(SUM(MH5:MK5)-ML5&gt;0,SUM(MH5:MK5)-ML5,"")</f>
        <v/>
      </c>
      <c r="NE5" s="16" t="str">
        <f>IF(MO5&gt;0,MO5,"")</f>
        <v/>
      </c>
      <c r="NF5" s="16" t="str">
        <f>IF(MP5&gt;0,MP5,"")</f>
        <v/>
      </c>
      <c r="NG5" s="16" t="str">
        <f>IF(SUM(MM5:MP5)-MQ5&gt;0,SUM(MM5:MP5)-MQ5,"")</f>
        <v/>
      </c>
      <c r="NH5" s="16" t="str">
        <f>IF(MAX(ND5,NG5)&gt;0,MAX(ND5,NG5),"")</f>
        <v/>
      </c>
      <c r="NI5" s="16" t="str">
        <f>IF(MT5&gt;0,MT5,"")</f>
        <v/>
      </c>
      <c r="NJ5" s="16" t="str">
        <f>IF(MU5&gt;0,MU5,"")</f>
        <v/>
      </c>
      <c r="NK5" s="16" t="str">
        <f>IF(SUM(MR5:MU5)-MV5&gt;0,SUM(MR5:MU5)-MV5,"")</f>
        <v/>
      </c>
      <c r="NL5" s="16" t="str">
        <f>IF(MY5&gt;0,MY5,"")</f>
        <v/>
      </c>
      <c r="NM5" s="16" t="str">
        <f>IF(MZ5&gt;0,MZ5,"")</f>
        <v/>
      </c>
      <c r="NN5" s="16" t="str">
        <f>IF(SUM(MW5:MZ5)-NA5&gt;0,SUM(MW5:MZ5)-NA5,"")</f>
        <v/>
      </c>
      <c r="NO5" s="16" t="str">
        <f>IF(SUM(NH5,NN5)&gt;0,SUM(NH5,NN5),"")</f>
        <v/>
      </c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76" t="str">
        <f>IF(NR5&gt;0,NR5,"")</f>
        <v/>
      </c>
      <c r="OK5" s="76" t="str">
        <f>IF(NS5&gt;0,NS5,"")</f>
        <v/>
      </c>
      <c r="OL5" s="76" t="str">
        <f>IF(SUM(NP5:NS5)-NT5&gt;0,SUM(NP5:NS5)-NT5,"")</f>
        <v/>
      </c>
      <c r="OM5" s="76" t="str">
        <f>IF(NW5&gt;0,NW5,"")</f>
        <v/>
      </c>
      <c r="ON5" s="76" t="str">
        <f>IF(NX5&gt;0,NX5,"")</f>
        <v/>
      </c>
      <c r="OO5" s="76" t="str">
        <f>IF(SUM(NU5:NX5)-NY5&gt;0,SUM(NU5:NX5)-NY5,"")</f>
        <v/>
      </c>
      <c r="OP5" s="76" t="str">
        <f>IF(MAX(OL5,OO5)&gt;0,MAX(OL5,OO5),"")</f>
        <v/>
      </c>
      <c r="OQ5" s="76" t="str">
        <f>IF(OB5&gt;0,OB5,"")</f>
        <v/>
      </c>
      <c r="OR5" s="76" t="str">
        <f>IF(OC5&gt;0,OC5,"")</f>
        <v/>
      </c>
      <c r="OS5" s="76" t="str">
        <f>IF(SUM(NZ5:OC5)-OD5&gt;0,SUM(NZ5:OC5)-OD5,"")</f>
        <v/>
      </c>
      <c r="OT5" s="76" t="str">
        <f>IF(OG5&gt;0,OG5,"")</f>
        <v/>
      </c>
      <c r="OU5" s="76" t="str">
        <f>IF(OH5&gt;0,OH5,"")</f>
        <v/>
      </c>
      <c r="OV5" s="76" t="str">
        <f>IF(SUM(OE5:OH5)-OI5&gt;0,SUM(OE5:OH5)-OI5,"")</f>
        <v/>
      </c>
      <c r="OW5" s="76" t="str">
        <f>IF(SUM(OP5,OV5)&gt;0,SUM(OP5,OV5),"")</f>
        <v/>
      </c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16" t="str">
        <f>IF(OZ5&gt;0,OZ5,"")</f>
        <v/>
      </c>
      <c r="PS5" s="16" t="str">
        <f>IF(PA5&gt;0,PA5,"")</f>
        <v/>
      </c>
      <c r="PT5" s="16" t="str">
        <f>IF(SUM(OX5:PA5)-PB5&gt;0,SUM(OX5:PA5)-PB5,"")</f>
        <v/>
      </c>
      <c r="PU5" s="16" t="str">
        <f>IF(PE5&gt;0,PE5,"")</f>
        <v/>
      </c>
      <c r="PV5" s="16" t="str">
        <f>IF(PF5&gt;0,PF5,"")</f>
        <v/>
      </c>
      <c r="PW5" s="16" t="str">
        <f>IF(SUM(PC5:PF5)-PG5&gt;0,SUM(PC5:PF5)-PG5,"")</f>
        <v/>
      </c>
      <c r="PX5" s="16" t="str">
        <f>IF(MAX(PT5,PW5)&gt;0,MAX(PT5,PW5),"")</f>
        <v/>
      </c>
      <c r="PY5" s="16" t="str">
        <f>IF(PJ5&gt;0,PJ5,"")</f>
        <v/>
      </c>
      <c r="PZ5" s="16" t="str">
        <f>IF(PK5&gt;0,PK5,"")</f>
        <v/>
      </c>
      <c r="QA5" s="16" t="str">
        <f>IF(SUM(PH5:PK5)-PL5&gt;0,SUM(PH5:PK5)-PL5,"")</f>
        <v/>
      </c>
      <c r="QB5" s="16" t="str">
        <f>IF(PO5&gt;0,PO5,"")</f>
        <v/>
      </c>
      <c r="QC5" s="16" t="str">
        <f>IF(PP5&gt;0,PP5,"")</f>
        <v/>
      </c>
      <c r="QD5" s="16" t="str">
        <f>IF(SUM(PM5:PP5)-PQ5&gt;0,SUM(PM5:PP5)-PQ5,"")</f>
        <v/>
      </c>
      <c r="QE5" s="16" t="str">
        <f>IF(SUM(PX5,QD5)&gt;0,SUM(PX5,QD5),"")</f>
        <v/>
      </c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76" t="str">
        <f>IF(QH5&gt;0,QH5,"")</f>
        <v/>
      </c>
      <c r="RA5" s="76" t="str">
        <f>IF(QI5&gt;0,QI5,"")</f>
        <v/>
      </c>
      <c r="RB5" s="76" t="str">
        <f>IF(SUM(QF5:QI5)-QJ5&gt;0,SUM(QF5:QI5)-QJ5,"")</f>
        <v/>
      </c>
      <c r="RC5" s="76" t="str">
        <f>IF(QM5&gt;0,QM5,"")</f>
        <v/>
      </c>
      <c r="RD5" s="76" t="str">
        <f>IF(QN5&gt;0,QN5,"")</f>
        <v/>
      </c>
      <c r="RE5" s="76" t="str">
        <f>IF(SUM(QK5:QN5)-QO5&gt;0,SUM(QK5:QN5)-QO5,"")</f>
        <v/>
      </c>
      <c r="RF5" s="76" t="str">
        <f>IF(MAX(RB5,RE5)&gt;0,MAX(RB5,RE5),"")</f>
        <v/>
      </c>
      <c r="RG5" s="76" t="str">
        <f>IF(QR5&gt;0,QR5,"")</f>
        <v/>
      </c>
      <c r="RH5" s="76" t="str">
        <f>IF(QS5&gt;0,QS5,"")</f>
        <v/>
      </c>
      <c r="RI5" s="76" t="str">
        <f>IF(SUM(QP5:QS5)-QT5&gt;0,SUM(QP5:QS5)-QT5,"")</f>
        <v/>
      </c>
      <c r="RJ5" s="76" t="str">
        <f>IF(QW5&gt;0,QW5,"")</f>
        <v/>
      </c>
      <c r="RK5" s="76" t="str">
        <f>IF(QX5&gt;0,QX5,"")</f>
        <v/>
      </c>
      <c r="RL5" s="76" t="str">
        <f>IF(SUM(QU5:QX5)-QY5&gt;0,SUM(QU5:QX5)-QY5,"")</f>
        <v/>
      </c>
      <c r="RM5" s="76" t="str">
        <f>IF(SUM(RF5,RL5)&gt;0,SUM(RF5,RL5),"")</f>
        <v/>
      </c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16" t="str">
        <f>IF(RP5&gt;0,RP5,"")</f>
        <v/>
      </c>
      <c r="SI5" s="16" t="str">
        <f>IF(RQ5&gt;0,RQ5,"")</f>
        <v/>
      </c>
      <c r="SJ5" s="16" t="str">
        <f>IF(SUM(RN5:RQ5)-RR5&gt;0,SUM(RN5:RQ5)-RR5,"")</f>
        <v/>
      </c>
      <c r="SK5" s="16" t="str">
        <f>IF(RU5&gt;0,RU5,"")</f>
        <v/>
      </c>
      <c r="SL5" s="16" t="str">
        <f>IF(RV5&gt;0,RV5,"")</f>
        <v/>
      </c>
      <c r="SM5" s="16" t="str">
        <f>IF(SUM(RS5:RV5)-RW5&gt;0,SUM(RS5:RV5)-RW5,"")</f>
        <v/>
      </c>
      <c r="SN5" s="16" t="str">
        <f>IF(MAX(SJ5,SM5)&gt;0,MAX(SJ5,SM5),"")</f>
        <v/>
      </c>
      <c r="SO5" s="16" t="str">
        <f>IF(RZ5&gt;0,RZ5,"")</f>
        <v/>
      </c>
      <c r="SP5" s="16" t="str">
        <f>IF(SA5&gt;0,SA5,"")</f>
        <v/>
      </c>
      <c r="SQ5" s="16" t="str">
        <f>IF(SUM(RX5:SA5)-SB5&gt;0,SUM(RX5:SA5)-SB5,"")</f>
        <v/>
      </c>
      <c r="SR5" s="16" t="str">
        <f>IF(SE5&gt;0,SE5,"")</f>
        <v/>
      </c>
      <c r="SS5" s="16" t="str">
        <f>IF(SF5&gt;0,SF5,"")</f>
        <v/>
      </c>
      <c r="ST5" s="16" t="str">
        <f>IF(SUM(SC5:SF5)-SG5&gt;0,SUM(SC5:SF5)-SG5,"")</f>
        <v/>
      </c>
      <c r="SU5" s="16" t="str">
        <f>IF(SUM(SN5,ST5)&gt;0,SUM(SN5,ST5),"")</f>
        <v/>
      </c>
      <c r="SV5" s="42">
        <f>IF($CP5="P",CA5,(CA5+AZ5)/2)</f>
        <v>16.850000000000001</v>
      </c>
      <c r="SW5" s="42">
        <f>IF($CP5="P",CB5,(CB5+BA5)/2)</f>
        <v>9.25</v>
      </c>
      <c r="SX5" s="42">
        <f>IF($CP5="P",CC5,(CC5+BB5)/2)</f>
        <v>15.2</v>
      </c>
      <c r="SY5" s="42">
        <f>IF($CP5="P",CD5,(CD5+BC5)/2)</f>
        <v>16.7425</v>
      </c>
      <c r="SZ5" s="42">
        <f>IF($CP5="P",CE5,(CE5+BD5)/2)</f>
        <v>0</v>
      </c>
      <c r="TA5" s="42">
        <f>IF($CP5="P",CF5,(CF5+BE5)/2)</f>
        <v>10.100000000000001</v>
      </c>
      <c r="TB5" s="42">
        <f>IF($CP5="P",CG5,(CG5+BF5)/2)</f>
        <v>5.45</v>
      </c>
      <c r="TC5" s="42">
        <f>IF($CP5="P",CH5,(CH5+BG5)/2)</f>
        <v>9.3000000000000007</v>
      </c>
      <c r="TD5" s="42">
        <f>IF($CP5="P",CI5,(CI5+BH5)/2)</f>
        <v>10.005000000000001</v>
      </c>
      <c r="TE5" s="42">
        <f>IF($CP5="P",CJ5,(CJ5+BI5)/2)</f>
        <v>0</v>
      </c>
      <c r="TF5" s="42">
        <f>IF($CP5="P",CK5,(CK5+BJ5)/2)</f>
        <v>16.399999999999999</v>
      </c>
      <c r="TG5" s="42">
        <f>IF($CP5="P",CL5,(CL5+BK5)/2)</f>
        <v>8.85</v>
      </c>
      <c r="TH5" s="42">
        <f>IF($CP5="P",CM5,(CM5+BL5)/2)</f>
        <v>15.65</v>
      </c>
      <c r="TI5" s="42">
        <f>IF($CP5="P",CN5,(CN5+BM5)/2)</f>
        <v>16.352499999999999</v>
      </c>
      <c r="TJ5" s="42">
        <f>IF($CP5="P",CO5,(CO5+BN5)/2)</f>
        <v>0</v>
      </c>
      <c r="TK5" s="51" t="s">
        <v>61</v>
      </c>
      <c r="TL5" s="76">
        <f>IF(SX5&gt;0,SX5,"")</f>
        <v>15.2</v>
      </c>
      <c r="TM5" s="76">
        <f>IF(SY5&gt;0,SY5,"")</f>
        <v>16.7425</v>
      </c>
      <c r="TN5" s="76">
        <f>IF(SUM(SV5:SY5)-SZ5&gt;0,SUM(SV5:SY5)-SZ5,"")</f>
        <v>58.042499999999997</v>
      </c>
      <c r="TO5" s="76">
        <f>IF(TC5&gt;0,TC5,"")</f>
        <v>9.3000000000000007</v>
      </c>
      <c r="TP5" s="76">
        <f>IF(TD5&gt;0,TD5,"")</f>
        <v>10.005000000000001</v>
      </c>
      <c r="TQ5" s="76">
        <f>IF(SUM(TA5:TD5)-TE5&gt;0,SUM(TA5:TD5)-TE5,"")</f>
        <v>34.855000000000004</v>
      </c>
      <c r="TR5" s="76">
        <f>IF(MAX(TN5,TQ5)&gt;0,MAX(TN5,TQ5),"")</f>
        <v>58.042499999999997</v>
      </c>
      <c r="TS5" s="76">
        <f>IF(TH5&gt;0,TH5,"")</f>
        <v>15.65</v>
      </c>
      <c r="TT5" s="76">
        <f>IF(TI5&gt;0,TI5,"")</f>
        <v>16.352499999999999</v>
      </c>
      <c r="TU5" s="76">
        <f>IF(SUM(TF5:TI5)-TJ5&gt;0,SUM(TF5:TI5)-TJ5,"")</f>
        <v>57.252499999999998</v>
      </c>
      <c r="TV5" s="76">
        <f>IF(SUM(TR5,TU5)&gt;0,SUM(TR5,TU5),"")</f>
        <v>115.29499999999999</v>
      </c>
    </row>
    <row r="6" spans="1:542" x14ac:dyDescent="0.2">
      <c r="A6" s="5" cm="1">
        <f t="array" ref="A6">IF(AND(F6&lt;&gt;"",G6&lt;&gt;""),SUMPRODUCT((F$4:F$23&lt;&gt;"")*(G$4:G$23&lt;&gt;"")*(E$4:E$23&gt;E6))+1,IF(G6&lt;&gt;"",SUMPRODUCT((H$4:H$23="No DD")*(E$4:E$23&gt;E6))+1+SUMPRODUCT((F$4:F$23&lt;&gt;"")*(G$4:G$23&lt;&gt;"")),""))</f>
        <v>3</v>
      </c>
      <c r="B6" s="6" t="s">
        <v>8</v>
      </c>
      <c r="C6" s="7" t="s">
        <v>3</v>
      </c>
      <c r="D6" s="18">
        <v>1997</v>
      </c>
      <c r="E6" s="14">
        <f>SUM(J6:V6)+SUM(J6:T6)*0.0000001+SUM(J6)*0.0000000000001</f>
        <v>261.34002613400565</v>
      </c>
      <c r="F6" s="3" t="str">
        <f>IF(OR(AND(AO6&gt;=AY$25,AO6&lt;&gt;"",AQ6&gt;=AY$29,AQ6&lt;&gt;"",AN6=""),AND(AR6&gt;=AY$25,AR6&lt;&gt;"",AT6&gt;=AY$29,AT6&lt;&gt;"",AN6=""),AND(AV6&gt;=AY$25,AV6&lt;&gt;"",AX6&gt;=AY$29,AX6&lt;&gt;"",AN6=""),AND(BP6&gt;=BZ$25,BP6&lt;&gt;"",BR6&gt;=BZ$29,BR6&lt;&gt;"",BO6=""),AND(BS6&gt;=BZ$25,BS6&lt;&gt;"",BU6&gt;=BZ$29,BU6&lt;&gt;"",BO6=""),AND(BW6&gt;=BZ$25,BW6&lt;&gt;"",BY6&gt;=BZ$29,BY6&lt;&gt;"",BO6=""),AND(CQ6&gt;=DA$25,CQ6&lt;&gt;"",CS6&gt;=DA$29,CS6&lt;&gt;"",CP6=""),AND(CT6&gt;=DA$25,CT6&lt;&gt;"",CV6&gt;=DA$29,CV6&lt;&gt;"",CP6=""),AND(CX6&gt;=DA$25,CX6&lt;&gt;"",CZ6&gt;=DA$29,CZ6&lt;&gt;"",CP6=""),AND(DX6&gt;=EK$25,DX6&lt;&gt;"",DZ6&gt;=EK$29,DZ6&lt;&gt;""),AND(EA6&gt;=EK$25,EA6&lt;&gt;"",EC6&gt;=EK$29,EC6&lt;&gt;""),AND(EE6&gt;=EK$25,EE6&lt;&gt;"",EG6&gt;=EK$29,EG6&lt;&gt;""),AND(EH6&gt;=EK$25,EH6&lt;&gt;"",EJ6&gt;=EK$29,EJ6&lt;&gt;""),AND(FF6&gt;=FS$25,FF6&lt;&gt;"",FH6&gt;=FS$29,FH6&lt;&gt;""),AND(FI6&gt;=FS$25,FI6&lt;&gt;"",FK6&gt;=FS$29,FK6&lt;&gt;""),AND(FM6&gt;=FS$25,FM6&lt;&gt;"",FO6&gt;=FS$29,FO6&lt;&gt;""),AND(FP6&gt;=FS$25,FP6&lt;&gt;"",FR6&gt;=FS$29,FR6&lt;&gt;""),AND(GN6&gt;=HA$25,GN6&lt;&gt;"",GP6&gt;=HA$29,GP6&lt;&gt;""),AND(GQ6&gt;=HA$25,GQ6&lt;&gt;"",GS6&gt;=HA$29,GS6&lt;&gt;""),AND(GU6&gt;=HA$25,GU6&lt;&gt;"",GW6&gt;=HA$29,GW6&lt;&gt;""),AND(GX6&gt;=HA$25,GX6&lt;&gt;"",GZ6&gt;=HA$29,GZ6&lt;&gt;""),AND(HV6&gt;=II$25,HV6&lt;&gt;"",HX6&gt;=II$29,HX6&lt;&gt;""),AND(HY6&gt;=II$25,HY6&lt;&gt;"",IA6&gt;=II$29,IA6&lt;&gt;""),AND(IC6&gt;=II$25,IC6&lt;&gt;"",IE6&gt;=II$29,IE6&lt;&gt;""),AND(IF6&gt;=II$25,IF6&lt;&gt;"",IH6&gt;=II$29,IH6&lt;&gt;""),AND(JD6&gt;=JQ$25,JD6&lt;&gt;"",JF6&gt;=JQ$29,JF6&lt;&gt;""),AND(JG6&gt;=JQ$25,JG6&lt;&gt;"",JI6&gt;=JQ$29,JI6&lt;&gt;""),AND(JK6&gt;=JQ$25,JK6&lt;&gt;"",JM6&gt;=JQ$29,JM6&lt;&gt;""),AND(JN6&gt;=JQ$25,JN6&lt;&gt;"",JP6&gt;=JQ$29,JP6&lt;&gt;""),AND(KL6&gt;=KY$25,KL6&lt;&gt;"",KN6&gt;=KY$29,KN6&lt;&gt;""),AND(KO6&gt;=KY$25,KO6&lt;&gt;"",KQ6&gt;=KY$29,KQ6&lt;&gt;""),AND(KS6&gt;=KY$25,KS6&lt;&gt;"",KU6&gt;=KY$29,KU6&lt;&gt;""),AND(KV6&gt;=KY$25,KV6&lt;&gt;"",KX6&gt;=KY$29,KX6&lt;&gt;""),AND(LT6&gt;=MG$25,LT6&lt;&gt;"",LV6&gt;=MG$29,LV6&lt;&gt;""),AND(LW6&gt;=MG$25,LW6&lt;&gt;"",LY6&gt;=MG$29,LY6&lt;&gt;""),AND(MA6&gt;=MG$25,MA6&lt;&gt;"",MC6&gt;=MG$29,MC6&lt;&gt;""),AND(MD6&gt;=MG$25,MD6&lt;&gt;"",MF6&gt;=MG$29,MF6&lt;&gt;""),AND(NB6&gt;=NO$25,NB6&lt;&gt;"",ND6&gt;=NO$29,ND6&lt;&gt;""),AND(NE6&gt;=NO$25,NE6&lt;&gt;"",NG6&gt;=NO$29,NG6&lt;&gt;""),AND(NI6&gt;=NO$25,NI6&lt;&gt;"",NK6&gt;=NO$29,NK6&lt;&gt;""),AND(NL6&gt;=NO$25,NL6&lt;&gt;"",NN6&gt;=NO$29,NN6&lt;&gt;""),AND(OJ6&gt;=OW$25,OJ6&lt;&gt;"",OL6&gt;=OW$29,OL6&lt;&gt;""),AND(OM6&gt;=OW$25,OM6&lt;&gt;"",OO6&gt;=OW$29,OO6&lt;&gt;""),AND(OQ6&gt;=OW$25,OQ6&lt;&gt;"",OS6&gt;=OW$29,OS6&lt;&gt;""),AND(OT6&gt;=OW$25,OT6&lt;&gt;"",OV6&gt;=OW$29,OV6&lt;&gt;""),AND(PR6&gt;=QE$25,PR6&lt;&gt;"",PT6&gt;=QE$29,PT6&lt;&gt;""),AND(PU6&gt;=QE$25,PU6&lt;&gt;"",PW6&gt;=QE$29,PW6&lt;&gt;""),AND(PY6&gt;=QE$25,PY6&lt;&gt;"",QA6&gt;=QE$29,QA6&lt;&gt;""),AND(QB6&gt;=QE$25,QB6&lt;&gt;"",QD6&gt;=QE$29,QD6&lt;&gt;""),AND(QZ6&gt;=RM$25,QZ6&lt;&gt;"",RB6&gt;=RM$29,RB6&lt;&gt;""),AND(RC6&gt;=RM$25,RC6&lt;&gt;"",RE6&gt;=RM$29,RE6&lt;&gt;""),AND(RG6&gt;=RM$25,RG6&lt;&gt;"",RI6&gt;=RM$29,RI6&lt;&gt;""),AND(RJ6&gt;=RM$25,RJ6&lt;&gt;"",RL6&gt;=RM$29,RL6&lt;&gt;""),AND(SH6&gt;=SU$25,SH6&lt;&gt;"",SJ6&gt;=SU$29,SJ6&lt;&gt;""),AND(SK6&gt;=SU$25,SK6&lt;&gt;"",SM6&gt;=SU$29,SM6&lt;&gt;""),AND(SO6&gt;=SU$25,SO6&lt;&gt;"",SQ6&gt;=SU$29,SQ6&lt;&gt;""),AND(SR6&gt;=SU$25,SR6&lt;&gt;"",ST6&gt;=SU$29,ST6&lt;&gt;"")),"P","")</f>
        <v>P</v>
      </c>
      <c r="G6" s="3" t="str">
        <f>IF(OR(AND(AQ6&gt;=AY$29,AQ6&lt;&gt;"",AN6=""),AND(AT6&gt;=AY$29,AT6&lt;&gt;"",AN6=""),AND(AX6&gt;=AY$29,AX6&lt;&gt;"",AN6=""),AND(BR6&gt;=BZ$29,BR6&lt;&gt;"",BO6=""),AND(BU6&gt;=BZ$29,BU6&lt;&gt;"",BO6=""),AND(BY6&gt;=BZ$29,BY6&lt;&gt;"",BO6=""),AND(CS6&gt;=DA$29,CS6&lt;&gt;"",CP6=""),AND(CV6&gt;=DA$29,CV6&lt;&gt;"",CP6=""),AND(CZ6&gt;=DA$29,CZ6&lt;&gt;"",CP6=""),AND(DZ6&gt;=EK$29,DZ6&lt;&gt;""),AND(EC6&gt;=EK$29,EC6&lt;&gt;""),AND(EG6&gt;=EK$29,EG6&lt;&gt;""),AND(EJ6&gt;=EK$29,EJ6&lt;&gt;""),AND(FH6&gt;=FS$29,FH6&lt;&gt;""),AND(FK6&gt;=FS$29,FK6&lt;&gt;""),AND(FO6&gt;=FS$29,FO6&lt;&gt;""),AND(FR6&gt;=FS$29,FR6&lt;&gt;""),AND(GP6&gt;=HA$29,GP6&lt;&gt;""),AND(GS6&gt;=HA$29,GS6&lt;&gt;""),AND(GW6&gt;=HA$29,GW6&lt;&gt;""),AND(GZ6&gt;=HA$29,GZ6&lt;&gt;""),AND(HX6&gt;=II$29,HX6&lt;&gt;""),AND(IA6&gt;=II$29,IA6&lt;&gt;""),AND(IE6&gt;=II$29,IE6&lt;&gt;""),AND(IH6&gt;=II$29,IH6&lt;&gt;""),AND(JF6&gt;=JQ$29,JF6&lt;&gt;""),AND(JI6&gt;=JQ$29,JI6&lt;&gt;""),AND(JM6&gt;=JQ$29,JM6&lt;&gt;""),AND(JP6&gt;=JQ$29,JP6&lt;&gt;""),AND(KN6&gt;=KY$29,KN6&lt;&gt;""),AND(KQ6&gt;=KY$29,KQ6&lt;&gt;""),AND(KU6&gt;=KY$29,KU6&lt;&gt;""),AND(KX6&gt;=KY$29,KX6&lt;&gt;""),AND(LV6&gt;=MG$29,LV6&lt;&gt;""),AND(LY6&gt;=MG$29,LY6&lt;&gt;""),AND(MC6&gt;=MG$29,MC6&lt;&gt;""),AND(MF6&gt;=MG$29,MF6&lt;&gt;""),AND(ND6&gt;=NO$29,ND6&lt;&gt;""),AND(NG6&gt;=NO$29,NG6&lt;&gt;""),AND(NK6&gt;=NO$29,NK6&lt;&gt;""),AND(NN6&gt;=NO$29,NN6&lt;&gt;""),AND(OL6&gt;=OW$29,OL6&lt;&gt;""),AND(OO6&gt;=OW$29,OO6&lt;&gt;""),AND(OS6&gt;=OW$29,OS6&lt;&gt;""),AND(OV6&gt;=OW$29,OV6&lt;&gt;""),AND(PT6&gt;=QE$29,PT6&lt;&gt;""),AND(PW6&gt;=QE$29,PW6&lt;&gt;""),AND(QA6&gt;=QE$29,QA6&lt;&gt;""),AND(QD6&gt;=QE$29,QD6&lt;&gt;""),AND(RB6&gt;=RM$29,RB6&lt;&gt;""),AND(RE6&gt;=RM$29,RE6&lt;&gt;""),AND(RI6&gt;=RM$29,RI6&lt;&gt;""),AND(RL6&gt;=RM$29,RL6&lt;&gt;""),AND(SJ6&gt;=SU$29,SJ6&lt;&gt;""),AND(SM6&gt;=SU$29,SM6&lt;&gt;""),AND(SQ6&gt;=SU$29,SQ6&lt;&gt;""),AND(ST6&gt;=SU$29,ST6&lt;&gt;"")),"P","")</f>
        <v>P</v>
      </c>
      <c r="H6" s="70" t="str">
        <f>IF(AND(G6="P",F6=""),"No DD",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),"Merit",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X6&gt;=EK$27,DX6&lt;&gt;"",DZ6&gt;=EK$31,DZ6&lt;&gt;""),AND(EA6&gt;=EK$27,EA6&lt;&gt;"",EC6&gt;=EK$31,EC6&lt;&gt;""),AND(EE6&gt;=EK$27,EE6&lt;&gt;"",EG6&gt;=EK$31,EG6&lt;&gt;""),AND(EH6&gt;=EK$27,EH6&lt;&gt;"",EJ6&gt;=EK$31,EJ6&lt;&gt;""),AND(FF6&gt;=FS$27,FF6&lt;&gt;"",FH6&gt;=FS$31,FH6&lt;&gt;""),AND(FI6&gt;=FS$27,FI6&lt;&gt;"",FK6&gt;=FS$31,FK6&lt;&gt;""),AND(FM6&gt;=FS$27,FM6&lt;&gt;"",FO6&gt;=FS$31,FO6&lt;&gt;""),AND(FP6&gt;=FS$27,FP6&lt;&gt;"",FR6&gt;=FS$31,FR6&lt;&gt;""),AND(GN6&gt;=HA$27,GN6&lt;&gt;"",GP6&gt;=HA$31,GP6&lt;&gt;""),AND(GQ6&gt;=HA$27,GQ6&lt;&gt;"",GS6&gt;=HA$31,GS6&lt;&gt;""),AND(GU6&gt;=HA$27,GU6&lt;&gt;"",GW6&gt;=HA$31,GW6&lt;&gt;""),AND(GX6&gt;=HA$27,GX6&lt;&gt;"",GZ6&gt;=HA$31,GZ6&lt;&gt;""),AND(HV6&gt;=II$27,HV6&lt;&gt;"",HX6&gt;=II$31,HX6&lt;&gt;""),AND(HY6&gt;=II$27,HY6&lt;&gt;"",IA6&gt;=II$31,IA6&lt;&gt;""),AND(IC6&gt;=II$27,IC6&lt;&gt;"",IE6&gt;=II$31,IE6&lt;&gt;""),AND(IF6&gt;=II$27,IF6&lt;&gt;"",IH6&gt;=II$31,IH6&lt;&gt;""),AND(JD6&gt;=JQ$27,JD6&lt;&gt;"",JF6&gt;=JQ$31,JF6&lt;&gt;""),AND(JG6&gt;=JQ$27,JG6&lt;&gt;"",JI6&gt;=JQ$31,JI6&lt;&gt;""),AND(JK6&gt;=JQ$27,JK6&lt;&gt;"",JM6&gt;=JQ$31,JM6&lt;&gt;""),AND(JN6&gt;=JQ$27,JN6&lt;&gt;"",JP6&gt;=JQ$31,JP6&lt;&gt;""),AND(KL6&gt;=KY$27,KL6&lt;&gt;"",KN6&gt;=KY$31,KN6&lt;&gt;""),AND(KO6&gt;=KY$27,KO6&lt;&gt;"",KQ6&gt;=KY$31,KQ6&lt;&gt;""),AND(KS6&gt;=KY$27,KS6&lt;&gt;"",KU6&gt;=KY$31,KU6&lt;&gt;""),AND(KV6&gt;=KY$27,KV6&lt;&gt;"",KX6&gt;=KY$31,KX6&lt;&gt;""),AND(LT6&gt;=MG$27,LT6&lt;&gt;"",LV6&gt;=MG$31,LV6&lt;&gt;""),AND(LW6&gt;=MG$27,LW6&lt;&gt;"",LY6&gt;=MG$31,LY6&lt;&gt;""),AND(MA6&gt;=MG$27,MA6&lt;&gt;"",MC6&gt;=MG$31,MC6&lt;&gt;""),AND(MD6&gt;=MG$27,MD6&lt;&gt;"",MF6&gt;=MG$31,MF6&lt;&gt;""),AND(NB6&gt;=NO$27,NB6&lt;&gt;"",ND6&gt;=NO$31,ND6&lt;&gt;""),AND(NE6&gt;=NO$27,NE6&lt;&gt;"",NG6&gt;=NO$31,NG6&lt;&gt;""),AND(NI6&gt;=NO$27,NI6&lt;&gt;"",NK6&gt;=NO$31,NK6&lt;&gt;""),AND(NL6&gt;=NO$27,NL6&lt;&gt;"",NN6&gt;=NO$31,NN6&lt;&gt;""),AND(OJ6&gt;=OW$27,OJ6&lt;&gt;"",OL6&gt;=OW$31,OL6&lt;&gt;""),AND(OM6&gt;=OW$27,OM6&lt;&gt;"",OO6&gt;=OW$31,OO6&lt;&gt;""),AND(OQ6&gt;=OW$27,OQ6&lt;&gt;"",OS6&gt;=OW$31,OS6&lt;&gt;""),AND(OT6&gt;=OW$27,OT6&lt;&gt;"",OV6&gt;=OW$31,OV6&lt;&gt;""),AND(PR6&gt;=QE$27,PR6&lt;&gt;"",PT6&gt;=QE$31,PT6&lt;&gt;""),AND(PU6&gt;=QE$27,PU6&lt;&gt;"",PW6&gt;=QE$31,PW6&lt;&gt;""),AND(PY6&gt;=QE$27,PY6&lt;&gt;"",QA6&gt;=QE$31,QA6&lt;&gt;""),AND(QB6&gt;=QE$27,QB6&lt;&gt;"",QD6&gt;=QE$31,QD6&lt;&gt;""),AND(QZ6&gt;=RM$27,QZ6&lt;&gt;"",RB6&gt;=RM$31,RB6&lt;&gt;""),AND(RC6&gt;=RM$27,RC6&lt;&gt;"",RE6&gt;=RM$31,RE6&lt;&gt;""),AND(RG6&gt;=RM$27,RG6&lt;&gt;"",RI6&gt;=RM$31,RI6&lt;&gt;""),AND(RJ6&gt;=RM$27,RJ6&lt;&gt;"",RL6&gt;=RM$31,RL6&lt;&gt;""),AND(SH6&gt;=SU$27,SH6&lt;&gt;"",SJ6&gt;=SU$31,SJ6&lt;&gt;""),AND(SK6&gt;=SU$27,SK6&lt;&gt;"",SM6&gt;=SU$31,SM6&lt;&gt;""),AND(SO6&gt;=SU$27,SO6&lt;&gt;"",SQ6&gt;=SU$31,SQ6&lt;&gt;""),AND(SR6&gt;=SU$27,SR6&lt;&gt;"",ST6&gt;=SU$31,ST6&lt;&gt;"")),"Excellence",IF(I6="P","Worlds Team",IF(F6="P","National Team","")))))</f>
        <v>Worlds Team</v>
      </c>
      <c r="I6" s="3" t="str">
        <f>IF(OR(AND(AO6&gt;=AY$26,AO6&lt;&gt;"",AQ6&gt;=AY$30,AQ6&lt;&gt;"",AN6=""),AND(AR6&gt;=AY$26,AR6&lt;&gt;"",AT6&gt;=AY$30,AT6&lt;&gt;"",AN6=""),AND(AV6&gt;=AY$26,AV6&lt;&gt;"",AX6&gt;=AY$30,AX6&lt;&gt;"",AN6=""),AND(BP6&gt;=BZ$26,BP6&lt;&gt;"",BR6&gt;=BZ$30,BR6&lt;&gt;"",BO6=""),AND(BS6&gt;=BZ$26,BS6&lt;&gt;"",BU6&gt;=BZ$30,BU6&lt;&gt;"",BO6=""),AND(BW6&gt;=BZ$26,BW6&lt;&gt;"",BY6&gt;=BZ$30,BY6&lt;&gt;"",BO6=""),AND(CQ6&gt;=DA$26,CQ6&lt;&gt;"",CS6&gt;=DA$30,CS6&lt;&gt;"",CP6=""),AND(CT6&gt;=DA$26,CT6&lt;&gt;"",CV6&gt;=DA$30,CV6&lt;&gt;"",CP6=""),AND(CX6&gt;=DA$26,CX6&lt;&gt;"",CZ6&gt;=DA$30,CZ6&lt;&gt;"",CP6=""),AND(DX6&gt;=EK$26,DX6&lt;&gt;"",DZ6&gt;=EK$30,DZ6&lt;&gt;""),AND(EA6&gt;=EK$26,EA6&lt;&gt;"",EC6&gt;=EK$30,EC6&lt;&gt;""),AND(EE6&gt;=EK$26,EE6&lt;&gt;"",EG6&gt;=EK$30,EG6&lt;&gt;""),AND(EH6&gt;=EK$26,EH6&lt;&gt;"",EJ6&gt;=EK$30,EJ6&lt;&gt;""),AND(FF6&gt;=FS$26,FF6&lt;&gt;"",FH6&gt;=FS$30,FH6&lt;&gt;""),AND(FI6&gt;=FS$26,FI6&lt;&gt;"",FK6&gt;=FS$30,FK6&lt;&gt;""),AND(FM6&gt;=FS$26,FM6&lt;&gt;"",FO6&gt;=FS$30,FO6&lt;&gt;""),AND(FP6&gt;=FS$26,FP6&lt;&gt;"",FR6&gt;=FS$30,FR6&lt;&gt;""),AND(GN6&gt;=HA$26,GN6&lt;&gt;"",GP6&gt;=HA$30,GP6&lt;&gt;""),AND(GQ6&gt;=HA$26,GQ6&lt;&gt;"",GS6&gt;=HA$30,GS6&lt;&gt;""),AND(GU6&gt;=HA$26,GU6&lt;&gt;"",GW6&gt;=HA$30,GW6&lt;&gt;""),AND(GX6&gt;=HA$26,GX6&lt;&gt;"",GZ6&gt;=HA$30,GZ6&lt;&gt;""),AND(HV6&gt;=II$26,HV6&lt;&gt;"",HX6&gt;=II$30,HX6&lt;&gt;""),AND(HY6&gt;=II$26,HY6&lt;&gt;"",IA6&gt;=II$30,IA6&lt;&gt;""),AND(IC6&gt;=II$26,IC6&lt;&gt;"",IE6&gt;=II$30,IE6&lt;&gt;""),AND(IF6&gt;=II$26,IF6&lt;&gt;"",IH6&gt;=II$30,IH6&lt;&gt;""),AND(JD6&gt;=JQ$26,JD6&lt;&gt;"",JF6&gt;=JQ$30,JF6&lt;&gt;""),AND(JG6&gt;=JQ$26,JG6&lt;&gt;"",JI6&gt;=JQ$30,JI6&lt;&gt;""),AND(JK6&gt;=JQ$26,JK6&lt;&gt;"",JM6&gt;=JQ$30,JM6&lt;&gt;""),AND(JN6&gt;=JQ$26,JN6&lt;&gt;"",JP6&gt;=JQ$30,JP6&lt;&gt;""),AND(KL6&gt;=KY$26,KL6&lt;&gt;"",KN6&gt;=KY$30,KN6&lt;&gt;""),AND(KO6&gt;=KY$26,KO6&lt;&gt;"",KQ6&gt;=KY$30,KQ6&lt;&gt;""),AND(KS6&gt;=KY$26,KS6&lt;&gt;"",KU6&gt;=KY$30,KU6&lt;&gt;""),AND(KV6&gt;=KY$26,KV6&lt;&gt;"",KX6&gt;=KY$30,KX6&lt;&gt;""),AND(LT6&gt;=MG$26,LT6&lt;&gt;"",LV6&gt;=MG$30,LV6&lt;&gt;""),AND(LW6&gt;=MG$26,LW6&lt;&gt;"",LY6&gt;=MG$30,LY6&lt;&gt;""),AND(MA6&gt;=MG$26,MA6&lt;&gt;"",MC6&gt;=MG$30,MC6&lt;&gt;""),AND(MD6&gt;=MG$26,MD6&lt;&gt;"",MF6&gt;=MG$30,MF6&lt;&gt;""),AND(NB6&gt;=NO$26,NB6&lt;&gt;"",ND6&gt;=NO$30,ND6&lt;&gt;""),AND(NE6&gt;=NO$26,NE6&lt;&gt;"",NG6&gt;=NO$30,NG6&lt;&gt;""),AND(NI6&gt;=NO$26,NI6&lt;&gt;"",NK6&gt;=NO$30,NK6&lt;&gt;""),AND(NL6&gt;=NO$26,NL6&lt;&gt;"",NN6&gt;=NO$30,NN6&lt;&gt;""),AND(OJ6&gt;=OW$26,OJ6&lt;&gt;"",OL6&gt;=OW$30,OL6&lt;&gt;""),AND(OM6&gt;=OW$26,OM6&lt;&gt;"",OO6&gt;=OW$30,OO6&lt;&gt;""),AND(OQ6&gt;=OW$26,OQ6&lt;&gt;"",OS6&gt;=OW$30,OS6&lt;&gt;""),AND(OT6&gt;=OW$26,OT6&lt;&gt;"",OV6&gt;=OW$30,OV6&lt;&gt;""),AND(PR6&gt;=QE$26,PR6&lt;&gt;"",PT6&gt;=QE$30,PT6&lt;&gt;""),AND(PU6&gt;=QE$26,PU6&lt;&gt;"",PW6&gt;=QE$30,PW6&lt;&gt;""),AND(PY6&gt;=QE$26,PY6&lt;&gt;"",QA6&gt;=QE$30,QA6&lt;&gt;""),AND(QB6&gt;=QE$26,QB6&lt;&gt;"",QD6&gt;=QE$30,QD6&lt;&gt;""),AND(QZ6&gt;=RM$26,QZ6&lt;&gt;"",RB6&gt;=RM$30,RB6&lt;&gt;""),AND(RC6&gt;=RM$26,RC6&lt;&gt;"",RE6&gt;=RM$30,RE6&lt;&gt;""),AND(RG6&gt;=RM$26,RG6&lt;&gt;"",RI6&gt;=RM$30,RI6&lt;&gt;""),AND(RJ6&gt;=RM$26,RJ6&lt;&gt;"",RL6&gt;=RM$30,RL6&lt;&gt;""),AND(SH6&gt;=SU$26,SH6&lt;&gt;"",SJ6&gt;=SU$30,SJ6&lt;&gt;""),AND(SK6&gt;=SU$26,SK6&lt;&gt;"",SM6&gt;=SU$30,SM6&lt;&gt;""),AND(SO6&gt;=SU$26,SO6&lt;&gt;"",SQ6&gt;=SU$30,SQ6&lt;&gt;""),AND(SR6&gt;=SU$26,SR6&lt;&gt;"",ST6&gt;=SU$30,ST6&lt;&gt;"")),"P","")</f>
        <v>P</v>
      </c>
      <c r="J6" s="13">
        <f>IF(COUNT(AQ6,AT6,BR6,BU6,CS6,CV6)&gt;0,LARGE((AQ6,AT6,BR6,BU6,CS6,CV6),1),0)</f>
        <v>56.930000000000007</v>
      </c>
      <c r="K6" s="13" t="str">
        <f>IF(J6="","",IF(OR(J6=CS6,J6=CV6),$CA$1,IF(OR(J6=BR6,J6=BU6),$AZ$1,IF(OR(J6=AQ6,J6=AT6),$Y$1,""))))</f>
        <v>2021 Canadian Championships</v>
      </c>
      <c r="L6" s="13">
        <f>IF(COUNT(AQ6,AT6,BR6,BU6,CS6,CV6)&gt;1,LARGE((AQ6,AT6,BR6,BU6,CS6,CV6),2),0)</f>
        <v>56.72999999999999</v>
      </c>
      <c r="M6" s="13" t="str">
        <f>IF(L6="","",IF(OR(L6=CS6,L6=CV6),$CA$1,IF(OR(L6=BR6,L6=BU6),$AZ$1,IF(OR(L6=AQ6,L6=AT6),$Y$1,""))))</f>
        <v>2021 Canadian Championships</v>
      </c>
      <c r="N6" s="13">
        <f>IF(COUNT(AQ6,AT6,BR6,BU6,CS6,CV6)&gt;2,LARGE((AQ6,AT6,BR6,BU6,CS6,CV6),3),0)</f>
        <v>56.69</v>
      </c>
      <c r="O6" s="13" t="str">
        <f>IF(N6="","",IF(OR(N6=CS6,N6=CV6),$CA$1,IF(OR(N6=BR6,N6=BU6),$AZ$1,IF(OR(N6=AQ6,N6=AT6),$Y$1,""))))</f>
        <v>2022 Elite Canada</v>
      </c>
      <c r="P6" s="13">
        <f>IF(MAX(AX6,BY6,CZ6)&gt;0,MAX(AX6,BY6,CZ6),0)</f>
        <v>57.894999999999996</v>
      </c>
      <c r="Q6" s="13" t="str">
        <f>IF(P6="","",IF(P6=CZ6,$CA$1,IF(P6=BY6,$AZ$1,IF(P6=AX6,$Y$1,""))))</f>
        <v>2021 Elite Canada</v>
      </c>
      <c r="R6" s="13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16.2</v>
      </c>
      <c r="S6" s="13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2022 Elite Canada</v>
      </c>
      <c r="T6" s="13">
        <f>IF(MAX(IF(AO6&gt;=$AY$25,AP6,0),IF(AR6&gt;=$AY$25,AS6,0),IF(AV6&gt;=$AY$25,AW6,0),IF(BP6&gt;=$BZ$25,BQ6,0),IF(BS6&gt;=$BZ$25,BT6,0),IF(BW6&gt;=$BZ$25,BX6,0),IF(CQ6&gt;=$DA$25,CR6,0),IF(CT6&gt;=$DA$25,CU6,0),IF(CX6&gt;=$DA$25,CY6,0))&gt;0,MAX(IF(AO6&gt;=$AY$25,AP6,0),IF(AR6&gt;=$AY$25,AS6,0),IF(AV6&gt;=$AY$25,AW6,0),IF(BP6&gt;=$BZ$25,BQ6,0),IF(BS6&gt;=$BZ$25,BT6,0),IF(BW6&gt;=$BZ$25,BX6,0),IF(CQ6&gt;=$DA$25,CR6,0),IF(CT6&gt;=$DA$25,CU6,0),IF(CX6&gt;=$DA$25,CY6,0),IF(DX6&gt;=$EK$25,DY6,0),IF(EA6&gt;=$EK$25,EB6,0),IF(EE6&gt;=$EK$25,EF6,0),IF(EH6&gt;=$EK$25,EI6,0),IF(FF6&gt;=$FS$25,FG6,0),IF(FI6&gt;=$FS$25,FJ6,0),IF(FM6&gt;=$FS$25,FN6,0),IF(FP6&gt;=$FS$25,FQ6,0),IF(GN6&gt;=$HA$25,GO6,0),IF(GQ6&gt;=$HA$25,GR6,0),IF(GU6&gt;=$HA$25,GV6,0),IF(GX6&gt;=$HA$25,GY6,0),IF(HV6&gt;=$II$25,HW6,0),IF(HY6&gt;=$II$25,HZ6,0),IF(IC6&gt;=$II$25,ID6,0),IF(IF6&gt;=$II$25,IG6,0),IF(JD6&gt;=$JQ$25,JE6,0),IF(JG6&gt;=$JQ$25,JH6,0),IF(JK6&gt;=$JQ$25,JL6,0),IF(JN6&gt;=$JQ$25,JO6,0),IF(KL6&gt;=$KY$25,KM6,0),IF(KO6&gt;=$KY$25,KP6,0),IF(KS6&gt;=$KY$25,KT6,0),IF(KV6&gt;=$KY$25,KW6,0),IF(LT6&gt;=$MG$25,LU6,0),IF(LW6&gt;=$MG$25,LX6,0),IF(MA6&gt;=$MG$25,MB6,0),IF(MD6&gt;=$MG$25,ME6,0),IF(NB6&gt;=$NO$25,NC6,0),IF(NE6&gt;=$NO$25,NF6,0),IF(NI6&gt;=$NO$25,NJ6,0),IF(NL6&gt;=$NO$25,NM6,0),IF(OJ6&gt;=$OW$25,OK6,0),IF(OM6&gt;=$OW$25,ON6,0),IF(OQ6&gt;=$OW$25,OR6,0),IF(OT6&gt;=$OW$25,OU6,0),IF(PR6&gt;=$QE$25,PS6,0),IF(PU6&gt;=$QE$25,PV6,0),IF(PY6&gt;=$QE$25,PZ6,0),IF(QB6&gt;=$QE$25,QC6,0),IF(QZ6&gt;=$RM$25,RA6,0),IF(RC6&gt;=$RM$25,RD6,0),IF(RG6&gt;=$RM$25,RH6,0),IF(RJ6&gt;=$RM$25,RK6,0),IF(SH6&gt;=$SU$25,SI6,0),IF(SK6&gt;=$SU$25,SL6,0),IF(SO6&gt;=$SU$25,SP6,0),IF(SR6&gt;=$SU$25,SS6,0)),0)</f>
        <v>16.895</v>
      </c>
      <c r="U6" s="13" t="str">
        <f>IF(T6=0,"",IF(OR(T6=CR6,T6=CU6,T6=CY6),$CA$1,IF(OR(T6=BQ6,T6=BT6,T6=BX6),$AZ$1,IF(OR(T6=AP6,T6=AS6,T6=AW6),$Y$1,IF(OR(R6=SI6,R6=SL6,R6=SP6,R6=SS6),$RN$1,IF(OR(R6=RA6,R6=RD6,R6=RH6,R6=RK6),$QF$1,IF(OR(R6=PS6,R6=PV6,R6=PZ6,R6=QC6),$OX$1,IF(OR(R6=OK6,R6=ON6,R6=OR6,R6=OU6),$NP$1,IF(OR(R6=NC6,R6=NF6,R6=NJ6,R6=NM6),$MH$1,IF(OR(R6=LU6,R6=LX6,R6=MB6,R6=ME6),$KZ$1,IF(OR(R6=KM6,R6=KP6,R6=KT6,R6=KW6),$JR$1,IF(OR(R6=JE6,R6=JH6,R6=JL6,R6=JO6),$IJ$1,IF(OR(R6=HW6,R6=HZ6,R6=ID6,R6=IG6),$HB$1,IF(OR(R6=GO6,R6=GR6,R6=GV6,R6=GY6),$FT$1,IF(OR(R6=FG6,R6=FJ6,R6=FN6,R6=FQ6),$EL$1,IF(OR(R6=DY6,R6=EB6,R6=EF6,R6=EI6),$DD$1,""))))))))))))))))</f>
        <v>2021 Elite Canada</v>
      </c>
      <c r="V6" s="13" t="str">
        <f>IF(MAX(DB6,DC6)&gt;0,MAX(DB6,DC6),"")</f>
        <v/>
      </c>
      <c r="W6" s="16" t="str">
        <f>IF(V6="","",IF(V6=DB6,"("&amp;DB$2&amp;")",IF(V6=DC6,"("&amp;DC$2&amp;")")))</f>
        <v/>
      </c>
      <c r="X6" s="13" t="str">
        <f>IF(V6="","",IF(V6=DB6,IF(V6+IF(L6="",0,L6)=SN6,$RN$1,IF(V6+IF(L6="",0,L6)=RF6,$QF$1,IF(V6+IF(L6="",0,L6)=PX6,$OX$1,IF(V6+IF(L6="",0,L6)=OP6,$NP$1,IF(V6+IF(L6="",0,L6)=NH6,$MH$1,IF(V6+IF(L6="",0,L6)=LZ6,$KZ$1,IF(V6+IF(L6="",0,L6)=KR6,$JR$1,IF(V6+IF(L6="",0,L6)=JJ6,$IJ$1,IF(V6+IF(L6="",0,L6)=IB6,$HB$1,IF(V6+IF(L6="",0,L6)=GT6,$FT$1,IF(V6+IF(L6="",0,L6)=FL6,$EL$1,IF(V6+IF(L6="",0,L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$1)))))))))))))))</f>
        <v/>
      </c>
      <c r="Y6" s="42">
        <v>3.3</v>
      </c>
      <c r="Z6" s="42">
        <v>1.7</v>
      </c>
      <c r="AA6" s="42">
        <v>3.8</v>
      </c>
      <c r="AB6" s="42">
        <v>3.63</v>
      </c>
      <c r="AC6" s="42">
        <v>0</v>
      </c>
      <c r="AD6" s="42">
        <v>6.5</v>
      </c>
      <c r="AE6" s="42">
        <v>3.8</v>
      </c>
      <c r="AF6" s="42">
        <v>7.1</v>
      </c>
      <c r="AG6" s="42">
        <v>7.08</v>
      </c>
      <c r="AH6" s="42">
        <v>0</v>
      </c>
      <c r="AI6" s="42">
        <v>15.9</v>
      </c>
      <c r="AJ6" s="42">
        <v>9.3000000000000007</v>
      </c>
      <c r="AK6" s="42">
        <v>15.8</v>
      </c>
      <c r="AL6" s="42">
        <v>16.895</v>
      </c>
      <c r="AM6" s="42">
        <v>0</v>
      </c>
      <c r="AN6" s="51"/>
      <c r="AO6" s="74">
        <f>IF(AA6&gt;0,AA6,"")</f>
        <v>3.8</v>
      </c>
      <c r="AP6" s="74">
        <f>IF(AB6&gt;0,AB6,"")</f>
        <v>3.63</v>
      </c>
      <c r="AQ6" s="76">
        <f>IF(SUM(Y6:AB6)-AC6&gt;0,SUM(Y6:AB6)-AC6,"")</f>
        <v>12.43</v>
      </c>
      <c r="AR6" s="76">
        <f>IF(AF6&gt;0,AF6,"")</f>
        <v>7.1</v>
      </c>
      <c r="AS6" s="76">
        <f>IF(AG6&gt;0,AG6,"")</f>
        <v>7.08</v>
      </c>
      <c r="AT6" s="76">
        <f>IF(SUM(AD6:AG6)-AH6&gt;0,SUM(AD6:AG6)-AH6,"")</f>
        <v>24.479999999999997</v>
      </c>
      <c r="AU6" s="76">
        <f>IF(AQ6="","",MAX(AQ6,AT6))</f>
        <v>24.479999999999997</v>
      </c>
      <c r="AV6" s="76">
        <f>IF(AK6&gt;0,AK6,"")</f>
        <v>15.8</v>
      </c>
      <c r="AW6" s="76">
        <f>IF(AL6&gt;0,AL6,"")</f>
        <v>16.895</v>
      </c>
      <c r="AX6" s="76">
        <f>IF(SUM(AI6:AL6)-AM6&gt;0,SUM(AI6:AL6)-AM6,"")</f>
        <v>57.894999999999996</v>
      </c>
      <c r="AY6" s="76">
        <f>IF(SUM(AU6,AX6)&gt;0,SUM(AU6,AX6),"")</f>
        <v>82.375</v>
      </c>
      <c r="AZ6" s="46">
        <v>14.6</v>
      </c>
      <c r="BA6" s="46">
        <v>9.3000000000000007</v>
      </c>
      <c r="BB6" s="46">
        <v>16.2</v>
      </c>
      <c r="BC6" s="46">
        <v>16.63</v>
      </c>
      <c r="BD6" s="46">
        <v>0</v>
      </c>
      <c r="BE6" s="46">
        <v>14.8</v>
      </c>
      <c r="BF6" s="46">
        <v>9.1999999999999993</v>
      </c>
      <c r="BG6" s="46">
        <v>16.2</v>
      </c>
      <c r="BH6" s="46">
        <v>16.73</v>
      </c>
      <c r="BI6" s="46">
        <v>0</v>
      </c>
      <c r="BJ6" s="46">
        <v>1.7</v>
      </c>
      <c r="BK6" s="46">
        <v>1</v>
      </c>
      <c r="BL6" s="46">
        <v>2</v>
      </c>
      <c r="BM6" s="46">
        <v>1.8</v>
      </c>
      <c r="BN6" s="46">
        <v>0.2</v>
      </c>
      <c r="BO6" s="52"/>
      <c r="BP6" s="75">
        <f>IF(BB6&gt;0,BB6,"")</f>
        <v>16.2</v>
      </c>
      <c r="BQ6" s="75">
        <f>IF(BC6&gt;0,BC6,"")</f>
        <v>16.63</v>
      </c>
      <c r="BR6" s="16">
        <f>IF(SUM(AZ6:BC6)-BD6&gt;0,SUM(AZ6:BC6)-BD6,"")</f>
        <v>56.72999999999999</v>
      </c>
      <c r="BS6" s="16">
        <f>IF(BG6&gt;0,BG6,"")</f>
        <v>16.2</v>
      </c>
      <c r="BT6" s="16">
        <f>IF(BH6&gt;0,BH6,"")</f>
        <v>16.73</v>
      </c>
      <c r="BU6" s="16">
        <f>IF(SUM(BE6:BH6)-BI6&gt;0,SUM(BE6:BH6)-BI6,"")</f>
        <v>56.930000000000007</v>
      </c>
      <c r="BV6" s="16">
        <f>IF(BR6="","",MAX(BR6,BU6))</f>
        <v>56.930000000000007</v>
      </c>
      <c r="BW6" s="16">
        <f>IF(BL6&gt;0,BL6,"")</f>
        <v>2</v>
      </c>
      <c r="BX6" s="16">
        <f>IF(BM6&gt;0,BM6,"")</f>
        <v>1.8</v>
      </c>
      <c r="BY6" s="16">
        <f>IF(SUM(BJ6:BM6)-BN6&gt;0,SUM(BJ6:BM6)-BN6,"")</f>
        <v>6.3</v>
      </c>
      <c r="BZ6" s="16">
        <f>IF(SUM(BV6,BY6)&gt;0,SUM(BV6,BY6),"")</f>
        <v>63.230000000000004</v>
      </c>
      <c r="CA6" s="42">
        <v>15</v>
      </c>
      <c r="CB6" s="42">
        <v>9.3000000000000007</v>
      </c>
      <c r="CC6" s="42">
        <v>16.2</v>
      </c>
      <c r="CD6" s="42">
        <v>16.07</v>
      </c>
      <c r="CE6" s="42">
        <v>0</v>
      </c>
      <c r="CF6" s="42">
        <v>15</v>
      </c>
      <c r="CG6" s="42">
        <v>9.1</v>
      </c>
      <c r="CH6" s="42">
        <v>16.2</v>
      </c>
      <c r="CI6" s="42">
        <v>16.39</v>
      </c>
      <c r="CJ6" s="42">
        <v>0</v>
      </c>
      <c r="CK6" s="42">
        <v>14.1</v>
      </c>
      <c r="CL6" s="42">
        <v>8.8000000000000007</v>
      </c>
      <c r="CM6" s="42">
        <v>16.2</v>
      </c>
      <c r="CN6" s="42">
        <v>16.11</v>
      </c>
      <c r="CO6" s="42">
        <v>0</v>
      </c>
      <c r="CP6" s="51"/>
      <c r="CQ6" s="74">
        <f>IF(CC6&gt;0,CC6,"")</f>
        <v>16.2</v>
      </c>
      <c r="CR6" s="74">
        <f>IF(CD6&gt;0,CD6,"")</f>
        <v>16.07</v>
      </c>
      <c r="CS6" s="76">
        <f>IF(SUM(CA6:CD6)-CE6&gt;0,SUM(CA6:CD6)-CE6,"")</f>
        <v>56.57</v>
      </c>
      <c r="CT6" s="76">
        <f>IF(CH6&gt;0,CH6,"")</f>
        <v>16.2</v>
      </c>
      <c r="CU6" s="76">
        <f>IF(CI6&gt;0,CI6,"")</f>
        <v>16.39</v>
      </c>
      <c r="CV6" s="76">
        <f>IF(SUM(CF6:CI6)-CJ6&gt;0,SUM(CF6:CI6)-CJ6,"")</f>
        <v>56.69</v>
      </c>
      <c r="CW6" s="76">
        <f>IF(CS6="","",MAX(CS6,CV6))</f>
        <v>56.69</v>
      </c>
      <c r="CX6" s="76">
        <f>IF(CM6&gt;0,CM6,"")</f>
        <v>16.2</v>
      </c>
      <c r="CY6" s="76">
        <f>IF(CN6&gt;0,CN6,"")</f>
        <v>16.11</v>
      </c>
      <c r="CZ6" s="76">
        <f>IF(SUM(CK6:CN6)-CO6&gt;0,SUM(CK6:CN6)-CO6,"")</f>
        <v>55.209999999999994</v>
      </c>
      <c r="DA6" s="76">
        <f>IF(SUM(CW6,CZ6)&gt;0,SUM(CW6,CZ6),"")</f>
        <v>111.89999999999999</v>
      </c>
      <c r="DB6" s="87" t="str">
        <f>IF(L6&gt;=0.001,IF(MAX(ED6,FL6,GT6,IB6,JJ6,KR6,LZ6,NH6,OP6,PX6,RF6,SN6)-IF(L6="",0,L6)&gt;0.001,MAX(ED6,FL6,GT6,IB6,JJ6,KR6,LZ6,NH6,OP6,PX6,RF6,SN6)-IF(L6="",0,L6),""),"")</f>
        <v/>
      </c>
      <c r="DC6" s="87" t="str">
        <f>IF(P6&gt;=0.001,IF(MAX(EG6,EJ6,FO6,FR6,GW6,GZ6,IE6,IH6,JM6,JP6,KU6,KX6,MC6,MF6,NK6,NN6,OS6,OV6,QA6,QD6,RI6,RL6,SQ6,ST6)-IF(P6="",0,P6)&gt;0.001,MAX(EG6,EJ6,FO6,FR6,GW6,GZ6,IE6,IH6,JM6,JP6,KU6,KX6,MC6,MF6,NK6,NN6,OS6,OV6,QA6,QD6,RI6,RL6,SQ6,ST6)-IF(P6="",0,P6),""),"")</f>
        <v/>
      </c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76" t="str">
        <f>IF(DF6&gt;0,DF6,"")</f>
        <v/>
      </c>
      <c r="DY6" s="76" t="str">
        <f>IF(DG6&gt;0,DG6,"")</f>
        <v/>
      </c>
      <c r="DZ6" s="76" t="str">
        <f>IF(SUM(DD6:DG6)-DH6&gt;0,SUM(DD6:DG6)-DH6,"")</f>
        <v/>
      </c>
      <c r="EA6" s="76" t="str">
        <f>IF(DK6&gt;0,DK6,"")</f>
        <v/>
      </c>
      <c r="EB6" s="76" t="str">
        <f>IF(DL6&gt;0,DL6,"")</f>
        <v/>
      </c>
      <c r="EC6" s="76" t="str">
        <f>IF(SUM(DI6:DL6)-DM6&gt;0,SUM(DI6:DL6)-DM6,"")</f>
        <v/>
      </c>
      <c r="ED6" s="76" t="str">
        <f>IF(MAX(DZ6,EC6)&gt;0,MAX(DZ6,EC6),"")</f>
        <v/>
      </c>
      <c r="EE6" s="76" t="str">
        <f>IF(DP6&gt;0,DP6,"")</f>
        <v/>
      </c>
      <c r="EF6" s="76" t="str">
        <f>IF(DQ6&gt;0,DQ6,"")</f>
        <v/>
      </c>
      <c r="EG6" s="76" t="str">
        <f>IF(SUM(DN6:DQ6)-DR6&gt;0,SUM(DN6:DQ6)-DR6,"")</f>
        <v/>
      </c>
      <c r="EH6" s="76" t="str">
        <f>IF(DU6&gt;0,DU6,"")</f>
        <v/>
      </c>
      <c r="EI6" s="76" t="str">
        <f>IF(DV6&gt;0,DV6,"")</f>
        <v/>
      </c>
      <c r="EJ6" s="76" t="str">
        <f>IF(SUM(DS6:DV6)-DW6&gt;0,SUM(DS6:DV6)-DW6,"")</f>
        <v/>
      </c>
      <c r="EK6" s="76" t="str">
        <f>IF(SUM(ED6,EJ6)&gt;0,SUM(ED6,EJ6),"")</f>
        <v/>
      </c>
      <c r="EL6" s="26">
        <v>13.8</v>
      </c>
      <c r="EM6" s="26">
        <v>9.1999999999999993</v>
      </c>
      <c r="EN6" s="26">
        <v>15.6</v>
      </c>
      <c r="EO6" s="26">
        <v>15.6</v>
      </c>
      <c r="EP6" s="26">
        <v>0</v>
      </c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16">
        <f>IF(EN6&gt;0,EN6,"")</f>
        <v>15.6</v>
      </c>
      <c r="FG6" s="16">
        <f>IF(EO6&gt;0,EO6,"")</f>
        <v>15.6</v>
      </c>
      <c r="FH6" s="16">
        <f>IF(SUM(EL6:EO6)-EP6&gt;0,SUM(EL6:EO6)-EP6,"")</f>
        <v>54.2</v>
      </c>
      <c r="FI6" s="16" t="str">
        <f>IF(ES6&gt;0,ES6,"")</f>
        <v/>
      </c>
      <c r="FJ6" s="16" t="str">
        <f>IF(ET6&gt;0,ET6,"")</f>
        <v/>
      </c>
      <c r="FK6" s="16" t="str">
        <f>IF(SUM(EQ6:ET6)-EU6&gt;0,SUM(EQ6:ET6)-EU6,"")</f>
        <v/>
      </c>
      <c r="FL6" s="16">
        <f>IF(MAX(FH6,FK6)&gt;0,MAX(FH6,FK6),"")</f>
        <v>54.2</v>
      </c>
      <c r="FM6" s="16" t="str">
        <f>IF(EX6&gt;0,EX6,"")</f>
        <v/>
      </c>
      <c r="FN6" s="16" t="str">
        <f>IF(EY6&gt;0,EY6,"")</f>
        <v/>
      </c>
      <c r="FO6" s="16" t="str">
        <f>IF(SUM(EV6:EY6)-EZ6&gt;0,SUM(EV6:EY6)-EZ6,"")</f>
        <v/>
      </c>
      <c r="FP6" s="16" t="str">
        <f>IF(FC6&gt;0,FC6,"")</f>
        <v/>
      </c>
      <c r="FQ6" s="16" t="str">
        <f>IF(FD6&gt;0,FD6,"")</f>
        <v/>
      </c>
      <c r="FR6" s="16" t="str">
        <f>IF(SUM(FA6:FD6)-FE6&gt;0,SUM(FA6:FD6)-FE6,"")</f>
        <v/>
      </c>
      <c r="FS6" s="16">
        <f>IF(SUM(FL6,FR6)&gt;0,SUM(FL6,FR6),"")</f>
        <v>54.2</v>
      </c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76" t="str">
        <f>IF(FV6&gt;0,FV6,"")</f>
        <v/>
      </c>
      <c r="GO6" s="76" t="str">
        <f>IF(FW6&gt;0,FW6,"")</f>
        <v/>
      </c>
      <c r="GP6" s="76" t="str">
        <f>IF(SUM(FT6:FW6)-FX6&gt;0,SUM(FT6:FW6)-FX6,"")</f>
        <v/>
      </c>
      <c r="GQ6" s="76" t="str">
        <f>IF(GA6&gt;0,GA6,"")</f>
        <v/>
      </c>
      <c r="GR6" s="76" t="str">
        <f>IF(GB6&gt;0,GB6,"")</f>
        <v/>
      </c>
      <c r="GS6" s="76" t="str">
        <f>IF(SUM(FY6:GB6)-GC6&gt;0,SUM(FY6:GB6)-GC6,"")</f>
        <v/>
      </c>
      <c r="GT6" s="76" t="str">
        <f>IF(MAX(GP6,GS6)&gt;0,MAX(GP6,GS6),"")</f>
        <v/>
      </c>
      <c r="GU6" s="76" t="str">
        <f>IF(GF6&gt;0,GF6,"")</f>
        <v/>
      </c>
      <c r="GV6" s="76" t="str">
        <f>IF(GG6&gt;0,GG6,"")</f>
        <v/>
      </c>
      <c r="GW6" s="76" t="str">
        <f>IF(SUM(GD6:GG6)-GH6&gt;0,SUM(GD6:GG6)-GH6,"")</f>
        <v/>
      </c>
      <c r="GX6" s="76" t="str">
        <f>IF(GK6&gt;0,GK6,"")</f>
        <v/>
      </c>
      <c r="GY6" s="76" t="str">
        <f>IF(GL6&gt;0,GL6,"")</f>
        <v/>
      </c>
      <c r="GZ6" s="76" t="str">
        <f>IF(SUM(GI6:GL6)-GM6&gt;0,SUM(GI6:GL6)-GM6,"")</f>
        <v/>
      </c>
      <c r="HA6" s="76" t="str">
        <f>IF(SUM(GT6,GZ6)&gt;0,SUM(GT6,GZ6),"")</f>
        <v/>
      </c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16" t="str">
        <f>IF(HD6&gt;0,HD6,"")</f>
        <v/>
      </c>
      <c r="HW6" s="16" t="str">
        <f>IF(HE6&gt;0,HE6,"")</f>
        <v/>
      </c>
      <c r="HX6" s="16" t="str">
        <f>IF(SUM(HB6:HE6)-HF6&gt;0,SUM(HB6:HE6)-HF6,"")</f>
        <v/>
      </c>
      <c r="HY6" s="16" t="str">
        <f>IF(HI6&gt;0,HI6,"")</f>
        <v/>
      </c>
      <c r="HZ6" s="16" t="str">
        <f>IF(HJ6&gt;0,HJ6,"")</f>
        <v/>
      </c>
      <c r="IA6" s="16" t="str">
        <f>IF(SUM(HG6:HJ6)-HK6&gt;0,SUM(HG6:HJ6)-HK6,"")</f>
        <v/>
      </c>
      <c r="IB6" s="16" t="str">
        <f>IF(MAX(HX6,IA6)&gt;0,MAX(HX6,IA6),"")</f>
        <v/>
      </c>
      <c r="IC6" s="16" t="str">
        <f>IF(HN6&gt;0,HN6,"")</f>
        <v/>
      </c>
      <c r="ID6" s="16" t="str">
        <f>IF(HO6&gt;0,HO6,"")</f>
        <v/>
      </c>
      <c r="IE6" s="16" t="str">
        <f>IF(SUM(HL6:HO6)-HP6&gt;0,SUM(HL6:HO6)-HP6,"")</f>
        <v/>
      </c>
      <c r="IF6" s="16" t="str">
        <f>IF(HS6&gt;0,HS6,"")</f>
        <v/>
      </c>
      <c r="IG6" s="16" t="str">
        <f>IF(HT6&gt;0,HT6,"")</f>
        <v/>
      </c>
      <c r="IH6" s="16" t="str">
        <f>IF(SUM(HQ6:HT6)-HU6&gt;0,SUM(HQ6:HT6)-HU6,"")</f>
        <v/>
      </c>
      <c r="II6" s="16" t="str">
        <f>IF(SUM(IB6,IH6)&gt;0,SUM(IB6,IH6),"")</f>
        <v/>
      </c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76" t="str">
        <f>IF(IL6&gt;0,IL6,"")</f>
        <v/>
      </c>
      <c r="JE6" s="76" t="str">
        <f>IF(IM6&gt;0,IM6,"")</f>
        <v/>
      </c>
      <c r="JF6" s="76" t="str">
        <f>IF(SUM(IJ6:IM6)-IN6&gt;0,SUM(IJ6:IM6)-IN6,"")</f>
        <v/>
      </c>
      <c r="JG6" s="76" t="str">
        <f>IF(IQ6&gt;0,IQ6,"")</f>
        <v/>
      </c>
      <c r="JH6" s="76" t="str">
        <f>IF(IR6&gt;0,IR6,"")</f>
        <v/>
      </c>
      <c r="JI6" s="76" t="str">
        <f>IF(SUM(IO6:IR6)-IS6&gt;0,SUM(IO6:IR6)-IS6,"")</f>
        <v/>
      </c>
      <c r="JJ6" s="76" t="str">
        <f>IF(MAX(JF6,JI6)&gt;0,MAX(JF6,JI6),"")</f>
        <v/>
      </c>
      <c r="JK6" s="76" t="str">
        <f>IF(IV6&gt;0,IV6,"")</f>
        <v/>
      </c>
      <c r="JL6" s="76" t="str">
        <f>IF(IW6&gt;0,IW6,"")</f>
        <v/>
      </c>
      <c r="JM6" s="76" t="str">
        <f>IF(SUM(IT6:IW6)-IX6&gt;0,SUM(IT6:IW6)-IX6,"")</f>
        <v/>
      </c>
      <c r="JN6" s="76" t="str">
        <f>IF(JA6&gt;0,JA6,"")</f>
        <v/>
      </c>
      <c r="JO6" s="76" t="str">
        <f>IF(JB6&gt;0,JB6,"")</f>
        <v/>
      </c>
      <c r="JP6" s="76" t="str">
        <f>IF(SUM(IY6:JB6)-JC6&gt;0,SUM(IY6:JB6)-JC6,"")</f>
        <v/>
      </c>
      <c r="JQ6" s="76" t="str">
        <f>IF(SUM(JJ6,JP6)&gt;0,SUM(JJ6,JP6),"")</f>
        <v/>
      </c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16" t="str">
        <f>IF(JT6&gt;0,JT6,"")</f>
        <v/>
      </c>
      <c r="KM6" s="16" t="str">
        <f>IF(JU6&gt;0,JU6,"")</f>
        <v/>
      </c>
      <c r="KN6" s="16" t="str">
        <f>IF(SUM(JR6:JU6)-JV6&gt;0,SUM(JR6:JU6)-JV6,"")</f>
        <v/>
      </c>
      <c r="KO6" s="16" t="str">
        <f>IF(JY6&gt;0,JY6,"")</f>
        <v/>
      </c>
      <c r="KP6" s="16" t="str">
        <f>IF(JZ6&gt;0,JZ6,"")</f>
        <v/>
      </c>
      <c r="KQ6" s="16" t="str">
        <f>IF(SUM(JW6:JZ6)-KA6&gt;0,SUM(JW6:JZ6)-KA6,"")</f>
        <v/>
      </c>
      <c r="KR6" s="16" t="str">
        <f>IF(MAX(KN6,KQ6)&gt;0,MAX(KN6,KQ6),"")</f>
        <v/>
      </c>
      <c r="KS6" s="16" t="str">
        <f>IF(KD6&gt;0,KD6,"")</f>
        <v/>
      </c>
      <c r="KT6" s="16" t="str">
        <f>IF(KE6&gt;0,KE6,"")</f>
        <v/>
      </c>
      <c r="KU6" s="16" t="str">
        <f>IF(SUM(KB6:KE6)-KF6&gt;0,SUM(KB6:KE6)-KF6,"")</f>
        <v/>
      </c>
      <c r="KV6" s="16" t="str">
        <f>IF(KI6&gt;0,KI6,"")</f>
        <v/>
      </c>
      <c r="KW6" s="16" t="str">
        <f>IF(KJ6&gt;0,KJ6,"")</f>
        <v/>
      </c>
      <c r="KX6" s="16" t="str">
        <f>IF(SUM(KG6:KJ6)-KK6&gt;0,SUM(KG6:KJ6)-KK6,"")</f>
        <v/>
      </c>
      <c r="KY6" s="16" t="str">
        <f>IF(SUM(KR6,KX6)&gt;0,SUM(KR6,KX6),"")</f>
        <v/>
      </c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76" t="str">
        <f>IF(LB6&gt;0,LB6,"")</f>
        <v/>
      </c>
      <c r="LU6" s="76" t="str">
        <f>IF(LC6&gt;0,LC6,"")</f>
        <v/>
      </c>
      <c r="LV6" s="76" t="str">
        <f>IF(SUM(KZ6:LC6)-LD6&gt;0,SUM(KZ6:LC6)-LD6,"")</f>
        <v/>
      </c>
      <c r="LW6" s="76" t="str">
        <f>IF(LG6&gt;0,LG6,"")</f>
        <v/>
      </c>
      <c r="LX6" s="76" t="str">
        <f>IF(LH6&gt;0,LH6,"")</f>
        <v/>
      </c>
      <c r="LY6" s="76" t="str">
        <f>IF(SUM(LE6:LH6)-LI6&gt;0,SUM(LE6:LH6)-LI6,"")</f>
        <v/>
      </c>
      <c r="LZ6" s="76" t="str">
        <f>IF(MAX(LV6,LY6)&gt;0,MAX(LV6,LY6),"")</f>
        <v/>
      </c>
      <c r="MA6" s="76" t="str">
        <f>IF(LL6&gt;0,LL6,"")</f>
        <v/>
      </c>
      <c r="MB6" s="76" t="str">
        <f>IF(LM6&gt;0,LM6,"")</f>
        <v/>
      </c>
      <c r="MC6" s="76" t="str">
        <f>IF(SUM(LJ6:LM6)-LN6&gt;0,SUM(LJ6:LM6)-LN6,"")</f>
        <v/>
      </c>
      <c r="MD6" s="76" t="str">
        <f>IF(LQ6&gt;0,LQ6,"")</f>
        <v/>
      </c>
      <c r="ME6" s="76" t="str">
        <f>IF(LR6&gt;0,LR6,"")</f>
        <v/>
      </c>
      <c r="MF6" s="76" t="str">
        <f>IF(SUM(LO6:LR6)-LS6&gt;0,SUM(LO6:LR6)-LS6,"")</f>
        <v/>
      </c>
      <c r="MG6" s="76" t="str">
        <f>IF(SUM(LZ6,MF6)&gt;0,SUM(LZ6,MF6),"")</f>
        <v/>
      </c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16" t="str">
        <f>IF(MJ6&gt;0,MJ6,"")</f>
        <v/>
      </c>
      <c r="NC6" s="16" t="str">
        <f>IF(MK6&gt;0,MK6,"")</f>
        <v/>
      </c>
      <c r="ND6" s="16" t="str">
        <f>IF(SUM(MH6:MK6)-ML6&gt;0,SUM(MH6:MK6)-ML6,"")</f>
        <v/>
      </c>
      <c r="NE6" s="16" t="str">
        <f>IF(MO6&gt;0,MO6,"")</f>
        <v/>
      </c>
      <c r="NF6" s="16" t="str">
        <f>IF(MP6&gt;0,MP6,"")</f>
        <v/>
      </c>
      <c r="NG6" s="16" t="str">
        <f>IF(SUM(MM6:MP6)-MQ6&gt;0,SUM(MM6:MP6)-MQ6,"")</f>
        <v/>
      </c>
      <c r="NH6" s="16" t="str">
        <f>IF(MAX(ND6,NG6)&gt;0,MAX(ND6,NG6),"")</f>
        <v/>
      </c>
      <c r="NI6" s="16" t="str">
        <f>IF(MT6&gt;0,MT6,"")</f>
        <v/>
      </c>
      <c r="NJ6" s="16" t="str">
        <f>IF(MU6&gt;0,MU6,"")</f>
        <v/>
      </c>
      <c r="NK6" s="16" t="str">
        <f>IF(SUM(MR6:MU6)-MV6&gt;0,SUM(MR6:MU6)-MV6,"")</f>
        <v/>
      </c>
      <c r="NL6" s="16" t="str">
        <f>IF(MY6&gt;0,MY6,"")</f>
        <v/>
      </c>
      <c r="NM6" s="16" t="str">
        <f>IF(MZ6&gt;0,MZ6,"")</f>
        <v/>
      </c>
      <c r="NN6" s="16" t="str">
        <f>IF(SUM(MW6:MZ6)-NA6&gt;0,SUM(MW6:MZ6)-NA6,"")</f>
        <v/>
      </c>
      <c r="NO6" s="16" t="str">
        <f>IF(SUM(NH6,NN6)&gt;0,SUM(NH6,NN6),"")</f>
        <v/>
      </c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76" t="str">
        <f>IF(NR6&gt;0,NR6,"")</f>
        <v/>
      </c>
      <c r="OK6" s="76" t="str">
        <f>IF(NS6&gt;0,NS6,"")</f>
        <v/>
      </c>
      <c r="OL6" s="76" t="str">
        <f>IF(SUM(NP6:NS6)-NT6&gt;0,SUM(NP6:NS6)-NT6,"")</f>
        <v/>
      </c>
      <c r="OM6" s="76" t="str">
        <f>IF(NW6&gt;0,NW6,"")</f>
        <v/>
      </c>
      <c r="ON6" s="76" t="str">
        <f>IF(NX6&gt;0,NX6,"")</f>
        <v/>
      </c>
      <c r="OO6" s="76" t="str">
        <f>IF(SUM(NU6:NX6)-NY6&gt;0,SUM(NU6:NX6)-NY6,"")</f>
        <v/>
      </c>
      <c r="OP6" s="76" t="str">
        <f>IF(MAX(OL6,OO6)&gt;0,MAX(OL6,OO6),"")</f>
        <v/>
      </c>
      <c r="OQ6" s="76" t="str">
        <f>IF(OB6&gt;0,OB6,"")</f>
        <v/>
      </c>
      <c r="OR6" s="76" t="str">
        <f>IF(OC6&gt;0,OC6,"")</f>
        <v/>
      </c>
      <c r="OS6" s="76" t="str">
        <f>IF(SUM(NZ6:OC6)-OD6&gt;0,SUM(NZ6:OC6)-OD6,"")</f>
        <v/>
      </c>
      <c r="OT6" s="76" t="str">
        <f>IF(OG6&gt;0,OG6,"")</f>
        <v/>
      </c>
      <c r="OU6" s="76" t="str">
        <f>IF(OH6&gt;0,OH6,"")</f>
        <v/>
      </c>
      <c r="OV6" s="76" t="str">
        <f>IF(SUM(OE6:OH6)-OI6&gt;0,SUM(OE6:OH6)-OI6,"")</f>
        <v/>
      </c>
      <c r="OW6" s="76" t="str">
        <f>IF(SUM(OP6,OV6)&gt;0,SUM(OP6,OV6),"")</f>
        <v/>
      </c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16" t="str">
        <f>IF(OZ6&gt;0,OZ6,"")</f>
        <v/>
      </c>
      <c r="PS6" s="16" t="str">
        <f>IF(PA6&gt;0,PA6,"")</f>
        <v/>
      </c>
      <c r="PT6" s="16" t="str">
        <f>IF(SUM(OX6:PA6)-PB6&gt;0,SUM(OX6:PA6)-PB6,"")</f>
        <v/>
      </c>
      <c r="PU6" s="16" t="str">
        <f>IF(PE6&gt;0,PE6,"")</f>
        <v/>
      </c>
      <c r="PV6" s="16" t="str">
        <f>IF(PF6&gt;0,PF6,"")</f>
        <v/>
      </c>
      <c r="PW6" s="16" t="str">
        <f>IF(SUM(PC6:PF6)-PG6&gt;0,SUM(PC6:PF6)-PG6,"")</f>
        <v/>
      </c>
      <c r="PX6" s="16" t="str">
        <f>IF(MAX(PT6,PW6)&gt;0,MAX(PT6,PW6),"")</f>
        <v/>
      </c>
      <c r="PY6" s="16" t="str">
        <f>IF(PJ6&gt;0,PJ6,"")</f>
        <v/>
      </c>
      <c r="PZ6" s="16" t="str">
        <f>IF(PK6&gt;0,PK6,"")</f>
        <v/>
      </c>
      <c r="QA6" s="16" t="str">
        <f>IF(SUM(PH6:PK6)-PL6&gt;0,SUM(PH6:PK6)-PL6,"")</f>
        <v/>
      </c>
      <c r="QB6" s="16" t="str">
        <f>IF(PO6&gt;0,PO6,"")</f>
        <v/>
      </c>
      <c r="QC6" s="16" t="str">
        <f>IF(PP6&gt;0,PP6,"")</f>
        <v/>
      </c>
      <c r="QD6" s="16" t="str">
        <f>IF(SUM(PM6:PP6)-PQ6&gt;0,SUM(PM6:PP6)-PQ6,"")</f>
        <v/>
      </c>
      <c r="QE6" s="16" t="str">
        <f>IF(SUM(PX6,QD6)&gt;0,SUM(PX6,QD6),"")</f>
        <v/>
      </c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76" t="str">
        <f>IF(QH6&gt;0,QH6,"")</f>
        <v/>
      </c>
      <c r="RA6" s="76" t="str">
        <f>IF(QI6&gt;0,QI6,"")</f>
        <v/>
      </c>
      <c r="RB6" s="76" t="str">
        <f>IF(SUM(QF6:QI6)-QJ6&gt;0,SUM(QF6:QI6)-QJ6,"")</f>
        <v/>
      </c>
      <c r="RC6" s="76" t="str">
        <f>IF(QM6&gt;0,QM6,"")</f>
        <v/>
      </c>
      <c r="RD6" s="76" t="str">
        <f>IF(QN6&gt;0,QN6,"")</f>
        <v/>
      </c>
      <c r="RE6" s="76" t="str">
        <f>IF(SUM(QK6:QN6)-QO6&gt;0,SUM(QK6:QN6)-QO6,"")</f>
        <v/>
      </c>
      <c r="RF6" s="76" t="str">
        <f>IF(MAX(RB6,RE6)&gt;0,MAX(RB6,RE6),"")</f>
        <v/>
      </c>
      <c r="RG6" s="76" t="str">
        <f>IF(QR6&gt;0,QR6,"")</f>
        <v/>
      </c>
      <c r="RH6" s="76" t="str">
        <f>IF(QS6&gt;0,QS6,"")</f>
        <v/>
      </c>
      <c r="RI6" s="76" t="str">
        <f>IF(SUM(QP6:QS6)-QT6&gt;0,SUM(QP6:QS6)-QT6,"")</f>
        <v/>
      </c>
      <c r="RJ6" s="76" t="str">
        <f>IF(QW6&gt;0,QW6,"")</f>
        <v/>
      </c>
      <c r="RK6" s="76" t="str">
        <f>IF(QX6&gt;0,QX6,"")</f>
        <v/>
      </c>
      <c r="RL6" s="76" t="str">
        <f>IF(SUM(QU6:QX6)-QY6&gt;0,SUM(QU6:QX6)-QY6,"")</f>
        <v/>
      </c>
      <c r="RM6" s="76" t="str">
        <f>IF(SUM(RF6,RL6)&gt;0,SUM(RF6,RL6),"")</f>
        <v/>
      </c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16" t="str">
        <f>IF(RP6&gt;0,RP6,"")</f>
        <v/>
      </c>
      <c r="SI6" s="16" t="str">
        <f>IF(RQ6&gt;0,RQ6,"")</f>
        <v/>
      </c>
      <c r="SJ6" s="16" t="str">
        <f>IF(SUM(RN6:RQ6)-RR6&gt;0,SUM(RN6:RQ6)-RR6,"")</f>
        <v/>
      </c>
      <c r="SK6" s="16" t="str">
        <f>IF(RU6&gt;0,RU6,"")</f>
        <v/>
      </c>
      <c r="SL6" s="16" t="str">
        <f>IF(RV6&gt;0,RV6,"")</f>
        <v/>
      </c>
      <c r="SM6" s="16" t="str">
        <f>IF(SUM(RS6:RV6)-RW6&gt;0,SUM(RS6:RV6)-RW6,"")</f>
        <v/>
      </c>
      <c r="SN6" s="16" t="str">
        <f>IF(MAX(SJ6,SM6)&gt;0,MAX(SJ6,SM6),"")</f>
        <v/>
      </c>
      <c r="SO6" s="16" t="str">
        <f>IF(RZ6&gt;0,RZ6,"")</f>
        <v/>
      </c>
      <c r="SP6" s="16" t="str">
        <f>IF(SA6&gt;0,SA6,"")</f>
        <v/>
      </c>
      <c r="SQ6" s="16" t="str">
        <f>IF(SUM(RX6:SA6)-SB6&gt;0,SUM(RX6:SA6)-SB6,"")</f>
        <v/>
      </c>
      <c r="SR6" s="16" t="str">
        <f>IF(SE6&gt;0,SE6,"")</f>
        <v/>
      </c>
      <c r="SS6" s="16" t="str">
        <f>IF(SF6&gt;0,SF6,"")</f>
        <v/>
      </c>
      <c r="ST6" s="16" t="str">
        <f>IF(SUM(SC6:SF6)-SG6&gt;0,SUM(SC6:SF6)-SG6,"")</f>
        <v/>
      </c>
      <c r="SU6" s="16" t="str">
        <f>IF(SUM(SN6,ST6)&gt;0,SUM(SN6,ST6),"")</f>
        <v/>
      </c>
      <c r="SV6" s="42">
        <f>IF($CP6="P",CA6,(CA6+AZ6)/2)</f>
        <v>14.8</v>
      </c>
      <c r="SW6" s="42">
        <f>IF($CP6="P",CB6,(CB6+BA6)/2)</f>
        <v>9.3000000000000007</v>
      </c>
      <c r="SX6" s="42">
        <f>IF($CP6="P",CC6,(CC6+BB6)/2)</f>
        <v>16.2</v>
      </c>
      <c r="SY6" s="42">
        <f>IF($CP6="P",CD6,(CD6+BC6)/2)</f>
        <v>16.350000000000001</v>
      </c>
      <c r="SZ6" s="42">
        <f>IF($CP6="P",CE6,(CE6+BD6)/2)</f>
        <v>0</v>
      </c>
      <c r="TA6" s="42">
        <f>IF($CP6="P",CF6,(CF6+BE6)/2)</f>
        <v>14.9</v>
      </c>
      <c r="TB6" s="42">
        <f>IF($CP6="P",CG6,(CG6+BF6)/2)</f>
        <v>9.1499999999999986</v>
      </c>
      <c r="TC6" s="42">
        <f>IF($CP6="P",CH6,(CH6+BG6)/2)</f>
        <v>16.2</v>
      </c>
      <c r="TD6" s="42">
        <f>IF($CP6="P",CI6,(CI6+BH6)/2)</f>
        <v>16.560000000000002</v>
      </c>
      <c r="TE6" s="42">
        <f>IF($CP6="P",CJ6,(CJ6+BI6)/2)</f>
        <v>0</v>
      </c>
      <c r="TF6" s="42">
        <f>IF($CP6="P",CK6,(CK6+BJ6)/2)</f>
        <v>7.8999999999999995</v>
      </c>
      <c r="TG6" s="42">
        <f>IF($CP6="P",CL6,(CL6+BK6)/2)</f>
        <v>4.9000000000000004</v>
      </c>
      <c r="TH6" s="42">
        <f>IF($CP6="P",CM6,(CM6+BL6)/2)</f>
        <v>9.1</v>
      </c>
      <c r="TI6" s="42">
        <f>IF($CP6="P",CN6,(CN6+BM6)/2)</f>
        <v>8.9550000000000001</v>
      </c>
      <c r="TJ6" s="42">
        <f>IF($CP6="P",CO6,(CO6+BN6)/2)</f>
        <v>0.1</v>
      </c>
      <c r="TK6" s="51" t="s">
        <v>61</v>
      </c>
      <c r="TL6" s="76">
        <f>IF(SX6&gt;0,SX6,"")</f>
        <v>16.2</v>
      </c>
      <c r="TM6" s="76">
        <f>IF(SY6&gt;0,SY6,"")</f>
        <v>16.350000000000001</v>
      </c>
      <c r="TN6" s="76">
        <f>IF(SUM(SV6:SY6)-SZ6&gt;0,SUM(SV6:SY6)-SZ6,"")</f>
        <v>56.65</v>
      </c>
      <c r="TO6" s="76">
        <f>IF(TC6&gt;0,TC6,"")</f>
        <v>16.2</v>
      </c>
      <c r="TP6" s="76">
        <f>IF(TD6&gt;0,TD6,"")</f>
        <v>16.560000000000002</v>
      </c>
      <c r="TQ6" s="76">
        <f>IF(SUM(TA6:TD6)-TE6&gt;0,SUM(TA6:TD6)-TE6,"")</f>
        <v>56.81</v>
      </c>
      <c r="TR6" s="76">
        <f>IF(MAX(TN6,TQ6)&gt;0,MAX(TN6,TQ6),"")</f>
        <v>56.81</v>
      </c>
      <c r="TS6" s="76">
        <f>IF(TH6&gt;0,TH6,"")</f>
        <v>9.1</v>
      </c>
      <c r="TT6" s="76">
        <f>IF(TI6&gt;0,TI6,"")</f>
        <v>8.9550000000000001</v>
      </c>
      <c r="TU6" s="76">
        <f>IF(SUM(TF6:TI6)-TJ6&gt;0,SUM(TF6:TI6)-TJ6,"")</f>
        <v>30.754999999999995</v>
      </c>
      <c r="TV6" s="76">
        <f>IF(SUM(TR6,TU6)&gt;0,SUM(TR6,TU6),"")</f>
        <v>87.564999999999998</v>
      </c>
    </row>
    <row r="7" spans="1:542" x14ac:dyDescent="0.2">
      <c r="A7" s="5" cm="1">
        <f t="array" ref="A7">IF(AND(F7&lt;&gt;"",G7&lt;&gt;""),SUMPRODUCT((F$4:F$23&lt;&gt;"")*(G$4:G$23&lt;&gt;"")*(E$4:E$23&gt;E7))+1,IF(G7&lt;&gt;"",SUMPRODUCT((H$4:H$23="No DD")*(E$4:E$23&gt;E7))+1+SUMPRODUCT((F$4:F$23&lt;&gt;"")*(G$4:G$23&lt;&gt;"")),""))</f>
        <v>4</v>
      </c>
      <c r="B7" s="8" t="s">
        <v>33</v>
      </c>
      <c r="C7" s="4" t="s">
        <v>6</v>
      </c>
      <c r="D7" s="7">
        <v>1995</v>
      </c>
      <c r="E7" s="14">
        <f>SUM(J7:V7)+SUM(J7:T7)*0.0000001+SUM(J7)*0.0000000000001</f>
        <v>258.38002583800568</v>
      </c>
      <c r="F7" s="3" t="str">
        <f>IF(OR(AND(AO7&gt;=AY$25,AO7&lt;&gt;"",AQ7&gt;=AY$29,AQ7&lt;&gt;"",AN7=""),AND(AR7&gt;=AY$25,AR7&lt;&gt;"",AT7&gt;=AY$29,AT7&lt;&gt;"",AN7=""),AND(AV7&gt;=AY$25,AV7&lt;&gt;"",AX7&gt;=AY$29,AX7&lt;&gt;"",AN7=""),AND(BP7&gt;=BZ$25,BP7&lt;&gt;"",BR7&gt;=BZ$29,BR7&lt;&gt;"",BO7=""),AND(BS7&gt;=BZ$25,BS7&lt;&gt;"",BU7&gt;=BZ$29,BU7&lt;&gt;"",BO7=""),AND(BW7&gt;=BZ$25,BW7&lt;&gt;"",BY7&gt;=BZ$29,BY7&lt;&gt;"",BO7=""),AND(CQ7&gt;=DA$25,CQ7&lt;&gt;"",CS7&gt;=DA$29,CS7&lt;&gt;"",CP7=""),AND(CT7&gt;=DA$25,CT7&lt;&gt;"",CV7&gt;=DA$29,CV7&lt;&gt;"",CP7=""),AND(CX7&gt;=DA$25,CX7&lt;&gt;"",CZ7&gt;=DA$29,CZ7&lt;&gt;"",CP7=""),AND(DX7&gt;=EK$25,DX7&lt;&gt;"",DZ7&gt;=EK$29,DZ7&lt;&gt;""),AND(EA7&gt;=EK$25,EA7&lt;&gt;"",EC7&gt;=EK$29,EC7&lt;&gt;""),AND(EE7&gt;=EK$25,EE7&lt;&gt;"",EG7&gt;=EK$29,EG7&lt;&gt;""),AND(EH7&gt;=EK$25,EH7&lt;&gt;"",EJ7&gt;=EK$29,EJ7&lt;&gt;""),AND(FF7&gt;=FS$25,FF7&lt;&gt;"",FH7&gt;=FS$29,FH7&lt;&gt;""),AND(FI7&gt;=FS$25,FI7&lt;&gt;"",FK7&gt;=FS$29,FK7&lt;&gt;""),AND(FM7&gt;=FS$25,FM7&lt;&gt;"",FO7&gt;=FS$29,FO7&lt;&gt;""),AND(FP7&gt;=FS$25,FP7&lt;&gt;"",FR7&gt;=FS$29,FR7&lt;&gt;""),AND(GN7&gt;=HA$25,GN7&lt;&gt;"",GP7&gt;=HA$29,GP7&lt;&gt;""),AND(GQ7&gt;=HA$25,GQ7&lt;&gt;"",GS7&gt;=HA$29,GS7&lt;&gt;""),AND(GU7&gt;=HA$25,GU7&lt;&gt;"",GW7&gt;=HA$29,GW7&lt;&gt;""),AND(GX7&gt;=HA$25,GX7&lt;&gt;"",GZ7&gt;=HA$29,GZ7&lt;&gt;""),AND(HV7&gt;=II$25,HV7&lt;&gt;"",HX7&gt;=II$29,HX7&lt;&gt;""),AND(HY7&gt;=II$25,HY7&lt;&gt;"",IA7&gt;=II$29,IA7&lt;&gt;""),AND(IC7&gt;=II$25,IC7&lt;&gt;"",IE7&gt;=II$29,IE7&lt;&gt;""),AND(IF7&gt;=II$25,IF7&lt;&gt;"",IH7&gt;=II$29,IH7&lt;&gt;""),AND(JD7&gt;=JQ$25,JD7&lt;&gt;"",JF7&gt;=JQ$29,JF7&lt;&gt;""),AND(JG7&gt;=JQ$25,JG7&lt;&gt;"",JI7&gt;=JQ$29,JI7&lt;&gt;""),AND(JK7&gt;=JQ$25,JK7&lt;&gt;"",JM7&gt;=JQ$29,JM7&lt;&gt;""),AND(JN7&gt;=JQ$25,JN7&lt;&gt;"",JP7&gt;=JQ$29,JP7&lt;&gt;""),AND(KL7&gt;=KY$25,KL7&lt;&gt;"",KN7&gt;=KY$29,KN7&lt;&gt;""),AND(KO7&gt;=KY$25,KO7&lt;&gt;"",KQ7&gt;=KY$29,KQ7&lt;&gt;""),AND(KS7&gt;=KY$25,KS7&lt;&gt;"",KU7&gt;=KY$29,KU7&lt;&gt;""),AND(KV7&gt;=KY$25,KV7&lt;&gt;"",KX7&gt;=KY$29,KX7&lt;&gt;""),AND(LT7&gt;=MG$25,LT7&lt;&gt;"",LV7&gt;=MG$29,LV7&lt;&gt;""),AND(LW7&gt;=MG$25,LW7&lt;&gt;"",LY7&gt;=MG$29,LY7&lt;&gt;""),AND(MA7&gt;=MG$25,MA7&lt;&gt;"",MC7&gt;=MG$29,MC7&lt;&gt;""),AND(MD7&gt;=MG$25,MD7&lt;&gt;"",MF7&gt;=MG$29,MF7&lt;&gt;""),AND(NB7&gt;=NO$25,NB7&lt;&gt;"",ND7&gt;=NO$29,ND7&lt;&gt;""),AND(NE7&gt;=NO$25,NE7&lt;&gt;"",NG7&gt;=NO$29,NG7&lt;&gt;""),AND(NI7&gt;=NO$25,NI7&lt;&gt;"",NK7&gt;=NO$29,NK7&lt;&gt;""),AND(NL7&gt;=NO$25,NL7&lt;&gt;"",NN7&gt;=NO$29,NN7&lt;&gt;""),AND(OJ7&gt;=OW$25,OJ7&lt;&gt;"",OL7&gt;=OW$29,OL7&lt;&gt;""),AND(OM7&gt;=OW$25,OM7&lt;&gt;"",OO7&gt;=OW$29,OO7&lt;&gt;""),AND(OQ7&gt;=OW$25,OQ7&lt;&gt;"",OS7&gt;=OW$29,OS7&lt;&gt;""),AND(OT7&gt;=OW$25,OT7&lt;&gt;"",OV7&gt;=OW$29,OV7&lt;&gt;""),AND(PR7&gt;=QE$25,PR7&lt;&gt;"",PT7&gt;=QE$29,PT7&lt;&gt;""),AND(PU7&gt;=QE$25,PU7&lt;&gt;"",PW7&gt;=QE$29,PW7&lt;&gt;""),AND(PY7&gt;=QE$25,PY7&lt;&gt;"",QA7&gt;=QE$29,QA7&lt;&gt;""),AND(QB7&gt;=QE$25,QB7&lt;&gt;"",QD7&gt;=QE$29,QD7&lt;&gt;""),AND(QZ7&gt;=RM$25,QZ7&lt;&gt;"",RB7&gt;=RM$29,RB7&lt;&gt;""),AND(RC7&gt;=RM$25,RC7&lt;&gt;"",RE7&gt;=RM$29,RE7&lt;&gt;""),AND(RG7&gt;=RM$25,RG7&lt;&gt;"",RI7&gt;=RM$29,RI7&lt;&gt;""),AND(RJ7&gt;=RM$25,RJ7&lt;&gt;"",RL7&gt;=RM$29,RL7&lt;&gt;""),AND(SH7&gt;=SU$25,SH7&lt;&gt;"",SJ7&gt;=SU$29,SJ7&lt;&gt;""),AND(SK7&gt;=SU$25,SK7&lt;&gt;"",SM7&gt;=SU$29,SM7&lt;&gt;""),AND(SO7&gt;=SU$25,SO7&lt;&gt;"",SQ7&gt;=SU$29,SQ7&lt;&gt;""),AND(SR7&gt;=SU$25,SR7&lt;&gt;"",ST7&gt;=SU$29,ST7&lt;&gt;"")),"P","")</f>
        <v>P</v>
      </c>
      <c r="G7" s="3" t="str">
        <f>IF(OR(AND(AQ7&gt;=AY$29,AQ7&lt;&gt;"",AN7=""),AND(AT7&gt;=AY$29,AT7&lt;&gt;"",AN7=""),AND(AX7&gt;=AY$29,AX7&lt;&gt;"",AN7=""),AND(BR7&gt;=BZ$29,BR7&lt;&gt;"",BO7=""),AND(BU7&gt;=BZ$29,BU7&lt;&gt;"",BO7=""),AND(BY7&gt;=BZ$29,BY7&lt;&gt;"",BO7=""),AND(CS7&gt;=DA$29,CS7&lt;&gt;"",CP7=""),AND(CV7&gt;=DA$29,CV7&lt;&gt;"",CP7=""),AND(CZ7&gt;=DA$29,CZ7&lt;&gt;"",CP7=""),AND(DZ7&gt;=EK$29,DZ7&lt;&gt;""),AND(EC7&gt;=EK$29,EC7&lt;&gt;""),AND(EG7&gt;=EK$29,EG7&lt;&gt;""),AND(EJ7&gt;=EK$29,EJ7&lt;&gt;""),AND(FH7&gt;=FS$29,FH7&lt;&gt;""),AND(FK7&gt;=FS$29,FK7&lt;&gt;""),AND(FO7&gt;=FS$29,FO7&lt;&gt;""),AND(FR7&gt;=FS$29,FR7&lt;&gt;""),AND(GP7&gt;=HA$29,GP7&lt;&gt;""),AND(GS7&gt;=HA$29,GS7&lt;&gt;""),AND(GW7&gt;=HA$29,GW7&lt;&gt;""),AND(GZ7&gt;=HA$29,GZ7&lt;&gt;""),AND(HX7&gt;=II$29,HX7&lt;&gt;""),AND(IA7&gt;=II$29,IA7&lt;&gt;""),AND(IE7&gt;=II$29,IE7&lt;&gt;""),AND(IH7&gt;=II$29,IH7&lt;&gt;""),AND(JF7&gt;=JQ$29,JF7&lt;&gt;""),AND(JI7&gt;=JQ$29,JI7&lt;&gt;""),AND(JM7&gt;=JQ$29,JM7&lt;&gt;""),AND(JP7&gt;=JQ$29,JP7&lt;&gt;""),AND(KN7&gt;=KY$29,KN7&lt;&gt;""),AND(KQ7&gt;=KY$29,KQ7&lt;&gt;""),AND(KU7&gt;=KY$29,KU7&lt;&gt;""),AND(KX7&gt;=KY$29,KX7&lt;&gt;""),AND(LV7&gt;=MG$29,LV7&lt;&gt;""),AND(LY7&gt;=MG$29,LY7&lt;&gt;""),AND(MC7&gt;=MG$29,MC7&lt;&gt;""),AND(MF7&gt;=MG$29,MF7&lt;&gt;""),AND(ND7&gt;=NO$29,ND7&lt;&gt;""),AND(NG7&gt;=NO$29,NG7&lt;&gt;""),AND(NK7&gt;=NO$29,NK7&lt;&gt;""),AND(NN7&gt;=NO$29,NN7&lt;&gt;""),AND(OL7&gt;=OW$29,OL7&lt;&gt;""),AND(OO7&gt;=OW$29,OO7&lt;&gt;""),AND(OS7&gt;=OW$29,OS7&lt;&gt;""),AND(OV7&gt;=OW$29,OV7&lt;&gt;""),AND(PT7&gt;=QE$29,PT7&lt;&gt;""),AND(PW7&gt;=QE$29,PW7&lt;&gt;""),AND(QA7&gt;=QE$29,QA7&lt;&gt;""),AND(QD7&gt;=QE$29,QD7&lt;&gt;""),AND(RB7&gt;=RM$29,RB7&lt;&gt;""),AND(RE7&gt;=RM$29,RE7&lt;&gt;""),AND(RI7&gt;=RM$29,RI7&lt;&gt;""),AND(RL7&gt;=RM$29,RL7&lt;&gt;""),AND(SJ7&gt;=SU$29,SJ7&lt;&gt;""),AND(SM7&gt;=SU$29,SM7&lt;&gt;""),AND(SQ7&gt;=SU$29,SQ7&lt;&gt;""),AND(ST7&gt;=SU$29,ST7&lt;&gt;"")),"P","")</f>
        <v>P</v>
      </c>
      <c r="H7" s="70" t="str">
        <f>IF(AND(G7="P",F7=""),"No DD",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),"Merit",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X7&gt;=EK$27,DX7&lt;&gt;"",DZ7&gt;=EK$31,DZ7&lt;&gt;""),AND(EA7&gt;=EK$27,EA7&lt;&gt;"",EC7&gt;=EK$31,EC7&lt;&gt;""),AND(EE7&gt;=EK$27,EE7&lt;&gt;"",EG7&gt;=EK$31,EG7&lt;&gt;""),AND(EH7&gt;=EK$27,EH7&lt;&gt;"",EJ7&gt;=EK$31,EJ7&lt;&gt;""),AND(FF7&gt;=FS$27,FF7&lt;&gt;"",FH7&gt;=FS$31,FH7&lt;&gt;""),AND(FI7&gt;=FS$27,FI7&lt;&gt;"",FK7&gt;=FS$31,FK7&lt;&gt;""),AND(FM7&gt;=FS$27,FM7&lt;&gt;"",FO7&gt;=FS$31,FO7&lt;&gt;""),AND(FP7&gt;=FS$27,FP7&lt;&gt;"",FR7&gt;=FS$31,FR7&lt;&gt;""),AND(GN7&gt;=HA$27,GN7&lt;&gt;"",GP7&gt;=HA$31,GP7&lt;&gt;""),AND(GQ7&gt;=HA$27,GQ7&lt;&gt;"",GS7&gt;=HA$31,GS7&lt;&gt;""),AND(GU7&gt;=HA$27,GU7&lt;&gt;"",GW7&gt;=HA$31,GW7&lt;&gt;""),AND(GX7&gt;=HA$27,GX7&lt;&gt;"",GZ7&gt;=HA$31,GZ7&lt;&gt;""),AND(HV7&gt;=II$27,HV7&lt;&gt;"",HX7&gt;=II$31,HX7&lt;&gt;""),AND(HY7&gt;=II$27,HY7&lt;&gt;"",IA7&gt;=II$31,IA7&lt;&gt;""),AND(IC7&gt;=II$27,IC7&lt;&gt;"",IE7&gt;=II$31,IE7&lt;&gt;""),AND(IF7&gt;=II$27,IF7&lt;&gt;"",IH7&gt;=II$31,IH7&lt;&gt;""),AND(JD7&gt;=JQ$27,JD7&lt;&gt;"",JF7&gt;=JQ$31,JF7&lt;&gt;""),AND(JG7&gt;=JQ$27,JG7&lt;&gt;"",JI7&gt;=JQ$31,JI7&lt;&gt;""),AND(JK7&gt;=JQ$27,JK7&lt;&gt;"",JM7&gt;=JQ$31,JM7&lt;&gt;""),AND(JN7&gt;=JQ$27,JN7&lt;&gt;"",JP7&gt;=JQ$31,JP7&lt;&gt;""),AND(KL7&gt;=KY$27,KL7&lt;&gt;"",KN7&gt;=KY$31,KN7&lt;&gt;""),AND(KO7&gt;=KY$27,KO7&lt;&gt;"",KQ7&gt;=KY$31,KQ7&lt;&gt;""),AND(KS7&gt;=KY$27,KS7&lt;&gt;"",KU7&gt;=KY$31,KU7&lt;&gt;""),AND(KV7&gt;=KY$27,KV7&lt;&gt;"",KX7&gt;=KY$31,KX7&lt;&gt;""),AND(LT7&gt;=MG$27,LT7&lt;&gt;"",LV7&gt;=MG$31,LV7&lt;&gt;""),AND(LW7&gt;=MG$27,LW7&lt;&gt;"",LY7&gt;=MG$31,LY7&lt;&gt;""),AND(MA7&gt;=MG$27,MA7&lt;&gt;"",MC7&gt;=MG$31,MC7&lt;&gt;""),AND(MD7&gt;=MG$27,MD7&lt;&gt;"",MF7&gt;=MG$31,MF7&lt;&gt;""),AND(NB7&gt;=NO$27,NB7&lt;&gt;"",ND7&gt;=NO$31,ND7&lt;&gt;""),AND(NE7&gt;=NO$27,NE7&lt;&gt;"",NG7&gt;=NO$31,NG7&lt;&gt;""),AND(NI7&gt;=NO$27,NI7&lt;&gt;"",NK7&gt;=NO$31,NK7&lt;&gt;""),AND(NL7&gt;=NO$27,NL7&lt;&gt;"",NN7&gt;=NO$31,NN7&lt;&gt;""),AND(OJ7&gt;=OW$27,OJ7&lt;&gt;"",OL7&gt;=OW$31,OL7&lt;&gt;""),AND(OM7&gt;=OW$27,OM7&lt;&gt;"",OO7&gt;=OW$31,OO7&lt;&gt;""),AND(OQ7&gt;=OW$27,OQ7&lt;&gt;"",OS7&gt;=OW$31,OS7&lt;&gt;""),AND(OT7&gt;=OW$27,OT7&lt;&gt;"",OV7&gt;=OW$31,OV7&lt;&gt;""),AND(PR7&gt;=QE$27,PR7&lt;&gt;"",PT7&gt;=QE$31,PT7&lt;&gt;""),AND(PU7&gt;=QE$27,PU7&lt;&gt;"",PW7&gt;=QE$31,PW7&lt;&gt;""),AND(PY7&gt;=QE$27,PY7&lt;&gt;"",QA7&gt;=QE$31,QA7&lt;&gt;""),AND(QB7&gt;=QE$27,QB7&lt;&gt;"",QD7&gt;=QE$31,QD7&lt;&gt;""),AND(QZ7&gt;=RM$27,QZ7&lt;&gt;"",RB7&gt;=RM$31,RB7&lt;&gt;""),AND(RC7&gt;=RM$27,RC7&lt;&gt;"",RE7&gt;=RM$31,RE7&lt;&gt;""),AND(RG7&gt;=RM$27,RG7&lt;&gt;"",RI7&gt;=RM$31,RI7&lt;&gt;""),AND(RJ7&gt;=RM$27,RJ7&lt;&gt;"",RL7&gt;=RM$31,RL7&lt;&gt;""),AND(SH7&gt;=SU$27,SH7&lt;&gt;"",SJ7&gt;=SU$31,SJ7&lt;&gt;""),AND(SK7&gt;=SU$27,SK7&lt;&gt;"",SM7&gt;=SU$31,SM7&lt;&gt;""),AND(SO7&gt;=SU$27,SO7&lt;&gt;"",SQ7&gt;=SU$31,SQ7&lt;&gt;""),AND(SR7&gt;=SU$27,SR7&lt;&gt;"",ST7&gt;=SU$31,ST7&lt;&gt;"")),"Excellence",IF(I7="P","Worlds Team",IF(F7="P","National Team","")))))</f>
        <v>Worlds Team</v>
      </c>
      <c r="I7" s="3" t="str">
        <f>IF(OR(AND(AO7&gt;=AY$26,AO7&lt;&gt;"",AQ7&gt;=AY$30,AQ7&lt;&gt;"",AN7=""),AND(AR7&gt;=AY$26,AR7&lt;&gt;"",AT7&gt;=AY$30,AT7&lt;&gt;"",AN7=""),AND(AV7&gt;=AY$26,AV7&lt;&gt;"",AX7&gt;=AY$30,AX7&lt;&gt;"",AN7=""),AND(BP7&gt;=BZ$26,BP7&lt;&gt;"",BR7&gt;=BZ$30,BR7&lt;&gt;"",BO7=""),AND(BS7&gt;=BZ$26,BS7&lt;&gt;"",BU7&gt;=BZ$30,BU7&lt;&gt;"",BO7=""),AND(BW7&gt;=BZ$26,BW7&lt;&gt;"",BY7&gt;=BZ$30,BY7&lt;&gt;"",BO7=""),AND(CQ7&gt;=DA$26,CQ7&lt;&gt;"",CS7&gt;=DA$30,CS7&lt;&gt;"",CP7=""),AND(CT7&gt;=DA$26,CT7&lt;&gt;"",CV7&gt;=DA$30,CV7&lt;&gt;"",CP7=""),AND(CX7&gt;=DA$26,CX7&lt;&gt;"",CZ7&gt;=DA$30,CZ7&lt;&gt;"",CP7=""),AND(DX7&gt;=EK$26,DX7&lt;&gt;"",DZ7&gt;=EK$30,DZ7&lt;&gt;""),AND(EA7&gt;=EK$26,EA7&lt;&gt;"",EC7&gt;=EK$30,EC7&lt;&gt;""),AND(EE7&gt;=EK$26,EE7&lt;&gt;"",EG7&gt;=EK$30,EG7&lt;&gt;""),AND(EH7&gt;=EK$26,EH7&lt;&gt;"",EJ7&gt;=EK$30,EJ7&lt;&gt;""),AND(FF7&gt;=FS$26,FF7&lt;&gt;"",FH7&gt;=FS$30,FH7&lt;&gt;""),AND(FI7&gt;=FS$26,FI7&lt;&gt;"",FK7&gt;=FS$30,FK7&lt;&gt;""),AND(FM7&gt;=FS$26,FM7&lt;&gt;"",FO7&gt;=FS$30,FO7&lt;&gt;""),AND(FP7&gt;=FS$26,FP7&lt;&gt;"",FR7&gt;=FS$30,FR7&lt;&gt;""),AND(GN7&gt;=HA$26,GN7&lt;&gt;"",GP7&gt;=HA$30,GP7&lt;&gt;""),AND(GQ7&gt;=HA$26,GQ7&lt;&gt;"",GS7&gt;=HA$30,GS7&lt;&gt;""),AND(GU7&gt;=HA$26,GU7&lt;&gt;"",GW7&gt;=HA$30,GW7&lt;&gt;""),AND(GX7&gt;=HA$26,GX7&lt;&gt;"",GZ7&gt;=HA$30,GZ7&lt;&gt;""),AND(HV7&gt;=II$26,HV7&lt;&gt;"",HX7&gt;=II$30,HX7&lt;&gt;""),AND(HY7&gt;=II$26,HY7&lt;&gt;"",IA7&gt;=II$30,IA7&lt;&gt;""),AND(IC7&gt;=II$26,IC7&lt;&gt;"",IE7&gt;=II$30,IE7&lt;&gt;""),AND(IF7&gt;=II$26,IF7&lt;&gt;"",IH7&gt;=II$30,IH7&lt;&gt;""),AND(JD7&gt;=JQ$26,JD7&lt;&gt;"",JF7&gt;=JQ$30,JF7&lt;&gt;""),AND(JG7&gt;=JQ$26,JG7&lt;&gt;"",JI7&gt;=JQ$30,JI7&lt;&gt;""),AND(JK7&gt;=JQ$26,JK7&lt;&gt;"",JM7&gt;=JQ$30,JM7&lt;&gt;""),AND(JN7&gt;=JQ$26,JN7&lt;&gt;"",JP7&gt;=JQ$30,JP7&lt;&gt;""),AND(KL7&gt;=KY$26,KL7&lt;&gt;"",KN7&gt;=KY$30,KN7&lt;&gt;""),AND(KO7&gt;=KY$26,KO7&lt;&gt;"",KQ7&gt;=KY$30,KQ7&lt;&gt;""),AND(KS7&gt;=KY$26,KS7&lt;&gt;"",KU7&gt;=KY$30,KU7&lt;&gt;""),AND(KV7&gt;=KY$26,KV7&lt;&gt;"",KX7&gt;=KY$30,KX7&lt;&gt;""),AND(LT7&gt;=MG$26,LT7&lt;&gt;"",LV7&gt;=MG$30,LV7&lt;&gt;""),AND(LW7&gt;=MG$26,LW7&lt;&gt;"",LY7&gt;=MG$30,LY7&lt;&gt;""),AND(MA7&gt;=MG$26,MA7&lt;&gt;"",MC7&gt;=MG$30,MC7&lt;&gt;""),AND(MD7&gt;=MG$26,MD7&lt;&gt;"",MF7&gt;=MG$30,MF7&lt;&gt;""),AND(NB7&gt;=NO$26,NB7&lt;&gt;"",ND7&gt;=NO$30,ND7&lt;&gt;""),AND(NE7&gt;=NO$26,NE7&lt;&gt;"",NG7&gt;=NO$30,NG7&lt;&gt;""),AND(NI7&gt;=NO$26,NI7&lt;&gt;"",NK7&gt;=NO$30,NK7&lt;&gt;""),AND(NL7&gt;=NO$26,NL7&lt;&gt;"",NN7&gt;=NO$30,NN7&lt;&gt;""),AND(OJ7&gt;=OW$26,OJ7&lt;&gt;"",OL7&gt;=OW$30,OL7&lt;&gt;""),AND(OM7&gt;=OW$26,OM7&lt;&gt;"",OO7&gt;=OW$30,OO7&lt;&gt;""),AND(OQ7&gt;=OW$26,OQ7&lt;&gt;"",OS7&gt;=OW$30,OS7&lt;&gt;""),AND(OT7&gt;=OW$26,OT7&lt;&gt;"",OV7&gt;=OW$30,OV7&lt;&gt;""),AND(PR7&gt;=QE$26,PR7&lt;&gt;"",PT7&gt;=QE$30,PT7&lt;&gt;""),AND(PU7&gt;=QE$26,PU7&lt;&gt;"",PW7&gt;=QE$30,PW7&lt;&gt;""),AND(PY7&gt;=QE$26,PY7&lt;&gt;"",QA7&gt;=QE$30,QA7&lt;&gt;""),AND(QB7&gt;=QE$26,QB7&lt;&gt;"",QD7&gt;=QE$30,QD7&lt;&gt;""),AND(QZ7&gt;=RM$26,QZ7&lt;&gt;"",RB7&gt;=RM$30,RB7&lt;&gt;""),AND(RC7&gt;=RM$26,RC7&lt;&gt;"",RE7&gt;=RM$30,RE7&lt;&gt;""),AND(RG7&gt;=RM$26,RG7&lt;&gt;"",RI7&gt;=RM$30,RI7&lt;&gt;""),AND(RJ7&gt;=RM$26,RJ7&lt;&gt;"",RL7&gt;=RM$30,RL7&lt;&gt;""),AND(SH7&gt;=SU$26,SH7&lt;&gt;"",SJ7&gt;=SU$30,SJ7&lt;&gt;""),AND(SK7&gt;=SU$26,SK7&lt;&gt;"",SM7&gt;=SU$30,SM7&lt;&gt;""),AND(SO7&gt;=SU$26,SO7&lt;&gt;"",SQ7&gt;=SU$30,SQ7&lt;&gt;""),AND(SR7&gt;=SU$26,SR7&lt;&gt;"",ST7&gt;=SU$30,ST7&lt;&gt;"")),"P","")</f>
        <v>P</v>
      </c>
      <c r="J7" s="13">
        <f>IF(COUNT(AQ7,AT7,BR7,BU7,CS7,CV7)&gt;0,LARGE((AQ7,AT7,BR7,BU7,CS7,CV7),1),0)</f>
        <v>56.83</v>
      </c>
      <c r="K7" s="13" t="str">
        <f>IF(J7="","",IF(OR(J7=CS7,J7=CV7),$CA$1,IF(OR(J7=BR7,J7=BU7),$AZ$1,IF(OR(J7=AQ7,J7=AT7),$Y$1,""))))</f>
        <v>2021 Canadian Championships</v>
      </c>
      <c r="L7" s="13">
        <f>IF(COUNT(AQ7,AT7,BR7,BU7,CS7,CV7)&gt;1,LARGE((AQ7,AT7,BR7,BU7,CS7,CV7),2),0)</f>
        <v>56.614999999999995</v>
      </c>
      <c r="M7" s="13" t="str">
        <f>IF(L7="","",IF(OR(L7=CS7,L7=CV7),$CA$1,IF(OR(L7=BR7,L7=BU7),$AZ$1,IF(OR(L7=AQ7,L7=AT7),$Y$1,""))))</f>
        <v>2022 Elite Canada</v>
      </c>
      <c r="N7" s="13">
        <f>IF(COUNT(AQ7,AT7,BR7,BU7,CS7,CV7)&gt;2,LARGE((AQ7,AT7,BR7,BU7,CS7,CV7),3),0)</f>
        <v>56.4</v>
      </c>
      <c r="O7" s="13" t="str">
        <f>IF(N7="","",IF(OR(N7=CS7,N7=CV7),$CA$1,IF(OR(N7=BR7,N7=BU7),$AZ$1,IF(OR(N7=AQ7,N7=AT7),$Y$1,""))))</f>
        <v>2021 Elite Canada</v>
      </c>
      <c r="P7" s="13">
        <f>IF(MAX(AX7,BY7,CZ7)&gt;0,MAX(AX7,BY7,CZ7),0)</f>
        <v>56.304999999999993</v>
      </c>
      <c r="Q7" s="13" t="str">
        <f>IF(P7="","",IF(P7=CZ7,$CA$1,IF(P7=BY7,$AZ$1,IF(P7=AX7,$Y$1,""))))</f>
        <v>2021 Elite Canada</v>
      </c>
      <c r="R7" s="13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15.4</v>
      </c>
      <c r="S7" s="13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Elite Canada</v>
      </c>
      <c r="T7" s="13">
        <f>IF(MAX(IF(AO7&gt;=$AY$25,AP7,0),IF(AR7&gt;=$AY$25,AS7,0),IF(AV7&gt;=$AY$25,AW7,0),IF(BP7&gt;=$BZ$25,BQ7,0),IF(BS7&gt;=$BZ$25,BT7,0),IF(BW7&gt;=$BZ$25,BX7,0),IF(CQ7&gt;=$DA$25,CR7,0),IF(CT7&gt;=$DA$25,CU7,0),IF(CX7&gt;=$DA$25,CY7,0))&gt;0,MAX(IF(AO7&gt;=$AY$25,AP7,0),IF(AR7&gt;=$AY$25,AS7,0),IF(AV7&gt;=$AY$25,AW7,0),IF(BP7&gt;=$BZ$25,BQ7,0),IF(BS7&gt;=$BZ$25,BT7,0),IF(BW7&gt;=$BZ$25,BX7,0),IF(CQ7&gt;=$DA$25,CR7,0),IF(CT7&gt;=$DA$25,CU7,0),IF(CX7&gt;=$DA$25,CY7,0),IF(DX7&gt;=$EK$25,DY7,0),IF(EA7&gt;=$EK$25,EB7,0),IF(EE7&gt;=$EK$25,EF7,0),IF(EH7&gt;=$EK$25,EI7,0),IF(FF7&gt;=$FS$25,FG7,0),IF(FI7&gt;=$FS$25,FJ7,0),IF(FM7&gt;=$FS$25,FN7,0),IF(FP7&gt;=$FS$25,FQ7,0),IF(GN7&gt;=$HA$25,GO7,0),IF(GQ7&gt;=$HA$25,GR7,0),IF(GU7&gt;=$HA$25,GV7,0),IF(GX7&gt;=$HA$25,GY7,0),IF(HV7&gt;=$II$25,HW7,0),IF(HY7&gt;=$II$25,HZ7,0),IF(IC7&gt;=$II$25,ID7,0),IF(IF7&gt;=$II$25,IG7,0),IF(JD7&gt;=$JQ$25,JE7,0),IF(JG7&gt;=$JQ$25,JH7,0),IF(JK7&gt;=$JQ$25,JL7,0),IF(JN7&gt;=$JQ$25,JO7,0),IF(KL7&gt;=$KY$25,KM7,0),IF(KO7&gt;=$KY$25,KP7,0),IF(KS7&gt;=$KY$25,KT7,0),IF(KV7&gt;=$KY$25,KW7,0),IF(LT7&gt;=$MG$25,LU7,0),IF(LW7&gt;=$MG$25,LX7,0),IF(MA7&gt;=$MG$25,MB7,0),IF(MD7&gt;=$MG$25,ME7,0),IF(NB7&gt;=$NO$25,NC7,0),IF(NE7&gt;=$NO$25,NF7,0),IF(NI7&gt;=$NO$25,NJ7,0),IF(NL7&gt;=$NO$25,NM7,0),IF(OJ7&gt;=$OW$25,OK7,0),IF(OM7&gt;=$OW$25,ON7,0),IF(OQ7&gt;=$OW$25,OR7,0),IF(OT7&gt;=$OW$25,OU7,0),IF(PR7&gt;=$QE$25,PS7,0),IF(PU7&gt;=$QE$25,PV7,0),IF(PY7&gt;=$QE$25,PZ7,0),IF(QB7&gt;=$QE$25,QC7,0),IF(QZ7&gt;=$RM$25,RA7,0),IF(RC7&gt;=$RM$25,RD7,0),IF(RG7&gt;=$RM$25,RH7,0),IF(RJ7&gt;=$RM$25,RK7,0),IF(SH7&gt;=$SU$25,SI7,0),IF(SK7&gt;=$SU$25,SL7,0),IF(SO7&gt;=$SU$25,SP7,0),IF(SR7&gt;=$SU$25,SS7,0)),0)</f>
        <v>16.829999999999998</v>
      </c>
      <c r="U7" s="13" t="str">
        <f>IF(T7=0,"",IF(OR(T7=CR7,T7=CU7,T7=CY7),$CA$1,IF(OR(T7=BQ7,T7=BT7,T7=BX7),$AZ$1,IF(OR(T7=AP7,T7=AS7,T7=AW7),$Y$1,IF(OR(R7=SI7,R7=SL7,R7=SP7,R7=SS7),$RN$1,IF(OR(R7=RA7,R7=RD7,R7=RH7,R7=RK7),$QF$1,IF(OR(R7=PS7,R7=PV7,R7=PZ7,R7=QC7),$OX$1,IF(OR(R7=OK7,R7=ON7,R7=OR7,R7=OU7),$NP$1,IF(OR(R7=NC7,R7=NF7,R7=NJ7,R7=NM7),$MH$1,IF(OR(R7=LU7,R7=LX7,R7=MB7,R7=ME7),$KZ$1,IF(OR(R7=KM7,R7=KP7,R7=KT7,R7=KW7),$JR$1,IF(OR(R7=JE7,R7=JH7,R7=JL7,R7=JO7),$IJ$1,IF(OR(R7=HW7,R7=HZ7,R7=ID7,R7=IG7),$HB$1,IF(OR(R7=GO7,R7=GR7,R7=GV7,R7=GY7),$FT$1,IF(OR(R7=FG7,R7=FJ7,R7=FN7,R7=FQ7),$EL$1,IF(OR(R7=DY7,R7=EB7,R7=EF7,R7=EI7),$DD$1,""))))))))))))))))</f>
        <v>2021 Canadian Championships</v>
      </c>
      <c r="V7" s="13" t="str">
        <f>IF(MAX(DB7,DC7)&gt;0,MAX(DB7,DC7),"")</f>
        <v/>
      </c>
      <c r="W7" s="16" t="str">
        <f>IF(V7="","",IF(V7=DB7,"("&amp;DB$2&amp;")",IF(V7=DC7,"("&amp;DC$2&amp;")")))</f>
        <v/>
      </c>
      <c r="X7" s="13" t="str">
        <f>IF(V7="","",IF(V7=DB7,IF(V7+IF(L7="",0,L7)=SN7,$RN$1,IF(V7+IF(L7="",0,L7)=RF7,$QF$1,IF(V7+IF(L7="",0,L7)=PX7,$OX$1,IF(V7+IF(L7="",0,L7)=OP7,$NP$1,IF(V7+IF(L7="",0,L7)=NH7,$MH$1,IF(V7+IF(L7="",0,L7)=LZ7,$KZ$1,IF(V7+IF(L7="",0,L7)=KR7,$JR$1,IF(V7+IF(L7="",0,L7)=JJ7,$IJ$1,IF(V7+IF(L7="",0,L7)=IB7,$HB$1,IF(V7+IF(L7="",0,L7)=GT7,$FT$1,IF(V7+IF(L7="",0,L7)=FL7,$EL$1,IF(V7+IF(L7="",0,L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$1)))))))))))))))</f>
        <v/>
      </c>
      <c r="Y7" s="42">
        <v>15</v>
      </c>
      <c r="Z7" s="42">
        <v>9.1999999999999993</v>
      </c>
      <c r="AA7" s="42">
        <v>15</v>
      </c>
      <c r="AB7" s="42">
        <v>15.86</v>
      </c>
      <c r="AC7" s="42">
        <v>0</v>
      </c>
      <c r="AD7" s="42">
        <v>15.3</v>
      </c>
      <c r="AE7" s="42">
        <v>9.1</v>
      </c>
      <c r="AF7" s="42">
        <v>15.4</v>
      </c>
      <c r="AG7" s="42">
        <v>16.600000000000001</v>
      </c>
      <c r="AH7" s="42">
        <v>0</v>
      </c>
      <c r="AI7" s="42">
        <v>15.7</v>
      </c>
      <c r="AJ7" s="42">
        <v>9.1</v>
      </c>
      <c r="AK7" s="42">
        <v>15</v>
      </c>
      <c r="AL7" s="42">
        <v>16.504999999999999</v>
      </c>
      <c r="AM7" s="42">
        <v>0</v>
      </c>
      <c r="AN7" s="51"/>
      <c r="AO7" s="74">
        <f>IF(AA7&gt;0,AA7,"")</f>
        <v>15</v>
      </c>
      <c r="AP7" s="74">
        <f>IF(AB7&gt;0,AB7,"")</f>
        <v>15.86</v>
      </c>
      <c r="AQ7" s="76">
        <f>IF(SUM(Y7:AB7)-AC7&gt;0,SUM(Y7:AB7)-AC7,"")</f>
        <v>55.06</v>
      </c>
      <c r="AR7" s="76">
        <f>IF(AF7&gt;0,AF7,"")</f>
        <v>15.4</v>
      </c>
      <c r="AS7" s="76">
        <f>IF(AG7&gt;0,AG7,"")</f>
        <v>16.600000000000001</v>
      </c>
      <c r="AT7" s="76">
        <f>IF(SUM(AD7:AG7)-AH7&gt;0,SUM(AD7:AG7)-AH7,"")</f>
        <v>56.4</v>
      </c>
      <c r="AU7" s="76">
        <f>IF(AQ7="","",MAX(AQ7,AT7))</f>
        <v>56.4</v>
      </c>
      <c r="AV7" s="76">
        <f>IF(AK7&gt;0,AK7,"")</f>
        <v>15</v>
      </c>
      <c r="AW7" s="76">
        <f>IF(AL7&gt;0,AL7,"")</f>
        <v>16.504999999999999</v>
      </c>
      <c r="AX7" s="76">
        <f>IF(SUM(AI7:AL7)-AM7&gt;0,SUM(AI7:AL7)-AM7,"")</f>
        <v>56.304999999999993</v>
      </c>
      <c r="AY7" s="76">
        <f>IF(SUM(AU7,AX7)&gt;0,SUM(AU7,AX7),"")</f>
        <v>112.70499999999998</v>
      </c>
      <c r="AZ7" s="41">
        <v>15.5</v>
      </c>
      <c r="BA7" s="41">
        <v>9.3000000000000007</v>
      </c>
      <c r="BB7" s="41">
        <v>15</v>
      </c>
      <c r="BC7" s="41">
        <v>16.565000000000001</v>
      </c>
      <c r="BD7" s="41">
        <v>0</v>
      </c>
      <c r="BE7" s="41">
        <v>15.5</v>
      </c>
      <c r="BF7" s="41">
        <v>9.1</v>
      </c>
      <c r="BG7" s="41">
        <v>15.4</v>
      </c>
      <c r="BH7" s="41">
        <v>16.829999999999998</v>
      </c>
      <c r="BI7" s="41">
        <v>0</v>
      </c>
      <c r="BJ7" s="41">
        <v>15.4</v>
      </c>
      <c r="BK7" s="41">
        <v>8.6999999999999993</v>
      </c>
      <c r="BL7" s="41">
        <v>13.4</v>
      </c>
      <c r="BM7" s="41">
        <v>16.350000000000001</v>
      </c>
      <c r="BN7" s="41">
        <v>0.1</v>
      </c>
      <c r="BO7" s="52"/>
      <c r="BP7" s="75">
        <f>IF(BB7&gt;0,BB7,"")</f>
        <v>15</v>
      </c>
      <c r="BQ7" s="75">
        <f>IF(BC7&gt;0,BC7,"")</f>
        <v>16.565000000000001</v>
      </c>
      <c r="BR7" s="16">
        <f>IF(SUM(AZ7:BC7)-BD7&gt;0,SUM(AZ7:BC7)-BD7,"")</f>
        <v>56.364999999999995</v>
      </c>
      <c r="BS7" s="16">
        <f>IF(BG7&gt;0,BG7,"")</f>
        <v>15.4</v>
      </c>
      <c r="BT7" s="16">
        <f>IF(BH7&gt;0,BH7,"")</f>
        <v>16.829999999999998</v>
      </c>
      <c r="BU7" s="16">
        <f>IF(SUM(BE7:BH7)-BI7&gt;0,SUM(BE7:BH7)-BI7,"")</f>
        <v>56.83</v>
      </c>
      <c r="BV7" s="16">
        <f>IF(BR7="","",MAX(BR7,BU7))</f>
        <v>56.83</v>
      </c>
      <c r="BW7" s="16">
        <f>IF(BL7&gt;0,BL7,"")</f>
        <v>13.4</v>
      </c>
      <c r="BX7" s="16">
        <f>IF(BM7&gt;0,BM7,"")</f>
        <v>16.350000000000001</v>
      </c>
      <c r="BY7" s="16">
        <f>IF(SUM(BJ7:BM7)-BN7&gt;0,SUM(BJ7:BM7)-BN7,"")</f>
        <v>53.75</v>
      </c>
      <c r="BZ7" s="16">
        <f>IF(SUM(BV7,BY7)&gt;0,SUM(BV7,BY7),"")</f>
        <v>110.58</v>
      </c>
      <c r="CA7" s="42">
        <v>15.25</v>
      </c>
      <c r="CB7" s="42">
        <v>9.25</v>
      </c>
      <c r="CC7" s="42">
        <v>15</v>
      </c>
      <c r="CD7" s="42">
        <v>16.213000000000001</v>
      </c>
      <c r="CE7" s="42">
        <v>0</v>
      </c>
      <c r="CF7" s="42">
        <v>15.4</v>
      </c>
      <c r="CG7" s="42">
        <v>9.1</v>
      </c>
      <c r="CH7" s="42">
        <v>15.4</v>
      </c>
      <c r="CI7" s="42">
        <v>16.715</v>
      </c>
      <c r="CJ7" s="42">
        <v>0</v>
      </c>
      <c r="CK7" s="42">
        <v>15.55</v>
      </c>
      <c r="CL7" s="42">
        <v>8.8999999999999986</v>
      </c>
      <c r="CM7" s="42">
        <v>14.2</v>
      </c>
      <c r="CN7" s="42">
        <v>16.428000000000001</v>
      </c>
      <c r="CO7" s="42">
        <v>0.05</v>
      </c>
      <c r="CP7" s="51" t="s">
        <v>61</v>
      </c>
      <c r="CQ7" s="74">
        <f>IF(CC7&gt;0,CC7,"")</f>
        <v>15</v>
      </c>
      <c r="CR7" s="74">
        <f>IF(CD7&gt;0,CD7,"")</f>
        <v>16.213000000000001</v>
      </c>
      <c r="CS7" s="76">
        <f>IF(SUM(CA7:CD7)-CE7&gt;0,SUM(CA7:CD7)-CE7,"")</f>
        <v>55.713000000000001</v>
      </c>
      <c r="CT7" s="76">
        <f>IF(CH7&gt;0,CH7,"")</f>
        <v>15.4</v>
      </c>
      <c r="CU7" s="76">
        <f>IF(CI7&gt;0,CI7,"")</f>
        <v>16.715</v>
      </c>
      <c r="CV7" s="76">
        <f>IF(SUM(CF7:CI7)-CJ7&gt;0,SUM(CF7:CI7)-CJ7,"")</f>
        <v>56.614999999999995</v>
      </c>
      <c r="CW7" s="76">
        <f>IF(CS7="","",MAX(CS7,CV7))</f>
        <v>56.614999999999995</v>
      </c>
      <c r="CX7" s="76">
        <f>IF(CM7&gt;0,CM7,"")</f>
        <v>14.2</v>
      </c>
      <c r="CY7" s="76">
        <f>IF(CN7&gt;0,CN7,"")</f>
        <v>16.428000000000001</v>
      </c>
      <c r="CZ7" s="76">
        <f>IF(SUM(CK7:CN7)-CO7&gt;0,SUM(CK7:CN7)-CO7,"")</f>
        <v>55.028000000000006</v>
      </c>
      <c r="DA7" s="76">
        <f>IF(SUM(CW7,CZ7)&gt;0,SUM(CW7,CZ7),"")</f>
        <v>111.643</v>
      </c>
      <c r="DB7" s="87" t="str">
        <f>IF(L7&gt;=0.001,IF(MAX(ED7,FL7,GT7,IB7,JJ7,KR7,LZ7,NH7,OP7,PX7,RF7,SN7)-IF(L7="",0,L7)&gt;0.001,MAX(ED7,FL7,GT7,IB7,JJ7,KR7,LZ7,NH7,OP7,PX7,RF7,SN7)-IF(L7="",0,L7),""),"")</f>
        <v/>
      </c>
      <c r="DC7" s="87" t="str">
        <f>IF(P7&gt;=0.001,IF(MAX(EG7,EJ7,FO7,FR7,GW7,GZ7,IE7,IH7,JM7,JP7,KU7,KX7,MC7,MF7,NK7,NN7,OS7,OV7,QA7,QD7,RI7,RL7,SQ7,ST7)-IF(P7="",0,P7)&gt;0.001,MAX(EG7,EJ7,FO7,FR7,GW7,GZ7,IE7,IH7,JM7,JP7,KU7,KX7,MC7,MF7,NK7,NN7,OS7,OV7,QA7,QD7,RI7,RL7,SQ7,ST7)-IF(P7="",0,P7),""),"")</f>
        <v/>
      </c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76" t="str">
        <f>IF(DF7&gt;0,DF7,"")</f>
        <v/>
      </c>
      <c r="DY7" s="76" t="str">
        <f>IF(DG7&gt;0,DG7,"")</f>
        <v/>
      </c>
      <c r="DZ7" s="76" t="str">
        <f>IF(SUM(DD7:DG7)-DH7&gt;0,SUM(DD7:DG7)-DH7,"")</f>
        <v/>
      </c>
      <c r="EA7" s="76" t="str">
        <f>IF(DK7&gt;0,DK7,"")</f>
        <v/>
      </c>
      <c r="EB7" s="76" t="str">
        <f>IF(DL7&gt;0,DL7,"")</f>
        <v/>
      </c>
      <c r="EC7" s="76" t="str">
        <f>IF(SUM(DI7:DL7)-DM7&gt;0,SUM(DI7:DL7)-DM7,"")</f>
        <v/>
      </c>
      <c r="ED7" s="76" t="str">
        <f>IF(MAX(DZ7,EC7)&gt;0,MAX(DZ7,EC7),"")</f>
        <v/>
      </c>
      <c r="EE7" s="76" t="str">
        <f>IF(DP7&gt;0,DP7,"")</f>
        <v/>
      </c>
      <c r="EF7" s="76" t="str">
        <f>IF(DQ7&gt;0,DQ7,"")</f>
        <v/>
      </c>
      <c r="EG7" s="76" t="str">
        <f>IF(SUM(DN7:DQ7)-DR7&gt;0,SUM(DN7:DQ7)-DR7,"")</f>
        <v/>
      </c>
      <c r="EH7" s="76" t="str">
        <f>IF(DU7&gt;0,DU7,"")</f>
        <v/>
      </c>
      <c r="EI7" s="76" t="str">
        <f>IF(DV7&gt;0,DV7,"")</f>
        <v/>
      </c>
      <c r="EJ7" s="76" t="str">
        <f>IF(SUM(DS7:DV7)-DW7&gt;0,SUM(DS7:DV7)-DW7,"")</f>
        <v/>
      </c>
      <c r="EK7" s="76" t="str">
        <f>IF(SUM(ED7,EJ7)&gt;0,SUM(ED7,EJ7),"")</f>
        <v/>
      </c>
      <c r="EL7" s="26">
        <v>14</v>
      </c>
      <c r="EM7" s="26">
        <v>9.5</v>
      </c>
      <c r="EN7" s="26">
        <v>15</v>
      </c>
      <c r="EO7" s="26">
        <v>15.64</v>
      </c>
      <c r="EP7" s="26">
        <v>0</v>
      </c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16">
        <f>IF(EN7&gt;0,EN7,"")</f>
        <v>15</v>
      </c>
      <c r="FG7" s="16">
        <f>IF(EO7&gt;0,EO7,"")</f>
        <v>15.64</v>
      </c>
      <c r="FH7" s="16">
        <f>IF(SUM(EL7:EO7)-EP7&gt;0,SUM(EL7:EO7)-EP7,"")</f>
        <v>54.14</v>
      </c>
      <c r="FI7" s="16" t="str">
        <f>IF(ES7&gt;0,ES7,"")</f>
        <v/>
      </c>
      <c r="FJ7" s="16" t="str">
        <f>IF(ET7&gt;0,ET7,"")</f>
        <v/>
      </c>
      <c r="FK7" s="16" t="str">
        <f>IF(SUM(EQ7:ET7)-EU7&gt;0,SUM(EQ7:ET7)-EU7,"")</f>
        <v/>
      </c>
      <c r="FL7" s="16">
        <f>IF(MAX(FH7,FK7)&gt;0,MAX(FH7,FK7),"")</f>
        <v>54.14</v>
      </c>
      <c r="FM7" s="16" t="str">
        <f>IF(EX7&gt;0,EX7,"")</f>
        <v/>
      </c>
      <c r="FN7" s="16" t="str">
        <f>IF(EY7&gt;0,EY7,"")</f>
        <v/>
      </c>
      <c r="FO7" s="16" t="str">
        <f>IF(SUM(EV7:EY7)-EZ7&gt;0,SUM(EV7:EY7)-EZ7,"")</f>
        <v/>
      </c>
      <c r="FP7" s="16" t="str">
        <f>IF(FC7&gt;0,FC7,"")</f>
        <v/>
      </c>
      <c r="FQ7" s="16" t="str">
        <f>IF(FD7&gt;0,FD7,"")</f>
        <v/>
      </c>
      <c r="FR7" s="16" t="str">
        <f>IF(SUM(FA7:FD7)-FE7&gt;0,SUM(FA7:FD7)-FE7,"")</f>
        <v/>
      </c>
      <c r="FS7" s="16">
        <f>IF(SUM(FL7,FR7)&gt;0,SUM(FL7,FR7),"")</f>
        <v>54.14</v>
      </c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76" t="str">
        <f>IF(FV7&gt;0,FV7,"")</f>
        <v/>
      </c>
      <c r="GO7" s="76" t="str">
        <f>IF(FW7&gt;0,FW7,"")</f>
        <v/>
      </c>
      <c r="GP7" s="76" t="str">
        <f>IF(SUM(FT7:FW7)-FX7&gt;0,SUM(FT7:FW7)-FX7,"")</f>
        <v/>
      </c>
      <c r="GQ7" s="76" t="str">
        <f>IF(GA7&gt;0,GA7,"")</f>
        <v/>
      </c>
      <c r="GR7" s="76" t="str">
        <f>IF(GB7&gt;0,GB7,"")</f>
        <v/>
      </c>
      <c r="GS7" s="76" t="str">
        <f>IF(SUM(FY7:GB7)-GC7&gt;0,SUM(FY7:GB7)-GC7,"")</f>
        <v/>
      </c>
      <c r="GT7" s="76" t="str">
        <f>IF(MAX(GP7,GS7)&gt;0,MAX(GP7,GS7),"")</f>
        <v/>
      </c>
      <c r="GU7" s="76" t="str">
        <f>IF(GF7&gt;0,GF7,"")</f>
        <v/>
      </c>
      <c r="GV7" s="76" t="str">
        <f>IF(GG7&gt;0,GG7,"")</f>
        <v/>
      </c>
      <c r="GW7" s="76" t="str">
        <f>IF(SUM(GD7:GG7)-GH7&gt;0,SUM(GD7:GG7)-GH7,"")</f>
        <v/>
      </c>
      <c r="GX7" s="76" t="str">
        <f>IF(GK7&gt;0,GK7,"")</f>
        <v/>
      </c>
      <c r="GY7" s="76" t="str">
        <f>IF(GL7&gt;0,GL7,"")</f>
        <v/>
      </c>
      <c r="GZ7" s="76" t="str">
        <f>IF(SUM(GI7:GL7)-GM7&gt;0,SUM(GI7:GL7)-GM7,"")</f>
        <v/>
      </c>
      <c r="HA7" s="76" t="str">
        <f>IF(SUM(GT7,GZ7)&gt;0,SUM(GT7,GZ7),"")</f>
        <v/>
      </c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16" t="str">
        <f>IF(HD7&gt;0,HD7,"")</f>
        <v/>
      </c>
      <c r="HW7" s="16" t="str">
        <f>IF(HE7&gt;0,HE7,"")</f>
        <v/>
      </c>
      <c r="HX7" s="16" t="str">
        <f>IF(SUM(HB7:HE7)-HF7&gt;0,SUM(HB7:HE7)-HF7,"")</f>
        <v/>
      </c>
      <c r="HY7" s="16" t="str">
        <f>IF(HI7&gt;0,HI7,"")</f>
        <v/>
      </c>
      <c r="HZ7" s="16" t="str">
        <f>IF(HJ7&gt;0,HJ7,"")</f>
        <v/>
      </c>
      <c r="IA7" s="16" t="str">
        <f>IF(SUM(HG7:HJ7)-HK7&gt;0,SUM(HG7:HJ7)-HK7,"")</f>
        <v/>
      </c>
      <c r="IB7" s="16" t="str">
        <f>IF(MAX(HX7,IA7)&gt;0,MAX(HX7,IA7),"")</f>
        <v/>
      </c>
      <c r="IC7" s="16" t="str">
        <f>IF(HN7&gt;0,HN7,"")</f>
        <v/>
      </c>
      <c r="ID7" s="16" t="str">
        <f>IF(HO7&gt;0,HO7,"")</f>
        <v/>
      </c>
      <c r="IE7" s="16" t="str">
        <f>IF(SUM(HL7:HO7)-HP7&gt;0,SUM(HL7:HO7)-HP7,"")</f>
        <v/>
      </c>
      <c r="IF7" s="16" t="str">
        <f>IF(HS7&gt;0,HS7,"")</f>
        <v/>
      </c>
      <c r="IG7" s="16" t="str">
        <f>IF(HT7&gt;0,HT7,"")</f>
        <v/>
      </c>
      <c r="IH7" s="16" t="str">
        <f>IF(SUM(HQ7:HT7)-HU7&gt;0,SUM(HQ7:HT7)-HU7,"")</f>
        <v/>
      </c>
      <c r="II7" s="16" t="str">
        <f>IF(SUM(IB7,IH7)&gt;0,SUM(IB7,IH7),"")</f>
        <v/>
      </c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76" t="str">
        <f>IF(IL7&gt;0,IL7,"")</f>
        <v/>
      </c>
      <c r="JE7" s="76" t="str">
        <f>IF(IM7&gt;0,IM7,"")</f>
        <v/>
      </c>
      <c r="JF7" s="76" t="str">
        <f>IF(SUM(IJ7:IM7)-IN7&gt;0,SUM(IJ7:IM7)-IN7,"")</f>
        <v/>
      </c>
      <c r="JG7" s="76" t="str">
        <f>IF(IQ7&gt;0,IQ7,"")</f>
        <v/>
      </c>
      <c r="JH7" s="76" t="str">
        <f>IF(IR7&gt;0,IR7,"")</f>
        <v/>
      </c>
      <c r="JI7" s="76" t="str">
        <f>IF(SUM(IO7:IR7)-IS7&gt;0,SUM(IO7:IR7)-IS7,"")</f>
        <v/>
      </c>
      <c r="JJ7" s="76" t="str">
        <f>IF(MAX(JF7,JI7)&gt;0,MAX(JF7,JI7),"")</f>
        <v/>
      </c>
      <c r="JK7" s="76" t="str">
        <f>IF(IV7&gt;0,IV7,"")</f>
        <v/>
      </c>
      <c r="JL7" s="76" t="str">
        <f>IF(IW7&gt;0,IW7,"")</f>
        <v/>
      </c>
      <c r="JM7" s="76" t="str">
        <f>IF(SUM(IT7:IW7)-IX7&gt;0,SUM(IT7:IW7)-IX7,"")</f>
        <v/>
      </c>
      <c r="JN7" s="76" t="str">
        <f>IF(JA7&gt;0,JA7,"")</f>
        <v/>
      </c>
      <c r="JO7" s="76" t="str">
        <f>IF(JB7&gt;0,JB7,"")</f>
        <v/>
      </c>
      <c r="JP7" s="76" t="str">
        <f>IF(SUM(IY7:JB7)-JC7&gt;0,SUM(IY7:JB7)-JC7,"")</f>
        <v/>
      </c>
      <c r="JQ7" s="76" t="str">
        <f>IF(SUM(JJ7,JP7)&gt;0,SUM(JJ7,JP7),"")</f>
        <v/>
      </c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16" t="str">
        <f>IF(JT7&gt;0,JT7,"")</f>
        <v/>
      </c>
      <c r="KM7" s="16" t="str">
        <f>IF(JU7&gt;0,JU7,"")</f>
        <v/>
      </c>
      <c r="KN7" s="16" t="str">
        <f>IF(SUM(JR7:JU7)-JV7&gt;0,SUM(JR7:JU7)-JV7,"")</f>
        <v/>
      </c>
      <c r="KO7" s="16" t="str">
        <f>IF(JY7&gt;0,JY7,"")</f>
        <v/>
      </c>
      <c r="KP7" s="16" t="str">
        <f>IF(JZ7&gt;0,JZ7,"")</f>
        <v/>
      </c>
      <c r="KQ7" s="16" t="str">
        <f>IF(SUM(JW7:JZ7)-KA7&gt;0,SUM(JW7:JZ7)-KA7,"")</f>
        <v/>
      </c>
      <c r="KR7" s="16" t="str">
        <f>IF(MAX(KN7,KQ7)&gt;0,MAX(KN7,KQ7),"")</f>
        <v/>
      </c>
      <c r="KS7" s="16" t="str">
        <f>IF(KD7&gt;0,KD7,"")</f>
        <v/>
      </c>
      <c r="KT7" s="16" t="str">
        <f>IF(KE7&gt;0,KE7,"")</f>
        <v/>
      </c>
      <c r="KU7" s="16" t="str">
        <f>IF(SUM(KB7:KE7)-KF7&gt;0,SUM(KB7:KE7)-KF7,"")</f>
        <v/>
      </c>
      <c r="KV7" s="16" t="str">
        <f>IF(KI7&gt;0,KI7,"")</f>
        <v/>
      </c>
      <c r="KW7" s="16" t="str">
        <f>IF(KJ7&gt;0,KJ7,"")</f>
        <v/>
      </c>
      <c r="KX7" s="16" t="str">
        <f>IF(SUM(KG7:KJ7)-KK7&gt;0,SUM(KG7:KJ7)-KK7,"")</f>
        <v/>
      </c>
      <c r="KY7" s="16" t="str">
        <f>IF(SUM(KR7,KX7)&gt;0,SUM(KR7,KX7),"")</f>
        <v/>
      </c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25"/>
      <c r="LS7" s="25"/>
      <c r="LT7" s="76" t="str">
        <f>IF(LB7&gt;0,LB7,"")</f>
        <v/>
      </c>
      <c r="LU7" s="76" t="str">
        <f>IF(LC7&gt;0,LC7,"")</f>
        <v/>
      </c>
      <c r="LV7" s="76" t="str">
        <f>IF(SUM(KZ7:LC7)-LD7&gt;0,SUM(KZ7:LC7)-LD7,"")</f>
        <v/>
      </c>
      <c r="LW7" s="76" t="str">
        <f>IF(LG7&gt;0,LG7,"")</f>
        <v/>
      </c>
      <c r="LX7" s="76" t="str">
        <f>IF(LH7&gt;0,LH7,"")</f>
        <v/>
      </c>
      <c r="LY7" s="76" t="str">
        <f>IF(SUM(LE7:LH7)-LI7&gt;0,SUM(LE7:LH7)-LI7,"")</f>
        <v/>
      </c>
      <c r="LZ7" s="76" t="str">
        <f>IF(MAX(LV7,LY7)&gt;0,MAX(LV7,LY7),"")</f>
        <v/>
      </c>
      <c r="MA7" s="76" t="str">
        <f>IF(LL7&gt;0,LL7,"")</f>
        <v/>
      </c>
      <c r="MB7" s="76" t="str">
        <f>IF(LM7&gt;0,LM7,"")</f>
        <v/>
      </c>
      <c r="MC7" s="76" t="str">
        <f>IF(SUM(LJ7:LM7)-LN7&gt;0,SUM(LJ7:LM7)-LN7,"")</f>
        <v/>
      </c>
      <c r="MD7" s="76" t="str">
        <f>IF(LQ7&gt;0,LQ7,"")</f>
        <v/>
      </c>
      <c r="ME7" s="76" t="str">
        <f>IF(LR7&gt;0,LR7,"")</f>
        <v/>
      </c>
      <c r="MF7" s="76" t="str">
        <f>IF(SUM(LO7:LR7)-LS7&gt;0,SUM(LO7:LR7)-LS7,"")</f>
        <v/>
      </c>
      <c r="MG7" s="76" t="str">
        <f>IF(SUM(LZ7,MF7)&gt;0,SUM(LZ7,MF7),"")</f>
        <v/>
      </c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26"/>
      <c r="NB7" s="16" t="str">
        <f>IF(MJ7&gt;0,MJ7,"")</f>
        <v/>
      </c>
      <c r="NC7" s="16" t="str">
        <f>IF(MK7&gt;0,MK7,"")</f>
        <v/>
      </c>
      <c r="ND7" s="16" t="str">
        <f>IF(SUM(MH7:MK7)-ML7&gt;0,SUM(MH7:MK7)-ML7,"")</f>
        <v/>
      </c>
      <c r="NE7" s="16" t="str">
        <f>IF(MO7&gt;0,MO7,"")</f>
        <v/>
      </c>
      <c r="NF7" s="16" t="str">
        <f>IF(MP7&gt;0,MP7,"")</f>
        <v/>
      </c>
      <c r="NG7" s="16" t="str">
        <f>IF(SUM(MM7:MP7)-MQ7&gt;0,SUM(MM7:MP7)-MQ7,"")</f>
        <v/>
      </c>
      <c r="NH7" s="16" t="str">
        <f>IF(MAX(ND7,NG7)&gt;0,MAX(ND7,NG7),"")</f>
        <v/>
      </c>
      <c r="NI7" s="16" t="str">
        <f>IF(MT7&gt;0,MT7,"")</f>
        <v/>
      </c>
      <c r="NJ7" s="16" t="str">
        <f>IF(MU7&gt;0,MU7,"")</f>
        <v/>
      </c>
      <c r="NK7" s="16" t="str">
        <f>IF(SUM(MR7:MU7)-MV7&gt;0,SUM(MR7:MU7)-MV7,"")</f>
        <v/>
      </c>
      <c r="NL7" s="16" t="str">
        <f>IF(MY7&gt;0,MY7,"")</f>
        <v/>
      </c>
      <c r="NM7" s="16" t="str">
        <f>IF(MZ7&gt;0,MZ7,"")</f>
        <v/>
      </c>
      <c r="NN7" s="16" t="str">
        <f>IF(SUM(MW7:MZ7)-NA7&gt;0,SUM(MW7:MZ7)-NA7,"")</f>
        <v/>
      </c>
      <c r="NO7" s="16" t="str">
        <f>IF(SUM(NH7,NN7)&gt;0,SUM(NH7,NN7),"")</f>
        <v/>
      </c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76" t="str">
        <f>IF(NR7&gt;0,NR7,"")</f>
        <v/>
      </c>
      <c r="OK7" s="76" t="str">
        <f>IF(NS7&gt;0,NS7,"")</f>
        <v/>
      </c>
      <c r="OL7" s="76" t="str">
        <f>IF(SUM(NP7:NS7)-NT7&gt;0,SUM(NP7:NS7)-NT7,"")</f>
        <v/>
      </c>
      <c r="OM7" s="76" t="str">
        <f>IF(NW7&gt;0,NW7,"")</f>
        <v/>
      </c>
      <c r="ON7" s="76" t="str">
        <f>IF(NX7&gt;0,NX7,"")</f>
        <v/>
      </c>
      <c r="OO7" s="76" t="str">
        <f>IF(SUM(NU7:NX7)-NY7&gt;0,SUM(NU7:NX7)-NY7,"")</f>
        <v/>
      </c>
      <c r="OP7" s="76" t="str">
        <f>IF(MAX(OL7,OO7)&gt;0,MAX(OL7,OO7),"")</f>
        <v/>
      </c>
      <c r="OQ7" s="76" t="str">
        <f>IF(OB7&gt;0,OB7,"")</f>
        <v/>
      </c>
      <c r="OR7" s="76" t="str">
        <f>IF(OC7&gt;0,OC7,"")</f>
        <v/>
      </c>
      <c r="OS7" s="76" t="str">
        <f>IF(SUM(NZ7:OC7)-OD7&gt;0,SUM(NZ7:OC7)-OD7,"")</f>
        <v/>
      </c>
      <c r="OT7" s="76" t="str">
        <f>IF(OG7&gt;0,OG7,"")</f>
        <v/>
      </c>
      <c r="OU7" s="76" t="str">
        <f>IF(OH7&gt;0,OH7,"")</f>
        <v/>
      </c>
      <c r="OV7" s="76" t="str">
        <f>IF(SUM(OE7:OH7)-OI7&gt;0,SUM(OE7:OH7)-OI7,"")</f>
        <v/>
      </c>
      <c r="OW7" s="76" t="str">
        <f>IF(SUM(OP7,OV7)&gt;0,SUM(OP7,OV7),"")</f>
        <v/>
      </c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16" t="str">
        <f>IF(OZ7&gt;0,OZ7,"")</f>
        <v/>
      </c>
      <c r="PS7" s="16" t="str">
        <f>IF(PA7&gt;0,PA7,"")</f>
        <v/>
      </c>
      <c r="PT7" s="16" t="str">
        <f>IF(SUM(OX7:PA7)-PB7&gt;0,SUM(OX7:PA7)-PB7,"")</f>
        <v/>
      </c>
      <c r="PU7" s="16" t="str">
        <f>IF(PE7&gt;0,PE7,"")</f>
        <v/>
      </c>
      <c r="PV7" s="16" t="str">
        <f>IF(PF7&gt;0,PF7,"")</f>
        <v/>
      </c>
      <c r="PW7" s="16" t="str">
        <f>IF(SUM(PC7:PF7)-PG7&gt;0,SUM(PC7:PF7)-PG7,"")</f>
        <v/>
      </c>
      <c r="PX7" s="16" t="str">
        <f>IF(MAX(PT7,PW7)&gt;0,MAX(PT7,PW7),"")</f>
        <v/>
      </c>
      <c r="PY7" s="16" t="str">
        <f>IF(PJ7&gt;0,PJ7,"")</f>
        <v/>
      </c>
      <c r="PZ7" s="16" t="str">
        <f>IF(PK7&gt;0,PK7,"")</f>
        <v/>
      </c>
      <c r="QA7" s="16" t="str">
        <f>IF(SUM(PH7:PK7)-PL7&gt;0,SUM(PH7:PK7)-PL7,"")</f>
        <v/>
      </c>
      <c r="QB7" s="16" t="str">
        <f>IF(PO7&gt;0,PO7,"")</f>
        <v/>
      </c>
      <c r="QC7" s="16" t="str">
        <f>IF(PP7&gt;0,PP7,"")</f>
        <v/>
      </c>
      <c r="QD7" s="16" t="str">
        <f>IF(SUM(PM7:PP7)-PQ7&gt;0,SUM(PM7:PP7)-PQ7,"")</f>
        <v/>
      </c>
      <c r="QE7" s="16" t="str">
        <f>IF(SUM(PX7,QD7)&gt;0,SUM(PX7,QD7),"")</f>
        <v/>
      </c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25"/>
      <c r="QQ7" s="25"/>
      <c r="QR7" s="25"/>
      <c r="QS7" s="25"/>
      <c r="QT7" s="25"/>
      <c r="QU7" s="25"/>
      <c r="QV7" s="25"/>
      <c r="QW7" s="25"/>
      <c r="QX7" s="25"/>
      <c r="QY7" s="25"/>
      <c r="QZ7" s="76" t="str">
        <f>IF(QH7&gt;0,QH7,"")</f>
        <v/>
      </c>
      <c r="RA7" s="76" t="str">
        <f>IF(QI7&gt;0,QI7,"")</f>
        <v/>
      </c>
      <c r="RB7" s="76" t="str">
        <f>IF(SUM(QF7:QI7)-QJ7&gt;0,SUM(QF7:QI7)-QJ7,"")</f>
        <v/>
      </c>
      <c r="RC7" s="76" t="str">
        <f>IF(QM7&gt;0,QM7,"")</f>
        <v/>
      </c>
      <c r="RD7" s="76" t="str">
        <f>IF(QN7&gt;0,QN7,"")</f>
        <v/>
      </c>
      <c r="RE7" s="76" t="str">
        <f>IF(SUM(QK7:QN7)-QO7&gt;0,SUM(QK7:QN7)-QO7,"")</f>
        <v/>
      </c>
      <c r="RF7" s="76" t="str">
        <f>IF(MAX(RB7,RE7)&gt;0,MAX(RB7,RE7),"")</f>
        <v/>
      </c>
      <c r="RG7" s="76" t="str">
        <f>IF(QR7&gt;0,QR7,"")</f>
        <v/>
      </c>
      <c r="RH7" s="76" t="str">
        <f>IF(QS7&gt;0,QS7,"")</f>
        <v/>
      </c>
      <c r="RI7" s="76" t="str">
        <f>IF(SUM(QP7:QS7)-QT7&gt;0,SUM(QP7:QS7)-QT7,"")</f>
        <v/>
      </c>
      <c r="RJ7" s="76" t="str">
        <f>IF(QW7&gt;0,QW7,"")</f>
        <v/>
      </c>
      <c r="RK7" s="76" t="str">
        <f>IF(QX7&gt;0,QX7,"")</f>
        <v/>
      </c>
      <c r="RL7" s="76" t="str">
        <f>IF(SUM(QU7:QX7)-QY7&gt;0,SUM(QU7:QX7)-QY7,"")</f>
        <v/>
      </c>
      <c r="RM7" s="76" t="str">
        <f>IF(SUM(RF7,RL7)&gt;0,SUM(RF7,RL7),"")</f>
        <v/>
      </c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16" t="str">
        <f>IF(RP7&gt;0,RP7,"")</f>
        <v/>
      </c>
      <c r="SI7" s="16" t="str">
        <f>IF(RQ7&gt;0,RQ7,"")</f>
        <v/>
      </c>
      <c r="SJ7" s="16" t="str">
        <f>IF(SUM(RN7:RQ7)-RR7&gt;0,SUM(RN7:RQ7)-RR7,"")</f>
        <v/>
      </c>
      <c r="SK7" s="16" t="str">
        <f>IF(RU7&gt;0,RU7,"")</f>
        <v/>
      </c>
      <c r="SL7" s="16" t="str">
        <f>IF(RV7&gt;0,RV7,"")</f>
        <v/>
      </c>
      <c r="SM7" s="16" t="str">
        <f>IF(SUM(RS7:RV7)-RW7&gt;0,SUM(RS7:RV7)-RW7,"")</f>
        <v/>
      </c>
      <c r="SN7" s="16" t="str">
        <f>IF(MAX(SJ7,SM7)&gt;0,MAX(SJ7,SM7),"")</f>
        <v/>
      </c>
      <c r="SO7" s="16" t="str">
        <f>IF(RZ7&gt;0,RZ7,"")</f>
        <v/>
      </c>
      <c r="SP7" s="16" t="str">
        <f>IF(SA7&gt;0,SA7,"")</f>
        <v/>
      </c>
      <c r="SQ7" s="16" t="str">
        <f>IF(SUM(RX7:SA7)-SB7&gt;0,SUM(RX7:SA7)-SB7,"")</f>
        <v/>
      </c>
      <c r="SR7" s="16" t="str">
        <f>IF(SE7&gt;0,SE7,"")</f>
        <v/>
      </c>
      <c r="SS7" s="16" t="str">
        <f>IF(SF7&gt;0,SF7,"")</f>
        <v/>
      </c>
      <c r="ST7" s="16" t="str">
        <f>IF(SUM(SC7:SF7)-SG7&gt;0,SUM(SC7:SF7)-SG7,"")</f>
        <v/>
      </c>
      <c r="SU7" s="16" t="str">
        <f>IF(SUM(SN7,ST7)&gt;0,SUM(SN7,ST7),"")</f>
        <v/>
      </c>
      <c r="SV7" s="42">
        <f>IF($CP7="P",CA7,(CA7+AZ7)/2)</f>
        <v>15.25</v>
      </c>
      <c r="SW7" s="42">
        <f>IF($CP7="P",CB7,(CB7+BA7)/2)</f>
        <v>9.25</v>
      </c>
      <c r="SX7" s="42">
        <f>IF($CP7="P",CC7,(CC7+BB7)/2)</f>
        <v>15</v>
      </c>
      <c r="SY7" s="42">
        <f>IF($CP7="P",CD7,(CD7+BC7)/2)</f>
        <v>16.213000000000001</v>
      </c>
      <c r="SZ7" s="42">
        <f>IF($CP7="P",CE7,(CE7+BD7)/2)</f>
        <v>0</v>
      </c>
      <c r="TA7" s="42">
        <f>IF($CP7="P",CF7,(CF7+BE7)/2)</f>
        <v>15.4</v>
      </c>
      <c r="TB7" s="42">
        <f>IF($CP7="P",CG7,(CG7+BF7)/2)</f>
        <v>9.1</v>
      </c>
      <c r="TC7" s="42">
        <f>IF($CP7="P",CH7,(CH7+BG7)/2)</f>
        <v>15.4</v>
      </c>
      <c r="TD7" s="42">
        <f>IF($CP7="P",CI7,(CI7+BH7)/2)</f>
        <v>16.715</v>
      </c>
      <c r="TE7" s="42">
        <f>IF($CP7="P",CJ7,(CJ7+BI7)/2)</f>
        <v>0</v>
      </c>
      <c r="TF7" s="42">
        <f>IF($CP7="P",CK7,(CK7+BJ7)/2)</f>
        <v>15.55</v>
      </c>
      <c r="TG7" s="42">
        <f>IF($CP7="P",CL7,(CL7+BK7)/2)</f>
        <v>8.8999999999999986</v>
      </c>
      <c r="TH7" s="42">
        <f>IF($CP7="P",CM7,(CM7+BL7)/2)</f>
        <v>14.2</v>
      </c>
      <c r="TI7" s="42">
        <f>IF($CP7="P",CN7,(CN7+BM7)/2)</f>
        <v>16.428000000000001</v>
      </c>
      <c r="TJ7" s="42">
        <f>IF($CP7="P",CO7,(CO7+BN7)/2)</f>
        <v>0.05</v>
      </c>
      <c r="TK7" s="51" t="s">
        <v>61</v>
      </c>
      <c r="TL7" s="76">
        <f>IF(SX7&gt;0,SX7,"")</f>
        <v>15</v>
      </c>
      <c r="TM7" s="76">
        <f>IF(SY7&gt;0,SY7,"")</f>
        <v>16.213000000000001</v>
      </c>
      <c r="TN7" s="76">
        <f>IF(SUM(SV7:SY7)-SZ7&gt;0,SUM(SV7:SY7)-SZ7,"")</f>
        <v>55.713000000000001</v>
      </c>
      <c r="TO7" s="76">
        <f>IF(TC7&gt;0,TC7,"")</f>
        <v>15.4</v>
      </c>
      <c r="TP7" s="76">
        <f>IF(TD7&gt;0,TD7,"")</f>
        <v>16.715</v>
      </c>
      <c r="TQ7" s="76">
        <f>IF(SUM(TA7:TD7)-TE7&gt;0,SUM(TA7:TD7)-TE7,"")</f>
        <v>56.614999999999995</v>
      </c>
      <c r="TR7" s="76">
        <f>IF(MAX(TN7,TQ7)&gt;0,MAX(TN7,TQ7),"")</f>
        <v>56.614999999999995</v>
      </c>
      <c r="TS7" s="76">
        <f>IF(TH7&gt;0,TH7,"")</f>
        <v>14.2</v>
      </c>
      <c r="TT7" s="76">
        <f>IF(TI7&gt;0,TI7,"")</f>
        <v>16.428000000000001</v>
      </c>
      <c r="TU7" s="76">
        <f>IF(SUM(TF7:TI7)-TJ7&gt;0,SUM(TF7:TI7)-TJ7,"")</f>
        <v>55.028000000000006</v>
      </c>
      <c r="TV7" s="76">
        <f>IF(SUM(TR7,TU7)&gt;0,SUM(TR7,TU7),"")</f>
        <v>111.643</v>
      </c>
    </row>
    <row r="8" spans="1:542" x14ac:dyDescent="0.2">
      <c r="A8" s="5" cm="1">
        <f t="array" ref="A8">IF(AND(F8&lt;&gt;"",G8&lt;&gt;""),SUMPRODUCT((F$4:F$23&lt;&gt;"")*(G$4:G$23&lt;&gt;"")*(E$4:E$23&gt;E8))+1,IF(G8&lt;&gt;"",SUMPRODUCT((H$4:H$23="No DD")*(E$4:E$23&gt;E8))+1+SUMPRODUCT((F$4:F$23&lt;&gt;"")*(G$4:G$23&lt;&gt;"")),""))</f>
        <v>5</v>
      </c>
      <c r="B8" s="6" t="s">
        <v>7</v>
      </c>
      <c r="C8" s="7" t="s">
        <v>3</v>
      </c>
      <c r="D8" s="5">
        <v>1994</v>
      </c>
      <c r="E8" s="14">
        <f>SUM(J8:V8)+SUM(J8:T8)*0.0000001+SUM(J8)*0.0000000000001</f>
        <v>257.37502573750567</v>
      </c>
      <c r="F8" s="3" t="str">
        <f>IF(OR(AND(AO8&gt;=AY$25,AO8&lt;&gt;"",AQ8&gt;=AY$29,AQ8&lt;&gt;"",AN8=""),AND(AR8&gt;=AY$25,AR8&lt;&gt;"",AT8&gt;=AY$29,AT8&lt;&gt;"",AN8=""),AND(AV8&gt;=AY$25,AV8&lt;&gt;"",AX8&gt;=AY$29,AX8&lt;&gt;"",AN8=""),AND(BP8&gt;=BZ$25,BP8&lt;&gt;"",BR8&gt;=BZ$29,BR8&lt;&gt;"",BO8=""),AND(BS8&gt;=BZ$25,BS8&lt;&gt;"",BU8&gt;=BZ$29,BU8&lt;&gt;"",BO8=""),AND(BW8&gt;=BZ$25,BW8&lt;&gt;"",BY8&gt;=BZ$29,BY8&lt;&gt;"",BO8=""),AND(CQ8&gt;=DA$25,CQ8&lt;&gt;"",CS8&gt;=DA$29,CS8&lt;&gt;"",CP8=""),AND(CT8&gt;=DA$25,CT8&lt;&gt;"",CV8&gt;=DA$29,CV8&lt;&gt;"",CP8=""),AND(CX8&gt;=DA$25,CX8&lt;&gt;"",CZ8&gt;=DA$29,CZ8&lt;&gt;"",CP8=""),AND(DX8&gt;=EK$25,DX8&lt;&gt;"",DZ8&gt;=EK$29,DZ8&lt;&gt;""),AND(EA8&gt;=EK$25,EA8&lt;&gt;"",EC8&gt;=EK$29,EC8&lt;&gt;""),AND(EE8&gt;=EK$25,EE8&lt;&gt;"",EG8&gt;=EK$29,EG8&lt;&gt;""),AND(EH8&gt;=EK$25,EH8&lt;&gt;"",EJ8&gt;=EK$29,EJ8&lt;&gt;""),AND(FF8&gt;=FS$25,FF8&lt;&gt;"",FH8&gt;=FS$29,FH8&lt;&gt;""),AND(FI8&gt;=FS$25,FI8&lt;&gt;"",FK8&gt;=FS$29,FK8&lt;&gt;""),AND(FM8&gt;=FS$25,FM8&lt;&gt;"",FO8&gt;=FS$29,FO8&lt;&gt;""),AND(FP8&gt;=FS$25,FP8&lt;&gt;"",FR8&gt;=FS$29,FR8&lt;&gt;""),AND(GN8&gt;=HA$25,GN8&lt;&gt;"",GP8&gt;=HA$29,GP8&lt;&gt;""),AND(GQ8&gt;=HA$25,GQ8&lt;&gt;"",GS8&gt;=HA$29,GS8&lt;&gt;""),AND(GU8&gt;=HA$25,GU8&lt;&gt;"",GW8&gt;=HA$29,GW8&lt;&gt;""),AND(GX8&gt;=HA$25,GX8&lt;&gt;"",GZ8&gt;=HA$29,GZ8&lt;&gt;""),AND(HV8&gt;=II$25,HV8&lt;&gt;"",HX8&gt;=II$29,HX8&lt;&gt;""),AND(HY8&gt;=II$25,HY8&lt;&gt;"",IA8&gt;=II$29,IA8&lt;&gt;""),AND(IC8&gt;=II$25,IC8&lt;&gt;"",IE8&gt;=II$29,IE8&lt;&gt;""),AND(IF8&gt;=II$25,IF8&lt;&gt;"",IH8&gt;=II$29,IH8&lt;&gt;""),AND(JD8&gt;=JQ$25,JD8&lt;&gt;"",JF8&gt;=JQ$29,JF8&lt;&gt;""),AND(JG8&gt;=JQ$25,JG8&lt;&gt;"",JI8&gt;=JQ$29,JI8&lt;&gt;""),AND(JK8&gt;=JQ$25,JK8&lt;&gt;"",JM8&gt;=JQ$29,JM8&lt;&gt;""),AND(JN8&gt;=JQ$25,JN8&lt;&gt;"",JP8&gt;=JQ$29,JP8&lt;&gt;""),AND(KL8&gt;=KY$25,KL8&lt;&gt;"",KN8&gt;=KY$29,KN8&lt;&gt;""),AND(KO8&gt;=KY$25,KO8&lt;&gt;"",KQ8&gt;=KY$29,KQ8&lt;&gt;""),AND(KS8&gt;=KY$25,KS8&lt;&gt;"",KU8&gt;=KY$29,KU8&lt;&gt;""),AND(KV8&gt;=KY$25,KV8&lt;&gt;"",KX8&gt;=KY$29,KX8&lt;&gt;""),AND(LT8&gt;=MG$25,LT8&lt;&gt;"",LV8&gt;=MG$29,LV8&lt;&gt;""),AND(LW8&gt;=MG$25,LW8&lt;&gt;"",LY8&gt;=MG$29,LY8&lt;&gt;""),AND(MA8&gt;=MG$25,MA8&lt;&gt;"",MC8&gt;=MG$29,MC8&lt;&gt;""),AND(MD8&gt;=MG$25,MD8&lt;&gt;"",MF8&gt;=MG$29,MF8&lt;&gt;""),AND(NB8&gt;=NO$25,NB8&lt;&gt;"",ND8&gt;=NO$29,ND8&lt;&gt;""),AND(NE8&gt;=NO$25,NE8&lt;&gt;"",NG8&gt;=NO$29,NG8&lt;&gt;""),AND(NI8&gt;=NO$25,NI8&lt;&gt;"",NK8&gt;=NO$29,NK8&lt;&gt;""),AND(NL8&gt;=NO$25,NL8&lt;&gt;"",NN8&gt;=NO$29,NN8&lt;&gt;""),AND(OJ8&gt;=OW$25,OJ8&lt;&gt;"",OL8&gt;=OW$29,OL8&lt;&gt;""),AND(OM8&gt;=OW$25,OM8&lt;&gt;"",OO8&gt;=OW$29,OO8&lt;&gt;""),AND(OQ8&gt;=OW$25,OQ8&lt;&gt;"",OS8&gt;=OW$29,OS8&lt;&gt;""),AND(OT8&gt;=OW$25,OT8&lt;&gt;"",OV8&gt;=OW$29,OV8&lt;&gt;""),AND(PR8&gt;=QE$25,PR8&lt;&gt;"",PT8&gt;=QE$29,PT8&lt;&gt;""),AND(PU8&gt;=QE$25,PU8&lt;&gt;"",PW8&gt;=QE$29,PW8&lt;&gt;""),AND(PY8&gt;=QE$25,PY8&lt;&gt;"",QA8&gt;=QE$29,QA8&lt;&gt;""),AND(QB8&gt;=QE$25,QB8&lt;&gt;"",QD8&gt;=QE$29,QD8&lt;&gt;""),AND(QZ8&gt;=RM$25,QZ8&lt;&gt;"",RB8&gt;=RM$29,RB8&lt;&gt;""),AND(RC8&gt;=RM$25,RC8&lt;&gt;"",RE8&gt;=RM$29,RE8&lt;&gt;""),AND(RG8&gt;=RM$25,RG8&lt;&gt;"",RI8&gt;=RM$29,RI8&lt;&gt;""),AND(RJ8&gt;=RM$25,RJ8&lt;&gt;"",RL8&gt;=RM$29,RL8&lt;&gt;""),AND(SH8&gt;=SU$25,SH8&lt;&gt;"",SJ8&gt;=SU$29,SJ8&lt;&gt;""),AND(SK8&gt;=SU$25,SK8&lt;&gt;"",SM8&gt;=SU$29,SM8&lt;&gt;""),AND(SO8&gt;=SU$25,SO8&lt;&gt;"",SQ8&gt;=SU$29,SQ8&lt;&gt;""),AND(SR8&gt;=SU$25,SR8&lt;&gt;"",ST8&gt;=SU$29,ST8&lt;&gt;"")),"P","")</f>
        <v>P</v>
      </c>
      <c r="G8" s="3" t="str">
        <f>IF(OR(AND(AQ8&gt;=AY$29,AQ8&lt;&gt;"",AN8=""),AND(AT8&gt;=AY$29,AT8&lt;&gt;"",AN8=""),AND(AX8&gt;=AY$29,AX8&lt;&gt;"",AN8=""),AND(BR8&gt;=BZ$29,BR8&lt;&gt;"",BO8=""),AND(BU8&gt;=BZ$29,BU8&lt;&gt;"",BO8=""),AND(BY8&gt;=BZ$29,BY8&lt;&gt;"",BO8=""),AND(CS8&gt;=DA$29,CS8&lt;&gt;"",CP8=""),AND(CV8&gt;=DA$29,CV8&lt;&gt;"",CP8=""),AND(CZ8&gt;=DA$29,CZ8&lt;&gt;"",CP8=""),AND(DZ8&gt;=EK$29,DZ8&lt;&gt;""),AND(EC8&gt;=EK$29,EC8&lt;&gt;""),AND(EG8&gt;=EK$29,EG8&lt;&gt;""),AND(EJ8&gt;=EK$29,EJ8&lt;&gt;""),AND(FH8&gt;=FS$29,FH8&lt;&gt;""),AND(FK8&gt;=FS$29,FK8&lt;&gt;""),AND(FO8&gt;=FS$29,FO8&lt;&gt;""),AND(FR8&gt;=FS$29,FR8&lt;&gt;""),AND(GP8&gt;=HA$29,GP8&lt;&gt;""),AND(GS8&gt;=HA$29,GS8&lt;&gt;""),AND(GW8&gt;=HA$29,GW8&lt;&gt;""),AND(GZ8&gt;=HA$29,GZ8&lt;&gt;""),AND(HX8&gt;=II$29,HX8&lt;&gt;""),AND(IA8&gt;=II$29,IA8&lt;&gt;""),AND(IE8&gt;=II$29,IE8&lt;&gt;""),AND(IH8&gt;=II$29,IH8&lt;&gt;""),AND(JF8&gt;=JQ$29,JF8&lt;&gt;""),AND(JI8&gt;=JQ$29,JI8&lt;&gt;""),AND(JM8&gt;=JQ$29,JM8&lt;&gt;""),AND(JP8&gt;=JQ$29,JP8&lt;&gt;""),AND(KN8&gt;=KY$29,KN8&lt;&gt;""),AND(KQ8&gt;=KY$29,KQ8&lt;&gt;""),AND(KU8&gt;=KY$29,KU8&lt;&gt;""),AND(KX8&gt;=KY$29,KX8&lt;&gt;""),AND(LV8&gt;=MG$29,LV8&lt;&gt;""),AND(LY8&gt;=MG$29,LY8&lt;&gt;""),AND(MC8&gt;=MG$29,MC8&lt;&gt;""),AND(MF8&gt;=MG$29,MF8&lt;&gt;""),AND(ND8&gt;=NO$29,ND8&lt;&gt;""),AND(NG8&gt;=NO$29,NG8&lt;&gt;""),AND(NK8&gt;=NO$29,NK8&lt;&gt;""),AND(NN8&gt;=NO$29,NN8&lt;&gt;""),AND(OL8&gt;=OW$29,OL8&lt;&gt;""),AND(OO8&gt;=OW$29,OO8&lt;&gt;""),AND(OS8&gt;=OW$29,OS8&lt;&gt;""),AND(OV8&gt;=OW$29,OV8&lt;&gt;""),AND(PT8&gt;=QE$29,PT8&lt;&gt;""),AND(PW8&gt;=QE$29,PW8&lt;&gt;""),AND(QA8&gt;=QE$29,QA8&lt;&gt;""),AND(QD8&gt;=QE$29,QD8&lt;&gt;""),AND(RB8&gt;=RM$29,RB8&lt;&gt;""),AND(RE8&gt;=RM$29,RE8&lt;&gt;""),AND(RI8&gt;=RM$29,RI8&lt;&gt;""),AND(RL8&gt;=RM$29,RL8&lt;&gt;""),AND(SJ8&gt;=SU$29,SJ8&lt;&gt;""),AND(SM8&gt;=SU$29,SM8&lt;&gt;""),AND(SQ8&gt;=SU$29,SQ8&lt;&gt;""),AND(ST8&gt;=SU$29,ST8&lt;&gt;"")),"P","")</f>
        <v>P</v>
      </c>
      <c r="H8" s="70" t="str">
        <f>IF(AND(G8="P",F8=""),"No DD",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),"Merit",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X8&gt;=EK$27,DX8&lt;&gt;"",DZ8&gt;=EK$31,DZ8&lt;&gt;""),AND(EA8&gt;=EK$27,EA8&lt;&gt;"",EC8&gt;=EK$31,EC8&lt;&gt;""),AND(EE8&gt;=EK$27,EE8&lt;&gt;"",EG8&gt;=EK$31,EG8&lt;&gt;""),AND(EH8&gt;=EK$27,EH8&lt;&gt;"",EJ8&gt;=EK$31,EJ8&lt;&gt;""),AND(FF8&gt;=FS$27,FF8&lt;&gt;"",FH8&gt;=FS$31,FH8&lt;&gt;""),AND(FI8&gt;=FS$27,FI8&lt;&gt;"",FK8&gt;=FS$31,FK8&lt;&gt;""),AND(FM8&gt;=FS$27,FM8&lt;&gt;"",FO8&gt;=FS$31,FO8&lt;&gt;""),AND(FP8&gt;=FS$27,FP8&lt;&gt;"",FR8&gt;=FS$31,FR8&lt;&gt;""),AND(GN8&gt;=HA$27,GN8&lt;&gt;"",GP8&gt;=HA$31,GP8&lt;&gt;""),AND(GQ8&gt;=HA$27,GQ8&lt;&gt;"",GS8&gt;=HA$31,GS8&lt;&gt;""),AND(GU8&gt;=HA$27,GU8&lt;&gt;"",GW8&gt;=HA$31,GW8&lt;&gt;""),AND(GX8&gt;=HA$27,GX8&lt;&gt;"",GZ8&gt;=HA$31,GZ8&lt;&gt;""),AND(HV8&gt;=II$27,HV8&lt;&gt;"",HX8&gt;=II$31,HX8&lt;&gt;""),AND(HY8&gt;=II$27,HY8&lt;&gt;"",IA8&gt;=II$31,IA8&lt;&gt;""),AND(IC8&gt;=II$27,IC8&lt;&gt;"",IE8&gt;=II$31,IE8&lt;&gt;""),AND(IF8&gt;=II$27,IF8&lt;&gt;"",IH8&gt;=II$31,IH8&lt;&gt;""),AND(JD8&gt;=JQ$27,JD8&lt;&gt;"",JF8&gt;=JQ$31,JF8&lt;&gt;""),AND(JG8&gt;=JQ$27,JG8&lt;&gt;"",JI8&gt;=JQ$31,JI8&lt;&gt;""),AND(JK8&gt;=JQ$27,JK8&lt;&gt;"",JM8&gt;=JQ$31,JM8&lt;&gt;""),AND(JN8&gt;=JQ$27,JN8&lt;&gt;"",JP8&gt;=JQ$31,JP8&lt;&gt;""),AND(KL8&gt;=KY$27,KL8&lt;&gt;"",KN8&gt;=KY$31,KN8&lt;&gt;""),AND(KO8&gt;=KY$27,KO8&lt;&gt;"",KQ8&gt;=KY$31,KQ8&lt;&gt;""),AND(KS8&gt;=KY$27,KS8&lt;&gt;"",KU8&gt;=KY$31,KU8&lt;&gt;""),AND(KV8&gt;=KY$27,KV8&lt;&gt;"",KX8&gt;=KY$31,KX8&lt;&gt;""),AND(LT8&gt;=MG$27,LT8&lt;&gt;"",LV8&gt;=MG$31,LV8&lt;&gt;""),AND(LW8&gt;=MG$27,LW8&lt;&gt;"",LY8&gt;=MG$31,LY8&lt;&gt;""),AND(MA8&gt;=MG$27,MA8&lt;&gt;"",MC8&gt;=MG$31,MC8&lt;&gt;""),AND(MD8&gt;=MG$27,MD8&lt;&gt;"",MF8&gt;=MG$31,MF8&lt;&gt;""),AND(NB8&gt;=NO$27,NB8&lt;&gt;"",ND8&gt;=NO$31,ND8&lt;&gt;""),AND(NE8&gt;=NO$27,NE8&lt;&gt;"",NG8&gt;=NO$31,NG8&lt;&gt;""),AND(NI8&gt;=NO$27,NI8&lt;&gt;"",NK8&gt;=NO$31,NK8&lt;&gt;""),AND(NL8&gt;=NO$27,NL8&lt;&gt;"",NN8&gt;=NO$31,NN8&lt;&gt;""),AND(OJ8&gt;=OW$27,OJ8&lt;&gt;"",OL8&gt;=OW$31,OL8&lt;&gt;""),AND(OM8&gt;=OW$27,OM8&lt;&gt;"",OO8&gt;=OW$31,OO8&lt;&gt;""),AND(OQ8&gt;=OW$27,OQ8&lt;&gt;"",OS8&gt;=OW$31,OS8&lt;&gt;""),AND(OT8&gt;=OW$27,OT8&lt;&gt;"",OV8&gt;=OW$31,OV8&lt;&gt;""),AND(PR8&gt;=QE$27,PR8&lt;&gt;"",PT8&gt;=QE$31,PT8&lt;&gt;""),AND(PU8&gt;=QE$27,PU8&lt;&gt;"",PW8&gt;=QE$31,PW8&lt;&gt;""),AND(PY8&gt;=QE$27,PY8&lt;&gt;"",QA8&gt;=QE$31,QA8&lt;&gt;""),AND(QB8&gt;=QE$27,QB8&lt;&gt;"",QD8&gt;=QE$31,QD8&lt;&gt;""),AND(QZ8&gt;=RM$27,QZ8&lt;&gt;"",RB8&gt;=RM$31,RB8&lt;&gt;""),AND(RC8&gt;=RM$27,RC8&lt;&gt;"",RE8&gt;=RM$31,RE8&lt;&gt;""),AND(RG8&gt;=RM$27,RG8&lt;&gt;"",RI8&gt;=RM$31,RI8&lt;&gt;""),AND(RJ8&gt;=RM$27,RJ8&lt;&gt;"",RL8&gt;=RM$31,RL8&lt;&gt;""),AND(SH8&gt;=SU$27,SH8&lt;&gt;"",SJ8&gt;=SU$31,SJ8&lt;&gt;""),AND(SK8&gt;=SU$27,SK8&lt;&gt;"",SM8&gt;=SU$31,SM8&lt;&gt;""),AND(SO8&gt;=SU$27,SO8&lt;&gt;"",SQ8&gt;=SU$31,SQ8&lt;&gt;""),AND(SR8&gt;=SU$27,SR8&lt;&gt;"",ST8&gt;=SU$31,ST8&lt;&gt;"")),"Excellence",IF(I8="P","Worlds Team",IF(F8="P","National Team","")))))</f>
        <v>Worlds Team</v>
      </c>
      <c r="I8" s="3" t="str">
        <f>IF(OR(AND(AO8&gt;=AY$26,AO8&lt;&gt;"",AQ8&gt;=AY$30,AQ8&lt;&gt;"",AN8=""),AND(AR8&gt;=AY$26,AR8&lt;&gt;"",AT8&gt;=AY$30,AT8&lt;&gt;"",AN8=""),AND(AV8&gt;=AY$26,AV8&lt;&gt;"",AX8&gt;=AY$30,AX8&lt;&gt;"",AN8=""),AND(BP8&gt;=BZ$26,BP8&lt;&gt;"",BR8&gt;=BZ$30,BR8&lt;&gt;"",BO8=""),AND(BS8&gt;=BZ$26,BS8&lt;&gt;"",BU8&gt;=BZ$30,BU8&lt;&gt;"",BO8=""),AND(BW8&gt;=BZ$26,BW8&lt;&gt;"",BY8&gt;=BZ$30,BY8&lt;&gt;"",BO8=""),AND(CQ8&gt;=DA$26,CQ8&lt;&gt;"",CS8&gt;=DA$30,CS8&lt;&gt;"",CP8=""),AND(CT8&gt;=DA$26,CT8&lt;&gt;"",CV8&gt;=DA$30,CV8&lt;&gt;"",CP8=""),AND(CX8&gt;=DA$26,CX8&lt;&gt;"",CZ8&gt;=DA$30,CZ8&lt;&gt;"",CP8=""),AND(DX8&gt;=EK$26,DX8&lt;&gt;"",DZ8&gt;=EK$30,DZ8&lt;&gt;""),AND(EA8&gt;=EK$26,EA8&lt;&gt;"",EC8&gt;=EK$30,EC8&lt;&gt;""),AND(EE8&gt;=EK$26,EE8&lt;&gt;"",EG8&gt;=EK$30,EG8&lt;&gt;""),AND(EH8&gt;=EK$26,EH8&lt;&gt;"",EJ8&gt;=EK$30,EJ8&lt;&gt;""),AND(FF8&gt;=FS$26,FF8&lt;&gt;"",FH8&gt;=FS$30,FH8&lt;&gt;""),AND(FI8&gt;=FS$26,FI8&lt;&gt;"",FK8&gt;=FS$30,FK8&lt;&gt;""),AND(FM8&gt;=FS$26,FM8&lt;&gt;"",FO8&gt;=FS$30,FO8&lt;&gt;""),AND(FP8&gt;=FS$26,FP8&lt;&gt;"",FR8&gt;=FS$30,FR8&lt;&gt;""),AND(GN8&gt;=HA$26,GN8&lt;&gt;"",GP8&gt;=HA$30,GP8&lt;&gt;""),AND(GQ8&gt;=HA$26,GQ8&lt;&gt;"",GS8&gt;=HA$30,GS8&lt;&gt;""),AND(GU8&gt;=HA$26,GU8&lt;&gt;"",GW8&gt;=HA$30,GW8&lt;&gt;""),AND(GX8&gt;=HA$26,GX8&lt;&gt;"",GZ8&gt;=HA$30,GZ8&lt;&gt;""),AND(HV8&gt;=II$26,HV8&lt;&gt;"",HX8&gt;=II$30,HX8&lt;&gt;""),AND(HY8&gt;=II$26,HY8&lt;&gt;"",IA8&gt;=II$30,IA8&lt;&gt;""),AND(IC8&gt;=II$26,IC8&lt;&gt;"",IE8&gt;=II$30,IE8&lt;&gt;""),AND(IF8&gt;=II$26,IF8&lt;&gt;"",IH8&gt;=II$30,IH8&lt;&gt;""),AND(JD8&gt;=JQ$26,JD8&lt;&gt;"",JF8&gt;=JQ$30,JF8&lt;&gt;""),AND(JG8&gt;=JQ$26,JG8&lt;&gt;"",JI8&gt;=JQ$30,JI8&lt;&gt;""),AND(JK8&gt;=JQ$26,JK8&lt;&gt;"",JM8&gt;=JQ$30,JM8&lt;&gt;""),AND(JN8&gt;=JQ$26,JN8&lt;&gt;"",JP8&gt;=JQ$30,JP8&lt;&gt;""),AND(KL8&gt;=KY$26,KL8&lt;&gt;"",KN8&gt;=KY$30,KN8&lt;&gt;""),AND(KO8&gt;=KY$26,KO8&lt;&gt;"",KQ8&gt;=KY$30,KQ8&lt;&gt;""),AND(KS8&gt;=KY$26,KS8&lt;&gt;"",KU8&gt;=KY$30,KU8&lt;&gt;""),AND(KV8&gt;=KY$26,KV8&lt;&gt;"",KX8&gt;=KY$30,KX8&lt;&gt;""),AND(LT8&gt;=MG$26,LT8&lt;&gt;"",LV8&gt;=MG$30,LV8&lt;&gt;""),AND(LW8&gt;=MG$26,LW8&lt;&gt;"",LY8&gt;=MG$30,LY8&lt;&gt;""),AND(MA8&gt;=MG$26,MA8&lt;&gt;"",MC8&gt;=MG$30,MC8&lt;&gt;""),AND(MD8&gt;=MG$26,MD8&lt;&gt;"",MF8&gt;=MG$30,MF8&lt;&gt;""),AND(NB8&gt;=NO$26,NB8&lt;&gt;"",ND8&gt;=NO$30,ND8&lt;&gt;""),AND(NE8&gt;=NO$26,NE8&lt;&gt;"",NG8&gt;=NO$30,NG8&lt;&gt;""),AND(NI8&gt;=NO$26,NI8&lt;&gt;"",NK8&gt;=NO$30,NK8&lt;&gt;""),AND(NL8&gt;=NO$26,NL8&lt;&gt;"",NN8&gt;=NO$30,NN8&lt;&gt;""),AND(OJ8&gt;=OW$26,OJ8&lt;&gt;"",OL8&gt;=OW$30,OL8&lt;&gt;""),AND(OM8&gt;=OW$26,OM8&lt;&gt;"",OO8&gt;=OW$30,OO8&lt;&gt;""),AND(OQ8&gt;=OW$26,OQ8&lt;&gt;"",OS8&gt;=OW$30,OS8&lt;&gt;""),AND(OT8&gt;=OW$26,OT8&lt;&gt;"",OV8&gt;=OW$30,OV8&lt;&gt;""),AND(PR8&gt;=QE$26,PR8&lt;&gt;"",PT8&gt;=QE$30,PT8&lt;&gt;""),AND(PU8&gt;=QE$26,PU8&lt;&gt;"",PW8&gt;=QE$30,PW8&lt;&gt;""),AND(PY8&gt;=QE$26,PY8&lt;&gt;"",QA8&gt;=QE$30,QA8&lt;&gt;""),AND(QB8&gt;=QE$26,QB8&lt;&gt;"",QD8&gt;=QE$30,QD8&lt;&gt;""),AND(QZ8&gt;=RM$26,QZ8&lt;&gt;"",RB8&gt;=RM$30,RB8&lt;&gt;""),AND(RC8&gt;=RM$26,RC8&lt;&gt;"",RE8&gt;=RM$30,RE8&lt;&gt;""),AND(RG8&gt;=RM$26,RG8&lt;&gt;"",RI8&gt;=RM$30,RI8&lt;&gt;""),AND(RJ8&gt;=RM$26,RJ8&lt;&gt;"",RL8&gt;=RM$30,RL8&lt;&gt;""),AND(SH8&gt;=SU$26,SH8&lt;&gt;"",SJ8&gt;=SU$30,SJ8&lt;&gt;""),AND(SK8&gt;=SU$26,SK8&lt;&gt;"",SM8&gt;=SU$30,SM8&lt;&gt;""),AND(SO8&gt;=SU$26,SO8&lt;&gt;"",SQ8&gt;=SU$30,SQ8&lt;&gt;""),AND(SR8&gt;=SU$26,SR8&lt;&gt;"",ST8&gt;=SU$30,ST8&lt;&gt;"")),"P","")</f>
        <v>P</v>
      </c>
      <c r="J8" s="13">
        <f>IF(COUNT(AQ8,AT8,BR8,BU8,CS8,CV8)&gt;0,LARGE((AQ8,AT8,BR8,BU8,CS8,CV8),1),0)</f>
        <v>57.125</v>
      </c>
      <c r="K8" s="13" t="str">
        <f>IF(J8="","",IF(OR(J8=CS8,J8=CV8),$CA$1,IF(OR(J8=BR8,J8=BU8),$AZ$1,IF(OR(J8=AQ8,J8=AT8),$Y$1,""))))</f>
        <v>2021 Elite Canada</v>
      </c>
      <c r="L8" s="13">
        <f>IF(COUNT(AQ8,AT8,BR8,BU8,CS8,CV8)&gt;1,LARGE((AQ8,AT8,BR8,BU8,CS8,CV8),2),0)</f>
        <v>56.305</v>
      </c>
      <c r="M8" s="13" t="str">
        <f>IF(L8="","",IF(OR(L8=CS8,L8=CV8),$CA$1,IF(OR(L8=BR8,L8=BU8),$AZ$1,IF(OR(L8=AQ8,L8=AT8),$Y$1,""))))</f>
        <v>2021 Canadian Championships</v>
      </c>
      <c r="N8" s="13">
        <f>IF(COUNT(AQ8,AT8,BR8,BU8,CS8,CV8)&gt;2,LARGE((AQ8,AT8,BR8,BU8,CS8,CV8),3),0)</f>
        <v>55.164999999999999</v>
      </c>
      <c r="O8" s="13" t="str">
        <f>IF(N8="","",IF(OR(N8=CS8,N8=CV8),$CA$1,IF(OR(N8=BR8,N8=BU8),$AZ$1,IF(OR(N8=AQ8,N8=AT8),$Y$1,""))))</f>
        <v>2021 Elite Canada</v>
      </c>
      <c r="P8" s="13">
        <f>IF(MAX(AX8,BY8,CZ8)&gt;0,MAX(AX8,BY8,CZ8),0)</f>
        <v>56.74</v>
      </c>
      <c r="Q8" s="13" t="str">
        <f>IF(P8="","",IF(P8=CZ8,$CA$1,IF(P8=BY8,$AZ$1,IF(P8=AX8,$Y$1,""))))</f>
        <v>2021 Canadian Championships</v>
      </c>
      <c r="R8" s="13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15.5</v>
      </c>
      <c r="S8" s="13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2021 Canadian Championships</v>
      </c>
      <c r="T8" s="13">
        <f>IF(MAX(IF(AO8&gt;=$AY$25,AP8,0),IF(AR8&gt;=$AY$25,AS8,0),IF(AV8&gt;=$AY$25,AW8,0),IF(BP8&gt;=$BZ$25,BQ8,0),IF(BS8&gt;=$BZ$25,BT8,0),IF(BW8&gt;=$BZ$25,BX8,0),IF(CQ8&gt;=$DA$25,CR8,0),IF(CT8&gt;=$DA$25,CU8,0),IF(CX8&gt;=$DA$25,CY8,0))&gt;0,MAX(IF(AO8&gt;=$AY$25,AP8,0),IF(AR8&gt;=$AY$25,AS8,0),IF(AV8&gt;=$AY$25,AW8,0),IF(BP8&gt;=$BZ$25,BQ8,0),IF(BS8&gt;=$BZ$25,BT8,0),IF(BW8&gt;=$BZ$25,BX8,0),IF(CQ8&gt;=$DA$25,CR8,0),IF(CT8&gt;=$DA$25,CU8,0),IF(CX8&gt;=$DA$25,CY8,0),IF(DX8&gt;=$EK$25,DY8,0),IF(EA8&gt;=$EK$25,EB8,0),IF(EE8&gt;=$EK$25,EF8,0),IF(EH8&gt;=$EK$25,EI8,0),IF(FF8&gt;=$FS$25,FG8,0),IF(FI8&gt;=$FS$25,FJ8,0),IF(FM8&gt;=$FS$25,FN8,0),IF(FP8&gt;=$FS$25,FQ8,0),IF(GN8&gt;=$HA$25,GO8,0),IF(GQ8&gt;=$HA$25,GR8,0),IF(GU8&gt;=$HA$25,GV8,0),IF(GX8&gt;=$HA$25,GY8,0),IF(HV8&gt;=$II$25,HW8,0),IF(HY8&gt;=$II$25,HZ8,0),IF(IC8&gt;=$II$25,ID8,0),IF(IF8&gt;=$II$25,IG8,0),IF(JD8&gt;=$JQ$25,JE8,0),IF(JG8&gt;=$JQ$25,JH8,0),IF(JK8&gt;=$JQ$25,JL8,0),IF(JN8&gt;=$JQ$25,JO8,0),IF(KL8&gt;=$KY$25,KM8,0),IF(KO8&gt;=$KY$25,KP8,0),IF(KS8&gt;=$KY$25,KT8,0),IF(KV8&gt;=$KY$25,KW8,0),IF(LT8&gt;=$MG$25,LU8,0),IF(LW8&gt;=$MG$25,LX8,0),IF(MA8&gt;=$MG$25,MB8,0),IF(MD8&gt;=$MG$25,ME8,0),IF(NB8&gt;=$NO$25,NC8,0),IF(NE8&gt;=$NO$25,NF8,0),IF(NI8&gt;=$NO$25,NJ8,0),IF(NL8&gt;=$NO$25,NM8,0),IF(OJ8&gt;=$OW$25,OK8,0),IF(OM8&gt;=$OW$25,ON8,0),IF(OQ8&gt;=$OW$25,OR8,0),IF(OT8&gt;=$OW$25,OU8,0),IF(PR8&gt;=$QE$25,PS8,0),IF(PU8&gt;=$QE$25,PV8,0),IF(PY8&gt;=$QE$25,PZ8,0),IF(QB8&gt;=$QE$25,QC8,0),IF(QZ8&gt;=$RM$25,RA8,0),IF(RC8&gt;=$RM$25,RD8,0),IF(RG8&gt;=$RM$25,RH8,0),IF(RJ8&gt;=$RM$25,RK8,0),IF(SH8&gt;=$SU$25,SI8,0),IF(SK8&gt;=$SU$25,SL8,0),IF(SO8&gt;=$SU$25,SP8,0),IF(SR8&gt;=$SU$25,SS8,0)),0)</f>
        <v>16.54</v>
      </c>
      <c r="U8" s="13" t="str">
        <f>IF(T8=0,"",IF(OR(T8=CR8,T8=CU8,T8=CY8),$CA$1,IF(OR(T8=BQ8,T8=BT8,T8=BX8),$AZ$1,IF(OR(T8=AP8,T8=AS8,T8=AW8),$Y$1,IF(OR(R8=SI8,R8=SL8,R8=SP8,R8=SS8),$RN$1,IF(OR(R8=RA8,R8=RD8,R8=RH8,R8=RK8),$QF$1,IF(OR(R8=PS8,R8=PV8,R8=PZ8,R8=QC8),$OX$1,IF(OR(R8=OK8,R8=ON8,R8=OR8,R8=OU8),$NP$1,IF(OR(R8=NC8,R8=NF8,R8=NJ8,R8=NM8),$MH$1,IF(OR(R8=LU8,R8=LX8,R8=MB8,R8=ME8),$KZ$1,IF(OR(R8=KM8,R8=KP8,R8=KT8,R8=KW8),$JR$1,IF(OR(R8=JE8,R8=JH8,R8=JL8,R8=JO8),$IJ$1,IF(OR(R8=HW8,R8=HZ8,R8=ID8,R8=IG8),$HB$1,IF(OR(R8=GO8,R8=GR8,R8=GV8,R8=GY8),$FT$1,IF(OR(R8=FG8,R8=FJ8,R8=FN8,R8=FQ8),$EL$1,IF(OR(R8=DY8,R8=EB8,R8=EF8,R8=EI8),$DD$1,""))))))))))))))))</f>
        <v>2021 Canadian Championships</v>
      </c>
      <c r="V8" s="13" t="str">
        <f>IF(MAX(DB8,DC8)&gt;0,MAX(DB8,DC8),"")</f>
        <v/>
      </c>
      <c r="W8" s="16" t="str">
        <f>IF(V8="","",IF(V8=DB8,"("&amp;DB$2&amp;")",IF(V8=DC8,"("&amp;DC$2&amp;")")))</f>
        <v/>
      </c>
      <c r="X8" s="13" t="str">
        <f>IF(V8="","",IF(V8=DB8,IF(V8+IF(L8="",0,L8)=SN8,$RN$1,IF(V8+IF(L8="",0,L8)=RF8,$QF$1,IF(V8+IF(L8="",0,L8)=PX8,$OX$1,IF(V8+IF(L8="",0,L8)=OP8,$NP$1,IF(V8+IF(L8="",0,L8)=NH8,$MH$1,IF(V8+IF(L8="",0,L8)=LZ8,$KZ$1,IF(V8+IF(L8="",0,L8)=KR8,$JR$1,IF(V8+IF(L8="",0,L8)=JJ8,$IJ$1,IF(V8+IF(L8="",0,L8)=IB8,$HB$1,IF(V8+IF(L8="",0,L8)=GT8,$FT$1,IF(V8+IF(L8="",0,L8)=FL8,$EL$1,IF(V8+IF(L8="",0,L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$1)))))))))))))))</f>
        <v/>
      </c>
      <c r="Y8" s="42">
        <v>16</v>
      </c>
      <c r="Z8" s="42">
        <v>9.3000000000000007</v>
      </c>
      <c r="AA8" s="42">
        <v>15.4</v>
      </c>
      <c r="AB8" s="42">
        <v>16.425000000000001</v>
      </c>
      <c r="AC8" s="42">
        <v>0</v>
      </c>
      <c r="AD8" s="42">
        <v>15.6</v>
      </c>
      <c r="AE8" s="42">
        <v>9</v>
      </c>
      <c r="AF8" s="42">
        <v>14.4</v>
      </c>
      <c r="AG8" s="42">
        <v>16.164999999999999</v>
      </c>
      <c r="AH8" s="42">
        <v>0</v>
      </c>
      <c r="AI8" s="42"/>
      <c r="AJ8" s="42"/>
      <c r="AK8" s="42"/>
      <c r="AL8" s="42"/>
      <c r="AM8" s="42"/>
      <c r="AN8" s="51"/>
      <c r="AO8" s="74">
        <f>IF(AA8&gt;0,AA8,"")</f>
        <v>15.4</v>
      </c>
      <c r="AP8" s="74">
        <f>IF(AB8&gt;0,AB8,"")</f>
        <v>16.425000000000001</v>
      </c>
      <c r="AQ8" s="76">
        <f>IF(SUM(Y8:AB8)-AC8&gt;0,SUM(Y8:AB8)-AC8,"")</f>
        <v>57.125</v>
      </c>
      <c r="AR8" s="76">
        <f>IF(AF8&gt;0,AF8,"")</f>
        <v>14.4</v>
      </c>
      <c r="AS8" s="76">
        <f>IF(AG8&gt;0,AG8,"")</f>
        <v>16.164999999999999</v>
      </c>
      <c r="AT8" s="76">
        <f>IF(SUM(AD8:AG8)-AH8&gt;0,SUM(AD8:AG8)-AH8,"")</f>
        <v>55.164999999999999</v>
      </c>
      <c r="AU8" s="76">
        <f>IF(AQ8="","",MAX(AQ8,AT8))</f>
        <v>57.125</v>
      </c>
      <c r="AV8" s="76" t="str">
        <f>IF(AK8&gt;0,AK8,"")</f>
        <v/>
      </c>
      <c r="AW8" s="76" t="str">
        <f>IF(AL8&gt;0,AL8,"")</f>
        <v/>
      </c>
      <c r="AX8" s="76" t="str">
        <f>IF(SUM(AI8:AL8)-AM8&gt;0,SUM(AI8:AL8)-AM8,"")</f>
        <v/>
      </c>
      <c r="AY8" s="76">
        <f>IF(SUM(AU8,AX8)&gt;0,SUM(AU8,AX8),"")</f>
        <v>57.125</v>
      </c>
      <c r="AZ8" s="46">
        <v>4.8</v>
      </c>
      <c r="BA8" s="46">
        <v>2.6</v>
      </c>
      <c r="BB8" s="46">
        <v>5.0999999999999996</v>
      </c>
      <c r="BC8" s="46">
        <v>5.335</v>
      </c>
      <c r="BD8" s="46">
        <v>0</v>
      </c>
      <c r="BE8" s="46">
        <v>15.8</v>
      </c>
      <c r="BF8" s="46">
        <v>8.6999999999999993</v>
      </c>
      <c r="BG8" s="46">
        <v>15.4</v>
      </c>
      <c r="BH8" s="46">
        <v>16.405000000000001</v>
      </c>
      <c r="BI8" s="46">
        <v>0</v>
      </c>
      <c r="BJ8" s="46">
        <v>15.7</v>
      </c>
      <c r="BK8" s="46">
        <v>9</v>
      </c>
      <c r="BL8" s="46">
        <v>15.5</v>
      </c>
      <c r="BM8" s="46">
        <v>16.54</v>
      </c>
      <c r="BN8" s="46">
        <v>0</v>
      </c>
      <c r="BO8" s="52"/>
      <c r="BP8" s="75">
        <f>IF(BB8&gt;0,BB8,"")</f>
        <v>5.0999999999999996</v>
      </c>
      <c r="BQ8" s="75">
        <f>IF(BC8&gt;0,BC8,"")</f>
        <v>5.335</v>
      </c>
      <c r="BR8" s="16">
        <f>IF(SUM(AZ8:BC8)-BD8&gt;0,SUM(AZ8:BC8)-BD8,"")</f>
        <v>17.835000000000001</v>
      </c>
      <c r="BS8" s="16">
        <f>IF(BG8&gt;0,BG8,"")</f>
        <v>15.4</v>
      </c>
      <c r="BT8" s="16">
        <f>IF(BH8&gt;0,BH8,"")</f>
        <v>16.405000000000001</v>
      </c>
      <c r="BU8" s="16">
        <f>IF(SUM(BE8:BH8)-BI8&gt;0,SUM(BE8:BH8)-BI8,"")</f>
        <v>56.305</v>
      </c>
      <c r="BV8" s="16">
        <f>IF(BR8="","",MAX(BR8,BU8))</f>
        <v>56.305</v>
      </c>
      <c r="BW8" s="16">
        <f>IF(BL8&gt;0,BL8,"")</f>
        <v>15.5</v>
      </c>
      <c r="BX8" s="16">
        <f>IF(BM8&gt;0,BM8,"")</f>
        <v>16.54</v>
      </c>
      <c r="BY8" s="16">
        <f>IF(SUM(BJ8:BM8)-BN8&gt;0,SUM(BJ8:BM8)-BN8,"")</f>
        <v>56.74</v>
      </c>
      <c r="BZ8" s="16">
        <f>IF(SUM(BV8,BY8)&gt;0,SUM(BV8,BY8),"")</f>
        <v>113.045</v>
      </c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51"/>
      <c r="CQ8" s="74" t="str">
        <f>IF(CC8&gt;0,CC8,"")</f>
        <v/>
      </c>
      <c r="CR8" s="74" t="str">
        <f>IF(CD8&gt;0,CD8,"")</f>
        <v/>
      </c>
      <c r="CS8" s="76" t="str">
        <f>IF(SUM(CA8:CD8)-CE8&gt;0,SUM(CA8:CD8)-CE8,"")</f>
        <v/>
      </c>
      <c r="CT8" s="76" t="str">
        <f>IF(CH8&gt;0,CH8,"")</f>
        <v/>
      </c>
      <c r="CU8" s="76" t="str">
        <f>IF(CI8&gt;0,CI8,"")</f>
        <v/>
      </c>
      <c r="CV8" s="76" t="str">
        <f>IF(SUM(CF8:CI8)-CJ8&gt;0,SUM(CF8:CI8)-CJ8,"")</f>
        <v/>
      </c>
      <c r="CW8" s="76" t="str">
        <f>IF(CS8="","",MAX(CS8,CV8))</f>
        <v/>
      </c>
      <c r="CX8" s="76" t="str">
        <f>IF(CM8&gt;0,CM8,"")</f>
        <v/>
      </c>
      <c r="CY8" s="76" t="str">
        <f>IF(CN8&gt;0,CN8,"")</f>
        <v/>
      </c>
      <c r="CZ8" s="76" t="str">
        <f>IF(SUM(CK8:CN8)-CO8&gt;0,SUM(CK8:CN8)-CO8,"")</f>
        <v/>
      </c>
      <c r="DA8" s="76" t="str">
        <f>IF(SUM(CW8,CZ8)&gt;0,SUM(CW8,CZ8),"")</f>
        <v/>
      </c>
      <c r="DB8" s="87" t="str">
        <f>IF(L8&gt;=0.001,IF(MAX(ED8,FL8,GT8,IB8,JJ8,KR8,LZ8,NH8,OP8,PX8,RF8,SN8)-IF(L8="",0,L8)&gt;0.001,MAX(ED8,FL8,GT8,IB8,JJ8,KR8,LZ8,NH8,OP8,PX8,RF8,SN8)-IF(L8="",0,L8),""),"")</f>
        <v/>
      </c>
      <c r="DC8" s="87" t="str">
        <f>IF(P8&gt;=0.001,IF(MAX(EG8,EJ8,FO8,FR8,GW8,GZ8,IE8,IH8,JM8,JP8,KU8,KX8,MC8,MF8,NK8,NN8,OS8,OV8,QA8,QD8,RI8,RL8,SQ8,ST8)-IF(P8="",0,P8)&gt;0.001,MAX(EG8,EJ8,FO8,FR8,GW8,GZ8,IE8,IH8,JM8,JP8,KU8,KX8,MC8,MF8,NK8,NN8,OS8,OV8,QA8,QD8,RI8,RL8,SQ8,ST8)-IF(P8="",0,P8),""),"")</f>
        <v/>
      </c>
      <c r="DD8" s="25">
        <v>6.4</v>
      </c>
      <c r="DE8" s="25">
        <v>3.4</v>
      </c>
      <c r="DF8" s="25">
        <v>6.5</v>
      </c>
      <c r="DG8" s="25">
        <v>6.89</v>
      </c>
      <c r="DH8" s="25">
        <v>0</v>
      </c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>
        <v>15.4</v>
      </c>
      <c r="DT8" s="25">
        <v>9.3000000000000007</v>
      </c>
      <c r="DU8" s="25">
        <v>14.8</v>
      </c>
      <c r="DV8" s="25">
        <v>16.21</v>
      </c>
      <c r="DW8" s="25">
        <v>0</v>
      </c>
      <c r="DX8" s="76">
        <f>IF(DF8&gt;0,DF8,"")</f>
        <v>6.5</v>
      </c>
      <c r="DY8" s="76">
        <f>IF(DG8&gt;0,DG8,"")</f>
        <v>6.89</v>
      </c>
      <c r="DZ8" s="76">
        <f>IF(SUM(DD8:DG8)-DH8&gt;0,SUM(DD8:DG8)-DH8,"")</f>
        <v>23.19</v>
      </c>
      <c r="EA8" s="76" t="str">
        <f>IF(DK8&gt;0,DK8,"")</f>
        <v/>
      </c>
      <c r="EB8" s="76" t="str">
        <f>IF(DL8&gt;0,DL8,"")</f>
        <v/>
      </c>
      <c r="EC8" s="76" t="str">
        <f>IF(SUM(DI8:DL8)-DM8&gt;0,SUM(DI8:DL8)-DM8,"")</f>
        <v/>
      </c>
      <c r="ED8" s="76">
        <f>IF(MAX(DZ8,EC8)&gt;0,MAX(DZ8,EC8),"")</f>
        <v>23.19</v>
      </c>
      <c r="EE8" s="76" t="str">
        <f>IF(DP8&gt;0,DP8,"")</f>
        <v/>
      </c>
      <c r="EF8" s="76" t="str">
        <f>IF(DQ8&gt;0,DQ8,"")</f>
        <v/>
      </c>
      <c r="EG8" s="76" t="str">
        <f>IF(SUM(DN8:DQ8)-DR8&gt;0,SUM(DN8:DQ8)-DR8,"")</f>
        <v/>
      </c>
      <c r="EH8" s="76">
        <f>IF(DU8&gt;0,DU8,"")</f>
        <v>14.8</v>
      </c>
      <c r="EI8" s="76">
        <f>IF(DV8&gt;0,DV8,"")</f>
        <v>16.21</v>
      </c>
      <c r="EJ8" s="76">
        <f>IF(SUM(DS8:DV8)-DW8&gt;0,SUM(DS8:DV8)-DW8,"")</f>
        <v>55.71</v>
      </c>
      <c r="EK8" s="76">
        <f>IF(SUM(ED8,EJ8)&gt;0,SUM(ED8,EJ8),"")</f>
        <v>78.900000000000006</v>
      </c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16" t="str">
        <f>IF(EN8&gt;0,EN8,"")</f>
        <v/>
      </c>
      <c r="FG8" s="16" t="str">
        <f>IF(EO8&gt;0,EO8,"")</f>
        <v/>
      </c>
      <c r="FH8" s="16" t="str">
        <f>IF(SUM(EL8:EO8)-EP8&gt;0,SUM(EL8:EO8)-EP8,"")</f>
        <v/>
      </c>
      <c r="FI8" s="16" t="str">
        <f>IF(ES8&gt;0,ES8,"")</f>
        <v/>
      </c>
      <c r="FJ8" s="16" t="str">
        <f>IF(ET8&gt;0,ET8,"")</f>
        <v/>
      </c>
      <c r="FK8" s="16" t="str">
        <f>IF(SUM(EQ8:ET8)-EU8&gt;0,SUM(EQ8:ET8)-EU8,"")</f>
        <v/>
      </c>
      <c r="FL8" s="16" t="str">
        <f>IF(MAX(FH8,FK8)&gt;0,MAX(FH8,FK8),"")</f>
        <v/>
      </c>
      <c r="FM8" s="16" t="str">
        <f>IF(EX8&gt;0,EX8,"")</f>
        <v/>
      </c>
      <c r="FN8" s="16" t="str">
        <f>IF(EY8&gt;0,EY8,"")</f>
        <v/>
      </c>
      <c r="FO8" s="16" t="str">
        <f>IF(SUM(EV8:EY8)-EZ8&gt;0,SUM(EV8:EY8)-EZ8,"")</f>
        <v/>
      </c>
      <c r="FP8" s="16" t="str">
        <f>IF(FC8&gt;0,FC8,"")</f>
        <v/>
      </c>
      <c r="FQ8" s="16" t="str">
        <f>IF(FD8&gt;0,FD8,"")</f>
        <v/>
      </c>
      <c r="FR8" s="16" t="str">
        <f>IF(SUM(FA8:FD8)-FE8&gt;0,SUM(FA8:FD8)-FE8,"")</f>
        <v/>
      </c>
      <c r="FS8" s="16" t="str">
        <f>IF(SUM(FL8,FR8)&gt;0,SUM(FL8,FR8),"")</f>
        <v/>
      </c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76" t="str">
        <f>IF(FV8&gt;0,FV8,"")</f>
        <v/>
      </c>
      <c r="GO8" s="76" t="str">
        <f>IF(FW8&gt;0,FW8,"")</f>
        <v/>
      </c>
      <c r="GP8" s="76" t="str">
        <f>IF(SUM(FT8:FW8)-FX8&gt;0,SUM(FT8:FW8)-FX8,"")</f>
        <v/>
      </c>
      <c r="GQ8" s="76" t="str">
        <f>IF(GA8&gt;0,GA8,"")</f>
        <v/>
      </c>
      <c r="GR8" s="76" t="str">
        <f>IF(GB8&gt;0,GB8,"")</f>
        <v/>
      </c>
      <c r="GS8" s="76" t="str">
        <f>IF(SUM(FY8:GB8)-GC8&gt;0,SUM(FY8:GB8)-GC8,"")</f>
        <v/>
      </c>
      <c r="GT8" s="76" t="str">
        <f>IF(MAX(GP8,GS8)&gt;0,MAX(GP8,GS8),"")</f>
        <v/>
      </c>
      <c r="GU8" s="76" t="str">
        <f>IF(GF8&gt;0,GF8,"")</f>
        <v/>
      </c>
      <c r="GV8" s="76" t="str">
        <f>IF(GG8&gt;0,GG8,"")</f>
        <v/>
      </c>
      <c r="GW8" s="76" t="str">
        <f>IF(SUM(GD8:GG8)-GH8&gt;0,SUM(GD8:GG8)-GH8,"")</f>
        <v/>
      </c>
      <c r="GX8" s="76" t="str">
        <f>IF(GK8&gt;0,GK8,"")</f>
        <v/>
      </c>
      <c r="GY8" s="76" t="str">
        <f>IF(GL8&gt;0,GL8,"")</f>
        <v/>
      </c>
      <c r="GZ8" s="76" t="str">
        <f>IF(SUM(GI8:GL8)-GM8&gt;0,SUM(GI8:GL8)-GM8,"")</f>
        <v/>
      </c>
      <c r="HA8" s="76" t="str">
        <f>IF(SUM(GT8,GZ8)&gt;0,SUM(GT8,GZ8),"")</f>
        <v/>
      </c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16" t="str">
        <f>IF(HD8&gt;0,HD8,"")</f>
        <v/>
      </c>
      <c r="HW8" s="16" t="str">
        <f>IF(HE8&gt;0,HE8,"")</f>
        <v/>
      </c>
      <c r="HX8" s="16" t="str">
        <f>IF(SUM(HB8:HE8)-HF8&gt;0,SUM(HB8:HE8)-HF8,"")</f>
        <v/>
      </c>
      <c r="HY8" s="16" t="str">
        <f>IF(HI8&gt;0,HI8,"")</f>
        <v/>
      </c>
      <c r="HZ8" s="16" t="str">
        <f>IF(HJ8&gt;0,HJ8,"")</f>
        <v/>
      </c>
      <c r="IA8" s="16" t="str">
        <f>IF(SUM(HG8:HJ8)-HK8&gt;0,SUM(HG8:HJ8)-HK8,"")</f>
        <v/>
      </c>
      <c r="IB8" s="16" t="str">
        <f>IF(MAX(HX8,IA8)&gt;0,MAX(HX8,IA8),"")</f>
        <v/>
      </c>
      <c r="IC8" s="16" t="str">
        <f>IF(HN8&gt;0,HN8,"")</f>
        <v/>
      </c>
      <c r="ID8" s="16" t="str">
        <f>IF(HO8&gt;0,HO8,"")</f>
        <v/>
      </c>
      <c r="IE8" s="16" t="str">
        <f>IF(SUM(HL8:HO8)-HP8&gt;0,SUM(HL8:HO8)-HP8,"")</f>
        <v/>
      </c>
      <c r="IF8" s="16" t="str">
        <f>IF(HS8&gt;0,HS8,"")</f>
        <v/>
      </c>
      <c r="IG8" s="16" t="str">
        <f>IF(HT8&gt;0,HT8,"")</f>
        <v/>
      </c>
      <c r="IH8" s="16" t="str">
        <f>IF(SUM(HQ8:HT8)-HU8&gt;0,SUM(HQ8:HT8)-HU8,"")</f>
        <v/>
      </c>
      <c r="II8" s="16" t="str">
        <f>IF(SUM(IB8,IH8)&gt;0,SUM(IB8,IH8),"")</f>
        <v/>
      </c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76" t="str">
        <f>IF(IL8&gt;0,IL8,"")</f>
        <v/>
      </c>
      <c r="JE8" s="76" t="str">
        <f>IF(IM8&gt;0,IM8,"")</f>
        <v/>
      </c>
      <c r="JF8" s="76" t="str">
        <f>IF(SUM(IJ8:IM8)-IN8&gt;0,SUM(IJ8:IM8)-IN8,"")</f>
        <v/>
      </c>
      <c r="JG8" s="76" t="str">
        <f>IF(IQ8&gt;0,IQ8,"")</f>
        <v/>
      </c>
      <c r="JH8" s="76" t="str">
        <f>IF(IR8&gt;0,IR8,"")</f>
        <v/>
      </c>
      <c r="JI8" s="76" t="str">
        <f>IF(SUM(IO8:IR8)-IS8&gt;0,SUM(IO8:IR8)-IS8,"")</f>
        <v/>
      </c>
      <c r="JJ8" s="76" t="str">
        <f>IF(MAX(JF8,JI8)&gt;0,MAX(JF8,JI8),"")</f>
        <v/>
      </c>
      <c r="JK8" s="76" t="str">
        <f>IF(IV8&gt;0,IV8,"")</f>
        <v/>
      </c>
      <c r="JL8" s="76" t="str">
        <f>IF(IW8&gt;0,IW8,"")</f>
        <v/>
      </c>
      <c r="JM8" s="76" t="str">
        <f>IF(SUM(IT8:IW8)-IX8&gt;0,SUM(IT8:IW8)-IX8,"")</f>
        <v/>
      </c>
      <c r="JN8" s="76" t="str">
        <f>IF(JA8&gt;0,JA8,"")</f>
        <v/>
      </c>
      <c r="JO8" s="76" t="str">
        <f>IF(JB8&gt;0,JB8,"")</f>
        <v/>
      </c>
      <c r="JP8" s="76" t="str">
        <f>IF(SUM(IY8:JB8)-JC8&gt;0,SUM(IY8:JB8)-JC8,"")</f>
        <v/>
      </c>
      <c r="JQ8" s="76" t="str">
        <f>IF(SUM(JJ8,JP8)&gt;0,SUM(JJ8,JP8),"")</f>
        <v/>
      </c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16" t="str">
        <f>IF(JT8&gt;0,JT8,"")</f>
        <v/>
      </c>
      <c r="KM8" s="16" t="str">
        <f>IF(JU8&gt;0,JU8,"")</f>
        <v/>
      </c>
      <c r="KN8" s="16" t="str">
        <f>IF(SUM(JR8:JU8)-JV8&gt;0,SUM(JR8:JU8)-JV8,"")</f>
        <v/>
      </c>
      <c r="KO8" s="16" t="str">
        <f>IF(JY8&gt;0,JY8,"")</f>
        <v/>
      </c>
      <c r="KP8" s="16" t="str">
        <f>IF(JZ8&gt;0,JZ8,"")</f>
        <v/>
      </c>
      <c r="KQ8" s="16" t="str">
        <f>IF(SUM(JW8:JZ8)-KA8&gt;0,SUM(JW8:JZ8)-KA8,"")</f>
        <v/>
      </c>
      <c r="KR8" s="16" t="str">
        <f>IF(MAX(KN8,KQ8)&gt;0,MAX(KN8,KQ8),"")</f>
        <v/>
      </c>
      <c r="KS8" s="16" t="str">
        <f>IF(KD8&gt;0,KD8,"")</f>
        <v/>
      </c>
      <c r="KT8" s="16" t="str">
        <f>IF(KE8&gt;0,KE8,"")</f>
        <v/>
      </c>
      <c r="KU8" s="16" t="str">
        <f>IF(SUM(KB8:KE8)-KF8&gt;0,SUM(KB8:KE8)-KF8,"")</f>
        <v/>
      </c>
      <c r="KV8" s="16" t="str">
        <f>IF(KI8&gt;0,KI8,"")</f>
        <v/>
      </c>
      <c r="KW8" s="16" t="str">
        <f>IF(KJ8&gt;0,KJ8,"")</f>
        <v/>
      </c>
      <c r="KX8" s="16" t="str">
        <f>IF(SUM(KG8:KJ8)-KK8&gt;0,SUM(KG8:KJ8)-KK8,"")</f>
        <v/>
      </c>
      <c r="KY8" s="16" t="str">
        <f>IF(SUM(KR8,KX8)&gt;0,SUM(KR8,KX8),"")</f>
        <v/>
      </c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76" t="str">
        <f>IF(LB8&gt;0,LB8,"")</f>
        <v/>
      </c>
      <c r="LU8" s="76" t="str">
        <f>IF(LC8&gt;0,LC8,"")</f>
        <v/>
      </c>
      <c r="LV8" s="76" t="str">
        <f>IF(SUM(KZ8:LC8)-LD8&gt;0,SUM(KZ8:LC8)-LD8,"")</f>
        <v/>
      </c>
      <c r="LW8" s="76" t="str">
        <f>IF(LG8&gt;0,LG8,"")</f>
        <v/>
      </c>
      <c r="LX8" s="76" t="str">
        <f>IF(LH8&gt;0,LH8,"")</f>
        <v/>
      </c>
      <c r="LY8" s="76" t="str">
        <f>IF(SUM(LE8:LH8)-LI8&gt;0,SUM(LE8:LH8)-LI8,"")</f>
        <v/>
      </c>
      <c r="LZ8" s="76" t="str">
        <f>IF(MAX(LV8,LY8)&gt;0,MAX(LV8,LY8),"")</f>
        <v/>
      </c>
      <c r="MA8" s="76" t="str">
        <f>IF(LL8&gt;0,LL8,"")</f>
        <v/>
      </c>
      <c r="MB8" s="76" t="str">
        <f>IF(LM8&gt;0,LM8,"")</f>
        <v/>
      </c>
      <c r="MC8" s="76" t="str">
        <f>IF(SUM(LJ8:LM8)-LN8&gt;0,SUM(LJ8:LM8)-LN8,"")</f>
        <v/>
      </c>
      <c r="MD8" s="76" t="str">
        <f>IF(LQ8&gt;0,LQ8,"")</f>
        <v/>
      </c>
      <c r="ME8" s="76" t="str">
        <f>IF(LR8&gt;0,LR8,"")</f>
        <v/>
      </c>
      <c r="MF8" s="76" t="str">
        <f>IF(SUM(LO8:LR8)-LS8&gt;0,SUM(LO8:LR8)-LS8,"")</f>
        <v/>
      </c>
      <c r="MG8" s="76" t="str">
        <f>IF(SUM(LZ8,MF8)&gt;0,SUM(LZ8,MF8),"")</f>
        <v/>
      </c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16" t="str">
        <f>IF(MJ8&gt;0,MJ8,"")</f>
        <v/>
      </c>
      <c r="NC8" s="16" t="str">
        <f>IF(MK8&gt;0,MK8,"")</f>
        <v/>
      </c>
      <c r="ND8" s="16" t="str">
        <f>IF(SUM(MH8:MK8)-ML8&gt;0,SUM(MH8:MK8)-ML8,"")</f>
        <v/>
      </c>
      <c r="NE8" s="16" t="str">
        <f>IF(MO8&gt;0,MO8,"")</f>
        <v/>
      </c>
      <c r="NF8" s="16" t="str">
        <f>IF(MP8&gt;0,MP8,"")</f>
        <v/>
      </c>
      <c r="NG8" s="16" t="str">
        <f>IF(SUM(MM8:MP8)-MQ8&gt;0,SUM(MM8:MP8)-MQ8,"")</f>
        <v/>
      </c>
      <c r="NH8" s="16" t="str">
        <f>IF(MAX(ND8,NG8)&gt;0,MAX(ND8,NG8),"")</f>
        <v/>
      </c>
      <c r="NI8" s="16" t="str">
        <f>IF(MT8&gt;0,MT8,"")</f>
        <v/>
      </c>
      <c r="NJ8" s="16" t="str">
        <f>IF(MU8&gt;0,MU8,"")</f>
        <v/>
      </c>
      <c r="NK8" s="16" t="str">
        <f>IF(SUM(MR8:MU8)-MV8&gt;0,SUM(MR8:MU8)-MV8,"")</f>
        <v/>
      </c>
      <c r="NL8" s="16" t="str">
        <f>IF(MY8&gt;0,MY8,"")</f>
        <v/>
      </c>
      <c r="NM8" s="16" t="str">
        <f>IF(MZ8&gt;0,MZ8,"")</f>
        <v/>
      </c>
      <c r="NN8" s="16" t="str">
        <f>IF(SUM(MW8:MZ8)-NA8&gt;0,SUM(MW8:MZ8)-NA8,"")</f>
        <v/>
      </c>
      <c r="NO8" s="16" t="str">
        <f>IF(SUM(NH8,NN8)&gt;0,SUM(NH8,NN8),"")</f>
        <v/>
      </c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76" t="str">
        <f>IF(NR8&gt;0,NR8,"")</f>
        <v/>
      </c>
      <c r="OK8" s="76" t="str">
        <f>IF(NS8&gt;0,NS8,"")</f>
        <v/>
      </c>
      <c r="OL8" s="76" t="str">
        <f>IF(SUM(NP8:NS8)-NT8&gt;0,SUM(NP8:NS8)-NT8,"")</f>
        <v/>
      </c>
      <c r="OM8" s="76" t="str">
        <f>IF(NW8&gt;0,NW8,"")</f>
        <v/>
      </c>
      <c r="ON8" s="76" t="str">
        <f>IF(NX8&gt;0,NX8,"")</f>
        <v/>
      </c>
      <c r="OO8" s="76" t="str">
        <f>IF(SUM(NU8:NX8)-NY8&gt;0,SUM(NU8:NX8)-NY8,"")</f>
        <v/>
      </c>
      <c r="OP8" s="76" t="str">
        <f>IF(MAX(OL8,OO8)&gt;0,MAX(OL8,OO8),"")</f>
        <v/>
      </c>
      <c r="OQ8" s="76" t="str">
        <f>IF(OB8&gt;0,OB8,"")</f>
        <v/>
      </c>
      <c r="OR8" s="76" t="str">
        <f>IF(OC8&gt;0,OC8,"")</f>
        <v/>
      </c>
      <c r="OS8" s="76" t="str">
        <f>IF(SUM(NZ8:OC8)-OD8&gt;0,SUM(NZ8:OC8)-OD8,"")</f>
        <v/>
      </c>
      <c r="OT8" s="76" t="str">
        <f>IF(OG8&gt;0,OG8,"")</f>
        <v/>
      </c>
      <c r="OU8" s="76" t="str">
        <f>IF(OH8&gt;0,OH8,"")</f>
        <v/>
      </c>
      <c r="OV8" s="76" t="str">
        <f>IF(SUM(OE8:OH8)-OI8&gt;0,SUM(OE8:OH8)-OI8,"")</f>
        <v/>
      </c>
      <c r="OW8" s="76" t="str">
        <f>IF(SUM(OP8,OV8)&gt;0,SUM(OP8,OV8),"")</f>
        <v/>
      </c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16" t="str">
        <f>IF(OZ8&gt;0,OZ8,"")</f>
        <v/>
      </c>
      <c r="PS8" s="16" t="str">
        <f>IF(PA8&gt;0,PA8,"")</f>
        <v/>
      </c>
      <c r="PT8" s="16" t="str">
        <f>IF(SUM(OX8:PA8)-PB8&gt;0,SUM(OX8:PA8)-PB8,"")</f>
        <v/>
      </c>
      <c r="PU8" s="16" t="str">
        <f>IF(PE8&gt;0,PE8,"")</f>
        <v/>
      </c>
      <c r="PV8" s="16" t="str">
        <f>IF(PF8&gt;0,PF8,"")</f>
        <v/>
      </c>
      <c r="PW8" s="16" t="str">
        <f>IF(SUM(PC8:PF8)-PG8&gt;0,SUM(PC8:PF8)-PG8,"")</f>
        <v/>
      </c>
      <c r="PX8" s="16" t="str">
        <f>IF(MAX(PT8,PW8)&gt;0,MAX(PT8,PW8),"")</f>
        <v/>
      </c>
      <c r="PY8" s="16" t="str">
        <f>IF(PJ8&gt;0,PJ8,"")</f>
        <v/>
      </c>
      <c r="PZ8" s="16" t="str">
        <f>IF(PK8&gt;0,PK8,"")</f>
        <v/>
      </c>
      <c r="QA8" s="16" t="str">
        <f>IF(SUM(PH8:PK8)-PL8&gt;0,SUM(PH8:PK8)-PL8,"")</f>
        <v/>
      </c>
      <c r="QB8" s="16" t="str">
        <f>IF(PO8&gt;0,PO8,"")</f>
        <v/>
      </c>
      <c r="QC8" s="16" t="str">
        <f>IF(PP8&gt;0,PP8,"")</f>
        <v/>
      </c>
      <c r="QD8" s="16" t="str">
        <f>IF(SUM(PM8:PP8)-PQ8&gt;0,SUM(PM8:PP8)-PQ8,"")</f>
        <v/>
      </c>
      <c r="QE8" s="16" t="str">
        <f>IF(SUM(PX8,QD8)&gt;0,SUM(PX8,QD8),"")</f>
        <v/>
      </c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76" t="str">
        <f>IF(QH8&gt;0,QH8,"")</f>
        <v/>
      </c>
      <c r="RA8" s="76" t="str">
        <f>IF(QI8&gt;0,QI8,"")</f>
        <v/>
      </c>
      <c r="RB8" s="76" t="str">
        <f>IF(SUM(QF8:QI8)-QJ8&gt;0,SUM(QF8:QI8)-QJ8,"")</f>
        <v/>
      </c>
      <c r="RC8" s="76" t="str">
        <f>IF(QM8&gt;0,QM8,"")</f>
        <v/>
      </c>
      <c r="RD8" s="76" t="str">
        <f>IF(QN8&gt;0,QN8,"")</f>
        <v/>
      </c>
      <c r="RE8" s="76" t="str">
        <f>IF(SUM(QK8:QN8)-QO8&gt;0,SUM(QK8:QN8)-QO8,"")</f>
        <v/>
      </c>
      <c r="RF8" s="76" t="str">
        <f>IF(MAX(RB8,RE8)&gt;0,MAX(RB8,RE8),"")</f>
        <v/>
      </c>
      <c r="RG8" s="76" t="str">
        <f>IF(QR8&gt;0,QR8,"")</f>
        <v/>
      </c>
      <c r="RH8" s="76" t="str">
        <f>IF(QS8&gt;0,QS8,"")</f>
        <v/>
      </c>
      <c r="RI8" s="76" t="str">
        <f>IF(SUM(QP8:QS8)-QT8&gt;0,SUM(QP8:QS8)-QT8,"")</f>
        <v/>
      </c>
      <c r="RJ8" s="76" t="str">
        <f>IF(QW8&gt;0,QW8,"")</f>
        <v/>
      </c>
      <c r="RK8" s="76" t="str">
        <f>IF(QX8&gt;0,QX8,"")</f>
        <v/>
      </c>
      <c r="RL8" s="76" t="str">
        <f>IF(SUM(QU8:QX8)-QY8&gt;0,SUM(QU8:QX8)-QY8,"")</f>
        <v/>
      </c>
      <c r="RM8" s="76" t="str">
        <f>IF(SUM(RF8,RL8)&gt;0,SUM(RF8,RL8),"")</f>
        <v/>
      </c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16" t="str">
        <f>IF(RP8&gt;0,RP8,"")</f>
        <v/>
      </c>
      <c r="SI8" s="16" t="str">
        <f>IF(RQ8&gt;0,RQ8,"")</f>
        <v/>
      </c>
      <c r="SJ8" s="16" t="str">
        <f>IF(SUM(RN8:RQ8)-RR8&gt;0,SUM(RN8:RQ8)-RR8,"")</f>
        <v/>
      </c>
      <c r="SK8" s="16" t="str">
        <f>IF(RU8&gt;0,RU8,"")</f>
        <v/>
      </c>
      <c r="SL8" s="16" t="str">
        <f>IF(RV8&gt;0,RV8,"")</f>
        <v/>
      </c>
      <c r="SM8" s="16" t="str">
        <f>IF(SUM(RS8:RV8)-RW8&gt;0,SUM(RS8:RV8)-RW8,"")</f>
        <v/>
      </c>
      <c r="SN8" s="16" t="str">
        <f>IF(MAX(SJ8,SM8)&gt;0,MAX(SJ8,SM8),"")</f>
        <v/>
      </c>
      <c r="SO8" s="16" t="str">
        <f>IF(RZ8&gt;0,RZ8,"")</f>
        <v/>
      </c>
      <c r="SP8" s="16" t="str">
        <f>IF(SA8&gt;0,SA8,"")</f>
        <v/>
      </c>
      <c r="SQ8" s="16" t="str">
        <f>IF(SUM(RX8:SA8)-SB8&gt;0,SUM(RX8:SA8)-SB8,"")</f>
        <v/>
      </c>
      <c r="SR8" s="16" t="str">
        <f>IF(SE8&gt;0,SE8,"")</f>
        <v/>
      </c>
      <c r="SS8" s="16" t="str">
        <f>IF(SF8&gt;0,SF8,"")</f>
        <v/>
      </c>
      <c r="ST8" s="16" t="str">
        <f>IF(SUM(SC8:SF8)-SG8&gt;0,SUM(SC8:SF8)-SG8,"")</f>
        <v/>
      </c>
      <c r="SU8" s="16" t="str">
        <f>IF(SUM(SN8,ST8)&gt;0,SUM(SN8,ST8),"")</f>
        <v/>
      </c>
      <c r="SV8" s="42">
        <f>IF($CP8="P",CA8,(CA8+AZ8)/2)</f>
        <v>2.4</v>
      </c>
      <c r="SW8" s="42">
        <f>IF($CP8="P",CB8,(CB8+BA8)/2)</f>
        <v>1.3</v>
      </c>
      <c r="SX8" s="42">
        <f>IF($CP8="P",CC8,(CC8+BB8)/2)</f>
        <v>2.5499999999999998</v>
      </c>
      <c r="SY8" s="42">
        <f>IF($CP8="P",CD8,(CD8+BC8)/2)</f>
        <v>2.6675</v>
      </c>
      <c r="SZ8" s="42">
        <f>IF($CP8="P",CE8,(CE8+BD8)/2)</f>
        <v>0</v>
      </c>
      <c r="TA8" s="42">
        <f>IF($CP8="P",CF8,(CF8+BE8)/2)</f>
        <v>7.9</v>
      </c>
      <c r="TB8" s="42">
        <f>IF($CP8="P",CG8,(CG8+BF8)/2)</f>
        <v>4.3499999999999996</v>
      </c>
      <c r="TC8" s="42">
        <f>IF($CP8="P",CH8,(CH8+BG8)/2)</f>
        <v>7.7</v>
      </c>
      <c r="TD8" s="42">
        <f>IF($CP8="P",CI8,(CI8+BH8)/2)</f>
        <v>8.2025000000000006</v>
      </c>
      <c r="TE8" s="42">
        <f>IF($CP8="P",CJ8,(CJ8+BI8)/2)</f>
        <v>0</v>
      </c>
      <c r="TF8" s="42">
        <f>IF($CP8="P",CK8,(CK8+BJ8)/2)</f>
        <v>7.85</v>
      </c>
      <c r="TG8" s="42">
        <f>IF($CP8="P",CL8,(CL8+BK8)/2)</f>
        <v>4.5</v>
      </c>
      <c r="TH8" s="42">
        <f>IF($CP8="P",CM8,(CM8+BL8)/2)</f>
        <v>7.75</v>
      </c>
      <c r="TI8" s="42">
        <f>IF($CP8="P",CN8,(CN8+BM8)/2)</f>
        <v>8.27</v>
      </c>
      <c r="TJ8" s="42">
        <f>IF($CP8="P",CO8,(CO8+BN8)/2)</f>
        <v>0</v>
      </c>
      <c r="TK8" s="51" t="s">
        <v>61</v>
      </c>
      <c r="TL8" s="76">
        <f>IF(SX8&gt;0,SX8,"")</f>
        <v>2.5499999999999998</v>
      </c>
      <c r="TM8" s="76">
        <f>IF(SY8&gt;0,SY8,"")</f>
        <v>2.6675</v>
      </c>
      <c r="TN8" s="76">
        <f>IF(SUM(SV8:SY8)-SZ8&gt;0,SUM(SV8:SY8)-SZ8,"")</f>
        <v>8.9175000000000004</v>
      </c>
      <c r="TO8" s="76">
        <f>IF(TC8&gt;0,TC8,"")</f>
        <v>7.7</v>
      </c>
      <c r="TP8" s="76">
        <f>IF(TD8&gt;0,TD8,"")</f>
        <v>8.2025000000000006</v>
      </c>
      <c r="TQ8" s="76">
        <f>IF(SUM(TA8:TD8)-TE8&gt;0,SUM(TA8:TD8)-TE8,"")</f>
        <v>28.1525</v>
      </c>
      <c r="TR8" s="76">
        <f>IF(MAX(TN8,TQ8)&gt;0,MAX(TN8,TQ8),"")</f>
        <v>28.1525</v>
      </c>
      <c r="TS8" s="76">
        <f>IF(TH8&gt;0,TH8,"")</f>
        <v>7.75</v>
      </c>
      <c r="TT8" s="76">
        <f>IF(TI8&gt;0,TI8,"")</f>
        <v>8.27</v>
      </c>
      <c r="TU8" s="76">
        <f>IF(SUM(TF8:TI8)-TJ8&gt;0,SUM(TF8:TI8)-TJ8,"")</f>
        <v>28.37</v>
      </c>
      <c r="TV8" s="76">
        <f>IF(SUM(TR8,TU8)&gt;0,SUM(TR8,TU8),"")</f>
        <v>56.522500000000001</v>
      </c>
    </row>
    <row r="9" spans="1:542" x14ac:dyDescent="0.2">
      <c r="A9" s="5" cm="1">
        <f t="array" ref="A9">IF(AND(F9&lt;&gt;"",G9&lt;&gt;""),SUMPRODUCT((F$4:F$23&lt;&gt;"")*(G$4:G$23&lt;&gt;"")*(E$4:E$23&gt;E9))+1,IF(G9&lt;&gt;"",SUMPRODUCT((H$4:H$23="No DD")*(E$4:E$23&gt;E9))+1+SUMPRODUCT((F$4:F$23&lt;&gt;"")*(G$4:G$23&lt;&gt;"")),""))</f>
        <v>6</v>
      </c>
      <c r="B9" s="6" t="s">
        <v>106</v>
      </c>
      <c r="C9" s="7" t="s">
        <v>3</v>
      </c>
      <c r="D9" s="5">
        <v>1988</v>
      </c>
      <c r="E9" s="14">
        <f>SUM(J9:V9)+SUM(J9:T9)*0.0000001+SUM(J9)*0.0000000000001</f>
        <v>250.54502505450552</v>
      </c>
      <c r="F9" s="3" t="str">
        <f>IF(OR(AND(AO9&gt;=AY$25,AO9&lt;&gt;"",AQ9&gt;=AY$29,AQ9&lt;&gt;"",AN9=""),AND(AR9&gt;=AY$25,AR9&lt;&gt;"",AT9&gt;=AY$29,AT9&lt;&gt;"",AN9=""),AND(AV9&gt;=AY$25,AV9&lt;&gt;"",AX9&gt;=AY$29,AX9&lt;&gt;"",AN9=""),AND(BP9&gt;=BZ$25,BP9&lt;&gt;"",BR9&gt;=BZ$29,BR9&lt;&gt;"",BO9=""),AND(BS9&gt;=BZ$25,BS9&lt;&gt;"",BU9&gt;=BZ$29,BU9&lt;&gt;"",BO9=""),AND(BW9&gt;=BZ$25,BW9&lt;&gt;"",BY9&gt;=BZ$29,BY9&lt;&gt;"",BO9=""),AND(CQ9&gt;=DA$25,CQ9&lt;&gt;"",CS9&gt;=DA$29,CS9&lt;&gt;"",CP9=""),AND(CT9&gt;=DA$25,CT9&lt;&gt;"",CV9&gt;=DA$29,CV9&lt;&gt;"",CP9=""),AND(CX9&gt;=DA$25,CX9&lt;&gt;"",CZ9&gt;=DA$29,CZ9&lt;&gt;"",CP9=""),AND(DX9&gt;=EK$25,DX9&lt;&gt;"",DZ9&gt;=EK$29,DZ9&lt;&gt;""),AND(EA9&gt;=EK$25,EA9&lt;&gt;"",EC9&gt;=EK$29,EC9&lt;&gt;""),AND(EE9&gt;=EK$25,EE9&lt;&gt;"",EG9&gt;=EK$29,EG9&lt;&gt;""),AND(EH9&gt;=EK$25,EH9&lt;&gt;"",EJ9&gt;=EK$29,EJ9&lt;&gt;""),AND(FF9&gt;=FS$25,FF9&lt;&gt;"",FH9&gt;=FS$29,FH9&lt;&gt;""),AND(FI9&gt;=FS$25,FI9&lt;&gt;"",FK9&gt;=FS$29,FK9&lt;&gt;""),AND(FM9&gt;=FS$25,FM9&lt;&gt;"",FO9&gt;=FS$29,FO9&lt;&gt;""),AND(FP9&gt;=FS$25,FP9&lt;&gt;"",FR9&gt;=FS$29,FR9&lt;&gt;""),AND(GN9&gt;=HA$25,GN9&lt;&gt;"",GP9&gt;=HA$29,GP9&lt;&gt;""),AND(GQ9&gt;=HA$25,GQ9&lt;&gt;"",GS9&gt;=HA$29,GS9&lt;&gt;""),AND(GU9&gt;=HA$25,GU9&lt;&gt;"",GW9&gt;=HA$29,GW9&lt;&gt;""),AND(GX9&gt;=HA$25,GX9&lt;&gt;"",GZ9&gt;=HA$29,GZ9&lt;&gt;""),AND(HV9&gt;=II$25,HV9&lt;&gt;"",HX9&gt;=II$29,HX9&lt;&gt;""),AND(HY9&gt;=II$25,HY9&lt;&gt;"",IA9&gt;=II$29,IA9&lt;&gt;""),AND(IC9&gt;=II$25,IC9&lt;&gt;"",IE9&gt;=II$29,IE9&lt;&gt;""),AND(IF9&gt;=II$25,IF9&lt;&gt;"",IH9&gt;=II$29,IH9&lt;&gt;""),AND(JD9&gt;=JQ$25,JD9&lt;&gt;"",JF9&gt;=JQ$29,JF9&lt;&gt;""),AND(JG9&gt;=JQ$25,JG9&lt;&gt;"",JI9&gt;=JQ$29,JI9&lt;&gt;""),AND(JK9&gt;=JQ$25,JK9&lt;&gt;"",JM9&gt;=JQ$29,JM9&lt;&gt;""),AND(JN9&gt;=JQ$25,JN9&lt;&gt;"",JP9&gt;=JQ$29,JP9&lt;&gt;""),AND(KL9&gt;=KY$25,KL9&lt;&gt;"",KN9&gt;=KY$29,KN9&lt;&gt;""),AND(KO9&gt;=KY$25,KO9&lt;&gt;"",KQ9&gt;=KY$29,KQ9&lt;&gt;""),AND(KS9&gt;=KY$25,KS9&lt;&gt;"",KU9&gt;=KY$29,KU9&lt;&gt;""),AND(KV9&gt;=KY$25,KV9&lt;&gt;"",KX9&gt;=KY$29,KX9&lt;&gt;""),AND(LT9&gt;=MG$25,LT9&lt;&gt;"",LV9&gt;=MG$29,LV9&lt;&gt;""),AND(LW9&gt;=MG$25,LW9&lt;&gt;"",LY9&gt;=MG$29,LY9&lt;&gt;""),AND(MA9&gt;=MG$25,MA9&lt;&gt;"",MC9&gt;=MG$29,MC9&lt;&gt;""),AND(MD9&gt;=MG$25,MD9&lt;&gt;"",MF9&gt;=MG$29,MF9&lt;&gt;""),AND(NB9&gt;=NO$25,NB9&lt;&gt;"",ND9&gt;=NO$29,ND9&lt;&gt;""),AND(NE9&gt;=NO$25,NE9&lt;&gt;"",NG9&gt;=NO$29,NG9&lt;&gt;""),AND(NI9&gt;=NO$25,NI9&lt;&gt;"",NK9&gt;=NO$29,NK9&lt;&gt;""),AND(NL9&gt;=NO$25,NL9&lt;&gt;"",NN9&gt;=NO$29,NN9&lt;&gt;""),AND(OJ9&gt;=OW$25,OJ9&lt;&gt;"",OL9&gt;=OW$29,OL9&lt;&gt;""),AND(OM9&gt;=OW$25,OM9&lt;&gt;"",OO9&gt;=OW$29,OO9&lt;&gt;""),AND(OQ9&gt;=OW$25,OQ9&lt;&gt;"",OS9&gt;=OW$29,OS9&lt;&gt;""),AND(OT9&gt;=OW$25,OT9&lt;&gt;"",OV9&gt;=OW$29,OV9&lt;&gt;""),AND(PR9&gt;=QE$25,PR9&lt;&gt;"",PT9&gt;=QE$29,PT9&lt;&gt;""),AND(PU9&gt;=QE$25,PU9&lt;&gt;"",PW9&gt;=QE$29,PW9&lt;&gt;""),AND(PY9&gt;=QE$25,PY9&lt;&gt;"",QA9&gt;=QE$29,QA9&lt;&gt;""),AND(QB9&gt;=QE$25,QB9&lt;&gt;"",QD9&gt;=QE$29,QD9&lt;&gt;""),AND(QZ9&gt;=RM$25,QZ9&lt;&gt;"",RB9&gt;=RM$29,RB9&lt;&gt;""),AND(RC9&gt;=RM$25,RC9&lt;&gt;"",RE9&gt;=RM$29,RE9&lt;&gt;""),AND(RG9&gt;=RM$25,RG9&lt;&gt;"",RI9&gt;=RM$29,RI9&lt;&gt;""),AND(RJ9&gt;=RM$25,RJ9&lt;&gt;"",RL9&gt;=RM$29,RL9&lt;&gt;""),AND(SH9&gt;=SU$25,SH9&lt;&gt;"",SJ9&gt;=SU$29,SJ9&lt;&gt;""),AND(SK9&gt;=SU$25,SK9&lt;&gt;"",SM9&gt;=SU$29,SM9&lt;&gt;""),AND(SO9&gt;=SU$25,SO9&lt;&gt;"",SQ9&gt;=SU$29,SQ9&lt;&gt;""),AND(SR9&gt;=SU$25,SR9&lt;&gt;"",ST9&gt;=SU$29,ST9&lt;&gt;"")),"P","")</f>
        <v>P</v>
      </c>
      <c r="G9" s="3" t="str">
        <f>IF(OR(AND(AQ9&gt;=AY$29,AQ9&lt;&gt;"",AN9=""),AND(AT9&gt;=AY$29,AT9&lt;&gt;"",AN9=""),AND(AX9&gt;=AY$29,AX9&lt;&gt;"",AN9=""),AND(BR9&gt;=BZ$29,BR9&lt;&gt;"",BO9=""),AND(BU9&gt;=BZ$29,BU9&lt;&gt;"",BO9=""),AND(BY9&gt;=BZ$29,BY9&lt;&gt;"",BO9=""),AND(CS9&gt;=DA$29,CS9&lt;&gt;"",CP9=""),AND(CV9&gt;=DA$29,CV9&lt;&gt;"",CP9=""),AND(CZ9&gt;=DA$29,CZ9&lt;&gt;"",CP9=""),AND(DZ9&gt;=EK$29,DZ9&lt;&gt;""),AND(EC9&gt;=EK$29,EC9&lt;&gt;""),AND(EG9&gt;=EK$29,EG9&lt;&gt;""),AND(EJ9&gt;=EK$29,EJ9&lt;&gt;""),AND(FH9&gt;=FS$29,FH9&lt;&gt;""),AND(FK9&gt;=FS$29,FK9&lt;&gt;""),AND(FO9&gt;=FS$29,FO9&lt;&gt;""),AND(FR9&gt;=FS$29,FR9&lt;&gt;""),AND(GP9&gt;=HA$29,GP9&lt;&gt;""),AND(GS9&gt;=HA$29,GS9&lt;&gt;""),AND(GW9&gt;=HA$29,GW9&lt;&gt;""),AND(GZ9&gt;=HA$29,GZ9&lt;&gt;""),AND(HX9&gt;=II$29,HX9&lt;&gt;""),AND(IA9&gt;=II$29,IA9&lt;&gt;""),AND(IE9&gt;=II$29,IE9&lt;&gt;""),AND(IH9&gt;=II$29,IH9&lt;&gt;""),AND(JF9&gt;=JQ$29,JF9&lt;&gt;""),AND(JI9&gt;=JQ$29,JI9&lt;&gt;""),AND(JM9&gt;=JQ$29,JM9&lt;&gt;""),AND(JP9&gt;=JQ$29,JP9&lt;&gt;""),AND(KN9&gt;=KY$29,KN9&lt;&gt;""),AND(KQ9&gt;=KY$29,KQ9&lt;&gt;""),AND(KU9&gt;=KY$29,KU9&lt;&gt;""),AND(KX9&gt;=KY$29,KX9&lt;&gt;""),AND(LV9&gt;=MG$29,LV9&lt;&gt;""),AND(LY9&gt;=MG$29,LY9&lt;&gt;""),AND(MC9&gt;=MG$29,MC9&lt;&gt;""),AND(MF9&gt;=MG$29,MF9&lt;&gt;""),AND(ND9&gt;=NO$29,ND9&lt;&gt;""),AND(NG9&gt;=NO$29,NG9&lt;&gt;""),AND(NK9&gt;=NO$29,NK9&lt;&gt;""),AND(NN9&gt;=NO$29,NN9&lt;&gt;""),AND(OL9&gt;=OW$29,OL9&lt;&gt;""),AND(OO9&gt;=OW$29,OO9&lt;&gt;""),AND(OS9&gt;=OW$29,OS9&lt;&gt;""),AND(OV9&gt;=OW$29,OV9&lt;&gt;""),AND(PT9&gt;=QE$29,PT9&lt;&gt;""),AND(PW9&gt;=QE$29,PW9&lt;&gt;""),AND(QA9&gt;=QE$29,QA9&lt;&gt;""),AND(QD9&gt;=QE$29,QD9&lt;&gt;""),AND(RB9&gt;=RM$29,RB9&lt;&gt;""),AND(RE9&gt;=RM$29,RE9&lt;&gt;""),AND(RI9&gt;=RM$29,RI9&lt;&gt;""),AND(RL9&gt;=RM$29,RL9&lt;&gt;""),AND(SJ9&gt;=SU$29,SJ9&lt;&gt;""),AND(SM9&gt;=SU$29,SM9&lt;&gt;""),AND(SQ9&gt;=SU$29,SQ9&lt;&gt;""),AND(ST9&gt;=SU$29,ST9&lt;&gt;"")),"P","")</f>
        <v>P</v>
      </c>
      <c r="H9" s="70" t="str">
        <f>IF(AND(G9="P",F9=""),"No DD",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),"Merit",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X9&gt;=EK$27,DX9&lt;&gt;"",DZ9&gt;=EK$31,DZ9&lt;&gt;""),AND(EA9&gt;=EK$27,EA9&lt;&gt;"",EC9&gt;=EK$31,EC9&lt;&gt;""),AND(EE9&gt;=EK$27,EE9&lt;&gt;"",EG9&gt;=EK$31,EG9&lt;&gt;""),AND(EH9&gt;=EK$27,EH9&lt;&gt;"",EJ9&gt;=EK$31,EJ9&lt;&gt;""),AND(FF9&gt;=FS$27,FF9&lt;&gt;"",FH9&gt;=FS$31,FH9&lt;&gt;""),AND(FI9&gt;=FS$27,FI9&lt;&gt;"",FK9&gt;=FS$31,FK9&lt;&gt;""),AND(FM9&gt;=FS$27,FM9&lt;&gt;"",FO9&gt;=FS$31,FO9&lt;&gt;""),AND(FP9&gt;=FS$27,FP9&lt;&gt;"",FR9&gt;=FS$31,FR9&lt;&gt;""),AND(GN9&gt;=HA$27,GN9&lt;&gt;"",GP9&gt;=HA$31,GP9&lt;&gt;""),AND(GQ9&gt;=HA$27,GQ9&lt;&gt;"",GS9&gt;=HA$31,GS9&lt;&gt;""),AND(GU9&gt;=HA$27,GU9&lt;&gt;"",GW9&gt;=HA$31,GW9&lt;&gt;""),AND(GX9&gt;=HA$27,GX9&lt;&gt;"",GZ9&gt;=HA$31,GZ9&lt;&gt;""),AND(HV9&gt;=II$27,HV9&lt;&gt;"",HX9&gt;=II$31,HX9&lt;&gt;""),AND(HY9&gt;=II$27,HY9&lt;&gt;"",IA9&gt;=II$31,IA9&lt;&gt;""),AND(IC9&gt;=II$27,IC9&lt;&gt;"",IE9&gt;=II$31,IE9&lt;&gt;""),AND(IF9&gt;=II$27,IF9&lt;&gt;"",IH9&gt;=II$31,IH9&lt;&gt;""),AND(JD9&gt;=JQ$27,JD9&lt;&gt;"",JF9&gt;=JQ$31,JF9&lt;&gt;""),AND(JG9&gt;=JQ$27,JG9&lt;&gt;"",JI9&gt;=JQ$31,JI9&lt;&gt;""),AND(JK9&gt;=JQ$27,JK9&lt;&gt;"",JM9&gt;=JQ$31,JM9&lt;&gt;""),AND(JN9&gt;=JQ$27,JN9&lt;&gt;"",JP9&gt;=JQ$31,JP9&lt;&gt;""),AND(KL9&gt;=KY$27,KL9&lt;&gt;"",KN9&gt;=KY$31,KN9&lt;&gt;""),AND(KO9&gt;=KY$27,KO9&lt;&gt;"",KQ9&gt;=KY$31,KQ9&lt;&gt;""),AND(KS9&gt;=KY$27,KS9&lt;&gt;"",KU9&gt;=KY$31,KU9&lt;&gt;""),AND(KV9&gt;=KY$27,KV9&lt;&gt;"",KX9&gt;=KY$31,KX9&lt;&gt;""),AND(LT9&gt;=MG$27,LT9&lt;&gt;"",LV9&gt;=MG$31,LV9&lt;&gt;""),AND(LW9&gt;=MG$27,LW9&lt;&gt;"",LY9&gt;=MG$31,LY9&lt;&gt;""),AND(MA9&gt;=MG$27,MA9&lt;&gt;"",MC9&gt;=MG$31,MC9&lt;&gt;""),AND(MD9&gt;=MG$27,MD9&lt;&gt;"",MF9&gt;=MG$31,MF9&lt;&gt;""),AND(NB9&gt;=NO$27,NB9&lt;&gt;"",ND9&gt;=NO$31,ND9&lt;&gt;""),AND(NE9&gt;=NO$27,NE9&lt;&gt;"",NG9&gt;=NO$31,NG9&lt;&gt;""),AND(NI9&gt;=NO$27,NI9&lt;&gt;"",NK9&gt;=NO$31,NK9&lt;&gt;""),AND(NL9&gt;=NO$27,NL9&lt;&gt;"",NN9&gt;=NO$31,NN9&lt;&gt;""),AND(OJ9&gt;=OW$27,OJ9&lt;&gt;"",OL9&gt;=OW$31,OL9&lt;&gt;""),AND(OM9&gt;=OW$27,OM9&lt;&gt;"",OO9&gt;=OW$31,OO9&lt;&gt;""),AND(OQ9&gt;=OW$27,OQ9&lt;&gt;"",OS9&gt;=OW$31,OS9&lt;&gt;""),AND(OT9&gt;=OW$27,OT9&lt;&gt;"",OV9&gt;=OW$31,OV9&lt;&gt;""),AND(PR9&gt;=QE$27,PR9&lt;&gt;"",PT9&gt;=QE$31,PT9&lt;&gt;""),AND(PU9&gt;=QE$27,PU9&lt;&gt;"",PW9&gt;=QE$31,PW9&lt;&gt;""),AND(PY9&gt;=QE$27,PY9&lt;&gt;"",QA9&gt;=QE$31,QA9&lt;&gt;""),AND(QB9&gt;=QE$27,QB9&lt;&gt;"",QD9&gt;=QE$31,QD9&lt;&gt;""),AND(QZ9&gt;=RM$27,QZ9&lt;&gt;"",RB9&gt;=RM$31,RB9&lt;&gt;""),AND(RC9&gt;=RM$27,RC9&lt;&gt;"",RE9&gt;=RM$31,RE9&lt;&gt;""),AND(RG9&gt;=RM$27,RG9&lt;&gt;"",RI9&gt;=RM$31,RI9&lt;&gt;""),AND(RJ9&gt;=RM$27,RJ9&lt;&gt;"",RL9&gt;=RM$31,RL9&lt;&gt;""),AND(SH9&gt;=SU$27,SH9&lt;&gt;"",SJ9&gt;=SU$31,SJ9&lt;&gt;""),AND(SK9&gt;=SU$27,SK9&lt;&gt;"",SM9&gt;=SU$31,SM9&lt;&gt;""),AND(SO9&gt;=SU$27,SO9&lt;&gt;"",SQ9&gt;=SU$31,SQ9&lt;&gt;""),AND(SR9&gt;=SU$27,SR9&lt;&gt;"",ST9&gt;=SU$31,ST9&lt;&gt;"")),"Excellence",IF(I9="P","Worlds Team",IF(F9="P","National Team","")))))</f>
        <v>National Team</v>
      </c>
      <c r="I9" s="3" t="str">
        <f>IF(OR(AND(AO9&gt;=AY$26,AO9&lt;&gt;"",AQ9&gt;=AY$30,AQ9&lt;&gt;"",AN9=""),AND(AR9&gt;=AY$26,AR9&lt;&gt;"",AT9&gt;=AY$30,AT9&lt;&gt;"",AN9=""),AND(AV9&gt;=AY$26,AV9&lt;&gt;"",AX9&gt;=AY$30,AX9&lt;&gt;"",AN9=""),AND(BP9&gt;=BZ$26,BP9&lt;&gt;"",BR9&gt;=BZ$30,BR9&lt;&gt;"",BO9=""),AND(BS9&gt;=BZ$26,BS9&lt;&gt;"",BU9&gt;=BZ$30,BU9&lt;&gt;"",BO9=""),AND(BW9&gt;=BZ$26,BW9&lt;&gt;"",BY9&gt;=BZ$30,BY9&lt;&gt;"",BO9=""),AND(CQ9&gt;=DA$26,CQ9&lt;&gt;"",CS9&gt;=DA$30,CS9&lt;&gt;"",CP9=""),AND(CT9&gt;=DA$26,CT9&lt;&gt;"",CV9&gt;=DA$30,CV9&lt;&gt;"",CP9=""),AND(CX9&gt;=DA$26,CX9&lt;&gt;"",CZ9&gt;=DA$30,CZ9&lt;&gt;"",CP9=""),AND(DX9&gt;=EK$26,DX9&lt;&gt;"",DZ9&gt;=EK$30,DZ9&lt;&gt;""),AND(EA9&gt;=EK$26,EA9&lt;&gt;"",EC9&gt;=EK$30,EC9&lt;&gt;""),AND(EE9&gt;=EK$26,EE9&lt;&gt;"",EG9&gt;=EK$30,EG9&lt;&gt;""),AND(EH9&gt;=EK$26,EH9&lt;&gt;"",EJ9&gt;=EK$30,EJ9&lt;&gt;""),AND(FF9&gt;=FS$26,FF9&lt;&gt;"",FH9&gt;=FS$30,FH9&lt;&gt;""),AND(FI9&gt;=FS$26,FI9&lt;&gt;"",FK9&gt;=FS$30,FK9&lt;&gt;""),AND(FM9&gt;=FS$26,FM9&lt;&gt;"",FO9&gt;=FS$30,FO9&lt;&gt;""),AND(FP9&gt;=FS$26,FP9&lt;&gt;"",FR9&gt;=FS$30,FR9&lt;&gt;""),AND(GN9&gt;=HA$26,GN9&lt;&gt;"",GP9&gt;=HA$30,GP9&lt;&gt;""),AND(GQ9&gt;=HA$26,GQ9&lt;&gt;"",GS9&gt;=HA$30,GS9&lt;&gt;""),AND(GU9&gt;=HA$26,GU9&lt;&gt;"",GW9&gt;=HA$30,GW9&lt;&gt;""),AND(GX9&gt;=HA$26,GX9&lt;&gt;"",GZ9&gt;=HA$30,GZ9&lt;&gt;""),AND(HV9&gt;=II$26,HV9&lt;&gt;"",HX9&gt;=II$30,HX9&lt;&gt;""),AND(HY9&gt;=II$26,HY9&lt;&gt;"",IA9&gt;=II$30,IA9&lt;&gt;""),AND(IC9&gt;=II$26,IC9&lt;&gt;"",IE9&gt;=II$30,IE9&lt;&gt;""),AND(IF9&gt;=II$26,IF9&lt;&gt;"",IH9&gt;=II$30,IH9&lt;&gt;""),AND(JD9&gt;=JQ$26,JD9&lt;&gt;"",JF9&gt;=JQ$30,JF9&lt;&gt;""),AND(JG9&gt;=JQ$26,JG9&lt;&gt;"",JI9&gt;=JQ$30,JI9&lt;&gt;""),AND(JK9&gt;=JQ$26,JK9&lt;&gt;"",JM9&gt;=JQ$30,JM9&lt;&gt;""),AND(JN9&gt;=JQ$26,JN9&lt;&gt;"",JP9&gt;=JQ$30,JP9&lt;&gt;""),AND(KL9&gt;=KY$26,KL9&lt;&gt;"",KN9&gt;=KY$30,KN9&lt;&gt;""),AND(KO9&gt;=KY$26,KO9&lt;&gt;"",KQ9&gt;=KY$30,KQ9&lt;&gt;""),AND(KS9&gt;=KY$26,KS9&lt;&gt;"",KU9&gt;=KY$30,KU9&lt;&gt;""),AND(KV9&gt;=KY$26,KV9&lt;&gt;"",KX9&gt;=KY$30,KX9&lt;&gt;""),AND(LT9&gt;=MG$26,LT9&lt;&gt;"",LV9&gt;=MG$30,LV9&lt;&gt;""),AND(LW9&gt;=MG$26,LW9&lt;&gt;"",LY9&gt;=MG$30,LY9&lt;&gt;""),AND(MA9&gt;=MG$26,MA9&lt;&gt;"",MC9&gt;=MG$30,MC9&lt;&gt;""),AND(MD9&gt;=MG$26,MD9&lt;&gt;"",MF9&gt;=MG$30,MF9&lt;&gt;""),AND(NB9&gt;=NO$26,NB9&lt;&gt;"",ND9&gt;=NO$30,ND9&lt;&gt;""),AND(NE9&gt;=NO$26,NE9&lt;&gt;"",NG9&gt;=NO$30,NG9&lt;&gt;""),AND(NI9&gt;=NO$26,NI9&lt;&gt;"",NK9&gt;=NO$30,NK9&lt;&gt;""),AND(NL9&gt;=NO$26,NL9&lt;&gt;"",NN9&gt;=NO$30,NN9&lt;&gt;""),AND(OJ9&gt;=OW$26,OJ9&lt;&gt;"",OL9&gt;=OW$30,OL9&lt;&gt;""),AND(OM9&gt;=OW$26,OM9&lt;&gt;"",OO9&gt;=OW$30,OO9&lt;&gt;""),AND(OQ9&gt;=OW$26,OQ9&lt;&gt;"",OS9&gt;=OW$30,OS9&lt;&gt;""),AND(OT9&gt;=OW$26,OT9&lt;&gt;"",OV9&gt;=OW$30,OV9&lt;&gt;""),AND(PR9&gt;=QE$26,PR9&lt;&gt;"",PT9&gt;=QE$30,PT9&lt;&gt;""),AND(PU9&gt;=QE$26,PU9&lt;&gt;"",PW9&gt;=QE$30,PW9&lt;&gt;""),AND(PY9&gt;=QE$26,PY9&lt;&gt;"",QA9&gt;=QE$30,QA9&lt;&gt;""),AND(QB9&gt;=QE$26,QB9&lt;&gt;"",QD9&gt;=QE$30,QD9&lt;&gt;""),AND(QZ9&gt;=RM$26,QZ9&lt;&gt;"",RB9&gt;=RM$30,RB9&lt;&gt;""),AND(RC9&gt;=RM$26,RC9&lt;&gt;"",RE9&gt;=RM$30,RE9&lt;&gt;""),AND(RG9&gt;=RM$26,RG9&lt;&gt;"",RI9&gt;=RM$30,RI9&lt;&gt;""),AND(RJ9&gt;=RM$26,RJ9&lt;&gt;"",RL9&gt;=RM$30,RL9&lt;&gt;""),AND(SH9&gt;=SU$26,SH9&lt;&gt;"",SJ9&gt;=SU$30,SJ9&lt;&gt;""),AND(SK9&gt;=SU$26,SK9&lt;&gt;"",SM9&gt;=SU$30,SM9&lt;&gt;""),AND(SO9&gt;=SU$26,SO9&lt;&gt;"",SQ9&gt;=SU$30,SQ9&lt;&gt;""),AND(SR9&gt;=SU$26,SR9&lt;&gt;"",ST9&gt;=SU$30,ST9&lt;&gt;"")),"P","")</f>
        <v/>
      </c>
      <c r="J9" s="13">
        <f>IF(COUNT(AQ9,AT9,BR9,BU9,CS9,CV9)&gt;0,LARGE((AQ9,AT9,BR9,BU9,CS9,CV9),1),0)</f>
        <v>55.305</v>
      </c>
      <c r="K9" s="13" t="str">
        <f>IF(J9="","",IF(OR(J9=CS9,J9=CV9),$CA$1,IF(OR(J9=BR9,J9=BU9),$AZ$1,IF(OR(J9=AQ9,J9=AT9),$Y$1,""))))</f>
        <v>2021 Canadian Championships</v>
      </c>
      <c r="L9" s="13">
        <f>IF(COUNT(AQ9,AT9,BR9,BU9,CS9,CV9)&gt;1,LARGE((AQ9,AT9,BR9,BU9,CS9,CV9),2),0)</f>
        <v>55.295000000000002</v>
      </c>
      <c r="M9" s="13" t="str">
        <f>IF(L9="","",IF(OR(L9=CS9,L9=CV9),$CA$1,IF(OR(L9=BR9,L9=BU9),$AZ$1,IF(OR(L9=AQ9,L9=AT9),$Y$1,""))))</f>
        <v>2022 Elite Canada</v>
      </c>
      <c r="N9" s="13">
        <f>IF(COUNT(AQ9,AT9,BR9,BU9,CS9,CV9)&gt;2,LARGE((AQ9,AT9,BR9,BU9,CS9,CV9),3),0)</f>
        <v>54.8</v>
      </c>
      <c r="O9" s="13" t="str">
        <f>IF(N9="","",IF(OR(N9=CS9,N9=CV9),$CA$1,IF(OR(N9=BR9,N9=BU9),$AZ$1,IF(OR(N9=AQ9,N9=AT9),$Y$1,""))))</f>
        <v>2021 Elite Canada</v>
      </c>
      <c r="P9" s="13">
        <f>IF(MAX(AX9,BY9,CZ9)&gt;0,MAX(AX9,BY9,CZ9),0)</f>
        <v>54.34</v>
      </c>
      <c r="Q9" s="13" t="str">
        <f>IF(P9="","",IF(P9=CZ9,$CA$1,IF(P9=BY9,$AZ$1,IF(P9=AX9,$Y$1,""))))</f>
        <v>2021 Canadian Championships</v>
      </c>
      <c r="R9" s="13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15.4</v>
      </c>
      <c r="S9" s="13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2022 Elite Canada</v>
      </c>
      <c r="T9" s="13">
        <f>IF(MAX(IF(AO9&gt;=$AY$25,AP9,0),IF(AR9&gt;=$AY$25,AS9,0),IF(AV9&gt;=$AY$25,AW9,0),IF(BP9&gt;=$BZ$25,BQ9,0),IF(BS9&gt;=$BZ$25,BT9,0),IF(BW9&gt;=$BZ$25,BX9,0),IF(CQ9&gt;=$DA$25,CR9,0),IF(CT9&gt;=$DA$25,CU9,0),IF(CX9&gt;=$DA$25,CY9,0))&gt;0,MAX(IF(AO9&gt;=$AY$25,AP9,0),IF(AR9&gt;=$AY$25,AS9,0),IF(AV9&gt;=$AY$25,AW9,0),IF(BP9&gt;=$BZ$25,BQ9,0),IF(BS9&gt;=$BZ$25,BT9,0),IF(BW9&gt;=$BZ$25,BX9,0),IF(CQ9&gt;=$DA$25,CR9,0),IF(CT9&gt;=$DA$25,CU9,0),IF(CX9&gt;=$DA$25,CY9,0),IF(DX9&gt;=$EK$25,DY9,0),IF(EA9&gt;=$EK$25,EB9,0),IF(EE9&gt;=$EK$25,EF9,0),IF(EH9&gt;=$EK$25,EI9,0),IF(FF9&gt;=$FS$25,FG9,0),IF(FI9&gt;=$FS$25,FJ9,0),IF(FM9&gt;=$FS$25,FN9,0),IF(FP9&gt;=$FS$25,FQ9,0),IF(GN9&gt;=$HA$25,GO9,0),IF(GQ9&gt;=$HA$25,GR9,0),IF(GU9&gt;=$HA$25,GV9,0),IF(GX9&gt;=$HA$25,GY9,0),IF(HV9&gt;=$II$25,HW9,0),IF(HY9&gt;=$II$25,HZ9,0),IF(IC9&gt;=$II$25,ID9,0),IF(IF9&gt;=$II$25,IG9,0),IF(JD9&gt;=$JQ$25,JE9,0),IF(JG9&gt;=$JQ$25,JH9,0),IF(JK9&gt;=$JQ$25,JL9,0),IF(JN9&gt;=$JQ$25,JO9,0),IF(KL9&gt;=$KY$25,KM9,0),IF(KO9&gt;=$KY$25,KP9,0),IF(KS9&gt;=$KY$25,KT9,0),IF(KV9&gt;=$KY$25,KW9,0),IF(LT9&gt;=$MG$25,LU9,0),IF(LW9&gt;=$MG$25,LX9,0),IF(MA9&gt;=$MG$25,MB9,0),IF(MD9&gt;=$MG$25,ME9,0),IF(NB9&gt;=$NO$25,NC9,0),IF(NE9&gt;=$NO$25,NF9,0),IF(NI9&gt;=$NO$25,NJ9,0),IF(NL9&gt;=$NO$25,NM9,0),IF(OJ9&gt;=$OW$25,OK9,0),IF(OM9&gt;=$OW$25,ON9,0),IF(OQ9&gt;=$OW$25,OR9,0),IF(OT9&gt;=$OW$25,OU9,0),IF(PR9&gt;=$QE$25,PS9,0),IF(PU9&gt;=$QE$25,PV9,0),IF(PY9&gt;=$QE$25,PZ9,0),IF(QB9&gt;=$QE$25,QC9,0),IF(QZ9&gt;=$RM$25,RA9,0),IF(RC9&gt;=$RM$25,RD9,0),IF(RG9&gt;=$RM$25,RH9,0),IF(RJ9&gt;=$RM$25,RK9,0),IF(SH9&gt;=$SU$25,SI9,0),IF(SK9&gt;=$SU$25,SL9,0),IF(SO9&gt;=$SU$25,SP9,0),IF(SR9&gt;=$SU$25,SS9,0)),0)</f>
        <v>15.404999999999999</v>
      </c>
      <c r="U9" s="13" t="str">
        <f>IF(T9=0,"",IF(OR(T9=CR9,T9=CU9,T9=CY9),$CA$1,IF(OR(T9=BQ9,T9=BT9,T9=BX9),$AZ$1,IF(OR(T9=AP9,T9=AS9,T9=AW9),$Y$1,IF(OR(R9=SI9,R9=SL9,R9=SP9,R9=SS9),$RN$1,IF(OR(R9=RA9,R9=RD9,R9=RH9,R9=RK9),$QF$1,IF(OR(R9=PS9,R9=PV9,R9=PZ9,R9=QC9),$OX$1,IF(OR(R9=OK9,R9=ON9,R9=OR9,R9=OU9),$NP$1,IF(OR(R9=NC9,R9=NF9,R9=NJ9,R9=NM9),$MH$1,IF(OR(R9=LU9,R9=LX9,R9=MB9,R9=ME9),$KZ$1,IF(OR(R9=KM9,R9=KP9,R9=KT9,R9=KW9),$JR$1,IF(OR(R9=JE9,R9=JH9,R9=JL9,R9=JO9),$IJ$1,IF(OR(R9=HW9,R9=HZ9,R9=ID9,R9=IG9),$HB$1,IF(OR(R9=GO9,R9=GR9,R9=GV9,R9=GY9),$FT$1,IF(OR(R9=FG9,R9=FJ9,R9=FN9,R9=FQ9),$EL$1,IF(OR(R9=DY9,R9=EB9,R9=EF9,R9=EI9),$DD$1,""))))))))))))))))</f>
        <v>2021 Canadian Championships</v>
      </c>
      <c r="V9" s="13" t="str">
        <f>IF(MAX(DB9,DC9)&gt;0,MAX(DB9,DC9),"")</f>
        <v/>
      </c>
      <c r="W9" s="16" t="str">
        <f>IF(V9="","",IF(V9=DB9,"("&amp;DB$2&amp;")",IF(V9=DC9,"("&amp;DC$2&amp;")")))</f>
        <v/>
      </c>
      <c r="X9" s="13" t="str">
        <f>IF(V9="","",IF(V9=DB9,IF(V9+IF(L9="",0,L9)=SN9,$RN$1,IF(V9+IF(L9="",0,L9)=RF9,$QF$1,IF(V9+IF(L9="",0,L9)=PX9,$OX$1,IF(V9+IF(L9="",0,L9)=OP9,$NP$1,IF(V9+IF(L9="",0,L9)=NH9,$MH$1,IF(V9+IF(L9="",0,L9)=LZ9,$KZ$1,IF(V9+IF(L9="",0,L9)=KR9,$JR$1,IF(V9+IF(L9="",0,L9)=JJ9,$IJ$1,IF(V9+IF(L9="",0,L9)=IB9,$HB$1,IF(V9+IF(L9="",0,L9)=GT9,$FT$1,IF(V9+IF(L9="",0,L9)=FL9,$EL$1,IF(V9+IF(L9="",0,L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$1)))))))))))))))</f>
        <v/>
      </c>
      <c r="Y9" s="42">
        <v>9</v>
      </c>
      <c r="Z9" s="42">
        <v>5.5</v>
      </c>
      <c r="AA9" s="42">
        <v>9.1999999999999993</v>
      </c>
      <c r="AB9" s="42">
        <v>9.2850000000000001</v>
      </c>
      <c r="AC9" s="42">
        <v>0</v>
      </c>
      <c r="AD9" s="42">
        <v>14.8</v>
      </c>
      <c r="AE9" s="42">
        <v>9.6</v>
      </c>
      <c r="AF9" s="42">
        <v>15.2</v>
      </c>
      <c r="AG9" s="42">
        <v>15.2</v>
      </c>
      <c r="AH9" s="42">
        <v>0</v>
      </c>
      <c r="AI9" s="42">
        <v>14.5</v>
      </c>
      <c r="AJ9" s="42">
        <v>9</v>
      </c>
      <c r="AK9" s="42">
        <v>15.2</v>
      </c>
      <c r="AL9" s="42">
        <v>15.07</v>
      </c>
      <c r="AM9" s="42">
        <v>0</v>
      </c>
      <c r="AN9" s="51"/>
      <c r="AO9" s="74">
        <f>IF(AA9&gt;0,AA9,"")</f>
        <v>9.1999999999999993</v>
      </c>
      <c r="AP9" s="74">
        <f>IF(AB9&gt;0,AB9,"")</f>
        <v>9.2850000000000001</v>
      </c>
      <c r="AQ9" s="76">
        <f>IF(SUM(Y9:AB9)-AC9&gt;0,SUM(Y9:AB9)-AC9,"")</f>
        <v>32.984999999999999</v>
      </c>
      <c r="AR9" s="76">
        <f>IF(AF9&gt;0,AF9,"")</f>
        <v>15.2</v>
      </c>
      <c r="AS9" s="76">
        <f>IF(AG9&gt;0,AG9,"")</f>
        <v>15.2</v>
      </c>
      <c r="AT9" s="76">
        <f>IF(SUM(AD9:AG9)-AH9&gt;0,SUM(AD9:AG9)-AH9,"")</f>
        <v>54.8</v>
      </c>
      <c r="AU9" s="76">
        <f>IF(AQ9="","",MAX(AQ9,AT9))</f>
        <v>54.8</v>
      </c>
      <c r="AV9" s="76">
        <f>IF(AK9&gt;0,AK9,"")</f>
        <v>15.2</v>
      </c>
      <c r="AW9" s="76">
        <f>IF(AL9&gt;0,AL9,"")</f>
        <v>15.07</v>
      </c>
      <c r="AX9" s="76">
        <f>IF(SUM(AI9:AL9)-AM9&gt;0,SUM(AI9:AL9)-AM9,"")</f>
        <v>53.77</v>
      </c>
      <c r="AY9" s="76">
        <f>IF(SUM(AU9,AX9)&gt;0,SUM(AU9,AX9),"")</f>
        <v>108.57</v>
      </c>
      <c r="AZ9" s="46">
        <v>14.4</v>
      </c>
      <c r="BA9" s="46">
        <v>9</v>
      </c>
      <c r="BB9" s="46">
        <v>15.2</v>
      </c>
      <c r="BC9" s="46">
        <v>15.025</v>
      </c>
      <c r="BD9" s="46">
        <v>0</v>
      </c>
      <c r="BE9" s="46">
        <v>15.2</v>
      </c>
      <c r="BF9" s="46">
        <v>9.5</v>
      </c>
      <c r="BG9" s="46">
        <v>15.2</v>
      </c>
      <c r="BH9" s="46">
        <v>15.404999999999999</v>
      </c>
      <c r="BI9" s="46">
        <v>0</v>
      </c>
      <c r="BJ9" s="46">
        <v>14.7</v>
      </c>
      <c r="BK9" s="46">
        <v>9.3000000000000007</v>
      </c>
      <c r="BL9" s="46">
        <v>15.2</v>
      </c>
      <c r="BM9" s="46">
        <v>15.14</v>
      </c>
      <c r="BN9" s="46">
        <v>0</v>
      </c>
      <c r="BO9" s="52"/>
      <c r="BP9" s="75">
        <f>IF(BB9&gt;0,BB9,"")</f>
        <v>15.2</v>
      </c>
      <c r="BQ9" s="75">
        <f>IF(BC9&gt;0,BC9,"")</f>
        <v>15.025</v>
      </c>
      <c r="BR9" s="16">
        <f>IF(SUM(AZ9:BC9)-BD9&gt;0,SUM(AZ9:BC9)-BD9,"")</f>
        <v>53.624999999999993</v>
      </c>
      <c r="BS9" s="16">
        <f>IF(BG9&gt;0,BG9,"")</f>
        <v>15.2</v>
      </c>
      <c r="BT9" s="16">
        <f>IF(BH9&gt;0,BH9,"")</f>
        <v>15.404999999999999</v>
      </c>
      <c r="BU9" s="16">
        <f>IF(SUM(BE9:BH9)-BI9&gt;0,SUM(BE9:BH9)-BI9,"")</f>
        <v>55.305</v>
      </c>
      <c r="BV9" s="16">
        <f>IF(BR9="","",MAX(BR9,BU9))</f>
        <v>55.305</v>
      </c>
      <c r="BW9" s="16">
        <f>IF(BL9&gt;0,BL9,"")</f>
        <v>15.2</v>
      </c>
      <c r="BX9" s="16">
        <f>IF(BM9&gt;0,BM9,"")</f>
        <v>15.14</v>
      </c>
      <c r="BY9" s="16">
        <f>IF(SUM(BJ9:BM9)-BN9&gt;0,SUM(BJ9:BM9)-BN9,"")</f>
        <v>54.34</v>
      </c>
      <c r="BZ9" s="16">
        <f>IF(SUM(BV9,BY9)&gt;0,SUM(BV9,BY9),"")</f>
        <v>109.64500000000001</v>
      </c>
      <c r="CA9" s="42">
        <v>15.4</v>
      </c>
      <c r="CB9" s="42">
        <v>9.1</v>
      </c>
      <c r="CC9" s="42">
        <v>15.4</v>
      </c>
      <c r="CD9" s="42">
        <v>15.395</v>
      </c>
      <c r="CE9" s="42">
        <v>0</v>
      </c>
      <c r="CF9" s="42">
        <v>3</v>
      </c>
      <c r="CG9" s="42">
        <v>1.8</v>
      </c>
      <c r="CH9" s="42">
        <v>3.4</v>
      </c>
      <c r="CI9" s="42">
        <v>3.3</v>
      </c>
      <c r="CJ9" s="42">
        <v>0</v>
      </c>
      <c r="CK9" s="42">
        <v>11.6</v>
      </c>
      <c r="CL9" s="42">
        <v>7.1</v>
      </c>
      <c r="CM9" s="42">
        <v>12.3</v>
      </c>
      <c r="CN9" s="42">
        <v>12.595000000000001</v>
      </c>
      <c r="CO9" s="42">
        <v>0</v>
      </c>
      <c r="CP9" s="51"/>
      <c r="CQ9" s="74">
        <f>IF(CC9&gt;0,CC9,"")</f>
        <v>15.4</v>
      </c>
      <c r="CR9" s="74">
        <f>IF(CD9&gt;0,CD9,"")</f>
        <v>15.395</v>
      </c>
      <c r="CS9" s="76">
        <f>IF(SUM(CA9:CD9)-CE9&gt;0,SUM(CA9:CD9)-CE9,"")</f>
        <v>55.295000000000002</v>
      </c>
      <c r="CT9" s="76">
        <f>IF(CH9&gt;0,CH9,"")</f>
        <v>3.4</v>
      </c>
      <c r="CU9" s="76">
        <f>IF(CI9&gt;0,CI9,"")</f>
        <v>3.3</v>
      </c>
      <c r="CV9" s="76">
        <f>IF(SUM(CF9:CI9)-CJ9&gt;0,SUM(CF9:CI9)-CJ9,"")</f>
        <v>11.5</v>
      </c>
      <c r="CW9" s="76">
        <f>IF(CS9="","",MAX(CS9,CV9))</f>
        <v>55.295000000000002</v>
      </c>
      <c r="CX9" s="76">
        <f>IF(CM9&gt;0,CM9,"")</f>
        <v>12.3</v>
      </c>
      <c r="CY9" s="76">
        <f>IF(CN9&gt;0,CN9,"")</f>
        <v>12.595000000000001</v>
      </c>
      <c r="CZ9" s="76">
        <f>IF(SUM(CK9:CN9)-CO9&gt;0,SUM(CK9:CN9)-CO9,"")</f>
        <v>43.594999999999999</v>
      </c>
      <c r="DA9" s="76">
        <f>IF(SUM(CW9,CZ9)&gt;0,SUM(CW9,CZ9),"")</f>
        <v>98.89</v>
      </c>
      <c r="DB9" s="87" t="str">
        <f>IF(L9&gt;=0.001,IF(MAX(ED9,FL9,GT9,IB9,JJ9,KR9,LZ9,NH9,OP9,PX9,RF9,SN9)-IF(L9="",0,L9)&gt;0.001,MAX(ED9,FL9,GT9,IB9,JJ9,KR9,LZ9,NH9,OP9,PX9,RF9,SN9)-IF(L9="",0,L9),""),"")</f>
        <v/>
      </c>
      <c r="DC9" s="87" t="str">
        <f>IF(P9&gt;=0.001,IF(MAX(EG9,EJ9,FO9,FR9,GW9,GZ9,IE9,IH9,JM9,JP9,KU9,KX9,MC9,MF9,NK9,NN9,OS9,OV9,QA9,QD9,RI9,RL9,SQ9,ST9)-IF(P9="",0,P9)&gt;0.001,MAX(EG9,EJ9,FO9,FR9,GW9,GZ9,IE9,IH9,JM9,JP9,KU9,KX9,MC9,MF9,NK9,NN9,OS9,OV9,QA9,QD9,RI9,RL9,SQ9,ST9)-IF(P9="",0,P9),""),"")</f>
        <v/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76" t="str">
        <f>IF(DF9&gt;0,DF9,"")</f>
        <v/>
      </c>
      <c r="DY9" s="76" t="str">
        <f>IF(DG9&gt;0,DG9,"")</f>
        <v/>
      </c>
      <c r="DZ9" s="76" t="str">
        <f>IF(SUM(DD9:DG9)-DH9&gt;0,SUM(DD9:DG9)-DH9,"")</f>
        <v/>
      </c>
      <c r="EA9" s="76" t="str">
        <f>IF(DK9&gt;0,DK9,"")</f>
        <v/>
      </c>
      <c r="EB9" s="76" t="str">
        <f>IF(DL9&gt;0,DL9,"")</f>
        <v/>
      </c>
      <c r="EC9" s="76" t="str">
        <f>IF(SUM(DI9:DL9)-DM9&gt;0,SUM(DI9:DL9)-DM9,"")</f>
        <v/>
      </c>
      <c r="ED9" s="76" t="str">
        <f>IF(MAX(DZ9,EC9)&gt;0,MAX(DZ9,EC9),"")</f>
        <v/>
      </c>
      <c r="EE9" s="76" t="str">
        <f>IF(DP9&gt;0,DP9,"")</f>
        <v/>
      </c>
      <c r="EF9" s="76" t="str">
        <f>IF(DQ9&gt;0,DQ9,"")</f>
        <v/>
      </c>
      <c r="EG9" s="76" t="str">
        <f>IF(SUM(DN9:DQ9)-DR9&gt;0,SUM(DN9:DQ9)-DR9,"")</f>
        <v/>
      </c>
      <c r="EH9" s="76" t="str">
        <f>IF(DU9&gt;0,DU9,"")</f>
        <v/>
      </c>
      <c r="EI9" s="76" t="str">
        <f>IF(DV9&gt;0,DV9,"")</f>
        <v/>
      </c>
      <c r="EJ9" s="76" t="str">
        <f>IF(SUM(DS9:DV9)-DW9&gt;0,SUM(DS9:DV9)-DW9,"")</f>
        <v/>
      </c>
      <c r="EK9" s="76" t="str">
        <f>IF(SUM(ED9,EJ9)&gt;0,SUM(ED9,EJ9),"")</f>
        <v/>
      </c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16" t="str">
        <f>IF(EN9&gt;0,EN9,"")</f>
        <v/>
      </c>
      <c r="FG9" s="16" t="str">
        <f>IF(EO9&gt;0,EO9,"")</f>
        <v/>
      </c>
      <c r="FH9" s="16" t="str">
        <f>IF(SUM(EL9:EO9)-EP9&gt;0,SUM(EL9:EO9)-EP9,"")</f>
        <v/>
      </c>
      <c r="FI9" s="16" t="str">
        <f>IF(ES9&gt;0,ES9,"")</f>
        <v/>
      </c>
      <c r="FJ9" s="16" t="str">
        <f>IF(ET9&gt;0,ET9,"")</f>
        <v/>
      </c>
      <c r="FK9" s="16" t="str">
        <f>IF(SUM(EQ9:ET9)-EU9&gt;0,SUM(EQ9:ET9)-EU9,"")</f>
        <v/>
      </c>
      <c r="FL9" s="16" t="str">
        <f>IF(MAX(FH9,FK9)&gt;0,MAX(FH9,FK9),"")</f>
        <v/>
      </c>
      <c r="FM9" s="16" t="str">
        <f>IF(EX9&gt;0,EX9,"")</f>
        <v/>
      </c>
      <c r="FN9" s="16" t="str">
        <f>IF(EY9&gt;0,EY9,"")</f>
        <v/>
      </c>
      <c r="FO9" s="16" t="str">
        <f>IF(SUM(EV9:EY9)-EZ9&gt;0,SUM(EV9:EY9)-EZ9,"")</f>
        <v/>
      </c>
      <c r="FP9" s="16" t="str">
        <f>IF(FC9&gt;0,FC9,"")</f>
        <v/>
      </c>
      <c r="FQ9" s="16" t="str">
        <f>IF(FD9&gt;0,FD9,"")</f>
        <v/>
      </c>
      <c r="FR9" s="16" t="str">
        <f>IF(SUM(FA9:FD9)-FE9&gt;0,SUM(FA9:FD9)-FE9,"")</f>
        <v/>
      </c>
      <c r="FS9" s="16" t="str">
        <f>IF(SUM(FL9,FR9)&gt;0,SUM(FL9,FR9),"")</f>
        <v/>
      </c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76" t="str">
        <f>IF(FV9&gt;0,FV9,"")</f>
        <v/>
      </c>
      <c r="GO9" s="76" t="str">
        <f>IF(FW9&gt;0,FW9,"")</f>
        <v/>
      </c>
      <c r="GP9" s="76" t="str">
        <f>IF(SUM(FT9:FW9)-FX9&gt;0,SUM(FT9:FW9)-FX9,"")</f>
        <v/>
      </c>
      <c r="GQ9" s="76" t="str">
        <f>IF(GA9&gt;0,GA9,"")</f>
        <v/>
      </c>
      <c r="GR9" s="76" t="str">
        <f>IF(GB9&gt;0,GB9,"")</f>
        <v/>
      </c>
      <c r="GS9" s="76" t="str">
        <f>IF(SUM(FY9:GB9)-GC9&gt;0,SUM(FY9:GB9)-GC9,"")</f>
        <v/>
      </c>
      <c r="GT9" s="76" t="str">
        <f>IF(MAX(GP9,GS9)&gt;0,MAX(GP9,GS9),"")</f>
        <v/>
      </c>
      <c r="GU9" s="76" t="str">
        <f>IF(GF9&gt;0,GF9,"")</f>
        <v/>
      </c>
      <c r="GV9" s="76" t="str">
        <f>IF(GG9&gt;0,GG9,"")</f>
        <v/>
      </c>
      <c r="GW9" s="76" t="str">
        <f>IF(SUM(GD9:GG9)-GH9&gt;0,SUM(GD9:GG9)-GH9,"")</f>
        <v/>
      </c>
      <c r="GX9" s="76" t="str">
        <f>IF(GK9&gt;0,GK9,"")</f>
        <v/>
      </c>
      <c r="GY9" s="76" t="str">
        <f>IF(GL9&gt;0,GL9,"")</f>
        <v/>
      </c>
      <c r="GZ9" s="76" t="str">
        <f>IF(SUM(GI9:GL9)-GM9&gt;0,SUM(GI9:GL9)-GM9,"")</f>
        <v/>
      </c>
      <c r="HA9" s="76" t="str">
        <f>IF(SUM(GT9,GZ9)&gt;0,SUM(GT9,GZ9),"")</f>
        <v/>
      </c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16" t="str">
        <f>IF(HD9&gt;0,HD9,"")</f>
        <v/>
      </c>
      <c r="HW9" s="16" t="str">
        <f>IF(HE9&gt;0,HE9,"")</f>
        <v/>
      </c>
      <c r="HX9" s="16" t="str">
        <f>IF(SUM(HB9:HE9)-HF9&gt;0,SUM(HB9:HE9)-HF9,"")</f>
        <v/>
      </c>
      <c r="HY9" s="16" t="str">
        <f>IF(HI9&gt;0,HI9,"")</f>
        <v/>
      </c>
      <c r="HZ9" s="16" t="str">
        <f>IF(HJ9&gt;0,HJ9,"")</f>
        <v/>
      </c>
      <c r="IA9" s="16" t="str">
        <f>IF(SUM(HG9:HJ9)-HK9&gt;0,SUM(HG9:HJ9)-HK9,"")</f>
        <v/>
      </c>
      <c r="IB9" s="16" t="str">
        <f>IF(MAX(HX9,IA9)&gt;0,MAX(HX9,IA9),"")</f>
        <v/>
      </c>
      <c r="IC9" s="16" t="str">
        <f>IF(HN9&gt;0,HN9,"")</f>
        <v/>
      </c>
      <c r="ID9" s="16" t="str">
        <f>IF(HO9&gt;0,HO9,"")</f>
        <v/>
      </c>
      <c r="IE9" s="16" t="str">
        <f>IF(SUM(HL9:HO9)-HP9&gt;0,SUM(HL9:HO9)-HP9,"")</f>
        <v/>
      </c>
      <c r="IF9" s="16" t="str">
        <f>IF(HS9&gt;0,HS9,"")</f>
        <v/>
      </c>
      <c r="IG9" s="16" t="str">
        <f>IF(HT9&gt;0,HT9,"")</f>
        <v/>
      </c>
      <c r="IH9" s="16" t="str">
        <f>IF(SUM(HQ9:HT9)-HU9&gt;0,SUM(HQ9:HT9)-HU9,"")</f>
        <v/>
      </c>
      <c r="II9" s="16" t="str">
        <f>IF(SUM(IB9,IH9)&gt;0,SUM(IB9,IH9),"")</f>
        <v/>
      </c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76" t="str">
        <f>IF(IL9&gt;0,IL9,"")</f>
        <v/>
      </c>
      <c r="JE9" s="76" t="str">
        <f>IF(IM9&gt;0,IM9,"")</f>
        <v/>
      </c>
      <c r="JF9" s="76" t="str">
        <f>IF(SUM(IJ9:IM9)-IN9&gt;0,SUM(IJ9:IM9)-IN9,"")</f>
        <v/>
      </c>
      <c r="JG9" s="76" t="str">
        <f>IF(IQ9&gt;0,IQ9,"")</f>
        <v/>
      </c>
      <c r="JH9" s="76" t="str">
        <f>IF(IR9&gt;0,IR9,"")</f>
        <v/>
      </c>
      <c r="JI9" s="76" t="str">
        <f>IF(SUM(IO9:IR9)-IS9&gt;0,SUM(IO9:IR9)-IS9,"")</f>
        <v/>
      </c>
      <c r="JJ9" s="76" t="str">
        <f>IF(MAX(JF9,JI9)&gt;0,MAX(JF9,JI9),"")</f>
        <v/>
      </c>
      <c r="JK9" s="76" t="str">
        <f>IF(IV9&gt;0,IV9,"")</f>
        <v/>
      </c>
      <c r="JL9" s="76" t="str">
        <f>IF(IW9&gt;0,IW9,"")</f>
        <v/>
      </c>
      <c r="JM9" s="76" t="str">
        <f>IF(SUM(IT9:IW9)-IX9&gt;0,SUM(IT9:IW9)-IX9,"")</f>
        <v/>
      </c>
      <c r="JN9" s="76" t="str">
        <f>IF(JA9&gt;0,JA9,"")</f>
        <v/>
      </c>
      <c r="JO9" s="76" t="str">
        <f>IF(JB9&gt;0,JB9,"")</f>
        <v/>
      </c>
      <c r="JP9" s="76" t="str">
        <f>IF(SUM(IY9:JB9)-JC9&gt;0,SUM(IY9:JB9)-JC9,"")</f>
        <v/>
      </c>
      <c r="JQ9" s="76" t="str">
        <f>IF(SUM(JJ9,JP9)&gt;0,SUM(JJ9,JP9),"")</f>
        <v/>
      </c>
      <c r="JR9" s="26"/>
      <c r="JS9" s="26"/>
      <c r="JT9" s="26"/>
      <c r="JU9" s="26"/>
      <c r="JV9" s="26"/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16" t="str">
        <f>IF(JT9&gt;0,JT9,"")</f>
        <v/>
      </c>
      <c r="KM9" s="16" t="str">
        <f>IF(JU9&gt;0,JU9,"")</f>
        <v/>
      </c>
      <c r="KN9" s="16" t="str">
        <f>IF(SUM(JR9:JU9)-JV9&gt;0,SUM(JR9:JU9)-JV9,"")</f>
        <v/>
      </c>
      <c r="KO9" s="16" t="str">
        <f>IF(JY9&gt;0,JY9,"")</f>
        <v/>
      </c>
      <c r="KP9" s="16" t="str">
        <f>IF(JZ9&gt;0,JZ9,"")</f>
        <v/>
      </c>
      <c r="KQ9" s="16" t="str">
        <f>IF(SUM(JW9:JZ9)-KA9&gt;0,SUM(JW9:JZ9)-KA9,"")</f>
        <v/>
      </c>
      <c r="KR9" s="16" t="str">
        <f>IF(MAX(KN9,KQ9)&gt;0,MAX(KN9,KQ9),"")</f>
        <v/>
      </c>
      <c r="KS9" s="16" t="str">
        <f>IF(KD9&gt;0,KD9,"")</f>
        <v/>
      </c>
      <c r="KT9" s="16" t="str">
        <f>IF(KE9&gt;0,KE9,"")</f>
        <v/>
      </c>
      <c r="KU9" s="16" t="str">
        <f>IF(SUM(KB9:KE9)-KF9&gt;0,SUM(KB9:KE9)-KF9,"")</f>
        <v/>
      </c>
      <c r="KV9" s="16" t="str">
        <f>IF(KI9&gt;0,KI9,"")</f>
        <v/>
      </c>
      <c r="KW9" s="16" t="str">
        <f>IF(KJ9&gt;0,KJ9,"")</f>
        <v/>
      </c>
      <c r="KX9" s="16" t="str">
        <f>IF(SUM(KG9:KJ9)-KK9&gt;0,SUM(KG9:KJ9)-KK9,"")</f>
        <v/>
      </c>
      <c r="KY9" s="16" t="str">
        <f>IF(SUM(KR9,KX9)&gt;0,SUM(KR9,KX9),"")</f>
        <v/>
      </c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76" t="str">
        <f>IF(LB9&gt;0,LB9,"")</f>
        <v/>
      </c>
      <c r="LU9" s="76" t="str">
        <f>IF(LC9&gt;0,LC9,"")</f>
        <v/>
      </c>
      <c r="LV9" s="76" t="str">
        <f>IF(SUM(KZ9:LC9)-LD9&gt;0,SUM(KZ9:LC9)-LD9,"")</f>
        <v/>
      </c>
      <c r="LW9" s="76" t="str">
        <f>IF(LG9&gt;0,LG9,"")</f>
        <v/>
      </c>
      <c r="LX9" s="76" t="str">
        <f>IF(LH9&gt;0,LH9,"")</f>
        <v/>
      </c>
      <c r="LY9" s="76" t="str">
        <f>IF(SUM(LE9:LH9)-LI9&gt;0,SUM(LE9:LH9)-LI9,"")</f>
        <v/>
      </c>
      <c r="LZ9" s="76" t="str">
        <f>IF(MAX(LV9,LY9)&gt;0,MAX(LV9,LY9),"")</f>
        <v/>
      </c>
      <c r="MA9" s="76" t="str">
        <f>IF(LL9&gt;0,LL9,"")</f>
        <v/>
      </c>
      <c r="MB9" s="76" t="str">
        <f>IF(LM9&gt;0,LM9,"")</f>
        <v/>
      </c>
      <c r="MC9" s="76" t="str">
        <f>IF(SUM(LJ9:LM9)-LN9&gt;0,SUM(LJ9:LM9)-LN9,"")</f>
        <v/>
      </c>
      <c r="MD9" s="76" t="str">
        <f>IF(LQ9&gt;0,LQ9,"")</f>
        <v/>
      </c>
      <c r="ME9" s="76" t="str">
        <f>IF(LR9&gt;0,LR9,"")</f>
        <v/>
      </c>
      <c r="MF9" s="76" t="str">
        <f>IF(SUM(LO9:LR9)-LS9&gt;0,SUM(LO9:LR9)-LS9,"")</f>
        <v/>
      </c>
      <c r="MG9" s="76" t="str">
        <f>IF(SUM(LZ9,MF9)&gt;0,SUM(LZ9,MF9),"")</f>
        <v/>
      </c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16" t="str">
        <f>IF(MJ9&gt;0,MJ9,"")</f>
        <v/>
      </c>
      <c r="NC9" s="16" t="str">
        <f>IF(MK9&gt;0,MK9,"")</f>
        <v/>
      </c>
      <c r="ND9" s="16" t="str">
        <f>IF(SUM(MH9:MK9)-ML9&gt;0,SUM(MH9:MK9)-ML9,"")</f>
        <v/>
      </c>
      <c r="NE9" s="16" t="str">
        <f>IF(MO9&gt;0,MO9,"")</f>
        <v/>
      </c>
      <c r="NF9" s="16" t="str">
        <f>IF(MP9&gt;0,MP9,"")</f>
        <v/>
      </c>
      <c r="NG9" s="16" t="str">
        <f>IF(SUM(MM9:MP9)-MQ9&gt;0,SUM(MM9:MP9)-MQ9,"")</f>
        <v/>
      </c>
      <c r="NH9" s="16" t="str">
        <f>IF(MAX(ND9,NG9)&gt;0,MAX(ND9,NG9),"")</f>
        <v/>
      </c>
      <c r="NI9" s="16" t="str">
        <f>IF(MT9&gt;0,MT9,"")</f>
        <v/>
      </c>
      <c r="NJ9" s="16" t="str">
        <f>IF(MU9&gt;0,MU9,"")</f>
        <v/>
      </c>
      <c r="NK9" s="16" t="str">
        <f>IF(SUM(MR9:MU9)-MV9&gt;0,SUM(MR9:MU9)-MV9,"")</f>
        <v/>
      </c>
      <c r="NL9" s="16" t="str">
        <f>IF(MY9&gt;0,MY9,"")</f>
        <v/>
      </c>
      <c r="NM9" s="16" t="str">
        <f>IF(MZ9&gt;0,MZ9,"")</f>
        <v/>
      </c>
      <c r="NN9" s="16" t="str">
        <f>IF(SUM(MW9:MZ9)-NA9&gt;0,SUM(MW9:MZ9)-NA9,"")</f>
        <v/>
      </c>
      <c r="NO9" s="16" t="str">
        <f>IF(SUM(NH9,NN9)&gt;0,SUM(NH9,NN9),"")</f>
        <v/>
      </c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76" t="str">
        <f>IF(NR9&gt;0,NR9,"")</f>
        <v/>
      </c>
      <c r="OK9" s="76" t="str">
        <f>IF(NS9&gt;0,NS9,"")</f>
        <v/>
      </c>
      <c r="OL9" s="76" t="str">
        <f>IF(SUM(NP9:NS9)-NT9&gt;0,SUM(NP9:NS9)-NT9,"")</f>
        <v/>
      </c>
      <c r="OM9" s="76" t="str">
        <f>IF(NW9&gt;0,NW9,"")</f>
        <v/>
      </c>
      <c r="ON9" s="76" t="str">
        <f>IF(NX9&gt;0,NX9,"")</f>
        <v/>
      </c>
      <c r="OO9" s="76" t="str">
        <f>IF(SUM(NU9:NX9)-NY9&gt;0,SUM(NU9:NX9)-NY9,"")</f>
        <v/>
      </c>
      <c r="OP9" s="76" t="str">
        <f>IF(MAX(OL9,OO9)&gt;0,MAX(OL9,OO9),"")</f>
        <v/>
      </c>
      <c r="OQ9" s="76" t="str">
        <f>IF(OB9&gt;0,OB9,"")</f>
        <v/>
      </c>
      <c r="OR9" s="76" t="str">
        <f>IF(OC9&gt;0,OC9,"")</f>
        <v/>
      </c>
      <c r="OS9" s="76" t="str">
        <f>IF(SUM(NZ9:OC9)-OD9&gt;0,SUM(NZ9:OC9)-OD9,"")</f>
        <v/>
      </c>
      <c r="OT9" s="76" t="str">
        <f>IF(OG9&gt;0,OG9,"")</f>
        <v/>
      </c>
      <c r="OU9" s="76" t="str">
        <f>IF(OH9&gt;0,OH9,"")</f>
        <v/>
      </c>
      <c r="OV9" s="76" t="str">
        <f>IF(SUM(OE9:OH9)-OI9&gt;0,SUM(OE9:OH9)-OI9,"")</f>
        <v/>
      </c>
      <c r="OW9" s="76" t="str">
        <f>IF(SUM(OP9,OV9)&gt;0,SUM(OP9,OV9),"")</f>
        <v/>
      </c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16" t="str">
        <f>IF(OZ9&gt;0,OZ9,"")</f>
        <v/>
      </c>
      <c r="PS9" s="16" t="str">
        <f>IF(PA9&gt;0,PA9,"")</f>
        <v/>
      </c>
      <c r="PT9" s="16" t="str">
        <f>IF(SUM(OX9:PA9)-PB9&gt;0,SUM(OX9:PA9)-PB9,"")</f>
        <v/>
      </c>
      <c r="PU9" s="16" t="str">
        <f>IF(PE9&gt;0,PE9,"")</f>
        <v/>
      </c>
      <c r="PV9" s="16" t="str">
        <f>IF(PF9&gt;0,PF9,"")</f>
        <v/>
      </c>
      <c r="PW9" s="16" t="str">
        <f>IF(SUM(PC9:PF9)-PG9&gt;0,SUM(PC9:PF9)-PG9,"")</f>
        <v/>
      </c>
      <c r="PX9" s="16" t="str">
        <f>IF(MAX(PT9,PW9)&gt;0,MAX(PT9,PW9),"")</f>
        <v/>
      </c>
      <c r="PY9" s="16" t="str">
        <f>IF(PJ9&gt;0,PJ9,"")</f>
        <v/>
      </c>
      <c r="PZ9" s="16" t="str">
        <f>IF(PK9&gt;0,PK9,"")</f>
        <v/>
      </c>
      <c r="QA9" s="16" t="str">
        <f>IF(SUM(PH9:PK9)-PL9&gt;0,SUM(PH9:PK9)-PL9,"")</f>
        <v/>
      </c>
      <c r="QB9" s="16" t="str">
        <f>IF(PO9&gt;0,PO9,"")</f>
        <v/>
      </c>
      <c r="QC9" s="16" t="str">
        <f>IF(PP9&gt;0,PP9,"")</f>
        <v/>
      </c>
      <c r="QD9" s="16" t="str">
        <f>IF(SUM(PM9:PP9)-PQ9&gt;0,SUM(PM9:PP9)-PQ9,"")</f>
        <v/>
      </c>
      <c r="QE9" s="16" t="str">
        <f>IF(SUM(PX9,QD9)&gt;0,SUM(PX9,QD9),"")</f>
        <v/>
      </c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76" t="str">
        <f>IF(QH9&gt;0,QH9,"")</f>
        <v/>
      </c>
      <c r="RA9" s="76" t="str">
        <f>IF(QI9&gt;0,QI9,"")</f>
        <v/>
      </c>
      <c r="RB9" s="76" t="str">
        <f>IF(SUM(QF9:QI9)-QJ9&gt;0,SUM(QF9:QI9)-QJ9,"")</f>
        <v/>
      </c>
      <c r="RC9" s="76" t="str">
        <f>IF(QM9&gt;0,QM9,"")</f>
        <v/>
      </c>
      <c r="RD9" s="76" t="str">
        <f>IF(QN9&gt;0,QN9,"")</f>
        <v/>
      </c>
      <c r="RE9" s="76" t="str">
        <f>IF(SUM(QK9:QN9)-QO9&gt;0,SUM(QK9:QN9)-QO9,"")</f>
        <v/>
      </c>
      <c r="RF9" s="76" t="str">
        <f>IF(MAX(RB9,RE9)&gt;0,MAX(RB9,RE9),"")</f>
        <v/>
      </c>
      <c r="RG9" s="76" t="str">
        <f>IF(QR9&gt;0,QR9,"")</f>
        <v/>
      </c>
      <c r="RH9" s="76" t="str">
        <f>IF(QS9&gt;0,QS9,"")</f>
        <v/>
      </c>
      <c r="RI9" s="76" t="str">
        <f>IF(SUM(QP9:QS9)-QT9&gt;0,SUM(QP9:QS9)-QT9,"")</f>
        <v/>
      </c>
      <c r="RJ9" s="76" t="str">
        <f>IF(QW9&gt;0,QW9,"")</f>
        <v/>
      </c>
      <c r="RK9" s="76" t="str">
        <f>IF(QX9&gt;0,QX9,"")</f>
        <v/>
      </c>
      <c r="RL9" s="76" t="str">
        <f>IF(SUM(QU9:QX9)-QY9&gt;0,SUM(QU9:QX9)-QY9,"")</f>
        <v/>
      </c>
      <c r="RM9" s="76" t="str">
        <f>IF(SUM(RF9,RL9)&gt;0,SUM(RF9,RL9),"")</f>
        <v/>
      </c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16" t="str">
        <f>IF(RP9&gt;0,RP9,"")</f>
        <v/>
      </c>
      <c r="SI9" s="16" t="str">
        <f>IF(RQ9&gt;0,RQ9,"")</f>
        <v/>
      </c>
      <c r="SJ9" s="16" t="str">
        <f>IF(SUM(RN9:RQ9)-RR9&gt;0,SUM(RN9:RQ9)-RR9,"")</f>
        <v/>
      </c>
      <c r="SK9" s="16" t="str">
        <f>IF(RU9&gt;0,RU9,"")</f>
        <v/>
      </c>
      <c r="SL9" s="16" t="str">
        <f>IF(RV9&gt;0,RV9,"")</f>
        <v/>
      </c>
      <c r="SM9" s="16" t="str">
        <f>IF(SUM(RS9:RV9)-RW9&gt;0,SUM(RS9:RV9)-RW9,"")</f>
        <v/>
      </c>
      <c r="SN9" s="16" t="str">
        <f>IF(MAX(SJ9,SM9)&gt;0,MAX(SJ9,SM9),"")</f>
        <v/>
      </c>
      <c r="SO9" s="16" t="str">
        <f>IF(RZ9&gt;0,RZ9,"")</f>
        <v/>
      </c>
      <c r="SP9" s="16" t="str">
        <f>IF(SA9&gt;0,SA9,"")</f>
        <v/>
      </c>
      <c r="SQ9" s="16" t="str">
        <f>IF(SUM(RX9:SA9)-SB9&gt;0,SUM(RX9:SA9)-SB9,"")</f>
        <v/>
      </c>
      <c r="SR9" s="16" t="str">
        <f>IF(SE9&gt;0,SE9,"")</f>
        <v/>
      </c>
      <c r="SS9" s="16" t="str">
        <f>IF(SF9&gt;0,SF9,"")</f>
        <v/>
      </c>
      <c r="ST9" s="16" t="str">
        <f>IF(SUM(SC9:SF9)-SG9&gt;0,SUM(SC9:SF9)-SG9,"")</f>
        <v/>
      </c>
      <c r="SU9" s="16" t="str">
        <f>IF(SUM(SN9,ST9)&gt;0,SUM(SN9,ST9),"")</f>
        <v/>
      </c>
      <c r="SV9" s="42">
        <f>IF($CP9="P",CA9,(CA9+AZ9)/2)</f>
        <v>14.9</v>
      </c>
      <c r="SW9" s="42">
        <f>IF($CP9="P",CB9,(CB9+BA9)/2)</f>
        <v>9.0500000000000007</v>
      </c>
      <c r="SX9" s="42">
        <f>IF($CP9="P",CC9,(CC9+BB9)/2)</f>
        <v>15.3</v>
      </c>
      <c r="SY9" s="42">
        <f>IF($CP9="P",CD9,(CD9+BC9)/2)</f>
        <v>15.21</v>
      </c>
      <c r="SZ9" s="42">
        <f>IF($CP9="P",CE9,(CE9+BD9)/2)</f>
        <v>0</v>
      </c>
      <c r="TA9" s="42">
        <f>IF($CP9="P",CF9,(CF9+BE9)/2)</f>
        <v>9.1</v>
      </c>
      <c r="TB9" s="42">
        <f>IF($CP9="P",CG9,(CG9+BF9)/2)</f>
        <v>5.65</v>
      </c>
      <c r="TC9" s="42">
        <f>IF($CP9="P",CH9,(CH9+BG9)/2)</f>
        <v>9.2999999999999989</v>
      </c>
      <c r="TD9" s="42">
        <f>IF($CP9="P",CI9,(CI9+BH9)/2)</f>
        <v>9.3524999999999991</v>
      </c>
      <c r="TE9" s="42">
        <f>IF($CP9="P",CJ9,(CJ9+BI9)/2)</f>
        <v>0</v>
      </c>
      <c r="TF9" s="42">
        <f>IF($CP9="P",CK9,(CK9+BJ9)/2)</f>
        <v>13.149999999999999</v>
      </c>
      <c r="TG9" s="42">
        <f>IF($CP9="P",CL9,(CL9+BK9)/2)</f>
        <v>8.1999999999999993</v>
      </c>
      <c r="TH9" s="42">
        <f>IF($CP9="P",CM9,(CM9+BL9)/2)</f>
        <v>13.75</v>
      </c>
      <c r="TI9" s="42">
        <f>IF($CP9="P",CN9,(CN9+BM9)/2)</f>
        <v>13.8675</v>
      </c>
      <c r="TJ9" s="42">
        <f>IF($CP9="P",CO9,(CO9+BN9)/2)</f>
        <v>0</v>
      </c>
      <c r="TK9" s="51" t="s">
        <v>61</v>
      </c>
      <c r="TL9" s="76">
        <f>IF(SX9&gt;0,SX9,"")</f>
        <v>15.3</v>
      </c>
      <c r="TM9" s="76">
        <f>IF(SY9&gt;0,SY9,"")</f>
        <v>15.21</v>
      </c>
      <c r="TN9" s="76">
        <f>IF(SUM(SV9:SY9)-SZ9&gt;0,SUM(SV9:SY9)-SZ9,"")</f>
        <v>54.46</v>
      </c>
      <c r="TO9" s="76">
        <f>IF(TC9&gt;0,TC9,"")</f>
        <v>9.2999999999999989</v>
      </c>
      <c r="TP9" s="76">
        <f>IF(TD9&gt;0,TD9,"")</f>
        <v>9.3524999999999991</v>
      </c>
      <c r="TQ9" s="76">
        <f>IF(SUM(TA9:TD9)-TE9&gt;0,SUM(TA9:TD9)-TE9,"")</f>
        <v>33.402499999999996</v>
      </c>
      <c r="TR9" s="76">
        <f>IF(MAX(TN9,TQ9)&gt;0,MAX(TN9,TQ9),"")</f>
        <v>54.46</v>
      </c>
      <c r="TS9" s="76">
        <f>IF(TH9&gt;0,TH9,"")</f>
        <v>13.75</v>
      </c>
      <c r="TT9" s="76">
        <f>IF(TI9&gt;0,TI9,"")</f>
        <v>13.8675</v>
      </c>
      <c r="TU9" s="76">
        <f>IF(SUM(TF9:TI9)-TJ9&gt;0,SUM(TF9:TI9)-TJ9,"")</f>
        <v>48.967499999999994</v>
      </c>
      <c r="TV9" s="76">
        <f>IF(SUM(TR9,TU9)&gt;0,SUM(TR9,TU9),"")</f>
        <v>103.42749999999999</v>
      </c>
    </row>
    <row r="10" spans="1:542" x14ac:dyDescent="0.2">
      <c r="A10" s="5" cm="1">
        <f t="array" ref="A10">IF(AND(F10&lt;&gt;"",G10&lt;&gt;""),SUMPRODUCT((F$4:F$23&lt;&gt;"")*(G$4:G$23&lt;&gt;"")*(E$4:E$23&gt;E10))+1,IF(G10&lt;&gt;"",SUMPRODUCT((H$4:H$23="No DD")*(E$4:E$23&gt;E10))+1+SUMPRODUCT((F$4:F$23&lt;&gt;"")*(G$4:G$23&lt;&gt;"")),""))</f>
        <v>7</v>
      </c>
      <c r="B10" s="6" t="s">
        <v>67</v>
      </c>
      <c r="C10" s="7" t="s">
        <v>9</v>
      </c>
      <c r="D10" s="7">
        <v>2001</v>
      </c>
      <c r="E10" s="14">
        <f>SUM(J10:V10)+SUM(J10:T10)*0.0000001+SUM(J10)*0.0000000000001</f>
        <v>244.0675238085058</v>
      </c>
      <c r="F10" s="3" t="str">
        <f>IF(OR(AND(AO10&gt;=AY$25,AO10&lt;&gt;"",AQ10&gt;=AY$29,AQ10&lt;&gt;"",AN10=""),AND(AR10&gt;=AY$25,AR10&lt;&gt;"",AT10&gt;=AY$29,AT10&lt;&gt;"",AN10=""),AND(AV10&gt;=AY$25,AV10&lt;&gt;"",AX10&gt;=AY$29,AX10&lt;&gt;"",AN10=""),AND(BP10&gt;=BZ$25,BP10&lt;&gt;"",BR10&gt;=BZ$29,BR10&lt;&gt;"",BO10=""),AND(BS10&gt;=BZ$25,BS10&lt;&gt;"",BU10&gt;=BZ$29,BU10&lt;&gt;"",BO10=""),AND(BW10&gt;=BZ$25,BW10&lt;&gt;"",BY10&gt;=BZ$29,BY10&lt;&gt;"",BO10=""),AND(CQ10&gt;=DA$25,CQ10&lt;&gt;"",CS10&gt;=DA$29,CS10&lt;&gt;"",CP10=""),AND(CT10&gt;=DA$25,CT10&lt;&gt;"",CV10&gt;=DA$29,CV10&lt;&gt;"",CP10=""),AND(CX10&gt;=DA$25,CX10&lt;&gt;"",CZ10&gt;=DA$29,CZ10&lt;&gt;"",CP10=""),AND(DX10&gt;=EK$25,DX10&lt;&gt;"",DZ10&gt;=EK$29,DZ10&lt;&gt;""),AND(EA10&gt;=EK$25,EA10&lt;&gt;"",EC10&gt;=EK$29,EC10&lt;&gt;""),AND(EE10&gt;=EK$25,EE10&lt;&gt;"",EG10&gt;=EK$29,EG10&lt;&gt;""),AND(EH10&gt;=EK$25,EH10&lt;&gt;"",EJ10&gt;=EK$29,EJ10&lt;&gt;""),AND(FF10&gt;=FS$25,FF10&lt;&gt;"",FH10&gt;=FS$29,FH10&lt;&gt;""),AND(FI10&gt;=FS$25,FI10&lt;&gt;"",FK10&gt;=FS$29,FK10&lt;&gt;""),AND(FM10&gt;=FS$25,FM10&lt;&gt;"",FO10&gt;=FS$29,FO10&lt;&gt;""),AND(FP10&gt;=FS$25,FP10&lt;&gt;"",FR10&gt;=FS$29,FR10&lt;&gt;""),AND(GN10&gt;=HA$25,GN10&lt;&gt;"",GP10&gt;=HA$29,GP10&lt;&gt;""),AND(GQ10&gt;=HA$25,GQ10&lt;&gt;"",GS10&gt;=HA$29,GS10&lt;&gt;""),AND(GU10&gt;=HA$25,GU10&lt;&gt;"",GW10&gt;=HA$29,GW10&lt;&gt;""),AND(GX10&gt;=HA$25,GX10&lt;&gt;"",GZ10&gt;=HA$29,GZ10&lt;&gt;""),AND(HV10&gt;=II$25,HV10&lt;&gt;"",HX10&gt;=II$29,HX10&lt;&gt;""),AND(HY10&gt;=II$25,HY10&lt;&gt;"",IA10&gt;=II$29,IA10&lt;&gt;""),AND(IC10&gt;=II$25,IC10&lt;&gt;"",IE10&gt;=II$29,IE10&lt;&gt;""),AND(IF10&gt;=II$25,IF10&lt;&gt;"",IH10&gt;=II$29,IH10&lt;&gt;""),AND(JD10&gt;=JQ$25,JD10&lt;&gt;"",JF10&gt;=JQ$29,JF10&lt;&gt;""),AND(JG10&gt;=JQ$25,JG10&lt;&gt;"",JI10&gt;=JQ$29,JI10&lt;&gt;""),AND(JK10&gt;=JQ$25,JK10&lt;&gt;"",JM10&gt;=JQ$29,JM10&lt;&gt;""),AND(JN10&gt;=JQ$25,JN10&lt;&gt;"",JP10&gt;=JQ$29,JP10&lt;&gt;""),AND(KL10&gt;=KY$25,KL10&lt;&gt;"",KN10&gt;=KY$29,KN10&lt;&gt;""),AND(KO10&gt;=KY$25,KO10&lt;&gt;"",KQ10&gt;=KY$29,KQ10&lt;&gt;""),AND(KS10&gt;=KY$25,KS10&lt;&gt;"",KU10&gt;=KY$29,KU10&lt;&gt;""),AND(KV10&gt;=KY$25,KV10&lt;&gt;"",KX10&gt;=KY$29,KX10&lt;&gt;""),AND(LT10&gt;=MG$25,LT10&lt;&gt;"",LV10&gt;=MG$29,LV10&lt;&gt;""),AND(LW10&gt;=MG$25,LW10&lt;&gt;"",LY10&gt;=MG$29,LY10&lt;&gt;""),AND(MA10&gt;=MG$25,MA10&lt;&gt;"",MC10&gt;=MG$29,MC10&lt;&gt;""),AND(MD10&gt;=MG$25,MD10&lt;&gt;"",MF10&gt;=MG$29,MF10&lt;&gt;""),AND(NB10&gt;=NO$25,NB10&lt;&gt;"",ND10&gt;=NO$29,ND10&lt;&gt;""),AND(NE10&gt;=NO$25,NE10&lt;&gt;"",NG10&gt;=NO$29,NG10&lt;&gt;""),AND(NI10&gt;=NO$25,NI10&lt;&gt;"",NK10&gt;=NO$29,NK10&lt;&gt;""),AND(NL10&gt;=NO$25,NL10&lt;&gt;"",NN10&gt;=NO$29,NN10&lt;&gt;""),AND(OJ10&gt;=OW$25,OJ10&lt;&gt;"",OL10&gt;=OW$29,OL10&lt;&gt;""),AND(OM10&gt;=OW$25,OM10&lt;&gt;"",OO10&gt;=OW$29,OO10&lt;&gt;""),AND(OQ10&gt;=OW$25,OQ10&lt;&gt;"",OS10&gt;=OW$29,OS10&lt;&gt;""),AND(OT10&gt;=OW$25,OT10&lt;&gt;"",OV10&gt;=OW$29,OV10&lt;&gt;""),AND(PR10&gt;=QE$25,PR10&lt;&gt;"",PT10&gt;=QE$29,PT10&lt;&gt;""),AND(PU10&gt;=QE$25,PU10&lt;&gt;"",PW10&gt;=QE$29,PW10&lt;&gt;""),AND(PY10&gt;=QE$25,PY10&lt;&gt;"",QA10&gt;=QE$29,QA10&lt;&gt;""),AND(QB10&gt;=QE$25,QB10&lt;&gt;"",QD10&gt;=QE$29,QD10&lt;&gt;""),AND(QZ10&gt;=RM$25,QZ10&lt;&gt;"",RB10&gt;=RM$29,RB10&lt;&gt;""),AND(RC10&gt;=RM$25,RC10&lt;&gt;"",RE10&gt;=RM$29,RE10&lt;&gt;""),AND(RG10&gt;=RM$25,RG10&lt;&gt;"",RI10&gt;=RM$29,RI10&lt;&gt;""),AND(RJ10&gt;=RM$25,RJ10&lt;&gt;"",RL10&gt;=RM$29,RL10&lt;&gt;""),AND(SH10&gt;=SU$25,SH10&lt;&gt;"",SJ10&gt;=SU$29,SJ10&lt;&gt;""),AND(SK10&gt;=SU$25,SK10&lt;&gt;"",SM10&gt;=SU$29,SM10&lt;&gt;""),AND(SO10&gt;=SU$25,SO10&lt;&gt;"",SQ10&gt;=SU$29,SQ10&lt;&gt;""),AND(SR10&gt;=SU$25,SR10&lt;&gt;"",ST10&gt;=SU$29,ST10&lt;&gt;"")),"P","")</f>
        <v>P</v>
      </c>
      <c r="G10" s="3" t="str">
        <f>IF(OR(AND(AQ10&gt;=AY$29,AQ10&lt;&gt;"",AN10=""),AND(AT10&gt;=AY$29,AT10&lt;&gt;"",AN10=""),AND(AX10&gt;=AY$29,AX10&lt;&gt;"",AN10=""),AND(BR10&gt;=BZ$29,BR10&lt;&gt;"",BO10=""),AND(BU10&gt;=BZ$29,BU10&lt;&gt;"",BO10=""),AND(BY10&gt;=BZ$29,BY10&lt;&gt;"",BO10=""),AND(CS10&gt;=DA$29,CS10&lt;&gt;"",CP10=""),AND(CV10&gt;=DA$29,CV10&lt;&gt;"",CP10=""),AND(CZ10&gt;=DA$29,CZ10&lt;&gt;"",CP10=""),AND(DZ10&gt;=EK$29,DZ10&lt;&gt;""),AND(EC10&gt;=EK$29,EC10&lt;&gt;""),AND(EG10&gt;=EK$29,EG10&lt;&gt;""),AND(EJ10&gt;=EK$29,EJ10&lt;&gt;""),AND(FH10&gt;=FS$29,FH10&lt;&gt;""),AND(FK10&gt;=FS$29,FK10&lt;&gt;""),AND(FO10&gt;=FS$29,FO10&lt;&gt;""),AND(FR10&gt;=FS$29,FR10&lt;&gt;""),AND(GP10&gt;=HA$29,GP10&lt;&gt;""),AND(GS10&gt;=HA$29,GS10&lt;&gt;""),AND(GW10&gt;=HA$29,GW10&lt;&gt;""),AND(GZ10&gt;=HA$29,GZ10&lt;&gt;""),AND(HX10&gt;=II$29,HX10&lt;&gt;""),AND(IA10&gt;=II$29,IA10&lt;&gt;""),AND(IE10&gt;=II$29,IE10&lt;&gt;""),AND(IH10&gt;=II$29,IH10&lt;&gt;""),AND(JF10&gt;=JQ$29,JF10&lt;&gt;""),AND(JI10&gt;=JQ$29,JI10&lt;&gt;""),AND(JM10&gt;=JQ$29,JM10&lt;&gt;""),AND(JP10&gt;=JQ$29,JP10&lt;&gt;""),AND(KN10&gt;=KY$29,KN10&lt;&gt;""),AND(KQ10&gt;=KY$29,KQ10&lt;&gt;""),AND(KU10&gt;=KY$29,KU10&lt;&gt;""),AND(KX10&gt;=KY$29,KX10&lt;&gt;""),AND(LV10&gt;=MG$29,LV10&lt;&gt;""),AND(LY10&gt;=MG$29,LY10&lt;&gt;""),AND(MC10&gt;=MG$29,MC10&lt;&gt;""),AND(MF10&gt;=MG$29,MF10&lt;&gt;""),AND(ND10&gt;=NO$29,ND10&lt;&gt;""),AND(NG10&gt;=NO$29,NG10&lt;&gt;""),AND(NK10&gt;=NO$29,NK10&lt;&gt;""),AND(NN10&gt;=NO$29,NN10&lt;&gt;""),AND(OL10&gt;=OW$29,OL10&lt;&gt;""),AND(OO10&gt;=OW$29,OO10&lt;&gt;""),AND(OS10&gt;=OW$29,OS10&lt;&gt;""),AND(OV10&gt;=OW$29,OV10&lt;&gt;""),AND(PT10&gt;=QE$29,PT10&lt;&gt;""),AND(PW10&gt;=QE$29,PW10&lt;&gt;""),AND(QA10&gt;=QE$29,QA10&lt;&gt;""),AND(QD10&gt;=QE$29,QD10&lt;&gt;""),AND(RB10&gt;=RM$29,RB10&lt;&gt;""),AND(RE10&gt;=RM$29,RE10&lt;&gt;""),AND(RI10&gt;=RM$29,RI10&lt;&gt;""),AND(RL10&gt;=RM$29,RL10&lt;&gt;""),AND(SJ10&gt;=SU$29,SJ10&lt;&gt;""),AND(SM10&gt;=SU$29,SM10&lt;&gt;""),AND(SQ10&gt;=SU$29,SQ10&lt;&gt;""),AND(ST10&gt;=SU$29,ST10&lt;&gt;"")),"P","")</f>
        <v>P</v>
      </c>
      <c r="H10" s="70" t="str">
        <f>IF(AND(G10="P",F10=""),"No DD",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),"Merit",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X10&gt;=EK$27,DX10&lt;&gt;"",DZ10&gt;=EK$31,DZ10&lt;&gt;""),AND(EA10&gt;=EK$27,EA10&lt;&gt;"",EC10&gt;=EK$31,EC10&lt;&gt;""),AND(EE10&gt;=EK$27,EE10&lt;&gt;"",EG10&gt;=EK$31,EG10&lt;&gt;""),AND(EH10&gt;=EK$27,EH10&lt;&gt;"",EJ10&gt;=EK$31,EJ10&lt;&gt;""),AND(FF10&gt;=FS$27,FF10&lt;&gt;"",FH10&gt;=FS$31,FH10&lt;&gt;""),AND(FI10&gt;=FS$27,FI10&lt;&gt;"",FK10&gt;=FS$31,FK10&lt;&gt;""),AND(FM10&gt;=FS$27,FM10&lt;&gt;"",FO10&gt;=FS$31,FO10&lt;&gt;""),AND(FP10&gt;=FS$27,FP10&lt;&gt;"",FR10&gt;=FS$31,FR10&lt;&gt;""),AND(GN10&gt;=HA$27,GN10&lt;&gt;"",GP10&gt;=HA$31,GP10&lt;&gt;""),AND(GQ10&gt;=HA$27,GQ10&lt;&gt;"",GS10&gt;=HA$31,GS10&lt;&gt;""),AND(GU10&gt;=HA$27,GU10&lt;&gt;"",GW10&gt;=HA$31,GW10&lt;&gt;""),AND(GX10&gt;=HA$27,GX10&lt;&gt;"",GZ10&gt;=HA$31,GZ10&lt;&gt;""),AND(HV10&gt;=II$27,HV10&lt;&gt;"",HX10&gt;=II$31,HX10&lt;&gt;""),AND(HY10&gt;=II$27,HY10&lt;&gt;"",IA10&gt;=II$31,IA10&lt;&gt;""),AND(IC10&gt;=II$27,IC10&lt;&gt;"",IE10&gt;=II$31,IE10&lt;&gt;""),AND(IF10&gt;=II$27,IF10&lt;&gt;"",IH10&gt;=II$31,IH10&lt;&gt;""),AND(JD10&gt;=JQ$27,JD10&lt;&gt;"",JF10&gt;=JQ$31,JF10&lt;&gt;""),AND(JG10&gt;=JQ$27,JG10&lt;&gt;"",JI10&gt;=JQ$31,JI10&lt;&gt;""),AND(JK10&gt;=JQ$27,JK10&lt;&gt;"",JM10&gt;=JQ$31,JM10&lt;&gt;""),AND(JN10&gt;=JQ$27,JN10&lt;&gt;"",JP10&gt;=JQ$31,JP10&lt;&gt;""),AND(KL10&gt;=KY$27,KL10&lt;&gt;"",KN10&gt;=KY$31,KN10&lt;&gt;""),AND(KO10&gt;=KY$27,KO10&lt;&gt;"",KQ10&gt;=KY$31,KQ10&lt;&gt;""),AND(KS10&gt;=KY$27,KS10&lt;&gt;"",KU10&gt;=KY$31,KU10&lt;&gt;""),AND(KV10&gt;=KY$27,KV10&lt;&gt;"",KX10&gt;=KY$31,KX10&lt;&gt;""),AND(LT10&gt;=MG$27,LT10&lt;&gt;"",LV10&gt;=MG$31,LV10&lt;&gt;""),AND(LW10&gt;=MG$27,LW10&lt;&gt;"",LY10&gt;=MG$31,LY10&lt;&gt;""),AND(MA10&gt;=MG$27,MA10&lt;&gt;"",MC10&gt;=MG$31,MC10&lt;&gt;""),AND(MD10&gt;=MG$27,MD10&lt;&gt;"",MF10&gt;=MG$31,MF10&lt;&gt;""),AND(NB10&gt;=NO$27,NB10&lt;&gt;"",ND10&gt;=NO$31,ND10&lt;&gt;""),AND(NE10&gt;=NO$27,NE10&lt;&gt;"",NG10&gt;=NO$31,NG10&lt;&gt;""),AND(NI10&gt;=NO$27,NI10&lt;&gt;"",NK10&gt;=NO$31,NK10&lt;&gt;""),AND(NL10&gt;=NO$27,NL10&lt;&gt;"",NN10&gt;=NO$31,NN10&lt;&gt;""),AND(OJ10&gt;=OW$27,OJ10&lt;&gt;"",OL10&gt;=OW$31,OL10&lt;&gt;""),AND(OM10&gt;=OW$27,OM10&lt;&gt;"",OO10&gt;=OW$31,OO10&lt;&gt;""),AND(OQ10&gt;=OW$27,OQ10&lt;&gt;"",OS10&gt;=OW$31,OS10&lt;&gt;""),AND(OT10&gt;=OW$27,OT10&lt;&gt;"",OV10&gt;=OW$31,OV10&lt;&gt;""),AND(PR10&gt;=QE$27,PR10&lt;&gt;"",PT10&gt;=QE$31,PT10&lt;&gt;""),AND(PU10&gt;=QE$27,PU10&lt;&gt;"",PW10&gt;=QE$31,PW10&lt;&gt;""),AND(PY10&gt;=QE$27,PY10&lt;&gt;"",QA10&gt;=QE$31,QA10&lt;&gt;""),AND(QB10&gt;=QE$27,QB10&lt;&gt;"",QD10&gt;=QE$31,QD10&lt;&gt;""),AND(QZ10&gt;=RM$27,QZ10&lt;&gt;"",RB10&gt;=RM$31,RB10&lt;&gt;""),AND(RC10&gt;=RM$27,RC10&lt;&gt;"",RE10&gt;=RM$31,RE10&lt;&gt;""),AND(RG10&gt;=RM$27,RG10&lt;&gt;"",RI10&gt;=RM$31,RI10&lt;&gt;""),AND(RJ10&gt;=RM$27,RJ10&lt;&gt;"",RL10&gt;=RM$31,RL10&lt;&gt;""),AND(SH10&gt;=SU$27,SH10&lt;&gt;"",SJ10&gt;=SU$31,SJ10&lt;&gt;""),AND(SK10&gt;=SU$27,SK10&lt;&gt;"",SM10&gt;=SU$31,SM10&lt;&gt;""),AND(SO10&gt;=SU$27,SO10&lt;&gt;"",SQ10&gt;=SU$31,SQ10&lt;&gt;""),AND(SR10&gt;=SU$27,SR10&lt;&gt;"",ST10&gt;=SU$31,ST10&lt;&gt;"")),"Excellence",IF(I10="P","Worlds Team",IF(F10="P","National Team","")))))</f>
        <v>Worlds Team</v>
      </c>
      <c r="I10" s="3" t="str">
        <f>IF(OR(AND(AO10&gt;=AY$26,AO10&lt;&gt;"",AQ10&gt;=AY$30,AQ10&lt;&gt;"",AN10=""),AND(AR10&gt;=AY$26,AR10&lt;&gt;"",AT10&gt;=AY$30,AT10&lt;&gt;"",AN10=""),AND(AV10&gt;=AY$26,AV10&lt;&gt;"",AX10&gt;=AY$30,AX10&lt;&gt;"",AN10=""),AND(BP10&gt;=BZ$26,BP10&lt;&gt;"",BR10&gt;=BZ$30,BR10&lt;&gt;"",BO10=""),AND(BS10&gt;=BZ$26,BS10&lt;&gt;"",BU10&gt;=BZ$30,BU10&lt;&gt;"",BO10=""),AND(BW10&gt;=BZ$26,BW10&lt;&gt;"",BY10&gt;=BZ$30,BY10&lt;&gt;"",BO10=""),AND(CQ10&gt;=DA$26,CQ10&lt;&gt;"",CS10&gt;=DA$30,CS10&lt;&gt;"",CP10=""),AND(CT10&gt;=DA$26,CT10&lt;&gt;"",CV10&gt;=DA$30,CV10&lt;&gt;"",CP10=""),AND(CX10&gt;=DA$26,CX10&lt;&gt;"",CZ10&gt;=DA$30,CZ10&lt;&gt;"",CP10=""),AND(DX10&gt;=EK$26,DX10&lt;&gt;"",DZ10&gt;=EK$30,DZ10&lt;&gt;""),AND(EA10&gt;=EK$26,EA10&lt;&gt;"",EC10&gt;=EK$30,EC10&lt;&gt;""),AND(EE10&gt;=EK$26,EE10&lt;&gt;"",EG10&gt;=EK$30,EG10&lt;&gt;""),AND(EH10&gt;=EK$26,EH10&lt;&gt;"",EJ10&gt;=EK$30,EJ10&lt;&gt;""),AND(FF10&gt;=FS$26,FF10&lt;&gt;"",FH10&gt;=FS$30,FH10&lt;&gt;""),AND(FI10&gt;=FS$26,FI10&lt;&gt;"",FK10&gt;=FS$30,FK10&lt;&gt;""),AND(FM10&gt;=FS$26,FM10&lt;&gt;"",FO10&gt;=FS$30,FO10&lt;&gt;""),AND(FP10&gt;=FS$26,FP10&lt;&gt;"",FR10&gt;=FS$30,FR10&lt;&gt;""),AND(GN10&gt;=HA$26,GN10&lt;&gt;"",GP10&gt;=HA$30,GP10&lt;&gt;""),AND(GQ10&gt;=HA$26,GQ10&lt;&gt;"",GS10&gt;=HA$30,GS10&lt;&gt;""),AND(GU10&gt;=HA$26,GU10&lt;&gt;"",GW10&gt;=HA$30,GW10&lt;&gt;""),AND(GX10&gt;=HA$26,GX10&lt;&gt;"",GZ10&gt;=HA$30,GZ10&lt;&gt;""),AND(HV10&gt;=II$26,HV10&lt;&gt;"",HX10&gt;=II$30,HX10&lt;&gt;""),AND(HY10&gt;=II$26,HY10&lt;&gt;"",IA10&gt;=II$30,IA10&lt;&gt;""),AND(IC10&gt;=II$26,IC10&lt;&gt;"",IE10&gt;=II$30,IE10&lt;&gt;""),AND(IF10&gt;=II$26,IF10&lt;&gt;"",IH10&gt;=II$30,IH10&lt;&gt;""),AND(JD10&gt;=JQ$26,JD10&lt;&gt;"",JF10&gt;=JQ$30,JF10&lt;&gt;""),AND(JG10&gt;=JQ$26,JG10&lt;&gt;"",JI10&gt;=JQ$30,JI10&lt;&gt;""),AND(JK10&gt;=JQ$26,JK10&lt;&gt;"",JM10&gt;=JQ$30,JM10&lt;&gt;""),AND(JN10&gt;=JQ$26,JN10&lt;&gt;"",JP10&gt;=JQ$30,JP10&lt;&gt;""),AND(KL10&gt;=KY$26,KL10&lt;&gt;"",KN10&gt;=KY$30,KN10&lt;&gt;""),AND(KO10&gt;=KY$26,KO10&lt;&gt;"",KQ10&gt;=KY$30,KQ10&lt;&gt;""),AND(KS10&gt;=KY$26,KS10&lt;&gt;"",KU10&gt;=KY$30,KU10&lt;&gt;""),AND(KV10&gt;=KY$26,KV10&lt;&gt;"",KX10&gt;=KY$30,KX10&lt;&gt;""),AND(LT10&gt;=MG$26,LT10&lt;&gt;"",LV10&gt;=MG$30,LV10&lt;&gt;""),AND(LW10&gt;=MG$26,LW10&lt;&gt;"",LY10&gt;=MG$30,LY10&lt;&gt;""),AND(MA10&gt;=MG$26,MA10&lt;&gt;"",MC10&gt;=MG$30,MC10&lt;&gt;""),AND(MD10&gt;=MG$26,MD10&lt;&gt;"",MF10&gt;=MG$30,MF10&lt;&gt;""),AND(NB10&gt;=NO$26,NB10&lt;&gt;"",ND10&gt;=NO$30,ND10&lt;&gt;""),AND(NE10&gt;=NO$26,NE10&lt;&gt;"",NG10&gt;=NO$30,NG10&lt;&gt;""),AND(NI10&gt;=NO$26,NI10&lt;&gt;"",NK10&gt;=NO$30,NK10&lt;&gt;""),AND(NL10&gt;=NO$26,NL10&lt;&gt;"",NN10&gt;=NO$30,NN10&lt;&gt;""),AND(OJ10&gt;=OW$26,OJ10&lt;&gt;"",OL10&gt;=OW$30,OL10&lt;&gt;""),AND(OM10&gt;=OW$26,OM10&lt;&gt;"",OO10&gt;=OW$30,OO10&lt;&gt;""),AND(OQ10&gt;=OW$26,OQ10&lt;&gt;"",OS10&gt;=OW$30,OS10&lt;&gt;""),AND(OT10&gt;=OW$26,OT10&lt;&gt;"",OV10&gt;=OW$30,OV10&lt;&gt;""),AND(PR10&gt;=QE$26,PR10&lt;&gt;"",PT10&gt;=QE$30,PT10&lt;&gt;""),AND(PU10&gt;=QE$26,PU10&lt;&gt;"",PW10&gt;=QE$30,PW10&lt;&gt;""),AND(PY10&gt;=QE$26,PY10&lt;&gt;"",QA10&gt;=QE$30,QA10&lt;&gt;""),AND(QB10&gt;=QE$26,QB10&lt;&gt;"",QD10&gt;=QE$30,QD10&lt;&gt;""),AND(QZ10&gt;=RM$26,QZ10&lt;&gt;"",RB10&gt;=RM$30,RB10&lt;&gt;""),AND(RC10&gt;=RM$26,RC10&lt;&gt;"",RE10&gt;=RM$30,RE10&lt;&gt;""),AND(RG10&gt;=RM$26,RG10&lt;&gt;"",RI10&gt;=RM$30,RI10&lt;&gt;""),AND(RJ10&gt;=RM$26,RJ10&lt;&gt;"",RL10&gt;=RM$30,RL10&lt;&gt;""),AND(SH10&gt;=SU$26,SH10&lt;&gt;"",SJ10&gt;=SU$30,SJ10&lt;&gt;""),AND(SK10&gt;=SU$26,SK10&lt;&gt;"",SM10&gt;=SU$30,SM10&lt;&gt;""),AND(SO10&gt;=SU$26,SO10&lt;&gt;"",SQ10&gt;=SU$30,SQ10&lt;&gt;""),AND(SR10&gt;=SU$26,SR10&lt;&gt;"",ST10&gt;=SU$30,ST10&lt;&gt;"")),"P","")</f>
        <v>P</v>
      </c>
      <c r="J10" s="13">
        <f>IF(COUNT(AQ10,AT10,BR10,BU10,CS10,CV10)&gt;0,LARGE((AQ10,AT10,BR10,BU10,CS10,CV10),1),0)</f>
        <v>58.054999999999993</v>
      </c>
      <c r="K10" s="13" t="str">
        <f>IF(J10="","",IF(OR(J10=CS10,J10=CV10),$CA$1,IF(OR(J10=BR10,J10=BU10),$AZ$1,IF(OR(J10=AQ10,J10=AT10),$Y$1,""))))</f>
        <v>2022 Elite Canada</v>
      </c>
      <c r="L10" s="13">
        <f>IF(COUNT(AQ10,AT10,BR10,BU10,CS10,CV10)&gt;1,LARGE((AQ10,AT10,BR10,BU10,CS10,CV10),2),0)</f>
        <v>51.827500000000001</v>
      </c>
      <c r="M10" s="13" t="str">
        <f>IF(L10="","",IF(OR(L10=CS10,L10=CV10),$CA$1,IF(OR(L10=BR10,L10=BU10),$AZ$1,IF(OR(L10=AQ10,L10=AT10),$Y$1,""))))</f>
        <v>2021 Canadian Championships</v>
      </c>
      <c r="N10" s="13">
        <f>IF(COUNT(AQ10,AT10,BR10,BU10,CS10,CV10)&gt;2,LARGE((AQ10,AT10,BR10,BU10,CS10,CV10),3),0)</f>
        <v>51.827500000000001</v>
      </c>
      <c r="O10" s="13" t="str">
        <f>IF(N10="","",IF(OR(N10=CS10,N10=CV10),$CA$1,IF(OR(N10=BR10,N10=BU10),$AZ$1,IF(OR(N10=AQ10,N10=AT10),$Y$1,""))))</f>
        <v>2021 Canadian Championships</v>
      </c>
      <c r="P10" s="13">
        <f>IF(MAX(AX10,BY10,CZ10)&gt;0,MAX(AX10,BY10,CZ10),0)</f>
        <v>42.02</v>
      </c>
      <c r="Q10" s="13" t="str">
        <f>IF(P10="","",IF(P10=CZ10,$CA$1,IF(P10=BY10,$AZ$1,IF(P10=AX10,$Y$1,""))))</f>
        <v>2021 Canadian Championships</v>
      </c>
      <c r="R10" s="13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17.100000000000001</v>
      </c>
      <c r="S10" s="13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2021 World Cup ITA/Olympic Technical Trial (June 4/9)</v>
      </c>
      <c r="T10" s="13">
        <f>IF(MAX(IF(AO10&gt;=$AY$25,AP10,0),IF(AR10&gt;=$AY$25,AS10,0),IF(AV10&gt;=$AY$25,AW10,0),IF(BP10&gt;=$BZ$25,BQ10,0),IF(BS10&gt;=$BZ$25,BT10,0),IF(BW10&gt;=$BZ$25,BX10,0),IF(CQ10&gt;=$DA$25,CR10,0),IF(CT10&gt;=$DA$25,CU10,0),IF(CX10&gt;=$DA$25,CY10,0))&gt;0,MAX(IF(AO10&gt;=$AY$25,AP10,0),IF(AR10&gt;=$AY$25,AS10,0),IF(AV10&gt;=$AY$25,AW10,0),IF(BP10&gt;=$BZ$25,BQ10,0),IF(BS10&gt;=$BZ$25,BT10,0),IF(BW10&gt;=$BZ$25,BX10,0),IF(CQ10&gt;=$DA$25,CR10,0),IF(CT10&gt;=$DA$25,CU10,0),IF(CX10&gt;=$DA$25,CY10,0),IF(DX10&gt;=$EK$25,DY10,0),IF(EA10&gt;=$EK$25,EB10,0),IF(EE10&gt;=$EK$25,EF10,0),IF(EH10&gt;=$EK$25,EI10,0),IF(FF10&gt;=$FS$25,FG10,0),IF(FI10&gt;=$FS$25,FJ10,0),IF(FM10&gt;=$FS$25,FN10,0),IF(FP10&gt;=$FS$25,FQ10,0),IF(GN10&gt;=$HA$25,GO10,0),IF(GQ10&gt;=$HA$25,GR10,0),IF(GU10&gt;=$HA$25,GV10,0),IF(GX10&gt;=$HA$25,GY10,0),IF(HV10&gt;=$II$25,HW10,0),IF(HY10&gt;=$II$25,HZ10,0),IF(IC10&gt;=$II$25,ID10,0),IF(IF10&gt;=$II$25,IG10,0),IF(JD10&gt;=$JQ$25,JE10,0),IF(JG10&gt;=$JQ$25,JH10,0),IF(JK10&gt;=$JQ$25,JL10,0),IF(JN10&gt;=$JQ$25,JO10,0),IF(KL10&gt;=$KY$25,KM10,0),IF(KO10&gt;=$KY$25,KP10,0),IF(KS10&gt;=$KY$25,KT10,0),IF(KV10&gt;=$KY$25,KW10,0),IF(LT10&gt;=$MG$25,LU10,0),IF(LW10&gt;=$MG$25,LX10,0),IF(MA10&gt;=$MG$25,MB10,0),IF(MD10&gt;=$MG$25,ME10,0),IF(NB10&gt;=$NO$25,NC10,0),IF(NE10&gt;=$NO$25,NF10,0),IF(NI10&gt;=$NO$25,NJ10,0),IF(NL10&gt;=$NO$25,NM10,0),IF(OJ10&gt;=$OW$25,OK10,0),IF(OM10&gt;=$OW$25,ON10,0),IF(OQ10&gt;=$OW$25,OR10,0),IF(OT10&gt;=$OW$25,OU10,0),IF(PR10&gt;=$QE$25,PS10,0),IF(PU10&gt;=$QE$25,PV10,0),IF(PY10&gt;=$QE$25,PZ10,0),IF(QB10&gt;=$QE$25,QC10,0),IF(QZ10&gt;=$RM$25,RA10,0),IF(RC10&gt;=$RM$25,RD10,0),IF(RG10&gt;=$RM$25,RH10,0),IF(RJ10&gt;=$RM$25,RK10,0),IF(SH10&gt;=$SU$25,SI10,0),IF(SK10&gt;=$SU$25,SL10,0),IF(SO10&gt;=$SU$25,SP10,0),IF(SR10&gt;=$SU$25,SS10,0)),0)</f>
        <v>17.254999999999999</v>
      </c>
      <c r="U10" s="13" t="str">
        <f>IF(T10=0,"",IF(OR(T10=CR10,T10=CU10,T10=CY10),$CA$1,IF(OR(T10=BQ10,T10=BT10,T10=BX10),$AZ$1,IF(OR(T10=AP10,T10=AS10,T10=AW10),$Y$1,IF(OR(R10=SI10,R10=SL10,R10=SP10,R10=SS10),$RN$1,IF(OR(R10=RA10,R10=RD10,R10=RH10,R10=RK10),$QF$1,IF(OR(R10=PS10,R10=PV10,R10=PZ10,R10=QC10),$OX$1,IF(OR(R10=OK10,R10=ON10,R10=OR10,R10=OU10),$NP$1,IF(OR(R10=NC10,R10=NF10,R10=NJ10,R10=NM10),$MH$1,IF(OR(R10=LU10,R10=LX10,R10=MB10,R10=ME10),$KZ$1,IF(OR(R10=KM10,R10=KP10,R10=KT10,R10=KW10),$JR$1,IF(OR(R10=JE10,R10=JH10,R10=JL10,R10=JO10),$IJ$1,IF(OR(R10=HW10,R10=HZ10,R10=ID10,R10=IG10),$HB$1,IF(OR(R10=GO10,R10=GR10,R10=GV10,R10=GY10),$FT$1,IF(OR(R10=FG10,R10=FJ10,R10=FN10,R10=FQ10),$EL$1,IF(OR(R10=DY10,R10=EB10,R10=EF10,R10=EI10),$DD$1,""))))))))))))))))</f>
        <v>2022 Elite Canada</v>
      </c>
      <c r="V10" s="13">
        <f>IF(MAX(DB10,DC10)&gt;0,MAX(DB10,DC10),"")</f>
        <v>5.9825000000000017</v>
      </c>
      <c r="W10" s="16" t="str">
        <f>IF(V10="","",IF(V10=DB10,"("&amp;DB$2&amp;")",IF(V10=DC10,"("&amp;DC$2&amp;")")))</f>
        <v>(Prelim)</v>
      </c>
      <c r="X10" s="13" t="str">
        <f>IF(V10="","",IF(V10=DB10,IF(V10+IF(L10="",0,L10)=SN10,$RN$1,IF(V10+IF(L10="",0,L10)=RF10,$QF$1,IF(V10+IF(L10="",0,L10)=PX10,$OX$1,IF(V10+IF(L10="",0,L10)=OP10,$NP$1,IF(V10+IF(L10="",0,L10)=NH10,$MH$1,IF(V10+IF(L10="",0,L10)=LZ10,$KZ$1,IF(V10+IF(L10="",0,L10)=KR10,$JR$1,IF(V10+IF(L10="",0,L10)=JJ10,$IJ$1,IF(V10+IF(L10="",0,L10)=IB10,$HB$1,IF(V10+IF(L10="",0,L10)=GT10,$FT$1,IF(V10+IF(L10="",0,L10)=FL10,$EL$1,IF(V10+IF(L10="",0,L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$1)))))))))))))))</f>
        <v>2021 World Cup ITA/Olympic Technical Trial (June 4/9)</v>
      </c>
      <c r="Y10" s="42">
        <v>15</v>
      </c>
      <c r="Z10" s="42">
        <v>7.7750000000000004</v>
      </c>
      <c r="AA10" s="42">
        <v>13.75</v>
      </c>
      <c r="AB10" s="42">
        <v>15.302499999999998</v>
      </c>
      <c r="AC10" s="42">
        <v>0</v>
      </c>
      <c r="AD10" s="42">
        <v>10</v>
      </c>
      <c r="AE10" s="42">
        <v>5.3999999999999995</v>
      </c>
      <c r="AF10" s="42">
        <v>9.7999999999999989</v>
      </c>
      <c r="AG10" s="42">
        <v>10.385</v>
      </c>
      <c r="AH10" s="42">
        <v>0</v>
      </c>
      <c r="AI10" s="42">
        <v>12</v>
      </c>
      <c r="AJ10" s="42">
        <v>6.3</v>
      </c>
      <c r="AK10" s="42">
        <v>11.45</v>
      </c>
      <c r="AL10" s="42">
        <v>12.270000000000001</v>
      </c>
      <c r="AM10" s="42">
        <v>0</v>
      </c>
      <c r="AN10" s="51" t="s">
        <v>61</v>
      </c>
      <c r="AO10" s="74">
        <f>IF(AA10&gt;0,AA10,"")</f>
        <v>13.75</v>
      </c>
      <c r="AP10" s="74">
        <f>IF(AB10&gt;0,AB10,"")</f>
        <v>15.302499999999998</v>
      </c>
      <c r="AQ10" s="76">
        <f>IF(SUM(Y10:AB10)-AC10&gt;0,SUM(Y10:AB10)-AC10,"")</f>
        <v>51.827500000000001</v>
      </c>
      <c r="AR10" s="76">
        <f>IF(AF10&gt;0,AF10,"")</f>
        <v>9.7999999999999989</v>
      </c>
      <c r="AS10" s="76">
        <f>IF(AG10&gt;0,AG10,"")</f>
        <v>10.385</v>
      </c>
      <c r="AT10" s="76">
        <f>IF(SUM(AD10:AG10)-AH10&gt;0,SUM(AD10:AG10)-AH10,"")</f>
        <v>35.584999999999994</v>
      </c>
      <c r="AU10" s="76">
        <f>IF(AQ10="","",MAX(AQ10,AT10))</f>
        <v>51.827500000000001</v>
      </c>
      <c r="AV10" s="76">
        <f>IF(AK10&gt;0,AK10,"")</f>
        <v>11.45</v>
      </c>
      <c r="AW10" s="76">
        <f>IF(AL10&gt;0,AL10,"")</f>
        <v>12.270000000000001</v>
      </c>
      <c r="AX10" s="76">
        <f>IF(SUM(AI10:AL10)-AM10&gt;0,SUM(AI10:AL10)-AM10,"")</f>
        <v>42.02</v>
      </c>
      <c r="AY10" s="76">
        <f>IF(SUM(AU10,AX10)&gt;0,SUM(AU10,AX10),"")</f>
        <v>93.847499999999997</v>
      </c>
      <c r="AZ10" s="46">
        <v>15</v>
      </c>
      <c r="BA10" s="46">
        <v>7.7750000000000004</v>
      </c>
      <c r="BB10" s="46">
        <v>13.75</v>
      </c>
      <c r="BC10" s="46">
        <v>15.302499999999998</v>
      </c>
      <c r="BD10" s="46">
        <v>0</v>
      </c>
      <c r="BE10" s="46">
        <v>10</v>
      </c>
      <c r="BF10" s="46">
        <v>5.3999999999999995</v>
      </c>
      <c r="BG10" s="46">
        <v>9.7999999999999989</v>
      </c>
      <c r="BH10" s="46">
        <v>10.385</v>
      </c>
      <c r="BI10" s="46">
        <v>0</v>
      </c>
      <c r="BJ10" s="46">
        <v>12</v>
      </c>
      <c r="BK10" s="46">
        <v>6.3</v>
      </c>
      <c r="BL10" s="46">
        <v>11.45</v>
      </c>
      <c r="BM10" s="46">
        <v>12.270000000000001</v>
      </c>
      <c r="BN10" s="46">
        <v>0</v>
      </c>
      <c r="BO10" s="52" t="s">
        <v>61</v>
      </c>
      <c r="BP10" s="75">
        <f>IF(BB10&gt;0,BB10,"")</f>
        <v>13.75</v>
      </c>
      <c r="BQ10" s="75">
        <f>IF(BC10&gt;0,BC10,"")</f>
        <v>15.302499999999998</v>
      </c>
      <c r="BR10" s="16">
        <f>IF(SUM(AZ10:BC10)-BD10&gt;0,SUM(AZ10:BC10)-BD10,"")</f>
        <v>51.827500000000001</v>
      </c>
      <c r="BS10" s="16">
        <f>IF(BG10&gt;0,BG10,"")</f>
        <v>9.7999999999999989</v>
      </c>
      <c r="BT10" s="16">
        <f>IF(BH10&gt;0,BH10,"")</f>
        <v>10.385</v>
      </c>
      <c r="BU10" s="16">
        <f>IF(SUM(BE10:BH10)-BI10&gt;0,SUM(BE10:BH10)-BI10,"")</f>
        <v>35.584999999999994</v>
      </c>
      <c r="BV10" s="16">
        <f>IF(BR10="","",MAX(BR10,BU10))</f>
        <v>51.827500000000001</v>
      </c>
      <c r="BW10" s="16">
        <f>IF(BL10&gt;0,BL10,"")</f>
        <v>11.45</v>
      </c>
      <c r="BX10" s="16">
        <f>IF(BM10&gt;0,BM10,"")</f>
        <v>12.270000000000001</v>
      </c>
      <c r="BY10" s="16">
        <f>IF(SUM(BJ10:BM10)-BN10&gt;0,SUM(BJ10:BM10)-BN10,"")</f>
        <v>42.02</v>
      </c>
      <c r="BZ10" s="16">
        <f>IF(SUM(BV10,BY10)&gt;0,SUM(BV10,BY10),"")</f>
        <v>93.847499999999997</v>
      </c>
      <c r="CA10" s="42">
        <v>13.8</v>
      </c>
      <c r="CB10" s="42">
        <v>6.6</v>
      </c>
      <c r="CC10" s="42">
        <v>12.1</v>
      </c>
      <c r="CD10" s="42">
        <v>13.935</v>
      </c>
      <c r="CE10" s="42">
        <v>0</v>
      </c>
      <c r="CF10" s="42">
        <v>16.899999999999999</v>
      </c>
      <c r="CG10" s="42">
        <v>8.3000000000000007</v>
      </c>
      <c r="CH10" s="42">
        <v>15.6</v>
      </c>
      <c r="CI10" s="42">
        <v>17.254999999999999</v>
      </c>
      <c r="CJ10" s="42">
        <v>0</v>
      </c>
      <c r="CK10" s="42">
        <v>3.1</v>
      </c>
      <c r="CL10" s="42">
        <v>1.7</v>
      </c>
      <c r="CM10" s="42">
        <v>3.8</v>
      </c>
      <c r="CN10" s="42">
        <v>3.55</v>
      </c>
      <c r="CO10" s="42">
        <v>0</v>
      </c>
      <c r="CP10" s="51"/>
      <c r="CQ10" s="74">
        <f>IF(CC10&gt;0,CC10,"")</f>
        <v>12.1</v>
      </c>
      <c r="CR10" s="74">
        <f>IF(CD10&gt;0,CD10,"")</f>
        <v>13.935</v>
      </c>
      <c r="CS10" s="76">
        <f>IF(SUM(CA10:CD10)-CE10&gt;0,SUM(CA10:CD10)-CE10,"")</f>
        <v>46.435000000000002</v>
      </c>
      <c r="CT10" s="76">
        <f>IF(CH10&gt;0,CH10,"")</f>
        <v>15.6</v>
      </c>
      <c r="CU10" s="76">
        <f>IF(CI10&gt;0,CI10,"")</f>
        <v>17.254999999999999</v>
      </c>
      <c r="CV10" s="76">
        <f>IF(SUM(CF10:CI10)-CJ10&gt;0,SUM(CF10:CI10)-CJ10,"")</f>
        <v>58.054999999999993</v>
      </c>
      <c r="CW10" s="76">
        <f>IF(CS10="","",MAX(CS10,CV10))</f>
        <v>58.054999999999993</v>
      </c>
      <c r="CX10" s="76">
        <f>IF(CM10&gt;0,CM10,"")</f>
        <v>3.8</v>
      </c>
      <c r="CY10" s="76">
        <f>IF(CN10&gt;0,CN10,"")</f>
        <v>3.55</v>
      </c>
      <c r="CZ10" s="76">
        <f>IF(SUM(CK10:CN10)-CO10&gt;0,SUM(CK10:CN10)-CO10,"")</f>
        <v>12.149999999999999</v>
      </c>
      <c r="DA10" s="76">
        <f>IF(SUM(CW10,CZ10)&gt;0,SUM(CW10,CZ10),"")</f>
        <v>70.204999999999984</v>
      </c>
      <c r="DB10" s="87">
        <f>IF(L10&gt;=0.001,IF(MAX(ED10,FL10,GT10,IB10,JJ10,KR10,LZ10,NH10,OP10,PX10,RF10,SN10)-IF(L10="",0,L10)&gt;0.001,MAX(ED10,FL10,GT10,IB10,JJ10,KR10,LZ10,NH10,OP10,PX10,RF10,SN10)-IF(L10="",0,L10),""),"")</f>
        <v>5.9825000000000017</v>
      </c>
      <c r="DC10" s="87" t="str">
        <f>IF(P10&gt;=0.001,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,"")</f>
        <v/>
      </c>
      <c r="DD10" s="25">
        <v>15.5</v>
      </c>
      <c r="DE10" s="25">
        <v>8.6999999999999993</v>
      </c>
      <c r="DF10" s="25">
        <v>17.100000000000001</v>
      </c>
      <c r="DG10" s="25">
        <v>16.510000000000002</v>
      </c>
      <c r="DH10" s="25">
        <v>0</v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76">
        <f>IF(DF10&gt;0,DF10,"")</f>
        <v>17.100000000000001</v>
      </c>
      <c r="DY10" s="76">
        <f>IF(DG10&gt;0,DG10,"")</f>
        <v>16.510000000000002</v>
      </c>
      <c r="DZ10" s="76">
        <f>IF(SUM(DD10:DG10)-DH10&gt;0,SUM(DD10:DG10)-DH10,"")</f>
        <v>57.81</v>
      </c>
      <c r="EA10" s="76" t="str">
        <f>IF(DK10&gt;0,DK10,"")</f>
        <v/>
      </c>
      <c r="EB10" s="76" t="str">
        <f>IF(DL10&gt;0,DL10,"")</f>
        <v/>
      </c>
      <c r="EC10" s="76" t="str">
        <f>IF(SUM(DI10:DL10)-DM10&gt;0,SUM(DI10:DL10)-DM10,"")</f>
        <v/>
      </c>
      <c r="ED10" s="76">
        <f>IF(MAX(DZ10,EC10)&gt;0,MAX(DZ10,EC10),"")</f>
        <v>57.81</v>
      </c>
      <c r="EE10" s="76" t="str">
        <f>IF(DP10&gt;0,DP10,"")</f>
        <v/>
      </c>
      <c r="EF10" s="76" t="str">
        <f>IF(DQ10&gt;0,DQ10,"")</f>
        <v/>
      </c>
      <c r="EG10" s="76" t="str">
        <f>IF(SUM(DN10:DQ10)-DR10&gt;0,SUM(DN10:DQ10)-DR10,"")</f>
        <v/>
      </c>
      <c r="EH10" s="76" t="str">
        <f>IF(DU10&gt;0,DU10,"")</f>
        <v/>
      </c>
      <c r="EI10" s="76" t="str">
        <f>IF(DV10&gt;0,DV10,"")</f>
        <v/>
      </c>
      <c r="EJ10" s="76" t="str">
        <f>IF(SUM(DS10:DV10)-DW10&gt;0,SUM(DS10:DV10)-DW10,"")</f>
        <v/>
      </c>
      <c r="EK10" s="76">
        <f>IF(SUM(ED10,EJ10)&gt;0,SUM(ED10,EJ10),"")</f>
        <v>57.81</v>
      </c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16" t="str">
        <f>IF(EN10&gt;0,EN10,"")</f>
        <v/>
      </c>
      <c r="FG10" s="16" t="str">
        <f>IF(EO10&gt;0,EO10,"")</f>
        <v/>
      </c>
      <c r="FH10" s="16" t="str">
        <f>IF(SUM(EL10:EO10)-EP10&gt;0,SUM(EL10:EO10)-EP10,"")</f>
        <v/>
      </c>
      <c r="FI10" s="16" t="str">
        <f>IF(ES10&gt;0,ES10,"")</f>
        <v/>
      </c>
      <c r="FJ10" s="16" t="str">
        <f>IF(ET10&gt;0,ET10,"")</f>
        <v/>
      </c>
      <c r="FK10" s="16" t="str">
        <f>IF(SUM(EQ10:ET10)-EU10&gt;0,SUM(EQ10:ET10)-EU10,"")</f>
        <v/>
      </c>
      <c r="FL10" s="16" t="str">
        <f>IF(MAX(FH10,FK10)&gt;0,MAX(FH10,FK10),"")</f>
        <v/>
      </c>
      <c r="FM10" s="16" t="str">
        <f>IF(EX10&gt;0,EX10,"")</f>
        <v/>
      </c>
      <c r="FN10" s="16" t="str">
        <f>IF(EY10&gt;0,EY10,"")</f>
        <v/>
      </c>
      <c r="FO10" s="16" t="str">
        <f>IF(SUM(EV10:EY10)-EZ10&gt;0,SUM(EV10:EY10)-EZ10,"")</f>
        <v/>
      </c>
      <c r="FP10" s="16" t="str">
        <f>IF(FC10&gt;0,FC10,"")</f>
        <v/>
      </c>
      <c r="FQ10" s="16" t="str">
        <f>IF(FD10&gt;0,FD10,"")</f>
        <v/>
      </c>
      <c r="FR10" s="16" t="str">
        <f>IF(SUM(FA10:FD10)-FE10&gt;0,SUM(FA10:FD10)-FE10,"")</f>
        <v/>
      </c>
      <c r="FS10" s="16" t="str">
        <f>IF(SUM(FL10,FR10)&gt;0,SUM(FL10,FR10),"")</f>
        <v/>
      </c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76" t="str">
        <f>IF(FV10&gt;0,FV10,"")</f>
        <v/>
      </c>
      <c r="GO10" s="76" t="str">
        <f>IF(FW10&gt;0,FW10,"")</f>
        <v/>
      </c>
      <c r="GP10" s="76" t="str">
        <f>IF(SUM(FT10:FW10)-FX10&gt;0,SUM(FT10:FW10)-FX10,"")</f>
        <v/>
      </c>
      <c r="GQ10" s="76" t="str">
        <f>IF(GA10&gt;0,GA10,"")</f>
        <v/>
      </c>
      <c r="GR10" s="76" t="str">
        <f>IF(GB10&gt;0,GB10,"")</f>
        <v/>
      </c>
      <c r="GS10" s="76" t="str">
        <f>IF(SUM(FY10:GB10)-GC10&gt;0,SUM(FY10:GB10)-GC10,"")</f>
        <v/>
      </c>
      <c r="GT10" s="76" t="str">
        <f>IF(MAX(GP10,GS10)&gt;0,MAX(GP10,GS10),"")</f>
        <v/>
      </c>
      <c r="GU10" s="76" t="str">
        <f>IF(GF10&gt;0,GF10,"")</f>
        <v/>
      </c>
      <c r="GV10" s="76" t="str">
        <f>IF(GG10&gt;0,GG10,"")</f>
        <v/>
      </c>
      <c r="GW10" s="76" t="str">
        <f>IF(SUM(GD10:GG10)-GH10&gt;0,SUM(GD10:GG10)-GH10,"")</f>
        <v/>
      </c>
      <c r="GX10" s="76" t="str">
        <f>IF(GK10&gt;0,GK10,"")</f>
        <v/>
      </c>
      <c r="GY10" s="76" t="str">
        <f>IF(GL10&gt;0,GL10,"")</f>
        <v/>
      </c>
      <c r="GZ10" s="76" t="str">
        <f>IF(SUM(GI10:GL10)-GM10&gt;0,SUM(GI10:GL10)-GM10,"")</f>
        <v/>
      </c>
      <c r="HA10" s="76" t="str">
        <f>IF(SUM(GT10,GZ10)&gt;0,SUM(GT10,GZ10),"")</f>
        <v/>
      </c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16" t="str">
        <f>IF(HD10&gt;0,HD10,"")</f>
        <v/>
      </c>
      <c r="HW10" s="16" t="str">
        <f>IF(HE10&gt;0,HE10,"")</f>
        <v/>
      </c>
      <c r="HX10" s="16" t="str">
        <f>IF(SUM(HB10:HE10)-HF10&gt;0,SUM(HB10:HE10)-HF10,"")</f>
        <v/>
      </c>
      <c r="HY10" s="16" t="str">
        <f>IF(HI10&gt;0,HI10,"")</f>
        <v/>
      </c>
      <c r="HZ10" s="16" t="str">
        <f>IF(HJ10&gt;0,HJ10,"")</f>
        <v/>
      </c>
      <c r="IA10" s="16" t="str">
        <f>IF(SUM(HG10:HJ10)-HK10&gt;0,SUM(HG10:HJ10)-HK10,"")</f>
        <v/>
      </c>
      <c r="IB10" s="16" t="str">
        <f>IF(MAX(HX10,IA10)&gt;0,MAX(HX10,IA10),"")</f>
        <v/>
      </c>
      <c r="IC10" s="16" t="str">
        <f>IF(HN10&gt;0,HN10,"")</f>
        <v/>
      </c>
      <c r="ID10" s="16" t="str">
        <f>IF(HO10&gt;0,HO10,"")</f>
        <v/>
      </c>
      <c r="IE10" s="16" t="str">
        <f>IF(SUM(HL10:HO10)-HP10&gt;0,SUM(HL10:HO10)-HP10,"")</f>
        <v/>
      </c>
      <c r="IF10" s="16" t="str">
        <f>IF(HS10&gt;0,HS10,"")</f>
        <v/>
      </c>
      <c r="IG10" s="16" t="str">
        <f>IF(HT10&gt;0,HT10,"")</f>
        <v/>
      </c>
      <c r="IH10" s="16" t="str">
        <f>IF(SUM(HQ10:HT10)-HU10&gt;0,SUM(HQ10:HT10)-HU10,"")</f>
        <v/>
      </c>
      <c r="II10" s="16" t="str">
        <f>IF(SUM(IB10,IH10)&gt;0,SUM(IB10,IH10),"")</f>
        <v/>
      </c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76" t="str">
        <f>IF(IL10&gt;0,IL10,"")</f>
        <v/>
      </c>
      <c r="JE10" s="76" t="str">
        <f>IF(IM10&gt;0,IM10,"")</f>
        <v/>
      </c>
      <c r="JF10" s="76" t="str">
        <f>IF(SUM(IJ10:IM10)-IN10&gt;0,SUM(IJ10:IM10)-IN10,"")</f>
        <v/>
      </c>
      <c r="JG10" s="76" t="str">
        <f>IF(IQ10&gt;0,IQ10,"")</f>
        <v/>
      </c>
      <c r="JH10" s="76" t="str">
        <f>IF(IR10&gt;0,IR10,"")</f>
        <v/>
      </c>
      <c r="JI10" s="76" t="str">
        <f>IF(SUM(IO10:IR10)-IS10&gt;0,SUM(IO10:IR10)-IS10,"")</f>
        <v/>
      </c>
      <c r="JJ10" s="76" t="str">
        <f>IF(MAX(JF10,JI10)&gt;0,MAX(JF10,JI10),"")</f>
        <v/>
      </c>
      <c r="JK10" s="76" t="str">
        <f>IF(IV10&gt;0,IV10,"")</f>
        <v/>
      </c>
      <c r="JL10" s="76" t="str">
        <f>IF(IW10&gt;0,IW10,"")</f>
        <v/>
      </c>
      <c r="JM10" s="76" t="str">
        <f>IF(SUM(IT10:IW10)-IX10&gt;0,SUM(IT10:IW10)-IX10,"")</f>
        <v/>
      </c>
      <c r="JN10" s="76" t="str">
        <f>IF(JA10&gt;0,JA10,"")</f>
        <v/>
      </c>
      <c r="JO10" s="76" t="str">
        <f>IF(JB10&gt;0,JB10,"")</f>
        <v/>
      </c>
      <c r="JP10" s="76" t="str">
        <f>IF(SUM(IY10:JB10)-JC10&gt;0,SUM(IY10:JB10)-JC10,"")</f>
        <v/>
      </c>
      <c r="JQ10" s="76" t="str">
        <f>IF(SUM(JJ10,JP10)&gt;0,SUM(JJ10,JP10),"")</f>
        <v/>
      </c>
      <c r="JR10" s="26"/>
      <c r="JS10" s="26"/>
      <c r="JT10" s="26"/>
      <c r="JU10" s="26"/>
      <c r="JV10" s="26"/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16" t="str">
        <f>IF(JT10&gt;0,JT10,"")</f>
        <v/>
      </c>
      <c r="KM10" s="16" t="str">
        <f>IF(JU10&gt;0,JU10,"")</f>
        <v/>
      </c>
      <c r="KN10" s="16" t="str">
        <f>IF(SUM(JR10:JU10)-JV10&gt;0,SUM(JR10:JU10)-JV10,"")</f>
        <v/>
      </c>
      <c r="KO10" s="16" t="str">
        <f>IF(JY10&gt;0,JY10,"")</f>
        <v/>
      </c>
      <c r="KP10" s="16" t="str">
        <f>IF(JZ10&gt;0,JZ10,"")</f>
        <v/>
      </c>
      <c r="KQ10" s="16" t="str">
        <f>IF(SUM(JW10:JZ10)-KA10&gt;0,SUM(JW10:JZ10)-KA10,"")</f>
        <v/>
      </c>
      <c r="KR10" s="16" t="str">
        <f>IF(MAX(KN10,KQ10)&gt;0,MAX(KN10,KQ10),"")</f>
        <v/>
      </c>
      <c r="KS10" s="16" t="str">
        <f>IF(KD10&gt;0,KD10,"")</f>
        <v/>
      </c>
      <c r="KT10" s="16" t="str">
        <f>IF(KE10&gt;0,KE10,"")</f>
        <v/>
      </c>
      <c r="KU10" s="16" t="str">
        <f>IF(SUM(KB10:KE10)-KF10&gt;0,SUM(KB10:KE10)-KF10,"")</f>
        <v/>
      </c>
      <c r="KV10" s="16" t="str">
        <f>IF(KI10&gt;0,KI10,"")</f>
        <v/>
      </c>
      <c r="KW10" s="16" t="str">
        <f>IF(KJ10&gt;0,KJ10,"")</f>
        <v/>
      </c>
      <c r="KX10" s="16" t="str">
        <f>IF(SUM(KG10:KJ10)-KK10&gt;0,SUM(KG10:KJ10)-KK10,"")</f>
        <v/>
      </c>
      <c r="KY10" s="16" t="str">
        <f>IF(SUM(KR10,KX10)&gt;0,SUM(KR10,KX10),"")</f>
        <v/>
      </c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76" t="str">
        <f>IF(LB10&gt;0,LB10,"")</f>
        <v/>
      </c>
      <c r="LU10" s="76" t="str">
        <f>IF(LC10&gt;0,LC10,"")</f>
        <v/>
      </c>
      <c r="LV10" s="76" t="str">
        <f>IF(SUM(KZ10:LC10)-LD10&gt;0,SUM(KZ10:LC10)-LD10,"")</f>
        <v/>
      </c>
      <c r="LW10" s="76" t="str">
        <f>IF(LG10&gt;0,LG10,"")</f>
        <v/>
      </c>
      <c r="LX10" s="76" t="str">
        <f>IF(LH10&gt;0,LH10,"")</f>
        <v/>
      </c>
      <c r="LY10" s="76" t="str">
        <f>IF(SUM(LE10:LH10)-LI10&gt;0,SUM(LE10:LH10)-LI10,"")</f>
        <v/>
      </c>
      <c r="LZ10" s="76" t="str">
        <f>IF(MAX(LV10,LY10)&gt;0,MAX(LV10,LY10),"")</f>
        <v/>
      </c>
      <c r="MA10" s="76" t="str">
        <f>IF(LL10&gt;0,LL10,"")</f>
        <v/>
      </c>
      <c r="MB10" s="76" t="str">
        <f>IF(LM10&gt;0,LM10,"")</f>
        <v/>
      </c>
      <c r="MC10" s="76" t="str">
        <f>IF(SUM(LJ10:LM10)-LN10&gt;0,SUM(LJ10:LM10)-LN10,"")</f>
        <v/>
      </c>
      <c r="MD10" s="76" t="str">
        <f>IF(LQ10&gt;0,LQ10,"")</f>
        <v/>
      </c>
      <c r="ME10" s="76" t="str">
        <f>IF(LR10&gt;0,LR10,"")</f>
        <v/>
      </c>
      <c r="MF10" s="76" t="str">
        <f>IF(SUM(LO10:LR10)-LS10&gt;0,SUM(LO10:LR10)-LS10,"")</f>
        <v/>
      </c>
      <c r="MG10" s="76" t="str">
        <f>IF(SUM(LZ10,MF10)&gt;0,SUM(LZ10,MF10),"")</f>
        <v/>
      </c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16" t="str">
        <f>IF(MJ10&gt;0,MJ10,"")</f>
        <v/>
      </c>
      <c r="NC10" s="16" t="str">
        <f>IF(MK10&gt;0,MK10,"")</f>
        <v/>
      </c>
      <c r="ND10" s="16" t="str">
        <f>IF(SUM(MH10:MK10)-ML10&gt;0,SUM(MH10:MK10)-ML10,"")</f>
        <v/>
      </c>
      <c r="NE10" s="16" t="str">
        <f>IF(MO10&gt;0,MO10,"")</f>
        <v/>
      </c>
      <c r="NF10" s="16" t="str">
        <f>IF(MP10&gt;0,MP10,"")</f>
        <v/>
      </c>
      <c r="NG10" s="16" t="str">
        <f>IF(SUM(MM10:MP10)-MQ10&gt;0,SUM(MM10:MP10)-MQ10,"")</f>
        <v/>
      </c>
      <c r="NH10" s="16" t="str">
        <f>IF(MAX(ND10,NG10)&gt;0,MAX(ND10,NG10),"")</f>
        <v/>
      </c>
      <c r="NI10" s="16" t="str">
        <f>IF(MT10&gt;0,MT10,"")</f>
        <v/>
      </c>
      <c r="NJ10" s="16" t="str">
        <f>IF(MU10&gt;0,MU10,"")</f>
        <v/>
      </c>
      <c r="NK10" s="16" t="str">
        <f>IF(SUM(MR10:MU10)-MV10&gt;0,SUM(MR10:MU10)-MV10,"")</f>
        <v/>
      </c>
      <c r="NL10" s="16" t="str">
        <f>IF(MY10&gt;0,MY10,"")</f>
        <v/>
      </c>
      <c r="NM10" s="16" t="str">
        <f>IF(MZ10&gt;0,MZ10,"")</f>
        <v/>
      </c>
      <c r="NN10" s="16" t="str">
        <f>IF(SUM(MW10:MZ10)-NA10&gt;0,SUM(MW10:MZ10)-NA10,"")</f>
        <v/>
      </c>
      <c r="NO10" s="16" t="str">
        <f>IF(SUM(NH10,NN10)&gt;0,SUM(NH10,NN10),"")</f>
        <v/>
      </c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76" t="str">
        <f>IF(NR10&gt;0,NR10,"")</f>
        <v/>
      </c>
      <c r="OK10" s="76" t="str">
        <f>IF(NS10&gt;0,NS10,"")</f>
        <v/>
      </c>
      <c r="OL10" s="76" t="str">
        <f>IF(SUM(NP10:NS10)-NT10&gt;0,SUM(NP10:NS10)-NT10,"")</f>
        <v/>
      </c>
      <c r="OM10" s="76" t="str">
        <f>IF(NW10&gt;0,NW10,"")</f>
        <v/>
      </c>
      <c r="ON10" s="76" t="str">
        <f>IF(NX10&gt;0,NX10,"")</f>
        <v/>
      </c>
      <c r="OO10" s="76" t="str">
        <f>IF(SUM(NU10:NX10)-NY10&gt;0,SUM(NU10:NX10)-NY10,"")</f>
        <v/>
      </c>
      <c r="OP10" s="76" t="str">
        <f>IF(MAX(OL10,OO10)&gt;0,MAX(OL10,OO10),"")</f>
        <v/>
      </c>
      <c r="OQ10" s="76" t="str">
        <f>IF(OB10&gt;0,OB10,"")</f>
        <v/>
      </c>
      <c r="OR10" s="76" t="str">
        <f>IF(OC10&gt;0,OC10,"")</f>
        <v/>
      </c>
      <c r="OS10" s="76" t="str">
        <f>IF(SUM(NZ10:OC10)-OD10&gt;0,SUM(NZ10:OC10)-OD10,"")</f>
        <v/>
      </c>
      <c r="OT10" s="76" t="str">
        <f>IF(OG10&gt;0,OG10,"")</f>
        <v/>
      </c>
      <c r="OU10" s="76" t="str">
        <f>IF(OH10&gt;0,OH10,"")</f>
        <v/>
      </c>
      <c r="OV10" s="76" t="str">
        <f>IF(SUM(OE10:OH10)-OI10&gt;0,SUM(OE10:OH10)-OI10,"")</f>
        <v/>
      </c>
      <c r="OW10" s="76" t="str">
        <f>IF(SUM(OP10,OV10)&gt;0,SUM(OP10,OV10),"")</f>
        <v/>
      </c>
      <c r="OX10" s="26"/>
      <c r="OY10" s="26"/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16" t="str">
        <f>IF(OZ10&gt;0,OZ10,"")</f>
        <v/>
      </c>
      <c r="PS10" s="16" t="str">
        <f>IF(PA10&gt;0,PA10,"")</f>
        <v/>
      </c>
      <c r="PT10" s="16" t="str">
        <f>IF(SUM(OX10:PA10)-PB10&gt;0,SUM(OX10:PA10)-PB10,"")</f>
        <v/>
      </c>
      <c r="PU10" s="16" t="str">
        <f>IF(PE10&gt;0,PE10,"")</f>
        <v/>
      </c>
      <c r="PV10" s="16" t="str">
        <f>IF(PF10&gt;0,PF10,"")</f>
        <v/>
      </c>
      <c r="PW10" s="16" t="str">
        <f>IF(SUM(PC10:PF10)-PG10&gt;0,SUM(PC10:PF10)-PG10,"")</f>
        <v/>
      </c>
      <c r="PX10" s="16" t="str">
        <f>IF(MAX(PT10,PW10)&gt;0,MAX(PT10,PW10),"")</f>
        <v/>
      </c>
      <c r="PY10" s="16" t="str">
        <f>IF(PJ10&gt;0,PJ10,"")</f>
        <v/>
      </c>
      <c r="PZ10" s="16" t="str">
        <f>IF(PK10&gt;0,PK10,"")</f>
        <v/>
      </c>
      <c r="QA10" s="16" t="str">
        <f>IF(SUM(PH10:PK10)-PL10&gt;0,SUM(PH10:PK10)-PL10,"")</f>
        <v/>
      </c>
      <c r="QB10" s="16" t="str">
        <f>IF(PO10&gt;0,PO10,"")</f>
        <v/>
      </c>
      <c r="QC10" s="16" t="str">
        <f>IF(PP10&gt;0,PP10,"")</f>
        <v/>
      </c>
      <c r="QD10" s="16" t="str">
        <f>IF(SUM(PM10:PP10)-PQ10&gt;0,SUM(PM10:PP10)-PQ10,"")</f>
        <v/>
      </c>
      <c r="QE10" s="16" t="str">
        <f>IF(SUM(PX10,QD10)&gt;0,SUM(PX10,QD10),"")</f>
        <v/>
      </c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76" t="str">
        <f>IF(QH10&gt;0,QH10,"")</f>
        <v/>
      </c>
      <c r="RA10" s="76" t="str">
        <f>IF(QI10&gt;0,QI10,"")</f>
        <v/>
      </c>
      <c r="RB10" s="76" t="str">
        <f>IF(SUM(QF10:QI10)-QJ10&gt;0,SUM(QF10:QI10)-QJ10,"")</f>
        <v/>
      </c>
      <c r="RC10" s="76" t="str">
        <f>IF(QM10&gt;0,QM10,"")</f>
        <v/>
      </c>
      <c r="RD10" s="76" t="str">
        <f>IF(QN10&gt;0,QN10,"")</f>
        <v/>
      </c>
      <c r="RE10" s="76" t="str">
        <f>IF(SUM(QK10:QN10)-QO10&gt;0,SUM(QK10:QN10)-QO10,"")</f>
        <v/>
      </c>
      <c r="RF10" s="76" t="str">
        <f>IF(MAX(RB10,RE10)&gt;0,MAX(RB10,RE10),"")</f>
        <v/>
      </c>
      <c r="RG10" s="76" t="str">
        <f>IF(QR10&gt;0,QR10,"")</f>
        <v/>
      </c>
      <c r="RH10" s="76" t="str">
        <f>IF(QS10&gt;0,QS10,"")</f>
        <v/>
      </c>
      <c r="RI10" s="76" t="str">
        <f>IF(SUM(QP10:QS10)-QT10&gt;0,SUM(QP10:QS10)-QT10,"")</f>
        <v/>
      </c>
      <c r="RJ10" s="76" t="str">
        <f>IF(QW10&gt;0,QW10,"")</f>
        <v/>
      </c>
      <c r="RK10" s="76" t="str">
        <f>IF(QX10&gt;0,QX10,"")</f>
        <v/>
      </c>
      <c r="RL10" s="76" t="str">
        <f>IF(SUM(QU10:QX10)-QY10&gt;0,SUM(QU10:QX10)-QY10,"")</f>
        <v/>
      </c>
      <c r="RM10" s="76" t="str">
        <f>IF(SUM(RF10,RL10)&gt;0,SUM(RF10,RL10),"")</f>
        <v/>
      </c>
      <c r="RN10" s="26"/>
      <c r="RO10" s="26"/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16" t="str">
        <f>IF(RP10&gt;0,RP10,"")</f>
        <v/>
      </c>
      <c r="SI10" s="16" t="str">
        <f>IF(RQ10&gt;0,RQ10,"")</f>
        <v/>
      </c>
      <c r="SJ10" s="16" t="str">
        <f>IF(SUM(RN10:RQ10)-RR10&gt;0,SUM(RN10:RQ10)-RR10,"")</f>
        <v/>
      </c>
      <c r="SK10" s="16" t="str">
        <f>IF(RU10&gt;0,RU10,"")</f>
        <v/>
      </c>
      <c r="SL10" s="16" t="str">
        <f>IF(RV10&gt;0,RV10,"")</f>
        <v/>
      </c>
      <c r="SM10" s="16" t="str">
        <f>IF(SUM(RS10:RV10)-RW10&gt;0,SUM(RS10:RV10)-RW10,"")</f>
        <v/>
      </c>
      <c r="SN10" s="16" t="str">
        <f>IF(MAX(SJ10,SM10)&gt;0,MAX(SJ10,SM10),"")</f>
        <v/>
      </c>
      <c r="SO10" s="16" t="str">
        <f>IF(RZ10&gt;0,RZ10,"")</f>
        <v/>
      </c>
      <c r="SP10" s="16" t="str">
        <f>IF(SA10&gt;0,SA10,"")</f>
        <v/>
      </c>
      <c r="SQ10" s="16" t="str">
        <f>IF(SUM(RX10:SA10)-SB10&gt;0,SUM(RX10:SA10)-SB10,"")</f>
        <v/>
      </c>
      <c r="SR10" s="16" t="str">
        <f>IF(SE10&gt;0,SE10,"")</f>
        <v/>
      </c>
      <c r="SS10" s="16" t="str">
        <f>IF(SF10&gt;0,SF10,"")</f>
        <v/>
      </c>
      <c r="ST10" s="16" t="str">
        <f>IF(SUM(SC10:SF10)-SG10&gt;0,SUM(SC10:SF10)-SG10,"")</f>
        <v/>
      </c>
      <c r="SU10" s="16" t="str">
        <f>IF(SUM(SN10,ST10)&gt;0,SUM(SN10,ST10),"")</f>
        <v/>
      </c>
      <c r="SV10" s="42">
        <f>IF($CP10="P",CA10,(CA10+AZ10)/2)</f>
        <v>14.4</v>
      </c>
      <c r="SW10" s="42">
        <f>IF($CP10="P",CB10,(CB10+BA10)/2)</f>
        <v>7.1875</v>
      </c>
      <c r="SX10" s="42">
        <f>IF($CP10="P",CC10,(CC10+BB10)/2)</f>
        <v>12.925000000000001</v>
      </c>
      <c r="SY10" s="42">
        <f>IF($CP10="P",CD10,(CD10+BC10)/2)</f>
        <v>14.618749999999999</v>
      </c>
      <c r="SZ10" s="42">
        <f>IF($CP10="P",CE10,(CE10+BD10)/2)</f>
        <v>0</v>
      </c>
      <c r="TA10" s="42">
        <f>IF($CP10="P",CF10,(CF10+BE10)/2)</f>
        <v>13.45</v>
      </c>
      <c r="TB10" s="42">
        <f>IF($CP10="P",CG10,(CG10+BF10)/2)</f>
        <v>6.85</v>
      </c>
      <c r="TC10" s="42">
        <f>IF($CP10="P",CH10,(CH10+BG10)/2)</f>
        <v>12.7</v>
      </c>
      <c r="TD10" s="42">
        <f>IF($CP10="P",CI10,(CI10+BH10)/2)</f>
        <v>13.82</v>
      </c>
      <c r="TE10" s="42">
        <f>IF($CP10="P",CJ10,(CJ10+BI10)/2)</f>
        <v>0</v>
      </c>
      <c r="TF10" s="42">
        <f>IF($CP10="P",CK10,(CK10+BJ10)/2)</f>
        <v>7.55</v>
      </c>
      <c r="TG10" s="42">
        <f>IF($CP10="P",CL10,(CL10+BK10)/2)</f>
        <v>4</v>
      </c>
      <c r="TH10" s="42">
        <f>IF($CP10="P",CM10,(CM10+BL10)/2)</f>
        <v>7.625</v>
      </c>
      <c r="TI10" s="42">
        <f>IF($CP10="P",CN10,(CN10+BM10)/2)</f>
        <v>7.91</v>
      </c>
      <c r="TJ10" s="42">
        <f>IF($CP10="P",CO10,(CO10+BN10)/2)</f>
        <v>0</v>
      </c>
      <c r="TK10" s="51" t="s">
        <v>61</v>
      </c>
      <c r="TL10" s="76">
        <f>IF(SX10&gt;0,SX10,"")</f>
        <v>12.925000000000001</v>
      </c>
      <c r="TM10" s="76">
        <f>IF(SY10&gt;0,SY10,"")</f>
        <v>14.618749999999999</v>
      </c>
      <c r="TN10" s="76">
        <f>IF(SUM(SV10:SY10)-SZ10&gt;0,SUM(SV10:SY10)-SZ10,"")</f>
        <v>49.131250000000001</v>
      </c>
      <c r="TO10" s="76">
        <f>IF(TC10&gt;0,TC10,"")</f>
        <v>12.7</v>
      </c>
      <c r="TP10" s="76">
        <f>IF(TD10&gt;0,TD10,"")</f>
        <v>13.82</v>
      </c>
      <c r="TQ10" s="76">
        <f>IF(SUM(TA10:TD10)-TE10&gt;0,SUM(TA10:TD10)-TE10,"")</f>
        <v>46.82</v>
      </c>
      <c r="TR10" s="76">
        <f>IF(MAX(TN10,TQ10)&gt;0,MAX(TN10,TQ10),"")</f>
        <v>49.131250000000001</v>
      </c>
      <c r="TS10" s="76">
        <f>IF(TH10&gt;0,TH10,"")</f>
        <v>7.625</v>
      </c>
      <c r="TT10" s="76">
        <f>IF(TI10&gt;0,TI10,"")</f>
        <v>7.91</v>
      </c>
      <c r="TU10" s="76">
        <f>IF(SUM(TF10:TI10)-TJ10&gt;0,SUM(TF10:TI10)-TJ10,"")</f>
        <v>27.085000000000001</v>
      </c>
      <c r="TV10" s="76">
        <f>IF(SUM(TR10,TU10)&gt;0,SUM(TR10,TU10),"")</f>
        <v>76.216250000000002</v>
      </c>
    </row>
    <row r="11" spans="1:542" x14ac:dyDescent="0.2">
      <c r="A11" s="5" t="str" cm="1">
        <f t="array" ref="A11">IF(AND(F11&lt;&gt;"",G11&lt;&gt;""),SUMPRODUCT((F$4:F$23&lt;&gt;"")*(G$4:G$23&lt;&gt;"")*(E$4:E$23&gt;E11))+1,IF(G11&lt;&gt;"",SUMPRODUCT((H$4:H$23="No DD")*(E$4:E$23&gt;E11))+1+SUMPRODUCT((F$4:F$23&lt;&gt;"")*(G$4:G$23&lt;&gt;"")),""))</f>
        <v/>
      </c>
      <c r="B11" s="6" t="s">
        <v>88</v>
      </c>
      <c r="C11" s="7" t="s">
        <v>3</v>
      </c>
      <c r="D11" s="18">
        <v>2003</v>
      </c>
      <c r="E11" s="14">
        <f>SUM(J11:V11)+SUM(J11:T11)*0.0000001+SUM(J11)*0.0000000000001</f>
        <v>241.20002412000537</v>
      </c>
      <c r="F11" s="3" t="str">
        <f>IF(OR(AND(AO11&gt;=AY$25,AO11&lt;&gt;"",AQ11&gt;=AY$29,AQ11&lt;&gt;"",AN11=""),AND(AR11&gt;=AY$25,AR11&lt;&gt;"",AT11&gt;=AY$29,AT11&lt;&gt;"",AN11=""),AND(AV11&gt;=AY$25,AV11&lt;&gt;"",AX11&gt;=AY$29,AX11&lt;&gt;"",AN11=""),AND(BP11&gt;=BZ$25,BP11&lt;&gt;"",BR11&gt;=BZ$29,BR11&lt;&gt;"",BO11=""),AND(BS11&gt;=BZ$25,BS11&lt;&gt;"",BU11&gt;=BZ$29,BU11&lt;&gt;"",BO11=""),AND(BW11&gt;=BZ$25,BW11&lt;&gt;"",BY11&gt;=BZ$29,BY11&lt;&gt;"",BO11=""),AND(CQ11&gt;=DA$25,CQ11&lt;&gt;"",CS11&gt;=DA$29,CS11&lt;&gt;"",CP11=""),AND(CT11&gt;=DA$25,CT11&lt;&gt;"",CV11&gt;=DA$29,CV11&lt;&gt;"",CP11=""),AND(CX11&gt;=DA$25,CX11&lt;&gt;"",CZ11&gt;=DA$29,CZ11&lt;&gt;"",CP11=""),AND(DX11&gt;=EK$25,DX11&lt;&gt;"",DZ11&gt;=EK$29,DZ11&lt;&gt;""),AND(EA11&gt;=EK$25,EA11&lt;&gt;"",EC11&gt;=EK$29,EC11&lt;&gt;""),AND(EE11&gt;=EK$25,EE11&lt;&gt;"",EG11&gt;=EK$29,EG11&lt;&gt;""),AND(EH11&gt;=EK$25,EH11&lt;&gt;"",EJ11&gt;=EK$29,EJ11&lt;&gt;""),AND(FF11&gt;=FS$25,FF11&lt;&gt;"",FH11&gt;=FS$29,FH11&lt;&gt;""),AND(FI11&gt;=FS$25,FI11&lt;&gt;"",FK11&gt;=FS$29,FK11&lt;&gt;""),AND(FM11&gt;=FS$25,FM11&lt;&gt;"",FO11&gt;=FS$29,FO11&lt;&gt;""),AND(FP11&gt;=FS$25,FP11&lt;&gt;"",FR11&gt;=FS$29,FR11&lt;&gt;""),AND(GN11&gt;=HA$25,GN11&lt;&gt;"",GP11&gt;=HA$29,GP11&lt;&gt;""),AND(GQ11&gt;=HA$25,GQ11&lt;&gt;"",GS11&gt;=HA$29,GS11&lt;&gt;""),AND(GU11&gt;=HA$25,GU11&lt;&gt;"",GW11&gt;=HA$29,GW11&lt;&gt;""),AND(GX11&gt;=HA$25,GX11&lt;&gt;"",GZ11&gt;=HA$29,GZ11&lt;&gt;""),AND(HV11&gt;=II$25,HV11&lt;&gt;"",HX11&gt;=II$29,HX11&lt;&gt;""),AND(HY11&gt;=II$25,HY11&lt;&gt;"",IA11&gt;=II$29,IA11&lt;&gt;""),AND(IC11&gt;=II$25,IC11&lt;&gt;"",IE11&gt;=II$29,IE11&lt;&gt;""),AND(IF11&gt;=II$25,IF11&lt;&gt;"",IH11&gt;=II$29,IH11&lt;&gt;""),AND(JD11&gt;=JQ$25,JD11&lt;&gt;"",JF11&gt;=JQ$29,JF11&lt;&gt;""),AND(JG11&gt;=JQ$25,JG11&lt;&gt;"",JI11&gt;=JQ$29,JI11&lt;&gt;""),AND(JK11&gt;=JQ$25,JK11&lt;&gt;"",JM11&gt;=JQ$29,JM11&lt;&gt;""),AND(JN11&gt;=JQ$25,JN11&lt;&gt;"",JP11&gt;=JQ$29,JP11&lt;&gt;""),AND(KL11&gt;=KY$25,KL11&lt;&gt;"",KN11&gt;=KY$29,KN11&lt;&gt;""),AND(KO11&gt;=KY$25,KO11&lt;&gt;"",KQ11&gt;=KY$29,KQ11&lt;&gt;""),AND(KS11&gt;=KY$25,KS11&lt;&gt;"",KU11&gt;=KY$29,KU11&lt;&gt;""),AND(KV11&gt;=KY$25,KV11&lt;&gt;"",KX11&gt;=KY$29,KX11&lt;&gt;""),AND(LT11&gt;=MG$25,LT11&lt;&gt;"",LV11&gt;=MG$29,LV11&lt;&gt;""),AND(LW11&gt;=MG$25,LW11&lt;&gt;"",LY11&gt;=MG$29,LY11&lt;&gt;""),AND(MA11&gt;=MG$25,MA11&lt;&gt;"",MC11&gt;=MG$29,MC11&lt;&gt;""),AND(MD11&gt;=MG$25,MD11&lt;&gt;"",MF11&gt;=MG$29,MF11&lt;&gt;""),AND(NB11&gt;=NO$25,NB11&lt;&gt;"",ND11&gt;=NO$29,ND11&lt;&gt;""),AND(NE11&gt;=NO$25,NE11&lt;&gt;"",NG11&gt;=NO$29,NG11&lt;&gt;""),AND(NI11&gt;=NO$25,NI11&lt;&gt;"",NK11&gt;=NO$29,NK11&lt;&gt;""),AND(NL11&gt;=NO$25,NL11&lt;&gt;"",NN11&gt;=NO$29,NN11&lt;&gt;""),AND(OJ11&gt;=OW$25,OJ11&lt;&gt;"",OL11&gt;=OW$29,OL11&lt;&gt;""),AND(OM11&gt;=OW$25,OM11&lt;&gt;"",OO11&gt;=OW$29,OO11&lt;&gt;""),AND(OQ11&gt;=OW$25,OQ11&lt;&gt;"",OS11&gt;=OW$29,OS11&lt;&gt;""),AND(OT11&gt;=OW$25,OT11&lt;&gt;"",OV11&gt;=OW$29,OV11&lt;&gt;""),AND(PR11&gt;=QE$25,PR11&lt;&gt;"",PT11&gt;=QE$29,PT11&lt;&gt;""),AND(PU11&gt;=QE$25,PU11&lt;&gt;"",PW11&gt;=QE$29,PW11&lt;&gt;""),AND(PY11&gt;=QE$25,PY11&lt;&gt;"",QA11&gt;=QE$29,QA11&lt;&gt;""),AND(QB11&gt;=QE$25,QB11&lt;&gt;"",QD11&gt;=QE$29,QD11&lt;&gt;""),AND(QZ11&gt;=RM$25,QZ11&lt;&gt;"",RB11&gt;=RM$29,RB11&lt;&gt;""),AND(RC11&gt;=RM$25,RC11&lt;&gt;"",RE11&gt;=RM$29,RE11&lt;&gt;""),AND(RG11&gt;=RM$25,RG11&lt;&gt;"",RI11&gt;=RM$29,RI11&lt;&gt;""),AND(RJ11&gt;=RM$25,RJ11&lt;&gt;"",RL11&gt;=RM$29,RL11&lt;&gt;""),AND(SH11&gt;=SU$25,SH11&lt;&gt;"",SJ11&gt;=SU$29,SJ11&lt;&gt;""),AND(SK11&gt;=SU$25,SK11&lt;&gt;"",SM11&gt;=SU$29,SM11&lt;&gt;""),AND(SO11&gt;=SU$25,SO11&lt;&gt;"",SQ11&gt;=SU$29,SQ11&lt;&gt;""),AND(SR11&gt;=SU$25,SR11&lt;&gt;"",ST11&gt;=SU$29,ST11&lt;&gt;"")),"P","")</f>
        <v/>
      </c>
      <c r="G11" s="3" t="str">
        <f>IF(OR(AND(AQ11&gt;=AY$29,AQ11&lt;&gt;"",AN11=""),AND(AT11&gt;=AY$29,AT11&lt;&gt;"",AN11=""),AND(AX11&gt;=AY$29,AX11&lt;&gt;"",AN11=""),AND(BR11&gt;=BZ$29,BR11&lt;&gt;"",BO11=""),AND(BU11&gt;=BZ$29,BU11&lt;&gt;"",BO11=""),AND(BY11&gt;=BZ$29,BY11&lt;&gt;"",BO11=""),AND(CS11&gt;=DA$29,CS11&lt;&gt;"",CP11=""),AND(CV11&gt;=DA$29,CV11&lt;&gt;"",CP11=""),AND(CZ11&gt;=DA$29,CZ11&lt;&gt;"",CP11=""),AND(DZ11&gt;=EK$29,DZ11&lt;&gt;""),AND(EC11&gt;=EK$29,EC11&lt;&gt;""),AND(EG11&gt;=EK$29,EG11&lt;&gt;""),AND(EJ11&gt;=EK$29,EJ11&lt;&gt;""),AND(FH11&gt;=FS$29,FH11&lt;&gt;""),AND(FK11&gt;=FS$29,FK11&lt;&gt;""),AND(FO11&gt;=FS$29,FO11&lt;&gt;""),AND(FR11&gt;=FS$29,FR11&lt;&gt;""),AND(GP11&gt;=HA$29,GP11&lt;&gt;""),AND(GS11&gt;=HA$29,GS11&lt;&gt;""),AND(GW11&gt;=HA$29,GW11&lt;&gt;""),AND(GZ11&gt;=HA$29,GZ11&lt;&gt;""),AND(HX11&gt;=II$29,HX11&lt;&gt;""),AND(IA11&gt;=II$29,IA11&lt;&gt;""),AND(IE11&gt;=II$29,IE11&lt;&gt;""),AND(IH11&gt;=II$29,IH11&lt;&gt;""),AND(JF11&gt;=JQ$29,JF11&lt;&gt;""),AND(JI11&gt;=JQ$29,JI11&lt;&gt;""),AND(JM11&gt;=JQ$29,JM11&lt;&gt;""),AND(JP11&gt;=JQ$29,JP11&lt;&gt;""),AND(KN11&gt;=KY$29,KN11&lt;&gt;""),AND(KQ11&gt;=KY$29,KQ11&lt;&gt;""),AND(KU11&gt;=KY$29,KU11&lt;&gt;""),AND(KX11&gt;=KY$29,KX11&lt;&gt;""),AND(LV11&gt;=MG$29,LV11&lt;&gt;""),AND(LY11&gt;=MG$29,LY11&lt;&gt;""),AND(MC11&gt;=MG$29,MC11&lt;&gt;""),AND(MF11&gt;=MG$29,MF11&lt;&gt;""),AND(ND11&gt;=NO$29,ND11&lt;&gt;""),AND(NG11&gt;=NO$29,NG11&lt;&gt;""),AND(NK11&gt;=NO$29,NK11&lt;&gt;""),AND(NN11&gt;=NO$29,NN11&lt;&gt;""),AND(OL11&gt;=OW$29,OL11&lt;&gt;""),AND(OO11&gt;=OW$29,OO11&lt;&gt;""),AND(OS11&gt;=OW$29,OS11&lt;&gt;""),AND(OV11&gt;=OW$29,OV11&lt;&gt;""),AND(PT11&gt;=QE$29,PT11&lt;&gt;""),AND(PW11&gt;=QE$29,PW11&lt;&gt;""),AND(QA11&gt;=QE$29,QA11&lt;&gt;""),AND(QD11&gt;=QE$29,QD11&lt;&gt;""),AND(RB11&gt;=RM$29,RB11&lt;&gt;""),AND(RE11&gt;=RM$29,RE11&lt;&gt;""),AND(RI11&gt;=RM$29,RI11&lt;&gt;""),AND(RL11&gt;=RM$29,RL11&lt;&gt;""),AND(SJ11&gt;=SU$29,SJ11&lt;&gt;""),AND(SM11&gt;=SU$29,SM11&lt;&gt;""),AND(SQ11&gt;=SU$29,SQ11&lt;&gt;""),AND(ST11&gt;=SU$29,ST11&lt;&gt;"")),"P","")</f>
        <v/>
      </c>
      <c r="H11" s="70" t="str">
        <f>IF(AND(G11="P",F11=""),"No DD",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),"Merit",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X11&gt;=EK$27,DX11&lt;&gt;"",DZ11&gt;=EK$31,DZ11&lt;&gt;""),AND(EA11&gt;=EK$27,EA11&lt;&gt;"",EC11&gt;=EK$31,EC11&lt;&gt;""),AND(EE11&gt;=EK$27,EE11&lt;&gt;"",EG11&gt;=EK$31,EG11&lt;&gt;""),AND(EH11&gt;=EK$27,EH11&lt;&gt;"",EJ11&gt;=EK$31,EJ11&lt;&gt;""),AND(FF11&gt;=FS$27,FF11&lt;&gt;"",FH11&gt;=FS$31,FH11&lt;&gt;""),AND(FI11&gt;=FS$27,FI11&lt;&gt;"",FK11&gt;=FS$31,FK11&lt;&gt;""),AND(FM11&gt;=FS$27,FM11&lt;&gt;"",FO11&gt;=FS$31,FO11&lt;&gt;""),AND(FP11&gt;=FS$27,FP11&lt;&gt;"",FR11&gt;=FS$31,FR11&lt;&gt;""),AND(GN11&gt;=HA$27,GN11&lt;&gt;"",GP11&gt;=HA$31,GP11&lt;&gt;""),AND(GQ11&gt;=HA$27,GQ11&lt;&gt;"",GS11&gt;=HA$31,GS11&lt;&gt;""),AND(GU11&gt;=HA$27,GU11&lt;&gt;"",GW11&gt;=HA$31,GW11&lt;&gt;""),AND(GX11&gt;=HA$27,GX11&lt;&gt;"",GZ11&gt;=HA$31,GZ11&lt;&gt;""),AND(HV11&gt;=II$27,HV11&lt;&gt;"",HX11&gt;=II$31,HX11&lt;&gt;""),AND(HY11&gt;=II$27,HY11&lt;&gt;"",IA11&gt;=II$31,IA11&lt;&gt;""),AND(IC11&gt;=II$27,IC11&lt;&gt;"",IE11&gt;=II$31,IE11&lt;&gt;""),AND(IF11&gt;=II$27,IF11&lt;&gt;"",IH11&gt;=II$31,IH11&lt;&gt;""),AND(JD11&gt;=JQ$27,JD11&lt;&gt;"",JF11&gt;=JQ$31,JF11&lt;&gt;""),AND(JG11&gt;=JQ$27,JG11&lt;&gt;"",JI11&gt;=JQ$31,JI11&lt;&gt;""),AND(JK11&gt;=JQ$27,JK11&lt;&gt;"",JM11&gt;=JQ$31,JM11&lt;&gt;""),AND(JN11&gt;=JQ$27,JN11&lt;&gt;"",JP11&gt;=JQ$31,JP11&lt;&gt;""),AND(KL11&gt;=KY$27,KL11&lt;&gt;"",KN11&gt;=KY$31,KN11&lt;&gt;""),AND(KO11&gt;=KY$27,KO11&lt;&gt;"",KQ11&gt;=KY$31,KQ11&lt;&gt;""),AND(KS11&gt;=KY$27,KS11&lt;&gt;"",KU11&gt;=KY$31,KU11&lt;&gt;""),AND(KV11&gt;=KY$27,KV11&lt;&gt;"",KX11&gt;=KY$31,KX11&lt;&gt;""),AND(LT11&gt;=MG$27,LT11&lt;&gt;"",LV11&gt;=MG$31,LV11&lt;&gt;""),AND(LW11&gt;=MG$27,LW11&lt;&gt;"",LY11&gt;=MG$31,LY11&lt;&gt;""),AND(MA11&gt;=MG$27,MA11&lt;&gt;"",MC11&gt;=MG$31,MC11&lt;&gt;""),AND(MD11&gt;=MG$27,MD11&lt;&gt;"",MF11&gt;=MG$31,MF11&lt;&gt;""),AND(NB11&gt;=NO$27,NB11&lt;&gt;"",ND11&gt;=NO$31,ND11&lt;&gt;""),AND(NE11&gt;=NO$27,NE11&lt;&gt;"",NG11&gt;=NO$31,NG11&lt;&gt;""),AND(NI11&gt;=NO$27,NI11&lt;&gt;"",NK11&gt;=NO$31,NK11&lt;&gt;""),AND(NL11&gt;=NO$27,NL11&lt;&gt;"",NN11&gt;=NO$31,NN11&lt;&gt;""),AND(OJ11&gt;=OW$27,OJ11&lt;&gt;"",OL11&gt;=OW$31,OL11&lt;&gt;""),AND(OM11&gt;=OW$27,OM11&lt;&gt;"",OO11&gt;=OW$31,OO11&lt;&gt;""),AND(OQ11&gt;=OW$27,OQ11&lt;&gt;"",OS11&gt;=OW$31,OS11&lt;&gt;""),AND(OT11&gt;=OW$27,OT11&lt;&gt;"",OV11&gt;=OW$31,OV11&lt;&gt;""),AND(PR11&gt;=QE$27,PR11&lt;&gt;"",PT11&gt;=QE$31,PT11&lt;&gt;""),AND(PU11&gt;=QE$27,PU11&lt;&gt;"",PW11&gt;=QE$31,PW11&lt;&gt;""),AND(PY11&gt;=QE$27,PY11&lt;&gt;"",QA11&gt;=QE$31,QA11&lt;&gt;""),AND(QB11&gt;=QE$27,QB11&lt;&gt;"",QD11&gt;=QE$31,QD11&lt;&gt;""),AND(QZ11&gt;=RM$27,QZ11&lt;&gt;"",RB11&gt;=RM$31,RB11&lt;&gt;""),AND(RC11&gt;=RM$27,RC11&lt;&gt;"",RE11&gt;=RM$31,RE11&lt;&gt;""),AND(RG11&gt;=RM$27,RG11&lt;&gt;"",RI11&gt;=RM$31,RI11&lt;&gt;""),AND(RJ11&gt;=RM$27,RJ11&lt;&gt;"",RL11&gt;=RM$31,RL11&lt;&gt;""),AND(SH11&gt;=SU$27,SH11&lt;&gt;"",SJ11&gt;=SU$31,SJ11&lt;&gt;""),AND(SK11&gt;=SU$27,SK11&lt;&gt;"",SM11&gt;=SU$31,SM11&lt;&gt;""),AND(SO11&gt;=SU$27,SO11&lt;&gt;"",SQ11&gt;=SU$31,SQ11&lt;&gt;""),AND(SR11&gt;=SU$27,SR11&lt;&gt;"",ST11&gt;=SU$31,ST11&lt;&gt;"")),"Excellence",IF(I11="P","Worlds Team",IF(F11="P","National Team","")))))</f>
        <v/>
      </c>
      <c r="I11" s="3" t="str">
        <f>IF(OR(AND(AO11&gt;=AY$26,AO11&lt;&gt;"",AQ11&gt;=AY$30,AQ11&lt;&gt;"",AN11=""),AND(AR11&gt;=AY$26,AR11&lt;&gt;"",AT11&gt;=AY$30,AT11&lt;&gt;"",AN11=""),AND(AV11&gt;=AY$26,AV11&lt;&gt;"",AX11&gt;=AY$30,AX11&lt;&gt;"",AN11=""),AND(BP11&gt;=BZ$26,BP11&lt;&gt;"",BR11&gt;=BZ$30,BR11&lt;&gt;"",BO11=""),AND(BS11&gt;=BZ$26,BS11&lt;&gt;"",BU11&gt;=BZ$30,BU11&lt;&gt;"",BO11=""),AND(BW11&gt;=BZ$26,BW11&lt;&gt;"",BY11&gt;=BZ$30,BY11&lt;&gt;"",BO11=""),AND(CQ11&gt;=DA$26,CQ11&lt;&gt;"",CS11&gt;=DA$30,CS11&lt;&gt;"",CP11=""),AND(CT11&gt;=DA$26,CT11&lt;&gt;"",CV11&gt;=DA$30,CV11&lt;&gt;"",CP11=""),AND(CX11&gt;=DA$26,CX11&lt;&gt;"",CZ11&gt;=DA$30,CZ11&lt;&gt;"",CP11=""),AND(DX11&gt;=EK$26,DX11&lt;&gt;"",DZ11&gt;=EK$30,DZ11&lt;&gt;""),AND(EA11&gt;=EK$26,EA11&lt;&gt;"",EC11&gt;=EK$30,EC11&lt;&gt;""),AND(EE11&gt;=EK$26,EE11&lt;&gt;"",EG11&gt;=EK$30,EG11&lt;&gt;""),AND(EH11&gt;=EK$26,EH11&lt;&gt;"",EJ11&gt;=EK$30,EJ11&lt;&gt;""),AND(FF11&gt;=FS$26,FF11&lt;&gt;"",FH11&gt;=FS$30,FH11&lt;&gt;""),AND(FI11&gt;=FS$26,FI11&lt;&gt;"",FK11&gt;=FS$30,FK11&lt;&gt;""),AND(FM11&gt;=FS$26,FM11&lt;&gt;"",FO11&gt;=FS$30,FO11&lt;&gt;""),AND(FP11&gt;=FS$26,FP11&lt;&gt;"",FR11&gt;=FS$30,FR11&lt;&gt;""),AND(GN11&gt;=HA$26,GN11&lt;&gt;"",GP11&gt;=HA$30,GP11&lt;&gt;""),AND(GQ11&gt;=HA$26,GQ11&lt;&gt;"",GS11&gt;=HA$30,GS11&lt;&gt;""),AND(GU11&gt;=HA$26,GU11&lt;&gt;"",GW11&gt;=HA$30,GW11&lt;&gt;""),AND(GX11&gt;=HA$26,GX11&lt;&gt;"",GZ11&gt;=HA$30,GZ11&lt;&gt;""),AND(HV11&gt;=II$26,HV11&lt;&gt;"",HX11&gt;=II$30,HX11&lt;&gt;""),AND(HY11&gt;=II$26,HY11&lt;&gt;"",IA11&gt;=II$30,IA11&lt;&gt;""),AND(IC11&gt;=II$26,IC11&lt;&gt;"",IE11&gt;=II$30,IE11&lt;&gt;""),AND(IF11&gt;=II$26,IF11&lt;&gt;"",IH11&gt;=II$30,IH11&lt;&gt;""),AND(JD11&gt;=JQ$26,JD11&lt;&gt;"",JF11&gt;=JQ$30,JF11&lt;&gt;""),AND(JG11&gt;=JQ$26,JG11&lt;&gt;"",JI11&gt;=JQ$30,JI11&lt;&gt;""),AND(JK11&gt;=JQ$26,JK11&lt;&gt;"",JM11&gt;=JQ$30,JM11&lt;&gt;""),AND(JN11&gt;=JQ$26,JN11&lt;&gt;"",JP11&gt;=JQ$30,JP11&lt;&gt;""),AND(KL11&gt;=KY$26,KL11&lt;&gt;"",KN11&gt;=KY$30,KN11&lt;&gt;""),AND(KO11&gt;=KY$26,KO11&lt;&gt;"",KQ11&gt;=KY$30,KQ11&lt;&gt;""),AND(KS11&gt;=KY$26,KS11&lt;&gt;"",KU11&gt;=KY$30,KU11&lt;&gt;""),AND(KV11&gt;=KY$26,KV11&lt;&gt;"",KX11&gt;=KY$30,KX11&lt;&gt;""),AND(LT11&gt;=MG$26,LT11&lt;&gt;"",LV11&gt;=MG$30,LV11&lt;&gt;""),AND(LW11&gt;=MG$26,LW11&lt;&gt;"",LY11&gt;=MG$30,LY11&lt;&gt;""),AND(MA11&gt;=MG$26,MA11&lt;&gt;"",MC11&gt;=MG$30,MC11&lt;&gt;""),AND(MD11&gt;=MG$26,MD11&lt;&gt;"",MF11&gt;=MG$30,MF11&lt;&gt;""),AND(NB11&gt;=NO$26,NB11&lt;&gt;"",ND11&gt;=NO$30,ND11&lt;&gt;""),AND(NE11&gt;=NO$26,NE11&lt;&gt;"",NG11&gt;=NO$30,NG11&lt;&gt;""),AND(NI11&gt;=NO$26,NI11&lt;&gt;"",NK11&gt;=NO$30,NK11&lt;&gt;""),AND(NL11&gt;=NO$26,NL11&lt;&gt;"",NN11&gt;=NO$30,NN11&lt;&gt;""),AND(OJ11&gt;=OW$26,OJ11&lt;&gt;"",OL11&gt;=OW$30,OL11&lt;&gt;""),AND(OM11&gt;=OW$26,OM11&lt;&gt;"",OO11&gt;=OW$30,OO11&lt;&gt;""),AND(OQ11&gt;=OW$26,OQ11&lt;&gt;"",OS11&gt;=OW$30,OS11&lt;&gt;""),AND(OT11&gt;=OW$26,OT11&lt;&gt;"",OV11&gt;=OW$30,OV11&lt;&gt;""),AND(PR11&gt;=QE$26,PR11&lt;&gt;"",PT11&gt;=QE$30,PT11&lt;&gt;""),AND(PU11&gt;=QE$26,PU11&lt;&gt;"",PW11&gt;=QE$30,PW11&lt;&gt;""),AND(PY11&gt;=QE$26,PY11&lt;&gt;"",QA11&gt;=QE$30,QA11&lt;&gt;""),AND(QB11&gt;=QE$26,QB11&lt;&gt;"",QD11&gt;=QE$30,QD11&lt;&gt;""),AND(QZ11&gt;=RM$26,QZ11&lt;&gt;"",RB11&gt;=RM$30,RB11&lt;&gt;""),AND(RC11&gt;=RM$26,RC11&lt;&gt;"",RE11&gt;=RM$30,RE11&lt;&gt;""),AND(RG11&gt;=RM$26,RG11&lt;&gt;"",RI11&gt;=RM$30,RI11&lt;&gt;""),AND(RJ11&gt;=RM$26,RJ11&lt;&gt;"",RL11&gt;=RM$30,RL11&lt;&gt;""),AND(SH11&gt;=SU$26,SH11&lt;&gt;"",SJ11&gt;=SU$30,SJ11&lt;&gt;""),AND(SK11&gt;=SU$26,SK11&lt;&gt;"",SM11&gt;=SU$30,SM11&lt;&gt;""),AND(SO11&gt;=SU$26,SO11&lt;&gt;"",SQ11&gt;=SU$30,SQ11&lt;&gt;""),AND(SR11&gt;=SU$26,SR11&lt;&gt;"",ST11&gt;=SU$30,ST11&lt;&gt;"")),"P","")</f>
        <v/>
      </c>
      <c r="J11" s="13">
        <f>IF(COUNT(AQ11,AT11,BR11,BU11,CS11,CV11)&gt;0,LARGE((AQ11,AT11,BR11,BU11,CS11,CV11),1),0)</f>
        <v>53.53</v>
      </c>
      <c r="K11" s="13" t="str">
        <f>IF(J11="","",IF(OR(J11=CS11,J11=CV11),$CA$1,IF(OR(J11=BR11,J11=BU11),$AZ$1,IF(OR(J11=AQ11,J11=AT11),$Y$1,""))))</f>
        <v>2021 Canadian Championships</v>
      </c>
      <c r="L11" s="13">
        <f>IF(COUNT(AQ11,AT11,BR11,BU11,CS11,CV11)&gt;1,LARGE((AQ11,AT11,BR11,BU11,CS11,CV11),2),0)</f>
        <v>53.145000000000003</v>
      </c>
      <c r="M11" s="13" t="str">
        <f>IF(L11="","",IF(OR(L11=CS11,L11=CV11),$CA$1,IF(OR(L11=BR11,L11=BU11),$AZ$1,IF(OR(L11=AQ11,L11=AT11),$Y$1,""))))</f>
        <v>2021 Elite Canada</v>
      </c>
      <c r="N11" s="13">
        <f>IF(COUNT(AQ11,AT11,BR11,BU11,CS11,CV11)&gt;2,LARGE((AQ11,AT11,BR11,BU11,CS11,CV11),3),0)</f>
        <v>52.18</v>
      </c>
      <c r="O11" s="13" t="str">
        <f>IF(N11="","",IF(OR(N11=CS11,N11=CV11),$CA$1,IF(OR(N11=BR11,N11=BU11),$AZ$1,IF(OR(N11=AQ11,N11=AT11),$Y$1,""))))</f>
        <v>2021 Elite Canada</v>
      </c>
      <c r="P11" s="13">
        <f>IF(MAX(AX11,BY11,CZ11)&gt;0,MAX(AX11,BY11,CZ11),0)</f>
        <v>51.919999999999995</v>
      </c>
      <c r="Q11" s="13" t="str">
        <f>IF(P11="","",IF(P11=CZ11,$CA$1,IF(P11=BY11,$AZ$1,IF(P11=AX11,$Y$1,""))))</f>
        <v>2021 Canadian Championships</v>
      </c>
      <c r="R11" s="13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14.4</v>
      </c>
      <c r="S11" s="13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2021 Canadian Championships</v>
      </c>
      <c r="T11" s="13">
        <f>IF(MAX(IF(AO11&gt;=$AY$25,AP11,0),IF(AR11&gt;=$AY$25,AS11,0),IF(AV11&gt;=$AY$25,AW11,0),IF(BP11&gt;=$BZ$25,BQ11,0),IF(BS11&gt;=$BZ$25,BT11,0),IF(BW11&gt;=$BZ$25,BX11,0),IF(CQ11&gt;=$DA$25,CR11,0),IF(CT11&gt;=$DA$25,CU11,0),IF(CX11&gt;=$DA$25,CY11,0))&gt;0,MAX(IF(AO11&gt;=$AY$25,AP11,0),IF(AR11&gt;=$AY$25,AS11,0),IF(AV11&gt;=$AY$25,AW11,0),IF(BP11&gt;=$BZ$25,BQ11,0),IF(BS11&gt;=$BZ$25,BT11,0),IF(BW11&gt;=$BZ$25,BX11,0),IF(CQ11&gt;=$DA$25,CR11,0),IF(CT11&gt;=$DA$25,CU11,0),IF(CX11&gt;=$DA$25,CY11,0),IF(DX11&gt;=$EK$25,DY11,0),IF(EA11&gt;=$EK$25,EB11,0),IF(EE11&gt;=$EK$25,EF11,0),IF(EH11&gt;=$EK$25,EI11,0),IF(FF11&gt;=$FS$25,FG11,0),IF(FI11&gt;=$FS$25,FJ11,0),IF(FM11&gt;=$FS$25,FN11,0),IF(FP11&gt;=$FS$25,FQ11,0),IF(GN11&gt;=$HA$25,GO11,0),IF(GQ11&gt;=$HA$25,GR11,0),IF(GU11&gt;=$HA$25,GV11,0),IF(GX11&gt;=$HA$25,GY11,0),IF(HV11&gt;=$II$25,HW11,0),IF(HY11&gt;=$II$25,HZ11,0),IF(IC11&gt;=$II$25,ID11,0),IF(IF11&gt;=$II$25,IG11,0),IF(JD11&gt;=$JQ$25,JE11,0),IF(JG11&gt;=$JQ$25,JH11,0),IF(JK11&gt;=$JQ$25,JL11,0),IF(JN11&gt;=$JQ$25,JO11,0),IF(KL11&gt;=$KY$25,KM11,0),IF(KO11&gt;=$KY$25,KP11,0),IF(KS11&gt;=$KY$25,KT11,0),IF(KV11&gt;=$KY$25,KW11,0),IF(LT11&gt;=$MG$25,LU11,0),IF(LW11&gt;=$MG$25,LX11,0),IF(MA11&gt;=$MG$25,MB11,0),IF(MD11&gt;=$MG$25,ME11,0),IF(NB11&gt;=$NO$25,NC11,0),IF(NE11&gt;=$NO$25,NF11,0),IF(NI11&gt;=$NO$25,NJ11,0),IF(NL11&gt;=$NO$25,NM11,0),IF(OJ11&gt;=$OW$25,OK11,0),IF(OM11&gt;=$OW$25,ON11,0),IF(OQ11&gt;=$OW$25,OR11,0),IF(OT11&gt;=$OW$25,OU11,0),IF(PR11&gt;=$QE$25,PS11,0),IF(PU11&gt;=$QE$25,PV11,0),IF(PY11&gt;=$QE$25,PZ11,0),IF(QB11&gt;=$QE$25,QC11,0),IF(QZ11&gt;=$RM$25,RA11,0),IF(RC11&gt;=$RM$25,RD11,0),IF(RG11&gt;=$RM$25,RH11,0),IF(RJ11&gt;=$RM$25,RK11,0),IF(SH11&gt;=$SU$25,SI11,0),IF(SK11&gt;=$SU$25,SL11,0),IF(SO11&gt;=$SU$25,SP11,0),IF(SR11&gt;=$SU$25,SS11,0)),0)</f>
        <v>16.024999999999999</v>
      </c>
      <c r="U11" s="13" t="str">
        <f>IF(T11=0,"",IF(OR(T11=CR11,T11=CU11,T11=CY11),$CA$1,IF(OR(T11=BQ11,T11=BT11,T11=BX11),$AZ$1,IF(OR(T11=AP11,T11=AS11,T11=AW11),$Y$1,IF(OR(R11=SI11,R11=SL11,R11=SP11,R11=SS11),$RN$1,IF(OR(R11=RA11,R11=RD11,R11=RH11,R11=RK11),$QF$1,IF(OR(R11=PS11,R11=PV11,R11=PZ11,R11=QC11),$OX$1,IF(OR(R11=OK11,R11=ON11,R11=OR11,R11=OU11),$NP$1,IF(OR(R11=NC11,R11=NF11,R11=NJ11,R11=NM11),$MH$1,IF(OR(R11=LU11,R11=LX11,R11=MB11,R11=ME11),$KZ$1,IF(OR(R11=KM11,R11=KP11,R11=KT11,R11=KW11),$JR$1,IF(OR(R11=JE11,R11=JH11,R11=JL11,R11=JO11),$IJ$1,IF(OR(R11=HW11,R11=HZ11,R11=ID11,R11=IG11),$HB$1,IF(OR(R11=GO11,R11=GR11,R11=GV11,R11=GY11),$FT$1,IF(OR(R11=FG11,R11=FJ11,R11=FN11,R11=FQ11),$EL$1,IF(OR(R11=DY11,R11=EB11,R11=EF11,R11=EI11),$DD$1,""))))))))))))))))</f>
        <v>2021 Elite Canada</v>
      </c>
      <c r="V11" s="13" t="str">
        <f>IF(MAX(DB11,DC11)&gt;0,MAX(DB11,DC11),"")</f>
        <v/>
      </c>
      <c r="W11" s="16" t="str">
        <f>IF(V11="","",IF(V11=DB11,"("&amp;DB$2&amp;")",IF(V11=DC11,"("&amp;DC$2&amp;")")))</f>
        <v/>
      </c>
      <c r="X11" s="13" t="str">
        <f>IF(V11="","",IF(V11=DB11,IF(V11+IF(L11="",0,L11)=SN11,$RN$1,IF(V11+IF(L11="",0,L11)=RF11,$QF$1,IF(V11+IF(L11="",0,L11)=PX11,$OX$1,IF(V11+IF(L11="",0,L11)=OP11,$NP$1,IF(V11+IF(L11="",0,L11)=NH11,$MH$1,IF(V11+IF(L11="",0,L11)=LZ11,$KZ$1,IF(V11+IF(L11="",0,L11)=KR11,$JR$1,IF(V11+IF(L11="",0,L11)=JJ11,$IJ$1,IF(V11+IF(L11="",0,L11)=IB11,$HB$1,IF(V11+IF(L11="",0,L11)=GT11,$FT$1,IF(V11+IF(L11="",0,L11)=FL11,$EL$1,IF(V11+IF(L11="",0,L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$1)))))))))))))))</f>
        <v/>
      </c>
      <c r="Y11" s="42">
        <v>14</v>
      </c>
      <c r="Z11" s="42">
        <v>8.8000000000000007</v>
      </c>
      <c r="AA11" s="42">
        <v>14.4</v>
      </c>
      <c r="AB11" s="42">
        <v>15.945</v>
      </c>
      <c r="AC11" s="42">
        <v>0</v>
      </c>
      <c r="AD11" s="42">
        <v>13.2</v>
      </c>
      <c r="AE11" s="42">
        <v>8.6999999999999993</v>
      </c>
      <c r="AF11" s="42">
        <v>14.4</v>
      </c>
      <c r="AG11" s="42">
        <v>15.88</v>
      </c>
      <c r="AH11" s="42">
        <v>0</v>
      </c>
      <c r="AI11" s="42">
        <v>10.8</v>
      </c>
      <c r="AJ11" s="42">
        <v>8.3000000000000007</v>
      </c>
      <c r="AK11" s="42">
        <v>14.4</v>
      </c>
      <c r="AL11" s="42">
        <v>16.024999999999999</v>
      </c>
      <c r="AM11" s="42">
        <v>0</v>
      </c>
      <c r="AN11" s="51"/>
      <c r="AO11" s="74">
        <f>IF(AA11&gt;0,AA11,"")</f>
        <v>14.4</v>
      </c>
      <c r="AP11" s="74">
        <f>IF(AB11&gt;0,AB11,"")</f>
        <v>15.945</v>
      </c>
      <c r="AQ11" s="76">
        <f>IF(SUM(Y11:AB11)-AC11&gt;0,SUM(Y11:AB11)-AC11,"")</f>
        <v>53.145000000000003</v>
      </c>
      <c r="AR11" s="76">
        <f>IF(AF11&gt;0,AF11,"")</f>
        <v>14.4</v>
      </c>
      <c r="AS11" s="76">
        <f>IF(AG11&gt;0,AG11,"")</f>
        <v>15.88</v>
      </c>
      <c r="AT11" s="76">
        <f>IF(SUM(AD11:AG11)-AH11&gt;0,SUM(AD11:AG11)-AH11,"")</f>
        <v>52.18</v>
      </c>
      <c r="AU11" s="76">
        <f>IF(AQ11="","",MAX(AQ11,AT11))</f>
        <v>53.145000000000003</v>
      </c>
      <c r="AV11" s="76">
        <f>IF(AK11&gt;0,AK11,"")</f>
        <v>14.4</v>
      </c>
      <c r="AW11" s="76">
        <f>IF(AL11&gt;0,AL11,"")</f>
        <v>16.024999999999999</v>
      </c>
      <c r="AX11" s="76">
        <f>IF(SUM(AI11:AL11)-AM11&gt;0,SUM(AI11:AL11)-AM11,"")</f>
        <v>49.524999999999999</v>
      </c>
      <c r="AY11" s="76">
        <f>IF(SUM(AU11,AX11)&gt;0,SUM(AU11,AX11),"")</f>
        <v>102.67</v>
      </c>
      <c r="AZ11" s="46">
        <v>14.3</v>
      </c>
      <c r="BA11" s="46">
        <v>9</v>
      </c>
      <c r="BB11" s="46">
        <v>14.4</v>
      </c>
      <c r="BC11" s="46">
        <v>15.83</v>
      </c>
      <c r="BD11" s="46">
        <v>0</v>
      </c>
      <c r="BE11" s="46">
        <v>2.9</v>
      </c>
      <c r="BF11" s="46">
        <v>1.7</v>
      </c>
      <c r="BG11" s="46">
        <v>3.4</v>
      </c>
      <c r="BH11" s="46">
        <v>3.4</v>
      </c>
      <c r="BI11" s="46">
        <v>0</v>
      </c>
      <c r="BJ11" s="46">
        <v>13.4</v>
      </c>
      <c r="BK11" s="46">
        <v>8.5</v>
      </c>
      <c r="BL11" s="46">
        <v>14.4</v>
      </c>
      <c r="BM11" s="46">
        <v>15.62</v>
      </c>
      <c r="BN11" s="46">
        <v>0</v>
      </c>
      <c r="BO11" s="52"/>
      <c r="BP11" s="75">
        <f>IF(BB11&gt;0,BB11,"")</f>
        <v>14.4</v>
      </c>
      <c r="BQ11" s="75">
        <f>IF(BC11&gt;0,BC11,"")</f>
        <v>15.83</v>
      </c>
      <c r="BR11" s="16">
        <f>IF(SUM(AZ11:BC11)-BD11&gt;0,SUM(AZ11:BC11)-BD11,"")</f>
        <v>53.53</v>
      </c>
      <c r="BS11" s="16">
        <f>IF(BG11&gt;0,BG11,"")</f>
        <v>3.4</v>
      </c>
      <c r="BT11" s="16">
        <f>IF(BH11&gt;0,BH11,"")</f>
        <v>3.4</v>
      </c>
      <c r="BU11" s="16">
        <f>IF(SUM(BE11:BH11)-BI11&gt;0,SUM(BE11:BH11)-BI11,"")</f>
        <v>11.4</v>
      </c>
      <c r="BV11" s="16">
        <f>IF(BR11="","",MAX(BR11,BU11))</f>
        <v>53.53</v>
      </c>
      <c r="BW11" s="16">
        <f>IF(BL11&gt;0,BL11,"")</f>
        <v>14.4</v>
      </c>
      <c r="BX11" s="16">
        <f>IF(BM11&gt;0,BM11,"")</f>
        <v>15.62</v>
      </c>
      <c r="BY11" s="16">
        <f>IF(SUM(BJ11:BM11)-BN11&gt;0,SUM(BJ11:BM11)-BN11,"")</f>
        <v>51.919999999999995</v>
      </c>
      <c r="BZ11" s="16">
        <f>IF(SUM(BV11,BY11)&gt;0,SUM(BV11,BY11),"")</f>
        <v>105.44999999999999</v>
      </c>
      <c r="CA11" s="42">
        <v>6.8</v>
      </c>
      <c r="CB11" s="42">
        <v>4.5999999999999996</v>
      </c>
      <c r="CC11" s="42">
        <v>8.1999999999999993</v>
      </c>
      <c r="CD11" s="42">
        <v>8.0500000000000007</v>
      </c>
      <c r="CE11" s="42">
        <v>0</v>
      </c>
      <c r="CF11" s="42">
        <v>10.8</v>
      </c>
      <c r="CG11" s="42">
        <v>8.9</v>
      </c>
      <c r="CH11" s="42">
        <v>13.6</v>
      </c>
      <c r="CI11" s="42">
        <v>15.505000000000001</v>
      </c>
      <c r="CJ11" s="42">
        <v>0</v>
      </c>
      <c r="CK11" s="42"/>
      <c r="CL11" s="42"/>
      <c r="CM11" s="42"/>
      <c r="CN11" s="42"/>
      <c r="CO11" s="42"/>
      <c r="CP11" s="51"/>
      <c r="CQ11" s="74">
        <f>IF(CC11&gt;0,CC11,"")</f>
        <v>8.1999999999999993</v>
      </c>
      <c r="CR11" s="74">
        <f>IF(CD11&gt;0,CD11,"")</f>
        <v>8.0500000000000007</v>
      </c>
      <c r="CS11" s="76">
        <f>IF(SUM(CA11:CD11)-CE11&gt;0,SUM(CA11:CD11)-CE11,"")</f>
        <v>27.65</v>
      </c>
      <c r="CT11" s="76">
        <f>IF(CH11&gt;0,CH11,"")</f>
        <v>13.6</v>
      </c>
      <c r="CU11" s="76">
        <f>IF(CI11&gt;0,CI11,"")</f>
        <v>15.505000000000001</v>
      </c>
      <c r="CV11" s="76">
        <f>IF(SUM(CF11:CI11)-CJ11&gt;0,SUM(CF11:CI11)-CJ11,"")</f>
        <v>48.805000000000007</v>
      </c>
      <c r="CW11" s="76">
        <f>IF(CS11="","",MAX(CS11,CV11))</f>
        <v>48.805000000000007</v>
      </c>
      <c r="CX11" s="76" t="str">
        <f>IF(CM11&gt;0,CM11,"")</f>
        <v/>
      </c>
      <c r="CY11" s="76" t="str">
        <f>IF(CN11&gt;0,CN11,"")</f>
        <v/>
      </c>
      <c r="CZ11" s="76" t="str">
        <f>IF(SUM(CK11:CN11)-CO11&gt;0,SUM(CK11:CN11)-CO11,"")</f>
        <v/>
      </c>
      <c r="DA11" s="76">
        <f>IF(SUM(CW11,CZ11)&gt;0,SUM(CW11,CZ11),"")</f>
        <v>48.805000000000007</v>
      </c>
      <c r="DB11" s="87" t="str">
        <f>IF(L11&gt;=0.001,IF(MAX(ED11,FL11,GT11,IB11,JJ11,KR11,LZ11,NH11,OP11,PX11,RF11,SN11)-IF(L11="",0,L11)&gt;0.001,MAX(ED11,FL11,GT11,IB11,JJ11,KR11,LZ11,NH11,OP11,PX11,RF11,SN11)-IF(L11="",0,L11),""),"")</f>
        <v/>
      </c>
      <c r="DC11" s="87" t="str">
        <f>IF(P11&gt;=0.001,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,"")</f>
        <v/>
      </c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76" t="str">
        <f>IF(DF11&gt;0,DF11,"")</f>
        <v/>
      </c>
      <c r="DY11" s="76" t="str">
        <f>IF(DG11&gt;0,DG11,"")</f>
        <v/>
      </c>
      <c r="DZ11" s="76" t="str">
        <f>IF(SUM(DD11:DG11)-DH11&gt;0,SUM(DD11:DG11)-DH11,"")</f>
        <v/>
      </c>
      <c r="EA11" s="76" t="str">
        <f>IF(DK11&gt;0,DK11,"")</f>
        <v/>
      </c>
      <c r="EB11" s="76" t="str">
        <f>IF(DL11&gt;0,DL11,"")</f>
        <v/>
      </c>
      <c r="EC11" s="76" t="str">
        <f>IF(SUM(DI11:DL11)-DM11&gt;0,SUM(DI11:DL11)-DM11,"")</f>
        <v/>
      </c>
      <c r="ED11" s="76" t="str">
        <f>IF(MAX(DZ11,EC11)&gt;0,MAX(DZ11,EC11),"")</f>
        <v/>
      </c>
      <c r="EE11" s="76" t="str">
        <f>IF(DP11&gt;0,DP11,"")</f>
        <v/>
      </c>
      <c r="EF11" s="76" t="str">
        <f>IF(DQ11&gt;0,DQ11,"")</f>
        <v/>
      </c>
      <c r="EG11" s="76" t="str">
        <f>IF(SUM(DN11:DQ11)-DR11&gt;0,SUM(DN11:DQ11)-DR11,"")</f>
        <v/>
      </c>
      <c r="EH11" s="76" t="str">
        <f>IF(DU11&gt;0,DU11,"")</f>
        <v/>
      </c>
      <c r="EI11" s="76" t="str">
        <f>IF(DV11&gt;0,DV11,"")</f>
        <v/>
      </c>
      <c r="EJ11" s="76" t="str">
        <f>IF(SUM(DS11:DV11)-DW11&gt;0,SUM(DS11:DV11)-DW11,"")</f>
        <v/>
      </c>
      <c r="EK11" s="76" t="str">
        <f>IF(SUM(ED11,EJ11)&gt;0,SUM(ED11,EJ11),"")</f>
        <v/>
      </c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16" t="str">
        <f>IF(EN11&gt;0,EN11,"")</f>
        <v/>
      </c>
      <c r="FG11" s="16" t="str">
        <f>IF(EO11&gt;0,EO11,"")</f>
        <v/>
      </c>
      <c r="FH11" s="16" t="str">
        <f>IF(SUM(EL11:EO11)-EP11&gt;0,SUM(EL11:EO11)-EP11,"")</f>
        <v/>
      </c>
      <c r="FI11" s="16" t="str">
        <f>IF(ES11&gt;0,ES11,"")</f>
        <v/>
      </c>
      <c r="FJ11" s="16" t="str">
        <f>IF(ET11&gt;0,ET11,"")</f>
        <v/>
      </c>
      <c r="FK11" s="16" t="str">
        <f>IF(SUM(EQ11:ET11)-EU11&gt;0,SUM(EQ11:ET11)-EU11,"")</f>
        <v/>
      </c>
      <c r="FL11" s="16" t="str">
        <f>IF(MAX(FH11,FK11)&gt;0,MAX(FH11,FK11),"")</f>
        <v/>
      </c>
      <c r="FM11" s="16" t="str">
        <f>IF(EX11&gt;0,EX11,"")</f>
        <v/>
      </c>
      <c r="FN11" s="16" t="str">
        <f>IF(EY11&gt;0,EY11,"")</f>
        <v/>
      </c>
      <c r="FO11" s="16" t="str">
        <f>IF(SUM(EV11:EY11)-EZ11&gt;0,SUM(EV11:EY11)-EZ11,"")</f>
        <v/>
      </c>
      <c r="FP11" s="16" t="str">
        <f>IF(FC11&gt;0,FC11,"")</f>
        <v/>
      </c>
      <c r="FQ11" s="16" t="str">
        <f>IF(FD11&gt;0,FD11,"")</f>
        <v/>
      </c>
      <c r="FR11" s="16" t="str">
        <f>IF(SUM(FA11:FD11)-FE11&gt;0,SUM(FA11:FD11)-FE11,"")</f>
        <v/>
      </c>
      <c r="FS11" s="16" t="str">
        <f>IF(SUM(FL11,FR11)&gt;0,SUM(FL11,FR11),"")</f>
        <v/>
      </c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76" t="str">
        <f>IF(FV11&gt;0,FV11,"")</f>
        <v/>
      </c>
      <c r="GO11" s="76" t="str">
        <f>IF(FW11&gt;0,FW11,"")</f>
        <v/>
      </c>
      <c r="GP11" s="76" t="str">
        <f>IF(SUM(FT11:FW11)-FX11&gt;0,SUM(FT11:FW11)-FX11,"")</f>
        <v/>
      </c>
      <c r="GQ11" s="76" t="str">
        <f>IF(GA11&gt;0,GA11,"")</f>
        <v/>
      </c>
      <c r="GR11" s="76" t="str">
        <f>IF(GB11&gt;0,GB11,"")</f>
        <v/>
      </c>
      <c r="GS11" s="76" t="str">
        <f>IF(SUM(FY11:GB11)-GC11&gt;0,SUM(FY11:GB11)-GC11,"")</f>
        <v/>
      </c>
      <c r="GT11" s="76" t="str">
        <f>IF(MAX(GP11,GS11)&gt;0,MAX(GP11,GS11),"")</f>
        <v/>
      </c>
      <c r="GU11" s="76" t="str">
        <f>IF(GF11&gt;0,GF11,"")</f>
        <v/>
      </c>
      <c r="GV11" s="76" t="str">
        <f>IF(GG11&gt;0,GG11,"")</f>
        <v/>
      </c>
      <c r="GW11" s="76" t="str">
        <f>IF(SUM(GD11:GG11)-GH11&gt;0,SUM(GD11:GG11)-GH11,"")</f>
        <v/>
      </c>
      <c r="GX11" s="76" t="str">
        <f>IF(GK11&gt;0,GK11,"")</f>
        <v/>
      </c>
      <c r="GY11" s="76" t="str">
        <f>IF(GL11&gt;0,GL11,"")</f>
        <v/>
      </c>
      <c r="GZ11" s="76" t="str">
        <f>IF(SUM(GI11:GL11)-GM11&gt;0,SUM(GI11:GL11)-GM11,"")</f>
        <v/>
      </c>
      <c r="HA11" s="76" t="str">
        <f>IF(SUM(GT11,GZ11)&gt;0,SUM(GT11,GZ11),"")</f>
        <v/>
      </c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16" t="str">
        <f>IF(HD11&gt;0,HD11,"")</f>
        <v/>
      </c>
      <c r="HW11" s="16" t="str">
        <f>IF(HE11&gt;0,HE11,"")</f>
        <v/>
      </c>
      <c r="HX11" s="16" t="str">
        <f>IF(SUM(HB11:HE11)-HF11&gt;0,SUM(HB11:HE11)-HF11,"")</f>
        <v/>
      </c>
      <c r="HY11" s="16" t="str">
        <f>IF(HI11&gt;0,HI11,"")</f>
        <v/>
      </c>
      <c r="HZ11" s="16" t="str">
        <f>IF(HJ11&gt;0,HJ11,"")</f>
        <v/>
      </c>
      <c r="IA11" s="16" t="str">
        <f>IF(SUM(HG11:HJ11)-HK11&gt;0,SUM(HG11:HJ11)-HK11,"")</f>
        <v/>
      </c>
      <c r="IB11" s="16" t="str">
        <f>IF(MAX(HX11,IA11)&gt;0,MAX(HX11,IA11),"")</f>
        <v/>
      </c>
      <c r="IC11" s="16" t="str">
        <f>IF(HN11&gt;0,HN11,"")</f>
        <v/>
      </c>
      <c r="ID11" s="16" t="str">
        <f>IF(HO11&gt;0,HO11,"")</f>
        <v/>
      </c>
      <c r="IE11" s="16" t="str">
        <f>IF(SUM(HL11:HO11)-HP11&gt;0,SUM(HL11:HO11)-HP11,"")</f>
        <v/>
      </c>
      <c r="IF11" s="16" t="str">
        <f>IF(HS11&gt;0,HS11,"")</f>
        <v/>
      </c>
      <c r="IG11" s="16" t="str">
        <f>IF(HT11&gt;0,HT11,"")</f>
        <v/>
      </c>
      <c r="IH11" s="16" t="str">
        <f>IF(SUM(HQ11:HT11)-HU11&gt;0,SUM(HQ11:HT11)-HU11,"")</f>
        <v/>
      </c>
      <c r="II11" s="16" t="str">
        <f>IF(SUM(IB11,IH11)&gt;0,SUM(IB11,IH11),"")</f>
        <v/>
      </c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76" t="str">
        <f>IF(IL11&gt;0,IL11,"")</f>
        <v/>
      </c>
      <c r="JE11" s="76" t="str">
        <f>IF(IM11&gt;0,IM11,"")</f>
        <v/>
      </c>
      <c r="JF11" s="76" t="str">
        <f>IF(SUM(IJ11:IM11)-IN11&gt;0,SUM(IJ11:IM11)-IN11,"")</f>
        <v/>
      </c>
      <c r="JG11" s="76" t="str">
        <f>IF(IQ11&gt;0,IQ11,"")</f>
        <v/>
      </c>
      <c r="JH11" s="76" t="str">
        <f>IF(IR11&gt;0,IR11,"")</f>
        <v/>
      </c>
      <c r="JI11" s="76" t="str">
        <f>IF(SUM(IO11:IR11)-IS11&gt;0,SUM(IO11:IR11)-IS11,"")</f>
        <v/>
      </c>
      <c r="JJ11" s="76" t="str">
        <f>IF(MAX(JF11,JI11)&gt;0,MAX(JF11,JI11),"")</f>
        <v/>
      </c>
      <c r="JK11" s="76" t="str">
        <f>IF(IV11&gt;0,IV11,"")</f>
        <v/>
      </c>
      <c r="JL11" s="76" t="str">
        <f>IF(IW11&gt;0,IW11,"")</f>
        <v/>
      </c>
      <c r="JM11" s="76" t="str">
        <f>IF(SUM(IT11:IW11)-IX11&gt;0,SUM(IT11:IW11)-IX11,"")</f>
        <v/>
      </c>
      <c r="JN11" s="76" t="str">
        <f>IF(JA11&gt;0,JA11,"")</f>
        <v/>
      </c>
      <c r="JO11" s="76" t="str">
        <f>IF(JB11&gt;0,JB11,"")</f>
        <v/>
      </c>
      <c r="JP11" s="76" t="str">
        <f>IF(SUM(IY11:JB11)-JC11&gt;0,SUM(IY11:JB11)-JC11,"")</f>
        <v/>
      </c>
      <c r="JQ11" s="76" t="str">
        <f>IF(SUM(JJ11,JP11)&gt;0,SUM(JJ11,JP11),"")</f>
        <v/>
      </c>
      <c r="JR11" s="26"/>
      <c r="JS11" s="26"/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16" t="str">
        <f>IF(JT11&gt;0,JT11,"")</f>
        <v/>
      </c>
      <c r="KM11" s="16" t="str">
        <f>IF(JU11&gt;0,JU11,"")</f>
        <v/>
      </c>
      <c r="KN11" s="16" t="str">
        <f>IF(SUM(JR11:JU11)-JV11&gt;0,SUM(JR11:JU11)-JV11,"")</f>
        <v/>
      </c>
      <c r="KO11" s="16" t="str">
        <f>IF(JY11&gt;0,JY11,"")</f>
        <v/>
      </c>
      <c r="KP11" s="16" t="str">
        <f>IF(JZ11&gt;0,JZ11,"")</f>
        <v/>
      </c>
      <c r="KQ11" s="16" t="str">
        <f>IF(SUM(JW11:JZ11)-KA11&gt;0,SUM(JW11:JZ11)-KA11,"")</f>
        <v/>
      </c>
      <c r="KR11" s="16" t="str">
        <f>IF(MAX(KN11,KQ11)&gt;0,MAX(KN11,KQ11),"")</f>
        <v/>
      </c>
      <c r="KS11" s="16" t="str">
        <f>IF(KD11&gt;0,KD11,"")</f>
        <v/>
      </c>
      <c r="KT11" s="16" t="str">
        <f>IF(KE11&gt;0,KE11,"")</f>
        <v/>
      </c>
      <c r="KU11" s="16" t="str">
        <f>IF(SUM(KB11:KE11)-KF11&gt;0,SUM(KB11:KE11)-KF11,"")</f>
        <v/>
      </c>
      <c r="KV11" s="16" t="str">
        <f>IF(KI11&gt;0,KI11,"")</f>
        <v/>
      </c>
      <c r="KW11" s="16" t="str">
        <f>IF(KJ11&gt;0,KJ11,"")</f>
        <v/>
      </c>
      <c r="KX11" s="16" t="str">
        <f>IF(SUM(KG11:KJ11)-KK11&gt;0,SUM(KG11:KJ11)-KK11,"")</f>
        <v/>
      </c>
      <c r="KY11" s="16" t="str">
        <f>IF(SUM(KR11,KX11)&gt;0,SUM(KR11,KX11),"")</f>
        <v/>
      </c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76" t="str">
        <f>IF(LB11&gt;0,LB11,"")</f>
        <v/>
      </c>
      <c r="LU11" s="76" t="str">
        <f>IF(LC11&gt;0,LC11,"")</f>
        <v/>
      </c>
      <c r="LV11" s="76" t="str">
        <f>IF(SUM(KZ11:LC11)-LD11&gt;0,SUM(KZ11:LC11)-LD11,"")</f>
        <v/>
      </c>
      <c r="LW11" s="76" t="str">
        <f>IF(LG11&gt;0,LG11,"")</f>
        <v/>
      </c>
      <c r="LX11" s="76" t="str">
        <f>IF(LH11&gt;0,LH11,"")</f>
        <v/>
      </c>
      <c r="LY11" s="76" t="str">
        <f>IF(SUM(LE11:LH11)-LI11&gt;0,SUM(LE11:LH11)-LI11,"")</f>
        <v/>
      </c>
      <c r="LZ11" s="76" t="str">
        <f>IF(MAX(LV11,LY11)&gt;0,MAX(LV11,LY11),"")</f>
        <v/>
      </c>
      <c r="MA11" s="76" t="str">
        <f>IF(LL11&gt;0,LL11,"")</f>
        <v/>
      </c>
      <c r="MB11" s="76" t="str">
        <f>IF(LM11&gt;0,LM11,"")</f>
        <v/>
      </c>
      <c r="MC11" s="76" t="str">
        <f>IF(SUM(LJ11:LM11)-LN11&gt;0,SUM(LJ11:LM11)-LN11,"")</f>
        <v/>
      </c>
      <c r="MD11" s="76" t="str">
        <f>IF(LQ11&gt;0,LQ11,"")</f>
        <v/>
      </c>
      <c r="ME11" s="76" t="str">
        <f>IF(LR11&gt;0,LR11,"")</f>
        <v/>
      </c>
      <c r="MF11" s="76" t="str">
        <f>IF(SUM(LO11:LR11)-LS11&gt;0,SUM(LO11:LR11)-LS11,"")</f>
        <v/>
      </c>
      <c r="MG11" s="76" t="str">
        <f>IF(SUM(LZ11,MF11)&gt;0,SUM(LZ11,MF11),"")</f>
        <v/>
      </c>
      <c r="MH11" s="26"/>
      <c r="MI11" s="26"/>
      <c r="MJ11" s="26"/>
      <c r="MK11" s="26"/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26"/>
      <c r="NB11" s="16" t="str">
        <f>IF(MJ11&gt;0,MJ11,"")</f>
        <v/>
      </c>
      <c r="NC11" s="16" t="str">
        <f>IF(MK11&gt;0,MK11,"")</f>
        <v/>
      </c>
      <c r="ND11" s="16" t="str">
        <f>IF(SUM(MH11:MK11)-ML11&gt;0,SUM(MH11:MK11)-ML11,"")</f>
        <v/>
      </c>
      <c r="NE11" s="16" t="str">
        <f>IF(MO11&gt;0,MO11,"")</f>
        <v/>
      </c>
      <c r="NF11" s="16" t="str">
        <f>IF(MP11&gt;0,MP11,"")</f>
        <v/>
      </c>
      <c r="NG11" s="16" t="str">
        <f>IF(SUM(MM11:MP11)-MQ11&gt;0,SUM(MM11:MP11)-MQ11,"")</f>
        <v/>
      </c>
      <c r="NH11" s="16" t="str">
        <f>IF(MAX(ND11,NG11)&gt;0,MAX(ND11,NG11),"")</f>
        <v/>
      </c>
      <c r="NI11" s="16" t="str">
        <f>IF(MT11&gt;0,MT11,"")</f>
        <v/>
      </c>
      <c r="NJ11" s="16" t="str">
        <f>IF(MU11&gt;0,MU11,"")</f>
        <v/>
      </c>
      <c r="NK11" s="16" t="str">
        <f>IF(SUM(MR11:MU11)-MV11&gt;0,SUM(MR11:MU11)-MV11,"")</f>
        <v/>
      </c>
      <c r="NL11" s="16" t="str">
        <f>IF(MY11&gt;0,MY11,"")</f>
        <v/>
      </c>
      <c r="NM11" s="16" t="str">
        <f>IF(MZ11&gt;0,MZ11,"")</f>
        <v/>
      </c>
      <c r="NN11" s="16" t="str">
        <f>IF(SUM(MW11:MZ11)-NA11&gt;0,SUM(MW11:MZ11)-NA11,"")</f>
        <v/>
      </c>
      <c r="NO11" s="16" t="str">
        <f>IF(SUM(NH11,NN11)&gt;0,SUM(NH11,NN11),"")</f>
        <v/>
      </c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76" t="str">
        <f>IF(NR11&gt;0,NR11,"")</f>
        <v/>
      </c>
      <c r="OK11" s="76" t="str">
        <f>IF(NS11&gt;0,NS11,"")</f>
        <v/>
      </c>
      <c r="OL11" s="76" t="str">
        <f>IF(SUM(NP11:NS11)-NT11&gt;0,SUM(NP11:NS11)-NT11,"")</f>
        <v/>
      </c>
      <c r="OM11" s="76" t="str">
        <f>IF(NW11&gt;0,NW11,"")</f>
        <v/>
      </c>
      <c r="ON11" s="76" t="str">
        <f>IF(NX11&gt;0,NX11,"")</f>
        <v/>
      </c>
      <c r="OO11" s="76" t="str">
        <f>IF(SUM(NU11:NX11)-NY11&gt;0,SUM(NU11:NX11)-NY11,"")</f>
        <v/>
      </c>
      <c r="OP11" s="76" t="str">
        <f>IF(MAX(OL11,OO11)&gt;0,MAX(OL11,OO11),"")</f>
        <v/>
      </c>
      <c r="OQ11" s="76" t="str">
        <f>IF(OB11&gt;0,OB11,"")</f>
        <v/>
      </c>
      <c r="OR11" s="76" t="str">
        <f>IF(OC11&gt;0,OC11,"")</f>
        <v/>
      </c>
      <c r="OS11" s="76" t="str">
        <f>IF(SUM(NZ11:OC11)-OD11&gt;0,SUM(NZ11:OC11)-OD11,"")</f>
        <v/>
      </c>
      <c r="OT11" s="76" t="str">
        <f>IF(OG11&gt;0,OG11,"")</f>
        <v/>
      </c>
      <c r="OU11" s="76" t="str">
        <f>IF(OH11&gt;0,OH11,"")</f>
        <v/>
      </c>
      <c r="OV11" s="76" t="str">
        <f>IF(SUM(OE11:OH11)-OI11&gt;0,SUM(OE11:OH11)-OI11,"")</f>
        <v/>
      </c>
      <c r="OW11" s="76" t="str">
        <f>IF(SUM(OP11,OV11)&gt;0,SUM(OP11,OV11),"")</f>
        <v/>
      </c>
      <c r="OX11" s="26"/>
      <c r="OY11" s="26"/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16" t="str">
        <f>IF(OZ11&gt;0,OZ11,"")</f>
        <v/>
      </c>
      <c r="PS11" s="16" t="str">
        <f>IF(PA11&gt;0,PA11,"")</f>
        <v/>
      </c>
      <c r="PT11" s="16" t="str">
        <f>IF(SUM(OX11:PA11)-PB11&gt;0,SUM(OX11:PA11)-PB11,"")</f>
        <v/>
      </c>
      <c r="PU11" s="16" t="str">
        <f>IF(PE11&gt;0,PE11,"")</f>
        <v/>
      </c>
      <c r="PV11" s="16" t="str">
        <f>IF(PF11&gt;0,PF11,"")</f>
        <v/>
      </c>
      <c r="PW11" s="16" t="str">
        <f>IF(SUM(PC11:PF11)-PG11&gt;0,SUM(PC11:PF11)-PG11,"")</f>
        <v/>
      </c>
      <c r="PX11" s="16" t="str">
        <f>IF(MAX(PT11,PW11)&gt;0,MAX(PT11,PW11),"")</f>
        <v/>
      </c>
      <c r="PY11" s="16" t="str">
        <f>IF(PJ11&gt;0,PJ11,"")</f>
        <v/>
      </c>
      <c r="PZ11" s="16" t="str">
        <f>IF(PK11&gt;0,PK11,"")</f>
        <v/>
      </c>
      <c r="QA11" s="16" t="str">
        <f>IF(SUM(PH11:PK11)-PL11&gt;0,SUM(PH11:PK11)-PL11,"")</f>
        <v/>
      </c>
      <c r="QB11" s="16" t="str">
        <f>IF(PO11&gt;0,PO11,"")</f>
        <v/>
      </c>
      <c r="QC11" s="16" t="str">
        <f>IF(PP11&gt;0,PP11,"")</f>
        <v/>
      </c>
      <c r="QD11" s="16" t="str">
        <f>IF(SUM(PM11:PP11)-PQ11&gt;0,SUM(PM11:PP11)-PQ11,"")</f>
        <v/>
      </c>
      <c r="QE11" s="16" t="str">
        <f>IF(SUM(PX11,QD11)&gt;0,SUM(PX11,QD11),"")</f>
        <v/>
      </c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76" t="str">
        <f>IF(QH11&gt;0,QH11,"")</f>
        <v/>
      </c>
      <c r="RA11" s="76" t="str">
        <f>IF(QI11&gt;0,QI11,"")</f>
        <v/>
      </c>
      <c r="RB11" s="76" t="str">
        <f>IF(SUM(QF11:QI11)-QJ11&gt;0,SUM(QF11:QI11)-QJ11,"")</f>
        <v/>
      </c>
      <c r="RC11" s="76" t="str">
        <f>IF(QM11&gt;0,QM11,"")</f>
        <v/>
      </c>
      <c r="RD11" s="76" t="str">
        <f>IF(QN11&gt;0,QN11,"")</f>
        <v/>
      </c>
      <c r="RE11" s="76" t="str">
        <f>IF(SUM(QK11:QN11)-QO11&gt;0,SUM(QK11:QN11)-QO11,"")</f>
        <v/>
      </c>
      <c r="RF11" s="76" t="str">
        <f>IF(MAX(RB11,RE11)&gt;0,MAX(RB11,RE11),"")</f>
        <v/>
      </c>
      <c r="RG11" s="76" t="str">
        <f>IF(QR11&gt;0,QR11,"")</f>
        <v/>
      </c>
      <c r="RH11" s="76" t="str">
        <f>IF(QS11&gt;0,QS11,"")</f>
        <v/>
      </c>
      <c r="RI11" s="76" t="str">
        <f>IF(SUM(QP11:QS11)-QT11&gt;0,SUM(QP11:QS11)-QT11,"")</f>
        <v/>
      </c>
      <c r="RJ11" s="76" t="str">
        <f>IF(QW11&gt;0,QW11,"")</f>
        <v/>
      </c>
      <c r="RK11" s="76" t="str">
        <f>IF(QX11&gt;0,QX11,"")</f>
        <v/>
      </c>
      <c r="RL11" s="76" t="str">
        <f>IF(SUM(QU11:QX11)-QY11&gt;0,SUM(QU11:QX11)-QY11,"")</f>
        <v/>
      </c>
      <c r="RM11" s="76" t="str">
        <f>IF(SUM(RF11,RL11)&gt;0,SUM(RF11,RL11),"")</f>
        <v/>
      </c>
      <c r="RN11" s="26"/>
      <c r="RO11" s="26"/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16" t="str">
        <f>IF(RP11&gt;0,RP11,"")</f>
        <v/>
      </c>
      <c r="SI11" s="16" t="str">
        <f>IF(RQ11&gt;0,RQ11,"")</f>
        <v/>
      </c>
      <c r="SJ11" s="16" t="str">
        <f>IF(SUM(RN11:RQ11)-RR11&gt;0,SUM(RN11:RQ11)-RR11,"")</f>
        <v/>
      </c>
      <c r="SK11" s="16" t="str">
        <f>IF(RU11&gt;0,RU11,"")</f>
        <v/>
      </c>
      <c r="SL11" s="16" t="str">
        <f>IF(RV11&gt;0,RV11,"")</f>
        <v/>
      </c>
      <c r="SM11" s="16" t="str">
        <f>IF(SUM(RS11:RV11)-RW11&gt;0,SUM(RS11:RV11)-RW11,"")</f>
        <v/>
      </c>
      <c r="SN11" s="16" t="str">
        <f>IF(MAX(SJ11,SM11)&gt;0,MAX(SJ11,SM11),"")</f>
        <v/>
      </c>
      <c r="SO11" s="16" t="str">
        <f>IF(RZ11&gt;0,RZ11,"")</f>
        <v/>
      </c>
      <c r="SP11" s="16" t="str">
        <f>IF(SA11&gt;0,SA11,"")</f>
        <v/>
      </c>
      <c r="SQ11" s="16" t="str">
        <f>IF(SUM(RX11:SA11)-SB11&gt;0,SUM(RX11:SA11)-SB11,"")</f>
        <v/>
      </c>
      <c r="SR11" s="16" t="str">
        <f>IF(SE11&gt;0,SE11,"")</f>
        <v/>
      </c>
      <c r="SS11" s="16" t="str">
        <f>IF(SF11&gt;0,SF11,"")</f>
        <v/>
      </c>
      <c r="ST11" s="16" t="str">
        <f>IF(SUM(SC11:SF11)-SG11&gt;0,SUM(SC11:SF11)-SG11,"")</f>
        <v/>
      </c>
      <c r="SU11" s="16" t="str">
        <f>IF(SUM(SN11,ST11)&gt;0,SUM(SN11,ST11),"")</f>
        <v/>
      </c>
      <c r="SV11" s="42">
        <f>IF($CP11="P",CA11,(CA11+AZ11)/2)</f>
        <v>10.55</v>
      </c>
      <c r="SW11" s="42">
        <f>IF($CP11="P",CB11,(CB11+BA11)/2)</f>
        <v>6.8</v>
      </c>
      <c r="SX11" s="42">
        <f>IF($CP11="P",CC11,(CC11+BB11)/2)</f>
        <v>11.3</v>
      </c>
      <c r="SY11" s="42">
        <f>IF($CP11="P",CD11,(CD11+BC11)/2)</f>
        <v>11.940000000000001</v>
      </c>
      <c r="SZ11" s="42">
        <f>IF($CP11="P",CE11,(CE11+BD11)/2)</f>
        <v>0</v>
      </c>
      <c r="TA11" s="42">
        <f>IF($CP11="P",CF11,(CF11+BE11)/2)</f>
        <v>6.8500000000000005</v>
      </c>
      <c r="TB11" s="42">
        <f>IF($CP11="P",CG11,(CG11+BF11)/2)</f>
        <v>5.3</v>
      </c>
      <c r="TC11" s="42">
        <f>IF($CP11="P",CH11,(CH11+BG11)/2)</f>
        <v>8.5</v>
      </c>
      <c r="TD11" s="42">
        <f>IF($CP11="P",CI11,(CI11+BH11)/2)</f>
        <v>9.4525000000000006</v>
      </c>
      <c r="TE11" s="42">
        <f>IF($CP11="P",CJ11,(CJ11+BI11)/2)</f>
        <v>0</v>
      </c>
      <c r="TF11" s="42">
        <f>IF($CP11="P",CK11,(CK11+BJ11)/2)</f>
        <v>6.7</v>
      </c>
      <c r="TG11" s="42">
        <f>IF($CP11="P",CL11,(CL11+BK11)/2)</f>
        <v>4.25</v>
      </c>
      <c r="TH11" s="42">
        <f>IF($CP11="P",CM11,(CM11+BL11)/2)</f>
        <v>7.2</v>
      </c>
      <c r="TI11" s="42">
        <f>IF($CP11="P",CN11,(CN11+BM11)/2)</f>
        <v>7.81</v>
      </c>
      <c r="TJ11" s="42">
        <f>IF($CP11="P",CO11,(CO11+BN11)/2)</f>
        <v>0</v>
      </c>
      <c r="TK11" s="51" t="s">
        <v>61</v>
      </c>
      <c r="TL11" s="76">
        <f>IF(SX11&gt;0,SX11,"")</f>
        <v>11.3</v>
      </c>
      <c r="TM11" s="76">
        <f>IF(SY11&gt;0,SY11,"")</f>
        <v>11.940000000000001</v>
      </c>
      <c r="TN11" s="76">
        <f>IF(SUM(SV11:SY11)-SZ11&gt;0,SUM(SV11:SY11)-SZ11,"")</f>
        <v>40.590000000000003</v>
      </c>
      <c r="TO11" s="76">
        <f>IF(TC11&gt;0,TC11,"")</f>
        <v>8.5</v>
      </c>
      <c r="TP11" s="76">
        <f>IF(TD11&gt;0,TD11,"")</f>
        <v>9.4525000000000006</v>
      </c>
      <c r="TQ11" s="76">
        <f>IF(SUM(TA11:TD11)-TE11&gt;0,SUM(TA11:TD11)-TE11,"")</f>
        <v>30.102499999999999</v>
      </c>
      <c r="TR11" s="76">
        <f>IF(MAX(TN11,TQ11)&gt;0,MAX(TN11,TQ11),"")</f>
        <v>40.590000000000003</v>
      </c>
      <c r="TS11" s="76">
        <f>IF(TH11&gt;0,TH11,"")</f>
        <v>7.2</v>
      </c>
      <c r="TT11" s="76">
        <f>IF(TI11&gt;0,TI11,"")</f>
        <v>7.81</v>
      </c>
      <c r="TU11" s="76">
        <f>IF(SUM(TF11:TI11)-TJ11&gt;0,SUM(TF11:TI11)-TJ11,"")</f>
        <v>25.959999999999997</v>
      </c>
      <c r="TV11" s="76">
        <f>IF(SUM(TR11,TU11)&gt;0,SUM(TR11,TU11),"")</f>
        <v>66.55</v>
      </c>
    </row>
    <row r="12" spans="1:542" x14ac:dyDescent="0.2">
      <c r="A12" s="5" cm="1">
        <f t="array" ref="A12">IF(AND(F12&lt;&gt;"",G12&lt;&gt;""),SUMPRODUCT((F$4:F$23&lt;&gt;"")*(G$4:G$23&lt;&gt;"")*(E$4:E$23&gt;E12))+1,IF(G12&lt;&gt;"",SUMPRODUCT((H$4:H$23="No DD")*(E$4:E$23&gt;E12))+1+SUMPRODUCT((F$4:F$23&lt;&gt;"")*(G$4:G$23&lt;&gt;"")),""))</f>
        <v>8</v>
      </c>
      <c r="B12" s="6" t="s">
        <v>59</v>
      </c>
      <c r="C12" s="7" t="s">
        <v>5</v>
      </c>
      <c r="D12" s="18">
        <v>1999</v>
      </c>
      <c r="E12" s="14">
        <f>SUM(J12:V12)+SUM(J12:T12)*0.0000001+SUM(J12)*0.0000000000001</f>
        <v>228.00002280000535</v>
      </c>
      <c r="F12" s="3" t="str">
        <f>IF(OR(AND(AO12&gt;=AY$25,AO12&lt;&gt;"",AQ12&gt;=AY$29,AQ12&lt;&gt;"",AN12=""),AND(AR12&gt;=AY$25,AR12&lt;&gt;"",AT12&gt;=AY$29,AT12&lt;&gt;"",AN12=""),AND(AV12&gt;=AY$25,AV12&lt;&gt;"",AX12&gt;=AY$29,AX12&lt;&gt;"",AN12=""),AND(BP12&gt;=BZ$25,BP12&lt;&gt;"",BR12&gt;=BZ$29,BR12&lt;&gt;"",BO12=""),AND(BS12&gt;=BZ$25,BS12&lt;&gt;"",BU12&gt;=BZ$29,BU12&lt;&gt;"",BO12=""),AND(BW12&gt;=BZ$25,BW12&lt;&gt;"",BY12&gt;=BZ$29,BY12&lt;&gt;"",BO12=""),AND(CQ12&gt;=DA$25,CQ12&lt;&gt;"",CS12&gt;=DA$29,CS12&lt;&gt;"",CP12=""),AND(CT12&gt;=DA$25,CT12&lt;&gt;"",CV12&gt;=DA$29,CV12&lt;&gt;"",CP12=""),AND(CX12&gt;=DA$25,CX12&lt;&gt;"",CZ12&gt;=DA$29,CZ12&lt;&gt;"",CP12=""),AND(DX12&gt;=EK$25,DX12&lt;&gt;"",DZ12&gt;=EK$29,DZ12&lt;&gt;""),AND(EA12&gt;=EK$25,EA12&lt;&gt;"",EC12&gt;=EK$29,EC12&lt;&gt;""),AND(EE12&gt;=EK$25,EE12&lt;&gt;"",EG12&gt;=EK$29,EG12&lt;&gt;""),AND(EH12&gt;=EK$25,EH12&lt;&gt;"",EJ12&gt;=EK$29,EJ12&lt;&gt;""),AND(FF12&gt;=FS$25,FF12&lt;&gt;"",FH12&gt;=FS$29,FH12&lt;&gt;""),AND(FI12&gt;=FS$25,FI12&lt;&gt;"",FK12&gt;=FS$29,FK12&lt;&gt;""),AND(FM12&gt;=FS$25,FM12&lt;&gt;"",FO12&gt;=FS$29,FO12&lt;&gt;""),AND(FP12&gt;=FS$25,FP12&lt;&gt;"",FR12&gt;=FS$29,FR12&lt;&gt;""),AND(GN12&gt;=HA$25,GN12&lt;&gt;"",GP12&gt;=HA$29,GP12&lt;&gt;""),AND(GQ12&gt;=HA$25,GQ12&lt;&gt;"",GS12&gt;=HA$29,GS12&lt;&gt;""),AND(GU12&gt;=HA$25,GU12&lt;&gt;"",GW12&gt;=HA$29,GW12&lt;&gt;""),AND(GX12&gt;=HA$25,GX12&lt;&gt;"",GZ12&gt;=HA$29,GZ12&lt;&gt;""),AND(HV12&gt;=II$25,HV12&lt;&gt;"",HX12&gt;=II$29,HX12&lt;&gt;""),AND(HY12&gt;=II$25,HY12&lt;&gt;"",IA12&gt;=II$29,IA12&lt;&gt;""),AND(IC12&gt;=II$25,IC12&lt;&gt;"",IE12&gt;=II$29,IE12&lt;&gt;""),AND(IF12&gt;=II$25,IF12&lt;&gt;"",IH12&gt;=II$29,IH12&lt;&gt;""),AND(JD12&gt;=JQ$25,JD12&lt;&gt;"",JF12&gt;=JQ$29,JF12&lt;&gt;""),AND(JG12&gt;=JQ$25,JG12&lt;&gt;"",JI12&gt;=JQ$29,JI12&lt;&gt;""),AND(JK12&gt;=JQ$25,JK12&lt;&gt;"",JM12&gt;=JQ$29,JM12&lt;&gt;""),AND(JN12&gt;=JQ$25,JN12&lt;&gt;"",JP12&gt;=JQ$29,JP12&lt;&gt;""),AND(KL12&gt;=KY$25,KL12&lt;&gt;"",KN12&gt;=KY$29,KN12&lt;&gt;""),AND(KO12&gt;=KY$25,KO12&lt;&gt;"",KQ12&gt;=KY$29,KQ12&lt;&gt;""),AND(KS12&gt;=KY$25,KS12&lt;&gt;"",KU12&gt;=KY$29,KU12&lt;&gt;""),AND(KV12&gt;=KY$25,KV12&lt;&gt;"",KX12&gt;=KY$29,KX12&lt;&gt;""),AND(LT12&gt;=MG$25,LT12&lt;&gt;"",LV12&gt;=MG$29,LV12&lt;&gt;""),AND(LW12&gt;=MG$25,LW12&lt;&gt;"",LY12&gt;=MG$29,LY12&lt;&gt;""),AND(MA12&gt;=MG$25,MA12&lt;&gt;"",MC12&gt;=MG$29,MC12&lt;&gt;""),AND(MD12&gt;=MG$25,MD12&lt;&gt;"",MF12&gt;=MG$29,MF12&lt;&gt;""),AND(NB12&gt;=NO$25,NB12&lt;&gt;"",ND12&gt;=NO$29,ND12&lt;&gt;""),AND(NE12&gt;=NO$25,NE12&lt;&gt;"",NG12&gt;=NO$29,NG12&lt;&gt;""),AND(NI12&gt;=NO$25,NI12&lt;&gt;"",NK12&gt;=NO$29,NK12&lt;&gt;""),AND(NL12&gt;=NO$25,NL12&lt;&gt;"",NN12&gt;=NO$29,NN12&lt;&gt;""),AND(OJ12&gt;=OW$25,OJ12&lt;&gt;"",OL12&gt;=OW$29,OL12&lt;&gt;""),AND(OM12&gt;=OW$25,OM12&lt;&gt;"",OO12&gt;=OW$29,OO12&lt;&gt;""),AND(OQ12&gt;=OW$25,OQ12&lt;&gt;"",OS12&gt;=OW$29,OS12&lt;&gt;""),AND(OT12&gt;=OW$25,OT12&lt;&gt;"",OV12&gt;=OW$29,OV12&lt;&gt;""),AND(PR12&gt;=QE$25,PR12&lt;&gt;"",PT12&gt;=QE$29,PT12&lt;&gt;""),AND(PU12&gt;=QE$25,PU12&lt;&gt;"",PW12&gt;=QE$29,PW12&lt;&gt;""),AND(PY12&gt;=QE$25,PY12&lt;&gt;"",QA12&gt;=QE$29,QA12&lt;&gt;""),AND(QB12&gt;=QE$25,QB12&lt;&gt;"",QD12&gt;=QE$29,QD12&lt;&gt;""),AND(QZ12&gt;=RM$25,QZ12&lt;&gt;"",RB12&gt;=RM$29,RB12&lt;&gt;""),AND(RC12&gt;=RM$25,RC12&lt;&gt;"",RE12&gt;=RM$29,RE12&lt;&gt;""),AND(RG12&gt;=RM$25,RG12&lt;&gt;"",RI12&gt;=RM$29,RI12&lt;&gt;""),AND(RJ12&gt;=RM$25,RJ12&lt;&gt;"",RL12&gt;=RM$29,RL12&lt;&gt;""),AND(SH12&gt;=SU$25,SH12&lt;&gt;"",SJ12&gt;=SU$29,SJ12&lt;&gt;""),AND(SK12&gt;=SU$25,SK12&lt;&gt;"",SM12&gt;=SU$29,SM12&lt;&gt;""),AND(SO12&gt;=SU$25,SO12&lt;&gt;"",SQ12&gt;=SU$29,SQ12&lt;&gt;""),AND(SR12&gt;=SU$25,SR12&lt;&gt;"",ST12&gt;=SU$29,ST12&lt;&gt;"")),"P","")</f>
        <v/>
      </c>
      <c r="G12" s="3" t="str">
        <f>IF(OR(AND(AQ12&gt;=AY$29,AQ12&lt;&gt;"",AN12=""),AND(AT12&gt;=AY$29,AT12&lt;&gt;"",AN12=""),AND(AX12&gt;=AY$29,AX12&lt;&gt;"",AN12=""),AND(BR12&gt;=BZ$29,BR12&lt;&gt;"",BO12=""),AND(BU12&gt;=BZ$29,BU12&lt;&gt;"",BO12=""),AND(BY12&gt;=BZ$29,BY12&lt;&gt;"",BO12=""),AND(CS12&gt;=DA$29,CS12&lt;&gt;"",CP12=""),AND(CV12&gt;=DA$29,CV12&lt;&gt;"",CP12=""),AND(CZ12&gt;=DA$29,CZ12&lt;&gt;"",CP12=""),AND(DZ12&gt;=EK$29,DZ12&lt;&gt;""),AND(EC12&gt;=EK$29,EC12&lt;&gt;""),AND(EG12&gt;=EK$29,EG12&lt;&gt;""),AND(EJ12&gt;=EK$29,EJ12&lt;&gt;""),AND(FH12&gt;=FS$29,FH12&lt;&gt;""),AND(FK12&gt;=FS$29,FK12&lt;&gt;""),AND(FO12&gt;=FS$29,FO12&lt;&gt;""),AND(FR12&gt;=FS$29,FR12&lt;&gt;""),AND(GP12&gt;=HA$29,GP12&lt;&gt;""),AND(GS12&gt;=HA$29,GS12&lt;&gt;""),AND(GW12&gt;=HA$29,GW12&lt;&gt;""),AND(GZ12&gt;=HA$29,GZ12&lt;&gt;""),AND(HX12&gt;=II$29,HX12&lt;&gt;""),AND(IA12&gt;=II$29,IA12&lt;&gt;""),AND(IE12&gt;=II$29,IE12&lt;&gt;""),AND(IH12&gt;=II$29,IH12&lt;&gt;""),AND(JF12&gt;=JQ$29,JF12&lt;&gt;""),AND(JI12&gt;=JQ$29,JI12&lt;&gt;""),AND(JM12&gt;=JQ$29,JM12&lt;&gt;""),AND(JP12&gt;=JQ$29,JP12&lt;&gt;""),AND(KN12&gt;=KY$29,KN12&lt;&gt;""),AND(KQ12&gt;=KY$29,KQ12&lt;&gt;""),AND(KU12&gt;=KY$29,KU12&lt;&gt;""),AND(KX12&gt;=KY$29,KX12&lt;&gt;""),AND(LV12&gt;=MG$29,LV12&lt;&gt;""),AND(LY12&gt;=MG$29,LY12&lt;&gt;""),AND(MC12&gt;=MG$29,MC12&lt;&gt;""),AND(MF12&gt;=MG$29,MF12&lt;&gt;""),AND(ND12&gt;=NO$29,ND12&lt;&gt;""),AND(NG12&gt;=NO$29,NG12&lt;&gt;""),AND(NK12&gt;=NO$29,NK12&lt;&gt;""),AND(NN12&gt;=NO$29,NN12&lt;&gt;""),AND(OL12&gt;=OW$29,OL12&lt;&gt;""),AND(OO12&gt;=OW$29,OO12&lt;&gt;""),AND(OS12&gt;=OW$29,OS12&lt;&gt;""),AND(OV12&gt;=OW$29,OV12&lt;&gt;""),AND(PT12&gt;=QE$29,PT12&lt;&gt;""),AND(PW12&gt;=QE$29,PW12&lt;&gt;""),AND(QA12&gt;=QE$29,QA12&lt;&gt;""),AND(QD12&gt;=QE$29,QD12&lt;&gt;""),AND(RB12&gt;=RM$29,RB12&lt;&gt;""),AND(RE12&gt;=RM$29,RE12&lt;&gt;""),AND(RI12&gt;=RM$29,RI12&lt;&gt;""),AND(RL12&gt;=RM$29,RL12&lt;&gt;""),AND(SJ12&gt;=SU$29,SJ12&lt;&gt;""),AND(SM12&gt;=SU$29,SM12&lt;&gt;""),AND(SQ12&gt;=SU$29,SQ12&lt;&gt;""),AND(ST12&gt;=SU$29,ST12&lt;&gt;"")),"P","")</f>
        <v>P</v>
      </c>
      <c r="H12" s="70" t="str">
        <f>IF(AND(G12="P",F12=""),"No DD",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),"Merit",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X12&gt;=EK$27,DX12&lt;&gt;"",DZ12&gt;=EK$31,DZ12&lt;&gt;""),AND(EA12&gt;=EK$27,EA12&lt;&gt;"",EC12&gt;=EK$31,EC12&lt;&gt;""),AND(EE12&gt;=EK$27,EE12&lt;&gt;"",EG12&gt;=EK$31,EG12&lt;&gt;""),AND(EH12&gt;=EK$27,EH12&lt;&gt;"",EJ12&gt;=EK$31,EJ12&lt;&gt;""),AND(FF12&gt;=FS$27,FF12&lt;&gt;"",FH12&gt;=FS$31,FH12&lt;&gt;""),AND(FI12&gt;=FS$27,FI12&lt;&gt;"",FK12&gt;=FS$31,FK12&lt;&gt;""),AND(FM12&gt;=FS$27,FM12&lt;&gt;"",FO12&gt;=FS$31,FO12&lt;&gt;""),AND(FP12&gt;=FS$27,FP12&lt;&gt;"",FR12&gt;=FS$31,FR12&lt;&gt;""),AND(GN12&gt;=HA$27,GN12&lt;&gt;"",GP12&gt;=HA$31,GP12&lt;&gt;""),AND(GQ12&gt;=HA$27,GQ12&lt;&gt;"",GS12&gt;=HA$31,GS12&lt;&gt;""),AND(GU12&gt;=HA$27,GU12&lt;&gt;"",GW12&gt;=HA$31,GW12&lt;&gt;""),AND(GX12&gt;=HA$27,GX12&lt;&gt;"",GZ12&gt;=HA$31,GZ12&lt;&gt;""),AND(HV12&gt;=II$27,HV12&lt;&gt;"",HX12&gt;=II$31,HX12&lt;&gt;""),AND(HY12&gt;=II$27,HY12&lt;&gt;"",IA12&gt;=II$31,IA12&lt;&gt;""),AND(IC12&gt;=II$27,IC12&lt;&gt;"",IE12&gt;=II$31,IE12&lt;&gt;""),AND(IF12&gt;=II$27,IF12&lt;&gt;"",IH12&gt;=II$31,IH12&lt;&gt;""),AND(JD12&gt;=JQ$27,JD12&lt;&gt;"",JF12&gt;=JQ$31,JF12&lt;&gt;""),AND(JG12&gt;=JQ$27,JG12&lt;&gt;"",JI12&gt;=JQ$31,JI12&lt;&gt;""),AND(JK12&gt;=JQ$27,JK12&lt;&gt;"",JM12&gt;=JQ$31,JM12&lt;&gt;""),AND(JN12&gt;=JQ$27,JN12&lt;&gt;"",JP12&gt;=JQ$31,JP12&lt;&gt;""),AND(KL12&gt;=KY$27,KL12&lt;&gt;"",KN12&gt;=KY$31,KN12&lt;&gt;""),AND(KO12&gt;=KY$27,KO12&lt;&gt;"",KQ12&gt;=KY$31,KQ12&lt;&gt;""),AND(KS12&gt;=KY$27,KS12&lt;&gt;"",KU12&gt;=KY$31,KU12&lt;&gt;""),AND(KV12&gt;=KY$27,KV12&lt;&gt;"",KX12&gt;=KY$31,KX12&lt;&gt;""),AND(LT12&gt;=MG$27,LT12&lt;&gt;"",LV12&gt;=MG$31,LV12&lt;&gt;""),AND(LW12&gt;=MG$27,LW12&lt;&gt;"",LY12&gt;=MG$31,LY12&lt;&gt;""),AND(MA12&gt;=MG$27,MA12&lt;&gt;"",MC12&gt;=MG$31,MC12&lt;&gt;""),AND(MD12&gt;=MG$27,MD12&lt;&gt;"",MF12&gt;=MG$31,MF12&lt;&gt;""),AND(NB12&gt;=NO$27,NB12&lt;&gt;"",ND12&gt;=NO$31,ND12&lt;&gt;""),AND(NE12&gt;=NO$27,NE12&lt;&gt;"",NG12&gt;=NO$31,NG12&lt;&gt;""),AND(NI12&gt;=NO$27,NI12&lt;&gt;"",NK12&gt;=NO$31,NK12&lt;&gt;""),AND(NL12&gt;=NO$27,NL12&lt;&gt;"",NN12&gt;=NO$31,NN12&lt;&gt;""),AND(OJ12&gt;=OW$27,OJ12&lt;&gt;"",OL12&gt;=OW$31,OL12&lt;&gt;""),AND(OM12&gt;=OW$27,OM12&lt;&gt;"",OO12&gt;=OW$31,OO12&lt;&gt;""),AND(OQ12&gt;=OW$27,OQ12&lt;&gt;"",OS12&gt;=OW$31,OS12&lt;&gt;""),AND(OT12&gt;=OW$27,OT12&lt;&gt;"",OV12&gt;=OW$31,OV12&lt;&gt;""),AND(PR12&gt;=QE$27,PR12&lt;&gt;"",PT12&gt;=QE$31,PT12&lt;&gt;""),AND(PU12&gt;=QE$27,PU12&lt;&gt;"",PW12&gt;=QE$31,PW12&lt;&gt;""),AND(PY12&gt;=QE$27,PY12&lt;&gt;"",QA12&gt;=QE$31,QA12&lt;&gt;""),AND(QB12&gt;=QE$27,QB12&lt;&gt;"",QD12&gt;=QE$31,QD12&lt;&gt;""),AND(QZ12&gt;=RM$27,QZ12&lt;&gt;"",RB12&gt;=RM$31,RB12&lt;&gt;""),AND(RC12&gt;=RM$27,RC12&lt;&gt;"",RE12&gt;=RM$31,RE12&lt;&gt;""),AND(RG12&gt;=RM$27,RG12&lt;&gt;"",RI12&gt;=RM$31,RI12&lt;&gt;""),AND(RJ12&gt;=RM$27,RJ12&lt;&gt;"",RL12&gt;=RM$31,RL12&lt;&gt;""),AND(SH12&gt;=SU$27,SH12&lt;&gt;"",SJ12&gt;=SU$31,SJ12&lt;&gt;""),AND(SK12&gt;=SU$27,SK12&lt;&gt;"",SM12&gt;=SU$31,SM12&lt;&gt;""),AND(SO12&gt;=SU$27,SO12&lt;&gt;"",SQ12&gt;=SU$31,SQ12&lt;&gt;""),AND(SR12&gt;=SU$27,SR12&lt;&gt;"",ST12&gt;=SU$31,ST12&lt;&gt;"")),"Excellence",IF(I12="P","Worlds Team",IF(F12="P","National Team","")))))</f>
        <v>No DD</v>
      </c>
      <c r="I12" s="3" t="str">
        <f>IF(OR(AND(AO12&gt;=AY$26,AO12&lt;&gt;"",AQ12&gt;=AY$30,AQ12&lt;&gt;"",AN12=""),AND(AR12&gt;=AY$26,AR12&lt;&gt;"",AT12&gt;=AY$30,AT12&lt;&gt;"",AN12=""),AND(AV12&gt;=AY$26,AV12&lt;&gt;"",AX12&gt;=AY$30,AX12&lt;&gt;"",AN12=""),AND(BP12&gt;=BZ$26,BP12&lt;&gt;"",BR12&gt;=BZ$30,BR12&lt;&gt;"",BO12=""),AND(BS12&gt;=BZ$26,BS12&lt;&gt;"",BU12&gt;=BZ$30,BU12&lt;&gt;"",BO12=""),AND(BW12&gt;=BZ$26,BW12&lt;&gt;"",BY12&gt;=BZ$30,BY12&lt;&gt;"",BO12=""),AND(CQ12&gt;=DA$26,CQ12&lt;&gt;"",CS12&gt;=DA$30,CS12&lt;&gt;"",CP12=""),AND(CT12&gt;=DA$26,CT12&lt;&gt;"",CV12&gt;=DA$30,CV12&lt;&gt;"",CP12=""),AND(CX12&gt;=DA$26,CX12&lt;&gt;"",CZ12&gt;=DA$30,CZ12&lt;&gt;"",CP12=""),AND(DX12&gt;=EK$26,DX12&lt;&gt;"",DZ12&gt;=EK$30,DZ12&lt;&gt;""),AND(EA12&gt;=EK$26,EA12&lt;&gt;"",EC12&gt;=EK$30,EC12&lt;&gt;""),AND(EE12&gt;=EK$26,EE12&lt;&gt;"",EG12&gt;=EK$30,EG12&lt;&gt;""),AND(EH12&gt;=EK$26,EH12&lt;&gt;"",EJ12&gt;=EK$30,EJ12&lt;&gt;""),AND(FF12&gt;=FS$26,FF12&lt;&gt;"",FH12&gt;=FS$30,FH12&lt;&gt;""),AND(FI12&gt;=FS$26,FI12&lt;&gt;"",FK12&gt;=FS$30,FK12&lt;&gt;""),AND(FM12&gt;=FS$26,FM12&lt;&gt;"",FO12&gt;=FS$30,FO12&lt;&gt;""),AND(FP12&gt;=FS$26,FP12&lt;&gt;"",FR12&gt;=FS$30,FR12&lt;&gt;""),AND(GN12&gt;=HA$26,GN12&lt;&gt;"",GP12&gt;=HA$30,GP12&lt;&gt;""),AND(GQ12&gt;=HA$26,GQ12&lt;&gt;"",GS12&gt;=HA$30,GS12&lt;&gt;""),AND(GU12&gt;=HA$26,GU12&lt;&gt;"",GW12&gt;=HA$30,GW12&lt;&gt;""),AND(GX12&gt;=HA$26,GX12&lt;&gt;"",GZ12&gt;=HA$30,GZ12&lt;&gt;""),AND(HV12&gt;=II$26,HV12&lt;&gt;"",HX12&gt;=II$30,HX12&lt;&gt;""),AND(HY12&gt;=II$26,HY12&lt;&gt;"",IA12&gt;=II$30,IA12&lt;&gt;""),AND(IC12&gt;=II$26,IC12&lt;&gt;"",IE12&gt;=II$30,IE12&lt;&gt;""),AND(IF12&gt;=II$26,IF12&lt;&gt;"",IH12&gt;=II$30,IH12&lt;&gt;""),AND(JD12&gt;=JQ$26,JD12&lt;&gt;"",JF12&gt;=JQ$30,JF12&lt;&gt;""),AND(JG12&gt;=JQ$26,JG12&lt;&gt;"",JI12&gt;=JQ$30,JI12&lt;&gt;""),AND(JK12&gt;=JQ$26,JK12&lt;&gt;"",JM12&gt;=JQ$30,JM12&lt;&gt;""),AND(JN12&gt;=JQ$26,JN12&lt;&gt;"",JP12&gt;=JQ$30,JP12&lt;&gt;""),AND(KL12&gt;=KY$26,KL12&lt;&gt;"",KN12&gt;=KY$30,KN12&lt;&gt;""),AND(KO12&gt;=KY$26,KO12&lt;&gt;"",KQ12&gt;=KY$30,KQ12&lt;&gt;""),AND(KS12&gt;=KY$26,KS12&lt;&gt;"",KU12&gt;=KY$30,KU12&lt;&gt;""),AND(KV12&gt;=KY$26,KV12&lt;&gt;"",KX12&gt;=KY$30,KX12&lt;&gt;""),AND(LT12&gt;=MG$26,LT12&lt;&gt;"",LV12&gt;=MG$30,LV12&lt;&gt;""),AND(LW12&gt;=MG$26,LW12&lt;&gt;"",LY12&gt;=MG$30,LY12&lt;&gt;""),AND(MA12&gt;=MG$26,MA12&lt;&gt;"",MC12&gt;=MG$30,MC12&lt;&gt;""),AND(MD12&gt;=MG$26,MD12&lt;&gt;"",MF12&gt;=MG$30,MF12&lt;&gt;""),AND(NB12&gt;=NO$26,NB12&lt;&gt;"",ND12&gt;=NO$30,ND12&lt;&gt;""),AND(NE12&gt;=NO$26,NE12&lt;&gt;"",NG12&gt;=NO$30,NG12&lt;&gt;""),AND(NI12&gt;=NO$26,NI12&lt;&gt;"",NK12&gt;=NO$30,NK12&lt;&gt;""),AND(NL12&gt;=NO$26,NL12&lt;&gt;"",NN12&gt;=NO$30,NN12&lt;&gt;""),AND(OJ12&gt;=OW$26,OJ12&lt;&gt;"",OL12&gt;=OW$30,OL12&lt;&gt;""),AND(OM12&gt;=OW$26,OM12&lt;&gt;"",OO12&gt;=OW$30,OO12&lt;&gt;""),AND(OQ12&gt;=OW$26,OQ12&lt;&gt;"",OS12&gt;=OW$30,OS12&lt;&gt;""),AND(OT12&gt;=OW$26,OT12&lt;&gt;"",OV12&gt;=OW$30,OV12&lt;&gt;""),AND(PR12&gt;=QE$26,PR12&lt;&gt;"",PT12&gt;=QE$30,PT12&lt;&gt;""),AND(PU12&gt;=QE$26,PU12&lt;&gt;"",PW12&gt;=QE$30,PW12&lt;&gt;""),AND(PY12&gt;=QE$26,PY12&lt;&gt;"",QA12&gt;=QE$30,QA12&lt;&gt;""),AND(QB12&gt;=QE$26,QB12&lt;&gt;"",QD12&gt;=QE$30,QD12&lt;&gt;""),AND(QZ12&gt;=RM$26,QZ12&lt;&gt;"",RB12&gt;=RM$30,RB12&lt;&gt;""),AND(RC12&gt;=RM$26,RC12&lt;&gt;"",RE12&gt;=RM$30,RE12&lt;&gt;""),AND(RG12&gt;=RM$26,RG12&lt;&gt;"",RI12&gt;=RM$30,RI12&lt;&gt;""),AND(RJ12&gt;=RM$26,RJ12&lt;&gt;"",RL12&gt;=RM$30,RL12&lt;&gt;""),AND(SH12&gt;=SU$26,SH12&lt;&gt;"",SJ12&gt;=SU$30,SJ12&lt;&gt;""),AND(SK12&gt;=SU$26,SK12&lt;&gt;"",SM12&gt;=SU$30,SM12&lt;&gt;""),AND(SO12&gt;=SU$26,SO12&lt;&gt;"",SQ12&gt;=SU$30,SQ12&lt;&gt;""),AND(SR12&gt;=SU$26,SR12&lt;&gt;"",ST12&gt;=SU$30,ST12&lt;&gt;"")),"P","")</f>
        <v/>
      </c>
      <c r="J12" s="13">
        <f>IF(COUNT(AQ12,AT12,BR12,BU12,CS12,CV12)&gt;0,LARGE((AQ12,AT12,BR12,BU12,CS12,CV12),1),0)</f>
        <v>53.500000000000007</v>
      </c>
      <c r="K12" s="13" t="str">
        <f>IF(J12="","",IF(OR(J12=CS12,J12=CV12),$CA$1,IF(OR(J12=BR12,J12=BU12),$AZ$1,IF(OR(J12=AQ12,J12=AT12),$Y$1,""))))</f>
        <v>2021 Elite Canada</v>
      </c>
      <c r="L12" s="13">
        <f>IF(COUNT(AQ12,AT12,BR12,BU12,CS12,CV12)&gt;1,LARGE((AQ12,AT12,BR12,BU12,CS12,CV12),2),0)</f>
        <v>53.36</v>
      </c>
      <c r="M12" s="13" t="str">
        <f>IF(L12="","",IF(OR(L12=CS12,L12=CV12),$CA$1,IF(OR(L12=BR12,L12=BU12),$AZ$1,IF(OR(L12=AQ12,L12=AT12),$Y$1,""))))</f>
        <v>2022 Elite Canada</v>
      </c>
      <c r="N12" s="13">
        <f>IF(COUNT(AQ12,AT12,BR12,BU12,CS12,CV12)&gt;2,LARGE((AQ12,AT12,BR12,BU12,CS12,CV12),3),0)</f>
        <v>52.169999999999995</v>
      </c>
      <c r="O12" s="13" t="str">
        <f>IF(N12="","",IF(OR(N12=CS12,N12=CV12),$CA$1,IF(OR(N12=BR12,N12=BU12),$AZ$1,IF(OR(N12=AQ12,N12=AT12),$Y$1,""))))</f>
        <v>2022 Elite Canada</v>
      </c>
      <c r="P12" s="13">
        <f>IF(MAX(AX12,BY12,CZ12)&gt;0,MAX(AX12,BY12,CZ12),0)</f>
        <v>54.169999999999995</v>
      </c>
      <c r="Q12" s="13" t="str">
        <f>IF(P12="","",IF(P12=CZ12,$CA$1,IF(P12=BY12,$AZ$1,IF(P12=AX12,$Y$1,""))))</f>
        <v>2022 Elite Canada</v>
      </c>
      <c r="R12" s="13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14.8</v>
      </c>
      <c r="S12" s="13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2022 Elite Canada</v>
      </c>
      <c r="T12" s="13">
        <f>IF(MAX(IF(AO12&gt;=$AY$25,AP12,0),IF(AR12&gt;=$AY$25,AS12,0),IF(AV12&gt;=$AY$25,AW12,0),IF(BP12&gt;=$BZ$25,BQ12,0),IF(BS12&gt;=$BZ$25,BT12,0),IF(BW12&gt;=$BZ$25,BX12,0),IF(CQ12&gt;=$DA$25,CR12,0),IF(CT12&gt;=$DA$25,CU12,0),IF(CX12&gt;=$DA$25,CY12,0))&gt;0,MAX(IF(AO12&gt;=$AY$25,AP12,0),IF(AR12&gt;=$AY$25,AS12,0),IF(AV12&gt;=$AY$25,AW12,0),IF(BP12&gt;=$BZ$25,BQ12,0),IF(BS12&gt;=$BZ$25,BT12,0),IF(BW12&gt;=$BZ$25,BX12,0),IF(CQ12&gt;=$DA$25,CR12,0),IF(CT12&gt;=$DA$25,CU12,0),IF(CX12&gt;=$DA$25,CY12,0),IF(DX12&gt;=$EK$25,DY12,0),IF(EA12&gt;=$EK$25,EB12,0),IF(EE12&gt;=$EK$25,EF12,0),IF(EH12&gt;=$EK$25,EI12,0),IF(FF12&gt;=$FS$25,FG12,0),IF(FI12&gt;=$FS$25,FJ12,0),IF(FM12&gt;=$FS$25,FN12,0),IF(FP12&gt;=$FS$25,FQ12,0),IF(GN12&gt;=$HA$25,GO12,0),IF(GQ12&gt;=$HA$25,GR12,0),IF(GU12&gt;=$HA$25,GV12,0),IF(GX12&gt;=$HA$25,GY12,0),IF(HV12&gt;=$II$25,HW12,0),IF(HY12&gt;=$II$25,HZ12,0),IF(IC12&gt;=$II$25,ID12,0),IF(IF12&gt;=$II$25,IG12,0),IF(JD12&gt;=$JQ$25,JE12,0),IF(JG12&gt;=$JQ$25,JH12,0),IF(JK12&gt;=$JQ$25,JL12,0),IF(JN12&gt;=$JQ$25,JO12,0),IF(KL12&gt;=$KY$25,KM12,0),IF(KO12&gt;=$KY$25,KP12,0),IF(KS12&gt;=$KY$25,KT12,0),IF(KV12&gt;=$KY$25,KW12,0),IF(LT12&gt;=$MG$25,LU12,0),IF(LW12&gt;=$MG$25,LX12,0),IF(MA12&gt;=$MG$25,MB12,0),IF(MD12&gt;=$MG$25,ME12,0),IF(NB12&gt;=$NO$25,NC12,0),IF(NE12&gt;=$NO$25,NF12,0),IF(NI12&gt;=$NO$25,NJ12,0),IF(NL12&gt;=$NO$25,NM12,0),IF(OJ12&gt;=$OW$25,OK12,0),IF(OM12&gt;=$OW$25,ON12,0),IF(OQ12&gt;=$OW$25,OR12,0),IF(OT12&gt;=$OW$25,OU12,0),IF(PR12&gt;=$QE$25,PS12,0),IF(PU12&gt;=$QE$25,PV12,0),IF(PY12&gt;=$QE$25,PZ12,0),IF(QB12&gt;=$QE$25,QC12,0),IF(QZ12&gt;=$RM$25,RA12,0),IF(RC12&gt;=$RM$25,RD12,0),IF(RG12&gt;=$RM$25,RH12,0),IF(RJ12&gt;=$RM$25,RK12,0),IF(SH12&gt;=$SU$25,SI12,0),IF(SK12&gt;=$SU$25,SL12,0),IF(SO12&gt;=$SU$25,SP12,0),IF(SR12&gt;=$SU$25,SS12,0)),0)</f>
        <v>0</v>
      </c>
      <c r="U12" s="13" t="str">
        <f>IF(T12=0,"",IF(OR(T12=CR12,T12=CU12,T12=CY12),$CA$1,IF(OR(T12=BQ12,T12=BT12,T12=BX12),$AZ$1,IF(OR(T12=AP12,T12=AS12,T12=AW12),$Y$1,IF(OR(R12=SI12,R12=SL12,R12=SP12,R12=SS12),$RN$1,IF(OR(R12=RA12,R12=RD12,R12=RH12,R12=RK12),$QF$1,IF(OR(R12=PS12,R12=PV12,R12=PZ12,R12=QC12),$OX$1,IF(OR(R12=OK12,R12=ON12,R12=OR12,R12=OU12),$NP$1,IF(OR(R12=NC12,R12=NF12,R12=NJ12,R12=NM12),$MH$1,IF(OR(R12=LU12,R12=LX12,R12=MB12,R12=ME12),$KZ$1,IF(OR(R12=KM12,R12=KP12,R12=KT12,R12=KW12),$JR$1,IF(OR(R12=JE12,R12=JH12,R12=JL12,R12=JO12),$IJ$1,IF(OR(R12=HW12,R12=HZ12,R12=ID12,R12=IG12),$HB$1,IF(OR(R12=GO12,R12=GR12,R12=GV12,R12=GY12),$FT$1,IF(OR(R12=FG12,R12=FJ12,R12=FN12,R12=FQ12),$EL$1,IF(OR(R12=DY12,R12=EB12,R12=EF12,R12=EI12),$DD$1,""))))))))))))))))</f>
        <v/>
      </c>
      <c r="V12" s="13" t="str">
        <f>IF(MAX(DB12,DC12)&gt;0,MAX(DB12,DC12),"")</f>
        <v/>
      </c>
      <c r="W12" s="16" t="str">
        <f>IF(V12="","",IF(V12=DB12,"("&amp;DB$2&amp;")",IF(V12=DC12,"("&amp;DC$2&amp;")")))</f>
        <v/>
      </c>
      <c r="X12" s="13" t="str">
        <f>IF(V12="","",IF(V12=DB12,IF(V12+IF(L12="",0,L12)=SN12,$RN$1,IF(V12+IF(L12="",0,L12)=RF12,$QF$1,IF(V12+IF(L12="",0,L12)=PX12,$OX$1,IF(V12+IF(L12="",0,L12)=OP12,$NP$1,IF(V12+IF(L12="",0,L12)=NH12,$MH$1,IF(V12+IF(L12="",0,L12)=LZ12,$KZ$1,IF(V12+IF(L12="",0,L12)=KR12,$JR$1,IF(V12+IF(L12="",0,L12)=JJ12,$IJ$1,IF(V12+IF(L12="",0,L12)=IB12,$HB$1,IF(V12+IF(L12="",0,L12)=GT12,$FT$1,IF(V12+IF(L12="",0,L12)=FL12,$EL$1,IF(V12+IF(L12="",0,L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$1)))))))))))))))</f>
        <v/>
      </c>
      <c r="Y12" s="42">
        <v>14.8</v>
      </c>
      <c r="Z12" s="42">
        <v>9.4</v>
      </c>
      <c r="AA12" s="42">
        <v>14.2</v>
      </c>
      <c r="AB12" s="42">
        <v>15.1</v>
      </c>
      <c r="AC12" s="42">
        <v>0</v>
      </c>
      <c r="AD12" s="42">
        <v>0</v>
      </c>
      <c r="AE12" s="42">
        <v>0</v>
      </c>
      <c r="AF12" s="42">
        <v>0</v>
      </c>
      <c r="AG12" s="42">
        <v>0</v>
      </c>
      <c r="AH12" s="42">
        <v>0</v>
      </c>
      <c r="AI12" s="42">
        <v>11.3</v>
      </c>
      <c r="AJ12" s="42">
        <v>8.4</v>
      </c>
      <c r="AK12" s="42">
        <v>6.7</v>
      </c>
      <c r="AL12" s="42">
        <v>6.13</v>
      </c>
      <c r="AM12" s="42">
        <v>0</v>
      </c>
      <c r="AN12" s="51"/>
      <c r="AO12" s="74">
        <f>IF(AA12&gt;0,AA12,"")</f>
        <v>14.2</v>
      </c>
      <c r="AP12" s="74">
        <f>IF(AB12&gt;0,AB12,"")</f>
        <v>15.1</v>
      </c>
      <c r="AQ12" s="76">
        <f>IF(SUM(Y12:AB12)-AC12&gt;0,SUM(Y12:AB12)-AC12,"")</f>
        <v>53.500000000000007</v>
      </c>
      <c r="AR12" s="76" t="str">
        <f>IF(AF12&gt;0,AF12,"")</f>
        <v/>
      </c>
      <c r="AS12" s="76" t="str">
        <f>IF(AG12&gt;0,AG12,"")</f>
        <v/>
      </c>
      <c r="AT12" s="76" t="str">
        <f>IF(SUM(AD12:AG12)-AH12&gt;0,SUM(AD12:AG12)-AH12,"")</f>
        <v/>
      </c>
      <c r="AU12" s="76">
        <f>IF(AQ12="","",MAX(AQ12,AT12))</f>
        <v>53.500000000000007</v>
      </c>
      <c r="AV12" s="76">
        <f>IF(AK12&gt;0,AK12,"")</f>
        <v>6.7</v>
      </c>
      <c r="AW12" s="76">
        <f>IF(AL12&gt;0,AL12,"")</f>
        <v>6.13</v>
      </c>
      <c r="AX12" s="76">
        <f>IF(SUM(AI12:AL12)-AM12&gt;0,SUM(AI12:AL12)-AM12,"")</f>
        <v>32.53</v>
      </c>
      <c r="AY12" s="76">
        <f>IF(SUM(AU12,AX12)&gt;0,SUM(AU12,AX12),"")</f>
        <v>86.03</v>
      </c>
      <c r="AZ12" s="46">
        <v>4.5</v>
      </c>
      <c r="BA12" s="46">
        <v>2.9</v>
      </c>
      <c r="BB12" s="46">
        <v>5.0999999999999996</v>
      </c>
      <c r="BC12" s="46">
        <v>4.8650000000000002</v>
      </c>
      <c r="BD12" s="46">
        <v>0</v>
      </c>
      <c r="BE12" s="46">
        <v>4.3</v>
      </c>
      <c r="BF12" s="46">
        <v>2.9</v>
      </c>
      <c r="BG12" s="46">
        <v>5.0999999999999996</v>
      </c>
      <c r="BH12" s="46">
        <v>5.05</v>
      </c>
      <c r="BI12" s="46">
        <v>0</v>
      </c>
      <c r="BJ12" s="46"/>
      <c r="BK12" s="46"/>
      <c r="BL12" s="46"/>
      <c r="BM12" s="46"/>
      <c r="BN12" s="46"/>
      <c r="BO12" s="52"/>
      <c r="BP12" s="75">
        <f>IF(BB12&gt;0,BB12,"")</f>
        <v>5.0999999999999996</v>
      </c>
      <c r="BQ12" s="75">
        <f>IF(BC12&gt;0,BC12,"")</f>
        <v>4.8650000000000002</v>
      </c>
      <c r="BR12" s="16">
        <f>IF(SUM(AZ12:BC12)-BD12&gt;0,SUM(AZ12:BC12)-BD12,"")</f>
        <v>17.365000000000002</v>
      </c>
      <c r="BS12" s="16">
        <f>IF(BG12&gt;0,BG12,"")</f>
        <v>5.0999999999999996</v>
      </c>
      <c r="BT12" s="16">
        <f>IF(BH12&gt;0,BH12,"")</f>
        <v>5.05</v>
      </c>
      <c r="BU12" s="16">
        <f>IF(SUM(BE12:BH12)-BI12&gt;0,SUM(BE12:BH12)-BI12,"")</f>
        <v>17.349999999999998</v>
      </c>
      <c r="BV12" s="16">
        <f>IF(BR12="","",MAX(BR12,BU12))</f>
        <v>17.365000000000002</v>
      </c>
      <c r="BW12" s="16" t="str">
        <f>IF(BL12&gt;0,BL12,"")</f>
        <v/>
      </c>
      <c r="BX12" s="16" t="str">
        <f>IF(BM12&gt;0,BM12,"")</f>
        <v/>
      </c>
      <c r="BY12" s="16" t="str">
        <f>IF(SUM(BJ12:BM12)-BN12&gt;0,SUM(BJ12:BM12)-BN12,"")</f>
        <v/>
      </c>
      <c r="BZ12" s="16">
        <f>IF(SUM(BV12,BY12)&gt;0,SUM(BV12,BY12),"")</f>
        <v>17.365000000000002</v>
      </c>
      <c r="CA12" s="42">
        <v>14.3</v>
      </c>
      <c r="CB12" s="42">
        <v>8.9</v>
      </c>
      <c r="CC12" s="42">
        <v>14.8</v>
      </c>
      <c r="CD12" s="42">
        <v>15.36</v>
      </c>
      <c r="CE12" s="42">
        <v>0</v>
      </c>
      <c r="CF12" s="42">
        <v>15</v>
      </c>
      <c r="CG12" s="42">
        <v>9.4</v>
      </c>
      <c r="CH12" s="42">
        <v>12.7</v>
      </c>
      <c r="CI12" s="42">
        <v>15.87</v>
      </c>
      <c r="CJ12" s="42">
        <v>0.8</v>
      </c>
      <c r="CK12" s="42">
        <v>14.6</v>
      </c>
      <c r="CL12" s="42">
        <v>9.1</v>
      </c>
      <c r="CM12" s="42">
        <v>14.6</v>
      </c>
      <c r="CN12" s="42">
        <v>15.87</v>
      </c>
      <c r="CO12" s="42">
        <v>0</v>
      </c>
      <c r="CP12" s="51"/>
      <c r="CQ12" s="74">
        <f>IF(CC12&gt;0,CC12,"")</f>
        <v>14.8</v>
      </c>
      <c r="CR12" s="74">
        <f>IF(CD12&gt;0,CD12,"")</f>
        <v>15.36</v>
      </c>
      <c r="CS12" s="76">
        <f>IF(SUM(CA12:CD12)-CE12&gt;0,SUM(CA12:CD12)-CE12,"")</f>
        <v>53.36</v>
      </c>
      <c r="CT12" s="76">
        <f>IF(CH12&gt;0,CH12,"")</f>
        <v>12.7</v>
      </c>
      <c r="CU12" s="76">
        <f>IF(CI12&gt;0,CI12,"")</f>
        <v>15.87</v>
      </c>
      <c r="CV12" s="76">
        <f>IF(SUM(CF12:CI12)-CJ12&gt;0,SUM(CF12:CI12)-CJ12,"")</f>
        <v>52.169999999999995</v>
      </c>
      <c r="CW12" s="76">
        <f>IF(CS12="","",MAX(CS12,CV12))</f>
        <v>53.36</v>
      </c>
      <c r="CX12" s="76">
        <f>IF(CM12&gt;0,CM12,"")</f>
        <v>14.6</v>
      </c>
      <c r="CY12" s="76">
        <f>IF(CN12&gt;0,CN12,"")</f>
        <v>15.87</v>
      </c>
      <c r="CZ12" s="76">
        <f>IF(SUM(CK12:CN12)-CO12&gt;0,SUM(CK12:CN12)-CO12,"")</f>
        <v>54.169999999999995</v>
      </c>
      <c r="DA12" s="76">
        <f>IF(SUM(CW12,CZ12)&gt;0,SUM(CW12,CZ12),"")</f>
        <v>107.53</v>
      </c>
      <c r="DB12" s="87" t="str">
        <f>IF(L12&gt;=0.001,IF(MAX(ED12,FL12,GT12,IB12,JJ12,KR12,LZ12,NH12,OP12,PX12,RF12,SN12)-IF(L12="",0,L12)&gt;0.001,MAX(ED12,FL12,GT12,IB12,JJ12,KR12,LZ12,NH12,OP12,PX12,RF12,SN12)-IF(L12="",0,L12),""),"")</f>
        <v/>
      </c>
      <c r="DC12" s="87" t="str">
        <f>IF(P12&gt;=0.001,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,"")</f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76" t="str">
        <f>IF(DF12&gt;0,DF12,"")</f>
        <v/>
      </c>
      <c r="DY12" s="76" t="str">
        <f>IF(DG12&gt;0,DG12,"")</f>
        <v/>
      </c>
      <c r="DZ12" s="76" t="str">
        <f>IF(SUM(DD12:DG12)-DH12&gt;0,SUM(DD12:DG12)-DH12,"")</f>
        <v/>
      </c>
      <c r="EA12" s="76" t="str">
        <f>IF(DK12&gt;0,DK12,"")</f>
        <v/>
      </c>
      <c r="EB12" s="76" t="str">
        <f>IF(DL12&gt;0,DL12,"")</f>
        <v/>
      </c>
      <c r="EC12" s="76" t="str">
        <f>IF(SUM(DI12:DL12)-DM12&gt;0,SUM(DI12:DL12)-DM12,"")</f>
        <v/>
      </c>
      <c r="ED12" s="76" t="str">
        <f>IF(MAX(DZ12,EC12)&gt;0,MAX(DZ12,EC12),"")</f>
        <v/>
      </c>
      <c r="EE12" s="76" t="str">
        <f>IF(DP12&gt;0,DP12,"")</f>
        <v/>
      </c>
      <c r="EF12" s="76" t="str">
        <f>IF(DQ12&gt;0,DQ12,"")</f>
        <v/>
      </c>
      <c r="EG12" s="76" t="str">
        <f>IF(SUM(DN12:DQ12)-DR12&gt;0,SUM(DN12:DQ12)-DR12,"")</f>
        <v/>
      </c>
      <c r="EH12" s="76" t="str">
        <f>IF(DU12&gt;0,DU12,"")</f>
        <v/>
      </c>
      <c r="EI12" s="76" t="str">
        <f>IF(DV12&gt;0,DV12,"")</f>
        <v/>
      </c>
      <c r="EJ12" s="76" t="str">
        <f>IF(SUM(DS12:DV12)-DW12&gt;0,SUM(DS12:DV12)-DW12,"")</f>
        <v/>
      </c>
      <c r="EK12" s="76" t="str">
        <f>IF(SUM(ED12,EJ12)&gt;0,SUM(ED12,EJ12),"")</f>
        <v/>
      </c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16" t="str">
        <f>IF(EN12&gt;0,EN12,"")</f>
        <v/>
      </c>
      <c r="FG12" s="16" t="str">
        <f>IF(EO12&gt;0,EO12,"")</f>
        <v/>
      </c>
      <c r="FH12" s="16" t="str">
        <f>IF(SUM(EL12:EO12)-EP12&gt;0,SUM(EL12:EO12)-EP12,"")</f>
        <v/>
      </c>
      <c r="FI12" s="16" t="str">
        <f>IF(ES12&gt;0,ES12,"")</f>
        <v/>
      </c>
      <c r="FJ12" s="16" t="str">
        <f>IF(ET12&gt;0,ET12,"")</f>
        <v/>
      </c>
      <c r="FK12" s="16" t="str">
        <f>IF(SUM(EQ12:ET12)-EU12&gt;0,SUM(EQ12:ET12)-EU12,"")</f>
        <v/>
      </c>
      <c r="FL12" s="16" t="str">
        <f>IF(MAX(FH12,FK12)&gt;0,MAX(FH12,FK12),"")</f>
        <v/>
      </c>
      <c r="FM12" s="16" t="str">
        <f>IF(EX12&gt;0,EX12,"")</f>
        <v/>
      </c>
      <c r="FN12" s="16" t="str">
        <f>IF(EY12&gt;0,EY12,"")</f>
        <v/>
      </c>
      <c r="FO12" s="16" t="str">
        <f>IF(SUM(EV12:EY12)-EZ12&gt;0,SUM(EV12:EY12)-EZ12,"")</f>
        <v/>
      </c>
      <c r="FP12" s="16" t="str">
        <f>IF(FC12&gt;0,FC12,"")</f>
        <v/>
      </c>
      <c r="FQ12" s="16" t="str">
        <f>IF(FD12&gt;0,FD12,"")</f>
        <v/>
      </c>
      <c r="FR12" s="16" t="str">
        <f>IF(SUM(FA12:FD12)-FE12&gt;0,SUM(FA12:FD12)-FE12,"")</f>
        <v/>
      </c>
      <c r="FS12" s="16" t="str">
        <f>IF(SUM(FL12,FR12)&gt;0,SUM(FL12,FR12),"")</f>
        <v/>
      </c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76" t="str">
        <f>IF(FV12&gt;0,FV12,"")</f>
        <v/>
      </c>
      <c r="GO12" s="76" t="str">
        <f>IF(FW12&gt;0,FW12,"")</f>
        <v/>
      </c>
      <c r="GP12" s="76" t="str">
        <f>IF(SUM(FT12:FW12)-FX12&gt;0,SUM(FT12:FW12)-FX12,"")</f>
        <v/>
      </c>
      <c r="GQ12" s="76" t="str">
        <f>IF(GA12&gt;0,GA12,"")</f>
        <v/>
      </c>
      <c r="GR12" s="76" t="str">
        <f>IF(GB12&gt;0,GB12,"")</f>
        <v/>
      </c>
      <c r="GS12" s="76" t="str">
        <f>IF(SUM(FY12:GB12)-GC12&gt;0,SUM(FY12:GB12)-GC12,"")</f>
        <v/>
      </c>
      <c r="GT12" s="76" t="str">
        <f>IF(MAX(GP12,GS12)&gt;0,MAX(GP12,GS12),"")</f>
        <v/>
      </c>
      <c r="GU12" s="76" t="str">
        <f>IF(GF12&gt;0,GF12,"")</f>
        <v/>
      </c>
      <c r="GV12" s="76" t="str">
        <f>IF(GG12&gt;0,GG12,"")</f>
        <v/>
      </c>
      <c r="GW12" s="76" t="str">
        <f>IF(SUM(GD12:GG12)-GH12&gt;0,SUM(GD12:GG12)-GH12,"")</f>
        <v/>
      </c>
      <c r="GX12" s="76" t="str">
        <f>IF(GK12&gt;0,GK12,"")</f>
        <v/>
      </c>
      <c r="GY12" s="76" t="str">
        <f>IF(GL12&gt;0,GL12,"")</f>
        <v/>
      </c>
      <c r="GZ12" s="76" t="str">
        <f>IF(SUM(GI12:GL12)-GM12&gt;0,SUM(GI12:GL12)-GM12,"")</f>
        <v/>
      </c>
      <c r="HA12" s="76" t="str">
        <f>IF(SUM(GT12,GZ12)&gt;0,SUM(GT12,GZ12),"")</f>
        <v/>
      </c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16" t="str">
        <f>IF(HD12&gt;0,HD12,"")</f>
        <v/>
      </c>
      <c r="HW12" s="16" t="str">
        <f>IF(HE12&gt;0,HE12,"")</f>
        <v/>
      </c>
      <c r="HX12" s="16" t="str">
        <f>IF(SUM(HB12:HE12)-HF12&gt;0,SUM(HB12:HE12)-HF12,"")</f>
        <v/>
      </c>
      <c r="HY12" s="16" t="str">
        <f>IF(HI12&gt;0,HI12,"")</f>
        <v/>
      </c>
      <c r="HZ12" s="16" t="str">
        <f>IF(HJ12&gt;0,HJ12,"")</f>
        <v/>
      </c>
      <c r="IA12" s="16" t="str">
        <f>IF(SUM(HG12:HJ12)-HK12&gt;0,SUM(HG12:HJ12)-HK12,"")</f>
        <v/>
      </c>
      <c r="IB12" s="16" t="str">
        <f>IF(MAX(HX12,IA12)&gt;0,MAX(HX12,IA12),"")</f>
        <v/>
      </c>
      <c r="IC12" s="16" t="str">
        <f>IF(HN12&gt;0,HN12,"")</f>
        <v/>
      </c>
      <c r="ID12" s="16" t="str">
        <f>IF(HO12&gt;0,HO12,"")</f>
        <v/>
      </c>
      <c r="IE12" s="16" t="str">
        <f>IF(SUM(HL12:HO12)-HP12&gt;0,SUM(HL12:HO12)-HP12,"")</f>
        <v/>
      </c>
      <c r="IF12" s="16" t="str">
        <f>IF(HS12&gt;0,HS12,"")</f>
        <v/>
      </c>
      <c r="IG12" s="16" t="str">
        <f>IF(HT12&gt;0,HT12,"")</f>
        <v/>
      </c>
      <c r="IH12" s="16" t="str">
        <f>IF(SUM(HQ12:HT12)-HU12&gt;0,SUM(HQ12:HT12)-HU12,"")</f>
        <v/>
      </c>
      <c r="II12" s="16" t="str">
        <f>IF(SUM(IB12,IH12)&gt;0,SUM(IB12,IH12),"")</f>
        <v/>
      </c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76" t="str">
        <f>IF(IL12&gt;0,IL12,"")</f>
        <v/>
      </c>
      <c r="JE12" s="76" t="str">
        <f>IF(IM12&gt;0,IM12,"")</f>
        <v/>
      </c>
      <c r="JF12" s="76" t="str">
        <f>IF(SUM(IJ12:IM12)-IN12&gt;0,SUM(IJ12:IM12)-IN12,"")</f>
        <v/>
      </c>
      <c r="JG12" s="76" t="str">
        <f>IF(IQ12&gt;0,IQ12,"")</f>
        <v/>
      </c>
      <c r="JH12" s="76" t="str">
        <f>IF(IR12&gt;0,IR12,"")</f>
        <v/>
      </c>
      <c r="JI12" s="76" t="str">
        <f>IF(SUM(IO12:IR12)-IS12&gt;0,SUM(IO12:IR12)-IS12,"")</f>
        <v/>
      </c>
      <c r="JJ12" s="76" t="str">
        <f>IF(MAX(JF12,JI12)&gt;0,MAX(JF12,JI12),"")</f>
        <v/>
      </c>
      <c r="JK12" s="76" t="str">
        <f>IF(IV12&gt;0,IV12,"")</f>
        <v/>
      </c>
      <c r="JL12" s="76" t="str">
        <f>IF(IW12&gt;0,IW12,"")</f>
        <v/>
      </c>
      <c r="JM12" s="76" t="str">
        <f>IF(SUM(IT12:IW12)-IX12&gt;0,SUM(IT12:IW12)-IX12,"")</f>
        <v/>
      </c>
      <c r="JN12" s="76" t="str">
        <f>IF(JA12&gt;0,JA12,"")</f>
        <v/>
      </c>
      <c r="JO12" s="76" t="str">
        <f>IF(JB12&gt;0,JB12,"")</f>
        <v/>
      </c>
      <c r="JP12" s="76" t="str">
        <f>IF(SUM(IY12:JB12)-JC12&gt;0,SUM(IY12:JB12)-JC12,"")</f>
        <v/>
      </c>
      <c r="JQ12" s="76" t="str">
        <f>IF(SUM(JJ12,JP12)&gt;0,SUM(JJ12,JP12),"")</f>
        <v/>
      </c>
      <c r="JR12" s="26"/>
      <c r="JS12" s="26"/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16" t="str">
        <f>IF(JT12&gt;0,JT12,"")</f>
        <v/>
      </c>
      <c r="KM12" s="16" t="str">
        <f>IF(JU12&gt;0,JU12,"")</f>
        <v/>
      </c>
      <c r="KN12" s="16" t="str">
        <f>IF(SUM(JR12:JU12)-JV12&gt;0,SUM(JR12:JU12)-JV12,"")</f>
        <v/>
      </c>
      <c r="KO12" s="16" t="str">
        <f>IF(JY12&gt;0,JY12,"")</f>
        <v/>
      </c>
      <c r="KP12" s="16" t="str">
        <f>IF(JZ12&gt;0,JZ12,"")</f>
        <v/>
      </c>
      <c r="KQ12" s="16" t="str">
        <f>IF(SUM(JW12:JZ12)-KA12&gt;0,SUM(JW12:JZ12)-KA12,"")</f>
        <v/>
      </c>
      <c r="KR12" s="16" t="str">
        <f>IF(MAX(KN12,KQ12)&gt;0,MAX(KN12,KQ12),"")</f>
        <v/>
      </c>
      <c r="KS12" s="16" t="str">
        <f>IF(KD12&gt;0,KD12,"")</f>
        <v/>
      </c>
      <c r="KT12" s="16" t="str">
        <f>IF(KE12&gt;0,KE12,"")</f>
        <v/>
      </c>
      <c r="KU12" s="16" t="str">
        <f>IF(SUM(KB12:KE12)-KF12&gt;0,SUM(KB12:KE12)-KF12,"")</f>
        <v/>
      </c>
      <c r="KV12" s="16" t="str">
        <f>IF(KI12&gt;0,KI12,"")</f>
        <v/>
      </c>
      <c r="KW12" s="16" t="str">
        <f>IF(KJ12&gt;0,KJ12,"")</f>
        <v/>
      </c>
      <c r="KX12" s="16" t="str">
        <f>IF(SUM(KG12:KJ12)-KK12&gt;0,SUM(KG12:KJ12)-KK12,"")</f>
        <v/>
      </c>
      <c r="KY12" s="16" t="str">
        <f>IF(SUM(KR12,KX12)&gt;0,SUM(KR12,KX12),"")</f>
        <v/>
      </c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76" t="str">
        <f>IF(LB12&gt;0,LB12,"")</f>
        <v/>
      </c>
      <c r="LU12" s="76" t="str">
        <f>IF(LC12&gt;0,LC12,"")</f>
        <v/>
      </c>
      <c r="LV12" s="76" t="str">
        <f>IF(SUM(KZ12:LC12)-LD12&gt;0,SUM(KZ12:LC12)-LD12,"")</f>
        <v/>
      </c>
      <c r="LW12" s="76" t="str">
        <f>IF(LG12&gt;0,LG12,"")</f>
        <v/>
      </c>
      <c r="LX12" s="76" t="str">
        <f>IF(LH12&gt;0,LH12,"")</f>
        <v/>
      </c>
      <c r="LY12" s="76" t="str">
        <f>IF(SUM(LE12:LH12)-LI12&gt;0,SUM(LE12:LH12)-LI12,"")</f>
        <v/>
      </c>
      <c r="LZ12" s="76" t="str">
        <f>IF(MAX(LV12,LY12)&gt;0,MAX(LV12,LY12),"")</f>
        <v/>
      </c>
      <c r="MA12" s="76" t="str">
        <f>IF(LL12&gt;0,LL12,"")</f>
        <v/>
      </c>
      <c r="MB12" s="76" t="str">
        <f>IF(LM12&gt;0,LM12,"")</f>
        <v/>
      </c>
      <c r="MC12" s="76" t="str">
        <f>IF(SUM(LJ12:LM12)-LN12&gt;0,SUM(LJ12:LM12)-LN12,"")</f>
        <v/>
      </c>
      <c r="MD12" s="76" t="str">
        <f>IF(LQ12&gt;0,LQ12,"")</f>
        <v/>
      </c>
      <c r="ME12" s="76" t="str">
        <f>IF(LR12&gt;0,LR12,"")</f>
        <v/>
      </c>
      <c r="MF12" s="76" t="str">
        <f>IF(SUM(LO12:LR12)-LS12&gt;0,SUM(LO12:LR12)-LS12,"")</f>
        <v/>
      </c>
      <c r="MG12" s="76" t="str">
        <f>IF(SUM(LZ12,MF12)&gt;0,SUM(LZ12,MF12),"")</f>
        <v/>
      </c>
      <c r="MH12" s="26"/>
      <c r="MI12" s="26"/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16" t="str">
        <f>IF(MJ12&gt;0,MJ12,"")</f>
        <v/>
      </c>
      <c r="NC12" s="16" t="str">
        <f>IF(MK12&gt;0,MK12,"")</f>
        <v/>
      </c>
      <c r="ND12" s="16" t="str">
        <f>IF(SUM(MH12:MK12)-ML12&gt;0,SUM(MH12:MK12)-ML12,"")</f>
        <v/>
      </c>
      <c r="NE12" s="16" t="str">
        <f>IF(MO12&gt;0,MO12,"")</f>
        <v/>
      </c>
      <c r="NF12" s="16" t="str">
        <f>IF(MP12&gt;0,MP12,"")</f>
        <v/>
      </c>
      <c r="NG12" s="16" t="str">
        <f>IF(SUM(MM12:MP12)-MQ12&gt;0,SUM(MM12:MP12)-MQ12,"")</f>
        <v/>
      </c>
      <c r="NH12" s="16" t="str">
        <f>IF(MAX(ND12,NG12)&gt;0,MAX(ND12,NG12),"")</f>
        <v/>
      </c>
      <c r="NI12" s="16" t="str">
        <f>IF(MT12&gt;0,MT12,"")</f>
        <v/>
      </c>
      <c r="NJ12" s="16" t="str">
        <f>IF(MU12&gt;0,MU12,"")</f>
        <v/>
      </c>
      <c r="NK12" s="16" t="str">
        <f>IF(SUM(MR12:MU12)-MV12&gt;0,SUM(MR12:MU12)-MV12,"")</f>
        <v/>
      </c>
      <c r="NL12" s="16" t="str">
        <f>IF(MY12&gt;0,MY12,"")</f>
        <v/>
      </c>
      <c r="NM12" s="16" t="str">
        <f>IF(MZ12&gt;0,MZ12,"")</f>
        <v/>
      </c>
      <c r="NN12" s="16" t="str">
        <f>IF(SUM(MW12:MZ12)-NA12&gt;0,SUM(MW12:MZ12)-NA12,"")</f>
        <v/>
      </c>
      <c r="NO12" s="16" t="str">
        <f>IF(SUM(NH12,NN12)&gt;0,SUM(NH12,NN12),"")</f>
        <v/>
      </c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76" t="str">
        <f>IF(NR12&gt;0,NR12,"")</f>
        <v/>
      </c>
      <c r="OK12" s="76" t="str">
        <f>IF(NS12&gt;0,NS12,"")</f>
        <v/>
      </c>
      <c r="OL12" s="76" t="str">
        <f>IF(SUM(NP12:NS12)-NT12&gt;0,SUM(NP12:NS12)-NT12,"")</f>
        <v/>
      </c>
      <c r="OM12" s="76" t="str">
        <f>IF(NW12&gt;0,NW12,"")</f>
        <v/>
      </c>
      <c r="ON12" s="76" t="str">
        <f>IF(NX12&gt;0,NX12,"")</f>
        <v/>
      </c>
      <c r="OO12" s="76" t="str">
        <f>IF(SUM(NU12:NX12)-NY12&gt;0,SUM(NU12:NX12)-NY12,"")</f>
        <v/>
      </c>
      <c r="OP12" s="76" t="str">
        <f>IF(MAX(OL12,OO12)&gt;0,MAX(OL12,OO12),"")</f>
        <v/>
      </c>
      <c r="OQ12" s="76" t="str">
        <f>IF(OB12&gt;0,OB12,"")</f>
        <v/>
      </c>
      <c r="OR12" s="76" t="str">
        <f>IF(OC12&gt;0,OC12,"")</f>
        <v/>
      </c>
      <c r="OS12" s="76" t="str">
        <f>IF(SUM(NZ12:OC12)-OD12&gt;0,SUM(NZ12:OC12)-OD12,"")</f>
        <v/>
      </c>
      <c r="OT12" s="76" t="str">
        <f>IF(OG12&gt;0,OG12,"")</f>
        <v/>
      </c>
      <c r="OU12" s="76" t="str">
        <f>IF(OH12&gt;0,OH12,"")</f>
        <v/>
      </c>
      <c r="OV12" s="76" t="str">
        <f>IF(SUM(OE12:OH12)-OI12&gt;0,SUM(OE12:OH12)-OI12,"")</f>
        <v/>
      </c>
      <c r="OW12" s="76" t="str">
        <f>IF(SUM(OP12,OV12)&gt;0,SUM(OP12,OV12),"")</f>
        <v/>
      </c>
      <c r="OX12" s="26"/>
      <c r="OY12" s="26"/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16" t="str">
        <f>IF(OZ12&gt;0,OZ12,"")</f>
        <v/>
      </c>
      <c r="PS12" s="16" t="str">
        <f>IF(PA12&gt;0,PA12,"")</f>
        <v/>
      </c>
      <c r="PT12" s="16" t="str">
        <f>IF(SUM(OX12:PA12)-PB12&gt;0,SUM(OX12:PA12)-PB12,"")</f>
        <v/>
      </c>
      <c r="PU12" s="16" t="str">
        <f>IF(PE12&gt;0,PE12,"")</f>
        <v/>
      </c>
      <c r="PV12" s="16" t="str">
        <f>IF(PF12&gt;0,PF12,"")</f>
        <v/>
      </c>
      <c r="PW12" s="16" t="str">
        <f>IF(SUM(PC12:PF12)-PG12&gt;0,SUM(PC12:PF12)-PG12,"")</f>
        <v/>
      </c>
      <c r="PX12" s="16" t="str">
        <f>IF(MAX(PT12,PW12)&gt;0,MAX(PT12,PW12),"")</f>
        <v/>
      </c>
      <c r="PY12" s="16" t="str">
        <f>IF(PJ12&gt;0,PJ12,"")</f>
        <v/>
      </c>
      <c r="PZ12" s="16" t="str">
        <f>IF(PK12&gt;0,PK12,"")</f>
        <v/>
      </c>
      <c r="QA12" s="16" t="str">
        <f>IF(SUM(PH12:PK12)-PL12&gt;0,SUM(PH12:PK12)-PL12,"")</f>
        <v/>
      </c>
      <c r="QB12" s="16" t="str">
        <f>IF(PO12&gt;0,PO12,"")</f>
        <v/>
      </c>
      <c r="QC12" s="16" t="str">
        <f>IF(PP12&gt;0,PP12,"")</f>
        <v/>
      </c>
      <c r="QD12" s="16" t="str">
        <f>IF(SUM(PM12:PP12)-PQ12&gt;0,SUM(PM12:PP12)-PQ12,"")</f>
        <v/>
      </c>
      <c r="QE12" s="16" t="str">
        <f>IF(SUM(PX12,QD12)&gt;0,SUM(PX12,QD12),"")</f>
        <v/>
      </c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76" t="str">
        <f>IF(QH12&gt;0,QH12,"")</f>
        <v/>
      </c>
      <c r="RA12" s="76" t="str">
        <f>IF(QI12&gt;0,QI12,"")</f>
        <v/>
      </c>
      <c r="RB12" s="76" t="str">
        <f>IF(SUM(QF12:QI12)-QJ12&gt;0,SUM(QF12:QI12)-QJ12,"")</f>
        <v/>
      </c>
      <c r="RC12" s="76" t="str">
        <f>IF(QM12&gt;0,QM12,"")</f>
        <v/>
      </c>
      <c r="RD12" s="76" t="str">
        <f>IF(QN12&gt;0,QN12,"")</f>
        <v/>
      </c>
      <c r="RE12" s="76" t="str">
        <f>IF(SUM(QK12:QN12)-QO12&gt;0,SUM(QK12:QN12)-QO12,"")</f>
        <v/>
      </c>
      <c r="RF12" s="76" t="str">
        <f>IF(MAX(RB12,RE12)&gt;0,MAX(RB12,RE12),"")</f>
        <v/>
      </c>
      <c r="RG12" s="76" t="str">
        <f>IF(QR12&gt;0,QR12,"")</f>
        <v/>
      </c>
      <c r="RH12" s="76" t="str">
        <f>IF(QS12&gt;0,QS12,"")</f>
        <v/>
      </c>
      <c r="RI12" s="76" t="str">
        <f>IF(SUM(QP12:QS12)-QT12&gt;0,SUM(QP12:QS12)-QT12,"")</f>
        <v/>
      </c>
      <c r="RJ12" s="76" t="str">
        <f>IF(QW12&gt;0,QW12,"")</f>
        <v/>
      </c>
      <c r="RK12" s="76" t="str">
        <f>IF(QX12&gt;0,QX12,"")</f>
        <v/>
      </c>
      <c r="RL12" s="76" t="str">
        <f>IF(SUM(QU12:QX12)-QY12&gt;0,SUM(QU12:QX12)-QY12,"")</f>
        <v/>
      </c>
      <c r="RM12" s="76" t="str">
        <f>IF(SUM(RF12,RL12)&gt;0,SUM(RF12,RL12),"")</f>
        <v/>
      </c>
      <c r="RN12" s="26"/>
      <c r="RO12" s="26"/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16" t="str">
        <f>IF(RP12&gt;0,RP12,"")</f>
        <v/>
      </c>
      <c r="SI12" s="16" t="str">
        <f>IF(RQ12&gt;0,RQ12,"")</f>
        <v/>
      </c>
      <c r="SJ12" s="16" t="str">
        <f>IF(SUM(RN12:RQ12)-RR12&gt;0,SUM(RN12:RQ12)-RR12,"")</f>
        <v/>
      </c>
      <c r="SK12" s="16" t="str">
        <f>IF(RU12&gt;0,RU12,"")</f>
        <v/>
      </c>
      <c r="SL12" s="16" t="str">
        <f>IF(RV12&gt;0,RV12,"")</f>
        <v/>
      </c>
      <c r="SM12" s="16" t="str">
        <f>IF(SUM(RS12:RV12)-RW12&gt;0,SUM(RS12:RV12)-RW12,"")</f>
        <v/>
      </c>
      <c r="SN12" s="16" t="str">
        <f>IF(MAX(SJ12,SM12)&gt;0,MAX(SJ12,SM12),"")</f>
        <v/>
      </c>
      <c r="SO12" s="16" t="str">
        <f>IF(RZ12&gt;0,RZ12,"")</f>
        <v/>
      </c>
      <c r="SP12" s="16" t="str">
        <f>IF(SA12&gt;0,SA12,"")</f>
        <v/>
      </c>
      <c r="SQ12" s="16" t="str">
        <f>IF(SUM(RX12:SA12)-SB12&gt;0,SUM(RX12:SA12)-SB12,"")</f>
        <v/>
      </c>
      <c r="SR12" s="16" t="str">
        <f>IF(SE12&gt;0,SE12,"")</f>
        <v/>
      </c>
      <c r="SS12" s="16" t="str">
        <f>IF(SF12&gt;0,SF12,"")</f>
        <v/>
      </c>
      <c r="ST12" s="16" t="str">
        <f>IF(SUM(SC12:SF12)-SG12&gt;0,SUM(SC12:SF12)-SG12,"")</f>
        <v/>
      </c>
      <c r="SU12" s="16" t="str">
        <f>IF(SUM(SN12,ST12)&gt;0,SUM(SN12,ST12),"")</f>
        <v/>
      </c>
      <c r="SV12" s="42">
        <f>IF($CP12="P",CA12,(CA12+AZ12)/2)</f>
        <v>9.4</v>
      </c>
      <c r="SW12" s="42">
        <f>IF($CP12="P",CB12,(CB12+BA12)/2)</f>
        <v>5.9</v>
      </c>
      <c r="SX12" s="42">
        <f>IF($CP12="P",CC12,(CC12+BB12)/2)</f>
        <v>9.9499999999999993</v>
      </c>
      <c r="SY12" s="42">
        <f>IF($CP12="P",CD12,(CD12+BC12)/2)</f>
        <v>10.112500000000001</v>
      </c>
      <c r="SZ12" s="42">
        <f>IF($CP12="P",CE12,(CE12+BD12)/2)</f>
        <v>0</v>
      </c>
      <c r="TA12" s="42">
        <f>IF($CP12="P",CF12,(CF12+BE12)/2)</f>
        <v>9.65</v>
      </c>
      <c r="TB12" s="42">
        <f>IF($CP12="P",CG12,(CG12+BF12)/2)</f>
        <v>6.15</v>
      </c>
      <c r="TC12" s="42">
        <f>IF($CP12="P",CH12,(CH12+BG12)/2)</f>
        <v>8.8999999999999986</v>
      </c>
      <c r="TD12" s="42">
        <f>IF($CP12="P",CI12,(CI12+BH12)/2)</f>
        <v>10.459999999999999</v>
      </c>
      <c r="TE12" s="42">
        <f>IF($CP12="P",CJ12,(CJ12+BI12)/2)</f>
        <v>0.4</v>
      </c>
      <c r="TF12" s="42">
        <f>IF($CP12="P",CK12,(CK12+BJ12)/2)</f>
        <v>7.3</v>
      </c>
      <c r="TG12" s="42">
        <f>IF($CP12="P",CL12,(CL12+BK12)/2)</f>
        <v>4.55</v>
      </c>
      <c r="TH12" s="42">
        <f>IF($CP12="P",CM12,(CM12+BL12)/2)</f>
        <v>7.3</v>
      </c>
      <c r="TI12" s="42">
        <f>IF($CP12="P",CN12,(CN12+BM12)/2)</f>
        <v>7.9349999999999996</v>
      </c>
      <c r="TJ12" s="42">
        <f>IF($CP12="P",CO12,(CO12+BN12)/2)</f>
        <v>0</v>
      </c>
      <c r="TK12" s="51" t="s">
        <v>61</v>
      </c>
      <c r="TL12" s="76">
        <f>IF(SX12&gt;0,SX12,"")</f>
        <v>9.9499999999999993</v>
      </c>
      <c r="TM12" s="76">
        <f>IF(SY12&gt;0,SY12,"")</f>
        <v>10.112500000000001</v>
      </c>
      <c r="TN12" s="76">
        <f>IF(SUM(SV12:SY12)-SZ12&gt;0,SUM(SV12:SY12)-SZ12,"")</f>
        <v>35.362499999999997</v>
      </c>
      <c r="TO12" s="76">
        <f>IF(TC12&gt;0,TC12,"")</f>
        <v>8.8999999999999986</v>
      </c>
      <c r="TP12" s="76">
        <f>IF(TD12&gt;0,TD12,"")</f>
        <v>10.459999999999999</v>
      </c>
      <c r="TQ12" s="76">
        <f>IF(SUM(TA12:TD12)-TE12&gt;0,SUM(TA12:TD12)-TE12,"")</f>
        <v>34.76</v>
      </c>
      <c r="TR12" s="76">
        <f>IF(MAX(TN12,TQ12)&gt;0,MAX(TN12,TQ12),"")</f>
        <v>35.362499999999997</v>
      </c>
      <c r="TS12" s="76">
        <f>IF(TH12&gt;0,TH12,"")</f>
        <v>7.3</v>
      </c>
      <c r="TT12" s="76">
        <f>IF(TI12&gt;0,TI12,"")</f>
        <v>7.9349999999999996</v>
      </c>
      <c r="TU12" s="76">
        <f>IF(SUM(TF12:TI12)-TJ12&gt;0,SUM(TF12:TI12)-TJ12,"")</f>
        <v>27.084999999999997</v>
      </c>
      <c r="TV12" s="76">
        <f>IF(SUM(TR12,TU12)&gt;0,SUM(TR12,TU12),"")</f>
        <v>62.447499999999991</v>
      </c>
    </row>
    <row r="13" spans="1:542" x14ac:dyDescent="0.2">
      <c r="A13" s="5" t="str" cm="1">
        <f t="array" ref="A13">IF(AND(F13&lt;&gt;"",G13&lt;&gt;""),SUMPRODUCT((F$4:F$23&lt;&gt;"")*(G$4:G$23&lt;&gt;"")*(E$4:E$23&gt;E13))+1,IF(G13&lt;&gt;"",SUMPRODUCT((H$4:H$23="No DD")*(E$4:E$23&gt;E13))+1+SUMPRODUCT((F$4:F$23&lt;&gt;"")*(G$4:G$23&lt;&gt;"")),""))</f>
        <v/>
      </c>
      <c r="B13" s="6" t="s">
        <v>161</v>
      </c>
      <c r="C13" s="7" t="s">
        <v>9</v>
      </c>
      <c r="D13" s="5">
        <v>2005</v>
      </c>
      <c r="E13" s="14">
        <f>SUM(J13:V13)+SUM(J13:T13)*0.0000001+SUM(J13)*0.0000000000001</f>
        <v>223.64502236450537</v>
      </c>
      <c r="F13" s="3" t="str">
        <f>IF(OR(AND(AO13&gt;=AY$25,AO13&lt;&gt;"",AQ13&gt;=AY$29,AQ13&lt;&gt;"",AN13=""),AND(AR13&gt;=AY$25,AR13&lt;&gt;"",AT13&gt;=AY$29,AT13&lt;&gt;"",AN13=""),AND(AV13&gt;=AY$25,AV13&lt;&gt;"",AX13&gt;=AY$29,AX13&lt;&gt;"",AN13=""),AND(BP13&gt;=BZ$25,BP13&lt;&gt;"",BR13&gt;=BZ$29,BR13&lt;&gt;"",BO13=""),AND(BS13&gt;=BZ$25,BS13&lt;&gt;"",BU13&gt;=BZ$29,BU13&lt;&gt;"",BO13=""),AND(BW13&gt;=BZ$25,BW13&lt;&gt;"",BY13&gt;=BZ$29,BY13&lt;&gt;"",BO13=""),AND(CQ13&gt;=DA$25,CQ13&lt;&gt;"",CS13&gt;=DA$29,CS13&lt;&gt;"",CP13=""),AND(CT13&gt;=DA$25,CT13&lt;&gt;"",CV13&gt;=DA$29,CV13&lt;&gt;"",CP13=""),AND(CX13&gt;=DA$25,CX13&lt;&gt;"",CZ13&gt;=DA$29,CZ13&lt;&gt;"",CP13=""),AND(DX13&gt;=EK$25,DX13&lt;&gt;"",DZ13&gt;=EK$29,DZ13&lt;&gt;""),AND(EA13&gt;=EK$25,EA13&lt;&gt;"",EC13&gt;=EK$29,EC13&lt;&gt;""),AND(EE13&gt;=EK$25,EE13&lt;&gt;"",EG13&gt;=EK$29,EG13&lt;&gt;""),AND(EH13&gt;=EK$25,EH13&lt;&gt;"",EJ13&gt;=EK$29,EJ13&lt;&gt;""),AND(FF13&gt;=FS$25,FF13&lt;&gt;"",FH13&gt;=FS$29,FH13&lt;&gt;""),AND(FI13&gt;=FS$25,FI13&lt;&gt;"",FK13&gt;=FS$29,FK13&lt;&gt;""),AND(FM13&gt;=FS$25,FM13&lt;&gt;"",FO13&gt;=FS$29,FO13&lt;&gt;""),AND(FP13&gt;=FS$25,FP13&lt;&gt;"",FR13&gt;=FS$29,FR13&lt;&gt;""),AND(GN13&gt;=HA$25,GN13&lt;&gt;"",GP13&gt;=HA$29,GP13&lt;&gt;""),AND(GQ13&gt;=HA$25,GQ13&lt;&gt;"",GS13&gt;=HA$29,GS13&lt;&gt;""),AND(GU13&gt;=HA$25,GU13&lt;&gt;"",GW13&gt;=HA$29,GW13&lt;&gt;""),AND(GX13&gt;=HA$25,GX13&lt;&gt;"",GZ13&gt;=HA$29,GZ13&lt;&gt;""),AND(HV13&gt;=II$25,HV13&lt;&gt;"",HX13&gt;=II$29,HX13&lt;&gt;""),AND(HY13&gt;=II$25,HY13&lt;&gt;"",IA13&gt;=II$29,IA13&lt;&gt;""),AND(IC13&gt;=II$25,IC13&lt;&gt;"",IE13&gt;=II$29,IE13&lt;&gt;""),AND(IF13&gt;=II$25,IF13&lt;&gt;"",IH13&gt;=II$29,IH13&lt;&gt;""),AND(JD13&gt;=JQ$25,JD13&lt;&gt;"",JF13&gt;=JQ$29,JF13&lt;&gt;""),AND(JG13&gt;=JQ$25,JG13&lt;&gt;"",JI13&gt;=JQ$29,JI13&lt;&gt;""),AND(JK13&gt;=JQ$25,JK13&lt;&gt;"",JM13&gt;=JQ$29,JM13&lt;&gt;""),AND(JN13&gt;=JQ$25,JN13&lt;&gt;"",JP13&gt;=JQ$29,JP13&lt;&gt;""),AND(KL13&gt;=KY$25,KL13&lt;&gt;"",KN13&gt;=KY$29,KN13&lt;&gt;""),AND(KO13&gt;=KY$25,KO13&lt;&gt;"",KQ13&gt;=KY$29,KQ13&lt;&gt;""),AND(KS13&gt;=KY$25,KS13&lt;&gt;"",KU13&gt;=KY$29,KU13&lt;&gt;""),AND(KV13&gt;=KY$25,KV13&lt;&gt;"",KX13&gt;=KY$29,KX13&lt;&gt;""),AND(LT13&gt;=MG$25,LT13&lt;&gt;"",LV13&gt;=MG$29,LV13&lt;&gt;""),AND(LW13&gt;=MG$25,LW13&lt;&gt;"",LY13&gt;=MG$29,LY13&lt;&gt;""),AND(MA13&gt;=MG$25,MA13&lt;&gt;"",MC13&gt;=MG$29,MC13&lt;&gt;""),AND(MD13&gt;=MG$25,MD13&lt;&gt;"",MF13&gt;=MG$29,MF13&lt;&gt;""),AND(NB13&gt;=NO$25,NB13&lt;&gt;"",ND13&gt;=NO$29,ND13&lt;&gt;""),AND(NE13&gt;=NO$25,NE13&lt;&gt;"",NG13&gt;=NO$29,NG13&lt;&gt;""),AND(NI13&gt;=NO$25,NI13&lt;&gt;"",NK13&gt;=NO$29,NK13&lt;&gt;""),AND(NL13&gt;=NO$25,NL13&lt;&gt;"",NN13&gt;=NO$29,NN13&lt;&gt;""),AND(OJ13&gt;=OW$25,OJ13&lt;&gt;"",OL13&gt;=OW$29,OL13&lt;&gt;""),AND(OM13&gt;=OW$25,OM13&lt;&gt;"",OO13&gt;=OW$29,OO13&lt;&gt;""),AND(OQ13&gt;=OW$25,OQ13&lt;&gt;"",OS13&gt;=OW$29,OS13&lt;&gt;""),AND(OT13&gt;=OW$25,OT13&lt;&gt;"",OV13&gt;=OW$29,OV13&lt;&gt;""),AND(PR13&gt;=QE$25,PR13&lt;&gt;"",PT13&gt;=QE$29,PT13&lt;&gt;""),AND(PU13&gt;=QE$25,PU13&lt;&gt;"",PW13&gt;=QE$29,PW13&lt;&gt;""),AND(PY13&gt;=QE$25,PY13&lt;&gt;"",QA13&gt;=QE$29,QA13&lt;&gt;""),AND(QB13&gt;=QE$25,QB13&lt;&gt;"",QD13&gt;=QE$29,QD13&lt;&gt;""),AND(QZ13&gt;=RM$25,QZ13&lt;&gt;"",RB13&gt;=RM$29,RB13&lt;&gt;""),AND(RC13&gt;=RM$25,RC13&lt;&gt;"",RE13&gt;=RM$29,RE13&lt;&gt;""),AND(RG13&gt;=RM$25,RG13&lt;&gt;"",RI13&gt;=RM$29,RI13&lt;&gt;""),AND(RJ13&gt;=RM$25,RJ13&lt;&gt;"",RL13&gt;=RM$29,RL13&lt;&gt;""),AND(SH13&gt;=SU$25,SH13&lt;&gt;"",SJ13&gt;=SU$29,SJ13&lt;&gt;""),AND(SK13&gt;=SU$25,SK13&lt;&gt;"",SM13&gt;=SU$29,SM13&lt;&gt;""),AND(SO13&gt;=SU$25,SO13&lt;&gt;"",SQ13&gt;=SU$29,SQ13&lt;&gt;""),AND(SR13&gt;=SU$25,SR13&lt;&gt;"",ST13&gt;=SU$29,ST13&lt;&gt;"")),"P","")</f>
        <v/>
      </c>
      <c r="G13" s="3" t="str">
        <f>IF(OR(AND(AQ13&gt;=AY$29,AQ13&lt;&gt;"",AN13=""),AND(AT13&gt;=AY$29,AT13&lt;&gt;"",AN13=""),AND(AX13&gt;=AY$29,AX13&lt;&gt;"",AN13=""),AND(BR13&gt;=BZ$29,BR13&lt;&gt;"",BO13=""),AND(BU13&gt;=BZ$29,BU13&lt;&gt;"",BO13=""),AND(BY13&gt;=BZ$29,BY13&lt;&gt;"",BO13=""),AND(CS13&gt;=DA$29,CS13&lt;&gt;"",CP13=""),AND(CV13&gt;=DA$29,CV13&lt;&gt;"",CP13=""),AND(CZ13&gt;=DA$29,CZ13&lt;&gt;"",CP13=""),AND(DZ13&gt;=EK$29,DZ13&lt;&gt;""),AND(EC13&gt;=EK$29,EC13&lt;&gt;""),AND(EG13&gt;=EK$29,EG13&lt;&gt;""),AND(EJ13&gt;=EK$29,EJ13&lt;&gt;""),AND(FH13&gt;=FS$29,FH13&lt;&gt;""),AND(FK13&gt;=FS$29,FK13&lt;&gt;""),AND(FO13&gt;=FS$29,FO13&lt;&gt;""),AND(FR13&gt;=FS$29,FR13&lt;&gt;""),AND(GP13&gt;=HA$29,GP13&lt;&gt;""),AND(GS13&gt;=HA$29,GS13&lt;&gt;""),AND(GW13&gt;=HA$29,GW13&lt;&gt;""),AND(GZ13&gt;=HA$29,GZ13&lt;&gt;""),AND(HX13&gt;=II$29,HX13&lt;&gt;""),AND(IA13&gt;=II$29,IA13&lt;&gt;""),AND(IE13&gt;=II$29,IE13&lt;&gt;""),AND(IH13&gt;=II$29,IH13&lt;&gt;""),AND(JF13&gt;=JQ$29,JF13&lt;&gt;""),AND(JI13&gt;=JQ$29,JI13&lt;&gt;""),AND(JM13&gt;=JQ$29,JM13&lt;&gt;""),AND(JP13&gt;=JQ$29,JP13&lt;&gt;""),AND(KN13&gt;=KY$29,KN13&lt;&gt;""),AND(KQ13&gt;=KY$29,KQ13&lt;&gt;""),AND(KU13&gt;=KY$29,KU13&lt;&gt;""),AND(KX13&gt;=KY$29,KX13&lt;&gt;""),AND(LV13&gt;=MG$29,LV13&lt;&gt;""),AND(LY13&gt;=MG$29,LY13&lt;&gt;""),AND(MC13&gt;=MG$29,MC13&lt;&gt;""),AND(MF13&gt;=MG$29,MF13&lt;&gt;""),AND(ND13&gt;=NO$29,ND13&lt;&gt;""),AND(NG13&gt;=NO$29,NG13&lt;&gt;""),AND(NK13&gt;=NO$29,NK13&lt;&gt;""),AND(NN13&gt;=NO$29,NN13&lt;&gt;""),AND(OL13&gt;=OW$29,OL13&lt;&gt;""),AND(OO13&gt;=OW$29,OO13&lt;&gt;""),AND(OS13&gt;=OW$29,OS13&lt;&gt;""),AND(OV13&gt;=OW$29,OV13&lt;&gt;""),AND(PT13&gt;=QE$29,PT13&lt;&gt;""),AND(PW13&gt;=QE$29,PW13&lt;&gt;""),AND(QA13&gt;=QE$29,QA13&lt;&gt;""),AND(QD13&gt;=QE$29,QD13&lt;&gt;""),AND(RB13&gt;=RM$29,RB13&lt;&gt;""),AND(RE13&gt;=RM$29,RE13&lt;&gt;""),AND(RI13&gt;=RM$29,RI13&lt;&gt;""),AND(RL13&gt;=RM$29,RL13&lt;&gt;""),AND(SJ13&gt;=SU$29,SJ13&lt;&gt;""),AND(SM13&gt;=SU$29,SM13&lt;&gt;""),AND(SQ13&gt;=SU$29,SQ13&lt;&gt;""),AND(ST13&gt;=SU$29,ST13&lt;&gt;"")),"P","")</f>
        <v/>
      </c>
      <c r="H13" s="70" t="str">
        <f>IF(AND(G13="P",F13=""),"No DD",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),"Merit",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X13&gt;=EK$27,DX13&lt;&gt;"",DZ13&gt;=EK$31,DZ13&lt;&gt;""),AND(EA13&gt;=EK$27,EA13&lt;&gt;"",EC13&gt;=EK$31,EC13&lt;&gt;""),AND(EE13&gt;=EK$27,EE13&lt;&gt;"",EG13&gt;=EK$31,EG13&lt;&gt;""),AND(EH13&gt;=EK$27,EH13&lt;&gt;"",EJ13&gt;=EK$31,EJ13&lt;&gt;""),AND(FF13&gt;=FS$27,FF13&lt;&gt;"",FH13&gt;=FS$31,FH13&lt;&gt;""),AND(FI13&gt;=FS$27,FI13&lt;&gt;"",FK13&gt;=FS$31,FK13&lt;&gt;""),AND(FM13&gt;=FS$27,FM13&lt;&gt;"",FO13&gt;=FS$31,FO13&lt;&gt;""),AND(FP13&gt;=FS$27,FP13&lt;&gt;"",FR13&gt;=FS$31,FR13&lt;&gt;""),AND(GN13&gt;=HA$27,GN13&lt;&gt;"",GP13&gt;=HA$31,GP13&lt;&gt;""),AND(GQ13&gt;=HA$27,GQ13&lt;&gt;"",GS13&gt;=HA$31,GS13&lt;&gt;""),AND(GU13&gt;=HA$27,GU13&lt;&gt;"",GW13&gt;=HA$31,GW13&lt;&gt;""),AND(GX13&gt;=HA$27,GX13&lt;&gt;"",GZ13&gt;=HA$31,GZ13&lt;&gt;""),AND(HV13&gt;=II$27,HV13&lt;&gt;"",HX13&gt;=II$31,HX13&lt;&gt;""),AND(HY13&gt;=II$27,HY13&lt;&gt;"",IA13&gt;=II$31,IA13&lt;&gt;""),AND(IC13&gt;=II$27,IC13&lt;&gt;"",IE13&gt;=II$31,IE13&lt;&gt;""),AND(IF13&gt;=II$27,IF13&lt;&gt;"",IH13&gt;=II$31,IH13&lt;&gt;""),AND(JD13&gt;=JQ$27,JD13&lt;&gt;"",JF13&gt;=JQ$31,JF13&lt;&gt;""),AND(JG13&gt;=JQ$27,JG13&lt;&gt;"",JI13&gt;=JQ$31,JI13&lt;&gt;""),AND(JK13&gt;=JQ$27,JK13&lt;&gt;"",JM13&gt;=JQ$31,JM13&lt;&gt;""),AND(JN13&gt;=JQ$27,JN13&lt;&gt;"",JP13&gt;=JQ$31,JP13&lt;&gt;""),AND(KL13&gt;=KY$27,KL13&lt;&gt;"",KN13&gt;=KY$31,KN13&lt;&gt;""),AND(KO13&gt;=KY$27,KO13&lt;&gt;"",KQ13&gt;=KY$31,KQ13&lt;&gt;""),AND(KS13&gt;=KY$27,KS13&lt;&gt;"",KU13&gt;=KY$31,KU13&lt;&gt;""),AND(KV13&gt;=KY$27,KV13&lt;&gt;"",KX13&gt;=KY$31,KX13&lt;&gt;""),AND(LT13&gt;=MG$27,LT13&lt;&gt;"",LV13&gt;=MG$31,LV13&lt;&gt;""),AND(LW13&gt;=MG$27,LW13&lt;&gt;"",LY13&gt;=MG$31,LY13&lt;&gt;""),AND(MA13&gt;=MG$27,MA13&lt;&gt;"",MC13&gt;=MG$31,MC13&lt;&gt;""),AND(MD13&gt;=MG$27,MD13&lt;&gt;"",MF13&gt;=MG$31,MF13&lt;&gt;""),AND(NB13&gt;=NO$27,NB13&lt;&gt;"",ND13&gt;=NO$31,ND13&lt;&gt;""),AND(NE13&gt;=NO$27,NE13&lt;&gt;"",NG13&gt;=NO$31,NG13&lt;&gt;""),AND(NI13&gt;=NO$27,NI13&lt;&gt;"",NK13&gt;=NO$31,NK13&lt;&gt;""),AND(NL13&gt;=NO$27,NL13&lt;&gt;"",NN13&gt;=NO$31,NN13&lt;&gt;""),AND(OJ13&gt;=OW$27,OJ13&lt;&gt;"",OL13&gt;=OW$31,OL13&lt;&gt;""),AND(OM13&gt;=OW$27,OM13&lt;&gt;"",OO13&gt;=OW$31,OO13&lt;&gt;""),AND(OQ13&gt;=OW$27,OQ13&lt;&gt;"",OS13&gt;=OW$31,OS13&lt;&gt;""),AND(OT13&gt;=OW$27,OT13&lt;&gt;"",OV13&gt;=OW$31,OV13&lt;&gt;""),AND(PR13&gt;=QE$27,PR13&lt;&gt;"",PT13&gt;=QE$31,PT13&lt;&gt;""),AND(PU13&gt;=QE$27,PU13&lt;&gt;"",PW13&gt;=QE$31,PW13&lt;&gt;""),AND(PY13&gt;=QE$27,PY13&lt;&gt;"",QA13&gt;=QE$31,QA13&lt;&gt;""),AND(QB13&gt;=QE$27,QB13&lt;&gt;"",QD13&gt;=QE$31,QD13&lt;&gt;""),AND(QZ13&gt;=RM$27,QZ13&lt;&gt;"",RB13&gt;=RM$31,RB13&lt;&gt;""),AND(RC13&gt;=RM$27,RC13&lt;&gt;"",RE13&gt;=RM$31,RE13&lt;&gt;""),AND(RG13&gt;=RM$27,RG13&lt;&gt;"",RI13&gt;=RM$31,RI13&lt;&gt;""),AND(RJ13&gt;=RM$27,RJ13&lt;&gt;"",RL13&gt;=RM$31,RL13&lt;&gt;""),AND(SH13&gt;=SU$27,SH13&lt;&gt;"",SJ13&gt;=SU$31,SJ13&lt;&gt;""),AND(SK13&gt;=SU$27,SK13&lt;&gt;"",SM13&gt;=SU$31,SM13&lt;&gt;""),AND(SO13&gt;=SU$27,SO13&lt;&gt;"",SQ13&gt;=SU$31,SQ13&lt;&gt;""),AND(SR13&gt;=SU$27,SR13&lt;&gt;"",ST13&gt;=SU$31,ST13&lt;&gt;"")),"Excellence",IF(I13="P","Worlds Team",IF(F13="P","National Team","")))))</f>
        <v/>
      </c>
      <c r="I13" s="3" t="str">
        <f>IF(OR(AND(AO13&gt;=AY$26,AO13&lt;&gt;"",AQ13&gt;=AY$30,AQ13&lt;&gt;"",AN13=""),AND(AR13&gt;=AY$26,AR13&lt;&gt;"",AT13&gt;=AY$30,AT13&lt;&gt;"",AN13=""),AND(AV13&gt;=AY$26,AV13&lt;&gt;"",AX13&gt;=AY$30,AX13&lt;&gt;"",AN13=""),AND(BP13&gt;=BZ$26,BP13&lt;&gt;"",BR13&gt;=BZ$30,BR13&lt;&gt;"",BO13=""),AND(BS13&gt;=BZ$26,BS13&lt;&gt;"",BU13&gt;=BZ$30,BU13&lt;&gt;"",BO13=""),AND(BW13&gt;=BZ$26,BW13&lt;&gt;"",BY13&gt;=BZ$30,BY13&lt;&gt;"",BO13=""),AND(CQ13&gt;=DA$26,CQ13&lt;&gt;"",CS13&gt;=DA$30,CS13&lt;&gt;"",CP13=""),AND(CT13&gt;=DA$26,CT13&lt;&gt;"",CV13&gt;=DA$30,CV13&lt;&gt;"",CP13=""),AND(CX13&gt;=DA$26,CX13&lt;&gt;"",CZ13&gt;=DA$30,CZ13&lt;&gt;"",CP13=""),AND(DX13&gt;=EK$26,DX13&lt;&gt;"",DZ13&gt;=EK$30,DZ13&lt;&gt;""),AND(EA13&gt;=EK$26,EA13&lt;&gt;"",EC13&gt;=EK$30,EC13&lt;&gt;""),AND(EE13&gt;=EK$26,EE13&lt;&gt;"",EG13&gt;=EK$30,EG13&lt;&gt;""),AND(EH13&gt;=EK$26,EH13&lt;&gt;"",EJ13&gt;=EK$30,EJ13&lt;&gt;""),AND(FF13&gt;=FS$26,FF13&lt;&gt;"",FH13&gt;=FS$30,FH13&lt;&gt;""),AND(FI13&gt;=FS$26,FI13&lt;&gt;"",FK13&gt;=FS$30,FK13&lt;&gt;""),AND(FM13&gt;=FS$26,FM13&lt;&gt;"",FO13&gt;=FS$30,FO13&lt;&gt;""),AND(FP13&gt;=FS$26,FP13&lt;&gt;"",FR13&gt;=FS$30,FR13&lt;&gt;""),AND(GN13&gt;=HA$26,GN13&lt;&gt;"",GP13&gt;=HA$30,GP13&lt;&gt;""),AND(GQ13&gt;=HA$26,GQ13&lt;&gt;"",GS13&gt;=HA$30,GS13&lt;&gt;""),AND(GU13&gt;=HA$26,GU13&lt;&gt;"",GW13&gt;=HA$30,GW13&lt;&gt;""),AND(GX13&gt;=HA$26,GX13&lt;&gt;"",GZ13&gt;=HA$30,GZ13&lt;&gt;""),AND(HV13&gt;=II$26,HV13&lt;&gt;"",HX13&gt;=II$30,HX13&lt;&gt;""),AND(HY13&gt;=II$26,HY13&lt;&gt;"",IA13&gt;=II$30,IA13&lt;&gt;""),AND(IC13&gt;=II$26,IC13&lt;&gt;"",IE13&gt;=II$30,IE13&lt;&gt;""),AND(IF13&gt;=II$26,IF13&lt;&gt;"",IH13&gt;=II$30,IH13&lt;&gt;""),AND(JD13&gt;=JQ$26,JD13&lt;&gt;"",JF13&gt;=JQ$30,JF13&lt;&gt;""),AND(JG13&gt;=JQ$26,JG13&lt;&gt;"",JI13&gt;=JQ$30,JI13&lt;&gt;""),AND(JK13&gt;=JQ$26,JK13&lt;&gt;"",JM13&gt;=JQ$30,JM13&lt;&gt;""),AND(JN13&gt;=JQ$26,JN13&lt;&gt;"",JP13&gt;=JQ$30,JP13&lt;&gt;""),AND(KL13&gt;=KY$26,KL13&lt;&gt;"",KN13&gt;=KY$30,KN13&lt;&gt;""),AND(KO13&gt;=KY$26,KO13&lt;&gt;"",KQ13&gt;=KY$30,KQ13&lt;&gt;""),AND(KS13&gt;=KY$26,KS13&lt;&gt;"",KU13&gt;=KY$30,KU13&lt;&gt;""),AND(KV13&gt;=KY$26,KV13&lt;&gt;"",KX13&gt;=KY$30,KX13&lt;&gt;""),AND(LT13&gt;=MG$26,LT13&lt;&gt;"",LV13&gt;=MG$30,LV13&lt;&gt;""),AND(LW13&gt;=MG$26,LW13&lt;&gt;"",LY13&gt;=MG$30,LY13&lt;&gt;""),AND(MA13&gt;=MG$26,MA13&lt;&gt;"",MC13&gt;=MG$30,MC13&lt;&gt;""),AND(MD13&gt;=MG$26,MD13&lt;&gt;"",MF13&gt;=MG$30,MF13&lt;&gt;""),AND(NB13&gt;=NO$26,NB13&lt;&gt;"",ND13&gt;=NO$30,ND13&lt;&gt;""),AND(NE13&gt;=NO$26,NE13&lt;&gt;"",NG13&gt;=NO$30,NG13&lt;&gt;""),AND(NI13&gt;=NO$26,NI13&lt;&gt;"",NK13&gt;=NO$30,NK13&lt;&gt;""),AND(NL13&gt;=NO$26,NL13&lt;&gt;"",NN13&gt;=NO$30,NN13&lt;&gt;""),AND(OJ13&gt;=OW$26,OJ13&lt;&gt;"",OL13&gt;=OW$30,OL13&lt;&gt;""),AND(OM13&gt;=OW$26,OM13&lt;&gt;"",OO13&gt;=OW$30,OO13&lt;&gt;""),AND(OQ13&gt;=OW$26,OQ13&lt;&gt;"",OS13&gt;=OW$30,OS13&lt;&gt;""),AND(OT13&gt;=OW$26,OT13&lt;&gt;"",OV13&gt;=OW$30,OV13&lt;&gt;""),AND(PR13&gt;=QE$26,PR13&lt;&gt;"",PT13&gt;=QE$30,PT13&lt;&gt;""),AND(PU13&gt;=QE$26,PU13&lt;&gt;"",PW13&gt;=QE$30,PW13&lt;&gt;""),AND(PY13&gt;=QE$26,PY13&lt;&gt;"",QA13&gt;=QE$30,QA13&lt;&gt;""),AND(QB13&gt;=QE$26,QB13&lt;&gt;"",QD13&gt;=QE$30,QD13&lt;&gt;""),AND(QZ13&gt;=RM$26,QZ13&lt;&gt;"",RB13&gt;=RM$30,RB13&lt;&gt;""),AND(RC13&gt;=RM$26,RC13&lt;&gt;"",RE13&gt;=RM$30,RE13&lt;&gt;""),AND(RG13&gt;=RM$26,RG13&lt;&gt;"",RI13&gt;=RM$30,RI13&lt;&gt;""),AND(RJ13&gt;=RM$26,RJ13&lt;&gt;"",RL13&gt;=RM$30,RL13&lt;&gt;""),AND(SH13&gt;=SU$26,SH13&lt;&gt;"",SJ13&gt;=SU$30,SJ13&lt;&gt;""),AND(SK13&gt;=SU$26,SK13&lt;&gt;"",SM13&gt;=SU$30,SM13&lt;&gt;""),AND(SO13&gt;=SU$26,SO13&lt;&gt;"",SQ13&gt;=SU$30,SQ13&lt;&gt;""),AND(SR13&gt;=SU$26,SR13&lt;&gt;"",ST13&gt;=SU$30,ST13&lt;&gt;"")),"P","")</f>
        <v/>
      </c>
      <c r="J13" s="13">
        <f>IF(COUNT(AQ13,AT13,BR13,BU13,CS13,CV13)&gt;0,LARGE((AQ13,AT13,BR13,BU13,CS13,CV13),1),0)</f>
        <v>53.3</v>
      </c>
      <c r="K13" s="13" t="str">
        <f>IF(J13="","",IF(OR(J13=CS13,J13=CV13),$CA$1,IF(OR(J13=BR13,J13=BU13),$AZ$1,IF(OR(J13=AQ13,J13=AT13),$Y$1,""))))</f>
        <v>2021 Elite Canada</v>
      </c>
      <c r="L13" s="13">
        <f>IF(COUNT(AQ13,AT13,BR13,BU13,CS13,CV13)&gt;1,LARGE((AQ13,AT13,BR13,BU13,CS13,CV13),2),0)</f>
        <v>53.044999999999995</v>
      </c>
      <c r="M13" s="13" t="str">
        <f>IF(L13="","",IF(OR(L13=CS13,L13=CV13),$CA$1,IF(OR(L13=BR13,L13=BU13),$AZ$1,IF(OR(L13=AQ13,L13=AT13),$Y$1,""))))</f>
        <v>2022 Elite Canada</v>
      </c>
      <c r="N13" s="13">
        <f>IF(COUNT(AQ13,AT13,BR13,BU13,CS13,CV13)&gt;2,LARGE((AQ13,AT13,BR13,BU13,CS13,CV13),3),0)</f>
        <v>51.085000000000001</v>
      </c>
      <c r="O13" s="13" t="str">
        <f>IF(N13="","",IF(OR(N13=CS13,N13=CV13),$CA$1,IF(OR(N13=BR13,N13=BU13),$AZ$1,IF(OR(N13=AQ13,N13=AT13),$Y$1,""))))</f>
        <v>2021 Canadian Championships</v>
      </c>
      <c r="P13" s="13">
        <f>IF(MAX(AX13,BY13,CZ13)&gt;0,MAX(AX13,BY13,CZ13),0)</f>
        <v>52.715000000000003</v>
      </c>
      <c r="Q13" s="13" t="str">
        <f>IF(P13="","",IF(P13=CZ13,$CA$1,IF(P13=BY13,$AZ$1,IF(P13=AX13,$Y$1,""))))</f>
        <v>2021 Elite Canada</v>
      </c>
      <c r="R13" s="13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13.5</v>
      </c>
      <c r="S13" s="13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2022 Elite Canada</v>
      </c>
      <c r="T13" s="13">
        <f>IF(MAX(IF(AO13&gt;=$AY$25,AP13,0),IF(AR13&gt;=$AY$25,AS13,0),IF(AV13&gt;=$AY$25,AW13,0),IF(BP13&gt;=$BZ$25,BQ13,0),IF(BS13&gt;=$BZ$25,BT13,0),IF(BW13&gt;=$BZ$25,BX13,0),IF(CQ13&gt;=$DA$25,CR13,0),IF(CT13&gt;=$DA$25,CU13,0),IF(CX13&gt;=$DA$25,CY13,0))&gt;0,MAX(IF(AO13&gt;=$AY$25,AP13,0),IF(AR13&gt;=$AY$25,AS13,0),IF(AV13&gt;=$AY$25,AW13,0),IF(BP13&gt;=$BZ$25,BQ13,0),IF(BS13&gt;=$BZ$25,BT13,0),IF(BW13&gt;=$BZ$25,BX13,0),IF(CQ13&gt;=$DA$25,CR13,0),IF(CT13&gt;=$DA$25,CU13,0),IF(CX13&gt;=$DA$25,CY13,0),IF(DX13&gt;=$EK$25,DY13,0),IF(EA13&gt;=$EK$25,EB13,0),IF(EE13&gt;=$EK$25,EF13,0),IF(EH13&gt;=$EK$25,EI13,0),IF(FF13&gt;=$FS$25,FG13,0),IF(FI13&gt;=$FS$25,FJ13,0),IF(FM13&gt;=$FS$25,FN13,0),IF(FP13&gt;=$FS$25,FQ13,0),IF(GN13&gt;=$HA$25,GO13,0),IF(GQ13&gt;=$HA$25,GR13,0),IF(GU13&gt;=$HA$25,GV13,0),IF(GX13&gt;=$HA$25,GY13,0),IF(HV13&gt;=$II$25,HW13,0),IF(HY13&gt;=$II$25,HZ13,0),IF(IC13&gt;=$II$25,ID13,0),IF(IF13&gt;=$II$25,IG13,0),IF(JD13&gt;=$JQ$25,JE13,0),IF(JG13&gt;=$JQ$25,JH13,0),IF(JK13&gt;=$JQ$25,JL13,0),IF(JN13&gt;=$JQ$25,JO13,0),IF(KL13&gt;=$KY$25,KM13,0),IF(KO13&gt;=$KY$25,KP13,0),IF(KS13&gt;=$KY$25,KT13,0),IF(KV13&gt;=$KY$25,KW13,0),IF(LT13&gt;=$MG$25,LU13,0),IF(LW13&gt;=$MG$25,LX13,0),IF(MA13&gt;=$MG$25,MB13,0),IF(MD13&gt;=$MG$25,ME13,0),IF(NB13&gt;=$NO$25,NC13,0),IF(NE13&gt;=$NO$25,NF13,0),IF(NI13&gt;=$NO$25,NJ13,0),IF(NL13&gt;=$NO$25,NM13,0),IF(OJ13&gt;=$OW$25,OK13,0),IF(OM13&gt;=$OW$25,ON13,0),IF(OQ13&gt;=$OW$25,OR13,0),IF(OT13&gt;=$OW$25,OU13,0),IF(PR13&gt;=$QE$25,PS13,0),IF(PU13&gt;=$QE$25,PV13,0),IF(PY13&gt;=$QE$25,PZ13,0),IF(QB13&gt;=$QE$25,QC13,0),IF(QZ13&gt;=$RM$25,RA13,0),IF(RC13&gt;=$RM$25,RD13,0),IF(RG13&gt;=$RM$25,RH13,0),IF(RJ13&gt;=$RM$25,RK13,0),IF(SH13&gt;=$SU$25,SI13,0),IF(SK13&gt;=$SU$25,SL13,0),IF(SO13&gt;=$SU$25,SP13,0),IF(SR13&gt;=$SU$25,SS13,0)),0)</f>
        <v>0</v>
      </c>
      <c r="U13" s="13" t="str">
        <f>IF(T13=0,"",IF(OR(T13=CR13,T13=CU13,T13=CY13),$CA$1,IF(OR(T13=BQ13,T13=BT13,T13=BX13),$AZ$1,IF(OR(T13=AP13,T13=AS13,T13=AW13),$Y$1,IF(OR(R13=SI13,R13=SL13,R13=SP13,R13=SS13),$RN$1,IF(OR(R13=RA13,R13=RD13,R13=RH13,R13=RK13),$QF$1,IF(OR(R13=PS13,R13=PV13,R13=PZ13,R13=QC13),$OX$1,IF(OR(R13=OK13,R13=ON13,R13=OR13,R13=OU13),$NP$1,IF(OR(R13=NC13,R13=NF13,R13=NJ13,R13=NM13),$MH$1,IF(OR(R13=LU13,R13=LX13,R13=MB13,R13=ME13),$KZ$1,IF(OR(R13=KM13,R13=KP13,R13=KT13,R13=KW13),$JR$1,IF(OR(R13=JE13,R13=JH13,R13=JL13,R13=JO13),$IJ$1,IF(OR(R13=HW13,R13=HZ13,R13=ID13,R13=IG13),$HB$1,IF(OR(R13=GO13,R13=GR13,R13=GV13,R13=GY13),$FT$1,IF(OR(R13=FG13,R13=FJ13,R13=FN13,R13=FQ13),$EL$1,IF(OR(R13=DY13,R13=EB13,R13=EF13,R13=EI13),$DD$1,""))))))))))))))))</f>
        <v/>
      </c>
      <c r="V13" s="13" t="str">
        <f>IF(MAX(DB13,DC13)&gt;0,MAX(DB13,DC13),"")</f>
        <v/>
      </c>
      <c r="W13" s="16" t="str">
        <f>IF(V13="","",IF(V13=DB13,"("&amp;DB$2&amp;")",IF(V13=DC13,"("&amp;DC$2&amp;")")))</f>
        <v/>
      </c>
      <c r="X13" s="13" t="str">
        <f>IF(V13="","",IF(V13=DB13,IF(V13+IF(L13="",0,L13)=SN13,$RN$1,IF(V13+IF(L13="",0,L13)=RF13,$QF$1,IF(V13+IF(L13="",0,L13)=PX13,$OX$1,IF(V13+IF(L13="",0,L13)=OP13,$NP$1,IF(V13+IF(L13="",0,L13)=NH13,$MH$1,IF(V13+IF(L13="",0,L13)=LZ13,$KZ$1,IF(V13+IF(L13="",0,L13)=KR13,$JR$1,IF(V13+IF(L13="",0,L13)=JJ13,$IJ$1,IF(V13+IF(L13="",0,L13)=IB13,$HB$1,IF(V13+IF(L13="",0,L13)=GT13,$FT$1,IF(V13+IF(L13="",0,L13)=FL13,$EL$1,IF(V13+IF(L13="",0,L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$1)))))))))))))))</f>
        <v/>
      </c>
      <c r="Y13" s="42">
        <v>16</v>
      </c>
      <c r="Z13" s="42">
        <v>8.9</v>
      </c>
      <c r="AA13" s="42">
        <v>13.5</v>
      </c>
      <c r="AB13" s="42">
        <v>14.9</v>
      </c>
      <c r="AC13" s="42">
        <v>0</v>
      </c>
      <c r="AD13" s="42"/>
      <c r="AE13" s="42"/>
      <c r="AF13" s="42"/>
      <c r="AG13" s="42"/>
      <c r="AH13" s="42"/>
      <c r="AI13" s="42">
        <v>16.100000000000001</v>
      </c>
      <c r="AJ13" s="42">
        <v>8.6</v>
      </c>
      <c r="AK13" s="42">
        <v>13.3</v>
      </c>
      <c r="AL13" s="42">
        <v>14.715</v>
      </c>
      <c r="AM13" s="42">
        <v>0</v>
      </c>
      <c r="AN13" s="51"/>
      <c r="AO13" s="74">
        <f>IF(AA13&gt;0,AA13,"")</f>
        <v>13.5</v>
      </c>
      <c r="AP13" s="74">
        <f>IF(AB13&gt;0,AB13,"")</f>
        <v>14.9</v>
      </c>
      <c r="AQ13" s="76">
        <f>IF(SUM(Y13:AB13)-AC13&gt;0,SUM(Y13:AB13)-AC13,"")</f>
        <v>53.3</v>
      </c>
      <c r="AR13" s="76" t="str">
        <f>IF(AF13&gt;0,AF13,"")</f>
        <v/>
      </c>
      <c r="AS13" s="76" t="str">
        <f>IF(AG13&gt;0,AG13,"")</f>
        <v/>
      </c>
      <c r="AT13" s="76" t="str">
        <f>IF(SUM(AD13:AG13)-AH13&gt;0,SUM(AD13:AG13)-AH13,"")</f>
        <v/>
      </c>
      <c r="AU13" s="76">
        <f>IF(AQ13="","",MAX(AQ13,AT13))</f>
        <v>53.3</v>
      </c>
      <c r="AV13" s="76">
        <f>IF(AK13&gt;0,AK13,"")</f>
        <v>13.3</v>
      </c>
      <c r="AW13" s="76">
        <f>IF(AL13&gt;0,AL13,"")</f>
        <v>14.715</v>
      </c>
      <c r="AX13" s="76">
        <f>IF(SUM(AI13:AL13)-AM13&gt;0,SUM(AI13:AL13)-AM13,"")</f>
        <v>52.715000000000003</v>
      </c>
      <c r="AY13" s="76">
        <f>IF(SUM(AU13,AX13)&gt;0,SUM(AU13,AX13),"")</f>
        <v>106.015</v>
      </c>
      <c r="AZ13" s="46">
        <v>15.3</v>
      </c>
      <c r="BA13" s="46">
        <v>9.1</v>
      </c>
      <c r="BB13" s="46">
        <v>12.5</v>
      </c>
      <c r="BC13" s="46">
        <v>14.185</v>
      </c>
      <c r="BD13" s="46">
        <v>0</v>
      </c>
      <c r="BE13" s="46"/>
      <c r="BF13" s="46"/>
      <c r="BG13" s="46"/>
      <c r="BH13" s="46"/>
      <c r="BI13" s="46"/>
      <c r="BJ13" s="46">
        <v>15.3</v>
      </c>
      <c r="BK13" s="46">
        <v>8.9</v>
      </c>
      <c r="BL13" s="46">
        <v>13.5</v>
      </c>
      <c r="BM13" s="46">
        <v>14.605</v>
      </c>
      <c r="BN13" s="46">
        <v>0</v>
      </c>
      <c r="BO13" s="52"/>
      <c r="BP13" s="75">
        <f>IF(BB13&gt;0,BB13,"")</f>
        <v>12.5</v>
      </c>
      <c r="BQ13" s="75">
        <f>IF(BC13&gt;0,BC13,"")</f>
        <v>14.185</v>
      </c>
      <c r="BR13" s="16">
        <f>IF(SUM(AZ13:BC13)-BD13&gt;0,SUM(AZ13:BC13)-BD13,"")</f>
        <v>51.085000000000001</v>
      </c>
      <c r="BS13" s="16" t="str">
        <f>IF(BG13&gt;0,BG13,"")</f>
        <v/>
      </c>
      <c r="BT13" s="16" t="str">
        <f>IF(BH13&gt;0,BH13,"")</f>
        <v/>
      </c>
      <c r="BU13" s="16" t="str">
        <f>IF(SUM(BE13:BH13)-BI13&gt;0,SUM(BE13:BH13)-BI13,"")</f>
        <v/>
      </c>
      <c r="BV13" s="16">
        <f>IF(BR13="","",MAX(BR13,BU13))</f>
        <v>51.085000000000001</v>
      </c>
      <c r="BW13" s="16">
        <f>IF(BL13&gt;0,BL13,"")</f>
        <v>13.5</v>
      </c>
      <c r="BX13" s="16">
        <f>IF(BM13&gt;0,BM13,"")</f>
        <v>14.605</v>
      </c>
      <c r="BY13" s="16">
        <f>IF(SUM(BJ13:BM13)-BN13&gt;0,SUM(BJ13:BM13)-BN13,"")</f>
        <v>52.305000000000007</v>
      </c>
      <c r="BZ13" s="16">
        <f>IF(SUM(BV13,BY13)&gt;0,SUM(BV13,BY13),"")</f>
        <v>103.39000000000001</v>
      </c>
      <c r="CA13" s="42">
        <v>15.7</v>
      </c>
      <c r="CB13" s="42">
        <v>9.3000000000000007</v>
      </c>
      <c r="CC13" s="42">
        <v>13.5</v>
      </c>
      <c r="CD13" s="42">
        <v>14.744999999999999</v>
      </c>
      <c r="CE13" s="42">
        <v>0.2</v>
      </c>
      <c r="CF13" s="42">
        <v>13.9</v>
      </c>
      <c r="CG13" s="42">
        <v>9.1</v>
      </c>
      <c r="CH13" s="42">
        <v>12.5</v>
      </c>
      <c r="CI13" s="42">
        <v>14.91</v>
      </c>
      <c r="CJ13" s="42">
        <v>1</v>
      </c>
      <c r="CK13" s="42">
        <v>6.3</v>
      </c>
      <c r="CL13" s="42">
        <v>3.2</v>
      </c>
      <c r="CM13" s="42">
        <v>5.6</v>
      </c>
      <c r="CN13" s="42">
        <v>6.29</v>
      </c>
      <c r="CO13" s="42">
        <v>0</v>
      </c>
      <c r="CP13" s="51"/>
      <c r="CQ13" s="74">
        <f>IF(CC13&gt;0,CC13,"")</f>
        <v>13.5</v>
      </c>
      <c r="CR13" s="74">
        <f>IF(CD13&gt;0,CD13,"")</f>
        <v>14.744999999999999</v>
      </c>
      <c r="CS13" s="76">
        <f>IF(SUM(CA13:CD13)-CE13&gt;0,SUM(CA13:CD13)-CE13,"")</f>
        <v>53.044999999999995</v>
      </c>
      <c r="CT13" s="76">
        <f>IF(CH13&gt;0,CH13,"")</f>
        <v>12.5</v>
      </c>
      <c r="CU13" s="76">
        <f>IF(CI13&gt;0,CI13,"")</f>
        <v>14.91</v>
      </c>
      <c r="CV13" s="76">
        <f>IF(SUM(CF13:CI13)-CJ13&gt;0,SUM(CF13:CI13)-CJ13,"")</f>
        <v>49.41</v>
      </c>
      <c r="CW13" s="76">
        <f>IF(CS13="","",MAX(CS13,CV13))</f>
        <v>53.044999999999995</v>
      </c>
      <c r="CX13" s="76">
        <f>IF(CM13&gt;0,CM13,"")</f>
        <v>5.6</v>
      </c>
      <c r="CY13" s="76">
        <f>IF(CN13&gt;0,CN13,"")</f>
        <v>6.29</v>
      </c>
      <c r="CZ13" s="76">
        <f>IF(SUM(CK13:CN13)-CO13&gt;0,SUM(CK13:CN13)-CO13,"")</f>
        <v>21.39</v>
      </c>
      <c r="DA13" s="76">
        <f>IF(SUM(CW13,CZ13)&gt;0,SUM(CW13,CZ13),"")</f>
        <v>74.435000000000002</v>
      </c>
      <c r="DB13" s="87" t="str">
        <f>IF(L13&gt;=0.001,IF(MAX(ED13,FL13,GT13,IB13,JJ13,KR13,LZ13,NH13,OP13,PX13,RF13,SN13)-IF(L13="",0,L13)&gt;0.001,MAX(ED13,FL13,GT13,IB13,JJ13,KR13,LZ13,NH13,OP13,PX13,RF13,SN13)-IF(L13="",0,L13),""),"")</f>
        <v/>
      </c>
      <c r="DC13" s="87" t="str">
        <f>IF(P13&gt;=0.001,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,"")</f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76" t="str">
        <f>IF(DF13&gt;0,DF13,"")</f>
        <v/>
      </c>
      <c r="DY13" s="76" t="str">
        <f>IF(DG13&gt;0,DG13,"")</f>
        <v/>
      </c>
      <c r="DZ13" s="76" t="str">
        <f>IF(SUM(DD13:DG13)-DH13&gt;0,SUM(DD13:DG13)-DH13,"")</f>
        <v/>
      </c>
      <c r="EA13" s="76" t="str">
        <f>IF(DK13&gt;0,DK13,"")</f>
        <v/>
      </c>
      <c r="EB13" s="76" t="str">
        <f>IF(DL13&gt;0,DL13,"")</f>
        <v/>
      </c>
      <c r="EC13" s="76" t="str">
        <f>IF(SUM(DI13:DL13)-DM13&gt;0,SUM(DI13:DL13)-DM13,"")</f>
        <v/>
      </c>
      <c r="ED13" s="76" t="str">
        <f>IF(MAX(DZ13,EC13)&gt;0,MAX(DZ13,EC13),"")</f>
        <v/>
      </c>
      <c r="EE13" s="76" t="str">
        <f>IF(DP13&gt;0,DP13,"")</f>
        <v/>
      </c>
      <c r="EF13" s="76" t="str">
        <f>IF(DQ13&gt;0,DQ13,"")</f>
        <v/>
      </c>
      <c r="EG13" s="76" t="str">
        <f>IF(SUM(DN13:DQ13)-DR13&gt;0,SUM(DN13:DQ13)-DR13,"")</f>
        <v/>
      </c>
      <c r="EH13" s="76" t="str">
        <f>IF(DU13&gt;0,DU13,"")</f>
        <v/>
      </c>
      <c r="EI13" s="76" t="str">
        <f>IF(DV13&gt;0,DV13,"")</f>
        <v/>
      </c>
      <c r="EJ13" s="76" t="str">
        <f>IF(SUM(DS13:DV13)-DW13&gt;0,SUM(DS13:DV13)-DW13,"")</f>
        <v/>
      </c>
      <c r="EK13" s="76" t="str">
        <f>IF(SUM(ED13,EJ13)&gt;0,SUM(ED13,EJ13),"")</f>
        <v/>
      </c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16" t="str">
        <f>IF(EN13&gt;0,EN13,"")</f>
        <v/>
      </c>
      <c r="FG13" s="16" t="str">
        <f>IF(EO13&gt;0,EO13,"")</f>
        <v/>
      </c>
      <c r="FH13" s="16" t="str">
        <f>IF(SUM(EL13:EO13)-EP13&gt;0,SUM(EL13:EO13)-EP13,"")</f>
        <v/>
      </c>
      <c r="FI13" s="16" t="str">
        <f>IF(ES13&gt;0,ES13,"")</f>
        <v/>
      </c>
      <c r="FJ13" s="16" t="str">
        <f>IF(ET13&gt;0,ET13,"")</f>
        <v/>
      </c>
      <c r="FK13" s="16" t="str">
        <f>IF(SUM(EQ13:ET13)-EU13&gt;0,SUM(EQ13:ET13)-EU13,"")</f>
        <v/>
      </c>
      <c r="FL13" s="16" t="str">
        <f>IF(MAX(FH13,FK13)&gt;0,MAX(FH13,FK13),"")</f>
        <v/>
      </c>
      <c r="FM13" s="16" t="str">
        <f>IF(EX13&gt;0,EX13,"")</f>
        <v/>
      </c>
      <c r="FN13" s="16" t="str">
        <f>IF(EY13&gt;0,EY13,"")</f>
        <v/>
      </c>
      <c r="FO13" s="16" t="str">
        <f>IF(SUM(EV13:EY13)-EZ13&gt;0,SUM(EV13:EY13)-EZ13,"")</f>
        <v/>
      </c>
      <c r="FP13" s="16" t="str">
        <f>IF(FC13&gt;0,FC13,"")</f>
        <v/>
      </c>
      <c r="FQ13" s="16" t="str">
        <f>IF(FD13&gt;0,FD13,"")</f>
        <v/>
      </c>
      <c r="FR13" s="16" t="str">
        <f>IF(SUM(FA13:FD13)-FE13&gt;0,SUM(FA13:FD13)-FE13,"")</f>
        <v/>
      </c>
      <c r="FS13" s="16" t="str">
        <f>IF(SUM(FL13,FR13)&gt;0,SUM(FL13,FR13),"")</f>
        <v/>
      </c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76" t="str">
        <f>IF(FV13&gt;0,FV13,"")</f>
        <v/>
      </c>
      <c r="GO13" s="76" t="str">
        <f>IF(FW13&gt;0,FW13,"")</f>
        <v/>
      </c>
      <c r="GP13" s="76" t="str">
        <f>IF(SUM(FT13:FW13)-FX13&gt;0,SUM(FT13:FW13)-FX13,"")</f>
        <v/>
      </c>
      <c r="GQ13" s="76" t="str">
        <f>IF(GA13&gt;0,GA13,"")</f>
        <v/>
      </c>
      <c r="GR13" s="76" t="str">
        <f>IF(GB13&gt;0,GB13,"")</f>
        <v/>
      </c>
      <c r="GS13" s="76" t="str">
        <f>IF(SUM(FY13:GB13)-GC13&gt;0,SUM(FY13:GB13)-GC13,"")</f>
        <v/>
      </c>
      <c r="GT13" s="76" t="str">
        <f>IF(MAX(GP13,GS13)&gt;0,MAX(GP13,GS13),"")</f>
        <v/>
      </c>
      <c r="GU13" s="76" t="str">
        <f>IF(GF13&gt;0,GF13,"")</f>
        <v/>
      </c>
      <c r="GV13" s="76" t="str">
        <f>IF(GG13&gt;0,GG13,"")</f>
        <v/>
      </c>
      <c r="GW13" s="76" t="str">
        <f>IF(SUM(GD13:GG13)-GH13&gt;0,SUM(GD13:GG13)-GH13,"")</f>
        <v/>
      </c>
      <c r="GX13" s="76" t="str">
        <f>IF(GK13&gt;0,GK13,"")</f>
        <v/>
      </c>
      <c r="GY13" s="76" t="str">
        <f>IF(GL13&gt;0,GL13,"")</f>
        <v/>
      </c>
      <c r="GZ13" s="76" t="str">
        <f>IF(SUM(GI13:GL13)-GM13&gt;0,SUM(GI13:GL13)-GM13,"")</f>
        <v/>
      </c>
      <c r="HA13" s="76" t="str">
        <f>IF(SUM(GT13,GZ13)&gt;0,SUM(GT13,GZ13),"")</f>
        <v/>
      </c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16" t="str">
        <f>IF(HD13&gt;0,HD13,"")</f>
        <v/>
      </c>
      <c r="HW13" s="16" t="str">
        <f>IF(HE13&gt;0,HE13,"")</f>
        <v/>
      </c>
      <c r="HX13" s="16" t="str">
        <f>IF(SUM(HB13:HE13)-HF13&gt;0,SUM(HB13:HE13)-HF13,"")</f>
        <v/>
      </c>
      <c r="HY13" s="16" t="str">
        <f>IF(HI13&gt;0,HI13,"")</f>
        <v/>
      </c>
      <c r="HZ13" s="16" t="str">
        <f>IF(HJ13&gt;0,HJ13,"")</f>
        <v/>
      </c>
      <c r="IA13" s="16" t="str">
        <f>IF(SUM(HG13:HJ13)-HK13&gt;0,SUM(HG13:HJ13)-HK13,"")</f>
        <v/>
      </c>
      <c r="IB13" s="16" t="str">
        <f>IF(MAX(HX13,IA13)&gt;0,MAX(HX13,IA13),"")</f>
        <v/>
      </c>
      <c r="IC13" s="16" t="str">
        <f>IF(HN13&gt;0,HN13,"")</f>
        <v/>
      </c>
      <c r="ID13" s="16" t="str">
        <f>IF(HO13&gt;0,HO13,"")</f>
        <v/>
      </c>
      <c r="IE13" s="16" t="str">
        <f>IF(SUM(HL13:HO13)-HP13&gt;0,SUM(HL13:HO13)-HP13,"")</f>
        <v/>
      </c>
      <c r="IF13" s="16" t="str">
        <f>IF(HS13&gt;0,HS13,"")</f>
        <v/>
      </c>
      <c r="IG13" s="16" t="str">
        <f>IF(HT13&gt;0,HT13,"")</f>
        <v/>
      </c>
      <c r="IH13" s="16" t="str">
        <f>IF(SUM(HQ13:HT13)-HU13&gt;0,SUM(HQ13:HT13)-HU13,"")</f>
        <v/>
      </c>
      <c r="II13" s="16" t="str">
        <f>IF(SUM(IB13,IH13)&gt;0,SUM(IB13,IH13),"")</f>
        <v/>
      </c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76" t="str">
        <f>IF(IL13&gt;0,IL13,"")</f>
        <v/>
      </c>
      <c r="JE13" s="76" t="str">
        <f>IF(IM13&gt;0,IM13,"")</f>
        <v/>
      </c>
      <c r="JF13" s="76" t="str">
        <f>IF(SUM(IJ13:IM13)-IN13&gt;0,SUM(IJ13:IM13)-IN13,"")</f>
        <v/>
      </c>
      <c r="JG13" s="76" t="str">
        <f>IF(IQ13&gt;0,IQ13,"")</f>
        <v/>
      </c>
      <c r="JH13" s="76" t="str">
        <f>IF(IR13&gt;0,IR13,"")</f>
        <v/>
      </c>
      <c r="JI13" s="76" t="str">
        <f>IF(SUM(IO13:IR13)-IS13&gt;0,SUM(IO13:IR13)-IS13,"")</f>
        <v/>
      </c>
      <c r="JJ13" s="76" t="str">
        <f>IF(MAX(JF13,JI13)&gt;0,MAX(JF13,JI13),"")</f>
        <v/>
      </c>
      <c r="JK13" s="76" t="str">
        <f>IF(IV13&gt;0,IV13,"")</f>
        <v/>
      </c>
      <c r="JL13" s="76" t="str">
        <f>IF(IW13&gt;0,IW13,"")</f>
        <v/>
      </c>
      <c r="JM13" s="76" t="str">
        <f>IF(SUM(IT13:IW13)-IX13&gt;0,SUM(IT13:IW13)-IX13,"")</f>
        <v/>
      </c>
      <c r="JN13" s="76" t="str">
        <f>IF(JA13&gt;0,JA13,"")</f>
        <v/>
      </c>
      <c r="JO13" s="76" t="str">
        <f>IF(JB13&gt;0,JB13,"")</f>
        <v/>
      </c>
      <c r="JP13" s="76" t="str">
        <f>IF(SUM(IY13:JB13)-JC13&gt;0,SUM(IY13:JB13)-JC13,"")</f>
        <v/>
      </c>
      <c r="JQ13" s="76" t="str">
        <f>IF(SUM(JJ13,JP13)&gt;0,SUM(JJ13,JP13),"")</f>
        <v/>
      </c>
      <c r="JR13" s="26"/>
      <c r="JS13" s="26"/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16" t="str">
        <f>IF(JT13&gt;0,JT13,"")</f>
        <v/>
      </c>
      <c r="KM13" s="16" t="str">
        <f>IF(JU13&gt;0,JU13,"")</f>
        <v/>
      </c>
      <c r="KN13" s="16" t="str">
        <f>IF(SUM(JR13:JU13)-JV13&gt;0,SUM(JR13:JU13)-JV13,"")</f>
        <v/>
      </c>
      <c r="KO13" s="16" t="str">
        <f>IF(JY13&gt;0,JY13,"")</f>
        <v/>
      </c>
      <c r="KP13" s="16" t="str">
        <f>IF(JZ13&gt;0,JZ13,"")</f>
        <v/>
      </c>
      <c r="KQ13" s="16" t="str">
        <f>IF(SUM(JW13:JZ13)-KA13&gt;0,SUM(JW13:JZ13)-KA13,"")</f>
        <v/>
      </c>
      <c r="KR13" s="16" t="str">
        <f>IF(MAX(KN13,KQ13)&gt;0,MAX(KN13,KQ13),"")</f>
        <v/>
      </c>
      <c r="KS13" s="16" t="str">
        <f>IF(KD13&gt;0,KD13,"")</f>
        <v/>
      </c>
      <c r="KT13" s="16" t="str">
        <f>IF(KE13&gt;0,KE13,"")</f>
        <v/>
      </c>
      <c r="KU13" s="16" t="str">
        <f>IF(SUM(KB13:KE13)-KF13&gt;0,SUM(KB13:KE13)-KF13,"")</f>
        <v/>
      </c>
      <c r="KV13" s="16" t="str">
        <f>IF(KI13&gt;0,KI13,"")</f>
        <v/>
      </c>
      <c r="KW13" s="16" t="str">
        <f>IF(KJ13&gt;0,KJ13,"")</f>
        <v/>
      </c>
      <c r="KX13" s="16" t="str">
        <f>IF(SUM(KG13:KJ13)-KK13&gt;0,SUM(KG13:KJ13)-KK13,"")</f>
        <v/>
      </c>
      <c r="KY13" s="16" t="str">
        <f>IF(SUM(KR13,KX13)&gt;0,SUM(KR13,KX13),"")</f>
        <v/>
      </c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76" t="str">
        <f>IF(LB13&gt;0,LB13,"")</f>
        <v/>
      </c>
      <c r="LU13" s="76" t="str">
        <f>IF(LC13&gt;0,LC13,"")</f>
        <v/>
      </c>
      <c r="LV13" s="76" t="str">
        <f>IF(SUM(KZ13:LC13)-LD13&gt;0,SUM(KZ13:LC13)-LD13,"")</f>
        <v/>
      </c>
      <c r="LW13" s="76" t="str">
        <f>IF(LG13&gt;0,LG13,"")</f>
        <v/>
      </c>
      <c r="LX13" s="76" t="str">
        <f>IF(LH13&gt;0,LH13,"")</f>
        <v/>
      </c>
      <c r="LY13" s="76" t="str">
        <f>IF(SUM(LE13:LH13)-LI13&gt;0,SUM(LE13:LH13)-LI13,"")</f>
        <v/>
      </c>
      <c r="LZ13" s="76" t="str">
        <f>IF(MAX(LV13,LY13)&gt;0,MAX(LV13,LY13),"")</f>
        <v/>
      </c>
      <c r="MA13" s="76" t="str">
        <f>IF(LL13&gt;0,LL13,"")</f>
        <v/>
      </c>
      <c r="MB13" s="76" t="str">
        <f>IF(LM13&gt;0,LM13,"")</f>
        <v/>
      </c>
      <c r="MC13" s="76" t="str">
        <f>IF(SUM(LJ13:LM13)-LN13&gt;0,SUM(LJ13:LM13)-LN13,"")</f>
        <v/>
      </c>
      <c r="MD13" s="76" t="str">
        <f>IF(LQ13&gt;0,LQ13,"")</f>
        <v/>
      </c>
      <c r="ME13" s="76" t="str">
        <f>IF(LR13&gt;0,LR13,"")</f>
        <v/>
      </c>
      <c r="MF13" s="76" t="str">
        <f>IF(SUM(LO13:LR13)-LS13&gt;0,SUM(LO13:LR13)-LS13,"")</f>
        <v/>
      </c>
      <c r="MG13" s="76" t="str">
        <f>IF(SUM(LZ13,MF13)&gt;0,SUM(LZ13,MF13),"")</f>
        <v/>
      </c>
      <c r="MH13" s="26"/>
      <c r="MI13" s="26"/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16" t="str">
        <f>IF(MJ13&gt;0,MJ13,"")</f>
        <v/>
      </c>
      <c r="NC13" s="16" t="str">
        <f>IF(MK13&gt;0,MK13,"")</f>
        <v/>
      </c>
      <c r="ND13" s="16" t="str">
        <f>IF(SUM(MH13:MK13)-ML13&gt;0,SUM(MH13:MK13)-ML13,"")</f>
        <v/>
      </c>
      <c r="NE13" s="16" t="str">
        <f>IF(MO13&gt;0,MO13,"")</f>
        <v/>
      </c>
      <c r="NF13" s="16" t="str">
        <f>IF(MP13&gt;0,MP13,"")</f>
        <v/>
      </c>
      <c r="NG13" s="16" t="str">
        <f>IF(SUM(MM13:MP13)-MQ13&gt;0,SUM(MM13:MP13)-MQ13,"")</f>
        <v/>
      </c>
      <c r="NH13" s="16" t="str">
        <f>IF(MAX(ND13,NG13)&gt;0,MAX(ND13,NG13),"")</f>
        <v/>
      </c>
      <c r="NI13" s="16" t="str">
        <f>IF(MT13&gt;0,MT13,"")</f>
        <v/>
      </c>
      <c r="NJ13" s="16" t="str">
        <f>IF(MU13&gt;0,MU13,"")</f>
        <v/>
      </c>
      <c r="NK13" s="16" t="str">
        <f>IF(SUM(MR13:MU13)-MV13&gt;0,SUM(MR13:MU13)-MV13,"")</f>
        <v/>
      </c>
      <c r="NL13" s="16" t="str">
        <f>IF(MY13&gt;0,MY13,"")</f>
        <v/>
      </c>
      <c r="NM13" s="16" t="str">
        <f>IF(MZ13&gt;0,MZ13,"")</f>
        <v/>
      </c>
      <c r="NN13" s="16" t="str">
        <f>IF(SUM(MW13:MZ13)-NA13&gt;0,SUM(MW13:MZ13)-NA13,"")</f>
        <v/>
      </c>
      <c r="NO13" s="16" t="str">
        <f>IF(SUM(NH13,NN13)&gt;0,SUM(NH13,NN13),"")</f>
        <v/>
      </c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76" t="str">
        <f>IF(NR13&gt;0,NR13,"")</f>
        <v/>
      </c>
      <c r="OK13" s="76" t="str">
        <f>IF(NS13&gt;0,NS13,"")</f>
        <v/>
      </c>
      <c r="OL13" s="76" t="str">
        <f>IF(SUM(NP13:NS13)-NT13&gt;0,SUM(NP13:NS13)-NT13,"")</f>
        <v/>
      </c>
      <c r="OM13" s="76" t="str">
        <f>IF(NW13&gt;0,NW13,"")</f>
        <v/>
      </c>
      <c r="ON13" s="76" t="str">
        <f>IF(NX13&gt;0,NX13,"")</f>
        <v/>
      </c>
      <c r="OO13" s="76" t="str">
        <f>IF(SUM(NU13:NX13)-NY13&gt;0,SUM(NU13:NX13)-NY13,"")</f>
        <v/>
      </c>
      <c r="OP13" s="76" t="str">
        <f>IF(MAX(OL13,OO13)&gt;0,MAX(OL13,OO13),"")</f>
        <v/>
      </c>
      <c r="OQ13" s="76" t="str">
        <f>IF(OB13&gt;0,OB13,"")</f>
        <v/>
      </c>
      <c r="OR13" s="76" t="str">
        <f>IF(OC13&gt;0,OC13,"")</f>
        <v/>
      </c>
      <c r="OS13" s="76" t="str">
        <f>IF(SUM(NZ13:OC13)-OD13&gt;0,SUM(NZ13:OC13)-OD13,"")</f>
        <v/>
      </c>
      <c r="OT13" s="76" t="str">
        <f>IF(OG13&gt;0,OG13,"")</f>
        <v/>
      </c>
      <c r="OU13" s="76" t="str">
        <f>IF(OH13&gt;0,OH13,"")</f>
        <v/>
      </c>
      <c r="OV13" s="76" t="str">
        <f>IF(SUM(OE13:OH13)-OI13&gt;0,SUM(OE13:OH13)-OI13,"")</f>
        <v/>
      </c>
      <c r="OW13" s="76" t="str">
        <f>IF(SUM(OP13,OV13)&gt;0,SUM(OP13,OV13),"")</f>
        <v/>
      </c>
      <c r="OX13" s="26"/>
      <c r="OY13" s="26"/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16" t="str">
        <f>IF(OZ13&gt;0,OZ13,"")</f>
        <v/>
      </c>
      <c r="PS13" s="16" t="str">
        <f>IF(PA13&gt;0,PA13,"")</f>
        <v/>
      </c>
      <c r="PT13" s="16" t="str">
        <f>IF(SUM(OX13:PA13)-PB13&gt;0,SUM(OX13:PA13)-PB13,"")</f>
        <v/>
      </c>
      <c r="PU13" s="16" t="str">
        <f>IF(PE13&gt;0,PE13,"")</f>
        <v/>
      </c>
      <c r="PV13" s="16" t="str">
        <f>IF(PF13&gt;0,PF13,"")</f>
        <v/>
      </c>
      <c r="PW13" s="16" t="str">
        <f>IF(SUM(PC13:PF13)-PG13&gt;0,SUM(PC13:PF13)-PG13,"")</f>
        <v/>
      </c>
      <c r="PX13" s="16" t="str">
        <f>IF(MAX(PT13,PW13)&gt;0,MAX(PT13,PW13),"")</f>
        <v/>
      </c>
      <c r="PY13" s="16" t="str">
        <f>IF(PJ13&gt;0,PJ13,"")</f>
        <v/>
      </c>
      <c r="PZ13" s="16" t="str">
        <f>IF(PK13&gt;0,PK13,"")</f>
        <v/>
      </c>
      <c r="QA13" s="16" t="str">
        <f>IF(SUM(PH13:PK13)-PL13&gt;0,SUM(PH13:PK13)-PL13,"")</f>
        <v/>
      </c>
      <c r="QB13" s="16" t="str">
        <f>IF(PO13&gt;0,PO13,"")</f>
        <v/>
      </c>
      <c r="QC13" s="16" t="str">
        <f>IF(PP13&gt;0,PP13,"")</f>
        <v/>
      </c>
      <c r="QD13" s="16" t="str">
        <f>IF(SUM(PM13:PP13)-PQ13&gt;0,SUM(PM13:PP13)-PQ13,"")</f>
        <v/>
      </c>
      <c r="QE13" s="16" t="str">
        <f>IF(SUM(PX13,QD13)&gt;0,SUM(PX13,QD13),"")</f>
        <v/>
      </c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76" t="str">
        <f>IF(QH13&gt;0,QH13,"")</f>
        <v/>
      </c>
      <c r="RA13" s="76" t="str">
        <f>IF(QI13&gt;0,QI13,"")</f>
        <v/>
      </c>
      <c r="RB13" s="76" t="str">
        <f>IF(SUM(QF13:QI13)-QJ13&gt;0,SUM(QF13:QI13)-QJ13,"")</f>
        <v/>
      </c>
      <c r="RC13" s="76" t="str">
        <f>IF(QM13&gt;0,QM13,"")</f>
        <v/>
      </c>
      <c r="RD13" s="76" t="str">
        <f>IF(QN13&gt;0,QN13,"")</f>
        <v/>
      </c>
      <c r="RE13" s="76" t="str">
        <f>IF(SUM(QK13:QN13)-QO13&gt;0,SUM(QK13:QN13)-QO13,"")</f>
        <v/>
      </c>
      <c r="RF13" s="76" t="str">
        <f>IF(MAX(RB13,RE13)&gt;0,MAX(RB13,RE13),"")</f>
        <v/>
      </c>
      <c r="RG13" s="76" t="str">
        <f>IF(QR13&gt;0,QR13,"")</f>
        <v/>
      </c>
      <c r="RH13" s="76" t="str">
        <f>IF(QS13&gt;0,QS13,"")</f>
        <v/>
      </c>
      <c r="RI13" s="76" t="str">
        <f>IF(SUM(QP13:QS13)-QT13&gt;0,SUM(QP13:QS13)-QT13,"")</f>
        <v/>
      </c>
      <c r="RJ13" s="76" t="str">
        <f>IF(QW13&gt;0,QW13,"")</f>
        <v/>
      </c>
      <c r="RK13" s="76" t="str">
        <f>IF(QX13&gt;0,QX13,"")</f>
        <v/>
      </c>
      <c r="RL13" s="76" t="str">
        <f>IF(SUM(QU13:QX13)-QY13&gt;0,SUM(QU13:QX13)-QY13,"")</f>
        <v/>
      </c>
      <c r="RM13" s="76" t="str">
        <f>IF(SUM(RF13,RL13)&gt;0,SUM(RF13,RL13),"")</f>
        <v/>
      </c>
      <c r="RN13" s="26"/>
      <c r="RO13" s="26"/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16" t="str">
        <f>IF(RP13&gt;0,RP13,"")</f>
        <v/>
      </c>
      <c r="SI13" s="16" t="str">
        <f>IF(RQ13&gt;0,RQ13,"")</f>
        <v/>
      </c>
      <c r="SJ13" s="16" t="str">
        <f>IF(SUM(RN13:RQ13)-RR13&gt;0,SUM(RN13:RQ13)-RR13,"")</f>
        <v/>
      </c>
      <c r="SK13" s="16" t="str">
        <f>IF(RU13&gt;0,RU13,"")</f>
        <v/>
      </c>
      <c r="SL13" s="16" t="str">
        <f>IF(RV13&gt;0,RV13,"")</f>
        <v/>
      </c>
      <c r="SM13" s="16" t="str">
        <f>IF(SUM(RS13:RV13)-RW13&gt;0,SUM(RS13:RV13)-RW13,"")</f>
        <v/>
      </c>
      <c r="SN13" s="16" t="str">
        <f>IF(MAX(SJ13,SM13)&gt;0,MAX(SJ13,SM13),"")</f>
        <v/>
      </c>
      <c r="SO13" s="16" t="str">
        <f>IF(RZ13&gt;0,RZ13,"")</f>
        <v/>
      </c>
      <c r="SP13" s="16" t="str">
        <f>IF(SA13&gt;0,SA13,"")</f>
        <v/>
      </c>
      <c r="SQ13" s="16" t="str">
        <f>IF(SUM(RX13:SA13)-SB13&gt;0,SUM(RX13:SA13)-SB13,"")</f>
        <v/>
      </c>
      <c r="SR13" s="16" t="str">
        <f>IF(SE13&gt;0,SE13,"")</f>
        <v/>
      </c>
      <c r="SS13" s="16" t="str">
        <f>IF(SF13&gt;0,SF13,"")</f>
        <v/>
      </c>
      <c r="ST13" s="16" t="str">
        <f>IF(SUM(SC13:SF13)-SG13&gt;0,SUM(SC13:SF13)-SG13,"")</f>
        <v/>
      </c>
      <c r="SU13" s="16" t="str">
        <f>IF(SUM(SN13,ST13)&gt;0,SUM(SN13,ST13),"")</f>
        <v/>
      </c>
      <c r="SV13" s="42">
        <f>IF($CP13="P",CA13,(CA13+AZ13)/2)</f>
        <v>15.5</v>
      </c>
      <c r="SW13" s="42">
        <f>IF($CP13="P",CB13,(CB13+BA13)/2)</f>
        <v>9.1999999999999993</v>
      </c>
      <c r="SX13" s="42">
        <f>IF($CP13="P",CC13,(CC13+BB13)/2)</f>
        <v>13</v>
      </c>
      <c r="SY13" s="42">
        <f>IF($CP13="P",CD13,(CD13+BC13)/2)</f>
        <v>14.465</v>
      </c>
      <c r="SZ13" s="42">
        <f>IF($CP13="P",CE13,(CE13+BD13)/2)</f>
        <v>0.1</v>
      </c>
      <c r="TA13" s="42">
        <f>IF($CP13="P",CF13,(CF13+BE13)/2)</f>
        <v>6.95</v>
      </c>
      <c r="TB13" s="42">
        <f>IF($CP13="P",CG13,(CG13+BF13)/2)</f>
        <v>4.55</v>
      </c>
      <c r="TC13" s="42">
        <f>IF($CP13="P",CH13,(CH13+BG13)/2)</f>
        <v>6.25</v>
      </c>
      <c r="TD13" s="42">
        <f>IF($CP13="P",CI13,(CI13+BH13)/2)</f>
        <v>7.4550000000000001</v>
      </c>
      <c r="TE13" s="42">
        <f>IF($CP13="P",CJ13,(CJ13+BI13)/2)</f>
        <v>0.5</v>
      </c>
      <c r="TF13" s="42">
        <f>IF($CP13="P",CK13,(CK13+BJ13)/2)</f>
        <v>10.8</v>
      </c>
      <c r="TG13" s="42">
        <f>IF($CP13="P",CL13,(CL13+BK13)/2)</f>
        <v>6.0500000000000007</v>
      </c>
      <c r="TH13" s="42">
        <f>IF($CP13="P",CM13,(CM13+BL13)/2)</f>
        <v>9.5500000000000007</v>
      </c>
      <c r="TI13" s="42">
        <f>IF($CP13="P",CN13,(CN13+BM13)/2)</f>
        <v>10.4475</v>
      </c>
      <c r="TJ13" s="42">
        <f>IF($CP13="P",CO13,(CO13+BN13)/2)</f>
        <v>0</v>
      </c>
      <c r="TK13" s="51" t="s">
        <v>61</v>
      </c>
      <c r="TL13" s="76">
        <f>IF(SX13&gt;0,SX13,"")</f>
        <v>13</v>
      </c>
      <c r="TM13" s="76">
        <f>IF(SY13&gt;0,SY13,"")</f>
        <v>14.465</v>
      </c>
      <c r="TN13" s="76">
        <f>IF(SUM(SV13:SY13)-SZ13&gt;0,SUM(SV13:SY13)-SZ13,"")</f>
        <v>52.065000000000005</v>
      </c>
      <c r="TO13" s="76">
        <f>IF(TC13&gt;0,TC13,"")</f>
        <v>6.25</v>
      </c>
      <c r="TP13" s="76">
        <f>IF(TD13&gt;0,TD13,"")</f>
        <v>7.4550000000000001</v>
      </c>
      <c r="TQ13" s="76">
        <f>IF(SUM(TA13:TD13)-TE13&gt;0,SUM(TA13:TD13)-TE13,"")</f>
        <v>24.704999999999998</v>
      </c>
      <c r="TR13" s="76">
        <f>IF(MAX(TN13,TQ13)&gt;0,MAX(TN13,TQ13),"")</f>
        <v>52.065000000000005</v>
      </c>
      <c r="TS13" s="76">
        <f>IF(TH13&gt;0,TH13,"")</f>
        <v>9.5500000000000007</v>
      </c>
      <c r="TT13" s="76">
        <f>IF(TI13&gt;0,TI13,"")</f>
        <v>10.4475</v>
      </c>
      <c r="TU13" s="76">
        <f>IF(SUM(TF13:TI13)-TJ13&gt;0,SUM(TF13:TI13)-TJ13,"")</f>
        <v>36.847500000000004</v>
      </c>
      <c r="TV13" s="76">
        <f>IF(SUM(TR13,TU13)&gt;0,SUM(TR13,TU13),"")</f>
        <v>88.912500000000009</v>
      </c>
    </row>
    <row r="14" spans="1:542" x14ac:dyDescent="0.2">
      <c r="A14" s="5" t="str" cm="1">
        <f t="array" ref="A14">IF(AND(F14&lt;&gt;"",G14&lt;&gt;""),SUMPRODUCT((F$4:F$23&lt;&gt;"")*(G$4:G$23&lt;&gt;"")*(E$4:E$23&gt;E14))+1,IF(G14&lt;&gt;"",SUMPRODUCT((H$4:H$23="No DD")*(E$4:E$23&gt;E14))+1+SUMPRODUCT((F$4:F$23&lt;&gt;"")*(G$4:G$23&lt;&gt;"")),""))</f>
        <v/>
      </c>
      <c r="B14" s="6" t="s">
        <v>36</v>
      </c>
      <c r="C14" s="7" t="s">
        <v>9</v>
      </c>
      <c r="D14" s="18">
        <v>1998</v>
      </c>
      <c r="E14" s="14">
        <f>SUM(J14:V14)+SUM(J14:T14)*0.0000001+SUM(J14)*0.0000000000001</f>
        <v>217.17002171700526</v>
      </c>
      <c r="F14" s="3" t="str">
        <f>IF(OR(AND(AO14&gt;=AY$25,AO14&lt;&gt;"",AQ14&gt;=AY$29,AQ14&lt;&gt;"",AN14=""),AND(AR14&gt;=AY$25,AR14&lt;&gt;"",AT14&gt;=AY$29,AT14&lt;&gt;"",AN14=""),AND(AV14&gt;=AY$25,AV14&lt;&gt;"",AX14&gt;=AY$29,AX14&lt;&gt;"",AN14=""),AND(BP14&gt;=BZ$25,BP14&lt;&gt;"",BR14&gt;=BZ$29,BR14&lt;&gt;"",BO14=""),AND(BS14&gt;=BZ$25,BS14&lt;&gt;"",BU14&gt;=BZ$29,BU14&lt;&gt;"",BO14=""),AND(BW14&gt;=BZ$25,BW14&lt;&gt;"",BY14&gt;=BZ$29,BY14&lt;&gt;"",BO14=""),AND(CQ14&gt;=DA$25,CQ14&lt;&gt;"",CS14&gt;=DA$29,CS14&lt;&gt;"",CP14=""),AND(CT14&gt;=DA$25,CT14&lt;&gt;"",CV14&gt;=DA$29,CV14&lt;&gt;"",CP14=""),AND(CX14&gt;=DA$25,CX14&lt;&gt;"",CZ14&gt;=DA$29,CZ14&lt;&gt;"",CP14=""),AND(DX14&gt;=EK$25,DX14&lt;&gt;"",DZ14&gt;=EK$29,DZ14&lt;&gt;""),AND(EA14&gt;=EK$25,EA14&lt;&gt;"",EC14&gt;=EK$29,EC14&lt;&gt;""),AND(EE14&gt;=EK$25,EE14&lt;&gt;"",EG14&gt;=EK$29,EG14&lt;&gt;""),AND(EH14&gt;=EK$25,EH14&lt;&gt;"",EJ14&gt;=EK$29,EJ14&lt;&gt;""),AND(FF14&gt;=FS$25,FF14&lt;&gt;"",FH14&gt;=FS$29,FH14&lt;&gt;""),AND(FI14&gt;=FS$25,FI14&lt;&gt;"",FK14&gt;=FS$29,FK14&lt;&gt;""),AND(FM14&gt;=FS$25,FM14&lt;&gt;"",FO14&gt;=FS$29,FO14&lt;&gt;""),AND(FP14&gt;=FS$25,FP14&lt;&gt;"",FR14&gt;=FS$29,FR14&lt;&gt;""),AND(GN14&gt;=HA$25,GN14&lt;&gt;"",GP14&gt;=HA$29,GP14&lt;&gt;""),AND(GQ14&gt;=HA$25,GQ14&lt;&gt;"",GS14&gt;=HA$29,GS14&lt;&gt;""),AND(GU14&gt;=HA$25,GU14&lt;&gt;"",GW14&gt;=HA$29,GW14&lt;&gt;""),AND(GX14&gt;=HA$25,GX14&lt;&gt;"",GZ14&gt;=HA$29,GZ14&lt;&gt;""),AND(HV14&gt;=II$25,HV14&lt;&gt;"",HX14&gt;=II$29,HX14&lt;&gt;""),AND(HY14&gt;=II$25,HY14&lt;&gt;"",IA14&gt;=II$29,IA14&lt;&gt;""),AND(IC14&gt;=II$25,IC14&lt;&gt;"",IE14&gt;=II$29,IE14&lt;&gt;""),AND(IF14&gt;=II$25,IF14&lt;&gt;"",IH14&gt;=II$29,IH14&lt;&gt;""),AND(JD14&gt;=JQ$25,JD14&lt;&gt;"",JF14&gt;=JQ$29,JF14&lt;&gt;""),AND(JG14&gt;=JQ$25,JG14&lt;&gt;"",JI14&gt;=JQ$29,JI14&lt;&gt;""),AND(JK14&gt;=JQ$25,JK14&lt;&gt;"",JM14&gt;=JQ$29,JM14&lt;&gt;""),AND(JN14&gt;=JQ$25,JN14&lt;&gt;"",JP14&gt;=JQ$29,JP14&lt;&gt;""),AND(KL14&gt;=KY$25,KL14&lt;&gt;"",KN14&gt;=KY$29,KN14&lt;&gt;""),AND(KO14&gt;=KY$25,KO14&lt;&gt;"",KQ14&gt;=KY$29,KQ14&lt;&gt;""),AND(KS14&gt;=KY$25,KS14&lt;&gt;"",KU14&gt;=KY$29,KU14&lt;&gt;""),AND(KV14&gt;=KY$25,KV14&lt;&gt;"",KX14&gt;=KY$29,KX14&lt;&gt;""),AND(LT14&gt;=MG$25,LT14&lt;&gt;"",LV14&gt;=MG$29,LV14&lt;&gt;""),AND(LW14&gt;=MG$25,LW14&lt;&gt;"",LY14&gt;=MG$29,LY14&lt;&gt;""),AND(MA14&gt;=MG$25,MA14&lt;&gt;"",MC14&gt;=MG$29,MC14&lt;&gt;""),AND(MD14&gt;=MG$25,MD14&lt;&gt;"",MF14&gt;=MG$29,MF14&lt;&gt;""),AND(NB14&gt;=NO$25,NB14&lt;&gt;"",ND14&gt;=NO$29,ND14&lt;&gt;""),AND(NE14&gt;=NO$25,NE14&lt;&gt;"",NG14&gt;=NO$29,NG14&lt;&gt;""),AND(NI14&gt;=NO$25,NI14&lt;&gt;"",NK14&gt;=NO$29,NK14&lt;&gt;""),AND(NL14&gt;=NO$25,NL14&lt;&gt;"",NN14&gt;=NO$29,NN14&lt;&gt;""),AND(OJ14&gt;=OW$25,OJ14&lt;&gt;"",OL14&gt;=OW$29,OL14&lt;&gt;""),AND(OM14&gt;=OW$25,OM14&lt;&gt;"",OO14&gt;=OW$29,OO14&lt;&gt;""),AND(OQ14&gt;=OW$25,OQ14&lt;&gt;"",OS14&gt;=OW$29,OS14&lt;&gt;""),AND(OT14&gt;=OW$25,OT14&lt;&gt;"",OV14&gt;=OW$29,OV14&lt;&gt;""),AND(PR14&gt;=QE$25,PR14&lt;&gt;"",PT14&gt;=QE$29,PT14&lt;&gt;""),AND(PU14&gt;=QE$25,PU14&lt;&gt;"",PW14&gt;=QE$29,PW14&lt;&gt;""),AND(PY14&gt;=QE$25,PY14&lt;&gt;"",QA14&gt;=QE$29,QA14&lt;&gt;""),AND(QB14&gt;=QE$25,QB14&lt;&gt;"",QD14&gt;=QE$29,QD14&lt;&gt;""),AND(QZ14&gt;=RM$25,QZ14&lt;&gt;"",RB14&gt;=RM$29,RB14&lt;&gt;""),AND(RC14&gt;=RM$25,RC14&lt;&gt;"",RE14&gt;=RM$29,RE14&lt;&gt;""),AND(RG14&gt;=RM$25,RG14&lt;&gt;"",RI14&gt;=RM$29,RI14&lt;&gt;""),AND(RJ14&gt;=RM$25,RJ14&lt;&gt;"",RL14&gt;=RM$29,RL14&lt;&gt;""),AND(SH14&gt;=SU$25,SH14&lt;&gt;"",SJ14&gt;=SU$29,SJ14&lt;&gt;""),AND(SK14&gt;=SU$25,SK14&lt;&gt;"",SM14&gt;=SU$29,SM14&lt;&gt;""),AND(SO14&gt;=SU$25,SO14&lt;&gt;"",SQ14&gt;=SU$29,SQ14&lt;&gt;""),AND(SR14&gt;=SU$25,SR14&lt;&gt;"",ST14&gt;=SU$29,ST14&lt;&gt;"")),"P","")</f>
        <v/>
      </c>
      <c r="G14" s="3" t="str">
        <f>IF(OR(AND(AQ14&gt;=AY$29,AQ14&lt;&gt;"",AN14=""),AND(AT14&gt;=AY$29,AT14&lt;&gt;"",AN14=""),AND(AX14&gt;=AY$29,AX14&lt;&gt;"",AN14=""),AND(BR14&gt;=BZ$29,BR14&lt;&gt;"",BO14=""),AND(BU14&gt;=BZ$29,BU14&lt;&gt;"",BO14=""),AND(BY14&gt;=BZ$29,BY14&lt;&gt;"",BO14=""),AND(CS14&gt;=DA$29,CS14&lt;&gt;"",CP14=""),AND(CV14&gt;=DA$29,CV14&lt;&gt;"",CP14=""),AND(CZ14&gt;=DA$29,CZ14&lt;&gt;"",CP14=""),AND(DZ14&gt;=EK$29,DZ14&lt;&gt;""),AND(EC14&gt;=EK$29,EC14&lt;&gt;""),AND(EG14&gt;=EK$29,EG14&lt;&gt;""),AND(EJ14&gt;=EK$29,EJ14&lt;&gt;""),AND(FH14&gt;=FS$29,FH14&lt;&gt;""),AND(FK14&gt;=FS$29,FK14&lt;&gt;""),AND(FO14&gt;=FS$29,FO14&lt;&gt;""),AND(FR14&gt;=FS$29,FR14&lt;&gt;""),AND(GP14&gt;=HA$29,GP14&lt;&gt;""),AND(GS14&gt;=HA$29,GS14&lt;&gt;""),AND(GW14&gt;=HA$29,GW14&lt;&gt;""),AND(GZ14&gt;=HA$29,GZ14&lt;&gt;""),AND(HX14&gt;=II$29,HX14&lt;&gt;""),AND(IA14&gt;=II$29,IA14&lt;&gt;""),AND(IE14&gt;=II$29,IE14&lt;&gt;""),AND(IH14&gt;=II$29,IH14&lt;&gt;""),AND(JF14&gt;=JQ$29,JF14&lt;&gt;""),AND(JI14&gt;=JQ$29,JI14&lt;&gt;""),AND(JM14&gt;=JQ$29,JM14&lt;&gt;""),AND(JP14&gt;=JQ$29,JP14&lt;&gt;""),AND(KN14&gt;=KY$29,KN14&lt;&gt;""),AND(KQ14&gt;=KY$29,KQ14&lt;&gt;""),AND(KU14&gt;=KY$29,KU14&lt;&gt;""),AND(KX14&gt;=KY$29,KX14&lt;&gt;""),AND(LV14&gt;=MG$29,LV14&lt;&gt;""),AND(LY14&gt;=MG$29,LY14&lt;&gt;""),AND(MC14&gt;=MG$29,MC14&lt;&gt;""),AND(MF14&gt;=MG$29,MF14&lt;&gt;""),AND(ND14&gt;=NO$29,ND14&lt;&gt;""),AND(NG14&gt;=NO$29,NG14&lt;&gt;""),AND(NK14&gt;=NO$29,NK14&lt;&gt;""),AND(NN14&gt;=NO$29,NN14&lt;&gt;""),AND(OL14&gt;=OW$29,OL14&lt;&gt;""),AND(OO14&gt;=OW$29,OO14&lt;&gt;""),AND(OS14&gt;=OW$29,OS14&lt;&gt;""),AND(OV14&gt;=OW$29,OV14&lt;&gt;""),AND(PT14&gt;=QE$29,PT14&lt;&gt;""),AND(PW14&gt;=QE$29,PW14&lt;&gt;""),AND(QA14&gt;=QE$29,QA14&lt;&gt;""),AND(QD14&gt;=QE$29,QD14&lt;&gt;""),AND(RB14&gt;=RM$29,RB14&lt;&gt;""),AND(RE14&gt;=RM$29,RE14&lt;&gt;""),AND(RI14&gt;=RM$29,RI14&lt;&gt;""),AND(RL14&gt;=RM$29,RL14&lt;&gt;""),AND(SJ14&gt;=SU$29,SJ14&lt;&gt;""),AND(SM14&gt;=SU$29,SM14&lt;&gt;""),AND(SQ14&gt;=SU$29,SQ14&lt;&gt;""),AND(ST14&gt;=SU$29,ST14&lt;&gt;"")),"P","")</f>
        <v/>
      </c>
      <c r="H14" s="70" t="str">
        <f>IF(AND(G14="P",F14=""),"No DD",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),"Merit",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X14&gt;=EK$27,DX14&lt;&gt;"",DZ14&gt;=EK$31,DZ14&lt;&gt;""),AND(EA14&gt;=EK$27,EA14&lt;&gt;"",EC14&gt;=EK$31,EC14&lt;&gt;""),AND(EE14&gt;=EK$27,EE14&lt;&gt;"",EG14&gt;=EK$31,EG14&lt;&gt;""),AND(EH14&gt;=EK$27,EH14&lt;&gt;"",EJ14&gt;=EK$31,EJ14&lt;&gt;""),AND(FF14&gt;=FS$27,FF14&lt;&gt;"",FH14&gt;=FS$31,FH14&lt;&gt;""),AND(FI14&gt;=FS$27,FI14&lt;&gt;"",FK14&gt;=FS$31,FK14&lt;&gt;""),AND(FM14&gt;=FS$27,FM14&lt;&gt;"",FO14&gt;=FS$31,FO14&lt;&gt;""),AND(FP14&gt;=FS$27,FP14&lt;&gt;"",FR14&gt;=FS$31,FR14&lt;&gt;""),AND(GN14&gt;=HA$27,GN14&lt;&gt;"",GP14&gt;=HA$31,GP14&lt;&gt;""),AND(GQ14&gt;=HA$27,GQ14&lt;&gt;"",GS14&gt;=HA$31,GS14&lt;&gt;""),AND(GU14&gt;=HA$27,GU14&lt;&gt;"",GW14&gt;=HA$31,GW14&lt;&gt;""),AND(GX14&gt;=HA$27,GX14&lt;&gt;"",GZ14&gt;=HA$31,GZ14&lt;&gt;""),AND(HV14&gt;=II$27,HV14&lt;&gt;"",HX14&gt;=II$31,HX14&lt;&gt;""),AND(HY14&gt;=II$27,HY14&lt;&gt;"",IA14&gt;=II$31,IA14&lt;&gt;""),AND(IC14&gt;=II$27,IC14&lt;&gt;"",IE14&gt;=II$31,IE14&lt;&gt;""),AND(IF14&gt;=II$27,IF14&lt;&gt;"",IH14&gt;=II$31,IH14&lt;&gt;""),AND(JD14&gt;=JQ$27,JD14&lt;&gt;"",JF14&gt;=JQ$31,JF14&lt;&gt;""),AND(JG14&gt;=JQ$27,JG14&lt;&gt;"",JI14&gt;=JQ$31,JI14&lt;&gt;""),AND(JK14&gt;=JQ$27,JK14&lt;&gt;"",JM14&gt;=JQ$31,JM14&lt;&gt;""),AND(JN14&gt;=JQ$27,JN14&lt;&gt;"",JP14&gt;=JQ$31,JP14&lt;&gt;""),AND(KL14&gt;=KY$27,KL14&lt;&gt;"",KN14&gt;=KY$31,KN14&lt;&gt;""),AND(KO14&gt;=KY$27,KO14&lt;&gt;"",KQ14&gt;=KY$31,KQ14&lt;&gt;""),AND(KS14&gt;=KY$27,KS14&lt;&gt;"",KU14&gt;=KY$31,KU14&lt;&gt;""),AND(KV14&gt;=KY$27,KV14&lt;&gt;"",KX14&gt;=KY$31,KX14&lt;&gt;""),AND(LT14&gt;=MG$27,LT14&lt;&gt;"",LV14&gt;=MG$31,LV14&lt;&gt;""),AND(LW14&gt;=MG$27,LW14&lt;&gt;"",LY14&gt;=MG$31,LY14&lt;&gt;""),AND(MA14&gt;=MG$27,MA14&lt;&gt;"",MC14&gt;=MG$31,MC14&lt;&gt;""),AND(MD14&gt;=MG$27,MD14&lt;&gt;"",MF14&gt;=MG$31,MF14&lt;&gt;""),AND(NB14&gt;=NO$27,NB14&lt;&gt;"",ND14&gt;=NO$31,ND14&lt;&gt;""),AND(NE14&gt;=NO$27,NE14&lt;&gt;"",NG14&gt;=NO$31,NG14&lt;&gt;""),AND(NI14&gt;=NO$27,NI14&lt;&gt;"",NK14&gt;=NO$31,NK14&lt;&gt;""),AND(NL14&gt;=NO$27,NL14&lt;&gt;"",NN14&gt;=NO$31,NN14&lt;&gt;""),AND(OJ14&gt;=OW$27,OJ14&lt;&gt;"",OL14&gt;=OW$31,OL14&lt;&gt;""),AND(OM14&gt;=OW$27,OM14&lt;&gt;"",OO14&gt;=OW$31,OO14&lt;&gt;""),AND(OQ14&gt;=OW$27,OQ14&lt;&gt;"",OS14&gt;=OW$31,OS14&lt;&gt;""),AND(OT14&gt;=OW$27,OT14&lt;&gt;"",OV14&gt;=OW$31,OV14&lt;&gt;""),AND(PR14&gt;=QE$27,PR14&lt;&gt;"",PT14&gt;=QE$31,PT14&lt;&gt;""),AND(PU14&gt;=QE$27,PU14&lt;&gt;"",PW14&gt;=QE$31,PW14&lt;&gt;""),AND(PY14&gt;=QE$27,PY14&lt;&gt;"",QA14&gt;=QE$31,QA14&lt;&gt;""),AND(QB14&gt;=QE$27,QB14&lt;&gt;"",QD14&gt;=QE$31,QD14&lt;&gt;""),AND(QZ14&gt;=RM$27,QZ14&lt;&gt;"",RB14&gt;=RM$31,RB14&lt;&gt;""),AND(RC14&gt;=RM$27,RC14&lt;&gt;"",RE14&gt;=RM$31,RE14&lt;&gt;""),AND(RG14&gt;=RM$27,RG14&lt;&gt;"",RI14&gt;=RM$31,RI14&lt;&gt;""),AND(RJ14&gt;=RM$27,RJ14&lt;&gt;"",RL14&gt;=RM$31,RL14&lt;&gt;""),AND(SH14&gt;=SU$27,SH14&lt;&gt;"",SJ14&gt;=SU$31,SJ14&lt;&gt;""),AND(SK14&gt;=SU$27,SK14&lt;&gt;"",SM14&gt;=SU$31,SM14&lt;&gt;""),AND(SO14&gt;=SU$27,SO14&lt;&gt;"",SQ14&gt;=SU$31,SQ14&lt;&gt;""),AND(SR14&gt;=SU$27,SR14&lt;&gt;"",ST14&gt;=SU$31,ST14&lt;&gt;"")),"Excellence",IF(I14="P","Worlds Team",IF(F14="P","National Team","")))))</f>
        <v/>
      </c>
      <c r="I14" s="3" t="str">
        <f>IF(OR(AND(AO14&gt;=AY$26,AO14&lt;&gt;"",AQ14&gt;=AY$30,AQ14&lt;&gt;"",AN14=""),AND(AR14&gt;=AY$26,AR14&lt;&gt;"",AT14&gt;=AY$30,AT14&lt;&gt;"",AN14=""),AND(AV14&gt;=AY$26,AV14&lt;&gt;"",AX14&gt;=AY$30,AX14&lt;&gt;"",AN14=""),AND(BP14&gt;=BZ$26,BP14&lt;&gt;"",BR14&gt;=BZ$30,BR14&lt;&gt;"",BO14=""),AND(BS14&gt;=BZ$26,BS14&lt;&gt;"",BU14&gt;=BZ$30,BU14&lt;&gt;"",BO14=""),AND(BW14&gt;=BZ$26,BW14&lt;&gt;"",BY14&gt;=BZ$30,BY14&lt;&gt;"",BO14=""),AND(CQ14&gt;=DA$26,CQ14&lt;&gt;"",CS14&gt;=DA$30,CS14&lt;&gt;"",CP14=""),AND(CT14&gt;=DA$26,CT14&lt;&gt;"",CV14&gt;=DA$30,CV14&lt;&gt;"",CP14=""),AND(CX14&gt;=DA$26,CX14&lt;&gt;"",CZ14&gt;=DA$30,CZ14&lt;&gt;"",CP14=""),AND(DX14&gt;=EK$26,DX14&lt;&gt;"",DZ14&gt;=EK$30,DZ14&lt;&gt;""),AND(EA14&gt;=EK$26,EA14&lt;&gt;"",EC14&gt;=EK$30,EC14&lt;&gt;""),AND(EE14&gt;=EK$26,EE14&lt;&gt;"",EG14&gt;=EK$30,EG14&lt;&gt;""),AND(EH14&gt;=EK$26,EH14&lt;&gt;"",EJ14&gt;=EK$30,EJ14&lt;&gt;""),AND(FF14&gt;=FS$26,FF14&lt;&gt;"",FH14&gt;=FS$30,FH14&lt;&gt;""),AND(FI14&gt;=FS$26,FI14&lt;&gt;"",FK14&gt;=FS$30,FK14&lt;&gt;""),AND(FM14&gt;=FS$26,FM14&lt;&gt;"",FO14&gt;=FS$30,FO14&lt;&gt;""),AND(FP14&gt;=FS$26,FP14&lt;&gt;"",FR14&gt;=FS$30,FR14&lt;&gt;""),AND(GN14&gt;=HA$26,GN14&lt;&gt;"",GP14&gt;=HA$30,GP14&lt;&gt;""),AND(GQ14&gt;=HA$26,GQ14&lt;&gt;"",GS14&gt;=HA$30,GS14&lt;&gt;""),AND(GU14&gt;=HA$26,GU14&lt;&gt;"",GW14&gt;=HA$30,GW14&lt;&gt;""),AND(GX14&gt;=HA$26,GX14&lt;&gt;"",GZ14&gt;=HA$30,GZ14&lt;&gt;""),AND(HV14&gt;=II$26,HV14&lt;&gt;"",HX14&gt;=II$30,HX14&lt;&gt;""),AND(HY14&gt;=II$26,HY14&lt;&gt;"",IA14&gt;=II$30,IA14&lt;&gt;""),AND(IC14&gt;=II$26,IC14&lt;&gt;"",IE14&gt;=II$30,IE14&lt;&gt;""),AND(IF14&gt;=II$26,IF14&lt;&gt;"",IH14&gt;=II$30,IH14&lt;&gt;""),AND(JD14&gt;=JQ$26,JD14&lt;&gt;"",JF14&gt;=JQ$30,JF14&lt;&gt;""),AND(JG14&gt;=JQ$26,JG14&lt;&gt;"",JI14&gt;=JQ$30,JI14&lt;&gt;""),AND(JK14&gt;=JQ$26,JK14&lt;&gt;"",JM14&gt;=JQ$30,JM14&lt;&gt;""),AND(JN14&gt;=JQ$26,JN14&lt;&gt;"",JP14&gt;=JQ$30,JP14&lt;&gt;""),AND(KL14&gt;=KY$26,KL14&lt;&gt;"",KN14&gt;=KY$30,KN14&lt;&gt;""),AND(KO14&gt;=KY$26,KO14&lt;&gt;"",KQ14&gt;=KY$30,KQ14&lt;&gt;""),AND(KS14&gt;=KY$26,KS14&lt;&gt;"",KU14&gt;=KY$30,KU14&lt;&gt;""),AND(KV14&gt;=KY$26,KV14&lt;&gt;"",KX14&gt;=KY$30,KX14&lt;&gt;""),AND(LT14&gt;=MG$26,LT14&lt;&gt;"",LV14&gt;=MG$30,LV14&lt;&gt;""),AND(LW14&gt;=MG$26,LW14&lt;&gt;"",LY14&gt;=MG$30,LY14&lt;&gt;""),AND(MA14&gt;=MG$26,MA14&lt;&gt;"",MC14&gt;=MG$30,MC14&lt;&gt;""),AND(MD14&gt;=MG$26,MD14&lt;&gt;"",MF14&gt;=MG$30,MF14&lt;&gt;""),AND(NB14&gt;=NO$26,NB14&lt;&gt;"",ND14&gt;=NO$30,ND14&lt;&gt;""),AND(NE14&gt;=NO$26,NE14&lt;&gt;"",NG14&gt;=NO$30,NG14&lt;&gt;""),AND(NI14&gt;=NO$26,NI14&lt;&gt;"",NK14&gt;=NO$30,NK14&lt;&gt;""),AND(NL14&gt;=NO$26,NL14&lt;&gt;"",NN14&gt;=NO$30,NN14&lt;&gt;""),AND(OJ14&gt;=OW$26,OJ14&lt;&gt;"",OL14&gt;=OW$30,OL14&lt;&gt;""),AND(OM14&gt;=OW$26,OM14&lt;&gt;"",OO14&gt;=OW$30,OO14&lt;&gt;""),AND(OQ14&gt;=OW$26,OQ14&lt;&gt;"",OS14&gt;=OW$30,OS14&lt;&gt;""),AND(OT14&gt;=OW$26,OT14&lt;&gt;"",OV14&gt;=OW$30,OV14&lt;&gt;""),AND(PR14&gt;=QE$26,PR14&lt;&gt;"",PT14&gt;=QE$30,PT14&lt;&gt;""),AND(PU14&gt;=QE$26,PU14&lt;&gt;"",PW14&gt;=QE$30,PW14&lt;&gt;""),AND(PY14&gt;=QE$26,PY14&lt;&gt;"",QA14&gt;=QE$30,QA14&lt;&gt;""),AND(QB14&gt;=QE$26,QB14&lt;&gt;"",QD14&gt;=QE$30,QD14&lt;&gt;""),AND(QZ14&gt;=RM$26,QZ14&lt;&gt;"",RB14&gt;=RM$30,RB14&lt;&gt;""),AND(RC14&gt;=RM$26,RC14&lt;&gt;"",RE14&gt;=RM$30,RE14&lt;&gt;""),AND(RG14&gt;=RM$26,RG14&lt;&gt;"",RI14&gt;=RM$30,RI14&lt;&gt;""),AND(RJ14&gt;=RM$26,RJ14&lt;&gt;"",RL14&gt;=RM$30,RL14&lt;&gt;""),AND(SH14&gt;=SU$26,SH14&lt;&gt;"",SJ14&gt;=SU$30,SJ14&lt;&gt;""),AND(SK14&gt;=SU$26,SK14&lt;&gt;"",SM14&gt;=SU$30,SM14&lt;&gt;""),AND(SO14&gt;=SU$26,SO14&lt;&gt;"",SQ14&gt;=SU$30,SQ14&lt;&gt;""),AND(SR14&gt;=SU$26,SR14&lt;&gt;"",ST14&gt;=SU$30,ST14&lt;&gt;"")),"P","")</f>
        <v/>
      </c>
      <c r="J14" s="13">
        <f>IF(COUNT(AQ14,AT14,BR14,BU14,CS14,CV14)&gt;0,LARGE((AQ14,AT14,BR14,BU14,CS14,CV14),1),0)</f>
        <v>52.464999999999996</v>
      </c>
      <c r="K14" s="13" t="str">
        <f>IF(J14="","",IF(OR(J14=CS14,J14=CV14),$CA$1,IF(OR(J14=BR14,J14=BU14),$AZ$1,IF(OR(J14=AQ14,J14=AT14),$Y$1,""))))</f>
        <v>2022 Elite Canada</v>
      </c>
      <c r="L14" s="13">
        <f>IF(COUNT(AQ14,AT14,BR14,BU14,CS14,CV14)&gt;1,LARGE((AQ14,AT14,BR14,BU14,CS14,CV14),2),0)</f>
        <v>49.515000000000001</v>
      </c>
      <c r="M14" s="13" t="str">
        <f>IF(L14="","",IF(OR(L14=CS14,L14=CV14),$CA$1,IF(OR(L14=BR14,L14=BU14),$AZ$1,IF(OR(L14=AQ14,L14=AT14),$Y$1,""))))</f>
        <v>2021 Elite Canada</v>
      </c>
      <c r="N14" s="13">
        <f>IF(COUNT(AQ14,AT14,BR14,BU14,CS14,CV14)&gt;2,LARGE((AQ14,AT14,BR14,BU14,CS14,CV14),3),0)</f>
        <v>48.969999999999992</v>
      </c>
      <c r="O14" s="13" t="str">
        <f>IF(N14="","",IF(OR(N14=CS14,N14=CV14),$CA$1,IF(OR(N14=BR14,N14=BU14),$AZ$1,IF(OR(N14=AQ14,N14=AT14),$Y$1,""))))</f>
        <v>2022 Elite Canada</v>
      </c>
      <c r="P14" s="13">
        <f>IF(MAX(AX14,BY14,CZ14)&gt;0,MAX(AX14,BY14,CZ14),0)</f>
        <v>52.419999999999995</v>
      </c>
      <c r="Q14" s="13" t="str">
        <f>IF(P14="","",IF(P14=CZ14,$CA$1,IF(P14=BY14,$AZ$1,IF(P14=AX14,$Y$1,""))))</f>
        <v>2021 Elite Canada</v>
      </c>
      <c r="R14" s="13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13.8</v>
      </c>
      <c r="S14" s="13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2022 Elite Canada</v>
      </c>
      <c r="T14" s="13">
        <f>IF(MAX(IF(AO14&gt;=$AY$25,AP14,0),IF(AR14&gt;=$AY$25,AS14,0),IF(AV14&gt;=$AY$25,AW14,0),IF(BP14&gt;=$BZ$25,BQ14,0),IF(BS14&gt;=$BZ$25,BT14,0),IF(BW14&gt;=$BZ$25,BX14,0),IF(CQ14&gt;=$DA$25,CR14,0),IF(CT14&gt;=$DA$25,CU14,0),IF(CX14&gt;=$DA$25,CY14,0))&gt;0,MAX(IF(AO14&gt;=$AY$25,AP14,0),IF(AR14&gt;=$AY$25,AS14,0),IF(AV14&gt;=$AY$25,AW14,0),IF(BP14&gt;=$BZ$25,BQ14,0),IF(BS14&gt;=$BZ$25,BT14,0),IF(BW14&gt;=$BZ$25,BX14,0),IF(CQ14&gt;=$DA$25,CR14,0),IF(CT14&gt;=$DA$25,CU14,0),IF(CX14&gt;=$DA$25,CY14,0),IF(DX14&gt;=$EK$25,DY14,0),IF(EA14&gt;=$EK$25,EB14,0),IF(EE14&gt;=$EK$25,EF14,0),IF(EH14&gt;=$EK$25,EI14,0),IF(FF14&gt;=$FS$25,FG14,0),IF(FI14&gt;=$FS$25,FJ14,0),IF(FM14&gt;=$FS$25,FN14,0),IF(FP14&gt;=$FS$25,FQ14,0),IF(GN14&gt;=$HA$25,GO14,0),IF(GQ14&gt;=$HA$25,GR14,0),IF(GU14&gt;=$HA$25,GV14,0),IF(GX14&gt;=$HA$25,GY14,0),IF(HV14&gt;=$II$25,HW14,0),IF(HY14&gt;=$II$25,HZ14,0),IF(IC14&gt;=$II$25,ID14,0),IF(IF14&gt;=$II$25,IG14,0),IF(JD14&gt;=$JQ$25,JE14,0),IF(JG14&gt;=$JQ$25,JH14,0),IF(JK14&gt;=$JQ$25,JL14,0),IF(JN14&gt;=$JQ$25,JO14,0),IF(KL14&gt;=$KY$25,KM14,0),IF(KO14&gt;=$KY$25,KP14,0),IF(KS14&gt;=$KY$25,KT14,0),IF(KV14&gt;=$KY$25,KW14,0),IF(LT14&gt;=$MG$25,LU14,0),IF(LW14&gt;=$MG$25,LX14,0),IF(MA14&gt;=$MG$25,MB14,0),IF(MD14&gt;=$MG$25,ME14,0),IF(NB14&gt;=$NO$25,NC14,0),IF(NE14&gt;=$NO$25,NF14,0),IF(NI14&gt;=$NO$25,NJ14,0),IF(NL14&gt;=$NO$25,NM14,0),IF(OJ14&gt;=$OW$25,OK14,0),IF(OM14&gt;=$OW$25,ON14,0),IF(OQ14&gt;=$OW$25,OR14,0),IF(OT14&gt;=$OW$25,OU14,0),IF(PR14&gt;=$QE$25,PS14,0),IF(PU14&gt;=$QE$25,PV14,0),IF(PY14&gt;=$QE$25,PZ14,0),IF(QB14&gt;=$QE$25,QC14,0),IF(QZ14&gt;=$RM$25,RA14,0),IF(RC14&gt;=$RM$25,RD14,0),IF(RG14&gt;=$RM$25,RH14,0),IF(RJ14&gt;=$RM$25,RK14,0),IF(SH14&gt;=$SU$25,SI14,0),IF(SK14&gt;=$SU$25,SL14,0),IF(SO14&gt;=$SU$25,SP14,0),IF(SR14&gt;=$SU$25,SS14,0)),0)</f>
        <v>0</v>
      </c>
      <c r="U14" s="13" t="str">
        <f>IF(T14=0,"",IF(OR(T14=CR14,T14=CU14,T14=CY14),$CA$1,IF(OR(T14=BQ14,T14=BT14,T14=BX14),$AZ$1,IF(OR(T14=AP14,T14=AS14,T14=AW14),$Y$1,IF(OR(R14=SI14,R14=SL14,R14=SP14,R14=SS14),$RN$1,IF(OR(R14=RA14,R14=RD14,R14=RH14,R14=RK14),$QF$1,IF(OR(R14=PS14,R14=PV14,R14=PZ14,R14=QC14),$OX$1,IF(OR(R14=OK14,R14=ON14,R14=OR14,R14=OU14),$NP$1,IF(OR(R14=NC14,R14=NF14,R14=NJ14,R14=NM14),$MH$1,IF(OR(R14=LU14,R14=LX14,R14=MB14,R14=ME14),$KZ$1,IF(OR(R14=KM14,R14=KP14,R14=KT14,R14=KW14),$JR$1,IF(OR(R14=JE14,R14=JH14,R14=JL14,R14=JO14),$IJ$1,IF(OR(R14=HW14,R14=HZ14,R14=ID14,R14=IG14),$HB$1,IF(OR(R14=GO14,R14=GR14,R14=GV14,R14=GY14),$FT$1,IF(OR(R14=FG14,R14=FJ14,R14=FN14,R14=FQ14),$EL$1,IF(OR(R14=DY14,R14=EB14,R14=EF14,R14=EI14),$DD$1,""))))))))))))))))</f>
        <v/>
      </c>
      <c r="V14" s="13" t="str">
        <f>IF(MAX(DB14,DC14)&gt;0,MAX(DB14,DC14),"")</f>
        <v/>
      </c>
      <c r="W14" s="16" t="str">
        <f>IF(V14="","",IF(V14=DB14,"("&amp;DB$2&amp;")",IF(V14=DC14,"("&amp;DC$2&amp;")")))</f>
        <v/>
      </c>
      <c r="X14" s="13" t="str">
        <f>IF(V14="","",IF(V14=DB14,IF(V14+IF(L14="",0,L14)=SN14,$RN$1,IF(V14+IF(L14="",0,L14)=RF14,$QF$1,IF(V14+IF(L14="",0,L14)=PX14,$OX$1,IF(V14+IF(L14="",0,L14)=OP14,$NP$1,IF(V14+IF(L14="",0,L14)=NH14,$MH$1,IF(V14+IF(L14="",0,L14)=LZ14,$KZ$1,IF(V14+IF(L14="",0,L14)=KR14,$JR$1,IF(V14+IF(L14="",0,L14)=JJ14,$IJ$1,IF(V14+IF(L14="",0,L14)=IB14,$HB$1,IF(V14+IF(L14="",0,L14)=GT14,$FT$1,IF(V14+IF(L14="",0,L14)=FL14,$EL$1,IF(V14+IF(L14="",0,L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$1)))))))))))))))</f>
        <v/>
      </c>
      <c r="Y14" s="42">
        <v>13.8</v>
      </c>
      <c r="Z14" s="42">
        <v>8.6999999999999993</v>
      </c>
      <c r="AA14" s="42">
        <v>11.8</v>
      </c>
      <c r="AB14" s="42">
        <v>15.215</v>
      </c>
      <c r="AC14" s="42">
        <v>0</v>
      </c>
      <c r="AD14" s="42">
        <v>10.6</v>
      </c>
      <c r="AE14" s="42">
        <v>6.5</v>
      </c>
      <c r="AF14" s="42">
        <v>9.1999999999999993</v>
      </c>
      <c r="AG14" s="42">
        <v>10.7</v>
      </c>
      <c r="AH14" s="42">
        <v>0</v>
      </c>
      <c r="AI14" s="42">
        <v>14.5</v>
      </c>
      <c r="AJ14" s="42">
        <v>9</v>
      </c>
      <c r="AK14" s="42">
        <v>13.3</v>
      </c>
      <c r="AL14" s="42">
        <v>15.62</v>
      </c>
      <c r="AM14" s="42">
        <v>0</v>
      </c>
      <c r="AN14" s="51"/>
      <c r="AO14" s="74">
        <f>IF(AA14&gt;0,AA14,"")</f>
        <v>11.8</v>
      </c>
      <c r="AP14" s="74">
        <f>IF(AB14&gt;0,AB14,"")</f>
        <v>15.215</v>
      </c>
      <c r="AQ14" s="76">
        <f>IF(SUM(Y14:AB14)-AC14&gt;0,SUM(Y14:AB14)-AC14,"")</f>
        <v>49.515000000000001</v>
      </c>
      <c r="AR14" s="76">
        <f>IF(AF14&gt;0,AF14,"")</f>
        <v>9.1999999999999993</v>
      </c>
      <c r="AS14" s="76">
        <f>IF(AG14&gt;0,AG14,"")</f>
        <v>10.7</v>
      </c>
      <c r="AT14" s="76">
        <f>IF(SUM(AD14:AG14)-AH14&gt;0,SUM(AD14:AG14)-AH14,"")</f>
        <v>37</v>
      </c>
      <c r="AU14" s="76">
        <f>IF(AQ14="","",MAX(AQ14,AT14))</f>
        <v>49.515000000000001</v>
      </c>
      <c r="AV14" s="76">
        <f>IF(AK14&gt;0,AK14,"")</f>
        <v>13.3</v>
      </c>
      <c r="AW14" s="76">
        <f>IF(AL14&gt;0,AL14,"")</f>
        <v>15.62</v>
      </c>
      <c r="AX14" s="76">
        <f>IF(SUM(AI14:AL14)-AM14&gt;0,SUM(AI14:AL14)-AM14,"")</f>
        <v>52.419999999999995</v>
      </c>
      <c r="AY14" s="76">
        <f>IF(SUM(AU14,AX14)&gt;0,SUM(AU14,AX14),"")</f>
        <v>101.935</v>
      </c>
      <c r="AZ14" s="46">
        <v>4.0999999999999996</v>
      </c>
      <c r="BA14" s="46">
        <v>2.8</v>
      </c>
      <c r="BB14" s="46">
        <v>4.5999999999999996</v>
      </c>
      <c r="BC14" s="46">
        <v>4.8250000000000002</v>
      </c>
      <c r="BD14" s="46">
        <v>0</v>
      </c>
      <c r="BE14" s="46">
        <v>2.7</v>
      </c>
      <c r="BF14" s="46">
        <v>1.9</v>
      </c>
      <c r="BG14" s="46">
        <v>3.1</v>
      </c>
      <c r="BH14" s="46">
        <v>3.28</v>
      </c>
      <c r="BI14" s="46">
        <v>0</v>
      </c>
      <c r="BJ14" s="46"/>
      <c r="BK14" s="46"/>
      <c r="BL14" s="46"/>
      <c r="BM14" s="46"/>
      <c r="BN14" s="46"/>
      <c r="BO14" s="52"/>
      <c r="BP14" s="75">
        <f>IF(BB14&gt;0,BB14,"")</f>
        <v>4.5999999999999996</v>
      </c>
      <c r="BQ14" s="75">
        <f>IF(BC14&gt;0,BC14,"")</f>
        <v>4.8250000000000002</v>
      </c>
      <c r="BR14" s="16">
        <f>IF(SUM(AZ14:BC14)-BD14&gt;0,SUM(AZ14:BC14)-BD14,"")</f>
        <v>16.324999999999999</v>
      </c>
      <c r="BS14" s="16">
        <f>IF(BG14&gt;0,BG14,"")</f>
        <v>3.1</v>
      </c>
      <c r="BT14" s="16">
        <f>IF(BH14&gt;0,BH14,"")</f>
        <v>3.28</v>
      </c>
      <c r="BU14" s="16">
        <f>IF(SUM(BE14:BH14)-BI14&gt;0,SUM(BE14:BH14)-BI14,"")</f>
        <v>10.979999999999999</v>
      </c>
      <c r="BV14" s="16">
        <f>IF(BR14="","",MAX(BR14,BU14))</f>
        <v>16.324999999999999</v>
      </c>
      <c r="BW14" s="16" t="str">
        <f>IF(BL14&gt;0,BL14,"")</f>
        <v/>
      </c>
      <c r="BX14" s="16" t="str">
        <f>IF(BM14&gt;0,BM14,"")</f>
        <v/>
      </c>
      <c r="BY14" s="16" t="str">
        <f>IF(SUM(BJ14:BM14)-BN14&gt;0,SUM(BJ14:BM14)-BN14,"")</f>
        <v/>
      </c>
      <c r="BZ14" s="16">
        <f>IF(SUM(BV14,BY14)&gt;0,SUM(BV14,BY14),"")</f>
        <v>16.324999999999999</v>
      </c>
      <c r="CA14" s="42">
        <v>12.1</v>
      </c>
      <c r="CB14" s="42">
        <v>9.1999999999999993</v>
      </c>
      <c r="CC14" s="42">
        <v>12.8</v>
      </c>
      <c r="CD14" s="42">
        <v>15.57</v>
      </c>
      <c r="CE14" s="42">
        <v>0.7</v>
      </c>
      <c r="CF14" s="42">
        <v>14.4</v>
      </c>
      <c r="CG14" s="42">
        <v>8.9</v>
      </c>
      <c r="CH14" s="42">
        <v>13.8</v>
      </c>
      <c r="CI14" s="42">
        <v>15.565</v>
      </c>
      <c r="CJ14" s="42">
        <v>0.2</v>
      </c>
      <c r="CK14" s="42">
        <v>2.9</v>
      </c>
      <c r="CL14" s="42">
        <v>1.7</v>
      </c>
      <c r="CM14" s="42">
        <v>3.4</v>
      </c>
      <c r="CN14" s="42">
        <v>3.33</v>
      </c>
      <c r="CO14" s="42">
        <v>0</v>
      </c>
      <c r="CP14" s="51"/>
      <c r="CQ14" s="74">
        <f>IF(CC14&gt;0,CC14,"")</f>
        <v>12.8</v>
      </c>
      <c r="CR14" s="74">
        <f>IF(CD14&gt;0,CD14,"")</f>
        <v>15.57</v>
      </c>
      <c r="CS14" s="76">
        <f>IF(SUM(CA14:CD14)-CE14&gt;0,SUM(CA14:CD14)-CE14,"")</f>
        <v>48.969999999999992</v>
      </c>
      <c r="CT14" s="76">
        <f>IF(CH14&gt;0,CH14,"")</f>
        <v>13.8</v>
      </c>
      <c r="CU14" s="76">
        <f>IF(CI14&gt;0,CI14,"")</f>
        <v>15.565</v>
      </c>
      <c r="CV14" s="76">
        <f>IF(SUM(CF14:CI14)-CJ14&gt;0,SUM(CF14:CI14)-CJ14,"")</f>
        <v>52.464999999999996</v>
      </c>
      <c r="CW14" s="76">
        <f>IF(CS14="","",MAX(CS14,CV14))</f>
        <v>52.464999999999996</v>
      </c>
      <c r="CX14" s="76">
        <f>IF(CM14&gt;0,CM14,"")</f>
        <v>3.4</v>
      </c>
      <c r="CY14" s="76">
        <f>IF(CN14&gt;0,CN14,"")</f>
        <v>3.33</v>
      </c>
      <c r="CZ14" s="76">
        <f>IF(SUM(CK14:CN14)-CO14&gt;0,SUM(CK14:CN14)-CO14,"")</f>
        <v>11.33</v>
      </c>
      <c r="DA14" s="76">
        <f>IF(SUM(CW14,CZ14)&gt;0,SUM(CW14,CZ14),"")</f>
        <v>63.794999999999995</v>
      </c>
      <c r="DB14" s="87" t="str">
        <f>IF(L14&gt;=0.001,IF(MAX(ED14,FL14,GT14,IB14,JJ14,KR14,LZ14,NH14,OP14,PX14,RF14,SN14)-IF(L14="",0,L14)&gt;0.001,MAX(ED14,FL14,GT14,IB14,JJ14,KR14,LZ14,NH14,OP14,PX14,RF14,SN14)-IF(L14="",0,L14),""),"")</f>
        <v/>
      </c>
      <c r="DC14" s="87" t="str">
        <f>IF(P14&gt;=0.001,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,"")</f>
        <v/>
      </c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76" t="str">
        <f>IF(DF14&gt;0,DF14,"")</f>
        <v/>
      </c>
      <c r="DY14" s="76" t="str">
        <f>IF(DG14&gt;0,DG14,"")</f>
        <v/>
      </c>
      <c r="DZ14" s="76" t="str">
        <f>IF(SUM(DD14:DG14)-DH14&gt;0,SUM(DD14:DG14)-DH14,"")</f>
        <v/>
      </c>
      <c r="EA14" s="76" t="str">
        <f>IF(DK14&gt;0,DK14,"")</f>
        <v/>
      </c>
      <c r="EB14" s="76" t="str">
        <f>IF(DL14&gt;0,DL14,"")</f>
        <v/>
      </c>
      <c r="EC14" s="76" t="str">
        <f>IF(SUM(DI14:DL14)-DM14&gt;0,SUM(DI14:DL14)-DM14,"")</f>
        <v/>
      </c>
      <c r="ED14" s="76" t="str">
        <f>IF(MAX(DZ14,EC14)&gt;0,MAX(DZ14,EC14),"")</f>
        <v/>
      </c>
      <c r="EE14" s="76" t="str">
        <f>IF(DP14&gt;0,DP14,"")</f>
        <v/>
      </c>
      <c r="EF14" s="76" t="str">
        <f>IF(DQ14&gt;0,DQ14,"")</f>
        <v/>
      </c>
      <c r="EG14" s="76" t="str">
        <f>IF(SUM(DN14:DQ14)-DR14&gt;0,SUM(DN14:DQ14)-DR14,"")</f>
        <v/>
      </c>
      <c r="EH14" s="76" t="str">
        <f>IF(DU14&gt;0,DU14,"")</f>
        <v/>
      </c>
      <c r="EI14" s="76" t="str">
        <f>IF(DV14&gt;0,DV14,"")</f>
        <v/>
      </c>
      <c r="EJ14" s="76" t="str">
        <f>IF(SUM(DS14:DV14)-DW14&gt;0,SUM(DS14:DV14)-DW14,"")</f>
        <v/>
      </c>
      <c r="EK14" s="76" t="str">
        <f>IF(SUM(ED14,EJ14)&gt;0,SUM(ED14,EJ14),"")</f>
        <v/>
      </c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16" t="str">
        <f>IF(EN14&gt;0,EN14,"")</f>
        <v/>
      </c>
      <c r="FG14" s="16" t="str">
        <f>IF(EO14&gt;0,EO14,"")</f>
        <v/>
      </c>
      <c r="FH14" s="16" t="str">
        <f>IF(SUM(EL14:EO14)-EP14&gt;0,SUM(EL14:EO14)-EP14,"")</f>
        <v/>
      </c>
      <c r="FI14" s="16" t="str">
        <f>IF(ES14&gt;0,ES14,"")</f>
        <v/>
      </c>
      <c r="FJ14" s="16" t="str">
        <f>IF(ET14&gt;0,ET14,"")</f>
        <v/>
      </c>
      <c r="FK14" s="16" t="str">
        <f>IF(SUM(EQ14:ET14)-EU14&gt;0,SUM(EQ14:ET14)-EU14,"")</f>
        <v/>
      </c>
      <c r="FL14" s="16" t="str">
        <f>IF(MAX(FH14,FK14)&gt;0,MAX(FH14,FK14),"")</f>
        <v/>
      </c>
      <c r="FM14" s="16" t="str">
        <f>IF(EX14&gt;0,EX14,"")</f>
        <v/>
      </c>
      <c r="FN14" s="16" t="str">
        <f>IF(EY14&gt;0,EY14,"")</f>
        <v/>
      </c>
      <c r="FO14" s="16" t="str">
        <f>IF(SUM(EV14:EY14)-EZ14&gt;0,SUM(EV14:EY14)-EZ14,"")</f>
        <v/>
      </c>
      <c r="FP14" s="16" t="str">
        <f>IF(FC14&gt;0,FC14,"")</f>
        <v/>
      </c>
      <c r="FQ14" s="16" t="str">
        <f>IF(FD14&gt;0,FD14,"")</f>
        <v/>
      </c>
      <c r="FR14" s="16" t="str">
        <f>IF(SUM(FA14:FD14)-FE14&gt;0,SUM(FA14:FD14)-FE14,"")</f>
        <v/>
      </c>
      <c r="FS14" s="16" t="str">
        <f>IF(SUM(FL14,FR14)&gt;0,SUM(FL14,FR14),"")</f>
        <v/>
      </c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76" t="str">
        <f>IF(FV14&gt;0,FV14,"")</f>
        <v/>
      </c>
      <c r="GO14" s="76" t="str">
        <f>IF(FW14&gt;0,FW14,"")</f>
        <v/>
      </c>
      <c r="GP14" s="76" t="str">
        <f>IF(SUM(FT14:FW14)-FX14&gt;0,SUM(FT14:FW14)-FX14,"")</f>
        <v/>
      </c>
      <c r="GQ14" s="76" t="str">
        <f>IF(GA14&gt;0,GA14,"")</f>
        <v/>
      </c>
      <c r="GR14" s="76" t="str">
        <f>IF(GB14&gt;0,GB14,"")</f>
        <v/>
      </c>
      <c r="GS14" s="76" t="str">
        <f>IF(SUM(FY14:GB14)-GC14&gt;0,SUM(FY14:GB14)-GC14,"")</f>
        <v/>
      </c>
      <c r="GT14" s="76" t="str">
        <f>IF(MAX(GP14,GS14)&gt;0,MAX(GP14,GS14),"")</f>
        <v/>
      </c>
      <c r="GU14" s="76" t="str">
        <f>IF(GF14&gt;0,GF14,"")</f>
        <v/>
      </c>
      <c r="GV14" s="76" t="str">
        <f>IF(GG14&gt;0,GG14,"")</f>
        <v/>
      </c>
      <c r="GW14" s="76" t="str">
        <f>IF(SUM(GD14:GG14)-GH14&gt;0,SUM(GD14:GG14)-GH14,"")</f>
        <v/>
      </c>
      <c r="GX14" s="76" t="str">
        <f>IF(GK14&gt;0,GK14,"")</f>
        <v/>
      </c>
      <c r="GY14" s="76" t="str">
        <f>IF(GL14&gt;0,GL14,"")</f>
        <v/>
      </c>
      <c r="GZ14" s="76" t="str">
        <f>IF(SUM(GI14:GL14)-GM14&gt;0,SUM(GI14:GL14)-GM14,"")</f>
        <v/>
      </c>
      <c r="HA14" s="76" t="str">
        <f>IF(SUM(GT14,GZ14)&gt;0,SUM(GT14,GZ14),"")</f>
        <v/>
      </c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16" t="str">
        <f>IF(HD14&gt;0,HD14,"")</f>
        <v/>
      </c>
      <c r="HW14" s="16" t="str">
        <f>IF(HE14&gt;0,HE14,"")</f>
        <v/>
      </c>
      <c r="HX14" s="16" t="str">
        <f>IF(SUM(HB14:HE14)-HF14&gt;0,SUM(HB14:HE14)-HF14,"")</f>
        <v/>
      </c>
      <c r="HY14" s="16" t="str">
        <f>IF(HI14&gt;0,HI14,"")</f>
        <v/>
      </c>
      <c r="HZ14" s="16" t="str">
        <f>IF(HJ14&gt;0,HJ14,"")</f>
        <v/>
      </c>
      <c r="IA14" s="16" t="str">
        <f>IF(SUM(HG14:HJ14)-HK14&gt;0,SUM(HG14:HJ14)-HK14,"")</f>
        <v/>
      </c>
      <c r="IB14" s="16" t="str">
        <f>IF(MAX(HX14,IA14)&gt;0,MAX(HX14,IA14),"")</f>
        <v/>
      </c>
      <c r="IC14" s="16" t="str">
        <f>IF(HN14&gt;0,HN14,"")</f>
        <v/>
      </c>
      <c r="ID14" s="16" t="str">
        <f>IF(HO14&gt;0,HO14,"")</f>
        <v/>
      </c>
      <c r="IE14" s="16" t="str">
        <f>IF(SUM(HL14:HO14)-HP14&gt;0,SUM(HL14:HO14)-HP14,"")</f>
        <v/>
      </c>
      <c r="IF14" s="16" t="str">
        <f>IF(HS14&gt;0,HS14,"")</f>
        <v/>
      </c>
      <c r="IG14" s="16" t="str">
        <f>IF(HT14&gt;0,HT14,"")</f>
        <v/>
      </c>
      <c r="IH14" s="16" t="str">
        <f>IF(SUM(HQ14:HT14)-HU14&gt;0,SUM(HQ14:HT14)-HU14,"")</f>
        <v/>
      </c>
      <c r="II14" s="16" t="str">
        <f>IF(SUM(IB14,IH14)&gt;0,SUM(IB14,IH14),"")</f>
        <v/>
      </c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76" t="str">
        <f>IF(IL14&gt;0,IL14,"")</f>
        <v/>
      </c>
      <c r="JE14" s="76" t="str">
        <f>IF(IM14&gt;0,IM14,"")</f>
        <v/>
      </c>
      <c r="JF14" s="76" t="str">
        <f>IF(SUM(IJ14:IM14)-IN14&gt;0,SUM(IJ14:IM14)-IN14,"")</f>
        <v/>
      </c>
      <c r="JG14" s="76" t="str">
        <f>IF(IQ14&gt;0,IQ14,"")</f>
        <v/>
      </c>
      <c r="JH14" s="76" t="str">
        <f>IF(IR14&gt;0,IR14,"")</f>
        <v/>
      </c>
      <c r="JI14" s="76" t="str">
        <f>IF(SUM(IO14:IR14)-IS14&gt;0,SUM(IO14:IR14)-IS14,"")</f>
        <v/>
      </c>
      <c r="JJ14" s="76" t="str">
        <f>IF(MAX(JF14,JI14)&gt;0,MAX(JF14,JI14),"")</f>
        <v/>
      </c>
      <c r="JK14" s="76" t="str">
        <f>IF(IV14&gt;0,IV14,"")</f>
        <v/>
      </c>
      <c r="JL14" s="76" t="str">
        <f>IF(IW14&gt;0,IW14,"")</f>
        <v/>
      </c>
      <c r="JM14" s="76" t="str">
        <f>IF(SUM(IT14:IW14)-IX14&gt;0,SUM(IT14:IW14)-IX14,"")</f>
        <v/>
      </c>
      <c r="JN14" s="76" t="str">
        <f>IF(JA14&gt;0,JA14,"")</f>
        <v/>
      </c>
      <c r="JO14" s="76" t="str">
        <f>IF(JB14&gt;0,JB14,"")</f>
        <v/>
      </c>
      <c r="JP14" s="76" t="str">
        <f>IF(SUM(IY14:JB14)-JC14&gt;0,SUM(IY14:JB14)-JC14,"")</f>
        <v/>
      </c>
      <c r="JQ14" s="76" t="str">
        <f>IF(SUM(JJ14,JP14)&gt;0,SUM(JJ14,JP14),"")</f>
        <v/>
      </c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16" t="str">
        <f>IF(JT14&gt;0,JT14,"")</f>
        <v/>
      </c>
      <c r="KM14" s="16" t="str">
        <f>IF(JU14&gt;0,JU14,"")</f>
        <v/>
      </c>
      <c r="KN14" s="16" t="str">
        <f>IF(SUM(JR14:JU14)-JV14&gt;0,SUM(JR14:JU14)-JV14,"")</f>
        <v/>
      </c>
      <c r="KO14" s="16" t="str">
        <f>IF(JY14&gt;0,JY14,"")</f>
        <v/>
      </c>
      <c r="KP14" s="16" t="str">
        <f>IF(JZ14&gt;0,JZ14,"")</f>
        <v/>
      </c>
      <c r="KQ14" s="16" t="str">
        <f>IF(SUM(JW14:JZ14)-KA14&gt;0,SUM(JW14:JZ14)-KA14,"")</f>
        <v/>
      </c>
      <c r="KR14" s="16" t="str">
        <f>IF(MAX(KN14,KQ14)&gt;0,MAX(KN14,KQ14),"")</f>
        <v/>
      </c>
      <c r="KS14" s="16" t="str">
        <f>IF(KD14&gt;0,KD14,"")</f>
        <v/>
      </c>
      <c r="KT14" s="16" t="str">
        <f>IF(KE14&gt;0,KE14,"")</f>
        <v/>
      </c>
      <c r="KU14" s="16" t="str">
        <f>IF(SUM(KB14:KE14)-KF14&gt;0,SUM(KB14:KE14)-KF14,"")</f>
        <v/>
      </c>
      <c r="KV14" s="16" t="str">
        <f>IF(KI14&gt;0,KI14,"")</f>
        <v/>
      </c>
      <c r="KW14" s="16" t="str">
        <f>IF(KJ14&gt;0,KJ14,"")</f>
        <v/>
      </c>
      <c r="KX14" s="16" t="str">
        <f>IF(SUM(KG14:KJ14)-KK14&gt;0,SUM(KG14:KJ14)-KK14,"")</f>
        <v/>
      </c>
      <c r="KY14" s="16" t="str">
        <f>IF(SUM(KR14,KX14)&gt;0,SUM(KR14,KX14),"")</f>
        <v/>
      </c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76" t="str">
        <f>IF(LB14&gt;0,LB14,"")</f>
        <v/>
      </c>
      <c r="LU14" s="76" t="str">
        <f>IF(LC14&gt;0,LC14,"")</f>
        <v/>
      </c>
      <c r="LV14" s="76" t="str">
        <f>IF(SUM(KZ14:LC14)-LD14&gt;0,SUM(KZ14:LC14)-LD14,"")</f>
        <v/>
      </c>
      <c r="LW14" s="76" t="str">
        <f>IF(LG14&gt;0,LG14,"")</f>
        <v/>
      </c>
      <c r="LX14" s="76" t="str">
        <f>IF(LH14&gt;0,LH14,"")</f>
        <v/>
      </c>
      <c r="LY14" s="76" t="str">
        <f>IF(SUM(LE14:LH14)-LI14&gt;0,SUM(LE14:LH14)-LI14,"")</f>
        <v/>
      </c>
      <c r="LZ14" s="76" t="str">
        <f>IF(MAX(LV14,LY14)&gt;0,MAX(LV14,LY14),"")</f>
        <v/>
      </c>
      <c r="MA14" s="76" t="str">
        <f>IF(LL14&gt;0,LL14,"")</f>
        <v/>
      </c>
      <c r="MB14" s="76" t="str">
        <f>IF(LM14&gt;0,LM14,"")</f>
        <v/>
      </c>
      <c r="MC14" s="76" t="str">
        <f>IF(SUM(LJ14:LM14)-LN14&gt;0,SUM(LJ14:LM14)-LN14,"")</f>
        <v/>
      </c>
      <c r="MD14" s="76" t="str">
        <f>IF(LQ14&gt;0,LQ14,"")</f>
        <v/>
      </c>
      <c r="ME14" s="76" t="str">
        <f>IF(LR14&gt;0,LR14,"")</f>
        <v/>
      </c>
      <c r="MF14" s="76" t="str">
        <f>IF(SUM(LO14:LR14)-LS14&gt;0,SUM(LO14:LR14)-LS14,"")</f>
        <v/>
      </c>
      <c r="MG14" s="76" t="str">
        <f>IF(SUM(LZ14,MF14)&gt;0,SUM(LZ14,MF14),"")</f>
        <v/>
      </c>
      <c r="MH14" s="26"/>
      <c r="MI14" s="26"/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16" t="str">
        <f>IF(MJ14&gt;0,MJ14,"")</f>
        <v/>
      </c>
      <c r="NC14" s="16" t="str">
        <f>IF(MK14&gt;0,MK14,"")</f>
        <v/>
      </c>
      <c r="ND14" s="16" t="str">
        <f>IF(SUM(MH14:MK14)-ML14&gt;0,SUM(MH14:MK14)-ML14,"")</f>
        <v/>
      </c>
      <c r="NE14" s="16" t="str">
        <f>IF(MO14&gt;0,MO14,"")</f>
        <v/>
      </c>
      <c r="NF14" s="16" t="str">
        <f>IF(MP14&gt;0,MP14,"")</f>
        <v/>
      </c>
      <c r="NG14" s="16" t="str">
        <f>IF(SUM(MM14:MP14)-MQ14&gt;0,SUM(MM14:MP14)-MQ14,"")</f>
        <v/>
      </c>
      <c r="NH14" s="16" t="str">
        <f>IF(MAX(ND14,NG14)&gt;0,MAX(ND14,NG14),"")</f>
        <v/>
      </c>
      <c r="NI14" s="16" t="str">
        <f>IF(MT14&gt;0,MT14,"")</f>
        <v/>
      </c>
      <c r="NJ14" s="16" t="str">
        <f>IF(MU14&gt;0,MU14,"")</f>
        <v/>
      </c>
      <c r="NK14" s="16" t="str">
        <f>IF(SUM(MR14:MU14)-MV14&gt;0,SUM(MR14:MU14)-MV14,"")</f>
        <v/>
      </c>
      <c r="NL14" s="16" t="str">
        <f>IF(MY14&gt;0,MY14,"")</f>
        <v/>
      </c>
      <c r="NM14" s="16" t="str">
        <f>IF(MZ14&gt;0,MZ14,"")</f>
        <v/>
      </c>
      <c r="NN14" s="16" t="str">
        <f>IF(SUM(MW14:MZ14)-NA14&gt;0,SUM(MW14:MZ14)-NA14,"")</f>
        <v/>
      </c>
      <c r="NO14" s="16" t="str">
        <f>IF(SUM(NH14,NN14)&gt;0,SUM(NH14,NN14),"")</f>
        <v/>
      </c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76" t="str">
        <f>IF(NR14&gt;0,NR14,"")</f>
        <v/>
      </c>
      <c r="OK14" s="76" t="str">
        <f>IF(NS14&gt;0,NS14,"")</f>
        <v/>
      </c>
      <c r="OL14" s="76" t="str">
        <f>IF(SUM(NP14:NS14)-NT14&gt;0,SUM(NP14:NS14)-NT14,"")</f>
        <v/>
      </c>
      <c r="OM14" s="76" t="str">
        <f>IF(NW14&gt;0,NW14,"")</f>
        <v/>
      </c>
      <c r="ON14" s="76" t="str">
        <f>IF(NX14&gt;0,NX14,"")</f>
        <v/>
      </c>
      <c r="OO14" s="76" t="str">
        <f>IF(SUM(NU14:NX14)-NY14&gt;0,SUM(NU14:NX14)-NY14,"")</f>
        <v/>
      </c>
      <c r="OP14" s="76" t="str">
        <f>IF(MAX(OL14,OO14)&gt;0,MAX(OL14,OO14),"")</f>
        <v/>
      </c>
      <c r="OQ14" s="76" t="str">
        <f>IF(OB14&gt;0,OB14,"")</f>
        <v/>
      </c>
      <c r="OR14" s="76" t="str">
        <f>IF(OC14&gt;0,OC14,"")</f>
        <v/>
      </c>
      <c r="OS14" s="76" t="str">
        <f>IF(SUM(NZ14:OC14)-OD14&gt;0,SUM(NZ14:OC14)-OD14,"")</f>
        <v/>
      </c>
      <c r="OT14" s="76" t="str">
        <f>IF(OG14&gt;0,OG14,"")</f>
        <v/>
      </c>
      <c r="OU14" s="76" t="str">
        <f>IF(OH14&gt;0,OH14,"")</f>
        <v/>
      </c>
      <c r="OV14" s="76" t="str">
        <f>IF(SUM(OE14:OH14)-OI14&gt;0,SUM(OE14:OH14)-OI14,"")</f>
        <v/>
      </c>
      <c r="OW14" s="76" t="str">
        <f>IF(SUM(OP14,OV14)&gt;0,SUM(OP14,OV14),"")</f>
        <v/>
      </c>
      <c r="OX14" s="26"/>
      <c r="OY14" s="26"/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16" t="str">
        <f>IF(OZ14&gt;0,OZ14,"")</f>
        <v/>
      </c>
      <c r="PS14" s="16" t="str">
        <f>IF(PA14&gt;0,PA14,"")</f>
        <v/>
      </c>
      <c r="PT14" s="16" t="str">
        <f>IF(SUM(OX14:PA14)-PB14&gt;0,SUM(OX14:PA14)-PB14,"")</f>
        <v/>
      </c>
      <c r="PU14" s="16" t="str">
        <f>IF(PE14&gt;0,PE14,"")</f>
        <v/>
      </c>
      <c r="PV14" s="16" t="str">
        <f>IF(PF14&gt;0,PF14,"")</f>
        <v/>
      </c>
      <c r="PW14" s="16" t="str">
        <f>IF(SUM(PC14:PF14)-PG14&gt;0,SUM(PC14:PF14)-PG14,"")</f>
        <v/>
      </c>
      <c r="PX14" s="16" t="str">
        <f>IF(MAX(PT14,PW14)&gt;0,MAX(PT14,PW14),"")</f>
        <v/>
      </c>
      <c r="PY14" s="16" t="str">
        <f>IF(PJ14&gt;0,PJ14,"")</f>
        <v/>
      </c>
      <c r="PZ14" s="16" t="str">
        <f>IF(PK14&gt;0,PK14,"")</f>
        <v/>
      </c>
      <c r="QA14" s="16" t="str">
        <f>IF(SUM(PH14:PK14)-PL14&gt;0,SUM(PH14:PK14)-PL14,"")</f>
        <v/>
      </c>
      <c r="QB14" s="16" t="str">
        <f>IF(PO14&gt;0,PO14,"")</f>
        <v/>
      </c>
      <c r="QC14" s="16" t="str">
        <f>IF(PP14&gt;0,PP14,"")</f>
        <v/>
      </c>
      <c r="QD14" s="16" t="str">
        <f>IF(SUM(PM14:PP14)-PQ14&gt;0,SUM(PM14:PP14)-PQ14,"")</f>
        <v/>
      </c>
      <c r="QE14" s="16" t="str">
        <f>IF(SUM(PX14,QD14)&gt;0,SUM(PX14,QD14),"")</f>
        <v/>
      </c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76" t="str">
        <f>IF(QH14&gt;0,QH14,"")</f>
        <v/>
      </c>
      <c r="RA14" s="76" t="str">
        <f>IF(QI14&gt;0,QI14,"")</f>
        <v/>
      </c>
      <c r="RB14" s="76" t="str">
        <f>IF(SUM(QF14:QI14)-QJ14&gt;0,SUM(QF14:QI14)-QJ14,"")</f>
        <v/>
      </c>
      <c r="RC14" s="76" t="str">
        <f>IF(QM14&gt;0,QM14,"")</f>
        <v/>
      </c>
      <c r="RD14" s="76" t="str">
        <f>IF(QN14&gt;0,QN14,"")</f>
        <v/>
      </c>
      <c r="RE14" s="76" t="str">
        <f>IF(SUM(QK14:QN14)-QO14&gt;0,SUM(QK14:QN14)-QO14,"")</f>
        <v/>
      </c>
      <c r="RF14" s="76" t="str">
        <f>IF(MAX(RB14,RE14)&gt;0,MAX(RB14,RE14),"")</f>
        <v/>
      </c>
      <c r="RG14" s="76" t="str">
        <f>IF(QR14&gt;0,QR14,"")</f>
        <v/>
      </c>
      <c r="RH14" s="76" t="str">
        <f>IF(QS14&gt;0,QS14,"")</f>
        <v/>
      </c>
      <c r="RI14" s="76" t="str">
        <f>IF(SUM(QP14:QS14)-QT14&gt;0,SUM(QP14:QS14)-QT14,"")</f>
        <v/>
      </c>
      <c r="RJ14" s="76" t="str">
        <f>IF(QW14&gt;0,QW14,"")</f>
        <v/>
      </c>
      <c r="RK14" s="76" t="str">
        <f>IF(QX14&gt;0,QX14,"")</f>
        <v/>
      </c>
      <c r="RL14" s="76" t="str">
        <f>IF(SUM(QU14:QX14)-QY14&gt;0,SUM(QU14:QX14)-QY14,"")</f>
        <v/>
      </c>
      <c r="RM14" s="76" t="str">
        <f>IF(SUM(RF14,RL14)&gt;0,SUM(RF14,RL14),"")</f>
        <v/>
      </c>
      <c r="RN14" s="26"/>
      <c r="RO14" s="26"/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16" t="str">
        <f>IF(RP14&gt;0,RP14,"")</f>
        <v/>
      </c>
      <c r="SI14" s="16" t="str">
        <f>IF(RQ14&gt;0,RQ14,"")</f>
        <v/>
      </c>
      <c r="SJ14" s="16" t="str">
        <f>IF(SUM(RN14:RQ14)-RR14&gt;0,SUM(RN14:RQ14)-RR14,"")</f>
        <v/>
      </c>
      <c r="SK14" s="16" t="str">
        <f>IF(RU14&gt;0,RU14,"")</f>
        <v/>
      </c>
      <c r="SL14" s="16" t="str">
        <f>IF(RV14&gt;0,RV14,"")</f>
        <v/>
      </c>
      <c r="SM14" s="16" t="str">
        <f>IF(SUM(RS14:RV14)-RW14&gt;0,SUM(RS14:RV14)-RW14,"")</f>
        <v/>
      </c>
      <c r="SN14" s="16" t="str">
        <f>IF(MAX(SJ14,SM14)&gt;0,MAX(SJ14,SM14),"")</f>
        <v/>
      </c>
      <c r="SO14" s="16" t="str">
        <f>IF(RZ14&gt;0,RZ14,"")</f>
        <v/>
      </c>
      <c r="SP14" s="16" t="str">
        <f>IF(SA14&gt;0,SA14,"")</f>
        <v/>
      </c>
      <c r="SQ14" s="16" t="str">
        <f>IF(SUM(RX14:SA14)-SB14&gt;0,SUM(RX14:SA14)-SB14,"")</f>
        <v/>
      </c>
      <c r="SR14" s="16" t="str">
        <f>IF(SE14&gt;0,SE14,"")</f>
        <v/>
      </c>
      <c r="SS14" s="16" t="str">
        <f>IF(SF14&gt;0,SF14,"")</f>
        <v/>
      </c>
      <c r="ST14" s="16" t="str">
        <f>IF(SUM(SC14:SF14)-SG14&gt;0,SUM(SC14:SF14)-SG14,"")</f>
        <v/>
      </c>
      <c r="SU14" s="16" t="str">
        <f>IF(SUM(SN14,ST14)&gt;0,SUM(SN14,ST14),"")</f>
        <v/>
      </c>
      <c r="SV14" s="42">
        <f>IF($CP14="P",CA14,(CA14+AZ14)/2)</f>
        <v>8.1</v>
      </c>
      <c r="SW14" s="42">
        <f>IF($CP14="P",CB14,(CB14+BA14)/2)</f>
        <v>6</v>
      </c>
      <c r="SX14" s="42">
        <f>IF($CP14="P",CC14,(CC14+BB14)/2)</f>
        <v>8.6999999999999993</v>
      </c>
      <c r="SY14" s="42">
        <f>IF($CP14="P",CD14,(CD14+BC14)/2)</f>
        <v>10.1975</v>
      </c>
      <c r="SZ14" s="42">
        <f>IF($CP14="P",CE14,(CE14+BD14)/2)</f>
        <v>0.35</v>
      </c>
      <c r="TA14" s="42">
        <f>IF($CP14="P",CF14,(CF14+BE14)/2)</f>
        <v>8.5500000000000007</v>
      </c>
      <c r="TB14" s="42">
        <f>IF($CP14="P",CG14,(CG14+BF14)/2)</f>
        <v>5.4</v>
      </c>
      <c r="TC14" s="42">
        <f>IF($CP14="P",CH14,(CH14+BG14)/2)</f>
        <v>8.4500000000000011</v>
      </c>
      <c r="TD14" s="42">
        <f>IF($CP14="P",CI14,(CI14+BH14)/2)</f>
        <v>9.4224999999999994</v>
      </c>
      <c r="TE14" s="42">
        <f>IF($CP14="P",CJ14,(CJ14+BI14)/2)</f>
        <v>0.1</v>
      </c>
      <c r="TF14" s="42">
        <f>IF($CP14="P",CK14,(CK14+BJ14)/2)</f>
        <v>1.45</v>
      </c>
      <c r="TG14" s="42">
        <f>IF($CP14="P",CL14,(CL14+BK14)/2)</f>
        <v>0.85</v>
      </c>
      <c r="TH14" s="42">
        <f>IF($CP14="P",CM14,(CM14+BL14)/2)</f>
        <v>1.7</v>
      </c>
      <c r="TI14" s="42">
        <f>IF($CP14="P",CN14,(CN14+BM14)/2)</f>
        <v>1.665</v>
      </c>
      <c r="TJ14" s="42">
        <f>IF($CP14="P",CO14,(CO14+BN14)/2)</f>
        <v>0</v>
      </c>
      <c r="TK14" s="51" t="s">
        <v>61</v>
      </c>
      <c r="TL14" s="76">
        <f>IF(SX14&gt;0,SX14,"")</f>
        <v>8.6999999999999993</v>
      </c>
      <c r="TM14" s="76">
        <f>IF(SY14&gt;0,SY14,"")</f>
        <v>10.1975</v>
      </c>
      <c r="TN14" s="76">
        <f>IF(SUM(SV14:SY14)-SZ14&gt;0,SUM(SV14:SY14)-SZ14,"")</f>
        <v>32.647499999999994</v>
      </c>
      <c r="TO14" s="76">
        <f>IF(TC14&gt;0,TC14,"")</f>
        <v>8.4500000000000011</v>
      </c>
      <c r="TP14" s="76">
        <f>IF(TD14&gt;0,TD14,"")</f>
        <v>9.4224999999999994</v>
      </c>
      <c r="TQ14" s="76">
        <f>IF(SUM(TA14:TD14)-TE14&gt;0,SUM(TA14:TD14)-TE14,"")</f>
        <v>31.7225</v>
      </c>
      <c r="TR14" s="76">
        <f>IF(MAX(TN14,TQ14)&gt;0,MAX(TN14,TQ14),"")</f>
        <v>32.647499999999994</v>
      </c>
      <c r="TS14" s="76">
        <f>IF(TH14&gt;0,TH14,"")</f>
        <v>1.7</v>
      </c>
      <c r="TT14" s="76">
        <f>IF(TI14&gt;0,TI14,"")</f>
        <v>1.665</v>
      </c>
      <c r="TU14" s="76">
        <f>IF(SUM(TF14:TI14)-TJ14&gt;0,SUM(TF14:TI14)-TJ14,"")</f>
        <v>5.665</v>
      </c>
      <c r="TV14" s="76">
        <f>IF(SUM(TR14,TU14)&gt;0,SUM(TR14,TU14),"")</f>
        <v>38.312499999999993</v>
      </c>
    </row>
    <row r="15" spans="1:542" x14ac:dyDescent="0.2">
      <c r="A15" s="5" t="str" cm="1">
        <f t="array" ref="A15">IF(AND(F15&lt;&gt;"",G15&lt;&gt;""),SUMPRODUCT((F$4:F$23&lt;&gt;"")*(G$4:G$23&lt;&gt;"")*(E$4:E$23&gt;E15))+1,IF(G15&lt;&gt;"",SUMPRODUCT((H$4:H$23="No DD")*(E$4:E$23&gt;E15))+1+SUMPRODUCT((F$4:F$23&lt;&gt;"")*(G$4:G$23&lt;&gt;"")),""))</f>
        <v/>
      </c>
      <c r="B15" s="6" t="s">
        <v>103</v>
      </c>
      <c r="C15" s="7" t="s">
        <v>9</v>
      </c>
      <c r="D15" s="5">
        <v>2004</v>
      </c>
      <c r="E15" s="14">
        <f>SUM(J15:V15)+SUM(J15:T15)*0.0000001+SUM(J15)*0.0000000000001</f>
        <v>216.64502166450529</v>
      </c>
      <c r="F15" s="3" t="str">
        <f>IF(OR(AND(AO15&gt;=AY$25,AO15&lt;&gt;"",AQ15&gt;=AY$29,AQ15&lt;&gt;"",AN15=""),AND(AR15&gt;=AY$25,AR15&lt;&gt;"",AT15&gt;=AY$29,AT15&lt;&gt;"",AN15=""),AND(AV15&gt;=AY$25,AV15&lt;&gt;"",AX15&gt;=AY$29,AX15&lt;&gt;"",AN15=""),AND(BP15&gt;=BZ$25,BP15&lt;&gt;"",BR15&gt;=BZ$29,BR15&lt;&gt;"",BO15=""),AND(BS15&gt;=BZ$25,BS15&lt;&gt;"",BU15&gt;=BZ$29,BU15&lt;&gt;"",BO15=""),AND(BW15&gt;=BZ$25,BW15&lt;&gt;"",BY15&gt;=BZ$29,BY15&lt;&gt;"",BO15=""),AND(CQ15&gt;=DA$25,CQ15&lt;&gt;"",CS15&gt;=DA$29,CS15&lt;&gt;"",CP15=""),AND(CT15&gt;=DA$25,CT15&lt;&gt;"",CV15&gt;=DA$29,CV15&lt;&gt;"",CP15=""),AND(CX15&gt;=DA$25,CX15&lt;&gt;"",CZ15&gt;=DA$29,CZ15&lt;&gt;"",CP15=""),AND(DX15&gt;=EK$25,DX15&lt;&gt;"",DZ15&gt;=EK$29,DZ15&lt;&gt;""),AND(EA15&gt;=EK$25,EA15&lt;&gt;"",EC15&gt;=EK$29,EC15&lt;&gt;""),AND(EE15&gt;=EK$25,EE15&lt;&gt;"",EG15&gt;=EK$29,EG15&lt;&gt;""),AND(EH15&gt;=EK$25,EH15&lt;&gt;"",EJ15&gt;=EK$29,EJ15&lt;&gt;""),AND(FF15&gt;=FS$25,FF15&lt;&gt;"",FH15&gt;=FS$29,FH15&lt;&gt;""),AND(FI15&gt;=FS$25,FI15&lt;&gt;"",FK15&gt;=FS$29,FK15&lt;&gt;""),AND(FM15&gt;=FS$25,FM15&lt;&gt;"",FO15&gt;=FS$29,FO15&lt;&gt;""),AND(FP15&gt;=FS$25,FP15&lt;&gt;"",FR15&gt;=FS$29,FR15&lt;&gt;""),AND(GN15&gt;=HA$25,GN15&lt;&gt;"",GP15&gt;=HA$29,GP15&lt;&gt;""),AND(GQ15&gt;=HA$25,GQ15&lt;&gt;"",GS15&gt;=HA$29,GS15&lt;&gt;""),AND(GU15&gt;=HA$25,GU15&lt;&gt;"",GW15&gt;=HA$29,GW15&lt;&gt;""),AND(GX15&gt;=HA$25,GX15&lt;&gt;"",GZ15&gt;=HA$29,GZ15&lt;&gt;""),AND(HV15&gt;=II$25,HV15&lt;&gt;"",HX15&gt;=II$29,HX15&lt;&gt;""),AND(HY15&gt;=II$25,HY15&lt;&gt;"",IA15&gt;=II$29,IA15&lt;&gt;""),AND(IC15&gt;=II$25,IC15&lt;&gt;"",IE15&gt;=II$29,IE15&lt;&gt;""),AND(IF15&gt;=II$25,IF15&lt;&gt;"",IH15&gt;=II$29,IH15&lt;&gt;""),AND(JD15&gt;=JQ$25,JD15&lt;&gt;"",JF15&gt;=JQ$29,JF15&lt;&gt;""),AND(JG15&gt;=JQ$25,JG15&lt;&gt;"",JI15&gt;=JQ$29,JI15&lt;&gt;""),AND(JK15&gt;=JQ$25,JK15&lt;&gt;"",JM15&gt;=JQ$29,JM15&lt;&gt;""),AND(JN15&gt;=JQ$25,JN15&lt;&gt;"",JP15&gt;=JQ$29,JP15&lt;&gt;""),AND(KL15&gt;=KY$25,KL15&lt;&gt;"",KN15&gt;=KY$29,KN15&lt;&gt;""),AND(KO15&gt;=KY$25,KO15&lt;&gt;"",KQ15&gt;=KY$29,KQ15&lt;&gt;""),AND(KS15&gt;=KY$25,KS15&lt;&gt;"",KU15&gt;=KY$29,KU15&lt;&gt;""),AND(KV15&gt;=KY$25,KV15&lt;&gt;"",KX15&gt;=KY$29,KX15&lt;&gt;""),AND(LT15&gt;=MG$25,LT15&lt;&gt;"",LV15&gt;=MG$29,LV15&lt;&gt;""),AND(LW15&gt;=MG$25,LW15&lt;&gt;"",LY15&gt;=MG$29,LY15&lt;&gt;""),AND(MA15&gt;=MG$25,MA15&lt;&gt;"",MC15&gt;=MG$29,MC15&lt;&gt;""),AND(MD15&gt;=MG$25,MD15&lt;&gt;"",MF15&gt;=MG$29,MF15&lt;&gt;""),AND(NB15&gt;=NO$25,NB15&lt;&gt;"",ND15&gt;=NO$29,ND15&lt;&gt;""),AND(NE15&gt;=NO$25,NE15&lt;&gt;"",NG15&gt;=NO$29,NG15&lt;&gt;""),AND(NI15&gt;=NO$25,NI15&lt;&gt;"",NK15&gt;=NO$29,NK15&lt;&gt;""),AND(NL15&gt;=NO$25,NL15&lt;&gt;"",NN15&gt;=NO$29,NN15&lt;&gt;""),AND(OJ15&gt;=OW$25,OJ15&lt;&gt;"",OL15&gt;=OW$29,OL15&lt;&gt;""),AND(OM15&gt;=OW$25,OM15&lt;&gt;"",OO15&gt;=OW$29,OO15&lt;&gt;""),AND(OQ15&gt;=OW$25,OQ15&lt;&gt;"",OS15&gt;=OW$29,OS15&lt;&gt;""),AND(OT15&gt;=OW$25,OT15&lt;&gt;"",OV15&gt;=OW$29,OV15&lt;&gt;""),AND(PR15&gt;=QE$25,PR15&lt;&gt;"",PT15&gt;=QE$29,PT15&lt;&gt;""),AND(PU15&gt;=QE$25,PU15&lt;&gt;"",PW15&gt;=QE$29,PW15&lt;&gt;""),AND(PY15&gt;=QE$25,PY15&lt;&gt;"",QA15&gt;=QE$29,QA15&lt;&gt;""),AND(QB15&gt;=QE$25,QB15&lt;&gt;"",QD15&gt;=QE$29,QD15&lt;&gt;""),AND(QZ15&gt;=RM$25,QZ15&lt;&gt;"",RB15&gt;=RM$29,RB15&lt;&gt;""),AND(RC15&gt;=RM$25,RC15&lt;&gt;"",RE15&gt;=RM$29,RE15&lt;&gt;""),AND(RG15&gt;=RM$25,RG15&lt;&gt;"",RI15&gt;=RM$29,RI15&lt;&gt;""),AND(RJ15&gt;=RM$25,RJ15&lt;&gt;"",RL15&gt;=RM$29,RL15&lt;&gt;""),AND(SH15&gt;=SU$25,SH15&lt;&gt;"",SJ15&gt;=SU$29,SJ15&lt;&gt;""),AND(SK15&gt;=SU$25,SK15&lt;&gt;"",SM15&gt;=SU$29,SM15&lt;&gt;""),AND(SO15&gt;=SU$25,SO15&lt;&gt;"",SQ15&gt;=SU$29,SQ15&lt;&gt;""),AND(SR15&gt;=SU$25,SR15&lt;&gt;"",ST15&gt;=SU$29,ST15&lt;&gt;"")),"P","")</f>
        <v/>
      </c>
      <c r="G15" s="3" t="str">
        <f>IF(OR(AND(AQ15&gt;=AY$29,AQ15&lt;&gt;"",AN15=""),AND(AT15&gt;=AY$29,AT15&lt;&gt;"",AN15=""),AND(AX15&gt;=AY$29,AX15&lt;&gt;"",AN15=""),AND(BR15&gt;=BZ$29,BR15&lt;&gt;"",BO15=""),AND(BU15&gt;=BZ$29,BU15&lt;&gt;"",BO15=""),AND(BY15&gt;=BZ$29,BY15&lt;&gt;"",BO15=""),AND(CS15&gt;=DA$29,CS15&lt;&gt;"",CP15=""),AND(CV15&gt;=DA$29,CV15&lt;&gt;"",CP15=""),AND(CZ15&gt;=DA$29,CZ15&lt;&gt;"",CP15=""),AND(DZ15&gt;=EK$29,DZ15&lt;&gt;""),AND(EC15&gt;=EK$29,EC15&lt;&gt;""),AND(EG15&gt;=EK$29,EG15&lt;&gt;""),AND(EJ15&gt;=EK$29,EJ15&lt;&gt;""),AND(FH15&gt;=FS$29,FH15&lt;&gt;""),AND(FK15&gt;=FS$29,FK15&lt;&gt;""),AND(FO15&gt;=FS$29,FO15&lt;&gt;""),AND(FR15&gt;=FS$29,FR15&lt;&gt;""),AND(GP15&gt;=HA$29,GP15&lt;&gt;""),AND(GS15&gt;=HA$29,GS15&lt;&gt;""),AND(GW15&gt;=HA$29,GW15&lt;&gt;""),AND(GZ15&gt;=HA$29,GZ15&lt;&gt;""),AND(HX15&gt;=II$29,HX15&lt;&gt;""),AND(IA15&gt;=II$29,IA15&lt;&gt;""),AND(IE15&gt;=II$29,IE15&lt;&gt;""),AND(IH15&gt;=II$29,IH15&lt;&gt;""),AND(JF15&gt;=JQ$29,JF15&lt;&gt;""),AND(JI15&gt;=JQ$29,JI15&lt;&gt;""),AND(JM15&gt;=JQ$29,JM15&lt;&gt;""),AND(JP15&gt;=JQ$29,JP15&lt;&gt;""),AND(KN15&gt;=KY$29,KN15&lt;&gt;""),AND(KQ15&gt;=KY$29,KQ15&lt;&gt;""),AND(KU15&gt;=KY$29,KU15&lt;&gt;""),AND(KX15&gt;=KY$29,KX15&lt;&gt;""),AND(LV15&gt;=MG$29,LV15&lt;&gt;""),AND(LY15&gt;=MG$29,LY15&lt;&gt;""),AND(MC15&gt;=MG$29,MC15&lt;&gt;""),AND(MF15&gt;=MG$29,MF15&lt;&gt;""),AND(ND15&gt;=NO$29,ND15&lt;&gt;""),AND(NG15&gt;=NO$29,NG15&lt;&gt;""),AND(NK15&gt;=NO$29,NK15&lt;&gt;""),AND(NN15&gt;=NO$29,NN15&lt;&gt;""),AND(OL15&gt;=OW$29,OL15&lt;&gt;""),AND(OO15&gt;=OW$29,OO15&lt;&gt;""),AND(OS15&gt;=OW$29,OS15&lt;&gt;""),AND(OV15&gt;=OW$29,OV15&lt;&gt;""),AND(PT15&gt;=QE$29,PT15&lt;&gt;""),AND(PW15&gt;=QE$29,PW15&lt;&gt;""),AND(QA15&gt;=QE$29,QA15&lt;&gt;""),AND(QD15&gt;=QE$29,QD15&lt;&gt;""),AND(RB15&gt;=RM$29,RB15&lt;&gt;""),AND(RE15&gt;=RM$29,RE15&lt;&gt;""),AND(RI15&gt;=RM$29,RI15&lt;&gt;""),AND(RL15&gt;=RM$29,RL15&lt;&gt;""),AND(SJ15&gt;=SU$29,SJ15&lt;&gt;""),AND(SM15&gt;=SU$29,SM15&lt;&gt;""),AND(SQ15&gt;=SU$29,SQ15&lt;&gt;""),AND(ST15&gt;=SU$29,ST15&lt;&gt;"")),"P","")</f>
        <v/>
      </c>
      <c r="H15" s="70" t="str">
        <f>IF(AND(G15="P",F15=""),"No DD",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),"Merit",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X15&gt;=EK$27,DX15&lt;&gt;"",DZ15&gt;=EK$31,DZ15&lt;&gt;""),AND(EA15&gt;=EK$27,EA15&lt;&gt;"",EC15&gt;=EK$31,EC15&lt;&gt;""),AND(EE15&gt;=EK$27,EE15&lt;&gt;"",EG15&gt;=EK$31,EG15&lt;&gt;""),AND(EH15&gt;=EK$27,EH15&lt;&gt;"",EJ15&gt;=EK$31,EJ15&lt;&gt;""),AND(FF15&gt;=FS$27,FF15&lt;&gt;"",FH15&gt;=FS$31,FH15&lt;&gt;""),AND(FI15&gt;=FS$27,FI15&lt;&gt;"",FK15&gt;=FS$31,FK15&lt;&gt;""),AND(FM15&gt;=FS$27,FM15&lt;&gt;"",FO15&gt;=FS$31,FO15&lt;&gt;""),AND(FP15&gt;=FS$27,FP15&lt;&gt;"",FR15&gt;=FS$31,FR15&lt;&gt;""),AND(GN15&gt;=HA$27,GN15&lt;&gt;"",GP15&gt;=HA$31,GP15&lt;&gt;""),AND(GQ15&gt;=HA$27,GQ15&lt;&gt;"",GS15&gt;=HA$31,GS15&lt;&gt;""),AND(GU15&gt;=HA$27,GU15&lt;&gt;"",GW15&gt;=HA$31,GW15&lt;&gt;""),AND(GX15&gt;=HA$27,GX15&lt;&gt;"",GZ15&gt;=HA$31,GZ15&lt;&gt;""),AND(HV15&gt;=II$27,HV15&lt;&gt;"",HX15&gt;=II$31,HX15&lt;&gt;""),AND(HY15&gt;=II$27,HY15&lt;&gt;"",IA15&gt;=II$31,IA15&lt;&gt;""),AND(IC15&gt;=II$27,IC15&lt;&gt;"",IE15&gt;=II$31,IE15&lt;&gt;""),AND(IF15&gt;=II$27,IF15&lt;&gt;"",IH15&gt;=II$31,IH15&lt;&gt;""),AND(JD15&gt;=JQ$27,JD15&lt;&gt;"",JF15&gt;=JQ$31,JF15&lt;&gt;""),AND(JG15&gt;=JQ$27,JG15&lt;&gt;"",JI15&gt;=JQ$31,JI15&lt;&gt;""),AND(JK15&gt;=JQ$27,JK15&lt;&gt;"",JM15&gt;=JQ$31,JM15&lt;&gt;""),AND(JN15&gt;=JQ$27,JN15&lt;&gt;"",JP15&gt;=JQ$31,JP15&lt;&gt;""),AND(KL15&gt;=KY$27,KL15&lt;&gt;"",KN15&gt;=KY$31,KN15&lt;&gt;""),AND(KO15&gt;=KY$27,KO15&lt;&gt;"",KQ15&gt;=KY$31,KQ15&lt;&gt;""),AND(KS15&gt;=KY$27,KS15&lt;&gt;"",KU15&gt;=KY$31,KU15&lt;&gt;""),AND(KV15&gt;=KY$27,KV15&lt;&gt;"",KX15&gt;=KY$31,KX15&lt;&gt;""),AND(LT15&gt;=MG$27,LT15&lt;&gt;"",LV15&gt;=MG$31,LV15&lt;&gt;""),AND(LW15&gt;=MG$27,LW15&lt;&gt;"",LY15&gt;=MG$31,LY15&lt;&gt;""),AND(MA15&gt;=MG$27,MA15&lt;&gt;"",MC15&gt;=MG$31,MC15&lt;&gt;""),AND(MD15&gt;=MG$27,MD15&lt;&gt;"",MF15&gt;=MG$31,MF15&lt;&gt;""),AND(NB15&gt;=NO$27,NB15&lt;&gt;"",ND15&gt;=NO$31,ND15&lt;&gt;""),AND(NE15&gt;=NO$27,NE15&lt;&gt;"",NG15&gt;=NO$31,NG15&lt;&gt;""),AND(NI15&gt;=NO$27,NI15&lt;&gt;"",NK15&gt;=NO$31,NK15&lt;&gt;""),AND(NL15&gt;=NO$27,NL15&lt;&gt;"",NN15&gt;=NO$31,NN15&lt;&gt;""),AND(OJ15&gt;=OW$27,OJ15&lt;&gt;"",OL15&gt;=OW$31,OL15&lt;&gt;""),AND(OM15&gt;=OW$27,OM15&lt;&gt;"",OO15&gt;=OW$31,OO15&lt;&gt;""),AND(OQ15&gt;=OW$27,OQ15&lt;&gt;"",OS15&gt;=OW$31,OS15&lt;&gt;""),AND(OT15&gt;=OW$27,OT15&lt;&gt;"",OV15&gt;=OW$31,OV15&lt;&gt;""),AND(PR15&gt;=QE$27,PR15&lt;&gt;"",PT15&gt;=QE$31,PT15&lt;&gt;""),AND(PU15&gt;=QE$27,PU15&lt;&gt;"",PW15&gt;=QE$31,PW15&lt;&gt;""),AND(PY15&gt;=QE$27,PY15&lt;&gt;"",QA15&gt;=QE$31,QA15&lt;&gt;""),AND(QB15&gt;=QE$27,QB15&lt;&gt;"",QD15&gt;=QE$31,QD15&lt;&gt;""),AND(QZ15&gt;=RM$27,QZ15&lt;&gt;"",RB15&gt;=RM$31,RB15&lt;&gt;""),AND(RC15&gt;=RM$27,RC15&lt;&gt;"",RE15&gt;=RM$31,RE15&lt;&gt;""),AND(RG15&gt;=RM$27,RG15&lt;&gt;"",RI15&gt;=RM$31,RI15&lt;&gt;""),AND(RJ15&gt;=RM$27,RJ15&lt;&gt;"",RL15&gt;=RM$31,RL15&lt;&gt;""),AND(SH15&gt;=SU$27,SH15&lt;&gt;"",SJ15&gt;=SU$31,SJ15&lt;&gt;""),AND(SK15&gt;=SU$27,SK15&lt;&gt;"",SM15&gt;=SU$31,SM15&lt;&gt;""),AND(SO15&gt;=SU$27,SO15&lt;&gt;"",SQ15&gt;=SU$31,SQ15&lt;&gt;""),AND(SR15&gt;=SU$27,SR15&lt;&gt;"",ST15&gt;=SU$31,ST15&lt;&gt;"")),"Excellence",IF(I15="P","Worlds Team",IF(F15="P","National Team","")))))</f>
        <v/>
      </c>
      <c r="I15" s="3" t="str">
        <f>IF(OR(AND(AO15&gt;=AY$26,AO15&lt;&gt;"",AQ15&gt;=AY$30,AQ15&lt;&gt;"",AN15=""),AND(AR15&gt;=AY$26,AR15&lt;&gt;"",AT15&gt;=AY$30,AT15&lt;&gt;"",AN15=""),AND(AV15&gt;=AY$26,AV15&lt;&gt;"",AX15&gt;=AY$30,AX15&lt;&gt;"",AN15=""),AND(BP15&gt;=BZ$26,BP15&lt;&gt;"",BR15&gt;=BZ$30,BR15&lt;&gt;"",BO15=""),AND(BS15&gt;=BZ$26,BS15&lt;&gt;"",BU15&gt;=BZ$30,BU15&lt;&gt;"",BO15=""),AND(BW15&gt;=BZ$26,BW15&lt;&gt;"",BY15&gt;=BZ$30,BY15&lt;&gt;"",BO15=""),AND(CQ15&gt;=DA$26,CQ15&lt;&gt;"",CS15&gt;=DA$30,CS15&lt;&gt;"",CP15=""),AND(CT15&gt;=DA$26,CT15&lt;&gt;"",CV15&gt;=DA$30,CV15&lt;&gt;"",CP15=""),AND(CX15&gt;=DA$26,CX15&lt;&gt;"",CZ15&gt;=DA$30,CZ15&lt;&gt;"",CP15=""),AND(DX15&gt;=EK$26,DX15&lt;&gt;"",DZ15&gt;=EK$30,DZ15&lt;&gt;""),AND(EA15&gt;=EK$26,EA15&lt;&gt;"",EC15&gt;=EK$30,EC15&lt;&gt;""),AND(EE15&gt;=EK$26,EE15&lt;&gt;"",EG15&gt;=EK$30,EG15&lt;&gt;""),AND(EH15&gt;=EK$26,EH15&lt;&gt;"",EJ15&gt;=EK$30,EJ15&lt;&gt;""),AND(FF15&gt;=FS$26,FF15&lt;&gt;"",FH15&gt;=FS$30,FH15&lt;&gt;""),AND(FI15&gt;=FS$26,FI15&lt;&gt;"",FK15&gt;=FS$30,FK15&lt;&gt;""),AND(FM15&gt;=FS$26,FM15&lt;&gt;"",FO15&gt;=FS$30,FO15&lt;&gt;""),AND(FP15&gt;=FS$26,FP15&lt;&gt;"",FR15&gt;=FS$30,FR15&lt;&gt;""),AND(GN15&gt;=HA$26,GN15&lt;&gt;"",GP15&gt;=HA$30,GP15&lt;&gt;""),AND(GQ15&gt;=HA$26,GQ15&lt;&gt;"",GS15&gt;=HA$30,GS15&lt;&gt;""),AND(GU15&gt;=HA$26,GU15&lt;&gt;"",GW15&gt;=HA$30,GW15&lt;&gt;""),AND(GX15&gt;=HA$26,GX15&lt;&gt;"",GZ15&gt;=HA$30,GZ15&lt;&gt;""),AND(HV15&gt;=II$26,HV15&lt;&gt;"",HX15&gt;=II$30,HX15&lt;&gt;""),AND(HY15&gt;=II$26,HY15&lt;&gt;"",IA15&gt;=II$30,IA15&lt;&gt;""),AND(IC15&gt;=II$26,IC15&lt;&gt;"",IE15&gt;=II$30,IE15&lt;&gt;""),AND(IF15&gt;=II$26,IF15&lt;&gt;"",IH15&gt;=II$30,IH15&lt;&gt;""),AND(JD15&gt;=JQ$26,JD15&lt;&gt;"",JF15&gt;=JQ$30,JF15&lt;&gt;""),AND(JG15&gt;=JQ$26,JG15&lt;&gt;"",JI15&gt;=JQ$30,JI15&lt;&gt;""),AND(JK15&gt;=JQ$26,JK15&lt;&gt;"",JM15&gt;=JQ$30,JM15&lt;&gt;""),AND(JN15&gt;=JQ$26,JN15&lt;&gt;"",JP15&gt;=JQ$30,JP15&lt;&gt;""),AND(KL15&gt;=KY$26,KL15&lt;&gt;"",KN15&gt;=KY$30,KN15&lt;&gt;""),AND(KO15&gt;=KY$26,KO15&lt;&gt;"",KQ15&gt;=KY$30,KQ15&lt;&gt;""),AND(KS15&gt;=KY$26,KS15&lt;&gt;"",KU15&gt;=KY$30,KU15&lt;&gt;""),AND(KV15&gt;=KY$26,KV15&lt;&gt;"",KX15&gt;=KY$30,KX15&lt;&gt;""),AND(LT15&gt;=MG$26,LT15&lt;&gt;"",LV15&gt;=MG$30,LV15&lt;&gt;""),AND(LW15&gt;=MG$26,LW15&lt;&gt;"",LY15&gt;=MG$30,LY15&lt;&gt;""),AND(MA15&gt;=MG$26,MA15&lt;&gt;"",MC15&gt;=MG$30,MC15&lt;&gt;""),AND(MD15&gt;=MG$26,MD15&lt;&gt;"",MF15&gt;=MG$30,MF15&lt;&gt;""),AND(NB15&gt;=NO$26,NB15&lt;&gt;"",ND15&gt;=NO$30,ND15&lt;&gt;""),AND(NE15&gt;=NO$26,NE15&lt;&gt;"",NG15&gt;=NO$30,NG15&lt;&gt;""),AND(NI15&gt;=NO$26,NI15&lt;&gt;"",NK15&gt;=NO$30,NK15&lt;&gt;""),AND(NL15&gt;=NO$26,NL15&lt;&gt;"",NN15&gt;=NO$30,NN15&lt;&gt;""),AND(OJ15&gt;=OW$26,OJ15&lt;&gt;"",OL15&gt;=OW$30,OL15&lt;&gt;""),AND(OM15&gt;=OW$26,OM15&lt;&gt;"",OO15&gt;=OW$30,OO15&lt;&gt;""),AND(OQ15&gt;=OW$26,OQ15&lt;&gt;"",OS15&gt;=OW$30,OS15&lt;&gt;""),AND(OT15&gt;=OW$26,OT15&lt;&gt;"",OV15&gt;=OW$30,OV15&lt;&gt;""),AND(PR15&gt;=QE$26,PR15&lt;&gt;"",PT15&gt;=QE$30,PT15&lt;&gt;""),AND(PU15&gt;=QE$26,PU15&lt;&gt;"",PW15&gt;=QE$30,PW15&lt;&gt;""),AND(PY15&gt;=QE$26,PY15&lt;&gt;"",QA15&gt;=QE$30,QA15&lt;&gt;""),AND(QB15&gt;=QE$26,QB15&lt;&gt;"",QD15&gt;=QE$30,QD15&lt;&gt;""),AND(QZ15&gt;=RM$26,QZ15&lt;&gt;"",RB15&gt;=RM$30,RB15&lt;&gt;""),AND(RC15&gt;=RM$26,RC15&lt;&gt;"",RE15&gt;=RM$30,RE15&lt;&gt;""),AND(RG15&gt;=RM$26,RG15&lt;&gt;"",RI15&gt;=RM$30,RI15&lt;&gt;""),AND(RJ15&gt;=RM$26,RJ15&lt;&gt;"",RL15&gt;=RM$30,RL15&lt;&gt;""),AND(SH15&gt;=SU$26,SH15&lt;&gt;"",SJ15&gt;=SU$30,SJ15&lt;&gt;""),AND(SK15&gt;=SU$26,SK15&lt;&gt;"",SM15&gt;=SU$30,SM15&lt;&gt;""),AND(SO15&gt;=SU$26,SO15&lt;&gt;"",SQ15&gt;=SU$30,SQ15&lt;&gt;""),AND(SR15&gt;=SU$26,SR15&lt;&gt;"",ST15&gt;=SU$30,ST15&lt;&gt;"")),"P","")</f>
        <v/>
      </c>
      <c r="J15" s="13">
        <f>IF(COUNT(AQ15,AT15,BR15,BU15,CS15,CV15)&gt;0,LARGE((AQ15,AT15,BR15,BU15,CS15,CV15),1),0)</f>
        <v>52.795000000000002</v>
      </c>
      <c r="K15" s="13" t="str">
        <f>IF(J15="","",IF(OR(J15=CS15,J15=CV15),$CA$1,IF(OR(J15=BR15,J15=BU15),$AZ$1,IF(OR(J15=AQ15,J15=AT15),$Y$1,""))))</f>
        <v>2022 Elite Canada</v>
      </c>
      <c r="L15" s="13">
        <f>IF(COUNT(AQ15,AT15,BR15,BU15,CS15,CV15)&gt;1,LARGE((AQ15,AT15,BR15,BU15,CS15,CV15),2),0)</f>
        <v>52.06</v>
      </c>
      <c r="M15" s="13" t="str">
        <f>IF(L15="","",IF(OR(L15=CS15,L15=CV15),$CA$1,IF(OR(L15=BR15,L15=BU15),$AZ$1,IF(OR(L15=AQ15,L15=AT15),$Y$1,""))))</f>
        <v>2021 Canadian Championships</v>
      </c>
      <c r="N15" s="13">
        <f>IF(COUNT(AQ15,AT15,BR15,BU15,CS15,CV15)&gt;2,LARGE((AQ15,AT15,BR15,BU15,CS15,CV15),3),0)</f>
        <v>49.445</v>
      </c>
      <c r="O15" s="13" t="str">
        <f>IF(N15="","",IF(OR(N15=CS15,N15=CV15),$CA$1,IF(OR(N15=BR15,N15=BU15),$AZ$1,IF(OR(N15=AQ15,N15=AT15),$Y$1,""))))</f>
        <v>2022 Elite Canada</v>
      </c>
      <c r="P15" s="13">
        <f>IF(MAX(AX15,BY15,CZ15)&gt;0,MAX(AX15,BY15,CZ15),0)</f>
        <v>48.845000000000006</v>
      </c>
      <c r="Q15" s="13" t="str">
        <f>IF(P15="","",IF(P15=CZ15,$CA$1,IF(P15=BY15,$AZ$1,IF(P15=AX15,$Y$1,""))))</f>
        <v>2022 Elite Canada</v>
      </c>
      <c r="R15" s="13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13.5</v>
      </c>
      <c r="S15" s="13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2022 Elite Canada</v>
      </c>
      <c r="T15" s="13">
        <f>IF(MAX(IF(AO15&gt;=$AY$25,AP15,0),IF(AR15&gt;=$AY$25,AS15,0),IF(AV15&gt;=$AY$25,AW15,0),IF(BP15&gt;=$BZ$25,BQ15,0),IF(BS15&gt;=$BZ$25,BT15,0),IF(BW15&gt;=$BZ$25,BX15,0),IF(CQ15&gt;=$DA$25,CR15,0),IF(CT15&gt;=$DA$25,CU15,0),IF(CX15&gt;=$DA$25,CY15,0))&gt;0,MAX(IF(AO15&gt;=$AY$25,AP15,0),IF(AR15&gt;=$AY$25,AS15,0),IF(AV15&gt;=$AY$25,AW15,0),IF(BP15&gt;=$BZ$25,BQ15,0),IF(BS15&gt;=$BZ$25,BT15,0),IF(BW15&gt;=$BZ$25,BX15,0),IF(CQ15&gt;=$DA$25,CR15,0),IF(CT15&gt;=$DA$25,CU15,0),IF(CX15&gt;=$DA$25,CY15,0),IF(DX15&gt;=$EK$25,DY15,0),IF(EA15&gt;=$EK$25,EB15,0),IF(EE15&gt;=$EK$25,EF15,0),IF(EH15&gt;=$EK$25,EI15,0),IF(FF15&gt;=$FS$25,FG15,0),IF(FI15&gt;=$FS$25,FJ15,0),IF(FM15&gt;=$FS$25,FN15,0),IF(FP15&gt;=$FS$25,FQ15,0),IF(GN15&gt;=$HA$25,GO15,0),IF(GQ15&gt;=$HA$25,GR15,0),IF(GU15&gt;=$HA$25,GV15,0),IF(GX15&gt;=$HA$25,GY15,0),IF(HV15&gt;=$II$25,HW15,0),IF(HY15&gt;=$II$25,HZ15,0),IF(IC15&gt;=$II$25,ID15,0),IF(IF15&gt;=$II$25,IG15,0),IF(JD15&gt;=$JQ$25,JE15,0),IF(JG15&gt;=$JQ$25,JH15,0),IF(JK15&gt;=$JQ$25,JL15,0),IF(JN15&gt;=$JQ$25,JO15,0),IF(KL15&gt;=$KY$25,KM15,0),IF(KO15&gt;=$KY$25,KP15,0),IF(KS15&gt;=$KY$25,KT15,0),IF(KV15&gt;=$KY$25,KW15,0),IF(LT15&gt;=$MG$25,LU15,0),IF(LW15&gt;=$MG$25,LX15,0),IF(MA15&gt;=$MG$25,MB15,0),IF(MD15&gt;=$MG$25,ME15,0),IF(NB15&gt;=$NO$25,NC15,0),IF(NE15&gt;=$NO$25,NF15,0),IF(NI15&gt;=$NO$25,NJ15,0),IF(NL15&gt;=$NO$25,NM15,0),IF(OJ15&gt;=$OW$25,OK15,0),IF(OM15&gt;=$OW$25,ON15,0),IF(OQ15&gt;=$OW$25,OR15,0),IF(OT15&gt;=$OW$25,OU15,0),IF(PR15&gt;=$QE$25,PS15,0),IF(PU15&gt;=$QE$25,PV15,0),IF(PY15&gt;=$QE$25,PZ15,0),IF(QB15&gt;=$QE$25,QC15,0),IF(QZ15&gt;=$RM$25,RA15,0),IF(RC15&gt;=$RM$25,RD15,0),IF(RG15&gt;=$RM$25,RH15,0),IF(RJ15&gt;=$RM$25,RK15,0),IF(SH15&gt;=$SU$25,SI15,0),IF(SK15&gt;=$SU$25,SL15,0),IF(SO15&gt;=$SU$25,SP15,0),IF(SR15&gt;=$SU$25,SS15,0)),0)</f>
        <v>0</v>
      </c>
      <c r="U15" s="13" t="str">
        <f>IF(T15=0,"",IF(OR(T15=CR15,T15=CU15,T15=CY15),$CA$1,IF(OR(T15=BQ15,T15=BT15,T15=BX15),$AZ$1,IF(OR(T15=AP15,T15=AS15,T15=AW15),$Y$1,IF(OR(R15=SI15,R15=SL15,R15=SP15,R15=SS15),$RN$1,IF(OR(R15=RA15,R15=RD15,R15=RH15,R15=RK15),$QF$1,IF(OR(R15=PS15,R15=PV15,R15=PZ15,R15=QC15),$OX$1,IF(OR(R15=OK15,R15=ON15,R15=OR15,R15=OU15),$NP$1,IF(OR(R15=NC15,R15=NF15,R15=NJ15,R15=NM15),$MH$1,IF(OR(R15=LU15,R15=LX15,R15=MB15,R15=ME15),$KZ$1,IF(OR(R15=KM15,R15=KP15,R15=KT15,R15=KW15),$JR$1,IF(OR(R15=JE15,R15=JH15,R15=JL15,R15=JO15),$IJ$1,IF(OR(R15=HW15,R15=HZ15,R15=ID15,R15=IG15),$HB$1,IF(OR(R15=GO15,R15=GR15,R15=GV15,R15=GY15),$FT$1,IF(OR(R15=FG15,R15=FJ15,R15=FN15,R15=FQ15),$EL$1,IF(OR(R15=DY15,R15=EB15,R15=EF15,R15=EI15),$DD$1,""))))))))))))))))</f>
        <v/>
      </c>
      <c r="V15" s="13" t="str">
        <f>IF(MAX(DB15,DC15)&gt;0,MAX(DB15,DC15),"")</f>
        <v/>
      </c>
      <c r="W15" s="16" t="str">
        <f>IF(V15="","",IF(V15=DB15,"("&amp;DB$2&amp;")",IF(V15=DC15,"("&amp;DC$2&amp;")")))</f>
        <v/>
      </c>
      <c r="X15" s="13" t="str">
        <f>IF(V15="","",IF(V15=DB15,IF(V15+IF(L15="",0,L15)=SN15,$RN$1,IF(V15+IF(L15="",0,L15)=RF15,$QF$1,IF(V15+IF(L15="",0,L15)=PX15,$OX$1,IF(V15+IF(L15="",0,L15)=OP15,$NP$1,IF(V15+IF(L15="",0,L15)=NH15,$MH$1,IF(V15+IF(L15="",0,L15)=LZ15,$KZ$1,IF(V15+IF(L15="",0,L15)=KR15,$JR$1,IF(V15+IF(L15="",0,L15)=JJ15,$IJ$1,IF(V15+IF(L15="",0,L15)=IB15,$HB$1,IF(V15+IF(L15="",0,L15)=GT15,$FT$1,IF(V15+IF(L15="",0,L15)=FL15,$EL$1,IF(V15+IF(L15="",0,L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$1)))))))))))))))</f>
        <v/>
      </c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51"/>
      <c r="AO15" s="74" t="str">
        <f>IF(AA15&gt;0,AA15,"")</f>
        <v/>
      </c>
      <c r="AP15" s="74" t="str">
        <f>IF(AB15&gt;0,AB15,"")</f>
        <v/>
      </c>
      <c r="AQ15" s="76" t="str">
        <f>IF(SUM(Y15:AB15)-AC15&gt;0,SUM(Y15:AB15)-AC15,"")</f>
        <v/>
      </c>
      <c r="AR15" s="76" t="str">
        <f>IF(AF15&gt;0,AF15,"")</f>
        <v/>
      </c>
      <c r="AS15" s="76" t="str">
        <f>IF(AG15&gt;0,AG15,"")</f>
        <v/>
      </c>
      <c r="AT15" s="76" t="str">
        <f>IF(SUM(AD15:AG15)-AH15&gt;0,SUM(AD15:AG15)-AH15,"")</f>
        <v/>
      </c>
      <c r="AU15" s="76" t="str">
        <f>IF(AQ15="","",MAX(AQ15,AT15))</f>
        <v/>
      </c>
      <c r="AV15" s="76" t="str">
        <f>IF(AK15&gt;0,AK15,"")</f>
        <v/>
      </c>
      <c r="AW15" s="76" t="str">
        <f>IF(AL15&gt;0,AL15,"")</f>
        <v/>
      </c>
      <c r="AX15" s="76" t="str">
        <f>IF(SUM(AI15:AL15)-AM15&gt;0,SUM(AI15:AL15)-AM15,"")</f>
        <v/>
      </c>
      <c r="AY15" s="76" t="str">
        <f>IF(SUM(AU15,AX15)&gt;0,SUM(AU15,AX15),"")</f>
        <v/>
      </c>
      <c r="AZ15" s="46">
        <v>10.9</v>
      </c>
      <c r="BA15" s="46">
        <v>7.3</v>
      </c>
      <c r="BB15" s="46">
        <v>8.3000000000000007</v>
      </c>
      <c r="BC15" s="46">
        <v>11.654999999999999</v>
      </c>
      <c r="BD15" s="46">
        <v>0</v>
      </c>
      <c r="BE15" s="46">
        <v>15</v>
      </c>
      <c r="BF15" s="46">
        <v>9.3000000000000007</v>
      </c>
      <c r="BG15" s="46">
        <v>13.1</v>
      </c>
      <c r="BH15" s="46">
        <v>15.06</v>
      </c>
      <c r="BI15" s="46">
        <v>0.4</v>
      </c>
      <c r="BJ15" s="46">
        <v>5.9</v>
      </c>
      <c r="BK15" s="46">
        <v>3.9</v>
      </c>
      <c r="BL15" s="46">
        <v>5.4</v>
      </c>
      <c r="BM15" s="46">
        <v>6.085</v>
      </c>
      <c r="BN15" s="46">
        <v>0</v>
      </c>
      <c r="BO15" s="52"/>
      <c r="BP15" s="75">
        <f>IF(BB15&gt;0,BB15,"")</f>
        <v>8.3000000000000007</v>
      </c>
      <c r="BQ15" s="75">
        <f>IF(BC15&gt;0,BC15,"")</f>
        <v>11.654999999999999</v>
      </c>
      <c r="BR15" s="16">
        <f>IF(SUM(AZ15:BC15)-BD15&gt;0,SUM(AZ15:BC15)-BD15,"")</f>
        <v>38.155000000000001</v>
      </c>
      <c r="BS15" s="16">
        <f>IF(BG15&gt;0,BG15,"")</f>
        <v>13.1</v>
      </c>
      <c r="BT15" s="16">
        <f>IF(BH15&gt;0,BH15,"")</f>
        <v>15.06</v>
      </c>
      <c r="BU15" s="16">
        <f>IF(SUM(BE15:BH15)-BI15&gt;0,SUM(BE15:BH15)-BI15,"")</f>
        <v>52.06</v>
      </c>
      <c r="BV15" s="16">
        <f>IF(BR15="","",MAX(BR15,BU15))</f>
        <v>52.06</v>
      </c>
      <c r="BW15" s="16">
        <f>IF(BL15&gt;0,BL15,"")</f>
        <v>5.4</v>
      </c>
      <c r="BX15" s="16">
        <f>IF(BM15&gt;0,BM15,"")</f>
        <v>6.085</v>
      </c>
      <c r="BY15" s="16">
        <f>IF(SUM(BJ15:BM15)-BN15&gt;0,SUM(BJ15:BM15)-BN15,"")</f>
        <v>21.285</v>
      </c>
      <c r="BZ15" s="16">
        <f>IF(SUM(BV15,BY15)&gt;0,SUM(BV15,BY15),"")</f>
        <v>73.344999999999999</v>
      </c>
      <c r="CA15" s="42">
        <v>14.5</v>
      </c>
      <c r="CB15" s="42">
        <v>8.9</v>
      </c>
      <c r="CC15" s="42">
        <v>12.6</v>
      </c>
      <c r="CD15" s="42">
        <v>14.345000000000001</v>
      </c>
      <c r="CE15" s="42">
        <v>0.9</v>
      </c>
      <c r="CF15" s="42">
        <v>14.7</v>
      </c>
      <c r="CG15" s="42">
        <v>9.6999999999999993</v>
      </c>
      <c r="CH15" s="42">
        <v>13.5</v>
      </c>
      <c r="CI15" s="42">
        <v>14.895</v>
      </c>
      <c r="CJ15" s="42">
        <v>0</v>
      </c>
      <c r="CK15" s="42">
        <v>12.9</v>
      </c>
      <c r="CL15" s="42">
        <v>9.6999999999999993</v>
      </c>
      <c r="CM15" s="42">
        <v>12.6</v>
      </c>
      <c r="CN15" s="42">
        <v>14.545</v>
      </c>
      <c r="CO15" s="42">
        <v>0.9</v>
      </c>
      <c r="CP15" s="51"/>
      <c r="CQ15" s="74">
        <f>IF(CC15&gt;0,CC15,"")</f>
        <v>12.6</v>
      </c>
      <c r="CR15" s="74">
        <f>IF(CD15&gt;0,CD15,"")</f>
        <v>14.345000000000001</v>
      </c>
      <c r="CS15" s="76">
        <f>IF(SUM(CA15:CD15)-CE15&gt;0,SUM(CA15:CD15)-CE15,"")</f>
        <v>49.445</v>
      </c>
      <c r="CT15" s="76">
        <f>IF(CH15&gt;0,CH15,"")</f>
        <v>13.5</v>
      </c>
      <c r="CU15" s="76">
        <f>IF(CI15&gt;0,CI15,"")</f>
        <v>14.895</v>
      </c>
      <c r="CV15" s="76">
        <f>IF(SUM(CF15:CI15)-CJ15&gt;0,SUM(CF15:CI15)-CJ15,"")</f>
        <v>52.795000000000002</v>
      </c>
      <c r="CW15" s="76">
        <f>IF(CS15="","",MAX(CS15,CV15))</f>
        <v>52.795000000000002</v>
      </c>
      <c r="CX15" s="76">
        <f>IF(CM15&gt;0,CM15,"")</f>
        <v>12.6</v>
      </c>
      <c r="CY15" s="76">
        <f>IF(CN15&gt;0,CN15,"")</f>
        <v>14.545</v>
      </c>
      <c r="CZ15" s="76">
        <f>IF(SUM(CK15:CN15)-CO15&gt;0,SUM(CK15:CN15)-CO15,"")</f>
        <v>48.845000000000006</v>
      </c>
      <c r="DA15" s="76">
        <f>IF(SUM(CW15,CZ15)&gt;0,SUM(CW15,CZ15),"")</f>
        <v>101.64000000000001</v>
      </c>
      <c r="DB15" s="87" t="str">
        <f>IF(L15&gt;=0.001,IF(MAX(ED15,FL15,GT15,IB15,JJ15,KR15,LZ15,NH15,OP15,PX15,RF15,SN15)-IF(L15="",0,L15)&gt;0.001,MAX(ED15,FL15,GT15,IB15,JJ15,KR15,LZ15,NH15,OP15,PX15,RF15,SN15)-IF(L15="",0,L15),""),"")</f>
        <v/>
      </c>
      <c r="DC15" s="87" t="str">
        <f>IF(P15&gt;=0.001,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,"")</f>
        <v/>
      </c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76" t="str">
        <f>IF(DF15&gt;0,DF15,"")</f>
        <v/>
      </c>
      <c r="DY15" s="76" t="str">
        <f>IF(DG15&gt;0,DG15,"")</f>
        <v/>
      </c>
      <c r="DZ15" s="76" t="str">
        <f>IF(SUM(DD15:DG15)-DH15&gt;0,SUM(DD15:DG15)-DH15,"")</f>
        <v/>
      </c>
      <c r="EA15" s="76" t="str">
        <f>IF(DK15&gt;0,DK15,"")</f>
        <v/>
      </c>
      <c r="EB15" s="76" t="str">
        <f>IF(DL15&gt;0,DL15,"")</f>
        <v/>
      </c>
      <c r="EC15" s="76" t="str">
        <f>IF(SUM(DI15:DL15)-DM15&gt;0,SUM(DI15:DL15)-DM15,"")</f>
        <v/>
      </c>
      <c r="ED15" s="76" t="str">
        <f>IF(MAX(DZ15,EC15)&gt;0,MAX(DZ15,EC15),"")</f>
        <v/>
      </c>
      <c r="EE15" s="76" t="str">
        <f>IF(DP15&gt;0,DP15,"")</f>
        <v/>
      </c>
      <c r="EF15" s="76" t="str">
        <f>IF(DQ15&gt;0,DQ15,"")</f>
        <v/>
      </c>
      <c r="EG15" s="76" t="str">
        <f>IF(SUM(DN15:DQ15)-DR15&gt;0,SUM(DN15:DQ15)-DR15,"")</f>
        <v/>
      </c>
      <c r="EH15" s="76" t="str">
        <f>IF(DU15&gt;0,DU15,"")</f>
        <v/>
      </c>
      <c r="EI15" s="76" t="str">
        <f>IF(DV15&gt;0,DV15,"")</f>
        <v/>
      </c>
      <c r="EJ15" s="76" t="str">
        <f>IF(SUM(DS15:DV15)-DW15&gt;0,SUM(DS15:DV15)-DW15,"")</f>
        <v/>
      </c>
      <c r="EK15" s="76" t="str">
        <f>IF(SUM(ED15,EJ15)&gt;0,SUM(ED15,EJ15),"")</f>
        <v/>
      </c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16" t="str">
        <f>IF(EN15&gt;0,EN15,"")</f>
        <v/>
      </c>
      <c r="FG15" s="16" t="str">
        <f>IF(EO15&gt;0,EO15,"")</f>
        <v/>
      </c>
      <c r="FH15" s="16" t="str">
        <f>IF(SUM(EL15:EO15)-EP15&gt;0,SUM(EL15:EO15)-EP15,"")</f>
        <v/>
      </c>
      <c r="FI15" s="16" t="str">
        <f>IF(ES15&gt;0,ES15,"")</f>
        <v/>
      </c>
      <c r="FJ15" s="16" t="str">
        <f>IF(ET15&gt;0,ET15,"")</f>
        <v/>
      </c>
      <c r="FK15" s="16" t="str">
        <f>IF(SUM(EQ15:ET15)-EU15&gt;0,SUM(EQ15:ET15)-EU15,"")</f>
        <v/>
      </c>
      <c r="FL15" s="16" t="str">
        <f>IF(MAX(FH15,FK15)&gt;0,MAX(FH15,FK15),"")</f>
        <v/>
      </c>
      <c r="FM15" s="16" t="str">
        <f>IF(EX15&gt;0,EX15,"")</f>
        <v/>
      </c>
      <c r="FN15" s="16" t="str">
        <f>IF(EY15&gt;0,EY15,"")</f>
        <v/>
      </c>
      <c r="FO15" s="16" t="str">
        <f>IF(SUM(EV15:EY15)-EZ15&gt;0,SUM(EV15:EY15)-EZ15,"")</f>
        <v/>
      </c>
      <c r="FP15" s="16" t="str">
        <f>IF(FC15&gt;0,FC15,"")</f>
        <v/>
      </c>
      <c r="FQ15" s="16" t="str">
        <f>IF(FD15&gt;0,FD15,"")</f>
        <v/>
      </c>
      <c r="FR15" s="16" t="str">
        <f>IF(SUM(FA15:FD15)-FE15&gt;0,SUM(FA15:FD15)-FE15,"")</f>
        <v/>
      </c>
      <c r="FS15" s="16" t="str">
        <f>IF(SUM(FL15,FR15)&gt;0,SUM(FL15,FR15),"")</f>
        <v/>
      </c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76" t="str">
        <f>IF(FV15&gt;0,FV15,"")</f>
        <v/>
      </c>
      <c r="GO15" s="76" t="str">
        <f>IF(FW15&gt;0,FW15,"")</f>
        <v/>
      </c>
      <c r="GP15" s="76" t="str">
        <f>IF(SUM(FT15:FW15)-FX15&gt;0,SUM(FT15:FW15)-FX15,"")</f>
        <v/>
      </c>
      <c r="GQ15" s="76" t="str">
        <f>IF(GA15&gt;0,GA15,"")</f>
        <v/>
      </c>
      <c r="GR15" s="76" t="str">
        <f>IF(GB15&gt;0,GB15,"")</f>
        <v/>
      </c>
      <c r="GS15" s="76" t="str">
        <f>IF(SUM(FY15:GB15)-GC15&gt;0,SUM(FY15:GB15)-GC15,"")</f>
        <v/>
      </c>
      <c r="GT15" s="76" t="str">
        <f>IF(MAX(GP15,GS15)&gt;0,MAX(GP15,GS15),"")</f>
        <v/>
      </c>
      <c r="GU15" s="76" t="str">
        <f>IF(GF15&gt;0,GF15,"")</f>
        <v/>
      </c>
      <c r="GV15" s="76" t="str">
        <f>IF(GG15&gt;0,GG15,"")</f>
        <v/>
      </c>
      <c r="GW15" s="76" t="str">
        <f>IF(SUM(GD15:GG15)-GH15&gt;0,SUM(GD15:GG15)-GH15,"")</f>
        <v/>
      </c>
      <c r="GX15" s="76" t="str">
        <f>IF(GK15&gt;0,GK15,"")</f>
        <v/>
      </c>
      <c r="GY15" s="76" t="str">
        <f>IF(GL15&gt;0,GL15,"")</f>
        <v/>
      </c>
      <c r="GZ15" s="76" t="str">
        <f>IF(SUM(GI15:GL15)-GM15&gt;0,SUM(GI15:GL15)-GM15,"")</f>
        <v/>
      </c>
      <c r="HA15" s="76" t="str">
        <f>IF(SUM(GT15,GZ15)&gt;0,SUM(GT15,GZ15),"")</f>
        <v/>
      </c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16" t="str">
        <f>IF(HD15&gt;0,HD15,"")</f>
        <v/>
      </c>
      <c r="HW15" s="16" t="str">
        <f>IF(HE15&gt;0,HE15,"")</f>
        <v/>
      </c>
      <c r="HX15" s="16" t="str">
        <f>IF(SUM(HB15:HE15)-HF15&gt;0,SUM(HB15:HE15)-HF15,"")</f>
        <v/>
      </c>
      <c r="HY15" s="16" t="str">
        <f>IF(HI15&gt;0,HI15,"")</f>
        <v/>
      </c>
      <c r="HZ15" s="16" t="str">
        <f>IF(HJ15&gt;0,HJ15,"")</f>
        <v/>
      </c>
      <c r="IA15" s="16" t="str">
        <f>IF(SUM(HG15:HJ15)-HK15&gt;0,SUM(HG15:HJ15)-HK15,"")</f>
        <v/>
      </c>
      <c r="IB15" s="16" t="str">
        <f>IF(MAX(HX15,IA15)&gt;0,MAX(HX15,IA15),"")</f>
        <v/>
      </c>
      <c r="IC15" s="16" t="str">
        <f>IF(HN15&gt;0,HN15,"")</f>
        <v/>
      </c>
      <c r="ID15" s="16" t="str">
        <f>IF(HO15&gt;0,HO15,"")</f>
        <v/>
      </c>
      <c r="IE15" s="16" t="str">
        <f>IF(SUM(HL15:HO15)-HP15&gt;0,SUM(HL15:HO15)-HP15,"")</f>
        <v/>
      </c>
      <c r="IF15" s="16" t="str">
        <f>IF(HS15&gt;0,HS15,"")</f>
        <v/>
      </c>
      <c r="IG15" s="16" t="str">
        <f>IF(HT15&gt;0,HT15,"")</f>
        <v/>
      </c>
      <c r="IH15" s="16" t="str">
        <f>IF(SUM(HQ15:HT15)-HU15&gt;0,SUM(HQ15:HT15)-HU15,"")</f>
        <v/>
      </c>
      <c r="II15" s="16" t="str">
        <f>IF(SUM(IB15,IH15)&gt;0,SUM(IB15,IH15),"")</f>
        <v/>
      </c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76" t="str">
        <f>IF(IL15&gt;0,IL15,"")</f>
        <v/>
      </c>
      <c r="JE15" s="76" t="str">
        <f>IF(IM15&gt;0,IM15,"")</f>
        <v/>
      </c>
      <c r="JF15" s="76" t="str">
        <f>IF(SUM(IJ15:IM15)-IN15&gt;0,SUM(IJ15:IM15)-IN15,"")</f>
        <v/>
      </c>
      <c r="JG15" s="76" t="str">
        <f>IF(IQ15&gt;0,IQ15,"")</f>
        <v/>
      </c>
      <c r="JH15" s="76" t="str">
        <f>IF(IR15&gt;0,IR15,"")</f>
        <v/>
      </c>
      <c r="JI15" s="76" t="str">
        <f>IF(SUM(IO15:IR15)-IS15&gt;0,SUM(IO15:IR15)-IS15,"")</f>
        <v/>
      </c>
      <c r="JJ15" s="76" t="str">
        <f>IF(MAX(JF15,JI15)&gt;0,MAX(JF15,JI15),"")</f>
        <v/>
      </c>
      <c r="JK15" s="76" t="str">
        <f>IF(IV15&gt;0,IV15,"")</f>
        <v/>
      </c>
      <c r="JL15" s="76" t="str">
        <f>IF(IW15&gt;0,IW15,"")</f>
        <v/>
      </c>
      <c r="JM15" s="76" t="str">
        <f>IF(SUM(IT15:IW15)-IX15&gt;0,SUM(IT15:IW15)-IX15,"")</f>
        <v/>
      </c>
      <c r="JN15" s="76" t="str">
        <f>IF(JA15&gt;0,JA15,"")</f>
        <v/>
      </c>
      <c r="JO15" s="76" t="str">
        <f>IF(JB15&gt;0,JB15,"")</f>
        <v/>
      </c>
      <c r="JP15" s="76" t="str">
        <f>IF(SUM(IY15:JB15)-JC15&gt;0,SUM(IY15:JB15)-JC15,"")</f>
        <v/>
      </c>
      <c r="JQ15" s="76" t="str">
        <f>IF(SUM(JJ15,JP15)&gt;0,SUM(JJ15,JP15),"")</f>
        <v/>
      </c>
      <c r="JR15" s="26"/>
      <c r="JS15" s="26"/>
      <c r="JT15" s="26"/>
      <c r="JU15" s="26"/>
      <c r="JV15" s="26"/>
      <c r="JW15" s="26"/>
      <c r="JX15" s="26"/>
      <c r="JY15" s="26"/>
      <c r="JZ15" s="26"/>
      <c r="KA15" s="26"/>
      <c r="KB15" s="26"/>
      <c r="KC15" s="26"/>
      <c r="KD15" s="26"/>
      <c r="KE15" s="26"/>
      <c r="KF15" s="26"/>
      <c r="KG15" s="26"/>
      <c r="KH15" s="26"/>
      <c r="KI15" s="26"/>
      <c r="KJ15" s="26"/>
      <c r="KK15" s="26"/>
      <c r="KL15" s="16" t="str">
        <f>IF(JT15&gt;0,JT15,"")</f>
        <v/>
      </c>
      <c r="KM15" s="16" t="str">
        <f>IF(JU15&gt;0,JU15,"")</f>
        <v/>
      </c>
      <c r="KN15" s="16" t="str">
        <f>IF(SUM(JR15:JU15)-JV15&gt;0,SUM(JR15:JU15)-JV15,"")</f>
        <v/>
      </c>
      <c r="KO15" s="16" t="str">
        <f>IF(JY15&gt;0,JY15,"")</f>
        <v/>
      </c>
      <c r="KP15" s="16" t="str">
        <f>IF(JZ15&gt;0,JZ15,"")</f>
        <v/>
      </c>
      <c r="KQ15" s="16" t="str">
        <f>IF(SUM(JW15:JZ15)-KA15&gt;0,SUM(JW15:JZ15)-KA15,"")</f>
        <v/>
      </c>
      <c r="KR15" s="16" t="str">
        <f>IF(MAX(KN15,KQ15)&gt;0,MAX(KN15,KQ15),"")</f>
        <v/>
      </c>
      <c r="KS15" s="16" t="str">
        <f>IF(KD15&gt;0,KD15,"")</f>
        <v/>
      </c>
      <c r="KT15" s="16" t="str">
        <f>IF(KE15&gt;0,KE15,"")</f>
        <v/>
      </c>
      <c r="KU15" s="16" t="str">
        <f>IF(SUM(KB15:KE15)-KF15&gt;0,SUM(KB15:KE15)-KF15,"")</f>
        <v/>
      </c>
      <c r="KV15" s="16" t="str">
        <f>IF(KI15&gt;0,KI15,"")</f>
        <v/>
      </c>
      <c r="KW15" s="16" t="str">
        <f>IF(KJ15&gt;0,KJ15,"")</f>
        <v/>
      </c>
      <c r="KX15" s="16" t="str">
        <f>IF(SUM(KG15:KJ15)-KK15&gt;0,SUM(KG15:KJ15)-KK15,"")</f>
        <v/>
      </c>
      <c r="KY15" s="16" t="str">
        <f>IF(SUM(KR15,KX15)&gt;0,SUM(KR15,KX15),"")</f>
        <v/>
      </c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25"/>
      <c r="LQ15" s="25"/>
      <c r="LR15" s="25"/>
      <c r="LS15" s="25"/>
      <c r="LT15" s="76" t="str">
        <f>IF(LB15&gt;0,LB15,"")</f>
        <v/>
      </c>
      <c r="LU15" s="76" t="str">
        <f>IF(LC15&gt;0,LC15,"")</f>
        <v/>
      </c>
      <c r="LV15" s="76" t="str">
        <f>IF(SUM(KZ15:LC15)-LD15&gt;0,SUM(KZ15:LC15)-LD15,"")</f>
        <v/>
      </c>
      <c r="LW15" s="76" t="str">
        <f>IF(LG15&gt;0,LG15,"")</f>
        <v/>
      </c>
      <c r="LX15" s="76" t="str">
        <f>IF(LH15&gt;0,LH15,"")</f>
        <v/>
      </c>
      <c r="LY15" s="76" t="str">
        <f>IF(SUM(LE15:LH15)-LI15&gt;0,SUM(LE15:LH15)-LI15,"")</f>
        <v/>
      </c>
      <c r="LZ15" s="76" t="str">
        <f>IF(MAX(LV15,LY15)&gt;0,MAX(LV15,LY15),"")</f>
        <v/>
      </c>
      <c r="MA15" s="76" t="str">
        <f>IF(LL15&gt;0,LL15,"")</f>
        <v/>
      </c>
      <c r="MB15" s="76" t="str">
        <f>IF(LM15&gt;0,LM15,"")</f>
        <v/>
      </c>
      <c r="MC15" s="76" t="str">
        <f>IF(SUM(LJ15:LM15)-LN15&gt;0,SUM(LJ15:LM15)-LN15,"")</f>
        <v/>
      </c>
      <c r="MD15" s="76" t="str">
        <f>IF(LQ15&gt;0,LQ15,"")</f>
        <v/>
      </c>
      <c r="ME15" s="76" t="str">
        <f>IF(LR15&gt;0,LR15,"")</f>
        <v/>
      </c>
      <c r="MF15" s="76" t="str">
        <f>IF(SUM(LO15:LR15)-LS15&gt;0,SUM(LO15:LR15)-LS15,"")</f>
        <v/>
      </c>
      <c r="MG15" s="76" t="str">
        <f>IF(SUM(LZ15,MF15)&gt;0,SUM(LZ15,MF15),"")</f>
        <v/>
      </c>
      <c r="MH15" s="26"/>
      <c r="MI15" s="26"/>
      <c r="MJ15" s="26"/>
      <c r="MK15" s="26"/>
      <c r="ML15" s="26"/>
      <c r="MM15" s="26"/>
      <c r="MN15" s="26"/>
      <c r="MO15" s="26"/>
      <c r="MP15" s="26"/>
      <c r="MQ15" s="26"/>
      <c r="MR15" s="26"/>
      <c r="MS15" s="26"/>
      <c r="MT15" s="26"/>
      <c r="MU15" s="26"/>
      <c r="MV15" s="26"/>
      <c r="MW15" s="26"/>
      <c r="MX15" s="26"/>
      <c r="MY15" s="26"/>
      <c r="MZ15" s="26"/>
      <c r="NA15" s="26"/>
      <c r="NB15" s="16" t="str">
        <f>IF(MJ15&gt;0,MJ15,"")</f>
        <v/>
      </c>
      <c r="NC15" s="16" t="str">
        <f>IF(MK15&gt;0,MK15,"")</f>
        <v/>
      </c>
      <c r="ND15" s="16" t="str">
        <f>IF(SUM(MH15:MK15)-ML15&gt;0,SUM(MH15:MK15)-ML15,"")</f>
        <v/>
      </c>
      <c r="NE15" s="16" t="str">
        <f>IF(MO15&gt;0,MO15,"")</f>
        <v/>
      </c>
      <c r="NF15" s="16" t="str">
        <f>IF(MP15&gt;0,MP15,"")</f>
        <v/>
      </c>
      <c r="NG15" s="16" t="str">
        <f>IF(SUM(MM15:MP15)-MQ15&gt;0,SUM(MM15:MP15)-MQ15,"")</f>
        <v/>
      </c>
      <c r="NH15" s="16" t="str">
        <f>IF(MAX(ND15,NG15)&gt;0,MAX(ND15,NG15),"")</f>
        <v/>
      </c>
      <c r="NI15" s="16" t="str">
        <f>IF(MT15&gt;0,MT15,"")</f>
        <v/>
      </c>
      <c r="NJ15" s="16" t="str">
        <f>IF(MU15&gt;0,MU15,"")</f>
        <v/>
      </c>
      <c r="NK15" s="16" t="str">
        <f>IF(SUM(MR15:MU15)-MV15&gt;0,SUM(MR15:MU15)-MV15,"")</f>
        <v/>
      </c>
      <c r="NL15" s="16" t="str">
        <f>IF(MY15&gt;0,MY15,"")</f>
        <v/>
      </c>
      <c r="NM15" s="16" t="str">
        <f>IF(MZ15&gt;0,MZ15,"")</f>
        <v/>
      </c>
      <c r="NN15" s="16" t="str">
        <f>IF(SUM(MW15:MZ15)-NA15&gt;0,SUM(MW15:MZ15)-NA15,"")</f>
        <v/>
      </c>
      <c r="NO15" s="16" t="str">
        <f>IF(SUM(NH15,NN15)&gt;0,SUM(NH15,NN15),"")</f>
        <v/>
      </c>
      <c r="NP15" s="25"/>
      <c r="NQ15" s="25"/>
      <c r="NR15" s="25"/>
      <c r="NS15" s="25"/>
      <c r="NT15" s="25"/>
      <c r="NU15" s="25"/>
      <c r="NV15" s="25"/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76" t="str">
        <f>IF(NR15&gt;0,NR15,"")</f>
        <v/>
      </c>
      <c r="OK15" s="76" t="str">
        <f>IF(NS15&gt;0,NS15,"")</f>
        <v/>
      </c>
      <c r="OL15" s="76" t="str">
        <f>IF(SUM(NP15:NS15)-NT15&gt;0,SUM(NP15:NS15)-NT15,"")</f>
        <v/>
      </c>
      <c r="OM15" s="76" t="str">
        <f>IF(NW15&gt;0,NW15,"")</f>
        <v/>
      </c>
      <c r="ON15" s="76" t="str">
        <f>IF(NX15&gt;0,NX15,"")</f>
        <v/>
      </c>
      <c r="OO15" s="76" t="str">
        <f>IF(SUM(NU15:NX15)-NY15&gt;0,SUM(NU15:NX15)-NY15,"")</f>
        <v/>
      </c>
      <c r="OP15" s="76" t="str">
        <f>IF(MAX(OL15,OO15)&gt;0,MAX(OL15,OO15),"")</f>
        <v/>
      </c>
      <c r="OQ15" s="76" t="str">
        <f>IF(OB15&gt;0,OB15,"")</f>
        <v/>
      </c>
      <c r="OR15" s="76" t="str">
        <f>IF(OC15&gt;0,OC15,"")</f>
        <v/>
      </c>
      <c r="OS15" s="76" t="str">
        <f>IF(SUM(NZ15:OC15)-OD15&gt;0,SUM(NZ15:OC15)-OD15,"")</f>
        <v/>
      </c>
      <c r="OT15" s="76" t="str">
        <f>IF(OG15&gt;0,OG15,"")</f>
        <v/>
      </c>
      <c r="OU15" s="76" t="str">
        <f>IF(OH15&gt;0,OH15,"")</f>
        <v/>
      </c>
      <c r="OV15" s="76" t="str">
        <f>IF(SUM(OE15:OH15)-OI15&gt;0,SUM(OE15:OH15)-OI15,"")</f>
        <v/>
      </c>
      <c r="OW15" s="76" t="str">
        <f>IF(SUM(OP15,OV15)&gt;0,SUM(OP15,OV15),"")</f>
        <v/>
      </c>
      <c r="OX15" s="26"/>
      <c r="OY15" s="26"/>
      <c r="OZ15" s="26"/>
      <c r="PA15" s="26"/>
      <c r="PB15" s="26"/>
      <c r="PC15" s="26"/>
      <c r="PD15" s="26"/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16" t="str">
        <f>IF(OZ15&gt;0,OZ15,"")</f>
        <v/>
      </c>
      <c r="PS15" s="16" t="str">
        <f>IF(PA15&gt;0,PA15,"")</f>
        <v/>
      </c>
      <c r="PT15" s="16" t="str">
        <f>IF(SUM(OX15:PA15)-PB15&gt;0,SUM(OX15:PA15)-PB15,"")</f>
        <v/>
      </c>
      <c r="PU15" s="16" t="str">
        <f>IF(PE15&gt;0,PE15,"")</f>
        <v/>
      </c>
      <c r="PV15" s="16" t="str">
        <f>IF(PF15&gt;0,PF15,"")</f>
        <v/>
      </c>
      <c r="PW15" s="16" t="str">
        <f>IF(SUM(PC15:PF15)-PG15&gt;0,SUM(PC15:PF15)-PG15,"")</f>
        <v/>
      </c>
      <c r="PX15" s="16" t="str">
        <f>IF(MAX(PT15,PW15)&gt;0,MAX(PT15,PW15),"")</f>
        <v/>
      </c>
      <c r="PY15" s="16" t="str">
        <f>IF(PJ15&gt;0,PJ15,"")</f>
        <v/>
      </c>
      <c r="PZ15" s="16" t="str">
        <f>IF(PK15&gt;0,PK15,"")</f>
        <v/>
      </c>
      <c r="QA15" s="16" t="str">
        <f>IF(SUM(PH15:PK15)-PL15&gt;0,SUM(PH15:PK15)-PL15,"")</f>
        <v/>
      </c>
      <c r="QB15" s="16" t="str">
        <f>IF(PO15&gt;0,PO15,"")</f>
        <v/>
      </c>
      <c r="QC15" s="16" t="str">
        <f>IF(PP15&gt;0,PP15,"")</f>
        <v/>
      </c>
      <c r="QD15" s="16" t="str">
        <f>IF(SUM(PM15:PP15)-PQ15&gt;0,SUM(PM15:PP15)-PQ15,"")</f>
        <v/>
      </c>
      <c r="QE15" s="16" t="str">
        <f>IF(SUM(PX15,QD15)&gt;0,SUM(PX15,QD15),"")</f>
        <v/>
      </c>
      <c r="QF15" s="25"/>
      <c r="QG15" s="25"/>
      <c r="QH15" s="25"/>
      <c r="QI15" s="25"/>
      <c r="QJ15" s="25"/>
      <c r="QK15" s="25"/>
      <c r="QL15" s="25"/>
      <c r="QM15" s="25"/>
      <c r="QN15" s="25"/>
      <c r="QO15" s="25"/>
      <c r="QP15" s="25"/>
      <c r="QQ15" s="25"/>
      <c r="QR15" s="25"/>
      <c r="QS15" s="25"/>
      <c r="QT15" s="25"/>
      <c r="QU15" s="25"/>
      <c r="QV15" s="25"/>
      <c r="QW15" s="25"/>
      <c r="QX15" s="25"/>
      <c r="QY15" s="25"/>
      <c r="QZ15" s="76" t="str">
        <f>IF(QH15&gt;0,QH15,"")</f>
        <v/>
      </c>
      <c r="RA15" s="76" t="str">
        <f>IF(QI15&gt;0,QI15,"")</f>
        <v/>
      </c>
      <c r="RB15" s="76" t="str">
        <f>IF(SUM(QF15:QI15)-QJ15&gt;0,SUM(QF15:QI15)-QJ15,"")</f>
        <v/>
      </c>
      <c r="RC15" s="76" t="str">
        <f>IF(QM15&gt;0,QM15,"")</f>
        <v/>
      </c>
      <c r="RD15" s="76" t="str">
        <f>IF(QN15&gt;0,QN15,"")</f>
        <v/>
      </c>
      <c r="RE15" s="76" t="str">
        <f>IF(SUM(QK15:QN15)-QO15&gt;0,SUM(QK15:QN15)-QO15,"")</f>
        <v/>
      </c>
      <c r="RF15" s="76" t="str">
        <f>IF(MAX(RB15,RE15)&gt;0,MAX(RB15,RE15),"")</f>
        <v/>
      </c>
      <c r="RG15" s="76" t="str">
        <f>IF(QR15&gt;0,QR15,"")</f>
        <v/>
      </c>
      <c r="RH15" s="76" t="str">
        <f>IF(QS15&gt;0,QS15,"")</f>
        <v/>
      </c>
      <c r="RI15" s="76" t="str">
        <f>IF(SUM(QP15:QS15)-QT15&gt;0,SUM(QP15:QS15)-QT15,"")</f>
        <v/>
      </c>
      <c r="RJ15" s="76" t="str">
        <f>IF(QW15&gt;0,QW15,"")</f>
        <v/>
      </c>
      <c r="RK15" s="76" t="str">
        <f>IF(QX15&gt;0,QX15,"")</f>
        <v/>
      </c>
      <c r="RL15" s="76" t="str">
        <f>IF(SUM(QU15:QX15)-QY15&gt;0,SUM(QU15:QX15)-QY15,"")</f>
        <v/>
      </c>
      <c r="RM15" s="76" t="str">
        <f>IF(SUM(RF15,RL15)&gt;0,SUM(RF15,RL15),"")</f>
        <v/>
      </c>
      <c r="RN15" s="26"/>
      <c r="RO15" s="26"/>
      <c r="RP15" s="26"/>
      <c r="RQ15" s="26"/>
      <c r="RR15" s="26"/>
      <c r="RS15" s="26"/>
      <c r="RT15" s="26"/>
      <c r="RU15" s="26"/>
      <c r="RV15" s="26"/>
      <c r="RW15" s="26"/>
      <c r="RX15" s="26"/>
      <c r="RY15" s="26"/>
      <c r="RZ15" s="26"/>
      <c r="SA15" s="26"/>
      <c r="SB15" s="26"/>
      <c r="SC15" s="26"/>
      <c r="SD15" s="26"/>
      <c r="SE15" s="26"/>
      <c r="SF15" s="26"/>
      <c r="SG15" s="26"/>
      <c r="SH15" s="16" t="str">
        <f>IF(RP15&gt;0,RP15,"")</f>
        <v/>
      </c>
      <c r="SI15" s="16" t="str">
        <f>IF(RQ15&gt;0,RQ15,"")</f>
        <v/>
      </c>
      <c r="SJ15" s="16" t="str">
        <f>IF(SUM(RN15:RQ15)-RR15&gt;0,SUM(RN15:RQ15)-RR15,"")</f>
        <v/>
      </c>
      <c r="SK15" s="16" t="str">
        <f>IF(RU15&gt;0,RU15,"")</f>
        <v/>
      </c>
      <c r="SL15" s="16" t="str">
        <f>IF(RV15&gt;0,RV15,"")</f>
        <v/>
      </c>
      <c r="SM15" s="16" t="str">
        <f>IF(SUM(RS15:RV15)-RW15&gt;0,SUM(RS15:RV15)-RW15,"")</f>
        <v/>
      </c>
      <c r="SN15" s="16" t="str">
        <f>IF(MAX(SJ15,SM15)&gt;0,MAX(SJ15,SM15),"")</f>
        <v/>
      </c>
      <c r="SO15" s="16" t="str">
        <f>IF(RZ15&gt;0,RZ15,"")</f>
        <v/>
      </c>
      <c r="SP15" s="16" t="str">
        <f>IF(SA15&gt;0,SA15,"")</f>
        <v/>
      </c>
      <c r="SQ15" s="16" t="str">
        <f>IF(SUM(RX15:SA15)-SB15&gt;0,SUM(RX15:SA15)-SB15,"")</f>
        <v/>
      </c>
      <c r="SR15" s="16" t="str">
        <f>IF(SE15&gt;0,SE15,"")</f>
        <v/>
      </c>
      <c r="SS15" s="16" t="str">
        <f>IF(SF15&gt;0,SF15,"")</f>
        <v/>
      </c>
      <c r="ST15" s="16" t="str">
        <f>IF(SUM(SC15:SF15)-SG15&gt;0,SUM(SC15:SF15)-SG15,"")</f>
        <v/>
      </c>
      <c r="SU15" s="16" t="str">
        <f>IF(SUM(SN15,ST15)&gt;0,SUM(SN15,ST15),"")</f>
        <v/>
      </c>
      <c r="SV15" s="42">
        <f>IF($CP15="P",CA15,(CA15+AZ15)/2)</f>
        <v>12.7</v>
      </c>
      <c r="SW15" s="42">
        <f>IF($CP15="P",CB15,(CB15+BA15)/2)</f>
        <v>8.1</v>
      </c>
      <c r="SX15" s="42">
        <f>IF($CP15="P",CC15,(CC15+BB15)/2)</f>
        <v>10.45</v>
      </c>
      <c r="SY15" s="42">
        <f>IF($CP15="P",CD15,(CD15+BC15)/2)</f>
        <v>13</v>
      </c>
      <c r="SZ15" s="42">
        <f>IF($CP15="P",CE15,(CE15+BD15)/2)</f>
        <v>0.45</v>
      </c>
      <c r="TA15" s="42">
        <f>IF($CP15="P",CF15,(CF15+BE15)/2)</f>
        <v>14.85</v>
      </c>
      <c r="TB15" s="42">
        <f>IF($CP15="P",CG15,(CG15+BF15)/2)</f>
        <v>9.5</v>
      </c>
      <c r="TC15" s="42">
        <f>IF($CP15="P",CH15,(CH15+BG15)/2)</f>
        <v>13.3</v>
      </c>
      <c r="TD15" s="42">
        <f>IF($CP15="P",CI15,(CI15+BH15)/2)</f>
        <v>14.977499999999999</v>
      </c>
      <c r="TE15" s="42">
        <f>IF($CP15="P",CJ15,(CJ15+BI15)/2)</f>
        <v>0.2</v>
      </c>
      <c r="TF15" s="42">
        <f>IF($CP15="P",CK15,(CK15+BJ15)/2)</f>
        <v>9.4</v>
      </c>
      <c r="TG15" s="42">
        <f>IF($CP15="P",CL15,(CL15+BK15)/2)</f>
        <v>6.8</v>
      </c>
      <c r="TH15" s="42">
        <f>IF($CP15="P",CM15,(CM15+BL15)/2)</f>
        <v>9</v>
      </c>
      <c r="TI15" s="42">
        <f>IF($CP15="P",CN15,(CN15+BM15)/2)</f>
        <v>10.315</v>
      </c>
      <c r="TJ15" s="42">
        <f>IF($CP15="P",CO15,(CO15+BN15)/2)</f>
        <v>0.45</v>
      </c>
      <c r="TK15" s="51" t="s">
        <v>61</v>
      </c>
      <c r="TL15" s="76">
        <f>IF(SX15&gt;0,SX15,"")</f>
        <v>10.45</v>
      </c>
      <c r="TM15" s="76">
        <f>IF(SY15&gt;0,SY15,"")</f>
        <v>13</v>
      </c>
      <c r="TN15" s="76">
        <f>IF(SUM(SV15:SY15)-SZ15&gt;0,SUM(SV15:SY15)-SZ15,"")</f>
        <v>43.8</v>
      </c>
      <c r="TO15" s="76">
        <f>IF(TC15&gt;0,TC15,"")</f>
        <v>13.3</v>
      </c>
      <c r="TP15" s="76">
        <f>IF(TD15&gt;0,TD15,"")</f>
        <v>14.977499999999999</v>
      </c>
      <c r="TQ15" s="76">
        <f>IF(SUM(TA15:TD15)-TE15&gt;0,SUM(TA15:TD15)-TE15,"")</f>
        <v>52.427500000000002</v>
      </c>
      <c r="TR15" s="76">
        <f>IF(MAX(TN15,TQ15)&gt;0,MAX(TN15,TQ15),"")</f>
        <v>52.427500000000002</v>
      </c>
      <c r="TS15" s="76">
        <f>IF(TH15&gt;0,TH15,"")</f>
        <v>9</v>
      </c>
      <c r="TT15" s="76">
        <f>IF(TI15&gt;0,TI15,"")</f>
        <v>10.315</v>
      </c>
      <c r="TU15" s="76">
        <f>IF(SUM(TF15:TI15)-TJ15&gt;0,SUM(TF15:TI15)-TJ15,"")</f>
        <v>35.064999999999998</v>
      </c>
      <c r="TV15" s="76">
        <f>IF(SUM(TR15,TU15)&gt;0,SUM(TR15,TU15),"")</f>
        <v>87.492500000000007</v>
      </c>
    </row>
    <row r="16" spans="1:542" x14ac:dyDescent="0.2">
      <c r="A16" s="5" t="str" cm="1">
        <f t="array" ref="A16">IF(AND(F16&lt;&gt;"",G16&lt;&gt;""),SUMPRODUCT((F$4:F$23&lt;&gt;"")*(G$4:G$23&lt;&gt;"")*(E$4:E$23&gt;E16))+1,IF(G16&lt;&gt;"",SUMPRODUCT((H$4:H$23="No DD")*(E$4:E$23&gt;E16))+1+SUMPRODUCT((F$4:F$23&lt;&gt;"")*(G$4:G$23&lt;&gt;"")),""))</f>
        <v/>
      </c>
      <c r="B16" s="6" t="s">
        <v>102</v>
      </c>
      <c r="C16" s="7" t="s">
        <v>6</v>
      </c>
      <c r="D16" s="5">
        <v>2001</v>
      </c>
      <c r="E16" s="14">
        <f>SUM(J16:V16)+SUM(J16:T16)*0.0000001+SUM(J16)*0.0000000000001</f>
        <v>210.03502100350542</v>
      </c>
      <c r="F16" s="3" t="str">
        <f>IF(OR(AND(AO16&gt;=AY$25,AO16&lt;&gt;"",AQ16&gt;=AY$29,AQ16&lt;&gt;"",AN16=""),AND(AR16&gt;=AY$25,AR16&lt;&gt;"",AT16&gt;=AY$29,AT16&lt;&gt;"",AN16=""),AND(AV16&gt;=AY$25,AV16&lt;&gt;"",AX16&gt;=AY$29,AX16&lt;&gt;"",AN16=""),AND(BP16&gt;=BZ$25,BP16&lt;&gt;"",BR16&gt;=BZ$29,BR16&lt;&gt;"",BO16=""),AND(BS16&gt;=BZ$25,BS16&lt;&gt;"",BU16&gt;=BZ$29,BU16&lt;&gt;"",BO16=""),AND(BW16&gt;=BZ$25,BW16&lt;&gt;"",BY16&gt;=BZ$29,BY16&lt;&gt;"",BO16=""),AND(CQ16&gt;=DA$25,CQ16&lt;&gt;"",CS16&gt;=DA$29,CS16&lt;&gt;"",CP16=""),AND(CT16&gt;=DA$25,CT16&lt;&gt;"",CV16&gt;=DA$29,CV16&lt;&gt;"",CP16=""),AND(CX16&gt;=DA$25,CX16&lt;&gt;"",CZ16&gt;=DA$29,CZ16&lt;&gt;"",CP16=""),AND(DX16&gt;=EK$25,DX16&lt;&gt;"",DZ16&gt;=EK$29,DZ16&lt;&gt;""),AND(EA16&gt;=EK$25,EA16&lt;&gt;"",EC16&gt;=EK$29,EC16&lt;&gt;""),AND(EE16&gt;=EK$25,EE16&lt;&gt;"",EG16&gt;=EK$29,EG16&lt;&gt;""),AND(EH16&gt;=EK$25,EH16&lt;&gt;"",EJ16&gt;=EK$29,EJ16&lt;&gt;""),AND(FF16&gt;=FS$25,FF16&lt;&gt;"",FH16&gt;=FS$29,FH16&lt;&gt;""),AND(FI16&gt;=FS$25,FI16&lt;&gt;"",FK16&gt;=FS$29,FK16&lt;&gt;""),AND(FM16&gt;=FS$25,FM16&lt;&gt;"",FO16&gt;=FS$29,FO16&lt;&gt;""),AND(FP16&gt;=FS$25,FP16&lt;&gt;"",FR16&gt;=FS$29,FR16&lt;&gt;""),AND(GN16&gt;=HA$25,GN16&lt;&gt;"",GP16&gt;=HA$29,GP16&lt;&gt;""),AND(GQ16&gt;=HA$25,GQ16&lt;&gt;"",GS16&gt;=HA$29,GS16&lt;&gt;""),AND(GU16&gt;=HA$25,GU16&lt;&gt;"",GW16&gt;=HA$29,GW16&lt;&gt;""),AND(GX16&gt;=HA$25,GX16&lt;&gt;"",GZ16&gt;=HA$29,GZ16&lt;&gt;""),AND(HV16&gt;=II$25,HV16&lt;&gt;"",HX16&gt;=II$29,HX16&lt;&gt;""),AND(HY16&gt;=II$25,HY16&lt;&gt;"",IA16&gt;=II$29,IA16&lt;&gt;""),AND(IC16&gt;=II$25,IC16&lt;&gt;"",IE16&gt;=II$29,IE16&lt;&gt;""),AND(IF16&gt;=II$25,IF16&lt;&gt;"",IH16&gt;=II$29,IH16&lt;&gt;""),AND(JD16&gt;=JQ$25,JD16&lt;&gt;"",JF16&gt;=JQ$29,JF16&lt;&gt;""),AND(JG16&gt;=JQ$25,JG16&lt;&gt;"",JI16&gt;=JQ$29,JI16&lt;&gt;""),AND(JK16&gt;=JQ$25,JK16&lt;&gt;"",JM16&gt;=JQ$29,JM16&lt;&gt;""),AND(JN16&gt;=JQ$25,JN16&lt;&gt;"",JP16&gt;=JQ$29,JP16&lt;&gt;""),AND(KL16&gt;=KY$25,KL16&lt;&gt;"",KN16&gt;=KY$29,KN16&lt;&gt;""),AND(KO16&gt;=KY$25,KO16&lt;&gt;"",KQ16&gt;=KY$29,KQ16&lt;&gt;""),AND(KS16&gt;=KY$25,KS16&lt;&gt;"",KU16&gt;=KY$29,KU16&lt;&gt;""),AND(KV16&gt;=KY$25,KV16&lt;&gt;"",KX16&gt;=KY$29,KX16&lt;&gt;""),AND(LT16&gt;=MG$25,LT16&lt;&gt;"",LV16&gt;=MG$29,LV16&lt;&gt;""),AND(LW16&gt;=MG$25,LW16&lt;&gt;"",LY16&gt;=MG$29,LY16&lt;&gt;""),AND(MA16&gt;=MG$25,MA16&lt;&gt;"",MC16&gt;=MG$29,MC16&lt;&gt;""),AND(MD16&gt;=MG$25,MD16&lt;&gt;"",MF16&gt;=MG$29,MF16&lt;&gt;""),AND(NB16&gt;=NO$25,NB16&lt;&gt;"",ND16&gt;=NO$29,ND16&lt;&gt;""),AND(NE16&gt;=NO$25,NE16&lt;&gt;"",NG16&gt;=NO$29,NG16&lt;&gt;""),AND(NI16&gt;=NO$25,NI16&lt;&gt;"",NK16&gt;=NO$29,NK16&lt;&gt;""),AND(NL16&gt;=NO$25,NL16&lt;&gt;"",NN16&gt;=NO$29,NN16&lt;&gt;""),AND(OJ16&gt;=OW$25,OJ16&lt;&gt;"",OL16&gt;=OW$29,OL16&lt;&gt;""),AND(OM16&gt;=OW$25,OM16&lt;&gt;"",OO16&gt;=OW$29,OO16&lt;&gt;""),AND(OQ16&gt;=OW$25,OQ16&lt;&gt;"",OS16&gt;=OW$29,OS16&lt;&gt;""),AND(OT16&gt;=OW$25,OT16&lt;&gt;"",OV16&gt;=OW$29,OV16&lt;&gt;""),AND(PR16&gt;=QE$25,PR16&lt;&gt;"",PT16&gt;=QE$29,PT16&lt;&gt;""),AND(PU16&gt;=QE$25,PU16&lt;&gt;"",PW16&gt;=QE$29,PW16&lt;&gt;""),AND(PY16&gt;=QE$25,PY16&lt;&gt;"",QA16&gt;=QE$29,QA16&lt;&gt;""),AND(QB16&gt;=QE$25,QB16&lt;&gt;"",QD16&gt;=QE$29,QD16&lt;&gt;""),AND(QZ16&gt;=RM$25,QZ16&lt;&gt;"",RB16&gt;=RM$29,RB16&lt;&gt;""),AND(RC16&gt;=RM$25,RC16&lt;&gt;"",RE16&gt;=RM$29,RE16&lt;&gt;""),AND(RG16&gt;=RM$25,RG16&lt;&gt;"",RI16&gt;=RM$29,RI16&lt;&gt;""),AND(RJ16&gt;=RM$25,RJ16&lt;&gt;"",RL16&gt;=RM$29,RL16&lt;&gt;""),AND(SH16&gt;=SU$25,SH16&lt;&gt;"",SJ16&gt;=SU$29,SJ16&lt;&gt;""),AND(SK16&gt;=SU$25,SK16&lt;&gt;"",SM16&gt;=SU$29,SM16&lt;&gt;""),AND(SO16&gt;=SU$25,SO16&lt;&gt;"",SQ16&gt;=SU$29,SQ16&lt;&gt;""),AND(SR16&gt;=SU$25,SR16&lt;&gt;"",ST16&gt;=SU$29,ST16&lt;&gt;"")),"P","")</f>
        <v/>
      </c>
      <c r="G16" s="3" t="str">
        <f>IF(OR(AND(AQ16&gt;=AY$29,AQ16&lt;&gt;"",AN16=""),AND(AT16&gt;=AY$29,AT16&lt;&gt;"",AN16=""),AND(AX16&gt;=AY$29,AX16&lt;&gt;"",AN16=""),AND(BR16&gt;=BZ$29,BR16&lt;&gt;"",BO16=""),AND(BU16&gt;=BZ$29,BU16&lt;&gt;"",BO16=""),AND(BY16&gt;=BZ$29,BY16&lt;&gt;"",BO16=""),AND(CS16&gt;=DA$29,CS16&lt;&gt;"",CP16=""),AND(CV16&gt;=DA$29,CV16&lt;&gt;"",CP16=""),AND(CZ16&gt;=DA$29,CZ16&lt;&gt;"",CP16=""),AND(DZ16&gt;=EK$29,DZ16&lt;&gt;""),AND(EC16&gt;=EK$29,EC16&lt;&gt;""),AND(EG16&gt;=EK$29,EG16&lt;&gt;""),AND(EJ16&gt;=EK$29,EJ16&lt;&gt;""),AND(FH16&gt;=FS$29,FH16&lt;&gt;""),AND(FK16&gt;=FS$29,FK16&lt;&gt;""),AND(FO16&gt;=FS$29,FO16&lt;&gt;""),AND(FR16&gt;=FS$29,FR16&lt;&gt;""),AND(GP16&gt;=HA$29,GP16&lt;&gt;""),AND(GS16&gt;=HA$29,GS16&lt;&gt;""),AND(GW16&gt;=HA$29,GW16&lt;&gt;""),AND(GZ16&gt;=HA$29,GZ16&lt;&gt;""),AND(HX16&gt;=II$29,HX16&lt;&gt;""),AND(IA16&gt;=II$29,IA16&lt;&gt;""),AND(IE16&gt;=II$29,IE16&lt;&gt;""),AND(IH16&gt;=II$29,IH16&lt;&gt;""),AND(JF16&gt;=JQ$29,JF16&lt;&gt;""),AND(JI16&gt;=JQ$29,JI16&lt;&gt;""),AND(JM16&gt;=JQ$29,JM16&lt;&gt;""),AND(JP16&gt;=JQ$29,JP16&lt;&gt;""),AND(KN16&gt;=KY$29,KN16&lt;&gt;""),AND(KQ16&gt;=KY$29,KQ16&lt;&gt;""),AND(KU16&gt;=KY$29,KU16&lt;&gt;""),AND(KX16&gt;=KY$29,KX16&lt;&gt;""),AND(LV16&gt;=MG$29,LV16&lt;&gt;""),AND(LY16&gt;=MG$29,LY16&lt;&gt;""),AND(MC16&gt;=MG$29,MC16&lt;&gt;""),AND(MF16&gt;=MG$29,MF16&lt;&gt;""),AND(ND16&gt;=NO$29,ND16&lt;&gt;""),AND(NG16&gt;=NO$29,NG16&lt;&gt;""),AND(NK16&gt;=NO$29,NK16&lt;&gt;""),AND(NN16&gt;=NO$29,NN16&lt;&gt;""),AND(OL16&gt;=OW$29,OL16&lt;&gt;""),AND(OO16&gt;=OW$29,OO16&lt;&gt;""),AND(OS16&gt;=OW$29,OS16&lt;&gt;""),AND(OV16&gt;=OW$29,OV16&lt;&gt;""),AND(PT16&gt;=QE$29,PT16&lt;&gt;""),AND(PW16&gt;=QE$29,PW16&lt;&gt;""),AND(QA16&gt;=QE$29,QA16&lt;&gt;""),AND(QD16&gt;=QE$29,QD16&lt;&gt;""),AND(RB16&gt;=RM$29,RB16&lt;&gt;""),AND(RE16&gt;=RM$29,RE16&lt;&gt;""),AND(RI16&gt;=RM$29,RI16&lt;&gt;""),AND(RL16&gt;=RM$29,RL16&lt;&gt;""),AND(SJ16&gt;=SU$29,SJ16&lt;&gt;""),AND(SM16&gt;=SU$29,SM16&lt;&gt;""),AND(SQ16&gt;=SU$29,SQ16&lt;&gt;""),AND(ST16&gt;=SU$29,ST16&lt;&gt;"")),"P","")</f>
        <v/>
      </c>
      <c r="H16" s="70" t="str">
        <f>IF(AND(G16="P",F16=""),"No DD",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),"Merit",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X16&gt;=EK$27,DX16&lt;&gt;"",DZ16&gt;=EK$31,DZ16&lt;&gt;""),AND(EA16&gt;=EK$27,EA16&lt;&gt;"",EC16&gt;=EK$31,EC16&lt;&gt;""),AND(EE16&gt;=EK$27,EE16&lt;&gt;"",EG16&gt;=EK$31,EG16&lt;&gt;""),AND(EH16&gt;=EK$27,EH16&lt;&gt;"",EJ16&gt;=EK$31,EJ16&lt;&gt;""),AND(FF16&gt;=FS$27,FF16&lt;&gt;"",FH16&gt;=FS$31,FH16&lt;&gt;""),AND(FI16&gt;=FS$27,FI16&lt;&gt;"",FK16&gt;=FS$31,FK16&lt;&gt;""),AND(FM16&gt;=FS$27,FM16&lt;&gt;"",FO16&gt;=FS$31,FO16&lt;&gt;""),AND(FP16&gt;=FS$27,FP16&lt;&gt;"",FR16&gt;=FS$31,FR16&lt;&gt;""),AND(GN16&gt;=HA$27,GN16&lt;&gt;"",GP16&gt;=HA$31,GP16&lt;&gt;""),AND(GQ16&gt;=HA$27,GQ16&lt;&gt;"",GS16&gt;=HA$31,GS16&lt;&gt;""),AND(GU16&gt;=HA$27,GU16&lt;&gt;"",GW16&gt;=HA$31,GW16&lt;&gt;""),AND(GX16&gt;=HA$27,GX16&lt;&gt;"",GZ16&gt;=HA$31,GZ16&lt;&gt;""),AND(HV16&gt;=II$27,HV16&lt;&gt;"",HX16&gt;=II$31,HX16&lt;&gt;""),AND(HY16&gt;=II$27,HY16&lt;&gt;"",IA16&gt;=II$31,IA16&lt;&gt;""),AND(IC16&gt;=II$27,IC16&lt;&gt;"",IE16&gt;=II$31,IE16&lt;&gt;""),AND(IF16&gt;=II$27,IF16&lt;&gt;"",IH16&gt;=II$31,IH16&lt;&gt;""),AND(JD16&gt;=JQ$27,JD16&lt;&gt;"",JF16&gt;=JQ$31,JF16&lt;&gt;""),AND(JG16&gt;=JQ$27,JG16&lt;&gt;"",JI16&gt;=JQ$31,JI16&lt;&gt;""),AND(JK16&gt;=JQ$27,JK16&lt;&gt;"",JM16&gt;=JQ$31,JM16&lt;&gt;""),AND(JN16&gt;=JQ$27,JN16&lt;&gt;"",JP16&gt;=JQ$31,JP16&lt;&gt;""),AND(KL16&gt;=KY$27,KL16&lt;&gt;"",KN16&gt;=KY$31,KN16&lt;&gt;""),AND(KO16&gt;=KY$27,KO16&lt;&gt;"",KQ16&gt;=KY$31,KQ16&lt;&gt;""),AND(KS16&gt;=KY$27,KS16&lt;&gt;"",KU16&gt;=KY$31,KU16&lt;&gt;""),AND(KV16&gt;=KY$27,KV16&lt;&gt;"",KX16&gt;=KY$31,KX16&lt;&gt;""),AND(LT16&gt;=MG$27,LT16&lt;&gt;"",LV16&gt;=MG$31,LV16&lt;&gt;""),AND(LW16&gt;=MG$27,LW16&lt;&gt;"",LY16&gt;=MG$31,LY16&lt;&gt;""),AND(MA16&gt;=MG$27,MA16&lt;&gt;"",MC16&gt;=MG$31,MC16&lt;&gt;""),AND(MD16&gt;=MG$27,MD16&lt;&gt;"",MF16&gt;=MG$31,MF16&lt;&gt;""),AND(NB16&gt;=NO$27,NB16&lt;&gt;"",ND16&gt;=NO$31,ND16&lt;&gt;""),AND(NE16&gt;=NO$27,NE16&lt;&gt;"",NG16&gt;=NO$31,NG16&lt;&gt;""),AND(NI16&gt;=NO$27,NI16&lt;&gt;"",NK16&gt;=NO$31,NK16&lt;&gt;""),AND(NL16&gt;=NO$27,NL16&lt;&gt;"",NN16&gt;=NO$31,NN16&lt;&gt;""),AND(OJ16&gt;=OW$27,OJ16&lt;&gt;"",OL16&gt;=OW$31,OL16&lt;&gt;""),AND(OM16&gt;=OW$27,OM16&lt;&gt;"",OO16&gt;=OW$31,OO16&lt;&gt;""),AND(OQ16&gt;=OW$27,OQ16&lt;&gt;"",OS16&gt;=OW$31,OS16&lt;&gt;""),AND(OT16&gt;=OW$27,OT16&lt;&gt;"",OV16&gt;=OW$31,OV16&lt;&gt;""),AND(PR16&gt;=QE$27,PR16&lt;&gt;"",PT16&gt;=QE$31,PT16&lt;&gt;""),AND(PU16&gt;=QE$27,PU16&lt;&gt;"",PW16&gt;=QE$31,PW16&lt;&gt;""),AND(PY16&gt;=QE$27,PY16&lt;&gt;"",QA16&gt;=QE$31,QA16&lt;&gt;""),AND(QB16&gt;=QE$27,QB16&lt;&gt;"",QD16&gt;=QE$31,QD16&lt;&gt;""),AND(QZ16&gt;=RM$27,QZ16&lt;&gt;"",RB16&gt;=RM$31,RB16&lt;&gt;""),AND(RC16&gt;=RM$27,RC16&lt;&gt;"",RE16&gt;=RM$31,RE16&lt;&gt;""),AND(RG16&gt;=RM$27,RG16&lt;&gt;"",RI16&gt;=RM$31,RI16&lt;&gt;""),AND(RJ16&gt;=RM$27,RJ16&lt;&gt;"",RL16&gt;=RM$31,RL16&lt;&gt;""),AND(SH16&gt;=SU$27,SH16&lt;&gt;"",SJ16&gt;=SU$31,SJ16&lt;&gt;""),AND(SK16&gt;=SU$27,SK16&lt;&gt;"",SM16&gt;=SU$31,SM16&lt;&gt;""),AND(SO16&gt;=SU$27,SO16&lt;&gt;"",SQ16&gt;=SU$31,SQ16&lt;&gt;""),AND(SR16&gt;=SU$27,SR16&lt;&gt;"",ST16&gt;=SU$31,ST16&lt;&gt;"")),"Excellence",IF(I16="P","Worlds Team",IF(F16="P","National Team","")))))</f>
        <v/>
      </c>
      <c r="I16" s="3" t="str">
        <f>IF(OR(AND(AO16&gt;=AY$26,AO16&lt;&gt;"",AQ16&gt;=AY$30,AQ16&lt;&gt;"",AN16=""),AND(AR16&gt;=AY$26,AR16&lt;&gt;"",AT16&gt;=AY$30,AT16&lt;&gt;"",AN16=""),AND(AV16&gt;=AY$26,AV16&lt;&gt;"",AX16&gt;=AY$30,AX16&lt;&gt;"",AN16=""),AND(BP16&gt;=BZ$26,BP16&lt;&gt;"",BR16&gt;=BZ$30,BR16&lt;&gt;"",BO16=""),AND(BS16&gt;=BZ$26,BS16&lt;&gt;"",BU16&gt;=BZ$30,BU16&lt;&gt;"",BO16=""),AND(BW16&gt;=BZ$26,BW16&lt;&gt;"",BY16&gt;=BZ$30,BY16&lt;&gt;"",BO16=""),AND(CQ16&gt;=DA$26,CQ16&lt;&gt;"",CS16&gt;=DA$30,CS16&lt;&gt;"",CP16=""),AND(CT16&gt;=DA$26,CT16&lt;&gt;"",CV16&gt;=DA$30,CV16&lt;&gt;"",CP16=""),AND(CX16&gt;=DA$26,CX16&lt;&gt;"",CZ16&gt;=DA$30,CZ16&lt;&gt;"",CP16=""),AND(DX16&gt;=EK$26,DX16&lt;&gt;"",DZ16&gt;=EK$30,DZ16&lt;&gt;""),AND(EA16&gt;=EK$26,EA16&lt;&gt;"",EC16&gt;=EK$30,EC16&lt;&gt;""),AND(EE16&gt;=EK$26,EE16&lt;&gt;"",EG16&gt;=EK$30,EG16&lt;&gt;""),AND(EH16&gt;=EK$26,EH16&lt;&gt;"",EJ16&gt;=EK$30,EJ16&lt;&gt;""),AND(FF16&gt;=FS$26,FF16&lt;&gt;"",FH16&gt;=FS$30,FH16&lt;&gt;""),AND(FI16&gt;=FS$26,FI16&lt;&gt;"",FK16&gt;=FS$30,FK16&lt;&gt;""),AND(FM16&gt;=FS$26,FM16&lt;&gt;"",FO16&gt;=FS$30,FO16&lt;&gt;""),AND(FP16&gt;=FS$26,FP16&lt;&gt;"",FR16&gt;=FS$30,FR16&lt;&gt;""),AND(GN16&gt;=HA$26,GN16&lt;&gt;"",GP16&gt;=HA$30,GP16&lt;&gt;""),AND(GQ16&gt;=HA$26,GQ16&lt;&gt;"",GS16&gt;=HA$30,GS16&lt;&gt;""),AND(GU16&gt;=HA$26,GU16&lt;&gt;"",GW16&gt;=HA$30,GW16&lt;&gt;""),AND(GX16&gt;=HA$26,GX16&lt;&gt;"",GZ16&gt;=HA$30,GZ16&lt;&gt;""),AND(HV16&gt;=II$26,HV16&lt;&gt;"",HX16&gt;=II$30,HX16&lt;&gt;""),AND(HY16&gt;=II$26,HY16&lt;&gt;"",IA16&gt;=II$30,IA16&lt;&gt;""),AND(IC16&gt;=II$26,IC16&lt;&gt;"",IE16&gt;=II$30,IE16&lt;&gt;""),AND(IF16&gt;=II$26,IF16&lt;&gt;"",IH16&gt;=II$30,IH16&lt;&gt;""),AND(JD16&gt;=JQ$26,JD16&lt;&gt;"",JF16&gt;=JQ$30,JF16&lt;&gt;""),AND(JG16&gt;=JQ$26,JG16&lt;&gt;"",JI16&gt;=JQ$30,JI16&lt;&gt;""),AND(JK16&gt;=JQ$26,JK16&lt;&gt;"",JM16&gt;=JQ$30,JM16&lt;&gt;""),AND(JN16&gt;=JQ$26,JN16&lt;&gt;"",JP16&gt;=JQ$30,JP16&lt;&gt;""),AND(KL16&gt;=KY$26,KL16&lt;&gt;"",KN16&gt;=KY$30,KN16&lt;&gt;""),AND(KO16&gt;=KY$26,KO16&lt;&gt;"",KQ16&gt;=KY$30,KQ16&lt;&gt;""),AND(KS16&gt;=KY$26,KS16&lt;&gt;"",KU16&gt;=KY$30,KU16&lt;&gt;""),AND(KV16&gt;=KY$26,KV16&lt;&gt;"",KX16&gt;=KY$30,KX16&lt;&gt;""),AND(LT16&gt;=MG$26,LT16&lt;&gt;"",LV16&gt;=MG$30,LV16&lt;&gt;""),AND(LW16&gt;=MG$26,LW16&lt;&gt;"",LY16&gt;=MG$30,LY16&lt;&gt;""),AND(MA16&gt;=MG$26,MA16&lt;&gt;"",MC16&gt;=MG$30,MC16&lt;&gt;""),AND(MD16&gt;=MG$26,MD16&lt;&gt;"",MF16&gt;=MG$30,MF16&lt;&gt;""),AND(NB16&gt;=NO$26,NB16&lt;&gt;"",ND16&gt;=NO$30,ND16&lt;&gt;""),AND(NE16&gt;=NO$26,NE16&lt;&gt;"",NG16&gt;=NO$30,NG16&lt;&gt;""),AND(NI16&gt;=NO$26,NI16&lt;&gt;"",NK16&gt;=NO$30,NK16&lt;&gt;""),AND(NL16&gt;=NO$26,NL16&lt;&gt;"",NN16&gt;=NO$30,NN16&lt;&gt;""),AND(OJ16&gt;=OW$26,OJ16&lt;&gt;"",OL16&gt;=OW$30,OL16&lt;&gt;""),AND(OM16&gt;=OW$26,OM16&lt;&gt;"",OO16&gt;=OW$30,OO16&lt;&gt;""),AND(OQ16&gt;=OW$26,OQ16&lt;&gt;"",OS16&gt;=OW$30,OS16&lt;&gt;""),AND(OT16&gt;=OW$26,OT16&lt;&gt;"",OV16&gt;=OW$30,OV16&lt;&gt;""),AND(PR16&gt;=QE$26,PR16&lt;&gt;"",PT16&gt;=QE$30,PT16&lt;&gt;""),AND(PU16&gt;=QE$26,PU16&lt;&gt;"",PW16&gt;=QE$30,PW16&lt;&gt;""),AND(PY16&gt;=QE$26,PY16&lt;&gt;"",QA16&gt;=QE$30,QA16&lt;&gt;""),AND(QB16&gt;=QE$26,QB16&lt;&gt;"",QD16&gt;=QE$30,QD16&lt;&gt;""),AND(QZ16&gt;=RM$26,QZ16&lt;&gt;"",RB16&gt;=RM$30,RB16&lt;&gt;""),AND(RC16&gt;=RM$26,RC16&lt;&gt;"",RE16&gt;=RM$30,RE16&lt;&gt;""),AND(RG16&gt;=RM$26,RG16&lt;&gt;"",RI16&gt;=RM$30,RI16&lt;&gt;""),AND(RJ16&gt;=RM$26,RJ16&lt;&gt;"",RL16&gt;=RM$30,RL16&lt;&gt;""),AND(SH16&gt;=SU$26,SH16&lt;&gt;"",SJ16&gt;=SU$30,SJ16&lt;&gt;""),AND(SK16&gt;=SU$26,SK16&lt;&gt;"",SM16&gt;=SU$30,SM16&lt;&gt;""),AND(SO16&gt;=SU$26,SO16&lt;&gt;"",SQ16&gt;=SU$30,SQ16&lt;&gt;""),AND(SR16&gt;=SU$26,SR16&lt;&gt;"",ST16&gt;=SU$30,ST16&lt;&gt;"")),"P","")</f>
        <v/>
      </c>
      <c r="J16" s="13">
        <f>IF(COUNT(AQ16,AT16,BR16,BU16,CS16,CV16)&gt;0,LARGE((AQ16,AT16,BR16,BU16,CS16,CV16),1),0)</f>
        <v>53.894999999999996</v>
      </c>
      <c r="K16" s="13" t="str">
        <f>IF(J16="","",IF(OR(J16=CS16,J16=CV16),$CA$1,IF(OR(J16=BR16,J16=BU16),$AZ$1,IF(OR(J16=AQ16,J16=AT16),$Y$1,""))))</f>
        <v>2021 Elite Canada</v>
      </c>
      <c r="L16" s="13">
        <f>IF(COUNT(AQ16,AT16,BR16,BU16,CS16,CV16)&gt;1,LARGE((AQ16,AT16,BR16,BU16,CS16,CV16),2),0)</f>
        <v>52.78</v>
      </c>
      <c r="M16" s="13" t="str">
        <f>IF(L16="","",IF(OR(L16=CS16,L16=CV16),$CA$1,IF(OR(L16=BR16,L16=BU16),$AZ$1,IF(OR(L16=AQ16,L16=AT16),$Y$1,""))))</f>
        <v>2021 Canadian Championships</v>
      </c>
      <c r="N16" s="13">
        <f>IF(COUNT(AQ16,AT16,BR16,BU16,CS16,CV16)&gt;2,LARGE((AQ16,AT16,BR16,BU16,CS16,CV16),3),0)</f>
        <v>26.125</v>
      </c>
      <c r="O16" s="13" t="str">
        <f>IF(N16="","",IF(OR(N16=CS16,N16=CV16),$CA$1,IF(OR(N16=BR16,N16=BU16),$AZ$1,IF(OR(N16=AQ16,N16=AT16),$Y$1,""))))</f>
        <v>2021 Canadian Championships</v>
      </c>
      <c r="P16" s="13">
        <f>IF(MAX(AX16,BY16,CZ16)&gt;0,MAX(AX16,BY16,CZ16),0)</f>
        <v>46.44</v>
      </c>
      <c r="Q16" s="13" t="str">
        <f>IF(P16="","",IF(P16=CZ16,$CA$1,IF(P16=BY16,$AZ$1,IF(P16=AX16,$Y$1,""))))</f>
        <v>2021 Canadian Championships</v>
      </c>
      <c r="R16" s="13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14.4</v>
      </c>
      <c r="S16" s="13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2021 Elite Canada</v>
      </c>
      <c r="T16" s="13">
        <f>IF(MAX(IF(AO16&gt;=$AY$25,AP16,0),IF(AR16&gt;=$AY$25,AS16,0),IF(AV16&gt;=$AY$25,AW16,0),IF(BP16&gt;=$BZ$25,BQ16,0),IF(BS16&gt;=$BZ$25,BT16,0),IF(BW16&gt;=$BZ$25,BX16,0),IF(CQ16&gt;=$DA$25,CR16,0),IF(CT16&gt;=$DA$25,CU16,0),IF(CX16&gt;=$DA$25,CY16,0))&gt;0,MAX(IF(AO16&gt;=$AY$25,AP16,0),IF(AR16&gt;=$AY$25,AS16,0),IF(AV16&gt;=$AY$25,AW16,0),IF(BP16&gt;=$BZ$25,BQ16,0),IF(BS16&gt;=$BZ$25,BT16,0),IF(BW16&gt;=$BZ$25,BX16,0),IF(CQ16&gt;=$DA$25,CR16,0),IF(CT16&gt;=$DA$25,CU16,0),IF(CX16&gt;=$DA$25,CY16,0),IF(DX16&gt;=$EK$25,DY16,0),IF(EA16&gt;=$EK$25,EB16,0),IF(EE16&gt;=$EK$25,EF16,0),IF(EH16&gt;=$EK$25,EI16,0),IF(FF16&gt;=$FS$25,FG16,0),IF(FI16&gt;=$FS$25,FJ16,0),IF(FM16&gt;=$FS$25,FN16,0),IF(FP16&gt;=$FS$25,FQ16,0),IF(GN16&gt;=$HA$25,GO16,0),IF(GQ16&gt;=$HA$25,GR16,0),IF(GU16&gt;=$HA$25,GV16,0),IF(GX16&gt;=$HA$25,GY16,0),IF(HV16&gt;=$II$25,HW16,0),IF(HY16&gt;=$II$25,HZ16,0),IF(IC16&gt;=$II$25,ID16,0),IF(IF16&gt;=$II$25,IG16,0),IF(JD16&gt;=$JQ$25,JE16,0),IF(JG16&gt;=$JQ$25,JH16,0),IF(JK16&gt;=$JQ$25,JL16,0),IF(JN16&gt;=$JQ$25,JO16,0),IF(KL16&gt;=$KY$25,KM16,0),IF(KO16&gt;=$KY$25,KP16,0),IF(KS16&gt;=$KY$25,KT16,0),IF(KV16&gt;=$KY$25,KW16,0),IF(LT16&gt;=$MG$25,LU16,0),IF(LW16&gt;=$MG$25,LX16,0),IF(MA16&gt;=$MG$25,MB16,0),IF(MD16&gt;=$MG$25,ME16,0),IF(NB16&gt;=$NO$25,NC16,0),IF(NE16&gt;=$NO$25,NF16,0),IF(NI16&gt;=$NO$25,NJ16,0),IF(NL16&gt;=$NO$25,NM16,0),IF(OJ16&gt;=$OW$25,OK16,0),IF(OM16&gt;=$OW$25,ON16,0),IF(OQ16&gt;=$OW$25,OR16,0),IF(OT16&gt;=$OW$25,OU16,0),IF(PR16&gt;=$QE$25,PS16,0),IF(PU16&gt;=$QE$25,PV16,0),IF(PY16&gt;=$QE$25,PZ16,0),IF(QB16&gt;=$QE$25,QC16,0),IF(QZ16&gt;=$RM$25,RA16,0),IF(RC16&gt;=$RM$25,RD16,0),IF(RG16&gt;=$RM$25,RH16,0),IF(RJ16&gt;=$RM$25,RK16,0),IF(SH16&gt;=$SU$25,SI16,0),IF(SK16&gt;=$SU$25,SL16,0),IF(SO16&gt;=$SU$25,SP16,0),IF(SR16&gt;=$SU$25,SS16,0)),0)</f>
        <v>16.395</v>
      </c>
      <c r="U16" s="13" t="str">
        <f>IF(T16=0,"",IF(OR(T16=CR16,T16=CU16,T16=CY16),$CA$1,IF(OR(T16=BQ16,T16=BT16,T16=BX16),$AZ$1,IF(OR(T16=AP16,T16=AS16,T16=AW16),$Y$1,IF(OR(R16=SI16,R16=SL16,R16=SP16,R16=SS16),$RN$1,IF(OR(R16=RA16,R16=RD16,R16=RH16,R16=RK16),$QF$1,IF(OR(R16=PS16,R16=PV16,R16=PZ16,R16=QC16),$OX$1,IF(OR(R16=OK16,R16=ON16,R16=OR16,R16=OU16),$NP$1,IF(OR(R16=NC16,R16=NF16,R16=NJ16,R16=NM16),$MH$1,IF(OR(R16=LU16,R16=LX16,R16=MB16,R16=ME16),$KZ$1,IF(OR(R16=KM16,R16=KP16,R16=KT16,R16=KW16),$JR$1,IF(OR(R16=JE16,R16=JH16,R16=JL16,R16=JO16),$IJ$1,IF(OR(R16=HW16,R16=HZ16,R16=ID16,R16=IG16),$HB$1,IF(OR(R16=GO16,R16=GR16,R16=GV16,R16=GY16),$FT$1,IF(OR(R16=FG16,R16=FJ16,R16=FN16,R16=FQ16),$EL$1,IF(OR(R16=DY16,R16=EB16,R16=EF16,R16=EI16),$DD$1,""))))))))))))))))</f>
        <v>2021 Elite Canada</v>
      </c>
      <c r="V16" s="13" t="str">
        <f>IF(MAX(DB16,DC16)&gt;0,MAX(DB16,DC16),"")</f>
        <v/>
      </c>
      <c r="W16" s="16" t="str">
        <f>IF(V16="","",IF(V16=DB16,"("&amp;DB$2&amp;")",IF(V16=DC16,"("&amp;DC$2&amp;")")))</f>
        <v/>
      </c>
      <c r="X16" s="13" t="str">
        <f>IF(V16="","",IF(V16=DB16,IF(V16+IF(L16="",0,L16)=SN16,$RN$1,IF(V16+IF(L16="",0,L16)=RF16,$QF$1,IF(V16+IF(L16="",0,L16)=PX16,$OX$1,IF(V16+IF(L16="",0,L16)=OP16,$NP$1,IF(V16+IF(L16="",0,L16)=NH16,$MH$1,IF(V16+IF(L16="",0,L16)=LZ16,$KZ$1,IF(V16+IF(L16="",0,L16)=KR16,$JR$1,IF(V16+IF(L16="",0,L16)=JJ16,$IJ$1,IF(V16+IF(L16="",0,L16)=IB16,$HB$1,IF(V16+IF(L16="",0,L16)=GT16,$FT$1,IF(V16+IF(L16="",0,L16)=FL16,$EL$1,IF(V16+IF(L16="",0,L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$1)))))))))))))))</f>
        <v/>
      </c>
      <c r="Y16" s="42">
        <v>14</v>
      </c>
      <c r="Z16" s="42">
        <v>9.1</v>
      </c>
      <c r="AA16" s="42">
        <v>14.4</v>
      </c>
      <c r="AB16" s="42">
        <v>16.395</v>
      </c>
      <c r="AC16" s="42">
        <v>0</v>
      </c>
      <c r="AD16" s="42">
        <v>2.8</v>
      </c>
      <c r="AE16" s="42">
        <v>1.7</v>
      </c>
      <c r="AF16" s="42">
        <v>3.2</v>
      </c>
      <c r="AG16" s="42">
        <v>3.4550000000000001</v>
      </c>
      <c r="AH16" s="42">
        <v>0</v>
      </c>
      <c r="AI16" s="42">
        <v>4.3</v>
      </c>
      <c r="AJ16" s="42">
        <v>3</v>
      </c>
      <c r="AK16" s="42">
        <v>3.8</v>
      </c>
      <c r="AL16" s="42">
        <v>4.95</v>
      </c>
      <c r="AM16" s="42">
        <v>0</v>
      </c>
      <c r="AN16" s="51"/>
      <c r="AO16" s="74">
        <f>IF(AA16&gt;0,AA16,"")</f>
        <v>14.4</v>
      </c>
      <c r="AP16" s="74">
        <f>IF(AB16&gt;0,AB16,"")</f>
        <v>16.395</v>
      </c>
      <c r="AQ16" s="76">
        <f>IF(SUM(Y16:AB16)-AC16&gt;0,SUM(Y16:AB16)-AC16,"")</f>
        <v>53.894999999999996</v>
      </c>
      <c r="AR16" s="76">
        <f>IF(AF16&gt;0,AF16,"")</f>
        <v>3.2</v>
      </c>
      <c r="AS16" s="76">
        <f>IF(AG16&gt;0,AG16,"")</f>
        <v>3.4550000000000001</v>
      </c>
      <c r="AT16" s="76">
        <f>IF(SUM(AD16:AG16)-AH16&gt;0,SUM(AD16:AG16)-AH16,"")</f>
        <v>11.155000000000001</v>
      </c>
      <c r="AU16" s="76">
        <f>IF(AQ16="","",MAX(AQ16,AT16))</f>
        <v>53.894999999999996</v>
      </c>
      <c r="AV16" s="76">
        <f>IF(AK16&gt;0,AK16,"")</f>
        <v>3.8</v>
      </c>
      <c r="AW16" s="76">
        <f>IF(AL16&gt;0,AL16,"")</f>
        <v>4.95</v>
      </c>
      <c r="AX16" s="76">
        <f>IF(SUM(AI16:AL16)-AM16&gt;0,SUM(AI16:AL16)-AM16,"")</f>
        <v>16.05</v>
      </c>
      <c r="AY16" s="76">
        <f>IF(SUM(AU16,AX16)&gt;0,SUM(AU16,AX16),"")</f>
        <v>69.944999999999993</v>
      </c>
      <c r="AZ16" s="46">
        <v>6.6</v>
      </c>
      <c r="BA16" s="46">
        <v>4.7</v>
      </c>
      <c r="BB16" s="46">
        <v>6.8</v>
      </c>
      <c r="BC16" s="46">
        <v>8.0250000000000004</v>
      </c>
      <c r="BD16" s="46">
        <v>0</v>
      </c>
      <c r="BE16" s="46">
        <v>13.8</v>
      </c>
      <c r="BF16" s="46">
        <v>8.8000000000000007</v>
      </c>
      <c r="BG16" s="46">
        <v>14.2</v>
      </c>
      <c r="BH16" s="46">
        <v>15.98</v>
      </c>
      <c r="BI16" s="46">
        <v>0</v>
      </c>
      <c r="BJ16" s="46">
        <v>12.2</v>
      </c>
      <c r="BK16" s="46">
        <v>7.9</v>
      </c>
      <c r="BL16" s="46">
        <v>11.9</v>
      </c>
      <c r="BM16" s="46">
        <v>14.44</v>
      </c>
      <c r="BN16" s="46">
        <v>0</v>
      </c>
      <c r="BO16" s="52"/>
      <c r="BP16" s="75">
        <f>IF(BB16&gt;0,BB16,"")</f>
        <v>6.8</v>
      </c>
      <c r="BQ16" s="75">
        <f>IF(BC16&gt;0,BC16,"")</f>
        <v>8.0250000000000004</v>
      </c>
      <c r="BR16" s="16">
        <f>IF(SUM(AZ16:BC16)-BD16&gt;0,SUM(AZ16:BC16)-BD16,"")</f>
        <v>26.125</v>
      </c>
      <c r="BS16" s="16">
        <f>IF(BG16&gt;0,BG16,"")</f>
        <v>14.2</v>
      </c>
      <c r="BT16" s="16">
        <f>IF(BH16&gt;0,BH16,"")</f>
        <v>15.98</v>
      </c>
      <c r="BU16" s="16">
        <f>IF(SUM(BE16:BH16)-BI16&gt;0,SUM(BE16:BH16)-BI16,"")</f>
        <v>52.78</v>
      </c>
      <c r="BV16" s="16">
        <f>IF(BR16="","",MAX(BR16,BU16))</f>
        <v>52.78</v>
      </c>
      <c r="BW16" s="16">
        <f>IF(BL16&gt;0,BL16,"")</f>
        <v>11.9</v>
      </c>
      <c r="BX16" s="16">
        <f>IF(BM16&gt;0,BM16,"")</f>
        <v>14.44</v>
      </c>
      <c r="BY16" s="16">
        <f>IF(SUM(BJ16:BM16)-BN16&gt;0,SUM(BJ16:BM16)-BN16,"")</f>
        <v>46.44</v>
      </c>
      <c r="BZ16" s="16">
        <f>IF(SUM(BV16,BY16)&gt;0,SUM(BV16,BY16),"")</f>
        <v>99.22</v>
      </c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51"/>
      <c r="CQ16" s="74" t="str">
        <f>IF(CC16&gt;0,CC16,"")</f>
        <v/>
      </c>
      <c r="CR16" s="74" t="str">
        <f>IF(CD16&gt;0,CD16,"")</f>
        <v/>
      </c>
      <c r="CS16" s="76" t="str">
        <f>IF(SUM(CA16:CD16)-CE16&gt;0,SUM(CA16:CD16)-CE16,"")</f>
        <v/>
      </c>
      <c r="CT16" s="76" t="str">
        <f>IF(CH16&gt;0,CH16,"")</f>
        <v/>
      </c>
      <c r="CU16" s="76" t="str">
        <f>IF(CI16&gt;0,CI16,"")</f>
        <v/>
      </c>
      <c r="CV16" s="76" t="str">
        <f>IF(SUM(CF16:CI16)-CJ16&gt;0,SUM(CF16:CI16)-CJ16,"")</f>
        <v/>
      </c>
      <c r="CW16" s="76" t="str">
        <f>IF(CS16="","",MAX(CS16,CV16))</f>
        <v/>
      </c>
      <c r="CX16" s="76" t="str">
        <f>IF(CM16&gt;0,CM16,"")</f>
        <v/>
      </c>
      <c r="CY16" s="76" t="str">
        <f>IF(CN16&gt;0,CN16,"")</f>
        <v/>
      </c>
      <c r="CZ16" s="76" t="str">
        <f>IF(SUM(CK16:CN16)-CO16&gt;0,SUM(CK16:CN16)-CO16,"")</f>
        <v/>
      </c>
      <c r="DA16" s="76" t="str">
        <f>IF(SUM(CW16,CZ16)&gt;0,SUM(CW16,CZ16),"")</f>
        <v/>
      </c>
      <c r="DB16" s="87" t="str">
        <f>IF(L16&gt;=0.001,IF(MAX(ED16,FL16,GT16,IB16,JJ16,KR16,LZ16,NH16,OP16,PX16,RF16,SN16)-IF(L16="",0,L16)&gt;0.001,MAX(ED16,FL16,GT16,IB16,JJ16,KR16,LZ16,NH16,OP16,PX16,RF16,SN16)-IF(L16="",0,L16),""),"")</f>
        <v/>
      </c>
      <c r="DC16" s="87" t="str">
        <f>IF(P16&gt;=0.001,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,"")</f>
        <v/>
      </c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76" t="str">
        <f>IF(DF16&gt;0,DF16,"")</f>
        <v/>
      </c>
      <c r="DY16" s="76" t="str">
        <f>IF(DG16&gt;0,DG16,"")</f>
        <v/>
      </c>
      <c r="DZ16" s="76" t="str">
        <f>IF(SUM(DD16:DG16)-DH16&gt;0,SUM(DD16:DG16)-DH16,"")</f>
        <v/>
      </c>
      <c r="EA16" s="76" t="str">
        <f>IF(DK16&gt;0,DK16,"")</f>
        <v/>
      </c>
      <c r="EB16" s="76" t="str">
        <f>IF(DL16&gt;0,DL16,"")</f>
        <v/>
      </c>
      <c r="EC16" s="76" t="str">
        <f>IF(SUM(DI16:DL16)-DM16&gt;0,SUM(DI16:DL16)-DM16,"")</f>
        <v/>
      </c>
      <c r="ED16" s="76" t="str">
        <f>IF(MAX(DZ16,EC16)&gt;0,MAX(DZ16,EC16),"")</f>
        <v/>
      </c>
      <c r="EE16" s="76" t="str">
        <f>IF(DP16&gt;0,DP16,"")</f>
        <v/>
      </c>
      <c r="EF16" s="76" t="str">
        <f>IF(DQ16&gt;0,DQ16,"")</f>
        <v/>
      </c>
      <c r="EG16" s="76" t="str">
        <f>IF(SUM(DN16:DQ16)-DR16&gt;0,SUM(DN16:DQ16)-DR16,"")</f>
        <v/>
      </c>
      <c r="EH16" s="76" t="str">
        <f>IF(DU16&gt;0,DU16,"")</f>
        <v/>
      </c>
      <c r="EI16" s="76" t="str">
        <f>IF(DV16&gt;0,DV16,"")</f>
        <v/>
      </c>
      <c r="EJ16" s="76" t="str">
        <f>IF(SUM(DS16:DV16)-DW16&gt;0,SUM(DS16:DV16)-DW16,"")</f>
        <v/>
      </c>
      <c r="EK16" s="76" t="str">
        <f>IF(SUM(ED16,EJ16)&gt;0,SUM(ED16,EJ16),"")</f>
        <v/>
      </c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16" t="str">
        <f>IF(EN16&gt;0,EN16,"")</f>
        <v/>
      </c>
      <c r="FG16" s="16" t="str">
        <f>IF(EO16&gt;0,EO16,"")</f>
        <v/>
      </c>
      <c r="FH16" s="16" t="str">
        <f>IF(SUM(EL16:EO16)-EP16&gt;0,SUM(EL16:EO16)-EP16,"")</f>
        <v/>
      </c>
      <c r="FI16" s="16" t="str">
        <f>IF(ES16&gt;0,ES16,"")</f>
        <v/>
      </c>
      <c r="FJ16" s="16" t="str">
        <f>IF(ET16&gt;0,ET16,"")</f>
        <v/>
      </c>
      <c r="FK16" s="16" t="str">
        <f>IF(SUM(EQ16:ET16)-EU16&gt;0,SUM(EQ16:ET16)-EU16,"")</f>
        <v/>
      </c>
      <c r="FL16" s="16" t="str">
        <f>IF(MAX(FH16,FK16)&gt;0,MAX(FH16,FK16),"")</f>
        <v/>
      </c>
      <c r="FM16" s="16" t="str">
        <f>IF(EX16&gt;0,EX16,"")</f>
        <v/>
      </c>
      <c r="FN16" s="16" t="str">
        <f>IF(EY16&gt;0,EY16,"")</f>
        <v/>
      </c>
      <c r="FO16" s="16" t="str">
        <f>IF(SUM(EV16:EY16)-EZ16&gt;0,SUM(EV16:EY16)-EZ16,"")</f>
        <v/>
      </c>
      <c r="FP16" s="16" t="str">
        <f>IF(FC16&gt;0,FC16,"")</f>
        <v/>
      </c>
      <c r="FQ16" s="16" t="str">
        <f>IF(FD16&gt;0,FD16,"")</f>
        <v/>
      </c>
      <c r="FR16" s="16" t="str">
        <f>IF(SUM(FA16:FD16)-FE16&gt;0,SUM(FA16:FD16)-FE16,"")</f>
        <v/>
      </c>
      <c r="FS16" s="16" t="str">
        <f>IF(SUM(FL16,FR16)&gt;0,SUM(FL16,FR16),"")</f>
        <v/>
      </c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76" t="str">
        <f>IF(FV16&gt;0,FV16,"")</f>
        <v/>
      </c>
      <c r="GO16" s="76" t="str">
        <f>IF(FW16&gt;0,FW16,"")</f>
        <v/>
      </c>
      <c r="GP16" s="76" t="str">
        <f>IF(SUM(FT16:FW16)-FX16&gt;0,SUM(FT16:FW16)-FX16,"")</f>
        <v/>
      </c>
      <c r="GQ16" s="76" t="str">
        <f>IF(GA16&gt;0,GA16,"")</f>
        <v/>
      </c>
      <c r="GR16" s="76" t="str">
        <f>IF(GB16&gt;0,GB16,"")</f>
        <v/>
      </c>
      <c r="GS16" s="76" t="str">
        <f>IF(SUM(FY16:GB16)-GC16&gt;0,SUM(FY16:GB16)-GC16,"")</f>
        <v/>
      </c>
      <c r="GT16" s="76" t="str">
        <f>IF(MAX(GP16,GS16)&gt;0,MAX(GP16,GS16),"")</f>
        <v/>
      </c>
      <c r="GU16" s="76" t="str">
        <f>IF(GF16&gt;0,GF16,"")</f>
        <v/>
      </c>
      <c r="GV16" s="76" t="str">
        <f>IF(GG16&gt;0,GG16,"")</f>
        <v/>
      </c>
      <c r="GW16" s="76" t="str">
        <f>IF(SUM(GD16:GG16)-GH16&gt;0,SUM(GD16:GG16)-GH16,"")</f>
        <v/>
      </c>
      <c r="GX16" s="76" t="str">
        <f>IF(GK16&gt;0,GK16,"")</f>
        <v/>
      </c>
      <c r="GY16" s="76" t="str">
        <f>IF(GL16&gt;0,GL16,"")</f>
        <v/>
      </c>
      <c r="GZ16" s="76" t="str">
        <f>IF(SUM(GI16:GL16)-GM16&gt;0,SUM(GI16:GL16)-GM16,"")</f>
        <v/>
      </c>
      <c r="HA16" s="76" t="str">
        <f>IF(SUM(GT16,GZ16)&gt;0,SUM(GT16,GZ16),"")</f>
        <v/>
      </c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16" t="str">
        <f>IF(HD16&gt;0,HD16,"")</f>
        <v/>
      </c>
      <c r="HW16" s="16" t="str">
        <f>IF(HE16&gt;0,HE16,"")</f>
        <v/>
      </c>
      <c r="HX16" s="16" t="str">
        <f>IF(SUM(HB16:HE16)-HF16&gt;0,SUM(HB16:HE16)-HF16,"")</f>
        <v/>
      </c>
      <c r="HY16" s="16" t="str">
        <f>IF(HI16&gt;0,HI16,"")</f>
        <v/>
      </c>
      <c r="HZ16" s="16" t="str">
        <f>IF(HJ16&gt;0,HJ16,"")</f>
        <v/>
      </c>
      <c r="IA16" s="16" t="str">
        <f>IF(SUM(HG16:HJ16)-HK16&gt;0,SUM(HG16:HJ16)-HK16,"")</f>
        <v/>
      </c>
      <c r="IB16" s="16" t="str">
        <f>IF(MAX(HX16,IA16)&gt;0,MAX(HX16,IA16),"")</f>
        <v/>
      </c>
      <c r="IC16" s="16" t="str">
        <f>IF(HN16&gt;0,HN16,"")</f>
        <v/>
      </c>
      <c r="ID16" s="16" t="str">
        <f>IF(HO16&gt;0,HO16,"")</f>
        <v/>
      </c>
      <c r="IE16" s="16" t="str">
        <f>IF(SUM(HL16:HO16)-HP16&gt;0,SUM(HL16:HO16)-HP16,"")</f>
        <v/>
      </c>
      <c r="IF16" s="16" t="str">
        <f>IF(HS16&gt;0,HS16,"")</f>
        <v/>
      </c>
      <c r="IG16" s="16" t="str">
        <f>IF(HT16&gt;0,HT16,"")</f>
        <v/>
      </c>
      <c r="IH16" s="16" t="str">
        <f>IF(SUM(HQ16:HT16)-HU16&gt;0,SUM(HQ16:HT16)-HU16,"")</f>
        <v/>
      </c>
      <c r="II16" s="16" t="str">
        <f>IF(SUM(IB16,IH16)&gt;0,SUM(IB16,IH16),"")</f>
        <v/>
      </c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76" t="str">
        <f>IF(IL16&gt;0,IL16,"")</f>
        <v/>
      </c>
      <c r="JE16" s="76" t="str">
        <f>IF(IM16&gt;0,IM16,"")</f>
        <v/>
      </c>
      <c r="JF16" s="76" t="str">
        <f>IF(SUM(IJ16:IM16)-IN16&gt;0,SUM(IJ16:IM16)-IN16,"")</f>
        <v/>
      </c>
      <c r="JG16" s="76" t="str">
        <f>IF(IQ16&gt;0,IQ16,"")</f>
        <v/>
      </c>
      <c r="JH16" s="76" t="str">
        <f>IF(IR16&gt;0,IR16,"")</f>
        <v/>
      </c>
      <c r="JI16" s="76" t="str">
        <f>IF(SUM(IO16:IR16)-IS16&gt;0,SUM(IO16:IR16)-IS16,"")</f>
        <v/>
      </c>
      <c r="JJ16" s="76" t="str">
        <f>IF(MAX(JF16,JI16)&gt;0,MAX(JF16,JI16),"")</f>
        <v/>
      </c>
      <c r="JK16" s="76" t="str">
        <f>IF(IV16&gt;0,IV16,"")</f>
        <v/>
      </c>
      <c r="JL16" s="76" t="str">
        <f>IF(IW16&gt;0,IW16,"")</f>
        <v/>
      </c>
      <c r="JM16" s="76" t="str">
        <f>IF(SUM(IT16:IW16)-IX16&gt;0,SUM(IT16:IW16)-IX16,"")</f>
        <v/>
      </c>
      <c r="JN16" s="76" t="str">
        <f>IF(JA16&gt;0,JA16,"")</f>
        <v/>
      </c>
      <c r="JO16" s="76" t="str">
        <f>IF(JB16&gt;0,JB16,"")</f>
        <v/>
      </c>
      <c r="JP16" s="76" t="str">
        <f>IF(SUM(IY16:JB16)-JC16&gt;0,SUM(IY16:JB16)-JC16,"")</f>
        <v/>
      </c>
      <c r="JQ16" s="76" t="str">
        <f>IF(SUM(JJ16,JP16)&gt;0,SUM(JJ16,JP16),"")</f>
        <v/>
      </c>
      <c r="JR16" s="26"/>
      <c r="JS16" s="26"/>
      <c r="JT16" s="26"/>
      <c r="JU16" s="26"/>
      <c r="JV16" s="26"/>
      <c r="JW16" s="26"/>
      <c r="JX16" s="26"/>
      <c r="JY16" s="26"/>
      <c r="JZ16" s="26"/>
      <c r="KA16" s="26"/>
      <c r="KB16" s="26"/>
      <c r="KC16" s="26"/>
      <c r="KD16" s="26"/>
      <c r="KE16" s="26"/>
      <c r="KF16" s="26"/>
      <c r="KG16" s="26"/>
      <c r="KH16" s="26"/>
      <c r="KI16" s="26"/>
      <c r="KJ16" s="26"/>
      <c r="KK16" s="26"/>
      <c r="KL16" s="16" t="str">
        <f>IF(JT16&gt;0,JT16,"")</f>
        <v/>
      </c>
      <c r="KM16" s="16" t="str">
        <f>IF(JU16&gt;0,JU16,"")</f>
        <v/>
      </c>
      <c r="KN16" s="16" t="str">
        <f>IF(SUM(JR16:JU16)-JV16&gt;0,SUM(JR16:JU16)-JV16,"")</f>
        <v/>
      </c>
      <c r="KO16" s="16" t="str">
        <f>IF(JY16&gt;0,JY16,"")</f>
        <v/>
      </c>
      <c r="KP16" s="16" t="str">
        <f>IF(JZ16&gt;0,JZ16,"")</f>
        <v/>
      </c>
      <c r="KQ16" s="16" t="str">
        <f>IF(SUM(JW16:JZ16)-KA16&gt;0,SUM(JW16:JZ16)-KA16,"")</f>
        <v/>
      </c>
      <c r="KR16" s="16" t="str">
        <f>IF(MAX(KN16,KQ16)&gt;0,MAX(KN16,KQ16),"")</f>
        <v/>
      </c>
      <c r="KS16" s="16" t="str">
        <f>IF(KD16&gt;0,KD16,"")</f>
        <v/>
      </c>
      <c r="KT16" s="16" t="str">
        <f>IF(KE16&gt;0,KE16,"")</f>
        <v/>
      </c>
      <c r="KU16" s="16" t="str">
        <f>IF(SUM(KB16:KE16)-KF16&gt;0,SUM(KB16:KE16)-KF16,"")</f>
        <v/>
      </c>
      <c r="KV16" s="16" t="str">
        <f>IF(KI16&gt;0,KI16,"")</f>
        <v/>
      </c>
      <c r="KW16" s="16" t="str">
        <f>IF(KJ16&gt;0,KJ16,"")</f>
        <v/>
      </c>
      <c r="KX16" s="16" t="str">
        <f>IF(SUM(KG16:KJ16)-KK16&gt;0,SUM(KG16:KJ16)-KK16,"")</f>
        <v/>
      </c>
      <c r="KY16" s="16" t="str">
        <f>IF(SUM(KR16,KX16)&gt;0,SUM(KR16,KX16),"")</f>
        <v/>
      </c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25"/>
      <c r="LQ16" s="25"/>
      <c r="LR16" s="25"/>
      <c r="LS16" s="25"/>
      <c r="LT16" s="76" t="str">
        <f>IF(LB16&gt;0,LB16,"")</f>
        <v/>
      </c>
      <c r="LU16" s="76" t="str">
        <f>IF(LC16&gt;0,LC16,"")</f>
        <v/>
      </c>
      <c r="LV16" s="76" t="str">
        <f>IF(SUM(KZ16:LC16)-LD16&gt;0,SUM(KZ16:LC16)-LD16,"")</f>
        <v/>
      </c>
      <c r="LW16" s="76" t="str">
        <f>IF(LG16&gt;0,LG16,"")</f>
        <v/>
      </c>
      <c r="LX16" s="76" t="str">
        <f>IF(LH16&gt;0,LH16,"")</f>
        <v/>
      </c>
      <c r="LY16" s="76" t="str">
        <f>IF(SUM(LE16:LH16)-LI16&gt;0,SUM(LE16:LH16)-LI16,"")</f>
        <v/>
      </c>
      <c r="LZ16" s="76" t="str">
        <f>IF(MAX(LV16,LY16)&gt;0,MAX(LV16,LY16),"")</f>
        <v/>
      </c>
      <c r="MA16" s="76" t="str">
        <f>IF(LL16&gt;0,LL16,"")</f>
        <v/>
      </c>
      <c r="MB16" s="76" t="str">
        <f>IF(LM16&gt;0,LM16,"")</f>
        <v/>
      </c>
      <c r="MC16" s="76" t="str">
        <f>IF(SUM(LJ16:LM16)-LN16&gt;0,SUM(LJ16:LM16)-LN16,"")</f>
        <v/>
      </c>
      <c r="MD16" s="76" t="str">
        <f>IF(LQ16&gt;0,LQ16,"")</f>
        <v/>
      </c>
      <c r="ME16" s="76" t="str">
        <f>IF(LR16&gt;0,LR16,"")</f>
        <v/>
      </c>
      <c r="MF16" s="76" t="str">
        <f>IF(SUM(LO16:LR16)-LS16&gt;0,SUM(LO16:LR16)-LS16,"")</f>
        <v/>
      </c>
      <c r="MG16" s="76" t="str">
        <f>IF(SUM(LZ16,MF16)&gt;0,SUM(LZ16,MF16),"")</f>
        <v/>
      </c>
      <c r="MH16" s="26"/>
      <c r="MI16" s="26"/>
      <c r="MJ16" s="26"/>
      <c r="MK16" s="26"/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  <c r="NA16" s="26"/>
      <c r="NB16" s="16" t="str">
        <f>IF(MJ16&gt;0,MJ16,"")</f>
        <v/>
      </c>
      <c r="NC16" s="16" t="str">
        <f>IF(MK16&gt;0,MK16,"")</f>
        <v/>
      </c>
      <c r="ND16" s="16" t="str">
        <f>IF(SUM(MH16:MK16)-ML16&gt;0,SUM(MH16:MK16)-ML16,"")</f>
        <v/>
      </c>
      <c r="NE16" s="16" t="str">
        <f>IF(MO16&gt;0,MO16,"")</f>
        <v/>
      </c>
      <c r="NF16" s="16" t="str">
        <f>IF(MP16&gt;0,MP16,"")</f>
        <v/>
      </c>
      <c r="NG16" s="16" t="str">
        <f>IF(SUM(MM16:MP16)-MQ16&gt;0,SUM(MM16:MP16)-MQ16,"")</f>
        <v/>
      </c>
      <c r="NH16" s="16" t="str">
        <f>IF(MAX(ND16,NG16)&gt;0,MAX(ND16,NG16),"")</f>
        <v/>
      </c>
      <c r="NI16" s="16" t="str">
        <f>IF(MT16&gt;0,MT16,"")</f>
        <v/>
      </c>
      <c r="NJ16" s="16" t="str">
        <f>IF(MU16&gt;0,MU16,"")</f>
        <v/>
      </c>
      <c r="NK16" s="16" t="str">
        <f>IF(SUM(MR16:MU16)-MV16&gt;0,SUM(MR16:MU16)-MV16,"")</f>
        <v/>
      </c>
      <c r="NL16" s="16" t="str">
        <f>IF(MY16&gt;0,MY16,"")</f>
        <v/>
      </c>
      <c r="NM16" s="16" t="str">
        <f>IF(MZ16&gt;0,MZ16,"")</f>
        <v/>
      </c>
      <c r="NN16" s="16" t="str">
        <f>IF(SUM(MW16:MZ16)-NA16&gt;0,SUM(MW16:MZ16)-NA16,"")</f>
        <v/>
      </c>
      <c r="NO16" s="16" t="str">
        <f>IF(SUM(NH16,NN16)&gt;0,SUM(NH16,NN16),"")</f>
        <v/>
      </c>
      <c r="NP16" s="25"/>
      <c r="NQ16" s="25"/>
      <c r="NR16" s="25"/>
      <c r="NS16" s="25"/>
      <c r="NT16" s="25"/>
      <c r="NU16" s="25"/>
      <c r="NV16" s="25"/>
      <c r="NW16" s="25"/>
      <c r="NX16" s="25"/>
      <c r="NY16" s="25"/>
      <c r="NZ16" s="25"/>
      <c r="OA16" s="25"/>
      <c r="OB16" s="25"/>
      <c r="OC16" s="25"/>
      <c r="OD16" s="25"/>
      <c r="OE16" s="25"/>
      <c r="OF16" s="25"/>
      <c r="OG16" s="25"/>
      <c r="OH16" s="25"/>
      <c r="OI16" s="25"/>
      <c r="OJ16" s="76" t="str">
        <f>IF(NR16&gt;0,NR16,"")</f>
        <v/>
      </c>
      <c r="OK16" s="76" t="str">
        <f>IF(NS16&gt;0,NS16,"")</f>
        <v/>
      </c>
      <c r="OL16" s="76" t="str">
        <f>IF(SUM(NP16:NS16)-NT16&gt;0,SUM(NP16:NS16)-NT16,"")</f>
        <v/>
      </c>
      <c r="OM16" s="76" t="str">
        <f>IF(NW16&gt;0,NW16,"")</f>
        <v/>
      </c>
      <c r="ON16" s="76" t="str">
        <f>IF(NX16&gt;0,NX16,"")</f>
        <v/>
      </c>
      <c r="OO16" s="76" t="str">
        <f>IF(SUM(NU16:NX16)-NY16&gt;0,SUM(NU16:NX16)-NY16,"")</f>
        <v/>
      </c>
      <c r="OP16" s="76" t="str">
        <f>IF(MAX(OL16,OO16)&gt;0,MAX(OL16,OO16),"")</f>
        <v/>
      </c>
      <c r="OQ16" s="76" t="str">
        <f>IF(OB16&gt;0,OB16,"")</f>
        <v/>
      </c>
      <c r="OR16" s="76" t="str">
        <f>IF(OC16&gt;0,OC16,"")</f>
        <v/>
      </c>
      <c r="OS16" s="76" t="str">
        <f>IF(SUM(NZ16:OC16)-OD16&gt;0,SUM(NZ16:OC16)-OD16,"")</f>
        <v/>
      </c>
      <c r="OT16" s="76" t="str">
        <f>IF(OG16&gt;0,OG16,"")</f>
        <v/>
      </c>
      <c r="OU16" s="76" t="str">
        <f>IF(OH16&gt;0,OH16,"")</f>
        <v/>
      </c>
      <c r="OV16" s="76" t="str">
        <f>IF(SUM(OE16:OH16)-OI16&gt;0,SUM(OE16:OH16)-OI16,"")</f>
        <v/>
      </c>
      <c r="OW16" s="76" t="str">
        <f>IF(SUM(OP16,OV16)&gt;0,SUM(OP16,OV16),"")</f>
        <v/>
      </c>
      <c r="OX16" s="26"/>
      <c r="OY16" s="26"/>
      <c r="OZ16" s="26"/>
      <c r="PA16" s="26"/>
      <c r="PB16" s="26"/>
      <c r="PC16" s="26"/>
      <c r="PD16" s="26"/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16" t="str">
        <f>IF(OZ16&gt;0,OZ16,"")</f>
        <v/>
      </c>
      <c r="PS16" s="16" t="str">
        <f>IF(PA16&gt;0,PA16,"")</f>
        <v/>
      </c>
      <c r="PT16" s="16" t="str">
        <f>IF(SUM(OX16:PA16)-PB16&gt;0,SUM(OX16:PA16)-PB16,"")</f>
        <v/>
      </c>
      <c r="PU16" s="16" t="str">
        <f>IF(PE16&gt;0,PE16,"")</f>
        <v/>
      </c>
      <c r="PV16" s="16" t="str">
        <f>IF(PF16&gt;0,PF16,"")</f>
        <v/>
      </c>
      <c r="PW16" s="16" t="str">
        <f>IF(SUM(PC16:PF16)-PG16&gt;0,SUM(PC16:PF16)-PG16,"")</f>
        <v/>
      </c>
      <c r="PX16" s="16" t="str">
        <f>IF(MAX(PT16,PW16)&gt;0,MAX(PT16,PW16),"")</f>
        <v/>
      </c>
      <c r="PY16" s="16" t="str">
        <f>IF(PJ16&gt;0,PJ16,"")</f>
        <v/>
      </c>
      <c r="PZ16" s="16" t="str">
        <f>IF(PK16&gt;0,PK16,"")</f>
        <v/>
      </c>
      <c r="QA16" s="16" t="str">
        <f>IF(SUM(PH16:PK16)-PL16&gt;0,SUM(PH16:PK16)-PL16,"")</f>
        <v/>
      </c>
      <c r="QB16" s="16" t="str">
        <f>IF(PO16&gt;0,PO16,"")</f>
        <v/>
      </c>
      <c r="QC16" s="16" t="str">
        <f>IF(PP16&gt;0,PP16,"")</f>
        <v/>
      </c>
      <c r="QD16" s="16" t="str">
        <f>IF(SUM(PM16:PP16)-PQ16&gt;0,SUM(PM16:PP16)-PQ16,"")</f>
        <v/>
      </c>
      <c r="QE16" s="16" t="str">
        <f>IF(SUM(PX16,QD16)&gt;0,SUM(PX16,QD16),"")</f>
        <v/>
      </c>
      <c r="QF16" s="25"/>
      <c r="QG16" s="25"/>
      <c r="QH16" s="25"/>
      <c r="QI16" s="25"/>
      <c r="QJ16" s="25"/>
      <c r="QK16" s="25"/>
      <c r="QL16" s="25"/>
      <c r="QM16" s="25"/>
      <c r="QN16" s="25"/>
      <c r="QO16" s="25"/>
      <c r="QP16" s="25"/>
      <c r="QQ16" s="25"/>
      <c r="QR16" s="25"/>
      <c r="QS16" s="25"/>
      <c r="QT16" s="25"/>
      <c r="QU16" s="25"/>
      <c r="QV16" s="25"/>
      <c r="QW16" s="25"/>
      <c r="QX16" s="25"/>
      <c r="QY16" s="25"/>
      <c r="QZ16" s="76" t="str">
        <f>IF(QH16&gt;0,QH16,"")</f>
        <v/>
      </c>
      <c r="RA16" s="76" t="str">
        <f>IF(QI16&gt;0,QI16,"")</f>
        <v/>
      </c>
      <c r="RB16" s="76" t="str">
        <f>IF(SUM(QF16:QI16)-QJ16&gt;0,SUM(QF16:QI16)-QJ16,"")</f>
        <v/>
      </c>
      <c r="RC16" s="76" t="str">
        <f>IF(QM16&gt;0,QM16,"")</f>
        <v/>
      </c>
      <c r="RD16" s="76" t="str">
        <f>IF(QN16&gt;0,QN16,"")</f>
        <v/>
      </c>
      <c r="RE16" s="76" t="str">
        <f>IF(SUM(QK16:QN16)-QO16&gt;0,SUM(QK16:QN16)-QO16,"")</f>
        <v/>
      </c>
      <c r="RF16" s="76" t="str">
        <f>IF(MAX(RB16,RE16)&gt;0,MAX(RB16,RE16),"")</f>
        <v/>
      </c>
      <c r="RG16" s="76" t="str">
        <f>IF(QR16&gt;0,QR16,"")</f>
        <v/>
      </c>
      <c r="RH16" s="76" t="str">
        <f>IF(QS16&gt;0,QS16,"")</f>
        <v/>
      </c>
      <c r="RI16" s="76" t="str">
        <f>IF(SUM(QP16:QS16)-QT16&gt;0,SUM(QP16:QS16)-QT16,"")</f>
        <v/>
      </c>
      <c r="RJ16" s="76" t="str">
        <f>IF(QW16&gt;0,QW16,"")</f>
        <v/>
      </c>
      <c r="RK16" s="76" t="str">
        <f>IF(QX16&gt;0,QX16,"")</f>
        <v/>
      </c>
      <c r="RL16" s="76" t="str">
        <f>IF(SUM(QU16:QX16)-QY16&gt;0,SUM(QU16:QX16)-QY16,"")</f>
        <v/>
      </c>
      <c r="RM16" s="76" t="str">
        <f>IF(SUM(RF16,RL16)&gt;0,SUM(RF16,RL16),"")</f>
        <v/>
      </c>
      <c r="RN16" s="26"/>
      <c r="RO16" s="26"/>
      <c r="RP16" s="26"/>
      <c r="RQ16" s="26"/>
      <c r="RR16" s="26"/>
      <c r="RS16" s="26"/>
      <c r="RT16" s="26"/>
      <c r="RU16" s="26"/>
      <c r="RV16" s="26"/>
      <c r="RW16" s="26"/>
      <c r="RX16" s="26"/>
      <c r="RY16" s="26"/>
      <c r="RZ16" s="26"/>
      <c r="SA16" s="26"/>
      <c r="SB16" s="26"/>
      <c r="SC16" s="26"/>
      <c r="SD16" s="26"/>
      <c r="SE16" s="26"/>
      <c r="SF16" s="26"/>
      <c r="SG16" s="26"/>
      <c r="SH16" s="16" t="str">
        <f>IF(RP16&gt;0,RP16,"")</f>
        <v/>
      </c>
      <c r="SI16" s="16" t="str">
        <f>IF(RQ16&gt;0,RQ16,"")</f>
        <v/>
      </c>
      <c r="SJ16" s="16" t="str">
        <f>IF(SUM(RN16:RQ16)-RR16&gt;0,SUM(RN16:RQ16)-RR16,"")</f>
        <v/>
      </c>
      <c r="SK16" s="16" t="str">
        <f>IF(RU16&gt;0,RU16,"")</f>
        <v/>
      </c>
      <c r="SL16" s="16" t="str">
        <f>IF(RV16&gt;0,RV16,"")</f>
        <v/>
      </c>
      <c r="SM16" s="16" t="str">
        <f>IF(SUM(RS16:RV16)-RW16&gt;0,SUM(RS16:RV16)-RW16,"")</f>
        <v/>
      </c>
      <c r="SN16" s="16" t="str">
        <f>IF(MAX(SJ16,SM16)&gt;0,MAX(SJ16,SM16),"")</f>
        <v/>
      </c>
      <c r="SO16" s="16" t="str">
        <f>IF(RZ16&gt;0,RZ16,"")</f>
        <v/>
      </c>
      <c r="SP16" s="16" t="str">
        <f>IF(SA16&gt;0,SA16,"")</f>
        <v/>
      </c>
      <c r="SQ16" s="16" t="str">
        <f>IF(SUM(RX16:SA16)-SB16&gt;0,SUM(RX16:SA16)-SB16,"")</f>
        <v/>
      </c>
      <c r="SR16" s="16" t="str">
        <f>IF(SE16&gt;0,SE16,"")</f>
        <v/>
      </c>
      <c r="SS16" s="16" t="str">
        <f>IF(SF16&gt;0,SF16,"")</f>
        <v/>
      </c>
      <c r="ST16" s="16" t="str">
        <f>IF(SUM(SC16:SF16)-SG16&gt;0,SUM(SC16:SF16)-SG16,"")</f>
        <v/>
      </c>
      <c r="SU16" s="16" t="str">
        <f>IF(SUM(SN16,ST16)&gt;0,SUM(SN16,ST16),"")</f>
        <v/>
      </c>
      <c r="SV16" s="42">
        <f>IF($CP16="P",CA16,(CA16+AZ16)/2)</f>
        <v>3.3</v>
      </c>
      <c r="SW16" s="42">
        <f>IF($CP16="P",CB16,(CB16+BA16)/2)</f>
        <v>2.35</v>
      </c>
      <c r="SX16" s="42">
        <f>IF($CP16="P",CC16,(CC16+BB16)/2)</f>
        <v>3.4</v>
      </c>
      <c r="SY16" s="42">
        <f>IF($CP16="P",CD16,(CD16+BC16)/2)</f>
        <v>4.0125000000000002</v>
      </c>
      <c r="SZ16" s="42">
        <f>IF($CP16="P",CE16,(CE16+BD16)/2)</f>
        <v>0</v>
      </c>
      <c r="TA16" s="42">
        <f>IF($CP16="P",CF16,(CF16+BE16)/2)</f>
        <v>6.9</v>
      </c>
      <c r="TB16" s="42">
        <f>IF($CP16="P",CG16,(CG16+BF16)/2)</f>
        <v>4.4000000000000004</v>
      </c>
      <c r="TC16" s="42">
        <f>IF($CP16="P",CH16,(CH16+BG16)/2)</f>
        <v>7.1</v>
      </c>
      <c r="TD16" s="42">
        <f>IF($CP16="P",CI16,(CI16+BH16)/2)</f>
        <v>7.99</v>
      </c>
      <c r="TE16" s="42">
        <f>IF($CP16="P",CJ16,(CJ16+BI16)/2)</f>
        <v>0</v>
      </c>
      <c r="TF16" s="42">
        <f>IF($CP16="P",CK16,(CK16+BJ16)/2)</f>
        <v>6.1</v>
      </c>
      <c r="TG16" s="42">
        <f>IF($CP16="P",CL16,(CL16+BK16)/2)</f>
        <v>3.95</v>
      </c>
      <c r="TH16" s="42">
        <f>IF($CP16="P",CM16,(CM16+BL16)/2)</f>
        <v>5.95</v>
      </c>
      <c r="TI16" s="42">
        <f>IF($CP16="P",CN16,(CN16+BM16)/2)</f>
        <v>7.22</v>
      </c>
      <c r="TJ16" s="42">
        <f>IF($CP16="P",CO16,(CO16+BN16)/2)</f>
        <v>0</v>
      </c>
      <c r="TK16" s="51" t="s">
        <v>61</v>
      </c>
      <c r="TL16" s="76">
        <f>IF(SX16&gt;0,SX16,"")</f>
        <v>3.4</v>
      </c>
      <c r="TM16" s="76">
        <f>IF(SY16&gt;0,SY16,"")</f>
        <v>4.0125000000000002</v>
      </c>
      <c r="TN16" s="76">
        <f>IF(SUM(SV16:SY16)-SZ16&gt;0,SUM(SV16:SY16)-SZ16,"")</f>
        <v>13.0625</v>
      </c>
      <c r="TO16" s="76">
        <f>IF(TC16&gt;0,TC16,"")</f>
        <v>7.1</v>
      </c>
      <c r="TP16" s="76">
        <f>IF(TD16&gt;0,TD16,"")</f>
        <v>7.99</v>
      </c>
      <c r="TQ16" s="76">
        <f>IF(SUM(TA16:TD16)-TE16&gt;0,SUM(TA16:TD16)-TE16,"")</f>
        <v>26.39</v>
      </c>
      <c r="TR16" s="76">
        <f>IF(MAX(TN16,TQ16)&gt;0,MAX(TN16,TQ16),"")</f>
        <v>26.39</v>
      </c>
      <c r="TS16" s="76">
        <f>IF(TH16&gt;0,TH16,"")</f>
        <v>5.95</v>
      </c>
      <c r="TT16" s="76">
        <f>IF(TI16&gt;0,TI16,"")</f>
        <v>7.22</v>
      </c>
      <c r="TU16" s="76">
        <f>IF(SUM(TF16:TI16)-TJ16&gt;0,SUM(TF16:TI16)-TJ16,"")</f>
        <v>23.22</v>
      </c>
      <c r="TV16" s="76">
        <f>IF(SUM(TR16,TU16)&gt;0,SUM(TR16,TU16),"")</f>
        <v>49.61</v>
      </c>
    </row>
    <row r="17" spans="1:542" x14ac:dyDescent="0.2">
      <c r="A17" s="5" t="str" cm="1">
        <f t="array" ref="A17">IF(AND(F17&lt;&gt;"",G17&lt;&gt;""),SUMPRODUCT((F$4:F$23&lt;&gt;"")*(G$4:G$23&lt;&gt;"")*(E$4:E$23&gt;E17))+1,IF(G17&lt;&gt;"",SUMPRODUCT((H$4:H$23="No DD")*(E$4:E$23&gt;E17))+1+SUMPRODUCT((F$4:F$23&lt;&gt;"")*(G$4:G$23&lt;&gt;"")),""))</f>
        <v/>
      </c>
      <c r="B17" s="6" t="s">
        <v>94</v>
      </c>
      <c r="C17" s="7" t="s">
        <v>5</v>
      </c>
      <c r="D17" s="5">
        <v>2003</v>
      </c>
      <c r="E17" s="14">
        <f>SUM(J17:V17)+SUM(J17:T17)*0.0000001+SUM(J17)*0.0000000000001</f>
        <v>203.24502032450516</v>
      </c>
      <c r="F17" s="3" t="str">
        <f>IF(OR(AND(AO17&gt;=AY$25,AO17&lt;&gt;"",AQ17&gt;=AY$29,AQ17&lt;&gt;"",AN17=""),AND(AR17&gt;=AY$25,AR17&lt;&gt;"",AT17&gt;=AY$29,AT17&lt;&gt;"",AN17=""),AND(AV17&gt;=AY$25,AV17&lt;&gt;"",AX17&gt;=AY$29,AX17&lt;&gt;"",AN17=""),AND(BP17&gt;=BZ$25,BP17&lt;&gt;"",BR17&gt;=BZ$29,BR17&lt;&gt;"",BO17=""),AND(BS17&gt;=BZ$25,BS17&lt;&gt;"",BU17&gt;=BZ$29,BU17&lt;&gt;"",BO17=""),AND(BW17&gt;=BZ$25,BW17&lt;&gt;"",BY17&gt;=BZ$29,BY17&lt;&gt;"",BO17=""),AND(CQ17&gt;=DA$25,CQ17&lt;&gt;"",CS17&gt;=DA$29,CS17&lt;&gt;"",CP17=""),AND(CT17&gt;=DA$25,CT17&lt;&gt;"",CV17&gt;=DA$29,CV17&lt;&gt;"",CP17=""),AND(CX17&gt;=DA$25,CX17&lt;&gt;"",CZ17&gt;=DA$29,CZ17&lt;&gt;"",CP17=""),AND(DX17&gt;=EK$25,DX17&lt;&gt;"",DZ17&gt;=EK$29,DZ17&lt;&gt;""),AND(EA17&gt;=EK$25,EA17&lt;&gt;"",EC17&gt;=EK$29,EC17&lt;&gt;""),AND(EE17&gt;=EK$25,EE17&lt;&gt;"",EG17&gt;=EK$29,EG17&lt;&gt;""),AND(EH17&gt;=EK$25,EH17&lt;&gt;"",EJ17&gt;=EK$29,EJ17&lt;&gt;""),AND(FF17&gt;=FS$25,FF17&lt;&gt;"",FH17&gt;=FS$29,FH17&lt;&gt;""),AND(FI17&gt;=FS$25,FI17&lt;&gt;"",FK17&gt;=FS$29,FK17&lt;&gt;""),AND(FM17&gt;=FS$25,FM17&lt;&gt;"",FO17&gt;=FS$29,FO17&lt;&gt;""),AND(FP17&gt;=FS$25,FP17&lt;&gt;"",FR17&gt;=FS$29,FR17&lt;&gt;""),AND(GN17&gt;=HA$25,GN17&lt;&gt;"",GP17&gt;=HA$29,GP17&lt;&gt;""),AND(GQ17&gt;=HA$25,GQ17&lt;&gt;"",GS17&gt;=HA$29,GS17&lt;&gt;""),AND(GU17&gt;=HA$25,GU17&lt;&gt;"",GW17&gt;=HA$29,GW17&lt;&gt;""),AND(GX17&gt;=HA$25,GX17&lt;&gt;"",GZ17&gt;=HA$29,GZ17&lt;&gt;""),AND(HV17&gt;=II$25,HV17&lt;&gt;"",HX17&gt;=II$29,HX17&lt;&gt;""),AND(HY17&gt;=II$25,HY17&lt;&gt;"",IA17&gt;=II$29,IA17&lt;&gt;""),AND(IC17&gt;=II$25,IC17&lt;&gt;"",IE17&gt;=II$29,IE17&lt;&gt;""),AND(IF17&gt;=II$25,IF17&lt;&gt;"",IH17&gt;=II$29,IH17&lt;&gt;""),AND(JD17&gt;=JQ$25,JD17&lt;&gt;"",JF17&gt;=JQ$29,JF17&lt;&gt;""),AND(JG17&gt;=JQ$25,JG17&lt;&gt;"",JI17&gt;=JQ$29,JI17&lt;&gt;""),AND(JK17&gt;=JQ$25,JK17&lt;&gt;"",JM17&gt;=JQ$29,JM17&lt;&gt;""),AND(JN17&gt;=JQ$25,JN17&lt;&gt;"",JP17&gt;=JQ$29,JP17&lt;&gt;""),AND(KL17&gt;=KY$25,KL17&lt;&gt;"",KN17&gt;=KY$29,KN17&lt;&gt;""),AND(KO17&gt;=KY$25,KO17&lt;&gt;"",KQ17&gt;=KY$29,KQ17&lt;&gt;""),AND(KS17&gt;=KY$25,KS17&lt;&gt;"",KU17&gt;=KY$29,KU17&lt;&gt;""),AND(KV17&gt;=KY$25,KV17&lt;&gt;"",KX17&gt;=KY$29,KX17&lt;&gt;""),AND(LT17&gt;=MG$25,LT17&lt;&gt;"",LV17&gt;=MG$29,LV17&lt;&gt;""),AND(LW17&gt;=MG$25,LW17&lt;&gt;"",LY17&gt;=MG$29,LY17&lt;&gt;""),AND(MA17&gt;=MG$25,MA17&lt;&gt;"",MC17&gt;=MG$29,MC17&lt;&gt;""),AND(MD17&gt;=MG$25,MD17&lt;&gt;"",MF17&gt;=MG$29,MF17&lt;&gt;""),AND(NB17&gt;=NO$25,NB17&lt;&gt;"",ND17&gt;=NO$29,ND17&lt;&gt;""),AND(NE17&gt;=NO$25,NE17&lt;&gt;"",NG17&gt;=NO$29,NG17&lt;&gt;""),AND(NI17&gt;=NO$25,NI17&lt;&gt;"",NK17&gt;=NO$29,NK17&lt;&gt;""),AND(NL17&gt;=NO$25,NL17&lt;&gt;"",NN17&gt;=NO$29,NN17&lt;&gt;""),AND(OJ17&gt;=OW$25,OJ17&lt;&gt;"",OL17&gt;=OW$29,OL17&lt;&gt;""),AND(OM17&gt;=OW$25,OM17&lt;&gt;"",OO17&gt;=OW$29,OO17&lt;&gt;""),AND(OQ17&gt;=OW$25,OQ17&lt;&gt;"",OS17&gt;=OW$29,OS17&lt;&gt;""),AND(OT17&gt;=OW$25,OT17&lt;&gt;"",OV17&gt;=OW$29,OV17&lt;&gt;""),AND(PR17&gt;=QE$25,PR17&lt;&gt;"",PT17&gt;=QE$29,PT17&lt;&gt;""),AND(PU17&gt;=QE$25,PU17&lt;&gt;"",PW17&gt;=QE$29,PW17&lt;&gt;""),AND(PY17&gt;=QE$25,PY17&lt;&gt;"",QA17&gt;=QE$29,QA17&lt;&gt;""),AND(QB17&gt;=QE$25,QB17&lt;&gt;"",QD17&gt;=QE$29,QD17&lt;&gt;""),AND(QZ17&gt;=RM$25,QZ17&lt;&gt;"",RB17&gt;=RM$29,RB17&lt;&gt;""),AND(RC17&gt;=RM$25,RC17&lt;&gt;"",RE17&gt;=RM$29,RE17&lt;&gt;""),AND(RG17&gt;=RM$25,RG17&lt;&gt;"",RI17&gt;=RM$29,RI17&lt;&gt;""),AND(RJ17&gt;=RM$25,RJ17&lt;&gt;"",RL17&gt;=RM$29,RL17&lt;&gt;""),AND(SH17&gt;=SU$25,SH17&lt;&gt;"",SJ17&gt;=SU$29,SJ17&lt;&gt;""),AND(SK17&gt;=SU$25,SK17&lt;&gt;"",SM17&gt;=SU$29,SM17&lt;&gt;""),AND(SO17&gt;=SU$25,SO17&lt;&gt;"",SQ17&gt;=SU$29,SQ17&lt;&gt;""),AND(SR17&gt;=SU$25,SR17&lt;&gt;"",ST17&gt;=SU$29,ST17&lt;&gt;"")),"P","")</f>
        <v/>
      </c>
      <c r="G17" s="3" t="str">
        <f>IF(OR(AND(AQ17&gt;=AY$29,AQ17&lt;&gt;"",AN17=""),AND(AT17&gt;=AY$29,AT17&lt;&gt;"",AN17=""),AND(AX17&gt;=AY$29,AX17&lt;&gt;"",AN17=""),AND(BR17&gt;=BZ$29,BR17&lt;&gt;"",BO17=""),AND(BU17&gt;=BZ$29,BU17&lt;&gt;"",BO17=""),AND(BY17&gt;=BZ$29,BY17&lt;&gt;"",BO17=""),AND(CS17&gt;=DA$29,CS17&lt;&gt;"",CP17=""),AND(CV17&gt;=DA$29,CV17&lt;&gt;"",CP17=""),AND(CZ17&gt;=DA$29,CZ17&lt;&gt;"",CP17=""),AND(DZ17&gt;=EK$29,DZ17&lt;&gt;""),AND(EC17&gt;=EK$29,EC17&lt;&gt;""),AND(EG17&gt;=EK$29,EG17&lt;&gt;""),AND(EJ17&gt;=EK$29,EJ17&lt;&gt;""),AND(FH17&gt;=FS$29,FH17&lt;&gt;""),AND(FK17&gt;=FS$29,FK17&lt;&gt;""),AND(FO17&gt;=FS$29,FO17&lt;&gt;""),AND(FR17&gt;=FS$29,FR17&lt;&gt;""),AND(GP17&gt;=HA$29,GP17&lt;&gt;""),AND(GS17&gt;=HA$29,GS17&lt;&gt;""),AND(GW17&gt;=HA$29,GW17&lt;&gt;""),AND(GZ17&gt;=HA$29,GZ17&lt;&gt;""),AND(HX17&gt;=II$29,HX17&lt;&gt;""),AND(IA17&gt;=II$29,IA17&lt;&gt;""),AND(IE17&gt;=II$29,IE17&lt;&gt;""),AND(IH17&gt;=II$29,IH17&lt;&gt;""),AND(JF17&gt;=JQ$29,JF17&lt;&gt;""),AND(JI17&gt;=JQ$29,JI17&lt;&gt;""),AND(JM17&gt;=JQ$29,JM17&lt;&gt;""),AND(JP17&gt;=JQ$29,JP17&lt;&gt;""),AND(KN17&gt;=KY$29,KN17&lt;&gt;""),AND(KQ17&gt;=KY$29,KQ17&lt;&gt;""),AND(KU17&gt;=KY$29,KU17&lt;&gt;""),AND(KX17&gt;=KY$29,KX17&lt;&gt;""),AND(LV17&gt;=MG$29,LV17&lt;&gt;""),AND(LY17&gt;=MG$29,LY17&lt;&gt;""),AND(MC17&gt;=MG$29,MC17&lt;&gt;""),AND(MF17&gt;=MG$29,MF17&lt;&gt;""),AND(ND17&gt;=NO$29,ND17&lt;&gt;""),AND(NG17&gt;=NO$29,NG17&lt;&gt;""),AND(NK17&gt;=NO$29,NK17&lt;&gt;""),AND(NN17&gt;=NO$29,NN17&lt;&gt;""),AND(OL17&gt;=OW$29,OL17&lt;&gt;""),AND(OO17&gt;=OW$29,OO17&lt;&gt;""),AND(OS17&gt;=OW$29,OS17&lt;&gt;""),AND(OV17&gt;=OW$29,OV17&lt;&gt;""),AND(PT17&gt;=QE$29,PT17&lt;&gt;""),AND(PW17&gt;=QE$29,PW17&lt;&gt;""),AND(QA17&gt;=QE$29,QA17&lt;&gt;""),AND(QD17&gt;=QE$29,QD17&lt;&gt;""),AND(RB17&gt;=RM$29,RB17&lt;&gt;""),AND(RE17&gt;=RM$29,RE17&lt;&gt;""),AND(RI17&gt;=RM$29,RI17&lt;&gt;""),AND(RL17&gt;=RM$29,RL17&lt;&gt;""),AND(SJ17&gt;=SU$29,SJ17&lt;&gt;""),AND(SM17&gt;=SU$29,SM17&lt;&gt;""),AND(SQ17&gt;=SU$29,SQ17&lt;&gt;""),AND(ST17&gt;=SU$29,ST17&lt;&gt;"")),"P","")</f>
        <v/>
      </c>
      <c r="H17" s="70" t="str">
        <f>IF(AND(G17="P",F17=""),"No DD",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),"Merit",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X17&gt;=EK$27,DX17&lt;&gt;"",DZ17&gt;=EK$31,DZ17&lt;&gt;""),AND(EA17&gt;=EK$27,EA17&lt;&gt;"",EC17&gt;=EK$31,EC17&lt;&gt;""),AND(EE17&gt;=EK$27,EE17&lt;&gt;"",EG17&gt;=EK$31,EG17&lt;&gt;""),AND(EH17&gt;=EK$27,EH17&lt;&gt;"",EJ17&gt;=EK$31,EJ17&lt;&gt;""),AND(FF17&gt;=FS$27,FF17&lt;&gt;"",FH17&gt;=FS$31,FH17&lt;&gt;""),AND(FI17&gt;=FS$27,FI17&lt;&gt;"",FK17&gt;=FS$31,FK17&lt;&gt;""),AND(FM17&gt;=FS$27,FM17&lt;&gt;"",FO17&gt;=FS$31,FO17&lt;&gt;""),AND(FP17&gt;=FS$27,FP17&lt;&gt;"",FR17&gt;=FS$31,FR17&lt;&gt;""),AND(GN17&gt;=HA$27,GN17&lt;&gt;"",GP17&gt;=HA$31,GP17&lt;&gt;""),AND(GQ17&gt;=HA$27,GQ17&lt;&gt;"",GS17&gt;=HA$31,GS17&lt;&gt;""),AND(GU17&gt;=HA$27,GU17&lt;&gt;"",GW17&gt;=HA$31,GW17&lt;&gt;""),AND(GX17&gt;=HA$27,GX17&lt;&gt;"",GZ17&gt;=HA$31,GZ17&lt;&gt;""),AND(HV17&gt;=II$27,HV17&lt;&gt;"",HX17&gt;=II$31,HX17&lt;&gt;""),AND(HY17&gt;=II$27,HY17&lt;&gt;"",IA17&gt;=II$31,IA17&lt;&gt;""),AND(IC17&gt;=II$27,IC17&lt;&gt;"",IE17&gt;=II$31,IE17&lt;&gt;""),AND(IF17&gt;=II$27,IF17&lt;&gt;"",IH17&gt;=II$31,IH17&lt;&gt;""),AND(JD17&gt;=JQ$27,JD17&lt;&gt;"",JF17&gt;=JQ$31,JF17&lt;&gt;""),AND(JG17&gt;=JQ$27,JG17&lt;&gt;"",JI17&gt;=JQ$31,JI17&lt;&gt;""),AND(JK17&gt;=JQ$27,JK17&lt;&gt;"",JM17&gt;=JQ$31,JM17&lt;&gt;""),AND(JN17&gt;=JQ$27,JN17&lt;&gt;"",JP17&gt;=JQ$31,JP17&lt;&gt;""),AND(KL17&gt;=KY$27,KL17&lt;&gt;"",KN17&gt;=KY$31,KN17&lt;&gt;""),AND(KO17&gt;=KY$27,KO17&lt;&gt;"",KQ17&gt;=KY$31,KQ17&lt;&gt;""),AND(KS17&gt;=KY$27,KS17&lt;&gt;"",KU17&gt;=KY$31,KU17&lt;&gt;""),AND(KV17&gt;=KY$27,KV17&lt;&gt;"",KX17&gt;=KY$31,KX17&lt;&gt;""),AND(LT17&gt;=MG$27,LT17&lt;&gt;"",LV17&gt;=MG$31,LV17&lt;&gt;""),AND(LW17&gt;=MG$27,LW17&lt;&gt;"",LY17&gt;=MG$31,LY17&lt;&gt;""),AND(MA17&gt;=MG$27,MA17&lt;&gt;"",MC17&gt;=MG$31,MC17&lt;&gt;""),AND(MD17&gt;=MG$27,MD17&lt;&gt;"",MF17&gt;=MG$31,MF17&lt;&gt;""),AND(NB17&gt;=NO$27,NB17&lt;&gt;"",ND17&gt;=NO$31,ND17&lt;&gt;""),AND(NE17&gt;=NO$27,NE17&lt;&gt;"",NG17&gt;=NO$31,NG17&lt;&gt;""),AND(NI17&gt;=NO$27,NI17&lt;&gt;"",NK17&gt;=NO$31,NK17&lt;&gt;""),AND(NL17&gt;=NO$27,NL17&lt;&gt;"",NN17&gt;=NO$31,NN17&lt;&gt;""),AND(OJ17&gt;=OW$27,OJ17&lt;&gt;"",OL17&gt;=OW$31,OL17&lt;&gt;""),AND(OM17&gt;=OW$27,OM17&lt;&gt;"",OO17&gt;=OW$31,OO17&lt;&gt;""),AND(OQ17&gt;=OW$27,OQ17&lt;&gt;"",OS17&gt;=OW$31,OS17&lt;&gt;""),AND(OT17&gt;=OW$27,OT17&lt;&gt;"",OV17&gt;=OW$31,OV17&lt;&gt;""),AND(PR17&gt;=QE$27,PR17&lt;&gt;"",PT17&gt;=QE$31,PT17&lt;&gt;""),AND(PU17&gt;=QE$27,PU17&lt;&gt;"",PW17&gt;=QE$31,PW17&lt;&gt;""),AND(PY17&gt;=QE$27,PY17&lt;&gt;"",QA17&gt;=QE$31,QA17&lt;&gt;""),AND(QB17&gt;=QE$27,QB17&lt;&gt;"",QD17&gt;=QE$31,QD17&lt;&gt;""),AND(QZ17&gt;=RM$27,QZ17&lt;&gt;"",RB17&gt;=RM$31,RB17&lt;&gt;""),AND(RC17&gt;=RM$27,RC17&lt;&gt;"",RE17&gt;=RM$31,RE17&lt;&gt;""),AND(RG17&gt;=RM$27,RG17&lt;&gt;"",RI17&gt;=RM$31,RI17&lt;&gt;""),AND(RJ17&gt;=RM$27,RJ17&lt;&gt;"",RL17&gt;=RM$31,RL17&lt;&gt;""),AND(SH17&gt;=SU$27,SH17&lt;&gt;"",SJ17&gt;=SU$31,SJ17&lt;&gt;""),AND(SK17&gt;=SU$27,SK17&lt;&gt;"",SM17&gt;=SU$31,SM17&lt;&gt;""),AND(SO17&gt;=SU$27,SO17&lt;&gt;"",SQ17&gt;=SU$31,SQ17&lt;&gt;""),AND(SR17&gt;=SU$27,SR17&lt;&gt;"",ST17&gt;=SU$31,ST17&lt;&gt;"")),"Excellence",IF(I17="P","Worlds Team",IF(F17="P","National Team","")))))</f>
        <v/>
      </c>
      <c r="I17" s="3" t="str">
        <f>IF(OR(AND(AO17&gt;=AY$26,AO17&lt;&gt;"",AQ17&gt;=AY$30,AQ17&lt;&gt;"",AN17=""),AND(AR17&gt;=AY$26,AR17&lt;&gt;"",AT17&gt;=AY$30,AT17&lt;&gt;"",AN17=""),AND(AV17&gt;=AY$26,AV17&lt;&gt;"",AX17&gt;=AY$30,AX17&lt;&gt;"",AN17=""),AND(BP17&gt;=BZ$26,BP17&lt;&gt;"",BR17&gt;=BZ$30,BR17&lt;&gt;"",BO17=""),AND(BS17&gt;=BZ$26,BS17&lt;&gt;"",BU17&gt;=BZ$30,BU17&lt;&gt;"",BO17=""),AND(BW17&gt;=BZ$26,BW17&lt;&gt;"",BY17&gt;=BZ$30,BY17&lt;&gt;"",BO17=""),AND(CQ17&gt;=DA$26,CQ17&lt;&gt;"",CS17&gt;=DA$30,CS17&lt;&gt;"",CP17=""),AND(CT17&gt;=DA$26,CT17&lt;&gt;"",CV17&gt;=DA$30,CV17&lt;&gt;"",CP17=""),AND(CX17&gt;=DA$26,CX17&lt;&gt;"",CZ17&gt;=DA$30,CZ17&lt;&gt;"",CP17=""),AND(DX17&gt;=EK$26,DX17&lt;&gt;"",DZ17&gt;=EK$30,DZ17&lt;&gt;""),AND(EA17&gt;=EK$26,EA17&lt;&gt;"",EC17&gt;=EK$30,EC17&lt;&gt;""),AND(EE17&gt;=EK$26,EE17&lt;&gt;"",EG17&gt;=EK$30,EG17&lt;&gt;""),AND(EH17&gt;=EK$26,EH17&lt;&gt;"",EJ17&gt;=EK$30,EJ17&lt;&gt;""),AND(FF17&gt;=FS$26,FF17&lt;&gt;"",FH17&gt;=FS$30,FH17&lt;&gt;""),AND(FI17&gt;=FS$26,FI17&lt;&gt;"",FK17&gt;=FS$30,FK17&lt;&gt;""),AND(FM17&gt;=FS$26,FM17&lt;&gt;"",FO17&gt;=FS$30,FO17&lt;&gt;""),AND(FP17&gt;=FS$26,FP17&lt;&gt;"",FR17&gt;=FS$30,FR17&lt;&gt;""),AND(GN17&gt;=HA$26,GN17&lt;&gt;"",GP17&gt;=HA$30,GP17&lt;&gt;""),AND(GQ17&gt;=HA$26,GQ17&lt;&gt;"",GS17&gt;=HA$30,GS17&lt;&gt;""),AND(GU17&gt;=HA$26,GU17&lt;&gt;"",GW17&gt;=HA$30,GW17&lt;&gt;""),AND(GX17&gt;=HA$26,GX17&lt;&gt;"",GZ17&gt;=HA$30,GZ17&lt;&gt;""),AND(HV17&gt;=II$26,HV17&lt;&gt;"",HX17&gt;=II$30,HX17&lt;&gt;""),AND(HY17&gt;=II$26,HY17&lt;&gt;"",IA17&gt;=II$30,IA17&lt;&gt;""),AND(IC17&gt;=II$26,IC17&lt;&gt;"",IE17&gt;=II$30,IE17&lt;&gt;""),AND(IF17&gt;=II$26,IF17&lt;&gt;"",IH17&gt;=II$30,IH17&lt;&gt;""),AND(JD17&gt;=JQ$26,JD17&lt;&gt;"",JF17&gt;=JQ$30,JF17&lt;&gt;""),AND(JG17&gt;=JQ$26,JG17&lt;&gt;"",JI17&gt;=JQ$30,JI17&lt;&gt;""),AND(JK17&gt;=JQ$26,JK17&lt;&gt;"",JM17&gt;=JQ$30,JM17&lt;&gt;""),AND(JN17&gt;=JQ$26,JN17&lt;&gt;"",JP17&gt;=JQ$30,JP17&lt;&gt;""),AND(KL17&gt;=KY$26,KL17&lt;&gt;"",KN17&gt;=KY$30,KN17&lt;&gt;""),AND(KO17&gt;=KY$26,KO17&lt;&gt;"",KQ17&gt;=KY$30,KQ17&lt;&gt;""),AND(KS17&gt;=KY$26,KS17&lt;&gt;"",KU17&gt;=KY$30,KU17&lt;&gt;""),AND(KV17&gt;=KY$26,KV17&lt;&gt;"",KX17&gt;=KY$30,KX17&lt;&gt;""),AND(LT17&gt;=MG$26,LT17&lt;&gt;"",LV17&gt;=MG$30,LV17&lt;&gt;""),AND(LW17&gt;=MG$26,LW17&lt;&gt;"",LY17&gt;=MG$30,LY17&lt;&gt;""),AND(MA17&gt;=MG$26,MA17&lt;&gt;"",MC17&gt;=MG$30,MC17&lt;&gt;""),AND(MD17&gt;=MG$26,MD17&lt;&gt;"",MF17&gt;=MG$30,MF17&lt;&gt;""),AND(NB17&gt;=NO$26,NB17&lt;&gt;"",ND17&gt;=NO$30,ND17&lt;&gt;""),AND(NE17&gt;=NO$26,NE17&lt;&gt;"",NG17&gt;=NO$30,NG17&lt;&gt;""),AND(NI17&gt;=NO$26,NI17&lt;&gt;"",NK17&gt;=NO$30,NK17&lt;&gt;""),AND(NL17&gt;=NO$26,NL17&lt;&gt;"",NN17&gt;=NO$30,NN17&lt;&gt;""),AND(OJ17&gt;=OW$26,OJ17&lt;&gt;"",OL17&gt;=OW$30,OL17&lt;&gt;""),AND(OM17&gt;=OW$26,OM17&lt;&gt;"",OO17&gt;=OW$30,OO17&lt;&gt;""),AND(OQ17&gt;=OW$26,OQ17&lt;&gt;"",OS17&gt;=OW$30,OS17&lt;&gt;""),AND(OT17&gt;=OW$26,OT17&lt;&gt;"",OV17&gt;=OW$30,OV17&lt;&gt;""),AND(PR17&gt;=QE$26,PR17&lt;&gt;"",PT17&gt;=QE$30,PT17&lt;&gt;""),AND(PU17&gt;=QE$26,PU17&lt;&gt;"",PW17&gt;=QE$30,PW17&lt;&gt;""),AND(PY17&gt;=QE$26,PY17&lt;&gt;"",QA17&gt;=QE$30,QA17&lt;&gt;""),AND(QB17&gt;=QE$26,QB17&lt;&gt;"",QD17&gt;=QE$30,QD17&lt;&gt;""),AND(QZ17&gt;=RM$26,QZ17&lt;&gt;"",RB17&gt;=RM$30,RB17&lt;&gt;""),AND(RC17&gt;=RM$26,RC17&lt;&gt;"",RE17&gt;=RM$30,RE17&lt;&gt;""),AND(RG17&gt;=RM$26,RG17&lt;&gt;"",RI17&gt;=RM$30,RI17&lt;&gt;""),AND(RJ17&gt;=RM$26,RJ17&lt;&gt;"",RL17&gt;=RM$30,RL17&lt;&gt;""),AND(SH17&gt;=SU$26,SH17&lt;&gt;"",SJ17&gt;=SU$30,SJ17&lt;&gt;""),AND(SK17&gt;=SU$26,SK17&lt;&gt;"",SM17&gt;=SU$30,SM17&lt;&gt;""),AND(SO17&gt;=SU$26,SO17&lt;&gt;"",SQ17&gt;=SU$30,SQ17&lt;&gt;""),AND(SR17&gt;=SU$26,SR17&lt;&gt;"",ST17&gt;=SU$30,ST17&lt;&gt;"")),"P","")</f>
        <v/>
      </c>
      <c r="J17" s="13">
        <f>IF(COUNT(AQ17,AT17,BR17,BU17,CS17,CV17)&gt;0,LARGE((AQ17,AT17,BR17,BU17,CS17,CV17),1),0)</f>
        <v>51.35</v>
      </c>
      <c r="K17" s="13" t="str">
        <f>IF(J17="","",IF(OR(J17=CS17,J17=CV17),$CA$1,IF(OR(J17=BR17,J17=BU17),$AZ$1,IF(OR(J17=AQ17,J17=AT17),$Y$1,""))))</f>
        <v>2021 Elite Canada</v>
      </c>
      <c r="L17" s="13">
        <f>IF(COUNT(AQ17,AT17,BR17,BU17,CS17,CV17)&gt;1,LARGE((AQ17,AT17,BR17,BU17,CS17,CV17),2),0)</f>
        <v>50.65</v>
      </c>
      <c r="M17" s="13" t="str">
        <f>IF(L17="","",IF(OR(L17=CS17,L17=CV17),$CA$1,IF(OR(L17=BR17,L17=BU17),$AZ$1,IF(OR(L17=AQ17,L17=AT17),$Y$1,""))))</f>
        <v>2021 Elite Canada</v>
      </c>
      <c r="N17" s="13">
        <f>IF(COUNT(AQ17,AT17,BR17,BU17,CS17,CV17)&gt;2,LARGE((AQ17,AT17,BR17,BU17,CS17,CV17),3),0)</f>
        <v>38.614999999999995</v>
      </c>
      <c r="O17" s="13" t="str">
        <f>IF(N17="","",IF(OR(N17=CS17,N17=CV17),$CA$1,IF(OR(N17=BR17,N17=BU17),$AZ$1,IF(OR(N17=AQ17,N17=AT17),$Y$1,""))))</f>
        <v>2021 Canadian Championships</v>
      </c>
      <c r="P17" s="13">
        <f>IF(MAX(AX17,BY17,CZ17)&gt;0,MAX(AX17,BY17,CZ17),0)</f>
        <v>49.13</v>
      </c>
      <c r="Q17" s="13" t="str">
        <f>IF(P17="","",IF(P17=CZ17,$CA$1,IF(P17=BY17,$AZ$1,IF(P17=AX17,$Y$1,""))))</f>
        <v>2021 Elite Canada</v>
      </c>
      <c r="R17" s="13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13.5</v>
      </c>
      <c r="S17" s="13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2021 Elite Canada</v>
      </c>
      <c r="T17" s="13">
        <f>IF(MAX(IF(AO17&gt;=$AY$25,AP17,0),IF(AR17&gt;=$AY$25,AS17,0),IF(AV17&gt;=$AY$25,AW17,0),IF(BP17&gt;=$BZ$25,BQ17,0),IF(BS17&gt;=$BZ$25,BT17,0),IF(BW17&gt;=$BZ$25,BX17,0),IF(CQ17&gt;=$DA$25,CR17,0),IF(CT17&gt;=$DA$25,CU17,0),IF(CX17&gt;=$DA$25,CY17,0))&gt;0,MAX(IF(AO17&gt;=$AY$25,AP17,0),IF(AR17&gt;=$AY$25,AS17,0),IF(AV17&gt;=$AY$25,AW17,0),IF(BP17&gt;=$BZ$25,BQ17,0),IF(BS17&gt;=$BZ$25,BT17,0),IF(BW17&gt;=$BZ$25,BX17,0),IF(CQ17&gt;=$DA$25,CR17,0),IF(CT17&gt;=$DA$25,CU17,0),IF(CX17&gt;=$DA$25,CY17,0),IF(DX17&gt;=$EK$25,DY17,0),IF(EA17&gt;=$EK$25,EB17,0),IF(EE17&gt;=$EK$25,EF17,0),IF(EH17&gt;=$EK$25,EI17,0),IF(FF17&gt;=$FS$25,FG17,0),IF(FI17&gt;=$FS$25,FJ17,0),IF(FM17&gt;=$FS$25,FN17,0),IF(FP17&gt;=$FS$25,FQ17,0),IF(GN17&gt;=$HA$25,GO17,0),IF(GQ17&gt;=$HA$25,GR17,0),IF(GU17&gt;=$HA$25,GV17,0),IF(GX17&gt;=$HA$25,GY17,0),IF(HV17&gt;=$II$25,HW17,0),IF(HY17&gt;=$II$25,HZ17,0),IF(IC17&gt;=$II$25,ID17,0),IF(IF17&gt;=$II$25,IG17,0),IF(JD17&gt;=$JQ$25,JE17,0),IF(JG17&gt;=$JQ$25,JH17,0),IF(JK17&gt;=$JQ$25,JL17,0),IF(JN17&gt;=$JQ$25,JO17,0),IF(KL17&gt;=$KY$25,KM17,0),IF(KO17&gt;=$KY$25,KP17,0),IF(KS17&gt;=$KY$25,KT17,0),IF(KV17&gt;=$KY$25,KW17,0),IF(LT17&gt;=$MG$25,LU17,0),IF(LW17&gt;=$MG$25,LX17,0),IF(MA17&gt;=$MG$25,MB17,0),IF(MD17&gt;=$MG$25,ME17,0),IF(NB17&gt;=$NO$25,NC17,0),IF(NE17&gt;=$NO$25,NF17,0),IF(NI17&gt;=$NO$25,NJ17,0),IF(NL17&gt;=$NO$25,NM17,0),IF(OJ17&gt;=$OW$25,OK17,0),IF(OM17&gt;=$OW$25,ON17,0),IF(OQ17&gt;=$OW$25,OR17,0),IF(OT17&gt;=$OW$25,OU17,0),IF(PR17&gt;=$QE$25,PS17,0),IF(PU17&gt;=$QE$25,PV17,0),IF(PY17&gt;=$QE$25,PZ17,0),IF(QB17&gt;=$QE$25,QC17,0),IF(QZ17&gt;=$RM$25,RA17,0),IF(RC17&gt;=$RM$25,RD17,0),IF(RG17&gt;=$RM$25,RH17,0),IF(RJ17&gt;=$RM$25,RK17,0),IF(SH17&gt;=$SU$25,SI17,0),IF(SK17&gt;=$SU$25,SL17,0),IF(SO17&gt;=$SU$25,SP17,0),IF(SR17&gt;=$SU$25,SS17,0)),0)</f>
        <v>0</v>
      </c>
      <c r="U17" s="13" t="str">
        <f>IF(T17=0,"",IF(OR(T17=CR17,T17=CU17,T17=CY17),$CA$1,IF(OR(T17=BQ17,T17=BT17,T17=BX17),$AZ$1,IF(OR(T17=AP17,T17=AS17,T17=AW17),$Y$1,IF(OR(R17=SI17,R17=SL17,R17=SP17,R17=SS17),$RN$1,IF(OR(R17=RA17,R17=RD17,R17=RH17,R17=RK17),$QF$1,IF(OR(R17=PS17,R17=PV17,R17=PZ17,R17=QC17),$OX$1,IF(OR(R17=OK17,R17=ON17,R17=OR17,R17=OU17),$NP$1,IF(OR(R17=NC17,R17=NF17,R17=NJ17,R17=NM17),$MH$1,IF(OR(R17=LU17,R17=LX17,R17=MB17,R17=ME17),$KZ$1,IF(OR(R17=KM17,R17=KP17,R17=KT17,R17=KW17),$JR$1,IF(OR(R17=JE17,R17=JH17,R17=JL17,R17=JO17),$IJ$1,IF(OR(R17=HW17,R17=HZ17,R17=ID17,R17=IG17),$HB$1,IF(OR(R17=GO17,R17=GR17,R17=GV17,R17=GY17),$FT$1,IF(OR(R17=FG17,R17=FJ17,R17=FN17,R17=FQ17),$EL$1,IF(OR(R17=DY17,R17=EB17,R17=EF17,R17=EI17),$DD$1,""))))))))))))))))</f>
        <v/>
      </c>
      <c r="V17" s="13" t="str">
        <f>IF(MAX(DB17,DC17)&gt;0,MAX(DB17,DC17),"")</f>
        <v/>
      </c>
      <c r="W17" s="16" t="str">
        <f>IF(V17="","",IF(V17=DB17,"("&amp;DB$2&amp;")",IF(V17=DC17,"("&amp;DC$2&amp;")")))</f>
        <v/>
      </c>
      <c r="X17" s="13" t="str">
        <f>IF(V17="","",IF(V17=DB17,IF(V17+IF(L17="",0,L17)=SN17,$RN$1,IF(V17+IF(L17="",0,L17)=RF17,$QF$1,IF(V17+IF(L17="",0,L17)=PX17,$OX$1,IF(V17+IF(L17="",0,L17)=OP17,$NP$1,IF(V17+IF(L17="",0,L17)=NH17,$MH$1,IF(V17+IF(L17="",0,L17)=LZ17,$KZ$1,IF(V17+IF(L17="",0,L17)=KR17,$JR$1,IF(V17+IF(L17="",0,L17)=JJ17,$IJ$1,IF(V17+IF(L17="",0,L17)=IB17,$HB$1,IF(V17+IF(L17="",0,L17)=GT17,$FT$1,IF(V17+IF(L17="",0,L17)=FL17,$EL$1,IF(V17+IF(L17="",0,L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$1)))))))))))))))</f>
        <v/>
      </c>
      <c r="Y17" s="42">
        <v>13.4</v>
      </c>
      <c r="Z17" s="42">
        <v>9</v>
      </c>
      <c r="AA17" s="42">
        <v>13.5</v>
      </c>
      <c r="AB17" s="42">
        <v>14.75</v>
      </c>
      <c r="AC17" s="42">
        <v>0</v>
      </c>
      <c r="AD17" s="42">
        <v>14.2</v>
      </c>
      <c r="AE17" s="42">
        <v>9</v>
      </c>
      <c r="AF17" s="42">
        <v>13.5</v>
      </c>
      <c r="AG17" s="42">
        <v>14.65</v>
      </c>
      <c r="AH17" s="42">
        <v>0</v>
      </c>
      <c r="AI17" s="42">
        <v>13.7</v>
      </c>
      <c r="AJ17" s="42">
        <v>8.9</v>
      </c>
      <c r="AK17" s="42">
        <v>12.1</v>
      </c>
      <c r="AL17" s="42">
        <v>14.43</v>
      </c>
      <c r="AM17" s="42">
        <v>0</v>
      </c>
      <c r="AN17" s="51"/>
      <c r="AO17" s="74">
        <f>IF(AA17&gt;0,AA17,"")</f>
        <v>13.5</v>
      </c>
      <c r="AP17" s="74">
        <f>IF(AB17&gt;0,AB17,"")</f>
        <v>14.75</v>
      </c>
      <c r="AQ17" s="76">
        <f>IF(SUM(Y17:AB17)-AC17&gt;0,SUM(Y17:AB17)-AC17,"")</f>
        <v>50.65</v>
      </c>
      <c r="AR17" s="76">
        <f>IF(AF17&gt;0,AF17,"")</f>
        <v>13.5</v>
      </c>
      <c r="AS17" s="76">
        <f>IF(AG17&gt;0,AG17,"")</f>
        <v>14.65</v>
      </c>
      <c r="AT17" s="76">
        <f>IF(SUM(AD17:AG17)-AH17&gt;0,SUM(AD17:AG17)-AH17,"")</f>
        <v>51.35</v>
      </c>
      <c r="AU17" s="76">
        <f>IF(AQ17="","",MAX(AQ17,AT17))</f>
        <v>51.35</v>
      </c>
      <c r="AV17" s="76">
        <f>IF(AK17&gt;0,AK17,"")</f>
        <v>12.1</v>
      </c>
      <c r="AW17" s="76">
        <f>IF(AL17&gt;0,AL17,"")</f>
        <v>14.43</v>
      </c>
      <c r="AX17" s="76">
        <f>IF(SUM(AI17:AL17)-AM17&gt;0,SUM(AI17:AL17)-AM17,"")</f>
        <v>49.13</v>
      </c>
      <c r="AY17" s="76">
        <f>IF(SUM(AU17,AX17)&gt;0,SUM(AU17,AX17),"")</f>
        <v>100.48</v>
      </c>
      <c r="AZ17" s="46">
        <v>10.199999999999999</v>
      </c>
      <c r="BA17" s="46">
        <v>6.6</v>
      </c>
      <c r="BB17" s="46">
        <v>9.6</v>
      </c>
      <c r="BC17" s="46">
        <v>12.215</v>
      </c>
      <c r="BD17" s="46">
        <v>0</v>
      </c>
      <c r="BE17" s="46">
        <v>9.8000000000000007</v>
      </c>
      <c r="BF17" s="46">
        <v>6.6</v>
      </c>
      <c r="BG17" s="46">
        <v>9.6</v>
      </c>
      <c r="BH17" s="46">
        <v>10.914999999999999</v>
      </c>
      <c r="BI17" s="46">
        <v>0</v>
      </c>
      <c r="BJ17" s="46">
        <v>2.8</v>
      </c>
      <c r="BK17" s="46">
        <v>1.8</v>
      </c>
      <c r="BL17" s="46">
        <v>2.7</v>
      </c>
      <c r="BM17" s="46">
        <v>3.15</v>
      </c>
      <c r="BN17" s="46">
        <v>0</v>
      </c>
      <c r="BO17" s="52"/>
      <c r="BP17" s="75">
        <f>IF(BB17&gt;0,BB17,"")</f>
        <v>9.6</v>
      </c>
      <c r="BQ17" s="75">
        <f>IF(BC17&gt;0,BC17,"")</f>
        <v>12.215</v>
      </c>
      <c r="BR17" s="16">
        <f>IF(SUM(AZ17:BC17)-BD17&gt;0,SUM(AZ17:BC17)-BD17,"")</f>
        <v>38.614999999999995</v>
      </c>
      <c r="BS17" s="16">
        <f>IF(BG17&gt;0,BG17,"")</f>
        <v>9.6</v>
      </c>
      <c r="BT17" s="16">
        <f>IF(BH17&gt;0,BH17,"")</f>
        <v>10.914999999999999</v>
      </c>
      <c r="BU17" s="16">
        <f>IF(SUM(BE17:BH17)-BI17&gt;0,SUM(BE17:BH17)-BI17,"")</f>
        <v>36.914999999999999</v>
      </c>
      <c r="BV17" s="16">
        <f>IF(BR17="","",MAX(BR17,BU17))</f>
        <v>38.614999999999995</v>
      </c>
      <c r="BW17" s="16">
        <f>IF(BL17&gt;0,BL17,"")</f>
        <v>2.7</v>
      </c>
      <c r="BX17" s="16">
        <f>IF(BM17&gt;0,BM17,"")</f>
        <v>3.15</v>
      </c>
      <c r="BY17" s="16">
        <f>IF(SUM(BJ17:BM17)-BN17&gt;0,SUM(BJ17:BM17)-BN17,"")</f>
        <v>10.45</v>
      </c>
      <c r="BZ17" s="16">
        <f>IF(SUM(BV17,BY17)&gt;0,SUM(BV17,BY17),"")</f>
        <v>49.064999999999998</v>
      </c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51"/>
      <c r="CQ17" s="74" t="str">
        <f>IF(CC17&gt;0,CC17,"")</f>
        <v/>
      </c>
      <c r="CR17" s="74" t="str">
        <f>IF(CD17&gt;0,CD17,"")</f>
        <v/>
      </c>
      <c r="CS17" s="76" t="str">
        <f>IF(SUM(CA17:CD17)-CE17&gt;0,SUM(CA17:CD17)-CE17,"")</f>
        <v/>
      </c>
      <c r="CT17" s="76" t="str">
        <f>IF(CH17&gt;0,CH17,"")</f>
        <v/>
      </c>
      <c r="CU17" s="76" t="str">
        <f>IF(CI17&gt;0,CI17,"")</f>
        <v/>
      </c>
      <c r="CV17" s="76" t="str">
        <f>IF(SUM(CF17:CI17)-CJ17&gt;0,SUM(CF17:CI17)-CJ17,"")</f>
        <v/>
      </c>
      <c r="CW17" s="76" t="str">
        <f>IF(CS17="","",MAX(CS17,CV17))</f>
        <v/>
      </c>
      <c r="CX17" s="76" t="str">
        <f>IF(CM17&gt;0,CM17,"")</f>
        <v/>
      </c>
      <c r="CY17" s="76" t="str">
        <f>IF(CN17&gt;0,CN17,"")</f>
        <v/>
      </c>
      <c r="CZ17" s="76" t="str">
        <f>IF(SUM(CK17:CN17)-CO17&gt;0,SUM(CK17:CN17)-CO17,"")</f>
        <v/>
      </c>
      <c r="DA17" s="76" t="str">
        <f>IF(SUM(CW17,CZ17)&gt;0,SUM(CW17,CZ17),"")</f>
        <v/>
      </c>
      <c r="DB17" s="87" t="str">
        <f>IF(L17&gt;=0.001,IF(MAX(ED17,FL17,GT17,IB17,JJ17,KR17,LZ17,NH17,OP17,PX17,RF17,SN17)-IF(L17="",0,L17)&gt;0.001,MAX(ED17,FL17,GT17,IB17,JJ17,KR17,LZ17,NH17,OP17,PX17,RF17,SN17)-IF(L17="",0,L17),""),"")</f>
        <v/>
      </c>
      <c r="DC17" s="87" t="str">
        <f>IF(P17&gt;=0.001,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,"")</f>
        <v/>
      </c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76" t="str">
        <f>IF(DF17&gt;0,DF17,"")</f>
        <v/>
      </c>
      <c r="DY17" s="76" t="str">
        <f>IF(DG17&gt;0,DG17,"")</f>
        <v/>
      </c>
      <c r="DZ17" s="76" t="str">
        <f>IF(SUM(DD17:DG17)-DH17&gt;0,SUM(DD17:DG17)-DH17,"")</f>
        <v/>
      </c>
      <c r="EA17" s="76" t="str">
        <f>IF(DK17&gt;0,DK17,"")</f>
        <v/>
      </c>
      <c r="EB17" s="76" t="str">
        <f>IF(DL17&gt;0,DL17,"")</f>
        <v/>
      </c>
      <c r="EC17" s="76" t="str">
        <f>IF(SUM(DI17:DL17)-DM17&gt;0,SUM(DI17:DL17)-DM17,"")</f>
        <v/>
      </c>
      <c r="ED17" s="76" t="str">
        <f>IF(MAX(DZ17,EC17)&gt;0,MAX(DZ17,EC17),"")</f>
        <v/>
      </c>
      <c r="EE17" s="76" t="str">
        <f>IF(DP17&gt;0,DP17,"")</f>
        <v/>
      </c>
      <c r="EF17" s="76" t="str">
        <f>IF(DQ17&gt;0,DQ17,"")</f>
        <v/>
      </c>
      <c r="EG17" s="76" t="str">
        <f>IF(SUM(DN17:DQ17)-DR17&gt;0,SUM(DN17:DQ17)-DR17,"")</f>
        <v/>
      </c>
      <c r="EH17" s="76" t="str">
        <f>IF(DU17&gt;0,DU17,"")</f>
        <v/>
      </c>
      <c r="EI17" s="76" t="str">
        <f>IF(DV17&gt;0,DV17,"")</f>
        <v/>
      </c>
      <c r="EJ17" s="76" t="str">
        <f>IF(SUM(DS17:DV17)-DW17&gt;0,SUM(DS17:DV17)-DW17,"")</f>
        <v/>
      </c>
      <c r="EK17" s="76" t="str">
        <f>IF(SUM(ED17,EJ17)&gt;0,SUM(ED17,EJ17),"")</f>
        <v/>
      </c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16" t="str">
        <f>IF(EN17&gt;0,EN17,"")</f>
        <v/>
      </c>
      <c r="FG17" s="16" t="str">
        <f>IF(EO17&gt;0,EO17,"")</f>
        <v/>
      </c>
      <c r="FH17" s="16" t="str">
        <f>IF(SUM(EL17:EO17)-EP17&gt;0,SUM(EL17:EO17)-EP17,"")</f>
        <v/>
      </c>
      <c r="FI17" s="16" t="str">
        <f>IF(ES17&gt;0,ES17,"")</f>
        <v/>
      </c>
      <c r="FJ17" s="16" t="str">
        <f>IF(ET17&gt;0,ET17,"")</f>
        <v/>
      </c>
      <c r="FK17" s="16" t="str">
        <f>IF(SUM(EQ17:ET17)-EU17&gt;0,SUM(EQ17:ET17)-EU17,"")</f>
        <v/>
      </c>
      <c r="FL17" s="16" t="str">
        <f>IF(MAX(FH17,FK17)&gt;0,MAX(FH17,FK17),"")</f>
        <v/>
      </c>
      <c r="FM17" s="16" t="str">
        <f>IF(EX17&gt;0,EX17,"")</f>
        <v/>
      </c>
      <c r="FN17" s="16" t="str">
        <f>IF(EY17&gt;0,EY17,"")</f>
        <v/>
      </c>
      <c r="FO17" s="16" t="str">
        <f>IF(SUM(EV17:EY17)-EZ17&gt;0,SUM(EV17:EY17)-EZ17,"")</f>
        <v/>
      </c>
      <c r="FP17" s="16" t="str">
        <f>IF(FC17&gt;0,FC17,"")</f>
        <v/>
      </c>
      <c r="FQ17" s="16" t="str">
        <f>IF(FD17&gt;0,FD17,"")</f>
        <v/>
      </c>
      <c r="FR17" s="16" t="str">
        <f>IF(SUM(FA17:FD17)-FE17&gt;0,SUM(FA17:FD17)-FE17,"")</f>
        <v/>
      </c>
      <c r="FS17" s="16" t="str">
        <f>IF(SUM(FL17,FR17)&gt;0,SUM(FL17,FR17),"")</f>
        <v/>
      </c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76" t="str">
        <f>IF(FV17&gt;0,FV17,"")</f>
        <v/>
      </c>
      <c r="GO17" s="76" t="str">
        <f>IF(FW17&gt;0,FW17,"")</f>
        <v/>
      </c>
      <c r="GP17" s="76" t="str">
        <f>IF(SUM(FT17:FW17)-FX17&gt;0,SUM(FT17:FW17)-FX17,"")</f>
        <v/>
      </c>
      <c r="GQ17" s="76" t="str">
        <f>IF(GA17&gt;0,GA17,"")</f>
        <v/>
      </c>
      <c r="GR17" s="76" t="str">
        <f>IF(GB17&gt;0,GB17,"")</f>
        <v/>
      </c>
      <c r="GS17" s="76" t="str">
        <f>IF(SUM(FY17:GB17)-GC17&gt;0,SUM(FY17:GB17)-GC17,"")</f>
        <v/>
      </c>
      <c r="GT17" s="76" t="str">
        <f>IF(MAX(GP17,GS17)&gt;0,MAX(GP17,GS17),"")</f>
        <v/>
      </c>
      <c r="GU17" s="76" t="str">
        <f>IF(GF17&gt;0,GF17,"")</f>
        <v/>
      </c>
      <c r="GV17" s="76" t="str">
        <f>IF(GG17&gt;0,GG17,"")</f>
        <v/>
      </c>
      <c r="GW17" s="76" t="str">
        <f>IF(SUM(GD17:GG17)-GH17&gt;0,SUM(GD17:GG17)-GH17,"")</f>
        <v/>
      </c>
      <c r="GX17" s="76" t="str">
        <f>IF(GK17&gt;0,GK17,"")</f>
        <v/>
      </c>
      <c r="GY17" s="76" t="str">
        <f>IF(GL17&gt;0,GL17,"")</f>
        <v/>
      </c>
      <c r="GZ17" s="76" t="str">
        <f>IF(SUM(GI17:GL17)-GM17&gt;0,SUM(GI17:GL17)-GM17,"")</f>
        <v/>
      </c>
      <c r="HA17" s="76" t="str">
        <f>IF(SUM(GT17,GZ17)&gt;0,SUM(GT17,GZ17),"")</f>
        <v/>
      </c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16" t="str">
        <f>IF(HD17&gt;0,HD17,"")</f>
        <v/>
      </c>
      <c r="HW17" s="16" t="str">
        <f>IF(HE17&gt;0,HE17,"")</f>
        <v/>
      </c>
      <c r="HX17" s="16" t="str">
        <f>IF(SUM(HB17:HE17)-HF17&gt;0,SUM(HB17:HE17)-HF17,"")</f>
        <v/>
      </c>
      <c r="HY17" s="16" t="str">
        <f>IF(HI17&gt;0,HI17,"")</f>
        <v/>
      </c>
      <c r="HZ17" s="16" t="str">
        <f>IF(HJ17&gt;0,HJ17,"")</f>
        <v/>
      </c>
      <c r="IA17" s="16" t="str">
        <f>IF(SUM(HG17:HJ17)-HK17&gt;0,SUM(HG17:HJ17)-HK17,"")</f>
        <v/>
      </c>
      <c r="IB17" s="16" t="str">
        <f>IF(MAX(HX17,IA17)&gt;0,MAX(HX17,IA17),"")</f>
        <v/>
      </c>
      <c r="IC17" s="16" t="str">
        <f>IF(HN17&gt;0,HN17,"")</f>
        <v/>
      </c>
      <c r="ID17" s="16" t="str">
        <f>IF(HO17&gt;0,HO17,"")</f>
        <v/>
      </c>
      <c r="IE17" s="16" t="str">
        <f>IF(SUM(HL17:HO17)-HP17&gt;0,SUM(HL17:HO17)-HP17,"")</f>
        <v/>
      </c>
      <c r="IF17" s="16" t="str">
        <f>IF(HS17&gt;0,HS17,"")</f>
        <v/>
      </c>
      <c r="IG17" s="16" t="str">
        <f>IF(HT17&gt;0,HT17,"")</f>
        <v/>
      </c>
      <c r="IH17" s="16" t="str">
        <f>IF(SUM(HQ17:HT17)-HU17&gt;0,SUM(HQ17:HT17)-HU17,"")</f>
        <v/>
      </c>
      <c r="II17" s="16" t="str">
        <f>IF(SUM(IB17,IH17)&gt;0,SUM(IB17,IH17),"")</f>
        <v/>
      </c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76" t="str">
        <f>IF(IL17&gt;0,IL17,"")</f>
        <v/>
      </c>
      <c r="JE17" s="76" t="str">
        <f>IF(IM17&gt;0,IM17,"")</f>
        <v/>
      </c>
      <c r="JF17" s="76" t="str">
        <f>IF(SUM(IJ17:IM17)-IN17&gt;0,SUM(IJ17:IM17)-IN17,"")</f>
        <v/>
      </c>
      <c r="JG17" s="76" t="str">
        <f>IF(IQ17&gt;0,IQ17,"")</f>
        <v/>
      </c>
      <c r="JH17" s="76" t="str">
        <f>IF(IR17&gt;0,IR17,"")</f>
        <v/>
      </c>
      <c r="JI17" s="76" t="str">
        <f>IF(SUM(IO17:IR17)-IS17&gt;0,SUM(IO17:IR17)-IS17,"")</f>
        <v/>
      </c>
      <c r="JJ17" s="76" t="str">
        <f>IF(MAX(JF17,JI17)&gt;0,MAX(JF17,JI17),"")</f>
        <v/>
      </c>
      <c r="JK17" s="76" t="str">
        <f>IF(IV17&gt;0,IV17,"")</f>
        <v/>
      </c>
      <c r="JL17" s="76" t="str">
        <f>IF(IW17&gt;0,IW17,"")</f>
        <v/>
      </c>
      <c r="JM17" s="76" t="str">
        <f>IF(SUM(IT17:IW17)-IX17&gt;0,SUM(IT17:IW17)-IX17,"")</f>
        <v/>
      </c>
      <c r="JN17" s="76" t="str">
        <f>IF(JA17&gt;0,JA17,"")</f>
        <v/>
      </c>
      <c r="JO17" s="76" t="str">
        <f>IF(JB17&gt;0,JB17,"")</f>
        <v/>
      </c>
      <c r="JP17" s="76" t="str">
        <f>IF(SUM(IY17:JB17)-JC17&gt;0,SUM(IY17:JB17)-JC17,"")</f>
        <v/>
      </c>
      <c r="JQ17" s="76" t="str">
        <f>IF(SUM(JJ17,JP17)&gt;0,SUM(JJ17,JP17),"")</f>
        <v/>
      </c>
      <c r="JR17" s="26"/>
      <c r="JS17" s="26"/>
      <c r="JT17" s="26"/>
      <c r="JU17" s="26"/>
      <c r="JV17" s="26"/>
      <c r="JW17" s="26"/>
      <c r="JX17" s="26"/>
      <c r="JY17" s="26"/>
      <c r="JZ17" s="26"/>
      <c r="KA17" s="26"/>
      <c r="KB17" s="26"/>
      <c r="KC17" s="26"/>
      <c r="KD17" s="26"/>
      <c r="KE17" s="26"/>
      <c r="KF17" s="26"/>
      <c r="KG17" s="26"/>
      <c r="KH17" s="26"/>
      <c r="KI17" s="26"/>
      <c r="KJ17" s="26"/>
      <c r="KK17" s="26"/>
      <c r="KL17" s="16" t="str">
        <f>IF(JT17&gt;0,JT17,"")</f>
        <v/>
      </c>
      <c r="KM17" s="16" t="str">
        <f>IF(JU17&gt;0,JU17,"")</f>
        <v/>
      </c>
      <c r="KN17" s="16" t="str">
        <f>IF(SUM(JR17:JU17)-JV17&gt;0,SUM(JR17:JU17)-JV17,"")</f>
        <v/>
      </c>
      <c r="KO17" s="16" t="str">
        <f>IF(JY17&gt;0,JY17,"")</f>
        <v/>
      </c>
      <c r="KP17" s="16" t="str">
        <f>IF(JZ17&gt;0,JZ17,"")</f>
        <v/>
      </c>
      <c r="KQ17" s="16" t="str">
        <f>IF(SUM(JW17:JZ17)-KA17&gt;0,SUM(JW17:JZ17)-KA17,"")</f>
        <v/>
      </c>
      <c r="KR17" s="16" t="str">
        <f>IF(MAX(KN17,KQ17)&gt;0,MAX(KN17,KQ17),"")</f>
        <v/>
      </c>
      <c r="KS17" s="16" t="str">
        <f>IF(KD17&gt;0,KD17,"")</f>
        <v/>
      </c>
      <c r="KT17" s="16" t="str">
        <f>IF(KE17&gt;0,KE17,"")</f>
        <v/>
      </c>
      <c r="KU17" s="16" t="str">
        <f>IF(SUM(KB17:KE17)-KF17&gt;0,SUM(KB17:KE17)-KF17,"")</f>
        <v/>
      </c>
      <c r="KV17" s="16" t="str">
        <f>IF(KI17&gt;0,KI17,"")</f>
        <v/>
      </c>
      <c r="KW17" s="16" t="str">
        <f>IF(KJ17&gt;0,KJ17,"")</f>
        <v/>
      </c>
      <c r="KX17" s="16" t="str">
        <f>IF(SUM(KG17:KJ17)-KK17&gt;0,SUM(KG17:KJ17)-KK17,"")</f>
        <v/>
      </c>
      <c r="KY17" s="16" t="str">
        <f>IF(SUM(KR17,KX17)&gt;0,SUM(KR17,KX17),"")</f>
        <v/>
      </c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25"/>
      <c r="LQ17" s="25"/>
      <c r="LR17" s="25"/>
      <c r="LS17" s="25"/>
      <c r="LT17" s="76" t="str">
        <f>IF(LB17&gt;0,LB17,"")</f>
        <v/>
      </c>
      <c r="LU17" s="76" t="str">
        <f>IF(LC17&gt;0,LC17,"")</f>
        <v/>
      </c>
      <c r="LV17" s="76" t="str">
        <f>IF(SUM(KZ17:LC17)-LD17&gt;0,SUM(KZ17:LC17)-LD17,"")</f>
        <v/>
      </c>
      <c r="LW17" s="76" t="str">
        <f>IF(LG17&gt;0,LG17,"")</f>
        <v/>
      </c>
      <c r="LX17" s="76" t="str">
        <f>IF(LH17&gt;0,LH17,"")</f>
        <v/>
      </c>
      <c r="LY17" s="76" t="str">
        <f>IF(SUM(LE17:LH17)-LI17&gt;0,SUM(LE17:LH17)-LI17,"")</f>
        <v/>
      </c>
      <c r="LZ17" s="76" t="str">
        <f>IF(MAX(LV17,LY17)&gt;0,MAX(LV17,LY17),"")</f>
        <v/>
      </c>
      <c r="MA17" s="76" t="str">
        <f>IF(LL17&gt;0,LL17,"")</f>
        <v/>
      </c>
      <c r="MB17" s="76" t="str">
        <f>IF(LM17&gt;0,LM17,"")</f>
        <v/>
      </c>
      <c r="MC17" s="76" t="str">
        <f>IF(SUM(LJ17:LM17)-LN17&gt;0,SUM(LJ17:LM17)-LN17,"")</f>
        <v/>
      </c>
      <c r="MD17" s="76" t="str">
        <f>IF(LQ17&gt;0,LQ17,"")</f>
        <v/>
      </c>
      <c r="ME17" s="76" t="str">
        <f>IF(LR17&gt;0,LR17,"")</f>
        <v/>
      </c>
      <c r="MF17" s="76" t="str">
        <f>IF(SUM(LO17:LR17)-LS17&gt;0,SUM(LO17:LR17)-LS17,"")</f>
        <v/>
      </c>
      <c r="MG17" s="76" t="str">
        <f>IF(SUM(LZ17,MF17)&gt;0,SUM(LZ17,MF17),"")</f>
        <v/>
      </c>
      <c r="MH17" s="26"/>
      <c r="MI17" s="26"/>
      <c r="MJ17" s="26"/>
      <c r="MK17" s="26"/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  <c r="NA17" s="26"/>
      <c r="NB17" s="16" t="str">
        <f>IF(MJ17&gt;0,MJ17,"")</f>
        <v/>
      </c>
      <c r="NC17" s="16" t="str">
        <f>IF(MK17&gt;0,MK17,"")</f>
        <v/>
      </c>
      <c r="ND17" s="16" t="str">
        <f>IF(SUM(MH17:MK17)-ML17&gt;0,SUM(MH17:MK17)-ML17,"")</f>
        <v/>
      </c>
      <c r="NE17" s="16" t="str">
        <f>IF(MO17&gt;0,MO17,"")</f>
        <v/>
      </c>
      <c r="NF17" s="16" t="str">
        <f>IF(MP17&gt;0,MP17,"")</f>
        <v/>
      </c>
      <c r="NG17" s="16" t="str">
        <f>IF(SUM(MM17:MP17)-MQ17&gt;0,SUM(MM17:MP17)-MQ17,"")</f>
        <v/>
      </c>
      <c r="NH17" s="16" t="str">
        <f>IF(MAX(ND17,NG17)&gt;0,MAX(ND17,NG17),"")</f>
        <v/>
      </c>
      <c r="NI17" s="16" t="str">
        <f>IF(MT17&gt;0,MT17,"")</f>
        <v/>
      </c>
      <c r="NJ17" s="16" t="str">
        <f>IF(MU17&gt;0,MU17,"")</f>
        <v/>
      </c>
      <c r="NK17" s="16" t="str">
        <f>IF(SUM(MR17:MU17)-MV17&gt;0,SUM(MR17:MU17)-MV17,"")</f>
        <v/>
      </c>
      <c r="NL17" s="16" t="str">
        <f>IF(MY17&gt;0,MY17,"")</f>
        <v/>
      </c>
      <c r="NM17" s="16" t="str">
        <f>IF(MZ17&gt;0,MZ17,"")</f>
        <v/>
      </c>
      <c r="NN17" s="16" t="str">
        <f>IF(SUM(MW17:MZ17)-NA17&gt;0,SUM(MW17:MZ17)-NA17,"")</f>
        <v/>
      </c>
      <c r="NO17" s="16" t="str">
        <f>IF(SUM(NH17,NN17)&gt;0,SUM(NH17,NN17),"")</f>
        <v/>
      </c>
      <c r="NP17" s="25"/>
      <c r="NQ17" s="25"/>
      <c r="NR17" s="25"/>
      <c r="NS17" s="25"/>
      <c r="NT17" s="25"/>
      <c r="NU17" s="25"/>
      <c r="NV17" s="25"/>
      <c r="NW17" s="25"/>
      <c r="NX17" s="25"/>
      <c r="NY17" s="25"/>
      <c r="NZ17" s="25"/>
      <c r="OA17" s="25"/>
      <c r="OB17" s="25"/>
      <c r="OC17" s="25"/>
      <c r="OD17" s="25"/>
      <c r="OE17" s="25"/>
      <c r="OF17" s="25"/>
      <c r="OG17" s="25"/>
      <c r="OH17" s="25"/>
      <c r="OI17" s="25"/>
      <c r="OJ17" s="76" t="str">
        <f>IF(NR17&gt;0,NR17,"")</f>
        <v/>
      </c>
      <c r="OK17" s="76" t="str">
        <f>IF(NS17&gt;0,NS17,"")</f>
        <v/>
      </c>
      <c r="OL17" s="76" t="str">
        <f>IF(SUM(NP17:NS17)-NT17&gt;0,SUM(NP17:NS17)-NT17,"")</f>
        <v/>
      </c>
      <c r="OM17" s="76" t="str">
        <f>IF(NW17&gt;0,NW17,"")</f>
        <v/>
      </c>
      <c r="ON17" s="76" t="str">
        <f>IF(NX17&gt;0,NX17,"")</f>
        <v/>
      </c>
      <c r="OO17" s="76" t="str">
        <f>IF(SUM(NU17:NX17)-NY17&gt;0,SUM(NU17:NX17)-NY17,"")</f>
        <v/>
      </c>
      <c r="OP17" s="76" t="str">
        <f>IF(MAX(OL17,OO17)&gt;0,MAX(OL17,OO17),"")</f>
        <v/>
      </c>
      <c r="OQ17" s="76" t="str">
        <f>IF(OB17&gt;0,OB17,"")</f>
        <v/>
      </c>
      <c r="OR17" s="76" t="str">
        <f>IF(OC17&gt;0,OC17,"")</f>
        <v/>
      </c>
      <c r="OS17" s="76" t="str">
        <f>IF(SUM(NZ17:OC17)-OD17&gt;0,SUM(NZ17:OC17)-OD17,"")</f>
        <v/>
      </c>
      <c r="OT17" s="76" t="str">
        <f>IF(OG17&gt;0,OG17,"")</f>
        <v/>
      </c>
      <c r="OU17" s="76" t="str">
        <f>IF(OH17&gt;0,OH17,"")</f>
        <v/>
      </c>
      <c r="OV17" s="76" t="str">
        <f>IF(SUM(OE17:OH17)-OI17&gt;0,SUM(OE17:OH17)-OI17,"")</f>
        <v/>
      </c>
      <c r="OW17" s="76" t="str">
        <f>IF(SUM(OP17,OV17)&gt;0,SUM(OP17,OV17),"")</f>
        <v/>
      </c>
      <c r="OX17" s="26"/>
      <c r="OY17" s="26"/>
      <c r="OZ17" s="26"/>
      <c r="PA17" s="26"/>
      <c r="PB17" s="26"/>
      <c r="PC17" s="26"/>
      <c r="PD17" s="26"/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16" t="str">
        <f>IF(OZ17&gt;0,OZ17,"")</f>
        <v/>
      </c>
      <c r="PS17" s="16" t="str">
        <f>IF(PA17&gt;0,PA17,"")</f>
        <v/>
      </c>
      <c r="PT17" s="16" t="str">
        <f>IF(SUM(OX17:PA17)-PB17&gt;0,SUM(OX17:PA17)-PB17,"")</f>
        <v/>
      </c>
      <c r="PU17" s="16" t="str">
        <f>IF(PE17&gt;0,PE17,"")</f>
        <v/>
      </c>
      <c r="PV17" s="16" t="str">
        <f>IF(PF17&gt;0,PF17,"")</f>
        <v/>
      </c>
      <c r="PW17" s="16" t="str">
        <f>IF(SUM(PC17:PF17)-PG17&gt;0,SUM(PC17:PF17)-PG17,"")</f>
        <v/>
      </c>
      <c r="PX17" s="16" t="str">
        <f>IF(MAX(PT17,PW17)&gt;0,MAX(PT17,PW17),"")</f>
        <v/>
      </c>
      <c r="PY17" s="16" t="str">
        <f>IF(PJ17&gt;0,PJ17,"")</f>
        <v/>
      </c>
      <c r="PZ17" s="16" t="str">
        <f>IF(PK17&gt;0,PK17,"")</f>
        <v/>
      </c>
      <c r="QA17" s="16" t="str">
        <f>IF(SUM(PH17:PK17)-PL17&gt;0,SUM(PH17:PK17)-PL17,"")</f>
        <v/>
      </c>
      <c r="QB17" s="16" t="str">
        <f>IF(PO17&gt;0,PO17,"")</f>
        <v/>
      </c>
      <c r="QC17" s="16" t="str">
        <f>IF(PP17&gt;0,PP17,"")</f>
        <v/>
      </c>
      <c r="QD17" s="16" t="str">
        <f>IF(SUM(PM17:PP17)-PQ17&gt;0,SUM(PM17:PP17)-PQ17,"")</f>
        <v/>
      </c>
      <c r="QE17" s="16" t="str">
        <f>IF(SUM(PX17,QD17)&gt;0,SUM(PX17,QD17),"")</f>
        <v/>
      </c>
      <c r="QF17" s="25"/>
      <c r="QG17" s="25"/>
      <c r="QH17" s="25"/>
      <c r="QI17" s="25"/>
      <c r="QJ17" s="25"/>
      <c r="QK17" s="25"/>
      <c r="QL17" s="25"/>
      <c r="QM17" s="25"/>
      <c r="QN17" s="25"/>
      <c r="QO17" s="25"/>
      <c r="QP17" s="25"/>
      <c r="QQ17" s="25"/>
      <c r="QR17" s="25"/>
      <c r="QS17" s="25"/>
      <c r="QT17" s="25"/>
      <c r="QU17" s="25"/>
      <c r="QV17" s="25"/>
      <c r="QW17" s="25"/>
      <c r="QX17" s="25"/>
      <c r="QY17" s="25"/>
      <c r="QZ17" s="76" t="str">
        <f>IF(QH17&gt;0,QH17,"")</f>
        <v/>
      </c>
      <c r="RA17" s="76" t="str">
        <f>IF(QI17&gt;0,QI17,"")</f>
        <v/>
      </c>
      <c r="RB17" s="76" t="str">
        <f>IF(SUM(QF17:QI17)-QJ17&gt;0,SUM(QF17:QI17)-QJ17,"")</f>
        <v/>
      </c>
      <c r="RC17" s="76" t="str">
        <f>IF(QM17&gt;0,QM17,"")</f>
        <v/>
      </c>
      <c r="RD17" s="76" t="str">
        <f>IF(QN17&gt;0,QN17,"")</f>
        <v/>
      </c>
      <c r="RE17" s="76" t="str">
        <f>IF(SUM(QK17:QN17)-QO17&gt;0,SUM(QK17:QN17)-QO17,"")</f>
        <v/>
      </c>
      <c r="RF17" s="76" t="str">
        <f>IF(MAX(RB17,RE17)&gt;0,MAX(RB17,RE17),"")</f>
        <v/>
      </c>
      <c r="RG17" s="76" t="str">
        <f>IF(QR17&gt;0,QR17,"")</f>
        <v/>
      </c>
      <c r="RH17" s="76" t="str">
        <f>IF(QS17&gt;0,QS17,"")</f>
        <v/>
      </c>
      <c r="RI17" s="76" t="str">
        <f>IF(SUM(QP17:QS17)-QT17&gt;0,SUM(QP17:QS17)-QT17,"")</f>
        <v/>
      </c>
      <c r="RJ17" s="76" t="str">
        <f>IF(QW17&gt;0,QW17,"")</f>
        <v/>
      </c>
      <c r="RK17" s="76" t="str">
        <f>IF(QX17&gt;0,QX17,"")</f>
        <v/>
      </c>
      <c r="RL17" s="76" t="str">
        <f>IF(SUM(QU17:QX17)-QY17&gt;0,SUM(QU17:QX17)-QY17,"")</f>
        <v/>
      </c>
      <c r="RM17" s="76" t="str">
        <f>IF(SUM(RF17,RL17)&gt;0,SUM(RF17,RL17),"")</f>
        <v/>
      </c>
      <c r="RN17" s="26"/>
      <c r="RO17" s="26"/>
      <c r="RP17" s="26"/>
      <c r="RQ17" s="26"/>
      <c r="RR17" s="26"/>
      <c r="RS17" s="26"/>
      <c r="RT17" s="26"/>
      <c r="RU17" s="26"/>
      <c r="RV17" s="26"/>
      <c r="RW17" s="26"/>
      <c r="RX17" s="26"/>
      <c r="RY17" s="26"/>
      <c r="RZ17" s="26"/>
      <c r="SA17" s="26"/>
      <c r="SB17" s="26"/>
      <c r="SC17" s="26"/>
      <c r="SD17" s="26"/>
      <c r="SE17" s="26"/>
      <c r="SF17" s="26"/>
      <c r="SG17" s="26"/>
      <c r="SH17" s="16" t="str">
        <f>IF(RP17&gt;0,RP17,"")</f>
        <v/>
      </c>
      <c r="SI17" s="16" t="str">
        <f>IF(RQ17&gt;0,RQ17,"")</f>
        <v/>
      </c>
      <c r="SJ17" s="16" t="str">
        <f>IF(SUM(RN17:RQ17)-RR17&gt;0,SUM(RN17:RQ17)-RR17,"")</f>
        <v/>
      </c>
      <c r="SK17" s="16" t="str">
        <f>IF(RU17&gt;0,RU17,"")</f>
        <v/>
      </c>
      <c r="SL17" s="16" t="str">
        <f>IF(RV17&gt;0,RV17,"")</f>
        <v/>
      </c>
      <c r="SM17" s="16" t="str">
        <f>IF(SUM(RS17:RV17)-RW17&gt;0,SUM(RS17:RV17)-RW17,"")</f>
        <v/>
      </c>
      <c r="SN17" s="16" t="str">
        <f>IF(MAX(SJ17,SM17)&gt;0,MAX(SJ17,SM17),"")</f>
        <v/>
      </c>
      <c r="SO17" s="16" t="str">
        <f>IF(RZ17&gt;0,RZ17,"")</f>
        <v/>
      </c>
      <c r="SP17" s="16" t="str">
        <f>IF(SA17&gt;0,SA17,"")</f>
        <v/>
      </c>
      <c r="SQ17" s="16" t="str">
        <f>IF(SUM(RX17:SA17)-SB17&gt;0,SUM(RX17:SA17)-SB17,"")</f>
        <v/>
      </c>
      <c r="SR17" s="16" t="str">
        <f>IF(SE17&gt;0,SE17,"")</f>
        <v/>
      </c>
      <c r="SS17" s="16" t="str">
        <f>IF(SF17&gt;0,SF17,"")</f>
        <v/>
      </c>
      <c r="ST17" s="16" t="str">
        <f>IF(SUM(SC17:SF17)-SG17&gt;0,SUM(SC17:SF17)-SG17,"")</f>
        <v/>
      </c>
      <c r="SU17" s="16" t="str">
        <f>IF(SUM(SN17,ST17)&gt;0,SUM(SN17,ST17),"")</f>
        <v/>
      </c>
      <c r="SV17" s="42">
        <f>IF($CP17="P",CA17,(CA17+AZ17)/2)</f>
        <v>5.0999999999999996</v>
      </c>
      <c r="SW17" s="42">
        <f>IF($CP17="P",CB17,(CB17+BA17)/2)</f>
        <v>3.3</v>
      </c>
      <c r="SX17" s="42">
        <f>IF($CP17="P",CC17,(CC17+BB17)/2)</f>
        <v>4.8</v>
      </c>
      <c r="SY17" s="42">
        <f>IF($CP17="P",CD17,(CD17+BC17)/2)</f>
        <v>6.1074999999999999</v>
      </c>
      <c r="SZ17" s="42">
        <f>IF($CP17="P",CE17,(CE17+BD17)/2)</f>
        <v>0</v>
      </c>
      <c r="TA17" s="42">
        <f>IF($CP17="P",CF17,(CF17+BE17)/2)</f>
        <v>4.9000000000000004</v>
      </c>
      <c r="TB17" s="42">
        <f>IF($CP17="P",CG17,(CG17+BF17)/2)</f>
        <v>3.3</v>
      </c>
      <c r="TC17" s="42">
        <f>IF($CP17="P",CH17,(CH17+BG17)/2)</f>
        <v>4.8</v>
      </c>
      <c r="TD17" s="42">
        <f>IF($CP17="P",CI17,(CI17+BH17)/2)</f>
        <v>5.4574999999999996</v>
      </c>
      <c r="TE17" s="42">
        <f>IF($CP17="P",CJ17,(CJ17+BI17)/2)</f>
        <v>0</v>
      </c>
      <c r="TF17" s="42">
        <f>IF($CP17="P",CK17,(CK17+BJ17)/2)</f>
        <v>1.4</v>
      </c>
      <c r="TG17" s="42">
        <f>IF($CP17="P",CL17,(CL17+BK17)/2)</f>
        <v>0.9</v>
      </c>
      <c r="TH17" s="42">
        <f>IF($CP17="P",CM17,(CM17+BL17)/2)</f>
        <v>1.35</v>
      </c>
      <c r="TI17" s="42">
        <f>IF($CP17="P",CN17,(CN17+BM17)/2)</f>
        <v>1.575</v>
      </c>
      <c r="TJ17" s="42">
        <f>IF($CP17="P",CO17,(CO17+BN17)/2)</f>
        <v>0</v>
      </c>
      <c r="TK17" s="51" t="s">
        <v>61</v>
      </c>
      <c r="TL17" s="76">
        <f>IF(SX17&gt;0,SX17,"")</f>
        <v>4.8</v>
      </c>
      <c r="TM17" s="76">
        <f>IF(SY17&gt;0,SY17,"")</f>
        <v>6.1074999999999999</v>
      </c>
      <c r="TN17" s="76">
        <f>IF(SUM(SV17:SY17)-SZ17&gt;0,SUM(SV17:SY17)-SZ17,"")</f>
        <v>19.307499999999997</v>
      </c>
      <c r="TO17" s="76">
        <f>IF(TC17&gt;0,TC17,"")</f>
        <v>4.8</v>
      </c>
      <c r="TP17" s="76">
        <f>IF(TD17&gt;0,TD17,"")</f>
        <v>5.4574999999999996</v>
      </c>
      <c r="TQ17" s="76">
        <f>IF(SUM(TA17:TD17)-TE17&gt;0,SUM(TA17:TD17)-TE17,"")</f>
        <v>18.4575</v>
      </c>
      <c r="TR17" s="76">
        <f>IF(MAX(TN17,TQ17)&gt;0,MAX(TN17,TQ17),"")</f>
        <v>19.307499999999997</v>
      </c>
      <c r="TS17" s="76">
        <f>IF(TH17&gt;0,TH17,"")</f>
        <v>1.35</v>
      </c>
      <c r="TT17" s="76">
        <f>IF(TI17&gt;0,TI17,"")</f>
        <v>1.575</v>
      </c>
      <c r="TU17" s="76">
        <f>IF(SUM(TF17:TI17)-TJ17&gt;0,SUM(TF17:TI17)-TJ17,"")</f>
        <v>5.2249999999999996</v>
      </c>
      <c r="TV17" s="76">
        <f>IF(SUM(TR17,TU17)&gt;0,SUM(TR17,TU17),"")</f>
        <v>24.532499999999999</v>
      </c>
    </row>
    <row r="18" spans="1:542" x14ac:dyDescent="0.2">
      <c r="A18" s="5" t="str" cm="1">
        <f t="array" ref="A18">IF(AND(F18&lt;&gt;"",G18&lt;&gt;""),SUMPRODUCT((F$4:F$23&lt;&gt;"")*(G$4:G$23&lt;&gt;"")*(E$4:E$23&gt;E18))+1,IF(G18&lt;&gt;"",SUMPRODUCT((H$4:H$23="No DD")*(E$4:E$23&gt;E18))+1+SUMPRODUCT((F$4:F$23&lt;&gt;"")*(G$4:G$23&lt;&gt;"")),""))</f>
        <v/>
      </c>
      <c r="B18" s="6" t="s">
        <v>85</v>
      </c>
      <c r="C18" s="7" t="s">
        <v>3</v>
      </c>
      <c r="D18" s="5">
        <v>2003</v>
      </c>
      <c r="E18" s="14">
        <f>SUM(J18:V18)+SUM(J18:T18)*0.0000001+SUM(J18)*0.0000000000001</f>
        <v>161.21001612100514</v>
      </c>
      <c r="F18" s="3" t="str">
        <f>IF(OR(AND(AO18&gt;=AY$25,AO18&lt;&gt;"",AQ18&gt;=AY$29,AQ18&lt;&gt;"",AN18=""),AND(AR18&gt;=AY$25,AR18&lt;&gt;"",AT18&gt;=AY$29,AT18&lt;&gt;"",AN18=""),AND(AV18&gt;=AY$25,AV18&lt;&gt;"",AX18&gt;=AY$29,AX18&lt;&gt;"",AN18=""),AND(BP18&gt;=BZ$25,BP18&lt;&gt;"",BR18&gt;=BZ$29,BR18&lt;&gt;"",BO18=""),AND(BS18&gt;=BZ$25,BS18&lt;&gt;"",BU18&gt;=BZ$29,BU18&lt;&gt;"",BO18=""),AND(BW18&gt;=BZ$25,BW18&lt;&gt;"",BY18&gt;=BZ$29,BY18&lt;&gt;"",BO18=""),AND(CQ18&gt;=DA$25,CQ18&lt;&gt;"",CS18&gt;=DA$29,CS18&lt;&gt;"",CP18=""),AND(CT18&gt;=DA$25,CT18&lt;&gt;"",CV18&gt;=DA$29,CV18&lt;&gt;"",CP18=""),AND(CX18&gt;=DA$25,CX18&lt;&gt;"",CZ18&gt;=DA$29,CZ18&lt;&gt;"",CP18=""),AND(DX18&gt;=EK$25,DX18&lt;&gt;"",DZ18&gt;=EK$29,DZ18&lt;&gt;""),AND(EA18&gt;=EK$25,EA18&lt;&gt;"",EC18&gt;=EK$29,EC18&lt;&gt;""),AND(EE18&gt;=EK$25,EE18&lt;&gt;"",EG18&gt;=EK$29,EG18&lt;&gt;""),AND(EH18&gt;=EK$25,EH18&lt;&gt;"",EJ18&gt;=EK$29,EJ18&lt;&gt;""),AND(FF18&gt;=FS$25,FF18&lt;&gt;"",FH18&gt;=FS$29,FH18&lt;&gt;""),AND(FI18&gt;=FS$25,FI18&lt;&gt;"",FK18&gt;=FS$29,FK18&lt;&gt;""),AND(FM18&gt;=FS$25,FM18&lt;&gt;"",FO18&gt;=FS$29,FO18&lt;&gt;""),AND(FP18&gt;=FS$25,FP18&lt;&gt;"",FR18&gt;=FS$29,FR18&lt;&gt;""),AND(GN18&gt;=HA$25,GN18&lt;&gt;"",GP18&gt;=HA$29,GP18&lt;&gt;""),AND(GQ18&gt;=HA$25,GQ18&lt;&gt;"",GS18&gt;=HA$29,GS18&lt;&gt;""),AND(GU18&gt;=HA$25,GU18&lt;&gt;"",GW18&gt;=HA$29,GW18&lt;&gt;""),AND(GX18&gt;=HA$25,GX18&lt;&gt;"",GZ18&gt;=HA$29,GZ18&lt;&gt;""),AND(HV18&gt;=II$25,HV18&lt;&gt;"",HX18&gt;=II$29,HX18&lt;&gt;""),AND(HY18&gt;=II$25,HY18&lt;&gt;"",IA18&gt;=II$29,IA18&lt;&gt;""),AND(IC18&gt;=II$25,IC18&lt;&gt;"",IE18&gt;=II$29,IE18&lt;&gt;""),AND(IF18&gt;=II$25,IF18&lt;&gt;"",IH18&gt;=II$29,IH18&lt;&gt;""),AND(JD18&gt;=JQ$25,JD18&lt;&gt;"",JF18&gt;=JQ$29,JF18&lt;&gt;""),AND(JG18&gt;=JQ$25,JG18&lt;&gt;"",JI18&gt;=JQ$29,JI18&lt;&gt;""),AND(JK18&gt;=JQ$25,JK18&lt;&gt;"",JM18&gt;=JQ$29,JM18&lt;&gt;""),AND(JN18&gt;=JQ$25,JN18&lt;&gt;"",JP18&gt;=JQ$29,JP18&lt;&gt;""),AND(KL18&gt;=KY$25,KL18&lt;&gt;"",KN18&gt;=KY$29,KN18&lt;&gt;""),AND(KO18&gt;=KY$25,KO18&lt;&gt;"",KQ18&gt;=KY$29,KQ18&lt;&gt;""),AND(KS18&gt;=KY$25,KS18&lt;&gt;"",KU18&gt;=KY$29,KU18&lt;&gt;""),AND(KV18&gt;=KY$25,KV18&lt;&gt;"",KX18&gt;=KY$29,KX18&lt;&gt;""),AND(LT18&gt;=MG$25,LT18&lt;&gt;"",LV18&gt;=MG$29,LV18&lt;&gt;""),AND(LW18&gt;=MG$25,LW18&lt;&gt;"",LY18&gt;=MG$29,LY18&lt;&gt;""),AND(MA18&gt;=MG$25,MA18&lt;&gt;"",MC18&gt;=MG$29,MC18&lt;&gt;""),AND(MD18&gt;=MG$25,MD18&lt;&gt;"",MF18&gt;=MG$29,MF18&lt;&gt;""),AND(NB18&gt;=NO$25,NB18&lt;&gt;"",ND18&gt;=NO$29,ND18&lt;&gt;""),AND(NE18&gt;=NO$25,NE18&lt;&gt;"",NG18&gt;=NO$29,NG18&lt;&gt;""),AND(NI18&gt;=NO$25,NI18&lt;&gt;"",NK18&gt;=NO$29,NK18&lt;&gt;""),AND(NL18&gt;=NO$25,NL18&lt;&gt;"",NN18&gt;=NO$29,NN18&lt;&gt;""),AND(OJ18&gt;=OW$25,OJ18&lt;&gt;"",OL18&gt;=OW$29,OL18&lt;&gt;""),AND(OM18&gt;=OW$25,OM18&lt;&gt;"",OO18&gt;=OW$29,OO18&lt;&gt;""),AND(OQ18&gt;=OW$25,OQ18&lt;&gt;"",OS18&gt;=OW$29,OS18&lt;&gt;""),AND(OT18&gt;=OW$25,OT18&lt;&gt;"",OV18&gt;=OW$29,OV18&lt;&gt;""),AND(PR18&gt;=QE$25,PR18&lt;&gt;"",PT18&gt;=QE$29,PT18&lt;&gt;""),AND(PU18&gt;=QE$25,PU18&lt;&gt;"",PW18&gt;=QE$29,PW18&lt;&gt;""),AND(PY18&gt;=QE$25,PY18&lt;&gt;"",QA18&gt;=QE$29,QA18&lt;&gt;""),AND(QB18&gt;=QE$25,QB18&lt;&gt;"",QD18&gt;=QE$29,QD18&lt;&gt;""),AND(QZ18&gt;=RM$25,QZ18&lt;&gt;"",RB18&gt;=RM$29,RB18&lt;&gt;""),AND(RC18&gt;=RM$25,RC18&lt;&gt;"",RE18&gt;=RM$29,RE18&lt;&gt;""),AND(RG18&gt;=RM$25,RG18&lt;&gt;"",RI18&gt;=RM$29,RI18&lt;&gt;""),AND(RJ18&gt;=RM$25,RJ18&lt;&gt;"",RL18&gt;=RM$29,RL18&lt;&gt;""),AND(SH18&gt;=SU$25,SH18&lt;&gt;"",SJ18&gt;=SU$29,SJ18&lt;&gt;""),AND(SK18&gt;=SU$25,SK18&lt;&gt;"",SM18&gt;=SU$29,SM18&lt;&gt;""),AND(SO18&gt;=SU$25,SO18&lt;&gt;"",SQ18&gt;=SU$29,SQ18&lt;&gt;""),AND(SR18&gt;=SU$25,SR18&lt;&gt;"",ST18&gt;=SU$29,ST18&lt;&gt;"")),"P","")</f>
        <v/>
      </c>
      <c r="G18" s="3" t="str">
        <f>IF(OR(AND(AQ18&gt;=AY$29,AQ18&lt;&gt;"",AN18=""),AND(AT18&gt;=AY$29,AT18&lt;&gt;"",AN18=""),AND(AX18&gt;=AY$29,AX18&lt;&gt;"",AN18=""),AND(BR18&gt;=BZ$29,BR18&lt;&gt;"",BO18=""),AND(BU18&gt;=BZ$29,BU18&lt;&gt;"",BO18=""),AND(BY18&gt;=BZ$29,BY18&lt;&gt;"",BO18=""),AND(CS18&gt;=DA$29,CS18&lt;&gt;"",CP18=""),AND(CV18&gt;=DA$29,CV18&lt;&gt;"",CP18=""),AND(CZ18&gt;=DA$29,CZ18&lt;&gt;"",CP18=""),AND(DZ18&gt;=EK$29,DZ18&lt;&gt;""),AND(EC18&gt;=EK$29,EC18&lt;&gt;""),AND(EG18&gt;=EK$29,EG18&lt;&gt;""),AND(EJ18&gt;=EK$29,EJ18&lt;&gt;""),AND(FH18&gt;=FS$29,FH18&lt;&gt;""),AND(FK18&gt;=FS$29,FK18&lt;&gt;""),AND(FO18&gt;=FS$29,FO18&lt;&gt;""),AND(FR18&gt;=FS$29,FR18&lt;&gt;""),AND(GP18&gt;=HA$29,GP18&lt;&gt;""),AND(GS18&gt;=HA$29,GS18&lt;&gt;""),AND(GW18&gt;=HA$29,GW18&lt;&gt;""),AND(GZ18&gt;=HA$29,GZ18&lt;&gt;""),AND(HX18&gt;=II$29,HX18&lt;&gt;""),AND(IA18&gt;=II$29,IA18&lt;&gt;""),AND(IE18&gt;=II$29,IE18&lt;&gt;""),AND(IH18&gt;=II$29,IH18&lt;&gt;""),AND(JF18&gt;=JQ$29,JF18&lt;&gt;""),AND(JI18&gt;=JQ$29,JI18&lt;&gt;""),AND(JM18&gt;=JQ$29,JM18&lt;&gt;""),AND(JP18&gt;=JQ$29,JP18&lt;&gt;""),AND(KN18&gt;=KY$29,KN18&lt;&gt;""),AND(KQ18&gt;=KY$29,KQ18&lt;&gt;""),AND(KU18&gt;=KY$29,KU18&lt;&gt;""),AND(KX18&gt;=KY$29,KX18&lt;&gt;""),AND(LV18&gt;=MG$29,LV18&lt;&gt;""),AND(LY18&gt;=MG$29,LY18&lt;&gt;""),AND(MC18&gt;=MG$29,MC18&lt;&gt;""),AND(MF18&gt;=MG$29,MF18&lt;&gt;""),AND(ND18&gt;=NO$29,ND18&lt;&gt;""),AND(NG18&gt;=NO$29,NG18&lt;&gt;""),AND(NK18&gt;=NO$29,NK18&lt;&gt;""),AND(NN18&gt;=NO$29,NN18&lt;&gt;""),AND(OL18&gt;=OW$29,OL18&lt;&gt;""),AND(OO18&gt;=OW$29,OO18&lt;&gt;""),AND(OS18&gt;=OW$29,OS18&lt;&gt;""),AND(OV18&gt;=OW$29,OV18&lt;&gt;""),AND(PT18&gt;=QE$29,PT18&lt;&gt;""),AND(PW18&gt;=QE$29,PW18&lt;&gt;""),AND(QA18&gt;=QE$29,QA18&lt;&gt;""),AND(QD18&gt;=QE$29,QD18&lt;&gt;""),AND(RB18&gt;=RM$29,RB18&lt;&gt;""),AND(RE18&gt;=RM$29,RE18&lt;&gt;""),AND(RI18&gt;=RM$29,RI18&lt;&gt;""),AND(RL18&gt;=RM$29,RL18&lt;&gt;""),AND(SJ18&gt;=SU$29,SJ18&lt;&gt;""),AND(SM18&gt;=SU$29,SM18&lt;&gt;""),AND(SQ18&gt;=SU$29,SQ18&lt;&gt;""),AND(ST18&gt;=SU$29,ST18&lt;&gt;"")),"P","")</f>
        <v/>
      </c>
      <c r="H18" s="70" t="str">
        <f>IF(AND(G18="P",F18=""),"No DD",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),"Merit",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X18&gt;=EK$27,DX18&lt;&gt;"",DZ18&gt;=EK$31,DZ18&lt;&gt;""),AND(EA18&gt;=EK$27,EA18&lt;&gt;"",EC18&gt;=EK$31,EC18&lt;&gt;""),AND(EE18&gt;=EK$27,EE18&lt;&gt;"",EG18&gt;=EK$31,EG18&lt;&gt;""),AND(EH18&gt;=EK$27,EH18&lt;&gt;"",EJ18&gt;=EK$31,EJ18&lt;&gt;""),AND(FF18&gt;=FS$27,FF18&lt;&gt;"",FH18&gt;=FS$31,FH18&lt;&gt;""),AND(FI18&gt;=FS$27,FI18&lt;&gt;"",FK18&gt;=FS$31,FK18&lt;&gt;""),AND(FM18&gt;=FS$27,FM18&lt;&gt;"",FO18&gt;=FS$31,FO18&lt;&gt;""),AND(FP18&gt;=FS$27,FP18&lt;&gt;"",FR18&gt;=FS$31,FR18&lt;&gt;""),AND(GN18&gt;=HA$27,GN18&lt;&gt;"",GP18&gt;=HA$31,GP18&lt;&gt;""),AND(GQ18&gt;=HA$27,GQ18&lt;&gt;"",GS18&gt;=HA$31,GS18&lt;&gt;""),AND(GU18&gt;=HA$27,GU18&lt;&gt;"",GW18&gt;=HA$31,GW18&lt;&gt;""),AND(GX18&gt;=HA$27,GX18&lt;&gt;"",GZ18&gt;=HA$31,GZ18&lt;&gt;""),AND(HV18&gt;=II$27,HV18&lt;&gt;"",HX18&gt;=II$31,HX18&lt;&gt;""),AND(HY18&gt;=II$27,HY18&lt;&gt;"",IA18&gt;=II$31,IA18&lt;&gt;""),AND(IC18&gt;=II$27,IC18&lt;&gt;"",IE18&gt;=II$31,IE18&lt;&gt;""),AND(IF18&gt;=II$27,IF18&lt;&gt;"",IH18&gt;=II$31,IH18&lt;&gt;""),AND(JD18&gt;=JQ$27,JD18&lt;&gt;"",JF18&gt;=JQ$31,JF18&lt;&gt;""),AND(JG18&gt;=JQ$27,JG18&lt;&gt;"",JI18&gt;=JQ$31,JI18&lt;&gt;""),AND(JK18&gt;=JQ$27,JK18&lt;&gt;"",JM18&gt;=JQ$31,JM18&lt;&gt;""),AND(JN18&gt;=JQ$27,JN18&lt;&gt;"",JP18&gt;=JQ$31,JP18&lt;&gt;""),AND(KL18&gt;=KY$27,KL18&lt;&gt;"",KN18&gt;=KY$31,KN18&lt;&gt;""),AND(KO18&gt;=KY$27,KO18&lt;&gt;"",KQ18&gt;=KY$31,KQ18&lt;&gt;""),AND(KS18&gt;=KY$27,KS18&lt;&gt;"",KU18&gt;=KY$31,KU18&lt;&gt;""),AND(KV18&gt;=KY$27,KV18&lt;&gt;"",KX18&gt;=KY$31,KX18&lt;&gt;""),AND(LT18&gt;=MG$27,LT18&lt;&gt;"",LV18&gt;=MG$31,LV18&lt;&gt;""),AND(LW18&gt;=MG$27,LW18&lt;&gt;"",LY18&gt;=MG$31,LY18&lt;&gt;""),AND(MA18&gt;=MG$27,MA18&lt;&gt;"",MC18&gt;=MG$31,MC18&lt;&gt;""),AND(MD18&gt;=MG$27,MD18&lt;&gt;"",MF18&gt;=MG$31,MF18&lt;&gt;""),AND(NB18&gt;=NO$27,NB18&lt;&gt;"",ND18&gt;=NO$31,ND18&lt;&gt;""),AND(NE18&gt;=NO$27,NE18&lt;&gt;"",NG18&gt;=NO$31,NG18&lt;&gt;""),AND(NI18&gt;=NO$27,NI18&lt;&gt;"",NK18&gt;=NO$31,NK18&lt;&gt;""),AND(NL18&gt;=NO$27,NL18&lt;&gt;"",NN18&gt;=NO$31,NN18&lt;&gt;""),AND(OJ18&gt;=OW$27,OJ18&lt;&gt;"",OL18&gt;=OW$31,OL18&lt;&gt;""),AND(OM18&gt;=OW$27,OM18&lt;&gt;"",OO18&gt;=OW$31,OO18&lt;&gt;""),AND(OQ18&gt;=OW$27,OQ18&lt;&gt;"",OS18&gt;=OW$31,OS18&lt;&gt;""),AND(OT18&gt;=OW$27,OT18&lt;&gt;"",OV18&gt;=OW$31,OV18&lt;&gt;""),AND(PR18&gt;=QE$27,PR18&lt;&gt;"",PT18&gt;=QE$31,PT18&lt;&gt;""),AND(PU18&gt;=QE$27,PU18&lt;&gt;"",PW18&gt;=QE$31,PW18&lt;&gt;""),AND(PY18&gt;=QE$27,PY18&lt;&gt;"",QA18&gt;=QE$31,QA18&lt;&gt;""),AND(QB18&gt;=QE$27,QB18&lt;&gt;"",QD18&gt;=QE$31,QD18&lt;&gt;""),AND(QZ18&gt;=RM$27,QZ18&lt;&gt;"",RB18&gt;=RM$31,RB18&lt;&gt;""),AND(RC18&gt;=RM$27,RC18&lt;&gt;"",RE18&gt;=RM$31,RE18&lt;&gt;""),AND(RG18&gt;=RM$27,RG18&lt;&gt;"",RI18&gt;=RM$31,RI18&lt;&gt;""),AND(RJ18&gt;=RM$27,RJ18&lt;&gt;"",RL18&gt;=RM$31,RL18&lt;&gt;""),AND(SH18&gt;=SU$27,SH18&lt;&gt;"",SJ18&gt;=SU$31,SJ18&lt;&gt;""),AND(SK18&gt;=SU$27,SK18&lt;&gt;"",SM18&gt;=SU$31,SM18&lt;&gt;""),AND(SO18&gt;=SU$27,SO18&lt;&gt;"",SQ18&gt;=SU$31,SQ18&lt;&gt;""),AND(SR18&gt;=SU$27,SR18&lt;&gt;"",ST18&gt;=SU$31,ST18&lt;&gt;"")),"Excellence",IF(I18="P","Worlds Team",IF(F18="P","National Team","")))))</f>
        <v/>
      </c>
      <c r="I18" s="3" t="str">
        <f>IF(OR(AND(AO18&gt;=AY$26,AO18&lt;&gt;"",AQ18&gt;=AY$30,AQ18&lt;&gt;"",AN18=""),AND(AR18&gt;=AY$26,AR18&lt;&gt;"",AT18&gt;=AY$30,AT18&lt;&gt;"",AN18=""),AND(AV18&gt;=AY$26,AV18&lt;&gt;"",AX18&gt;=AY$30,AX18&lt;&gt;"",AN18=""),AND(BP18&gt;=BZ$26,BP18&lt;&gt;"",BR18&gt;=BZ$30,BR18&lt;&gt;"",BO18=""),AND(BS18&gt;=BZ$26,BS18&lt;&gt;"",BU18&gt;=BZ$30,BU18&lt;&gt;"",BO18=""),AND(BW18&gt;=BZ$26,BW18&lt;&gt;"",BY18&gt;=BZ$30,BY18&lt;&gt;"",BO18=""),AND(CQ18&gt;=DA$26,CQ18&lt;&gt;"",CS18&gt;=DA$30,CS18&lt;&gt;"",CP18=""),AND(CT18&gt;=DA$26,CT18&lt;&gt;"",CV18&gt;=DA$30,CV18&lt;&gt;"",CP18=""),AND(CX18&gt;=DA$26,CX18&lt;&gt;"",CZ18&gt;=DA$30,CZ18&lt;&gt;"",CP18=""),AND(DX18&gt;=EK$26,DX18&lt;&gt;"",DZ18&gt;=EK$30,DZ18&lt;&gt;""),AND(EA18&gt;=EK$26,EA18&lt;&gt;"",EC18&gt;=EK$30,EC18&lt;&gt;""),AND(EE18&gt;=EK$26,EE18&lt;&gt;"",EG18&gt;=EK$30,EG18&lt;&gt;""),AND(EH18&gt;=EK$26,EH18&lt;&gt;"",EJ18&gt;=EK$30,EJ18&lt;&gt;""),AND(FF18&gt;=FS$26,FF18&lt;&gt;"",FH18&gt;=FS$30,FH18&lt;&gt;""),AND(FI18&gt;=FS$26,FI18&lt;&gt;"",FK18&gt;=FS$30,FK18&lt;&gt;""),AND(FM18&gt;=FS$26,FM18&lt;&gt;"",FO18&gt;=FS$30,FO18&lt;&gt;""),AND(FP18&gt;=FS$26,FP18&lt;&gt;"",FR18&gt;=FS$30,FR18&lt;&gt;""),AND(GN18&gt;=HA$26,GN18&lt;&gt;"",GP18&gt;=HA$30,GP18&lt;&gt;""),AND(GQ18&gt;=HA$26,GQ18&lt;&gt;"",GS18&gt;=HA$30,GS18&lt;&gt;""),AND(GU18&gt;=HA$26,GU18&lt;&gt;"",GW18&gt;=HA$30,GW18&lt;&gt;""),AND(GX18&gt;=HA$26,GX18&lt;&gt;"",GZ18&gt;=HA$30,GZ18&lt;&gt;""),AND(HV18&gt;=II$26,HV18&lt;&gt;"",HX18&gt;=II$30,HX18&lt;&gt;""),AND(HY18&gt;=II$26,HY18&lt;&gt;"",IA18&gt;=II$30,IA18&lt;&gt;""),AND(IC18&gt;=II$26,IC18&lt;&gt;"",IE18&gt;=II$30,IE18&lt;&gt;""),AND(IF18&gt;=II$26,IF18&lt;&gt;"",IH18&gt;=II$30,IH18&lt;&gt;""),AND(JD18&gt;=JQ$26,JD18&lt;&gt;"",JF18&gt;=JQ$30,JF18&lt;&gt;""),AND(JG18&gt;=JQ$26,JG18&lt;&gt;"",JI18&gt;=JQ$30,JI18&lt;&gt;""),AND(JK18&gt;=JQ$26,JK18&lt;&gt;"",JM18&gt;=JQ$30,JM18&lt;&gt;""),AND(JN18&gt;=JQ$26,JN18&lt;&gt;"",JP18&gt;=JQ$30,JP18&lt;&gt;""),AND(KL18&gt;=KY$26,KL18&lt;&gt;"",KN18&gt;=KY$30,KN18&lt;&gt;""),AND(KO18&gt;=KY$26,KO18&lt;&gt;"",KQ18&gt;=KY$30,KQ18&lt;&gt;""),AND(KS18&gt;=KY$26,KS18&lt;&gt;"",KU18&gt;=KY$30,KU18&lt;&gt;""),AND(KV18&gt;=KY$26,KV18&lt;&gt;"",KX18&gt;=KY$30,KX18&lt;&gt;""),AND(LT18&gt;=MG$26,LT18&lt;&gt;"",LV18&gt;=MG$30,LV18&lt;&gt;""),AND(LW18&gt;=MG$26,LW18&lt;&gt;"",LY18&gt;=MG$30,LY18&lt;&gt;""),AND(MA18&gt;=MG$26,MA18&lt;&gt;"",MC18&gt;=MG$30,MC18&lt;&gt;""),AND(MD18&gt;=MG$26,MD18&lt;&gt;"",MF18&gt;=MG$30,MF18&lt;&gt;""),AND(NB18&gt;=NO$26,NB18&lt;&gt;"",ND18&gt;=NO$30,ND18&lt;&gt;""),AND(NE18&gt;=NO$26,NE18&lt;&gt;"",NG18&gt;=NO$30,NG18&lt;&gt;""),AND(NI18&gt;=NO$26,NI18&lt;&gt;"",NK18&gt;=NO$30,NK18&lt;&gt;""),AND(NL18&gt;=NO$26,NL18&lt;&gt;"",NN18&gt;=NO$30,NN18&lt;&gt;""),AND(OJ18&gt;=OW$26,OJ18&lt;&gt;"",OL18&gt;=OW$30,OL18&lt;&gt;""),AND(OM18&gt;=OW$26,OM18&lt;&gt;"",OO18&gt;=OW$30,OO18&lt;&gt;""),AND(OQ18&gt;=OW$26,OQ18&lt;&gt;"",OS18&gt;=OW$30,OS18&lt;&gt;""),AND(OT18&gt;=OW$26,OT18&lt;&gt;"",OV18&gt;=OW$30,OV18&lt;&gt;""),AND(PR18&gt;=QE$26,PR18&lt;&gt;"",PT18&gt;=QE$30,PT18&lt;&gt;""),AND(PU18&gt;=QE$26,PU18&lt;&gt;"",PW18&gt;=QE$30,PW18&lt;&gt;""),AND(PY18&gt;=QE$26,PY18&lt;&gt;"",QA18&gt;=QE$30,QA18&lt;&gt;""),AND(QB18&gt;=QE$26,QB18&lt;&gt;"",QD18&gt;=QE$30,QD18&lt;&gt;""),AND(QZ18&gt;=RM$26,QZ18&lt;&gt;"",RB18&gt;=RM$30,RB18&lt;&gt;""),AND(RC18&gt;=RM$26,RC18&lt;&gt;"",RE18&gt;=RM$30,RE18&lt;&gt;""),AND(RG18&gt;=RM$26,RG18&lt;&gt;"",RI18&gt;=RM$30,RI18&lt;&gt;""),AND(RJ18&gt;=RM$26,RJ18&lt;&gt;"",RL18&gt;=RM$30,RL18&lt;&gt;""),AND(SH18&gt;=SU$26,SH18&lt;&gt;"",SJ18&gt;=SU$30,SJ18&lt;&gt;""),AND(SK18&gt;=SU$26,SK18&lt;&gt;"",SM18&gt;=SU$30,SM18&lt;&gt;""),AND(SO18&gt;=SU$26,SO18&lt;&gt;"",SQ18&gt;=SU$30,SQ18&lt;&gt;""),AND(SR18&gt;=SU$26,SR18&lt;&gt;"",ST18&gt;=SU$30,ST18&lt;&gt;"")),"P","")</f>
        <v/>
      </c>
      <c r="J18" s="13">
        <f>IF(COUNT(AQ18,AT18,BR18,BU18,CS18,CV18)&gt;0,LARGE((AQ18,AT18,BR18,BU18,CS18,CV18),1),0)</f>
        <v>51.769999999999996</v>
      </c>
      <c r="K18" s="13" t="str">
        <f>IF(J18="","",IF(OR(J18=CS18,J18=CV18),$CA$1,IF(OR(J18=BR18,J18=BU18),$AZ$1,IF(OR(J18=AQ18,J18=AT18),$Y$1,""))))</f>
        <v>2022 Elite Canada</v>
      </c>
      <c r="L18" s="13">
        <f>IF(COUNT(AQ18,AT18,BR18,BU18,CS18,CV18)&gt;1,LARGE((AQ18,AT18,BR18,BU18,CS18,CV18),2),0)</f>
        <v>43.155000000000001</v>
      </c>
      <c r="M18" s="13" t="str">
        <f>IF(L18="","",IF(OR(L18=CS18,L18=CV18),$CA$1,IF(OR(L18=BR18,L18=BU18),$AZ$1,IF(OR(L18=AQ18,L18=AT18),$Y$1,""))))</f>
        <v>2022 Elite Canada</v>
      </c>
      <c r="N18" s="13">
        <f>IF(COUNT(AQ18,AT18,BR18,BU18,CS18,CV18)&gt;2,LARGE((AQ18,AT18,BR18,BU18,CS18,CV18),3),0)</f>
        <v>0</v>
      </c>
      <c r="O18" s="13" t="str">
        <f>IF(N18="","",IF(OR(N18=CS18,N18=CV18),$CA$1,IF(OR(N18=BR18,N18=BU18),$AZ$1,IF(OR(N18=AQ18,N18=AT18),$Y$1,""))))</f>
        <v/>
      </c>
      <c r="P18" s="13">
        <f>IF(MAX(AX18,BY18,CZ18)&gt;0,MAX(AX18,BY18,CZ18),0)</f>
        <v>51.684999999999995</v>
      </c>
      <c r="Q18" s="13" t="str">
        <f>IF(P18="","",IF(P18=CZ18,$CA$1,IF(P18=BY18,$AZ$1,IF(P18=AX18,$Y$1,""))))</f>
        <v>2022 Elite Canada</v>
      </c>
      <c r="R18" s="13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14.6</v>
      </c>
      <c r="S18" s="13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2022 Elite Canada</v>
      </c>
      <c r="T18" s="13">
        <f>IF(MAX(IF(AO18&gt;=$AY$25,AP18,0),IF(AR18&gt;=$AY$25,AS18,0),IF(AV18&gt;=$AY$25,AW18,0),IF(BP18&gt;=$BZ$25,BQ18,0),IF(BS18&gt;=$BZ$25,BT18,0),IF(BW18&gt;=$BZ$25,BX18,0),IF(CQ18&gt;=$DA$25,CR18,0),IF(CT18&gt;=$DA$25,CU18,0),IF(CX18&gt;=$DA$25,CY18,0))&gt;0,MAX(IF(AO18&gt;=$AY$25,AP18,0),IF(AR18&gt;=$AY$25,AS18,0),IF(AV18&gt;=$AY$25,AW18,0),IF(BP18&gt;=$BZ$25,BQ18,0),IF(BS18&gt;=$BZ$25,BT18,0),IF(BW18&gt;=$BZ$25,BX18,0),IF(CQ18&gt;=$DA$25,CR18,0),IF(CT18&gt;=$DA$25,CU18,0),IF(CX18&gt;=$DA$25,CY18,0),IF(DX18&gt;=$EK$25,DY18,0),IF(EA18&gt;=$EK$25,EB18,0),IF(EE18&gt;=$EK$25,EF18,0),IF(EH18&gt;=$EK$25,EI18,0),IF(FF18&gt;=$FS$25,FG18,0),IF(FI18&gt;=$FS$25,FJ18,0),IF(FM18&gt;=$FS$25,FN18,0),IF(FP18&gt;=$FS$25,FQ18,0),IF(GN18&gt;=$HA$25,GO18,0),IF(GQ18&gt;=$HA$25,GR18,0),IF(GU18&gt;=$HA$25,GV18,0),IF(GX18&gt;=$HA$25,GY18,0),IF(HV18&gt;=$II$25,HW18,0),IF(HY18&gt;=$II$25,HZ18,0),IF(IC18&gt;=$II$25,ID18,0),IF(IF18&gt;=$II$25,IG18,0),IF(JD18&gt;=$JQ$25,JE18,0),IF(JG18&gt;=$JQ$25,JH18,0),IF(JK18&gt;=$JQ$25,JL18,0),IF(JN18&gt;=$JQ$25,JO18,0),IF(KL18&gt;=$KY$25,KM18,0),IF(KO18&gt;=$KY$25,KP18,0),IF(KS18&gt;=$KY$25,KT18,0),IF(KV18&gt;=$KY$25,KW18,0),IF(LT18&gt;=$MG$25,LU18,0),IF(LW18&gt;=$MG$25,LX18,0),IF(MA18&gt;=$MG$25,MB18,0),IF(MD18&gt;=$MG$25,ME18,0),IF(NB18&gt;=$NO$25,NC18,0),IF(NE18&gt;=$NO$25,NF18,0),IF(NI18&gt;=$NO$25,NJ18,0),IF(NL18&gt;=$NO$25,NM18,0),IF(OJ18&gt;=$OW$25,OK18,0),IF(OM18&gt;=$OW$25,ON18,0),IF(OQ18&gt;=$OW$25,OR18,0),IF(OT18&gt;=$OW$25,OU18,0),IF(PR18&gt;=$QE$25,PS18,0),IF(PU18&gt;=$QE$25,PV18,0),IF(PY18&gt;=$QE$25,PZ18,0),IF(QB18&gt;=$QE$25,QC18,0),IF(QZ18&gt;=$RM$25,RA18,0),IF(RC18&gt;=$RM$25,RD18,0),IF(RG18&gt;=$RM$25,RH18,0),IF(RJ18&gt;=$RM$25,RK18,0),IF(SH18&gt;=$SU$25,SI18,0),IF(SK18&gt;=$SU$25,SL18,0),IF(SO18&gt;=$SU$25,SP18,0),IF(SR18&gt;=$SU$25,SS18,0)),0)</f>
        <v>0</v>
      </c>
      <c r="U18" s="13" t="str">
        <f>IF(T18=0,"",IF(OR(T18=CR18,T18=CU18,T18=CY18),$CA$1,IF(OR(T18=BQ18,T18=BT18,T18=BX18),$AZ$1,IF(OR(T18=AP18,T18=AS18,T18=AW18),$Y$1,IF(OR(R18=SI18,R18=SL18,R18=SP18,R18=SS18),$RN$1,IF(OR(R18=RA18,R18=RD18,R18=RH18,R18=RK18),$QF$1,IF(OR(R18=PS18,R18=PV18,R18=PZ18,R18=QC18),$OX$1,IF(OR(R18=OK18,R18=ON18,R18=OR18,R18=OU18),$NP$1,IF(OR(R18=NC18,R18=NF18,R18=NJ18,R18=NM18),$MH$1,IF(OR(R18=LU18,R18=LX18,R18=MB18,R18=ME18),$KZ$1,IF(OR(R18=KM18,R18=KP18,R18=KT18,R18=KW18),$JR$1,IF(OR(R18=JE18,R18=JH18,R18=JL18,R18=JO18),$IJ$1,IF(OR(R18=HW18,R18=HZ18,R18=ID18,R18=IG18),$HB$1,IF(OR(R18=GO18,R18=GR18,R18=GV18,R18=GY18),$FT$1,IF(OR(R18=FG18,R18=FJ18,R18=FN18,R18=FQ18),$EL$1,IF(OR(R18=DY18,R18=EB18,R18=EF18,R18=EI18),$DD$1,""))))))))))))))))</f>
        <v/>
      </c>
      <c r="V18" s="13" t="str">
        <f>IF(MAX(DB18,DC18)&gt;0,MAX(DB18,DC18),"")</f>
        <v/>
      </c>
      <c r="W18" s="16" t="str">
        <f>IF(V18="","",IF(V18=DB18,"("&amp;DB$2&amp;")",IF(V18=DC18,"("&amp;DC$2&amp;")")))</f>
        <v/>
      </c>
      <c r="X18" s="13" t="str">
        <f>IF(V18="","",IF(V18=DB18,IF(V18+IF(L18="",0,L18)=SN18,$RN$1,IF(V18+IF(L18="",0,L18)=RF18,$QF$1,IF(V18+IF(L18="",0,L18)=PX18,$OX$1,IF(V18+IF(L18="",0,L18)=OP18,$NP$1,IF(V18+IF(L18="",0,L18)=NH18,$MH$1,IF(V18+IF(L18="",0,L18)=LZ18,$KZ$1,IF(V18+IF(L18="",0,L18)=KR18,$JR$1,IF(V18+IF(L18="",0,L18)=JJ18,$IJ$1,IF(V18+IF(L18="",0,L18)=IB18,$HB$1,IF(V18+IF(L18="",0,L18)=GT18,$FT$1,IF(V18+IF(L18="",0,L18)=FL18,$EL$1,IF(V18+IF(L18="",0,L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$1)))))))))))))))</f>
        <v/>
      </c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51"/>
      <c r="AO18" s="74" t="str">
        <f>IF(AA18&gt;0,AA18,"")</f>
        <v/>
      </c>
      <c r="AP18" s="74" t="str">
        <f>IF(AB18&gt;0,AB18,"")</f>
        <v/>
      </c>
      <c r="AQ18" s="76" t="str">
        <f>IF(SUM(Y18:AB18)-AC18&gt;0,SUM(Y18:AB18)-AC18,"")</f>
        <v/>
      </c>
      <c r="AR18" s="76" t="str">
        <f>IF(AF18&gt;0,AF18,"")</f>
        <v/>
      </c>
      <c r="AS18" s="76" t="str">
        <f>IF(AG18&gt;0,AG18,"")</f>
        <v/>
      </c>
      <c r="AT18" s="76" t="str">
        <f>IF(SUM(AD18:AG18)-AH18&gt;0,SUM(AD18:AG18)-AH18,"")</f>
        <v/>
      </c>
      <c r="AU18" s="76" t="str">
        <f>IF(AQ18="","",MAX(AQ18,AT18))</f>
        <v/>
      </c>
      <c r="AV18" s="76" t="str">
        <f>IF(AK18&gt;0,AK18,"")</f>
        <v/>
      </c>
      <c r="AW18" s="76" t="str">
        <f>IF(AL18&gt;0,AL18,"")</f>
        <v/>
      </c>
      <c r="AX18" s="76" t="str">
        <f>IF(SUM(AI18:AL18)-AM18&gt;0,SUM(AI18:AL18)-AM18,"")</f>
        <v/>
      </c>
      <c r="AY18" s="76" t="str">
        <f>IF(SUM(AU18,AX18)&gt;0,SUM(AU18,AX18),"")</f>
        <v/>
      </c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52"/>
      <c r="BP18" s="75" t="str">
        <f>IF(BB18&gt;0,BB18,"")</f>
        <v/>
      </c>
      <c r="BQ18" s="75" t="str">
        <f>IF(BC18&gt;0,BC18,"")</f>
        <v/>
      </c>
      <c r="BR18" s="16" t="str">
        <f>IF(SUM(AZ18:BC18)-BD18&gt;0,SUM(AZ18:BC18)-BD18,"")</f>
        <v/>
      </c>
      <c r="BS18" s="16" t="str">
        <f>IF(BG18&gt;0,BG18,"")</f>
        <v/>
      </c>
      <c r="BT18" s="16" t="str">
        <f>IF(BH18&gt;0,BH18,"")</f>
        <v/>
      </c>
      <c r="BU18" s="16" t="str">
        <f>IF(SUM(BE18:BH18)-BI18&gt;0,SUM(BE18:BH18)-BI18,"")</f>
        <v/>
      </c>
      <c r="BV18" s="16" t="str">
        <f>IF(BR18="","",MAX(BR18,BU18))</f>
        <v/>
      </c>
      <c r="BW18" s="16" t="str">
        <f>IF(BL18&gt;0,BL18,"")</f>
        <v/>
      </c>
      <c r="BX18" s="16" t="str">
        <f>IF(BM18&gt;0,BM18,"")</f>
        <v/>
      </c>
      <c r="BY18" s="16" t="str">
        <f>IF(SUM(BJ18:BM18)-BN18&gt;0,SUM(BJ18:BM18)-BN18,"")</f>
        <v/>
      </c>
      <c r="BZ18" s="16" t="str">
        <f>IF(SUM(BV18,BY18)&gt;0,SUM(BV18,BY18),"")</f>
        <v/>
      </c>
      <c r="CA18" s="42">
        <v>12.7</v>
      </c>
      <c r="CB18" s="42">
        <v>9.1</v>
      </c>
      <c r="CC18" s="42">
        <v>14.6</v>
      </c>
      <c r="CD18" s="42">
        <v>15.37</v>
      </c>
      <c r="CE18" s="42">
        <v>0</v>
      </c>
      <c r="CF18" s="42">
        <v>11.7</v>
      </c>
      <c r="CG18" s="42">
        <v>7.5</v>
      </c>
      <c r="CH18" s="42">
        <v>11.9</v>
      </c>
      <c r="CI18" s="42">
        <v>12.055</v>
      </c>
      <c r="CJ18" s="42">
        <v>0</v>
      </c>
      <c r="CK18" s="42">
        <v>13.5</v>
      </c>
      <c r="CL18" s="42">
        <v>9.1</v>
      </c>
      <c r="CM18" s="42">
        <v>14.2</v>
      </c>
      <c r="CN18" s="42">
        <v>14.885</v>
      </c>
      <c r="CO18" s="42">
        <v>0</v>
      </c>
      <c r="CP18" s="51"/>
      <c r="CQ18" s="74">
        <f>IF(CC18&gt;0,CC18,"")</f>
        <v>14.6</v>
      </c>
      <c r="CR18" s="74">
        <f>IF(CD18&gt;0,CD18,"")</f>
        <v>15.37</v>
      </c>
      <c r="CS18" s="76">
        <f>IF(SUM(CA18:CD18)-CE18&gt;0,SUM(CA18:CD18)-CE18,"")</f>
        <v>51.769999999999996</v>
      </c>
      <c r="CT18" s="76">
        <f>IF(CH18&gt;0,CH18,"")</f>
        <v>11.9</v>
      </c>
      <c r="CU18" s="76">
        <f>IF(CI18&gt;0,CI18,"")</f>
        <v>12.055</v>
      </c>
      <c r="CV18" s="76">
        <f>IF(SUM(CF18:CI18)-CJ18&gt;0,SUM(CF18:CI18)-CJ18,"")</f>
        <v>43.155000000000001</v>
      </c>
      <c r="CW18" s="76">
        <f>IF(CS18="","",MAX(CS18,CV18))</f>
        <v>51.769999999999996</v>
      </c>
      <c r="CX18" s="76">
        <f>IF(CM18&gt;0,CM18,"")</f>
        <v>14.2</v>
      </c>
      <c r="CY18" s="76">
        <f>IF(CN18&gt;0,CN18,"")</f>
        <v>14.885</v>
      </c>
      <c r="CZ18" s="76">
        <f>IF(SUM(CK18:CN18)-CO18&gt;0,SUM(CK18:CN18)-CO18,"")</f>
        <v>51.684999999999995</v>
      </c>
      <c r="DA18" s="76">
        <f>IF(SUM(CW18,CZ18)&gt;0,SUM(CW18,CZ18),"")</f>
        <v>103.45499999999998</v>
      </c>
      <c r="DB18" s="87" t="str">
        <f>IF(L18&gt;=0.001,IF(MAX(ED18,FL18,GT18,IB18,JJ18,KR18,LZ18,NH18,OP18,PX18,RF18,SN18)-IF(L18="",0,L18)&gt;0.001,MAX(ED18,FL18,GT18,IB18,JJ18,KR18,LZ18,NH18,OP18,PX18,RF18,SN18)-IF(L18="",0,L18),""),"")</f>
        <v/>
      </c>
      <c r="DC18" s="87" t="str">
        <f>IF(P18&gt;=0.001,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,"")</f>
        <v/>
      </c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76" t="str">
        <f>IF(DF18&gt;0,DF18,"")</f>
        <v/>
      </c>
      <c r="DY18" s="76" t="str">
        <f>IF(DG18&gt;0,DG18,"")</f>
        <v/>
      </c>
      <c r="DZ18" s="76" t="str">
        <f>IF(SUM(DD18:DG18)-DH18&gt;0,SUM(DD18:DG18)-DH18,"")</f>
        <v/>
      </c>
      <c r="EA18" s="76" t="str">
        <f>IF(DK18&gt;0,DK18,"")</f>
        <v/>
      </c>
      <c r="EB18" s="76" t="str">
        <f>IF(DL18&gt;0,DL18,"")</f>
        <v/>
      </c>
      <c r="EC18" s="76" t="str">
        <f>IF(SUM(DI18:DL18)-DM18&gt;0,SUM(DI18:DL18)-DM18,"")</f>
        <v/>
      </c>
      <c r="ED18" s="76" t="str">
        <f>IF(MAX(DZ18,EC18)&gt;0,MAX(DZ18,EC18),"")</f>
        <v/>
      </c>
      <c r="EE18" s="76" t="str">
        <f>IF(DP18&gt;0,DP18,"")</f>
        <v/>
      </c>
      <c r="EF18" s="76" t="str">
        <f>IF(DQ18&gt;0,DQ18,"")</f>
        <v/>
      </c>
      <c r="EG18" s="76" t="str">
        <f>IF(SUM(DN18:DQ18)-DR18&gt;0,SUM(DN18:DQ18)-DR18,"")</f>
        <v/>
      </c>
      <c r="EH18" s="76" t="str">
        <f>IF(DU18&gt;0,DU18,"")</f>
        <v/>
      </c>
      <c r="EI18" s="76" t="str">
        <f>IF(DV18&gt;0,DV18,"")</f>
        <v/>
      </c>
      <c r="EJ18" s="76" t="str">
        <f>IF(SUM(DS18:DV18)-DW18&gt;0,SUM(DS18:DV18)-DW18,"")</f>
        <v/>
      </c>
      <c r="EK18" s="76" t="str">
        <f>IF(SUM(ED18,EJ18)&gt;0,SUM(ED18,EJ18),"")</f>
        <v/>
      </c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16" t="str">
        <f>IF(EN18&gt;0,EN18,"")</f>
        <v/>
      </c>
      <c r="FG18" s="16" t="str">
        <f>IF(EO18&gt;0,EO18,"")</f>
        <v/>
      </c>
      <c r="FH18" s="16" t="str">
        <f>IF(SUM(EL18:EO18)-EP18&gt;0,SUM(EL18:EO18)-EP18,"")</f>
        <v/>
      </c>
      <c r="FI18" s="16" t="str">
        <f>IF(ES18&gt;0,ES18,"")</f>
        <v/>
      </c>
      <c r="FJ18" s="16" t="str">
        <f>IF(ET18&gt;0,ET18,"")</f>
        <v/>
      </c>
      <c r="FK18" s="16" t="str">
        <f>IF(SUM(EQ18:ET18)-EU18&gt;0,SUM(EQ18:ET18)-EU18,"")</f>
        <v/>
      </c>
      <c r="FL18" s="16" t="str">
        <f>IF(MAX(FH18,FK18)&gt;0,MAX(FH18,FK18),"")</f>
        <v/>
      </c>
      <c r="FM18" s="16" t="str">
        <f>IF(EX18&gt;0,EX18,"")</f>
        <v/>
      </c>
      <c r="FN18" s="16" t="str">
        <f>IF(EY18&gt;0,EY18,"")</f>
        <v/>
      </c>
      <c r="FO18" s="16" t="str">
        <f>IF(SUM(EV18:EY18)-EZ18&gt;0,SUM(EV18:EY18)-EZ18,"")</f>
        <v/>
      </c>
      <c r="FP18" s="16" t="str">
        <f>IF(FC18&gt;0,FC18,"")</f>
        <v/>
      </c>
      <c r="FQ18" s="16" t="str">
        <f>IF(FD18&gt;0,FD18,"")</f>
        <v/>
      </c>
      <c r="FR18" s="16" t="str">
        <f>IF(SUM(FA18:FD18)-FE18&gt;0,SUM(FA18:FD18)-FE18,"")</f>
        <v/>
      </c>
      <c r="FS18" s="16" t="str">
        <f>IF(SUM(FL18,FR18)&gt;0,SUM(FL18,FR18),"")</f>
        <v/>
      </c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76" t="str">
        <f>IF(FV18&gt;0,FV18,"")</f>
        <v/>
      </c>
      <c r="GO18" s="76" t="str">
        <f>IF(FW18&gt;0,FW18,"")</f>
        <v/>
      </c>
      <c r="GP18" s="76" t="str">
        <f>IF(SUM(FT18:FW18)-FX18&gt;0,SUM(FT18:FW18)-FX18,"")</f>
        <v/>
      </c>
      <c r="GQ18" s="76" t="str">
        <f>IF(GA18&gt;0,GA18,"")</f>
        <v/>
      </c>
      <c r="GR18" s="76" t="str">
        <f>IF(GB18&gt;0,GB18,"")</f>
        <v/>
      </c>
      <c r="GS18" s="76" t="str">
        <f>IF(SUM(FY18:GB18)-GC18&gt;0,SUM(FY18:GB18)-GC18,"")</f>
        <v/>
      </c>
      <c r="GT18" s="76" t="str">
        <f>IF(MAX(GP18,GS18)&gt;0,MAX(GP18,GS18),"")</f>
        <v/>
      </c>
      <c r="GU18" s="76" t="str">
        <f>IF(GF18&gt;0,GF18,"")</f>
        <v/>
      </c>
      <c r="GV18" s="76" t="str">
        <f>IF(GG18&gt;0,GG18,"")</f>
        <v/>
      </c>
      <c r="GW18" s="76" t="str">
        <f>IF(SUM(GD18:GG18)-GH18&gt;0,SUM(GD18:GG18)-GH18,"")</f>
        <v/>
      </c>
      <c r="GX18" s="76" t="str">
        <f>IF(GK18&gt;0,GK18,"")</f>
        <v/>
      </c>
      <c r="GY18" s="76" t="str">
        <f>IF(GL18&gt;0,GL18,"")</f>
        <v/>
      </c>
      <c r="GZ18" s="76" t="str">
        <f>IF(SUM(GI18:GL18)-GM18&gt;0,SUM(GI18:GL18)-GM18,"")</f>
        <v/>
      </c>
      <c r="HA18" s="76" t="str">
        <f>IF(SUM(GT18,GZ18)&gt;0,SUM(GT18,GZ18),"")</f>
        <v/>
      </c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16" t="str">
        <f>IF(HD18&gt;0,HD18,"")</f>
        <v/>
      </c>
      <c r="HW18" s="16" t="str">
        <f>IF(HE18&gt;0,HE18,"")</f>
        <v/>
      </c>
      <c r="HX18" s="16" t="str">
        <f>IF(SUM(HB18:HE18)-HF18&gt;0,SUM(HB18:HE18)-HF18,"")</f>
        <v/>
      </c>
      <c r="HY18" s="16" t="str">
        <f>IF(HI18&gt;0,HI18,"")</f>
        <v/>
      </c>
      <c r="HZ18" s="16" t="str">
        <f>IF(HJ18&gt;0,HJ18,"")</f>
        <v/>
      </c>
      <c r="IA18" s="16" t="str">
        <f>IF(SUM(HG18:HJ18)-HK18&gt;0,SUM(HG18:HJ18)-HK18,"")</f>
        <v/>
      </c>
      <c r="IB18" s="16" t="str">
        <f>IF(MAX(HX18,IA18)&gt;0,MAX(HX18,IA18),"")</f>
        <v/>
      </c>
      <c r="IC18" s="16" t="str">
        <f>IF(HN18&gt;0,HN18,"")</f>
        <v/>
      </c>
      <c r="ID18" s="16" t="str">
        <f>IF(HO18&gt;0,HO18,"")</f>
        <v/>
      </c>
      <c r="IE18" s="16" t="str">
        <f>IF(SUM(HL18:HO18)-HP18&gt;0,SUM(HL18:HO18)-HP18,"")</f>
        <v/>
      </c>
      <c r="IF18" s="16" t="str">
        <f>IF(HS18&gt;0,HS18,"")</f>
        <v/>
      </c>
      <c r="IG18" s="16" t="str">
        <f>IF(HT18&gt;0,HT18,"")</f>
        <v/>
      </c>
      <c r="IH18" s="16" t="str">
        <f>IF(SUM(HQ18:HT18)-HU18&gt;0,SUM(HQ18:HT18)-HU18,"")</f>
        <v/>
      </c>
      <c r="II18" s="16" t="str">
        <f>IF(SUM(IB18,IH18)&gt;0,SUM(IB18,IH18),"")</f>
        <v/>
      </c>
      <c r="IJ18" s="25"/>
      <c r="IK18" s="25"/>
      <c r="IL18" s="25"/>
      <c r="IM18" s="25"/>
      <c r="IN18" s="25"/>
      <c r="IO18" s="25"/>
      <c r="IP18" s="25"/>
      <c r="IQ18" s="25"/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76" t="str">
        <f>IF(IL18&gt;0,IL18,"")</f>
        <v/>
      </c>
      <c r="JE18" s="76" t="str">
        <f>IF(IM18&gt;0,IM18,"")</f>
        <v/>
      </c>
      <c r="JF18" s="76" t="str">
        <f>IF(SUM(IJ18:IM18)-IN18&gt;0,SUM(IJ18:IM18)-IN18,"")</f>
        <v/>
      </c>
      <c r="JG18" s="76" t="str">
        <f>IF(IQ18&gt;0,IQ18,"")</f>
        <v/>
      </c>
      <c r="JH18" s="76" t="str">
        <f>IF(IR18&gt;0,IR18,"")</f>
        <v/>
      </c>
      <c r="JI18" s="76" t="str">
        <f>IF(SUM(IO18:IR18)-IS18&gt;0,SUM(IO18:IR18)-IS18,"")</f>
        <v/>
      </c>
      <c r="JJ18" s="76" t="str">
        <f>IF(MAX(JF18,JI18)&gt;0,MAX(JF18,JI18),"")</f>
        <v/>
      </c>
      <c r="JK18" s="76" t="str">
        <f>IF(IV18&gt;0,IV18,"")</f>
        <v/>
      </c>
      <c r="JL18" s="76" t="str">
        <f>IF(IW18&gt;0,IW18,"")</f>
        <v/>
      </c>
      <c r="JM18" s="76" t="str">
        <f>IF(SUM(IT18:IW18)-IX18&gt;0,SUM(IT18:IW18)-IX18,"")</f>
        <v/>
      </c>
      <c r="JN18" s="76" t="str">
        <f>IF(JA18&gt;0,JA18,"")</f>
        <v/>
      </c>
      <c r="JO18" s="76" t="str">
        <f>IF(JB18&gt;0,JB18,"")</f>
        <v/>
      </c>
      <c r="JP18" s="76" t="str">
        <f>IF(SUM(IY18:JB18)-JC18&gt;0,SUM(IY18:JB18)-JC18,"")</f>
        <v/>
      </c>
      <c r="JQ18" s="76" t="str">
        <f>IF(SUM(JJ18,JP18)&gt;0,SUM(JJ18,JP18),"")</f>
        <v/>
      </c>
      <c r="JR18" s="26"/>
      <c r="JS18" s="26"/>
      <c r="JT18" s="26"/>
      <c r="JU18" s="26"/>
      <c r="JV18" s="26"/>
      <c r="JW18" s="26"/>
      <c r="JX18" s="26"/>
      <c r="JY18" s="26"/>
      <c r="JZ18" s="26"/>
      <c r="KA18" s="26"/>
      <c r="KB18" s="26"/>
      <c r="KC18" s="26"/>
      <c r="KD18" s="26"/>
      <c r="KE18" s="26"/>
      <c r="KF18" s="26"/>
      <c r="KG18" s="26"/>
      <c r="KH18" s="26"/>
      <c r="KI18" s="26"/>
      <c r="KJ18" s="26"/>
      <c r="KK18" s="26"/>
      <c r="KL18" s="16" t="str">
        <f>IF(JT18&gt;0,JT18,"")</f>
        <v/>
      </c>
      <c r="KM18" s="16" t="str">
        <f>IF(JU18&gt;0,JU18,"")</f>
        <v/>
      </c>
      <c r="KN18" s="16" t="str">
        <f>IF(SUM(JR18:JU18)-JV18&gt;0,SUM(JR18:JU18)-JV18,"")</f>
        <v/>
      </c>
      <c r="KO18" s="16" t="str">
        <f>IF(JY18&gt;0,JY18,"")</f>
        <v/>
      </c>
      <c r="KP18" s="16" t="str">
        <f>IF(JZ18&gt;0,JZ18,"")</f>
        <v/>
      </c>
      <c r="KQ18" s="16" t="str">
        <f>IF(SUM(JW18:JZ18)-KA18&gt;0,SUM(JW18:JZ18)-KA18,"")</f>
        <v/>
      </c>
      <c r="KR18" s="16" t="str">
        <f>IF(MAX(KN18,KQ18)&gt;0,MAX(KN18,KQ18),"")</f>
        <v/>
      </c>
      <c r="KS18" s="16" t="str">
        <f>IF(KD18&gt;0,KD18,"")</f>
        <v/>
      </c>
      <c r="KT18" s="16" t="str">
        <f>IF(KE18&gt;0,KE18,"")</f>
        <v/>
      </c>
      <c r="KU18" s="16" t="str">
        <f>IF(SUM(KB18:KE18)-KF18&gt;0,SUM(KB18:KE18)-KF18,"")</f>
        <v/>
      </c>
      <c r="KV18" s="16" t="str">
        <f>IF(KI18&gt;0,KI18,"")</f>
        <v/>
      </c>
      <c r="KW18" s="16" t="str">
        <f>IF(KJ18&gt;0,KJ18,"")</f>
        <v/>
      </c>
      <c r="KX18" s="16" t="str">
        <f>IF(SUM(KG18:KJ18)-KK18&gt;0,SUM(KG18:KJ18)-KK18,"")</f>
        <v/>
      </c>
      <c r="KY18" s="16" t="str">
        <f>IF(SUM(KR18,KX18)&gt;0,SUM(KR18,KX18),"")</f>
        <v/>
      </c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25"/>
      <c r="LQ18" s="25"/>
      <c r="LR18" s="25"/>
      <c r="LS18" s="25"/>
      <c r="LT18" s="76" t="str">
        <f>IF(LB18&gt;0,LB18,"")</f>
        <v/>
      </c>
      <c r="LU18" s="76" t="str">
        <f>IF(LC18&gt;0,LC18,"")</f>
        <v/>
      </c>
      <c r="LV18" s="76" t="str">
        <f>IF(SUM(KZ18:LC18)-LD18&gt;0,SUM(KZ18:LC18)-LD18,"")</f>
        <v/>
      </c>
      <c r="LW18" s="76" t="str">
        <f>IF(LG18&gt;0,LG18,"")</f>
        <v/>
      </c>
      <c r="LX18" s="76" t="str">
        <f>IF(LH18&gt;0,LH18,"")</f>
        <v/>
      </c>
      <c r="LY18" s="76" t="str">
        <f>IF(SUM(LE18:LH18)-LI18&gt;0,SUM(LE18:LH18)-LI18,"")</f>
        <v/>
      </c>
      <c r="LZ18" s="76" t="str">
        <f>IF(MAX(LV18,LY18)&gt;0,MAX(LV18,LY18),"")</f>
        <v/>
      </c>
      <c r="MA18" s="76" t="str">
        <f>IF(LL18&gt;0,LL18,"")</f>
        <v/>
      </c>
      <c r="MB18" s="76" t="str">
        <f>IF(LM18&gt;0,LM18,"")</f>
        <v/>
      </c>
      <c r="MC18" s="76" t="str">
        <f>IF(SUM(LJ18:LM18)-LN18&gt;0,SUM(LJ18:LM18)-LN18,"")</f>
        <v/>
      </c>
      <c r="MD18" s="76" t="str">
        <f>IF(LQ18&gt;0,LQ18,"")</f>
        <v/>
      </c>
      <c r="ME18" s="76" t="str">
        <f>IF(LR18&gt;0,LR18,"")</f>
        <v/>
      </c>
      <c r="MF18" s="76" t="str">
        <f>IF(SUM(LO18:LR18)-LS18&gt;0,SUM(LO18:LR18)-LS18,"")</f>
        <v/>
      </c>
      <c r="MG18" s="76" t="str">
        <f>IF(SUM(LZ18,MF18)&gt;0,SUM(LZ18,MF18),"")</f>
        <v/>
      </c>
      <c r="MH18" s="26"/>
      <c r="MI18" s="26"/>
      <c r="MJ18" s="26"/>
      <c r="MK18" s="26"/>
      <c r="ML18" s="26"/>
      <c r="MM18" s="26"/>
      <c r="MN18" s="26"/>
      <c r="MO18" s="26"/>
      <c r="MP18" s="26"/>
      <c r="MQ18" s="26"/>
      <c r="MR18" s="26"/>
      <c r="MS18" s="26"/>
      <c r="MT18" s="26"/>
      <c r="MU18" s="26"/>
      <c r="MV18" s="26"/>
      <c r="MW18" s="26"/>
      <c r="MX18" s="26"/>
      <c r="MY18" s="26"/>
      <c r="MZ18" s="26"/>
      <c r="NA18" s="26"/>
      <c r="NB18" s="16" t="str">
        <f>IF(MJ18&gt;0,MJ18,"")</f>
        <v/>
      </c>
      <c r="NC18" s="16" t="str">
        <f>IF(MK18&gt;0,MK18,"")</f>
        <v/>
      </c>
      <c r="ND18" s="16" t="str">
        <f>IF(SUM(MH18:MK18)-ML18&gt;0,SUM(MH18:MK18)-ML18,"")</f>
        <v/>
      </c>
      <c r="NE18" s="16" t="str">
        <f>IF(MO18&gt;0,MO18,"")</f>
        <v/>
      </c>
      <c r="NF18" s="16" t="str">
        <f>IF(MP18&gt;0,MP18,"")</f>
        <v/>
      </c>
      <c r="NG18" s="16" t="str">
        <f>IF(SUM(MM18:MP18)-MQ18&gt;0,SUM(MM18:MP18)-MQ18,"")</f>
        <v/>
      </c>
      <c r="NH18" s="16" t="str">
        <f>IF(MAX(ND18,NG18)&gt;0,MAX(ND18,NG18),"")</f>
        <v/>
      </c>
      <c r="NI18" s="16" t="str">
        <f>IF(MT18&gt;0,MT18,"")</f>
        <v/>
      </c>
      <c r="NJ18" s="16" t="str">
        <f>IF(MU18&gt;0,MU18,"")</f>
        <v/>
      </c>
      <c r="NK18" s="16" t="str">
        <f>IF(SUM(MR18:MU18)-MV18&gt;0,SUM(MR18:MU18)-MV18,"")</f>
        <v/>
      </c>
      <c r="NL18" s="16" t="str">
        <f>IF(MY18&gt;0,MY18,"")</f>
        <v/>
      </c>
      <c r="NM18" s="16" t="str">
        <f>IF(MZ18&gt;0,MZ18,"")</f>
        <v/>
      </c>
      <c r="NN18" s="16" t="str">
        <f>IF(SUM(MW18:MZ18)-NA18&gt;0,SUM(MW18:MZ18)-NA18,"")</f>
        <v/>
      </c>
      <c r="NO18" s="16" t="str">
        <f>IF(SUM(NH18,NN18)&gt;0,SUM(NH18,NN18),"")</f>
        <v/>
      </c>
      <c r="NP18" s="25"/>
      <c r="NQ18" s="25"/>
      <c r="NR18" s="25"/>
      <c r="NS18" s="25"/>
      <c r="NT18" s="25"/>
      <c r="NU18" s="25"/>
      <c r="NV18" s="25"/>
      <c r="NW18" s="25"/>
      <c r="NX18" s="25"/>
      <c r="NY18" s="25"/>
      <c r="NZ18" s="25"/>
      <c r="OA18" s="25"/>
      <c r="OB18" s="25"/>
      <c r="OC18" s="25"/>
      <c r="OD18" s="25"/>
      <c r="OE18" s="25"/>
      <c r="OF18" s="25"/>
      <c r="OG18" s="25"/>
      <c r="OH18" s="25"/>
      <c r="OI18" s="25"/>
      <c r="OJ18" s="76" t="str">
        <f>IF(NR18&gt;0,NR18,"")</f>
        <v/>
      </c>
      <c r="OK18" s="76" t="str">
        <f>IF(NS18&gt;0,NS18,"")</f>
        <v/>
      </c>
      <c r="OL18" s="76" t="str">
        <f>IF(SUM(NP18:NS18)-NT18&gt;0,SUM(NP18:NS18)-NT18,"")</f>
        <v/>
      </c>
      <c r="OM18" s="76" t="str">
        <f>IF(NW18&gt;0,NW18,"")</f>
        <v/>
      </c>
      <c r="ON18" s="76" t="str">
        <f>IF(NX18&gt;0,NX18,"")</f>
        <v/>
      </c>
      <c r="OO18" s="76" t="str">
        <f>IF(SUM(NU18:NX18)-NY18&gt;0,SUM(NU18:NX18)-NY18,"")</f>
        <v/>
      </c>
      <c r="OP18" s="76" t="str">
        <f>IF(MAX(OL18,OO18)&gt;0,MAX(OL18,OO18),"")</f>
        <v/>
      </c>
      <c r="OQ18" s="76" t="str">
        <f>IF(OB18&gt;0,OB18,"")</f>
        <v/>
      </c>
      <c r="OR18" s="76" t="str">
        <f>IF(OC18&gt;0,OC18,"")</f>
        <v/>
      </c>
      <c r="OS18" s="76" t="str">
        <f>IF(SUM(NZ18:OC18)-OD18&gt;0,SUM(NZ18:OC18)-OD18,"")</f>
        <v/>
      </c>
      <c r="OT18" s="76" t="str">
        <f>IF(OG18&gt;0,OG18,"")</f>
        <v/>
      </c>
      <c r="OU18" s="76" t="str">
        <f>IF(OH18&gt;0,OH18,"")</f>
        <v/>
      </c>
      <c r="OV18" s="76" t="str">
        <f>IF(SUM(OE18:OH18)-OI18&gt;0,SUM(OE18:OH18)-OI18,"")</f>
        <v/>
      </c>
      <c r="OW18" s="76" t="str">
        <f>IF(SUM(OP18,OV18)&gt;0,SUM(OP18,OV18),"")</f>
        <v/>
      </c>
      <c r="OX18" s="26"/>
      <c r="OY18" s="26"/>
      <c r="OZ18" s="26"/>
      <c r="PA18" s="26"/>
      <c r="PB18" s="26"/>
      <c r="PC18" s="26"/>
      <c r="PD18" s="26"/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16" t="str">
        <f>IF(OZ18&gt;0,OZ18,"")</f>
        <v/>
      </c>
      <c r="PS18" s="16" t="str">
        <f>IF(PA18&gt;0,PA18,"")</f>
        <v/>
      </c>
      <c r="PT18" s="16" t="str">
        <f>IF(SUM(OX18:PA18)-PB18&gt;0,SUM(OX18:PA18)-PB18,"")</f>
        <v/>
      </c>
      <c r="PU18" s="16" t="str">
        <f>IF(PE18&gt;0,PE18,"")</f>
        <v/>
      </c>
      <c r="PV18" s="16" t="str">
        <f>IF(PF18&gt;0,PF18,"")</f>
        <v/>
      </c>
      <c r="PW18" s="16" t="str">
        <f>IF(SUM(PC18:PF18)-PG18&gt;0,SUM(PC18:PF18)-PG18,"")</f>
        <v/>
      </c>
      <c r="PX18" s="16" t="str">
        <f>IF(MAX(PT18,PW18)&gt;0,MAX(PT18,PW18),"")</f>
        <v/>
      </c>
      <c r="PY18" s="16" t="str">
        <f>IF(PJ18&gt;0,PJ18,"")</f>
        <v/>
      </c>
      <c r="PZ18" s="16" t="str">
        <f>IF(PK18&gt;0,PK18,"")</f>
        <v/>
      </c>
      <c r="QA18" s="16" t="str">
        <f>IF(SUM(PH18:PK18)-PL18&gt;0,SUM(PH18:PK18)-PL18,"")</f>
        <v/>
      </c>
      <c r="QB18" s="16" t="str">
        <f>IF(PO18&gt;0,PO18,"")</f>
        <v/>
      </c>
      <c r="QC18" s="16" t="str">
        <f>IF(PP18&gt;0,PP18,"")</f>
        <v/>
      </c>
      <c r="QD18" s="16" t="str">
        <f>IF(SUM(PM18:PP18)-PQ18&gt;0,SUM(PM18:PP18)-PQ18,"")</f>
        <v/>
      </c>
      <c r="QE18" s="16" t="str">
        <f>IF(SUM(PX18,QD18)&gt;0,SUM(PX18,QD18),"")</f>
        <v/>
      </c>
      <c r="QF18" s="25"/>
      <c r="QG18" s="25"/>
      <c r="QH18" s="25"/>
      <c r="QI18" s="25"/>
      <c r="QJ18" s="25"/>
      <c r="QK18" s="25"/>
      <c r="QL18" s="25"/>
      <c r="QM18" s="25"/>
      <c r="QN18" s="25"/>
      <c r="QO18" s="25"/>
      <c r="QP18" s="25"/>
      <c r="QQ18" s="25"/>
      <c r="QR18" s="25"/>
      <c r="QS18" s="25"/>
      <c r="QT18" s="25"/>
      <c r="QU18" s="25"/>
      <c r="QV18" s="25"/>
      <c r="QW18" s="25"/>
      <c r="QX18" s="25"/>
      <c r="QY18" s="25"/>
      <c r="QZ18" s="76" t="str">
        <f>IF(QH18&gt;0,QH18,"")</f>
        <v/>
      </c>
      <c r="RA18" s="76" t="str">
        <f>IF(QI18&gt;0,QI18,"")</f>
        <v/>
      </c>
      <c r="RB18" s="76" t="str">
        <f>IF(SUM(QF18:QI18)-QJ18&gt;0,SUM(QF18:QI18)-QJ18,"")</f>
        <v/>
      </c>
      <c r="RC18" s="76" t="str">
        <f>IF(QM18&gt;0,QM18,"")</f>
        <v/>
      </c>
      <c r="RD18" s="76" t="str">
        <f>IF(QN18&gt;0,QN18,"")</f>
        <v/>
      </c>
      <c r="RE18" s="76" t="str">
        <f>IF(SUM(QK18:QN18)-QO18&gt;0,SUM(QK18:QN18)-QO18,"")</f>
        <v/>
      </c>
      <c r="RF18" s="76" t="str">
        <f>IF(MAX(RB18,RE18)&gt;0,MAX(RB18,RE18),"")</f>
        <v/>
      </c>
      <c r="RG18" s="76" t="str">
        <f>IF(QR18&gt;0,QR18,"")</f>
        <v/>
      </c>
      <c r="RH18" s="76" t="str">
        <f>IF(QS18&gt;0,QS18,"")</f>
        <v/>
      </c>
      <c r="RI18" s="76" t="str">
        <f>IF(SUM(QP18:QS18)-QT18&gt;0,SUM(QP18:QS18)-QT18,"")</f>
        <v/>
      </c>
      <c r="RJ18" s="76" t="str">
        <f>IF(QW18&gt;0,QW18,"")</f>
        <v/>
      </c>
      <c r="RK18" s="76" t="str">
        <f>IF(QX18&gt;0,QX18,"")</f>
        <v/>
      </c>
      <c r="RL18" s="76" t="str">
        <f>IF(SUM(QU18:QX18)-QY18&gt;0,SUM(QU18:QX18)-QY18,"")</f>
        <v/>
      </c>
      <c r="RM18" s="76" t="str">
        <f>IF(SUM(RF18,RL18)&gt;0,SUM(RF18,RL18),"")</f>
        <v/>
      </c>
      <c r="RN18" s="26"/>
      <c r="RO18" s="26"/>
      <c r="RP18" s="26"/>
      <c r="RQ18" s="26"/>
      <c r="RR18" s="26"/>
      <c r="RS18" s="26"/>
      <c r="RT18" s="26"/>
      <c r="RU18" s="26"/>
      <c r="RV18" s="26"/>
      <c r="RW18" s="26"/>
      <c r="RX18" s="26"/>
      <c r="RY18" s="26"/>
      <c r="RZ18" s="26"/>
      <c r="SA18" s="26"/>
      <c r="SB18" s="26"/>
      <c r="SC18" s="26"/>
      <c r="SD18" s="26"/>
      <c r="SE18" s="26"/>
      <c r="SF18" s="26"/>
      <c r="SG18" s="26"/>
      <c r="SH18" s="16" t="str">
        <f>IF(RP18&gt;0,RP18,"")</f>
        <v/>
      </c>
      <c r="SI18" s="16" t="str">
        <f>IF(RQ18&gt;0,RQ18,"")</f>
        <v/>
      </c>
      <c r="SJ18" s="16" t="str">
        <f>IF(SUM(RN18:RQ18)-RR18&gt;0,SUM(RN18:RQ18)-RR18,"")</f>
        <v/>
      </c>
      <c r="SK18" s="16" t="str">
        <f>IF(RU18&gt;0,RU18,"")</f>
        <v/>
      </c>
      <c r="SL18" s="16" t="str">
        <f>IF(RV18&gt;0,RV18,"")</f>
        <v/>
      </c>
      <c r="SM18" s="16" t="str">
        <f>IF(SUM(RS18:RV18)-RW18&gt;0,SUM(RS18:RV18)-RW18,"")</f>
        <v/>
      </c>
      <c r="SN18" s="16" t="str">
        <f>IF(MAX(SJ18,SM18)&gt;0,MAX(SJ18,SM18),"")</f>
        <v/>
      </c>
      <c r="SO18" s="16" t="str">
        <f>IF(RZ18&gt;0,RZ18,"")</f>
        <v/>
      </c>
      <c r="SP18" s="16" t="str">
        <f>IF(SA18&gt;0,SA18,"")</f>
        <v/>
      </c>
      <c r="SQ18" s="16" t="str">
        <f>IF(SUM(RX18:SA18)-SB18&gt;0,SUM(RX18:SA18)-SB18,"")</f>
        <v/>
      </c>
      <c r="SR18" s="16" t="str">
        <f>IF(SE18&gt;0,SE18,"")</f>
        <v/>
      </c>
      <c r="SS18" s="16" t="str">
        <f>IF(SF18&gt;0,SF18,"")</f>
        <v/>
      </c>
      <c r="ST18" s="16" t="str">
        <f>IF(SUM(SC18:SF18)-SG18&gt;0,SUM(SC18:SF18)-SG18,"")</f>
        <v/>
      </c>
      <c r="SU18" s="16" t="str">
        <f>IF(SUM(SN18,ST18)&gt;0,SUM(SN18,ST18),"")</f>
        <v/>
      </c>
      <c r="SV18" s="42">
        <f>IF($CP18="P",CA18,(CA18+AZ18)/2)</f>
        <v>6.35</v>
      </c>
      <c r="SW18" s="42">
        <f>IF($CP18="P",CB18,(CB18+BA18)/2)</f>
        <v>4.55</v>
      </c>
      <c r="SX18" s="42">
        <f>IF($CP18="P",CC18,(CC18+BB18)/2)</f>
        <v>7.3</v>
      </c>
      <c r="SY18" s="42">
        <f>IF($CP18="P",CD18,(CD18+BC18)/2)</f>
        <v>7.6849999999999996</v>
      </c>
      <c r="SZ18" s="42">
        <f>IF($CP18="P",CE18,(CE18+BD18)/2)</f>
        <v>0</v>
      </c>
      <c r="TA18" s="42">
        <f>IF($CP18="P",CF18,(CF18+BE18)/2)</f>
        <v>5.85</v>
      </c>
      <c r="TB18" s="42">
        <f>IF($CP18="P",CG18,(CG18+BF18)/2)</f>
        <v>3.75</v>
      </c>
      <c r="TC18" s="42">
        <f>IF($CP18="P",CH18,(CH18+BG18)/2)</f>
        <v>5.95</v>
      </c>
      <c r="TD18" s="42">
        <f>IF($CP18="P",CI18,(CI18+BH18)/2)</f>
        <v>6.0274999999999999</v>
      </c>
      <c r="TE18" s="42">
        <f>IF($CP18="P",CJ18,(CJ18+BI18)/2)</f>
        <v>0</v>
      </c>
      <c r="TF18" s="42">
        <f>IF($CP18="P",CK18,(CK18+BJ18)/2)</f>
        <v>6.75</v>
      </c>
      <c r="TG18" s="42">
        <f>IF($CP18="P",CL18,(CL18+BK18)/2)</f>
        <v>4.55</v>
      </c>
      <c r="TH18" s="42">
        <f>IF($CP18="P",CM18,(CM18+BL18)/2)</f>
        <v>7.1</v>
      </c>
      <c r="TI18" s="42">
        <f>IF($CP18="P",CN18,(CN18+BM18)/2)</f>
        <v>7.4424999999999999</v>
      </c>
      <c r="TJ18" s="42">
        <f>IF($CP18="P",CO18,(CO18+BN18)/2)</f>
        <v>0</v>
      </c>
      <c r="TK18" s="51" t="s">
        <v>61</v>
      </c>
      <c r="TL18" s="76">
        <f>IF(SX18&gt;0,SX18,"")</f>
        <v>7.3</v>
      </c>
      <c r="TM18" s="76">
        <f>IF(SY18&gt;0,SY18,"")</f>
        <v>7.6849999999999996</v>
      </c>
      <c r="TN18" s="76">
        <f>IF(SUM(SV18:SY18)-SZ18&gt;0,SUM(SV18:SY18)-SZ18,"")</f>
        <v>25.884999999999998</v>
      </c>
      <c r="TO18" s="76">
        <f>IF(TC18&gt;0,TC18,"")</f>
        <v>5.95</v>
      </c>
      <c r="TP18" s="76">
        <f>IF(TD18&gt;0,TD18,"")</f>
        <v>6.0274999999999999</v>
      </c>
      <c r="TQ18" s="76">
        <f>IF(SUM(TA18:TD18)-TE18&gt;0,SUM(TA18:TD18)-TE18,"")</f>
        <v>21.577500000000001</v>
      </c>
      <c r="TR18" s="76">
        <f>IF(MAX(TN18,TQ18)&gt;0,MAX(TN18,TQ18),"")</f>
        <v>25.884999999999998</v>
      </c>
      <c r="TS18" s="76">
        <f>IF(TH18&gt;0,TH18,"")</f>
        <v>7.1</v>
      </c>
      <c r="TT18" s="76">
        <f>IF(TI18&gt;0,TI18,"")</f>
        <v>7.4424999999999999</v>
      </c>
      <c r="TU18" s="76">
        <f>IF(SUM(TF18:TI18)-TJ18&gt;0,SUM(TF18:TI18)-TJ18,"")</f>
        <v>25.842499999999998</v>
      </c>
      <c r="TV18" s="76">
        <f>IF(SUM(TR18,TU18)&gt;0,SUM(TR18,TU18),"")</f>
        <v>51.727499999999992</v>
      </c>
    </row>
    <row r="19" spans="1:542" x14ac:dyDescent="0.2">
      <c r="A19" s="5" t="str" cm="1">
        <f t="array" ref="A19">IF(AND(F19&lt;&gt;"",G19&lt;&gt;""),SUMPRODUCT((F$4:F$23&lt;&gt;"")*(G$4:G$23&lt;&gt;"")*(E$4:E$23&gt;E19))+1,IF(G19&lt;&gt;"",SUMPRODUCT((H$4:H$23="No DD")*(E$4:E$23&gt;E19))+1+SUMPRODUCT((F$4:F$23&lt;&gt;"")*(G$4:G$23&lt;&gt;"")),""))</f>
        <v/>
      </c>
      <c r="B19" s="6" t="s">
        <v>107</v>
      </c>
      <c r="C19" s="7" t="s">
        <v>9</v>
      </c>
      <c r="D19" s="5">
        <v>2002</v>
      </c>
      <c r="E19" s="14">
        <f>SUM(J19:V19)+SUM(J19:T19)*0.0000001+SUM(J19)*0.0000000000001</f>
        <v>146.70501467050514</v>
      </c>
      <c r="F19" s="3" t="str">
        <f>IF(OR(AND(AO19&gt;=AY$25,AO19&lt;&gt;"",AQ19&gt;=AY$29,AQ19&lt;&gt;"",AN19=""),AND(AR19&gt;=AY$25,AR19&lt;&gt;"",AT19&gt;=AY$29,AT19&lt;&gt;"",AN19=""),AND(AV19&gt;=AY$25,AV19&lt;&gt;"",AX19&gt;=AY$29,AX19&lt;&gt;"",AN19=""),AND(BP19&gt;=BZ$25,BP19&lt;&gt;"",BR19&gt;=BZ$29,BR19&lt;&gt;"",BO19=""),AND(BS19&gt;=BZ$25,BS19&lt;&gt;"",BU19&gt;=BZ$29,BU19&lt;&gt;"",BO19=""),AND(BW19&gt;=BZ$25,BW19&lt;&gt;"",BY19&gt;=BZ$29,BY19&lt;&gt;"",BO19=""),AND(CQ19&gt;=DA$25,CQ19&lt;&gt;"",CS19&gt;=DA$29,CS19&lt;&gt;"",CP19=""),AND(CT19&gt;=DA$25,CT19&lt;&gt;"",CV19&gt;=DA$29,CV19&lt;&gt;"",CP19=""),AND(CX19&gt;=DA$25,CX19&lt;&gt;"",CZ19&gt;=DA$29,CZ19&lt;&gt;"",CP19=""),AND(DX19&gt;=EK$25,DX19&lt;&gt;"",DZ19&gt;=EK$29,DZ19&lt;&gt;""),AND(EA19&gt;=EK$25,EA19&lt;&gt;"",EC19&gt;=EK$29,EC19&lt;&gt;""),AND(EE19&gt;=EK$25,EE19&lt;&gt;"",EG19&gt;=EK$29,EG19&lt;&gt;""),AND(EH19&gt;=EK$25,EH19&lt;&gt;"",EJ19&gt;=EK$29,EJ19&lt;&gt;""),AND(FF19&gt;=FS$25,FF19&lt;&gt;"",FH19&gt;=FS$29,FH19&lt;&gt;""),AND(FI19&gt;=FS$25,FI19&lt;&gt;"",FK19&gt;=FS$29,FK19&lt;&gt;""),AND(FM19&gt;=FS$25,FM19&lt;&gt;"",FO19&gt;=FS$29,FO19&lt;&gt;""),AND(FP19&gt;=FS$25,FP19&lt;&gt;"",FR19&gt;=FS$29,FR19&lt;&gt;""),AND(GN19&gt;=HA$25,GN19&lt;&gt;"",GP19&gt;=HA$29,GP19&lt;&gt;""),AND(GQ19&gt;=HA$25,GQ19&lt;&gt;"",GS19&gt;=HA$29,GS19&lt;&gt;""),AND(GU19&gt;=HA$25,GU19&lt;&gt;"",GW19&gt;=HA$29,GW19&lt;&gt;""),AND(GX19&gt;=HA$25,GX19&lt;&gt;"",GZ19&gt;=HA$29,GZ19&lt;&gt;""),AND(HV19&gt;=II$25,HV19&lt;&gt;"",HX19&gt;=II$29,HX19&lt;&gt;""),AND(HY19&gt;=II$25,HY19&lt;&gt;"",IA19&gt;=II$29,IA19&lt;&gt;""),AND(IC19&gt;=II$25,IC19&lt;&gt;"",IE19&gt;=II$29,IE19&lt;&gt;""),AND(IF19&gt;=II$25,IF19&lt;&gt;"",IH19&gt;=II$29,IH19&lt;&gt;""),AND(JD19&gt;=JQ$25,JD19&lt;&gt;"",JF19&gt;=JQ$29,JF19&lt;&gt;""),AND(JG19&gt;=JQ$25,JG19&lt;&gt;"",JI19&gt;=JQ$29,JI19&lt;&gt;""),AND(JK19&gt;=JQ$25,JK19&lt;&gt;"",JM19&gt;=JQ$29,JM19&lt;&gt;""),AND(JN19&gt;=JQ$25,JN19&lt;&gt;"",JP19&gt;=JQ$29,JP19&lt;&gt;""),AND(KL19&gt;=KY$25,KL19&lt;&gt;"",KN19&gt;=KY$29,KN19&lt;&gt;""),AND(KO19&gt;=KY$25,KO19&lt;&gt;"",KQ19&gt;=KY$29,KQ19&lt;&gt;""),AND(KS19&gt;=KY$25,KS19&lt;&gt;"",KU19&gt;=KY$29,KU19&lt;&gt;""),AND(KV19&gt;=KY$25,KV19&lt;&gt;"",KX19&gt;=KY$29,KX19&lt;&gt;""),AND(LT19&gt;=MG$25,LT19&lt;&gt;"",LV19&gt;=MG$29,LV19&lt;&gt;""),AND(LW19&gt;=MG$25,LW19&lt;&gt;"",LY19&gt;=MG$29,LY19&lt;&gt;""),AND(MA19&gt;=MG$25,MA19&lt;&gt;"",MC19&gt;=MG$29,MC19&lt;&gt;""),AND(MD19&gt;=MG$25,MD19&lt;&gt;"",MF19&gt;=MG$29,MF19&lt;&gt;""),AND(NB19&gt;=NO$25,NB19&lt;&gt;"",ND19&gt;=NO$29,ND19&lt;&gt;""),AND(NE19&gt;=NO$25,NE19&lt;&gt;"",NG19&gt;=NO$29,NG19&lt;&gt;""),AND(NI19&gt;=NO$25,NI19&lt;&gt;"",NK19&gt;=NO$29,NK19&lt;&gt;""),AND(NL19&gt;=NO$25,NL19&lt;&gt;"",NN19&gt;=NO$29,NN19&lt;&gt;""),AND(OJ19&gt;=OW$25,OJ19&lt;&gt;"",OL19&gt;=OW$29,OL19&lt;&gt;""),AND(OM19&gt;=OW$25,OM19&lt;&gt;"",OO19&gt;=OW$29,OO19&lt;&gt;""),AND(OQ19&gt;=OW$25,OQ19&lt;&gt;"",OS19&gt;=OW$29,OS19&lt;&gt;""),AND(OT19&gt;=OW$25,OT19&lt;&gt;"",OV19&gt;=OW$29,OV19&lt;&gt;""),AND(PR19&gt;=QE$25,PR19&lt;&gt;"",PT19&gt;=QE$29,PT19&lt;&gt;""),AND(PU19&gt;=QE$25,PU19&lt;&gt;"",PW19&gt;=QE$29,PW19&lt;&gt;""),AND(PY19&gt;=QE$25,PY19&lt;&gt;"",QA19&gt;=QE$29,QA19&lt;&gt;""),AND(QB19&gt;=QE$25,QB19&lt;&gt;"",QD19&gt;=QE$29,QD19&lt;&gt;""),AND(QZ19&gt;=RM$25,QZ19&lt;&gt;"",RB19&gt;=RM$29,RB19&lt;&gt;""),AND(RC19&gt;=RM$25,RC19&lt;&gt;"",RE19&gt;=RM$29,RE19&lt;&gt;""),AND(RG19&gt;=RM$25,RG19&lt;&gt;"",RI19&gt;=RM$29,RI19&lt;&gt;""),AND(RJ19&gt;=RM$25,RJ19&lt;&gt;"",RL19&gt;=RM$29,RL19&lt;&gt;""),AND(SH19&gt;=SU$25,SH19&lt;&gt;"",SJ19&gt;=SU$29,SJ19&lt;&gt;""),AND(SK19&gt;=SU$25,SK19&lt;&gt;"",SM19&gt;=SU$29,SM19&lt;&gt;""),AND(SO19&gt;=SU$25,SO19&lt;&gt;"",SQ19&gt;=SU$29,SQ19&lt;&gt;""),AND(SR19&gt;=SU$25,SR19&lt;&gt;"",ST19&gt;=SU$29,ST19&lt;&gt;"")),"P","")</f>
        <v/>
      </c>
      <c r="G19" s="3" t="str">
        <f>IF(OR(AND(AQ19&gt;=AY$29,AQ19&lt;&gt;"",AN19=""),AND(AT19&gt;=AY$29,AT19&lt;&gt;"",AN19=""),AND(AX19&gt;=AY$29,AX19&lt;&gt;"",AN19=""),AND(BR19&gt;=BZ$29,BR19&lt;&gt;"",BO19=""),AND(BU19&gt;=BZ$29,BU19&lt;&gt;"",BO19=""),AND(BY19&gt;=BZ$29,BY19&lt;&gt;"",BO19=""),AND(CS19&gt;=DA$29,CS19&lt;&gt;"",CP19=""),AND(CV19&gt;=DA$29,CV19&lt;&gt;"",CP19=""),AND(CZ19&gt;=DA$29,CZ19&lt;&gt;"",CP19=""),AND(DZ19&gt;=EK$29,DZ19&lt;&gt;""),AND(EC19&gt;=EK$29,EC19&lt;&gt;""),AND(EG19&gt;=EK$29,EG19&lt;&gt;""),AND(EJ19&gt;=EK$29,EJ19&lt;&gt;""),AND(FH19&gt;=FS$29,FH19&lt;&gt;""),AND(FK19&gt;=FS$29,FK19&lt;&gt;""),AND(FO19&gt;=FS$29,FO19&lt;&gt;""),AND(FR19&gt;=FS$29,FR19&lt;&gt;""),AND(GP19&gt;=HA$29,GP19&lt;&gt;""),AND(GS19&gt;=HA$29,GS19&lt;&gt;""),AND(GW19&gt;=HA$29,GW19&lt;&gt;""),AND(GZ19&gt;=HA$29,GZ19&lt;&gt;""),AND(HX19&gt;=II$29,HX19&lt;&gt;""),AND(IA19&gt;=II$29,IA19&lt;&gt;""),AND(IE19&gt;=II$29,IE19&lt;&gt;""),AND(IH19&gt;=II$29,IH19&lt;&gt;""),AND(JF19&gt;=JQ$29,JF19&lt;&gt;""),AND(JI19&gt;=JQ$29,JI19&lt;&gt;""),AND(JM19&gt;=JQ$29,JM19&lt;&gt;""),AND(JP19&gt;=JQ$29,JP19&lt;&gt;""),AND(KN19&gt;=KY$29,KN19&lt;&gt;""),AND(KQ19&gt;=KY$29,KQ19&lt;&gt;""),AND(KU19&gt;=KY$29,KU19&lt;&gt;""),AND(KX19&gt;=KY$29,KX19&lt;&gt;""),AND(LV19&gt;=MG$29,LV19&lt;&gt;""),AND(LY19&gt;=MG$29,LY19&lt;&gt;""),AND(MC19&gt;=MG$29,MC19&lt;&gt;""),AND(MF19&gt;=MG$29,MF19&lt;&gt;""),AND(ND19&gt;=NO$29,ND19&lt;&gt;""),AND(NG19&gt;=NO$29,NG19&lt;&gt;""),AND(NK19&gt;=NO$29,NK19&lt;&gt;""),AND(NN19&gt;=NO$29,NN19&lt;&gt;""),AND(OL19&gt;=OW$29,OL19&lt;&gt;""),AND(OO19&gt;=OW$29,OO19&lt;&gt;""),AND(OS19&gt;=OW$29,OS19&lt;&gt;""),AND(OV19&gt;=OW$29,OV19&lt;&gt;""),AND(PT19&gt;=QE$29,PT19&lt;&gt;""),AND(PW19&gt;=QE$29,PW19&lt;&gt;""),AND(QA19&gt;=QE$29,QA19&lt;&gt;""),AND(QD19&gt;=QE$29,QD19&lt;&gt;""),AND(RB19&gt;=RM$29,RB19&lt;&gt;""),AND(RE19&gt;=RM$29,RE19&lt;&gt;""),AND(RI19&gt;=RM$29,RI19&lt;&gt;""),AND(RL19&gt;=RM$29,RL19&lt;&gt;""),AND(SJ19&gt;=SU$29,SJ19&lt;&gt;""),AND(SM19&gt;=SU$29,SM19&lt;&gt;""),AND(SQ19&gt;=SU$29,SQ19&lt;&gt;""),AND(ST19&gt;=SU$29,ST19&lt;&gt;"")),"P","")</f>
        <v/>
      </c>
      <c r="H19" s="70" t="str">
        <f>IF(AND(G19="P",F19=""),"No DD",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),"Merit",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X19&gt;=EK$27,DX19&lt;&gt;"",DZ19&gt;=EK$31,DZ19&lt;&gt;""),AND(EA19&gt;=EK$27,EA19&lt;&gt;"",EC19&gt;=EK$31,EC19&lt;&gt;""),AND(EE19&gt;=EK$27,EE19&lt;&gt;"",EG19&gt;=EK$31,EG19&lt;&gt;""),AND(EH19&gt;=EK$27,EH19&lt;&gt;"",EJ19&gt;=EK$31,EJ19&lt;&gt;""),AND(FF19&gt;=FS$27,FF19&lt;&gt;"",FH19&gt;=FS$31,FH19&lt;&gt;""),AND(FI19&gt;=FS$27,FI19&lt;&gt;"",FK19&gt;=FS$31,FK19&lt;&gt;""),AND(FM19&gt;=FS$27,FM19&lt;&gt;"",FO19&gt;=FS$31,FO19&lt;&gt;""),AND(FP19&gt;=FS$27,FP19&lt;&gt;"",FR19&gt;=FS$31,FR19&lt;&gt;""),AND(GN19&gt;=HA$27,GN19&lt;&gt;"",GP19&gt;=HA$31,GP19&lt;&gt;""),AND(GQ19&gt;=HA$27,GQ19&lt;&gt;"",GS19&gt;=HA$31,GS19&lt;&gt;""),AND(GU19&gt;=HA$27,GU19&lt;&gt;"",GW19&gt;=HA$31,GW19&lt;&gt;""),AND(GX19&gt;=HA$27,GX19&lt;&gt;"",GZ19&gt;=HA$31,GZ19&lt;&gt;""),AND(HV19&gt;=II$27,HV19&lt;&gt;"",HX19&gt;=II$31,HX19&lt;&gt;""),AND(HY19&gt;=II$27,HY19&lt;&gt;"",IA19&gt;=II$31,IA19&lt;&gt;""),AND(IC19&gt;=II$27,IC19&lt;&gt;"",IE19&gt;=II$31,IE19&lt;&gt;""),AND(IF19&gt;=II$27,IF19&lt;&gt;"",IH19&gt;=II$31,IH19&lt;&gt;""),AND(JD19&gt;=JQ$27,JD19&lt;&gt;"",JF19&gt;=JQ$31,JF19&lt;&gt;""),AND(JG19&gt;=JQ$27,JG19&lt;&gt;"",JI19&gt;=JQ$31,JI19&lt;&gt;""),AND(JK19&gt;=JQ$27,JK19&lt;&gt;"",JM19&gt;=JQ$31,JM19&lt;&gt;""),AND(JN19&gt;=JQ$27,JN19&lt;&gt;"",JP19&gt;=JQ$31,JP19&lt;&gt;""),AND(KL19&gt;=KY$27,KL19&lt;&gt;"",KN19&gt;=KY$31,KN19&lt;&gt;""),AND(KO19&gt;=KY$27,KO19&lt;&gt;"",KQ19&gt;=KY$31,KQ19&lt;&gt;""),AND(KS19&gt;=KY$27,KS19&lt;&gt;"",KU19&gt;=KY$31,KU19&lt;&gt;""),AND(KV19&gt;=KY$27,KV19&lt;&gt;"",KX19&gt;=KY$31,KX19&lt;&gt;""),AND(LT19&gt;=MG$27,LT19&lt;&gt;"",LV19&gt;=MG$31,LV19&lt;&gt;""),AND(LW19&gt;=MG$27,LW19&lt;&gt;"",LY19&gt;=MG$31,LY19&lt;&gt;""),AND(MA19&gt;=MG$27,MA19&lt;&gt;"",MC19&gt;=MG$31,MC19&lt;&gt;""),AND(MD19&gt;=MG$27,MD19&lt;&gt;"",MF19&gt;=MG$31,MF19&lt;&gt;""),AND(NB19&gt;=NO$27,NB19&lt;&gt;"",ND19&gt;=NO$31,ND19&lt;&gt;""),AND(NE19&gt;=NO$27,NE19&lt;&gt;"",NG19&gt;=NO$31,NG19&lt;&gt;""),AND(NI19&gt;=NO$27,NI19&lt;&gt;"",NK19&gt;=NO$31,NK19&lt;&gt;""),AND(NL19&gt;=NO$27,NL19&lt;&gt;"",NN19&gt;=NO$31,NN19&lt;&gt;""),AND(OJ19&gt;=OW$27,OJ19&lt;&gt;"",OL19&gt;=OW$31,OL19&lt;&gt;""),AND(OM19&gt;=OW$27,OM19&lt;&gt;"",OO19&gt;=OW$31,OO19&lt;&gt;""),AND(OQ19&gt;=OW$27,OQ19&lt;&gt;"",OS19&gt;=OW$31,OS19&lt;&gt;""),AND(OT19&gt;=OW$27,OT19&lt;&gt;"",OV19&gt;=OW$31,OV19&lt;&gt;""),AND(PR19&gt;=QE$27,PR19&lt;&gt;"",PT19&gt;=QE$31,PT19&lt;&gt;""),AND(PU19&gt;=QE$27,PU19&lt;&gt;"",PW19&gt;=QE$31,PW19&lt;&gt;""),AND(PY19&gt;=QE$27,PY19&lt;&gt;"",QA19&gt;=QE$31,QA19&lt;&gt;""),AND(QB19&gt;=QE$27,QB19&lt;&gt;"",QD19&gt;=QE$31,QD19&lt;&gt;""),AND(QZ19&gt;=RM$27,QZ19&lt;&gt;"",RB19&gt;=RM$31,RB19&lt;&gt;""),AND(RC19&gt;=RM$27,RC19&lt;&gt;"",RE19&gt;=RM$31,RE19&lt;&gt;""),AND(RG19&gt;=RM$27,RG19&lt;&gt;"",RI19&gt;=RM$31,RI19&lt;&gt;""),AND(RJ19&gt;=RM$27,RJ19&lt;&gt;"",RL19&gt;=RM$31,RL19&lt;&gt;""),AND(SH19&gt;=SU$27,SH19&lt;&gt;"",SJ19&gt;=SU$31,SJ19&lt;&gt;""),AND(SK19&gt;=SU$27,SK19&lt;&gt;"",SM19&gt;=SU$31,SM19&lt;&gt;""),AND(SO19&gt;=SU$27,SO19&lt;&gt;"",SQ19&gt;=SU$31,SQ19&lt;&gt;""),AND(SR19&gt;=SU$27,SR19&lt;&gt;"",ST19&gt;=SU$31,ST19&lt;&gt;"")),"Excellence",IF(I19="P","Worlds Team",IF(F19="P","National Team","")))))</f>
        <v/>
      </c>
      <c r="I19" s="3" t="str">
        <f>IF(OR(AND(AO19&gt;=AY$26,AO19&lt;&gt;"",AQ19&gt;=AY$30,AQ19&lt;&gt;"",AN19=""),AND(AR19&gt;=AY$26,AR19&lt;&gt;"",AT19&gt;=AY$30,AT19&lt;&gt;"",AN19=""),AND(AV19&gt;=AY$26,AV19&lt;&gt;"",AX19&gt;=AY$30,AX19&lt;&gt;"",AN19=""),AND(BP19&gt;=BZ$26,BP19&lt;&gt;"",BR19&gt;=BZ$30,BR19&lt;&gt;"",BO19=""),AND(BS19&gt;=BZ$26,BS19&lt;&gt;"",BU19&gt;=BZ$30,BU19&lt;&gt;"",BO19=""),AND(BW19&gt;=BZ$26,BW19&lt;&gt;"",BY19&gt;=BZ$30,BY19&lt;&gt;"",BO19=""),AND(CQ19&gt;=DA$26,CQ19&lt;&gt;"",CS19&gt;=DA$30,CS19&lt;&gt;"",CP19=""),AND(CT19&gt;=DA$26,CT19&lt;&gt;"",CV19&gt;=DA$30,CV19&lt;&gt;"",CP19=""),AND(CX19&gt;=DA$26,CX19&lt;&gt;"",CZ19&gt;=DA$30,CZ19&lt;&gt;"",CP19=""),AND(DX19&gt;=EK$26,DX19&lt;&gt;"",DZ19&gt;=EK$30,DZ19&lt;&gt;""),AND(EA19&gt;=EK$26,EA19&lt;&gt;"",EC19&gt;=EK$30,EC19&lt;&gt;""),AND(EE19&gt;=EK$26,EE19&lt;&gt;"",EG19&gt;=EK$30,EG19&lt;&gt;""),AND(EH19&gt;=EK$26,EH19&lt;&gt;"",EJ19&gt;=EK$30,EJ19&lt;&gt;""),AND(FF19&gt;=FS$26,FF19&lt;&gt;"",FH19&gt;=FS$30,FH19&lt;&gt;""),AND(FI19&gt;=FS$26,FI19&lt;&gt;"",FK19&gt;=FS$30,FK19&lt;&gt;""),AND(FM19&gt;=FS$26,FM19&lt;&gt;"",FO19&gt;=FS$30,FO19&lt;&gt;""),AND(FP19&gt;=FS$26,FP19&lt;&gt;"",FR19&gt;=FS$30,FR19&lt;&gt;""),AND(GN19&gt;=HA$26,GN19&lt;&gt;"",GP19&gt;=HA$30,GP19&lt;&gt;""),AND(GQ19&gt;=HA$26,GQ19&lt;&gt;"",GS19&gt;=HA$30,GS19&lt;&gt;""),AND(GU19&gt;=HA$26,GU19&lt;&gt;"",GW19&gt;=HA$30,GW19&lt;&gt;""),AND(GX19&gt;=HA$26,GX19&lt;&gt;"",GZ19&gt;=HA$30,GZ19&lt;&gt;""),AND(HV19&gt;=II$26,HV19&lt;&gt;"",HX19&gt;=II$30,HX19&lt;&gt;""),AND(HY19&gt;=II$26,HY19&lt;&gt;"",IA19&gt;=II$30,IA19&lt;&gt;""),AND(IC19&gt;=II$26,IC19&lt;&gt;"",IE19&gt;=II$30,IE19&lt;&gt;""),AND(IF19&gt;=II$26,IF19&lt;&gt;"",IH19&gt;=II$30,IH19&lt;&gt;""),AND(JD19&gt;=JQ$26,JD19&lt;&gt;"",JF19&gt;=JQ$30,JF19&lt;&gt;""),AND(JG19&gt;=JQ$26,JG19&lt;&gt;"",JI19&gt;=JQ$30,JI19&lt;&gt;""),AND(JK19&gt;=JQ$26,JK19&lt;&gt;"",JM19&gt;=JQ$30,JM19&lt;&gt;""),AND(JN19&gt;=JQ$26,JN19&lt;&gt;"",JP19&gt;=JQ$30,JP19&lt;&gt;""),AND(KL19&gt;=KY$26,KL19&lt;&gt;"",KN19&gt;=KY$30,KN19&lt;&gt;""),AND(KO19&gt;=KY$26,KO19&lt;&gt;"",KQ19&gt;=KY$30,KQ19&lt;&gt;""),AND(KS19&gt;=KY$26,KS19&lt;&gt;"",KU19&gt;=KY$30,KU19&lt;&gt;""),AND(KV19&gt;=KY$26,KV19&lt;&gt;"",KX19&gt;=KY$30,KX19&lt;&gt;""),AND(LT19&gt;=MG$26,LT19&lt;&gt;"",LV19&gt;=MG$30,LV19&lt;&gt;""),AND(LW19&gt;=MG$26,LW19&lt;&gt;"",LY19&gt;=MG$30,LY19&lt;&gt;""),AND(MA19&gt;=MG$26,MA19&lt;&gt;"",MC19&gt;=MG$30,MC19&lt;&gt;""),AND(MD19&gt;=MG$26,MD19&lt;&gt;"",MF19&gt;=MG$30,MF19&lt;&gt;""),AND(NB19&gt;=NO$26,NB19&lt;&gt;"",ND19&gt;=NO$30,ND19&lt;&gt;""),AND(NE19&gt;=NO$26,NE19&lt;&gt;"",NG19&gt;=NO$30,NG19&lt;&gt;""),AND(NI19&gt;=NO$26,NI19&lt;&gt;"",NK19&gt;=NO$30,NK19&lt;&gt;""),AND(NL19&gt;=NO$26,NL19&lt;&gt;"",NN19&gt;=NO$30,NN19&lt;&gt;""),AND(OJ19&gt;=OW$26,OJ19&lt;&gt;"",OL19&gt;=OW$30,OL19&lt;&gt;""),AND(OM19&gt;=OW$26,OM19&lt;&gt;"",OO19&gt;=OW$30,OO19&lt;&gt;""),AND(OQ19&gt;=OW$26,OQ19&lt;&gt;"",OS19&gt;=OW$30,OS19&lt;&gt;""),AND(OT19&gt;=OW$26,OT19&lt;&gt;"",OV19&gt;=OW$30,OV19&lt;&gt;""),AND(PR19&gt;=QE$26,PR19&lt;&gt;"",PT19&gt;=QE$30,PT19&lt;&gt;""),AND(PU19&gt;=QE$26,PU19&lt;&gt;"",PW19&gt;=QE$30,PW19&lt;&gt;""),AND(PY19&gt;=QE$26,PY19&lt;&gt;"",QA19&gt;=QE$30,QA19&lt;&gt;""),AND(QB19&gt;=QE$26,QB19&lt;&gt;"",QD19&gt;=QE$30,QD19&lt;&gt;""),AND(QZ19&gt;=RM$26,QZ19&lt;&gt;"",RB19&gt;=RM$30,RB19&lt;&gt;""),AND(RC19&gt;=RM$26,RC19&lt;&gt;"",RE19&gt;=RM$30,RE19&lt;&gt;""),AND(RG19&gt;=RM$26,RG19&lt;&gt;"",RI19&gt;=RM$30,RI19&lt;&gt;""),AND(RJ19&gt;=RM$26,RJ19&lt;&gt;"",RL19&gt;=RM$30,RL19&lt;&gt;""),AND(SH19&gt;=SU$26,SH19&lt;&gt;"",SJ19&gt;=SU$30,SJ19&lt;&gt;""),AND(SK19&gt;=SU$26,SK19&lt;&gt;"",SM19&gt;=SU$30,SM19&lt;&gt;""),AND(SO19&gt;=SU$26,SO19&lt;&gt;"",SQ19&gt;=SU$30,SQ19&lt;&gt;""),AND(SR19&gt;=SU$26,SR19&lt;&gt;"",ST19&gt;=SU$30,ST19&lt;&gt;"")),"P","")</f>
        <v/>
      </c>
      <c r="J19" s="13">
        <f>IF(COUNT(AQ19,AT19,BR19,BU19,CS19,CV19)&gt;0,LARGE((AQ19,AT19,BR19,BU19,CS19,CV19),1),0)</f>
        <v>51.33</v>
      </c>
      <c r="K19" s="13" t="str">
        <f>IF(J19="","",IF(OR(J19=CS19,J19=CV19),$CA$1,IF(OR(J19=BR19,J19=BU19),$AZ$1,IF(OR(J19=AQ19,J19=AT19),$Y$1,""))))</f>
        <v>2021 Elite Canada</v>
      </c>
      <c r="L19" s="13">
        <f>IF(COUNT(AQ19,AT19,BR19,BU19,CS19,CV19)&gt;1,LARGE((AQ19,AT19,BR19,BU19,CS19,CV19),2),0)</f>
        <v>43.92</v>
      </c>
      <c r="M19" s="13" t="str">
        <f>IF(L19="","",IF(OR(L19=CS19,L19=CV19),$CA$1,IF(OR(L19=BR19,L19=BU19),$AZ$1,IF(OR(L19=AQ19,L19=AT19),$Y$1,""))))</f>
        <v>2021 Canadian Championships</v>
      </c>
      <c r="N19" s="13">
        <f>IF(COUNT(AQ19,AT19,BR19,BU19,CS19,CV19)&gt;2,LARGE((AQ19,AT19,BR19,BU19,CS19,CV19),3),0)</f>
        <v>6.1150000000000002</v>
      </c>
      <c r="O19" s="13" t="str">
        <f>IF(N19="","",IF(OR(N19=CS19,N19=CV19),$CA$1,IF(OR(N19=BR19,N19=BU19),$AZ$1,IF(OR(N19=AQ19,N19=AT19),$Y$1,""))))</f>
        <v>2021 Canadian Championships</v>
      </c>
      <c r="P19" s="13">
        <f>IF(MAX(AX19,BY19,CZ19)&gt;0,MAX(AX19,BY19,CZ19),0)</f>
        <v>32.74</v>
      </c>
      <c r="Q19" s="13" t="str">
        <f>IF(P19="","",IF(P19=CZ19,$CA$1,IF(P19=BY19,$AZ$1,IF(P19=AX19,$Y$1,""))))</f>
        <v>2021 Elite Canada</v>
      </c>
      <c r="R19" s="13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12.6</v>
      </c>
      <c r="S19" s="13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2021 Elite Canada</v>
      </c>
      <c r="T19" s="13">
        <f>IF(MAX(IF(AO19&gt;=$AY$25,AP19,0),IF(AR19&gt;=$AY$25,AS19,0),IF(AV19&gt;=$AY$25,AW19,0),IF(BP19&gt;=$BZ$25,BQ19,0),IF(BS19&gt;=$BZ$25,BT19,0),IF(BW19&gt;=$BZ$25,BX19,0),IF(CQ19&gt;=$DA$25,CR19,0),IF(CT19&gt;=$DA$25,CU19,0),IF(CX19&gt;=$DA$25,CY19,0))&gt;0,MAX(IF(AO19&gt;=$AY$25,AP19,0),IF(AR19&gt;=$AY$25,AS19,0),IF(AV19&gt;=$AY$25,AW19,0),IF(BP19&gt;=$BZ$25,BQ19,0),IF(BS19&gt;=$BZ$25,BT19,0),IF(BW19&gt;=$BZ$25,BX19,0),IF(CQ19&gt;=$DA$25,CR19,0),IF(CT19&gt;=$DA$25,CU19,0),IF(CX19&gt;=$DA$25,CY19,0),IF(DX19&gt;=$EK$25,DY19,0),IF(EA19&gt;=$EK$25,EB19,0),IF(EE19&gt;=$EK$25,EF19,0),IF(EH19&gt;=$EK$25,EI19,0),IF(FF19&gt;=$FS$25,FG19,0),IF(FI19&gt;=$FS$25,FJ19,0),IF(FM19&gt;=$FS$25,FN19,0),IF(FP19&gt;=$FS$25,FQ19,0),IF(GN19&gt;=$HA$25,GO19,0),IF(GQ19&gt;=$HA$25,GR19,0),IF(GU19&gt;=$HA$25,GV19,0),IF(GX19&gt;=$HA$25,GY19,0),IF(HV19&gt;=$II$25,HW19,0),IF(HY19&gt;=$II$25,HZ19,0),IF(IC19&gt;=$II$25,ID19,0),IF(IF19&gt;=$II$25,IG19,0),IF(JD19&gt;=$JQ$25,JE19,0),IF(JG19&gt;=$JQ$25,JH19,0),IF(JK19&gt;=$JQ$25,JL19,0),IF(JN19&gt;=$JQ$25,JO19,0),IF(KL19&gt;=$KY$25,KM19,0),IF(KO19&gt;=$KY$25,KP19,0),IF(KS19&gt;=$KY$25,KT19,0),IF(KV19&gt;=$KY$25,KW19,0),IF(LT19&gt;=$MG$25,LU19,0),IF(LW19&gt;=$MG$25,LX19,0),IF(MA19&gt;=$MG$25,MB19,0),IF(MD19&gt;=$MG$25,ME19,0),IF(NB19&gt;=$NO$25,NC19,0),IF(NE19&gt;=$NO$25,NF19,0),IF(NI19&gt;=$NO$25,NJ19,0),IF(NL19&gt;=$NO$25,NM19,0),IF(OJ19&gt;=$OW$25,OK19,0),IF(OM19&gt;=$OW$25,ON19,0),IF(OQ19&gt;=$OW$25,OR19,0),IF(OT19&gt;=$OW$25,OU19,0),IF(PR19&gt;=$QE$25,PS19,0),IF(PU19&gt;=$QE$25,PV19,0),IF(PY19&gt;=$QE$25,PZ19,0),IF(QB19&gt;=$QE$25,QC19,0),IF(QZ19&gt;=$RM$25,RA19,0),IF(RC19&gt;=$RM$25,RD19,0),IF(RG19&gt;=$RM$25,RH19,0),IF(RJ19&gt;=$RM$25,RK19,0),IF(SH19&gt;=$SU$25,SI19,0),IF(SK19&gt;=$SU$25,SL19,0),IF(SO19&gt;=$SU$25,SP19,0),IF(SR19&gt;=$SU$25,SS19,0)),0)</f>
        <v>0</v>
      </c>
      <c r="U19" s="13" t="str">
        <f>IF(T19=0,"",IF(OR(T19=CR19,T19=CU19,T19=CY19),$CA$1,IF(OR(T19=BQ19,T19=BT19,T19=BX19),$AZ$1,IF(OR(T19=AP19,T19=AS19,T19=AW19),$Y$1,IF(OR(R19=SI19,R19=SL19,R19=SP19,R19=SS19),$RN$1,IF(OR(R19=RA19,R19=RD19,R19=RH19,R19=RK19),$QF$1,IF(OR(R19=PS19,R19=PV19,R19=PZ19,R19=QC19),$OX$1,IF(OR(R19=OK19,R19=ON19,R19=OR19,R19=OU19),$NP$1,IF(OR(R19=NC19,R19=NF19,R19=NJ19,R19=NM19),$MH$1,IF(OR(R19=LU19,R19=LX19,R19=MB19,R19=ME19),$KZ$1,IF(OR(R19=KM19,R19=KP19,R19=KT19,R19=KW19),$JR$1,IF(OR(R19=JE19,R19=JH19,R19=JL19,R19=JO19),$IJ$1,IF(OR(R19=HW19,R19=HZ19,R19=ID19,R19=IG19),$HB$1,IF(OR(R19=GO19,R19=GR19,R19=GV19,R19=GY19),$FT$1,IF(OR(R19=FG19,R19=FJ19,R19=FN19,R19=FQ19),$EL$1,IF(OR(R19=DY19,R19=EB19,R19=EF19,R19=EI19),$DD$1,""))))))))))))))))</f>
        <v/>
      </c>
      <c r="V19" s="13" t="str">
        <f>IF(MAX(DB19,DC19)&gt;0,MAX(DB19,DC19),"")</f>
        <v/>
      </c>
      <c r="W19" s="16" t="str">
        <f>IF(V19="","",IF(V19=DB19,"("&amp;DB$2&amp;")",IF(V19=DC19,"("&amp;DC$2&amp;")")))</f>
        <v/>
      </c>
      <c r="X19" s="13" t="str">
        <f>IF(V19="","",IF(V19=DB19,IF(V19+IF(L19="",0,L19)=SN19,$RN$1,IF(V19+IF(L19="",0,L19)=RF19,$QF$1,IF(V19+IF(L19="",0,L19)=PX19,$OX$1,IF(V19+IF(L19="",0,L19)=OP19,$NP$1,IF(V19+IF(L19="",0,L19)=NH19,$MH$1,IF(V19+IF(L19="",0,L19)=LZ19,$KZ$1,IF(V19+IF(L19="",0,L19)=KR19,$JR$1,IF(V19+IF(L19="",0,L19)=JJ19,$IJ$1,IF(V19+IF(L19="",0,L19)=IB19,$HB$1,IF(V19+IF(L19="",0,L19)=GT19,$FT$1,IF(V19+IF(L19="",0,L19)=FL19,$EL$1,IF(V19+IF(L19="",0,L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$1)))))))))))))))</f>
        <v/>
      </c>
      <c r="Y19" s="42">
        <v>14.1</v>
      </c>
      <c r="Z19" s="42">
        <v>8.9</v>
      </c>
      <c r="AA19" s="42">
        <v>12.6</v>
      </c>
      <c r="AB19" s="42">
        <v>15.73</v>
      </c>
      <c r="AC19" s="42">
        <v>0</v>
      </c>
      <c r="AD19" s="42">
        <v>1.4</v>
      </c>
      <c r="AE19" s="42">
        <v>0.8</v>
      </c>
      <c r="AF19" s="42">
        <v>2</v>
      </c>
      <c r="AG19" s="42">
        <v>1.7350000000000001</v>
      </c>
      <c r="AH19" s="42">
        <v>0</v>
      </c>
      <c r="AI19" s="42">
        <v>9</v>
      </c>
      <c r="AJ19" s="42">
        <v>5.4</v>
      </c>
      <c r="AK19" s="42">
        <v>8.6</v>
      </c>
      <c r="AL19" s="42">
        <v>9.74</v>
      </c>
      <c r="AM19" s="42">
        <v>0</v>
      </c>
      <c r="AN19" s="51"/>
      <c r="AO19" s="74">
        <f>IF(AA19&gt;0,AA19,"")</f>
        <v>12.6</v>
      </c>
      <c r="AP19" s="74">
        <f>IF(AB19&gt;0,AB19,"")</f>
        <v>15.73</v>
      </c>
      <c r="AQ19" s="76">
        <f>IF(SUM(Y19:AB19)-AC19&gt;0,SUM(Y19:AB19)-AC19,"")</f>
        <v>51.33</v>
      </c>
      <c r="AR19" s="76">
        <f>IF(AF19&gt;0,AF19,"")</f>
        <v>2</v>
      </c>
      <c r="AS19" s="76">
        <f>IF(AG19&gt;0,AG19,"")</f>
        <v>1.7350000000000001</v>
      </c>
      <c r="AT19" s="76">
        <f>IF(SUM(AD19:AG19)-AH19&gt;0,SUM(AD19:AG19)-AH19,"")</f>
        <v>5.9350000000000005</v>
      </c>
      <c r="AU19" s="76">
        <f>IF(AQ19="","",MAX(AQ19,AT19))</f>
        <v>51.33</v>
      </c>
      <c r="AV19" s="76">
        <f>IF(AK19&gt;0,AK19,"")</f>
        <v>8.6</v>
      </c>
      <c r="AW19" s="76">
        <f>IF(AL19&gt;0,AL19,"")</f>
        <v>9.74</v>
      </c>
      <c r="AX19" s="76">
        <f>IF(SUM(AI19:AL19)-AM19&gt;0,SUM(AI19:AL19)-AM19,"")</f>
        <v>32.74</v>
      </c>
      <c r="AY19" s="76">
        <f>IF(SUM(AU19,AX19)&gt;0,SUM(AU19,AX19),"")</f>
        <v>84.07</v>
      </c>
      <c r="AZ19" s="46">
        <v>1.4</v>
      </c>
      <c r="BA19" s="46">
        <v>1</v>
      </c>
      <c r="BB19" s="46">
        <v>2</v>
      </c>
      <c r="BC19" s="46">
        <v>1.7150000000000001</v>
      </c>
      <c r="BD19" s="46">
        <v>0</v>
      </c>
      <c r="BE19" s="46">
        <v>12</v>
      </c>
      <c r="BF19" s="46">
        <v>7.7</v>
      </c>
      <c r="BG19" s="46">
        <v>11</v>
      </c>
      <c r="BH19" s="46">
        <v>13.22</v>
      </c>
      <c r="BI19" s="46">
        <v>0</v>
      </c>
      <c r="BJ19" s="46">
        <v>4.4000000000000004</v>
      </c>
      <c r="BK19" s="46">
        <v>2.8</v>
      </c>
      <c r="BL19" s="46">
        <v>4.5</v>
      </c>
      <c r="BM19" s="46">
        <v>5.03</v>
      </c>
      <c r="BN19" s="46">
        <v>0</v>
      </c>
      <c r="BO19" s="52"/>
      <c r="BP19" s="75">
        <f>IF(BB19&gt;0,BB19,"")</f>
        <v>2</v>
      </c>
      <c r="BQ19" s="75">
        <f>IF(BC19&gt;0,BC19,"")</f>
        <v>1.7150000000000001</v>
      </c>
      <c r="BR19" s="16">
        <f>IF(SUM(AZ19:BC19)-BD19&gt;0,SUM(AZ19:BC19)-BD19,"")</f>
        <v>6.1150000000000002</v>
      </c>
      <c r="BS19" s="16">
        <f>IF(BG19&gt;0,BG19,"")</f>
        <v>11</v>
      </c>
      <c r="BT19" s="16">
        <f>IF(BH19&gt;0,BH19,"")</f>
        <v>13.22</v>
      </c>
      <c r="BU19" s="16">
        <f>IF(SUM(BE19:BH19)-BI19&gt;0,SUM(BE19:BH19)-BI19,"")</f>
        <v>43.92</v>
      </c>
      <c r="BV19" s="16">
        <f>IF(BR19="","",MAX(BR19,BU19))</f>
        <v>43.92</v>
      </c>
      <c r="BW19" s="16">
        <f>IF(BL19&gt;0,BL19,"")</f>
        <v>4.5</v>
      </c>
      <c r="BX19" s="16">
        <f>IF(BM19&gt;0,BM19,"")</f>
        <v>5.03</v>
      </c>
      <c r="BY19" s="16">
        <f>IF(SUM(BJ19:BM19)-BN19&gt;0,SUM(BJ19:BM19)-BN19,"")</f>
        <v>16.73</v>
      </c>
      <c r="BZ19" s="16">
        <f>IF(SUM(BV19,BY19)&gt;0,SUM(BV19,BY19),"")</f>
        <v>60.650000000000006</v>
      </c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51"/>
      <c r="CQ19" s="74" t="str">
        <f>IF(CC19&gt;0,CC19,"")</f>
        <v/>
      </c>
      <c r="CR19" s="74" t="str">
        <f>IF(CD19&gt;0,CD19,"")</f>
        <v/>
      </c>
      <c r="CS19" s="76" t="str">
        <f>IF(SUM(CA19:CD19)-CE19&gt;0,SUM(CA19:CD19)-CE19,"")</f>
        <v/>
      </c>
      <c r="CT19" s="76" t="str">
        <f>IF(CH19&gt;0,CH19,"")</f>
        <v/>
      </c>
      <c r="CU19" s="76" t="str">
        <f>IF(CI19&gt;0,CI19,"")</f>
        <v/>
      </c>
      <c r="CV19" s="76" t="str">
        <f>IF(SUM(CF19:CI19)-CJ19&gt;0,SUM(CF19:CI19)-CJ19,"")</f>
        <v/>
      </c>
      <c r="CW19" s="76" t="str">
        <f>IF(CS19="","",MAX(CS19,CV19))</f>
        <v/>
      </c>
      <c r="CX19" s="76" t="str">
        <f>IF(CM19&gt;0,CM19,"")</f>
        <v/>
      </c>
      <c r="CY19" s="76" t="str">
        <f>IF(CN19&gt;0,CN19,"")</f>
        <v/>
      </c>
      <c r="CZ19" s="76" t="str">
        <f>IF(SUM(CK19:CN19)-CO19&gt;0,SUM(CK19:CN19)-CO19,"")</f>
        <v/>
      </c>
      <c r="DA19" s="76" t="str">
        <f>IF(SUM(CW19,CZ19)&gt;0,SUM(CW19,CZ19),"")</f>
        <v/>
      </c>
      <c r="DB19" s="87" t="str">
        <f>IF(L19&gt;=0.001,IF(MAX(ED19,FL19,GT19,IB19,JJ19,KR19,LZ19,NH19,OP19,PX19,RF19,SN19)-IF(L19="",0,L19)&gt;0.001,MAX(ED19,FL19,GT19,IB19,JJ19,KR19,LZ19,NH19,OP19,PX19,RF19,SN19)-IF(L19="",0,L19),""),"")</f>
        <v/>
      </c>
      <c r="DC19" s="87" t="str">
        <f>IF(P19&gt;=0.001,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,"")</f>
        <v/>
      </c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76" t="str">
        <f>IF(DF19&gt;0,DF19,"")</f>
        <v/>
      </c>
      <c r="DY19" s="76" t="str">
        <f>IF(DG19&gt;0,DG19,"")</f>
        <v/>
      </c>
      <c r="DZ19" s="76" t="str">
        <f>IF(SUM(DD19:DG19)-DH19&gt;0,SUM(DD19:DG19)-DH19,"")</f>
        <v/>
      </c>
      <c r="EA19" s="76" t="str">
        <f>IF(DK19&gt;0,DK19,"")</f>
        <v/>
      </c>
      <c r="EB19" s="76" t="str">
        <f>IF(DL19&gt;0,DL19,"")</f>
        <v/>
      </c>
      <c r="EC19" s="76" t="str">
        <f>IF(SUM(DI19:DL19)-DM19&gt;0,SUM(DI19:DL19)-DM19,"")</f>
        <v/>
      </c>
      <c r="ED19" s="76" t="str">
        <f>IF(MAX(DZ19,EC19)&gt;0,MAX(DZ19,EC19),"")</f>
        <v/>
      </c>
      <c r="EE19" s="76" t="str">
        <f>IF(DP19&gt;0,DP19,"")</f>
        <v/>
      </c>
      <c r="EF19" s="76" t="str">
        <f>IF(DQ19&gt;0,DQ19,"")</f>
        <v/>
      </c>
      <c r="EG19" s="76" t="str">
        <f>IF(SUM(DN19:DQ19)-DR19&gt;0,SUM(DN19:DQ19)-DR19,"")</f>
        <v/>
      </c>
      <c r="EH19" s="76" t="str">
        <f>IF(DU19&gt;0,DU19,"")</f>
        <v/>
      </c>
      <c r="EI19" s="76" t="str">
        <f>IF(DV19&gt;0,DV19,"")</f>
        <v/>
      </c>
      <c r="EJ19" s="76" t="str">
        <f>IF(SUM(DS19:DV19)-DW19&gt;0,SUM(DS19:DV19)-DW19,"")</f>
        <v/>
      </c>
      <c r="EK19" s="76" t="str">
        <f>IF(SUM(ED19,EJ19)&gt;0,SUM(ED19,EJ19),"")</f>
        <v/>
      </c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16" t="str">
        <f>IF(EN19&gt;0,EN19,"")</f>
        <v/>
      </c>
      <c r="FG19" s="16" t="str">
        <f>IF(EO19&gt;0,EO19,"")</f>
        <v/>
      </c>
      <c r="FH19" s="16" t="str">
        <f>IF(SUM(EL19:EO19)-EP19&gt;0,SUM(EL19:EO19)-EP19,"")</f>
        <v/>
      </c>
      <c r="FI19" s="16" t="str">
        <f>IF(ES19&gt;0,ES19,"")</f>
        <v/>
      </c>
      <c r="FJ19" s="16" t="str">
        <f>IF(ET19&gt;0,ET19,"")</f>
        <v/>
      </c>
      <c r="FK19" s="16" t="str">
        <f>IF(SUM(EQ19:ET19)-EU19&gt;0,SUM(EQ19:ET19)-EU19,"")</f>
        <v/>
      </c>
      <c r="FL19" s="16" t="str">
        <f>IF(MAX(FH19,FK19)&gt;0,MAX(FH19,FK19),"")</f>
        <v/>
      </c>
      <c r="FM19" s="16" t="str">
        <f>IF(EX19&gt;0,EX19,"")</f>
        <v/>
      </c>
      <c r="FN19" s="16" t="str">
        <f>IF(EY19&gt;0,EY19,"")</f>
        <v/>
      </c>
      <c r="FO19" s="16" t="str">
        <f>IF(SUM(EV19:EY19)-EZ19&gt;0,SUM(EV19:EY19)-EZ19,"")</f>
        <v/>
      </c>
      <c r="FP19" s="16" t="str">
        <f>IF(FC19&gt;0,FC19,"")</f>
        <v/>
      </c>
      <c r="FQ19" s="16" t="str">
        <f>IF(FD19&gt;0,FD19,"")</f>
        <v/>
      </c>
      <c r="FR19" s="16" t="str">
        <f>IF(SUM(FA19:FD19)-FE19&gt;0,SUM(FA19:FD19)-FE19,"")</f>
        <v/>
      </c>
      <c r="FS19" s="16" t="str">
        <f>IF(SUM(FL19,FR19)&gt;0,SUM(FL19,FR19),"")</f>
        <v/>
      </c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76" t="str">
        <f>IF(FV19&gt;0,FV19,"")</f>
        <v/>
      </c>
      <c r="GO19" s="76" t="str">
        <f>IF(FW19&gt;0,FW19,"")</f>
        <v/>
      </c>
      <c r="GP19" s="76" t="str">
        <f>IF(SUM(FT19:FW19)-FX19&gt;0,SUM(FT19:FW19)-FX19,"")</f>
        <v/>
      </c>
      <c r="GQ19" s="76" t="str">
        <f>IF(GA19&gt;0,GA19,"")</f>
        <v/>
      </c>
      <c r="GR19" s="76" t="str">
        <f>IF(GB19&gt;0,GB19,"")</f>
        <v/>
      </c>
      <c r="GS19" s="76" t="str">
        <f>IF(SUM(FY19:GB19)-GC19&gt;0,SUM(FY19:GB19)-GC19,"")</f>
        <v/>
      </c>
      <c r="GT19" s="76" t="str">
        <f>IF(MAX(GP19,GS19)&gt;0,MAX(GP19,GS19),"")</f>
        <v/>
      </c>
      <c r="GU19" s="76" t="str">
        <f>IF(GF19&gt;0,GF19,"")</f>
        <v/>
      </c>
      <c r="GV19" s="76" t="str">
        <f>IF(GG19&gt;0,GG19,"")</f>
        <v/>
      </c>
      <c r="GW19" s="76" t="str">
        <f>IF(SUM(GD19:GG19)-GH19&gt;0,SUM(GD19:GG19)-GH19,"")</f>
        <v/>
      </c>
      <c r="GX19" s="76" t="str">
        <f>IF(GK19&gt;0,GK19,"")</f>
        <v/>
      </c>
      <c r="GY19" s="76" t="str">
        <f>IF(GL19&gt;0,GL19,"")</f>
        <v/>
      </c>
      <c r="GZ19" s="76" t="str">
        <f>IF(SUM(GI19:GL19)-GM19&gt;0,SUM(GI19:GL19)-GM19,"")</f>
        <v/>
      </c>
      <c r="HA19" s="76" t="str">
        <f>IF(SUM(GT19,GZ19)&gt;0,SUM(GT19,GZ19),"")</f>
        <v/>
      </c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16" t="str">
        <f>IF(HD19&gt;0,HD19,"")</f>
        <v/>
      </c>
      <c r="HW19" s="16" t="str">
        <f>IF(HE19&gt;0,HE19,"")</f>
        <v/>
      </c>
      <c r="HX19" s="16" t="str">
        <f>IF(SUM(HB19:HE19)-HF19&gt;0,SUM(HB19:HE19)-HF19,"")</f>
        <v/>
      </c>
      <c r="HY19" s="16" t="str">
        <f>IF(HI19&gt;0,HI19,"")</f>
        <v/>
      </c>
      <c r="HZ19" s="16" t="str">
        <f>IF(HJ19&gt;0,HJ19,"")</f>
        <v/>
      </c>
      <c r="IA19" s="16" t="str">
        <f>IF(SUM(HG19:HJ19)-HK19&gt;0,SUM(HG19:HJ19)-HK19,"")</f>
        <v/>
      </c>
      <c r="IB19" s="16" t="str">
        <f>IF(MAX(HX19,IA19)&gt;0,MAX(HX19,IA19),"")</f>
        <v/>
      </c>
      <c r="IC19" s="16" t="str">
        <f>IF(HN19&gt;0,HN19,"")</f>
        <v/>
      </c>
      <c r="ID19" s="16" t="str">
        <f>IF(HO19&gt;0,HO19,"")</f>
        <v/>
      </c>
      <c r="IE19" s="16" t="str">
        <f>IF(SUM(HL19:HO19)-HP19&gt;0,SUM(HL19:HO19)-HP19,"")</f>
        <v/>
      </c>
      <c r="IF19" s="16" t="str">
        <f>IF(HS19&gt;0,HS19,"")</f>
        <v/>
      </c>
      <c r="IG19" s="16" t="str">
        <f>IF(HT19&gt;0,HT19,"")</f>
        <v/>
      </c>
      <c r="IH19" s="16" t="str">
        <f>IF(SUM(HQ19:HT19)-HU19&gt;0,SUM(HQ19:HT19)-HU19,"")</f>
        <v/>
      </c>
      <c r="II19" s="16" t="str">
        <f>IF(SUM(IB19,IH19)&gt;0,SUM(IB19,IH19),"")</f>
        <v/>
      </c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76" t="str">
        <f>IF(IL19&gt;0,IL19,"")</f>
        <v/>
      </c>
      <c r="JE19" s="76" t="str">
        <f>IF(IM19&gt;0,IM19,"")</f>
        <v/>
      </c>
      <c r="JF19" s="76" t="str">
        <f>IF(SUM(IJ19:IM19)-IN19&gt;0,SUM(IJ19:IM19)-IN19,"")</f>
        <v/>
      </c>
      <c r="JG19" s="76" t="str">
        <f>IF(IQ19&gt;0,IQ19,"")</f>
        <v/>
      </c>
      <c r="JH19" s="76" t="str">
        <f>IF(IR19&gt;0,IR19,"")</f>
        <v/>
      </c>
      <c r="JI19" s="76" t="str">
        <f>IF(SUM(IO19:IR19)-IS19&gt;0,SUM(IO19:IR19)-IS19,"")</f>
        <v/>
      </c>
      <c r="JJ19" s="76" t="str">
        <f>IF(MAX(JF19,JI19)&gt;0,MAX(JF19,JI19),"")</f>
        <v/>
      </c>
      <c r="JK19" s="76" t="str">
        <f>IF(IV19&gt;0,IV19,"")</f>
        <v/>
      </c>
      <c r="JL19" s="76" t="str">
        <f>IF(IW19&gt;0,IW19,"")</f>
        <v/>
      </c>
      <c r="JM19" s="76" t="str">
        <f>IF(SUM(IT19:IW19)-IX19&gt;0,SUM(IT19:IW19)-IX19,"")</f>
        <v/>
      </c>
      <c r="JN19" s="76" t="str">
        <f>IF(JA19&gt;0,JA19,"")</f>
        <v/>
      </c>
      <c r="JO19" s="76" t="str">
        <f>IF(JB19&gt;0,JB19,"")</f>
        <v/>
      </c>
      <c r="JP19" s="76" t="str">
        <f>IF(SUM(IY19:JB19)-JC19&gt;0,SUM(IY19:JB19)-JC19,"")</f>
        <v/>
      </c>
      <c r="JQ19" s="76" t="str">
        <f>IF(SUM(JJ19,JP19)&gt;0,SUM(JJ19,JP19),"")</f>
        <v/>
      </c>
      <c r="JR19" s="26"/>
      <c r="JS19" s="26"/>
      <c r="JT19" s="26"/>
      <c r="JU19" s="26"/>
      <c r="JV19" s="26"/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26"/>
      <c r="KJ19" s="26"/>
      <c r="KK19" s="26"/>
      <c r="KL19" s="16" t="str">
        <f>IF(JT19&gt;0,JT19,"")</f>
        <v/>
      </c>
      <c r="KM19" s="16" t="str">
        <f>IF(JU19&gt;0,JU19,"")</f>
        <v/>
      </c>
      <c r="KN19" s="16" t="str">
        <f>IF(SUM(JR19:JU19)-JV19&gt;0,SUM(JR19:JU19)-JV19,"")</f>
        <v/>
      </c>
      <c r="KO19" s="16" t="str">
        <f>IF(JY19&gt;0,JY19,"")</f>
        <v/>
      </c>
      <c r="KP19" s="16" t="str">
        <f>IF(JZ19&gt;0,JZ19,"")</f>
        <v/>
      </c>
      <c r="KQ19" s="16" t="str">
        <f>IF(SUM(JW19:JZ19)-KA19&gt;0,SUM(JW19:JZ19)-KA19,"")</f>
        <v/>
      </c>
      <c r="KR19" s="16" t="str">
        <f>IF(MAX(KN19,KQ19)&gt;0,MAX(KN19,KQ19),"")</f>
        <v/>
      </c>
      <c r="KS19" s="16" t="str">
        <f>IF(KD19&gt;0,KD19,"")</f>
        <v/>
      </c>
      <c r="KT19" s="16" t="str">
        <f>IF(KE19&gt;0,KE19,"")</f>
        <v/>
      </c>
      <c r="KU19" s="16" t="str">
        <f>IF(SUM(KB19:KE19)-KF19&gt;0,SUM(KB19:KE19)-KF19,"")</f>
        <v/>
      </c>
      <c r="KV19" s="16" t="str">
        <f>IF(KI19&gt;0,KI19,"")</f>
        <v/>
      </c>
      <c r="KW19" s="16" t="str">
        <f>IF(KJ19&gt;0,KJ19,"")</f>
        <v/>
      </c>
      <c r="KX19" s="16" t="str">
        <f>IF(SUM(KG19:KJ19)-KK19&gt;0,SUM(KG19:KJ19)-KK19,"")</f>
        <v/>
      </c>
      <c r="KY19" s="16" t="str">
        <f>IF(SUM(KR19,KX19)&gt;0,SUM(KR19,KX19),"")</f>
        <v/>
      </c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25"/>
      <c r="LQ19" s="25"/>
      <c r="LR19" s="25"/>
      <c r="LS19" s="25"/>
      <c r="LT19" s="76" t="str">
        <f>IF(LB19&gt;0,LB19,"")</f>
        <v/>
      </c>
      <c r="LU19" s="76" t="str">
        <f>IF(LC19&gt;0,LC19,"")</f>
        <v/>
      </c>
      <c r="LV19" s="76" t="str">
        <f>IF(SUM(KZ19:LC19)-LD19&gt;0,SUM(KZ19:LC19)-LD19,"")</f>
        <v/>
      </c>
      <c r="LW19" s="76" t="str">
        <f>IF(LG19&gt;0,LG19,"")</f>
        <v/>
      </c>
      <c r="LX19" s="76" t="str">
        <f>IF(LH19&gt;0,LH19,"")</f>
        <v/>
      </c>
      <c r="LY19" s="76" t="str">
        <f>IF(SUM(LE19:LH19)-LI19&gt;0,SUM(LE19:LH19)-LI19,"")</f>
        <v/>
      </c>
      <c r="LZ19" s="76" t="str">
        <f>IF(MAX(LV19,LY19)&gt;0,MAX(LV19,LY19),"")</f>
        <v/>
      </c>
      <c r="MA19" s="76" t="str">
        <f>IF(LL19&gt;0,LL19,"")</f>
        <v/>
      </c>
      <c r="MB19" s="76" t="str">
        <f>IF(LM19&gt;0,LM19,"")</f>
        <v/>
      </c>
      <c r="MC19" s="76" t="str">
        <f>IF(SUM(LJ19:LM19)-LN19&gt;0,SUM(LJ19:LM19)-LN19,"")</f>
        <v/>
      </c>
      <c r="MD19" s="76" t="str">
        <f>IF(LQ19&gt;0,LQ19,"")</f>
        <v/>
      </c>
      <c r="ME19" s="76" t="str">
        <f>IF(LR19&gt;0,LR19,"")</f>
        <v/>
      </c>
      <c r="MF19" s="76" t="str">
        <f>IF(SUM(LO19:LR19)-LS19&gt;0,SUM(LO19:LR19)-LS19,"")</f>
        <v/>
      </c>
      <c r="MG19" s="76" t="str">
        <f>IF(SUM(LZ19,MF19)&gt;0,SUM(LZ19,MF19),"")</f>
        <v/>
      </c>
      <c r="MH19" s="26"/>
      <c r="MI19" s="26"/>
      <c r="MJ19" s="26"/>
      <c r="MK19" s="26"/>
      <c r="ML19" s="26"/>
      <c r="MM19" s="26"/>
      <c r="MN19" s="26"/>
      <c r="MO19" s="26"/>
      <c r="MP19" s="26"/>
      <c r="MQ19" s="26"/>
      <c r="MR19" s="26"/>
      <c r="MS19" s="26"/>
      <c r="MT19" s="26"/>
      <c r="MU19" s="26"/>
      <c r="MV19" s="26"/>
      <c r="MW19" s="26"/>
      <c r="MX19" s="26"/>
      <c r="MY19" s="26"/>
      <c r="MZ19" s="26"/>
      <c r="NA19" s="26"/>
      <c r="NB19" s="16" t="str">
        <f>IF(MJ19&gt;0,MJ19,"")</f>
        <v/>
      </c>
      <c r="NC19" s="16" t="str">
        <f>IF(MK19&gt;0,MK19,"")</f>
        <v/>
      </c>
      <c r="ND19" s="16" t="str">
        <f>IF(SUM(MH19:MK19)-ML19&gt;0,SUM(MH19:MK19)-ML19,"")</f>
        <v/>
      </c>
      <c r="NE19" s="16" t="str">
        <f>IF(MO19&gt;0,MO19,"")</f>
        <v/>
      </c>
      <c r="NF19" s="16" t="str">
        <f>IF(MP19&gt;0,MP19,"")</f>
        <v/>
      </c>
      <c r="NG19" s="16" t="str">
        <f>IF(SUM(MM19:MP19)-MQ19&gt;0,SUM(MM19:MP19)-MQ19,"")</f>
        <v/>
      </c>
      <c r="NH19" s="16" t="str">
        <f>IF(MAX(ND19,NG19)&gt;0,MAX(ND19,NG19),"")</f>
        <v/>
      </c>
      <c r="NI19" s="16" t="str">
        <f>IF(MT19&gt;0,MT19,"")</f>
        <v/>
      </c>
      <c r="NJ19" s="16" t="str">
        <f>IF(MU19&gt;0,MU19,"")</f>
        <v/>
      </c>
      <c r="NK19" s="16" t="str">
        <f>IF(SUM(MR19:MU19)-MV19&gt;0,SUM(MR19:MU19)-MV19,"")</f>
        <v/>
      </c>
      <c r="NL19" s="16" t="str">
        <f>IF(MY19&gt;0,MY19,"")</f>
        <v/>
      </c>
      <c r="NM19" s="16" t="str">
        <f>IF(MZ19&gt;0,MZ19,"")</f>
        <v/>
      </c>
      <c r="NN19" s="16" t="str">
        <f>IF(SUM(MW19:MZ19)-NA19&gt;0,SUM(MW19:MZ19)-NA19,"")</f>
        <v/>
      </c>
      <c r="NO19" s="16" t="str">
        <f>IF(SUM(NH19,NN19)&gt;0,SUM(NH19,NN19),"")</f>
        <v/>
      </c>
      <c r="NP19" s="25"/>
      <c r="NQ19" s="25"/>
      <c r="NR19" s="25"/>
      <c r="NS19" s="25"/>
      <c r="NT19" s="25"/>
      <c r="NU19" s="25"/>
      <c r="NV19" s="25"/>
      <c r="NW19" s="25"/>
      <c r="NX19" s="25"/>
      <c r="NY19" s="25"/>
      <c r="NZ19" s="25"/>
      <c r="OA19" s="25"/>
      <c r="OB19" s="25"/>
      <c r="OC19" s="25"/>
      <c r="OD19" s="25"/>
      <c r="OE19" s="25"/>
      <c r="OF19" s="25"/>
      <c r="OG19" s="25"/>
      <c r="OH19" s="25"/>
      <c r="OI19" s="25"/>
      <c r="OJ19" s="76" t="str">
        <f>IF(NR19&gt;0,NR19,"")</f>
        <v/>
      </c>
      <c r="OK19" s="76" t="str">
        <f>IF(NS19&gt;0,NS19,"")</f>
        <v/>
      </c>
      <c r="OL19" s="76" t="str">
        <f>IF(SUM(NP19:NS19)-NT19&gt;0,SUM(NP19:NS19)-NT19,"")</f>
        <v/>
      </c>
      <c r="OM19" s="76" t="str">
        <f>IF(NW19&gt;0,NW19,"")</f>
        <v/>
      </c>
      <c r="ON19" s="76" t="str">
        <f>IF(NX19&gt;0,NX19,"")</f>
        <v/>
      </c>
      <c r="OO19" s="76" t="str">
        <f>IF(SUM(NU19:NX19)-NY19&gt;0,SUM(NU19:NX19)-NY19,"")</f>
        <v/>
      </c>
      <c r="OP19" s="76" t="str">
        <f>IF(MAX(OL19,OO19)&gt;0,MAX(OL19,OO19),"")</f>
        <v/>
      </c>
      <c r="OQ19" s="76" t="str">
        <f>IF(OB19&gt;0,OB19,"")</f>
        <v/>
      </c>
      <c r="OR19" s="76" t="str">
        <f>IF(OC19&gt;0,OC19,"")</f>
        <v/>
      </c>
      <c r="OS19" s="76" t="str">
        <f>IF(SUM(NZ19:OC19)-OD19&gt;0,SUM(NZ19:OC19)-OD19,"")</f>
        <v/>
      </c>
      <c r="OT19" s="76" t="str">
        <f>IF(OG19&gt;0,OG19,"")</f>
        <v/>
      </c>
      <c r="OU19" s="76" t="str">
        <f>IF(OH19&gt;0,OH19,"")</f>
        <v/>
      </c>
      <c r="OV19" s="76" t="str">
        <f>IF(SUM(OE19:OH19)-OI19&gt;0,SUM(OE19:OH19)-OI19,"")</f>
        <v/>
      </c>
      <c r="OW19" s="76" t="str">
        <f>IF(SUM(OP19,OV19)&gt;0,SUM(OP19,OV19),"")</f>
        <v/>
      </c>
      <c r="OX19" s="26"/>
      <c r="OY19" s="26"/>
      <c r="OZ19" s="26"/>
      <c r="PA19" s="26"/>
      <c r="PB19" s="26"/>
      <c r="PC19" s="26"/>
      <c r="PD19" s="26"/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16" t="str">
        <f>IF(OZ19&gt;0,OZ19,"")</f>
        <v/>
      </c>
      <c r="PS19" s="16" t="str">
        <f>IF(PA19&gt;0,PA19,"")</f>
        <v/>
      </c>
      <c r="PT19" s="16" t="str">
        <f>IF(SUM(OX19:PA19)-PB19&gt;0,SUM(OX19:PA19)-PB19,"")</f>
        <v/>
      </c>
      <c r="PU19" s="16" t="str">
        <f>IF(PE19&gt;0,PE19,"")</f>
        <v/>
      </c>
      <c r="PV19" s="16" t="str">
        <f>IF(PF19&gt;0,PF19,"")</f>
        <v/>
      </c>
      <c r="PW19" s="16" t="str">
        <f>IF(SUM(PC19:PF19)-PG19&gt;0,SUM(PC19:PF19)-PG19,"")</f>
        <v/>
      </c>
      <c r="PX19" s="16" t="str">
        <f>IF(MAX(PT19,PW19)&gt;0,MAX(PT19,PW19),"")</f>
        <v/>
      </c>
      <c r="PY19" s="16" t="str">
        <f>IF(PJ19&gt;0,PJ19,"")</f>
        <v/>
      </c>
      <c r="PZ19" s="16" t="str">
        <f>IF(PK19&gt;0,PK19,"")</f>
        <v/>
      </c>
      <c r="QA19" s="16" t="str">
        <f>IF(SUM(PH19:PK19)-PL19&gt;0,SUM(PH19:PK19)-PL19,"")</f>
        <v/>
      </c>
      <c r="QB19" s="16" t="str">
        <f>IF(PO19&gt;0,PO19,"")</f>
        <v/>
      </c>
      <c r="QC19" s="16" t="str">
        <f>IF(PP19&gt;0,PP19,"")</f>
        <v/>
      </c>
      <c r="QD19" s="16" t="str">
        <f>IF(SUM(PM19:PP19)-PQ19&gt;0,SUM(PM19:PP19)-PQ19,"")</f>
        <v/>
      </c>
      <c r="QE19" s="16" t="str">
        <f>IF(SUM(PX19,QD19)&gt;0,SUM(PX19,QD19),"")</f>
        <v/>
      </c>
      <c r="QF19" s="25"/>
      <c r="QG19" s="25"/>
      <c r="QH19" s="25"/>
      <c r="QI19" s="25"/>
      <c r="QJ19" s="25"/>
      <c r="QK19" s="25"/>
      <c r="QL19" s="25"/>
      <c r="QM19" s="25"/>
      <c r="QN19" s="25"/>
      <c r="QO19" s="25"/>
      <c r="QP19" s="25"/>
      <c r="QQ19" s="25"/>
      <c r="QR19" s="25"/>
      <c r="QS19" s="25"/>
      <c r="QT19" s="25"/>
      <c r="QU19" s="25"/>
      <c r="QV19" s="25"/>
      <c r="QW19" s="25"/>
      <c r="QX19" s="25"/>
      <c r="QY19" s="25"/>
      <c r="QZ19" s="76" t="str">
        <f>IF(QH19&gt;0,QH19,"")</f>
        <v/>
      </c>
      <c r="RA19" s="76" t="str">
        <f>IF(QI19&gt;0,QI19,"")</f>
        <v/>
      </c>
      <c r="RB19" s="76" t="str">
        <f>IF(SUM(QF19:QI19)-QJ19&gt;0,SUM(QF19:QI19)-QJ19,"")</f>
        <v/>
      </c>
      <c r="RC19" s="76" t="str">
        <f>IF(QM19&gt;0,QM19,"")</f>
        <v/>
      </c>
      <c r="RD19" s="76" t="str">
        <f>IF(QN19&gt;0,QN19,"")</f>
        <v/>
      </c>
      <c r="RE19" s="76" t="str">
        <f>IF(SUM(QK19:QN19)-QO19&gt;0,SUM(QK19:QN19)-QO19,"")</f>
        <v/>
      </c>
      <c r="RF19" s="76" t="str">
        <f>IF(MAX(RB19,RE19)&gt;0,MAX(RB19,RE19),"")</f>
        <v/>
      </c>
      <c r="RG19" s="76" t="str">
        <f>IF(QR19&gt;0,QR19,"")</f>
        <v/>
      </c>
      <c r="RH19" s="76" t="str">
        <f>IF(QS19&gt;0,QS19,"")</f>
        <v/>
      </c>
      <c r="RI19" s="76" t="str">
        <f>IF(SUM(QP19:QS19)-QT19&gt;0,SUM(QP19:QS19)-QT19,"")</f>
        <v/>
      </c>
      <c r="RJ19" s="76" t="str">
        <f>IF(QW19&gt;0,QW19,"")</f>
        <v/>
      </c>
      <c r="RK19" s="76" t="str">
        <f>IF(QX19&gt;0,QX19,"")</f>
        <v/>
      </c>
      <c r="RL19" s="76" t="str">
        <f>IF(SUM(QU19:QX19)-QY19&gt;0,SUM(QU19:QX19)-QY19,"")</f>
        <v/>
      </c>
      <c r="RM19" s="76" t="str">
        <f>IF(SUM(RF19,RL19)&gt;0,SUM(RF19,RL19),"")</f>
        <v/>
      </c>
      <c r="RN19" s="26"/>
      <c r="RO19" s="26"/>
      <c r="RP19" s="26"/>
      <c r="RQ19" s="26"/>
      <c r="RR19" s="26"/>
      <c r="RS19" s="26"/>
      <c r="RT19" s="26"/>
      <c r="RU19" s="26"/>
      <c r="RV19" s="26"/>
      <c r="RW19" s="26"/>
      <c r="RX19" s="26"/>
      <c r="RY19" s="26"/>
      <c r="RZ19" s="26"/>
      <c r="SA19" s="26"/>
      <c r="SB19" s="26"/>
      <c r="SC19" s="26"/>
      <c r="SD19" s="26"/>
      <c r="SE19" s="26"/>
      <c r="SF19" s="26"/>
      <c r="SG19" s="26"/>
      <c r="SH19" s="16" t="str">
        <f>IF(RP19&gt;0,RP19,"")</f>
        <v/>
      </c>
      <c r="SI19" s="16" t="str">
        <f>IF(RQ19&gt;0,RQ19,"")</f>
        <v/>
      </c>
      <c r="SJ19" s="16" t="str">
        <f>IF(SUM(RN19:RQ19)-RR19&gt;0,SUM(RN19:RQ19)-RR19,"")</f>
        <v/>
      </c>
      <c r="SK19" s="16" t="str">
        <f>IF(RU19&gt;0,RU19,"")</f>
        <v/>
      </c>
      <c r="SL19" s="16" t="str">
        <f>IF(RV19&gt;0,RV19,"")</f>
        <v/>
      </c>
      <c r="SM19" s="16" t="str">
        <f>IF(SUM(RS19:RV19)-RW19&gt;0,SUM(RS19:RV19)-RW19,"")</f>
        <v/>
      </c>
      <c r="SN19" s="16" t="str">
        <f>IF(MAX(SJ19,SM19)&gt;0,MAX(SJ19,SM19),"")</f>
        <v/>
      </c>
      <c r="SO19" s="16" t="str">
        <f>IF(RZ19&gt;0,RZ19,"")</f>
        <v/>
      </c>
      <c r="SP19" s="16" t="str">
        <f>IF(SA19&gt;0,SA19,"")</f>
        <v/>
      </c>
      <c r="SQ19" s="16" t="str">
        <f>IF(SUM(RX19:SA19)-SB19&gt;0,SUM(RX19:SA19)-SB19,"")</f>
        <v/>
      </c>
      <c r="SR19" s="16" t="str">
        <f>IF(SE19&gt;0,SE19,"")</f>
        <v/>
      </c>
      <c r="SS19" s="16" t="str">
        <f>IF(SF19&gt;0,SF19,"")</f>
        <v/>
      </c>
      <c r="ST19" s="16" t="str">
        <f>IF(SUM(SC19:SF19)-SG19&gt;0,SUM(SC19:SF19)-SG19,"")</f>
        <v/>
      </c>
      <c r="SU19" s="16" t="str">
        <f>IF(SUM(SN19,ST19)&gt;0,SUM(SN19,ST19),"")</f>
        <v/>
      </c>
      <c r="SV19" s="42">
        <f>IF($CP19="P",CA19,(CA19+AZ19)/2)</f>
        <v>0.7</v>
      </c>
      <c r="SW19" s="42">
        <f>IF($CP19="P",CB19,(CB19+BA19)/2)</f>
        <v>0.5</v>
      </c>
      <c r="SX19" s="42">
        <f>IF($CP19="P",CC19,(CC19+BB19)/2)</f>
        <v>1</v>
      </c>
      <c r="SY19" s="42">
        <f>IF($CP19="P",CD19,(CD19+BC19)/2)</f>
        <v>0.85750000000000004</v>
      </c>
      <c r="SZ19" s="42">
        <f>IF($CP19="P",CE19,(CE19+BD19)/2)</f>
        <v>0</v>
      </c>
      <c r="TA19" s="42">
        <f>IF($CP19="P",CF19,(CF19+BE19)/2)</f>
        <v>6</v>
      </c>
      <c r="TB19" s="42">
        <f>IF($CP19="P",CG19,(CG19+BF19)/2)</f>
        <v>3.85</v>
      </c>
      <c r="TC19" s="42">
        <f>IF($CP19="P",CH19,(CH19+BG19)/2)</f>
        <v>5.5</v>
      </c>
      <c r="TD19" s="42">
        <f>IF($CP19="P",CI19,(CI19+BH19)/2)</f>
        <v>6.61</v>
      </c>
      <c r="TE19" s="42">
        <f>IF($CP19="P",CJ19,(CJ19+BI19)/2)</f>
        <v>0</v>
      </c>
      <c r="TF19" s="42">
        <f>IF($CP19="P",CK19,(CK19+BJ19)/2)</f>
        <v>2.2000000000000002</v>
      </c>
      <c r="TG19" s="42">
        <f>IF($CP19="P",CL19,(CL19+BK19)/2)</f>
        <v>1.4</v>
      </c>
      <c r="TH19" s="42">
        <f>IF($CP19="P",CM19,(CM19+BL19)/2)</f>
        <v>2.25</v>
      </c>
      <c r="TI19" s="42">
        <f>IF($CP19="P",CN19,(CN19+BM19)/2)</f>
        <v>2.5150000000000001</v>
      </c>
      <c r="TJ19" s="42">
        <f>IF($CP19="P",CO19,(CO19+BN19)/2)</f>
        <v>0</v>
      </c>
      <c r="TK19" s="51" t="s">
        <v>61</v>
      </c>
      <c r="TL19" s="76">
        <f>IF(SX19&gt;0,SX19,"")</f>
        <v>1</v>
      </c>
      <c r="TM19" s="76">
        <f>IF(SY19&gt;0,SY19,"")</f>
        <v>0.85750000000000004</v>
      </c>
      <c r="TN19" s="76">
        <f>IF(SUM(SV19:SY19)-SZ19&gt;0,SUM(SV19:SY19)-SZ19,"")</f>
        <v>3.0575000000000001</v>
      </c>
      <c r="TO19" s="76">
        <f>IF(TC19&gt;0,TC19,"")</f>
        <v>5.5</v>
      </c>
      <c r="TP19" s="76">
        <f>IF(TD19&gt;0,TD19,"")</f>
        <v>6.61</v>
      </c>
      <c r="TQ19" s="76">
        <f>IF(SUM(TA19:TD19)-TE19&gt;0,SUM(TA19:TD19)-TE19,"")</f>
        <v>21.96</v>
      </c>
      <c r="TR19" s="76">
        <f>IF(MAX(TN19,TQ19)&gt;0,MAX(TN19,TQ19),"")</f>
        <v>21.96</v>
      </c>
      <c r="TS19" s="76">
        <f>IF(TH19&gt;0,TH19,"")</f>
        <v>2.25</v>
      </c>
      <c r="TT19" s="76">
        <f>IF(TI19&gt;0,TI19,"")</f>
        <v>2.5150000000000001</v>
      </c>
      <c r="TU19" s="76">
        <f>IF(SUM(TF19:TI19)-TJ19&gt;0,SUM(TF19:TI19)-TJ19,"")</f>
        <v>8.3650000000000002</v>
      </c>
      <c r="TV19" s="76">
        <f>IF(SUM(TR19,TU19)&gt;0,SUM(TR19,TU19),"")</f>
        <v>30.325000000000003</v>
      </c>
    </row>
    <row r="20" spans="1:542" x14ac:dyDescent="0.2">
      <c r="A20" s="5" t="str" cm="1">
        <f t="array" ref="A20">IF(AND(F20&lt;&gt;"",G20&lt;&gt;""),SUMPRODUCT((F$4:F$23&lt;&gt;"")*(G$4:G$23&lt;&gt;"")*(E$4:E$23&gt;E20))+1,IF(G20&lt;&gt;"",SUMPRODUCT((H$4:H$23="No DD")*(E$4:E$23&gt;E20))+1+SUMPRODUCT((F$4:F$23&lt;&gt;"")*(G$4:G$23&lt;&gt;"")),""))</f>
        <v/>
      </c>
      <c r="B20" s="6" t="s">
        <v>83</v>
      </c>
      <c r="C20" s="7" t="s">
        <v>82</v>
      </c>
      <c r="D20" s="18">
        <v>2001</v>
      </c>
      <c r="E20" s="14">
        <f>SUM(J20:V20)+SUM(J20:T20)*0.0000001+SUM(J20)*0.0000000000001</f>
        <v>130.00001300000491</v>
      </c>
      <c r="F20" s="3" t="str">
        <f>IF(OR(AND(AO20&gt;=AY$25,AO20&lt;&gt;"",AQ20&gt;=AY$29,AQ20&lt;&gt;"",AN20=""),AND(AR20&gt;=AY$25,AR20&lt;&gt;"",AT20&gt;=AY$29,AT20&lt;&gt;"",AN20=""),AND(AV20&gt;=AY$25,AV20&lt;&gt;"",AX20&gt;=AY$29,AX20&lt;&gt;"",AN20=""),AND(BP20&gt;=BZ$25,BP20&lt;&gt;"",BR20&gt;=BZ$29,BR20&lt;&gt;"",BO20=""),AND(BS20&gt;=BZ$25,BS20&lt;&gt;"",BU20&gt;=BZ$29,BU20&lt;&gt;"",BO20=""),AND(BW20&gt;=BZ$25,BW20&lt;&gt;"",BY20&gt;=BZ$29,BY20&lt;&gt;"",BO20=""),AND(CQ20&gt;=DA$25,CQ20&lt;&gt;"",CS20&gt;=DA$29,CS20&lt;&gt;"",CP20=""),AND(CT20&gt;=DA$25,CT20&lt;&gt;"",CV20&gt;=DA$29,CV20&lt;&gt;"",CP20=""),AND(CX20&gt;=DA$25,CX20&lt;&gt;"",CZ20&gt;=DA$29,CZ20&lt;&gt;"",CP20=""),AND(DX20&gt;=EK$25,DX20&lt;&gt;"",DZ20&gt;=EK$29,DZ20&lt;&gt;""),AND(EA20&gt;=EK$25,EA20&lt;&gt;"",EC20&gt;=EK$29,EC20&lt;&gt;""),AND(EE20&gt;=EK$25,EE20&lt;&gt;"",EG20&gt;=EK$29,EG20&lt;&gt;""),AND(EH20&gt;=EK$25,EH20&lt;&gt;"",EJ20&gt;=EK$29,EJ20&lt;&gt;""),AND(FF20&gt;=FS$25,FF20&lt;&gt;"",FH20&gt;=FS$29,FH20&lt;&gt;""),AND(FI20&gt;=FS$25,FI20&lt;&gt;"",FK20&gt;=FS$29,FK20&lt;&gt;""),AND(FM20&gt;=FS$25,FM20&lt;&gt;"",FO20&gt;=FS$29,FO20&lt;&gt;""),AND(FP20&gt;=FS$25,FP20&lt;&gt;"",FR20&gt;=FS$29,FR20&lt;&gt;""),AND(GN20&gt;=HA$25,GN20&lt;&gt;"",GP20&gt;=HA$29,GP20&lt;&gt;""),AND(GQ20&gt;=HA$25,GQ20&lt;&gt;"",GS20&gt;=HA$29,GS20&lt;&gt;""),AND(GU20&gt;=HA$25,GU20&lt;&gt;"",GW20&gt;=HA$29,GW20&lt;&gt;""),AND(GX20&gt;=HA$25,GX20&lt;&gt;"",GZ20&gt;=HA$29,GZ20&lt;&gt;""),AND(HV20&gt;=II$25,HV20&lt;&gt;"",HX20&gt;=II$29,HX20&lt;&gt;""),AND(HY20&gt;=II$25,HY20&lt;&gt;"",IA20&gt;=II$29,IA20&lt;&gt;""),AND(IC20&gt;=II$25,IC20&lt;&gt;"",IE20&gt;=II$29,IE20&lt;&gt;""),AND(IF20&gt;=II$25,IF20&lt;&gt;"",IH20&gt;=II$29,IH20&lt;&gt;""),AND(JD20&gt;=JQ$25,JD20&lt;&gt;"",JF20&gt;=JQ$29,JF20&lt;&gt;""),AND(JG20&gt;=JQ$25,JG20&lt;&gt;"",JI20&gt;=JQ$29,JI20&lt;&gt;""),AND(JK20&gt;=JQ$25,JK20&lt;&gt;"",JM20&gt;=JQ$29,JM20&lt;&gt;""),AND(JN20&gt;=JQ$25,JN20&lt;&gt;"",JP20&gt;=JQ$29,JP20&lt;&gt;""),AND(KL20&gt;=KY$25,KL20&lt;&gt;"",KN20&gt;=KY$29,KN20&lt;&gt;""),AND(KO20&gt;=KY$25,KO20&lt;&gt;"",KQ20&gt;=KY$29,KQ20&lt;&gt;""),AND(KS20&gt;=KY$25,KS20&lt;&gt;"",KU20&gt;=KY$29,KU20&lt;&gt;""),AND(KV20&gt;=KY$25,KV20&lt;&gt;"",KX20&gt;=KY$29,KX20&lt;&gt;""),AND(LT20&gt;=MG$25,LT20&lt;&gt;"",LV20&gt;=MG$29,LV20&lt;&gt;""),AND(LW20&gt;=MG$25,LW20&lt;&gt;"",LY20&gt;=MG$29,LY20&lt;&gt;""),AND(MA20&gt;=MG$25,MA20&lt;&gt;"",MC20&gt;=MG$29,MC20&lt;&gt;""),AND(MD20&gt;=MG$25,MD20&lt;&gt;"",MF20&gt;=MG$29,MF20&lt;&gt;""),AND(NB20&gt;=NO$25,NB20&lt;&gt;"",ND20&gt;=NO$29,ND20&lt;&gt;""),AND(NE20&gt;=NO$25,NE20&lt;&gt;"",NG20&gt;=NO$29,NG20&lt;&gt;""),AND(NI20&gt;=NO$25,NI20&lt;&gt;"",NK20&gt;=NO$29,NK20&lt;&gt;""),AND(NL20&gt;=NO$25,NL20&lt;&gt;"",NN20&gt;=NO$29,NN20&lt;&gt;""),AND(OJ20&gt;=OW$25,OJ20&lt;&gt;"",OL20&gt;=OW$29,OL20&lt;&gt;""),AND(OM20&gt;=OW$25,OM20&lt;&gt;"",OO20&gt;=OW$29,OO20&lt;&gt;""),AND(OQ20&gt;=OW$25,OQ20&lt;&gt;"",OS20&gt;=OW$29,OS20&lt;&gt;""),AND(OT20&gt;=OW$25,OT20&lt;&gt;"",OV20&gt;=OW$29,OV20&lt;&gt;""),AND(PR20&gt;=QE$25,PR20&lt;&gt;"",PT20&gt;=QE$29,PT20&lt;&gt;""),AND(PU20&gt;=QE$25,PU20&lt;&gt;"",PW20&gt;=QE$29,PW20&lt;&gt;""),AND(PY20&gt;=QE$25,PY20&lt;&gt;"",QA20&gt;=QE$29,QA20&lt;&gt;""),AND(QB20&gt;=QE$25,QB20&lt;&gt;"",QD20&gt;=QE$29,QD20&lt;&gt;""),AND(QZ20&gt;=RM$25,QZ20&lt;&gt;"",RB20&gt;=RM$29,RB20&lt;&gt;""),AND(RC20&gt;=RM$25,RC20&lt;&gt;"",RE20&gt;=RM$29,RE20&lt;&gt;""),AND(RG20&gt;=RM$25,RG20&lt;&gt;"",RI20&gt;=RM$29,RI20&lt;&gt;""),AND(RJ20&gt;=RM$25,RJ20&lt;&gt;"",RL20&gt;=RM$29,RL20&lt;&gt;""),AND(SH20&gt;=SU$25,SH20&lt;&gt;"",SJ20&gt;=SU$29,SJ20&lt;&gt;""),AND(SK20&gt;=SU$25,SK20&lt;&gt;"",SM20&gt;=SU$29,SM20&lt;&gt;""),AND(SO20&gt;=SU$25,SO20&lt;&gt;"",SQ20&gt;=SU$29,SQ20&lt;&gt;""),AND(SR20&gt;=SU$25,SR20&lt;&gt;"",ST20&gt;=SU$29,ST20&lt;&gt;"")),"P","")</f>
        <v/>
      </c>
      <c r="G20" s="3" t="str">
        <f>IF(OR(AND(AQ20&gt;=AY$29,AQ20&lt;&gt;"",AN20=""),AND(AT20&gt;=AY$29,AT20&lt;&gt;"",AN20=""),AND(AX20&gt;=AY$29,AX20&lt;&gt;"",AN20=""),AND(BR20&gt;=BZ$29,BR20&lt;&gt;"",BO20=""),AND(BU20&gt;=BZ$29,BU20&lt;&gt;"",BO20=""),AND(BY20&gt;=BZ$29,BY20&lt;&gt;"",BO20=""),AND(CS20&gt;=DA$29,CS20&lt;&gt;"",CP20=""),AND(CV20&gt;=DA$29,CV20&lt;&gt;"",CP20=""),AND(CZ20&gt;=DA$29,CZ20&lt;&gt;"",CP20=""),AND(DZ20&gt;=EK$29,DZ20&lt;&gt;""),AND(EC20&gt;=EK$29,EC20&lt;&gt;""),AND(EG20&gt;=EK$29,EG20&lt;&gt;""),AND(EJ20&gt;=EK$29,EJ20&lt;&gt;""),AND(FH20&gt;=FS$29,FH20&lt;&gt;""),AND(FK20&gt;=FS$29,FK20&lt;&gt;""),AND(FO20&gt;=FS$29,FO20&lt;&gt;""),AND(FR20&gt;=FS$29,FR20&lt;&gt;""),AND(GP20&gt;=HA$29,GP20&lt;&gt;""),AND(GS20&gt;=HA$29,GS20&lt;&gt;""),AND(GW20&gt;=HA$29,GW20&lt;&gt;""),AND(GZ20&gt;=HA$29,GZ20&lt;&gt;""),AND(HX20&gt;=II$29,HX20&lt;&gt;""),AND(IA20&gt;=II$29,IA20&lt;&gt;""),AND(IE20&gt;=II$29,IE20&lt;&gt;""),AND(IH20&gt;=II$29,IH20&lt;&gt;""),AND(JF20&gt;=JQ$29,JF20&lt;&gt;""),AND(JI20&gt;=JQ$29,JI20&lt;&gt;""),AND(JM20&gt;=JQ$29,JM20&lt;&gt;""),AND(JP20&gt;=JQ$29,JP20&lt;&gt;""),AND(KN20&gt;=KY$29,KN20&lt;&gt;""),AND(KQ20&gt;=KY$29,KQ20&lt;&gt;""),AND(KU20&gt;=KY$29,KU20&lt;&gt;""),AND(KX20&gt;=KY$29,KX20&lt;&gt;""),AND(LV20&gt;=MG$29,LV20&lt;&gt;""),AND(LY20&gt;=MG$29,LY20&lt;&gt;""),AND(MC20&gt;=MG$29,MC20&lt;&gt;""),AND(MF20&gt;=MG$29,MF20&lt;&gt;""),AND(ND20&gt;=NO$29,ND20&lt;&gt;""),AND(NG20&gt;=NO$29,NG20&lt;&gt;""),AND(NK20&gt;=NO$29,NK20&lt;&gt;""),AND(NN20&gt;=NO$29,NN20&lt;&gt;""),AND(OL20&gt;=OW$29,OL20&lt;&gt;""),AND(OO20&gt;=OW$29,OO20&lt;&gt;""),AND(OS20&gt;=OW$29,OS20&lt;&gt;""),AND(OV20&gt;=OW$29,OV20&lt;&gt;""),AND(PT20&gt;=QE$29,PT20&lt;&gt;""),AND(PW20&gt;=QE$29,PW20&lt;&gt;""),AND(QA20&gt;=QE$29,QA20&lt;&gt;""),AND(QD20&gt;=QE$29,QD20&lt;&gt;""),AND(RB20&gt;=RM$29,RB20&lt;&gt;""),AND(RE20&gt;=RM$29,RE20&lt;&gt;""),AND(RI20&gt;=RM$29,RI20&lt;&gt;""),AND(RL20&gt;=RM$29,RL20&lt;&gt;""),AND(SJ20&gt;=SU$29,SJ20&lt;&gt;""),AND(SM20&gt;=SU$29,SM20&lt;&gt;""),AND(SQ20&gt;=SU$29,SQ20&lt;&gt;""),AND(ST20&gt;=SU$29,ST20&lt;&gt;"")),"P","")</f>
        <v/>
      </c>
      <c r="H20" s="70" t="str">
        <f>IF(AND(G20="P",F20=""),"No DD",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),"Merit",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X20&gt;=EK$27,DX20&lt;&gt;"",DZ20&gt;=EK$31,DZ20&lt;&gt;""),AND(EA20&gt;=EK$27,EA20&lt;&gt;"",EC20&gt;=EK$31,EC20&lt;&gt;""),AND(EE20&gt;=EK$27,EE20&lt;&gt;"",EG20&gt;=EK$31,EG20&lt;&gt;""),AND(EH20&gt;=EK$27,EH20&lt;&gt;"",EJ20&gt;=EK$31,EJ20&lt;&gt;""),AND(FF20&gt;=FS$27,FF20&lt;&gt;"",FH20&gt;=FS$31,FH20&lt;&gt;""),AND(FI20&gt;=FS$27,FI20&lt;&gt;"",FK20&gt;=FS$31,FK20&lt;&gt;""),AND(FM20&gt;=FS$27,FM20&lt;&gt;"",FO20&gt;=FS$31,FO20&lt;&gt;""),AND(FP20&gt;=FS$27,FP20&lt;&gt;"",FR20&gt;=FS$31,FR20&lt;&gt;""),AND(GN20&gt;=HA$27,GN20&lt;&gt;"",GP20&gt;=HA$31,GP20&lt;&gt;""),AND(GQ20&gt;=HA$27,GQ20&lt;&gt;"",GS20&gt;=HA$31,GS20&lt;&gt;""),AND(GU20&gt;=HA$27,GU20&lt;&gt;"",GW20&gt;=HA$31,GW20&lt;&gt;""),AND(GX20&gt;=HA$27,GX20&lt;&gt;"",GZ20&gt;=HA$31,GZ20&lt;&gt;""),AND(HV20&gt;=II$27,HV20&lt;&gt;"",HX20&gt;=II$31,HX20&lt;&gt;""),AND(HY20&gt;=II$27,HY20&lt;&gt;"",IA20&gt;=II$31,IA20&lt;&gt;""),AND(IC20&gt;=II$27,IC20&lt;&gt;"",IE20&gt;=II$31,IE20&lt;&gt;""),AND(IF20&gt;=II$27,IF20&lt;&gt;"",IH20&gt;=II$31,IH20&lt;&gt;""),AND(JD20&gt;=JQ$27,JD20&lt;&gt;"",JF20&gt;=JQ$31,JF20&lt;&gt;""),AND(JG20&gt;=JQ$27,JG20&lt;&gt;"",JI20&gt;=JQ$31,JI20&lt;&gt;""),AND(JK20&gt;=JQ$27,JK20&lt;&gt;"",JM20&gt;=JQ$31,JM20&lt;&gt;""),AND(JN20&gt;=JQ$27,JN20&lt;&gt;"",JP20&gt;=JQ$31,JP20&lt;&gt;""),AND(KL20&gt;=KY$27,KL20&lt;&gt;"",KN20&gt;=KY$31,KN20&lt;&gt;""),AND(KO20&gt;=KY$27,KO20&lt;&gt;"",KQ20&gt;=KY$31,KQ20&lt;&gt;""),AND(KS20&gt;=KY$27,KS20&lt;&gt;"",KU20&gt;=KY$31,KU20&lt;&gt;""),AND(KV20&gt;=KY$27,KV20&lt;&gt;"",KX20&gt;=KY$31,KX20&lt;&gt;""),AND(LT20&gt;=MG$27,LT20&lt;&gt;"",LV20&gt;=MG$31,LV20&lt;&gt;""),AND(LW20&gt;=MG$27,LW20&lt;&gt;"",LY20&gt;=MG$31,LY20&lt;&gt;""),AND(MA20&gt;=MG$27,MA20&lt;&gt;"",MC20&gt;=MG$31,MC20&lt;&gt;""),AND(MD20&gt;=MG$27,MD20&lt;&gt;"",MF20&gt;=MG$31,MF20&lt;&gt;""),AND(NB20&gt;=NO$27,NB20&lt;&gt;"",ND20&gt;=NO$31,ND20&lt;&gt;""),AND(NE20&gt;=NO$27,NE20&lt;&gt;"",NG20&gt;=NO$31,NG20&lt;&gt;""),AND(NI20&gt;=NO$27,NI20&lt;&gt;"",NK20&gt;=NO$31,NK20&lt;&gt;""),AND(NL20&gt;=NO$27,NL20&lt;&gt;"",NN20&gt;=NO$31,NN20&lt;&gt;""),AND(OJ20&gt;=OW$27,OJ20&lt;&gt;"",OL20&gt;=OW$31,OL20&lt;&gt;""),AND(OM20&gt;=OW$27,OM20&lt;&gt;"",OO20&gt;=OW$31,OO20&lt;&gt;""),AND(OQ20&gt;=OW$27,OQ20&lt;&gt;"",OS20&gt;=OW$31,OS20&lt;&gt;""),AND(OT20&gt;=OW$27,OT20&lt;&gt;"",OV20&gt;=OW$31,OV20&lt;&gt;""),AND(PR20&gt;=QE$27,PR20&lt;&gt;"",PT20&gt;=QE$31,PT20&lt;&gt;""),AND(PU20&gt;=QE$27,PU20&lt;&gt;"",PW20&gt;=QE$31,PW20&lt;&gt;""),AND(PY20&gt;=QE$27,PY20&lt;&gt;"",QA20&gt;=QE$31,QA20&lt;&gt;""),AND(QB20&gt;=QE$27,QB20&lt;&gt;"",QD20&gt;=QE$31,QD20&lt;&gt;""),AND(QZ20&gt;=RM$27,QZ20&lt;&gt;"",RB20&gt;=RM$31,RB20&lt;&gt;""),AND(RC20&gt;=RM$27,RC20&lt;&gt;"",RE20&gt;=RM$31,RE20&lt;&gt;""),AND(RG20&gt;=RM$27,RG20&lt;&gt;"",RI20&gt;=RM$31,RI20&lt;&gt;""),AND(RJ20&gt;=RM$27,RJ20&lt;&gt;"",RL20&gt;=RM$31,RL20&lt;&gt;""),AND(SH20&gt;=SU$27,SH20&lt;&gt;"",SJ20&gt;=SU$31,SJ20&lt;&gt;""),AND(SK20&gt;=SU$27,SK20&lt;&gt;"",SM20&gt;=SU$31,SM20&lt;&gt;""),AND(SO20&gt;=SU$27,SO20&lt;&gt;"",SQ20&gt;=SU$31,SQ20&lt;&gt;""),AND(SR20&gt;=SU$27,SR20&lt;&gt;"",ST20&gt;=SU$31,ST20&lt;&gt;"")),"Excellence",IF(I20="P","Worlds Team",IF(F20="P","National Team","")))))</f>
        <v/>
      </c>
      <c r="I20" s="3" t="str">
        <f>IF(OR(AND(AO20&gt;=AY$26,AO20&lt;&gt;"",AQ20&gt;=AY$30,AQ20&lt;&gt;"",AN20=""),AND(AR20&gt;=AY$26,AR20&lt;&gt;"",AT20&gt;=AY$30,AT20&lt;&gt;"",AN20=""),AND(AV20&gt;=AY$26,AV20&lt;&gt;"",AX20&gt;=AY$30,AX20&lt;&gt;"",AN20=""),AND(BP20&gt;=BZ$26,BP20&lt;&gt;"",BR20&gt;=BZ$30,BR20&lt;&gt;"",BO20=""),AND(BS20&gt;=BZ$26,BS20&lt;&gt;"",BU20&gt;=BZ$30,BU20&lt;&gt;"",BO20=""),AND(BW20&gt;=BZ$26,BW20&lt;&gt;"",BY20&gt;=BZ$30,BY20&lt;&gt;"",BO20=""),AND(CQ20&gt;=DA$26,CQ20&lt;&gt;"",CS20&gt;=DA$30,CS20&lt;&gt;"",CP20=""),AND(CT20&gt;=DA$26,CT20&lt;&gt;"",CV20&gt;=DA$30,CV20&lt;&gt;"",CP20=""),AND(CX20&gt;=DA$26,CX20&lt;&gt;"",CZ20&gt;=DA$30,CZ20&lt;&gt;"",CP20=""),AND(DX20&gt;=EK$26,DX20&lt;&gt;"",DZ20&gt;=EK$30,DZ20&lt;&gt;""),AND(EA20&gt;=EK$26,EA20&lt;&gt;"",EC20&gt;=EK$30,EC20&lt;&gt;""),AND(EE20&gt;=EK$26,EE20&lt;&gt;"",EG20&gt;=EK$30,EG20&lt;&gt;""),AND(EH20&gt;=EK$26,EH20&lt;&gt;"",EJ20&gt;=EK$30,EJ20&lt;&gt;""),AND(FF20&gt;=FS$26,FF20&lt;&gt;"",FH20&gt;=FS$30,FH20&lt;&gt;""),AND(FI20&gt;=FS$26,FI20&lt;&gt;"",FK20&gt;=FS$30,FK20&lt;&gt;""),AND(FM20&gt;=FS$26,FM20&lt;&gt;"",FO20&gt;=FS$30,FO20&lt;&gt;""),AND(FP20&gt;=FS$26,FP20&lt;&gt;"",FR20&gt;=FS$30,FR20&lt;&gt;""),AND(GN20&gt;=HA$26,GN20&lt;&gt;"",GP20&gt;=HA$30,GP20&lt;&gt;""),AND(GQ20&gt;=HA$26,GQ20&lt;&gt;"",GS20&gt;=HA$30,GS20&lt;&gt;""),AND(GU20&gt;=HA$26,GU20&lt;&gt;"",GW20&gt;=HA$30,GW20&lt;&gt;""),AND(GX20&gt;=HA$26,GX20&lt;&gt;"",GZ20&gt;=HA$30,GZ20&lt;&gt;""),AND(HV20&gt;=II$26,HV20&lt;&gt;"",HX20&gt;=II$30,HX20&lt;&gt;""),AND(HY20&gt;=II$26,HY20&lt;&gt;"",IA20&gt;=II$30,IA20&lt;&gt;""),AND(IC20&gt;=II$26,IC20&lt;&gt;"",IE20&gt;=II$30,IE20&lt;&gt;""),AND(IF20&gt;=II$26,IF20&lt;&gt;"",IH20&gt;=II$30,IH20&lt;&gt;""),AND(JD20&gt;=JQ$26,JD20&lt;&gt;"",JF20&gt;=JQ$30,JF20&lt;&gt;""),AND(JG20&gt;=JQ$26,JG20&lt;&gt;"",JI20&gt;=JQ$30,JI20&lt;&gt;""),AND(JK20&gt;=JQ$26,JK20&lt;&gt;"",JM20&gt;=JQ$30,JM20&lt;&gt;""),AND(JN20&gt;=JQ$26,JN20&lt;&gt;"",JP20&gt;=JQ$30,JP20&lt;&gt;""),AND(KL20&gt;=KY$26,KL20&lt;&gt;"",KN20&gt;=KY$30,KN20&lt;&gt;""),AND(KO20&gt;=KY$26,KO20&lt;&gt;"",KQ20&gt;=KY$30,KQ20&lt;&gt;""),AND(KS20&gt;=KY$26,KS20&lt;&gt;"",KU20&gt;=KY$30,KU20&lt;&gt;""),AND(KV20&gt;=KY$26,KV20&lt;&gt;"",KX20&gt;=KY$30,KX20&lt;&gt;""),AND(LT20&gt;=MG$26,LT20&lt;&gt;"",LV20&gt;=MG$30,LV20&lt;&gt;""),AND(LW20&gt;=MG$26,LW20&lt;&gt;"",LY20&gt;=MG$30,LY20&lt;&gt;""),AND(MA20&gt;=MG$26,MA20&lt;&gt;"",MC20&gt;=MG$30,MC20&lt;&gt;""),AND(MD20&gt;=MG$26,MD20&lt;&gt;"",MF20&gt;=MG$30,MF20&lt;&gt;""),AND(NB20&gt;=NO$26,NB20&lt;&gt;"",ND20&gt;=NO$30,ND20&lt;&gt;""),AND(NE20&gt;=NO$26,NE20&lt;&gt;"",NG20&gt;=NO$30,NG20&lt;&gt;""),AND(NI20&gt;=NO$26,NI20&lt;&gt;"",NK20&gt;=NO$30,NK20&lt;&gt;""),AND(NL20&gt;=NO$26,NL20&lt;&gt;"",NN20&gt;=NO$30,NN20&lt;&gt;""),AND(OJ20&gt;=OW$26,OJ20&lt;&gt;"",OL20&gt;=OW$30,OL20&lt;&gt;""),AND(OM20&gt;=OW$26,OM20&lt;&gt;"",OO20&gt;=OW$30,OO20&lt;&gt;""),AND(OQ20&gt;=OW$26,OQ20&lt;&gt;"",OS20&gt;=OW$30,OS20&lt;&gt;""),AND(OT20&gt;=OW$26,OT20&lt;&gt;"",OV20&gt;=OW$30,OV20&lt;&gt;""),AND(PR20&gt;=QE$26,PR20&lt;&gt;"",PT20&gt;=QE$30,PT20&lt;&gt;""),AND(PU20&gt;=QE$26,PU20&lt;&gt;"",PW20&gt;=QE$30,PW20&lt;&gt;""),AND(PY20&gt;=QE$26,PY20&lt;&gt;"",QA20&gt;=QE$30,QA20&lt;&gt;""),AND(QB20&gt;=QE$26,QB20&lt;&gt;"",QD20&gt;=QE$30,QD20&lt;&gt;""),AND(QZ20&gt;=RM$26,QZ20&lt;&gt;"",RB20&gt;=RM$30,RB20&lt;&gt;""),AND(RC20&gt;=RM$26,RC20&lt;&gt;"",RE20&gt;=RM$30,RE20&lt;&gt;""),AND(RG20&gt;=RM$26,RG20&lt;&gt;"",RI20&gt;=RM$30,RI20&lt;&gt;""),AND(RJ20&gt;=RM$26,RJ20&lt;&gt;"",RL20&gt;=RM$30,RL20&lt;&gt;""),AND(SH20&gt;=SU$26,SH20&lt;&gt;"",SJ20&gt;=SU$30,SJ20&lt;&gt;""),AND(SK20&gt;=SU$26,SK20&lt;&gt;"",SM20&gt;=SU$30,SM20&lt;&gt;""),AND(SO20&gt;=SU$26,SO20&lt;&gt;"",SQ20&gt;=SU$30,SQ20&lt;&gt;""),AND(SR20&gt;=SU$26,SR20&lt;&gt;"",ST20&gt;=SU$30,ST20&lt;&gt;"")),"P","")</f>
        <v/>
      </c>
      <c r="J20" s="13">
        <f>IF(COUNT(AQ20,AT20,BR20,BU20,CS20,CV20)&gt;0,LARGE((AQ20,AT20,BR20,BU20,CS20,CV20),1),0)</f>
        <v>49.16</v>
      </c>
      <c r="K20" s="13" t="str">
        <f>IF(J20="","",IF(OR(J20=CS20,J20=CV20),$CA$1,IF(OR(J20=BR20,J20=BU20),$AZ$1,IF(OR(J20=AQ20,J20=AT20),$Y$1,""))))</f>
        <v>2022 Elite Canada</v>
      </c>
      <c r="L20" s="13">
        <f>IF(COUNT(AQ20,AT20,BR20,BU20,CS20,CV20)&gt;1,LARGE((AQ20,AT20,BR20,BU20,CS20,CV20),2),0)</f>
        <v>46.47</v>
      </c>
      <c r="M20" s="13" t="str">
        <f>IF(L20="","",IF(OR(L20=CS20,L20=CV20),$CA$1,IF(OR(L20=BR20,L20=BU20),$AZ$1,IF(OR(L20=AQ20,L20=AT20),$Y$1,""))))</f>
        <v>2022 Elite Canada</v>
      </c>
      <c r="N20" s="13">
        <f>IF(COUNT(AQ20,AT20,BR20,BU20,CS20,CV20)&gt;2,LARGE((AQ20,AT20,BR20,BU20,CS20,CV20),3),0)</f>
        <v>21.37</v>
      </c>
      <c r="O20" s="13" t="str">
        <f>IF(N20="","",IF(OR(N20=CS20,N20=CV20),$CA$1,IF(OR(N20=BR20,N20=BU20),$AZ$1,IF(OR(N20=AQ20,N20=AT20),$Y$1,""))))</f>
        <v>2021 Elite Canada</v>
      </c>
      <c r="P20" s="13">
        <f>IF(MAX(AX20,BY20,CZ20)&gt;0,MAX(AX20,BY20,CZ20),0)</f>
        <v>0</v>
      </c>
      <c r="Q20" s="13" t="str">
        <f>IF(P20="","",IF(P20=CZ20,$CA$1,IF(P20=BY20,$AZ$1,IF(P20=AX20,$Y$1,""))))</f>
        <v/>
      </c>
      <c r="R20" s="13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13</v>
      </c>
      <c r="S20" s="13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2022 Elite Canada</v>
      </c>
      <c r="T20" s="13">
        <f>IF(MAX(IF(AO20&gt;=$AY$25,AP20,0),IF(AR20&gt;=$AY$25,AS20,0),IF(AV20&gt;=$AY$25,AW20,0),IF(BP20&gt;=$BZ$25,BQ20,0),IF(BS20&gt;=$BZ$25,BT20,0),IF(BW20&gt;=$BZ$25,BX20,0),IF(CQ20&gt;=$DA$25,CR20,0),IF(CT20&gt;=$DA$25,CU20,0),IF(CX20&gt;=$DA$25,CY20,0))&gt;0,MAX(IF(AO20&gt;=$AY$25,AP20,0),IF(AR20&gt;=$AY$25,AS20,0),IF(AV20&gt;=$AY$25,AW20,0),IF(BP20&gt;=$BZ$25,BQ20,0),IF(BS20&gt;=$BZ$25,BT20,0),IF(BW20&gt;=$BZ$25,BX20,0),IF(CQ20&gt;=$DA$25,CR20,0),IF(CT20&gt;=$DA$25,CU20,0),IF(CX20&gt;=$DA$25,CY20,0),IF(DX20&gt;=$EK$25,DY20,0),IF(EA20&gt;=$EK$25,EB20,0),IF(EE20&gt;=$EK$25,EF20,0),IF(EH20&gt;=$EK$25,EI20,0),IF(FF20&gt;=$FS$25,FG20,0),IF(FI20&gt;=$FS$25,FJ20,0),IF(FM20&gt;=$FS$25,FN20,0),IF(FP20&gt;=$FS$25,FQ20,0),IF(GN20&gt;=$HA$25,GO20,0),IF(GQ20&gt;=$HA$25,GR20,0),IF(GU20&gt;=$HA$25,GV20,0),IF(GX20&gt;=$HA$25,GY20,0),IF(HV20&gt;=$II$25,HW20,0),IF(HY20&gt;=$II$25,HZ20,0),IF(IC20&gt;=$II$25,ID20,0),IF(IF20&gt;=$II$25,IG20,0),IF(JD20&gt;=$JQ$25,JE20,0),IF(JG20&gt;=$JQ$25,JH20,0),IF(JK20&gt;=$JQ$25,JL20,0),IF(JN20&gt;=$JQ$25,JO20,0),IF(KL20&gt;=$KY$25,KM20,0),IF(KO20&gt;=$KY$25,KP20,0),IF(KS20&gt;=$KY$25,KT20,0),IF(KV20&gt;=$KY$25,KW20,0),IF(LT20&gt;=$MG$25,LU20,0),IF(LW20&gt;=$MG$25,LX20,0),IF(MA20&gt;=$MG$25,MB20,0),IF(MD20&gt;=$MG$25,ME20,0),IF(NB20&gt;=$NO$25,NC20,0),IF(NE20&gt;=$NO$25,NF20,0),IF(NI20&gt;=$NO$25,NJ20,0),IF(NL20&gt;=$NO$25,NM20,0),IF(OJ20&gt;=$OW$25,OK20,0),IF(OM20&gt;=$OW$25,ON20,0),IF(OQ20&gt;=$OW$25,OR20,0),IF(OT20&gt;=$OW$25,OU20,0),IF(PR20&gt;=$QE$25,PS20,0),IF(PU20&gt;=$QE$25,PV20,0),IF(PY20&gt;=$QE$25,PZ20,0),IF(QB20&gt;=$QE$25,QC20,0),IF(QZ20&gt;=$RM$25,RA20,0),IF(RC20&gt;=$RM$25,RD20,0),IF(RG20&gt;=$RM$25,RH20,0),IF(RJ20&gt;=$RM$25,RK20,0),IF(SH20&gt;=$SU$25,SI20,0),IF(SK20&gt;=$SU$25,SL20,0),IF(SO20&gt;=$SU$25,SP20,0),IF(SR20&gt;=$SU$25,SS20,0)),0)</f>
        <v>0</v>
      </c>
      <c r="U20" s="13" t="str">
        <f>IF(T20=0,"",IF(OR(T20=CR20,T20=CU20,T20=CY20),$CA$1,IF(OR(T20=BQ20,T20=BT20,T20=BX20),$AZ$1,IF(OR(T20=AP20,T20=AS20,T20=AW20),$Y$1,IF(OR(R20=SI20,R20=SL20,R20=SP20,R20=SS20),$RN$1,IF(OR(R20=RA20,R20=RD20,R20=RH20,R20=RK20),$QF$1,IF(OR(R20=PS20,R20=PV20,R20=PZ20,R20=QC20),$OX$1,IF(OR(R20=OK20,R20=ON20,R20=OR20,R20=OU20),$NP$1,IF(OR(R20=NC20,R20=NF20,R20=NJ20,R20=NM20),$MH$1,IF(OR(R20=LU20,R20=LX20,R20=MB20,R20=ME20),$KZ$1,IF(OR(R20=KM20,R20=KP20,R20=KT20,R20=KW20),$JR$1,IF(OR(R20=JE20,R20=JH20,R20=JL20,R20=JO20),$IJ$1,IF(OR(R20=HW20,R20=HZ20,R20=ID20,R20=IG20),$HB$1,IF(OR(R20=GO20,R20=GR20,R20=GV20,R20=GY20),$FT$1,IF(OR(R20=FG20,R20=FJ20,R20=FN20,R20=FQ20),$EL$1,IF(OR(R20=DY20,R20=EB20,R20=EF20,R20=EI20),$DD$1,""))))))))))))))))</f>
        <v/>
      </c>
      <c r="V20" s="13" t="str">
        <f>IF(MAX(DB20,DC20)&gt;0,MAX(DB20,DC20),"")</f>
        <v/>
      </c>
      <c r="W20" s="16" t="str">
        <f>IF(V20="","",IF(V20=DB20,"("&amp;DB$2&amp;")",IF(V20=DC20,"("&amp;DC$2&amp;")")))</f>
        <v/>
      </c>
      <c r="X20" s="13" t="str">
        <f>IF(V20="","",IF(V20=DB20,IF(V20+IF(L20="",0,L20)=SN20,$RN$1,IF(V20+IF(L20="",0,L20)=RF20,$QF$1,IF(V20+IF(L20="",0,L20)=PX20,$OX$1,IF(V20+IF(L20="",0,L20)=OP20,$NP$1,IF(V20+IF(L20="",0,L20)=NH20,$MH$1,IF(V20+IF(L20="",0,L20)=LZ20,$KZ$1,IF(V20+IF(L20="",0,L20)=KR20,$JR$1,IF(V20+IF(L20="",0,L20)=JJ20,$IJ$1,IF(V20+IF(L20="",0,L20)=IB20,$HB$1,IF(V20+IF(L20="",0,L20)=GT20,$FT$1,IF(V20+IF(L20="",0,L20)=FL20,$EL$1,IF(V20+IF(L20="",0,L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$1)))))))))))))))</f>
        <v/>
      </c>
      <c r="Y20" s="42">
        <v>5.3</v>
      </c>
      <c r="Z20" s="42">
        <v>3.4</v>
      </c>
      <c r="AA20" s="42">
        <v>6.3</v>
      </c>
      <c r="AB20" s="42">
        <v>6.37</v>
      </c>
      <c r="AC20" s="42">
        <v>0</v>
      </c>
      <c r="AD20" s="42">
        <v>3.9</v>
      </c>
      <c r="AE20" s="42">
        <v>2.6</v>
      </c>
      <c r="AF20" s="42">
        <v>4.9000000000000004</v>
      </c>
      <c r="AG20" s="42">
        <v>4.835</v>
      </c>
      <c r="AH20" s="42">
        <v>0</v>
      </c>
      <c r="AI20" s="42"/>
      <c r="AJ20" s="42"/>
      <c r="AK20" s="42"/>
      <c r="AL20" s="42"/>
      <c r="AM20" s="42"/>
      <c r="AN20" s="51"/>
      <c r="AO20" s="74">
        <f>IF(AA20&gt;0,AA20,"")</f>
        <v>6.3</v>
      </c>
      <c r="AP20" s="74">
        <f>IF(AB20&gt;0,AB20,"")</f>
        <v>6.37</v>
      </c>
      <c r="AQ20" s="76">
        <f>IF(SUM(Y20:AB20)-AC20&gt;0,SUM(Y20:AB20)-AC20,"")</f>
        <v>21.37</v>
      </c>
      <c r="AR20" s="76">
        <f>IF(AF20&gt;0,AF20,"")</f>
        <v>4.9000000000000004</v>
      </c>
      <c r="AS20" s="76">
        <f>IF(AG20&gt;0,AG20,"")</f>
        <v>4.835</v>
      </c>
      <c r="AT20" s="76">
        <f>IF(SUM(AD20:AG20)-AH20&gt;0,SUM(AD20:AG20)-AH20,"")</f>
        <v>16.234999999999999</v>
      </c>
      <c r="AU20" s="76">
        <f>IF(AQ20="","",MAX(AQ20,AT20))</f>
        <v>21.37</v>
      </c>
      <c r="AV20" s="76" t="str">
        <f>IF(AK20&gt;0,AK20,"")</f>
        <v/>
      </c>
      <c r="AW20" s="76" t="str">
        <f>IF(AL20&gt;0,AL20,"")</f>
        <v/>
      </c>
      <c r="AX20" s="76" t="str">
        <f>IF(SUM(AI20:AL20)-AM20&gt;0,SUM(AI20:AL20)-AM20,"")</f>
        <v/>
      </c>
      <c r="AY20" s="76">
        <f>IF(SUM(AU20,AX20)&gt;0,SUM(AU20,AX20),"")</f>
        <v>21.37</v>
      </c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52"/>
      <c r="BP20" s="75" t="str">
        <f>IF(BB20&gt;0,BB20,"")</f>
        <v/>
      </c>
      <c r="BQ20" s="75" t="str">
        <f>IF(BC20&gt;0,BC20,"")</f>
        <v/>
      </c>
      <c r="BR20" s="16" t="str">
        <f>IF(SUM(AZ20:BC20)-BD20&gt;0,SUM(AZ20:BC20)-BD20,"")</f>
        <v/>
      </c>
      <c r="BS20" s="16" t="str">
        <f>IF(BG20&gt;0,BG20,"")</f>
        <v/>
      </c>
      <c r="BT20" s="16" t="str">
        <f>IF(BH20&gt;0,BH20,"")</f>
        <v/>
      </c>
      <c r="BU20" s="16" t="str">
        <f>IF(SUM(BE20:BH20)-BI20&gt;0,SUM(BE20:BH20)-BI20,"")</f>
        <v/>
      </c>
      <c r="BV20" s="16" t="str">
        <f>IF(BR20="","",MAX(BR20,BU20))</f>
        <v/>
      </c>
      <c r="BW20" s="16" t="str">
        <f>IF(BL20&gt;0,BL20,"")</f>
        <v/>
      </c>
      <c r="BX20" s="16" t="str">
        <f>IF(BM20&gt;0,BM20,"")</f>
        <v/>
      </c>
      <c r="BY20" s="16" t="str">
        <f>IF(SUM(BJ20:BM20)-BN20&gt;0,SUM(BJ20:BM20)-BN20,"")</f>
        <v/>
      </c>
      <c r="BZ20" s="16" t="str">
        <f>IF(SUM(BV20,BY20)&gt;0,SUM(BV20,BY20),"")</f>
        <v/>
      </c>
      <c r="CA20" s="42">
        <v>13.7</v>
      </c>
      <c r="CB20" s="42">
        <v>9.1999999999999993</v>
      </c>
      <c r="CC20" s="42">
        <v>12.3</v>
      </c>
      <c r="CD20" s="42">
        <v>15.16</v>
      </c>
      <c r="CE20" s="42">
        <v>1.2</v>
      </c>
      <c r="CF20" s="42">
        <v>12.1</v>
      </c>
      <c r="CG20" s="42">
        <v>7.7</v>
      </c>
      <c r="CH20" s="42">
        <v>13</v>
      </c>
      <c r="CI20" s="42">
        <v>13.67</v>
      </c>
      <c r="CJ20" s="42">
        <v>0</v>
      </c>
      <c r="CK20" s="42"/>
      <c r="CL20" s="42"/>
      <c r="CM20" s="42"/>
      <c r="CN20" s="42"/>
      <c r="CO20" s="42"/>
      <c r="CP20" s="51"/>
      <c r="CQ20" s="74">
        <f>IF(CC20&gt;0,CC20,"")</f>
        <v>12.3</v>
      </c>
      <c r="CR20" s="74">
        <f>IF(CD20&gt;0,CD20,"")</f>
        <v>15.16</v>
      </c>
      <c r="CS20" s="76">
        <f>IF(SUM(CA20:CD20)-CE20&gt;0,SUM(CA20:CD20)-CE20,"")</f>
        <v>49.16</v>
      </c>
      <c r="CT20" s="76">
        <f>IF(CH20&gt;0,CH20,"")</f>
        <v>13</v>
      </c>
      <c r="CU20" s="76">
        <f>IF(CI20&gt;0,CI20,"")</f>
        <v>13.67</v>
      </c>
      <c r="CV20" s="76">
        <f>IF(SUM(CF20:CI20)-CJ20&gt;0,SUM(CF20:CI20)-CJ20,"")</f>
        <v>46.47</v>
      </c>
      <c r="CW20" s="76">
        <f>IF(CS20="","",MAX(CS20,CV20))</f>
        <v>49.16</v>
      </c>
      <c r="CX20" s="76" t="str">
        <f>IF(CM20&gt;0,CM20,"")</f>
        <v/>
      </c>
      <c r="CY20" s="76" t="str">
        <f>IF(CN20&gt;0,CN20,"")</f>
        <v/>
      </c>
      <c r="CZ20" s="76" t="str">
        <f>IF(SUM(CK20:CN20)-CO20&gt;0,SUM(CK20:CN20)-CO20,"")</f>
        <v/>
      </c>
      <c r="DA20" s="76">
        <f>IF(SUM(CW20,CZ20)&gt;0,SUM(CW20,CZ20),"")</f>
        <v>49.16</v>
      </c>
      <c r="DB20" s="87" t="str">
        <f>IF(L20&gt;=0.001,IF(MAX(ED20,FL20,GT20,IB20,JJ20,KR20,LZ20,NH20,OP20,PX20,RF20,SN20)-IF(L20="",0,L20)&gt;0.001,MAX(ED20,FL20,GT20,IB20,JJ20,KR20,LZ20,NH20,OP20,PX20,RF20,SN20)-IF(L20="",0,L20),""),"")</f>
        <v/>
      </c>
      <c r="DC20" s="87" t="str">
        <f>IF(P20&gt;=0.001,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,"")</f>
        <v/>
      </c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76" t="str">
        <f>IF(DF20&gt;0,DF20,"")</f>
        <v/>
      </c>
      <c r="DY20" s="76" t="str">
        <f>IF(DG20&gt;0,DG20,"")</f>
        <v/>
      </c>
      <c r="DZ20" s="76" t="str">
        <f>IF(SUM(DD20:DG20)-DH20&gt;0,SUM(DD20:DG20)-DH20,"")</f>
        <v/>
      </c>
      <c r="EA20" s="76" t="str">
        <f>IF(DK20&gt;0,DK20,"")</f>
        <v/>
      </c>
      <c r="EB20" s="76" t="str">
        <f>IF(DL20&gt;0,DL20,"")</f>
        <v/>
      </c>
      <c r="EC20" s="76" t="str">
        <f>IF(SUM(DI20:DL20)-DM20&gt;0,SUM(DI20:DL20)-DM20,"")</f>
        <v/>
      </c>
      <c r="ED20" s="76" t="str">
        <f>IF(MAX(DZ20,EC20)&gt;0,MAX(DZ20,EC20),"")</f>
        <v/>
      </c>
      <c r="EE20" s="76" t="str">
        <f>IF(DP20&gt;0,DP20,"")</f>
        <v/>
      </c>
      <c r="EF20" s="76" t="str">
        <f>IF(DQ20&gt;0,DQ20,"")</f>
        <v/>
      </c>
      <c r="EG20" s="76" t="str">
        <f>IF(SUM(DN20:DQ20)-DR20&gt;0,SUM(DN20:DQ20)-DR20,"")</f>
        <v/>
      </c>
      <c r="EH20" s="76" t="str">
        <f>IF(DU20&gt;0,DU20,"")</f>
        <v/>
      </c>
      <c r="EI20" s="76" t="str">
        <f>IF(DV20&gt;0,DV20,"")</f>
        <v/>
      </c>
      <c r="EJ20" s="76" t="str">
        <f>IF(SUM(DS20:DV20)-DW20&gt;0,SUM(DS20:DV20)-DW20,"")</f>
        <v/>
      </c>
      <c r="EK20" s="76" t="str">
        <f>IF(SUM(ED20,EJ20)&gt;0,SUM(ED20,EJ20),"")</f>
        <v/>
      </c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16" t="str">
        <f>IF(EN20&gt;0,EN20,"")</f>
        <v/>
      </c>
      <c r="FG20" s="16" t="str">
        <f>IF(EO20&gt;0,EO20,"")</f>
        <v/>
      </c>
      <c r="FH20" s="16" t="str">
        <f>IF(SUM(EL20:EO20)-EP20&gt;0,SUM(EL20:EO20)-EP20,"")</f>
        <v/>
      </c>
      <c r="FI20" s="16" t="str">
        <f>IF(ES20&gt;0,ES20,"")</f>
        <v/>
      </c>
      <c r="FJ20" s="16" t="str">
        <f>IF(ET20&gt;0,ET20,"")</f>
        <v/>
      </c>
      <c r="FK20" s="16" t="str">
        <f>IF(SUM(EQ20:ET20)-EU20&gt;0,SUM(EQ20:ET20)-EU20,"")</f>
        <v/>
      </c>
      <c r="FL20" s="16" t="str">
        <f>IF(MAX(FH20,FK20)&gt;0,MAX(FH20,FK20),"")</f>
        <v/>
      </c>
      <c r="FM20" s="16" t="str">
        <f>IF(EX20&gt;0,EX20,"")</f>
        <v/>
      </c>
      <c r="FN20" s="16" t="str">
        <f>IF(EY20&gt;0,EY20,"")</f>
        <v/>
      </c>
      <c r="FO20" s="16" t="str">
        <f>IF(SUM(EV20:EY20)-EZ20&gt;0,SUM(EV20:EY20)-EZ20,"")</f>
        <v/>
      </c>
      <c r="FP20" s="16" t="str">
        <f>IF(FC20&gt;0,FC20,"")</f>
        <v/>
      </c>
      <c r="FQ20" s="16" t="str">
        <f>IF(FD20&gt;0,FD20,"")</f>
        <v/>
      </c>
      <c r="FR20" s="16" t="str">
        <f>IF(SUM(FA20:FD20)-FE20&gt;0,SUM(FA20:FD20)-FE20,"")</f>
        <v/>
      </c>
      <c r="FS20" s="16" t="str">
        <f>IF(SUM(FL20,FR20)&gt;0,SUM(FL20,FR20),"")</f>
        <v/>
      </c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76" t="str">
        <f>IF(FV20&gt;0,FV20,"")</f>
        <v/>
      </c>
      <c r="GO20" s="76" t="str">
        <f>IF(FW20&gt;0,FW20,"")</f>
        <v/>
      </c>
      <c r="GP20" s="76" t="str">
        <f>IF(SUM(FT20:FW20)-FX20&gt;0,SUM(FT20:FW20)-FX20,"")</f>
        <v/>
      </c>
      <c r="GQ20" s="76" t="str">
        <f>IF(GA20&gt;0,GA20,"")</f>
        <v/>
      </c>
      <c r="GR20" s="76" t="str">
        <f>IF(GB20&gt;0,GB20,"")</f>
        <v/>
      </c>
      <c r="GS20" s="76" t="str">
        <f>IF(SUM(FY20:GB20)-GC20&gt;0,SUM(FY20:GB20)-GC20,"")</f>
        <v/>
      </c>
      <c r="GT20" s="76" t="str">
        <f>IF(MAX(GP20,GS20)&gt;0,MAX(GP20,GS20),"")</f>
        <v/>
      </c>
      <c r="GU20" s="76" t="str">
        <f>IF(GF20&gt;0,GF20,"")</f>
        <v/>
      </c>
      <c r="GV20" s="76" t="str">
        <f>IF(GG20&gt;0,GG20,"")</f>
        <v/>
      </c>
      <c r="GW20" s="76" t="str">
        <f>IF(SUM(GD20:GG20)-GH20&gt;0,SUM(GD20:GG20)-GH20,"")</f>
        <v/>
      </c>
      <c r="GX20" s="76" t="str">
        <f>IF(GK20&gt;0,GK20,"")</f>
        <v/>
      </c>
      <c r="GY20" s="76" t="str">
        <f>IF(GL20&gt;0,GL20,"")</f>
        <v/>
      </c>
      <c r="GZ20" s="76" t="str">
        <f>IF(SUM(GI20:GL20)-GM20&gt;0,SUM(GI20:GL20)-GM20,"")</f>
        <v/>
      </c>
      <c r="HA20" s="76" t="str">
        <f>IF(SUM(GT20,GZ20)&gt;0,SUM(GT20,GZ20),"")</f>
        <v/>
      </c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16" t="str">
        <f>IF(HD20&gt;0,HD20,"")</f>
        <v/>
      </c>
      <c r="HW20" s="16" t="str">
        <f>IF(HE20&gt;0,HE20,"")</f>
        <v/>
      </c>
      <c r="HX20" s="16" t="str">
        <f>IF(SUM(HB20:HE20)-HF20&gt;0,SUM(HB20:HE20)-HF20,"")</f>
        <v/>
      </c>
      <c r="HY20" s="16" t="str">
        <f>IF(HI20&gt;0,HI20,"")</f>
        <v/>
      </c>
      <c r="HZ20" s="16" t="str">
        <f>IF(HJ20&gt;0,HJ20,"")</f>
        <v/>
      </c>
      <c r="IA20" s="16" t="str">
        <f>IF(SUM(HG20:HJ20)-HK20&gt;0,SUM(HG20:HJ20)-HK20,"")</f>
        <v/>
      </c>
      <c r="IB20" s="16" t="str">
        <f>IF(MAX(HX20,IA20)&gt;0,MAX(HX20,IA20),"")</f>
        <v/>
      </c>
      <c r="IC20" s="16" t="str">
        <f>IF(HN20&gt;0,HN20,"")</f>
        <v/>
      </c>
      <c r="ID20" s="16" t="str">
        <f>IF(HO20&gt;0,HO20,"")</f>
        <v/>
      </c>
      <c r="IE20" s="16" t="str">
        <f>IF(SUM(HL20:HO20)-HP20&gt;0,SUM(HL20:HO20)-HP20,"")</f>
        <v/>
      </c>
      <c r="IF20" s="16" t="str">
        <f>IF(HS20&gt;0,HS20,"")</f>
        <v/>
      </c>
      <c r="IG20" s="16" t="str">
        <f>IF(HT20&gt;0,HT20,"")</f>
        <v/>
      </c>
      <c r="IH20" s="16" t="str">
        <f>IF(SUM(HQ20:HT20)-HU20&gt;0,SUM(HQ20:HT20)-HU20,"")</f>
        <v/>
      </c>
      <c r="II20" s="16" t="str">
        <f>IF(SUM(IB20,IH20)&gt;0,SUM(IB20,IH20),"")</f>
        <v/>
      </c>
      <c r="IJ20" s="25"/>
      <c r="IK20" s="25"/>
      <c r="IL20" s="25"/>
      <c r="IM20" s="25"/>
      <c r="IN20" s="25"/>
      <c r="IO20" s="25"/>
      <c r="IP20" s="25"/>
      <c r="IQ20" s="25"/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76" t="str">
        <f>IF(IL20&gt;0,IL20,"")</f>
        <v/>
      </c>
      <c r="JE20" s="76" t="str">
        <f>IF(IM20&gt;0,IM20,"")</f>
        <v/>
      </c>
      <c r="JF20" s="76" t="str">
        <f>IF(SUM(IJ20:IM20)-IN20&gt;0,SUM(IJ20:IM20)-IN20,"")</f>
        <v/>
      </c>
      <c r="JG20" s="76" t="str">
        <f>IF(IQ20&gt;0,IQ20,"")</f>
        <v/>
      </c>
      <c r="JH20" s="76" t="str">
        <f>IF(IR20&gt;0,IR20,"")</f>
        <v/>
      </c>
      <c r="JI20" s="76" t="str">
        <f>IF(SUM(IO20:IR20)-IS20&gt;0,SUM(IO20:IR20)-IS20,"")</f>
        <v/>
      </c>
      <c r="JJ20" s="76" t="str">
        <f>IF(MAX(JF20,JI20)&gt;0,MAX(JF20,JI20),"")</f>
        <v/>
      </c>
      <c r="JK20" s="76" t="str">
        <f>IF(IV20&gt;0,IV20,"")</f>
        <v/>
      </c>
      <c r="JL20" s="76" t="str">
        <f>IF(IW20&gt;0,IW20,"")</f>
        <v/>
      </c>
      <c r="JM20" s="76" t="str">
        <f>IF(SUM(IT20:IW20)-IX20&gt;0,SUM(IT20:IW20)-IX20,"")</f>
        <v/>
      </c>
      <c r="JN20" s="76" t="str">
        <f>IF(JA20&gt;0,JA20,"")</f>
        <v/>
      </c>
      <c r="JO20" s="76" t="str">
        <f>IF(JB20&gt;0,JB20,"")</f>
        <v/>
      </c>
      <c r="JP20" s="76" t="str">
        <f>IF(SUM(IY20:JB20)-JC20&gt;0,SUM(IY20:JB20)-JC20,"")</f>
        <v/>
      </c>
      <c r="JQ20" s="76" t="str">
        <f>IF(SUM(JJ20,JP20)&gt;0,SUM(JJ20,JP20),"")</f>
        <v/>
      </c>
      <c r="JR20" s="26"/>
      <c r="JS20" s="26"/>
      <c r="JT20" s="26"/>
      <c r="JU20" s="26"/>
      <c r="JV20" s="26"/>
      <c r="JW20" s="26"/>
      <c r="JX20" s="26"/>
      <c r="JY20" s="26"/>
      <c r="JZ20" s="26"/>
      <c r="KA20" s="26"/>
      <c r="KB20" s="26"/>
      <c r="KC20" s="26"/>
      <c r="KD20" s="26"/>
      <c r="KE20" s="26"/>
      <c r="KF20" s="26"/>
      <c r="KG20" s="26"/>
      <c r="KH20" s="26"/>
      <c r="KI20" s="26"/>
      <c r="KJ20" s="26"/>
      <c r="KK20" s="26"/>
      <c r="KL20" s="16" t="str">
        <f>IF(JT20&gt;0,JT20,"")</f>
        <v/>
      </c>
      <c r="KM20" s="16" t="str">
        <f>IF(JU20&gt;0,JU20,"")</f>
        <v/>
      </c>
      <c r="KN20" s="16" t="str">
        <f>IF(SUM(JR20:JU20)-JV20&gt;0,SUM(JR20:JU20)-JV20,"")</f>
        <v/>
      </c>
      <c r="KO20" s="16" t="str">
        <f>IF(JY20&gt;0,JY20,"")</f>
        <v/>
      </c>
      <c r="KP20" s="16" t="str">
        <f>IF(JZ20&gt;0,JZ20,"")</f>
        <v/>
      </c>
      <c r="KQ20" s="16" t="str">
        <f>IF(SUM(JW20:JZ20)-KA20&gt;0,SUM(JW20:JZ20)-KA20,"")</f>
        <v/>
      </c>
      <c r="KR20" s="16" t="str">
        <f>IF(MAX(KN20,KQ20)&gt;0,MAX(KN20,KQ20),"")</f>
        <v/>
      </c>
      <c r="KS20" s="16" t="str">
        <f>IF(KD20&gt;0,KD20,"")</f>
        <v/>
      </c>
      <c r="KT20" s="16" t="str">
        <f>IF(KE20&gt;0,KE20,"")</f>
        <v/>
      </c>
      <c r="KU20" s="16" t="str">
        <f>IF(SUM(KB20:KE20)-KF20&gt;0,SUM(KB20:KE20)-KF20,"")</f>
        <v/>
      </c>
      <c r="KV20" s="16" t="str">
        <f>IF(KI20&gt;0,KI20,"")</f>
        <v/>
      </c>
      <c r="KW20" s="16" t="str">
        <f>IF(KJ20&gt;0,KJ20,"")</f>
        <v/>
      </c>
      <c r="KX20" s="16" t="str">
        <f>IF(SUM(KG20:KJ20)-KK20&gt;0,SUM(KG20:KJ20)-KK20,"")</f>
        <v/>
      </c>
      <c r="KY20" s="16" t="str">
        <f>IF(SUM(KR20,KX20)&gt;0,SUM(KR20,KX20),"")</f>
        <v/>
      </c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25"/>
      <c r="LQ20" s="25"/>
      <c r="LR20" s="25"/>
      <c r="LS20" s="25"/>
      <c r="LT20" s="76" t="str">
        <f>IF(LB20&gt;0,LB20,"")</f>
        <v/>
      </c>
      <c r="LU20" s="76" t="str">
        <f>IF(LC20&gt;0,LC20,"")</f>
        <v/>
      </c>
      <c r="LV20" s="76" t="str">
        <f>IF(SUM(KZ20:LC20)-LD20&gt;0,SUM(KZ20:LC20)-LD20,"")</f>
        <v/>
      </c>
      <c r="LW20" s="76" t="str">
        <f>IF(LG20&gt;0,LG20,"")</f>
        <v/>
      </c>
      <c r="LX20" s="76" t="str">
        <f>IF(LH20&gt;0,LH20,"")</f>
        <v/>
      </c>
      <c r="LY20" s="76" t="str">
        <f>IF(SUM(LE20:LH20)-LI20&gt;0,SUM(LE20:LH20)-LI20,"")</f>
        <v/>
      </c>
      <c r="LZ20" s="76" t="str">
        <f>IF(MAX(LV20,LY20)&gt;0,MAX(LV20,LY20),"")</f>
        <v/>
      </c>
      <c r="MA20" s="76" t="str">
        <f>IF(LL20&gt;0,LL20,"")</f>
        <v/>
      </c>
      <c r="MB20" s="76" t="str">
        <f>IF(LM20&gt;0,LM20,"")</f>
        <v/>
      </c>
      <c r="MC20" s="76" t="str">
        <f>IF(SUM(LJ20:LM20)-LN20&gt;0,SUM(LJ20:LM20)-LN20,"")</f>
        <v/>
      </c>
      <c r="MD20" s="76" t="str">
        <f>IF(LQ20&gt;0,LQ20,"")</f>
        <v/>
      </c>
      <c r="ME20" s="76" t="str">
        <f>IF(LR20&gt;0,LR20,"")</f>
        <v/>
      </c>
      <c r="MF20" s="76" t="str">
        <f>IF(SUM(LO20:LR20)-LS20&gt;0,SUM(LO20:LR20)-LS20,"")</f>
        <v/>
      </c>
      <c r="MG20" s="76" t="str">
        <f>IF(SUM(LZ20,MF20)&gt;0,SUM(LZ20,MF20),"")</f>
        <v/>
      </c>
      <c r="MH20" s="26"/>
      <c r="MI20" s="26"/>
      <c r="MJ20" s="26"/>
      <c r="MK20" s="26"/>
      <c r="ML20" s="26"/>
      <c r="MM20" s="26"/>
      <c r="MN20" s="26"/>
      <c r="MO20" s="26"/>
      <c r="MP20" s="26"/>
      <c r="MQ20" s="26"/>
      <c r="MR20" s="26"/>
      <c r="MS20" s="26"/>
      <c r="MT20" s="26"/>
      <c r="MU20" s="26"/>
      <c r="MV20" s="26"/>
      <c r="MW20" s="26"/>
      <c r="MX20" s="26"/>
      <c r="MY20" s="26"/>
      <c r="MZ20" s="26"/>
      <c r="NA20" s="26"/>
      <c r="NB20" s="16" t="str">
        <f>IF(MJ20&gt;0,MJ20,"")</f>
        <v/>
      </c>
      <c r="NC20" s="16" t="str">
        <f>IF(MK20&gt;0,MK20,"")</f>
        <v/>
      </c>
      <c r="ND20" s="16" t="str">
        <f>IF(SUM(MH20:MK20)-ML20&gt;0,SUM(MH20:MK20)-ML20,"")</f>
        <v/>
      </c>
      <c r="NE20" s="16" t="str">
        <f>IF(MO20&gt;0,MO20,"")</f>
        <v/>
      </c>
      <c r="NF20" s="16" t="str">
        <f>IF(MP20&gt;0,MP20,"")</f>
        <v/>
      </c>
      <c r="NG20" s="16" t="str">
        <f>IF(SUM(MM20:MP20)-MQ20&gt;0,SUM(MM20:MP20)-MQ20,"")</f>
        <v/>
      </c>
      <c r="NH20" s="16" t="str">
        <f>IF(MAX(ND20,NG20)&gt;0,MAX(ND20,NG20),"")</f>
        <v/>
      </c>
      <c r="NI20" s="16" t="str">
        <f>IF(MT20&gt;0,MT20,"")</f>
        <v/>
      </c>
      <c r="NJ20" s="16" t="str">
        <f>IF(MU20&gt;0,MU20,"")</f>
        <v/>
      </c>
      <c r="NK20" s="16" t="str">
        <f>IF(SUM(MR20:MU20)-MV20&gt;0,SUM(MR20:MU20)-MV20,"")</f>
        <v/>
      </c>
      <c r="NL20" s="16" t="str">
        <f>IF(MY20&gt;0,MY20,"")</f>
        <v/>
      </c>
      <c r="NM20" s="16" t="str">
        <f>IF(MZ20&gt;0,MZ20,"")</f>
        <v/>
      </c>
      <c r="NN20" s="16" t="str">
        <f>IF(SUM(MW20:MZ20)-NA20&gt;0,SUM(MW20:MZ20)-NA20,"")</f>
        <v/>
      </c>
      <c r="NO20" s="16" t="str">
        <f>IF(SUM(NH20,NN20)&gt;0,SUM(NH20,NN20),"")</f>
        <v/>
      </c>
      <c r="NP20" s="25"/>
      <c r="NQ20" s="25"/>
      <c r="NR20" s="25"/>
      <c r="NS20" s="25"/>
      <c r="NT20" s="25"/>
      <c r="NU20" s="25"/>
      <c r="NV20" s="25"/>
      <c r="NW20" s="25"/>
      <c r="NX20" s="25"/>
      <c r="NY20" s="25"/>
      <c r="NZ20" s="25"/>
      <c r="OA20" s="25"/>
      <c r="OB20" s="25"/>
      <c r="OC20" s="25"/>
      <c r="OD20" s="25"/>
      <c r="OE20" s="25"/>
      <c r="OF20" s="25"/>
      <c r="OG20" s="25"/>
      <c r="OH20" s="25"/>
      <c r="OI20" s="25"/>
      <c r="OJ20" s="76" t="str">
        <f>IF(NR20&gt;0,NR20,"")</f>
        <v/>
      </c>
      <c r="OK20" s="76" t="str">
        <f>IF(NS20&gt;0,NS20,"")</f>
        <v/>
      </c>
      <c r="OL20" s="76" t="str">
        <f>IF(SUM(NP20:NS20)-NT20&gt;0,SUM(NP20:NS20)-NT20,"")</f>
        <v/>
      </c>
      <c r="OM20" s="76" t="str">
        <f>IF(NW20&gt;0,NW20,"")</f>
        <v/>
      </c>
      <c r="ON20" s="76" t="str">
        <f>IF(NX20&gt;0,NX20,"")</f>
        <v/>
      </c>
      <c r="OO20" s="76" t="str">
        <f>IF(SUM(NU20:NX20)-NY20&gt;0,SUM(NU20:NX20)-NY20,"")</f>
        <v/>
      </c>
      <c r="OP20" s="76" t="str">
        <f>IF(MAX(OL20,OO20)&gt;0,MAX(OL20,OO20),"")</f>
        <v/>
      </c>
      <c r="OQ20" s="76" t="str">
        <f>IF(OB20&gt;0,OB20,"")</f>
        <v/>
      </c>
      <c r="OR20" s="76" t="str">
        <f>IF(OC20&gt;0,OC20,"")</f>
        <v/>
      </c>
      <c r="OS20" s="76" t="str">
        <f>IF(SUM(NZ20:OC20)-OD20&gt;0,SUM(NZ20:OC20)-OD20,"")</f>
        <v/>
      </c>
      <c r="OT20" s="76" t="str">
        <f>IF(OG20&gt;0,OG20,"")</f>
        <v/>
      </c>
      <c r="OU20" s="76" t="str">
        <f>IF(OH20&gt;0,OH20,"")</f>
        <v/>
      </c>
      <c r="OV20" s="76" t="str">
        <f>IF(SUM(OE20:OH20)-OI20&gt;0,SUM(OE20:OH20)-OI20,"")</f>
        <v/>
      </c>
      <c r="OW20" s="76" t="str">
        <f>IF(SUM(OP20,OV20)&gt;0,SUM(OP20,OV20),"")</f>
        <v/>
      </c>
      <c r="OX20" s="26"/>
      <c r="OY20" s="26"/>
      <c r="OZ20" s="26"/>
      <c r="PA20" s="26"/>
      <c r="PB20" s="26"/>
      <c r="PC20" s="26"/>
      <c r="PD20" s="26"/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16" t="str">
        <f>IF(OZ20&gt;0,OZ20,"")</f>
        <v/>
      </c>
      <c r="PS20" s="16" t="str">
        <f>IF(PA20&gt;0,PA20,"")</f>
        <v/>
      </c>
      <c r="PT20" s="16" t="str">
        <f>IF(SUM(OX20:PA20)-PB20&gt;0,SUM(OX20:PA20)-PB20,"")</f>
        <v/>
      </c>
      <c r="PU20" s="16" t="str">
        <f>IF(PE20&gt;0,PE20,"")</f>
        <v/>
      </c>
      <c r="PV20" s="16" t="str">
        <f>IF(PF20&gt;0,PF20,"")</f>
        <v/>
      </c>
      <c r="PW20" s="16" t="str">
        <f>IF(SUM(PC20:PF20)-PG20&gt;0,SUM(PC20:PF20)-PG20,"")</f>
        <v/>
      </c>
      <c r="PX20" s="16" t="str">
        <f>IF(MAX(PT20,PW20)&gt;0,MAX(PT20,PW20),"")</f>
        <v/>
      </c>
      <c r="PY20" s="16" t="str">
        <f>IF(PJ20&gt;0,PJ20,"")</f>
        <v/>
      </c>
      <c r="PZ20" s="16" t="str">
        <f>IF(PK20&gt;0,PK20,"")</f>
        <v/>
      </c>
      <c r="QA20" s="16" t="str">
        <f>IF(SUM(PH20:PK20)-PL20&gt;0,SUM(PH20:PK20)-PL20,"")</f>
        <v/>
      </c>
      <c r="QB20" s="16" t="str">
        <f>IF(PO20&gt;0,PO20,"")</f>
        <v/>
      </c>
      <c r="QC20" s="16" t="str">
        <f>IF(PP20&gt;0,PP20,"")</f>
        <v/>
      </c>
      <c r="QD20" s="16" t="str">
        <f>IF(SUM(PM20:PP20)-PQ20&gt;0,SUM(PM20:PP20)-PQ20,"")</f>
        <v/>
      </c>
      <c r="QE20" s="16" t="str">
        <f>IF(SUM(PX20,QD20)&gt;0,SUM(PX20,QD20),"")</f>
        <v/>
      </c>
      <c r="QF20" s="25"/>
      <c r="QG20" s="25"/>
      <c r="QH20" s="25"/>
      <c r="QI20" s="25"/>
      <c r="QJ20" s="25"/>
      <c r="QK20" s="25"/>
      <c r="QL20" s="25"/>
      <c r="QM20" s="25"/>
      <c r="QN20" s="25"/>
      <c r="QO20" s="25"/>
      <c r="QP20" s="25"/>
      <c r="QQ20" s="25"/>
      <c r="QR20" s="25"/>
      <c r="QS20" s="25"/>
      <c r="QT20" s="25"/>
      <c r="QU20" s="25"/>
      <c r="QV20" s="25"/>
      <c r="QW20" s="25"/>
      <c r="QX20" s="25"/>
      <c r="QY20" s="25"/>
      <c r="QZ20" s="76" t="str">
        <f>IF(QH20&gt;0,QH20,"")</f>
        <v/>
      </c>
      <c r="RA20" s="76" t="str">
        <f>IF(QI20&gt;0,QI20,"")</f>
        <v/>
      </c>
      <c r="RB20" s="76" t="str">
        <f>IF(SUM(QF20:QI20)-QJ20&gt;0,SUM(QF20:QI20)-QJ20,"")</f>
        <v/>
      </c>
      <c r="RC20" s="76" t="str">
        <f>IF(QM20&gt;0,QM20,"")</f>
        <v/>
      </c>
      <c r="RD20" s="76" t="str">
        <f>IF(QN20&gt;0,QN20,"")</f>
        <v/>
      </c>
      <c r="RE20" s="76" t="str">
        <f>IF(SUM(QK20:QN20)-QO20&gt;0,SUM(QK20:QN20)-QO20,"")</f>
        <v/>
      </c>
      <c r="RF20" s="76" t="str">
        <f>IF(MAX(RB20,RE20)&gt;0,MAX(RB20,RE20),"")</f>
        <v/>
      </c>
      <c r="RG20" s="76" t="str">
        <f>IF(QR20&gt;0,QR20,"")</f>
        <v/>
      </c>
      <c r="RH20" s="76" t="str">
        <f>IF(QS20&gt;0,QS20,"")</f>
        <v/>
      </c>
      <c r="RI20" s="76" t="str">
        <f>IF(SUM(QP20:QS20)-QT20&gt;0,SUM(QP20:QS20)-QT20,"")</f>
        <v/>
      </c>
      <c r="RJ20" s="76" t="str">
        <f>IF(QW20&gt;0,QW20,"")</f>
        <v/>
      </c>
      <c r="RK20" s="76" t="str">
        <f>IF(QX20&gt;0,QX20,"")</f>
        <v/>
      </c>
      <c r="RL20" s="76" t="str">
        <f>IF(SUM(QU20:QX20)-QY20&gt;0,SUM(QU20:QX20)-QY20,"")</f>
        <v/>
      </c>
      <c r="RM20" s="76" t="str">
        <f>IF(SUM(RF20,RL20)&gt;0,SUM(RF20,RL20),"")</f>
        <v/>
      </c>
      <c r="RN20" s="26"/>
      <c r="RO20" s="26"/>
      <c r="RP20" s="26"/>
      <c r="RQ20" s="26"/>
      <c r="RR20" s="26"/>
      <c r="RS20" s="26"/>
      <c r="RT20" s="26"/>
      <c r="RU20" s="26"/>
      <c r="RV20" s="26"/>
      <c r="RW20" s="26"/>
      <c r="RX20" s="26"/>
      <c r="RY20" s="26"/>
      <c r="RZ20" s="26"/>
      <c r="SA20" s="26"/>
      <c r="SB20" s="26"/>
      <c r="SC20" s="26"/>
      <c r="SD20" s="26"/>
      <c r="SE20" s="26"/>
      <c r="SF20" s="26"/>
      <c r="SG20" s="26"/>
      <c r="SH20" s="16" t="str">
        <f>IF(RP20&gt;0,RP20,"")</f>
        <v/>
      </c>
      <c r="SI20" s="16" t="str">
        <f>IF(RQ20&gt;0,RQ20,"")</f>
        <v/>
      </c>
      <c r="SJ20" s="16" t="str">
        <f>IF(SUM(RN20:RQ20)-RR20&gt;0,SUM(RN20:RQ20)-RR20,"")</f>
        <v/>
      </c>
      <c r="SK20" s="16" t="str">
        <f>IF(RU20&gt;0,RU20,"")</f>
        <v/>
      </c>
      <c r="SL20" s="16" t="str">
        <f>IF(RV20&gt;0,RV20,"")</f>
        <v/>
      </c>
      <c r="SM20" s="16" t="str">
        <f>IF(SUM(RS20:RV20)-RW20&gt;0,SUM(RS20:RV20)-RW20,"")</f>
        <v/>
      </c>
      <c r="SN20" s="16" t="str">
        <f>IF(MAX(SJ20,SM20)&gt;0,MAX(SJ20,SM20),"")</f>
        <v/>
      </c>
      <c r="SO20" s="16" t="str">
        <f>IF(RZ20&gt;0,RZ20,"")</f>
        <v/>
      </c>
      <c r="SP20" s="16" t="str">
        <f>IF(SA20&gt;0,SA20,"")</f>
        <v/>
      </c>
      <c r="SQ20" s="16" t="str">
        <f>IF(SUM(RX20:SA20)-SB20&gt;0,SUM(RX20:SA20)-SB20,"")</f>
        <v/>
      </c>
      <c r="SR20" s="16" t="str">
        <f>IF(SE20&gt;0,SE20,"")</f>
        <v/>
      </c>
      <c r="SS20" s="16" t="str">
        <f>IF(SF20&gt;0,SF20,"")</f>
        <v/>
      </c>
      <c r="ST20" s="16" t="str">
        <f>IF(SUM(SC20:SF20)-SG20&gt;0,SUM(SC20:SF20)-SG20,"")</f>
        <v/>
      </c>
      <c r="SU20" s="16" t="str">
        <f>IF(SUM(SN20,ST20)&gt;0,SUM(SN20,ST20),"")</f>
        <v/>
      </c>
      <c r="SV20" s="42">
        <f>IF($CP20="P",CA20,(CA20+AZ20)/2)</f>
        <v>6.85</v>
      </c>
      <c r="SW20" s="42">
        <f>IF($CP20="P",CB20,(CB20+BA20)/2)</f>
        <v>4.5999999999999996</v>
      </c>
      <c r="SX20" s="42">
        <f>IF($CP20="P",CC20,(CC20+BB20)/2)</f>
        <v>6.15</v>
      </c>
      <c r="SY20" s="42">
        <f>IF($CP20="P",CD20,(CD20+BC20)/2)</f>
        <v>7.58</v>
      </c>
      <c r="SZ20" s="42">
        <f>IF($CP20="P",CE20,(CE20+BD20)/2)</f>
        <v>0.6</v>
      </c>
      <c r="TA20" s="42">
        <f>IF($CP20="P",CF20,(CF20+BE20)/2)</f>
        <v>6.05</v>
      </c>
      <c r="TB20" s="42">
        <f>IF($CP20="P",CG20,(CG20+BF20)/2)</f>
        <v>3.85</v>
      </c>
      <c r="TC20" s="42">
        <f>IF($CP20="P",CH20,(CH20+BG20)/2)</f>
        <v>6.5</v>
      </c>
      <c r="TD20" s="42">
        <f>IF($CP20="P",CI20,(CI20+BH20)/2)</f>
        <v>6.835</v>
      </c>
      <c r="TE20" s="42">
        <f>IF($CP20="P",CJ20,(CJ20+BI20)/2)</f>
        <v>0</v>
      </c>
      <c r="TF20" s="42">
        <f>IF($CP20="P",CK20,(CK20+BJ20)/2)</f>
        <v>0</v>
      </c>
      <c r="TG20" s="42">
        <f>IF($CP20="P",CL20,(CL20+BK20)/2)</f>
        <v>0</v>
      </c>
      <c r="TH20" s="42">
        <f>IF($CP20="P",CM20,(CM20+BL20)/2)</f>
        <v>0</v>
      </c>
      <c r="TI20" s="42">
        <f>IF($CP20="P",CN20,(CN20+BM20)/2)</f>
        <v>0</v>
      </c>
      <c r="TJ20" s="42">
        <f>IF($CP20="P",CO20,(CO20+BN20)/2)</f>
        <v>0</v>
      </c>
      <c r="TK20" s="51" t="s">
        <v>61</v>
      </c>
      <c r="TL20" s="76">
        <f>IF(SX20&gt;0,SX20,"")</f>
        <v>6.15</v>
      </c>
      <c r="TM20" s="76">
        <f>IF(SY20&gt;0,SY20,"")</f>
        <v>7.58</v>
      </c>
      <c r="TN20" s="76">
        <f>IF(SUM(SV20:SY20)-SZ20&gt;0,SUM(SV20:SY20)-SZ20,"")</f>
        <v>24.58</v>
      </c>
      <c r="TO20" s="76">
        <f>IF(TC20&gt;0,TC20,"")</f>
        <v>6.5</v>
      </c>
      <c r="TP20" s="76">
        <f>IF(TD20&gt;0,TD20,"")</f>
        <v>6.835</v>
      </c>
      <c r="TQ20" s="76">
        <f>IF(SUM(TA20:TD20)-TE20&gt;0,SUM(TA20:TD20)-TE20,"")</f>
        <v>23.234999999999999</v>
      </c>
      <c r="TR20" s="76">
        <f>IF(MAX(TN20,TQ20)&gt;0,MAX(TN20,TQ20),"")</f>
        <v>24.58</v>
      </c>
      <c r="TS20" s="76" t="str">
        <f>IF(TH20&gt;0,TH20,"")</f>
        <v/>
      </c>
      <c r="TT20" s="76" t="str">
        <f>IF(TI20&gt;0,TI20,"")</f>
        <v/>
      </c>
      <c r="TU20" s="76" t="str">
        <f>IF(SUM(TF20:TI20)-TJ20&gt;0,SUM(TF20:TI20)-TJ20,"")</f>
        <v/>
      </c>
      <c r="TV20" s="76">
        <f>IF(SUM(TR20,TU20)&gt;0,SUM(TR20,TU20),"")</f>
        <v>24.58</v>
      </c>
    </row>
    <row r="21" spans="1:542" x14ac:dyDescent="0.2">
      <c r="A21" s="5" t="str" cm="1">
        <f t="array" ref="A21">IF(AND(F21&lt;&gt;"",G21&lt;&gt;""),SUMPRODUCT((F$4:F$23&lt;&gt;"")*(G$4:G$23&lt;&gt;"")*(E$4:E$23&gt;E21))+1,IF(G21&lt;&gt;"",SUMPRODUCT((H$4:H$23="No DD")*(E$4:E$23&gt;E21))+1+SUMPRODUCT((F$4:F$23&lt;&gt;"")*(G$4:G$23&lt;&gt;"")),""))</f>
        <v/>
      </c>
      <c r="B21" s="6" t="s">
        <v>73</v>
      </c>
      <c r="C21" s="7" t="s">
        <v>5</v>
      </c>
      <c r="D21" s="18">
        <v>1991</v>
      </c>
      <c r="E21" s="14">
        <f>SUM(J21:V21)+SUM(J21:T21)*0.0000001+SUM(J21)*0.0000000000001</f>
        <v>86.095008609504703</v>
      </c>
      <c r="F21" s="3" t="str">
        <f>IF(OR(AND(AO21&gt;=AY$25,AO21&lt;&gt;"",AQ21&gt;=AY$29,AQ21&lt;&gt;"",AN21=""),AND(AR21&gt;=AY$25,AR21&lt;&gt;"",AT21&gt;=AY$29,AT21&lt;&gt;"",AN21=""),AND(AV21&gt;=AY$25,AV21&lt;&gt;"",AX21&gt;=AY$29,AX21&lt;&gt;"",AN21=""),AND(BP21&gt;=BZ$25,BP21&lt;&gt;"",BR21&gt;=BZ$29,BR21&lt;&gt;"",BO21=""),AND(BS21&gt;=BZ$25,BS21&lt;&gt;"",BU21&gt;=BZ$29,BU21&lt;&gt;"",BO21=""),AND(BW21&gt;=BZ$25,BW21&lt;&gt;"",BY21&gt;=BZ$29,BY21&lt;&gt;"",BO21=""),AND(CQ21&gt;=DA$25,CQ21&lt;&gt;"",CS21&gt;=DA$29,CS21&lt;&gt;"",CP21=""),AND(CT21&gt;=DA$25,CT21&lt;&gt;"",CV21&gt;=DA$29,CV21&lt;&gt;"",CP21=""),AND(CX21&gt;=DA$25,CX21&lt;&gt;"",CZ21&gt;=DA$29,CZ21&lt;&gt;"",CP21=""),AND(DX21&gt;=EK$25,DX21&lt;&gt;"",DZ21&gt;=EK$29,DZ21&lt;&gt;""),AND(EA21&gt;=EK$25,EA21&lt;&gt;"",EC21&gt;=EK$29,EC21&lt;&gt;""),AND(EE21&gt;=EK$25,EE21&lt;&gt;"",EG21&gt;=EK$29,EG21&lt;&gt;""),AND(EH21&gt;=EK$25,EH21&lt;&gt;"",EJ21&gt;=EK$29,EJ21&lt;&gt;""),AND(FF21&gt;=FS$25,FF21&lt;&gt;"",FH21&gt;=FS$29,FH21&lt;&gt;""),AND(FI21&gt;=FS$25,FI21&lt;&gt;"",FK21&gt;=FS$29,FK21&lt;&gt;""),AND(FM21&gt;=FS$25,FM21&lt;&gt;"",FO21&gt;=FS$29,FO21&lt;&gt;""),AND(FP21&gt;=FS$25,FP21&lt;&gt;"",FR21&gt;=FS$29,FR21&lt;&gt;""),AND(GN21&gt;=HA$25,GN21&lt;&gt;"",GP21&gt;=HA$29,GP21&lt;&gt;""),AND(GQ21&gt;=HA$25,GQ21&lt;&gt;"",GS21&gt;=HA$29,GS21&lt;&gt;""),AND(GU21&gt;=HA$25,GU21&lt;&gt;"",GW21&gt;=HA$29,GW21&lt;&gt;""),AND(GX21&gt;=HA$25,GX21&lt;&gt;"",GZ21&gt;=HA$29,GZ21&lt;&gt;""),AND(HV21&gt;=II$25,HV21&lt;&gt;"",HX21&gt;=II$29,HX21&lt;&gt;""),AND(HY21&gt;=II$25,HY21&lt;&gt;"",IA21&gt;=II$29,IA21&lt;&gt;""),AND(IC21&gt;=II$25,IC21&lt;&gt;"",IE21&gt;=II$29,IE21&lt;&gt;""),AND(IF21&gt;=II$25,IF21&lt;&gt;"",IH21&gt;=II$29,IH21&lt;&gt;""),AND(JD21&gt;=JQ$25,JD21&lt;&gt;"",JF21&gt;=JQ$29,JF21&lt;&gt;""),AND(JG21&gt;=JQ$25,JG21&lt;&gt;"",JI21&gt;=JQ$29,JI21&lt;&gt;""),AND(JK21&gt;=JQ$25,JK21&lt;&gt;"",JM21&gt;=JQ$29,JM21&lt;&gt;""),AND(JN21&gt;=JQ$25,JN21&lt;&gt;"",JP21&gt;=JQ$29,JP21&lt;&gt;""),AND(KL21&gt;=KY$25,KL21&lt;&gt;"",KN21&gt;=KY$29,KN21&lt;&gt;""),AND(KO21&gt;=KY$25,KO21&lt;&gt;"",KQ21&gt;=KY$29,KQ21&lt;&gt;""),AND(KS21&gt;=KY$25,KS21&lt;&gt;"",KU21&gt;=KY$29,KU21&lt;&gt;""),AND(KV21&gt;=KY$25,KV21&lt;&gt;"",KX21&gt;=KY$29,KX21&lt;&gt;""),AND(LT21&gt;=MG$25,LT21&lt;&gt;"",LV21&gt;=MG$29,LV21&lt;&gt;""),AND(LW21&gt;=MG$25,LW21&lt;&gt;"",LY21&gt;=MG$29,LY21&lt;&gt;""),AND(MA21&gt;=MG$25,MA21&lt;&gt;"",MC21&gt;=MG$29,MC21&lt;&gt;""),AND(MD21&gt;=MG$25,MD21&lt;&gt;"",MF21&gt;=MG$29,MF21&lt;&gt;""),AND(NB21&gt;=NO$25,NB21&lt;&gt;"",ND21&gt;=NO$29,ND21&lt;&gt;""),AND(NE21&gt;=NO$25,NE21&lt;&gt;"",NG21&gt;=NO$29,NG21&lt;&gt;""),AND(NI21&gt;=NO$25,NI21&lt;&gt;"",NK21&gt;=NO$29,NK21&lt;&gt;""),AND(NL21&gt;=NO$25,NL21&lt;&gt;"",NN21&gt;=NO$29,NN21&lt;&gt;""),AND(OJ21&gt;=OW$25,OJ21&lt;&gt;"",OL21&gt;=OW$29,OL21&lt;&gt;""),AND(OM21&gt;=OW$25,OM21&lt;&gt;"",OO21&gt;=OW$29,OO21&lt;&gt;""),AND(OQ21&gt;=OW$25,OQ21&lt;&gt;"",OS21&gt;=OW$29,OS21&lt;&gt;""),AND(OT21&gt;=OW$25,OT21&lt;&gt;"",OV21&gt;=OW$29,OV21&lt;&gt;""),AND(PR21&gt;=QE$25,PR21&lt;&gt;"",PT21&gt;=QE$29,PT21&lt;&gt;""),AND(PU21&gt;=QE$25,PU21&lt;&gt;"",PW21&gt;=QE$29,PW21&lt;&gt;""),AND(PY21&gt;=QE$25,PY21&lt;&gt;"",QA21&gt;=QE$29,QA21&lt;&gt;""),AND(QB21&gt;=QE$25,QB21&lt;&gt;"",QD21&gt;=QE$29,QD21&lt;&gt;""),AND(QZ21&gt;=RM$25,QZ21&lt;&gt;"",RB21&gt;=RM$29,RB21&lt;&gt;""),AND(RC21&gt;=RM$25,RC21&lt;&gt;"",RE21&gt;=RM$29,RE21&lt;&gt;""),AND(RG21&gt;=RM$25,RG21&lt;&gt;"",RI21&gt;=RM$29,RI21&lt;&gt;""),AND(RJ21&gt;=RM$25,RJ21&lt;&gt;"",RL21&gt;=RM$29,RL21&lt;&gt;""),AND(SH21&gt;=SU$25,SH21&lt;&gt;"",SJ21&gt;=SU$29,SJ21&lt;&gt;""),AND(SK21&gt;=SU$25,SK21&lt;&gt;"",SM21&gt;=SU$29,SM21&lt;&gt;""),AND(SO21&gt;=SU$25,SO21&lt;&gt;"",SQ21&gt;=SU$29,SQ21&lt;&gt;""),AND(SR21&gt;=SU$25,SR21&lt;&gt;"",ST21&gt;=SU$29,ST21&lt;&gt;"")),"P","")</f>
        <v/>
      </c>
      <c r="G21" s="3" t="str">
        <f>IF(OR(AND(AQ21&gt;=AY$29,AQ21&lt;&gt;"",AN21=""),AND(AT21&gt;=AY$29,AT21&lt;&gt;"",AN21=""),AND(AX21&gt;=AY$29,AX21&lt;&gt;"",AN21=""),AND(BR21&gt;=BZ$29,BR21&lt;&gt;"",BO21=""),AND(BU21&gt;=BZ$29,BU21&lt;&gt;"",BO21=""),AND(BY21&gt;=BZ$29,BY21&lt;&gt;"",BO21=""),AND(CS21&gt;=DA$29,CS21&lt;&gt;"",CP21=""),AND(CV21&gt;=DA$29,CV21&lt;&gt;"",CP21=""),AND(CZ21&gt;=DA$29,CZ21&lt;&gt;"",CP21=""),AND(DZ21&gt;=EK$29,DZ21&lt;&gt;""),AND(EC21&gt;=EK$29,EC21&lt;&gt;""),AND(EG21&gt;=EK$29,EG21&lt;&gt;""),AND(EJ21&gt;=EK$29,EJ21&lt;&gt;""),AND(FH21&gt;=FS$29,FH21&lt;&gt;""),AND(FK21&gt;=FS$29,FK21&lt;&gt;""),AND(FO21&gt;=FS$29,FO21&lt;&gt;""),AND(FR21&gt;=FS$29,FR21&lt;&gt;""),AND(GP21&gt;=HA$29,GP21&lt;&gt;""),AND(GS21&gt;=HA$29,GS21&lt;&gt;""),AND(GW21&gt;=HA$29,GW21&lt;&gt;""),AND(GZ21&gt;=HA$29,GZ21&lt;&gt;""),AND(HX21&gt;=II$29,HX21&lt;&gt;""),AND(IA21&gt;=II$29,IA21&lt;&gt;""),AND(IE21&gt;=II$29,IE21&lt;&gt;""),AND(IH21&gt;=II$29,IH21&lt;&gt;""),AND(JF21&gt;=JQ$29,JF21&lt;&gt;""),AND(JI21&gt;=JQ$29,JI21&lt;&gt;""),AND(JM21&gt;=JQ$29,JM21&lt;&gt;""),AND(JP21&gt;=JQ$29,JP21&lt;&gt;""),AND(KN21&gt;=KY$29,KN21&lt;&gt;""),AND(KQ21&gt;=KY$29,KQ21&lt;&gt;""),AND(KU21&gt;=KY$29,KU21&lt;&gt;""),AND(KX21&gt;=KY$29,KX21&lt;&gt;""),AND(LV21&gt;=MG$29,LV21&lt;&gt;""),AND(LY21&gt;=MG$29,LY21&lt;&gt;""),AND(MC21&gt;=MG$29,MC21&lt;&gt;""),AND(MF21&gt;=MG$29,MF21&lt;&gt;""),AND(ND21&gt;=NO$29,ND21&lt;&gt;""),AND(NG21&gt;=NO$29,NG21&lt;&gt;""),AND(NK21&gt;=NO$29,NK21&lt;&gt;""),AND(NN21&gt;=NO$29,NN21&lt;&gt;""),AND(OL21&gt;=OW$29,OL21&lt;&gt;""),AND(OO21&gt;=OW$29,OO21&lt;&gt;""),AND(OS21&gt;=OW$29,OS21&lt;&gt;""),AND(OV21&gt;=OW$29,OV21&lt;&gt;""),AND(PT21&gt;=QE$29,PT21&lt;&gt;""),AND(PW21&gt;=QE$29,PW21&lt;&gt;""),AND(QA21&gt;=QE$29,QA21&lt;&gt;""),AND(QD21&gt;=QE$29,QD21&lt;&gt;""),AND(RB21&gt;=RM$29,RB21&lt;&gt;""),AND(RE21&gt;=RM$29,RE21&lt;&gt;""),AND(RI21&gt;=RM$29,RI21&lt;&gt;""),AND(RL21&gt;=RM$29,RL21&lt;&gt;""),AND(SJ21&gt;=SU$29,SJ21&lt;&gt;""),AND(SM21&gt;=SU$29,SM21&lt;&gt;""),AND(SQ21&gt;=SU$29,SQ21&lt;&gt;""),AND(ST21&gt;=SU$29,ST21&lt;&gt;"")),"P","")</f>
        <v/>
      </c>
      <c r="H21" s="70" t="str">
        <f>IF(AND(G21="P",F21=""),"No DD",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),"Merit",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X21&gt;=EK$27,DX21&lt;&gt;"",DZ21&gt;=EK$31,DZ21&lt;&gt;""),AND(EA21&gt;=EK$27,EA21&lt;&gt;"",EC21&gt;=EK$31,EC21&lt;&gt;""),AND(EE21&gt;=EK$27,EE21&lt;&gt;"",EG21&gt;=EK$31,EG21&lt;&gt;""),AND(EH21&gt;=EK$27,EH21&lt;&gt;"",EJ21&gt;=EK$31,EJ21&lt;&gt;""),AND(FF21&gt;=FS$27,FF21&lt;&gt;"",FH21&gt;=FS$31,FH21&lt;&gt;""),AND(FI21&gt;=FS$27,FI21&lt;&gt;"",FK21&gt;=FS$31,FK21&lt;&gt;""),AND(FM21&gt;=FS$27,FM21&lt;&gt;"",FO21&gt;=FS$31,FO21&lt;&gt;""),AND(FP21&gt;=FS$27,FP21&lt;&gt;"",FR21&gt;=FS$31,FR21&lt;&gt;""),AND(GN21&gt;=HA$27,GN21&lt;&gt;"",GP21&gt;=HA$31,GP21&lt;&gt;""),AND(GQ21&gt;=HA$27,GQ21&lt;&gt;"",GS21&gt;=HA$31,GS21&lt;&gt;""),AND(GU21&gt;=HA$27,GU21&lt;&gt;"",GW21&gt;=HA$31,GW21&lt;&gt;""),AND(GX21&gt;=HA$27,GX21&lt;&gt;"",GZ21&gt;=HA$31,GZ21&lt;&gt;""),AND(HV21&gt;=II$27,HV21&lt;&gt;"",HX21&gt;=II$31,HX21&lt;&gt;""),AND(HY21&gt;=II$27,HY21&lt;&gt;"",IA21&gt;=II$31,IA21&lt;&gt;""),AND(IC21&gt;=II$27,IC21&lt;&gt;"",IE21&gt;=II$31,IE21&lt;&gt;""),AND(IF21&gt;=II$27,IF21&lt;&gt;"",IH21&gt;=II$31,IH21&lt;&gt;""),AND(JD21&gt;=JQ$27,JD21&lt;&gt;"",JF21&gt;=JQ$31,JF21&lt;&gt;""),AND(JG21&gt;=JQ$27,JG21&lt;&gt;"",JI21&gt;=JQ$31,JI21&lt;&gt;""),AND(JK21&gt;=JQ$27,JK21&lt;&gt;"",JM21&gt;=JQ$31,JM21&lt;&gt;""),AND(JN21&gt;=JQ$27,JN21&lt;&gt;"",JP21&gt;=JQ$31,JP21&lt;&gt;""),AND(KL21&gt;=KY$27,KL21&lt;&gt;"",KN21&gt;=KY$31,KN21&lt;&gt;""),AND(KO21&gt;=KY$27,KO21&lt;&gt;"",KQ21&gt;=KY$31,KQ21&lt;&gt;""),AND(KS21&gt;=KY$27,KS21&lt;&gt;"",KU21&gt;=KY$31,KU21&lt;&gt;""),AND(KV21&gt;=KY$27,KV21&lt;&gt;"",KX21&gt;=KY$31,KX21&lt;&gt;""),AND(LT21&gt;=MG$27,LT21&lt;&gt;"",LV21&gt;=MG$31,LV21&lt;&gt;""),AND(LW21&gt;=MG$27,LW21&lt;&gt;"",LY21&gt;=MG$31,LY21&lt;&gt;""),AND(MA21&gt;=MG$27,MA21&lt;&gt;"",MC21&gt;=MG$31,MC21&lt;&gt;""),AND(MD21&gt;=MG$27,MD21&lt;&gt;"",MF21&gt;=MG$31,MF21&lt;&gt;""),AND(NB21&gt;=NO$27,NB21&lt;&gt;"",ND21&gt;=NO$31,ND21&lt;&gt;""),AND(NE21&gt;=NO$27,NE21&lt;&gt;"",NG21&gt;=NO$31,NG21&lt;&gt;""),AND(NI21&gt;=NO$27,NI21&lt;&gt;"",NK21&gt;=NO$31,NK21&lt;&gt;""),AND(NL21&gt;=NO$27,NL21&lt;&gt;"",NN21&gt;=NO$31,NN21&lt;&gt;""),AND(OJ21&gt;=OW$27,OJ21&lt;&gt;"",OL21&gt;=OW$31,OL21&lt;&gt;""),AND(OM21&gt;=OW$27,OM21&lt;&gt;"",OO21&gt;=OW$31,OO21&lt;&gt;""),AND(OQ21&gt;=OW$27,OQ21&lt;&gt;"",OS21&gt;=OW$31,OS21&lt;&gt;""),AND(OT21&gt;=OW$27,OT21&lt;&gt;"",OV21&gt;=OW$31,OV21&lt;&gt;""),AND(PR21&gt;=QE$27,PR21&lt;&gt;"",PT21&gt;=QE$31,PT21&lt;&gt;""),AND(PU21&gt;=QE$27,PU21&lt;&gt;"",PW21&gt;=QE$31,PW21&lt;&gt;""),AND(PY21&gt;=QE$27,PY21&lt;&gt;"",QA21&gt;=QE$31,QA21&lt;&gt;""),AND(QB21&gt;=QE$27,QB21&lt;&gt;"",QD21&gt;=QE$31,QD21&lt;&gt;""),AND(QZ21&gt;=RM$27,QZ21&lt;&gt;"",RB21&gt;=RM$31,RB21&lt;&gt;""),AND(RC21&gt;=RM$27,RC21&lt;&gt;"",RE21&gt;=RM$31,RE21&lt;&gt;""),AND(RG21&gt;=RM$27,RG21&lt;&gt;"",RI21&gt;=RM$31,RI21&lt;&gt;""),AND(RJ21&gt;=RM$27,RJ21&lt;&gt;"",RL21&gt;=RM$31,RL21&lt;&gt;""),AND(SH21&gt;=SU$27,SH21&lt;&gt;"",SJ21&gt;=SU$31,SJ21&lt;&gt;""),AND(SK21&gt;=SU$27,SK21&lt;&gt;"",SM21&gt;=SU$31,SM21&lt;&gt;""),AND(SO21&gt;=SU$27,SO21&lt;&gt;"",SQ21&gt;=SU$31,SQ21&lt;&gt;""),AND(SR21&gt;=SU$27,SR21&lt;&gt;"",ST21&gt;=SU$31,ST21&lt;&gt;"")),"Excellence",IF(I21="P","Worlds Team",IF(F21="P","National Team","")))))</f>
        <v/>
      </c>
      <c r="I21" s="3" t="str">
        <f>IF(OR(AND(AO21&gt;=AY$26,AO21&lt;&gt;"",AQ21&gt;=AY$30,AQ21&lt;&gt;"",AN21=""),AND(AR21&gt;=AY$26,AR21&lt;&gt;"",AT21&gt;=AY$30,AT21&lt;&gt;"",AN21=""),AND(AV21&gt;=AY$26,AV21&lt;&gt;"",AX21&gt;=AY$30,AX21&lt;&gt;"",AN21=""),AND(BP21&gt;=BZ$26,BP21&lt;&gt;"",BR21&gt;=BZ$30,BR21&lt;&gt;"",BO21=""),AND(BS21&gt;=BZ$26,BS21&lt;&gt;"",BU21&gt;=BZ$30,BU21&lt;&gt;"",BO21=""),AND(BW21&gt;=BZ$26,BW21&lt;&gt;"",BY21&gt;=BZ$30,BY21&lt;&gt;"",BO21=""),AND(CQ21&gt;=DA$26,CQ21&lt;&gt;"",CS21&gt;=DA$30,CS21&lt;&gt;"",CP21=""),AND(CT21&gt;=DA$26,CT21&lt;&gt;"",CV21&gt;=DA$30,CV21&lt;&gt;"",CP21=""),AND(CX21&gt;=DA$26,CX21&lt;&gt;"",CZ21&gt;=DA$30,CZ21&lt;&gt;"",CP21=""),AND(DX21&gt;=EK$26,DX21&lt;&gt;"",DZ21&gt;=EK$30,DZ21&lt;&gt;""),AND(EA21&gt;=EK$26,EA21&lt;&gt;"",EC21&gt;=EK$30,EC21&lt;&gt;""),AND(EE21&gt;=EK$26,EE21&lt;&gt;"",EG21&gt;=EK$30,EG21&lt;&gt;""),AND(EH21&gt;=EK$26,EH21&lt;&gt;"",EJ21&gt;=EK$30,EJ21&lt;&gt;""),AND(FF21&gt;=FS$26,FF21&lt;&gt;"",FH21&gt;=FS$30,FH21&lt;&gt;""),AND(FI21&gt;=FS$26,FI21&lt;&gt;"",FK21&gt;=FS$30,FK21&lt;&gt;""),AND(FM21&gt;=FS$26,FM21&lt;&gt;"",FO21&gt;=FS$30,FO21&lt;&gt;""),AND(FP21&gt;=FS$26,FP21&lt;&gt;"",FR21&gt;=FS$30,FR21&lt;&gt;""),AND(GN21&gt;=HA$26,GN21&lt;&gt;"",GP21&gt;=HA$30,GP21&lt;&gt;""),AND(GQ21&gt;=HA$26,GQ21&lt;&gt;"",GS21&gt;=HA$30,GS21&lt;&gt;""),AND(GU21&gt;=HA$26,GU21&lt;&gt;"",GW21&gt;=HA$30,GW21&lt;&gt;""),AND(GX21&gt;=HA$26,GX21&lt;&gt;"",GZ21&gt;=HA$30,GZ21&lt;&gt;""),AND(HV21&gt;=II$26,HV21&lt;&gt;"",HX21&gt;=II$30,HX21&lt;&gt;""),AND(HY21&gt;=II$26,HY21&lt;&gt;"",IA21&gt;=II$30,IA21&lt;&gt;""),AND(IC21&gt;=II$26,IC21&lt;&gt;"",IE21&gt;=II$30,IE21&lt;&gt;""),AND(IF21&gt;=II$26,IF21&lt;&gt;"",IH21&gt;=II$30,IH21&lt;&gt;""),AND(JD21&gt;=JQ$26,JD21&lt;&gt;"",JF21&gt;=JQ$30,JF21&lt;&gt;""),AND(JG21&gt;=JQ$26,JG21&lt;&gt;"",JI21&gt;=JQ$30,JI21&lt;&gt;""),AND(JK21&gt;=JQ$26,JK21&lt;&gt;"",JM21&gt;=JQ$30,JM21&lt;&gt;""),AND(JN21&gt;=JQ$26,JN21&lt;&gt;"",JP21&gt;=JQ$30,JP21&lt;&gt;""),AND(KL21&gt;=KY$26,KL21&lt;&gt;"",KN21&gt;=KY$30,KN21&lt;&gt;""),AND(KO21&gt;=KY$26,KO21&lt;&gt;"",KQ21&gt;=KY$30,KQ21&lt;&gt;""),AND(KS21&gt;=KY$26,KS21&lt;&gt;"",KU21&gt;=KY$30,KU21&lt;&gt;""),AND(KV21&gt;=KY$26,KV21&lt;&gt;"",KX21&gt;=KY$30,KX21&lt;&gt;""),AND(LT21&gt;=MG$26,LT21&lt;&gt;"",LV21&gt;=MG$30,LV21&lt;&gt;""),AND(LW21&gt;=MG$26,LW21&lt;&gt;"",LY21&gt;=MG$30,LY21&lt;&gt;""),AND(MA21&gt;=MG$26,MA21&lt;&gt;"",MC21&gt;=MG$30,MC21&lt;&gt;""),AND(MD21&gt;=MG$26,MD21&lt;&gt;"",MF21&gt;=MG$30,MF21&lt;&gt;""),AND(NB21&gt;=NO$26,NB21&lt;&gt;"",ND21&gt;=NO$30,ND21&lt;&gt;""),AND(NE21&gt;=NO$26,NE21&lt;&gt;"",NG21&gt;=NO$30,NG21&lt;&gt;""),AND(NI21&gt;=NO$26,NI21&lt;&gt;"",NK21&gt;=NO$30,NK21&lt;&gt;""),AND(NL21&gt;=NO$26,NL21&lt;&gt;"",NN21&gt;=NO$30,NN21&lt;&gt;""),AND(OJ21&gt;=OW$26,OJ21&lt;&gt;"",OL21&gt;=OW$30,OL21&lt;&gt;""),AND(OM21&gt;=OW$26,OM21&lt;&gt;"",OO21&gt;=OW$30,OO21&lt;&gt;""),AND(OQ21&gt;=OW$26,OQ21&lt;&gt;"",OS21&gt;=OW$30,OS21&lt;&gt;""),AND(OT21&gt;=OW$26,OT21&lt;&gt;"",OV21&gt;=OW$30,OV21&lt;&gt;""),AND(PR21&gt;=QE$26,PR21&lt;&gt;"",PT21&gt;=QE$30,PT21&lt;&gt;""),AND(PU21&gt;=QE$26,PU21&lt;&gt;"",PW21&gt;=QE$30,PW21&lt;&gt;""),AND(PY21&gt;=QE$26,PY21&lt;&gt;"",QA21&gt;=QE$30,QA21&lt;&gt;""),AND(QB21&gt;=QE$26,QB21&lt;&gt;"",QD21&gt;=QE$30,QD21&lt;&gt;""),AND(QZ21&gt;=RM$26,QZ21&lt;&gt;"",RB21&gt;=RM$30,RB21&lt;&gt;""),AND(RC21&gt;=RM$26,RC21&lt;&gt;"",RE21&gt;=RM$30,RE21&lt;&gt;""),AND(RG21&gt;=RM$26,RG21&lt;&gt;"",RI21&gt;=RM$30,RI21&lt;&gt;""),AND(RJ21&gt;=RM$26,RJ21&lt;&gt;"",RL21&gt;=RM$30,RL21&lt;&gt;""),AND(SH21&gt;=SU$26,SH21&lt;&gt;"",SJ21&gt;=SU$30,SJ21&lt;&gt;""),AND(SK21&gt;=SU$26,SK21&lt;&gt;"",SM21&gt;=SU$30,SM21&lt;&gt;""),AND(SO21&gt;=SU$26,SO21&lt;&gt;"",SQ21&gt;=SU$30,SQ21&lt;&gt;""),AND(SR21&gt;=SU$26,SR21&lt;&gt;"",ST21&gt;=SU$30,ST21&lt;&gt;"")),"P","")</f>
        <v/>
      </c>
      <c r="J21" s="13">
        <f>IF(COUNT(AQ21,AT21,BR21,BU21,CS21,CV21)&gt;0,LARGE((AQ21,AT21,BR21,BU21,CS21,CV21),1),0)</f>
        <v>47.085000000000001</v>
      </c>
      <c r="K21" s="13" t="str">
        <f>IF(J21="","",IF(OR(J21=CS21,J21=CV21),$CA$1,IF(OR(J21=BR21,J21=BU21),$AZ$1,IF(OR(J21=AQ21,J21=AT21),$Y$1,""))))</f>
        <v>2021 Canadian Championships</v>
      </c>
      <c r="L21" s="13">
        <f>IF(COUNT(AQ21,AT21,BR21,BU21,CS21,CV21)&gt;1,LARGE((AQ21,AT21,BR21,BU21,CS21,CV21),2),0)</f>
        <v>16.130000000000003</v>
      </c>
      <c r="M21" s="13" t="str">
        <f>IF(L21="","",IF(OR(L21=CS21,L21=CV21),$CA$1,IF(OR(L21=BR21,L21=BU21),$AZ$1,IF(OR(L21=AQ21,L21=AT21),$Y$1,""))))</f>
        <v>2021 Elite Canada</v>
      </c>
      <c r="N21" s="13">
        <f>IF(COUNT(AQ21,AT21,BR21,BU21,CS21,CV21)&gt;2,LARGE((AQ21,AT21,BR21,BU21,CS21,CV21),3),0)</f>
        <v>10.38</v>
      </c>
      <c r="O21" s="13" t="str">
        <f>IF(N21="","",IF(OR(N21=CS21,N21=CV21),$CA$1,IF(OR(N21=BR21,N21=BU21),$AZ$1,IF(OR(N21=AQ21,N21=AT21),$Y$1,""))))</f>
        <v>2021 Canadian Championships</v>
      </c>
      <c r="P21" s="13">
        <f>IF(MAX(AX21,BY21,CZ21)&gt;0,MAX(AX21,BY21,CZ21),0)</f>
        <v>0</v>
      </c>
      <c r="Q21" s="13" t="str">
        <f>IF(P21="","",IF(P21=CZ21,$CA$1,IF(P21=BY21,$AZ$1,IF(P21=AX21,$Y$1,""))))</f>
        <v/>
      </c>
      <c r="R21" s="13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12.5</v>
      </c>
      <c r="S21" s="13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2021 Canadian Championships</v>
      </c>
      <c r="T21" s="13">
        <f>IF(MAX(IF(AO21&gt;=$AY$25,AP21,0),IF(AR21&gt;=$AY$25,AS21,0),IF(AV21&gt;=$AY$25,AW21,0),IF(BP21&gt;=$BZ$25,BQ21,0),IF(BS21&gt;=$BZ$25,BT21,0),IF(BW21&gt;=$BZ$25,BX21,0),IF(CQ21&gt;=$DA$25,CR21,0),IF(CT21&gt;=$DA$25,CU21,0),IF(CX21&gt;=$DA$25,CY21,0))&gt;0,MAX(IF(AO21&gt;=$AY$25,AP21,0),IF(AR21&gt;=$AY$25,AS21,0),IF(AV21&gt;=$AY$25,AW21,0),IF(BP21&gt;=$BZ$25,BQ21,0),IF(BS21&gt;=$BZ$25,BT21,0),IF(BW21&gt;=$BZ$25,BX21,0),IF(CQ21&gt;=$DA$25,CR21,0),IF(CT21&gt;=$DA$25,CU21,0),IF(CX21&gt;=$DA$25,CY21,0),IF(DX21&gt;=$EK$25,DY21,0),IF(EA21&gt;=$EK$25,EB21,0),IF(EE21&gt;=$EK$25,EF21,0),IF(EH21&gt;=$EK$25,EI21,0),IF(FF21&gt;=$FS$25,FG21,0),IF(FI21&gt;=$FS$25,FJ21,0),IF(FM21&gt;=$FS$25,FN21,0),IF(FP21&gt;=$FS$25,FQ21,0),IF(GN21&gt;=$HA$25,GO21,0),IF(GQ21&gt;=$HA$25,GR21,0),IF(GU21&gt;=$HA$25,GV21,0),IF(GX21&gt;=$HA$25,GY21,0),IF(HV21&gt;=$II$25,HW21,0),IF(HY21&gt;=$II$25,HZ21,0),IF(IC21&gt;=$II$25,ID21,0),IF(IF21&gt;=$II$25,IG21,0),IF(JD21&gt;=$JQ$25,JE21,0),IF(JG21&gt;=$JQ$25,JH21,0),IF(JK21&gt;=$JQ$25,JL21,0),IF(JN21&gt;=$JQ$25,JO21,0),IF(KL21&gt;=$KY$25,KM21,0),IF(KO21&gt;=$KY$25,KP21,0),IF(KS21&gt;=$KY$25,KT21,0),IF(KV21&gt;=$KY$25,KW21,0),IF(LT21&gt;=$MG$25,LU21,0),IF(LW21&gt;=$MG$25,LX21,0),IF(MA21&gt;=$MG$25,MB21,0),IF(MD21&gt;=$MG$25,ME21,0),IF(NB21&gt;=$NO$25,NC21,0),IF(NE21&gt;=$NO$25,NF21,0),IF(NI21&gt;=$NO$25,NJ21,0),IF(NL21&gt;=$NO$25,NM21,0),IF(OJ21&gt;=$OW$25,OK21,0),IF(OM21&gt;=$OW$25,ON21,0),IF(OQ21&gt;=$OW$25,OR21,0),IF(OT21&gt;=$OW$25,OU21,0),IF(PR21&gt;=$QE$25,PS21,0),IF(PU21&gt;=$QE$25,PV21,0),IF(PY21&gt;=$QE$25,PZ21,0),IF(QB21&gt;=$QE$25,QC21,0),IF(QZ21&gt;=$RM$25,RA21,0),IF(RC21&gt;=$RM$25,RD21,0),IF(RG21&gt;=$RM$25,RH21,0),IF(RJ21&gt;=$RM$25,RK21,0),IF(SH21&gt;=$SU$25,SI21,0),IF(SK21&gt;=$SU$25,SL21,0),IF(SO21&gt;=$SU$25,SP21,0),IF(SR21&gt;=$SU$25,SS21,0)),0)</f>
        <v>0</v>
      </c>
      <c r="U21" s="13" t="str">
        <f>IF(T21=0,"",IF(OR(T21=CR21,T21=CU21,T21=CY21),$CA$1,IF(OR(T21=BQ21,T21=BT21,T21=BX21),$AZ$1,IF(OR(T21=AP21,T21=AS21,T21=AW21),$Y$1,IF(OR(R21=SI21,R21=SL21,R21=SP21,R21=SS21),$RN$1,IF(OR(R21=RA21,R21=RD21,R21=RH21,R21=RK21),$QF$1,IF(OR(R21=PS21,R21=PV21,R21=PZ21,R21=QC21),$OX$1,IF(OR(R21=OK21,R21=ON21,R21=OR21,R21=OU21),$NP$1,IF(OR(R21=NC21,R21=NF21,R21=NJ21,R21=NM21),$MH$1,IF(OR(R21=LU21,R21=LX21,R21=MB21,R21=ME21),$KZ$1,IF(OR(R21=KM21,R21=KP21,R21=KT21,R21=KW21),$JR$1,IF(OR(R21=JE21,R21=JH21,R21=JL21,R21=JO21),$IJ$1,IF(OR(R21=HW21,R21=HZ21,R21=ID21,R21=IG21),$HB$1,IF(OR(R21=GO21,R21=GR21,R21=GV21,R21=GY21),$FT$1,IF(OR(R21=FG21,R21=FJ21,R21=FN21,R21=FQ21),$EL$1,IF(OR(R21=DY21,R21=EB21,R21=EF21,R21=EI21),$DD$1,""))))))))))))))))</f>
        <v/>
      </c>
      <c r="V21" s="13" t="str">
        <f>IF(MAX(DB21,DC21)&gt;0,MAX(DB21,DC21),"")</f>
        <v/>
      </c>
      <c r="W21" s="16" t="str">
        <f>IF(V21="","",IF(V21=DB21,"("&amp;DB$2&amp;")",IF(V21=DC21,"("&amp;DC$2&amp;")")))</f>
        <v/>
      </c>
      <c r="X21" s="13" t="str">
        <f>IF(V21="","",IF(V21=DB21,IF(V21+IF(L21="",0,L21)=SN21,$RN$1,IF(V21+IF(L21="",0,L21)=RF21,$QF$1,IF(V21+IF(L21="",0,L21)=PX21,$OX$1,IF(V21+IF(L21="",0,L21)=OP21,$NP$1,IF(V21+IF(L21="",0,L21)=NH21,$MH$1,IF(V21+IF(L21="",0,L21)=LZ21,$KZ$1,IF(V21+IF(L21="",0,L21)=KR21,$JR$1,IF(V21+IF(L21="",0,L21)=JJ21,$IJ$1,IF(V21+IF(L21="",0,L21)=IB21,$HB$1,IF(V21+IF(L21="",0,L21)=GT21,$FT$1,IF(V21+IF(L21="",0,L21)=FL21,$EL$1,IF(V21+IF(L21="",0,L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$1)))))))))))))))</f>
        <v/>
      </c>
      <c r="Y21" s="42">
        <v>4.2</v>
      </c>
      <c r="Z21" s="42">
        <v>2.9</v>
      </c>
      <c r="AA21" s="42">
        <v>3.7</v>
      </c>
      <c r="AB21" s="42">
        <v>5.33</v>
      </c>
      <c r="AC21" s="42">
        <v>0</v>
      </c>
      <c r="AD21" s="42">
        <v>1.4</v>
      </c>
      <c r="AE21" s="42">
        <v>1</v>
      </c>
      <c r="AF21" s="42">
        <v>2</v>
      </c>
      <c r="AG21" s="42">
        <v>1.8</v>
      </c>
      <c r="AH21" s="42">
        <v>0</v>
      </c>
      <c r="AI21" s="42"/>
      <c r="AJ21" s="42"/>
      <c r="AK21" s="42"/>
      <c r="AL21" s="42"/>
      <c r="AM21" s="42"/>
      <c r="AN21" s="51"/>
      <c r="AO21" s="74">
        <f>IF(AA21&gt;0,AA21,"")</f>
        <v>3.7</v>
      </c>
      <c r="AP21" s="74">
        <f>IF(AB21&gt;0,AB21,"")</f>
        <v>5.33</v>
      </c>
      <c r="AQ21" s="76">
        <f>IF(SUM(Y21:AB21)-AC21&gt;0,SUM(Y21:AB21)-AC21,"")</f>
        <v>16.130000000000003</v>
      </c>
      <c r="AR21" s="76">
        <f>IF(AF21&gt;0,AF21,"")</f>
        <v>2</v>
      </c>
      <c r="AS21" s="76">
        <f>IF(AG21&gt;0,AG21,"")</f>
        <v>1.8</v>
      </c>
      <c r="AT21" s="76">
        <f>IF(SUM(AD21:AG21)-AH21&gt;0,SUM(AD21:AG21)-AH21,"")</f>
        <v>6.2</v>
      </c>
      <c r="AU21" s="76">
        <f>IF(AQ21="","",MAX(AQ21,AT21))</f>
        <v>16.130000000000003</v>
      </c>
      <c r="AV21" s="76" t="str">
        <f>IF(AK21&gt;0,AK21,"")</f>
        <v/>
      </c>
      <c r="AW21" s="76" t="str">
        <f>IF(AL21&gt;0,AL21,"")</f>
        <v/>
      </c>
      <c r="AX21" s="76" t="str">
        <f>IF(SUM(AI21:AL21)-AM21&gt;0,SUM(AI21:AL21)-AM21,"")</f>
        <v/>
      </c>
      <c r="AY21" s="76">
        <f>IF(SUM(AU21,AX21)&gt;0,SUM(AU21,AX21),"")</f>
        <v>16.130000000000003</v>
      </c>
      <c r="AZ21" s="46">
        <v>11.6</v>
      </c>
      <c r="BA21" s="46">
        <v>8.1</v>
      </c>
      <c r="BB21" s="46">
        <v>12.5</v>
      </c>
      <c r="BC21" s="46">
        <v>14.885</v>
      </c>
      <c r="BD21" s="46">
        <v>0</v>
      </c>
      <c r="BE21" s="46">
        <v>2.4</v>
      </c>
      <c r="BF21" s="46">
        <v>1.8</v>
      </c>
      <c r="BG21" s="46">
        <v>2.5</v>
      </c>
      <c r="BH21" s="46">
        <v>3.68</v>
      </c>
      <c r="BI21" s="46">
        <v>0</v>
      </c>
      <c r="BJ21" s="46"/>
      <c r="BK21" s="46"/>
      <c r="BL21" s="46"/>
      <c r="BM21" s="46"/>
      <c r="BN21" s="46"/>
      <c r="BO21" s="52"/>
      <c r="BP21" s="75">
        <f>IF(BB21&gt;0,BB21,"")</f>
        <v>12.5</v>
      </c>
      <c r="BQ21" s="75">
        <f>IF(BC21&gt;0,BC21,"")</f>
        <v>14.885</v>
      </c>
      <c r="BR21" s="16">
        <f>IF(SUM(AZ21:BC21)-BD21&gt;0,SUM(AZ21:BC21)-BD21,"")</f>
        <v>47.085000000000001</v>
      </c>
      <c r="BS21" s="16">
        <f>IF(BG21&gt;0,BG21,"")</f>
        <v>2.5</v>
      </c>
      <c r="BT21" s="16">
        <f>IF(BH21&gt;0,BH21,"")</f>
        <v>3.68</v>
      </c>
      <c r="BU21" s="16">
        <f>IF(SUM(BE21:BH21)-BI21&gt;0,SUM(BE21:BH21)-BI21,"")</f>
        <v>10.38</v>
      </c>
      <c r="BV21" s="16">
        <f>IF(BR21="","",MAX(BR21,BU21))</f>
        <v>47.085000000000001</v>
      </c>
      <c r="BW21" s="16" t="str">
        <f>IF(BL21&gt;0,BL21,"")</f>
        <v/>
      </c>
      <c r="BX21" s="16" t="str">
        <f>IF(BM21&gt;0,BM21,"")</f>
        <v/>
      </c>
      <c r="BY21" s="16" t="str">
        <f>IF(SUM(BJ21:BM21)-BN21&gt;0,SUM(BJ21:BM21)-BN21,"")</f>
        <v/>
      </c>
      <c r="BZ21" s="16">
        <f>IF(SUM(BV21,BY21)&gt;0,SUM(BV21,BY21),"")</f>
        <v>47.085000000000001</v>
      </c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51"/>
      <c r="CQ21" s="74" t="str">
        <f>IF(CC21&gt;0,CC21,"")</f>
        <v/>
      </c>
      <c r="CR21" s="74" t="str">
        <f>IF(CD21&gt;0,CD21,"")</f>
        <v/>
      </c>
      <c r="CS21" s="76" t="str">
        <f>IF(SUM(CA21:CD21)-CE21&gt;0,SUM(CA21:CD21)-CE21,"")</f>
        <v/>
      </c>
      <c r="CT21" s="76" t="str">
        <f>IF(CH21&gt;0,CH21,"")</f>
        <v/>
      </c>
      <c r="CU21" s="76" t="str">
        <f>IF(CI21&gt;0,CI21,"")</f>
        <v/>
      </c>
      <c r="CV21" s="76" t="str">
        <f>IF(SUM(CF21:CI21)-CJ21&gt;0,SUM(CF21:CI21)-CJ21,"")</f>
        <v/>
      </c>
      <c r="CW21" s="76" t="str">
        <f>IF(CS21="","",MAX(CS21,CV21))</f>
        <v/>
      </c>
      <c r="CX21" s="76" t="str">
        <f>IF(CM21&gt;0,CM21,"")</f>
        <v/>
      </c>
      <c r="CY21" s="76" t="str">
        <f>IF(CN21&gt;0,CN21,"")</f>
        <v/>
      </c>
      <c r="CZ21" s="76" t="str">
        <f>IF(SUM(CK21:CN21)-CO21&gt;0,SUM(CK21:CN21)-CO21,"")</f>
        <v/>
      </c>
      <c r="DA21" s="76" t="str">
        <f>IF(SUM(CW21,CZ21)&gt;0,SUM(CW21,CZ21),"")</f>
        <v/>
      </c>
      <c r="DB21" s="87" t="str">
        <f>IF(L21&gt;=0.001,IF(MAX(ED21,FL21,GT21,IB21,JJ21,KR21,LZ21,NH21,OP21,PX21,RF21,SN21)-IF(L21="",0,L21)&gt;0.001,MAX(ED21,FL21,GT21,IB21,JJ21,KR21,LZ21,NH21,OP21,PX21,RF21,SN21)-IF(L21="",0,L21),""),"")</f>
        <v/>
      </c>
      <c r="DC21" s="87" t="str">
        <f>IF(P21&gt;=0.001,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,"")</f>
        <v/>
      </c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76" t="str">
        <f>IF(DF21&gt;0,DF21,"")</f>
        <v/>
      </c>
      <c r="DY21" s="76" t="str">
        <f>IF(DG21&gt;0,DG21,"")</f>
        <v/>
      </c>
      <c r="DZ21" s="76" t="str">
        <f>IF(SUM(DD21:DG21)-DH21&gt;0,SUM(DD21:DG21)-DH21,"")</f>
        <v/>
      </c>
      <c r="EA21" s="76" t="str">
        <f>IF(DK21&gt;0,DK21,"")</f>
        <v/>
      </c>
      <c r="EB21" s="76" t="str">
        <f>IF(DL21&gt;0,DL21,"")</f>
        <v/>
      </c>
      <c r="EC21" s="76" t="str">
        <f>IF(SUM(DI21:DL21)-DM21&gt;0,SUM(DI21:DL21)-DM21,"")</f>
        <v/>
      </c>
      <c r="ED21" s="76" t="str">
        <f>IF(MAX(DZ21,EC21)&gt;0,MAX(DZ21,EC21),"")</f>
        <v/>
      </c>
      <c r="EE21" s="76" t="str">
        <f>IF(DP21&gt;0,DP21,"")</f>
        <v/>
      </c>
      <c r="EF21" s="76" t="str">
        <f>IF(DQ21&gt;0,DQ21,"")</f>
        <v/>
      </c>
      <c r="EG21" s="76" t="str">
        <f>IF(SUM(DN21:DQ21)-DR21&gt;0,SUM(DN21:DQ21)-DR21,"")</f>
        <v/>
      </c>
      <c r="EH21" s="76" t="str">
        <f>IF(DU21&gt;0,DU21,"")</f>
        <v/>
      </c>
      <c r="EI21" s="76" t="str">
        <f>IF(DV21&gt;0,DV21,"")</f>
        <v/>
      </c>
      <c r="EJ21" s="76" t="str">
        <f>IF(SUM(DS21:DV21)-DW21&gt;0,SUM(DS21:DV21)-DW21,"")</f>
        <v/>
      </c>
      <c r="EK21" s="76" t="str">
        <f>IF(SUM(ED21,EJ21)&gt;0,SUM(ED21,EJ21),"")</f>
        <v/>
      </c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16" t="str">
        <f>IF(EN21&gt;0,EN21,"")</f>
        <v/>
      </c>
      <c r="FG21" s="16" t="str">
        <f>IF(EO21&gt;0,EO21,"")</f>
        <v/>
      </c>
      <c r="FH21" s="16" t="str">
        <f>IF(SUM(EL21:EO21)-EP21&gt;0,SUM(EL21:EO21)-EP21,"")</f>
        <v/>
      </c>
      <c r="FI21" s="16" t="str">
        <f>IF(ES21&gt;0,ES21,"")</f>
        <v/>
      </c>
      <c r="FJ21" s="16" t="str">
        <f>IF(ET21&gt;0,ET21,"")</f>
        <v/>
      </c>
      <c r="FK21" s="16" t="str">
        <f>IF(SUM(EQ21:ET21)-EU21&gt;0,SUM(EQ21:ET21)-EU21,"")</f>
        <v/>
      </c>
      <c r="FL21" s="16" t="str">
        <f>IF(MAX(FH21,FK21)&gt;0,MAX(FH21,FK21),"")</f>
        <v/>
      </c>
      <c r="FM21" s="16" t="str">
        <f>IF(EX21&gt;0,EX21,"")</f>
        <v/>
      </c>
      <c r="FN21" s="16" t="str">
        <f>IF(EY21&gt;0,EY21,"")</f>
        <v/>
      </c>
      <c r="FO21" s="16" t="str">
        <f>IF(SUM(EV21:EY21)-EZ21&gt;0,SUM(EV21:EY21)-EZ21,"")</f>
        <v/>
      </c>
      <c r="FP21" s="16" t="str">
        <f>IF(FC21&gt;0,FC21,"")</f>
        <v/>
      </c>
      <c r="FQ21" s="16" t="str">
        <f>IF(FD21&gt;0,FD21,"")</f>
        <v/>
      </c>
      <c r="FR21" s="16" t="str">
        <f>IF(SUM(FA21:FD21)-FE21&gt;0,SUM(FA21:FD21)-FE21,"")</f>
        <v/>
      </c>
      <c r="FS21" s="16" t="str">
        <f>IF(SUM(FL21,FR21)&gt;0,SUM(FL21,FR21),"")</f>
        <v/>
      </c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76" t="str">
        <f>IF(FV21&gt;0,FV21,"")</f>
        <v/>
      </c>
      <c r="GO21" s="76" t="str">
        <f>IF(FW21&gt;0,FW21,"")</f>
        <v/>
      </c>
      <c r="GP21" s="76" t="str">
        <f>IF(SUM(FT21:FW21)-FX21&gt;0,SUM(FT21:FW21)-FX21,"")</f>
        <v/>
      </c>
      <c r="GQ21" s="76" t="str">
        <f>IF(GA21&gt;0,GA21,"")</f>
        <v/>
      </c>
      <c r="GR21" s="76" t="str">
        <f>IF(GB21&gt;0,GB21,"")</f>
        <v/>
      </c>
      <c r="GS21" s="76" t="str">
        <f>IF(SUM(FY21:GB21)-GC21&gt;0,SUM(FY21:GB21)-GC21,"")</f>
        <v/>
      </c>
      <c r="GT21" s="76" t="str">
        <f>IF(MAX(GP21,GS21)&gt;0,MAX(GP21,GS21),"")</f>
        <v/>
      </c>
      <c r="GU21" s="76" t="str">
        <f>IF(GF21&gt;0,GF21,"")</f>
        <v/>
      </c>
      <c r="GV21" s="76" t="str">
        <f>IF(GG21&gt;0,GG21,"")</f>
        <v/>
      </c>
      <c r="GW21" s="76" t="str">
        <f>IF(SUM(GD21:GG21)-GH21&gt;0,SUM(GD21:GG21)-GH21,"")</f>
        <v/>
      </c>
      <c r="GX21" s="76" t="str">
        <f>IF(GK21&gt;0,GK21,"")</f>
        <v/>
      </c>
      <c r="GY21" s="76" t="str">
        <f>IF(GL21&gt;0,GL21,"")</f>
        <v/>
      </c>
      <c r="GZ21" s="76" t="str">
        <f>IF(SUM(GI21:GL21)-GM21&gt;0,SUM(GI21:GL21)-GM21,"")</f>
        <v/>
      </c>
      <c r="HA21" s="76" t="str">
        <f>IF(SUM(GT21,GZ21)&gt;0,SUM(GT21,GZ21),"")</f>
        <v/>
      </c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16" t="str">
        <f>IF(HD21&gt;0,HD21,"")</f>
        <v/>
      </c>
      <c r="HW21" s="16" t="str">
        <f>IF(HE21&gt;0,HE21,"")</f>
        <v/>
      </c>
      <c r="HX21" s="16" t="str">
        <f>IF(SUM(HB21:HE21)-HF21&gt;0,SUM(HB21:HE21)-HF21,"")</f>
        <v/>
      </c>
      <c r="HY21" s="16" t="str">
        <f>IF(HI21&gt;0,HI21,"")</f>
        <v/>
      </c>
      <c r="HZ21" s="16" t="str">
        <f>IF(HJ21&gt;0,HJ21,"")</f>
        <v/>
      </c>
      <c r="IA21" s="16" t="str">
        <f>IF(SUM(HG21:HJ21)-HK21&gt;0,SUM(HG21:HJ21)-HK21,"")</f>
        <v/>
      </c>
      <c r="IB21" s="16" t="str">
        <f>IF(MAX(HX21,IA21)&gt;0,MAX(HX21,IA21),"")</f>
        <v/>
      </c>
      <c r="IC21" s="16" t="str">
        <f>IF(HN21&gt;0,HN21,"")</f>
        <v/>
      </c>
      <c r="ID21" s="16" t="str">
        <f>IF(HO21&gt;0,HO21,"")</f>
        <v/>
      </c>
      <c r="IE21" s="16" t="str">
        <f>IF(SUM(HL21:HO21)-HP21&gt;0,SUM(HL21:HO21)-HP21,"")</f>
        <v/>
      </c>
      <c r="IF21" s="16" t="str">
        <f>IF(HS21&gt;0,HS21,"")</f>
        <v/>
      </c>
      <c r="IG21" s="16" t="str">
        <f>IF(HT21&gt;0,HT21,"")</f>
        <v/>
      </c>
      <c r="IH21" s="16" t="str">
        <f>IF(SUM(HQ21:HT21)-HU21&gt;0,SUM(HQ21:HT21)-HU21,"")</f>
        <v/>
      </c>
      <c r="II21" s="16" t="str">
        <f>IF(SUM(IB21,IH21)&gt;0,SUM(IB21,IH21),"")</f>
        <v/>
      </c>
      <c r="IJ21" s="25"/>
      <c r="IK21" s="25"/>
      <c r="IL21" s="25"/>
      <c r="IM21" s="25"/>
      <c r="IN21" s="25"/>
      <c r="IO21" s="25"/>
      <c r="IP21" s="25"/>
      <c r="IQ21" s="25"/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76" t="str">
        <f>IF(IL21&gt;0,IL21,"")</f>
        <v/>
      </c>
      <c r="JE21" s="76" t="str">
        <f>IF(IM21&gt;0,IM21,"")</f>
        <v/>
      </c>
      <c r="JF21" s="76" t="str">
        <f>IF(SUM(IJ21:IM21)-IN21&gt;0,SUM(IJ21:IM21)-IN21,"")</f>
        <v/>
      </c>
      <c r="JG21" s="76" t="str">
        <f>IF(IQ21&gt;0,IQ21,"")</f>
        <v/>
      </c>
      <c r="JH21" s="76" t="str">
        <f>IF(IR21&gt;0,IR21,"")</f>
        <v/>
      </c>
      <c r="JI21" s="76" t="str">
        <f>IF(SUM(IO21:IR21)-IS21&gt;0,SUM(IO21:IR21)-IS21,"")</f>
        <v/>
      </c>
      <c r="JJ21" s="76" t="str">
        <f>IF(MAX(JF21,JI21)&gt;0,MAX(JF21,JI21),"")</f>
        <v/>
      </c>
      <c r="JK21" s="76" t="str">
        <f>IF(IV21&gt;0,IV21,"")</f>
        <v/>
      </c>
      <c r="JL21" s="76" t="str">
        <f>IF(IW21&gt;0,IW21,"")</f>
        <v/>
      </c>
      <c r="JM21" s="76" t="str">
        <f>IF(SUM(IT21:IW21)-IX21&gt;0,SUM(IT21:IW21)-IX21,"")</f>
        <v/>
      </c>
      <c r="JN21" s="76" t="str">
        <f>IF(JA21&gt;0,JA21,"")</f>
        <v/>
      </c>
      <c r="JO21" s="76" t="str">
        <f>IF(JB21&gt;0,JB21,"")</f>
        <v/>
      </c>
      <c r="JP21" s="76" t="str">
        <f>IF(SUM(IY21:JB21)-JC21&gt;0,SUM(IY21:JB21)-JC21,"")</f>
        <v/>
      </c>
      <c r="JQ21" s="76" t="str">
        <f>IF(SUM(JJ21,JP21)&gt;0,SUM(JJ21,JP21),"")</f>
        <v/>
      </c>
      <c r="JR21" s="26"/>
      <c r="JS21" s="26"/>
      <c r="JT21" s="26"/>
      <c r="JU21" s="26"/>
      <c r="JV21" s="26"/>
      <c r="JW21" s="26"/>
      <c r="JX21" s="26"/>
      <c r="JY21" s="26"/>
      <c r="JZ21" s="26"/>
      <c r="KA21" s="26"/>
      <c r="KB21" s="26"/>
      <c r="KC21" s="26"/>
      <c r="KD21" s="26"/>
      <c r="KE21" s="26"/>
      <c r="KF21" s="26"/>
      <c r="KG21" s="26"/>
      <c r="KH21" s="26"/>
      <c r="KI21" s="26"/>
      <c r="KJ21" s="26"/>
      <c r="KK21" s="26"/>
      <c r="KL21" s="16" t="str">
        <f>IF(JT21&gt;0,JT21,"")</f>
        <v/>
      </c>
      <c r="KM21" s="16" t="str">
        <f>IF(JU21&gt;0,JU21,"")</f>
        <v/>
      </c>
      <c r="KN21" s="16" t="str">
        <f>IF(SUM(JR21:JU21)-JV21&gt;0,SUM(JR21:JU21)-JV21,"")</f>
        <v/>
      </c>
      <c r="KO21" s="16" t="str">
        <f>IF(JY21&gt;0,JY21,"")</f>
        <v/>
      </c>
      <c r="KP21" s="16" t="str">
        <f>IF(JZ21&gt;0,JZ21,"")</f>
        <v/>
      </c>
      <c r="KQ21" s="16" t="str">
        <f>IF(SUM(JW21:JZ21)-KA21&gt;0,SUM(JW21:JZ21)-KA21,"")</f>
        <v/>
      </c>
      <c r="KR21" s="16" t="str">
        <f>IF(MAX(KN21,KQ21)&gt;0,MAX(KN21,KQ21),"")</f>
        <v/>
      </c>
      <c r="KS21" s="16" t="str">
        <f>IF(KD21&gt;0,KD21,"")</f>
        <v/>
      </c>
      <c r="KT21" s="16" t="str">
        <f>IF(KE21&gt;0,KE21,"")</f>
        <v/>
      </c>
      <c r="KU21" s="16" t="str">
        <f>IF(SUM(KB21:KE21)-KF21&gt;0,SUM(KB21:KE21)-KF21,"")</f>
        <v/>
      </c>
      <c r="KV21" s="16" t="str">
        <f>IF(KI21&gt;0,KI21,"")</f>
        <v/>
      </c>
      <c r="KW21" s="16" t="str">
        <f>IF(KJ21&gt;0,KJ21,"")</f>
        <v/>
      </c>
      <c r="KX21" s="16" t="str">
        <f>IF(SUM(KG21:KJ21)-KK21&gt;0,SUM(KG21:KJ21)-KK21,"")</f>
        <v/>
      </c>
      <c r="KY21" s="16" t="str">
        <f>IF(SUM(KR21,KX21)&gt;0,SUM(KR21,KX21),"")</f>
        <v/>
      </c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25"/>
      <c r="LQ21" s="25"/>
      <c r="LR21" s="25"/>
      <c r="LS21" s="25"/>
      <c r="LT21" s="76" t="str">
        <f>IF(LB21&gt;0,LB21,"")</f>
        <v/>
      </c>
      <c r="LU21" s="76" t="str">
        <f>IF(LC21&gt;0,LC21,"")</f>
        <v/>
      </c>
      <c r="LV21" s="76" t="str">
        <f>IF(SUM(KZ21:LC21)-LD21&gt;0,SUM(KZ21:LC21)-LD21,"")</f>
        <v/>
      </c>
      <c r="LW21" s="76" t="str">
        <f>IF(LG21&gt;0,LG21,"")</f>
        <v/>
      </c>
      <c r="LX21" s="76" t="str">
        <f>IF(LH21&gt;0,LH21,"")</f>
        <v/>
      </c>
      <c r="LY21" s="76" t="str">
        <f>IF(SUM(LE21:LH21)-LI21&gt;0,SUM(LE21:LH21)-LI21,"")</f>
        <v/>
      </c>
      <c r="LZ21" s="76" t="str">
        <f>IF(MAX(LV21,LY21)&gt;0,MAX(LV21,LY21),"")</f>
        <v/>
      </c>
      <c r="MA21" s="76" t="str">
        <f>IF(LL21&gt;0,LL21,"")</f>
        <v/>
      </c>
      <c r="MB21" s="76" t="str">
        <f>IF(LM21&gt;0,LM21,"")</f>
        <v/>
      </c>
      <c r="MC21" s="76" t="str">
        <f>IF(SUM(LJ21:LM21)-LN21&gt;0,SUM(LJ21:LM21)-LN21,"")</f>
        <v/>
      </c>
      <c r="MD21" s="76" t="str">
        <f>IF(LQ21&gt;0,LQ21,"")</f>
        <v/>
      </c>
      <c r="ME21" s="76" t="str">
        <f>IF(LR21&gt;0,LR21,"")</f>
        <v/>
      </c>
      <c r="MF21" s="76" t="str">
        <f>IF(SUM(LO21:LR21)-LS21&gt;0,SUM(LO21:LR21)-LS21,"")</f>
        <v/>
      </c>
      <c r="MG21" s="76" t="str">
        <f>IF(SUM(LZ21,MF21)&gt;0,SUM(LZ21,MF21),"")</f>
        <v/>
      </c>
      <c r="MH21" s="26"/>
      <c r="MI21" s="26"/>
      <c r="MJ21" s="26"/>
      <c r="MK21" s="26"/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  <c r="NA21" s="26"/>
      <c r="NB21" s="16" t="str">
        <f>IF(MJ21&gt;0,MJ21,"")</f>
        <v/>
      </c>
      <c r="NC21" s="16" t="str">
        <f>IF(MK21&gt;0,MK21,"")</f>
        <v/>
      </c>
      <c r="ND21" s="16" t="str">
        <f>IF(SUM(MH21:MK21)-ML21&gt;0,SUM(MH21:MK21)-ML21,"")</f>
        <v/>
      </c>
      <c r="NE21" s="16" t="str">
        <f>IF(MO21&gt;0,MO21,"")</f>
        <v/>
      </c>
      <c r="NF21" s="16" t="str">
        <f>IF(MP21&gt;0,MP21,"")</f>
        <v/>
      </c>
      <c r="NG21" s="16" t="str">
        <f>IF(SUM(MM21:MP21)-MQ21&gt;0,SUM(MM21:MP21)-MQ21,"")</f>
        <v/>
      </c>
      <c r="NH21" s="16" t="str">
        <f>IF(MAX(ND21,NG21)&gt;0,MAX(ND21,NG21),"")</f>
        <v/>
      </c>
      <c r="NI21" s="16" t="str">
        <f>IF(MT21&gt;0,MT21,"")</f>
        <v/>
      </c>
      <c r="NJ21" s="16" t="str">
        <f>IF(MU21&gt;0,MU21,"")</f>
        <v/>
      </c>
      <c r="NK21" s="16" t="str">
        <f>IF(SUM(MR21:MU21)-MV21&gt;0,SUM(MR21:MU21)-MV21,"")</f>
        <v/>
      </c>
      <c r="NL21" s="16" t="str">
        <f>IF(MY21&gt;0,MY21,"")</f>
        <v/>
      </c>
      <c r="NM21" s="16" t="str">
        <f>IF(MZ21&gt;0,MZ21,"")</f>
        <v/>
      </c>
      <c r="NN21" s="16" t="str">
        <f>IF(SUM(MW21:MZ21)-NA21&gt;0,SUM(MW21:MZ21)-NA21,"")</f>
        <v/>
      </c>
      <c r="NO21" s="16" t="str">
        <f>IF(SUM(NH21,NN21)&gt;0,SUM(NH21,NN21),"")</f>
        <v/>
      </c>
      <c r="NP21" s="25"/>
      <c r="NQ21" s="25"/>
      <c r="NR21" s="25"/>
      <c r="NS21" s="25"/>
      <c r="NT21" s="25"/>
      <c r="NU21" s="25"/>
      <c r="NV21" s="25"/>
      <c r="NW21" s="25"/>
      <c r="NX21" s="25"/>
      <c r="NY21" s="25"/>
      <c r="NZ21" s="25"/>
      <c r="OA21" s="25"/>
      <c r="OB21" s="25"/>
      <c r="OC21" s="25"/>
      <c r="OD21" s="25"/>
      <c r="OE21" s="25"/>
      <c r="OF21" s="25"/>
      <c r="OG21" s="25"/>
      <c r="OH21" s="25"/>
      <c r="OI21" s="25"/>
      <c r="OJ21" s="76" t="str">
        <f>IF(NR21&gt;0,NR21,"")</f>
        <v/>
      </c>
      <c r="OK21" s="76" t="str">
        <f>IF(NS21&gt;0,NS21,"")</f>
        <v/>
      </c>
      <c r="OL21" s="76" t="str">
        <f>IF(SUM(NP21:NS21)-NT21&gt;0,SUM(NP21:NS21)-NT21,"")</f>
        <v/>
      </c>
      <c r="OM21" s="76" t="str">
        <f>IF(NW21&gt;0,NW21,"")</f>
        <v/>
      </c>
      <c r="ON21" s="76" t="str">
        <f>IF(NX21&gt;0,NX21,"")</f>
        <v/>
      </c>
      <c r="OO21" s="76" t="str">
        <f>IF(SUM(NU21:NX21)-NY21&gt;0,SUM(NU21:NX21)-NY21,"")</f>
        <v/>
      </c>
      <c r="OP21" s="76" t="str">
        <f>IF(MAX(OL21,OO21)&gt;0,MAX(OL21,OO21),"")</f>
        <v/>
      </c>
      <c r="OQ21" s="76" t="str">
        <f>IF(OB21&gt;0,OB21,"")</f>
        <v/>
      </c>
      <c r="OR21" s="76" t="str">
        <f>IF(OC21&gt;0,OC21,"")</f>
        <v/>
      </c>
      <c r="OS21" s="76" t="str">
        <f>IF(SUM(NZ21:OC21)-OD21&gt;0,SUM(NZ21:OC21)-OD21,"")</f>
        <v/>
      </c>
      <c r="OT21" s="76" t="str">
        <f>IF(OG21&gt;0,OG21,"")</f>
        <v/>
      </c>
      <c r="OU21" s="76" t="str">
        <f>IF(OH21&gt;0,OH21,"")</f>
        <v/>
      </c>
      <c r="OV21" s="76" t="str">
        <f>IF(SUM(OE21:OH21)-OI21&gt;0,SUM(OE21:OH21)-OI21,"")</f>
        <v/>
      </c>
      <c r="OW21" s="76" t="str">
        <f>IF(SUM(OP21,OV21)&gt;0,SUM(OP21,OV21),"")</f>
        <v/>
      </c>
      <c r="OX21" s="26"/>
      <c r="OY21" s="26"/>
      <c r="OZ21" s="26"/>
      <c r="PA21" s="26"/>
      <c r="PB21" s="26"/>
      <c r="PC21" s="26"/>
      <c r="PD21" s="26"/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16" t="str">
        <f>IF(OZ21&gt;0,OZ21,"")</f>
        <v/>
      </c>
      <c r="PS21" s="16" t="str">
        <f>IF(PA21&gt;0,PA21,"")</f>
        <v/>
      </c>
      <c r="PT21" s="16" t="str">
        <f>IF(SUM(OX21:PA21)-PB21&gt;0,SUM(OX21:PA21)-PB21,"")</f>
        <v/>
      </c>
      <c r="PU21" s="16" t="str">
        <f>IF(PE21&gt;0,PE21,"")</f>
        <v/>
      </c>
      <c r="PV21" s="16" t="str">
        <f>IF(PF21&gt;0,PF21,"")</f>
        <v/>
      </c>
      <c r="PW21" s="16" t="str">
        <f>IF(SUM(PC21:PF21)-PG21&gt;0,SUM(PC21:PF21)-PG21,"")</f>
        <v/>
      </c>
      <c r="PX21" s="16" t="str">
        <f>IF(MAX(PT21,PW21)&gt;0,MAX(PT21,PW21),"")</f>
        <v/>
      </c>
      <c r="PY21" s="16" t="str">
        <f>IF(PJ21&gt;0,PJ21,"")</f>
        <v/>
      </c>
      <c r="PZ21" s="16" t="str">
        <f>IF(PK21&gt;0,PK21,"")</f>
        <v/>
      </c>
      <c r="QA21" s="16" t="str">
        <f>IF(SUM(PH21:PK21)-PL21&gt;0,SUM(PH21:PK21)-PL21,"")</f>
        <v/>
      </c>
      <c r="QB21" s="16" t="str">
        <f>IF(PO21&gt;0,PO21,"")</f>
        <v/>
      </c>
      <c r="QC21" s="16" t="str">
        <f>IF(PP21&gt;0,PP21,"")</f>
        <v/>
      </c>
      <c r="QD21" s="16" t="str">
        <f>IF(SUM(PM21:PP21)-PQ21&gt;0,SUM(PM21:PP21)-PQ21,"")</f>
        <v/>
      </c>
      <c r="QE21" s="16" t="str">
        <f>IF(SUM(PX21,QD21)&gt;0,SUM(PX21,QD21),"")</f>
        <v/>
      </c>
      <c r="QF21" s="25"/>
      <c r="QG21" s="25"/>
      <c r="QH21" s="25"/>
      <c r="QI21" s="25"/>
      <c r="QJ21" s="25"/>
      <c r="QK21" s="25"/>
      <c r="QL21" s="25"/>
      <c r="QM21" s="25"/>
      <c r="QN21" s="25"/>
      <c r="QO21" s="25"/>
      <c r="QP21" s="25"/>
      <c r="QQ21" s="25"/>
      <c r="QR21" s="25"/>
      <c r="QS21" s="25"/>
      <c r="QT21" s="25"/>
      <c r="QU21" s="25"/>
      <c r="QV21" s="25"/>
      <c r="QW21" s="25"/>
      <c r="QX21" s="25"/>
      <c r="QY21" s="25"/>
      <c r="QZ21" s="76" t="str">
        <f>IF(QH21&gt;0,QH21,"")</f>
        <v/>
      </c>
      <c r="RA21" s="76" t="str">
        <f>IF(QI21&gt;0,QI21,"")</f>
        <v/>
      </c>
      <c r="RB21" s="76" t="str">
        <f>IF(SUM(QF21:QI21)-QJ21&gt;0,SUM(QF21:QI21)-QJ21,"")</f>
        <v/>
      </c>
      <c r="RC21" s="76" t="str">
        <f>IF(QM21&gt;0,QM21,"")</f>
        <v/>
      </c>
      <c r="RD21" s="76" t="str">
        <f>IF(QN21&gt;0,QN21,"")</f>
        <v/>
      </c>
      <c r="RE21" s="76" t="str">
        <f>IF(SUM(QK21:QN21)-QO21&gt;0,SUM(QK21:QN21)-QO21,"")</f>
        <v/>
      </c>
      <c r="RF21" s="76" t="str">
        <f>IF(MAX(RB21,RE21)&gt;0,MAX(RB21,RE21),"")</f>
        <v/>
      </c>
      <c r="RG21" s="76" t="str">
        <f>IF(QR21&gt;0,QR21,"")</f>
        <v/>
      </c>
      <c r="RH21" s="76" t="str">
        <f>IF(QS21&gt;0,QS21,"")</f>
        <v/>
      </c>
      <c r="RI21" s="76" t="str">
        <f>IF(SUM(QP21:QS21)-QT21&gt;0,SUM(QP21:QS21)-QT21,"")</f>
        <v/>
      </c>
      <c r="RJ21" s="76" t="str">
        <f>IF(QW21&gt;0,QW21,"")</f>
        <v/>
      </c>
      <c r="RK21" s="76" t="str">
        <f>IF(QX21&gt;0,QX21,"")</f>
        <v/>
      </c>
      <c r="RL21" s="76" t="str">
        <f>IF(SUM(QU21:QX21)-QY21&gt;0,SUM(QU21:QX21)-QY21,"")</f>
        <v/>
      </c>
      <c r="RM21" s="76" t="str">
        <f>IF(SUM(RF21,RL21)&gt;0,SUM(RF21,RL21),"")</f>
        <v/>
      </c>
      <c r="RN21" s="26"/>
      <c r="RO21" s="26"/>
      <c r="RP21" s="26"/>
      <c r="RQ21" s="26"/>
      <c r="RR21" s="26"/>
      <c r="RS21" s="26"/>
      <c r="RT21" s="26"/>
      <c r="RU21" s="26"/>
      <c r="RV21" s="26"/>
      <c r="RW21" s="26"/>
      <c r="RX21" s="26"/>
      <c r="RY21" s="26"/>
      <c r="RZ21" s="26"/>
      <c r="SA21" s="26"/>
      <c r="SB21" s="26"/>
      <c r="SC21" s="26"/>
      <c r="SD21" s="26"/>
      <c r="SE21" s="26"/>
      <c r="SF21" s="26"/>
      <c r="SG21" s="26"/>
      <c r="SH21" s="16" t="str">
        <f>IF(RP21&gt;0,RP21,"")</f>
        <v/>
      </c>
      <c r="SI21" s="16" t="str">
        <f>IF(RQ21&gt;0,RQ21,"")</f>
        <v/>
      </c>
      <c r="SJ21" s="16" t="str">
        <f>IF(SUM(RN21:RQ21)-RR21&gt;0,SUM(RN21:RQ21)-RR21,"")</f>
        <v/>
      </c>
      <c r="SK21" s="16" t="str">
        <f>IF(RU21&gt;0,RU21,"")</f>
        <v/>
      </c>
      <c r="SL21" s="16" t="str">
        <f>IF(RV21&gt;0,RV21,"")</f>
        <v/>
      </c>
      <c r="SM21" s="16" t="str">
        <f>IF(SUM(RS21:RV21)-RW21&gt;0,SUM(RS21:RV21)-RW21,"")</f>
        <v/>
      </c>
      <c r="SN21" s="16" t="str">
        <f>IF(MAX(SJ21,SM21)&gt;0,MAX(SJ21,SM21),"")</f>
        <v/>
      </c>
      <c r="SO21" s="16" t="str">
        <f>IF(RZ21&gt;0,RZ21,"")</f>
        <v/>
      </c>
      <c r="SP21" s="16" t="str">
        <f>IF(SA21&gt;0,SA21,"")</f>
        <v/>
      </c>
      <c r="SQ21" s="16" t="str">
        <f>IF(SUM(RX21:SA21)-SB21&gt;0,SUM(RX21:SA21)-SB21,"")</f>
        <v/>
      </c>
      <c r="SR21" s="16" t="str">
        <f>IF(SE21&gt;0,SE21,"")</f>
        <v/>
      </c>
      <c r="SS21" s="16" t="str">
        <f>IF(SF21&gt;0,SF21,"")</f>
        <v/>
      </c>
      <c r="ST21" s="16" t="str">
        <f>IF(SUM(SC21:SF21)-SG21&gt;0,SUM(SC21:SF21)-SG21,"")</f>
        <v/>
      </c>
      <c r="SU21" s="16" t="str">
        <f>IF(SUM(SN21,ST21)&gt;0,SUM(SN21,ST21),"")</f>
        <v/>
      </c>
      <c r="SV21" s="42">
        <f>IF($CP21="P",CA21,(CA21+AZ21)/2)</f>
        <v>5.8</v>
      </c>
      <c r="SW21" s="42">
        <f>IF($CP21="P",CB21,(CB21+BA21)/2)</f>
        <v>4.05</v>
      </c>
      <c r="SX21" s="42">
        <f>IF($CP21="P",CC21,(CC21+BB21)/2)</f>
        <v>6.25</v>
      </c>
      <c r="SY21" s="42">
        <f>IF($CP21="P",CD21,(CD21+BC21)/2)</f>
        <v>7.4424999999999999</v>
      </c>
      <c r="SZ21" s="42">
        <f>IF($CP21="P",CE21,(CE21+BD21)/2)</f>
        <v>0</v>
      </c>
      <c r="TA21" s="42">
        <f>IF($CP21="P",CF21,(CF21+BE21)/2)</f>
        <v>1.2</v>
      </c>
      <c r="TB21" s="42">
        <f>IF($CP21="P",CG21,(CG21+BF21)/2)</f>
        <v>0.9</v>
      </c>
      <c r="TC21" s="42">
        <f>IF($CP21="P",CH21,(CH21+BG21)/2)</f>
        <v>1.25</v>
      </c>
      <c r="TD21" s="42">
        <f>IF($CP21="P",CI21,(CI21+BH21)/2)</f>
        <v>1.84</v>
      </c>
      <c r="TE21" s="42">
        <f>IF($CP21="P",CJ21,(CJ21+BI21)/2)</f>
        <v>0</v>
      </c>
      <c r="TF21" s="42">
        <f>IF($CP21="P",CK21,(CK21+BJ21)/2)</f>
        <v>0</v>
      </c>
      <c r="TG21" s="42">
        <f>IF($CP21="P",CL21,(CL21+BK21)/2)</f>
        <v>0</v>
      </c>
      <c r="TH21" s="42">
        <f>IF($CP21="P",CM21,(CM21+BL21)/2)</f>
        <v>0</v>
      </c>
      <c r="TI21" s="42">
        <f>IF($CP21="P",CN21,(CN21+BM21)/2)</f>
        <v>0</v>
      </c>
      <c r="TJ21" s="42">
        <f>IF($CP21="P",CO21,(CO21+BN21)/2)</f>
        <v>0</v>
      </c>
      <c r="TK21" s="51" t="s">
        <v>61</v>
      </c>
      <c r="TL21" s="76">
        <f>IF(SX21&gt;0,SX21,"")</f>
        <v>6.25</v>
      </c>
      <c r="TM21" s="76">
        <f>IF(SY21&gt;0,SY21,"")</f>
        <v>7.4424999999999999</v>
      </c>
      <c r="TN21" s="76">
        <f>IF(SUM(SV21:SY21)-SZ21&gt;0,SUM(SV21:SY21)-SZ21,"")</f>
        <v>23.5425</v>
      </c>
      <c r="TO21" s="76">
        <f>IF(TC21&gt;0,TC21,"")</f>
        <v>1.25</v>
      </c>
      <c r="TP21" s="76">
        <f>IF(TD21&gt;0,TD21,"")</f>
        <v>1.84</v>
      </c>
      <c r="TQ21" s="76">
        <f>IF(SUM(TA21:TD21)-TE21&gt;0,SUM(TA21:TD21)-TE21,"")</f>
        <v>5.19</v>
      </c>
      <c r="TR21" s="76">
        <f>IF(MAX(TN21,TQ21)&gt;0,MAX(TN21,TQ21),"")</f>
        <v>23.5425</v>
      </c>
      <c r="TS21" s="76" t="str">
        <f>IF(TH21&gt;0,TH21,"")</f>
        <v/>
      </c>
      <c r="TT21" s="76" t="str">
        <f>IF(TI21&gt;0,TI21,"")</f>
        <v/>
      </c>
      <c r="TU21" s="76" t="str">
        <f>IF(SUM(TF21:TI21)-TJ21&gt;0,SUM(TF21:TI21)-TJ21,"")</f>
        <v/>
      </c>
      <c r="TV21" s="76">
        <f>IF(SUM(TR21,TU21)&gt;0,SUM(TR21,TU21),"")</f>
        <v>23.5425</v>
      </c>
    </row>
    <row r="22" spans="1:542" x14ac:dyDescent="0.2">
      <c r="A22" s="5" t="str" cm="1">
        <f t="array" ref="A22">IF(AND(F22&lt;&gt;"",G22&lt;&gt;""),SUMPRODUCT((F$4:F$23&lt;&gt;"")*(G$4:G$23&lt;&gt;"")*(E$4:E$23&gt;E22))+1,IF(G22&lt;&gt;"",SUMPRODUCT((H$4:H$23="No DD")*(E$4:E$23&gt;E22))+1+SUMPRODUCT((F$4:F$23&lt;&gt;"")*(G$4:G$23&lt;&gt;"")),""))</f>
        <v/>
      </c>
      <c r="B22" s="6" t="s">
        <v>97</v>
      </c>
      <c r="C22" s="7" t="s">
        <v>9</v>
      </c>
      <c r="D22" s="5">
        <v>2000</v>
      </c>
      <c r="E22" s="14">
        <f>SUM(J22:V22)+SUM(J22:T22)*0.0000001+SUM(J22)*0.0000000000001</f>
        <v>15.565001556501217</v>
      </c>
      <c r="F22" s="3" t="str">
        <f>IF(OR(AND(AO22&gt;=AY$25,AO22&lt;&gt;"",AQ22&gt;=AY$29,AQ22&lt;&gt;"",AN22=""),AND(AR22&gt;=AY$25,AR22&lt;&gt;"",AT22&gt;=AY$29,AT22&lt;&gt;"",AN22=""),AND(AV22&gt;=AY$25,AV22&lt;&gt;"",AX22&gt;=AY$29,AX22&lt;&gt;"",AN22=""),AND(BP22&gt;=BZ$25,BP22&lt;&gt;"",BR22&gt;=BZ$29,BR22&lt;&gt;"",BO22=""),AND(BS22&gt;=BZ$25,BS22&lt;&gt;"",BU22&gt;=BZ$29,BU22&lt;&gt;"",BO22=""),AND(BW22&gt;=BZ$25,BW22&lt;&gt;"",BY22&gt;=BZ$29,BY22&lt;&gt;"",BO22=""),AND(CQ22&gt;=DA$25,CQ22&lt;&gt;"",CS22&gt;=DA$29,CS22&lt;&gt;"",CP22=""),AND(CT22&gt;=DA$25,CT22&lt;&gt;"",CV22&gt;=DA$29,CV22&lt;&gt;"",CP22=""),AND(CX22&gt;=DA$25,CX22&lt;&gt;"",CZ22&gt;=DA$29,CZ22&lt;&gt;"",CP22=""),AND(DX22&gt;=EK$25,DX22&lt;&gt;"",DZ22&gt;=EK$29,DZ22&lt;&gt;""),AND(EA22&gt;=EK$25,EA22&lt;&gt;"",EC22&gt;=EK$29,EC22&lt;&gt;""),AND(EE22&gt;=EK$25,EE22&lt;&gt;"",EG22&gt;=EK$29,EG22&lt;&gt;""),AND(EH22&gt;=EK$25,EH22&lt;&gt;"",EJ22&gt;=EK$29,EJ22&lt;&gt;""),AND(FF22&gt;=FS$25,FF22&lt;&gt;"",FH22&gt;=FS$29,FH22&lt;&gt;""),AND(FI22&gt;=FS$25,FI22&lt;&gt;"",FK22&gt;=FS$29,FK22&lt;&gt;""),AND(FM22&gt;=FS$25,FM22&lt;&gt;"",FO22&gt;=FS$29,FO22&lt;&gt;""),AND(FP22&gt;=FS$25,FP22&lt;&gt;"",FR22&gt;=FS$29,FR22&lt;&gt;""),AND(GN22&gt;=HA$25,GN22&lt;&gt;"",GP22&gt;=HA$29,GP22&lt;&gt;""),AND(GQ22&gt;=HA$25,GQ22&lt;&gt;"",GS22&gt;=HA$29,GS22&lt;&gt;""),AND(GU22&gt;=HA$25,GU22&lt;&gt;"",GW22&gt;=HA$29,GW22&lt;&gt;""),AND(GX22&gt;=HA$25,GX22&lt;&gt;"",GZ22&gt;=HA$29,GZ22&lt;&gt;""),AND(HV22&gt;=II$25,HV22&lt;&gt;"",HX22&gt;=II$29,HX22&lt;&gt;""),AND(HY22&gt;=II$25,HY22&lt;&gt;"",IA22&gt;=II$29,IA22&lt;&gt;""),AND(IC22&gt;=II$25,IC22&lt;&gt;"",IE22&gt;=II$29,IE22&lt;&gt;""),AND(IF22&gt;=II$25,IF22&lt;&gt;"",IH22&gt;=II$29,IH22&lt;&gt;""),AND(JD22&gt;=JQ$25,JD22&lt;&gt;"",JF22&gt;=JQ$29,JF22&lt;&gt;""),AND(JG22&gt;=JQ$25,JG22&lt;&gt;"",JI22&gt;=JQ$29,JI22&lt;&gt;""),AND(JK22&gt;=JQ$25,JK22&lt;&gt;"",JM22&gt;=JQ$29,JM22&lt;&gt;""),AND(JN22&gt;=JQ$25,JN22&lt;&gt;"",JP22&gt;=JQ$29,JP22&lt;&gt;""),AND(KL22&gt;=KY$25,KL22&lt;&gt;"",KN22&gt;=KY$29,KN22&lt;&gt;""),AND(KO22&gt;=KY$25,KO22&lt;&gt;"",KQ22&gt;=KY$29,KQ22&lt;&gt;""),AND(KS22&gt;=KY$25,KS22&lt;&gt;"",KU22&gt;=KY$29,KU22&lt;&gt;""),AND(KV22&gt;=KY$25,KV22&lt;&gt;"",KX22&gt;=KY$29,KX22&lt;&gt;""),AND(LT22&gt;=MG$25,LT22&lt;&gt;"",LV22&gt;=MG$29,LV22&lt;&gt;""),AND(LW22&gt;=MG$25,LW22&lt;&gt;"",LY22&gt;=MG$29,LY22&lt;&gt;""),AND(MA22&gt;=MG$25,MA22&lt;&gt;"",MC22&gt;=MG$29,MC22&lt;&gt;""),AND(MD22&gt;=MG$25,MD22&lt;&gt;"",MF22&gt;=MG$29,MF22&lt;&gt;""),AND(NB22&gt;=NO$25,NB22&lt;&gt;"",ND22&gt;=NO$29,ND22&lt;&gt;""),AND(NE22&gt;=NO$25,NE22&lt;&gt;"",NG22&gt;=NO$29,NG22&lt;&gt;""),AND(NI22&gt;=NO$25,NI22&lt;&gt;"",NK22&gt;=NO$29,NK22&lt;&gt;""),AND(NL22&gt;=NO$25,NL22&lt;&gt;"",NN22&gt;=NO$29,NN22&lt;&gt;""),AND(OJ22&gt;=OW$25,OJ22&lt;&gt;"",OL22&gt;=OW$29,OL22&lt;&gt;""),AND(OM22&gt;=OW$25,OM22&lt;&gt;"",OO22&gt;=OW$29,OO22&lt;&gt;""),AND(OQ22&gt;=OW$25,OQ22&lt;&gt;"",OS22&gt;=OW$29,OS22&lt;&gt;""),AND(OT22&gt;=OW$25,OT22&lt;&gt;"",OV22&gt;=OW$29,OV22&lt;&gt;""),AND(PR22&gt;=QE$25,PR22&lt;&gt;"",PT22&gt;=QE$29,PT22&lt;&gt;""),AND(PU22&gt;=QE$25,PU22&lt;&gt;"",PW22&gt;=QE$29,PW22&lt;&gt;""),AND(PY22&gt;=QE$25,PY22&lt;&gt;"",QA22&gt;=QE$29,QA22&lt;&gt;""),AND(QB22&gt;=QE$25,QB22&lt;&gt;"",QD22&gt;=QE$29,QD22&lt;&gt;""),AND(QZ22&gt;=RM$25,QZ22&lt;&gt;"",RB22&gt;=RM$29,RB22&lt;&gt;""),AND(RC22&gt;=RM$25,RC22&lt;&gt;"",RE22&gt;=RM$29,RE22&lt;&gt;""),AND(RG22&gt;=RM$25,RG22&lt;&gt;"",RI22&gt;=RM$29,RI22&lt;&gt;""),AND(RJ22&gt;=RM$25,RJ22&lt;&gt;"",RL22&gt;=RM$29,RL22&lt;&gt;""),AND(SH22&gt;=SU$25,SH22&lt;&gt;"",SJ22&gt;=SU$29,SJ22&lt;&gt;""),AND(SK22&gt;=SU$25,SK22&lt;&gt;"",SM22&gt;=SU$29,SM22&lt;&gt;""),AND(SO22&gt;=SU$25,SO22&lt;&gt;"",SQ22&gt;=SU$29,SQ22&lt;&gt;""),AND(SR22&gt;=SU$25,SR22&lt;&gt;"",ST22&gt;=SU$29,ST22&lt;&gt;"")),"P","")</f>
        <v/>
      </c>
      <c r="G22" s="3" t="str">
        <f>IF(OR(AND(AQ22&gt;=AY$29,AQ22&lt;&gt;"",AN22=""),AND(AT22&gt;=AY$29,AT22&lt;&gt;"",AN22=""),AND(AX22&gt;=AY$29,AX22&lt;&gt;"",AN22=""),AND(BR22&gt;=BZ$29,BR22&lt;&gt;"",BO22=""),AND(BU22&gt;=BZ$29,BU22&lt;&gt;"",BO22=""),AND(BY22&gt;=BZ$29,BY22&lt;&gt;"",BO22=""),AND(CS22&gt;=DA$29,CS22&lt;&gt;"",CP22=""),AND(CV22&gt;=DA$29,CV22&lt;&gt;"",CP22=""),AND(CZ22&gt;=DA$29,CZ22&lt;&gt;"",CP22=""),AND(DZ22&gt;=EK$29,DZ22&lt;&gt;""),AND(EC22&gt;=EK$29,EC22&lt;&gt;""),AND(EG22&gt;=EK$29,EG22&lt;&gt;""),AND(EJ22&gt;=EK$29,EJ22&lt;&gt;""),AND(FH22&gt;=FS$29,FH22&lt;&gt;""),AND(FK22&gt;=FS$29,FK22&lt;&gt;""),AND(FO22&gt;=FS$29,FO22&lt;&gt;""),AND(FR22&gt;=FS$29,FR22&lt;&gt;""),AND(GP22&gt;=HA$29,GP22&lt;&gt;""),AND(GS22&gt;=HA$29,GS22&lt;&gt;""),AND(GW22&gt;=HA$29,GW22&lt;&gt;""),AND(GZ22&gt;=HA$29,GZ22&lt;&gt;""),AND(HX22&gt;=II$29,HX22&lt;&gt;""),AND(IA22&gt;=II$29,IA22&lt;&gt;""),AND(IE22&gt;=II$29,IE22&lt;&gt;""),AND(IH22&gt;=II$29,IH22&lt;&gt;""),AND(JF22&gt;=JQ$29,JF22&lt;&gt;""),AND(JI22&gt;=JQ$29,JI22&lt;&gt;""),AND(JM22&gt;=JQ$29,JM22&lt;&gt;""),AND(JP22&gt;=JQ$29,JP22&lt;&gt;""),AND(KN22&gt;=KY$29,KN22&lt;&gt;""),AND(KQ22&gt;=KY$29,KQ22&lt;&gt;""),AND(KU22&gt;=KY$29,KU22&lt;&gt;""),AND(KX22&gt;=KY$29,KX22&lt;&gt;""),AND(LV22&gt;=MG$29,LV22&lt;&gt;""),AND(LY22&gt;=MG$29,LY22&lt;&gt;""),AND(MC22&gt;=MG$29,MC22&lt;&gt;""),AND(MF22&gt;=MG$29,MF22&lt;&gt;""),AND(ND22&gt;=NO$29,ND22&lt;&gt;""),AND(NG22&gt;=NO$29,NG22&lt;&gt;""),AND(NK22&gt;=NO$29,NK22&lt;&gt;""),AND(NN22&gt;=NO$29,NN22&lt;&gt;""),AND(OL22&gt;=OW$29,OL22&lt;&gt;""),AND(OO22&gt;=OW$29,OO22&lt;&gt;""),AND(OS22&gt;=OW$29,OS22&lt;&gt;""),AND(OV22&gt;=OW$29,OV22&lt;&gt;""),AND(PT22&gt;=QE$29,PT22&lt;&gt;""),AND(PW22&gt;=QE$29,PW22&lt;&gt;""),AND(QA22&gt;=QE$29,QA22&lt;&gt;""),AND(QD22&gt;=QE$29,QD22&lt;&gt;""),AND(RB22&gt;=RM$29,RB22&lt;&gt;""),AND(RE22&gt;=RM$29,RE22&lt;&gt;""),AND(RI22&gt;=RM$29,RI22&lt;&gt;""),AND(RL22&gt;=RM$29,RL22&lt;&gt;""),AND(SJ22&gt;=SU$29,SJ22&lt;&gt;""),AND(SM22&gt;=SU$29,SM22&lt;&gt;""),AND(SQ22&gt;=SU$29,SQ22&lt;&gt;""),AND(ST22&gt;=SU$29,ST22&lt;&gt;"")),"P","")</f>
        <v/>
      </c>
      <c r="H22" s="70" t="str">
        <f>IF(AND(G22="P",F22=""),"No DD",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),"Merit",IF(OR(AND(AO22&gt;=AY$27,AO22&lt;&gt;"",AQ22&gt;=AY$31,AQ22&lt;&gt;"",AN22=""),AND(AR22&gt;=AY$27,AR22&lt;&gt;"",AT22&gt;=AY$31,AT22&lt;&gt;"",AN22=""),AND(AV22&gt;=AY$27,AV22&lt;&gt;"",AX22&gt;=AY$31,AX22&lt;&gt;"",AN22=""),AND(BP22&gt;=BZ$27,BP22&lt;&gt;"",BR22&gt;=BZ$31,BR22&lt;&gt;"",BO22=""),AND(BS22&gt;=BZ$27,BS22&lt;&gt;"",BU22&gt;=BZ$31,BU22&lt;&gt;"",BO22=""),AND(BW22&gt;=BZ$27,BW22&lt;&gt;"",BY22&gt;=BZ$31,BY22&lt;&gt;"",BO22=""),AND(CQ22&gt;=DA$27,CQ22&lt;&gt;"",CS22&gt;=DA$31,CS22&lt;&gt;"",CP22=""),AND(CT22&gt;=DA$27,CT22&lt;&gt;"",CV22&gt;=DA$31,CV22&lt;&gt;"",CP22=""),AND(CX22&gt;=DA$27,CX22&lt;&gt;"",CZ22&gt;=DA$31,CZ22&lt;&gt;"",CP22=""),AND(DX22&gt;=EK$27,DX22&lt;&gt;"",DZ22&gt;=EK$31,DZ22&lt;&gt;""),AND(EA22&gt;=EK$27,EA22&lt;&gt;"",EC22&gt;=EK$31,EC22&lt;&gt;""),AND(EE22&gt;=EK$27,EE22&lt;&gt;"",EG22&gt;=EK$31,EG22&lt;&gt;""),AND(EH22&gt;=EK$27,EH22&lt;&gt;"",EJ22&gt;=EK$31,EJ22&lt;&gt;""),AND(FF22&gt;=FS$27,FF22&lt;&gt;"",FH22&gt;=FS$31,FH22&lt;&gt;""),AND(FI22&gt;=FS$27,FI22&lt;&gt;"",FK22&gt;=FS$31,FK22&lt;&gt;""),AND(FM22&gt;=FS$27,FM22&lt;&gt;"",FO22&gt;=FS$31,FO22&lt;&gt;""),AND(FP22&gt;=FS$27,FP22&lt;&gt;"",FR22&gt;=FS$31,FR22&lt;&gt;""),AND(GN22&gt;=HA$27,GN22&lt;&gt;"",GP22&gt;=HA$31,GP22&lt;&gt;""),AND(GQ22&gt;=HA$27,GQ22&lt;&gt;"",GS22&gt;=HA$31,GS22&lt;&gt;""),AND(GU22&gt;=HA$27,GU22&lt;&gt;"",GW22&gt;=HA$31,GW22&lt;&gt;""),AND(GX22&gt;=HA$27,GX22&lt;&gt;"",GZ22&gt;=HA$31,GZ22&lt;&gt;""),AND(HV22&gt;=II$27,HV22&lt;&gt;"",HX22&gt;=II$31,HX22&lt;&gt;""),AND(HY22&gt;=II$27,HY22&lt;&gt;"",IA22&gt;=II$31,IA22&lt;&gt;""),AND(IC22&gt;=II$27,IC22&lt;&gt;"",IE22&gt;=II$31,IE22&lt;&gt;""),AND(IF22&gt;=II$27,IF22&lt;&gt;"",IH22&gt;=II$31,IH22&lt;&gt;""),AND(JD22&gt;=JQ$27,JD22&lt;&gt;"",JF22&gt;=JQ$31,JF22&lt;&gt;""),AND(JG22&gt;=JQ$27,JG22&lt;&gt;"",JI22&gt;=JQ$31,JI22&lt;&gt;""),AND(JK22&gt;=JQ$27,JK22&lt;&gt;"",JM22&gt;=JQ$31,JM22&lt;&gt;""),AND(JN22&gt;=JQ$27,JN22&lt;&gt;"",JP22&gt;=JQ$31,JP22&lt;&gt;""),AND(KL22&gt;=KY$27,KL22&lt;&gt;"",KN22&gt;=KY$31,KN22&lt;&gt;""),AND(KO22&gt;=KY$27,KO22&lt;&gt;"",KQ22&gt;=KY$31,KQ22&lt;&gt;""),AND(KS22&gt;=KY$27,KS22&lt;&gt;"",KU22&gt;=KY$31,KU22&lt;&gt;""),AND(KV22&gt;=KY$27,KV22&lt;&gt;"",KX22&gt;=KY$31,KX22&lt;&gt;""),AND(LT22&gt;=MG$27,LT22&lt;&gt;"",LV22&gt;=MG$31,LV22&lt;&gt;""),AND(LW22&gt;=MG$27,LW22&lt;&gt;"",LY22&gt;=MG$31,LY22&lt;&gt;""),AND(MA22&gt;=MG$27,MA22&lt;&gt;"",MC22&gt;=MG$31,MC22&lt;&gt;""),AND(MD22&gt;=MG$27,MD22&lt;&gt;"",MF22&gt;=MG$31,MF22&lt;&gt;""),AND(NB22&gt;=NO$27,NB22&lt;&gt;"",ND22&gt;=NO$31,ND22&lt;&gt;""),AND(NE22&gt;=NO$27,NE22&lt;&gt;"",NG22&gt;=NO$31,NG22&lt;&gt;""),AND(NI22&gt;=NO$27,NI22&lt;&gt;"",NK22&gt;=NO$31,NK22&lt;&gt;""),AND(NL22&gt;=NO$27,NL22&lt;&gt;"",NN22&gt;=NO$31,NN22&lt;&gt;""),AND(OJ22&gt;=OW$27,OJ22&lt;&gt;"",OL22&gt;=OW$31,OL22&lt;&gt;""),AND(OM22&gt;=OW$27,OM22&lt;&gt;"",OO22&gt;=OW$31,OO22&lt;&gt;""),AND(OQ22&gt;=OW$27,OQ22&lt;&gt;"",OS22&gt;=OW$31,OS22&lt;&gt;""),AND(OT22&gt;=OW$27,OT22&lt;&gt;"",OV22&gt;=OW$31,OV22&lt;&gt;""),AND(PR22&gt;=QE$27,PR22&lt;&gt;"",PT22&gt;=QE$31,PT22&lt;&gt;""),AND(PU22&gt;=QE$27,PU22&lt;&gt;"",PW22&gt;=QE$31,PW22&lt;&gt;""),AND(PY22&gt;=QE$27,PY22&lt;&gt;"",QA22&gt;=QE$31,QA22&lt;&gt;""),AND(QB22&gt;=QE$27,QB22&lt;&gt;"",QD22&gt;=QE$31,QD22&lt;&gt;""),AND(QZ22&gt;=RM$27,QZ22&lt;&gt;"",RB22&gt;=RM$31,RB22&lt;&gt;""),AND(RC22&gt;=RM$27,RC22&lt;&gt;"",RE22&gt;=RM$31,RE22&lt;&gt;""),AND(RG22&gt;=RM$27,RG22&lt;&gt;"",RI22&gt;=RM$31,RI22&lt;&gt;""),AND(RJ22&gt;=RM$27,RJ22&lt;&gt;"",RL22&gt;=RM$31,RL22&lt;&gt;""),AND(SH22&gt;=SU$27,SH22&lt;&gt;"",SJ22&gt;=SU$31,SJ22&lt;&gt;""),AND(SK22&gt;=SU$27,SK22&lt;&gt;"",SM22&gt;=SU$31,SM22&lt;&gt;""),AND(SO22&gt;=SU$27,SO22&lt;&gt;"",SQ22&gt;=SU$31,SQ22&lt;&gt;""),AND(SR22&gt;=SU$27,SR22&lt;&gt;"",ST22&gt;=SU$31,ST22&lt;&gt;"")),"Excellence",IF(I22="P","Worlds Team",IF(F22="P","National Team","")))))</f>
        <v/>
      </c>
      <c r="I22" s="3" t="str">
        <f>IF(OR(AND(AO22&gt;=AY$26,AO22&lt;&gt;"",AQ22&gt;=AY$30,AQ22&lt;&gt;"",AN22=""),AND(AR22&gt;=AY$26,AR22&lt;&gt;"",AT22&gt;=AY$30,AT22&lt;&gt;"",AN22=""),AND(AV22&gt;=AY$26,AV22&lt;&gt;"",AX22&gt;=AY$30,AX22&lt;&gt;"",AN22=""),AND(BP22&gt;=BZ$26,BP22&lt;&gt;"",BR22&gt;=BZ$30,BR22&lt;&gt;"",BO22=""),AND(BS22&gt;=BZ$26,BS22&lt;&gt;"",BU22&gt;=BZ$30,BU22&lt;&gt;"",BO22=""),AND(BW22&gt;=BZ$26,BW22&lt;&gt;"",BY22&gt;=BZ$30,BY22&lt;&gt;"",BO22=""),AND(CQ22&gt;=DA$26,CQ22&lt;&gt;"",CS22&gt;=DA$30,CS22&lt;&gt;"",CP22=""),AND(CT22&gt;=DA$26,CT22&lt;&gt;"",CV22&gt;=DA$30,CV22&lt;&gt;"",CP22=""),AND(CX22&gt;=DA$26,CX22&lt;&gt;"",CZ22&gt;=DA$30,CZ22&lt;&gt;"",CP22=""),AND(DX22&gt;=EK$26,DX22&lt;&gt;"",DZ22&gt;=EK$30,DZ22&lt;&gt;""),AND(EA22&gt;=EK$26,EA22&lt;&gt;"",EC22&gt;=EK$30,EC22&lt;&gt;""),AND(EE22&gt;=EK$26,EE22&lt;&gt;"",EG22&gt;=EK$30,EG22&lt;&gt;""),AND(EH22&gt;=EK$26,EH22&lt;&gt;"",EJ22&gt;=EK$30,EJ22&lt;&gt;""),AND(FF22&gt;=FS$26,FF22&lt;&gt;"",FH22&gt;=FS$30,FH22&lt;&gt;""),AND(FI22&gt;=FS$26,FI22&lt;&gt;"",FK22&gt;=FS$30,FK22&lt;&gt;""),AND(FM22&gt;=FS$26,FM22&lt;&gt;"",FO22&gt;=FS$30,FO22&lt;&gt;""),AND(FP22&gt;=FS$26,FP22&lt;&gt;"",FR22&gt;=FS$30,FR22&lt;&gt;""),AND(GN22&gt;=HA$26,GN22&lt;&gt;"",GP22&gt;=HA$30,GP22&lt;&gt;""),AND(GQ22&gt;=HA$26,GQ22&lt;&gt;"",GS22&gt;=HA$30,GS22&lt;&gt;""),AND(GU22&gt;=HA$26,GU22&lt;&gt;"",GW22&gt;=HA$30,GW22&lt;&gt;""),AND(GX22&gt;=HA$26,GX22&lt;&gt;"",GZ22&gt;=HA$30,GZ22&lt;&gt;""),AND(HV22&gt;=II$26,HV22&lt;&gt;"",HX22&gt;=II$30,HX22&lt;&gt;""),AND(HY22&gt;=II$26,HY22&lt;&gt;"",IA22&gt;=II$30,IA22&lt;&gt;""),AND(IC22&gt;=II$26,IC22&lt;&gt;"",IE22&gt;=II$30,IE22&lt;&gt;""),AND(IF22&gt;=II$26,IF22&lt;&gt;"",IH22&gt;=II$30,IH22&lt;&gt;""),AND(JD22&gt;=JQ$26,JD22&lt;&gt;"",JF22&gt;=JQ$30,JF22&lt;&gt;""),AND(JG22&gt;=JQ$26,JG22&lt;&gt;"",JI22&gt;=JQ$30,JI22&lt;&gt;""),AND(JK22&gt;=JQ$26,JK22&lt;&gt;"",JM22&gt;=JQ$30,JM22&lt;&gt;""),AND(JN22&gt;=JQ$26,JN22&lt;&gt;"",JP22&gt;=JQ$30,JP22&lt;&gt;""),AND(KL22&gt;=KY$26,KL22&lt;&gt;"",KN22&gt;=KY$30,KN22&lt;&gt;""),AND(KO22&gt;=KY$26,KO22&lt;&gt;"",KQ22&gt;=KY$30,KQ22&lt;&gt;""),AND(KS22&gt;=KY$26,KS22&lt;&gt;"",KU22&gt;=KY$30,KU22&lt;&gt;""),AND(KV22&gt;=KY$26,KV22&lt;&gt;"",KX22&gt;=KY$30,KX22&lt;&gt;""),AND(LT22&gt;=MG$26,LT22&lt;&gt;"",LV22&gt;=MG$30,LV22&lt;&gt;""),AND(LW22&gt;=MG$26,LW22&lt;&gt;"",LY22&gt;=MG$30,LY22&lt;&gt;""),AND(MA22&gt;=MG$26,MA22&lt;&gt;"",MC22&gt;=MG$30,MC22&lt;&gt;""),AND(MD22&gt;=MG$26,MD22&lt;&gt;"",MF22&gt;=MG$30,MF22&lt;&gt;""),AND(NB22&gt;=NO$26,NB22&lt;&gt;"",ND22&gt;=NO$30,ND22&lt;&gt;""),AND(NE22&gt;=NO$26,NE22&lt;&gt;"",NG22&gt;=NO$30,NG22&lt;&gt;""),AND(NI22&gt;=NO$26,NI22&lt;&gt;"",NK22&gt;=NO$30,NK22&lt;&gt;""),AND(NL22&gt;=NO$26,NL22&lt;&gt;"",NN22&gt;=NO$30,NN22&lt;&gt;""),AND(OJ22&gt;=OW$26,OJ22&lt;&gt;"",OL22&gt;=OW$30,OL22&lt;&gt;""),AND(OM22&gt;=OW$26,OM22&lt;&gt;"",OO22&gt;=OW$30,OO22&lt;&gt;""),AND(OQ22&gt;=OW$26,OQ22&lt;&gt;"",OS22&gt;=OW$30,OS22&lt;&gt;""),AND(OT22&gt;=OW$26,OT22&lt;&gt;"",OV22&gt;=OW$30,OV22&lt;&gt;""),AND(PR22&gt;=QE$26,PR22&lt;&gt;"",PT22&gt;=QE$30,PT22&lt;&gt;""),AND(PU22&gt;=QE$26,PU22&lt;&gt;"",PW22&gt;=QE$30,PW22&lt;&gt;""),AND(PY22&gt;=QE$26,PY22&lt;&gt;"",QA22&gt;=QE$30,QA22&lt;&gt;""),AND(QB22&gt;=QE$26,QB22&lt;&gt;"",QD22&gt;=QE$30,QD22&lt;&gt;""),AND(QZ22&gt;=RM$26,QZ22&lt;&gt;"",RB22&gt;=RM$30,RB22&lt;&gt;""),AND(RC22&gt;=RM$26,RC22&lt;&gt;"",RE22&gt;=RM$30,RE22&lt;&gt;""),AND(RG22&gt;=RM$26,RG22&lt;&gt;"",RI22&gt;=RM$30,RI22&lt;&gt;""),AND(RJ22&gt;=RM$26,RJ22&lt;&gt;"",RL22&gt;=RM$30,RL22&lt;&gt;""),AND(SH22&gt;=SU$26,SH22&lt;&gt;"",SJ22&gt;=SU$30,SJ22&lt;&gt;""),AND(SK22&gt;=SU$26,SK22&lt;&gt;"",SM22&gt;=SU$30,SM22&lt;&gt;""),AND(SO22&gt;=SU$26,SO22&lt;&gt;"",SQ22&gt;=SU$30,SQ22&lt;&gt;""),AND(SR22&gt;=SU$26,SR22&lt;&gt;"",ST22&gt;=SU$30,ST22&lt;&gt;"")),"P","")</f>
        <v/>
      </c>
      <c r="J22" s="13">
        <f>IF(COUNT(AQ22,AT22,BR22,BU22,CS22,CV22)&gt;0,LARGE((AQ22,AT22,BR22,BU22,CS22,CV22),1),0)</f>
        <v>12.164999999999999</v>
      </c>
      <c r="K22" s="13" t="str">
        <f>IF(J22="","",IF(OR(J22=CS22,J22=CV22),$CA$1,IF(OR(J22=BR22,J22=BU22),$AZ$1,IF(OR(J22=AQ22,J22=AT22),$Y$1,""))))</f>
        <v>2021 Elite Canada</v>
      </c>
      <c r="L22" s="13">
        <f>IF(COUNT(AQ22,AT22,BR22,BU22,CS22,CV22)&gt;1,LARGE((AQ22,AT22,BR22,BU22,CS22,CV22),2),0)</f>
        <v>0</v>
      </c>
      <c r="M22" s="13" t="str">
        <f>IF(L22="","",IF(OR(L22=CS22,L22=CV22),$CA$1,IF(OR(L22=BR22,L22=BU22),$AZ$1,IF(OR(L22=AQ22,L22=AT22),$Y$1,""))))</f>
        <v/>
      </c>
      <c r="N22" s="13">
        <f>IF(COUNT(AQ22,AT22,BR22,BU22,CS22,CV22)&gt;2,LARGE((AQ22,AT22,BR22,BU22,CS22,CV22),3),0)</f>
        <v>0</v>
      </c>
      <c r="O22" s="13" t="str">
        <f>IF(N22="","",IF(OR(N22=CS22,N22=CV22),$CA$1,IF(OR(N22=BR22,N22=BU22),$AZ$1,IF(OR(N22=AQ22,N22=AT22),$Y$1,""))))</f>
        <v/>
      </c>
      <c r="P22" s="13">
        <f>IF(MAX(AX22,BY22,CZ22)&gt;0,MAX(AX22,BY22,CZ22),0)</f>
        <v>0</v>
      </c>
      <c r="Q22" s="13" t="str">
        <f>IF(P22="","",IF(P22=CZ22,$CA$1,IF(P22=BY22,$AZ$1,IF(P22=AX22,$Y$1,""))))</f>
        <v/>
      </c>
      <c r="R22" s="13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3.4</v>
      </c>
      <c r="S22" s="13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2021 Elite Canada</v>
      </c>
      <c r="T22" s="13">
        <f>IF(MAX(IF(AO22&gt;=$AY$25,AP22,0),IF(AR22&gt;=$AY$25,AS22,0),IF(AV22&gt;=$AY$25,AW22,0),IF(BP22&gt;=$BZ$25,BQ22,0),IF(BS22&gt;=$BZ$25,BT22,0),IF(BW22&gt;=$BZ$25,BX22,0),IF(CQ22&gt;=$DA$25,CR22,0),IF(CT22&gt;=$DA$25,CU22,0),IF(CX22&gt;=$DA$25,CY22,0))&gt;0,MAX(IF(AO22&gt;=$AY$25,AP22,0),IF(AR22&gt;=$AY$25,AS22,0),IF(AV22&gt;=$AY$25,AW22,0),IF(BP22&gt;=$BZ$25,BQ22,0),IF(BS22&gt;=$BZ$25,BT22,0),IF(BW22&gt;=$BZ$25,BX22,0),IF(CQ22&gt;=$DA$25,CR22,0),IF(CT22&gt;=$DA$25,CU22,0),IF(CX22&gt;=$DA$25,CY22,0),IF(DX22&gt;=$EK$25,DY22,0),IF(EA22&gt;=$EK$25,EB22,0),IF(EE22&gt;=$EK$25,EF22,0),IF(EH22&gt;=$EK$25,EI22,0),IF(FF22&gt;=$FS$25,FG22,0),IF(FI22&gt;=$FS$25,FJ22,0),IF(FM22&gt;=$FS$25,FN22,0),IF(FP22&gt;=$FS$25,FQ22,0),IF(GN22&gt;=$HA$25,GO22,0),IF(GQ22&gt;=$HA$25,GR22,0),IF(GU22&gt;=$HA$25,GV22,0),IF(GX22&gt;=$HA$25,GY22,0),IF(HV22&gt;=$II$25,HW22,0),IF(HY22&gt;=$II$25,HZ22,0),IF(IC22&gt;=$II$25,ID22,0),IF(IF22&gt;=$II$25,IG22,0),IF(JD22&gt;=$JQ$25,JE22,0),IF(JG22&gt;=$JQ$25,JH22,0),IF(JK22&gt;=$JQ$25,JL22,0),IF(JN22&gt;=$JQ$25,JO22,0),IF(KL22&gt;=$KY$25,KM22,0),IF(KO22&gt;=$KY$25,KP22,0),IF(KS22&gt;=$KY$25,KT22,0),IF(KV22&gt;=$KY$25,KW22,0),IF(LT22&gt;=$MG$25,LU22,0),IF(LW22&gt;=$MG$25,LX22,0),IF(MA22&gt;=$MG$25,MB22,0),IF(MD22&gt;=$MG$25,ME22,0),IF(NB22&gt;=$NO$25,NC22,0),IF(NE22&gt;=$NO$25,NF22,0),IF(NI22&gt;=$NO$25,NJ22,0),IF(NL22&gt;=$NO$25,NM22,0),IF(OJ22&gt;=$OW$25,OK22,0),IF(OM22&gt;=$OW$25,ON22,0),IF(OQ22&gt;=$OW$25,OR22,0),IF(OT22&gt;=$OW$25,OU22,0),IF(PR22&gt;=$QE$25,PS22,0),IF(PU22&gt;=$QE$25,PV22,0),IF(PY22&gt;=$QE$25,PZ22,0),IF(QB22&gt;=$QE$25,QC22,0),IF(QZ22&gt;=$RM$25,RA22,0),IF(RC22&gt;=$RM$25,RD22,0),IF(RG22&gt;=$RM$25,RH22,0),IF(RJ22&gt;=$RM$25,RK22,0),IF(SH22&gt;=$SU$25,SI22,0),IF(SK22&gt;=$SU$25,SL22,0),IF(SO22&gt;=$SU$25,SP22,0),IF(SR22&gt;=$SU$25,SS22,0)),0)</f>
        <v>0</v>
      </c>
      <c r="U22" s="13" t="str">
        <f>IF(T22=0,"",IF(OR(T22=CR22,T22=CU22,T22=CY22),$CA$1,IF(OR(T22=BQ22,T22=BT22,T22=BX22),$AZ$1,IF(OR(T22=AP22,T22=AS22,T22=AW22),$Y$1,IF(OR(R22=SI22,R22=SL22,R22=SP22,R22=SS22),$RN$1,IF(OR(R22=RA22,R22=RD22,R22=RH22,R22=RK22),$QF$1,IF(OR(R22=PS22,R22=PV22,R22=PZ22,R22=QC22),$OX$1,IF(OR(R22=OK22,R22=ON22,R22=OR22,R22=OU22),$NP$1,IF(OR(R22=NC22,R22=NF22,R22=NJ22,R22=NM22),$MH$1,IF(OR(R22=LU22,R22=LX22,R22=MB22,R22=ME22),$KZ$1,IF(OR(R22=KM22,R22=KP22,R22=KT22,R22=KW22),$JR$1,IF(OR(R22=JE22,R22=JH22,R22=JL22,R22=JO22),$IJ$1,IF(OR(R22=HW22,R22=HZ22,R22=ID22,R22=IG22),$HB$1,IF(OR(R22=GO22,R22=GR22,R22=GV22,R22=GY22),$FT$1,IF(OR(R22=FG22,R22=FJ22,R22=FN22,R22=FQ22),$EL$1,IF(OR(R22=DY22,R22=EB22,R22=EF22,R22=EI22),$DD$1,""))))))))))))))))</f>
        <v/>
      </c>
      <c r="V22" s="13" t="str">
        <f>IF(MAX(DB22,DC22)&gt;0,MAX(DB22,DC22),"")</f>
        <v/>
      </c>
      <c r="W22" s="16" t="str">
        <f>IF(V22="","",IF(V22=DB22,"("&amp;DB$2&amp;")",IF(V22=DC22,"("&amp;DC$2&amp;")")))</f>
        <v/>
      </c>
      <c r="X22" s="13" t="str">
        <f>IF(V22="","",IF(V22=DB22,IF(V22+IF(L22="",0,L22)=SN22,$RN$1,IF(V22+IF(L22="",0,L22)=RF22,$QF$1,IF(V22+IF(L22="",0,L22)=PX22,$OX$1,IF(V22+IF(L22="",0,L22)=OP22,$NP$1,IF(V22+IF(L22="",0,L22)=NH22,$MH$1,IF(V22+IF(L22="",0,L22)=LZ22,$KZ$1,IF(V22+IF(L22="",0,L22)=KR22,$JR$1,IF(V22+IF(L22="",0,L22)=JJ22,$IJ$1,IF(V22+IF(L22="",0,L22)=IB22,$HB$1,IF(V22+IF(L22="",0,L22)=GT22,$FT$1,IF(V22+IF(L22="",0,L22)=FL22,$EL$1,IF(V22+IF(L22="",0,L22)=ED22,$DD$1)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$1)))))))))))))))</f>
        <v/>
      </c>
      <c r="Y22" s="42">
        <v>0</v>
      </c>
      <c r="Z22" s="42">
        <v>0</v>
      </c>
      <c r="AA22" s="42">
        <v>0</v>
      </c>
      <c r="AB22" s="42">
        <v>0</v>
      </c>
      <c r="AC22" s="42">
        <v>0</v>
      </c>
      <c r="AD22" s="42">
        <v>3.3</v>
      </c>
      <c r="AE22" s="42">
        <v>1.9</v>
      </c>
      <c r="AF22" s="42">
        <v>3.4</v>
      </c>
      <c r="AG22" s="42">
        <v>3.5649999999999999</v>
      </c>
      <c r="AH22" s="42">
        <v>0</v>
      </c>
      <c r="AI22" s="42"/>
      <c r="AJ22" s="42"/>
      <c r="AK22" s="42"/>
      <c r="AL22" s="42"/>
      <c r="AM22" s="42"/>
      <c r="AN22" s="51"/>
      <c r="AO22" s="74" t="str">
        <f>IF(AA22&gt;0,AA22,"")</f>
        <v/>
      </c>
      <c r="AP22" s="74" t="str">
        <f>IF(AB22&gt;0,AB22,"")</f>
        <v/>
      </c>
      <c r="AQ22" s="76" t="str">
        <f>IF(SUM(Y22:AB22)-AC22&gt;0,SUM(Y22:AB22)-AC22,"")</f>
        <v/>
      </c>
      <c r="AR22" s="76">
        <f>IF(AF22&gt;0,AF22,"")</f>
        <v>3.4</v>
      </c>
      <c r="AS22" s="76">
        <f>IF(AG22&gt;0,AG22,"")</f>
        <v>3.5649999999999999</v>
      </c>
      <c r="AT22" s="76">
        <f>IF(SUM(AD22:AG22)-AH22&gt;0,SUM(AD22:AG22)-AH22,"")</f>
        <v>12.164999999999999</v>
      </c>
      <c r="AU22" s="76" t="str">
        <f>IF(AQ22="","",MAX(AQ22,AT22))</f>
        <v/>
      </c>
      <c r="AV22" s="76" t="str">
        <f>IF(AK22&gt;0,AK22,"")</f>
        <v/>
      </c>
      <c r="AW22" s="76" t="str">
        <f>IF(AL22&gt;0,AL22,"")</f>
        <v/>
      </c>
      <c r="AX22" s="76" t="str">
        <f>IF(SUM(AI22:AL22)-AM22&gt;0,SUM(AI22:AL22)-AM22,"")</f>
        <v/>
      </c>
      <c r="AY22" s="76" t="str">
        <f>IF(SUM(AU22,AX22)&gt;0,SUM(AU22,AX22),"")</f>
        <v/>
      </c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52"/>
      <c r="BP22" s="75" t="str">
        <f>IF(BB22&gt;0,BB22,"")</f>
        <v/>
      </c>
      <c r="BQ22" s="75" t="str">
        <f>IF(BC22&gt;0,BC22,"")</f>
        <v/>
      </c>
      <c r="BR22" s="16" t="str">
        <f>IF(SUM(AZ22:BC22)-BD22&gt;0,SUM(AZ22:BC22)-BD22,"")</f>
        <v/>
      </c>
      <c r="BS22" s="16" t="str">
        <f>IF(BG22&gt;0,BG22,"")</f>
        <v/>
      </c>
      <c r="BT22" s="16" t="str">
        <f>IF(BH22&gt;0,BH22,"")</f>
        <v/>
      </c>
      <c r="BU22" s="16" t="str">
        <f>IF(SUM(BE22:BH22)-BI22&gt;0,SUM(BE22:BH22)-BI22,"")</f>
        <v/>
      </c>
      <c r="BV22" s="16" t="str">
        <f>IF(BR22="","",MAX(BR22,BU22))</f>
        <v/>
      </c>
      <c r="BW22" s="16" t="str">
        <f>IF(BL22&gt;0,BL22,"")</f>
        <v/>
      </c>
      <c r="BX22" s="16" t="str">
        <f>IF(BM22&gt;0,BM22,"")</f>
        <v/>
      </c>
      <c r="BY22" s="16" t="str">
        <f>IF(SUM(BJ22:BM22)-BN22&gt;0,SUM(BJ22:BM22)-BN22,"")</f>
        <v/>
      </c>
      <c r="BZ22" s="16" t="str">
        <f>IF(SUM(BV22,BY22)&gt;0,SUM(BV22,BY22),"")</f>
        <v/>
      </c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51"/>
      <c r="CQ22" s="74" t="str">
        <f>IF(CC22&gt;0,CC22,"")</f>
        <v/>
      </c>
      <c r="CR22" s="74" t="str">
        <f>IF(CD22&gt;0,CD22,"")</f>
        <v/>
      </c>
      <c r="CS22" s="76" t="str">
        <f>IF(SUM(CA22:CD22)-CE22&gt;0,SUM(CA22:CD22)-CE22,"")</f>
        <v/>
      </c>
      <c r="CT22" s="76" t="str">
        <f>IF(CH22&gt;0,CH22,"")</f>
        <v/>
      </c>
      <c r="CU22" s="76" t="str">
        <f>IF(CI22&gt;0,CI22,"")</f>
        <v/>
      </c>
      <c r="CV22" s="76" t="str">
        <f>IF(SUM(CF22:CI22)-CJ22&gt;0,SUM(CF22:CI22)-CJ22,"")</f>
        <v/>
      </c>
      <c r="CW22" s="76" t="str">
        <f>IF(CS22="","",MAX(CS22,CV22))</f>
        <v/>
      </c>
      <c r="CX22" s="76" t="str">
        <f>IF(CM22&gt;0,CM22,"")</f>
        <v/>
      </c>
      <c r="CY22" s="76" t="str">
        <f>IF(CN22&gt;0,CN22,"")</f>
        <v/>
      </c>
      <c r="CZ22" s="76" t="str">
        <f>IF(SUM(CK22:CN22)-CO22&gt;0,SUM(CK22:CN22)-CO22,"")</f>
        <v/>
      </c>
      <c r="DA22" s="76" t="str">
        <f>IF(SUM(CW22,CZ22)&gt;0,SUM(CW22,CZ22),"")</f>
        <v/>
      </c>
      <c r="DB22" s="87" t="str">
        <f>IF(L22&gt;=0.001,IF(MAX(ED22,FL22,GT22,IB22,JJ22,KR22,LZ22,NH22,OP22,PX22,RF22,SN22)-IF(L22="",0,L22)&gt;0.001,MAX(ED22,FL22,GT22,IB22,JJ22,KR22,LZ22,NH22,OP22,PX22,RF22,SN22)-IF(L22="",0,L22),""),"")</f>
        <v/>
      </c>
      <c r="DC22" s="87" t="str">
        <f>IF(P22&gt;=0.001,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,"")</f>
        <v/>
      </c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76" t="str">
        <f>IF(DF22&gt;0,DF22,"")</f>
        <v/>
      </c>
      <c r="DY22" s="76" t="str">
        <f>IF(DG22&gt;0,DG22,"")</f>
        <v/>
      </c>
      <c r="DZ22" s="76" t="str">
        <f>IF(SUM(DD22:DG22)-DH22&gt;0,SUM(DD22:DG22)-DH22,"")</f>
        <v/>
      </c>
      <c r="EA22" s="76" t="str">
        <f>IF(DK22&gt;0,DK22,"")</f>
        <v/>
      </c>
      <c r="EB22" s="76" t="str">
        <f>IF(DL22&gt;0,DL22,"")</f>
        <v/>
      </c>
      <c r="EC22" s="76" t="str">
        <f>IF(SUM(DI22:DL22)-DM22&gt;0,SUM(DI22:DL22)-DM22,"")</f>
        <v/>
      </c>
      <c r="ED22" s="76" t="str">
        <f>IF(MAX(DZ22,EC22)&gt;0,MAX(DZ22,EC22),"")</f>
        <v/>
      </c>
      <c r="EE22" s="76" t="str">
        <f>IF(DP22&gt;0,DP22,"")</f>
        <v/>
      </c>
      <c r="EF22" s="76" t="str">
        <f>IF(DQ22&gt;0,DQ22,"")</f>
        <v/>
      </c>
      <c r="EG22" s="76" t="str">
        <f>IF(SUM(DN22:DQ22)-DR22&gt;0,SUM(DN22:DQ22)-DR22,"")</f>
        <v/>
      </c>
      <c r="EH22" s="76" t="str">
        <f>IF(DU22&gt;0,DU22,"")</f>
        <v/>
      </c>
      <c r="EI22" s="76" t="str">
        <f>IF(DV22&gt;0,DV22,"")</f>
        <v/>
      </c>
      <c r="EJ22" s="76" t="str">
        <f>IF(SUM(DS22:DV22)-DW22&gt;0,SUM(DS22:DV22)-DW22,"")</f>
        <v/>
      </c>
      <c r="EK22" s="76" t="str">
        <f>IF(SUM(ED22,EJ22)&gt;0,SUM(ED22,EJ22),"")</f>
        <v/>
      </c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16" t="str">
        <f>IF(EN22&gt;0,EN22,"")</f>
        <v/>
      </c>
      <c r="FG22" s="16" t="str">
        <f>IF(EO22&gt;0,EO22,"")</f>
        <v/>
      </c>
      <c r="FH22" s="16" t="str">
        <f>IF(SUM(EL22:EO22)-EP22&gt;0,SUM(EL22:EO22)-EP22,"")</f>
        <v/>
      </c>
      <c r="FI22" s="16" t="str">
        <f>IF(ES22&gt;0,ES22,"")</f>
        <v/>
      </c>
      <c r="FJ22" s="16" t="str">
        <f>IF(ET22&gt;0,ET22,"")</f>
        <v/>
      </c>
      <c r="FK22" s="16" t="str">
        <f>IF(SUM(EQ22:ET22)-EU22&gt;0,SUM(EQ22:ET22)-EU22,"")</f>
        <v/>
      </c>
      <c r="FL22" s="16" t="str">
        <f>IF(MAX(FH22,FK22)&gt;0,MAX(FH22,FK22),"")</f>
        <v/>
      </c>
      <c r="FM22" s="16" t="str">
        <f>IF(EX22&gt;0,EX22,"")</f>
        <v/>
      </c>
      <c r="FN22" s="16" t="str">
        <f>IF(EY22&gt;0,EY22,"")</f>
        <v/>
      </c>
      <c r="FO22" s="16" t="str">
        <f>IF(SUM(EV22:EY22)-EZ22&gt;0,SUM(EV22:EY22)-EZ22,"")</f>
        <v/>
      </c>
      <c r="FP22" s="16" t="str">
        <f>IF(FC22&gt;0,FC22,"")</f>
        <v/>
      </c>
      <c r="FQ22" s="16" t="str">
        <f>IF(FD22&gt;0,FD22,"")</f>
        <v/>
      </c>
      <c r="FR22" s="16" t="str">
        <f>IF(SUM(FA22:FD22)-FE22&gt;0,SUM(FA22:FD22)-FE22,"")</f>
        <v/>
      </c>
      <c r="FS22" s="16" t="str">
        <f>IF(SUM(FL22,FR22)&gt;0,SUM(FL22,FR22),"")</f>
        <v/>
      </c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76" t="str">
        <f>IF(FV22&gt;0,FV22,"")</f>
        <v/>
      </c>
      <c r="GO22" s="76" t="str">
        <f>IF(FW22&gt;0,FW22,"")</f>
        <v/>
      </c>
      <c r="GP22" s="76" t="str">
        <f>IF(SUM(FT22:FW22)-FX22&gt;0,SUM(FT22:FW22)-FX22,"")</f>
        <v/>
      </c>
      <c r="GQ22" s="76" t="str">
        <f>IF(GA22&gt;0,GA22,"")</f>
        <v/>
      </c>
      <c r="GR22" s="76" t="str">
        <f>IF(GB22&gt;0,GB22,"")</f>
        <v/>
      </c>
      <c r="GS22" s="76" t="str">
        <f>IF(SUM(FY22:GB22)-GC22&gt;0,SUM(FY22:GB22)-GC22,"")</f>
        <v/>
      </c>
      <c r="GT22" s="76" t="str">
        <f>IF(MAX(GP22,GS22)&gt;0,MAX(GP22,GS22),"")</f>
        <v/>
      </c>
      <c r="GU22" s="76" t="str">
        <f>IF(GF22&gt;0,GF22,"")</f>
        <v/>
      </c>
      <c r="GV22" s="76" t="str">
        <f>IF(GG22&gt;0,GG22,"")</f>
        <v/>
      </c>
      <c r="GW22" s="76" t="str">
        <f>IF(SUM(GD22:GG22)-GH22&gt;0,SUM(GD22:GG22)-GH22,"")</f>
        <v/>
      </c>
      <c r="GX22" s="76" t="str">
        <f>IF(GK22&gt;0,GK22,"")</f>
        <v/>
      </c>
      <c r="GY22" s="76" t="str">
        <f>IF(GL22&gt;0,GL22,"")</f>
        <v/>
      </c>
      <c r="GZ22" s="76" t="str">
        <f>IF(SUM(GI22:GL22)-GM22&gt;0,SUM(GI22:GL22)-GM22,"")</f>
        <v/>
      </c>
      <c r="HA22" s="76" t="str">
        <f>IF(SUM(GT22,GZ22)&gt;0,SUM(GT22,GZ22),"")</f>
        <v/>
      </c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16" t="str">
        <f>IF(HD22&gt;0,HD22,"")</f>
        <v/>
      </c>
      <c r="HW22" s="16" t="str">
        <f>IF(HE22&gt;0,HE22,"")</f>
        <v/>
      </c>
      <c r="HX22" s="16" t="str">
        <f>IF(SUM(HB22:HE22)-HF22&gt;0,SUM(HB22:HE22)-HF22,"")</f>
        <v/>
      </c>
      <c r="HY22" s="16" t="str">
        <f>IF(HI22&gt;0,HI22,"")</f>
        <v/>
      </c>
      <c r="HZ22" s="16" t="str">
        <f>IF(HJ22&gt;0,HJ22,"")</f>
        <v/>
      </c>
      <c r="IA22" s="16" t="str">
        <f>IF(SUM(HG22:HJ22)-HK22&gt;0,SUM(HG22:HJ22)-HK22,"")</f>
        <v/>
      </c>
      <c r="IB22" s="16" t="str">
        <f>IF(MAX(HX22,IA22)&gt;0,MAX(HX22,IA22),"")</f>
        <v/>
      </c>
      <c r="IC22" s="16" t="str">
        <f>IF(HN22&gt;0,HN22,"")</f>
        <v/>
      </c>
      <c r="ID22" s="16" t="str">
        <f>IF(HO22&gt;0,HO22,"")</f>
        <v/>
      </c>
      <c r="IE22" s="16" t="str">
        <f>IF(SUM(HL22:HO22)-HP22&gt;0,SUM(HL22:HO22)-HP22,"")</f>
        <v/>
      </c>
      <c r="IF22" s="16" t="str">
        <f>IF(HS22&gt;0,HS22,"")</f>
        <v/>
      </c>
      <c r="IG22" s="16" t="str">
        <f>IF(HT22&gt;0,HT22,"")</f>
        <v/>
      </c>
      <c r="IH22" s="16" t="str">
        <f>IF(SUM(HQ22:HT22)-HU22&gt;0,SUM(HQ22:HT22)-HU22,"")</f>
        <v/>
      </c>
      <c r="II22" s="16" t="str">
        <f>IF(SUM(IB22,IH22)&gt;0,SUM(IB22,IH22),"")</f>
        <v/>
      </c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76" t="str">
        <f>IF(IL22&gt;0,IL22,"")</f>
        <v/>
      </c>
      <c r="JE22" s="76" t="str">
        <f>IF(IM22&gt;0,IM22,"")</f>
        <v/>
      </c>
      <c r="JF22" s="76" t="str">
        <f>IF(SUM(IJ22:IM22)-IN22&gt;0,SUM(IJ22:IM22)-IN22,"")</f>
        <v/>
      </c>
      <c r="JG22" s="76" t="str">
        <f>IF(IQ22&gt;0,IQ22,"")</f>
        <v/>
      </c>
      <c r="JH22" s="76" t="str">
        <f>IF(IR22&gt;0,IR22,"")</f>
        <v/>
      </c>
      <c r="JI22" s="76" t="str">
        <f>IF(SUM(IO22:IR22)-IS22&gt;0,SUM(IO22:IR22)-IS22,"")</f>
        <v/>
      </c>
      <c r="JJ22" s="76" t="str">
        <f>IF(MAX(JF22,JI22)&gt;0,MAX(JF22,JI22),"")</f>
        <v/>
      </c>
      <c r="JK22" s="76" t="str">
        <f>IF(IV22&gt;0,IV22,"")</f>
        <v/>
      </c>
      <c r="JL22" s="76" t="str">
        <f>IF(IW22&gt;0,IW22,"")</f>
        <v/>
      </c>
      <c r="JM22" s="76" t="str">
        <f>IF(SUM(IT22:IW22)-IX22&gt;0,SUM(IT22:IW22)-IX22,"")</f>
        <v/>
      </c>
      <c r="JN22" s="76" t="str">
        <f>IF(JA22&gt;0,JA22,"")</f>
        <v/>
      </c>
      <c r="JO22" s="76" t="str">
        <f>IF(JB22&gt;0,JB22,"")</f>
        <v/>
      </c>
      <c r="JP22" s="76" t="str">
        <f>IF(SUM(IY22:JB22)-JC22&gt;0,SUM(IY22:JB22)-JC22,"")</f>
        <v/>
      </c>
      <c r="JQ22" s="76" t="str">
        <f>IF(SUM(JJ22,JP22)&gt;0,SUM(JJ22,JP22),"")</f>
        <v/>
      </c>
      <c r="JR22" s="26"/>
      <c r="JS22" s="26"/>
      <c r="JT22" s="26"/>
      <c r="JU22" s="26"/>
      <c r="JV22" s="26"/>
      <c r="JW22" s="26"/>
      <c r="JX22" s="26"/>
      <c r="JY22" s="26"/>
      <c r="JZ22" s="26"/>
      <c r="KA22" s="26"/>
      <c r="KB22" s="26"/>
      <c r="KC22" s="26"/>
      <c r="KD22" s="26"/>
      <c r="KE22" s="26"/>
      <c r="KF22" s="26"/>
      <c r="KG22" s="26"/>
      <c r="KH22" s="26"/>
      <c r="KI22" s="26"/>
      <c r="KJ22" s="26"/>
      <c r="KK22" s="26"/>
      <c r="KL22" s="16" t="str">
        <f>IF(JT22&gt;0,JT22,"")</f>
        <v/>
      </c>
      <c r="KM22" s="16" t="str">
        <f>IF(JU22&gt;0,JU22,"")</f>
        <v/>
      </c>
      <c r="KN22" s="16" t="str">
        <f>IF(SUM(JR22:JU22)-JV22&gt;0,SUM(JR22:JU22)-JV22,"")</f>
        <v/>
      </c>
      <c r="KO22" s="16" t="str">
        <f>IF(JY22&gt;0,JY22,"")</f>
        <v/>
      </c>
      <c r="KP22" s="16" t="str">
        <f>IF(JZ22&gt;0,JZ22,"")</f>
        <v/>
      </c>
      <c r="KQ22" s="16" t="str">
        <f>IF(SUM(JW22:JZ22)-KA22&gt;0,SUM(JW22:JZ22)-KA22,"")</f>
        <v/>
      </c>
      <c r="KR22" s="16" t="str">
        <f>IF(MAX(KN22,KQ22)&gt;0,MAX(KN22,KQ22),"")</f>
        <v/>
      </c>
      <c r="KS22" s="16" t="str">
        <f>IF(KD22&gt;0,KD22,"")</f>
        <v/>
      </c>
      <c r="KT22" s="16" t="str">
        <f>IF(KE22&gt;0,KE22,"")</f>
        <v/>
      </c>
      <c r="KU22" s="16" t="str">
        <f>IF(SUM(KB22:KE22)-KF22&gt;0,SUM(KB22:KE22)-KF22,"")</f>
        <v/>
      </c>
      <c r="KV22" s="16" t="str">
        <f>IF(KI22&gt;0,KI22,"")</f>
        <v/>
      </c>
      <c r="KW22" s="16" t="str">
        <f>IF(KJ22&gt;0,KJ22,"")</f>
        <v/>
      </c>
      <c r="KX22" s="16" t="str">
        <f>IF(SUM(KG22:KJ22)-KK22&gt;0,SUM(KG22:KJ22)-KK22,"")</f>
        <v/>
      </c>
      <c r="KY22" s="16" t="str">
        <f>IF(SUM(KR22,KX22)&gt;0,SUM(KR22,KX22),"")</f>
        <v/>
      </c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25"/>
      <c r="LQ22" s="25"/>
      <c r="LR22" s="25"/>
      <c r="LS22" s="25"/>
      <c r="LT22" s="76" t="str">
        <f>IF(LB22&gt;0,LB22,"")</f>
        <v/>
      </c>
      <c r="LU22" s="76" t="str">
        <f>IF(LC22&gt;0,LC22,"")</f>
        <v/>
      </c>
      <c r="LV22" s="76" t="str">
        <f>IF(SUM(KZ22:LC22)-LD22&gt;0,SUM(KZ22:LC22)-LD22,"")</f>
        <v/>
      </c>
      <c r="LW22" s="76" t="str">
        <f>IF(LG22&gt;0,LG22,"")</f>
        <v/>
      </c>
      <c r="LX22" s="76" t="str">
        <f>IF(LH22&gt;0,LH22,"")</f>
        <v/>
      </c>
      <c r="LY22" s="76" t="str">
        <f>IF(SUM(LE22:LH22)-LI22&gt;0,SUM(LE22:LH22)-LI22,"")</f>
        <v/>
      </c>
      <c r="LZ22" s="76" t="str">
        <f>IF(MAX(LV22,LY22)&gt;0,MAX(LV22,LY22),"")</f>
        <v/>
      </c>
      <c r="MA22" s="76" t="str">
        <f>IF(LL22&gt;0,LL22,"")</f>
        <v/>
      </c>
      <c r="MB22" s="76" t="str">
        <f>IF(LM22&gt;0,LM22,"")</f>
        <v/>
      </c>
      <c r="MC22" s="76" t="str">
        <f>IF(SUM(LJ22:LM22)-LN22&gt;0,SUM(LJ22:LM22)-LN22,"")</f>
        <v/>
      </c>
      <c r="MD22" s="76" t="str">
        <f>IF(LQ22&gt;0,LQ22,"")</f>
        <v/>
      </c>
      <c r="ME22" s="76" t="str">
        <f>IF(LR22&gt;0,LR22,"")</f>
        <v/>
      </c>
      <c r="MF22" s="76" t="str">
        <f>IF(SUM(LO22:LR22)-LS22&gt;0,SUM(LO22:LR22)-LS22,"")</f>
        <v/>
      </c>
      <c r="MG22" s="76" t="str">
        <f>IF(SUM(LZ22,MF22)&gt;0,SUM(LZ22,MF22),"")</f>
        <v/>
      </c>
      <c r="MH22" s="26"/>
      <c r="MI22" s="26"/>
      <c r="MJ22" s="26"/>
      <c r="MK22" s="26"/>
      <c r="ML22" s="26"/>
      <c r="MM22" s="26"/>
      <c r="MN22" s="26"/>
      <c r="MO22" s="26"/>
      <c r="MP22" s="26"/>
      <c r="MQ22" s="26"/>
      <c r="MR22" s="26"/>
      <c r="MS22" s="26"/>
      <c r="MT22" s="26"/>
      <c r="MU22" s="26"/>
      <c r="MV22" s="26"/>
      <c r="MW22" s="26"/>
      <c r="MX22" s="26"/>
      <c r="MY22" s="26"/>
      <c r="MZ22" s="26"/>
      <c r="NA22" s="26"/>
      <c r="NB22" s="16" t="str">
        <f>IF(MJ22&gt;0,MJ22,"")</f>
        <v/>
      </c>
      <c r="NC22" s="16" t="str">
        <f>IF(MK22&gt;0,MK22,"")</f>
        <v/>
      </c>
      <c r="ND22" s="16" t="str">
        <f>IF(SUM(MH22:MK22)-ML22&gt;0,SUM(MH22:MK22)-ML22,"")</f>
        <v/>
      </c>
      <c r="NE22" s="16" t="str">
        <f>IF(MO22&gt;0,MO22,"")</f>
        <v/>
      </c>
      <c r="NF22" s="16" t="str">
        <f>IF(MP22&gt;0,MP22,"")</f>
        <v/>
      </c>
      <c r="NG22" s="16" t="str">
        <f>IF(SUM(MM22:MP22)-MQ22&gt;0,SUM(MM22:MP22)-MQ22,"")</f>
        <v/>
      </c>
      <c r="NH22" s="16" t="str">
        <f>IF(MAX(ND22,NG22)&gt;0,MAX(ND22,NG22),"")</f>
        <v/>
      </c>
      <c r="NI22" s="16" t="str">
        <f>IF(MT22&gt;0,MT22,"")</f>
        <v/>
      </c>
      <c r="NJ22" s="16" t="str">
        <f>IF(MU22&gt;0,MU22,"")</f>
        <v/>
      </c>
      <c r="NK22" s="16" t="str">
        <f>IF(SUM(MR22:MU22)-MV22&gt;0,SUM(MR22:MU22)-MV22,"")</f>
        <v/>
      </c>
      <c r="NL22" s="16" t="str">
        <f>IF(MY22&gt;0,MY22,"")</f>
        <v/>
      </c>
      <c r="NM22" s="16" t="str">
        <f>IF(MZ22&gt;0,MZ22,"")</f>
        <v/>
      </c>
      <c r="NN22" s="16" t="str">
        <f>IF(SUM(MW22:MZ22)-NA22&gt;0,SUM(MW22:MZ22)-NA22,"")</f>
        <v/>
      </c>
      <c r="NO22" s="16" t="str">
        <f>IF(SUM(NH22,NN22)&gt;0,SUM(NH22,NN22),"")</f>
        <v/>
      </c>
      <c r="NP22" s="25"/>
      <c r="NQ22" s="25"/>
      <c r="NR22" s="25"/>
      <c r="NS22" s="25"/>
      <c r="NT22" s="25"/>
      <c r="NU22" s="25"/>
      <c r="NV22" s="25"/>
      <c r="NW22" s="25"/>
      <c r="NX22" s="25"/>
      <c r="NY22" s="25"/>
      <c r="NZ22" s="25"/>
      <c r="OA22" s="25"/>
      <c r="OB22" s="25"/>
      <c r="OC22" s="25"/>
      <c r="OD22" s="25"/>
      <c r="OE22" s="25"/>
      <c r="OF22" s="25"/>
      <c r="OG22" s="25"/>
      <c r="OH22" s="25"/>
      <c r="OI22" s="25"/>
      <c r="OJ22" s="76" t="str">
        <f>IF(NR22&gt;0,NR22,"")</f>
        <v/>
      </c>
      <c r="OK22" s="76" t="str">
        <f>IF(NS22&gt;0,NS22,"")</f>
        <v/>
      </c>
      <c r="OL22" s="76" t="str">
        <f>IF(SUM(NP22:NS22)-NT22&gt;0,SUM(NP22:NS22)-NT22,"")</f>
        <v/>
      </c>
      <c r="OM22" s="76" t="str">
        <f>IF(NW22&gt;0,NW22,"")</f>
        <v/>
      </c>
      <c r="ON22" s="76" t="str">
        <f>IF(NX22&gt;0,NX22,"")</f>
        <v/>
      </c>
      <c r="OO22" s="76" t="str">
        <f>IF(SUM(NU22:NX22)-NY22&gt;0,SUM(NU22:NX22)-NY22,"")</f>
        <v/>
      </c>
      <c r="OP22" s="76" t="str">
        <f>IF(MAX(OL22,OO22)&gt;0,MAX(OL22,OO22),"")</f>
        <v/>
      </c>
      <c r="OQ22" s="76" t="str">
        <f>IF(OB22&gt;0,OB22,"")</f>
        <v/>
      </c>
      <c r="OR22" s="76" t="str">
        <f>IF(OC22&gt;0,OC22,"")</f>
        <v/>
      </c>
      <c r="OS22" s="76" t="str">
        <f>IF(SUM(NZ22:OC22)-OD22&gt;0,SUM(NZ22:OC22)-OD22,"")</f>
        <v/>
      </c>
      <c r="OT22" s="76" t="str">
        <f>IF(OG22&gt;0,OG22,"")</f>
        <v/>
      </c>
      <c r="OU22" s="76" t="str">
        <f>IF(OH22&gt;0,OH22,"")</f>
        <v/>
      </c>
      <c r="OV22" s="76" t="str">
        <f>IF(SUM(OE22:OH22)-OI22&gt;0,SUM(OE22:OH22)-OI22,"")</f>
        <v/>
      </c>
      <c r="OW22" s="76" t="str">
        <f>IF(SUM(OP22,OV22)&gt;0,SUM(OP22,OV22),"")</f>
        <v/>
      </c>
      <c r="OX22" s="26"/>
      <c r="OY22" s="26"/>
      <c r="OZ22" s="26"/>
      <c r="PA22" s="26"/>
      <c r="PB22" s="26"/>
      <c r="PC22" s="26"/>
      <c r="PD22" s="26"/>
      <c r="PE22" s="26"/>
      <c r="PF22" s="26"/>
      <c r="PG22" s="26"/>
      <c r="PH22" s="26"/>
      <c r="PI22" s="26"/>
      <c r="PJ22" s="26"/>
      <c r="PK22" s="26"/>
      <c r="PL22" s="26"/>
      <c r="PM22" s="26"/>
      <c r="PN22" s="26"/>
      <c r="PO22" s="26"/>
      <c r="PP22" s="26"/>
      <c r="PQ22" s="26"/>
      <c r="PR22" s="16" t="str">
        <f>IF(OZ22&gt;0,OZ22,"")</f>
        <v/>
      </c>
      <c r="PS22" s="16" t="str">
        <f>IF(PA22&gt;0,PA22,"")</f>
        <v/>
      </c>
      <c r="PT22" s="16" t="str">
        <f>IF(SUM(OX22:PA22)-PB22&gt;0,SUM(OX22:PA22)-PB22,"")</f>
        <v/>
      </c>
      <c r="PU22" s="16" t="str">
        <f>IF(PE22&gt;0,PE22,"")</f>
        <v/>
      </c>
      <c r="PV22" s="16" t="str">
        <f>IF(PF22&gt;0,PF22,"")</f>
        <v/>
      </c>
      <c r="PW22" s="16" t="str">
        <f>IF(SUM(PC22:PF22)-PG22&gt;0,SUM(PC22:PF22)-PG22,"")</f>
        <v/>
      </c>
      <c r="PX22" s="16" t="str">
        <f>IF(MAX(PT22,PW22)&gt;0,MAX(PT22,PW22),"")</f>
        <v/>
      </c>
      <c r="PY22" s="16" t="str">
        <f>IF(PJ22&gt;0,PJ22,"")</f>
        <v/>
      </c>
      <c r="PZ22" s="16" t="str">
        <f>IF(PK22&gt;0,PK22,"")</f>
        <v/>
      </c>
      <c r="QA22" s="16" t="str">
        <f>IF(SUM(PH22:PK22)-PL22&gt;0,SUM(PH22:PK22)-PL22,"")</f>
        <v/>
      </c>
      <c r="QB22" s="16" t="str">
        <f>IF(PO22&gt;0,PO22,"")</f>
        <v/>
      </c>
      <c r="QC22" s="16" t="str">
        <f>IF(PP22&gt;0,PP22,"")</f>
        <v/>
      </c>
      <c r="QD22" s="16" t="str">
        <f>IF(SUM(PM22:PP22)-PQ22&gt;0,SUM(PM22:PP22)-PQ22,"")</f>
        <v/>
      </c>
      <c r="QE22" s="16" t="str">
        <f>IF(SUM(PX22,QD22)&gt;0,SUM(PX22,QD22),"")</f>
        <v/>
      </c>
      <c r="QF22" s="25"/>
      <c r="QG22" s="25"/>
      <c r="QH22" s="25"/>
      <c r="QI22" s="25"/>
      <c r="QJ22" s="25"/>
      <c r="QK22" s="25"/>
      <c r="QL22" s="25"/>
      <c r="QM22" s="25"/>
      <c r="QN22" s="25"/>
      <c r="QO22" s="25"/>
      <c r="QP22" s="25"/>
      <c r="QQ22" s="25"/>
      <c r="QR22" s="25"/>
      <c r="QS22" s="25"/>
      <c r="QT22" s="25"/>
      <c r="QU22" s="25"/>
      <c r="QV22" s="25"/>
      <c r="QW22" s="25"/>
      <c r="QX22" s="25"/>
      <c r="QY22" s="25"/>
      <c r="QZ22" s="76" t="str">
        <f>IF(QH22&gt;0,QH22,"")</f>
        <v/>
      </c>
      <c r="RA22" s="76" t="str">
        <f>IF(QI22&gt;0,QI22,"")</f>
        <v/>
      </c>
      <c r="RB22" s="76" t="str">
        <f>IF(SUM(QF22:QI22)-QJ22&gt;0,SUM(QF22:QI22)-QJ22,"")</f>
        <v/>
      </c>
      <c r="RC22" s="76" t="str">
        <f>IF(QM22&gt;0,QM22,"")</f>
        <v/>
      </c>
      <c r="RD22" s="76" t="str">
        <f>IF(QN22&gt;0,QN22,"")</f>
        <v/>
      </c>
      <c r="RE22" s="76" t="str">
        <f>IF(SUM(QK22:QN22)-QO22&gt;0,SUM(QK22:QN22)-QO22,"")</f>
        <v/>
      </c>
      <c r="RF22" s="76" t="str">
        <f>IF(MAX(RB22,RE22)&gt;0,MAX(RB22,RE22),"")</f>
        <v/>
      </c>
      <c r="RG22" s="76" t="str">
        <f>IF(QR22&gt;0,QR22,"")</f>
        <v/>
      </c>
      <c r="RH22" s="76" t="str">
        <f>IF(QS22&gt;0,QS22,"")</f>
        <v/>
      </c>
      <c r="RI22" s="76" t="str">
        <f>IF(SUM(QP22:QS22)-QT22&gt;0,SUM(QP22:QS22)-QT22,"")</f>
        <v/>
      </c>
      <c r="RJ22" s="76" t="str">
        <f>IF(QW22&gt;0,QW22,"")</f>
        <v/>
      </c>
      <c r="RK22" s="76" t="str">
        <f>IF(QX22&gt;0,QX22,"")</f>
        <v/>
      </c>
      <c r="RL22" s="76" t="str">
        <f>IF(SUM(QU22:QX22)-QY22&gt;0,SUM(QU22:QX22)-QY22,"")</f>
        <v/>
      </c>
      <c r="RM22" s="76" t="str">
        <f>IF(SUM(RF22,RL22)&gt;0,SUM(RF22,RL22),"")</f>
        <v/>
      </c>
      <c r="RN22" s="26"/>
      <c r="RO22" s="26"/>
      <c r="RP22" s="26"/>
      <c r="RQ22" s="26"/>
      <c r="RR22" s="26"/>
      <c r="RS22" s="26"/>
      <c r="RT22" s="26"/>
      <c r="RU22" s="26"/>
      <c r="RV22" s="26"/>
      <c r="RW22" s="26"/>
      <c r="RX22" s="26"/>
      <c r="RY22" s="26"/>
      <c r="RZ22" s="26"/>
      <c r="SA22" s="26"/>
      <c r="SB22" s="26"/>
      <c r="SC22" s="26"/>
      <c r="SD22" s="26"/>
      <c r="SE22" s="26"/>
      <c r="SF22" s="26"/>
      <c r="SG22" s="26"/>
      <c r="SH22" s="16" t="str">
        <f>IF(RP22&gt;0,RP22,"")</f>
        <v/>
      </c>
      <c r="SI22" s="16" t="str">
        <f>IF(RQ22&gt;0,RQ22,"")</f>
        <v/>
      </c>
      <c r="SJ22" s="16" t="str">
        <f>IF(SUM(RN22:RQ22)-RR22&gt;0,SUM(RN22:RQ22)-RR22,"")</f>
        <v/>
      </c>
      <c r="SK22" s="16" t="str">
        <f>IF(RU22&gt;0,RU22,"")</f>
        <v/>
      </c>
      <c r="SL22" s="16" t="str">
        <f>IF(RV22&gt;0,RV22,"")</f>
        <v/>
      </c>
      <c r="SM22" s="16" t="str">
        <f>IF(SUM(RS22:RV22)-RW22&gt;0,SUM(RS22:RV22)-RW22,"")</f>
        <v/>
      </c>
      <c r="SN22" s="16" t="str">
        <f>IF(MAX(SJ22,SM22)&gt;0,MAX(SJ22,SM22),"")</f>
        <v/>
      </c>
      <c r="SO22" s="16" t="str">
        <f>IF(RZ22&gt;0,RZ22,"")</f>
        <v/>
      </c>
      <c r="SP22" s="16" t="str">
        <f>IF(SA22&gt;0,SA22,"")</f>
        <v/>
      </c>
      <c r="SQ22" s="16" t="str">
        <f>IF(SUM(RX22:SA22)-SB22&gt;0,SUM(RX22:SA22)-SB22,"")</f>
        <v/>
      </c>
      <c r="SR22" s="16" t="str">
        <f>IF(SE22&gt;0,SE22,"")</f>
        <v/>
      </c>
      <c r="SS22" s="16" t="str">
        <f>IF(SF22&gt;0,SF22,"")</f>
        <v/>
      </c>
      <c r="ST22" s="16" t="str">
        <f>IF(SUM(SC22:SF22)-SG22&gt;0,SUM(SC22:SF22)-SG22,"")</f>
        <v/>
      </c>
      <c r="SU22" s="16" t="str">
        <f>IF(SUM(SN22,ST22)&gt;0,SUM(SN22,ST22),"")</f>
        <v/>
      </c>
      <c r="SV22" s="42">
        <f>IF($CP22="P",CA22,(CA22+AZ22)/2)</f>
        <v>0</v>
      </c>
      <c r="SW22" s="42">
        <f>IF($CP22="P",CB22,(CB22+BA22)/2)</f>
        <v>0</v>
      </c>
      <c r="SX22" s="42">
        <f>IF($CP22="P",CC22,(CC22+BB22)/2)</f>
        <v>0</v>
      </c>
      <c r="SY22" s="42">
        <f>IF($CP22="P",CD22,(CD22+BC22)/2)</f>
        <v>0</v>
      </c>
      <c r="SZ22" s="42">
        <f>IF($CP22="P",CE22,(CE22+BD22)/2)</f>
        <v>0</v>
      </c>
      <c r="TA22" s="42">
        <f>IF($CP22="P",CF22,(CF22+BE22)/2)</f>
        <v>0</v>
      </c>
      <c r="TB22" s="42">
        <f>IF($CP22="P",CG22,(CG22+BF22)/2)</f>
        <v>0</v>
      </c>
      <c r="TC22" s="42">
        <f>IF($CP22="P",CH22,(CH22+BG22)/2)</f>
        <v>0</v>
      </c>
      <c r="TD22" s="42">
        <f>IF($CP22="P",CI22,(CI22+BH22)/2)</f>
        <v>0</v>
      </c>
      <c r="TE22" s="42">
        <f>IF($CP22="P",CJ22,(CJ22+BI22)/2)</f>
        <v>0</v>
      </c>
      <c r="TF22" s="42">
        <f>IF($CP22="P",CK22,(CK22+BJ22)/2)</f>
        <v>0</v>
      </c>
      <c r="TG22" s="42">
        <f>IF($CP22="P",CL22,(CL22+BK22)/2)</f>
        <v>0</v>
      </c>
      <c r="TH22" s="42">
        <f>IF($CP22="P",CM22,(CM22+BL22)/2)</f>
        <v>0</v>
      </c>
      <c r="TI22" s="42">
        <f>IF($CP22="P",CN22,(CN22+BM22)/2)</f>
        <v>0</v>
      </c>
      <c r="TJ22" s="42">
        <f>IF($CP22="P",CO22,(CO22+BN22)/2)</f>
        <v>0</v>
      </c>
      <c r="TK22" s="51" t="s">
        <v>61</v>
      </c>
      <c r="TL22" s="76" t="str">
        <f>IF(SX22&gt;0,SX22,"")</f>
        <v/>
      </c>
      <c r="TM22" s="76" t="str">
        <f>IF(SY22&gt;0,SY22,"")</f>
        <v/>
      </c>
      <c r="TN22" s="76" t="str">
        <f>IF(SUM(SV22:SY22)-SZ22&gt;0,SUM(SV22:SY22)-SZ22,"")</f>
        <v/>
      </c>
      <c r="TO22" s="76" t="str">
        <f>IF(TC22&gt;0,TC22,"")</f>
        <v/>
      </c>
      <c r="TP22" s="76" t="str">
        <f>IF(TD22&gt;0,TD22,"")</f>
        <v/>
      </c>
      <c r="TQ22" s="76" t="str">
        <f>IF(SUM(TA22:TD22)-TE22&gt;0,SUM(TA22:TD22)-TE22,"")</f>
        <v/>
      </c>
      <c r="TR22" s="76" t="str">
        <f>IF(MAX(TN22,TQ22)&gt;0,MAX(TN22,TQ22),"")</f>
        <v/>
      </c>
      <c r="TS22" s="76" t="str">
        <f>IF(TH22&gt;0,TH22,"")</f>
        <v/>
      </c>
      <c r="TT22" s="76" t="str">
        <f>IF(TI22&gt;0,TI22,"")</f>
        <v/>
      </c>
      <c r="TU22" s="76" t="str">
        <f>IF(SUM(TF22:TI22)-TJ22&gt;0,SUM(TF22:TI22)-TJ22,"")</f>
        <v/>
      </c>
      <c r="TV22" s="76" t="str">
        <f>IF(SUM(TR22,TU22)&gt;0,SUM(TR22,TU22),"")</f>
        <v/>
      </c>
    </row>
    <row r="23" spans="1:542" x14ac:dyDescent="0.2">
      <c r="B23" s="6"/>
      <c r="D23" s="1"/>
    </row>
    <row r="24" spans="1:542" x14ac:dyDescent="0.2">
      <c r="G24" s="69"/>
      <c r="I24" s="69"/>
    </row>
    <row r="25" spans="1:542" x14ac:dyDescent="0.2">
      <c r="B25" s="43" t="s">
        <v>58</v>
      </c>
      <c r="C25" s="35"/>
      <c r="G25" s="3"/>
      <c r="AR25" s="77"/>
      <c r="AS25" s="77"/>
      <c r="AT25" s="77"/>
      <c r="AV25" s="56"/>
      <c r="AW25" s="56"/>
      <c r="AY25" s="78">
        <v>14.4</v>
      </c>
      <c r="BS25" s="77"/>
      <c r="BT25" s="77"/>
      <c r="BU25" s="77"/>
      <c r="BW25" s="56"/>
      <c r="BX25" s="56"/>
      <c r="BZ25" s="78">
        <v>14.4</v>
      </c>
      <c r="CT25" s="77"/>
      <c r="CU25" s="77"/>
      <c r="CV25" s="77"/>
      <c r="CX25" s="56"/>
      <c r="CY25" s="56"/>
      <c r="DA25" s="78">
        <v>15.4</v>
      </c>
      <c r="DX25" s="35"/>
      <c r="DY25" s="35"/>
      <c r="EH25" s="33"/>
      <c r="EI25" s="33"/>
      <c r="EK25" s="78">
        <v>14.4</v>
      </c>
      <c r="FF25" s="35"/>
      <c r="FG25" s="35"/>
      <c r="FP25" s="33"/>
      <c r="FQ25" s="33"/>
      <c r="FS25" s="78">
        <v>14.4</v>
      </c>
      <c r="GN25" s="35"/>
      <c r="GO25" s="35"/>
      <c r="GX25" s="33"/>
      <c r="GY25" s="33"/>
      <c r="HA25" s="78">
        <v>14.4</v>
      </c>
      <c r="HV25" s="35"/>
      <c r="HW25" s="35"/>
      <c r="IF25" s="33"/>
      <c r="IG25" s="33"/>
      <c r="II25" s="78">
        <v>14.4</v>
      </c>
      <c r="JD25" s="35"/>
      <c r="JE25" s="35"/>
      <c r="JN25" s="33"/>
      <c r="JO25" s="33"/>
      <c r="JQ25" s="78">
        <v>15.4</v>
      </c>
      <c r="KL25" s="35"/>
      <c r="KM25" s="35"/>
      <c r="KV25" s="33"/>
      <c r="KW25" s="33"/>
      <c r="KY25" s="78">
        <v>15.4</v>
      </c>
      <c r="LT25" s="35"/>
      <c r="LU25" s="35"/>
      <c r="MD25" s="33"/>
      <c r="ME25" s="33"/>
      <c r="MG25" s="78">
        <v>15.4</v>
      </c>
      <c r="NB25" s="35"/>
      <c r="NC25" s="35"/>
      <c r="NL25" s="33"/>
      <c r="NM25" s="33"/>
      <c r="NO25" s="78">
        <v>15.4</v>
      </c>
      <c r="OJ25" s="35"/>
      <c r="OK25" s="35"/>
      <c r="OT25" s="33"/>
      <c r="OU25" s="33"/>
      <c r="OW25" s="78">
        <v>15.4</v>
      </c>
      <c r="PR25" s="35"/>
      <c r="PS25" s="35"/>
      <c r="QB25" s="33"/>
      <c r="QC25" s="33"/>
      <c r="QE25" s="78">
        <v>15.4</v>
      </c>
      <c r="QZ25" s="35"/>
      <c r="RA25" s="35"/>
      <c r="RJ25" s="33"/>
      <c r="RK25" s="33"/>
      <c r="RM25" s="78">
        <v>15.4</v>
      </c>
      <c r="SH25" s="35"/>
      <c r="SI25" s="35"/>
      <c r="SR25" s="33"/>
      <c r="SS25" s="33"/>
      <c r="SU25" s="78">
        <v>15.4</v>
      </c>
    </row>
    <row r="26" spans="1:542" x14ac:dyDescent="0.2">
      <c r="B26" s="54" t="s">
        <v>57</v>
      </c>
      <c r="C26" s="35"/>
      <c r="X26" s="2"/>
      <c r="AR26" s="77"/>
      <c r="AS26" s="77"/>
      <c r="AT26" s="77"/>
      <c r="AV26" s="56"/>
      <c r="AW26" s="56"/>
      <c r="AY26" s="79">
        <v>15.2</v>
      </c>
      <c r="BS26" s="77"/>
      <c r="BT26" s="77"/>
      <c r="BU26" s="77"/>
      <c r="BW26" s="56"/>
      <c r="BX26" s="56"/>
      <c r="BZ26" s="79">
        <v>15</v>
      </c>
      <c r="CT26" s="77"/>
      <c r="CU26" s="77"/>
      <c r="CV26" s="77"/>
      <c r="CX26" s="56"/>
      <c r="CY26" s="56"/>
      <c r="DA26" s="79">
        <v>16</v>
      </c>
      <c r="DX26" s="35"/>
      <c r="DY26" s="35"/>
      <c r="EH26" s="33"/>
      <c r="EI26" s="33"/>
      <c r="EK26" s="79">
        <v>15</v>
      </c>
      <c r="FF26" s="35"/>
      <c r="FG26" s="35"/>
      <c r="FP26" s="33"/>
      <c r="FQ26" s="33"/>
      <c r="FS26" s="79">
        <v>15.4</v>
      </c>
      <c r="GN26" s="35"/>
      <c r="GO26" s="35"/>
      <c r="GX26" s="33"/>
      <c r="GY26" s="33"/>
      <c r="HA26" s="79">
        <v>15.4</v>
      </c>
      <c r="HV26" s="35"/>
      <c r="HW26" s="35"/>
      <c r="IF26" s="33"/>
      <c r="IG26" s="33"/>
      <c r="II26" s="79">
        <v>15.4</v>
      </c>
      <c r="JD26" s="35"/>
      <c r="JE26" s="35"/>
      <c r="JN26" s="33"/>
      <c r="JO26" s="33"/>
      <c r="JQ26" s="79">
        <v>16</v>
      </c>
      <c r="KL26" s="35"/>
      <c r="KM26" s="35"/>
      <c r="KV26" s="33"/>
      <c r="KW26" s="33"/>
      <c r="KY26" s="79">
        <v>16</v>
      </c>
      <c r="LT26" s="35"/>
      <c r="LU26" s="35"/>
      <c r="MD26" s="33"/>
      <c r="ME26" s="33"/>
      <c r="MG26" s="79">
        <v>16</v>
      </c>
      <c r="NB26" s="35"/>
      <c r="NC26" s="35"/>
      <c r="NL26" s="33"/>
      <c r="NM26" s="33"/>
      <c r="NO26" s="79">
        <v>16</v>
      </c>
      <c r="OJ26" s="35"/>
      <c r="OK26" s="35"/>
      <c r="OT26" s="33"/>
      <c r="OU26" s="33"/>
      <c r="OW26" s="79">
        <v>16</v>
      </c>
      <c r="PR26" s="35"/>
      <c r="PS26" s="35"/>
      <c r="QB26" s="33"/>
      <c r="QC26" s="33"/>
      <c r="QE26" s="79">
        <v>16</v>
      </c>
      <c r="QZ26" s="35"/>
      <c r="RA26" s="35"/>
      <c r="RJ26" s="33"/>
      <c r="RK26" s="33"/>
      <c r="RM26" s="79">
        <v>16</v>
      </c>
      <c r="SH26" s="35"/>
      <c r="SI26" s="35"/>
      <c r="SR26" s="33"/>
      <c r="SS26" s="33"/>
      <c r="SU26" s="79">
        <v>16</v>
      </c>
    </row>
    <row r="27" spans="1:542" x14ac:dyDescent="0.2">
      <c r="A27" s="35"/>
      <c r="B27" s="55" t="s">
        <v>71</v>
      </c>
      <c r="C27" s="35"/>
      <c r="E27" s="2"/>
      <c r="AR27" s="77"/>
      <c r="AS27" s="77"/>
      <c r="AT27" s="77"/>
      <c r="AU27" s="56"/>
      <c r="AV27" s="56"/>
      <c r="AW27" s="56"/>
      <c r="AX27" s="56"/>
      <c r="AY27" s="80">
        <v>15.4</v>
      </c>
      <c r="BS27" s="77"/>
      <c r="BT27" s="77"/>
      <c r="BU27" s="77"/>
      <c r="BW27" s="56"/>
      <c r="BX27" s="56"/>
      <c r="BZ27" s="80">
        <v>15.4</v>
      </c>
      <c r="CT27" s="77"/>
      <c r="CU27" s="77"/>
      <c r="CV27" s="77"/>
      <c r="CW27" s="56"/>
      <c r="CX27" s="56"/>
      <c r="CY27" s="56"/>
      <c r="CZ27" s="56"/>
      <c r="DA27" s="80">
        <v>16.2</v>
      </c>
      <c r="DX27" s="35"/>
      <c r="DY27" s="35"/>
      <c r="EH27" s="33"/>
      <c r="EI27" s="33"/>
      <c r="EK27" s="80">
        <v>15.4</v>
      </c>
      <c r="FF27" s="35"/>
      <c r="FG27" s="35"/>
      <c r="FP27" s="33"/>
      <c r="FQ27" s="33"/>
      <c r="FS27" s="80">
        <v>15.4</v>
      </c>
      <c r="GN27" s="35"/>
      <c r="GO27" s="35"/>
      <c r="GX27" s="33"/>
      <c r="GY27" s="33"/>
      <c r="HA27" s="80">
        <v>15.4</v>
      </c>
      <c r="HV27" s="35"/>
      <c r="HW27" s="35"/>
      <c r="IF27" s="33"/>
      <c r="IG27" s="33"/>
      <c r="II27" s="80">
        <v>15.4</v>
      </c>
      <c r="JD27" s="35"/>
      <c r="JE27" s="35"/>
      <c r="JN27" s="33"/>
      <c r="JO27" s="33"/>
      <c r="JQ27" s="80">
        <v>16.2</v>
      </c>
      <c r="KL27" s="35"/>
      <c r="KM27" s="35"/>
      <c r="KV27" s="33"/>
      <c r="KW27" s="33"/>
      <c r="KY27" s="80">
        <v>16.2</v>
      </c>
      <c r="LT27" s="35"/>
      <c r="LU27" s="35"/>
      <c r="MD27" s="33"/>
      <c r="ME27" s="33"/>
      <c r="MG27" s="80">
        <v>16.2</v>
      </c>
      <c r="NB27" s="35"/>
      <c r="NC27" s="35"/>
      <c r="NL27" s="33"/>
      <c r="NM27" s="33"/>
      <c r="NO27" s="80">
        <v>16.2</v>
      </c>
      <c r="OJ27" s="35"/>
      <c r="OK27" s="35"/>
      <c r="OT27" s="33"/>
      <c r="OU27" s="33"/>
      <c r="OW27" s="80">
        <v>16.2</v>
      </c>
      <c r="PR27" s="35"/>
      <c r="PS27" s="35"/>
      <c r="QB27" s="33"/>
      <c r="QC27" s="33"/>
      <c r="QE27" s="80">
        <v>16.2</v>
      </c>
      <c r="QZ27" s="35"/>
      <c r="RA27" s="35"/>
      <c r="RJ27" s="33"/>
      <c r="RK27" s="33"/>
      <c r="RM27" s="80">
        <v>16.2</v>
      </c>
      <c r="SH27" s="35"/>
      <c r="SI27" s="35"/>
      <c r="SR27" s="33"/>
      <c r="SS27" s="33"/>
      <c r="SU27" s="80">
        <v>16.2</v>
      </c>
    </row>
    <row r="28" spans="1:542" x14ac:dyDescent="0.2">
      <c r="A28" s="35"/>
      <c r="B28" s="66" t="s">
        <v>86</v>
      </c>
      <c r="C28" s="35"/>
      <c r="E28" s="2"/>
      <c r="AR28" s="77"/>
      <c r="AS28" s="77"/>
      <c r="AT28" s="77"/>
      <c r="AU28" s="56"/>
      <c r="AV28" s="56"/>
      <c r="AW28" s="56"/>
      <c r="AX28" s="56"/>
      <c r="AY28" s="81">
        <v>15.4</v>
      </c>
      <c r="BS28" s="77"/>
      <c r="BT28" s="77"/>
      <c r="BU28" s="77"/>
      <c r="BW28" s="56"/>
      <c r="BX28" s="56"/>
      <c r="BZ28" s="81">
        <v>15.4</v>
      </c>
      <c r="CT28" s="77"/>
      <c r="CU28" s="77"/>
      <c r="CV28" s="77"/>
      <c r="CW28" s="56"/>
      <c r="CX28" s="56"/>
      <c r="CY28" s="56"/>
      <c r="CZ28" s="56"/>
      <c r="DA28" s="81">
        <v>17.100000000000001</v>
      </c>
      <c r="DX28" s="35"/>
      <c r="DY28" s="35"/>
      <c r="EH28" s="33"/>
      <c r="EI28" s="33"/>
      <c r="EK28" s="81">
        <v>15.4</v>
      </c>
      <c r="FF28" s="35"/>
      <c r="FG28" s="35"/>
      <c r="FP28" s="33"/>
      <c r="FQ28" s="33"/>
      <c r="FS28" s="81">
        <v>15.4</v>
      </c>
      <c r="GN28" s="35"/>
      <c r="GO28" s="35"/>
      <c r="GX28" s="33"/>
      <c r="GY28" s="33"/>
      <c r="HA28" s="81">
        <v>15.4</v>
      </c>
      <c r="HV28" s="35"/>
      <c r="HW28" s="35"/>
      <c r="IF28" s="33"/>
      <c r="IG28" s="33"/>
      <c r="II28" s="81">
        <v>15.4</v>
      </c>
      <c r="JD28" s="35"/>
      <c r="JE28" s="35"/>
      <c r="JN28" s="33"/>
      <c r="JO28" s="33"/>
      <c r="JQ28" s="81">
        <v>17.100000000000001</v>
      </c>
      <c r="KL28" s="35"/>
      <c r="KM28" s="35"/>
      <c r="KV28" s="33"/>
      <c r="KW28" s="33"/>
      <c r="KY28" s="81">
        <v>17.100000000000001</v>
      </c>
      <c r="LT28" s="35"/>
      <c r="LU28" s="35"/>
      <c r="MD28" s="33"/>
      <c r="ME28" s="33"/>
      <c r="MG28" s="81">
        <v>17.100000000000001</v>
      </c>
      <c r="NB28" s="35"/>
      <c r="NC28" s="35"/>
      <c r="NL28" s="33"/>
      <c r="NM28" s="33"/>
      <c r="NO28" s="81">
        <v>17.100000000000001</v>
      </c>
      <c r="OJ28" s="35"/>
      <c r="OK28" s="35"/>
      <c r="OT28" s="33"/>
      <c r="OU28" s="33"/>
      <c r="OW28" s="81">
        <v>17.100000000000001</v>
      </c>
      <c r="PR28" s="35"/>
      <c r="PS28" s="35"/>
      <c r="QB28" s="33"/>
      <c r="QC28" s="33"/>
      <c r="QE28" s="81">
        <v>17.100000000000001</v>
      </c>
      <c r="QZ28" s="35"/>
      <c r="RA28" s="35"/>
      <c r="RJ28" s="33"/>
      <c r="RK28" s="33"/>
      <c r="RM28" s="81">
        <v>17.100000000000001</v>
      </c>
      <c r="SH28" s="35"/>
      <c r="SI28" s="35"/>
      <c r="SR28" s="33"/>
      <c r="SS28" s="33"/>
      <c r="SU28" s="81">
        <v>17.100000000000001</v>
      </c>
    </row>
    <row r="29" spans="1:542" x14ac:dyDescent="0.2">
      <c r="A29" s="35"/>
      <c r="B29" s="65" t="s">
        <v>55</v>
      </c>
      <c r="C29" s="35"/>
      <c r="P29" s="2"/>
      <c r="AR29" s="77"/>
      <c r="AS29" s="77"/>
      <c r="AT29" s="77"/>
      <c r="AU29" s="56"/>
      <c r="AV29" s="56"/>
      <c r="AW29" s="56"/>
      <c r="AX29" s="56"/>
      <c r="AY29" s="82">
        <v>56.4</v>
      </c>
      <c r="BS29" s="77"/>
      <c r="BT29" s="77"/>
      <c r="BU29" s="77"/>
      <c r="BW29" s="56"/>
      <c r="BX29" s="56"/>
      <c r="BZ29" s="82">
        <v>55</v>
      </c>
      <c r="CT29" s="77"/>
      <c r="CU29" s="77"/>
      <c r="CV29" s="77"/>
      <c r="CW29" s="56"/>
      <c r="CX29" s="56"/>
      <c r="CY29" s="56"/>
      <c r="CZ29" s="56"/>
      <c r="DA29" s="82">
        <v>54</v>
      </c>
      <c r="DX29" s="35"/>
      <c r="DY29" s="35"/>
      <c r="EH29" s="33"/>
      <c r="EI29" s="33"/>
      <c r="EK29" s="82">
        <v>56</v>
      </c>
      <c r="FF29" s="35"/>
      <c r="FG29" s="35"/>
      <c r="FP29" s="33"/>
      <c r="FQ29" s="33"/>
      <c r="FS29" s="82">
        <v>54.5</v>
      </c>
      <c r="GN29" s="35"/>
      <c r="GO29" s="35"/>
      <c r="GX29" s="33"/>
      <c r="GY29" s="33"/>
      <c r="HA29" s="82">
        <v>58</v>
      </c>
      <c r="HV29" s="35"/>
      <c r="HW29" s="35"/>
      <c r="IF29" s="33"/>
      <c r="IG29" s="33"/>
      <c r="II29" s="82">
        <v>55</v>
      </c>
      <c r="JD29" s="35"/>
      <c r="JE29" s="35"/>
      <c r="JN29" s="33"/>
      <c r="JO29" s="33"/>
      <c r="JQ29" s="82">
        <v>54</v>
      </c>
      <c r="KL29" s="35"/>
      <c r="KM29" s="35"/>
      <c r="KV29" s="33"/>
      <c r="KW29" s="33"/>
      <c r="KY29" s="82">
        <v>54</v>
      </c>
      <c r="LT29" s="35"/>
      <c r="LU29" s="35"/>
      <c r="MD29" s="33"/>
      <c r="ME29" s="33"/>
      <c r="MG29" s="82">
        <v>54</v>
      </c>
      <c r="NB29" s="35"/>
      <c r="NC29" s="35"/>
      <c r="NL29" s="33"/>
      <c r="NM29" s="33"/>
      <c r="NO29" s="82">
        <v>54</v>
      </c>
      <c r="OJ29" s="35"/>
      <c r="OK29" s="35"/>
      <c r="OT29" s="33"/>
      <c r="OU29" s="33"/>
      <c r="OW29" s="82">
        <v>54</v>
      </c>
      <c r="PR29" s="35"/>
      <c r="PS29" s="35"/>
      <c r="QB29" s="33"/>
      <c r="QC29" s="33"/>
      <c r="QE29" s="82">
        <v>54</v>
      </c>
      <c r="QZ29" s="35"/>
      <c r="RA29" s="35"/>
      <c r="RJ29" s="33"/>
      <c r="RK29" s="33"/>
      <c r="RM29" s="82">
        <v>54</v>
      </c>
      <c r="SH29" s="35"/>
      <c r="SI29" s="35"/>
      <c r="SR29" s="33"/>
      <c r="SS29" s="33"/>
      <c r="SU29" s="82">
        <v>54</v>
      </c>
    </row>
    <row r="30" spans="1:542" x14ac:dyDescent="0.2">
      <c r="A30" s="35"/>
      <c r="B30" s="44" t="s">
        <v>56</v>
      </c>
      <c r="C30" s="35"/>
      <c r="P30" s="2"/>
      <c r="AR30" s="77"/>
      <c r="AS30" s="77"/>
      <c r="AT30" s="77"/>
      <c r="AU30" s="56"/>
      <c r="AV30" s="56"/>
      <c r="AW30" s="56"/>
      <c r="AX30" s="56"/>
      <c r="AY30" s="83">
        <v>56.4</v>
      </c>
      <c r="BS30" s="77"/>
      <c r="BT30" s="77"/>
      <c r="BU30" s="77"/>
      <c r="BW30" s="56"/>
      <c r="BX30" s="56"/>
      <c r="BZ30" s="83">
        <v>56</v>
      </c>
      <c r="CT30" s="77"/>
      <c r="CU30" s="77"/>
      <c r="CV30" s="77"/>
      <c r="CW30" s="56"/>
      <c r="CX30" s="56"/>
      <c r="CY30" s="56"/>
      <c r="CZ30" s="56"/>
      <c r="DA30" s="83">
        <v>56</v>
      </c>
      <c r="DX30" s="35"/>
      <c r="DY30" s="35"/>
      <c r="EH30" s="33"/>
      <c r="EI30" s="33"/>
      <c r="EK30" s="83">
        <v>57</v>
      </c>
      <c r="FF30" s="35"/>
      <c r="FG30" s="35"/>
      <c r="FP30" s="33"/>
      <c r="FQ30" s="33"/>
      <c r="FS30" s="83">
        <v>54.6</v>
      </c>
      <c r="GN30" s="35"/>
      <c r="GO30" s="35"/>
      <c r="GX30" s="33"/>
      <c r="GY30" s="33"/>
      <c r="HA30" s="83">
        <v>58</v>
      </c>
      <c r="HV30" s="35"/>
      <c r="HW30" s="35"/>
      <c r="IF30" s="33"/>
      <c r="IG30" s="33"/>
      <c r="II30" s="83">
        <v>56</v>
      </c>
      <c r="JD30" s="35"/>
      <c r="JE30" s="35"/>
      <c r="JN30" s="33"/>
      <c r="JO30" s="33"/>
      <c r="JQ30" s="83">
        <v>56</v>
      </c>
      <c r="KL30" s="35"/>
      <c r="KM30" s="35"/>
      <c r="KV30" s="33"/>
      <c r="KW30" s="33"/>
      <c r="KY30" s="83">
        <v>56</v>
      </c>
      <c r="LT30" s="35"/>
      <c r="LU30" s="35"/>
      <c r="MD30" s="33"/>
      <c r="ME30" s="33"/>
      <c r="MG30" s="83">
        <v>56</v>
      </c>
      <c r="NB30" s="35"/>
      <c r="NC30" s="35"/>
      <c r="NL30" s="33"/>
      <c r="NM30" s="33"/>
      <c r="NO30" s="83">
        <v>56</v>
      </c>
      <c r="OJ30" s="35"/>
      <c r="OK30" s="35"/>
      <c r="OT30" s="33"/>
      <c r="OU30" s="33"/>
      <c r="OW30" s="83">
        <v>56</v>
      </c>
      <c r="PR30" s="35"/>
      <c r="PS30" s="35"/>
      <c r="QB30" s="33"/>
      <c r="QC30" s="33"/>
      <c r="QE30" s="83">
        <v>56</v>
      </c>
      <c r="QZ30" s="35"/>
      <c r="RA30" s="35"/>
      <c r="RJ30" s="33"/>
      <c r="RK30" s="33"/>
      <c r="RM30" s="83">
        <v>56</v>
      </c>
      <c r="SH30" s="35"/>
      <c r="SI30" s="35"/>
      <c r="SR30" s="33"/>
      <c r="SS30" s="33"/>
      <c r="SU30" s="83">
        <v>56</v>
      </c>
    </row>
    <row r="31" spans="1:542" x14ac:dyDescent="0.2">
      <c r="A31" s="35"/>
      <c r="B31" s="64" t="s">
        <v>70</v>
      </c>
      <c r="C31" s="35"/>
      <c r="AR31" s="77"/>
      <c r="AS31" s="77"/>
      <c r="AT31" s="77"/>
      <c r="AU31" s="56"/>
      <c r="AV31" s="56"/>
      <c r="AW31" s="56"/>
      <c r="AX31" s="56"/>
      <c r="AY31" s="84">
        <v>58</v>
      </c>
      <c r="BS31" s="77"/>
      <c r="BT31" s="77"/>
      <c r="BU31" s="77"/>
      <c r="BW31" s="56"/>
      <c r="BX31" s="56"/>
      <c r="BZ31" s="84">
        <v>58</v>
      </c>
      <c r="CT31" s="77"/>
      <c r="CU31" s="77"/>
      <c r="CV31" s="77"/>
      <c r="CW31" s="56"/>
      <c r="CX31" s="56"/>
      <c r="CY31" s="56"/>
      <c r="CZ31" s="56"/>
      <c r="DA31" s="84">
        <v>57</v>
      </c>
      <c r="DX31" s="35"/>
      <c r="DY31" s="35"/>
      <c r="EH31" s="33"/>
      <c r="EI31" s="33"/>
      <c r="EJ31" s="71"/>
      <c r="EK31" s="84">
        <v>58</v>
      </c>
      <c r="FF31" s="35"/>
      <c r="FG31" s="35"/>
      <c r="FP31" s="33"/>
      <c r="FQ31" s="33"/>
      <c r="FR31" s="71"/>
      <c r="FS31" s="84">
        <v>58</v>
      </c>
      <c r="GN31" s="35"/>
      <c r="GO31" s="35"/>
      <c r="GX31" s="33"/>
      <c r="GY31" s="33"/>
      <c r="GZ31" s="71"/>
      <c r="HA31" s="84">
        <v>58</v>
      </c>
      <c r="HV31" s="35"/>
      <c r="HW31" s="35"/>
      <c r="IF31" s="33"/>
      <c r="IG31" s="33"/>
      <c r="IH31" s="71"/>
      <c r="II31" s="84">
        <v>58</v>
      </c>
      <c r="JD31" s="35"/>
      <c r="JE31" s="35"/>
      <c r="JN31" s="33"/>
      <c r="JO31" s="33"/>
      <c r="JP31" s="71"/>
      <c r="JQ31" s="84">
        <v>57</v>
      </c>
      <c r="KL31" s="35"/>
      <c r="KM31" s="35"/>
      <c r="KV31" s="33"/>
      <c r="KW31" s="33"/>
      <c r="KX31" s="71"/>
      <c r="KY31" s="84">
        <v>57</v>
      </c>
      <c r="LT31" s="35"/>
      <c r="LU31" s="35"/>
      <c r="MD31" s="33"/>
      <c r="ME31" s="33"/>
      <c r="MF31" s="71"/>
      <c r="MG31" s="84">
        <v>57</v>
      </c>
      <c r="NB31" s="35"/>
      <c r="NC31" s="35"/>
      <c r="NL31" s="33"/>
      <c r="NM31" s="33"/>
      <c r="NN31" s="71"/>
      <c r="NO31" s="84">
        <v>57</v>
      </c>
      <c r="OJ31" s="35"/>
      <c r="OK31" s="35"/>
      <c r="OT31" s="33"/>
      <c r="OU31" s="33"/>
      <c r="OV31" s="71"/>
      <c r="OW31" s="84">
        <v>57</v>
      </c>
      <c r="PR31" s="35"/>
      <c r="PS31" s="35"/>
      <c r="QB31" s="33"/>
      <c r="QC31" s="33"/>
      <c r="QD31" s="71"/>
      <c r="QE31" s="84">
        <v>57</v>
      </c>
      <c r="QZ31" s="35"/>
      <c r="RA31" s="35"/>
      <c r="RJ31" s="33"/>
      <c r="RK31" s="33"/>
      <c r="RL31" s="71"/>
      <c r="RM31" s="84">
        <v>57</v>
      </c>
      <c r="SH31" s="35"/>
      <c r="SI31" s="35"/>
      <c r="SR31" s="33"/>
      <c r="SS31" s="33"/>
      <c r="ST31" s="71"/>
      <c r="SU31" s="84">
        <v>57</v>
      </c>
    </row>
    <row r="32" spans="1:542" x14ac:dyDescent="0.2">
      <c r="A32" s="35"/>
      <c r="B32" s="45" t="s">
        <v>39</v>
      </c>
      <c r="C32" s="35"/>
      <c r="P32" s="2"/>
      <c r="AR32" s="77"/>
      <c r="AS32" s="77"/>
      <c r="AT32" s="77"/>
      <c r="AU32" s="56"/>
      <c r="AV32" s="77" t="s">
        <v>143</v>
      </c>
      <c r="AW32" s="77"/>
      <c r="AX32" s="56"/>
      <c r="AY32" s="85">
        <v>59.4</v>
      </c>
      <c r="BS32" s="77"/>
      <c r="BT32" s="77"/>
      <c r="BU32" s="77"/>
      <c r="BW32" s="77" t="s">
        <v>143</v>
      </c>
      <c r="BX32" s="56"/>
      <c r="BZ32" s="85">
        <v>59.4</v>
      </c>
      <c r="CT32" s="77"/>
      <c r="CU32" s="77"/>
      <c r="CV32" s="77"/>
      <c r="CW32" s="56"/>
      <c r="CX32" s="77"/>
      <c r="CY32" s="56"/>
      <c r="CZ32" s="56"/>
      <c r="DA32" s="85">
        <v>59</v>
      </c>
      <c r="DX32" s="35"/>
      <c r="DY32" s="35"/>
      <c r="EH32" s="77" t="s">
        <v>143</v>
      </c>
      <c r="EI32" s="33"/>
      <c r="EK32" s="85">
        <v>59.4</v>
      </c>
      <c r="FF32" s="35"/>
      <c r="FG32" s="35"/>
      <c r="FP32" s="77" t="s">
        <v>143</v>
      </c>
      <c r="FQ32" s="33"/>
      <c r="FS32" s="85">
        <v>59.4</v>
      </c>
      <c r="GN32" s="35"/>
      <c r="GO32" s="35"/>
      <c r="GX32" s="33"/>
      <c r="GY32" s="33"/>
      <c r="HA32" s="85">
        <v>59.4</v>
      </c>
      <c r="HV32" s="35"/>
      <c r="HW32" s="35"/>
      <c r="IF32" s="77" t="s">
        <v>143</v>
      </c>
      <c r="IG32" s="33"/>
      <c r="II32" s="85">
        <v>59.4</v>
      </c>
      <c r="JD32" s="35"/>
      <c r="JE32" s="35"/>
      <c r="JN32" s="33"/>
      <c r="JO32" s="33"/>
      <c r="JQ32" s="85">
        <v>59</v>
      </c>
      <c r="KL32" s="35"/>
      <c r="KM32" s="35"/>
      <c r="KV32" s="33"/>
      <c r="KW32" s="33"/>
      <c r="KY32" s="85">
        <v>59</v>
      </c>
      <c r="LT32" s="35"/>
      <c r="LU32" s="35"/>
      <c r="MD32" s="33"/>
      <c r="ME32" s="33"/>
      <c r="MG32" s="85">
        <v>59</v>
      </c>
      <c r="NB32" s="35"/>
      <c r="NC32" s="35"/>
      <c r="NL32" s="33"/>
      <c r="NM32" s="33"/>
      <c r="NO32" s="85">
        <v>59</v>
      </c>
      <c r="OJ32" s="35"/>
      <c r="OK32" s="35"/>
      <c r="OT32" s="33"/>
      <c r="OU32" s="33"/>
      <c r="OW32" s="85">
        <v>59</v>
      </c>
      <c r="PR32" s="35"/>
      <c r="PS32" s="35"/>
      <c r="QB32" s="33"/>
      <c r="QC32" s="33"/>
      <c r="QE32" s="85">
        <v>59</v>
      </c>
      <c r="QZ32" s="35"/>
      <c r="RA32" s="35"/>
      <c r="RJ32" s="33"/>
      <c r="RK32" s="33"/>
      <c r="RM32" s="85">
        <v>59</v>
      </c>
      <c r="SH32" s="35"/>
      <c r="SI32" s="35"/>
      <c r="SR32" s="33"/>
      <c r="SS32" s="33"/>
      <c r="SU32" s="85">
        <v>59</v>
      </c>
    </row>
    <row r="33" spans="1:104" x14ac:dyDescent="0.2">
      <c r="B33" s="53" t="s">
        <v>62</v>
      </c>
      <c r="C33" s="2"/>
      <c r="AU33" s="56"/>
      <c r="AX33" s="56"/>
      <c r="CW33" s="56"/>
      <c r="CZ33" s="56"/>
    </row>
    <row r="34" spans="1:104" x14ac:dyDescent="0.2">
      <c r="A34" s="35"/>
      <c r="B34" s="35"/>
      <c r="C34" s="34"/>
      <c r="AQ34" s="56"/>
      <c r="AR34" s="56"/>
      <c r="AS34" s="56"/>
      <c r="AT34" s="56"/>
      <c r="AU34" s="56"/>
      <c r="AX34" s="56"/>
      <c r="CS34" s="56"/>
      <c r="CT34" s="56"/>
      <c r="CU34" s="56"/>
      <c r="CV34" s="56"/>
      <c r="CW34" s="56"/>
      <c r="CZ34" s="56"/>
    </row>
    <row r="35" spans="1:104" ht="17" x14ac:dyDescent="0.2">
      <c r="A35" s="35"/>
      <c r="B35" s="35"/>
      <c r="C35" s="34"/>
      <c r="V35" s="15"/>
      <c r="W35" s="15"/>
      <c r="AQ35" s="56"/>
      <c r="AR35" s="56"/>
      <c r="AS35" s="56"/>
      <c r="AT35" s="56"/>
      <c r="AU35" s="56"/>
      <c r="AX35" s="56"/>
      <c r="CS35" s="56"/>
      <c r="CT35" s="56"/>
      <c r="CU35" s="56"/>
      <c r="CV35" s="56"/>
      <c r="CW35" s="56"/>
      <c r="CZ35" s="56"/>
    </row>
    <row r="36" spans="1:104" ht="17" x14ac:dyDescent="0.2">
      <c r="A36" s="35"/>
      <c r="B36" s="35"/>
      <c r="C36" s="34"/>
      <c r="V36" s="15"/>
      <c r="AQ36" s="56"/>
      <c r="AR36" s="56"/>
      <c r="AS36" s="56"/>
      <c r="AT36" s="56"/>
      <c r="AU36" s="56"/>
      <c r="AX36" s="56"/>
      <c r="CS36" s="56"/>
      <c r="CT36" s="56"/>
      <c r="CU36" s="56"/>
      <c r="CV36" s="56"/>
      <c r="CW36" s="56"/>
      <c r="CZ36" s="56"/>
    </row>
    <row r="37" spans="1:104" ht="17" x14ac:dyDescent="0.2">
      <c r="V37" s="15"/>
      <c r="W37" s="15"/>
      <c r="AQ37" s="56"/>
      <c r="AR37" s="56"/>
      <c r="AS37" s="56"/>
      <c r="AT37" s="56"/>
      <c r="AU37" s="56"/>
      <c r="AX37" s="56"/>
      <c r="CS37" s="56"/>
      <c r="CT37" s="56"/>
      <c r="CU37" s="56"/>
      <c r="CV37" s="56"/>
      <c r="CW37" s="56"/>
      <c r="CZ37" s="56"/>
    </row>
    <row r="38" spans="1:104" ht="17" x14ac:dyDescent="0.2">
      <c r="V38" s="15"/>
      <c r="W38" s="15"/>
      <c r="AQ38" s="56"/>
      <c r="AR38" s="56"/>
      <c r="AS38" s="56"/>
      <c r="AT38" s="56"/>
      <c r="AU38" s="56"/>
      <c r="AX38" s="56"/>
      <c r="CS38" s="56"/>
      <c r="CT38" s="56"/>
      <c r="CU38" s="56"/>
      <c r="CV38" s="56"/>
      <c r="CW38" s="56"/>
      <c r="CZ38" s="56"/>
    </row>
    <row r="39" spans="1:104" ht="17" x14ac:dyDescent="0.2">
      <c r="V39" s="15"/>
      <c r="W39" s="15"/>
      <c r="AQ39" s="56"/>
      <c r="AR39" s="56"/>
      <c r="AS39" s="56"/>
      <c r="AT39" s="56"/>
      <c r="AU39" s="56"/>
      <c r="AX39" s="56"/>
      <c r="CS39" s="56"/>
      <c r="CT39" s="56"/>
      <c r="CU39" s="56"/>
      <c r="CV39" s="56"/>
      <c r="CW39" s="56"/>
      <c r="CZ39" s="56"/>
    </row>
    <row r="40" spans="1:104" ht="17" x14ac:dyDescent="0.2">
      <c r="V40" s="15"/>
      <c r="W40" s="15"/>
      <c r="X40" s="15"/>
    </row>
    <row r="41" spans="1:104" ht="17" x14ac:dyDescent="0.2">
      <c r="V41" s="15"/>
      <c r="W41" s="15"/>
      <c r="X41" s="15"/>
    </row>
    <row r="42" spans="1:104" ht="17" x14ac:dyDescent="0.2">
      <c r="V42" s="15"/>
      <c r="W42" s="15"/>
      <c r="X42" s="15"/>
    </row>
    <row r="43" spans="1:104" ht="17" x14ac:dyDescent="0.2">
      <c r="V43" s="15"/>
      <c r="W43" s="15"/>
      <c r="X43" s="15"/>
    </row>
    <row r="44" spans="1:104" ht="17" x14ac:dyDescent="0.2">
      <c r="V44" s="15"/>
      <c r="W44" s="15"/>
      <c r="X44" s="15"/>
    </row>
    <row r="45" spans="1:104" ht="17" x14ac:dyDescent="0.2">
      <c r="V45" s="15"/>
      <c r="W45" s="15"/>
      <c r="X45" s="15"/>
    </row>
    <row r="46" spans="1:104" ht="17" x14ac:dyDescent="0.2">
      <c r="V46" s="15"/>
      <c r="W46" s="15"/>
      <c r="X46" s="15"/>
    </row>
    <row r="47" spans="1:104" ht="17" x14ac:dyDescent="0.2">
      <c r="V47" s="15"/>
      <c r="W47" s="15"/>
      <c r="X47" s="15"/>
    </row>
    <row r="48" spans="1:104" ht="17" x14ac:dyDescent="0.2">
      <c r="V48" s="15"/>
      <c r="W48" s="15"/>
      <c r="X48" s="15"/>
    </row>
    <row r="49" spans="22:24" ht="17" x14ac:dyDescent="0.2">
      <c r="V49" s="15"/>
      <c r="W49" s="15"/>
      <c r="X49" s="15"/>
    </row>
    <row r="50" spans="22:24" ht="17" x14ac:dyDescent="0.2">
      <c r="V50" s="15"/>
      <c r="W50" s="15"/>
      <c r="X50" s="15"/>
    </row>
    <row r="51" spans="22:24" ht="17" x14ac:dyDescent="0.2">
      <c r="V51" s="15"/>
      <c r="W51" s="15"/>
      <c r="X51" s="15"/>
    </row>
    <row r="52" spans="22:24" ht="17" x14ac:dyDescent="0.2">
      <c r="V52" s="15"/>
      <c r="W52" s="15"/>
      <c r="X52" s="15"/>
    </row>
    <row r="53" spans="22:24" ht="17" x14ac:dyDescent="0.2">
      <c r="V53" s="15"/>
      <c r="W53" s="15"/>
      <c r="X53" s="15"/>
    </row>
    <row r="54" spans="22:24" ht="17" x14ac:dyDescent="0.2">
      <c r="V54" s="15"/>
      <c r="W54" s="15"/>
      <c r="X54" s="15"/>
    </row>
  </sheetData>
  <sheetProtection sheet="1" formatCells="0" formatColumns="0" formatRows="0"/>
  <autoFilter ref="A1:TV20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2">
      <sortCondition descending="1" ref="F1:F23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55" priority="228" operator="containsText" text="No DD">
      <formula>NOT(ISERROR(SEARCH("No DD",H1)))</formula>
    </cfRule>
    <cfRule type="containsText" dxfId="754" priority="229" operator="containsText" text="Merit">
      <formula>NOT(ISERROR(SEARCH("Merit",H1)))</formula>
    </cfRule>
    <cfRule type="containsText" dxfId="753" priority="230" operator="containsText" text="Excellence">
      <formula>NOT(ISERROR(SEARCH("Excellence",H1)))</formula>
    </cfRule>
    <cfRule type="containsText" dxfId="752" priority="231" operator="containsText" text="Worlds Team">
      <formula>NOT(ISERROR(SEARCH("Worlds Team",H1)))</formula>
    </cfRule>
    <cfRule type="containsText" dxfId="751" priority="232" operator="containsText" text="National Team">
      <formula>NOT(ISERROR(SEARCH("National Team",H1)))</formula>
    </cfRule>
  </conditionalFormatting>
  <conditionalFormatting sqref="A1:A1048576">
    <cfRule type="expression" dxfId="750" priority="37562">
      <formula>AND(G1&lt;&gt;"",F1="")</formula>
    </cfRule>
  </conditionalFormatting>
  <conditionalFormatting sqref="Y4:AY22">
    <cfRule type="expression" dxfId="749" priority="51274" stopIfTrue="1">
      <formula>IF($AN4&lt;&gt;"",1,0)</formula>
    </cfRule>
  </conditionalFormatting>
  <conditionalFormatting sqref="AZ4:BZ22">
    <cfRule type="expression" dxfId="748" priority="209" stopIfTrue="1">
      <formula>IF($BO4&lt;&gt;"",1,0)</formula>
    </cfRule>
  </conditionalFormatting>
  <conditionalFormatting sqref="CA4:DA22">
    <cfRule type="expression" dxfId="747" priority="205" stopIfTrue="1">
      <formula>IF($CP4&lt;&gt;"",1,0)</formula>
    </cfRule>
  </conditionalFormatting>
  <conditionalFormatting sqref="M1:M3 O1:O3 K1:K1048576 Q1:Q1048576 M4:O1048576 S1:S1048576 U1:U1048576">
    <cfRule type="expression" dxfId="746" priority="52650">
      <formula>IF(K1=$CA$1,1,0)</formula>
    </cfRule>
    <cfRule type="expression" dxfId="745" priority="52651">
      <formula>IF(K1=$AZ$1,1,0)</formula>
    </cfRule>
    <cfRule type="expression" dxfId="744" priority="52652">
      <formula>IF(K1=$Y$1,1,0)</formula>
    </cfRule>
  </conditionalFormatting>
  <conditionalFormatting sqref="BW33:BW1048576 BP1:BP1048576 BS1:BS1048576 BW1:BW31">
    <cfRule type="cellIs" dxfId="743" priority="52631" operator="between">
      <formula>$BZ$28</formula>
      <formula>1000</formula>
    </cfRule>
    <cfRule type="cellIs" dxfId="742" priority="52632" operator="between">
      <formula>$BZ$27</formula>
      <formula>$BZ$28</formula>
    </cfRule>
    <cfRule type="cellIs" dxfId="741" priority="52633" operator="between">
      <formula>$BZ$26</formula>
      <formula>$BZ$27</formula>
    </cfRule>
    <cfRule type="cellIs" dxfId="740" priority="52634" operator="between">
      <formula>$BZ$25</formula>
      <formula>$BZ$26</formula>
    </cfRule>
  </conditionalFormatting>
  <conditionalFormatting sqref="CX33:CX1048576 CQ1:CQ1048576 CT1:CT1048576 CX1:CX31">
    <cfRule type="cellIs" dxfId="739" priority="51508" operator="between">
      <formula>$DA$28</formula>
      <formula>1000</formula>
    </cfRule>
    <cfRule type="cellIs" dxfId="738" priority="51509" operator="between">
      <formula>$DA$27</formula>
      <formula>$DA$28</formula>
    </cfRule>
    <cfRule type="cellIs" dxfId="737" priority="51510" operator="between">
      <formula>$DA$26</formula>
      <formula>$DA$27</formula>
    </cfRule>
    <cfRule type="cellIs" dxfId="736" priority="51511" operator="between">
      <formula>$DA$25</formula>
      <formula>$DA$26</formula>
    </cfRule>
  </conditionalFormatting>
  <conditionalFormatting sqref="EH33:EH1048576 DX1:DX1048576 EA1:EA1048576 EE1:EE1048576 EH1:EH31">
    <cfRule type="cellIs" dxfId="735" priority="52659" operator="between">
      <formula>$EK$28</formula>
      <formula>1000</formula>
    </cfRule>
    <cfRule type="cellIs" dxfId="734" priority="52660" operator="between">
      <formula>$EK$27</formula>
      <formula>$EK$28</formula>
    </cfRule>
    <cfRule type="cellIs" dxfId="733" priority="52661" operator="between">
      <formula>$EK$26</formula>
      <formula>$EK$27</formula>
    </cfRule>
    <cfRule type="cellIs" dxfId="732" priority="52662" operator="between">
      <formula>$EK$25</formula>
      <formula>$EK$26</formula>
    </cfRule>
  </conditionalFormatting>
  <conditionalFormatting sqref="FP33:FP1048576 FF1:FF1048576 FI1:FI1048576 FM1:FM1048576 FP1:FP31">
    <cfRule type="cellIs" dxfId="731" priority="189" operator="between">
      <formula>$FS$28</formula>
      <formula>1000</formula>
    </cfRule>
    <cfRule type="cellIs" dxfId="730" priority="190" operator="between">
      <formula>$FS$27</formula>
      <formula>$FS$28</formula>
    </cfRule>
    <cfRule type="cellIs" dxfId="729" priority="191" operator="between">
      <formula>$FS$26</formula>
      <formula>$FS$27</formula>
    </cfRule>
    <cfRule type="cellIs" dxfId="728" priority="192" operator="between">
      <formula>$FS$25</formula>
      <formula>$FS$26</formula>
    </cfRule>
  </conditionalFormatting>
  <conditionalFormatting sqref="IF33:IF1048576 HV1:HV1048576 HY1:HY1048576 IC1:IC1048576 IF1:IF31">
    <cfRule type="cellIs" dxfId="727" priority="157" operator="between">
      <formula>$II$28</formula>
      <formula>1000</formula>
    </cfRule>
    <cfRule type="cellIs" dxfId="726" priority="158" operator="between">
      <formula>$II$27</formula>
      <formula>$II$28</formula>
    </cfRule>
    <cfRule type="cellIs" dxfId="725" priority="159" operator="between">
      <formula>$II$26</formula>
      <formula>$II$27</formula>
    </cfRule>
    <cfRule type="cellIs" dxfId="724" priority="160" operator="between">
      <formula>$II$25</formula>
      <formula>$II$26</formula>
    </cfRule>
  </conditionalFormatting>
  <conditionalFormatting sqref="AW32 AO1:AO1048576 AR1:AR1048576 AV1:AV1048576">
    <cfRule type="cellIs" dxfId="723" priority="21" operator="between">
      <formula>$AY$28</formula>
      <formula>1000</formula>
    </cfRule>
    <cfRule type="cellIs" dxfId="722" priority="22" operator="between">
      <formula>$AY$27</formula>
      <formula>$AY$28</formula>
    </cfRule>
    <cfRule type="cellIs" dxfId="721" priority="23" operator="between">
      <formula>$AY$26</formula>
      <formula>$AY$27</formula>
    </cfRule>
    <cfRule type="cellIs" dxfId="720" priority="24" operator="between">
      <formula>$AY$25</formula>
      <formula>$AY$26</formula>
    </cfRule>
  </conditionalFormatting>
  <conditionalFormatting sqref="BW32">
    <cfRule type="cellIs" dxfId="719" priority="17" operator="between">
      <formula>$AY$28</formula>
      <formula>1000</formula>
    </cfRule>
    <cfRule type="cellIs" dxfId="718" priority="18" operator="between">
      <formula>$AY$27</formula>
      <formula>$AY$28</formula>
    </cfRule>
    <cfRule type="cellIs" dxfId="717" priority="19" operator="between">
      <formula>$AY$26</formula>
      <formula>$AY$27</formula>
    </cfRule>
    <cfRule type="cellIs" dxfId="716" priority="20" operator="between">
      <formula>$AY$25</formula>
      <formula>$AY$26</formula>
    </cfRule>
  </conditionalFormatting>
  <conditionalFormatting sqref="CX32">
    <cfRule type="cellIs" dxfId="715" priority="13" operator="between">
      <formula>$AY$28</formula>
      <formula>1000</formula>
    </cfRule>
    <cfRule type="cellIs" dxfId="714" priority="14" operator="between">
      <formula>$AY$27</formula>
      <formula>$AY$28</formula>
    </cfRule>
    <cfRule type="cellIs" dxfId="713" priority="15" operator="between">
      <formula>$AY$26</formula>
      <formula>$AY$27</formula>
    </cfRule>
    <cfRule type="cellIs" dxfId="712" priority="16" operator="between">
      <formula>$AY$25</formula>
      <formula>$AY$26</formula>
    </cfRule>
  </conditionalFormatting>
  <conditionalFormatting sqref="EH32">
    <cfRule type="cellIs" dxfId="711" priority="9" operator="between">
      <formula>$AY$28</formula>
      <formula>1000</formula>
    </cfRule>
    <cfRule type="cellIs" dxfId="710" priority="10" operator="between">
      <formula>$AY$27</formula>
      <formula>$AY$28</formula>
    </cfRule>
    <cfRule type="cellIs" dxfId="709" priority="11" operator="between">
      <formula>$AY$26</formula>
      <formula>$AY$27</formula>
    </cfRule>
    <cfRule type="cellIs" dxfId="708" priority="12" operator="between">
      <formula>$AY$25</formula>
      <formula>$AY$26</formula>
    </cfRule>
  </conditionalFormatting>
  <conditionalFormatting sqref="FP32">
    <cfRule type="cellIs" dxfId="707" priority="5" operator="between">
      <formula>$AY$28</formula>
      <formula>1000</formula>
    </cfRule>
    <cfRule type="cellIs" dxfId="706" priority="6" operator="between">
      <formula>$AY$27</formula>
      <formula>$AY$28</formula>
    </cfRule>
    <cfRule type="cellIs" dxfId="705" priority="7" operator="between">
      <formula>$AY$26</formula>
      <formula>$AY$27</formula>
    </cfRule>
    <cfRule type="cellIs" dxfId="704" priority="8" operator="between">
      <formula>$AY$25</formula>
      <formula>$AY$26</formula>
    </cfRule>
  </conditionalFormatting>
  <conditionalFormatting sqref="IF32">
    <cfRule type="cellIs" dxfId="703" priority="1" operator="between">
      <formula>$AY$28</formula>
      <formula>1000</formula>
    </cfRule>
    <cfRule type="cellIs" dxfId="702" priority="2" operator="between">
      <formula>$AY$27</formula>
      <formula>$AY$28</formula>
    </cfRule>
    <cfRule type="cellIs" dxfId="701" priority="3" operator="between">
      <formula>$AY$26</formula>
      <formula>$AY$27</formula>
    </cfRule>
    <cfRule type="cellIs" dxfId="700" priority="4" operator="between">
      <formula>$AY$25</formula>
      <formula>$AY$26</formula>
    </cfRule>
  </conditionalFormatting>
  <conditionalFormatting sqref="CV1:CV1048576 AT1:AT1048576">
    <cfRule type="cellIs" dxfId="699" priority="55729" operator="between">
      <formula>AY$32</formula>
      <formula>1000</formula>
    </cfRule>
    <cfRule type="cellIs" dxfId="698" priority="55730" operator="between">
      <formula>AY$31</formula>
      <formula>AY$32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97" priority="55789" operator="between">
      <formula>EK$32</formula>
      <formula>1000</formula>
    </cfRule>
    <cfRule type="cellIs" dxfId="696" priority="55790" operator="between">
      <formula>EK$31</formula>
      <formula>EK$32</formula>
    </cfRule>
  </conditionalFormatting>
  <conditionalFormatting sqref="ED1:ED1048576 FL1:FL1048576 GT1:GT1048576 IB1:IB1048576 JJ1:JJ1048576 KR1:KR1048576 LZ1:LZ1048576 NH1:NH1048576 OP1:OP1048576 PX1:PX1048576 RF1:RF1048576 SN1:SN1048576">
    <cfRule type="cellIs" dxfId="695" priority="55795" operator="between">
      <formula>EK$30</formula>
      <formula>1000</formula>
    </cfRule>
    <cfRule type="cellIs" dxfId="694" priority="55796" operator="between">
      <formula>EK$29</formula>
      <formula>EK$30</formula>
    </cfRule>
  </conditionalFormatting>
  <conditionalFormatting sqref="AQ1:AQ1048576 AT1:AT1048576 AX1:AX1048576">
    <cfRule type="cellIs" dxfId="693" priority="55901" operator="between">
      <formula>$AY$32</formula>
      <formula>1000</formula>
    </cfRule>
    <cfRule type="cellIs" dxfId="692" priority="55902" operator="between">
      <formula>$AY$31</formula>
      <formula>$AY$32</formula>
    </cfRule>
    <cfRule type="cellIs" dxfId="691" priority="55903" operator="between">
      <formula>$AY$30</formula>
      <formula>$AY$31</formula>
    </cfRule>
    <cfRule type="cellIs" dxfId="690" priority="55904" operator="between">
      <formula>$AY$29</formula>
      <formula>$AY$30</formula>
    </cfRule>
  </conditionalFormatting>
  <conditionalFormatting sqref="BR1:BR1048576 BU1:BU1048576 BY1:BY1048576">
    <cfRule type="cellIs" dxfId="689" priority="55937" operator="between">
      <formula>$BZ$32</formula>
      <formula>1000</formula>
    </cfRule>
    <cfRule type="cellIs" dxfId="688" priority="55938" operator="between">
      <formula>$BZ$31</formula>
      <formula>$BZ$32</formula>
    </cfRule>
    <cfRule type="cellIs" dxfId="687" priority="55939" operator="between">
      <formula>$BZ$30</formula>
      <formula>$BZ$31</formula>
    </cfRule>
    <cfRule type="cellIs" dxfId="686" priority="55940" operator="between">
      <formula>$BZ$29</formula>
      <formula>$BZ$30</formula>
    </cfRule>
  </conditionalFormatting>
  <conditionalFormatting sqref="CS1:CS1048576 CV1:CV1048576 CZ1:CZ1048576">
    <cfRule type="cellIs" dxfId="685" priority="55973" operator="between">
      <formula>$DA$32</formula>
      <formula>1000</formula>
    </cfRule>
    <cfRule type="cellIs" dxfId="684" priority="55974" operator="between">
      <formula>$DA$31</formula>
      <formula>$DA$32</formula>
    </cfRule>
    <cfRule type="cellIs" dxfId="683" priority="55975" operator="between">
      <formula>$DA$30</formula>
      <formula>$DA$31</formula>
    </cfRule>
    <cfRule type="cellIs" dxfId="682" priority="55976" operator="between">
      <formula>$DA$29</formula>
      <formula>$DA$30</formula>
    </cfRule>
  </conditionalFormatting>
  <conditionalFormatting sqref="NB1:NB1048576 NE1:NE1048576 NI1:NI1048576 NL1:NL1048576">
    <cfRule type="cellIs" dxfId="681" priority="56093" operator="between">
      <formula>$NO$25</formula>
      <formula>$NO$26</formula>
    </cfRule>
  </conditionalFormatting>
  <conditionalFormatting sqref="DZ1:DZ1048576 EC1:EC1048576 EG1:EG1048576 EJ1:EJ1048576">
    <cfRule type="cellIs" dxfId="680" priority="56197" operator="between">
      <formula>$EK$32</formula>
      <formula>1000</formula>
    </cfRule>
    <cfRule type="cellIs" dxfId="679" priority="56198" operator="between">
      <formula>$EK$31</formula>
      <formula>$EK$32</formula>
    </cfRule>
    <cfRule type="cellIs" dxfId="678" priority="56199" operator="between">
      <formula>$EK$30</formula>
      <formula>$EK$31</formula>
    </cfRule>
    <cfRule type="cellIs" dxfId="677" priority="56200" operator="between">
      <formula>$EK$29</formula>
      <formula>$EK$30</formula>
    </cfRule>
  </conditionalFormatting>
  <conditionalFormatting sqref="FH1:FH1048576 FK1:FK1048576 FO1:FO1048576 FR1:FR1048576">
    <cfRule type="cellIs" dxfId="676" priority="56289" operator="between">
      <formula>$FS$32</formula>
      <formula>1000</formula>
    </cfRule>
    <cfRule type="cellIs" dxfId="675" priority="56290" operator="between">
      <formula>$FS$31</formula>
      <formula>$FS$32</formula>
    </cfRule>
    <cfRule type="cellIs" dxfId="674" priority="56291" operator="between">
      <formula>$FS$30</formula>
      <formula>$FS$31</formula>
    </cfRule>
    <cfRule type="cellIs" dxfId="673" priority="56292" operator="between">
      <formula>$FS$29</formula>
      <formula>$FS$30</formula>
    </cfRule>
  </conditionalFormatting>
  <conditionalFormatting sqref="GN1:GN1048576 GQ1:GQ1048576 GU1:GU1048576 GX1:GX1048576">
    <cfRule type="cellIs" dxfId="672" priority="56337" operator="between">
      <formula>$HA$28</formula>
      <formula>1000</formula>
    </cfRule>
    <cfRule type="cellIs" dxfId="671" priority="56338" operator="between">
      <formula>$HA$27</formula>
      <formula>$HA$28</formula>
    </cfRule>
    <cfRule type="cellIs" dxfId="670" priority="56339" operator="between">
      <formula>$HA$26</formula>
      <formula>$HA$27</formula>
    </cfRule>
    <cfRule type="cellIs" dxfId="669" priority="56340" operator="between">
      <formula>$HA$25</formula>
      <formula>$HA$26</formula>
    </cfRule>
  </conditionalFormatting>
  <conditionalFormatting sqref="GP1:GP1048576 GS1:GS1048576 GW1:GW1048576 GZ1:GZ1048576">
    <cfRule type="cellIs" dxfId="668" priority="56385" operator="between">
      <formula>$HA$32</formula>
      <formula>1000</formula>
    </cfRule>
    <cfRule type="cellIs" dxfId="667" priority="56386" operator="between">
      <formula>$HA$31</formula>
      <formula>$HA$32</formula>
    </cfRule>
    <cfRule type="cellIs" dxfId="666" priority="56387" operator="between">
      <formula>$HA$30</formula>
      <formula>$HA$31</formula>
    </cfRule>
    <cfRule type="cellIs" dxfId="665" priority="56388" operator="between">
      <formula>$HA$29</formula>
      <formula>$HA$30</formula>
    </cfRule>
  </conditionalFormatting>
  <conditionalFormatting sqref="HX1:HX1048576 IA1:IA1048576 IE1:IE1048576 IH1:IH1048576">
    <cfRule type="cellIs" dxfId="664" priority="56477" operator="between">
      <formula>$II$32</formula>
      <formula>1000</formula>
    </cfRule>
    <cfRule type="cellIs" dxfId="663" priority="56478" operator="between">
      <formula>$II$31</formula>
      <formula>$II$32</formula>
    </cfRule>
    <cfRule type="cellIs" dxfId="662" priority="56479" operator="between">
      <formula>$II$30</formula>
      <formula>$II$31</formula>
    </cfRule>
    <cfRule type="cellIs" dxfId="661" priority="56480" operator="between">
      <formula>$II$29</formula>
      <formula>$II$30</formula>
    </cfRule>
  </conditionalFormatting>
  <conditionalFormatting sqref="JD1:JD1048576 JG1:JG1048576 JK1:JK1048576 JN1:JN1048576">
    <cfRule type="cellIs" dxfId="660" priority="56525" operator="between">
      <formula>$JQ$28</formula>
      <formula>1000</formula>
    </cfRule>
    <cfRule type="cellIs" dxfId="659" priority="56526" operator="between">
      <formula>$JQ$27</formula>
      <formula>$JQ$28</formula>
    </cfRule>
    <cfRule type="cellIs" dxfId="658" priority="56527" operator="between">
      <formula>$JQ$26</formula>
      <formula>$JQ$27</formula>
    </cfRule>
    <cfRule type="cellIs" dxfId="657" priority="56528" operator="between">
      <formula>$JQ$25</formula>
      <formula>$JQ$26</formula>
    </cfRule>
  </conditionalFormatting>
  <conditionalFormatting sqref="JF1:JF1048576 JI1:JI1048576 JM1:JM1048576 JP1:JP1048576">
    <cfRule type="cellIs" dxfId="656" priority="56573" operator="between">
      <formula>$JQ$32</formula>
      <formula>1000</formula>
    </cfRule>
    <cfRule type="cellIs" dxfId="655" priority="56574" operator="between">
      <formula>$JQ$31</formula>
      <formula>$JQ$32</formula>
    </cfRule>
    <cfRule type="cellIs" dxfId="654" priority="56575" operator="between">
      <formula>$JQ$30</formula>
      <formula>$JQ$31</formula>
    </cfRule>
    <cfRule type="cellIs" dxfId="653" priority="56576" operator="between">
      <formula>$JQ$29</formula>
      <formula>$JQ$30</formula>
    </cfRule>
  </conditionalFormatting>
  <conditionalFormatting sqref="KL1:KL1048576 KO1:KO1048576 KS1:KS1048576 KV1:KV1048576">
    <cfRule type="cellIs" dxfId="652" priority="56621" operator="between">
      <formula>$KY$28</formula>
      <formula>1000</formula>
    </cfRule>
    <cfRule type="cellIs" dxfId="651" priority="56622" operator="between">
      <formula>$KY$27</formula>
      <formula>$KY$28</formula>
    </cfRule>
    <cfRule type="cellIs" dxfId="650" priority="56623" operator="between">
      <formula>$KY$26</formula>
      <formula>$KY$27</formula>
    </cfRule>
    <cfRule type="cellIs" dxfId="649" priority="56624" operator="between">
      <formula>$KY$25</formula>
      <formula>$KY$26</formula>
    </cfRule>
  </conditionalFormatting>
  <conditionalFormatting sqref="KN1:KN1048576 KQ1:KQ1048576 KU1:KU1048576 KX1:KX1048576">
    <cfRule type="cellIs" dxfId="648" priority="56669" operator="between">
      <formula>$KY$32</formula>
      <formula>1000</formula>
    </cfRule>
    <cfRule type="cellIs" dxfId="647" priority="56670" operator="between">
      <formula>$KY$31</formula>
      <formula>$KY$32</formula>
    </cfRule>
    <cfRule type="cellIs" dxfId="646" priority="56671" operator="between">
      <formula>$KY$30</formula>
      <formula>$KY$31</formula>
    </cfRule>
    <cfRule type="cellIs" dxfId="645" priority="56672" operator="between">
      <formula>$KY$29</formula>
      <formula>$KY$30</formula>
    </cfRule>
  </conditionalFormatting>
  <conditionalFormatting sqref="LT1:LT1048576 LW1:LW1048576 MA1:MA1048576 MD1:MD1048576">
    <cfRule type="cellIs" dxfId="644" priority="56717" operator="between">
      <formula>$MG$28</formula>
      <formula>1000</formula>
    </cfRule>
    <cfRule type="cellIs" dxfId="643" priority="56718" operator="between">
      <formula>$MG$27</formula>
      <formula>$MG$28</formula>
    </cfRule>
    <cfRule type="cellIs" dxfId="642" priority="56719" operator="between">
      <formula>$MG$26</formula>
      <formula>$MG$27</formula>
    </cfRule>
    <cfRule type="cellIs" dxfId="641" priority="56720" operator="between">
      <formula>$MG$25</formula>
      <formula>$MG$26</formula>
    </cfRule>
  </conditionalFormatting>
  <conditionalFormatting sqref="LV1:LV1048576 LY1:LY1048576 MC1:MC1048576 MF1:MF1048576">
    <cfRule type="cellIs" dxfId="640" priority="56765" operator="between">
      <formula>$MG$32</formula>
      <formula>1000</formula>
    </cfRule>
    <cfRule type="cellIs" dxfId="639" priority="56766" operator="between">
      <formula>$MG$31</formula>
      <formula>$MG$32</formula>
    </cfRule>
    <cfRule type="cellIs" dxfId="638" priority="56767" operator="between">
      <formula>$MG$30</formula>
      <formula>$MG$31</formula>
    </cfRule>
    <cfRule type="cellIs" dxfId="637" priority="56768" operator="between">
      <formula>$MG$29</formula>
      <formula>$MG$30</formula>
    </cfRule>
  </conditionalFormatting>
  <conditionalFormatting sqref="NB1:NB1048576 NE1:NE1048576 NI1:NI1048576">
    <cfRule type="cellIs" dxfId="636" priority="56813" operator="between">
      <formula>$NO$28</formula>
      <formula>1000</formula>
    </cfRule>
    <cfRule type="cellIs" dxfId="635" priority="56814" operator="between">
      <formula>$NO$27</formula>
      <formula>$NO$28</formula>
    </cfRule>
    <cfRule type="cellIs" dxfId="634" priority="56815" operator="between">
      <formula>$NO$26</formula>
      <formula>$NO$27</formula>
    </cfRule>
  </conditionalFormatting>
  <conditionalFormatting sqref="ND1:ND1048576 NG1:NG1048576 NK1:NK1048576 NN1:NN1048576">
    <cfRule type="cellIs" dxfId="633" priority="56840" operator="between">
      <formula>$NO$32</formula>
      <formula>1000</formula>
    </cfRule>
    <cfRule type="cellIs" dxfId="632" priority="56841" operator="between">
      <formula>$NO$31</formula>
      <formula>$NO$32</formula>
    </cfRule>
    <cfRule type="cellIs" dxfId="631" priority="56842" operator="between">
      <formula>$NO$30</formula>
      <formula>$NO$31</formula>
    </cfRule>
    <cfRule type="cellIs" dxfId="630" priority="56843" operator="between">
      <formula>$NO$29</formula>
      <formula>$NO$30</formula>
    </cfRule>
  </conditionalFormatting>
  <conditionalFormatting sqref="OJ1:OJ1048576 OM1:OM1048576 OQ1:OQ1048576 OT1:OT1048576">
    <cfRule type="cellIs" dxfId="629" priority="56888" operator="between">
      <formula>$OW$28</formula>
      <formula>1000</formula>
    </cfRule>
    <cfRule type="cellIs" dxfId="628" priority="56889" operator="between">
      <formula>$OW$27</formula>
      <formula>$OW$28</formula>
    </cfRule>
    <cfRule type="cellIs" dxfId="627" priority="56890" operator="between">
      <formula>$OW$26</formula>
      <formula>$OW$27</formula>
    </cfRule>
    <cfRule type="cellIs" dxfId="626" priority="56891" operator="between">
      <formula>$OW$25</formula>
      <formula>$OW$26</formula>
    </cfRule>
  </conditionalFormatting>
  <conditionalFormatting sqref="OL1:OL1048576 OO1:OO1048576 OS1:OS1048576 OV1:OV1048576">
    <cfRule type="cellIs" dxfId="625" priority="56936" operator="between">
      <formula>$OW$32</formula>
      <formula>1000</formula>
    </cfRule>
    <cfRule type="cellIs" dxfId="624" priority="56937" operator="between">
      <formula>$OW$31</formula>
      <formula>$OW$32</formula>
    </cfRule>
    <cfRule type="cellIs" dxfId="623" priority="56938" operator="between">
      <formula>$OW$30</formula>
      <formula>$OW$31</formula>
    </cfRule>
    <cfRule type="cellIs" dxfId="622" priority="56939" operator="between">
      <formula>$OW$29</formula>
      <formula>$OW$30</formula>
    </cfRule>
  </conditionalFormatting>
  <conditionalFormatting sqref="PR1:PR1048576 PU1:PU1048576 PY1:PY1048576 QB1:QB1048576">
    <cfRule type="cellIs" dxfId="621" priority="56984" operator="between">
      <formula>$QE$28</formula>
      <formula>1000</formula>
    </cfRule>
    <cfRule type="cellIs" dxfId="620" priority="56985" operator="between">
      <formula>$QE$27</formula>
      <formula>$QE$28</formula>
    </cfRule>
    <cfRule type="cellIs" dxfId="619" priority="56986" operator="between">
      <formula>$QE$26</formula>
      <formula>$QE$27</formula>
    </cfRule>
    <cfRule type="cellIs" dxfId="618" priority="56987" operator="between">
      <formula>$QE$25</formula>
      <formula>$QE$26</formula>
    </cfRule>
  </conditionalFormatting>
  <conditionalFormatting sqref="PT1:PT1048576 PW1:PW1048576 QA1:QA1048576 QD1:QD1048576">
    <cfRule type="cellIs" dxfId="617" priority="57032" operator="between">
      <formula>$QE$32</formula>
      <formula>1000</formula>
    </cfRule>
    <cfRule type="cellIs" dxfId="616" priority="57033" operator="between">
      <formula>$QE$31</formula>
      <formula>$QE$32</formula>
    </cfRule>
    <cfRule type="cellIs" dxfId="615" priority="57034" operator="between">
      <formula>$QE$30</formula>
      <formula>$QE$31</formula>
    </cfRule>
    <cfRule type="cellIs" dxfId="614" priority="57035" operator="between">
      <formula>$QE$29</formula>
      <formula>$QE$30</formula>
    </cfRule>
  </conditionalFormatting>
  <conditionalFormatting sqref="QZ1:QZ1048576 RC1:RC1048576 RG1:RG1048576 RJ1:RJ1048576">
    <cfRule type="cellIs" dxfId="613" priority="57080" operator="between">
      <formula>$RM$28</formula>
      <formula>1000</formula>
    </cfRule>
    <cfRule type="cellIs" dxfId="612" priority="57081" operator="between">
      <formula>$RM$27</formula>
      <formula>$RM$28</formula>
    </cfRule>
    <cfRule type="cellIs" dxfId="611" priority="57082" operator="between">
      <formula>$RM$26</formula>
      <formula>$RM$27</formula>
    </cfRule>
    <cfRule type="cellIs" dxfId="610" priority="57083" operator="between">
      <formula>$RM$25</formula>
      <formula>$RM$26</formula>
    </cfRule>
  </conditionalFormatting>
  <conditionalFormatting sqref="RB1:RB1048576 RE1:RE1048576 RI1:RI1048576 RL1:RL1048576">
    <cfRule type="cellIs" dxfId="609" priority="57128" operator="between">
      <formula>$RM$32</formula>
      <formula>1000</formula>
    </cfRule>
    <cfRule type="cellIs" dxfId="608" priority="57129" operator="between">
      <formula>$RM$31</formula>
      <formula>$RM$32</formula>
    </cfRule>
    <cfRule type="cellIs" dxfId="607" priority="57130" operator="between">
      <formula>$RM$30</formula>
      <formula>$RM$31</formula>
    </cfRule>
    <cfRule type="cellIs" dxfId="606" priority="57131" operator="between">
      <formula>$RM$29</formula>
      <formula>$RM$30</formula>
    </cfRule>
  </conditionalFormatting>
  <conditionalFormatting sqref="SH1:SH1048576 SK1:SK1048576 SO1:SO1048576 SR1:SR1048576">
    <cfRule type="cellIs" dxfId="605" priority="57176" operator="between">
      <formula>$SU$28</formula>
      <formula>1000</formula>
    </cfRule>
    <cfRule type="cellIs" dxfId="604" priority="57177" operator="between">
      <formula>$SU$27</formula>
      <formula>$SU$28</formula>
    </cfRule>
    <cfRule type="cellIs" dxfId="603" priority="57178" operator="between">
      <formula>$SU$26</formula>
      <formula>$SU$27</formula>
    </cfRule>
    <cfRule type="cellIs" dxfId="602" priority="57179" operator="between">
      <formula>$SU$25</formula>
      <formula>$SU$26</formula>
    </cfRule>
  </conditionalFormatting>
  <conditionalFormatting sqref="SJ1:SJ1048576 SM1:SM1048576 SQ1:SQ1048576 ST1:ST1048576">
    <cfRule type="cellIs" dxfId="601" priority="57224" operator="between">
      <formula>$SU$32</formula>
      <formula>1000</formula>
    </cfRule>
    <cfRule type="cellIs" dxfId="600" priority="57225" operator="between">
      <formula>$SU$31</formula>
      <formula>$SU$32</formula>
    </cfRule>
    <cfRule type="cellIs" dxfId="599" priority="57226" operator="between">
      <formula>$SU$30</formula>
      <formula>$SU$31</formula>
    </cfRule>
    <cfRule type="cellIs" dxfId="598" priority="57227" operator="between">
      <formula>$SU$29</formula>
      <formula>$SU$30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70" customWidth="1"/>
    <col min="52" max="67" width="10.83203125" hidden="1" customWidth="1"/>
    <col min="68" max="78" width="10.83203125" style="70" customWidth="1"/>
    <col min="79" max="94" width="10.83203125" hidden="1" customWidth="1"/>
    <col min="95" max="105" width="10.83203125" style="70" customWidth="1"/>
    <col min="106" max="107" width="12.83203125" style="70" customWidth="1"/>
    <col min="108" max="127" width="10.83203125" hidden="1" customWidth="1"/>
    <col min="128" max="140" width="10.83203125" customWidth="1"/>
    <col min="141" max="141" width="10.83203125" style="70" customWidth="1"/>
    <col min="142" max="161" width="10.83203125" hidden="1" customWidth="1"/>
    <col min="162" max="174" width="10.83203125" customWidth="1"/>
    <col min="175" max="175" width="10.83203125" style="70" customWidth="1"/>
    <col min="176" max="195" width="10.83203125" hidden="1" customWidth="1"/>
    <col min="196" max="208" width="10.83203125" customWidth="1"/>
    <col min="209" max="209" width="10.83203125" style="70" customWidth="1"/>
    <col min="210" max="229" width="10.83203125" hidden="1" customWidth="1"/>
    <col min="230" max="242" width="10.83203125" customWidth="1"/>
    <col min="243" max="243" width="10.83203125" style="70" customWidth="1"/>
    <col min="244" max="263" width="10.83203125" hidden="1" customWidth="1"/>
    <col min="264" max="276" width="10.83203125" customWidth="1"/>
    <col min="277" max="277" width="10.83203125" style="70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542" width="10.83203125" hidden="1" customWidth="1"/>
  </cols>
  <sheetData>
    <row r="1" spans="1:542" x14ac:dyDescent="0.2">
      <c r="A1" s="117" t="s">
        <v>1</v>
      </c>
      <c r="B1" s="117" t="s">
        <v>32</v>
      </c>
      <c r="C1" s="117" t="s">
        <v>0</v>
      </c>
      <c r="D1" s="117" t="s">
        <v>63</v>
      </c>
      <c r="E1" s="117" t="s">
        <v>2</v>
      </c>
      <c r="F1" s="119" t="s">
        <v>69</v>
      </c>
      <c r="G1" s="117" t="s">
        <v>12</v>
      </c>
      <c r="H1" s="117" t="s">
        <v>13</v>
      </c>
      <c r="I1" s="117" t="s">
        <v>96</v>
      </c>
      <c r="J1" s="118" t="s">
        <v>131</v>
      </c>
      <c r="K1" s="116" t="s">
        <v>37</v>
      </c>
      <c r="L1" s="118" t="s">
        <v>132</v>
      </c>
      <c r="M1" s="116" t="s">
        <v>37</v>
      </c>
      <c r="N1" s="118" t="s">
        <v>160</v>
      </c>
      <c r="O1" s="116" t="s">
        <v>37</v>
      </c>
      <c r="P1" s="116" t="s">
        <v>14</v>
      </c>
      <c r="Q1" s="116" t="s">
        <v>37</v>
      </c>
      <c r="R1" s="116" t="s">
        <v>133</v>
      </c>
      <c r="S1" s="116" t="s">
        <v>37</v>
      </c>
      <c r="T1" s="118" t="s">
        <v>134</v>
      </c>
      <c r="U1" s="116" t="s">
        <v>37</v>
      </c>
      <c r="V1" s="120" t="s">
        <v>15</v>
      </c>
      <c r="W1" s="116" t="s">
        <v>38</v>
      </c>
      <c r="X1" s="116" t="s">
        <v>37</v>
      </c>
      <c r="Y1" s="113" t="s">
        <v>104</v>
      </c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4" t="s">
        <v>111</v>
      </c>
      <c r="BA1" s="114"/>
      <c r="BB1" s="114"/>
      <c r="BC1" s="114"/>
      <c r="BD1" s="114"/>
      <c r="BE1" s="114"/>
      <c r="BF1" s="114"/>
      <c r="BG1" s="114"/>
      <c r="BH1" s="114"/>
      <c r="BI1" s="114"/>
      <c r="BJ1" s="114"/>
      <c r="BK1" s="114"/>
      <c r="BL1" s="114"/>
      <c r="BM1" s="114"/>
      <c r="BN1" s="114"/>
      <c r="BO1" s="114"/>
      <c r="BP1" s="114"/>
      <c r="BQ1" s="114"/>
      <c r="BR1" s="114"/>
      <c r="BS1" s="114"/>
      <c r="BT1" s="114"/>
      <c r="BU1" s="114"/>
      <c r="BV1" s="114"/>
      <c r="BW1" s="114"/>
      <c r="BX1" s="114"/>
      <c r="BY1" s="114"/>
      <c r="BZ1" s="114"/>
      <c r="CA1" s="113" t="s">
        <v>146</v>
      </c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  <c r="CY1" s="113"/>
      <c r="CZ1" s="113"/>
      <c r="DA1" s="113"/>
      <c r="DB1" s="115" t="s">
        <v>15</v>
      </c>
      <c r="DC1" s="115"/>
      <c r="DD1" s="113" t="s">
        <v>110</v>
      </c>
      <c r="DE1" s="113"/>
      <c r="DF1" s="113"/>
      <c r="DG1" s="113"/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3"/>
      <c r="EH1" s="113"/>
      <c r="EI1" s="113"/>
      <c r="EJ1" s="113"/>
      <c r="EK1" s="113"/>
      <c r="EL1" s="114" t="s">
        <v>105</v>
      </c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4"/>
      <c r="EX1" s="114"/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4"/>
      <c r="FJ1" s="114"/>
      <c r="FK1" s="114"/>
      <c r="FL1" s="114"/>
      <c r="FM1" s="114"/>
      <c r="FN1" s="114"/>
      <c r="FO1" s="114"/>
      <c r="FP1" s="114"/>
      <c r="FQ1" s="114"/>
      <c r="FR1" s="114"/>
      <c r="FS1" s="114"/>
      <c r="FT1" s="113" t="s">
        <v>144</v>
      </c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3"/>
      <c r="GG1" s="113"/>
      <c r="GH1" s="113"/>
      <c r="GI1" s="113"/>
      <c r="GJ1" s="113"/>
      <c r="GK1" s="113"/>
      <c r="GL1" s="113"/>
      <c r="GM1" s="113"/>
      <c r="GN1" s="113"/>
      <c r="GO1" s="113"/>
      <c r="GP1" s="113"/>
      <c r="GQ1" s="113"/>
      <c r="GR1" s="113"/>
      <c r="GS1" s="113"/>
      <c r="GT1" s="113"/>
      <c r="GU1" s="113"/>
      <c r="GV1" s="113"/>
      <c r="GW1" s="113"/>
      <c r="GX1" s="113"/>
      <c r="GY1" s="113"/>
      <c r="GZ1" s="113"/>
      <c r="HA1" s="113"/>
      <c r="HB1" s="114" t="s">
        <v>115</v>
      </c>
      <c r="HC1" s="114"/>
      <c r="HD1" s="114"/>
      <c r="HE1" s="114"/>
      <c r="HF1" s="114"/>
      <c r="HG1" s="114"/>
      <c r="HH1" s="114"/>
      <c r="HI1" s="114"/>
      <c r="HJ1" s="114"/>
      <c r="HK1" s="114"/>
      <c r="HL1" s="114"/>
      <c r="HM1" s="114"/>
      <c r="HN1" s="114"/>
      <c r="HO1" s="114"/>
      <c r="HP1" s="114"/>
      <c r="HQ1" s="114"/>
      <c r="HR1" s="114"/>
      <c r="HS1" s="114"/>
      <c r="HT1" s="114"/>
      <c r="HU1" s="114"/>
      <c r="HV1" s="114"/>
      <c r="HW1" s="114"/>
      <c r="HX1" s="114"/>
      <c r="HY1" s="114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3" t="s">
        <v>125</v>
      </c>
      <c r="IK1" s="113"/>
      <c r="IL1" s="113"/>
      <c r="IM1" s="113"/>
      <c r="IN1" s="113"/>
      <c r="IO1" s="113"/>
      <c r="IP1" s="113"/>
      <c r="IQ1" s="113"/>
      <c r="IR1" s="113"/>
      <c r="IS1" s="113"/>
      <c r="IT1" s="113"/>
      <c r="IU1" s="113"/>
      <c r="IV1" s="113"/>
      <c r="IW1" s="113"/>
      <c r="IX1" s="113"/>
      <c r="IY1" s="113"/>
      <c r="IZ1" s="113"/>
      <c r="JA1" s="113"/>
      <c r="JB1" s="113"/>
      <c r="JC1" s="113"/>
      <c r="JD1" s="113"/>
      <c r="JE1" s="113"/>
      <c r="JF1" s="113"/>
      <c r="JG1" s="113"/>
      <c r="JH1" s="113"/>
      <c r="JI1" s="113"/>
      <c r="JJ1" s="113"/>
      <c r="JK1" s="113"/>
      <c r="JL1" s="113"/>
      <c r="JM1" s="113"/>
      <c r="JN1" s="113"/>
      <c r="JO1" s="113"/>
      <c r="JP1" s="113"/>
      <c r="JQ1" s="113"/>
      <c r="JR1" s="114" t="s">
        <v>126</v>
      </c>
      <c r="JS1" s="114"/>
      <c r="JT1" s="114"/>
      <c r="JU1" s="114"/>
      <c r="JV1" s="114"/>
      <c r="JW1" s="114"/>
      <c r="JX1" s="114"/>
      <c r="JY1" s="114"/>
      <c r="JZ1" s="114"/>
      <c r="KA1" s="114"/>
      <c r="KB1" s="114"/>
      <c r="KC1" s="114"/>
      <c r="KD1" s="114"/>
      <c r="KE1" s="114"/>
      <c r="KF1" s="114"/>
      <c r="KG1" s="114"/>
      <c r="KH1" s="114"/>
      <c r="KI1" s="114"/>
      <c r="KJ1" s="114"/>
      <c r="KK1" s="114"/>
      <c r="KL1" s="114"/>
      <c r="KM1" s="114"/>
      <c r="KN1" s="114"/>
      <c r="KO1" s="114"/>
      <c r="KP1" s="114"/>
      <c r="KQ1" s="114"/>
      <c r="KR1" s="114"/>
      <c r="KS1" s="114"/>
      <c r="KT1" s="114"/>
      <c r="KU1" s="114"/>
      <c r="KV1" s="114"/>
      <c r="KW1" s="114"/>
      <c r="KX1" s="114"/>
      <c r="KY1" s="114"/>
      <c r="KZ1" s="113" t="s">
        <v>130</v>
      </c>
      <c r="LA1" s="113"/>
      <c r="LB1" s="113"/>
      <c r="LC1" s="113"/>
      <c r="LD1" s="113"/>
      <c r="LE1" s="113"/>
      <c r="LF1" s="113"/>
      <c r="LG1" s="113"/>
      <c r="LH1" s="113"/>
      <c r="LI1" s="113"/>
      <c r="LJ1" s="113"/>
      <c r="LK1" s="113"/>
      <c r="LL1" s="113"/>
      <c r="LM1" s="113"/>
      <c r="LN1" s="113"/>
      <c r="LO1" s="113"/>
      <c r="LP1" s="113"/>
      <c r="LQ1" s="113"/>
      <c r="LR1" s="113"/>
      <c r="LS1" s="113"/>
      <c r="LT1" s="113"/>
      <c r="LU1" s="113"/>
      <c r="LV1" s="113"/>
      <c r="LW1" s="113"/>
      <c r="LX1" s="113"/>
      <c r="LY1" s="113"/>
      <c r="LZ1" s="113"/>
      <c r="MA1" s="113"/>
      <c r="MB1" s="113"/>
      <c r="MC1" s="113"/>
      <c r="MD1" s="113"/>
      <c r="ME1" s="113"/>
      <c r="MF1" s="113"/>
      <c r="MG1" s="113"/>
      <c r="MH1" s="114"/>
      <c r="MI1" s="114"/>
      <c r="MJ1" s="114"/>
      <c r="MK1" s="114"/>
      <c r="ML1" s="114"/>
      <c r="MM1" s="114"/>
      <c r="MN1" s="114"/>
      <c r="MO1" s="114"/>
      <c r="MP1" s="114"/>
      <c r="MQ1" s="114"/>
      <c r="MR1" s="114"/>
      <c r="MS1" s="114"/>
      <c r="MT1" s="114"/>
      <c r="MU1" s="114"/>
      <c r="MV1" s="114"/>
      <c r="MW1" s="114"/>
      <c r="MX1" s="114"/>
      <c r="MY1" s="114"/>
      <c r="MZ1" s="114"/>
      <c r="NA1" s="114"/>
      <c r="NB1" s="114"/>
      <c r="NC1" s="114"/>
      <c r="ND1" s="114"/>
      <c r="NE1" s="114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3"/>
      <c r="NQ1" s="113"/>
      <c r="NR1" s="113"/>
      <c r="NS1" s="113"/>
      <c r="NT1" s="113"/>
      <c r="NU1" s="113"/>
      <c r="NV1" s="113"/>
      <c r="NW1" s="113"/>
      <c r="NX1" s="113"/>
      <c r="NY1" s="113"/>
      <c r="NZ1" s="113"/>
      <c r="OA1" s="113"/>
      <c r="OB1" s="113"/>
      <c r="OC1" s="113"/>
      <c r="OD1" s="113"/>
      <c r="OE1" s="113"/>
      <c r="OF1" s="113"/>
      <c r="OG1" s="113"/>
      <c r="OH1" s="113"/>
      <c r="OI1" s="113"/>
      <c r="OJ1" s="113"/>
      <c r="OK1" s="113"/>
      <c r="OL1" s="113"/>
      <c r="OM1" s="113"/>
      <c r="ON1" s="113"/>
      <c r="OO1" s="113"/>
      <c r="OP1" s="113"/>
      <c r="OQ1" s="113"/>
      <c r="OR1" s="113"/>
      <c r="OS1" s="113"/>
      <c r="OT1" s="113"/>
      <c r="OU1" s="113"/>
      <c r="OV1" s="113"/>
      <c r="OW1" s="113"/>
      <c r="OX1" s="114"/>
      <c r="OY1" s="114"/>
      <c r="OZ1" s="114"/>
      <c r="PA1" s="114"/>
      <c r="PB1" s="114"/>
      <c r="PC1" s="114"/>
      <c r="PD1" s="114"/>
      <c r="PE1" s="114"/>
      <c r="PF1" s="114"/>
      <c r="PG1" s="114"/>
      <c r="PH1" s="114"/>
      <c r="PI1" s="114"/>
      <c r="PJ1" s="114"/>
      <c r="PK1" s="114"/>
      <c r="PL1" s="114"/>
      <c r="PM1" s="114"/>
      <c r="PN1" s="114"/>
      <c r="PO1" s="114"/>
      <c r="PP1" s="114"/>
      <c r="PQ1" s="114"/>
      <c r="PR1" s="114"/>
      <c r="PS1" s="114"/>
      <c r="PT1" s="114"/>
      <c r="PU1" s="114"/>
      <c r="PV1" s="114"/>
      <c r="PW1" s="114"/>
      <c r="PX1" s="114"/>
      <c r="PY1" s="114"/>
      <c r="PZ1" s="114"/>
      <c r="QA1" s="114"/>
      <c r="QB1" s="114"/>
      <c r="QC1" s="114"/>
      <c r="QD1" s="114"/>
      <c r="QE1" s="114"/>
      <c r="QF1" s="113"/>
      <c r="QG1" s="113"/>
      <c r="QH1" s="113"/>
      <c r="QI1" s="113"/>
      <c r="QJ1" s="113"/>
      <c r="QK1" s="113"/>
      <c r="QL1" s="113"/>
      <c r="QM1" s="113"/>
      <c r="QN1" s="113"/>
      <c r="QO1" s="113"/>
      <c r="QP1" s="113"/>
      <c r="QQ1" s="113"/>
      <c r="QR1" s="113"/>
      <c r="QS1" s="113"/>
      <c r="QT1" s="113"/>
      <c r="QU1" s="113"/>
      <c r="QV1" s="113"/>
      <c r="QW1" s="113"/>
      <c r="QX1" s="113"/>
      <c r="QY1" s="113"/>
      <c r="QZ1" s="113"/>
      <c r="RA1" s="113"/>
      <c r="RB1" s="113"/>
      <c r="RC1" s="113"/>
      <c r="RD1" s="113"/>
      <c r="RE1" s="113"/>
      <c r="RF1" s="113"/>
      <c r="RG1" s="113"/>
      <c r="RH1" s="113"/>
      <c r="RI1" s="113"/>
      <c r="RJ1" s="113"/>
      <c r="RK1" s="113"/>
      <c r="RL1" s="113"/>
      <c r="RM1" s="113"/>
      <c r="RN1" s="114"/>
      <c r="RO1" s="114"/>
      <c r="RP1" s="114"/>
      <c r="RQ1" s="114"/>
      <c r="RR1" s="114"/>
      <c r="RS1" s="114"/>
      <c r="RT1" s="114"/>
      <c r="RU1" s="114"/>
      <c r="RV1" s="114"/>
      <c r="RW1" s="114"/>
      <c r="RX1" s="114"/>
      <c r="RY1" s="114"/>
      <c r="RZ1" s="114"/>
      <c r="SA1" s="114"/>
      <c r="SB1" s="114"/>
      <c r="SC1" s="114"/>
      <c r="SD1" s="114"/>
      <c r="SE1" s="114"/>
      <c r="SF1" s="114"/>
      <c r="SG1" s="114"/>
      <c r="SH1" s="114"/>
      <c r="SI1" s="114"/>
      <c r="SJ1" s="114"/>
      <c r="SK1" s="114"/>
      <c r="SL1" s="114"/>
      <c r="SM1" s="114"/>
      <c r="SN1" s="114"/>
      <c r="SO1" s="114"/>
      <c r="SP1" s="114"/>
      <c r="SQ1" s="114"/>
      <c r="SR1" s="114"/>
      <c r="SS1" s="114"/>
      <c r="ST1" s="114"/>
      <c r="SU1" s="114"/>
      <c r="SV1" s="113" t="s">
        <v>72</v>
      </c>
      <c r="SW1" s="113"/>
      <c r="SX1" s="113"/>
      <c r="SY1" s="113"/>
      <c r="SZ1" s="113"/>
      <c r="TA1" s="113"/>
      <c r="TB1" s="113"/>
      <c r="TC1" s="113"/>
      <c r="TD1" s="113"/>
      <c r="TE1" s="113"/>
      <c r="TF1" s="113"/>
      <c r="TG1" s="113"/>
      <c r="TH1" s="113"/>
      <c r="TI1" s="113"/>
      <c r="TJ1" s="113"/>
      <c r="TK1" s="113"/>
      <c r="TL1" s="113"/>
      <c r="TM1" s="113"/>
      <c r="TN1" s="113"/>
      <c r="TO1" s="113"/>
      <c r="TP1" s="113"/>
      <c r="TQ1" s="113"/>
      <c r="TR1" s="113"/>
      <c r="TS1" s="113"/>
      <c r="TT1" s="113"/>
      <c r="TU1" s="113"/>
      <c r="TV1" s="113"/>
    </row>
    <row r="2" spans="1:542" x14ac:dyDescent="0.2">
      <c r="A2" s="117"/>
      <c r="B2" s="117"/>
      <c r="C2" s="117"/>
      <c r="D2" s="117"/>
      <c r="E2" s="117"/>
      <c r="F2" s="119"/>
      <c r="G2" s="117"/>
      <c r="H2" s="117"/>
      <c r="I2" s="117"/>
      <c r="J2" s="118"/>
      <c r="K2" s="116"/>
      <c r="L2" s="118"/>
      <c r="M2" s="116"/>
      <c r="N2" s="118"/>
      <c r="O2" s="116"/>
      <c r="P2" s="116"/>
      <c r="Q2" s="116"/>
      <c r="R2" s="116"/>
      <c r="S2" s="116"/>
      <c r="T2" s="118"/>
      <c r="U2" s="116"/>
      <c r="V2" s="120"/>
      <c r="W2" s="116"/>
      <c r="X2" s="116"/>
      <c r="Y2" s="111" t="s">
        <v>20</v>
      </c>
      <c r="Z2" s="111"/>
      <c r="AA2" s="111"/>
      <c r="AB2" s="111"/>
      <c r="AC2" s="111"/>
      <c r="AD2" s="111" t="s">
        <v>21</v>
      </c>
      <c r="AE2" s="111"/>
      <c r="AF2" s="111"/>
      <c r="AG2" s="111"/>
      <c r="AH2" s="111"/>
      <c r="AI2" s="111" t="s">
        <v>24</v>
      </c>
      <c r="AJ2" s="111"/>
      <c r="AK2" s="111"/>
      <c r="AL2" s="111"/>
      <c r="AM2" s="111"/>
      <c r="AN2" s="101"/>
      <c r="AO2" s="101" t="s">
        <v>135</v>
      </c>
      <c r="AP2" s="101" t="s">
        <v>136</v>
      </c>
      <c r="AQ2" s="101" t="s">
        <v>22</v>
      </c>
      <c r="AR2" s="101" t="s">
        <v>87</v>
      </c>
      <c r="AS2" s="101" t="s">
        <v>137</v>
      </c>
      <c r="AT2" s="101" t="s">
        <v>23</v>
      </c>
      <c r="AU2" s="101" t="s">
        <v>25</v>
      </c>
      <c r="AV2" s="101" t="s">
        <v>138</v>
      </c>
      <c r="AW2" s="101" t="s">
        <v>139</v>
      </c>
      <c r="AX2" s="101" t="s">
        <v>24</v>
      </c>
      <c r="AY2" s="101" t="s">
        <v>19</v>
      </c>
      <c r="AZ2" s="112" t="s">
        <v>20</v>
      </c>
      <c r="BA2" s="112"/>
      <c r="BB2" s="112"/>
      <c r="BC2" s="112"/>
      <c r="BD2" s="112"/>
      <c r="BE2" s="112" t="s">
        <v>21</v>
      </c>
      <c r="BF2" s="112"/>
      <c r="BG2" s="112"/>
      <c r="BH2" s="112"/>
      <c r="BI2" s="112"/>
      <c r="BJ2" s="112" t="s">
        <v>24</v>
      </c>
      <c r="BK2" s="112"/>
      <c r="BL2" s="112"/>
      <c r="BM2" s="112"/>
      <c r="BN2" s="112"/>
      <c r="BO2" s="102"/>
      <c r="BP2" s="102" t="s">
        <v>135</v>
      </c>
      <c r="BQ2" s="102" t="s">
        <v>136</v>
      </c>
      <c r="BR2" s="102" t="s">
        <v>22</v>
      </c>
      <c r="BS2" s="102" t="s">
        <v>87</v>
      </c>
      <c r="BT2" s="102" t="s">
        <v>137</v>
      </c>
      <c r="BU2" s="102" t="s">
        <v>23</v>
      </c>
      <c r="BV2" s="102" t="s">
        <v>25</v>
      </c>
      <c r="BW2" s="102" t="s">
        <v>138</v>
      </c>
      <c r="BX2" s="102" t="s">
        <v>139</v>
      </c>
      <c r="BY2" s="102" t="s">
        <v>24</v>
      </c>
      <c r="BZ2" s="102" t="s">
        <v>19</v>
      </c>
      <c r="CA2" s="111" t="s">
        <v>20</v>
      </c>
      <c r="CB2" s="111"/>
      <c r="CC2" s="111"/>
      <c r="CD2" s="111"/>
      <c r="CE2" s="111"/>
      <c r="CF2" s="111" t="s">
        <v>21</v>
      </c>
      <c r="CG2" s="111"/>
      <c r="CH2" s="111"/>
      <c r="CI2" s="111"/>
      <c r="CJ2" s="111"/>
      <c r="CK2" s="111" t="s">
        <v>24</v>
      </c>
      <c r="CL2" s="111"/>
      <c r="CM2" s="111"/>
      <c r="CN2" s="111"/>
      <c r="CO2" s="111"/>
      <c r="CP2" s="101"/>
      <c r="CQ2" s="101" t="s">
        <v>135</v>
      </c>
      <c r="CR2" s="101" t="s">
        <v>136</v>
      </c>
      <c r="CS2" s="101" t="s">
        <v>22</v>
      </c>
      <c r="CT2" s="101" t="s">
        <v>87</v>
      </c>
      <c r="CU2" s="101" t="s">
        <v>137</v>
      </c>
      <c r="CV2" s="101" t="s">
        <v>23</v>
      </c>
      <c r="CW2" s="101" t="s">
        <v>25</v>
      </c>
      <c r="CX2" s="101" t="s">
        <v>138</v>
      </c>
      <c r="CY2" s="101" t="s">
        <v>139</v>
      </c>
      <c r="CZ2" s="101" t="s">
        <v>24</v>
      </c>
      <c r="DA2" s="101" t="s">
        <v>19</v>
      </c>
      <c r="DB2" s="86" t="s">
        <v>25</v>
      </c>
      <c r="DC2" s="86" t="s">
        <v>24</v>
      </c>
      <c r="DD2" s="111" t="s">
        <v>20</v>
      </c>
      <c r="DE2" s="111"/>
      <c r="DF2" s="111"/>
      <c r="DG2" s="111"/>
      <c r="DH2" s="111"/>
      <c r="DI2" s="111" t="s">
        <v>21</v>
      </c>
      <c r="DJ2" s="111"/>
      <c r="DK2" s="111"/>
      <c r="DL2" s="111"/>
      <c r="DM2" s="111"/>
      <c r="DN2" s="111" t="s">
        <v>140</v>
      </c>
      <c r="DO2" s="111"/>
      <c r="DP2" s="111"/>
      <c r="DQ2" s="111"/>
      <c r="DR2" s="111"/>
      <c r="DS2" s="111" t="s">
        <v>24</v>
      </c>
      <c r="DT2" s="111"/>
      <c r="DU2" s="111"/>
      <c r="DV2" s="111"/>
      <c r="DW2" s="111"/>
      <c r="DX2" s="101" t="s">
        <v>135</v>
      </c>
      <c r="DY2" s="101" t="s">
        <v>136</v>
      </c>
      <c r="DZ2" s="101" t="s">
        <v>22</v>
      </c>
      <c r="EA2" s="101" t="s">
        <v>87</v>
      </c>
      <c r="EB2" s="101" t="s">
        <v>137</v>
      </c>
      <c r="EC2" s="101" t="s">
        <v>23</v>
      </c>
      <c r="ED2" s="101" t="s">
        <v>25</v>
      </c>
      <c r="EE2" s="101" t="s">
        <v>141</v>
      </c>
      <c r="EF2" s="101" t="s">
        <v>142</v>
      </c>
      <c r="EG2" s="101" t="s">
        <v>140</v>
      </c>
      <c r="EH2" s="101" t="s">
        <v>138</v>
      </c>
      <c r="EI2" s="101" t="s">
        <v>139</v>
      </c>
      <c r="EJ2" s="101" t="s">
        <v>24</v>
      </c>
      <c r="EK2" s="101" t="s">
        <v>19</v>
      </c>
      <c r="EL2" s="112" t="s">
        <v>20</v>
      </c>
      <c r="EM2" s="112"/>
      <c r="EN2" s="112"/>
      <c r="EO2" s="112"/>
      <c r="EP2" s="112"/>
      <c r="EQ2" s="112" t="s">
        <v>21</v>
      </c>
      <c r="ER2" s="112"/>
      <c r="ES2" s="112"/>
      <c r="ET2" s="112"/>
      <c r="EU2" s="112"/>
      <c r="EV2" s="112" t="s">
        <v>140</v>
      </c>
      <c r="EW2" s="112"/>
      <c r="EX2" s="112"/>
      <c r="EY2" s="112"/>
      <c r="EZ2" s="112"/>
      <c r="FA2" s="112" t="s">
        <v>24</v>
      </c>
      <c r="FB2" s="112"/>
      <c r="FC2" s="112"/>
      <c r="FD2" s="112"/>
      <c r="FE2" s="112"/>
      <c r="FF2" s="102" t="s">
        <v>135</v>
      </c>
      <c r="FG2" s="102" t="s">
        <v>136</v>
      </c>
      <c r="FH2" s="102" t="s">
        <v>22</v>
      </c>
      <c r="FI2" s="102" t="s">
        <v>87</v>
      </c>
      <c r="FJ2" s="102" t="s">
        <v>137</v>
      </c>
      <c r="FK2" s="102" t="s">
        <v>23</v>
      </c>
      <c r="FL2" s="102" t="s">
        <v>25</v>
      </c>
      <c r="FM2" s="102" t="s">
        <v>141</v>
      </c>
      <c r="FN2" s="102" t="s">
        <v>142</v>
      </c>
      <c r="FO2" s="102" t="s">
        <v>140</v>
      </c>
      <c r="FP2" s="102" t="s">
        <v>138</v>
      </c>
      <c r="FQ2" s="102" t="s">
        <v>139</v>
      </c>
      <c r="FR2" s="102" t="s">
        <v>24</v>
      </c>
      <c r="FS2" s="102" t="s">
        <v>19</v>
      </c>
      <c r="FT2" s="111" t="s">
        <v>20</v>
      </c>
      <c r="FU2" s="111"/>
      <c r="FV2" s="111"/>
      <c r="FW2" s="111"/>
      <c r="FX2" s="111"/>
      <c r="FY2" s="111" t="s">
        <v>21</v>
      </c>
      <c r="FZ2" s="111"/>
      <c r="GA2" s="111"/>
      <c r="GB2" s="111"/>
      <c r="GC2" s="111"/>
      <c r="GD2" s="111" t="s">
        <v>140</v>
      </c>
      <c r="GE2" s="111"/>
      <c r="GF2" s="111"/>
      <c r="GG2" s="111"/>
      <c r="GH2" s="111"/>
      <c r="GI2" s="111" t="s">
        <v>24</v>
      </c>
      <c r="GJ2" s="111"/>
      <c r="GK2" s="111"/>
      <c r="GL2" s="111"/>
      <c r="GM2" s="111"/>
      <c r="GN2" s="101" t="s">
        <v>135</v>
      </c>
      <c r="GO2" s="101" t="s">
        <v>136</v>
      </c>
      <c r="GP2" s="101" t="s">
        <v>22</v>
      </c>
      <c r="GQ2" s="101" t="s">
        <v>87</v>
      </c>
      <c r="GR2" s="101" t="s">
        <v>137</v>
      </c>
      <c r="GS2" s="101" t="s">
        <v>23</v>
      </c>
      <c r="GT2" s="101" t="s">
        <v>25</v>
      </c>
      <c r="GU2" s="101" t="s">
        <v>141</v>
      </c>
      <c r="GV2" s="101" t="s">
        <v>142</v>
      </c>
      <c r="GW2" s="101" t="s">
        <v>140</v>
      </c>
      <c r="GX2" s="101" t="s">
        <v>138</v>
      </c>
      <c r="GY2" s="101" t="s">
        <v>139</v>
      </c>
      <c r="GZ2" s="101" t="s">
        <v>24</v>
      </c>
      <c r="HA2" s="101" t="s">
        <v>19</v>
      </c>
      <c r="HB2" s="112" t="s">
        <v>20</v>
      </c>
      <c r="HC2" s="112"/>
      <c r="HD2" s="112"/>
      <c r="HE2" s="112"/>
      <c r="HF2" s="112"/>
      <c r="HG2" s="112" t="s">
        <v>21</v>
      </c>
      <c r="HH2" s="112"/>
      <c r="HI2" s="112"/>
      <c r="HJ2" s="112"/>
      <c r="HK2" s="112"/>
      <c r="HL2" s="112" t="s">
        <v>140</v>
      </c>
      <c r="HM2" s="112"/>
      <c r="HN2" s="112"/>
      <c r="HO2" s="112"/>
      <c r="HP2" s="112"/>
      <c r="HQ2" s="112" t="s">
        <v>24</v>
      </c>
      <c r="HR2" s="112"/>
      <c r="HS2" s="112"/>
      <c r="HT2" s="112"/>
      <c r="HU2" s="112"/>
      <c r="HV2" s="102" t="s">
        <v>135</v>
      </c>
      <c r="HW2" s="102" t="s">
        <v>136</v>
      </c>
      <c r="HX2" s="102" t="s">
        <v>22</v>
      </c>
      <c r="HY2" s="102" t="s">
        <v>87</v>
      </c>
      <c r="HZ2" s="102" t="s">
        <v>137</v>
      </c>
      <c r="IA2" s="102" t="s">
        <v>23</v>
      </c>
      <c r="IB2" s="102" t="s">
        <v>25</v>
      </c>
      <c r="IC2" s="102" t="s">
        <v>141</v>
      </c>
      <c r="ID2" s="102" t="s">
        <v>142</v>
      </c>
      <c r="IE2" s="102" t="s">
        <v>140</v>
      </c>
      <c r="IF2" s="102" t="s">
        <v>138</v>
      </c>
      <c r="IG2" s="102" t="s">
        <v>139</v>
      </c>
      <c r="IH2" s="102" t="s">
        <v>24</v>
      </c>
      <c r="II2" s="102" t="s">
        <v>19</v>
      </c>
      <c r="IJ2" s="111" t="s">
        <v>20</v>
      </c>
      <c r="IK2" s="111"/>
      <c r="IL2" s="111"/>
      <c r="IM2" s="111"/>
      <c r="IN2" s="111"/>
      <c r="IO2" s="111" t="s">
        <v>21</v>
      </c>
      <c r="IP2" s="111"/>
      <c r="IQ2" s="111"/>
      <c r="IR2" s="111"/>
      <c r="IS2" s="111"/>
      <c r="IT2" s="111" t="s">
        <v>140</v>
      </c>
      <c r="IU2" s="111"/>
      <c r="IV2" s="111"/>
      <c r="IW2" s="111"/>
      <c r="IX2" s="111"/>
      <c r="IY2" s="111" t="s">
        <v>24</v>
      </c>
      <c r="IZ2" s="111"/>
      <c r="JA2" s="111"/>
      <c r="JB2" s="111"/>
      <c r="JC2" s="111"/>
      <c r="JD2" s="101" t="s">
        <v>135</v>
      </c>
      <c r="JE2" s="101" t="s">
        <v>136</v>
      </c>
      <c r="JF2" s="101" t="s">
        <v>22</v>
      </c>
      <c r="JG2" s="101" t="s">
        <v>87</v>
      </c>
      <c r="JH2" s="101" t="s">
        <v>137</v>
      </c>
      <c r="JI2" s="101" t="s">
        <v>23</v>
      </c>
      <c r="JJ2" s="101" t="s">
        <v>25</v>
      </c>
      <c r="JK2" s="101" t="s">
        <v>141</v>
      </c>
      <c r="JL2" s="101" t="s">
        <v>142</v>
      </c>
      <c r="JM2" s="101" t="s">
        <v>140</v>
      </c>
      <c r="JN2" s="101" t="s">
        <v>138</v>
      </c>
      <c r="JO2" s="101" t="s">
        <v>139</v>
      </c>
      <c r="JP2" s="101" t="s">
        <v>24</v>
      </c>
      <c r="JQ2" s="101" t="s">
        <v>19</v>
      </c>
      <c r="JR2" s="112" t="s">
        <v>20</v>
      </c>
      <c r="JS2" s="112"/>
      <c r="JT2" s="112"/>
      <c r="JU2" s="112"/>
      <c r="JV2" s="112"/>
      <c r="JW2" s="112" t="s">
        <v>21</v>
      </c>
      <c r="JX2" s="112"/>
      <c r="JY2" s="112"/>
      <c r="JZ2" s="112"/>
      <c r="KA2" s="112"/>
      <c r="KB2" s="112" t="s">
        <v>140</v>
      </c>
      <c r="KC2" s="112"/>
      <c r="KD2" s="112"/>
      <c r="KE2" s="112"/>
      <c r="KF2" s="112"/>
      <c r="KG2" s="112" t="s">
        <v>24</v>
      </c>
      <c r="KH2" s="112"/>
      <c r="KI2" s="112"/>
      <c r="KJ2" s="112"/>
      <c r="KK2" s="112"/>
      <c r="KL2" s="102" t="s">
        <v>135</v>
      </c>
      <c r="KM2" s="102" t="s">
        <v>136</v>
      </c>
      <c r="KN2" s="102" t="s">
        <v>22</v>
      </c>
      <c r="KO2" s="102" t="s">
        <v>87</v>
      </c>
      <c r="KP2" s="102" t="s">
        <v>137</v>
      </c>
      <c r="KQ2" s="102" t="s">
        <v>23</v>
      </c>
      <c r="KR2" s="102" t="s">
        <v>25</v>
      </c>
      <c r="KS2" s="102" t="s">
        <v>141</v>
      </c>
      <c r="KT2" s="102" t="s">
        <v>142</v>
      </c>
      <c r="KU2" s="102" t="s">
        <v>140</v>
      </c>
      <c r="KV2" s="102" t="s">
        <v>138</v>
      </c>
      <c r="KW2" s="102" t="s">
        <v>139</v>
      </c>
      <c r="KX2" s="102" t="s">
        <v>24</v>
      </c>
      <c r="KY2" s="102" t="s">
        <v>19</v>
      </c>
      <c r="KZ2" s="111" t="s">
        <v>20</v>
      </c>
      <c r="LA2" s="111"/>
      <c r="LB2" s="111"/>
      <c r="LC2" s="111"/>
      <c r="LD2" s="111"/>
      <c r="LE2" s="111" t="s">
        <v>21</v>
      </c>
      <c r="LF2" s="111"/>
      <c r="LG2" s="111"/>
      <c r="LH2" s="111"/>
      <c r="LI2" s="111"/>
      <c r="LJ2" s="111" t="s">
        <v>140</v>
      </c>
      <c r="LK2" s="111"/>
      <c r="LL2" s="111"/>
      <c r="LM2" s="111"/>
      <c r="LN2" s="111"/>
      <c r="LO2" s="111" t="s">
        <v>24</v>
      </c>
      <c r="LP2" s="111"/>
      <c r="LQ2" s="111"/>
      <c r="LR2" s="111"/>
      <c r="LS2" s="111"/>
      <c r="LT2" s="101" t="s">
        <v>135</v>
      </c>
      <c r="LU2" s="101" t="s">
        <v>136</v>
      </c>
      <c r="LV2" s="101" t="s">
        <v>22</v>
      </c>
      <c r="LW2" s="101" t="s">
        <v>87</v>
      </c>
      <c r="LX2" s="101" t="s">
        <v>137</v>
      </c>
      <c r="LY2" s="101" t="s">
        <v>23</v>
      </c>
      <c r="LZ2" s="101" t="s">
        <v>25</v>
      </c>
      <c r="MA2" s="101" t="s">
        <v>141</v>
      </c>
      <c r="MB2" s="101" t="s">
        <v>142</v>
      </c>
      <c r="MC2" s="101" t="s">
        <v>140</v>
      </c>
      <c r="MD2" s="101" t="s">
        <v>138</v>
      </c>
      <c r="ME2" s="101" t="s">
        <v>139</v>
      </c>
      <c r="MF2" s="101" t="s">
        <v>24</v>
      </c>
      <c r="MG2" s="101" t="s">
        <v>19</v>
      </c>
      <c r="MH2" s="112" t="s">
        <v>20</v>
      </c>
      <c r="MI2" s="112"/>
      <c r="MJ2" s="112"/>
      <c r="MK2" s="112"/>
      <c r="ML2" s="112"/>
      <c r="MM2" s="112" t="s">
        <v>21</v>
      </c>
      <c r="MN2" s="112"/>
      <c r="MO2" s="112"/>
      <c r="MP2" s="112"/>
      <c r="MQ2" s="112"/>
      <c r="MR2" s="112" t="s">
        <v>140</v>
      </c>
      <c r="MS2" s="112"/>
      <c r="MT2" s="112"/>
      <c r="MU2" s="112"/>
      <c r="MV2" s="112"/>
      <c r="MW2" s="112" t="s">
        <v>24</v>
      </c>
      <c r="MX2" s="112"/>
      <c r="MY2" s="112"/>
      <c r="MZ2" s="112"/>
      <c r="NA2" s="112"/>
      <c r="NB2" s="102" t="s">
        <v>135</v>
      </c>
      <c r="NC2" s="102" t="s">
        <v>136</v>
      </c>
      <c r="ND2" s="102" t="s">
        <v>22</v>
      </c>
      <c r="NE2" s="102" t="s">
        <v>87</v>
      </c>
      <c r="NF2" s="102" t="s">
        <v>137</v>
      </c>
      <c r="NG2" s="102" t="s">
        <v>23</v>
      </c>
      <c r="NH2" s="102" t="s">
        <v>25</v>
      </c>
      <c r="NI2" s="102" t="s">
        <v>141</v>
      </c>
      <c r="NJ2" s="102" t="s">
        <v>142</v>
      </c>
      <c r="NK2" s="102" t="s">
        <v>140</v>
      </c>
      <c r="NL2" s="102" t="s">
        <v>138</v>
      </c>
      <c r="NM2" s="102" t="s">
        <v>139</v>
      </c>
      <c r="NN2" s="102" t="s">
        <v>24</v>
      </c>
      <c r="NO2" s="102" t="s">
        <v>19</v>
      </c>
      <c r="NP2" s="111" t="s">
        <v>20</v>
      </c>
      <c r="NQ2" s="111"/>
      <c r="NR2" s="111"/>
      <c r="NS2" s="111"/>
      <c r="NT2" s="111"/>
      <c r="NU2" s="111" t="s">
        <v>21</v>
      </c>
      <c r="NV2" s="111"/>
      <c r="NW2" s="111"/>
      <c r="NX2" s="111"/>
      <c r="NY2" s="111"/>
      <c r="NZ2" s="111" t="s">
        <v>140</v>
      </c>
      <c r="OA2" s="111"/>
      <c r="OB2" s="111"/>
      <c r="OC2" s="111"/>
      <c r="OD2" s="111"/>
      <c r="OE2" s="111" t="s">
        <v>24</v>
      </c>
      <c r="OF2" s="111"/>
      <c r="OG2" s="111"/>
      <c r="OH2" s="111"/>
      <c r="OI2" s="111"/>
      <c r="OJ2" s="101" t="s">
        <v>135</v>
      </c>
      <c r="OK2" s="101" t="s">
        <v>136</v>
      </c>
      <c r="OL2" s="101" t="s">
        <v>22</v>
      </c>
      <c r="OM2" s="101" t="s">
        <v>87</v>
      </c>
      <c r="ON2" s="101" t="s">
        <v>137</v>
      </c>
      <c r="OO2" s="101" t="s">
        <v>23</v>
      </c>
      <c r="OP2" s="101" t="s">
        <v>25</v>
      </c>
      <c r="OQ2" s="101" t="s">
        <v>141</v>
      </c>
      <c r="OR2" s="101" t="s">
        <v>142</v>
      </c>
      <c r="OS2" s="101" t="s">
        <v>140</v>
      </c>
      <c r="OT2" s="101" t="s">
        <v>138</v>
      </c>
      <c r="OU2" s="101" t="s">
        <v>139</v>
      </c>
      <c r="OV2" s="101" t="s">
        <v>24</v>
      </c>
      <c r="OW2" s="101" t="s">
        <v>19</v>
      </c>
      <c r="OX2" s="112" t="s">
        <v>20</v>
      </c>
      <c r="OY2" s="112"/>
      <c r="OZ2" s="112"/>
      <c r="PA2" s="112"/>
      <c r="PB2" s="112"/>
      <c r="PC2" s="112" t="s">
        <v>21</v>
      </c>
      <c r="PD2" s="112"/>
      <c r="PE2" s="112"/>
      <c r="PF2" s="112"/>
      <c r="PG2" s="112"/>
      <c r="PH2" s="112" t="s">
        <v>140</v>
      </c>
      <c r="PI2" s="112"/>
      <c r="PJ2" s="112"/>
      <c r="PK2" s="112"/>
      <c r="PL2" s="112"/>
      <c r="PM2" s="112" t="s">
        <v>24</v>
      </c>
      <c r="PN2" s="112"/>
      <c r="PO2" s="112"/>
      <c r="PP2" s="112"/>
      <c r="PQ2" s="112"/>
      <c r="PR2" s="102" t="s">
        <v>135</v>
      </c>
      <c r="PS2" s="102" t="s">
        <v>136</v>
      </c>
      <c r="PT2" s="102" t="s">
        <v>22</v>
      </c>
      <c r="PU2" s="102" t="s">
        <v>87</v>
      </c>
      <c r="PV2" s="102" t="s">
        <v>137</v>
      </c>
      <c r="PW2" s="102" t="s">
        <v>23</v>
      </c>
      <c r="PX2" s="102" t="s">
        <v>25</v>
      </c>
      <c r="PY2" s="102" t="s">
        <v>141</v>
      </c>
      <c r="PZ2" s="102" t="s">
        <v>142</v>
      </c>
      <c r="QA2" s="102" t="s">
        <v>140</v>
      </c>
      <c r="QB2" s="102" t="s">
        <v>138</v>
      </c>
      <c r="QC2" s="102" t="s">
        <v>139</v>
      </c>
      <c r="QD2" s="102" t="s">
        <v>24</v>
      </c>
      <c r="QE2" s="102" t="s">
        <v>19</v>
      </c>
      <c r="QF2" s="111" t="s">
        <v>20</v>
      </c>
      <c r="QG2" s="111"/>
      <c r="QH2" s="111"/>
      <c r="QI2" s="111"/>
      <c r="QJ2" s="111"/>
      <c r="QK2" s="111" t="s">
        <v>21</v>
      </c>
      <c r="QL2" s="111"/>
      <c r="QM2" s="111"/>
      <c r="QN2" s="111"/>
      <c r="QO2" s="111"/>
      <c r="QP2" s="111" t="s">
        <v>140</v>
      </c>
      <c r="QQ2" s="111"/>
      <c r="QR2" s="111"/>
      <c r="QS2" s="111"/>
      <c r="QT2" s="111"/>
      <c r="QU2" s="111" t="s">
        <v>24</v>
      </c>
      <c r="QV2" s="111"/>
      <c r="QW2" s="111"/>
      <c r="QX2" s="111"/>
      <c r="QY2" s="111"/>
      <c r="QZ2" s="101" t="s">
        <v>135</v>
      </c>
      <c r="RA2" s="101" t="s">
        <v>136</v>
      </c>
      <c r="RB2" s="101" t="s">
        <v>22</v>
      </c>
      <c r="RC2" s="101" t="s">
        <v>87</v>
      </c>
      <c r="RD2" s="101" t="s">
        <v>137</v>
      </c>
      <c r="RE2" s="101" t="s">
        <v>23</v>
      </c>
      <c r="RF2" s="101" t="s">
        <v>25</v>
      </c>
      <c r="RG2" s="101" t="s">
        <v>141</v>
      </c>
      <c r="RH2" s="101" t="s">
        <v>142</v>
      </c>
      <c r="RI2" s="101" t="s">
        <v>140</v>
      </c>
      <c r="RJ2" s="101" t="s">
        <v>138</v>
      </c>
      <c r="RK2" s="101" t="s">
        <v>139</v>
      </c>
      <c r="RL2" s="101" t="s">
        <v>24</v>
      </c>
      <c r="RM2" s="101" t="s">
        <v>19</v>
      </c>
      <c r="RN2" s="112" t="s">
        <v>20</v>
      </c>
      <c r="RO2" s="112"/>
      <c r="RP2" s="112"/>
      <c r="RQ2" s="112"/>
      <c r="RR2" s="112"/>
      <c r="RS2" s="112" t="s">
        <v>21</v>
      </c>
      <c r="RT2" s="112"/>
      <c r="RU2" s="112"/>
      <c r="RV2" s="112"/>
      <c r="RW2" s="112"/>
      <c r="RX2" s="112" t="s">
        <v>140</v>
      </c>
      <c r="RY2" s="112"/>
      <c r="RZ2" s="112"/>
      <c r="SA2" s="112"/>
      <c r="SB2" s="112"/>
      <c r="SC2" s="112" t="s">
        <v>24</v>
      </c>
      <c r="SD2" s="112"/>
      <c r="SE2" s="112"/>
      <c r="SF2" s="112"/>
      <c r="SG2" s="112"/>
      <c r="SH2" s="102" t="s">
        <v>135</v>
      </c>
      <c r="SI2" s="102" t="s">
        <v>136</v>
      </c>
      <c r="SJ2" s="102" t="s">
        <v>22</v>
      </c>
      <c r="SK2" s="102" t="s">
        <v>87</v>
      </c>
      <c r="SL2" s="102" t="s">
        <v>137</v>
      </c>
      <c r="SM2" s="102" t="s">
        <v>23</v>
      </c>
      <c r="SN2" s="102" t="s">
        <v>25</v>
      </c>
      <c r="SO2" s="102" t="s">
        <v>141</v>
      </c>
      <c r="SP2" s="102" t="s">
        <v>142</v>
      </c>
      <c r="SQ2" s="102" t="s">
        <v>140</v>
      </c>
      <c r="SR2" s="102" t="s">
        <v>138</v>
      </c>
      <c r="SS2" s="102" t="s">
        <v>139</v>
      </c>
      <c r="ST2" s="102" t="s">
        <v>24</v>
      </c>
      <c r="SU2" s="102" t="s">
        <v>19</v>
      </c>
      <c r="SV2" s="111" t="s">
        <v>20</v>
      </c>
      <c r="SW2" s="111"/>
      <c r="SX2" s="111"/>
      <c r="SY2" s="111"/>
      <c r="SZ2" s="111"/>
      <c r="TA2" s="111" t="s">
        <v>21</v>
      </c>
      <c r="TB2" s="111"/>
      <c r="TC2" s="111"/>
      <c r="TD2" s="111"/>
      <c r="TE2" s="111"/>
      <c r="TF2" s="111" t="s">
        <v>24</v>
      </c>
      <c r="TG2" s="111"/>
      <c r="TH2" s="111"/>
      <c r="TI2" s="111"/>
      <c r="TJ2" s="111"/>
      <c r="TK2" s="101"/>
      <c r="TL2" s="101" t="s">
        <v>135</v>
      </c>
      <c r="TM2" s="101" t="s">
        <v>136</v>
      </c>
      <c r="TN2" s="101" t="s">
        <v>22</v>
      </c>
      <c r="TO2" s="101" t="s">
        <v>87</v>
      </c>
      <c r="TP2" s="101" t="s">
        <v>137</v>
      </c>
      <c r="TQ2" s="101" t="s">
        <v>23</v>
      </c>
      <c r="TR2" s="101" t="s">
        <v>25</v>
      </c>
      <c r="TS2" s="101" t="s">
        <v>138</v>
      </c>
      <c r="TT2" s="101" t="s">
        <v>139</v>
      </c>
      <c r="TU2" s="101" t="s">
        <v>24</v>
      </c>
      <c r="TV2" s="101" t="s">
        <v>19</v>
      </c>
    </row>
    <row r="3" spans="1:542" x14ac:dyDescent="0.2">
      <c r="A3" s="117"/>
      <c r="B3" s="117"/>
      <c r="C3" s="117"/>
      <c r="D3" s="117"/>
      <c r="E3" s="117"/>
      <c r="F3" s="119"/>
      <c r="G3" s="117"/>
      <c r="H3" s="117"/>
      <c r="I3" s="117"/>
      <c r="J3" s="118"/>
      <c r="K3" s="116"/>
      <c r="L3" s="118"/>
      <c r="M3" s="116"/>
      <c r="N3" s="118"/>
      <c r="O3" s="116"/>
      <c r="P3" s="116"/>
      <c r="Q3" s="116"/>
      <c r="R3" s="116"/>
      <c r="S3" s="116"/>
      <c r="T3" s="118"/>
      <c r="U3" s="116"/>
      <c r="V3" s="120"/>
      <c r="W3" s="116"/>
      <c r="X3" s="116"/>
      <c r="Y3" s="101" t="s">
        <v>16</v>
      </c>
      <c r="Z3" s="101" t="s">
        <v>17</v>
      </c>
      <c r="AA3" s="101" t="s">
        <v>11</v>
      </c>
      <c r="AB3" s="101" t="s">
        <v>18</v>
      </c>
      <c r="AC3" s="101" t="s">
        <v>34</v>
      </c>
      <c r="AD3" s="101" t="s">
        <v>16</v>
      </c>
      <c r="AE3" s="101" t="s">
        <v>17</v>
      </c>
      <c r="AF3" s="101" t="s">
        <v>11</v>
      </c>
      <c r="AG3" s="101" t="s">
        <v>18</v>
      </c>
      <c r="AH3" s="101" t="s">
        <v>34</v>
      </c>
      <c r="AI3" s="101" t="s">
        <v>16</v>
      </c>
      <c r="AJ3" s="101" t="s">
        <v>17</v>
      </c>
      <c r="AK3" s="101" t="s">
        <v>11</v>
      </c>
      <c r="AL3" s="101" t="s">
        <v>18</v>
      </c>
      <c r="AM3" s="101" t="s">
        <v>34</v>
      </c>
      <c r="AN3" s="101" t="s">
        <v>60</v>
      </c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2" t="s">
        <v>16</v>
      </c>
      <c r="BA3" s="102" t="s">
        <v>17</v>
      </c>
      <c r="BB3" s="102" t="s">
        <v>11</v>
      </c>
      <c r="BC3" s="102" t="s">
        <v>18</v>
      </c>
      <c r="BD3" s="102" t="s">
        <v>34</v>
      </c>
      <c r="BE3" s="102" t="s">
        <v>16</v>
      </c>
      <c r="BF3" s="102" t="s">
        <v>17</v>
      </c>
      <c r="BG3" s="102" t="s">
        <v>11</v>
      </c>
      <c r="BH3" s="102" t="s">
        <v>18</v>
      </c>
      <c r="BI3" s="102" t="s">
        <v>34</v>
      </c>
      <c r="BJ3" s="102" t="s">
        <v>16</v>
      </c>
      <c r="BK3" s="102" t="s">
        <v>17</v>
      </c>
      <c r="BL3" s="102" t="s">
        <v>11</v>
      </c>
      <c r="BM3" s="102" t="s">
        <v>18</v>
      </c>
      <c r="BN3" s="102" t="s">
        <v>34</v>
      </c>
      <c r="BO3" s="102" t="s">
        <v>60</v>
      </c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1" t="s">
        <v>16</v>
      </c>
      <c r="CB3" s="101" t="s">
        <v>17</v>
      </c>
      <c r="CC3" s="101" t="s">
        <v>11</v>
      </c>
      <c r="CD3" s="101" t="s">
        <v>18</v>
      </c>
      <c r="CE3" s="101" t="s">
        <v>34</v>
      </c>
      <c r="CF3" s="101" t="s">
        <v>16</v>
      </c>
      <c r="CG3" s="101" t="s">
        <v>17</v>
      </c>
      <c r="CH3" s="101" t="s">
        <v>11</v>
      </c>
      <c r="CI3" s="101" t="s">
        <v>18</v>
      </c>
      <c r="CJ3" s="101" t="s">
        <v>34</v>
      </c>
      <c r="CK3" s="101" t="s">
        <v>16</v>
      </c>
      <c r="CL3" s="101" t="s">
        <v>17</v>
      </c>
      <c r="CM3" s="101" t="s">
        <v>11</v>
      </c>
      <c r="CN3" s="101" t="s">
        <v>18</v>
      </c>
      <c r="CO3" s="101" t="s">
        <v>34</v>
      </c>
      <c r="CP3" s="101" t="s">
        <v>60</v>
      </c>
      <c r="CQ3" s="101"/>
      <c r="CR3" s="101"/>
      <c r="CS3" s="101"/>
      <c r="CT3" s="101"/>
      <c r="CU3" s="101"/>
      <c r="CV3" s="101"/>
      <c r="CW3" s="101"/>
      <c r="CX3" s="101"/>
      <c r="CY3" s="101"/>
      <c r="CZ3" s="101"/>
      <c r="DA3" s="101"/>
      <c r="DB3" s="86"/>
      <c r="DC3" s="86"/>
      <c r="DD3" s="101" t="s">
        <v>16</v>
      </c>
      <c r="DE3" s="101" t="s">
        <v>17</v>
      </c>
      <c r="DF3" s="101" t="s">
        <v>11</v>
      </c>
      <c r="DG3" s="101" t="s">
        <v>18</v>
      </c>
      <c r="DH3" s="101" t="s">
        <v>34</v>
      </c>
      <c r="DI3" s="101" t="s">
        <v>16</v>
      </c>
      <c r="DJ3" s="101" t="s">
        <v>17</v>
      </c>
      <c r="DK3" s="101" t="s">
        <v>11</v>
      </c>
      <c r="DL3" s="101" t="s">
        <v>18</v>
      </c>
      <c r="DM3" s="101" t="s">
        <v>34</v>
      </c>
      <c r="DN3" s="101" t="s">
        <v>16</v>
      </c>
      <c r="DO3" s="101" t="s">
        <v>17</v>
      </c>
      <c r="DP3" s="101" t="s">
        <v>11</v>
      </c>
      <c r="DQ3" s="101" t="s">
        <v>18</v>
      </c>
      <c r="DR3" s="101" t="s">
        <v>34</v>
      </c>
      <c r="DS3" s="101" t="s">
        <v>16</v>
      </c>
      <c r="DT3" s="101" t="s">
        <v>17</v>
      </c>
      <c r="DU3" s="101" t="s">
        <v>11</v>
      </c>
      <c r="DV3" s="101" t="s">
        <v>18</v>
      </c>
      <c r="DW3" s="101" t="s">
        <v>34</v>
      </c>
      <c r="DX3" s="10"/>
      <c r="DY3" s="10"/>
      <c r="DZ3" s="9"/>
      <c r="EA3" s="9"/>
      <c r="EB3" s="9"/>
      <c r="EC3" s="9"/>
      <c r="ED3" s="9"/>
      <c r="EE3" s="9"/>
      <c r="EF3" s="9"/>
      <c r="EG3" s="9"/>
      <c r="EH3" s="9"/>
      <c r="EI3" s="9"/>
      <c r="EJ3" s="10"/>
      <c r="EK3" s="101"/>
      <c r="EL3" s="102" t="s">
        <v>16</v>
      </c>
      <c r="EM3" s="102" t="s">
        <v>17</v>
      </c>
      <c r="EN3" s="102" t="s">
        <v>11</v>
      </c>
      <c r="EO3" s="102" t="s">
        <v>18</v>
      </c>
      <c r="EP3" s="102" t="s">
        <v>34</v>
      </c>
      <c r="EQ3" s="102" t="s">
        <v>16</v>
      </c>
      <c r="ER3" s="102" t="s">
        <v>17</v>
      </c>
      <c r="ES3" s="102" t="s">
        <v>11</v>
      </c>
      <c r="ET3" s="102" t="s">
        <v>18</v>
      </c>
      <c r="EU3" s="102" t="s">
        <v>34</v>
      </c>
      <c r="EV3" s="102" t="s">
        <v>16</v>
      </c>
      <c r="EW3" s="102" t="s">
        <v>17</v>
      </c>
      <c r="EX3" s="102" t="s">
        <v>11</v>
      </c>
      <c r="EY3" s="102" t="s">
        <v>18</v>
      </c>
      <c r="EZ3" s="102" t="s">
        <v>34</v>
      </c>
      <c r="FA3" s="102" t="s">
        <v>16</v>
      </c>
      <c r="FB3" s="102" t="s">
        <v>17</v>
      </c>
      <c r="FC3" s="102" t="s">
        <v>11</v>
      </c>
      <c r="FD3" s="102" t="s">
        <v>18</v>
      </c>
      <c r="FE3" s="102" t="s">
        <v>34</v>
      </c>
      <c r="FF3" s="12"/>
      <c r="FG3" s="12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2"/>
      <c r="FS3" s="102"/>
      <c r="FT3" s="101" t="s">
        <v>16</v>
      </c>
      <c r="FU3" s="101" t="s">
        <v>17</v>
      </c>
      <c r="FV3" s="101" t="s">
        <v>11</v>
      </c>
      <c r="FW3" s="101" t="s">
        <v>18</v>
      </c>
      <c r="FX3" s="101" t="s">
        <v>34</v>
      </c>
      <c r="FY3" s="101" t="s">
        <v>16</v>
      </c>
      <c r="FZ3" s="101" t="s">
        <v>17</v>
      </c>
      <c r="GA3" s="101" t="s">
        <v>11</v>
      </c>
      <c r="GB3" s="101" t="s">
        <v>18</v>
      </c>
      <c r="GC3" s="101" t="s">
        <v>34</v>
      </c>
      <c r="GD3" s="101" t="s">
        <v>16</v>
      </c>
      <c r="GE3" s="101" t="s">
        <v>17</v>
      </c>
      <c r="GF3" s="101" t="s">
        <v>11</v>
      </c>
      <c r="GG3" s="101" t="s">
        <v>18</v>
      </c>
      <c r="GH3" s="101" t="s">
        <v>34</v>
      </c>
      <c r="GI3" s="101" t="s">
        <v>16</v>
      </c>
      <c r="GJ3" s="101" t="s">
        <v>17</v>
      </c>
      <c r="GK3" s="101" t="s">
        <v>11</v>
      </c>
      <c r="GL3" s="101" t="s">
        <v>18</v>
      </c>
      <c r="GM3" s="101" t="s">
        <v>34</v>
      </c>
      <c r="GN3" s="10"/>
      <c r="GO3" s="10"/>
      <c r="GP3" s="9"/>
      <c r="GQ3" s="9"/>
      <c r="GR3" s="9"/>
      <c r="GS3" s="9"/>
      <c r="GT3" s="9"/>
      <c r="GU3" s="9"/>
      <c r="GV3" s="9"/>
      <c r="GW3" s="9"/>
      <c r="GX3" s="9"/>
      <c r="GY3" s="9"/>
      <c r="GZ3" s="10"/>
      <c r="HA3" s="101"/>
      <c r="HB3" s="102" t="s">
        <v>16</v>
      </c>
      <c r="HC3" s="102" t="s">
        <v>17</v>
      </c>
      <c r="HD3" s="102" t="s">
        <v>11</v>
      </c>
      <c r="HE3" s="102" t="s">
        <v>18</v>
      </c>
      <c r="HF3" s="102" t="s">
        <v>34</v>
      </c>
      <c r="HG3" s="102" t="s">
        <v>16</v>
      </c>
      <c r="HH3" s="102" t="s">
        <v>17</v>
      </c>
      <c r="HI3" s="102" t="s">
        <v>11</v>
      </c>
      <c r="HJ3" s="102" t="s">
        <v>18</v>
      </c>
      <c r="HK3" s="102" t="s">
        <v>34</v>
      </c>
      <c r="HL3" s="102" t="s">
        <v>16</v>
      </c>
      <c r="HM3" s="102" t="s">
        <v>17</v>
      </c>
      <c r="HN3" s="102" t="s">
        <v>11</v>
      </c>
      <c r="HO3" s="102" t="s">
        <v>18</v>
      </c>
      <c r="HP3" s="102" t="s">
        <v>34</v>
      </c>
      <c r="HQ3" s="102" t="s">
        <v>16</v>
      </c>
      <c r="HR3" s="102" t="s">
        <v>17</v>
      </c>
      <c r="HS3" s="102" t="s">
        <v>11</v>
      </c>
      <c r="HT3" s="102" t="s">
        <v>18</v>
      </c>
      <c r="HU3" s="102" t="s">
        <v>34</v>
      </c>
      <c r="HV3" s="12"/>
      <c r="HW3" s="12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2"/>
      <c r="II3" s="102"/>
      <c r="IJ3" s="101" t="s">
        <v>16</v>
      </c>
      <c r="IK3" s="101" t="s">
        <v>17</v>
      </c>
      <c r="IL3" s="101" t="s">
        <v>11</v>
      </c>
      <c r="IM3" s="101" t="s">
        <v>18</v>
      </c>
      <c r="IN3" s="101" t="s">
        <v>34</v>
      </c>
      <c r="IO3" s="101" t="s">
        <v>16</v>
      </c>
      <c r="IP3" s="101" t="s">
        <v>17</v>
      </c>
      <c r="IQ3" s="101" t="s">
        <v>11</v>
      </c>
      <c r="IR3" s="101" t="s">
        <v>18</v>
      </c>
      <c r="IS3" s="101" t="s">
        <v>34</v>
      </c>
      <c r="IT3" s="101" t="s">
        <v>16</v>
      </c>
      <c r="IU3" s="101" t="s">
        <v>17</v>
      </c>
      <c r="IV3" s="101" t="s">
        <v>11</v>
      </c>
      <c r="IW3" s="101" t="s">
        <v>18</v>
      </c>
      <c r="IX3" s="101" t="s">
        <v>34</v>
      </c>
      <c r="IY3" s="101" t="s">
        <v>16</v>
      </c>
      <c r="IZ3" s="101" t="s">
        <v>17</v>
      </c>
      <c r="JA3" s="101" t="s">
        <v>11</v>
      </c>
      <c r="JB3" s="101" t="s">
        <v>18</v>
      </c>
      <c r="JC3" s="101" t="s">
        <v>34</v>
      </c>
      <c r="JD3" s="10"/>
      <c r="JE3" s="10"/>
      <c r="JF3" s="9"/>
      <c r="JG3" s="9"/>
      <c r="JH3" s="9"/>
      <c r="JI3" s="9"/>
      <c r="JJ3" s="9"/>
      <c r="JK3" s="9"/>
      <c r="JL3" s="9"/>
      <c r="JM3" s="9"/>
      <c r="JN3" s="9"/>
      <c r="JO3" s="9"/>
      <c r="JP3" s="10"/>
      <c r="JQ3" s="101"/>
      <c r="JR3" s="102" t="s">
        <v>16</v>
      </c>
      <c r="JS3" s="102" t="s">
        <v>17</v>
      </c>
      <c r="JT3" s="102" t="s">
        <v>11</v>
      </c>
      <c r="JU3" s="102" t="s">
        <v>18</v>
      </c>
      <c r="JV3" s="102" t="s">
        <v>34</v>
      </c>
      <c r="JW3" s="102" t="s">
        <v>16</v>
      </c>
      <c r="JX3" s="102" t="s">
        <v>17</v>
      </c>
      <c r="JY3" s="102" t="s">
        <v>11</v>
      </c>
      <c r="JZ3" s="102" t="s">
        <v>18</v>
      </c>
      <c r="KA3" s="102" t="s">
        <v>34</v>
      </c>
      <c r="KB3" s="102" t="s">
        <v>16</v>
      </c>
      <c r="KC3" s="102" t="s">
        <v>17</v>
      </c>
      <c r="KD3" s="102" t="s">
        <v>11</v>
      </c>
      <c r="KE3" s="102" t="s">
        <v>18</v>
      </c>
      <c r="KF3" s="102" t="s">
        <v>34</v>
      </c>
      <c r="KG3" s="102" t="s">
        <v>16</v>
      </c>
      <c r="KH3" s="102" t="s">
        <v>17</v>
      </c>
      <c r="KI3" s="102" t="s">
        <v>11</v>
      </c>
      <c r="KJ3" s="102" t="s">
        <v>18</v>
      </c>
      <c r="KK3" s="102" t="s">
        <v>34</v>
      </c>
      <c r="KL3" s="12"/>
      <c r="KM3" s="12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2"/>
      <c r="KY3" s="12"/>
      <c r="KZ3" s="101" t="s">
        <v>16</v>
      </c>
      <c r="LA3" s="101" t="s">
        <v>17</v>
      </c>
      <c r="LB3" s="101" t="s">
        <v>11</v>
      </c>
      <c r="LC3" s="101" t="s">
        <v>18</v>
      </c>
      <c r="LD3" s="101" t="s">
        <v>34</v>
      </c>
      <c r="LE3" s="101" t="s">
        <v>16</v>
      </c>
      <c r="LF3" s="101" t="s">
        <v>17</v>
      </c>
      <c r="LG3" s="101" t="s">
        <v>11</v>
      </c>
      <c r="LH3" s="101" t="s">
        <v>18</v>
      </c>
      <c r="LI3" s="101" t="s">
        <v>34</v>
      </c>
      <c r="LJ3" s="101" t="s">
        <v>16</v>
      </c>
      <c r="LK3" s="101" t="s">
        <v>17</v>
      </c>
      <c r="LL3" s="101" t="s">
        <v>11</v>
      </c>
      <c r="LM3" s="101" t="s">
        <v>18</v>
      </c>
      <c r="LN3" s="101" t="s">
        <v>34</v>
      </c>
      <c r="LO3" s="101" t="s">
        <v>16</v>
      </c>
      <c r="LP3" s="101" t="s">
        <v>17</v>
      </c>
      <c r="LQ3" s="101" t="s">
        <v>11</v>
      </c>
      <c r="LR3" s="101" t="s">
        <v>18</v>
      </c>
      <c r="LS3" s="101" t="s">
        <v>34</v>
      </c>
      <c r="LT3" s="10"/>
      <c r="LU3" s="10"/>
      <c r="LV3" s="9"/>
      <c r="LW3" s="9"/>
      <c r="LX3" s="9"/>
      <c r="LY3" s="9"/>
      <c r="LZ3" s="9"/>
      <c r="MA3" s="9"/>
      <c r="MB3" s="9"/>
      <c r="MC3" s="9"/>
      <c r="MD3" s="9"/>
      <c r="ME3" s="9"/>
      <c r="MF3" s="10"/>
      <c r="MG3" s="10"/>
      <c r="MH3" s="102" t="s">
        <v>16</v>
      </c>
      <c r="MI3" s="102" t="s">
        <v>17</v>
      </c>
      <c r="MJ3" s="102" t="s">
        <v>11</v>
      </c>
      <c r="MK3" s="102" t="s">
        <v>18</v>
      </c>
      <c r="ML3" s="102" t="s">
        <v>34</v>
      </c>
      <c r="MM3" s="102" t="s">
        <v>16</v>
      </c>
      <c r="MN3" s="102" t="s">
        <v>17</v>
      </c>
      <c r="MO3" s="102" t="s">
        <v>11</v>
      </c>
      <c r="MP3" s="102" t="s">
        <v>18</v>
      </c>
      <c r="MQ3" s="102" t="s">
        <v>34</v>
      </c>
      <c r="MR3" s="102" t="s">
        <v>16</v>
      </c>
      <c r="MS3" s="102" t="s">
        <v>17</v>
      </c>
      <c r="MT3" s="102" t="s">
        <v>11</v>
      </c>
      <c r="MU3" s="102" t="s">
        <v>18</v>
      </c>
      <c r="MV3" s="102" t="s">
        <v>34</v>
      </c>
      <c r="MW3" s="102" t="s">
        <v>16</v>
      </c>
      <c r="MX3" s="102" t="s">
        <v>17</v>
      </c>
      <c r="MY3" s="102" t="s">
        <v>11</v>
      </c>
      <c r="MZ3" s="102" t="s">
        <v>18</v>
      </c>
      <c r="NA3" s="102" t="s">
        <v>34</v>
      </c>
      <c r="NB3" s="12"/>
      <c r="NC3" s="1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2"/>
      <c r="NO3" s="12"/>
      <c r="NP3" s="101" t="s">
        <v>16</v>
      </c>
      <c r="NQ3" s="101" t="s">
        <v>17</v>
      </c>
      <c r="NR3" s="101" t="s">
        <v>11</v>
      </c>
      <c r="NS3" s="101" t="s">
        <v>18</v>
      </c>
      <c r="NT3" s="101" t="s">
        <v>34</v>
      </c>
      <c r="NU3" s="101" t="s">
        <v>16</v>
      </c>
      <c r="NV3" s="101" t="s">
        <v>17</v>
      </c>
      <c r="NW3" s="101" t="s">
        <v>11</v>
      </c>
      <c r="NX3" s="101" t="s">
        <v>18</v>
      </c>
      <c r="NY3" s="101" t="s">
        <v>34</v>
      </c>
      <c r="NZ3" s="101" t="s">
        <v>16</v>
      </c>
      <c r="OA3" s="101" t="s">
        <v>17</v>
      </c>
      <c r="OB3" s="101" t="s">
        <v>11</v>
      </c>
      <c r="OC3" s="101" t="s">
        <v>18</v>
      </c>
      <c r="OD3" s="101" t="s">
        <v>34</v>
      </c>
      <c r="OE3" s="101" t="s">
        <v>16</v>
      </c>
      <c r="OF3" s="101" t="s">
        <v>17</v>
      </c>
      <c r="OG3" s="101" t="s">
        <v>11</v>
      </c>
      <c r="OH3" s="101" t="s">
        <v>18</v>
      </c>
      <c r="OI3" s="101" t="s">
        <v>34</v>
      </c>
      <c r="OJ3" s="10"/>
      <c r="OK3" s="10"/>
      <c r="OL3" s="9"/>
      <c r="OM3" s="9"/>
      <c r="ON3" s="9"/>
      <c r="OO3" s="9"/>
      <c r="OP3" s="9"/>
      <c r="OQ3" s="9"/>
      <c r="OR3" s="9"/>
      <c r="OS3" s="9"/>
      <c r="OT3" s="9"/>
      <c r="OU3" s="9"/>
      <c r="OV3" s="10"/>
      <c r="OW3" s="10"/>
      <c r="OX3" s="102" t="s">
        <v>16</v>
      </c>
      <c r="OY3" s="102" t="s">
        <v>17</v>
      </c>
      <c r="OZ3" s="102" t="s">
        <v>11</v>
      </c>
      <c r="PA3" s="102" t="s">
        <v>18</v>
      </c>
      <c r="PB3" s="102" t="s">
        <v>34</v>
      </c>
      <c r="PC3" s="102" t="s">
        <v>16</v>
      </c>
      <c r="PD3" s="102" t="s">
        <v>17</v>
      </c>
      <c r="PE3" s="102" t="s">
        <v>11</v>
      </c>
      <c r="PF3" s="102" t="s">
        <v>18</v>
      </c>
      <c r="PG3" s="102" t="s">
        <v>34</v>
      </c>
      <c r="PH3" s="102" t="s">
        <v>16</v>
      </c>
      <c r="PI3" s="102" t="s">
        <v>17</v>
      </c>
      <c r="PJ3" s="102" t="s">
        <v>11</v>
      </c>
      <c r="PK3" s="102" t="s">
        <v>18</v>
      </c>
      <c r="PL3" s="102" t="s">
        <v>34</v>
      </c>
      <c r="PM3" s="102" t="s">
        <v>16</v>
      </c>
      <c r="PN3" s="102" t="s">
        <v>17</v>
      </c>
      <c r="PO3" s="102" t="s">
        <v>11</v>
      </c>
      <c r="PP3" s="102" t="s">
        <v>18</v>
      </c>
      <c r="PQ3" s="102" t="s">
        <v>34</v>
      </c>
      <c r="PR3" s="12"/>
      <c r="PS3" s="12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2"/>
      <c r="QE3" s="12"/>
      <c r="QF3" s="101" t="s">
        <v>16</v>
      </c>
      <c r="QG3" s="101" t="s">
        <v>17</v>
      </c>
      <c r="QH3" s="101" t="s">
        <v>11</v>
      </c>
      <c r="QI3" s="101" t="s">
        <v>18</v>
      </c>
      <c r="QJ3" s="101" t="s">
        <v>34</v>
      </c>
      <c r="QK3" s="101" t="s">
        <v>16</v>
      </c>
      <c r="QL3" s="101" t="s">
        <v>17</v>
      </c>
      <c r="QM3" s="101" t="s">
        <v>11</v>
      </c>
      <c r="QN3" s="101" t="s">
        <v>18</v>
      </c>
      <c r="QO3" s="101" t="s">
        <v>34</v>
      </c>
      <c r="QP3" s="101" t="s">
        <v>16</v>
      </c>
      <c r="QQ3" s="101" t="s">
        <v>17</v>
      </c>
      <c r="QR3" s="101" t="s">
        <v>11</v>
      </c>
      <c r="QS3" s="101" t="s">
        <v>18</v>
      </c>
      <c r="QT3" s="101" t="s">
        <v>34</v>
      </c>
      <c r="QU3" s="101" t="s">
        <v>16</v>
      </c>
      <c r="QV3" s="101" t="s">
        <v>17</v>
      </c>
      <c r="QW3" s="101" t="s">
        <v>11</v>
      </c>
      <c r="QX3" s="101" t="s">
        <v>18</v>
      </c>
      <c r="QY3" s="101" t="s">
        <v>34</v>
      </c>
      <c r="QZ3" s="10"/>
      <c r="RA3" s="10"/>
      <c r="RB3" s="9"/>
      <c r="RC3" s="9"/>
      <c r="RD3" s="9"/>
      <c r="RE3" s="9"/>
      <c r="RF3" s="9"/>
      <c r="RG3" s="9"/>
      <c r="RH3" s="9"/>
      <c r="RI3" s="9"/>
      <c r="RJ3" s="9"/>
      <c r="RK3" s="9"/>
      <c r="RL3" s="10"/>
      <c r="RM3" s="10"/>
      <c r="RN3" s="102" t="s">
        <v>16</v>
      </c>
      <c r="RO3" s="102" t="s">
        <v>17</v>
      </c>
      <c r="RP3" s="102" t="s">
        <v>11</v>
      </c>
      <c r="RQ3" s="102" t="s">
        <v>18</v>
      </c>
      <c r="RR3" s="102" t="s">
        <v>34</v>
      </c>
      <c r="RS3" s="102" t="s">
        <v>16</v>
      </c>
      <c r="RT3" s="102" t="s">
        <v>17</v>
      </c>
      <c r="RU3" s="102" t="s">
        <v>11</v>
      </c>
      <c r="RV3" s="102" t="s">
        <v>18</v>
      </c>
      <c r="RW3" s="102" t="s">
        <v>34</v>
      </c>
      <c r="RX3" s="102" t="s">
        <v>16</v>
      </c>
      <c r="RY3" s="102" t="s">
        <v>17</v>
      </c>
      <c r="RZ3" s="102" t="s">
        <v>11</v>
      </c>
      <c r="SA3" s="102" t="s">
        <v>18</v>
      </c>
      <c r="SB3" s="102" t="s">
        <v>34</v>
      </c>
      <c r="SC3" s="102" t="s">
        <v>16</v>
      </c>
      <c r="SD3" s="102" t="s">
        <v>17</v>
      </c>
      <c r="SE3" s="102" t="s">
        <v>11</v>
      </c>
      <c r="SF3" s="102" t="s">
        <v>18</v>
      </c>
      <c r="SG3" s="102" t="s">
        <v>34</v>
      </c>
      <c r="SH3" s="12"/>
      <c r="SI3" s="12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2"/>
      <c r="SU3" s="12"/>
      <c r="SV3" s="101" t="s">
        <v>16</v>
      </c>
      <c r="SW3" s="101" t="s">
        <v>17</v>
      </c>
      <c r="SX3" s="101" t="s">
        <v>11</v>
      </c>
      <c r="SY3" s="101" t="s">
        <v>18</v>
      </c>
      <c r="SZ3" s="101" t="s">
        <v>34</v>
      </c>
      <c r="TA3" s="101" t="s">
        <v>16</v>
      </c>
      <c r="TB3" s="101" t="s">
        <v>17</v>
      </c>
      <c r="TC3" s="101" t="s">
        <v>11</v>
      </c>
      <c r="TD3" s="101" t="s">
        <v>18</v>
      </c>
      <c r="TE3" s="101" t="s">
        <v>34</v>
      </c>
      <c r="TF3" s="101" t="s">
        <v>16</v>
      </c>
      <c r="TG3" s="101" t="s">
        <v>17</v>
      </c>
      <c r="TH3" s="101" t="s">
        <v>11</v>
      </c>
      <c r="TI3" s="101" t="s">
        <v>18</v>
      </c>
      <c r="TJ3" s="101" t="s">
        <v>34</v>
      </c>
      <c r="TK3" s="101" t="s">
        <v>60</v>
      </c>
      <c r="TL3" s="101"/>
      <c r="TM3" s="101"/>
      <c r="TN3" s="101"/>
      <c r="TO3" s="101"/>
      <c r="TP3" s="101"/>
      <c r="TQ3" s="101"/>
      <c r="TR3" s="101"/>
      <c r="TS3" s="101"/>
      <c r="TT3" s="101"/>
      <c r="TU3" s="101"/>
      <c r="TV3" s="101"/>
    </row>
    <row r="4" spans="1:542" x14ac:dyDescent="0.2">
      <c r="A4" s="5" cm="1">
        <f t="array" ref="A4">IF(AND(F4&lt;&gt;"",G4&lt;&gt;""),SUMPRODUCT((F$4:F$15&lt;&gt;"")*(G$4:G$15&lt;&gt;"")*(E$4:E$15&gt;E4))+1,IF(G4&lt;&gt;"",SUMPRODUCT((H$4:H$15="No DD")*(E$4:E$15&gt;E4))+1+SUMPRODUCT((F$4:F$15&lt;&gt;"")*(G$4:G$15&lt;&gt;"")),""))</f>
        <v>1</v>
      </c>
      <c r="B4" s="6" t="s">
        <v>27</v>
      </c>
      <c r="C4" s="7" t="s">
        <v>9</v>
      </c>
      <c r="D4" s="18">
        <v>1997</v>
      </c>
      <c r="E4" s="14">
        <f>SUM(J4:V4)+SUM(J4:T4)*0.0000001+SUM(J4)*0.0000000000001</f>
        <v>250.10627492263052</v>
      </c>
      <c r="F4" s="3" t="str">
        <f>IF(OR(AND(AO4&gt;=AY$17,AO4&lt;&gt;"",AQ4&gt;=AY$21,AQ4&lt;&gt;"",AN4=""),AND(AR4&gt;=AY$17,AR4&lt;&gt;"",AT4&gt;=AY$21,AT4&lt;&gt;"",AN4=""),AND(AV4&gt;=AY$17,AV4&lt;&gt;"",AX4&gt;=AY$21,AX4&lt;&gt;"",AN4=""),AND(BP4&gt;=BZ$17,BP4&lt;&gt;"",BR4&gt;=BZ$21,BR4&lt;&gt;"",BO4=""),AND(BS4&gt;=BZ$17,BS4&lt;&gt;"",BU4&gt;=BZ$21,BU4&lt;&gt;"",BO4=""),AND(BW4&gt;=BZ$17,BW4&lt;&gt;"",BY4&gt;=BZ$21,BY4&lt;&gt;"",BO4=""),AND(CQ4&gt;=DA$17,CQ4&lt;&gt;"",CS4&gt;=DA$21,CS4&lt;&gt;"",CP4=""),AND(CT4&gt;=DA$17,CT4&lt;&gt;"",CV4&gt;=DA$21,CV4&lt;&gt;"",CP4=""),AND(CX4&gt;=DA$17,CX4&lt;&gt;"",CZ4&gt;=DA$21,CZ4&lt;&gt;"",CP4=""),AND(DX4&gt;=EK$17,DX4&lt;&gt;"",DZ4&gt;=EK$21,DZ4&lt;&gt;""),AND(EA4&gt;=EK$17,EA4&lt;&gt;"",EC4&gt;=EK$21,EC4&lt;&gt;""),AND(EE4&gt;=EK$17,EE4&lt;&gt;"",EG4&gt;=EK$21,EG4&lt;&gt;""),AND(EH4&gt;=EK$17,EH4&lt;&gt;"",EJ4&gt;=EK$21,EJ4&lt;&gt;""),AND(FF4&gt;=FS$17,FF4&lt;&gt;"",FH4&gt;=FS$21,FH4&lt;&gt;""),AND(FI4&gt;=FS$17,FI4&lt;&gt;"",FK4&gt;=FS$21,FK4&lt;&gt;""),AND(FM4&gt;=FS$17,FM4&lt;&gt;"",FO4&gt;=FS$21,FO4&lt;&gt;""),AND(FP4&gt;=FS$17,FP4&lt;&gt;"",FR4&gt;=FS$21,FR4&lt;&gt;""),AND(GN4&gt;=HA$17,GN4&lt;&gt;"",GP4&gt;=HA$21,GP4&lt;&gt;""),AND(GQ4&gt;=HA$17,GQ4&lt;&gt;"",GS4&gt;=HA$21,GS4&lt;&gt;""),AND(GU4&gt;=HA$17,GU4&lt;&gt;"",GW4&gt;=HA$21,GW4&lt;&gt;""),AND(GX4&gt;=HA$17,GX4&lt;&gt;"",GZ4&gt;=HA$21,GZ4&lt;&gt;""),AND(HV4&gt;=II$17,HV4&lt;&gt;"",HX4&gt;=II$21,HX4&lt;&gt;""),AND(HY4&gt;=II$17,HY4&lt;&gt;"",IA4&gt;=II$21,IA4&lt;&gt;""),AND(IC4&gt;=II$17,IC4&lt;&gt;"",IE4&gt;=II$21,IE4&lt;&gt;""),AND(IF4&gt;=II$17,IF4&lt;&gt;"",IH4&gt;=II$21,IH4&lt;&gt;""),AND(JD4&gt;=JQ$17,JD4&lt;&gt;"",JF4&gt;=JQ$21,JF4&lt;&gt;""),AND(JG4&gt;=JQ$17,JG4&lt;&gt;"",JI4&gt;=JQ$21,JI4&lt;&gt;""),AND(JK4&gt;=JQ$17,JK4&lt;&gt;"",JM4&gt;=JQ$21,JM4&lt;&gt;""),AND(JN4&gt;=JQ$17,JN4&lt;&gt;"",JP4&gt;=JQ$21,JP4&lt;&gt;""),AND(KL4&gt;=KY$17,KL4&lt;&gt;"",KN4&gt;=KY$21,KN4&lt;&gt;""),AND(KO4&gt;=KY$17,KO4&lt;&gt;"",KQ4&gt;=KY$21,KQ4&lt;&gt;""),AND(KS4&gt;=KY$17,KS4&lt;&gt;"",KU4&gt;=KY$21,KU4&lt;&gt;""),AND(KV4&gt;=KY$17,KV4&lt;&gt;"",KX4&gt;=KY$21,KX4&lt;&gt;""),AND(LT4&gt;=MG$17,LT4&lt;&gt;"",LV4&gt;=MG$21,LV4&lt;&gt;""),AND(LW4&gt;=MG$17,LW4&lt;&gt;"",LY4&gt;=MG$21,LY4&lt;&gt;""),AND(MA4&gt;=MG$17,MA4&lt;&gt;"",MC4&gt;=MG$21,MC4&lt;&gt;""),AND(MD4&gt;=MG$17,MD4&lt;&gt;"",MF4&gt;=MG$21,MF4&lt;&gt;""),AND(NB4&gt;=NO$17,NB4&lt;&gt;"",ND4&gt;=NO$21,ND4&lt;&gt;""),AND(NE4&gt;=NO$17,NE4&lt;&gt;"",NG4&gt;=NO$21,NG4&lt;&gt;""),AND(NI4&gt;=NO$17,NI4&lt;&gt;"",NK4&gt;=NO$21,NK4&lt;&gt;""),AND(NL4&gt;=NO$17,NL4&lt;&gt;"",NN4&gt;=NO$21,NN4&lt;&gt;""),AND(OJ4&gt;=OW$17,OJ4&lt;&gt;"",OL4&gt;=OW$21,OL4&lt;&gt;""),AND(OM4&gt;=OW$17,OM4&lt;&gt;"",OO4&gt;=OW$21,OO4&lt;&gt;""),AND(OQ4&gt;=OW$17,OQ4&lt;&gt;"",OS4&gt;=OW$21,OS4&lt;&gt;""),AND(OT4&gt;=OW$17,OT4&lt;&gt;"",OV4&gt;=OW$21,OV4&lt;&gt;""),AND(PR4&gt;=QE$17,PR4&lt;&gt;"",PT4&gt;=QE$21,PT4&lt;&gt;""),AND(PU4&gt;=QE$17,PU4&lt;&gt;"",PW4&gt;=QE$21,PW4&lt;&gt;""),AND(PY4&gt;=QE$17,PY4&lt;&gt;"",QA4&gt;=QE$21,QA4&lt;&gt;""),AND(QB4&gt;=QE$17,QB4&lt;&gt;"",QD4&gt;=QE$21,QD4&lt;&gt;""),AND(QZ4&gt;=RM$17,QZ4&lt;&gt;"",RB4&gt;=RM$21,RB4&lt;&gt;""),AND(RC4&gt;=RM$17,RC4&lt;&gt;"",RE4&gt;=RM$21,RE4&lt;&gt;""),AND(RG4&gt;=RM$17,RG4&lt;&gt;"",RI4&gt;=RM$21,RI4&lt;&gt;""),AND(RJ4&gt;=RM$17,RJ4&lt;&gt;"",RL4&gt;=RM$21,RL4&lt;&gt;""),AND(SH4&gt;=SU$17,SH4&lt;&gt;"",SJ4&gt;=SU$21,SJ4&lt;&gt;""),AND(SK4&gt;=SU$17,SK4&lt;&gt;"",SM4&gt;=SU$21,SM4&lt;&gt;""),AND(SO4&gt;=SU$17,SO4&lt;&gt;"",SQ4&gt;=SU$21,SQ4&lt;&gt;""),AND(SR4&gt;=SU$17,SR4&lt;&gt;"",ST4&gt;=SU$21,ST4&lt;&gt;"")),"P","")</f>
        <v>P</v>
      </c>
      <c r="G4" s="3" t="str">
        <f>IF(OR(AND(AQ4&gt;=AY$21,AQ4&lt;&gt;"",AN4=""),AND(AT4&gt;=AY$21,AT4&lt;&gt;"",AN4=""),AND(AX4&gt;=AY$21,AX4&lt;&gt;"",AN4=""),AND(BR4&gt;=BZ$21,BR4&lt;&gt;"",BO4=""),AND(BU4&gt;=BZ$21,BU4&lt;&gt;"",BO4=""),AND(BY4&gt;=BZ$21,BY4&lt;&gt;"",BO4=""),AND(CS4&gt;=DA$21,CS4&lt;&gt;"",CP4=""),AND(CV4&gt;=DA$21,CV4&lt;&gt;"",CP4=""),AND(CZ4&gt;=DA$21,CZ4&lt;&gt;"",CP4=""),AND(DZ4&gt;=EK$21,DZ4&lt;&gt;""),AND(EC4&gt;=EK$21,EC4&lt;&gt;""),AND(EG4&gt;=EK$21,EG4&lt;&gt;""),AND(EJ4&gt;=EK$21,EJ4&lt;&gt;""),AND(FH4&gt;=FS$21,FH4&lt;&gt;""),AND(FK4&gt;=FS$21,FK4&lt;&gt;""),AND(FO4&gt;=FS$21,FO4&lt;&gt;""),AND(FR4&gt;=FS$21,FR4&lt;&gt;""),AND(GP4&gt;=HA$21,GP4&lt;&gt;""),AND(GS4&gt;=HA$21,GS4&lt;&gt;""),AND(GW4&gt;=HA$21,GW4&lt;&gt;""),AND(GZ4&gt;=HA$21,GZ4&lt;&gt;""),AND(HX4&gt;=II$21,HX4&lt;&gt;""),AND(IA4&gt;=II$21,IA4&lt;&gt;""),AND(IE4&gt;=II$21,IE4&lt;&gt;""),AND(IH4&gt;=II$21,IH4&lt;&gt;""),AND(JF4&gt;=JQ$21,JF4&lt;&gt;""),AND(JI4&gt;=JQ$21,JI4&lt;&gt;""),AND(JM4&gt;=JQ$21,JM4&lt;&gt;""),AND(JP4&gt;=JQ$21,JP4&lt;&gt;""),AND(KN4&gt;=KY$21,KN4&lt;&gt;""),AND(KQ4&gt;=KY$21,KQ4&lt;&gt;""),AND(KU4&gt;=KY$21,KU4&lt;&gt;""),AND(KX4&gt;=KY$21,KX4&lt;&gt;""),AND(LV4&gt;=MG$21,LV4&lt;&gt;""),AND(LY4&gt;=MG$21,LY4&lt;&gt;""),AND(MC4&gt;=MG$21,MC4&lt;&gt;""),AND(MF4&gt;=MG$21,MF4&lt;&gt;""),AND(ND4&gt;=NO$21,ND4&lt;&gt;""),AND(NG4&gt;=NO$21,NG4&lt;&gt;""),AND(NK4&gt;=NO$21,NK4&lt;&gt;""),AND(NN4&gt;=NO$21,NN4&lt;&gt;""),AND(OL4&gt;=OW$21,OL4&lt;&gt;""),AND(OO4&gt;=OW$21,OO4&lt;&gt;""),AND(OS4&gt;=OW$21,OS4&lt;&gt;""),AND(OV4&gt;=OW$21,OV4&lt;&gt;""),AND(PT4&gt;=QE$21,PT4&lt;&gt;""),AND(PW4&gt;=QE$21,PW4&lt;&gt;""),AND(QA4&gt;=QE$21,QA4&lt;&gt;""),AND(QD4&gt;=QE$21,QD4&lt;&gt;""),AND(RB4&gt;=RM$21,RB4&lt;&gt;""),AND(RE4&gt;=RM$21,RE4&lt;&gt;""),AND(RI4&gt;=RM$21,RI4&lt;&gt;""),AND(RL4&gt;=RM$21,RL4&lt;&gt;""),AND(SJ4&gt;=SU$21,SJ4&lt;&gt;""),AND(SM4&gt;=SU$21,SM4&lt;&gt;""),AND(SQ4&gt;=SU$21,SQ4&lt;&gt;""),AND(ST4&gt;=SU$21,ST4&lt;&gt;"")),"P","")</f>
        <v>P</v>
      </c>
      <c r="H4" s="70" t="str">
        <f>IF(AND(G4="P",F4=""),"No DD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Merit",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),"Excellence",IF(I4="P","Worlds Team",IF(F4="P","National Team","")))))</f>
        <v>Merit</v>
      </c>
      <c r="I4" s="3" t="str">
        <f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),"P","")</f>
        <v>P</v>
      </c>
      <c r="J4" s="13">
        <f>IF(COUNT(AQ4,AT4,BR4,BU4,CS4,CV4)&gt;0,LARGE((AQ4,AT4,BR4,BU4,CS4,CV4),1),0)</f>
        <v>55.284999999999997</v>
      </c>
      <c r="K4" s="13" t="str">
        <f>IF(J4="","",IF(OR(J4=CS4,J4=CV4),$CA$1,IF(OR(J4=BR4,J4=BU4),$AZ$1,IF(OR(J4=AQ4,J4=AT4),$Y$1,""))))</f>
        <v>2021 Canadian Championships</v>
      </c>
      <c r="L4" s="13">
        <f>IF(COUNT(AQ4,AT4,BR4,BU4,CS4,CV4)&gt;1,LARGE((AQ4,AT4,BR4,BU4,CS4,CV4),2),0)</f>
        <v>54.808749999999996</v>
      </c>
      <c r="M4" s="13" t="str">
        <f>IF(L4="","",IF(OR(L4=CS4,L4=CV4),$CA$1,IF(OR(L4=BR4,L4=BU4),$AZ$1,IF(OR(L4=AQ4,L4=AT4),$Y$1,""))))</f>
        <v>2022 Elite Canada</v>
      </c>
      <c r="N4" s="13">
        <f>IF(COUNT(AQ4,AT4,BR4,BU4,CS4,CV4)&gt;2,LARGE((AQ4,AT4,BR4,BU4,CS4,CV4),3),0)</f>
        <v>54.555000000000007</v>
      </c>
      <c r="O4" s="13" t="str">
        <f>IF(N4="","",IF(OR(N4=CS4,N4=CV4),$CA$1,IF(OR(N4=BR4,N4=BU4),$AZ$1,IF(OR(N4=AQ4,N4=AT4),$Y$1,""))))</f>
        <v>2021 Canadian Championships</v>
      </c>
      <c r="P4" s="13">
        <f>IF(MAX(AX4,BY4,CZ4)&gt;0,MAX(AX4,BY4,CZ4),0)</f>
        <v>54.519999999999996</v>
      </c>
      <c r="Q4" s="13" t="str">
        <f>IF(P4="","",IF(P4=CZ4,$CA$1,IF(P4=BY4,$AZ$1,IF(P4=AX4,$Y$1,""))))</f>
        <v>2021 Canadian Championships</v>
      </c>
      <c r="R4" s="13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14.4</v>
      </c>
      <c r="S4" s="13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2021 Canadian Championships</v>
      </c>
      <c r="T4" s="13">
        <f>IF(MAX(IF(AO4&gt;=$AY$17,AP4,0),IF(AR4&gt;=$AY$17,AS4,0),IF(AV4&gt;=$AY$17,AW4,0),IF(BP4&gt;=$BZ$17,BQ4,0),IF(BS4&gt;=$BZ$17,BT4,0),IF(BW4&gt;=$BZ$17,BX4,0),IF(CQ4&gt;=$DA$17,CR4,0),IF(CT4&gt;=$DA$17,CU4,0),IF(CX4&gt;=$DA$17,CY4,0))&gt;0,MAX(IF(AO4&gt;=$AY$17,AP4,0),IF(AR4&gt;=$AY$17,AS4,0),IF(AV4&gt;=$AY$17,AW4,0),IF(BP4&gt;=$BZ$17,BQ4,0),IF(BS4&gt;=$BZ$17,BT4,0),IF(BW4&gt;=$BZ$17,BX4,0),IF(CQ4&gt;=$DA$17,CR4,0),IF(CT4&gt;=$DA$17,CU4,0),IF(CX4&gt;=$DA$17,CY4,0),IF(DX4&gt;=$EK$17,DY4,0),IF(EA4&gt;=$EK$17,EB4,0),IF(EE4&gt;=$EK$17,EF4,0),IF(EH4&gt;=$EK$17,EI4,0),IF(FF4&gt;=$FS$17,FG4,0),IF(FI4&gt;=$FS$17,FJ4,0),IF(FM4&gt;=$FS$17,FN4,0),IF(FP4&gt;=$FS$17,FQ4,0),IF(GN4&gt;=$HA$17,GO4,0),IF(GQ4&gt;=$HA$17,GR4,0),IF(GU4&gt;=$HA$17,GV4,0),IF(GX4&gt;=$HA$17,GY4,0),IF(HV4&gt;=$II$17,HW4,0),IF(HY4&gt;=$II$17,HZ4,0),IF(IC4&gt;=$II$17,ID4,0),IF(IF4&gt;=$II$17,IG4,0),IF(JD4&gt;=$JQ$17,JE4,0),IF(JG4&gt;=$JQ$17,JH4,0),IF(JK4&gt;=$JQ$17,JL4,0),IF(JN4&gt;=$JQ$17,JO4,0),IF(KL4&gt;=$KY$17,KM4,0),IF(KO4&gt;=$KY$17,KP4,0),IF(KS4&gt;=$KY$17,KT4,0),IF(KV4&gt;=$KY$17,KW4,0),IF(LT4&gt;=$MG$17,LU4,0),IF(LW4&gt;=$MG$17,LX4,0),IF(MA4&gt;=$MG$17,MB4,0),IF(MD4&gt;=$MG$17,ME4,0),IF(NB4&gt;=$NO$17,NC4,0),IF(NE4&gt;=$NO$17,NF4,0),IF(NI4&gt;=$NO$17,NJ4,0),IF(NL4&gt;=$NO$17,NM4,0),IF(OJ4&gt;=$OW$17,OK4,0),IF(OM4&gt;=$OW$17,ON4,0),IF(OQ4&gt;=$OW$17,OR4,0),IF(OT4&gt;=$OW$17,OU4,0),IF(PR4&gt;=$QE$17,PS4,0),IF(PU4&gt;=$QE$17,PV4,0),IF(PY4&gt;=$QE$17,PZ4,0),IF(QB4&gt;=$QE$17,QC4,0),IF(QZ4&gt;=$RM$17,RA4,0),IF(RC4&gt;=$RM$17,RD4,0),IF(RG4&gt;=$RM$17,RH4,0),IF(RJ4&gt;=$RM$17,RK4,0),IF(SH4&gt;=$SU$17,SI4,0),IF(SK4&gt;=$SU$17,SL4,0),IF(SO4&gt;=$SU$17,SP4,0),IF(SR4&gt;=$SU$17,SS4,0)),0)</f>
        <v>15.657499999999999</v>
      </c>
      <c r="U4" s="13" t="str">
        <f>IF(T4=0,"",IF(OR(T4=CR4,T4=CU4,T4=CY4),$CA$1,IF(OR(T4=BQ4,T4=BT4,T4=BX4),$AZ$1,IF(OR(T4=AP4,T4=AS4,T4=AW4),$Y$1,IF(OR(R4=SI4,R4=SL4,R4=SP4,R4=SS4),$RN$1,IF(OR(R4=RA4,R4=RD4,R4=RH4,R4=RK4),$QF$1,IF(OR(R4=PS4,R4=PV4,R4=PZ4,R4=QC4),$OX$1,IF(OR(R4=OK4,R4=ON4,R4=OR4,R4=OU4),$NP$1,IF(OR(R4=NC4,R4=NF4,R4=NJ4,R4=NM4),$MH$1,IF(OR(R4=LU4,R4=LX4,R4=MB4,R4=ME4),$KZ$1,IF(OR(R4=KM4,R4=KP4,R4=KT4,R4=KW4),$JR$1,IF(OR(R4=JE4,R4=JH4,R4=JL4,R4=JO4),$IJ$1,IF(OR(R4=HW4,R4=HZ4,R4=ID4,R4=IG4),$HB$1,IF(OR(R4=GO4,R4=GR4,R4=GV4,R4=GY4),$FT$1,IF(OR(R4=FG4,R4=FJ4,R4=FN4,R4=FQ4),$EL$1,IF(OR(R4=DY4,R4=EB4,R4=EF4,R4=EI4),$DD$1,""))))))))))))))))</f>
        <v>2021 Elite Canada</v>
      </c>
      <c r="V4" s="13">
        <f>IF(MAX(DB4,DC4)&gt;0,MAX(DB4,DC4),"")</f>
        <v>0.88000000000000256</v>
      </c>
      <c r="W4" s="16" t="str">
        <f>IF(V4="","",IF(V4=DB4,"("&amp;DB$2&amp;")",IF(V4=DC4,"("&amp;DC$2&amp;")")))</f>
        <v>(Final)</v>
      </c>
      <c r="X4" s="13" t="str">
        <f>IF(V4="","",IF(V4=DB4,IF(V4+IF(L4="",0,L4)=SN4,$RN$1,IF(V4+IF(L4="",0,L4)=RF4,$QF$1,IF(V4+IF(L4="",0,L4)=PX4,$OX$1,IF(V4+IF(L4="",0,L4)=OP4,$NP$1,IF(V4+IF(L4="",0,L4)=NH4,$MH$1,IF(V4+IF(L4="",0,L4)=LZ4,$KZ$1,IF(V4+IF(L4="",0,L4)=KR4,$JR$1,IF(V4+IF(L4="",0,L4)=JJ4,$IJ$1,IF(V4+IF(L4="",0,L4)=IB4,$HB$1,IF(V4+IF(L4="",0,L4)=GT4,$FT$1,IF(V4+IF(L4="",0,L4)=FL4,$EL$1,IF(V4+IF(L4="",0,L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$1)))))))))))))))</f>
        <v>2021 World Cup ITA/Olympic Technical Trial (June 4/9)</v>
      </c>
      <c r="Y4" s="42">
        <v>16.399999999999999</v>
      </c>
      <c r="Z4" s="42">
        <v>8.9750000000000014</v>
      </c>
      <c r="AA4" s="42">
        <v>13.3</v>
      </c>
      <c r="AB4" s="42">
        <v>15.657499999999999</v>
      </c>
      <c r="AC4" s="42">
        <v>0</v>
      </c>
      <c r="AD4" s="42">
        <v>12.05</v>
      </c>
      <c r="AE4" s="42">
        <v>6.8</v>
      </c>
      <c r="AF4" s="42">
        <v>10.8</v>
      </c>
      <c r="AG4" s="42">
        <v>11.727499999999999</v>
      </c>
      <c r="AH4" s="42">
        <v>0</v>
      </c>
      <c r="AI4" s="42">
        <v>15.15</v>
      </c>
      <c r="AJ4" s="42">
        <v>9.1999999999999993</v>
      </c>
      <c r="AK4" s="42">
        <v>13.45</v>
      </c>
      <c r="AL4" s="42">
        <v>15.18</v>
      </c>
      <c r="AM4" s="42">
        <v>0</v>
      </c>
      <c r="AN4" s="51" t="s">
        <v>61</v>
      </c>
      <c r="AO4" s="74">
        <f>IF(AA4&gt;0,AA4,"")</f>
        <v>13.3</v>
      </c>
      <c r="AP4" s="74">
        <f>IF(AB4&gt;0,AB4,"")</f>
        <v>15.657499999999999</v>
      </c>
      <c r="AQ4" s="76">
        <f>IF(SUM(Y4:AB4)-AC4&gt;0,SUM(Y4:AB4)-AC4,"")</f>
        <v>54.332499999999996</v>
      </c>
      <c r="AR4" s="76">
        <f>IF(AF4&gt;0,AF4,"")</f>
        <v>10.8</v>
      </c>
      <c r="AS4" s="76">
        <f>IF(AG4&gt;0,AG4,"")</f>
        <v>11.727499999999999</v>
      </c>
      <c r="AT4" s="76">
        <f>IF(SUM(AD4:AG4)-AH4&gt;0,SUM(AD4:AG4)-AH4,"")</f>
        <v>41.377499999999998</v>
      </c>
      <c r="AU4" s="76">
        <f>IF(AQ4="","",MAX(AQ4,AT4))</f>
        <v>54.332499999999996</v>
      </c>
      <c r="AV4" s="76">
        <f>IF(AK4&gt;0,AK4,"")</f>
        <v>13.45</v>
      </c>
      <c r="AW4" s="76">
        <f>IF(AL4&gt;0,AL4,"")</f>
        <v>15.18</v>
      </c>
      <c r="AX4" s="76">
        <f>IF(SUM(AI4:AL4)-AM4&gt;0,SUM(AI4:AL4)-AM4,"")</f>
        <v>52.98</v>
      </c>
      <c r="AY4" s="76">
        <f>IF(SUM(AU4,AX4)&gt;0,SUM(AU4,AX4),"")</f>
        <v>107.3125</v>
      </c>
      <c r="AZ4" s="46">
        <v>16.2</v>
      </c>
      <c r="BA4" s="46">
        <v>9.1999999999999993</v>
      </c>
      <c r="BB4" s="46">
        <v>14.4</v>
      </c>
      <c r="BC4" s="46">
        <v>15.484999999999999</v>
      </c>
      <c r="BD4" s="46">
        <v>0</v>
      </c>
      <c r="BE4" s="46">
        <v>15.9</v>
      </c>
      <c r="BF4" s="46">
        <v>8.9</v>
      </c>
      <c r="BG4" s="46">
        <v>14.4</v>
      </c>
      <c r="BH4" s="46">
        <v>15.355</v>
      </c>
      <c r="BI4" s="46">
        <v>0</v>
      </c>
      <c r="BJ4" s="46">
        <v>16.2</v>
      </c>
      <c r="BK4" s="46">
        <v>9.1999999999999993</v>
      </c>
      <c r="BL4" s="46">
        <v>13.6</v>
      </c>
      <c r="BM4" s="46">
        <v>15.52</v>
      </c>
      <c r="BN4" s="46">
        <v>0</v>
      </c>
      <c r="BO4" s="52"/>
      <c r="BP4" s="75">
        <f>IF(BB4&gt;0,BB4,"")</f>
        <v>14.4</v>
      </c>
      <c r="BQ4" s="75">
        <f>IF(BC4&gt;0,BC4,"")</f>
        <v>15.484999999999999</v>
      </c>
      <c r="BR4" s="16">
        <f>IF(SUM(AZ4:BC4)-BD4&gt;0,SUM(AZ4:BC4)-BD4,"")</f>
        <v>55.284999999999997</v>
      </c>
      <c r="BS4" s="16">
        <f>IF(BG4&gt;0,BG4,"")</f>
        <v>14.4</v>
      </c>
      <c r="BT4" s="16">
        <f>IF(BH4&gt;0,BH4,"")</f>
        <v>15.355</v>
      </c>
      <c r="BU4" s="16">
        <f>IF(SUM(BE4:BH4)-BI4&gt;0,SUM(BE4:BH4)-BI4,"")</f>
        <v>54.555000000000007</v>
      </c>
      <c r="BV4" s="16">
        <f>IF(BR4="","",MAX(BR4,BU4))</f>
        <v>55.284999999999997</v>
      </c>
      <c r="BW4" s="16">
        <f>IF(BL4&gt;0,BL4,"")</f>
        <v>13.6</v>
      </c>
      <c r="BX4" s="16">
        <f>IF(BM4&gt;0,BM4,"")</f>
        <v>15.52</v>
      </c>
      <c r="BY4" s="16">
        <f>IF(SUM(BJ4:BM4)-BN4&gt;0,SUM(BJ4:BM4)-BN4,"")</f>
        <v>54.519999999999996</v>
      </c>
      <c r="BZ4" s="16">
        <f>IF(SUM(BV4,BY4)&gt;0,SUM(BV4,BY4),"")</f>
        <v>109.80499999999999</v>
      </c>
      <c r="CA4" s="42">
        <v>16.299999999999997</v>
      </c>
      <c r="CB4" s="42">
        <v>9.0875000000000004</v>
      </c>
      <c r="CC4" s="42">
        <v>13.850000000000001</v>
      </c>
      <c r="CD4" s="42">
        <v>15.571249999999999</v>
      </c>
      <c r="CE4" s="42">
        <v>0</v>
      </c>
      <c r="CF4" s="42">
        <v>13.975000000000001</v>
      </c>
      <c r="CG4" s="42">
        <v>7.85</v>
      </c>
      <c r="CH4" s="42">
        <v>12.600000000000001</v>
      </c>
      <c r="CI4" s="42">
        <v>13.54125</v>
      </c>
      <c r="CJ4" s="42">
        <v>0</v>
      </c>
      <c r="CK4" s="42">
        <v>15.675000000000001</v>
      </c>
      <c r="CL4" s="42">
        <v>9.1999999999999993</v>
      </c>
      <c r="CM4" s="42">
        <v>13.524999999999999</v>
      </c>
      <c r="CN4" s="42">
        <v>15.35</v>
      </c>
      <c r="CO4" s="42">
        <v>0</v>
      </c>
      <c r="CP4" s="51" t="s">
        <v>61</v>
      </c>
      <c r="CQ4" s="74">
        <f>IF(CC4&gt;0,CC4,"")</f>
        <v>13.850000000000001</v>
      </c>
      <c r="CR4" s="74">
        <f>IF(CD4&gt;0,CD4,"")</f>
        <v>15.571249999999999</v>
      </c>
      <c r="CS4" s="76">
        <f>IF(SUM(CA4:CD4)-CE4&gt;0,SUM(CA4:CD4)-CE4,"")</f>
        <v>54.808749999999996</v>
      </c>
      <c r="CT4" s="76">
        <f>IF(CH4&gt;0,CH4,"")</f>
        <v>12.600000000000001</v>
      </c>
      <c r="CU4" s="76">
        <f>IF(CI4&gt;0,CI4,"")</f>
        <v>13.54125</v>
      </c>
      <c r="CV4" s="76">
        <f>IF(SUM(CF4:CI4)-CJ4&gt;0,SUM(CF4:CI4)-CJ4,"")</f>
        <v>47.966250000000002</v>
      </c>
      <c r="CW4" s="76">
        <f>IF(CS4="","",MAX(CS4,CV4))</f>
        <v>54.808749999999996</v>
      </c>
      <c r="CX4" s="76">
        <f>IF(CM4&gt;0,CM4,"")</f>
        <v>13.524999999999999</v>
      </c>
      <c r="CY4" s="76">
        <f>IF(CN4&gt;0,CN4,"")</f>
        <v>15.35</v>
      </c>
      <c r="CZ4" s="76">
        <f>IF(SUM(CK4:CN4)-CO4&gt;0,SUM(CK4:CN4)-CO4,"")</f>
        <v>53.75</v>
      </c>
      <c r="DA4" s="76">
        <f>IF(SUM(CW4,CZ4)&gt;0,SUM(CW4,CZ4),"")</f>
        <v>108.55875</v>
      </c>
      <c r="DB4" s="87">
        <f>IF(L4&gt;=0.001,IF(MAX(ED4,FL4,GT4,IB4,JJ4,KR4,LZ4,NH4,OP4,PX4,RF4,SN4)-IF(L4="",0,L4)&gt;0.001,MAX(ED4,FL4,GT4,IB4,JJ4,KR4,LZ4,NH4,OP4,PX4,RF4,SN4)-IF(L4="",0,L4),""),"")</f>
        <v>9.1250000000002274E-2</v>
      </c>
      <c r="DC4" s="87">
        <f>IF(P4&gt;=0.001,IF(MAX(EG4,EJ4,FO4,FR4,GW4,GZ4,IE4,IH4,JM4,JP4,KU4,KX4,MC4,MF4,NK4,NN4,OS4,OV4,QA4,QD4,RI4,RL4,SQ4,ST4)-IF(P4="",0,P4)&gt;0.001,MAX(EG4,EJ4,FO4,FR4,GW4,GZ4,IE4,IH4,JM4,JP4,KU4,KX4,MC4,MF4,NK4,NN4,OS4,OV4,QA4,QD4,RI4,RL4,SQ4,ST4)-IF(P4="",0,P4),""),"")</f>
        <v>0.88000000000000256</v>
      </c>
      <c r="DD4" s="25">
        <v>15.7</v>
      </c>
      <c r="DE4" s="25">
        <v>9.1999999999999993</v>
      </c>
      <c r="DF4" s="25">
        <v>14.4</v>
      </c>
      <c r="DG4" s="25">
        <v>15.6</v>
      </c>
      <c r="DH4" s="25">
        <v>0</v>
      </c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>
        <v>16.100000000000001</v>
      </c>
      <c r="DT4" s="25">
        <v>9.5</v>
      </c>
      <c r="DU4" s="25">
        <v>14.4</v>
      </c>
      <c r="DV4" s="25">
        <v>15.4</v>
      </c>
      <c r="DW4" s="25">
        <v>0</v>
      </c>
      <c r="DX4" s="76">
        <f>IF(DF4&gt;0,DF4,"")</f>
        <v>14.4</v>
      </c>
      <c r="DY4" s="76">
        <f>IF(DG4&gt;0,DG4,"")</f>
        <v>15.6</v>
      </c>
      <c r="DZ4" s="76">
        <f>IF(SUM(DD4:DG4)-DH4&gt;0,SUM(DD4:DG4)-DH4,"")</f>
        <v>54.9</v>
      </c>
      <c r="EA4" s="76" t="str">
        <f>IF(DK4&gt;0,DK4,"")</f>
        <v/>
      </c>
      <c r="EB4" s="76" t="str">
        <f>IF(DL4&gt;0,DL4,"")</f>
        <v/>
      </c>
      <c r="EC4" s="76" t="str">
        <f>IF(SUM(DI4:DL4)-DM4&gt;0,SUM(DI4:DL4)-DM4,"")</f>
        <v/>
      </c>
      <c r="ED4" s="76">
        <f>IF(MAX(DZ4,EC4)&gt;0,MAX(DZ4,EC4),"")</f>
        <v>54.9</v>
      </c>
      <c r="EE4" s="76" t="str">
        <f>IF(DP4&gt;0,DP4,"")</f>
        <v/>
      </c>
      <c r="EF4" s="76" t="str">
        <f>IF(DQ4&gt;0,DQ4,"")</f>
        <v/>
      </c>
      <c r="EG4" s="76" t="str">
        <f>IF(SUM(DN4:DQ4)-DR4&gt;0,SUM(DN4:DQ4)-DR4,"")</f>
        <v/>
      </c>
      <c r="EH4" s="76">
        <f>IF(DU4&gt;0,DU4,"")</f>
        <v>14.4</v>
      </c>
      <c r="EI4" s="76">
        <f>IF(DV4&gt;0,DV4,"")</f>
        <v>15.4</v>
      </c>
      <c r="EJ4" s="76">
        <f>IF(SUM(DS4:DV4)-DW4&gt;0,SUM(DS4:DV4)-DW4,"")</f>
        <v>55.4</v>
      </c>
      <c r="EK4" s="76">
        <f>IF(SUM(ED4,EJ4)&gt;0,SUM(ED4,EJ4),"")</f>
        <v>110.3</v>
      </c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16" t="str">
        <f>IF(EN4&gt;0,EN4,"")</f>
        <v/>
      </c>
      <c r="FG4" s="16" t="str">
        <f>IF(EO4&gt;0,EO4,"")</f>
        <v/>
      </c>
      <c r="FH4" s="16" t="str">
        <f>IF(SUM(EL4:EO4)-EP4&gt;0,SUM(EL4:EO4)-EP4,"")</f>
        <v/>
      </c>
      <c r="FI4" s="16" t="str">
        <f>IF(ES4&gt;0,ES4,"")</f>
        <v/>
      </c>
      <c r="FJ4" s="16" t="str">
        <f>IF(ET4&gt;0,ET4,"")</f>
        <v/>
      </c>
      <c r="FK4" s="16" t="str">
        <f>IF(SUM(EQ4:ET4)-EU4&gt;0,SUM(EQ4:ET4)-EU4,"")</f>
        <v/>
      </c>
      <c r="FL4" s="16" t="str">
        <f>IF(MAX(FH4,FK4)&gt;0,MAX(FH4,FK4),"")</f>
        <v/>
      </c>
      <c r="FM4" s="16" t="str">
        <f>IF(EX4&gt;0,EX4,"")</f>
        <v/>
      </c>
      <c r="FN4" s="16" t="str">
        <f>IF(EY4&gt;0,EY4,"")</f>
        <v/>
      </c>
      <c r="FO4" s="16" t="str">
        <f>IF(SUM(EV4:EY4)-EZ4&gt;0,SUM(EV4:EY4)-EZ4,"")</f>
        <v/>
      </c>
      <c r="FP4" s="16" t="str">
        <f>IF(FC4&gt;0,FC4,"")</f>
        <v/>
      </c>
      <c r="FQ4" s="16" t="str">
        <f>IF(FD4&gt;0,FD4,"")</f>
        <v/>
      </c>
      <c r="FR4" s="16" t="str">
        <f>IF(SUM(FA4:FD4)-FE4&gt;0,SUM(FA4:FD4)-FE4,"")</f>
        <v/>
      </c>
      <c r="FS4" s="16" t="str">
        <f>IF(SUM(FL4,FR4)&gt;0,SUM(FL4,FR4),"")</f>
        <v/>
      </c>
      <c r="FT4" s="25">
        <v>15.4</v>
      </c>
      <c r="FU4" s="25">
        <v>9.1999999999999993</v>
      </c>
      <c r="FV4" s="25">
        <v>13.3</v>
      </c>
      <c r="FW4" s="25">
        <v>15.154999999999999</v>
      </c>
      <c r="FX4" s="25">
        <v>0</v>
      </c>
      <c r="FY4" s="25"/>
      <c r="FZ4" s="25"/>
      <c r="GA4" s="25"/>
      <c r="GB4" s="25"/>
      <c r="GC4" s="25"/>
      <c r="GD4" s="25">
        <v>15.2</v>
      </c>
      <c r="GE4" s="25">
        <v>9.1</v>
      </c>
      <c r="GF4" s="25">
        <v>14.4</v>
      </c>
      <c r="GG4" s="25">
        <v>15.21</v>
      </c>
      <c r="GH4" s="25">
        <v>0</v>
      </c>
      <c r="GI4" s="25">
        <v>14.9</v>
      </c>
      <c r="GJ4" s="25">
        <v>9.1</v>
      </c>
      <c r="GK4" s="25">
        <v>11.9</v>
      </c>
      <c r="GL4" s="25">
        <v>14.984999999999999</v>
      </c>
      <c r="GM4" s="25"/>
      <c r="GN4" s="76">
        <f>IF(FV4&gt;0,FV4,"")</f>
        <v>13.3</v>
      </c>
      <c r="GO4" s="76">
        <f>IF(FW4&gt;0,FW4,"")</f>
        <v>15.154999999999999</v>
      </c>
      <c r="GP4" s="76">
        <f>IF(SUM(FT4:FW4)-FX4&gt;0,SUM(FT4:FW4)-FX4,"")</f>
        <v>53.055000000000007</v>
      </c>
      <c r="GQ4" s="76" t="str">
        <f>IF(GA4&gt;0,GA4,"")</f>
        <v/>
      </c>
      <c r="GR4" s="76" t="str">
        <f>IF(GB4&gt;0,GB4,"")</f>
        <v/>
      </c>
      <c r="GS4" s="76" t="str">
        <f>IF(SUM(FY4:GB4)-GC4&gt;0,SUM(FY4:GB4)-GC4,"")</f>
        <v/>
      </c>
      <c r="GT4" s="76">
        <f>IF(MAX(GP4,GS4)&gt;0,MAX(GP4,GS4),"")</f>
        <v>53.055000000000007</v>
      </c>
      <c r="GU4" s="76">
        <f>IF(GF4&gt;0,GF4,"")</f>
        <v>14.4</v>
      </c>
      <c r="GV4" s="76">
        <f>IF(GG4&gt;0,GG4,"")</f>
        <v>15.21</v>
      </c>
      <c r="GW4" s="76">
        <f>IF(SUM(GD4:GG4)-GH4&gt;0,SUM(GD4:GG4)-GH4,"")</f>
        <v>53.91</v>
      </c>
      <c r="GX4" s="76">
        <f>IF(GK4&gt;0,GK4,"")</f>
        <v>11.9</v>
      </c>
      <c r="GY4" s="76">
        <f>IF(GL4&gt;0,GL4,"")</f>
        <v>14.984999999999999</v>
      </c>
      <c r="GZ4" s="76">
        <f>IF(SUM(GI4:GL4)-GM4&gt;0,SUM(GI4:GL4)-GM4,"")</f>
        <v>50.884999999999998</v>
      </c>
      <c r="HA4" s="76">
        <f>IF(SUM(GT4,GZ4)&gt;0,SUM(GT4,GZ4),"")</f>
        <v>103.94</v>
      </c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>
        <v>14.8</v>
      </c>
      <c r="HR4" s="26">
        <v>9.5</v>
      </c>
      <c r="HS4" s="26">
        <v>14.2</v>
      </c>
      <c r="HT4" s="26">
        <v>15.145</v>
      </c>
      <c r="HU4" s="26">
        <v>0</v>
      </c>
      <c r="HV4" s="16" t="str">
        <f>IF(HD4&gt;0,HD4,"")</f>
        <v/>
      </c>
      <c r="HW4" s="16" t="str">
        <f>IF(HE4&gt;0,HE4,"")</f>
        <v/>
      </c>
      <c r="HX4" s="16" t="str">
        <f>IF(SUM(HB4:HE4)-HF4&gt;0,SUM(HB4:HE4)-HF4,"")</f>
        <v/>
      </c>
      <c r="HY4" s="16" t="str">
        <f>IF(HI4&gt;0,HI4,"")</f>
        <v/>
      </c>
      <c r="HZ4" s="16" t="str">
        <f>IF(HJ4&gt;0,HJ4,"")</f>
        <v/>
      </c>
      <c r="IA4" s="16" t="str">
        <f>IF(SUM(HG4:HJ4)-HK4&gt;0,SUM(HG4:HJ4)-HK4,"")</f>
        <v/>
      </c>
      <c r="IB4" s="16" t="str">
        <f>IF(MAX(HX4,IA4)&gt;0,MAX(HX4,IA4),"")</f>
        <v/>
      </c>
      <c r="IC4" s="16" t="str">
        <f>IF(HN4&gt;0,HN4,"")</f>
        <v/>
      </c>
      <c r="ID4" s="16" t="str">
        <f>IF(HO4&gt;0,HO4,"")</f>
        <v/>
      </c>
      <c r="IE4" s="16" t="str">
        <f>IF(SUM(HL4:HO4)-HP4&gt;0,SUM(HL4:HO4)-HP4,"")</f>
        <v/>
      </c>
      <c r="IF4" s="16">
        <f>IF(HS4&gt;0,HS4,"")</f>
        <v>14.2</v>
      </c>
      <c r="IG4" s="16">
        <f>IF(HT4&gt;0,HT4,"")</f>
        <v>15.145</v>
      </c>
      <c r="IH4" s="16">
        <f>IF(SUM(HQ4:HT4)-HU4&gt;0,SUM(HQ4:HT4)-HU4,"")</f>
        <v>53.644999999999996</v>
      </c>
      <c r="II4" s="16">
        <f>IF(SUM(IB4,IH4)&gt;0,SUM(IB4,IH4),"")</f>
        <v>53.644999999999996</v>
      </c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>
        <v>15.3</v>
      </c>
      <c r="IZ4" s="25">
        <v>9.5</v>
      </c>
      <c r="JA4" s="25">
        <v>14.4</v>
      </c>
      <c r="JB4" s="25">
        <v>15.065</v>
      </c>
      <c r="JC4" s="25">
        <v>0</v>
      </c>
      <c r="JD4" s="76" t="str">
        <f>IF(IL4&gt;0,IL4,"")</f>
        <v/>
      </c>
      <c r="JE4" s="76" t="str">
        <f>IF(IM4&gt;0,IM4,"")</f>
        <v/>
      </c>
      <c r="JF4" s="76" t="str">
        <f>IF(SUM(IJ4:IM4)-IN4&gt;0,SUM(IJ4:IM4)-IN4,"")</f>
        <v/>
      </c>
      <c r="JG4" s="76" t="str">
        <f>IF(IQ4&gt;0,IQ4,"")</f>
        <v/>
      </c>
      <c r="JH4" s="76" t="str">
        <f>IF(IR4&gt;0,IR4,"")</f>
        <v/>
      </c>
      <c r="JI4" s="76" t="str">
        <f>IF(SUM(IO4:IR4)-IS4&gt;0,SUM(IO4:IR4)-IS4,"")</f>
        <v/>
      </c>
      <c r="JJ4" s="76" t="str">
        <f>IF(MAX(JF4,JI4)&gt;0,MAX(JF4,JI4),"")</f>
        <v/>
      </c>
      <c r="JK4" s="76" t="str">
        <f>IF(IV4&gt;0,IV4,"")</f>
        <v/>
      </c>
      <c r="JL4" s="76" t="str">
        <f>IF(IW4&gt;0,IW4,"")</f>
        <v/>
      </c>
      <c r="JM4" s="76" t="str">
        <f>IF(SUM(IT4:IW4)-IX4&gt;0,SUM(IT4:IW4)-IX4,"")</f>
        <v/>
      </c>
      <c r="JN4" s="76">
        <f>IF(JA4&gt;0,JA4,"")</f>
        <v>14.4</v>
      </c>
      <c r="JO4" s="76">
        <f>IF(JB4&gt;0,JB4,"")</f>
        <v>15.065</v>
      </c>
      <c r="JP4" s="76">
        <f>IF(SUM(IY4:JB4)-JC4&gt;0,SUM(IY4:JB4)-JC4,"")</f>
        <v>54.265000000000001</v>
      </c>
      <c r="JQ4" s="76">
        <f>IF(SUM(JJ4,JP4)&gt;0,SUM(JJ4,JP4),"")</f>
        <v>54.265000000000001</v>
      </c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16" t="str">
        <f>IF(JT4&gt;0,JT4,"")</f>
        <v/>
      </c>
      <c r="KM4" s="16" t="str">
        <f>IF(JU4&gt;0,JU4,"")</f>
        <v/>
      </c>
      <c r="KN4" s="16" t="str">
        <f>IF(SUM(JR4:JU4)-JV4&gt;0,SUM(JR4:JU4)-JV4,"")</f>
        <v/>
      </c>
      <c r="KO4" s="16" t="str">
        <f>IF(JY4&gt;0,JY4,"")</f>
        <v/>
      </c>
      <c r="KP4" s="16" t="str">
        <f>IF(JZ4&gt;0,JZ4,"")</f>
        <v/>
      </c>
      <c r="KQ4" s="16" t="str">
        <f>IF(SUM(JW4:JZ4)-KA4&gt;0,SUM(JW4:JZ4)-KA4,"")</f>
        <v/>
      </c>
      <c r="KR4" s="16" t="str">
        <f>IF(MAX(KN4,KQ4)&gt;0,MAX(KN4,KQ4),"")</f>
        <v/>
      </c>
      <c r="KS4" s="16" t="str">
        <f>IF(KD4&gt;0,KD4,"")</f>
        <v/>
      </c>
      <c r="KT4" s="16" t="str">
        <f>IF(KE4&gt;0,KE4,"")</f>
        <v/>
      </c>
      <c r="KU4" s="16" t="str">
        <f>IF(SUM(KB4:KE4)-KF4&gt;0,SUM(KB4:KE4)-KF4,"")</f>
        <v/>
      </c>
      <c r="KV4" s="16" t="str">
        <f>IF(KI4&gt;0,KI4,"")</f>
        <v/>
      </c>
      <c r="KW4" s="16" t="str">
        <f>IF(KJ4&gt;0,KJ4,"")</f>
        <v/>
      </c>
      <c r="KX4" s="16" t="str">
        <f>IF(SUM(KG4:KJ4)-KK4&gt;0,SUM(KG4:KJ4)-KK4,"")</f>
        <v/>
      </c>
      <c r="KY4" s="16" t="str">
        <f>IF(SUM(KR4,KX4)&gt;0,SUM(KR4,KX4),"")</f>
        <v/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25"/>
      <c r="LS4" s="25"/>
      <c r="LT4" s="76" t="str">
        <f>IF(LB4&gt;0,LB4,"")</f>
        <v/>
      </c>
      <c r="LU4" s="76" t="str">
        <f>IF(LC4&gt;0,LC4,"")</f>
        <v/>
      </c>
      <c r="LV4" s="76" t="str">
        <f>IF(SUM(KZ4:LC4)-LD4&gt;0,SUM(KZ4:LC4)-LD4,"")</f>
        <v/>
      </c>
      <c r="LW4" s="76" t="str">
        <f>IF(LG4&gt;0,LG4,"")</f>
        <v/>
      </c>
      <c r="LX4" s="76" t="str">
        <f>IF(LH4&gt;0,LH4,"")</f>
        <v/>
      </c>
      <c r="LY4" s="76" t="str">
        <f>IF(SUM(LE4:LH4)-LI4&gt;0,SUM(LE4:LH4)-LI4,"")</f>
        <v/>
      </c>
      <c r="LZ4" s="76" t="str">
        <f>IF(MAX(LV4,LY4)&gt;0,MAX(LV4,LY4),"")</f>
        <v/>
      </c>
      <c r="MA4" s="76" t="str">
        <f>IF(LL4&gt;0,LL4,"")</f>
        <v/>
      </c>
      <c r="MB4" s="76" t="str">
        <f>IF(LM4&gt;0,LM4,"")</f>
        <v/>
      </c>
      <c r="MC4" s="76" t="str">
        <f>IF(SUM(LJ4:LM4)-LN4&gt;0,SUM(LJ4:LM4)-LN4,"")</f>
        <v/>
      </c>
      <c r="MD4" s="76" t="str">
        <f>IF(LQ4&gt;0,LQ4,"")</f>
        <v/>
      </c>
      <c r="ME4" s="76" t="str">
        <f>IF(LR4&gt;0,LR4,"")</f>
        <v/>
      </c>
      <c r="MF4" s="76" t="str">
        <f>IF(SUM(LO4:LR4)-LS4&gt;0,SUM(LO4:LR4)-LS4,"")</f>
        <v/>
      </c>
      <c r="MG4" s="76" t="str">
        <f>IF(SUM(LZ4,MF4)&gt;0,SUM(LZ4,MF4),"")</f>
        <v/>
      </c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16" t="str">
        <f>IF(MJ4&gt;0,MJ4,"")</f>
        <v/>
      </c>
      <c r="NC4" s="16" t="str">
        <f>IF(MK4&gt;0,MK4,"")</f>
        <v/>
      </c>
      <c r="ND4" s="16" t="str">
        <f>IF(SUM(MH4:MK4)-ML4&gt;0,SUM(MH4:MK4)-ML4,"")</f>
        <v/>
      </c>
      <c r="NE4" s="16" t="str">
        <f>IF(MO4&gt;0,MO4,"")</f>
        <v/>
      </c>
      <c r="NF4" s="16" t="str">
        <f>IF(MP4&gt;0,MP4,"")</f>
        <v/>
      </c>
      <c r="NG4" s="16" t="str">
        <f>IF(SUM(MM4:MP4)-MQ4&gt;0,SUM(MM4:MP4)-MQ4,"")</f>
        <v/>
      </c>
      <c r="NH4" s="16" t="str">
        <f>IF(MAX(ND4,NG4)&gt;0,MAX(ND4,NG4),"")</f>
        <v/>
      </c>
      <c r="NI4" s="16" t="str">
        <f>IF(MT4&gt;0,MT4,"")</f>
        <v/>
      </c>
      <c r="NJ4" s="16" t="str">
        <f>IF(MU4&gt;0,MU4,"")</f>
        <v/>
      </c>
      <c r="NK4" s="16" t="str">
        <f>IF(SUM(MR4:MU4)-MV4&gt;0,SUM(MR4:MU4)-MV4,"")</f>
        <v/>
      </c>
      <c r="NL4" s="16" t="str">
        <f>IF(MY4&gt;0,MY4,"")</f>
        <v/>
      </c>
      <c r="NM4" s="16" t="str">
        <f>IF(MZ4&gt;0,MZ4,"")</f>
        <v/>
      </c>
      <c r="NN4" s="16" t="str">
        <f>IF(SUM(MW4:MZ4)-NA4&gt;0,SUM(MW4:MZ4)-NA4,"")</f>
        <v/>
      </c>
      <c r="NO4" s="16" t="str">
        <f>IF(SUM(NH4,NN4)&gt;0,SUM(NH4,NN4),"")</f>
        <v/>
      </c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76" t="str">
        <f>IF(NR4&gt;0,NR4,"")</f>
        <v/>
      </c>
      <c r="OK4" s="76" t="str">
        <f>IF(NS4&gt;0,NS4,"")</f>
        <v/>
      </c>
      <c r="OL4" s="76" t="str">
        <f>IF(SUM(NP4:NS4)-NT4&gt;0,SUM(NP4:NS4)-NT4,"")</f>
        <v/>
      </c>
      <c r="OM4" s="76" t="str">
        <f>IF(NW4&gt;0,NW4,"")</f>
        <v/>
      </c>
      <c r="ON4" s="76" t="str">
        <f>IF(NX4&gt;0,NX4,"")</f>
        <v/>
      </c>
      <c r="OO4" s="76" t="str">
        <f>IF(SUM(NU4:NX4)-NY4&gt;0,SUM(NU4:NX4)-NY4,"")</f>
        <v/>
      </c>
      <c r="OP4" s="76" t="str">
        <f>IF(MAX(OL4,OO4)&gt;0,MAX(OL4,OO4),"")</f>
        <v/>
      </c>
      <c r="OQ4" s="76" t="str">
        <f>IF(OB4&gt;0,OB4,"")</f>
        <v/>
      </c>
      <c r="OR4" s="76" t="str">
        <f>IF(OC4&gt;0,OC4,"")</f>
        <v/>
      </c>
      <c r="OS4" s="76" t="str">
        <f>IF(SUM(NZ4:OC4)-OD4&gt;0,SUM(NZ4:OC4)-OD4,"")</f>
        <v/>
      </c>
      <c r="OT4" s="76" t="str">
        <f>IF(OG4&gt;0,OG4,"")</f>
        <v/>
      </c>
      <c r="OU4" s="76" t="str">
        <f>IF(OH4&gt;0,OH4,"")</f>
        <v/>
      </c>
      <c r="OV4" s="76" t="str">
        <f>IF(SUM(OE4:OH4)-OI4&gt;0,SUM(OE4:OH4)-OI4,"")</f>
        <v/>
      </c>
      <c r="OW4" s="76" t="str">
        <f>IF(SUM(OP4,OV4)&gt;0,SUM(OP4,OV4),"")</f>
        <v/>
      </c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16" t="str">
        <f>IF(OZ4&gt;0,OZ4,"")</f>
        <v/>
      </c>
      <c r="PS4" s="16" t="str">
        <f>IF(PA4&gt;0,PA4,"")</f>
        <v/>
      </c>
      <c r="PT4" s="16" t="str">
        <f>IF(SUM(OX4:PA4)-PB4&gt;0,SUM(OX4:PA4)-PB4,"")</f>
        <v/>
      </c>
      <c r="PU4" s="16" t="str">
        <f>IF(PE4&gt;0,PE4,"")</f>
        <v/>
      </c>
      <c r="PV4" s="16" t="str">
        <f>IF(PF4&gt;0,PF4,"")</f>
        <v/>
      </c>
      <c r="PW4" s="16" t="str">
        <f>IF(SUM(PC4:PF4)-PG4&gt;0,SUM(PC4:PF4)-PG4,"")</f>
        <v/>
      </c>
      <c r="PX4" s="16" t="str">
        <f>IF(MAX(PT4,PW4)&gt;0,MAX(PT4,PW4),"")</f>
        <v/>
      </c>
      <c r="PY4" s="16" t="str">
        <f>IF(PJ4&gt;0,PJ4,"")</f>
        <v/>
      </c>
      <c r="PZ4" s="16" t="str">
        <f>IF(PK4&gt;0,PK4,"")</f>
        <v/>
      </c>
      <c r="QA4" s="16" t="str">
        <f>IF(SUM(PH4:PK4)-PL4&gt;0,SUM(PH4:PK4)-PL4,"")</f>
        <v/>
      </c>
      <c r="QB4" s="16" t="str">
        <f>IF(PO4&gt;0,PO4,"")</f>
        <v/>
      </c>
      <c r="QC4" s="16" t="str">
        <f>IF(PP4&gt;0,PP4,"")</f>
        <v/>
      </c>
      <c r="QD4" s="16" t="str">
        <f>IF(SUM(PM4:PP4)-PQ4&gt;0,SUM(PM4:PP4)-PQ4,"")</f>
        <v/>
      </c>
      <c r="QE4" s="16" t="str">
        <f>IF(SUM(PX4,QD4)&gt;0,SUM(PX4,QD4),"")</f>
        <v/>
      </c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76" t="str">
        <f>IF(QH4&gt;0,QH4,"")</f>
        <v/>
      </c>
      <c r="RA4" s="76" t="str">
        <f>IF(QI4&gt;0,QI4,"")</f>
        <v/>
      </c>
      <c r="RB4" s="76" t="str">
        <f>IF(SUM(QF4:QI4)-QJ4&gt;0,SUM(QF4:QI4)-QJ4,"")</f>
        <v/>
      </c>
      <c r="RC4" s="76" t="str">
        <f>IF(QM4&gt;0,QM4,"")</f>
        <v/>
      </c>
      <c r="RD4" s="76" t="str">
        <f>IF(QN4&gt;0,QN4,"")</f>
        <v/>
      </c>
      <c r="RE4" s="76" t="str">
        <f>IF(SUM(QK4:QN4)-QO4&gt;0,SUM(QK4:QN4)-QO4,"")</f>
        <v/>
      </c>
      <c r="RF4" s="76" t="str">
        <f>IF(MAX(RB4,RE4)&gt;0,MAX(RB4,RE4),"")</f>
        <v/>
      </c>
      <c r="RG4" s="76" t="str">
        <f>IF(QR4&gt;0,QR4,"")</f>
        <v/>
      </c>
      <c r="RH4" s="76" t="str">
        <f>IF(QS4&gt;0,QS4,"")</f>
        <v/>
      </c>
      <c r="RI4" s="76" t="str">
        <f>IF(SUM(QP4:QS4)-QT4&gt;0,SUM(QP4:QS4)-QT4,"")</f>
        <v/>
      </c>
      <c r="RJ4" s="76" t="str">
        <f>IF(QW4&gt;0,QW4,"")</f>
        <v/>
      </c>
      <c r="RK4" s="76" t="str">
        <f>IF(QX4&gt;0,QX4,"")</f>
        <v/>
      </c>
      <c r="RL4" s="76" t="str">
        <f>IF(SUM(QU4:QX4)-QY4&gt;0,SUM(QU4:QX4)-QY4,"")</f>
        <v/>
      </c>
      <c r="RM4" s="76" t="str">
        <f>IF(SUM(RF4,RL4)&gt;0,SUM(RF4,RL4),"")</f>
        <v/>
      </c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16" t="str">
        <f>IF(RP4&gt;0,RP4,"")</f>
        <v/>
      </c>
      <c r="SI4" s="16" t="str">
        <f>IF(RQ4&gt;0,RQ4,"")</f>
        <v/>
      </c>
      <c r="SJ4" s="16" t="str">
        <f>IF(SUM(RN4:RQ4)-RR4&gt;0,SUM(RN4:RQ4)-RR4,"")</f>
        <v/>
      </c>
      <c r="SK4" s="16" t="str">
        <f>IF(RU4&gt;0,RU4,"")</f>
        <v/>
      </c>
      <c r="SL4" s="16" t="str">
        <f>IF(RV4&gt;0,RV4,"")</f>
        <v/>
      </c>
      <c r="SM4" s="16" t="str">
        <f>IF(SUM(RS4:RV4)-RW4&gt;0,SUM(RS4:RV4)-RW4,"")</f>
        <v/>
      </c>
      <c r="SN4" s="16" t="str">
        <f>IF(MAX(SJ4,SM4)&gt;0,MAX(SJ4,SM4),"")</f>
        <v/>
      </c>
      <c r="SO4" s="16" t="str">
        <f>IF(RZ4&gt;0,RZ4,"")</f>
        <v/>
      </c>
      <c r="SP4" s="16" t="str">
        <f>IF(SA4&gt;0,SA4,"")</f>
        <v/>
      </c>
      <c r="SQ4" s="16" t="str">
        <f>IF(SUM(RX4:SA4)-SB4&gt;0,SUM(RX4:SA4)-SB4,"")</f>
        <v/>
      </c>
      <c r="SR4" s="16" t="str">
        <f>IF(SE4&gt;0,SE4,"")</f>
        <v/>
      </c>
      <c r="SS4" s="16" t="str">
        <f>IF(SF4&gt;0,SF4,"")</f>
        <v/>
      </c>
      <c r="ST4" s="16" t="str">
        <f>IF(SUM(SC4:SF4)-SG4&gt;0,SUM(SC4:SF4)-SG4,"")</f>
        <v/>
      </c>
      <c r="SU4" s="16" t="str">
        <f>IF(SUM(SN4,ST4)&gt;0,SUM(SN4,ST4),"")</f>
        <v/>
      </c>
      <c r="SV4" s="42">
        <f>IF($CP4="P",CA4,(CA4+AZ4)/2)</f>
        <v>16.299999999999997</v>
      </c>
      <c r="SW4" s="42">
        <f>IF($CP4="P",CB4,(CB4+BA4)/2)</f>
        <v>9.0875000000000004</v>
      </c>
      <c r="SX4" s="42">
        <f>IF($CP4="P",CC4,(CC4+BB4)/2)</f>
        <v>13.850000000000001</v>
      </c>
      <c r="SY4" s="42">
        <f>IF($CP4="P",CD4,(CD4+BC4)/2)</f>
        <v>15.571249999999999</v>
      </c>
      <c r="SZ4" s="42">
        <f>IF($CP4="P",CE4,(CE4+BD4)/2)</f>
        <v>0</v>
      </c>
      <c r="TA4" s="42">
        <f>IF($CP4="P",CF4,(CF4+BE4)/2)</f>
        <v>13.975000000000001</v>
      </c>
      <c r="TB4" s="42">
        <f>IF($CP4="P",CG4,(CG4+BF4)/2)</f>
        <v>7.85</v>
      </c>
      <c r="TC4" s="42">
        <f>IF($CP4="P",CH4,(CH4+BG4)/2)</f>
        <v>12.600000000000001</v>
      </c>
      <c r="TD4" s="42">
        <f>IF($CP4="P",CI4,(CI4+BH4)/2)</f>
        <v>13.54125</v>
      </c>
      <c r="TE4" s="42">
        <f>IF($CP4="P",CJ4,(CJ4+BI4)/2)</f>
        <v>0</v>
      </c>
      <c r="TF4" s="42">
        <f>IF($CP4="P",CK4,(CK4+BJ4)/2)</f>
        <v>15.675000000000001</v>
      </c>
      <c r="TG4" s="42">
        <f>IF($CP4="P",CL4,(CL4+BK4)/2)</f>
        <v>9.1999999999999993</v>
      </c>
      <c r="TH4" s="42">
        <f>IF($CP4="P",CM4,(CM4+BL4)/2)</f>
        <v>13.524999999999999</v>
      </c>
      <c r="TI4" s="42">
        <f>IF($CP4="P",CN4,(CN4+BM4)/2)</f>
        <v>15.35</v>
      </c>
      <c r="TJ4" s="42">
        <f>IF($CP4="P",CO4,(CO4+BN4)/2)</f>
        <v>0</v>
      </c>
      <c r="TK4" s="51" t="s">
        <v>61</v>
      </c>
      <c r="TL4" s="76">
        <f>IF(SX4&gt;0,SX4,"")</f>
        <v>13.850000000000001</v>
      </c>
      <c r="TM4" s="76">
        <f>IF(SY4&gt;0,SY4,"")</f>
        <v>15.571249999999999</v>
      </c>
      <c r="TN4" s="76">
        <f>IF(SUM(SV4:SY4)-SZ4&gt;0,SUM(SV4:SY4)-SZ4,"")</f>
        <v>54.808749999999996</v>
      </c>
      <c r="TO4" s="76">
        <f>IF(TC4&gt;0,TC4,"")</f>
        <v>12.600000000000001</v>
      </c>
      <c r="TP4" s="76">
        <f>IF(TD4&gt;0,TD4,"")</f>
        <v>13.54125</v>
      </c>
      <c r="TQ4" s="76">
        <f>IF(SUM(TA4:TD4)-TE4&gt;0,SUM(TA4:TD4)-TE4,"")</f>
        <v>47.966250000000002</v>
      </c>
      <c r="TR4" s="76">
        <f>IF(MAX(TN4,TQ4)&gt;0,MAX(TN4,TQ4),"")</f>
        <v>54.808749999999996</v>
      </c>
      <c r="TS4" s="76">
        <f>IF(TH4&gt;0,TH4,"")</f>
        <v>13.524999999999999</v>
      </c>
      <c r="TT4" s="76">
        <f>IF(TI4&gt;0,TI4,"")</f>
        <v>15.35</v>
      </c>
      <c r="TU4" s="76">
        <f>IF(SUM(TF4:TI4)-TJ4&gt;0,SUM(TF4:TI4)-TJ4,"")</f>
        <v>53.75</v>
      </c>
      <c r="TV4" s="76">
        <f>IF(SUM(TR4,TU4)&gt;0,SUM(TR4,TU4),"")</f>
        <v>108.55875</v>
      </c>
    </row>
    <row r="5" spans="1:542" x14ac:dyDescent="0.2">
      <c r="A5" s="5" cm="1">
        <f t="array" ref="A5">IF(AND(F5&lt;&gt;"",G5&lt;&gt;""),SUMPRODUCT((F$4:F$15&lt;&gt;"")*(G$4:G$15&lt;&gt;"")*(E$4:E$15&gt;E5))+1,IF(G5&lt;&gt;"",SUMPRODUCT((H$4:H$15="No DD")*(E$4:E$15&gt;E5))+1+SUMPRODUCT((F$4:F$15&lt;&gt;"")*(G$4:G$15&lt;&gt;"")),""))</f>
        <v>2</v>
      </c>
      <c r="B5" s="8" t="s">
        <v>29</v>
      </c>
      <c r="C5" s="4" t="s">
        <v>3</v>
      </c>
      <c r="D5" s="5">
        <v>1998</v>
      </c>
      <c r="E5" s="14">
        <f>SUM(J5:V5)+SUM(J5:T5)*0.0000001+SUM(J5)*0.0000000000001</f>
        <v>248.71002487100546</v>
      </c>
      <c r="F5" s="3" t="str">
        <f>IF(OR(AND(AO5&gt;=AY$17,AO5&lt;&gt;"",AQ5&gt;=AY$21,AQ5&lt;&gt;"",AN5=""),AND(AR5&gt;=AY$17,AR5&lt;&gt;"",AT5&gt;=AY$21,AT5&lt;&gt;"",AN5=""),AND(AV5&gt;=AY$17,AV5&lt;&gt;"",AX5&gt;=AY$21,AX5&lt;&gt;"",AN5=""),AND(BP5&gt;=BZ$17,BP5&lt;&gt;"",BR5&gt;=BZ$21,BR5&lt;&gt;"",BO5=""),AND(BS5&gt;=BZ$17,BS5&lt;&gt;"",BU5&gt;=BZ$21,BU5&lt;&gt;"",BO5=""),AND(BW5&gt;=BZ$17,BW5&lt;&gt;"",BY5&gt;=BZ$21,BY5&lt;&gt;"",BO5=""),AND(CQ5&gt;=DA$17,CQ5&lt;&gt;"",CS5&gt;=DA$21,CS5&lt;&gt;"",CP5=""),AND(CT5&gt;=DA$17,CT5&lt;&gt;"",CV5&gt;=DA$21,CV5&lt;&gt;"",CP5=""),AND(CX5&gt;=DA$17,CX5&lt;&gt;"",CZ5&gt;=DA$21,CZ5&lt;&gt;"",CP5=""),AND(DX5&gt;=EK$17,DX5&lt;&gt;"",DZ5&gt;=EK$21,DZ5&lt;&gt;""),AND(EA5&gt;=EK$17,EA5&lt;&gt;"",EC5&gt;=EK$21,EC5&lt;&gt;""),AND(EE5&gt;=EK$17,EE5&lt;&gt;"",EG5&gt;=EK$21,EG5&lt;&gt;""),AND(EH5&gt;=EK$17,EH5&lt;&gt;"",EJ5&gt;=EK$21,EJ5&lt;&gt;""),AND(FF5&gt;=FS$17,FF5&lt;&gt;"",FH5&gt;=FS$21,FH5&lt;&gt;""),AND(FI5&gt;=FS$17,FI5&lt;&gt;"",FK5&gt;=FS$21,FK5&lt;&gt;""),AND(FM5&gt;=FS$17,FM5&lt;&gt;"",FO5&gt;=FS$21,FO5&lt;&gt;""),AND(FP5&gt;=FS$17,FP5&lt;&gt;"",FR5&gt;=FS$21,FR5&lt;&gt;""),AND(GN5&gt;=HA$17,GN5&lt;&gt;"",GP5&gt;=HA$21,GP5&lt;&gt;""),AND(GQ5&gt;=HA$17,GQ5&lt;&gt;"",GS5&gt;=HA$21,GS5&lt;&gt;""),AND(GU5&gt;=HA$17,GU5&lt;&gt;"",GW5&gt;=HA$21,GW5&lt;&gt;""),AND(GX5&gt;=HA$17,GX5&lt;&gt;"",GZ5&gt;=HA$21,GZ5&lt;&gt;""),AND(HV5&gt;=II$17,HV5&lt;&gt;"",HX5&gt;=II$21,HX5&lt;&gt;""),AND(HY5&gt;=II$17,HY5&lt;&gt;"",IA5&gt;=II$21,IA5&lt;&gt;""),AND(IC5&gt;=II$17,IC5&lt;&gt;"",IE5&gt;=II$21,IE5&lt;&gt;""),AND(IF5&gt;=II$17,IF5&lt;&gt;"",IH5&gt;=II$21,IH5&lt;&gt;""),AND(JD5&gt;=JQ$17,JD5&lt;&gt;"",JF5&gt;=JQ$21,JF5&lt;&gt;""),AND(JG5&gt;=JQ$17,JG5&lt;&gt;"",JI5&gt;=JQ$21,JI5&lt;&gt;""),AND(JK5&gt;=JQ$17,JK5&lt;&gt;"",JM5&gt;=JQ$21,JM5&lt;&gt;""),AND(JN5&gt;=JQ$17,JN5&lt;&gt;"",JP5&gt;=JQ$21,JP5&lt;&gt;""),AND(KL5&gt;=KY$17,KL5&lt;&gt;"",KN5&gt;=KY$21,KN5&lt;&gt;""),AND(KO5&gt;=KY$17,KO5&lt;&gt;"",KQ5&gt;=KY$21,KQ5&lt;&gt;""),AND(KS5&gt;=KY$17,KS5&lt;&gt;"",KU5&gt;=KY$21,KU5&lt;&gt;""),AND(KV5&gt;=KY$17,KV5&lt;&gt;"",KX5&gt;=KY$21,KX5&lt;&gt;""),AND(LT5&gt;=MG$17,LT5&lt;&gt;"",LV5&gt;=MG$21,LV5&lt;&gt;""),AND(LW5&gt;=MG$17,LW5&lt;&gt;"",LY5&gt;=MG$21,LY5&lt;&gt;""),AND(MA5&gt;=MG$17,MA5&lt;&gt;"",MC5&gt;=MG$21,MC5&lt;&gt;""),AND(MD5&gt;=MG$17,MD5&lt;&gt;"",MF5&gt;=MG$21,MF5&lt;&gt;""),AND(NB5&gt;=NO$17,NB5&lt;&gt;"",ND5&gt;=NO$21,ND5&lt;&gt;""),AND(NE5&gt;=NO$17,NE5&lt;&gt;"",NG5&gt;=NO$21,NG5&lt;&gt;""),AND(NI5&gt;=NO$17,NI5&lt;&gt;"",NK5&gt;=NO$21,NK5&lt;&gt;""),AND(NL5&gt;=NO$17,NL5&lt;&gt;"",NN5&gt;=NO$21,NN5&lt;&gt;""),AND(OJ5&gt;=OW$17,OJ5&lt;&gt;"",OL5&gt;=OW$21,OL5&lt;&gt;""),AND(OM5&gt;=OW$17,OM5&lt;&gt;"",OO5&gt;=OW$21,OO5&lt;&gt;""),AND(OQ5&gt;=OW$17,OQ5&lt;&gt;"",OS5&gt;=OW$21,OS5&lt;&gt;""),AND(OT5&gt;=OW$17,OT5&lt;&gt;"",OV5&gt;=OW$21,OV5&lt;&gt;""),AND(PR5&gt;=QE$17,PR5&lt;&gt;"",PT5&gt;=QE$21,PT5&lt;&gt;""),AND(PU5&gt;=QE$17,PU5&lt;&gt;"",PW5&gt;=QE$21,PW5&lt;&gt;""),AND(PY5&gt;=QE$17,PY5&lt;&gt;"",QA5&gt;=QE$21,QA5&lt;&gt;""),AND(QB5&gt;=QE$17,QB5&lt;&gt;"",QD5&gt;=QE$21,QD5&lt;&gt;""),AND(QZ5&gt;=RM$17,QZ5&lt;&gt;"",RB5&gt;=RM$21,RB5&lt;&gt;""),AND(RC5&gt;=RM$17,RC5&lt;&gt;"",RE5&gt;=RM$21,RE5&lt;&gt;""),AND(RG5&gt;=RM$17,RG5&lt;&gt;"",RI5&gt;=RM$21,RI5&lt;&gt;""),AND(RJ5&gt;=RM$17,RJ5&lt;&gt;"",RL5&gt;=RM$21,RL5&lt;&gt;""),AND(SH5&gt;=SU$17,SH5&lt;&gt;"",SJ5&gt;=SU$21,SJ5&lt;&gt;""),AND(SK5&gt;=SU$17,SK5&lt;&gt;"",SM5&gt;=SU$21,SM5&lt;&gt;""),AND(SO5&gt;=SU$17,SO5&lt;&gt;"",SQ5&gt;=SU$21,SQ5&lt;&gt;""),AND(SR5&gt;=SU$17,SR5&lt;&gt;"",ST5&gt;=SU$21,ST5&lt;&gt;"")),"P","")</f>
        <v>P</v>
      </c>
      <c r="G5" s="3" t="str">
        <f>IF(OR(AND(AQ5&gt;=AY$21,AQ5&lt;&gt;"",AN5=""),AND(AT5&gt;=AY$21,AT5&lt;&gt;"",AN5=""),AND(AX5&gt;=AY$21,AX5&lt;&gt;"",AN5=""),AND(BR5&gt;=BZ$21,BR5&lt;&gt;"",BO5=""),AND(BU5&gt;=BZ$21,BU5&lt;&gt;"",BO5=""),AND(BY5&gt;=BZ$21,BY5&lt;&gt;"",BO5=""),AND(CS5&gt;=DA$21,CS5&lt;&gt;"",CP5=""),AND(CV5&gt;=DA$21,CV5&lt;&gt;"",CP5=""),AND(CZ5&gt;=DA$21,CZ5&lt;&gt;"",CP5=""),AND(DZ5&gt;=EK$21,DZ5&lt;&gt;""),AND(EC5&gt;=EK$21,EC5&lt;&gt;""),AND(EG5&gt;=EK$21,EG5&lt;&gt;""),AND(EJ5&gt;=EK$21,EJ5&lt;&gt;""),AND(FH5&gt;=FS$21,FH5&lt;&gt;""),AND(FK5&gt;=FS$21,FK5&lt;&gt;""),AND(FO5&gt;=FS$21,FO5&lt;&gt;""),AND(FR5&gt;=FS$21,FR5&lt;&gt;""),AND(GP5&gt;=HA$21,GP5&lt;&gt;""),AND(GS5&gt;=HA$21,GS5&lt;&gt;""),AND(GW5&gt;=HA$21,GW5&lt;&gt;""),AND(GZ5&gt;=HA$21,GZ5&lt;&gt;""),AND(HX5&gt;=II$21,HX5&lt;&gt;""),AND(IA5&gt;=II$21,IA5&lt;&gt;""),AND(IE5&gt;=II$21,IE5&lt;&gt;""),AND(IH5&gt;=II$21,IH5&lt;&gt;""),AND(JF5&gt;=JQ$21,JF5&lt;&gt;""),AND(JI5&gt;=JQ$21,JI5&lt;&gt;""),AND(JM5&gt;=JQ$21,JM5&lt;&gt;""),AND(JP5&gt;=JQ$21,JP5&lt;&gt;""),AND(KN5&gt;=KY$21,KN5&lt;&gt;""),AND(KQ5&gt;=KY$21,KQ5&lt;&gt;""),AND(KU5&gt;=KY$21,KU5&lt;&gt;""),AND(KX5&gt;=KY$21,KX5&lt;&gt;""),AND(LV5&gt;=MG$21,LV5&lt;&gt;""),AND(LY5&gt;=MG$21,LY5&lt;&gt;""),AND(MC5&gt;=MG$21,MC5&lt;&gt;""),AND(MF5&gt;=MG$21,MF5&lt;&gt;""),AND(ND5&gt;=NO$21,ND5&lt;&gt;""),AND(NG5&gt;=NO$21,NG5&lt;&gt;""),AND(NK5&gt;=NO$21,NK5&lt;&gt;""),AND(NN5&gt;=NO$21,NN5&lt;&gt;""),AND(OL5&gt;=OW$21,OL5&lt;&gt;""),AND(OO5&gt;=OW$21,OO5&lt;&gt;""),AND(OS5&gt;=OW$21,OS5&lt;&gt;""),AND(OV5&gt;=OW$21,OV5&lt;&gt;""),AND(PT5&gt;=QE$21,PT5&lt;&gt;""),AND(PW5&gt;=QE$21,PW5&lt;&gt;""),AND(QA5&gt;=QE$21,QA5&lt;&gt;""),AND(QD5&gt;=QE$21,QD5&lt;&gt;""),AND(RB5&gt;=RM$21,RB5&lt;&gt;""),AND(RE5&gt;=RM$21,RE5&lt;&gt;""),AND(RI5&gt;=RM$21,RI5&lt;&gt;""),AND(RL5&gt;=RM$21,RL5&lt;&gt;""),AND(SJ5&gt;=SU$21,SJ5&lt;&gt;""),AND(SM5&gt;=SU$21,SM5&lt;&gt;""),AND(SQ5&gt;=SU$21,SQ5&lt;&gt;""),AND(ST5&gt;=SU$21,ST5&lt;&gt;"")),"P","")</f>
        <v>P</v>
      </c>
      <c r="H5" s="70" t="str">
        <f>IF(AND(G5="P",F5=""),"No DD",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),"Merit",IF(OR(AND(AO5&gt;=AY$19,AO5&lt;&gt;"",AQ5&gt;=AY$23,AQ5&lt;&gt;"",AN5=""),AND(AR5&gt;=AY$19,AR5&lt;&gt;"",AT5&gt;=AY$23,AT5&lt;&gt;"",AN5=""),AND(AV5&gt;=AY$19,AV5&lt;&gt;"",AX5&gt;=AY$23,AX5&lt;&gt;"",AN5=""),AND(BP5&gt;=BZ$19,BP5&lt;&gt;"",BR5&gt;=BZ$23,BR5&lt;&gt;"",BO5=""),AND(BS5&gt;=BZ$19,BS5&lt;&gt;"",BU5&gt;=BZ$23,BU5&lt;&gt;"",BO5=""),AND(BW5&gt;=BZ$19,BW5&lt;&gt;"",BY5&gt;=BZ$23,BY5&lt;&gt;"",BO5=""),AND(CQ5&gt;=DA$19,CQ5&lt;&gt;"",CS5&gt;=DA$23,CS5&lt;&gt;"",CP5=""),AND(CT5&gt;=DA$19,CT5&lt;&gt;"",CV5&gt;=DA$23,CV5&lt;&gt;"",CP5=""),AND(CX5&gt;=DA$19,CX5&lt;&gt;"",CZ5&gt;=DA$23,CZ5&lt;&gt;"",CP5=""),AND(DX5&gt;=EK$19,DX5&lt;&gt;"",DZ5&gt;=EK$23,DZ5&lt;&gt;""),AND(EA5&gt;=EK$19,EA5&lt;&gt;"",EC5&gt;=EK$23,EC5&lt;&gt;""),AND(EE5&gt;=EK$19,EE5&lt;&gt;"",EG5&gt;=EK$23,EG5&lt;&gt;""),AND(EH5&gt;=EK$19,EH5&lt;&gt;"",EJ5&gt;=EK$23,EJ5&lt;&gt;""),AND(FF5&gt;=FS$19,FF5&lt;&gt;"",FH5&gt;=FS$23,FH5&lt;&gt;""),AND(FI5&gt;=FS$19,FI5&lt;&gt;"",FK5&gt;=FS$23,FK5&lt;&gt;""),AND(FM5&gt;=FS$19,FM5&lt;&gt;"",FO5&gt;=FS$23,FO5&lt;&gt;""),AND(FP5&gt;=FS$19,FP5&lt;&gt;"",FR5&gt;=FS$23,FR5&lt;&gt;""),AND(GN5&gt;=HA$19,GN5&lt;&gt;"",GP5&gt;=HA$23,GP5&lt;&gt;""),AND(GQ5&gt;=HA$19,GQ5&lt;&gt;"",GS5&gt;=HA$23,GS5&lt;&gt;""),AND(GU5&gt;=HA$19,GU5&lt;&gt;"",GW5&gt;=HA$23,GW5&lt;&gt;""),AND(GX5&gt;=HA$19,GX5&lt;&gt;"",GZ5&gt;=HA$23,GZ5&lt;&gt;""),AND(HV5&gt;=II$19,HV5&lt;&gt;"",HX5&gt;=II$23,HX5&lt;&gt;""),AND(HY5&gt;=II$19,HY5&lt;&gt;"",IA5&gt;=II$23,IA5&lt;&gt;""),AND(IC5&gt;=II$19,IC5&lt;&gt;"",IE5&gt;=II$23,IE5&lt;&gt;""),AND(IF5&gt;=II$19,IF5&lt;&gt;"",IH5&gt;=II$23,IH5&lt;&gt;""),AND(JD5&gt;=JQ$19,JD5&lt;&gt;"",JF5&gt;=JQ$23,JF5&lt;&gt;""),AND(JG5&gt;=JQ$19,JG5&lt;&gt;"",JI5&gt;=JQ$23,JI5&lt;&gt;""),AND(JK5&gt;=JQ$19,JK5&lt;&gt;"",JM5&gt;=JQ$23,JM5&lt;&gt;""),AND(JN5&gt;=JQ$19,JN5&lt;&gt;"",JP5&gt;=JQ$23,JP5&lt;&gt;""),AND(KL5&gt;=KY$19,KL5&lt;&gt;"",KN5&gt;=KY$23,KN5&lt;&gt;""),AND(KO5&gt;=KY$19,KO5&lt;&gt;"",KQ5&gt;=KY$23,KQ5&lt;&gt;""),AND(KS5&gt;=KY$19,KS5&lt;&gt;"",KU5&gt;=KY$23,KU5&lt;&gt;""),AND(KV5&gt;=KY$19,KV5&lt;&gt;"",KX5&gt;=KY$23,KX5&lt;&gt;""),AND(LT5&gt;=MG$19,LT5&lt;&gt;"",LV5&gt;=MG$23,LV5&lt;&gt;""),AND(LW5&gt;=MG$19,LW5&lt;&gt;"",LY5&gt;=MG$23,LY5&lt;&gt;""),AND(MA5&gt;=MG$19,MA5&lt;&gt;"",MC5&gt;=MG$23,MC5&lt;&gt;""),AND(MD5&gt;=MG$19,MD5&lt;&gt;"",MF5&gt;=MG$23,MF5&lt;&gt;""),AND(NB5&gt;=NO$19,NB5&lt;&gt;"",ND5&gt;=NO$23,ND5&lt;&gt;""),AND(NE5&gt;=NO$19,NE5&lt;&gt;"",NG5&gt;=NO$23,NG5&lt;&gt;""),AND(NI5&gt;=NO$19,NI5&lt;&gt;"",NK5&gt;=NO$23,NK5&lt;&gt;""),AND(NL5&gt;=NO$19,NL5&lt;&gt;"",NN5&gt;=NO$23,NN5&lt;&gt;""),AND(OJ5&gt;=OW$19,OJ5&lt;&gt;"",OL5&gt;=OW$23,OL5&lt;&gt;""),AND(OM5&gt;=OW$19,OM5&lt;&gt;"",OO5&gt;=OW$23,OO5&lt;&gt;""),AND(OQ5&gt;=OW$19,OQ5&lt;&gt;"",OS5&gt;=OW$23,OS5&lt;&gt;""),AND(OT5&gt;=OW$19,OT5&lt;&gt;"",OV5&gt;=OW$23,OV5&lt;&gt;""),AND(PR5&gt;=QE$19,PR5&lt;&gt;"",PT5&gt;=QE$23,PT5&lt;&gt;""),AND(PU5&gt;=QE$19,PU5&lt;&gt;"",PW5&gt;=QE$23,PW5&lt;&gt;""),AND(PY5&gt;=QE$19,PY5&lt;&gt;"",QA5&gt;=QE$23,QA5&lt;&gt;""),AND(QB5&gt;=QE$19,QB5&lt;&gt;"",QD5&gt;=QE$23,QD5&lt;&gt;""),AND(QZ5&gt;=RM$19,QZ5&lt;&gt;"",RB5&gt;=RM$23,RB5&lt;&gt;""),AND(RC5&gt;=RM$19,RC5&lt;&gt;"",RE5&gt;=RM$23,RE5&lt;&gt;""),AND(RG5&gt;=RM$19,RG5&lt;&gt;"",RI5&gt;=RM$23,RI5&lt;&gt;""),AND(RJ5&gt;=RM$19,RJ5&lt;&gt;"",RL5&gt;=RM$23,RL5&lt;&gt;""),AND(SH5&gt;=SU$19,SH5&lt;&gt;"",SJ5&gt;=SU$23,SJ5&lt;&gt;""),AND(SK5&gt;=SU$19,SK5&lt;&gt;"",SM5&gt;=SU$23,SM5&lt;&gt;""),AND(SO5&gt;=SU$19,SO5&lt;&gt;"",SQ5&gt;=SU$23,SQ5&lt;&gt;""),AND(SR5&gt;=SU$19,SR5&lt;&gt;"",ST5&gt;=SU$23,ST5&lt;&gt;"")),"Excellence",IF(I5="P","Worlds Team",IF(F5="P","National Team","")))))</f>
        <v>Merit</v>
      </c>
      <c r="I5" s="3" t="str">
        <f>IF(OR(AND(AO5&gt;=AY$18,AO5&lt;&gt;"",AQ5&gt;=AY$22,AQ5&lt;&gt;"",AN5=""),AND(AR5&gt;=AY$18,AR5&lt;&gt;"",AT5&gt;=AY$22,AT5&lt;&gt;"",AN5=""),AND(AV5&gt;=AY$18,AV5&lt;&gt;"",AX5&gt;=AY$22,AX5&lt;&gt;"",AN5=""),AND(BP5&gt;=BZ$18,BP5&lt;&gt;"",BR5&gt;=BZ$22,BR5&lt;&gt;"",BO5=""),AND(BS5&gt;=BZ$18,BS5&lt;&gt;"",BU5&gt;=BZ$22,BU5&lt;&gt;"",BO5=""),AND(BW5&gt;=BZ$18,BW5&lt;&gt;"",BY5&gt;=BZ$22,BY5&lt;&gt;"",BO5=""),AND(CQ5&gt;=DA$18,CQ5&lt;&gt;"",CS5&gt;=DA$22,CS5&lt;&gt;"",CP5=""),AND(CT5&gt;=DA$18,CT5&lt;&gt;"",CV5&gt;=DA$22,CV5&lt;&gt;"",CP5=""),AND(CX5&gt;=DA$18,CX5&lt;&gt;"",CZ5&gt;=DA$22,CZ5&lt;&gt;"",CP5=""),AND(DX5&gt;=EK$18,DX5&lt;&gt;"",DZ5&gt;=EK$22,DZ5&lt;&gt;""),AND(EA5&gt;=EK$18,EA5&lt;&gt;"",EC5&gt;=EK$22,EC5&lt;&gt;""),AND(EE5&gt;=EK$18,EE5&lt;&gt;"",EG5&gt;=EK$22,EG5&lt;&gt;""),AND(EH5&gt;=EK$18,EH5&lt;&gt;"",EJ5&gt;=EK$22,EJ5&lt;&gt;""),AND(FF5&gt;=FS$18,FF5&lt;&gt;"",FH5&gt;=FS$22,FH5&lt;&gt;""),AND(FI5&gt;=FS$18,FI5&lt;&gt;"",FK5&gt;=FS$22,FK5&lt;&gt;""),AND(FM5&gt;=FS$18,FM5&lt;&gt;"",FO5&gt;=FS$22,FO5&lt;&gt;""),AND(FP5&gt;=FS$18,FP5&lt;&gt;"",FR5&gt;=FS$22,FR5&lt;&gt;""),AND(GN5&gt;=HA$18,GN5&lt;&gt;"",GP5&gt;=HA$22,GP5&lt;&gt;""),AND(GQ5&gt;=HA$18,GQ5&lt;&gt;"",GS5&gt;=HA$22,GS5&lt;&gt;""),AND(GU5&gt;=HA$18,GU5&lt;&gt;"",GW5&gt;=HA$22,GW5&lt;&gt;""),AND(GX5&gt;=HA$18,GX5&lt;&gt;"",GZ5&gt;=HA$22,GZ5&lt;&gt;""),AND(HV5&gt;=II$18,HV5&lt;&gt;"",HX5&gt;=II$22,HX5&lt;&gt;""),AND(HY5&gt;=II$18,HY5&lt;&gt;"",IA5&gt;=II$22,IA5&lt;&gt;""),AND(IC5&gt;=II$18,IC5&lt;&gt;"",IE5&gt;=II$22,IE5&lt;&gt;""),AND(IF5&gt;=II$18,IF5&lt;&gt;"",IH5&gt;=II$22,IH5&lt;&gt;""),AND(JD5&gt;=JQ$18,JD5&lt;&gt;"",JF5&gt;=JQ$22,JF5&lt;&gt;""),AND(JG5&gt;=JQ$18,JG5&lt;&gt;"",JI5&gt;=JQ$22,JI5&lt;&gt;""),AND(JK5&gt;=JQ$18,JK5&lt;&gt;"",JM5&gt;=JQ$22,JM5&lt;&gt;""),AND(JN5&gt;=JQ$18,JN5&lt;&gt;"",JP5&gt;=JQ$22,JP5&lt;&gt;""),AND(KL5&gt;=KY$18,KL5&lt;&gt;"",KN5&gt;=KY$22,KN5&lt;&gt;""),AND(KO5&gt;=KY$18,KO5&lt;&gt;"",KQ5&gt;=KY$22,KQ5&lt;&gt;""),AND(KS5&gt;=KY$18,KS5&lt;&gt;"",KU5&gt;=KY$22,KU5&lt;&gt;""),AND(KV5&gt;=KY$18,KV5&lt;&gt;"",KX5&gt;=KY$22,KX5&lt;&gt;""),AND(LT5&gt;=MG$18,LT5&lt;&gt;"",LV5&gt;=MG$22,LV5&lt;&gt;""),AND(LW5&gt;=MG$18,LW5&lt;&gt;"",LY5&gt;=MG$22,LY5&lt;&gt;""),AND(MA5&gt;=MG$18,MA5&lt;&gt;"",MC5&gt;=MG$22,MC5&lt;&gt;""),AND(MD5&gt;=MG$18,MD5&lt;&gt;"",MF5&gt;=MG$22,MF5&lt;&gt;""),AND(NB5&gt;=NO$18,NB5&lt;&gt;"",ND5&gt;=NO$22,ND5&lt;&gt;""),AND(NE5&gt;=NO$18,NE5&lt;&gt;"",NG5&gt;=NO$22,NG5&lt;&gt;""),AND(NI5&gt;=NO$18,NI5&lt;&gt;"",NK5&gt;=NO$22,NK5&lt;&gt;""),AND(NL5&gt;=NO$18,NL5&lt;&gt;"",NN5&gt;=NO$22,NN5&lt;&gt;""),AND(OJ5&gt;=OW$18,OJ5&lt;&gt;"",OL5&gt;=OW$22,OL5&lt;&gt;""),AND(OM5&gt;=OW$18,OM5&lt;&gt;"",OO5&gt;=OW$22,OO5&lt;&gt;""),AND(OQ5&gt;=OW$18,OQ5&lt;&gt;"",OS5&gt;=OW$22,OS5&lt;&gt;""),AND(OT5&gt;=OW$18,OT5&lt;&gt;"",OV5&gt;=OW$22,OV5&lt;&gt;""),AND(PR5&gt;=QE$18,PR5&lt;&gt;"",PT5&gt;=QE$22,PT5&lt;&gt;""),AND(PU5&gt;=QE$18,PU5&lt;&gt;"",PW5&gt;=QE$22,PW5&lt;&gt;""),AND(PY5&gt;=QE$18,PY5&lt;&gt;"",QA5&gt;=QE$22,QA5&lt;&gt;""),AND(QB5&gt;=QE$18,QB5&lt;&gt;"",QD5&gt;=QE$22,QD5&lt;&gt;""),AND(QZ5&gt;=RM$18,QZ5&lt;&gt;"",RB5&gt;=RM$22,RB5&lt;&gt;""),AND(RC5&gt;=RM$18,RC5&lt;&gt;"",RE5&gt;=RM$22,RE5&lt;&gt;""),AND(RG5&gt;=RM$18,RG5&lt;&gt;"",RI5&gt;=RM$22,RI5&lt;&gt;""),AND(RJ5&gt;=RM$18,RJ5&lt;&gt;"",RL5&gt;=RM$22,RL5&lt;&gt;""),AND(SH5&gt;=SU$18,SH5&lt;&gt;"",SJ5&gt;=SU$22,SJ5&lt;&gt;""),AND(SK5&gt;=SU$18,SK5&lt;&gt;"",SM5&gt;=SU$22,SM5&lt;&gt;""),AND(SO5&gt;=SU$18,SO5&lt;&gt;"",SQ5&gt;=SU$22,SQ5&lt;&gt;""),AND(SR5&gt;=SU$18,SR5&lt;&gt;"",ST5&gt;=SU$22,ST5&lt;&gt;"")),"P","")</f>
        <v>P</v>
      </c>
      <c r="J5" s="13">
        <f>IF(COUNT(AQ5,AT5,BR5,BU5,CS5,CV5)&gt;0,LARGE((AQ5,AT5,BR5,BU5,CS5,CV5),1),0)</f>
        <v>54.83</v>
      </c>
      <c r="K5" s="13" t="str">
        <f>IF(J5="","",IF(OR(J5=CS5,J5=CV5),$CA$1,IF(OR(J5=BR5,J5=BU5),$AZ$1,IF(OR(J5=AQ5,J5=AT5),$Y$1,""))))</f>
        <v>2021 Canadian Championships</v>
      </c>
      <c r="L5" s="13">
        <f>IF(COUNT(AQ5,AT5,BR5,BU5,CS5,CV5)&gt;1,LARGE((AQ5,AT5,BR5,BU5,CS5,CV5),2),0)</f>
        <v>54.67</v>
      </c>
      <c r="M5" s="13" t="str">
        <f>IF(L5="","",IF(OR(L5=CS5,L5=CV5),$CA$1,IF(OR(L5=BR5,L5=BU5),$AZ$1,IF(OR(L5=AQ5,L5=AT5),$Y$1,""))))</f>
        <v>2022 Elite Canada</v>
      </c>
      <c r="N5" s="13">
        <f>IF(COUNT(AQ5,AT5,BR5,BU5,CS5,CV5)&gt;2,LARGE((AQ5,AT5,BR5,BU5,CS5,CV5),3),0)</f>
        <v>54.51</v>
      </c>
      <c r="O5" s="13" t="str">
        <f>IF(N5="","",IF(OR(N5=CS5,N5=CV5),$CA$1,IF(OR(N5=BR5,N5=BU5),$AZ$1,IF(OR(N5=AQ5,N5=AT5),$Y$1,""))))</f>
        <v>2021 Elite Canada</v>
      </c>
      <c r="P5" s="13">
        <f>IF(MAX(AX5,BY5,CZ5)&gt;0,MAX(AX5,BY5,CZ5),0)</f>
        <v>55.1</v>
      </c>
      <c r="Q5" s="13" t="str">
        <f>IF(P5="","",IF(P5=CZ5,$CA$1,IF(P5=BY5,$AZ$1,IF(P5=AX5,$Y$1,""))))</f>
        <v>2021 Elite Canada</v>
      </c>
      <c r="R5" s="13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14.2</v>
      </c>
      <c r="S5" s="13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2021 Canadian Championships</v>
      </c>
      <c r="T5" s="13">
        <f>IF(MAX(IF(AO5&gt;=$AY$17,AP5,0),IF(AR5&gt;=$AY$17,AS5,0),IF(AV5&gt;=$AY$17,AW5,0),IF(BP5&gt;=$BZ$17,BQ5,0),IF(BS5&gt;=$BZ$17,BT5,0),IF(BW5&gt;=$BZ$17,BX5,0),IF(CQ5&gt;=$DA$17,CR5,0),IF(CT5&gt;=$DA$17,CU5,0),IF(CX5&gt;=$DA$17,CY5,0))&gt;0,MAX(IF(AO5&gt;=$AY$17,AP5,0),IF(AR5&gt;=$AY$17,AS5,0),IF(AV5&gt;=$AY$17,AW5,0),IF(BP5&gt;=$BZ$17,BQ5,0),IF(BS5&gt;=$BZ$17,BT5,0),IF(BW5&gt;=$BZ$17,BX5,0),IF(CQ5&gt;=$DA$17,CR5,0),IF(CT5&gt;=$DA$17,CU5,0),IF(CX5&gt;=$DA$17,CY5,0),IF(DX5&gt;=$EK$17,DY5,0),IF(EA5&gt;=$EK$17,EB5,0),IF(EE5&gt;=$EK$17,EF5,0),IF(EH5&gt;=$EK$17,EI5,0),IF(FF5&gt;=$FS$17,FG5,0),IF(FI5&gt;=$FS$17,FJ5,0),IF(FM5&gt;=$FS$17,FN5,0),IF(FP5&gt;=$FS$17,FQ5,0),IF(GN5&gt;=$HA$17,GO5,0),IF(GQ5&gt;=$HA$17,GR5,0),IF(GU5&gt;=$HA$17,GV5,0),IF(GX5&gt;=$HA$17,GY5,0),IF(HV5&gt;=$II$17,HW5,0),IF(HY5&gt;=$II$17,HZ5,0),IF(IC5&gt;=$II$17,ID5,0),IF(IF5&gt;=$II$17,IG5,0),IF(JD5&gt;=$JQ$17,JE5,0),IF(JG5&gt;=$JQ$17,JH5,0),IF(JK5&gt;=$JQ$17,JL5,0),IF(JN5&gt;=$JQ$17,JO5,0),IF(KL5&gt;=$KY$17,KM5,0),IF(KO5&gt;=$KY$17,KP5,0),IF(KS5&gt;=$KY$17,KT5,0),IF(KV5&gt;=$KY$17,KW5,0),IF(LT5&gt;=$MG$17,LU5,0),IF(LW5&gt;=$MG$17,LX5,0),IF(MA5&gt;=$MG$17,MB5,0),IF(MD5&gt;=$MG$17,ME5,0),IF(NB5&gt;=$NO$17,NC5,0),IF(NE5&gt;=$NO$17,NF5,0),IF(NI5&gt;=$NO$17,NJ5,0),IF(NL5&gt;=$NO$17,NM5,0),IF(OJ5&gt;=$OW$17,OK5,0),IF(OM5&gt;=$OW$17,ON5,0),IF(OQ5&gt;=$OW$17,OR5,0),IF(OT5&gt;=$OW$17,OU5,0),IF(PR5&gt;=$QE$17,PS5,0),IF(PU5&gt;=$QE$17,PV5,0),IF(PY5&gt;=$QE$17,PZ5,0),IF(QB5&gt;=$QE$17,QC5,0),IF(QZ5&gt;=$RM$17,RA5,0),IF(RC5&gt;=$RM$17,RD5,0),IF(RG5&gt;=$RM$17,RH5,0),IF(RJ5&gt;=$RM$17,RK5,0),IF(SH5&gt;=$SU$17,SI5,0),IF(SK5&gt;=$SU$17,SL5,0),IF(SO5&gt;=$SU$17,SP5,0),IF(SR5&gt;=$SU$17,SS5,0)),0)</f>
        <v>15.4</v>
      </c>
      <c r="U5" s="13" t="str">
        <f>IF(T5=0,"",IF(OR(T5=CR5,T5=CU5,T5=CY5),$CA$1,IF(OR(T5=BQ5,T5=BT5,T5=BX5),$AZ$1,IF(OR(T5=AP5,T5=AS5,T5=AW5),$Y$1,IF(OR(R5=SI5,R5=SL5,R5=SP5,R5=SS5),$RN$1,IF(OR(R5=RA5,R5=RD5,R5=RH5,R5=RK5),$QF$1,IF(OR(R5=PS5,R5=PV5,R5=PZ5,R5=QC5),$OX$1,IF(OR(R5=OK5,R5=ON5,R5=OR5,R5=OU5),$NP$1,IF(OR(R5=NC5,R5=NF5,R5=NJ5,R5=NM5),$MH$1,IF(OR(R5=LU5,R5=LX5,R5=MB5,R5=ME5),$KZ$1,IF(OR(R5=KM5,R5=KP5,R5=KT5,R5=KW5),$JR$1,IF(OR(R5=JE5,R5=JH5,R5=JL5,R5=JO5),$IJ$1,IF(OR(R5=HW5,R5=HZ5,R5=ID5,R5=IG5),$HB$1,IF(OR(R5=GO5,R5=GR5,R5=GV5,R5=GY5),$FT$1,IF(OR(R5=FG5,R5=FJ5,R5=FN5,R5=FQ5),$EL$1,IF(OR(R5=DY5,R5=EB5,R5=EF5,R5=EI5),$DD$1,""))))))))))))))))</f>
        <v>2022 Elite Canada</v>
      </c>
      <c r="V5" s="13" t="str">
        <f>IF(MAX(DB5,DC5)&gt;0,MAX(DB5,DC5),"")</f>
        <v/>
      </c>
      <c r="W5" s="16" t="str">
        <f>IF(V5="","",IF(V5=DB5,"("&amp;DB$2&amp;")",IF(V5=DC5,"("&amp;DC$2&amp;")")))</f>
        <v/>
      </c>
      <c r="X5" s="13" t="str">
        <f>IF(V5="","",IF(V5=DB5,IF(V5+IF(L5="",0,L5)=SN5,$RN$1,IF(V5+IF(L5="",0,L5)=RF5,$QF$1,IF(V5+IF(L5="",0,L5)=PX5,$OX$1,IF(V5+IF(L5="",0,L5)=OP5,$NP$1,IF(V5+IF(L5="",0,L5)=NH5,$MH$1,IF(V5+IF(L5="",0,L5)=LZ5,$KZ$1,IF(V5+IF(L5="",0,L5)=KR5,$JR$1,IF(V5+IF(L5="",0,L5)=JJ5,$IJ$1,IF(V5+IF(L5="",0,L5)=IB5,$HB$1,IF(V5+IF(L5="",0,L5)=GT5,$FT$1,IF(V5+IF(L5="",0,L5)=FL5,$EL$1,IF(V5+IF(L5="",0,L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$1)))))))))))))))</f>
        <v/>
      </c>
      <c r="Y5" s="42">
        <v>16</v>
      </c>
      <c r="Z5" s="42">
        <v>9.3000000000000007</v>
      </c>
      <c r="AA5" s="42">
        <v>13.8</v>
      </c>
      <c r="AB5" s="42">
        <v>15.244999999999999</v>
      </c>
      <c r="AC5" s="42">
        <v>0</v>
      </c>
      <c r="AD5" s="42">
        <v>16.3</v>
      </c>
      <c r="AE5" s="42">
        <v>9.1999999999999993</v>
      </c>
      <c r="AF5" s="42">
        <v>13.8</v>
      </c>
      <c r="AG5" s="42">
        <v>15.21</v>
      </c>
      <c r="AH5" s="42">
        <v>0</v>
      </c>
      <c r="AI5" s="42">
        <v>16.600000000000001</v>
      </c>
      <c r="AJ5" s="42">
        <v>9.3000000000000007</v>
      </c>
      <c r="AK5" s="42">
        <v>13.8</v>
      </c>
      <c r="AL5" s="42">
        <v>15.4</v>
      </c>
      <c r="AM5" s="42">
        <v>0</v>
      </c>
      <c r="AN5" s="51"/>
      <c r="AO5" s="74">
        <f>IF(AA5&gt;0,AA5,"")</f>
        <v>13.8</v>
      </c>
      <c r="AP5" s="74">
        <f>IF(AB5&gt;0,AB5,"")</f>
        <v>15.244999999999999</v>
      </c>
      <c r="AQ5" s="76">
        <f>IF(SUM(Y5:AB5)-AC5&gt;0,SUM(Y5:AB5)-AC5,"")</f>
        <v>54.344999999999999</v>
      </c>
      <c r="AR5" s="76">
        <f>IF(AF5&gt;0,AF5,"")</f>
        <v>13.8</v>
      </c>
      <c r="AS5" s="76">
        <f>IF(AG5&gt;0,AG5,"")</f>
        <v>15.21</v>
      </c>
      <c r="AT5" s="76">
        <f>IF(SUM(AD5:AG5)-AH5&gt;0,SUM(AD5:AG5)-AH5,"")</f>
        <v>54.51</v>
      </c>
      <c r="AU5" s="76">
        <f>IF(AQ5="","",MAX(AQ5,AT5))</f>
        <v>54.51</v>
      </c>
      <c r="AV5" s="76">
        <f>IF(AK5&gt;0,AK5,"")</f>
        <v>13.8</v>
      </c>
      <c r="AW5" s="76">
        <f>IF(AL5&gt;0,AL5,"")</f>
        <v>15.4</v>
      </c>
      <c r="AX5" s="76">
        <f>IF(SUM(AI5:AL5)-AM5&gt;0,SUM(AI5:AL5)-AM5,"")</f>
        <v>55.1</v>
      </c>
      <c r="AY5" s="76">
        <f>IF(SUM(AU5,AX5)&gt;0,SUM(AU5,AX5),"")</f>
        <v>109.61</v>
      </c>
      <c r="AZ5" s="46">
        <v>7.2</v>
      </c>
      <c r="BA5" s="46">
        <v>4.4000000000000004</v>
      </c>
      <c r="BB5" s="46">
        <v>7.4</v>
      </c>
      <c r="BC5" s="46">
        <v>7.8</v>
      </c>
      <c r="BD5" s="46">
        <v>0</v>
      </c>
      <c r="BE5" s="46">
        <v>16.2</v>
      </c>
      <c r="BF5" s="46">
        <v>9.6</v>
      </c>
      <c r="BG5" s="46">
        <v>13.8</v>
      </c>
      <c r="BH5" s="46">
        <v>15.23</v>
      </c>
      <c r="BI5" s="46">
        <v>0</v>
      </c>
      <c r="BJ5" s="46">
        <v>15.9</v>
      </c>
      <c r="BK5" s="46">
        <v>9.1999999999999993</v>
      </c>
      <c r="BL5" s="46">
        <v>14.2</v>
      </c>
      <c r="BM5" s="46">
        <v>15.4</v>
      </c>
      <c r="BN5" s="46">
        <v>0</v>
      </c>
      <c r="BO5" s="52"/>
      <c r="BP5" s="75">
        <f>IF(BB5&gt;0,BB5,"")</f>
        <v>7.4</v>
      </c>
      <c r="BQ5" s="75">
        <f>IF(BC5&gt;0,BC5,"")</f>
        <v>7.8</v>
      </c>
      <c r="BR5" s="16">
        <f>IF(SUM(AZ5:BC5)-BD5&gt;0,SUM(AZ5:BC5)-BD5,"")</f>
        <v>26.8</v>
      </c>
      <c r="BS5" s="16">
        <f>IF(BG5&gt;0,BG5,"")</f>
        <v>13.8</v>
      </c>
      <c r="BT5" s="16">
        <f>IF(BH5&gt;0,BH5,"")</f>
        <v>15.23</v>
      </c>
      <c r="BU5" s="16">
        <f>IF(SUM(BE5:BH5)-BI5&gt;0,SUM(BE5:BH5)-BI5,"")</f>
        <v>54.83</v>
      </c>
      <c r="BV5" s="16">
        <f>IF(BR5="","",MAX(BR5,BU5))</f>
        <v>54.83</v>
      </c>
      <c r="BW5" s="16">
        <f>IF(BL5&gt;0,BL5,"")</f>
        <v>14.2</v>
      </c>
      <c r="BX5" s="16">
        <f>IF(BM5&gt;0,BM5,"")</f>
        <v>15.4</v>
      </c>
      <c r="BY5" s="16">
        <f>IF(SUM(BJ5:BM5)-BN5&gt;0,SUM(BJ5:BM5)-BN5,"")</f>
        <v>54.699999999999996</v>
      </c>
      <c r="BZ5" s="16">
        <f>IF(SUM(BV5,BY5)&gt;0,SUM(BV5,BY5),"")</f>
        <v>109.53</v>
      </c>
      <c r="CA5" s="42">
        <v>11.6</v>
      </c>
      <c r="CB5" s="42">
        <v>6.8500000000000005</v>
      </c>
      <c r="CC5" s="42">
        <v>10.600000000000001</v>
      </c>
      <c r="CD5" s="42">
        <v>11.522499999999999</v>
      </c>
      <c r="CE5" s="42">
        <v>0</v>
      </c>
      <c r="CF5" s="42">
        <v>16.25</v>
      </c>
      <c r="CG5" s="42">
        <v>9.3999999999999986</v>
      </c>
      <c r="CH5" s="42">
        <v>13.8</v>
      </c>
      <c r="CI5" s="42">
        <v>15.22</v>
      </c>
      <c r="CJ5" s="42">
        <v>0</v>
      </c>
      <c r="CK5" s="42">
        <v>16.25</v>
      </c>
      <c r="CL5" s="42">
        <v>9.25</v>
      </c>
      <c r="CM5" s="42">
        <v>14</v>
      </c>
      <c r="CN5" s="42">
        <v>15.4</v>
      </c>
      <c r="CO5" s="42">
        <v>0</v>
      </c>
      <c r="CP5" s="51" t="s">
        <v>61</v>
      </c>
      <c r="CQ5" s="74">
        <f>IF(CC5&gt;0,CC5,"")</f>
        <v>10.600000000000001</v>
      </c>
      <c r="CR5" s="74">
        <f>IF(CD5&gt;0,CD5,"")</f>
        <v>11.522499999999999</v>
      </c>
      <c r="CS5" s="76">
        <f>IF(SUM(CA5:CD5)-CE5&gt;0,SUM(CA5:CD5)-CE5,"")</f>
        <v>40.572499999999998</v>
      </c>
      <c r="CT5" s="76">
        <f>IF(CH5&gt;0,CH5,"")</f>
        <v>13.8</v>
      </c>
      <c r="CU5" s="76">
        <f>IF(CI5&gt;0,CI5,"")</f>
        <v>15.22</v>
      </c>
      <c r="CV5" s="76">
        <f>IF(SUM(CF5:CI5)-CJ5&gt;0,SUM(CF5:CI5)-CJ5,"")</f>
        <v>54.67</v>
      </c>
      <c r="CW5" s="76">
        <f>IF(CS5="","",MAX(CS5,CV5))</f>
        <v>54.67</v>
      </c>
      <c r="CX5" s="76">
        <f>IF(CM5&gt;0,CM5,"")</f>
        <v>14</v>
      </c>
      <c r="CY5" s="76">
        <f>IF(CN5&gt;0,CN5,"")</f>
        <v>15.4</v>
      </c>
      <c r="CZ5" s="76">
        <f>IF(SUM(CK5:CN5)-CO5&gt;0,SUM(CK5:CN5)-CO5,"")</f>
        <v>54.9</v>
      </c>
      <c r="DA5" s="76">
        <f>IF(SUM(CW5,CZ5)&gt;0,SUM(CW5,CZ5),"")</f>
        <v>109.57</v>
      </c>
      <c r="DB5" s="87" t="str">
        <f>IF(L5&gt;=0.001,IF(MAX(ED5,FL5,GT5,IB5,JJ5,KR5,LZ5,NH5,OP5,PX5,RF5,SN5)-IF(L5="",0,L5)&gt;0.001,MAX(ED5,FL5,GT5,IB5,JJ5,KR5,LZ5,NH5,OP5,PX5,RF5,SN5)-IF(L5="",0,L5),""),"")</f>
        <v/>
      </c>
      <c r="DC5" s="87" t="str">
        <f>IF(P5&gt;=0.001,IF(MAX(EG5,EJ5,FO5,FR5,GW5,GZ5,IE5,IH5,JM5,JP5,KU5,KX5,MC5,MF5,NK5,NN5,OS5,OV5,QA5,QD5,RI5,RL5,SQ5,ST5)-IF(P5="",0,P5)&gt;0.001,MAX(EG5,EJ5,FO5,FR5,GW5,GZ5,IE5,IH5,JM5,JP5,KU5,KX5,MC5,MF5,NK5,NN5,OS5,OV5,QA5,QD5,RI5,RL5,SQ5,ST5)-IF(P5="",0,P5),""),"")</f>
        <v/>
      </c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76" t="str">
        <f>IF(DF5&gt;0,DF5,"")</f>
        <v/>
      </c>
      <c r="DY5" s="76" t="str">
        <f>IF(DG5&gt;0,DG5,"")</f>
        <v/>
      </c>
      <c r="DZ5" s="76" t="str">
        <f>IF(SUM(DD5:DG5)-DH5&gt;0,SUM(DD5:DG5)-DH5,"")</f>
        <v/>
      </c>
      <c r="EA5" s="76" t="str">
        <f>IF(DK5&gt;0,DK5,"")</f>
        <v/>
      </c>
      <c r="EB5" s="76" t="str">
        <f>IF(DL5&gt;0,DL5,"")</f>
        <v/>
      </c>
      <c r="EC5" s="76" t="str">
        <f>IF(SUM(DI5:DL5)-DM5&gt;0,SUM(DI5:DL5)-DM5,"")</f>
        <v/>
      </c>
      <c r="ED5" s="76" t="str">
        <f>IF(MAX(DZ5,EC5)&gt;0,MAX(DZ5,EC5),"")</f>
        <v/>
      </c>
      <c r="EE5" s="76" t="str">
        <f>IF(DP5&gt;0,DP5,"")</f>
        <v/>
      </c>
      <c r="EF5" s="76" t="str">
        <f>IF(DQ5&gt;0,DQ5,"")</f>
        <v/>
      </c>
      <c r="EG5" s="76" t="str">
        <f>IF(SUM(DN5:DQ5)-DR5&gt;0,SUM(DN5:DQ5)-DR5,"")</f>
        <v/>
      </c>
      <c r="EH5" s="76" t="str">
        <f>IF(DU5&gt;0,DU5,"")</f>
        <v/>
      </c>
      <c r="EI5" s="76" t="str">
        <f>IF(DV5&gt;0,DV5,"")</f>
        <v/>
      </c>
      <c r="EJ5" s="76" t="str">
        <f>IF(SUM(DS5:DV5)-DW5&gt;0,SUM(DS5:DV5)-DW5,"")</f>
        <v/>
      </c>
      <c r="EK5" s="76" t="str">
        <f>IF(SUM(ED5,EJ5)&gt;0,SUM(ED5,EJ5),"")</f>
        <v/>
      </c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16" t="str">
        <f>IF(EN5&gt;0,EN5,"")</f>
        <v/>
      </c>
      <c r="FG5" s="16" t="str">
        <f>IF(EO5&gt;0,EO5,"")</f>
        <v/>
      </c>
      <c r="FH5" s="16" t="str">
        <f>IF(SUM(EL5:EO5)-EP5&gt;0,SUM(EL5:EO5)-EP5,"")</f>
        <v/>
      </c>
      <c r="FI5" s="16" t="str">
        <f>IF(ES5&gt;0,ES5,"")</f>
        <v/>
      </c>
      <c r="FJ5" s="16" t="str">
        <f>IF(ET5&gt;0,ET5,"")</f>
        <v/>
      </c>
      <c r="FK5" s="16" t="str">
        <f>IF(SUM(EQ5:ET5)-EU5&gt;0,SUM(EQ5:ET5)-EU5,"")</f>
        <v/>
      </c>
      <c r="FL5" s="16" t="str">
        <f>IF(MAX(FH5,FK5)&gt;0,MAX(FH5,FK5),"")</f>
        <v/>
      </c>
      <c r="FM5" s="16" t="str">
        <f>IF(EX5&gt;0,EX5,"")</f>
        <v/>
      </c>
      <c r="FN5" s="16" t="str">
        <f>IF(EY5&gt;0,EY5,"")</f>
        <v/>
      </c>
      <c r="FO5" s="16" t="str">
        <f>IF(SUM(EV5:EY5)-EZ5&gt;0,SUM(EV5:EY5)-EZ5,"")</f>
        <v/>
      </c>
      <c r="FP5" s="16" t="str">
        <f>IF(FC5&gt;0,FC5,"")</f>
        <v/>
      </c>
      <c r="FQ5" s="16" t="str">
        <f>IF(FD5&gt;0,FD5,"")</f>
        <v/>
      </c>
      <c r="FR5" s="16" t="str">
        <f>IF(SUM(FA5:FD5)-FE5&gt;0,SUM(FA5:FD5)-FE5,"")</f>
        <v/>
      </c>
      <c r="FS5" s="16" t="str">
        <f>IF(SUM(FL5,FR5)&gt;0,SUM(FL5,FR5),"")</f>
        <v/>
      </c>
      <c r="FT5" s="25">
        <v>14.8</v>
      </c>
      <c r="FU5" s="25">
        <v>9.5</v>
      </c>
      <c r="FV5" s="25">
        <v>14.2</v>
      </c>
      <c r="FW5" s="25">
        <v>14.595000000000001</v>
      </c>
      <c r="FX5" s="25">
        <v>0</v>
      </c>
      <c r="FY5" s="25"/>
      <c r="FZ5" s="25"/>
      <c r="GA5" s="25"/>
      <c r="GB5" s="25"/>
      <c r="GC5" s="25"/>
      <c r="GD5" s="25">
        <v>15.4</v>
      </c>
      <c r="GE5" s="25">
        <v>9.3000000000000007</v>
      </c>
      <c r="GF5" s="25">
        <v>14.2</v>
      </c>
      <c r="GG5" s="25">
        <v>14.435</v>
      </c>
      <c r="GH5" s="25">
        <v>0</v>
      </c>
      <c r="GI5" s="25"/>
      <c r="GJ5" s="25"/>
      <c r="GK5" s="25"/>
      <c r="GL5" s="25"/>
      <c r="GM5" s="25"/>
      <c r="GN5" s="76">
        <f>IF(FV5&gt;0,FV5,"")</f>
        <v>14.2</v>
      </c>
      <c r="GO5" s="76">
        <f>IF(FW5&gt;0,FW5,"")</f>
        <v>14.595000000000001</v>
      </c>
      <c r="GP5" s="76">
        <f>IF(SUM(FT5:FW5)-FX5&gt;0,SUM(FT5:FW5)-FX5,"")</f>
        <v>53.094999999999999</v>
      </c>
      <c r="GQ5" s="76" t="str">
        <f>IF(GA5&gt;0,GA5,"")</f>
        <v/>
      </c>
      <c r="GR5" s="76" t="str">
        <f>IF(GB5&gt;0,GB5,"")</f>
        <v/>
      </c>
      <c r="GS5" s="76" t="str">
        <f>IF(SUM(FY5:GB5)-GC5&gt;0,SUM(FY5:GB5)-GC5,"")</f>
        <v/>
      </c>
      <c r="GT5" s="76">
        <f>IF(MAX(GP5,GS5)&gt;0,MAX(GP5,GS5),"")</f>
        <v>53.094999999999999</v>
      </c>
      <c r="GU5" s="76">
        <f>IF(GF5&gt;0,GF5,"")</f>
        <v>14.2</v>
      </c>
      <c r="GV5" s="76">
        <f>IF(GG5&gt;0,GG5,"")</f>
        <v>14.435</v>
      </c>
      <c r="GW5" s="76">
        <f>IF(SUM(GD5:GG5)-GH5&gt;0,SUM(GD5:GG5)-GH5,"")</f>
        <v>53.335000000000008</v>
      </c>
      <c r="GX5" s="76" t="str">
        <f>IF(GK5&gt;0,GK5,"")</f>
        <v/>
      </c>
      <c r="GY5" s="76" t="str">
        <f>IF(GL5&gt;0,GL5,"")</f>
        <v/>
      </c>
      <c r="GZ5" s="76" t="str">
        <f>IF(SUM(GI5:GL5)-GM5&gt;0,SUM(GI5:GL5)-GM5,"")</f>
        <v/>
      </c>
      <c r="HA5" s="76">
        <f>IF(SUM(GT5,GZ5)&gt;0,SUM(GT5,GZ5),"")</f>
        <v>53.094999999999999</v>
      </c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>
        <v>14.9</v>
      </c>
      <c r="HR5" s="26">
        <v>9.5</v>
      </c>
      <c r="HS5" s="26">
        <v>14.2</v>
      </c>
      <c r="HT5" s="26">
        <v>14.67</v>
      </c>
      <c r="HU5" s="26">
        <v>0</v>
      </c>
      <c r="HV5" s="16" t="str">
        <f>IF(HD5&gt;0,HD5,"")</f>
        <v/>
      </c>
      <c r="HW5" s="16" t="str">
        <f>IF(HE5&gt;0,HE5,"")</f>
        <v/>
      </c>
      <c r="HX5" s="16" t="str">
        <f>IF(SUM(HB5:HE5)-HF5&gt;0,SUM(HB5:HE5)-HF5,"")</f>
        <v/>
      </c>
      <c r="HY5" s="16" t="str">
        <f>IF(HI5&gt;0,HI5,"")</f>
        <v/>
      </c>
      <c r="HZ5" s="16" t="str">
        <f>IF(HJ5&gt;0,HJ5,"")</f>
        <v/>
      </c>
      <c r="IA5" s="16" t="str">
        <f>IF(SUM(HG5:HJ5)-HK5&gt;0,SUM(HG5:HJ5)-HK5,"")</f>
        <v/>
      </c>
      <c r="IB5" s="16" t="str">
        <f>IF(MAX(HX5,IA5)&gt;0,MAX(HX5,IA5),"")</f>
        <v/>
      </c>
      <c r="IC5" s="16" t="str">
        <f>IF(HN5&gt;0,HN5,"")</f>
        <v/>
      </c>
      <c r="ID5" s="16" t="str">
        <f>IF(HO5&gt;0,HO5,"")</f>
        <v/>
      </c>
      <c r="IE5" s="16" t="str">
        <f>IF(SUM(HL5:HO5)-HP5&gt;0,SUM(HL5:HO5)-HP5,"")</f>
        <v/>
      </c>
      <c r="IF5" s="16">
        <f>IF(HS5&gt;0,HS5,"")</f>
        <v>14.2</v>
      </c>
      <c r="IG5" s="16">
        <f>IF(HT5&gt;0,HT5,"")</f>
        <v>14.67</v>
      </c>
      <c r="IH5" s="16">
        <f>IF(SUM(HQ5:HT5)-HU5&gt;0,SUM(HQ5:HT5)-HU5,"")</f>
        <v>53.269999999999996</v>
      </c>
      <c r="II5" s="16">
        <f>IF(SUM(IB5,IH5)&gt;0,SUM(IB5,IH5),"")</f>
        <v>53.269999999999996</v>
      </c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76" t="str">
        <f>IF(IL5&gt;0,IL5,"")</f>
        <v/>
      </c>
      <c r="JE5" s="76" t="str">
        <f>IF(IM5&gt;0,IM5,"")</f>
        <v/>
      </c>
      <c r="JF5" s="76" t="str">
        <f>IF(SUM(IJ5:IM5)-IN5&gt;0,SUM(IJ5:IM5)-IN5,"")</f>
        <v/>
      </c>
      <c r="JG5" s="76" t="str">
        <f>IF(IQ5&gt;0,IQ5,"")</f>
        <v/>
      </c>
      <c r="JH5" s="76" t="str">
        <f>IF(IR5&gt;0,IR5,"")</f>
        <v/>
      </c>
      <c r="JI5" s="76" t="str">
        <f>IF(SUM(IO5:IR5)-IS5&gt;0,SUM(IO5:IR5)-IS5,"")</f>
        <v/>
      </c>
      <c r="JJ5" s="76" t="str">
        <f>IF(MAX(JF5,JI5)&gt;0,MAX(JF5,JI5),"")</f>
        <v/>
      </c>
      <c r="JK5" s="76" t="str">
        <f>IF(IV5&gt;0,IV5,"")</f>
        <v/>
      </c>
      <c r="JL5" s="76" t="str">
        <f>IF(IW5&gt;0,IW5,"")</f>
        <v/>
      </c>
      <c r="JM5" s="76" t="str">
        <f>IF(SUM(IT5:IW5)-IX5&gt;0,SUM(IT5:IW5)-IX5,"")</f>
        <v/>
      </c>
      <c r="JN5" s="76" t="str">
        <f>IF(JA5&gt;0,JA5,"")</f>
        <v/>
      </c>
      <c r="JO5" s="76" t="str">
        <f>IF(JB5&gt;0,JB5,"")</f>
        <v/>
      </c>
      <c r="JP5" s="76" t="str">
        <f>IF(SUM(IY5:JB5)-JC5&gt;0,SUM(IY5:JB5)-JC5,"")</f>
        <v/>
      </c>
      <c r="JQ5" s="76" t="str">
        <f>IF(SUM(JJ5,JP5)&gt;0,SUM(JJ5,JP5),"")</f>
        <v/>
      </c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16" t="str">
        <f>IF(JT5&gt;0,JT5,"")</f>
        <v/>
      </c>
      <c r="KM5" s="16" t="str">
        <f>IF(JU5&gt;0,JU5,"")</f>
        <v/>
      </c>
      <c r="KN5" s="16" t="str">
        <f>IF(SUM(JR5:JU5)-JV5&gt;0,SUM(JR5:JU5)-JV5,"")</f>
        <v/>
      </c>
      <c r="KO5" s="16" t="str">
        <f>IF(JY5&gt;0,JY5,"")</f>
        <v/>
      </c>
      <c r="KP5" s="16" t="str">
        <f>IF(JZ5&gt;0,JZ5,"")</f>
        <v/>
      </c>
      <c r="KQ5" s="16" t="str">
        <f>IF(SUM(JW5:JZ5)-KA5&gt;0,SUM(JW5:JZ5)-KA5,"")</f>
        <v/>
      </c>
      <c r="KR5" s="16" t="str">
        <f>IF(MAX(KN5,KQ5)&gt;0,MAX(KN5,KQ5),"")</f>
        <v/>
      </c>
      <c r="KS5" s="16" t="str">
        <f>IF(KD5&gt;0,KD5,"")</f>
        <v/>
      </c>
      <c r="KT5" s="16" t="str">
        <f>IF(KE5&gt;0,KE5,"")</f>
        <v/>
      </c>
      <c r="KU5" s="16" t="str">
        <f>IF(SUM(KB5:KE5)-KF5&gt;0,SUM(KB5:KE5)-KF5,"")</f>
        <v/>
      </c>
      <c r="KV5" s="16" t="str">
        <f>IF(KI5&gt;0,KI5,"")</f>
        <v/>
      </c>
      <c r="KW5" s="16" t="str">
        <f>IF(KJ5&gt;0,KJ5,"")</f>
        <v/>
      </c>
      <c r="KX5" s="16" t="str">
        <f>IF(SUM(KG5:KJ5)-KK5&gt;0,SUM(KG5:KJ5)-KK5,"")</f>
        <v/>
      </c>
      <c r="KY5" s="16" t="str">
        <f>IF(SUM(KR5,KX5)&gt;0,SUM(KR5,KX5),"")</f>
        <v/>
      </c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76" t="str">
        <f>IF(LB5&gt;0,LB5,"")</f>
        <v/>
      </c>
      <c r="LU5" s="76" t="str">
        <f>IF(LC5&gt;0,LC5,"")</f>
        <v/>
      </c>
      <c r="LV5" s="76" t="str">
        <f>IF(SUM(KZ5:LC5)-LD5&gt;0,SUM(KZ5:LC5)-LD5,"")</f>
        <v/>
      </c>
      <c r="LW5" s="76" t="str">
        <f>IF(LG5&gt;0,LG5,"")</f>
        <v/>
      </c>
      <c r="LX5" s="76" t="str">
        <f>IF(LH5&gt;0,LH5,"")</f>
        <v/>
      </c>
      <c r="LY5" s="76" t="str">
        <f>IF(SUM(LE5:LH5)-LI5&gt;0,SUM(LE5:LH5)-LI5,"")</f>
        <v/>
      </c>
      <c r="LZ5" s="76" t="str">
        <f>IF(MAX(LV5,LY5)&gt;0,MAX(LV5,LY5),"")</f>
        <v/>
      </c>
      <c r="MA5" s="76" t="str">
        <f>IF(LL5&gt;0,LL5,"")</f>
        <v/>
      </c>
      <c r="MB5" s="76" t="str">
        <f>IF(LM5&gt;0,LM5,"")</f>
        <v/>
      </c>
      <c r="MC5" s="76" t="str">
        <f>IF(SUM(LJ5:LM5)-LN5&gt;0,SUM(LJ5:LM5)-LN5,"")</f>
        <v/>
      </c>
      <c r="MD5" s="76" t="str">
        <f>IF(LQ5&gt;0,LQ5,"")</f>
        <v/>
      </c>
      <c r="ME5" s="76" t="str">
        <f>IF(LR5&gt;0,LR5,"")</f>
        <v/>
      </c>
      <c r="MF5" s="76" t="str">
        <f>IF(SUM(LO5:LR5)-LS5&gt;0,SUM(LO5:LR5)-LS5,"")</f>
        <v/>
      </c>
      <c r="MG5" s="76" t="str">
        <f>IF(SUM(LZ5,MF5)&gt;0,SUM(LZ5,MF5),"")</f>
        <v/>
      </c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16" t="str">
        <f>IF(MJ5&gt;0,MJ5,"")</f>
        <v/>
      </c>
      <c r="NC5" s="16" t="str">
        <f>IF(MK5&gt;0,MK5,"")</f>
        <v/>
      </c>
      <c r="ND5" s="16" t="str">
        <f>IF(SUM(MH5:MK5)-ML5&gt;0,SUM(MH5:MK5)-ML5,"")</f>
        <v/>
      </c>
      <c r="NE5" s="16" t="str">
        <f>IF(MO5&gt;0,MO5,"")</f>
        <v/>
      </c>
      <c r="NF5" s="16" t="str">
        <f>IF(MP5&gt;0,MP5,"")</f>
        <v/>
      </c>
      <c r="NG5" s="16" t="str">
        <f>IF(SUM(MM5:MP5)-MQ5&gt;0,SUM(MM5:MP5)-MQ5,"")</f>
        <v/>
      </c>
      <c r="NH5" s="16" t="str">
        <f>IF(MAX(ND5,NG5)&gt;0,MAX(ND5,NG5),"")</f>
        <v/>
      </c>
      <c r="NI5" s="16" t="str">
        <f>IF(MT5&gt;0,MT5,"")</f>
        <v/>
      </c>
      <c r="NJ5" s="16" t="str">
        <f>IF(MU5&gt;0,MU5,"")</f>
        <v/>
      </c>
      <c r="NK5" s="16" t="str">
        <f>IF(SUM(MR5:MU5)-MV5&gt;0,SUM(MR5:MU5)-MV5,"")</f>
        <v/>
      </c>
      <c r="NL5" s="16" t="str">
        <f>IF(MY5&gt;0,MY5,"")</f>
        <v/>
      </c>
      <c r="NM5" s="16" t="str">
        <f>IF(MZ5&gt;0,MZ5,"")</f>
        <v/>
      </c>
      <c r="NN5" s="16" t="str">
        <f>IF(SUM(MW5:MZ5)-NA5&gt;0,SUM(MW5:MZ5)-NA5,"")</f>
        <v/>
      </c>
      <c r="NO5" s="16" t="str">
        <f>IF(SUM(NH5,NN5)&gt;0,SUM(NH5,NN5),"")</f>
        <v/>
      </c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76" t="str">
        <f>IF(NR5&gt;0,NR5,"")</f>
        <v/>
      </c>
      <c r="OK5" s="76" t="str">
        <f>IF(NS5&gt;0,NS5,"")</f>
        <v/>
      </c>
      <c r="OL5" s="76" t="str">
        <f>IF(SUM(NP5:NS5)-NT5&gt;0,SUM(NP5:NS5)-NT5,"")</f>
        <v/>
      </c>
      <c r="OM5" s="76" t="str">
        <f>IF(NW5&gt;0,NW5,"")</f>
        <v/>
      </c>
      <c r="ON5" s="76" t="str">
        <f>IF(NX5&gt;0,NX5,"")</f>
        <v/>
      </c>
      <c r="OO5" s="76" t="str">
        <f>IF(SUM(NU5:NX5)-NY5&gt;0,SUM(NU5:NX5)-NY5,"")</f>
        <v/>
      </c>
      <c r="OP5" s="76" t="str">
        <f>IF(MAX(OL5,OO5)&gt;0,MAX(OL5,OO5),"")</f>
        <v/>
      </c>
      <c r="OQ5" s="76" t="str">
        <f>IF(OB5&gt;0,OB5,"")</f>
        <v/>
      </c>
      <c r="OR5" s="76" t="str">
        <f>IF(OC5&gt;0,OC5,"")</f>
        <v/>
      </c>
      <c r="OS5" s="76" t="str">
        <f>IF(SUM(NZ5:OC5)-OD5&gt;0,SUM(NZ5:OC5)-OD5,"")</f>
        <v/>
      </c>
      <c r="OT5" s="76" t="str">
        <f>IF(OG5&gt;0,OG5,"")</f>
        <v/>
      </c>
      <c r="OU5" s="76" t="str">
        <f>IF(OH5&gt;0,OH5,"")</f>
        <v/>
      </c>
      <c r="OV5" s="76" t="str">
        <f>IF(SUM(OE5:OH5)-OI5&gt;0,SUM(OE5:OH5)-OI5,"")</f>
        <v/>
      </c>
      <c r="OW5" s="76" t="str">
        <f>IF(SUM(OP5,OV5)&gt;0,SUM(OP5,OV5),"")</f>
        <v/>
      </c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16" t="str">
        <f>IF(OZ5&gt;0,OZ5,"")</f>
        <v/>
      </c>
      <c r="PS5" s="16" t="str">
        <f>IF(PA5&gt;0,PA5,"")</f>
        <v/>
      </c>
      <c r="PT5" s="16" t="str">
        <f>IF(SUM(OX5:PA5)-PB5&gt;0,SUM(OX5:PA5)-PB5,"")</f>
        <v/>
      </c>
      <c r="PU5" s="16" t="str">
        <f>IF(PE5&gt;0,PE5,"")</f>
        <v/>
      </c>
      <c r="PV5" s="16" t="str">
        <f>IF(PF5&gt;0,PF5,"")</f>
        <v/>
      </c>
      <c r="PW5" s="16" t="str">
        <f>IF(SUM(PC5:PF5)-PG5&gt;0,SUM(PC5:PF5)-PG5,"")</f>
        <v/>
      </c>
      <c r="PX5" s="16" t="str">
        <f>IF(MAX(PT5,PW5)&gt;0,MAX(PT5,PW5),"")</f>
        <v/>
      </c>
      <c r="PY5" s="16" t="str">
        <f>IF(PJ5&gt;0,PJ5,"")</f>
        <v/>
      </c>
      <c r="PZ5" s="16" t="str">
        <f>IF(PK5&gt;0,PK5,"")</f>
        <v/>
      </c>
      <c r="QA5" s="16" t="str">
        <f>IF(SUM(PH5:PK5)-PL5&gt;0,SUM(PH5:PK5)-PL5,"")</f>
        <v/>
      </c>
      <c r="QB5" s="16" t="str">
        <f>IF(PO5&gt;0,PO5,"")</f>
        <v/>
      </c>
      <c r="QC5" s="16" t="str">
        <f>IF(PP5&gt;0,PP5,"")</f>
        <v/>
      </c>
      <c r="QD5" s="16" t="str">
        <f>IF(SUM(PM5:PP5)-PQ5&gt;0,SUM(PM5:PP5)-PQ5,"")</f>
        <v/>
      </c>
      <c r="QE5" s="16" t="str">
        <f>IF(SUM(PX5,QD5)&gt;0,SUM(PX5,QD5),"")</f>
        <v/>
      </c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76" t="str">
        <f>IF(QH5&gt;0,QH5,"")</f>
        <v/>
      </c>
      <c r="RA5" s="76" t="str">
        <f>IF(QI5&gt;0,QI5,"")</f>
        <v/>
      </c>
      <c r="RB5" s="76" t="str">
        <f>IF(SUM(QF5:QI5)-QJ5&gt;0,SUM(QF5:QI5)-QJ5,"")</f>
        <v/>
      </c>
      <c r="RC5" s="76" t="str">
        <f>IF(QM5&gt;0,QM5,"")</f>
        <v/>
      </c>
      <c r="RD5" s="76" t="str">
        <f>IF(QN5&gt;0,QN5,"")</f>
        <v/>
      </c>
      <c r="RE5" s="76" t="str">
        <f>IF(SUM(QK5:QN5)-QO5&gt;0,SUM(QK5:QN5)-QO5,"")</f>
        <v/>
      </c>
      <c r="RF5" s="76" t="str">
        <f>IF(MAX(RB5,RE5)&gt;0,MAX(RB5,RE5),"")</f>
        <v/>
      </c>
      <c r="RG5" s="76" t="str">
        <f>IF(QR5&gt;0,QR5,"")</f>
        <v/>
      </c>
      <c r="RH5" s="76" t="str">
        <f>IF(QS5&gt;0,QS5,"")</f>
        <v/>
      </c>
      <c r="RI5" s="76" t="str">
        <f>IF(SUM(QP5:QS5)-QT5&gt;0,SUM(QP5:QS5)-QT5,"")</f>
        <v/>
      </c>
      <c r="RJ5" s="76" t="str">
        <f>IF(QW5&gt;0,QW5,"")</f>
        <v/>
      </c>
      <c r="RK5" s="76" t="str">
        <f>IF(QX5&gt;0,QX5,"")</f>
        <v/>
      </c>
      <c r="RL5" s="76" t="str">
        <f>IF(SUM(QU5:QX5)-QY5&gt;0,SUM(QU5:QX5)-QY5,"")</f>
        <v/>
      </c>
      <c r="RM5" s="76" t="str">
        <f>IF(SUM(RF5,RL5)&gt;0,SUM(RF5,RL5),"")</f>
        <v/>
      </c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16" t="str">
        <f>IF(RP5&gt;0,RP5,"")</f>
        <v/>
      </c>
      <c r="SI5" s="16" t="str">
        <f>IF(RQ5&gt;0,RQ5,"")</f>
        <v/>
      </c>
      <c r="SJ5" s="16" t="str">
        <f>IF(SUM(RN5:RQ5)-RR5&gt;0,SUM(RN5:RQ5)-RR5,"")</f>
        <v/>
      </c>
      <c r="SK5" s="16" t="str">
        <f>IF(RU5&gt;0,RU5,"")</f>
        <v/>
      </c>
      <c r="SL5" s="16" t="str">
        <f>IF(RV5&gt;0,RV5,"")</f>
        <v/>
      </c>
      <c r="SM5" s="16" t="str">
        <f>IF(SUM(RS5:RV5)-RW5&gt;0,SUM(RS5:RV5)-RW5,"")</f>
        <v/>
      </c>
      <c r="SN5" s="16" t="str">
        <f>IF(MAX(SJ5,SM5)&gt;0,MAX(SJ5,SM5),"")</f>
        <v/>
      </c>
      <c r="SO5" s="16" t="str">
        <f>IF(RZ5&gt;0,RZ5,"")</f>
        <v/>
      </c>
      <c r="SP5" s="16" t="str">
        <f>IF(SA5&gt;0,SA5,"")</f>
        <v/>
      </c>
      <c r="SQ5" s="16" t="str">
        <f>IF(SUM(RX5:SA5)-SB5&gt;0,SUM(RX5:SA5)-SB5,"")</f>
        <v/>
      </c>
      <c r="SR5" s="16" t="str">
        <f>IF(SE5&gt;0,SE5,"")</f>
        <v/>
      </c>
      <c r="SS5" s="16" t="str">
        <f>IF(SF5&gt;0,SF5,"")</f>
        <v/>
      </c>
      <c r="ST5" s="16" t="str">
        <f>IF(SUM(SC5:SF5)-SG5&gt;0,SUM(SC5:SF5)-SG5,"")</f>
        <v/>
      </c>
      <c r="SU5" s="16" t="str">
        <f>IF(SUM(SN5,ST5)&gt;0,SUM(SN5,ST5),"")</f>
        <v/>
      </c>
      <c r="SV5" s="42">
        <f>IF($CP5="P",CA5,(CA5+AZ5)/2)</f>
        <v>11.6</v>
      </c>
      <c r="SW5" s="42">
        <f>IF($CP5="P",CB5,(CB5+BA5)/2)</f>
        <v>6.8500000000000005</v>
      </c>
      <c r="SX5" s="42">
        <f>IF($CP5="P",CC5,(CC5+BB5)/2)</f>
        <v>10.600000000000001</v>
      </c>
      <c r="SY5" s="42">
        <f>IF($CP5="P",CD5,(CD5+BC5)/2)</f>
        <v>11.522499999999999</v>
      </c>
      <c r="SZ5" s="42">
        <f>IF($CP5="P",CE5,(CE5+BD5)/2)</f>
        <v>0</v>
      </c>
      <c r="TA5" s="42">
        <f>IF($CP5="P",CF5,(CF5+BE5)/2)</f>
        <v>16.25</v>
      </c>
      <c r="TB5" s="42">
        <f>IF($CP5="P",CG5,(CG5+BF5)/2)</f>
        <v>9.3999999999999986</v>
      </c>
      <c r="TC5" s="42">
        <f>IF($CP5="P",CH5,(CH5+BG5)/2)</f>
        <v>13.8</v>
      </c>
      <c r="TD5" s="42">
        <f>IF($CP5="P",CI5,(CI5+BH5)/2)</f>
        <v>15.22</v>
      </c>
      <c r="TE5" s="42">
        <f>IF($CP5="P",CJ5,(CJ5+BI5)/2)</f>
        <v>0</v>
      </c>
      <c r="TF5" s="42">
        <f>IF($CP5="P",CK5,(CK5+BJ5)/2)</f>
        <v>16.25</v>
      </c>
      <c r="TG5" s="42">
        <f>IF($CP5="P",CL5,(CL5+BK5)/2)</f>
        <v>9.25</v>
      </c>
      <c r="TH5" s="42">
        <f>IF($CP5="P",CM5,(CM5+BL5)/2)</f>
        <v>14</v>
      </c>
      <c r="TI5" s="42">
        <f>IF($CP5="P",CN5,(CN5+BM5)/2)</f>
        <v>15.4</v>
      </c>
      <c r="TJ5" s="42">
        <f>IF($CP5="P",CO5,(CO5+BN5)/2)</f>
        <v>0</v>
      </c>
      <c r="TK5" s="51" t="s">
        <v>61</v>
      </c>
      <c r="TL5" s="76">
        <f>IF(SX5&gt;0,SX5,"")</f>
        <v>10.600000000000001</v>
      </c>
      <c r="TM5" s="76">
        <f>IF(SY5&gt;0,SY5,"")</f>
        <v>11.522499999999999</v>
      </c>
      <c r="TN5" s="76">
        <f>IF(SUM(SV5:SY5)-SZ5&gt;0,SUM(SV5:SY5)-SZ5,"")</f>
        <v>40.572499999999998</v>
      </c>
      <c r="TO5" s="76">
        <f>IF(TC5&gt;0,TC5,"")</f>
        <v>13.8</v>
      </c>
      <c r="TP5" s="76">
        <f>IF(TD5&gt;0,TD5,"")</f>
        <v>15.22</v>
      </c>
      <c r="TQ5" s="76">
        <f>IF(SUM(TA5:TD5)-TE5&gt;0,SUM(TA5:TD5)-TE5,"")</f>
        <v>54.67</v>
      </c>
      <c r="TR5" s="76">
        <f>IF(MAX(TN5,TQ5)&gt;0,MAX(TN5,TQ5),"")</f>
        <v>54.67</v>
      </c>
      <c r="TS5" s="76">
        <f>IF(TH5&gt;0,TH5,"")</f>
        <v>14</v>
      </c>
      <c r="TT5" s="76">
        <f>IF(TI5&gt;0,TI5,"")</f>
        <v>15.4</v>
      </c>
      <c r="TU5" s="76">
        <f>IF(SUM(TF5:TI5)-TJ5&gt;0,SUM(TF5:TI5)-TJ5,"")</f>
        <v>54.9</v>
      </c>
      <c r="TV5" s="76">
        <f>IF(SUM(TR5,TU5)&gt;0,SUM(TR5,TU5),"")</f>
        <v>109.57</v>
      </c>
    </row>
    <row r="6" spans="1:542" x14ac:dyDescent="0.2">
      <c r="A6" s="5" cm="1">
        <f t="array" ref="A6">IF(AND(F6&lt;&gt;"",G6&lt;&gt;""),SUMPRODUCT((F$4:F$15&lt;&gt;"")*(G$4:G$15&lt;&gt;"")*(E$4:E$15&gt;E6))+1,IF(G6&lt;&gt;"",SUMPRODUCT((H$4:H$15="No DD")*(E$4:E$15&gt;E6))+1+SUMPRODUCT((F$4:F$15&lt;&gt;"")*(G$4:G$15&lt;&gt;"")),""))</f>
        <v>3</v>
      </c>
      <c r="B6" s="6" t="s">
        <v>26</v>
      </c>
      <c r="C6" s="7" t="s">
        <v>9</v>
      </c>
      <c r="D6" s="18">
        <v>1998</v>
      </c>
      <c r="E6" s="14">
        <f>SUM(J6:V6)+SUM(J6:T6)*0.0000001+SUM(J6)*0.0000000000001</f>
        <v>248.55502484850552</v>
      </c>
      <c r="F6" s="3" t="str">
        <f>IF(OR(AND(AO6&gt;=AY$17,AO6&lt;&gt;"",AQ6&gt;=AY$21,AQ6&lt;&gt;"",AN6=""),AND(AR6&gt;=AY$17,AR6&lt;&gt;"",AT6&gt;=AY$21,AT6&lt;&gt;"",AN6=""),AND(AV6&gt;=AY$17,AV6&lt;&gt;"",AX6&gt;=AY$21,AX6&lt;&gt;"",AN6=""),AND(BP6&gt;=BZ$17,BP6&lt;&gt;"",BR6&gt;=BZ$21,BR6&lt;&gt;"",BO6=""),AND(BS6&gt;=BZ$17,BS6&lt;&gt;"",BU6&gt;=BZ$21,BU6&lt;&gt;"",BO6=""),AND(BW6&gt;=BZ$17,BW6&lt;&gt;"",BY6&gt;=BZ$21,BY6&lt;&gt;"",BO6=""),AND(CQ6&gt;=DA$17,CQ6&lt;&gt;"",CS6&gt;=DA$21,CS6&lt;&gt;"",CP6=""),AND(CT6&gt;=DA$17,CT6&lt;&gt;"",CV6&gt;=DA$21,CV6&lt;&gt;"",CP6=""),AND(CX6&gt;=DA$17,CX6&lt;&gt;"",CZ6&gt;=DA$21,CZ6&lt;&gt;"",CP6=""),AND(DX6&gt;=EK$17,DX6&lt;&gt;"",DZ6&gt;=EK$21,DZ6&lt;&gt;""),AND(EA6&gt;=EK$17,EA6&lt;&gt;"",EC6&gt;=EK$21,EC6&lt;&gt;""),AND(EE6&gt;=EK$17,EE6&lt;&gt;"",EG6&gt;=EK$21,EG6&lt;&gt;""),AND(EH6&gt;=EK$17,EH6&lt;&gt;"",EJ6&gt;=EK$21,EJ6&lt;&gt;""),AND(FF6&gt;=FS$17,FF6&lt;&gt;"",FH6&gt;=FS$21,FH6&lt;&gt;""),AND(FI6&gt;=FS$17,FI6&lt;&gt;"",FK6&gt;=FS$21,FK6&lt;&gt;""),AND(FM6&gt;=FS$17,FM6&lt;&gt;"",FO6&gt;=FS$21,FO6&lt;&gt;""),AND(FP6&gt;=FS$17,FP6&lt;&gt;"",FR6&gt;=FS$21,FR6&lt;&gt;""),AND(GN6&gt;=HA$17,GN6&lt;&gt;"",GP6&gt;=HA$21,GP6&lt;&gt;""),AND(GQ6&gt;=HA$17,GQ6&lt;&gt;"",GS6&gt;=HA$21,GS6&lt;&gt;""),AND(GU6&gt;=HA$17,GU6&lt;&gt;"",GW6&gt;=HA$21,GW6&lt;&gt;""),AND(GX6&gt;=HA$17,GX6&lt;&gt;"",GZ6&gt;=HA$21,GZ6&lt;&gt;""),AND(HV6&gt;=II$17,HV6&lt;&gt;"",HX6&gt;=II$21,HX6&lt;&gt;""),AND(HY6&gt;=II$17,HY6&lt;&gt;"",IA6&gt;=II$21,IA6&lt;&gt;""),AND(IC6&gt;=II$17,IC6&lt;&gt;"",IE6&gt;=II$21,IE6&lt;&gt;""),AND(IF6&gt;=II$17,IF6&lt;&gt;"",IH6&gt;=II$21,IH6&lt;&gt;""),AND(JD6&gt;=JQ$17,JD6&lt;&gt;"",JF6&gt;=JQ$21,JF6&lt;&gt;""),AND(JG6&gt;=JQ$17,JG6&lt;&gt;"",JI6&gt;=JQ$21,JI6&lt;&gt;""),AND(JK6&gt;=JQ$17,JK6&lt;&gt;"",JM6&gt;=JQ$21,JM6&lt;&gt;""),AND(JN6&gt;=JQ$17,JN6&lt;&gt;"",JP6&gt;=JQ$21,JP6&lt;&gt;""),AND(KL6&gt;=KY$17,KL6&lt;&gt;"",KN6&gt;=KY$21,KN6&lt;&gt;""),AND(KO6&gt;=KY$17,KO6&lt;&gt;"",KQ6&gt;=KY$21,KQ6&lt;&gt;""),AND(KS6&gt;=KY$17,KS6&lt;&gt;"",KU6&gt;=KY$21,KU6&lt;&gt;""),AND(KV6&gt;=KY$17,KV6&lt;&gt;"",KX6&gt;=KY$21,KX6&lt;&gt;""),AND(LT6&gt;=MG$17,LT6&lt;&gt;"",LV6&gt;=MG$21,LV6&lt;&gt;""),AND(LW6&gt;=MG$17,LW6&lt;&gt;"",LY6&gt;=MG$21,LY6&lt;&gt;""),AND(MA6&gt;=MG$17,MA6&lt;&gt;"",MC6&gt;=MG$21,MC6&lt;&gt;""),AND(MD6&gt;=MG$17,MD6&lt;&gt;"",MF6&gt;=MG$21,MF6&lt;&gt;""),AND(NB6&gt;=NO$17,NB6&lt;&gt;"",ND6&gt;=NO$21,ND6&lt;&gt;""),AND(NE6&gt;=NO$17,NE6&lt;&gt;"",NG6&gt;=NO$21,NG6&lt;&gt;""),AND(NI6&gt;=NO$17,NI6&lt;&gt;"",NK6&gt;=NO$21,NK6&lt;&gt;""),AND(NL6&gt;=NO$17,NL6&lt;&gt;"",NN6&gt;=NO$21,NN6&lt;&gt;""),AND(OJ6&gt;=OW$17,OJ6&lt;&gt;"",OL6&gt;=OW$21,OL6&lt;&gt;""),AND(OM6&gt;=OW$17,OM6&lt;&gt;"",OO6&gt;=OW$21,OO6&lt;&gt;""),AND(OQ6&gt;=OW$17,OQ6&lt;&gt;"",OS6&gt;=OW$21,OS6&lt;&gt;""),AND(OT6&gt;=OW$17,OT6&lt;&gt;"",OV6&gt;=OW$21,OV6&lt;&gt;""),AND(PR6&gt;=QE$17,PR6&lt;&gt;"",PT6&gt;=QE$21,PT6&lt;&gt;""),AND(PU6&gt;=QE$17,PU6&lt;&gt;"",PW6&gt;=QE$21,PW6&lt;&gt;""),AND(PY6&gt;=QE$17,PY6&lt;&gt;"",QA6&gt;=QE$21,QA6&lt;&gt;""),AND(QB6&gt;=QE$17,QB6&lt;&gt;"",QD6&gt;=QE$21,QD6&lt;&gt;""),AND(QZ6&gt;=RM$17,QZ6&lt;&gt;"",RB6&gt;=RM$21,RB6&lt;&gt;""),AND(RC6&gt;=RM$17,RC6&lt;&gt;"",RE6&gt;=RM$21,RE6&lt;&gt;""),AND(RG6&gt;=RM$17,RG6&lt;&gt;"",RI6&gt;=RM$21,RI6&lt;&gt;""),AND(RJ6&gt;=RM$17,RJ6&lt;&gt;"",RL6&gt;=RM$21,RL6&lt;&gt;""),AND(SH6&gt;=SU$17,SH6&lt;&gt;"",SJ6&gt;=SU$21,SJ6&lt;&gt;""),AND(SK6&gt;=SU$17,SK6&lt;&gt;"",SM6&gt;=SU$21,SM6&lt;&gt;""),AND(SO6&gt;=SU$17,SO6&lt;&gt;"",SQ6&gt;=SU$21,SQ6&lt;&gt;""),AND(SR6&gt;=SU$17,SR6&lt;&gt;"",ST6&gt;=SU$21,ST6&lt;&gt;"")),"P","")</f>
        <v>P</v>
      </c>
      <c r="G6" s="3" t="str">
        <f>IF(OR(AND(AQ6&gt;=AY$21,AQ6&lt;&gt;"",AN6=""),AND(AT6&gt;=AY$21,AT6&lt;&gt;"",AN6=""),AND(AX6&gt;=AY$21,AX6&lt;&gt;"",AN6=""),AND(BR6&gt;=BZ$21,BR6&lt;&gt;"",BO6=""),AND(BU6&gt;=BZ$21,BU6&lt;&gt;"",BO6=""),AND(BY6&gt;=BZ$21,BY6&lt;&gt;"",BO6=""),AND(CS6&gt;=DA$21,CS6&lt;&gt;"",CP6=""),AND(CV6&gt;=DA$21,CV6&lt;&gt;"",CP6=""),AND(CZ6&gt;=DA$21,CZ6&lt;&gt;"",CP6=""),AND(DZ6&gt;=EK$21,DZ6&lt;&gt;""),AND(EC6&gt;=EK$21,EC6&lt;&gt;""),AND(EG6&gt;=EK$21,EG6&lt;&gt;""),AND(EJ6&gt;=EK$21,EJ6&lt;&gt;""),AND(FH6&gt;=FS$21,FH6&lt;&gt;""),AND(FK6&gt;=FS$21,FK6&lt;&gt;""),AND(FO6&gt;=FS$21,FO6&lt;&gt;""),AND(FR6&gt;=FS$21,FR6&lt;&gt;""),AND(GP6&gt;=HA$21,GP6&lt;&gt;""),AND(GS6&gt;=HA$21,GS6&lt;&gt;""),AND(GW6&gt;=HA$21,GW6&lt;&gt;""),AND(GZ6&gt;=HA$21,GZ6&lt;&gt;""),AND(HX6&gt;=II$21,HX6&lt;&gt;""),AND(IA6&gt;=II$21,IA6&lt;&gt;""),AND(IE6&gt;=II$21,IE6&lt;&gt;""),AND(IH6&gt;=II$21,IH6&lt;&gt;""),AND(JF6&gt;=JQ$21,JF6&lt;&gt;""),AND(JI6&gt;=JQ$21,JI6&lt;&gt;""),AND(JM6&gt;=JQ$21,JM6&lt;&gt;""),AND(JP6&gt;=JQ$21,JP6&lt;&gt;""),AND(KN6&gt;=KY$21,KN6&lt;&gt;""),AND(KQ6&gt;=KY$21,KQ6&lt;&gt;""),AND(KU6&gt;=KY$21,KU6&lt;&gt;""),AND(KX6&gt;=KY$21,KX6&lt;&gt;""),AND(LV6&gt;=MG$21,LV6&lt;&gt;""),AND(LY6&gt;=MG$21,LY6&lt;&gt;""),AND(MC6&gt;=MG$21,MC6&lt;&gt;""),AND(MF6&gt;=MG$21,MF6&lt;&gt;""),AND(ND6&gt;=NO$21,ND6&lt;&gt;""),AND(NG6&gt;=NO$21,NG6&lt;&gt;""),AND(NK6&gt;=NO$21,NK6&lt;&gt;""),AND(NN6&gt;=NO$21,NN6&lt;&gt;""),AND(OL6&gt;=OW$21,OL6&lt;&gt;""),AND(OO6&gt;=OW$21,OO6&lt;&gt;""),AND(OS6&gt;=OW$21,OS6&lt;&gt;""),AND(OV6&gt;=OW$21,OV6&lt;&gt;""),AND(PT6&gt;=QE$21,PT6&lt;&gt;""),AND(PW6&gt;=QE$21,PW6&lt;&gt;""),AND(QA6&gt;=QE$21,QA6&lt;&gt;""),AND(QD6&gt;=QE$21,QD6&lt;&gt;""),AND(RB6&gt;=RM$21,RB6&lt;&gt;""),AND(RE6&gt;=RM$21,RE6&lt;&gt;""),AND(RI6&gt;=RM$21,RI6&lt;&gt;""),AND(RL6&gt;=RM$21,RL6&lt;&gt;""),AND(SJ6&gt;=SU$21,SJ6&lt;&gt;""),AND(SM6&gt;=SU$21,SM6&lt;&gt;""),AND(SQ6&gt;=SU$21,SQ6&lt;&gt;""),AND(ST6&gt;=SU$21,ST6&lt;&gt;"")),"P","")</f>
        <v>P</v>
      </c>
      <c r="H6" s="70" t="str">
        <f>IF(AND(G6="P",F6=""),"No DD",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),"Merit",IF(OR(AND(AO6&gt;=AY$19,AO6&lt;&gt;"",AQ6&gt;=AY$23,AQ6&lt;&gt;"",AN6=""),AND(AR6&gt;=AY$19,AR6&lt;&gt;"",AT6&gt;=AY$23,AT6&lt;&gt;"",AN6=""),AND(AV6&gt;=AY$19,AV6&lt;&gt;"",AX6&gt;=AY$23,AX6&lt;&gt;"",AN6=""),AND(BP6&gt;=BZ$19,BP6&lt;&gt;"",BR6&gt;=BZ$23,BR6&lt;&gt;"",BO6=""),AND(BS6&gt;=BZ$19,BS6&lt;&gt;"",BU6&gt;=BZ$23,BU6&lt;&gt;"",BO6=""),AND(BW6&gt;=BZ$19,BW6&lt;&gt;"",BY6&gt;=BZ$23,BY6&lt;&gt;"",BO6=""),AND(CQ6&gt;=DA$19,CQ6&lt;&gt;"",CS6&gt;=DA$23,CS6&lt;&gt;"",CP6=""),AND(CT6&gt;=DA$19,CT6&lt;&gt;"",CV6&gt;=DA$23,CV6&lt;&gt;"",CP6=""),AND(CX6&gt;=DA$19,CX6&lt;&gt;"",CZ6&gt;=DA$23,CZ6&lt;&gt;"",CP6=""),AND(DX6&gt;=EK$19,DX6&lt;&gt;"",DZ6&gt;=EK$23,DZ6&lt;&gt;""),AND(EA6&gt;=EK$19,EA6&lt;&gt;"",EC6&gt;=EK$23,EC6&lt;&gt;""),AND(EE6&gt;=EK$19,EE6&lt;&gt;"",EG6&gt;=EK$23,EG6&lt;&gt;""),AND(EH6&gt;=EK$19,EH6&lt;&gt;"",EJ6&gt;=EK$23,EJ6&lt;&gt;""),AND(FF6&gt;=FS$19,FF6&lt;&gt;"",FH6&gt;=FS$23,FH6&lt;&gt;""),AND(FI6&gt;=FS$19,FI6&lt;&gt;"",FK6&gt;=FS$23,FK6&lt;&gt;""),AND(FM6&gt;=FS$19,FM6&lt;&gt;"",FO6&gt;=FS$23,FO6&lt;&gt;""),AND(FP6&gt;=FS$19,FP6&lt;&gt;"",FR6&gt;=FS$23,FR6&lt;&gt;""),AND(GN6&gt;=HA$19,GN6&lt;&gt;"",GP6&gt;=HA$23,GP6&lt;&gt;""),AND(GQ6&gt;=HA$19,GQ6&lt;&gt;"",GS6&gt;=HA$23,GS6&lt;&gt;""),AND(GU6&gt;=HA$19,GU6&lt;&gt;"",GW6&gt;=HA$23,GW6&lt;&gt;""),AND(GX6&gt;=HA$19,GX6&lt;&gt;"",GZ6&gt;=HA$23,GZ6&lt;&gt;""),AND(HV6&gt;=II$19,HV6&lt;&gt;"",HX6&gt;=II$23,HX6&lt;&gt;""),AND(HY6&gt;=II$19,HY6&lt;&gt;"",IA6&gt;=II$23,IA6&lt;&gt;""),AND(IC6&gt;=II$19,IC6&lt;&gt;"",IE6&gt;=II$23,IE6&lt;&gt;""),AND(IF6&gt;=II$19,IF6&lt;&gt;"",IH6&gt;=II$23,IH6&lt;&gt;""),AND(JD6&gt;=JQ$19,JD6&lt;&gt;"",JF6&gt;=JQ$23,JF6&lt;&gt;""),AND(JG6&gt;=JQ$19,JG6&lt;&gt;"",JI6&gt;=JQ$23,JI6&lt;&gt;""),AND(JK6&gt;=JQ$19,JK6&lt;&gt;"",JM6&gt;=JQ$23,JM6&lt;&gt;""),AND(JN6&gt;=JQ$19,JN6&lt;&gt;"",JP6&gt;=JQ$23,JP6&lt;&gt;""),AND(KL6&gt;=KY$19,KL6&lt;&gt;"",KN6&gt;=KY$23,KN6&lt;&gt;""),AND(KO6&gt;=KY$19,KO6&lt;&gt;"",KQ6&gt;=KY$23,KQ6&lt;&gt;""),AND(KS6&gt;=KY$19,KS6&lt;&gt;"",KU6&gt;=KY$23,KU6&lt;&gt;""),AND(KV6&gt;=KY$19,KV6&lt;&gt;"",KX6&gt;=KY$23,KX6&lt;&gt;""),AND(LT6&gt;=MG$19,LT6&lt;&gt;"",LV6&gt;=MG$23,LV6&lt;&gt;""),AND(LW6&gt;=MG$19,LW6&lt;&gt;"",LY6&gt;=MG$23,LY6&lt;&gt;""),AND(MA6&gt;=MG$19,MA6&lt;&gt;"",MC6&gt;=MG$23,MC6&lt;&gt;""),AND(MD6&gt;=MG$19,MD6&lt;&gt;"",MF6&gt;=MG$23,MF6&lt;&gt;""),AND(NB6&gt;=NO$19,NB6&lt;&gt;"",ND6&gt;=NO$23,ND6&lt;&gt;""),AND(NE6&gt;=NO$19,NE6&lt;&gt;"",NG6&gt;=NO$23,NG6&lt;&gt;""),AND(NI6&gt;=NO$19,NI6&lt;&gt;"",NK6&gt;=NO$23,NK6&lt;&gt;""),AND(NL6&gt;=NO$19,NL6&lt;&gt;"",NN6&gt;=NO$23,NN6&lt;&gt;""),AND(OJ6&gt;=OW$19,OJ6&lt;&gt;"",OL6&gt;=OW$23,OL6&lt;&gt;""),AND(OM6&gt;=OW$19,OM6&lt;&gt;"",OO6&gt;=OW$23,OO6&lt;&gt;""),AND(OQ6&gt;=OW$19,OQ6&lt;&gt;"",OS6&gt;=OW$23,OS6&lt;&gt;""),AND(OT6&gt;=OW$19,OT6&lt;&gt;"",OV6&gt;=OW$23,OV6&lt;&gt;""),AND(PR6&gt;=QE$19,PR6&lt;&gt;"",PT6&gt;=QE$23,PT6&lt;&gt;""),AND(PU6&gt;=QE$19,PU6&lt;&gt;"",PW6&gt;=QE$23,PW6&lt;&gt;""),AND(PY6&gt;=QE$19,PY6&lt;&gt;"",QA6&gt;=QE$23,QA6&lt;&gt;""),AND(QB6&gt;=QE$19,QB6&lt;&gt;"",QD6&gt;=QE$23,QD6&lt;&gt;""),AND(QZ6&gt;=RM$19,QZ6&lt;&gt;"",RB6&gt;=RM$23,RB6&lt;&gt;""),AND(RC6&gt;=RM$19,RC6&lt;&gt;"",RE6&gt;=RM$23,RE6&lt;&gt;""),AND(RG6&gt;=RM$19,RG6&lt;&gt;"",RI6&gt;=RM$23,RI6&lt;&gt;""),AND(RJ6&gt;=RM$19,RJ6&lt;&gt;"",RL6&gt;=RM$23,RL6&lt;&gt;""),AND(SH6&gt;=SU$19,SH6&lt;&gt;"",SJ6&gt;=SU$23,SJ6&lt;&gt;""),AND(SK6&gt;=SU$19,SK6&lt;&gt;"",SM6&gt;=SU$23,SM6&lt;&gt;""),AND(SO6&gt;=SU$19,SO6&lt;&gt;"",SQ6&gt;=SU$23,SQ6&lt;&gt;""),AND(SR6&gt;=SU$19,SR6&lt;&gt;"",ST6&gt;=SU$23,ST6&lt;&gt;"")),"Excellence",IF(I6="P","Worlds Team",IF(F6="P","National Team","")))))</f>
        <v>Merit</v>
      </c>
      <c r="I6" s="3" t="str">
        <f>IF(OR(AND(AO6&gt;=AY$18,AO6&lt;&gt;"",AQ6&gt;=AY$22,AQ6&lt;&gt;"",AN6=""),AND(AR6&gt;=AY$18,AR6&lt;&gt;"",AT6&gt;=AY$22,AT6&lt;&gt;"",AN6=""),AND(AV6&gt;=AY$18,AV6&lt;&gt;"",AX6&gt;=AY$22,AX6&lt;&gt;"",AN6=""),AND(BP6&gt;=BZ$18,BP6&lt;&gt;"",BR6&gt;=BZ$22,BR6&lt;&gt;"",BO6=""),AND(BS6&gt;=BZ$18,BS6&lt;&gt;"",BU6&gt;=BZ$22,BU6&lt;&gt;"",BO6=""),AND(BW6&gt;=BZ$18,BW6&lt;&gt;"",BY6&gt;=BZ$22,BY6&lt;&gt;"",BO6=""),AND(CQ6&gt;=DA$18,CQ6&lt;&gt;"",CS6&gt;=DA$22,CS6&lt;&gt;"",CP6=""),AND(CT6&gt;=DA$18,CT6&lt;&gt;"",CV6&gt;=DA$22,CV6&lt;&gt;"",CP6=""),AND(CX6&gt;=DA$18,CX6&lt;&gt;"",CZ6&gt;=DA$22,CZ6&lt;&gt;"",CP6=""),AND(DX6&gt;=EK$18,DX6&lt;&gt;"",DZ6&gt;=EK$22,DZ6&lt;&gt;""),AND(EA6&gt;=EK$18,EA6&lt;&gt;"",EC6&gt;=EK$22,EC6&lt;&gt;""),AND(EE6&gt;=EK$18,EE6&lt;&gt;"",EG6&gt;=EK$22,EG6&lt;&gt;""),AND(EH6&gt;=EK$18,EH6&lt;&gt;"",EJ6&gt;=EK$22,EJ6&lt;&gt;""),AND(FF6&gt;=FS$18,FF6&lt;&gt;"",FH6&gt;=FS$22,FH6&lt;&gt;""),AND(FI6&gt;=FS$18,FI6&lt;&gt;"",FK6&gt;=FS$22,FK6&lt;&gt;""),AND(FM6&gt;=FS$18,FM6&lt;&gt;"",FO6&gt;=FS$22,FO6&lt;&gt;""),AND(FP6&gt;=FS$18,FP6&lt;&gt;"",FR6&gt;=FS$22,FR6&lt;&gt;""),AND(GN6&gt;=HA$18,GN6&lt;&gt;"",GP6&gt;=HA$22,GP6&lt;&gt;""),AND(GQ6&gt;=HA$18,GQ6&lt;&gt;"",GS6&gt;=HA$22,GS6&lt;&gt;""),AND(GU6&gt;=HA$18,GU6&lt;&gt;"",GW6&gt;=HA$22,GW6&lt;&gt;""),AND(GX6&gt;=HA$18,GX6&lt;&gt;"",GZ6&gt;=HA$22,GZ6&lt;&gt;""),AND(HV6&gt;=II$18,HV6&lt;&gt;"",HX6&gt;=II$22,HX6&lt;&gt;""),AND(HY6&gt;=II$18,HY6&lt;&gt;"",IA6&gt;=II$22,IA6&lt;&gt;""),AND(IC6&gt;=II$18,IC6&lt;&gt;"",IE6&gt;=II$22,IE6&lt;&gt;""),AND(IF6&gt;=II$18,IF6&lt;&gt;"",IH6&gt;=II$22,IH6&lt;&gt;""),AND(JD6&gt;=JQ$18,JD6&lt;&gt;"",JF6&gt;=JQ$22,JF6&lt;&gt;""),AND(JG6&gt;=JQ$18,JG6&lt;&gt;"",JI6&gt;=JQ$22,JI6&lt;&gt;""),AND(JK6&gt;=JQ$18,JK6&lt;&gt;"",JM6&gt;=JQ$22,JM6&lt;&gt;""),AND(JN6&gt;=JQ$18,JN6&lt;&gt;"",JP6&gt;=JQ$22,JP6&lt;&gt;""),AND(KL6&gt;=KY$18,KL6&lt;&gt;"",KN6&gt;=KY$22,KN6&lt;&gt;""),AND(KO6&gt;=KY$18,KO6&lt;&gt;"",KQ6&gt;=KY$22,KQ6&lt;&gt;""),AND(KS6&gt;=KY$18,KS6&lt;&gt;"",KU6&gt;=KY$22,KU6&lt;&gt;""),AND(KV6&gt;=KY$18,KV6&lt;&gt;"",KX6&gt;=KY$22,KX6&lt;&gt;""),AND(LT6&gt;=MG$18,LT6&lt;&gt;"",LV6&gt;=MG$22,LV6&lt;&gt;""),AND(LW6&gt;=MG$18,LW6&lt;&gt;"",LY6&gt;=MG$22,LY6&lt;&gt;""),AND(MA6&gt;=MG$18,MA6&lt;&gt;"",MC6&gt;=MG$22,MC6&lt;&gt;""),AND(MD6&gt;=MG$18,MD6&lt;&gt;"",MF6&gt;=MG$22,MF6&lt;&gt;""),AND(NB6&gt;=NO$18,NB6&lt;&gt;"",ND6&gt;=NO$22,ND6&lt;&gt;""),AND(NE6&gt;=NO$18,NE6&lt;&gt;"",NG6&gt;=NO$22,NG6&lt;&gt;""),AND(NI6&gt;=NO$18,NI6&lt;&gt;"",NK6&gt;=NO$22,NK6&lt;&gt;""),AND(NL6&gt;=NO$18,NL6&lt;&gt;"",NN6&gt;=NO$22,NN6&lt;&gt;""),AND(OJ6&gt;=OW$18,OJ6&lt;&gt;"",OL6&gt;=OW$22,OL6&lt;&gt;""),AND(OM6&gt;=OW$18,OM6&lt;&gt;"",OO6&gt;=OW$22,OO6&lt;&gt;""),AND(OQ6&gt;=OW$18,OQ6&lt;&gt;"",OS6&gt;=OW$22,OS6&lt;&gt;""),AND(OT6&gt;=OW$18,OT6&lt;&gt;"",OV6&gt;=OW$22,OV6&lt;&gt;""),AND(PR6&gt;=QE$18,PR6&lt;&gt;"",PT6&gt;=QE$22,PT6&lt;&gt;""),AND(PU6&gt;=QE$18,PU6&lt;&gt;"",PW6&gt;=QE$22,PW6&lt;&gt;""),AND(PY6&gt;=QE$18,PY6&lt;&gt;"",QA6&gt;=QE$22,QA6&lt;&gt;""),AND(QB6&gt;=QE$18,QB6&lt;&gt;"",QD6&gt;=QE$22,QD6&lt;&gt;""),AND(QZ6&gt;=RM$18,QZ6&lt;&gt;"",RB6&gt;=RM$22,RB6&lt;&gt;""),AND(RC6&gt;=RM$18,RC6&lt;&gt;"",RE6&gt;=RM$22,RE6&lt;&gt;""),AND(RG6&gt;=RM$18,RG6&lt;&gt;"",RI6&gt;=RM$22,RI6&lt;&gt;""),AND(RJ6&gt;=RM$18,RJ6&lt;&gt;"",RL6&gt;=RM$22,RL6&lt;&gt;""),AND(SH6&gt;=SU$18,SH6&lt;&gt;"",SJ6&gt;=SU$22,SJ6&lt;&gt;""),AND(SK6&gt;=SU$18,SK6&lt;&gt;"",SM6&gt;=SU$22,SM6&lt;&gt;""),AND(SO6&gt;=SU$18,SO6&lt;&gt;"",SQ6&gt;=SU$22,SQ6&lt;&gt;""),AND(SR6&gt;=SU$18,SR6&lt;&gt;"",ST6&gt;=SU$22,ST6&lt;&gt;"")),"P","")</f>
        <v>P</v>
      </c>
      <c r="J6" s="13">
        <f>IF(COUNT(AQ6,AT6,BR6,BU6,CS6,CV6)&gt;0,LARGE((AQ6,AT6,BR6,BU6,CS6,CV6),1),0)</f>
        <v>55.199999999999996</v>
      </c>
      <c r="K6" s="13" t="str">
        <f>IF(J6="","",IF(OR(J6=CS6,J6=CV6),$CA$1,IF(OR(J6=BR6,J6=BU6),$AZ$1,IF(OR(J6=AQ6,J6=AT6),$Y$1,""))))</f>
        <v>2021 Canadian Championships</v>
      </c>
      <c r="L6" s="13">
        <f>IF(COUNT(AQ6,AT6,BR6,BU6,CS6,CV6)&gt;1,LARGE((AQ6,AT6,BR6,BU6,CS6,CV6),2),0)</f>
        <v>54.55</v>
      </c>
      <c r="M6" s="13" t="str">
        <f>IF(L6="","",IF(OR(L6=CS6,L6=CV6),$CA$1,IF(OR(L6=BR6,L6=BU6),$AZ$1,IF(OR(L6=AQ6,L6=AT6),$Y$1,""))))</f>
        <v>2022 Elite Canada</v>
      </c>
      <c r="N6" s="13">
        <f>IF(COUNT(AQ6,AT6,BR6,BU6,CS6,CV6)&gt;2,LARGE((AQ6,AT6,BR6,BU6,CS6,CV6),3),0)</f>
        <v>54.52</v>
      </c>
      <c r="O6" s="13" t="str">
        <f>IF(N6="","",IF(OR(N6=CS6,N6=CV6),$CA$1,IF(OR(N6=BR6,N6=BU6),$AZ$1,IF(OR(N6=AQ6,N6=AT6),$Y$1,""))))</f>
        <v>2022 Elite Canada</v>
      </c>
      <c r="P6" s="13">
        <f>IF(MAX(AX6,BY6,CZ6)&gt;0,MAX(AX6,BY6,CZ6),0)</f>
        <v>55.050000000000004</v>
      </c>
      <c r="Q6" s="13" t="str">
        <f>IF(P6="","",IF(P6=CZ6,$CA$1,IF(P6=BY6,$AZ$1,IF(P6=AX6,$Y$1,""))))</f>
        <v>2021 Canadian Championships</v>
      </c>
      <c r="R6" s="13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</v>
      </c>
      <c r="S6" s="13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2021 Canadian Championships</v>
      </c>
      <c r="T6" s="13">
        <f>IF(MAX(IF(AO6&gt;=$AY$17,AP6,0),IF(AR6&gt;=$AY$17,AS6,0),IF(AV6&gt;=$AY$17,AW6,0),IF(BP6&gt;=$BZ$17,BQ6,0),IF(BS6&gt;=$BZ$17,BT6,0),IF(BW6&gt;=$BZ$17,BX6,0),IF(CQ6&gt;=$DA$17,CR6,0),IF(CT6&gt;=$DA$17,CU6,0),IF(CX6&gt;=$DA$17,CY6,0))&gt;0,MAX(IF(AO6&gt;=$AY$17,AP6,0),IF(AR6&gt;=$AY$17,AS6,0),IF(AV6&gt;=$AY$17,AW6,0),IF(BP6&gt;=$BZ$17,BQ6,0),IF(BS6&gt;=$BZ$17,BT6,0),IF(BW6&gt;=$BZ$17,BX6,0),IF(CQ6&gt;=$DA$17,CR6,0),IF(CT6&gt;=$DA$17,CU6,0),IF(CX6&gt;=$DA$17,CY6,0),IF(DX6&gt;=$EK$17,DY6,0),IF(EA6&gt;=$EK$17,EB6,0),IF(EE6&gt;=$EK$17,EF6,0),IF(EH6&gt;=$EK$17,EI6,0),IF(FF6&gt;=$FS$17,FG6,0),IF(FI6&gt;=$FS$17,FJ6,0),IF(FM6&gt;=$FS$17,FN6,0),IF(FP6&gt;=$FS$17,FQ6,0),IF(GN6&gt;=$HA$17,GO6,0),IF(GQ6&gt;=$HA$17,GR6,0),IF(GU6&gt;=$HA$17,GV6,0),IF(GX6&gt;=$HA$17,GY6,0),IF(HV6&gt;=$II$17,HW6,0),IF(HY6&gt;=$II$17,HZ6,0),IF(IC6&gt;=$II$17,ID6,0),IF(IF6&gt;=$II$17,IG6,0),IF(JD6&gt;=$JQ$17,JE6,0),IF(JG6&gt;=$JQ$17,JH6,0),IF(JK6&gt;=$JQ$17,JL6,0),IF(JN6&gt;=$JQ$17,JO6,0),IF(KL6&gt;=$KY$17,KM6,0),IF(KO6&gt;=$KY$17,KP6,0),IF(KS6&gt;=$KY$17,KT6,0),IF(KV6&gt;=$KY$17,KW6,0),IF(LT6&gt;=$MG$17,LU6,0),IF(LW6&gt;=$MG$17,LX6,0),IF(MA6&gt;=$MG$17,MB6,0),IF(MD6&gt;=$MG$17,ME6,0),IF(NB6&gt;=$NO$17,NC6,0),IF(NE6&gt;=$NO$17,NF6,0),IF(NI6&gt;=$NO$17,NJ6,0),IF(NL6&gt;=$NO$17,NM6,0),IF(OJ6&gt;=$OW$17,OK6,0),IF(OM6&gt;=$OW$17,ON6,0),IF(OQ6&gt;=$OW$17,OR6,0),IF(OT6&gt;=$OW$17,OU6,0),IF(PR6&gt;=$QE$17,PS6,0),IF(PU6&gt;=$QE$17,PV6,0),IF(PY6&gt;=$QE$17,PZ6,0),IF(QB6&gt;=$QE$17,QC6,0),IF(QZ6&gt;=$RM$17,RA6,0),IF(RC6&gt;=$RM$17,RD6,0),IF(RG6&gt;=$RM$17,RH6,0),IF(RJ6&gt;=$RM$17,RK6,0),IF(SH6&gt;=$SU$17,SI6,0),IF(SK6&gt;=$SU$17,SL6,0),IF(SO6&gt;=$SU$17,SP6,0),IF(SR6&gt;=$SU$17,SS6,0)),0)</f>
        <v>15.164999999999999</v>
      </c>
      <c r="U6" s="13" t="str">
        <f>IF(T6=0,"",IF(OR(T6=CR6,T6=CU6,T6=CY6),$CA$1,IF(OR(T6=BQ6,T6=BT6,T6=BX6),$AZ$1,IF(OR(T6=AP6,T6=AS6,T6=AW6),$Y$1,IF(OR(R6=SI6,R6=SL6,R6=SP6,R6=SS6),$RN$1,IF(OR(R6=RA6,R6=RD6,R6=RH6,R6=RK6),$QF$1,IF(OR(R6=PS6,R6=PV6,R6=PZ6,R6=QC6),$OX$1,IF(OR(R6=OK6,R6=ON6,R6=OR6,R6=OU6),$NP$1,IF(OR(R6=NC6,R6=NF6,R6=NJ6,R6=NM6),$MH$1,IF(OR(R6=LU6,R6=LX6,R6=MB6,R6=ME6),$KZ$1,IF(OR(R6=KM6,R6=KP6,R6=KT6,R6=KW6),$JR$1,IF(OR(R6=JE6,R6=JH6,R6=JL6,R6=JO6),$IJ$1,IF(OR(R6=HW6,R6=HZ6,R6=ID6,R6=IG6),$HB$1,IF(OR(R6=GO6,R6=GR6,R6=GV6,R6=GY6),$FT$1,IF(OR(R6=FG6,R6=FJ6,R6=FN6,R6=FQ6),$EL$1,IF(OR(R6=DY6,R6=EB6,R6=EF6,R6=EI6),$DD$1,""))))))))))))))))</f>
        <v>2021 Elite Canada</v>
      </c>
      <c r="V6" s="13">
        <f>IF(MAX(DB6,DC6)&gt;0,MAX(DB6,DC6),"")</f>
        <v>7.0000000000000284E-2</v>
      </c>
      <c r="W6" s="16" t="str">
        <f>IF(V6="","",IF(V6=DB6,"("&amp;DB$2&amp;")",IF(V6=DC6,"("&amp;DC$2&amp;")")))</f>
        <v>(Prelim)</v>
      </c>
      <c r="X6" s="13" t="str">
        <f>IF(V6="","",IF(V6=DB6,IF(V6+IF(L6="",0,L6)=SN6,$RN$1,IF(V6+IF(L6="",0,L6)=RF6,$QF$1,IF(V6+IF(L6="",0,L6)=PX6,$OX$1,IF(V6+IF(L6="",0,L6)=OP6,$NP$1,IF(V6+IF(L6="",0,L6)=NH6,$MH$1,IF(V6+IF(L6="",0,L6)=LZ6,$KZ$1,IF(V6+IF(L6="",0,L6)=KR6,$JR$1,IF(V6+IF(L6="",0,L6)=JJ6,$IJ$1,IF(V6+IF(L6="",0,L6)=IB6,$HB$1,IF(V6+IF(L6="",0,L6)=GT6,$FT$1,IF(V6+IF(L6="",0,L6)=FL6,$EL$1,IF(V6+IF(L6="",0,L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$1)))))))))))))))</f>
        <v>2021 World Cup ITA/Olympic Technical Trial (June 4/9)</v>
      </c>
      <c r="Y6" s="42">
        <v>16.149999999999999</v>
      </c>
      <c r="Z6" s="42">
        <v>9.1999999999999993</v>
      </c>
      <c r="AA6" s="42">
        <v>12.6</v>
      </c>
      <c r="AB6" s="42">
        <v>15.164999999999999</v>
      </c>
      <c r="AC6" s="42">
        <v>0.3</v>
      </c>
      <c r="AD6" s="42">
        <v>16.850000000000001</v>
      </c>
      <c r="AE6" s="42">
        <v>9.25</v>
      </c>
      <c r="AF6" s="42">
        <v>13.3</v>
      </c>
      <c r="AG6" s="42">
        <v>15</v>
      </c>
      <c r="AH6" s="42">
        <v>0</v>
      </c>
      <c r="AI6" s="42">
        <v>17</v>
      </c>
      <c r="AJ6" s="42">
        <v>9.4</v>
      </c>
      <c r="AK6" s="42">
        <v>13.3</v>
      </c>
      <c r="AL6" s="42">
        <v>15.015000000000001</v>
      </c>
      <c r="AM6" s="42">
        <v>0</v>
      </c>
      <c r="AN6" s="51" t="s">
        <v>61</v>
      </c>
      <c r="AO6" s="74">
        <f>IF(AA6&gt;0,AA6,"")</f>
        <v>12.6</v>
      </c>
      <c r="AP6" s="74">
        <f>IF(AB6&gt;0,AB6,"")</f>
        <v>15.164999999999999</v>
      </c>
      <c r="AQ6" s="76">
        <f>IF(SUM(Y6:AB6)-AC6&gt;0,SUM(Y6:AB6)-AC6,"")</f>
        <v>52.814999999999998</v>
      </c>
      <c r="AR6" s="76">
        <f>IF(AF6&gt;0,AF6,"")</f>
        <v>13.3</v>
      </c>
      <c r="AS6" s="76">
        <f>IF(AG6&gt;0,AG6,"")</f>
        <v>15</v>
      </c>
      <c r="AT6" s="76">
        <f>IF(SUM(AD6:AG6)-AH6&gt;0,SUM(AD6:AG6)-AH6,"")</f>
        <v>54.400000000000006</v>
      </c>
      <c r="AU6" s="76">
        <f>IF(AQ6="","",MAX(AQ6,AT6))</f>
        <v>54.400000000000006</v>
      </c>
      <c r="AV6" s="76">
        <f>IF(AK6&gt;0,AK6,"")</f>
        <v>13.3</v>
      </c>
      <c r="AW6" s="76">
        <f>IF(AL6&gt;0,AL6,"")</f>
        <v>15.015000000000001</v>
      </c>
      <c r="AX6" s="76">
        <f>IF(SUM(AI6:AL6)-AM6&gt;0,SUM(AI6:AL6)-AM6,"")</f>
        <v>54.715000000000003</v>
      </c>
      <c r="AY6" s="76">
        <f>IF(SUM(AU6,AX6)&gt;0,SUM(AU6,AX6),"")</f>
        <v>109.11500000000001</v>
      </c>
      <c r="AZ6" s="46">
        <v>16.600000000000001</v>
      </c>
      <c r="BA6" s="46">
        <v>9.1999999999999993</v>
      </c>
      <c r="BB6" s="46">
        <v>13.7</v>
      </c>
      <c r="BC6" s="46">
        <v>14.885</v>
      </c>
      <c r="BD6" s="46">
        <v>0</v>
      </c>
      <c r="BE6" s="46">
        <v>16.899999999999999</v>
      </c>
      <c r="BF6" s="46">
        <v>9.5</v>
      </c>
      <c r="BG6" s="46">
        <v>13.7</v>
      </c>
      <c r="BH6" s="46">
        <v>15.1</v>
      </c>
      <c r="BI6" s="46">
        <v>0</v>
      </c>
      <c r="BJ6" s="46">
        <v>16.7</v>
      </c>
      <c r="BK6" s="46">
        <v>9.5</v>
      </c>
      <c r="BL6" s="46">
        <v>14</v>
      </c>
      <c r="BM6" s="46">
        <v>14.85</v>
      </c>
      <c r="BN6" s="46">
        <v>0</v>
      </c>
      <c r="BO6" s="52"/>
      <c r="BP6" s="75">
        <f>IF(BB6&gt;0,BB6,"")</f>
        <v>13.7</v>
      </c>
      <c r="BQ6" s="75">
        <f>IF(BC6&gt;0,BC6,"")</f>
        <v>14.885</v>
      </c>
      <c r="BR6" s="16">
        <f>IF(SUM(AZ6:BC6)-BD6&gt;0,SUM(AZ6:BC6)-BD6,"")</f>
        <v>54.384999999999998</v>
      </c>
      <c r="BS6" s="16">
        <f>IF(BG6&gt;0,BG6,"")</f>
        <v>13.7</v>
      </c>
      <c r="BT6" s="16">
        <f>IF(BH6&gt;0,BH6,"")</f>
        <v>15.1</v>
      </c>
      <c r="BU6" s="16">
        <f>IF(SUM(BE6:BH6)-BI6&gt;0,SUM(BE6:BH6)-BI6,"")</f>
        <v>55.199999999999996</v>
      </c>
      <c r="BV6" s="16">
        <f>IF(BR6="","",MAX(BR6,BU6))</f>
        <v>55.199999999999996</v>
      </c>
      <c r="BW6" s="16">
        <f>IF(BL6&gt;0,BL6,"")</f>
        <v>14</v>
      </c>
      <c r="BX6" s="16">
        <f>IF(BM6&gt;0,BM6,"")</f>
        <v>14.85</v>
      </c>
      <c r="BY6" s="16">
        <f>IF(SUM(BJ6:BM6)-BN6&gt;0,SUM(BJ6:BM6)-BN6,"")</f>
        <v>55.050000000000004</v>
      </c>
      <c r="BZ6" s="16">
        <f>IF(SUM(BV6,BY6)&gt;0,SUM(BV6,BY6),"")</f>
        <v>110.25</v>
      </c>
      <c r="CA6" s="42">
        <v>16.5</v>
      </c>
      <c r="CB6" s="42">
        <v>9.6</v>
      </c>
      <c r="CC6" s="42">
        <v>13.5</v>
      </c>
      <c r="CD6" s="42">
        <v>14.95</v>
      </c>
      <c r="CE6" s="42">
        <v>0</v>
      </c>
      <c r="CF6" s="42">
        <v>16.600000000000001</v>
      </c>
      <c r="CG6" s="42">
        <v>9.3000000000000007</v>
      </c>
      <c r="CH6" s="42">
        <v>13.7</v>
      </c>
      <c r="CI6" s="42">
        <v>14.92</v>
      </c>
      <c r="CJ6" s="42">
        <v>0</v>
      </c>
      <c r="CK6" s="42">
        <v>8.1999999999999993</v>
      </c>
      <c r="CL6" s="42">
        <v>4.3</v>
      </c>
      <c r="CM6" s="42">
        <v>6.5</v>
      </c>
      <c r="CN6" s="42">
        <v>7.77</v>
      </c>
      <c r="CO6" s="42">
        <v>0</v>
      </c>
      <c r="CP6" s="51"/>
      <c r="CQ6" s="74">
        <f>IF(CC6&gt;0,CC6,"")</f>
        <v>13.5</v>
      </c>
      <c r="CR6" s="74">
        <f>IF(CD6&gt;0,CD6,"")</f>
        <v>14.95</v>
      </c>
      <c r="CS6" s="76">
        <f>IF(SUM(CA6:CD6)-CE6&gt;0,SUM(CA6:CD6)-CE6,"")</f>
        <v>54.55</v>
      </c>
      <c r="CT6" s="76">
        <f>IF(CH6&gt;0,CH6,"")</f>
        <v>13.7</v>
      </c>
      <c r="CU6" s="76">
        <f>IF(CI6&gt;0,CI6,"")</f>
        <v>14.92</v>
      </c>
      <c r="CV6" s="76">
        <f>IF(SUM(CF6:CI6)-CJ6&gt;0,SUM(CF6:CI6)-CJ6,"")</f>
        <v>54.52</v>
      </c>
      <c r="CW6" s="76">
        <f>IF(CS6="","",MAX(CS6,CV6))</f>
        <v>54.55</v>
      </c>
      <c r="CX6" s="76">
        <f>IF(CM6&gt;0,CM6,"")</f>
        <v>6.5</v>
      </c>
      <c r="CY6" s="76">
        <f>IF(CN6&gt;0,CN6,"")</f>
        <v>7.77</v>
      </c>
      <c r="CZ6" s="76">
        <f>IF(SUM(CK6:CN6)-CO6&gt;0,SUM(CK6:CN6)-CO6,"")</f>
        <v>26.77</v>
      </c>
      <c r="DA6" s="76">
        <f>IF(SUM(CW6,CZ6)&gt;0,SUM(CW6,CZ6),"")</f>
        <v>81.319999999999993</v>
      </c>
      <c r="DB6" s="87">
        <f>IF(L6&gt;=0.001,IF(MAX(ED6,FL6,GT6,IB6,JJ6,KR6,LZ6,NH6,OP6,PX6,RF6,SN6)-IF(L6="",0,L6)&gt;0.001,MAX(ED6,FL6,GT6,IB6,JJ6,KR6,LZ6,NH6,OP6,PX6,RF6,SN6)-IF(L6="",0,L6),""),"")</f>
        <v>7.0000000000000284E-2</v>
      </c>
      <c r="DC6" s="87" t="str">
        <f>IF(P6&gt;=0.001,IF(MAX(EG6,EJ6,FO6,FR6,GW6,GZ6,IE6,IH6,JM6,JP6,KU6,KX6,MC6,MF6,NK6,NN6,OS6,OV6,QA6,QD6,RI6,RL6,SQ6,ST6)-IF(P6="",0,P6)&gt;0.001,MAX(EG6,EJ6,FO6,FR6,GW6,GZ6,IE6,IH6,JM6,JP6,KU6,KX6,MC6,MF6,NK6,NN6,OS6,OV6,QA6,QD6,RI6,RL6,SQ6,ST6)-IF(P6="",0,P6),""),"")</f>
        <v/>
      </c>
      <c r="DD6" s="25">
        <v>16.5</v>
      </c>
      <c r="DE6" s="25">
        <v>9.4</v>
      </c>
      <c r="DF6" s="25">
        <v>14</v>
      </c>
      <c r="DG6" s="25">
        <v>14.72</v>
      </c>
      <c r="DH6" s="25">
        <v>0</v>
      </c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>
        <v>16.100000000000001</v>
      </c>
      <c r="DT6" s="25">
        <v>9</v>
      </c>
      <c r="DU6" s="25">
        <v>13.8</v>
      </c>
      <c r="DV6" s="25">
        <v>14.76</v>
      </c>
      <c r="DW6" s="25">
        <v>0</v>
      </c>
      <c r="DX6" s="76">
        <f>IF(DF6&gt;0,DF6,"")</f>
        <v>14</v>
      </c>
      <c r="DY6" s="76">
        <f>IF(DG6&gt;0,DG6,"")</f>
        <v>14.72</v>
      </c>
      <c r="DZ6" s="76">
        <f>IF(SUM(DD6:DG6)-DH6&gt;0,SUM(DD6:DG6)-DH6,"")</f>
        <v>54.62</v>
      </c>
      <c r="EA6" s="76" t="str">
        <f>IF(DK6&gt;0,DK6,"")</f>
        <v/>
      </c>
      <c r="EB6" s="76" t="str">
        <f>IF(DL6&gt;0,DL6,"")</f>
        <v/>
      </c>
      <c r="EC6" s="76" t="str">
        <f>IF(SUM(DI6:DL6)-DM6&gt;0,SUM(DI6:DL6)-DM6,"")</f>
        <v/>
      </c>
      <c r="ED6" s="76">
        <f>IF(MAX(DZ6,EC6)&gt;0,MAX(DZ6,EC6),"")</f>
        <v>54.62</v>
      </c>
      <c r="EE6" s="76" t="str">
        <f>IF(DP6&gt;0,DP6,"")</f>
        <v/>
      </c>
      <c r="EF6" s="76" t="str">
        <f>IF(DQ6&gt;0,DQ6,"")</f>
        <v/>
      </c>
      <c r="EG6" s="76" t="str">
        <f>IF(SUM(DN6:DQ6)-DR6&gt;0,SUM(DN6:DQ6)-DR6,"")</f>
        <v/>
      </c>
      <c r="EH6" s="76">
        <f>IF(DU6&gt;0,DU6,"")</f>
        <v>13.8</v>
      </c>
      <c r="EI6" s="76">
        <f>IF(DV6&gt;0,DV6,"")</f>
        <v>14.76</v>
      </c>
      <c r="EJ6" s="76">
        <f>IF(SUM(DS6:DV6)-DW6&gt;0,SUM(DS6:DV6)-DW6,"")</f>
        <v>53.660000000000004</v>
      </c>
      <c r="EK6" s="76">
        <f>IF(SUM(ED6,EJ6)&gt;0,SUM(ED6,EJ6),"")</f>
        <v>108.28</v>
      </c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16" t="str">
        <f>IF(EN6&gt;0,EN6,"")</f>
        <v/>
      </c>
      <c r="FG6" s="16" t="str">
        <f>IF(EO6&gt;0,EO6,"")</f>
        <v/>
      </c>
      <c r="FH6" s="16" t="str">
        <f>IF(SUM(EL6:EO6)-EP6&gt;0,SUM(EL6:EO6)-EP6,"")</f>
        <v/>
      </c>
      <c r="FI6" s="16" t="str">
        <f>IF(ES6&gt;0,ES6,"")</f>
        <v/>
      </c>
      <c r="FJ6" s="16" t="str">
        <f>IF(ET6&gt;0,ET6,"")</f>
        <v/>
      </c>
      <c r="FK6" s="16" t="str">
        <f>IF(SUM(EQ6:ET6)-EU6&gt;0,SUM(EQ6:ET6)-EU6,"")</f>
        <v/>
      </c>
      <c r="FL6" s="16" t="str">
        <f>IF(MAX(FH6,FK6)&gt;0,MAX(FH6,FK6),"")</f>
        <v/>
      </c>
      <c r="FM6" s="16" t="str">
        <f>IF(EX6&gt;0,EX6,"")</f>
        <v/>
      </c>
      <c r="FN6" s="16" t="str">
        <f>IF(EY6&gt;0,EY6,"")</f>
        <v/>
      </c>
      <c r="FO6" s="16" t="str">
        <f>IF(SUM(EV6:EY6)-EZ6&gt;0,SUM(EV6:EY6)-EZ6,"")</f>
        <v/>
      </c>
      <c r="FP6" s="16" t="str">
        <f>IF(FC6&gt;0,FC6,"")</f>
        <v/>
      </c>
      <c r="FQ6" s="16" t="str">
        <f>IF(FD6&gt;0,FD6,"")</f>
        <v/>
      </c>
      <c r="FR6" s="16" t="str">
        <f>IF(SUM(FA6:FD6)-FE6&gt;0,SUM(FA6:FD6)-FE6,"")</f>
        <v/>
      </c>
      <c r="FS6" s="16" t="str">
        <f>IF(SUM(FL6,FR6)&gt;0,SUM(FL6,FR6),"")</f>
        <v/>
      </c>
      <c r="FT6" s="25">
        <v>15.6</v>
      </c>
      <c r="FU6" s="25">
        <v>8.9</v>
      </c>
      <c r="FV6" s="25">
        <v>13.7</v>
      </c>
      <c r="FW6" s="25">
        <v>14.355</v>
      </c>
      <c r="FX6" s="25">
        <v>0</v>
      </c>
      <c r="FY6" s="25"/>
      <c r="FZ6" s="25"/>
      <c r="GA6" s="25"/>
      <c r="GB6" s="25"/>
      <c r="GC6" s="25"/>
      <c r="GD6" s="25">
        <v>15.1</v>
      </c>
      <c r="GE6" s="25">
        <v>9.3000000000000007</v>
      </c>
      <c r="GF6" s="25">
        <v>13.3</v>
      </c>
      <c r="GG6" s="25">
        <v>14.535</v>
      </c>
      <c r="GH6" s="25">
        <v>0</v>
      </c>
      <c r="GI6" s="25"/>
      <c r="GJ6" s="25"/>
      <c r="GK6" s="25"/>
      <c r="GL6" s="25"/>
      <c r="GM6" s="25"/>
      <c r="GN6" s="76">
        <f>IF(FV6&gt;0,FV6,"")</f>
        <v>13.7</v>
      </c>
      <c r="GO6" s="76">
        <f>IF(FW6&gt;0,FW6,"")</f>
        <v>14.355</v>
      </c>
      <c r="GP6" s="76">
        <f>IF(SUM(FT6:FW6)-FX6&gt;0,SUM(FT6:FW6)-FX6,"")</f>
        <v>52.555000000000007</v>
      </c>
      <c r="GQ6" s="76" t="str">
        <f>IF(GA6&gt;0,GA6,"")</f>
        <v/>
      </c>
      <c r="GR6" s="76" t="str">
        <f>IF(GB6&gt;0,GB6,"")</f>
        <v/>
      </c>
      <c r="GS6" s="76" t="str">
        <f>IF(SUM(FY6:GB6)-GC6&gt;0,SUM(FY6:GB6)-GC6,"")</f>
        <v/>
      </c>
      <c r="GT6" s="76">
        <f>IF(MAX(GP6,GS6)&gt;0,MAX(GP6,GS6),"")</f>
        <v>52.555000000000007</v>
      </c>
      <c r="GU6" s="76">
        <f>IF(GF6&gt;0,GF6,"")</f>
        <v>13.3</v>
      </c>
      <c r="GV6" s="76">
        <f>IF(GG6&gt;0,GG6,"")</f>
        <v>14.535</v>
      </c>
      <c r="GW6" s="76">
        <f>IF(SUM(GD6:GG6)-GH6&gt;0,SUM(GD6:GG6)-GH6,"")</f>
        <v>52.234999999999999</v>
      </c>
      <c r="GX6" s="76" t="str">
        <f>IF(GK6&gt;0,GK6,"")</f>
        <v/>
      </c>
      <c r="GY6" s="76" t="str">
        <f>IF(GL6&gt;0,GL6,"")</f>
        <v/>
      </c>
      <c r="GZ6" s="76" t="str">
        <f>IF(SUM(GI6:GL6)-GM6&gt;0,SUM(GI6:GL6)-GM6,"")</f>
        <v/>
      </c>
      <c r="HA6" s="76">
        <f>IF(SUM(GT6,GZ6)&gt;0,SUM(GT6,GZ6),"")</f>
        <v>52.555000000000007</v>
      </c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>
        <v>14</v>
      </c>
      <c r="HR6" s="26">
        <v>13.19</v>
      </c>
      <c r="HS6" s="26">
        <v>12.1</v>
      </c>
      <c r="HT6" s="26">
        <v>8.6999999999999993</v>
      </c>
      <c r="HU6" s="26">
        <v>0</v>
      </c>
      <c r="HV6" s="16" t="str">
        <f>IF(HD6&gt;0,HD6,"")</f>
        <v/>
      </c>
      <c r="HW6" s="16" t="str">
        <f>IF(HE6&gt;0,HE6,"")</f>
        <v/>
      </c>
      <c r="HX6" s="16" t="str">
        <f>IF(SUM(HB6:HE6)-HF6&gt;0,SUM(HB6:HE6)-HF6,"")</f>
        <v/>
      </c>
      <c r="HY6" s="16" t="str">
        <f>IF(HI6&gt;0,HI6,"")</f>
        <v/>
      </c>
      <c r="HZ6" s="16" t="str">
        <f>IF(HJ6&gt;0,HJ6,"")</f>
        <v/>
      </c>
      <c r="IA6" s="16" t="str">
        <f>IF(SUM(HG6:HJ6)-HK6&gt;0,SUM(HG6:HJ6)-HK6,"")</f>
        <v/>
      </c>
      <c r="IB6" s="16" t="str">
        <f>IF(MAX(HX6,IA6)&gt;0,MAX(HX6,IA6),"")</f>
        <v/>
      </c>
      <c r="IC6" s="16" t="str">
        <f>IF(HN6&gt;0,HN6,"")</f>
        <v/>
      </c>
      <c r="ID6" s="16" t="str">
        <f>IF(HO6&gt;0,HO6,"")</f>
        <v/>
      </c>
      <c r="IE6" s="16" t="str">
        <f>IF(SUM(HL6:HO6)-HP6&gt;0,SUM(HL6:HO6)-HP6,"")</f>
        <v/>
      </c>
      <c r="IF6" s="16">
        <f>IF(HS6&gt;0,HS6,"")</f>
        <v>12.1</v>
      </c>
      <c r="IG6" s="16">
        <f>IF(HT6&gt;0,HT6,"")</f>
        <v>8.6999999999999993</v>
      </c>
      <c r="IH6" s="16">
        <f>IF(SUM(HQ6:HT6)-HU6&gt;0,SUM(HQ6:HT6)-HU6,"")</f>
        <v>47.989999999999995</v>
      </c>
      <c r="II6" s="16">
        <f>IF(SUM(IB6,IH6)&gt;0,SUM(IB6,IH6),"")</f>
        <v>47.989999999999995</v>
      </c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76" t="str">
        <f>IF(IL6&gt;0,IL6,"")</f>
        <v/>
      </c>
      <c r="JE6" s="76" t="str">
        <f>IF(IM6&gt;0,IM6,"")</f>
        <v/>
      </c>
      <c r="JF6" s="76" t="str">
        <f>IF(SUM(IJ6:IM6)-IN6&gt;0,SUM(IJ6:IM6)-IN6,"")</f>
        <v/>
      </c>
      <c r="JG6" s="76" t="str">
        <f>IF(IQ6&gt;0,IQ6,"")</f>
        <v/>
      </c>
      <c r="JH6" s="76" t="str">
        <f>IF(IR6&gt;0,IR6,"")</f>
        <v/>
      </c>
      <c r="JI6" s="76" t="str">
        <f>IF(SUM(IO6:IR6)-IS6&gt;0,SUM(IO6:IR6)-IS6,"")</f>
        <v/>
      </c>
      <c r="JJ6" s="76" t="str">
        <f>IF(MAX(JF6,JI6)&gt;0,MAX(JF6,JI6),"")</f>
        <v/>
      </c>
      <c r="JK6" s="76" t="str">
        <f>IF(IV6&gt;0,IV6,"")</f>
        <v/>
      </c>
      <c r="JL6" s="76" t="str">
        <f>IF(IW6&gt;0,IW6,"")</f>
        <v/>
      </c>
      <c r="JM6" s="76" t="str">
        <f>IF(SUM(IT6:IW6)-IX6&gt;0,SUM(IT6:IW6)-IX6,"")</f>
        <v/>
      </c>
      <c r="JN6" s="76" t="str">
        <f>IF(JA6&gt;0,JA6,"")</f>
        <v/>
      </c>
      <c r="JO6" s="76" t="str">
        <f>IF(JB6&gt;0,JB6,"")</f>
        <v/>
      </c>
      <c r="JP6" s="76" t="str">
        <f>IF(SUM(IY6:JB6)-JC6&gt;0,SUM(IY6:JB6)-JC6,"")</f>
        <v/>
      </c>
      <c r="JQ6" s="76" t="str">
        <f>IF(SUM(JJ6,JP6)&gt;0,SUM(JJ6,JP6),"")</f>
        <v/>
      </c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16" t="str">
        <f>IF(JT6&gt;0,JT6,"")</f>
        <v/>
      </c>
      <c r="KM6" s="16" t="str">
        <f>IF(JU6&gt;0,JU6,"")</f>
        <v/>
      </c>
      <c r="KN6" s="16" t="str">
        <f>IF(SUM(JR6:JU6)-JV6&gt;0,SUM(JR6:JU6)-JV6,"")</f>
        <v/>
      </c>
      <c r="KO6" s="16" t="str">
        <f>IF(JY6&gt;0,JY6,"")</f>
        <v/>
      </c>
      <c r="KP6" s="16" t="str">
        <f>IF(JZ6&gt;0,JZ6,"")</f>
        <v/>
      </c>
      <c r="KQ6" s="16" t="str">
        <f>IF(SUM(JW6:JZ6)-KA6&gt;0,SUM(JW6:JZ6)-KA6,"")</f>
        <v/>
      </c>
      <c r="KR6" s="16" t="str">
        <f>IF(MAX(KN6,KQ6)&gt;0,MAX(KN6,KQ6),"")</f>
        <v/>
      </c>
      <c r="KS6" s="16" t="str">
        <f>IF(KD6&gt;0,KD6,"")</f>
        <v/>
      </c>
      <c r="KT6" s="16" t="str">
        <f>IF(KE6&gt;0,KE6,"")</f>
        <v/>
      </c>
      <c r="KU6" s="16" t="str">
        <f>IF(SUM(KB6:KE6)-KF6&gt;0,SUM(KB6:KE6)-KF6,"")</f>
        <v/>
      </c>
      <c r="KV6" s="16" t="str">
        <f>IF(KI6&gt;0,KI6,"")</f>
        <v/>
      </c>
      <c r="KW6" s="16" t="str">
        <f>IF(KJ6&gt;0,KJ6,"")</f>
        <v/>
      </c>
      <c r="KX6" s="16" t="str">
        <f>IF(SUM(KG6:KJ6)-KK6&gt;0,SUM(KG6:KJ6)-KK6,"")</f>
        <v/>
      </c>
      <c r="KY6" s="16" t="str">
        <f>IF(SUM(KR6,KX6)&gt;0,SUM(KR6,KX6),"")</f>
        <v/>
      </c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76" t="str">
        <f>IF(LB6&gt;0,LB6,"")</f>
        <v/>
      </c>
      <c r="LU6" s="76" t="str">
        <f>IF(LC6&gt;0,LC6,"")</f>
        <v/>
      </c>
      <c r="LV6" s="76" t="str">
        <f>IF(SUM(KZ6:LC6)-LD6&gt;0,SUM(KZ6:LC6)-LD6,"")</f>
        <v/>
      </c>
      <c r="LW6" s="76" t="str">
        <f>IF(LG6&gt;0,LG6,"")</f>
        <v/>
      </c>
      <c r="LX6" s="76" t="str">
        <f>IF(LH6&gt;0,LH6,"")</f>
        <v/>
      </c>
      <c r="LY6" s="76" t="str">
        <f>IF(SUM(LE6:LH6)-LI6&gt;0,SUM(LE6:LH6)-LI6,"")</f>
        <v/>
      </c>
      <c r="LZ6" s="76" t="str">
        <f>IF(MAX(LV6,LY6)&gt;0,MAX(LV6,LY6),"")</f>
        <v/>
      </c>
      <c r="MA6" s="76" t="str">
        <f>IF(LL6&gt;0,LL6,"")</f>
        <v/>
      </c>
      <c r="MB6" s="76" t="str">
        <f>IF(LM6&gt;0,LM6,"")</f>
        <v/>
      </c>
      <c r="MC6" s="76" t="str">
        <f>IF(SUM(LJ6:LM6)-LN6&gt;0,SUM(LJ6:LM6)-LN6,"")</f>
        <v/>
      </c>
      <c r="MD6" s="76" t="str">
        <f>IF(LQ6&gt;0,LQ6,"")</f>
        <v/>
      </c>
      <c r="ME6" s="76" t="str">
        <f>IF(LR6&gt;0,LR6,"")</f>
        <v/>
      </c>
      <c r="MF6" s="76" t="str">
        <f>IF(SUM(LO6:LR6)-LS6&gt;0,SUM(LO6:LR6)-LS6,"")</f>
        <v/>
      </c>
      <c r="MG6" s="76" t="str">
        <f>IF(SUM(LZ6,MF6)&gt;0,SUM(LZ6,MF6),"")</f>
        <v/>
      </c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16" t="str">
        <f>IF(MJ6&gt;0,MJ6,"")</f>
        <v/>
      </c>
      <c r="NC6" s="16" t="str">
        <f>IF(MK6&gt;0,MK6,"")</f>
        <v/>
      </c>
      <c r="ND6" s="16" t="str">
        <f>IF(SUM(MH6:MK6)-ML6&gt;0,SUM(MH6:MK6)-ML6,"")</f>
        <v/>
      </c>
      <c r="NE6" s="16" t="str">
        <f>IF(MO6&gt;0,MO6,"")</f>
        <v/>
      </c>
      <c r="NF6" s="16" t="str">
        <f>IF(MP6&gt;0,MP6,"")</f>
        <v/>
      </c>
      <c r="NG6" s="16" t="str">
        <f>IF(SUM(MM6:MP6)-MQ6&gt;0,SUM(MM6:MP6)-MQ6,"")</f>
        <v/>
      </c>
      <c r="NH6" s="16" t="str">
        <f>IF(MAX(ND6,NG6)&gt;0,MAX(ND6,NG6),"")</f>
        <v/>
      </c>
      <c r="NI6" s="16" t="str">
        <f>IF(MT6&gt;0,MT6,"")</f>
        <v/>
      </c>
      <c r="NJ6" s="16" t="str">
        <f>IF(MU6&gt;0,MU6,"")</f>
        <v/>
      </c>
      <c r="NK6" s="16" t="str">
        <f>IF(SUM(MR6:MU6)-MV6&gt;0,SUM(MR6:MU6)-MV6,"")</f>
        <v/>
      </c>
      <c r="NL6" s="16" t="str">
        <f>IF(MY6&gt;0,MY6,"")</f>
        <v/>
      </c>
      <c r="NM6" s="16" t="str">
        <f>IF(MZ6&gt;0,MZ6,"")</f>
        <v/>
      </c>
      <c r="NN6" s="16" t="str">
        <f>IF(SUM(MW6:MZ6)-NA6&gt;0,SUM(MW6:MZ6)-NA6,"")</f>
        <v/>
      </c>
      <c r="NO6" s="16" t="str">
        <f>IF(SUM(NH6,NN6)&gt;0,SUM(NH6,NN6),"")</f>
        <v/>
      </c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76" t="str">
        <f>IF(NR6&gt;0,NR6,"")</f>
        <v/>
      </c>
      <c r="OK6" s="76" t="str">
        <f>IF(NS6&gt;0,NS6,"")</f>
        <v/>
      </c>
      <c r="OL6" s="76" t="str">
        <f>IF(SUM(NP6:NS6)-NT6&gt;0,SUM(NP6:NS6)-NT6,"")</f>
        <v/>
      </c>
      <c r="OM6" s="76" t="str">
        <f>IF(NW6&gt;0,NW6,"")</f>
        <v/>
      </c>
      <c r="ON6" s="76" t="str">
        <f>IF(NX6&gt;0,NX6,"")</f>
        <v/>
      </c>
      <c r="OO6" s="76" t="str">
        <f>IF(SUM(NU6:NX6)-NY6&gt;0,SUM(NU6:NX6)-NY6,"")</f>
        <v/>
      </c>
      <c r="OP6" s="76" t="str">
        <f>IF(MAX(OL6,OO6)&gt;0,MAX(OL6,OO6),"")</f>
        <v/>
      </c>
      <c r="OQ6" s="76" t="str">
        <f>IF(OB6&gt;0,OB6,"")</f>
        <v/>
      </c>
      <c r="OR6" s="76" t="str">
        <f>IF(OC6&gt;0,OC6,"")</f>
        <v/>
      </c>
      <c r="OS6" s="76" t="str">
        <f>IF(SUM(NZ6:OC6)-OD6&gt;0,SUM(NZ6:OC6)-OD6,"")</f>
        <v/>
      </c>
      <c r="OT6" s="76" t="str">
        <f>IF(OG6&gt;0,OG6,"")</f>
        <v/>
      </c>
      <c r="OU6" s="76" t="str">
        <f>IF(OH6&gt;0,OH6,"")</f>
        <v/>
      </c>
      <c r="OV6" s="76" t="str">
        <f>IF(SUM(OE6:OH6)-OI6&gt;0,SUM(OE6:OH6)-OI6,"")</f>
        <v/>
      </c>
      <c r="OW6" s="76" t="str">
        <f>IF(SUM(OP6,OV6)&gt;0,SUM(OP6,OV6),"")</f>
        <v/>
      </c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16" t="str">
        <f>IF(OZ6&gt;0,OZ6,"")</f>
        <v/>
      </c>
      <c r="PS6" s="16" t="str">
        <f>IF(PA6&gt;0,PA6,"")</f>
        <v/>
      </c>
      <c r="PT6" s="16" t="str">
        <f>IF(SUM(OX6:PA6)-PB6&gt;0,SUM(OX6:PA6)-PB6,"")</f>
        <v/>
      </c>
      <c r="PU6" s="16" t="str">
        <f>IF(PE6&gt;0,PE6,"")</f>
        <v/>
      </c>
      <c r="PV6" s="16" t="str">
        <f>IF(PF6&gt;0,PF6,"")</f>
        <v/>
      </c>
      <c r="PW6" s="16" t="str">
        <f>IF(SUM(PC6:PF6)-PG6&gt;0,SUM(PC6:PF6)-PG6,"")</f>
        <v/>
      </c>
      <c r="PX6" s="16" t="str">
        <f>IF(MAX(PT6,PW6)&gt;0,MAX(PT6,PW6),"")</f>
        <v/>
      </c>
      <c r="PY6" s="16" t="str">
        <f>IF(PJ6&gt;0,PJ6,"")</f>
        <v/>
      </c>
      <c r="PZ6" s="16" t="str">
        <f>IF(PK6&gt;0,PK6,"")</f>
        <v/>
      </c>
      <c r="QA6" s="16" t="str">
        <f>IF(SUM(PH6:PK6)-PL6&gt;0,SUM(PH6:PK6)-PL6,"")</f>
        <v/>
      </c>
      <c r="QB6" s="16" t="str">
        <f>IF(PO6&gt;0,PO6,"")</f>
        <v/>
      </c>
      <c r="QC6" s="16" t="str">
        <f>IF(PP6&gt;0,PP6,"")</f>
        <v/>
      </c>
      <c r="QD6" s="16" t="str">
        <f>IF(SUM(PM6:PP6)-PQ6&gt;0,SUM(PM6:PP6)-PQ6,"")</f>
        <v/>
      </c>
      <c r="QE6" s="16" t="str">
        <f>IF(SUM(PX6,QD6)&gt;0,SUM(PX6,QD6),"")</f>
        <v/>
      </c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76" t="str">
        <f>IF(QH6&gt;0,QH6,"")</f>
        <v/>
      </c>
      <c r="RA6" s="76" t="str">
        <f>IF(QI6&gt;0,QI6,"")</f>
        <v/>
      </c>
      <c r="RB6" s="76" t="str">
        <f>IF(SUM(QF6:QI6)-QJ6&gt;0,SUM(QF6:QI6)-QJ6,"")</f>
        <v/>
      </c>
      <c r="RC6" s="76" t="str">
        <f>IF(QM6&gt;0,QM6,"")</f>
        <v/>
      </c>
      <c r="RD6" s="76" t="str">
        <f>IF(QN6&gt;0,QN6,"")</f>
        <v/>
      </c>
      <c r="RE6" s="76" t="str">
        <f>IF(SUM(QK6:QN6)-QO6&gt;0,SUM(QK6:QN6)-QO6,"")</f>
        <v/>
      </c>
      <c r="RF6" s="76" t="str">
        <f>IF(MAX(RB6,RE6)&gt;0,MAX(RB6,RE6),"")</f>
        <v/>
      </c>
      <c r="RG6" s="76" t="str">
        <f>IF(QR6&gt;0,QR6,"")</f>
        <v/>
      </c>
      <c r="RH6" s="76" t="str">
        <f>IF(QS6&gt;0,QS6,"")</f>
        <v/>
      </c>
      <c r="RI6" s="76" t="str">
        <f>IF(SUM(QP6:QS6)-QT6&gt;0,SUM(QP6:QS6)-QT6,"")</f>
        <v/>
      </c>
      <c r="RJ6" s="76" t="str">
        <f>IF(QW6&gt;0,QW6,"")</f>
        <v/>
      </c>
      <c r="RK6" s="76" t="str">
        <f>IF(QX6&gt;0,QX6,"")</f>
        <v/>
      </c>
      <c r="RL6" s="76" t="str">
        <f>IF(SUM(QU6:QX6)-QY6&gt;0,SUM(QU6:QX6)-QY6,"")</f>
        <v/>
      </c>
      <c r="RM6" s="76" t="str">
        <f>IF(SUM(RF6,RL6)&gt;0,SUM(RF6,RL6),"")</f>
        <v/>
      </c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16" t="str">
        <f>IF(RP6&gt;0,RP6,"")</f>
        <v/>
      </c>
      <c r="SI6" s="16" t="str">
        <f>IF(RQ6&gt;0,RQ6,"")</f>
        <v/>
      </c>
      <c r="SJ6" s="16" t="str">
        <f>IF(SUM(RN6:RQ6)-RR6&gt;0,SUM(RN6:RQ6)-RR6,"")</f>
        <v/>
      </c>
      <c r="SK6" s="16" t="str">
        <f>IF(RU6&gt;0,RU6,"")</f>
        <v/>
      </c>
      <c r="SL6" s="16" t="str">
        <f>IF(RV6&gt;0,RV6,"")</f>
        <v/>
      </c>
      <c r="SM6" s="16" t="str">
        <f>IF(SUM(RS6:RV6)-RW6&gt;0,SUM(RS6:RV6)-RW6,"")</f>
        <v/>
      </c>
      <c r="SN6" s="16" t="str">
        <f>IF(MAX(SJ6,SM6)&gt;0,MAX(SJ6,SM6),"")</f>
        <v/>
      </c>
      <c r="SO6" s="16" t="str">
        <f>IF(RZ6&gt;0,RZ6,"")</f>
        <v/>
      </c>
      <c r="SP6" s="16" t="str">
        <f>IF(SA6&gt;0,SA6,"")</f>
        <v/>
      </c>
      <c r="SQ6" s="16" t="str">
        <f>IF(SUM(RX6:SA6)-SB6&gt;0,SUM(RX6:SA6)-SB6,"")</f>
        <v/>
      </c>
      <c r="SR6" s="16" t="str">
        <f>IF(SE6&gt;0,SE6,"")</f>
        <v/>
      </c>
      <c r="SS6" s="16" t="str">
        <f>IF(SF6&gt;0,SF6,"")</f>
        <v/>
      </c>
      <c r="ST6" s="16" t="str">
        <f>IF(SUM(SC6:SF6)-SG6&gt;0,SUM(SC6:SF6)-SG6,"")</f>
        <v/>
      </c>
      <c r="SU6" s="16" t="str">
        <f>IF(SUM(SN6,ST6)&gt;0,SUM(SN6,ST6),"")</f>
        <v/>
      </c>
      <c r="SV6" s="42">
        <f>IF($CP6="P",CA6,(CA6+AZ6)/2)</f>
        <v>16.55</v>
      </c>
      <c r="SW6" s="42">
        <f>IF($CP6="P",CB6,(CB6+BA6)/2)</f>
        <v>9.3999999999999986</v>
      </c>
      <c r="SX6" s="42">
        <f>IF($CP6="P",CC6,(CC6+BB6)/2)</f>
        <v>13.6</v>
      </c>
      <c r="SY6" s="42">
        <f>IF($CP6="P",CD6,(CD6+BC6)/2)</f>
        <v>14.9175</v>
      </c>
      <c r="SZ6" s="42">
        <f>IF($CP6="P",CE6,(CE6+BD6)/2)</f>
        <v>0</v>
      </c>
      <c r="TA6" s="42">
        <f>IF($CP6="P",CF6,(CF6+BE6)/2)</f>
        <v>16.75</v>
      </c>
      <c r="TB6" s="42">
        <f>IF($CP6="P",CG6,(CG6+BF6)/2)</f>
        <v>9.4</v>
      </c>
      <c r="TC6" s="42">
        <f>IF($CP6="P",CH6,(CH6+BG6)/2)</f>
        <v>13.7</v>
      </c>
      <c r="TD6" s="42">
        <f>IF($CP6="P",CI6,(CI6+BH6)/2)</f>
        <v>15.01</v>
      </c>
      <c r="TE6" s="42">
        <f>IF($CP6="P",CJ6,(CJ6+BI6)/2)</f>
        <v>0</v>
      </c>
      <c r="TF6" s="42">
        <f>IF($CP6="P",CK6,(CK6+BJ6)/2)</f>
        <v>12.45</v>
      </c>
      <c r="TG6" s="42">
        <f>IF($CP6="P",CL6,(CL6+BK6)/2)</f>
        <v>6.9</v>
      </c>
      <c r="TH6" s="42">
        <f>IF($CP6="P",CM6,(CM6+BL6)/2)</f>
        <v>10.25</v>
      </c>
      <c r="TI6" s="42">
        <f>IF($CP6="P",CN6,(CN6+BM6)/2)</f>
        <v>11.309999999999999</v>
      </c>
      <c r="TJ6" s="42">
        <f>IF($CP6="P",CO6,(CO6+BN6)/2)</f>
        <v>0</v>
      </c>
      <c r="TK6" s="51" t="s">
        <v>61</v>
      </c>
      <c r="TL6" s="76">
        <f>IF(SX6&gt;0,SX6,"")</f>
        <v>13.6</v>
      </c>
      <c r="TM6" s="76">
        <f>IF(SY6&gt;0,SY6,"")</f>
        <v>14.9175</v>
      </c>
      <c r="TN6" s="76">
        <f>IF(SUM(SV6:SY6)-SZ6&gt;0,SUM(SV6:SY6)-SZ6,"")</f>
        <v>54.467500000000001</v>
      </c>
      <c r="TO6" s="76">
        <f>IF(TC6&gt;0,TC6,"")</f>
        <v>13.7</v>
      </c>
      <c r="TP6" s="76">
        <f>IF(TD6&gt;0,TD6,"")</f>
        <v>15.01</v>
      </c>
      <c r="TQ6" s="76">
        <f>IF(SUM(TA6:TD6)-TE6&gt;0,SUM(TA6:TD6)-TE6,"")</f>
        <v>54.859999999999992</v>
      </c>
      <c r="TR6" s="76">
        <f>IF(MAX(TN6,TQ6)&gt;0,MAX(TN6,TQ6),"")</f>
        <v>54.859999999999992</v>
      </c>
      <c r="TS6" s="76">
        <f>IF(TH6&gt;0,TH6,"")</f>
        <v>10.25</v>
      </c>
      <c r="TT6" s="76">
        <f>IF(TI6&gt;0,TI6,"")</f>
        <v>11.309999999999999</v>
      </c>
      <c r="TU6" s="76">
        <f>IF(SUM(TF6:TI6)-TJ6&gt;0,SUM(TF6:TI6)-TJ6,"")</f>
        <v>40.909999999999997</v>
      </c>
      <c r="TV6" s="76">
        <f>IF(SUM(TR6,TU6)&gt;0,SUM(TR6,TU6),"")</f>
        <v>95.769999999999982</v>
      </c>
    </row>
    <row r="7" spans="1:542" x14ac:dyDescent="0.2">
      <c r="A7" s="5" cm="1">
        <f t="array" ref="A7">IF(AND(F7&lt;&gt;"",G7&lt;&gt;""),SUMPRODUCT((F$4:F$15&lt;&gt;"")*(G$4:G$15&lt;&gt;"")*(E$4:E$15&gt;E7))+1,IF(G7&lt;&gt;"",SUMPRODUCT((H$4:H$15="No DD")*(E$4:E$15&gt;E7))+1+SUMPRODUCT((F$4:F$15&lt;&gt;"")*(G$4:G$15&lt;&gt;"")),""))</f>
        <v>4</v>
      </c>
      <c r="B7" s="8" t="s">
        <v>28</v>
      </c>
      <c r="C7" s="4" t="s">
        <v>6</v>
      </c>
      <c r="D7" s="7">
        <v>1992</v>
      </c>
      <c r="E7" s="14">
        <f>SUM(J7:V7)+SUM(J7:T7)*0.0000001+SUM(J7)*0.0000000000001</f>
        <v>246.12002437600543</v>
      </c>
      <c r="F7" s="3" t="str">
        <f>IF(OR(AND(AO7&gt;=AY$17,AO7&lt;&gt;"",AQ7&gt;=AY$21,AQ7&lt;&gt;"",AN7=""),AND(AR7&gt;=AY$17,AR7&lt;&gt;"",AT7&gt;=AY$21,AT7&lt;&gt;"",AN7=""),AND(AV7&gt;=AY$17,AV7&lt;&gt;"",AX7&gt;=AY$21,AX7&lt;&gt;"",AN7=""),AND(BP7&gt;=BZ$17,BP7&lt;&gt;"",BR7&gt;=BZ$21,BR7&lt;&gt;"",BO7=""),AND(BS7&gt;=BZ$17,BS7&lt;&gt;"",BU7&gt;=BZ$21,BU7&lt;&gt;"",BO7=""),AND(BW7&gt;=BZ$17,BW7&lt;&gt;"",BY7&gt;=BZ$21,BY7&lt;&gt;"",BO7=""),AND(CQ7&gt;=DA$17,CQ7&lt;&gt;"",CS7&gt;=DA$21,CS7&lt;&gt;"",CP7=""),AND(CT7&gt;=DA$17,CT7&lt;&gt;"",CV7&gt;=DA$21,CV7&lt;&gt;"",CP7=""),AND(CX7&gt;=DA$17,CX7&lt;&gt;"",CZ7&gt;=DA$21,CZ7&lt;&gt;"",CP7=""),AND(DX7&gt;=EK$17,DX7&lt;&gt;"",DZ7&gt;=EK$21,DZ7&lt;&gt;""),AND(EA7&gt;=EK$17,EA7&lt;&gt;"",EC7&gt;=EK$21,EC7&lt;&gt;""),AND(EE7&gt;=EK$17,EE7&lt;&gt;"",EG7&gt;=EK$21,EG7&lt;&gt;""),AND(EH7&gt;=EK$17,EH7&lt;&gt;"",EJ7&gt;=EK$21,EJ7&lt;&gt;""),AND(FF7&gt;=FS$17,FF7&lt;&gt;"",FH7&gt;=FS$21,FH7&lt;&gt;""),AND(FI7&gt;=FS$17,FI7&lt;&gt;"",FK7&gt;=FS$21,FK7&lt;&gt;""),AND(FM7&gt;=FS$17,FM7&lt;&gt;"",FO7&gt;=FS$21,FO7&lt;&gt;""),AND(FP7&gt;=FS$17,FP7&lt;&gt;"",FR7&gt;=FS$21,FR7&lt;&gt;""),AND(GN7&gt;=HA$17,GN7&lt;&gt;"",GP7&gt;=HA$21,GP7&lt;&gt;""),AND(GQ7&gt;=HA$17,GQ7&lt;&gt;"",GS7&gt;=HA$21,GS7&lt;&gt;""),AND(GU7&gt;=HA$17,GU7&lt;&gt;"",GW7&gt;=HA$21,GW7&lt;&gt;""),AND(GX7&gt;=HA$17,GX7&lt;&gt;"",GZ7&gt;=HA$21,GZ7&lt;&gt;""),AND(HV7&gt;=II$17,HV7&lt;&gt;"",HX7&gt;=II$21,HX7&lt;&gt;""),AND(HY7&gt;=II$17,HY7&lt;&gt;"",IA7&gt;=II$21,IA7&lt;&gt;""),AND(IC7&gt;=II$17,IC7&lt;&gt;"",IE7&gt;=II$21,IE7&lt;&gt;""),AND(IF7&gt;=II$17,IF7&lt;&gt;"",IH7&gt;=II$21,IH7&lt;&gt;""),AND(JD7&gt;=JQ$17,JD7&lt;&gt;"",JF7&gt;=JQ$21,JF7&lt;&gt;""),AND(JG7&gt;=JQ$17,JG7&lt;&gt;"",JI7&gt;=JQ$21,JI7&lt;&gt;""),AND(JK7&gt;=JQ$17,JK7&lt;&gt;"",JM7&gt;=JQ$21,JM7&lt;&gt;""),AND(JN7&gt;=JQ$17,JN7&lt;&gt;"",JP7&gt;=JQ$21,JP7&lt;&gt;""),AND(KL7&gt;=KY$17,KL7&lt;&gt;"",KN7&gt;=KY$21,KN7&lt;&gt;""),AND(KO7&gt;=KY$17,KO7&lt;&gt;"",KQ7&gt;=KY$21,KQ7&lt;&gt;""),AND(KS7&gt;=KY$17,KS7&lt;&gt;"",KU7&gt;=KY$21,KU7&lt;&gt;""),AND(KV7&gt;=KY$17,KV7&lt;&gt;"",KX7&gt;=KY$21,KX7&lt;&gt;""),AND(LT7&gt;=MG$17,LT7&lt;&gt;"",LV7&gt;=MG$21,LV7&lt;&gt;""),AND(LW7&gt;=MG$17,LW7&lt;&gt;"",LY7&gt;=MG$21,LY7&lt;&gt;""),AND(MA7&gt;=MG$17,MA7&lt;&gt;"",MC7&gt;=MG$21,MC7&lt;&gt;""),AND(MD7&gt;=MG$17,MD7&lt;&gt;"",MF7&gt;=MG$21,MF7&lt;&gt;""),AND(NB7&gt;=NO$17,NB7&lt;&gt;"",ND7&gt;=NO$21,ND7&lt;&gt;""),AND(NE7&gt;=NO$17,NE7&lt;&gt;"",NG7&gt;=NO$21,NG7&lt;&gt;""),AND(NI7&gt;=NO$17,NI7&lt;&gt;"",NK7&gt;=NO$21,NK7&lt;&gt;""),AND(NL7&gt;=NO$17,NL7&lt;&gt;"",NN7&gt;=NO$21,NN7&lt;&gt;""),AND(OJ7&gt;=OW$17,OJ7&lt;&gt;"",OL7&gt;=OW$21,OL7&lt;&gt;""),AND(OM7&gt;=OW$17,OM7&lt;&gt;"",OO7&gt;=OW$21,OO7&lt;&gt;""),AND(OQ7&gt;=OW$17,OQ7&lt;&gt;"",OS7&gt;=OW$21,OS7&lt;&gt;""),AND(OT7&gt;=OW$17,OT7&lt;&gt;"",OV7&gt;=OW$21,OV7&lt;&gt;""),AND(PR7&gt;=QE$17,PR7&lt;&gt;"",PT7&gt;=QE$21,PT7&lt;&gt;""),AND(PU7&gt;=QE$17,PU7&lt;&gt;"",PW7&gt;=QE$21,PW7&lt;&gt;""),AND(PY7&gt;=QE$17,PY7&lt;&gt;"",QA7&gt;=QE$21,QA7&lt;&gt;""),AND(QB7&gt;=QE$17,QB7&lt;&gt;"",QD7&gt;=QE$21,QD7&lt;&gt;""),AND(QZ7&gt;=RM$17,QZ7&lt;&gt;"",RB7&gt;=RM$21,RB7&lt;&gt;""),AND(RC7&gt;=RM$17,RC7&lt;&gt;"",RE7&gt;=RM$21,RE7&lt;&gt;""),AND(RG7&gt;=RM$17,RG7&lt;&gt;"",RI7&gt;=RM$21,RI7&lt;&gt;""),AND(RJ7&gt;=RM$17,RJ7&lt;&gt;"",RL7&gt;=RM$21,RL7&lt;&gt;""),AND(SH7&gt;=SU$17,SH7&lt;&gt;"",SJ7&gt;=SU$21,SJ7&lt;&gt;""),AND(SK7&gt;=SU$17,SK7&lt;&gt;"",SM7&gt;=SU$21,SM7&lt;&gt;""),AND(SO7&gt;=SU$17,SO7&lt;&gt;"",SQ7&gt;=SU$21,SQ7&lt;&gt;""),AND(SR7&gt;=SU$17,SR7&lt;&gt;"",ST7&gt;=SU$21,ST7&lt;&gt;"")),"P","")</f>
        <v>P</v>
      </c>
      <c r="G7" s="3" t="str">
        <f>IF(OR(AND(AQ7&gt;=AY$21,AQ7&lt;&gt;"",AN7=""),AND(AT7&gt;=AY$21,AT7&lt;&gt;"",AN7=""),AND(AX7&gt;=AY$21,AX7&lt;&gt;"",AN7=""),AND(BR7&gt;=BZ$21,BR7&lt;&gt;"",BO7=""),AND(BU7&gt;=BZ$21,BU7&lt;&gt;"",BO7=""),AND(BY7&gt;=BZ$21,BY7&lt;&gt;"",BO7=""),AND(CS7&gt;=DA$21,CS7&lt;&gt;"",CP7=""),AND(CV7&gt;=DA$21,CV7&lt;&gt;"",CP7=""),AND(CZ7&gt;=DA$21,CZ7&lt;&gt;"",CP7=""),AND(DZ7&gt;=EK$21,DZ7&lt;&gt;""),AND(EC7&gt;=EK$21,EC7&lt;&gt;""),AND(EG7&gt;=EK$21,EG7&lt;&gt;""),AND(EJ7&gt;=EK$21,EJ7&lt;&gt;""),AND(FH7&gt;=FS$21,FH7&lt;&gt;""),AND(FK7&gt;=FS$21,FK7&lt;&gt;""),AND(FO7&gt;=FS$21,FO7&lt;&gt;""),AND(FR7&gt;=FS$21,FR7&lt;&gt;""),AND(GP7&gt;=HA$21,GP7&lt;&gt;""),AND(GS7&gt;=HA$21,GS7&lt;&gt;""),AND(GW7&gt;=HA$21,GW7&lt;&gt;""),AND(GZ7&gt;=HA$21,GZ7&lt;&gt;""),AND(HX7&gt;=II$21,HX7&lt;&gt;""),AND(IA7&gt;=II$21,IA7&lt;&gt;""),AND(IE7&gt;=II$21,IE7&lt;&gt;""),AND(IH7&gt;=II$21,IH7&lt;&gt;""),AND(JF7&gt;=JQ$21,JF7&lt;&gt;""),AND(JI7&gt;=JQ$21,JI7&lt;&gt;""),AND(JM7&gt;=JQ$21,JM7&lt;&gt;""),AND(JP7&gt;=JQ$21,JP7&lt;&gt;""),AND(KN7&gt;=KY$21,KN7&lt;&gt;""),AND(KQ7&gt;=KY$21,KQ7&lt;&gt;""),AND(KU7&gt;=KY$21,KU7&lt;&gt;""),AND(KX7&gt;=KY$21,KX7&lt;&gt;""),AND(LV7&gt;=MG$21,LV7&lt;&gt;""),AND(LY7&gt;=MG$21,LY7&lt;&gt;""),AND(MC7&gt;=MG$21,MC7&lt;&gt;""),AND(MF7&gt;=MG$21,MF7&lt;&gt;""),AND(ND7&gt;=NO$21,ND7&lt;&gt;""),AND(NG7&gt;=NO$21,NG7&lt;&gt;""),AND(NK7&gt;=NO$21,NK7&lt;&gt;""),AND(NN7&gt;=NO$21,NN7&lt;&gt;""),AND(OL7&gt;=OW$21,OL7&lt;&gt;""),AND(OO7&gt;=OW$21,OO7&lt;&gt;""),AND(OS7&gt;=OW$21,OS7&lt;&gt;""),AND(OV7&gt;=OW$21,OV7&lt;&gt;""),AND(PT7&gt;=QE$21,PT7&lt;&gt;""),AND(PW7&gt;=QE$21,PW7&lt;&gt;""),AND(QA7&gt;=QE$21,QA7&lt;&gt;""),AND(QD7&gt;=QE$21,QD7&lt;&gt;""),AND(RB7&gt;=RM$21,RB7&lt;&gt;""),AND(RE7&gt;=RM$21,RE7&lt;&gt;""),AND(RI7&gt;=RM$21,RI7&lt;&gt;""),AND(RL7&gt;=RM$21,RL7&lt;&gt;""),AND(SJ7&gt;=SU$21,SJ7&lt;&gt;""),AND(SM7&gt;=SU$21,SM7&lt;&gt;""),AND(SQ7&gt;=SU$21,SQ7&lt;&gt;""),AND(ST7&gt;=SU$21,ST7&lt;&gt;"")),"P","")</f>
        <v>P</v>
      </c>
      <c r="H7" s="70" t="str">
        <f>IF(AND(G7="P",F7=""),"No DD",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),"Merit",IF(OR(AND(AO7&gt;=AY$19,AO7&lt;&gt;"",AQ7&gt;=AY$23,AQ7&lt;&gt;"",AN7=""),AND(AR7&gt;=AY$19,AR7&lt;&gt;"",AT7&gt;=AY$23,AT7&lt;&gt;"",AN7=""),AND(AV7&gt;=AY$19,AV7&lt;&gt;"",AX7&gt;=AY$23,AX7&lt;&gt;"",AN7=""),AND(BP7&gt;=BZ$19,BP7&lt;&gt;"",BR7&gt;=BZ$23,BR7&lt;&gt;"",BO7=""),AND(BS7&gt;=BZ$19,BS7&lt;&gt;"",BU7&gt;=BZ$23,BU7&lt;&gt;"",BO7=""),AND(BW7&gt;=BZ$19,BW7&lt;&gt;"",BY7&gt;=BZ$23,BY7&lt;&gt;"",BO7=""),AND(CQ7&gt;=DA$19,CQ7&lt;&gt;"",CS7&gt;=DA$23,CS7&lt;&gt;"",CP7=""),AND(CT7&gt;=DA$19,CT7&lt;&gt;"",CV7&gt;=DA$23,CV7&lt;&gt;"",CP7=""),AND(CX7&gt;=DA$19,CX7&lt;&gt;"",CZ7&gt;=DA$23,CZ7&lt;&gt;"",CP7=""),AND(DX7&gt;=EK$19,DX7&lt;&gt;"",DZ7&gt;=EK$23,DZ7&lt;&gt;""),AND(EA7&gt;=EK$19,EA7&lt;&gt;"",EC7&gt;=EK$23,EC7&lt;&gt;""),AND(EE7&gt;=EK$19,EE7&lt;&gt;"",EG7&gt;=EK$23,EG7&lt;&gt;""),AND(EH7&gt;=EK$19,EH7&lt;&gt;"",EJ7&gt;=EK$23,EJ7&lt;&gt;""),AND(FF7&gt;=FS$19,FF7&lt;&gt;"",FH7&gt;=FS$23,FH7&lt;&gt;""),AND(FI7&gt;=FS$19,FI7&lt;&gt;"",FK7&gt;=FS$23,FK7&lt;&gt;""),AND(FM7&gt;=FS$19,FM7&lt;&gt;"",FO7&gt;=FS$23,FO7&lt;&gt;""),AND(FP7&gt;=FS$19,FP7&lt;&gt;"",FR7&gt;=FS$23,FR7&lt;&gt;""),AND(GN7&gt;=HA$19,GN7&lt;&gt;"",GP7&gt;=HA$23,GP7&lt;&gt;""),AND(GQ7&gt;=HA$19,GQ7&lt;&gt;"",GS7&gt;=HA$23,GS7&lt;&gt;""),AND(GU7&gt;=HA$19,GU7&lt;&gt;"",GW7&gt;=HA$23,GW7&lt;&gt;""),AND(GX7&gt;=HA$19,GX7&lt;&gt;"",GZ7&gt;=HA$23,GZ7&lt;&gt;""),AND(HV7&gt;=II$19,HV7&lt;&gt;"",HX7&gt;=II$23,HX7&lt;&gt;""),AND(HY7&gt;=II$19,HY7&lt;&gt;"",IA7&gt;=II$23,IA7&lt;&gt;""),AND(IC7&gt;=II$19,IC7&lt;&gt;"",IE7&gt;=II$23,IE7&lt;&gt;""),AND(IF7&gt;=II$19,IF7&lt;&gt;"",IH7&gt;=II$23,IH7&lt;&gt;""),AND(JD7&gt;=JQ$19,JD7&lt;&gt;"",JF7&gt;=JQ$23,JF7&lt;&gt;""),AND(JG7&gt;=JQ$19,JG7&lt;&gt;"",JI7&gt;=JQ$23,JI7&lt;&gt;""),AND(JK7&gt;=JQ$19,JK7&lt;&gt;"",JM7&gt;=JQ$23,JM7&lt;&gt;""),AND(JN7&gt;=JQ$19,JN7&lt;&gt;"",JP7&gt;=JQ$23,JP7&lt;&gt;""),AND(KL7&gt;=KY$19,KL7&lt;&gt;"",KN7&gt;=KY$23,KN7&lt;&gt;""),AND(KO7&gt;=KY$19,KO7&lt;&gt;"",KQ7&gt;=KY$23,KQ7&lt;&gt;""),AND(KS7&gt;=KY$19,KS7&lt;&gt;"",KU7&gt;=KY$23,KU7&lt;&gt;""),AND(KV7&gt;=KY$19,KV7&lt;&gt;"",KX7&gt;=KY$23,KX7&lt;&gt;""),AND(LT7&gt;=MG$19,LT7&lt;&gt;"",LV7&gt;=MG$23,LV7&lt;&gt;""),AND(LW7&gt;=MG$19,LW7&lt;&gt;"",LY7&gt;=MG$23,LY7&lt;&gt;""),AND(MA7&gt;=MG$19,MA7&lt;&gt;"",MC7&gt;=MG$23,MC7&lt;&gt;""),AND(MD7&gt;=MG$19,MD7&lt;&gt;"",MF7&gt;=MG$23,MF7&lt;&gt;""),AND(NB7&gt;=NO$19,NB7&lt;&gt;"",ND7&gt;=NO$23,ND7&lt;&gt;""),AND(NE7&gt;=NO$19,NE7&lt;&gt;"",NG7&gt;=NO$23,NG7&lt;&gt;""),AND(NI7&gt;=NO$19,NI7&lt;&gt;"",NK7&gt;=NO$23,NK7&lt;&gt;""),AND(NL7&gt;=NO$19,NL7&lt;&gt;"",NN7&gt;=NO$23,NN7&lt;&gt;""),AND(OJ7&gt;=OW$19,OJ7&lt;&gt;"",OL7&gt;=OW$23,OL7&lt;&gt;""),AND(OM7&gt;=OW$19,OM7&lt;&gt;"",OO7&gt;=OW$23,OO7&lt;&gt;""),AND(OQ7&gt;=OW$19,OQ7&lt;&gt;"",OS7&gt;=OW$23,OS7&lt;&gt;""),AND(OT7&gt;=OW$19,OT7&lt;&gt;"",OV7&gt;=OW$23,OV7&lt;&gt;""),AND(PR7&gt;=QE$19,PR7&lt;&gt;"",PT7&gt;=QE$23,PT7&lt;&gt;""),AND(PU7&gt;=QE$19,PU7&lt;&gt;"",PW7&gt;=QE$23,PW7&lt;&gt;""),AND(PY7&gt;=QE$19,PY7&lt;&gt;"",QA7&gt;=QE$23,QA7&lt;&gt;""),AND(QB7&gt;=QE$19,QB7&lt;&gt;"",QD7&gt;=QE$23,QD7&lt;&gt;""),AND(QZ7&gt;=RM$19,QZ7&lt;&gt;"",RB7&gt;=RM$23,RB7&lt;&gt;""),AND(RC7&gt;=RM$19,RC7&lt;&gt;"",RE7&gt;=RM$23,RE7&lt;&gt;""),AND(RG7&gt;=RM$19,RG7&lt;&gt;"",RI7&gt;=RM$23,RI7&lt;&gt;""),AND(RJ7&gt;=RM$19,RJ7&lt;&gt;"",RL7&gt;=RM$23,RL7&lt;&gt;""),AND(SH7&gt;=SU$19,SH7&lt;&gt;"",SJ7&gt;=SU$23,SJ7&lt;&gt;""),AND(SK7&gt;=SU$19,SK7&lt;&gt;"",SM7&gt;=SU$23,SM7&lt;&gt;""),AND(SO7&gt;=SU$19,SO7&lt;&gt;"",SQ7&gt;=SU$23,SQ7&lt;&gt;""),AND(SR7&gt;=SU$19,SR7&lt;&gt;"",ST7&gt;=SU$23,ST7&lt;&gt;"")),"Excellence",IF(I7="P","Worlds Team",IF(F7="P","National Team","")))))</f>
        <v>Merit</v>
      </c>
      <c r="I7" s="3" t="str">
        <f>IF(OR(AND(AO7&gt;=AY$18,AO7&lt;&gt;"",AQ7&gt;=AY$22,AQ7&lt;&gt;"",AN7=""),AND(AR7&gt;=AY$18,AR7&lt;&gt;"",AT7&gt;=AY$22,AT7&lt;&gt;"",AN7=""),AND(AV7&gt;=AY$18,AV7&lt;&gt;"",AX7&gt;=AY$22,AX7&lt;&gt;"",AN7=""),AND(BP7&gt;=BZ$18,BP7&lt;&gt;"",BR7&gt;=BZ$22,BR7&lt;&gt;"",BO7=""),AND(BS7&gt;=BZ$18,BS7&lt;&gt;"",BU7&gt;=BZ$22,BU7&lt;&gt;"",BO7=""),AND(BW7&gt;=BZ$18,BW7&lt;&gt;"",BY7&gt;=BZ$22,BY7&lt;&gt;"",BO7=""),AND(CQ7&gt;=DA$18,CQ7&lt;&gt;"",CS7&gt;=DA$22,CS7&lt;&gt;"",CP7=""),AND(CT7&gt;=DA$18,CT7&lt;&gt;"",CV7&gt;=DA$22,CV7&lt;&gt;"",CP7=""),AND(CX7&gt;=DA$18,CX7&lt;&gt;"",CZ7&gt;=DA$22,CZ7&lt;&gt;"",CP7=""),AND(DX7&gt;=EK$18,DX7&lt;&gt;"",DZ7&gt;=EK$22,DZ7&lt;&gt;""),AND(EA7&gt;=EK$18,EA7&lt;&gt;"",EC7&gt;=EK$22,EC7&lt;&gt;""),AND(EE7&gt;=EK$18,EE7&lt;&gt;"",EG7&gt;=EK$22,EG7&lt;&gt;""),AND(EH7&gt;=EK$18,EH7&lt;&gt;"",EJ7&gt;=EK$22,EJ7&lt;&gt;""),AND(FF7&gt;=FS$18,FF7&lt;&gt;"",FH7&gt;=FS$22,FH7&lt;&gt;""),AND(FI7&gt;=FS$18,FI7&lt;&gt;"",FK7&gt;=FS$22,FK7&lt;&gt;""),AND(FM7&gt;=FS$18,FM7&lt;&gt;"",FO7&gt;=FS$22,FO7&lt;&gt;""),AND(FP7&gt;=FS$18,FP7&lt;&gt;"",FR7&gt;=FS$22,FR7&lt;&gt;""),AND(GN7&gt;=HA$18,GN7&lt;&gt;"",GP7&gt;=HA$22,GP7&lt;&gt;""),AND(GQ7&gt;=HA$18,GQ7&lt;&gt;"",GS7&gt;=HA$22,GS7&lt;&gt;""),AND(GU7&gt;=HA$18,GU7&lt;&gt;"",GW7&gt;=HA$22,GW7&lt;&gt;""),AND(GX7&gt;=HA$18,GX7&lt;&gt;"",GZ7&gt;=HA$22,GZ7&lt;&gt;""),AND(HV7&gt;=II$18,HV7&lt;&gt;"",HX7&gt;=II$22,HX7&lt;&gt;""),AND(HY7&gt;=II$18,HY7&lt;&gt;"",IA7&gt;=II$22,IA7&lt;&gt;""),AND(IC7&gt;=II$18,IC7&lt;&gt;"",IE7&gt;=II$22,IE7&lt;&gt;""),AND(IF7&gt;=II$18,IF7&lt;&gt;"",IH7&gt;=II$22,IH7&lt;&gt;""),AND(JD7&gt;=JQ$18,JD7&lt;&gt;"",JF7&gt;=JQ$22,JF7&lt;&gt;""),AND(JG7&gt;=JQ$18,JG7&lt;&gt;"",JI7&gt;=JQ$22,JI7&lt;&gt;""),AND(JK7&gt;=JQ$18,JK7&lt;&gt;"",JM7&gt;=JQ$22,JM7&lt;&gt;""),AND(JN7&gt;=JQ$18,JN7&lt;&gt;"",JP7&gt;=JQ$22,JP7&lt;&gt;""),AND(KL7&gt;=KY$18,KL7&lt;&gt;"",KN7&gt;=KY$22,KN7&lt;&gt;""),AND(KO7&gt;=KY$18,KO7&lt;&gt;"",KQ7&gt;=KY$22,KQ7&lt;&gt;""),AND(KS7&gt;=KY$18,KS7&lt;&gt;"",KU7&gt;=KY$22,KU7&lt;&gt;""),AND(KV7&gt;=KY$18,KV7&lt;&gt;"",KX7&gt;=KY$22,KX7&lt;&gt;""),AND(LT7&gt;=MG$18,LT7&lt;&gt;"",LV7&gt;=MG$22,LV7&lt;&gt;""),AND(LW7&gt;=MG$18,LW7&lt;&gt;"",LY7&gt;=MG$22,LY7&lt;&gt;""),AND(MA7&gt;=MG$18,MA7&lt;&gt;"",MC7&gt;=MG$22,MC7&lt;&gt;""),AND(MD7&gt;=MG$18,MD7&lt;&gt;"",MF7&gt;=MG$22,MF7&lt;&gt;""),AND(NB7&gt;=NO$18,NB7&lt;&gt;"",ND7&gt;=NO$22,ND7&lt;&gt;""),AND(NE7&gt;=NO$18,NE7&lt;&gt;"",NG7&gt;=NO$22,NG7&lt;&gt;""),AND(NI7&gt;=NO$18,NI7&lt;&gt;"",NK7&gt;=NO$22,NK7&lt;&gt;""),AND(NL7&gt;=NO$18,NL7&lt;&gt;"",NN7&gt;=NO$22,NN7&lt;&gt;""),AND(OJ7&gt;=OW$18,OJ7&lt;&gt;"",OL7&gt;=OW$22,OL7&lt;&gt;""),AND(OM7&gt;=OW$18,OM7&lt;&gt;"",OO7&gt;=OW$22,OO7&lt;&gt;""),AND(OQ7&gt;=OW$18,OQ7&lt;&gt;"",OS7&gt;=OW$22,OS7&lt;&gt;""),AND(OT7&gt;=OW$18,OT7&lt;&gt;"",OV7&gt;=OW$22,OV7&lt;&gt;""),AND(PR7&gt;=QE$18,PR7&lt;&gt;"",PT7&gt;=QE$22,PT7&lt;&gt;""),AND(PU7&gt;=QE$18,PU7&lt;&gt;"",PW7&gt;=QE$22,PW7&lt;&gt;""),AND(PY7&gt;=QE$18,PY7&lt;&gt;"",QA7&gt;=QE$22,QA7&lt;&gt;""),AND(QB7&gt;=QE$18,QB7&lt;&gt;"",QD7&gt;=QE$22,QD7&lt;&gt;""),AND(QZ7&gt;=RM$18,QZ7&lt;&gt;"",RB7&gt;=RM$22,RB7&lt;&gt;""),AND(RC7&gt;=RM$18,RC7&lt;&gt;"",RE7&gt;=RM$22,RE7&lt;&gt;""),AND(RG7&gt;=RM$18,RG7&lt;&gt;"",RI7&gt;=RM$22,RI7&lt;&gt;""),AND(RJ7&gt;=RM$18,RJ7&lt;&gt;"",RL7&gt;=RM$22,RL7&lt;&gt;""),AND(SH7&gt;=SU$18,SH7&lt;&gt;"",SJ7&gt;=SU$22,SJ7&lt;&gt;""),AND(SK7&gt;=SU$18,SK7&lt;&gt;"",SM7&gt;=SU$22,SM7&lt;&gt;""),AND(SO7&gt;=SU$18,SO7&lt;&gt;"",SQ7&gt;=SU$22,SQ7&lt;&gt;""),AND(SR7&gt;=SU$18,SR7&lt;&gt;"",ST7&gt;=SU$22,ST7&lt;&gt;"")),"P","")</f>
        <v>P</v>
      </c>
      <c r="J7" s="13">
        <f>IF(COUNT(AQ7,AT7,BR7,BU7,CS7,CV7)&gt;0,LARGE((AQ7,AT7,BR7,BU7,CS7,CV7),1),0)</f>
        <v>54.215000000000003</v>
      </c>
      <c r="K7" s="13" t="str">
        <f>IF(J7="","",IF(OR(J7=CS7,J7=CV7),$CA$1,IF(OR(J7=BR7,J7=BU7),$AZ$1,IF(OR(J7=AQ7,J7=AT7),$Y$1,""))))</f>
        <v>2021 Elite Canada</v>
      </c>
      <c r="L7" s="13">
        <f>IF(COUNT(AQ7,AT7,BR7,BU7,CS7,CV7)&gt;1,LARGE((AQ7,AT7,BR7,BU7,CS7,CV7),2),0)</f>
        <v>53.550000000000004</v>
      </c>
      <c r="M7" s="13" t="str">
        <f>IF(L7="","",IF(OR(L7=CS7,L7=CV7),$CA$1,IF(OR(L7=BR7,L7=BU7),$AZ$1,IF(OR(L7=AQ7,L7=AT7),$Y$1,""))))</f>
        <v>2022 Elite Canada</v>
      </c>
      <c r="N7" s="13">
        <f>IF(COUNT(AQ7,AT7,BR7,BU7,CS7,CV7)&gt;2,LARGE((AQ7,AT7,BR7,BU7,CS7,CV7),3),0)</f>
        <v>53.445</v>
      </c>
      <c r="O7" s="13" t="str">
        <f>IF(N7="","",IF(OR(N7=CS7,N7=CV7),$CA$1,IF(OR(N7=BR7,N7=BU7),$AZ$1,IF(OR(N7=AQ7,N7=AT7),$Y$1,""))))</f>
        <v>2021 Canadian Championships</v>
      </c>
      <c r="P7" s="13">
        <f>IF(MAX(AX7,BY7,CZ7)&gt;0,MAX(AX7,BY7,CZ7),0)</f>
        <v>52.3</v>
      </c>
      <c r="Q7" s="13" t="str">
        <f>IF(P7="","",IF(P7=CZ7,$CA$1,IF(P7=BY7,$AZ$1,IF(P7=AX7,$Y$1,""))))</f>
        <v>2022 Elite Canada</v>
      </c>
      <c r="R7" s="13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14.8</v>
      </c>
      <c r="S7" s="13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2021 World Cup ITA/Olympic Technical Trial (June 4/9)</v>
      </c>
      <c r="T7" s="13">
        <f>IF(MAX(IF(AO7&gt;=$AY$17,AP7,0),IF(AR7&gt;=$AY$17,AS7,0),IF(AV7&gt;=$AY$17,AW7,0),IF(BP7&gt;=$BZ$17,BQ7,0),IF(BS7&gt;=$BZ$17,BT7,0),IF(BW7&gt;=$BZ$17,BX7,0),IF(CQ7&gt;=$DA$17,CR7,0),IF(CT7&gt;=$DA$17,CU7,0),IF(CX7&gt;=$DA$17,CY7,0))&gt;0,MAX(IF(AO7&gt;=$AY$17,AP7,0),IF(AR7&gt;=$AY$17,AS7,0),IF(AV7&gt;=$AY$17,AW7,0),IF(BP7&gt;=$BZ$17,BQ7,0),IF(BS7&gt;=$BZ$17,BT7,0),IF(BW7&gt;=$BZ$17,BX7,0),IF(CQ7&gt;=$DA$17,CR7,0),IF(CT7&gt;=$DA$17,CU7,0),IF(CX7&gt;=$DA$17,CY7,0),IF(DX7&gt;=$EK$17,DY7,0),IF(EA7&gt;=$EK$17,EB7,0),IF(EE7&gt;=$EK$17,EF7,0),IF(EH7&gt;=$EK$17,EI7,0),IF(FF7&gt;=$FS$17,FG7,0),IF(FI7&gt;=$FS$17,FJ7,0),IF(FM7&gt;=$FS$17,FN7,0),IF(FP7&gt;=$FS$17,FQ7,0),IF(GN7&gt;=$HA$17,GO7,0),IF(GQ7&gt;=$HA$17,GR7,0),IF(GU7&gt;=$HA$17,GV7,0),IF(GX7&gt;=$HA$17,GY7,0),IF(HV7&gt;=$II$17,HW7,0),IF(HY7&gt;=$II$17,HZ7,0),IF(IC7&gt;=$II$17,ID7,0),IF(IF7&gt;=$II$17,IG7,0),IF(JD7&gt;=$JQ$17,JE7,0),IF(JG7&gt;=$JQ$17,JH7,0),IF(JK7&gt;=$JQ$17,JL7,0),IF(JN7&gt;=$JQ$17,JO7,0),IF(KL7&gt;=$KY$17,KM7,0),IF(KO7&gt;=$KY$17,KP7,0),IF(KS7&gt;=$KY$17,KT7,0),IF(KV7&gt;=$KY$17,KW7,0),IF(LT7&gt;=$MG$17,LU7,0),IF(LW7&gt;=$MG$17,LX7,0),IF(MA7&gt;=$MG$17,MB7,0),IF(MD7&gt;=$MG$17,ME7,0),IF(NB7&gt;=$NO$17,NC7,0),IF(NE7&gt;=$NO$17,NF7,0),IF(NI7&gt;=$NO$17,NJ7,0),IF(NL7&gt;=$NO$17,NM7,0),IF(OJ7&gt;=$OW$17,OK7,0),IF(OM7&gt;=$OW$17,ON7,0),IF(OQ7&gt;=$OW$17,OR7,0),IF(OT7&gt;=$OW$17,OU7,0),IF(PR7&gt;=$QE$17,PS7,0),IF(PU7&gt;=$QE$17,PV7,0),IF(PY7&gt;=$QE$17,PZ7,0),IF(QB7&gt;=$QE$17,QC7,0),IF(QZ7&gt;=$RM$17,RA7,0),IF(RC7&gt;=$RM$17,RD7,0),IF(RG7&gt;=$RM$17,RH7,0),IF(RJ7&gt;=$RM$17,RK7,0),IF(SH7&gt;=$SU$17,SI7,0),IF(SK7&gt;=$SU$17,SL7,0),IF(SO7&gt;=$SU$17,SP7,0),IF(SR7&gt;=$SU$17,SS7,0)),0)</f>
        <v>15.45</v>
      </c>
      <c r="U7" s="13" t="str">
        <f>IF(T7=0,"",IF(OR(T7=CR7,T7=CU7,T7=CY7),$CA$1,IF(OR(T7=BQ7,T7=BT7,T7=BX7),$AZ$1,IF(OR(T7=AP7,T7=AS7,T7=AW7),$Y$1,IF(OR(R7=SI7,R7=SL7,R7=SP7,R7=SS7),$RN$1,IF(OR(R7=RA7,R7=RD7,R7=RH7,R7=RK7),$QF$1,IF(OR(R7=PS7,R7=PV7,R7=PZ7,R7=QC7),$OX$1,IF(OR(R7=OK7,R7=ON7,R7=OR7,R7=OU7),$NP$1,IF(OR(R7=NC7,R7=NF7,R7=NJ7,R7=NM7),$MH$1,IF(OR(R7=LU7,R7=LX7,R7=MB7,R7=ME7),$KZ$1,IF(OR(R7=KM7,R7=KP7,R7=KT7,R7=KW7),$JR$1,IF(OR(R7=JE7,R7=JH7,R7=JL7,R7=JO7),$IJ$1,IF(OR(R7=HW7,R7=HZ7,R7=ID7,R7=IG7),$HB$1,IF(OR(R7=GO7,R7=GR7,R7=GV7,R7=GY7),$FT$1,IF(OR(R7=FG7,R7=FJ7,R7=FN7,R7=FQ7),$EL$1,IF(OR(R7=DY7,R7=EB7,R7=EF7,R7=EI7),$DD$1,""))))))))))))))))</f>
        <v/>
      </c>
      <c r="V7" s="13">
        <f>IF(MAX(DB7,DC7)&gt;0,MAX(DB7,DC7),"")</f>
        <v>2.3599999999999994</v>
      </c>
      <c r="W7" s="16" t="str">
        <f>IF(V7="","",IF(V7=DB7,"("&amp;DB$2&amp;")",IF(V7=DC7,"("&amp;DC$2&amp;")")))</f>
        <v>(Final)</v>
      </c>
      <c r="X7" s="13" t="str">
        <f>IF(V7="","",IF(V7=DB7,IF(V7+IF(L7="",0,L7)=SN7,$RN$1,IF(V7+IF(L7="",0,L7)=RF7,$QF$1,IF(V7+IF(L7="",0,L7)=PX7,$OX$1,IF(V7+IF(L7="",0,L7)=OP7,$NP$1,IF(V7+IF(L7="",0,L7)=NH7,$MH$1,IF(V7+IF(L7="",0,L7)=LZ7,$KZ$1,IF(V7+IF(L7="",0,L7)=KR7,$JR$1,IF(V7+IF(L7="",0,L7)=JJ7,$IJ$1,IF(V7+IF(L7="",0,L7)=IB7,$HB$1,IF(V7+IF(L7="",0,L7)=GT7,$FT$1,IF(V7+IF(L7="",0,L7)=FL7,$EL$1,IF(V7+IF(L7="",0,L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$1)))))))))))))))</f>
        <v>2021 World Cup ITA/Olympic Technical Trial (June 4/9)</v>
      </c>
      <c r="Y7" s="42">
        <v>15.5</v>
      </c>
      <c r="Z7" s="42">
        <v>9.1750000000000007</v>
      </c>
      <c r="AA7" s="42">
        <v>14.2</v>
      </c>
      <c r="AB7" s="42">
        <v>15.34</v>
      </c>
      <c r="AC7" s="42">
        <v>0</v>
      </c>
      <c r="AD7" s="42">
        <v>7.7</v>
      </c>
      <c r="AE7" s="42">
        <v>4.75</v>
      </c>
      <c r="AF7" s="42">
        <v>7.4</v>
      </c>
      <c r="AG7" s="42">
        <v>7.67</v>
      </c>
      <c r="AH7" s="42">
        <v>0</v>
      </c>
      <c r="AI7" s="42">
        <v>12.8</v>
      </c>
      <c r="AJ7" s="42">
        <v>7.9749999999999996</v>
      </c>
      <c r="AK7" s="42">
        <v>12.649999999999999</v>
      </c>
      <c r="AL7" s="42">
        <v>12.940000000000001</v>
      </c>
      <c r="AM7" s="42">
        <v>0</v>
      </c>
      <c r="AN7" s="51" t="s">
        <v>61</v>
      </c>
      <c r="AO7" s="74">
        <f>IF(AA7&gt;0,AA7,"")</f>
        <v>14.2</v>
      </c>
      <c r="AP7" s="74">
        <f>IF(AB7&gt;0,AB7,"")</f>
        <v>15.34</v>
      </c>
      <c r="AQ7" s="76">
        <f>IF(SUM(Y7:AB7)-AC7&gt;0,SUM(Y7:AB7)-AC7,"")</f>
        <v>54.215000000000003</v>
      </c>
      <c r="AR7" s="76">
        <f>IF(AF7&gt;0,AF7,"")</f>
        <v>7.4</v>
      </c>
      <c r="AS7" s="76">
        <f>IF(AG7&gt;0,AG7,"")</f>
        <v>7.67</v>
      </c>
      <c r="AT7" s="76">
        <f>IF(SUM(AD7:AG7)-AH7&gt;0,SUM(AD7:AG7)-AH7,"")</f>
        <v>27.520000000000003</v>
      </c>
      <c r="AU7" s="76">
        <f>IF(AQ7="","",MAX(AQ7,AT7))</f>
        <v>54.215000000000003</v>
      </c>
      <c r="AV7" s="76">
        <f>IF(AK7&gt;0,AK7,"")</f>
        <v>12.649999999999999</v>
      </c>
      <c r="AW7" s="76">
        <f>IF(AL7&gt;0,AL7,"")</f>
        <v>12.940000000000001</v>
      </c>
      <c r="AX7" s="76">
        <f>IF(SUM(AI7:AL7)-AM7&gt;0,SUM(AI7:AL7)-AM7,"")</f>
        <v>46.364999999999995</v>
      </c>
      <c r="AY7" s="76">
        <f>IF(SUM(AU7,AX7)&gt;0,SUM(AU7,AX7),"")</f>
        <v>100.58</v>
      </c>
      <c r="AZ7" s="41">
        <v>14.7</v>
      </c>
      <c r="BA7" s="41">
        <v>9.1999999999999993</v>
      </c>
      <c r="BB7" s="41">
        <v>14</v>
      </c>
      <c r="BC7" s="41">
        <v>15.04</v>
      </c>
      <c r="BD7" s="41">
        <v>0</v>
      </c>
      <c r="BE7" s="41">
        <v>15.4</v>
      </c>
      <c r="BF7" s="41">
        <v>9.5</v>
      </c>
      <c r="BG7" s="41">
        <v>13.5</v>
      </c>
      <c r="BH7" s="41">
        <v>15.045</v>
      </c>
      <c r="BI7" s="41">
        <v>0</v>
      </c>
      <c r="BJ7" s="41">
        <v>13.8</v>
      </c>
      <c r="BK7" s="41">
        <v>9.1999999999999993</v>
      </c>
      <c r="BL7" s="41">
        <v>14.2</v>
      </c>
      <c r="BM7" s="41">
        <v>14.59</v>
      </c>
      <c r="BN7" s="41">
        <v>0</v>
      </c>
      <c r="BO7" s="52"/>
      <c r="BP7" s="75">
        <f>IF(BB7&gt;0,BB7,"")</f>
        <v>14</v>
      </c>
      <c r="BQ7" s="75">
        <f>IF(BC7&gt;0,BC7,"")</f>
        <v>15.04</v>
      </c>
      <c r="BR7" s="16">
        <f>IF(SUM(AZ7:BC7)-BD7&gt;0,SUM(AZ7:BC7)-BD7,"")</f>
        <v>52.94</v>
      </c>
      <c r="BS7" s="16">
        <f>IF(BG7&gt;0,BG7,"")</f>
        <v>13.5</v>
      </c>
      <c r="BT7" s="16">
        <f>IF(BH7&gt;0,BH7,"")</f>
        <v>15.045</v>
      </c>
      <c r="BU7" s="16">
        <f>IF(SUM(BE7:BH7)-BI7&gt;0,SUM(BE7:BH7)-BI7,"")</f>
        <v>53.445</v>
      </c>
      <c r="BV7" s="16">
        <f>IF(BR7="","",MAX(BR7,BU7))</f>
        <v>53.445</v>
      </c>
      <c r="BW7" s="16">
        <f>IF(BL7&gt;0,BL7,"")</f>
        <v>14.2</v>
      </c>
      <c r="BX7" s="16">
        <f>IF(BM7&gt;0,BM7,"")</f>
        <v>14.59</v>
      </c>
      <c r="BY7" s="16">
        <f>IF(SUM(BJ7:BM7)-BN7&gt;0,SUM(BJ7:BM7)-BN7,"")</f>
        <v>51.790000000000006</v>
      </c>
      <c r="BZ7" s="16">
        <f>IF(SUM(BV7,BY7)&gt;0,SUM(BV7,BY7),"")</f>
        <v>105.23500000000001</v>
      </c>
      <c r="CA7" s="42">
        <v>15.2</v>
      </c>
      <c r="CB7" s="42">
        <v>9.5</v>
      </c>
      <c r="CC7" s="42">
        <v>14</v>
      </c>
      <c r="CD7" s="42">
        <v>14.73</v>
      </c>
      <c r="CE7" s="42">
        <v>0</v>
      </c>
      <c r="CF7" s="42">
        <v>15.2</v>
      </c>
      <c r="CG7" s="42">
        <v>9.5</v>
      </c>
      <c r="CH7" s="42">
        <v>14</v>
      </c>
      <c r="CI7" s="42">
        <v>14.85</v>
      </c>
      <c r="CJ7" s="42">
        <v>0</v>
      </c>
      <c r="CK7" s="42">
        <v>14.6</v>
      </c>
      <c r="CL7" s="42">
        <v>9.1999999999999993</v>
      </c>
      <c r="CM7" s="42">
        <v>14</v>
      </c>
      <c r="CN7" s="42">
        <v>14.5</v>
      </c>
      <c r="CO7" s="42">
        <v>0</v>
      </c>
      <c r="CP7" s="51"/>
      <c r="CQ7" s="74">
        <f>IF(CC7&gt;0,CC7,"")</f>
        <v>14</v>
      </c>
      <c r="CR7" s="74">
        <f>IF(CD7&gt;0,CD7,"")</f>
        <v>14.73</v>
      </c>
      <c r="CS7" s="76">
        <f>IF(SUM(CA7:CD7)-CE7&gt;0,SUM(CA7:CD7)-CE7,"")</f>
        <v>53.430000000000007</v>
      </c>
      <c r="CT7" s="76">
        <f>IF(CH7&gt;0,CH7,"")</f>
        <v>14</v>
      </c>
      <c r="CU7" s="76">
        <f>IF(CI7&gt;0,CI7,"")</f>
        <v>14.85</v>
      </c>
      <c r="CV7" s="76">
        <f>IF(SUM(CF7:CI7)-CJ7&gt;0,SUM(CF7:CI7)-CJ7,"")</f>
        <v>53.550000000000004</v>
      </c>
      <c r="CW7" s="76">
        <f>IF(CS7="","",MAX(CS7,CV7))</f>
        <v>53.550000000000004</v>
      </c>
      <c r="CX7" s="76">
        <f>IF(CM7&gt;0,CM7,"")</f>
        <v>14</v>
      </c>
      <c r="CY7" s="76">
        <f>IF(CN7&gt;0,CN7,"")</f>
        <v>14.5</v>
      </c>
      <c r="CZ7" s="76">
        <f>IF(SUM(CK7:CN7)-CO7&gt;0,SUM(CK7:CN7)-CO7,"")</f>
        <v>52.3</v>
      </c>
      <c r="DA7" s="76">
        <f>IF(SUM(CW7,CZ7)&gt;0,SUM(CW7,CZ7),"")</f>
        <v>105.85</v>
      </c>
      <c r="DB7" s="87">
        <f>IF(L7&gt;=0.001,IF(MAX(ED7,FL7,GT7,IB7,JJ7,KR7,LZ7,NH7,OP7,PX7,RF7,SN7)-IF(L7="",0,L7)&gt;0.001,MAX(ED7,FL7,GT7,IB7,JJ7,KR7,LZ7,NH7,OP7,PX7,RF7,SN7)-IF(L7="",0,L7),""),"")</f>
        <v>2.1999999999999957</v>
      </c>
      <c r="DC7" s="87">
        <f>IF(P7&gt;=0.001,IF(MAX(EG7,EJ7,FO7,FR7,GW7,GZ7,IE7,IH7,JM7,JP7,KU7,KX7,MC7,MF7,NK7,NN7,OS7,OV7,QA7,QD7,RI7,RL7,SQ7,ST7)-IF(P7="",0,P7)&gt;0.001,MAX(EG7,EJ7,FO7,FR7,GW7,GZ7,IE7,IH7,JM7,JP7,KU7,KX7,MC7,MF7,NK7,NN7,OS7,OV7,QA7,QD7,RI7,RL7,SQ7,ST7)-IF(P7="",0,P7),""),"")</f>
        <v>2.3599999999999994</v>
      </c>
      <c r="DD7" s="25">
        <v>15.8</v>
      </c>
      <c r="DE7" s="25">
        <v>9.6999999999999993</v>
      </c>
      <c r="DF7" s="25">
        <v>14.8</v>
      </c>
      <c r="DG7" s="25">
        <v>15.45</v>
      </c>
      <c r="DH7" s="25">
        <v>0</v>
      </c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>
        <v>15.5</v>
      </c>
      <c r="DT7" s="25">
        <v>9.1999999999999993</v>
      </c>
      <c r="DU7" s="25">
        <v>14.8</v>
      </c>
      <c r="DV7" s="25">
        <v>15.16</v>
      </c>
      <c r="DW7" s="25">
        <v>0</v>
      </c>
      <c r="DX7" s="76">
        <f>IF(DF7&gt;0,DF7,"")</f>
        <v>14.8</v>
      </c>
      <c r="DY7" s="76">
        <f>IF(DG7&gt;0,DG7,"")</f>
        <v>15.45</v>
      </c>
      <c r="DZ7" s="76">
        <f>IF(SUM(DD7:DG7)-DH7&gt;0,SUM(DD7:DG7)-DH7,"")</f>
        <v>55.75</v>
      </c>
      <c r="EA7" s="76" t="str">
        <f>IF(DK7&gt;0,DK7,"")</f>
        <v/>
      </c>
      <c r="EB7" s="76" t="str">
        <f>IF(DL7&gt;0,DL7,"")</f>
        <v/>
      </c>
      <c r="EC7" s="76" t="str">
        <f>IF(SUM(DI7:DL7)-DM7&gt;0,SUM(DI7:DL7)-DM7,"")</f>
        <v/>
      </c>
      <c r="ED7" s="76">
        <f>IF(MAX(DZ7,EC7)&gt;0,MAX(DZ7,EC7),"")</f>
        <v>55.75</v>
      </c>
      <c r="EE7" s="76" t="str">
        <f>IF(DP7&gt;0,DP7,"")</f>
        <v/>
      </c>
      <c r="EF7" s="76" t="str">
        <f>IF(DQ7&gt;0,DQ7,"")</f>
        <v/>
      </c>
      <c r="EG7" s="76" t="str">
        <f>IF(SUM(DN7:DQ7)-DR7&gt;0,SUM(DN7:DQ7)-DR7,"")</f>
        <v/>
      </c>
      <c r="EH7" s="76">
        <f>IF(DU7&gt;0,DU7,"")</f>
        <v>14.8</v>
      </c>
      <c r="EI7" s="76">
        <f>IF(DV7&gt;0,DV7,"")</f>
        <v>15.16</v>
      </c>
      <c r="EJ7" s="76">
        <f>IF(SUM(DS7:DV7)-DW7&gt;0,SUM(DS7:DV7)-DW7,"")</f>
        <v>54.66</v>
      </c>
      <c r="EK7" s="76">
        <f>IF(SUM(ED7,EJ7)&gt;0,SUM(ED7,EJ7),"")</f>
        <v>110.41</v>
      </c>
      <c r="EL7" s="26">
        <v>2.8</v>
      </c>
      <c r="EM7" s="26">
        <v>1.7</v>
      </c>
      <c r="EN7" s="26">
        <v>3.4</v>
      </c>
      <c r="EO7" s="26">
        <v>3.31</v>
      </c>
      <c r="EP7" s="26">
        <v>0</v>
      </c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16">
        <f>IF(EN7&gt;0,EN7,"")</f>
        <v>3.4</v>
      </c>
      <c r="FG7" s="16">
        <f>IF(EO7&gt;0,EO7,"")</f>
        <v>3.31</v>
      </c>
      <c r="FH7" s="16">
        <f>IF(SUM(EL7:EO7)-EP7&gt;0,SUM(EL7:EO7)-EP7,"")</f>
        <v>11.21</v>
      </c>
      <c r="FI7" s="16" t="str">
        <f>IF(ES7&gt;0,ES7,"")</f>
        <v/>
      </c>
      <c r="FJ7" s="16" t="str">
        <f>IF(ET7&gt;0,ET7,"")</f>
        <v/>
      </c>
      <c r="FK7" s="16" t="str">
        <f>IF(SUM(EQ7:ET7)-EU7&gt;0,SUM(EQ7:ET7)-EU7,"")</f>
        <v/>
      </c>
      <c r="FL7" s="16">
        <f>IF(MAX(FH7,FK7)&gt;0,MAX(FH7,FK7),"")</f>
        <v>11.21</v>
      </c>
      <c r="FM7" s="16" t="str">
        <f>IF(EX7&gt;0,EX7,"")</f>
        <v/>
      </c>
      <c r="FN7" s="16" t="str">
        <f>IF(EY7&gt;0,EY7,"")</f>
        <v/>
      </c>
      <c r="FO7" s="16" t="str">
        <f>IF(SUM(EV7:EY7)-EZ7&gt;0,SUM(EV7:EY7)-EZ7,"")</f>
        <v/>
      </c>
      <c r="FP7" s="16" t="str">
        <f>IF(FC7&gt;0,FC7,"")</f>
        <v/>
      </c>
      <c r="FQ7" s="16" t="str">
        <f>IF(FD7&gt;0,FD7,"")</f>
        <v/>
      </c>
      <c r="FR7" s="16" t="str">
        <f>IF(SUM(FA7:FD7)-FE7&gt;0,SUM(FA7:FD7)-FE7,"")</f>
        <v/>
      </c>
      <c r="FS7" s="16">
        <f>IF(SUM(FL7,FR7)&gt;0,SUM(FL7,FR7),"")</f>
        <v>11.21</v>
      </c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76" t="str">
        <f>IF(FV7&gt;0,FV7,"")</f>
        <v/>
      </c>
      <c r="GO7" s="76" t="str">
        <f>IF(FW7&gt;0,FW7,"")</f>
        <v/>
      </c>
      <c r="GP7" s="76" t="str">
        <f>IF(SUM(FT7:FW7)-FX7&gt;0,SUM(FT7:FW7)-FX7,"")</f>
        <v/>
      </c>
      <c r="GQ7" s="76" t="str">
        <f>IF(GA7&gt;0,GA7,"")</f>
        <v/>
      </c>
      <c r="GR7" s="76" t="str">
        <f>IF(GB7&gt;0,GB7,"")</f>
        <v/>
      </c>
      <c r="GS7" s="76" t="str">
        <f>IF(SUM(FY7:GB7)-GC7&gt;0,SUM(FY7:GB7)-GC7,"")</f>
        <v/>
      </c>
      <c r="GT7" s="76" t="str">
        <f>IF(MAX(GP7,GS7)&gt;0,MAX(GP7,GS7),"")</f>
        <v/>
      </c>
      <c r="GU7" s="76" t="str">
        <f>IF(GF7&gt;0,GF7,"")</f>
        <v/>
      </c>
      <c r="GV7" s="76" t="str">
        <f>IF(GG7&gt;0,GG7,"")</f>
        <v/>
      </c>
      <c r="GW7" s="76" t="str">
        <f>IF(SUM(GD7:GG7)-GH7&gt;0,SUM(GD7:GG7)-GH7,"")</f>
        <v/>
      </c>
      <c r="GX7" s="76" t="str">
        <f>IF(GK7&gt;0,GK7,"")</f>
        <v/>
      </c>
      <c r="GY7" s="76" t="str">
        <f>IF(GL7&gt;0,GL7,"")</f>
        <v/>
      </c>
      <c r="GZ7" s="76" t="str">
        <f>IF(SUM(GI7:GL7)-GM7&gt;0,SUM(GI7:GL7)-GM7,"")</f>
        <v/>
      </c>
      <c r="HA7" s="76" t="str">
        <f>IF(SUM(GT7,GZ7)&gt;0,SUM(GT7,GZ7),"")</f>
        <v/>
      </c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16" t="str">
        <f>IF(HD7&gt;0,HD7,"")</f>
        <v/>
      </c>
      <c r="HW7" s="16" t="str">
        <f>IF(HE7&gt;0,HE7,"")</f>
        <v/>
      </c>
      <c r="HX7" s="16" t="str">
        <f>IF(SUM(HB7:HE7)-HF7&gt;0,SUM(HB7:HE7)-HF7,"")</f>
        <v/>
      </c>
      <c r="HY7" s="16" t="str">
        <f>IF(HI7&gt;0,HI7,"")</f>
        <v/>
      </c>
      <c r="HZ7" s="16" t="str">
        <f>IF(HJ7&gt;0,HJ7,"")</f>
        <v/>
      </c>
      <c r="IA7" s="16" t="str">
        <f>IF(SUM(HG7:HJ7)-HK7&gt;0,SUM(HG7:HJ7)-HK7,"")</f>
        <v/>
      </c>
      <c r="IB7" s="16" t="str">
        <f>IF(MAX(HX7,IA7)&gt;0,MAX(HX7,IA7),"")</f>
        <v/>
      </c>
      <c r="IC7" s="16" t="str">
        <f>IF(HN7&gt;0,HN7,"")</f>
        <v/>
      </c>
      <c r="ID7" s="16" t="str">
        <f>IF(HO7&gt;0,HO7,"")</f>
        <v/>
      </c>
      <c r="IE7" s="16" t="str">
        <f>IF(SUM(HL7:HO7)-HP7&gt;0,SUM(HL7:HO7)-HP7,"")</f>
        <v/>
      </c>
      <c r="IF7" s="16" t="str">
        <f>IF(HS7&gt;0,HS7,"")</f>
        <v/>
      </c>
      <c r="IG7" s="16" t="str">
        <f>IF(HT7&gt;0,HT7,"")</f>
        <v/>
      </c>
      <c r="IH7" s="16" t="str">
        <f>IF(SUM(HQ7:HT7)-HU7&gt;0,SUM(HQ7:HT7)-HU7,"")</f>
        <v/>
      </c>
      <c r="II7" s="16" t="str">
        <f>IF(SUM(IB7,IH7)&gt;0,SUM(IB7,IH7),"")</f>
        <v/>
      </c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76" t="str">
        <f>IF(IL7&gt;0,IL7,"")</f>
        <v/>
      </c>
      <c r="JE7" s="76" t="str">
        <f>IF(IM7&gt;0,IM7,"")</f>
        <v/>
      </c>
      <c r="JF7" s="76" t="str">
        <f>IF(SUM(IJ7:IM7)-IN7&gt;0,SUM(IJ7:IM7)-IN7,"")</f>
        <v/>
      </c>
      <c r="JG7" s="76" t="str">
        <f>IF(IQ7&gt;0,IQ7,"")</f>
        <v/>
      </c>
      <c r="JH7" s="76" t="str">
        <f>IF(IR7&gt;0,IR7,"")</f>
        <v/>
      </c>
      <c r="JI7" s="76" t="str">
        <f>IF(SUM(IO7:IR7)-IS7&gt;0,SUM(IO7:IR7)-IS7,"")</f>
        <v/>
      </c>
      <c r="JJ7" s="76" t="str">
        <f>IF(MAX(JF7,JI7)&gt;0,MAX(JF7,JI7),"")</f>
        <v/>
      </c>
      <c r="JK7" s="76" t="str">
        <f>IF(IV7&gt;0,IV7,"")</f>
        <v/>
      </c>
      <c r="JL7" s="76" t="str">
        <f>IF(IW7&gt;0,IW7,"")</f>
        <v/>
      </c>
      <c r="JM7" s="76" t="str">
        <f>IF(SUM(IT7:IW7)-IX7&gt;0,SUM(IT7:IW7)-IX7,"")</f>
        <v/>
      </c>
      <c r="JN7" s="76" t="str">
        <f>IF(JA7&gt;0,JA7,"")</f>
        <v/>
      </c>
      <c r="JO7" s="76" t="str">
        <f>IF(JB7&gt;0,JB7,"")</f>
        <v/>
      </c>
      <c r="JP7" s="76" t="str">
        <f>IF(SUM(IY7:JB7)-JC7&gt;0,SUM(IY7:JB7)-JC7,"")</f>
        <v/>
      </c>
      <c r="JQ7" s="76" t="str">
        <f>IF(SUM(JJ7,JP7)&gt;0,SUM(JJ7,JP7),"")</f>
        <v/>
      </c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16" t="str">
        <f>IF(JT7&gt;0,JT7,"")</f>
        <v/>
      </c>
      <c r="KM7" s="16" t="str">
        <f>IF(JU7&gt;0,JU7,"")</f>
        <v/>
      </c>
      <c r="KN7" s="16" t="str">
        <f>IF(SUM(JR7:JU7)-JV7&gt;0,SUM(JR7:JU7)-JV7,"")</f>
        <v/>
      </c>
      <c r="KO7" s="16" t="str">
        <f>IF(JY7&gt;0,JY7,"")</f>
        <v/>
      </c>
      <c r="KP7" s="16" t="str">
        <f>IF(JZ7&gt;0,JZ7,"")</f>
        <v/>
      </c>
      <c r="KQ7" s="16" t="str">
        <f>IF(SUM(JW7:JZ7)-KA7&gt;0,SUM(JW7:JZ7)-KA7,"")</f>
        <v/>
      </c>
      <c r="KR7" s="16" t="str">
        <f>IF(MAX(KN7,KQ7)&gt;0,MAX(KN7,KQ7),"")</f>
        <v/>
      </c>
      <c r="KS7" s="16" t="str">
        <f>IF(KD7&gt;0,KD7,"")</f>
        <v/>
      </c>
      <c r="KT7" s="16" t="str">
        <f>IF(KE7&gt;0,KE7,"")</f>
        <v/>
      </c>
      <c r="KU7" s="16" t="str">
        <f>IF(SUM(KB7:KE7)-KF7&gt;0,SUM(KB7:KE7)-KF7,"")</f>
        <v/>
      </c>
      <c r="KV7" s="16" t="str">
        <f>IF(KI7&gt;0,KI7,"")</f>
        <v/>
      </c>
      <c r="KW7" s="16" t="str">
        <f>IF(KJ7&gt;0,KJ7,"")</f>
        <v/>
      </c>
      <c r="KX7" s="16" t="str">
        <f>IF(SUM(KG7:KJ7)-KK7&gt;0,SUM(KG7:KJ7)-KK7,"")</f>
        <v/>
      </c>
      <c r="KY7" s="16" t="str">
        <f>IF(SUM(KR7,KX7)&gt;0,SUM(KR7,KX7),"")</f>
        <v/>
      </c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25"/>
      <c r="LS7" s="25"/>
      <c r="LT7" s="76" t="str">
        <f>IF(LB7&gt;0,LB7,"")</f>
        <v/>
      </c>
      <c r="LU7" s="76" t="str">
        <f>IF(LC7&gt;0,LC7,"")</f>
        <v/>
      </c>
      <c r="LV7" s="76" t="str">
        <f>IF(SUM(KZ7:LC7)-LD7&gt;0,SUM(KZ7:LC7)-LD7,"")</f>
        <v/>
      </c>
      <c r="LW7" s="76" t="str">
        <f>IF(LG7&gt;0,LG7,"")</f>
        <v/>
      </c>
      <c r="LX7" s="76" t="str">
        <f>IF(LH7&gt;0,LH7,"")</f>
        <v/>
      </c>
      <c r="LY7" s="76" t="str">
        <f>IF(SUM(LE7:LH7)-LI7&gt;0,SUM(LE7:LH7)-LI7,"")</f>
        <v/>
      </c>
      <c r="LZ7" s="76" t="str">
        <f>IF(MAX(LV7,LY7)&gt;0,MAX(LV7,LY7),"")</f>
        <v/>
      </c>
      <c r="MA7" s="76" t="str">
        <f>IF(LL7&gt;0,LL7,"")</f>
        <v/>
      </c>
      <c r="MB7" s="76" t="str">
        <f>IF(LM7&gt;0,LM7,"")</f>
        <v/>
      </c>
      <c r="MC7" s="76" t="str">
        <f>IF(SUM(LJ7:LM7)-LN7&gt;0,SUM(LJ7:LM7)-LN7,"")</f>
        <v/>
      </c>
      <c r="MD7" s="76" t="str">
        <f>IF(LQ7&gt;0,LQ7,"")</f>
        <v/>
      </c>
      <c r="ME7" s="76" t="str">
        <f>IF(LR7&gt;0,LR7,"")</f>
        <v/>
      </c>
      <c r="MF7" s="76" t="str">
        <f>IF(SUM(LO7:LR7)-LS7&gt;0,SUM(LO7:LR7)-LS7,"")</f>
        <v/>
      </c>
      <c r="MG7" s="76" t="str">
        <f>IF(SUM(LZ7,MF7)&gt;0,SUM(LZ7,MF7),"")</f>
        <v/>
      </c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26"/>
      <c r="NB7" s="16" t="str">
        <f>IF(MJ7&gt;0,MJ7,"")</f>
        <v/>
      </c>
      <c r="NC7" s="16" t="str">
        <f>IF(MK7&gt;0,MK7,"")</f>
        <v/>
      </c>
      <c r="ND7" s="16" t="str">
        <f>IF(SUM(MH7:MK7)-ML7&gt;0,SUM(MH7:MK7)-ML7,"")</f>
        <v/>
      </c>
      <c r="NE7" s="16" t="str">
        <f>IF(MO7&gt;0,MO7,"")</f>
        <v/>
      </c>
      <c r="NF7" s="16" t="str">
        <f>IF(MP7&gt;0,MP7,"")</f>
        <v/>
      </c>
      <c r="NG7" s="16" t="str">
        <f>IF(SUM(MM7:MP7)-MQ7&gt;0,SUM(MM7:MP7)-MQ7,"")</f>
        <v/>
      </c>
      <c r="NH7" s="16" t="str">
        <f>IF(MAX(ND7,NG7)&gt;0,MAX(ND7,NG7),"")</f>
        <v/>
      </c>
      <c r="NI7" s="16" t="str">
        <f>IF(MT7&gt;0,MT7,"")</f>
        <v/>
      </c>
      <c r="NJ7" s="16" t="str">
        <f>IF(MU7&gt;0,MU7,"")</f>
        <v/>
      </c>
      <c r="NK7" s="16" t="str">
        <f>IF(SUM(MR7:MU7)-MV7&gt;0,SUM(MR7:MU7)-MV7,"")</f>
        <v/>
      </c>
      <c r="NL7" s="16" t="str">
        <f>IF(MY7&gt;0,MY7,"")</f>
        <v/>
      </c>
      <c r="NM7" s="16" t="str">
        <f>IF(MZ7&gt;0,MZ7,"")</f>
        <v/>
      </c>
      <c r="NN7" s="16" t="str">
        <f>IF(SUM(MW7:MZ7)-NA7&gt;0,SUM(MW7:MZ7)-NA7,"")</f>
        <v/>
      </c>
      <c r="NO7" s="16" t="str">
        <f>IF(SUM(NH7,NN7)&gt;0,SUM(NH7,NN7),"")</f>
        <v/>
      </c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76" t="str">
        <f>IF(NR7&gt;0,NR7,"")</f>
        <v/>
      </c>
      <c r="OK7" s="76" t="str">
        <f>IF(NS7&gt;0,NS7,"")</f>
        <v/>
      </c>
      <c r="OL7" s="76" t="str">
        <f>IF(SUM(NP7:NS7)-NT7&gt;0,SUM(NP7:NS7)-NT7,"")</f>
        <v/>
      </c>
      <c r="OM7" s="76" t="str">
        <f>IF(NW7&gt;0,NW7,"")</f>
        <v/>
      </c>
      <c r="ON7" s="76" t="str">
        <f>IF(NX7&gt;0,NX7,"")</f>
        <v/>
      </c>
      <c r="OO7" s="76" t="str">
        <f>IF(SUM(NU7:NX7)-NY7&gt;0,SUM(NU7:NX7)-NY7,"")</f>
        <v/>
      </c>
      <c r="OP7" s="76" t="str">
        <f>IF(MAX(OL7,OO7)&gt;0,MAX(OL7,OO7),"")</f>
        <v/>
      </c>
      <c r="OQ7" s="76" t="str">
        <f>IF(OB7&gt;0,OB7,"")</f>
        <v/>
      </c>
      <c r="OR7" s="76" t="str">
        <f>IF(OC7&gt;0,OC7,"")</f>
        <v/>
      </c>
      <c r="OS7" s="76" t="str">
        <f>IF(SUM(NZ7:OC7)-OD7&gt;0,SUM(NZ7:OC7)-OD7,"")</f>
        <v/>
      </c>
      <c r="OT7" s="76" t="str">
        <f>IF(OG7&gt;0,OG7,"")</f>
        <v/>
      </c>
      <c r="OU7" s="76" t="str">
        <f>IF(OH7&gt;0,OH7,"")</f>
        <v/>
      </c>
      <c r="OV7" s="76" t="str">
        <f>IF(SUM(OE7:OH7)-OI7&gt;0,SUM(OE7:OH7)-OI7,"")</f>
        <v/>
      </c>
      <c r="OW7" s="76" t="str">
        <f>IF(SUM(OP7,OV7)&gt;0,SUM(OP7,OV7),"")</f>
        <v/>
      </c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16" t="str">
        <f>IF(OZ7&gt;0,OZ7,"")</f>
        <v/>
      </c>
      <c r="PS7" s="16" t="str">
        <f>IF(PA7&gt;0,PA7,"")</f>
        <v/>
      </c>
      <c r="PT7" s="16" t="str">
        <f>IF(SUM(OX7:PA7)-PB7&gt;0,SUM(OX7:PA7)-PB7,"")</f>
        <v/>
      </c>
      <c r="PU7" s="16" t="str">
        <f>IF(PE7&gt;0,PE7,"")</f>
        <v/>
      </c>
      <c r="PV7" s="16" t="str">
        <f>IF(PF7&gt;0,PF7,"")</f>
        <v/>
      </c>
      <c r="PW7" s="16" t="str">
        <f>IF(SUM(PC7:PF7)-PG7&gt;0,SUM(PC7:PF7)-PG7,"")</f>
        <v/>
      </c>
      <c r="PX7" s="16" t="str">
        <f>IF(MAX(PT7,PW7)&gt;0,MAX(PT7,PW7),"")</f>
        <v/>
      </c>
      <c r="PY7" s="16" t="str">
        <f>IF(PJ7&gt;0,PJ7,"")</f>
        <v/>
      </c>
      <c r="PZ7" s="16" t="str">
        <f>IF(PK7&gt;0,PK7,"")</f>
        <v/>
      </c>
      <c r="QA7" s="16" t="str">
        <f>IF(SUM(PH7:PK7)-PL7&gt;0,SUM(PH7:PK7)-PL7,"")</f>
        <v/>
      </c>
      <c r="QB7" s="16" t="str">
        <f>IF(PO7&gt;0,PO7,"")</f>
        <v/>
      </c>
      <c r="QC7" s="16" t="str">
        <f>IF(PP7&gt;0,PP7,"")</f>
        <v/>
      </c>
      <c r="QD7" s="16" t="str">
        <f>IF(SUM(PM7:PP7)-PQ7&gt;0,SUM(PM7:PP7)-PQ7,"")</f>
        <v/>
      </c>
      <c r="QE7" s="16" t="str">
        <f>IF(SUM(PX7,QD7)&gt;0,SUM(PX7,QD7),"")</f>
        <v/>
      </c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25"/>
      <c r="QQ7" s="25"/>
      <c r="QR7" s="25"/>
      <c r="QS7" s="25"/>
      <c r="QT7" s="25"/>
      <c r="QU7" s="25"/>
      <c r="QV7" s="25"/>
      <c r="QW7" s="25"/>
      <c r="QX7" s="25"/>
      <c r="QY7" s="25"/>
      <c r="QZ7" s="76" t="str">
        <f>IF(QH7&gt;0,QH7,"")</f>
        <v/>
      </c>
      <c r="RA7" s="76" t="str">
        <f>IF(QI7&gt;0,QI7,"")</f>
        <v/>
      </c>
      <c r="RB7" s="76" t="str">
        <f>IF(SUM(QF7:QI7)-QJ7&gt;0,SUM(QF7:QI7)-QJ7,"")</f>
        <v/>
      </c>
      <c r="RC7" s="76" t="str">
        <f>IF(QM7&gt;0,QM7,"")</f>
        <v/>
      </c>
      <c r="RD7" s="76" t="str">
        <f>IF(QN7&gt;0,QN7,"")</f>
        <v/>
      </c>
      <c r="RE7" s="76" t="str">
        <f>IF(SUM(QK7:QN7)-QO7&gt;0,SUM(QK7:QN7)-QO7,"")</f>
        <v/>
      </c>
      <c r="RF7" s="76" t="str">
        <f>IF(MAX(RB7,RE7)&gt;0,MAX(RB7,RE7),"")</f>
        <v/>
      </c>
      <c r="RG7" s="76" t="str">
        <f>IF(QR7&gt;0,QR7,"")</f>
        <v/>
      </c>
      <c r="RH7" s="76" t="str">
        <f>IF(QS7&gt;0,QS7,"")</f>
        <v/>
      </c>
      <c r="RI7" s="76" t="str">
        <f>IF(SUM(QP7:QS7)-QT7&gt;0,SUM(QP7:QS7)-QT7,"")</f>
        <v/>
      </c>
      <c r="RJ7" s="76" t="str">
        <f>IF(QW7&gt;0,QW7,"")</f>
        <v/>
      </c>
      <c r="RK7" s="76" t="str">
        <f>IF(QX7&gt;0,QX7,"")</f>
        <v/>
      </c>
      <c r="RL7" s="76" t="str">
        <f>IF(SUM(QU7:QX7)-QY7&gt;0,SUM(QU7:QX7)-QY7,"")</f>
        <v/>
      </c>
      <c r="RM7" s="76" t="str">
        <f>IF(SUM(RF7,RL7)&gt;0,SUM(RF7,RL7),"")</f>
        <v/>
      </c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16" t="str">
        <f>IF(RP7&gt;0,RP7,"")</f>
        <v/>
      </c>
      <c r="SI7" s="16" t="str">
        <f>IF(RQ7&gt;0,RQ7,"")</f>
        <v/>
      </c>
      <c r="SJ7" s="16" t="str">
        <f>IF(SUM(RN7:RQ7)-RR7&gt;0,SUM(RN7:RQ7)-RR7,"")</f>
        <v/>
      </c>
      <c r="SK7" s="16" t="str">
        <f>IF(RU7&gt;0,RU7,"")</f>
        <v/>
      </c>
      <c r="SL7" s="16" t="str">
        <f>IF(RV7&gt;0,RV7,"")</f>
        <v/>
      </c>
      <c r="SM7" s="16" t="str">
        <f>IF(SUM(RS7:RV7)-RW7&gt;0,SUM(RS7:RV7)-RW7,"")</f>
        <v/>
      </c>
      <c r="SN7" s="16" t="str">
        <f>IF(MAX(SJ7,SM7)&gt;0,MAX(SJ7,SM7),"")</f>
        <v/>
      </c>
      <c r="SO7" s="16" t="str">
        <f>IF(RZ7&gt;0,RZ7,"")</f>
        <v/>
      </c>
      <c r="SP7" s="16" t="str">
        <f>IF(SA7&gt;0,SA7,"")</f>
        <v/>
      </c>
      <c r="SQ7" s="16" t="str">
        <f>IF(SUM(RX7:SA7)-SB7&gt;0,SUM(RX7:SA7)-SB7,"")</f>
        <v/>
      </c>
      <c r="SR7" s="16" t="str">
        <f>IF(SE7&gt;0,SE7,"")</f>
        <v/>
      </c>
      <c r="SS7" s="16" t="str">
        <f>IF(SF7&gt;0,SF7,"")</f>
        <v/>
      </c>
      <c r="ST7" s="16" t="str">
        <f>IF(SUM(SC7:SF7)-SG7&gt;0,SUM(SC7:SF7)-SG7,"")</f>
        <v/>
      </c>
      <c r="SU7" s="16" t="str">
        <f>IF(SUM(SN7,ST7)&gt;0,SUM(SN7,ST7),"")</f>
        <v/>
      </c>
      <c r="SV7" s="42">
        <f>IF($CP7="P",CA7,(CA7+AZ7)/2)</f>
        <v>14.95</v>
      </c>
      <c r="SW7" s="42">
        <f>IF($CP7="P",CB7,(CB7+BA7)/2)</f>
        <v>9.35</v>
      </c>
      <c r="SX7" s="42">
        <f>IF($CP7="P",CC7,(CC7+BB7)/2)</f>
        <v>14</v>
      </c>
      <c r="SY7" s="42">
        <f>IF($CP7="P",CD7,(CD7+BC7)/2)</f>
        <v>14.885</v>
      </c>
      <c r="SZ7" s="42">
        <f>IF($CP7="P",CE7,(CE7+BD7)/2)</f>
        <v>0</v>
      </c>
      <c r="TA7" s="42">
        <f>IF($CP7="P",CF7,(CF7+BE7)/2)</f>
        <v>15.3</v>
      </c>
      <c r="TB7" s="42">
        <f>IF($CP7="P",CG7,(CG7+BF7)/2)</f>
        <v>9.5</v>
      </c>
      <c r="TC7" s="42">
        <f>IF($CP7="P",CH7,(CH7+BG7)/2)</f>
        <v>13.75</v>
      </c>
      <c r="TD7" s="42">
        <f>IF($CP7="P",CI7,(CI7+BH7)/2)</f>
        <v>14.9475</v>
      </c>
      <c r="TE7" s="42">
        <f>IF($CP7="P",CJ7,(CJ7+BI7)/2)</f>
        <v>0</v>
      </c>
      <c r="TF7" s="42">
        <f>IF($CP7="P",CK7,(CK7+BJ7)/2)</f>
        <v>14.2</v>
      </c>
      <c r="TG7" s="42">
        <f>IF($CP7="P",CL7,(CL7+BK7)/2)</f>
        <v>9.1999999999999993</v>
      </c>
      <c r="TH7" s="42">
        <f>IF($CP7="P",CM7,(CM7+BL7)/2)</f>
        <v>14.1</v>
      </c>
      <c r="TI7" s="42">
        <f>IF($CP7="P",CN7,(CN7+BM7)/2)</f>
        <v>14.545</v>
      </c>
      <c r="TJ7" s="42">
        <f>IF($CP7="P",CO7,(CO7+BN7)/2)</f>
        <v>0</v>
      </c>
      <c r="TK7" s="51" t="s">
        <v>61</v>
      </c>
      <c r="TL7" s="76">
        <f>IF(SX7&gt;0,SX7,"")</f>
        <v>14</v>
      </c>
      <c r="TM7" s="76">
        <f>IF(SY7&gt;0,SY7,"")</f>
        <v>14.885</v>
      </c>
      <c r="TN7" s="76">
        <f>IF(SUM(SV7:SY7)-SZ7&gt;0,SUM(SV7:SY7)-SZ7,"")</f>
        <v>53.184999999999995</v>
      </c>
      <c r="TO7" s="76">
        <f>IF(TC7&gt;0,TC7,"")</f>
        <v>13.75</v>
      </c>
      <c r="TP7" s="76">
        <f>IF(TD7&gt;0,TD7,"")</f>
        <v>14.9475</v>
      </c>
      <c r="TQ7" s="76">
        <f>IF(SUM(TA7:TD7)-TE7&gt;0,SUM(TA7:TD7)-TE7,"")</f>
        <v>53.497499999999995</v>
      </c>
      <c r="TR7" s="76">
        <f>IF(MAX(TN7,TQ7)&gt;0,MAX(TN7,TQ7),"")</f>
        <v>53.497499999999995</v>
      </c>
      <c r="TS7" s="76">
        <f>IF(TH7&gt;0,TH7,"")</f>
        <v>14.1</v>
      </c>
      <c r="TT7" s="76">
        <f>IF(TI7&gt;0,TI7,"")</f>
        <v>14.545</v>
      </c>
      <c r="TU7" s="76">
        <f>IF(SUM(TF7:TI7)-TJ7&gt;0,SUM(TF7:TI7)-TJ7,"")</f>
        <v>52.045000000000002</v>
      </c>
      <c r="TV7" s="76">
        <f>IF(SUM(TR7,TU7)&gt;0,SUM(TR7,TU7),"")</f>
        <v>105.54249999999999</v>
      </c>
    </row>
    <row r="8" spans="1:542" x14ac:dyDescent="0.2">
      <c r="A8" s="5" cm="1">
        <f t="array" ref="A8">IF(AND(F8&lt;&gt;"",G8&lt;&gt;""),SUMPRODUCT((F$4:F$15&lt;&gt;"")*(G$4:G$15&lt;&gt;"")*(E$4:E$15&gt;E8))+1,IF(G8&lt;&gt;"",SUMPRODUCT((H$4:H$15="No DD")*(E$4:E$15&gt;E8))+1+SUMPRODUCT((F$4:F$15&lt;&gt;"")*(G$4:G$15&lt;&gt;"")),""))</f>
        <v>5</v>
      </c>
      <c r="B8" s="6" t="s">
        <v>75</v>
      </c>
      <c r="C8" s="7" t="s">
        <v>9</v>
      </c>
      <c r="D8" s="5">
        <v>2000</v>
      </c>
      <c r="E8" s="14">
        <f>SUM(J8:V8)+SUM(J8:T8)*0.0000001+SUM(J8)*0.0000000000001</f>
        <v>235.09002350900525</v>
      </c>
      <c r="F8" s="3" t="str">
        <f>IF(OR(AND(AO8&gt;=AY$17,AO8&lt;&gt;"",AQ8&gt;=AY$21,AQ8&lt;&gt;"",AN8=""),AND(AR8&gt;=AY$17,AR8&lt;&gt;"",AT8&gt;=AY$21,AT8&lt;&gt;"",AN8=""),AND(AV8&gt;=AY$17,AV8&lt;&gt;"",AX8&gt;=AY$21,AX8&lt;&gt;"",AN8=""),AND(BP8&gt;=BZ$17,BP8&lt;&gt;"",BR8&gt;=BZ$21,BR8&lt;&gt;"",BO8=""),AND(BS8&gt;=BZ$17,BS8&lt;&gt;"",BU8&gt;=BZ$21,BU8&lt;&gt;"",BO8=""),AND(BW8&gt;=BZ$17,BW8&lt;&gt;"",BY8&gt;=BZ$21,BY8&lt;&gt;"",BO8=""),AND(CQ8&gt;=DA$17,CQ8&lt;&gt;"",CS8&gt;=DA$21,CS8&lt;&gt;"",CP8=""),AND(CT8&gt;=DA$17,CT8&lt;&gt;"",CV8&gt;=DA$21,CV8&lt;&gt;"",CP8=""),AND(CX8&gt;=DA$17,CX8&lt;&gt;"",CZ8&gt;=DA$21,CZ8&lt;&gt;"",CP8=""),AND(DX8&gt;=EK$17,DX8&lt;&gt;"",DZ8&gt;=EK$21,DZ8&lt;&gt;""),AND(EA8&gt;=EK$17,EA8&lt;&gt;"",EC8&gt;=EK$21,EC8&lt;&gt;""),AND(EE8&gt;=EK$17,EE8&lt;&gt;"",EG8&gt;=EK$21,EG8&lt;&gt;""),AND(EH8&gt;=EK$17,EH8&lt;&gt;"",EJ8&gt;=EK$21,EJ8&lt;&gt;""),AND(FF8&gt;=FS$17,FF8&lt;&gt;"",FH8&gt;=FS$21,FH8&lt;&gt;""),AND(FI8&gt;=FS$17,FI8&lt;&gt;"",FK8&gt;=FS$21,FK8&lt;&gt;""),AND(FM8&gt;=FS$17,FM8&lt;&gt;"",FO8&gt;=FS$21,FO8&lt;&gt;""),AND(FP8&gt;=FS$17,FP8&lt;&gt;"",FR8&gt;=FS$21,FR8&lt;&gt;""),AND(GN8&gt;=HA$17,GN8&lt;&gt;"",GP8&gt;=HA$21,GP8&lt;&gt;""),AND(GQ8&gt;=HA$17,GQ8&lt;&gt;"",GS8&gt;=HA$21,GS8&lt;&gt;""),AND(GU8&gt;=HA$17,GU8&lt;&gt;"",GW8&gt;=HA$21,GW8&lt;&gt;""),AND(GX8&gt;=HA$17,GX8&lt;&gt;"",GZ8&gt;=HA$21,GZ8&lt;&gt;""),AND(HV8&gt;=II$17,HV8&lt;&gt;"",HX8&gt;=II$21,HX8&lt;&gt;""),AND(HY8&gt;=II$17,HY8&lt;&gt;"",IA8&gt;=II$21,IA8&lt;&gt;""),AND(IC8&gt;=II$17,IC8&lt;&gt;"",IE8&gt;=II$21,IE8&lt;&gt;""),AND(IF8&gt;=II$17,IF8&lt;&gt;"",IH8&gt;=II$21,IH8&lt;&gt;""),AND(JD8&gt;=JQ$17,JD8&lt;&gt;"",JF8&gt;=JQ$21,JF8&lt;&gt;""),AND(JG8&gt;=JQ$17,JG8&lt;&gt;"",JI8&gt;=JQ$21,JI8&lt;&gt;""),AND(JK8&gt;=JQ$17,JK8&lt;&gt;"",JM8&gt;=JQ$21,JM8&lt;&gt;""),AND(JN8&gt;=JQ$17,JN8&lt;&gt;"",JP8&gt;=JQ$21,JP8&lt;&gt;""),AND(KL8&gt;=KY$17,KL8&lt;&gt;"",KN8&gt;=KY$21,KN8&lt;&gt;""),AND(KO8&gt;=KY$17,KO8&lt;&gt;"",KQ8&gt;=KY$21,KQ8&lt;&gt;""),AND(KS8&gt;=KY$17,KS8&lt;&gt;"",KU8&gt;=KY$21,KU8&lt;&gt;""),AND(KV8&gt;=KY$17,KV8&lt;&gt;"",KX8&gt;=KY$21,KX8&lt;&gt;""),AND(LT8&gt;=MG$17,LT8&lt;&gt;"",LV8&gt;=MG$21,LV8&lt;&gt;""),AND(LW8&gt;=MG$17,LW8&lt;&gt;"",LY8&gt;=MG$21,LY8&lt;&gt;""),AND(MA8&gt;=MG$17,MA8&lt;&gt;"",MC8&gt;=MG$21,MC8&lt;&gt;""),AND(MD8&gt;=MG$17,MD8&lt;&gt;"",MF8&gt;=MG$21,MF8&lt;&gt;""),AND(NB8&gt;=NO$17,NB8&lt;&gt;"",ND8&gt;=NO$21,ND8&lt;&gt;""),AND(NE8&gt;=NO$17,NE8&lt;&gt;"",NG8&gt;=NO$21,NG8&lt;&gt;""),AND(NI8&gt;=NO$17,NI8&lt;&gt;"",NK8&gt;=NO$21,NK8&lt;&gt;""),AND(NL8&gt;=NO$17,NL8&lt;&gt;"",NN8&gt;=NO$21,NN8&lt;&gt;""),AND(OJ8&gt;=OW$17,OJ8&lt;&gt;"",OL8&gt;=OW$21,OL8&lt;&gt;""),AND(OM8&gt;=OW$17,OM8&lt;&gt;"",OO8&gt;=OW$21,OO8&lt;&gt;""),AND(OQ8&gt;=OW$17,OQ8&lt;&gt;"",OS8&gt;=OW$21,OS8&lt;&gt;""),AND(OT8&gt;=OW$17,OT8&lt;&gt;"",OV8&gt;=OW$21,OV8&lt;&gt;""),AND(PR8&gt;=QE$17,PR8&lt;&gt;"",PT8&gt;=QE$21,PT8&lt;&gt;""),AND(PU8&gt;=QE$17,PU8&lt;&gt;"",PW8&gt;=QE$21,PW8&lt;&gt;""),AND(PY8&gt;=QE$17,PY8&lt;&gt;"",QA8&gt;=QE$21,QA8&lt;&gt;""),AND(QB8&gt;=QE$17,QB8&lt;&gt;"",QD8&gt;=QE$21,QD8&lt;&gt;""),AND(QZ8&gt;=RM$17,QZ8&lt;&gt;"",RB8&gt;=RM$21,RB8&lt;&gt;""),AND(RC8&gt;=RM$17,RC8&lt;&gt;"",RE8&gt;=RM$21,RE8&lt;&gt;""),AND(RG8&gt;=RM$17,RG8&lt;&gt;"",RI8&gt;=RM$21,RI8&lt;&gt;""),AND(RJ8&gt;=RM$17,RJ8&lt;&gt;"",RL8&gt;=RM$21,RL8&lt;&gt;""),AND(SH8&gt;=SU$17,SH8&lt;&gt;"",SJ8&gt;=SU$21,SJ8&lt;&gt;""),AND(SK8&gt;=SU$17,SK8&lt;&gt;"",SM8&gt;=SU$21,SM8&lt;&gt;""),AND(SO8&gt;=SU$17,SO8&lt;&gt;"",SQ8&gt;=SU$21,SQ8&lt;&gt;""),AND(SR8&gt;=SU$17,SR8&lt;&gt;"",ST8&gt;=SU$21,ST8&lt;&gt;"")),"P","")</f>
        <v>P</v>
      </c>
      <c r="G8" s="3" t="str">
        <f>IF(OR(AND(AQ8&gt;=AY$21,AQ8&lt;&gt;"",AN8=""),AND(AT8&gt;=AY$21,AT8&lt;&gt;"",AN8=""),AND(AX8&gt;=AY$21,AX8&lt;&gt;"",AN8=""),AND(BR8&gt;=BZ$21,BR8&lt;&gt;"",BO8=""),AND(BU8&gt;=BZ$21,BU8&lt;&gt;"",BO8=""),AND(BY8&gt;=BZ$21,BY8&lt;&gt;"",BO8=""),AND(CS8&gt;=DA$21,CS8&lt;&gt;"",CP8=""),AND(CV8&gt;=DA$21,CV8&lt;&gt;"",CP8=""),AND(CZ8&gt;=DA$21,CZ8&lt;&gt;"",CP8=""),AND(DZ8&gt;=EK$21,DZ8&lt;&gt;""),AND(EC8&gt;=EK$21,EC8&lt;&gt;""),AND(EG8&gt;=EK$21,EG8&lt;&gt;""),AND(EJ8&gt;=EK$21,EJ8&lt;&gt;""),AND(FH8&gt;=FS$21,FH8&lt;&gt;""),AND(FK8&gt;=FS$21,FK8&lt;&gt;""),AND(FO8&gt;=FS$21,FO8&lt;&gt;""),AND(FR8&gt;=FS$21,FR8&lt;&gt;""),AND(GP8&gt;=HA$21,GP8&lt;&gt;""),AND(GS8&gt;=HA$21,GS8&lt;&gt;""),AND(GW8&gt;=HA$21,GW8&lt;&gt;""),AND(GZ8&gt;=HA$21,GZ8&lt;&gt;""),AND(HX8&gt;=II$21,HX8&lt;&gt;""),AND(IA8&gt;=II$21,IA8&lt;&gt;""),AND(IE8&gt;=II$21,IE8&lt;&gt;""),AND(IH8&gt;=II$21,IH8&lt;&gt;""),AND(JF8&gt;=JQ$21,JF8&lt;&gt;""),AND(JI8&gt;=JQ$21,JI8&lt;&gt;""),AND(JM8&gt;=JQ$21,JM8&lt;&gt;""),AND(JP8&gt;=JQ$21,JP8&lt;&gt;""),AND(KN8&gt;=KY$21,KN8&lt;&gt;""),AND(KQ8&gt;=KY$21,KQ8&lt;&gt;""),AND(KU8&gt;=KY$21,KU8&lt;&gt;""),AND(KX8&gt;=KY$21,KX8&lt;&gt;""),AND(LV8&gt;=MG$21,LV8&lt;&gt;""),AND(LY8&gt;=MG$21,LY8&lt;&gt;""),AND(MC8&gt;=MG$21,MC8&lt;&gt;""),AND(MF8&gt;=MG$21,MF8&lt;&gt;""),AND(ND8&gt;=NO$21,ND8&lt;&gt;""),AND(NG8&gt;=NO$21,NG8&lt;&gt;""),AND(NK8&gt;=NO$21,NK8&lt;&gt;""),AND(NN8&gt;=NO$21,NN8&lt;&gt;""),AND(OL8&gt;=OW$21,OL8&lt;&gt;""),AND(OO8&gt;=OW$21,OO8&lt;&gt;""),AND(OS8&gt;=OW$21,OS8&lt;&gt;""),AND(OV8&gt;=OW$21,OV8&lt;&gt;""),AND(PT8&gt;=QE$21,PT8&lt;&gt;""),AND(PW8&gt;=QE$21,PW8&lt;&gt;""),AND(QA8&gt;=QE$21,QA8&lt;&gt;""),AND(QD8&gt;=QE$21,QD8&lt;&gt;""),AND(RB8&gt;=RM$21,RB8&lt;&gt;""),AND(RE8&gt;=RM$21,RE8&lt;&gt;""),AND(RI8&gt;=RM$21,RI8&lt;&gt;""),AND(RL8&gt;=RM$21,RL8&lt;&gt;""),AND(SJ8&gt;=SU$21,SJ8&lt;&gt;""),AND(SM8&gt;=SU$21,SM8&lt;&gt;""),AND(SQ8&gt;=SU$21,SQ8&lt;&gt;""),AND(ST8&gt;=SU$21,ST8&lt;&gt;"")),"P","")</f>
        <v>P</v>
      </c>
      <c r="H8" s="70" t="str">
        <f>IF(AND(G8="P",F8=""),"No DD",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),"Merit",IF(OR(AND(AO8&gt;=AY$19,AO8&lt;&gt;"",AQ8&gt;=AY$23,AQ8&lt;&gt;"",AN8=""),AND(AR8&gt;=AY$19,AR8&lt;&gt;"",AT8&gt;=AY$23,AT8&lt;&gt;"",AN8=""),AND(AV8&gt;=AY$19,AV8&lt;&gt;"",AX8&gt;=AY$23,AX8&lt;&gt;"",AN8=""),AND(BP8&gt;=BZ$19,BP8&lt;&gt;"",BR8&gt;=BZ$23,BR8&lt;&gt;"",BO8=""),AND(BS8&gt;=BZ$19,BS8&lt;&gt;"",BU8&gt;=BZ$23,BU8&lt;&gt;"",BO8=""),AND(BW8&gt;=BZ$19,BW8&lt;&gt;"",BY8&gt;=BZ$23,BY8&lt;&gt;"",BO8=""),AND(CQ8&gt;=DA$19,CQ8&lt;&gt;"",CS8&gt;=DA$23,CS8&lt;&gt;"",CP8=""),AND(CT8&gt;=DA$19,CT8&lt;&gt;"",CV8&gt;=DA$23,CV8&lt;&gt;"",CP8=""),AND(CX8&gt;=DA$19,CX8&lt;&gt;"",CZ8&gt;=DA$23,CZ8&lt;&gt;"",CP8=""),AND(DX8&gt;=EK$19,DX8&lt;&gt;"",DZ8&gt;=EK$23,DZ8&lt;&gt;""),AND(EA8&gt;=EK$19,EA8&lt;&gt;"",EC8&gt;=EK$23,EC8&lt;&gt;""),AND(EE8&gt;=EK$19,EE8&lt;&gt;"",EG8&gt;=EK$23,EG8&lt;&gt;""),AND(EH8&gt;=EK$19,EH8&lt;&gt;"",EJ8&gt;=EK$23,EJ8&lt;&gt;""),AND(FF8&gt;=FS$19,FF8&lt;&gt;"",FH8&gt;=FS$23,FH8&lt;&gt;""),AND(FI8&gt;=FS$19,FI8&lt;&gt;"",FK8&gt;=FS$23,FK8&lt;&gt;""),AND(FM8&gt;=FS$19,FM8&lt;&gt;"",FO8&gt;=FS$23,FO8&lt;&gt;""),AND(FP8&gt;=FS$19,FP8&lt;&gt;"",FR8&gt;=FS$23,FR8&lt;&gt;""),AND(GN8&gt;=HA$19,GN8&lt;&gt;"",GP8&gt;=HA$23,GP8&lt;&gt;""),AND(GQ8&gt;=HA$19,GQ8&lt;&gt;"",GS8&gt;=HA$23,GS8&lt;&gt;""),AND(GU8&gt;=HA$19,GU8&lt;&gt;"",GW8&gt;=HA$23,GW8&lt;&gt;""),AND(GX8&gt;=HA$19,GX8&lt;&gt;"",GZ8&gt;=HA$23,GZ8&lt;&gt;""),AND(HV8&gt;=II$19,HV8&lt;&gt;"",HX8&gt;=II$23,HX8&lt;&gt;""),AND(HY8&gt;=II$19,HY8&lt;&gt;"",IA8&gt;=II$23,IA8&lt;&gt;""),AND(IC8&gt;=II$19,IC8&lt;&gt;"",IE8&gt;=II$23,IE8&lt;&gt;""),AND(IF8&gt;=II$19,IF8&lt;&gt;"",IH8&gt;=II$23,IH8&lt;&gt;""),AND(JD8&gt;=JQ$19,JD8&lt;&gt;"",JF8&gt;=JQ$23,JF8&lt;&gt;""),AND(JG8&gt;=JQ$19,JG8&lt;&gt;"",JI8&gt;=JQ$23,JI8&lt;&gt;""),AND(JK8&gt;=JQ$19,JK8&lt;&gt;"",JM8&gt;=JQ$23,JM8&lt;&gt;""),AND(JN8&gt;=JQ$19,JN8&lt;&gt;"",JP8&gt;=JQ$23,JP8&lt;&gt;""),AND(KL8&gt;=KY$19,KL8&lt;&gt;"",KN8&gt;=KY$23,KN8&lt;&gt;""),AND(KO8&gt;=KY$19,KO8&lt;&gt;"",KQ8&gt;=KY$23,KQ8&lt;&gt;""),AND(KS8&gt;=KY$19,KS8&lt;&gt;"",KU8&gt;=KY$23,KU8&lt;&gt;""),AND(KV8&gt;=KY$19,KV8&lt;&gt;"",KX8&gt;=KY$23,KX8&lt;&gt;""),AND(LT8&gt;=MG$19,LT8&lt;&gt;"",LV8&gt;=MG$23,LV8&lt;&gt;""),AND(LW8&gt;=MG$19,LW8&lt;&gt;"",LY8&gt;=MG$23,LY8&lt;&gt;""),AND(MA8&gt;=MG$19,MA8&lt;&gt;"",MC8&gt;=MG$23,MC8&lt;&gt;""),AND(MD8&gt;=MG$19,MD8&lt;&gt;"",MF8&gt;=MG$23,MF8&lt;&gt;""),AND(NB8&gt;=NO$19,NB8&lt;&gt;"",ND8&gt;=NO$23,ND8&lt;&gt;""),AND(NE8&gt;=NO$19,NE8&lt;&gt;"",NG8&gt;=NO$23,NG8&lt;&gt;""),AND(NI8&gt;=NO$19,NI8&lt;&gt;"",NK8&gt;=NO$23,NK8&lt;&gt;""),AND(NL8&gt;=NO$19,NL8&lt;&gt;"",NN8&gt;=NO$23,NN8&lt;&gt;""),AND(OJ8&gt;=OW$19,OJ8&lt;&gt;"",OL8&gt;=OW$23,OL8&lt;&gt;""),AND(OM8&gt;=OW$19,OM8&lt;&gt;"",OO8&gt;=OW$23,OO8&lt;&gt;""),AND(OQ8&gt;=OW$19,OQ8&lt;&gt;"",OS8&gt;=OW$23,OS8&lt;&gt;""),AND(OT8&gt;=OW$19,OT8&lt;&gt;"",OV8&gt;=OW$23,OV8&lt;&gt;""),AND(PR8&gt;=QE$19,PR8&lt;&gt;"",PT8&gt;=QE$23,PT8&lt;&gt;""),AND(PU8&gt;=QE$19,PU8&lt;&gt;"",PW8&gt;=QE$23,PW8&lt;&gt;""),AND(PY8&gt;=QE$19,PY8&lt;&gt;"",QA8&gt;=QE$23,QA8&lt;&gt;""),AND(QB8&gt;=QE$19,QB8&lt;&gt;"",QD8&gt;=QE$23,QD8&lt;&gt;""),AND(QZ8&gt;=RM$19,QZ8&lt;&gt;"",RB8&gt;=RM$23,RB8&lt;&gt;""),AND(RC8&gt;=RM$19,RC8&lt;&gt;"",RE8&gt;=RM$23,RE8&lt;&gt;""),AND(RG8&gt;=RM$19,RG8&lt;&gt;"",RI8&gt;=RM$23,RI8&lt;&gt;""),AND(RJ8&gt;=RM$19,RJ8&lt;&gt;"",RL8&gt;=RM$23,RL8&lt;&gt;""),AND(SH8&gt;=SU$19,SH8&lt;&gt;"",SJ8&gt;=SU$23,SJ8&lt;&gt;""),AND(SK8&gt;=SU$19,SK8&lt;&gt;"",SM8&gt;=SU$23,SM8&lt;&gt;""),AND(SO8&gt;=SU$19,SO8&lt;&gt;"",SQ8&gt;=SU$23,SQ8&lt;&gt;""),AND(SR8&gt;=SU$19,SR8&lt;&gt;"",ST8&gt;=SU$23,ST8&lt;&gt;"")),"Excellence",IF(I8="P","Worlds Team",IF(F8="P","National Team","")))))</f>
        <v>National Team</v>
      </c>
      <c r="I8" s="3" t="str">
        <f>IF(OR(AND(AO8&gt;=AY$18,AO8&lt;&gt;"",AQ8&gt;=AY$22,AQ8&lt;&gt;"",AN8=""),AND(AR8&gt;=AY$18,AR8&lt;&gt;"",AT8&gt;=AY$22,AT8&lt;&gt;"",AN8=""),AND(AV8&gt;=AY$18,AV8&lt;&gt;"",AX8&gt;=AY$22,AX8&lt;&gt;"",AN8=""),AND(BP8&gt;=BZ$18,BP8&lt;&gt;"",BR8&gt;=BZ$22,BR8&lt;&gt;"",BO8=""),AND(BS8&gt;=BZ$18,BS8&lt;&gt;"",BU8&gt;=BZ$22,BU8&lt;&gt;"",BO8=""),AND(BW8&gt;=BZ$18,BW8&lt;&gt;"",BY8&gt;=BZ$22,BY8&lt;&gt;"",BO8=""),AND(CQ8&gt;=DA$18,CQ8&lt;&gt;"",CS8&gt;=DA$22,CS8&lt;&gt;"",CP8=""),AND(CT8&gt;=DA$18,CT8&lt;&gt;"",CV8&gt;=DA$22,CV8&lt;&gt;"",CP8=""),AND(CX8&gt;=DA$18,CX8&lt;&gt;"",CZ8&gt;=DA$22,CZ8&lt;&gt;"",CP8=""),AND(DX8&gt;=EK$18,DX8&lt;&gt;"",DZ8&gt;=EK$22,DZ8&lt;&gt;""),AND(EA8&gt;=EK$18,EA8&lt;&gt;"",EC8&gt;=EK$22,EC8&lt;&gt;""),AND(EE8&gt;=EK$18,EE8&lt;&gt;"",EG8&gt;=EK$22,EG8&lt;&gt;""),AND(EH8&gt;=EK$18,EH8&lt;&gt;"",EJ8&gt;=EK$22,EJ8&lt;&gt;""),AND(FF8&gt;=FS$18,FF8&lt;&gt;"",FH8&gt;=FS$22,FH8&lt;&gt;""),AND(FI8&gt;=FS$18,FI8&lt;&gt;"",FK8&gt;=FS$22,FK8&lt;&gt;""),AND(FM8&gt;=FS$18,FM8&lt;&gt;"",FO8&gt;=FS$22,FO8&lt;&gt;""),AND(FP8&gt;=FS$18,FP8&lt;&gt;"",FR8&gt;=FS$22,FR8&lt;&gt;""),AND(GN8&gt;=HA$18,GN8&lt;&gt;"",GP8&gt;=HA$22,GP8&lt;&gt;""),AND(GQ8&gt;=HA$18,GQ8&lt;&gt;"",GS8&gt;=HA$22,GS8&lt;&gt;""),AND(GU8&gt;=HA$18,GU8&lt;&gt;"",GW8&gt;=HA$22,GW8&lt;&gt;""),AND(GX8&gt;=HA$18,GX8&lt;&gt;"",GZ8&gt;=HA$22,GZ8&lt;&gt;""),AND(HV8&gt;=II$18,HV8&lt;&gt;"",HX8&gt;=II$22,HX8&lt;&gt;""),AND(HY8&gt;=II$18,HY8&lt;&gt;"",IA8&gt;=II$22,IA8&lt;&gt;""),AND(IC8&gt;=II$18,IC8&lt;&gt;"",IE8&gt;=II$22,IE8&lt;&gt;""),AND(IF8&gt;=II$18,IF8&lt;&gt;"",IH8&gt;=II$22,IH8&lt;&gt;""),AND(JD8&gt;=JQ$18,JD8&lt;&gt;"",JF8&gt;=JQ$22,JF8&lt;&gt;""),AND(JG8&gt;=JQ$18,JG8&lt;&gt;"",JI8&gt;=JQ$22,JI8&lt;&gt;""),AND(JK8&gt;=JQ$18,JK8&lt;&gt;"",JM8&gt;=JQ$22,JM8&lt;&gt;""),AND(JN8&gt;=JQ$18,JN8&lt;&gt;"",JP8&gt;=JQ$22,JP8&lt;&gt;""),AND(KL8&gt;=KY$18,KL8&lt;&gt;"",KN8&gt;=KY$22,KN8&lt;&gt;""),AND(KO8&gt;=KY$18,KO8&lt;&gt;"",KQ8&gt;=KY$22,KQ8&lt;&gt;""),AND(KS8&gt;=KY$18,KS8&lt;&gt;"",KU8&gt;=KY$22,KU8&lt;&gt;""),AND(KV8&gt;=KY$18,KV8&lt;&gt;"",KX8&gt;=KY$22,KX8&lt;&gt;""),AND(LT8&gt;=MG$18,LT8&lt;&gt;"",LV8&gt;=MG$22,LV8&lt;&gt;""),AND(LW8&gt;=MG$18,LW8&lt;&gt;"",LY8&gt;=MG$22,LY8&lt;&gt;""),AND(MA8&gt;=MG$18,MA8&lt;&gt;"",MC8&gt;=MG$22,MC8&lt;&gt;""),AND(MD8&gt;=MG$18,MD8&lt;&gt;"",MF8&gt;=MG$22,MF8&lt;&gt;""),AND(NB8&gt;=NO$18,NB8&lt;&gt;"",ND8&gt;=NO$22,ND8&lt;&gt;""),AND(NE8&gt;=NO$18,NE8&lt;&gt;"",NG8&gt;=NO$22,NG8&lt;&gt;""),AND(NI8&gt;=NO$18,NI8&lt;&gt;"",NK8&gt;=NO$22,NK8&lt;&gt;""),AND(NL8&gt;=NO$18,NL8&lt;&gt;"",NN8&gt;=NO$22,NN8&lt;&gt;""),AND(OJ8&gt;=OW$18,OJ8&lt;&gt;"",OL8&gt;=OW$22,OL8&lt;&gt;""),AND(OM8&gt;=OW$18,OM8&lt;&gt;"",OO8&gt;=OW$22,OO8&lt;&gt;""),AND(OQ8&gt;=OW$18,OQ8&lt;&gt;"",OS8&gt;=OW$22,OS8&lt;&gt;""),AND(OT8&gt;=OW$18,OT8&lt;&gt;"",OV8&gt;=OW$22,OV8&lt;&gt;""),AND(PR8&gt;=QE$18,PR8&lt;&gt;"",PT8&gt;=QE$22,PT8&lt;&gt;""),AND(PU8&gt;=QE$18,PU8&lt;&gt;"",PW8&gt;=QE$22,PW8&lt;&gt;""),AND(PY8&gt;=QE$18,PY8&lt;&gt;"",QA8&gt;=QE$22,QA8&lt;&gt;""),AND(QB8&gt;=QE$18,QB8&lt;&gt;"",QD8&gt;=QE$22,QD8&lt;&gt;""),AND(QZ8&gt;=RM$18,QZ8&lt;&gt;"",RB8&gt;=RM$22,RB8&lt;&gt;""),AND(RC8&gt;=RM$18,RC8&lt;&gt;"",RE8&gt;=RM$22,RE8&lt;&gt;""),AND(RG8&gt;=RM$18,RG8&lt;&gt;"",RI8&gt;=RM$22,RI8&lt;&gt;""),AND(RJ8&gt;=RM$18,RJ8&lt;&gt;"",RL8&gt;=RM$22,RL8&lt;&gt;""),AND(SH8&gt;=SU$18,SH8&lt;&gt;"",SJ8&gt;=SU$22,SJ8&lt;&gt;""),AND(SK8&gt;=SU$18,SK8&lt;&gt;"",SM8&gt;=SU$22,SM8&lt;&gt;""),AND(SO8&gt;=SU$18,SO8&lt;&gt;"",SQ8&gt;=SU$22,SQ8&lt;&gt;""),AND(SR8&gt;=SU$18,SR8&lt;&gt;"",ST8&gt;=SU$22,ST8&lt;&gt;"")),"P","")</f>
        <v/>
      </c>
      <c r="J8" s="13">
        <f>IF(COUNT(AQ8,AT8,BR8,BU8,CS8,CV8)&gt;0,LARGE((AQ8,AT8,BR8,BU8,CS8,CV8),1),0)</f>
        <v>52.75</v>
      </c>
      <c r="K8" s="13" t="str">
        <f>IF(J8="","",IF(OR(J8=CS8,J8=CV8),$CA$1,IF(OR(J8=BR8,J8=BU8),$AZ$1,IF(OR(J8=AQ8,J8=AT8),$Y$1,""))))</f>
        <v>2021 Elite Canada</v>
      </c>
      <c r="L8" s="13">
        <f>IF(COUNT(AQ8,AT8,BR8,BU8,CS8,CV8)&gt;1,LARGE((AQ8,AT8,BR8,BU8,CS8,CV8),2),0)</f>
        <v>52.534999999999997</v>
      </c>
      <c r="M8" s="13" t="str">
        <f>IF(L8="","",IF(OR(L8=CS8,L8=CV8),$CA$1,IF(OR(L8=BR8,L8=BU8),$AZ$1,IF(OR(L8=AQ8,L8=AT8),$Y$1,""))))</f>
        <v>2021 Canadian Championships</v>
      </c>
      <c r="N8" s="13">
        <f>IF(COUNT(AQ8,AT8,BR8,BU8,CS8,CV8)&gt;2,LARGE((AQ8,AT8,BR8,BU8,CS8,CV8),3),0)</f>
        <v>50.684999999999995</v>
      </c>
      <c r="O8" s="13" t="str">
        <f>IF(N8="","",IF(OR(N8=CS8,N8=CV8),$CA$1,IF(OR(N8=BR8,N8=BU8),$AZ$1,IF(OR(N8=AQ8,N8=AT8),$Y$1,""))))</f>
        <v>2021 Elite Canada</v>
      </c>
      <c r="P8" s="13">
        <f>IF(MAX(AX8,BY8,CZ8)&gt;0,MAX(AX8,BY8,CZ8),0)</f>
        <v>51.984999999999999</v>
      </c>
      <c r="Q8" s="13" t="str">
        <f>IF(P8="","",IF(P8=CZ8,$CA$1,IF(P8=BY8,$AZ$1,IF(P8=AX8,$Y$1,""))))</f>
        <v>2021 Elite Canada</v>
      </c>
      <c r="R8" s="13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12.2</v>
      </c>
      <c r="S8" s="13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2021 Canadian Championships</v>
      </c>
      <c r="T8" s="13">
        <f>IF(MAX(IF(AO8&gt;=$AY$17,AP8,0),IF(AR8&gt;=$AY$17,AS8,0),IF(AV8&gt;=$AY$17,AW8,0),IF(BP8&gt;=$BZ$17,BQ8,0),IF(BS8&gt;=$BZ$17,BT8,0),IF(BW8&gt;=$BZ$17,BX8,0),IF(CQ8&gt;=$DA$17,CR8,0),IF(CT8&gt;=$DA$17,CU8,0),IF(CX8&gt;=$DA$17,CY8,0))&gt;0,MAX(IF(AO8&gt;=$AY$17,AP8,0),IF(AR8&gt;=$AY$17,AS8,0),IF(AV8&gt;=$AY$17,AW8,0),IF(BP8&gt;=$BZ$17,BQ8,0),IF(BS8&gt;=$BZ$17,BT8,0),IF(BW8&gt;=$BZ$17,BX8,0),IF(CQ8&gt;=$DA$17,CR8,0),IF(CT8&gt;=$DA$17,CU8,0),IF(CX8&gt;=$DA$17,CY8,0),IF(DX8&gt;=$EK$17,DY8,0),IF(EA8&gt;=$EK$17,EB8,0),IF(EE8&gt;=$EK$17,EF8,0),IF(EH8&gt;=$EK$17,EI8,0),IF(FF8&gt;=$FS$17,FG8,0),IF(FI8&gt;=$FS$17,FJ8,0),IF(FM8&gt;=$FS$17,FN8,0),IF(FP8&gt;=$FS$17,FQ8,0),IF(GN8&gt;=$HA$17,GO8,0),IF(GQ8&gt;=$HA$17,GR8,0),IF(GU8&gt;=$HA$17,GV8,0),IF(GX8&gt;=$HA$17,GY8,0),IF(HV8&gt;=$II$17,HW8,0),IF(HY8&gt;=$II$17,HZ8,0),IF(IC8&gt;=$II$17,ID8,0),IF(IF8&gt;=$II$17,IG8,0),IF(JD8&gt;=$JQ$17,JE8,0),IF(JG8&gt;=$JQ$17,JH8,0),IF(JK8&gt;=$JQ$17,JL8,0),IF(JN8&gt;=$JQ$17,JO8,0),IF(KL8&gt;=$KY$17,KM8,0),IF(KO8&gt;=$KY$17,KP8,0),IF(KS8&gt;=$KY$17,KT8,0),IF(KV8&gt;=$KY$17,KW8,0),IF(LT8&gt;=$MG$17,LU8,0),IF(LW8&gt;=$MG$17,LX8,0),IF(MA8&gt;=$MG$17,MB8,0),IF(MD8&gt;=$MG$17,ME8,0),IF(NB8&gt;=$NO$17,NC8,0),IF(NE8&gt;=$NO$17,NF8,0),IF(NI8&gt;=$NO$17,NJ8,0),IF(NL8&gt;=$NO$17,NM8,0),IF(OJ8&gt;=$OW$17,OK8,0),IF(OM8&gt;=$OW$17,ON8,0),IF(OQ8&gt;=$OW$17,OR8,0),IF(OT8&gt;=$OW$17,OU8,0),IF(PR8&gt;=$QE$17,PS8,0),IF(PU8&gt;=$QE$17,PV8,0),IF(PY8&gt;=$QE$17,PZ8,0),IF(QB8&gt;=$QE$17,QC8,0),IF(QZ8&gt;=$RM$17,RA8,0),IF(RC8&gt;=$RM$17,RD8,0),IF(RG8&gt;=$RM$17,RH8,0),IF(RJ8&gt;=$RM$17,RK8,0),IF(SH8&gt;=$SU$17,SI8,0),IF(SK8&gt;=$SU$17,SL8,0),IF(SO8&gt;=$SU$17,SP8,0),IF(SR8&gt;=$SU$17,SS8,0)),0)</f>
        <v>14.935</v>
      </c>
      <c r="U8" s="13" t="str">
        <f>IF(T8=0,"",IF(OR(T8=CR8,T8=CU8,T8=CY8),$CA$1,IF(OR(T8=BQ8,T8=BT8,T8=BX8),$AZ$1,IF(OR(T8=AP8,T8=AS8,T8=AW8),$Y$1,IF(OR(R8=SI8,R8=SL8,R8=SP8,R8=SS8),$RN$1,IF(OR(R8=RA8,R8=RD8,R8=RH8,R8=RK8),$QF$1,IF(OR(R8=PS8,R8=PV8,R8=PZ8,R8=QC8),$OX$1,IF(OR(R8=OK8,R8=ON8,R8=OR8,R8=OU8),$NP$1,IF(OR(R8=NC8,R8=NF8,R8=NJ8,R8=NM8),$MH$1,IF(OR(R8=LU8,R8=LX8,R8=MB8,R8=ME8),$KZ$1,IF(OR(R8=KM8,R8=KP8,R8=KT8,R8=KW8),$JR$1,IF(OR(R8=JE8,R8=JH8,R8=JL8,R8=JO8),$IJ$1,IF(OR(R8=HW8,R8=HZ8,R8=ID8,R8=IG8),$HB$1,IF(OR(R8=GO8,R8=GR8,R8=GV8,R8=GY8),$FT$1,IF(OR(R8=FG8,R8=FJ8,R8=FN8,R8=FQ8),$EL$1,IF(OR(R8=DY8,R8=EB8,R8=EF8,R8=EI8),$DD$1,""))))))))))))))))</f>
        <v>2021 Canadian Championships</v>
      </c>
      <c r="V8" s="13" t="str">
        <f>IF(MAX(DB8,DC8)&gt;0,MAX(DB8,DC8),"")</f>
        <v/>
      </c>
      <c r="W8" s="16" t="str">
        <f>IF(V8="","",IF(V8=DB8,"("&amp;DB$2&amp;")",IF(V8=DC8,"("&amp;DC$2&amp;")")))</f>
        <v/>
      </c>
      <c r="X8" s="13" t="str">
        <f>IF(V8="","",IF(V8=DB8,IF(V8+IF(L8="",0,L8)=SN8,$RN$1,IF(V8+IF(L8="",0,L8)=RF8,$QF$1,IF(V8+IF(L8="",0,L8)=PX8,$OX$1,IF(V8+IF(L8="",0,L8)=OP8,$NP$1,IF(V8+IF(L8="",0,L8)=NH8,$MH$1,IF(V8+IF(L8="",0,L8)=LZ8,$KZ$1,IF(V8+IF(L8="",0,L8)=KR8,$JR$1,IF(V8+IF(L8="",0,L8)=JJ8,$IJ$1,IF(V8+IF(L8="",0,L8)=IB8,$HB$1,IF(V8+IF(L8="",0,L8)=GT8,$FT$1,IF(V8+IF(L8="",0,L8)=FL8,$EL$1,IF(V8+IF(L8="",0,L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$1)))))))))))))))</f>
        <v/>
      </c>
      <c r="Y8" s="42">
        <v>16.8</v>
      </c>
      <c r="Z8" s="42">
        <v>9.6</v>
      </c>
      <c r="AA8" s="42">
        <v>11.5</v>
      </c>
      <c r="AB8" s="42">
        <v>14.85</v>
      </c>
      <c r="AC8" s="42">
        <v>0</v>
      </c>
      <c r="AD8" s="42">
        <v>15.1</v>
      </c>
      <c r="AE8" s="42">
        <v>8.8000000000000007</v>
      </c>
      <c r="AF8" s="42">
        <v>12.2</v>
      </c>
      <c r="AG8" s="42">
        <v>14.585000000000001</v>
      </c>
      <c r="AH8" s="42">
        <v>0</v>
      </c>
      <c r="AI8" s="42">
        <v>15.6</v>
      </c>
      <c r="AJ8" s="42">
        <v>9.6</v>
      </c>
      <c r="AK8" s="42">
        <v>12.2</v>
      </c>
      <c r="AL8" s="42">
        <v>14.585000000000001</v>
      </c>
      <c r="AM8" s="42">
        <v>0</v>
      </c>
      <c r="AN8" s="51"/>
      <c r="AO8" s="74">
        <f>IF(AA8&gt;0,AA8,"")</f>
        <v>11.5</v>
      </c>
      <c r="AP8" s="74">
        <f>IF(AB8&gt;0,AB8,"")</f>
        <v>14.85</v>
      </c>
      <c r="AQ8" s="76">
        <f>IF(SUM(Y8:AB8)-AC8&gt;0,SUM(Y8:AB8)-AC8,"")</f>
        <v>52.75</v>
      </c>
      <c r="AR8" s="76">
        <f>IF(AF8&gt;0,AF8,"")</f>
        <v>12.2</v>
      </c>
      <c r="AS8" s="76">
        <f>IF(AG8&gt;0,AG8,"")</f>
        <v>14.585000000000001</v>
      </c>
      <c r="AT8" s="76">
        <f>IF(SUM(AD8:AG8)-AH8&gt;0,SUM(AD8:AG8)-AH8,"")</f>
        <v>50.684999999999995</v>
      </c>
      <c r="AU8" s="76">
        <f>IF(AQ8="","",MAX(AQ8,AT8))</f>
        <v>52.75</v>
      </c>
      <c r="AV8" s="76">
        <f>IF(AK8&gt;0,AK8,"")</f>
        <v>12.2</v>
      </c>
      <c r="AW8" s="76">
        <f>IF(AL8&gt;0,AL8,"")</f>
        <v>14.585000000000001</v>
      </c>
      <c r="AX8" s="76">
        <f>IF(SUM(AI8:AL8)-AM8&gt;0,SUM(AI8:AL8)-AM8,"")</f>
        <v>51.984999999999999</v>
      </c>
      <c r="AY8" s="76">
        <f>IF(SUM(AU8,AX8)&gt;0,SUM(AU8,AX8),"")</f>
        <v>104.735</v>
      </c>
      <c r="AZ8" s="46">
        <v>15.7</v>
      </c>
      <c r="BA8" s="46">
        <v>8.8000000000000007</v>
      </c>
      <c r="BB8" s="46">
        <v>10.6</v>
      </c>
      <c r="BC8" s="46">
        <v>14.8</v>
      </c>
      <c r="BD8" s="46">
        <v>0</v>
      </c>
      <c r="BE8" s="46">
        <v>16.399999999999999</v>
      </c>
      <c r="BF8" s="46">
        <v>9</v>
      </c>
      <c r="BG8" s="46">
        <v>12.2</v>
      </c>
      <c r="BH8" s="46">
        <v>14.935</v>
      </c>
      <c r="BI8" s="46">
        <v>0</v>
      </c>
      <c r="BJ8" s="46">
        <v>13.6</v>
      </c>
      <c r="BK8" s="46">
        <v>8.1999999999999993</v>
      </c>
      <c r="BL8" s="46">
        <v>11</v>
      </c>
      <c r="BM8" s="46">
        <v>12.05</v>
      </c>
      <c r="BN8" s="46">
        <v>0</v>
      </c>
      <c r="BO8" s="52"/>
      <c r="BP8" s="75">
        <f>IF(BB8&gt;0,BB8,"")</f>
        <v>10.6</v>
      </c>
      <c r="BQ8" s="75">
        <f>IF(BC8&gt;0,BC8,"")</f>
        <v>14.8</v>
      </c>
      <c r="BR8" s="16">
        <f>IF(SUM(AZ8:BC8)-BD8&gt;0,SUM(AZ8:BC8)-BD8,"")</f>
        <v>49.900000000000006</v>
      </c>
      <c r="BS8" s="16">
        <f>IF(BG8&gt;0,BG8,"")</f>
        <v>12.2</v>
      </c>
      <c r="BT8" s="16">
        <f>IF(BH8&gt;0,BH8,"")</f>
        <v>14.935</v>
      </c>
      <c r="BU8" s="16">
        <f>IF(SUM(BE8:BH8)-BI8&gt;0,SUM(BE8:BH8)-BI8,"")</f>
        <v>52.534999999999997</v>
      </c>
      <c r="BV8" s="16">
        <f>IF(BR8="","",MAX(BR8,BU8))</f>
        <v>52.534999999999997</v>
      </c>
      <c r="BW8" s="16">
        <f>IF(BL8&gt;0,BL8,"")</f>
        <v>11</v>
      </c>
      <c r="BX8" s="16">
        <f>IF(BM8&gt;0,BM8,"")</f>
        <v>12.05</v>
      </c>
      <c r="BY8" s="16">
        <f>IF(SUM(BJ8:BM8)-BN8&gt;0,SUM(BJ8:BM8)-BN8,"")</f>
        <v>44.849999999999994</v>
      </c>
      <c r="BZ8" s="16">
        <f>IF(SUM(BV8,BY8)&gt;0,SUM(BV8,BY8),"")</f>
        <v>97.384999999999991</v>
      </c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51"/>
      <c r="CQ8" s="74" t="str">
        <f>IF(CC8&gt;0,CC8,"")</f>
        <v/>
      </c>
      <c r="CR8" s="74" t="str">
        <f>IF(CD8&gt;0,CD8,"")</f>
        <v/>
      </c>
      <c r="CS8" s="76" t="str">
        <f>IF(SUM(CA8:CD8)-CE8&gt;0,SUM(CA8:CD8)-CE8,"")</f>
        <v/>
      </c>
      <c r="CT8" s="76" t="str">
        <f>IF(CH8&gt;0,CH8,"")</f>
        <v/>
      </c>
      <c r="CU8" s="76" t="str">
        <f>IF(CI8&gt;0,CI8,"")</f>
        <v/>
      </c>
      <c r="CV8" s="76" t="str">
        <f>IF(SUM(CF8:CI8)-CJ8&gt;0,SUM(CF8:CI8)-CJ8,"")</f>
        <v/>
      </c>
      <c r="CW8" s="76" t="str">
        <f>IF(CS8="","",MAX(CS8,CV8))</f>
        <v/>
      </c>
      <c r="CX8" s="76" t="str">
        <f>IF(CM8&gt;0,CM8,"")</f>
        <v/>
      </c>
      <c r="CY8" s="76" t="str">
        <f>IF(CN8&gt;0,CN8,"")</f>
        <v/>
      </c>
      <c r="CZ8" s="76" t="str">
        <f>IF(SUM(CK8:CN8)-CO8&gt;0,SUM(CK8:CN8)-CO8,"")</f>
        <v/>
      </c>
      <c r="DA8" s="76" t="str">
        <f>IF(SUM(CW8,CZ8)&gt;0,SUM(CW8,CZ8),"")</f>
        <v/>
      </c>
      <c r="DB8" s="87" t="str">
        <f>IF(L8&gt;=0.001,IF(MAX(ED8,FL8,GT8,IB8,JJ8,KR8,LZ8,NH8,OP8,PX8,RF8,SN8)-IF(L8="",0,L8)&gt;0.001,MAX(ED8,FL8,GT8,IB8,JJ8,KR8,LZ8,NH8,OP8,PX8,RF8,SN8)-IF(L8="",0,L8),""),"")</f>
        <v/>
      </c>
      <c r="DC8" s="87" t="str">
        <f>IF(P8&gt;=0.001,IF(MAX(EG8,EJ8,FO8,FR8,GW8,GZ8,IE8,IH8,JM8,JP8,KU8,KX8,MC8,MF8,NK8,NN8,OS8,OV8,QA8,QD8,RI8,RL8,SQ8,ST8)-IF(P8="",0,P8)&gt;0.001,MAX(EG8,EJ8,FO8,FR8,GW8,GZ8,IE8,IH8,JM8,JP8,KU8,KX8,MC8,MF8,NK8,NN8,OS8,OV8,QA8,QD8,RI8,RL8,SQ8,ST8)-IF(P8="",0,P8),""),"")</f>
        <v/>
      </c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76" t="str">
        <f>IF(DF8&gt;0,DF8,"")</f>
        <v/>
      </c>
      <c r="DY8" s="76" t="str">
        <f>IF(DG8&gt;0,DG8,"")</f>
        <v/>
      </c>
      <c r="DZ8" s="76" t="str">
        <f>IF(SUM(DD8:DG8)-DH8&gt;0,SUM(DD8:DG8)-DH8,"")</f>
        <v/>
      </c>
      <c r="EA8" s="76" t="str">
        <f>IF(DK8&gt;0,DK8,"")</f>
        <v/>
      </c>
      <c r="EB8" s="76" t="str">
        <f>IF(DL8&gt;0,DL8,"")</f>
        <v/>
      </c>
      <c r="EC8" s="76" t="str">
        <f>IF(SUM(DI8:DL8)-DM8&gt;0,SUM(DI8:DL8)-DM8,"")</f>
        <v/>
      </c>
      <c r="ED8" s="76" t="str">
        <f>IF(MAX(DZ8,EC8)&gt;0,MAX(DZ8,EC8),"")</f>
        <v/>
      </c>
      <c r="EE8" s="76" t="str">
        <f>IF(DP8&gt;0,DP8,"")</f>
        <v/>
      </c>
      <c r="EF8" s="76" t="str">
        <f>IF(DQ8&gt;0,DQ8,"")</f>
        <v/>
      </c>
      <c r="EG8" s="76" t="str">
        <f>IF(SUM(DN8:DQ8)-DR8&gt;0,SUM(DN8:DQ8)-DR8,"")</f>
        <v/>
      </c>
      <c r="EH8" s="76" t="str">
        <f>IF(DU8&gt;0,DU8,"")</f>
        <v/>
      </c>
      <c r="EI8" s="76" t="str">
        <f>IF(DV8&gt;0,DV8,"")</f>
        <v/>
      </c>
      <c r="EJ8" s="76" t="str">
        <f>IF(SUM(DS8:DV8)-DW8&gt;0,SUM(DS8:DV8)-DW8,"")</f>
        <v/>
      </c>
      <c r="EK8" s="76" t="str">
        <f>IF(SUM(ED8,EJ8)&gt;0,SUM(ED8,EJ8),"")</f>
        <v/>
      </c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16" t="str">
        <f>IF(EN8&gt;0,EN8,"")</f>
        <v/>
      </c>
      <c r="FG8" s="16" t="str">
        <f>IF(EO8&gt;0,EO8,"")</f>
        <v/>
      </c>
      <c r="FH8" s="16" t="str">
        <f>IF(SUM(EL8:EO8)-EP8&gt;0,SUM(EL8:EO8)-EP8,"")</f>
        <v/>
      </c>
      <c r="FI8" s="16" t="str">
        <f>IF(ES8&gt;0,ES8,"")</f>
        <v/>
      </c>
      <c r="FJ8" s="16" t="str">
        <f>IF(ET8&gt;0,ET8,"")</f>
        <v/>
      </c>
      <c r="FK8" s="16" t="str">
        <f>IF(SUM(EQ8:ET8)-EU8&gt;0,SUM(EQ8:ET8)-EU8,"")</f>
        <v/>
      </c>
      <c r="FL8" s="16" t="str">
        <f>IF(MAX(FH8,FK8)&gt;0,MAX(FH8,FK8),"")</f>
        <v/>
      </c>
      <c r="FM8" s="16" t="str">
        <f>IF(EX8&gt;0,EX8,"")</f>
        <v/>
      </c>
      <c r="FN8" s="16" t="str">
        <f>IF(EY8&gt;0,EY8,"")</f>
        <v/>
      </c>
      <c r="FO8" s="16" t="str">
        <f>IF(SUM(EV8:EY8)-EZ8&gt;0,SUM(EV8:EY8)-EZ8,"")</f>
        <v/>
      </c>
      <c r="FP8" s="16" t="str">
        <f>IF(FC8&gt;0,FC8,"")</f>
        <v/>
      </c>
      <c r="FQ8" s="16" t="str">
        <f>IF(FD8&gt;0,FD8,"")</f>
        <v/>
      </c>
      <c r="FR8" s="16" t="str">
        <f>IF(SUM(FA8:FD8)-FE8&gt;0,SUM(FA8:FD8)-FE8,"")</f>
        <v/>
      </c>
      <c r="FS8" s="16" t="str">
        <f>IF(SUM(FL8,FR8)&gt;0,SUM(FL8,FR8),"")</f>
        <v/>
      </c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76" t="str">
        <f>IF(FV8&gt;0,FV8,"")</f>
        <v/>
      </c>
      <c r="GO8" s="76" t="str">
        <f>IF(FW8&gt;0,FW8,"")</f>
        <v/>
      </c>
      <c r="GP8" s="76" t="str">
        <f>IF(SUM(FT8:FW8)-FX8&gt;0,SUM(FT8:FW8)-FX8,"")</f>
        <v/>
      </c>
      <c r="GQ8" s="76" t="str">
        <f>IF(GA8&gt;0,GA8,"")</f>
        <v/>
      </c>
      <c r="GR8" s="76" t="str">
        <f>IF(GB8&gt;0,GB8,"")</f>
        <v/>
      </c>
      <c r="GS8" s="76" t="str">
        <f>IF(SUM(FY8:GB8)-GC8&gt;0,SUM(FY8:GB8)-GC8,"")</f>
        <v/>
      </c>
      <c r="GT8" s="76" t="str">
        <f>IF(MAX(GP8,GS8)&gt;0,MAX(GP8,GS8),"")</f>
        <v/>
      </c>
      <c r="GU8" s="76" t="str">
        <f>IF(GF8&gt;0,GF8,"")</f>
        <v/>
      </c>
      <c r="GV8" s="76" t="str">
        <f>IF(GG8&gt;0,GG8,"")</f>
        <v/>
      </c>
      <c r="GW8" s="76" t="str">
        <f>IF(SUM(GD8:GG8)-GH8&gt;0,SUM(GD8:GG8)-GH8,"")</f>
        <v/>
      </c>
      <c r="GX8" s="76" t="str">
        <f>IF(GK8&gt;0,GK8,"")</f>
        <v/>
      </c>
      <c r="GY8" s="76" t="str">
        <f>IF(GL8&gt;0,GL8,"")</f>
        <v/>
      </c>
      <c r="GZ8" s="76" t="str">
        <f>IF(SUM(GI8:GL8)-GM8&gt;0,SUM(GI8:GL8)-GM8,"")</f>
        <v/>
      </c>
      <c r="HA8" s="76" t="str">
        <f>IF(SUM(GT8,GZ8)&gt;0,SUM(GT8,GZ8),"")</f>
        <v/>
      </c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16" t="str">
        <f>IF(HD8&gt;0,HD8,"")</f>
        <v/>
      </c>
      <c r="HW8" s="16" t="str">
        <f>IF(HE8&gt;0,HE8,"")</f>
        <v/>
      </c>
      <c r="HX8" s="16" t="str">
        <f>IF(SUM(HB8:HE8)-HF8&gt;0,SUM(HB8:HE8)-HF8,"")</f>
        <v/>
      </c>
      <c r="HY8" s="16" t="str">
        <f>IF(HI8&gt;0,HI8,"")</f>
        <v/>
      </c>
      <c r="HZ8" s="16" t="str">
        <f>IF(HJ8&gt;0,HJ8,"")</f>
        <v/>
      </c>
      <c r="IA8" s="16" t="str">
        <f>IF(SUM(HG8:HJ8)-HK8&gt;0,SUM(HG8:HJ8)-HK8,"")</f>
        <v/>
      </c>
      <c r="IB8" s="16" t="str">
        <f>IF(MAX(HX8,IA8)&gt;0,MAX(HX8,IA8),"")</f>
        <v/>
      </c>
      <c r="IC8" s="16" t="str">
        <f>IF(HN8&gt;0,HN8,"")</f>
        <v/>
      </c>
      <c r="ID8" s="16" t="str">
        <f>IF(HO8&gt;0,HO8,"")</f>
        <v/>
      </c>
      <c r="IE8" s="16" t="str">
        <f>IF(SUM(HL8:HO8)-HP8&gt;0,SUM(HL8:HO8)-HP8,"")</f>
        <v/>
      </c>
      <c r="IF8" s="16" t="str">
        <f>IF(HS8&gt;0,HS8,"")</f>
        <v/>
      </c>
      <c r="IG8" s="16" t="str">
        <f>IF(HT8&gt;0,HT8,"")</f>
        <v/>
      </c>
      <c r="IH8" s="16" t="str">
        <f>IF(SUM(HQ8:HT8)-HU8&gt;0,SUM(HQ8:HT8)-HU8,"")</f>
        <v/>
      </c>
      <c r="II8" s="16" t="str">
        <f>IF(SUM(IB8,IH8)&gt;0,SUM(IB8,IH8),"")</f>
        <v/>
      </c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76" t="str">
        <f>IF(IL8&gt;0,IL8,"")</f>
        <v/>
      </c>
      <c r="JE8" s="76" t="str">
        <f>IF(IM8&gt;0,IM8,"")</f>
        <v/>
      </c>
      <c r="JF8" s="76" t="str">
        <f>IF(SUM(IJ8:IM8)-IN8&gt;0,SUM(IJ8:IM8)-IN8,"")</f>
        <v/>
      </c>
      <c r="JG8" s="76" t="str">
        <f>IF(IQ8&gt;0,IQ8,"")</f>
        <v/>
      </c>
      <c r="JH8" s="76" t="str">
        <f>IF(IR8&gt;0,IR8,"")</f>
        <v/>
      </c>
      <c r="JI8" s="76" t="str">
        <f>IF(SUM(IO8:IR8)-IS8&gt;0,SUM(IO8:IR8)-IS8,"")</f>
        <v/>
      </c>
      <c r="JJ8" s="76" t="str">
        <f>IF(MAX(JF8,JI8)&gt;0,MAX(JF8,JI8),"")</f>
        <v/>
      </c>
      <c r="JK8" s="76" t="str">
        <f>IF(IV8&gt;0,IV8,"")</f>
        <v/>
      </c>
      <c r="JL8" s="76" t="str">
        <f>IF(IW8&gt;0,IW8,"")</f>
        <v/>
      </c>
      <c r="JM8" s="76" t="str">
        <f>IF(SUM(IT8:IW8)-IX8&gt;0,SUM(IT8:IW8)-IX8,"")</f>
        <v/>
      </c>
      <c r="JN8" s="76" t="str">
        <f>IF(JA8&gt;0,JA8,"")</f>
        <v/>
      </c>
      <c r="JO8" s="76" t="str">
        <f>IF(JB8&gt;0,JB8,"")</f>
        <v/>
      </c>
      <c r="JP8" s="76" t="str">
        <f>IF(SUM(IY8:JB8)-JC8&gt;0,SUM(IY8:JB8)-JC8,"")</f>
        <v/>
      </c>
      <c r="JQ8" s="76" t="str">
        <f>IF(SUM(JJ8,JP8)&gt;0,SUM(JJ8,JP8),"")</f>
        <v/>
      </c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16" t="str">
        <f>IF(JT8&gt;0,JT8,"")</f>
        <v/>
      </c>
      <c r="KM8" s="16" t="str">
        <f>IF(JU8&gt;0,JU8,"")</f>
        <v/>
      </c>
      <c r="KN8" s="16" t="str">
        <f>IF(SUM(JR8:JU8)-JV8&gt;0,SUM(JR8:JU8)-JV8,"")</f>
        <v/>
      </c>
      <c r="KO8" s="16" t="str">
        <f>IF(JY8&gt;0,JY8,"")</f>
        <v/>
      </c>
      <c r="KP8" s="16" t="str">
        <f>IF(JZ8&gt;0,JZ8,"")</f>
        <v/>
      </c>
      <c r="KQ8" s="16" t="str">
        <f>IF(SUM(JW8:JZ8)-KA8&gt;0,SUM(JW8:JZ8)-KA8,"")</f>
        <v/>
      </c>
      <c r="KR8" s="16" t="str">
        <f>IF(MAX(KN8,KQ8)&gt;0,MAX(KN8,KQ8),"")</f>
        <v/>
      </c>
      <c r="KS8" s="16" t="str">
        <f>IF(KD8&gt;0,KD8,"")</f>
        <v/>
      </c>
      <c r="KT8" s="16" t="str">
        <f>IF(KE8&gt;0,KE8,"")</f>
        <v/>
      </c>
      <c r="KU8" s="16" t="str">
        <f>IF(SUM(KB8:KE8)-KF8&gt;0,SUM(KB8:KE8)-KF8,"")</f>
        <v/>
      </c>
      <c r="KV8" s="16" t="str">
        <f>IF(KI8&gt;0,KI8,"")</f>
        <v/>
      </c>
      <c r="KW8" s="16" t="str">
        <f>IF(KJ8&gt;0,KJ8,"")</f>
        <v/>
      </c>
      <c r="KX8" s="16" t="str">
        <f>IF(SUM(KG8:KJ8)-KK8&gt;0,SUM(KG8:KJ8)-KK8,"")</f>
        <v/>
      </c>
      <c r="KY8" s="16" t="str">
        <f>IF(SUM(KR8,KX8)&gt;0,SUM(KR8,KX8),"")</f>
        <v/>
      </c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76" t="str">
        <f>IF(LB8&gt;0,LB8,"")</f>
        <v/>
      </c>
      <c r="LU8" s="76" t="str">
        <f>IF(LC8&gt;0,LC8,"")</f>
        <v/>
      </c>
      <c r="LV8" s="76" t="str">
        <f>IF(SUM(KZ8:LC8)-LD8&gt;0,SUM(KZ8:LC8)-LD8,"")</f>
        <v/>
      </c>
      <c r="LW8" s="76" t="str">
        <f>IF(LG8&gt;0,LG8,"")</f>
        <v/>
      </c>
      <c r="LX8" s="76" t="str">
        <f>IF(LH8&gt;0,LH8,"")</f>
        <v/>
      </c>
      <c r="LY8" s="76" t="str">
        <f>IF(SUM(LE8:LH8)-LI8&gt;0,SUM(LE8:LH8)-LI8,"")</f>
        <v/>
      </c>
      <c r="LZ8" s="76" t="str">
        <f>IF(MAX(LV8,LY8)&gt;0,MAX(LV8,LY8),"")</f>
        <v/>
      </c>
      <c r="MA8" s="76" t="str">
        <f>IF(LL8&gt;0,LL8,"")</f>
        <v/>
      </c>
      <c r="MB8" s="76" t="str">
        <f>IF(LM8&gt;0,LM8,"")</f>
        <v/>
      </c>
      <c r="MC8" s="76" t="str">
        <f>IF(SUM(LJ8:LM8)-LN8&gt;0,SUM(LJ8:LM8)-LN8,"")</f>
        <v/>
      </c>
      <c r="MD8" s="76" t="str">
        <f>IF(LQ8&gt;0,LQ8,"")</f>
        <v/>
      </c>
      <c r="ME8" s="76" t="str">
        <f>IF(LR8&gt;0,LR8,"")</f>
        <v/>
      </c>
      <c r="MF8" s="76" t="str">
        <f>IF(SUM(LO8:LR8)-LS8&gt;0,SUM(LO8:LR8)-LS8,"")</f>
        <v/>
      </c>
      <c r="MG8" s="76" t="str">
        <f>IF(SUM(LZ8,MF8)&gt;0,SUM(LZ8,MF8),"")</f>
        <v/>
      </c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16" t="str">
        <f>IF(MJ8&gt;0,MJ8,"")</f>
        <v/>
      </c>
      <c r="NC8" s="16" t="str">
        <f>IF(MK8&gt;0,MK8,"")</f>
        <v/>
      </c>
      <c r="ND8" s="16" t="str">
        <f>IF(SUM(MH8:MK8)-ML8&gt;0,SUM(MH8:MK8)-ML8,"")</f>
        <v/>
      </c>
      <c r="NE8" s="16" t="str">
        <f>IF(MO8&gt;0,MO8,"")</f>
        <v/>
      </c>
      <c r="NF8" s="16" t="str">
        <f>IF(MP8&gt;0,MP8,"")</f>
        <v/>
      </c>
      <c r="NG8" s="16" t="str">
        <f>IF(SUM(MM8:MP8)-MQ8&gt;0,SUM(MM8:MP8)-MQ8,"")</f>
        <v/>
      </c>
      <c r="NH8" s="16" t="str">
        <f>IF(MAX(ND8,NG8)&gt;0,MAX(ND8,NG8),"")</f>
        <v/>
      </c>
      <c r="NI8" s="16" t="str">
        <f>IF(MT8&gt;0,MT8,"")</f>
        <v/>
      </c>
      <c r="NJ8" s="16" t="str">
        <f>IF(MU8&gt;0,MU8,"")</f>
        <v/>
      </c>
      <c r="NK8" s="16" t="str">
        <f>IF(SUM(MR8:MU8)-MV8&gt;0,SUM(MR8:MU8)-MV8,"")</f>
        <v/>
      </c>
      <c r="NL8" s="16" t="str">
        <f>IF(MY8&gt;0,MY8,"")</f>
        <v/>
      </c>
      <c r="NM8" s="16" t="str">
        <f>IF(MZ8&gt;0,MZ8,"")</f>
        <v/>
      </c>
      <c r="NN8" s="16" t="str">
        <f>IF(SUM(MW8:MZ8)-NA8&gt;0,SUM(MW8:MZ8)-NA8,"")</f>
        <v/>
      </c>
      <c r="NO8" s="16" t="str">
        <f>IF(SUM(NH8,NN8)&gt;0,SUM(NH8,NN8),"")</f>
        <v/>
      </c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76" t="str">
        <f>IF(NR8&gt;0,NR8,"")</f>
        <v/>
      </c>
      <c r="OK8" s="76" t="str">
        <f>IF(NS8&gt;0,NS8,"")</f>
        <v/>
      </c>
      <c r="OL8" s="76" t="str">
        <f>IF(SUM(NP8:NS8)-NT8&gt;0,SUM(NP8:NS8)-NT8,"")</f>
        <v/>
      </c>
      <c r="OM8" s="76" t="str">
        <f>IF(NW8&gt;0,NW8,"")</f>
        <v/>
      </c>
      <c r="ON8" s="76" t="str">
        <f>IF(NX8&gt;0,NX8,"")</f>
        <v/>
      </c>
      <c r="OO8" s="76" t="str">
        <f>IF(SUM(NU8:NX8)-NY8&gt;0,SUM(NU8:NX8)-NY8,"")</f>
        <v/>
      </c>
      <c r="OP8" s="76" t="str">
        <f>IF(MAX(OL8,OO8)&gt;0,MAX(OL8,OO8),"")</f>
        <v/>
      </c>
      <c r="OQ8" s="76" t="str">
        <f>IF(OB8&gt;0,OB8,"")</f>
        <v/>
      </c>
      <c r="OR8" s="76" t="str">
        <f>IF(OC8&gt;0,OC8,"")</f>
        <v/>
      </c>
      <c r="OS8" s="76" t="str">
        <f>IF(SUM(NZ8:OC8)-OD8&gt;0,SUM(NZ8:OC8)-OD8,"")</f>
        <v/>
      </c>
      <c r="OT8" s="76" t="str">
        <f>IF(OG8&gt;0,OG8,"")</f>
        <v/>
      </c>
      <c r="OU8" s="76" t="str">
        <f>IF(OH8&gt;0,OH8,"")</f>
        <v/>
      </c>
      <c r="OV8" s="76" t="str">
        <f>IF(SUM(OE8:OH8)-OI8&gt;0,SUM(OE8:OH8)-OI8,"")</f>
        <v/>
      </c>
      <c r="OW8" s="76" t="str">
        <f>IF(SUM(OP8,OV8)&gt;0,SUM(OP8,OV8),"")</f>
        <v/>
      </c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16" t="str">
        <f>IF(OZ8&gt;0,OZ8,"")</f>
        <v/>
      </c>
      <c r="PS8" s="16" t="str">
        <f>IF(PA8&gt;0,PA8,"")</f>
        <v/>
      </c>
      <c r="PT8" s="16" t="str">
        <f>IF(SUM(OX8:PA8)-PB8&gt;0,SUM(OX8:PA8)-PB8,"")</f>
        <v/>
      </c>
      <c r="PU8" s="16" t="str">
        <f>IF(PE8&gt;0,PE8,"")</f>
        <v/>
      </c>
      <c r="PV8" s="16" t="str">
        <f>IF(PF8&gt;0,PF8,"")</f>
        <v/>
      </c>
      <c r="PW8" s="16" t="str">
        <f>IF(SUM(PC8:PF8)-PG8&gt;0,SUM(PC8:PF8)-PG8,"")</f>
        <v/>
      </c>
      <c r="PX8" s="16" t="str">
        <f>IF(MAX(PT8,PW8)&gt;0,MAX(PT8,PW8),"")</f>
        <v/>
      </c>
      <c r="PY8" s="16" t="str">
        <f>IF(PJ8&gt;0,PJ8,"")</f>
        <v/>
      </c>
      <c r="PZ8" s="16" t="str">
        <f>IF(PK8&gt;0,PK8,"")</f>
        <v/>
      </c>
      <c r="QA8" s="16" t="str">
        <f>IF(SUM(PH8:PK8)-PL8&gt;0,SUM(PH8:PK8)-PL8,"")</f>
        <v/>
      </c>
      <c r="QB8" s="16" t="str">
        <f>IF(PO8&gt;0,PO8,"")</f>
        <v/>
      </c>
      <c r="QC8" s="16" t="str">
        <f>IF(PP8&gt;0,PP8,"")</f>
        <v/>
      </c>
      <c r="QD8" s="16" t="str">
        <f>IF(SUM(PM8:PP8)-PQ8&gt;0,SUM(PM8:PP8)-PQ8,"")</f>
        <v/>
      </c>
      <c r="QE8" s="16" t="str">
        <f>IF(SUM(PX8,QD8)&gt;0,SUM(PX8,QD8),"")</f>
        <v/>
      </c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76" t="str">
        <f>IF(QH8&gt;0,QH8,"")</f>
        <v/>
      </c>
      <c r="RA8" s="76" t="str">
        <f>IF(QI8&gt;0,QI8,"")</f>
        <v/>
      </c>
      <c r="RB8" s="76" t="str">
        <f>IF(SUM(QF8:QI8)-QJ8&gt;0,SUM(QF8:QI8)-QJ8,"")</f>
        <v/>
      </c>
      <c r="RC8" s="76" t="str">
        <f>IF(QM8&gt;0,QM8,"")</f>
        <v/>
      </c>
      <c r="RD8" s="76" t="str">
        <f>IF(QN8&gt;0,QN8,"")</f>
        <v/>
      </c>
      <c r="RE8" s="76" t="str">
        <f>IF(SUM(QK8:QN8)-QO8&gt;0,SUM(QK8:QN8)-QO8,"")</f>
        <v/>
      </c>
      <c r="RF8" s="76" t="str">
        <f>IF(MAX(RB8,RE8)&gt;0,MAX(RB8,RE8),"")</f>
        <v/>
      </c>
      <c r="RG8" s="76" t="str">
        <f>IF(QR8&gt;0,QR8,"")</f>
        <v/>
      </c>
      <c r="RH8" s="76" t="str">
        <f>IF(QS8&gt;0,QS8,"")</f>
        <v/>
      </c>
      <c r="RI8" s="76" t="str">
        <f>IF(SUM(QP8:QS8)-QT8&gt;0,SUM(QP8:QS8)-QT8,"")</f>
        <v/>
      </c>
      <c r="RJ8" s="76" t="str">
        <f>IF(QW8&gt;0,QW8,"")</f>
        <v/>
      </c>
      <c r="RK8" s="76" t="str">
        <f>IF(QX8&gt;0,QX8,"")</f>
        <v/>
      </c>
      <c r="RL8" s="76" t="str">
        <f>IF(SUM(QU8:QX8)-QY8&gt;0,SUM(QU8:QX8)-QY8,"")</f>
        <v/>
      </c>
      <c r="RM8" s="76" t="str">
        <f>IF(SUM(RF8,RL8)&gt;0,SUM(RF8,RL8),"")</f>
        <v/>
      </c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16" t="str">
        <f>IF(RP8&gt;0,RP8,"")</f>
        <v/>
      </c>
      <c r="SI8" s="16" t="str">
        <f>IF(RQ8&gt;0,RQ8,"")</f>
        <v/>
      </c>
      <c r="SJ8" s="16" t="str">
        <f>IF(SUM(RN8:RQ8)-RR8&gt;0,SUM(RN8:RQ8)-RR8,"")</f>
        <v/>
      </c>
      <c r="SK8" s="16" t="str">
        <f>IF(RU8&gt;0,RU8,"")</f>
        <v/>
      </c>
      <c r="SL8" s="16" t="str">
        <f>IF(RV8&gt;0,RV8,"")</f>
        <v/>
      </c>
      <c r="SM8" s="16" t="str">
        <f>IF(SUM(RS8:RV8)-RW8&gt;0,SUM(RS8:RV8)-RW8,"")</f>
        <v/>
      </c>
      <c r="SN8" s="16" t="str">
        <f>IF(MAX(SJ8,SM8)&gt;0,MAX(SJ8,SM8),"")</f>
        <v/>
      </c>
      <c r="SO8" s="16" t="str">
        <f>IF(RZ8&gt;0,RZ8,"")</f>
        <v/>
      </c>
      <c r="SP8" s="16" t="str">
        <f>IF(SA8&gt;0,SA8,"")</f>
        <v/>
      </c>
      <c r="SQ8" s="16" t="str">
        <f>IF(SUM(RX8:SA8)-SB8&gt;0,SUM(RX8:SA8)-SB8,"")</f>
        <v/>
      </c>
      <c r="SR8" s="16" t="str">
        <f>IF(SE8&gt;0,SE8,"")</f>
        <v/>
      </c>
      <c r="SS8" s="16" t="str">
        <f>IF(SF8&gt;0,SF8,"")</f>
        <v/>
      </c>
      <c r="ST8" s="16" t="str">
        <f>IF(SUM(SC8:SF8)-SG8&gt;0,SUM(SC8:SF8)-SG8,"")</f>
        <v/>
      </c>
      <c r="SU8" s="16" t="str">
        <f>IF(SUM(SN8,ST8)&gt;0,SUM(SN8,ST8),"")</f>
        <v/>
      </c>
      <c r="SV8" s="42">
        <f>IF($CP8="P",CA8,(CA8+AZ8)/2)</f>
        <v>7.85</v>
      </c>
      <c r="SW8" s="42">
        <f>IF($CP8="P",CB8,(CB8+BA8)/2)</f>
        <v>4.4000000000000004</v>
      </c>
      <c r="SX8" s="42">
        <f>IF($CP8="P",CC8,(CC8+BB8)/2)</f>
        <v>5.3</v>
      </c>
      <c r="SY8" s="42">
        <f>IF($CP8="P",CD8,(CD8+BC8)/2)</f>
        <v>7.4</v>
      </c>
      <c r="SZ8" s="42">
        <f>IF($CP8="P",CE8,(CE8+BD8)/2)</f>
        <v>0</v>
      </c>
      <c r="TA8" s="42">
        <f>IF($CP8="P",CF8,(CF8+BE8)/2)</f>
        <v>8.1999999999999993</v>
      </c>
      <c r="TB8" s="42">
        <f>IF($CP8="P",CG8,(CG8+BF8)/2)</f>
        <v>4.5</v>
      </c>
      <c r="TC8" s="42">
        <f>IF($CP8="P",CH8,(CH8+BG8)/2)</f>
        <v>6.1</v>
      </c>
      <c r="TD8" s="42">
        <f>IF($CP8="P",CI8,(CI8+BH8)/2)</f>
        <v>7.4675000000000002</v>
      </c>
      <c r="TE8" s="42">
        <f>IF($CP8="P",CJ8,(CJ8+BI8)/2)</f>
        <v>0</v>
      </c>
      <c r="TF8" s="42">
        <f>IF($CP8="P",CK8,(CK8+BJ8)/2)</f>
        <v>6.8</v>
      </c>
      <c r="TG8" s="42">
        <f>IF($CP8="P",CL8,(CL8+BK8)/2)</f>
        <v>4.0999999999999996</v>
      </c>
      <c r="TH8" s="42">
        <f>IF($CP8="P",CM8,(CM8+BL8)/2)</f>
        <v>5.5</v>
      </c>
      <c r="TI8" s="42">
        <f>IF($CP8="P",CN8,(CN8+BM8)/2)</f>
        <v>6.0250000000000004</v>
      </c>
      <c r="TJ8" s="42">
        <f>IF($CP8="P",CO8,(CO8+BN8)/2)</f>
        <v>0</v>
      </c>
      <c r="TK8" s="51" t="s">
        <v>61</v>
      </c>
      <c r="TL8" s="76">
        <f>IF(SX8&gt;0,SX8,"")</f>
        <v>5.3</v>
      </c>
      <c r="TM8" s="76">
        <f>IF(SY8&gt;0,SY8,"")</f>
        <v>7.4</v>
      </c>
      <c r="TN8" s="76">
        <f>IF(SUM(SV8:SY8)-SZ8&gt;0,SUM(SV8:SY8)-SZ8,"")</f>
        <v>24.950000000000003</v>
      </c>
      <c r="TO8" s="76">
        <f>IF(TC8&gt;0,TC8,"")</f>
        <v>6.1</v>
      </c>
      <c r="TP8" s="76">
        <f>IF(TD8&gt;0,TD8,"")</f>
        <v>7.4675000000000002</v>
      </c>
      <c r="TQ8" s="76">
        <f>IF(SUM(TA8:TD8)-TE8&gt;0,SUM(TA8:TD8)-TE8,"")</f>
        <v>26.267499999999998</v>
      </c>
      <c r="TR8" s="76">
        <f>IF(MAX(TN8,TQ8)&gt;0,MAX(TN8,TQ8),"")</f>
        <v>26.267499999999998</v>
      </c>
      <c r="TS8" s="76">
        <f>IF(TH8&gt;0,TH8,"")</f>
        <v>5.5</v>
      </c>
      <c r="TT8" s="76">
        <f>IF(TI8&gt;0,TI8,"")</f>
        <v>6.0250000000000004</v>
      </c>
      <c r="TU8" s="76">
        <f>IF(SUM(TF8:TI8)-TJ8&gt;0,SUM(TF8:TI8)-TJ8,"")</f>
        <v>22.424999999999997</v>
      </c>
      <c r="TV8" s="76">
        <f>IF(SUM(TR8,TU8)&gt;0,SUM(TR8,TU8),"")</f>
        <v>48.692499999999995</v>
      </c>
    </row>
    <row r="9" spans="1:542" x14ac:dyDescent="0.2">
      <c r="A9" s="5" cm="1">
        <f t="array" ref="A9">IF(AND(F9&lt;&gt;"",G9&lt;&gt;""),SUMPRODUCT((F$4:F$15&lt;&gt;"")*(G$4:G$15&lt;&gt;"")*(E$4:E$15&gt;E9))+1,IF(G9&lt;&gt;"",SUMPRODUCT((H$4:H$15="No DD")*(E$4:E$15&gt;E9))+1+SUMPRODUCT((F$4:F$15&lt;&gt;"")*(G$4:G$15&lt;&gt;"")),""))</f>
        <v>6</v>
      </c>
      <c r="B9" s="6" t="s">
        <v>80</v>
      </c>
      <c r="C9" s="7" t="s">
        <v>6</v>
      </c>
      <c r="D9" s="5">
        <v>2001</v>
      </c>
      <c r="E9" s="14">
        <f>SUM(J9:V9)+SUM(J9:T9)*0.0000001+SUM(J9)*0.0000000000001</f>
        <v>231.27502312750511</v>
      </c>
      <c r="F9" s="3" t="str">
        <f>IF(OR(AND(AO9&gt;=AY$17,AO9&lt;&gt;"",AQ9&gt;=AY$21,AQ9&lt;&gt;"",AN9=""),AND(AR9&gt;=AY$17,AR9&lt;&gt;"",AT9&gt;=AY$21,AT9&lt;&gt;"",AN9=""),AND(AV9&gt;=AY$17,AV9&lt;&gt;"",AX9&gt;=AY$21,AX9&lt;&gt;"",AN9=""),AND(BP9&gt;=BZ$17,BP9&lt;&gt;"",BR9&gt;=BZ$21,BR9&lt;&gt;"",BO9=""),AND(BS9&gt;=BZ$17,BS9&lt;&gt;"",BU9&gt;=BZ$21,BU9&lt;&gt;"",BO9=""),AND(BW9&gt;=BZ$17,BW9&lt;&gt;"",BY9&gt;=BZ$21,BY9&lt;&gt;"",BO9=""),AND(CQ9&gt;=DA$17,CQ9&lt;&gt;"",CS9&gt;=DA$21,CS9&lt;&gt;"",CP9=""),AND(CT9&gt;=DA$17,CT9&lt;&gt;"",CV9&gt;=DA$21,CV9&lt;&gt;"",CP9=""),AND(CX9&gt;=DA$17,CX9&lt;&gt;"",CZ9&gt;=DA$21,CZ9&lt;&gt;"",CP9=""),AND(DX9&gt;=EK$17,DX9&lt;&gt;"",DZ9&gt;=EK$21,DZ9&lt;&gt;""),AND(EA9&gt;=EK$17,EA9&lt;&gt;"",EC9&gt;=EK$21,EC9&lt;&gt;""),AND(EE9&gt;=EK$17,EE9&lt;&gt;"",EG9&gt;=EK$21,EG9&lt;&gt;""),AND(EH9&gt;=EK$17,EH9&lt;&gt;"",EJ9&gt;=EK$21,EJ9&lt;&gt;""),AND(FF9&gt;=FS$17,FF9&lt;&gt;"",FH9&gt;=FS$21,FH9&lt;&gt;""),AND(FI9&gt;=FS$17,FI9&lt;&gt;"",FK9&gt;=FS$21,FK9&lt;&gt;""),AND(FM9&gt;=FS$17,FM9&lt;&gt;"",FO9&gt;=FS$21,FO9&lt;&gt;""),AND(FP9&gt;=FS$17,FP9&lt;&gt;"",FR9&gt;=FS$21,FR9&lt;&gt;""),AND(GN9&gt;=HA$17,GN9&lt;&gt;"",GP9&gt;=HA$21,GP9&lt;&gt;""),AND(GQ9&gt;=HA$17,GQ9&lt;&gt;"",GS9&gt;=HA$21,GS9&lt;&gt;""),AND(GU9&gt;=HA$17,GU9&lt;&gt;"",GW9&gt;=HA$21,GW9&lt;&gt;""),AND(GX9&gt;=HA$17,GX9&lt;&gt;"",GZ9&gt;=HA$21,GZ9&lt;&gt;""),AND(HV9&gt;=II$17,HV9&lt;&gt;"",HX9&gt;=II$21,HX9&lt;&gt;""),AND(HY9&gt;=II$17,HY9&lt;&gt;"",IA9&gt;=II$21,IA9&lt;&gt;""),AND(IC9&gt;=II$17,IC9&lt;&gt;"",IE9&gt;=II$21,IE9&lt;&gt;""),AND(IF9&gt;=II$17,IF9&lt;&gt;"",IH9&gt;=II$21,IH9&lt;&gt;""),AND(JD9&gt;=JQ$17,JD9&lt;&gt;"",JF9&gt;=JQ$21,JF9&lt;&gt;""),AND(JG9&gt;=JQ$17,JG9&lt;&gt;"",JI9&gt;=JQ$21,JI9&lt;&gt;""),AND(JK9&gt;=JQ$17,JK9&lt;&gt;"",JM9&gt;=JQ$21,JM9&lt;&gt;""),AND(JN9&gt;=JQ$17,JN9&lt;&gt;"",JP9&gt;=JQ$21,JP9&lt;&gt;""),AND(KL9&gt;=KY$17,KL9&lt;&gt;"",KN9&gt;=KY$21,KN9&lt;&gt;""),AND(KO9&gt;=KY$17,KO9&lt;&gt;"",KQ9&gt;=KY$21,KQ9&lt;&gt;""),AND(KS9&gt;=KY$17,KS9&lt;&gt;"",KU9&gt;=KY$21,KU9&lt;&gt;""),AND(KV9&gt;=KY$17,KV9&lt;&gt;"",KX9&gt;=KY$21,KX9&lt;&gt;""),AND(LT9&gt;=MG$17,LT9&lt;&gt;"",LV9&gt;=MG$21,LV9&lt;&gt;""),AND(LW9&gt;=MG$17,LW9&lt;&gt;"",LY9&gt;=MG$21,LY9&lt;&gt;""),AND(MA9&gt;=MG$17,MA9&lt;&gt;"",MC9&gt;=MG$21,MC9&lt;&gt;""),AND(MD9&gt;=MG$17,MD9&lt;&gt;"",MF9&gt;=MG$21,MF9&lt;&gt;""),AND(NB9&gt;=NO$17,NB9&lt;&gt;"",ND9&gt;=NO$21,ND9&lt;&gt;""),AND(NE9&gt;=NO$17,NE9&lt;&gt;"",NG9&gt;=NO$21,NG9&lt;&gt;""),AND(NI9&gt;=NO$17,NI9&lt;&gt;"",NK9&gt;=NO$21,NK9&lt;&gt;""),AND(NL9&gt;=NO$17,NL9&lt;&gt;"",NN9&gt;=NO$21,NN9&lt;&gt;""),AND(OJ9&gt;=OW$17,OJ9&lt;&gt;"",OL9&gt;=OW$21,OL9&lt;&gt;""),AND(OM9&gt;=OW$17,OM9&lt;&gt;"",OO9&gt;=OW$21,OO9&lt;&gt;""),AND(OQ9&gt;=OW$17,OQ9&lt;&gt;"",OS9&gt;=OW$21,OS9&lt;&gt;""),AND(OT9&gt;=OW$17,OT9&lt;&gt;"",OV9&gt;=OW$21,OV9&lt;&gt;""),AND(PR9&gt;=QE$17,PR9&lt;&gt;"",PT9&gt;=QE$21,PT9&lt;&gt;""),AND(PU9&gt;=QE$17,PU9&lt;&gt;"",PW9&gt;=QE$21,PW9&lt;&gt;""),AND(PY9&gt;=QE$17,PY9&lt;&gt;"",QA9&gt;=QE$21,QA9&lt;&gt;""),AND(QB9&gt;=QE$17,QB9&lt;&gt;"",QD9&gt;=QE$21,QD9&lt;&gt;""),AND(QZ9&gt;=RM$17,QZ9&lt;&gt;"",RB9&gt;=RM$21,RB9&lt;&gt;""),AND(RC9&gt;=RM$17,RC9&lt;&gt;"",RE9&gt;=RM$21,RE9&lt;&gt;""),AND(RG9&gt;=RM$17,RG9&lt;&gt;"",RI9&gt;=RM$21,RI9&lt;&gt;""),AND(RJ9&gt;=RM$17,RJ9&lt;&gt;"",RL9&gt;=RM$21,RL9&lt;&gt;""),AND(SH9&gt;=SU$17,SH9&lt;&gt;"",SJ9&gt;=SU$21,SJ9&lt;&gt;""),AND(SK9&gt;=SU$17,SK9&lt;&gt;"",SM9&gt;=SU$21,SM9&lt;&gt;""),AND(SO9&gt;=SU$17,SO9&lt;&gt;"",SQ9&gt;=SU$21,SQ9&lt;&gt;""),AND(SR9&gt;=SU$17,SR9&lt;&gt;"",ST9&gt;=SU$21,ST9&lt;&gt;"")),"P","")</f>
        <v>P</v>
      </c>
      <c r="G9" s="3" t="str">
        <f>IF(OR(AND(AQ9&gt;=AY$21,AQ9&lt;&gt;"",AN9=""),AND(AT9&gt;=AY$21,AT9&lt;&gt;"",AN9=""),AND(AX9&gt;=AY$21,AX9&lt;&gt;"",AN9=""),AND(BR9&gt;=BZ$21,BR9&lt;&gt;"",BO9=""),AND(BU9&gt;=BZ$21,BU9&lt;&gt;"",BO9=""),AND(BY9&gt;=BZ$21,BY9&lt;&gt;"",BO9=""),AND(CS9&gt;=DA$21,CS9&lt;&gt;"",CP9=""),AND(CV9&gt;=DA$21,CV9&lt;&gt;"",CP9=""),AND(CZ9&gt;=DA$21,CZ9&lt;&gt;"",CP9=""),AND(DZ9&gt;=EK$21,DZ9&lt;&gt;""),AND(EC9&gt;=EK$21,EC9&lt;&gt;""),AND(EG9&gt;=EK$21,EG9&lt;&gt;""),AND(EJ9&gt;=EK$21,EJ9&lt;&gt;""),AND(FH9&gt;=FS$21,FH9&lt;&gt;""),AND(FK9&gt;=FS$21,FK9&lt;&gt;""),AND(FO9&gt;=FS$21,FO9&lt;&gt;""),AND(FR9&gt;=FS$21,FR9&lt;&gt;""),AND(GP9&gt;=HA$21,GP9&lt;&gt;""),AND(GS9&gt;=HA$21,GS9&lt;&gt;""),AND(GW9&gt;=HA$21,GW9&lt;&gt;""),AND(GZ9&gt;=HA$21,GZ9&lt;&gt;""),AND(HX9&gt;=II$21,HX9&lt;&gt;""),AND(IA9&gt;=II$21,IA9&lt;&gt;""),AND(IE9&gt;=II$21,IE9&lt;&gt;""),AND(IH9&gt;=II$21,IH9&lt;&gt;""),AND(JF9&gt;=JQ$21,JF9&lt;&gt;""),AND(JI9&gt;=JQ$21,JI9&lt;&gt;""),AND(JM9&gt;=JQ$21,JM9&lt;&gt;""),AND(JP9&gt;=JQ$21,JP9&lt;&gt;""),AND(KN9&gt;=KY$21,KN9&lt;&gt;""),AND(KQ9&gt;=KY$21,KQ9&lt;&gt;""),AND(KU9&gt;=KY$21,KU9&lt;&gt;""),AND(KX9&gt;=KY$21,KX9&lt;&gt;""),AND(LV9&gt;=MG$21,LV9&lt;&gt;""),AND(LY9&gt;=MG$21,LY9&lt;&gt;""),AND(MC9&gt;=MG$21,MC9&lt;&gt;""),AND(MF9&gt;=MG$21,MF9&lt;&gt;""),AND(ND9&gt;=NO$21,ND9&lt;&gt;""),AND(NG9&gt;=NO$21,NG9&lt;&gt;""),AND(NK9&gt;=NO$21,NK9&lt;&gt;""),AND(NN9&gt;=NO$21,NN9&lt;&gt;""),AND(OL9&gt;=OW$21,OL9&lt;&gt;""),AND(OO9&gt;=OW$21,OO9&lt;&gt;""),AND(OS9&gt;=OW$21,OS9&lt;&gt;""),AND(OV9&gt;=OW$21,OV9&lt;&gt;""),AND(PT9&gt;=QE$21,PT9&lt;&gt;""),AND(PW9&gt;=QE$21,PW9&lt;&gt;""),AND(QA9&gt;=QE$21,QA9&lt;&gt;""),AND(QD9&gt;=QE$21,QD9&lt;&gt;""),AND(RB9&gt;=RM$21,RB9&lt;&gt;""),AND(RE9&gt;=RM$21,RE9&lt;&gt;""),AND(RI9&gt;=RM$21,RI9&lt;&gt;""),AND(RL9&gt;=RM$21,RL9&lt;&gt;""),AND(SJ9&gt;=SU$21,SJ9&lt;&gt;""),AND(SM9&gt;=SU$21,SM9&lt;&gt;""),AND(SQ9&gt;=SU$21,SQ9&lt;&gt;""),AND(ST9&gt;=SU$21,ST9&lt;&gt;"")),"P","")</f>
        <v>P</v>
      </c>
      <c r="H9" s="70" t="str">
        <f>IF(AND(G9="P",F9=""),"No DD",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),"Merit",IF(OR(AND(AO9&gt;=AY$19,AO9&lt;&gt;"",AQ9&gt;=AY$23,AQ9&lt;&gt;"",AN9=""),AND(AR9&gt;=AY$19,AR9&lt;&gt;"",AT9&gt;=AY$23,AT9&lt;&gt;"",AN9=""),AND(AV9&gt;=AY$19,AV9&lt;&gt;"",AX9&gt;=AY$23,AX9&lt;&gt;"",AN9=""),AND(BP9&gt;=BZ$19,BP9&lt;&gt;"",BR9&gt;=BZ$23,BR9&lt;&gt;"",BO9=""),AND(BS9&gt;=BZ$19,BS9&lt;&gt;"",BU9&gt;=BZ$23,BU9&lt;&gt;"",BO9=""),AND(BW9&gt;=BZ$19,BW9&lt;&gt;"",BY9&gt;=BZ$23,BY9&lt;&gt;"",BO9=""),AND(CQ9&gt;=DA$19,CQ9&lt;&gt;"",CS9&gt;=DA$23,CS9&lt;&gt;"",CP9=""),AND(CT9&gt;=DA$19,CT9&lt;&gt;"",CV9&gt;=DA$23,CV9&lt;&gt;"",CP9=""),AND(CX9&gt;=DA$19,CX9&lt;&gt;"",CZ9&gt;=DA$23,CZ9&lt;&gt;"",CP9=""),AND(DX9&gt;=EK$19,DX9&lt;&gt;"",DZ9&gt;=EK$23,DZ9&lt;&gt;""),AND(EA9&gt;=EK$19,EA9&lt;&gt;"",EC9&gt;=EK$23,EC9&lt;&gt;""),AND(EE9&gt;=EK$19,EE9&lt;&gt;"",EG9&gt;=EK$23,EG9&lt;&gt;""),AND(EH9&gt;=EK$19,EH9&lt;&gt;"",EJ9&gt;=EK$23,EJ9&lt;&gt;""),AND(FF9&gt;=FS$19,FF9&lt;&gt;"",FH9&gt;=FS$23,FH9&lt;&gt;""),AND(FI9&gt;=FS$19,FI9&lt;&gt;"",FK9&gt;=FS$23,FK9&lt;&gt;""),AND(FM9&gt;=FS$19,FM9&lt;&gt;"",FO9&gt;=FS$23,FO9&lt;&gt;""),AND(FP9&gt;=FS$19,FP9&lt;&gt;"",FR9&gt;=FS$23,FR9&lt;&gt;""),AND(GN9&gt;=HA$19,GN9&lt;&gt;"",GP9&gt;=HA$23,GP9&lt;&gt;""),AND(GQ9&gt;=HA$19,GQ9&lt;&gt;"",GS9&gt;=HA$23,GS9&lt;&gt;""),AND(GU9&gt;=HA$19,GU9&lt;&gt;"",GW9&gt;=HA$23,GW9&lt;&gt;""),AND(GX9&gt;=HA$19,GX9&lt;&gt;"",GZ9&gt;=HA$23,GZ9&lt;&gt;""),AND(HV9&gt;=II$19,HV9&lt;&gt;"",HX9&gt;=II$23,HX9&lt;&gt;""),AND(HY9&gt;=II$19,HY9&lt;&gt;"",IA9&gt;=II$23,IA9&lt;&gt;""),AND(IC9&gt;=II$19,IC9&lt;&gt;"",IE9&gt;=II$23,IE9&lt;&gt;""),AND(IF9&gt;=II$19,IF9&lt;&gt;"",IH9&gt;=II$23,IH9&lt;&gt;""),AND(JD9&gt;=JQ$19,JD9&lt;&gt;"",JF9&gt;=JQ$23,JF9&lt;&gt;""),AND(JG9&gt;=JQ$19,JG9&lt;&gt;"",JI9&gt;=JQ$23,JI9&lt;&gt;""),AND(JK9&gt;=JQ$19,JK9&lt;&gt;"",JM9&gt;=JQ$23,JM9&lt;&gt;""),AND(JN9&gt;=JQ$19,JN9&lt;&gt;"",JP9&gt;=JQ$23,JP9&lt;&gt;""),AND(KL9&gt;=KY$19,KL9&lt;&gt;"",KN9&gt;=KY$23,KN9&lt;&gt;""),AND(KO9&gt;=KY$19,KO9&lt;&gt;"",KQ9&gt;=KY$23,KQ9&lt;&gt;""),AND(KS9&gt;=KY$19,KS9&lt;&gt;"",KU9&gt;=KY$23,KU9&lt;&gt;""),AND(KV9&gt;=KY$19,KV9&lt;&gt;"",KX9&gt;=KY$23,KX9&lt;&gt;""),AND(LT9&gt;=MG$19,LT9&lt;&gt;"",LV9&gt;=MG$23,LV9&lt;&gt;""),AND(LW9&gt;=MG$19,LW9&lt;&gt;"",LY9&gt;=MG$23,LY9&lt;&gt;""),AND(MA9&gt;=MG$19,MA9&lt;&gt;"",MC9&gt;=MG$23,MC9&lt;&gt;""),AND(MD9&gt;=MG$19,MD9&lt;&gt;"",MF9&gt;=MG$23,MF9&lt;&gt;""),AND(NB9&gt;=NO$19,NB9&lt;&gt;"",ND9&gt;=NO$23,ND9&lt;&gt;""),AND(NE9&gt;=NO$19,NE9&lt;&gt;"",NG9&gt;=NO$23,NG9&lt;&gt;""),AND(NI9&gt;=NO$19,NI9&lt;&gt;"",NK9&gt;=NO$23,NK9&lt;&gt;""),AND(NL9&gt;=NO$19,NL9&lt;&gt;"",NN9&gt;=NO$23,NN9&lt;&gt;""),AND(OJ9&gt;=OW$19,OJ9&lt;&gt;"",OL9&gt;=OW$23,OL9&lt;&gt;""),AND(OM9&gt;=OW$19,OM9&lt;&gt;"",OO9&gt;=OW$23,OO9&lt;&gt;""),AND(OQ9&gt;=OW$19,OQ9&lt;&gt;"",OS9&gt;=OW$23,OS9&lt;&gt;""),AND(OT9&gt;=OW$19,OT9&lt;&gt;"",OV9&gt;=OW$23,OV9&lt;&gt;""),AND(PR9&gt;=QE$19,PR9&lt;&gt;"",PT9&gt;=QE$23,PT9&lt;&gt;""),AND(PU9&gt;=QE$19,PU9&lt;&gt;"",PW9&gt;=QE$23,PW9&lt;&gt;""),AND(PY9&gt;=QE$19,PY9&lt;&gt;"",QA9&gt;=QE$23,QA9&lt;&gt;""),AND(QB9&gt;=QE$19,QB9&lt;&gt;"",QD9&gt;=QE$23,QD9&lt;&gt;""),AND(QZ9&gt;=RM$19,QZ9&lt;&gt;"",RB9&gt;=RM$23,RB9&lt;&gt;""),AND(RC9&gt;=RM$19,RC9&lt;&gt;"",RE9&gt;=RM$23,RE9&lt;&gt;""),AND(RG9&gt;=RM$19,RG9&lt;&gt;"",RI9&gt;=RM$23,RI9&lt;&gt;""),AND(RJ9&gt;=RM$19,RJ9&lt;&gt;"",RL9&gt;=RM$23,RL9&lt;&gt;""),AND(SH9&gt;=SU$19,SH9&lt;&gt;"",SJ9&gt;=SU$23,SJ9&lt;&gt;""),AND(SK9&gt;=SU$19,SK9&lt;&gt;"",SM9&gt;=SU$23,SM9&lt;&gt;""),AND(SO9&gt;=SU$19,SO9&lt;&gt;"",SQ9&gt;=SU$23,SQ9&lt;&gt;""),AND(SR9&gt;=SU$19,SR9&lt;&gt;"",ST9&gt;=SU$23,ST9&lt;&gt;"")),"Excellence",IF(I9="P","Worlds Team",IF(F9="P","National Team","")))))</f>
        <v>National Team</v>
      </c>
      <c r="I9" s="3" t="str">
        <f>IF(OR(AND(AO9&gt;=AY$18,AO9&lt;&gt;"",AQ9&gt;=AY$22,AQ9&lt;&gt;"",AN9=""),AND(AR9&gt;=AY$18,AR9&lt;&gt;"",AT9&gt;=AY$22,AT9&lt;&gt;"",AN9=""),AND(AV9&gt;=AY$18,AV9&lt;&gt;"",AX9&gt;=AY$22,AX9&lt;&gt;"",AN9=""),AND(BP9&gt;=BZ$18,BP9&lt;&gt;"",BR9&gt;=BZ$22,BR9&lt;&gt;"",BO9=""),AND(BS9&gt;=BZ$18,BS9&lt;&gt;"",BU9&gt;=BZ$22,BU9&lt;&gt;"",BO9=""),AND(BW9&gt;=BZ$18,BW9&lt;&gt;"",BY9&gt;=BZ$22,BY9&lt;&gt;"",BO9=""),AND(CQ9&gt;=DA$18,CQ9&lt;&gt;"",CS9&gt;=DA$22,CS9&lt;&gt;"",CP9=""),AND(CT9&gt;=DA$18,CT9&lt;&gt;"",CV9&gt;=DA$22,CV9&lt;&gt;"",CP9=""),AND(CX9&gt;=DA$18,CX9&lt;&gt;"",CZ9&gt;=DA$22,CZ9&lt;&gt;"",CP9=""),AND(DX9&gt;=EK$18,DX9&lt;&gt;"",DZ9&gt;=EK$22,DZ9&lt;&gt;""),AND(EA9&gt;=EK$18,EA9&lt;&gt;"",EC9&gt;=EK$22,EC9&lt;&gt;""),AND(EE9&gt;=EK$18,EE9&lt;&gt;"",EG9&gt;=EK$22,EG9&lt;&gt;""),AND(EH9&gt;=EK$18,EH9&lt;&gt;"",EJ9&gt;=EK$22,EJ9&lt;&gt;""),AND(FF9&gt;=FS$18,FF9&lt;&gt;"",FH9&gt;=FS$22,FH9&lt;&gt;""),AND(FI9&gt;=FS$18,FI9&lt;&gt;"",FK9&gt;=FS$22,FK9&lt;&gt;""),AND(FM9&gt;=FS$18,FM9&lt;&gt;"",FO9&gt;=FS$22,FO9&lt;&gt;""),AND(FP9&gt;=FS$18,FP9&lt;&gt;"",FR9&gt;=FS$22,FR9&lt;&gt;""),AND(GN9&gt;=HA$18,GN9&lt;&gt;"",GP9&gt;=HA$22,GP9&lt;&gt;""),AND(GQ9&gt;=HA$18,GQ9&lt;&gt;"",GS9&gt;=HA$22,GS9&lt;&gt;""),AND(GU9&gt;=HA$18,GU9&lt;&gt;"",GW9&gt;=HA$22,GW9&lt;&gt;""),AND(GX9&gt;=HA$18,GX9&lt;&gt;"",GZ9&gt;=HA$22,GZ9&lt;&gt;""),AND(HV9&gt;=II$18,HV9&lt;&gt;"",HX9&gt;=II$22,HX9&lt;&gt;""),AND(HY9&gt;=II$18,HY9&lt;&gt;"",IA9&gt;=II$22,IA9&lt;&gt;""),AND(IC9&gt;=II$18,IC9&lt;&gt;"",IE9&gt;=II$22,IE9&lt;&gt;""),AND(IF9&gt;=II$18,IF9&lt;&gt;"",IH9&gt;=II$22,IH9&lt;&gt;""),AND(JD9&gt;=JQ$18,JD9&lt;&gt;"",JF9&gt;=JQ$22,JF9&lt;&gt;""),AND(JG9&gt;=JQ$18,JG9&lt;&gt;"",JI9&gt;=JQ$22,JI9&lt;&gt;""),AND(JK9&gt;=JQ$18,JK9&lt;&gt;"",JM9&gt;=JQ$22,JM9&lt;&gt;""),AND(JN9&gt;=JQ$18,JN9&lt;&gt;"",JP9&gt;=JQ$22,JP9&lt;&gt;""),AND(KL9&gt;=KY$18,KL9&lt;&gt;"",KN9&gt;=KY$22,KN9&lt;&gt;""),AND(KO9&gt;=KY$18,KO9&lt;&gt;"",KQ9&gt;=KY$22,KQ9&lt;&gt;""),AND(KS9&gt;=KY$18,KS9&lt;&gt;"",KU9&gt;=KY$22,KU9&lt;&gt;""),AND(KV9&gt;=KY$18,KV9&lt;&gt;"",KX9&gt;=KY$22,KX9&lt;&gt;""),AND(LT9&gt;=MG$18,LT9&lt;&gt;"",LV9&gt;=MG$22,LV9&lt;&gt;""),AND(LW9&gt;=MG$18,LW9&lt;&gt;"",LY9&gt;=MG$22,LY9&lt;&gt;""),AND(MA9&gt;=MG$18,MA9&lt;&gt;"",MC9&gt;=MG$22,MC9&lt;&gt;""),AND(MD9&gt;=MG$18,MD9&lt;&gt;"",MF9&gt;=MG$22,MF9&lt;&gt;""),AND(NB9&gt;=NO$18,NB9&lt;&gt;"",ND9&gt;=NO$22,ND9&lt;&gt;""),AND(NE9&gt;=NO$18,NE9&lt;&gt;"",NG9&gt;=NO$22,NG9&lt;&gt;""),AND(NI9&gt;=NO$18,NI9&lt;&gt;"",NK9&gt;=NO$22,NK9&lt;&gt;""),AND(NL9&gt;=NO$18,NL9&lt;&gt;"",NN9&gt;=NO$22,NN9&lt;&gt;""),AND(OJ9&gt;=OW$18,OJ9&lt;&gt;"",OL9&gt;=OW$22,OL9&lt;&gt;""),AND(OM9&gt;=OW$18,OM9&lt;&gt;"",OO9&gt;=OW$22,OO9&lt;&gt;""),AND(OQ9&gt;=OW$18,OQ9&lt;&gt;"",OS9&gt;=OW$22,OS9&lt;&gt;""),AND(OT9&gt;=OW$18,OT9&lt;&gt;"",OV9&gt;=OW$22,OV9&lt;&gt;""),AND(PR9&gt;=QE$18,PR9&lt;&gt;"",PT9&gt;=QE$22,PT9&lt;&gt;""),AND(PU9&gt;=QE$18,PU9&lt;&gt;"",PW9&gt;=QE$22,PW9&lt;&gt;""),AND(PY9&gt;=QE$18,PY9&lt;&gt;"",QA9&gt;=QE$22,QA9&lt;&gt;""),AND(QB9&gt;=QE$18,QB9&lt;&gt;"",QD9&gt;=QE$22,QD9&lt;&gt;""),AND(QZ9&gt;=RM$18,QZ9&lt;&gt;"",RB9&gt;=RM$22,RB9&lt;&gt;""),AND(RC9&gt;=RM$18,RC9&lt;&gt;"",RE9&gt;=RM$22,RE9&lt;&gt;""),AND(RG9&gt;=RM$18,RG9&lt;&gt;"",RI9&gt;=RM$22,RI9&lt;&gt;""),AND(RJ9&gt;=RM$18,RJ9&lt;&gt;"",RL9&gt;=RM$22,RL9&lt;&gt;""),AND(SH9&gt;=SU$18,SH9&lt;&gt;"",SJ9&gt;=SU$22,SJ9&lt;&gt;""),AND(SK9&gt;=SU$18,SK9&lt;&gt;"",SM9&gt;=SU$22,SM9&lt;&gt;""),AND(SO9&gt;=SU$18,SO9&lt;&gt;"",SQ9&gt;=SU$22,SQ9&lt;&gt;""),AND(SR9&gt;=SU$18,SR9&lt;&gt;"",ST9&gt;=SU$22,ST9&lt;&gt;"")),"P","")</f>
        <v/>
      </c>
      <c r="J9" s="13">
        <f>IF(COUNT(AQ9,AT9,BR9,BU9,CS9,CV9)&gt;0,LARGE((AQ9,AT9,BR9,BU9,CS9,CV9),1),0)</f>
        <v>51.01</v>
      </c>
      <c r="K9" s="13" t="str">
        <f>IF(J9="","",IF(OR(J9=CS9,J9=CV9),$CA$1,IF(OR(J9=BR9,J9=BU9),$AZ$1,IF(OR(J9=AQ9,J9=AT9),$Y$1,""))))</f>
        <v>2022 Elite Canada</v>
      </c>
      <c r="L9" s="13">
        <f>IF(COUNT(AQ9,AT9,BR9,BU9,CS9,CV9)&gt;1,LARGE((AQ9,AT9,BR9,BU9,CS9,CV9),2),0)</f>
        <v>50.730000000000004</v>
      </c>
      <c r="M9" s="13" t="str">
        <f>IF(L9="","",IF(OR(L9=CS9,L9=CV9),$CA$1,IF(OR(L9=BR9,L9=BU9),$AZ$1,IF(OR(L9=AQ9,L9=AT9),$Y$1,""))))</f>
        <v>2021 Elite Canada</v>
      </c>
      <c r="N9" s="13">
        <f>IF(COUNT(AQ9,AT9,BR9,BU9,CS9,CV9)&gt;2,LARGE((AQ9,AT9,BR9,BU9,CS9,CV9),3),0)</f>
        <v>49.865000000000002</v>
      </c>
      <c r="O9" s="13" t="str">
        <f>IF(N9="","",IF(OR(N9=CS9,N9=CV9),$CA$1,IF(OR(N9=BR9,N9=BU9),$AZ$1,IF(OR(N9=AQ9,N9=AT9),$Y$1,""))))</f>
        <v>2021 Elite Canada</v>
      </c>
      <c r="P9" s="13">
        <f>IF(MAX(AX9,BY9,CZ9)&gt;0,MAX(AX9,BY9,CZ9),0)</f>
        <v>51.56</v>
      </c>
      <c r="Q9" s="13" t="str">
        <f>IF(P9="","",IF(P9=CZ9,$CA$1,IF(P9=BY9,$AZ$1,IF(P9=AX9,$Y$1,""))))</f>
        <v>2021 Elite Canada</v>
      </c>
      <c r="R9" s="13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13.4</v>
      </c>
      <c r="S9" s="13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2022 Elite Canada</v>
      </c>
      <c r="T9" s="13">
        <f>IF(MAX(IF(AO9&gt;=$AY$17,AP9,0),IF(AR9&gt;=$AY$17,AS9,0),IF(AV9&gt;=$AY$17,AW9,0),IF(BP9&gt;=$BZ$17,BQ9,0),IF(BS9&gt;=$BZ$17,BT9,0),IF(BW9&gt;=$BZ$17,BX9,0),IF(CQ9&gt;=$DA$17,CR9,0),IF(CT9&gt;=$DA$17,CU9,0),IF(CX9&gt;=$DA$17,CY9,0))&gt;0,MAX(IF(AO9&gt;=$AY$17,AP9,0),IF(AR9&gt;=$AY$17,AS9,0),IF(AV9&gt;=$AY$17,AW9,0),IF(BP9&gt;=$BZ$17,BQ9,0),IF(BS9&gt;=$BZ$17,BT9,0),IF(BW9&gt;=$BZ$17,BX9,0),IF(CQ9&gt;=$DA$17,CR9,0),IF(CT9&gt;=$DA$17,CU9,0),IF(CX9&gt;=$DA$17,CY9,0),IF(DX9&gt;=$EK$17,DY9,0),IF(EA9&gt;=$EK$17,EB9,0),IF(EE9&gt;=$EK$17,EF9,0),IF(EH9&gt;=$EK$17,EI9,0),IF(FF9&gt;=$FS$17,FG9,0),IF(FI9&gt;=$FS$17,FJ9,0),IF(FM9&gt;=$FS$17,FN9,0),IF(FP9&gt;=$FS$17,FQ9,0),IF(GN9&gt;=$HA$17,GO9,0),IF(GQ9&gt;=$HA$17,GR9,0),IF(GU9&gt;=$HA$17,GV9,0),IF(GX9&gt;=$HA$17,GY9,0),IF(HV9&gt;=$II$17,HW9,0),IF(HY9&gt;=$II$17,HZ9,0),IF(IC9&gt;=$II$17,ID9,0),IF(IF9&gt;=$II$17,IG9,0),IF(JD9&gt;=$JQ$17,JE9,0),IF(JG9&gt;=$JQ$17,JH9,0),IF(JK9&gt;=$JQ$17,JL9,0),IF(JN9&gt;=$JQ$17,JO9,0),IF(KL9&gt;=$KY$17,KM9,0),IF(KO9&gt;=$KY$17,KP9,0),IF(KS9&gt;=$KY$17,KT9,0),IF(KV9&gt;=$KY$17,KW9,0),IF(LT9&gt;=$MG$17,LU9,0),IF(LW9&gt;=$MG$17,LX9,0),IF(MA9&gt;=$MG$17,MB9,0),IF(MD9&gt;=$MG$17,ME9,0),IF(NB9&gt;=$NO$17,NC9,0),IF(NE9&gt;=$NO$17,NF9,0),IF(NI9&gt;=$NO$17,NJ9,0),IF(NL9&gt;=$NO$17,NM9,0),IF(OJ9&gt;=$OW$17,OK9,0),IF(OM9&gt;=$OW$17,ON9,0),IF(OQ9&gt;=$OW$17,OR9,0),IF(OT9&gt;=$OW$17,OU9,0),IF(PR9&gt;=$QE$17,PS9,0),IF(PU9&gt;=$QE$17,PV9,0),IF(PY9&gt;=$QE$17,PZ9,0),IF(QB9&gt;=$QE$17,QC9,0),IF(QZ9&gt;=$RM$17,RA9,0),IF(RC9&gt;=$RM$17,RD9,0),IF(RG9&gt;=$RM$17,RH9,0),IF(RJ9&gt;=$RM$17,RK9,0),IF(SH9&gt;=$SU$17,SI9,0),IF(SK9&gt;=$SU$17,SL9,0),IF(SO9&gt;=$SU$17,SP9,0),IF(SR9&gt;=$SU$17,SS9,0)),0)</f>
        <v>14.71</v>
      </c>
      <c r="U9" s="13" t="str">
        <f>IF(T9=0,"",IF(OR(T9=CR9,T9=CU9,T9=CY9),$CA$1,IF(OR(T9=BQ9,T9=BT9,T9=BX9),$AZ$1,IF(OR(T9=AP9,T9=AS9,T9=AW9),$Y$1,IF(OR(R9=SI9,R9=SL9,R9=SP9,R9=SS9),$RN$1,IF(OR(R9=RA9,R9=RD9,R9=RH9,R9=RK9),$QF$1,IF(OR(R9=PS9,R9=PV9,R9=PZ9,R9=QC9),$OX$1,IF(OR(R9=OK9,R9=ON9,R9=OR9,R9=OU9),$NP$1,IF(OR(R9=NC9,R9=NF9,R9=NJ9,R9=NM9),$MH$1,IF(OR(R9=LU9,R9=LX9,R9=MB9,R9=ME9),$KZ$1,IF(OR(R9=KM9,R9=KP9,R9=KT9,R9=KW9),$JR$1,IF(OR(R9=JE9,R9=JH9,R9=JL9,R9=JO9),$IJ$1,IF(OR(R9=HW9,R9=HZ9,R9=ID9,R9=IG9),$HB$1,IF(OR(R9=GO9,R9=GR9,R9=GV9,R9=GY9),$FT$1,IF(OR(R9=FG9,R9=FJ9,R9=FN9,R9=FQ9),$EL$1,IF(OR(R9=DY9,R9=EB9,R9=EF9,R9=EI9),$DD$1,""))))))))))))))))</f>
        <v>2022 Elite Canada</v>
      </c>
      <c r="V9" s="13" t="str">
        <f>IF(MAX(DB9,DC9)&gt;0,MAX(DB9,DC9),"")</f>
        <v/>
      </c>
      <c r="W9" s="16" t="str">
        <f>IF(V9="","",IF(V9=DB9,"("&amp;DB$2&amp;")",IF(V9=DC9,"("&amp;DC$2&amp;")")))</f>
        <v/>
      </c>
      <c r="X9" s="13" t="str">
        <f>IF(V9="","",IF(V9=DB9,IF(V9+IF(L9="",0,L9)=SN9,$RN$1,IF(V9+IF(L9="",0,L9)=RF9,$QF$1,IF(V9+IF(L9="",0,L9)=PX9,$OX$1,IF(V9+IF(L9="",0,L9)=OP9,$NP$1,IF(V9+IF(L9="",0,L9)=NH9,$MH$1,IF(V9+IF(L9="",0,L9)=LZ9,$KZ$1,IF(V9+IF(L9="",0,L9)=KR9,$JR$1,IF(V9+IF(L9="",0,L9)=JJ9,$IJ$1,IF(V9+IF(L9="",0,L9)=IB9,$HB$1,IF(V9+IF(L9="",0,L9)=GT9,$FT$1,IF(V9+IF(L9="",0,L9)=FL9,$EL$1,IF(V9+IF(L9="",0,L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$1)))))))))))))))</f>
        <v/>
      </c>
      <c r="Y9" s="42">
        <v>13</v>
      </c>
      <c r="Z9" s="42">
        <v>9.1999999999999993</v>
      </c>
      <c r="AA9" s="42">
        <v>13.3</v>
      </c>
      <c r="AB9" s="42">
        <v>14.365</v>
      </c>
      <c r="AC9" s="42">
        <v>0</v>
      </c>
      <c r="AD9" s="42">
        <v>13.5</v>
      </c>
      <c r="AE9" s="42">
        <v>9.3000000000000007</v>
      </c>
      <c r="AF9" s="42">
        <v>13.3</v>
      </c>
      <c r="AG9" s="42">
        <v>14.63</v>
      </c>
      <c r="AH9" s="42">
        <v>0</v>
      </c>
      <c r="AI9" s="42">
        <v>14</v>
      </c>
      <c r="AJ9" s="42">
        <v>9.6</v>
      </c>
      <c r="AK9" s="42">
        <v>13.3</v>
      </c>
      <c r="AL9" s="42">
        <v>14.66</v>
      </c>
      <c r="AM9" s="42">
        <v>0</v>
      </c>
      <c r="AN9" s="51"/>
      <c r="AO9" s="74">
        <f>IF(AA9&gt;0,AA9,"")</f>
        <v>13.3</v>
      </c>
      <c r="AP9" s="74">
        <f>IF(AB9&gt;0,AB9,"")</f>
        <v>14.365</v>
      </c>
      <c r="AQ9" s="76">
        <f>IF(SUM(Y9:AB9)-AC9&gt;0,SUM(Y9:AB9)-AC9,"")</f>
        <v>49.865000000000002</v>
      </c>
      <c r="AR9" s="76">
        <f>IF(AF9&gt;0,AF9,"")</f>
        <v>13.3</v>
      </c>
      <c r="AS9" s="76">
        <f>IF(AG9&gt;0,AG9,"")</f>
        <v>14.63</v>
      </c>
      <c r="AT9" s="76">
        <f>IF(SUM(AD9:AG9)-AH9&gt;0,SUM(AD9:AG9)-AH9,"")</f>
        <v>50.730000000000004</v>
      </c>
      <c r="AU9" s="76">
        <f>IF(AQ9="","",MAX(AQ9,AT9))</f>
        <v>50.730000000000004</v>
      </c>
      <c r="AV9" s="76">
        <f>IF(AK9&gt;0,AK9,"")</f>
        <v>13.3</v>
      </c>
      <c r="AW9" s="76">
        <f>IF(AL9&gt;0,AL9,"")</f>
        <v>14.66</v>
      </c>
      <c r="AX9" s="76">
        <f>IF(SUM(AI9:AL9)-AM9&gt;0,SUM(AI9:AL9)-AM9,"")</f>
        <v>51.56</v>
      </c>
      <c r="AY9" s="76">
        <f>IF(SUM(AU9,AX9)&gt;0,SUM(AU9,AX9),"")</f>
        <v>102.29</v>
      </c>
      <c r="AZ9" s="46">
        <v>11.8</v>
      </c>
      <c r="BA9" s="46">
        <v>8.5</v>
      </c>
      <c r="BB9" s="46">
        <v>11.9</v>
      </c>
      <c r="BC9" s="46">
        <v>14.21</v>
      </c>
      <c r="BD9" s="46">
        <v>0</v>
      </c>
      <c r="BE9" s="46">
        <v>6.6</v>
      </c>
      <c r="BF9" s="46">
        <v>4.4000000000000004</v>
      </c>
      <c r="BG9" s="46">
        <v>7.1</v>
      </c>
      <c r="BH9" s="46">
        <v>7.5949999999999998</v>
      </c>
      <c r="BI9" s="46">
        <v>0</v>
      </c>
      <c r="BJ9" s="46">
        <v>10.8</v>
      </c>
      <c r="BK9" s="46">
        <v>8.4</v>
      </c>
      <c r="BL9" s="46">
        <v>11.7</v>
      </c>
      <c r="BM9" s="46">
        <v>13.29</v>
      </c>
      <c r="BN9" s="46">
        <v>0</v>
      </c>
      <c r="BO9" s="52"/>
      <c r="BP9" s="75">
        <f>IF(BB9&gt;0,BB9,"")</f>
        <v>11.9</v>
      </c>
      <c r="BQ9" s="75">
        <f>IF(BC9&gt;0,BC9,"")</f>
        <v>14.21</v>
      </c>
      <c r="BR9" s="16">
        <f>IF(SUM(AZ9:BC9)-BD9&gt;0,SUM(AZ9:BC9)-BD9,"")</f>
        <v>46.410000000000004</v>
      </c>
      <c r="BS9" s="16">
        <f>IF(BG9&gt;0,BG9,"")</f>
        <v>7.1</v>
      </c>
      <c r="BT9" s="16">
        <f>IF(BH9&gt;0,BH9,"")</f>
        <v>7.5949999999999998</v>
      </c>
      <c r="BU9" s="16">
        <f>IF(SUM(BE9:BH9)-BI9&gt;0,SUM(BE9:BH9)-BI9,"")</f>
        <v>25.695</v>
      </c>
      <c r="BV9" s="16">
        <f>IF(BR9="","",MAX(BR9,BU9))</f>
        <v>46.410000000000004</v>
      </c>
      <c r="BW9" s="16">
        <f>IF(BL9&gt;0,BL9,"")</f>
        <v>11.7</v>
      </c>
      <c r="BX9" s="16">
        <f>IF(BM9&gt;0,BM9,"")</f>
        <v>13.29</v>
      </c>
      <c r="BY9" s="16">
        <f>IF(SUM(BJ9:BM9)-BN9&gt;0,SUM(BJ9:BM9)-BN9,"")</f>
        <v>44.19</v>
      </c>
      <c r="BZ9" s="16">
        <f>IF(SUM(BV9,BY9)&gt;0,SUM(BV9,BY9),"")</f>
        <v>90.6</v>
      </c>
      <c r="CA9" s="42">
        <v>13.6</v>
      </c>
      <c r="CB9" s="42">
        <v>9.4</v>
      </c>
      <c r="CC9" s="42">
        <v>13.3</v>
      </c>
      <c r="CD9" s="42">
        <v>14.71</v>
      </c>
      <c r="CE9" s="42">
        <v>0</v>
      </c>
      <c r="CF9" s="42">
        <v>12.1</v>
      </c>
      <c r="CG9" s="42">
        <v>9.1999999999999993</v>
      </c>
      <c r="CH9" s="42">
        <v>13.4</v>
      </c>
      <c r="CI9" s="42">
        <v>14.34</v>
      </c>
      <c r="CJ9" s="42">
        <v>0</v>
      </c>
      <c r="CK9" s="42">
        <v>8.1999999999999993</v>
      </c>
      <c r="CL9" s="42">
        <v>5.2</v>
      </c>
      <c r="CM9" s="42">
        <v>8.1</v>
      </c>
      <c r="CN9" s="42">
        <v>8.99</v>
      </c>
      <c r="CO9" s="42">
        <v>0</v>
      </c>
      <c r="CP9" s="51"/>
      <c r="CQ9" s="74">
        <f>IF(CC9&gt;0,CC9,"")</f>
        <v>13.3</v>
      </c>
      <c r="CR9" s="74">
        <f>IF(CD9&gt;0,CD9,"")</f>
        <v>14.71</v>
      </c>
      <c r="CS9" s="76">
        <f>IF(SUM(CA9:CD9)-CE9&gt;0,SUM(CA9:CD9)-CE9,"")</f>
        <v>51.01</v>
      </c>
      <c r="CT9" s="76">
        <f>IF(CH9&gt;0,CH9,"")</f>
        <v>13.4</v>
      </c>
      <c r="CU9" s="76">
        <f>IF(CI9&gt;0,CI9,"")</f>
        <v>14.34</v>
      </c>
      <c r="CV9" s="76">
        <f>IF(SUM(CF9:CI9)-CJ9&gt;0,SUM(CF9:CI9)-CJ9,"")</f>
        <v>49.039999999999992</v>
      </c>
      <c r="CW9" s="76">
        <f>IF(CS9="","",MAX(CS9,CV9))</f>
        <v>51.01</v>
      </c>
      <c r="CX9" s="76">
        <f>IF(CM9&gt;0,CM9,"")</f>
        <v>8.1</v>
      </c>
      <c r="CY9" s="76">
        <f>IF(CN9&gt;0,CN9,"")</f>
        <v>8.99</v>
      </c>
      <c r="CZ9" s="76">
        <f>IF(SUM(CK9:CN9)-CO9&gt;0,SUM(CK9:CN9)-CO9,"")</f>
        <v>30.490000000000002</v>
      </c>
      <c r="DA9" s="76">
        <f>IF(SUM(CW9,CZ9)&gt;0,SUM(CW9,CZ9),"")</f>
        <v>81.5</v>
      </c>
      <c r="DB9" s="87" t="str">
        <f>IF(L9&gt;=0.001,IF(MAX(ED9,FL9,GT9,IB9,JJ9,KR9,LZ9,NH9,OP9,PX9,RF9,SN9)-IF(L9="",0,L9)&gt;0.001,MAX(ED9,FL9,GT9,IB9,JJ9,KR9,LZ9,NH9,OP9,PX9,RF9,SN9)-IF(L9="",0,L9),""),"")</f>
        <v/>
      </c>
      <c r="DC9" s="87" t="str">
        <f>IF(P9&gt;=0.001,IF(MAX(EG9,EJ9,FO9,FR9,GW9,GZ9,IE9,IH9,JM9,JP9,KU9,KX9,MC9,MF9,NK9,NN9,OS9,OV9,QA9,QD9,RI9,RL9,SQ9,ST9)-IF(P9="",0,P9)&gt;0.001,MAX(EG9,EJ9,FO9,FR9,GW9,GZ9,IE9,IH9,JM9,JP9,KU9,KX9,MC9,MF9,NK9,NN9,OS9,OV9,QA9,QD9,RI9,RL9,SQ9,ST9)-IF(P9="",0,P9),""),"")</f>
        <v/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76" t="str">
        <f>IF(DF9&gt;0,DF9,"")</f>
        <v/>
      </c>
      <c r="DY9" s="76" t="str">
        <f>IF(DG9&gt;0,DG9,"")</f>
        <v/>
      </c>
      <c r="DZ9" s="76" t="str">
        <f>IF(SUM(DD9:DG9)-DH9&gt;0,SUM(DD9:DG9)-DH9,"")</f>
        <v/>
      </c>
      <c r="EA9" s="76" t="str">
        <f>IF(DK9&gt;0,DK9,"")</f>
        <v/>
      </c>
      <c r="EB9" s="76" t="str">
        <f>IF(DL9&gt;0,DL9,"")</f>
        <v/>
      </c>
      <c r="EC9" s="76" t="str">
        <f>IF(SUM(DI9:DL9)-DM9&gt;0,SUM(DI9:DL9)-DM9,"")</f>
        <v/>
      </c>
      <c r="ED9" s="76" t="str">
        <f>IF(MAX(DZ9,EC9)&gt;0,MAX(DZ9,EC9),"")</f>
        <v/>
      </c>
      <c r="EE9" s="76" t="str">
        <f>IF(DP9&gt;0,DP9,"")</f>
        <v/>
      </c>
      <c r="EF9" s="76" t="str">
        <f>IF(DQ9&gt;0,DQ9,"")</f>
        <v/>
      </c>
      <c r="EG9" s="76" t="str">
        <f>IF(SUM(DN9:DQ9)-DR9&gt;0,SUM(DN9:DQ9)-DR9,"")</f>
        <v/>
      </c>
      <c r="EH9" s="76" t="str">
        <f>IF(DU9&gt;0,DU9,"")</f>
        <v/>
      </c>
      <c r="EI9" s="76" t="str">
        <f>IF(DV9&gt;0,DV9,"")</f>
        <v/>
      </c>
      <c r="EJ9" s="76" t="str">
        <f>IF(SUM(DS9:DV9)-DW9&gt;0,SUM(DS9:DV9)-DW9,"")</f>
        <v/>
      </c>
      <c r="EK9" s="76" t="str">
        <f>IF(SUM(ED9,EJ9)&gt;0,SUM(ED9,EJ9),"")</f>
        <v/>
      </c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16" t="str">
        <f>IF(EN9&gt;0,EN9,"")</f>
        <v/>
      </c>
      <c r="FG9" s="16" t="str">
        <f>IF(EO9&gt;0,EO9,"")</f>
        <v/>
      </c>
      <c r="FH9" s="16" t="str">
        <f>IF(SUM(EL9:EO9)-EP9&gt;0,SUM(EL9:EO9)-EP9,"")</f>
        <v/>
      </c>
      <c r="FI9" s="16" t="str">
        <f>IF(ES9&gt;0,ES9,"")</f>
        <v/>
      </c>
      <c r="FJ9" s="16" t="str">
        <f>IF(ET9&gt;0,ET9,"")</f>
        <v/>
      </c>
      <c r="FK9" s="16" t="str">
        <f>IF(SUM(EQ9:ET9)-EU9&gt;0,SUM(EQ9:ET9)-EU9,"")</f>
        <v/>
      </c>
      <c r="FL9" s="16" t="str">
        <f>IF(MAX(FH9,FK9)&gt;0,MAX(FH9,FK9),"")</f>
        <v/>
      </c>
      <c r="FM9" s="16" t="str">
        <f>IF(EX9&gt;0,EX9,"")</f>
        <v/>
      </c>
      <c r="FN9" s="16" t="str">
        <f>IF(EY9&gt;0,EY9,"")</f>
        <v/>
      </c>
      <c r="FO9" s="16" t="str">
        <f>IF(SUM(EV9:EY9)-EZ9&gt;0,SUM(EV9:EY9)-EZ9,"")</f>
        <v/>
      </c>
      <c r="FP9" s="16" t="str">
        <f>IF(FC9&gt;0,FC9,"")</f>
        <v/>
      </c>
      <c r="FQ9" s="16" t="str">
        <f>IF(FD9&gt;0,FD9,"")</f>
        <v/>
      </c>
      <c r="FR9" s="16" t="str">
        <f>IF(SUM(FA9:FD9)-FE9&gt;0,SUM(FA9:FD9)-FE9,"")</f>
        <v/>
      </c>
      <c r="FS9" s="16" t="str">
        <f>IF(SUM(FL9,FR9)&gt;0,SUM(FL9,FR9),"")</f>
        <v/>
      </c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76" t="str">
        <f>IF(FV9&gt;0,FV9,"")</f>
        <v/>
      </c>
      <c r="GO9" s="76" t="str">
        <f>IF(FW9&gt;0,FW9,"")</f>
        <v/>
      </c>
      <c r="GP9" s="76" t="str">
        <f>IF(SUM(FT9:FW9)-FX9&gt;0,SUM(FT9:FW9)-FX9,"")</f>
        <v/>
      </c>
      <c r="GQ9" s="76" t="str">
        <f>IF(GA9&gt;0,GA9,"")</f>
        <v/>
      </c>
      <c r="GR9" s="76" t="str">
        <f>IF(GB9&gt;0,GB9,"")</f>
        <v/>
      </c>
      <c r="GS9" s="76" t="str">
        <f>IF(SUM(FY9:GB9)-GC9&gt;0,SUM(FY9:GB9)-GC9,"")</f>
        <v/>
      </c>
      <c r="GT9" s="76" t="str">
        <f>IF(MAX(GP9,GS9)&gt;0,MAX(GP9,GS9),"")</f>
        <v/>
      </c>
      <c r="GU9" s="76" t="str">
        <f>IF(GF9&gt;0,GF9,"")</f>
        <v/>
      </c>
      <c r="GV9" s="76" t="str">
        <f>IF(GG9&gt;0,GG9,"")</f>
        <v/>
      </c>
      <c r="GW9" s="76" t="str">
        <f>IF(SUM(GD9:GG9)-GH9&gt;0,SUM(GD9:GG9)-GH9,"")</f>
        <v/>
      </c>
      <c r="GX9" s="76" t="str">
        <f>IF(GK9&gt;0,GK9,"")</f>
        <v/>
      </c>
      <c r="GY9" s="76" t="str">
        <f>IF(GL9&gt;0,GL9,"")</f>
        <v/>
      </c>
      <c r="GZ9" s="76" t="str">
        <f>IF(SUM(GI9:GL9)-GM9&gt;0,SUM(GI9:GL9)-GM9,"")</f>
        <v/>
      </c>
      <c r="HA9" s="76" t="str">
        <f>IF(SUM(GT9,GZ9)&gt;0,SUM(GT9,GZ9),"")</f>
        <v/>
      </c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16" t="str">
        <f>IF(HD9&gt;0,HD9,"")</f>
        <v/>
      </c>
      <c r="HW9" s="16" t="str">
        <f>IF(HE9&gt;0,HE9,"")</f>
        <v/>
      </c>
      <c r="HX9" s="16" t="str">
        <f>IF(SUM(HB9:HE9)-HF9&gt;0,SUM(HB9:HE9)-HF9,"")</f>
        <v/>
      </c>
      <c r="HY9" s="16" t="str">
        <f>IF(HI9&gt;0,HI9,"")</f>
        <v/>
      </c>
      <c r="HZ9" s="16" t="str">
        <f>IF(HJ9&gt;0,HJ9,"")</f>
        <v/>
      </c>
      <c r="IA9" s="16" t="str">
        <f>IF(SUM(HG9:HJ9)-HK9&gt;0,SUM(HG9:HJ9)-HK9,"")</f>
        <v/>
      </c>
      <c r="IB9" s="16" t="str">
        <f>IF(MAX(HX9,IA9)&gt;0,MAX(HX9,IA9),"")</f>
        <v/>
      </c>
      <c r="IC9" s="16" t="str">
        <f>IF(HN9&gt;0,HN9,"")</f>
        <v/>
      </c>
      <c r="ID9" s="16" t="str">
        <f>IF(HO9&gt;0,HO9,"")</f>
        <v/>
      </c>
      <c r="IE9" s="16" t="str">
        <f>IF(SUM(HL9:HO9)-HP9&gt;0,SUM(HL9:HO9)-HP9,"")</f>
        <v/>
      </c>
      <c r="IF9" s="16" t="str">
        <f>IF(HS9&gt;0,HS9,"")</f>
        <v/>
      </c>
      <c r="IG9" s="16" t="str">
        <f>IF(HT9&gt;0,HT9,"")</f>
        <v/>
      </c>
      <c r="IH9" s="16" t="str">
        <f>IF(SUM(HQ9:HT9)-HU9&gt;0,SUM(HQ9:HT9)-HU9,"")</f>
        <v/>
      </c>
      <c r="II9" s="16" t="str">
        <f>IF(SUM(IB9,IH9)&gt;0,SUM(IB9,IH9),"")</f>
        <v/>
      </c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76" t="str">
        <f>IF(IL9&gt;0,IL9,"")</f>
        <v/>
      </c>
      <c r="JE9" s="76" t="str">
        <f>IF(IM9&gt;0,IM9,"")</f>
        <v/>
      </c>
      <c r="JF9" s="76" t="str">
        <f>IF(SUM(IJ9:IM9)-IN9&gt;0,SUM(IJ9:IM9)-IN9,"")</f>
        <v/>
      </c>
      <c r="JG9" s="76" t="str">
        <f>IF(IQ9&gt;0,IQ9,"")</f>
        <v/>
      </c>
      <c r="JH9" s="76" t="str">
        <f>IF(IR9&gt;0,IR9,"")</f>
        <v/>
      </c>
      <c r="JI9" s="76" t="str">
        <f>IF(SUM(IO9:IR9)-IS9&gt;0,SUM(IO9:IR9)-IS9,"")</f>
        <v/>
      </c>
      <c r="JJ9" s="76" t="str">
        <f>IF(MAX(JF9,JI9)&gt;0,MAX(JF9,JI9),"")</f>
        <v/>
      </c>
      <c r="JK9" s="76" t="str">
        <f>IF(IV9&gt;0,IV9,"")</f>
        <v/>
      </c>
      <c r="JL9" s="76" t="str">
        <f>IF(IW9&gt;0,IW9,"")</f>
        <v/>
      </c>
      <c r="JM9" s="76" t="str">
        <f>IF(SUM(IT9:IW9)-IX9&gt;0,SUM(IT9:IW9)-IX9,"")</f>
        <v/>
      </c>
      <c r="JN9" s="76" t="str">
        <f>IF(JA9&gt;0,JA9,"")</f>
        <v/>
      </c>
      <c r="JO9" s="76" t="str">
        <f>IF(JB9&gt;0,JB9,"")</f>
        <v/>
      </c>
      <c r="JP9" s="76" t="str">
        <f>IF(SUM(IY9:JB9)-JC9&gt;0,SUM(IY9:JB9)-JC9,"")</f>
        <v/>
      </c>
      <c r="JQ9" s="76" t="str">
        <f>IF(SUM(JJ9,JP9)&gt;0,SUM(JJ9,JP9),"")</f>
        <v/>
      </c>
      <c r="JR9" s="26"/>
      <c r="JS9" s="26"/>
      <c r="JT9" s="26"/>
      <c r="JU9" s="26"/>
      <c r="JV9" s="26"/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16" t="str">
        <f>IF(JT9&gt;0,JT9,"")</f>
        <v/>
      </c>
      <c r="KM9" s="16" t="str">
        <f>IF(JU9&gt;0,JU9,"")</f>
        <v/>
      </c>
      <c r="KN9" s="16" t="str">
        <f>IF(SUM(JR9:JU9)-JV9&gt;0,SUM(JR9:JU9)-JV9,"")</f>
        <v/>
      </c>
      <c r="KO9" s="16" t="str">
        <f>IF(JY9&gt;0,JY9,"")</f>
        <v/>
      </c>
      <c r="KP9" s="16" t="str">
        <f>IF(JZ9&gt;0,JZ9,"")</f>
        <v/>
      </c>
      <c r="KQ9" s="16" t="str">
        <f>IF(SUM(JW9:JZ9)-KA9&gt;0,SUM(JW9:JZ9)-KA9,"")</f>
        <v/>
      </c>
      <c r="KR9" s="16" t="str">
        <f>IF(MAX(KN9,KQ9)&gt;0,MAX(KN9,KQ9),"")</f>
        <v/>
      </c>
      <c r="KS9" s="16" t="str">
        <f>IF(KD9&gt;0,KD9,"")</f>
        <v/>
      </c>
      <c r="KT9" s="16" t="str">
        <f>IF(KE9&gt;0,KE9,"")</f>
        <v/>
      </c>
      <c r="KU9" s="16" t="str">
        <f>IF(SUM(KB9:KE9)-KF9&gt;0,SUM(KB9:KE9)-KF9,"")</f>
        <v/>
      </c>
      <c r="KV9" s="16" t="str">
        <f>IF(KI9&gt;0,KI9,"")</f>
        <v/>
      </c>
      <c r="KW9" s="16" t="str">
        <f>IF(KJ9&gt;0,KJ9,"")</f>
        <v/>
      </c>
      <c r="KX9" s="16" t="str">
        <f>IF(SUM(KG9:KJ9)-KK9&gt;0,SUM(KG9:KJ9)-KK9,"")</f>
        <v/>
      </c>
      <c r="KY9" s="16" t="str">
        <f>IF(SUM(KR9,KX9)&gt;0,SUM(KR9,KX9),"")</f>
        <v/>
      </c>
      <c r="KZ9" s="25">
        <v>12.8</v>
      </c>
      <c r="LA9" s="25">
        <v>8.6999999999999993</v>
      </c>
      <c r="LB9" s="25">
        <v>11.1</v>
      </c>
      <c r="LC9" s="25">
        <v>14.565</v>
      </c>
      <c r="LD9" s="25">
        <v>0</v>
      </c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>
        <v>3.2</v>
      </c>
      <c r="LP9" s="25">
        <v>1.8</v>
      </c>
      <c r="LQ9" s="25">
        <v>2</v>
      </c>
      <c r="LR9" s="25">
        <v>3.31</v>
      </c>
      <c r="LS9" s="25">
        <v>0</v>
      </c>
      <c r="LT9" s="76">
        <f>IF(LB9&gt;0,LB9,"")</f>
        <v>11.1</v>
      </c>
      <c r="LU9" s="76">
        <f>IF(LC9&gt;0,LC9,"")</f>
        <v>14.565</v>
      </c>
      <c r="LV9" s="76">
        <f>IF(SUM(KZ9:LC9)-LD9&gt;0,SUM(KZ9:LC9)-LD9,"")</f>
        <v>47.164999999999999</v>
      </c>
      <c r="LW9" s="76" t="str">
        <f>IF(LG9&gt;0,LG9,"")</f>
        <v/>
      </c>
      <c r="LX9" s="76" t="str">
        <f>IF(LH9&gt;0,LH9,"")</f>
        <v/>
      </c>
      <c r="LY9" s="76" t="str">
        <f>IF(SUM(LE9:LH9)-LI9&gt;0,SUM(LE9:LH9)-LI9,"")</f>
        <v/>
      </c>
      <c r="LZ9" s="76">
        <f>IF(MAX(LV9,LY9)&gt;0,MAX(LV9,LY9),"")</f>
        <v>47.164999999999999</v>
      </c>
      <c r="MA9" s="76" t="str">
        <f>IF(LL9&gt;0,LL9,"")</f>
        <v/>
      </c>
      <c r="MB9" s="76" t="str">
        <f>IF(LM9&gt;0,LM9,"")</f>
        <v/>
      </c>
      <c r="MC9" s="76" t="str">
        <f>IF(SUM(LJ9:LM9)-LN9&gt;0,SUM(LJ9:LM9)-LN9,"")</f>
        <v/>
      </c>
      <c r="MD9" s="76">
        <f>IF(LQ9&gt;0,LQ9,"")</f>
        <v>2</v>
      </c>
      <c r="ME9" s="76">
        <f>IF(LR9&gt;0,LR9,"")</f>
        <v>3.31</v>
      </c>
      <c r="MF9" s="76">
        <f>IF(SUM(LO9:LR9)-LS9&gt;0,SUM(LO9:LR9)-LS9,"")</f>
        <v>10.31</v>
      </c>
      <c r="MG9" s="76">
        <f>IF(SUM(LZ9,MF9)&gt;0,SUM(LZ9,MF9),"")</f>
        <v>57.475000000000001</v>
      </c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16" t="str">
        <f>IF(MJ9&gt;0,MJ9,"")</f>
        <v/>
      </c>
      <c r="NC9" s="16" t="str">
        <f>IF(MK9&gt;0,MK9,"")</f>
        <v/>
      </c>
      <c r="ND9" s="16" t="str">
        <f>IF(SUM(MH9:MK9)-ML9&gt;0,SUM(MH9:MK9)-ML9,"")</f>
        <v/>
      </c>
      <c r="NE9" s="16" t="str">
        <f>IF(MO9&gt;0,MO9,"")</f>
        <v/>
      </c>
      <c r="NF9" s="16" t="str">
        <f>IF(MP9&gt;0,MP9,"")</f>
        <v/>
      </c>
      <c r="NG9" s="16" t="str">
        <f>IF(SUM(MM9:MP9)-MQ9&gt;0,SUM(MM9:MP9)-MQ9,"")</f>
        <v/>
      </c>
      <c r="NH9" s="16" t="str">
        <f>IF(MAX(ND9,NG9)&gt;0,MAX(ND9,NG9),"")</f>
        <v/>
      </c>
      <c r="NI9" s="16" t="str">
        <f>IF(MT9&gt;0,MT9,"")</f>
        <v/>
      </c>
      <c r="NJ9" s="16" t="str">
        <f>IF(MU9&gt;0,MU9,"")</f>
        <v/>
      </c>
      <c r="NK9" s="16" t="str">
        <f>IF(SUM(MR9:MU9)-MV9&gt;0,SUM(MR9:MU9)-MV9,"")</f>
        <v/>
      </c>
      <c r="NL9" s="16" t="str">
        <f>IF(MY9&gt;0,MY9,"")</f>
        <v/>
      </c>
      <c r="NM9" s="16" t="str">
        <f>IF(MZ9&gt;0,MZ9,"")</f>
        <v/>
      </c>
      <c r="NN9" s="16" t="str">
        <f>IF(SUM(MW9:MZ9)-NA9&gt;0,SUM(MW9:MZ9)-NA9,"")</f>
        <v/>
      </c>
      <c r="NO9" s="16" t="str">
        <f>IF(SUM(NH9,NN9)&gt;0,SUM(NH9,NN9),"")</f>
        <v/>
      </c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76" t="str">
        <f>IF(NR9&gt;0,NR9,"")</f>
        <v/>
      </c>
      <c r="OK9" s="76" t="str">
        <f>IF(NS9&gt;0,NS9,"")</f>
        <v/>
      </c>
      <c r="OL9" s="76" t="str">
        <f>IF(SUM(NP9:NS9)-NT9&gt;0,SUM(NP9:NS9)-NT9,"")</f>
        <v/>
      </c>
      <c r="OM9" s="76" t="str">
        <f>IF(NW9&gt;0,NW9,"")</f>
        <v/>
      </c>
      <c r="ON9" s="76" t="str">
        <f>IF(NX9&gt;0,NX9,"")</f>
        <v/>
      </c>
      <c r="OO9" s="76" t="str">
        <f>IF(SUM(NU9:NX9)-NY9&gt;0,SUM(NU9:NX9)-NY9,"")</f>
        <v/>
      </c>
      <c r="OP9" s="76" t="str">
        <f>IF(MAX(OL9,OO9)&gt;0,MAX(OL9,OO9),"")</f>
        <v/>
      </c>
      <c r="OQ9" s="76" t="str">
        <f>IF(OB9&gt;0,OB9,"")</f>
        <v/>
      </c>
      <c r="OR9" s="76" t="str">
        <f>IF(OC9&gt;0,OC9,"")</f>
        <v/>
      </c>
      <c r="OS9" s="76" t="str">
        <f>IF(SUM(NZ9:OC9)-OD9&gt;0,SUM(NZ9:OC9)-OD9,"")</f>
        <v/>
      </c>
      <c r="OT9" s="76" t="str">
        <f>IF(OG9&gt;0,OG9,"")</f>
        <v/>
      </c>
      <c r="OU9" s="76" t="str">
        <f>IF(OH9&gt;0,OH9,"")</f>
        <v/>
      </c>
      <c r="OV9" s="76" t="str">
        <f>IF(SUM(OE9:OH9)-OI9&gt;0,SUM(OE9:OH9)-OI9,"")</f>
        <v/>
      </c>
      <c r="OW9" s="76" t="str">
        <f>IF(SUM(OP9,OV9)&gt;0,SUM(OP9,OV9),"")</f>
        <v/>
      </c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16" t="str">
        <f>IF(OZ9&gt;0,OZ9,"")</f>
        <v/>
      </c>
      <c r="PS9" s="16" t="str">
        <f>IF(PA9&gt;0,PA9,"")</f>
        <v/>
      </c>
      <c r="PT9" s="16" t="str">
        <f>IF(SUM(OX9:PA9)-PB9&gt;0,SUM(OX9:PA9)-PB9,"")</f>
        <v/>
      </c>
      <c r="PU9" s="16" t="str">
        <f>IF(PE9&gt;0,PE9,"")</f>
        <v/>
      </c>
      <c r="PV9" s="16" t="str">
        <f>IF(PF9&gt;0,PF9,"")</f>
        <v/>
      </c>
      <c r="PW9" s="16" t="str">
        <f>IF(SUM(PC9:PF9)-PG9&gt;0,SUM(PC9:PF9)-PG9,"")</f>
        <v/>
      </c>
      <c r="PX9" s="16" t="str">
        <f>IF(MAX(PT9,PW9)&gt;0,MAX(PT9,PW9),"")</f>
        <v/>
      </c>
      <c r="PY9" s="16" t="str">
        <f>IF(PJ9&gt;0,PJ9,"")</f>
        <v/>
      </c>
      <c r="PZ9" s="16" t="str">
        <f>IF(PK9&gt;0,PK9,"")</f>
        <v/>
      </c>
      <c r="QA9" s="16" t="str">
        <f>IF(SUM(PH9:PK9)-PL9&gt;0,SUM(PH9:PK9)-PL9,"")</f>
        <v/>
      </c>
      <c r="QB9" s="16" t="str">
        <f>IF(PO9&gt;0,PO9,"")</f>
        <v/>
      </c>
      <c r="QC9" s="16" t="str">
        <f>IF(PP9&gt;0,PP9,"")</f>
        <v/>
      </c>
      <c r="QD9" s="16" t="str">
        <f>IF(SUM(PM9:PP9)-PQ9&gt;0,SUM(PM9:PP9)-PQ9,"")</f>
        <v/>
      </c>
      <c r="QE9" s="16" t="str">
        <f>IF(SUM(PX9,QD9)&gt;0,SUM(PX9,QD9),"")</f>
        <v/>
      </c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76" t="str">
        <f>IF(QH9&gt;0,QH9,"")</f>
        <v/>
      </c>
      <c r="RA9" s="76" t="str">
        <f>IF(QI9&gt;0,QI9,"")</f>
        <v/>
      </c>
      <c r="RB9" s="76" t="str">
        <f>IF(SUM(QF9:QI9)-QJ9&gt;0,SUM(QF9:QI9)-QJ9,"")</f>
        <v/>
      </c>
      <c r="RC9" s="76" t="str">
        <f>IF(QM9&gt;0,QM9,"")</f>
        <v/>
      </c>
      <c r="RD9" s="76" t="str">
        <f>IF(QN9&gt;0,QN9,"")</f>
        <v/>
      </c>
      <c r="RE9" s="76" t="str">
        <f>IF(SUM(QK9:QN9)-QO9&gt;0,SUM(QK9:QN9)-QO9,"")</f>
        <v/>
      </c>
      <c r="RF9" s="76" t="str">
        <f>IF(MAX(RB9,RE9)&gt;0,MAX(RB9,RE9),"")</f>
        <v/>
      </c>
      <c r="RG9" s="76" t="str">
        <f>IF(QR9&gt;0,QR9,"")</f>
        <v/>
      </c>
      <c r="RH9" s="76" t="str">
        <f>IF(QS9&gt;0,QS9,"")</f>
        <v/>
      </c>
      <c r="RI9" s="76" t="str">
        <f>IF(SUM(QP9:QS9)-QT9&gt;0,SUM(QP9:QS9)-QT9,"")</f>
        <v/>
      </c>
      <c r="RJ9" s="76" t="str">
        <f>IF(QW9&gt;0,QW9,"")</f>
        <v/>
      </c>
      <c r="RK9" s="76" t="str">
        <f>IF(QX9&gt;0,QX9,"")</f>
        <v/>
      </c>
      <c r="RL9" s="76" t="str">
        <f>IF(SUM(QU9:QX9)-QY9&gt;0,SUM(QU9:QX9)-QY9,"")</f>
        <v/>
      </c>
      <c r="RM9" s="76" t="str">
        <f>IF(SUM(RF9,RL9)&gt;0,SUM(RF9,RL9),"")</f>
        <v/>
      </c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16" t="str">
        <f>IF(RP9&gt;0,RP9,"")</f>
        <v/>
      </c>
      <c r="SI9" s="16" t="str">
        <f>IF(RQ9&gt;0,RQ9,"")</f>
        <v/>
      </c>
      <c r="SJ9" s="16" t="str">
        <f>IF(SUM(RN9:RQ9)-RR9&gt;0,SUM(RN9:RQ9)-RR9,"")</f>
        <v/>
      </c>
      <c r="SK9" s="16" t="str">
        <f>IF(RU9&gt;0,RU9,"")</f>
        <v/>
      </c>
      <c r="SL9" s="16" t="str">
        <f>IF(RV9&gt;0,RV9,"")</f>
        <v/>
      </c>
      <c r="SM9" s="16" t="str">
        <f>IF(SUM(RS9:RV9)-RW9&gt;0,SUM(RS9:RV9)-RW9,"")</f>
        <v/>
      </c>
      <c r="SN9" s="16" t="str">
        <f>IF(MAX(SJ9,SM9)&gt;0,MAX(SJ9,SM9),"")</f>
        <v/>
      </c>
      <c r="SO9" s="16" t="str">
        <f>IF(RZ9&gt;0,RZ9,"")</f>
        <v/>
      </c>
      <c r="SP9" s="16" t="str">
        <f>IF(SA9&gt;0,SA9,"")</f>
        <v/>
      </c>
      <c r="SQ9" s="16" t="str">
        <f>IF(SUM(RX9:SA9)-SB9&gt;0,SUM(RX9:SA9)-SB9,"")</f>
        <v/>
      </c>
      <c r="SR9" s="16" t="str">
        <f>IF(SE9&gt;0,SE9,"")</f>
        <v/>
      </c>
      <c r="SS9" s="16" t="str">
        <f>IF(SF9&gt;0,SF9,"")</f>
        <v/>
      </c>
      <c r="ST9" s="16" t="str">
        <f>IF(SUM(SC9:SF9)-SG9&gt;0,SUM(SC9:SF9)-SG9,"")</f>
        <v/>
      </c>
      <c r="SU9" s="16" t="str">
        <f>IF(SUM(SN9,ST9)&gt;0,SUM(SN9,ST9),"")</f>
        <v/>
      </c>
      <c r="SV9" s="42">
        <f>IF($CP9="P",CA9,(CA9+AZ9)/2)</f>
        <v>12.7</v>
      </c>
      <c r="SW9" s="42">
        <f>IF($CP9="P",CB9,(CB9+BA9)/2)</f>
        <v>8.9499999999999993</v>
      </c>
      <c r="SX9" s="42">
        <f>IF($CP9="P",CC9,(CC9+BB9)/2)</f>
        <v>12.600000000000001</v>
      </c>
      <c r="SY9" s="42">
        <f>IF($CP9="P",CD9,(CD9+BC9)/2)</f>
        <v>14.46</v>
      </c>
      <c r="SZ9" s="42">
        <f>IF($CP9="P",CE9,(CE9+BD9)/2)</f>
        <v>0</v>
      </c>
      <c r="TA9" s="42">
        <f>IF($CP9="P",CF9,(CF9+BE9)/2)</f>
        <v>9.35</v>
      </c>
      <c r="TB9" s="42">
        <f>IF($CP9="P",CG9,(CG9+BF9)/2)</f>
        <v>6.8</v>
      </c>
      <c r="TC9" s="42">
        <f>IF($CP9="P",CH9,(CH9+BG9)/2)</f>
        <v>10.25</v>
      </c>
      <c r="TD9" s="42">
        <f>IF($CP9="P",CI9,(CI9+BH9)/2)</f>
        <v>10.967499999999999</v>
      </c>
      <c r="TE9" s="42">
        <f>IF($CP9="P",CJ9,(CJ9+BI9)/2)</f>
        <v>0</v>
      </c>
      <c r="TF9" s="42">
        <f>IF($CP9="P",CK9,(CK9+BJ9)/2)</f>
        <v>9.5</v>
      </c>
      <c r="TG9" s="42">
        <f>IF($CP9="P",CL9,(CL9+BK9)/2)</f>
        <v>6.8000000000000007</v>
      </c>
      <c r="TH9" s="42">
        <f>IF($CP9="P",CM9,(CM9+BL9)/2)</f>
        <v>9.8999999999999986</v>
      </c>
      <c r="TI9" s="42">
        <f>IF($CP9="P",CN9,(CN9+BM9)/2)</f>
        <v>11.14</v>
      </c>
      <c r="TJ9" s="42">
        <f>IF($CP9="P",CO9,(CO9+BN9)/2)</f>
        <v>0</v>
      </c>
      <c r="TK9" s="51" t="s">
        <v>61</v>
      </c>
      <c r="TL9" s="76">
        <f>IF(SX9&gt;0,SX9,"")</f>
        <v>12.600000000000001</v>
      </c>
      <c r="TM9" s="76">
        <f>IF(SY9&gt;0,SY9,"")</f>
        <v>14.46</v>
      </c>
      <c r="TN9" s="76">
        <f>IF(SUM(SV9:SY9)-SZ9&gt;0,SUM(SV9:SY9)-SZ9,"")</f>
        <v>48.71</v>
      </c>
      <c r="TO9" s="76">
        <f>IF(TC9&gt;0,TC9,"")</f>
        <v>10.25</v>
      </c>
      <c r="TP9" s="76">
        <f>IF(TD9&gt;0,TD9,"")</f>
        <v>10.967499999999999</v>
      </c>
      <c r="TQ9" s="76">
        <f>IF(SUM(TA9:TD9)-TE9&gt;0,SUM(TA9:TD9)-TE9,"")</f>
        <v>37.3675</v>
      </c>
      <c r="TR9" s="76">
        <f>IF(MAX(TN9,TQ9)&gt;0,MAX(TN9,TQ9),"")</f>
        <v>48.71</v>
      </c>
      <c r="TS9" s="76">
        <f>IF(TH9&gt;0,TH9,"")</f>
        <v>9.8999999999999986</v>
      </c>
      <c r="TT9" s="76">
        <f>IF(TI9&gt;0,TI9,"")</f>
        <v>11.14</v>
      </c>
      <c r="TU9" s="76">
        <f>IF(SUM(TF9:TI9)-TJ9&gt;0,SUM(TF9:TI9)-TJ9,"")</f>
        <v>37.340000000000003</v>
      </c>
      <c r="TV9" s="76">
        <f>IF(SUM(TR9,TU9)&gt;0,SUM(TR9,TU9),"")</f>
        <v>86.050000000000011</v>
      </c>
    </row>
    <row r="10" spans="1:542" x14ac:dyDescent="0.2">
      <c r="A10" s="5" cm="1">
        <f t="array" ref="A10">IF(AND(F10&lt;&gt;"",G10&lt;&gt;""),SUMPRODUCT((F$4:F$15&lt;&gt;"")*(G$4:G$15&lt;&gt;"")*(E$4:E$15&gt;E10))+1,IF(G10&lt;&gt;"",SUMPRODUCT((H$4:H$15="No DD")*(E$4:E$15&gt;E10))+1+SUMPRODUCT((F$4:F$15&lt;&gt;"")*(G$4:G$15&lt;&gt;"")),""))</f>
        <v>7</v>
      </c>
      <c r="B10" s="6" t="s">
        <v>90</v>
      </c>
      <c r="C10" s="7" t="s">
        <v>6</v>
      </c>
      <c r="D10" s="7">
        <v>2002</v>
      </c>
      <c r="E10" s="14">
        <f>SUM(J10:V10)+SUM(J10:T10)*0.0000001+SUM(J10)*0.0000000000001</f>
        <v>229.50502295050509</v>
      </c>
      <c r="F10" s="3" t="str">
        <f>IF(OR(AND(AO10&gt;=AY$17,AO10&lt;&gt;"",AQ10&gt;=AY$21,AQ10&lt;&gt;"",AN10=""),AND(AR10&gt;=AY$17,AR10&lt;&gt;"",AT10&gt;=AY$21,AT10&lt;&gt;"",AN10=""),AND(AV10&gt;=AY$17,AV10&lt;&gt;"",AX10&gt;=AY$21,AX10&lt;&gt;"",AN10=""),AND(BP10&gt;=BZ$17,BP10&lt;&gt;"",BR10&gt;=BZ$21,BR10&lt;&gt;"",BO10=""),AND(BS10&gt;=BZ$17,BS10&lt;&gt;"",BU10&gt;=BZ$21,BU10&lt;&gt;"",BO10=""),AND(BW10&gt;=BZ$17,BW10&lt;&gt;"",BY10&gt;=BZ$21,BY10&lt;&gt;"",BO10=""),AND(CQ10&gt;=DA$17,CQ10&lt;&gt;"",CS10&gt;=DA$21,CS10&lt;&gt;"",CP10=""),AND(CT10&gt;=DA$17,CT10&lt;&gt;"",CV10&gt;=DA$21,CV10&lt;&gt;"",CP10=""),AND(CX10&gt;=DA$17,CX10&lt;&gt;"",CZ10&gt;=DA$21,CZ10&lt;&gt;"",CP10=""),AND(DX10&gt;=EK$17,DX10&lt;&gt;"",DZ10&gt;=EK$21,DZ10&lt;&gt;""),AND(EA10&gt;=EK$17,EA10&lt;&gt;"",EC10&gt;=EK$21,EC10&lt;&gt;""),AND(EE10&gt;=EK$17,EE10&lt;&gt;"",EG10&gt;=EK$21,EG10&lt;&gt;""),AND(EH10&gt;=EK$17,EH10&lt;&gt;"",EJ10&gt;=EK$21,EJ10&lt;&gt;""),AND(FF10&gt;=FS$17,FF10&lt;&gt;"",FH10&gt;=FS$21,FH10&lt;&gt;""),AND(FI10&gt;=FS$17,FI10&lt;&gt;"",FK10&gt;=FS$21,FK10&lt;&gt;""),AND(FM10&gt;=FS$17,FM10&lt;&gt;"",FO10&gt;=FS$21,FO10&lt;&gt;""),AND(FP10&gt;=FS$17,FP10&lt;&gt;"",FR10&gt;=FS$21,FR10&lt;&gt;""),AND(GN10&gt;=HA$17,GN10&lt;&gt;"",GP10&gt;=HA$21,GP10&lt;&gt;""),AND(GQ10&gt;=HA$17,GQ10&lt;&gt;"",GS10&gt;=HA$21,GS10&lt;&gt;""),AND(GU10&gt;=HA$17,GU10&lt;&gt;"",GW10&gt;=HA$21,GW10&lt;&gt;""),AND(GX10&gt;=HA$17,GX10&lt;&gt;"",GZ10&gt;=HA$21,GZ10&lt;&gt;""),AND(HV10&gt;=II$17,HV10&lt;&gt;"",HX10&gt;=II$21,HX10&lt;&gt;""),AND(HY10&gt;=II$17,HY10&lt;&gt;"",IA10&gt;=II$21,IA10&lt;&gt;""),AND(IC10&gt;=II$17,IC10&lt;&gt;"",IE10&gt;=II$21,IE10&lt;&gt;""),AND(IF10&gt;=II$17,IF10&lt;&gt;"",IH10&gt;=II$21,IH10&lt;&gt;""),AND(JD10&gt;=JQ$17,JD10&lt;&gt;"",JF10&gt;=JQ$21,JF10&lt;&gt;""),AND(JG10&gt;=JQ$17,JG10&lt;&gt;"",JI10&gt;=JQ$21,JI10&lt;&gt;""),AND(JK10&gt;=JQ$17,JK10&lt;&gt;"",JM10&gt;=JQ$21,JM10&lt;&gt;""),AND(JN10&gt;=JQ$17,JN10&lt;&gt;"",JP10&gt;=JQ$21,JP10&lt;&gt;""),AND(KL10&gt;=KY$17,KL10&lt;&gt;"",KN10&gt;=KY$21,KN10&lt;&gt;""),AND(KO10&gt;=KY$17,KO10&lt;&gt;"",KQ10&gt;=KY$21,KQ10&lt;&gt;""),AND(KS10&gt;=KY$17,KS10&lt;&gt;"",KU10&gt;=KY$21,KU10&lt;&gt;""),AND(KV10&gt;=KY$17,KV10&lt;&gt;"",KX10&gt;=KY$21,KX10&lt;&gt;""),AND(LT10&gt;=MG$17,LT10&lt;&gt;"",LV10&gt;=MG$21,LV10&lt;&gt;""),AND(LW10&gt;=MG$17,LW10&lt;&gt;"",LY10&gt;=MG$21,LY10&lt;&gt;""),AND(MA10&gt;=MG$17,MA10&lt;&gt;"",MC10&gt;=MG$21,MC10&lt;&gt;""),AND(MD10&gt;=MG$17,MD10&lt;&gt;"",MF10&gt;=MG$21,MF10&lt;&gt;""),AND(NB10&gt;=NO$17,NB10&lt;&gt;"",ND10&gt;=NO$21,ND10&lt;&gt;""),AND(NE10&gt;=NO$17,NE10&lt;&gt;"",NG10&gt;=NO$21,NG10&lt;&gt;""),AND(NI10&gt;=NO$17,NI10&lt;&gt;"",NK10&gt;=NO$21,NK10&lt;&gt;""),AND(NL10&gt;=NO$17,NL10&lt;&gt;"",NN10&gt;=NO$21,NN10&lt;&gt;""),AND(OJ10&gt;=OW$17,OJ10&lt;&gt;"",OL10&gt;=OW$21,OL10&lt;&gt;""),AND(OM10&gt;=OW$17,OM10&lt;&gt;"",OO10&gt;=OW$21,OO10&lt;&gt;""),AND(OQ10&gt;=OW$17,OQ10&lt;&gt;"",OS10&gt;=OW$21,OS10&lt;&gt;""),AND(OT10&gt;=OW$17,OT10&lt;&gt;"",OV10&gt;=OW$21,OV10&lt;&gt;""),AND(PR10&gt;=QE$17,PR10&lt;&gt;"",PT10&gt;=QE$21,PT10&lt;&gt;""),AND(PU10&gt;=QE$17,PU10&lt;&gt;"",PW10&gt;=QE$21,PW10&lt;&gt;""),AND(PY10&gt;=QE$17,PY10&lt;&gt;"",QA10&gt;=QE$21,QA10&lt;&gt;""),AND(QB10&gt;=QE$17,QB10&lt;&gt;"",QD10&gt;=QE$21,QD10&lt;&gt;""),AND(QZ10&gt;=RM$17,QZ10&lt;&gt;"",RB10&gt;=RM$21,RB10&lt;&gt;""),AND(RC10&gt;=RM$17,RC10&lt;&gt;"",RE10&gt;=RM$21,RE10&lt;&gt;""),AND(RG10&gt;=RM$17,RG10&lt;&gt;"",RI10&gt;=RM$21,RI10&lt;&gt;""),AND(RJ10&gt;=RM$17,RJ10&lt;&gt;"",RL10&gt;=RM$21,RL10&lt;&gt;""),AND(SH10&gt;=SU$17,SH10&lt;&gt;"",SJ10&gt;=SU$21,SJ10&lt;&gt;""),AND(SK10&gt;=SU$17,SK10&lt;&gt;"",SM10&gt;=SU$21,SM10&lt;&gt;""),AND(SO10&gt;=SU$17,SO10&lt;&gt;"",SQ10&gt;=SU$21,SQ10&lt;&gt;""),AND(SR10&gt;=SU$17,SR10&lt;&gt;"",ST10&gt;=SU$21,ST10&lt;&gt;"")),"P","")</f>
        <v>P</v>
      </c>
      <c r="G10" s="3" t="str">
        <f>IF(OR(AND(AQ10&gt;=AY$21,AQ10&lt;&gt;"",AN10=""),AND(AT10&gt;=AY$21,AT10&lt;&gt;"",AN10=""),AND(AX10&gt;=AY$21,AX10&lt;&gt;"",AN10=""),AND(BR10&gt;=BZ$21,BR10&lt;&gt;"",BO10=""),AND(BU10&gt;=BZ$21,BU10&lt;&gt;"",BO10=""),AND(BY10&gt;=BZ$21,BY10&lt;&gt;"",BO10=""),AND(CS10&gt;=DA$21,CS10&lt;&gt;"",CP10=""),AND(CV10&gt;=DA$21,CV10&lt;&gt;"",CP10=""),AND(CZ10&gt;=DA$21,CZ10&lt;&gt;"",CP10=""),AND(DZ10&gt;=EK$21,DZ10&lt;&gt;""),AND(EC10&gt;=EK$21,EC10&lt;&gt;""),AND(EG10&gt;=EK$21,EG10&lt;&gt;""),AND(EJ10&gt;=EK$21,EJ10&lt;&gt;""),AND(FH10&gt;=FS$21,FH10&lt;&gt;""),AND(FK10&gt;=FS$21,FK10&lt;&gt;""),AND(FO10&gt;=FS$21,FO10&lt;&gt;""),AND(FR10&gt;=FS$21,FR10&lt;&gt;""),AND(GP10&gt;=HA$21,GP10&lt;&gt;""),AND(GS10&gt;=HA$21,GS10&lt;&gt;""),AND(GW10&gt;=HA$21,GW10&lt;&gt;""),AND(GZ10&gt;=HA$21,GZ10&lt;&gt;""),AND(HX10&gt;=II$21,HX10&lt;&gt;""),AND(IA10&gt;=II$21,IA10&lt;&gt;""),AND(IE10&gt;=II$21,IE10&lt;&gt;""),AND(IH10&gt;=II$21,IH10&lt;&gt;""),AND(JF10&gt;=JQ$21,JF10&lt;&gt;""),AND(JI10&gt;=JQ$21,JI10&lt;&gt;""),AND(JM10&gt;=JQ$21,JM10&lt;&gt;""),AND(JP10&gt;=JQ$21,JP10&lt;&gt;""),AND(KN10&gt;=KY$21,KN10&lt;&gt;""),AND(KQ10&gt;=KY$21,KQ10&lt;&gt;""),AND(KU10&gt;=KY$21,KU10&lt;&gt;""),AND(KX10&gt;=KY$21,KX10&lt;&gt;""),AND(LV10&gt;=MG$21,LV10&lt;&gt;""),AND(LY10&gt;=MG$21,LY10&lt;&gt;""),AND(MC10&gt;=MG$21,MC10&lt;&gt;""),AND(MF10&gt;=MG$21,MF10&lt;&gt;""),AND(ND10&gt;=NO$21,ND10&lt;&gt;""),AND(NG10&gt;=NO$21,NG10&lt;&gt;""),AND(NK10&gt;=NO$21,NK10&lt;&gt;""),AND(NN10&gt;=NO$21,NN10&lt;&gt;""),AND(OL10&gt;=OW$21,OL10&lt;&gt;""),AND(OO10&gt;=OW$21,OO10&lt;&gt;""),AND(OS10&gt;=OW$21,OS10&lt;&gt;""),AND(OV10&gt;=OW$21,OV10&lt;&gt;""),AND(PT10&gt;=QE$21,PT10&lt;&gt;""),AND(PW10&gt;=QE$21,PW10&lt;&gt;""),AND(QA10&gt;=QE$21,QA10&lt;&gt;""),AND(QD10&gt;=QE$21,QD10&lt;&gt;""),AND(RB10&gt;=RM$21,RB10&lt;&gt;""),AND(RE10&gt;=RM$21,RE10&lt;&gt;""),AND(RI10&gt;=RM$21,RI10&lt;&gt;""),AND(RL10&gt;=RM$21,RL10&lt;&gt;""),AND(SJ10&gt;=SU$21,SJ10&lt;&gt;""),AND(SM10&gt;=SU$21,SM10&lt;&gt;""),AND(SQ10&gt;=SU$21,SQ10&lt;&gt;""),AND(ST10&gt;=SU$21,ST10&lt;&gt;"")),"P","")</f>
        <v>P</v>
      </c>
      <c r="H10" s="70" t="str">
        <f>IF(AND(G10="P",F10=""),"No DD",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),"Merit",IF(OR(AND(AO10&gt;=AY$19,AO10&lt;&gt;"",AQ10&gt;=AY$23,AQ10&lt;&gt;"",AN10=""),AND(AR10&gt;=AY$19,AR10&lt;&gt;"",AT10&gt;=AY$23,AT10&lt;&gt;"",AN10=""),AND(AV10&gt;=AY$19,AV10&lt;&gt;"",AX10&gt;=AY$23,AX10&lt;&gt;"",AN10=""),AND(BP10&gt;=BZ$19,BP10&lt;&gt;"",BR10&gt;=BZ$23,BR10&lt;&gt;"",BO10=""),AND(BS10&gt;=BZ$19,BS10&lt;&gt;"",BU10&gt;=BZ$23,BU10&lt;&gt;"",BO10=""),AND(BW10&gt;=BZ$19,BW10&lt;&gt;"",BY10&gt;=BZ$23,BY10&lt;&gt;"",BO10=""),AND(CQ10&gt;=DA$19,CQ10&lt;&gt;"",CS10&gt;=DA$23,CS10&lt;&gt;"",CP10=""),AND(CT10&gt;=DA$19,CT10&lt;&gt;"",CV10&gt;=DA$23,CV10&lt;&gt;"",CP10=""),AND(CX10&gt;=DA$19,CX10&lt;&gt;"",CZ10&gt;=DA$23,CZ10&lt;&gt;"",CP10=""),AND(DX10&gt;=EK$19,DX10&lt;&gt;"",DZ10&gt;=EK$23,DZ10&lt;&gt;""),AND(EA10&gt;=EK$19,EA10&lt;&gt;"",EC10&gt;=EK$23,EC10&lt;&gt;""),AND(EE10&gt;=EK$19,EE10&lt;&gt;"",EG10&gt;=EK$23,EG10&lt;&gt;""),AND(EH10&gt;=EK$19,EH10&lt;&gt;"",EJ10&gt;=EK$23,EJ10&lt;&gt;""),AND(FF10&gt;=FS$19,FF10&lt;&gt;"",FH10&gt;=FS$23,FH10&lt;&gt;""),AND(FI10&gt;=FS$19,FI10&lt;&gt;"",FK10&gt;=FS$23,FK10&lt;&gt;""),AND(FM10&gt;=FS$19,FM10&lt;&gt;"",FO10&gt;=FS$23,FO10&lt;&gt;""),AND(FP10&gt;=FS$19,FP10&lt;&gt;"",FR10&gt;=FS$23,FR10&lt;&gt;""),AND(GN10&gt;=HA$19,GN10&lt;&gt;"",GP10&gt;=HA$23,GP10&lt;&gt;""),AND(GQ10&gt;=HA$19,GQ10&lt;&gt;"",GS10&gt;=HA$23,GS10&lt;&gt;""),AND(GU10&gt;=HA$19,GU10&lt;&gt;"",GW10&gt;=HA$23,GW10&lt;&gt;""),AND(GX10&gt;=HA$19,GX10&lt;&gt;"",GZ10&gt;=HA$23,GZ10&lt;&gt;""),AND(HV10&gt;=II$19,HV10&lt;&gt;"",HX10&gt;=II$23,HX10&lt;&gt;""),AND(HY10&gt;=II$19,HY10&lt;&gt;"",IA10&gt;=II$23,IA10&lt;&gt;""),AND(IC10&gt;=II$19,IC10&lt;&gt;"",IE10&gt;=II$23,IE10&lt;&gt;""),AND(IF10&gt;=II$19,IF10&lt;&gt;"",IH10&gt;=II$23,IH10&lt;&gt;""),AND(JD10&gt;=JQ$19,JD10&lt;&gt;"",JF10&gt;=JQ$23,JF10&lt;&gt;""),AND(JG10&gt;=JQ$19,JG10&lt;&gt;"",JI10&gt;=JQ$23,JI10&lt;&gt;""),AND(JK10&gt;=JQ$19,JK10&lt;&gt;"",JM10&gt;=JQ$23,JM10&lt;&gt;""),AND(JN10&gt;=JQ$19,JN10&lt;&gt;"",JP10&gt;=JQ$23,JP10&lt;&gt;""),AND(KL10&gt;=KY$19,KL10&lt;&gt;"",KN10&gt;=KY$23,KN10&lt;&gt;""),AND(KO10&gt;=KY$19,KO10&lt;&gt;"",KQ10&gt;=KY$23,KQ10&lt;&gt;""),AND(KS10&gt;=KY$19,KS10&lt;&gt;"",KU10&gt;=KY$23,KU10&lt;&gt;""),AND(KV10&gt;=KY$19,KV10&lt;&gt;"",KX10&gt;=KY$23,KX10&lt;&gt;""),AND(LT10&gt;=MG$19,LT10&lt;&gt;"",LV10&gt;=MG$23,LV10&lt;&gt;""),AND(LW10&gt;=MG$19,LW10&lt;&gt;"",LY10&gt;=MG$23,LY10&lt;&gt;""),AND(MA10&gt;=MG$19,MA10&lt;&gt;"",MC10&gt;=MG$23,MC10&lt;&gt;""),AND(MD10&gt;=MG$19,MD10&lt;&gt;"",MF10&gt;=MG$23,MF10&lt;&gt;""),AND(NB10&gt;=NO$19,NB10&lt;&gt;"",ND10&gt;=NO$23,ND10&lt;&gt;""),AND(NE10&gt;=NO$19,NE10&lt;&gt;"",NG10&gt;=NO$23,NG10&lt;&gt;""),AND(NI10&gt;=NO$19,NI10&lt;&gt;"",NK10&gt;=NO$23,NK10&lt;&gt;""),AND(NL10&gt;=NO$19,NL10&lt;&gt;"",NN10&gt;=NO$23,NN10&lt;&gt;""),AND(OJ10&gt;=OW$19,OJ10&lt;&gt;"",OL10&gt;=OW$23,OL10&lt;&gt;""),AND(OM10&gt;=OW$19,OM10&lt;&gt;"",OO10&gt;=OW$23,OO10&lt;&gt;""),AND(OQ10&gt;=OW$19,OQ10&lt;&gt;"",OS10&gt;=OW$23,OS10&lt;&gt;""),AND(OT10&gt;=OW$19,OT10&lt;&gt;"",OV10&gt;=OW$23,OV10&lt;&gt;""),AND(PR10&gt;=QE$19,PR10&lt;&gt;"",PT10&gt;=QE$23,PT10&lt;&gt;""),AND(PU10&gt;=QE$19,PU10&lt;&gt;"",PW10&gt;=QE$23,PW10&lt;&gt;""),AND(PY10&gt;=QE$19,PY10&lt;&gt;"",QA10&gt;=QE$23,QA10&lt;&gt;""),AND(QB10&gt;=QE$19,QB10&lt;&gt;"",QD10&gt;=QE$23,QD10&lt;&gt;""),AND(QZ10&gt;=RM$19,QZ10&lt;&gt;"",RB10&gt;=RM$23,RB10&lt;&gt;""),AND(RC10&gt;=RM$19,RC10&lt;&gt;"",RE10&gt;=RM$23,RE10&lt;&gt;""),AND(RG10&gt;=RM$19,RG10&lt;&gt;"",RI10&gt;=RM$23,RI10&lt;&gt;""),AND(RJ10&gt;=RM$19,RJ10&lt;&gt;"",RL10&gt;=RM$23,RL10&lt;&gt;""),AND(SH10&gt;=SU$19,SH10&lt;&gt;"",SJ10&gt;=SU$23,SJ10&lt;&gt;""),AND(SK10&gt;=SU$19,SK10&lt;&gt;"",SM10&gt;=SU$23,SM10&lt;&gt;""),AND(SO10&gt;=SU$19,SO10&lt;&gt;"",SQ10&gt;=SU$23,SQ10&lt;&gt;""),AND(SR10&gt;=SU$19,SR10&lt;&gt;"",ST10&gt;=SU$23,ST10&lt;&gt;"")),"Excellence",IF(I10="P","Worlds Team",IF(F10="P","National Team","")))))</f>
        <v>National Team</v>
      </c>
      <c r="I10" s="3" t="str">
        <f>IF(OR(AND(AO10&gt;=AY$18,AO10&lt;&gt;"",AQ10&gt;=AY$22,AQ10&lt;&gt;"",AN10=""),AND(AR10&gt;=AY$18,AR10&lt;&gt;"",AT10&gt;=AY$22,AT10&lt;&gt;"",AN10=""),AND(AV10&gt;=AY$18,AV10&lt;&gt;"",AX10&gt;=AY$22,AX10&lt;&gt;"",AN10=""),AND(BP10&gt;=BZ$18,BP10&lt;&gt;"",BR10&gt;=BZ$22,BR10&lt;&gt;"",BO10=""),AND(BS10&gt;=BZ$18,BS10&lt;&gt;"",BU10&gt;=BZ$22,BU10&lt;&gt;"",BO10=""),AND(BW10&gt;=BZ$18,BW10&lt;&gt;"",BY10&gt;=BZ$22,BY10&lt;&gt;"",BO10=""),AND(CQ10&gt;=DA$18,CQ10&lt;&gt;"",CS10&gt;=DA$22,CS10&lt;&gt;"",CP10=""),AND(CT10&gt;=DA$18,CT10&lt;&gt;"",CV10&gt;=DA$22,CV10&lt;&gt;"",CP10=""),AND(CX10&gt;=DA$18,CX10&lt;&gt;"",CZ10&gt;=DA$22,CZ10&lt;&gt;"",CP10=""),AND(DX10&gt;=EK$18,DX10&lt;&gt;"",DZ10&gt;=EK$22,DZ10&lt;&gt;""),AND(EA10&gt;=EK$18,EA10&lt;&gt;"",EC10&gt;=EK$22,EC10&lt;&gt;""),AND(EE10&gt;=EK$18,EE10&lt;&gt;"",EG10&gt;=EK$22,EG10&lt;&gt;""),AND(EH10&gt;=EK$18,EH10&lt;&gt;"",EJ10&gt;=EK$22,EJ10&lt;&gt;""),AND(FF10&gt;=FS$18,FF10&lt;&gt;"",FH10&gt;=FS$22,FH10&lt;&gt;""),AND(FI10&gt;=FS$18,FI10&lt;&gt;"",FK10&gt;=FS$22,FK10&lt;&gt;""),AND(FM10&gt;=FS$18,FM10&lt;&gt;"",FO10&gt;=FS$22,FO10&lt;&gt;""),AND(FP10&gt;=FS$18,FP10&lt;&gt;"",FR10&gt;=FS$22,FR10&lt;&gt;""),AND(GN10&gt;=HA$18,GN10&lt;&gt;"",GP10&gt;=HA$22,GP10&lt;&gt;""),AND(GQ10&gt;=HA$18,GQ10&lt;&gt;"",GS10&gt;=HA$22,GS10&lt;&gt;""),AND(GU10&gt;=HA$18,GU10&lt;&gt;"",GW10&gt;=HA$22,GW10&lt;&gt;""),AND(GX10&gt;=HA$18,GX10&lt;&gt;"",GZ10&gt;=HA$22,GZ10&lt;&gt;""),AND(HV10&gt;=II$18,HV10&lt;&gt;"",HX10&gt;=II$22,HX10&lt;&gt;""),AND(HY10&gt;=II$18,HY10&lt;&gt;"",IA10&gt;=II$22,IA10&lt;&gt;""),AND(IC10&gt;=II$18,IC10&lt;&gt;"",IE10&gt;=II$22,IE10&lt;&gt;""),AND(IF10&gt;=II$18,IF10&lt;&gt;"",IH10&gt;=II$22,IH10&lt;&gt;""),AND(JD10&gt;=JQ$18,JD10&lt;&gt;"",JF10&gt;=JQ$22,JF10&lt;&gt;""),AND(JG10&gt;=JQ$18,JG10&lt;&gt;"",JI10&gt;=JQ$22,JI10&lt;&gt;""),AND(JK10&gt;=JQ$18,JK10&lt;&gt;"",JM10&gt;=JQ$22,JM10&lt;&gt;""),AND(JN10&gt;=JQ$18,JN10&lt;&gt;"",JP10&gt;=JQ$22,JP10&lt;&gt;""),AND(KL10&gt;=KY$18,KL10&lt;&gt;"",KN10&gt;=KY$22,KN10&lt;&gt;""),AND(KO10&gt;=KY$18,KO10&lt;&gt;"",KQ10&gt;=KY$22,KQ10&lt;&gt;""),AND(KS10&gt;=KY$18,KS10&lt;&gt;"",KU10&gt;=KY$22,KU10&lt;&gt;""),AND(KV10&gt;=KY$18,KV10&lt;&gt;"",KX10&gt;=KY$22,KX10&lt;&gt;""),AND(LT10&gt;=MG$18,LT10&lt;&gt;"",LV10&gt;=MG$22,LV10&lt;&gt;""),AND(LW10&gt;=MG$18,LW10&lt;&gt;"",LY10&gt;=MG$22,LY10&lt;&gt;""),AND(MA10&gt;=MG$18,MA10&lt;&gt;"",MC10&gt;=MG$22,MC10&lt;&gt;""),AND(MD10&gt;=MG$18,MD10&lt;&gt;"",MF10&gt;=MG$22,MF10&lt;&gt;""),AND(NB10&gt;=NO$18,NB10&lt;&gt;"",ND10&gt;=NO$22,ND10&lt;&gt;""),AND(NE10&gt;=NO$18,NE10&lt;&gt;"",NG10&gt;=NO$22,NG10&lt;&gt;""),AND(NI10&gt;=NO$18,NI10&lt;&gt;"",NK10&gt;=NO$22,NK10&lt;&gt;""),AND(NL10&gt;=NO$18,NL10&lt;&gt;"",NN10&gt;=NO$22,NN10&lt;&gt;""),AND(OJ10&gt;=OW$18,OJ10&lt;&gt;"",OL10&gt;=OW$22,OL10&lt;&gt;""),AND(OM10&gt;=OW$18,OM10&lt;&gt;"",OO10&gt;=OW$22,OO10&lt;&gt;""),AND(OQ10&gt;=OW$18,OQ10&lt;&gt;"",OS10&gt;=OW$22,OS10&lt;&gt;""),AND(OT10&gt;=OW$18,OT10&lt;&gt;"",OV10&gt;=OW$22,OV10&lt;&gt;""),AND(PR10&gt;=QE$18,PR10&lt;&gt;"",PT10&gt;=QE$22,PT10&lt;&gt;""),AND(PU10&gt;=QE$18,PU10&lt;&gt;"",PW10&gt;=QE$22,PW10&lt;&gt;""),AND(PY10&gt;=QE$18,PY10&lt;&gt;"",QA10&gt;=QE$22,QA10&lt;&gt;""),AND(QB10&gt;=QE$18,QB10&lt;&gt;"",QD10&gt;=QE$22,QD10&lt;&gt;""),AND(QZ10&gt;=RM$18,QZ10&lt;&gt;"",RB10&gt;=RM$22,RB10&lt;&gt;""),AND(RC10&gt;=RM$18,RC10&lt;&gt;"",RE10&gt;=RM$22,RE10&lt;&gt;""),AND(RG10&gt;=RM$18,RG10&lt;&gt;"",RI10&gt;=RM$22,RI10&lt;&gt;""),AND(RJ10&gt;=RM$18,RJ10&lt;&gt;"",RL10&gt;=RM$22,RL10&lt;&gt;""),AND(SH10&gt;=SU$18,SH10&lt;&gt;"",SJ10&gt;=SU$22,SJ10&lt;&gt;""),AND(SK10&gt;=SU$18,SK10&lt;&gt;"",SM10&gt;=SU$22,SM10&lt;&gt;""),AND(SO10&gt;=SU$18,SO10&lt;&gt;"",SQ10&gt;=SU$22,SQ10&lt;&gt;""),AND(SR10&gt;=SU$18,SR10&lt;&gt;"",ST10&gt;=SU$22,ST10&lt;&gt;"")),"P","")</f>
        <v/>
      </c>
      <c r="J10" s="13">
        <f>IF(COUNT(AQ10,AT10,BR10,BU10,CS10,CV10)&gt;0,LARGE((AQ10,AT10,BR10,BU10,CS10,CV10),1),0)</f>
        <v>50.795000000000002</v>
      </c>
      <c r="K10" s="13" t="str">
        <f>IF(J10="","",IF(OR(J10=CS10,J10=CV10),$CA$1,IF(OR(J10=BR10,J10=BU10),$AZ$1,IF(OR(J10=AQ10,J10=AT10),$Y$1,""))))</f>
        <v>2021 Elite Canada</v>
      </c>
      <c r="L10" s="13">
        <f>IF(COUNT(AQ10,AT10,BR10,BU10,CS10,CV10)&gt;1,LARGE((AQ10,AT10,BR10,BU10,CS10,CV10),2),0)</f>
        <v>50.564999999999998</v>
      </c>
      <c r="M10" s="13" t="str">
        <f>IF(L10="","",IF(OR(L10=CS10,L10=CV10),$CA$1,IF(OR(L10=BR10,L10=BU10),$AZ$1,IF(OR(L10=AQ10,L10=AT10),$Y$1,""))))</f>
        <v>2021 Elite Canada</v>
      </c>
      <c r="N10" s="13">
        <f>IF(COUNT(AQ10,AT10,BR10,BU10,CS10,CV10)&gt;2,LARGE((AQ10,AT10,BR10,BU10,CS10,CV10),3),0)</f>
        <v>49.774999999999999</v>
      </c>
      <c r="O10" s="13" t="str">
        <f>IF(N10="","",IF(OR(N10=CS10,N10=CV10),$CA$1,IF(OR(N10=BR10,N10=BU10),$AZ$1,IF(OR(N10=AQ10,N10=AT10),$Y$1,""))))</f>
        <v>2022 Elite Canada</v>
      </c>
      <c r="P10" s="13">
        <f>IF(MAX(AX10,BY10,CZ10)&gt;0,MAX(AX10,BY10,CZ10),0)</f>
        <v>51.075000000000003</v>
      </c>
      <c r="Q10" s="13" t="str">
        <f>IF(P10="","",IF(P10=CZ10,$CA$1,IF(P10=BY10,$AZ$1,IF(P10=AX10,$Y$1,""))))</f>
        <v>2022 Elite Canada</v>
      </c>
      <c r="R10" s="13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12.9</v>
      </c>
      <c r="S10" s="13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2022 Elite Canada</v>
      </c>
      <c r="T10" s="13">
        <f>IF(MAX(IF(AO10&gt;=$AY$17,AP10,0),IF(AR10&gt;=$AY$17,AS10,0),IF(AV10&gt;=$AY$17,AW10,0),IF(BP10&gt;=$BZ$17,BQ10,0),IF(BS10&gt;=$BZ$17,BT10,0),IF(BW10&gt;=$BZ$17,BX10,0),IF(CQ10&gt;=$DA$17,CR10,0),IF(CT10&gt;=$DA$17,CU10,0),IF(CX10&gt;=$DA$17,CY10,0))&gt;0,MAX(IF(AO10&gt;=$AY$17,AP10,0),IF(AR10&gt;=$AY$17,AS10,0),IF(AV10&gt;=$AY$17,AW10,0),IF(BP10&gt;=$BZ$17,BQ10,0),IF(BS10&gt;=$BZ$17,BT10,0),IF(BW10&gt;=$BZ$17,BX10,0),IF(CQ10&gt;=$DA$17,CR10,0),IF(CT10&gt;=$DA$17,CU10,0),IF(CX10&gt;=$DA$17,CY10,0),IF(DX10&gt;=$EK$17,DY10,0),IF(EA10&gt;=$EK$17,EB10,0),IF(EE10&gt;=$EK$17,EF10,0),IF(EH10&gt;=$EK$17,EI10,0),IF(FF10&gt;=$FS$17,FG10,0),IF(FI10&gt;=$FS$17,FJ10,0),IF(FM10&gt;=$FS$17,FN10,0),IF(FP10&gt;=$FS$17,FQ10,0),IF(GN10&gt;=$HA$17,GO10,0),IF(GQ10&gt;=$HA$17,GR10,0),IF(GU10&gt;=$HA$17,GV10,0),IF(GX10&gt;=$HA$17,GY10,0),IF(HV10&gt;=$II$17,HW10,0),IF(HY10&gt;=$II$17,HZ10,0),IF(IC10&gt;=$II$17,ID10,0),IF(IF10&gt;=$II$17,IG10,0),IF(JD10&gt;=$JQ$17,JE10,0),IF(JG10&gt;=$JQ$17,JH10,0),IF(JK10&gt;=$JQ$17,JL10,0),IF(JN10&gt;=$JQ$17,JO10,0),IF(KL10&gt;=$KY$17,KM10,0),IF(KO10&gt;=$KY$17,KP10,0),IF(KS10&gt;=$KY$17,KT10,0),IF(KV10&gt;=$KY$17,KW10,0),IF(LT10&gt;=$MG$17,LU10,0),IF(LW10&gt;=$MG$17,LX10,0),IF(MA10&gt;=$MG$17,MB10,0),IF(MD10&gt;=$MG$17,ME10,0),IF(NB10&gt;=$NO$17,NC10,0),IF(NE10&gt;=$NO$17,NF10,0),IF(NI10&gt;=$NO$17,NJ10,0),IF(NL10&gt;=$NO$17,NM10,0),IF(OJ10&gt;=$OW$17,OK10,0),IF(OM10&gt;=$OW$17,ON10,0),IF(OQ10&gt;=$OW$17,OR10,0),IF(OT10&gt;=$OW$17,OU10,0),IF(PR10&gt;=$QE$17,PS10,0),IF(PU10&gt;=$QE$17,PV10,0),IF(PY10&gt;=$QE$17,PZ10,0),IF(QB10&gt;=$QE$17,QC10,0),IF(QZ10&gt;=$RM$17,RA10,0),IF(RC10&gt;=$RM$17,RD10,0),IF(RG10&gt;=$RM$17,RH10,0),IF(RJ10&gt;=$RM$17,RK10,0),IF(SH10&gt;=$SU$17,SI10,0),IF(SK10&gt;=$SU$17,SL10,0),IF(SO10&gt;=$SU$17,SP10,0),IF(SR10&gt;=$SU$17,SS10,0)),0)</f>
        <v>14.395</v>
      </c>
      <c r="U10" s="13" t="str">
        <f>IF(T10=0,"",IF(OR(T10=CR10,T10=CU10,T10=CY10),$CA$1,IF(OR(T10=BQ10,T10=BT10,T10=BX10),$AZ$1,IF(OR(T10=AP10,T10=AS10,T10=AW10),$Y$1,IF(OR(R10=SI10,R10=SL10,R10=SP10,R10=SS10),$RN$1,IF(OR(R10=RA10,R10=RD10,R10=RH10,R10=RK10),$QF$1,IF(OR(R10=PS10,R10=PV10,R10=PZ10,R10=QC10),$OX$1,IF(OR(R10=OK10,R10=ON10,R10=OR10,R10=OU10),$NP$1,IF(OR(R10=NC10,R10=NF10,R10=NJ10,R10=NM10),$MH$1,IF(OR(R10=LU10,R10=LX10,R10=MB10,R10=ME10),$KZ$1,IF(OR(R10=KM10,R10=KP10,R10=KT10,R10=KW10),$JR$1,IF(OR(R10=JE10,R10=JH10,R10=JL10,R10=JO10),$IJ$1,IF(OR(R10=HW10,R10=HZ10,R10=ID10,R10=IG10),$HB$1,IF(OR(R10=GO10,R10=GR10,R10=GV10,R10=GY10),$FT$1,IF(OR(R10=FG10,R10=FJ10,R10=FN10,R10=FQ10),$EL$1,IF(OR(R10=DY10,R10=EB10,R10=EF10,R10=EI10),$DD$1,""))))))))))))))))</f>
        <v>2021 Elite Canada</v>
      </c>
      <c r="V10" s="13" t="str">
        <f>IF(MAX(DB10,DC10)&gt;0,MAX(DB10,DC10),"")</f>
        <v/>
      </c>
      <c r="W10" s="16" t="str">
        <f>IF(V10="","",IF(V10=DB10,"("&amp;DB$2&amp;")",IF(V10=DC10,"("&amp;DC$2&amp;")")))</f>
        <v/>
      </c>
      <c r="X10" s="13" t="str">
        <f>IF(V10="","",IF(V10=DB10,IF(V10+IF(L10="",0,L10)=SN10,$RN$1,IF(V10+IF(L10="",0,L10)=RF10,$QF$1,IF(V10+IF(L10="",0,L10)=PX10,$OX$1,IF(V10+IF(L10="",0,L10)=OP10,$NP$1,IF(V10+IF(L10="",0,L10)=NH10,$MH$1,IF(V10+IF(L10="",0,L10)=LZ10,$KZ$1,IF(V10+IF(L10="",0,L10)=KR10,$JR$1,IF(V10+IF(L10="",0,L10)=JJ10,$IJ$1,IF(V10+IF(L10="",0,L10)=IB10,$HB$1,IF(V10+IF(L10="",0,L10)=GT10,$FT$1,IF(V10+IF(L10="",0,L10)=FL10,$EL$1,IF(V10+IF(L10="",0,L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$1)))))))))))))))</f>
        <v/>
      </c>
      <c r="Y10" s="42">
        <v>14.7</v>
      </c>
      <c r="Z10" s="42">
        <v>9</v>
      </c>
      <c r="AA10" s="42">
        <v>12.7</v>
      </c>
      <c r="AB10" s="42">
        <v>14.395</v>
      </c>
      <c r="AC10" s="42">
        <v>0</v>
      </c>
      <c r="AD10" s="42">
        <v>14.5</v>
      </c>
      <c r="AE10" s="42">
        <v>9.1</v>
      </c>
      <c r="AF10" s="42">
        <v>12.7</v>
      </c>
      <c r="AG10" s="42">
        <v>14.265000000000001</v>
      </c>
      <c r="AH10" s="42">
        <v>0</v>
      </c>
      <c r="AI10" s="42">
        <v>14.4</v>
      </c>
      <c r="AJ10" s="42">
        <v>8.5</v>
      </c>
      <c r="AK10" s="42">
        <v>11.4</v>
      </c>
      <c r="AL10" s="42">
        <v>13.994999999999999</v>
      </c>
      <c r="AM10" s="42">
        <v>0</v>
      </c>
      <c r="AN10" s="51"/>
      <c r="AO10" s="74">
        <f>IF(AA10&gt;0,AA10,"")</f>
        <v>12.7</v>
      </c>
      <c r="AP10" s="74">
        <f>IF(AB10&gt;0,AB10,"")</f>
        <v>14.395</v>
      </c>
      <c r="AQ10" s="76">
        <f>IF(SUM(Y10:AB10)-AC10&gt;0,SUM(Y10:AB10)-AC10,"")</f>
        <v>50.795000000000002</v>
      </c>
      <c r="AR10" s="76">
        <f>IF(AF10&gt;0,AF10,"")</f>
        <v>12.7</v>
      </c>
      <c r="AS10" s="76">
        <f>IF(AG10&gt;0,AG10,"")</f>
        <v>14.265000000000001</v>
      </c>
      <c r="AT10" s="76">
        <f>IF(SUM(AD10:AG10)-AH10&gt;0,SUM(AD10:AG10)-AH10,"")</f>
        <v>50.564999999999998</v>
      </c>
      <c r="AU10" s="76">
        <f>IF(AQ10="","",MAX(AQ10,AT10))</f>
        <v>50.795000000000002</v>
      </c>
      <c r="AV10" s="76">
        <f>IF(AK10&gt;0,AK10,"")</f>
        <v>11.4</v>
      </c>
      <c r="AW10" s="76">
        <f>IF(AL10&gt;0,AL10,"")</f>
        <v>13.994999999999999</v>
      </c>
      <c r="AX10" s="76">
        <f>IF(SUM(AI10:AL10)-AM10&gt;0,SUM(AI10:AL10)-AM10,"")</f>
        <v>48.294999999999995</v>
      </c>
      <c r="AY10" s="76">
        <f>IF(SUM(AU10,AX10)&gt;0,SUM(AU10,AX10),"")</f>
        <v>99.09</v>
      </c>
      <c r="AZ10" s="46">
        <v>11.8</v>
      </c>
      <c r="BA10" s="46">
        <v>8.3000000000000007</v>
      </c>
      <c r="BB10" s="46">
        <v>11.2</v>
      </c>
      <c r="BC10" s="46">
        <v>12.154999999999999</v>
      </c>
      <c r="BD10" s="46">
        <v>0</v>
      </c>
      <c r="BE10" s="46">
        <v>4.2</v>
      </c>
      <c r="BF10" s="46">
        <v>2.7</v>
      </c>
      <c r="BG10" s="46">
        <v>3.4</v>
      </c>
      <c r="BH10" s="46">
        <v>4.4950000000000001</v>
      </c>
      <c r="BI10" s="46">
        <v>0</v>
      </c>
      <c r="BJ10" s="46">
        <v>12.2</v>
      </c>
      <c r="BK10" s="46">
        <v>8.1999999999999993</v>
      </c>
      <c r="BL10" s="46">
        <v>11.5</v>
      </c>
      <c r="BM10" s="46">
        <v>12.61</v>
      </c>
      <c r="BN10" s="46">
        <v>0</v>
      </c>
      <c r="BO10" s="52"/>
      <c r="BP10" s="75">
        <f>IF(BB10&gt;0,BB10,"")</f>
        <v>11.2</v>
      </c>
      <c r="BQ10" s="75">
        <f>IF(BC10&gt;0,BC10,"")</f>
        <v>12.154999999999999</v>
      </c>
      <c r="BR10" s="16">
        <f>IF(SUM(AZ10:BC10)-BD10&gt;0,SUM(AZ10:BC10)-BD10,"")</f>
        <v>43.454999999999998</v>
      </c>
      <c r="BS10" s="16">
        <f>IF(BG10&gt;0,BG10,"")</f>
        <v>3.4</v>
      </c>
      <c r="BT10" s="16">
        <f>IF(BH10&gt;0,BH10,"")</f>
        <v>4.4950000000000001</v>
      </c>
      <c r="BU10" s="16">
        <f>IF(SUM(BE10:BH10)-BI10&gt;0,SUM(BE10:BH10)-BI10,"")</f>
        <v>14.795000000000002</v>
      </c>
      <c r="BV10" s="16">
        <f>IF(BR10="","",MAX(BR10,BU10))</f>
        <v>43.454999999999998</v>
      </c>
      <c r="BW10" s="16">
        <f>IF(BL10&gt;0,BL10,"")</f>
        <v>11.5</v>
      </c>
      <c r="BX10" s="16">
        <f>IF(BM10&gt;0,BM10,"")</f>
        <v>12.61</v>
      </c>
      <c r="BY10" s="16">
        <f>IF(SUM(BJ10:BM10)-BN10&gt;0,SUM(BJ10:BM10)-BN10,"")</f>
        <v>44.51</v>
      </c>
      <c r="BZ10" s="16">
        <f>IF(SUM(BV10,BY10)&gt;0,SUM(BV10,BY10),"")</f>
        <v>87.965000000000003</v>
      </c>
      <c r="CA10" s="42">
        <v>14.1</v>
      </c>
      <c r="CB10" s="42">
        <v>8.9</v>
      </c>
      <c r="CC10" s="42">
        <v>12.9</v>
      </c>
      <c r="CD10" s="42">
        <v>13.875</v>
      </c>
      <c r="CE10" s="42">
        <v>0</v>
      </c>
      <c r="CF10" s="42">
        <v>4.4000000000000004</v>
      </c>
      <c r="CG10" s="42">
        <v>2.8</v>
      </c>
      <c r="CH10" s="42">
        <v>4.4000000000000004</v>
      </c>
      <c r="CI10" s="42">
        <v>4.3449999999999998</v>
      </c>
      <c r="CJ10" s="42">
        <v>0</v>
      </c>
      <c r="CK10" s="42">
        <v>14.9</v>
      </c>
      <c r="CL10" s="42">
        <v>9.1999999999999993</v>
      </c>
      <c r="CM10" s="42">
        <v>12.9</v>
      </c>
      <c r="CN10" s="42">
        <v>14.074999999999999</v>
      </c>
      <c r="CO10" s="42">
        <v>0</v>
      </c>
      <c r="CP10" s="51"/>
      <c r="CQ10" s="74">
        <f>IF(CC10&gt;0,CC10,"")</f>
        <v>12.9</v>
      </c>
      <c r="CR10" s="74">
        <f>IF(CD10&gt;0,CD10,"")</f>
        <v>13.875</v>
      </c>
      <c r="CS10" s="76">
        <f>IF(SUM(CA10:CD10)-CE10&gt;0,SUM(CA10:CD10)-CE10,"")</f>
        <v>49.774999999999999</v>
      </c>
      <c r="CT10" s="76">
        <f>IF(CH10&gt;0,CH10,"")</f>
        <v>4.4000000000000004</v>
      </c>
      <c r="CU10" s="76">
        <f>IF(CI10&gt;0,CI10,"")</f>
        <v>4.3449999999999998</v>
      </c>
      <c r="CV10" s="76">
        <f>IF(SUM(CF10:CI10)-CJ10&gt;0,SUM(CF10:CI10)-CJ10,"")</f>
        <v>15.945</v>
      </c>
      <c r="CW10" s="76">
        <f>IF(CS10="","",MAX(CS10,CV10))</f>
        <v>49.774999999999999</v>
      </c>
      <c r="CX10" s="76">
        <f>IF(CM10&gt;0,CM10,"")</f>
        <v>12.9</v>
      </c>
      <c r="CY10" s="76">
        <f>IF(CN10&gt;0,CN10,"")</f>
        <v>14.074999999999999</v>
      </c>
      <c r="CZ10" s="76">
        <f>IF(SUM(CK10:CN10)-CO10&gt;0,SUM(CK10:CN10)-CO10,"")</f>
        <v>51.075000000000003</v>
      </c>
      <c r="DA10" s="76">
        <f>IF(SUM(CW10,CZ10)&gt;0,SUM(CW10,CZ10),"")</f>
        <v>100.85</v>
      </c>
      <c r="DB10" s="87" t="str">
        <f>IF(L10&gt;=0.001,IF(MAX(ED10,FL10,GT10,IB10,JJ10,KR10,LZ10,NH10,OP10,PX10,RF10,SN10)-IF(L10="",0,L10)&gt;0.001,MAX(ED10,FL10,GT10,IB10,JJ10,KR10,LZ10,NH10,OP10,PX10,RF10,SN10)-IF(L10="",0,L10),""),"")</f>
        <v/>
      </c>
      <c r="DC10" s="87" t="str">
        <f>IF(P10&gt;=0.001,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,"")</f>
        <v/>
      </c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76" t="str">
        <f>IF(DF10&gt;0,DF10,"")</f>
        <v/>
      </c>
      <c r="DY10" s="76" t="str">
        <f>IF(DG10&gt;0,DG10,"")</f>
        <v/>
      </c>
      <c r="DZ10" s="76" t="str">
        <f>IF(SUM(DD10:DG10)-DH10&gt;0,SUM(DD10:DG10)-DH10,"")</f>
        <v/>
      </c>
      <c r="EA10" s="76" t="str">
        <f>IF(DK10&gt;0,DK10,"")</f>
        <v/>
      </c>
      <c r="EB10" s="76" t="str">
        <f>IF(DL10&gt;0,DL10,"")</f>
        <v/>
      </c>
      <c r="EC10" s="76" t="str">
        <f>IF(SUM(DI10:DL10)-DM10&gt;0,SUM(DI10:DL10)-DM10,"")</f>
        <v/>
      </c>
      <c r="ED10" s="76" t="str">
        <f>IF(MAX(DZ10,EC10)&gt;0,MAX(DZ10,EC10),"")</f>
        <v/>
      </c>
      <c r="EE10" s="76" t="str">
        <f>IF(DP10&gt;0,DP10,"")</f>
        <v/>
      </c>
      <c r="EF10" s="76" t="str">
        <f>IF(DQ10&gt;0,DQ10,"")</f>
        <v/>
      </c>
      <c r="EG10" s="76" t="str">
        <f>IF(SUM(DN10:DQ10)-DR10&gt;0,SUM(DN10:DQ10)-DR10,"")</f>
        <v/>
      </c>
      <c r="EH10" s="76" t="str">
        <f>IF(DU10&gt;0,DU10,"")</f>
        <v/>
      </c>
      <c r="EI10" s="76" t="str">
        <f>IF(DV10&gt;0,DV10,"")</f>
        <v/>
      </c>
      <c r="EJ10" s="76" t="str">
        <f>IF(SUM(DS10:DV10)-DW10&gt;0,SUM(DS10:DV10)-DW10,"")</f>
        <v/>
      </c>
      <c r="EK10" s="76" t="str">
        <f>IF(SUM(ED10,EJ10)&gt;0,SUM(ED10,EJ10),"")</f>
        <v/>
      </c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16" t="str">
        <f>IF(EN10&gt;0,EN10,"")</f>
        <v/>
      </c>
      <c r="FG10" s="16" t="str">
        <f>IF(EO10&gt;0,EO10,"")</f>
        <v/>
      </c>
      <c r="FH10" s="16" t="str">
        <f>IF(SUM(EL10:EO10)-EP10&gt;0,SUM(EL10:EO10)-EP10,"")</f>
        <v/>
      </c>
      <c r="FI10" s="16" t="str">
        <f>IF(ES10&gt;0,ES10,"")</f>
        <v/>
      </c>
      <c r="FJ10" s="16" t="str">
        <f>IF(ET10&gt;0,ET10,"")</f>
        <v/>
      </c>
      <c r="FK10" s="16" t="str">
        <f>IF(SUM(EQ10:ET10)-EU10&gt;0,SUM(EQ10:ET10)-EU10,"")</f>
        <v/>
      </c>
      <c r="FL10" s="16" t="str">
        <f>IF(MAX(FH10,FK10)&gt;0,MAX(FH10,FK10),"")</f>
        <v/>
      </c>
      <c r="FM10" s="16" t="str">
        <f>IF(EX10&gt;0,EX10,"")</f>
        <v/>
      </c>
      <c r="FN10" s="16" t="str">
        <f>IF(EY10&gt;0,EY10,"")</f>
        <v/>
      </c>
      <c r="FO10" s="16" t="str">
        <f>IF(SUM(EV10:EY10)-EZ10&gt;0,SUM(EV10:EY10)-EZ10,"")</f>
        <v/>
      </c>
      <c r="FP10" s="16" t="str">
        <f>IF(FC10&gt;0,FC10,"")</f>
        <v/>
      </c>
      <c r="FQ10" s="16" t="str">
        <f>IF(FD10&gt;0,FD10,"")</f>
        <v/>
      </c>
      <c r="FR10" s="16" t="str">
        <f>IF(SUM(FA10:FD10)-FE10&gt;0,SUM(FA10:FD10)-FE10,"")</f>
        <v/>
      </c>
      <c r="FS10" s="16" t="str">
        <f>IF(SUM(FL10,FR10)&gt;0,SUM(FL10,FR10),"")</f>
        <v/>
      </c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76" t="str">
        <f>IF(FV10&gt;0,FV10,"")</f>
        <v/>
      </c>
      <c r="GO10" s="76" t="str">
        <f>IF(FW10&gt;0,FW10,"")</f>
        <v/>
      </c>
      <c r="GP10" s="76" t="str">
        <f>IF(SUM(FT10:FW10)-FX10&gt;0,SUM(FT10:FW10)-FX10,"")</f>
        <v/>
      </c>
      <c r="GQ10" s="76" t="str">
        <f>IF(GA10&gt;0,GA10,"")</f>
        <v/>
      </c>
      <c r="GR10" s="76" t="str">
        <f>IF(GB10&gt;0,GB10,"")</f>
        <v/>
      </c>
      <c r="GS10" s="76" t="str">
        <f>IF(SUM(FY10:GB10)-GC10&gt;0,SUM(FY10:GB10)-GC10,"")</f>
        <v/>
      </c>
      <c r="GT10" s="76" t="str">
        <f>IF(MAX(GP10,GS10)&gt;0,MAX(GP10,GS10),"")</f>
        <v/>
      </c>
      <c r="GU10" s="76" t="str">
        <f>IF(GF10&gt;0,GF10,"")</f>
        <v/>
      </c>
      <c r="GV10" s="76" t="str">
        <f>IF(GG10&gt;0,GG10,"")</f>
        <v/>
      </c>
      <c r="GW10" s="76" t="str">
        <f>IF(SUM(GD10:GG10)-GH10&gt;0,SUM(GD10:GG10)-GH10,"")</f>
        <v/>
      </c>
      <c r="GX10" s="76" t="str">
        <f>IF(GK10&gt;0,GK10,"")</f>
        <v/>
      </c>
      <c r="GY10" s="76" t="str">
        <f>IF(GL10&gt;0,GL10,"")</f>
        <v/>
      </c>
      <c r="GZ10" s="76" t="str">
        <f>IF(SUM(GI10:GL10)-GM10&gt;0,SUM(GI10:GL10)-GM10,"")</f>
        <v/>
      </c>
      <c r="HA10" s="76" t="str">
        <f>IF(SUM(GT10,GZ10)&gt;0,SUM(GT10,GZ10),"")</f>
        <v/>
      </c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16" t="str">
        <f>IF(HD10&gt;0,HD10,"")</f>
        <v/>
      </c>
      <c r="HW10" s="16" t="str">
        <f>IF(HE10&gt;0,HE10,"")</f>
        <v/>
      </c>
      <c r="HX10" s="16" t="str">
        <f>IF(SUM(HB10:HE10)-HF10&gt;0,SUM(HB10:HE10)-HF10,"")</f>
        <v/>
      </c>
      <c r="HY10" s="16" t="str">
        <f>IF(HI10&gt;0,HI10,"")</f>
        <v/>
      </c>
      <c r="HZ10" s="16" t="str">
        <f>IF(HJ10&gt;0,HJ10,"")</f>
        <v/>
      </c>
      <c r="IA10" s="16" t="str">
        <f>IF(SUM(HG10:HJ10)-HK10&gt;0,SUM(HG10:HJ10)-HK10,"")</f>
        <v/>
      </c>
      <c r="IB10" s="16" t="str">
        <f>IF(MAX(HX10,IA10)&gt;0,MAX(HX10,IA10),"")</f>
        <v/>
      </c>
      <c r="IC10" s="16" t="str">
        <f>IF(HN10&gt;0,HN10,"")</f>
        <v/>
      </c>
      <c r="ID10" s="16" t="str">
        <f>IF(HO10&gt;0,HO10,"")</f>
        <v/>
      </c>
      <c r="IE10" s="16" t="str">
        <f>IF(SUM(HL10:HO10)-HP10&gt;0,SUM(HL10:HO10)-HP10,"")</f>
        <v/>
      </c>
      <c r="IF10" s="16" t="str">
        <f>IF(HS10&gt;0,HS10,"")</f>
        <v/>
      </c>
      <c r="IG10" s="16" t="str">
        <f>IF(HT10&gt;0,HT10,"")</f>
        <v/>
      </c>
      <c r="IH10" s="16" t="str">
        <f>IF(SUM(HQ10:HT10)-HU10&gt;0,SUM(HQ10:HT10)-HU10,"")</f>
        <v/>
      </c>
      <c r="II10" s="16" t="str">
        <f>IF(SUM(IB10,IH10)&gt;0,SUM(IB10,IH10),"")</f>
        <v/>
      </c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76" t="str">
        <f>IF(IL10&gt;0,IL10,"")</f>
        <v/>
      </c>
      <c r="JE10" s="76" t="str">
        <f>IF(IM10&gt;0,IM10,"")</f>
        <v/>
      </c>
      <c r="JF10" s="76" t="str">
        <f>IF(SUM(IJ10:IM10)-IN10&gt;0,SUM(IJ10:IM10)-IN10,"")</f>
        <v/>
      </c>
      <c r="JG10" s="76" t="str">
        <f>IF(IQ10&gt;0,IQ10,"")</f>
        <v/>
      </c>
      <c r="JH10" s="76" t="str">
        <f>IF(IR10&gt;0,IR10,"")</f>
        <v/>
      </c>
      <c r="JI10" s="76" t="str">
        <f>IF(SUM(IO10:IR10)-IS10&gt;0,SUM(IO10:IR10)-IS10,"")</f>
        <v/>
      </c>
      <c r="JJ10" s="76" t="str">
        <f>IF(MAX(JF10,JI10)&gt;0,MAX(JF10,JI10),"")</f>
        <v/>
      </c>
      <c r="JK10" s="76" t="str">
        <f>IF(IV10&gt;0,IV10,"")</f>
        <v/>
      </c>
      <c r="JL10" s="76" t="str">
        <f>IF(IW10&gt;0,IW10,"")</f>
        <v/>
      </c>
      <c r="JM10" s="76" t="str">
        <f>IF(SUM(IT10:IW10)-IX10&gt;0,SUM(IT10:IW10)-IX10,"")</f>
        <v/>
      </c>
      <c r="JN10" s="76" t="str">
        <f>IF(JA10&gt;0,JA10,"")</f>
        <v/>
      </c>
      <c r="JO10" s="76" t="str">
        <f>IF(JB10&gt;0,JB10,"")</f>
        <v/>
      </c>
      <c r="JP10" s="76" t="str">
        <f>IF(SUM(IY10:JB10)-JC10&gt;0,SUM(IY10:JB10)-JC10,"")</f>
        <v/>
      </c>
      <c r="JQ10" s="76" t="str">
        <f>IF(SUM(JJ10,JP10)&gt;0,SUM(JJ10,JP10),"")</f>
        <v/>
      </c>
      <c r="JR10" s="26">
        <v>14.5</v>
      </c>
      <c r="JS10" s="26">
        <v>8.9</v>
      </c>
      <c r="JT10" s="26">
        <v>10.7</v>
      </c>
      <c r="JU10" s="26">
        <v>13.74</v>
      </c>
      <c r="JV10" s="26">
        <v>0</v>
      </c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16">
        <f>IF(JT10&gt;0,JT10,"")</f>
        <v>10.7</v>
      </c>
      <c r="KM10" s="16">
        <f>IF(JU10&gt;0,JU10,"")</f>
        <v>13.74</v>
      </c>
      <c r="KN10" s="16">
        <f>IF(SUM(JR10:JU10)-JV10&gt;0,SUM(JR10:JU10)-JV10,"")</f>
        <v>47.839999999999996</v>
      </c>
      <c r="KO10" s="16" t="str">
        <f>IF(JY10&gt;0,JY10,"")</f>
        <v/>
      </c>
      <c r="KP10" s="16" t="str">
        <f>IF(JZ10&gt;0,JZ10,"")</f>
        <v/>
      </c>
      <c r="KQ10" s="16" t="str">
        <f>IF(SUM(JW10:JZ10)-KA10&gt;0,SUM(JW10:JZ10)-KA10,"")</f>
        <v/>
      </c>
      <c r="KR10" s="16">
        <f>IF(MAX(KN10,KQ10)&gt;0,MAX(KN10,KQ10),"")</f>
        <v>47.839999999999996</v>
      </c>
      <c r="KS10" s="16" t="str">
        <f>IF(KD10&gt;0,KD10,"")</f>
        <v/>
      </c>
      <c r="KT10" s="16" t="str">
        <f>IF(KE10&gt;0,KE10,"")</f>
        <v/>
      </c>
      <c r="KU10" s="16" t="str">
        <f>IF(SUM(KB10:KE10)-KF10&gt;0,SUM(KB10:KE10)-KF10,"")</f>
        <v/>
      </c>
      <c r="KV10" s="16" t="str">
        <f>IF(KI10&gt;0,KI10,"")</f>
        <v/>
      </c>
      <c r="KW10" s="16" t="str">
        <f>IF(KJ10&gt;0,KJ10,"")</f>
        <v/>
      </c>
      <c r="KX10" s="16" t="str">
        <f>IF(SUM(KG10:KJ10)-KK10&gt;0,SUM(KG10:KJ10)-KK10,"")</f>
        <v/>
      </c>
      <c r="KY10" s="16">
        <f>IF(SUM(KR10,KX10)&gt;0,SUM(KR10,KX10),"")</f>
        <v>47.839999999999996</v>
      </c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76" t="str">
        <f>IF(LB10&gt;0,LB10,"")</f>
        <v/>
      </c>
      <c r="LU10" s="76" t="str">
        <f>IF(LC10&gt;0,LC10,"")</f>
        <v/>
      </c>
      <c r="LV10" s="76" t="str">
        <f>IF(SUM(KZ10:LC10)-LD10&gt;0,SUM(KZ10:LC10)-LD10,"")</f>
        <v/>
      </c>
      <c r="LW10" s="76" t="str">
        <f>IF(LG10&gt;0,LG10,"")</f>
        <v/>
      </c>
      <c r="LX10" s="76" t="str">
        <f>IF(LH10&gt;0,LH10,"")</f>
        <v/>
      </c>
      <c r="LY10" s="76" t="str">
        <f>IF(SUM(LE10:LH10)-LI10&gt;0,SUM(LE10:LH10)-LI10,"")</f>
        <v/>
      </c>
      <c r="LZ10" s="76" t="str">
        <f>IF(MAX(LV10,LY10)&gt;0,MAX(LV10,LY10),"")</f>
        <v/>
      </c>
      <c r="MA10" s="76" t="str">
        <f>IF(LL10&gt;0,LL10,"")</f>
        <v/>
      </c>
      <c r="MB10" s="76" t="str">
        <f>IF(LM10&gt;0,LM10,"")</f>
        <v/>
      </c>
      <c r="MC10" s="76" t="str">
        <f>IF(SUM(LJ10:LM10)-LN10&gt;0,SUM(LJ10:LM10)-LN10,"")</f>
        <v/>
      </c>
      <c r="MD10" s="76" t="str">
        <f>IF(LQ10&gt;0,LQ10,"")</f>
        <v/>
      </c>
      <c r="ME10" s="76" t="str">
        <f>IF(LR10&gt;0,LR10,"")</f>
        <v/>
      </c>
      <c r="MF10" s="76" t="str">
        <f>IF(SUM(LO10:LR10)-LS10&gt;0,SUM(LO10:LR10)-LS10,"")</f>
        <v/>
      </c>
      <c r="MG10" s="76" t="str">
        <f>IF(SUM(LZ10,MF10)&gt;0,SUM(LZ10,MF10),"")</f>
        <v/>
      </c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16" t="str">
        <f>IF(MJ10&gt;0,MJ10,"")</f>
        <v/>
      </c>
      <c r="NC10" s="16" t="str">
        <f>IF(MK10&gt;0,MK10,"")</f>
        <v/>
      </c>
      <c r="ND10" s="16" t="str">
        <f>IF(SUM(MH10:MK10)-ML10&gt;0,SUM(MH10:MK10)-ML10,"")</f>
        <v/>
      </c>
      <c r="NE10" s="16" t="str">
        <f>IF(MO10&gt;0,MO10,"")</f>
        <v/>
      </c>
      <c r="NF10" s="16" t="str">
        <f>IF(MP10&gt;0,MP10,"")</f>
        <v/>
      </c>
      <c r="NG10" s="16" t="str">
        <f>IF(SUM(MM10:MP10)-MQ10&gt;0,SUM(MM10:MP10)-MQ10,"")</f>
        <v/>
      </c>
      <c r="NH10" s="16" t="str">
        <f>IF(MAX(ND10,NG10)&gt;0,MAX(ND10,NG10),"")</f>
        <v/>
      </c>
      <c r="NI10" s="16" t="str">
        <f>IF(MT10&gt;0,MT10,"")</f>
        <v/>
      </c>
      <c r="NJ10" s="16" t="str">
        <f>IF(MU10&gt;0,MU10,"")</f>
        <v/>
      </c>
      <c r="NK10" s="16" t="str">
        <f>IF(SUM(MR10:MU10)-MV10&gt;0,SUM(MR10:MU10)-MV10,"")</f>
        <v/>
      </c>
      <c r="NL10" s="16" t="str">
        <f>IF(MY10&gt;0,MY10,"")</f>
        <v/>
      </c>
      <c r="NM10" s="16" t="str">
        <f>IF(MZ10&gt;0,MZ10,"")</f>
        <v/>
      </c>
      <c r="NN10" s="16" t="str">
        <f>IF(SUM(MW10:MZ10)-NA10&gt;0,SUM(MW10:MZ10)-NA10,"")</f>
        <v/>
      </c>
      <c r="NO10" s="16" t="str">
        <f>IF(SUM(NH10,NN10)&gt;0,SUM(NH10,NN10),"")</f>
        <v/>
      </c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76" t="str">
        <f>IF(NR10&gt;0,NR10,"")</f>
        <v/>
      </c>
      <c r="OK10" s="76" t="str">
        <f>IF(NS10&gt;0,NS10,"")</f>
        <v/>
      </c>
      <c r="OL10" s="76" t="str">
        <f>IF(SUM(NP10:NS10)-NT10&gt;0,SUM(NP10:NS10)-NT10,"")</f>
        <v/>
      </c>
      <c r="OM10" s="76" t="str">
        <f>IF(NW10&gt;0,NW10,"")</f>
        <v/>
      </c>
      <c r="ON10" s="76" t="str">
        <f>IF(NX10&gt;0,NX10,"")</f>
        <v/>
      </c>
      <c r="OO10" s="76" t="str">
        <f>IF(SUM(NU10:NX10)-NY10&gt;0,SUM(NU10:NX10)-NY10,"")</f>
        <v/>
      </c>
      <c r="OP10" s="76" t="str">
        <f>IF(MAX(OL10,OO10)&gt;0,MAX(OL10,OO10),"")</f>
        <v/>
      </c>
      <c r="OQ10" s="76" t="str">
        <f>IF(OB10&gt;0,OB10,"")</f>
        <v/>
      </c>
      <c r="OR10" s="76" t="str">
        <f>IF(OC10&gt;0,OC10,"")</f>
        <v/>
      </c>
      <c r="OS10" s="76" t="str">
        <f>IF(SUM(NZ10:OC10)-OD10&gt;0,SUM(NZ10:OC10)-OD10,"")</f>
        <v/>
      </c>
      <c r="OT10" s="76" t="str">
        <f>IF(OG10&gt;0,OG10,"")</f>
        <v/>
      </c>
      <c r="OU10" s="76" t="str">
        <f>IF(OH10&gt;0,OH10,"")</f>
        <v/>
      </c>
      <c r="OV10" s="76" t="str">
        <f>IF(SUM(OE10:OH10)-OI10&gt;0,SUM(OE10:OH10)-OI10,"")</f>
        <v/>
      </c>
      <c r="OW10" s="76" t="str">
        <f>IF(SUM(OP10,OV10)&gt;0,SUM(OP10,OV10),"")</f>
        <v/>
      </c>
      <c r="OX10" s="26"/>
      <c r="OY10" s="26"/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16" t="str">
        <f>IF(OZ10&gt;0,OZ10,"")</f>
        <v/>
      </c>
      <c r="PS10" s="16" t="str">
        <f>IF(PA10&gt;0,PA10,"")</f>
        <v/>
      </c>
      <c r="PT10" s="16" t="str">
        <f>IF(SUM(OX10:PA10)-PB10&gt;0,SUM(OX10:PA10)-PB10,"")</f>
        <v/>
      </c>
      <c r="PU10" s="16" t="str">
        <f>IF(PE10&gt;0,PE10,"")</f>
        <v/>
      </c>
      <c r="PV10" s="16" t="str">
        <f>IF(PF10&gt;0,PF10,"")</f>
        <v/>
      </c>
      <c r="PW10" s="16" t="str">
        <f>IF(SUM(PC10:PF10)-PG10&gt;0,SUM(PC10:PF10)-PG10,"")</f>
        <v/>
      </c>
      <c r="PX10" s="16" t="str">
        <f>IF(MAX(PT10,PW10)&gt;0,MAX(PT10,PW10),"")</f>
        <v/>
      </c>
      <c r="PY10" s="16" t="str">
        <f>IF(PJ10&gt;0,PJ10,"")</f>
        <v/>
      </c>
      <c r="PZ10" s="16" t="str">
        <f>IF(PK10&gt;0,PK10,"")</f>
        <v/>
      </c>
      <c r="QA10" s="16" t="str">
        <f>IF(SUM(PH10:PK10)-PL10&gt;0,SUM(PH10:PK10)-PL10,"")</f>
        <v/>
      </c>
      <c r="QB10" s="16" t="str">
        <f>IF(PO10&gt;0,PO10,"")</f>
        <v/>
      </c>
      <c r="QC10" s="16" t="str">
        <f>IF(PP10&gt;0,PP10,"")</f>
        <v/>
      </c>
      <c r="QD10" s="16" t="str">
        <f>IF(SUM(PM10:PP10)-PQ10&gt;0,SUM(PM10:PP10)-PQ10,"")</f>
        <v/>
      </c>
      <c r="QE10" s="16" t="str">
        <f>IF(SUM(PX10,QD10)&gt;0,SUM(PX10,QD10),"")</f>
        <v/>
      </c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76" t="str">
        <f>IF(QH10&gt;0,QH10,"")</f>
        <v/>
      </c>
      <c r="RA10" s="76" t="str">
        <f>IF(QI10&gt;0,QI10,"")</f>
        <v/>
      </c>
      <c r="RB10" s="76" t="str">
        <f>IF(SUM(QF10:QI10)-QJ10&gt;0,SUM(QF10:QI10)-QJ10,"")</f>
        <v/>
      </c>
      <c r="RC10" s="76" t="str">
        <f>IF(QM10&gt;0,QM10,"")</f>
        <v/>
      </c>
      <c r="RD10" s="76" t="str">
        <f>IF(QN10&gt;0,QN10,"")</f>
        <v/>
      </c>
      <c r="RE10" s="76" t="str">
        <f>IF(SUM(QK10:QN10)-QO10&gt;0,SUM(QK10:QN10)-QO10,"")</f>
        <v/>
      </c>
      <c r="RF10" s="76" t="str">
        <f>IF(MAX(RB10,RE10)&gt;0,MAX(RB10,RE10),"")</f>
        <v/>
      </c>
      <c r="RG10" s="76" t="str">
        <f>IF(QR10&gt;0,QR10,"")</f>
        <v/>
      </c>
      <c r="RH10" s="76" t="str">
        <f>IF(QS10&gt;0,QS10,"")</f>
        <v/>
      </c>
      <c r="RI10" s="76" t="str">
        <f>IF(SUM(QP10:QS10)-QT10&gt;0,SUM(QP10:QS10)-QT10,"")</f>
        <v/>
      </c>
      <c r="RJ10" s="76" t="str">
        <f>IF(QW10&gt;0,QW10,"")</f>
        <v/>
      </c>
      <c r="RK10" s="76" t="str">
        <f>IF(QX10&gt;0,QX10,"")</f>
        <v/>
      </c>
      <c r="RL10" s="76" t="str">
        <f>IF(SUM(QU10:QX10)-QY10&gt;0,SUM(QU10:QX10)-QY10,"")</f>
        <v/>
      </c>
      <c r="RM10" s="76" t="str">
        <f>IF(SUM(RF10,RL10)&gt;0,SUM(RF10,RL10),"")</f>
        <v/>
      </c>
      <c r="RN10" s="26"/>
      <c r="RO10" s="26"/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16" t="str">
        <f>IF(RP10&gt;0,RP10,"")</f>
        <v/>
      </c>
      <c r="SI10" s="16" t="str">
        <f>IF(RQ10&gt;0,RQ10,"")</f>
        <v/>
      </c>
      <c r="SJ10" s="16" t="str">
        <f>IF(SUM(RN10:RQ10)-RR10&gt;0,SUM(RN10:RQ10)-RR10,"")</f>
        <v/>
      </c>
      <c r="SK10" s="16" t="str">
        <f>IF(RU10&gt;0,RU10,"")</f>
        <v/>
      </c>
      <c r="SL10" s="16" t="str">
        <f>IF(RV10&gt;0,RV10,"")</f>
        <v/>
      </c>
      <c r="SM10" s="16" t="str">
        <f>IF(SUM(RS10:RV10)-RW10&gt;0,SUM(RS10:RV10)-RW10,"")</f>
        <v/>
      </c>
      <c r="SN10" s="16" t="str">
        <f>IF(MAX(SJ10,SM10)&gt;0,MAX(SJ10,SM10),"")</f>
        <v/>
      </c>
      <c r="SO10" s="16" t="str">
        <f>IF(RZ10&gt;0,RZ10,"")</f>
        <v/>
      </c>
      <c r="SP10" s="16" t="str">
        <f>IF(SA10&gt;0,SA10,"")</f>
        <v/>
      </c>
      <c r="SQ10" s="16" t="str">
        <f>IF(SUM(RX10:SA10)-SB10&gt;0,SUM(RX10:SA10)-SB10,"")</f>
        <v/>
      </c>
      <c r="SR10" s="16" t="str">
        <f>IF(SE10&gt;0,SE10,"")</f>
        <v/>
      </c>
      <c r="SS10" s="16" t="str">
        <f>IF(SF10&gt;0,SF10,"")</f>
        <v/>
      </c>
      <c r="ST10" s="16" t="str">
        <f>IF(SUM(SC10:SF10)-SG10&gt;0,SUM(SC10:SF10)-SG10,"")</f>
        <v/>
      </c>
      <c r="SU10" s="16" t="str">
        <f>IF(SUM(SN10,ST10)&gt;0,SUM(SN10,ST10),"")</f>
        <v/>
      </c>
      <c r="SV10" s="42">
        <f>IF($CP10="P",CA10,(CA10+AZ10)/2)</f>
        <v>12.95</v>
      </c>
      <c r="SW10" s="42">
        <f>IF($CP10="P",CB10,(CB10+BA10)/2)</f>
        <v>8.6000000000000014</v>
      </c>
      <c r="SX10" s="42">
        <f>IF($CP10="P",CC10,(CC10+BB10)/2)</f>
        <v>12.05</v>
      </c>
      <c r="SY10" s="42">
        <f>IF($CP10="P",CD10,(CD10+BC10)/2)</f>
        <v>13.015000000000001</v>
      </c>
      <c r="SZ10" s="42">
        <f>IF($CP10="P",CE10,(CE10+BD10)/2)</f>
        <v>0</v>
      </c>
      <c r="TA10" s="42">
        <f>IF($CP10="P",CF10,(CF10+BE10)/2)</f>
        <v>4.3000000000000007</v>
      </c>
      <c r="TB10" s="42">
        <f>IF($CP10="P",CG10,(CG10+BF10)/2)</f>
        <v>2.75</v>
      </c>
      <c r="TC10" s="42">
        <f>IF($CP10="P",CH10,(CH10+BG10)/2)</f>
        <v>3.9000000000000004</v>
      </c>
      <c r="TD10" s="42">
        <f>IF($CP10="P",CI10,(CI10+BH10)/2)</f>
        <v>4.42</v>
      </c>
      <c r="TE10" s="42">
        <f>IF($CP10="P",CJ10,(CJ10+BI10)/2)</f>
        <v>0</v>
      </c>
      <c r="TF10" s="42">
        <f>IF($CP10="P",CK10,(CK10+BJ10)/2)</f>
        <v>13.55</v>
      </c>
      <c r="TG10" s="42">
        <f>IF($CP10="P",CL10,(CL10+BK10)/2)</f>
        <v>8.6999999999999993</v>
      </c>
      <c r="TH10" s="42">
        <f>IF($CP10="P",CM10,(CM10+BL10)/2)</f>
        <v>12.2</v>
      </c>
      <c r="TI10" s="42">
        <f>IF($CP10="P",CN10,(CN10+BM10)/2)</f>
        <v>13.342499999999999</v>
      </c>
      <c r="TJ10" s="42">
        <f>IF($CP10="P",CO10,(CO10+BN10)/2)</f>
        <v>0</v>
      </c>
      <c r="TK10" s="51" t="s">
        <v>61</v>
      </c>
      <c r="TL10" s="76">
        <f>IF(SX10&gt;0,SX10,"")</f>
        <v>12.05</v>
      </c>
      <c r="TM10" s="76">
        <f>IF(SY10&gt;0,SY10,"")</f>
        <v>13.015000000000001</v>
      </c>
      <c r="TN10" s="76">
        <f>IF(SUM(SV10:SY10)-SZ10&gt;0,SUM(SV10:SY10)-SZ10,"")</f>
        <v>46.615000000000002</v>
      </c>
      <c r="TO10" s="76">
        <f>IF(TC10&gt;0,TC10,"")</f>
        <v>3.9000000000000004</v>
      </c>
      <c r="TP10" s="76">
        <f>IF(TD10&gt;0,TD10,"")</f>
        <v>4.42</v>
      </c>
      <c r="TQ10" s="76">
        <f>IF(SUM(TA10:TD10)-TE10&gt;0,SUM(TA10:TD10)-TE10,"")</f>
        <v>15.370000000000001</v>
      </c>
      <c r="TR10" s="76">
        <f>IF(MAX(TN10,TQ10)&gt;0,MAX(TN10,TQ10),"")</f>
        <v>46.615000000000002</v>
      </c>
      <c r="TS10" s="76">
        <f>IF(TH10&gt;0,TH10,"")</f>
        <v>12.2</v>
      </c>
      <c r="TT10" s="76">
        <f>IF(TI10&gt;0,TI10,"")</f>
        <v>13.342499999999999</v>
      </c>
      <c r="TU10" s="76">
        <f>IF(SUM(TF10:TI10)-TJ10&gt;0,SUM(TF10:TI10)-TJ10,"")</f>
        <v>47.792500000000004</v>
      </c>
      <c r="TV10" s="76">
        <f>IF(SUM(TR10,TU10)&gt;0,SUM(TR10,TU10),"")</f>
        <v>94.407499999999999</v>
      </c>
    </row>
    <row r="11" spans="1:542" x14ac:dyDescent="0.2">
      <c r="A11" s="5" cm="1">
        <f t="array" ref="A11">IF(AND(F11&lt;&gt;"",G11&lt;&gt;""),SUMPRODUCT((F$4:F$15&lt;&gt;"")*(G$4:G$15&lt;&gt;"")*(E$4:E$15&gt;E11))+1,IF(G11&lt;&gt;"",SUMPRODUCT((H$4:H$15="No DD")*(E$4:E$15&gt;E11))+1+SUMPRODUCT((F$4:F$15&lt;&gt;"")*(G$4:G$15&lt;&gt;"")),""))</f>
        <v>8</v>
      </c>
      <c r="B11" s="6" t="s">
        <v>30</v>
      </c>
      <c r="C11" s="7" t="s">
        <v>3</v>
      </c>
      <c r="D11" s="18">
        <v>1988</v>
      </c>
      <c r="E11" s="14">
        <f>SUM(J11:V11)+SUM(J11:T11)*0.0000001+SUM(J11)*0.0000000000001</f>
        <v>195.75001921500547</v>
      </c>
      <c r="F11" s="3" t="str">
        <f>IF(OR(AND(AO11&gt;=AY$17,AO11&lt;&gt;"",AQ11&gt;=AY$21,AQ11&lt;&gt;"",AN11=""),AND(AR11&gt;=AY$17,AR11&lt;&gt;"",AT11&gt;=AY$21,AT11&lt;&gt;"",AN11=""),AND(AV11&gt;=AY$17,AV11&lt;&gt;"",AX11&gt;=AY$21,AX11&lt;&gt;"",AN11=""),AND(BP11&gt;=BZ$17,BP11&lt;&gt;"",BR11&gt;=BZ$21,BR11&lt;&gt;"",BO11=""),AND(BS11&gt;=BZ$17,BS11&lt;&gt;"",BU11&gt;=BZ$21,BU11&lt;&gt;"",BO11=""),AND(BW11&gt;=BZ$17,BW11&lt;&gt;"",BY11&gt;=BZ$21,BY11&lt;&gt;"",BO11=""),AND(CQ11&gt;=DA$17,CQ11&lt;&gt;"",CS11&gt;=DA$21,CS11&lt;&gt;"",CP11=""),AND(CT11&gt;=DA$17,CT11&lt;&gt;"",CV11&gt;=DA$21,CV11&lt;&gt;"",CP11=""),AND(CX11&gt;=DA$17,CX11&lt;&gt;"",CZ11&gt;=DA$21,CZ11&lt;&gt;"",CP11=""),AND(DX11&gt;=EK$17,DX11&lt;&gt;"",DZ11&gt;=EK$21,DZ11&lt;&gt;""),AND(EA11&gt;=EK$17,EA11&lt;&gt;"",EC11&gt;=EK$21,EC11&lt;&gt;""),AND(EE11&gt;=EK$17,EE11&lt;&gt;"",EG11&gt;=EK$21,EG11&lt;&gt;""),AND(EH11&gt;=EK$17,EH11&lt;&gt;"",EJ11&gt;=EK$21,EJ11&lt;&gt;""),AND(FF11&gt;=FS$17,FF11&lt;&gt;"",FH11&gt;=FS$21,FH11&lt;&gt;""),AND(FI11&gt;=FS$17,FI11&lt;&gt;"",FK11&gt;=FS$21,FK11&lt;&gt;""),AND(FM11&gt;=FS$17,FM11&lt;&gt;"",FO11&gt;=FS$21,FO11&lt;&gt;""),AND(FP11&gt;=FS$17,FP11&lt;&gt;"",FR11&gt;=FS$21,FR11&lt;&gt;""),AND(GN11&gt;=HA$17,GN11&lt;&gt;"",GP11&gt;=HA$21,GP11&lt;&gt;""),AND(GQ11&gt;=HA$17,GQ11&lt;&gt;"",GS11&gt;=HA$21,GS11&lt;&gt;""),AND(GU11&gt;=HA$17,GU11&lt;&gt;"",GW11&gt;=HA$21,GW11&lt;&gt;""),AND(GX11&gt;=HA$17,GX11&lt;&gt;"",GZ11&gt;=HA$21,GZ11&lt;&gt;""),AND(HV11&gt;=II$17,HV11&lt;&gt;"",HX11&gt;=II$21,HX11&lt;&gt;""),AND(HY11&gt;=II$17,HY11&lt;&gt;"",IA11&gt;=II$21,IA11&lt;&gt;""),AND(IC11&gt;=II$17,IC11&lt;&gt;"",IE11&gt;=II$21,IE11&lt;&gt;""),AND(IF11&gt;=II$17,IF11&lt;&gt;"",IH11&gt;=II$21,IH11&lt;&gt;""),AND(JD11&gt;=JQ$17,JD11&lt;&gt;"",JF11&gt;=JQ$21,JF11&lt;&gt;""),AND(JG11&gt;=JQ$17,JG11&lt;&gt;"",JI11&gt;=JQ$21,JI11&lt;&gt;""),AND(JK11&gt;=JQ$17,JK11&lt;&gt;"",JM11&gt;=JQ$21,JM11&lt;&gt;""),AND(JN11&gt;=JQ$17,JN11&lt;&gt;"",JP11&gt;=JQ$21,JP11&lt;&gt;""),AND(KL11&gt;=KY$17,KL11&lt;&gt;"",KN11&gt;=KY$21,KN11&lt;&gt;""),AND(KO11&gt;=KY$17,KO11&lt;&gt;"",KQ11&gt;=KY$21,KQ11&lt;&gt;""),AND(KS11&gt;=KY$17,KS11&lt;&gt;"",KU11&gt;=KY$21,KU11&lt;&gt;""),AND(KV11&gt;=KY$17,KV11&lt;&gt;"",KX11&gt;=KY$21,KX11&lt;&gt;""),AND(LT11&gt;=MG$17,LT11&lt;&gt;"",LV11&gt;=MG$21,LV11&lt;&gt;""),AND(LW11&gt;=MG$17,LW11&lt;&gt;"",LY11&gt;=MG$21,LY11&lt;&gt;""),AND(MA11&gt;=MG$17,MA11&lt;&gt;"",MC11&gt;=MG$21,MC11&lt;&gt;""),AND(MD11&gt;=MG$17,MD11&lt;&gt;"",MF11&gt;=MG$21,MF11&lt;&gt;""),AND(NB11&gt;=NO$17,NB11&lt;&gt;"",ND11&gt;=NO$21,ND11&lt;&gt;""),AND(NE11&gt;=NO$17,NE11&lt;&gt;"",NG11&gt;=NO$21,NG11&lt;&gt;""),AND(NI11&gt;=NO$17,NI11&lt;&gt;"",NK11&gt;=NO$21,NK11&lt;&gt;""),AND(NL11&gt;=NO$17,NL11&lt;&gt;"",NN11&gt;=NO$21,NN11&lt;&gt;""),AND(OJ11&gt;=OW$17,OJ11&lt;&gt;"",OL11&gt;=OW$21,OL11&lt;&gt;""),AND(OM11&gt;=OW$17,OM11&lt;&gt;"",OO11&gt;=OW$21,OO11&lt;&gt;""),AND(OQ11&gt;=OW$17,OQ11&lt;&gt;"",OS11&gt;=OW$21,OS11&lt;&gt;""),AND(OT11&gt;=OW$17,OT11&lt;&gt;"",OV11&gt;=OW$21,OV11&lt;&gt;""),AND(PR11&gt;=QE$17,PR11&lt;&gt;"",PT11&gt;=QE$21,PT11&lt;&gt;""),AND(PU11&gt;=QE$17,PU11&lt;&gt;"",PW11&gt;=QE$21,PW11&lt;&gt;""),AND(PY11&gt;=QE$17,PY11&lt;&gt;"",QA11&gt;=QE$21,QA11&lt;&gt;""),AND(QB11&gt;=QE$17,QB11&lt;&gt;"",QD11&gt;=QE$21,QD11&lt;&gt;""),AND(QZ11&gt;=RM$17,QZ11&lt;&gt;"",RB11&gt;=RM$21,RB11&lt;&gt;""),AND(RC11&gt;=RM$17,RC11&lt;&gt;"",RE11&gt;=RM$21,RE11&lt;&gt;""),AND(RG11&gt;=RM$17,RG11&lt;&gt;"",RI11&gt;=RM$21,RI11&lt;&gt;""),AND(RJ11&gt;=RM$17,RJ11&lt;&gt;"",RL11&gt;=RM$21,RL11&lt;&gt;""),AND(SH11&gt;=SU$17,SH11&lt;&gt;"",SJ11&gt;=SU$21,SJ11&lt;&gt;""),AND(SK11&gt;=SU$17,SK11&lt;&gt;"",SM11&gt;=SU$21,SM11&lt;&gt;""),AND(SO11&gt;=SU$17,SO11&lt;&gt;"",SQ11&gt;=SU$21,SQ11&lt;&gt;""),AND(SR11&gt;=SU$17,SR11&lt;&gt;"",ST11&gt;=SU$21,ST11&lt;&gt;"")),"P","")</f>
        <v>P</v>
      </c>
      <c r="G11" s="3" t="str">
        <f>IF(OR(AND(AQ11&gt;=AY$21,AQ11&lt;&gt;"",AN11=""),AND(AT11&gt;=AY$21,AT11&lt;&gt;"",AN11=""),AND(AX11&gt;=AY$21,AX11&lt;&gt;"",AN11=""),AND(BR11&gt;=BZ$21,BR11&lt;&gt;"",BO11=""),AND(BU11&gt;=BZ$21,BU11&lt;&gt;"",BO11=""),AND(BY11&gt;=BZ$21,BY11&lt;&gt;"",BO11=""),AND(CS11&gt;=DA$21,CS11&lt;&gt;"",CP11=""),AND(CV11&gt;=DA$21,CV11&lt;&gt;"",CP11=""),AND(CZ11&gt;=DA$21,CZ11&lt;&gt;"",CP11=""),AND(DZ11&gt;=EK$21,DZ11&lt;&gt;""),AND(EC11&gt;=EK$21,EC11&lt;&gt;""),AND(EG11&gt;=EK$21,EG11&lt;&gt;""),AND(EJ11&gt;=EK$21,EJ11&lt;&gt;""),AND(FH11&gt;=FS$21,FH11&lt;&gt;""),AND(FK11&gt;=FS$21,FK11&lt;&gt;""),AND(FO11&gt;=FS$21,FO11&lt;&gt;""),AND(FR11&gt;=FS$21,FR11&lt;&gt;""),AND(GP11&gt;=HA$21,GP11&lt;&gt;""),AND(GS11&gt;=HA$21,GS11&lt;&gt;""),AND(GW11&gt;=HA$21,GW11&lt;&gt;""),AND(GZ11&gt;=HA$21,GZ11&lt;&gt;""),AND(HX11&gt;=II$21,HX11&lt;&gt;""),AND(IA11&gt;=II$21,IA11&lt;&gt;""),AND(IE11&gt;=II$21,IE11&lt;&gt;""),AND(IH11&gt;=II$21,IH11&lt;&gt;""),AND(JF11&gt;=JQ$21,JF11&lt;&gt;""),AND(JI11&gt;=JQ$21,JI11&lt;&gt;""),AND(JM11&gt;=JQ$21,JM11&lt;&gt;""),AND(JP11&gt;=JQ$21,JP11&lt;&gt;""),AND(KN11&gt;=KY$21,KN11&lt;&gt;""),AND(KQ11&gt;=KY$21,KQ11&lt;&gt;""),AND(KU11&gt;=KY$21,KU11&lt;&gt;""),AND(KX11&gt;=KY$21,KX11&lt;&gt;""),AND(LV11&gt;=MG$21,LV11&lt;&gt;""),AND(LY11&gt;=MG$21,LY11&lt;&gt;""),AND(MC11&gt;=MG$21,MC11&lt;&gt;""),AND(MF11&gt;=MG$21,MF11&lt;&gt;""),AND(ND11&gt;=NO$21,ND11&lt;&gt;""),AND(NG11&gt;=NO$21,NG11&lt;&gt;""),AND(NK11&gt;=NO$21,NK11&lt;&gt;""),AND(NN11&gt;=NO$21,NN11&lt;&gt;""),AND(OL11&gt;=OW$21,OL11&lt;&gt;""),AND(OO11&gt;=OW$21,OO11&lt;&gt;""),AND(OS11&gt;=OW$21,OS11&lt;&gt;""),AND(OV11&gt;=OW$21,OV11&lt;&gt;""),AND(PT11&gt;=QE$21,PT11&lt;&gt;""),AND(PW11&gt;=QE$21,PW11&lt;&gt;""),AND(QA11&gt;=QE$21,QA11&lt;&gt;""),AND(QD11&gt;=QE$21,QD11&lt;&gt;""),AND(RB11&gt;=RM$21,RB11&lt;&gt;""),AND(RE11&gt;=RM$21,RE11&lt;&gt;""),AND(RI11&gt;=RM$21,RI11&lt;&gt;""),AND(RL11&gt;=RM$21,RL11&lt;&gt;""),AND(SJ11&gt;=SU$21,SJ11&lt;&gt;""),AND(SM11&gt;=SU$21,SM11&lt;&gt;""),AND(SQ11&gt;=SU$21,SQ11&lt;&gt;""),AND(ST11&gt;=SU$21,ST11&lt;&gt;"")),"P","")</f>
        <v>P</v>
      </c>
      <c r="H11" s="70" t="str">
        <f>IF(AND(G11="P",F11=""),"No DD",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),"Merit",IF(OR(AND(AO11&gt;=AY$19,AO11&lt;&gt;"",AQ11&gt;=AY$23,AQ11&lt;&gt;"",AN11=""),AND(AR11&gt;=AY$19,AR11&lt;&gt;"",AT11&gt;=AY$23,AT11&lt;&gt;"",AN11=""),AND(AV11&gt;=AY$19,AV11&lt;&gt;"",AX11&gt;=AY$23,AX11&lt;&gt;"",AN11=""),AND(BP11&gt;=BZ$19,BP11&lt;&gt;"",BR11&gt;=BZ$23,BR11&lt;&gt;"",BO11=""),AND(BS11&gt;=BZ$19,BS11&lt;&gt;"",BU11&gt;=BZ$23,BU11&lt;&gt;"",BO11=""),AND(BW11&gt;=BZ$19,BW11&lt;&gt;"",BY11&gt;=BZ$23,BY11&lt;&gt;"",BO11=""),AND(CQ11&gt;=DA$19,CQ11&lt;&gt;"",CS11&gt;=DA$23,CS11&lt;&gt;"",CP11=""),AND(CT11&gt;=DA$19,CT11&lt;&gt;"",CV11&gt;=DA$23,CV11&lt;&gt;"",CP11=""),AND(CX11&gt;=DA$19,CX11&lt;&gt;"",CZ11&gt;=DA$23,CZ11&lt;&gt;"",CP11=""),AND(DX11&gt;=EK$19,DX11&lt;&gt;"",DZ11&gt;=EK$23,DZ11&lt;&gt;""),AND(EA11&gt;=EK$19,EA11&lt;&gt;"",EC11&gt;=EK$23,EC11&lt;&gt;""),AND(EE11&gt;=EK$19,EE11&lt;&gt;"",EG11&gt;=EK$23,EG11&lt;&gt;""),AND(EH11&gt;=EK$19,EH11&lt;&gt;"",EJ11&gt;=EK$23,EJ11&lt;&gt;""),AND(FF11&gt;=FS$19,FF11&lt;&gt;"",FH11&gt;=FS$23,FH11&lt;&gt;""),AND(FI11&gt;=FS$19,FI11&lt;&gt;"",FK11&gt;=FS$23,FK11&lt;&gt;""),AND(FM11&gt;=FS$19,FM11&lt;&gt;"",FO11&gt;=FS$23,FO11&lt;&gt;""),AND(FP11&gt;=FS$19,FP11&lt;&gt;"",FR11&gt;=FS$23,FR11&lt;&gt;""),AND(GN11&gt;=HA$19,GN11&lt;&gt;"",GP11&gt;=HA$23,GP11&lt;&gt;""),AND(GQ11&gt;=HA$19,GQ11&lt;&gt;"",GS11&gt;=HA$23,GS11&lt;&gt;""),AND(GU11&gt;=HA$19,GU11&lt;&gt;"",GW11&gt;=HA$23,GW11&lt;&gt;""),AND(GX11&gt;=HA$19,GX11&lt;&gt;"",GZ11&gt;=HA$23,GZ11&lt;&gt;""),AND(HV11&gt;=II$19,HV11&lt;&gt;"",HX11&gt;=II$23,HX11&lt;&gt;""),AND(HY11&gt;=II$19,HY11&lt;&gt;"",IA11&gt;=II$23,IA11&lt;&gt;""),AND(IC11&gt;=II$19,IC11&lt;&gt;"",IE11&gt;=II$23,IE11&lt;&gt;""),AND(IF11&gt;=II$19,IF11&lt;&gt;"",IH11&gt;=II$23,IH11&lt;&gt;""),AND(JD11&gt;=JQ$19,JD11&lt;&gt;"",JF11&gt;=JQ$23,JF11&lt;&gt;""),AND(JG11&gt;=JQ$19,JG11&lt;&gt;"",JI11&gt;=JQ$23,JI11&lt;&gt;""),AND(JK11&gt;=JQ$19,JK11&lt;&gt;"",JM11&gt;=JQ$23,JM11&lt;&gt;""),AND(JN11&gt;=JQ$19,JN11&lt;&gt;"",JP11&gt;=JQ$23,JP11&lt;&gt;""),AND(KL11&gt;=KY$19,KL11&lt;&gt;"",KN11&gt;=KY$23,KN11&lt;&gt;""),AND(KO11&gt;=KY$19,KO11&lt;&gt;"",KQ11&gt;=KY$23,KQ11&lt;&gt;""),AND(KS11&gt;=KY$19,KS11&lt;&gt;"",KU11&gt;=KY$23,KU11&lt;&gt;""),AND(KV11&gt;=KY$19,KV11&lt;&gt;"",KX11&gt;=KY$23,KX11&lt;&gt;""),AND(LT11&gt;=MG$19,LT11&lt;&gt;"",LV11&gt;=MG$23,LV11&lt;&gt;""),AND(LW11&gt;=MG$19,LW11&lt;&gt;"",LY11&gt;=MG$23,LY11&lt;&gt;""),AND(MA11&gt;=MG$19,MA11&lt;&gt;"",MC11&gt;=MG$23,MC11&lt;&gt;""),AND(MD11&gt;=MG$19,MD11&lt;&gt;"",MF11&gt;=MG$23,MF11&lt;&gt;""),AND(NB11&gt;=NO$19,NB11&lt;&gt;"",ND11&gt;=NO$23,ND11&lt;&gt;""),AND(NE11&gt;=NO$19,NE11&lt;&gt;"",NG11&gt;=NO$23,NG11&lt;&gt;""),AND(NI11&gt;=NO$19,NI11&lt;&gt;"",NK11&gt;=NO$23,NK11&lt;&gt;""),AND(NL11&gt;=NO$19,NL11&lt;&gt;"",NN11&gt;=NO$23,NN11&lt;&gt;""),AND(OJ11&gt;=OW$19,OJ11&lt;&gt;"",OL11&gt;=OW$23,OL11&lt;&gt;""),AND(OM11&gt;=OW$19,OM11&lt;&gt;"",OO11&gt;=OW$23,OO11&lt;&gt;""),AND(OQ11&gt;=OW$19,OQ11&lt;&gt;"",OS11&gt;=OW$23,OS11&lt;&gt;""),AND(OT11&gt;=OW$19,OT11&lt;&gt;"",OV11&gt;=OW$23,OV11&lt;&gt;""),AND(PR11&gt;=QE$19,PR11&lt;&gt;"",PT11&gt;=QE$23,PT11&lt;&gt;""),AND(PU11&gt;=QE$19,PU11&lt;&gt;"",PW11&gt;=QE$23,PW11&lt;&gt;""),AND(PY11&gt;=QE$19,PY11&lt;&gt;"",QA11&gt;=QE$23,QA11&lt;&gt;""),AND(QB11&gt;=QE$19,QB11&lt;&gt;"",QD11&gt;=QE$23,QD11&lt;&gt;""),AND(QZ11&gt;=RM$19,QZ11&lt;&gt;"",RB11&gt;=RM$23,RB11&lt;&gt;""),AND(RC11&gt;=RM$19,RC11&lt;&gt;"",RE11&gt;=RM$23,RE11&lt;&gt;""),AND(RG11&gt;=RM$19,RG11&lt;&gt;"",RI11&gt;=RM$23,RI11&lt;&gt;""),AND(RJ11&gt;=RM$19,RJ11&lt;&gt;"",RL11&gt;=RM$23,RL11&lt;&gt;""),AND(SH11&gt;=SU$19,SH11&lt;&gt;"",SJ11&gt;=SU$23,SJ11&lt;&gt;""),AND(SK11&gt;=SU$19,SK11&lt;&gt;"",SM11&gt;=SU$23,SM11&lt;&gt;""),AND(SO11&gt;=SU$19,SO11&lt;&gt;"",SQ11&gt;=SU$23,SQ11&lt;&gt;""),AND(SR11&gt;=SU$19,SR11&lt;&gt;"",ST11&gt;=SU$23,ST11&lt;&gt;"")),"Excellence",IF(I11="P","Worlds Team",IF(F11="P","National Team","")))))</f>
        <v>Merit</v>
      </c>
      <c r="I11" s="3" t="str">
        <f>IF(OR(AND(AO11&gt;=AY$18,AO11&lt;&gt;"",AQ11&gt;=AY$22,AQ11&lt;&gt;"",AN11=""),AND(AR11&gt;=AY$18,AR11&lt;&gt;"",AT11&gt;=AY$22,AT11&lt;&gt;"",AN11=""),AND(AV11&gt;=AY$18,AV11&lt;&gt;"",AX11&gt;=AY$22,AX11&lt;&gt;"",AN11=""),AND(BP11&gt;=BZ$18,BP11&lt;&gt;"",BR11&gt;=BZ$22,BR11&lt;&gt;"",BO11=""),AND(BS11&gt;=BZ$18,BS11&lt;&gt;"",BU11&gt;=BZ$22,BU11&lt;&gt;"",BO11=""),AND(BW11&gt;=BZ$18,BW11&lt;&gt;"",BY11&gt;=BZ$22,BY11&lt;&gt;"",BO11=""),AND(CQ11&gt;=DA$18,CQ11&lt;&gt;"",CS11&gt;=DA$22,CS11&lt;&gt;"",CP11=""),AND(CT11&gt;=DA$18,CT11&lt;&gt;"",CV11&gt;=DA$22,CV11&lt;&gt;"",CP11=""),AND(CX11&gt;=DA$18,CX11&lt;&gt;"",CZ11&gt;=DA$22,CZ11&lt;&gt;"",CP11=""),AND(DX11&gt;=EK$18,DX11&lt;&gt;"",DZ11&gt;=EK$22,DZ11&lt;&gt;""),AND(EA11&gt;=EK$18,EA11&lt;&gt;"",EC11&gt;=EK$22,EC11&lt;&gt;""),AND(EE11&gt;=EK$18,EE11&lt;&gt;"",EG11&gt;=EK$22,EG11&lt;&gt;""),AND(EH11&gt;=EK$18,EH11&lt;&gt;"",EJ11&gt;=EK$22,EJ11&lt;&gt;""),AND(FF11&gt;=FS$18,FF11&lt;&gt;"",FH11&gt;=FS$22,FH11&lt;&gt;""),AND(FI11&gt;=FS$18,FI11&lt;&gt;"",FK11&gt;=FS$22,FK11&lt;&gt;""),AND(FM11&gt;=FS$18,FM11&lt;&gt;"",FO11&gt;=FS$22,FO11&lt;&gt;""),AND(FP11&gt;=FS$18,FP11&lt;&gt;"",FR11&gt;=FS$22,FR11&lt;&gt;""),AND(GN11&gt;=HA$18,GN11&lt;&gt;"",GP11&gt;=HA$22,GP11&lt;&gt;""),AND(GQ11&gt;=HA$18,GQ11&lt;&gt;"",GS11&gt;=HA$22,GS11&lt;&gt;""),AND(GU11&gt;=HA$18,GU11&lt;&gt;"",GW11&gt;=HA$22,GW11&lt;&gt;""),AND(GX11&gt;=HA$18,GX11&lt;&gt;"",GZ11&gt;=HA$22,GZ11&lt;&gt;""),AND(HV11&gt;=II$18,HV11&lt;&gt;"",HX11&gt;=II$22,HX11&lt;&gt;""),AND(HY11&gt;=II$18,HY11&lt;&gt;"",IA11&gt;=II$22,IA11&lt;&gt;""),AND(IC11&gt;=II$18,IC11&lt;&gt;"",IE11&gt;=II$22,IE11&lt;&gt;""),AND(IF11&gt;=II$18,IF11&lt;&gt;"",IH11&gt;=II$22,IH11&lt;&gt;""),AND(JD11&gt;=JQ$18,JD11&lt;&gt;"",JF11&gt;=JQ$22,JF11&lt;&gt;""),AND(JG11&gt;=JQ$18,JG11&lt;&gt;"",JI11&gt;=JQ$22,JI11&lt;&gt;""),AND(JK11&gt;=JQ$18,JK11&lt;&gt;"",JM11&gt;=JQ$22,JM11&lt;&gt;""),AND(JN11&gt;=JQ$18,JN11&lt;&gt;"",JP11&gt;=JQ$22,JP11&lt;&gt;""),AND(KL11&gt;=KY$18,KL11&lt;&gt;"",KN11&gt;=KY$22,KN11&lt;&gt;""),AND(KO11&gt;=KY$18,KO11&lt;&gt;"",KQ11&gt;=KY$22,KQ11&lt;&gt;""),AND(KS11&gt;=KY$18,KS11&lt;&gt;"",KU11&gt;=KY$22,KU11&lt;&gt;""),AND(KV11&gt;=KY$18,KV11&lt;&gt;"",KX11&gt;=KY$22,KX11&lt;&gt;""),AND(LT11&gt;=MG$18,LT11&lt;&gt;"",LV11&gt;=MG$22,LV11&lt;&gt;""),AND(LW11&gt;=MG$18,LW11&lt;&gt;"",LY11&gt;=MG$22,LY11&lt;&gt;""),AND(MA11&gt;=MG$18,MA11&lt;&gt;"",MC11&gt;=MG$22,MC11&lt;&gt;""),AND(MD11&gt;=MG$18,MD11&lt;&gt;"",MF11&gt;=MG$22,MF11&lt;&gt;""),AND(NB11&gt;=NO$18,NB11&lt;&gt;"",ND11&gt;=NO$22,ND11&lt;&gt;""),AND(NE11&gt;=NO$18,NE11&lt;&gt;"",NG11&gt;=NO$22,NG11&lt;&gt;""),AND(NI11&gt;=NO$18,NI11&lt;&gt;"",NK11&gt;=NO$22,NK11&lt;&gt;""),AND(NL11&gt;=NO$18,NL11&lt;&gt;"",NN11&gt;=NO$22,NN11&lt;&gt;""),AND(OJ11&gt;=OW$18,OJ11&lt;&gt;"",OL11&gt;=OW$22,OL11&lt;&gt;""),AND(OM11&gt;=OW$18,OM11&lt;&gt;"",OO11&gt;=OW$22,OO11&lt;&gt;""),AND(OQ11&gt;=OW$18,OQ11&lt;&gt;"",OS11&gt;=OW$22,OS11&lt;&gt;""),AND(OT11&gt;=OW$18,OT11&lt;&gt;"",OV11&gt;=OW$22,OV11&lt;&gt;""),AND(PR11&gt;=QE$18,PR11&lt;&gt;"",PT11&gt;=QE$22,PT11&lt;&gt;""),AND(PU11&gt;=QE$18,PU11&lt;&gt;"",PW11&gt;=QE$22,PW11&lt;&gt;""),AND(PY11&gt;=QE$18,PY11&lt;&gt;"",QA11&gt;=QE$22,QA11&lt;&gt;""),AND(QB11&gt;=QE$18,QB11&lt;&gt;"",QD11&gt;=QE$22,QD11&lt;&gt;""),AND(QZ11&gt;=RM$18,QZ11&lt;&gt;"",RB11&gt;=RM$22,RB11&lt;&gt;""),AND(RC11&gt;=RM$18,RC11&lt;&gt;"",RE11&gt;=RM$22,RE11&lt;&gt;""),AND(RG11&gt;=RM$18,RG11&lt;&gt;"",RI11&gt;=RM$22,RI11&lt;&gt;""),AND(RJ11&gt;=RM$18,RJ11&lt;&gt;"",RL11&gt;=RM$22,RL11&lt;&gt;""),AND(SH11&gt;=SU$18,SH11&lt;&gt;"",SJ11&gt;=SU$22,SJ11&lt;&gt;""),AND(SK11&gt;=SU$18,SK11&lt;&gt;"",SM11&gt;=SU$22,SM11&lt;&gt;""),AND(SO11&gt;=SU$18,SO11&lt;&gt;"",SQ11&gt;=SU$22,SQ11&lt;&gt;""),AND(SR11&gt;=SU$18,SR11&lt;&gt;"",ST11&gt;=SU$22,ST11&lt;&gt;"")),"P","")</f>
        <v>P</v>
      </c>
      <c r="J11" s="13">
        <f>IF(COUNT(AQ11,AT11,BR11,BU11,CS11,CV11)&gt;0,LARGE((AQ11,AT11,BR11,BU11,CS11,CV11),1),0)</f>
        <v>54.330000000000005</v>
      </c>
      <c r="K11" s="13" t="str">
        <f>IF(J11="","",IF(OR(J11=CS11,J11=CV11),$CA$1,IF(OR(J11=BR11,J11=BU11),$AZ$1,IF(OR(J11=AQ11,J11=AT11),$Y$1,""))))</f>
        <v>2021 Elite Canada</v>
      </c>
      <c r="L11" s="13">
        <f>IF(COUNT(AQ11,AT11,BR11,BU11,CS11,CV11)&gt;1,LARGE((AQ11,AT11,BR11,BU11,CS11,CV11),2),0)</f>
        <v>51.995000000000005</v>
      </c>
      <c r="M11" s="13" t="str">
        <f>IF(L11="","",IF(OR(L11=CS11,L11=CV11),$CA$1,IF(OR(L11=BR11,L11=BU11),$AZ$1,IF(OR(L11=AQ11,L11=AT11),$Y$1,""))))</f>
        <v>2021 Elite Canada</v>
      </c>
      <c r="N11" s="13">
        <f>IF(COUNT(AQ11,AT11,BR11,BU11,CS11,CV11)&gt;2,LARGE((AQ11,AT11,BR11,BU11,CS11,CV11),3),0)</f>
        <v>0</v>
      </c>
      <c r="O11" s="13" t="str">
        <f>IF(N11="","",IF(OR(N11=CS11,N11=CV11),$CA$1,IF(OR(N11=BR11,N11=BU11),$AZ$1,IF(OR(N11=AQ11,N11=AT11),$Y$1,""))))</f>
        <v/>
      </c>
      <c r="P11" s="13">
        <f>IF(MAX(AX11,BY11,CZ11)&gt;0,MAX(AX11,BY11,CZ11),0)</f>
        <v>54.994999999999997</v>
      </c>
      <c r="Q11" s="13" t="str">
        <f>IF(P11="","",IF(P11=CZ11,$CA$1,IF(P11=BY11,$AZ$1,IF(P11=AX11,$Y$1,""))))</f>
        <v>2021 Elite Canada</v>
      </c>
      <c r="R11" s="13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14.9</v>
      </c>
      <c r="S11" s="13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2020 Olympic Games (July 30, 2021)</v>
      </c>
      <c r="T11" s="13">
        <f>IF(MAX(IF(AO11&gt;=$AY$17,AP11,0),IF(AR11&gt;=$AY$17,AS11,0),IF(AV11&gt;=$AY$17,AW11,0),IF(BP11&gt;=$BZ$17,BQ11,0),IF(BS11&gt;=$BZ$17,BT11,0),IF(BW11&gt;=$BZ$17,BX11,0),IF(CQ11&gt;=$DA$17,CR11,0),IF(CT11&gt;=$DA$17,CU11,0),IF(CX11&gt;=$DA$17,CY11,0))&gt;0,MAX(IF(AO11&gt;=$AY$17,AP11,0),IF(AR11&gt;=$AY$17,AS11,0),IF(AV11&gt;=$AY$17,AW11,0),IF(BP11&gt;=$BZ$17,BQ11,0),IF(BS11&gt;=$BZ$17,BT11,0),IF(BW11&gt;=$BZ$17,BX11,0),IF(CQ11&gt;=$DA$17,CR11,0),IF(CT11&gt;=$DA$17,CU11,0),IF(CX11&gt;=$DA$17,CY11,0),IF(DX11&gt;=$EK$17,DY11,0),IF(EA11&gt;=$EK$17,EB11,0),IF(EE11&gt;=$EK$17,EF11,0),IF(EH11&gt;=$EK$17,EI11,0),IF(FF11&gt;=$FS$17,FG11,0),IF(FI11&gt;=$FS$17,FJ11,0),IF(FM11&gt;=$FS$17,FN11,0),IF(FP11&gt;=$FS$17,FQ11,0),IF(GN11&gt;=$HA$17,GO11,0),IF(GQ11&gt;=$HA$17,GR11,0),IF(GU11&gt;=$HA$17,GV11,0),IF(GX11&gt;=$HA$17,GY11,0),IF(HV11&gt;=$II$17,HW11,0),IF(HY11&gt;=$II$17,HZ11,0),IF(IC11&gt;=$II$17,ID11,0),IF(IF11&gt;=$II$17,IG11,0),IF(JD11&gt;=$JQ$17,JE11,0),IF(JG11&gt;=$JQ$17,JH11,0),IF(JK11&gt;=$JQ$17,JL11,0),IF(JN11&gt;=$JQ$17,JO11,0),IF(KL11&gt;=$KY$17,KM11,0),IF(KO11&gt;=$KY$17,KP11,0),IF(KS11&gt;=$KY$17,KT11,0),IF(KV11&gt;=$KY$17,KW11,0),IF(LT11&gt;=$MG$17,LU11,0),IF(LW11&gt;=$MG$17,LX11,0),IF(MA11&gt;=$MG$17,MB11,0),IF(MD11&gt;=$MG$17,ME11,0),IF(NB11&gt;=$NO$17,NC11,0),IF(NE11&gt;=$NO$17,NF11,0),IF(NI11&gt;=$NO$17,NJ11,0),IF(NL11&gt;=$NO$17,NM11,0),IF(OJ11&gt;=$OW$17,OK11,0),IF(OM11&gt;=$OW$17,ON11,0),IF(OQ11&gt;=$OW$17,OR11,0),IF(OT11&gt;=$OW$17,OU11,0),IF(PR11&gt;=$QE$17,PS11,0),IF(PU11&gt;=$QE$17,PV11,0),IF(PY11&gt;=$QE$17,PZ11,0),IF(QB11&gt;=$QE$17,QC11,0),IF(QZ11&gt;=$RM$17,RA11,0),IF(RC11&gt;=$RM$17,RD11,0),IF(RG11&gt;=$RM$17,RH11,0),IF(RJ11&gt;=$RM$17,RK11,0),IF(SH11&gt;=$SU$17,SI11,0),IF(SK11&gt;=$SU$17,SL11,0),IF(SO11&gt;=$SU$17,SP11,0),IF(SR11&gt;=$SU$17,SS11,0)),0)</f>
        <v>15.93</v>
      </c>
      <c r="U11" s="13" t="str">
        <f>IF(T11=0,"",IF(OR(T11=CR11,T11=CU11,T11=CY11),$CA$1,IF(OR(T11=BQ11,T11=BT11,T11=BX11),$AZ$1,IF(OR(T11=AP11,T11=AS11,T11=AW11),$Y$1,IF(OR(R11=SI11,R11=SL11,R11=SP11,R11=SS11),$RN$1,IF(OR(R11=RA11,R11=RD11,R11=RH11,R11=RK11),$QF$1,IF(OR(R11=PS11,R11=PV11,R11=PZ11,R11=QC11),$OX$1,IF(OR(R11=OK11,R11=ON11,R11=OR11,R11=OU11),$NP$1,IF(OR(R11=NC11,R11=NF11,R11=NJ11,R11=NM11),$MH$1,IF(OR(R11=LU11,R11=LX11,R11=MB11,R11=ME11),$KZ$1,IF(OR(R11=KM11,R11=KP11,R11=KT11,R11=KW11),$JR$1,IF(OR(R11=JE11,R11=JH11,R11=JL11,R11=JO11),$IJ$1,IF(OR(R11=HW11,R11=HZ11,R11=ID11,R11=IG11),$HB$1,IF(OR(R11=GO11,R11=GR11,R11=GV11,R11=GY11),$FT$1,IF(OR(R11=FG11,R11=FJ11,R11=FN11,R11=FQ11),$EL$1,IF(OR(R11=DY11,R11=EB11,R11=EF11,R11=EI11),$DD$1,""))))))))))))))))</f>
        <v>2021 Elite Canada</v>
      </c>
      <c r="V11" s="13">
        <f>IF(MAX(DB11,DC11)&gt;0,MAX(DB11,DC11),"")</f>
        <v>3.5999999999999943</v>
      </c>
      <c r="W11" s="16" t="str">
        <f>IF(V11="","",IF(V11=DB11,"("&amp;DB$2&amp;")",IF(V11=DC11,"("&amp;DC$2&amp;")")))</f>
        <v>(Prelim)</v>
      </c>
      <c r="X11" s="13" t="str">
        <f>IF(V11="","",IF(V11=DB11,IF(V11+IF(L11="",0,L11)=SN11,$RN$1,IF(V11+IF(L11="",0,L11)=RF11,$QF$1,IF(V11+IF(L11="",0,L11)=PX11,$OX$1,IF(V11+IF(L11="",0,L11)=OP11,$NP$1,IF(V11+IF(L11="",0,L11)=NH11,$MH$1,IF(V11+IF(L11="",0,L11)=LZ11,$KZ$1,IF(V11+IF(L11="",0,L11)=KR11,$JR$1,IF(V11+IF(L11="",0,L11)=JJ11,$IJ$1,IF(V11+IF(L11="",0,L11)=IB11,$HB$1,IF(V11+IF(L11="",0,L11)=GT11,$FT$1,IF(V11+IF(L11="",0,L11)=FL11,$EL$1,IF(V11+IF(L11="",0,L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$1)))))))))))))))</f>
        <v>2020 Olympic Games (July 30, 2021)</v>
      </c>
      <c r="Y11" s="42">
        <v>15.5</v>
      </c>
      <c r="Z11" s="42">
        <v>8.3000000000000007</v>
      </c>
      <c r="AA11" s="42">
        <v>11.8</v>
      </c>
      <c r="AB11" s="42">
        <v>16.395</v>
      </c>
      <c r="AC11" s="42">
        <v>0</v>
      </c>
      <c r="AD11" s="42">
        <v>15.9</v>
      </c>
      <c r="AE11" s="42">
        <v>9.1999999999999993</v>
      </c>
      <c r="AF11" s="42">
        <v>13.3</v>
      </c>
      <c r="AG11" s="42">
        <v>15.93</v>
      </c>
      <c r="AH11" s="42">
        <v>0</v>
      </c>
      <c r="AI11" s="42">
        <v>16.5</v>
      </c>
      <c r="AJ11" s="42">
        <v>9.3000000000000007</v>
      </c>
      <c r="AK11" s="42">
        <v>13.6</v>
      </c>
      <c r="AL11" s="42">
        <v>15.595000000000001</v>
      </c>
      <c r="AM11" s="42">
        <v>0</v>
      </c>
      <c r="AN11" s="51"/>
      <c r="AO11" s="74">
        <f>IF(AA11&gt;0,AA11,"")</f>
        <v>11.8</v>
      </c>
      <c r="AP11" s="74">
        <f>IF(AB11&gt;0,AB11,"")</f>
        <v>16.395</v>
      </c>
      <c r="AQ11" s="76">
        <f>IF(SUM(Y11:AB11)-AC11&gt;0,SUM(Y11:AB11)-AC11,"")</f>
        <v>51.995000000000005</v>
      </c>
      <c r="AR11" s="76">
        <f>IF(AF11&gt;0,AF11,"")</f>
        <v>13.3</v>
      </c>
      <c r="AS11" s="76">
        <f>IF(AG11&gt;0,AG11,"")</f>
        <v>15.93</v>
      </c>
      <c r="AT11" s="76">
        <f>IF(SUM(AD11:AG11)-AH11&gt;0,SUM(AD11:AG11)-AH11,"")</f>
        <v>54.330000000000005</v>
      </c>
      <c r="AU11" s="76">
        <f>IF(AQ11="","",MAX(AQ11,AT11))</f>
        <v>54.330000000000005</v>
      </c>
      <c r="AV11" s="76">
        <f>IF(AK11&gt;0,AK11,"")</f>
        <v>13.6</v>
      </c>
      <c r="AW11" s="76">
        <f>IF(AL11&gt;0,AL11,"")</f>
        <v>15.595000000000001</v>
      </c>
      <c r="AX11" s="76">
        <f>IF(SUM(AI11:AL11)-AM11&gt;0,SUM(AI11:AL11)-AM11,"")</f>
        <v>54.994999999999997</v>
      </c>
      <c r="AY11" s="76">
        <f>IF(SUM(AU11,AX11)&gt;0,SUM(AU11,AX11),"")</f>
        <v>109.325</v>
      </c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52"/>
      <c r="BP11" s="75" t="str">
        <f>IF(BB11&gt;0,BB11,"")</f>
        <v/>
      </c>
      <c r="BQ11" s="75" t="str">
        <f>IF(BC11&gt;0,BC11,"")</f>
        <v/>
      </c>
      <c r="BR11" s="16" t="str">
        <f>IF(SUM(AZ11:BC11)-BD11&gt;0,SUM(AZ11:BC11)-BD11,"")</f>
        <v/>
      </c>
      <c r="BS11" s="16" t="str">
        <f>IF(BG11&gt;0,BG11,"")</f>
        <v/>
      </c>
      <c r="BT11" s="16" t="str">
        <f>IF(BH11&gt;0,BH11,"")</f>
        <v/>
      </c>
      <c r="BU11" s="16" t="str">
        <f>IF(SUM(BE11:BH11)-BI11&gt;0,SUM(BE11:BH11)-BI11,"")</f>
        <v/>
      </c>
      <c r="BV11" s="16" t="str">
        <f>IF(BR11="","",MAX(BR11,BU11))</f>
        <v/>
      </c>
      <c r="BW11" s="16" t="str">
        <f>IF(BL11&gt;0,BL11,"")</f>
        <v/>
      </c>
      <c r="BX11" s="16" t="str">
        <f>IF(BM11&gt;0,BM11,"")</f>
        <v/>
      </c>
      <c r="BY11" s="16" t="str">
        <f>IF(SUM(BJ11:BM11)-BN11&gt;0,SUM(BJ11:BM11)-BN11,"")</f>
        <v/>
      </c>
      <c r="BZ11" s="16" t="str">
        <f>IF(SUM(BV11,BY11)&gt;0,SUM(BV11,BY11),"")</f>
        <v/>
      </c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51"/>
      <c r="CQ11" s="74" t="str">
        <f>IF(CC11&gt;0,CC11,"")</f>
        <v/>
      </c>
      <c r="CR11" s="74" t="str">
        <f>IF(CD11&gt;0,CD11,"")</f>
        <v/>
      </c>
      <c r="CS11" s="76" t="str">
        <f>IF(SUM(CA11:CD11)-CE11&gt;0,SUM(CA11:CD11)-CE11,"")</f>
        <v/>
      </c>
      <c r="CT11" s="76" t="str">
        <f>IF(CH11&gt;0,CH11,"")</f>
        <v/>
      </c>
      <c r="CU11" s="76" t="str">
        <f>IF(CI11&gt;0,CI11,"")</f>
        <v/>
      </c>
      <c r="CV11" s="76" t="str">
        <f>IF(SUM(CF11:CI11)-CJ11&gt;0,SUM(CF11:CI11)-CJ11,"")</f>
        <v/>
      </c>
      <c r="CW11" s="76" t="str">
        <f>IF(CS11="","",MAX(CS11,CV11))</f>
        <v/>
      </c>
      <c r="CX11" s="76" t="str">
        <f>IF(CM11&gt;0,CM11,"")</f>
        <v/>
      </c>
      <c r="CY11" s="76" t="str">
        <f>IF(CN11&gt;0,CN11,"")</f>
        <v/>
      </c>
      <c r="CZ11" s="76" t="str">
        <f>IF(SUM(CK11:CN11)-CO11&gt;0,SUM(CK11:CN11)-CO11,"")</f>
        <v/>
      </c>
      <c r="DA11" s="76" t="str">
        <f>IF(SUM(CW11,CZ11)&gt;0,SUM(CW11,CZ11),"")</f>
        <v/>
      </c>
      <c r="DB11" s="87">
        <f>IF(L11&gt;=0.001,IF(MAX(ED11,FL11,GT11,IB11,JJ11,KR11,LZ11,NH11,OP11,PX11,RF11,SN11)-IF(L11="",0,L11)&gt;0.001,MAX(ED11,FL11,GT11,IB11,JJ11,KR11,LZ11,NH11,OP11,PX11,RF11,SN11)-IF(L11="",0,L11),""),"")</f>
        <v>3.5999999999999943</v>
      </c>
      <c r="DC11" s="87">
        <f>IF(P11&gt;=0.001,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,"")</f>
        <v>0.46499999999999631</v>
      </c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76" t="str">
        <f>IF(DF11&gt;0,DF11,"")</f>
        <v/>
      </c>
      <c r="DY11" s="76" t="str">
        <f>IF(DG11&gt;0,DG11,"")</f>
        <v/>
      </c>
      <c r="DZ11" s="76" t="str">
        <f>IF(SUM(DD11:DG11)-DH11&gt;0,SUM(DD11:DG11)-DH11,"")</f>
        <v/>
      </c>
      <c r="EA11" s="76" t="str">
        <f>IF(DK11&gt;0,DK11,"")</f>
        <v/>
      </c>
      <c r="EB11" s="76" t="str">
        <f>IF(DL11&gt;0,DL11,"")</f>
        <v/>
      </c>
      <c r="EC11" s="76" t="str">
        <f>IF(SUM(DI11:DL11)-DM11&gt;0,SUM(DI11:DL11)-DM11,"")</f>
        <v/>
      </c>
      <c r="ED11" s="76" t="str">
        <f>IF(MAX(DZ11,EC11)&gt;0,MAX(DZ11,EC11),"")</f>
        <v/>
      </c>
      <c r="EE11" s="76" t="str">
        <f>IF(DP11&gt;0,DP11,"")</f>
        <v/>
      </c>
      <c r="EF11" s="76" t="str">
        <f>IF(DQ11&gt;0,DQ11,"")</f>
        <v/>
      </c>
      <c r="EG11" s="76" t="str">
        <f>IF(SUM(DN11:DQ11)-DR11&gt;0,SUM(DN11:DQ11)-DR11,"")</f>
        <v/>
      </c>
      <c r="EH11" s="76" t="str">
        <f>IF(DU11&gt;0,DU11,"")</f>
        <v/>
      </c>
      <c r="EI11" s="76" t="str">
        <f>IF(DV11&gt;0,DV11,"")</f>
        <v/>
      </c>
      <c r="EJ11" s="76" t="str">
        <f>IF(SUM(DS11:DV11)-DW11&gt;0,SUM(DS11:DV11)-DW11,"")</f>
        <v/>
      </c>
      <c r="EK11" s="76" t="str">
        <f>IF(SUM(ED11,EJ11)&gt;0,SUM(ED11,EJ11),"")</f>
        <v/>
      </c>
      <c r="EL11" s="26">
        <v>15.5</v>
      </c>
      <c r="EM11" s="26">
        <v>9.5</v>
      </c>
      <c r="EN11" s="26">
        <v>14.9</v>
      </c>
      <c r="EO11" s="26">
        <v>15.695</v>
      </c>
      <c r="EP11" s="26">
        <v>0</v>
      </c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>
        <v>15.6</v>
      </c>
      <c r="FB11" s="26">
        <v>9.1999999999999993</v>
      </c>
      <c r="FC11" s="26">
        <v>14.9</v>
      </c>
      <c r="FD11" s="26">
        <v>15.76</v>
      </c>
      <c r="FE11" s="26">
        <v>0</v>
      </c>
      <c r="FF11" s="16">
        <f>IF(EN11&gt;0,EN11,"")</f>
        <v>14.9</v>
      </c>
      <c r="FG11" s="16">
        <f>IF(EO11&gt;0,EO11,"")</f>
        <v>15.695</v>
      </c>
      <c r="FH11" s="16">
        <f>IF(SUM(EL11:EO11)-EP11&gt;0,SUM(EL11:EO11)-EP11,"")</f>
        <v>55.594999999999999</v>
      </c>
      <c r="FI11" s="16" t="str">
        <f>IF(ES11&gt;0,ES11,"")</f>
        <v/>
      </c>
      <c r="FJ11" s="16" t="str">
        <f>IF(ET11&gt;0,ET11,"")</f>
        <v/>
      </c>
      <c r="FK11" s="16" t="str">
        <f>IF(SUM(EQ11:ET11)-EU11&gt;0,SUM(EQ11:ET11)-EU11,"")</f>
        <v/>
      </c>
      <c r="FL11" s="16">
        <f>IF(MAX(FH11,FK11)&gt;0,MAX(FH11,FK11),"")</f>
        <v>55.594999999999999</v>
      </c>
      <c r="FM11" s="16" t="str">
        <f>IF(EX11&gt;0,EX11,"")</f>
        <v/>
      </c>
      <c r="FN11" s="16" t="str">
        <f>IF(EY11&gt;0,EY11,"")</f>
        <v/>
      </c>
      <c r="FO11" s="16" t="str">
        <f>IF(SUM(EV11:EY11)-EZ11&gt;0,SUM(EV11:EY11)-EZ11,"")</f>
        <v/>
      </c>
      <c r="FP11" s="16">
        <f>IF(FC11&gt;0,FC11,"")</f>
        <v>14.9</v>
      </c>
      <c r="FQ11" s="16">
        <f>IF(FD11&gt;0,FD11,"")</f>
        <v>15.76</v>
      </c>
      <c r="FR11" s="16">
        <f>IF(SUM(FA11:FD11)-FE11&gt;0,SUM(FA11:FD11)-FE11,"")</f>
        <v>55.459999999999994</v>
      </c>
      <c r="FS11" s="16">
        <f>IF(SUM(FL11,FR11)&gt;0,SUM(FL11,FR11),"")</f>
        <v>111.05499999999999</v>
      </c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76" t="str">
        <f>IF(FV11&gt;0,FV11,"")</f>
        <v/>
      </c>
      <c r="GO11" s="76" t="str">
        <f>IF(FW11&gt;0,FW11,"")</f>
        <v/>
      </c>
      <c r="GP11" s="76" t="str">
        <f>IF(SUM(FT11:FW11)-FX11&gt;0,SUM(FT11:FW11)-FX11,"")</f>
        <v/>
      </c>
      <c r="GQ11" s="76" t="str">
        <f>IF(GA11&gt;0,GA11,"")</f>
        <v/>
      </c>
      <c r="GR11" s="76" t="str">
        <f>IF(GB11&gt;0,GB11,"")</f>
        <v/>
      </c>
      <c r="GS11" s="76" t="str">
        <f>IF(SUM(FY11:GB11)-GC11&gt;0,SUM(FY11:GB11)-GC11,"")</f>
        <v/>
      </c>
      <c r="GT11" s="76" t="str">
        <f>IF(MAX(GP11,GS11)&gt;0,MAX(GP11,GS11),"")</f>
        <v/>
      </c>
      <c r="GU11" s="76" t="str">
        <f>IF(GF11&gt;0,GF11,"")</f>
        <v/>
      </c>
      <c r="GV11" s="76" t="str">
        <f>IF(GG11&gt;0,GG11,"")</f>
        <v/>
      </c>
      <c r="GW11" s="76" t="str">
        <f>IF(SUM(GD11:GG11)-GH11&gt;0,SUM(GD11:GG11)-GH11,"")</f>
        <v/>
      </c>
      <c r="GX11" s="76" t="str">
        <f>IF(GK11&gt;0,GK11,"")</f>
        <v/>
      </c>
      <c r="GY11" s="76" t="str">
        <f>IF(GL11&gt;0,GL11,"")</f>
        <v/>
      </c>
      <c r="GZ11" s="76" t="str">
        <f>IF(SUM(GI11:GL11)-GM11&gt;0,SUM(GI11:GL11)-GM11,"")</f>
        <v/>
      </c>
      <c r="HA11" s="76" t="str">
        <f>IF(SUM(GT11,GZ11)&gt;0,SUM(GT11,GZ11),"")</f>
        <v/>
      </c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16" t="str">
        <f>IF(HD11&gt;0,HD11,"")</f>
        <v/>
      </c>
      <c r="HW11" s="16" t="str">
        <f>IF(HE11&gt;0,HE11,"")</f>
        <v/>
      </c>
      <c r="HX11" s="16" t="str">
        <f>IF(SUM(HB11:HE11)-HF11&gt;0,SUM(HB11:HE11)-HF11,"")</f>
        <v/>
      </c>
      <c r="HY11" s="16" t="str">
        <f>IF(HI11&gt;0,HI11,"")</f>
        <v/>
      </c>
      <c r="HZ11" s="16" t="str">
        <f>IF(HJ11&gt;0,HJ11,"")</f>
        <v/>
      </c>
      <c r="IA11" s="16" t="str">
        <f>IF(SUM(HG11:HJ11)-HK11&gt;0,SUM(HG11:HJ11)-HK11,"")</f>
        <v/>
      </c>
      <c r="IB11" s="16" t="str">
        <f>IF(MAX(HX11,IA11)&gt;0,MAX(HX11,IA11),"")</f>
        <v/>
      </c>
      <c r="IC11" s="16" t="str">
        <f>IF(HN11&gt;0,HN11,"")</f>
        <v/>
      </c>
      <c r="ID11" s="16" t="str">
        <f>IF(HO11&gt;0,HO11,"")</f>
        <v/>
      </c>
      <c r="IE11" s="16" t="str">
        <f>IF(SUM(HL11:HO11)-HP11&gt;0,SUM(HL11:HO11)-HP11,"")</f>
        <v/>
      </c>
      <c r="IF11" s="16" t="str">
        <f>IF(HS11&gt;0,HS11,"")</f>
        <v/>
      </c>
      <c r="IG11" s="16" t="str">
        <f>IF(HT11&gt;0,HT11,"")</f>
        <v/>
      </c>
      <c r="IH11" s="16" t="str">
        <f>IF(SUM(HQ11:HT11)-HU11&gt;0,SUM(HQ11:HT11)-HU11,"")</f>
        <v/>
      </c>
      <c r="II11" s="16" t="str">
        <f>IF(SUM(IB11,IH11)&gt;0,SUM(IB11,IH11),"")</f>
        <v/>
      </c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76" t="str">
        <f>IF(IL11&gt;0,IL11,"")</f>
        <v/>
      </c>
      <c r="JE11" s="76" t="str">
        <f>IF(IM11&gt;0,IM11,"")</f>
        <v/>
      </c>
      <c r="JF11" s="76" t="str">
        <f>IF(SUM(IJ11:IM11)-IN11&gt;0,SUM(IJ11:IM11)-IN11,"")</f>
        <v/>
      </c>
      <c r="JG11" s="76" t="str">
        <f>IF(IQ11&gt;0,IQ11,"")</f>
        <v/>
      </c>
      <c r="JH11" s="76" t="str">
        <f>IF(IR11&gt;0,IR11,"")</f>
        <v/>
      </c>
      <c r="JI11" s="76" t="str">
        <f>IF(SUM(IO11:IR11)-IS11&gt;0,SUM(IO11:IR11)-IS11,"")</f>
        <v/>
      </c>
      <c r="JJ11" s="76" t="str">
        <f>IF(MAX(JF11,JI11)&gt;0,MAX(JF11,JI11),"")</f>
        <v/>
      </c>
      <c r="JK11" s="76" t="str">
        <f>IF(IV11&gt;0,IV11,"")</f>
        <v/>
      </c>
      <c r="JL11" s="76" t="str">
        <f>IF(IW11&gt;0,IW11,"")</f>
        <v/>
      </c>
      <c r="JM11" s="76" t="str">
        <f>IF(SUM(IT11:IW11)-IX11&gt;0,SUM(IT11:IW11)-IX11,"")</f>
        <v/>
      </c>
      <c r="JN11" s="76" t="str">
        <f>IF(JA11&gt;0,JA11,"")</f>
        <v/>
      </c>
      <c r="JO11" s="76" t="str">
        <f>IF(JB11&gt;0,JB11,"")</f>
        <v/>
      </c>
      <c r="JP11" s="76" t="str">
        <f>IF(SUM(IY11:JB11)-JC11&gt;0,SUM(IY11:JB11)-JC11,"")</f>
        <v/>
      </c>
      <c r="JQ11" s="76" t="str">
        <f>IF(SUM(JJ11,JP11)&gt;0,SUM(JJ11,JP11),"")</f>
        <v/>
      </c>
      <c r="JR11" s="26"/>
      <c r="JS11" s="26"/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16" t="str">
        <f>IF(JT11&gt;0,JT11,"")</f>
        <v/>
      </c>
      <c r="KM11" s="16" t="str">
        <f>IF(JU11&gt;0,JU11,"")</f>
        <v/>
      </c>
      <c r="KN11" s="16" t="str">
        <f>IF(SUM(JR11:JU11)-JV11&gt;0,SUM(JR11:JU11)-JV11,"")</f>
        <v/>
      </c>
      <c r="KO11" s="16" t="str">
        <f>IF(JY11&gt;0,JY11,"")</f>
        <v/>
      </c>
      <c r="KP11" s="16" t="str">
        <f>IF(JZ11&gt;0,JZ11,"")</f>
        <v/>
      </c>
      <c r="KQ11" s="16" t="str">
        <f>IF(SUM(JW11:JZ11)-KA11&gt;0,SUM(JW11:JZ11)-KA11,"")</f>
        <v/>
      </c>
      <c r="KR11" s="16" t="str">
        <f>IF(MAX(KN11,KQ11)&gt;0,MAX(KN11,KQ11),"")</f>
        <v/>
      </c>
      <c r="KS11" s="16" t="str">
        <f>IF(KD11&gt;0,KD11,"")</f>
        <v/>
      </c>
      <c r="KT11" s="16" t="str">
        <f>IF(KE11&gt;0,KE11,"")</f>
        <v/>
      </c>
      <c r="KU11" s="16" t="str">
        <f>IF(SUM(KB11:KE11)-KF11&gt;0,SUM(KB11:KE11)-KF11,"")</f>
        <v/>
      </c>
      <c r="KV11" s="16" t="str">
        <f>IF(KI11&gt;0,KI11,"")</f>
        <v/>
      </c>
      <c r="KW11" s="16" t="str">
        <f>IF(KJ11&gt;0,KJ11,"")</f>
        <v/>
      </c>
      <c r="KX11" s="16" t="str">
        <f>IF(SUM(KG11:KJ11)-KK11&gt;0,SUM(KG11:KJ11)-KK11,"")</f>
        <v/>
      </c>
      <c r="KY11" s="16" t="str">
        <f>IF(SUM(KR11,KX11)&gt;0,SUM(KR11,KX11),"")</f>
        <v/>
      </c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76" t="str">
        <f>IF(LB11&gt;0,LB11,"")</f>
        <v/>
      </c>
      <c r="LU11" s="76" t="str">
        <f>IF(LC11&gt;0,LC11,"")</f>
        <v/>
      </c>
      <c r="LV11" s="76" t="str">
        <f>IF(SUM(KZ11:LC11)-LD11&gt;0,SUM(KZ11:LC11)-LD11,"")</f>
        <v/>
      </c>
      <c r="LW11" s="76" t="str">
        <f>IF(LG11&gt;0,LG11,"")</f>
        <v/>
      </c>
      <c r="LX11" s="76" t="str">
        <f>IF(LH11&gt;0,LH11,"")</f>
        <v/>
      </c>
      <c r="LY11" s="76" t="str">
        <f>IF(SUM(LE11:LH11)-LI11&gt;0,SUM(LE11:LH11)-LI11,"")</f>
        <v/>
      </c>
      <c r="LZ11" s="76" t="str">
        <f>IF(MAX(LV11,LY11)&gt;0,MAX(LV11,LY11),"")</f>
        <v/>
      </c>
      <c r="MA11" s="76" t="str">
        <f>IF(LL11&gt;0,LL11,"")</f>
        <v/>
      </c>
      <c r="MB11" s="76" t="str">
        <f>IF(LM11&gt;0,LM11,"")</f>
        <v/>
      </c>
      <c r="MC11" s="76" t="str">
        <f>IF(SUM(LJ11:LM11)-LN11&gt;0,SUM(LJ11:LM11)-LN11,"")</f>
        <v/>
      </c>
      <c r="MD11" s="76" t="str">
        <f>IF(LQ11&gt;0,LQ11,"")</f>
        <v/>
      </c>
      <c r="ME11" s="76" t="str">
        <f>IF(LR11&gt;0,LR11,"")</f>
        <v/>
      </c>
      <c r="MF11" s="76" t="str">
        <f>IF(SUM(LO11:LR11)-LS11&gt;0,SUM(LO11:LR11)-LS11,"")</f>
        <v/>
      </c>
      <c r="MG11" s="76" t="str">
        <f>IF(SUM(LZ11,MF11)&gt;0,SUM(LZ11,MF11),"")</f>
        <v/>
      </c>
      <c r="MH11" s="26"/>
      <c r="MI11" s="26"/>
      <c r="MJ11" s="26"/>
      <c r="MK11" s="26"/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26"/>
      <c r="NB11" s="16" t="str">
        <f>IF(MJ11&gt;0,MJ11,"")</f>
        <v/>
      </c>
      <c r="NC11" s="16" t="str">
        <f>IF(MK11&gt;0,MK11,"")</f>
        <v/>
      </c>
      <c r="ND11" s="16" t="str">
        <f>IF(SUM(MH11:MK11)-ML11&gt;0,SUM(MH11:MK11)-ML11,"")</f>
        <v/>
      </c>
      <c r="NE11" s="16" t="str">
        <f>IF(MO11&gt;0,MO11,"")</f>
        <v/>
      </c>
      <c r="NF11" s="16" t="str">
        <f>IF(MP11&gt;0,MP11,"")</f>
        <v/>
      </c>
      <c r="NG11" s="16" t="str">
        <f>IF(SUM(MM11:MP11)-MQ11&gt;0,SUM(MM11:MP11)-MQ11,"")</f>
        <v/>
      </c>
      <c r="NH11" s="16" t="str">
        <f>IF(MAX(ND11,NG11)&gt;0,MAX(ND11,NG11),"")</f>
        <v/>
      </c>
      <c r="NI11" s="16" t="str">
        <f>IF(MT11&gt;0,MT11,"")</f>
        <v/>
      </c>
      <c r="NJ11" s="16" t="str">
        <f>IF(MU11&gt;0,MU11,"")</f>
        <v/>
      </c>
      <c r="NK11" s="16" t="str">
        <f>IF(SUM(MR11:MU11)-MV11&gt;0,SUM(MR11:MU11)-MV11,"")</f>
        <v/>
      </c>
      <c r="NL11" s="16" t="str">
        <f>IF(MY11&gt;0,MY11,"")</f>
        <v/>
      </c>
      <c r="NM11" s="16" t="str">
        <f>IF(MZ11&gt;0,MZ11,"")</f>
        <v/>
      </c>
      <c r="NN11" s="16" t="str">
        <f>IF(SUM(MW11:MZ11)-NA11&gt;0,SUM(MW11:MZ11)-NA11,"")</f>
        <v/>
      </c>
      <c r="NO11" s="16" t="str">
        <f>IF(SUM(NH11,NN11)&gt;0,SUM(NH11,NN11),"")</f>
        <v/>
      </c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76" t="str">
        <f>IF(NR11&gt;0,NR11,"")</f>
        <v/>
      </c>
      <c r="OK11" s="76" t="str">
        <f>IF(NS11&gt;0,NS11,"")</f>
        <v/>
      </c>
      <c r="OL11" s="76" t="str">
        <f>IF(SUM(NP11:NS11)-NT11&gt;0,SUM(NP11:NS11)-NT11,"")</f>
        <v/>
      </c>
      <c r="OM11" s="76" t="str">
        <f>IF(NW11&gt;0,NW11,"")</f>
        <v/>
      </c>
      <c r="ON11" s="76" t="str">
        <f>IF(NX11&gt;0,NX11,"")</f>
        <v/>
      </c>
      <c r="OO11" s="76" t="str">
        <f>IF(SUM(NU11:NX11)-NY11&gt;0,SUM(NU11:NX11)-NY11,"")</f>
        <v/>
      </c>
      <c r="OP11" s="76" t="str">
        <f>IF(MAX(OL11,OO11)&gt;0,MAX(OL11,OO11),"")</f>
        <v/>
      </c>
      <c r="OQ11" s="76" t="str">
        <f>IF(OB11&gt;0,OB11,"")</f>
        <v/>
      </c>
      <c r="OR11" s="76" t="str">
        <f>IF(OC11&gt;0,OC11,"")</f>
        <v/>
      </c>
      <c r="OS11" s="76" t="str">
        <f>IF(SUM(NZ11:OC11)-OD11&gt;0,SUM(NZ11:OC11)-OD11,"")</f>
        <v/>
      </c>
      <c r="OT11" s="76" t="str">
        <f>IF(OG11&gt;0,OG11,"")</f>
        <v/>
      </c>
      <c r="OU11" s="76" t="str">
        <f>IF(OH11&gt;0,OH11,"")</f>
        <v/>
      </c>
      <c r="OV11" s="76" t="str">
        <f>IF(SUM(OE11:OH11)-OI11&gt;0,SUM(OE11:OH11)-OI11,"")</f>
        <v/>
      </c>
      <c r="OW11" s="76" t="str">
        <f>IF(SUM(OP11,OV11)&gt;0,SUM(OP11,OV11),"")</f>
        <v/>
      </c>
      <c r="OX11" s="26"/>
      <c r="OY11" s="26"/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16" t="str">
        <f>IF(OZ11&gt;0,OZ11,"")</f>
        <v/>
      </c>
      <c r="PS11" s="16" t="str">
        <f>IF(PA11&gt;0,PA11,"")</f>
        <v/>
      </c>
      <c r="PT11" s="16" t="str">
        <f>IF(SUM(OX11:PA11)-PB11&gt;0,SUM(OX11:PA11)-PB11,"")</f>
        <v/>
      </c>
      <c r="PU11" s="16" t="str">
        <f>IF(PE11&gt;0,PE11,"")</f>
        <v/>
      </c>
      <c r="PV11" s="16" t="str">
        <f>IF(PF11&gt;0,PF11,"")</f>
        <v/>
      </c>
      <c r="PW11" s="16" t="str">
        <f>IF(SUM(PC11:PF11)-PG11&gt;0,SUM(PC11:PF11)-PG11,"")</f>
        <v/>
      </c>
      <c r="PX11" s="16" t="str">
        <f>IF(MAX(PT11,PW11)&gt;0,MAX(PT11,PW11),"")</f>
        <v/>
      </c>
      <c r="PY11" s="16" t="str">
        <f>IF(PJ11&gt;0,PJ11,"")</f>
        <v/>
      </c>
      <c r="PZ11" s="16" t="str">
        <f>IF(PK11&gt;0,PK11,"")</f>
        <v/>
      </c>
      <c r="QA11" s="16" t="str">
        <f>IF(SUM(PH11:PK11)-PL11&gt;0,SUM(PH11:PK11)-PL11,"")</f>
        <v/>
      </c>
      <c r="QB11" s="16" t="str">
        <f>IF(PO11&gt;0,PO11,"")</f>
        <v/>
      </c>
      <c r="QC11" s="16" t="str">
        <f>IF(PP11&gt;0,PP11,"")</f>
        <v/>
      </c>
      <c r="QD11" s="16" t="str">
        <f>IF(SUM(PM11:PP11)-PQ11&gt;0,SUM(PM11:PP11)-PQ11,"")</f>
        <v/>
      </c>
      <c r="QE11" s="16" t="str">
        <f>IF(SUM(PX11,QD11)&gt;0,SUM(PX11,QD11),"")</f>
        <v/>
      </c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76" t="str">
        <f>IF(QH11&gt;0,QH11,"")</f>
        <v/>
      </c>
      <c r="RA11" s="76" t="str">
        <f>IF(QI11&gt;0,QI11,"")</f>
        <v/>
      </c>
      <c r="RB11" s="76" t="str">
        <f>IF(SUM(QF11:QI11)-QJ11&gt;0,SUM(QF11:QI11)-QJ11,"")</f>
        <v/>
      </c>
      <c r="RC11" s="76" t="str">
        <f>IF(QM11&gt;0,QM11,"")</f>
        <v/>
      </c>
      <c r="RD11" s="76" t="str">
        <f>IF(QN11&gt;0,QN11,"")</f>
        <v/>
      </c>
      <c r="RE11" s="76" t="str">
        <f>IF(SUM(QK11:QN11)-QO11&gt;0,SUM(QK11:QN11)-QO11,"")</f>
        <v/>
      </c>
      <c r="RF11" s="76" t="str">
        <f>IF(MAX(RB11,RE11)&gt;0,MAX(RB11,RE11),"")</f>
        <v/>
      </c>
      <c r="RG11" s="76" t="str">
        <f>IF(QR11&gt;0,QR11,"")</f>
        <v/>
      </c>
      <c r="RH11" s="76" t="str">
        <f>IF(QS11&gt;0,QS11,"")</f>
        <v/>
      </c>
      <c r="RI11" s="76" t="str">
        <f>IF(SUM(QP11:QS11)-QT11&gt;0,SUM(QP11:QS11)-QT11,"")</f>
        <v/>
      </c>
      <c r="RJ11" s="76" t="str">
        <f>IF(QW11&gt;0,QW11,"")</f>
        <v/>
      </c>
      <c r="RK11" s="76" t="str">
        <f>IF(QX11&gt;0,QX11,"")</f>
        <v/>
      </c>
      <c r="RL11" s="76" t="str">
        <f>IF(SUM(QU11:QX11)-QY11&gt;0,SUM(QU11:QX11)-QY11,"")</f>
        <v/>
      </c>
      <c r="RM11" s="76" t="str">
        <f>IF(SUM(RF11,RL11)&gt;0,SUM(RF11,RL11),"")</f>
        <v/>
      </c>
      <c r="RN11" s="26"/>
      <c r="RO11" s="26"/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16" t="str">
        <f>IF(RP11&gt;0,RP11,"")</f>
        <v/>
      </c>
      <c r="SI11" s="16" t="str">
        <f>IF(RQ11&gt;0,RQ11,"")</f>
        <v/>
      </c>
      <c r="SJ11" s="16" t="str">
        <f>IF(SUM(RN11:RQ11)-RR11&gt;0,SUM(RN11:RQ11)-RR11,"")</f>
        <v/>
      </c>
      <c r="SK11" s="16" t="str">
        <f>IF(RU11&gt;0,RU11,"")</f>
        <v/>
      </c>
      <c r="SL11" s="16" t="str">
        <f>IF(RV11&gt;0,RV11,"")</f>
        <v/>
      </c>
      <c r="SM11" s="16" t="str">
        <f>IF(SUM(RS11:RV11)-RW11&gt;0,SUM(RS11:RV11)-RW11,"")</f>
        <v/>
      </c>
      <c r="SN11" s="16" t="str">
        <f>IF(MAX(SJ11,SM11)&gt;0,MAX(SJ11,SM11),"")</f>
        <v/>
      </c>
      <c r="SO11" s="16" t="str">
        <f>IF(RZ11&gt;0,RZ11,"")</f>
        <v/>
      </c>
      <c r="SP11" s="16" t="str">
        <f>IF(SA11&gt;0,SA11,"")</f>
        <v/>
      </c>
      <c r="SQ11" s="16" t="str">
        <f>IF(SUM(RX11:SA11)-SB11&gt;0,SUM(RX11:SA11)-SB11,"")</f>
        <v/>
      </c>
      <c r="SR11" s="16" t="str">
        <f>IF(SE11&gt;0,SE11,"")</f>
        <v/>
      </c>
      <c r="SS11" s="16" t="str">
        <f>IF(SF11&gt;0,SF11,"")</f>
        <v/>
      </c>
      <c r="ST11" s="16" t="str">
        <f>IF(SUM(SC11:SF11)-SG11&gt;0,SUM(SC11:SF11)-SG11,"")</f>
        <v/>
      </c>
      <c r="SU11" s="16" t="str">
        <f>IF(SUM(SN11,ST11)&gt;0,SUM(SN11,ST11),"")</f>
        <v/>
      </c>
      <c r="SV11" s="42">
        <f>IF($CP11="P",CA11,(CA11+AZ11)/2)</f>
        <v>0</v>
      </c>
      <c r="SW11" s="42">
        <f>IF($CP11="P",CB11,(CB11+BA11)/2)</f>
        <v>0</v>
      </c>
      <c r="SX11" s="42">
        <f>IF($CP11="P",CC11,(CC11+BB11)/2)</f>
        <v>0</v>
      </c>
      <c r="SY11" s="42">
        <f>IF($CP11="P",CD11,(CD11+BC11)/2)</f>
        <v>0</v>
      </c>
      <c r="SZ11" s="42">
        <f>IF($CP11="P",CE11,(CE11+BD11)/2)</f>
        <v>0</v>
      </c>
      <c r="TA11" s="42">
        <f>IF($CP11="P",CF11,(CF11+BE11)/2)</f>
        <v>0</v>
      </c>
      <c r="TB11" s="42">
        <f>IF($CP11="P",CG11,(CG11+BF11)/2)</f>
        <v>0</v>
      </c>
      <c r="TC11" s="42">
        <f>IF($CP11="P",CH11,(CH11+BG11)/2)</f>
        <v>0</v>
      </c>
      <c r="TD11" s="42">
        <f>IF($CP11="P",CI11,(CI11+BH11)/2)</f>
        <v>0</v>
      </c>
      <c r="TE11" s="42">
        <f>IF($CP11="P",CJ11,(CJ11+BI11)/2)</f>
        <v>0</v>
      </c>
      <c r="TF11" s="42">
        <f>IF($CP11="P",CK11,(CK11+BJ11)/2)</f>
        <v>0</v>
      </c>
      <c r="TG11" s="42">
        <f>IF($CP11="P",CL11,(CL11+BK11)/2)</f>
        <v>0</v>
      </c>
      <c r="TH11" s="42">
        <f>IF($CP11="P",CM11,(CM11+BL11)/2)</f>
        <v>0</v>
      </c>
      <c r="TI11" s="42">
        <f>IF($CP11="P",CN11,(CN11+BM11)/2)</f>
        <v>0</v>
      </c>
      <c r="TJ11" s="42">
        <f>IF($CP11="P",CO11,(CO11+BN11)/2)</f>
        <v>0</v>
      </c>
      <c r="TK11" s="51" t="s">
        <v>61</v>
      </c>
      <c r="TL11" s="76" t="str">
        <f>IF(SX11&gt;0,SX11,"")</f>
        <v/>
      </c>
      <c r="TM11" s="76" t="str">
        <f>IF(SY11&gt;0,SY11,"")</f>
        <v/>
      </c>
      <c r="TN11" s="76" t="str">
        <f>IF(SUM(SV11:SY11)-SZ11&gt;0,SUM(SV11:SY11)-SZ11,"")</f>
        <v/>
      </c>
      <c r="TO11" s="76" t="str">
        <f>IF(TC11&gt;0,TC11,"")</f>
        <v/>
      </c>
      <c r="TP11" s="76" t="str">
        <f>IF(TD11&gt;0,TD11,"")</f>
        <v/>
      </c>
      <c r="TQ11" s="76" t="str">
        <f>IF(SUM(TA11:TD11)-TE11&gt;0,SUM(TA11:TD11)-TE11,"")</f>
        <v/>
      </c>
      <c r="TR11" s="76" t="str">
        <f>IF(MAX(TN11,TQ11)&gt;0,MAX(TN11,TQ11),"")</f>
        <v/>
      </c>
      <c r="TS11" s="76" t="str">
        <f>IF(TH11&gt;0,TH11,"")</f>
        <v/>
      </c>
      <c r="TT11" s="76" t="str">
        <f>IF(TI11&gt;0,TI11,"")</f>
        <v/>
      </c>
      <c r="TU11" s="76" t="str">
        <f>IF(SUM(TF11:TI11)-TJ11&gt;0,SUM(TF11:TI11)-TJ11,"")</f>
        <v/>
      </c>
      <c r="TV11" s="76" t="str">
        <f>IF(SUM(TR11,TU11)&gt;0,SUM(TR11,TU11),"")</f>
        <v/>
      </c>
    </row>
    <row r="12" spans="1:542" x14ac:dyDescent="0.2">
      <c r="A12" s="5" t="str" cm="1">
        <f t="array" ref="A12">IF(AND(F12&lt;&gt;"",G12&lt;&gt;""),SUMPRODUCT((F$4:F$15&lt;&gt;"")*(G$4:G$15&lt;&gt;"")*(E$4:E$15&gt;E12))+1,IF(G12&lt;&gt;"",SUMPRODUCT((H$4:H$15="No DD")*(E$4:E$15&gt;E12))+1+SUMPRODUCT((F$4:F$15&lt;&gt;"")*(G$4:G$15&lt;&gt;"")),""))</f>
        <v/>
      </c>
      <c r="B12" s="6" t="s">
        <v>74</v>
      </c>
      <c r="C12" s="7" t="s">
        <v>3</v>
      </c>
      <c r="D12" s="18">
        <v>1993</v>
      </c>
      <c r="E12" s="14">
        <f>SUM(J12:V12)+SUM(J12:T12)*0.0000001+SUM(J12)*0.0000000000001</f>
        <v>218.04502180450518</v>
      </c>
      <c r="F12" s="3" t="str">
        <f>IF(OR(AND(AO12&gt;=AY$17,AO12&lt;&gt;"",AQ12&gt;=AY$21,AQ12&lt;&gt;"",AN12=""),AND(AR12&gt;=AY$17,AR12&lt;&gt;"",AT12&gt;=AY$21,AT12&lt;&gt;"",AN12=""),AND(AV12&gt;=AY$17,AV12&lt;&gt;"",AX12&gt;=AY$21,AX12&lt;&gt;"",AN12=""),AND(BP12&gt;=BZ$17,BP12&lt;&gt;"",BR12&gt;=BZ$21,BR12&lt;&gt;"",BO12=""),AND(BS12&gt;=BZ$17,BS12&lt;&gt;"",BU12&gt;=BZ$21,BU12&lt;&gt;"",BO12=""),AND(BW12&gt;=BZ$17,BW12&lt;&gt;"",BY12&gt;=BZ$21,BY12&lt;&gt;"",BO12=""),AND(CQ12&gt;=DA$17,CQ12&lt;&gt;"",CS12&gt;=DA$21,CS12&lt;&gt;"",CP12=""),AND(CT12&gt;=DA$17,CT12&lt;&gt;"",CV12&gt;=DA$21,CV12&lt;&gt;"",CP12=""),AND(CX12&gt;=DA$17,CX12&lt;&gt;"",CZ12&gt;=DA$21,CZ12&lt;&gt;"",CP12=""),AND(DX12&gt;=EK$17,DX12&lt;&gt;"",DZ12&gt;=EK$21,DZ12&lt;&gt;""),AND(EA12&gt;=EK$17,EA12&lt;&gt;"",EC12&gt;=EK$21,EC12&lt;&gt;""),AND(EE12&gt;=EK$17,EE12&lt;&gt;"",EG12&gt;=EK$21,EG12&lt;&gt;""),AND(EH12&gt;=EK$17,EH12&lt;&gt;"",EJ12&gt;=EK$21,EJ12&lt;&gt;""),AND(FF12&gt;=FS$17,FF12&lt;&gt;"",FH12&gt;=FS$21,FH12&lt;&gt;""),AND(FI12&gt;=FS$17,FI12&lt;&gt;"",FK12&gt;=FS$21,FK12&lt;&gt;""),AND(FM12&gt;=FS$17,FM12&lt;&gt;"",FO12&gt;=FS$21,FO12&lt;&gt;""),AND(FP12&gt;=FS$17,FP12&lt;&gt;"",FR12&gt;=FS$21,FR12&lt;&gt;""),AND(GN12&gt;=HA$17,GN12&lt;&gt;"",GP12&gt;=HA$21,GP12&lt;&gt;""),AND(GQ12&gt;=HA$17,GQ12&lt;&gt;"",GS12&gt;=HA$21,GS12&lt;&gt;""),AND(GU12&gt;=HA$17,GU12&lt;&gt;"",GW12&gt;=HA$21,GW12&lt;&gt;""),AND(GX12&gt;=HA$17,GX12&lt;&gt;"",GZ12&gt;=HA$21,GZ12&lt;&gt;""),AND(HV12&gt;=II$17,HV12&lt;&gt;"",HX12&gt;=II$21,HX12&lt;&gt;""),AND(HY12&gt;=II$17,HY12&lt;&gt;"",IA12&gt;=II$21,IA12&lt;&gt;""),AND(IC12&gt;=II$17,IC12&lt;&gt;"",IE12&gt;=II$21,IE12&lt;&gt;""),AND(IF12&gt;=II$17,IF12&lt;&gt;"",IH12&gt;=II$21,IH12&lt;&gt;""),AND(JD12&gt;=JQ$17,JD12&lt;&gt;"",JF12&gt;=JQ$21,JF12&lt;&gt;""),AND(JG12&gt;=JQ$17,JG12&lt;&gt;"",JI12&gt;=JQ$21,JI12&lt;&gt;""),AND(JK12&gt;=JQ$17,JK12&lt;&gt;"",JM12&gt;=JQ$21,JM12&lt;&gt;""),AND(JN12&gt;=JQ$17,JN12&lt;&gt;"",JP12&gt;=JQ$21,JP12&lt;&gt;""),AND(KL12&gt;=KY$17,KL12&lt;&gt;"",KN12&gt;=KY$21,KN12&lt;&gt;""),AND(KO12&gt;=KY$17,KO12&lt;&gt;"",KQ12&gt;=KY$21,KQ12&lt;&gt;""),AND(KS12&gt;=KY$17,KS12&lt;&gt;"",KU12&gt;=KY$21,KU12&lt;&gt;""),AND(KV12&gt;=KY$17,KV12&lt;&gt;"",KX12&gt;=KY$21,KX12&lt;&gt;""),AND(LT12&gt;=MG$17,LT12&lt;&gt;"",LV12&gt;=MG$21,LV12&lt;&gt;""),AND(LW12&gt;=MG$17,LW12&lt;&gt;"",LY12&gt;=MG$21,LY12&lt;&gt;""),AND(MA12&gt;=MG$17,MA12&lt;&gt;"",MC12&gt;=MG$21,MC12&lt;&gt;""),AND(MD12&gt;=MG$17,MD12&lt;&gt;"",MF12&gt;=MG$21,MF12&lt;&gt;""),AND(NB12&gt;=NO$17,NB12&lt;&gt;"",ND12&gt;=NO$21,ND12&lt;&gt;""),AND(NE12&gt;=NO$17,NE12&lt;&gt;"",NG12&gt;=NO$21,NG12&lt;&gt;""),AND(NI12&gt;=NO$17,NI12&lt;&gt;"",NK12&gt;=NO$21,NK12&lt;&gt;""),AND(NL12&gt;=NO$17,NL12&lt;&gt;"",NN12&gt;=NO$21,NN12&lt;&gt;""),AND(OJ12&gt;=OW$17,OJ12&lt;&gt;"",OL12&gt;=OW$21,OL12&lt;&gt;""),AND(OM12&gt;=OW$17,OM12&lt;&gt;"",OO12&gt;=OW$21,OO12&lt;&gt;""),AND(OQ12&gt;=OW$17,OQ12&lt;&gt;"",OS12&gt;=OW$21,OS12&lt;&gt;""),AND(OT12&gt;=OW$17,OT12&lt;&gt;"",OV12&gt;=OW$21,OV12&lt;&gt;""),AND(PR12&gt;=QE$17,PR12&lt;&gt;"",PT12&gt;=QE$21,PT12&lt;&gt;""),AND(PU12&gt;=QE$17,PU12&lt;&gt;"",PW12&gt;=QE$21,PW12&lt;&gt;""),AND(PY12&gt;=QE$17,PY12&lt;&gt;"",QA12&gt;=QE$21,QA12&lt;&gt;""),AND(QB12&gt;=QE$17,QB12&lt;&gt;"",QD12&gt;=QE$21,QD12&lt;&gt;""),AND(QZ12&gt;=RM$17,QZ12&lt;&gt;"",RB12&gt;=RM$21,RB12&lt;&gt;""),AND(RC12&gt;=RM$17,RC12&lt;&gt;"",RE12&gt;=RM$21,RE12&lt;&gt;""),AND(RG12&gt;=RM$17,RG12&lt;&gt;"",RI12&gt;=RM$21,RI12&lt;&gt;""),AND(RJ12&gt;=RM$17,RJ12&lt;&gt;"",RL12&gt;=RM$21,RL12&lt;&gt;""),AND(SH12&gt;=SU$17,SH12&lt;&gt;"",SJ12&gt;=SU$21,SJ12&lt;&gt;""),AND(SK12&gt;=SU$17,SK12&lt;&gt;"",SM12&gt;=SU$21,SM12&lt;&gt;""),AND(SO12&gt;=SU$17,SO12&lt;&gt;"",SQ12&gt;=SU$21,SQ12&lt;&gt;""),AND(SR12&gt;=SU$17,SR12&lt;&gt;"",ST12&gt;=SU$21,ST12&lt;&gt;"")),"P","")</f>
        <v/>
      </c>
      <c r="G12" s="3" t="str">
        <f>IF(OR(AND(AQ12&gt;=AY$21,AQ12&lt;&gt;"",AN12=""),AND(AT12&gt;=AY$21,AT12&lt;&gt;"",AN12=""),AND(AX12&gt;=AY$21,AX12&lt;&gt;"",AN12=""),AND(BR12&gt;=BZ$21,BR12&lt;&gt;"",BO12=""),AND(BU12&gt;=BZ$21,BU12&lt;&gt;"",BO12=""),AND(BY12&gt;=BZ$21,BY12&lt;&gt;"",BO12=""),AND(CS12&gt;=DA$21,CS12&lt;&gt;"",CP12=""),AND(CV12&gt;=DA$21,CV12&lt;&gt;"",CP12=""),AND(CZ12&gt;=DA$21,CZ12&lt;&gt;"",CP12=""),AND(DZ12&gt;=EK$21,DZ12&lt;&gt;""),AND(EC12&gt;=EK$21,EC12&lt;&gt;""),AND(EG12&gt;=EK$21,EG12&lt;&gt;""),AND(EJ12&gt;=EK$21,EJ12&lt;&gt;""),AND(FH12&gt;=FS$21,FH12&lt;&gt;""),AND(FK12&gt;=FS$21,FK12&lt;&gt;""),AND(FO12&gt;=FS$21,FO12&lt;&gt;""),AND(FR12&gt;=FS$21,FR12&lt;&gt;""),AND(GP12&gt;=HA$21,GP12&lt;&gt;""),AND(GS12&gt;=HA$21,GS12&lt;&gt;""),AND(GW12&gt;=HA$21,GW12&lt;&gt;""),AND(GZ12&gt;=HA$21,GZ12&lt;&gt;""),AND(HX12&gt;=II$21,HX12&lt;&gt;""),AND(IA12&gt;=II$21,IA12&lt;&gt;""),AND(IE12&gt;=II$21,IE12&lt;&gt;""),AND(IH12&gt;=II$21,IH12&lt;&gt;""),AND(JF12&gt;=JQ$21,JF12&lt;&gt;""),AND(JI12&gt;=JQ$21,JI12&lt;&gt;""),AND(JM12&gt;=JQ$21,JM12&lt;&gt;""),AND(JP12&gt;=JQ$21,JP12&lt;&gt;""),AND(KN12&gt;=KY$21,KN12&lt;&gt;""),AND(KQ12&gt;=KY$21,KQ12&lt;&gt;""),AND(KU12&gt;=KY$21,KU12&lt;&gt;""),AND(KX12&gt;=KY$21,KX12&lt;&gt;""),AND(LV12&gt;=MG$21,LV12&lt;&gt;""),AND(LY12&gt;=MG$21,LY12&lt;&gt;""),AND(MC12&gt;=MG$21,MC12&lt;&gt;""),AND(MF12&gt;=MG$21,MF12&lt;&gt;""),AND(ND12&gt;=NO$21,ND12&lt;&gt;""),AND(NG12&gt;=NO$21,NG12&lt;&gt;""),AND(NK12&gt;=NO$21,NK12&lt;&gt;""),AND(NN12&gt;=NO$21,NN12&lt;&gt;""),AND(OL12&gt;=OW$21,OL12&lt;&gt;""),AND(OO12&gt;=OW$21,OO12&lt;&gt;""),AND(OS12&gt;=OW$21,OS12&lt;&gt;""),AND(OV12&gt;=OW$21,OV12&lt;&gt;""),AND(PT12&gt;=QE$21,PT12&lt;&gt;""),AND(PW12&gt;=QE$21,PW12&lt;&gt;""),AND(QA12&gt;=QE$21,QA12&lt;&gt;""),AND(QD12&gt;=QE$21,QD12&lt;&gt;""),AND(RB12&gt;=RM$21,RB12&lt;&gt;""),AND(RE12&gt;=RM$21,RE12&lt;&gt;""),AND(RI12&gt;=RM$21,RI12&lt;&gt;""),AND(RL12&gt;=RM$21,RL12&lt;&gt;""),AND(SJ12&gt;=SU$21,SJ12&lt;&gt;""),AND(SM12&gt;=SU$21,SM12&lt;&gt;""),AND(SQ12&gt;=SU$21,SQ12&lt;&gt;""),AND(ST12&gt;=SU$21,ST12&lt;&gt;"")),"P","")</f>
        <v/>
      </c>
      <c r="H12" s="70" t="str">
        <f>IF(AND(G12="P",F12=""),"No DD",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),"Merit",IF(OR(AND(AO12&gt;=AY$19,AO12&lt;&gt;"",AQ12&gt;=AY$23,AQ12&lt;&gt;"",AN12=""),AND(AR12&gt;=AY$19,AR12&lt;&gt;"",AT12&gt;=AY$23,AT12&lt;&gt;"",AN12=""),AND(AV12&gt;=AY$19,AV12&lt;&gt;"",AX12&gt;=AY$23,AX12&lt;&gt;"",AN12=""),AND(BP12&gt;=BZ$19,BP12&lt;&gt;"",BR12&gt;=BZ$23,BR12&lt;&gt;"",BO12=""),AND(BS12&gt;=BZ$19,BS12&lt;&gt;"",BU12&gt;=BZ$23,BU12&lt;&gt;"",BO12=""),AND(BW12&gt;=BZ$19,BW12&lt;&gt;"",BY12&gt;=BZ$23,BY12&lt;&gt;"",BO12=""),AND(CQ12&gt;=DA$19,CQ12&lt;&gt;"",CS12&gt;=DA$23,CS12&lt;&gt;"",CP12=""),AND(CT12&gt;=DA$19,CT12&lt;&gt;"",CV12&gt;=DA$23,CV12&lt;&gt;"",CP12=""),AND(CX12&gt;=DA$19,CX12&lt;&gt;"",CZ12&gt;=DA$23,CZ12&lt;&gt;"",CP12=""),AND(DX12&gt;=EK$19,DX12&lt;&gt;"",DZ12&gt;=EK$23,DZ12&lt;&gt;""),AND(EA12&gt;=EK$19,EA12&lt;&gt;"",EC12&gt;=EK$23,EC12&lt;&gt;""),AND(EE12&gt;=EK$19,EE12&lt;&gt;"",EG12&gt;=EK$23,EG12&lt;&gt;""),AND(EH12&gt;=EK$19,EH12&lt;&gt;"",EJ12&gt;=EK$23,EJ12&lt;&gt;""),AND(FF12&gt;=FS$19,FF12&lt;&gt;"",FH12&gt;=FS$23,FH12&lt;&gt;""),AND(FI12&gt;=FS$19,FI12&lt;&gt;"",FK12&gt;=FS$23,FK12&lt;&gt;""),AND(FM12&gt;=FS$19,FM12&lt;&gt;"",FO12&gt;=FS$23,FO12&lt;&gt;""),AND(FP12&gt;=FS$19,FP12&lt;&gt;"",FR12&gt;=FS$23,FR12&lt;&gt;""),AND(GN12&gt;=HA$19,GN12&lt;&gt;"",GP12&gt;=HA$23,GP12&lt;&gt;""),AND(GQ12&gt;=HA$19,GQ12&lt;&gt;"",GS12&gt;=HA$23,GS12&lt;&gt;""),AND(GU12&gt;=HA$19,GU12&lt;&gt;"",GW12&gt;=HA$23,GW12&lt;&gt;""),AND(GX12&gt;=HA$19,GX12&lt;&gt;"",GZ12&gt;=HA$23,GZ12&lt;&gt;""),AND(HV12&gt;=II$19,HV12&lt;&gt;"",HX12&gt;=II$23,HX12&lt;&gt;""),AND(HY12&gt;=II$19,HY12&lt;&gt;"",IA12&gt;=II$23,IA12&lt;&gt;""),AND(IC12&gt;=II$19,IC12&lt;&gt;"",IE12&gt;=II$23,IE12&lt;&gt;""),AND(IF12&gt;=II$19,IF12&lt;&gt;"",IH12&gt;=II$23,IH12&lt;&gt;""),AND(JD12&gt;=JQ$19,JD12&lt;&gt;"",JF12&gt;=JQ$23,JF12&lt;&gt;""),AND(JG12&gt;=JQ$19,JG12&lt;&gt;"",JI12&gt;=JQ$23,JI12&lt;&gt;""),AND(JK12&gt;=JQ$19,JK12&lt;&gt;"",JM12&gt;=JQ$23,JM12&lt;&gt;""),AND(JN12&gt;=JQ$19,JN12&lt;&gt;"",JP12&gt;=JQ$23,JP12&lt;&gt;""),AND(KL12&gt;=KY$19,KL12&lt;&gt;"",KN12&gt;=KY$23,KN12&lt;&gt;""),AND(KO12&gt;=KY$19,KO12&lt;&gt;"",KQ12&gt;=KY$23,KQ12&lt;&gt;""),AND(KS12&gt;=KY$19,KS12&lt;&gt;"",KU12&gt;=KY$23,KU12&lt;&gt;""),AND(KV12&gt;=KY$19,KV12&lt;&gt;"",KX12&gt;=KY$23,KX12&lt;&gt;""),AND(LT12&gt;=MG$19,LT12&lt;&gt;"",LV12&gt;=MG$23,LV12&lt;&gt;""),AND(LW12&gt;=MG$19,LW12&lt;&gt;"",LY12&gt;=MG$23,LY12&lt;&gt;""),AND(MA12&gt;=MG$19,MA12&lt;&gt;"",MC12&gt;=MG$23,MC12&lt;&gt;""),AND(MD12&gt;=MG$19,MD12&lt;&gt;"",MF12&gt;=MG$23,MF12&lt;&gt;""),AND(NB12&gt;=NO$19,NB12&lt;&gt;"",ND12&gt;=NO$23,ND12&lt;&gt;""),AND(NE12&gt;=NO$19,NE12&lt;&gt;"",NG12&gt;=NO$23,NG12&lt;&gt;""),AND(NI12&gt;=NO$19,NI12&lt;&gt;"",NK12&gt;=NO$23,NK12&lt;&gt;""),AND(NL12&gt;=NO$19,NL12&lt;&gt;"",NN12&gt;=NO$23,NN12&lt;&gt;""),AND(OJ12&gt;=OW$19,OJ12&lt;&gt;"",OL12&gt;=OW$23,OL12&lt;&gt;""),AND(OM12&gt;=OW$19,OM12&lt;&gt;"",OO12&gt;=OW$23,OO12&lt;&gt;""),AND(OQ12&gt;=OW$19,OQ12&lt;&gt;"",OS12&gt;=OW$23,OS12&lt;&gt;""),AND(OT12&gt;=OW$19,OT12&lt;&gt;"",OV12&gt;=OW$23,OV12&lt;&gt;""),AND(PR12&gt;=QE$19,PR12&lt;&gt;"",PT12&gt;=QE$23,PT12&lt;&gt;""),AND(PU12&gt;=QE$19,PU12&lt;&gt;"",PW12&gt;=QE$23,PW12&lt;&gt;""),AND(PY12&gt;=QE$19,PY12&lt;&gt;"",QA12&gt;=QE$23,QA12&lt;&gt;""),AND(QB12&gt;=QE$19,QB12&lt;&gt;"",QD12&gt;=QE$23,QD12&lt;&gt;""),AND(QZ12&gt;=RM$19,QZ12&lt;&gt;"",RB12&gt;=RM$23,RB12&lt;&gt;""),AND(RC12&gt;=RM$19,RC12&lt;&gt;"",RE12&gt;=RM$23,RE12&lt;&gt;""),AND(RG12&gt;=RM$19,RG12&lt;&gt;"",RI12&gt;=RM$23,RI12&lt;&gt;""),AND(RJ12&gt;=RM$19,RJ12&lt;&gt;"",RL12&gt;=RM$23,RL12&lt;&gt;""),AND(SH12&gt;=SU$19,SH12&lt;&gt;"",SJ12&gt;=SU$23,SJ12&lt;&gt;""),AND(SK12&gt;=SU$19,SK12&lt;&gt;"",SM12&gt;=SU$23,SM12&lt;&gt;""),AND(SO12&gt;=SU$19,SO12&lt;&gt;"",SQ12&gt;=SU$23,SQ12&lt;&gt;""),AND(SR12&gt;=SU$19,SR12&lt;&gt;"",ST12&gt;=SU$23,ST12&lt;&gt;"")),"Excellence",IF(I12="P","Worlds Team",IF(F12="P","National Team","")))))</f>
        <v/>
      </c>
      <c r="I12" s="3" t="str">
        <f>IF(OR(AND(AO12&gt;=AY$18,AO12&lt;&gt;"",AQ12&gt;=AY$22,AQ12&lt;&gt;"",AN12=""),AND(AR12&gt;=AY$18,AR12&lt;&gt;"",AT12&gt;=AY$22,AT12&lt;&gt;"",AN12=""),AND(AV12&gt;=AY$18,AV12&lt;&gt;"",AX12&gt;=AY$22,AX12&lt;&gt;"",AN12=""),AND(BP12&gt;=BZ$18,BP12&lt;&gt;"",BR12&gt;=BZ$22,BR12&lt;&gt;"",BO12=""),AND(BS12&gt;=BZ$18,BS12&lt;&gt;"",BU12&gt;=BZ$22,BU12&lt;&gt;"",BO12=""),AND(BW12&gt;=BZ$18,BW12&lt;&gt;"",BY12&gt;=BZ$22,BY12&lt;&gt;"",BO12=""),AND(CQ12&gt;=DA$18,CQ12&lt;&gt;"",CS12&gt;=DA$22,CS12&lt;&gt;"",CP12=""),AND(CT12&gt;=DA$18,CT12&lt;&gt;"",CV12&gt;=DA$22,CV12&lt;&gt;"",CP12=""),AND(CX12&gt;=DA$18,CX12&lt;&gt;"",CZ12&gt;=DA$22,CZ12&lt;&gt;"",CP12=""),AND(DX12&gt;=EK$18,DX12&lt;&gt;"",DZ12&gt;=EK$22,DZ12&lt;&gt;""),AND(EA12&gt;=EK$18,EA12&lt;&gt;"",EC12&gt;=EK$22,EC12&lt;&gt;""),AND(EE12&gt;=EK$18,EE12&lt;&gt;"",EG12&gt;=EK$22,EG12&lt;&gt;""),AND(EH12&gt;=EK$18,EH12&lt;&gt;"",EJ12&gt;=EK$22,EJ12&lt;&gt;""),AND(FF12&gt;=FS$18,FF12&lt;&gt;"",FH12&gt;=FS$22,FH12&lt;&gt;""),AND(FI12&gt;=FS$18,FI12&lt;&gt;"",FK12&gt;=FS$22,FK12&lt;&gt;""),AND(FM12&gt;=FS$18,FM12&lt;&gt;"",FO12&gt;=FS$22,FO12&lt;&gt;""),AND(FP12&gt;=FS$18,FP12&lt;&gt;"",FR12&gt;=FS$22,FR12&lt;&gt;""),AND(GN12&gt;=HA$18,GN12&lt;&gt;"",GP12&gt;=HA$22,GP12&lt;&gt;""),AND(GQ12&gt;=HA$18,GQ12&lt;&gt;"",GS12&gt;=HA$22,GS12&lt;&gt;""),AND(GU12&gt;=HA$18,GU12&lt;&gt;"",GW12&gt;=HA$22,GW12&lt;&gt;""),AND(GX12&gt;=HA$18,GX12&lt;&gt;"",GZ12&gt;=HA$22,GZ12&lt;&gt;""),AND(HV12&gt;=II$18,HV12&lt;&gt;"",HX12&gt;=II$22,HX12&lt;&gt;""),AND(HY12&gt;=II$18,HY12&lt;&gt;"",IA12&gt;=II$22,IA12&lt;&gt;""),AND(IC12&gt;=II$18,IC12&lt;&gt;"",IE12&gt;=II$22,IE12&lt;&gt;""),AND(IF12&gt;=II$18,IF12&lt;&gt;"",IH12&gt;=II$22,IH12&lt;&gt;""),AND(JD12&gt;=JQ$18,JD12&lt;&gt;"",JF12&gt;=JQ$22,JF12&lt;&gt;""),AND(JG12&gt;=JQ$18,JG12&lt;&gt;"",JI12&gt;=JQ$22,JI12&lt;&gt;""),AND(JK12&gt;=JQ$18,JK12&lt;&gt;"",JM12&gt;=JQ$22,JM12&lt;&gt;""),AND(JN12&gt;=JQ$18,JN12&lt;&gt;"",JP12&gt;=JQ$22,JP12&lt;&gt;""),AND(KL12&gt;=KY$18,KL12&lt;&gt;"",KN12&gt;=KY$22,KN12&lt;&gt;""),AND(KO12&gt;=KY$18,KO12&lt;&gt;"",KQ12&gt;=KY$22,KQ12&lt;&gt;""),AND(KS12&gt;=KY$18,KS12&lt;&gt;"",KU12&gt;=KY$22,KU12&lt;&gt;""),AND(KV12&gt;=KY$18,KV12&lt;&gt;"",KX12&gt;=KY$22,KX12&lt;&gt;""),AND(LT12&gt;=MG$18,LT12&lt;&gt;"",LV12&gt;=MG$22,LV12&lt;&gt;""),AND(LW12&gt;=MG$18,LW12&lt;&gt;"",LY12&gt;=MG$22,LY12&lt;&gt;""),AND(MA12&gt;=MG$18,MA12&lt;&gt;"",MC12&gt;=MG$22,MC12&lt;&gt;""),AND(MD12&gt;=MG$18,MD12&lt;&gt;"",MF12&gt;=MG$22,MF12&lt;&gt;""),AND(NB12&gt;=NO$18,NB12&lt;&gt;"",ND12&gt;=NO$22,ND12&lt;&gt;""),AND(NE12&gt;=NO$18,NE12&lt;&gt;"",NG12&gt;=NO$22,NG12&lt;&gt;""),AND(NI12&gt;=NO$18,NI12&lt;&gt;"",NK12&gt;=NO$22,NK12&lt;&gt;""),AND(NL12&gt;=NO$18,NL12&lt;&gt;"",NN12&gt;=NO$22,NN12&lt;&gt;""),AND(OJ12&gt;=OW$18,OJ12&lt;&gt;"",OL12&gt;=OW$22,OL12&lt;&gt;""),AND(OM12&gt;=OW$18,OM12&lt;&gt;"",OO12&gt;=OW$22,OO12&lt;&gt;""),AND(OQ12&gt;=OW$18,OQ12&lt;&gt;"",OS12&gt;=OW$22,OS12&lt;&gt;""),AND(OT12&gt;=OW$18,OT12&lt;&gt;"",OV12&gt;=OW$22,OV12&lt;&gt;""),AND(PR12&gt;=QE$18,PR12&lt;&gt;"",PT12&gt;=QE$22,PT12&lt;&gt;""),AND(PU12&gt;=QE$18,PU12&lt;&gt;"",PW12&gt;=QE$22,PW12&lt;&gt;""),AND(PY12&gt;=QE$18,PY12&lt;&gt;"",QA12&gt;=QE$22,QA12&lt;&gt;""),AND(QB12&gt;=QE$18,QB12&lt;&gt;"",QD12&gt;=QE$22,QD12&lt;&gt;""),AND(QZ12&gt;=RM$18,QZ12&lt;&gt;"",RB12&gt;=RM$22,RB12&lt;&gt;""),AND(RC12&gt;=RM$18,RC12&lt;&gt;"",RE12&gt;=RM$22,RE12&lt;&gt;""),AND(RG12&gt;=RM$18,RG12&lt;&gt;"",RI12&gt;=RM$22,RI12&lt;&gt;""),AND(RJ12&gt;=RM$18,RJ12&lt;&gt;"",RL12&gt;=RM$22,RL12&lt;&gt;""),AND(SH12&gt;=SU$18,SH12&lt;&gt;"",SJ12&gt;=SU$22,SJ12&lt;&gt;""),AND(SK12&gt;=SU$18,SK12&lt;&gt;"",SM12&gt;=SU$22,SM12&lt;&gt;""),AND(SO12&gt;=SU$18,SO12&lt;&gt;"",SQ12&gt;=SU$22,SQ12&lt;&gt;""),AND(SR12&gt;=SU$18,SR12&lt;&gt;"",ST12&gt;=SU$22,ST12&lt;&gt;"")),"P","")</f>
        <v/>
      </c>
      <c r="J12" s="13">
        <f>IF(COUNT(AQ12,AT12,BR12,BU12,CS12,CV12)&gt;0,LARGE((AQ12,AT12,BR12,BU12,CS12,CV12),1),0)</f>
        <v>51.94</v>
      </c>
      <c r="K12" s="13" t="str">
        <f>IF(J12="","",IF(OR(J12=CS12,J12=CV12),$CA$1,IF(OR(J12=BR12,J12=BU12),$AZ$1,IF(OR(J12=AQ12,J12=AT12),$Y$1,""))))</f>
        <v>2021 Canadian Championships</v>
      </c>
      <c r="L12" s="13">
        <f>IF(COUNT(AQ12,AT12,BR12,BU12,CS12,CV12)&gt;1,LARGE((AQ12,AT12,BR12,BU12,CS12,CV12),2),0)</f>
        <v>51.94</v>
      </c>
      <c r="M12" s="13" t="str">
        <f>IF(L12="","",IF(OR(L12=CS12,L12=CV12),$CA$1,IF(OR(L12=BR12,L12=BU12),$AZ$1,IF(OR(L12=AQ12,L12=AT12),$Y$1,""))))</f>
        <v>2021 Canadian Championships</v>
      </c>
      <c r="N12" s="13">
        <f>IF(COUNT(AQ12,AT12,BR12,BU12,CS12,CV12)&gt;2,LARGE((AQ12,AT12,BR12,BU12,CS12,CV12),3),0)</f>
        <v>51.564999999999998</v>
      </c>
      <c r="O12" s="13" t="str">
        <f>IF(N12="","",IF(OR(N12=CS12,N12=CV12),$CA$1,IF(OR(N12=BR12,N12=BU12),$AZ$1,IF(OR(N12=AQ12,N12=AT12),$Y$1,""))))</f>
        <v>2021 Canadian Championships</v>
      </c>
      <c r="P12" s="13">
        <f>IF(MAX(AX12,BY12,CZ12)&gt;0,MAX(AX12,BY12,CZ12),0)</f>
        <v>50.65</v>
      </c>
      <c r="Q12" s="13" t="str">
        <f>IF(P12="","",IF(P12=CZ12,$CA$1,IF(P12=BY12,$AZ$1,IF(P12=AX12,$Y$1,""))))</f>
        <v>2021 Canadian Championships</v>
      </c>
      <c r="R12" s="13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11.95</v>
      </c>
      <c r="S12" s="13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2021 Canadian Championships</v>
      </c>
      <c r="T12" s="13">
        <f>IF(MAX(IF(AO12&gt;=$AY$17,AP12,0),IF(AR12&gt;=$AY$17,AS12,0),IF(AV12&gt;=$AY$17,AW12,0),IF(BP12&gt;=$BZ$17,BQ12,0),IF(BS12&gt;=$BZ$17,BT12,0),IF(BW12&gt;=$BZ$17,BX12,0),IF(CQ12&gt;=$DA$17,CR12,0),IF(CT12&gt;=$DA$17,CU12,0),IF(CX12&gt;=$DA$17,CY12,0))&gt;0,MAX(IF(AO12&gt;=$AY$17,AP12,0),IF(AR12&gt;=$AY$17,AS12,0),IF(AV12&gt;=$AY$17,AW12,0),IF(BP12&gt;=$BZ$17,BQ12,0),IF(BS12&gt;=$BZ$17,BT12,0),IF(BW12&gt;=$BZ$17,BX12,0),IF(CQ12&gt;=$DA$17,CR12,0),IF(CT12&gt;=$DA$17,CU12,0),IF(CX12&gt;=$DA$17,CY12,0),IF(DX12&gt;=$EK$17,DY12,0),IF(EA12&gt;=$EK$17,EB12,0),IF(EE12&gt;=$EK$17,EF12,0),IF(EH12&gt;=$EK$17,EI12,0),IF(FF12&gt;=$FS$17,FG12,0),IF(FI12&gt;=$FS$17,FJ12,0),IF(FM12&gt;=$FS$17,FN12,0),IF(FP12&gt;=$FS$17,FQ12,0),IF(GN12&gt;=$HA$17,GO12,0),IF(GQ12&gt;=$HA$17,GR12,0),IF(GU12&gt;=$HA$17,GV12,0),IF(GX12&gt;=$HA$17,GY12,0),IF(HV12&gt;=$II$17,HW12,0),IF(HY12&gt;=$II$17,HZ12,0),IF(IC12&gt;=$II$17,ID12,0),IF(IF12&gt;=$II$17,IG12,0),IF(JD12&gt;=$JQ$17,JE12,0),IF(JG12&gt;=$JQ$17,JH12,0),IF(JK12&gt;=$JQ$17,JL12,0),IF(JN12&gt;=$JQ$17,JO12,0),IF(KL12&gt;=$KY$17,KM12,0),IF(KO12&gt;=$KY$17,KP12,0),IF(KS12&gt;=$KY$17,KT12,0),IF(KV12&gt;=$KY$17,KW12,0),IF(LT12&gt;=$MG$17,LU12,0),IF(LW12&gt;=$MG$17,LX12,0),IF(MA12&gt;=$MG$17,MB12,0),IF(MD12&gt;=$MG$17,ME12,0),IF(NB12&gt;=$NO$17,NC12,0),IF(NE12&gt;=$NO$17,NF12,0),IF(NI12&gt;=$NO$17,NJ12,0),IF(NL12&gt;=$NO$17,NM12,0),IF(OJ12&gt;=$OW$17,OK12,0),IF(OM12&gt;=$OW$17,ON12,0),IF(OQ12&gt;=$OW$17,OR12,0),IF(OT12&gt;=$OW$17,OU12,0),IF(PR12&gt;=$QE$17,PS12,0),IF(PU12&gt;=$QE$17,PV12,0),IF(PY12&gt;=$QE$17,PZ12,0),IF(QB12&gt;=$QE$17,QC12,0),IF(QZ12&gt;=$RM$17,RA12,0),IF(RC12&gt;=$RM$17,RD12,0),IF(RG12&gt;=$RM$17,RH12,0),IF(RJ12&gt;=$RM$17,RK12,0),IF(SH12&gt;=$SU$17,SI12,0),IF(SK12&gt;=$SU$17,SL12,0),IF(SO12&gt;=$SU$17,SP12,0),IF(SR12&gt;=$SU$17,SS12,0)),0)</f>
        <v>0</v>
      </c>
      <c r="U12" s="13" t="str">
        <f>IF(T12=0,"",IF(OR(T12=CR12,T12=CU12,T12=CY12),$CA$1,IF(OR(T12=BQ12,T12=BT12,T12=BX12),$AZ$1,IF(OR(T12=AP12,T12=AS12,T12=AW12),$Y$1,IF(OR(R12=SI12,R12=SL12,R12=SP12,R12=SS12),$RN$1,IF(OR(R12=RA12,R12=RD12,R12=RH12,R12=RK12),$QF$1,IF(OR(R12=PS12,R12=PV12,R12=PZ12,R12=QC12),$OX$1,IF(OR(R12=OK12,R12=ON12,R12=OR12,R12=OU12),$NP$1,IF(OR(R12=NC12,R12=NF12,R12=NJ12,R12=NM12),$MH$1,IF(OR(R12=LU12,R12=LX12,R12=MB12,R12=ME12),$KZ$1,IF(OR(R12=KM12,R12=KP12,R12=KT12,R12=KW12),$JR$1,IF(OR(R12=JE12,R12=JH12,R12=JL12,R12=JO12),$IJ$1,IF(OR(R12=HW12,R12=HZ12,R12=ID12,R12=IG12),$HB$1,IF(OR(R12=GO12,R12=GR12,R12=GV12,R12=GY12),$FT$1,IF(OR(R12=FG12,R12=FJ12,R12=FN12,R12=FQ12),$EL$1,IF(OR(R12=DY12,R12=EB12,R12=EF12,R12=EI12),$DD$1,""))))))))))))))))</f>
        <v/>
      </c>
      <c r="V12" s="13" t="str">
        <f>IF(MAX(DB12,DC12)&gt;0,MAX(DB12,DC12),"")</f>
        <v/>
      </c>
      <c r="W12" s="16" t="str">
        <f>IF(V12="","",IF(V12=DB12,"("&amp;DB$2&amp;")",IF(V12=DC12,"("&amp;DC$2&amp;")")))</f>
        <v/>
      </c>
      <c r="X12" s="13" t="str">
        <f>IF(V12="","",IF(V12=DB12,IF(V12+IF(L12="",0,L12)=SN12,$RN$1,IF(V12+IF(L12="",0,L12)=RF12,$QF$1,IF(V12+IF(L12="",0,L12)=PX12,$OX$1,IF(V12+IF(L12="",0,L12)=OP12,$NP$1,IF(V12+IF(L12="",0,L12)=NH12,$MH$1,IF(V12+IF(L12="",0,L12)=LZ12,$KZ$1,IF(V12+IF(L12="",0,L12)=KR12,$JR$1,IF(V12+IF(L12="",0,L12)=JJ12,$IJ$1,IF(V12+IF(L12="",0,L12)=IB12,$HB$1,IF(V12+IF(L12="",0,L12)=GT12,$FT$1,IF(V12+IF(L12="",0,L12)=FL12,$EL$1,IF(V12+IF(L12="",0,L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$1)))))))))))))))</f>
        <v/>
      </c>
      <c r="Y12" s="42">
        <v>15.45</v>
      </c>
      <c r="Z12" s="42">
        <v>9.4499999999999993</v>
      </c>
      <c r="AA12" s="42">
        <v>11.95</v>
      </c>
      <c r="AB12" s="42">
        <v>14.715</v>
      </c>
      <c r="AC12" s="42">
        <v>0</v>
      </c>
      <c r="AD12" s="42">
        <v>16</v>
      </c>
      <c r="AE12" s="42">
        <v>9.2250000000000014</v>
      </c>
      <c r="AF12" s="42">
        <v>11.95</v>
      </c>
      <c r="AG12" s="42">
        <v>14.765000000000001</v>
      </c>
      <c r="AH12" s="42">
        <v>0</v>
      </c>
      <c r="AI12" s="42">
        <v>14.7</v>
      </c>
      <c r="AJ12" s="42">
        <v>9.2750000000000004</v>
      </c>
      <c r="AK12" s="42">
        <v>11.95</v>
      </c>
      <c r="AL12" s="42">
        <v>14.725</v>
      </c>
      <c r="AM12" s="42">
        <v>0</v>
      </c>
      <c r="AN12" s="51" t="s">
        <v>61</v>
      </c>
      <c r="AO12" s="74">
        <f>IF(AA12&gt;0,AA12,"")</f>
        <v>11.95</v>
      </c>
      <c r="AP12" s="74">
        <f>IF(AB12&gt;0,AB12,"")</f>
        <v>14.715</v>
      </c>
      <c r="AQ12" s="76">
        <f>IF(SUM(Y12:AB12)-AC12&gt;0,SUM(Y12:AB12)-AC12,"")</f>
        <v>51.564999999999998</v>
      </c>
      <c r="AR12" s="76">
        <f>IF(AF12&gt;0,AF12,"")</f>
        <v>11.95</v>
      </c>
      <c r="AS12" s="76">
        <f>IF(AG12&gt;0,AG12,"")</f>
        <v>14.765000000000001</v>
      </c>
      <c r="AT12" s="76">
        <f>IF(SUM(AD12:AG12)-AH12&gt;0,SUM(AD12:AG12)-AH12,"")</f>
        <v>51.94</v>
      </c>
      <c r="AU12" s="76">
        <f>IF(AQ12="","",MAX(AQ12,AT12))</f>
        <v>51.94</v>
      </c>
      <c r="AV12" s="76">
        <f>IF(AK12&gt;0,AK12,"")</f>
        <v>11.95</v>
      </c>
      <c r="AW12" s="76">
        <f>IF(AL12&gt;0,AL12,"")</f>
        <v>14.725</v>
      </c>
      <c r="AX12" s="76">
        <f>IF(SUM(AI12:AL12)-AM12&gt;0,SUM(AI12:AL12)-AM12,"")</f>
        <v>50.65</v>
      </c>
      <c r="AY12" s="76">
        <f>IF(SUM(AU12,AX12)&gt;0,SUM(AU12,AX12),"")</f>
        <v>102.59</v>
      </c>
      <c r="AZ12" s="46">
        <v>15.45</v>
      </c>
      <c r="BA12" s="46">
        <v>9.4499999999999993</v>
      </c>
      <c r="BB12" s="46">
        <v>11.95</v>
      </c>
      <c r="BC12" s="46">
        <v>14.715</v>
      </c>
      <c r="BD12" s="46">
        <v>0</v>
      </c>
      <c r="BE12" s="46">
        <v>16</v>
      </c>
      <c r="BF12" s="46">
        <v>9.2250000000000014</v>
      </c>
      <c r="BG12" s="46">
        <v>11.95</v>
      </c>
      <c r="BH12" s="46">
        <v>14.765000000000001</v>
      </c>
      <c r="BI12" s="46">
        <v>0</v>
      </c>
      <c r="BJ12" s="46">
        <v>14.7</v>
      </c>
      <c r="BK12" s="46">
        <v>9.2750000000000004</v>
      </c>
      <c r="BL12" s="46">
        <v>11.95</v>
      </c>
      <c r="BM12" s="46">
        <v>14.725</v>
      </c>
      <c r="BN12" s="46">
        <v>0</v>
      </c>
      <c r="BO12" s="52" t="s">
        <v>61</v>
      </c>
      <c r="BP12" s="75">
        <f>IF(BB12&gt;0,BB12,"")</f>
        <v>11.95</v>
      </c>
      <c r="BQ12" s="75">
        <f>IF(BC12&gt;0,BC12,"")</f>
        <v>14.715</v>
      </c>
      <c r="BR12" s="16">
        <f>IF(SUM(AZ12:BC12)-BD12&gt;0,SUM(AZ12:BC12)-BD12,"")</f>
        <v>51.564999999999998</v>
      </c>
      <c r="BS12" s="16">
        <f>IF(BG12&gt;0,BG12,"")</f>
        <v>11.95</v>
      </c>
      <c r="BT12" s="16">
        <f>IF(BH12&gt;0,BH12,"")</f>
        <v>14.765000000000001</v>
      </c>
      <c r="BU12" s="16">
        <f>IF(SUM(BE12:BH12)-BI12&gt;0,SUM(BE12:BH12)-BI12,"")</f>
        <v>51.94</v>
      </c>
      <c r="BV12" s="16">
        <f>IF(BR12="","",MAX(BR12,BU12))</f>
        <v>51.94</v>
      </c>
      <c r="BW12" s="16">
        <f>IF(BL12&gt;0,BL12,"")</f>
        <v>11.95</v>
      </c>
      <c r="BX12" s="16">
        <f>IF(BM12&gt;0,BM12,"")</f>
        <v>14.725</v>
      </c>
      <c r="BY12" s="16">
        <f>IF(SUM(BJ12:BM12)-BN12&gt;0,SUM(BJ12:BM12)-BN12,"")</f>
        <v>50.65</v>
      </c>
      <c r="BZ12" s="16">
        <f>IF(SUM(BV12,BY12)&gt;0,SUM(BV12,BY12),"")</f>
        <v>102.59</v>
      </c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51"/>
      <c r="CQ12" s="74" t="str">
        <f>IF(CC12&gt;0,CC12,"")</f>
        <v/>
      </c>
      <c r="CR12" s="74" t="str">
        <f>IF(CD12&gt;0,CD12,"")</f>
        <v/>
      </c>
      <c r="CS12" s="76" t="str">
        <f>IF(SUM(CA12:CD12)-CE12&gt;0,SUM(CA12:CD12)-CE12,"")</f>
        <v/>
      </c>
      <c r="CT12" s="76" t="str">
        <f>IF(CH12&gt;0,CH12,"")</f>
        <v/>
      </c>
      <c r="CU12" s="76" t="str">
        <f>IF(CI12&gt;0,CI12,"")</f>
        <v/>
      </c>
      <c r="CV12" s="76" t="str">
        <f>IF(SUM(CF12:CI12)-CJ12&gt;0,SUM(CF12:CI12)-CJ12,"")</f>
        <v/>
      </c>
      <c r="CW12" s="76" t="str">
        <f>IF(CS12="","",MAX(CS12,CV12))</f>
        <v/>
      </c>
      <c r="CX12" s="76" t="str">
        <f>IF(CM12&gt;0,CM12,"")</f>
        <v/>
      </c>
      <c r="CY12" s="76" t="str">
        <f>IF(CN12&gt;0,CN12,"")</f>
        <v/>
      </c>
      <c r="CZ12" s="76" t="str">
        <f>IF(SUM(CK12:CN12)-CO12&gt;0,SUM(CK12:CN12)-CO12,"")</f>
        <v/>
      </c>
      <c r="DA12" s="76" t="str">
        <f>IF(SUM(CW12,CZ12)&gt;0,SUM(CW12,CZ12),"")</f>
        <v/>
      </c>
      <c r="DB12" s="87" t="str">
        <f>IF(L12&gt;=0.001,IF(MAX(ED12,FL12,GT12,IB12,JJ12,KR12,LZ12,NH12,OP12,PX12,RF12,SN12)-IF(L12="",0,L12)&gt;0.001,MAX(ED12,FL12,GT12,IB12,JJ12,KR12,LZ12,NH12,OP12,PX12,RF12,SN12)-IF(L12="",0,L12),""),"")</f>
        <v/>
      </c>
      <c r="DC12" s="87" t="str">
        <f>IF(P12&gt;=0.001,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,"")</f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76" t="str">
        <f>IF(DF12&gt;0,DF12,"")</f>
        <v/>
      </c>
      <c r="DY12" s="76" t="str">
        <f>IF(DG12&gt;0,DG12,"")</f>
        <v/>
      </c>
      <c r="DZ12" s="76" t="str">
        <f>IF(SUM(DD12:DG12)-DH12&gt;0,SUM(DD12:DG12)-DH12,"")</f>
        <v/>
      </c>
      <c r="EA12" s="76" t="str">
        <f>IF(DK12&gt;0,DK12,"")</f>
        <v/>
      </c>
      <c r="EB12" s="76" t="str">
        <f>IF(DL12&gt;0,DL12,"")</f>
        <v/>
      </c>
      <c r="EC12" s="76" t="str">
        <f>IF(SUM(DI12:DL12)-DM12&gt;0,SUM(DI12:DL12)-DM12,"")</f>
        <v/>
      </c>
      <c r="ED12" s="76" t="str">
        <f>IF(MAX(DZ12,EC12)&gt;0,MAX(DZ12,EC12),"")</f>
        <v/>
      </c>
      <c r="EE12" s="76" t="str">
        <f>IF(DP12&gt;0,DP12,"")</f>
        <v/>
      </c>
      <c r="EF12" s="76" t="str">
        <f>IF(DQ12&gt;0,DQ12,"")</f>
        <v/>
      </c>
      <c r="EG12" s="76" t="str">
        <f>IF(SUM(DN12:DQ12)-DR12&gt;0,SUM(DN12:DQ12)-DR12,"")</f>
        <v/>
      </c>
      <c r="EH12" s="76" t="str">
        <f>IF(DU12&gt;0,DU12,"")</f>
        <v/>
      </c>
      <c r="EI12" s="76" t="str">
        <f>IF(DV12&gt;0,DV12,"")</f>
        <v/>
      </c>
      <c r="EJ12" s="76" t="str">
        <f>IF(SUM(DS12:DV12)-DW12&gt;0,SUM(DS12:DV12)-DW12,"")</f>
        <v/>
      </c>
      <c r="EK12" s="76" t="str">
        <f>IF(SUM(ED12,EJ12)&gt;0,SUM(ED12,EJ12),"")</f>
        <v/>
      </c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16" t="str">
        <f>IF(EN12&gt;0,EN12,"")</f>
        <v/>
      </c>
      <c r="FG12" s="16" t="str">
        <f>IF(EO12&gt;0,EO12,"")</f>
        <v/>
      </c>
      <c r="FH12" s="16" t="str">
        <f>IF(SUM(EL12:EO12)-EP12&gt;0,SUM(EL12:EO12)-EP12,"")</f>
        <v/>
      </c>
      <c r="FI12" s="16" t="str">
        <f>IF(ES12&gt;0,ES12,"")</f>
        <v/>
      </c>
      <c r="FJ12" s="16" t="str">
        <f>IF(ET12&gt;0,ET12,"")</f>
        <v/>
      </c>
      <c r="FK12" s="16" t="str">
        <f>IF(SUM(EQ12:ET12)-EU12&gt;0,SUM(EQ12:ET12)-EU12,"")</f>
        <v/>
      </c>
      <c r="FL12" s="16" t="str">
        <f>IF(MAX(FH12,FK12)&gt;0,MAX(FH12,FK12),"")</f>
        <v/>
      </c>
      <c r="FM12" s="16" t="str">
        <f>IF(EX12&gt;0,EX12,"")</f>
        <v/>
      </c>
      <c r="FN12" s="16" t="str">
        <f>IF(EY12&gt;0,EY12,"")</f>
        <v/>
      </c>
      <c r="FO12" s="16" t="str">
        <f>IF(SUM(EV12:EY12)-EZ12&gt;0,SUM(EV12:EY12)-EZ12,"")</f>
        <v/>
      </c>
      <c r="FP12" s="16" t="str">
        <f>IF(FC12&gt;0,FC12,"")</f>
        <v/>
      </c>
      <c r="FQ12" s="16" t="str">
        <f>IF(FD12&gt;0,FD12,"")</f>
        <v/>
      </c>
      <c r="FR12" s="16" t="str">
        <f>IF(SUM(FA12:FD12)-FE12&gt;0,SUM(FA12:FD12)-FE12,"")</f>
        <v/>
      </c>
      <c r="FS12" s="16" t="str">
        <f>IF(SUM(FL12,FR12)&gt;0,SUM(FL12,FR12),"")</f>
        <v/>
      </c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76" t="str">
        <f>IF(FV12&gt;0,FV12,"")</f>
        <v/>
      </c>
      <c r="GO12" s="76" t="str">
        <f>IF(FW12&gt;0,FW12,"")</f>
        <v/>
      </c>
      <c r="GP12" s="76" t="str">
        <f>IF(SUM(FT12:FW12)-FX12&gt;0,SUM(FT12:FW12)-FX12,"")</f>
        <v/>
      </c>
      <c r="GQ12" s="76" t="str">
        <f>IF(GA12&gt;0,GA12,"")</f>
        <v/>
      </c>
      <c r="GR12" s="76" t="str">
        <f>IF(GB12&gt;0,GB12,"")</f>
        <v/>
      </c>
      <c r="GS12" s="76" t="str">
        <f>IF(SUM(FY12:GB12)-GC12&gt;0,SUM(FY12:GB12)-GC12,"")</f>
        <v/>
      </c>
      <c r="GT12" s="76" t="str">
        <f>IF(MAX(GP12,GS12)&gt;0,MAX(GP12,GS12),"")</f>
        <v/>
      </c>
      <c r="GU12" s="76" t="str">
        <f>IF(GF12&gt;0,GF12,"")</f>
        <v/>
      </c>
      <c r="GV12" s="76" t="str">
        <f>IF(GG12&gt;0,GG12,"")</f>
        <v/>
      </c>
      <c r="GW12" s="76" t="str">
        <f>IF(SUM(GD12:GG12)-GH12&gt;0,SUM(GD12:GG12)-GH12,"")</f>
        <v/>
      </c>
      <c r="GX12" s="76" t="str">
        <f>IF(GK12&gt;0,GK12,"")</f>
        <v/>
      </c>
      <c r="GY12" s="76" t="str">
        <f>IF(GL12&gt;0,GL12,"")</f>
        <v/>
      </c>
      <c r="GZ12" s="76" t="str">
        <f>IF(SUM(GI12:GL12)-GM12&gt;0,SUM(GI12:GL12)-GM12,"")</f>
        <v/>
      </c>
      <c r="HA12" s="76" t="str">
        <f>IF(SUM(GT12,GZ12)&gt;0,SUM(GT12,GZ12),"")</f>
        <v/>
      </c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16" t="str">
        <f>IF(HD12&gt;0,HD12,"")</f>
        <v/>
      </c>
      <c r="HW12" s="16" t="str">
        <f>IF(HE12&gt;0,HE12,"")</f>
        <v/>
      </c>
      <c r="HX12" s="16" t="str">
        <f>IF(SUM(HB12:HE12)-HF12&gt;0,SUM(HB12:HE12)-HF12,"")</f>
        <v/>
      </c>
      <c r="HY12" s="16" t="str">
        <f>IF(HI12&gt;0,HI12,"")</f>
        <v/>
      </c>
      <c r="HZ12" s="16" t="str">
        <f>IF(HJ12&gt;0,HJ12,"")</f>
        <v/>
      </c>
      <c r="IA12" s="16" t="str">
        <f>IF(SUM(HG12:HJ12)-HK12&gt;0,SUM(HG12:HJ12)-HK12,"")</f>
        <v/>
      </c>
      <c r="IB12" s="16" t="str">
        <f>IF(MAX(HX12,IA12)&gt;0,MAX(HX12,IA12),"")</f>
        <v/>
      </c>
      <c r="IC12" s="16" t="str">
        <f>IF(HN12&gt;0,HN12,"")</f>
        <v/>
      </c>
      <c r="ID12" s="16" t="str">
        <f>IF(HO12&gt;0,HO12,"")</f>
        <v/>
      </c>
      <c r="IE12" s="16" t="str">
        <f>IF(SUM(HL12:HO12)-HP12&gt;0,SUM(HL12:HO12)-HP12,"")</f>
        <v/>
      </c>
      <c r="IF12" s="16" t="str">
        <f>IF(HS12&gt;0,HS12,"")</f>
        <v/>
      </c>
      <c r="IG12" s="16" t="str">
        <f>IF(HT12&gt;0,HT12,"")</f>
        <v/>
      </c>
      <c r="IH12" s="16" t="str">
        <f>IF(SUM(HQ12:HT12)-HU12&gt;0,SUM(HQ12:HT12)-HU12,"")</f>
        <v/>
      </c>
      <c r="II12" s="16" t="str">
        <f>IF(SUM(IB12,IH12)&gt;0,SUM(IB12,IH12),"")</f>
        <v/>
      </c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76" t="str">
        <f>IF(IL12&gt;0,IL12,"")</f>
        <v/>
      </c>
      <c r="JE12" s="76" t="str">
        <f>IF(IM12&gt;0,IM12,"")</f>
        <v/>
      </c>
      <c r="JF12" s="76" t="str">
        <f>IF(SUM(IJ12:IM12)-IN12&gt;0,SUM(IJ12:IM12)-IN12,"")</f>
        <v/>
      </c>
      <c r="JG12" s="76" t="str">
        <f>IF(IQ12&gt;0,IQ12,"")</f>
        <v/>
      </c>
      <c r="JH12" s="76" t="str">
        <f>IF(IR12&gt;0,IR12,"")</f>
        <v/>
      </c>
      <c r="JI12" s="76" t="str">
        <f>IF(SUM(IO12:IR12)-IS12&gt;0,SUM(IO12:IR12)-IS12,"")</f>
        <v/>
      </c>
      <c r="JJ12" s="76" t="str">
        <f>IF(MAX(JF12,JI12)&gt;0,MAX(JF12,JI12),"")</f>
        <v/>
      </c>
      <c r="JK12" s="76" t="str">
        <f>IF(IV12&gt;0,IV12,"")</f>
        <v/>
      </c>
      <c r="JL12" s="76" t="str">
        <f>IF(IW12&gt;0,IW12,"")</f>
        <v/>
      </c>
      <c r="JM12" s="76" t="str">
        <f>IF(SUM(IT12:IW12)-IX12&gt;0,SUM(IT12:IW12)-IX12,"")</f>
        <v/>
      </c>
      <c r="JN12" s="76" t="str">
        <f>IF(JA12&gt;0,JA12,"")</f>
        <v/>
      </c>
      <c r="JO12" s="76" t="str">
        <f>IF(JB12&gt;0,JB12,"")</f>
        <v/>
      </c>
      <c r="JP12" s="76" t="str">
        <f>IF(SUM(IY12:JB12)-JC12&gt;0,SUM(IY12:JB12)-JC12,"")</f>
        <v/>
      </c>
      <c r="JQ12" s="76" t="str">
        <f>IF(SUM(JJ12,JP12)&gt;0,SUM(JJ12,JP12),"")</f>
        <v/>
      </c>
      <c r="JR12" s="26"/>
      <c r="JS12" s="26"/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16" t="str">
        <f>IF(JT12&gt;0,JT12,"")</f>
        <v/>
      </c>
      <c r="KM12" s="16" t="str">
        <f>IF(JU12&gt;0,JU12,"")</f>
        <v/>
      </c>
      <c r="KN12" s="16" t="str">
        <f>IF(SUM(JR12:JU12)-JV12&gt;0,SUM(JR12:JU12)-JV12,"")</f>
        <v/>
      </c>
      <c r="KO12" s="16" t="str">
        <f>IF(JY12&gt;0,JY12,"")</f>
        <v/>
      </c>
      <c r="KP12" s="16" t="str">
        <f>IF(JZ12&gt;0,JZ12,"")</f>
        <v/>
      </c>
      <c r="KQ12" s="16" t="str">
        <f>IF(SUM(JW12:JZ12)-KA12&gt;0,SUM(JW12:JZ12)-KA12,"")</f>
        <v/>
      </c>
      <c r="KR12" s="16" t="str">
        <f>IF(MAX(KN12,KQ12)&gt;0,MAX(KN12,KQ12),"")</f>
        <v/>
      </c>
      <c r="KS12" s="16" t="str">
        <f>IF(KD12&gt;0,KD12,"")</f>
        <v/>
      </c>
      <c r="KT12" s="16" t="str">
        <f>IF(KE12&gt;0,KE12,"")</f>
        <v/>
      </c>
      <c r="KU12" s="16" t="str">
        <f>IF(SUM(KB12:KE12)-KF12&gt;0,SUM(KB12:KE12)-KF12,"")</f>
        <v/>
      </c>
      <c r="KV12" s="16" t="str">
        <f>IF(KI12&gt;0,KI12,"")</f>
        <v/>
      </c>
      <c r="KW12" s="16" t="str">
        <f>IF(KJ12&gt;0,KJ12,"")</f>
        <v/>
      </c>
      <c r="KX12" s="16" t="str">
        <f>IF(SUM(KG12:KJ12)-KK12&gt;0,SUM(KG12:KJ12)-KK12,"")</f>
        <v/>
      </c>
      <c r="KY12" s="16" t="str">
        <f>IF(SUM(KR12,KX12)&gt;0,SUM(KR12,KX12),"")</f>
        <v/>
      </c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76" t="str">
        <f>IF(LB12&gt;0,LB12,"")</f>
        <v/>
      </c>
      <c r="LU12" s="76" t="str">
        <f>IF(LC12&gt;0,LC12,"")</f>
        <v/>
      </c>
      <c r="LV12" s="76" t="str">
        <f>IF(SUM(KZ12:LC12)-LD12&gt;0,SUM(KZ12:LC12)-LD12,"")</f>
        <v/>
      </c>
      <c r="LW12" s="76" t="str">
        <f>IF(LG12&gt;0,LG12,"")</f>
        <v/>
      </c>
      <c r="LX12" s="76" t="str">
        <f>IF(LH12&gt;0,LH12,"")</f>
        <v/>
      </c>
      <c r="LY12" s="76" t="str">
        <f>IF(SUM(LE12:LH12)-LI12&gt;0,SUM(LE12:LH12)-LI12,"")</f>
        <v/>
      </c>
      <c r="LZ12" s="76" t="str">
        <f>IF(MAX(LV12,LY12)&gt;0,MAX(LV12,LY12),"")</f>
        <v/>
      </c>
      <c r="MA12" s="76" t="str">
        <f>IF(LL12&gt;0,LL12,"")</f>
        <v/>
      </c>
      <c r="MB12" s="76" t="str">
        <f>IF(LM12&gt;0,LM12,"")</f>
        <v/>
      </c>
      <c r="MC12" s="76" t="str">
        <f>IF(SUM(LJ12:LM12)-LN12&gt;0,SUM(LJ12:LM12)-LN12,"")</f>
        <v/>
      </c>
      <c r="MD12" s="76" t="str">
        <f>IF(LQ12&gt;0,LQ12,"")</f>
        <v/>
      </c>
      <c r="ME12" s="76" t="str">
        <f>IF(LR12&gt;0,LR12,"")</f>
        <v/>
      </c>
      <c r="MF12" s="76" t="str">
        <f>IF(SUM(LO12:LR12)-LS12&gt;0,SUM(LO12:LR12)-LS12,"")</f>
        <v/>
      </c>
      <c r="MG12" s="76" t="str">
        <f>IF(SUM(LZ12,MF12)&gt;0,SUM(LZ12,MF12),"")</f>
        <v/>
      </c>
      <c r="MH12" s="26"/>
      <c r="MI12" s="26"/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16" t="str">
        <f>IF(MJ12&gt;0,MJ12,"")</f>
        <v/>
      </c>
      <c r="NC12" s="16" t="str">
        <f>IF(MK12&gt;0,MK12,"")</f>
        <v/>
      </c>
      <c r="ND12" s="16" t="str">
        <f>IF(SUM(MH12:MK12)-ML12&gt;0,SUM(MH12:MK12)-ML12,"")</f>
        <v/>
      </c>
      <c r="NE12" s="16" t="str">
        <f>IF(MO12&gt;0,MO12,"")</f>
        <v/>
      </c>
      <c r="NF12" s="16" t="str">
        <f>IF(MP12&gt;0,MP12,"")</f>
        <v/>
      </c>
      <c r="NG12" s="16" t="str">
        <f>IF(SUM(MM12:MP12)-MQ12&gt;0,SUM(MM12:MP12)-MQ12,"")</f>
        <v/>
      </c>
      <c r="NH12" s="16" t="str">
        <f>IF(MAX(ND12,NG12)&gt;0,MAX(ND12,NG12),"")</f>
        <v/>
      </c>
      <c r="NI12" s="16" t="str">
        <f>IF(MT12&gt;0,MT12,"")</f>
        <v/>
      </c>
      <c r="NJ12" s="16" t="str">
        <f>IF(MU12&gt;0,MU12,"")</f>
        <v/>
      </c>
      <c r="NK12" s="16" t="str">
        <f>IF(SUM(MR12:MU12)-MV12&gt;0,SUM(MR12:MU12)-MV12,"")</f>
        <v/>
      </c>
      <c r="NL12" s="16" t="str">
        <f>IF(MY12&gt;0,MY12,"")</f>
        <v/>
      </c>
      <c r="NM12" s="16" t="str">
        <f>IF(MZ12&gt;0,MZ12,"")</f>
        <v/>
      </c>
      <c r="NN12" s="16" t="str">
        <f>IF(SUM(MW12:MZ12)-NA12&gt;0,SUM(MW12:MZ12)-NA12,"")</f>
        <v/>
      </c>
      <c r="NO12" s="16" t="str">
        <f>IF(SUM(NH12,NN12)&gt;0,SUM(NH12,NN12),"")</f>
        <v/>
      </c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76" t="str">
        <f>IF(NR12&gt;0,NR12,"")</f>
        <v/>
      </c>
      <c r="OK12" s="76" t="str">
        <f>IF(NS12&gt;0,NS12,"")</f>
        <v/>
      </c>
      <c r="OL12" s="76" t="str">
        <f>IF(SUM(NP12:NS12)-NT12&gt;0,SUM(NP12:NS12)-NT12,"")</f>
        <v/>
      </c>
      <c r="OM12" s="76" t="str">
        <f>IF(NW12&gt;0,NW12,"")</f>
        <v/>
      </c>
      <c r="ON12" s="76" t="str">
        <f>IF(NX12&gt;0,NX12,"")</f>
        <v/>
      </c>
      <c r="OO12" s="76" t="str">
        <f>IF(SUM(NU12:NX12)-NY12&gt;0,SUM(NU12:NX12)-NY12,"")</f>
        <v/>
      </c>
      <c r="OP12" s="76" t="str">
        <f>IF(MAX(OL12,OO12)&gt;0,MAX(OL12,OO12),"")</f>
        <v/>
      </c>
      <c r="OQ12" s="76" t="str">
        <f>IF(OB12&gt;0,OB12,"")</f>
        <v/>
      </c>
      <c r="OR12" s="76" t="str">
        <f>IF(OC12&gt;0,OC12,"")</f>
        <v/>
      </c>
      <c r="OS12" s="76" t="str">
        <f>IF(SUM(NZ12:OC12)-OD12&gt;0,SUM(NZ12:OC12)-OD12,"")</f>
        <v/>
      </c>
      <c r="OT12" s="76" t="str">
        <f>IF(OG12&gt;0,OG12,"")</f>
        <v/>
      </c>
      <c r="OU12" s="76" t="str">
        <f>IF(OH12&gt;0,OH12,"")</f>
        <v/>
      </c>
      <c r="OV12" s="76" t="str">
        <f>IF(SUM(OE12:OH12)-OI12&gt;0,SUM(OE12:OH12)-OI12,"")</f>
        <v/>
      </c>
      <c r="OW12" s="76" t="str">
        <f>IF(SUM(OP12,OV12)&gt;0,SUM(OP12,OV12),"")</f>
        <v/>
      </c>
      <c r="OX12" s="26"/>
      <c r="OY12" s="26"/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16" t="str">
        <f>IF(OZ12&gt;0,OZ12,"")</f>
        <v/>
      </c>
      <c r="PS12" s="16" t="str">
        <f>IF(PA12&gt;0,PA12,"")</f>
        <v/>
      </c>
      <c r="PT12" s="16" t="str">
        <f>IF(SUM(OX12:PA12)-PB12&gt;0,SUM(OX12:PA12)-PB12,"")</f>
        <v/>
      </c>
      <c r="PU12" s="16" t="str">
        <f>IF(PE12&gt;0,PE12,"")</f>
        <v/>
      </c>
      <c r="PV12" s="16" t="str">
        <f>IF(PF12&gt;0,PF12,"")</f>
        <v/>
      </c>
      <c r="PW12" s="16" t="str">
        <f>IF(SUM(PC12:PF12)-PG12&gt;0,SUM(PC12:PF12)-PG12,"")</f>
        <v/>
      </c>
      <c r="PX12" s="16" t="str">
        <f>IF(MAX(PT12,PW12)&gt;0,MAX(PT12,PW12),"")</f>
        <v/>
      </c>
      <c r="PY12" s="16" t="str">
        <f>IF(PJ12&gt;0,PJ12,"")</f>
        <v/>
      </c>
      <c r="PZ12" s="16" t="str">
        <f>IF(PK12&gt;0,PK12,"")</f>
        <v/>
      </c>
      <c r="QA12" s="16" t="str">
        <f>IF(SUM(PH12:PK12)-PL12&gt;0,SUM(PH12:PK12)-PL12,"")</f>
        <v/>
      </c>
      <c r="QB12" s="16" t="str">
        <f>IF(PO12&gt;0,PO12,"")</f>
        <v/>
      </c>
      <c r="QC12" s="16" t="str">
        <f>IF(PP12&gt;0,PP12,"")</f>
        <v/>
      </c>
      <c r="QD12" s="16" t="str">
        <f>IF(SUM(PM12:PP12)-PQ12&gt;0,SUM(PM12:PP12)-PQ12,"")</f>
        <v/>
      </c>
      <c r="QE12" s="16" t="str">
        <f>IF(SUM(PX12,QD12)&gt;0,SUM(PX12,QD12),"")</f>
        <v/>
      </c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76" t="str">
        <f>IF(QH12&gt;0,QH12,"")</f>
        <v/>
      </c>
      <c r="RA12" s="76" t="str">
        <f>IF(QI12&gt;0,QI12,"")</f>
        <v/>
      </c>
      <c r="RB12" s="76" t="str">
        <f>IF(SUM(QF12:QI12)-QJ12&gt;0,SUM(QF12:QI12)-QJ12,"")</f>
        <v/>
      </c>
      <c r="RC12" s="76" t="str">
        <f>IF(QM12&gt;0,QM12,"")</f>
        <v/>
      </c>
      <c r="RD12" s="76" t="str">
        <f>IF(QN12&gt;0,QN12,"")</f>
        <v/>
      </c>
      <c r="RE12" s="76" t="str">
        <f>IF(SUM(QK12:QN12)-QO12&gt;0,SUM(QK12:QN12)-QO12,"")</f>
        <v/>
      </c>
      <c r="RF12" s="76" t="str">
        <f>IF(MAX(RB12,RE12)&gt;0,MAX(RB12,RE12),"")</f>
        <v/>
      </c>
      <c r="RG12" s="76" t="str">
        <f>IF(QR12&gt;0,QR12,"")</f>
        <v/>
      </c>
      <c r="RH12" s="76" t="str">
        <f>IF(QS12&gt;0,QS12,"")</f>
        <v/>
      </c>
      <c r="RI12" s="76" t="str">
        <f>IF(SUM(QP12:QS12)-QT12&gt;0,SUM(QP12:QS12)-QT12,"")</f>
        <v/>
      </c>
      <c r="RJ12" s="76" t="str">
        <f>IF(QW12&gt;0,QW12,"")</f>
        <v/>
      </c>
      <c r="RK12" s="76" t="str">
        <f>IF(QX12&gt;0,QX12,"")</f>
        <v/>
      </c>
      <c r="RL12" s="76" t="str">
        <f>IF(SUM(QU12:QX12)-QY12&gt;0,SUM(QU12:QX12)-QY12,"")</f>
        <v/>
      </c>
      <c r="RM12" s="76" t="str">
        <f>IF(SUM(RF12,RL12)&gt;0,SUM(RF12,RL12),"")</f>
        <v/>
      </c>
      <c r="RN12" s="26"/>
      <c r="RO12" s="26"/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16" t="str">
        <f>IF(RP12&gt;0,RP12,"")</f>
        <v/>
      </c>
      <c r="SI12" s="16" t="str">
        <f>IF(RQ12&gt;0,RQ12,"")</f>
        <v/>
      </c>
      <c r="SJ12" s="16" t="str">
        <f>IF(SUM(RN12:RQ12)-RR12&gt;0,SUM(RN12:RQ12)-RR12,"")</f>
        <v/>
      </c>
      <c r="SK12" s="16" t="str">
        <f>IF(RU12&gt;0,RU12,"")</f>
        <v/>
      </c>
      <c r="SL12" s="16" t="str">
        <f>IF(RV12&gt;0,RV12,"")</f>
        <v/>
      </c>
      <c r="SM12" s="16" t="str">
        <f>IF(SUM(RS12:RV12)-RW12&gt;0,SUM(RS12:RV12)-RW12,"")</f>
        <v/>
      </c>
      <c r="SN12" s="16" t="str">
        <f>IF(MAX(SJ12,SM12)&gt;0,MAX(SJ12,SM12),"")</f>
        <v/>
      </c>
      <c r="SO12" s="16" t="str">
        <f>IF(RZ12&gt;0,RZ12,"")</f>
        <v/>
      </c>
      <c r="SP12" s="16" t="str">
        <f>IF(SA12&gt;0,SA12,"")</f>
        <v/>
      </c>
      <c r="SQ12" s="16" t="str">
        <f>IF(SUM(RX12:SA12)-SB12&gt;0,SUM(RX12:SA12)-SB12,"")</f>
        <v/>
      </c>
      <c r="SR12" s="16" t="str">
        <f>IF(SE12&gt;0,SE12,"")</f>
        <v/>
      </c>
      <c r="SS12" s="16" t="str">
        <f>IF(SF12&gt;0,SF12,"")</f>
        <v/>
      </c>
      <c r="ST12" s="16" t="str">
        <f>IF(SUM(SC12:SF12)-SG12&gt;0,SUM(SC12:SF12)-SG12,"")</f>
        <v/>
      </c>
      <c r="SU12" s="16" t="str">
        <f>IF(SUM(SN12,ST12)&gt;0,SUM(SN12,ST12),"")</f>
        <v/>
      </c>
      <c r="SV12" s="42">
        <f>IF($CP12="P",CA12,(CA12+AZ12)/2)</f>
        <v>7.7249999999999996</v>
      </c>
      <c r="SW12" s="42">
        <f>IF($CP12="P",CB12,(CB12+BA12)/2)</f>
        <v>4.7249999999999996</v>
      </c>
      <c r="SX12" s="42">
        <f>IF($CP12="P",CC12,(CC12+BB12)/2)</f>
        <v>5.9749999999999996</v>
      </c>
      <c r="SY12" s="42">
        <f>IF($CP12="P",CD12,(CD12+BC12)/2)</f>
        <v>7.3574999999999999</v>
      </c>
      <c r="SZ12" s="42">
        <f>IF($CP12="P",CE12,(CE12+BD12)/2)</f>
        <v>0</v>
      </c>
      <c r="TA12" s="42">
        <f>IF($CP12="P",CF12,(CF12+BE12)/2)</f>
        <v>8</v>
      </c>
      <c r="TB12" s="42">
        <f>IF($CP12="P",CG12,(CG12+BF12)/2)</f>
        <v>4.6125000000000007</v>
      </c>
      <c r="TC12" s="42">
        <f>IF($CP12="P",CH12,(CH12+BG12)/2)</f>
        <v>5.9749999999999996</v>
      </c>
      <c r="TD12" s="42">
        <f>IF($CP12="P",CI12,(CI12+BH12)/2)</f>
        <v>7.3825000000000003</v>
      </c>
      <c r="TE12" s="42">
        <f>IF($CP12="P",CJ12,(CJ12+BI12)/2)</f>
        <v>0</v>
      </c>
      <c r="TF12" s="42">
        <f>IF($CP12="P",CK12,(CK12+BJ12)/2)</f>
        <v>7.35</v>
      </c>
      <c r="TG12" s="42">
        <f>IF($CP12="P",CL12,(CL12+BK12)/2)</f>
        <v>4.6375000000000002</v>
      </c>
      <c r="TH12" s="42">
        <f>IF($CP12="P",CM12,(CM12+BL12)/2)</f>
        <v>5.9749999999999996</v>
      </c>
      <c r="TI12" s="42">
        <f>IF($CP12="P",CN12,(CN12+BM12)/2)</f>
        <v>7.3624999999999998</v>
      </c>
      <c r="TJ12" s="42">
        <f>IF($CP12="P",CO12,(CO12+BN12)/2)</f>
        <v>0</v>
      </c>
      <c r="TK12" s="51" t="s">
        <v>61</v>
      </c>
      <c r="TL12" s="76">
        <f>IF(SX12&gt;0,SX12,"")</f>
        <v>5.9749999999999996</v>
      </c>
      <c r="TM12" s="76">
        <f>IF(SY12&gt;0,SY12,"")</f>
        <v>7.3574999999999999</v>
      </c>
      <c r="TN12" s="76">
        <f>IF(SUM(SV12:SY12)-SZ12&gt;0,SUM(SV12:SY12)-SZ12,"")</f>
        <v>25.782499999999999</v>
      </c>
      <c r="TO12" s="76">
        <f>IF(TC12&gt;0,TC12,"")</f>
        <v>5.9749999999999996</v>
      </c>
      <c r="TP12" s="76">
        <f>IF(TD12&gt;0,TD12,"")</f>
        <v>7.3825000000000003</v>
      </c>
      <c r="TQ12" s="76">
        <f>IF(SUM(TA12:TD12)-TE12&gt;0,SUM(TA12:TD12)-TE12,"")</f>
        <v>25.97</v>
      </c>
      <c r="TR12" s="76">
        <f>IF(MAX(TN12,TQ12)&gt;0,MAX(TN12,TQ12),"")</f>
        <v>25.97</v>
      </c>
      <c r="TS12" s="76">
        <f>IF(TH12&gt;0,TH12,"")</f>
        <v>5.9749999999999996</v>
      </c>
      <c r="TT12" s="76">
        <f>IF(TI12&gt;0,TI12,"")</f>
        <v>7.3624999999999998</v>
      </c>
      <c r="TU12" s="76">
        <f>IF(SUM(TF12:TI12)-TJ12&gt;0,SUM(TF12:TI12)-TJ12,"")</f>
        <v>25.324999999999999</v>
      </c>
      <c r="TV12" s="76">
        <f>IF(SUM(TR12,TU12)&gt;0,SUM(TR12,TU12),"")</f>
        <v>51.295000000000002</v>
      </c>
    </row>
    <row r="13" spans="1:542" x14ac:dyDescent="0.2">
      <c r="A13" s="5" cm="1">
        <f t="array" ref="A13">IF(AND(F13&lt;&gt;"",G13&lt;&gt;""),SUMPRODUCT((F$4:F$15&lt;&gt;"")*(G$4:G$15&lt;&gt;"")*(E$4:E$15&gt;E13))+1,IF(G13&lt;&gt;"",SUMPRODUCT((H$4:H$15="No DD")*(E$4:E$15&gt;E13))+1+SUMPRODUCT((F$4:F$15&lt;&gt;"")*(G$4:G$15&lt;&gt;"")),""))</f>
        <v>9</v>
      </c>
      <c r="B13" s="6" t="s">
        <v>162</v>
      </c>
      <c r="C13" s="7" t="s">
        <v>3</v>
      </c>
      <c r="D13" s="5">
        <v>2001</v>
      </c>
      <c r="E13" s="14">
        <f>SUM(J13:V13)+SUM(J13:T13)*0.0000001+SUM(J13)*0.0000000000001</f>
        <v>207.06502070650501</v>
      </c>
      <c r="F13" s="3" t="str">
        <f>IF(OR(AND(AO13&gt;=AY$17,AO13&lt;&gt;"",AQ13&gt;=AY$21,AQ13&lt;&gt;"",AN13=""),AND(AR13&gt;=AY$17,AR13&lt;&gt;"",AT13&gt;=AY$21,AT13&lt;&gt;"",AN13=""),AND(AV13&gt;=AY$17,AV13&lt;&gt;"",AX13&gt;=AY$21,AX13&lt;&gt;"",AN13=""),AND(BP13&gt;=BZ$17,BP13&lt;&gt;"",BR13&gt;=BZ$21,BR13&lt;&gt;"",BO13=""),AND(BS13&gt;=BZ$17,BS13&lt;&gt;"",BU13&gt;=BZ$21,BU13&lt;&gt;"",BO13=""),AND(BW13&gt;=BZ$17,BW13&lt;&gt;"",BY13&gt;=BZ$21,BY13&lt;&gt;"",BO13=""),AND(CQ13&gt;=DA$17,CQ13&lt;&gt;"",CS13&gt;=DA$21,CS13&lt;&gt;"",CP13=""),AND(CT13&gt;=DA$17,CT13&lt;&gt;"",CV13&gt;=DA$21,CV13&lt;&gt;"",CP13=""),AND(CX13&gt;=DA$17,CX13&lt;&gt;"",CZ13&gt;=DA$21,CZ13&lt;&gt;"",CP13=""),AND(DX13&gt;=EK$17,DX13&lt;&gt;"",DZ13&gt;=EK$21,DZ13&lt;&gt;""),AND(EA13&gt;=EK$17,EA13&lt;&gt;"",EC13&gt;=EK$21,EC13&lt;&gt;""),AND(EE13&gt;=EK$17,EE13&lt;&gt;"",EG13&gt;=EK$21,EG13&lt;&gt;""),AND(EH13&gt;=EK$17,EH13&lt;&gt;"",EJ13&gt;=EK$21,EJ13&lt;&gt;""),AND(FF13&gt;=FS$17,FF13&lt;&gt;"",FH13&gt;=FS$21,FH13&lt;&gt;""),AND(FI13&gt;=FS$17,FI13&lt;&gt;"",FK13&gt;=FS$21,FK13&lt;&gt;""),AND(FM13&gt;=FS$17,FM13&lt;&gt;"",FO13&gt;=FS$21,FO13&lt;&gt;""),AND(FP13&gt;=FS$17,FP13&lt;&gt;"",FR13&gt;=FS$21,FR13&lt;&gt;""),AND(GN13&gt;=HA$17,GN13&lt;&gt;"",GP13&gt;=HA$21,GP13&lt;&gt;""),AND(GQ13&gt;=HA$17,GQ13&lt;&gt;"",GS13&gt;=HA$21,GS13&lt;&gt;""),AND(GU13&gt;=HA$17,GU13&lt;&gt;"",GW13&gt;=HA$21,GW13&lt;&gt;""),AND(GX13&gt;=HA$17,GX13&lt;&gt;"",GZ13&gt;=HA$21,GZ13&lt;&gt;""),AND(HV13&gt;=II$17,HV13&lt;&gt;"",HX13&gt;=II$21,HX13&lt;&gt;""),AND(HY13&gt;=II$17,HY13&lt;&gt;"",IA13&gt;=II$21,IA13&lt;&gt;""),AND(IC13&gt;=II$17,IC13&lt;&gt;"",IE13&gt;=II$21,IE13&lt;&gt;""),AND(IF13&gt;=II$17,IF13&lt;&gt;"",IH13&gt;=II$21,IH13&lt;&gt;""),AND(JD13&gt;=JQ$17,JD13&lt;&gt;"",JF13&gt;=JQ$21,JF13&lt;&gt;""),AND(JG13&gt;=JQ$17,JG13&lt;&gt;"",JI13&gt;=JQ$21,JI13&lt;&gt;""),AND(JK13&gt;=JQ$17,JK13&lt;&gt;"",JM13&gt;=JQ$21,JM13&lt;&gt;""),AND(JN13&gt;=JQ$17,JN13&lt;&gt;"",JP13&gt;=JQ$21,JP13&lt;&gt;""),AND(KL13&gt;=KY$17,KL13&lt;&gt;"",KN13&gt;=KY$21,KN13&lt;&gt;""),AND(KO13&gt;=KY$17,KO13&lt;&gt;"",KQ13&gt;=KY$21,KQ13&lt;&gt;""),AND(KS13&gt;=KY$17,KS13&lt;&gt;"",KU13&gt;=KY$21,KU13&lt;&gt;""),AND(KV13&gt;=KY$17,KV13&lt;&gt;"",KX13&gt;=KY$21,KX13&lt;&gt;""),AND(LT13&gt;=MG$17,LT13&lt;&gt;"",LV13&gt;=MG$21,LV13&lt;&gt;""),AND(LW13&gt;=MG$17,LW13&lt;&gt;"",LY13&gt;=MG$21,LY13&lt;&gt;""),AND(MA13&gt;=MG$17,MA13&lt;&gt;"",MC13&gt;=MG$21,MC13&lt;&gt;""),AND(MD13&gt;=MG$17,MD13&lt;&gt;"",MF13&gt;=MG$21,MF13&lt;&gt;""),AND(NB13&gt;=NO$17,NB13&lt;&gt;"",ND13&gt;=NO$21,ND13&lt;&gt;""),AND(NE13&gt;=NO$17,NE13&lt;&gt;"",NG13&gt;=NO$21,NG13&lt;&gt;""),AND(NI13&gt;=NO$17,NI13&lt;&gt;"",NK13&gt;=NO$21,NK13&lt;&gt;""),AND(NL13&gt;=NO$17,NL13&lt;&gt;"",NN13&gt;=NO$21,NN13&lt;&gt;""),AND(OJ13&gt;=OW$17,OJ13&lt;&gt;"",OL13&gt;=OW$21,OL13&lt;&gt;""),AND(OM13&gt;=OW$17,OM13&lt;&gt;"",OO13&gt;=OW$21,OO13&lt;&gt;""),AND(OQ13&gt;=OW$17,OQ13&lt;&gt;"",OS13&gt;=OW$21,OS13&lt;&gt;""),AND(OT13&gt;=OW$17,OT13&lt;&gt;"",OV13&gt;=OW$21,OV13&lt;&gt;""),AND(PR13&gt;=QE$17,PR13&lt;&gt;"",PT13&gt;=QE$21,PT13&lt;&gt;""),AND(PU13&gt;=QE$17,PU13&lt;&gt;"",PW13&gt;=QE$21,PW13&lt;&gt;""),AND(PY13&gt;=QE$17,PY13&lt;&gt;"",QA13&gt;=QE$21,QA13&lt;&gt;""),AND(QB13&gt;=QE$17,QB13&lt;&gt;"",QD13&gt;=QE$21,QD13&lt;&gt;""),AND(QZ13&gt;=RM$17,QZ13&lt;&gt;"",RB13&gt;=RM$21,RB13&lt;&gt;""),AND(RC13&gt;=RM$17,RC13&lt;&gt;"",RE13&gt;=RM$21,RE13&lt;&gt;""),AND(RG13&gt;=RM$17,RG13&lt;&gt;"",RI13&gt;=RM$21,RI13&lt;&gt;""),AND(RJ13&gt;=RM$17,RJ13&lt;&gt;"",RL13&gt;=RM$21,RL13&lt;&gt;""),AND(SH13&gt;=SU$17,SH13&lt;&gt;"",SJ13&gt;=SU$21,SJ13&lt;&gt;""),AND(SK13&gt;=SU$17,SK13&lt;&gt;"",SM13&gt;=SU$21,SM13&lt;&gt;""),AND(SO13&gt;=SU$17,SO13&lt;&gt;"",SQ13&gt;=SU$21,SQ13&lt;&gt;""),AND(SR13&gt;=SU$17,SR13&lt;&gt;"",ST13&gt;=SU$21,ST13&lt;&gt;"")),"P","")</f>
        <v/>
      </c>
      <c r="G13" s="3" t="str">
        <f>IF(OR(AND(AQ13&gt;=AY$21,AQ13&lt;&gt;"",AN13=""),AND(AT13&gt;=AY$21,AT13&lt;&gt;"",AN13=""),AND(AX13&gt;=AY$21,AX13&lt;&gt;"",AN13=""),AND(BR13&gt;=BZ$21,BR13&lt;&gt;"",BO13=""),AND(BU13&gt;=BZ$21,BU13&lt;&gt;"",BO13=""),AND(BY13&gt;=BZ$21,BY13&lt;&gt;"",BO13=""),AND(CS13&gt;=DA$21,CS13&lt;&gt;"",CP13=""),AND(CV13&gt;=DA$21,CV13&lt;&gt;"",CP13=""),AND(CZ13&gt;=DA$21,CZ13&lt;&gt;"",CP13=""),AND(DZ13&gt;=EK$21,DZ13&lt;&gt;""),AND(EC13&gt;=EK$21,EC13&lt;&gt;""),AND(EG13&gt;=EK$21,EG13&lt;&gt;""),AND(EJ13&gt;=EK$21,EJ13&lt;&gt;""),AND(FH13&gt;=FS$21,FH13&lt;&gt;""),AND(FK13&gt;=FS$21,FK13&lt;&gt;""),AND(FO13&gt;=FS$21,FO13&lt;&gt;""),AND(FR13&gt;=FS$21,FR13&lt;&gt;""),AND(GP13&gt;=HA$21,GP13&lt;&gt;""),AND(GS13&gt;=HA$21,GS13&lt;&gt;""),AND(GW13&gt;=HA$21,GW13&lt;&gt;""),AND(GZ13&gt;=HA$21,GZ13&lt;&gt;""),AND(HX13&gt;=II$21,HX13&lt;&gt;""),AND(IA13&gt;=II$21,IA13&lt;&gt;""),AND(IE13&gt;=II$21,IE13&lt;&gt;""),AND(IH13&gt;=II$21,IH13&lt;&gt;""),AND(JF13&gt;=JQ$21,JF13&lt;&gt;""),AND(JI13&gt;=JQ$21,JI13&lt;&gt;""),AND(JM13&gt;=JQ$21,JM13&lt;&gt;""),AND(JP13&gt;=JQ$21,JP13&lt;&gt;""),AND(KN13&gt;=KY$21,KN13&lt;&gt;""),AND(KQ13&gt;=KY$21,KQ13&lt;&gt;""),AND(KU13&gt;=KY$21,KU13&lt;&gt;""),AND(KX13&gt;=KY$21,KX13&lt;&gt;""),AND(LV13&gt;=MG$21,LV13&lt;&gt;""),AND(LY13&gt;=MG$21,LY13&lt;&gt;""),AND(MC13&gt;=MG$21,MC13&lt;&gt;""),AND(MF13&gt;=MG$21,MF13&lt;&gt;""),AND(ND13&gt;=NO$21,ND13&lt;&gt;""),AND(NG13&gt;=NO$21,NG13&lt;&gt;""),AND(NK13&gt;=NO$21,NK13&lt;&gt;""),AND(NN13&gt;=NO$21,NN13&lt;&gt;""),AND(OL13&gt;=OW$21,OL13&lt;&gt;""),AND(OO13&gt;=OW$21,OO13&lt;&gt;""),AND(OS13&gt;=OW$21,OS13&lt;&gt;""),AND(OV13&gt;=OW$21,OV13&lt;&gt;""),AND(PT13&gt;=QE$21,PT13&lt;&gt;""),AND(PW13&gt;=QE$21,PW13&lt;&gt;""),AND(QA13&gt;=QE$21,QA13&lt;&gt;""),AND(QD13&gt;=QE$21,QD13&lt;&gt;""),AND(RB13&gt;=RM$21,RB13&lt;&gt;""),AND(RE13&gt;=RM$21,RE13&lt;&gt;""),AND(RI13&gt;=RM$21,RI13&lt;&gt;""),AND(RL13&gt;=RM$21,RL13&lt;&gt;""),AND(SJ13&gt;=SU$21,SJ13&lt;&gt;""),AND(SM13&gt;=SU$21,SM13&lt;&gt;""),AND(SQ13&gt;=SU$21,SQ13&lt;&gt;""),AND(ST13&gt;=SU$21,ST13&lt;&gt;"")),"P","")</f>
        <v>P</v>
      </c>
      <c r="H13" s="70" t="str">
        <f>IF(AND(G13="P",F13=""),"No DD",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),"Merit",IF(OR(AND(AO13&gt;=AY$19,AO13&lt;&gt;"",AQ13&gt;=AY$23,AQ13&lt;&gt;"",AN13=""),AND(AR13&gt;=AY$19,AR13&lt;&gt;"",AT13&gt;=AY$23,AT13&lt;&gt;"",AN13=""),AND(AV13&gt;=AY$19,AV13&lt;&gt;"",AX13&gt;=AY$23,AX13&lt;&gt;"",AN13=""),AND(BP13&gt;=BZ$19,BP13&lt;&gt;"",BR13&gt;=BZ$23,BR13&lt;&gt;"",BO13=""),AND(BS13&gt;=BZ$19,BS13&lt;&gt;"",BU13&gt;=BZ$23,BU13&lt;&gt;"",BO13=""),AND(BW13&gt;=BZ$19,BW13&lt;&gt;"",BY13&gt;=BZ$23,BY13&lt;&gt;"",BO13=""),AND(CQ13&gt;=DA$19,CQ13&lt;&gt;"",CS13&gt;=DA$23,CS13&lt;&gt;"",CP13=""),AND(CT13&gt;=DA$19,CT13&lt;&gt;"",CV13&gt;=DA$23,CV13&lt;&gt;"",CP13=""),AND(CX13&gt;=DA$19,CX13&lt;&gt;"",CZ13&gt;=DA$23,CZ13&lt;&gt;"",CP13=""),AND(DX13&gt;=EK$19,DX13&lt;&gt;"",DZ13&gt;=EK$23,DZ13&lt;&gt;""),AND(EA13&gt;=EK$19,EA13&lt;&gt;"",EC13&gt;=EK$23,EC13&lt;&gt;""),AND(EE13&gt;=EK$19,EE13&lt;&gt;"",EG13&gt;=EK$23,EG13&lt;&gt;""),AND(EH13&gt;=EK$19,EH13&lt;&gt;"",EJ13&gt;=EK$23,EJ13&lt;&gt;""),AND(FF13&gt;=FS$19,FF13&lt;&gt;"",FH13&gt;=FS$23,FH13&lt;&gt;""),AND(FI13&gt;=FS$19,FI13&lt;&gt;"",FK13&gt;=FS$23,FK13&lt;&gt;""),AND(FM13&gt;=FS$19,FM13&lt;&gt;"",FO13&gt;=FS$23,FO13&lt;&gt;""),AND(FP13&gt;=FS$19,FP13&lt;&gt;"",FR13&gt;=FS$23,FR13&lt;&gt;""),AND(GN13&gt;=HA$19,GN13&lt;&gt;"",GP13&gt;=HA$23,GP13&lt;&gt;""),AND(GQ13&gt;=HA$19,GQ13&lt;&gt;"",GS13&gt;=HA$23,GS13&lt;&gt;""),AND(GU13&gt;=HA$19,GU13&lt;&gt;"",GW13&gt;=HA$23,GW13&lt;&gt;""),AND(GX13&gt;=HA$19,GX13&lt;&gt;"",GZ13&gt;=HA$23,GZ13&lt;&gt;""),AND(HV13&gt;=II$19,HV13&lt;&gt;"",HX13&gt;=II$23,HX13&lt;&gt;""),AND(HY13&gt;=II$19,HY13&lt;&gt;"",IA13&gt;=II$23,IA13&lt;&gt;""),AND(IC13&gt;=II$19,IC13&lt;&gt;"",IE13&gt;=II$23,IE13&lt;&gt;""),AND(IF13&gt;=II$19,IF13&lt;&gt;"",IH13&gt;=II$23,IH13&lt;&gt;""),AND(JD13&gt;=JQ$19,JD13&lt;&gt;"",JF13&gt;=JQ$23,JF13&lt;&gt;""),AND(JG13&gt;=JQ$19,JG13&lt;&gt;"",JI13&gt;=JQ$23,JI13&lt;&gt;""),AND(JK13&gt;=JQ$19,JK13&lt;&gt;"",JM13&gt;=JQ$23,JM13&lt;&gt;""),AND(JN13&gt;=JQ$19,JN13&lt;&gt;"",JP13&gt;=JQ$23,JP13&lt;&gt;""),AND(KL13&gt;=KY$19,KL13&lt;&gt;"",KN13&gt;=KY$23,KN13&lt;&gt;""),AND(KO13&gt;=KY$19,KO13&lt;&gt;"",KQ13&gt;=KY$23,KQ13&lt;&gt;""),AND(KS13&gt;=KY$19,KS13&lt;&gt;"",KU13&gt;=KY$23,KU13&lt;&gt;""),AND(KV13&gt;=KY$19,KV13&lt;&gt;"",KX13&gt;=KY$23,KX13&lt;&gt;""),AND(LT13&gt;=MG$19,LT13&lt;&gt;"",LV13&gt;=MG$23,LV13&lt;&gt;""),AND(LW13&gt;=MG$19,LW13&lt;&gt;"",LY13&gt;=MG$23,LY13&lt;&gt;""),AND(MA13&gt;=MG$19,MA13&lt;&gt;"",MC13&gt;=MG$23,MC13&lt;&gt;""),AND(MD13&gt;=MG$19,MD13&lt;&gt;"",MF13&gt;=MG$23,MF13&lt;&gt;""),AND(NB13&gt;=NO$19,NB13&lt;&gt;"",ND13&gt;=NO$23,ND13&lt;&gt;""),AND(NE13&gt;=NO$19,NE13&lt;&gt;"",NG13&gt;=NO$23,NG13&lt;&gt;""),AND(NI13&gt;=NO$19,NI13&lt;&gt;"",NK13&gt;=NO$23,NK13&lt;&gt;""),AND(NL13&gt;=NO$19,NL13&lt;&gt;"",NN13&gt;=NO$23,NN13&lt;&gt;""),AND(OJ13&gt;=OW$19,OJ13&lt;&gt;"",OL13&gt;=OW$23,OL13&lt;&gt;""),AND(OM13&gt;=OW$19,OM13&lt;&gt;"",OO13&gt;=OW$23,OO13&lt;&gt;""),AND(OQ13&gt;=OW$19,OQ13&lt;&gt;"",OS13&gt;=OW$23,OS13&lt;&gt;""),AND(OT13&gt;=OW$19,OT13&lt;&gt;"",OV13&gt;=OW$23,OV13&lt;&gt;""),AND(PR13&gt;=QE$19,PR13&lt;&gt;"",PT13&gt;=QE$23,PT13&lt;&gt;""),AND(PU13&gt;=QE$19,PU13&lt;&gt;"",PW13&gt;=QE$23,PW13&lt;&gt;""),AND(PY13&gt;=QE$19,PY13&lt;&gt;"",QA13&gt;=QE$23,QA13&lt;&gt;""),AND(QB13&gt;=QE$19,QB13&lt;&gt;"",QD13&gt;=QE$23,QD13&lt;&gt;""),AND(QZ13&gt;=RM$19,QZ13&lt;&gt;"",RB13&gt;=RM$23,RB13&lt;&gt;""),AND(RC13&gt;=RM$19,RC13&lt;&gt;"",RE13&gt;=RM$23,RE13&lt;&gt;""),AND(RG13&gt;=RM$19,RG13&lt;&gt;"",RI13&gt;=RM$23,RI13&lt;&gt;""),AND(RJ13&gt;=RM$19,RJ13&lt;&gt;"",RL13&gt;=RM$23,RL13&lt;&gt;""),AND(SH13&gt;=SU$19,SH13&lt;&gt;"",SJ13&gt;=SU$23,SJ13&lt;&gt;""),AND(SK13&gt;=SU$19,SK13&lt;&gt;"",SM13&gt;=SU$23,SM13&lt;&gt;""),AND(SO13&gt;=SU$19,SO13&lt;&gt;"",SQ13&gt;=SU$23,SQ13&lt;&gt;""),AND(SR13&gt;=SU$19,SR13&lt;&gt;"",ST13&gt;=SU$23,ST13&lt;&gt;"")),"Excellence",IF(I13="P","Worlds Team",IF(F13="P","National Team","")))))</f>
        <v>No DD</v>
      </c>
      <c r="I13" s="3" t="str">
        <f>IF(OR(AND(AO13&gt;=AY$18,AO13&lt;&gt;"",AQ13&gt;=AY$22,AQ13&lt;&gt;"",AN13=""),AND(AR13&gt;=AY$18,AR13&lt;&gt;"",AT13&gt;=AY$22,AT13&lt;&gt;"",AN13=""),AND(AV13&gt;=AY$18,AV13&lt;&gt;"",AX13&gt;=AY$22,AX13&lt;&gt;"",AN13=""),AND(BP13&gt;=BZ$18,BP13&lt;&gt;"",BR13&gt;=BZ$22,BR13&lt;&gt;"",BO13=""),AND(BS13&gt;=BZ$18,BS13&lt;&gt;"",BU13&gt;=BZ$22,BU13&lt;&gt;"",BO13=""),AND(BW13&gt;=BZ$18,BW13&lt;&gt;"",BY13&gt;=BZ$22,BY13&lt;&gt;"",BO13=""),AND(CQ13&gt;=DA$18,CQ13&lt;&gt;"",CS13&gt;=DA$22,CS13&lt;&gt;"",CP13=""),AND(CT13&gt;=DA$18,CT13&lt;&gt;"",CV13&gt;=DA$22,CV13&lt;&gt;"",CP13=""),AND(CX13&gt;=DA$18,CX13&lt;&gt;"",CZ13&gt;=DA$22,CZ13&lt;&gt;"",CP13=""),AND(DX13&gt;=EK$18,DX13&lt;&gt;"",DZ13&gt;=EK$22,DZ13&lt;&gt;""),AND(EA13&gt;=EK$18,EA13&lt;&gt;"",EC13&gt;=EK$22,EC13&lt;&gt;""),AND(EE13&gt;=EK$18,EE13&lt;&gt;"",EG13&gt;=EK$22,EG13&lt;&gt;""),AND(EH13&gt;=EK$18,EH13&lt;&gt;"",EJ13&gt;=EK$22,EJ13&lt;&gt;""),AND(FF13&gt;=FS$18,FF13&lt;&gt;"",FH13&gt;=FS$22,FH13&lt;&gt;""),AND(FI13&gt;=FS$18,FI13&lt;&gt;"",FK13&gt;=FS$22,FK13&lt;&gt;""),AND(FM13&gt;=FS$18,FM13&lt;&gt;"",FO13&gt;=FS$22,FO13&lt;&gt;""),AND(FP13&gt;=FS$18,FP13&lt;&gt;"",FR13&gt;=FS$22,FR13&lt;&gt;""),AND(GN13&gt;=HA$18,GN13&lt;&gt;"",GP13&gt;=HA$22,GP13&lt;&gt;""),AND(GQ13&gt;=HA$18,GQ13&lt;&gt;"",GS13&gt;=HA$22,GS13&lt;&gt;""),AND(GU13&gt;=HA$18,GU13&lt;&gt;"",GW13&gt;=HA$22,GW13&lt;&gt;""),AND(GX13&gt;=HA$18,GX13&lt;&gt;"",GZ13&gt;=HA$22,GZ13&lt;&gt;""),AND(HV13&gt;=II$18,HV13&lt;&gt;"",HX13&gt;=II$22,HX13&lt;&gt;""),AND(HY13&gt;=II$18,HY13&lt;&gt;"",IA13&gt;=II$22,IA13&lt;&gt;""),AND(IC13&gt;=II$18,IC13&lt;&gt;"",IE13&gt;=II$22,IE13&lt;&gt;""),AND(IF13&gt;=II$18,IF13&lt;&gt;"",IH13&gt;=II$22,IH13&lt;&gt;""),AND(JD13&gt;=JQ$18,JD13&lt;&gt;"",JF13&gt;=JQ$22,JF13&lt;&gt;""),AND(JG13&gt;=JQ$18,JG13&lt;&gt;"",JI13&gt;=JQ$22,JI13&lt;&gt;""),AND(JK13&gt;=JQ$18,JK13&lt;&gt;"",JM13&gt;=JQ$22,JM13&lt;&gt;""),AND(JN13&gt;=JQ$18,JN13&lt;&gt;"",JP13&gt;=JQ$22,JP13&lt;&gt;""),AND(KL13&gt;=KY$18,KL13&lt;&gt;"",KN13&gt;=KY$22,KN13&lt;&gt;""),AND(KO13&gt;=KY$18,KO13&lt;&gt;"",KQ13&gt;=KY$22,KQ13&lt;&gt;""),AND(KS13&gt;=KY$18,KS13&lt;&gt;"",KU13&gt;=KY$22,KU13&lt;&gt;""),AND(KV13&gt;=KY$18,KV13&lt;&gt;"",KX13&gt;=KY$22,KX13&lt;&gt;""),AND(LT13&gt;=MG$18,LT13&lt;&gt;"",LV13&gt;=MG$22,LV13&lt;&gt;""),AND(LW13&gt;=MG$18,LW13&lt;&gt;"",LY13&gt;=MG$22,LY13&lt;&gt;""),AND(MA13&gt;=MG$18,MA13&lt;&gt;"",MC13&gt;=MG$22,MC13&lt;&gt;""),AND(MD13&gt;=MG$18,MD13&lt;&gt;"",MF13&gt;=MG$22,MF13&lt;&gt;""),AND(NB13&gt;=NO$18,NB13&lt;&gt;"",ND13&gt;=NO$22,ND13&lt;&gt;""),AND(NE13&gt;=NO$18,NE13&lt;&gt;"",NG13&gt;=NO$22,NG13&lt;&gt;""),AND(NI13&gt;=NO$18,NI13&lt;&gt;"",NK13&gt;=NO$22,NK13&lt;&gt;""),AND(NL13&gt;=NO$18,NL13&lt;&gt;"",NN13&gt;=NO$22,NN13&lt;&gt;""),AND(OJ13&gt;=OW$18,OJ13&lt;&gt;"",OL13&gt;=OW$22,OL13&lt;&gt;""),AND(OM13&gt;=OW$18,OM13&lt;&gt;"",OO13&gt;=OW$22,OO13&lt;&gt;""),AND(OQ13&gt;=OW$18,OQ13&lt;&gt;"",OS13&gt;=OW$22,OS13&lt;&gt;""),AND(OT13&gt;=OW$18,OT13&lt;&gt;"",OV13&gt;=OW$22,OV13&lt;&gt;""),AND(PR13&gt;=QE$18,PR13&lt;&gt;"",PT13&gt;=QE$22,PT13&lt;&gt;""),AND(PU13&gt;=QE$18,PU13&lt;&gt;"",PW13&gt;=QE$22,PW13&lt;&gt;""),AND(PY13&gt;=QE$18,PY13&lt;&gt;"",QA13&gt;=QE$22,QA13&lt;&gt;""),AND(QB13&gt;=QE$18,QB13&lt;&gt;"",QD13&gt;=QE$22,QD13&lt;&gt;""),AND(QZ13&gt;=RM$18,QZ13&lt;&gt;"",RB13&gt;=RM$22,RB13&lt;&gt;""),AND(RC13&gt;=RM$18,RC13&lt;&gt;"",RE13&gt;=RM$22,RE13&lt;&gt;""),AND(RG13&gt;=RM$18,RG13&lt;&gt;"",RI13&gt;=RM$22,RI13&lt;&gt;""),AND(RJ13&gt;=RM$18,RJ13&lt;&gt;"",RL13&gt;=RM$22,RL13&lt;&gt;""),AND(SH13&gt;=SU$18,SH13&lt;&gt;"",SJ13&gt;=SU$22,SJ13&lt;&gt;""),AND(SK13&gt;=SU$18,SK13&lt;&gt;"",SM13&gt;=SU$22,SM13&lt;&gt;""),AND(SO13&gt;=SU$18,SO13&lt;&gt;"",SQ13&gt;=SU$22,SQ13&lt;&gt;""),AND(SR13&gt;=SU$18,SR13&lt;&gt;"",ST13&gt;=SU$22,ST13&lt;&gt;"")),"P","")</f>
        <v/>
      </c>
      <c r="J13" s="13">
        <f>IF(COUNT(AQ13,AT13,BR13,BU13,CS13,CV13)&gt;0,LARGE((AQ13,AT13,BR13,BU13,CS13,CV13),1),0)</f>
        <v>50.069999999999993</v>
      </c>
      <c r="K13" s="13" t="str">
        <f>IF(J13="","",IF(OR(J13=CS13,J13=CV13),$CA$1,IF(OR(J13=BR13,J13=BU13),$AZ$1,IF(OR(J13=AQ13,J13=AT13),$Y$1,""))))</f>
        <v>2022 Elite Canada</v>
      </c>
      <c r="L13" s="13">
        <f>IF(COUNT(AQ13,AT13,BR13,BU13,CS13,CV13)&gt;1,LARGE((AQ13,AT13,BR13,BU13,CS13,CV13),2),0)</f>
        <v>47.305000000000007</v>
      </c>
      <c r="M13" s="13" t="str">
        <f>IF(L13="","",IF(OR(L13=CS13,L13=CV13),$CA$1,IF(OR(L13=BR13,L13=BU13),$AZ$1,IF(OR(L13=AQ13,L13=AT13),$Y$1,""))))</f>
        <v>2021 Canadian Championships</v>
      </c>
      <c r="N13" s="13">
        <f>IF(COUNT(AQ13,AT13,BR13,BU13,CS13,CV13)&gt;2,LARGE((AQ13,AT13,BR13,BU13,CS13,CV13),3),0)</f>
        <v>46.370000000000005</v>
      </c>
      <c r="O13" s="13" t="str">
        <f>IF(N13="","",IF(OR(N13=CS13,N13=CV13),$CA$1,IF(OR(N13=BR13,N13=BU13),$AZ$1,IF(OR(N13=AQ13,N13=AT13),$Y$1,""))))</f>
        <v>2022 Elite Canada</v>
      </c>
      <c r="P13" s="13">
        <f>IF(MAX(AX13,BY13,CZ13)&gt;0,MAX(AX13,BY13,CZ13),0)</f>
        <v>51.120000000000005</v>
      </c>
      <c r="Q13" s="13" t="str">
        <f>IF(P13="","",IF(P13=CZ13,$CA$1,IF(P13=BY13,$AZ$1,IF(P13=AX13,$Y$1,""))))</f>
        <v>2022 Elite Canada</v>
      </c>
      <c r="R13" s="13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12.2</v>
      </c>
      <c r="S13" s="13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2022 Elite Canada</v>
      </c>
      <c r="T13" s="13">
        <f>IF(MAX(IF(AO13&gt;=$AY$17,AP13,0),IF(AR13&gt;=$AY$17,AS13,0),IF(AV13&gt;=$AY$17,AW13,0),IF(BP13&gt;=$BZ$17,BQ13,0),IF(BS13&gt;=$BZ$17,BT13,0),IF(BW13&gt;=$BZ$17,BX13,0),IF(CQ13&gt;=$DA$17,CR13,0),IF(CT13&gt;=$DA$17,CU13,0),IF(CX13&gt;=$DA$17,CY13,0))&gt;0,MAX(IF(AO13&gt;=$AY$17,AP13,0),IF(AR13&gt;=$AY$17,AS13,0),IF(AV13&gt;=$AY$17,AW13,0),IF(BP13&gt;=$BZ$17,BQ13,0),IF(BS13&gt;=$BZ$17,BT13,0),IF(BW13&gt;=$BZ$17,BX13,0),IF(CQ13&gt;=$DA$17,CR13,0),IF(CT13&gt;=$DA$17,CU13,0),IF(CX13&gt;=$DA$17,CY13,0),IF(DX13&gt;=$EK$17,DY13,0),IF(EA13&gt;=$EK$17,EB13,0),IF(EE13&gt;=$EK$17,EF13,0),IF(EH13&gt;=$EK$17,EI13,0),IF(FF13&gt;=$FS$17,FG13,0),IF(FI13&gt;=$FS$17,FJ13,0),IF(FM13&gt;=$FS$17,FN13,0),IF(FP13&gt;=$FS$17,FQ13,0),IF(GN13&gt;=$HA$17,GO13,0),IF(GQ13&gt;=$HA$17,GR13,0),IF(GU13&gt;=$HA$17,GV13,0),IF(GX13&gt;=$HA$17,GY13,0),IF(HV13&gt;=$II$17,HW13,0),IF(HY13&gt;=$II$17,HZ13,0),IF(IC13&gt;=$II$17,ID13,0),IF(IF13&gt;=$II$17,IG13,0),IF(JD13&gt;=$JQ$17,JE13,0),IF(JG13&gt;=$JQ$17,JH13,0),IF(JK13&gt;=$JQ$17,JL13,0),IF(JN13&gt;=$JQ$17,JO13,0),IF(KL13&gt;=$KY$17,KM13,0),IF(KO13&gt;=$KY$17,KP13,0),IF(KS13&gt;=$KY$17,KT13,0),IF(KV13&gt;=$KY$17,KW13,0),IF(LT13&gt;=$MG$17,LU13,0),IF(LW13&gt;=$MG$17,LX13,0),IF(MA13&gt;=$MG$17,MB13,0),IF(MD13&gt;=$MG$17,ME13,0),IF(NB13&gt;=$NO$17,NC13,0),IF(NE13&gt;=$NO$17,NF13,0),IF(NI13&gt;=$NO$17,NJ13,0),IF(NL13&gt;=$NO$17,NM13,0),IF(OJ13&gt;=$OW$17,OK13,0),IF(OM13&gt;=$OW$17,ON13,0),IF(OQ13&gt;=$OW$17,OR13,0),IF(OT13&gt;=$OW$17,OU13,0),IF(PR13&gt;=$QE$17,PS13,0),IF(PU13&gt;=$QE$17,PV13,0),IF(PY13&gt;=$QE$17,PZ13,0),IF(QB13&gt;=$QE$17,QC13,0),IF(QZ13&gt;=$RM$17,RA13,0),IF(RC13&gt;=$RM$17,RD13,0),IF(RG13&gt;=$RM$17,RH13,0),IF(RJ13&gt;=$RM$17,RK13,0),IF(SH13&gt;=$SU$17,SI13,0),IF(SK13&gt;=$SU$17,SL13,0),IF(SO13&gt;=$SU$17,SP13,0),IF(SR13&gt;=$SU$17,SS13,0)),0)</f>
        <v>0</v>
      </c>
      <c r="U13" s="13" t="str">
        <f>IF(T13=0,"",IF(OR(T13=CR13,T13=CU13,T13=CY13),$CA$1,IF(OR(T13=BQ13,T13=BT13,T13=BX13),$AZ$1,IF(OR(T13=AP13,T13=AS13,T13=AW13),$Y$1,IF(OR(R13=SI13,R13=SL13,R13=SP13,R13=SS13),$RN$1,IF(OR(R13=RA13,R13=RD13,R13=RH13,R13=RK13),$QF$1,IF(OR(R13=PS13,R13=PV13,R13=PZ13,R13=QC13),$OX$1,IF(OR(R13=OK13,R13=ON13,R13=OR13,R13=OU13),$NP$1,IF(OR(R13=NC13,R13=NF13,R13=NJ13,R13=NM13),$MH$1,IF(OR(R13=LU13,R13=LX13,R13=MB13,R13=ME13),$KZ$1,IF(OR(R13=KM13,R13=KP13,R13=KT13,R13=KW13),$JR$1,IF(OR(R13=JE13,R13=JH13,R13=JL13,R13=JO13),$IJ$1,IF(OR(R13=HW13,R13=HZ13,R13=ID13,R13=IG13),$HB$1,IF(OR(R13=GO13,R13=GR13,R13=GV13,R13=GY13),$FT$1,IF(OR(R13=FG13,R13=FJ13,R13=FN13,R13=FQ13),$EL$1,IF(OR(R13=DY13,R13=EB13,R13=EF13,R13=EI13),$DD$1,""))))))))))))))))</f>
        <v/>
      </c>
      <c r="V13" s="13" t="str">
        <f>IF(MAX(DB13,DC13)&gt;0,MAX(DB13,DC13),"")</f>
        <v/>
      </c>
      <c r="W13" s="16" t="str">
        <f>IF(V13="","",IF(V13=DB13,"("&amp;DB$2&amp;")",IF(V13=DC13,"("&amp;DC$2&amp;")")))</f>
        <v/>
      </c>
      <c r="X13" s="13" t="str">
        <f>IF(V13="","",IF(V13=DB13,IF(V13+IF(L13="",0,L13)=SN13,$RN$1,IF(V13+IF(L13="",0,L13)=RF13,$QF$1,IF(V13+IF(L13="",0,L13)=PX13,$OX$1,IF(V13+IF(L13="",0,L13)=OP13,$NP$1,IF(V13+IF(L13="",0,L13)=NH13,$MH$1,IF(V13+IF(L13="",0,L13)=LZ13,$KZ$1,IF(V13+IF(L13="",0,L13)=KR13,$JR$1,IF(V13+IF(L13="",0,L13)=JJ13,$IJ$1,IF(V13+IF(L13="",0,L13)=IB13,$HB$1,IF(V13+IF(L13="",0,L13)=GT13,$FT$1,IF(V13+IF(L13="",0,L13)=FL13,$EL$1,IF(V13+IF(L13="",0,L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$1)))))))))))))))</f>
        <v/>
      </c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51"/>
      <c r="AO13" s="74" t="str">
        <f>IF(AA13&gt;0,AA13,"")</f>
        <v/>
      </c>
      <c r="AP13" s="74" t="str">
        <f>IF(AB13&gt;0,AB13,"")</f>
        <v/>
      </c>
      <c r="AQ13" s="76" t="str">
        <f>IF(SUM(Y13:AB13)-AC13&gt;0,SUM(Y13:AB13)-AC13,"")</f>
        <v/>
      </c>
      <c r="AR13" s="76" t="str">
        <f>IF(AF13&gt;0,AF13,"")</f>
        <v/>
      </c>
      <c r="AS13" s="76" t="str">
        <f>IF(AG13&gt;0,AG13,"")</f>
        <v/>
      </c>
      <c r="AT13" s="76" t="str">
        <f>IF(SUM(AD13:AG13)-AH13&gt;0,SUM(AD13:AG13)-AH13,"")</f>
        <v/>
      </c>
      <c r="AU13" s="76" t="str">
        <f>IF(AQ13="","",MAX(AQ13,AT13))</f>
        <v/>
      </c>
      <c r="AV13" s="76" t="str">
        <f>IF(AK13&gt;0,AK13,"")</f>
        <v/>
      </c>
      <c r="AW13" s="76" t="str">
        <f>IF(AL13&gt;0,AL13,"")</f>
        <v/>
      </c>
      <c r="AX13" s="76" t="str">
        <f>IF(SUM(AI13:AL13)-AM13&gt;0,SUM(AI13:AL13)-AM13,"")</f>
        <v/>
      </c>
      <c r="AY13" s="76" t="str">
        <f>IF(SUM(AU13,AX13)&gt;0,SUM(AU13,AX13),"")</f>
        <v/>
      </c>
      <c r="AZ13" s="46">
        <v>15.7</v>
      </c>
      <c r="BA13" s="46">
        <v>8.9</v>
      </c>
      <c r="BB13" s="46">
        <v>8.5</v>
      </c>
      <c r="BC13" s="46">
        <v>14.505000000000001</v>
      </c>
      <c r="BD13" s="46">
        <v>0.3</v>
      </c>
      <c r="BE13" s="46"/>
      <c r="BF13" s="46"/>
      <c r="BG13" s="46"/>
      <c r="BH13" s="46"/>
      <c r="BI13" s="46"/>
      <c r="BJ13" s="46">
        <v>15.3</v>
      </c>
      <c r="BK13" s="46">
        <v>9.3000000000000007</v>
      </c>
      <c r="BL13" s="46">
        <v>10.4</v>
      </c>
      <c r="BM13" s="46">
        <v>14.64</v>
      </c>
      <c r="BN13" s="46">
        <v>0</v>
      </c>
      <c r="BO13" s="52"/>
      <c r="BP13" s="75">
        <f>IF(BB13&gt;0,BB13,"")</f>
        <v>8.5</v>
      </c>
      <c r="BQ13" s="75">
        <f>IF(BC13&gt;0,BC13,"")</f>
        <v>14.505000000000001</v>
      </c>
      <c r="BR13" s="16">
        <f>IF(SUM(AZ13:BC13)-BD13&gt;0,SUM(AZ13:BC13)-BD13,"")</f>
        <v>47.305000000000007</v>
      </c>
      <c r="BS13" s="16" t="str">
        <f>IF(BG13&gt;0,BG13,"")</f>
        <v/>
      </c>
      <c r="BT13" s="16" t="str">
        <f>IF(BH13&gt;0,BH13,"")</f>
        <v/>
      </c>
      <c r="BU13" s="16" t="str">
        <f>IF(SUM(BE13:BH13)-BI13&gt;0,SUM(BE13:BH13)-BI13,"")</f>
        <v/>
      </c>
      <c r="BV13" s="16">
        <f>IF(BR13="","",MAX(BR13,BU13))</f>
        <v>47.305000000000007</v>
      </c>
      <c r="BW13" s="16">
        <f>IF(BL13&gt;0,BL13,"")</f>
        <v>10.4</v>
      </c>
      <c r="BX13" s="16">
        <f>IF(BM13&gt;0,BM13,"")</f>
        <v>14.64</v>
      </c>
      <c r="BY13" s="16">
        <f>IF(SUM(BJ13:BM13)-BN13&gt;0,SUM(BJ13:BM13)-BN13,"")</f>
        <v>49.64</v>
      </c>
      <c r="BZ13" s="16">
        <f>IF(SUM(BV13,BY13)&gt;0,SUM(BV13,BY13),"")</f>
        <v>96.945000000000007</v>
      </c>
      <c r="CA13" s="42">
        <v>14.1</v>
      </c>
      <c r="CB13" s="42">
        <v>8.3000000000000007</v>
      </c>
      <c r="CC13" s="42">
        <v>10.8</v>
      </c>
      <c r="CD13" s="42">
        <v>13.17</v>
      </c>
      <c r="CE13" s="42">
        <v>0</v>
      </c>
      <c r="CF13" s="42">
        <v>14.2</v>
      </c>
      <c r="CG13" s="42">
        <v>9.4</v>
      </c>
      <c r="CH13" s="42">
        <v>12.2</v>
      </c>
      <c r="CI13" s="42">
        <v>14.27</v>
      </c>
      <c r="CJ13" s="42">
        <v>0</v>
      </c>
      <c r="CK13" s="42">
        <v>14.9</v>
      </c>
      <c r="CL13" s="42">
        <v>9.3000000000000007</v>
      </c>
      <c r="CM13" s="42">
        <v>12.2</v>
      </c>
      <c r="CN13" s="42">
        <v>14.72</v>
      </c>
      <c r="CO13" s="42">
        <v>0</v>
      </c>
      <c r="CP13" s="51"/>
      <c r="CQ13" s="74">
        <f>IF(CC13&gt;0,CC13,"")</f>
        <v>10.8</v>
      </c>
      <c r="CR13" s="74">
        <f>IF(CD13&gt;0,CD13,"")</f>
        <v>13.17</v>
      </c>
      <c r="CS13" s="76">
        <f>IF(SUM(CA13:CD13)-CE13&gt;0,SUM(CA13:CD13)-CE13,"")</f>
        <v>46.370000000000005</v>
      </c>
      <c r="CT13" s="76">
        <f>IF(CH13&gt;0,CH13,"")</f>
        <v>12.2</v>
      </c>
      <c r="CU13" s="76">
        <f>IF(CI13&gt;0,CI13,"")</f>
        <v>14.27</v>
      </c>
      <c r="CV13" s="76">
        <f>IF(SUM(CF13:CI13)-CJ13&gt;0,SUM(CF13:CI13)-CJ13,"")</f>
        <v>50.069999999999993</v>
      </c>
      <c r="CW13" s="76">
        <f>IF(CS13="","",MAX(CS13,CV13))</f>
        <v>50.069999999999993</v>
      </c>
      <c r="CX13" s="76">
        <f>IF(CM13&gt;0,CM13,"")</f>
        <v>12.2</v>
      </c>
      <c r="CY13" s="76">
        <f>IF(CN13&gt;0,CN13,"")</f>
        <v>14.72</v>
      </c>
      <c r="CZ13" s="76">
        <f>IF(SUM(CK13:CN13)-CO13&gt;0,SUM(CK13:CN13)-CO13,"")</f>
        <v>51.120000000000005</v>
      </c>
      <c r="DA13" s="76">
        <f>IF(SUM(CW13,CZ13)&gt;0,SUM(CW13,CZ13),"")</f>
        <v>101.19</v>
      </c>
      <c r="DB13" s="87" t="str">
        <f>IF(L13&gt;=0.001,IF(MAX(ED13,FL13,GT13,IB13,JJ13,KR13,LZ13,NH13,OP13,PX13,RF13,SN13)-IF(L13="",0,L13)&gt;0.001,MAX(ED13,FL13,GT13,IB13,JJ13,KR13,LZ13,NH13,OP13,PX13,RF13,SN13)-IF(L13="",0,L13),""),"")</f>
        <v/>
      </c>
      <c r="DC13" s="87" t="str">
        <f>IF(P13&gt;=0.001,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,"")</f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76" t="str">
        <f>IF(DF13&gt;0,DF13,"")</f>
        <v/>
      </c>
      <c r="DY13" s="76" t="str">
        <f>IF(DG13&gt;0,DG13,"")</f>
        <v/>
      </c>
      <c r="DZ13" s="76" t="str">
        <f>IF(SUM(DD13:DG13)-DH13&gt;0,SUM(DD13:DG13)-DH13,"")</f>
        <v/>
      </c>
      <c r="EA13" s="76" t="str">
        <f>IF(DK13&gt;0,DK13,"")</f>
        <v/>
      </c>
      <c r="EB13" s="76" t="str">
        <f>IF(DL13&gt;0,DL13,"")</f>
        <v/>
      </c>
      <c r="EC13" s="76" t="str">
        <f>IF(SUM(DI13:DL13)-DM13&gt;0,SUM(DI13:DL13)-DM13,"")</f>
        <v/>
      </c>
      <c r="ED13" s="76" t="str">
        <f>IF(MAX(DZ13,EC13)&gt;0,MAX(DZ13,EC13),"")</f>
        <v/>
      </c>
      <c r="EE13" s="76" t="str">
        <f>IF(DP13&gt;0,DP13,"")</f>
        <v/>
      </c>
      <c r="EF13" s="76" t="str">
        <f>IF(DQ13&gt;0,DQ13,"")</f>
        <v/>
      </c>
      <c r="EG13" s="76" t="str">
        <f>IF(SUM(DN13:DQ13)-DR13&gt;0,SUM(DN13:DQ13)-DR13,"")</f>
        <v/>
      </c>
      <c r="EH13" s="76" t="str">
        <f>IF(DU13&gt;0,DU13,"")</f>
        <v/>
      </c>
      <c r="EI13" s="76" t="str">
        <f>IF(DV13&gt;0,DV13,"")</f>
        <v/>
      </c>
      <c r="EJ13" s="76" t="str">
        <f>IF(SUM(DS13:DV13)-DW13&gt;0,SUM(DS13:DV13)-DW13,"")</f>
        <v/>
      </c>
      <c r="EK13" s="76" t="str">
        <f>IF(SUM(ED13,EJ13)&gt;0,SUM(ED13,EJ13),"")</f>
        <v/>
      </c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16" t="str">
        <f>IF(EN13&gt;0,EN13,"")</f>
        <v/>
      </c>
      <c r="FG13" s="16" t="str">
        <f>IF(EO13&gt;0,EO13,"")</f>
        <v/>
      </c>
      <c r="FH13" s="16" t="str">
        <f>IF(SUM(EL13:EO13)-EP13&gt;0,SUM(EL13:EO13)-EP13,"")</f>
        <v/>
      </c>
      <c r="FI13" s="16" t="str">
        <f>IF(ES13&gt;0,ES13,"")</f>
        <v/>
      </c>
      <c r="FJ13" s="16" t="str">
        <f>IF(ET13&gt;0,ET13,"")</f>
        <v/>
      </c>
      <c r="FK13" s="16" t="str">
        <f>IF(SUM(EQ13:ET13)-EU13&gt;0,SUM(EQ13:ET13)-EU13,"")</f>
        <v/>
      </c>
      <c r="FL13" s="16" t="str">
        <f>IF(MAX(FH13,FK13)&gt;0,MAX(FH13,FK13),"")</f>
        <v/>
      </c>
      <c r="FM13" s="16" t="str">
        <f>IF(EX13&gt;0,EX13,"")</f>
        <v/>
      </c>
      <c r="FN13" s="16" t="str">
        <f>IF(EY13&gt;0,EY13,"")</f>
        <v/>
      </c>
      <c r="FO13" s="16" t="str">
        <f>IF(SUM(EV13:EY13)-EZ13&gt;0,SUM(EV13:EY13)-EZ13,"")</f>
        <v/>
      </c>
      <c r="FP13" s="16" t="str">
        <f>IF(FC13&gt;0,FC13,"")</f>
        <v/>
      </c>
      <c r="FQ13" s="16" t="str">
        <f>IF(FD13&gt;0,FD13,"")</f>
        <v/>
      </c>
      <c r="FR13" s="16" t="str">
        <f>IF(SUM(FA13:FD13)-FE13&gt;0,SUM(FA13:FD13)-FE13,"")</f>
        <v/>
      </c>
      <c r="FS13" s="16" t="str">
        <f>IF(SUM(FL13,FR13)&gt;0,SUM(FL13,FR13),"")</f>
        <v/>
      </c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76" t="str">
        <f>IF(FV13&gt;0,FV13,"")</f>
        <v/>
      </c>
      <c r="GO13" s="76" t="str">
        <f>IF(FW13&gt;0,FW13,"")</f>
        <v/>
      </c>
      <c r="GP13" s="76" t="str">
        <f>IF(SUM(FT13:FW13)-FX13&gt;0,SUM(FT13:FW13)-FX13,"")</f>
        <v/>
      </c>
      <c r="GQ13" s="76" t="str">
        <f>IF(GA13&gt;0,GA13,"")</f>
        <v/>
      </c>
      <c r="GR13" s="76" t="str">
        <f>IF(GB13&gt;0,GB13,"")</f>
        <v/>
      </c>
      <c r="GS13" s="76" t="str">
        <f>IF(SUM(FY13:GB13)-GC13&gt;0,SUM(FY13:GB13)-GC13,"")</f>
        <v/>
      </c>
      <c r="GT13" s="76" t="str">
        <f>IF(MAX(GP13,GS13)&gt;0,MAX(GP13,GS13),"")</f>
        <v/>
      </c>
      <c r="GU13" s="76" t="str">
        <f>IF(GF13&gt;0,GF13,"")</f>
        <v/>
      </c>
      <c r="GV13" s="76" t="str">
        <f>IF(GG13&gt;0,GG13,"")</f>
        <v/>
      </c>
      <c r="GW13" s="76" t="str">
        <f>IF(SUM(GD13:GG13)-GH13&gt;0,SUM(GD13:GG13)-GH13,"")</f>
        <v/>
      </c>
      <c r="GX13" s="76" t="str">
        <f>IF(GK13&gt;0,GK13,"")</f>
        <v/>
      </c>
      <c r="GY13" s="76" t="str">
        <f>IF(GL13&gt;0,GL13,"")</f>
        <v/>
      </c>
      <c r="GZ13" s="76" t="str">
        <f>IF(SUM(GI13:GL13)-GM13&gt;0,SUM(GI13:GL13)-GM13,"")</f>
        <v/>
      </c>
      <c r="HA13" s="76" t="str">
        <f>IF(SUM(GT13,GZ13)&gt;0,SUM(GT13,GZ13),"")</f>
        <v/>
      </c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16" t="str">
        <f>IF(HD13&gt;0,HD13,"")</f>
        <v/>
      </c>
      <c r="HW13" s="16" t="str">
        <f>IF(HE13&gt;0,HE13,"")</f>
        <v/>
      </c>
      <c r="HX13" s="16" t="str">
        <f>IF(SUM(HB13:HE13)-HF13&gt;0,SUM(HB13:HE13)-HF13,"")</f>
        <v/>
      </c>
      <c r="HY13" s="16" t="str">
        <f>IF(HI13&gt;0,HI13,"")</f>
        <v/>
      </c>
      <c r="HZ13" s="16" t="str">
        <f>IF(HJ13&gt;0,HJ13,"")</f>
        <v/>
      </c>
      <c r="IA13" s="16" t="str">
        <f>IF(SUM(HG13:HJ13)-HK13&gt;0,SUM(HG13:HJ13)-HK13,"")</f>
        <v/>
      </c>
      <c r="IB13" s="16" t="str">
        <f>IF(MAX(HX13,IA13)&gt;0,MAX(HX13,IA13),"")</f>
        <v/>
      </c>
      <c r="IC13" s="16" t="str">
        <f>IF(HN13&gt;0,HN13,"")</f>
        <v/>
      </c>
      <c r="ID13" s="16" t="str">
        <f>IF(HO13&gt;0,HO13,"")</f>
        <v/>
      </c>
      <c r="IE13" s="16" t="str">
        <f>IF(SUM(HL13:HO13)-HP13&gt;0,SUM(HL13:HO13)-HP13,"")</f>
        <v/>
      </c>
      <c r="IF13" s="16" t="str">
        <f>IF(HS13&gt;0,HS13,"")</f>
        <v/>
      </c>
      <c r="IG13" s="16" t="str">
        <f>IF(HT13&gt;0,HT13,"")</f>
        <v/>
      </c>
      <c r="IH13" s="16" t="str">
        <f>IF(SUM(HQ13:HT13)-HU13&gt;0,SUM(HQ13:HT13)-HU13,"")</f>
        <v/>
      </c>
      <c r="II13" s="16" t="str">
        <f>IF(SUM(IB13,IH13)&gt;0,SUM(IB13,IH13),"")</f>
        <v/>
      </c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76" t="str">
        <f>IF(IL13&gt;0,IL13,"")</f>
        <v/>
      </c>
      <c r="JE13" s="76" t="str">
        <f>IF(IM13&gt;0,IM13,"")</f>
        <v/>
      </c>
      <c r="JF13" s="76" t="str">
        <f>IF(SUM(IJ13:IM13)-IN13&gt;0,SUM(IJ13:IM13)-IN13,"")</f>
        <v/>
      </c>
      <c r="JG13" s="76" t="str">
        <f>IF(IQ13&gt;0,IQ13,"")</f>
        <v/>
      </c>
      <c r="JH13" s="76" t="str">
        <f>IF(IR13&gt;0,IR13,"")</f>
        <v/>
      </c>
      <c r="JI13" s="76" t="str">
        <f>IF(SUM(IO13:IR13)-IS13&gt;0,SUM(IO13:IR13)-IS13,"")</f>
        <v/>
      </c>
      <c r="JJ13" s="76" t="str">
        <f>IF(MAX(JF13,JI13)&gt;0,MAX(JF13,JI13),"")</f>
        <v/>
      </c>
      <c r="JK13" s="76" t="str">
        <f>IF(IV13&gt;0,IV13,"")</f>
        <v/>
      </c>
      <c r="JL13" s="76" t="str">
        <f>IF(IW13&gt;0,IW13,"")</f>
        <v/>
      </c>
      <c r="JM13" s="76" t="str">
        <f>IF(SUM(IT13:IW13)-IX13&gt;0,SUM(IT13:IW13)-IX13,"")</f>
        <v/>
      </c>
      <c r="JN13" s="76" t="str">
        <f>IF(JA13&gt;0,JA13,"")</f>
        <v/>
      </c>
      <c r="JO13" s="76" t="str">
        <f>IF(JB13&gt;0,JB13,"")</f>
        <v/>
      </c>
      <c r="JP13" s="76" t="str">
        <f>IF(SUM(IY13:JB13)-JC13&gt;0,SUM(IY13:JB13)-JC13,"")</f>
        <v/>
      </c>
      <c r="JQ13" s="76" t="str">
        <f>IF(SUM(JJ13,JP13)&gt;0,SUM(JJ13,JP13),"")</f>
        <v/>
      </c>
      <c r="JR13" s="26"/>
      <c r="JS13" s="26"/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16" t="str">
        <f>IF(JT13&gt;0,JT13,"")</f>
        <v/>
      </c>
      <c r="KM13" s="16" t="str">
        <f>IF(JU13&gt;0,JU13,"")</f>
        <v/>
      </c>
      <c r="KN13" s="16" t="str">
        <f>IF(SUM(JR13:JU13)-JV13&gt;0,SUM(JR13:JU13)-JV13,"")</f>
        <v/>
      </c>
      <c r="KO13" s="16" t="str">
        <f>IF(JY13&gt;0,JY13,"")</f>
        <v/>
      </c>
      <c r="KP13" s="16" t="str">
        <f>IF(JZ13&gt;0,JZ13,"")</f>
        <v/>
      </c>
      <c r="KQ13" s="16" t="str">
        <f>IF(SUM(JW13:JZ13)-KA13&gt;0,SUM(JW13:JZ13)-KA13,"")</f>
        <v/>
      </c>
      <c r="KR13" s="16" t="str">
        <f>IF(MAX(KN13,KQ13)&gt;0,MAX(KN13,KQ13),"")</f>
        <v/>
      </c>
      <c r="KS13" s="16" t="str">
        <f>IF(KD13&gt;0,KD13,"")</f>
        <v/>
      </c>
      <c r="KT13" s="16" t="str">
        <f>IF(KE13&gt;0,KE13,"")</f>
        <v/>
      </c>
      <c r="KU13" s="16" t="str">
        <f>IF(SUM(KB13:KE13)-KF13&gt;0,SUM(KB13:KE13)-KF13,"")</f>
        <v/>
      </c>
      <c r="KV13" s="16" t="str">
        <f>IF(KI13&gt;0,KI13,"")</f>
        <v/>
      </c>
      <c r="KW13" s="16" t="str">
        <f>IF(KJ13&gt;0,KJ13,"")</f>
        <v/>
      </c>
      <c r="KX13" s="16" t="str">
        <f>IF(SUM(KG13:KJ13)-KK13&gt;0,SUM(KG13:KJ13)-KK13,"")</f>
        <v/>
      </c>
      <c r="KY13" s="16" t="str">
        <f>IF(SUM(KR13,KX13)&gt;0,SUM(KR13,KX13),"")</f>
        <v/>
      </c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76" t="str">
        <f>IF(LB13&gt;0,LB13,"")</f>
        <v/>
      </c>
      <c r="LU13" s="76" t="str">
        <f>IF(LC13&gt;0,LC13,"")</f>
        <v/>
      </c>
      <c r="LV13" s="76" t="str">
        <f>IF(SUM(KZ13:LC13)-LD13&gt;0,SUM(KZ13:LC13)-LD13,"")</f>
        <v/>
      </c>
      <c r="LW13" s="76" t="str">
        <f>IF(LG13&gt;0,LG13,"")</f>
        <v/>
      </c>
      <c r="LX13" s="76" t="str">
        <f>IF(LH13&gt;0,LH13,"")</f>
        <v/>
      </c>
      <c r="LY13" s="76" t="str">
        <f>IF(SUM(LE13:LH13)-LI13&gt;0,SUM(LE13:LH13)-LI13,"")</f>
        <v/>
      </c>
      <c r="LZ13" s="76" t="str">
        <f>IF(MAX(LV13,LY13)&gt;0,MAX(LV13,LY13),"")</f>
        <v/>
      </c>
      <c r="MA13" s="76" t="str">
        <f>IF(LL13&gt;0,LL13,"")</f>
        <v/>
      </c>
      <c r="MB13" s="76" t="str">
        <f>IF(LM13&gt;0,LM13,"")</f>
        <v/>
      </c>
      <c r="MC13" s="76" t="str">
        <f>IF(SUM(LJ13:LM13)-LN13&gt;0,SUM(LJ13:LM13)-LN13,"")</f>
        <v/>
      </c>
      <c r="MD13" s="76" t="str">
        <f>IF(LQ13&gt;0,LQ13,"")</f>
        <v/>
      </c>
      <c r="ME13" s="76" t="str">
        <f>IF(LR13&gt;0,LR13,"")</f>
        <v/>
      </c>
      <c r="MF13" s="76" t="str">
        <f>IF(SUM(LO13:LR13)-LS13&gt;0,SUM(LO13:LR13)-LS13,"")</f>
        <v/>
      </c>
      <c r="MG13" s="76" t="str">
        <f>IF(SUM(LZ13,MF13)&gt;0,SUM(LZ13,MF13),"")</f>
        <v/>
      </c>
      <c r="MH13" s="26"/>
      <c r="MI13" s="26"/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16" t="str">
        <f>IF(MJ13&gt;0,MJ13,"")</f>
        <v/>
      </c>
      <c r="NC13" s="16" t="str">
        <f>IF(MK13&gt;0,MK13,"")</f>
        <v/>
      </c>
      <c r="ND13" s="16" t="str">
        <f>IF(SUM(MH13:MK13)-ML13&gt;0,SUM(MH13:MK13)-ML13,"")</f>
        <v/>
      </c>
      <c r="NE13" s="16" t="str">
        <f>IF(MO13&gt;0,MO13,"")</f>
        <v/>
      </c>
      <c r="NF13" s="16" t="str">
        <f>IF(MP13&gt;0,MP13,"")</f>
        <v/>
      </c>
      <c r="NG13" s="16" t="str">
        <f>IF(SUM(MM13:MP13)-MQ13&gt;0,SUM(MM13:MP13)-MQ13,"")</f>
        <v/>
      </c>
      <c r="NH13" s="16" t="str">
        <f>IF(MAX(ND13,NG13)&gt;0,MAX(ND13,NG13),"")</f>
        <v/>
      </c>
      <c r="NI13" s="16" t="str">
        <f>IF(MT13&gt;0,MT13,"")</f>
        <v/>
      </c>
      <c r="NJ13" s="16" t="str">
        <f>IF(MU13&gt;0,MU13,"")</f>
        <v/>
      </c>
      <c r="NK13" s="16" t="str">
        <f>IF(SUM(MR13:MU13)-MV13&gt;0,SUM(MR13:MU13)-MV13,"")</f>
        <v/>
      </c>
      <c r="NL13" s="16" t="str">
        <f>IF(MY13&gt;0,MY13,"")</f>
        <v/>
      </c>
      <c r="NM13" s="16" t="str">
        <f>IF(MZ13&gt;0,MZ13,"")</f>
        <v/>
      </c>
      <c r="NN13" s="16" t="str">
        <f>IF(SUM(MW13:MZ13)-NA13&gt;0,SUM(MW13:MZ13)-NA13,"")</f>
        <v/>
      </c>
      <c r="NO13" s="16" t="str">
        <f>IF(SUM(NH13,NN13)&gt;0,SUM(NH13,NN13),"")</f>
        <v/>
      </c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76" t="str">
        <f>IF(NR13&gt;0,NR13,"")</f>
        <v/>
      </c>
      <c r="OK13" s="76" t="str">
        <f>IF(NS13&gt;0,NS13,"")</f>
        <v/>
      </c>
      <c r="OL13" s="76" t="str">
        <f>IF(SUM(NP13:NS13)-NT13&gt;0,SUM(NP13:NS13)-NT13,"")</f>
        <v/>
      </c>
      <c r="OM13" s="76" t="str">
        <f>IF(NW13&gt;0,NW13,"")</f>
        <v/>
      </c>
      <c r="ON13" s="76" t="str">
        <f>IF(NX13&gt;0,NX13,"")</f>
        <v/>
      </c>
      <c r="OO13" s="76" t="str">
        <f>IF(SUM(NU13:NX13)-NY13&gt;0,SUM(NU13:NX13)-NY13,"")</f>
        <v/>
      </c>
      <c r="OP13" s="76" t="str">
        <f>IF(MAX(OL13,OO13)&gt;0,MAX(OL13,OO13),"")</f>
        <v/>
      </c>
      <c r="OQ13" s="76" t="str">
        <f>IF(OB13&gt;0,OB13,"")</f>
        <v/>
      </c>
      <c r="OR13" s="76" t="str">
        <f>IF(OC13&gt;0,OC13,"")</f>
        <v/>
      </c>
      <c r="OS13" s="76" t="str">
        <f>IF(SUM(NZ13:OC13)-OD13&gt;0,SUM(NZ13:OC13)-OD13,"")</f>
        <v/>
      </c>
      <c r="OT13" s="76" t="str">
        <f>IF(OG13&gt;0,OG13,"")</f>
        <v/>
      </c>
      <c r="OU13" s="76" t="str">
        <f>IF(OH13&gt;0,OH13,"")</f>
        <v/>
      </c>
      <c r="OV13" s="76" t="str">
        <f>IF(SUM(OE13:OH13)-OI13&gt;0,SUM(OE13:OH13)-OI13,"")</f>
        <v/>
      </c>
      <c r="OW13" s="76" t="str">
        <f>IF(SUM(OP13,OV13)&gt;0,SUM(OP13,OV13),"")</f>
        <v/>
      </c>
      <c r="OX13" s="26"/>
      <c r="OY13" s="26"/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16" t="str">
        <f>IF(OZ13&gt;0,OZ13,"")</f>
        <v/>
      </c>
      <c r="PS13" s="16" t="str">
        <f>IF(PA13&gt;0,PA13,"")</f>
        <v/>
      </c>
      <c r="PT13" s="16" t="str">
        <f>IF(SUM(OX13:PA13)-PB13&gt;0,SUM(OX13:PA13)-PB13,"")</f>
        <v/>
      </c>
      <c r="PU13" s="16" t="str">
        <f>IF(PE13&gt;0,PE13,"")</f>
        <v/>
      </c>
      <c r="PV13" s="16" t="str">
        <f>IF(PF13&gt;0,PF13,"")</f>
        <v/>
      </c>
      <c r="PW13" s="16" t="str">
        <f>IF(SUM(PC13:PF13)-PG13&gt;0,SUM(PC13:PF13)-PG13,"")</f>
        <v/>
      </c>
      <c r="PX13" s="16" t="str">
        <f>IF(MAX(PT13,PW13)&gt;0,MAX(PT13,PW13),"")</f>
        <v/>
      </c>
      <c r="PY13" s="16" t="str">
        <f>IF(PJ13&gt;0,PJ13,"")</f>
        <v/>
      </c>
      <c r="PZ13" s="16" t="str">
        <f>IF(PK13&gt;0,PK13,"")</f>
        <v/>
      </c>
      <c r="QA13" s="16" t="str">
        <f>IF(SUM(PH13:PK13)-PL13&gt;0,SUM(PH13:PK13)-PL13,"")</f>
        <v/>
      </c>
      <c r="QB13" s="16" t="str">
        <f>IF(PO13&gt;0,PO13,"")</f>
        <v/>
      </c>
      <c r="QC13" s="16" t="str">
        <f>IF(PP13&gt;0,PP13,"")</f>
        <v/>
      </c>
      <c r="QD13" s="16" t="str">
        <f>IF(SUM(PM13:PP13)-PQ13&gt;0,SUM(PM13:PP13)-PQ13,"")</f>
        <v/>
      </c>
      <c r="QE13" s="16" t="str">
        <f>IF(SUM(PX13,QD13)&gt;0,SUM(PX13,QD13),"")</f>
        <v/>
      </c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76" t="str">
        <f>IF(QH13&gt;0,QH13,"")</f>
        <v/>
      </c>
      <c r="RA13" s="76" t="str">
        <f>IF(QI13&gt;0,QI13,"")</f>
        <v/>
      </c>
      <c r="RB13" s="76" t="str">
        <f>IF(SUM(QF13:QI13)-QJ13&gt;0,SUM(QF13:QI13)-QJ13,"")</f>
        <v/>
      </c>
      <c r="RC13" s="76" t="str">
        <f>IF(QM13&gt;0,QM13,"")</f>
        <v/>
      </c>
      <c r="RD13" s="76" t="str">
        <f>IF(QN13&gt;0,QN13,"")</f>
        <v/>
      </c>
      <c r="RE13" s="76" t="str">
        <f>IF(SUM(QK13:QN13)-QO13&gt;0,SUM(QK13:QN13)-QO13,"")</f>
        <v/>
      </c>
      <c r="RF13" s="76" t="str">
        <f>IF(MAX(RB13,RE13)&gt;0,MAX(RB13,RE13),"")</f>
        <v/>
      </c>
      <c r="RG13" s="76" t="str">
        <f>IF(QR13&gt;0,QR13,"")</f>
        <v/>
      </c>
      <c r="RH13" s="76" t="str">
        <f>IF(QS13&gt;0,QS13,"")</f>
        <v/>
      </c>
      <c r="RI13" s="76" t="str">
        <f>IF(SUM(QP13:QS13)-QT13&gt;0,SUM(QP13:QS13)-QT13,"")</f>
        <v/>
      </c>
      <c r="RJ13" s="76" t="str">
        <f>IF(QW13&gt;0,QW13,"")</f>
        <v/>
      </c>
      <c r="RK13" s="76" t="str">
        <f>IF(QX13&gt;0,QX13,"")</f>
        <v/>
      </c>
      <c r="RL13" s="76" t="str">
        <f>IF(SUM(QU13:QX13)-QY13&gt;0,SUM(QU13:QX13)-QY13,"")</f>
        <v/>
      </c>
      <c r="RM13" s="76" t="str">
        <f>IF(SUM(RF13,RL13)&gt;0,SUM(RF13,RL13),"")</f>
        <v/>
      </c>
      <c r="RN13" s="26"/>
      <c r="RO13" s="26"/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16" t="str">
        <f>IF(RP13&gt;0,RP13,"")</f>
        <v/>
      </c>
      <c r="SI13" s="16" t="str">
        <f>IF(RQ13&gt;0,RQ13,"")</f>
        <v/>
      </c>
      <c r="SJ13" s="16" t="str">
        <f>IF(SUM(RN13:RQ13)-RR13&gt;0,SUM(RN13:RQ13)-RR13,"")</f>
        <v/>
      </c>
      <c r="SK13" s="16" t="str">
        <f>IF(RU13&gt;0,RU13,"")</f>
        <v/>
      </c>
      <c r="SL13" s="16" t="str">
        <f>IF(RV13&gt;0,RV13,"")</f>
        <v/>
      </c>
      <c r="SM13" s="16" t="str">
        <f>IF(SUM(RS13:RV13)-RW13&gt;0,SUM(RS13:RV13)-RW13,"")</f>
        <v/>
      </c>
      <c r="SN13" s="16" t="str">
        <f>IF(MAX(SJ13,SM13)&gt;0,MAX(SJ13,SM13),"")</f>
        <v/>
      </c>
      <c r="SO13" s="16" t="str">
        <f>IF(RZ13&gt;0,RZ13,"")</f>
        <v/>
      </c>
      <c r="SP13" s="16" t="str">
        <f>IF(SA13&gt;0,SA13,"")</f>
        <v/>
      </c>
      <c r="SQ13" s="16" t="str">
        <f>IF(SUM(RX13:SA13)-SB13&gt;0,SUM(RX13:SA13)-SB13,"")</f>
        <v/>
      </c>
      <c r="SR13" s="16" t="str">
        <f>IF(SE13&gt;0,SE13,"")</f>
        <v/>
      </c>
      <c r="SS13" s="16" t="str">
        <f>IF(SF13&gt;0,SF13,"")</f>
        <v/>
      </c>
      <c r="ST13" s="16" t="str">
        <f>IF(SUM(SC13:SF13)-SG13&gt;0,SUM(SC13:SF13)-SG13,"")</f>
        <v/>
      </c>
      <c r="SU13" s="16" t="str">
        <f>IF(SUM(SN13,ST13)&gt;0,SUM(SN13,ST13),"")</f>
        <v/>
      </c>
      <c r="SV13" s="42">
        <f>IF($CP13="P",CA13,(CA13+AZ13)/2)</f>
        <v>14.899999999999999</v>
      </c>
      <c r="SW13" s="42">
        <f>IF($CP13="P",CB13,(CB13+BA13)/2)</f>
        <v>8.6000000000000014</v>
      </c>
      <c r="SX13" s="42">
        <f>IF($CP13="P",CC13,(CC13+BB13)/2)</f>
        <v>9.65</v>
      </c>
      <c r="SY13" s="42">
        <f>IF($CP13="P",CD13,(CD13+BC13)/2)</f>
        <v>13.8375</v>
      </c>
      <c r="SZ13" s="42">
        <f>IF($CP13="P",CE13,(CE13+BD13)/2)</f>
        <v>0.15</v>
      </c>
      <c r="TA13" s="42">
        <f>IF($CP13="P",CF13,(CF13+BE13)/2)</f>
        <v>7.1</v>
      </c>
      <c r="TB13" s="42">
        <f>IF($CP13="P",CG13,(CG13+BF13)/2)</f>
        <v>4.7</v>
      </c>
      <c r="TC13" s="42">
        <f>IF($CP13="P",CH13,(CH13+BG13)/2)</f>
        <v>6.1</v>
      </c>
      <c r="TD13" s="42">
        <f>IF($CP13="P",CI13,(CI13+BH13)/2)</f>
        <v>7.1349999999999998</v>
      </c>
      <c r="TE13" s="42">
        <f>IF($CP13="P",CJ13,(CJ13+BI13)/2)</f>
        <v>0</v>
      </c>
      <c r="TF13" s="42">
        <f>IF($CP13="P",CK13,(CK13+BJ13)/2)</f>
        <v>15.100000000000001</v>
      </c>
      <c r="TG13" s="42">
        <f>IF($CP13="P",CL13,(CL13+BK13)/2)</f>
        <v>9.3000000000000007</v>
      </c>
      <c r="TH13" s="42">
        <f>IF($CP13="P",CM13,(CM13+BL13)/2)</f>
        <v>11.3</v>
      </c>
      <c r="TI13" s="42">
        <f>IF($CP13="P",CN13,(CN13+BM13)/2)</f>
        <v>14.68</v>
      </c>
      <c r="TJ13" s="42">
        <f>IF($CP13="P",CO13,(CO13+BN13)/2)</f>
        <v>0</v>
      </c>
      <c r="TK13" s="51" t="s">
        <v>61</v>
      </c>
      <c r="TL13" s="76">
        <f>IF(SX13&gt;0,SX13,"")</f>
        <v>9.65</v>
      </c>
      <c r="TM13" s="76">
        <f>IF(SY13&gt;0,SY13,"")</f>
        <v>13.8375</v>
      </c>
      <c r="TN13" s="76">
        <f>IF(SUM(SV13:SY13)-SZ13&gt;0,SUM(SV13:SY13)-SZ13,"")</f>
        <v>46.837499999999999</v>
      </c>
      <c r="TO13" s="76">
        <f>IF(TC13&gt;0,TC13,"")</f>
        <v>6.1</v>
      </c>
      <c r="TP13" s="76">
        <f>IF(TD13&gt;0,TD13,"")</f>
        <v>7.1349999999999998</v>
      </c>
      <c r="TQ13" s="76">
        <f>IF(SUM(TA13:TD13)-TE13&gt;0,SUM(TA13:TD13)-TE13,"")</f>
        <v>25.034999999999997</v>
      </c>
      <c r="TR13" s="76">
        <f>IF(MAX(TN13,TQ13)&gt;0,MAX(TN13,TQ13),"")</f>
        <v>46.837499999999999</v>
      </c>
      <c r="TS13" s="76">
        <f>IF(TH13&gt;0,TH13,"")</f>
        <v>11.3</v>
      </c>
      <c r="TT13" s="76">
        <f>IF(TI13&gt;0,TI13,"")</f>
        <v>14.68</v>
      </c>
      <c r="TU13" s="76">
        <f>IF(SUM(TF13:TI13)-TJ13&gt;0,SUM(TF13:TI13)-TJ13,"")</f>
        <v>50.38</v>
      </c>
      <c r="TV13" s="76">
        <f>IF(SUM(TR13,TU13)&gt;0,SUM(TR13,TU13),"")</f>
        <v>97.217500000000001</v>
      </c>
    </row>
    <row r="14" spans="1:542" x14ac:dyDescent="0.2">
      <c r="A14" s="5" t="str" cm="1">
        <f t="array" ref="A14">IF(AND(F14&lt;&gt;"",G14&lt;&gt;""),SUMPRODUCT((F$4:F$15&lt;&gt;"")*(G$4:G$15&lt;&gt;"")*(E$4:E$15&gt;E14))+1,IF(G14&lt;&gt;"",SUMPRODUCT((H$4:H$15="No DD")*(E$4:E$15&gt;E14))+1+SUMPRODUCT((F$4:F$15&lt;&gt;"")*(G$4:G$15&lt;&gt;"")),""))</f>
        <v/>
      </c>
      <c r="B14" s="6" t="s">
        <v>89</v>
      </c>
      <c r="C14" s="7" t="s">
        <v>3</v>
      </c>
      <c r="D14" s="18">
        <v>2002</v>
      </c>
      <c r="E14" s="14">
        <f>SUM(J14:V14)+SUM(J14:T14)*0.0000001+SUM(J14)*0.0000000000001</f>
        <v>194.38501943850471</v>
      </c>
      <c r="F14" s="3" t="str">
        <f>IF(OR(AND(AO14&gt;=AY$17,AO14&lt;&gt;"",AQ14&gt;=AY$21,AQ14&lt;&gt;"",AN14=""),AND(AR14&gt;=AY$17,AR14&lt;&gt;"",AT14&gt;=AY$21,AT14&lt;&gt;"",AN14=""),AND(AV14&gt;=AY$17,AV14&lt;&gt;"",AX14&gt;=AY$21,AX14&lt;&gt;"",AN14=""),AND(BP14&gt;=BZ$17,BP14&lt;&gt;"",BR14&gt;=BZ$21,BR14&lt;&gt;"",BO14=""),AND(BS14&gt;=BZ$17,BS14&lt;&gt;"",BU14&gt;=BZ$21,BU14&lt;&gt;"",BO14=""),AND(BW14&gt;=BZ$17,BW14&lt;&gt;"",BY14&gt;=BZ$21,BY14&lt;&gt;"",BO14=""),AND(CQ14&gt;=DA$17,CQ14&lt;&gt;"",CS14&gt;=DA$21,CS14&lt;&gt;"",CP14=""),AND(CT14&gt;=DA$17,CT14&lt;&gt;"",CV14&gt;=DA$21,CV14&lt;&gt;"",CP14=""),AND(CX14&gt;=DA$17,CX14&lt;&gt;"",CZ14&gt;=DA$21,CZ14&lt;&gt;"",CP14=""),AND(DX14&gt;=EK$17,DX14&lt;&gt;"",DZ14&gt;=EK$21,DZ14&lt;&gt;""),AND(EA14&gt;=EK$17,EA14&lt;&gt;"",EC14&gt;=EK$21,EC14&lt;&gt;""),AND(EE14&gt;=EK$17,EE14&lt;&gt;"",EG14&gt;=EK$21,EG14&lt;&gt;""),AND(EH14&gt;=EK$17,EH14&lt;&gt;"",EJ14&gt;=EK$21,EJ14&lt;&gt;""),AND(FF14&gt;=FS$17,FF14&lt;&gt;"",FH14&gt;=FS$21,FH14&lt;&gt;""),AND(FI14&gt;=FS$17,FI14&lt;&gt;"",FK14&gt;=FS$21,FK14&lt;&gt;""),AND(FM14&gt;=FS$17,FM14&lt;&gt;"",FO14&gt;=FS$21,FO14&lt;&gt;""),AND(FP14&gt;=FS$17,FP14&lt;&gt;"",FR14&gt;=FS$21,FR14&lt;&gt;""),AND(GN14&gt;=HA$17,GN14&lt;&gt;"",GP14&gt;=HA$21,GP14&lt;&gt;""),AND(GQ14&gt;=HA$17,GQ14&lt;&gt;"",GS14&gt;=HA$21,GS14&lt;&gt;""),AND(GU14&gt;=HA$17,GU14&lt;&gt;"",GW14&gt;=HA$21,GW14&lt;&gt;""),AND(GX14&gt;=HA$17,GX14&lt;&gt;"",GZ14&gt;=HA$21,GZ14&lt;&gt;""),AND(HV14&gt;=II$17,HV14&lt;&gt;"",HX14&gt;=II$21,HX14&lt;&gt;""),AND(HY14&gt;=II$17,HY14&lt;&gt;"",IA14&gt;=II$21,IA14&lt;&gt;""),AND(IC14&gt;=II$17,IC14&lt;&gt;"",IE14&gt;=II$21,IE14&lt;&gt;""),AND(IF14&gt;=II$17,IF14&lt;&gt;"",IH14&gt;=II$21,IH14&lt;&gt;""),AND(JD14&gt;=JQ$17,JD14&lt;&gt;"",JF14&gt;=JQ$21,JF14&lt;&gt;""),AND(JG14&gt;=JQ$17,JG14&lt;&gt;"",JI14&gt;=JQ$21,JI14&lt;&gt;""),AND(JK14&gt;=JQ$17,JK14&lt;&gt;"",JM14&gt;=JQ$21,JM14&lt;&gt;""),AND(JN14&gt;=JQ$17,JN14&lt;&gt;"",JP14&gt;=JQ$21,JP14&lt;&gt;""),AND(KL14&gt;=KY$17,KL14&lt;&gt;"",KN14&gt;=KY$21,KN14&lt;&gt;""),AND(KO14&gt;=KY$17,KO14&lt;&gt;"",KQ14&gt;=KY$21,KQ14&lt;&gt;""),AND(KS14&gt;=KY$17,KS14&lt;&gt;"",KU14&gt;=KY$21,KU14&lt;&gt;""),AND(KV14&gt;=KY$17,KV14&lt;&gt;"",KX14&gt;=KY$21,KX14&lt;&gt;""),AND(LT14&gt;=MG$17,LT14&lt;&gt;"",LV14&gt;=MG$21,LV14&lt;&gt;""),AND(LW14&gt;=MG$17,LW14&lt;&gt;"",LY14&gt;=MG$21,LY14&lt;&gt;""),AND(MA14&gt;=MG$17,MA14&lt;&gt;"",MC14&gt;=MG$21,MC14&lt;&gt;""),AND(MD14&gt;=MG$17,MD14&lt;&gt;"",MF14&gt;=MG$21,MF14&lt;&gt;""),AND(NB14&gt;=NO$17,NB14&lt;&gt;"",ND14&gt;=NO$21,ND14&lt;&gt;""),AND(NE14&gt;=NO$17,NE14&lt;&gt;"",NG14&gt;=NO$21,NG14&lt;&gt;""),AND(NI14&gt;=NO$17,NI14&lt;&gt;"",NK14&gt;=NO$21,NK14&lt;&gt;""),AND(NL14&gt;=NO$17,NL14&lt;&gt;"",NN14&gt;=NO$21,NN14&lt;&gt;""),AND(OJ14&gt;=OW$17,OJ14&lt;&gt;"",OL14&gt;=OW$21,OL14&lt;&gt;""),AND(OM14&gt;=OW$17,OM14&lt;&gt;"",OO14&gt;=OW$21,OO14&lt;&gt;""),AND(OQ14&gt;=OW$17,OQ14&lt;&gt;"",OS14&gt;=OW$21,OS14&lt;&gt;""),AND(OT14&gt;=OW$17,OT14&lt;&gt;"",OV14&gt;=OW$21,OV14&lt;&gt;""),AND(PR14&gt;=QE$17,PR14&lt;&gt;"",PT14&gt;=QE$21,PT14&lt;&gt;""),AND(PU14&gt;=QE$17,PU14&lt;&gt;"",PW14&gt;=QE$21,PW14&lt;&gt;""),AND(PY14&gt;=QE$17,PY14&lt;&gt;"",QA14&gt;=QE$21,QA14&lt;&gt;""),AND(QB14&gt;=QE$17,QB14&lt;&gt;"",QD14&gt;=QE$21,QD14&lt;&gt;""),AND(QZ14&gt;=RM$17,QZ14&lt;&gt;"",RB14&gt;=RM$21,RB14&lt;&gt;""),AND(RC14&gt;=RM$17,RC14&lt;&gt;"",RE14&gt;=RM$21,RE14&lt;&gt;""),AND(RG14&gt;=RM$17,RG14&lt;&gt;"",RI14&gt;=RM$21,RI14&lt;&gt;""),AND(RJ14&gt;=RM$17,RJ14&lt;&gt;"",RL14&gt;=RM$21,RL14&lt;&gt;""),AND(SH14&gt;=SU$17,SH14&lt;&gt;"",SJ14&gt;=SU$21,SJ14&lt;&gt;""),AND(SK14&gt;=SU$17,SK14&lt;&gt;"",SM14&gt;=SU$21,SM14&lt;&gt;""),AND(SO14&gt;=SU$17,SO14&lt;&gt;"",SQ14&gt;=SU$21,SQ14&lt;&gt;""),AND(SR14&gt;=SU$17,SR14&lt;&gt;"",ST14&gt;=SU$21,ST14&lt;&gt;"")),"P","")</f>
        <v/>
      </c>
      <c r="G14" s="3" t="str">
        <f>IF(OR(AND(AQ14&gt;=AY$21,AQ14&lt;&gt;"",AN14=""),AND(AT14&gt;=AY$21,AT14&lt;&gt;"",AN14=""),AND(AX14&gt;=AY$21,AX14&lt;&gt;"",AN14=""),AND(BR14&gt;=BZ$21,BR14&lt;&gt;"",BO14=""),AND(BU14&gt;=BZ$21,BU14&lt;&gt;"",BO14=""),AND(BY14&gt;=BZ$21,BY14&lt;&gt;"",BO14=""),AND(CS14&gt;=DA$21,CS14&lt;&gt;"",CP14=""),AND(CV14&gt;=DA$21,CV14&lt;&gt;"",CP14=""),AND(CZ14&gt;=DA$21,CZ14&lt;&gt;"",CP14=""),AND(DZ14&gt;=EK$21,DZ14&lt;&gt;""),AND(EC14&gt;=EK$21,EC14&lt;&gt;""),AND(EG14&gt;=EK$21,EG14&lt;&gt;""),AND(EJ14&gt;=EK$21,EJ14&lt;&gt;""),AND(FH14&gt;=FS$21,FH14&lt;&gt;""),AND(FK14&gt;=FS$21,FK14&lt;&gt;""),AND(FO14&gt;=FS$21,FO14&lt;&gt;""),AND(FR14&gt;=FS$21,FR14&lt;&gt;""),AND(GP14&gt;=HA$21,GP14&lt;&gt;""),AND(GS14&gt;=HA$21,GS14&lt;&gt;""),AND(GW14&gt;=HA$21,GW14&lt;&gt;""),AND(GZ14&gt;=HA$21,GZ14&lt;&gt;""),AND(HX14&gt;=II$21,HX14&lt;&gt;""),AND(IA14&gt;=II$21,IA14&lt;&gt;""),AND(IE14&gt;=II$21,IE14&lt;&gt;""),AND(IH14&gt;=II$21,IH14&lt;&gt;""),AND(JF14&gt;=JQ$21,JF14&lt;&gt;""),AND(JI14&gt;=JQ$21,JI14&lt;&gt;""),AND(JM14&gt;=JQ$21,JM14&lt;&gt;""),AND(JP14&gt;=JQ$21,JP14&lt;&gt;""),AND(KN14&gt;=KY$21,KN14&lt;&gt;""),AND(KQ14&gt;=KY$21,KQ14&lt;&gt;""),AND(KU14&gt;=KY$21,KU14&lt;&gt;""),AND(KX14&gt;=KY$21,KX14&lt;&gt;""),AND(LV14&gt;=MG$21,LV14&lt;&gt;""),AND(LY14&gt;=MG$21,LY14&lt;&gt;""),AND(MC14&gt;=MG$21,MC14&lt;&gt;""),AND(MF14&gt;=MG$21,MF14&lt;&gt;""),AND(ND14&gt;=NO$21,ND14&lt;&gt;""),AND(NG14&gt;=NO$21,NG14&lt;&gt;""),AND(NK14&gt;=NO$21,NK14&lt;&gt;""),AND(NN14&gt;=NO$21,NN14&lt;&gt;""),AND(OL14&gt;=OW$21,OL14&lt;&gt;""),AND(OO14&gt;=OW$21,OO14&lt;&gt;""),AND(OS14&gt;=OW$21,OS14&lt;&gt;""),AND(OV14&gt;=OW$21,OV14&lt;&gt;""),AND(PT14&gt;=QE$21,PT14&lt;&gt;""),AND(PW14&gt;=QE$21,PW14&lt;&gt;""),AND(QA14&gt;=QE$21,QA14&lt;&gt;""),AND(QD14&gt;=QE$21,QD14&lt;&gt;""),AND(RB14&gt;=RM$21,RB14&lt;&gt;""),AND(RE14&gt;=RM$21,RE14&lt;&gt;""),AND(RI14&gt;=RM$21,RI14&lt;&gt;""),AND(RL14&gt;=RM$21,RL14&lt;&gt;""),AND(SJ14&gt;=SU$21,SJ14&lt;&gt;""),AND(SM14&gt;=SU$21,SM14&lt;&gt;""),AND(SQ14&gt;=SU$21,SQ14&lt;&gt;""),AND(ST14&gt;=SU$21,ST14&lt;&gt;"")),"P","")</f>
        <v/>
      </c>
      <c r="H14" s="70" t="str">
        <f>IF(AND(G14="P",F14=""),"No DD",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),"Merit",IF(OR(AND(AO14&gt;=AY$19,AO14&lt;&gt;"",AQ14&gt;=AY$23,AQ14&lt;&gt;"",AN14=""),AND(AR14&gt;=AY$19,AR14&lt;&gt;"",AT14&gt;=AY$23,AT14&lt;&gt;"",AN14=""),AND(AV14&gt;=AY$19,AV14&lt;&gt;"",AX14&gt;=AY$23,AX14&lt;&gt;"",AN14=""),AND(BP14&gt;=BZ$19,BP14&lt;&gt;"",BR14&gt;=BZ$23,BR14&lt;&gt;"",BO14=""),AND(BS14&gt;=BZ$19,BS14&lt;&gt;"",BU14&gt;=BZ$23,BU14&lt;&gt;"",BO14=""),AND(BW14&gt;=BZ$19,BW14&lt;&gt;"",BY14&gt;=BZ$23,BY14&lt;&gt;"",BO14=""),AND(CQ14&gt;=DA$19,CQ14&lt;&gt;"",CS14&gt;=DA$23,CS14&lt;&gt;"",CP14=""),AND(CT14&gt;=DA$19,CT14&lt;&gt;"",CV14&gt;=DA$23,CV14&lt;&gt;"",CP14=""),AND(CX14&gt;=DA$19,CX14&lt;&gt;"",CZ14&gt;=DA$23,CZ14&lt;&gt;"",CP14=""),AND(DX14&gt;=EK$19,DX14&lt;&gt;"",DZ14&gt;=EK$23,DZ14&lt;&gt;""),AND(EA14&gt;=EK$19,EA14&lt;&gt;"",EC14&gt;=EK$23,EC14&lt;&gt;""),AND(EE14&gt;=EK$19,EE14&lt;&gt;"",EG14&gt;=EK$23,EG14&lt;&gt;""),AND(EH14&gt;=EK$19,EH14&lt;&gt;"",EJ14&gt;=EK$23,EJ14&lt;&gt;""),AND(FF14&gt;=FS$19,FF14&lt;&gt;"",FH14&gt;=FS$23,FH14&lt;&gt;""),AND(FI14&gt;=FS$19,FI14&lt;&gt;"",FK14&gt;=FS$23,FK14&lt;&gt;""),AND(FM14&gt;=FS$19,FM14&lt;&gt;"",FO14&gt;=FS$23,FO14&lt;&gt;""),AND(FP14&gt;=FS$19,FP14&lt;&gt;"",FR14&gt;=FS$23,FR14&lt;&gt;""),AND(GN14&gt;=HA$19,GN14&lt;&gt;"",GP14&gt;=HA$23,GP14&lt;&gt;""),AND(GQ14&gt;=HA$19,GQ14&lt;&gt;"",GS14&gt;=HA$23,GS14&lt;&gt;""),AND(GU14&gt;=HA$19,GU14&lt;&gt;"",GW14&gt;=HA$23,GW14&lt;&gt;""),AND(GX14&gt;=HA$19,GX14&lt;&gt;"",GZ14&gt;=HA$23,GZ14&lt;&gt;""),AND(HV14&gt;=II$19,HV14&lt;&gt;"",HX14&gt;=II$23,HX14&lt;&gt;""),AND(HY14&gt;=II$19,HY14&lt;&gt;"",IA14&gt;=II$23,IA14&lt;&gt;""),AND(IC14&gt;=II$19,IC14&lt;&gt;"",IE14&gt;=II$23,IE14&lt;&gt;""),AND(IF14&gt;=II$19,IF14&lt;&gt;"",IH14&gt;=II$23,IH14&lt;&gt;""),AND(JD14&gt;=JQ$19,JD14&lt;&gt;"",JF14&gt;=JQ$23,JF14&lt;&gt;""),AND(JG14&gt;=JQ$19,JG14&lt;&gt;"",JI14&gt;=JQ$23,JI14&lt;&gt;""),AND(JK14&gt;=JQ$19,JK14&lt;&gt;"",JM14&gt;=JQ$23,JM14&lt;&gt;""),AND(JN14&gt;=JQ$19,JN14&lt;&gt;"",JP14&gt;=JQ$23,JP14&lt;&gt;""),AND(KL14&gt;=KY$19,KL14&lt;&gt;"",KN14&gt;=KY$23,KN14&lt;&gt;""),AND(KO14&gt;=KY$19,KO14&lt;&gt;"",KQ14&gt;=KY$23,KQ14&lt;&gt;""),AND(KS14&gt;=KY$19,KS14&lt;&gt;"",KU14&gt;=KY$23,KU14&lt;&gt;""),AND(KV14&gt;=KY$19,KV14&lt;&gt;"",KX14&gt;=KY$23,KX14&lt;&gt;""),AND(LT14&gt;=MG$19,LT14&lt;&gt;"",LV14&gt;=MG$23,LV14&lt;&gt;""),AND(LW14&gt;=MG$19,LW14&lt;&gt;"",LY14&gt;=MG$23,LY14&lt;&gt;""),AND(MA14&gt;=MG$19,MA14&lt;&gt;"",MC14&gt;=MG$23,MC14&lt;&gt;""),AND(MD14&gt;=MG$19,MD14&lt;&gt;"",MF14&gt;=MG$23,MF14&lt;&gt;""),AND(NB14&gt;=NO$19,NB14&lt;&gt;"",ND14&gt;=NO$23,ND14&lt;&gt;""),AND(NE14&gt;=NO$19,NE14&lt;&gt;"",NG14&gt;=NO$23,NG14&lt;&gt;""),AND(NI14&gt;=NO$19,NI14&lt;&gt;"",NK14&gt;=NO$23,NK14&lt;&gt;""),AND(NL14&gt;=NO$19,NL14&lt;&gt;"",NN14&gt;=NO$23,NN14&lt;&gt;""),AND(OJ14&gt;=OW$19,OJ14&lt;&gt;"",OL14&gt;=OW$23,OL14&lt;&gt;""),AND(OM14&gt;=OW$19,OM14&lt;&gt;"",OO14&gt;=OW$23,OO14&lt;&gt;""),AND(OQ14&gt;=OW$19,OQ14&lt;&gt;"",OS14&gt;=OW$23,OS14&lt;&gt;""),AND(OT14&gt;=OW$19,OT14&lt;&gt;"",OV14&gt;=OW$23,OV14&lt;&gt;""),AND(PR14&gt;=QE$19,PR14&lt;&gt;"",PT14&gt;=QE$23,PT14&lt;&gt;""),AND(PU14&gt;=QE$19,PU14&lt;&gt;"",PW14&gt;=QE$23,PW14&lt;&gt;""),AND(PY14&gt;=QE$19,PY14&lt;&gt;"",QA14&gt;=QE$23,QA14&lt;&gt;""),AND(QB14&gt;=QE$19,QB14&lt;&gt;"",QD14&gt;=QE$23,QD14&lt;&gt;""),AND(QZ14&gt;=RM$19,QZ14&lt;&gt;"",RB14&gt;=RM$23,RB14&lt;&gt;""),AND(RC14&gt;=RM$19,RC14&lt;&gt;"",RE14&gt;=RM$23,RE14&lt;&gt;""),AND(RG14&gt;=RM$19,RG14&lt;&gt;"",RI14&gt;=RM$23,RI14&lt;&gt;""),AND(RJ14&gt;=RM$19,RJ14&lt;&gt;"",RL14&gt;=RM$23,RL14&lt;&gt;""),AND(SH14&gt;=SU$19,SH14&lt;&gt;"",SJ14&gt;=SU$23,SJ14&lt;&gt;""),AND(SK14&gt;=SU$19,SK14&lt;&gt;"",SM14&gt;=SU$23,SM14&lt;&gt;""),AND(SO14&gt;=SU$19,SO14&lt;&gt;"",SQ14&gt;=SU$23,SQ14&lt;&gt;""),AND(SR14&gt;=SU$19,SR14&lt;&gt;"",ST14&gt;=SU$23,ST14&lt;&gt;"")),"Excellence",IF(I14="P","Worlds Team",IF(F14="P","National Team","")))))</f>
        <v/>
      </c>
      <c r="I14" s="3" t="str">
        <f>IF(OR(AND(AO14&gt;=AY$18,AO14&lt;&gt;"",AQ14&gt;=AY$22,AQ14&lt;&gt;"",AN14=""),AND(AR14&gt;=AY$18,AR14&lt;&gt;"",AT14&gt;=AY$22,AT14&lt;&gt;"",AN14=""),AND(AV14&gt;=AY$18,AV14&lt;&gt;"",AX14&gt;=AY$22,AX14&lt;&gt;"",AN14=""),AND(BP14&gt;=BZ$18,BP14&lt;&gt;"",BR14&gt;=BZ$22,BR14&lt;&gt;"",BO14=""),AND(BS14&gt;=BZ$18,BS14&lt;&gt;"",BU14&gt;=BZ$22,BU14&lt;&gt;"",BO14=""),AND(BW14&gt;=BZ$18,BW14&lt;&gt;"",BY14&gt;=BZ$22,BY14&lt;&gt;"",BO14=""),AND(CQ14&gt;=DA$18,CQ14&lt;&gt;"",CS14&gt;=DA$22,CS14&lt;&gt;"",CP14=""),AND(CT14&gt;=DA$18,CT14&lt;&gt;"",CV14&gt;=DA$22,CV14&lt;&gt;"",CP14=""),AND(CX14&gt;=DA$18,CX14&lt;&gt;"",CZ14&gt;=DA$22,CZ14&lt;&gt;"",CP14=""),AND(DX14&gt;=EK$18,DX14&lt;&gt;"",DZ14&gt;=EK$22,DZ14&lt;&gt;""),AND(EA14&gt;=EK$18,EA14&lt;&gt;"",EC14&gt;=EK$22,EC14&lt;&gt;""),AND(EE14&gt;=EK$18,EE14&lt;&gt;"",EG14&gt;=EK$22,EG14&lt;&gt;""),AND(EH14&gt;=EK$18,EH14&lt;&gt;"",EJ14&gt;=EK$22,EJ14&lt;&gt;""),AND(FF14&gt;=FS$18,FF14&lt;&gt;"",FH14&gt;=FS$22,FH14&lt;&gt;""),AND(FI14&gt;=FS$18,FI14&lt;&gt;"",FK14&gt;=FS$22,FK14&lt;&gt;""),AND(FM14&gt;=FS$18,FM14&lt;&gt;"",FO14&gt;=FS$22,FO14&lt;&gt;""),AND(FP14&gt;=FS$18,FP14&lt;&gt;"",FR14&gt;=FS$22,FR14&lt;&gt;""),AND(GN14&gt;=HA$18,GN14&lt;&gt;"",GP14&gt;=HA$22,GP14&lt;&gt;""),AND(GQ14&gt;=HA$18,GQ14&lt;&gt;"",GS14&gt;=HA$22,GS14&lt;&gt;""),AND(GU14&gt;=HA$18,GU14&lt;&gt;"",GW14&gt;=HA$22,GW14&lt;&gt;""),AND(GX14&gt;=HA$18,GX14&lt;&gt;"",GZ14&gt;=HA$22,GZ14&lt;&gt;""),AND(HV14&gt;=II$18,HV14&lt;&gt;"",HX14&gt;=II$22,HX14&lt;&gt;""),AND(HY14&gt;=II$18,HY14&lt;&gt;"",IA14&gt;=II$22,IA14&lt;&gt;""),AND(IC14&gt;=II$18,IC14&lt;&gt;"",IE14&gt;=II$22,IE14&lt;&gt;""),AND(IF14&gt;=II$18,IF14&lt;&gt;"",IH14&gt;=II$22,IH14&lt;&gt;""),AND(JD14&gt;=JQ$18,JD14&lt;&gt;"",JF14&gt;=JQ$22,JF14&lt;&gt;""),AND(JG14&gt;=JQ$18,JG14&lt;&gt;"",JI14&gt;=JQ$22,JI14&lt;&gt;""),AND(JK14&gt;=JQ$18,JK14&lt;&gt;"",JM14&gt;=JQ$22,JM14&lt;&gt;""),AND(JN14&gt;=JQ$18,JN14&lt;&gt;"",JP14&gt;=JQ$22,JP14&lt;&gt;""),AND(KL14&gt;=KY$18,KL14&lt;&gt;"",KN14&gt;=KY$22,KN14&lt;&gt;""),AND(KO14&gt;=KY$18,KO14&lt;&gt;"",KQ14&gt;=KY$22,KQ14&lt;&gt;""),AND(KS14&gt;=KY$18,KS14&lt;&gt;"",KU14&gt;=KY$22,KU14&lt;&gt;""),AND(KV14&gt;=KY$18,KV14&lt;&gt;"",KX14&gt;=KY$22,KX14&lt;&gt;""),AND(LT14&gt;=MG$18,LT14&lt;&gt;"",LV14&gt;=MG$22,LV14&lt;&gt;""),AND(LW14&gt;=MG$18,LW14&lt;&gt;"",LY14&gt;=MG$22,LY14&lt;&gt;""),AND(MA14&gt;=MG$18,MA14&lt;&gt;"",MC14&gt;=MG$22,MC14&lt;&gt;""),AND(MD14&gt;=MG$18,MD14&lt;&gt;"",MF14&gt;=MG$22,MF14&lt;&gt;""),AND(NB14&gt;=NO$18,NB14&lt;&gt;"",ND14&gt;=NO$22,ND14&lt;&gt;""),AND(NE14&gt;=NO$18,NE14&lt;&gt;"",NG14&gt;=NO$22,NG14&lt;&gt;""),AND(NI14&gt;=NO$18,NI14&lt;&gt;"",NK14&gt;=NO$22,NK14&lt;&gt;""),AND(NL14&gt;=NO$18,NL14&lt;&gt;"",NN14&gt;=NO$22,NN14&lt;&gt;""),AND(OJ14&gt;=OW$18,OJ14&lt;&gt;"",OL14&gt;=OW$22,OL14&lt;&gt;""),AND(OM14&gt;=OW$18,OM14&lt;&gt;"",OO14&gt;=OW$22,OO14&lt;&gt;""),AND(OQ14&gt;=OW$18,OQ14&lt;&gt;"",OS14&gt;=OW$22,OS14&lt;&gt;""),AND(OT14&gt;=OW$18,OT14&lt;&gt;"",OV14&gt;=OW$22,OV14&lt;&gt;""),AND(PR14&gt;=QE$18,PR14&lt;&gt;"",PT14&gt;=QE$22,PT14&lt;&gt;""),AND(PU14&gt;=QE$18,PU14&lt;&gt;"",PW14&gt;=QE$22,PW14&lt;&gt;""),AND(PY14&gt;=QE$18,PY14&lt;&gt;"",QA14&gt;=QE$22,QA14&lt;&gt;""),AND(QB14&gt;=QE$18,QB14&lt;&gt;"",QD14&gt;=QE$22,QD14&lt;&gt;""),AND(QZ14&gt;=RM$18,QZ14&lt;&gt;"",RB14&gt;=RM$22,RB14&lt;&gt;""),AND(RC14&gt;=RM$18,RC14&lt;&gt;"",RE14&gt;=RM$22,RE14&lt;&gt;""),AND(RG14&gt;=RM$18,RG14&lt;&gt;"",RI14&gt;=RM$22,RI14&lt;&gt;""),AND(RJ14&gt;=RM$18,RJ14&lt;&gt;"",RL14&gt;=RM$22,RL14&lt;&gt;""),AND(SH14&gt;=SU$18,SH14&lt;&gt;"",SJ14&gt;=SU$22,SJ14&lt;&gt;""),AND(SK14&gt;=SU$18,SK14&lt;&gt;"",SM14&gt;=SU$22,SM14&lt;&gt;""),AND(SO14&gt;=SU$18,SO14&lt;&gt;"",SQ14&gt;=SU$22,SQ14&lt;&gt;""),AND(SR14&gt;=SU$18,SR14&lt;&gt;"",ST14&gt;=SU$22,ST14&lt;&gt;"")),"P","")</f>
        <v/>
      </c>
      <c r="J14" s="13">
        <f>IF(COUNT(AQ14,AT14,BR14,BU14,CS14,CV14)&gt;0,LARGE((AQ14,AT14,BR14,BU14,CS14,CV14),1),0)</f>
        <v>47.089999999999996</v>
      </c>
      <c r="K14" s="13" t="str">
        <f>IF(J14="","",IF(OR(J14=CS14,J14=CV14),$CA$1,IF(OR(J14=BR14,J14=BU14),$AZ$1,IF(OR(J14=AQ14,J14=AT14),$Y$1,""))))</f>
        <v>2022 Elite Canada</v>
      </c>
      <c r="L14" s="13">
        <f>IF(COUNT(AQ14,AT14,BR14,BU14,CS14,CV14)&gt;1,LARGE((AQ14,AT14,BR14,BU14,CS14,CV14),2),0)</f>
        <v>45.684999999999995</v>
      </c>
      <c r="M14" s="13" t="str">
        <f>IF(L14="","",IF(OR(L14=CS14,L14=CV14),$CA$1,IF(OR(L14=BR14,L14=BU14),$AZ$1,IF(OR(L14=AQ14,L14=AT14),$Y$1,""))))</f>
        <v>2022 Elite Canada</v>
      </c>
      <c r="N14" s="13">
        <f>IF(COUNT(AQ14,AT14,BR14,BU14,CS14,CV14)&gt;2,LARGE((AQ14,AT14,BR14,BU14,CS14,CV14),3),0)</f>
        <v>44.945000000000007</v>
      </c>
      <c r="O14" s="13" t="str">
        <f>IF(N14="","",IF(OR(N14=CS14,N14=CV14),$CA$1,IF(OR(N14=BR14,N14=BU14),$AZ$1,IF(OR(N14=AQ14,N14=AT14),$Y$1,""))))</f>
        <v>2021 Elite Canada</v>
      </c>
      <c r="P14" s="13">
        <f>IF(MAX(AX14,BY14,CZ14)&gt;0,MAX(AX14,BY14,CZ14),0)</f>
        <v>46.064999999999998</v>
      </c>
      <c r="Q14" s="13" t="str">
        <f>IF(P14="","",IF(P14=CZ14,$CA$1,IF(P14=BY14,$AZ$1,IF(P14=AX14,$Y$1,""))))</f>
        <v>2021 Canadian Championships</v>
      </c>
      <c r="R14" s="13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10.6</v>
      </c>
      <c r="S14" s="13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2022 Elite Canada</v>
      </c>
      <c r="T14" s="13">
        <f>IF(MAX(IF(AO14&gt;=$AY$17,AP14,0),IF(AR14&gt;=$AY$17,AS14,0),IF(AV14&gt;=$AY$17,AW14,0),IF(BP14&gt;=$BZ$17,BQ14,0),IF(BS14&gt;=$BZ$17,BT14,0),IF(BW14&gt;=$BZ$17,BX14,0),IF(CQ14&gt;=$DA$17,CR14,0),IF(CT14&gt;=$DA$17,CU14,0),IF(CX14&gt;=$DA$17,CY14,0))&gt;0,MAX(IF(AO14&gt;=$AY$17,AP14,0),IF(AR14&gt;=$AY$17,AS14,0),IF(AV14&gt;=$AY$17,AW14,0),IF(BP14&gt;=$BZ$17,BQ14,0),IF(BS14&gt;=$BZ$17,BT14,0),IF(BW14&gt;=$BZ$17,BX14,0),IF(CQ14&gt;=$DA$17,CR14,0),IF(CT14&gt;=$DA$17,CU14,0),IF(CX14&gt;=$DA$17,CY14,0),IF(DX14&gt;=$EK$17,DY14,0),IF(EA14&gt;=$EK$17,EB14,0),IF(EE14&gt;=$EK$17,EF14,0),IF(EH14&gt;=$EK$17,EI14,0),IF(FF14&gt;=$FS$17,FG14,0),IF(FI14&gt;=$FS$17,FJ14,0),IF(FM14&gt;=$FS$17,FN14,0),IF(FP14&gt;=$FS$17,FQ14,0),IF(GN14&gt;=$HA$17,GO14,0),IF(GQ14&gt;=$HA$17,GR14,0),IF(GU14&gt;=$HA$17,GV14,0),IF(GX14&gt;=$HA$17,GY14,0),IF(HV14&gt;=$II$17,HW14,0),IF(HY14&gt;=$II$17,HZ14,0),IF(IC14&gt;=$II$17,ID14,0),IF(IF14&gt;=$II$17,IG14,0),IF(JD14&gt;=$JQ$17,JE14,0),IF(JG14&gt;=$JQ$17,JH14,0),IF(JK14&gt;=$JQ$17,JL14,0),IF(JN14&gt;=$JQ$17,JO14,0),IF(KL14&gt;=$KY$17,KM14,0),IF(KO14&gt;=$KY$17,KP14,0),IF(KS14&gt;=$KY$17,KT14,0),IF(KV14&gt;=$KY$17,KW14,0),IF(LT14&gt;=$MG$17,LU14,0),IF(LW14&gt;=$MG$17,LX14,0),IF(MA14&gt;=$MG$17,MB14,0),IF(MD14&gt;=$MG$17,ME14,0),IF(NB14&gt;=$NO$17,NC14,0),IF(NE14&gt;=$NO$17,NF14,0),IF(NI14&gt;=$NO$17,NJ14,0),IF(NL14&gt;=$NO$17,NM14,0),IF(OJ14&gt;=$OW$17,OK14,0),IF(OM14&gt;=$OW$17,ON14,0),IF(OQ14&gt;=$OW$17,OR14,0),IF(OT14&gt;=$OW$17,OU14,0),IF(PR14&gt;=$QE$17,PS14,0),IF(PU14&gt;=$QE$17,PV14,0),IF(PY14&gt;=$QE$17,PZ14,0),IF(QB14&gt;=$QE$17,QC14,0),IF(QZ14&gt;=$RM$17,RA14,0),IF(RC14&gt;=$RM$17,RD14,0),IF(RG14&gt;=$RM$17,RH14,0),IF(RJ14&gt;=$RM$17,RK14,0),IF(SH14&gt;=$SU$17,SI14,0),IF(SK14&gt;=$SU$17,SL14,0),IF(SO14&gt;=$SU$17,SP14,0),IF(SR14&gt;=$SU$17,SS14,0)),0)</f>
        <v>0</v>
      </c>
      <c r="U14" s="13" t="str">
        <f>IF(T14=0,"",IF(OR(T14=CR14,T14=CU14,T14=CY14),$CA$1,IF(OR(T14=BQ14,T14=BT14,T14=BX14),$AZ$1,IF(OR(T14=AP14,T14=AS14,T14=AW14),$Y$1,IF(OR(R14=SI14,R14=SL14,R14=SP14,R14=SS14),$RN$1,IF(OR(R14=RA14,R14=RD14,R14=RH14,R14=RK14),$QF$1,IF(OR(R14=PS14,R14=PV14,R14=PZ14,R14=QC14),$OX$1,IF(OR(R14=OK14,R14=ON14,R14=OR14,R14=OU14),$NP$1,IF(OR(R14=NC14,R14=NF14,R14=NJ14,R14=NM14),$MH$1,IF(OR(R14=LU14,R14=LX14,R14=MB14,R14=ME14),$KZ$1,IF(OR(R14=KM14,R14=KP14,R14=KT14,R14=KW14),$JR$1,IF(OR(R14=JE14,R14=JH14,R14=JL14,R14=JO14),$IJ$1,IF(OR(R14=HW14,R14=HZ14,R14=ID14,R14=IG14),$HB$1,IF(OR(R14=GO14,R14=GR14,R14=GV14,R14=GY14),$FT$1,IF(OR(R14=FG14,R14=FJ14,R14=FN14,R14=FQ14),$EL$1,IF(OR(R14=DY14,R14=EB14,R14=EF14,R14=EI14),$DD$1,""))))))))))))))))</f>
        <v/>
      </c>
      <c r="V14" s="13" t="str">
        <f>IF(MAX(DB14,DC14)&gt;0,MAX(DB14,DC14),"")</f>
        <v/>
      </c>
      <c r="W14" s="16" t="str">
        <f>IF(V14="","",IF(V14=DB14,"("&amp;DB$2&amp;")",IF(V14=DC14,"("&amp;DC$2&amp;")")))</f>
        <v/>
      </c>
      <c r="X14" s="13" t="str">
        <f>IF(V14="","",IF(V14=DB14,IF(V14+IF(L14="",0,L14)=SN14,$RN$1,IF(V14+IF(L14="",0,L14)=RF14,$QF$1,IF(V14+IF(L14="",0,L14)=PX14,$OX$1,IF(V14+IF(L14="",0,L14)=OP14,$NP$1,IF(V14+IF(L14="",0,L14)=NH14,$MH$1,IF(V14+IF(L14="",0,L14)=LZ14,$KZ$1,IF(V14+IF(L14="",0,L14)=KR14,$JR$1,IF(V14+IF(L14="",0,L14)=JJ14,$IJ$1,IF(V14+IF(L14="",0,L14)=IB14,$HB$1,IF(V14+IF(L14="",0,L14)=GT14,$FT$1,IF(V14+IF(L14="",0,L14)=FL14,$EL$1,IF(V14+IF(L14="",0,L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$1)))))))))))))))</f>
        <v/>
      </c>
      <c r="Y14" s="42">
        <v>15.2</v>
      </c>
      <c r="Z14" s="42">
        <v>9.3000000000000007</v>
      </c>
      <c r="AA14" s="42">
        <v>8.6</v>
      </c>
      <c r="AB14" s="42">
        <v>14.645</v>
      </c>
      <c r="AC14" s="42">
        <v>2.8</v>
      </c>
      <c r="AD14" s="42">
        <v>0</v>
      </c>
      <c r="AE14" s="42">
        <v>0</v>
      </c>
      <c r="AF14" s="42">
        <v>0</v>
      </c>
      <c r="AG14" s="42">
        <v>0</v>
      </c>
      <c r="AH14" s="42">
        <v>0</v>
      </c>
      <c r="AI14" s="42">
        <v>14.8</v>
      </c>
      <c r="AJ14" s="42">
        <v>9.1</v>
      </c>
      <c r="AK14" s="42">
        <v>9.1999999999999993</v>
      </c>
      <c r="AL14" s="42">
        <v>14.175000000000001</v>
      </c>
      <c r="AM14" s="42">
        <v>2.2000000000000002</v>
      </c>
      <c r="AN14" s="51"/>
      <c r="AO14" s="74">
        <f>IF(AA14&gt;0,AA14,"")</f>
        <v>8.6</v>
      </c>
      <c r="AP14" s="74">
        <f>IF(AB14&gt;0,AB14,"")</f>
        <v>14.645</v>
      </c>
      <c r="AQ14" s="76">
        <f>IF(SUM(Y14:AB14)-AC14&gt;0,SUM(Y14:AB14)-AC14,"")</f>
        <v>44.945000000000007</v>
      </c>
      <c r="AR14" s="76" t="str">
        <f>IF(AF14&gt;0,AF14,"")</f>
        <v/>
      </c>
      <c r="AS14" s="76" t="str">
        <f>IF(AG14&gt;0,AG14,"")</f>
        <v/>
      </c>
      <c r="AT14" s="76" t="str">
        <f>IF(SUM(AD14:AG14)-AH14&gt;0,SUM(AD14:AG14)-AH14,"")</f>
        <v/>
      </c>
      <c r="AU14" s="76">
        <f>IF(AQ14="","",MAX(AQ14,AT14))</f>
        <v>44.945000000000007</v>
      </c>
      <c r="AV14" s="76">
        <f>IF(AK14&gt;0,AK14,"")</f>
        <v>9.1999999999999993</v>
      </c>
      <c r="AW14" s="76">
        <f>IF(AL14&gt;0,AL14,"")</f>
        <v>14.175000000000001</v>
      </c>
      <c r="AX14" s="76">
        <f>IF(SUM(AI14:AL14)-AM14&gt;0,SUM(AI14:AL14)-AM14,"")</f>
        <v>45.074999999999989</v>
      </c>
      <c r="AY14" s="76">
        <f>IF(SUM(AU14,AX14)&gt;0,SUM(AU14,AX14),"")</f>
        <v>90.02</v>
      </c>
      <c r="AZ14" s="46">
        <v>2.6</v>
      </c>
      <c r="BA14" s="46">
        <v>1.7</v>
      </c>
      <c r="BB14" s="46">
        <v>2.7</v>
      </c>
      <c r="BC14" s="46">
        <v>3.03</v>
      </c>
      <c r="BD14" s="46">
        <v>0</v>
      </c>
      <c r="BE14" s="46">
        <v>11.3</v>
      </c>
      <c r="BF14" s="46">
        <v>6.7</v>
      </c>
      <c r="BG14" s="46">
        <v>7</v>
      </c>
      <c r="BH14" s="46">
        <v>11.715</v>
      </c>
      <c r="BI14" s="46">
        <v>0</v>
      </c>
      <c r="BJ14" s="46">
        <v>13.4</v>
      </c>
      <c r="BK14" s="46">
        <v>8.9</v>
      </c>
      <c r="BL14" s="46">
        <v>10.5</v>
      </c>
      <c r="BM14" s="46">
        <v>13.965</v>
      </c>
      <c r="BN14" s="46">
        <v>0.7</v>
      </c>
      <c r="BO14" s="52"/>
      <c r="BP14" s="75">
        <f>IF(BB14&gt;0,BB14,"")</f>
        <v>2.7</v>
      </c>
      <c r="BQ14" s="75">
        <f>IF(BC14&gt;0,BC14,"")</f>
        <v>3.03</v>
      </c>
      <c r="BR14" s="16">
        <f>IF(SUM(AZ14:BC14)-BD14&gt;0,SUM(AZ14:BC14)-BD14,"")</f>
        <v>10.029999999999999</v>
      </c>
      <c r="BS14" s="16">
        <f>IF(BG14&gt;0,BG14,"")</f>
        <v>7</v>
      </c>
      <c r="BT14" s="16">
        <f>IF(BH14&gt;0,BH14,"")</f>
        <v>11.715</v>
      </c>
      <c r="BU14" s="16">
        <f>IF(SUM(BE14:BH14)-BI14&gt;0,SUM(BE14:BH14)-BI14,"")</f>
        <v>36.715000000000003</v>
      </c>
      <c r="BV14" s="16">
        <f>IF(BR14="","",MAX(BR14,BU14))</f>
        <v>36.715000000000003</v>
      </c>
      <c r="BW14" s="16">
        <f>IF(BL14&gt;0,BL14,"")</f>
        <v>10.5</v>
      </c>
      <c r="BX14" s="16">
        <f>IF(BM14&gt;0,BM14,"")</f>
        <v>13.965</v>
      </c>
      <c r="BY14" s="16">
        <f>IF(SUM(BJ14:BM14)-BN14&gt;0,SUM(BJ14:BM14)-BN14,"")</f>
        <v>46.064999999999998</v>
      </c>
      <c r="BZ14" s="16">
        <f>IF(SUM(BV14,BY14)&gt;0,SUM(BV14,BY14),"")</f>
        <v>82.78</v>
      </c>
      <c r="CA14" s="42">
        <v>12.5</v>
      </c>
      <c r="CB14" s="42">
        <v>9.1999999999999993</v>
      </c>
      <c r="CC14" s="42">
        <v>10.6</v>
      </c>
      <c r="CD14" s="42">
        <v>13.984999999999999</v>
      </c>
      <c r="CE14" s="42">
        <v>0.6</v>
      </c>
      <c r="CF14" s="42">
        <v>13.4</v>
      </c>
      <c r="CG14" s="42">
        <v>9.1</v>
      </c>
      <c r="CH14" s="42">
        <v>10.6</v>
      </c>
      <c r="CI14" s="42">
        <v>14.59</v>
      </c>
      <c r="CJ14" s="42">
        <v>0.6</v>
      </c>
      <c r="CK14" s="42">
        <v>13.3</v>
      </c>
      <c r="CL14" s="42">
        <v>7.8</v>
      </c>
      <c r="CM14" s="42">
        <v>9.9</v>
      </c>
      <c r="CN14" s="42">
        <v>12.885</v>
      </c>
      <c r="CO14" s="42">
        <v>0</v>
      </c>
      <c r="CP14" s="51"/>
      <c r="CQ14" s="74">
        <f>IF(CC14&gt;0,CC14,"")</f>
        <v>10.6</v>
      </c>
      <c r="CR14" s="74">
        <f>IF(CD14&gt;0,CD14,"")</f>
        <v>13.984999999999999</v>
      </c>
      <c r="CS14" s="76">
        <f>IF(SUM(CA14:CD14)-CE14&gt;0,SUM(CA14:CD14)-CE14,"")</f>
        <v>45.684999999999995</v>
      </c>
      <c r="CT14" s="76">
        <f>IF(CH14&gt;0,CH14,"")</f>
        <v>10.6</v>
      </c>
      <c r="CU14" s="76">
        <f>IF(CI14&gt;0,CI14,"")</f>
        <v>14.59</v>
      </c>
      <c r="CV14" s="76">
        <f>IF(SUM(CF14:CI14)-CJ14&gt;0,SUM(CF14:CI14)-CJ14,"")</f>
        <v>47.089999999999996</v>
      </c>
      <c r="CW14" s="76">
        <f>IF(CS14="","",MAX(CS14,CV14))</f>
        <v>47.089999999999996</v>
      </c>
      <c r="CX14" s="76">
        <f>IF(CM14&gt;0,CM14,"")</f>
        <v>9.9</v>
      </c>
      <c r="CY14" s="76">
        <f>IF(CN14&gt;0,CN14,"")</f>
        <v>12.885</v>
      </c>
      <c r="CZ14" s="76">
        <f>IF(SUM(CK14:CN14)-CO14&gt;0,SUM(CK14:CN14)-CO14,"")</f>
        <v>43.884999999999998</v>
      </c>
      <c r="DA14" s="76">
        <f>IF(SUM(CW14,CZ14)&gt;0,SUM(CW14,CZ14),"")</f>
        <v>90.974999999999994</v>
      </c>
      <c r="DB14" s="87" t="str">
        <f>IF(L14&gt;=0.001,IF(MAX(ED14,FL14,GT14,IB14,JJ14,KR14,LZ14,NH14,OP14,PX14,RF14,SN14)-IF(L14="",0,L14)&gt;0.001,MAX(ED14,FL14,GT14,IB14,JJ14,KR14,LZ14,NH14,OP14,PX14,RF14,SN14)-IF(L14="",0,L14),""),"")</f>
        <v/>
      </c>
      <c r="DC14" s="87" t="str">
        <f>IF(P14&gt;=0.001,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,"")</f>
        <v/>
      </c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76" t="str">
        <f>IF(DF14&gt;0,DF14,"")</f>
        <v/>
      </c>
      <c r="DY14" s="76" t="str">
        <f>IF(DG14&gt;0,DG14,"")</f>
        <v/>
      </c>
      <c r="DZ14" s="76" t="str">
        <f>IF(SUM(DD14:DG14)-DH14&gt;0,SUM(DD14:DG14)-DH14,"")</f>
        <v/>
      </c>
      <c r="EA14" s="76" t="str">
        <f>IF(DK14&gt;0,DK14,"")</f>
        <v/>
      </c>
      <c r="EB14" s="76" t="str">
        <f>IF(DL14&gt;0,DL14,"")</f>
        <v/>
      </c>
      <c r="EC14" s="76" t="str">
        <f>IF(SUM(DI14:DL14)-DM14&gt;0,SUM(DI14:DL14)-DM14,"")</f>
        <v/>
      </c>
      <c r="ED14" s="76" t="str">
        <f>IF(MAX(DZ14,EC14)&gt;0,MAX(DZ14,EC14),"")</f>
        <v/>
      </c>
      <c r="EE14" s="76" t="str">
        <f>IF(DP14&gt;0,DP14,"")</f>
        <v/>
      </c>
      <c r="EF14" s="76" t="str">
        <f>IF(DQ14&gt;0,DQ14,"")</f>
        <v/>
      </c>
      <c r="EG14" s="76" t="str">
        <f>IF(SUM(DN14:DQ14)-DR14&gt;0,SUM(DN14:DQ14)-DR14,"")</f>
        <v/>
      </c>
      <c r="EH14" s="76" t="str">
        <f>IF(DU14&gt;0,DU14,"")</f>
        <v/>
      </c>
      <c r="EI14" s="76" t="str">
        <f>IF(DV14&gt;0,DV14,"")</f>
        <v/>
      </c>
      <c r="EJ14" s="76" t="str">
        <f>IF(SUM(DS14:DV14)-DW14&gt;0,SUM(DS14:DV14)-DW14,"")</f>
        <v/>
      </c>
      <c r="EK14" s="76" t="str">
        <f>IF(SUM(ED14,EJ14)&gt;0,SUM(ED14,EJ14),"")</f>
        <v/>
      </c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16" t="str">
        <f>IF(EN14&gt;0,EN14,"")</f>
        <v/>
      </c>
      <c r="FG14" s="16" t="str">
        <f>IF(EO14&gt;0,EO14,"")</f>
        <v/>
      </c>
      <c r="FH14" s="16" t="str">
        <f>IF(SUM(EL14:EO14)-EP14&gt;0,SUM(EL14:EO14)-EP14,"")</f>
        <v/>
      </c>
      <c r="FI14" s="16" t="str">
        <f>IF(ES14&gt;0,ES14,"")</f>
        <v/>
      </c>
      <c r="FJ14" s="16" t="str">
        <f>IF(ET14&gt;0,ET14,"")</f>
        <v/>
      </c>
      <c r="FK14" s="16" t="str">
        <f>IF(SUM(EQ14:ET14)-EU14&gt;0,SUM(EQ14:ET14)-EU14,"")</f>
        <v/>
      </c>
      <c r="FL14" s="16" t="str">
        <f>IF(MAX(FH14,FK14)&gt;0,MAX(FH14,FK14),"")</f>
        <v/>
      </c>
      <c r="FM14" s="16" t="str">
        <f>IF(EX14&gt;0,EX14,"")</f>
        <v/>
      </c>
      <c r="FN14" s="16" t="str">
        <f>IF(EY14&gt;0,EY14,"")</f>
        <v/>
      </c>
      <c r="FO14" s="16" t="str">
        <f>IF(SUM(EV14:EY14)-EZ14&gt;0,SUM(EV14:EY14)-EZ14,"")</f>
        <v/>
      </c>
      <c r="FP14" s="16" t="str">
        <f>IF(FC14&gt;0,FC14,"")</f>
        <v/>
      </c>
      <c r="FQ14" s="16" t="str">
        <f>IF(FD14&gt;0,FD14,"")</f>
        <v/>
      </c>
      <c r="FR14" s="16" t="str">
        <f>IF(SUM(FA14:FD14)-FE14&gt;0,SUM(FA14:FD14)-FE14,"")</f>
        <v/>
      </c>
      <c r="FS14" s="16" t="str">
        <f>IF(SUM(FL14,FR14)&gt;0,SUM(FL14,FR14),"")</f>
        <v/>
      </c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76" t="str">
        <f>IF(FV14&gt;0,FV14,"")</f>
        <v/>
      </c>
      <c r="GO14" s="76" t="str">
        <f>IF(FW14&gt;0,FW14,"")</f>
        <v/>
      </c>
      <c r="GP14" s="76" t="str">
        <f>IF(SUM(FT14:FW14)-FX14&gt;0,SUM(FT14:FW14)-FX14,"")</f>
        <v/>
      </c>
      <c r="GQ14" s="76" t="str">
        <f>IF(GA14&gt;0,GA14,"")</f>
        <v/>
      </c>
      <c r="GR14" s="76" t="str">
        <f>IF(GB14&gt;0,GB14,"")</f>
        <v/>
      </c>
      <c r="GS14" s="76" t="str">
        <f>IF(SUM(FY14:GB14)-GC14&gt;0,SUM(FY14:GB14)-GC14,"")</f>
        <v/>
      </c>
      <c r="GT14" s="76" t="str">
        <f>IF(MAX(GP14,GS14)&gt;0,MAX(GP14,GS14),"")</f>
        <v/>
      </c>
      <c r="GU14" s="76" t="str">
        <f>IF(GF14&gt;0,GF14,"")</f>
        <v/>
      </c>
      <c r="GV14" s="76" t="str">
        <f>IF(GG14&gt;0,GG14,"")</f>
        <v/>
      </c>
      <c r="GW14" s="76" t="str">
        <f>IF(SUM(GD14:GG14)-GH14&gt;0,SUM(GD14:GG14)-GH14,"")</f>
        <v/>
      </c>
      <c r="GX14" s="76" t="str">
        <f>IF(GK14&gt;0,GK14,"")</f>
        <v/>
      </c>
      <c r="GY14" s="76" t="str">
        <f>IF(GL14&gt;0,GL14,"")</f>
        <v/>
      </c>
      <c r="GZ14" s="76" t="str">
        <f>IF(SUM(GI14:GL14)-GM14&gt;0,SUM(GI14:GL14)-GM14,"")</f>
        <v/>
      </c>
      <c r="HA14" s="76" t="str">
        <f>IF(SUM(GT14,GZ14)&gt;0,SUM(GT14,GZ14),"")</f>
        <v/>
      </c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16" t="str">
        <f>IF(HD14&gt;0,HD14,"")</f>
        <v/>
      </c>
      <c r="HW14" s="16" t="str">
        <f>IF(HE14&gt;0,HE14,"")</f>
        <v/>
      </c>
      <c r="HX14" s="16" t="str">
        <f>IF(SUM(HB14:HE14)-HF14&gt;0,SUM(HB14:HE14)-HF14,"")</f>
        <v/>
      </c>
      <c r="HY14" s="16" t="str">
        <f>IF(HI14&gt;0,HI14,"")</f>
        <v/>
      </c>
      <c r="HZ14" s="16" t="str">
        <f>IF(HJ14&gt;0,HJ14,"")</f>
        <v/>
      </c>
      <c r="IA14" s="16" t="str">
        <f>IF(SUM(HG14:HJ14)-HK14&gt;0,SUM(HG14:HJ14)-HK14,"")</f>
        <v/>
      </c>
      <c r="IB14" s="16" t="str">
        <f>IF(MAX(HX14,IA14)&gt;0,MAX(HX14,IA14),"")</f>
        <v/>
      </c>
      <c r="IC14" s="16" t="str">
        <f>IF(HN14&gt;0,HN14,"")</f>
        <v/>
      </c>
      <c r="ID14" s="16" t="str">
        <f>IF(HO14&gt;0,HO14,"")</f>
        <v/>
      </c>
      <c r="IE14" s="16" t="str">
        <f>IF(SUM(HL14:HO14)-HP14&gt;0,SUM(HL14:HO14)-HP14,"")</f>
        <v/>
      </c>
      <c r="IF14" s="16" t="str">
        <f>IF(HS14&gt;0,HS14,"")</f>
        <v/>
      </c>
      <c r="IG14" s="16" t="str">
        <f>IF(HT14&gt;0,HT14,"")</f>
        <v/>
      </c>
      <c r="IH14" s="16" t="str">
        <f>IF(SUM(HQ14:HT14)-HU14&gt;0,SUM(HQ14:HT14)-HU14,"")</f>
        <v/>
      </c>
      <c r="II14" s="16" t="str">
        <f>IF(SUM(IB14,IH14)&gt;0,SUM(IB14,IH14),"")</f>
        <v/>
      </c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76" t="str">
        <f>IF(IL14&gt;0,IL14,"")</f>
        <v/>
      </c>
      <c r="JE14" s="76" t="str">
        <f>IF(IM14&gt;0,IM14,"")</f>
        <v/>
      </c>
      <c r="JF14" s="76" t="str">
        <f>IF(SUM(IJ14:IM14)-IN14&gt;0,SUM(IJ14:IM14)-IN14,"")</f>
        <v/>
      </c>
      <c r="JG14" s="76" t="str">
        <f>IF(IQ14&gt;0,IQ14,"")</f>
        <v/>
      </c>
      <c r="JH14" s="76" t="str">
        <f>IF(IR14&gt;0,IR14,"")</f>
        <v/>
      </c>
      <c r="JI14" s="76" t="str">
        <f>IF(SUM(IO14:IR14)-IS14&gt;0,SUM(IO14:IR14)-IS14,"")</f>
        <v/>
      </c>
      <c r="JJ14" s="76" t="str">
        <f>IF(MAX(JF14,JI14)&gt;0,MAX(JF14,JI14),"")</f>
        <v/>
      </c>
      <c r="JK14" s="76" t="str">
        <f>IF(IV14&gt;0,IV14,"")</f>
        <v/>
      </c>
      <c r="JL14" s="76" t="str">
        <f>IF(IW14&gt;0,IW14,"")</f>
        <v/>
      </c>
      <c r="JM14" s="76" t="str">
        <f>IF(SUM(IT14:IW14)-IX14&gt;0,SUM(IT14:IW14)-IX14,"")</f>
        <v/>
      </c>
      <c r="JN14" s="76" t="str">
        <f>IF(JA14&gt;0,JA14,"")</f>
        <v/>
      </c>
      <c r="JO14" s="76" t="str">
        <f>IF(JB14&gt;0,JB14,"")</f>
        <v/>
      </c>
      <c r="JP14" s="76" t="str">
        <f>IF(SUM(IY14:JB14)-JC14&gt;0,SUM(IY14:JB14)-JC14,"")</f>
        <v/>
      </c>
      <c r="JQ14" s="76" t="str">
        <f>IF(SUM(JJ14,JP14)&gt;0,SUM(JJ14,JP14),"")</f>
        <v/>
      </c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16" t="str">
        <f>IF(JT14&gt;0,JT14,"")</f>
        <v/>
      </c>
      <c r="KM14" s="16" t="str">
        <f>IF(JU14&gt;0,JU14,"")</f>
        <v/>
      </c>
      <c r="KN14" s="16" t="str">
        <f>IF(SUM(JR14:JU14)-JV14&gt;0,SUM(JR14:JU14)-JV14,"")</f>
        <v/>
      </c>
      <c r="KO14" s="16" t="str">
        <f>IF(JY14&gt;0,JY14,"")</f>
        <v/>
      </c>
      <c r="KP14" s="16" t="str">
        <f>IF(JZ14&gt;0,JZ14,"")</f>
        <v/>
      </c>
      <c r="KQ14" s="16" t="str">
        <f>IF(SUM(JW14:JZ14)-KA14&gt;0,SUM(JW14:JZ14)-KA14,"")</f>
        <v/>
      </c>
      <c r="KR14" s="16" t="str">
        <f>IF(MAX(KN14,KQ14)&gt;0,MAX(KN14,KQ14),"")</f>
        <v/>
      </c>
      <c r="KS14" s="16" t="str">
        <f>IF(KD14&gt;0,KD14,"")</f>
        <v/>
      </c>
      <c r="KT14" s="16" t="str">
        <f>IF(KE14&gt;0,KE14,"")</f>
        <v/>
      </c>
      <c r="KU14" s="16" t="str">
        <f>IF(SUM(KB14:KE14)-KF14&gt;0,SUM(KB14:KE14)-KF14,"")</f>
        <v/>
      </c>
      <c r="KV14" s="16" t="str">
        <f>IF(KI14&gt;0,KI14,"")</f>
        <v/>
      </c>
      <c r="KW14" s="16" t="str">
        <f>IF(KJ14&gt;0,KJ14,"")</f>
        <v/>
      </c>
      <c r="KX14" s="16" t="str">
        <f>IF(SUM(KG14:KJ14)-KK14&gt;0,SUM(KG14:KJ14)-KK14,"")</f>
        <v/>
      </c>
      <c r="KY14" s="16" t="str">
        <f>IF(SUM(KR14,KX14)&gt;0,SUM(KR14,KX14),"")</f>
        <v/>
      </c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76" t="str">
        <f>IF(LB14&gt;0,LB14,"")</f>
        <v/>
      </c>
      <c r="LU14" s="76" t="str">
        <f>IF(LC14&gt;0,LC14,"")</f>
        <v/>
      </c>
      <c r="LV14" s="76" t="str">
        <f>IF(SUM(KZ14:LC14)-LD14&gt;0,SUM(KZ14:LC14)-LD14,"")</f>
        <v/>
      </c>
      <c r="LW14" s="76" t="str">
        <f>IF(LG14&gt;0,LG14,"")</f>
        <v/>
      </c>
      <c r="LX14" s="76" t="str">
        <f>IF(LH14&gt;0,LH14,"")</f>
        <v/>
      </c>
      <c r="LY14" s="76" t="str">
        <f>IF(SUM(LE14:LH14)-LI14&gt;0,SUM(LE14:LH14)-LI14,"")</f>
        <v/>
      </c>
      <c r="LZ14" s="76" t="str">
        <f>IF(MAX(LV14,LY14)&gt;0,MAX(LV14,LY14),"")</f>
        <v/>
      </c>
      <c r="MA14" s="76" t="str">
        <f>IF(LL14&gt;0,LL14,"")</f>
        <v/>
      </c>
      <c r="MB14" s="76" t="str">
        <f>IF(LM14&gt;0,LM14,"")</f>
        <v/>
      </c>
      <c r="MC14" s="76" t="str">
        <f>IF(SUM(LJ14:LM14)-LN14&gt;0,SUM(LJ14:LM14)-LN14,"")</f>
        <v/>
      </c>
      <c r="MD14" s="76" t="str">
        <f>IF(LQ14&gt;0,LQ14,"")</f>
        <v/>
      </c>
      <c r="ME14" s="76" t="str">
        <f>IF(LR14&gt;0,LR14,"")</f>
        <v/>
      </c>
      <c r="MF14" s="76" t="str">
        <f>IF(SUM(LO14:LR14)-LS14&gt;0,SUM(LO14:LR14)-LS14,"")</f>
        <v/>
      </c>
      <c r="MG14" s="76" t="str">
        <f>IF(SUM(LZ14,MF14)&gt;0,SUM(LZ14,MF14),"")</f>
        <v/>
      </c>
      <c r="MH14" s="26"/>
      <c r="MI14" s="26"/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16" t="str">
        <f>IF(MJ14&gt;0,MJ14,"")</f>
        <v/>
      </c>
      <c r="NC14" s="16" t="str">
        <f>IF(MK14&gt;0,MK14,"")</f>
        <v/>
      </c>
      <c r="ND14" s="16" t="str">
        <f>IF(SUM(MH14:MK14)-ML14&gt;0,SUM(MH14:MK14)-ML14,"")</f>
        <v/>
      </c>
      <c r="NE14" s="16" t="str">
        <f>IF(MO14&gt;0,MO14,"")</f>
        <v/>
      </c>
      <c r="NF14" s="16" t="str">
        <f>IF(MP14&gt;0,MP14,"")</f>
        <v/>
      </c>
      <c r="NG14" s="16" t="str">
        <f>IF(SUM(MM14:MP14)-MQ14&gt;0,SUM(MM14:MP14)-MQ14,"")</f>
        <v/>
      </c>
      <c r="NH14" s="16" t="str">
        <f>IF(MAX(ND14,NG14)&gt;0,MAX(ND14,NG14),"")</f>
        <v/>
      </c>
      <c r="NI14" s="16" t="str">
        <f>IF(MT14&gt;0,MT14,"")</f>
        <v/>
      </c>
      <c r="NJ14" s="16" t="str">
        <f>IF(MU14&gt;0,MU14,"")</f>
        <v/>
      </c>
      <c r="NK14" s="16" t="str">
        <f>IF(SUM(MR14:MU14)-MV14&gt;0,SUM(MR14:MU14)-MV14,"")</f>
        <v/>
      </c>
      <c r="NL14" s="16" t="str">
        <f>IF(MY14&gt;0,MY14,"")</f>
        <v/>
      </c>
      <c r="NM14" s="16" t="str">
        <f>IF(MZ14&gt;0,MZ14,"")</f>
        <v/>
      </c>
      <c r="NN14" s="16" t="str">
        <f>IF(SUM(MW14:MZ14)-NA14&gt;0,SUM(MW14:MZ14)-NA14,"")</f>
        <v/>
      </c>
      <c r="NO14" s="16" t="str">
        <f>IF(SUM(NH14,NN14)&gt;0,SUM(NH14,NN14),"")</f>
        <v/>
      </c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76" t="str">
        <f>IF(NR14&gt;0,NR14,"")</f>
        <v/>
      </c>
      <c r="OK14" s="76" t="str">
        <f>IF(NS14&gt;0,NS14,"")</f>
        <v/>
      </c>
      <c r="OL14" s="76" t="str">
        <f>IF(SUM(NP14:NS14)-NT14&gt;0,SUM(NP14:NS14)-NT14,"")</f>
        <v/>
      </c>
      <c r="OM14" s="76" t="str">
        <f>IF(NW14&gt;0,NW14,"")</f>
        <v/>
      </c>
      <c r="ON14" s="76" t="str">
        <f>IF(NX14&gt;0,NX14,"")</f>
        <v/>
      </c>
      <c r="OO14" s="76" t="str">
        <f>IF(SUM(NU14:NX14)-NY14&gt;0,SUM(NU14:NX14)-NY14,"")</f>
        <v/>
      </c>
      <c r="OP14" s="76" t="str">
        <f>IF(MAX(OL14,OO14)&gt;0,MAX(OL14,OO14),"")</f>
        <v/>
      </c>
      <c r="OQ14" s="76" t="str">
        <f>IF(OB14&gt;0,OB14,"")</f>
        <v/>
      </c>
      <c r="OR14" s="76" t="str">
        <f>IF(OC14&gt;0,OC14,"")</f>
        <v/>
      </c>
      <c r="OS14" s="76" t="str">
        <f>IF(SUM(NZ14:OC14)-OD14&gt;0,SUM(NZ14:OC14)-OD14,"")</f>
        <v/>
      </c>
      <c r="OT14" s="76" t="str">
        <f>IF(OG14&gt;0,OG14,"")</f>
        <v/>
      </c>
      <c r="OU14" s="76" t="str">
        <f>IF(OH14&gt;0,OH14,"")</f>
        <v/>
      </c>
      <c r="OV14" s="76" t="str">
        <f>IF(SUM(OE14:OH14)-OI14&gt;0,SUM(OE14:OH14)-OI14,"")</f>
        <v/>
      </c>
      <c r="OW14" s="76" t="str">
        <f>IF(SUM(OP14,OV14)&gt;0,SUM(OP14,OV14),"")</f>
        <v/>
      </c>
      <c r="OX14" s="26"/>
      <c r="OY14" s="26"/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16" t="str">
        <f>IF(OZ14&gt;0,OZ14,"")</f>
        <v/>
      </c>
      <c r="PS14" s="16" t="str">
        <f>IF(PA14&gt;0,PA14,"")</f>
        <v/>
      </c>
      <c r="PT14" s="16" t="str">
        <f>IF(SUM(OX14:PA14)-PB14&gt;0,SUM(OX14:PA14)-PB14,"")</f>
        <v/>
      </c>
      <c r="PU14" s="16" t="str">
        <f>IF(PE14&gt;0,PE14,"")</f>
        <v/>
      </c>
      <c r="PV14" s="16" t="str">
        <f>IF(PF14&gt;0,PF14,"")</f>
        <v/>
      </c>
      <c r="PW14" s="16" t="str">
        <f>IF(SUM(PC14:PF14)-PG14&gt;0,SUM(PC14:PF14)-PG14,"")</f>
        <v/>
      </c>
      <c r="PX14" s="16" t="str">
        <f>IF(MAX(PT14,PW14)&gt;0,MAX(PT14,PW14),"")</f>
        <v/>
      </c>
      <c r="PY14" s="16" t="str">
        <f>IF(PJ14&gt;0,PJ14,"")</f>
        <v/>
      </c>
      <c r="PZ14" s="16" t="str">
        <f>IF(PK14&gt;0,PK14,"")</f>
        <v/>
      </c>
      <c r="QA14" s="16" t="str">
        <f>IF(SUM(PH14:PK14)-PL14&gt;0,SUM(PH14:PK14)-PL14,"")</f>
        <v/>
      </c>
      <c r="QB14" s="16" t="str">
        <f>IF(PO14&gt;0,PO14,"")</f>
        <v/>
      </c>
      <c r="QC14" s="16" t="str">
        <f>IF(PP14&gt;0,PP14,"")</f>
        <v/>
      </c>
      <c r="QD14" s="16" t="str">
        <f>IF(SUM(PM14:PP14)-PQ14&gt;0,SUM(PM14:PP14)-PQ14,"")</f>
        <v/>
      </c>
      <c r="QE14" s="16" t="str">
        <f>IF(SUM(PX14,QD14)&gt;0,SUM(PX14,QD14),"")</f>
        <v/>
      </c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76" t="str">
        <f>IF(QH14&gt;0,QH14,"")</f>
        <v/>
      </c>
      <c r="RA14" s="76" t="str">
        <f>IF(QI14&gt;0,QI14,"")</f>
        <v/>
      </c>
      <c r="RB14" s="76" t="str">
        <f>IF(SUM(QF14:QI14)-QJ14&gt;0,SUM(QF14:QI14)-QJ14,"")</f>
        <v/>
      </c>
      <c r="RC14" s="76" t="str">
        <f>IF(QM14&gt;0,QM14,"")</f>
        <v/>
      </c>
      <c r="RD14" s="76" t="str">
        <f>IF(QN14&gt;0,QN14,"")</f>
        <v/>
      </c>
      <c r="RE14" s="76" t="str">
        <f>IF(SUM(QK14:QN14)-QO14&gt;0,SUM(QK14:QN14)-QO14,"")</f>
        <v/>
      </c>
      <c r="RF14" s="76" t="str">
        <f>IF(MAX(RB14,RE14)&gt;0,MAX(RB14,RE14),"")</f>
        <v/>
      </c>
      <c r="RG14" s="76" t="str">
        <f>IF(QR14&gt;0,QR14,"")</f>
        <v/>
      </c>
      <c r="RH14" s="76" t="str">
        <f>IF(QS14&gt;0,QS14,"")</f>
        <v/>
      </c>
      <c r="RI14" s="76" t="str">
        <f>IF(SUM(QP14:QS14)-QT14&gt;0,SUM(QP14:QS14)-QT14,"")</f>
        <v/>
      </c>
      <c r="RJ14" s="76" t="str">
        <f>IF(QW14&gt;0,QW14,"")</f>
        <v/>
      </c>
      <c r="RK14" s="76" t="str">
        <f>IF(QX14&gt;0,QX14,"")</f>
        <v/>
      </c>
      <c r="RL14" s="76" t="str">
        <f>IF(SUM(QU14:QX14)-QY14&gt;0,SUM(QU14:QX14)-QY14,"")</f>
        <v/>
      </c>
      <c r="RM14" s="76" t="str">
        <f>IF(SUM(RF14,RL14)&gt;0,SUM(RF14,RL14),"")</f>
        <v/>
      </c>
      <c r="RN14" s="26"/>
      <c r="RO14" s="26"/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16" t="str">
        <f>IF(RP14&gt;0,RP14,"")</f>
        <v/>
      </c>
      <c r="SI14" s="16" t="str">
        <f>IF(RQ14&gt;0,RQ14,"")</f>
        <v/>
      </c>
      <c r="SJ14" s="16" t="str">
        <f>IF(SUM(RN14:RQ14)-RR14&gt;0,SUM(RN14:RQ14)-RR14,"")</f>
        <v/>
      </c>
      <c r="SK14" s="16" t="str">
        <f>IF(RU14&gt;0,RU14,"")</f>
        <v/>
      </c>
      <c r="SL14" s="16" t="str">
        <f>IF(RV14&gt;0,RV14,"")</f>
        <v/>
      </c>
      <c r="SM14" s="16" t="str">
        <f>IF(SUM(RS14:RV14)-RW14&gt;0,SUM(RS14:RV14)-RW14,"")</f>
        <v/>
      </c>
      <c r="SN14" s="16" t="str">
        <f>IF(MAX(SJ14,SM14)&gt;0,MAX(SJ14,SM14),"")</f>
        <v/>
      </c>
      <c r="SO14" s="16" t="str">
        <f>IF(RZ14&gt;0,RZ14,"")</f>
        <v/>
      </c>
      <c r="SP14" s="16" t="str">
        <f>IF(SA14&gt;0,SA14,"")</f>
        <v/>
      </c>
      <c r="SQ14" s="16" t="str">
        <f>IF(SUM(RX14:SA14)-SB14&gt;0,SUM(RX14:SA14)-SB14,"")</f>
        <v/>
      </c>
      <c r="SR14" s="16" t="str">
        <f>IF(SE14&gt;0,SE14,"")</f>
        <v/>
      </c>
      <c r="SS14" s="16" t="str">
        <f>IF(SF14&gt;0,SF14,"")</f>
        <v/>
      </c>
      <c r="ST14" s="16" t="str">
        <f>IF(SUM(SC14:SF14)-SG14&gt;0,SUM(SC14:SF14)-SG14,"")</f>
        <v/>
      </c>
      <c r="SU14" s="16" t="str">
        <f>IF(SUM(SN14,ST14)&gt;0,SUM(SN14,ST14),"")</f>
        <v/>
      </c>
      <c r="SV14" s="42">
        <f>IF($CP14="P",CA14,(CA14+AZ14)/2)</f>
        <v>7.55</v>
      </c>
      <c r="SW14" s="42">
        <f>IF($CP14="P",CB14,(CB14+BA14)/2)</f>
        <v>5.4499999999999993</v>
      </c>
      <c r="SX14" s="42">
        <f>IF($CP14="P",CC14,(CC14+BB14)/2)</f>
        <v>6.65</v>
      </c>
      <c r="SY14" s="42">
        <f>IF($CP14="P",CD14,(CD14+BC14)/2)</f>
        <v>8.5075000000000003</v>
      </c>
      <c r="SZ14" s="42">
        <f>IF($CP14="P",CE14,(CE14+BD14)/2)</f>
        <v>0.3</v>
      </c>
      <c r="TA14" s="42">
        <f>IF($CP14="P",CF14,(CF14+BE14)/2)</f>
        <v>12.350000000000001</v>
      </c>
      <c r="TB14" s="42">
        <f>IF($CP14="P",CG14,(CG14+BF14)/2)</f>
        <v>7.9</v>
      </c>
      <c r="TC14" s="42">
        <f>IF($CP14="P",CH14,(CH14+BG14)/2)</f>
        <v>8.8000000000000007</v>
      </c>
      <c r="TD14" s="42">
        <f>IF($CP14="P",CI14,(CI14+BH14)/2)</f>
        <v>13.1525</v>
      </c>
      <c r="TE14" s="42">
        <f>IF($CP14="P",CJ14,(CJ14+BI14)/2)</f>
        <v>0.3</v>
      </c>
      <c r="TF14" s="42">
        <f>IF($CP14="P",CK14,(CK14+BJ14)/2)</f>
        <v>13.350000000000001</v>
      </c>
      <c r="TG14" s="42">
        <f>IF($CP14="P",CL14,(CL14+BK14)/2)</f>
        <v>8.35</v>
      </c>
      <c r="TH14" s="42">
        <f>IF($CP14="P",CM14,(CM14+BL14)/2)</f>
        <v>10.199999999999999</v>
      </c>
      <c r="TI14" s="42">
        <f>IF($CP14="P",CN14,(CN14+BM14)/2)</f>
        <v>13.425000000000001</v>
      </c>
      <c r="TJ14" s="42">
        <f>IF($CP14="P",CO14,(CO14+BN14)/2)</f>
        <v>0.35</v>
      </c>
      <c r="TK14" s="51" t="s">
        <v>61</v>
      </c>
      <c r="TL14" s="76">
        <f>IF(SX14&gt;0,SX14,"")</f>
        <v>6.65</v>
      </c>
      <c r="TM14" s="76">
        <f>IF(SY14&gt;0,SY14,"")</f>
        <v>8.5075000000000003</v>
      </c>
      <c r="TN14" s="76">
        <f>IF(SUM(SV14:SY14)-SZ14&gt;0,SUM(SV14:SY14)-SZ14,"")</f>
        <v>27.857499999999998</v>
      </c>
      <c r="TO14" s="76">
        <f>IF(TC14&gt;0,TC14,"")</f>
        <v>8.8000000000000007</v>
      </c>
      <c r="TP14" s="76">
        <f>IF(TD14&gt;0,TD14,"")</f>
        <v>13.1525</v>
      </c>
      <c r="TQ14" s="76">
        <f>IF(SUM(TA14:TD14)-TE14&gt;0,SUM(TA14:TD14)-TE14,"")</f>
        <v>41.902500000000003</v>
      </c>
      <c r="TR14" s="76">
        <f>IF(MAX(TN14,TQ14)&gt;0,MAX(TN14,TQ14),"")</f>
        <v>41.902500000000003</v>
      </c>
      <c r="TS14" s="76">
        <f>IF(TH14&gt;0,TH14,"")</f>
        <v>10.199999999999999</v>
      </c>
      <c r="TT14" s="76">
        <f>IF(TI14&gt;0,TI14,"")</f>
        <v>13.425000000000001</v>
      </c>
      <c r="TU14" s="76">
        <f>IF(SUM(TF14:TI14)-TJ14&gt;0,SUM(TF14:TI14)-TJ14,"")</f>
        <v>44.975000000000001</v>
      </c>
      <c r="TV14" s="76">
        <f>IF(SUM(TR14,TU14)&gt;0,SUM(TR14,TU14),"")</f>
        <v>86.877499999999998</v>
      </c>
    </row>
    <row r="15" spans="1:542" x14ac:dyDescent="0.2">
      <c r="B15" s="6"/>
      <c r="D15" s="1"/>
    </row>
    <row r="16" spans="1:542" x14ac:dyDescent="0.2">
      <c r="G16" s="69"/>
      <c r="I16" s="69"/>
    </row>
    <row r="17" spans="1:544" x14ac:dyDescent="0.2">
      <c r="B17" s="43" t="s">
        <v>58</v>
      </c>
      <c r="C17" s="35"/>
      <c r="G17" s="3"/>
      <c r="AR17" s="77"/>
      <c r="AS17" s="77"/>
      <c r="AT17" s="77"/>
      <c r="AV17" s="56"/>
      <c r="AW17" s="56"/>
      <c r="AY17" s="78">
        <v>12.2</v>
      </c>
      <c r="BS17" s="77"/>
      <c r="BT17" s="77"/>
      <c r="BU17" s="77"/>
      <c r="BW17" s="56"/>
      <c r="BX17" s="56"/>
      <c r="BZ17" s="78">
        <v>12.2</v>
      </c>
      <c r="CT17" s="77"/>
      <c r="CU17" s="77"/>
      <c r="CV17" s="77"/>
      <c r="CX17" s="56"/>
      <c r="CY17" s="56"/>
      <c r="DA17" s="78">
        <v>12.7</v>
      </c>
      <c r="DX17" s="35"/>
      <c r="DY17" s="35"/>
      <c r="EH17" s="33"/>
      <c r="EI17" s="33"/>
      <c r="EK17" s="78">
        <v>12.2</v>
      </c>
      <c r="FF17" s="35"/>
      <c r="FG17" s="35"/>
      <c r="FP17" s="33"/>
      <c r="FQ17" s="33"/>
      <c r="FS17" s="78">
        <v>12.2</v>
      </c>
      <c r="GN17" s="35"/>
      <c r="GO17" s="35"/>
      <c r="GX17" s="33"/>
      <c r="GY17" s="33"/>
      <c r="HA17" s="78">
        <v>12.2</v>
      </c>
      <c r="HV17" s="35"/>
      <c r="HW17" s="35"/>
      <c r="IF17" s="33"/>
      <c r="IG17" s="33"/>
      <c r="II17" s="78">
        <v>12.2</v>
      </c>
      <c r="JD17" s="35"/>
      <c r="JE17" s="35"/>
      <c r="JN17" s="33"/>
      <c r="JO17" s="33"/>
      <c r="JQ17" s="78">
        <v>12.2</v>
      </c>
      <c r="KL17" s="35"/>
      <c r="KM17" s="35"/>
      <c r="KV17" s="33"/>
      <c r="KW17" s="33"/>
      <c r="KY17" s="78">
        <v>12.2</v>
      </c>
      <c r="LT17" s="35"/>
      <c r="LU17" s="35"/>
      <c r="MD17" s="33"/>
      <c r="ME17" s="33"/>
      <c r="MG17" s="78">
        <v>12.2</v>
      </c>
      <c r="NB17" s="35"/>
      <c r="NC17" s="35"/>
      <c r="NL17" s="33"/>
      <c r="NM17" s="33"/>
      <c r="NO17" s="78">
        <v>12.7</v>
      </c>
      <c r="OJ17" s="35"/>
      <c r="OK17" s="35"/>
      <c r="OT17" s="33"/>
      <c r="OU17" s="33"/>
      <c r="OW17" s="78">
        <v>12.2</v>
      </c>
      <c r="PR17" s="35"/>
      <c r="PS17" s="35"/>
      <c r="QB17" s="33"/>
      <c r="QC17" s="33"/>
      <c r="QE17" s="78">
        <v>12.7</v>
      </c>
      <c r="QZ17" s="35"/>
      <c r="RA17" s="35"/>
      <c r="RJ17" s="33"/>
      <c r="RK17" s="33"/>
      <c r="RM17" s="78">
        <v>12.7</v>
      </c>
      <c r="SH17" s="35"/>
      <c r="SI17" s="35"/>
      <c r="SR17" s="33"/>
      <c r="SS17" s="33"/>
      <c r="SU17" s="78">
        <v>12.7</v>
      </c>
    </row>
    <row r="18" spans="1:544" x14ac:dyDescent="0.2">
      <c r="B18" s="54" t="s">
        <v>57</v>
      </c>
      <c r="C18" s="35"/>
      <c r="X18" s="2"/>
      <c r="AR18" s="77"/>
      <c r="AS18" s="77"/>
      <c r="AT18" s="77"/>
      <c r="AV18" s="56"/>
      <c r="AW18" s="56"/>
      <c r="AY18" s="79">
        <v>13.1</v>
      </c>
      <c r="BS18" s="77"/>
      <c r="BT18" s="77"/>
      <c r="BU18" s="77"/>
      <c r="BW18" s="56"/>
      <c r="BX18" s="56"/>
      <c r="BZ18" s="79">
        <v>13.1</v>
      </c>
      <c r="CT18" s="77"/>
      <c r="CU18" s="77"/>
      <c r="CV18" s="77"/>
      <c r="CX18" s="56"/>
      <c r="CY18" s="56"/>
      <c r="DA18" s="79">
        <v>13.1</v>
      </c>
      <c r="DX18" s="35"/>
      <c r="DY18" s="35"/>
      <c r="EH18" s="33"/>
      <c r="EI18" s="33"/>
      <c r="EK18" s="79">
        <v>13.1</v>
      </c>
      <c r="FF18" s="35"/>
      <c r="FG18" s="35"/>
      <c r="FP18" s="33"/>
      <c r="FQ18" s="33"/>
      <c r="FS18" s="79">
        <v>13.1</v>
      </c>
      <c r="GN18" s="35"/>
      <c r="GO18" s="35"/>
      <c r="GX18" s="33"/>
      <c r="GY18" s="33"/>
      <c r="HA18" s="79">
        <v>13.1</v>
      </c>
      <c r="HV18" s="35"/>
      <c r="HW18" s="35"/>
      <c r="IF18" s="33"/>
      <c r="IG18" s="33"/>
      <c r="II18" s="79">
        <v>13.1</v>
      </c>
      <c r="JD18" s="35"/>
      <c r="JE18" s="35"/>
      <c r="JN18" s="33"/>
      <c r="JO18" s="33"/>
      <c r="JQ18" s="79">
        <v>13.1</v>
      </c>
      <c r="KL18" s="35"/>
      <c r="KM18" s="35"/>
      <c r="KV18" s="33"/>
      <c r="KW18" s="33"/>
      <c r="KY18" s="79">
        <v>13.1</v>
      </c>
      <c r="LT18" s="35"/>
      <c r="LU18" s="35"/>
      <c r="MD18" s="33"/>
      <c r="ME18" s="33"/>
      <c r="MG18" s="79">
        <v>13.1</v>
      </c>
      <c r="NB18" s="35"/>
      <c r="NC18" s="35"/>
      <c r="NL18" s="33"/>
      <c r="NM18" s="33"/>
      <c r="NO18" s="79">
        <v>13.1</v>
      </c>
      <c r="OJ18" s="35"/>
      <c r="OK18" s="35"/>
      <c r="OT18" s="33"/>
      <c r="OU18" s="33"/>
      <c r="OW18" s="79">
        <v>13.1</v>
      </c>
      <c r="PR18" s="35"/>
      <c r="PS18" s="35"/>
      <c r="QB18" s="33"/>
      <c r="QC18" s="33"/>
      <c r="QE18" s="79">
        <v>13.1</v>
      </c>
      <c r="QZ18" s="35"/>
      <c r="RA18" s="35"/>
      <c r="RJ18" s="33"/>
      <c r="RK18" s="33"/>
      <c r="RM18" s="79">
        <v>13.1</v>
      </c>
      <c r="SH18" s="35"/>
      <c r="SI18" s="35"/>
      <c r="SR18" s="33"/>
      <c r="SS18" s="33"/>
      <c r="SU18" s="79">
        <v>13.1</v>
      </c>
    </row>
    <row r="19" spans="1:544" x14ac:dyDescent="0.2">
      <c r="A19" s="35"/>
      <c r="B19" s="55" t="s">
        <v>71</v>
      </c>
      <c r="C19" s="35"/>
      <c r="E19" s="2"/>
      <c r="AR19" s="77"/>
      <c r="AS19" s="77"/>
      <c r="AT19" s="77"/>
      <c r="AU19" s="56"/>
      <c r="AV19" s="56"/>
      <c r="AW19" s="56"/>
      <c r="AX19" s="56"/>
      <c r="AY19" s="80">
        <v>13.1</v>
      </c>
      <c r="BS19" s="77"/>
      <c r="BT19" s="77"/>
      <c r="BU19" s="77"/>
      <c r="BW19" s="56"/>
      <c r="BX19" s="56"/>
      <c r="BZ19" s="80">
        <v>13.1</v>
      </c>
      <c r="CT19" s="77"/>
      <c r="CU19" s="77"/>
      <c r="CV19" s="77"/>
      <c r="CW19" s="56"/>
      <c r="CX19" s="56"/>
      <c r="CY19" s="56"/>
      <c r="CZ19" s="56"/>
      <c r="DA19" s="80">
        <v>13.5</v>
      </c>
      <c r="DX19" s="35"/>
      <c r="DY19" s="35"/>
      <c r="EH19" s="33"/>
      <c r="EI19" s="33"/>
      <c r="EK19" s="80">
        <v>13.1</v>
      </c>
      <c r="FF19" s="35"/>
      <c r="FG19" s="35"/>
      <c r="FP19" s="33"/>
      <c r="FQ19" s="33"/>
      <c r="FS19" s="80">
        <v>13.1</v>
      </c>
      <c r="GN19" s="35"/>
      <c r="GO19" s="35"/>
      <c r="GX19" s="33"/>
      <c r="GY19" s="33"/>
      <c r="HA19" s="80">
        <v>13.1</v>
      </c>
      <c r="HV19" s="35"/>
      <c r="HW19" s="35"/>
      <c r="IF19" s="33"/>
      <c r="IG19" s="33"/>
      <c r="II19" s="80">
        <v>13.1</v>
      </c>
      <c r="JD19" s="35"/>
      <c r="JE19" s="35"/>
      <c r="JN19" s="33"/>
      <c r="JO19" s="33"/>
      <c r="JQ19" s="80">
        <v>13.1</v>
      </c>
      <c r="KL19" s="35"/>
      <c r="KM19" s="35"/>
      <c r="KV19" s="33"/>
      <c r="KW19" s="33"/>
      <c r="KY19" s="80">
        <v>13.1</v>
      </c>
      <c r="LT19" s="35"/>
      <c r="LU19" s="35"/>
      <c r="MD19" s="33"/>
      <c r="ME19" s="33"/>
      <c r="MG19" s="80">
        <v>13.1</v>
      </c>
      <c r="NB19" s="35"/>
      <c r="NC19" s="35"/>
      <c r="NL19" s="33"/>
      <c r="NM19" s="33"/>
      <c r="NO19" s="80">
        <v>13.5</v>
      </c>
      <c r="OJ19" s="35"/>
      <c r="OK19" s="35"/>
      <c r="OT19" s="33"/>
      <c r="OU19" s="33"/>
      <c r="OW19" s="80">
        <v>13.1</v>
      </c>
      <c r="PR19" s="35"/>
      <c r="PS19" s="35"/>
      <c r="QB19" s="33"/>
      <c r="QC19" s="33"/>
      <c r="QE19" s="80">
        <v>13.5</v>
      </c>
      <c r="QZ19" s="35"/>
      <c r="RA19" s="35"/>
      <c r="RJ19" s="33"/>
      <c r="RK19" s="33"/>
      <c r="RM19" s="80">
        <v>13.5</v>
      </c>
      <c r="SH19" s="35"/>
      <c r="SI19" s="35"/>
      <c r="SR19" s="33"/>
      <c r="SS19" s="33"/>
      <c r="SU19" s="80">
        <v>13.5</v>
      </c>
    </row>
    <row r="20" spans="1:544" x14ac:dyDescent="0.2">
      <c r="A20" s="35"/>
      <c r="B20" s="66" t="s">
        <v>86</v>
      </c>
      <c r="C20" s="35"/>
      <c r="E20" s="2"/>
      <c r="AR20" s="77"/>
      <c r="AS20" s="77"/>
      <c r="AT20" s="77"/>
      <c r="AU20" s="56"/>
      <c r="AV20" s="56"/>
      <c r="AW20" s="56"/>
      <c r="AX20" s="56"/>
      <c r="AY20" s="81">
        <v>13.1</v>
      </c>
      <c r="BS20" s="77"/>
      <c r="BT20" s="77"/>
      <c r="BU20" s="77"/>
      <c r="BW20" s="56"/>
      <c r="BX20" s="56"/>
      <c r="BZ20" s="81">
        <v>13.1</v>
      </c>
      <c r="CT20" s="77"/>
      <c r="CU20" s="77"/>
      <c r="CV20" s="77"/>
      <c r="CW20" s="56"/>
      <c r="CX20" s="56"/>
      <c r="CY20" s="56"/>
      <c r="CZ20" s="56"/>
      <c r="DA20" s="81">
        <v>14</v>
      </c>
      <c r="DX20" s="35"/>
      <c r="DY20" s="35"/>
      <c r="EH20" s="33"/>
      <c r="EI20" s="33"/>
      <c r="EK20" s="81">
        <v>13.1</v>
      </c>
      <c r="FF20" s="35"/>
      <c r="FG20" s="35"/>
      <c r="FP20" s="33"/>
      <c r="FQ20" s="33"/>
      <c r="FS20" s="81">
        <v>13.1</v>
      </c>
      <c r="GN20" s="35"/>
      <c r="GO20" s="35"/>
      <c r="GX20" s="33"/>
      <c r="GY20" s="33"/>
      <c r="HA20" s="81">
        <v>13.1</v>
      </c>
      <c r="HV20" s="35"/>
      <c r="HW20" s="35"/>
      <c r="IF20" s="33"/>
      <c r="IG20" s="33"/>
      <c r="II20" s="81">
        <v>13.1</v>
      </c>
      <c r="JD20" s="35"/>
      <c r="JE20" s="35"/>
      <c r="JN20" s="33"/>
      <c r="JO20" s="33"/>
      <c r="JQ20" s="81">
        <v>13.1</v>
      </c>
      <c r="KL20" s="35"/>
      <c r="KM20" s="35"/>
      <c r="KV20" s="33"/>
      <c r="KW20" s="33"/>
      <c r="KY20" s="81">
        <v>13.1</v>
      </c>
      <c r="LT20" s="35"/>
      <c r="LU20" s="35"/>
      <c r="MD20" s="33"/>
      <c r="ME20" s="33"/>
      <c r="MG20" s="81">
        <v>13.1</v>
      </c>
      <c r="NB20" s="35"/>
      <c r="NC20" s="35"/>
      <c r="NL20" s="33"/>
      <c r="NM20" s="33"/>
      <c r="NO20" s="81">
        <v>14</v>
      </c>
      <c r="OJ20" s="35"/>
      <c r="OK20" s="35"/>
      <c r="OT20" s="33"/>
      <c r="OU20" s="33"/>
      <c r="OW20" s="81">
        <v>13.1</v>
      </c>
      <c r="PR20" s="35"/>
      <c r="PS20" s="35"/>
      <c r="QB20" s="33"/>
      <c r="QC20" s="33"/>
      <c r="QE20" s="81">
        <v>14</v>
      </c>
      <c r="QZ20" s="35"/>
      <c r="RA20" s="35"/>
      <c r="RJ20" s="33"/>
      <c r="RK20" s="33"/>
      <c r="RM20" s="81">
        <v>14</v>
      </c>
      <c r="SH20" s="35"/>
      <c r="SI20" s="35"/>
      <c r="SR20" s="33"/>
      <c r="SS20" s="33"/>
      <c r="SU20" s="81">
        <v>14</v>
      </c>
    </row>
    <row r="21" spans="1:544" x14ac:dyDescent="0.2">
      <c r="A21" s="35"/>
      <c r="B21" s="65" t="s">
        <v>55</v>
      </c>
      <c r="C21" s="35"/>
      <c r="P21" s="2"/>
      <c r="AR21" s="77"/>
      <c r="AS21" s="77"/>
      <c r="AT21" s="77"/>
      <c r="AU21" s="56"/>
      <c r="AV21" s="56"/>
      <c r="AW21" s="56"/>
      <c r="AX21" s="56"/>
      <c r="AY21" s="82">
        <v>50.795000000000002</v>
      </c>
      <c r="BS21" s="77"/>
      <c r="BT21" s="77"/>
      <c r="BU21" s="77"/>
      <c r="BW21" s="56"/>
      <c r="BX21" s="56"/>
      <c r="BZ21" s="82">
        <v>52</v>
      </c>
      <c r="CT21" s="77"/>
      <c r="CU21" s="77"/>
      <c r="CV21" s="77"/>
      <c r="CW21" s="56"/>
      <c r="CX21" s="56"/>
      <c r="CY21" s="56"/>
      <c r="CZ21" s="56"/>
      <c r="DA21" s="82">
        <v>49.5</v>
      </c>
      <c r="DX21" s="35"/>
      <c r="DY21" s="35"/>
      <c r="EH21" s="33"/>
      <c r="EI21" s="33"/>
      <c r="EK21" s="82">
        <v>53</v>
      </c>
      <c r="FF21" s="35"/>
      <c r="FG21" s="35"/>
      <c r="FP21" s="33"/>
      <c r="FQ21" s="33"/>
      <c r="FS21" s="82">
        <v>53</v>
      </c>
      <c r="GN21" s="35"/>
      <c r="GO21" s="35"/>
      <c r="GX21" s="33"/>
      <c r="GY21" s="33"/>
      <c r="HA21" s="82">
        <v>53</v>
      </c>
      <c r="HV21" s="35"/>
      <c r="HW21" s="35"/>
      <c r="IF21" s="33"/>
      <c r="IG21" s="33"/>
      <c r="II21" s="82">
        <v>53</v>
      </c>
      <c r="JD21" s="35"/>
      <c r="JE21" s="35"/>
      <c r="JN21" s="33"/>
      <c r="JO21" s="33"/>
      <c r="JQ21" s="82">
        <v>53</v>
      </c>
      <c r="KL21" s="35"/>
      <c r="KM21" s="35"/>
      <c r="KV21" s="33"/>
      <c r="KW21" s="33"/>
      <c r="KY21" s="82">
        <v>53</v>
      </c>
      <c r="LT21" s="35"/>
      <c r="LU21" s="35"/>
      <c r="MD21" s="33"/>
      <c r="ME21" s="33"/>
      <c r="MG21" s="82">
        <v>53</v>
      </c>
      <c r="NB21" s="35"/>
      <c r="NC21" s="35"/>
      <c r="NL21" s="33"/>
      <c r="NM21" s="33"/>
      <c r="NO21" s="82">
        <v>49.5</v>
      </c>
      <c r="OJ21" s="35"/>
      <c r="OK21" s="35"/>
      <c r="OT21" s="33"/>
      <c r="OU21" s="33"/>
      <c r="OW21" s="82">
        <v>53</v>
      </c>
      <c r="PR21" s="35"/>
      <c r="PS21" s="35"/>
      <c r="QB21" s="33"/>
      <c r="QC21" s="33"/>
      <c r="QE21" s="82">
        <v>49.5</v>
      </c>
      <c r="QZ21" s="35"/>
      <c r="RA21" s="35"/>
      <c r="RJ21" s="33"/>
      <c r="RK21" s="33"/>
      <c r="RM21" s="82">
        <v>49.5</v>
      </c>
      <c r="SH21" s="35"/>
      <c r="SI21" s="35"/>
      <c r="SR21" s="33"/>
      <c r="SS21" s="33"/>
      <c r="SU21" s="82">
        <v>49.5</v>
      </c>
    </row>
    <row r="22" spans="1:544" x14ac:dyDescent="0.2">
      <c r="A22" s="35"/>
      <c r="B22" s="44" t="s">
        <v>56</v>
      </c>
      <c r="C22" s="35"/>
      <c r="P22" s="2"/>
      <c r="AR22" s="77"/>
      <c r="AS22" s="77"/>
      <c r="AT22" s="77"/>
      <c r="AU22" s="56"/>
      <c r="AV22" s="56"/>
      <c r="AW22" s="56"/>
      <c r="AX22" s="56"/>
      <c r="AY22" s="83">
        <v>52</v>
      </c>
      <c r="BS22" s="77"/>
      <c r="BT22" s="77"/>
      <c r="BU22" s="77"/>
      <c r="BW22" s="56"/>
      <c r="BX22" s="56"/>
      <c r="BZ22" s="83">
        <v>52</v>
      </c>
      <c r="CT22" s="77"/>
      <c r="CU22" s="77"/>
      <c r="CV22" s="77"/>
      <c r="CW22" s="56"/>
      <c r="CX22" s="56"/>
      <c r="CY22" s="56"/>
      <c r="CZ22" s="56"/>
      <c r="DA22" s="83">
        <v>51.3</v>
      </c>
      <c r="DX22" s="35"/>
      <c r="DY22" s="35"/>
      <c r="EH22" s="33"/>
      <c r="EI22" s="33"/>
      <c r="EK22" s="83">
        <v>53</v>
      </c>
      <c r="FF22" s="35"/>
      <c r="FG22" s="35"/>
      <c r="FP22" s="33"/>
      <c r="FQ22" s="33"/>
      <c r="FS22" s="83">
        <v>53</v>
      </c>
      <c r="GN22" s="35"/>
      <c r="GO22" s="35"/>
      <c r="GX22" s="33"/>
      <c r="GY22" s="33"/>
      <c r="HA22" s="83">
        <v>53</v>
      </c>
      <c r="HV22" s="35"/>
      <c r="HW22" s="35"/>
      <c r="IF22" s="33"/>
      <c r="IG22" s="33"/>
      <c r="II22" s="83">
        <v>53</v>
      </c>
      <c r="JD22" s="35"/>
      <c r="JE22" s="35"/>
      <c r="JN22" s="33"/>
      <c r="JO22" s="33"/>
      <c r="JQ22" s="83">
        <v>53</v>
      </c>
      <c r="KL22" s="35"/>
      <c r="KM22" s="35"/>
      <c r="KV22" s="33"/>
      <c r="KW22" s="33"/>
      <c r="KY22" s="83">
        <v>53</v>
      </c>
      <c r="LT22" s="35"/>
      <c r="LU22" s="35"/>
      <c r="MD22" s="33"/>
      <c r="ME22" s="33"/>
      <c r="MG22" s="83">
        <v>53</v>
      </c>
      <c r="NB22" s="35"/>
      <c r="NC22" s="35"/>
      <c r="NL22" s="33"/>
      <c r="NM22" s="33"/>
      <c r="NO22" s="83">
        <v>51.3</v>
      </c>
      <c r="OJ22" s="35"/>
      <c r="OK22" s="35"/>
      <c r="OT22" s="33"/>
      <c r="OU22" s="33"/>
      <c r="OW22" s="83">
        <v>53</v>
      </c>
      <c r="PR22" s="35"/>
      <c r="PS22" s="35"/>
      <c r="QB22" s="33"/>
      <c r="QC22" s="33"/>
      <c r="QE22" s="83">
        <v>51.3</v>
      </c>
      <c r="QZ22" s="35"/>
      <c r="RA22" s="35"/>
      <c r="RJ22" s="33"/>
      <c r="RK22" s="33"/>
      <c r="RM22" s="83">
        <v>51.3</v>
      </c>
      <c r="SH22" s="35"/>
      <c r="SI22" s="35"/>
      <c r="SR22" s="33"/>
      <c r="SS22" s="33"/>
      <c r="SU22" s="83">
        <v>51.3</v>
      </c>
    </row>
    <row r="23" spans="1:544" x14ac:dyDescent="0.2">
      <c r="A23" s="35"/>
      <c r="B23" s="64" t="s">
        <v>70</v>
      </c>
      <c r="C23" s="35"/>
      <c r="AR23" s="77"/>
      <c r="AS23" s="77"/>
      <c r="AT23" s="77"/>
      <c r="AU23" s="56"/>
      <c r="AV23" s="56"/>
      <c r="AW23" s="56"/>
      <c r="AX23" s="56"/>
      <c r="AY23" s="84">
        <v>53</v>
      </c>
      <c r="BS23" s="77"/>
      <c r="BT23" s="77"/>
      <c r="BU23" s="77"/>
      <c r="BW23" s="56"/>
      <c r="BX23" s="56"/>
      <c r="BZ23" s="84">
        <v>53</v>
      </c>
      <c r="CT23" s="77"/>
      <c r="CU23" s="77"/>
      <c r="CV23" s="77"/>
      <c r="CW23" s="56"/>
      <c r="CX23" s="56"/>
      <c r="CY23" s="56"/>
      <c r="CZ23" s="56"/>
      <c r="DA23" s="84">
        <v>52.2</v>
      </c>
      <c r="DX23" s="35"/>
      <c r="DY23" s="35"/>
      <c r="EH23" s="33"/>
      <c r="EI23" s="33"/>
      <c r="EJ23" s="71"/>
      <c r="EK23" s="84">
        <v>53</v>
      </c>
      <c r="FF23" s="35"/>
      <c r="FG23" s="35"/>
      <c r="FP23" s="33"/>
      <c r="FQ23" s="33"/>
      <c r="FR23" s="71"/>
      <c r="FS23" s="84">
        <v>53</v>
      </c>
      <c r="GN23" s="35"/>
      <c r="GO23" s="35"/>
      <c r="GX23" s="33"/>
      <c r="GY23" s="33"/>
      <c r="GZ23" s="71"/>
      <c r="HA23" s="84">
        <v>53</v>
      </c>
      <c r="HV23" s="35"/>
      <c r="HW23" s="35"/>
      <c r="IF23" s="33"/>
      <c r="IG23" s="33"/>
      <c r="IH23" s="71"/>
      <c r="II23" s="84">
        <v>53</v>
      </c>
      <c r="JD23" s="35"/>
      <c r="JE23" s="35"/>
      <c r="JN23" s="33"/>
      <c r="JO23" s="33"/>
      <c r="JP23" s="71"/>
      <c r="JQ23" s="84">
        <v>53</v>
      </c>
      <c r="KL23" s="35"/>
      <c r="KM23" s="35"/>
      <c r="KV23" s="33"/>
      <c r="KW23" s="33"/>
      <c r="KX23" s="71"/>
      <c r="KY23" s="84">
        <v>53</v>
      </c>
      <c r="LT23" s="35"/>
      <c r="LU23" s="35"/>
      <c r="MD23" s="33"/>
      <c r="ME23" s="33"/>
      <c r="MF23" s="71"/>
      <c r="MG23" s="84">
        <v>53</v>
      </c>
      <c r="NB23" s="35"/>
      <c r="NC23" s="35"/>
      <c r="NL23" s="33"/>
      <c r="NM23" s="33"/>
      <c r="NN23" s="71"/>
      <c r="NO23" s="84">
        <v>52.2</v>
      </c>
      <c r="OJ23" s="35"/>
      <c r="OK23" s="35"/>
      <c r="OT23" s="33"/>
      <c r="OU23" s="33"/>
      <c r="OV23" s="71"/>
      <c r="OW23" s="84">
        <v>53</v>
      </c>
      <c r="PR23" s="35"/>
      <c r="PS23" s="35"/>
      <c r="QB23" s="33"/>
      <c r="QC23" s="33"/>
      <c r="QD23" s="71"/>
      <c r="QE23" s="84">
        <v>52.2</v>
      </c>
      <c r="QZ23" s="35"/>
      <c r="RA23" s="35"/>
      <c r="RJ23" s="33"/>
      <c r="RK23" s="33"/>
      <c r="RL23" s="71"/>
      <c r="RM23" s="84">
        <v>52.2</v>
      </c>
      <c r="SH23" s="35"/>
      <c r="SI23" s="35"/>
      <c r="SR23" s="33"/>
      <c r="SS23" s="33"/>
      <c r="ST23" s="71"/>
      <c r="SU23" s="84">
        <v>52.2</v>
      </c>
    </row>
    <row r="24" spans="1:544" x14ac:dyDescent="0.2">
      <c r="A24" s="35"/>
      <c r="B24" s="45" t="s">
        <v>39</v>
      </c>
      <c r="C24" s="35"/>
      <c r="P24" s="2"/>
      <c r="AR24" s="77"/>
      <c r="AS24" s="77"/>
      <c r="AT24" s="77"/>
      <c r="AU24" s="56"/>
      <c r="AV24" s="77" t="s">
        <v>143</v>
      </c>
      <c r="AW24" s="77"/>
      <c r="AX24" s="56"/>
      <c r="AY24" s="85">
        <v>54.5</v>
      </c>
      <c r="BS24" s="77"/>
      <c r="BT24" s="77"/>
      <c r="BU24" s="77"/>
      <c r="BW24" s="77" t="s">
        <v>143</v>
      </c>
      <c r="BX24" s="56"/>
      <c r="BZ24" s="85">
        <v>54.5</v>
      </c>
      <c r="CT24" s="77"/>
      <c r="CU24" s="77"/>
      <c r="CV24" s="77"/>
      <c r="CW24" s="56"/>
      <c r="CX24" s="77"/>
      <c r="CY24" s="56"/>
      <c r="CZ24" s="56"/>
      <c r="DA24" s="85">
        <v>54</v>
      </c>
      <c r="DX24" s="35"/>
      <c r="DY24" s="35"/>
      <c r="EH24" s="77" t="s">
        <v>143</v>
      </c>
      <c r="EI24" s="33"/>
      <c r="EK24" s="85">
        <v>54.5</v>
      </c>
      <c r="FF24" s="35"/>
      <c r="FG24" s="35"/>
      <c r="FP24" s="77" t="s">
        <v>143</v>
      </c>
      <c r="FQ24" s="33"/>
      <c r="FS24" s="85">
        <v>54.5</v>
      </c>
      <c r="GN24" s="35"/>
      <c r="GO24" s="35"/>
      <c r="GX24" s="33"/>
      <c r="GY24" s="33"/>
      <c r="HA24" s="85">
        <v>54.5</v>
      </c>
      <c r="HV24" s="35"/>
      <c r="HW24" s="35"/>
      <c r="IF24" s="77" t="s">
        <v>143</v>
      </c>
      <c r="IG24" s="33"/>
      <c r="II24" s="85">
        <v>54.5</v>
      </c>
      <c r="JD24" s="35"/>
      <c r="JE24" s="35"/>
      <c r="JN24" s="33"/>
      <c r="JO24" s="33"/>
      <c r="JQ24" s="85">
        <v>54.5</v>
      </c>
      <c r="KL24" s="35"/>
      <c r="KM24" s="35"/>
      <c r="KV24" s="33"/>
      <c r="KW24" s="33"/>
      <c r="KY24" s="85">
        <v>54.5</v>
      </c>
      <c r="LT24" s="35"/>
      <c r="LU24" s="35"/>
      <c r="MD24" s="33"/>
      <c r="ME24" s="33"/>
      <c r="MG24" s="85">
        <v>54.5</v>
      </c>
      <c r="NB24" s="35"/>
      <c r="NC24" s="35"/>
      <c r="NL24" s="33"/>
      <c r="NM24" s="33"/>
      <c r="NO24" s="85">
        <v>54</v>
      </c>
      <c r="OJ24" s="35"/>
      <c r="OK24" s="35"/>
      <c r="OT24" s="33"/>
      <c r="OU24" s="33"/>
      <c r="OW24" s="85">
        <v>54.5</v>
      </c>
      <c r="PR24" s="35"/>
      <c r="PS24" s="35"/>
      <c r="QB24" s="33"/>
      <c r="QC24" s="33"/>
      <c r="QE24" s="85">
        <v>54</v>
      </c>
      <c r="QZ24" s="35"/>
      <c r="RA24" s="35"/>
      <c r="RJ24" s="33"/>
      <c r="RK24" s="33"/>
      <c r="RM24" s="85">
        <v>54</v>
      </c>
      <c r="SH24" s="35"/>
      <c r="SI24" s="35"/>
      <c r="SR24" s="33"/>
      <c r="SS24" s="33"/>
      <c r="SU24" s="85">
        <v>54</v>
      </c>
    </row>
    <row r="25" spans="1:544" s="70" customFormat="1" x14ac:dyDescent="0.2">
      <c r="A25"/>
      <c r="B25" s="53" t="s">
        <v>62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U25" s="56"/>
      <c r="AX25" s="56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W25" s="56"/>
      <c r="CZ25" s="56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</row>
    <row r="26" spans="1:544" s="70" customFormat="1" x14ac:dyDescent="0.2">
      <c r="A26" s="35"/>
      <c r="B26" s="35"/>
      <c r="C26" s="34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Q26" s="56"/>
      <c r="AR26" s="56"/>
      <c r="AS26" s="56"/>
      <c r="AT26" s="56"/>
      <c r="AU26" s="56"/>
      <c r="AX26" s="5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S26" s="56"/>
      <c r="CT26" s="56"/>
      <c r="CU26" s="56"/>
      <c r="CV26" s="56"/>
      <c r="CW26" s="56"/>
      <c r="CZ26" s="5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544" s="70" customFormat="1" ht="17" x14ac:dyDescent="0.2">
      <c r="A27" s="35"/>
      <c r="B27" s="35"/>
      <c r="C27" s="34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5"/>
      <c r="W27" s="15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56"/>
      <c r="AR27" s="56"/>
      <c r="AS27" s="56"/>
      <c r="AT27" s="56"/>
      <c r="AU27" s="56"/>
      <c r="AX27" s="56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56"/>
      <c r="CT27" s="56"/>
      <c r="CU27" s="56"/>
      <c r="CV27" s="56"/>
      <c r="CW27" s="56"/>
      <c r="CZ27" s="56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544" s="70" customFormat="1" ht="17" x14ac:dyDescent="0.2">
      <c r="A28" s="35"/>
      <c r="B28" s="35"/>
      <c r="C28" s="34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5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56"/>
      <c r="AR28" s="56"/>
      <c r="AS28" s="56"/>
      <c r="AT28" s="56"/>
      <c r="AU28" s="56"/>
      <c r="AX28" s="56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56"/>
      <c r="CT28" s="56"/>
      <c r="CU28" s="56"/>
      <c r="CV28" s="56"/>
      <c r="CW28" s="56"/>
      <c r="CZ28" s="56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5"/>
      <c r="W29" s="15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56"/>
      <c r="AR29" s="56"/>
      <c r="AS29" s="56"/>
      <c r="AT29" s="56"/>
      <c r="AU29" s="56"/>
      <c r="AX29" s="56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56"/>
      <c r="CT29" s="56"/>
      <c r="CU29" s="56"/>
      <c r="CV29" s="56"/>
      <c r="CW29" s="56"/>
      <c r="CZ29" s="56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5"/>
      <c r="W30" s="15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56"/>
      <c r="AR30" s="56"/>
      <c r="AS30" s="56"/>
      <c r="AT30" s="56"/>
      <c r="AU30" s="56"/>
      <c r="AX30" s="56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56"/>
      <c r="CT30" s="56"/>
      <c r="CU30" s="56"/>
      <c r="CV30" s="56"/>
      <c r="CW30" s="56"/>
      <c r="CZ30" s="56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5"/>
      <c r="W31" s="15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56"/>
      <c r="AR31" s="56"/>
      <c r="AS31" s="56"/>
      <c r="AT31" s="56"/>
      <c r="AU31" s="56"/>
      <c r="AX31" s="56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56"/>
      <c r="CT31" s="56"/>
      <c r="CU31" s="56"/>
      <c r="CV31" s="56"/>
      <c r="CW31" s="56"/>
      <c r="CZ31" s="56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5"/>
      <c r="W32" s="15"/>
      <c r="X32" s="15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5"/>
      <c r="W33" s="15"/>
      <c r="X33" s="15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70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5"/>
      <c r="W34" s="15"/>
      <c r="X34" s="15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70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5"/>
      <c r="W35" s="15"/>
      <c r="X35" s="1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70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5"/>
      <c r="W36" s="15"/>
      <c r="X36" s="15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70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5"/>
      <c r="W37" s="15"/>
      <c r="X37" s="15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70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5"/>
      <c r="W38" s="15"/>
      <c r="X38" s="15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70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5"/>
      <c r="W39" s="15"/>
      <c r="X39" s="15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70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5"/>
      <c r="W40" s="15"/>
      <c r="X40" s="15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ht="17" x14ac:dyDescent="0.2">
      <c r="V41" s="15"/>
      <c r="W41" s="15"/>
      <c r="X41" s="15"/>
    </row>
    <row r="42" spans="1:544" ht="17" x14ac:dyDescent="0.2">
      <c r="V42" s="15"/>
      <c r="W42" s="15"/>
      <c r="X42" s="15"/>
    </row>
    <row r="43" spans="1:544" ht="17" x14ac:dyDescent="0.2">
      <c r="V43" s="15"/>
      <c r="W43" s="15"/>
      <c r="X43" s="15"/>
    </row>
    <row r="44" spans="1:544" ht="17" x14ac:dyDescent="0.2">
      <c r="V44" s="15"/>
      <c r="W44" s="15"/>
      <c r="X44" s="15"/>
    </row>
    <row r="45" spans="1:544" ht="17" x14ac:dyDescent="0.2">
      <c r="V45" s="15"/>
      <c r="W45" s="15"/>
      <c r="X45" s="15"/>
    </row>
    <row r="46" spans="1:544" ht="17" x14ac:dyDescent="0.2">
      <c r="V46" s="15"/>
      <c r="W46" s="15"/>
      <c r="X46" s="15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4">
      <sortCondition descending="1" ref="F1:F15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97" priority="35" operator="containsText" text="No DD">
      <formula>NOT(ISERROR(SEARCH("No DD",H1)))</formula>
    </cfRule>
    <cfRule type="containsText" dxfId="596" priority="36" operator="containsText" text="Merit">
      <formula>NOT(ISERROR(SEARCH("Merit",H1)))</formula>
    </cfRule>
    <cfRule type="containsText" dxfId="595" priority="37" operator="containsText" text="Excellence">
      <formula>NOT(ISERROR(SEARCH("Excellence",H1)))</formula>
    </cfRule>
    <cfRule type="containsText" dxfId="594" priority="38" operator="containsText" text="Worlds Team">
      <formula>NOT(ISERROR(SEARCH("Worlds Team",H1)))</formula>
    </cfRule>
    <cfRule type="containsText" dxfId="593" priority="39" operator="containsText" text="National Team">
      <formula>NOT(ISERROR(SEARCH("National Team",H1)))</formula>
    </cfRule>
  </conditionalFormatting>
  <conditionalFormatting sqref="A1:A1048576">
    <cfRule type="expression" dxfId="592" priority="40">
      <formula>AND(G1&lt;&gt;"",F1="")</formula>
    </cfRule>
  </conditionalFormatting>
  <conditionalFormatting sqref="Y4:AY14">
    <cfRule type="expression" dxfId="591" priority="41" stopIfTrue="1">
      <formula>IF($AN4&lt;&gt;"",1,0)</formula>
    </cfRule>
  </conditionalFormatting>
  <conditionalFormatting sqref="AZ4:BZ14">
    <cfRule type="expression" dxfId="590" priority="34" stopIfTrue="1">
      <formula>IF($BO4&lt;&gt;"",1,0)</formula>
    </cfRule>
  </conditionalFormatting>
  <conditionalFormatting sqref="CA4:DA14">
    <cfRule type="expression" dxfId="589" priority="33" stopIfTrue="1">
      <formula>IF($CP4&lt;&gt;"",1,0)</formula>
    </cfRule>
  </conditionalFormatting>
  <conditionalFormatting sqref="M1:M3 O1:O3 K1:K1048576 Q1:Q1048576 M4:O1048576 S1:S1048576 U1:U1048576">
    <cfRule type="expression" dxfId="588" priority="50">
      <formula>IF(K1=$CA$1,1,0)</formula>
    </cfRule>
    <cfRule type="expression" dxfId="587" priority="51">
      <formula>IF(K1=$AZ$1,1,0)</formula>
    </cfRule>
    <cfRule type="expression" dxfId="586" priority="52">
      <formula>IF(K1=$Y$1,1,0)</formula>
    </cfRule>
  </conditionalFormatting>
  <conditionalFormatting sqref="BW25:BW1048576 BP1:BP1048576 BS1:BS1048576 BW1:BW23">
    <cfRule type="cellIs" dxfId="585" priority="46" operator="between">
      <formula>$BZ$20</formula>
      <formula>1000</formula>
    </cfRule>
    <cfRule type="cellIs" dxfId="584" priority="47" operator="between">
      <formula>$BZ$19</formula>
      <formula>$BZ$20</formula>
    </cfRule>
    <cfRule type="cellIs" dxfId="583" priority="48" operator="between">
      <formula>$BZ$18</formula>
      <formula>$BZ$19</formula>
    </cfRule>
    <cfRule type="cellIs" dxfId="582" priority="49" operator="between">
      <formula>$BZ$17</formula>
      <formula>$BZ$18</formula>
    </cfRule>
  </conditionalFormatting>
  <conditionalFormatting sqref="CX25:CX1048576 CQ1:CQ1048576 CT1:CT1048576 CX1:CX23">
    <cfRule type="cellIs" dxfId="581" priority="42" operator="between">
      <formula>$DA$20</formula>
      <formula>1000</formula>
    </cfRule>
    <cfRule type="cellIs" dxfId="580" priority="43" operator="between">
      <formula>$DA$19</formula>
      <formula>$DA$20</formula>
    </cfRule>
    <cfRule type="cellIs" dxfId="579" priority="44" operator="between">
      <formula>$DA$18</formula>
      <formula>$DA$19</formula>
    </cfRule>
    <cfRule type="cellIs" dxfId="578" priority="45" operator="between">
      <formula>$DA$17</formula>
      <formula>$DA$18</formula>
    </cfRule>
  </conditionalFormatting>
  <conditionalFormatting sqref="EH25:EH1048576 DX1:DX1048576 EA1:EA1048576 EE1:EE1048576 EH1:EH23">
    <cfRule type="cellIs" dxfId="577" priority="53" operator="between">
      <formula>$EK$20</formula>
      <formula>1000</formula>
    </cfRule>
    <cfRule type="cellIs" dxfId="576" priority="54" operator="between">
      <formula>$EK$19</formula>
      <formula>$EK$20</formula>
    </cfRule>
    <cfRule type="cellIs" dxfId="575" priority="55" operator="between">
      <formula>$EK$18</formula>
      <formula>$EK$19</formula>
    </cfRule>
    <cfRule type="cellIs" dxfId="574" priority="56" operator="between">
      <formula>$EK$17</formula>
      <formula>$EK$18</formula>
    </cfRule>
  </conditionalFormatting>
  <conditionalFormatting sqref="FP25:FP1048576 FF1:FF1048576 FI1:FI1048576 FM1:FM1048576 FP1:FP23">
    <cfRule type="cellIs" dxfId="573" priority="29" operator="between">
      <formula>$FS$20</formula>
      <formula>1000</formula>
    </cfRule>
    <cfRule type="cellIs" dxfId="572" priority="30" operator="between">
      <formula>$FS$19</formula>
      <formula>$FS$20</formula>
    </cfRule>
    <cfRule type="cellIs" dxfId="571" priority="31" operator="between">
      <formula>$FS$18</formula>
      <formula>$FS$19</formula>
    </cfRule>
    <cfRule type="cellIs" dxfId="570" priority="32" operator="between">
      <formula>$FS$17</formula>
      <formula>$FS$18</formula>
    </cfRule>
  </conditionalFormatting>
  <conditionalFormatting sqref="IF25:IF1048576 HV1:HV1048576 HY1:HY1048576 IC1:IC1048576 IF1:IF23">
    <cfRule type="cellIs" dxfId="569" priority="25" operator="between">
      <formula>$II$20</formula>
      <formula>1000</formula>
    </cfRule>
    <cfRule type="cellIs" dxfId="568" priority="26" operator="between">
      <formula>$II$19</formula>
      <formula>$II$20</formula>
    </cfRule>
    <cfRule type="cellIs" dxfId="567" priority="27" operator="between">
      <formula>$II$18</formula>
      <formula>$II$19</formula>
    </cfRule>
    <cfRule type="cellIs" dxfId="566" priority="28" operator="between">
      <formula>$II$17</formula>
      <formula>$II$18</formula>
    </cfRule>
  </conditionalFormatting>
  <conditionalFormatting sqref="AW24 AO1:AO1048576 AR1:AR1048576 AV1:AV1048576">
    <cfRule type="cellIs" dxfId="565" priority="21" operator="between">
      <formula>$AY$20</formula>
      <formula>1000</formula>
    </cfRule>
    <cfRule type="cellIs" dxfId="564" priority="22" operator="between">
      <formula>$AY$19</formula>
      <formula>$AY$20</formula>
    </cfRule>
    <cfRule type="cellIs" dxfId="563" priority="23" operator="between">
      <formula>$AY$18</formula>
      <formula>$AY$19</formula>
    </cfRule>
    <cfRule type="cellIs" dxfId="562" priority="24" operator="between">
      <formula>$AY$17</formula>
      <formula>$AY$18</formula>
    </cfRule>
  </conditionalFormatting>
  <conditionalFormatting sqref="BW24">
    <cfRule type="cellIs" dxfId="561" priority="17" operator="between">
      <formula>$AY$20</formula>
      <formula>1000</formula>
    </cfRule>
    <cfRule type="cellIs" dxfId="560" priority="18" operator="between">
      <formula>$AY$19</formula>
      <formula>$AY$20</formula>
    </cfRule>
    <cfRule type="cellIs" dxfId="559" priority="19" operator="between">
      <formula>$AY$18</formula>
      <formula>$AY$19</formula>
    </cfRule>
    <cfRule type="cellIs" dxfId="558" priority="20" operator="between">
      <formula>$AY$17</formula>
      <formula>$AY$18</formula>
    </cfRule>
  </conditionalFormatting>
  <conditionalFormatting sqref="CX24">
    <cfRule type="cellIs" dxfId="557" priority="13" operator="between">
      <formula>$AY$20</formula>
      <formula>1000</formula>
    </cfRule>
    <cfRule type="cellIs" dxfId="556" priority="14" operator="between">
      <formula>$AY$19</formula>
      <formula>$AY$20</formula>
    </cfRule>
    <cfRule type="cellIs" dxfId="555" priority="15" operator="between">
      <formula>$AY$18</formula>
      <formula>$AY$19</formula>
    </cfRule>
    <cfRule type="cellIs" dxfId="554" priority="16" operator="between">
      <formula>$AY$17</formula>
      <formula>$AY$18</formula>
    </cfRule>
  </conditionalFormatting>
  <conditionalFormatting sqref="EH24">
    <cfRule type="cellIs" dxfId="553" priority="9" operator="between">
      <formula>$AY$20</formula>
      <formula>1000</formula>
    </cfRule>
    <cfRule type="cellIs" dxfId="552" priority="10" operator="between">
      <formula>$AY$19</formula>
      <formula>$AY$20</formula>
    </cfRule>
    <cfRule type="cellIs" dxfId="551" priority="11" operator="between">
      <formula>$AY$18</formula>
      <formula>$AY$19</formula>
    </cfRule>
    <cfRule type="cellIs" dxfId="550" priority="12" operator="between">
      <formula>$AY$17</formula>
      <formula>$AY$18</formula>
    </cfRule>
  </conditionalFormatting>
  <conditionalFormatting sqref="FP24">
    <cfRule type="cellIs" dxfId="549" priority="5" operator="between">
      <formula>$AY$20</formula>
      <formula>1000</formula>
    </cfRule>
    <cfRule type="cellIs" dxfId="548" priority="6" operator="between">
      <formula>$AY$19</formula>
      <formula>$AY$20</formula>
    </cfRule>
    <cfRule type="cellIs" dxfId="547" priority="7" operator="between">
      <formula>$AY$18</formula>
      <formula>$AY$19</formula>
    </cfRule>
    <cfRule type="cellIs" dxfId="546" priority="8" operator="between">
      <formula>$AY$17</formula>
      <formula>$AY$18</formula>
    </cfRule>
  </conditionalFormatting>
  <conditionalFormatting sqref="IF24">
    <cfRule type="cellIs" dxfId="545" priority="1" operator="between">
      <formula>$AY$20</formula>
      <formula>1000</formula>
    </cfRule>
    <cfRule type="cellIs" dxfId="544" priority="2" operator="between">
      <formula>$AY$19</formula>
      <formula>$AY$20</formula>
    </cfRule>
    <cfRule type="cellIs" dxfId="543" priority="3" operator="between">
      <formula>$AY$18</formula>
      <formula>$AY$19</formula>
    </cfRule>
    <cfRule type="cellIs" dxfId="542" priority="4" operator="between">
      <formula>$AY$17</formula>
      <formula>$AY$18</formula>
    </cfRule>
  </conditionalFormatting>
  <conditionalFormatting sqref="CV1:CV1048576 AT1:AT1048576">
    <cfRule type="cellIs" dxfId="541" priority="62321" operator="between">
      <formula>AY$24</formula>
      <formula>1000</formula>
    </cfRule>
    <cfRule type="cellIs" dxfId="540" priority="62322" operator="between">
      <formula>AY$23</formula>
      <formula>AY$24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39" priority="62333" operator="between">
      <formula>EK$24</formula>
      <formula>1000</formula>
    </cfRule>
    <cfRule type="cellIs" dxfId="538" priority="62334" operator="between">
      <formula>EK$23</formula>
      <formula>EK$24</formula>
    </cfRule>
  </conditionalFormatting>
  <conditionalFormatting sqref="ED1:ED1048576 FL1:FL1048576 GT1:GT1048576 IB1:IB1048576 JJ1:JJ1048576 KR1:KR1048576 LZ1:LZ1048576 NH1:NH1048576 OP1:OP1048576 PX1:PX1048576 RF1:RF1048576 SN1:SN1048576">
    <cfRule type="cellIs" dxfId="537" priority="62405" operator="between">
      <formula>EK$22</formula>
      <formula>1000</formula>
    </cfRule>
    <cfRule type="cellIs" dxfId="536" priority="62406" operator="between">
      <formula>EK$21</formula>
      <formula>EK$22</formula>
    </cfRule>
  </conditionalFormatting>
  <conditionalFormatting sqref="AQ1:AQ1048576 AT1:AT1048576 AX1:AX1048576">
    <cfRule type="cellIs" dxfId="535" priority="62477" operator="between">
      <formula>$AY$24</formula>
      <formula>1000</formula>
    </cfRule>
    <cfRule type="cellIs" dxfId="534" priority="62478" operator="between">
      <formula>$AY$23</formula>
      <formula>$AY$24</formula>
    </cfRule>
    <cfRule type="cellIs" dxfId="533" priority="62479" operator="between">
      <formula>$AY$22</formula>
      <formula>$AY$23</formula>
    </cfRule>
    <cfRule type="cellIs" dxfId="532" priority="62480" operator="between">
      <formula>$AY$21</formula>
      <formula>$AY$22</formula>
    </cfRule>
  </conditionalFormatting>
  <conditionalFormatting sqref="BR1:BR1048576 BU1:BU1048576 BY1:BY1048576">
    <cfRule type="cellIs" dxfId="531" priority="62513" operator="between">
      <formula>$BZ$24</formula>
      <formula>1000</formula>
    </cfRule>
    <cfRule type="cellIs" dxfId="530" priority="62514" operator="between">
      <formula>$BZ$23</formula>
      <formula>$BZ$24</formula>
    </cfRule>
    <cfRule type="cellIs" dxfId="529" priority="62515" operator="between">
      <formula>$BZ$22</formula>
      <formula>$BZ$23</formula>
    </cfRule>
    <cfRule type="cellIs" dxfId="528" priority="62516" operator="between">
      <formula>$BZ$21</formula>
      <formula>$BZ$22</formula>
    </cfRule>
  </conditionalFormatting>
  <conditionalFormatting sqref="CS1:CS1048576 CV1:CV1048576 CZ1:CZ1048576">
    <cfRule type="cellIs" dxfId="527" priority="62549" operator="between">
      <formula>$DA$24</formula>
      <formula>1000</formula>
    </cfRule>
    <cfRule type="cellIs" dxfId="526" priority="62550" operator="between">
      <formula>$DA$23</formula>
      <formula>$DA$24</formula>
    </cfRule>
    <cfRule type="cellIs" dxfId="525" priority="62551" operator="between">
      <formula>$DA$22</formula>
      <formula>$DA$23</formula>
    </cfRule>
    <cfRule type="cellIs" dxfId="524" priority="62552" operator="between">
      <formula>$DA$21</formula>
      <formula>$DA$22</formula>
    </cfRule>
  </conditionalFormatting>
  <conditionalFormatting sqref="NB1:NB1048576 NE1:NE1048576 NI1:NI1048576 NL1:NL1048576">
    <cfRule type="cellIs" dxfId="523" priority="62585" operator="between">
      <formula>$NO$17</formula>
      <formula>$NO$18</formula>
    </cfRule>
  </conditionalFormatting>
  <conditionalFormatting sqref="DZ1:DZ1048576 EC1:EC1048576 EG1:EG1048576 EJ1:EJ1048576">
    <cfRule type="cellIs" dxfId="522" priority="62597" operator="between">
      <formula>$EK$24</formula>
      <formula>1000</formula>
    </cfRule>
    <cfRule type="cellIs" dxfId="521" priority="62598" operator="between">
      <formula>$EK$23</formula>
      <formula>$EK$24</formula>
    </cfRule>
    <cfRule type="cellIs" dxfId="520" priority="62599" operator="between">
      <formula>$EK$22</formula>
      <formula>$EK$23</formula>
    </cfRule>
    <cfRule type="cellIs" dxfId="519" priority="62600" operator="between">
      <formula>$EK$21</formula>
      <formula>$EK$22</formula>
    </cfRule>
  </conditionalFormatting>
  <conditionalFormatting sqref="FH1:FH1048576 FK1:FK1048576 FO1:FO1048576 FR1:FR1048576">
    <cfRule type="cellIs" dxfId="518" priority="62645" operator="between">
      <formula>$FS$24</formula>
      <formula>1000</formula>
    </cfRule>
    <cfRule type="cellIs" dxfId="517" priority="62646" operator="between">
      <formula>$FS$23</formula>
      <formula>$FS$24</formula>
    </cfRule>
    <cfRule type="cellIs" dxfId="516" priority="62647" operator="between">
      <formula>$FS$22</formula>
      <formula>$FS$23</formula>
    </cfRule>
    <cfRule type="cellIs" dxfId="515" priority="62648" operator="between">
      <formula>$FS$21</formula>
      <formula>$FS$22</formula>
    </cfRule>
  </conditionalFormatting>
  <conditionalFormatting sqref="GN1:GN1048576 GQ1:GQ1048576 GU1:GU1048576 GX1:GX1048576">
    <cfRule type="cellIs" dxfId="514" priority="62693" operator="between">
      <formula>$HA$20</formula>
      <formula>1000</formula>
    </cfRule>
    <cfRule type="cellIs" dxfId="513" priority="62694" operator="between">
      <formula>$HA$19</formula>
      <formula>$HA$20</formula>
    </cfRule>
    <cfRule type="cellIs" dxfId="512" priority="62695" operator="between">
      <formula>$HA$18</formula>
      <formula>$HA$19</formula>
    </cfRule>
    <cfRule type="cellIs" dxfId="511" priority="62696" operator="between">
      <formula>$HA$17</formula>
      <formula>$HA$18</formula>
    </cfRule>
  </conditionalFormatting>
  <conditionalFormatting sqref="GP1:GP1048576 GS1:GS1048576 GW1:GW1048576 GZ1:GZ1048576">
    <cfRule type="cellIs" dxfId="510" priority="62741" operator="between">
      <formula>$HA$24</formula>
      <formula>1000</formula>
    </cfRule>
    <cfRule type="cellIs" dxfId="509" priority="62742" operator="between">
      <formula>$HA$23</formula>
      <formula>$HA$24</formula>
    </cfRule>
    <cfRule type="cellIs" dxfId="508" priority="62743" operator="between">
      <formula>$HA$22</formula>
      <formula>$HA$23</formula>
    </cfRule>
    <cfRule type="cellIs" dxfId="507" priority="62744" operator="between">
      <formula>$HA$21</formula>
      <formula>$HA$22</formula>
    </cfRule>
  </conditionalFormatting>
  <conditionalFormatting sqref="HX1:HX1048576 IA1:IA1048576 IE1:IE1048576 IH1:IH1048576">
    <cfRule type="cellIs" dxfId="506" priority="62789" operator="between">
      <formula>$II$24</formula>
      <formula>1000</formula>
    </cfRule>
    <cfRule type="cellIs" dxfId="505" priority="62790" operator="between">
      <formula>$II$23</formula>
      <formula>$II$24</formula>
    </cfRule>
    <cfRule type="cellIs" dxfId="504" priority="62791" operator="between">
      <formula>$II$22</formula>
      <formula>$II$23</formula>
    </cfRule>
    <cfRule type="cellIs" dxfId="503" priority="62792" operator="between">
      <formula>$II$21</formula>
      <formula>$II$22</formula>
    </cfRule>
  </conditionalFormatting>
  <conditionalFormatting sqref="JD1:JD1048576 JG1:JG1048576 JK1:JK1048576 JN1:JN1048576">
    <cfRule type="cellIs" dxfId="502" priority="62837" operator="between">
      <formula>$JQ$20</formula>
      <formula>1000</formula>
    </cfRule>
    <cfRule type="cellIs" dxfId="501" priority="62838" operator="between">
      <formula>$JQ$19</formula>
      <formula>$JQ$20</formula>
    </cfRule>
    <cfRule type="cellIs" dxfId="500" priority="62839" operator="between">
      <formula>$JQ$18</formula>
      <formula>$JQ$19</formula>
    </cfRule>
    <cfRule type="cellIs" dxfId="499" priority="62840" operator="between">
      <formula>$JQ$17</formula>
      <formula>$JQ$18</formula>
    </cfRule>
  </conditionalFormatting>
  <conditionalFormatting sqref="JF1:JF1048576 JI1:JI1048576 JM1:JM1048576 JP1:JP1048576">
    <cfRule type="cellIs" dxfId="498" priority="62885" operator="between">
      <formula>$JQ$24</formula>
      <formula>1000</formula>
    </cfRule>
    <cfRule type="cellIs" dxfId="497" priority="62886" operator="between">
      <formula>$JQ$23</formula>
      <formula>$JQ$24</formula>
    </cfRule>
    <cfRule type="cellIs" dxfId="496" priority="62887" operator="between">
      <formula>$JQ$22</formula>
      <formula>$JQ$23</formula>
    </cfRule>
    <cfRule type="cellIs" dxfId="495" priority="62888" operator="between">
      <formula>$JQ$21</formula>
      <formula>$JQ$22</formula>
    </cfRule>
  </conditionalFormatting>
  <conditionalFormatting sqref="KL1:KL1048576 KO1:KO1048576 KS1:KS1048576 KV1:KV1048576">
    <cfRule type="cellIs" dxfId="494" priority="62933" operator="between">
      <formula>$KY$20</formula>
      <formula>1000</formula>
    </cfRule>
    <cfRule type="cellIs" dxfId="493" priority="62934" operator="between">
      <formula>$KY$19</formula>
      <formula>$KY$20</formula>
    </cfRule>
    <cfRule type="cellIs" dxfId="492" priority="62935" operator="between">
      <formula>$KY$18</formula>
      <formula>$KY$19</formula>
    </cfRule>
    <cfRule type="cellIs" dxfId="491" priority="62936" operator="between">
      <formula>$KY$17</formula>
      <formula>$KY$18</formula>
    </cfRule>
  </conditionalFormatting>
  <conditionalFormatting sqref="KN1:KN1048576 KQ1:KQ1048576 KU1:KU1048576 KX1:KX1048576">
    <cfRule type="cellIs" dxfId="490" priority="62981" operator="between">
      <formula>$KY$24</formula>
      <formula>1000</formula>
    </cfRule>
    <cfRule type="cellIs" dxfId="489" priority="62982" operator="between">
      <formula>$KY$23</formula>
      <formula>$KY$24</formula>
    </cfRule>
    <cfRule type="cellIs" dxfId="488" priority="62983" operator="between">
      <formula>$KY$22</formula>
      <formula>$KY$23</formula>
    </cfRule>
    <cfRule type="cellIs" dxfId="487" priority="62984" operator="between">
      <formula>$KY$21</formula>
      <formula>$KY$22</formula>
    </cfRule>
  </conditionalFormatting>
  <conditionalFormatting sqref="LT1:LT1048576 LW1:LW1048576 MA1:MA1048576 MD1:MD1048576">
    <cfRule type="cellIs" dxfId="486" priority="63029" operator="between">
      <formula>$MG$20</formula>
      <formula>1000</formula>
    </cfRule>
    <cfRule type="cellIs" dxfId="485" priority="63030" operator="between">
      <formula>$MG$19</formula>
      <formula>$MG$20</formula>
    </cfRule>
    <cfRule type="cellIs" dxfId="484" priority="63031" operator="between">
      <formula>$MG$18</formula>
      <formula>$MG$19</formula>
    </cfRule>
    <cfRule type="cellIs" dxfId="483" priority="63032" operator="between">
      <formula>$MG$17</formula>
      <formula>$MG$18</formula>
    </cfRule>
  </conditionalFormatting>
  <conditionalFormatting sqref="LV1:LV1048576 LY1:LY1048576 MC1:MC1048576 MF1:MF1048576">
    <cfRule type="cellIs" dxfId="482" priority="63077" operator="between">
      <formula>$MG$24</formula>
      <formula>1000</formula>
    </cfRule>
    <cfRule type="cellIs" dxfId="481" priority="63078" operator="between">
      <formula>$MG$23</formula>
      <formula>$MG$24</formula>
    </cfRule>
    <cfRule type="cellIs" dxfId="480" priority="63079" operator="between">
      <formula>$MG$22</formula>
      <formula>$MG$23</formula>
    </cfRule>
    <cfRule type="cellIs" dxfId="479" priority="63080" operator="between">
      <formula>$MG$21</formula>
      <formula>$MG$22</formula>
    </cfRule>
  </conditionalFormatting>
  <conditionalFormatting sqref="NB1:NB1048576 NE1:NE1048576 NI1:NI1048576">
    <cfRule type="cellIs" dxfId="478" priority="63125" operator="between">
      <formula>$NO$20</formula>
      <formula>1000</formula>
    </cfRule>
    <cfRule type="cellIs" dxfId="477" priority="63126" operator="between">
      <formula>$NO$19</formula>
      <formula>$NO$20</formula>
    </cfRule>
    <cfRule type="cellIs" dxfId="476" priority="63127" operator="between">
      <formula>$NO$18</formula>
      <formula>$NO$19</formula>
    </cfRule>
  </conditionalFormatting>
  <conditionalFormatting sqref="ND1:ND1048576 NG1:NG1048576 NK1:NK1048576 NN1:NN1048576">
    <cfRule type="cellIs" dxfId="475" priority="63152" operator="between">
      <formula>$NO$24</formula>
      <formula>1000</formula>
    </cfRule>
    <cfRule type="cellIs" dxfId="474" priority="63153" operator="between">
      <formula>$NO$23</formula>
      <formula>$NO$24</formula>
    </cfRule>
    <cfRule type="cellIs" dxfId="473" priority="63154" operator="between">
      <formula>$NO$22</formula>
      <formula>$NO$23</formula>
    </cfRule>
    <cfRule type="cellIs" dxfId="472" priority="63155" operator="between">
      <formula>$NO$21</formula>
      <formula>$NO$22</formula>
    </cfRule>
  </conditionalFormatting>
  <conditionalFormatting sqref="OJ1:OJ1048576 OM1:OM1048576 OQ1:OQ1048576 OT1:OT1048576">
    <cfRule type="cellIs" dxfId="471" priority="63200" operator="between">
      <formula>$OW$20</formula>
      <formula>1000</formula>
    </cfRule>
    <cfRule type="cellIs" dxfId="470" priority="63201" operator="between">
      <formula>$OW$19</formula>
      <formula>$OW$20</formula>
    </cfRule>
    <cfRule type="cellIs" dxfId="469" priority="63202" operator="between">
      <formula>$OW$18</formula>
      <formula>$OW$19</formula>
    </cfRule>
    <cfRule type="cellIs" dxfId="468" priority="63203" operator="between">
      <formula>$OW$17</formula>
      <formula>$OW$18</formula>
    </cfRule>
  </conditionalFormatting>
  <conditionalFormatting sqref="OL1:OL1048576 OO1:OO1048576 OS1:OS1048576 OV1:OV1048576">
    <cfRule type="cellIs" dxfId="467" priority="63248" operator="between">
      <formula>$OW$24</formula>
      <formula>1000</formula>
    </cfRule>
    <cfRule type="cellIs" dxfId="466" priority="63249" operator="between">
      <formula>$OW$23</formula>
      <formula>$OW$24</formula>
    </cfRule>
    <cfRule type="cellIs" dxfId="465" priority="63250" operator="between">
      <formula>$OW$22</formula>
      <formula>$OW$23</formula>
    </cfRule>
    <cfRule type="cellIs" dxfId="464" priority="63251" operator="between">
      <formula>$OW$21</formula>
      <formula>$OW$22</formula>
    </cfRule>
  </conditionalFormatting>
  <conditionalFormatting sqref="PR1:PR1048576 PU1:PU1048576 PY1:PY1048576 QB1:QB1048576">
    <cfRule type="cellIs" dxfId="463" priority="63296" operator="between">
      <formula>$QE$20</formula>
      <formula>1000</formula>
    </cfRule>
    <cfRule type="cellIs" dxfId="462" priority="63297" operator="between">
      <formula>$QE$19</formula>
      <formula>$QE$20</formula>
    </cfRule>
    <cfRule type="cellIs" dxfId="461" priority="63298" operator="between">
      <formula>$QE$18</formula>
      <formula>$QE$19</formula>
    </cfRule>
    <cfRule type="cellIs" dxfId="460" priority="63299" operator="between">
      <formula>$QE$17</formula>
      <formula>$QE$18</formula>
    </cfRule>
  </conditionalFormatting>
  <conditionalFormatting sqref="PT1:PT1048576 PW1:PW1048576 QA1:QA1048576 QD1:QD1048576">
    <cfRule type="cellIs" dxfId="459" priority="63344" operator="between">
      <formula>$QE$24</formula>
      <formula>1000</formula>
    </cfRule>
    <cfRule type="cellIs" dxfId="458" priority="63345" operator="between">
      <formula>$QE$23</formula>
      <formula>$QE$24</formula>
    </cfRule>
    <cfRule type="cellIs" dxfId="457" priority="63346" operator="between">
      <formula>$QE$22</formula>
      <formula>$QE$23</formula>
    </cfRule>
    <cfRule type="cellIs" dxfId="456" priority="63347" operator="between">
      <formula>$QE$21</formula>
      <formula>$QE$22</formula>
    </cfRule>
  </conditionalFormatting>
  <conditionalFormatting sqref="QZ1:QZ1048576 RC1:RC1048576 RG1:RG1048576 RJ1:RJ1048576">
    <cfRule type="cellIs" dxfId="455" priority="63392" operator="between">
      <formula>$RM$20</formula>
      <formula>1000</formula>
    </cfRule>
    <cfRule type="cellIs" dxfId="454" priority="63393" operator="between">
      <formula>$RM$19</formula>
      <formula>$RM$20</formula>
    </cfRule>
    <cfRule type="cellIs" dxfId="453" priority="63394" operator="between">
      <formula>$RM$18</formula>
      <formula>$RM$19</formula>
    </cfRule>
    <cfRule type="cellIs" dxfId="452" priority="63395" operator="between">
      <formula>$RM$17</formula>
      <formula>$RM$18</formula>
    </cfRule>
  </conditionalFormatting>
  <conditionalFormatting sqref="RB1:RB1048576 RE1:RE1048576 RI1:RI1048576 RL1:RL1048576">
    <cfRule type="cellIs" dxfId="451" priority="63440" operator="between">
      <formula>$RM$24</formula>
      <formula>1000</formula>
    </cfRule>
    <cfRule type="cellIs" dxfId="450" priority="63441" operator="between">
      <formula>$RM$23</formula>
      <formula>$RM$24</formula>
    </cfRule>
    <cfRule type="cellIs" dxfId="449" priority="63442" operator="between">
      <formula>$RM$22</formula>
      <formula>$RM$23</formula>
    </cfRule>
    <cfRule type="cellIs" dxfId="448" priority="63443" operator="between">
      <formula>$RM$21</formula>
      <formula>$RM$22</formula>
    </cfRule>
  </conditionalFormatting>
  <conditionalFormatting sqref="SH1:SH1048576 SK1:SK1048576 SO1:SO1048576 SR1:SR1048576">
    <cfRule type="cellIs" dxfId="447" priority="63488" operator="between">
      <formula>$SU$20</formula>
      <formula>1000</formula>
    </cfRule>
    <cfRule type="cellIs" dxfId="446" priority="63489" operator="between">
      <formula>$SU$19</formula>
      <formula>$SU$20</formula>
    </cfRule>
    <cfRule type="cellIs" dxfId="445" priority="63490" operator="between">
      <formula>$SU$18</formula>
      <formula>$SU$19</formula>
    </cfRule>
    <cfRule type="cellIs" dxfId="444" priority="63491" operator="between">
      <formula>$SU$17</formula>
      <formula>$SU$18</formula>
    </cfRule>
  </conditionalFormatting>
  <conditionalFormatting sqref="SJ1:SJ1048576 SM1:SM1048576 SQ1:SQ1048576 ST1:ST1048576">
    <cfRule type="cellIs" dxfId="443" priority="63536" operator="between">
      <formula>$SU$24</formula>
      <formula>1000</formula>
    </cfRule>
    <cfRule type="cellIs" dxfId="442" priority="63537" operator="between">
      <formula>$SU$23</formula>
      <formula>$SU$24</formula>
    </cfRule>
    <cfRule type="cellIs" dxfId="441" priority="63538" operator="between">
      <formula>$SU$22</formula>
      <formula>$SU$23</formula>
    </cfRule>
    <cfRule type="cellIs" dxfId="440" priority="63539" operator="between">
      <formula>$SU$21</formula>
      <formula>$SU$22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N37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24.6640625" hidden="1" customWidth="1"/>
    <col min="13" max="13" width="13" hidden="1" customWidth="1"/>
    <col min="14" max="14" width="47" hidden="1" customWidth="1"/>
    <col min="15" max="30" width="10.83203125" hidden="1" customWidth="1"/>
    <col min="31" max="41" width="10.83203125" style="70" customWidth="1"/>
    <col min="42" max="57" width="10.83203125" hidden="1" customWidth="1"/>
    <col min="58" max="68" width="10.83203125" style="70" customWidth="1"/>
    <col min="69" max="84" width="10.83203125" hidden="1" customWidth="1"/>
    <col min="85" max="95" width="10.83203125" style="70" customWidth="1"/>
    <col min="96" max="97" width="12.83203125" style="70" customWidth="1"/>
    <col min="98" max="117" width="10.83203125" hidden="1" customWidth="1"/>
    <col min="118" max="130" width="10.83203125" customWidth="1"/>
    <col min="131" max="131" width="10.83203125" style="70" customWidth="1"/>
    <col min="132" max="151" width="10.83203125" hidden="1" customWidth="1"/>
    <col min="152" max="164" width="10.83203125" customWidth="1"/>
    <col min="165" max="165" width="10.83203125" style="70" customWidth="1"/>
    <col min="166" max="198" width="10.83203125" hidden="1" customWidth="1"/>
    <col min="199" max="199" width="10.83203125" style="70" hidden="1" customWidth="1"/>
    <col min="200" max="232" width="10.83203125" hidden="1" customWidth="1"/>
    <col min="233" max="233" width="10.83203125" style="70" hidden="1" customWidth="1"/>
    <col min="234" max="266" width="10.83203125" hidden="1" customWidth="1"/>
    <col min="267" max="267" width="10.83203125" style="70" hidden="1" customWidth="1"/>
    <col min="268" max="532" width="10.83203125" hidden="1" customWidth="1"/>
  </cols>
  <sheetData>
    <row r="1" spans="1:534" x14ac:dyDescent="0.2">
      <c r="A1" s="117" t="s">
        <v>1</v>
      </c>
      <c r="B1" s="117" t="s">
        <v>32</v>
      </c>
      <c r="C1" s="117" t="s">
        <v>0</v>
      </c>
      <c r="D1" s="117" t="s">
        <v>63</v>
      </c>
      <c r="E1" s="117" t="s">
        <v>2</v>
      </c>
      <c r="F1" s="119" t="s">
        <v>69</v>
      </c>
      <c r="G1" s="117" t="s">
        <v>12</v>
      </c>
      <c r="H1" s="117" t="s">
        <v>13</v>
      </c>
      <c r="I1" s="117" t="s">
        <v>96</v>
      </c>
      <c r="J1" s="118" t="s">
        <v>145</v>
      </c>
      <c r="K1" s="116" t="s">
        <v>37</v>
      </c>
      <c r="L1" s="120" t="s">
        <v>15</v>
      </c>
      <c r="M1" s="116" t="s">
        <v>38</v>
      </c>
      <c r="N1" s="116" t="s">
        <v>37</v>
      </c>
      <c r="O1" s="113" t="s">
        <v>104</v>
      </c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4" t="s">
        <v>111</v>
      </c>
      <c r="AQ1" s="114"/>
      <c r="AR1" s="114"/>
      <c r="AS1" s="114"/>
      <c r="AT1" s="114"/>
      <c r="AU1" s="114"/>
      <c r="AV1" s="114"/>
      <c r="AW1" s="114"/>
      <c r="AX1" s="114"/>
      <c r="AY1" s="114"/>
      <c r="AZ1" s="114"/>
      <c r="BA1" s="114"/>
      <c r="BB1" s="114"/>
      <c r="BC1" s="114"/>
      <c r="BD1" s="114"/>
      <c r="BE1" s="114"/>
      <c r="BF1" s="114"/>
      <c r="BG1" s="114"/>
      <c r="BH1" s="114"/>
      <c r="BI1" s="114"/>
      <c r="BJ1" s="114"/>
      <c r="BK1" s="114"/>
      <c r="BL1" s="114"/>
      <c r="BM1" s="114"/>
      <c r="BN1" s="114"/>
      <c r="BO1" s="114"/>
      <c r="BP1" s="114"/>
      <c r="BQ1" s="113" t="s">
        <v>146</v>
      </c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5" t="s">
        <v>15</v>
      </c>
      <c r="CS1" s="115"/>
      <c r="CT1" s="113" t="s">
        <v>116</v>
      </c>
      <c r="CU1" s="113"/>
      <c r="CV1" s="113"/>
      <c r="CW1" s="113"/>
      <c r="CX1" s="113"/>
      <c r="CY1" s="113"/>
      <c r="CZ1" s="113"/>
      <c r="DA1" s="113"/>
      <c r="DB1" s="113"/>
      <c r="DC1" s="113"/>
      <c r="DD1" s="113"/>
      <c r="DE1" s="113"/>
      <c r="DF1" s="113"/>
      <c r="DG1" s="113"/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4" t="s">
        <v>125</v>
      </c>
      <c r="EC1" s="114"/>
      <c r="ED1" s="114"/>
      <c r="EE1" s="114"/>
      <c r="EF1" s="114"/>
      <c r="EG1" s="114"/>
      <c r="EH1" s="114"/>
      <c r="EI1" s="114"/>
      <c r="EJ1" s="114"/>
      <c r="EK1" s="114"/>
      <c r="EL1" s="114"/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4"/>
      <c r="EX1" s="114"/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4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3"/>
      <c r="GG1" s="113"/>
      <c r="GH1" s="113"/>
      <c r="GI1" s="113"/>
      <c r="GJ1" s="113"/>
      <c r="GK1" s="113"/>
      <c r="GL1" s="113"/>
      <c r="GM1" s="113"/>
      <c r="GN1" s="113"/>
      <c r="GO1" s="113"/>
      <c r="GP1" s="113"/>
      <c r="GQ1" s="113"/>
      <c r="GR1" s="114"/>
      <c r="GS1" s="114"/>
      <c r="GT1" s="114"/>
      <c r="GU1" s="114"/>
      <c r="GV1" s="114"/>
      <c r="GW1" s="114"/>
      <c r="GX1" s="114"/>
      <c r="GY1" s="114"/>
      <c r="GZ1" s="114"/>
      <c r="HA1" s="114"/>
      <c r="HB1" s="114"/>
      <c r="HC1" s="114"/>
      <c r="HD1" s="114"/>
      <c r="HE1" s="114"/>
      <c r="HF1" s="114"/>
      <c r="HG1" s="114"/>
      <c r="HH1" s="114"/>
      <c r="HI1" s="114"/>
      <c r="HJ1" s="114"/>
      <c r="HK1" s="114"/>
      <c r="HL1" s="114"/>
      <c r="HM1" s="114"/>
      <c r="HN1" s="114"/>
      <c r="HO1" s="114"/>
      <c r="HP1" s="114"/>
      <c r="HQ1" s="114"/>
      <c r="HR1" s="114"/>
      <c r="HS1" s="114"/>
      <c r="HT1" s="114"/>
      <c r="HU1" s="114"/>
      <c r="HV1" s="114"/>
      <c r="HW1" s="114"/>
      <c r="HX1" s="114"/>
      <c r="HY1" s="114"/>
      <c r="HZ1" s="113"/>
      <c r="IA1" s="113"/>
      <c r="IB1" s="113"/>
      <c r="IC1" s="113"/>
      <c r="ID1" s="113"/>
      <c r="IE1" s="113"/>
      <c r="IF1" s="113"/>
      <c r="IG1" s="113"/>
      <c r="IH1" s="113"/>
      <c r="II1" s="113"/>
      <c r="IJ1" s="113"/>
      <c r="IK1" s="113"/>
      <c r="IL1" s="113"/>
      <c r="IM1" s="113"/>
      <c r="IN1" s="113"/>
      <c r="IO1" s="113"/>
      <c r="IP1" s="113"/>
      <c r="IQ1" s="113"/>
      <c r="IR1" s="113"/>
      <c r="IS1" s="113"/>
      <c r="IT1" s="113"/>
      <c r="IU1" s="113"/>
      <c r="IV1" s="113"/>
      <c r="IW1" s="113"/>
      <c r="IX1" s="113"/>
      <c r="IY1" s="113"/>
      <c r="IZ1" s="113"/>
      <c r="JA1" s="113"/>
      <c r="JB1" s="113"/>
      <c r="JC1" s="113"/>
      <c r="JD1" s="113"/>
      <c r="JE1" s="113"/>
      <c r="JF1" s="113"/>
      <c r="JG1" s="113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4"/>
      <c r="JS1" s="114"/>
      <c r="JT1" s="114"/>
      <c r="JU1" s="114"/>
      <c r="JV1" s="114"/>
      <c r="JW1" s="114"/>
      <c r="JX1" s="114"/>
      <c r="JY1" s="114"/>
      <c r="JZ1" s="114"/>
      <c r="KA1" s="114"/>
      <c r="KB1" s="114"/>
      <c r="KC1" s="114"/>
      <c r="KD1" s="114"/>
      <c r="KE1" s="114"/>
      <c r="KF1" s="114"/>
      <c r="KG1" s="114"/>
      <c r="KH1" s="114"/>
      <c r="KI1" s="114"/>
      <c r="KJ1" s="114"/>
      <c r="KK1" s="114"/>
      <c r="KL1" s="114"/>
      <c r="KM1" s="114"/>
      <c r="KN1" s="114"/>
      <c r="KO1" s="114"/>
      <c r="KP1" s="113"/>
      <c r="KQ1" s="113"/>
      <c r="KR1" s="113"/>
      <c r="KS1" s="113"/>
      <c r="KT1" s="113"/>
      <c r="KU1" s="113"/>
      <c r="KV1" s="113"/>
      <c r="KW1" s="113"/>
      <c r="KX1" s="113"/>
      <c r="KY1" s="113"/>
      <c r="KZ1" s="113"/>
      <c r="LA1" s="113"/>
      <c r="LB1" s="113"/>
      <c r="LC1" s="113"/>
      <c r="LD1" s="113"/>
      <c r="LE1" s="113"/>
      <c r="LF1" s="113"/>
      <c r="LG1" s="113"/>
      <c r="LH1" s="113"/>
      <c r="LI1" s="113"/>
      <c r="LJ1" s="113"/>
      <c r="LK1" s="113"/>
      <c r="LL1" s="113"/>
      <c r="LM1" s="113"/>
      <c r="LN1" s="113"/>
      <c r="LO1" s="113"/>
      <c r="LP1" s="113"/>
      <c r="LQ1" s="113"/>
      <c r="LR1" s="113"/>
      <c r="LS1" s="113"/>
      <c r="LT1" s="113"/>
      <c r="LU1" s="113"/>
      <c r="LV1" s="113"/>
      <c r="LW1" s="113"/>
      <c r="LX1" s="114"/>
      <c r="LY1" s="114"/>
      <c r="LZ1" s="114"/>
      <c r="MA1" s="114"/>
      <c r="MB1" s="114"/>
      <c r="MC1" s="114"/>
      <c r="MD1" s="114"/>
      <c r="ME1" s="114"/>
      <c r="MF1" s="114"/>
      <c r="MG1" s="114"/>
      <c r="MH1" s="114"/>
      <c r="MI1" s="114"/>
      <c r="MJ1" s="114"/>
      <c r="MK1" s="114"/>
      <c r="ML1" s="114"/>
      <c r="MM1" s="114"/>
      <c r="MN1" s="114"/>
      <c r="MO1" s="114"/>
      <c r="MP1" s="114"/>
      <c r="MQ1" s="114"/>
      <c r="MR1" s="114"/>
      <c r="MS1" s="114"/>
      <c r="MT1" s="114"/>
      <c r="MU1" s="114"/>
      <c r="MV1" s="114"/>
      <c r="MW1" s="114"/>
      <c r="MX1" s="114"/>
      <c r="MY1" s="114"/>
      <c r="MZ1" s="114"/>
      <c r="NA1" s="114"/>
      <c r="NB1" s="114"/>
      <c r="NC1" s="114"/>
      <c r="ND1" s="114"/>
      <c r="NE1" s="114"/>
      <c r="NF1" s="113"/>
      <c r="NG1" s="113"/>
      <c r="NH1" s="113"/>
      <c r="NI1" s="113"/>
      <c r="NJ1" s="113"/>
      <c r="NK1" s="113"/>
      <c r="NL1" s="113"/>
      <c r="NM1" s="113"/>
      <c r="NN1" s="113"/>
      <c r="NO1" s="113"/>
      <c r="NP1" s="113"/>
      <c r="NQ1" s="113"/>
      <c r="NR1" s="113"/>
      <c r="NS1" s="113"/>
      <c r="NT1" s="113"/>
      <c r="NU1" s="113"/>
      <c r="NV1" s="113"/>
      <c r="NW1" s="113"/>
      <c r="NX1" s="113"/>
      <c r="NY1" s="113"/>
      <c r="NZ1" s="113"/>
      <c r="OA1" s="113"/>
      <c r="OB1" s="113"/>
      <c r="OC1" s="113"/>
      <c r="OD1" s="113"/>
      <c r="OE1" s="113"/>
      <c r="OF1" s="113"/>
      <c r="OG1" s="113"/>
      <c r="OH1" s="113"/>
      <c r="OI1" s="113"/>
      <c r="OJ1" s="113"/>
      <c r="OK1" s="113"/>
      <c r="OL1" s="113"/>
      <c r="OM1" s="113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4"/>
      <c r="OY1" s="114"/>
      <c r="OZ1" s="114"/>
      <c r="PA1" s="114"/>
      <c r="PB1" s="114"/>
      <c r="PC1" s="114"/>
      <c r="PD1" s="114"/>
      <c r="PE1" s="114"/>
      <c r="PF1" s="114"/>
      <c r="PG1" s="114"/>
      <c r="PH1" s="114"/>
      <c r="PI1" s="114"/>
      <c r="PJ1" s="114"/>
      <c r="PK1" s="114"/>
      <c r="PL1" s="114"/>
      <c r="PM1" s="114"/>
      <c r="PN1" s="114"/>
      <c r="PO1" s="114"/>
      <c r="PP1" s="114"/>
      <c r="PQ1" s="114"/>
      <c r="PR1" s="114"/>
      <c r="PS1" s="114"/>
      <c r="PT1" s="114"/>
      <c r="PU1" s="114"/>
      <c r="PV1" s="113"/>
      <c r="PW1" s="113"/>
      <c r="PX1" s="113"/>
      <c r="PY1" s="113"/>
      <c r="PZ1" s="113"/>
      <c r="QA1" s="113"/>
      <c r="QB1" s="113"/>
      <c r="QC1" s="113"/>
      <c r="QD1" s="113"/>
      <c r="QE1" s="113"/>
      <c r="QF1" s="113"/>
      <c r="QG1" s="113"/>
      <c r="QH1" s="113"/>
      <c r="QI1" s="113"/>
      <c r="QJ1" s="113"/>
      <c r="QK1" s="113"/>
      <c r="QL1" s="113"/>
      <c r="QM1" s="113"/>
      <c r="QN1" s="113"/>
      <c r="QO1" s="113"/>
      <c r="QP1" s="113"/>
      <c r="QQ1" s="113"/>
      <c r="QR1" s="113"/>
      <c r="QS1" s="113"/>
      <c r="QT1" s="113"/>
      <c r="QU1" s="113"/>
      <c r="QV1" s="113"/>
      <c r="QW1" s="113"/>
      <c r="QX1" s="113"/>
      <c r="QY1" s="113"/>
      <c r="QZ1" s="113"/>
      <c r="RA1" s="113"/>
      <c r="RB1" s="113"/>
      <c r="RC1" s="113"/>
      <c r="RD1" s="114"/>
      <c r="RE1" s="114"/>
      <c r="RF1" s="114"/>
      <c r="RG1" s="114"/>
      <c r="RH1" s="114"/>
      <c r="RI1" s="114"/>
      <c r="RJ1" s="114"/>
      <c r="RK1" s="114"/>
      <c r="RL1" s="114"/>
      <c r="RM1" s="114"/>
      <c r="RN1" s="114"/>
      <c r="RO1" s="114"/>
      <c r="RP1" s="114"/>
      <c r="RQ1" s="114"/>
      <c r="RR1" s="114"/>
      <c r="RS1" s="114"/>
      <c r="RT1" s="114"/>
      <c r="RU1" s="114"/>
      <c r="RV1" s="114"/>
      <c r="RW1" s="114"/>
      <c r="RX1" s="114"/>
      <c r="RY1" s="114"/>
      <c r="RZ1" s="114"/>
      <c r="SA1" s="114"/>
      <c r="SB1" s="114"/>
      <c r="SC1" s="114"/>
      <c r="SD1" s="114"/>
      <c r="SE1" s="114"/>
      <c r="SF1" s="114"/>
      <c r="SG1" s="114"/>
      <c r="SH1" s="114"/>
      <c r="SI1" s="114"/>
      <c r="SJ1" s="114"/>
      <c r="SK1" s="114"/>
      <c r="SL1" s="113" t="s">
        <v>72</v>
      </c>
      <c r="SM1" s="113"/>
      <c r="SN1" s="113"/>
      <c r="SO1" s="113"/>
      <c r="SP1" s="113"/>
      <c r="SQ1" s="113"/>
      <c r="SR1" s="113"/>
      <c r="SS1" s="113"/>
      <c r="ST1" s="113"/>
      <c r="SU1" s="113"/>
      <c r="SV1" s="113"/>
      <c r="SW1" s="113"/>
      <c r="SX1" s="113"/>
      <c r="SY1" s="113"/>
      <c r="SZ1" s="113"/>
      <c r="TA1" s="113"/>
      <c r="TB1" s="113"/>
      <c r="TC1" s="113"/>
      <c r="TD1" s="113"/>
      <c r="TE1" s="113"/>
      <c r="TF1" s="113"/>
      <c r="TG1" s="113"/>
      <c r="TH1" s="113"/>
      <c r="TI1" s="113"/>
      <c r="TJ1" s="113"/>
      <c r="TK1" s="113"/>
      <c r="TL1" s="113"/>
    </row>
    <row r="2" spans="1:534" x14ac:dyDescent="0.2">
      <c r="A2" s="117"/>
      <c r="B2" s="117"/>
      <c r="C2" s="117"/>
      <c r="D2" s="117"/>
      <c r="E2" s="117"/>
      <c r="F2" s="119"/>
      <c r="G2" s="117"/>
      <c r="H2" s="117"/>
      <c r="I2" s="117"/>
      <c r="J2" s="118"/>
      <c r="K2" s="116"/>
      <c r="L2" s="120"/>
      <c r="M2" s="116"/>
      <c r="N2" s="116"/>
      <c r="O2" s="111" t="s">
        <v>20</v>
      </c>
      <c r="P2" s="111"/>
      <c r="Q2" s="111"/>
      <c r="R2" s="111"/>
      <c r="S2" s="111"/>
      <c r="T2" s="111" t="s">
        <v>21</v>
      </c>
      <c r="U2" s="111"/>
      <c r="V2" s="111"/>
      <c r="W2" s="111"/>
      <c r="X2" s="111"/>
      <c r="Y2" s="111" t="s">
        <v>24</v>
      </c>
      <c r="Z2" s="111"/>
      <c r="AA2" s="111"/>
      <c r="AB2" s="111"/>
      <c r="AC2" s="111"/>
      <c r="AD2" s="101"/>
      <c r="AE2" s="101" t="s">
        <v>135</v>
      </c>
      <c r="AF2" s="101" t="s">
        <v>136</v>
      </c>
      <c r="AG2" s="101" t="s">
        <v>22</v>
      </c>
      <c r="AH2" s="101" t="s">
        <v>87</v>
      </c>
      <c r="AI2" s="101" t="s">
        <v>137</v>
      </c>
      <c r="AJ2" s="101" t="s">
        <v>23</v>
      </c>
      <c r="AK2" s="101" t="s">
        <v>25</v>
      </c>
      <c r="AL2" s="101" t="s">
        <v>138</v>
      </c>
      <c r="AM2" s="101" t="s">
        <v>139</v>
      </c>
      <c r="AN2" s="101" t="s">
        <v>24</v>
      </c>
      <c r="AO2" s="101" t="s">
        <v>19</v>
      </c>
      <c r="AP2" s="112" t="s">
        <v>20</v>
      </c>
      <c r="AQ2" s="112"/>
      <c r="AR2" s="112"/>
      <c r="AS2" s="112"/>
      <c r="AT2" s="112"/>
      <c r="AU2" s="112" t="s">
        <v>21</v>
      </c>
      <c r="AV2" s="112"/>
      <c r="AW2" s="112"/>
      <c r="AX2" s="112"/>
      <c r="AY2" s="112"/>
      <c r="AZ2" s="112" t="s">
        <v>24</v>
      </c>
      <c r="BA2" s="112"/>
      <c r="BB2" s="112"/>
      <c r="BC2" s="112"/>
      <c r="BD2" s="112"/>
      <c r="BE2" s="102"/>
      <c r="BF2" s="102" t="s">
        <v>135</v>
      </c>
      <c r="BG2" s="102" t="s">
        <v>136</v>
      </c>
      <c r="BH2" s="102" t="s">
        <v>22</v>
      </c>
      <c r="BI2" s="102" t="s">
        <v>87</v>
      </c>
      <c r="BJ2" s="102" t="s">
        <v>137</v>
      </c>
      <c r="BK2" s="102" t="s">
        <v>23</v>
      </c>
      <c r="BL2" s="102" t="s">
        <v>25</v>
      </c>
      <c r="BM2" s="102" t="s">
        <v>138</v>
      </c>
      <c r="BN2" s="102" t="s">
        <v>139</v>
      </c>
      <c r="BO2" s="102" t="s">
        <v>24</v>
      </c>
      <c r="BP2" s="102" t="s">
        <v>19</v>
      </c>
      <c r="BQ2" s="111" t="s">
        <v>20</v>
      </c>
      <c r="BR2" s="111"/>
      <c r="BS2" s="111"/>
      <c r="BT2" s="111"/>
      <c r="BU2" s="111"/>
      <c r="BV2" s="111" t="s">
        <v>21</v>
      </c>
      <c r="BW2" s="111"/>
      <c r="BX2" s="111"/>
      <c r="BY2" s="111"/>
      <c r="BZ2" s="111"/>
      <c r="CA2" s="111" t="s">
        <v>24</v>
      </c>
      <c r="CB2" s="111"/>
      <c r="CC2" s="111"/>
      <c r="CD2" s="111"/>
      <c r="CE2" s="111"/>
      <c r="CF2" s="101"/>
      <c r="CG2" s="101" t="s">
        <v>135</v>
      </c>
      <c r="CH2" s="101" t="s">
        <v>136</v>
      </c>
      <c r="CI2" s="101" t="s">
        <v>22</v>
      </c>
      <c r="CJ2" s="101" t="s">
        <v>87</v>
      </c>
      <c r="CK2" s="101" t="s">
        <v>137</v>
      </c>
      <c r="CL2" s="101" t="s">
        <v>23</v>
      </c>
      <c r="CM2" s="101" t="s">
        <v>25</v>
      </c>
      <c r="CN2" s="101" t="s">
        <v>138</v>
      </c>
      <c r="CO2" s="101" t="s">
        <v>139</v>
      </c>
      <c r="CP2" s="101" t="s">
        <v>24</v>
      </c>
      <c r="CQ2" s="101" t="s">
        <v>19</v>
      </c>
      <c r="CR2" s="86" t="s">
        <v>25</v>
      </c>
      <c r="CS2" s="86" t="s">
        <v>24</v>
      </c>
      <c r="CT2" s="111" t="s">
        <v>20</v>
      </c>
      <c r="CU2" s="111"/>
      <c r="CV2" s="111"/>
      <c r="CW2" s="111"/>
      <c r="CX2" s="111"/>
      <c r="CY2" s="111" t="s">
        <v>21</v>
      </c>
      <c r="CZ2" s="111"/>
      <c r="DA2" s="111"/>
      <c r="DB2" s="111"/>
      <c r="DC2" s="111"/>
      <c r="DD2" s="111" t="s">
        <v>140</v>
      </c>
      <c r="DE2" s="111"/>
      <c r="DF2" s="111"/>
      <c r="DG2" s="111"/>
      <c r="DH2" s="111"/>
      <c r="DI2" s="111" t="s">
        <v>24</v>
      </c>
      <c r="DJ2" s="111"/>
      <c r="DK2" s="111"/>
      <c r="DL2" s="111"/>
      <c r="DM2" s="111"/>
      <c r="DN2" s="101" t="s">
        <v>135</v>
      </c>
      <c r="DO2" s="101" t="s">
        <v>136</v>
      </c>
      <c r="DP2" s="101" t="s">
        <v>22</v>
      </c>
      <c r="DQ2" s="101" t="s">
        <v>87</v>
      </c>
      <c r="DR2" s="101" t="s">
        <v>137</v>
      </c>
      <c r="DS2" s="101" t="s">
        <v>23</v>
      </c>
      <c r="DT2" s="101" t="s">
        <v>25</v>
      </c>
      <c r="DU2" s="101" t="s">
        <v>141</v>
      </c>
      <c r="DV2" s="101" t="s">
        <v>142</v>
      </c>
      <c r="DW2" s="101" t="s">
        <v>140</v>
      </c>
      <c r="DX2" s="101" t="s">
        <v>138</v>
      </c>
      <c r="DY2" s="101" t="s">
        <v>139</v>
      </c>
      <c r="DZ2" s="101" t="s">
        <v>24</v>
      </c>
      <c r="EA2" s="101" t="s">
        <v>19</v>
      </c>
      <c r="EB2" s="112" t="s">
        <v>20</v>
      </c>
      <c r="EC2" s="112"/>
      <c r="ED2" s="112"/>
      <c r="EE2" s="112"/>
      <c r="EF2" s="112"/>
      <c r="EG2" s="112" t="s">
        <v>21</v>
      </c>
      <c r="EH2" s="112"/>
      <c r="EI2" s="112"/>
      <c r="EJ2" s="112"/>
      <c r="EK2" s="112"/>
      <c r="EL2" s="112" t="s">
        <v>140</v>
      </c>
      <c r="EM2" s="112"/>
      <c r="EN2" s="112"/>
      <c r="EO2" s="112"/>
      <c r="EP2" s="112"/>
      <c r="EQ2" s="112" t="s">
        <v>24</v>
      </c>
      <c r="ER2" s="112"/>
      <c r="ES2" s="112"/>
      <c r="ET2" s="112"/>
      <c r="EU2" s="112"/>
      <c r="EV2" s="102" t="s">
        <v>135</v>
      </c>
      <c r="EW2" s="102" t="s">
        <v>136</v>
      </c>
      <c r="EX2" s="102" t="s">
        <v>22</v>
      </c>
      <c r="EY2" s="102" t="s">
        <v>87</v>
      </c>
      <c r="EZ2" s="102" t="s">
        <v>137</v>
      </c>
      <c r="FA2" s="102" t="s">
        <v>23</v>
      </c>
      <c r="FB2" s="102" t="s">
        <v>25</v>
      </c>
      <c r="FC2" s="102" t="s">
        <v>141</v>
      </c>
      <c r="FD2" s="102" t="s">
        <v>142</v>
      </c>
      <c r="FE2" s="102" t="s">
        <v>140</v>
      </c>
      <c r="FF2" s="102" t="s">
        <v>138</v>
      </c>
      <c r="FG2" s="102" t="s">
        <v>139</v>
      </c>
      <c r="FH2" s="102" t="s">
        <v>24</v>
      </c>
      <c r="FI2" s="102" t="s">
        <v>19</v>
      </c>
      <c r="FJ2" s="111" t="s">
        <v>20</v>
      </c>
      <c r="FK2" s="111"/>
      <c r="FL2" s="111"/>
      <c r="FM2" s="111"/>
      <c r="FN2" s="111"/>
      <c r="FO2" s="111" t="s">
        <v>21</v>
      </c>
      <c r="FP2" s="111"/>
      <c r="FQ2" s="111"/>
      <c r="FR2" s="111"/>
      <c r="FS2" s="111"/>
      <c r="FT2" s="111" t="s">
        <v>140</v>
      </c>
      <c r="FU2" s="111"/>
      <c r="FV2" s="111"/>
      <c r="FW2" s="111"/>
      <c r="FX2" s="111"/>
      <c r="FY2" s="111" t="s">
        <v>24</v>
      </c>
      <c r="FZ2" s="111"/>
      <c r="GA2" s="111"/>
      <c r="GB2" s="111"/>
      <c r="GC2" s="111"/>
      <c r="GD2" s="101" t="s">
        <v>135</v>
      </c>
      <c r="GE2" s="101" t="s">
        <v>136</v>
      </c>
      <c r="GF2" s="101" t="s">
        <v>22</v>
      </c>
      <c r="GG2" s="101" t="s">
        <v>87</v>
      </c>
      <c r="GH2" s="101" t="s">
        <v>137</v>
      </c>
      <c r="GI2" s="101" t="s">
        <v>23</v>
      </c>
      <c r="GJ2" s="101" t="s">
        <v>25</v>
      </c>
      <c r="GK2" s="101" t="s">
        <v>141</v>
      </c>
      <c r="GL2" s="101" t="s">
        <v>142</v>
      </c>
      <c r="GM2" s="101" t="s">
        <v>140</v>
      </c>
      <c r="GN2" s="101" t="s">
        <v>138</v>
      </c>
      <c r="GO2" s="101" t="s">
        <v>139</v>
      </c>
      <c r="GP2" s="101" t="s">
        <v>24</v>
      </c>
      <c r="GQ2" s="101" t="s">
        <v>19</v>
      </c>
      <c r="GR2" s="112" t="s">
        <v>20</v>
      </c>
      <c r="GS2" s="112"/>
      <c r="GT2" s="112"/>
      <c r="GU2" s="112"/>
      <c r="GV2" s="112"/>
      <c r="GW2" s="112" t="s">
        <v>21</v>
      </c>
      <c r="GX2" s="112"/>
      <c r="GY2" s="112"/>
      <c r="GZ2" s="112"/>
      <c r="HA2" s="112"/>
      <c r="HB2" s="112" t="s">
        <v>140</v>
      </c>
      <c r="HC2" s="112"/>
      <c r="HD2" s="112"/>
      <c r="HE2" s="112"/>
      <c r="HF2" s="112"/>
      <c r="HG2" s="112" t="s">
        <v>24</v>
      </c>
      <c r="HH2" s="112"/>
      <c r="HI2" s="112"/>
      <c r="HJ2" s="112"/>
      <c r="HK2" s="112"/>
      <c r="HL2" s="102" t="s">
        <v>135</v>
      </c>
      <c r="HM2" s="102" t="s">
        <v>136</v>
      </c>
      <c r="HN2" s="102" t="s">
        <v>22</v>
      </c>
      <c r="HO2" s="102" t="s">
        <v>87</v>
      </c>
      <c r="HP2" s="102" t="s">
        <v>137</v>
      </c>
      <c r="HQ2" s="102" t="s">
        <v>23</v>
      </c>
      <c r="HR2" s="102" t="s">
        <v>25</v>
      </c>
      <c r="HS2" s="102" t="s">
        <v>141</v>
      </c>
      <c r="HT2" s="102" t="s">
        <v>142</v>
      </c>
      <c r="HU2" s="102" t="s">
        <v>140</v>
      </c>
      <c r="HV2" s="102" t="s">
        <v>138</v>
      </c>
      <c r="HW2" s="102" t="s">
        <v>139</v>
      </c>
      <c r="HX2" s="102" t="s">
        <v>24</v>
      </c>
      <c r="HY2" s="102" t="s">
        <v>19</v>
      </c>
      <c r="HZ2" s="111" t="s">
        <v>20</v>
      </c>
      <c r="IA2" s="111"/>
      <c r="IB2" s="111"/>
      <c r="IC2" s="111"/>
      <c r="ID2" s="111"/>
      <c r="IE2" s="111" t="s">
        <v>21</v>
      </c>
      <c r="IF2" s="111"/>
      <c r="IG2" s="111"/>
      <c r="IH2" s="111"/>
      <c r="II2" s="111"/>
      <c r="IJ2" s="111" t="s">
        <v>140</v>
      </c>
      <c r="IK2" s="111"/>
      <c r="IL2" s="111"/>
      <c r="IM2" s="111"/>
      <c r="IN2" s="111"/>
      <c r="IO2" s="111" t="s">
        <v>24</v>
      </c>
      <c r="IP2" s="111"/>
      <c r="IQ2" s="111"/>
      <c r="IR2" s="111"/>
      <c r="IS2" s="111"/>
      <c r="IT2" s="101" t="s">
        <v>135</v>
      </c>
      <c r="IU2" s="101" t="s">
        <v>136</v>
      </c>
      <c r="IV2" s="101" t="s">
        <v>22</v>
      </c>
      <c r="IW2" s="101" t="s">
        <v>87</v>
      </c>
      <c r="IX2" s="101" t="s">
        <v>137</v>
      </c>
      <c r="IY2" s="101" t="s">
        <v>23</v>
      </c>
      <c r="IZ2" s="101" t="s">
        <v>25</v>
      </c>
      <c r="JA2" s="101" t="s">
        <v>141</v>
      </c>
      <c r="JB2" s="101" t="s">
        <v>142</v>
      </c>
      <c r="JC2" s="101" t="s">
        <v>140</v>
      </c>
      <c r="JD2" s="101" t="s">
        <v>138</v>
      </c>
      <c r="JE2" s="101" t="s">
        <v>139</v>
      </c>
      <c r="JF2" s="101" t="s">
        <v>24</v>
      </c>
      <c r="JG2" s="101" t="s">
        <v>19</v>
      </c>
      <c r="JH2" s="112" t="s">
        <v>20</v>
      </c>
      <c r="JI2" s="112"/>
      <c r="JJ2" s="112"/>
      <c r="JK2" s="112"/>
      <c r="JL2" s="112"/>
      <c r="JM2" s="112" t="s">
        <v>21</v>
      </c>
      <c r="JN2" s="112"/>
      <c r="JO2" s="112"/>
      <c r="JP2" s="112"/>
      <c r="JQ2" s="112"/>
      <c r="JR2" s="112" t="s">
        <v>140</v>
      </c>
      <c r="JS2" s="112"/>
      <c r="JT2" s="112"/>
      <c r="JU2" s="112"/>
      <c r="JV2" s="112"/>
      <c r="JW2" s="112" t="s">
        <v>24</v>
      </c>
      <c r="JX2" s="112"/>
      <c r="JY2" s="112"/>
      <c r="JZ2" s="112"/>
      <c r="KA2" s="112"/>
      <c r="KB2" s="102" t="s">
        <v>135</v>
      </c>
      <c r="KC2" s="102" t="s">
        <v>136</v>
      </c>
      <c r="KD2" s="102" t="s">
        <v>22</v>
      </c>
      <c r="KE2" s="102" t="s">
        <v>87</v>
      </c>
      <c r="KF2" s="102" t="s">
        <v>137</v>
      </c>
      <c r="KG2" s="102" t="s">
        <v>23</v>
      </c>
      <c r="KH2" s="102" t="s">
        <v>25</v>
      </c>
      <c r="KI2" s="102" t="s">
        <v>141</v>
      </c>
      <c r="KJ2" s="102" t="s">
        <v>142</v>
      </c>
      <c r="KK2" s="102" t="s">
        <v>140</v>
      </c>
      <c r="KL2" s="102" t="s">
        <v>138</v>
      </c>
      <c r="KM2" s="102" t="s">
        <v>139</v>
      </c>
      <c r="KN2" s="102" t="s">
        <v>24</v>
      </c>
      <c r="KO2" s="102" t="s">
        <v>19</v>
      </c>
      <c r="KP2" s="111" t="s">
        <v>20</v>
      </c>
      <c r="KQ2" s="111"/>
      <c r="KR2" s="111"/>
      <c r="KS2" s="111"/>
      <c r="KT2" s="111"/>
      <c r="KU2" s="111" t="s">
        <v>21</v>
      </c>
      <c r="KV2" s="111"/>
      <c r="KW2" s="111"/>
      <c r="KX2" s="111"/>
      <c r="KY2" s="111"/>
      <c r="KZ2" s="111" t="s">
        <v>140</v>
      </c>
      <c r="LA2" s="111"/>
      <c r="LB2" s="111"/>
      <c r="LC2" s="111"/>
      <c r="LD2" s="111"/>
      <c r="LE2" s="111" t="s">
        <v>24</v>
      </c>
      <c r="LF2" s="111"/>
      <c r="LG2" s="111"/>
      <c r="LH2" s="111"/>
      <c r="LI2" s="111"/>
      <c r="LJ2" s="101" t="s">
        <v>135</v>
      </c>
      <c r="LK2" s="101" t="s">
        <v>136</v>
      </c>
      <c r="LL2" s="101" t="s">
        <v>22</v>
      </c>
      <c r="LM2" s="101" t="s">
        <v>87</v>
      </c>
      <c r="LN2" s="101" t="s">
        <v>137</v>
      </c>
      <c r="LO2" s="101" t="s">
        <v>23</v>
      </c>
      <c r="LP2" s="101" t="s">
        <v>25</v>
      </c>
      <c r="LQ2" s="101" t="s">
        <v>141</v>
      </c>
      <c r="LR2" s="101" t="s">
        <v>142</v>
      </c>
      <c r="LS2" s="101" t="s">
        <v>140</v>
      </c>
      <c r="LT2" s="101" t="s">
        <v>138</v>
      </c>
      <c r="LU2" s="101" t="s">
        <v>139</v>
      </c>
      <c r="LV2" s="101" t="s">
        <v>24</v>
      </c>
      <c r="LW2" s="101" t="s">
        <v>19</v>
      </c>
      <c r="LX2" s="112" t="s">
        <v>20</v>
      </c>
      <c r="LY2" s="112"/>
      <c r="LZ2" s="112"/>
      <c r="MA2" s="112"/>
      <c r="MB2" s="112"/>
      <c r="MC2" s="112" t="s">
        <v>21</v>
      </c>
      <c r="MD2" s="112"/>
      <c r="ME2" s="112"/>
      <c r="MF2" s="112"/>
      <c r="MG2" s="112"/>
      <c r="MH2" s="112" t="s">
        <v>140</v>
      </c>
      <c r="MI2" s="112"/>
      <c r="MJ2" s="112"/>
      <c r="MK2" s="112"/>
      <c r="ML2" s="112"/>
      <c r="MM2" s="112" t="s">
        <v>24</v>
      </c>
      <c r="MN2" s="112"/>
      <c r="MO2" s="112"/>
      <c r="MP2" s="112"/>
      <c r="MQ2" s="112"/>
      <c r="MR2" s="102" t="s">
        <v>135</v>
      </c>
      <c r="MS2" s="102" t="s">
        <v>136</v>
      </c>
      <c r="MT2" s="102" t="s">
        <v>22</v>
      </c>
      <c r="MU2" s="102" t="s">
        <v>87</v>
      </c>
      <c r="MV2" s="102" t="s">
        <v>137</v>
      </c>
      <c r="MW2" s="102" t="s">
        <v>23</v>
      </c>
      <c r="MX2" s="102" t="s">
        <v>25</v>
      </c>
      <c r="MY2" s="102" t="s">
        <v>141</v>
      </c>
      <c r="MZ2" s="102" t="s">
        <v>142</v>
      </c>
      <c r="NA2" s="102" t="s">
        <v>140</v>
      </c>
      <c r="NB2" s="102" t="s">
        <v>138</v>
      </c>
      <c r="NC2" s="102" t="s">
        <v>139</v>
      </c>
      <c r="ND2" s="102" t="s">
        <v>24</v>
      </c>
      <c r="NE2" s="102" t="s">
        <v>19</v>
      </c>
      <c r="NF2" s="111" t="s">
        <v>20</v>
      </c>
      <c r="NG2" s="111"/>
      <c r="NH2" s="111"/>
      <c r="NI2" s="111"/>
      <c r="NJ2" s="111"/>
      <c r="NK2" s="111" t="s">
        <v>21</v>
      </c>
      <c r="NL2" s="111"/>
      <c r="NM2" s="111"/>
      <c r="NN2" s="111"/>
      <c r="NO2" s="111"/>
      <c r="NP2" s="111" t="s">
        <v>140</v>
      </c>
      <c r="NQ2" s="111"/>
      <c r="NR2" s="111"/>
      <c r="NS2" s="111"/>
      <c r="NT2" s="111"/>
      <c r="NU2" s="111" t="s">
        <v>24</v>
      </c>
      <c r="NV2" s="111"/>
      <c r="NW2" s="111"/>
      <c r="NX2" s="111"/>
      <c r="NY2" s="111"/>
      <c r="NZ2" s="101" t="s">
        <v>135</v>
      </c>
      <c r="OA2" s="101" t="s">
        <v>136</v>
      </c>
      <c r="OB2" s="101" t="s">
        <v>22</v>
      </c>
      <c r="OC2" s="101" t="s">
        <v>87</v>
      </c>
      <c r="OD2" s="101" t="s">
        <v>137</v>
      </c>
      <c r="OE2" s="101" t="s">
        <v>23</v>
      </c>
      <c r="OF2" s="101" t="s">
        <v>25</v>
      </c>
      <c r="OG2" s="101" t="s">
        <v>141</v>
      </c>
      <c r="OH2" s="101" t="s">
        <v>142</v>
      </c>
      <c r="OI2" s="101" t="s">
        <v>140</v>
      </c>
      <c r="OJ2" s="101" t="s">
        <v>138</v>
      </c>
      <c r="OK2" s="101" t="s">
        <v>139</v>
      </c>
      <c r="OL2" s="101" t="s">
        <v>24</v>
      </c>
      <c r="OM2" s="101" t="s">
        <v>19</v>
      </c>
      <c r="ON2" s="112" t="s">
        <v>20</v>
      </c>
      <c r="OO2" s="112"/>
      <c r="OP2" s="112"/>
      <c r="OQ2" s="112"/>
      <c r="OR2" s="112"/>
      <c r="OS2" s="112" t="s">
        <v>21</v>
      </c>
      <c r="OT2" s="112"/>
      <c r="OU2" s="112"/>
      <c r="OV2" s="112"/>
      <c r="OW2" s="112"/>
      <c r="OX2" s="112" t="s">
        <v>140</v>
      </c>
      <c r="OY2" s="112"/>
      <c r="OZ2" s="112"/>
      <c r="PA2" s="112"/>
      <c r="PB2" s="112"/>
      <c r="PC2" s="112" t="s">
        <v>24</v>
      </c>
      <c r="PD2" s="112"/>
      <c r="PE2" s="112"/>
      <c r="PF2" s="112"/>
      <c r="PG2" s="112"/>
      <c r="PH2" s="102" t="s">
        <v>135</v>
      </c>
      <c r="PI2" s="102" t="s">
        <v>136</v>
      </c>
      <c r="PJ2" s="102" t="s">
        <v>22</v>
      </c>
      <c r="PK2" s="102" t="s">
        <v>87</v>
      </c>
      <c r="PL2" s="102" t="s">
        <v>137</v>
      </c>
      <c r="PM2" s="102" t="s">
        <v>23</v>
      </c>
      <c r="PN2" s="102" t="s">
        <v>25</v>
      </c>
      <c r="PO2" s="102" t="s">
        <v>141</v>
      </c>
      <c r="PP2" s="102" t="s">
        <v>142</v>
      </c>
      <c r="PQ2" s="102" t="s">
        <v>140</v>
      </c>
      <c r="PR2" s="102" t="s">
        <v>138</v>
      </c>
      <c r="PS2" s="102" t="s">
        <v>139</v>
      </c>
      <c r="PT2" s="102" t="s">
        <v>24</v>
      </c>
      <c r="PU2" s="102" t="s">
        <v>19</v>
      </c>
      <c r="PV2" s="111" t="s">
        <v>20</v>
      </c>
      <c r="PW2" s="111"/>
      <c r="PX2" s="111"/>
      <c r="PY2" s="111"/>
      <c r="PZ2" s="111"/>
      <c r="QA2" s="111" t="s">
        <v>21</v>
      </c>
      <c r="QB2" s="111"/>
      <c r="QC2" s="111"/>
      <c r="QD2" s="111"/>
      <c r="QE2" s="111"/>
      <c r="QF2" s="111" t="s">
        <v>140</v>
      </c>
      <c r="QG2" s="111"/>
      <c r="QH2" s="111"/>
      <c r="QI2" s="111"/>
      <c r="QJ2" s="111"/>
      <c r="QK2" s="111" t="s">
        <v>24</v>
      </c>
      <c r="QL2" s="111"/>
      <c r="QM2" s="111"/>
      <c r="QN2" s="111"/>
      <c r="QO2" s="111"/>
      <c r="QP2" s="101" t="s">
        <v>135</v>
      </c>
      <c r="QQ2" s="101" t="s">
        <v>136</v>
      </c>
      <c r="QR2" s="101" t="s">
        <v>22</v>
      </c>
      <c r="QS2" s="101" t="s">
        <v>87</v>
      </c>
      <c r="QT2" s="101" t="s">
        <v>137</v>
      </c>
      <c r="QU2" s="101" t="s">
        <v>23</v>
      </c>
      <c r="QV2" s="101" t="s">
        <v>25</v>
      </c>
      <c r="QW2" s="101" t="s">
        <v>141</v>
      </c>
      <c r="QX2" s="101" t="s">
        <v>142</v>
      </c>
      <c r="QY2" s="101" t="s">
        <v>140</v>
      </c>
      <c r="QZ2" s="101" t="s">
        <v>138</v>
      </c>
      <c r="RA2" s="101" t="s">
        <v>139</v>
      </c>
      <c r="RB2" s="101" t="s">
        <v>24</v>
      </c>
      <c r="RC2" s="101" t="s">
        <v>19</v>
      </c>
      <c r="RD2" s="112" t="s">
        <v>20</v>
      </c>
      <c r="RE2" s="112"/>
      <c r="RF2" s="112"/>
      <c r="RG2" s="112"/>
      <c r="RH2" s="112"/>
      <c r="RI2" s="112" t="s">
        <v>21</v>
      </c>
      <c r="RJ2" s="112"/>
      <c r="RK2" s="112"/>
      <c r="RL2" s="112"/>
      <c r="RM2" s="112"/>
      <c r="RN2" s="112" t="s">
        <v>140</v>
      </c>
      <c r="RO2" s="112"/>
      <c r="RP2" s="112"/>
      <c r="RQ2" s="112"/>
      <c r="RR2" s="112"/>
      <c r="RS2" s="112" t="s">
        <v>24</v>
      </c>
      <c r="RT2" s="112"/>
      <c r="RU2" s="112"/>
      <c r="RV2" s="112"/>
      <c r="RW2" s="112"/>
      <c r="RX2" s="102" t="s">
        <v>135</v>
      </c>
      <c r="RY2" s="102" t="s">
        <v>136</v>
      </c>
      <c r="RZ2" s="102" t="s">
        <v>22</v>
      </c>
      <c r="SA2" s="102" t="s">
        <v>87</v>
      </c>
      <c r="SB2" s="102" t="s">
        <v>137</v>
      </c>
      <c r="SC2" s="102" t="s">
        <v>23</v>
      </c>
      <c r="SD2" s="102" t="s">
        <v>25</v>
      </c>
      <c r="SE2" s="102" t="s">
        <v>141</v>
      </c>
      <c r="SF2" s="102" t="s">
        <v>142</v>
      </c>
      <c r="SG2" s="102" t="s">
        <v>140</v>
      </c>
      <c r="SH2" s="102" t="s">
        <v>138</v>
      </c>
      <c r="SI2" s="102" t="s">
        <v>139</v>
      </c>
      <c r="SJ2" s="102" t="s">
        <v>24</v>
      </c>
      <c r="SK2" s="102" t="s">
        <v>19</v>
      </c>
      <c r="SL2" s="111" t="s">
        <v>20</v>
      </c>
      <c r="SM2" s="111"/>
      <c r="SN2" s="111"/>
      <c r="SO2" s="111"/>
      <c r="SP2" s="111"/>
      <c r="SQ2" s="111" t="s">
        <v>21</v>
      </c>
      <c r="SR2" s="111"/>
      <c r="SS2" s="111"/>
      <c r="ST2" s="111"/>
      <c r="SU2" s="111"/>
      <c r="SV2" s="111" t="s">
        <v>24</v>
      </c>
      <c r="SW2" s="111"/>
      <c r="SX2" s="111"/>
      <c r="SY2" s="111"/>
      <c r="SZ2" s="111"/>
      <c r="TA2" s="101"/>
      <c r="TB2" s="101" t="s">
        <v>135</v>
      </c>
      <c r="TC2" s="101" t="s">
        <v>136</v>
      </c>
      <c r="TD2" s="101" t="s">
        <v>22</v>
      </c>
      <c r="TE2" s="101" t="s">
        <v>87</v>
      </c>
      <c r="TF2" s="101" t="s">
        <v>137</v>
      </c>
      <c r="TG2" s="101" t="s">
        <v>23</v>
      </c>
      <c r="TH2" s="101" t="s">
        <v>25</v>
      </c>
      <c r="TI2" s="101" t="s">
        <v>138</v>
      </c>
      <c r="TJ2" s="101" t="s">
        <v>139</v>
      </c>
      <c r="TK2" s="101" t="s">
        <v>24</v>
      </c>
      <c r="TL2" s="101" t="s">
        <v>19</v>
      </c>
    </row>
    <row r="3" spans="1:534" x14ac:dyDescent="0.2">
      <c r="A3" s="117"/>
      <c r="B3" s="117"/>
      <c r="C3" s="117"/>
      <c r="D3" s="117"/>
      <c r="E3" s="117"/>
      <c r="F3" s="119"/>
      <c r="G3" s="117"/>
      <c r="H3" s="117"/>
      <c r="I3" s="117"/>
      <c r="J3" s="118"/>
      <c r="K3" s="116"/>
      <c r="L3" s="120"/>
      <c r="M3" s="116"/>
      <c r="N3" s="116"/>
      <c r="O3" s="101" t="s">
        <v>16</v>
      </c>
      <c r="P3" s="101" t="s">
        <v>17</v>
      </c>
      <c r="Q3" s="101" t="s">
        <v>11</v>
      </c>
      <c r="R3" s="101" t="s">
        <v>18</v>
      </c>
      <c r="S3" s="101" t="s">
        <v>34</v>
      </c>
      <c r="T3" s="101" t="s">
        <v>16</v>
      </c>
      <c r="U3" s="101" t="s">
        <v>17</v>
      </c>
      <c r="V3" s="101" t="s">
        <v>11</v>
      </c>
      <c r="W3" s="101" t="s">
        <v>18</v>
      </c>
      <c r="X3" s="101" t="s">
        <v>34</v>
      </c>
      <c r="Y3" s="101" t="s">
        <v>16</v>
      </c>
      <c r="Z3" s="101" t="s">
        <v>17</v>
      </c>
      <c r="AA3" s="101" t="s">
        <v>11</v>
      </c>
      <c r="AB3" s="101" t="s">
        <v>18</v>
      </c>
      <c r="AC3" s="101" t="s">
        <v>34</v>
      </c>
      <c r="AD3" s="101" t="s">
        <v>60</v>
      </c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2" t="s">
        <v>16</v>
      </c>
      <c r="AQ3" s="102" t="s">
        <v>17</v>
      </c>
      <c r="AR3" s="102" t="s">
        <v>11</v>
      </c>
      <c r="AS3" s="102" t="s">
        <v>18</v>
      </c>
      <c r="AT3" s="102" t="s">
        <v>34</v>
      </c>
      <c r="AU3" s="102" t="s">
        <v>16</v>
      </c>
      <c r="AV3" s="102" t="s">
        <v>17</v>
      </c>
      <c r="AW3" s="102" t="s">
        <v>11</v>
      </c>
      <c r="AX3" s="102" t="s">
        <v>18</v>
      </c>
      <c r="AY3" s="102" t="s">
        <v>34</v>
      </c>
      <c r="AZ3" s="102" t="s">
        <v>16</v>
      </c>
      <c r="BA3" s="102" t="s">
        <v>17</v>
      </c>
      <c r="BB3" s="102" t="s">
        <v>11</v>
      </c>
      <c r="BC3" s="102" t="s">
        <v>18</v>
      </c>
      <c r="BD3" s="102" t="s">
        <v>34</v>
      </c>
      <c r="BE3" s="102" t="s">
        <v>60</v>
      </c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1" t="s">
        <v>16</v>
      </c>
      <c r="BR3" s="101" t="s">
        <v>17</v>
      </c>
      <c r="BS3" s="101" t="s">
        <v>11</v>
      </c>
      <c r="BT3" s="101" t="s">
        <v>18</v>
      </c>
      <c r="BU3" s="101" t="s">
        <v>34</v>
      </c>
      <c r="BV3" s="101" t="s">
        <v>16</v>
      </c>
      <c r="BW3" s="101" t="s">
        <v>17</v>
      </c>
      <c r="BX3" s="101" t="s">
        <v>11</v>
      </c>
      <c r="BY3" s="101" t="s">
        <v>18</v>
      </c>
      <c r="BZ3" s="101" t="s">
        <v>34</v>
      </c>
      <c r="CA3" s="101" t="s">
        <v>16</v>
      </c>
      <c r="CB3" s="101" t="s">
        <v>17</v>
      </c>
      <c r="CC3" s="101" t="s">
        <v>11</v>
      </c>
      <c r="CD3" s="101" t="s">
        <v>18</v>
      </c>
      <c r="CE3" s="101" t="s">
        <v>34</v>
      </c>
      <c r="CF3" s="101" t="s">
        <v>60</v>
      </c>
      <c r="CG3" s="101"/>
      <c r="CH3" s="101"/>
      <c r="CI3" s="101"/>
      <c r="CJ3" s="101"/>
      <c r="CK3" s="101"/>
      <c r="CL3" s="101"/>
      <c r="CM3" s="101"/>
      <c r="CN3" s="101"/>
      <c r="CO3" s="101"/>
      <c r="CP3" s="101"/>
      <c r="CQ3" s="101"/>
      <c r="CR3" s="86"/>
      <c r="CS3" s="86"/>
      <c r="CT3" s="101" t="s">
        <v>16</v>
      </c>
      <c r="CU3" s="101" t="s">
        <v>17</v>
      </c>
      <c r="CV3" s="101" t="s">
        <v>11</v>
      </c>
      <c r="CW3" s="101" t="s">
        <v>18</v>
      </c>
      <c r="CX3" s="101" t="s">
        <v>34</v>
      </c>
      <c r="CY3" s="101" t="s">
        <v>16</v>
      </c>
      <c r="CZ3" s="101" t="s">
        <v>17</v>
      </c>
      <c r="DA3" s="101" t="s">
        <v>11</v>
      </c>
      <c r="DB3" s="101" t="s">
        <v>18</v>
      </c>
      <c r="DC3" s="101" t="s">
        <v>34</v>
      </c>
      <c r="DD3" s="101" t="s">
        <v>16</v>
      </c>
      <c r="DE3" s="101" t="s">
        <v>17</v>
      </c>
      <c r="DF3" s="101" t="s">
        <v>11</v>
      </c>
      <c r="DG3" s="101" t="s">
        <v>18</v>
      </c>
      <c r="DH3" s="101" t="s">
        <v>34</v>
      </c>
      <c r="DI3" s="101" t="s">
        <v>16</v>
      </c>
      <c r="DJ3" s="101" t="s">
        <v>17</v>
      </c>
      <c r="DK3" s="101" t="s">
        <v>11</v>
      </c>
      <c r="DL3" s="101" t="s">
        <v>18</v>
      </c>
      <c r="DM3" s="101" t="s">
        <v>34</v>
      </c>
      <c r="DN3" s="10"/>
      <c r="DO3" s="10"/>
      <c r="DP3" s="9"/>
      <c r="DQ3" s="9"/>
      <c r="DR3" s="9"/>
      <c r="DS3" s="9"/>
      <c r="DT3" s="9"/>
      <c r="DU3" s="9"/>
      <c r="DV3" s="9"/>
      <c r="DW3" s="9"/>
      <c r="DX3" s="9"/>
      <c r="DY3" s="9"/>
      <c r="DZ3" s="10"/>
      <c r="EA3" s="101"/>
      <c r="EB3" s="102" t="s">
        <v>16</v>
      </c>
      <c r="EC3" s="102" t="s">
        <v>17</v>
      </c>
      <c r="ED3" s="102" t="s">
        <v>11</v>
      </c>
      <c r="EE3" s="102" t="s">
        <v>18</v>
      </c>
      <c r="EF3" s="102" t="s">
        <v>34</v>
      </c>
      <c r="EG3" s="102" t="s">
        <v>16</v>
      </c>
      <c r="EH3" s="102" t="s">
        <v>17</v>
      </c>
      <c r="EI3" s="102" t="s">
        <v>11</v>
      </c>
      <c r="EJ3" s="102" t="s">
        <v>18</v>
      </c>
      <c r="EK3" s="102" t="s">
        <v>34</v>
      </c>
      <c r="EL3" s="102" t="s">
        <v>16</v>
      </c>
      <c r="EM3" s="102" t="s">
        <v>17</v>
      </c>
      <c r="EN3" s="102" t="s">
        <v>11</v>
      </c>
      <c r="EO3" s="102" t="s">
        <v>18</v>
      </c>
      <c r="EP3" s="102" t="s">
        <v>34</v>
      </c>
      <c r="EQ3" s="102" t="s">
        <v>16</v>
      </c>
      <c r="ER3" s="102" t="s">
        <v>17</v>
      </c>
      <c r="ES3" s="102" t="s">
        <v>11</v>
      </c>
      <c r="ET3" s="102" t="s">
        <v>18</v>
      </c>
      <c r="EU3" s="102" t="s">
        <v>34</v>
      </c>
      <c r="EV3" s="12"/>
      <c r="EW3" s="12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2"/>
      <c r="FI3" s="102"/>
      <c r="FJ3" s="101" t="s">
        <v>16</v>
      </c>
      <c r="FK3" s="101" t="s">
        <v>17</v>
      </c>
      <c r="FL3" s="101" t="s">
        <v>11</v>
      </c>
      <c r="FM3" s="101" t="s">
        <v>18</v>
      </c>
      <c r="FN3" s="101" t="s">
        <v>34</v>
      </c>
      <c r="FO3" s="101" t="s">
        <v>16</v>
      </c>
      <c r="FP3" s="101" t="s">
        <v>17</v>
      </c>
      <c r="FQ3" s="101" t="s">
        <v>11</v>
      </c>
      <c r="FR3" s="101" t="s">
        <v>18</v>
      </c>
      <c r="FS3" s="101" t="s">
        <v>34</v>
      </c>
      <c r="FT3" s="101" t="s">
        <v>16</v>
      </c>
      <c r="FU3" s="101" t="s">
        <v>17</v>
      </c>
      <c r="FV3" s="101" t="s">
        <v>11</v>
      </c>
      <c r="FW3" s="101" t="s">
        <v>18</v>
      </c>
      <c r="FX3" s="101" t="s">
        <v>34</v>
      </c>
      <c r="FY3" s="101" t="s">
        <v>16</v>
      </c>
      <c r="FZ3" s="101" t="s">
        <v>17</v>
      </c>
      <c r="GA3" s="101" t="s">
        <v>11</v>
      </c>
      <c r="GB3" s="101" t="s">
        <v>18</v>
      </c>
      <c r="GC3" s="101" t="s">
        <v>34</v>
      </c>
      <c r="GD3" s="10"/>
      <c r="GE3" s="10"/>
      <c r="GF3" s="9"/>
      <c r="GG3" s="9"/>
      <c r="GH3" s="9"/>
      <c r="GI3" s="9"/>
      <c r="GJ3" s="9"/>
      <c r="GK3" s="9"/>
      <c r="GL3" s="9"/>
      <c r="GM3" s="9"/>
      <c r="GN3" s="9"/>
      <c r="GO3" s="9"/>
      <c r="GP3" s="10"/>
      <c r="GQ3" s="101"/>
      <c r="GR3" s="102" t="s">
        <v>16</v>
      </c>
      <c r="GS3" s="102" t="s">
        <v>17</v>
      </c>
      <c r="GT3" s="102" t="s">
        <v>11</v>
      </c>
      <c r="GU3" s="102" t="s">
        <v>18</v>
      </c>
      <c r="GV3" s="102" t="s">
        <v>34</v>
      </c>
      <c r="GW3" s="102" t="s">
        <v>16</v>
      </c>
      <c r="GX3" s="102" t="s">
        <v>17</v>
      </c>
      <c r="GY3" s="102" t="s">
        <v>11</v>
      </c>
      <c r="GZ3" s="102" t="s">
        <v>18</v>
      </c>
      <c r="HA3" s="102" t="s">
        <v>34</v>
      </c>
      <c r="HB3" s="102" t="s">
        <v>16</v>
      </c>
      <c r="HC3" s="102" t="s">
        <v>17</v>
      </c>
      <c r="HD3" s="102" t="s">
        <v>11</v>
      </c>
      <c r="HE3" s="102" t="s">
        <v>18</v>
      </c>
      <c r="HF3" s="102" t="s">
        <v>34</v>
      </c>
      <c r="HG3" s="102" t="s">
        <v>16</v>
      </c>
      <c r="HH3" s="102" t="s">
        <v>17</v>
      </c>
      <c r="HI3" s="102" t="s">
        <v>11</v>
      </c>
      <c r="HJ3" s="102" t="s">
        <v>18</v>
      </c>
      <c r="HK3" s="102" t="s">
        <v>34</v>
      </c>
      <c r="HL3" s="12"/>
      <c r="HM3" s="12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2"/>
      <c r="HY3" s="102"/>
      <c r="HZ3" s="101" t="s">
        <v>16</v>
      </c>
      <c r="IA3" s="101" t="s">
        <v>17</v>
      </c>
      <c r="IB3" s="101" t="s">
        <v>11</v>
      </c>
      <c r="IC3" s="101" t="s">
        <v>18</v>
      </c>
      <c r="ID3" s="101" t="s">
        <v>34</v>
      </c>
      <c r="IE3" s="101" t="s">
        <v>16</v>
      </c>
      <c r="IF3" s="101" t="s">
        <v>17</v>
      </c>
      <c r="IG3" s="101" t="s">
        <v>11</v>
      </c>
      <c r="IH3" s="101" t="s">
        <v>18</v>
      </c>
      <c r="II3" s="101" t="s">
        <v>34</v>
      </c>
      <c r="IJ3" s="101" t="s">
        <v>16</v>
      </c>
      <c r="IK3" s="101" t="s">
        <v>17</v>
      </c>
      <c r="IL3" s="101" t="s">
        <v>11</v>
      </c>
      <c r="IM3" s="101" t="s">
        <v>18</v>
      </c>
      <c r="IN3" s="101" t="s">
        <v>34</v>
      </c>
      <c r="IO3" s="101" t="s">
        <v>16</v>
      </c>
      <c r="IP3" s="101" t="s">
        <v>17</v>
      </c>
      <c r="IQ3" s="101" t="s">
        <v>11</v>
      </c>
      <c r="IR3" s="101" t="s">
        <v>18</v>
      </c>
      <c r="IS3" s="101" t="s">
        <v>34</v>
      </c>
      <c r="IT3" s="10"/>
      <c r="IU3" s="10"/>
      <c r="IV3" s="9"/>
      <c r="IW3" s="9"/>
      <c r="IX3" s="9"/>
      <c r="IY3" s="9"/>
      <c r="IZ3" s="9"/>
      <c r="JA3" s="9"/>
      <c r="JB3" s="9"/>
      <c r="JC3" s="9"/>
      <c r="JD3" s="9"/>
      <c r="JE3" s="9"/>
      <c r="JF3" s="10"/>
      <c r="JG3" s="101"/>
      <c r="JH3" s="102" t="s">
        <v>16</v>
      </c>
      <c r="JI3" s="102" t="s">
        <v>17</v>
      </c>
      <c r="JJ3" s="102" t="s">
        <v>11</v>
      </c>
      <c r="JK3" s="102" t="s">
        <v>18</v>
      </c>
      <c r="JL3" s="102" t="s">
        <v>34</v>
      </c>
      <c r="JM3" s="102" t="s">
        <v>16</v>
      </c>
      <c r="JN3" s="102" t="s">
        <v>17</v>
      </c>
      <c r="JO3" s="102" t="s">
        <v>11</v>
      </c>
      <c r="JP3" s="102" t="s">
        <v>18</v>
      </c>
      <c r="JQ3" s="102" t="s">
        <v>34</v>
      </c>
      <c r="JR3" s="102" t="s">
        <v>16</v>
      </c>
      <c r="JS3" s="102" t="s">
        <v>17</v>
      </c>
      <c r="JT3" s="102" t="s">
        <v>11</v>
      </c>
      <c r="JU3" s="102" t="s">
        <v>18</v>
      </c>
      <c r="JV3" s="102" t="s">
        <v>34</v>
      </c>
      <c r="JW3" s="102" t="s">
        <v>16</v>
      </c>
      <c r="JX3" s="102" t="s">
        <v>17</v>
      </c>
      <c r="JY3" s="102" t="s">
        <v>11</v>
      </c>
      <c r="JZ3" s="102" t="s">
        <v>18</v>
      </c>
      <c r="KA3" s="102" t="s">
        <v>34</v>
      </c>
      <c r="KB3" s="12"/>
      <c r="KC3" s="12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2"/>
      <c r="KO3" s="12"/>
      <c r="KP3" s="101" t="s">
        <v>16</v>
      </c>
      <c r="KQ3" s="101" t="s">
        <v>17</v>
      </c>
      <c r="KR3" s="101" t="s">
        <v>11</v>
      </c>
      <c r="KS3" s="101" t="s">
        <v>18</v>
      </c>
      <c r="KT3" s="101" t="s">
        <v>34</v>
      </c>
      <c r="KU3" s="101" t="s">
        <v>16</v>
      </c>
      <c r="KV3" s="101" t="s">
        <v>17</v>
      </c>
      <c r="KW3" s="101" t="s">
        <v>11</v>
      </c>
      <c r="KX3" s="101" t="s">
        <v>18</v>
      </c>
      <c r="KY3" s="101" t="s">
        <v>34</v>
      </c>
      <c r="KZ3" s="101" t="s">
        <v>16</v>
      </c>
      <c r="LA3" s="101" t="s">
        <v>17</v>
      </c>
      <c r="LB3" s="101" t="s">
        <v>11</v>
      </c>
      <c r="LC3" s="101" t="s">
        <v>18</v>
      </c>
      <c r="LD3" s="101" t="s">
        <v>34</v>
      </c>
      <c r="LE3" s="101" t="s">
        <v>16</v>
      </c>
      <c r="LF3" s="101" t="s">
        <v>17</v>
      </c>
      <c r="LG3" s="101" t="s">
        <v>11</v>
      </c>
      <c r="LH3" s="101" t="s">
        <v>18</v>
      </c>
      <c r="LI3" s="101" t="s">
        <v>34</v>
      </c>
      <c r="LJ3" s="10"/>
      <c r="LK3" s="10"/>
      <c r="LL3" s="9"/>
      <c r="LM3" s="9"/>
      <c r="LN3" s="9"/>
      <c r="LO3" s="9"/>
      <c r="LP3" s="9"/>
      <c r="LQ3" s="9"/>
      <c r="LR3" s="9"/>
      <c r="LS3" s="9"/>
      <c r="LT3" s="9"/>
      <c r="LU3" s="9"/>
      <c r="LV3" s="10"/>
      <c r="LW3" s="10"/>
      <c r="LX3" s="102" t="s">
        <v>16</v>
      </c>
      <c r="LY3" s="102" t="s">
        <v>17</v>
      </c>
      <c r="LZ3" s="102" t="s">
        <v>11</v>
      </c>
      <c r="MA3" s="102" t="s">
        <v>18</v>
      </c>
      <c r="MB3" s="102" t="s">
        <v>34</v>
      </c>
      <c r="MC3" s="102" t="s">
        <v>16</v>
      </c>
      <c r="MD3" s="102" t="s">
        <v>17</v>
      </c>
      <c r="ME3" s="102" t="s">
        <v>11</v>
      </c>
      <c r="MF3" s="102" t="s">
        <v>18</v>
      </c>
      <c r="MG3" s="102" t="s">
        <v>34</v>
      </c>
      <c r="MH3" s="102" t="s">
        <v>16</v>
      </c>
      <c r="MI3" s="102" t="s">
        <v>17</v>
      </c>
      <c r="MJ3" s="102" t="s">
        <v>11</v>
      </c>
      <c r="MK3" s="102" t="s">
        <v>18</v>
      </c>
      <c r="ML3" s="102" t="s">
        <v>34</v>
      </c>
      <c r="MM3" s="102" t="s">
        <v>16</v>
      </c>
      <c r="MN3" s="102" t="s">
        <v>17</v>
      </c>
      <c r="MO3" s="102" t="s">
        <v>11</v>
      </c>
      <c r="MP3" s="102" t="s">
        <v>18</v>
      </c>
      <c r="MQ3" s="102" t="s">
        <v>34</v>
      </c>
      <c r="MR3" s="12"/>
      <c r="MS3" s="12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2"/>
      <c r="NE3" s="12"/>
      <c r="NF3" s="101" t="s">
        <v>16</v>
      </c>
      <c r="NG3" s="101" t="s">
        <v>17</v>
      </c>
      <c r="NH3" s="101" t="s">
        <v>11</v>
      </c>
      <c r="NI3" s="101" t="s">
        <v>18</v>
      </c>
      <c r="NJ3" s="101" t="s">
        <v>34</v>
      </c>
      <c r="NK3" s="101" t="s">
        <v>16</v>
      </c>
      <c r="NL3" s="101" t="s">
        <v>17</v>
      </c>
      <c r="NM3" s="101" t="s">
        <v>11</v>
      </c>
      <c r="NN3" s="101" t="s">
        <v>18</v>
      </c>
      <c r="NO3" s="101" t="s">
        <v>34</v>
      </c>
      <c r="NP3" s="101" t="s">
        <v>16</v>
      </c>
      <c r="NQ3" s="101" t="s">
        <v>17</v>
      </c>
      <c r="NR3" s="101" t="s">
        <v>11</v>
      </c>
      <c r="NS3" s="101" t="s">
        <v>18</v>
      </c>
      <c r="NT3" s="101" t="s">
        <v>34</v>
      </c>
      <c r="NU3" s="101" t="s">
        <v>16</v>
      </c>
      <c r="NV3" s="101" t="s">
        <v>17</v>
      </c>
      <c r="NW3" s="101" t="s">
        <v>11</v>
      </c>
      <c r="NX3" s="101" t="s">
        <v>18</v>
      </c>
      <c r="NY3" s="101" t="s">
        <v>34</v>
      </c>
      <c r="NZ3" s="10"/>
      <c r="OA3" s="10"/>
      <c r="OB3" s="9"/>
      <c r="OC3" s="9"/>
      <c r="OD3" s="9"/>
      <c r="OE3" s="9"/>
      <c r="OF3" s="9"/>
      <c r="OG3" s="9"/>
      <c r="OH3" s="9"/>
      <c r="OI3" s="9"/>
      <c r="OJ3" s="9"/>
      <c r="OK3" s="9"/>
      <c r="OL3" s="10"/>
      <c r="OM3" s="10"/>
      <c r="ON3" s="102" t="s">
        <v>16</v>
      </c>
      <c r="OO3" s="102" t="s">
        <v>17</v>
      </c>
      <c r="OP3" s="102" t="s">
        <v>11</v>
      </c>
      <c r="OQ3" s="102" t="s">
        <v>18</v>
      </c>
      <c r="OR3" s="102" t="s">
        <v>34</v>
      </c>
      <c r="OS3" s="102" t="s">
        <v>16</v>
      </c>
      <c r="OT3" s="102" t="s">
        <v>17</v>
      </c>
      <c r="OU3" s="102" t="s">
        <v>11</v>
      </c>
      <c r="OV3" s="102" t="s">
        <v>18</v>
      </c>
      <c r="OW3" s="102" t="s">
        <v>34</v>
      </c>
      <c r="OX3" s="102" t="s">
        <v>16</v>
      </c>
      <c r="OY3" s="102" t="s">
        <v>17</v>
      </c>
      <c r="OZ3" s="102" t="s">
        <v>11</v>
      </c>
      <c r="PA3" s="102" t="s">
        <v>18</v>
      </c>
      <c r="PB3" s="102" t="s">
        <v>34</v>
      </c>
      <c r="PC3" s="102" t="s">
        <v>16</v>
      </c>
      <c r="PD3" s="102" t="s">
        <v>17</v>
      </c>
      <c r="PE3" s="102" t="s">
        <v>11</v>
      </c>
      <c r="PF3" s="102" t="s">
        <v>18</v>
      </c>
      <c r="PG3" s="102" t="s">
        <v>34</v>
      </c>
      <c r="PH3" s="12"/>
      <c r="PI3" s="12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2"/>
      <c r="PU3" s="12"/>
      <c r="PV3" s="101" t="s">
        <v>16</v>
      </c>
      <c r="PW3" s="101" t="s">
        <v>17</v>
      </c>
      <c r="PX3" s="101" t="s">
        <v>11</v>
      </c>
      <c r="PY3" s="101" t="s">
        <v>18</v>
      </c>
      <c r="PZ3" s="101" t="s">
        <v>34</v>
      </c>
      <c r="QA3" s="101" t="s">
        <v>16</v>
      </c>
      <c r="QB3" s="101" t="s">
        <v>17</v>
      </c>
      <c r="QC3" s="101" t="s">
        <v>11</v>
      </c>
      <c r="QD3" s="101" t="s">
        <v>18</v>
      </c>
      <c r="QE3" s="101" t="s">
        <v>34</v>
      </c>
      <c r="QF3" s="101" t="s">
        <v>16</v>
      </c>
      <c r="QG3" s="101" t="s">
        <v>17</v>
      </c>
      <c r="QH3" s="101" t="s">
        <v>11</v>
      </c>
      <c r="QI3" s="101" t="s">
        <v>18</v>
      </c>
      <c r="QJ3" s="101" t="s">
        <v>34</v>
      </c>
      <c r="QK3" s="101" t="s">
        <v>16</v>
      </c>
      <c r="QL3" s="101" t="s">
        <v>17</v>
      </c>
      <c r="QM3" s="101" t="s">
        <v>11</v>
      </c>
      <c r="QN3" s="101" t="s">
        <v>18</v>
      </c>
      <c r="QO3" s="101" t="s">
        <v>34</v>
      </c>
      <c r="QP3" s="10"/>
      <c r="QQ3" s="10"/>
      <c r="QR3" s="9"/>
      <c r="QS3" s="9"/>
      <c r="QT3" s="9"/>
      <c r="QU3" s="9"/>
      <c r="QV3" s="9"/>
      <c r="QW3" s="9"/>
      <c r="QX3" s="9"/>
      <c r="QY3" s="9"/>
      <c r="QZ3" s="9"/>
      <c r="RA3" s="9"/>
      <c r="RB3" s="10"/>
      <c r="RC3" s="10"/>
      <c r="RD3" s="102" t="s">
        <v>16</v>
      </c>
      <c r="RE3" s="102" t="s">
        <v>17</v>
      </c>
      <c r="RF3" s="102" t="s">
        <v>11</v>
      </c>
      <c r="RG3" s="102" t="s">
        <v>18</v>
      </c>
      <c r="RH3" s="102" t="s">
        <v>34</v>
      </c>
      <c r="RI3" s="102" t="s">
        <v>16</v>
      </c>
      <c r="RJ3" s="102" t="s">
        <v>17</v>
      </c>
      <c r="RK3" s="102" t="s">
        <v>11</v>
      </c>
      <c r="RL3" s="102" t="s">
        <v>18</v>
      </c>
      <c r="RM3" s="102" t="s">
        <v>34</v>
      </c>
      <c r="RN3" s="102" t="s">
        <v>16</v>
      </c>
      <c r="RO3" s="102" t="s">
        <v>17</v>
      </c>
      <c r="RP3" s="102" t="s">
        <v>11</v>
      </c>
      <c r="RQ3" s="102" t="s">
        <v>18</v>
      </c>
      <c r="RR3" s="102" t="s">
        <v>34</v>
      </c>
      <c r="RS3" s="102" t="s">
        <v>16</v>
      </c>
      <c r="RT3" s="102" t="s">
        <v>17</v>
      </c>
      <c r="RU3" s="102" t="s">
        <v>11</v>
      </c>
      <c r="RV3" s="102" t="s">
        <v>18</v>
      </c>
      <c r="RW3" s="102" t="s">
        <v>34</v>
      </c>
      <c r="RX3" s="12"/>
      <c r="RY3" s="12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2"/>
      <c r="SK3" s="12"/>
      <c r="SL3" s="101" t="s">
        <v>16</v>
      </c>
      <c r="SM3" s="101" t="s">
        <v>17</v>
      </c>
      <c r="SN3" s="101" t="s">
        <v>11</v>
      </c>
      <c r="SO3" s="101" t="s">
        <v>18</v>
      </c>
      <c r="SP3" s="101" t="s">
        <v>34</v>
      </c>
      <c r="SQ3" s="101" t="s">
        <v>16</v>
      </c>
      <c r="SR3" s="101" t="s">
        <v>17</v>
      </c>
      <c r="SS3" s="101" t="s">
        <v>11</v>
      </c>
      <c r="ST3" s="101" t="s">
        <v>18</v>
      </c>
      <c r="SU3" s="101" t="s">
        <v>34</v>
      </c>
      <c r="SV3" s="101" t="s">
        <v>16</v>
      </c>
      <c r="SW3" s="101" t="s">
        <v>17</v>
      </c>
      <c r="SX3" s="101" t="s">
        <v>11</v>
      </c>
      <c r="SY3" s="101" t="s">
        <v>18</v>
      </c>
      <c r="SZ3" s="101" t="s">
        <v>34</v>
      </c>
      <c r="TA3" s="101" t="s">
        <v>60</v>
      </c>
      <c r="TB3" s="101"/>
      <c r="TC3" s="101"/>
      <c r="TD3" s="101"/>
      <c r="TE3" s="101"/>
      <c r="TF3" s="101"/>
      <c r="TG3" s="101"/>
      <c r="TH3" s="101"/>
      <c r="TI3" s="101"/>
      <c r="TJ3" s="101"/>
      <c r="TK3" s="101"/>
      <c r="TL3" s="101"/>
    </row>
    <row r="4" spans="1:534" x14ac:dyDescent="0.2">
      <c r="A4" s="5" t="str" cm="1">
        <f t="array" ref="A4">IF(AND(F4&lt;&gt;"",G4&lt;&gt;""),SUMPRODUCT((F$4:F$6&lt;&gt;"")*(G$4:G$6&lt;&gt;"")*(E$4:E$6&gt;E4))+1,IF(G4&lt;&gt;"",SUMPRODUCT((H$4:H$6="No DD")*(E$4:E$6&gt;E4))+1+SUMPRODUCT((F$4:F$6&lt;&gt;"")*(G$4:G$6&lt;&gt;"")),""))</f>
        <v/>
      </c>
      <c r="B4" s="6" t="s">
        <v>119</v>
      </c>
      <c r="C4" s="7" t="s">
        <v>118</v>
      </c>
      <c r="D4" s="18" t="s">
        <v>117</v>
      </c>
      <c r="E4" s="14">
        <f>SUM(J4,L4)</f>
        <v>0</v>
      </c>
      <c r="F4" s="3" t="str">
        <f>IF(OR(AND(AE4&gt;=AO$8,AE4&lt;&gt;"",AG4&gt;=AO$12,AG4&lt;&gt;"",AD4=""),AND(AH4&gt;=AO$8,AH4&lt;&gt;"",AJ4&gt;=AO$12,AJ4&lt;&gt;"",AD4=""),AND(AL4&gt;=AO$8,AL4&lt;&gt;"",AN4&gt;=AO$12,AN4&lt;&gt;"",AD4=""),AND(BF4&gt;=BP$8,BF4&lt;&gt;"",BH4&gt;=BP$12,BH4&lt;&gt;"",BE4=""),AND(BI4&gt;=BP$8,BI4&lt;&gt;"",BK4&gt;=BP$12,BK4&lt;&gt;"",BE4=""),AND(BM4&gt;=BP$8,BM4&lt;&gt;"",BO4&gt;=BP$12,BO4&lt;&gt;"",BE4=""),AND(CG4&gt;=CQ$8,CG4&lt;&gt;"",CI4&gt;=CQ$12,CI4&lt;&gt;"",CF4=""),AND(CJ4&gt;=CQ$8,CJ4&lt;&gt;"",CL4&gt;=CQ$12,CL4&lt;&gt;"",CF4=""),AND(CN4&gt;=CQ$8,CN4&lt;&gt;"",CP4&gt;=CQ$12,CP4&lt;&gt;"",CF4=""),AND(DN4&gt;=EA$8,DN4&lt;&gt;"",DP4&gt;=EA$12,DP4&lt;&gt;""),AND(DQ4&gt;=EA$8,DQ4&lt;&gt;"",DS4&gt;=EA$12,DS4&lt;&gt;""),AND(DU4&gt;=EA$8,DU4&lt;&gt;"",DW4&gt;=EA$12,DW4&lt;&gt;""),AND(DX4&gt;=EA$8,DX4&lt;&gt;"",DZ4&gt;=EA$12,DZ4&lt;&gt;""),AND(EV4&gt;=FI$8,EV4&lt;&gt;"",EX4&gt;=FI$12,EX4&lt;&gt;""),AND(EY4&gt;=FI$8,EY4&lt;&gt;"",FA4&gt;=FI$12,FA4&lt;&gt;""),AND(FC4&gt;=FI$8,FC4&lt;&gt;"",FE4&gt;=FI$12,FE4&lt;&gt;""),AND(FF4&gt;=FI$8,FF4&lt;&gt;"",FH4&gt;=FI$12,FH4&lt;&gt;""),AND(GD4&gt;=GQ$8,GD4&lt;&gt;"",GF4&gt;=GQ$12,GF4&lt;&gt;""),AND(GG4&gt;=GQ$8,GG4&lt;&gt;"",GI4&gt;=GQ$12,GI4&lt;&gt;""),AND(GK4&gt;=GQ$8,GK4&lt;&gt;"",GM4&gt;=GQ$12,GM4&lt;&gt;""),AND(GN4&gt;=GQ$8,GN4&lt;&gt;"",GP4&gt;=GQ$12,GP4&lt;&gt;""),AND(HL4&gt;=HY$8,HL4&lt;&gt;"",HN4&gt;=HY$12,HN4&lt;&gt;""),AND(HO4&gt;=HY$8,HO4&lt;&gt;"",HQ4&gt;=HY$12,HQ4&lt;&gt;""),AND(HS4&gt;=HY$8,HS4&lt;&gt;"",HU4&gt;=HY$12,HU4&lt;&gt;""),AND(HV4&gt;=HY$8,HV4&lt;&gt;"",HX4&gt;=HY$12,HX4&lt;&gt;""),AND(IT4&gt;=JG$8,IT4&lt;&gt;"",IV4&gt;=JG$12,IV4&lt;&gt;""),AND(IW4&gt;=JG$8,IW4&lt;&gt;"",IY4&gt;=JG$12,IY4&lt;&gt;""),AND(JA4&gt;=JG$8,JA4&lt;&gt;"",JC4&gt;=JG$12,JC4&lt;&gt;""),AND(JD4&gt;=JG$8,JD4&lt;&gt;"",JF4&gt;=JG$12,JF4&lt;&gt;""),AND(KB4&gt;=KO$8,KB4&lt;&gt;"",KD4&gt;=KO$12,KD4&lt;&gt;""),AND(KE4&gt;=KO$8,KE4&lt;&gt;"",KG4&gt;=KO$12,KG4&lt;&gt;""),AND(KI4&gt;=KO$8,KI4&lt;&gt;"",KK4&gt;=KO$12,KK4&lt;&gt;""),AND(KL4&gt;=KO$8,KL4&lt;&gt;"",KN4&gt;=KO$12,KN4&lt;&gt;""),AND(LJ4&gt;=LW$8,LJ4&lt;&gt;"",LL4&gt;=LW$12,LL4&lt;&gt;""),AND(LM4&gt;=LW$8,LM4&lt;&gt;"",LO4&gt;=LW$12,LO4&lt;&gt;""),AND(LQ4&gt;=LW$8,LQ4&lt;&gt;"",LS4&gt;=LW$12,LS4&lt;&gt;""),AND(LT4&gt;=LW$8,LT4&lt;&gt;"",LV4&gt;=LW$12,LV4&lt;&gt;""),AND(MR4&gt;=NE$8,MR4&lt;&gt;"",MT4&gt;=NE$12,MT4&lt;&gt;""),AND(MU4&gt;=NE$8,MU4&lt;&gt;"",MW4&gt;=NE$12,MW4&lt;&gt;""),AND(MY4&gt;=NE$8,MY4&lt;&gt;"",NA4&gt;=NE$12,NA4&lt;&gt;""),AND(NB4&gt;=NE$8,NB4&lt;&gt;"",ND4&gt;=NE$12,ND4&lt;&gt;""),AND(NZ4&gt;=OM$8,NZ4&lt;&gt;"",OB4&gt;=OM$12,OB4&lt;&gt;""),AND(OC4&gt;=OM$8,OC4&lt;&gt;"",OE4&gt;=OM$12,OE4&lt;&gt;""),AND(OG4&gt;=OM$8,OG4&lt;&gt;"",OI4&gt;=OM$12,OI4&lt;&gt;""),AND(OJ4&gt;=OM$8,OJ4&lt;&gt;"",OL4&gt;=OM$12,OL4&lt;&gt;""),AND(PH4&gt;=PU$8,PH4&lt;&gt;"",PJ4&gt;=PU$12,PJ4&lt;&gt;""),AND(PK4&gt;=PU$8,PK4&lt;&gt;"",PM4&gt;=PU$12,PM4&lt;&gt;""),AND(PO4&gt;=PU$8,PO4&lt;&gt;"",PQ4&gt;=PU$12,PQ4&lt;&gt;""),AND(PR4&gt;=PU$8,PR4&lt;&gt;"",PT4&gt;=PU$12,PT4&lt;&gt;""),AND(QP4&gt;=RC$8,QP4&lt;&gt;"",QR4&gt;=RC$12,QR4&lt;&gt;""),AND(QS4&gt;=RC$8,QS4&lt;&gt;"",QU4&gt;=RC$12,QU4&lt;&gt;""),AND(QW4&gt;=RC$8,QW4&lt;&gt;"",QY4&gt;=RC$12,QY4&lt;&gt;""),AND(QZ4&gt;=RC$8,QZ4&lt;&gt;"",RB4&gt;=RC$12,RB4&lt;&gt;""),AND(RX4&gt;=SK$8,RX4&lt;&gt;"",RZ4&gt;=SK$12,RZ4&lt;&gt;""),AND(SA4&gt;=SK$8,SA4&lt;&gt;"",SC4&gt;=SK$12,SC4&lt;&gt;""),AND(SE4&gt;=SK$8,SE4&lt;&gt;"",SG4&gt;=SK$12,SG4&lt;&gt;""),AND(SH4&gt;=SK$8,SH4&lt;&gt;"",SJ4&gt;=SK$12,SJ4&lt;&gt;"")),"P","")</f>
        <v/>
      </c>
      <c r="G4" s="3" t="str">
        <f>IF(OR(AND(AG4&gt;=AO$12,AG4&lt;&gt;"",AD4=""),AND(AJ4&gt;=AO$12,AJ4&lt;&gt;"",AD4=""),AND(AN4&gt;=AO$12,AN4&lt;&gt;"",AD4=""),AND(BH4&gt;=BP$12,BH4&lt;&gt;"",BE4=""),AND(BK4&gt;=BP$12,BK4&lt;&gt;"",BE4=""),AND(BO4&gt;=BP$12,BO4&lt;&gt;"",BE4=""),AND(CI4&gt;=CQ$12,CI4&lt;&gt;"",CF4=""),AND(CL4&gt;=CQ$12,CL4&lt;&gt;"",CF4=""),AND(CP4&gt;=CQ$12,CP4&lt;&gt;"",CF4=""),AND(DP4&gt;=EA$12,DP4&lt;&gt;""),AND(DS4&gt;=EA$12,DS4&lt;&gt;""),AND(DW4&gt;=EA$12,DW4&lt;&gt;""),AND(DZ4&gt;=EA$12,DZ4&lt;&gt;""),AND(EX4&gt;=FI$12,EX4&lt;&gt;""),AND(FA4&gt;=FI$12,FA4&lt;&gt;""),AND(FE4&gt;=FI$12,FE4&lt;&gt;""),AND(FH4&gt;=FI$12,FH4&lt;&gt;""),AND(GF4&gt;=GQ$12,GF4&lt;&gt;""),AND(GI4&gt;=GQ$12,GI4&lt;&gt;""),AND(GM4&gt;=GQ$12,GM4&lt;&gt;""),AND(GP4&gt;=GQ$12,GP4&lt;&gt;""),AND(HN4&gt;=HY$12,HN4&lt;&gt;""),AND(HQ4&gt;=HY$12,HQ4&lt;&gt;""),AND(HU4&gt;=HY$12,HU4&lt;&gt;""),AND(HX4&gt;=HY$12,HX4&lt;&gt;""),AND(IV4&gt;=JG$12,IV4&lt;&gt;""),AND(IY4&gt;=JG$12,IY4&lt;&gt;""),AND(JC4&gt;=JG$12,JC4&lt;&gt;""),AND(JF4&gt;=JG$12,JF4&lt;&gt;""),AND(KD4&gt;=KO$12,KD4&lt;&gt;""),AND(KG4&gt;=KO$12,KG4&lt;&gt;""),AND(KK4&gt;=KO$12,KK4&lt;&gt;""),AND(KN4&gt;=KO$12,KN4&lt;&gt;""),AND(LL4&gt;=LW$12,LL4&lt;&gt;""),AND(LO4&gt;=LW$12,LO4&lt;&gt;""),AND(LS4&gt;=LW$12,LS4&lt;&gt;""),AND(LV4&gt;=LW$12,LV4&lt;&gt;""),AND(MT4&gt;=NE$12,MT4&lt;&gt;""),AND(MW4&gt;=NE$12,MW4&lt;&gt;""),AND(NA4&gt;=NE$12,NA4&lt;&gt;""),AND(ND4&gt;=NE$12,ND4&lt;&gt;""),AND(OB4&gt;=OM$12,OB4&lt;&gt;""),AND(OE4&gt;=OM$12,OE4&lt;&gt;""),AND(OI4&gt;=OM$12,OI4&lt;&gt;""),AND(OL4&gt;=OM$12,OL4&lt;&gt;""),AND(PJ4&gt;=PU$12,PJ4&lt;&gt;""),AND(PM4&gt;=PU$12,PM4&lt;&gt;""),AND(PQ4&gt;=PU$12,PQ4&lt;&gt;""),AND(PT4&gt;=PU$12,PT4&lt;&gt;""),AND(QR4&gt;=RC$12,QR4&lt;&gt;""),AND(QU4&gt;=RC$12,QU4&lt;&gt;""),AND(QY4&gt;=RC$12,QY4&lt;&gt;""),AND(RB4&gt;=RC$12,RB4&lt;&gt;""),AND(RZ4&gt;=SK$12,RZ4&lt;&gt;""),AND(SC4&gt;=SK$12,SC4&lt;&gt;""),AND(SG4&gt;=SK$12,SG4&lt;&gt;""),AND(SJ4&gt;=SK$12,SJ4&lt;&gt;"")),"P","")</f>
        <v/>
      </c>
      <c r="H4" s="70" t="str">
        <f>IF(AND(G4="P",F4=""),"No DD",IF(OR(AND(AE4&gt;=AO$11,AE4&lt;&gt;"",AG4&gt;=AO$15,AG4&lt;&gt;"",AD4=""),AND(AH4&gt;=AO$11,AH4&lt;&gt;"",AJ4&gt;=AO$15,AJ4&lt;&gt;"",AD4=""),AND(AL4&gt;=AO$11,AL4&lt;&gt;"",AN4&gt;=AO$15,AN4&lt;&gt;"",AD4=""),AND(BF4&gt;=BP$11,BF4&lt;&gt;"",BH4&gt;=BP$15,BH4&lt;&gt;"",BE4=""),AND(BI4&gt;=BP$11,BI4&lt;&gt;"",BK4&gt;=BP$15,BK4&lt;&gt;"",BE4=""),AND(BM4&gt;=BP$11,BM4&lt;&gt;"",BO4&gt;=BP$15,BO4&lt;&gt;"",BE4=""),AND(CG4&gt;=CQ$11,CG4&lt;&gt;"",CI4&gt;=CQ$15,CI4&lt;&gt;"",CF4=""),AND(CJ4&gt;=CQ$11,CJ4&lt;&gt;"",CL4&gt;=CQ$15,CL4&lt;&gt;"",CF4=""),AND(CN4&gt;=CQ$11,CN4&lt;&gt;"",CP4&gt;=CQ$15,CP4&lt;&gt;"",CF4=""),AND(DN4&gt;=EA$11,DN4&lt;&gt;"",DP4&gt;=EA$15,DP4&lt;&gt;""),AND(DQ4&gt;=EA$11,DQ4&lt;&gt;"",DS4&gt;=EA$15,DS4&lt;&gt;""),AND(DU4&gt;=EA$11,DU4&lt;&gt;"",DW4&gt;=EA$15,DW4&lt;&gt;""),AND(DX4&gt;=EA$11,DX4&lt;&gt;"",DZ4&gt;=EA$15,DZ4&lt;&gt;""),AND(EV4&gt;=FI$11,EV4&lt;&gt;"",EX4&gt;=FI$15,EX4&lt;&gt;""),AND(EY4&gt;=FI$11,EY4&lt;&gt;"",FA4&gt;=FI$15,FA4&lt;&gt;""),AND(FC4&gt;=FI$11,FC4&lt;&gt;"",FE4&gt;=FI$15,FE4&lt;&gt;""),AND(FF4&gt;=FI$11,FF4&lt;&gt;"",FH4&gt;=FI$15,FH4&lt;&gt;""),AND(GD4&gt;=GQ$11,GD4&lt;&gt;"",GF4&gt;=GQ$15,GF4&lt;&gt;""),AND(GG4&gt;=GQ$11,GG4&lt;&gt;"",GI4&gt;=GQ$15,GI4&lt;&gt;""),AND(GK4&gt;=GQ$11,GK4&lt;&gt;"",GM4&gt;=GQ$15,GM4&lt;&gt;""),AND(GN4&gt;=GQ$11,GN4&lt;&gt;"",GP4&gt;=GQ$15,GP4&lt;&gt;""),AND(HL4&gt;=HY$11,HL4&lt;&gt;"",HN4&gt;=HY$15,HN4&lt;&gt;""),AND(HO4&gt;=HY$11,HO4&lt;&gt;"",HQ4&gt;=HY$15,HQ4&lt;&gt;""),AND(HS4&gt;=HY$11,HS4&lt;&gt;"",HU4&gt;=HY$15,HU4&lt;&gt;""),AND(HV4&gt;=HY$11,HV4&lt;&gt;"",HX4&gt;=HY$15,HX4&lt;&gt;""),AND(IT4&gt;=JG$11,IT4&lt;&gt;"",IV4&gt;=JG$15,IV4&lt;&gt;""),AND(IW4&gt;=JG$11,IW4&lt;&gt;"",IY4&gt;=JG$15,IY4&lt;&gt;""),AND(JA4&gt;=JG$11,JA4&lt;&gt;"",JC4&gt;=JG$15,JC4&lt;&gt;""),AND(JD4&gt;=JG$11,JD4&lt;&gt;"",JF4&gt;=JG$15,JF4&lt;&gt;""),AND(KB4&gt;=KO$11,KB4&lt;&gt;"",KD4&gt;=KO$15,KD4&lt;&gt;""),AND(KE4&gt;=KO$11,KE4&lt;&gt;"",KG4&gt;=KO$15,KG4&lt;&gt;""),AND(KI4&gt;=KO$11,KI4&lt;&gt;"",KK4&gt;=KO$15,KK4&lt;&gt;""),AND(KL4&gt;=KO$11,KL4&lt;&gt;"",KN4&gt;=KO$15,KN4&lt;&gt;""),AND(LJ4&gt;=LW$11,LJ4&lt;&gt;"",LL4&gt;=LW$15,LL4&lt;&gt;""),AND(LM4&gt;=LW$11,LM4&lt;&gt;"",LO4&gt;=LW$15,LO4&lt;&gt;""),AND(LQ4&gt;=LW$11,LQ4&lt;&gt;"",LS4&gt;=LW$15,LS4&lt;&gt;""),AND(LT4&gt;=LW$11,LT4&lt;&gt;"",LV4&gt;=LW$15,LV4&lt;&gt;""),AND(MR4&gt;=NE$11,MR4&lt;&gt;"",MT4&gt;=NE$15,MT4&lt;&gt;""),AND(MU4&gt;=NE$11,MU4&lt;&gt;"",MW4&gt;=NE$15,MW4&lt;&gt;""),AND(MY4&gt;=NE$11,MY4&lt;&gt;"",NA4&gt;=NE$15,NA4&lt;&gt;""),AND(NB4&gt;=NE$11,NB4&lt;&gt;"",ND4&gt;=NE$15,ND4&lt;&gt;""),AND(NZ4&gt;=OM$11,NZ4&lt;&gt;"",OB4&gt;=OM$15,OB4&lt;&gt;""),AND(OC4&gt;=OM$11,OC4&lt;&gt;"",OE4&gt;=OM$15,OE4&lt;&gt;""),AND(OG4&gt;=OM$11,OG4&lt;&gt;"",OI4&gt;=OM$15,OI4&lt;&gt;""),AND(OJ4&gt;=OM$11,OJ4&lt;&gt;"",OL4&gt;=OM$15,OL4&lt;&gt;""),AND(PH4&gt;=PU$11,PH4&lt;&gt;"",PJ4&gt;=PU$15,PJ4&lt;&gt;""),AND(PK4&gt;=PU$11,PK4&lt;&gt;"",PM4&gt;=PU$15,PM4&lt;&gt;""),AND(PO4&gt;=PU$11,PO4&lt;&gt;"",PQ4&gt;=PU$15,PQ4&lt;&gt;""),AND(PR4&gt;=PU$11,PR4&lt;&gt;"",PT4&gt;=PU$15,PT4&lt;&gt;""),AND(QP4&gt;=RC$11,QP4&lt;&gt;"",QR4&gt;=RC$15,QR4&lt;&gt;""),AND(QS4&gt;=RC$11,QS4&lt;&gt;"",QU4&gt;=RC$15,QU4&lt;&gt;""),AND(QW4&gt;=RC$11,QW4&lt;&gt;"",QY4&gt;=RC$15,QY4&lt;&gt;""),AND(QZ4&gt;=RC$11,QZ4&lt;&gt;"",RB4&gt;=RC$15,RB4&lt;&gt;""),AND(RX4&gt;=SK$11,RX4&lt;&gt;"",RZ4&gt;=SK$15,RZ4&lt;&gt;""),AND(SA4&gt;=SK$11,SA4&lt;&gt;"",SC4&gt;=SK$15,SC4&lt;&gt;""),AND(SE4&gt;=SK$11,SE4&lt;&gt;"",SG4&gt;=SK$15,SG4&lt;&gt;""),AND(SH4&gt;=SK$11,SH4&lt;&gt;"",SJ4&gt;=SK$15,SJ4&lt;&gt;"")),"Merit",IF(OR(AND(AE4&gt;=AO$10,AE4&lt;&gt;"",AG4&gt;=AO$14,AG4&lt;&gt;"",AD4=""),AND(AH4&gt;=AO$10,AH4&lt;&gt;"",AJ4&gt;=AO$14,AJ4&lt;&gt;"",AD4=""),AND(AL4&gt;=AO$10,AL4&lt;&gt;"",AN4&gt;=AO$14,AN4&lt;&gt;"",AD4=""),AND(BF4&gt;=BP$10,BF4&lt;&gt;"",BH4&gt;=BP$14,BH4&lt;&gt;"",BE4=""),AND(BI4&gt;=BP$10,BI4&lt;&gt;"",BK4&gt;=BP$14,BK4&lt;&gt;"",BE4=""),AND(BM4&gt;=BP$10,BM4&lt;&gt;"",BO4&gt;=BP$14,BO4&lt;&gt;"",BE4=""),AND(CG4&gt;=CQ$10,CG4&lt;&gt;"",CI4&gt;=CQ$14,CI4&lt;&gt;"",CF4=""),AND(CJ4&gt;=CQ$10,CJ4&lt;&gt;"",CL4&gt;=CQ$14,CL4&lt;&gt;"",CF4=""),AND(CN4&gt;=CQ$10,CN4&lt;&gt;"",CP4&gt;=CQ$14,CP4&lt;&gt;"",CF4=""),AND(DN4&gt;=EA$10,DN4&lt;&gt;"",DP4&gt;=EA$14,DP4&lt;&gt;""),AND(DQ4&gt;=EA$10,DQ4&lt;&gt;"",DS4&gt;=EA$14,DS4&lt;&gt;""),AND(DU4&gt;=EA$10,DU4&lt;&gt;"",DW4&gt;=EA$14,DW4&lt;&gt;""),AND(DX4&gt;=EA$10,DX4&lt;&gt;"",DZ4&gt;=EA$14,DZ4&lt;&gt;""),AND(EV4&gt;=FI$10,EV4&lt;&gt;"",EX4&gt;=FI$14,EX4&lt;&gt;""),AND(EY4&gt;=FI$10,EY4&lt;&gt;"",FA4&gt;=FI$14,FA4&lt;&gt;""),AND(FC4&gt;=FI$10,FC4&lt;&gt;"",FE4&gt;=FI$14,FE4&lt;&gt;""),AND(FF4&gt;=FI$10,FF4&lt;&gt;"",FH4&gt;=FI$14,FH4&lt;&gt;""),AND(GD4&gt;=GQ$10,GD4&lt;&gt;"",GF4&gt;=GQ$14,GF4&lt;&gt;""),AND(GG4&gt;=GQ$10,GG4&lt;&gt;"",GI4&gt;=GQ$14,GI4&lt;&gt;""),AND(GK4&gt;=GQ$10,GK4&lt;&gt;"",GM4&gt;=GQ$14,GM4&lt;&gt;""),AND(GN4&gt;=GQ$10,GN4&lt;&gt;"",GP4&gt;=GQ$14,GP4&lt;&gt;""),AND(HL4&gt;=HY$10,HL4&lt;&gt;"",HN4&gt;=HY$14,HN4&lt;&gt;""),AND(HO4&gt;=HY$10,HO4&lt;&gt;"",HQ4&gt;=HY$14,HQ4&lt;&gt;""),AND(HS4&gt;=HY$10,HS4&lt;&gt;"",HU4&gt;=HY$14,HU4&lt;&gt;""),AND(HV4&gt;=HY$10,HV4&lt;&gt;"",HX4&gt;=HY$14,HX4&lt;&gt;""),AND(IT4&gt;=JG$10,IT4&lt;&gt;"",IV4&gt;=JG$14,IV4&lt;&gt;""),AND(IW4&gt;=JG$10,IW4&lt;&gt;"",IY4&gt;=JG$14,IY4&lt;&gt;""),AND(JA4&gt;=JG$10,JA4&lt;&gt;"",JC4&gt;=JG$14,JC4&lt;&gt;""),AND(JD4&gt;=JG$10,JD4&lt;&gt;"",JF4&gt;=JG$14,JF4&lt;&gt;""),AND(KB4&gt;=KO$10,KB4&lt;&gt;"",KD4&gt;=KO$14,KD4&lt;&gt;""),AND(KE4&gt;=KO$10,KE4&lt;&gt;"",KG4&gt;=KO$14,KG4&lt;&gt;""),AND(KI4&gt;=KO$10,KI4&lt;&gt;"",KK4&gt;=KO$14,KK4&lt;&gt;""),AND(KL4&gt;=KO$10,KL4&lt;&gt;"",KN4&gt;=KO$14,KN4&lt;&gt;""),AND(LJ4&gt;=LW$10,LJ4&lt;&gt;"",LL4&gt;=LW$14,LL4&lt;&gt;""),AND(LM4&gt;=LW$10,LM4&lt;&gt;"",LO4&gt;=LW$14,LO4&lt;&gt;""),AND(LQ4&gt;=LW$10,LQ4&lt;&gt;"",LS4&gt;=LW$14,LS4&lt;&gt;""),AND(LT4&gt;=LW$10,LT4&lt;&gt;"",LV4&gt;=LW$14,LV4&lt;&gt;""),AND(MR4&gt;=NE$10,MR4&lt;&gt;"",MT4&gt;=NE$14,MT4&lt;&gt;""),AND(MU4&gt;=NE$10,MU4&lt;&gt;"",MW4&gt;=NE$14,MW4&lt;&gt;""),AND(MY4&gt;=NE$10,MY4&lt;&gt;"",NA4&gt;=NE$14,NA4&lt;&gt;""),AND(NB4&gt;=NE$10,NB4&lt;&gt;"",ND4&gt;=NE$14,ND4&lt;&gt;""),AND(NZ4&gt;=OM$10,NZ4&lt;&gt;"",OB4&gt;=OM$14,OB4&lt;&gt;""),AND(OC4&gt;=OM$10,OC4&lt;&gt;"",OE4&gt;=OM$14,OE4&lt;&gt;""),AND(OG4&gt;=OM$10,OG4&lt;&gt;"",OI4&gt;=OM$14,OI4&lt;&gt;""),AND(OJ4&gt;=OM$10,OJ4&lt;&gt;"",OL4&gt;=OM$14,OL4&lt;&gt;""),AND(PH4&gt;=PU$10,PH4&lt;&gt;"",PJ4&gt;=PU$14,PJ4&lt;&gt;""),AND(PK4&gt;=PU$10,PK4&lt;&gt;"",PM4&gt;=PU$14,PM4&lt;&gt;""),AND(PO4&gt;=PU$10,PO4&lt;&gt;"",PQ4&gt;=PU$14,PQ4&lt;&gt;""),AND(PR4&gt;=PU$10,PR4&lt;&gt;"",PT4&gt;=PU$14,PT4&lt;&gt;""),AND(QP4&gt;=RC$10,QP4&lt;&gt;"",QR4&gt;=RC$14,QR4&lt;&gt;""),AND(QS4&gt;=RC$10,QS4&lt;&gt;"",QU4&gt;=RC$14,QU4&lt;&gt;""),AND(QW4&gt;=RC$10,QW4&lt;&gt;"",QY4&gt;=RC$14,QY4&lt;&gt;""),AND(QZ4&gt;=RC$10,QZ4&lt;&gt;"",RB4&gt;=RC$14,RB4&lt;&gt;""),AND(RX4&gt;=SK$10,RX4&lt;&gt;"",RZ4&gt;=SK$14,RZ4&lt;&gt;""),AND(SA4&gt;=SK$10,SA4&lt;&gt;"",SC4&gt;=SK$14,SC4&lt;&gt;""),AND(SE4&gt;=SK$10,SE4&lt;&gt;"",SG4&gt;=SK$14,SG4&lt;&gt;""),AND(SH4&gt;=SK$10,SH4&lt;&gt;"",SJ4&gt;=SK$14,SJ4&lt;&gt;"")),"Excellence",IF(I4="P","Worlds Team",IF(F4="P","National Team","")))))</f>
        <v/>
      </c>
      <c r="I4" s="3" t="str">
        <f>IF(OR(AND(AE4&gt;=AO$9,AE4&lt;&gt;"",AG4&gt;=AO$13,AG4&lt;&gt;"",AD4=""),AND(AH4&gt;=AO$9,AH4&lt;&gt;"",AJ4&gt;=AO$13,AJ4&lt;&gt;"",AD4=""),AND(AL4&gt;=AO$9,AL4&lt;&gt;"",AN4&gt;=AO$13,AN4&lt;&gt;"",AD4=""),AND(BF4&gt;=BP$9,BF4&lt;&gt;"",BH4&gt;=BP$13,BH4&lt;&gt;"",BE4=""),AND(BI4&gt;=BP$9,BI4&lt;&gt;"",BK4&gt;=BP$13,BK4&lt;&gt;"",BE4=""),AND(BM4&gt;=BP$9,BM4&lt;&gt;"",BO4&gt;=BP$13,BO4&lt;&gt;"",BE4=""),AND(CG4&gt;=CQ$9,CG4&lt;&gt;"",CI4&gt;=CQ$13,CI4&lt;&gt;"",CF4=""),AND(CJ4&gt;=CQ$9,CJ4&lt;&gt;"",CL4&gt;=CQ$13,CL4&lt;&gt;"",CF4=""),AND(CN4&gt;=CQ$9,CN4&lt;&gt;"",CP4&gt;=CQ$13,CP4&lt;&gt;"",CF4=""),AND(DN4&gt;=EA$9,DN4&lt;&gt;"",DP4&gt;=EA$13,DP4&lt;&gt;""),AND(DQ4&gt;=EA$9,DQ4&lt;&gt;"",DS4&gt;=EA$13,DS4&lt;&gt;""),AND(DU4&gt;=EA$9,DU4&lt;&gt;"",DW4&gt;=EA$13,DW4&lt;&gt;""),AND(DX4&gt;=EA$9,DX4&lt;&gt;"",DZ4&gt;=EA$13,DZ4&lt;&gt;""),AND(EV4&gt;=FI$9,EV4&lt;&gt;"",EX4&gt;=FI$13,EX4&lt;&gt;""),AND(EY4&gt;=FI$9,EY4&lt;&gt;"",FA4&gt;=FI$13,FA4&lt;&gt;""),AND(FC4&gt;=FI$9,FC4&lt;&gt;"",FE4&gt;=FI$13,FE4&lt;&gt;""),AND(FF4&gt;=FI$9,FF4&lt;&gt;"",FH4&gt;=FI$13,FH4&lt;&gt;""),AND(GD4&gt;=GQ$9,GD4&lt;&gt;"",GF4&gt;=GQ$13,GF4&lt;&gt;""),AND(GG4&gt;=GQ$9,GG4&lt;&gt;"",GI4&gt;=GQ$13,GI4&lt;&gt;""),AND(GK4&gt;=GQ$9,GK4&lt;&gt;"",GM4&gt;=GQ$13,GM4&lt;&gt;""),AND(GN4&gt;=GQ$9,GN4&lt;&gt;"",GP4&gt;=GQ$13,GP4&lt;&gt;""),AND(HL4&gt;=HY$9,HL4&lt;&gt;"",HN4&gt;=HY$13,HN4&lt;&gt;""),AND(HO4&gt;=HY$9,HO4&lt;&gt;"",HQ4&gt;=HY$13,HQ4&lt;&gt;""),AND(HS4&gt;=HY$9,HS4&lt;&gt;"",HU4&gt;=HY$13,HU4&lt;&gt;""),AND(HV4&gt;=HY$9,HV4&lt;&gt;"",HX4&gt;=HY$13,HX4&lt;&gt;""),AND(IT4&gt;=JG$9,IT4&lt;&gt;"",IV4&gt;=JG$13,IV4&lt;&gt;""),AND(IW4&gt;=JG$9,IW4&lt;&gt;"",IY4&gt;=JG$13,IY4&lt;&gt;""),AND(JA4&gt;=JG$9,JA4&lt;&gt;"",JC4&gt;=JG$13,JC4&lt;&gt;""),AND(JD4&gt;=JG$9,JD4&lt;&gt;"",JF4&gt;=JG$13,JF4&lt;&gt;""),AND(KB4&gt;=KO$9,KB4&lt;&gt;"",KD4&gt;=KO$13,KD4&lt;&gt;""),AND(KE4&gt;=KO$9,KE4&lt;&gt;"",KG4&gt;=KO$13,KG4&lt;&gt;""),AND(KI4&gt;=KO$9,KI4&lt;&gt;"",KK4&gt;=KO$13,KK4&lt;&gt;""),AND(KL4&gt;=KO$9,KL4&lt;&gt;"",KN4&gt;=KO$13,KN4&lt;&gt;""),AND(LJ4&gt;=LW$9,LJ4&lt;&gt;"",LL4&gt;=LW$13,LL4&lt;&gt;""),AND(LM4&gt;=LW$9,LM4&lt;&gt;"",LO4&gt;=LW$13,LO4&lt;&gt;""),AND(LQ4&gt;=LW$9,LQ4&lt;&gt;"",LS4&gt;=LW$13,LS4&lt;&gt;""),AND(LT4&gt;=LW$9,LT4&lt;&gt;"",LV4&gt;=LW$13,LV4&lt;&gt;""),AND(MR4&gt;=NE$9,MR4&lt;&gt;"",MT4&gt;=NE$13,MT4&lt;&gt;""),AND(MU4&gt;=NE$9,MU4&lt;&gt;"",MW4&gt;=NE$13,MW4&lt;&gt;""),AND(MY4&gt;=NE$9,MY4&lt;&gt;"",NA4&gt;=NE$13,NA4&lt;&gt;""),AND(NB4&gt;=NE$9,NB4&lt;&gt;"",ND4&gt;=NE$13,ND4&lt;&gt;""),AND(NZ4&gt;=OM$9,NZ4&lt;&gt;"",OB4&gt;=OM$13,OB4&lt;&gt;""),AND(OC4&gt;=OM$9,OC4&lt;&gt;"",OE4&gt;=OM$13,OE4&lt;&gt;""),AND(OG4&gt;=OM$9,OG4&lt;&gt;"",OI4&gt;=OM$13,OI4&lt;&gt;""),AND(OJ4&gt;=OM$9,OJ4&lt;&gt;"",OL4&gt;=OM$13,OL4&lt;&gt;""),AND(PH4&gt;=PU$9,PH4&lt;&gt;"",PJ4&gt;=PU$13,PJ4&lt;&gt;""),AND(PK4&gt;=PU$9,PK4&lt;&gt;"",PM4&gt;=PU$13,PM4&lt;&gt;""),AND(PO4&gt;=PU$9,PO4&lt;&gt;"",PQ4&gt;=PU$13,PQ4&lt;&gt;""),AND(PR4&gt;=PU$9,PR4&lt;&gt;"",PT4&gt;=PU$13,PT4&lt;&gt;""),AND(QP4&gt;=RC$9,QP4&lt;&gt;"",QR4&gt;=RC$13,QR4&lt;&gt;""),AND(QS4&gt;=RC$9,QS4&lt;&gt;"",QU4&gt;=RC$13,QU4&lt;&gt;""),AND(QW4&gt;=RC$9,QW4&lt;&gt;"",QY4&gt;=RC$13,QY4&lt;&gt;""),AND(QZ4&gt;=RC$9,QZ4&lt;&gt;"",RB4&gt;=RC$13,RB4&lt;&gt;""),AND(RX4&gt;=SK$9,RX4&lt;&gt;"",RZ4&gt;=SK$13,RZ4&lt;&gt;""),AND(SA4&gt;=SK$9,SA4&lt;&gt;"",SC4&gt;=SK$13,SC4&lt;&gt;""),AND(SE4&gt;=SK$9,SE4&lt;&gt;"",SG4&gt;=SK$13,SG4&lt;&gt;""),AND(SH4&gt;=SK$9,SH4&lt;&gt;"",SJ4&gt;=SK$13,SJ4&lt;&gt;"")),"P","")</f>
        <v/>
      </c>
      <c r="J4" s="13">
        <f>IF(COUNT(AG4,AJ4,AN4,BH4,BK4,BO4,CI4,CL4,CP4)&gt;0,LARGE((AG4,AJ4,AN4,BH4,BK4,BO4,CI4,CL4,CP4),1),0)</f>
        <v>0</v>
      </c>
      <c r="K4" s="13" t="str">
        <f>IF(J4="","",IF(OR(J4=CI4,J4=CL4,J4=CP4),$BQ$1,IF(OR(J4=BH4,J4=BK4,J4=BO4),$AP$1,IF(OR(J4=AG4,J4=AJ4,J4=AN4),$O$1,""))))</f>
        <v/>
      </c>
      <c r="L4" s="13" t="str">
        <f>IF(MAX(CR4,CS4)&gt;0,MAX(CR4,CS4),"")</f>
        <v/>
      </c>
      <c r="M4" s="16" t="str">
        <f>IF(L4="","",IF(L4=CR4,"("&amp;CR$2&amp;")",IF(L4=CS4,"("&amp;CS$2&amp;")")))</f>
        <v/>
      </c>
      <c r="N4" s="13" t="str">
        <f>IF(L4="","",IF(L4=CR4,IF(L4+IF(J3="",0,J3)=SD4,$RD$1,IF(L4+IF(J3="",0,J3)=QV4,$PV$1,IF(L4+IF(J3="",0,J3)=PN4,$ON$1,IF(L4+IF(J3="",0,J3)=OF4,$NF$1,IF(L4+IF(J3="",0,J3)=MX4,$LX$1,IF(L4+IF(J3="",0,J3)=LP4,$KP$1,IF(L4+IF(J3="",0,J3)=KH4,$JH$1,IF(L4+IF(J3="",0,J3)=IZ4,$HZ$1,IF(L4+IF(J3="",0,J3)=HR4,$GR$1,IF(L4+IF(J3="",0,J3)=GJ4,$FJ$1,IF(L4+IF(J3="",0,J3)=FB4,$EB$1,IF(L4+IF(J3="",0,J3)=DT4,$CT$1)))))))))))),IF(L4=CS4,IF(L4+IF(J3="",0,J3)=SJ4,$RD$1,IF(L4+IF(J3="",0,J3)=RB4,$PV$1,IF(L4+IF(J3="",0,J3)=PT4,$ON$1,IF(L4+IF(J3="",0,J3)=OL4,$NF$1,IF(L4+IF(J3="",0,J3)=ND4,$LX$1,IF(L4+IF(J3="",0,J3)=LV4,$KP$1,IF(L4+IF(J3="",0,J3)=KN4,$JH$1,IF(L4+IF(J3="",0,J3)=JF4,$HZ$1,IF(L4+IF(J3="",0,J3)=HX4,$GR$1,IF(L4+IF(J3="",0,J3)=GP4,$FJ$1,IF(L4+IF(J3="",0,J3)=FH4,$EB$1,IF(L4+IF(J3="",0,J3)=DZ4,$CT$1)))))))))))))))</f>
        <v/>
      </c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51"/>
      <c r="AE4" s="74" t="str">
        <f>IF(Q4&gt;0,Q4,"")</f>
        <v/>
      </c>
      <c r="AF4" s="74" t="str">
        <f>IF(R4&gt;0,R4,"")</f>
        <v/>
      </c>
      <c r="AG4" s="76" t="str">
        <f>IF(SUM(O4:R4)-S4&gt;0,SUM(O4:R4)-S4,"")</f>
        <v/>
      </c>
      <c r="AH4" s="76" t="str">
        <f>IF(V4&gt;0,V4,"")</f>
        <v/>
      </c>
      <c r="AI4" s="76" t="str">
        <f>IF(W4&gt;0,W4,"")</f>
        <v/>
      </c>
      <c r="AJ4" s="76" t="str">
        <f>IF(SUM(T4:W4)-X4&gt;0,SUM(T4:W4)-X4,"")</f>
        <v/>
      </c>
      <c r="AK4" s="76" t="str">
        <f>IF(AG4="","",MAX(AG4,AJ4))</f>
        <v/>
      </c>
      <c r="AL4" s="76" t="str">
        <f>IF(AA4&gt;0,AA4,"")</f>
        <v/>
      </c>
      <c r="AM4" s="76" t="str">
        <f>IF(AB4&gt;0,AB4,"")</f>
        <v/>
      </c>
      <c r="AN4" s="76" t="str">
        <f>IF(SUM(Y4:AB4)-AC4&gt;0,SUM(Y4:AB4)-AC4,"")</f>
        <v/>
      </c>
      <c r="AO4" s="76" t="str">
        <f>IF(SUM(AK4,AN4)&gt;0,SUM(AK4,AN4),"")</f>
        <v/>
      </c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52"/>
      <c r="BF4" s="75" t="str">
        <f>IF(AR4&gt;0,AR4,"")</f>
        <v/>
      </c>
      <c r="BG4" s="75" t="str">
        <f>IF(AS4&gt;0,AS4,"")</f>
        <v/>
      </c>
      <c r="BH4" s="16" t="str">
        <f>IF(SUM(AP4:AS4)-AT4&gt;0,SUM(AP4:AS4)-AT4,"")</f>
        <v/>
      </c>
      <c r="BI4" s="16" t="str">
        <f>IF(AW4&gt;0,AW4,"")</f>
        <v/>
      </c>
      <c r="BJ4" s="16" t="str">
        <f>IF(AX4&gt;0,AX4,"")</f>
        <v/>
      </c>
      <c r="BK4" s="16" t="str">
        <f>IF(SUM(AU4:AX4)-AY4&gt;0,SUM(AU4:AX4)-AY4,"")</f>
        <v/>
      </c>
      <c r="BL4" s="16" t="str">
        <f>IF(BH4="","",MAX(BH4,BK4))</f>
        <v/>
      </c>
      <c r="BM4" s="16" t="str">
        <f>IF(BB4&gt;0,BB4,"")</f>
        <v/>
      </c>
      <c r="BN4" s="16" t="str">
        <f>IF(BC4&gt;0,BC4,"")</f>
        <v/>
      </c>
      <c r="BO4" s="16" t="str">
        <f>IF(SUM(AZ4:BC4)-BD4&gt;0,SUM(AZ4:BC4)-BD4,"")</f>
        <v/>
      </c>
      <c r="BP4" s="16" t="str">
        <f>IF(SUM(BL4,BO4)&gt;0,SUM(BL4,BO4),"")</f>
        <v/>
      </c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51"/>
      <c r="CG4" s="74" t="str">
        <f>IF(BS4&gt;0,BS4,"")</f>
        <v/>
      </c>
      <c r="CH4" s="74" t="str">
        <f>IF(BT4&gt;0,BT4,"")</f>
        <v/>
      </c>
      <c r="CI4" s="76" t="str">
        <f>IF(SUM(BQ4:BT4)-BU4&gt;0,SUM(BQ4:BT4)-BU4,"")</f>
        <v/>
      </c>
      <c r="CJ4" s="76" t="str">
        <f>IF(BX4&gt;0,BX4,"")</f>
        <v/>
      </c>
      <c r="CK4" s="76" t="str">
        <f>IF(BY4&gt;0,BY4,"")</f>
        <v/>
      </c>
      <c r="CL4" s="76" t="str">
        <f>IF(SUM(BV4:BY4)-BZ4&gt;0,SUM(BV4:BY4)-BZ4,"")</f>
        <v/>
      </c>
      <c r="CM4" s="76" t="str">
        <f>IF(CI4="","",MAX(CI4,CL4))</f>
        <v/>
      </c>
      <c r="CN4" s="76" t="str">
        <f>IF(CC4&gt;0,CC4,"")</f>
        <v/>
      </c>
      <c r="CO4" s="76" t="str">
        <f>IF(CD4&gt;0,CD4,"")</f>
        <v/>
      </c>
      <c r="CP4" s="76" t="str">
        <f>IF(SUM(CA4:CD4)-CE4&gt;0,SUM(CA4:CD4)-CE4,"")</f>
        <v/>
      </c>
      <c r="CQ4" s="76" t="str">
        <f>IF(SUM(CM4,CP4)&gt;0,SUM(CM4,CP4),"")</f>
        <v/>
      </c>
      <c r="CR4" s="87" t="str">
        <f>IF(J4&gt;=0.001,IF(MAX(DT4,FB4,GJ4,HR4,IZ4,KH4,LP4,MX4,OF4,PN4,QV4,SD4)-IF(J4="",0,J4)&gt;0.001,MAX(DT4,FB4,GJ4,HR4,IZ4,KH4,LP4,MX4,OF4,PN4,QV4,SD4)-IF(J4="",0,J4),""),"")</f>
        <v/>
      </c>
      <c r="CS4" s="87" t="str">
        <f>IF(J4&gt;=0.001,IF(MAX(DW4,DZ4,FE4,FH4,GM4,GP4,HU4,HX4,JC4,JF4,KK4,KN4,LS4,LV4,NA4,ND4,OI4,OL4,PQ4,PT4,QY4,RB4,SG4,SJ4)-IF(J4="",0,J4)&gt;0.001,MAX(DW4,DZ4,FE4,FH4,GM4,GP4,HU4,HX4,JC4,JF4,KK4,KN4,LS4,LV4,NA4,ND4,OI4,OL4,PQ4,PT4,QY4,RB4,SG4,SJ4)-IF(J4="",0,J4),""),"")</f>
        <v/>
      </c>
      <c r="CT4" s="25">
        <v>2.2999999999999998</v>
      </c>
      <c r="CU4" s="25">
        <v>2.95</v>
      </c>
      <c r="CV4" s="25">
        <v>5.0999999999999996</v>
      </c>
      <c r="CW4" s="25">
        <v>5.64</v>
      </c>
      <c r="CX4" s="25">
        <v>0</v>
      </c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76">
        <f>IF(CV4&gt;0,CV4,"")</f>
        <v>5.0999999999999996</v>
      </c>
      <c r="DO4" s="76">
        <f>IF(CW4&gt;0,CW4,"")</f>
        <v>5.64</v>
      </c>
      <c r="DP4" s="76">
        <f>IF(SUM(CT4:CW4)-CX4&gt;0,SUM(CT4:CW4)-CX4,"")</f>
        <v>15.989999999999998</v>
      </c>
      <c r="DQ4" s="76" t="str">
        <f>IF(DA4&gt;0,DA4,"")</f>
        <v/>
      </c>
      <c r="DR4" s="76" t="str">
        <f>IF(DB4&gt;0,DB4,"")</f>
        <v/>
      </c>
      <c r="DS4" s="76" t="str">
        <f>IF(SUM(CY4:DB4)-DC4&gt;0,SUM(CY4:DB4)-DC4,"")</f>
        <v/>
      </c>
      <c r="DT4" s="76">
        <f>IF(MAX(DP4,DS4)&gt;0,MAX(DP4,DS4),"")</f>
        <v>15.989999999999998</v>
      </c>
      <c r="DU4" s="76" t="str">
        <f>IF(DF4&gt;0,DF4,"")</f>
        <v/>
      </c>
      <c r="DV4" s="76" t="str">
        <f>IF(DG4&gt;0,DG4,"")</f>
        <v/>
      </c>
      <c r="DW4" s="76" t="str">
        <f>IF(SUM(DD4:DG4)-DH4&gt;0,SUM(DD4:DG4)-DH4,"")</f>
        <v/>
      </c>
      <c r="DX4" s="76" t="str">
        <f>IF(DK4&gt;0,DK4,"")</f>
        <v/>
      </c>
      <c r="DY4" s="76" t="str">
        <f>IF(DL4&gt;0,DL4,"")</f>
        <v/>
      </c>
      <c r="DZ4" s="76" t="str">
        <f>IF(SUM(DI4:DL4)-DM4&gt;0,SUM(DI4:DL4)-DM4,"")</f>
        <v/>
      </c>
      <c r="EA4" s="76">
        <f>IF(SUM(DT4,DZ4)&gt;0,SUM(DT4,DZ4),"")</f>
        <v>15.989999999999998</v>
      </c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>
        <v>7.05</v>
      </c>
      <c r="ER4" s="26">
        <v>9.1</v>
      </c>
      <c r="ES4" s="26">
        <v>14.4</v>
      </c>
      <c r="ET4" s="26">
        <v>15.96</v>
      </c>
      <c r="EU4" s="26">
        <v>0</v>
      </c>
      <c r="EV4" s="16" t="str">
        <f>IF(ED4&gt;0,ED4,"")</f>
        <v/>
      </c>
      <c r="EW4" s="16" t="str">
        <f>IF(EE4&gt;0,EE4,"")</f>
        <v/>
      </c>
      <c r="EX4" s="16" t="str">
        <f>IF(SUM(EB4:EE4)-EF4&gt;0,SUM(EB4:EE4)-EF4,"")</f>
        <v/>
      </c>
      <c r="EY4" s="16" t="str">
        <f>IF(EI4&gt;0,EI4,"")</f>
        <v/>
      </c>
      <c r="EZ4" s="16" t="str">
        <f>IF(EJ4&gt;0,EJ4,"")</f>
        <v/>
      </c>
      <c r="FA4" s="16" t="str">
        <f>IF(SUM(EG4:EJ4)-EK4&gt;0,SUM(EG4:EJ4)-EK4,"")</f>
        <v/>
      </c>
      <c r="FB4" s="16" t="str">
        <f>IF(MAX(EX4,FA4)&gt;0,MAX(EX4,FA4),"")</f>
        <v/>
      </c>
      <c r="FC4" s="16" t="str">
        <f>IF(EN4&gt;0,EN4,"")</f>
        <v/>
      </c>
      <c r="FD4" s="16" t="str">
        <f>IF(EO4&gt;0,EO4,"")</f>
        <v/>
      </c>
      <c r="FE4" s="16" t="str">
        <f>IF(SUM(EL4:EO4)-EP4&gt;0,SUM(EL4:EO4)-EP4,"")</f>
        <v/>
      </c>
      <c r="FF4" s="16">
        <f>IF(ES4&gt;0,ES4,"")</f>
        <v>14.4</v>
      </c>
      <c r="FG4" s="16">
        <f>IF(ET4&gt;0,ET4,"")</f>
        <v>15.96</v>
      </c>
      <c r="FH4" s="16">
        <f>IF(SUM(EQ4:ET4)-EU4&gt;0,SUM(EQ4:ET4)-EU4,"")</f>
        <v>46.51</v>
      </c>
      <c r="FI4" s="16">
        <f>IF(SUM(FB4,FH4)&gt;0,SUM(FB4,FH4),"")</f>
        <v>46.51</v>
      </c>
      <c r="FJ4" s="25"/>
      <c r="FK4" s="25"/>
      <c r="FL4" s="25"/>
      <c r="FM4" s="25"/>
      <c r="FN4" s="25"/>
      <c r="FO4" s="25"/>
      <c r="FP4" s="25"/>
      <c r="FQ4" s="25"/>
      <c r="FR4" s="25"/>
      <c r="FS4" s="25"/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76" t="str">
        <f>IF(FL4&gt;0,FL4,"")</f>
        <v/>
      </c>
      <c r="GE4" s="76" t="str">
        <f>IF(FM4&gt;0,FM4,"")</f>
        <v/>
      </c>
      <c r="GF4" s="76" t="str">
        <f>IF(SUM(FJ4:FM4)-FN4&gt;0,SUM(FJ4:FM4)-FN4,"")</f>
        <v/>
      </c>
      <c r="GG4" s="76" t="str">
        <f>IF(FQ4&gt;0,FQ4,"")</f>
        <v/>
      </c>
      <c r="GH4" s="76" t="str">
        <f>IF(FR4&gt;0,FR4,"")</f>
        <v/>
      </c>
      <c r="GI4" s="76" t="str">
        <f>IF(SUM(FO4:FR4)-FS4&gt;0,SUM(FO4:FR4)-FS4,"")</f>
        <v/>
      </c>
      <c r="GJ4" s="76" t="str">
        <f>IF(MAX(GF4,GI4)&gt;0,MAX(GF4,GI4),"")</f>
        <v/>
      </c>
      <c r="GK4" s="76" t="str">
        <f>IF(FV4&gt;0,FV4,"")</f>
        <v/>
      </c>
      <c r="GL4" s="76" t="str">
        <f>IF(FW4&gt;0,FW4,"")</f>
        <v/>
      </c>
      <c r="GM4" s="76" t="str">
        <f>IF(SUM(FT4:FW4)-FX4&gt;0,SUM(FT4:FW4)-FX4,"")</f>
        <v/>
      </c>
      <c r="GN4" s="76" t="str">
        <f>IF(GA4&gt;0,GA4,"")</f>
        <v/>
      </c>
      <c r="GO4" s="76" t="str">
        <f>IF(GB4&gt;0,GB4,"")</f>
        <v/>
      </c>
      <c r="GP4" s="76" t="str">
        <f>IF(SUM(FY4:GB4)-GC4&gt;0,SUM(FY4:GB4)-GC4,"")</f>
        <v/>
      </c>
      <c r="GQ4" s="76" t="str">
        <f>IF(SUM(GJ4,GP4)&gt;0,SUM(GJ4,GP4),"")</f>
        <v/>
      </c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16" t="str">
        <f>IF(GT4&gt;0,GT4,"")</f>
        <v/>
      </c>
      <c r="HM4" s="16" t="str">
        <f>IF(GU4&gt;0,GU4,"")</f>
        <v/>
      </c>
      <c r="HN4" s="16" t="str">
        <f>IF(SUM(GR4:GU4)-GV4&gt;0,SUM(GR4:GU4)-GV4,"")</f>
        <v/>
      </c>
      <c r="HO4" s="16" t="str">
        <f>IF(GY4&gt;0,GY4,"")</f>
        <v/>
      </c>
      <c r="HP4" s="16" t="str">
        <f>IF(GZ4&gt;0,GZ4,"")</f>
        <v/>
      </c>
      <c r="HQ4" s="16" t="str">
        <f>IF(SUM(GW4:GZ4)-HA4&gt;0,SUM(GW4:GZ4)-HA4,"")</f>
        <v/>
      </c>
      <c r="HR4" s="16" t="str">
        <f>IF(MAX(HN4,HQ4)&gt;0,MAX(HN4,HQ4),"")</f>
        <v/>
      </c>
      <c r="HS4" s="16" t="str">
        <f>IF(HD4&gt;0,HD4,"")</f>
        <v/>
      </c>
      <c r="HT4" s="16" t="str">
        <f>IF(HE4&gt;0,HE4,"")</f>
        <v/>
      </c>
      <c r="HU4" s="16" t="str">
        <f>IF(SUM(HB4:HE4)-HF4&gt;0,SUM(HB4:HE4)-HF4,"")</f>
        <v/>
      </c>
      <c r="HV4" s="16" t="str">
        <f>IF(HI4&gt;0,HI4,"")</f>
        <v/>
      </c>
      <c r="HW4" s="16" t="str">
        <f>IF(HJ4&gt;0,HJ4,"")</f>
        <v/>
      </c>
      <c r="HX4" s="16" t="str">
        <f>IF(SUM(HG4:HJ4)-HK4&gt;0,SUM(HG4:HJ4)-HK4,"")</f>
        <v/>
      </c>
      <c r="HY4" s="16" t="str">
        <f>IF(SUM(HR4,HX4)&gt;0,SUM(HR4,HX4),"")</f>
        <v/>
      </c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76" t="str">
        <f>IF(IB4&gt;0,IB4,"")</f>
        <v/>
      </c>
      <c r="IU4" s="76" t="str">
        <f>IF(IC4&gt;0,IC4,"")</f>
        <v/>
      </c>
      <c r="IV4" s="76" t="str">
        <f>IF(SUM(HZ4:IC4)-ID4&gt;0,SUM(HZ4:IC4)-ID4,"")</f>
        <v/>
      </c>
      <c r="IW4" s="76" t="str">
        <f>IF(IG4&gt;0,IG4,"")</f>
        <v/>
      </c>
      <c r="IX4" s="76" t="str">
        <f>IF(IH4&gt;0,IH4,"")</f>
        <v/>
      </c>
      <c r="IY4" s="76" t="str">
        <f>IF(SUM(IE4:IH4)-II4&gt;0,SUM(IE4:IH4)-II4,"")</f>
        <v/>
      </c>
      <c r="IZ4" s="76" t="str">
        <f>IF(MAX(IV4,IY4)&gt;0,MAX(IV4,IY4),"")</f>
        <v/>
      </c>
      <c r="JA4" s="76" t="str">
        <f>IF(IL4&gt;0,IL4,"")</f>
        <v/>
      </c>
      <c r="JB4" s="76" t="str">
        <f>IF(IM4&gt;0,IM4,"")</f>
        <v/>
      </c>
      <c r="JC4" s="76" t="str">
        <f>IF(SUM(IJ4:IM4)-IN4&gt;0,SUM(IJ4:IM4)-IN4,"")</f>
        <v/>
      </c>
      <c r="JD4" s="76" t="str">
        <f>IF(IQ4&gt;0,IQ4,"")</f>
        <v/>
      </c>
      <c r="JE4" s="76" t="str">
        <f>IF(IR4&gt;0,IR4,"")</f>
        <v/>
      </c>
      <c r="JF4" s="76" t="str">
        <f>IF(SUM(IO4:IR4)-IS4&gt;0,SUM(IO4:IR4)-IS4,"")</f>
        <v/>
      </c>
      <c r="JG4" s="76" t="str">
        <f>IF(SUM(IZ4,JF4)&gt;0,SUM(IZ4,JF4),"")</f>
        <v/>
      </c>
      <c r="JH4" s="26"/>
      <c r="JI4" s="26"/>
      <c r="JJ4" s="26"/>
      <c r="JK4" s="26"/>
      <c r="JL4" s="26"/>
      <c r="JM4" s="26"/>
      <c r="JN4" s="26"/>
      <c r="JO4" s="26"/>
      <c r="JP4" s="26"/>
      <c r="JQ4" s="26"/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16" t="str">
        <f>IF(JJ4&gt;0,JJ4,"")</f>
        <v/>
      </c>
      <c r="KC4" s="16" t="str">
        <f>IF(JK4&gt;0,JK4,"")</f>
        <v/>
      </c>
      <c r="KD4" s="16" t="str">
        <f>IF(SUM(JH4:JK4)-JL4&gt;0,SUM(JH4:JK4)-JL4,"")</f>
        <v/>
      </c>
      <c r="KE4" s="16" t="str">
        <f>IF(JO4&gt;0,JO4,"")</f>
        <v/>
      </c>
      <c r="KF4" s="16" t="str">
        <f>IF(JP4&gt;0,JP4,"")</f>
        <v/>
      </c>
      <c r="KG4" s="16" t="str">
        <f>IF(SUM(JM4:JP4)-JQ4&gt;0,SUM(JM4:JP4)-JQ4,"")</f>
        <v/>
      </c>
      <c r="KH4" s="16" t="str">
        <f>IF(MAX(KD4,KG4)&gt;0,MAX(KD4,KG4),"")</f>
        <v/>
      </c>
      <c r="KI4" s="16" t="str">
        <f>IF(JT4&gt;0,JT4,"")</f>
        <v/>
      </c>
      <c r="KJ4" s="16" t="str">
        <f>IF(JU4&gt;0,JU4,"")</f>
        <v/>
      </c>
      <c r="KK4" s="16" t="str">
        <f>IF(SUM(JR4:JU4)-JV4&gt;0,SUM(JR4:JU4)-JV4,"")</f>
        <v/>
      </c>
      <c r="KL4" s="16" t="str">
        <f>IF(JY4&gt;0,JY4,"")</f>
        <v/>
      </c>
      <c r="KM4" s="16" t="str">
        <f>IF(JZ4&gt;0,JZ4,"")</f>
        <v/>
      </c>
      <c r="KN4" s="16" t="str">
        <f>IF(SUM(JW4:JZ4)-KA4&gt;0,SUM(JW4:JZ4)-KA4,"")</f>
        <v/>
      </c>
      <c r="KO4" s="16" t="str">
        <f>IF(SUM(KH4,KN4)&gt;0,SUM(KH4,KN4),"")</f>
        <v/>
      </c>
      <c r="KP4" s="25"/>
      <c r="KQ4" s="25"/>
      <c r="KR4" s="25"/>
      <c r="KS4" s="25"/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76" t="str">
        <f>IF(KR4&gt;0,KR4,"")</f>
        <v/>
      </c>
      <c r="LK4" s="76" t="str">
        <f>IF(KS4&gt;0,KS4,"")</f>
        <v/>
      </c>
      <c r="LL4" s="76" t="str">
        <f>IF(SUM(KP4:KS4)-KT4&gt;0,SUM(KP4:KS4)-KT4,"")</f>
        <v/>
      </c>
      <c r="LM4" s="76" t="str">
        <f>IF(KW4&gt;0,KW4,"")</f>
        <v/>
      </c>
      <c r="LN4" s="76" t="str">
        <f>IF(KX4&gt;0,KX4,"")</f>
        <v/>
      </c>
      <c r="LO4" s="76" t="str">
        <f>IF(SUM(KU4:KX4)-KY4&gt;0,SUM(KU4:KX4)-KY4,"")</f>
        <v/>
      </c>
      <c r="LP4" s="76" t="str">
        <f>IF(MAX(LL4,LO4)&gt;0,MAX(LL4,LO4),"")</f>
        <v/>
      </c>
      <c r="LQ4" s="76" t="str">
        <f>IF(LB4&gt;0,LB4,"")</f>
        <v/>
      </c>
      <c r="LR4" s="76" t="str">
        <f>IF(LC4&gt;0,LC4,"")</f>
        <v/>
      </c>
      <c r="LS4" s="76" t="str">
        <f>IF(SUM(KZ4:LC4)-LD4&gt;0,SUM(KZ4:LC4)-LD4,"")</f>
        <v/>
      </c>
      <c r="LT4" s="76" t="str">
        <f>IF(LG4&gt;0,LG4,"")</f>
        <v/>
      </c>
      <c r="LU4" s="76" t="str">
        <f>IF(LH4&gt;0,LH4,"")</f>
        <v/>
      </c>
      <c r="LV4" s="76" t="str">
        <f>IF(SUM(LE4:LH4)-LI4&gt;0,SUM(LE4:LH4)-LI4,"")</f>
        <v/>
      </c>
      <c r="LW4" s="76" t="str">
        <f>IF(SUM(LP4,LV4)&gt;0,SUM(LP4,LV4),"")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IF(LZ4&gt;0,LZ4,"")</f>
        <v/>
      </c>
      <c r="MS4" s="16" t="str">
        <f>IF(MA4&gt;0,MA4,"")</f>
        <v/>
      </c>
      <c r="MT4" s="16" t="str">
        <f>IF(SUM(LX4:MA4)-MB4&gt;0,SUM(LX4:MA4)-MB4,"")</f>
        <v/>
      </c>
      <c r="MU4" s="16" t="str">
        <f>IF(ME4&gt;0,ME4,"")</f>
        <v/>
      </c>
      <c r="MV4" s="16" t="str">
        <f>IF(MF4&gt;0,MF4,"")</f>
        <v/>
      </c>
      <c r="MW4" s="16" t="str">
        <f>IF(SUM(MC4:MF4)-MG4&gt;0,SUM(MC4:MF4)-MG4,"")</f>
        <v/>
      </c>
      <c r="MX4" s="16" t="str">
        <f>IF(MAX(MT4,MW4)&gt;0,MAX(MT4,MW4),"")</f>
        <v/>
      </c>
      <c r="MY4" s="16" t="str">
        <f>IF(MJ4&gt;0,MJ4,"")</f>
        <v/>
      </c>
      <c r="MZ4" s="16" t="str">
        <f>IF(MK4&gt;0,MK4,"")</f>
        <v/>
      </c>
      <c r="NA4" s="16" t="str">
        <f>IF(SUM(MH4:MK4)-ML4&gt;0,SUM(MH4:MK4)-ML4,"")</f>
        <v/>
      </c>
      <c r="NB4" s="16" t="str">
        <f>IF(MO4&gt;0,MO4,"")</f>
        <v/>
      </c>
      <c r="NC4" s="16" t="str">
        <f>IF(MP4&gt;0,MP4,"")</f>
        <v/>
      </c>
      <c r="ND4" s="16" t="str">
        <f>IF(SUM(MM4:MP4)-MQ4&gt;0,SUM(MM4:MP4)-MQ4,"")</f>
        <v/>
      </c>
      <c r="NE4" s="16" t="str">
        <f>IF(SUM(MX4,ND4)&gt;0,SUM(MX4,ND4),"")</f>
        <v/>
      </c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76" t="str">
        <f>IF(NH4&gt;0,NH4,"")</f>
        <v/>
      </c>
      <c r="OA4" s="76" t="str">
        <f>IF(NI4&gt;0,NI4,"")</f>
        <v/>
      </c>
      <c r="OB4" s="76" t="str">
        <f>IF(SUM(NF4:NI4)-NJ4&gt;0,SUM(NF4:NI4)-NJ4,"")</f>
        <v/>
      </c>
      <c r="OC4" s="76" t="str">
        <f>IF(NM4&gt;0,NM4,"")</f>
        <v/>
      </c>
      <c r="OD4" s="76" t="str">
        <f>IF(NN4&gt;0,NN4,"")</f>
        <v/>
      </c>
      <c r="OE4" s="76" t="str">
        <f>IF(SUM(NK4:NN4)-NO4&gt;0,SUM(NK4:NN4)-NO4,"")</f>
        <v/>
      </c>
      <c r="OF4" s="76" t="str">
        <f>IF(MAX(OB4,OE4)&gt;0,MAX(OB4,OE4),"")</f>
        <v/>
      </c>
      <c r="OG4" s="76" t="str">
        <f>IF(NR4&gt;0,NR4,"")</f>
        <v/>
      </c>
      <c r="OH4" s="76" t="str">
        <f>IF(NS4&gt;0,NS4,"")</f>
        <v/>
      </c>
      <c r="OI4" s="76" t="str">
        <f>IF(SUM(NP4:NS4)-NT4&gt;0,SUM(NP4:NS4)-NT4,"")</f>
        <v/>
      </c>
      <c r="OJ4" s="76" t="str">
        <f>IF(NW4&gt;0,NW4,"")</f>
        <v/>
      </c>
      <c r="OK4" s="76" t="str">
        <f>IF(NX4&gt;0,NX4,"")</f>
        <v/>
      </c>
      <c r="OL4" s="76" t="str">
        <f>IF(SUM(NU4:NX4)-NY4&gt;0,SUM(NU4:NX4)-NY4,"")</f>
        <v/>
      </c>
      <c r="OM4" s="76" t="str">
        <f>IF(SUM(OF4,OL4)&gt;0,SUM(OF4,OL4),"")</f>
        <v/>
      </c>
      <c r="ON4" s="26"/>
      <c r="OO4" s="26"/>
      <c r="OP4" s="26"/>
      <c r="OQ4" s="26"/>
      <c r="OR4" s="26"/>
      <c r="OS4" s="26"/>
      <c r="OT4" s="26"/>
      <c r="OU4" s="26"/>
      <c r="OV4" s="26"/>
      <c r="OW4" s="26"/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16" t="str">
        <f>IF(OP4&gt;0,OP4,"")</f>
        <v/>
      </c>
      <c r="PI4" s="16" t="str">
        <f>IF(OQ4&gt;0,OQ4,"")</f>
        <v/>
      </c>
      <c r="PJ4" s="16" t="str">
        <f>IF(SUM(ON4:OQ4)-OR4&gt;0,SUM(ON4:OQ4)-OR4,"")</f>
        <v/>
      </c>
      <c r="PK4" s="16" t="str">
        <f>IF(OU4&gt;0,OU4,"")</f>
        <v/>
      </c>
      <c r="PL4" s="16" t="str">
        <f>IF(OV4&gt;0,OV4,"")</f>
        <v/>
      </c>
      <c r="PM4" s="16" t="str">
        <f>IF(SUM(OS4:OV4)-OW4&gt;0,SUM(OS4:OV4)-OW4,"")</f>
        <v/>
      </c>
      <c r="PN4" s="16" t="str">
        <f>IF(MAX(PJ4,PM4)&gt;0,MAX(PJ4,PM4),"")</f>
        <v/>
      </c>
      <c r="PO4" s="16" t="str">
        <f>IF(OZ4&gt;0,OZ4,"")</f>
        <v/>
      </c>
      <c r="PP4" s="16" t="str">
        <f>IF(PA4&gt;0,PA4,"")</f>
        <v/>
      </c>
      <c r="PQ4" s="16" t="str">
        <f>IF(SUM(OX4:PA4)-PB4&gt;0,SUM(OX4:PA4)-PB4,"")</f>
        <v/>
      </c>
      <c r="PR4" s="16" t="str">
        <f>IF(PE4&gt;0,PE4,"")</f>
        <v/>
      </c>
      <c r="PS4" s="16" t="str">
        <f>IF(PF4&gt;0,PF4,"")</f>
        <v/>
      </c>
      <c r="PT4" s="16" t="str">
        <f>IF(SUM(PC4:PF4)-PG4&gt;0,SUM(PC4:PF4)-PG4,"")</f>
        <v/>
      </c>
      <c r="PU4" s="16" t="str">
        <f>IF(SUM(PN4,PT4)&gt;0,SUM(PN4,PT4),"")</f>
        <v/>
      </c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76" t="str">
        <f>IF(PX4&gt;0,PX4,"")</f>
        <v/>
      </c>
      <c r="QQ4" s="76" t="str">
        <f>IF(PY4&gt;0,PY4,"")</f>
        <v/>
      </c>
      <c r="QR4" s="76" t="str">
        <f>IF(SUM(PV4:PY4)-PZ4&gt;0,SUM(PV4:PY4)-PZ4,"")</f>
        <v/>
      </c>
      <c r="QS4" s="76" t="str">
        <f>IF(QC4&gt;0,QC4,"")</f>
        <v/>
      </c>
      <c r="QT4" s="76" t="str">
        <f>IF(QD4&gt;0,QD4,"")</f>
        <v/>
      </c>
      <c r="QU4" s="76" t="str">
        <f>IF(SUM(QA4:QD4)-QE4&gt;0,SUM(QA4:QD4)-QE4,"")</f>
        <v/>
      </c>
      <c r="QV4" s="76" t="str">
        <f>IF(MAX(QR4,QU4)&gt;0,MAX(QR4,QU4),"")</f>
        <v/>
      </c>
      <c r="QW4" s="76" t="str">
        <f>IF(QH4&gt;0,QH4,"")</f>
        <v/>
      </c>
      <c r="QX4" s="76" t="str">
        <f>IF(QI4&gt;0,QI4,"")</f>
        <v/>
      </c>
      <c r="QY4" s="76" t="str">
        <f>IF(SUM(QF4:QI4)-QJ4&gt;0,SUM(QF4:QI4)-QJ4,"")</f>
        <v/>
      </c>
      <c r="QZ4" s="76" t="str">
        <f>IF(QM4&gt;0,QM4,"")</f>
        <v/>
      </c>
      <c r="RA4" s="76" t="str">
        <f>IF(QN4&gt;0,QN4,"")</f>
        <v/>
      </c>
      <c r="RB4" s="76" t="str">
        <f>IF(SUM(QK4:QN4)-QO4&gt;0,SUM(QK4:QN4)-QO4,"")</f>
        <v/>
      </c>
      <c r="RC4" s="76" t="str">
        <f>IF(SUM(QV4,RB4)&gt;0,SUM(QV4,RB4),"")</f>
        <v/>
      </c>
      <c r="RD4" s="26"/>
      <c r="RE4" s="26"/>
      <c r="RF4" s="26"/>
      <c r="RG4" s="26"/>
      <c r="RH4" s="26"/>
      <c r="RI4" s="26"/>
      <c r="RJ4" s="26"/>
      <c r="RK4" s="26"/>
      <c r="RL4" s="26"/>
      <c r="RM4" s="26"/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16" t="str">
        <f>IF(RF4&gt;0,RF4,"")</f>
        <v/>
      </c>
      <c r="RY4" s="16" t="str">
        <f>IF(RG4&gt;0,RG4,"")</f>
        <v/>
      </c>
      <c r="RZ4" s="16" t="str">
        <f>IF(SUM(RD4:RG4)-RH4&gt;0,SUM(RD4:RG4)-RH4,"")</f>
        <v/>
      </c>
      <c r="SA4" s="16" t="str">
        <f>IF(RK4&gt;0,RK4,"")</f>
        <v/>
      </c>
      <c r="SB4" s="16" t="str">
        <f>IF(RL4&gt;0,RL4,"")</f>
        <v/>
      </c>
      <c r="SC4" s="16" t="str">
        <f>IF(SUM(RI4:RL4)-RM4&gt;0,SUM(RI4:RL4)-RM4,"")</f>
        <v/>
      </c>
      <c r="SD4" s="16" t="str">
        <f>IF(MAX(RZ4,SC4)&gt;0,MAX(RZ4,SC4),"")</f>
        <v/>
      </c>
      <c r="SE4" s="16" t="str">
        <f>IF(RP4&gt;0,RP4,"")</f>
        <v/>
      </c>
      <c r="SF4" s="16" t="str">
        <f>IF(RQ4&gt;0,RQ4,"")</f>
        <v/>
      </c>
      <c r="SG4" s="16" t="str">
        <f>IF(SUM(RN4:RQ4)-RR4&gt;0,SUM(RN4:RQ4)-RR4,"")</f>
        <v/>
      </c>
      <c r="SH4" s="16" t="str">
        <f>IF(RU4&gt;0,RU4,"")</f>
        <v/>
      </c>
      <c r="SI4" s="16" t="str">
        <f>IF(RV4&gt;0,RV4,"")</f>
        <v/>
      </c>
      <c r="SJ4" s="16" t="str">
        <f>IF(SUM(RS4:RV4)-RW4&gt;0,SUM(RS4:RV4)-RW4,"")</f>
        <v/>
      </c>
      <c r="SK4" s="16" t="str">
        <f>IF(SUM(SD4,SJ4)&gt;0,SUM(SD4,SJ4),"")</f>
        <v/>
      </c>
      <c r="SL4" s="42">
        <f>IF($CF4="P",BQ4,(BQ4+AP4)/2)</f>
        <v>0</v>
      </c>
      <c r="SM4" s="42">
        <f>IF($CF4="P",BR4,(BR4+AQ4)/2)</f>
        <v>0</v>
      </c>
      <c r="SN4" s="42">
        <f>IF($CF4="P",BS4,(BS4+AR4)/2)</f>
        <v>0</v>
      </c>
      <c r="SO4" s="42">
        <f>IF($CF4="P",BT4,(BT4+AS4)/2)</f>
        <v>0</v>
      </c>
      <c r="SP4" s="42">
        <f>IF($CF4="P",BU4,(BU4+AT4)/2)</f>
        <v>0</v>
      </c>
      <c r="SQ4" s="42">
        <f>IF($CF4="P",BV4,(BV4+AU4)/2)</f>
        <v>0</v>
      </c>
      <c r="SR4" s="42">
        <f>IF($CF4="P",BW4,(BW4+AV4)/2)</f>
        <v>0</v>
      </c>
      <c r="SS4" s="42">
        <f>IF($CF4="P",BX4,(BX4+AW4)/2)</f>
        <v>0</v>
      </c>
      <c r="ST4" s="42">
        <f>IF($CF4="P",BY4,(BY4+AX4)/2)</f>
        <v>0</v>
      </c>
      <c r="SU4" s="42">
        <f>IF($CF4="P",BZ4,(BZ4+AY4)/2)</f>
        <v>0</v>
      </c>
      <c r="SV4" s="42">
        <f>IF($CF4="P",CA4,(CA4+AZ4)/2)</f>
        <v>0</v>
      </c>
      <c r="SW4" s="42">
        <f>IF($CF4="P",CB4,(CB4+BA4)/2)</f>
        <v>0</v>
      </c>
      <c r="SX4" s="42">
        <f>IF($CF4="P",CC4,(CC4+BB4)/2)</f>
        <v>0</v>
      </c>
      <c r="SY4" s="42">
        <f>IF($CF4="P",CD4,(CD4+BC4)/2)</f>
        <v>0</v>
      </c>
      <c r="SZ4" s="42">
        <f>IF($CF4="P",CE4,(CE4+BD4)/2)</f>
        <v>0</v>
      </c>
      <c r="TA4" s="51" t="s">
        <v>61</v>
      </c>
      <c r="TB4" s="76" t="str">
        <f>IF(SN4&gt;0,SN4,"")</f>
        <v/>
      </c>
      <c r="TC4" s="76" t="str">
        <f>IF(SO4&gt;0,SO4,"")</f>
        <v/>
      </c>
      <c r="TD4" s="76" t="str">
        <f>IF(SUM(SL4:SO4)-SP4&gt;0,SUM(SL4:SO4)-SP4,"")</f>
        <v/>
      </c>
      <c r="TE4" s="76" t="str">
        <f>IF(SS4&gt;0,SS4,"")</f>
        <v/>
      </c>
      <c r="TF4" s="76" t="str">
        <f>IF(ST4&gt;0,ST4,"")</f>
        <v/>
      </c>
      <c r="TG4" s="76" t="str">
        <f>IF(SUM(SQ4:ST4)-SU4&gt;0,SUM(SQ4:ST4)-SU4,"")</f>
        <v/>
      </c>
      <c r="TH4" s="76" t="str">
        <f>IF(MAX(TD4,TG4)&gt;0,MAX(TD4,TG4),"")</f>
        <v/>
      </c>
      <c r="TI4" s="76" t="str">
        <f>IF(SX4&gt;0,SX4,"")</f>
        <v/>
      </c>
      <c r="TJ4" s="76" t="str">
        <f>IF(SY4&gt;0,SY4,"")</f>
        <v/>
      </c>
      <c r="TK4" s="76" t="str">
        <f>IF(SUM(SV4:SY4)-SZ4&gt;0,SUM(SV4:SY4)-SZ4,"")</f>
        <v/>
      </c>
      <c r="TL4" s="76" t="str">
        <f>IF(SUM(TH4,TK4)&gt;0,SUM(TH4,TK4),"")</f>
        <v/>
      </c>
    </row>
    <row r="5" spans="1:534" x14ac:dyDescent="0.2">
      <c r="A5" s="5" t="str" cm="1">
        <f t="array" ref="A5">IF(AND(F5&lt;&gt;"",G5&lt;&gt;""),SUMPRODUCT((F$4:F$6&lt;&gt;"")*(G$4:G$6&lt;&gt;"")*(E$4:E$6&gt;E5))+1,IF(G5&lt;&gt;"",SUMPRODUCT((H$4:H$6="No DD")*(E$4:E$6&gt;E5))+1+SUMPRODUCT((F$4:F$6&lt;&gt;"")*(G$4:G$6&lt;&gt;"")),""))</f>
        <v/>
      </c>
      <c r="B5" s="6" t="s">
        <v>122</v>
      </c>
      <c r="C5" s="7" t="s">
        <v>121</v>
      </c>
      <c r="D5" s="5" t="s">
        <v>120</v>
      </c>
      <c r="E5" s="14">
        <f>SUM(J5,L5)</f>
        <v>0</v>
      </c>
      <c r="F5" s="3" t="str">
        <f>IF(OR(AND(AE5&gt;=AO$8,AE5&lt;&gt;"",AG5&gt;=AO$12,AG5&lt;&gt;"",AD5=""),AND(AH5&gt;=AO$8,AH5&lt;&gt;"",AJ5&gt;=AO$12,AJ5&lt;&gt;"",AD5=""),AND(AL5&gt;=AO$8,AL5&lt;&gt;"",AN5&gt;=AO$12,AN5&lt;&gt;"",AD5=""),AND(BF5&gt;=BP$8,BF5&lt;&gt;"",BH5&gt;=BP$12,BH5&lt;&gt;"",BE5=""),AND(BI5&gt;=BP$8,BI5&lt;&gt;"",BK5&gt;=BP$12,BK5&lt;&gt;"",BE5=""),AND(BM5&gt;=BP$8,BM5&lt;&gt;"",BO5&gt;=BP$12,BO5&lt;&gt;"",BE5=""),AND(CG5&gt;=CQ$8,CG5&lt;&gt;"",CI5&gt;=CQ$12,CI5&lt;&gt;"",CF5=""),AND(CJ5&gt;=CQ$8,CJ5&lt;&gt;"",CL5&gt;=CQ$12,CL5&lt;&gt;"",CF5=""),AND(CN5&gt;=CQ$8,CN5&lt;&gt;"",CP5&gt;=CQ$12,CP5&lt;&gt;"",CF5=""),AND(DN5&gt;=EA$8,DN5&lt;&gt;"",DP5&gt;=EA$12,DP5&lt;&gt;""),AND(DQ5&gt;=EA$8,DQ5&lt;&gt;"",DS5&gt;=EA$12,DS5&lt;&gt;""),AND(DU5&gt;=EA$8,DU5&lt;&gt;"",DW5&gt;=EA$12,DW5&lt;&gt;""),AND(DX5&gt;=EA$8,DX5&lt;&gt;"",DZ5&gt;=EA$12,DZ5&lt;&gt;""),AND(EV5&gt;=FI$8,EV5&lt;&gt;"",EX5&gt;=FI$12,EX5&lt;&gt;""),AND(EY5&gt;=FI$8,EY5&lt;&gt;"",FA5&gt;=FI$12,FA5&lt;&gt;""),AND(FC5&gt;=FI$8,FC5&lt;&gt;"",FE5&gt;=FI$12,FE5&lt;&gt;""),AND(FF5&gt;=FI$8,FF5&lt;&gt;"",FH5&gt;=FI$12,FH5&lt;&gt;""),AND(GD5&gt;=GQ$8,GD5&lt;&gt;"",GF5&gt;=GQ$12,GF5&lt;&gt;""),AND(GG5&gt;=GQ$8,GG5&lt;&gt;"",GI5&gt;=GQ$12,GI5&lt;&gt;""),AND(GK5&gt;=GQ$8,GK5&lt;&gt;"",GM5&gt;=GQ$12,GM5&lt;&gt;""),AND(GN5&gt;=GQ$8,GN5&lt;&gt;"",GP5&gt;=GQ$12,GP5&lt;&gt;""),AND(HL5&gt;=HY$8,HL5&lt;&gt;"",HN5&gt;=HY$12,HN5&lt;&gt;""),AND(HO5&gt;=HY$8,HO5&lt;&gt;"",HQ5&gt;=HY$12,HQ5&lt;&gt;""),AND(HS5&gt;=HY$8,HS5&lt;&gt;"",HU5&gt;=HY$12,HU5&lt;&gt;""),AND(HV5&gt;=HY$8,HV5&lt;&gt;"",HX5&gt;=HY$12,HX5&lt;&gt;""),AND(IT5&gt;=JG$8,IT5&lt;&gt;"",IV5&gt;=JG$12,IV5&lt;&gt;""),AND(IW5&gt;=JG$8,IW5&lt;&gt;"",IY5&gt;=JG$12,IY5&lt;&gt;""),AND(JA5&gt;=JG$8,JA5&lt;&gt;"",JC5&gt;=JG$12,JC5&lt;&gt;""),AND(JD5&gt;=JG$8,JD5&lt;&gt;"",JF5&gt;=JG$12,JF5&lt;&gt;""),AND(KB5&gt;=KO$8,KB5&lt;&gt;"",KD5&gt;=KO$12,KD5&lt;&gt;""),AND(KE5&gt;=KO$8,KE5&lt;&gt;"",KG5&gt;=KO$12,KG5&lt;&gt;""),AND(KI5&gt;=KO$8,KI5&lt;&gt;"",KK5&gt;=KO$12,KK5&lt;&gt;""),AND(KL5&gt;=KO$8,KL5&lt;&gt;"",KN5&gt;=KO$12,KN5&lt;&gt;""),AND(LJ5&gt;=LW$8,LJ5&lt;&gt;"",LL5&gt;=LW$12,LL5&lt;&gt;""),AND(LM5&gt;=LW$8,LM5&lt;&gt;"",LO5&gt;=LW$12,LO5&lt;&gt;""),AND(LQ5&gt;=LW$8,LQ5&lt;&gt;"",LS5&gt;=LW$12,LS5&lt;&gt;""),AND(LT5&gt;=LW$8,LT5&lt;&gt;"",LV5&gt;=LW$12,LV5&lt;&gt;""),AND(MR5&gt;=NE$8,MR5&lt;&gt;"",MT5&gt;=NE$12,MT5&lt;&gt;""),AND(MU5&gt;=NE$8,MU5&lt;&gt;"",MW5&gt;=NE$12,MW5&lt;&gt;""),AND(MY5&gt;=NE$8,MY5&lt;&gt;"",NA5&gt;=NE$12,NA5&lt;&gt;""),AND(NB5&gt;=NE$8,NB5&lt;&gt;"",ND5&gt;=NE$12,ND5&lt;&gt;""),AND(NZ5&gt;=OM$8,NZ5&lt;&gt;"",OB5&gt;=OM$12,OB5&lt;&gt;""),AND(OC5&gt;=OM$8,OC5&lt;&gt;"",OE5&gt;=OM$12,OE5&lt;&gt;""),AND(OG5&gt;=OM$8,OG5&lt;&gt;"",OI5&gt;=OM$12,OI5&lt;&gt;""),AND(OJ5&gt;=OM$8,OJ5&lt;&gt;"",OL5&gt;=OM$12,OL5&lt;&gt;""),AND(PH5&gt;=PU$8,PH5&lt;&gt;"",PJ5&gt;=PU$12,PJ5&lt;&gt;""),AND(PK5&gt;=PU$8,PK5&lt;&gt;"",PM5&gt;=PU$12,PM5&lt;&gt;""),AND(PO5&gt;=PU$8,PO5&lt;&gt;"",PQ5&gt;=PU$12,PQ5&lt;&gt;""),AND(PR5&gt;=PU$8,PR5&lt;&gt;"",PT5&gt;=PU$12,PT5&lt;&gt;""),AND(QP5&gt;=RC$8,QP5&lt;&gt;"",QR5&gt;=RC$12,QR5&lt;&gt;""),AND(QS5&gt;=RC$8,QS5&lt;&gt;"",QU5&gt;=RC$12,QU5&lt;&gt;""),AND(QW5&gt;=RC$8,QW5&lt;&gt;"",QY5&gt;=RC$12,QY5&lt;&gt;""),AND(QZ5&gt;=RC$8,QZ5&lt;&gt;"",RB5&gt;=RC$12,RB5&lt;&gt;""),AND(RX5&gt;=SK$8,RX5&lt;&gt;"",RZ5&gt;=SK$12,RZ5&lt;&gt;""),AND(SA5&gt;=SK$8,SA5&lt;&gt;"",SC5&gt;=SK$12,SC5&lt;&gt;""),AND(SE5&gt;=SK$8,SE5&lt;&gt;"",SG5&gt;=SK$12,SG5&lt;&gt;""),AND(SH5&gt;=SK$8,SH5&lt;&gt;"",SJ5&gt;=SK$12,SJ5&lt;&gt;"")),"P","")</f>
        <v/>
      </c>
      <c r="G5" s="3" t="str">
        <f>IF(OR(AND(AG5&gt;=AO$12,AG5&lt;&gt;"",AD5=""),AND(AJ5&gt;=AO$12,AJ5&lt;&gt;"",AD5=""),AND(AN5&gt;=AO$12,AN5&lt;&gt;"",AD5=""),AND(BH5&gt;=BP$12,BH5&lt;&gt;"",BE5=""),AND(BK5&gt;=BP$12,BK5&lt;&gt;"",BE5=""),AND(BO5&gt;=BP$12,BO5&lt;&gt;"",BE5=""),AND(CI5&gt;=CQ$12,CI5&lt;&gt;"",CF5=""),AND(CL5&gt;=CQ$12,CL5&lt;&gt;"",CF5=""),AND(CP5&gt;=CQ$12,CP5&lt;&gt;"",CF5=""),AND(DP5&gt;=EA$12,DP5&lt;&gt;""),AND(DS5&gt;=EA$12,DS5&lt;&gt;""),AND(DW5&gt;=EA$12,DW5&lt;&gt;""),AND(DZ5&gt;=EA$12,DZ5&lt;&gt;""),AND(EX5&gt;=FI$12,EX5&lt;&gt;""),AND(FA5&gt;=FI$12,FA5&lt;&gt;""),AND(FE5&gt;=FI$12,FE5&lt;&gt;""),AND(FH5&gt;=FI$12,FH5&lt;&gt;""),AND(GF5&gt;=GQ$12,GF5&lt;&gt;""),AND(GI5&gt;=GQ$12,GI5&lt;&gt;""),AND(GM5&gt;=GQ$12,GM5&lt;&gt;""),AND(GP5&gt;=GQ$12,GP5&lt;&gt;""),AND(HN5&gt;=HY$12,HN5&lt;&gt;""),AND(HQ5&gt;=HY$12,HQ5&lt;&gt;""),AND(HU5&gt;=HY$12,HU5&lt;&gt;""),AND(HX5&gt;=HY$12,HX5&lt;&gt;""),AND(IV5&gt;=JG$12,IV5&lt;&gt;""),AND(IY5&gt;=JG$12,IY5&lt;&gt;""),AND(JC5&gt;=JG$12,JC5&lt;&gt;""),AND(JF5&gt;=JG$12,JF5&lt;&gt;""),AND(KD5&gt;=KO$12,KD5&lt;&gt;""),AND(KG5&gt;=KO$12,KG5&lt;&gt;""),AND(KK5&gt;=KO$12,KK5&lt;&gt;""),AND(KN5&gt;=KO$12,KN5&lt;&gt;""),AND(LL5&gt;=LW$12,LL5&lt;&gt;""),AND(LO5&gt;=LW$12,LO5&lt;&gt;""),AND(LS5&gt;=LW$12,LS5&lt;&gt;""),AND(LV5&gt;=LW$12,LV5&lt;&gt;""),AND(MT5&gt;=NE$12,MT5&lt;&gt;""),AND(MW5&gt;=NE$12,MW5&lt;&gt;""),AND(NA5&gt;=NE$12,NA5&lt;&gt;""),AND(ND5&gt;=NE$12,ND5&lt;&gt;""),AND(OB5&gt;=OM$12,OB5&lt;&gt;""),AND(OE5&gt;=OM$12,OE5&lt;&gt;""),AND(OI5&gt;=OM$12,OI5&lt;&gt;""),AND(OL5&gt;=OM$12,OL5&lt;&gt;""),AND(PJ5&gt;=PU$12,PJ5&lt;&gt;""),AND(PM5&gt;=PU$12,PM5&lt;&gt;""),AND(PQ5&gt;=PU$12,PQ5&lt;&gt;""),AND(PT5&gt;=PU$12,PT5&lt;&gt;""),AND(QR5&gt;=RC$12,QR5&lt;&gt;""),AND(QU5&gt;=RC$12,QU5&lt;&gt;""),AND(QY5&gt;=RC$12,QY5&lt;&gt;""),AND(RB5&gt;=RC$12,RB5&lt;&gt;""),AND(RZ5&gt;=SK$12,RZ5&lt;&gt;""),AND(SC5&gt;=SK$12,SC5&lt;&gt;""),AND(SG5&gt;=SK$12,SG5&lt;&gt;""),AND(SJ5&gt;=SK$12,SJ5&lt;&gt;"")),"P","")</f>
        <v/>
      </c>
      <c r="H5" s="70" t="str">
        <f>IF(AND(G5="P",F5=""),"No DD",IF(OR(AND(AE5&gt;=AO$11,AE5&lt;&gt;"",AG5&gt;=AO$15,AG5&lt;&gt;"",AD5=""),AND(AH5&gt;=AO$11,AH5&lt;&gt;"",AJ5&gt;=AO$15,AJ5&lt;&gt;"",AD5=""),AND(AL5&gt;=AO$11,AL5&lt;&gt;"",AN5&gt;=AO$15,AN5&lt;&gt;"",AD5=""),AND(BF5&gt;=BP$11,BF5&lt;&gt;"",BH5&gt;=BP$15,BH5&lt;&gt;"",BE5=""),AND(BI5&gt;=BP$11,BI5&lt;&gt;"",BK5&gt;=BP$15,BK5&lt;&gt;"",BE5=""),AND(BM5&gt;=BP$11,BM5&lt;&gt;"",BO5&gt;=BP$15,BO5&lt;&gt;"",BE5=""),AND(CG5&gt;=CQ$11,CG5&lt;&gt;"",CI5&gt;=CQ$15,CI5&lt;&gt;"",CF5=""),AND(CJ5&gt;=CQ$11,CJ5&lt;&gt;"",CL5&gt;=CQ$15,CL5&lt;&gt;"",CF5=""),AND(CN5&gt;=CQ$11,CN5&lt;&gt;"",CP5&gt;=CQ$15,CP5&lt;&gt;"",CF5=""),AND(DN5&gt;=EA$11,DN5&lt;&gt;"",DP5&gt;=EA$15,DP5&lt;&gt;""),AND(DQ5&gt;=EA$11,DQ5&lt;&gt;"",DS5&gt;=EA$15,DS5&lt;&gt;""),AND(DU5&gt;=EA$11,DU5&lt;&gt;"",DW5&gt;=EA$15,DW5&lt;&gt;""),AND(DX5&gt;=EA$11,DX5&lt;&gt;"",DZ5&gt;=EA$15,DZ5&lt;&gt;""),AND(EV5&gt;=FI$11,EV5&lt;&gt;"",EX5&gt;=FI$15,EX5&lt;&gt;""),AND(EY5&gt;=FI$11,EY5&lt;&gt;"",FA5&gt;=FI$15,FA5&lt;&gt;""),AND(FC5&gt;=FI$11,FC5&lt;&gt;"",FE5&gt;=FI$15,FE5&lt;&gt;""),AND(FF5&gt;=FI$11,FF5&lt;&gt;"",FH5&gt;=FI$15,FH5&lt;&gt;""),AND(GD5&gt;=GQ$11,GD5&lt;&gt;"",GF5&gt;=GQ$15,GF5&lt;&gt;""),AND(GG5&gt;=GQ$11,GG5&lt;&gt;"",GI5&gt;=GQ$15,GI5&lt;&gt;""),AND(GK5&gt;=GQ$11,GK5&lt;&gt;"",GM5&gt;=GQ$15,GM5&lt;&gt;""),AND(GN5&gt;=GQ$11,GN5&lt;&gt;"",GP5&gt;=GQ$15,GP5&lt;&gt;""),AND(HL5&gt;=HY$11,HL5&lt;&gt;"",HN5&gt;=HY$15,HN5&lt;&gt;""),AND(HO5&gt;=HY$11,HO5&lt;&gt;"",HQ5&gt;=HY$15,HQ5&lt;&gt;""),AND(HS5&gt;=HY$11,HS5&lt;&gt;"",HU5&gt;=HY$15,HU5&lt;&gt;""),AND(HV5&gt;=HY$11,HV5&lt;&gt;"",HX5&gt;=HY$15,HX5&lt;&gt;""),AND(IT5&gt;=JG$11,IT5&lt;&gt;"",IV5&gt;=JG$15,IV5&lt;&gt;""),AND(IW5&gt;=JG$11,IW5&lt;&gt;"",IY5&gt;=JG$15,IY5&lt;&gt;""),AND(JA5&gt;=JG$11,JA5&lt;&gt;"",JC5&gt;=JG$15,JC5&lt;&gt;""),AND(JD5&gt;=JG$11,JD5&lt;&gt;"",JF5&gt;=JG$15,JF5&lt;&gt;""),AND(KB5&gt;=KO$11,KB5&lt;&gt;"",KD5&gt;=KO$15,KD5&lt;&gt;""),AND(KE5&gt;=KO$11,KE5&lt;&gt;"",KG5&gt;=KO$15,KG5&lt;&gt;""),AND(KI5&gt;=KO$11,KI5&lt;&gt;"",KK5&gt;=KO$15,KK5&lt;&gt;""),AND(KL5&gt;=KO$11,KL5&lt;&gt;"",KN5&gt;=KO$15,KN5&lt;&gt;""),AND(LJ5&gt;=LW$11,LJ5&lt;&gt;"",LL5&gt;=LW$15,LL5&lt;&gt;""),AND(LM5&gt;=LW$11,LM5&lt;&gt;"",LO5&gt;=LW$15,LO5&lt;&gt;""),AND(LQ5&gt;=LW$11,LQ5&lt;&gt;"",LS5&gt;=LW$15,LS5&lt;&gt;""),AND(LT5&gt;=LW$11,LT5&lt;&gt;"",LV5&gt;=LW$15,LV5&lt;&gt;""),AND(MR5&gt;=NE$11,MR5&lt;&gt;"",MT5&gt;=NE$15,MT5&lt;&gt;""),AND(MU5&gt;=NE$11,MU5&lt;&gt;"",MW5&gt;=NE$15,MW5&lt;&gt;""),AND(MY5&gt;=NE$11,MY5&lt;&gt;"",NA5&gt;=NE$15,NA5&lt;&gt;""),AND(NB5&gt;=NE$11,NB5&lt;&gt;"",ND5&gt;=NE$15,ND5&lt;&gt;""),AND(NZ5&gt;=OM$11,NZ5&lt;&gt;"",OB5&gt;=OM$15,OB5&lt;&gt;""),AND(OC5&gt;=OM$11,OC5&lt;&gt;"",OE5&gt;=OM$15,OE5&lt;&gt;""),AND(OG5&gt;=OM$11,OG5&lt;&gt;"",OI5&gt;=OM$15,OI5&lt;&gt;""),AND(OJ5&gt;=OM$11,OJ5&lt;&gt;"",OL5&gt;=OM$15,OL5&lt;&gt;""),AND(PH5&gt;=PU$11,PH5&lt;&gt;"",PJ5&gt;=PU$15,PJ5&lt;&gt;""),AND(PK5&gt;=PU$11,PK5&lt;&gt;"",PM5&gt;=PU$15,PM5&lt;&gt;""),AND(PO5&gt;=PU$11,PO5&lt;&gt;"",PQ5&gt;=PU$15,PQ5&lt;&gt;""),AND(PR5&gt;=PU$11,PR5&lt;&gt;"",PT5&gt;=PU$15,PT5&lt;&gt;""),AND(QP5&gt;=RC$11,QP5&lt;&gt;"",QR5&gt;=RC$15,QR5&lt;&gt;""),AND(QS5&gt;=RC$11,QS5&lt;&gt;"",QU5&gt;=RC$15,QU5&lt;&gt;""),AND(QW5&gt;=RC$11,QW5&lt;&gt;"",QY5&gt;=RC$15,QY5&lt;&gt;""),AND(QZ5&gt;=RC$11,QZ5&lt;&gt;"",RB5&gt;=RC$15,RB5&lt;&gt;""),AND(RX5&gt;=SK$11,RX5&lt;&gt;"",RZ5&gt;=SK$15,RZ5&lt;&gt;""),AND(SA5&gt;=SK$11,SA5&lt;&gt;"",SC5&gt;=SK$15,SC5&lt;&gt;""),AND(SE5&gt;=SK$11,SE5&lt;&gt;"",SG5&gt;=SK$15,SG5&lt;&gt;""),AND(SH5&gt;=SK$11,SH5&lt;&gt;"",SJ5&gt;=SK$15,SJ5&lt;&gt;"")),"Merit",IF(OR(AND(AE5&gt;=AO$10,AE5&lt;&gt;"",AG5&gt;=AO$14,AG5&lt;&gt;"",AD5=""),AND(AH5&gt;=AO$10,AH5&lt;&gt;"",AJ5&gt;=AO$14,AJ5&lt;&gt;"",AD5=""),AND(AL5&gt;=AO$10,AL5&lt;&gt;"",AN5&gt;=AO$14,AN5&lt;&gt;"",AD5=""),AND(BF5&gt;=BP$10,BF5&lt;&gt;"",BH5&gt;=BP$14,BH5&lt;&gt;"",BE5=""),AND(BI5&gt;=BP$10,BI5&lt;&gt;"",BK5&gt;=BP$14,BK5&lt;&gt;"",BE5=""),AND(BM5&gt;=BP$10,BM5&lt;&gt;"",BO5&gt;=BP$14,BO5&lt;&gt;"",BE5=""),AND(CG5&gt;=CQ$10,CG5&lt;&gt;"",CI5&gt;=CQ$14,CI5&lt;&gt;"",CF5=""),AND(CJ5&gt;=CQ$10,CJ5&lt;&gt;"",CL5&gt;=CQ$14,CL5&lt;&gt;"",CF5=""),AND(CN5&gt;=CQ$10,CN5&lt;&gt;"",CP5&gt;=CQ$14,CP5&lt;&gt;"",CF5=""),AND(DN5&gt;=EA$10,DN5&lt;&gt;"",DP5&gt;=EA$14,DP5&lt;&gt;""),AND(DQ5&gt;=EA$10,DQ5&lt;&gt;"",DS5&gt;=EA$14,DS5&lt;&gt;""),AND(DU5&gt;=EA$10,DU5&lt;&gt;"",DW5&gt;=EA$14,DW5&lt;&gt;""),AND(DX5&gt;=EA$10,DX5&lt;&gt;"",DZ5&gt;=EA$14,DZ5&lt;&gt;""),AND(EV5&gt;=FI$10,EV5&lt;&gt;"",EX5&gt;=FI$14,EX5&lt;&gt;""),AND(EY5&gt;=FI$10,EY5&lt;&gt;"",FA5&gt;=FI$14,FA5&lt;&gt;""),AND(FC5&gt;=FI$10,FC5&lt;&gt;"",FE5&gt;=FI$14,FE5&lt;&gt;""),AND(FF5&gt;=FI$10,FF5&lt;&gt;"",FH5&gt;=FI$14,FH5&lt;&gt;""),AND(GD5&gt;=GQ$10,GD5&lt;&gt;"",GF5&gt;=GQ$14,GF5&lt;&gt;""),AND(GG5&gt;=GQ$10,GG5&lt;&gt;"",GI5&gt;=GQ$14,GI5&lt;&gt;""),AND(GK5&gt;=GQ$10,GK5&lt;&gt;"",GM5&gt;=GQ$14,GM5&lt;&gt;""),AND(GN5&gt;=GQ$10,GN5&lt;&gt;"",GP5&gt;=GQ$14,GP5&lt;&gt;""),AND(HL5&gt;=HY$10,HL5&lt;&gt;"",HN5&gt;=HY$14,HN5&lt;&gt;""),AND(HO5&gt;=HY$10,HO5&lt;&gt;"",HQ5&gt;=HY$14,HQ5&lt;&gt;""),AND(HS5&gt;=HY$10,HS5&lt;&gt;"",HU5&gt;=HY$14,HU5&lt;&gt;""),AND(HV5&gt;=HY$10,HV5&lt;&gt;"",HX5&gt;=HY$14,HX5&lt;&gt;""),AND(IT5&gt;=JG$10,IT5&lt;&gt;"",IV5&gt;=JG$14,IV5&lt;&gt;""),AND(IW5&gt;=JG$10,IW5&lt;&gt;"",IY5&gt;=JG$14,IY5&lt;&gt;""),AND(JA5&gt;=JG$10,JA5&lt;&gt;"",JC5&gt;=JG$14,JC5&lt;&gt;""),AND(JD5&gt;=JG$10,JD5&lt;&gt;"",JF5&gt;=JG$14,JF5&lt;&gt;""),AND(KB5&gt;=KO$10,KB5&lt;&gt;"",KD5&gt;=KO$14,KD5&lt;&gt;""),AND(KE5&gt;=KO$10,KE5&lt;&gt;"",KG5&gt;=KO$14,KG5&lt;&gt;""),AND(KI5&gt;=KO$10,KI5&lt;&gt;"",KK5&gt;=KO$14,KK5&lt;&gt;""),AND(KL5&gt;=KO$10,KL5&lt;&gt;"",KN5&gt;=KO$14,KN5&lt;&gt;""),AND(LJ5&gt;=LW$10,LJ5&lt;&gt;"",LL5&gt;=LW$14,LL5&lt;&gt;""),AND(LM5&gt;=LW$10,LM5&lt;&gt;"",LO5&gt;=LW$14,LO5&lt;&gt;""),AND(LQ5&gt;=LW$10,LQ5&lt;&gt;"",LS5&gt;=LW$14,LS5&lt;&gt;""),AND(LT5&gt;=LW$10,LT5&lt;&gt;"",LV5&gt;=LW$14,LV5&lt;&gt;""),AND(MR5&gt;=NE$10,MR5&lt;&gt;"",MT5&gt;=NE$14,MT5&lt;&gt;""),AND(MU5&gt;=NE$10,MU5&lt;&gt;"",MW5&gt;=NE$14,MW5&lt;&gt;""),AND(MY5&gt;=NE$10,MY5&lt;&gt;"",NA5&gt;=NE$14,NA5&lt;&gt;""),AND(NB5&gt;=NE$10,NB5&lt;&gt;"",ND5&gt;=NE$14,ND5&lt;&gt;""),AND(NZ5&gt;=OM$10,NZ5&lt;&gt;"",OB5&gt;=OM$14,OB5&lt;&gt;""),AND(OC5&gt;=OM$10,OC5&lt;&gt;"",OE5&gt;=OM$14,OE5&lt;&gt;""),AND(OG5&gt;=OM$10,OG5&lt;&gt;"",OI5&gt;=OM$14,OI5&lt;&gt;""),AND(OJ5&gt;=OM$10,OJ5&lt;&gt;"",OL5&gt;=OM$14,OL5&lt;&gt;""),AND(PH5&gt;=PU$10,PH5&lt;&gt;"",PJ5&gt;=PU$14,PJ5&lt;&gt;""),AND(PK5&gt;=PU$10,PK5&lt;&gt;"",PM5&gt;=PU$14,PM5&lt;&gt;""),AND(PO5&gt;=PU$10,PO5&lt;&gt;"",PQ5&gt;=PU$14,PQ5&lt;&gt;""),AND(PR5&gt;=PU$10,PR5&lt;&gt;"",PT5&gt;=PU$14,PT5&lt;&gt;""),AND(QP5&gt;=RC$10,QP5&lt;&gt;"",QR5&gt;=RC$14,QR5&lt;&gt;""),AND(QS5&gt;=RC$10,QS5&lt;&gt;"",QU5&gt;=RC$14,QU5&lt;&gt;""),AND(QW5&gt;=RC$10,QW5&lt;&gt;"",QY5&gt;=RC$14,QY5&lt;&gt;""),AND(QZ5&gt;=RC$10,QZ5&lt;&gt;"",RB5&gt;=RC$14,RB5&lt;&gt;""),AND(RX5&gt;=SK$10,RX5&lt;&gt;"",RZ5&gt;=SK$14,RZ5&lt;&gt;""),AND(SA5&gt;=SK$10,SA5&lt;&gt;"",SC5&gt;=SK$14,SC5&lt;&gt;""),AND(SE5&gt;=SK$10,SE5&lt;&gt;"",SG5&gt;=SK$14,SG5&lt;&gt;""),AND(SH5&gt;=SK$10,SH5&lt;&gt;"",SJ5&gt;=SK$14,SJ5&lt;&gt;"")),"Excellence",IF(I5="P","Worlds Team",IF(F5="P","National Team","")))))</f>
        <v/>
      </c>
      <c r="I5" s="3" t="str">
        <f>IF(OR(AND(AE5&gt;=AO$9,AE5&lt;&gt;"",AG5&gt;=AO$13,AG5&lt;&gt;"",AD5=""),AND(AH5&gt;=AO$9,AH5&lt;&gt;"",AJ5&gt;=AO$13,AJ5&lt;&gt;"",AD5=""),AND(AL5&gt;=AO$9,AL5&lt;&gt;"",AN5&gt;=AO$13,AN5&lt;&gt;"",AD5=""),AND(BF5&gt;=BP$9,BF5&lt;&gt;"",BH5&gt;=BP$13,BH5&lt;&gt;"",BE5=""),AND(BI5&gt;=BP$9,BI5&lt;&gt;"",BK5&gt;=BP$13,BK5&lt;&gt;"",BE5=""),AND(BM5&gt;=BP$9,BM5&lt;&gt;"",BO5&gt;=BP$13,BO5&lt;&gt;"",BE5=""),AND(CG5&gt;=CQ$9,CG5&lt;&gt;"",CI5&gt;=CQ$13,CI5&lt;&gt;"",CF5=""),AND(CJ5&gt;=CQ$9,CJ5&lt;&gt;"",CL5&gt;=CQ$13,CL5&lt;&gt;"",CF5=""),AND(CN5&gt;=CQ$9,CN5&lt;&gt;"",CP5&gt;=CQ$13,CP5&lt;&gt;"",CF5=""),AND(DN5&gt;=EA$9,DN5&lt;&gt;"",DP5&gt;=EA$13,DP5&lt;&gt;""),AND(DQ5&gt;=EA$9,DQ5&lt;&gt;"",DS5&gt;=EA$13,DS5&lt;&gt;""),AND(DU5&gt;=EA$9,DU5&lt;&gt;"",DW5&gt;=EA$13,DW5&lt;&gt;""),AND(DX5&gt;=EA$9,DX5&lt;&gt;"",DZ5&gt;=EA$13,DZ5&lt;&gt;""),AND(EV5&gt;=FI$9,EV5&lt;&gt;"",EX5&gt;=FI$13,EX5&lt;&gt;""),AND(EY5&gt;=FI$9,EY5&lt;&gt;"",FA5&gt;=FI$13,FA5&lt;&gt;""),AND(FC5&gt;=FI$9,FC5&lt;&gt;"",FE5&gt;=FI$13,FE5&lt;&gt;""),AND(FF5&gt;=FI$9,FF5&lt;&gt;"",FH5&gt;=FI$13,FH5&lt;&gt;""),AND(GD5&gt;=GQ$9,GD5&lt;&gt;"",GF5&gt;=GQ$13,GF5&lt;&gt;""),AND(GG5&gt;=GQ$9,GG5&lt;&gt;"",GI5&gt;=GQ$13,GI5&lt;&gt;""),AND(GK5&gt;=GQ$9,GK5&lt;&gt;"",GM5&gt;=GQ$13,GM5&lt;&gt;""),AND(GN5&gt;=GQ$9,GN5&lt;&gt;"",GP5&gt;=GQ$13,GP5&lt;&gt;""),AND(HL5&gt;=HY$9,HL5&lt;&gt;"",HN5&gt;=HY$13,HN5&lt;&gt;""),AND(HO5&gt;=HY$9,HO5&lt;&gt;"",HQ5&gt;=HY$13,HQ5&lt;&gt;""),AND(HS5&gt;=HY$9,HS5&lt;&gt;"",HU5&gt;=HY$13,HU5&lt;&gt;""),AND(HV5&gt;=HY$9,HV5&lt;&gt;"",HX5&gt;=HY$13,HX5&lt;&gt;""),AND(IT5&gt;=JG$9,IT5&lt;&gt;"",IV5&gt;=JG$13,IV5&lt;&gt;""),AND(IW5&gt;=JG$9,IW5&lt;&gt;"",IY5&gt;=JG$13,IY5&lt;&gt;""),AND(JA5&gt;=JG$9,JA5&lt;&gt;"",JC5&gt;=JG$13,JC5&lt;&gt;""),AND(JD5&gt;=JG$9,JD5&lt;&gt;"",JF5&gt;=JG$13,JF5&lt;&gt;""),AND(KB5&gt;=KO$9,KB5&lt;&gt;"",KD5&gt;=KO$13,KD5&lt;&gt;""),AND(KE5&gt;=KO$9,KE5&lt;&gt;"",KG5&gt;=KO$13,KG5&lt;&gt;""),AND(KI5&gt;=KO$9,KI5&lt;&gt;"",KK5&gt;=KO$13,KK5&lt;&gt;""),AND(KL5&gt;=KO$9,KL5&lt;&gt;"",KN5&gt;=KO$13,KN5&lt;&gt;""),AND(LJ5&gt;=LW$9,LJ5&lt;&gt;"",LL5&gt;=LW$13,LL5&lt;&gt;""),AND(LM5&gt;=LW$9,LM5&lt;&gt;"",LO5&gt;=LW$13,LO5&lt;&gt;""),AND(LQ5&gt;=LW$9,LQ5&lt;&gt;"",LS5&gt;=LW$13,LS5&lt;&gt;""),AND(LT5&gt;=LW$9,LT5&lt;&gt;"",LV5&gt;=LW$13,LV5&lt;&gt;""),AND(MR5&gt;=NE$9,MR5&lt;&gt;"",MT5&gt;=NE$13,MT5&lt;&gt;""),AND(MU5&gt;=NE$9,MU5&lt;&gt;"",MW5&gt;=NE$13,MW5&lt;&gt;""),AND(MY5&gt;=NE$9,MY5&lt;&gt;"",NA5&gt;=NE$13,NA5&lt;&gt;""),AND(NB5&gt;=NE$9,NB5&lt;&gt;"",ND5&gt;=NE$13,ND5&lt;&gt;""),AND(NZ5&gt;=OM$9,NZ5&lt;&gt;"",OB5&gt;=OM$13,OB5&lt;&gt;""),AND(OC5&gt;=OM$9,OC5&lt;&gt;"",OE5&gt;=OM$13,OE5&lt;&gt;""),AND(OG5&gt;=OM$9,OG5&lt;&gt;"",OI5&gt;=OM$13,OI5&lt;&gt;""),AND(OJ5&gt;=OM$9,OJ5&lt;&gt;"",OL5&gt;=OM$13,OL5&lt;&gt;""),AND(PH5&gt;=PU$9,PH5&lt;&gt;"",PJ5&gt;=PU$13,PJ5&lt;&gt;""),AND(PK5&gt;=PU$9,PK5&lt;&gt;"",PM5&gt;=PU$13,PM5&lt;&gt;""),AND(PO5&gt;=PU$9,PO5&lt;&gt;"",PQ5&gt;=PU$13,PQ5&lt;&gt;""),AND(PR5&gt;=PU$9,PR5&lt;&gt;"",PT5&gt;=PU$13,PT5&lt;&gt;""),AND(QP5&gt;=RC$9,QP5&lt;&gt;"",QR5&gt;=RC$13,QR5&lt;&gt;""),AND(QS5&gt;=RC$9,QS5&lt;&gt;"",QU5&gt;=RC$13,QU5&lt;&gt;""),AND(QW5&gt;=RC$9,QW5&lt;&gt;"",QY5&gt;=RC$13,QY5&lt;&gt;""),AND(QZ5&gt;=RC$9,QZ5&lt;&gt;"",RB5&gt;=RC$13,RB5&lt;&gt;""),AND(RX5&gt;=SK$9,RX5&lt;&gt;"",RZ5&gt;=SK$13,RZ5&lt;&gt;""),AND(SA5&gt;=SK$9,SA5&lt;&gt;"",SC5&gt;=SK$13,SC5&lt;&gt;""),AND(SE5&gt;=SK$9,SE5&lt;&gt;"",SG5&gt;=SK$13,SG5&lt;&gt;""),AND(SH5&gt;=SK$9,SH5&lt;&gt;"",SJ5&gt;=SK$13,SJ5&lt;&gt;"")),"P","")</f>
        <v/>
      </c>
      <c r="J5" s="13">
        <f>IF(COUNT(AG5,AJ5,AN5,BH5,BK5,BO5,CI5,CL5,CP5)&gt;0,LARGE((AG5,AJ5,AN5,BH5,BK5,BO5,CI5,CL5,CP5),1),0)</f>
        <v>0</v>
      </c>
      <c r="K5" s="13" t="str">
        <f>IF(J5="","",IF(OR(J5=CI5,J5=CL5,J5=CP5),$BQ$1,IF(OR(J5=BH5,J5=BK5,J5=BO5),$AP$1,IF(OR(J5=AG5,J5=AJ5,J5=AN5),$O$1,""))))</f>
        <v/>
      </c>
      <c r="L5" s="13" t="str">
        <f>IF(MAX(CR5,CS5)&gt;0,MAX(CR5,CS5),"")</f>
        <v/>
      </c>
      <c r="M5" s="16" t="str">
        <f>IF(L5="","",IF(L5=CR5,"("&amp;CR$2&amp;")",IF(L5=CS5,"("&amp;CS$2&amp;")")))</f>
        <v/>
      </c>
      <c r="N5" s="13" t="str">
        <f>IF(L5="","",IF(L5=CR5,IF(L5+IF(J4="",0,J4)=SD5,$RD$1,IF(L5+IF(J4="",0,J4)=QV5,$PV$1,IF(L5+IF(J4="",0,J4)=PN5,$ON$1,IF(L5+IF(J4="",0,J4)=OF5,$NF$1,IF(L5+IF(J4="",0,J4)=MX5,$LX$1,IF(L5+IF(J4="",0,J4)=LP5,$KP$1,IF(L5+IF(J4="",0,J4)=KH5,$JH$1,IF(L5+IF(J4="",0,J4)=IZ5,$HZ$1,IF(L5+IF(J4="",0,J4)=HR5,$GR$1,IF(L5+IF(J4="",0,J4)=GJ5,$FJ$1,IF(L5+IF(J4="",0,J4)=FB5,$EB$1,IF(L5+IF(J4="",0,J4)=DT5,$CT$1)))))))))))),IF(L5=CS5,IF(L5+IF(J4="",0,J4)=SJ5,$RD$1,IF(L5+IF(J4="",0,J4)=RB5,$PV$1,IF(L5+IF(J4="",0,J4)=PT5,$ON$1,IF(L5+IF(J4="",0,J4)=OL5,$NF$1,IF(L5+IF(J4="",0,J4)=ND5,$LX$1,IF(L5+IF(J4="",0,J4)=LV5,$KP$1,IF(L5+IF(J4="",0,J4)=KN5,$JH$1,IF(L5+IF(J4="",0,J4)=JF5,$HZ$1,IF(L5+IF(J4="",0,J4)=HX5,$GR$1,IF(L5+IF(J4="",0,J4)=GP5,$FJ$1,IF(L5+IF(J4="",0,J4)=FH5,$EB$1,IF(L5+IF(J4="",0,J4)=DZ5,$CT$1)))))))))))))))</f>
        <v/>
      </c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51"/>
      <c r="AE5" s="74" t="str">
        <f>IF(Q5&gt;0,Q5,"")</f>
        <v/>
      </c>
      <c r="AF5" s="74" t="str">
        <f>IF(R5&gt;0,R5,"")</f>
        <v/>
      </c>
      <c r="AG5" s="76" t="str">
        <f>IF(SUM(O5:R5)-S5&gt;0,SUM(O5:R5)-S5,"")</f>
        <v/>
      </c>
      <c r="AH5" s="76" t="str">
        <f>IF(V5&gt;0,V5,"")</f>
        <v/>
      </c>
      <c r="AI5" s="76" t="str">
        <f>IF(W5&gt;0,W5,"")</f>
        <v/>
      </c>
      <c r="AJ5" s="76" t="str">
        <f>IF(SUM(T5:W5)-X5&gt;0,SUM(T5:W5)-X5,"")</f>
        <v/>
      </c>
      <c r="AK5" s="76" t="str">
        <f>IF(AG5="","",MAX(AG5,AJ5))</f>
        <v/>
      </c>
      <c r="AL5" s="76" t="str">
        <f>IF(AA5&gt;0,AA5,"")</f>
        <v/>
      </c>
      <c r="AM5" s="76" t="str">
        <f>IF(AB5&gt;0,AB5,"")</f>
        <v/>
      </c>
      <c r="AN5" s="76" t="str">
        <f>IF(SUM(Y5:AB5)-AC5&gt;0,SUM(Y5:AB5)-AC5,"")</f>
        <v/>
      </c>
      <c r="AO5" s="76" t="str">
        <f>IF(SUM(AK5,AN5)&gt;0,SUM(AK5,AN5),"")</f>
        <v/>
      </c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52"/>
      <c r="BF5" s="75" t="str">
        <f>IF(AR5&gt;0,AR5,"")</f>
        <v/>
      </c>
      <c r="BG5" s="75" t="str">
        <f>IF(AS5&gt;0,AS5,"")</f>
        <v/>
      </c>
      <c r="BH5" s="16" t="str">
        <f>IF(SUM(AP5:AS5)-AT5&gt;0,SUM(AP5:AS5)-AT5,"")</f>
        <v/>
      </c>
      <c r="BI5" s="16" t="str">
        <f>IF(AW5&gt;0,AW5,"")</f>
        <v/>
      </c>
      <c r="BJ5" s="16" t="str">
        <f>IF(AX5&gt;0,AX5,"")</f>
        <v/>
      </c>
      <c r="BK5" s="16" t="str">
        <f>IF(SUM(AU5:AX5)-AY5&gt;0,SUM(AU5:AX5)-AY5,"")</f>
        <v/>
      </c>
      <c r="BL5" s="16" t="str">
        <f>IF(BH5="","",MAX(BH5,BK5))</f>
        <v/>
      </c>
      <c r="BM5" s="16" t="str">
        <f>IF(BB5&gt;0,BB5,"")</f>
        <v/>
      </c>
      <c r="BN5" s="16" t="str">
        <f>IF(BC5&gt;0,BC5,"")</f>
        <v/>
      </c>
      <c r="BO5" s="16" t="str">
        <f>IF(SUM(AZ5:BC5)-BD5&gt;0,SUM(AZ5:BC5)-BD5,"")</f>
        <v/>
      </c>
      <c r="BP5" s="16" t="str">
        <f>IF(SUM(BL5,BO5)&gt;0,SUM(BL5,BO5),"")</f>
        <v/>
      </c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51"/>
      <c r="CG5" s="74" t="str">
        <f>IF(BS5&gt;0,BS5,"")</f>
        <v/>
      </c>
      <c r="CH5" s="74" t="str">
        <f>IF(BT5&gt;0,BT5,"")</f>
        <v/>
      </c>
      <c r="CI5" s="76" t="str">
        <f>IF(SUM(BQ5:BT5)-BU5&gt;0,SUM(BQ5:BT5)-BU5,"")</f>
        <v/>
      </c>
      <c r="CJ5" s="76" t="str">
        <f>IF(BX5&gt;0,BX5,"")</f>
        <v/>
      </c>
      <c r="CK5" s="76" t="str">
        <f>IF(BY5&gt;0,BY5,"")</f>
        <v/>
      </c>
      <c r="CL5" s="76" t="str">
        <f>IF(SUM(BV5:BY5)-BZ5&gt;0,SUM(BV5:BY5)-BZ5,"")</f>
        <v/>
      </c>
      <c r="CM5" s="76" t="str">
        <f>IF(CI5="","",MAX(CI5,CL5))</f>
        <v/>
      </c>
      <c r="CN5" s="76" t="str">
        <f>IF(CC5&gt;0,CC5,"")</f>
        <v/>
      </c>
      <c r="CO5" s="76" t="str">
        <f>IF(CD5&gt;0,CD5,"")</f>
        <v/>
      </c>
      <c r="CP5" s="76" t="str">
        <f>IF(SUM(CA5:CD5)-CE5&gt;0,SUM(CA5:CD5)-CE5,"")</f>
        <v/>
      </c>
      <c r="CQ5" s="76" t="str">
        <f>IF(SUM(CM5,CP5)&gt;0,SUM(CM5,CP5),"")</f>
        <v/>
      </c>
      <c r="CR5" s="87" t="str">
        <f>IF(J5&gt;=0.001,IF(MAX(DT5,FB5,GJ5,HR5,IZ5,KH5,LP5,MX5,OF5,PN5,QV5,SD5)-IF(J5="",0,J5)&gt;0.001,MAX(DT5,FB5,GJ5,HR5,IZ5,KH5,LP5,MX5,OF5,PN5,QV5,SD5)-IF(J5="",0,J5),""),"")</f>
        <v/>
      </c>
      <c r="CS5" s="87" t="str">
        <f>IF(J5&gt;=0.001,IF(MAX(DW5,DZ5,FE5,FH5,GM5,GP5,HU5,HX5,JC5,JF5,KK5,KN5,LS5,LV5,NA5,ND5,OI5,OL5,PQ5,PT5,QY5,RB5,SG5,SJ5)-IF(J5="",0,J5)&gt;0.001,MAX(DW5,DZ5,FE5,FH5,GM5,GP5,HU5,HX5,JC5,JF5,KK5,KN5,LS5,LV5,NA5,ND5,OI5,OL5,PQ5,PT5,QY5,RB5,SG5,SJ5)-IF(J5="",0,J5),""),"")</f>
        <v/>
      </c>
      <c r="CT5" s="25">
        <v>0.75</v>
      </c>
      <c r="CU5" s="25">
        <v>1</v>
      </c>
      <c r="CV5" s="25">
        <v>2</v>
      </c>
      <c r="CW5" s="25">
        <v>1.36</v>
      </c>
      <c r="CX5" s="25">
        <v>0</v>
      </c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76">
        <f>IF(CV5&gt;0,CV5,"")</f>
        <v>2</v>
      </c>
      <c r="DO5" s="76">
        <f>IF(CW5&gt;0,CW5,"")</f>
        <v>1.36</v>
      </c>
      <c r="DP5" s="76">
        <f>IF(SUM(CT5:CW5)-CX5&gt;0,SUM(CT5:CW5)-CX5,"")</f>
        <v>5.1100000000000003</v>
      </c>
      <c r="DQ5" s="76" t="str">
        <f>IF(DA5&gt;0,DA5,"")</f>
        <v/>
      </c>
      <c r="DR5" s="76" t="str">
        <f>IF(DB5&gt;0,DB5,"")</f>
        <v/>
      </c>
      <c r="DS5" s="76" t="str">
        <f>IF(SUM(CY5:DB5)-DC5&gt;0,SUM(CY5:DB5)-DC5,"")</f>
        <v/>
      </c>
      <c r="DT5" s="76">
        <f>IF(MAX(DP5,DS5)&gt;0,MAX(DP5,DS5),"")</f>
        <v>5.1100000000000003</v>
      </c>
      <c r="DU5" s="76" t="str">
        <f>IF(DF5&gt;0,DF5,"")</f>
        <v/>
      </c>
      <c r="DV5" s="76" t="str">
        <f>IF(DG5&gt;0,DG5,"")</f>
        <v/>
      </c>
      <c r="DW5" s="76" t="str">
        <f>IF(SUM(DD5:DG5)-DH5&gt;0,SUM(DD5:DG5)-DH5,"")</f>
        <v/>
      </c>
      <c r="DX5" s="76" t="str">
        <f>IF(DK5&gt;0,DK5,"")</f>
        <v/>
      </c>
      <c r="DY5" s="76" t="str">
        <f>IF(DL5&gt;0,DL5,"")</f>
        <v/>
      </c>
      <c r="DZ5" s="76" t="str">
        <f>IF(SUM(DI5:DL5)-DM5&gt;0,SUM(DI5:DL5)-DM5,"")</f>
        <v/>
      </c>
      <c r="EA5" s="76">
        <f>IF(SUM(DT5,DZ5)&gt;0,SUM(DT5,DZ5),"")</f>
        <v>5.1100000000000003</v>
      </c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16" t="str">
        <f>IF(ED5&gt;0,ED5,"")</f>
        <v/>
      </c>
      <c r="EW5" s="16" t="str">
        <f>IF(EE5&gt;0,EE5,"")</f>
        <v/>
      </c>
      <c r="EX5" s="16" t="str">
        <f>IF(SUM(EB5:EE5)-EF5&gt;0,SUM(EB5:EE5)-EF5,"")</f>
        <v/>
      </c>
      <c r="EY5" s="16" t="str">
        <f>IF(EI5&gt;0,EI5,"")</f>
        <v/>
      </c>
      <c r="EZ5" s="16" t="str">
        <f>IF(EJ5&gt;0,EJ5,"")</f>
        <v/>
      </c>
      <c r="FA5" s="16" t="str">
        <f>IF(SUM(EG5:EJ5)-EK5&gt;0,SUM(EG5:EJ5)-EK5,"")</f>
        <v/>
      </c>
      <c r="FB5" s="16" t="str">
        <f>IF(MAX(EX5,FA5)&gt;0,MAX(EX5,FA5),"")</f>
        <v/>
      </c>
      <c r="FC5" s="16" t="str">
        <f>IF(EN5&gt;0,EN5,"")</f>
        <v/>
      </c>
      <c r="FD5" s="16" t="str">
        <f>IF(EO5&gt;0,EO5,"")</f>
        <v/>
      </c>
      <c r="FE5" s="16" t="str">
        <f>IF(SUM(EL5:EO5)-EP5&gt;0,SUM(EL5:EO5)-EP5,"")</f>
        <v/>
      </c>
      <c r="FF5" s="16" t="str">
        <f>IF(ES5&gt;0,ES5,"")</f>
        <v/>
      </c>
      <c r="FG5" s="16" t="str">
        <f>IF(ET5&gt;0,ET5,"")</f>
        <v/>
      </c>
      <c r="FH5" s="16" t="str">
        <f>IF(SUM(EQ5:ET5)-EU5&gt;0,SUM(EQ5:ET5)-EU5,"")</f>
        <v/>
      </c>
      <c r="FI5" s="16" t="str">
        <f>IF(SUM(FB5,FH5)&gt;0,SUM(FB5,FH5),"")</f>
        <v/>
      </c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76" t="str">
        <f>IF(FL5&gt;0,FL5,"")</f>
        <v/>
      </c>
      <c r="GE5" s="76" t="str">
        <f>IF(FM5&gt;0,FM5,"")</f>
        <v/>
      </c>
      <c r="GF5" s="76" t="str">
        <f>IF(SUM(FJ5:FM5)-FN5&gt;0,SUM(FJ5:FM5)-FN5,"")</f>
        <v/>
      </c>
      <c r="GG5" s="76" t="str">
        <f>IF(FQ5&gt;0,FQ5,"")</f>
        <v/>
      </c>
      <c r="GH5" s="76" t="str">
        <f>IF(FR5&gt;0,FR5,"")</f>
        <v/>
      </c>
      <c r="GI5" s="76" t="str">
        <f>IF(SUM(FO5:FR5)-FS5&gt;0,SUM(FO5:FR5)-FS5,"")</f>
        <v/>
      </c>
      <c r="GJ5" s="76" t="str">
        <f>IF(MAX(GF5,GI5)&gt;0,MAX(GF5,GI5),"")</f>
        <v/>
      </c>
      <c r="GK5" s="76" t="str">
        <f>IF(FV5&gt;0,FV5,"")</f>
        <v/>
      </c>
      <c r="GL5" s="76" t="str">
        <f>IF(FW5&gt;0,FW5,"")</f>
        <v/>
      </c>
      <c r="GM5" s="76" t="str">
        <f>IF(SUM(FT5:FW5)-FX5&gt;0,SUM(FT5:FW5)-FX5,"")</f>
        <v/>
      </c>
      <c r="GN5" s="76" t="str">
        <f>IF(GA5&gt;0,GA5,"")</f>
        <v/>
      </c>
      <c r="GO5" s="76" t="str">
        <f>IF(GB5&gt;0,GB5,"")</f>
        <v/>
      </c>
      <c r="GP5" s="76" t="str">
        <f>IF(SUM(FY5:GB5)-GC5&gt;0,SUM(FY5:GB5)-GC5,"")</f>
        <v/>
      </c>
      <c r="GQ5" s="76" t="str">
        <f>IF(SUM(GJ5,GP5)&gt;0,SUM(GJ5,GP5),"")</f>
        <v/>
      </c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16" t="str">
        <f>IF(GT5&gt;0,GT5,"")</f>
        <v/>
      </c>
      <c r="HM5" s="16" t="str">
        <f>IF(GU5&gt;0,GU5,"")</f>
        <v/>
      </c>
      <c r="HN5" s="16" t="str">
        <f>IF(SUM(GR5:GU5)-GV5&gt;0,SUM(GR5:GU5)-GV5,"")</f>
        <v/>
      </c>
      <c r="HO5" s="16" t="str">
        <f>IF(GY5&gt;0,GY5,"")</f>
        <v/>
      </c>
      <c r="HP5" s="16" t="str">
        <f>IF(GZ5&gt;0,GZ5,"")</f>
        <v/>
      </c>
      <c r="HQ5" s="16" t="str">
        <f>IF(SUM(GW5:GZ5)-HA5&gt;0,SUM(GW5:GZ5)-HA5,"")</f>
        <v/>
      </c>
      <c r="HR5" s="16" t="str">
        <f>IF(MAX(HN5,HQ5)&gt;0,MAX(HN5,HQ5),"")</f>
        <v/>
      </c>
      <c r="HS5" s="16" t="str">
        <f>IF(HD5&gt;0,HD5,"")</f>
        <v/>
      </c>
      <c r="HT5" s="16" t="str">
        <f>IF(HE5&gt;0,HE5,"")</f>
        <v/>
      </c>
      <c r="HU5" s="16" t="str">
        <f>IF(SUM(HB5:HE5)-HF5&gt;0,SUM(HB5:HE5)-HF5,"")</f>
        <v/>
      </c>
      <c r="HV5" s="16" t="str">
        <f>IF(HI5&gt;0,HI5,"")</f>
        <v/>
      </c>
      <c r="HW5" s="16" t="str">
        <f>IF(HJ5&gt;0,HJ5,"")</f>
        <v/>
      </c>
      <c r="HX5" s="16" t="str">
        <f>IF(SUM(HG5:HJ5)-HK5&gt;0,SUM(HG5:HJ5)-HK5,"")</f>
        <v/>
      </c>
      <c r="HY5" s="16" t="str">
        <f>IF(SUM(HR5,HX5)&gt;0,SUM(HR5,HX5),"")</f>
        <v/>
      </c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76" t="str">
        <f>IF(IB5&gt;0,IB5,"")</f>
        <v/>
      </c>
      <c r="IU5" s="76" t="str">
        <f>IF(IC5&gt;0,IC5,"")</f>
        <v/>
      </c>
      <c r="IV5" s="76" t="str">
        <f>IF(SUM(HZ5:IC5)-ID5&gt;0,SUM(HZ5:IC5)-ID5,"")</f>
        <v/>
      </c>
      <c r="IW5" s="76" t="str">
        <f>IF(IG5&gt;0,IG5,"")</f>
        <v/>
      </c>
      <c r="IX5" s="76" t="str">
        <f>IF(IH5&gt;0,IH5,"")</f>
        <v/>
      </c>
      <c r="IY5" s="76" t="str">
        <f>IF(SUM(IE5:IH5)-II5&gt;0,SUM(IE5:IH5)-II5,"")</f>
        <v/>
      </c>
      <c r="IZ5" s="76" t="str">
        <f>IF(MAX(IV5,IY5)&gt;0,MAX(IV5,IY5),"")</f>
        <v/>
      </c>
      <c r="JA5" s="76" t="str">
        <f>IF(IL5&gt;0,IL5,"")</f>
        <v/>
      </c>
      <c r="JB5" s="76" t="str">
        <f>IF(IM5&gt;0,IM5,"")</f>
        <v/>
      </c>
      <c r="JC5" s="76" t="str">
        <f>IF(SUM(IJ5:IM5)-IN5&gt;0,SUM(IJ5:IM5)-IN5,"")</f>
        <v/>
      </c>
      <c r="JD5" s="76" t="str">
        <f>IF(IQ5&gt;0,IQ5,"")</f>
        <v/>
      </c>
      <c r="JE5" s="76" t="str">
        <f>IF(IR5&gt;0,IR5,"")</f>
        <v/>
      </c>
      <c r="JF5" s="76" t="str">
        <f>IF(SUM(IO5:IR5)-IS5&gt;0,SUM(IO5:IR5)-IS5,"")</f>
        <v/>
      </c>
      <c r="JG5" s="76" t="str">
        <f>IF(SUM(IZ5,JF5)&gt;0,SUM(IZ5,JF5),"")</f>
        <v/>
      </c>
      <c r="JH5" s="26"/>
      <c r="JI5" s="26"/>
      <c r="JJ5" s="26"/>
      <c r="JK5" s="26"/>
      <c r="JL5" s="26"/>
      <c r="JM5" s="26"/>
      <c r="JN5" s="26"/>
      <c r="JO5" s="26"/>
      <c r="JP5" s="26"/>
      <c r="JQ5" s="26"/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16" t="str">
        <f>IF(JJ5&gt;0,JJ5,"")</f>
        <v/>
      </c>
      <c r="KC5" s="16" t="str">
        <f>IF(JK5&gt;0,JK5,"")</f>
        <v/>
      </c>
      <c r="KD5" s="16" t="str">
        <f>IF(SUM(JH5:JK5)-JL5&gt;0,SUM(JH5:JK5)-JL5,"")</f>
        <v/>
      </c>
      <c r="KE5" s="16" t="str">
        <f>IF(JO5&gt;0,JO5,"")</f>
        <v/>
      </c>
      <c r="KF5" s="16" t="str">
        <f>IF(JP5&gt;0,JP5,"")</f>
        <v/>
      </c>
      <c r="KG5" s="16" t="str">
        <f>IF(SUM(JM5:JP5)-JQ5&gt;0,SUM(JM5:JP5)-JQ5,"")</f>
        <v/>
      </c>
      <c r="KH5" s="16" t="str">
        <f>IF(MAX(KD5,KG5)&gt;0,MAX(KD5,KG5),"")</f>
        <v/>
      </c>
      <c r="KI5" s="16" t="str">
        <f>IF(JT5&gt;0,JT5,"")</f>
        <v/>
      </c>
      <c r="KJ5" s="16" t="str">
        <f>IF(JU5&gt;0,JU5,"")</f>
        <v/>
      </c>
      <c r="KK5" s="16" t="str">
        <f>IF(SUM(JR5:JU5)-JV5&gt;0,SUM(JR5:JU5)-JV5,"")</f>
        <v/>
      </c>
      <c r="KL5" s="16" t="str">
        <f>IF(JY5&gt;0,JY5,"")</f>
        <v/>
      </c>
      <c r="KM5" s="16" t="str">
        <f>IF(JZ5&gt;0,JZ5,"")</f>
        <v/>
      </c>
      <c r="KN5" s="16" t="str">
        <f>IF(SUM(JW5:JZ5)-KA5&gt;0,SUM(JW5:JZ5)-KA5,"")</f>
        <v/>
      </c>
      <c r="KO5" s="16" t="str">
        <f>IF(SUM(KH5,KN5)&gt;0,SUM(KH5,KN5),"")</f>
        <v/>
      </c>
      <c r="KP5" s="25"/>
      <c r="KQ5" s="25"/>
      <c r="KR5" s="25"/>
      <c r="KS5" s="25"/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76" t="str">
        <f>IF(KR5&gt;0,KR5,"")</f>
        <v/>
      </c>
      <c r="LK5" s="76" t="str">
        <f>IF(KS5&gt;0,KS5,"")</f>
        <v/>
      </c>
      <c r="LL5" s="76" t="str">
        <f>IF(SUM(KP5:KS5)-KT5&gt;0,SUM(KP5:KS5)-KT5,"")</f>
        <v/>
      </c>
      <c r="LM5" s="76" t="str">
        <f>IF(KW5&gt;0,KW5,"")</f>
        <v/>
      </c>
      <c r="LN5" s="76" t="str">
        <f>IF(KX5&gt;0,KX5,"")</f>
        <v/>
      </c>
      <c r="LO5" s="76" t="str">
        <f>IF(SUM(KU5:KX5)-KY5&gt;0,SUM(KU5:KX5)-KY5,"")</f>
        <v/>
      </c>
      <c r="LP5" s="76" t="str">
        <f>IF(MAX(LL5,LO5)&gt;0,MAX(LL5,LO5),"")</f>
        <v/>
      </c>
      <c r="LQ5" s="76" t="str">
        <f>IF(LB5&gt;0,LB5,"")</f>
        <v/>
      </c>
      <c r="LR5" s="76" t="str">
        <f>IF(LC5&gt;0,LC5,"")</f>
        <v/>
      </c>
      <c r="LS5" s="76" t="str">
        <f>IF(SUM(KZ5:LC5)-LD5&gt;0,SUM(KZ5:LC5)-LD5,"")</f>
        <v/>
      </c>
      <c r="LT5" s="76" t="str">
        <f>IF(LG5&gt;0,LG5,"")</f>
        <v/>
      </c>
      <c r="LU5" s="76" t="str">
        <f>IF(LH5&gt;0,LH5,"")</f>
        <v/>
      </c>
      <c r="LV5" s="76" t="str">
        <f>IF(SUM(LE5:LH5)-LI5&gt;0,SUM(LE5:LH5)-LI5,"")</f>
        <v/>
      </c>
      <c r="LW5" s="76" t="str">
        <f>IF(SUM(LP5,LV5)&gt;0,SUM(LP5,LV5),"")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IF(LZ5&gt;0,LZ5,"")</f>
        <v/>
      </c>
      <c r="MS5" s="16" t="str">
        <f>IF(MA5&gt;0,MA5,"")</f>
        <v/>
      </c>
      <c r="MT5" s="16" t="str">
        <f>IF(SUM(LX5:MA5)-MB5&gt;0,SUM(LX5:MA5)-MB5,"")</f>
        <v/>
      </c>
      <c r="MU5" s="16" t="str">
        <f>IF(ME5&gt;0,ME5,"")</f>
        <v/>
      </c>
      <c r="MV5" s="16" t="str">
        <f>IF(MF5&gt;0,MF5,"")</f>
        <v/>
      </c>
      <c r="MW5" s="16" t="str">
        <f>IF(SUM(MC5:MF5)-MG5&gt;0,SUM(MC5:MF5)-MG5,"")</f>
        <v/>
      </c>
      <c r="MX5" s="16" t="str">
        <f>IF(MAX(MT5,MW5)&gt;0,MAX(MT5,MW5),"")</f>
        <v/>
      </c>
      <c r="MY5" s="16" t="str">
        <f>IF(MJ5&gt;0,MJ5,"")</f>
        <v/>
      </c>
      <c r="MZ5" s="16" t="str">
        <f>IF(MK5&gt;0,MK5,"")</f>
        <v/>
      </c>
      <c r="NA5" s="16" t="str">
        <f>IF(SUM(MH5:MK5)-ML5&gt;0,SUM(MH5:MK5)-ML5,"")</f>
        <v/>
      </c>
      <c r="NB5" s="16" t="str">
        <f>IF(MO5&gt;0,MO5,"")</f>
        <v/>
      </c>
      <c r="NC5" s="16" t="str">
        <f>IF(MP5&gt;0,MP5,"")</f>
        <v/>
      </c>
      <c r="ND5" s="16" t="str">
        <f>IF(SUM(MM5:MP5)-MQ5&gt;0,SUM(MM5:MP5)-MQ5,"")</f>
        <v/>
      </c>
      <c r="NE5" s="16" t="str">
        <f>IF(SUM(MX5,ND5)&gt;0,SUM(MX5,ND5),"")</f>
        <v/>
      </c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76" t="str">
        <f>IF(NH5&gt;0,NH5,"")</f>
        <v/>
      </c>
      <c r="OA5" s="76" t="str">
        <f>IF(NI5&gt;0,NI5,"")</f>
        <v/>
      </c>
      <c r="OB5" s="76" t="str">
        <f>IF(SUM(NF5:NI5)-NJ5&gt;0,SUM(NF5:NI5)-NJ5,"")</f>
        <v/>
      </c>
      <c r="OC5" s="76" t="str">
        <f>IF(NM5&gt;0,NM5,"")</f>
        <v/>
      </c>
      <c r="OD5" s="76" t="str">
        <f>IF(NN5&gt;0,NN5,"")</f>
        <v/>
      </c>
      <c r="OE5" s="76" t="str">
        <f>IF(SUM(NK5:NN5)-NO5&gt;0,SUM(NK5:NN5)-NO5,"")</f>
        <v/>
      </c>
      <c r="OF5" s="76" t="str">
        <f>IF(MAX(OB5,OE5)&gt;0,MAX(OB5,OE5),"")</f>
        <v/>
      </c>
      <c r="OG5" s="76" t="str">
        <f>IF(NR5&gt;0,NR5,"")</f>
        <v/>
      </c>
      <c r="OH5" s="76" t="str">
        <f>IF(NS5&gt;0,NS5,"")</f>
        <v/>
      </c>
      <c r="OI5" s="76" t="str">
        <f>IF(SUM(NP5:NS5)-NT5&gt;0,SUM(NP5:NS5)-NT5,"")</f>
        <v/>
      </c>
      <c r="OJ5" s="76" t="str">
        <f>IF(NW5&gt;0,NW5,"")</f>
        <v/>
      </c>
      <c r="OK5" s="76" t="str">
        <f>IF(NX5&gt;0,NX5,"")</f>
        <v/>
      </c>
      <c r="OL5" s="76" t="str">
        <f>IF(SUM(NU5:NX5)-NY5&gt;0,SUM(NU5:NX5)-NY5,"")</f>
        <v/>
      </c>
      <c r="OM5" s="76" t="str">
        <f>IF(SUM(OF5,OL5)&gt;0,SUM(OF5,OL5),"")</f>
        <v/>
      </c>
      <c r="ON5" s="26"/>
      <c r="OO5" s="26"/>
      <c r="OP5" s="26"/>
      <c r="OQ5" s="26"/>
      <c r="OR5" s="26"/>
      <c r="OS5" s="26"/>
      <c r="OT5" s="26"/>
      <c r="OU5" s="26"/>
      <c r="OV5" s="26"/>
      <c r="OW5" s="26"/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16" t="str">
        <f>IF(OP5&gt;0,OP5,"")</f>
        <v/>
      </c>
      <c r="PI5" s="16" t="str">
        <f>IF(OQ5&gt;0,OQ5,"")</f>
        <v/>
      </c>
      <c r="PJ5" s="16" t="str">
        <f>IF(SUM(ON5:OQ5)-OR5&gt;0,SUM(ON5:OQ5)-OR5,"")</f>
        <v/>
      </c>
      <c r="PK5" s="16" t="str">
        <f>IF(OU5&gt;0,OU5,"")</f>
        <v/>
      </c>
      <c r="PL5" s="16" t="str">
        <f>IF(OV5&gt;0,OV5,"")</f>
        <v/>
      </c>
      <c r="PM5" s="16" t="str">
        <f>IF(SUM(OS5:OV5)-OW5&gt;0,SUM(OS5:OV5)-OW5,"")</f>
        <v/>
      </c>
      <c r="PN5" s="16" t="str">
        <f>IF(MAX(PJ5,PM5)&gt;0,MAX(PJ5,PM5),"")</f>
        <v/>
      </c>
      <c r="PO5" s="16" t="str">
        <f>IF(OZ5&gt;0,OZ5,"")</f>
        <v/>
      </c>
      <c r="PP5" s="16" t="str">
        <f>IF(PA5&gt;0,PA5,"")</f>
        <v/>
      </c>
      <c r="PQ5" s="16" t="str">
        <f>IF(SUM(OX5:PA5)-PB5&gt;0,SUM(OX5:PA5)-PB5,"")</f>
        <v/>
      </c>
      <c r="PR5" s="16" t="str">
        <f>IF(PE5&gt;0,PE5,"")</f>
        <v/>
      </c>
      <c r="PS5" s="16" t="str">
        <f>IF(PF5&gt;0,PF5,"")</f>
        <v/>
      </c>
      <c r="PT5" s="16" t="str">
        <f>IF(SUM(PC5:PF5)-PG5&gt;0,SUM(PC5:PF5)-PG5,"")</f>
        <v/>
      </c>
      <c r="PU5" s="16" t="str">
        <f>IF(SUM(PN5,PT5)&gt;0,SUM(PN5,PT5),"")</f>
        <v/>
      </c>
      <c r="PV5" s="25"/>
      <c r="PW5" s="25"/>
      <c r="PX5" s="25"/>
      <c r="PY5" s="25"/>
      <c r="PZ5" s="25"/>
      <c r="QA5" s="25"/>
      <c r="QB5" s="25"/>
      <c r="QC5" s="25"/>
      <c r="QD5" s="25"/>
      <c r="QE5" s="25"/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76" t="str">
        <f>IF(PX5&gt;0,PX5,"")</f>
        <v/>
      </c>
      <c r="QQ5" s="76" t="str">
        <f>IF(PY5&gt;0,PY5,"")</f>
        <v/>
      </c>
      <c r="QR5" s="76" t="str">
        <f>IF(SUM(PV5:PY5)-PZ5&gt;0,SUM(PV5:PY5)-PZ5,"")</f>
        <v/>
      </c>
      <c r="QS5" s="76" t="str">
        <f>IF(QC5&gt;0,QC5,"")</f>
        <v/>
      </c>
      <c r="QT5" s="76" t="str">
        <f>IF(QD5&gt;0,QD5,"")</f>
        <v/>
      </c>
      <c r="QU5" s="76" t="str">
        <f>IF(SUM(QA5:QD5)-QE5&gt;0,SUM(QA5:QD5)-QE5,"")</f>
        <v/>
      </c>
      <c r="QV5" s="76" t="str">
        <f>IF(MAX(QR5,QU5)&gt;0,MAX(QR5,QU5),"")</f>
        <v/>
      </c>
      <c r="QW5" s="76" t="str">
        <f>IF(QH5&gt;0,QH5,"")</f>
        <v/>
      </c>
      <c r="QX5" s="76" t="str">
        <f>IF(QI5&gt;0,QI5,"")</f>
        <v/>
      </c>
      <c r="QY5" s="76" t="str">
        <f>IF(SUM(QF5:QI5)-QJ5&gt;0,SUM(QF5:QI5)-QJ5,"")</f>
        <v/>
      </c>
      <c r="QZ5" s="76" t="str">
        <f>IF(QM5&gt;0,QM5,"")</f>
        <v/>
      </c>
      <c r="RA5" s="76" t="str">
        <f>IF(QN5&gt;0,QN5,"")</f>
        <v/>
      </c>
      <c r="RB5" s="76" t="str">
        <f>IF(SUM(QK5:QN5)-QO5&gt;0,SUM(QK5:QN5)-QO5,"")</f>
        <v/>
      </c>
      <c r="RC5" s="76" t="str">
        <f>IF(SUM(QV5,RB5)&gt;0,SUM(QV5,RB5),"")</f>
        <v/>
      </c>
      <c r="RD5" s="26"/>
      <c r="RE5" s="26"/>
      <c r="RF5" s="26"/>
      <c r="RG5" s="26"/>
      <c r="RH5" s="26"/>
      <c r="RI5" s="26"/>
      <c r="RJ5" s="26"/>
      <c r="RK5" s="26"/>
      <c r="RL5" s="26"/>
      <c r="RM5" s="26"/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16" t="str">
        <f>IF(RF5&gt;0,RF5,"")</f>
        <v/>
      </c>
      <c r="RY5" s="16" t="str">
        <f>IF(RG5&gt;0,RG5,"")</f>
        <v/>
      </c>
      <c r="RZ5" s="16" t="str">
        <f>IF(SUM(RD5:RG5)-RH5&gt;0,SUM(RD5:RG5)-RH5,"")</f>
        <v/>
      </c>
      <c r="SA5" s="16" t="str">
        <f>IF(RK5&gt;0,RK5,"")</f>
        <v/>
      </c>
      <c r="SB5" s="16" t="str">
        <f>IF(RL5&gt;0,RL5,"")</f>
        <v/>
      </c>
      <c r="SC5" s="16" t="str">
        <f>IF(SUM(RI5:RL5)-RM5&gt;0,SUM(RI5:RL5)-RM5,"")</f>
        <v/>
      </c>
      <c r="SD5" s="16" t="str">
        <f>IF(MAX(RZ5,SC5)&gt;0,MAX(RZ5,SC5),"")</f>
        <v/>
      </c>
      <c r="SE5" s="16" t="str">
        <f>IF(RP5&gt;0,RP5,"")</f>
        <v/>
      </c>
      <c r="SF5" s="16" t="str">
        <f>IF(RQ5&gt;0,RQ5,"")</f>
        <v/>
      </c>
      <c r="SG5" s="16" t="str">
        <f>IF(SUM(RN5:RQ5)-RR5&gt;0,SUM(RN5:RQ5)-RR5,"")</f>
        <v/>
      </c>
      <c r="SH5" s="16" t="str">
        <f>IF(RU5&gt;0,RU5,"")</f>
        <v/>
      </c>
      <c r="SI5" s="16" t="str">
        <f>IF(RV5&gt;0,RV5,"")</f>
        <v/>
      </c>
      <c r="SJ5" s="16" t="str">
        <f>IF(SUM(RS5:RV5)-RW5&gt;0,SUM(RS5:RV5)-RW5,"")</f>
        <v/>
      </c>
      <c r="SK5" s="16" t="str">
        <f>IF(SUM(SD5,SJ5)&gt;0,SUM(SD5,SJ5),"")</f>
        <v/>
      </c>
      <c r="SL5" s="42">
        <f>IF($CF5="P",BQ5,(BQ5+AP5)/2)</f>
        <v>0</v>
      </c>
      <c r="SM5" s="42">
        <f>IF($CF5="P",BR5,(BR5+AQ5)/2)</f>
        <v>0</v>
      </c>
      <c r="SN5" s="42">
        <f>IF($CF5="P",BS5,(BS5+AR5)/2)</f>
        <v>0</v>
      </c>
      <c r="SO5" s="42">
        <f>IF($CF5="P",BT5,(BT5+AS5)/2)</f>
        <v>0</v>
      </c>
      <c r="SP5" s="42">
        <f>IF($CF5="P",BU5,(BU5+AT5)/2)</f>
        <v>0</v>
      </c>
      <c r="SQ5" s="42">
        <f>IF($CF5="P",BV5,(BV5+AU5)/2)</f>
        <v>0</v>
      </c>
      <c r="SR5" s="42">
        <f>IF($CF5="P",BW5,(BW5+AV5)/2)</f>
        <v>0</v>
      </c>
      <c r="SS5" s="42">
        <f>IF($CF5="P",BX5,(BX5+AW5)/2)</f>
        <v>0</v>
      </c>
      <c r="ST5" s="42">
        <f>IF($CF5="P",BY5,(BY5+AX5)/2)</f>
        <v>0</v>
      </c>
      <c r="SU5" s="42">
        <f>IF($CF5="P",BZ5,(BZ5+AY5)/2)</f>
        <v>0</v>
      </c>
      <c r="SV5" s="42">
        <f>IF($CF5="P",CA5,(CA5+AZ5)/2)</f>
        <v>0</v>
      </c>
      <c r="SW5" s="42">
        <f>IF($CF5="P",CB5,(CB5+BA5)/2)</f>
        <v>0</v>
      </c>
      <c r="SX5" s="42">
        <f>IF($CF5="P",CC5,(CC5+BB5)/2)</f>
        <v>0</v>
      </c>
      <c r="SY5" s="42">
        <f>IF($CF5="P",CD5,(CD5+BC5)/2)</f>
        <v>0</v>
      </c>
      <c r="SZ5" s="42">
        <f>IF($CF5="P",CE5,(CE5+BD5)/2)</f>
        <v>0</v>
      </c>
      <c r="TA5" s="51" t="s">
        <v>61</v>
      </c>
      <c r="TB5" s="76" t="str">
        <f>IF(SN5&gt;0,SN5,"")</f>
        <v/>
      </c>
      <c r="TC5" s="76" t="str">
        <f>IF(SO5&gt;0,SO5,"")</f>
        <v/>
      </c>
      <c r="TD5" s="76" t="str">
        <f>IF(SUM(SL5:SO5)-SP5&gt;0,SUM(SL5:SO5)-SP5,"")</f>
        <v/>
      </c>
      <c r="TE5" s="76" t="str">
        <f>IF(SS5&gt;0,SS5,"")</f>
        <v/>
      </c>
      <c r="TF5" s="76" t="str">
        <f>IF(ST5&gt;0,ST5,"")</f>
        <v/>
      </c>
      <c r="TG5" s="76" t="str">
        <f>IF(SUM(SQ5:ST5)-SU5&gt;0,SUM(SQ5:ST5)-SU5,"")</f>
        <v/>
      </c>
      <c r="TH5" s="76" t="str">
        <f>IF(MAX(TD5,TG5)&gt;0,MAX(TD5,TG5),"")</f>
        <v/>
      </c>
      <c r="TI5" s="76" t="str">
        <f>IF(SX5&gt;0,SX5,"")</f>
        <v/>
      </c>
      <c r="TJ5" s="76" t="str">
        <f>IF(SY5&gt;0,SY5,"")</f>
        <v/>
      </c>
      <c r="TK5" s="76" t="str">
        <f>IF(SUM(SV5:SY5)-SZ5&gt;0,SUM(SV5:SY5)-SZ5,"")</f>
        <v/>
      </c>
      <c r="TL5" s="76" t="str">
        <f>IF(SUM(TH5,TK5)&gt;0,SUM(TH5,TK5),"")</f>
        <v/>
      </c>
    </row>
    <row r="6" spans="1:534" x14ac:dyDescent="0.2">
      <c r="B6" s="6"/>
      <c r="D6" s="1"/>
    </row>
    <row r="7" spans="1:534" x14ac:dyDescent="0.2">
      <c r="G7" s="69"/>
      <c r="I7" s="69"/>
    </row>
    <row r="8" spans="1:534" x14ac:dyDescent="0.2">
      <c r="B8" s="43" t="s">
        <v>58</v>
      </c>
      <c r="C8" s="35"/>
      <c r="G8" s="3"/>
      <c r="AH8" s="77"/>
      <c r="AI8" s="77"/>
      <c r="AJ8" s="77"/>
      <c r="AL8" s="56"/>
      <c r="AM8" s="56"/>
      <c r="AO8" s="103">
        <v>14.2</v>
      </c>
      <c r="BI8" s="77"/>
      <c r="BJ8" s="77"/>
      <c r="BK8" s="77"/>
      <c r="BM8" s="56"/>
      <c r="BN8" s="56"/>
      <c r="BP8" s="103">
        <v>14.2</v>
      </c>
      <c r="CJ8" s="77"/>
      <c r="CK8" s="77"/>
      <c r="CL8" s="77"/>
      <c r="CN8" s="56"/>
      <c r="CO8" s="56"/>
      <c r="CQ8" s="103">
        <v>14.2</v>
      </c>
      <c r="DN8" s="35"/>
      <c r="DO8" s="35"/>
      <c r="DX8" s="33"/>
      <c r="DY8" s="33"/>
      <c r="EA8" s="78">
        <v>13.5</v>
      </c>
      <c r="EV8" s="35"/>
      <c r="EW8" s="35"/>
      <c r="FF8" s="33"/>
      <c r="FG8" s="33"/>
      <c r="FI8" s="78">
        <v>13.5</v>
      </c>
      <c r="GD8" s="35"/>
      <c r="GE8" s="35"/>
      <c r="GN8" s="33"/>
      <c r="GO8" s="33"/>
      <c r="GQ8" s="103">
        <v>14.2</v>
      </c>
      <c r="HL8" s="35"/>
      <c r="HM8" s="35"/>
      <c r="HV8" s="33"/>
      <c r="HW8" s="33"/>
      <c r="HY8" s="103">
        <v>14.2</v>
      </c>
      <c r="IT8" s="35"/>
      <c r="IU8" s="35"/>
      <c r="JD8" s="33"/>
      <c r="JE8" s="33"/>
      <c r="JG8" s="103">
        <v>14.2</v>
      </c>
      <c r="KB8" s="35"/>
      <c r="KC8" s="35"/>
      <c r="KL8" s="33"/>
      <c r="KM8" s="33"/>
      <c r="KO8" s="103">
        <v>14.2</v>
      </c>
      <c r="LJ8" s="35"/>
      <c r="LK8" s="35"/>
      <c r="LT8" s="33"/>
      <c r="LU8" s="33"/>
      <c r="LW8" s="103">
        <v>14.2</v>
      </c>
      <c r="MR8" s="35"/>
      <c r="MS8" s="35"/>
      <c r="NB8" s="33"/>
      <c r="NC8" s="33"/>
      <c r="NE8" s="103">
        <v>14.2</v>
      </c>
      <c r="NZ8" s="35"/>
      <c r="OA8" s="35"/>
      <c r="OJ8" s="33"/>
      <c r="OK8" s="33"/>
      <c r="OM8" s="103">
        <v>14.2</v>
      </c>
      <c r="PH8" s="35"/>
      <c r="PI8" s="35"/>
      <c r="PR8" s="33"/>
      <c r="PS8" s="33"/>
      <c r="PU8" s="103">
        <v>14.2</v>
      </c>
      <c r="QP8" s="35"/>
      <c r="QQ8" s="35"/>
      <c r="QZ8" s="33"/>
      <c r="RA8" s="33"/>
      <c r="RC8" s="103">
        <v>14.2</v>
      </c>
      <c r="RX8" s="35"/>
      <c r="RY8" s="35"/>
      <c r="SH8" s="33"/>
      <c r="SI8" s="33"/>
      <c r="SK8" s="103">
        <v>14.2</v>
      </c>
    </row>
    <row r="9" spans="1:534" x14ac:dyDescent="0.2">
      <c r="B9" s="54" t="s">
        <v>57</v>
      </c>
      <c r="C9" s="35"/>
      <c r="N9" s="2"/>
      <c r="AH9" s="77"/>
      <c r="AI9" s="77"/>
      <c r="AJ9" s="77"/>
      <c r="AL9" s="56"/>
      <c r="AM9" s="56"/>
      <c r="AO9" s="79">
        <v>14.6</v>
      </c>
      <c r="BI9" s="77"/>
      <c r="BJ9" s="77"/>
      <c r="BK9" s="77"/>
      <c r="BM9" s="56"/>
      <c r="BN9" s="56"/>
      <c r="BP9" s="79">
        <v>14.6</v>
      </c>
      <c r="CJ9" s="77"/>
      <c r="CK9" s="77"/>
      <c r="CL9" s="77"/>
      <c r="CN9" s="56"/>
      <c r="CO9" s="56"/>
      <c r="CQ9" s="79">
        <v>14.6</v>
      </c>
      <c r="DN9" s="35"/>
      <c r="DO9" s="35"/>
      <c r="DX9" s="33"/>
      <c r="DY9" s="33"/>
      <c r="EA9" s="79">
        <v>14.4</v>
      </c>
      <c r="EV9" s="35"/>
      <c r="EW9" s="35"/>
      <c r="FF9" s="33"/>
      <c r="FG9" s="33"/>
      <c r="FI9" s="79">
        <v>14.4</v>
      </c>
      <c r="GD9" s="35"/>
      <c r="GE9" s="35"/>
      <c r="GN9" s="33"/>
      <c r="GO9" s="33"/>
      <c r="GQ9" s="79">
        <v>14.6</v>
      </c>
      <c r="HL9" s="35"/>
      <c r="HM9" s="35"/>
      <c r="HV9" s="33"/>
      <c r="HW9" s="33"/>
      <c r="HY9" s="79">
        <v>14.6</v>
      </c>
      <c r="IT9" s="35"/>
      <c r="IU9" s="35"/>
      <c r="JD9" s="33"/>
      <c r="JE9" s="33"/>
      <c r="JG9" s="79">
        <v>14.6</v>
      </c>
      <c r="KB9" s="35"/>
      <c r="KC9" s="35"/>
      <c r="KL9" s="33"/>
      <c r="KM9" s="33"/>
      <c r="KO9" s="79">
        <v>14.6</v>
      </c>
      <c r="LJ9" s="35"/>
      <c r="LK9" s="35"/>
      <c r="LT9" s="33"/>
      <c r="LU9" s="33"/>
      <c r="LW9" s="79">
        <v>14.6</v>
      </c>
      <c r="MR9" s="35"/>
      <c r="MS9" s="35"/>
      <c r="NB9" s="33"/>
      <c r="NC9" s="33"/>
      <c r="NE9" s="79">
        <v>14.6</v>
      </c>
      <c r="NZ9" s="35"/>
      <c r="OA9" s="35"/>
      <c r="OJ9" s="33"/>
      <c r="OK9" s="33"/>
      <c r="OM9" s="79">
        <v>14.6</v>
      </c>
      <c r="PH9" s="35"/>
      <c r="PI9" s="35"/>
      <c r="PR9" s="33"/>
      <c r="PS9" s="33"/>
      <c r="PU9" s="79">
        <v>14.6</v>
      </c>
      <c r="QP9" s="35"/>
      <c r="QQ9" s="35"/>
      <c r="QZ9" s="33"/>
      <c r="RA9" s="33"/>
      <c r="RC9" s="79">
        <v>14.6</v>
      </c>
      <c r="RX9" s="35"/>
      <c r="RY9" s="35"/>
      <c r="SH9" s="33"/>
      <c r="SI9" s="33"/>
      <c r="SK9" s="79">
        <v>14.6</v>
      </c>
    </row>
    <row r="10" spans="1:534" x14ac:dyDescent="0.2">
      <c r="A10" s="35"/>
      <c r="B10" s="55" t="s">
        <v>71</v>
      </c>
      <c r="C10" s="35"/>
      <c r="E10" s="2"/>
      <c r="AH10" s="77"/>
      <c r="AI10" s="77"/>
      <c r="AJ10" s="77"/>
      <c r="AK10" s="56"/>
      <c r="AL10" s="56"/>
      <c r="AM10" s="56"/>
      <c r="AN10" s="56"/>
      <c r="AO10" s="104">
        <v>15.2</v>
      </c>
      <c r="BI10" s="77"/>
      <c r="BJ10" s="77"/>
      <c r="BK10" s="77"/>
      <c r="BM10" s="56"/>
      <c r="BN10" s="56"/>
      <c r="BP10" s="104">
        <v>15.2</v>
      </c>
      <c r="CJ10" s="77"/>
      <c r="CK10" s="77"/>
      <c r="CL10" s="77"/>
      <c r="CM10" s="56"/>
      <c r="CN10" s="56"/>
      <c r="CO10" s="56"/>
      <c r="CP10" s="56"/>
      <c r="CQ10" s="104">
        <v>15.2</v>
      </c>
      <c r="DN10" s="35"/>
      <c r="DO10" s="35"/>
      <c r="DX10" s="33"/>
      <c r="DY10" s="33"/>
      <c r="EA10" s="80">
        <v>15.4</v>
      </c>
      <c r="EV10" s="35"/>
      <c r="EW10" s="35"/>
      <c r="FF10" s="33"/>
      <c r="FG10" s="33"/>
      <c r="FI10" s="80">
        <v>15.4</v>
      </c>
      <c r="GD10" s="35"/>
      <c r="GE10" s="35"/>
      <c r="GN10" s="33"/>
      <c r="GO10" s="33"/>
      <c r="GQ10" s="104">
        <v>15.2</v>
      </c>
      <c r="HL10" s="35"/>
      <c r="HM10" s="35"/>
      <c r="HV10" s="33"/>
      <c r="HW10" s="33"/>
      <c r="HY10" s="104">
        <v>15.2</v>
      </c>
      <c r="IT10" s="35"/>
      <c r="IU10" s="35"/>
      <c r="JD10" s="33"/>
      <c r="JE10" s="33"/>
      <c r="JG10" s="104">
        <v>15.2</v>
      </c>
      <c r="KB10" s="35"/>
      <c r="KC10" s="35"/>
      <c r="KL10" s="33"/>
      <c r="KM10" s="33"/>
      <c r="KO10" s="104">
        <v>15.2</v>
      </c>
      <c r="LJ10" s="35"/>
      <c r="LK10" s="35"/>
      <c r="LT10" s="33"/>
      <c r="LU10" s="33"/>
      <c r="LW10" s="104">
        <v>15.2</v>
      </c>
      <c r="MR10" s="35"/>
      <c r="MS10" s="35"/>
      <c r="NB10" s="33"/>
      <c r="NC10" s="33"/>
      <c r="NE10" s="104">
        <v>15.2</v>
      </c>
      <c r="NZ10" s="35"/>
      <c r="OA10" s="35"/>
      <c r="OJ10" s="33"/>
      <c r="OK10" s="33"/>
      <c r="OM10" s="104">
        <v>15.2</v>
      </c>
      <c r="PH10" s="35"/>
      <c r="PI10" s="35"/>
      <c r="PR10" s="33"/>
      <c r="PS10" s="33"/>
      <c r="PU10" s="104">
        <v>15.2</v>
      </c>
      <c r="QP10" s="35"/>
      <c r="QQ10" s="35"/>
      <c r="QZ10" s="33"/>
      <c r="RA10" s="33"/>
      <c r="RC10" s="104">
        <v>15.2</v>
      </c>
      <c r="RX10" s="35"/>
      <c r="RY10" s="35"/>
      <c r="SH10" s="33"/>
      <c r="SI10" s="33"/>
      <c r="SK10" s="104">
        <v>15.2</v>
      </c>
    </row>
    <row r="11" spans="1:534" x14ac:dyDescent="0.2">
      <c r="A11" s="35"/>
      <c r="B11" s="66" t="s">
        <v>86</v>
      </c>
      <c r="C11" s="35"/>
      <c r="E11" s="2"/>
      <c r="AH11" s="77"/>
      <c r="AI11" s="77"/>
      <c r="AJ11" s="77"/>
      <c r="AK11" s="56"/>
      <c r="AL11" s="56"/>
      <c r="AM11" s="56"/>
      <c r="AN11" s="56"/>
      <c r="AO11" s="105">
        <v>16</v>
      </c>
      <c r="BI11" s="77"/>
      <c r="BJ11" s="77"/>
      <c r="BK11" s="77"/>
      <c r="BM11" s="56"/>
      <c r="BN11" s="56"/>
      <c r="BP11" s="105">
        <v>16</v>
      </c>
      <c r="CJ11" s="77"/>
      <c r="CK11" s="77"/>
      <c r="CL11" s="77"/>
      <c r="CM11" s="56"/>
      <c r="CN11" s="56"/>
      <c r="CO11" s="56"/>
      <c r="CP11" s="56"/>
      <c r="CQ11" s="105">
        <v>16</v>
      </c>
      <c r="DN11" s="35"/>
      <c r="DO11" s="35"/>
      <c r="DX11" s="33"/>
      <c r="DY11" s="33"/>
      <c r="EA11" s="81">
        <v>15.4</v>
      </c>
      <c r="EV11" s="35"/>
      <c r="EW11" s="35"/>
      <c r="FF11" s="33"/>
      <c r="FG11" s="33"/>
      <c r="FI11" s="81">
        <v>15.4</v>
      </c>
      <c r="GD11" s="35"/>
      <c r="GE11" s="35"/>
      <c r="GN11" s="33"/>
      <c r="GO11" s="33"/>
      <c r="GQ11" s="105">
        <v>16</v>
      </c>
      <c r="HL11" s="35"/>
      <c r="HM11" s="35"/>
      <c r="HV11" s="33"/>
      <c r="HW11" s="33"/>
      <c r="HY11" s="105">
        <v>16</v>
      </c>
      <c r="IT11" s="35"/>
      <c r="IU11" s="35"/>
      <c r="JD11" s="33"/>
      <c r="JE11" s="33"/>
      <c r="JG11" s="105">
        <v>16</v>
      </c>
      <c r="KB11" s="35"/>
      <c r="KC11" s="35"/>
      <c r="KL11" s="33"/>
      <c r="KM11" s="33"/>
      <c r="KO11" s="105">
        <v>16</v>
      </c>
      <c r="LJ11" s="35"/>
      <c r="LK11" s="35"/>
      <c r="LT11" s="33"/>
      <c r="LU11" s="33"/>
      <c r="LW11" s="105">
        <v>16</v>
      </c>
      <c r="MR11" s="35"/>
      <c r="MS11" s="35"/>
      <c r="NB11" s="33"/>
      <c r="NC11" s="33"/>
      <c r="NE11" s="105">
        <v>16</v>
      </c>
      <c r="NZ11" s="35"/>
      <c r="OA11" s="35"/>
      <c r="OJ11" s="33"/>
      <c r="OK11" s="33"/>
      <c r="OM11" s="105">
        <v>16</v>
      </c>
      <c r="PH11" s="35"/>
      <c r="PI11" s="35"/>
      <c r="PR11" s="33"/>
      <c r="PS11" s="33"/>
      <c r="PU11" s="105">
        <v>16</v>
      </c>
      <c r="QP11" s="35"/>
      <c r="QQ11" s="35"/>
      <c r="QZ11" s="33"/>
      <c r="RA11" s="33"/>
      <c r="RC11" s="105">
        <v>16</v>
      </c>
      <c r="RX11" s="35"/>
      <c r="RY11" s="35"/>
      <c r="SH11" s="33"/>
      <c r="SI11" s="33"/>
      <c r="SK11" s="105">
        <v>16</v>
      </c>
    </row>
    <row r="12" spans="1:534" x14ac:dyDescent="0.2">
      <c r="A12" s="35"/>
      <c r="B12" s="65" t="s">
        <v>55</v>
      </c>
      <c r="C12" s="35"/>
      <c r="AH12" s="77"/>
      <c r="AI12" s="77"/>
      <c r="AJ12" s="77"/>
      <c r="AK12" s="56"/>
      <c r="AL12" s="56"/>
      <c r="AM12" s="56"/>
      <c r="AN12" s="56"/>
      <c r="AO12" s="106">
        <v>47.2</v>
      </c>
      <c r="BI12" s="77"/>
      <c r="BJ12" s="77"/>
      <c r="BK12" s="77"/>
      <c r="BM12" s="56"/>
      <c r="BN12" s="56"/>
      <c r="BP12" s="106">
        <v>47.2</v>
      </c>
      <c r="CJ12" s="77"/>
      <c r="CK12" s="77"/>
      <c r="CL12" s="77"/>
      <c r="CM12" s="56"/>
      <c r="CN12" s="56"/>
      <c r="CO12" s="56"/>
      <c r="CP12" s="56"/>
      <c r="CQ12" s="106">
        <v>47.2</v>
      </c>
      <c r="DN12" s="35"/>
      <c r="DO12" s="35"/>
      <c r="DX12" s="33"/>
      <c r="DY12" s="33"/>
      <c r="EA12" s="82">
        <v>49</v>
      </c>
      <c r="EV12" s="35"/>
      <c r="EW12" s="35"/>
      <c r="FF12" s="33"/>
      <c r="FG12" s="33"/>
      <c r="FI12" s="82">
        <v>49</v>
      </c>
      <c r="GD12" s="35"/>
      <c r="GE12" s="35"/>
      <c r="GN12" s="33"/>
      <c r="GO12" s="33"/>
      <c r="GQ12" s="106">
        <v>47.2</v>
      </c>
      <c r="HL12" s="35"/>
      <c r="HM12" s="35"/>
      <c r="HV12" s="33"/>
      <c r="HW12" s="33"/>
      <c r="HY12" s="106">
        <v>47.2</v>
      </c>
      <c r="IT12" s="35"/>
      <c r="IU12" s="35"/>
      <c r="JD12" s="33"/>
      <c r="JE12" s="33"/>
      <c r="JG12" s="106">
        <v>47.2</v>
      </c>
      <c r="KB12" s="35"/>
      <c r="KC12" s="35"/>
      <c r="KL12" s="33"/>
      <c r="KM12" s="33"/>
      <c r="KO12" s="106">
        <v>47.2</v>
      </c>
      <c r="LJ12" s="35"/>
      <c r="LK12" s="35"/>
      <c r="LT12" s="33"/>
      <c r="LU12" s="33"/>
      <c r="LW12" s="106">
        <v>47.2</v>
      </c>
      <c r="MR12" s="35"/>
      <c r="MS12" s="35"/>
      <c r="NB12" s="33"/>
      <c r="NC12" s="33"/>
      <c r="NE12" s="106">
        <v>47.2</v>
      </c>
      <c r="NZ12" s="35"/>
      <c r="OA12" s="35"/>
      <c r="OJ12" s="33"/>
      <c r="OK12" s="33"/>
      <c r="OM12" s="106">
        <v>47.2</v>
      </c>
      <c r="PH12" s="35"/>
      <c r="PI12" s="35"/>
      <c r="PR12" s="33"/>
      <c r="PS12" s="33"/>
      <c r="PU12" s="106">
        <v>47.2</v>
      </c>
      <c r="QP12" s="35"/>
      <c r="QQ12" s="35"/>
      <c r="QZ12" s="33"/>
      <c r="RA12" s="33"/>
      <c r="RC12" s="106">
        <v>47.2</v>
      </c>
      <c r="RX12" s="35"/>
      <c r="RY12" s="35"/>
      <c r="SH12" s="33"/>
      <c r="SI12" s="33"/>
      <c r="SK12" s="106">
        <v>47.2</v>
      </c>
    </row>
    <row r="13" spans="1:534" x14ac:dyDescent="0.2">
      <c r="A13" s="35"/>
      <c r="B13" s="44" t="s">
        <v>56</v>
      </c>
      <c r="C13" s="35"/>
      <c r="AH13" s="77"/>
      <c r="AI13" s="77"/>
      <c r="AJ13" s="77"/>
      <c r="AK13" s="56"/>
      <c r="AL13" s="56"/>
      <c r="AM13" s="56"/>
      <c r="AN13" s="56"/>
      <c r="AO13" s="107">
        <v>48.5</v>
      </c>
      <c r="BI13" s="77"/>
      <c r="BJ13" s="77"/>
      <c r="BK13" s="77"/>
      <c r="BM13" s="56"/>
      <c r="BN13" s="56"/>
      <c r="BP13" s="107">
        <v>48.5</v>
      </c>
      <c r="CJ13" s="77"/>
      <c r="CK13" s="77"/>
      <c r="CL13" s="77"/>
      <c r="CM13" s="56"/>
      <c r="CN13" s="56"/>
      <c r="CO13" s="56"/>
      <c r="CP13" s="56"/>
      <c r="CQ13" s="107">
        <v>48.5</v>
      </c>
      <c r="DN13" s="35"/>
      <c r="DO13" s="35"/>
      <c r="DX13" s="33"/>
      <c r="DY13" s="33"/>
      <c r="EA13" s="83">
        <v>49</v>
      </c>
      <c r="EV13" s="35"/>
      <c r="EW13" s="35"/>
      <c r="FF13" s="33"/>
      <c r="FG13" s="33"/>
      <c r="FI13" s="83">
        <v>49</v>
      </c>
      <c r="GD13" s="35"/>
      <c r="GE13" s="35"/>
      <c r="GN13" s="33"/>
      <c r="GO13" s="33"/>
      <c r="GQ13" s="107">
        <v>48.5</v>
      </c>
      <c r="HL13" s="35"/>
      <c r="HM13" s="35"/>
      <c r="HV13" s="33"/>
      <c r="HW13" s="33"/>
      <c r="HY13" s="107">
        <v>48.5</v>
      </c>
      <c r="IT13" s="35"/>
      <c r="IU13" s="35"/>
      <c r="JD13" s="33"/>
      <c r="JE13" s="33"/>
      <c r="JG13" s="107">
        <v>48.5</v>
      </c>
      <c r="KB13" s="35"/>
      <c r="KC13" s="35"/>
      <c r="KL13" s="33"/>
      <c r="KM13" s="33"/>
      <c r="KO13" s="107">
        <v>48.5</v>
      </c>
      <c r="LJ13" s="35"/>
      <c r="LK13" s="35"/>
      <c r="LT13" s="33"/>
      <c r="LU13" s="33"/>
      <c r="LW13" s="107">
        <v>48.5</v>
      </c>
      <c r="MR13" s="35"/>
      <c r="MS13" s="35"/>
      <c r="NB13" s="33"/>
      <c r="NC13" s="33"/>
      <c r="NE13" s="107">
        <v>48.5</v>
      </c>
      <c r="NZ13" s="35"/>
      <c r="OA13" s="35"/>
      <c r="OJ13" s="33"/>
      <c r="OK13" s="33"/>
      <c r="OM13" s="107">
        <v>48.5</v>
      </c>
      <c r="PH13" s="35"/>
      <c r="PI13" s="35"/>
      <c r="PR13" s="33"/>
      <c r="PS13" s="33"/>
      <c r="PU13" s="107">
        <v>48.5</v>
      </c>
      <c r="QP13" s="35"/>
      <c r="QQ13" s="35"/>
      <c r="QZ13" s="33"/>
      <c r="RA13" s="33"/>
      <c r="RC13" s="107">
        <v>48.5</v>
      </c>
      <c r="RX13" s="35"/>
      <c r="RY13" s="35"/>
      <c r="SH13" s="33"/>
      <c r="SI13" s="33"/>
      <c r="SK13" s="107">
        <v>48.5</v>
      </c>
    </row>
    <row r="14" spans="1:534" x14ac:dyDescent="0.2">
      <c r="A14" s="35"/>
      <c r="B14" s="64" t="s">
        <v>70</v>
      </c>
      <c r="C14" s="35"/>
      <c r="AH14" s="77"/>
      <c r="AI14" s="77"/>
      <c r="AJ14" s="77"/>
      <c r="AK14" s="56"/>
      <c r="AL14" s="56"/>
      <c r="AM14" s="56"/>
      <c r="AN14" s="56"/>
      <c r="AO14" s="108">
        <v>49.2</v>
      </c>
      <c r="BI14" s="77"/>
      <c r="BJ14" s="77"/>
      <c r="BK14" s="77"/>
      <c r="BM14" s="56"/>
      <c r="BN14" s="56"/>
      <c r="BP14" s="108">
        <v>49.2</v>
      </c>
      <c r="CJ14" s="77"/>
      <c r="CK14" s="77"/>
      <c r="CL14" s="77"/>
      <c r="CM14" s="56"/>
      <c r="CN14" s="56"/>
      <c r="CO14" s="56"/>
      <c r="CP14" s="56"/>
      <c r="CQ14" s="108">
        <v>49.2</v>
      </c>
      <c r="DN14" s="35"/>
      <c r="DO14" s="35"/>
      <c r="DX14" s="33"/>
      <c r="DY14" s="33"/>
      <c r="DZ14" s="71"/>
      <c r="EA14" s="84">
        <v>49</v>
      </c>
      <c r="EV14" s="35"/>
      <c r="EW14" s="35"/>
      <c r="FF14" s="33"/>
      <c r="FG14" s="33"/>
      <c r="FH14" s="71"/>
      <c r="FI14" s="84">
        <v>49</v>
      </c>
      <c r="GD14" s="35"/>
      <c r="GE14" s="35"/>
      <c r="GN14" s="33"/>
      <c r="GO14" s="33"/>
      <c r="GP14" s="71"/>
      <c r="GQ14" s="108">
        <v>49.2</v>
      </c>
      <c r="HL14" s="35"/>
      <c r="HM14" s="35"/>
      <c r="HV14" s="33"/>
      <c r="HW14" s="33"/>
      <c r="HX14" s="71"/>
      <c r="HY14" s="108">
        <v>49.2</v>
      </c>
      <c r="IT14" s="35"/>
      <c r="IU14" s="35"/>
      <c r="JD14" s="33"/>
      <c r="JE14" s="33"/>
      <c r="JF14" s="71"/>
      <c r="JG14" s="108">
        <v>49.2</v>
      </c>
      <c r="KB14" s="35"/>
      <c r="KC14" s="35"/>
      <c r="KL14" s="33"/>
      <c r="KM14" s="33"/>
      <c r="KN14" s="71"/>
      <c r="KO14" s="108">
        <v>49.2</v>
      </c>
      <c r="LJ14" s="35"/>
      <c r="LK14" s="35"/>
      <c r="LT14" s="33"/>
      <c r="LU14" s="33"/>
      <c r="LV14" s="71"/>
      <c r="LW14" s="108">
        <v>49.2</v>
      </c>
      <c r="MR14" s="35"/>
      <c r="MS14" s="35"/>
      <c r="NB14" s="33"/>
      <c r="NC14" s="33"/>
      <c r="ND14" s="71"/>
      <c r="NE14" s="108">
        <v>49.2</v>
      </c>
      <c r="NZ14" s="35"/>
      <c r="OA14" s="35"/>
      <c r="OJ14" s="33"/>
      <c r="OK14" s="33"/>
      <c r="OL14" s="71"/>
      <c r="OM14" s="108">
        <v>49.2</v>
      </c>
      <c r="PH14" s="35"/>
      <c r="PI14" s="35"/>
      <c r="PR14" s="33"/>
      <c r="PS14" s="33"/>
      <c r="PT14" s="71"/>
      <c r="PU14" s="108">
        <v>49.2</v>
      </c>
      <c r="QP14" s="35"/>
      <c r="QQ14" s="35"/>
      <c r="QZ14" s="33"/>
      <c r="RA14" s="33"/>
      <c r="RB14" s="71"/>
      <c r="RC14" s="108">
        <v>49.2</v>
      </c>
      <c r="RX14" s="35"/>
      <c r="RY14" s="35"/>
      <c r="SH14" s="33"/>
      <c r="SI14" s="33"/>
      <c r="SJ14" s="71"/>
      <c r="SK14" s="108">
        <v>49.2</v>
      </c>
    </row>
    <row r="15" spans="1:534" x14ac:dyDescent="0.2">
      <c r="A15" s="35"/>
      <c r="B15" s="45" t="s">
        <v>39</v>
      </c>
      <c r="C15" s="35"/>
      <c r="AH15" s="77"/>
      <c r="AI15" s="77"/>
      <c r="AJ15" s="77"/>
      <c r="AK15" s="56"/>
      <c r="AL15" s="77"/>
      <c r="AM15" s="77"/>
      <c r="AN15" s="56"/>
      <c r="AO15" s="109">
        <v>50</v>
      </c>
      <c r="BI15" s="77"/>
      <c r="BJ15" s="77"/>
      <c r="BK15" s="77"/>
      <c r="BM15" s="77"/>
      <c r="BN15" s="56"/>
      <c r="BP15" s="109">
        <v>50</v>
      </c>
      <c r="CJ15" s="77"/>
      <c r="CK15" s="77"/>
      <c r="CL15" s="77"/>
      <c r="CM15" s="56"/>
      <c r="CN15" s="77"/>
      <c r="CO15" s="56"/>
      <c r="CP15" s="56"/>
      <c r="CQ15" s="109">
        <v>50</v>
      </c>
      <c r="DN15" s="35"/>
      <c r="DO15" s="35"/>
      <c r="DX15" s="77" t="s">
        <v>143</v>
      </c>
      <c r="DY15" s="33"/>
      <c r="EA15" s="85">
        <v>50.2</v>
      </c>
      <c r="EV15" s="35"/>
      <c r="EW15" s="35"/>
      <c r="FF15" s="77" t="s">
        <v>143</v>
      </c>
      <c r="FG15" s="33"/>
      <c r="FI15" s="85">
        <v>50.2</v>
      </c>
      <c r="GD15" s="35"/>
      <c r="GE15" s="35"/>
      <c r="GN15" s="33"/>
      <c r="GO15" s="33"/>
      <c r="GQ15" s="109">
        <v>50</v>
      </c>
      <c r="HL15" s="35"/>
      <c r="HM15" s="35"/>
      <c r="HV15" s="77" t="s">
        <v>143</v>
      </c>
      <c r="HW15" s="33"/>
      <c r="HY15" s="109">
        <v>50</v>
      </c>
      <c r="IT15" s="35"/>
      <c r="IU15" s="35"/>
      <c r="JD15" s="33"/>
      <c r="JE15" s="33"/>
      <c r="JG15" s="109">
        <v>50</v>
      </c>
      <c r="KB15" s="35"/>
      <c r="KC15" s="35"/>
      <c r="KL15" s="33"/>
      <c r="KM15" s="33"/>
      <c r="KO15" s="109">
        <v>50</v>
      </c>
      <c r="LJ15" s="35"/>
      <c r="LK15" s="35"/>
      <c r="LT15" s="33"/>
      <c r="LU15" s="33"/>
      <c r="LW15" s="109">
        <v>50</v>
      </c>
      <c r="MR15" s="35"/>
      <c r="MS15" s="35"/>
      <c r="NB15" s="33"/>
      <c r="NC15" s="33"/>
      <c r="NE15" s="109">
        <v>50</v>
      </c>
      <c r="NZ15" s="35"/>
      <c r="OA15" s="35"/>
      <c r="OJ15" s="33"/>
      <c r="OK15" s="33"/>
      <c r="OM15" s="109">
        <v>50</v>
      </c>
      <c r="PH15" s="35"/>
      <c r="PI15" s="35"/>
      <c r="PR15" s="33"/>
      <c r="PS15" s="33"/>
      <c r="PU15" s="109">
        <v>50</v>
      </c>
      <c r="QP15" s="35"/>
      <c r="QQ15" s="35"/>
      <c r="QZ15" s="33"/>
      <c r="RA15" s="33"/>
      <c r="RC15" s="109">
        <v>50</v>
      </c>
      <c r="RX15" s="35"/>
      <c r="RY15" s="35"/>
      <c r="SH15" s="33"/>
      <c r="SI15" s="33"/>
      <c r="SK15" s="109">
        <v>50</v>
      </c>
    </row>
    <row r="16" spans="1:534" s="70" customFormat="1" x14ac:dyDescent="0.2">
      <c r="A16"/>
      <c r="B16" s="53" t="s">
        <v>62</v>
      </c>
      <c r="C16" s="2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K16" s="56"/>
      <c r="AN16" s="5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M16" s="56"/>
      <c r="CP16" s="5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</row>
    <row r="17" spans="1:534" s="70" customFormat="1" x14ac:dyDescent="0.2">
      <c r="A17" s="35"/>
      <c r="B17" s="35"/>
      <c r="C17" s="34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G17" s="56"/>
      <c r="AH17" s="56"/>
      <c r="AI17" s="56"/>
      <c r="AJ17" s="56"/>
      <c r="AK17" s="56"/>
      <c r="AN17" s="56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I17" s="56"/>
      <c r="CJ17" s="56"/>
      <c r="CK17" s="56"/>
      <c r="CL17" s="56"/>
      <c r="CM17" s="56"/>
      <c r="CP17" s="56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</row>
    <row r="18" spans="1:534" s="70" customFormat="1" ht="17" x14ac:dyDescent="0.2">
      <c r="A18" s="35"/>
      <c r="B18" s="35"/>
      <c r="C18" s="34"/>
      <c r="D18"/>
      <c r="E18"/>
      <c r="F18"/>
      <c r="G18"/>
      <c r="H18"/>
      <c r="I18"/>
      <c r="J18"/>
      <c r="K18"/>
      <c r="L18" s="15"/>
      <c r="M18" s="15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G18" s="56"/>
      <c r="AH18" s="56"/>
      <c r="AI18" s="56"/>
      <c r="AJ18" s="56"/>
      <c r="AK18" s="56"/>
      <c r="AN18" s="56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I18" s="56"/>
      <c r="CJ18" s="56"/>
      <c r="CK18" s="56"/>
      <c r="CL18" s="56"/>
      <c r="CM18" s="56"/>
      <c r="CP18" s="56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</row>
    <row r="19" spans="1:534" s="70" customFormat="1" ht="17" x14ac:dyDescent="0.2">
      <c r="A19" s="35"/>
      <c r="B19" s="35"/>
      <c r="C19" s="34"/>
      <c r="D19"/>
      <c r="E19"/>
      <c r="F19"/>
      <c r="G19"/>
      <c r="H19"/>
      <c r="I19"/>
      <c r="J19"/>
      <c r="K19"/>
      <c r="L19" s="15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G19" s="56"/>
      <c r="AH19" s="56"/>
      <c r="AI19" s="56"/>
      <c r="AJ19" s="56"/>
      <c r="AK19" s="56"/>
      <c r="AN19" s="56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I19" s="56"/>
      <c r="CJ19" s="56"/>
      <c r="CK19" s="56"/>
      <c r="CL19" s="56"/>
      <c r="CM19" s="56"/>
      <c r="CP19" s="56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</row>
    <row r="20" spans="1:534" s="70" customFormat="1" ht="17" x14ac:dyDescent="0.2">
      <c r="A20"/>
      <c r="B20"/>
      <c r="C20"/>
      <c r="D20"/>
      <c r="E20"/>
      <c r="F20"/>
      <c r="G20"/>
      <c r="H20"/>
      <c r="I20"/>
      <c r="J20"/>
      <c r="K20"/>
      <c r="L20" s="15"/>
      <c r="M20" s="15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G20" s="56"/>
      <c r="AH20" s="56"/>
      <c r="AI20" s="56"/>
      <c r="AJ20" s="56"/>
      <c r="AK20" s="56"/>
      <c r="AN20" s="56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I20" s="56"/>
      <c r="CJ20" s="56"/>
      <c r="CK20" s="56"/>
      <c r="CL20" s="56"/>
      <c r="CM20" s="56"/>
      <c r="CP20" s="56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</row>
    <row r="21" spans="1:534" s="70" customFormat="1" ht="17" x14ac:dyDescent="0.2">
      <c r="A21"/>
      <c r="B21"/>
      <c r="C21"/>
      <c r="D21"/>
      <c r="E21"/>
      <c r="F21"/>
      <c r="G21"/>
      <c r="H21"/>
      <c r="I21"/>
      <c r="J21"/>
      <c r="K21"/>
      <c r="L21" s="15"/>
      <c r="M21" s="15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G21" s="56"/>
      <c r="AH21" s="56"/>
      <c r="AI21" s="56"/>
      <c r="AJ21" s="56"/>
      <c r="AK21" s="56"/>
      <c r="AN21" s="56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I21" s="56"/>
      <c r="CJ21" s="56"/>
      <c r="CK21" s="56"/>
      <c r="CL21" s="56"/>
      <c r="CM21" s="56"/>
      <c r="CP21" s="56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</row>
    <row r="22" spans="1:534" s="70" customFormat="1" ht="17" x14ac:dyDescent="0.2">
      <c r="A22"/>
      <c r="B22"/>
      <c r="C22"/>
      <c r="D22"/>
      <c r="E22"/>
      <c r="F22"/>
      <c r="G22"/>
      <c r="H22"/>
      <c r="I22"/>
      <c r="J22"/>
      <c r="K22"/>
      <c r="L22" s="15"/>
      <c r="M22" s="15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G22" s="56"/>
      <c r="AH22" s="56"/>
      <c r="AI22" s="56"/>
      <c r="AJ22" s="56"/>
      <c r="AK22" s="56"/>
      <c r="AN22" s="56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I22" s="56"/>
      <c r="CJ22" s="56"/>
      <c r="CK22" s="56"/>
      <c r="CL22" s="56"/>
      <c r="CM22" s="56"/>
      <c r="CP22" s="56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</row>
    <row r="23" spans="1:534" s="70" customFormat="1" ht="17" x14ac:dyDescent="0.2">
      <c r="A23"/>
      <c r="B23"/>
      <c r="C23"/>
      <c r="D23"/>
      <c r="E23"/>
      <c r="F23"/>
      <c r="G23"/>
      <c r="H23"/>
      <c r="I23"/>
      <c r="J23"/>
      <c r="K23"/>
      <c r="L23" s="15"/>
      <c r="M23" s="15"/>
      <c r="N23" s="15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</row>
    <row r="24" spans="1:534" s="70" customFormat="1" ht="17" x14ac:dyDescent="0.2">
      <c r="A24"/>
      <c r="B24"/>
      <c r="C24"/>
      <c r="D24"/>
      <c r="E24"/>
      <c r="F24"/>
      <c r="G24"/>
      <c r="H24"/>
      <c r="I24"/>
      <c r="J24"/>
      <c r="K24"/>
      <c r="L24" s="15"/>
      <c r="M24" s="15"/>
      <c r="N24" s="15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</row>
    <row r="25" spans="1:534" s="70" customFormat="1" ht="17" x14ac:dyDescent="0.2">
      <c r="A25"/>
      <c r="B25"/>
      <c r="C25"/>
      <c r="D25"/>
      <c r="E25"/>
      <c r="F25"/>
      <c r="G25"/>
      <c r="H25"/>
      <c r="I25"/>
      <c r="J25"/>
      <c r="K25"/>
      <c r="L25" s="15"/>
      <c r="M25" s="15"/>
      <c r="N25" s="1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</row>
    <row r="26" spans="1:534" s="70" customFormat="1" ht="17" x14ac:dyDescent="0.2">
      <c r="A26"/>
      <c r="B26"/>
      <c r="C26"/>
      <c r="D26"/>
      <c r="E26"/>
      <c r="F26"/>
      <c r="G26"/>
      <c r="H26"/>
      <c r="I26"/>
      <c r="J26"/>
      <c r="K26"/>
      <c r="L26" s="15"/>
      <c r="M26" s="15"/>
      <c r="N26" s="15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</row>
    <row r="27" spans="1:534" s="70" customFormat="1" ht="17" x14ac:dyDescent="0.2">
      <c r="A27"/>
      <c r="B27"/>
      <c r="C27"/>
      <c r="D27"/>
      <c r="E27"/>
      <c r="F27"/>
      <c r="G27"/>
      <c r="H27"/>
      <c r="I27"/>
      <c r="J27"/>
      <c r="K27"/>
      <c r="L27" s="15"/>
      <c r="M27" s="15"/>
      <c r="N27" s="15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</row>
    <row r="28" spans="1:534" s="70" customFormat="1" ht="17" x14ac:dyDescent="0.2">
      <c r="A28"/>
      <c r="B28"/>
      <c r="C28"/>
      <c r="D28"/>
      <c r="E28"/>
      <c r="F28"/>
      <c r="G28"/>
      <c r="H28"/>
      <c r="I28"/>
      <c r="J28"/>
      <c r="K28"/>
      <c r="L28" s="15"/>
      <c r="M28" s="15"/>
      <c r="N28" s="15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</row>
    <row r="29" spans="1:53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 s="15"/>
      <c r="M29" s="15"/>
      <c r="N29" s="15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</row>
    <row r="30" spans="1:53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 s="15"/>
      <c r="M30" s="15"/>
      <c r="N30" s="15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</row>
    <row r="31" spans="1:53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 s="15"/>
      <c r="M31" s="15"/>
      <c r="N31" s="15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</row>
    <row r="32" spans="1:534" ht="17" x14ac:dyDescent="0.2">
      <c r="L32" s="15"/>
      <c r="M32" s="15"/>
      <c r="N32" s="15"/>
    </row>
    <row r="33" spans="12:14" ht="17" x14ac:dyDescent="0.2">
      <c r="L33" s="15"/>
      <c r="M33" s="15"/>
      <c r="N33" s="15"/>
    </row>
    <row r="34" spans="12:14" ht="17" x14ac:dyDescent="0.2">
      <c r="L34" s="15"/>
      <c r="M34" s="15"/>
      <c r="N34" s="15"/>
    </row>
    <row r="35" spans="12:14" ht="17" x14ac:dyDescent="0.2">
      <c r="L35" s="15"/>
      <c r="M35" s="15"/>
      <c r="N35" s="15"/>
    </row>
    <row r="36" spans="12:14" ht="17" x14ac:dyDescent="0.2">
      <c r="L36" s="15"/>
      <c r="M36" s="15"/>
      <c r="N36" s="15"/>
    </row>
    <row r="37" spans="12:14" ht="17" x14ac:dyDescent="0.2">
      <c r="L37" s="15"/>
      <c r="M37" s="15"/>
      <c r="N37" s="15"/>
    </row>
  </sheetData>
  <sheetProtection sheet="1" formatCells="0" formatColumns="0" formatRows="0"/>
  <autoFilter ref="A1:TL3" xr:uid="{00000000-0001-0000-0100-000000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sortState xmlns:xlrd2="http://schemas.microsoft.com/office/spreadsheetml/2017/richdata2" ref="A4:TL5">
      <sortCondition descending="1" ref="F1:F6"/>
    </sortState>
  </autoFilter>
  <mergeCells count="91">
    <mergeCell ref="SV2:SZ2"/>
    <mergeCell ref="RD2:RH2"/>
    <mergeCell ref="RI2:RM2"/>
    <mergeCell ref="RN2:RR2"/>
    <mergeCell ref="RS2:RW2"/>
    <mergeCell ref="SL2:SP2"/>
    <mergeCell ref="SQ2:SU2"/>
    <mergeCell ref="QK2:QO2"/>
    <mergeCell ref="NF2:NJ2"/>
    <mergeCell ref="NK2:NO2"/>
    <mergeCell ref="NP2:NT2"/>
    <mergeCell ref="NU2:NY2"/>
    <mergeCell ref="ON2:OR2"/>
    <mergeCell ref="OS2:OW2"/>
    <mergeCell ref="OX2:PB2"/>
    <mergeCell ref="PC2:PG2"/>
    <mergeCell ref="PV2:PZ2"/>
    <mergeCell ref="QA2:QE2"/>
    <mergeCell ref="QF2:QJ2"/>
    <mergeCell ref="MM2:MQ2"/>
    <mergeCell ref="JH2:JL2"/>
    <mergeCell ref="JM2:JQ2"/>
    <mergeCell ref="JR2:JV2"/>
    <mergeCell ref="JW2:KA2"/>
    <mergeCell ref="KP2:KT2"/>
    <mergeCell ref="KU2:KY2"/>
    <mergeCell ref="KZ2:LD2"/>
    <mergeCell ref="LE2:LI2"/>
    <mergeCell ref="LX2:MB2"/>
    <mergeCell ref="MC2:MG2"/>
    <mergeCell ref="MH2:ML2"/>
    <mergeCell ref="IO2:IS2"/>
    <mergeCell ref="FJ2:FN2"/>
    <mergeCell ref="FO2:FS2"/>
    <mergeCell ref="FT2:FX2"/>
    <mergeCell ref="FY2:GC2"/>
    <mergeCell ref="GR2:GV2"/>
    <mergeCell ref="GW2:HA2"/>
    <mergeCell ref="HB2:HF2"/>
    <mergeCell ref="HG2:HK2"/>
    <mergeCell ref="HZ2:ID2"/>
    <mergeCell ref="IE2:II2"/>
    <mergeCell ref="IJ2:IN2"/>
    <mergeCell ref="EQ2:EU2"/>
    <mergeCell ref="AZ2:BD2"/>
    <mergeCell ref="BQ2:BU2"/>
    <mergeCell ref="BV2:BZ2"/>
    <mergeCell ref="CA2:CE2"/>
    <mergeCell ref="CT2:CX2"/>
    <mergeCell ref="CY2:DC2"/>
    <mergeCell ref="DD2:DH2"/>
    <mergeCell ref="DI2:DM2"/>
    <mergeCell ref="EB2:EF2"/>
    <mergeCell ref="EG2:EK2"/>
    <mergeCell ref="EL2:EP2"/>
    <mergeCell ref="NF1:OM1"/>
    <mergeCell ref="ON1:PU1"/>
    <mergeCell ref="PV1:RC1"/>
    <mergeCell ref="RD1:SK1"/>
    <mergeCell ref="SL1:TL1"/>
    <mergeCell ref="O2:S2"/>
    <mergeCell ref="T2:X2"/>
    <mergeCell ref="Y2:AC2"/>
    <mergeCell ref="AP2:AT2"/>
    <mergeCell ref="AU2:AY2"/>
    <mergeCell ref="LX1:NE1"/>
    <mergeCell ref="O1:AO1"/>
    <mergeCell ref="AP1:BP1"/>
    <mergeCell ref="BQ1:CQ1"/>
    <mergeCell ref="CR1:CS1"/>
    <mergeCell ref="CT1:EA1"/>
    <mergeCell ref="EB1:FI1"/>
    <mergeCell ref="FJ1:GQ1"/>
    <mergeCell ref="GR1:HY1"/>
    <mergeCell ref="HZ1:JG1"/>
    <mergeCell ref="JH1:KO1"/>
    <mergeCell ref="KP1:LW1"/>
    <mergeCell ref="L1:L3"/>
    <mergeCell ref="M1:M3"/>
    <mergeCell ref="N1:N3"/>
    <mergeCell ref="G1:G3"/>
    <mergeCell ref="H1:H3"/>
    <mergeCell ref="I1:I3"/>
    <mergeCell ref="J1:J3"/>
    <mergeCell ref="K1:K3"/>
    <mergeCell ref="F1:F3"/>
    <mergeCell ref="A1:A3"/>
    <mergeCell ref="B1:B3"/>
    <mergeCell ref="C1:C3"/>
    <mergeCell ref="D1:D3"/>
    <mergeCell ref="E1:E3"/>
  </mergeCells>
  <conditionalFormatting sqref="H1:H1048576">
    <cfRule type="containsText" dxfId="439" priority="35" operator="containsText" text="No DD">
      <formula>NOT(ISERROR(SEARCH("No DD",H1)))</formula>
    </cfRule>
    <cfRule type="containsText" dxfId="438" priority="36" operator="containsText" text="Merit">
      <formula>NOT(ISERROR(SEARCH("Merit",H1)))</formula>
    </cfRule>
    <cfRule type="containsText" dxfId="437" priority="37" operator="containsText" text="Excellence">
      <formula>NOT(ISERROR(SEARCH("Excellence",H1)))</formula>
    </cfRule>
    <cfRule type="containsText" dxfId="436" priority="38" operator="containsText" text="Worlds Team">
      <formula>NOT(ISERROR(SEARCH("Worlds Team",H1)))</formula>
    </cfRule>
    <cfRule type="containsText" dxfId="435" priority="39" operator="containsText" text="National Team">
      <formula>NOT(ISERROR(SEARCH("National Team",H1)))</formula>
    </cfRule>
  </conditionalFormatting>
  <conditionalFormatting sqref="A1:A1048576">
    <cfRule type="expression" dxfId="434" priority="40">
      <formula>AND(G1&lt;&gt;"",F1="")</formula>
    </cfRule>
  </conditionalFormatting>
  <conditionalFormatting sqref="O4:AO5">
    <cfRule type="expression" dxfId="433" priority="41" stopIfTrue="1">
      <formula>IF($AD4&lt;&gt;"",1,0)</formula>
    </cfRule>
  </conditionalFormatting>
  <conditionalFormatting sqref="AP4:BP5">
    <cfRule type="expression" dxfId="432" priority="34" stopIfTrue="1">
      <formula>IF($BE4&lt;&gt;"",1,0)</formula>
    </cfRule>
  </conditionalFormatting>
  <conditionalFormatting sqref="BQ4:CQ5">
    <cfRule type="expression" dxfId="431" priority="33" stopIfTrue="1">
      <formula>IF($CF4&lt;&gt;"",1,0)</formula>
    </cfRule>
  </conditionalFormatting>
  <conditionalFormatting sqref="K1:K1048576">
    <cfRule type="expression" dxfId="430" priority="50">
      <formula>IF(K1=$BQ$1,1,0)</formula>
    </cfRule>
    <cfRule type="expression" dxfId="429" priority="51">
      <formula>IF(K1=$AP$1,1,0)</formula>
    </cfRule>
    <cfRule type="expression" dxfId="428" priority="52">
      <formula>IF(K1=$O$1,1,0)</formula>
    </cfRule>
  </conditionalFormatting>
  <conditionalFormatting sqref="BM16:BM1048576 BF1:BF1048576 BI1:BI1048576 BM1:BM14">
    <cfRule type="cellIs" dxfId="427" priority="46" operator="between">
      <formula>$BP$11</formula>
      <formula>1000</formula>
    </cfRule>
    <cfRule type="cellIs" dxfId="426" priority="47" operator="between">
      <formula>$BP$10</formula>
      <formula>$BP$11</formula>
    </cfRule>
    <cfRule type="cellIs" dxfId="425" priority="48" operator="between">
      <formula>$BP$9</formula>
      <formula>$BP$10</formula>
    </cfRule>
    <cfRule type="cellIs" dxfId="424" priority="49" operator="between">
      <formula>$BP$8</formula>
      <formula>$BP$9</formula>
    </cfRule>
  </conditionalFormatting>
  <conditionalFormatting sqref="CN16:CN1048576 CG1:CG1048576 CJ1:CJ1048576 CN1:CN14">
    <cfRule type="cellIs" dxfId="423" priority="42" operator="between">
      <formula>$CQ$11</formula>
      <formula>1000</formula>
    </cfRule>
    <cfRule type="cellIs" dxfId="422" priority="43" operator="between">
      <formula>$CQ$10</formula>
      <formula>$CQ$11</formula>
    </cfRule>
    <cfRule type="cellIs" dxfId="421" priority="44" operator="between">
      <formula>$CQ$9</formula>
      <formula>$CQ$10</formula>
    </cfRule>
    <cfRule type="cellIs" dxfId="420" priority="45" operator="between">
      <formula>$CQ$8</formula>
      <formula>$CQ$9</formula>
    </cfRule>
  </conditionalFormatting>
  <conditionalFormatting sqref="DX16:DX1048576 DN1:DN1048576 DQ1:DQ1048576 DU1:DU1048576 DX1:DX14">
    <cfRule type="cellIs" dxfId="419" priority="53" operator="between">
      <formula>$EA$11</formula>
      <formula>1000</formula>
    </cfRule>
    <cfRule type="cellIs" dxfId="418" priority="54" operator="between">
      <formula>$EA$10</formula>
      <formula>$EA$11</formula>
    </cfRule>
    <cfRule type="cellIs" dxfId="417" priority="55" operator="between">
      <formula>$EA$9</formula>
      <formula>$EA$10</formula>
    </cfRule>
    <cfRule type="cellIs" dxfId="416" priority="56" operator="between">
      <formula>$EA$8</formula>
      <formula>$EA$9</formula>
    </cfRule>
  </conditionalFormatting>
  <conditionalFormatting sqref="FF16:FF1048576 EV1:EV1048576 EY1:EY1048576 FC1:FC1048576 FF1:FF14">
    <cfRule type="cellIs" dxfId="415" priority="29" operator="between">
      <formula>$FI$11</formula>
      <formula>1000</formula>
    </cfRule>
    <cfRule type="cellIs" dxfId="414" priority="30" operator="between">
      <formula>$FI$10</formula>
      <formula>$FI$11</formula>
    </cfRule>
    <cfRule type="cellIs" dxfId="413" priority="31" operator="between">
      <formula>$FI$9</formula>
      <formula>$FI$10</formula>
    </cfRule>
    <cfRule type="cellIs" dxfId="412" priority="32" operator="between">
      <formula>$FI$8</formula>
      <formula>$FI$9</formula>
    </cfRule>
  </conditionalFormatting>
  <conditionalFormatting sqref="HV16:HV1048576 HL1:HL1048576 HO1:HO1048576 HS1:HS1048576 HV1:HV14">
    <cfRule type="cellIs" dxfId="411" priority="25" operator="between">
      <formula>$HY$11</formula>
      <formula>1000</formula>
    </cfRule>
    <cfRule type="cellIs" dxfId="410" priority="26" operator="between">
      <formula>$HY$10</formula>
      <formula>$HY$11</formula>
    </cfRule>
    <cfRule type="cellIs" dxfId="409" priority="27" operator="between">
      <formula>$HY$9</formula>
      <formula>$HY$10</formula>
    </cfRule>
    <cfRule type="cellIs" dxfId="408" priority="28" operator="between">
      <formula>$HY$8</formula>
      <formula>$HY$9</formula>
    </cfRule>
  </conditionalFormatting>
  <conditionalFormatting sqref="AM15 AE1:AE1048576 AH1:AH1048576 AL1:AL1048576">
    <cfRule type="cellIs" dxfId="407" priority="21" operator="between">
      <formula>$AO$11</formula>
      <formula>1000</formula>
    </cfRule>
    <cfRule type="cellIs" dxfId="406" priority="22" operator="between">
      <formula>$AO$10</formula>
      <formula>$AO$11</formula>
    </cfRule>
    <cfRule type="cellIs" dxfId="405" priority="23" operator="between">
      <formula>$AO$9</formula>
      <formula>$AO$10</formula>
    </cfRule>
    <cfRule type="cellIs" dxfId="404" priority="24" operator="between">
      <formula>$AO$8</formula>
      <formula>$AO$9</formula>
    </cfRule>
  </conditionalFormatting>
  <conditionalFormatting sqref="BM15">
    <cfRule type="cellIs" dxfId="403" priority="17" operator="between">
      <formula>$AO$11</formula>
      <formula>1000</formula>
    </cfRule>
    <cfRule type="cellIs" dxfId="402" priority="18" operator="between">
      <formula>$AO$10</formula>
      <formula>$AO$11</formula>
    </cfRule>
    <cfRule type="cellIs" dxfId="401" priority="19" operator="between">
      <formula>$AO$9</formula>
      <formula>$AO$10</formula>
    </cfRule>
    <cfRule type="cellIs" dxfId="400" priority="20" operator="between">
      <formula>$AO$8</formula>
      <formula>$AO$9</formula>
    </cfRule>
  </conditionalFormatting>
  <conditionalFormatting sqref="CN15">
    <cfRule type="cellIs" dxfId="399" priority="13" operator="between">
      <formula>$AO$11</formula>
      <formula>1000</formula>
    </cfRule>
    <cfRule type="cellIs" dxfId="398" priority="14" operator="between">
      <formula>$AO$10</formula>
      <formula>$AO$11</formula>
    </cfRule>
    <cfRule type="cellIs" dxfId="397" priority="15" operator="between">
      <formula>$AO$9</formula>
      <formula>$AO$10</formula>
    </cfRule>
    <cfRule type="cellIs" dxfId="396" priority="16" operator="between">
      <formula>$AO$8</formula>
      <formula>$AO$9</formula>
    </cfRule>
  </conditionalFormatting>
  <conditionalFormatting sqref="DX15">
    <cfRule type="cellIs" dxfId="395" priority="9" operator="between">
      <formula>$AO$11</formula>
      <formula>1000</formula>
    </cfRule>
    <cfRule type="cellIs" dxfId="394" priority="10" operator="between">
      <formula>$AO$10</formula>
      <formula>$AO$11</formula>
    </cfRule>
    <cfRule type="cellIs" dxfId="393" priority="11" operator="between">
      <formula>$AO$9</formula>
      <formula>$AO$10</formula>
    </cfRule>
    <cfRule type="cellIs" dxfId="392" priority="12" operator="between">
      <formula>$AO$8</formula>
      <formula>$AO$9</formula>
    </cfRule>
  </conditionalFormatting>
  <conditionalFormatting sqref="FF15">
    <cfRule type="cellIs" dxfId="391" priority="5" operator="between">
      <formula>$AO$11</formula>
      <formula>1000</formula>
    </cfRule>
    <cfRule type="cellIs" dxfId="390" priority="6" operator="between">
      <formula>$AO$10</formula>
      <formula>$AO$11</formula>
    </cfRule>
    <cfRule type="cellIs" dxfId="389" priority="7" operator="between">
      <formula>$AO$9</formula>
      <formula>$AO$10</formula>
    </cfRule>
    <cfRule type="cellIs" dxfId="388" priority="8" operator="between">
      <formula>$AO$8</formula>
      <formula>$AO$9</formula>
    </cfRule>
  </conditionalFormatting>
  <conditionalFormatting sqref="HV15">
    <cfRule type="cellIs" dxfId="387" priority="1" operator="between">
      <formula>$AO$11</formula>
      <formula>1000</formula>
    </cfRule>
    <cfRule type="cellIs" dxfId="386" priority="2" operator="between">
      <formula>$AO$10</formula>
      <formula>$AO$11</formula>
    </cfRule>
    <cfRule type="cellIs" dxfId="385" priority="3" operator="between">
      <formula>$AO$9</formula>
      <formula>$AO$10</formula>
    </cfRule>
    <cfRule type="cellIs" dxfId="384" priority="4" operator="between">
      <formula>$AO$8</formula>
      <formula>$AO$9</formula>
    </cfRule>
  </conditionalFormatting>
  <conditionalFormatting sqref="CL1:CL1048576 AJ1:AJ1048576">
    <cfRule type="cellIs" dxfId="383" priority="63835" operator="between">
      <formula>AO$15</formula>
      <formula>1000</formula>
    </cfRule>
    <cfRule type="cellIs" dxfId="382" priority="63836" operator="between">
      <formula>AO$14</formula>
      <formula>AO$15</formula>
    </cfRule>
  </conditionalFormatting>
  <conditionalFormatting sqref="DS1:DS1048576 FA1:FA1048576 GI1:GI1048576 HQ1:HQ1048576 IY1:IY1048576 KG1:KG1048576 LO1:LO1048576 MW1:MW1048576 OE1:OE1048576 PM1:PM1048576 QU1:QU1048576 SC1:SC1048576">
    <cfRule type="cellIs" dxfId="381" priority="63847" operator="between">
      <formula>EA$15</formula>
      <formula>1000</formula>
    </cfRule>
    <cfRule type="cellIs" dxfId="380" priority="63848" operator="between">
      <formula>EA$14</formula>
      <formula>EA$15</formula>
    </cfRule>
  </conditionalFormatting>
  <conditionalFormatting sqref="DT1:DT1048576 FB1:FB1048576 GJ1:GJ1048576 HR1:HR1048576 IZ1:IZ1048576 KH1:KH1048576 LP1:LP1048576 MX1:MX1048576 OF1:OF1048576 PN1:PN1048576 QV1:QV1048576 SD1:SD1048576">
    <cfRule type="cellIs" dxfId="379" priority="63919" operator="between">
      <formula>EA$13</formula>
      <formula>1000</formula>
    </cfRule>
    <cfRule type="cellIs" dxfId="378" priority="63920" operator="between">
      <formula>EA$12</formula>
      <formula>EA$13</formula>
    </cfRule>
  </conditionalFormatting>
  <conditionalFormatting sqref="AG1:AG1048576 AJ1:AJ1048576 AN1:AN1048576">
    <cfRule type="cellIs" dxfId="377" priority="63991" operator="between">
      <formula>$AO$15</formula>
      <formula>1000</formula>
    </cfRule>
    <cfRule type="cellIs" dxfId="376" priority="63992" operator="between">
      <formula>$AO$14</formula>
      <formula>$AO$15</formula>
    </cfRule>
    <cfRule type="cellIs" dxfId="375" priority="63993" operator="between">
      <formula>$AO$13</formula>
      <formula>$AO$14</formula>
    </cfRule>
    <cfRule type="cellIs" dxfId="374" priority="63994" operator="between">
      <formula>$AO$12</formula>
      <formula>$AO$13</formula>
    </cfRule>
  </conditionalFormatting>
  <conditionalFormatting sqref="BH1:BH1048576 BK1:BK1048576 BO1:BO1048576">
    <cfRule type="cellIs" dxfId="373" priority="64027" operator="between">
      <formula>$BP$15</formula>
      <formula>1000</formula>
    </cfRule>
    <cfRule type="cellIs" dxfId="372" priority="64028" operator="between">
      <formula>$BP$14</formula>
      <formula>$BP$15</formula>
    </cfRule>
    <cfRule type="cellIs" dxfId="371" priority="64029" operator="between">
      <formula>$BP$13</formula>
      <formula>$BP$14</formula>
    </cfRule>
    <cfRule type="cellIs" dxfId="370" priority="64030" operator="between">
      <formula>$BP$12</formula>
      <formula>$BP$13</formula>
    </cfRule>
  </conditionalFormatting>
  <conditionalFormatting sqref="CI1:CI1048576 CL1:CL1048576 CP1:CP1048576">
    <cfRule type="cellIs" dxfId="369" priority="64063" operator="between">
      <formula>$CQ$15</formula>
      <formula>1000</formula>
    </cfRule>
    <cfRule type="cellIs" dxfId="368" priority="64064" operator="between">
      <formula>$CQ$14</formula>
      <formula>$CQ$15</formula>
    </cfRule>
    <cfRule type="cellIs" dxfId="367" priority="64065" operator="between">
      <formula>$CQ$13</formula>
      <formula>$CQ$14</formula>
    </cfRule>
    <cfRule type="cellIs" dxfId="366" priority="64066" operator="between">
      <formula>$CQ$12</formula>
      <formula>$CQ$13</formula>
    </cfRule>
  </conditionalFormatting>
  <conditionalFormatting sqref="MR1:MR1048576 MU1:MU1048576 MY1:MY1048576 NB1:NB1048576">
    <cfRule type="cellIs" dxfId="365" priority="64099" operator="between">
      <formula>$NE$8</formula>
      <formula>$NE$9</formula>
    </cfRule>
  </conditionalFormatting>
  <conditionalFormatting sqref="DP1:DP1048576 DS1:DS1048576 DW1:DW1048576 DZ1:DZ1048576">
    <cfRule type="cellIs" dxfId="364" priority="64111" operator="between">
      <formula>$EA$15</formula>
      <formula>1000</formula>
    </cfRule>
    <cfRule type="cellIs" dxfId="363" priority="64112" operator="between">
      <formula>$EA$14</formula>
      <formula>$EA$15</formula>
    </cfRule>
    <cfRule type="cellIs" dxfId="362" priority="64113" operator="between">
      <formula>$EA$13</formula>
      <formula>$EA$14</formula>
    </cfRule>
    <cfRule type="cellIs" dxfId="361" priority="64114" operator="between">
      <formula>$EA$12</formula>
      <formula>$EA$13</formula>
    </cfRule>
  </conditionalFormatting>
  <conditionalFormatting sqref="EX1:EX1048576 FA1:FA1048576 FE1:FE1048576 FH1:FH1048576">
    <cfRule type="cellIs" dxfId="360" priority="64159" operator="between">
      <formula>$FI$15</formula>
      <formula>1000</formula>
    </cfRule>
    <cfRule type="cellIs" dxfId="359" priority="64160" operator="between">
      <formula>$FI$14</formula>
      <formula>$FI$15</formula>
    </cfRule>
    <cfRule type="cellIs" dxfId="358" priority="64161" operator="between">
      <formula>$FI$13</formula>
      <formula>$FI$14</formula>
    </cfRule>
    <cfRule type="cellIs" dxfId="357" priority="64162" operator="between">
      <formula>$FI$12</formula>
      <formula>$FI$13</formula>
    </cfRule>
  </conditionalFormatting>
  <conditionalFormatting sqref="GD1:GD1048576 GG1:GG1048576 GK1:GK1048576 GN1:GN1048576">
    <cfRule type="cellIs" dxfId="356" priority="64207" operator="between">
      <formula>$GQ$11</formula>
      <formula>1000</formula>
    </cfRule>
    <cfRule type="cellIs" dxfId="355" priority="64208" operator="between">
      <formula>$GQ$10</formula>
      <formula>$GQ$11</formula>
    </cfRule>
    <cfRule type="cellIs" dxfId="354" priority="64209" operator="between">
      <formula>$GQ$9</formula>
      <formula>$GQ$10</formula>
    </cfRule>
    <cfRule type="cellIs" dxfId="353" priority="64210" operator="between">
      <formula>$GQ$8</formula>
      <formula>$GQ$9</formula>
    </cfRule>
  </conditionalFormatting>
  <conditionalFormatting sqref="GF1:GF1048576 GI1:GI1048576 GM1:GM1048576 GP1:GP1048576">
    <cfRule type="cellIs" dxfId="352" priority="64255" operator="between">
      <formula>$GQ$15</formula>
      <formula>1000</formula>
    </cfRule>
    <cfRule type="cellIs" dxfId="351" priority="64256" operator="between">
      <formula>$GQ$14</formula>
      <formula>$GQ$15</formula>
    </cfRule>
    <cfRule type="cellIs" dxfId="350" priority="64257" operator="between">
      <formula>$GQ$13</formula>
      <formula>$GQ$14</formula>
    </cfRule>
    <cfRule type="cellIs" dxfId="349" priority="64258" operator="between">
      <formula>$GQ$12</formula>
      <formula>$GQ$13</formula>
    </cfRule>
  </conditionalFormatting>
  <conditionalFormatting sqref="HN1:HN1048576 HQ1:HQ1048576 HU1:HU1048576 HX1:HX1048576">
    <cfRule type="cellIs" dxfId="348" priority="64303" operator="between">
      <formula>$HY$15</formula>
      <formula>1000</formula>
    </cfRule>
    <cfRule type="cellIs" dxfId="347" priority="64304" operator="between">
      <formula>$HY$14</formula>
      <formula>$HY$15</formula>
    </cfRule>
    <cfRule type="cellIs" dxfId="346" priority="64305" operator="between">
      <formula>$HY$13</formula>
      <formula>$HY$14</formula>
    </cfRule>
    <cfRule type="cellIs" dxfId="345" priority="64306" operator="between">
      <formula>$HY$12</formula>
      <formula>$HY$13</formula>
    </cfRule>
  </conditionalFormatting>
  <conditionalFormatting sqref="IT1:IT1048576 IW1:IW1048576 JA1:JA1048576 JD1:JD1048576">
    <cfRule type="cellIs" dxfId="344" priority="64351" operator="between">
      <formula>$JG$11</formula>
      <formula>1000</formula>
    </cfRule>
    <cfRule type="cellIs" dxfId="343" priority="64352" operator="between">
      <formula>$JG$10</formula>
      <formula>$JG$11</formula>
    </cfRule>
    <cfRule type="cellIs" dxfId="342" priority="64353" operator="between">
      <formula>$JG$9</formula>
      <formula>$JG$10</formula>
    </cfRule>
    <cfRule type="cellIs" dxfId="341" priority="64354" operator="between">
      <formula>$JG$8</formula>
      <formula>$JG$9</formula>
    </cfRule>
  </conditionalFormatting>
  <conditionalFormatting sqref="IV1:IV1048576 IY1:IY1048576 JC1:JC1048576 JF1:JF1048576">
    <cfRule type="cellIs" dxfId="340" priority="64399" operator="between">
      <formula>$JG$15</formula>
      <formula>1000</formula>
    </cfRule>
    <cfRule type="cellIs" dxfId="339" priority="64400" operator="between">
      <formula>$JG$14</formula>
      <formula>$JG$15</formula>
    </cfRule>
    <cfRule type="cellIs" dxfId="338" priority="64401" operator="between">
      <formula>$JG$13</formula>
      <formula>$JG$14</formula>
    </cfRule>
    <cfRule type="cellIs" dxfId="337" priority="64402" operator="between">
      <formula>$JG$12</formula>
      <formula>$JG$13</formula>
    </cfRule>
  </conditionalFormatting>
  <conditionalFormatting sqref="KB1:KB1048576 KE1:KE1048576 KI1:KI1048576 KL1:KL1048576">
    <cfRule type="cellIs" dxfId="336" priority="64447" operator="between">
      <formula>$KO$11</formula>
      <formula>1000</formula>
    </cfRule>
    <cfRule type="cellIs" dxfId="335" priority="64448" operator="between">
      <formula>$KO$10</formula>
      <formula>$KO$11</formula>
    </cfRule>
    <cfRule type="cellIs" dxfId="334" priority="64449" operator="between">
      <formula>$KO$9</formula>
      <formula>$KO$10</formula>
    </cfRule>
    <cfRule type="cellIs" dxfId="333" priority="64450" operator="between">
      <formula>$KO$8</formula>
      <formula>$KO$9</formula>
    </cfRule>
  </conditionalFormatting>
  <conditionalFormatting sqref="KD1:KD1048576 KG1:KG1048576 KK1:KK1048576 KN1:KN1048576">
    <cfRule type="cellIs" dxfId="332" priority="64495" operator="between">
      <formula>$KO$15</formula>
      <formula>1000</formula>
    </cfRule>
    <cfRule type="cellIs" dxfId="331" priority="64496" operator="between">
      <formula>$KO$14</formula>
      <formula>$KO$15</formula>
    </cfRule>
    <cfRule type="cellIs" dxfId="330" priority="64497" operator="between">
      <formula>$KO$13</formula>
      <formula>$KO$14</formula>
    </cfRule>
    <cfRule type="cellIs" dxfId="329" priority="64498" operator="between">
      <formula>$KO$12</formula>
      <formula>$KO$13</formula>
    </cfRule>
  </conditionalFormatting>
  <conditionalFormatting sqref="LJ1:LJ1048576 LM1:LM1048576 LQ1:LQ1048576 LT1:LT1048576">
    <cfRule type="cellIs" dxfId="328" priority="64543" operator="between">
      <formula>$LW$11</formula>
      <formula>1000</formula>
    </cfRule>
    <cfRule type="cellIs" dxfId="327" priority="64544" operator="between">
      <formula>$LW$10</formula>
      <formula>$LW$11</formula>
    </cfRule>
    <cfRule type="cellIs" dxfId="326" priority="64545" operator="between">
      <formula>$LW$9</formula>
      <formula>$LW$10</formula>
    </cfRule>
    <cfRule type="cellIs" dxfId="325" priority="64546" operator="between">
      <formula>$LW$8</formula>
      <formula>$LW$9</formula>
    </cfRule>
  </conditionalFormatting>
  <conditionalFormatting sqref="LL1:LL1048576 LO1:LO1048576 LS1:LS1048576 LV1:LV1048576">
    <cfRule type="cellIs" dxfId="324" priority="64591" operator="between">
      <formula>$LW$15</formula>
      <formula>1000</formula>
    </cfRule>
    <cfRule type="cellIs" dxfId="323" priority="64592" operator="between">
      <formula>$LW$14</formula>
      <formula>$LW$15</formula>
    </cfRule>
    <cfRule type="cellIs" dxfId="322" priority="64593" operator="between">
      <formula>$LW$13</formula>
      <formula>$LW$14</formula>
    </cfRule>
    <cfRule type="cellIs" dxfId="321" priority="64594" operator="between">
      <formula>$LW$12</formula>
      <formula>$LW$13</formula>
    </cfRule>
  </conditionalFormatting>
  <conditionalFormatting sqref="MR1:MR1048576 MU1:MU1048576 MY1:MY1048576">
    <cfRule type="cellIs" dxfId="320" priority="64639" operator="between">
      <formula>$NE$11</formula>
      <formula>1000</formula>
    </cfRule>
    <cfRule type="cellIs" dxfId="319" priority="64640" operator="between">
      <formula>$NE$10</formula>
      <formula>$NE$11</formula>
    </cfRule>
    <cfRule type="cellIs" dxfId="318" priority="64641" operator="between">
      <formula>$NE$9</formula>
      <formula>$NE$10</formula>
    </cfRule>
  </conditionalFormatting>
  <conditionalFormatting sqref="MT1:MT1048576 MW1:MW1048576 NA1:NA1048576 ND1:ND1048576">
    <cfRule type="cellIs" dxfId="317" priority="64666" operator="between">
      <formula>$NE$15</formula>
      <formula>1000</formula>
    </cfRule>
    <cfRule type="cellIs" dxfId="316" priority="64667" operator="between">
      <formula>$NE$14</formula>
      <formula>$NE$15</formula>
    </cfRule>
    <cfRule type="cellIs" dxfId="315" priority="64668" operator="between">
      <formula>$NE$13</formula>
      <formula>$NE$14</formula>
    </cfRule>
    <cfRule type="cellIs" dxfId="314" priority="64669" operator="between">
      <formula>$NE$12</formula>
      <formula>$NE$13</formula>
    </cfRule>
  </conditionalFormatting>
  <conditionalFormatting sqref="NZ1:NZ1048576 OC1:OC1048576 OG1:OG1048576 OJ1:OJ1048576">
    <cfRule type="cellIs" dxfId="313" priority="64714" operator="between">
      <formula>$OM$11</formula>
      <formula>1000</formula>
    </cfRule>
    <cfRule type="cellIs" dxfId="312" priority="64715" operator="between">
      <formula>$OM$10</formula>
      <formula>$OM$11</formula>
    </cfRule>
    <cfRule type="cellIs" dxfId="311" priority="64716" operator="between">
      <formula>$OM$9</formula>
      <formula>$OM$10</formula>
    </cfRule>
    <cfRule type="cellIs" dxfId="310" priority="64717" operator="between">
      <formula>$OM$8</formula>
      <formula>$OM$9</formula>
    </cfRule>
  </conditionalFormatting>
  <conditionalFormatting sqref="OB1:OB1048576 OE1:OE1048576 OI1:OI1048576 OL1:OL1048576">
    <cfRule type="cellIs" dxfId="309" priority="64762" operator="between">
      <formula>$OM$15</formula>
      <formula>1000</formula>
    </cfRule>
    <cfRule type="cellIs" dxfId="308" priority="64763" operator="between">
      <formula>$OM$14</formula>
      <formula>$OM$15</formula>
    </cfRule>
    <cfRule type="cellIs" dxfId="307" priority="64764" operator="between">
      <formula>$OM$13</formula>
      <formula>$OM$14</formula>
    </cfRule>
    <cfRule type="cellIs" dxfId="306" priority="64765" operator="between">
      <formula>$OM$12</formula>
      <formula>$OM$13</formula>
    </cfRule>
  </conditionalFormatting>
  <conditionalFormatting sqref="PH1:PH1048576 PK1:PK1048576 PO1:PO1048576 PR1:PR1048576">
    <cfRule type="cellIs" dxfId="305" priority="64810" operator="between">
      <formula>$PU$11</formula>
      <formula>1000</formula>
    </cfRule>
    <cfRule type="cellIs" dxfId="304" priority="64811" operator="between">
      <formula>$PU$10</formula>
      <formula>$PU$11</formula>
    </cfRule>
    <cfRule type="cellIs" dxfId="303" priority="64812" operator="between">
      <formula>$PU$9</formula>
      <formula>$PU$10</formula>
    </cfRule>
    <cfRule type="cellIs" dxfId="302" priority="64813" operator="between">
      <formula>$PU$8</formula>
      <formula>$PU$9</formula>
    </cfRule>
  </conditionalFormatting>
  <conditionalFormatting sqref="PJ1:PJ1048576 PM1:PM1048576 PQ1:PQ1048576 PT1:PT1048576">
    <cfRule type="cellIs" dxfId="301" priority="64858" operator="between">
      <formula>$PU$15</formula>
      <formula>1000</formula>
    </cfRule>
    <cfRule type="cellIs" dxfId="300" priority="64859" operator="between">
      <formula>$PU$14</formula>
      <formula>$PU$15</formula>
    </cfRule>
    <cfRule type="cellIs" dxfId="299" priority="64860" operator="between">
      <formula>$PU$13</formula>
      <formula>$PU$14</formula>
    </cfRule>
    <cfRule type="cellIs" dxfId="298" priority="64861" operator="between">
      <formula>$PU$12</formula>
      <formula>$PU$13</formula>
    </cfRule>
  </conditionalFormatting>
  <conditionalFormatting sqref="QP1:QP1048576 QS1:QS1048576 QW1:QW1048576 QZ1:QZ1048576">
    <cfRule type="cellIs" dxfId="297" priority="64906" operator="between">
      <formula>$RC$11</formula>
      <formula>1000</formula>
    </cfRule>
    <cfRule type="cellIs" dxfId="296" priority="64907" operator="between">
      <formula>$RC$10</formula>
      <formula>$RC$11</formula>
    </cfRule>
    <cfRule type="cellIs" dxfId="295" priority="64908" operator="between">
      <formula>$RC$9</formula>
      <formula>$RC$10</formula>
    </cfRule>
    <cfRule type="cellIs" dxfId="294" priority="64909" operator="between">
      <formula>$RC$8</formula>
      <formula>$RC$9</formula>
    </cfRule>
  </conditionalFormatting>
  <conditionalFormatting sqref="QR1:QR1048576 QU1:QU1048576 QY1:QY1048576 RB1:RB1048576">
    <cfRule type="cellIs" dxfId="293" priority="64954" operator="between">
      <formula>$RC$15</formula>
      <formula>1000</formula>
    </cfRule>
    <cfRule type="cellIs" dxfId="292" priority="64955" operator="between">
      <formula>$RC$14</formula>
      <formula>$RC$15</formula>
    </cfRule>
    <cfRule type="cellIs" dxfId="291" priority="64956" operator="between">
      <formula>$RC$13</formula>
      <formula>$RC$14</formula>
    </cfRule>
    <cfRule type="cellIs" dxfId="290" priority="64957" operator="between">
      <formula>$RC$12</formula>
      <formula>$RC$13</formula>
    </cfRule>
  </conditionalFormatting>
  <conditionalFormatting sqref="RX1:RX1048576 SA1:SA1048576 SE1:SE1048576 SH1:SH1048576">
    <cfRule type="cellIs" dxfId="289" priority="65002" operator="between">
      <formula>$SK$11</formula>
      <formula>1000</formula>
    </cfRule>
    <cfRule type="cellIs" dxfId="288" priority="65003" operator="between">
      <formula>$SK$10</formula>
      <formula>$SK$11</formula>
    </cfRule>
    <cfRule type="cellIs" dxfId="287" priority="65004" operator="between">
      <formula>$SK$9</formula>
      <formula>$SK$10</formula>
    </cfRule>
    <cfRule type="cellIs" dxfId="286" priority="65005" operator="between">
      <formula>$SK$8</formula>
      <formula>$SK$9</formula>
    </cfRule>
  </conditionalFormatting>
  <conditionalFormatting sqref="RZ1:RZ1048576 SC1:SC1048576 SG1:SG1048576 SJ1:SJ1048576">
    <cfRule type="cellIs" dxfId="285" priority="65050" operator="between">
      <formula>$SK$15</formula>
      <formula>1000</formula>
    </cfRule>
    <cfRule type="cellIs" dxfId="284" priority="65051" operator="between">
      <formula>$SK$14</formula>
      <formula>$SK$15</formula>
    </cfRule>
    <cfRule type="cellIs" dxfId="283" priority="65052" operator="between">
      <formula>$SK$13</formula>
      <formula>$SK$14</formula>
    </cfRule>
    <cfRule type="cellIs" dxfId="282" priority="65053" operator="between">
      <formula>$SK$12</formula>
      <formula>$SK$13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N37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24.6640625" hidden="1" customWidth="1"/>
    <col min="13" max="13" width="13" hidden="1" customWidth="1"/>
    <col min="14" max="14" width="47" hidden="1" customWidth="1"/>
    <col min="15" max="30" width="10.83203125" hidden="1" customWidth="1"/>
    <col min="31" max="41" width="10.83203125" style="70" customWidth="1"/>
    <col min="42" max="57" width="10.83203125" hidden="1" customWidth="1"/>
    <col min="58" max="68" width="10.83203125" style="70" customWidth="1"/>
    <col min="69" max="84" width="10.83203125" hidden="1" customWidth="1"/>
    <col min="85" max="95" width="10.83203125" style="70" customWidth="1"/>
    <col min="96" max="97" width="12.83203125" style="70" customWidth="1"/>
    <col min="98" max="117" width="10.83203125" hidden="1" customWidth="1"/>
    <col min="118" max="130" width="10.83203125" customWidth="1"/>
    <col min="131" max="131" width="10.83203125" style="70" customWidth="1"/>
    <col min="132" max="151" width="10.83203125" hidden="1" customWidth="1"/>
    <col min="152" max="164" width="10.83203125" customWidth="1"/>
    <col min="165" max="165" width="10.83203125" style="70" customWidth="1"/>
    <col min="166" max="185" width="10.83203125" hidden="1" customWidth="1"/>
    <col min="186" max="198" width="10.83203125" customWidth="1"/>
    <col min="199" max="199" width="10.83203125" style="70" customWidth="1"/>
    <col min="200" max="232" width="10.83203125" hidden="1" customWidth="1"/>
    <col min="233" max="233" width="10.83203125" style="70" hidden="1" customWidth="1"/>
    <col min="234" max="266" width="10.83203125" hidden="1" customWidth="1"/>
    <col min="267" max="267" width="10.83203125" style="70" hidden="1" customWidth="1"/>
    <col min="268" max="532" width="10.83203125" hidden="1" customWidth="1"/>
  </cols>
  <sheetData>
    <row r="1" spans="1:534" x14ac:dyDescent="0.2">
      <c r="A1" s="117" t="s">
        <v>1</v>
      </c>
      <c r="B1" s="117" t="s">
        <v>32</v>
      </c>
      <c r="C1" s="117" t="s">
        <v>0</v>
      </c>
      <c r="D1" s="117" t="s">
        <v>63</v>
      </c>
      <c r="E1" s="117" t="s">
        <v>2</v>
      </c>
      <c r="F1" s="119" t="s">
        <v>69</v>
      </c>
      <c r="G1" s="117" t="s">
        <v>12</v>
      </c>
      <c r="H1" s="117" t="s">
        <v>13</v>
      </c>
      <c r="I1" s="117" t="s">
        <v>96</v>
      </c>
      <c r="J1" s="118" t="s">
        <v>145</v>
      </c>
      <c r="K1" s="116" t="s">
        <v>37</v>
      </c>
      <c r="L1" s="120" t="s">
        <v>15</v>
      </c>
      <c r="M1" s="116" t="s">
        <v>38</v>
      </c>
      <c r="N1" s="116" t="s">
        <v>37</v>
      </c>
      <c r="O1" s="113" t="s">
        <v>104</v>
      </c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4" t="s">
        <v>111</v>
      </c>
      <c r="AQ1" s="114"/>
      <c r="AR1" s="114"/>
      <c r="AS1" s="114"/>
      <c r="AT1" s="114"/>
      <c r="AU1" s="114"/>
      <c r="AV1" s="114"/>
      <c r="AW1" s="114"/>
      <c r="AX1" s="114"/>
      <c r="AY1" s="114"/>
      <c r="AZ1" s="114"/>
      <c r="BA1" s="114"/>
      <c r="BB1" s="114"/>
      <c r="BC1" s="114"/>
      <c r="BD1" s="114"/>
      <c r="BE1" s="114"/>
      <c r="BF1" s="114"/>
      <c r="BG1" s="114"/>
      <c r="BH1" s="114"/>
      <c r="BI1" s="114"/>
      <c r="BJ1" s="114"/>
      <c r="BK1" s="114"/>
      <c r="BL1" s="114"/>
      <c r="BM1" s="114"/>
      <c r="BN1" s="114"/>
      <c r="BO1" s="114"/>
      <c r="BP1" s="114"/>
      <c r="BQ1" s="113" t="s">
        <v>146</v>
      </c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5" t="s">
        <v>15</v>
      </c>
      <c r="CS1" s="115"/>
      <c r="CT1" s="113" t="s">
        <v>116</v>
      </c>
      <c r="CU1" s="113"/>
      <c r="CV1" s="113"/>
      <c r="CW1" s="113"/>
      <c r="CX1" s="113"/>
      <c r="CY1" s="113"/>
      <c r="CZ1" s="113"/>
      <c r="DA1" s="113"/>
      <c r="DB1" s="113"/>
      <c r="DC1" s="113"/>
      <c r="DD1" s="113"/>
      <c r="DE1" s="113"/>
      <c r="DF1" s="113"/>
      <c r="DG1" s="113"/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4" t="s">
        <v>125</v>
      </c>
      <c r="EC1" s="114"/>
      <c r="ED1" s="114"/>
      <c r="EE1" s="114"/>
      <c r="EF1" s="114"/>
      <c r="EG1" s="114"/>
      <c r="EH1" s="114"/>
      <c r="EI1" s="114"/>
      <c r="EJ1" s="114"/>
      <c r="EK1" s="114"/>
      <c r="EL1" s="114"/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4"/>
      <c r="EX1" s="114"/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4"/>
      <c r="FJ1" s="113" t="s">
        <v>129</v>
      </c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3"/>
      <c r="GG1" s="113"/>
      <c r="GH1" s="113"/>
      <c r="GI1" s="113"/>
      <c r="GJ1" s="113"/>
      <c r="GK1" s="113"/>
      <c r="GL1" s="113"/>
      <c r="GM1" s="113"/>
      <c r="GN1" s="113"/>
      <c r="GO1" s="113"/>
      <c r="GP1" s="113"/>
      <c r="GQ1" s="113"/>
      <c r="GR1" s="114"/>
      <c r="GS1" s="114"/>
      <c r="GT1" s="114"/>
      <c r="GU1" s="114"/>
      <c r="GV1" s="114"/>
      <c r="GW1" s="114"/>
      <c r="GX1" s="114"/>
      <c r="GY1" s="114"/>
      <c r="GZ1" s="114"/>
      <c r="HA1" s="114"/>
      <c r="HB1" s="114"/>
      <c r="HC1" s="114"/>
      <c r="HD1" s="114"/>
      <c r="HE1" s="114"/>
      <c r="HF1" s="114"/>
      <c r="HG1" s="114"/>
      <c r="HH1" s="114"/>
      <c r="HI1" s="114"/>
      <c r="HJ1" s="114"/>
      <c r="HK1" s="114"/>
      <c r="HL1" s="114"/>
      <c r="HM1" s="114"/>
      <c r="HN1" s="114"/>
      <c r="HO1" s="114"/>
      <c r="HP1" s="114"/>
      <c r="HQ1" s="114"/>
      <c r="HR1" s="114"/>
      <c r="HS1" s="114"/>
      <c r="HT1" s="114"/>
      <c r="HU1" s="114"/>
      <c r="HV1" s="114"/>
      <c r="HW1" s="114"/>
      <c r="HX1" s="114"/>
      <c r="HY1" s="114"/>
      <c r="HZ1" s="113"/>
      <c r="IA1" s="113"/>
      <c r="IB1" s="113"/>
      <c r="IC1" s="113"/>
      <c r="ID1" s="113"/>
      <c r="IE1" s="113"/>
      <c r="IF1" s="113"/>
      <c r="IG1" s="113"/>
      <c r="IH1" s="113"/>
      <c r="II1" s="113"/>
      <c r="IJ1" s="113"/>
      <c r="IK1" s="113"/>
      <c r="IL1" s="113"/>
      <c r="IM1" s="113"/>
      <c r="IN1" s="113"/>
      <c r="IO1" s="113"/>
      <c r="IP1" s="113"/>
      <c r="IQ1" s="113"/>
      <c r="IR1" s="113"/>
      <c r="IS1" s="113"/>
      <c r="IT1" s="113"/>
      <c r="IU1" s="113"/>
      <c r="IV1" s="113"/>
      <c r="IW1" s="113"/>
      <c r="IX1" s="113"/>
      <c r="IY1" s="113"/>
      <c r="IZ1" s="113"/>
      <c r="JA1" s="113"/>
      <c r="JB1" s="113"/>
      <c r="JC1" s="113"/>
      <c r="JD1" s="113"/>
      <c r="JE1" s="113"/>
      <c r="JF1" s="113"/>
      <c r="JG1" s="113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4"/>
      <c r="JS1" s="114"/>
      <c r="JT1" s="114"/>
      <c r="JU1" s="114"/>
      <c r="JV1" s="114"/>
      <c r="JW1" s="114"/>
      <c r="JX1" s="114"/>
      <c r="JY1" s="114"/>
      <c r="JZ1" s="114"/>
      <c r="KA1" s="114"/>
      <c r="KB1" s="114"/>
      <c r="KC1" s="114"/>
      <c r="KD1" s="114"/>
      <c r="KE1" s="114"/>
      <c r="KF1" s="114"/>
      <c r="KG1" s="114"/>
      <c r="KH1" s="114"/>
      <c r="KI1" s="114"/>
      <c r="KJ1" s="114"/>
      <c r="KK1" s="114"/>
      <c r="KL1" s="114"/>
      <c r="KM1" s="114"/>
      <c r="KN1" s="114"/>
      <c r="KO1" s="114"/>
      <c r="KP1" s="113"/>
      <c r="KQ1" s="113"/>
      <c r="KR1" s="113"/>
      <c r="KS1" s="113"/>
      <c r="KT1" s="113"/>
      <c r="KU1" s="113"/>
      <c r="KV1" s="113"/>
      <c r="KW1" s="113"/>
      <c r="KX1" s="113"/>
      <c r="KY1" s="113"/>
      <c r="KZ1" s="113"/>
      <c r="LA1" s="113"/>
      <c r="LB1" s="113"/>
      <c r="LC1" s="113"/>
      <c r="LD1" s="113"/>
      <c r="LE1" s="113"/>
      <c r="LF1" s="113"/>
      <c r="LG1" s="113"/>
      <c r="LH1" s="113"/>
      <c r="LI1" s="113"/>
      <c r="LJ1" s="113"/>
      <c r="LK1" s="113"/>
      <c r="LL1" s="113"/>
      <c r="LM1" s="113"/>
      <c r="LN1" s="113"/>
      <c r="LO1" s="113"/>
      <c r="LP1" s="113"/>
      <c r="LQ1" s="113"/>
      <c r="LR1" s="113"/>
      <c r="LS1" s="113"/>
      <c r="LT1" s="113"/>
      <c r="LU1" s="113"/>
      <c r="LV1" s="113"/>
      <c r="LW1" s="113"/>
      <c r="LX1" s="114"/>
      <c r="LY1" s="114"/>
      <c r="LZ1" s="114"/>
      <c r="MA1" s="114"/>
      <c r="MB1" s="114"/>
      <c r="MC1" s="114"/>
      <c r="MD1" s="114"/>
      <c r="ME1" s="114"/>
      <c r="MF1" s="114"/>
      <c r="MG1" s="114"/>
      <c r="MH1" s="114"/>
      <c r="MI1" s="114"/>
      <c r="MJ1" s="114"/>
      <c r="MK1" s="114"/>
      <c r="ML1" s="114"/>
      <c r="MM1" s="114"/>
      <c r="MN1" s="114"/>
      <c r="MO1" s="114"/>
      <c r="MP1" s="114"/>
      <c r="MQ1" s="114"/>
      <c r="MR1" s="114"/>
      <c r="MS1" s="114"/>
      <c r="MT1" s="114"/>
      <c r="MU1" s="114"/>
      <c r="MV1" s="114"/>
      <c r="MW1" s="114"/>
      <c r="MX1" s="114"/>
      <c r="MY1" s="114"/>
      <c r="MZ1" s="114"/>
      <c r="NA1" s="114"/>
      <c r="NB1" s="114"/>
      <c r="NC1" s="114"/>
      <c r="ND1" s="114"/>
      <c r="NE1" s="114"/>
      <c r="NF1" s="113"/>
      <c r="NG1" s="113"/>
      <c r="NH1" s="113"/>
      <c r="NI1" s="113"/>
      <c r="NJ1" s="113"/>
      <c r="NK1" s="113"/>
      <c r="NL1" s="113"/>
      <c r="NM1" s="113"/>
      <c r="NN1" s="113"/>
      <c r="NO1" s="113"/>
      <c r="NP1" s="113"/>
      <c r="NQ1" s="113"/>
      <c r="NR1" s="113"/>
      <c r="NS1" s="113"/>
      <c r="NT1" s="113"/>
      <c r="NU1" s="113"/>
      <c r="NV1" s="113"/>
      <c r="NW1" s="113"/>
      <c r="NX1" s="113"/>
      <c r="NY1" s="113"/>
      <c r="NZ1" s="113"/>
      <c r="OA1" s="113"/>
      <c r="OB1" s="113"/>
      <c r="OC1" s="113"/>
      <c r="OD1" s="113"/>
      <c r="OE1" s="113"/>
      <c r="OF1" s="113"/>
      <c r="OG1" s="113"/>
      <c r="OH1" s="113"/>
      <c r="OI1" s="113"/>
      <c r="OJ1" s="113"/>
      <c r="OK1" s="113"/>
      <c r="OL1" s="113"/>
      <c r="OM1" s="113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4"/>
      <c r="OY1" s="114"/>
      <c r="OZ1" s="114"/>
      <c r="PA1" s="114"/>
      <c r="PB1" s="114"/>
      <c r="PC1" s="114"/>
      <c r="PD1" s="114"/>
      <c r="PE1" s="114"/>
      <c r="PF1" s="114"/>
      <c r="PG1" s="114"/>
      <c r="PH1" s="114"/>
      <c r="PI1" s="114"/>
      <c r="PJ1" s="114"/>
      <c r="PK1" s="114"/>
      <c r="PL1" s="114"/>
      <c r="PM1" s="114"/>
      <c r="PN1" s="114"/>
      <c r="PO1" s="114"/>
      <c r="PP1" s="114"/>
      <c r="PQ1" s="114"/>
      <c r="PR1" s="114"/>
      <c r="PS1" s="114"/>
      <c r="PT1" s="114"/>
      <c r="PU1" s="114"/>
      <c r="PV1" s="113"/>
      <c r="PW1" s="113"/>
      <c r="PX1" s="113"/>
      <c r="PY1" s="113"/>
      <c r="PZ1" s="113"/>
      <c r="QA1" s="113"/>
      <c r="QB1" s="113"/>
      <c r="QC1" s="113"/>
      <c r="QD1" s="113"/>
      <c r="QE1" s="113"/>
      <c r="QF1" s="113"/>
      <c r="QG1" s="113"/>
      <c r="QH1" s="113"/>
      <c r="QI1" s="113"/>
      <c r="QJ1" s="113"/>
      <c r="QK1" s="113"/>
      <c r="QL1" s="113"/>
      <c r="QM1" s="113"/>
      <c r="QN1" s="113"/>
      <c r="QO1" s="113"/>
      <c r="QP1" s="113"/>
      <c r="QQ1" s="113"/>
      <c r="QR1" s="113"/>
      <c r="QS1" s="113"/>
      <c r="QT1" s="113"/>
      <c r="QU1" s="113"/>
      <c r="QV1" s="113"/>
      <c r="QW1" s="113"/>
      <c r="QX1" s="113"/>
      <c r="QY1" s="113"/>
      <c r="QZ1" s="113"/>
      <c r="RA1" s="113"/>
      <c r="RB1" s="113"/>
      <c r="RC1" s="113"/>
      <c r="RD1" s="114"/>
      <c r="RE1" s="114"/>
      <c r="RF1" s="114"/>
      <c r="RG1" s="114"/>
      <c r="RH1" s="114"/>
      <c r="RI1" s="114"/>
      <c r="RJ1" s="114"/>
      <c r="RK1" s="114"/>
      <c r="RL1" s="114"/>
      <c r="RM1" s="114"/>
      <c r="RN1" s="114"/>
      <c r="RO1" s="114"/>
      <c r="RP1" s="114"/>
      <c r="RQ1" s="114"/>
      <c r="RR1" s="114"/>
      <c r="RS1" s="114"/>
      <c r="RT1" s="114"/>
      <c r="RU1" s="114"/>
      <c r="RV1" s="114"/>
      <c r="RW1" s="114"/>
      <c r="RX1" s="114"/>
      <c r="RY1" s="114"/>
      <c r="RZ1" s="114"/>
      <c r="SA1" s="114"/>
      <c r="SB1" s="114"/>
      <c r="SC1" s="114"/>
      <c r="SD1" s="114"/>
      <c r="SE1" s="114"/>
      <c r="SF1" s="114"/>
      <c r="SG1" s="114"/>
      <c r="SH1" s="114"/>
      <c r="SI1" s="114"/>
      <c r="SJ1" s="114"/>
      <c r="SK1" s="114"/>
      <c r="SL1" s="113" t="s">
        <v>72</v>
      </c>
      <c r="SM1" s="113"/>
      <c r="SN1" s="113"/>
      <c r="SO1" s="113"/>
      <c r="SP1" s="113"/>
      <c r="SQ1" s="113"/>
      <c r="SR1" s="113"/>
      <c r="SS1" s="113"/>
      <c r="ST1" s="113"/>
      <c r="SU1" s="113"/>
      <c r="SV1" s="113"/>
      <c r="SW1" s="113"/>
      <c r="SX1" s="113"/>
      <c r="SY1" s="113"/>
      <c r="SZ1" s="113"/>
      <c r="TA1" s="113"/>
      <c r="TB1" s="113"/>
      <c r="TC1" s="113"/>
      <c r="TD1" s="113"/>
      <c r="TE1" s="113"/>
      <c r="TF1" s="113"/>
      <c r="TG1" s="113"/>
      <c r="TH1" s="113"/>
      <c r="TI1" s="113"/>
      <c r="TJ1" s="113"/>
      <c r="TK1" s="113"/>
      <c r="TL1" s="113"/>
    </row>
    <row r="2" spans="1:534" x14ac:dyDescent="0.2">
      <c r="A2" s="117"/>
      <c r="B2" s="117"/>
      <c r="C2" s="117"/>
      <c r="D2" s="117"/>
      <c r="E2" s="117"/>
      <c r="F2" s="119"/>
      <c r="G2" s="117"/>
      <c r="H2" s="117"/>
      <c r="I2" s="117"/>
      <c r="J2" s="118"/>
      <c r="K2" s="116"/>
      <c r="L2" s="120"/>
      <c r="M2" s="116"/>
      <c r="N2" s="116"/>
      <c r="O2" s="111" t="s">
        <v>20</v>
      </c>
      <c r="P2" s="111"/>
      <c r="Q2" s="111"/>
      <c r="R2" s="111"/>
      <c r="S2" s="111"/>
      <c r="T2" s="111" t="s">
        <v>21</v>
      </c>
      <c r="U2" s="111"/>
      <c r="V2" s="111"/>
      <c r="W2" s="111"/>
      <c r="X2" s="111"/>
      <c r="Y2" s="111" t="s">
        <v>24</v>
      </c>
      <c r="Z2" s="111"/>
      <c r="AA2" s="111"/>
      <c r="AB2" s="111"/>
      <c r="AC2" s="111"/>
      <c r="AD2" s="101"/>
      <c r="AE2" s="101" t="s">
        <v>135</v>
      </c>
      <c r="AF2" s="101" t="s">
        <v>136</v>
      </c>
      <c r="AG2" s="101" t="s">
        <v>22</v>
      </c>
      <c r="AH2" s="101" t="s">
        <v>87</v>
      </c>
      <c r="AI2" s="101" t="s">
        <v>137</v>
      </c>
      <c r="AJ2" s="101" t="s">
        <v>23</v>
      </c>
      <c r="AK2" s="101" t="s">
        <v>25</v>
      </c>
      <c r="AL2" s="101" t="s">
        <v>138</v>
      </c>
      <c r="AM2" s="101" t="s">
        <v>139</v>
      </c>
      <c r="AN2" s="101" t="s">
        <v>24</v>
      </c>
      <c r="AO2" s="101" t="s">
        <v>19</v>
      </c>
      <c r="AP2" s="112" t="s">
        <v>20</v>
      </c>
      <c r="AQ2" s="112"/>
      <c r="AR2" s="112"/>
      <c r="AS2" s="112"/>
      <c r="AT2" s="112"/>
      <c r="AU2" s="112" t="s">
        <v>21</v>
      </c>
      <c r="AV2" s="112"/>
      <c r="AW2" s="112"/>
      <c r="AX2" s="112"/>
      <c r="AY2" s="112"/>
      <c r="AZ2" s="112" t="s">
        <v>24</v>
      </c>
      <c r="BA2" s="112"/>
      <c r="BB2" s="112"/>
      <c r="BC2" s="112"/>
      <c r="BD2" s="112"/>
      <c r="BE2" s="102"/>
      <c r="BF2" s="102" t="s">
        <v>135</v>
      </c>
      <c r="BG2" s="102" t="s">
        <v>136</v>
      </c>
      <c r="BH2" s="102" t="s">
        <v>22</v>
      </c>
      <c r="BI2" s="102" t="s">
        <v>87</v>
      </c>
      <c r="BJ2" s="102" t="s">
        <v>137</v>
      </c>
      <c r="BK2" s="102" t="s">
        <v>23</v>
      </c>
      <c r="BL2" s="102" t="s">
        <v>25</v>
      </c>
      <c r="BM2" s="102" t="s">
        <v>138</v>
      </c>
      <c r="BN2" s="102" t="s">
        <v>139</v>
      </c>
      <c r="BO2" s="102" t="s">
        <v>24</v>
      </c>
      <c r="BP2" s="102" t="s">
        <v>19</v>
      </c>
      <c r="BQ2" s="111" t="s">
        <v>20</v>
      </c>
      <c r="BR2" s="111"/>
      <c r="BS2" s="111"/>
      <c r="BT2" s="111"/>
      <c r="BU2" s="111"/>
      <c r="BV2" s="111" t="s">
        <v>21</v>
      </c>
      <c r="BW2" s="111"/>
      <c r="BX2" s="111"/>
      <c r="BY2" s="111"/>
      <c r="BZ2" s="111"/>
      <c r="CA2" s="111" t="s">
        <v>24</v>
      </c>
      <c r="CB2" s="111"/>
      <c r="CC2" s="111"/>
      <c r="CD2" s="111"/>
      <c r="CE2" s="111"/>
      <c r="CF2" s="101"/>
      <c r="CG2" s="101" t="s">
        <v>135</v>
      </c>
      <c r="CH2" s="101" t="s">
        <v>136</v>
      </c>
      <c r="CI2" s="101" t="s">
        <v>22</v>
      </c>
      <c r="CJ2" s="101" t="s">
        <v>87</v>
      </c>
      <c r="CK2" s="101" t="s">
        <v>137</v>
      </c>
      <c r="CL2" s="101" t="s">
        <v>23</v>
      </c>
      <c r="CM2" s="101" t="s">
        <v>25</v>
      </c>
      <c r="CN2" s="101" t="s">
        <v>138</v>
      </c>
      <c r="CO2" s="101" t="s">
        <v>139</v>
      </c>
      <c r="CP2" s="101" t="s">
        <v>24</v>
      </c>
      <c r="CQ2" s="101" t="s">
        <v>19</v>
      </c>
      <c r="CR2" s="86" t="s">
        <v>25</v>
      </c>
      <c r="CS2" s="86" t="s">
        <v>24</v>
      </c>
      <c r="CT2" s="111" t="s">
        <v>20</v>
      </c>
      <c r="CU2" s="111"/>
      <c r="CV2" s="111"/>
      <c r="CW2" s="111"/>
      <c r="CX2" s="111"/>
      <c r="CY2" s="111" t="s">
        <v>21</v>
      </c>
      <c r="CZ2" s="111"/>
      <c r="DA2" s="111"/>
      <c r="DB2" s="111"/>
      <c r="DC2" s="111"/>
      <c r="DD2" s="111" t="s">
        <v>140</v>
      </c>
      <c r="DE2" s="111"/>
      <c r="DF2" s="111"/>
      <c r="DG2" s="111"/>
      <c r="DH2" s="111"/>
      <c r="DI2" s="111" t="s">
        <v>24</v>
      </c>
      <c r="DJ2" s="111"/>
      <c r="DK2" s="111"/>
      <c r="DL2" s="111"/>
      <c r="DM2" s="111"/>
      <c r="DN2" s="101" t="s">
        <v>135</v>
      </c>
      <c r="DO2" s="101" t="s">
        <v>136</v>
      </c>
      <c r="DP2" s="101" t="s">
        <v>22</v>
      </c>
      <c r="DQ2" s="101" t="s">
        <v>87</v>
      </c>
      <c r="DR2" s="101" t="s">
        <v>137</v>
      </c>
      <c r="DS2" s="101" t="s">
        <v>23</v>
      </c>
      <c r="DT2" s="101" t="s">
        <v>25</v>
      </c>
      <c r="DU2" s="101" t="s">
        <v>141</v>
      </c>
      <c r="DV2" s="101" t="s">
        <v>142</v>
      </c>
      <c r="DW2" s="101" t="s">
        <v>140</v>
      </c>
      <c r="DX2" s="101" t="s">
        <v>138</v>
      </c>
      <c r="DY2" s="101" t="s">
        <v>139</v>
      </c>
      <c r="DZ2" s="101" t="s">
        <v>24</v>
      </c>
      <c r="EA2" s="101" t="s">
        <v>19</v>
      </c>
      <c r="EB2" s="112" t="s">
        <v>20</v>
      </c>
      <c r="EC2" s="112"/>
      <c r="ED2" s="112"/>
      <c r="EE2" s="112"/>
      <c r="EF2" s="112"/>
      <c r="EG2" s="112" t="s">
        <v>21</v>
      </c>
      <c r="EH2" s="112"/>
      <c r="EI2" s="112"/>
      <c r="EJ2" s="112"/>
      <c r="EK2" s="112"/>
      <c r="EL2" s="112" t="s">
        <v>140</v>
      </c>
      <c r="EM2" s="112"/>
      <c r="EN2" s="112"/>
      <c r="EO2" s="112"/>
      <c r="EP2" s="112"/>
      <c r="EQ2" s="112" t="s">
        <v>24</v>
      </c>
      <c r="ER2" s="112"/>
      <c r="ES2" s="112"/>
      <c r="ET2" s="112"/>
      <c r="EU2" s="112"/>
      <c r="EV2" s="102" t="s">
        <v>135</v>
      </c>
      <c r="EW2" s="102" t="s">
        <v>136</v>
      </c>
      <c r="EX2" s="102" t="s">
        <v>22</v>
      </c>
      <c r="EY2" s="102" t="s">
        <v>87</v>
      </c>
      <c r="EZ2" s="102" t="s">
        <v>137</v>
      </c>
      <c r="FA2" s="102" t="s">
        <v>23</v>
      </c>
      <c r="FB2" s="102" t="s">
        <v>25</v>
      </c>
      <c r="FC2" s="102" t="s">
        <v>141</v>
      </c>
      <c r="FD2" s="102" t="s">
        <v>142</v>
      </c>
      <c r="FE2" s="102" t="s">
        <v>140</v>
      </c>
      <c r="FF2" s="102" t="s">
        <v>138</v>
      </c>
      <c r="FG2" s="102" t="s">
        <v>139</v>
      </c>
      <c r="FH2" s="102" t="s">
        <v>24</v>
      </c>
      <c r="FI2" s="102" t="s">
        <v>19</v>
      </c>
      <c r="FJ2" s="111" t="s">
        <v>20</v>
      </c>
      <c r="FK2" s="111"/>
      <c r="FL2" s="111"/>
      <c r="FM2" s="111"/>
      <c r="FN2" s="111"/>
      <c r="FO2" s="111" t="s">
        <v>21</v>
      </c>
      <c r="FP2" s="111"/>
      <c r="FQ2" s="111"/>
      <c r="FR2" s="111"/>
      <c r="FS2" s="111"/>
      <c r="FT2" s="111" t="s">
        <v>140</v>
      </c>
      <c r="FU2" s="111"/>
      <c r="FV2" s="111"/>
      <c r="FW2" s="111"/>
      <c r="FX2" s="111"/>
      <c r="FY2" s="111" t="s">
        <v>24</v>
      </c>
      <c r="FZ2" s="111"/>
      <c r="GA2" s="111"/>
      <c r="GB2" s="111"/>
      <c r="GC2" s="111"/>
      <c r="GD2" s="101" t="s">
        <v>135</v>
      </c>
      <c r="GE2" s="101" t="s">
        <v>136</v>
      </c>
      <c r="GF2" s="101" t="s">
        <v>22</v>
      </c>
      <c r="GG2" s="101" t="s">
        <v>87</v>
      </c>
      <c r="GH2" s="101" t="s">
        <v>137</v>
      </c>
      <c r="GI2" s="101" t="s">
        <v>23</v>
      </c>
      <c r="GJ2" s="101" t="s">
        <v>25</v>
      </c>
      <c r="GK2" s="101" t="s">
        <v>141</v>
      </c>
      <c r="GL2" s="101" t="s">
        <v>142</v>
      </c>
      <c r="GM2" s="101" t="s">
        <v>140</v>
      </c>
      <c r="GN2" s="101" t="s">
        <v>138</v>
      </c>
      <c r="GO2" s="101" t="s">
        <v>139</v>
      </c>
      <c r="GP2" s="101" t="s">
        <v>24</v>
      </c>
      <c r="GQ2" s="101" t="s">
        <v>19</v>
      </c>
      <c r="GR2" s="112" t="s">
        <v>20</v>
      </c>
      <c r="GS2" s="112"/>
      <c r="GT2" s="112"/>
      <c r="GU2" s="112"/>
      <c r="GV2" s="112"/>
      <c r="GW2" s="112" t="s">
        <v>21</v>
      </c>
      <c r="GX2" s="112"/>
      <c r="GY2" s="112"/>
      <c r="GZ2" s="112"/>
      <c r="HA2" s="112"/>
      <c r="HB2" s="112" t="s">
        <v>140</v>
      </c>
      <c r="HC2" s="112"/>
      <c r="HD2" s="112"/>
      <c r="HE2" s="112"/>
      <c r="HF2" s="112"/>
      <c r="HG2" s="112" t="s">
        <v>24</v>
      </c>
      <c r="HH2" s="112"/>
      <c r="HI2" s="112"/>
      <c r="HJ2" s="112"/>
      <c r="HK2" s="112"/>
      <c r="HL2" s="102" t="s">
        <v>135</v>
      </c>
      <c r="HM2" s="102" t="s">
        <v>136</v>
      </c>
      <c r="HN2" s="102" t="s">
        <v>22</v>
      </c>
      <c r="HO2" s="102" t="s">
        <v>87</v>
      </c>
      <c r="HP2" s="102" t="s">
        <v>137</v>
      </c>
      <c r="HQ2" s="102" t="s">
        <v>23</v>
      </c>
      <c r="HR2" s="102" t="s">
        <v>25</v>
      </c>
      <c r="HS2" s="102" t="s">
        <v>141</v>
      </c>
      <c r="HT2" s="102" t="s">
        <v>142</v>
      </c>
      <c r="HU2" s="102" t="s">
        <v>140</v>
      </c>
      <c r="HV2" s="102" t="s">
        <v>138</v>
      </c>
      <c r="HW2" s="102" t="s">
        <v>139</v>
      </c>
      <c r="HX2" s="102" t="s">
        <v>24</v>
      </c>
      <c r="HY2" s="102" t="s">
        <v>19</v>
      </c>
      <c r="HZ2" s="111" t="s">
        <v>20</v>
      </c>
      <c r="IA2" s="111"/>
      <c r="IB2" s="111"/>
      <c r="IC2" s="111"/>
      <c r="ID2" s="111"/>
      <c r="IE2" s="111" t="s">
        <v>21</v>
      </c>
      <c r="IF2" s="111"/>
      <c r="IG2" s="111"/>
      <c r="IH2" s="111"/>
      <c r="II2" s="111"/>
      <c r="IJ2" s="111" t="s">
        <v>140</v>
      </c>
      <c r="IK2" s="111"/>
      <c r="IL2" s="111"/>
      <c r="IM2" s="111"/>
      <c r="IN2" s="111"/>
      <c r="IO2" s="111" t="s">
        <v>24</v>
      </c>
      <c r="IP2" s="111"/>
      <c r="IQ2" s="111"/>
      <c r="IR2" s="111"/>
      <c r="IS2" s="111"/>
      <c r="IT2" s="101" t="s">
        <v>135</v>
      </c>
      <c r="IU2" s="101" t="s">
        <v>136</v>
      </c>
      <c r="IV2" s="101" t="s">
        <v>22</v>
      </c>
      <c r="IW2" s="101" t="s">
        <v>87</v>
      </c>
      <c r="IX2" s="101" t="s">
        <v>137</v>
      </c>
      <c r="IY2" s="101" t="s">
        <v>23</v>
      </c>
      <c r="IZ2" s="101" t="s">
        <v>25</v>
      </c>
      <c r="JA2" s="101" t="s">
        <v>141</v>
      </c>
      <c r="JB2" s="101" t="s">
        <v>142</v>
      </c>
      <c r="JC2" s="101" t="s">
        <v>140</v>
      </c>
      <c r="JD2" s="101" t="s">
        <v>138</v>
      </c>
      <c r="JE2" s="101" t="s">
        <v>139</v>
      </c>
      <c r="JF2" s="101" t="s">
        <v>24</v>
      </c>
      <c r="JG2" s="101" t="s">
        <v>19</v>
      </c>
      <c r="JH2" s="112" t="s">
        <v>20</v>
      </c>
      <c r="JI2" s="112"/>
      <c r="JJ2" s="112"/>
      <c r="JK2" s="112"/>
      <c r="JL2" s="112"/>
      <c r="JM2" s="112" t="s">
        <v>21</v>
      </c>
      <c r="JN2" s="112"/>
      <c r="JO2" s="112"/>
      <c r="JP2" s="112"/>
      <c r="JQ2" s="112"/>
      <c r="JR2" s="112" t="s">
        <v>140</v>
      </c>
      <c r="JS2" s="112"/>
      <c r="JT2" s="112"/>
      <c r="JU2" s="112"/>
      <c r="JV2" s="112"/>
      <c r="JW2" s="112" t="s">
        <v>24</v>
      </c>
      <c r="JX2" s="112"/>
      <c r="JY2" s="112"/>
      <c r="JZ2" s="112"/>
      <c r="KA2" s="112"/>
      <c r="KB2" s="102" t="s">
        <v>135</v>
      </c>
      <c r="KC2" s="102" t="s">
        <v>136</v>
      </c>
      <c r="KD2" s="102" t="s">
        <v>22</v>
      </c>
      <c r="KE2" s="102" t="s">
        <v>87</v>
      </c>
      <c r="KF2" s="102" t="s">
        <v>137</v>
      </c>
      <c r="KG2" s="102" t="s">
        <v>23</v>
      </c>
      <c r="KH2" s="102" t="s">
        <v>25</v>
      </c>
      <c r="KI2" s="102" t="s">
        <v>141</v>
      </c>
      <c r="KJ2" s="102" t="s">
        <v>142</v>
      </c>
      <c r="KK2" s="102" t="s">
        <v>140</v>
      </c>
      <c r="KL2" s="102" t="s">
        <v>138</v>
      </c>
      <c r="KM2" s="102" t="s">
        <v>139</v>
      </c>
      <c r="KN2" s="102" t="s">
        <v>24</v>
      </c>
      <c r="KO2" s="102" t="s">
        <v>19</v>
      </c>
      <c r="KP2" s="111" t="s">
        <v>20</v>
      </c>
      <c r="KQ2" s="111"/>
      <c r="KR2" s="111"/>
      <c r="KS2" s="111"/>
      <c r="KT2" s="111"/>
      <c r="KU2" s="111" t="s">
        <v>21</v>
      </c>
      <c r="KV2" s="111"/>
      <c r="KW2" s="111"/>
      <c r="KX2" s="111"/>
      <c r="KY2" s="111"/>
      <c r="KZ2" s="111" t="s">
        <v>140</v>
      </c>
      <c r="LA2" s="111"/>
      <c r="LB2" s="111"/>
      <c r="LC2" s="111"/>
      <c r="LD2" s="111"/>
      <c r="LE2" s="111" t="s">
        <v>24</v>
      </c>
      <c r="LF2" s="111"/>
      <c r="LG2" s="111"/>
      <c r="LH2" s="111"/>
      <c r="LI2" s="111"/>
      <c r="LJ2" s="101" t="s">
        <v>135</v>
      </c>
      <c r="LK2" s="101" t="s">
        <v>136</v>
      </c>
      <c r="LL2" s="101" t="s">
        <v>22</v>
      </c>
      <c r="LM2" s="101" t="s">
        <v>87</v>
      </c>
      <c r="LN2" s="101" t="s">
        <v>137</v>
      </c>
      <c r="LO2" s="101" t="s">
        <v>23</v>
      </c>
      <c r="LP2" s="101" t="s">
        <v>25</v>
      </c>
      <c r="LQ2" s="101" t="s">
        <v>141</v>
      </c>
      <c r="LR2" s="101" t="s">
        <v>142</v>
      </c>
      <c r="LS2" s="101" t="s">
        <v>140</v>
      </c>
      <c r="LT2" s="101" t="s">
        <v>138</v>
      </c>
      <c r="LU2" s="101" t="s">
        <v>139</v>
      </c>
      <c r="LV2" s="101" t="s">
        <v>24</v>
      </c>
      <c r="LW2" s="101" t="s">
        <v>19</v>
      </c>
      <c r="LX2" s="112" t="s">
        <v>20</v>
      </c>
      <c r="LY2" s="112"/>
      <c r="LZ2" s="112"/>
      <c r="MA2" s="112"/>
      <c r="MB2" s="112"/>
      <c r="MC2" s="112" t="s">
        <v>21</v>
      </c>
      <c r="MD2" s="112"/>
      <c r="ME2" s="112"/>
      <c r="MF2" s="112"/>
      <c r="MG2" s="112"/>
      <c r="MH2" s="112" t="s">
        <v>140</v>
      </c>
      <c r="MI2" s="112"/>
      <c r="MJ2" s="112"/>
      <c r="MK2" s="112"/>
      <c r="ML2" s="112"/>
      <c r="MM2" s="112" t="s">
        <v>24</v>
      </c>
      <c r="MN2" s="112"/>
      <c r="MO2" s="112"/>
      <c r="MP2" s="112"/>
      <c r="MQ2" s="112"/>
      <c r="MR2" s="102" t="s">
        <v>135</v>
      </c>
      <c r="MS2" s="102" t="s">
        <v>136</v>
      </c>
      <c r="MT2" s="102" t="s">
        <v>22</v>
      </c>
      <c r="MU2" s="102" t="s">
        <v>87</v>
      </c>
      <c r="MV2" s="102" t="s">
        <v>137</v>
      </c>
      <c r="MW2" s="102" t="s">
        <v>23</v>
      </c>
      <c r="MX2" s="102" t="s">
        <v>25</v>
      </c>
      <c r="MY2" s="102" t="s">
        <v>141</v>
      </c>
      <c r="MZ2" s="102" t="s">
        <v>142</v>
      </c>
      <c r="NA2" s="102" t="s">
        <v>140</v>
      </c>
      <c r="NB2" s="102" t="s">
        <v>138</v>
      </c>
      <c r="NC2" s="102" t="s">
        <v>139</v>
      </c>
      <c r="ND2" s="102" t="s">
        <v>24</v>
      </c>
      <c r="NE2" s="102" t="s">
        <v>19</v>
      </c>
      <c r="NF2" s="111" t="s">
        <v>20</v>
      </c>
      <c r="NG2" s="111"/>
      <c r="NH2" s="111"/>
      <c r="NI2" s="111"/>
      <c r="NJ2" s="111"/>
      <c r="NK2" s="111" t="s">
        <v>21</v>
      </c>
      <c r="NL2" s="111"/>
      <c r="NM2" s="111"/>
      <c r="NN2" s="111"/>
      <c r="NO2" s="111"/>
      <c r="NP2" s="111" t="s">
        <v>140</v>
      </c>
      <c r="NQ2" s="111"/>
      <c r="NR2" s="111"/>
      <c r="NS2" s="111"/>
      <c r="NT2" s="111"/>
      <c r="NU2" s="111" t="s">
        <v>24</v>
      </c>
      <c r="NV2" s="111"/>
      <c r="NW2" s="111"/>
      <c r="NX2" s="111"/>
      <c r="NY2" s="111"/>
      <c r="NZ2" s="101" t="s">
        <v>135</v>
      </c>
      <c r="OA2" s="101" t="s">
        <v>136</v>
      </c>
      <c r="OB2" s="101" t="s">
        <v>22</v>
      </c>
      <c r="OC2" s="101" t="s">
        <v>87</v>
      </c>
      <c r="OD2" s="101" t="s">
        <v>137</v>
      </c>
      <c r="OE2" s="101" t="s">
        <v>23</v>
      </c>
      <c r="OF2" s="101" t="s">
        <v>25</v>
      </c>
      <c r="OG2" s="101" t="s">
        <v>141</v>
      </c>
      <c r="OH2" s="101" t="s">
        <v>142</v>
      </c>
      <c r="OI2" s="101" t="s">
        <v>140</v>
      </c>
      <c r="OJ2" s="101" t="s">
        <v>138</v>
      </c>
      <c r="OK2" s="101" t="s">
        <v>139</v>
      </c>
      <c r="OL2" s="101" t="s">
        <v>24</v>
      </c>
      <c r="OM2" s="101" t="s">
        <v>19</v>
      </c>
      <c r="ON2" s="112" t="s">
        <v>20</v>
      </c>
      <c r="OO2" s="112"/>
      <c r="OP2" s="112"/>
      <c r="OQ2" s="112"/>
      <c r="OR2" s="112"/>
      <c r="OS2" s="112" t="s">
        <v>21</v>
      </c>
      <c r="OT2" s="112"/>
      <c r="OU2" s="112"/>
      <c r="OV2" s="112"/>
      <c r="OW2" s="112"/>
      <c r="OX2" s="112" t="s">
        <v>140</v>
      </c>
      <c r="OY2" s="112"/>
      <c r="OZ2" s="112"/>
      <c r="PA2" s="112"/>
      <c r="PB2" s="112"/>
      <c r="PC2" s="112" t="s">
        <v>24</v>
      </c>
      <c r="PD2" s="112"/>
      <c r="PE2" s="112"/>
      <c r="PF2" s="112"/>
      <c r="PG2" s="112"/>
      <c r="PH2" s="102" t="s">
        <v>135</v>
      </c>
      <c r="PI2" s="102" t="s">
        <v>136</v>
      </c>
      <c r="PJ2" s="102" t="s">
        <v>22</v>
      </c>
      <c r="PK2" s="102" t="s">
        <v>87</v>
      </c>
      <c r="PL2" s="102" t="s">
        <v>137</v>
      </c>
      <c r="PM2" s="102" t="s">
        <v>23</v>
      </c>
      <c r="PN2" s="102" t="s">
        <v>25</v>
      </c>
      <c r="PO2" s="102" t="s">
        <v>141</v>
      </c>
      <c r="PP2" s="102" t="s">
        <v>142</v>
      </c>
      <c r="PQ2" s="102" t="s">
        <v>140</v>
      </c>
      <c r="PR2" s="102" t="s">
        <v>138</v>
      </c>
      <c r="PS2" s="102" t="s">
        <v>139</v>
      </c>
      <c r="PT2" s="102" t="s">
        <v>24</v>
      </c>
      <c r="PU2" s="102" t="s">
        <v>19</v>
      </c>
      <c r="PV2" s="111" t="s">
        <v>20</v>
      </c>
      <c r="PW2" s="111"/>
      <c r="PX2" s="111"/>
      <c r="PY2" s="111"/>
      <c r="PZ2" s="111"/>
      <c r="QA2" s="111" t="s">
        <v>21</v>
      </c>
      <c r="QB2" s="111"/>
      <c r="QC2" s="111"/>
      <c r="QD2" s="111"/>
      <c r="QE2" s="111"/>
      <c r="QF2" s="111" t="s">
        <v>140</v>
      </c>
      <c r="QG2" s="111"/>
      <c r="QH2" s="111"/>
      <c r="QI2" s="111"/>
      <c r="QJ2" s="111"/>
      <c r="QK2" s="111" t="s">
        <v>24</v>
      </c>
      <c r="QL2" s="111"/>
      <c r="QM2" s="111"/>
      <c r="QN2" s="111"/>
      <c r="QO2" s="111"/>
      <c r="QP2" s="101" t="s">
        <v>135</v>
      </c>
      <c r="QQ2" s="101" t="s">
        <v>136</v>
      </c>
      <c r="QR2" s="101" t="s">
        <v>22</v>
      </c>
      <c r="QS2" s="101" t="s">
        <v>87</v>
      </c>
      <c r="QT2" s="101" t="s">
        <v>137</v>
      </c>
      <c r="QU2" s="101" t="s">
        <v>23</v>
      </c>
      <c r="QV2" s="101" t="s">
        <v>25</v>
      </c>
      <c r="QW2" s="101" t="s">
        <v>141</v>
      </c>
      <c r="QX2" s="101" t="s">
        <v>142</v>
      </c>
      <c r="QY2" s="101" t="s">
        <v>140</v>
      </c>
      <c r="QZ2" s="101" t="s">
        <v>138</v>
      </c>
      <c r="RA2" s="101" t="s">
        <v>139</v>
      </c>
      <c r="RB2" s="101" t="s">
        <v>24</v>
      </c>
      <c r="RC2" s="101" t="s">
        <v>19</v>
      </c>
      <c r="RD2" s="112" t="s">
        <v>20</v>
      </c>
      <c r="RE2" s="112"/>
      <c r="RF2" s="112"/>
      <c r="RG2" s="112"/>
      <c r="RH2" s="112"/>
      <c r="RI2" s="112" t="s">
        <v>21</v>
      </c>
      <c r="RJ2" s="112"/>
      <c r="RK2" s="112"/>
      <c r="RL2" s="112"/>
      <c r="RM2" s="112"/>
      <c r="RN2" s="112" t="s">
        <v>140</v>
      </c>
      <c r="RO2" s="112"/>
      <c r="RP2" s="112"/>
      <c r="RQ2" s="112"/>
      <c r="RR2" s="112"/>
      <c r="RS2" s="112" t="s">
        <v>24</v>
      </c>
      <c r="RT2" s="112"/>
      <c r="RU2" s="112"/>
      <c r="RV2" s="112"/>
      <c r="RW2" s="112"/>
      <c r="RX2" s="102" t="s">
        <v>135</v>
      </c>
      <c r="RY2" s="102" t="s">
        <v>136</v>
      </c>
      <c r="RZ2" s="102" t="s">
        <v>22</v>
      </c>
      <c r="SA2" s="102" t="s">
        <v>87</v>
      </c>
      <c r="SB2" s="102" t="s">
        <v>137</v>
      </c>
      <c r="SC2" s="102" t="s">
        <v>23</v>
      </c>
      <c r="SD2" s="102" t="s">
        <v>25</v>
      </c>
      <c r="SE2" s="102" t="s">
        <v>141</v>
      </c>
      <c r="SF2" s="102" t="s">
        <v>142</v>
      </c>
      <c r="SG2" s="102" t="s">
        <v>140</v>
      </c>
      <c r="SH2" s="102" t="s">
        <v>138</v>
      </c>
      <c r="SI2" s="102" t="s">
        <v>139</v>
      </c>
      <c r="SJ2" s="102" t="s">
        <v>24</v>
      </c>
      <c r="SK2" s="102" t="s">
        <v>19</v>
      </c>
      <c r="SL2" s="111" t="s">
        <v>20</v>
      </c>
      <c r="SM2" s="111"/>
      <c r="SN2" s="111"/>
      <c r="SO2" s="111"/>
      <c r="SP2" s="111"/>
      <c r="SQ2" s="111" t="s">
        <v>21</v>
      </c>
      <c r="SR2" s="111"/>
      <c r="SS2" s="111"/>
      <c r="ST2" s="111"/>
      <c r="SU2" s="111"/>
      <c r="SV2" s="111" t="s">
        <v>24</v>
      </c>
      <c r="SW2" s="111"/>
      <c r="SX2" s="111"/>
      <c r="SY2" s="111"/>
      <c r="SZ2" s="111"/>
      <c r="TA2" s="101"/>
      <c r="TB2" s="101" t="s">
        <v>135</v>
      </c>
      <c r="TC2" s="101" t="s">
        <v>136</v>
      </c>
      <c r="TD2" s="101" t="s">
        <v>22</v>
      </c>
      <c r="TE2" s="101" t="s">
        <v>87</v>
      </c>
      <c r="TF2" s="101" t="s">
        <v>137</v>
      </c>
      <c r="TG2" s="101" t="s">
        <v>23</v>
      </c>
      <c r="TH2" s="101" t="s">
        <v>25</v>
      </c>
      <c r="TI2" s="101" t="s">
        <v>138</v>
      </c>
      <c r="TJ2" s="101" t="s">
        <v>139</v>
      </c>
      <c r="TK2" s="101" t="s">
        <v>24</v>
      </c>
      <c r="TL2" s="101" t="s">
        <v>19</v>
      </c>
    </row>
    <row r="3" spans="1:534" x14ac:dyDescent="0.2">
      <c r="A3" s="117"/>
      <c r="B3" s="117"/>
      <c r="C3" s="117"/>
      <c r="D3" s="117"/>
      <c r="E3" s="117"/>
      <c r="F3" s="119"/>
      <c r="G3" s="117"/>
      <c r="H3" s="117"/>
      <c r="I3" s="117"/>
      <c r="J3" s="118"/>
      <c r="K3" s="116"/>
      <c r="L3" s="120"/>
      <c r="M3" s="116"/>
      <c r="N3" s="116"/>
      <c r="O3" s="101" t="s">
        <v>16</v>
      </c>
      <c r="P3" s="101" t="s">
        <v>17</v>
      </c>
      <c r="Q3" s="101" t="s">
        <v>11</v>
      </c>
      <c r="R3" s="101" t="s">
        <v>18</v>
      </c>
      <c r="S3" s="101" t="s">
        <v>34</v>
      </c>
      <c r="T3" s="101" t="s">
        <v>16</v>
      </c>
      <c r="U3" s="101" t="s">
        <v>17</v>
      </c>
      <c r="V3" s="101" t="s">
        <v>11</v>
      </c>
      <c r="W3" s="101" t="s">
        <v>18</v>
      </c>
      <c r="X3" s="101" t="s">
        <v>34</v>
      </c>
      <c r="Y3" s="101" t="s">
        <v>16</v>
      </c>
      <c r="Z3" s="101" t="s">
        <v>17</v>
      </c>
      <c r="AA3" s="101" t="s">
        <v>11</v>
      </c>
      <c r="AB3" s="101" t="s">
        <v>18</v>
      </c>
      <c r="AC3" s="101" t="s">
        <v>34</v>
      </c>
      <c r="AD3" s="101" t="s">
        <v>60</v>
      </c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2" t="s">
        <v>16</v>
      </c>
      <c r="AQ3" s="102" t="s">
        <v>17</v>
      </c>
      <c r="AR3" s="102" t="s">
        <v>11</v>
      </c>
      <c r="AS3" s="102" t="s">
        <v>18</v>
      </c>
      <c r="AT3" s="102" t="s">
        <v>34</v>
      </c>
      <c r="AU3" s="102" t="s">
        <v>16</v>
      </c>
      <c r="AV3" s="102" t="s">
        <v>17</v>
      </c>
      <c r="AW3" s="102" t="s">
        <v>11</v>
      </c>
      <c r="AX3" s="102" t="s">
        <v>18</v>
      </c>
      <c r="AY3" s="102" t="s">
        <v>34</v>
      </c>
      <c r="AZ3" s="102" t="s">
        <v>16</v>
      </c>
      <c r="BA3" s="102" t="s">
        <v>17</v>
      </c>
      <c r="BB3" s="102" t="s">
        <v>11</v>
      </c>
      <c r="BC3" s="102" t="s">
        <v>18</v>
      </c>
      <c r="BD3" s="102" t="s">
        <v>34</v>
      </c>
      <c r="BE3" s="102" t="s">
        <v>60</v>
      </c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1" t="s">
        <v>16</v>
      </c>
      <c r="BR3" s="101" t="s">
        <v>17</v>
      </c>
      <c r="BS3" s="101" t="s">
        <v>11</v>
      </c>
      <c r="BT3" s="101" t="s">
        <v>18</v>
      </c>
      <c r="BU3" s="101" t="s">
        <v>34</v>
      </c>
      <c r="BV3" s="101" t="s">
        <v>16</v>
      </c>
      <c r="BW3" s="101" t="s">
        <v>17</v>
      </c>
      <c r="BX3" s="101" t="s">
        <v>11</v>
      </c>
      <c r="BY3" s="101" t="s">
        <v>18</v>
      </c>
      <c r="BZ3" s="101" t="s">
        <v>34</v>
      </c>
      <c r="CA3" s="101" t="s">
        <v>16</v>
      </c>
      <c r="CB3" s="101" t="s">
        <v>17</v>
      </c>
      <c r="CC3" s="101" t="s">
        <v>11</v>
      </c>
      <c r="CD3" s="101" t="s">
        <v>18</v>
      </c>
      <c r="CE3" s="101" t="s">
        <v>34</v>
      </c>
      <c r="CF3" s="101" t="s">
        <v>60</v>
      </c>
      <c r="CG3" s="101"/>
      <c r="CH3" s="101"/>
      <c r="CI3" s="101"/>
      <c r="CJ3" s="101"/>
      <c r="CK3" s="101"/>
      <c r="CL3" s="101"/>
      <c r="CM3" s="101"/>
      <c r="CN3" s="101"/>
      <c r="CO3" s="101"/>
      <c r="CP3" s="101"/>
      <c r="CQ3" s="101"/>
      <c r="CR3" s="86"/>
      <c r="CS3" s="86"/>
      <c r="CT3" s="101" t="s">
        <v>16</v>
      </c>
      <c r="CU3" s="101" t="s">
        <v>17</v>
      </c>
      <c r="CV3" s="101" t="s">
        <v>11</v>
      </c>
      <c r="CW3" s="101" t="s">
        <v>18</v>
      </c>
      <c r="CX3" s="101" t="s">
        <v>34</v>
      </c>
      <c r="CY3" s="101" t="s">
        <v>16</v>
      </c>
      <c r="CZ3" s="101" t="s">
        <v>17</v>
      </c>
      <c r="DA3" s="101" t="s">
        <v>11</v>
      </c>
      <c r="DB3" s="101" t="s">
        <v>18</v>
      </c>
      <c r="DC3" s="101" t="s">
        <v>34</v>
      </c>
      <c r="DD3" s="101" t="s">
        <v>16</v>
      </c>
      <c r="DE3" s="101" t="s">
        <v>17</v>
      </c>
      <c r="DF3" s="101" t="s">
        <v>11</v>
      </c>
      <c r="DG3" s="101" t="s">
        <v>18</v>
      </c>
      <c r="DH3" s="101" t="s">
        <v>34</v>
      </c>
      <c r="DI3" s="101" t="s">
        <v>16</v>
      </c>
      <c r="DJ3" s="101" t="s">
        <v>17</v>
      </c>
      <c r="DK3" s="101" t="s">
        <v>11</v>
      </c>
      <c r="DL3" s="101" t="s">
        <v>18</v>
      </c>
      <c r="DM3" s="101" t="s">
        <v>34</v>
      </c>
      <c r="DN3" s="10"/>
      <c r="DO3" s="10"/>
      <c r="DP3" s="9"/>
      <c r="DQ3" s="9"/>
      <c r="DR3" s="9"/>
      <c r="DS3" s="9"/>
      <c r="DT3" s="9"/>
      <c r="DU3" s="9"/>
      <c r="DV3" s="9"/>
      <c r="DW3" s="9"/>
      <c r="DX3" s="9"/>
      <c r="DY3" s="9"/>
      <c r="DZ3" s="10"/>
      <c r="EA3" s="101"/>
      <c r="EB3" s="102" t="s">
        <v>16</v>
      </c>
      <c r="EC3" s="102" t="s">
        <v>17</v>
      </c>
      <c r="ED3" s="102" t="s">
        <v>11</v>
      </c>
      <c r="EE3" s="102" t="s">
        <v>18</v>
      </c>
      <c r="EF3" s="102" t="s">
        <v>34</v>
      </c>
      <c r="EG3" s="102" t="s">
        <v>16</v>
      </c>
      <c r="EH3" s="102" t="s">
        <v>17</v>
      </c>
      <c r="EI3" s="102" t="s">
        <v>11</v>
      </c>
      <c r="EJ3" s="102" t="s">
        <v>18</v>
      </c>
      <c r="EK3" s="102" t="s">
        <v>34</v>
      </c>
      <c r="EL3" s="102" t="s">
        <v>16</v>
      </c>
      <c r="EM3" s="102" t="s">
        <v>17</v>
      </c>
      <c r="EN3" s="102" t="s">
        <v>11</v>
      </c>
      <c r="EO3" s="102" t="s">
        <v>18</v>
      </c>
      <c r="EP3" s="102" t="s">
        <v>34</v>
      </c>
      <c r="EQ3" s="102" t="s">
        <v>16</v>
      </c>
      <c r="ER3" s="102" t="s">
        <v>17</v>
      </c>
      <c r="ES3" s="102" t="s">
        <v>11</v>
      </c>
      <c r="ET3" s="102" t="s">
        <v>18</v>
      </c>
      <c r="EU3" s="102" t="s">
        <v>34</v>
      </c>
      <c r="EV3" s="12"/>
      <c r="EW3" s="12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2"/>
      <c r="FI3" s="102"/>
      <c r="FJ3" s="101" t="s">
        <v>16</v>
      </c>
      <c r="FK3" s="101" t="s">
        <v>17</v>
      </c>
      <c r="FL3" s="101" t="s">
        <v>11</v>
      </c>
      <c r="FM3" s="101" t="s">
        <v>18</v>
      </c>
      <c r="FN3" s="101" t="s">
        <v>34</v>
      </c>
      <c r="FO3" s="101" t="s">
        <v>16</v>
      </c>
      <c r="FP3" s="101" t="s">
        <v>17</v>
      </c>
      <c r="FQ3" s="101" t="s">
        <v>11</v>
      </c>
      <c r="FR3" s="101" t="s">
        <v>18</v>
      </c>
      <c r="FS3" s="101" t="s">
        <v>34</v>
      </c>
      <c r="FT3" s="101" t="s">
        <v>16</v>
      </c>
      <c r="FU3" s="101" t="s">
        <v>17</v>
      </c>
      <c r="FV3" s="101" t="s">
        <v>11</v>
      </c>
      <c r="FW3" s="101" t="s">
        <v>18</v>
      </c>
      <c r="FX3" s="101" t="s">
        <v>34</v>
      </c>
      <c r="FY3" s="101" t="s">
        <v>16</v>
      </c>
      <c r="FZ3" s="101" t="s">
        <v>17</v>
      </c>
      <c r="GA3" s="101" t="s">
        <v>11</v>
      </c>
      <c r="GB3" s="101" t="s">
        <v>18</v>
      </c>
      <c r="GC3" s="101" t="s">
        <v>34</v>
      </c>
      <c r="GD3" s="10"/>
      <c r="GE3" s="10"/>
      <c r="GF3" s="9"/>
      <c r="GG3" s="9"/>
      <c r="GH3" s="9"/>
      <c r="GI3" s="9"/>
      <c r="GJ3" s="9"/>
      <c r="GK3" s="9"/>
      <c r="GL3" s="9"/>
      <c r="GM3" s="9"/>
      <c r="GN3" s="9"/>
      <c r="GO3" s="9"/>
      <c r="GP3" s="10"/>
      <c r="GQ3" s="101"/>
      <c r="GR3" s="102" t="s">
        <v>16</v>
      </c>
      <c r="GS3" s="102" t="s">
        <v>17</v>
      </c>
      <c r="GT3" s="102" t="s">
        <v>11</v>
      </c>
      <c r="GU3" s="102" t="s">
        <v>18</v>
      </c>
      <c r="GV3" s="102" t="s">
        <v>34</v>
      </c>
      <c r="GW3" s="102" t="s">
        <v>16</v>
      </c>
      <c r="GX3" s="102" t="s">
        <v>17</v>
      </c>
      <c r="GY3" s="102" t="s">
        <v>11</v>
      </c>
      <c r="GZ3" s="102" t="s">
        <v>18</v>
      </c>
      <c r="HA3" s="102" t="s">
        <v>34</v>
      </c>
      <c r="HB3" s="102" t="s">
        <v>16</v>
      </c>
      <c r="HC3" s="102" t="s">
        <v>17</v>
      </c>
      <c r="HD3" s="102" t="s">
        <v>11</v>
      </c>
      <c r="HE3" s="102" t="s">
        <v>18</v>
      </c>
      <c r="HF3" s="102" t="s">
        <v>34</v>
      </c>
      <c r="HG3" s="102" t="s">
        <v>16</v>
      </c>
      <c r="HH3" s="102" t="s">
        <v>17</v>
      </c>
      <c r="HI3" s="102" t="s">
        <v>11</v>
      </c>
      <c r="HJ3" s="102" t="s">
        <v>18</v>
      </c>
      <c r="HK3" s="102" t="s">
        <v>34</v>
      </c>
      <c r="HL3" s="12"/>
      <c r="HM3" s="12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2"/>
      <c r="HY3" s="102"/>
      <c r="HZ3" s="101" t="s">
        <v>16</v>
      </c>
      <c r="IA3" s="101" t="s">
        <v>17</v>
      </c>
      <c r="IB3" s="101" t="s">
        <v>11</v>
      </c>
      <c r="IC3" s="101" t="s">
        <v>18</v>
      </c>
      <c r="ID3" s="101" t="s">
        <v>34</v>
      </c>
      <c r="IE3" s="101" t="s">
        <v>16</v>
      </c>
      <c r="IF3" s="101" t="s">
        <v>17</v>
      </c>
      <c r="IG3" s="101" t="s">
        <v>11</v>
      </c>
      <c r="IH3" s="101" t="s">
        <v>18</v>
      </c>
      <c r="II3" s="101" t="s">
        <v>34</v>
      </c>
      <c r="IJ3" s="101" t="s">
        <v>16</v>
      </c>
      <c r="IK3" s="101" t="s">
        <v>17</v>
      </c>
      <c r="IL3" s="101" t="s">
        <v>11</v>
      </c>
      <c r="IM3" s="101" t="s">
        <v>18</v>
      </c>
      <c r="IN3" s="101" t="s">
        <v>34</v>
      </c>
      <c r="IO3" s="101" t="s">
        <v>16</v>
      </c>
      <c r="IP3" s="101" t="s">
        <v>17</v>
      </c>
      <c r="IQ3" s="101" t="s">
        <v>11</v>
      </c>
      <c r="IR3" s="101" t="s">
        <v>18</v>
      </c>
      <c r="IS3" s="101" t="s">
        <v>34</v>
      </c>
      <c r="IT3" s="10"/>
      <c r="IU3" s="10"/>
      <c r="IV3" s="9"/>
      <c r="IW3" s="9"/>
      <c r="IX3" s="9"/>
      <c r="IY3" s="9"/>
      <c r="IZ3" s="9"/>
      <c r="JA3" s="9"/>
      <c r="JB3" s="9"/>
      <c r="JC3" s="9"/>
      <c r="JD3" s="9"/>
      <c r="JE3" s="9"/>
      <c r="JF3" s="10"/>
      <c r="JG3" s="101"/>
      <c r="JH3" s="102" t="s">
        <v>16</v>
      </c>
      <c r="JI3" s="102" t="s">
        <v>17</v>
      </c>
      <c r="JJ3" s="102" t="s">
        <v>11</v>
      </c>
      <c r="JK3" s="102" t="s">
        <v>18</v>
      </c>
      <c r="JL3" s="102" t="s">
        <v>34</v>
      </c>
      <c r="JM3" s="102" t="s">
        <v>16</v>
      </c>
      <c r="JN3" s="102" t="s">
        <v>17</v>
      </c>
      <c r="JO3" s="102" t="s">
        <v>11</v>
      </c>
      <c r="JP3" s="102" t="s">
        <v>18</v>
      </c>
      <c r="JQ3" s="102" t="s">
        <v>34</v>
      </c>
      <c r="JR3" s="102" t="s">
        <v>16</v>
      </c>
      <c r="JS3" s="102" t="s">
        <v>17</v>
      </c>
      <c r="JT3" s="102" t="s">
        <v>11</v>
      </c>
      <c r="JU3" s="102" t="s">
        <v>18</v>
      </c>
      <c r="JV3" s="102" t="s">
        <v>34</v>
      </c>
      <c r="JW3" s="102" t="s">
        <v>16</v>
      </c>
      <c r="JX3" s="102" t="s">
        <v>17</v>
      </c>
      <c r="JY3" s="102" t="s">
        <v>11</v>
      </c>
      <c r="JZ3" s="102" t="s">
        <v>18</v>
      </c>
      <c r="KA3" s="102" t="s">
        <v>34</v>
      </c>
      <c r="KB3" s="12"/>
      <c r="KC3" s="12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2"/>
      <c r="KO3" s="12"/>
      <c r="KP3" s="101" t="s">
        <v>16</v>
      </c>
      <c r="KQ3" s="101" t="s">
        <v>17</v>
      </c>
      <c r="KR3" s="101" t="s">
        <v>11</v>
      </c>
      <c r="KS3" s="101" t="s">
        <v>18</v>
      </c>
      <c r="KT3" s="101" t="s">
        <v>34</v>
      </c>
      <c r="KU3" s="101" t="s">
        <v>16</v>
      </c>
      <c r="KV3" s="101" t="s">
        <v>17</v>
      </c>
      <c r="KW3" s="101" t="s">
        <v>11</v>
      </c>
      <c r="KX3" s="101" t="s">
        <v>18</v>
      </c>
      <c r="KY3" s="101" t="s">
        <v>34</v>
      </c>
      <c r="KZ3" s="101" t="s">
        <v>16</v>
      </c>
      <c r="LA3" s="101" t="s">
        <v>17</v>
      </c>
      <c r="LB3" s="101" t="s">
        <v>11</v>
      </c>
      <c r="LC3" s="101" t="s">
        <v>18</v>
      </c>
      <c r="LD3" s="101" t="s">
        <v>34</v>
      </c>
      <c r="LE3" s="101" t="s">
        <v>16</v>
      </c>
      <c r="LF3" s="101" t="s">
        <v>17</v>
      </c>
      <c r="LG3" s="101" t="s">
        <v>11</v>
      </c>
      <c r="LH3" s="101" t="s">
        <v>18</v>
      </c>
      <c r="LI3" s="101" t="s">
        <v>34</v>
      </c>
      <c r="LJ3" s="10"/>
      <c r="LK3" s="10"/>
      <c r="LL3" s="9"/>
      <c r="LM3" s="9"/>
      <c r="LN3" s="9"/>
      <c r="LO3" s="9"/>
      <c r="LP3" s="9"/>
      <c r="LQ3" s="9"/>
      <c r="LR3" s="9"/>
      <c r="LS3" s="9"/>
      <c r="LT3" s="9"/>
      <c r="LU3" s="9"/>
      <c r="LV3" s="10"/>
      <c r="LW3" s="10"/>
      <c r="LX3" s="102" t="s">
        <v>16</v>
      </c>
      <c r="LY3" s="102" t="s">
        <v>17</v>
      </c>
      <c r="LZ3" s="102" t="s">
        <v>11</v>
      </c>
      <c r="MA3" s="102" t="s">
        <v>18</v>
      </c>
      <c r="MB3" s="102" t="s">
        <v>34</v>
      </c>
      <c r="MC3" s="102" t="s">
        <v>16</v>
      </c>
      <c r="MD3" s="102" t="s">
        <v>17</v>
      </c>
      <c r="ME3" s="102" t="s">
        <v>11</v>
      </c>
      <c r="MF3" s="102" t="s">
        <v>18</v>
      </c>
      <c r="MG3" s="102" t="s">
        <v>34</v>
      </c>
      <c r="MH3" s="102" t="s">
        <v>16</v>
      </c>
      <c r="MI3" s="102" t="s">
        <v>17</v>
      </c>
      <c r="MJ3" s="102" t="s">
        <v>11</v>
      </c>
      <c r="MK3" s="102" t="s">
        <v>18</v>
      </c>
      <c r="ML3" s="102" t="s">
        <v>34</v>
      </c>
      <c r="MM3" s="102" t="s">
        <v>16</v>
      </c>
      <c r="MN3" s="102" t="s">
        <v>17</v>
      </c>
      <c r="MO3" s="102" t="s">
        <v>11</v>
      </c>
      <c r="MP3" s="102" t="s">
        <v>18</v>
      </c>
      <c r="MQ3" s="102" t="s">
        <v>34</v>
      </c>
      <c r="MR3" s="12"/>
      <c r="MS3" s="12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2"/>
      <c r="NE3" s="12"/>
      <c r="NF3" s="101" t="s">
        <v>16</v>
      </c>
      <c r="NG3" s="101" t="s">
        <v>17</v>
      </c>
      <c r="NH3" s="101" t="s">
        <v>11</v>
      </c>
      <c r="NI3" s="101" t="s">
        <v>18</v>
      </c>
      <c r="NJ3" s="101" t="s">
        <v>34</v>
      </c>
      <c r="NK3" s="101" t="s">
        <v>16</v>
      </c>
      <c r="NL3" s="101" t="s">
        <v>17</v>
      </c>
      <c r="NM3" s="101" t="s">
        <v>11</v>
      </c>
      <c r="NN3" s="101" t="s">
        <v>18</v>
      </c>
      <c r="NO3" s="101" t="s">
        <v>34</v>
      </c>
      <c r="NP3" s="101" t="s">
        <v>16</v>
      </c>
      <c r="NQ3" s="101" t="s">
        <v>17</v>
      </c>
      <c r="NR3" s="101" t="s">
        <v>11</v>
      </c>
      <c r="NS3" s="101" t="s">
        <v>18</v>
      </c>
      <c r="NT3" s="101" t="s">
        <v>34</v>
      </c>
      <c r="NU3" s="101" t="s">
        <v>16</v>
      </c>
      <c r="NV3" s="101" t="s">
        <v>17</v>
      </c>
      <c r="NW3" s="101" t="s">
        <v>11</v>
      </c>
      <c r="NX3" s="101" t="s">
        <v>18</v>
      </c>
      <c r="NY3" s="101" t="s">
        <v>34</v>
      </c>
      <c r="NZ3" s="10"/>
      <c r="OA3" s="10"/>
      <c r="OB3" s="9"/>
      <c r="OC3" s="9"/>
      <c r="OD3" s="9"/>
      <c r="OE3" s="9"/>
      <c r="OF3" s="9"/>
      <c r="OG3" s="9"/>
      <c r="OH3" s="9"/>
      <c r="OI3" s="9"/>
      <c r="OJ3" s="9"/>
      <c r="OK3" s="9"/>
      <c r="OL3" s="10"/>
      <c r="OM3" s="10"/>
      <c r="ON3" s="102" t="s">
        <v>16</v>
      </c>
      <c r="OO3" s="102" t="s">
        <v>17</v>
      </c>
      <c r="OP3" s="102" t="s">
        <v>11</v>
      </c>
      <c r="OQ3" s="102" t="s">
        <v>18</v>
      </c>
      <c r="OR3" s="102" t="s">
        <v>34</v>
      </c>
      <c r="OS3" s="102" t="s">
        <v>16</v>
      </c>
      <c r="OT3" s="102" t="s">
        <v>17</v>
      </c>
      <c r="OU3" s="102" t="s">
        <v>11</v>
      </c>
      <c r="OV3" s="102" t="s">
        <v>18</v>
      </c>
      <c r="OW3" s="102" t="s">
        <v>34</v>
      </c>
      <c r="OX3" s="102" t="s">
        <v>16</v>
      </c>
      <c r="OY3" s="102" t="s">
        <v>17</v>
      </c>
      <c r="OZ3" s="102" t="s">
        <v>11</v>
      </c>
      <c r="PA3" s="102" t="s">
        <v>18</v>
      </c>
      <c r="PB3" s="102" t="s">
        <v>34</v>
      </c>
      <c r="PC3" s="102" t="s">
        <v>16</v>
      </c>
      <c r="PD3" s="102" t="s">
        <v>17</v>
      </c>
      <c r="PE3" s="102" t="s">
        <v>11</v>
      </c>
      <c r="PF3" s="102" t="s">
        <v>18</v>
      </c>
      <c r="PG3" s="102" t="s">
        <v>34</v>
      </c>
      <c r="PH3" s="12"/>
      <c r="PI3" s="12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2"/>
      <c r="PU3" s="12"/>
      <c r="PV3" s="101" t="s">
        <v>16</v>
      </c>
      <c r="PW3" s="101" t="s">
        <v>17</v>
      </c>
      <c r="PX3" s="101" t="s">
        <v>11</v>
      </c>
      <c r="PY3" s="101" t="s">
        <v>18</v>
      </c>
      <c r="PZ3" s="101" t="s">
        <v>34</v>
      </c>
      <c r="QA3" s="101" t="s">
        <v>16</v>
      </c>
      <c r="QB3" s="101" t="s">
        <v>17</v>
      </c>
      <c r="QC3" s="101" t="s">
        <v>11</v>
      </c>
      <c r="QD3" s="101" t="s">
        <v>18</v>
      </c>
      <c r="QE3" s="101" t="s">
        <v>34</v>
      </c>
      <c r="QF3" s="101" t="s">
        <v>16</v>
      </c>
      <c r="QG3" s="101" t="s">
        <v>17</v>
      </c>
      <c r="QH3" s="101" t="s">
        <v>11</v>
      </c>
      <c r="QI3" s="101" t="s">
        <v>18</v>
      </c>
      <c r="QJ3" s="101" t="s">
        <v>34</v>
      </c>
      <c r="QK3" s="101" t="s">
        <v>16</v>
      </c>
      <c r="QL3" s="101" t="s">
        <v>17</v>
      </c>
      <c r="QM3" s="101" t="s">
        <v>11</v>
      </c>
      <c r="QN3" s="101" t="s">
        <v>18</v>
      </c>
      <c r="QO3" s="101" t="s">
        <v>34</v>
      </c>
      <c r="QP3" s="10"/>
      <c r="QQ3" s="10"/>
      <c r="QR3" s="9"/>
      <c r="QS3" s="9"/>
      <c r="QT3" s="9"/>
      <c r="QU3" s="9"/>
      <c r="QV3" s="9"/>
      <c r="QW3" s="9"/>
      <c r="QX3" s="9"/>
      <c r="QY3" s="9"/>
      <c r="QZ3" s="9"/>
      <c r="RA3" s="9"/>
      <c r="RB3" s="10"/>
      <c r="RC3" s="10"/>
      <c r="RD3" s="102" t="s">
        <v>16</v>
      </c>
      <c r="RE3" s="102" t="s">
        <v>17</v>
      </c>
      <c r="RF3" s="102" t="s">
        <v>11</v>
      </c>
      <c r="RG3" s="102" t="s">
        <v>18</v>
      </c>
      <c r="RH3" s="102" t="s">
        <v>34</v>
      </c>
      <c r="RI3" s="102" t="s">
        <v>16</v>
      </c>
      <c r="RJ3" s="102" t="s">
        <v>17</v>
      </c>
      <c r="RK3" s="102" t="s">
        <v>11</v>
      </c>
      <c r="RL3" s="102" t="s">
        <v>18</v>
      </c>
      <c r="RM3" s="102" t="s">
        <v>34</v>
      </c>
      <c r="RN3" s="102" t="s">
        <v>16</v>
      </c>
      <c r="RO3" s="102" t="s">
        <v>17</v>
      </c>
      <c r="RP3" s="102" t="s">
        <v>11</v>
      </c>
      <c r="RQ3" s="102" t="s">
        <v>18</v>
      </c>
      <c r="RR3" s="102" t="s">
        <v>34</v>
      </c>
      <c r="RS3" s="102" t="s">
        <v>16</v>
      </c>
      <c r="RT3" s="102" t="s">
        <v>17</v>
      </c>
      <c r="RU3" s="102" t="s">
        <v>11</v>
      </c>
      <c r="RV3" s="102" t="s">
        <v>18</v>
      </c>
      <c r="RW3" s="102" t="s">
        <v>34</v>
      </c>
      <c r="RX3" s="12"/>
      <c r="RY3" s="12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2"/>
      <c r="SK3" s="12"/>
      <c r="SL3" s="101" t="s">
        <v>16</v>
      </c>
      <c r="SM3" s="101" t="s">
        <v>17</v>
      </c>
      <c r="SN3" s="101" t="s">
        <v>11</v>
      </c>
      <c r="SO3" s="101" t="s">
        <v>18</v>
      </c>
      <c r="SP3" s="101" t="s">
        <v>34</v>
      </c>
      <c r="SQ3" s="101" t="s">
        <v>16</v>
      </c>
      <c r="SR3" s="101" t="s">
        <v>17</v>
      </c>
      <c r="SS3" s="101" t="s">
        <v>11</v>
      </c>
      <c r="ST3" s="101" t="s">
        <v>18</v>
      </c>
      <c r="SU3" s="101" t="s">
        <v>34</v>
      </c>
      <c r="SV3" s="101" t="s">
        <v>16</v>
      </c>
      <c r="SW3" s="101" t="s">
        <v>17</v>
      </c>
      <c r="SX3" s="101" t="s">
        <v>11</v>
      </c>
      <c r="SY3" s="101" t="s">
        <v>18</v>
      </c>
      <c r="SZ3" s="101" t="s">
        <v>34</v>
      </c>
      <c r="TA3" s="101" t="s">
        <v>60</v>
      </c>
      <c r="TB3" s="101"/>
      <c r="TC3" s="101"/>
      <c r="TD3" s="101"/>
      <c r="TE3" s="101"/>
      <c r="TF3" s="101"/>
      <c r="TG3" s="101"/>
      <c r="TH3" s="101"/>
      <c r="TI3" s="101"/>
      <c r="TJ3" s="101"/>
      <c r="TK3" s="101"/>
      <c r="TL3" s="101"/>
    </row>
    <row r="4" spans="1:534" x14ac:dyDescent="0.2">
      <c r="A4" s="5" cm="1">
        <f t="array" ref="A4">IF(AND(F4&lt;&gt;"",G4&lt;&gt;""),SUMPRODUCT((F$4:F$6&lt;&gt;"")*(G$4:G$6&lt;&gt;"")*(E$4:E$6&gt;E4))+1,IF(G4&lt;&gt;"",SUMPRODUCT((H$4:H$6="No DD")*(E$4:E$6&gt;E4))+1+SUMPRODUCT((F$4:F$6&lt;&gt;"")*(G$4:G$6&lt;&gt;"")),""))</f>
        <v>1</v>
      </c>
      <c r="B4" s="6" t="s">
        <v>124</v>
      </c>
      <c r="C4" s="7" t="s">
        <v>9</v>
      </c>
      <c r="D4" s="18" t="s">
        <v>123</v>
      </c>
      <c r="E4" s="14">
        <f>SUM(J4,L4)</f>
        <v>0</v>
      </c>
      <c r="F4" s="3" t="str">
        <f>IF(OR(AND(AE4&gt;=AO$8,AE4&lt;&gt;"",AG4&gt;=AO$12,AG4&lt;&gt;"",AD4=""),AND(AH4&gt;=AO$8,AH4&lt;&gt;"",AJ4&gt;=AO$12,AJ4&lt;&gt;"",AD4=""),AND(AL4&gt;=AO$8,AL4&lt;&gt;"",AN4&gt;=AO$12,AN4&lt;&gt;"",AD4=""),AND(BF4&gt;=BP$8,BF4&lt;&gt;"",BH4&gt;=BP$12,BH4&lt;&gt;"",BE4=""),AND(BI4&gt;=BP$8,BI4&lt;&gt;"",BK4&gt;=BP$12,BK4&lt;&gt;"",BE4=""),AND(BM4&gt;=BP$8,BM4&lt;&gt;"",BO4&gt;=BP$12,BO4&lt;&gt;"",BE4=""),AND(CG4&gt;=CQ$8,CG4&lt;&gt;"",CI4&gt;=CQ$12,CI4&lt;&gt;"",CF4=""),AND(CJ4&gt;=CQ$8,CJ4&lt;&gt;"",CL4&gt;=CQ$12,CL4&lt;&gt;"",CF4=""),AND(CN4&gt;=CQ$8,CN4&lt;&gt;"",CP4&gt;=CQ$12,CP4&lt;&gt;"",CF4=""),AND(DN4&gt;=EA$8,DN4&lt;&gt;"",DP4&gt;=EA$12,DP4&lt;&gt;""),AND(DQ4&gt;=EA$8,DQ4&lt;&gt;"",DS4&gt;=EA$12,DS4&lt;&gt;""),AND(DU4&gt;=EA$8,DU4&lt;&gt;"",DW4&gt;=EA$12,DW4&lt;&gt;""),AND(DX4&gt;=EA$8,DX4&lt;&gt;"",DZ4&gt;=EA$12,DZ4&lt;&gt;""),AND(EV4&gt;=FI$8,EV4&lt;&gt;"",EX4&gt;=FI$12,EX4&lt;&gt;""),AND(EY4&gt;=FI$8,EY4&lt;&gt;"",FA4&gt;=FI$12,FA4&lt;&gt;""),AND(FC4&gt;=FI$8,FC4&lt;&gt;"",FE4&gt;=FI$12,FE4&lt;&gt;""),AND(FF4&gt;=FI$8,FF4&lt;&gt;"",FH4&gt;=FI$12,FH4&lt;&gt;""),AND(GD4&gt;=GQ$8,GD4&lt;&gt;"",GF4&gt;=GQ$12,GF4&lt;&gt;""),AND(GG4&gt;=GQ$8,GG4&lt;&gt;"",GI4&gt;=GQ$12,GI4&lt;&gt;""),AND(GK4&gt;=GQ$8,GK4&lt;&gt;"",GM4&gt;=GQ$12,GM4&lt;&gt;""),AND(GN4&gt;=GQ$8,GN4&lt;&gt;"",GP4&gt;=GQ$12,GP4&lt;&gt;""),AND(HL4&gt;=HY$8,HL4&lt;&gt;"",HN4&gt;=HY$12,HN4&lt;&gt;""),AND(HO4&gt;=HY$8,HO4&lt;&gt;"",HQ4&gt;=HY$12,HQ4&lt;&gt;""),AND(HS4&gt;=HY$8,HS4&lt;&gt;"",HU4&gt;=HY$12,HU4&lt;&gt;""),AND(HV4&gt;=HY$8,HV4&lt;&gt;"",HX4&gt;=HY$12,HX4&lt;&gt;""),AND(IT4&gt;=JG$8,IT4&lt;&gt;"",IV4&gt;=JG$12,IV4&lt;&gt;""),AND(IW4&gt;=JG$8,IW4&lt;&gt;"",IY4&gt;=JG$12,IY4&lt;&gt;""),AND(JA4&gt;=JG$8,JA4&lt;&gt;"",JC4&gt;=JG$12,JC4&lt;&gt;""),AND(JD4&gt;=JG$8,JD4&lt;&gt;"",JF4&gt;=JG$12,JF4&lt;&gt;""),AND(KB4&gt;=KO$8,KB4&lt;&gt;"",KD4&gt;=KO$12,KD4&lt;&gt;""),AND(KE4&gt;=KO$8,KE4&lt;&gt;"",KG4&gt;=KO$12,KG4&lt;&gt;""),AND(KI4&gt;=KO$8,KI4&lt;&gt;"",KK4&gt;=KO$12,KK4&lt;&gt;""),AND(KL4&gt;=KO$8,KL4&lt;&gt;"",KN4&gt;=KO$12,KN4&lt;&gt;""),AND(LJ4&gt;=LW$8,LJ4&lt;&gt;"",LL4&gt;=LW$12,LL4&lt;&gt;""),AND(LM4&gt;=LW$8,LM4&lt;&gt;"",LO4&gt;=LW$12,LO4&lt;&gt;""),AND(LQ4&gt;=LW$8,LQ4&lt;&gt;"",LS4&gt;=LW$12,LS4&lt;&gt;""),AND(LT4&gt;=LW$8,LT4&lt;&gt;"",LV4&gt;=LW$12,LV4&lt;&gt;""),AND(MR4&gt;=NE$8,MR4&lt;&gt;"",MT4&gt;=NE$12,MT4&lt;&gt;""),AND(MU4&gt;=NE$8,MU4&lt;&gt;"",MW4&gt;=NE$12,MW4&lt;&gt;""),AND(MY4&gt;=NE$8,MY4&lt;&gt;"",NA4&gt;=NE$12,NA4&lt;&gt;""),AND(NB4&gt;=NE$8,NB4&lt;&gt;"",ND4&gt;=NE$12,ND4&lt;&gt;""),AND(NZ4&gt;=OM$8,NZ4&lt;&gt;"",OB4&gt;=OM$12,OB4&lt;&gt;""),AND(OC4&gt;=OM$8,OC4&lt;&gt;"",OE4&gt;=OM$12,OE4&lt;&gt;""),AND(OG4&gt;=OM$8,OG4&lt;&gt;"",OI4&gt;=OM$12,OI4&lt;&gt;""),AND(OJ4&gt;=OM$8,OJ4&lt;&gt;"",OL4&gt;=OM$12,OL4&lt;&gt;""),AND(PH4&gt;=PU$8,PH4&lt;&gt;"",PJ4&gt;=PU$12,PJ4&lt;&gt;""),AND(PK4&gt;=PU$8,PK4&lt;&gt;"",PM4&gt;=PU$12,PM4&lt;&gt;""),AND(PO4&gt;=PU$8,PO4&lt;&gt;"",PQ4&gt;=PU$12,PQ4&lt;&gt;""),AND(PR4&gt;=PU$8,PR4&lt;&gt;"",PT4&gt;=PU$12,PT4&lt;&gt;""),AND(QP4&gt;=RC$8,QP4&lt;&gt;"",QR4&gt;=RC$12,QR4&lt;&gt;""),AND(QS4&gt;=RC$8,QS4&lt;&gt;"",QU4&gt;=RC$12,QU4&lt;&gt;""),AND(QW4&gt;=RC$8,QW4&lt;&gt;"",QY4&gt;=RC$12,QY4&lt;&gt;""),AND(QZ4&gt;=RC$8,QZ4&lt;&gt;"",RB4&gt;=RC$12,RB4&lt;&gt;""),AND(RX4&gt;=SK$8,RX4&lt;&gt;"",RZ4&gt;=SK$12,RZ4&lt;&gt;""),AND(SA4&gt;=SK$8,SA4&lt;&gt;"",SC4&gt;=SK$12,SC4&lt;&gt;""),AND(SE4&gt;=SK$8,SE4&lt;&gt;"",SG4&gt;=SK$12,SG4&lt;&gt;""),AND(SH4&gt;=SK$8,SH4&lt;&gt;"",SJ4&gt;=SK$12,SJ4&lt;&gt;"")),"P","")</f>
        <v>P</v>
      </c>
      <c r="G4" s="3" t="str">
        <f>IF(OR(AND(AG4&gt;=AO$12,AG4&lt;&gt;"",AD4=""),AND(AJ4&gt;=AO$12,AJ4&lt;&gt;"",AD4=""),AND(AN4&gt;=AO$12,AN4&lt;&gt;"",AD4=""),AND(BH4&gt;=BP$12,BH4&lt;&gt;"",BE4=""),AND(BK4&gt;=BP$12,BK4&lt;&gt;"",BE4=""),AND(BO4&gt;=BP$12,BO4&lt;&gt;"",BE4=""),AND(CI4&gt;=CQ$12,CI4&lt;&gt;"",CF4=""),AND(CL4&gt;=CQ$12,CL4&lt;&gt;"",CF4=""),AND(CP4&gt;=CQ$12,CP4&lt;&gt;"",CF4=""),AND(DP4&gt;=EA$12,DP4&lt;&gt;""),AND(DS4&gt;=EA$12,DS4&lt;&gt;""),AND(DW4&gt;=EA$12,DW4&lt;&gt;""),AND(DZ4&gt;=EA$12,DZ4&lt;&gt;""),AND(EX4&gt;=FI$12,EX4&lt;&gt;""),AND(FA4&gt;=FI$12,FA4&lt;&gt;""),AND(FE4&gt;=FI$12,FE4&lt;&gt;""),AND(FH4&gt;=FI$12,FH4&lt;&gt;""),AND(GF4&gt;=GQ$12,GF4&lt;&gt;""),AND(GI4&gt;=GQ$12,GI4&lt;&gt;""),AND(GM4&gt;=GQ$12,GM4&lt;&gt;""),AND(GP4&gt;=GQ$12,GP4&lt;&gt;""),AND(HN4&gt;=HY$12,HN4&lt;&gt;""),AND(HQ4&gt;=HY$12,HQ4&lt;&gt;""),AND(HU4&gt;=HY$12,HU4&lt;&gt;""),AND(HX4&gt;=HY$12,HX4&lt;&gt;""),AND(IV4&gt;=JG$12,IV4&lt;&gt;""),AND(IY4&gt;=JG$12,IY4&lt;&gt;""),AND(JC4&gt;=JG$12,JC4&lt;&gt;""),AND(JF4&gt;=JG$12,JF4&lt;&gt;""),AND(KD4&gt;=KO$12,KD4&lt;&gt;""),AND(KG4&gt;=KO$12,KG4&lt;&gt;""),AND(KK4&gt;=KO$12,KK4&lt;&gt;""),AND(KN4&gt;=KO$12,KN4&lt;&gt;""),AND(LL4&gt;=LW$12,LL4&lt;&gt;""),AND(LO4&gt;=LW$12,LO4&lt;&gt;""),AND(LS4&gt;=LW$12,LS4&lt;&gt;""),AND(LV4&gt;=LW$12,LV4&lt;&gt;""),AND(MT4&gt;=NE$12,MT4&lt;&gt;""),AND(MW4&gt;=NE$12,MW4&lt;&gt;""),AND(NA4&gt;=NE$12,NA4&lt;&gt;""),AND(ND4&gt;=NE$12,ND4&lt;&gt;""),AND(OB4&gt;=OM$12,OB4&lt;&gt;""),AND(OE4&gt;=OM$12,OE4&lt;&gt;""),AND(OI4&gt;=OM$12,OI4&lt;&gt;""),AND(OL4&gt;=OM$12,OL4&lt;&gt;""),AND(PJ4&gt;=PU$12,PJ4&lt;&gt;""),AND(PM4&gt;=PU$12,PM4&lt;&gt;""),AND(PQ4&gt;=PU$12,PQ4&lt;&gt;""),AND(PT4&gt;=PU$12,PT4&lt;&gt;""),AND(QR4&gt;=RC$12,QR4&lt;&gt;""),AND(QU4&gt;=RC$12,QU4&lt;&gt;""),AND(QY4&gt;=RC$12,QY4&lt;&gt;""),AND(RB4&gt;=RC$12,RB4&lt;&gt;""),AND(RZ4&gt;=SK$12,RZ4&lt;&gt;""),AND(SC4&gt;=SK$12,SC4&lt;&gt;""),AND(SG4&gt;=SK$12,SG4&lt;&gt;""),AND(SJ4&gt;=SK$12,SJ4&lt;&gt;"")),"P","")</f>
        <v>P</v>
      </c>
      <c r="H4" s="70" t="str">
        <f>IF(AND(G4="P",F4=""),"No DD",IF(OR(AND(AE4&gt;=AO$11,AE4&lt;&gt;"",AG4&gt;=AO$15,AG4&lt;&gt;"",AD4=""),AND(AH4&gt;=AO$11,AH4&lt;&gt;"",AJ4&gt;=AO$15,AJ4&lt;&gt;"",AD4=""),AND(AL4&gt;=AO$11,AL4&lt;&gt;"",AN4&gt;=AO$15,AN4&lt;&gt;"",AD4=""),AND(BF4&gt;=BP$11,BF4&lt;&gt;"",BH4&gt;=BP$15,BH4&lt;&gt;"",BE4=""),AND(BI4&gt;=BP$11,BI4&lt;&gt;"",BK4&gt;=BP$15,BK4&lt;&gt;"",BE4=""),AND(BM4&gt;=BP$11,BM4&lt;&gt;"",BO4&gt;=BP$15,BO4&lt;&gt;"",BE4=""),AND(CG4&gt;=CQ$11,CG4&lt;&gt;"",CI4&gt;=CQ$15,CI4&lt;&gt;"",CF4=""),AND(CJ4&gt;=CQ$11,CJ4&lt;&gt;"",CL4&gt;=CQ$15,CL4&lt;&gt;"",CF4=""),AND(CN4&gt;=CQ$11,CN4&lt;&gt;"",CP4&gt;=CQ$15,CP4&lt;&gt;"",CF4=""),AND(DN4&gt;=EA$11,DN4&lt;&gt;"",DP4&gt;=EA$15,DP4&lt;&gt;""),AND(DQ4&gt;=EA$11,DQ4&lt;&gt;"",DS4&gt;=EA$15,DS4&lt;&gt;""),AND(DU4&gt;=EA$11,DU4&lt;&gt;"",DW4&gt;=EA$15,DW4&lt;&gt;""),AND(DX4&gt;=EA$11,DX4&lt;&gt;"",DZ4&gt;=EA$15,DZ4&lt;&gt;""),AND(EV4&gt;=FI$11,EV4&lt;&gt;"",EX4&gt;=FI$15,EX4&lt;&gt;""),AND(EY4&gt;=FI$11,EY4&lt;&gt;"",FA4&gt;=FI$15,FA4&lt;&gt;""),AND(FC4&gt;=FI$11,FC4&lt;&gt;"",FE4&gt;=FI$15,FE4&lt;&gt;""),AND(FF4&gt;=FI$11,FF4&lt;&gt;"",FH4&gt;=FI$15,FH4&lt;&gt;""),AND(GD4&gt;=GQ$11,GD4&lt;&gt;"",GF4&gt;=GQ$15,GF4&lt;&gt;""),AND(GG4&gt;=GQ$11,GG4&lt;&gt;"",GI4&gt;=GQ$15,GI4&lt;&gt;""),AND(GK4&gt;=GQ$11,GK4&lt;&gt;"",GM4&gt;=GQ$15,GM4&lt;&gt;""),AND(GN4&gt;=GQ$11,GN4&lt;&gt;"",GP4&gt;=GQ$15,GP4&lt;&gt;""),AND(HL4&gt;=HY$11,HL4&lt;&gt;"",HN4&gt;=HY$15,HN4&lt;&gt;""),AND(HO4&gt;=HY$11,HO4&lt;&gt;"",HQ4&gt;=HY$15,HQ4&lt;&gt;""),AND(HS4&gt;=HY$11,HS4&lt;&gt;"",HU4&gt;=HY$15,HU4&lt;&gt;""),AND(HV4&gt;=HY$11,HV4&lt;&gt;"",HX4&gt;=HY$15,HX4&lt;&gt;""),AND(IT4&gt;=JG$11,IT4&lt;&gt;"",IV4&gt;=JG$15,IV4&lt;&gt;""),AND(IW4&gt;=JG$11,IW4&lt;&gt;"",IY4&gt;=JG$15,IY4&lt;&gt;""),AND(JA4&gt;=JG$11,JA4&lt;&gt;"",JC4&gt;=JG$15,JC4&lt;&gt;""),AND(JD4&gt;=JG$11,JD4&lt;&gt;"",JF4&gt;=JG$15,JF4&lt;&gt;""),AND(KB4&gt;=KO$11,KB4&lt;&gt;"",KD4&gt;=KO$15,KD4&lt;&gt;""),AND(KE4&gt;=KO$11,KE4&lt;&gt;"",KG4&gt;=KO$15,KG4&lt;&gt;""),AND(KI4&gt;=KO$11,KI4&lt;&gt;"",KK4&gt;=KO$15,KK4&lt;&gt;""),AND(KL4&gt;=KO$11,KL4&lt;&gt;"",KN4&gt;=KO$15,KN4&lt;&gt;""),AND(LJ4&gt;=LW$11,LJ4&lt;&gt;"",LL4&gt;=LW$15,LL4&lt;&gt;""),AND(LM4&gt;=LW$11,LM4&lt;&gt;"",LO4&gt;=LW$15,LO4&lt;&gt;""),AND(LQ4&gt;=LW$11,LQ4&lt;&gt;"",LS4&gt;=LW$15,LS4&lt;&gt;""),AND(LT4&gt;=LW$11,LT4&lt;&gt;"",LV4&gt;=LW$15,LV4&lt;&gt;""),AND(MR4&gt;=NE$11,MR4&lt;&gt;"",MT4&gt;=NE$15,MT4&lt;&gt;""),AND(MU4&gt;=NE$11,MU4&lt;&gt;"",MW4&gt;=NE$15,MW4&lt;&gt;""),AND(MY4&gt;=NE$11,MY4&lt;&gt;"",NA4&gt;=NE$15,NA4&lt;&gt;""),AND(NB4&gt;=NE$11,NB4&lt;&gt;"",ND4&gt;=NE$15,ND4&lt;&gt;""),AND(NZ4&gt;=OM$11,NZ4&lt;&gt;"",OB4&gt;=OM$15,OB4&lt;&gt;""),AND(OC4&gt;=OM$11,OC4&lt;&gt;"",OE4&gt;=OM$15,OE4&lt;&gt;""),AND(OG4&gt;=OM$11,OG4&lt;&gt;"",OI4&gt;=OM$15,OI4&lt;&gt;""),AND(OJ4&gt;=OM$11,OJ4&lt;&gt;"",OL4&gt;=OM$15,OL4&lt;&gt;""),AND(PH4&gt;=PU$11,PH4&lt;&gt;"",PJ4&gt;=PU$15,PJ4&lt;&gt;""),AND(PK4&gt;=PU$11,PK4&lt;&gt;"",PM4&gt;=PU$15,PM4&lt;&gt;""),AND(PO4&gt;=PU$11,PO4&lt;&gt;"",PQ4&gt;=PU$15,PQ4&lt;&gt;""),AND(PR4&gt;=PU$11,PR4&lt;&gt;"",PT4&gt;=PU$15,PT4&lt;&gt;""),AND(QP4&gt;=RC$11,QP4&lt;&gt;"",QR4&gt;=RC$15,QR4&lt;&gt;""),AND(QS4&gt;=RC$11,QS4&lt;&gt;"",QU4&gt;=RC$15,QU4&lt;&gt;""),AND(QW4&gt;=RC$11,QW4&lt;&gt;"",QY4&gt;=RC$15,QY4&lt;&gt;""),AND(QZ4&gt;=RC$11,QZ4&lt;&gt;"",RB4&gt;=RC$15,RB4&lt;&gt;""),AND(RX4&gt;=SK$11,RX4&lt;&gt;"",RZ4&gt;=SK$15,RZ4&lt;&gt;""),AND(SA4&gt;=SK$11,SA4&lt;&gt;"",SC4&gt;=SK$15,SC4&lt;&gt;""),AND(SE4&gt;=SK$11,SE4&lt;&gt;"",SG4&gt;=SK$15,SG4&lt;&gt;""),AND(SH4&gt;=SK$11,SH4&lt;&gt;"",SJ4&gt;=SK$15,SJ4&lt;&gt;"")),"Merit",IF(OR(AND(AE4&gt;=AO$10,AE4&lt;&gt;"",AG4&gt;=AO$14,AG4&lt;&gt;"",AD4=""),AND(AH4&gt;=AO$10,AH4&lt;&gt;"",AJ4&gt;=AO$14,AJ4&lt;&gt;"",AD4=""),AND(AL4&gt;=AO$10,AL4&lt;&gt;"",AN4&gt;=AO$14,AN4&lt;&gt;"",AD4=""),AND(BF4&gt;=BP$10,BF4&lt;&gt;"",BH4&gt;=BP$14,BH4&lt;&gt;"",BE4=""),AND(BI4&gt;=BP$10,BI4&lt;&gt;"",BK4&gt;=BP$14,BK4&lt;&gt;"",BE4=""),AND(BM4&gt;=BP$10,BM4&lt;&gt;"",BO4&gt;=BP$14,BO4&lt;&gt;"",BE4=""),AND(CG4&gt;=CQ$10,CG4&lt;&gt;"",CI4&gt;=CQ$14,CI4&lt;&gt;"",CF4=""),AND(CJ4&gt;=CQ$10,CJ4&lt;&gt;"",CL4&gt;=CQ$14,CL4&lt;&gt;"",CF4=""),AND(CN4&gt;=CQ$10,CN4&lt;&gt;"",CP4&gt;=CQ$14,CP4&lt;&gt;"",CF4=""),AND(DN4&gt;=EA$10,DN4&lt;&gt;"",DP4&gt;=EA$14,DP4&lt;&gt;""),AND(DQ4&gt;=EA$10,DQ4&lt;&gt;"",DS4&gt;=EA$14,DS4&lt;&gt;""),AND(DU4&gt;=EA$10,DU4&lt;&gt;"",DW4&gt;=EA$14,DW4&lt;&gt;""),AND(DX4&gt;=EA$10,DX4&lt;&gt;"",DZ4&gt;=EA$14,DZ4&lt;&gt;""),AND(EV4&gt;=FI$10,EV4&lt;&gt;"",EX4&gt;=FI$14,EX4&lt;&gt;""),AND(EY4&gt;=FI$10,EY4&lt;&gt;"",FA4&gt;=FI$14,FA4&lt;&gt;""),AND(FC4&gt;=FI$10,FC4&lt;&gt;"",FE4&gt;=FI$14,FE4&lt;&gt;""),AND(FF4&gt;=FI$10,FF4&lt;&gt;"",FH4&gt;=FI$14,FH4&lt;&gt;""),AND(GD4&gt;=GQ$10,GD4&lt;&gt;"",GF4&gt;=GQ$14,GF4&lt;&gt;""),AND(GG4&gt;=GQ$10,GG4&lt;&gt;"",GI4&gt;=GQ$14,GI4&lt;&gt;""),AND(GK4&gt;=GQ$10,GK4&lt;&gt;"",GM4&gt;=GQ$14,GM4&lt;&gt;""),AND(GN4&gt;=GQ$10,GN4&lt;&gt;"",GP4&gt;=GQ$14,GP4&lt;&gt;""),AND(HL4&gt;=HY$10,HL4&lt;&gt;"",HN4&gt;=HY$14,HN4&lt;&gt;""),AND(HO4&gt;=HY$10,HO4&lt;&gt;"",HQ4&gt;=HY$14,HQ4&lt;&gt;""),AND(HS4&gt;=HY$10,HS4&lt;&gt;"",HU4&gt;=HY$14,HU4&lt;&gt;""),AND(HV4&gt;=HY$10,HV4&lt;&gt;"",HX4&gt;=HY$14,HX4&lt;&gt;""),AND(IT4&gt;=JG$10,IT4&lt;&gt;"",IV4&gt;=JG$14,IV4&lt;&gt;""),AND(IW4&gt;=JG$10,IW4&lt;&gt;"",IY4&gt;=JG$14,IY4&lt;&gt;""),AND(JA4&gt;=JG$10,JA4&lt;&gt;"",JC4&gt;=JG$14,JC4&lt;&gt;""),AND(JD4&gt;=JG$10,JD4&lt;&gt;"",JF4&gt;=JG$14,JF4&lt;&gt;""),AND(KB4&gt;=KO$10,KB4&lt;&gt;"",KD4&gt;=KO$14,KD4&lt;&gt;""),AND(KE4&gt;=KO$10,KE4&lt;&gt;"",KG4&gt;=KO$14,KG4&lt;&gt;""),AND(KI4&gt;=KO$10,KI4&lt;&gt;"",KK4&gt;=KO$14,KK4&lt;&gt;""),AND(KL4&gt;=KO$10,KL4&lt;&gt;"",KN4&gt;=KO$14,KN4&lt;&gt;""),AND(LJ4&gt;=LW$10,LJ4&lt;&gt;"",LL4&gt;=LW$14,LL4&lt;&gt;""),AND(LM4&gt;=LW$10,LM4&lt;&gt;"",LO4&gt;=LW$14,LO4&lt;&gt;""),AND(LQ4&gt;=LW$10,LQ4&lt;&gt;"",LS4&gt;=LW$14,LS4&lt;&gt;""),AND(LT4&gt;=LW$10,LT4&lt;&gt;"",LV4&gt;=LW$14,LV4&lt;&gt;""),AND(MR4&gt;=NE$10,MR4&lt;&gt;"",MT4&gt;=NE$14,MT4&lt;&gt;""),AND(MU4&gt;=NE$10,MU4&lt;&gt;"",MW4&gt;=NE$14,MW4&lt;&gt;""),AND(MY4&gt;=NE$10,MY4&lt;&gt;"",NA4&gt;=NE$14,NA4&lt;&gt;""),AND(NB4&gt;=NE$10,NB4&lt;&gt;"",ND4&gt;=NE$14,ND4&lt;&gt;""),AND(NZ4&gt;=OM$10,NZ4&lt;&gt;"",OB4&gt;=OM$14,OB4&lt;&gt;""),AND(OC4&gt;=OM$10,OC4&lt;&gt;"",OE4&gt;=OM$14,OE4&lt;&gt;""),AND(OG4&gt;=OM$10,OG4&lt;&gt;"",OI4&gt;=OM$14,OI4&lt;&gt;""),AND(OJ4&gt;=OM$10,OJ4&lt;&gt;"",OL4&gt;=OM$14,OL4&lt;&gt;""),AND(PH4&gt;=PU$10,PH4&lt;&gt;"",PJ4&gt;=PU$14,PJ4&lt;&gt;""),AND(PK4&gt;=PU$10,PK4&lt;&gt;"",PM4&gt;=PU$14,PM4&lt;&gt;""),AND(PO4&gt;=PU$10,PO4&lt;&gt;"",PQ4&gt;=PU$14,PQ4&lt;&gt;""),AND(PR4&gt;=PU$10,PR4&lt;&gt;"",PT4&gt;=PU$14,PT4&lt;&gt;""),AND(QP4&gt;=RC$10,QP4&lt;&gt;"",QR4&gt;=RC$14,QR4&lt;&gt;""),AND(QS4&gt;=RC$10,QS4&lt;&gt;"",QU4&gt;=RC$14,QU4&lt;&gt;""),AND(QW4&gt;=RC$10,QW4&lt;&gt;"",QY4&gt;=RC$14,QY4&lt;&gt;""),AND(QZ4&gt;=RC$10,QZ4&lt;&gt;"",RB4&gt;=RC$14,RB4&lt;&gt;""),AND(RX4&gt;=SK$10,RX4&lt;&gt;"",RZ4&gt;=SK$14,RZ4&lt;&gt;""),AND(SA4&gt;=SK$10,SA4&lt;&gt;"",SC4&gt;=SK$14,SC4&lt;&gt;""),AND(SE4&gt;=SK$10,SE4&lt;&gt;"",SG4&gt;=SK$14,SG4&lt;&gt;""),AND(SH4&gt;=SK$10,SH4&lt;&gt;"",SJ4&gt;=SK$14,SJ4&lt;&gt;"")),"Excellence",IF(I4="P","Worlds Team",IF(F4="P","National Team","")))))</f>
        <v>National Team</v>
      </c>
      <c r="I4" s="3" t="str">
        <f>IF(OR(AND(AE4&gt;=AO$9,AE4&lt;&gt;"",AG4&gt;=AO$13,AG4&lt;&gt;"",AD4=""),AND(AH4&gt;=AO$9,AH4&lt;&gt;"",AJ4&gt;=AO$13,AJ4&lt;&gt;"",AD4=""),AND(AL4&gt;=AO$9,AL4&lt;&gt;"",AN4&gt;=AO$13,AN4&lt;&gt;"",AD4=""),AND(BF4&gt;=BP$9,BF4&lt;&gt;"",BH4&gt;=BP$13,BH4&lt;&gt;"",BE4=""),AND(BI4&gt;=BP$9,BI4&lt;&gt;"",BK4&gt;=BP$13,BK4&lt;&gt;"",BE4=""),AND(BM4&gt;=BP$9,BM4&lt;&gt;"",BO4&gt;=BP$13,BO4&lt;&gt;"",BE4=""),AND(CG4&gt;=CQ$9,CG4&lt;&gt;"",CI4&gt;=CQ$13,CI4&lt;&gt;"",CF4=""),AND(CJ4&gt;=CQ$9,CJ4&lt;&gt;"",CL4&gt;=CQ$13,CL4&lt;&gt;"",CF4=""),AND(CN4&gt;=CQ$9,CN4&lt;&gt;"",CP4&gt;=CQ$13,CP4&lt;&gt;"",CF4=""),AND(DN4&gt;=EA$9,DN4&lt;&gt;"",DP4&gt;=EA$13,DP4&lt;&gt;""),AND(DQ4&gt;=EA$9,DQ4&lt;&gt;"",DS4&gt;=EA$13,DS4&lt;&gt;""),AND(DU4&gt;=EA$9,DU4&lt;&gt;"",DW4&gt;=EA$13,DW4&lt;&gt;""),AND(DX4&gt;=EA$9,DX4&lt;&gt;"",DZ4&gt;=EA$13,DZ4&lt;&gt;""),AND(EV4&gt;=FI$9,EV4&lt;&gt;"",EX4&gt;=FI$13,EX4&lt;&gt;""),AND(EY4&gt;=FI$9,EY4&lt;&gt;"",FA4&gt;=FI$13,FA4&lt;&gt;""),AND(FC4&gt;=FI$9,FC4&lt;&gt;"",FE4&gt;=FI$13,FE4&lt;&gt;""),AND(FF4&gt;=FI$9,FF4&lt;&gt;"",FH4&gt;=FI$13,FH4&lt;&gt;""),AND(GD4&gt;=GQ$9,GD4&lt;&gt;"",GF4&gt;=GQ$13,GF4&lt;&gt;""),AND(GG4&gt;=GQ$9,GG4&lt;&gt;"",GI4&gt;=GQ$13,GI4&lt;&gt;""),AND(GK4&gt;=GQ$9,GK4&lt;&gt;"",GM4&gt;=GQ$13,GM4&lt;&gt;""),AND(GN4&gt;=GQ$9,GN4&lt;&gt;"",GP4&gt;=GQ$13,GP4&lt;&gt;""),AND(HL4&gt;=HY$9,HL4&lt;&gt;"",HN4&gt;=HY$13,HN4&lt;&gt;""),AND(HO4&gt;=HY$9,HO4&lt;&gt;"",HQ4&gt;=HY$13,HQ4&lt;&gt;""),AND(HS4&gt;=HY$9,HS4&lt;&gt;"",HU4&gt;=HY$13,HU4&lt;&gt;""),AND(HV4&gt;=HY$9,HV4&lt;&gt;"",HX4&gt;=HY$13,HX4&lt;&gt;""),AND(IT4&gt;=JG$9,IT4&lt;&gt;"",IV4&gt;=JG$13,IV4&lt;&gt;""),AND(IW4&gt;=JG$9,IW4&lt;&gt;"",IY4&gt;=JG$13,IY4&lt;&gt;""),AND(JA4&gt;=JG$9,JA4&lt;&gt;"",JC4&gt;=JG$13,JC4&lt;&gt;""),AND(JD4&gt;=JG$9,JD4&lt;&gt;"",JF4&gt;=JG$13,JF4&lt;&gt;""),AND(KB4&gt;=KO$9,KB4&lt;&gt;"",KD4&gt;=KO$13,KD4&lt;&gt;""),AND(KE4&gt;=KO$9,KE4&lt;&gt;"",KG4&gt;=KO$13,KG4&lt;&gt;""),AND(KI4&gt;=KO$9,KI4&lt;&gt;"",KK4&gt;=KO$13,KK4&lt;&gt;""),AND(KL4&gt;=KO$9,KL4&lt;&gt;"",KN4&gt;=KO$13,KN4&lt;&gt;""),AND(LJ4&gt;=LW$9,LJ4&lt;&gt;"",LL4&gt;=LW$13,LL4&lt;&gt;""),AND(LM4&gt;=LW$9,LM4&lt;&gt;"",LO4&gt;=LW$13,LO4&lt;&gt;""),AND(LQ4&gt;=LW$9,LQ4&lt;&gt;"",LS4&gt;=LW$13,LS4&lt;&gt;""),AND(LT4&gt;=LW$9,LT4&lt;&gt;"",LV4&gt;=LW$13,LV4&lt;&gt;""),AND(MR4&gt;=NE$9,MR4&lt;&gt;"",MT4&gt;=NE$13,MT4&lt;&gt;""),AND(MU4&gt;=NE$9,MU4&lt;&gt;"",MW4&gt;=NE$13,MW4&lt;&gt;""),AND(MY4&gt;=NE$9,MY4&lt;&gt;"",NA4&gt;=NE$13,NA4&lt;&gt;""),AND(NB4&gt;=NE$9,NB4&lt;&gt;"",ND4&gt;=NE$13,ND4&lt;&gt;""),AND(NZ4&gt;=OM$9,NZ4&lt;&gt;"",OB4&gt;=OM$13,OB4&lt;&gt;""),AND(OC4&gt;=OM$9,OC4&lt;&gt;"",OE4&gt;=OM$13,OE4&lt;&gt;""),AND(OG4&gt;=OM$9,OG4&lt;&gt;"",OI4&gt;=OM$13,OI4&lt;&gt;""),AND(OJ4&gt;=OM$9,OJ4&lt;&gt;"",OL4&gt;=OM$13,OL4&lt;&gt;""),AND(PH4&gt;=PU$9,PH4&lt;&gt;"",PJ4&gt;=PU$13,PJ4&lt;&gt;""),AND(PK4&gt;=PU$9,PK4&lt;&gt;"",PM4&gt;=PU$13,PM4&lt;&gt;""),AND(PO4&gt;=PU$9,PO4&lt;&gt;"",PQ4&gt;=PU$13,PQ4&lt;&gt;""),AND(PR4&gt;=PU$9,PR4&lt;&gt;"",PT4&gt;=PU$13,PT4&lt;&gt;""),AND(QP4&gt;=RC$9,QP4&lt;&gt;"",QR4&gt;=RC$13,QR4&lt;&gt;""),AND(QS4&gt;=RC$9,QS4&lt;&gt;"",QU4&gt;=RC$13,QU4&lt;&gt;""),AND(QW4&gt;=RC$9,QW4&lt;&gt;"",QY4&gt;=RC$13,QY4&lt;&gt;""),AND(QZ4&gt;=RC$9,QZ4&lt;&gt;"",RB4&gt;=RC$13,RB4&lt;&gt;""),AND(RX4&gt;=SK$9,RX4&lt;&gt;"",RZ4&gt;=SK$13,RZ4&lt;&gt;""),AND(SA4&gt;=SK$9,SA4&lt;&gt;"",SC4&gt;=SK$13,SC4&lt;&gt;""),AND(SE4&gt;=SK$9,SE4&lt;&gt;"",SG4&gt;=SK$13,SG4&lt;&gt;""),AND(SH4&gt;=SK$9,SH4&lt;&gt;"",SJ4&gt;=SK$13,SJ4&lt;&gt;"")),"P","")</f>
        <v/>
      </c>
      <c r="J4" s="13">
        <f>IF(COUNT(AG4,AJ4,AN4,BH4,BK4,BO4,CI4,CL4,CP4)&gt;0,LARGE((AG4,AJ4,AN4,BH4,BK4,BO4,CI4,CL4,CP4),1),0)</f>
        <v>0</v>
      </c>
      <c r="K4" s="13" t="str">
        <f>IF(J4="","",IF(OR(J4=CI4,J4=CL4,J4=CP4),$BQ$1,IF(OR(J4=BH4,J4=BK4,J4=BO4),$AP$1,IF(OR(J4=AG4,J4=AJ4,J4=AN4),$O$1,""))))</f>
        <v/>
      </c>
      <c r="L4" s="13" t="str">
        <f>IF(MAX(CR4,CS4)&gt;0,MAX(CR4,CS4),"")</f>
        <v/>
      </c>
      <c r="M4" s="16" t="str">
        <f>IF(L4="","",IF(L4=CR4,"("&amp;CR$2&amp;")",IF(L4=CS4,"("&amp;CS$2&amp;")")))</f>
        <v/>
      </c>
      <c r="N4" s="13" t="str">
        <f>IF(L4="","",IF(L4=CR4,IF(L4+IF(J3="",0,J3)=SD4,$RD$1,IF(L4+IF(J3="",0,J3)=QV4,$PV$1,IF(L4+IF(J3="",0,J3)=PN4,$ON$1,IF(L4+IF(J3="",0,J3)=OF4,$NF$1,IF(L4+IF(J3="",0,J3)=MX4,$LX$1,IF(L4+IF(J3="",0,J3)=LP4,$KP$1,IF(L4+IF(J3="",0,J3)=KH4,$JH$1,IF(L4+IF(J3="",0,J3)=IZ4,$HZ$1,IF(L4+IF(J3="",0,J3)=HR4,$GR$1,IF(L4+IF(J3="",0,J3)=GJ4,$FJ$1,IF(L4+IF(J3="",0,J3)=FB4,$EB$1,IF(L4+IF(J3="",0,J3)=DT4,$CT$1)))))))))))),IF(L4=CS4,IF(L4+IF(J3="",0,J3)=SJ4,$RD$1,IF(L4+IF(J3="",0,J3)=RB4,$PV$1,IF(L4+IF(J3="",0,J3)=PT4,$ON$1,IF(L4+IF(J3="",0,J3)=OL4,$NF$1,IF(L4+IF(J3="",0,J3)=ND4,$LX$1,IF(L4+IF(J3="",0,J3)=LV4,$KP$1,IF(L4+IF(J3="",0,J3)=KN4,$JH$1,IF(L4+IF(J3="",0,J3)=JF4,$HZ$1,IF(L4+IF(J3="",0,J3)=HX4,$GR$1,IF(L4+IF(J3="",0,J3)=GP4,$FJ$1,IF(L4+IF(J3="",0,J3)=FH4,$EB$1,IF(L4+IF(J3="",0,J3)=DZ4,$CT$1)))))))))))))))</f>
        <v/>
      </c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51"/>
      <c r="AE4" s="74" t="str">
        <f>IF(Q4&gt;0,Q4,"")</f>
        <v/>
      </c>
      <c r="AF4" s="74" t="str">
        <f>IF(R4&gt;0,R4,"")</f>
        <v/>
      </c>
      <c r="AG4" s="76" t="str">
        <f>IF(SUM(O4:R4)-S4&gt;0,SUM(O4:R4)-S4,"")</f>
        <v/>
      </c>
      <c r="AH4" s="76" t="str">
        <f>IF(V4&gt;0,V4,"")</f>
        <v/>
      </c>
      <c r="AI4" s="76" t="str">
        <f>IF(W4&gt;0,W4,"")</f>
        <v/>
      </c>
      <c r="AJ4" s="76" t="str">
        <f>IF(SUM(T4:W4)-X4&gt;0,SUM(T4:W4)-X4,"")</f>
        <v/>
      </c>
      <c r="AK4" s="76" t="str">
        <f>IF(AG4="","",MAX(AG4,AJ4))</f>
        <v/>
      </c>
      <c r="AL4" s="76" t="str">
        <f>IF(AA4&gt;0,AA4,"")</f>
        <v/>
      </c>
      <c r="AM4" s="76" t="str">
        <f>IF(AB4&gt;0,AB4,"")</f>
        <v/>
      </c>
      <c r="AN4" s="76" t="str">
        <f>IF(SUM(Y4:AB4)-AC4&gt;0,SUM(Y4:AB4)-AC4,"")</f>
        <v/>
      </c>
      <c r="AO4" s="76" t="str">
        <f>IF(SUM(AK4,AN4)&gt;0,SUM(AK4,AN4),"")</f>
        <v/>
      </c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52"/>
      <c r="BF4" s="75" t="str">
        <f>IF(AR4&gt;0,AR4,"")</f>
        <v/>
      </c>
      <c r="BG4" s="75" t="str">
        <f>IF(AS4&gt;0,AS4,"")</f>
        <v/>
      </c>
      <c r="BH4" s="16" t="str">
        <f>IF(SUM(AP4:AS4)-AT4&gt;0,SUM(AP4:AS4)-AT4,"")</f>
        <v/>
      </c>
      <c r="BI4" s="16" t="str">
        <f>IF(AW4&gt;0,AW4,"")</f>
        <v/>
      </c>
      <c r="BJ4" s="16" t="str">
        <f>IF(AX4&gt;0,AX4,"")</f>
        <v/>
      </c>
      <c r="BK4" s="16" t="str">
        <f>IF(SUM(AU4:AX4)-AY4&gt;0,SUM(AU4:AX4)-AY4,"")</f>
        <v/>
      </c>
      <c r="BL4" s="16" t="str">
        <f>IF(BH4="","",MAX(BH4,BK4))</f>
        <v/>
      </c>
      <c r="BM4" s="16" t="str">
        <f>IF(BB4&gt;0,BB4,"")</f>
        <v/>
      </c>
      <c r="BN4" s="16" t="str">
        <f>IF(BC4&gt;0,BC4,"")</f>
        <v/>
      </c>
      <c r="BO4" s="16" t="str">
        <f>IF(SUM(AZ4:BC4)-BD4&gt;0,SUM(AZ4:BC4)-BD4,"")</f>
        <v/>
      </c>
      <c r="BP4" s="16" t="str">
        <f>IF(SUM(BL4,BO4)&gt;0,SUM(BL4,BO4),"")</f>
        <v/>
      </c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51"/>
      <c r="CG4" s="74" t="str">
        <f>IF(BS4&gt;0,BS4,"")</f>
        <v/>
      </c>
      <c r="CH4" s="74" t="str">
        <f>IF(BT4&gt;0,BT4,"")</f>
        <v/>
      </c>
      <c r="CI4" s="76" t="str">
        <f>IF(SUM(BQ4:BT4)-BU4&gt;0,SUM(BQ4:BT4)-BU4,"")</f>
        <v/>
      </c>
      <c r="CJ4" s="76" t="str">
        <f>IF(BX4&gt;0,BX4,"")</f>
        <v/>
      </c>
      <c r="CK4" s="76" t="str">
        <f>IF(BY4&gt;0,BY4,"")</f>
        <v/>
      </c>
      <c r="CL4" s="76" t="str">
        <f>IF(SUM(BV4:BY4)-BZ4&gt;0,SUM(BV4:BY4)-BZ4,"")</f>
        <v/>
      </c>
      <c r="CM4" s="76" t="str">
        <f>IF(CI4="","",MAX(CI4,CL4))</f>
        <v/>
      </c>
      <c r="CN4" s="76" t="str">
        <f>IF(CC4&gt;0,CC4,"")</f>
        <v/>
      </c>
      <c r="CO4" s="76" t="str">
        <f>IF(CD4&gt;0,CD4,"")</f>
        <v/>
      </c>
      <c r="CP4" s="76" t="str">
        <f>IF(SUM(CA4:CD4)-CE4&gt;0,SUM(CA4:CD4)-CE4,"")</f>
        <v/>
      </c>
      <c r="CQ4" s="76" t="str">
        <f>IF(SUM(CM4,CP4)&gt;0,SUM(CM4,CP4),"")</f>
        <v/>
      </c>
      <c r="CR4" s="87" t="str">
        <f>IF(J4&gt;=0.001,IF(MAX(DT4,FB4,GJ4,HR4,IZ4,KH4,LP4,MX4,OF4,PN4,QV4,SD4)-IF(J4="",0,J4)&gt;0.001,MAX(DT4,FB4,GJ4,HR4,IZ4,KH4,LP4,MX4,OF4,PN4,QV4,SD4)-IF(J4="",0,J4),""),"")</f>
        <v/>
      </c>
      <c r="CS4" s="87" t="str">
        <f>IF(J4&gt;=0.001,IF(MAX(DW4,DZ4,FE4,FH4,GM4,GP4,HU4,HX4,JC4,JF4,KK4,KN4,LS4,LV4,NA4,ND4,OI4,OL4,PQ4,PT4,QY4,RB4,SG4,SJ4)-IF(J4="",0,J4)&gt;0.001,MAX(DW4,DZ4,FE4,FH4,GM4,GP4,HU4,HX4,JC4,JF4,KK4,KN4,LS4,LV4,NA4,ND4,OI4,OL4,PQ4,PT4,QY4,RB4,SG4,SJ4)-IF(J4="",0,J4),""),"")</f>
        <v/>
      </c>
      <c r="CT4" s="25">
        <v>8.15</v>
      </c>
      <c r="CU4" s="25">
        <v>9.6</v>
      </c>
      <c r="CV4" s="25">
        <v>11.6</v>
      </c>
      <c r="CW4" s="25">
        <v>16.96</v>
      </c>
      <c r="CX4" s="25">
        <v>0</v>
      </c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>
        <v>8.25</v>
      </c>
      <c r="DJ4" s="25">
        <v>9.4</v>
      </c>
      <c r="DK4" s="25">
        <v>11.6</v>
      </c>
      <c r="DL4" s="25">
        <v>17.36</v>
      </c>
      <c r="DM4" s="25">
        <v>0</v>
      </c>
      <c r="DN4" s="76">
        <f>IF(CV4&gt;0,CV4,"")</f>
        <v>11.6</v>
      </c>
      <c r="DO4" s="76">
        <f>IF(CW4&gt;0,CW4,"")</f>
        <v>16.96</v>
      </c>
      <c r="DP4" s="76">
        <f>IF(SUM(CT4:CW4)-CX4&gt;0,SUM(CT4:CW4)-CX4,"")</f>
        <v>46.31</v>
      </c>
      <c r="DQ4" s="76" t="str">
        <f>IF(DA4&gt;0,DA4,"")</f>
        <v/>
      </c>
      <c r="DR4" s="76" t="str">
        <f>IF(DB4&gt;0,DB4,"")</f>
        <v/>
      </c>
      <c r="DS4" s="76" t="str">
        <f>IF(SUM(CY4:DB4)-DC4&gt;0,SUM(CY4:DB4)-DC4,"")</f>
        <v/>
      </c>
      <c r="DT4" s="76">
        <f>IF(MAX(DP4,DS4)&gt;0,MAX(DP4,DS4),"")</f>
        <v>46.31</v>
      </c>
      <c r="DU4" s="76" t="str">
        <f>IF(DF4&gt;0,DF4,"")</f>
        <v/>
      </c>
      <c r="DV4" s="76" t="str">
        <f>IF(DG4&gt;0,DG4,"")</f>
        <v/>
      </c>
      <c r="DW4" s="76" t="str">
        <f>IF(SUM(DD4:DG4)-DH4&gt;0,SUM(DD4:DG4)-DH4,"")</f>
        <v/>
      </c>
      <c r="DX4" s="76">
        <f>IF(DK4&gt;0,DK4,"")</f>
        <v>11.6</v>
      </c>
      <c r="DY4" s="76">
        <f>IF(DL4&gt;0,DL4,"")</f>
        <v>17.36</v>
      </c>
      <c r="DZ4" s="76">
        <f>IF(SUM(DI4:DL4)-DM4&gt;0,SUM(DI4:DL4)-DM4,"")</f>
        <v>46.61</v>
      </c>
      <c r="EA4" s="76">
        <f>IF(SUM(DT4,DZ4)&gt;0,SUM(DT4,DZ4),"")</f>
        <v>92.92</v>
      </c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>
        <v>8.5500000000000007</v>
      </c>
      <c r="ER4" s="26">
        <v>9.4499999999999993</v>
      </c>
      <c r="ES4" s="26">
        <v>9.8000000000000007</v>
      </c>
      <c r="ET4" s="26">
        <v>16.2</v>
      </c>
      <c r="EU4" s="26">
        <v>0</v>
      </c>
      <c r="EV4" s="16" t="str">
        <f>IF(ED4&gt;0,ED4,"")</f>
        <v/>
      </c>
      <c r="EW4" s="16" t="str">
        <f>IF(EE4&gt;0,EE4,"")</f>
        <v/>
      </c>
      <c r="EX4" s="16" t="str">
        <f>IF(SUM(EB4:EE4)-EF4&gt;0,SUM(EB4:EE4)-EF4,"")</f>
        <v/>
      </c>
      <c r="EY4" s="16" t="str">
        <f>IF(EI4&gt;0,EI4,"")</f>
        <v/>
      </c>
      <c r="EZ4" s="16" t="str">
        <f>IF(EJ4&gt;0,EJ4,"")</f>
        <v/>
      </c>
      <c r="FA4" s="16" t="str">
        <f>IF(SUM(EG4:EJ4)-EK4&gt;0,SUM(EG4:EJ4)-EK4,"")</f>
        <v/>
      </c>
      <c r="FB4" s="16" t="str">
        <f>IF(MAX(EX4,FA4)&gt;0,MAX(EX4,FA4),"")</f>
        <v/>
      </c>
      <c r="FC4" s="16" t="str">
        <f>IF(EN4&gt;0,EN4,"")</f>
        <v/>
      </c>
      <c r="FD4" s="16" t="str">
        <f>IF(EO4&gt;0,EO4,"")</f>
        <v/>
      </c>
      <c r="FE4" s="16" t="str">
        <f>IF(SUM(EL4:EO4)-EP4&gt;0,SUM(EL4:EO4)-EP4,"")</f>
        <v/>
      </c>
      <c r="FF4" s="16">
        <f>IF(ES4&gt;0,ES4,"")</f>
        <v>9.8000000000000007</v>
      </c>
      <c r="FG4" s="16">
        <f>IF(ET4&gt;0,ET4,"")</f>
        <v>16.2</v>
      </c>
      <c r="FH4" s="16">
        <f>IF(SUM(EQ4:ET4)-EU4&gt;0,SUM(EQ4:ET4)-EU4,"")</f>
        <v>44</v>
      </c>
      <c r="FI4" s="16">
        <f>IF(SUM(FB4,FH4)&gt;0,SUM(FB4,FH4),"")</f>
        <v>44</v>
      </c>
      <c r="FJ4" s="25"/>
      <c r="FK4" s="25"/>
      <c r="FL4" s="25"/>
      <c r="FM4" s="25"/>
      <c r="FN4" s="25"/>
      <c r="FO4" s="25"/>
      <c r="FP4" s="25"/>
      <c r="FQ4" s="25"/>
      <c r="FR4" s="25"/>
      <c r="FS4" s="25"/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76" t="str">
        <f>IF(FL4&gt;0,FL4,"")</f>
        <v/>
      </c>
      <c r="GE4" s="76" t="str">
        <f>IF(FM4&gt;0,FM4,"")</f>
        <v/>
      </c>
      <c r="GF4" s="76" t="str">
        <f>IF(SUM(FJ4:FM4)-FN4&gt;0,SUM(FJ4:FM4)-FN4,"")</f>
        <v/>
      </c>
      <c r="GG4" s="76" t="str">
        <f>IF(FQ4&gt;0,FQ4,"")</f>
        <v/>
      </c>
      <c r="GH4" s="76" t="str">
        <f>IF(FR4&gt;0,FR4,"")</f>
        <v/>
      </c>
      <c r="GI4" s="76" t="str">
        <f>IF(SUM(FO4:FR4)-FS4&gt;0,SUM(FO4:FR4)-FS4,"")</f>
        <v/>
      </c>
      <c r="GJ4" s="76" t="str">
        <f>IF(MAX(GF4,GI4)&gt;0,MAX(GF4,GI4),"")</f>
        <v/>
      </c>
      <c r="GK4" s="76" t="str">
        <f>IF(FV4&gt;0,FV4,"")</f>
        <v/>
      </c>
      <c r="GL4" s="76" t="str">
        <f>IF(FW4&gt;0,FW4,"")</f>
        <v/>
      </c>
      <c r="GM4" s="76" t="str">
        <f>IF(SUM(FT4:FW4)-FX4&gt;0,SUM(FT4:FW4)-FX4,"")</f>
        <v/>
      </c>
      <c r="GN4" s="76" t="str">
        <f>IF(GA4&gt;0,GA4,"")</f>
        <v/>
      </c>
      <c r="GO4" s="76" t="str">
        <f>IF(GB4&gt;0,GB4,"")</f>
        <v/>
      </c>
      <c r="GP4" s="76" t="str">
        <f>IF(SUM(FY4:GB4)-GC4&gt;0,SUM(FY4:GB4)-GC4,"")</f>
        <v/>
      </c>
      <c r="GQ4" s="76" t="str">
        <f>IF(SUM(GJ4,GP4)&gt;0,SUM(GJ4,GP4),"")</f>
        <v/>
      </c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16" t="str">
        <f>IF(GT4&gt;0,GT4,"")</f>
        <v/>
      </c>
      <c r="HM4" s="16" t="str">
        <f>IF(GU4&gt;0,GU4,"")</f>
        <v/>
      </c>
      <c r="HN4" s="16" t="str">
        <f>IF(SUM(GR4:GU4)-GV4&gt;0,SUM(GR4:GU4)-GV4,"")</f>
        <v/>
      </c>
      <c r="HO4" s="16" t="str">
        <f>IF(GY4&gt;0,GY4,"")</f>
        <v/>
      </c>
      <c r="HP4" s="16" t="str">
        <f>IF(GZ4&gt;0,GZ4,"")</f>
        <v/>
      </c>
      <c r="HQ4" s="16" t="str">
        <f>IF(SUM(GW4:GZ4)-HA4&gt;0,SUM(GW4:GZ4)-HA4,"")</f>
        <v/>
      </c>
      <c r="HR4" s="16" t="str">
        <f>IF(MAX(HN4,HQ4)&gt;0,MAX(HN4,HQ4),"")</f>
        <v/>
      </c>
      <c r="HS4" s="16" t="str">
        <f>IF(HD4&gt;0,HD4,"")</f>
        <v/>
      </c>
      <c r="HT4" s="16" t="str">
        <f>IF(HE4&gt;0,HE4,"")</f>
        <v/>
      </c>
      <c r="HU4" s="16" t="str">
        <f>IF(SUM(HB4:HE4)-HF4&gt;0,SUM(HB4:HE4)-HF4,"")</f>
        <v/>
      </c>
      <c r="HV4" s="16" t="str">
        <f>IF(HI4&gt;0,HI4,"")</f>
        <v/>
      </c>
      <c r="HW4" s="16" t="str">
        <f>IF(HJ4&gt;0,HJ4,"")</f>
        <v/>
      </c>
      <c r="HX4" s="16" t="str">
        <f>IF(SUM(HG4:HJ4)-HK4&gt;0,SUM(HG4:HJ4)-HK4,"")</f>
        <v/>
      </c>
      <c r="HY4" s="16" t="str">
        <f>IF(SUM(HR4,HX4)&gt;0,SUM(HR4,HX4),"")</f>
        <v/>
      </c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76" t="str">
        <f>IF(IB4&gt;0,IB4,"")</f>
        <v/>
      </c>
      <c r="IU4" s="76" t="str">
        <f>IF(IC4&gt;0,IC4,"")</f>
        <v/>
      </c>
      <c r="IV4" s="76" t="str">
        <f>IF(SUM(HZ4:IC4)-ID4&gt;0,SUM(HZ4:IC4)-ID4,"")</f>
        <v/>
      </c>
      <c r="IW4" s="76" t="str">
        <f>IF(IG4&gt;0,IG4,"")</f>
        <v/>
      </c>
      <c r="IX4" s="76" t="str">
        <f>IF(IH4&gt;0,IH4,"")</f>
        <v/>
      </c>
      <c r="IY4" s="76" t="str">
        <f>IF(SUM(IE4:IH4)-II4&gt;0,SUM(IE4:IH4)-II4,"")</f>
        <v/>
      </c>
      <c r="IZ4" s="76" t="str">
        <f>IF(MAX(IV4,IY4)&gt;0,MAX(IV4,IY4),"")</f>
        <v/>
      </c>
      <c r="JA4" s="76" t="str">
        <f>IF(IL4&gt;0,IL4,"")</f>
        <v/>
      </c>
      <c r="JB4" s="76" t="str">
        <f>IF(IM4&gt;0,IM4,"")</f>
        <v/>
      </c>
      <c r="JC4" s="76" t="str">
        <f>IF(SUM(IJ4:IM4)-IN4&gt;0,SUM(IJ4:IM4)-IN4,"")</f>
        <v/>
      </c>
      <c r="JD4" s="76" t="str">
        <f>IF(IQ4&gt;0,IQ4,"")</f>
        <v/>
      </c>
      <c r="JE4" s="76" t="str">
        <f>IF(IR4&gt;0,IR4,"")</f>
        <v/>
      </c>
      <c r="JF4" s="76" t="str">
        <f>IF(SUM(IO4:IR4)-IS4&gt;0,SUM(IO4:IR4)-IS4,"")</f>
        <v/>
      </c>
      <c r="JG4" s="76" t="str">
        <f>IF(SUM(IZ4,JF4)&gt;0,SUM(IZ4,JF4),"")</f>
        <v/>
      </c>
      <c r="JH4" s="26"/>
      <c r="JI4" s="26"/>
      <c r="JJ4" s="26"/>
      <c r="JK4" s="26"/>
      <c r="JL4" s="26"/>
      <c r="JM4" s="26"/>
      <c r="JN4" s="26"/>
      <c r="JO4" s="26"/>
      <c r="JP4" s="26"/>
      <c r="JQ4" s="26"/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16" t="str">
        <f>IF(JJ4&gt;0,JJ4,"")</f>
        <v/>
      </c>
      <c r="KC4" s="16" t="str">
        <f>IF(JK4&gt;0,JK4,"")</f>
        <v/>
      </c>
      <c r="KD4" s="16" t="str">
        <f>IF(SUM(JH4:JK4)-JL4&gt;0,SUM(JH4:JK4)-JL4,"")</f>
        <v/>
      </c>
      <c r="KE4" s="16" t="str">
        <f>IF(JO4&gt;0,JO4,"")</f>
        <v/>
      </c>
      <c r="KF4" s="16" t="str">
        <f>IF(JP4&gt;0,JP4,"")</f>
        <v/>
      </c>
      <c r="KG4" s="16" t="str">
        <f>IF(SUM(JM4:JP4)-JQ4&gt;0,SUM(JM4:JP4)-JQ4,"")</f>
        <v/>
      </c>
      <c r="KH4" s="16" t="str">
        <f>IF(MAX(KD4,KG4)&gt;0,MAX(KD4,KG4),"")</f>
        <v/>
      </c>
      <c r="KI4" s="16" t="str">
        <f>IF(JT4&gt;0,JT4,"")</f>
        <v/>
      </c>
      <c r="KJ4" s="16" t="str">
        <f>IF(JU4&gt;0,JU4,"")</f>
        <v/>
      </c>
      <c r="KK4" s="16" t="str">
        <f>IF(SUM(JR4:JU4)-JV4&gt;0,SUM(JR4:JU4)-JV4,"")</f>
        <v/>
      </c>
      <c r="KL4" s="16" t="str">
        <f>IF(JY4&gt;0,JY4,"")</f>
        <v/>
      </c>
      <c r="KM4" s="16" t="str">
        <f>IF(JZ4&gt;0,JZ4,"")</f>
        <v/>
      </c>
      <c r="KN4" s="16" t="str">
        <f>IF(SUM(JW4:JZ4)-KA4&gt;0,SUM(JW4:JZ4)-KA4,"")</f>
        <v/>
      </c>
      <c r="KO4" s="16" t="str">
        <f>IF(SUM(KH4,KN4)&gt;0,SUM(KH4,KN4),"")</f>
        <v/>
      </c>
      <c r="KP4" s="25"/>
      <c r="KQ4" s="25"/>
      <c r="KR4" s="25"/>
      <c r="KS4" s="25"/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76" t="str">
        <f>IF(KR4&gt;0,KR4,"")</f>
        <v/>
      </c>
      <c r="LK4" s="76" t="str">
        <f>IF(KS4&gt;0,KS4,"")</f>
        <v/>
      </c>
      <c r="LL4" s="76" t="str">
        <f>IF(SUM(KP4:KS4)-KT4&gt;0,SUM(KP4:KS4)-KT4,"")</f>
        <v/>
      </c>
      <c r="LM4" s="76" t="str">
        <f>IF(KW4&gt;0,KW4,"")</f>
        <v/>
      </c>
      <c r="LN4" s="76" t="str">
        <f>IF(KX4&gt;0,KX4,"")</f>
        <v/>
      </c>
      <c r="LO4" s="76" t="str">
        <f>IF(SUM(KU4:KX4)-KY4&gt;0,SUM(KU4:KX4)-KY4,"")</f>
        <v/>
      </c>
      <c r="LP4" s="76" t="str">
        <f>IF(MAX(LL4,LO4)&gt;0,MAX(LL4,LO4),"")</f>
        <v/>
      </c>
      <c r="LQ4" s="76" t="str">
        <f>IF(LB4&gt;0,LB4,"")</f>
        <v/>
      </c>
      <c r="LR4" s="76" t="str">
        <f>IF(LC4&gt;0,LC4,"")</f>
        <v/>
      </c>
      <c r="LS4" s="76" t="str">
        <f>IF(SUM(KZ4:LC4)-LD4&gt;0,SUM(KZ4:LC4)-LD4,"")</f>
        <v/>
      </c>
      <c r="LT4" s="76" t="str">
        <f>IF(LG4&gt;0,LG4,"")</f>
        <v/>
      </c>
      <c r="LU4" s="76" t="str">
        <f>IF(LH4&gt;0,LH4,"")</f>
        <v/>
      </c>
      <c r="LV4" s="76" t="str">
        <f>IF(SUM(LE4:LH4)-LI4&gt;0,SUM(LE4:LH4)-LI4,"")</f>
        <v/>
      </c>
      <c r="LW4" s="76" t="str">
        <f>IF(SUM(LP4,LV4)&gt;0,SUM(LP4,LV4),"")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IF(LZ4&gt;0,LZ4,"")</f>
        <v/>
      </c>
      <c r="MS4" s="16" t="str">
        <f>IF(MA4&gt;0,MA4,"")</f>
        <v/>
      </c>
      <c r="MT4" s="16" t="str">
        <f>IF(SUM(LX4:MA4)-MB4&gt;0,SUM(LX4:MA4)-MB4,"")</f>
        <v/>
      </c>
      <c r="MU4" s="16" t="str">
        <f>IF(ME4&gt;0,ME4,"")</f>
        <v/>
      </c>
      <c r="MV4" s="16" t="str">
        <f>IF(MF4&gt;0,MF4,"")</f>
        <v/>
      </c>
      <c r="MW4" s="16" t="str">
        <f>IF(SUM(MC4:MF4)-MG4&gt;0,SUM(MC4:MF4)-MG4,"")</f>
        <v/>
      </c>
      <c r="MX4" s="16" t="str">
        <f>IF(MAX(MT4,MW4)&gt;0,MAX(MT4,MW4),"")</f>
        <v/>
      </c>
      <c r="MY4" s="16" t="str">
        <f>IF(MJ4&gt;0,MJ4,"")</f>
        <v/>
      </c>
      <c r="MZ4" s="16" t="str">
        <f>IF(MK4&gt;0,MK4,"")</f>
        <v/>
      </c>
      <c r="NA4" s="16" t="str">
        <f>IF(SUM(MH4:MK4)-ML4&gt;0,SUM(MH4:MK4)-ML4,"")</f>
        <v/>
      </c>
      <c r="NB4" s="16" t="str">
        <f>IF(MO4&gt;0,MO4,"")</f>
        <v/>
      </c>
      <c r="NC4" s="16" t="str">
        <f>IF(MP4&gt;0,MP4,"")</f>
        <v/>
      </c>
      <c r="ND4" s="16" t="str">
        <f>IF(SUM(MM4:MP4)-MQ4&gt;0,SUM(MM4:MP4)-MQ4,"")</f>
        <v/>
      </c>
      <c r="NE4" s="16" t="str">
        <f>IF(SUM(MX4,ND4)&gt;0,SUM(MX4,ND4),"")</f>
        <v/>
      </c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76" t="str">
        <f>IF(NH4&gt;0,NH4,"")</f>
        <v/>
      </c>
      <c r="OA4" s="76" t="str">
        <f>IF(NI4&gt;0,NI4,"")</f>
        <v/>
      </c>
      <c r="OB4" s="76" t="str">
        <f>IF(SUM(NF4:NI4)-NJ4&gt;0,SUM(NF4:NI4)-NJ4,"")</f>
        <v/>
      </c>
      <c r="OC4" s="76" t="str">
        <f>IF(NM4&gt;0,NM4,"")</f>
        <v/>
      </c>
      <c r="OD4" s="76" t="str">
        <f>IF(NN4&gt;0,NN4,"")</f>
        <v/>
      </c>
      <c r="OE4" s="76" t="str">
        <f>IF(SUM(NK4:NN4)-NO4&gt;0,SUM(NK4:NN4)-NO4,"")</f>
        <v/>
      </c>
      <c r="OF4" s="76" t="str">
        <f>IF(MAX(OB4,OE4)&gt;0,MAX(OB4,OE4),"")</f>
        <v/>
      </c>
      <c r="OG4" s="76" t="str">
        <f>IF(NR4&gt;0,NR4,"")</f>
        <v/>
      </c>
      <c r="OH4" s="76" t="str">
        <f>IF(NS4&gt;0,NS4,"")</f>
        <v/>
      </c>
      <c r="OI4" s="76" t="str">
        <f>IF(SUM(NP4:NS4)-NT4&gt;0,SUM(NP4:NS4)-NT4,"")</f>
        <v/>
      </c>
      <c r="OJ4" s="76" t="str">
        <f>IF(NW4&gt;0,NW4,"")</f>
        <v/>
      </c>
      <c r="OK4" s="76" t="str">
        <f>IF(NX4&gt;0,NX4,"")</f>
        <v/>
      </c>
      <c r="OL4" s="76" t="str">
        <f>IF(SUM(NU4:NX4)-NY4&gt;0,SUM(NU4:NX4)-NY4,"")</f>
        <v/>
      </c>
      <c r="OM4" s="76" t="str">
        <f>IF(SUM(OF4,OL4)&gt;0,SUM(OF4,OL4),"")</f>
        <v/>
      </c>
      <c r="ON4" s="26"/>
      <c r="OO4" s="26"/>
      <c r="OP4" s="26"/>
      <c r="OQ4" s="26"/>
      <c r="OR4" s="26"/>
      <c r="OS4" s="26"/>
      <c r="OT4" s="26"/>
      <c r="OU4" s="26"/>
      <c r="OV4" s="26"/>
      <c r="OW4" s="26"/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16" t="str">
        <f>IF(OP4&gt;0,OP4,"")</f>
        <v/>
      </c>
      <c r="PI4" s="16" t="str">
        <f>IF(OQ4&gt;0,OQ4,"")</f>
        <v/>
      </c>
      <c r="PJ4" s="16" t="str">
        <f>IF(SUM(ON4:OQ4)-OR4&gt;0,SUM(ON4:OQ4)-OR4,"")</f>
        <v/>
      </c>
      <c r="PK4" s="16" t="str">
        <f>IF(OU4&gt;0,OU4,"")</f>
        <v/>
      </c>
      <c r="PL4" s="16" t="str">
        <f>IF(OV4&gt;0,OV4,"")</f>
        <v/>
      </c>
      <c r="PM4" s="16" t="str">
        <f>IF(SUM(OS4:OV4)-OW4&gt;0,SUM(OS4:OV4)-OW4,"")</f>
        <v/>
      </c>
      <c r="PN4" s="16" t="str">
        <f>IF(MAX(PJ4,PM4)&gt;0,MAX(PJ4,PM4),"")</f>
        <v/>
      </c>
      <c r="PO4" s="16" t="str">
        <f>IF(OZ4&gt;0,OZ4,"")</f>
        <v/>
      </c>
      <c r="PP4" s="16" t="str">
        <f>IF(PA4&gt;0,PA4,"")</f>
        <v/>
      </c>
      <c r="PQ4" s="16" t="str">
        <f>IF(SUM(OX4:PA4)-PB4&gt;0,SUM(OX4:PA4)-PB4,"")</f>
        <v/>
      </c>
      <c r="PR4" s="16" t="str">
        <f>IF(PE4&gt;0,PE4,"")</f>
        <v/>
      </c>
      <c r="PS4" s="16" t="str">
        <f>IF(PF4&gt;0,PF4,"")</f>
        <v/>
      </c>
      <c r="PT4" s="16" t="str">
        <f>IF(SUM(PC4:PF4)-PG4&gt;0,SUM(PC4:PF4)-PG4,"")</f>
        <v/>
      </c>
      <c r="PU4" s="16" t="str">
        <f>IF(SUM(PN4,PT4)&gt;0,SUM(PN4,PT4),"")</f>
        <v/>
      </c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76" t="str">
        <f>IF(PX4&gt;0,PX4,"")</f>
        <v/>
      </c>
      <c r="QQ4" s="76" t="str">
        <f>IF(PY4&gt;0,PY4,"")</f>
        <v/>
      </c>
      <c r="QR4" s="76" t="str">
        <f>IF(SUM(PV4:PY4)-PZ4&gt;0,SUM(PV4:PY4)-PZ4,"")</f>
        <v/>
      </c>
      <c r="QS4" s="76" t="str">
        <f>IF(QC4&gt;0,QC4,"")</f>
        <v/>
      </c>
      <c r="QT4" s="76" t="str">
        <f>IF(QD4&gt;0,QD4,"")</f>
        <v/>
      </c>
      <c r="QU4" s="76" t="str">
        <f>IF(SUM(QA4:QD4)-QE4&gt;0,SUM(QA4:QD4)-QE4,"")</f>
        <v/>
      </c>
      <c r="QV4" s="76" t="str">
        <f>IF(MAX(QR4,QU4)&gt;0,MAX(QR4,QU4),"")</f>
        <v/>
      </c>
      <c r="QW4" s="76" t="str">
        <f>IF(QH4&gt;0,QH4,"")</f>
        <v/>
      </c>
      <c r="QX4" s="76" t="str">
        <f>IF(QI4&gt;0,QI4,"")</f>
        <v/>
      </c>
      <c r="QY4" s="76" t="str">
        <f>IF(SUM(QF4:QI4)-QJ4&gt;0,SUM(QF4:QI4)-QJ4,"")</f>
        <v/>
      </c>
      <c r="QZ4" s="76" t="str">
        <f>IF(QM4&gt;0,QM4,"")</f>
        <v/>
      </c>
      <c r="RA4" s="76" t="str">
        <f>IF(QN4&gt;0,QN4,"")</f>
        <v/>
      </c>
      <c r="RB4" s="76" t="str">
        <f>IF(SUM(QK4:QN4)-QO4&gt;0,SUM(QK4:QN4)-QO4,"")</f>
        <v/>
      </c>
      <c r="RC4" s="76" t="str">
        <f>IF(SUM(QV4,RB4)&gt;0,SUM(QV4,RB4),"")</f>
        <v/>
      </c>
      <c r="RD4" s="26"/>
      <c r="RE4" s="26"/>
      <c r="RF4" s="26"/>
      <c r="RG4" s="26"/>
      <c r="RH4" s="26"/>
      <c r="RI4" s="26"/>
      <c r="RJ4" s="26"/>
      <c r="RK4" s="26"/>
      <c r="RL4" s="26"/>
      <c r="RM4" s="26"/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16" t="str">
        <f>IF(RF4&gt;0,RF4,"")</f>
        <v/>
      </c>
      <c r="RY4" s="16" t="str">
        <f>IF(RG4&gt;0,RG4,"")</f>
        <v/>
      </c>
      <c r="RZ4" s="16" t="str">
        <f>IF(SUM(RD4:RG4)-RH4&gt;0,SUM(RD4:RG4)-RH4,"")</f>
        <v/>
      </c>
      <c r="SA4" s="16" t="str">
        <f>IF(RK4&gt;0,RK4,"")</f>
        <v/>
      </c>
      <c r="SB4" s="16" t="str">
        <f>IF(RL4&gt;0,RL4,"")</f>
        <v/>
      </c>
      <c r="SC4" s="16" t="str">
        <f>IF(SUM(RI4:RL4)-RM4&gt;0,SUM(RI4:RL4)-RM4,"")</f>
        <v/>
      </c>
      <c r="SD4" s="16" t="str">
        <f>IF(MAX(RZ4,SC4)&gt;0,MAX(RZ4,SC4),"")</f>
        <v/>
      </c>
      <c r="SE4" s="16" t="str">
        <f>IF(RP4&gt;0,RP4,"")</f>
        <v/>
      </c>
      <c r="SF4" s="16" t="str">
        <f>IF(RQ4&gt;0,RQ4,"")</f>
        <v/>
      </c>
      <c r="SG4" s="16" t="str">
        <f>IF(SUM(RN4:RQ4)-RR4&gt;0,SUM(RN4:RQ4)-RR4,"")</f>
        <v/>
      </c>
      <c r="SH4" s="16" t="str">
        <f>IF(RU4&gt;0,RU4,"")</f>
        <v/>
      </c>
      <c r="SI4" s="16" t="str">
        <f>IF(RV4&gt;0,RV4,"")</f>
        <v/>
      </c>
      <c r="SJ4" s="16" t="str">
        <f>IF(SUM(RS4:RV4)-RW4&gt;0,SUM(RS4:RV4)-RW4,"")</f>
        <v/>
      </c>
      <c r="SK4" s="16" t="str">
        <f>IF(SUM(SD4,SJ4)&gt;0,SUM(SD4,SJ4),"")</f>
        <v/>
      </c>
      <c r="SL4" s="42">
        <f>IF($CF4="P",BQ4,(BQ4+AP4)/2)</f>
        <v>0</v>
      </c>
      <c r="SM4" s="42">
        <f>IF($CF4="P",BR4,(BR4+AQ4)/2)</f>
        <v>0</v>
      </c>
      <c r="SN4" s="42">
        <f>IF($CF4="P",BS4,(BS4+AR4)/2)</f>
        <v>0</v>
      </c>
      <c r="SO4" s="42">
        <f>IF($CF4="P",BT4,(BT4+AS4)/2)</f>
        <v>0</v>
      </c>
      <c r="SP4" s="42">
        <f>IF($CF4="P",BU4,(BU4+AT4)/2)</f>
        <v>0</v>
      </c>
      <c r="SQ4" s="42">
        <f>IF($CF4="P",BV4,(BV4+AU4)/2)</f>
        <v>0</v>
      </c>
      <c r="SR4" s="42">
        <f>IF($CF4="P",BW4,(BW4+AV4)/2)</f>
        <v>0</v>
      </c>
      <c r="SS4" s="42">
        <f>IF($CF4="P",BX4,(BX4+AW4)/2)</f>
        <v>0</v>
      </c>
      <c r="ST4" s="42">
        <f>IF($CF4="P",BY4,(BY4+AX4)/2)</f>
        <v>0</v>
      </c>
      <c r="SU4" s="42">
        <f>IF($CF4="P",BZ4,(BZ4+AY4)/2)</f>
        <v>0</v>
      </c>
      <c r="SV4" s="42">
        <f>IF($CF4="P",CA4,(CA4+AZ4)/2)</f>
        <v>0</v>
      </c>
      <c r="SW4" s="42">
        <f>IF($CF4="P",CB4,(CB4+BA4)/2)</f>
        <v>0</v>
      </c>
      <c r="SX4" s="42">
        <f>IF($CF4="P",CC4,(CC4+BB4)/2)</f>
        <v>0</v>
      </c>
      <c r="SY4" s="42">
        <f>IF($CF4="P",CD4,(CD4+BC4)/2)</f>
        <v>0</v>
      </c>
      <c r="SZ4" s="42">
        <f>IF($CF4="P",CE4,(CE4+BD4)/2)</f>
        <v>0</v>
      </c>
      <c r="TA4" s="51" t="s">
        <v>61</v>
      </c>
      <c r="TB4" s="76" t="str">
        <f>IF(SN4&gt;0,SN4,"")</f>
        <v/>
      </c>
      <c r="TC4" s="76" t="str">
        <f>IF(SO4&gt;0,SO4,"")</f>
        <v/>
      </c>
      <c r="TD4" s="76" t="str">
        <f>IF(SUM(SL4:SO4)-SP4&gt;0,SUM(SL4:SO4)-SP4,"")</f>
        <v/>
      </c>
      <c r="TE4" s="76" t="str">
        <f>IF(SS4&gt;0,SS4,"")</f>
        <v/>
      </c>
      <c r="TF4" s="76" t="str">
        <f>IF(ST4&gt;0,ST4,"")</f>
        <v/>
      </c>
      <c r="TG4" s="76" t="str">
        <f>IF(SUM(SQ4:ST4)-SU4&gt;0,SUM(SQ4:ST4)-SU4,"")</f>
        <v/>
      </c>
      <c r="TH4" s="76" t="str">
        <f>IF(MAX(TD4,TG4)&gt;0,MAX(TD4,TG4),"")</f>
        <v/>
      </c>
      <c r="TI4" s="76" t="str">
        <f>IF(SX4&gt;0,SX4,"")</f>
        <v/>
      </c>
      <c r="TJ4" s="76" t="str">
        <f>IF(SY4&gt;0,SY4,"")</f>
        <v/>
      </c>
      <c r="TK4" s="76" t="str">
        <f>IF(SUM(SV4:SY4)-SZ4&gt;0,SUM(SV4:SY4)-SZ4,"")</f>
        <v/>
      </c>
      <c r="TL4" s="76" t="str">
        <f>IF(SUM(TH4,TK4)&gt;0,SUM(TH4,TK4),"")</f>
        <v/>
      </c>
    </row>
    <row r="5" spans="1:534" x14ac:dyDescent="0.2">
      <c r="A5" s="5" t="str" cm="1">
        <f t="array" ref="A5">IF(AND(F5&lt;&gt;"",G5&lt;&gt;""),SUMPRODUCT((F$4:F$6&lt;&gt;"")*(G$4:G$6&lt;&gt;"")*(E$4:E$6&gt;E5))+1,IF(G5&lt;&gt;"",SUMPRODUCT((H$4:H$6="No DD")*(E$4:E$6&gt;E5))+1+SUMPRODUCT((F$4:F$6&lt;&gt;"")*(G$4:G$6&lt;&gt;"")),""))</f>
        <v/>
      </c>
      <c r="B5" s="6" t="s">
        <v>127</v>
      </c>
      <c r="C5" s="7" t="s">
        <v>6</v>
      </c>
      <c r="D5" s="5" t="s">
        <v>128</v>
      </c>
      <c r="E5" s="14">
        <f>SUM(J5,L5)</f>
        <v>0</v>
      </c>
      <c r="F5" s="3" t="str">
        <f>IF(OR(AND(AE5&gt;=AO$8,AE5&lt;&gt;"",AG5&gt;=AO$12,AG5&lt;&gt;"",AD5=""),AND(AH5&gt;=AO$8,AH5&lt;&gt;"",AJ5&gt;=AO$12,AJ5&lt;&gt;"",AD5=""),AND(AL5&gt;=AO$8,AL5&lt;&gt;"",AN5&gt;=AO$12,AN5&lt;&gt;"",AD5=""),AND(BF5&gt;=BP$8,BF5&lt;&gt;"",BH5&gt;=BP$12,BH5&lt;&gt;"",BE5=""),AND(BI5&gt;=BP$8,BI5&lt;&gt;"",BK5&gt;=BP$12,BK5&lt;&gt;"",BE5=""),AND(BM5&gt;=BP$8,BM5&lt;&gt;"",BO5&gt;=BP$12,BO5&lt;&gt;"",BE5=""),AND(CG5&gt;=CQ$8,CG5&lt;&gt;"",CI5&gt;=CQ$12,CI5&lt;&gt;"",CF5=""),AND(CJ5&gt;=CQ$8,CJ5&lt;&gt;"",CL5&gt;=CQ$12,CL5&lt;&gt;"",CF5=""),AND(CN5&gt;=CQ$8,CN5&lt;&gt;"",CP5&gt;=CQ$12,CP5&lt;&gt;"",CF5=""),AND(DN5&gt;=EA$8,DN5&lt;&gt;"",DP5&gt;=EA$12,DP5&lt;&gt;""),AND(DQ5&gt;=EA$8,DQ5&lt;&gt;"",DS5&gt;=EA$12,DS5&lt;&gt;""),AND(DU5&gt;=EA$8,DU5&lt;&gt;"",DW5&gt;=EA$12,DW5&lt;&gt;""),AND(DX5&gt;=EA$8,DX5&lt;&gt;"",DZ5&gt;=EA$12,DZ5&lt;&gt;""),AND(EV5&gt;=FI$8,EV5&lt;&gt;"",EX5&gt;=FI$12,EX5&lt;&gt;""),AND(EY5&gt;=FI$8,EY5&lt;&gt;"",FA5&gt;=FI$12,FA5&lt;&gt;""),AND(FC5&gt;=FI$8,FC5&lt;&gt;"",FE5&gt;=FI$12,FE5&lt;&gt;""),AND(FF5&gt;=FI$8,FF5&lt;&gt;"",FH5&gt;=FI$12,FH5&lt;&gt;""),AND(GD5&gt;=GQ$8,GD5&lt;&gt;"",GF5&gt;=GQ$12,GF5&lt;&gt;""),AND(GG5&gt;=GQ$8,GG5&lt;&gt;"",GI5&gt;=GQ$12,GI5&lt;&gt;""),AND(GK5&gt;=GQ$8,GK5&lt;&gt;"",GM5&gt;=GQ$12,GM5&lt;&gt;""),AND(GN5&gt;=GQ$8,GN5&lt;&gt;"",GP5&gt;=GQ$12,GP5&lt;&gt;""),AND(HL5&gt;=HY$8,HL5&lt;&gt;"",HN5&gt;=HY$12,HN5&lt;&gt;""),AND(HO5&gt;=HY$8,HO5&lt;&gt;"",HQ5&gt;=HY$12,HQ5&lt;&gt;""),AND(HS5&gt;=HY$8,HS5&lt;&gt;"",HU5&gt;=HY$12,HU5&lt;&gt;""),AND(HV5&gt;=HY$8,HV5&lt;&gt;"",HX5&gt;=HY$12,HX5&lt;&gt;""),AND(IT5&gt;=JG$8,IT5&lt;&gt;"",IV5&gt;=JG$12,IV5&lt;&gt;""),AND(IW5&gt;=JG$8,IW5&lt;&gt;"",IY5&gt;=JG$12,IY5&lt;&gt;""),AND(JA5&gt;=JG$8,JA5&lt;&gt;"",JC5&gt;=JG$12,JC5&lt;&gt;""),AND(JD5&gt;=JG$8,JD5&lt;&gt;"",JF5&gt;=JG$12,JF5&lt;&gt;""),AND(KB5&gt;=KO$8,KB5&lt;&gt;"",KD5&gt;=KO$12,KD5&lt;&gt;""),AND(KE5&gt;=KO$8,KE5&lt;&gt;"",KG5&gt;=KO$12,KG5&lt;&gt;""),AND(KI5&gt;=KO$8,KI5&lt;&gt;"",KK5&gt;=KO$12,KK5&lt;&gt;""),AND(KL5&gt;=KO$8,KL5&lt;&gt;"",KN5&gt;=KO$12,KN5&lt;&gt;""),AND(LJ5&gt;=LW$8,LJ5&lt;&gt;"",LL5&gt;=LW$12,LL5&lt;&gt;""),AND(LM5&gt;=LW$8,LM5&lt;&gt;"",LO5&gt;=LW$12,LO5&lt;&gt;""),AND(LQ5&gt;=LW$8,LQ5&lt;&gt;"",LS5&gt;=LW$12,LS5&lt;&gt;""),AND(LT5&gt;=LW$8,LT5&lt;&gt;"",LV5&gt;=LW$12,LV5&lt;&gt;""),AND(MR5&gt;=NE$8,MR5&lt;&gt;"",MT5&gt;=NE$12,MT5&lt;&gt;""),AND(MU5&gt;=NE$8,MU5&lt;&gt;"",MW5&gt;=NE$12,MW5&lt;&gt;""),AND(MY5&gt;=NE$8,MY5&lt;&gt;"",NA5&gt;=NE$12,NA5&lt;&gt;""),AND(NB5&gt;=NE$8,NB5&lt;&gt;"",ND5&gt;=NE$12,ND5&lt;&gt;""),AND(NZ5&gt;=OM$8,NZ5&lt;&gt;"",OB5&gt;=OM$12,OB5&lt;&gt;""),AND(OC5&gt;=OM$8,OC5&lt;&gt;"",OE5&gt;=OM$12,OE5&lt;&gt;""),AND(OG5&gt;=OM$8,OG5&lt;&gt;"",OI5&gt;=OM$12,OI5&lt;&gt;""),AND(OJ5&gt;=OM$8,OJ5&lt;&gt;"",OL5&gt;=OM$12,OL5&lt;&gt;""),AND(PH5&gt;=PU$8,PH5&lt;&gt;"",PJ5&gt;=PU$12,PJ5&lt;&gt;""),AND(PK5&gt;=PU$8,PK5&lt;&gt;"",PM5&gt;=PU$12,PM5&lt;&gt;""),AND(PO5&gt;=PU$8,PO5&lt;&gt;"",PQ5&gt;=PU$12,PQ5&lt;&gt;""),AND(PR5&gt;=PU$8,PR5&lt;&gt;"",PT5&gt;=PU$12,PT5&lt;&gt;""),AND(QP5&gt;=RC$8,QP5&lt;&gt;"",QR5&gt;=RC$12,QR5&lt;&gt;""),AND(QS5&gt;=RC$8,QS5&lt;&gt;"",QU5&gt;=RC$12,QU5&lt;&gt;""),AND(QW5&gt;=RC$8,QW5&lt;&gt;"",QY5&gt;=RC$12,QY5&lt;&gt;""),AND(QZ5&gt;=RC$8,QZ5&lt;&gt;"",RB5&gt;=RC$12,RB5&lt;&gt;""),AND(RX5&gt;=SK$8,RX5&lt;&gt;"",RZ5&gt;=SK$12,RZ5&lt;&gt;""),AND(SA5&gt;=SK$8,SA5&lt;&gt;"",SC5&gt;=SK$12,SC5&lt;&gt;""),AND(SE5&gt;=SK$8,SE5&lt;&gt;"",SG5&gt;=SK$12,SG5&lt;&gt;""),AND(SH5&gt;=SK$8,SH5&lt;&gt;"",SJ5&gt;=SK$12,SJ5&lt;&gt;"")),"P","")</f>
        <v/>
      </c>
      <c r="G5" s="3" t="str">
        <f>IF(OR(AND(AG5&gt;=AO$12,AG5&lt;&gt;"",AD5=""),AND(AJ5&gt;=AO$12,AJ5&lt;&gt;"",AD5=""),AND(AN5&gt;=AO$12,AN5&lt;&gt;"",AD5=""),AND(BH5&gt;=BP$12,BH5&lt;&gt;"",BE5=""),AND(BK5&gt;=BP$12,BK5&lt;&gt;"",BE5=""),AND(BO5&gt;=BP$12,BO5&lt;&gt;"",BE5=""),AND(CI5&gt;=CQ$12,CI5&lt;&gt;"",CF5=""),AND(CL5&gt;=CQ$12,CL5&lt;&gt;"",CF5=""),AND(CP5&gt;=CQ$12,CP5&lt;&gt;"",CF5=""),AND(DP5&gt;=EA$12,DP5&lt;&gt;""),AND(DS5&gt;=EA$12,DS5&lt;&gt;""),AND(DW5&gt;=EA$12,DW5&lt;&gt;""),AND(DZ5&gt;=EA$12,DZ5&lt;&gt;""),AND(EX5&gt;=FI$12,EX5&lt;&gt;""),AND(FA5&gt;=FI$12,FA5&lt;&gt;""),AND(FE5&gt;=FI$12,FE5&lt;&gt;""),AND(FH5&gt;=FI$12,FH5&lt;&gt;""),AND(GF5&gt;=GQ$12,GF5&lt;&gt;""),AND(GI5&gt;=GQ$12,GI5&lt;&gt;""),AND(GM5&gt;=GQ$12,GM5&lt;&gt;""),AND(GP5&gt;=GQ$12,GP5&lt;&gt;""),AND(HN5&gt;=HY$12,HN5&lt;&gt;""),AND(HQ5&gt;=HY$12,HQ5&lt;&gt;""),AND(HU5&gt;=HY$12,HU5&lt;&gt;""),AND(HX5&gt;=HY$12,HX5&lt;&gt;""),AND(IV5&gt;=JG$12,IV5&lt;&gt;""),AND(IY5&gt;=JG$12,IY5&lt;&gt;""),AND(JC5&gt;=JG$12,JC5&lt;&gt;""),AND(JF5&gt;=JG$12,JF5&lt;&gt;""),AND(KD5&gt;=KO$12,KD5&lt;&gt;""),AND(KG5&gt;=KO$12,KG5&lt;&gt;""),AND(KK5&gt;=KO$12,KK5&lt;&gt;""),AND(KN5&gt;=KO$12,KN5&lt;&gt;""),AND(LL5&gt;=LW$12,LL5&lt;&gt;""),AND(LO5&gt;=LW$12,LO5&lt;&gt;""),AND(LS5&gt;=LW$12,LS5&lt;&gt;""),AND(LV5&gt;=LW$12,LV5&lt;&gt;""),AND(MT5&gt;=NE$12,MT5&lt;&gt;""),AND(MW5&gt;=NE$12,MW5&lt;&gt;""),AND(NA5&gt;=NE$12,NA5&lt;&gt;""),AND(ND5&gt;=NE$12,ND5&lt;&gt;""),AND(OB5&gt;=OM$12,OB5&lt;&gt;""),AND(OE5&gt;=OM$12,OE5&lt;&gt;""),AND(OI5&gt;=OM$12,OI5&lt;&gt;""),AND(OL5&gt;=OM$12,OL5&lt;&gt;""),AND(PJ5&gt;=PU$12,PJ5&lt;&gt;""),AND(PM5&gt;=PU$12,PM5&lt;&gt;""),AND(PQ5&gt;=PU$12,PQ5&lt;&gt;""),AND(PT5&gt;=PU$12,PT5&lt;&gt;""),AND(QR5&gt;=RC$12,QR5&lt;&gt;""),AND(QU5&gt;=RC$12,QU5&lt;&gt;""),AND(QY5&gt;=RC$12,QY5&lt;&gt;""),AND(RB5&gt;=RC$12,RB5&lt;&gt;""),AND(RZ5&gt;=SK$12,RZ5&lt;&gt;""),AND(SC5&gt;=SK$12,SC5&lt;&gt;""),AND(SG5&gt;=SK$12,SG5&lt;&gt;""),AND(SJ5&gt;=SK$12,SJ5&lt;&gt;"")),"P","")</f>
        <v/>
      </c>
      <c r="H5" s="70" t="str">
        <f>IF(AND(G5="P",F5=""),"No DD",IF(OR(AND(AE5&gt;=AO$11,AE5&lt;&gt;"",AG5&gt;=AO$15,AG5&lt;&gt;"",AD5=""),AND(AH5&gt;=AO$11,AH5&lt;&gt;"",AJ5&gt;=AO$15,AJ5&lt;&gt;"",AD5=""),AND(AL5&gt;=AO$11,AL5&lt;&gt;"",AN5&gt;=AO$15,AN5&lt;&gt;"",AD5=""),AND(BF5&gt;=BP$11,BF5&lt;&gt;"",BH5&gt;=BP$15,BH5&lt;&gt;"",BE5=""),AND(BI5&gt;=BP$11,BI5&lt;&gt;"",BK5&gt;=BP$15,BK5&lt;&gt;"",BE5=""),AND(BM5&gt;=BP$11,BM5&lt;&gt;"",BO5&gt;=BP$15,BO5&lt;&gt;"",BE5=""),AND(CG5&gt;=CQ$11,CG5&lt;&gt;"",CI5&gt;=CQ$15,CI5&lt;&gt;"",CF5=""),AND(CJ5&gt;=CQ$11,CJ5&lt;&gt;"",CL5&gt;=CQ$15,CL5&lt;&gt;"",CF5=""),AND(CN5&gt;=CQ$11,CN5&lt;&gt;"",CP5&gt;=CQ$15,CP5&lt;&gt;"",CF5=""),AND(DN5&gt;=EA$11,DN5&lt;&gt;"",DP5&gt;=EA$15,DP5&lt;&gt;""),AND(DQ5&gt;=EA$11,DQ5&lt;&gt;"",DS5&gt;=EA$15,DS5&lt;&gt;""),AND(DU5&gt;=EA$11,DU5&lt;&gt;"",DW5&gt;=EA$15,DW5&lt;&gt;""),AND(DX5&gt;=EA$11,DX5&lt;&gt;"",DZ5&gt;=EA$15,DZ5&lt;&gt;""),AND(EV5&gt;=FI$11,EV5&lt;&gt;"",EX5&gt;=FI$15,EX5&lt;&gt;""),AND(EY5&gt;=FI$11,EY5&lt;&gt;"",FA5&gt;=FI$15,FA5&lt;&gt;""),AND(FC5&gt;=FI$11,FC5&lt;&gt;"",FE5&gt;=FI$15,FE5&lt;&gt;""),AND(FF5&gt;=FI$11,FF5&lt;&gt;"",FH5&gt;=FI$15,FH5&lt;&gt;""),AND(GD5&gt;=GQ$11,GD5&lt;&gt;"",GF5&gt;=GQ$15,GF5&lt;&gt;""),AND(GG5&gt;=GQ$11,GG5&lt;&gt;"",GI5&gt;=GQ$15,GI5&lt;&gt;""),AND(GK5&gt;=GQ$11,GK5&lt;&gt;"",GM5&gt;=GQ$15,GM5&lt;&gt;""),AND(GN5&gt;=GQ$11,GN5&lt;&gt;"",GP5&gt;=GQ$15,GP5&lt;&gt;""),AND(HL5&gt;=HY$11,HL5&lt;&gt;"",HN5&gt;=HY$15,HN5&lt;&gt;""),AND(HO5&gt;=HY$11,HO5&lt;&gt;"",HQ5&gt;=HY$15,HQ5&lt;&gt;""),AND(HS5&gt;=HY$11,HS5&lt;&gt;"",HU5&gt;=HY$15,HU5&lt;&gt;""),AND(HV5&gt;=HY$11,HV5&lt;&gt;"",HX5&gt;=HY$15,HX5&lt;&gt;""),AND(IT5&gt;=JG$11,IT5&lt;&gt;"",IV5&gt;=JG$15,IV5&lt;&gt;""),AND(IW5&gt;=JG$11,IW5&lt;&gt;"",IY5&gt;=JG$15,IY5&lt;&gt;""),AND(JA5&gt;=JG$11,JA5&lt;&gt;"",JC5&gt;=JG$15,JC5&lt;&gt;""),AND(JD5&gt;=JG$11,JD5&lt;&gt;"",JF5&gt;=JG$15,JF5&lt;&gt;""),AND(KB5&gt;=KO$11,KB5&lt;&gt;"",KD5&gt;=KO$15,KD5&lt;&gt;""),AND(KE5&gt;=KO$11,KE5&lt;&gt;"",KG5&gt;=KO$15,KG5&lt;&gt;""),AND(KI5&gt;=KO$11,KI5&lt;&gt;"",KK5&gt;=KO$15,KK5&lt;&gt;""),AND(KL5&gt;=KO$11,KL5&lt;&gt;"",KN5&gt;=KO$15,KN5&lt;&gt;""),AND(LJ5&gt;=LW$11,LJ5&lt;&gt;"",LL5&gt;=LW$15,LL5&lt;&gt;""),AND(LM5&gt;=LW$11,LM5&lt;&gt;"",LO5&gt;=LW$15,LO5&lt;&gt;""),AND(LQ5&gt;=LW$11,LQ5&lt;&gt;"",LS5&gt;=LW$15,LS5&lt;&gt;""),AND(LT5&gt;=LW$11,LT5&lt;&gt;"",LV5&gt;=LW$15,LV5&lt;&gt;""),AND(MR5&gt;=NE$11,MR5&lt;&gt;"",MT5&gt;=NE$15,MT5&lt;&gt;""),AND(MU5&gt;=NE$11,MU5&lt;&gt;"",MW5&gt;=NE$15,MW5&lt;&gt;""),AND(MY5&gt;=NE$11,MY5&lt;&gt;"",NA5&gt;=NE$15,NA5&lt;&gt;""),AND(NB5&gt;=NE$11,NB5&lt;&gt;"",ND5&gt;=NE$15,ND5&lt;&gt;""),AND(NZ5&gt;=OM$11,NZ5&lt;&gt;"",OB5&gt;=OM$15,OB5&lt;&gt;""),AND(OC5&gt;=OM$11,OC5&lt;&gt;"",OE5&gt;=OM$15,OE5&lt;&gt;""),AND(OG5&gt;=OM$11,OG5&lt;&gt;"",OI5&gt;=OM$15,OI5&lt;&gt;""),AND(OJ5&gt;=OM$11,OJ5&lt;&gt;"",OL5&gt;=OM$15,OL5&lt;&gt;""),AND(PH5&gt;=PU$11,PH5&lt;&gt;"",PJ5&gt;=PU$15,PJ5&lt;&gt;""),AND(PK5&gt;=PU$11,PK5&lt;&gt;"",PM5&gt;=PU$15,PM5&lt;&gt;""),AND(PO5&gt;=PU$11,PO5&lt;&gt;"",PQ5&gt;=PU$15,PQ5&lt;&gt;""),AND(PR5&gt;=PU$11,PR5&lt;&gt;"",PT5&gt;=PU$15,PT5&lt;&gt;""),AND(QP5&gt;=RC$11,QP5&lt;&gt;"",QR5&gt;=RC$15,QR5&lt;&gt;""),AND(QS5&gt;=RC$11,QS5&lt;&gt;"",QU5&gt;=RC$15,QU5&lt;&gt;""),AND(QW5&gt;=RC$11,QW5&lt;&gt;"",QY5&gt;=RC$15,QY5&lt;&gt;""),AND(QZ5&gt;=RC$11,QZ5&lt;&gt;"",RB5&gt;=RC$15,RB5&lt;&gt;""),AND(RX5&gt;=SK$11,RX5&lt;&gt;"",RZ5&gt;=SK$15,RZ5&lt;&gt;""),AND(SA5&gt;=SK$11,SA5&lt;&gt;"",SC5&gt;=SK$15,SC5&lt;&gt;""),AND(SE5&gt;=SK$11,SE5&lt;&gt;"",SG5&gt;=SK$15,SG5&lt;&gt;""),AND(SH5&gt;=SK$11,SH5&lt;&gt;"",SJ5&gt;=SK$15,SJ5&lt;&gt;"")),"Merit",IF(OR(AND(AE5&gt;=AO$10,AE5&lt;&gt;"",AG5&gt;=AO$14,AG5&lt;&gt;"",AD5=""),AND(AH5&gt;=AO$10,AH5&lt;&gt;"",AJ5&gt;=AO$14,AJ5&lt;&gt;"",AD5=""),AND(AL5&gt;=AO$10,AL5&lt;&gt;"",AN5&gt;=AO$14,AN5&lt;&gt;"",AD5=""),AND(BF5&gt;=BP$10,BF5&lt;&gt;"",BH5&gt;=BP$14,BH5&lt;&gt;"",BE5=""),AND(BI5&gt;=BP$10,BI5&lt;&gt;"",BK5&gt;=BP$14,BK5&lt;&gt;"",BE5=""),AND(BM5&gt;=BP$10,BM5&lt;&gt;"",BO5&gt;=BP$14,BO5&lt;&gt;"",BE5=""),AND(CG5&gt;=CQ$10,CG5&lt;&gt;"",CI5&gt;=CQ$14,CI5&lt;&gt;"",CF5=""),AND(CJ5&gt;=CQ$10,CJ5&lt;&gt;"",CL5&gt;=CQ$14,CL5&lt;&gt;"",CF5=""),AND(CN5&gt;=CQ$10,CN5&lt;&gt;"",CP5&gt;=CQ$14,CP5&lt;&gt;"",CF5=""),AND(DN5&gt;=EA$10,DN5&lt;&gt;"",DP5&gt;=EA$14,DP5&lt;&gt;""),AND(DQ5&gt;=EA$10,DQ5&lt;&gt;"",DS5&gt;=EA$14,DS5&lt;&gt;""),AND(DU5&gt;=EA$10,DU5&lt;&gt;"",DW5&gt;=EA$14,DW5&lt;&gt;""),AND(DX5&gt;=EA$10,DX5&lt;&gt;"",DZ5&gt;=EA$14,DZ5&lt;&gt;""),AND(EV5&gt;=FI$10,EV5&lt;&gt;"",EX5&gt;=FI$14,EX5&lt;&gt;""),AND(EY5&gt;=FI$10,EY5&lt;&gt;"",FA5&gt;=FI$14,FA5&lt;&gt;""),AND(FC5&gt;=FI$10,FC5&lt;&gt;"",FE5&gt;=FI$14,FE5&lt;&gt;""),AND(FF5&gt;=FI$10,FF5&lt;&gt;"",FH5&gt;=FI$14,FH5&lt;&gt;""),AND(GD5&gt;=GQ$10,GD5&lt;&gt;"",GF5&gt;=GQ$14,GF5&lt;&gt;""),AND(GG5&gt;=GQ$10,GG5&lt;&gt;"",GI5&gt;=GQ$14,GI5&lt;&gt;""),AND(GK5&gt;=GQ$10,GK5&lt;&gt;"",GM5&gt;=GQ$14,GM5&lt;&gt;""),AND(GN5&gt;=GQ$10,GN5&lt;&gt;"",GP5&gt;=GQ$14,GP5&lt;&gt;""),AND(HL5&gt;=HY$10,HL5&lt;&gt;"",HN5&gt;=HY$14,HN5&lt;&gt;""),AND(HO5&gt;=HY$10,HO5&lt;&gt;"",HQ5&gt;=HY$14,HQ5&lt;&gt;""),AND(HS5&gt;=HY$10,HS5&lt;&gt;"",HU5&gt;=HY$14,HU5&lt;&gt;""),AND(HV5&gt;=HY$10,HV5&lt;&gt;"",HX5&gt;=HY$14,HX5&lt;&gt;""),AND(IT5&gt;=JG$10,IT5&lt;&gt;"",IV5&gt;=JG$14,IV5&lt;&gt;""),AND(IW5&gt;=JG$10,IW5&lt;&gt;"",IY5&gt;=JG$14,IY5&lt;&gt;""),AND(JA5&gt;=JG$10,JA5&lt;&gt;"",JC5&gt;=JG$14,JC5&lt;&gt;""),AND(JD5&gt;=JG$10,JD5&lt;&gt;"",JF5&gt;=JG$14,JF5&lt;&gt;""),AND(KB5&gt;=KO$10,KB5&lt;&gt;"",KD5&gt;=KO$14,KD5&lt;&gt;""),AND(KE5&gt;=KO$10,KE5&lt;&gt;"",KG5&gt;=KO$14,KG5&lt;&gt;""),AND(KI5&gt;=KO$10,KI5&lt;&gt;"",KK5&gt;=KO$14,KK5&lt;&gt;""),AND(KL5&gt;=KO$10,KL5&lt;&gt;"",KN5&gt;=KO$14,KN5&lt;&gt;""),AND(LJ5&gt;=LW$10,LJ5&lt;&gt;"",LL5&gt;=LW$14,LL5&lt;&gt;""),AND(LM5&gt;=LW$10,LM5&lt;&gt;"",LO5&gt;=LW$14,LO5&lt;&gt;""),AND(LQ5&gt;=LW$10,LQ5&lt;&gt;"",LS5&gt;=LW$14,LS5&lt;&gt;""),AND(LT5&gt;=LW$10,LT5&lt;&gt;"",LV5&gt;=LW$14,LV5&lt;&gt;""),AND(MR5&gt;=NE$10,MR5&lt;&gt;"",MT5&gt;=NE$14,MT5&lt;&gt;""),AND(MU5&gt;=NE$10,MU5&lt;&gt;"",MW5&gt;=NE$14,MW5&lt;&gt;""),AND(MY5&gt;=NE$10,MY5&lt;&gt;"",NA5&gt;=NE$14,NA5&lt;&gt;""),AND(NB5&gt;=NE$10,NB5&lt;&gt;"",ND5&gt;=NE$14,ND5&lt;&gt;""),AND(NZ5&gt;=OM$10,NZ5&lt;&gt;"",OB5&gt;=OM$14,OB5&lt;&gt;""),AND(OC5&gt;=OM$10,OC5&lt;&gt;"",OE5&gt;=OM$14,OE5&lt;&gt;""),AND(OG5&gt;=OM$10,OG5&lt;&gt;"",OI5&gt;=OM$14,OI5&lt;&gt;""),AND(OJ5&gt;=OM$10,OJ5&lt;&gt;"",OL5&gt;=OM$14,OL5&lt;&gt;""),AND(PH5&gt;=PU$10,PH5&lt;&gt;"",PJ5&gt;=PU$14,PJ5&lt;&gt;""),AND(PK5&gt;=PU$10,PK5&lt;&gt;"",PM5&gt;=PU$14,PM5&lt;&gt;""),AND(PO5&gt;=PU$10,PO5&lt;&gt;"",PQ5&gt;=PU$14,PQ5&lt;&gt;""),AND(PR5&gt;=PU$10,PR5&lt;&gt;"",PT5&gt;=PU$14,PT5&lt;&gt;""),AND(QP5&gt;=RC$10,QP5&lt;&gt;"",QR5&gt;=RC$14,QR5&lt;&gt;""),AND(QS5&gt;=RC$10,QS5&lt;&gt;"",QU5&gt;=RC$14,QU5&lt;&gt;""),AND(QW5&gt;=RC$10,QW5&lt;&gt;"",QY5&gt;=RC$14,QY5&lt;&gt;""),AND(QZ5&gt;=RC$10,QZ5&lt;&gt;"",RB5&gt;=RC$14,RB5&lt;&gt;""),AND(RX5&gt;=SK$10,RX5&lt;&gt;"",RZ5&gt;=SK$14,RZ5&lt;&gt;""),AND(SA5&gt;=SK$10,SA5&lt;&gt;"",SC5&gt;=SK$14,SC5&lt;&gt;""),AND(SE5&gt;=SK$10,SE5&lt;&gt;"",SG5&gt;=SK$14,SG5&lt;&gt;""),AND(SH5&gt;=SK$10,SH5&lt;&gt;"",SJ5&gt;=SK$14,SJ5&lt;&gt;"")),"Excellence",IF(I5="P","Worlds Team",IF(F5="P","National Team","")))))</f>
        <v/>
      </c>
      <c r="I5" s="3" t="str">
        <f>IF(OR(AND(AE5&gt;=AO$9,AE5&lt;&gt;"",AG5&gt;=AO$13,AG5&lt;&gt;"",AD5=""),AND(AH5&gt;=AO$9,AH5&lt;&gt;"",AJ5&gt;=AO$13,AJ5&lt;&gt;"",AD5=""),AND(AL5&gt;=AO$9,AL5&lt;&gt;"",AN5&gt;=AO$13,AN5&lt;&gt;"",AD5=""),AND(BF5&gt;=BP$9,BF5&lt;&gt;"",BH5&gt;=BP$13,BH5&lt;&gt;"",BE5=""),AND(BI5&gt;=BP$9,BI5&lt;&gt;"",BK5&gt;=BP$13,BK5&lt;&gt;"",BE5=""),AND(BM5&gt;=BP$9,BM5&lt;&gt;"",BO5&gt;=BP$13,BO5&lt;&gt;"",BE5=""),AND(CG5&gt;=CQ$9,CG5&lt;&gt;"",CI5&gt;=CQ$13,CI5&lt;&gt;"",CF5=""),AND(CJ5&gt;=CQ$9,CJ5&lt;&gt;"",CL5&gt;=CQ$13,CL5&lt;&gt;"",CF5=""),AND(CN5&gt;=CQ$9,CN5&lt;&gt;"",CP5&gt;=CQ$13,CP5&lt;&gt;"",CF5=""),AND(DN5&gt;=EA$9,DN5&lt;&gt;"",DP5&gt;=EA$13,DP5&lt;&gt;""),AND(DQ5&gt;=EA$9,DQ5&lt;&gt;"",DS5&gt;=EA$13,DS5&lt;&gt;""),AND(DU5&gt;=EA$9,DU5&lt;&gt;"",DW5&gt;=EA$13,DW5&lt;&gt;""),AND(DX5&gt;=EA$9,DX5&lt;&gt;"",DZ5&gt;=EA$13,DZ5&lt;&gt;""),AND(EV5&gt;=FI$9,EV5&lt;&gt;"",EX5&gt;=FI$13,EX5&lt;&gt;""),AND(EY5&gt;=FI$9,EY5&lt;&gt;"",FA5&gt;=FI$13,FA5&lt;&gt;""),AND(FC5&gt;=FI$9,FC5&lt;&gt;"",FE5&gt;=FI$13,FE5&lt;&gt;""),AND(FF5&gt;=FI$9,FF5&lt;&gt;"",FH5&gt;=FI$13,FH5&lt;&gt;""),AND(GD5&gt;=GQ$9,GD5&lt;&gt;"",GF5&gt;=GQ$13,GF5&lt;&gt;""),AND(GG5&gt;=GQ$9,GG5&lt;&gt;"",GI5&gt;=GQ$13,GI5&lt;&gt;""),AND(GK5&gt;=GQ$9,GK5&lt;&gt;"",GM5&gt;=GQ$13,GM5&lt;&gt;""),AND(GN5&gt;=GQ$9,GN5&lt;&gt;"",GP5&gt;=GQ$13,GP5&lt;&gt;""),AND(HL5&gt;=HY$9,HL5&lt;&gt;"",HN5&gt;=HY$13,HN5&lt;&gt;""),AND(HO5&gt;=HY$9,HO5&lt;&gt;"",HQ5&gt;=HY$13,HQ5&lt;&gt;""),AND(HS5&gt;=HY$9,HS5&lt;&gt;"",HU5&gt;=HY$13,HU5&lt;&gt;""),AND(HV5&gt;=HY$9,HV5&lt;&gt;"",HX5&gt;=HY$13,HX5&lt;&gt;""),AND(IT5&gt;=JG$9,IT5&lt;&gt;"",IV5&gt;=JG$13,IV5&lt;&gt;""),AND(IW5&gt;=JG$9,IW5&lt;&gt;"",IY5&gt;=JG$13,IY5&lt;&gt;""),AND(JA5&gt;=JG$9,JA5&lt;&gt;"",JC5&gt;=JG$13,JC5&lt;&gt;""),AND(JD5&gt;=JG$9,JD5&lt;&gt;"",JF5&gt;=JG$13,JF5&lt;&gt;""),AND(KB5&gt;=KO$9,KB5&lt;&gt;"",KD5&gt;=KO$13,KD5&lt;&gt;""),AND(KE5&gt;=KO$9,KE5&lt;&gt;"",KG5&gt;=KO$13,KG5&lt;&gt;""),AND(KI5&gt;=KO$9,KI5&lt;&gt;"",KK5&gt;=KO$13,KK5&lt;&gt;""),AND(KL5&gt;=KO$9,KL5&lt;&gt;"",KN5&gt;=KO$13,KN5&lt;&gt;""),AND(LJ5&gt;=LW$9,LJ5&lt;&gt;"",LL5&gt;=LW$13,LL5&lt;&gt;""),AND(LM5&gt;=LW$9,LM5&lt;&gt;"",LO5&gt;=LW$13,LO5&lt;&gt;""),AND(LQ5&gt;=LW$9,LQ5&lt;&gt;"",LS5&gt;=LW$13,LS5&lt;&gt;""),AND(LT5&gt;=LW$9,LT5&lt;&gt;"",LV5&gt;=LW$13,LV5&lt;&gt;""),AND(MR5&gt;=NE$9,MR5&lt;&gt;"",MT5&gt;=NE$13,MT5&lt;&gt;""),AND(MU5&gt;=NE$9,MU5&lt;&gt;"",MW5&gt;=NE$13,MW5&lt;&gt;""),AND(MY5&gt;=NE$9,MY5&lt;&gt;"",NA5&gt;=NE$13,NA5&lt;&gt;""),AND(NB5&gt;=NE$9,NB5&lt;&gt;"",ND5&gt;=NE$13,ND5&lt;&gt;""),AND(NZ5&gt;=OM$9,NZ5&lt;&gt;"",OB5&gt;=OM$13,OB5&lt;&gt;""),AND(OC5&gt;=OM$9,OC5&lt;&gt;"",OE5&gt;=OM$13,OE5&lt;&gt;""),AND(OG5&gt;=OM$9,OG5&lt;&gt;"",OI5&gt;=OM$13,OI5&lt;&gt;""),AND(OJ5&gt;=OM$9,OJ5&lt;&gt;"",OL5&gt;=OM$13,OL5&lt;&gt;""),AND(PH5&gt;=PU$9,PH5&lt;&gt;"",PJ5&gt;=PU$13,PJ5&lt;&gt;""),AND(PK5&gt;=PU$9,PK5&lt;&gt;"",PM5&gt;=PU$13,PM5&lt;&gt;""),AND(PO5&gt;=PU$9,PO5&lt;&gt;"",PQ5&gt;=PU$13,PQ5&lt;&gt;""),AND(PR5&gt;=PU$9,PR5&lt;&gt;"",PT5&gt;=PU$13,PT5&lt;&gt;""),AND(QP5&gt;=RC$9,QP5&lt;&gt;"",QR5&gt;=RC$13,QR5&lt;&gt;""),AND(QS5&gt;=RC$9,QS5&lt;&gt;"",QU5&gt;=RC$13,QU5&lt;&gt;""),AND(QW5&gt;=RC$9,QW5&lt;&gt;"",QY5&gt;=RC$13,QY5&lt;&gt;""),AND(QZ5&gt;=RC$9,QZ5&lt;&gt;"",RB5&gt;=RC$13,RB5&lt;&gt;""),AND(RX5&gt;=SK$9,RX5&lt;&gt;"",RZ5&gt;=SK$13,RZ5&lt;&gt;""),AND(SA5&gt;=SK$9,SA5&lt;&gt;"",SC5&gt;=SK$13,SC5&lt;&gt;""),AND(SE5&gt;=SK$9,SE5&lt;&gt;"",SG5&gt;=SK$13,SG5&lt;&gt;""),AND(SH5&gt;=SK$9,SH5&lt;&gt;"",SJ5&gt;=SK$13,SJ5&lt;&gt;"")),"P","")</f>
        <v/>
      </c>
      <c r="J5" s="13">
        <f>IF(COUNT(AG5,AJ5,AN5,BH5,BK5,BO5,CI5,CL5,CP5)&gt;0,LARGE((AG5,AJ5,AN5,BH5,BK5,BO5,CI5,CL5,CP5),1),0)</f>
        <v>0</v>
      </c>
      <c r="K5" s="13" t="str">
        <f>IF(J5="","",IF(OR(J5=CI5,J5=CL5,J5=CP5),$BQ$1,IF(OR(J5=BH5,J5=BK5,J5=BO5),$AP$1,IF(OR(J5=AG5,J5=AJ5,J5=AN5),$O$1,""))))</f>
        <v/>
      </c>
      <c r="L5" s="13" t="str">
        <f>IF(MAX(CR5,CS5)&gt;0,MAX(CR5,CS5),"")</f>
        <v/>
      </c>
      <c r="M5" s="16" t="str">
        <f>IF(L5="","",IF(L5=CR5,"("&amp;CR$2&amp;")",IF(L5=CS5,"("&amp;CS$2&amp;")")))</f>
        <v/>
      </c>
      <c r="N5" s="13" t="str">
        <f>IF(L5="","",IF(L5=CR5,IF(L5+IF(J4="",0,J4)=SD5,$RD$1,IF(L5+IF(J4="",0,J4)=QV5,$PV$1,IF(L5+IF(J4="",0,J4)=PN5,$ON$1,IF(L5+IF(J4="",0,J4)=OF5,$NF$1,IF(L5+IF(J4="",0,J4)=MX5,$LX$1,IF(L5+IF(J4="",0,J4)=LP5,$KP$1,IF(L5+IF(J4="",0,J4)=KH5,$JH$1,IF(L5+IF(J4="",0,J4)=IZ5,$HZ$1,IF(L5+IF(J4="",0,J4)=HR5,$GR$1,IF(L5+IF(J4="",0,J4)=GJ5,$FJ$1,IF(L5+IF(J4="",0,J4)=FB5,$EB$1,IF(L5+IF(J4="",0,J4)=DT5,$CT$1)))))))))))),IF(L5=CS5,IF(L5+IF(J4="",0,J4)=SJ5,$RD$1,IF(L5+IF(J4="",0,J4)=RB5,$PV$1,IF(L5+IF(J4="",0,J4)=PT5,$ON$1,IF(L5+IF(J4="",0,J4)=OL5,$NF$1,IF(L5+IF(J4="",0,J4)=ND5,$LX$1,IF(L5+IF(J4="",0,J4)=LV5,$KP$1,IF(L5+IF(J4="",0,J4)=KN5,$JH$1,IF(L5+IF(J4="",0,J4)=JF5,$HZ$1,IF(L5+IF(J4="",0,J4)=HX5,$GR$1,IF(L5+IF(J4="",0,J4)=GP5,$FJ$1,IF(L5+IF(J4="",0,J4)=FH5,$EB$1,IF(L5+IF(J4="",0,J4)=DZ5,$CT$1)))))))))))))))</f>
        <v/>
      </c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51"/>
      <c r="AE5" s="74" t="str">
        <f>IF(Q5&gt;0,Q5,"")</f>
        <v/>
      </c>
      <c r="AF5" s="74" t="str">
        <f>IF(R5&gt;0,R5,"")</f>
        <v/>
      </c>
      <c r="AG5" s="76" t="str">
        <f>IF(SUM(O5:R5)-S5&gt;0,SUM(O5:R5)-S5,"")</f>
        <v/>
      </c>
      <c r="AH5" s="76" t="str">
        <f>IF(V5&gt;0,V5,"")</f>
        <v/>
      </c>
      <c r="AI5" s="76" t="str">
        <f>IF(W5&gt;0,W5,"")</f>
        <v/>
      </c>
      <c r="AJ5" s="76" t="str">
        <f>IF(SUM(T5:W5)-X5&gt;0,SUM(T5:W5)-X5,"")</f>
        <v/>
      </c>
      <c r="AK5" s="76" t="str">
        <f>IF(AG5="","",MAX(AG5,AJ5))</f>
        <v/>
      </c>
      <c r="AL5" s="76" t="str">
        <f>IF(AA5&gt;0,AA5,"")</f>
        <v/>
      </c>
      <c r="AM5" s="76" t="str">
        <f>IF(AB5&gt;0,AB5,"")</f>
        <v/>
      </c>
      <c r="AN5" s="76" t="str">
        <f>IF(SUM(Y5:AB5)-AC5&gt;0,SUM(Y5:AB5)-AC5,"")</f>
        <v/>
      </c>
      <c r="AO5" s="76" t="str">
        <f>IF(SUM(AK5,AN5)&gt;0,SUM(AK5,AN5),"")</f>
        <v/>
      </c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52"/>
      <c r="BF5" s="75" t="str">
        <f>IF(AR5&gt;0,AR5,"")</f>
        <v/>
      </c>
      <c r="BG5" s="75" t="str">
        <f>IF(AS5&gt;0,AS5,"")</f>
        <v/>
      </c>
      <c r="BH5" s="16" t="str">
        <f>IF(SUM(AP5:AS5)-AT5&gt;0,SUM(AP5:AS5)-AT5,"")</f>
        <v/>
      </c>
      <c r="BI5" s="16" t="str">
        <f>IF(AW5&gt;0,AW5,"")</f>
        <v/>
      </c>
      <c r="BJ5" s="16" t="str">
        <f>IF(AX5&gt;0,AX5,"")</f>
        <v/>
      </c>
      <c r="BK5" s="16" t="str">
        <f>IF(SUM(AU5:AX5)-AY5&gt;0,SUM(AU5:AX5)-AY5,"")</f>
        <v/>
      </c>
      <c r="BL5" s="16" t="str">
        <f>IF(BH5="","",MAX(BH5,BK5))</f>
        <v/>
      </c>
      <c r="BM5" s="16" t="str">
        <f>IF(BB5&gt;0,BB5,"")</f>
        <v/>
      </c>
      <c r="BN5" s="16" t="str">
        <f>IF(BC5&gt;0,BC5,"")</f>
        <v/>
      </c>
      <c r="BO5" s="16" t="str">
        <f>IF(SUM(AZ5:BC5)-BD5&gt;0,SUM(AZ5:BC5)-BD5,"")</f>
        <v/>
      </c>
      <c r="BP5" s="16" t="str">
        <f>IF(SUM(BL5,BO5)&gt;0,SUM(BL5,BO5),"")</f>
        <v/>
      </c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51"/>
      <c r="CG5" s="74" t="str">
        <f>IF(BS5&gt;0,BS5,"")</f>
        <v/>
      </c>
      <c r="CH5" s="74" t="str">
        <f>IF(BT5&gt;0,BT5,"")</f>
        <v/>
      </c>
      <c r="CI5" s="76" t="str">
        <f>IF(SUM(BQ5:BT5)-BU5&gt;0,SUM(BQ5:BT5)-BU5,"")</f>
        <v/>
      </c>
      <c r="CJ5" s="76" t="str">
        <f>IF(BX5&gt;0,BX5,"")</f>
        <v/>
      </c>
      <c r="CK5" s="76" t="str">
        <f>IF(BY5&gt;0,BY5,"")</f>
        <v/>
      </c>
      <c r="CL5" s="76" t="str">
        <f>IF(SUM(BV5:BY5)-BZ5&gt;0,SUM(BV5:BY5)-BZ5,"")</f>
        <v/>
      </c>
      <c r="CM5" s="76" t="str">
        <f>IF(CI5="","",MAX(CI5,CL5))</f>
        <v/>
      </c>
      <c r="CN5" s="76" t="str">
        <f>IF(CC5&gt;0,CC5,"")</f>
        <v/>
      </c>
      <c r="CO5" s="76" t="str">
        <f>IF(CD5&gt;0,CD5,"")</f>
        <v/>
      </c>
      <c r="CP5" s="76" t="str">
        <f>IF(SUM(CA5:CD5)-CE5&gt;0,SUM(CA5:CD5)-CE5,"")</f>
        <v/>
      </c>
      <c r="CQ5" s="76" t="str">
        <f>IF(SUM(CM5,CP5)&gt;0,SUM(CM5,CP5),"")</f>
        <v/>
      </c>
      <c r="CR5" s="87" t="str">
        <f>IF(J5&gt;=0.001,IF(MAX(DT5,FB5,GJ5,HR5,IZ5,KH5,LP5,MX5,OF5,PN5,QV5,SD5)-IF(J5="",0,J5)&gt;0.001,MAX(DT5,FB5,GJ5,HR5,IZ5,KH5,LP5,MX5,OF5,PN5,QV5,SD5)-IF(J5="",0,J5),""),"")</f>
        <v/>
      </c>
      <c r="CS5" s="87" t="str">
        <f>IF(J5&gt;=0.001,IF(MAX(DW5,DZ5,FE5,FH5,GM5,GP5,HU5,HX5,JC5,JF5,KK5,KN5,LS5,LV5,NA5,ND5,OI5,OL5,PQ5,PT5,QY5,RB5,SG5,SJ5)-IF(J5="",0,J5)&gt;0.001,MAX(DW5,DZ5,FE5,FH5,GM5,GP5,HU5,HX5,JC5,JF5,KK5,KN5,LS5,LV5,NA5,ND5,OI5,OL5,PQ5,PT5,QY5,RB5,SG5,SJ5)-IF(J5="",0,J5),""),"")</f>
        <v/>
      </c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76" t="str">
        <f>IF(CV5&gt;0,CV5,"")</f>
        <v/>
      </c>
      <c r="DO5" s="76" t="str">
        <f>IF(CW5&gt;0,CW5,"")</f>
        <v/>
      </c>
      <c r="DP5" s="76" t="str">
        <f>IF(SUM(CT5:CW5)-CX5&gt;0,SUM(CT5:CW5)-CX5,"")</f>
        <v/>
      </c>
      <c r="DQ5" s="76" t="str">
        <f>IF(DA5&gt;0,DA5,"")</f>
        <v/>
      </c>
      <c r="DR5" s="76" t="str">
        <f>IF(DB5&gt;0,DB5,"")</f>
        <v/>
      </c>
      <c r="DS5" s="76" t="str">
        <f>IF(SUM(CY5:DB5)-DC5&gt;0,SUM(CY5:DB5)-DC5,"")</f>
        <v/>
      </c>
      <c r="DT5" s="76" t="str">
        <f>IF(MAX(DP5,DS5)&gt;0,MAX(DP5,DS5),"")</f>
        <v/>
      </c>
      <c r="DU5" s="76" t="str">
        <f>IF(DF5&gt;0,DF5,"")</f>
        <v/>
      </c>
      <c r="DV5" s="76" t="str">
        <f>IF(DG5&gt;0,DG5,"")</f>
        <v/>
      </c>
      <c r="DW5" s="76" t="str">
        <f>IF(SUM(DD5:DG5)-DH5&gt;0,SUM(DD5:DG5)-DH5,"")</f>
        <v/>
      </c>
      <c r="DX5" s="76" t="str">
        <f>IF(DK5&gt;0,DK5,"")</f>
        <v/>
      </c>
      <c r="DY5" s="76" t="str">
        <f>IF(DL5&gt;0,DL5,"")</f>
        <v/>
      </c>
      <c r="DZ5" s="76" t="str">
        <f>IF(SUM(DI5:DL5)-DM5&gt;0,SUM(DI5:DL5)-DM5,"")</f>
        <v/>
      </c>
      <c r="EA5" s="76" t="str">
        <f>IF(SUM(DT5,DZ5)&gt;0,SUM(DT5,DZ5),"")</f>
        <v/>
      </c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16" t="str">
        <f>IF(ED5&gt;0,ED5,"")</f>
        <v/>
      </c>
      <c r="EW5" s="16" t="str">
        <f>IF(EE5&gt;0,EE5,"")</f>
        <v/>
      </c>
      <c r="EX5" s="16" t="str">
        <f>IF(SUM(EB5:EE5)-EF5&gt;0,SUM(EB5:EE5)-EF5,"")</f>
        <v/>
      </c>
      <c r="EY5" s="16" t="str">
        <f>IF(EI5&gt;0,EI5,"")</f>
        <v/>
      </c>
      <c r="EZ5" s="16" t="str">
        <f>IF(EJ5&gt;0,EJ5,"")</f>
        <v/>
      </c>
      <c r="FA5" s="16" t="str">
        <f>IF(SUM(EG5:EJ5)-EK5&gt;0,SUM(EG5:EJ5)-EK5,"")</f>
        <v/>
      </c>
      <c r="FB5" s="16" t="str">
        <f>IF(MAX(EX5,FA5)&gt;0,MAX(EX5,FA5),"")</f>
        <v/>
      </c>
      <c r="FC5" s="16" t="str">
        <f>IF(EN5&gt;0,EN5,"")</f>
        <v/>
      </c>
      <c r="FD5" s="16" t="str">
        <f>IF(EO5&gt;0,EO5,"")</f>
        <v/>
      </c>
      <c r="FE5" s="16" t="str">
        <f>IF(SUM(EL5:EO5)-EP5&gt;0,SUM(EL5:EO5)-EP5,"")</f>
        <v/>
      </c>
      <c r="FF5" s="16" t="str">
        <f>IF(ES5&gt;0,ES5,"")</f>
        <v/>
      </c>
      <c r="FG5" s="16" t="str">
        <f>IF(ET5&gt;0,ET5,"")</f>
        <v/>
      </c>
      <c r="FH5" s="16" t="str">
        <f>IF(SUM(EQ5:ET5)-EU5&gt;0,SUM(EQ5:ET5)-EU5,"")</f>
        <v/>
      </c>
      <c r="FI5" s="16" t="str">
        <f>IF(SUM(FB5,FH5)&gt;0,SUM(FB5,FH5),"")</f>
        <v/>
      </c>
      <c r="FJ5" s="25">
        <v>8</v>
      </c>
      <c r="FK5" s="25">
        <v>9.4</v>
      </c>
      <c r="FL5" s="25">
        <v>8.9</v>
      </c>
      <c r="FM5" s="25">
        <v>16.48</v>
      </c>
      <c r="FN5" s="25">
        <v>0</v>
      </c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76">
        <f>IF(FL5&gt;0,FL5,"")</f>
        <v>8.9</v>
      </c>
      <c r="GE5" s="76">
        <f>IF(FM5&gt;0,FM5,"")</f>
        <v>16.48</v>
      </c>
      <c r="GF5" s="76">
        <f>IF(SUM(FJ5:FM5)-FN5&gt;0,SUM(FJ5:FM5)-FN5,"")</f>
        <v>42.78</v>
      </c>
      <c r="GG5" s="76" t="str">
        <f>IF(FQ5&gt;0,FQ5,"")</f>
        <v/>
      </c>
      <c r="GH5" s="76" t="str">
        <f>IF(FR5&gt;0,FR5,"")</f>
        <v/>
      </c>
      <c r="GI5" s="76" t="str">
        <f>IF(SUM(FO5:FR5)-FS5&gt;0,SUM(FO5:FR5)-FS5,"")</f>
        <v/>
      </c>
      <c r="GJ5" s="76">
        <f>IF(MAX(GF5,GI5)&gt;0,MAX(GF5,GI5),"")</f>
        <v>42.78</v>
      </c>
      <c r="GK5" s="76" t="str">
        <f>IF(FV5&gt;0,FV5,"")</f>
        <v/>
      </c>
      <c r="GL5" s="76" t="str">
        <f>IF(FW5&gt;0,FW5,"")</f>
        <v/>
      </c>
      <c r="GM5" s="76" t="str">
        <f>IF(SUM(FT5:FW5)-FX5&gt;0,SUM(FT5:FW5)-FX5,"")</f>
        <v/>
      </c>
      <c r="GN5" s="76" t="str">
        <f>IF(GA5&gt;0,GA5,"")</f>
        <v/>
      </c>
      <c r="GO5" s="76" t="str">
        <f>IF(GB5&gt;0,GB5,"")</f>
        <v/>
      </c>
      <c r="GP5" s="76" t="str">
        <f>IF(SUM(FY5:GB5)-GC5&gt;0,SUM(FY5:GB5)-GC5,"")</f>
        <v/>
      </c>
      <c r="GQ5" s="76">
        <f>IF(SUM(GJ5,GP5)&gt;0,SUM(GJ5,GP5),"")</f>
        <v>42.78</v>
      </c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16" t="str">
        <f>IF(GT5&gt;0,GT5,"")</f>
        <v/>
      </c>
      <c r="HM5" s="16" t="str">
        <f>IF(GU5&gt;0,GU5,"")</f>
        <v/>
      </c>
      <c r="HN5" s="16" t="str">
        <f>IF(SUM(GR5:GU5)-GV5&gt;0,SUM(GR5:GU5)-GV5,"")</f>
        <v/>
      </c>
      <c r="HO5" s="16" t="str">
        <f>IF(GY5&gt;0,GY5,"")</f>
        <v/>
      </c>
      <c r="HP5" s="16" t="str">
        <f>IF(GZ5&gt;0,GZ5,"")</f>
        <v/>
      </c>
      <c r="HQ5" s="16" t="str">
        <f>IF(SUM(GW5:GZ5)-HA5&gt;0,SUM(GW5:GZ5)-HA5,"")</f>
        <v/>
      </c>
      <c r="HR5" s="16" t="str">
        <f>IF(MAX(HN5,HQ5)&gt;0,MAX(HN5,HQ5),"")</f>
        <v/>
      </c>
      <c r="HS5" s="16" t="str">
        <f>IF(HD5&gt;0,HD5,"")</f>
        <v/>
      </c>
      <c r="HT5" s="16" t="str">
        <f>IF(HE5&gt;0,HE5,"")</f>
        <v/>
      </c>
      <c r="HU5" s="16" t="str">
        <f>IF(SUM(HB5:HE5)-HF5&gt;0,SUM(HB5:HE5)-HF5,"")</f>
        <v/>
      </c>
      <c r="HV5" s="16" t="str">
        <f>IF(HI5&gt;0,HI5,"")</f>
        <v/>
      </c>
      <c r="HW5" s="16" t="str">
        <f>IF(HJ5&gt;0,HJ5,"")</f>
        <v/>
      </c>
      <c r="HX5" s="16" t="str">
        <f>IF(SUM(HG5:HJ5)-HK5&gt;0,SUM(HG5:HJ5)-HK5,"")</f>
        <v/>
      </c>
      <c r="HY5" s="16" t="str">
        <f>IF(SUM(HR5,HX5)&gt;0,SUM(HR5,HX5),"")</f>
        <v/>
      </c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76" t="str">
        <f>IF(IB5&gt;0,IB5,"")</f>
        <v/>
      </c>
      <c r="IU5" s="76" t="str">
        <f>IF(IC5&gt;0,IC5,"")</f>
        <v/>
      </c>
      <c r="IV5" s="76" t="str">
        <f>IF(SUM(HZ5:IC5)-ID5&gt;0,SUM(HZ5:IC5)-ID5,"")</f>
        <v/>
      </c>
      <c r="IW5" s="76" t="str">
        <f>IF(IG5&gt;0,IG5,"")</f>
        <v/>
      </c>
      <c r="IX5" s="76" t="str">
        <f>IF(IH5&gt;0,IH5,"")</f>
        <v/>
      </c>
      <c r="IY5" s="76" t="str">
        <f>IF(SUM(IE5:IH5)-II5&gt;0,SUM(IE5:IH5)-II5,"")</f>
        <v/>
      </c>
      <c r="IZ5" s="76" t="str">
        <f>IF(MAX(IV5,IY5)&gt;0,MAX(IV5,IY5),"")</f>
        <v/>
      </c>
      <c r="JA5" s="76" t="str">
        <f>IF(IL5&gt;0,IL5,"")</f>
        <v/>
      </c>
      <c r="JB5" s="76" t="str">
        <f>IF(IM5&gt;0,IM5,"")</f>
        <v/>
      </c>
      <c r="JC5" s="76" t="str">
        <f>IF(SUM(IJ5:IM5)-IN5&gt;0,SUM(IJ5:IM5)-IN5,"")</f>
        <v/>
      </c>
      <c r="JD5" s="76" t="str">
        <f>IF(IQ5&gt;0,IQ5,"")</f>
        <v/>
      </c>
      <c r="JE5" s="76" t="str">
        <f>IF(IR5&gt;0,IR5,"")</f>
        <v/>
      </c>
      <c r="JF5" s="76" t="str">
        <f>IF(SUM(IO5:IR5)-IS5&gt;0,SUM(IO5:IR5)-IS5,"")</f>
        <v/>
      </c>
      <c r="JG5" s="76" t="str">
        <f>IF(SUM(IZ5,JF5)&gt;0,SUM(IZ5,JF5),"")</f>
        <v/>
      </c>
      <c r="JH5" s="26"/>
      <c r="JI5" s="26"/>
      <c r="JJ5" s="26"/>
      <c r="JK5" s="26"/>
      <c r="JL5" s="26"/>
      <c r="JM5" s="26"/>
      <c r="JN5" s="26"/>
      <c r="JO5" s="26"/>
      <c r="JP5" s="26"/>
      <c r="JQ5" s="26"/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16" t="str">
        <f>IF(JJ5&gt;0,JJ5,"")</f>
        <v/>
      </c>
      <c r="KC5" s="16" t="str">
        <f>IF(JK5&gt;0,JK5,"")</f>
        <v/>
      </c>
      <c r="KD5" s="16" t="str">
        <f>IF(SUM(JH5:JK5)-JL5&gt;0,SUM(JH5:JK5)-JL5,"")</f>
        <v/>
      </c>
      <c r="KE5" s="16" t="str">
        <f>IF(JO5&gt;0,JO5,"")</f>
        <v/>
      </c>
      <c r="KF5" s="16" t="str">
        <f>IF(JP5&gt;0,JP5,"")</f>
        <v/>
      </c>
      <c r="KG5" s="16" t="str">
        <f>IF(SUM(JM5:JP5)-JQ5&gt;0,SUM(JM5:JP5)-JQ5,"")</f>
        <v/>
      </c>
      <c r="KH5" s="16" t="str">
        <f>IF(MAX(KD5,KG5)&gt;0,MAX(KD5,KG5),"")</f>
        <v/>
      </c>
      <c r="KI5" s="16" t="str">
        <f>IF(JT5&gt;0,JT5,"")</f>
        <v/>
      </c>
      <c r="KJ5" s="16" t="str">
        <f>IF(JU5&gt;0,JU5,"")</f>
        <v/>
      </c>
      <c r="KK5" s="16" t="str">
        <f>IF(SUM(JR5:JU5)-JV5&gt;0,SUM(JR5:JU5)-JV5,"")</f>
        <v/>
      </c>
      <c r="KL5" s="16" t="str">
        <f>IF(JY5&gt;0,JY5,"")</f>
        <v/>
      </c>
      <c r="KM5" s="16" t="str">
        <f>IF(JZ5&gt;0,JZ5,"")</f>
        <v/>
      </c>
      <c r="KN5" s="16" t="str">
        <f>IF(SUM(JW5:JZ5)-KA5&gt;0,SUM(JW5:JZ5)-KA5,"")</f>
        <v/>
      </c>
      <c r="KO5" s="16" t="str">
        <f>IF(SUM(KH5,KN5)&gt;0,SUM(KH5,KN5),"")</f>
        <v/>
      </c>
      <c r="KP5" s="25"/>
      <c r="KQ5" s="25"/>
      <c r="KR5" s="25"/>
      <c r="KS5" s="25"/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76" t="str">
        <f>IF(KR5&gt;0,KR5,"")</f>
        <v/>
      </c>
      <c r="LK5" s="76" t="str">
        <f>IF(KS5&gt;0,KS5,"")</f>
        <v/>
      </c>
      <c r="LL5" s="76" t="str">
        <f>IF(SUM(KP5:KS5)-KT5&gt;0,SUM(KP5:KS5)-KT5,"")</f>
        <v/>
      </c>
      <c r="LM5" s="76" t="str">
        <f>IF(KW5&gt;0,KW5,"")</f>
        <v/>
      </c>
      <c r="LN5" s="76" t="str">
        <f>IF(KX5&gt;0,KX5,"")</f>
        <v/>
      </c>
      <c r="LO5" s="76" t="str">
        <f>IF(SUM(KU5:KX5)-KY5&gt;0,SUM(KU5:KX5)-KY5,"")</f>
        <v/>
      </c>
      <c r="LP5" s="76" t="str">
        <f>IF(MAX(LL5,LO5)&gt;0,MAX(LL5,LO5),"")</f>
        <v/>
      </c>
      <c r="LQ5" s="76" t="str">
        <f>IF(LB5&gt;0,LB5,"")</f>
        <v/>
      </c>
      <c r="LR5" s="76" t="str">
        <f>IF(LC5&gt;0,LC5,"")</f>
        <v/>
      </c>
      <c r="LS5" s="76" t="str">
        <f>IF(SUM(KZ5:LC5)-LD5&gt;0,SUM(KZ5:LC5)-LD5,"")</f>
        <v/>
      </c>
      <c r="LT5" s="76" t="str">
        <f>IF(LG5&gt;0,LG5,"")</f>
        <v/>
      </c>
      <c r="LU5" s="76" t="str">
        <f>IF(LH5&gt;0,LH5,"")</f>
        <v/>
      </c>
      <c r="LV5" s="76" t="str">
        <f>IF(SUM(LE5:LH5)-LI5&gt;0,SUM(LE5:LH5)-LI5,"")</f>
        <v/>
      </c>
      <c r="LW5" s="76" t="str">
        <f>IF(SUM(LP5,LV5)&gt;0,SUM(LP5,LV5),"")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IF(LZ5&gt;0,LZ5,"")</f>
        <v/>
      </c>
      <c r="MS5" s="16" t="str">
        <f>IF(MA5&gt;0,MA5,"")</f>
        <v/>
      </c>
      <c r="MT5" s="16" t="str">
        <f>IF(SUM(LX5:MA5)-MB5&gt;0,SUM(LX5:MA5)-MB5,"")</f>
        <v/>
      </c>
      <c r="MU5" s="16" t="str">
        <f>IF(ME5&gt;0,ME5,"")</f>
        <v/>
      </c>
      <c r="MV5" s="16" t="str">
        <f>IF(MF5&gt;0,MF5,"")</f>
        <v/>
      </c>
      <c r="MW5" s="16" t="str">
        <f>IF(SUM(MC5:MF5)-MG5&gt;0,SUM(MC5:MF5)-MG5,"")</f>
        <v/>
      </c>
      <c r="MX5" s="16" t="str">
        <f>IF(MAX(MT5,MW5)&gt;0,MAX(MT5,MW5),"")</f>
        <v/>
      </c>
      <c r="MY5" s="16" t="str">
        <f>IF(MJ5&gt;0,MJ5,"")</f>
        <v/>
      </c>
      <c r="MZ5" s="16" t="str">
        <f>IF(MK5&gt;0,MK5,"")</f>
        <v/>
      </c>
      <c r="NA5" s="16" t="str">
        <f>IF(SUM(MH5:MK5)-ML5&gt;0,SUM(MH5:MK5)-ML5,"")</f>
        <v/>
      </c>
      <c r="NB5" s="16" t="str">
        <f>IF(MO5&gt;0,MO5,"")</f>
        <v/>
      </c>
      <c r="NC5" s="16" t="str">
        <f>IF(MP5&gt;0,MP5,"")</f>
        <v/>
      </c>
      <c r="ND5" s="16" t="str">
        <f>IF(SUM(MM5:MP5)-MQ5&gt;0,SUM(MM5:MP5)-MQ5,"")</f>
        <v/>
      </c>
      <c r="NE5" s="16" t="str">
        <f>IF(SUM(MX5,ND5)&gt;0,SUM(MX5,ND5),"")</f>
        <v/>
      </c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76" t="str">
        <f>IF(NH5&gt;0,NH5,"")</f>
        <v/>
      </c>
      <c r="OA5" s="76" t="str">
        <f>IF(NI5&gt;0,NI5,"")</f>
        <v/>
      </c>
      <c r="OB5" s="76" t="str">
        <f>IF(SUM(NF5:NI5)-NJ5&gt;0,SUM(NF5:NI5)-NJ5,"")</f>
        <v/>
      </c>
      <c r="OC5" s="76" t="str">
        <f>IF(NM5&gt;0,NM5,"")</f>
        <v/>
      </c>
      <c r="OD5" s="76" t="str">
        <f>IF(NN5&gt;0,NN5,"")</f>
        <v/>
      </c>
      <c r="OE5" s="76" t="str">
        <f>IF(SUM(NK5:NN5)-NO5&gt;0,SUM(NK5:NN5)-NO5,"")</f>
        <v/>
      </c>
      <c r="OF5" s="76" t="str">
        <f>IF(MAX(OB5,OE5)&gt;0,MAX(OB5,OE5),"")</f>
        <v/>
      </c>
      <c r="OG5" s="76" t="str">
        <f>IF(NR5&gt;0,NR5,"")</f>
        <v/>
      </c>
      <c r="OH5" s="76" t="str">
        <f>IF(NS5&gt;0,NS5,"")</f>
        <v/>
      </c>
      <c r="OI5" s="76" t="str">
        <f>IF(SUM(NP5:NS5)-NT5&gt;0,SUM(NP5:NS5)-NT5,"")</f>
        <v/>
      </c>
      <c r="OJ5" s="76" t="str">
        <f>IF(NW5&gt;0,NW5,"")</f>
        <v/>
      </c>
      <c r="OK5" s="76" t="str">
        <f>IF(NX5&gt;0,NX5,"")</f>
        <v/>
      </c>
      <c r="OL5" s="76" t="str">
        <f>IF(SUM(NU5:NX5)-NY5&gt;0,SUM(NU5:NX5)-NY5,"")</f>
        <v/>
      </c>
      <c r="OM5" s="76" t="str">
        <f>IF(SUM(OF5,OL5)&gt;0,SUM(OF5,OL5),"")</f>
        <v/>
      </c>
      <c r="ON5" s="26"/>
      <c r="OO5" s="26"/>
      <c r="OP5" s="26"/>
      <c r="OQ5" s="26"/>
      <c r="OR5" s="26"/>
      <c r="OS5" s="26"/>
      <c r="OT5" s="26"/>
      <c r="OU5" s="26"/>
      <c r="OV5" s="26"/>
      <c r="OW5" s="26"/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16" t="str">
        <f>IF(OP5&gt;0,OP5,"")</f>
        <v/>
      </c>
      <c r="PI5" s="16" t="str">
        <f>IF(OQ5&gt;0,OQ5,"")</f>
        <v/>
      </c>
      <c r="PJ5" s="16" t="str">
        <f>IF(SUM(ON5:OQ5)-OR5&gt;0,SUM(ON5:OQ5)-OR5,"")</f>
        <v/>
      </c>
      <c r="PK5" s="16" t="str">
        <f>IF(OU5&gt;0,OU5,"")</f>
        <v/>
      </c>
      <c r="PL5" s="16" t="str">
        <f>IF(OV5&gt;0,OV5,"")</f>
        <v/>
      </c>
      <c r="PM5" s="16" t="str">
        <f>IF(SUM(OS5:OV5)-OW5&gt;0,SUM(OS5:OV5)-OW5,"")</f>
        <v/>
      </c>
      <c r="PN5" s="16" t="str">
        <f>IF(MAX(PJ5,PM5)&gt;0,MAX(PJ5,PM5),"")</f>
        <v/>
      </c>
      <c r="PO5" s="16" t="str">
        <f>IF(OZ5&gt;0,OZ5,"")</f>
        <v/>
      </c>
      <c r="PP5" s="16" t="str">
        <f>IF(PA5&gt;0,PA5,"")</f>
        <v/>
      </c>
      <c r="PQ5" s="16" t="str">
        <f>IF(SUM(OX5:PA5)-PB5&gt;0,SUM(OX5:PA5)-PB5,"")</f>
        <v/>
      </c>
      <c r="PR5" s="16" t="str">
        <f>IF(PE5&gt;0,PE5,"")</f>
        <v/>
      </c>
      <c r="PS5" s="16" t="str">
        <f>IF(PF5&gt;0,PF5,"")</f>
        <v/>
      </c>
      <c r="PT5" s="16" t="str">
        <f>IF(SUM(PC5:PF5)-PG5&gt;0,SUM(PC5:PF5)-PG5,"")</f>
        <v/>
      </c>
      <c r="PU5" s="16" t="str">
        <f>IF(SUM(PN5,PT5)&gt;0,SUM(PN5,PT5),"")</f>
        <v/>
      </c>
      <c r="PV5" s="25"/>
      <c r="PW5" s="25"/>
      <c r="PX5" s="25"/>
      <c r="PY5" s="25"/>
      <c r="PZ5" s="25"/>
      <c r="QA5" s="25"/>
      <c r="QB5" s="25"/>
      <c r="QC5" s="25"/>
      <c r="QD5" s="25"/>
      <c r="QE5" s="25"/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76" t="str">
        <f>IF(PX5&gt;0,PX5,"")</f>
        <v/>
      </c>
      <c r="QQ5" s="76" t="str">
        <f>IF(PY5&gt;0,PY5,"")</f>
        <v/>
      </c>
      <c r="QR5" s="76" t="str">
        <f>IF(SUM(PV5:PY5)-PZ5&gt;0,SUM(PV5:PY5)-PZ5,"")</f>
        <v/>
      </c>
      <c r="QS5" s="76" t="str">
        <f>IF(QC5&gt;0,QC5,"")</f>
        <v/>
      </c>
      <c r="QT5" s="76" t="str">
        <f>IF(QD5&gt;0,QD5,"")</f>
        <v/>
      </c>
      <c r="QU5" s="76" t="str">
        <f>IF(SUM(QA5:QD5)-QE5&gt;0,SUM(QA5:QD5)-QE5,"")</f>
        <v/>
      </c>
      <c r="QV5" s="76" t="str">
        <f>IF(MAX(QR5,QU5)&gt;0,MAX(QR5,QU5),"")</f>
        <v/>
      </c>
      <c r="QW5" s="76" t="str">
        <f>IF(QH5&gt;0,QH5,"")</f>
        <v/>
      </c>
      <c r="QX5" s="76" t="str">
        <f>IF(QI5&gt;0,QI5,"")</f>
        <v/>
      </c>
      <c r="QY5" s="76" t="str">
        <f>IF(SUM(QF5:QI5)-QJ5&gt;0,SUM(QF5:QI5)-QJ5,"")</f>
        <v/>
      </c>
      <c r="QZ5" s="76" t="str">
        <f>IF(QM5&gt;0,QM5,"")</f>
        <v/>
      </c>
      <c r="RA5" s="76" t="str">
        <f>IF(QN5&gt;0,QN5,"")</f>
        <v/>
      </c>
      <c r="RB5" s="76" t="str">
        <f>IF(SUM(QK5:QN5)-QO5&gt;0,SUM(QK5:QN5)-QO5,"")</f>
        <v/>
      </c>
      <c r="RC5" s="76" t="str">
        <f>IF(SUM(QV5,RB5)&gt;0,SUM(QV5,RB5),"")</f>
        <v/>
      </c>
      <c r="RD5" s="26"/>
      <c r="RE5" s="26"/>
      <c r="RF5" s="26"/>
      <c r="RG5" s="26"/>
      <c r="RH5" s="26"/>
      <c r="RI5" s="26"/>
      <c r="RJ5" s="26"/>
      <c r="RK5" s="26"/>
      <c r="RL5" s="26"/>
      <c r="RM5" s="26"/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16" t="str">
        <f>IF(RF5&gt;0,RF5,"")</f>
        <v/>
      </c>
      <c r="RY5" s="16" t="str">
        <f>IF(RG5&gt;0,RG5,"")</f>
        <v/>
      </c>
      <c r="RZ5" s="16" t="str">
        <f>IF(SUM(RD5:RG5)-RH5&gt;0,SUM(RD5:RG5)-RH5,"")</f>
        <v/>
      </c>
      <c r="SA5" s="16" t="str">
        <f>IF(RK5&gt;0,RK5,"")</f>
        <v/>
      </c>
      <c r="SB5" s="16" t="str">
        <f>IF(RL5&gt;0,RL5,"")</f>
        <v/>
      </c>
      <c r="SC5" s="16" t="str">
        <f>IF(SUM(RI5:RL5)-RM5&gt;0,SUM(RI5:RL5)-RM5,"")</f>
        <v/>
      </c>
      <c r="SD5" s="16" t="str">
        <f>IF(MAX(RZ5,SC5)&gt;0,MAX(RZ5,SC5),"")</f>
        <v/>
      </c>
      <c r="SE5" s="16" t="str">
        <f>IF(RP5&gt;0,RP5,"")</f>
        <v/>
      </c>
      <c r="SF5" s="16" t="str">
        <f>IF(RQ5&gt;0,RQ5,"")</f>
        <v/>
      </c>
      <c r="SG5" s="16" t="str">
        <f>IF(SUM(RN5:RQ5)-RR5&gt;0,SUM(RN5:RQ5)-RR5,"")</f>
        <v/>
      </c>
      <c r="SH5" s="16" t="str">
        <f>IF(RU5&gt;0,RU5,"")</f>
        <v/>
      </c>
      <c r="SI5" s="16" t="str">
        <f>IF(RV5&gt;0,RV5,"")</f>
        <v/>
      </c>
      <c r="SJ5" s="16" t="str">
        <f>IF(SUM(RS5:RV5)-RW5&gt;0,SUM(RS5:RV5)-RW5,"")</f>
        <v/>
      </c>
      <c r="SK5" s="16" t="str">
        <f>IF(SUM(SD5,SJ5)&gt;0,SUM(SD5,SJ5),"")</f>
        <v/>
      </c>
      <c r="SL5" s="42">
        <f>IF($CF5="P",BQ5,(BQ5+AP5)/2)</f>
        <v>0</v>
      </c>
      <c r="SM5" s="42">
        <f>IF($CF5="P",BR5,(BR5+AQ5)/2)</f>
        <v>0</v>
      </c>
      <c r="SN5" s="42">
        <f>IF($CF5="P",BS5,(BS5+AR5)/2)</f>
        <v>0</v>
      </c>
      <c r="SO5" s="42">
        <f>IF($CF5="P",BT5,(BT5+AS5)/2)</f>
        <v>0</v>
      </c>
      <c r="SP5" s="42">
        <f>IF($CF5="P",BU5,(BU5+AT5)/2)</f>
        <v>0</v>
      </c>
      <c r="SQ5" s="42">
        <f>IF($CF5="P",BV5,(BV5+AU5)/2)</f>
        <v>0</v>
      </c>
      <c r="SR5" s="42">
        <f>IF($CF5="P",BW5,(BW5+AV5)/2)</f>
        <v>0</v>
      </c>
      <c r="SS5" s="42">
        <f>IF($CF5="P",BX5,(BX5+AW5)/2)</f>
        <v>0</v>
      </c>
      <c r="ST5" s="42">
        <f>IF($CF5="P",BY5,(BY5+AX5)/2)</f>
        <v>0</v>
      </c>
      <c r="SU5" s="42">
        <f>IF($CF5="P",BZ5,(BZ5+AY5)/2)</f>
        <v>0</v>
      </c>
      <c r="SV5" s="42">
        <f>IF($CF5="P",CA5,(CA5+AZ5)/2)</f>
        <v>0</v>
      </c>
      <c r="SW5" s="42">
        <f>IF($CF5="P",CB5,(CB5+BA5)/2)</f>
        <v>0</v>
      </c>
      <c r="SX5" s="42">
        <f>IF($CF5="P",CC5,(CC5+BB5)/2)</f>
        <v>0</v>
      </c>
      <c r="SY5" s="42">
        <f>IF($CF5="P",CD5,(CD5+BC5)/2)</f>
        <v>0</v>
      </c>
      <c r="SZ5" s="42">
        <f>IF($CF5="P",CE5,(CE5+BD5)/2)</f>
        <v>0</v>
      </c>
      <c r="TA5" s="51" t="s">
        <v>61</v>
      </c>
      <c r="TB5" s="76" t="str">
        <f>IF(SN5&gt;0,SN5,"")</f>
        <v/>
      </c>
      <c r="TC5" s="76" t="str">
        <f>IF(SO5&gt;0,SO5,"")</f>
        <v/>
      </c>
      <c r="TD5" s="76" t="str">
        <f>IF(SUM(SL5:SO5)-SP5&gt;0,SUM(SL5:SO5)-SP5,"")</f>
        <v/>
      </c>
      <c r="TE5" s="76" t="str">
        <f>IF(SS5&gt;0,SS5,"")</f>
        <v/>
      </c>
      <c r="TF5" s="76" t="str">
        <f>IF(ST5&gt;0,ST5,"")</f>
        <v/>
      </c>
      <c r="TG5" s="76" t="str">
        <f>IF(SUM(SQ5:ST5)-SU5&gt;0,SUM(SQ5:ST5)-SU5,"")</f>
        <v/>
      </c>
      <c r="TH5" s="76" t="str">
        <f>IF(MAX(TD5,TG5)&gt;0,MAX(TD5,TG5),"")</f>
        <v/>
      </c>
      <c r="TI5" s="76" t="str">
        <f>IF(SX5&gt;0,SX5,"")</f>
        <v/>
      </c>
      <c r="TJ5" s="76" t="str">
        <f>IF(SY5&gt;0,SY5,"")</f>
        <v/>
      </c>
      <c r="TK5" s="76" t="str">
        <f>IF(SUM(SV5:SY5)-SZ5&gt;0,SUM(SV5:SY5)-SZ5,"")</f>
        <v/>
      </c>
      <c r="TL5" s="76" t="str">
        <f>IF(SUM(TH5,TK5)&gt;0,SUM(TH5,TK5),"")</f>
        <v/>
      </c>
    </row>
    <row r="6" spans="1:534" x14ac:dyDescent="0.2">
      <c r="B6" s="6"/>
      <c r="D6" s="1"/>
    </row>
    <row r="7" spans="1:534" x14ac:dyDescent="0.2">
      <c r="G7" s="69"/>
      <c r="I7" s="69"/>
    </row>
    <row r="8" spans="1:534" x14ac:dyDescent="0.2">
      <c r="B8" s="43" t="s">
        <v>58</v>
      </c>
      <c r="C8" s="35"/>
      <c r="G8" s="3"/>
      <c r="AH8" s="77"/>
      <c r="AI8" s="77"/>
      <c r="AJ8" s="77"/>
      <c r="AL8" s="56"/>
      <c r="AM8" s="56"/>
      <c r="AO8" s="78">
        <v>10.4</v>
      </c>
      <c r="BI8" s="77"/>
      <c r="BJ8" s="77"/>
      <c r="BK8" s="77"/>
      <c r="BM8" s="56"/>
      <c r="BN8" s="56"/>
      <c r="BP8" s="78">
        <v>10.4</v>
      </c>
      <c r="CJ8" s="77"/>
      <c r="CK8" s="77"/>
      <c r="CL8" s="77"/>
      <c r="CN8" s="56"/>
      <c r="CO8" s="56"/>
      <c r="CQ8" s="78">
        <v>10.4</v>
      </c>
      <c r="DN8" s="35"/>
      <c r="DO8" s="35"/>
      <c r="DX8" s="33"/>
      <c r="DY8" s="33"/>
      <c r="EA8" s="78">
        <v>11.2</v>
      </c>
      <c r="EV8" s="35"/>
      <c r="EW8" s="35"/>
      <c r="FF8" s="33"/>
      <c r="FG8" s="33"/>
      <c r="FI8" s="78">
        <v>11.2</v>
      </c>
      <c r="GD8" s="35"/>
      <c r="GE8" s="35"/>
      <c r="GN8" s="33"/>
      <c r="GO8" s="33"/>
      <c r="GQ8" s="78">
        <v>11.2</v>
      </c>
      <c r="HL8" s="35"/>
      <c r="HM8" s="35"/>
      <c r="HV8" s="33"/>
      <c r="HW8" s="33"/>
      <c r="HY8" s="78">
        <v>10.4</v>
      </c>
      <c r="IT8" s="35"/>
      <c r="IU8" s="35"/>
      <c r="JD8" s="33"/>
      <c r="JE8" s="33"/>
      <c r="JG8" s="78">
        <v>10.4</v>
      </c>
      <c r="KB8" s="35"/>
      <c r="KC8" s="35"/>
      <c r="KL8" s="33"/>
      <c r="KM8" s="33"/>
      <c r="KO8" s="78">
        <v>10.4</v>
      </c>
      <c r="LJ8" s="35"/>
      <c r="LK8" s="35"/>
      <c r="LT8" s="33"/>
      <c r="LU8" s="33"/>
      <c r="LW8" s="78">
        <v>10.4</v>
      </c>
      <c r="MR8" s="35"/>
      <c r="MS8" s="35"/>
      <c r="NB8" s="33"/>
      <c r="NC8" s="33"/>
      <c r="NE8" s="78">
        <v>10.4</v>
      </c>
      <c r="NZ8" s="35"/>
      <c r="OA8" s="35"/>
      <c r="OJ8" s="33"/>
      <c r="OK8" s="33"/>
      <c r="OM8" s="78">
        <v>10.4</v>
      </c>
      <c r="PH8" s="35"/>
      <c r="PI8" s="35"/>
      <c r="PR8" s="33"/>
      <c r="PS8" s="33"/>
      <c r="PU8" s="78">
        <v>10.4</v>
      </c>
      <c r="QP8" s="35"/>
      <c r="QQ8" s="35"/>
      <c r="QZ8" s="33"/>
      <c r="RA8" s="33"/>
      <c r="RC8" s="78">
        <v>10.4</v>
      </c>
      <c r="RX8" s="35"/>
      <c r="RY8" s="35"/>
      <c r="SH8" s="33"/>
      <c r="SI8" s="33"/>
      <c r="SK8" s="78">
        <v>10.4</v>
      </c>
    </row>
    <row r="9" spans="1:534" x14ac:dyDescent="0.2">
      <c r="B9" s="54" t="s">
        <v>57</v>
      </c>
      <c r="C9" s="35"/>
      <c r="N9" s="2"/>
      <c r="AH9" s="77"/>
      <c r="AI9" s="77"/>
      <c r="AJ9" s="77"/>
      <c r="AL9" s="56"/>
      <c r="AM9" s="56"/>
      <c r="AO9" s="79">
        <v>11.2</v>
      </c>
      <c r="BI9" s="77"/>
      <c r="BJ9" s="77"/>
      <c r="BK9" s="77"/>
      <c r="BM9" s="56"/>
      <c r="BN9" s="56"/>
      <c r="BP9" s="79">
        <v>11.2</v>
      </c>
      <c r="CJ9" s="77"/>
      <c r="CK9" s="77"/>
      <c r="CL9" s="77"/>
      <c r="CN9" s="56"/>
      <c r="CO9" s="56"/>
      <c r="CQ9" s="79">
        <v>11.2</v>
      </c>
      <c r="DN9" s="35"/>
      <c r="DO9" s="35"/>
      <c r="DX9" s="33"/>
      <c r="DY9" s="33"/>
      <c r="EA9" s="79">
        <v>12</v>
      </c>
      <c r="EV9" s="35"/>
      <c r="EW9" s="35"/>
      <c r="FF9" s="33"/>
      <c r="FG9" s="33"/>
      <c r="FI9" s="79">
        <v>12</v>
      </c>
      <c r="GD9" s="35"/>
      <c r="GE9" s="35"/>
      <c r="GN9" s="33"/>
      <c r="GO9" s="33"/>
      <c r="GQ9" s="79">
        <v>12</v>
      </c>
      <c r="HL9" s="35"/>
      <c r="HM9" s="35"/>
      <c r="HV9" s="33"/>
      <c r="HW9" s="33"/>
      <c r="HY9" s="79">
        <v>11.2</v>
      </c>
      <c r="IT9" s="35"/>
      <c r="IU9" s="35"/>
      <c r="JD9" s="33"/>
      <c r="JE9" s="33"/>
      <c r="JG9" s="79">
        <v>11.2</v>
      </c>
      <c r="KB9" s="35"/>
      <c r="KC9" s="35"/>
      <c r="KL9" s="33"/>
      <c r="KM9" s="33"/>
      <c r="KO9" s="79">
        <v>11.2</v>
      </c>
      <c r="LJ9" s="35"/>
      <c r="LK9" s="35"/>
      <c r="LT9" s="33"/>
      <c r="LU9" s="33"/>
      <c r="LW9" s="79">
        <v>11.2</v>
      </c>
      <c r="MR9" s="35"/>
      <c r="MS9" s="35"/>
      <c r="NB9" s="33"/>
      <c r="NC9" s="33"/>
      <c r="NE9" s="79">
        <v>11.2</v>
      </c>
      <c r="NZ9" s="35"/>
      <c r="OA9" s="35"/>
      <c r="OJ9" s="33"/>
      <c r="OK9" s="33"/>
      <c r="OM9" s="79">
        <v>11.2</v>
      </c>
      <c r="PH9" s="35"/>
      <c r="PI9" s="35"/>
      <c r="PR9" s="33"/>
      <c r="PS9" s="33"/>
      <c r="PU9" s="79">
        <v>11.2</v>
      </c>
      <c r="QP9" s="35"/>
      <c r="QQ9" s="35"/>
      <c r="QZ9" s="33"/>
      <c r="RA9" s="33"/>
      <c r="RC9" s="79">
        <v>11.2</v>
      </c>
      <c r="RX9" s="35"/>
      <c r="RY9" s="35"/>
      <c r="SH9" s="33"/>
      <c r="SI9" s="33"/>
      <c r="SK9" s="79">
        <v>11.2</v>
      </c>
    </row>
    <row r="10" spans="1:534" x14ac:dyDescent="0.2">
      <c r="A10" s="35"/>
      <c r="B10" s="55" t="s">
        <v>71</v>
      </c>
      <c r="C10" s="35"/>
      <c r="E10" s="2"/>
      <c r="AH10" s="77"/>
      <c r="AI10" s="77"/>
      <c r="AJ10" s="77"/>
      <c r="AK10" s="56"/>
      <c r="AL10" s="56"/>
      <c r="AM10" s="56"/>
      <c r="AN10" s="56"/>
      <c r="AO10" s="80">
        <v>12</v>
      </c>
      <c r="BI10" s="77"/>
      <c r="BJ10" s="77"/>
      <c r="BK10" s="77"/>
      <c r="BM10" s="56"/>
      <c r="BN10" s="56"/>
      <c r="BP10" s="80">
        <v>12</v>
      </c>
      <c r="CJ10" s="77"/>
      <c r="CK10" s="77"/>
      <c r="CL10" s="77"/>
      <c r="CM10" s="56"/>
      <c r="CN10" s="56"/>
      <c r="CO10" s="56"/>
      <c r="CP10" s="56"/>
      <c r="CQ10" s="80">
        <v>12</v>
      </c>
      <c r="DN10" s="35"/>
      <c r="DO10" s="35"/>
      <c r="DX10" s="33"/>
      <c r="DY10" s="33"/>
      <c r="EA10" s="80">
        <v>12</v>
      </c>
      <c r="EV10" s="35"/>
      <c r="EW10" s="35"/>
      <c r="FF10" s="33"/>
      <c r="FG10" s="33"/>
      <c r="FI10" s="80">
        <v>12</v>
      </c>
      <c r="GD10" s="35"/>
      <c r="GE10" s="35"/>
      <c r="GN10" s="33"/>
      <c r="GO10" s="33"/>
      <c r="GQ10" s="80">
        <v>12</v>
      </c>
      <c r="HL10" s="35"/>
      <c r="HM10" s="35"/>
      <c r="HV10" s="33"/>
      <c r="HW10" s="33"/>
      <c r="HY10" s="80">
        <v>12</v>
      </c>
      <c r="IT10" s="35"/>
      <c r="IU10" s="35"/>
      <c r="JD10" s="33"/>
      <c r="JE10" s="33"/>
      <c r="JG10" s="80">
        <v>12</v>
      </c>
      <c r="KB10" s="35"/>
      <c r="KC10" s="35"/>
      <c r="KL10" s="33"/>
      <c r="KM10" s="33"/>
      <c r="KO10" s="80">
        <v>12</v>
      </c>
      <c r="LJ10" s="35"/>
      <c r="LK10" s="35"/>
      <c r="LT10" s="33"/>
      <c r="LU10" s="33"/>
      <c r="LW10" s="80">
        <v>12</v>
      </c>
      <c r="MR10" s="35"/>
      <c r="MS10" s="35"/>
      <c r="NB10" s="33"/>
      <c r="NC10" s="33"/>
      <c r="NE10" s="80">
        <v>12</v>
      </c>
      <c r="NZ10" s="35"/>
      <c r="OA10" s="35"/>
      <c r="OJ10" s="33"/>
      <c r="OK10" s="33"/>
      <c r="OM10" s="80">
        <v>12</v>
      </c>
      <c r="PH10" s="35"/>
      <c r="PI10" s="35"/>
      <c r="PR10" s="33"/>
      <c r="PS10" s="33"/>
      <c r="PU10" s="80">
        <v>12</v>
      </c>
      <c r="QP10" s="35"/>
      <c r="QQ10" s="35"/>
      <c r="QZ10" s="33"/>
      <c r="RA10" s="33"/>
      <c r="RC10" s="80">
        <v>12</v>
      </c>
      <c r="RX10" s="35"/>
      <c r="RY10" s="35"/>
      <c r="SH10" s="33"/>
      <c r="SI10" s="33"/>
      <c r="SK10" s="80">
        <v>12</v>
      </c>
    </row>
    <row r="11" spans="1:534" x14ac:dyDescent="0.2">
      <c r="A11" s="35"/>
      <c r="B11" s="66" t="s">
        <v>86</v>
      </c>
      <c r="C11" s="35"/>
      <c r="E11" s="2"/>
      <c r="AH11" s="77"/>
      <c r="AI11" s="77"/>
      <c r="AJ11" s="77"/>
      <c r="AK11" s="56"/>
      <c r="AL11" s="56"/>
      <c r="AM11" s="56"/>
      <c r="AN11" s="56"/>
      <c r="AO11" s="81">
        <v>12.4</v>
      </c>
      <c r="BI11" s="77"/>
      <c r="BJ11" s="77"/>
      <c r="BK11" s="77"/>
      <c r="BM11" s="56"/>
      <c r="BN11" s="56"/>
      <c r="BP11" s="81">
        <v>12.4</v>
      </c>
      <c r="CJ11" s="77"/>
      <c r="CK11" s="77"/>
      <c r="CL11" s="77"/>
      <c r="CM11" s="56"/>
      <c r="CN11" s="56"/>
      <c r="CO11" s="56"/>
      <c r="CP11" s="56"/>
      <c r="CQ11" s="81">
        <v>12.4</v>
      </c>
      <c r="DN11" s="35"/>
      <c r="DO11" s="35"/>
      <c r="DX11" s="33"/>
      <c r="DY11" s="33"/>
      <c r="EA11" s="81">
        <v>12</v>
      </c>
      <c r="EV11" s="35"/>
      <c r="EW11" s="35"/>
      <c r="FF11" s="33"/>
      <c r="FG11" s="33"/>
      <c r="FI11" s="81">
        <v>12</v>
      </c>
      <c r="GD11" s="35"/>
      <c r="GE11" s="35"/>
      <c r="GN11" s="33"/>
      <c r="GO11" s="33"/>
      <c r="GQ11" s="81">
        <v>12</v>
      </c>
      <c r="HL11" s="35"/>
      <c r="HM11" s="35"/>
      <c r="HV11" s="33"/>
      <c r="HW11" s="33"/>
      <c r="HY11" s="81">
        <v>12.4</v>
      </c>
      <c r="IT11" s="35"/>
      <c r="IU11" s="35"/>
      <c r="JD11" s="33"/>
      <c r="JE11" s="33"/>
      <c r="JG11" s="81">
        <v>12.4</v>
      </c>
      <c r="KB11" s="35"/>
      <c r="KC11" s="35"/>
      <c r="KL11" s="33"/>
      <c r="KM11" s="33"/>
      <c r="KO11" s="81">
        <v>12.4</v>
      </c>
      <c r="LJ11" s="35"/>
      <c r="LK11" s="35"/>
      <c r="LT11" s="33"/>
      <c r="LU11" s="33"/>
      <c r="LW11" s="81">
        <v>12.4</v>
      </c>
      <c r="MR11" s="35"/>
      <c r="MS11" s="35"/>
      <c r="NB11" s="33"/>
      <c r="NC11" s="33"/>
      <c r="NE11" s="81">
        <v>12.4</v>
      </c>
      <c r="NZ11" s="35"/>
      <c r="OA11" s="35"/>
      <c r="OJ11" s="33"/>
      <c r="OK11" s="33"/>
      <c r="OM11" s="81">
        <v>12.4</v>
      </c>
      <c r="PH11" s="35"/>
      <c r="PI11" s="35"/>
      <c r="PR11" s="33"/>
      <c r="PS11" s="33"/>
      <c r="PU11" s="81">
        <v>12.4</v>
      </c>
      <c r="QP11" s="35"/>
      <c r="QQ11" s="35"/>
      <c r="QZ11" s="33"/>
      <c r="RA11" s="33"/>
      <c r="RC11" s="81">
        <v>12.4</v>
      </c>
      <c r="RX11" s="35"/>
      <c r="RY11" s="35"/>
      <c r="SH11" s="33"/>
      <c r="SI11" s="33"/>
      <c r="SK11" s="81">
        <v>12.4</v>
      </c>
    </row>
    <row r="12" spans="1:534" x14ac:dyDescent="0.2">
      <c r="A12" s="35"/>
      <c r="B12" s="65" t="s">
        <v>55</v>
      </c>
      <c r="C12" s="35"/>
      <c r="AH12" s="77"/>
      <c r="AI12" s="77"/>
      <c r="AJ12" s="77"/>
      <c r="AK12" s="56"/>
      <c r="AL12" s="56"/>
      <c r="AM12" s="56"/>
      <c r="AN12" s="56"/>
      <c r="AO12" s="82">
        <v>44</v>
      </c>
      <c r="BI12" s="77"/>
      <c r="BJ12" s="77"/>
      <c r="BK12" s="77"/>
      <c r="BM12" s="56"/>
      <c r="BN12" s="56"/>
      <c r="BP12" s="82">
        <v>44</v>
      </c>
      <c r="CJ12" s="77"/>
      <c r="CK12" s="77"/>
      <c r="CL12" s="77"/>
      <c r="CM12" s="56"/>
      <c r="CN12" s="56"/>
      <c r="CO12" s="56"/>
      <c r="CP12" s="56"/>
      <c r="CQ12" s="82">
        <v>44</v>
      </c>
      <c r="DN12" s="35"/>
      <c r="DO12" s="35"/>
      <c r="DX12" s="33"/>
      <c r="DY12" s="33"/>
      <c r="EA12" s="82">
        <v>45</v>
      </c>
      <c r="EV12" s="35"/>
      <c r="EW12" s="35"/>
      <c r="FF12" s="33"/>
      <c r="FG12" s="33"/>
      <c r="FI12" s="82">
        <v>45.7</v>
      </c>
      <c r="GD12" s="35"/>
      <c r="GE12" s="35"/>
      <c r="GN12" s="33"/>
      <c r="GO12" s="33"/>
      <c r="GQ12" s="82">
        <v>45.7</v>
      </c>
      <c r="HL12" s="35"/>
      <c r="HM12" s="35"/>
      <c r="HV12" s="33"/>
      <c r="HW12" s="33"/>
      <c r="HY12" s="82">
        <v>44</v>
      </c>
      <c r="IT12" s="35"/>
      <c r="IU12" s="35"/>
      <c r="JD12" s="33"/>
      <c r="JE12" s="33"/>
      <c r="JG12" s="82">
        <v>44</v>
      </c>
      <c r="KB12" s="35"/>
      <c r="KC12" s="35"/>
      <c r="KL12" s="33"/>
      <c r="KM12" s="33"/>
      <c r="KO12" s="82">
        <v>44</v>
      </c>
      <c r="LJ12" s="35"/>
      <c r="LK12" s="35"/>
      <c r="LT12" s="33"/>
      <c r="LU12" s="33"/>
      <c r="LW12" s="82">
        <v>44</v>
      </c>
      <c r="MR12" s="35"/>
      <c r="MS12" s="35"/>
      <c r="NB12" s="33"/>
      <c r="NC12" s="33"/>
      <c r="NE12" s="82">
        <v>44</v>
      </c>
      <c r="NZ12" s="35"/>
      <c r="OA12" s="35"/>
      <c r="OJ12" s="33"/>
      <c r="OK12" s="33"/>
      <c r="OM12" s="82">
        <v>44</v>
      </c>
      <c r="PH12" s="35"/>
      <c r="PI12" s="35"/>
      <c r="PR12" s="33"/>
      <c r="PS12" s="33"/>
      <c r="PU12" s="82">
        <v>44</v>
      </c>
      <c r="QP12" s="35"/>
      <c r="QQ12" s="35"/>
      <c r="QZ12" s="33"/>
      <c r="RA12" s="33"/>
      <c r="RC12" s="82">
        <v>44</v>
      </c>
      <c r="RX12" s="35"/>
      <c r="RY12" s="35"/>
      <c r="SH12" s="33"/>
      <c r="SI12" s="33"/>
      <c r="SK12" s="82">
        <v>44</v>
      </c>
    </row>
    <row r="13" spans="1:534" x14ac:dyDescent="0.2">
      <c r="A13" s="35"/>
      <c r="B13" s="44" t="s">
        <v>56</v>
      </c>
      <c r="C13" s="35"/>
      <c r="AH13" s="77"/>
      <c r="AI13" s="77"/>
      <c r="AJ13" s="77"/>
      <c r="AK13" s="56"/>
      <c r="AL13" s="56"/>
      <c r="AM13" s="56"/>
      <c r="AN13" s="56"/>
      <c r="AO13" s="83">
        <v>45.3</v>
      </c>
      <c r="BI13" s="77"/>
      <c r="BJ13" s="77"/>
      <c r="BK13" s="77"/>
      <c r="BM13" s="56"/>
      <c r="BN13" s="56"/>
      <c r="BP13" s="83">
        <v>45.3</v>
      </c>
      <c r="CJ13" s="77"/>
      <c r="CK13" s="77"/>
      <c r="CL13" s="77"/>
      <c r="CM13" s="56"/>
      <c r="CN13" s="56"/>
      <c r="CO13" s="56"/>
      <c r="CP13" s="56"/>
      <c r="CQ13" s="83">
        <v>45.3</v>
      </c>
      <c r="DN13" s="35"/>
      <c r="DO13" s="35"/>
      <c r="DX13" s="33"/>
      <c r="DY13" s="33"/>
      <c r="EA13" s="83">
        <v>45</v>
      </c>
      <c r="EV13" s="35"/>
      <c r="EW13" s="35"/>
      <c r="FF13" s="33"/>
      <c r="FG13" s="33"/>
      <c r="FI13" s="83">
        <v>45.7</v>
      </c>
      <c r="GD13" s="35"/>
      <c r="GE13" s="35"/>
      <c r="GN13" s="33"/>
      <c r="GO13" s="33"/>
      <c r="GQ13" s="83">
        <v>45.7</v>
      </c>
      <c r="HL13" s="35"/>
      <c r="HM13" s="35"/>
      <c r="HV13" s="33"/>
      <c r="HW13" s="33"/>
      <c r="HY13" s="83">
        <v>45.3</v>
      </c>
      <c r="IT13" s="35"/>
      <c r="IU13" s="35"/>
      <c r="JD13" s="33"/>
      <c r="JE13" s="33"/>
      <c r="JG13" s="83">
        <v>45.3</v>
      </c>
      <c r="KB13" s="35"/>
      <c r="KC13" s="35"/>
      <c r="KL13" s="33"/>
      <c r="KM13" s="33"/>
      <c r="KO13" s="83">
        <v>45.3</v>
      </c>
      <c r="LJ13" s="35"/>
      <c r="LK13" s="35"/>
      <c r="LT13" s="33"/>
      <c r="LU13" s="33"/>
      <c r="LW13" s="83">
        <v>45.3</v>
      </c>
      <c r="MR13" s="35"/>
      <c r="MS13" s="35"/>
      <c r="NB13" s="33"/>
      <c r="NC13" s="33"/>
      <c r="NE13" s="83">
        <v>45.3</v>
      </c>
      <c r="NZ13" s="35"/>
      <c r="OA13" s="35"/>
      <c r="OJ13" s="33"/>
      <c r="OK13" s="33"/>
      <c r="OM13" s="83">
        <v>45.3</v>
      </c>
      <c r="PH13" s="35"/>
      <c r="PI13" s="35"/>
      <c r="PR13" s="33"/>
      <c r="PS13" s="33"/>
      <c r="PU13" s="83">
        <v>45.3</v>
      </c>
      <c r="QP13" s="35"/>
      <c r="QQ13" s="35"/>
      <c r="QZ13" s="33"/>
      <c r="RA13" s="33"/>
      <c r="RC13" s="83">
        <v>45.3</v>
      </c>
      <c r="RX13" s="35"/>
      <c r="RY13" s="35"/>
      <c r="SH13" s="33"/>
      <c r="SI13" s="33"/>
      <c r="SK13" s="83">
        <v>45.3</v>
      </c>
    </row>
    <row r="14" spans="1:534" x14ac:dyDescent="0.2">
      <c r="A14" s="35"/>
      <c r="B14" s="64" t="s">
        <v>70</v>
      </c>
      <c r="C14" s="35"/>
      <c r="AH14" s="77"/>
      <c r="AI14" s="77"/>
      <c r="AJ14" s="77"/>
      <c r="AK14" s="56"/>
      <c r="AL14" s="56"/>
      <c r="AM14" s="56"/>
      <c r="AN14" s="56"/>
      <c r="AO14" s="84">
        <v>46</v>
      </c>
      <c r="BI14" s="77"/>
      <c r="BJ14" s="77"/>
      <c r="BK14" s="77"/>
      <c r="BM14" s="56"/>
      <c r="BN14" s="56"/>
      <c r="BP14" s="84">
        <v>46</v>
      </c>
      <c r="CJ14" s="77"/>
      <c r="CK14" s="77"/>
      <c r="CL14" s="77"/>
      <c r="CM14" s="56"/>
      <c r="CN14" s="56"/>
      <c r="CO14" s="56"/>
      <c r="CP14" s="56"/>
      <c r="CQ14" s="84">
        <v>46</v>
      </c>
      <c r="DN14" s="35"/>
      <c r="DO14" s="35"/>
      <c r="DX14" s="33"/>
      <c r="DY14" s="33"/>
      <c r="DZ14" s="71"/>
      <c r="EA14" s="84">
        <v>45.7</v>
      </c>
      <c r="EV14" s="35"/>
      <c r="EW14" s="35"/>
      <c r="FF14" s="33"/>
      <c r="FG14" s="33"/>
      <c r="FH14" s="71"/>
      <c r="FI14" s="84">
        <v>45.7</v>
      </c>
      <c r="GD14" s="35"/>
      <c r="GE14" s="35"/>
      <c r="GN14" s="33"/>
      <c r="GO14" s="33"/>
      <c r="GP14" s="71"/>
      <c r="GQ14" s="84">
        <v>45.7</v>
      </c>
      <c r="HL14" s="35"/>
      <c r="HM14" s="35"/>
      <c r="HV14" s="33"/>
      <c r="HW14" s="33"/>
      <c r="HX14" s="71"/>
      <c r="HY14" s="84">
        <v>46</v>
      </c>
      <c r="IT14" s="35"/>
      <c r="IU14" s="35"/>
      <c r="JD14" s="33"/>
      <c r="JE14" s="33"/>
      <c r="JF14" s="71"/>
      <c r="JG14" s="84">
        <v>46</v>
      </c>
      <c r="KB14" s="35"/>
      <c r="KC14" s="35"/>
      <c r="KL14" s="33"/>
      <c r="KM14" s="33"/>
      <c r="KN14" s="71"/>
      <c r="KO14" s="84">
        <v>46</v>
      </c>
      <c r="LJ14" s="35"/>
      <c r="LK14" s="35"/>
      <c r="LT14" s="33"/>
      <c r="LU14" s="33"/>
      <c r="LV14" s="71"/>
      <c r="LW14" s="84">
        <v>46</v>
      </c>
      <c r="MR14" s="35"/>
      <c r="MS14" s="35"/>
      <c r="NB14" s="33"/>
      <c r="NC14" s="33"/>
      <c r="ND14" s="71"/>
      <c r="NE14" s="84">
        <v>46</v>
      </c>
      <c r="NZ14" s="35"/>
      <c r="OA14" s="35"/>
      <c r="OJ14" s="33"/>
      <c r="OK14" s="33"/>
      <c r="OL14" s="71"/>
      <c r="OM14" s="84">
        <v>46</v>
      </c>
      <c r="PH14" s="35"/>
      <c r="PI14" s="35"/>
      <c r="PR14" s="33"/>
      <c r="PS14" s="33"/>
      <c r="PT14" s="71"/>
      <c r="PU14" s="84">
        <v>46</v>
      </c>
      <c r="QP14" s="35"/>
      <c r="QQ14" s="35"/>
      <c r="QZ14" s="33"/>
      <c r="RA14" s="33"/>
      <c r="RB14" s="71"/>
      <c r="RC14" s="84">
        <v>46</v>
      </c>
      <c r="RX14" s="35"/>
      <c r="RY14" s="35"/>
      <c r="SH14" s="33"/>
      <c r="SI14" s="33"/>
      <c r="SJ14" s="71"/>
      <c r="SK14" s="84">
        <v>46</v>
      </c>
    </row>
    <row r="15" spans="1:534" x14ac:dyDescent="0.2">
      <c r="A15" s="35"/>
      <c r="B15" s="45" t="s">
        <v>39</v>
      </c>
      <c r="C15" s="35"/>
      <c r="AH15" s="77"/>
      <c r="AI15" s="77"/>
      <c r="AJ15" s="77"/>
      <c r="AK15" s="56"/>
      <c r="AL15" s="77"/>
      <c r="AM15" s="77"/>
      <c r="AN15" s="56"/>
      <c r="AO15" s="85">
        <v>46.6</v>
      </c>
      <c r="BI15" s="77"/>
      <c r="BJ15" s="77"/>
      <c r="BK15" s="77"/>
      <c r="BM15" s="77"/>
      <c r="BN15" s="56"/>
      <c r="BP15" s="85">
        <v>46.6</v>
      </c>
      <c r="CJ15" s="77"/>
      <c r="CK15" s="77"/>
      <c r="CL15" s="77"/>
      <c r="CM15" s="56"/>
      <c r="CN15" s="77"/>
      <c r="CO15" s="56"/>
      <c r="CP15" s="56"/>
      <c r="CQ15" s="85">
        <v>46.6</v>
      </c>
      <c r="DN15" s="35"/>
      <c r="DO15" s="35"/>
      <c r="DX15" s="77" t="s">
        <v>143</v>
      </c>
      <c r="DY15" s="33"/>
      <c r="EA15" s="85">
        <v>46.8</v>
      </c>
      <c r="EV15" s="35"/>
      <c r="EW15" s="35"/>
      <c r="FF15" s="77" t="s">
        <v>143</v>
      </c>
      <c r="FG15" s="33"/>
      <c r="FI15" s="85">
        <v>46.8</v>
      </c>
      <c r="GD15" s="35"/>
      <c r="GE15" s="35"/>
      <c r="GN15" s="77" t="s">
        <v>143</v>
      </c>
      <c r="GO15" s="33"/>
      <c r="GQ15" s="85">
        <v>46.8</v>
      </c>
      <c r="HL15" s="35"/>
      <c r="HM15" s="35"/>
      <c r="HV15" s="77" t="s">
        <v>143</v>
      </c>
      <c r="HW15" s="33"/>
      <c r="HY15" s="85">
        <v>46.6</v>
      </c>
      <c r="IT15" s="35"/>
      <c r="IU15" s="35"/>
      <c r="JD15" s="33"/>
      <c r="JE15" s="33"/>
      <c r="JG15" s="85">
        <v>46.6</v>
      </c>
      <c r="KB15" s="35"/>
      <c r="KC15" s="35"/>
      <c r="KL15" s="33"/>
      <c r="KM15" s="33"/>
      <c r="KO15" s="85">
        <v>46.6</v>
      </c>
      <c r="LJ15" s="35"/>
      <c r="LK15" s="35"/>
      <c r="LT15" s="33"/>
      <c r="LU15" s="33"/>
      <c r="LW15" s="85">
        <v>46.6</v>
      </c>
      <c r="MR15" s="35"/>
      <c r="MS15" s="35"/>
      <c r="NB15" s="33"/>
      <c r="NC15" s="33"/>
      <c r="NE15" s="85">
        <v>46.6</v>
      </c>
      <c r="NZ15" s="35"/>
      <c r="OA15" s="35"/>
      <c r="OJ15" s="33"/>
      <c r="OK15" s="33"/>
      <c r="OM15" s="85">
        <v>46.6</v>
      </c>
      <c r="PH15" s="35"/>
      <c r="PI15" s="35"/>
      <c r="PR15" s="33"/>
      <c r="PS15" s="33"/>
      <c r="PU15" s="85">
        <v>46.6</v>
      </c>
      <c r="QP15" s="35"/>
      <c r="QQ15" s="35"/>
      <c r="QZ15" s="33"/>
      <c r="RA15" s="33"/>
      <c r="RC15" s="85">
        <v>46.6</v>
      </c>
      <c r="RX15" s="35"/>
      <c r="RY15" s="35"/>
      <c r="SH15" s="33"/>
      <c r="SI15" s="33"/>
      <c r="SK15" s="85">
        <v>46.6</v>
      </c>
    </row>
    <row r="16" spans="1:534" s="70" customFormat="1" x14ac:dyDescent="0.2">
      <c r="A16"/>
      <c r="B16" s="53" t="s">
        <v>62</v>
      </c>
      <c r="C16" s="2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K16" s="56"/>
      <c r="AN16" s="5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M16" s="56"/>
      <c r="CP16" s="5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</row>
    <row r="17" spans="1:534" s="70" customFormat="1" x14ac:dyDescent="0.2">
      <c r="A17" s="35"/>
      <c r="B17" s="35"/>
      <c r="C17" s="34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G17" s="56"/>
      <c r="AH17" s="56"/>
      <c r="AI17" s="56"/>
      <c r="AJ17" s="56"/>
      <c r="AK17" s="56"/>
      <c r="AN17" s="56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I17" s="56"/>
      <c r="CJ17" s="56"/>
      <c r="CK17" s="56"/>
      <c r="CL17" s="56"/>
      <c r="CM17" s="56"/>
      <c r="CP17" s="56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</row>
    <row r="18" spans="1:534" s="70" customFormat="1" ht="17" x14ac:dyDescent="0.2">
      <c r="A18" s="35"/>
      <c r="B18" s="35"/>
      <c r="C18" s="34"/>
      <c r="D18"/>
      <c r="E18"/>
      <c r="F18"/>
      <c r="G18"/>
      <c r="H18"/>
      <c r="I18"/>
      <c r="J18"/>
      <c r="K18"/>
      <c r="L18" s="15"/>
      <c r="M18" s="15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G18" s="56"/>
      <c r="AH18" s="56"/>
      <c r="AI18" s="56"/>
      <c r="AJ18" s="56"/>
      <c r="AK18" s="56"/>
      <c r="AN18" s="56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I18" s="56"/>
      <c r="CJ18" s="56"/>
      <c r="CK18" s="56"/>
      <c r="CL18" s="56"/>
      <c r="CM18" s="56"/>
      <c r="CP18" s="56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</row>
    <row r="19" spans="1:534" s="70" customFormat="1" ht="17" x14ac:dyDescent="0.2">
      <c r="A19" s="35"/>
      <c r="B19" s="35"/>
      <c r="C19" s="34"/>
      <c r="D19"/>
      <c r="E19"/>
      <c r="F19"/>
      <c r="G19"/>
      <c r="H19"/>
      <c r="I19"/>
      <c r="J19"/>
      <c r="K19"/>
      <c r="L19" s="15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G19" s="56"/>
      <c r="AH19" s="56"/>
      <c r="AI19" s="56"/>
      <c r="AJ19" s="56"/>
      <c r="AK19" s="56"/>
      <c r="AN19" s="56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I19" s="56"/>
      <c r="CJ19" s="56"/>
      <c r="CK19" s="56"/>
      <c r="CL19" s="56"/>
      <c r="CM19" s="56"/>
      <c r="CP19" s="56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</row>
    <row r="20" spans="1:534" s="70" customFormat="1" ht="17" x14ac:dyDescent="0.2">
      <c r="A20"/>
      <c r="B20"/>
      <c r="C20"/>
      <c r="D20"/>
      <c r="E20"/>
      <c r="F20"/>
      <c r="G20"/>
      <c r="H20"/>
      <c r="I20"/>
      <c r="J20"/>
      <c r="K20"/>
      <c r="L20" s="15"/>
      <c r="M20" s="15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G20" s="56"/>
      <c r="AH20" s="56"/>
      <c r="AI20" s="56"/>
      <c r="AJ20" s="56"/>
      <c r="AK20" s="56"/>
      <c r="AN20" s="56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I20" s="56"/>
      <c r="CJ20" s="56"/>
      <c r="CK20" s="56"/>
      <c r="CL20" s="56"/>
      <c r="CM20" s="56"/>
      <c r="CP20" s="56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</row>
    <row r="21" spans="1:534" s="70" customFormat="1" ht="17" x14ac:dyDescent="0.2">
      <c r="A21"/>
      <c r="B21"/>
      <c r="C21"/>
      <c r="D21"/>
      <c r="E21"/>
      <c r="F21"/>
      <c r="G21"/>
      <c r="H21"/>
      <c r="I21"/>
      <c r="J21"/>
      <c r="K21"/>
      <c r="L21" s="15"/>
      <c r="M21" s="15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G21" s="56"/>
      <c r="AH21" s="56"/>
      <c r="AI21" s="56"/>
      <c r="AJ21" s="56"/>
      <c r="AK21" s="56"/>
      <c r="AN21" s="56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I21" s="56"/>
      <c r="CJ21" s="56"/>
      <c r="CK21" s="56"/>
      <c r="CL21" s="56"/>
      <c r="CM21" s="56"/>
      <c r="CP21" s="56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</row>
    <row r="22" spans="1:534" s="70" customFormat="1" ht="17" x14ac:dyDescent="0.2">
      <c r="A22"/>
      <c r="B22"/>
      <c r="C22"/>
      <c r="D22"/>
      <c r="E22"/>
      <c r="F22"/>
      <c r="G22"/>
      <c r="H22"/>
      <c r="I22"/>
      <c r="J22"/>
      <c r="K22"/>
      <c r="L22" s="15"/>
      <c r="M22" s="15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G22" s="56"/>
      <c r="AH22" s="56"/>
      <c r="AI22" s="56"/>
      <c r="AJ22" s="56"/>
      <c r="AK22" s="56"/>
      <c r="AN22" s="56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I22" s="56"/>
      <c r="CJ22" s="56"/>
      <c r="CK22" s="56"/>
      <c r="CL22" s="56"/>
      <c r="CM22" s="56"/>
      <c r="CP22" s="56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</row>
    <row r="23" spans="1:534" s="70" customFormat="1" ht="17" x14ac:dyDescent="0.2">
      <c r="A23"/>
      <c r="B23"/>
      <c r="C23"/>
      <c r="D23"/>
      <c r="E23"/>
      <c r="F23"/>
      <c r="G23"/>
      <c r="H23"/>
      <c r="I23"/>
      <c r="J23"/>
      <c r="K23"/>
      <c r="L23" s="15"/>
      <c r="M23" s="15"/>
      <c r="N23" s="15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</row>
    <row r="24" spans="1:534" s="70" customFormat="1" ht="17" x14ac:dyDescent="0.2">
      <c r="A24"/>
      <c r="B24"/>
      <c r="C24"/>
      <c r="D24"/>
      <c r="E24"/>
      <c r="F24"/>
      <c r="G24"/>
      <c r="H24"/>
      <c r="I24"/>
      <c r="J24"/>
      <c r="K24"/>
      <c r="L24" s="15"/>
      <c r="M24" s="15"/>
      <c r="N24" s="15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</row>
    <row r="25" spans="1:534" s="70" customFormat="1" ht="17" x14ac:dyDescent="0.2">
      <c r="A25"/>
      <c r="B25"/>
      <c r="C25"/>
      <c r="D25"/>
      <c r="E25"/>
      <c r="F25"/>
      <c r="G25"/>
      <c r="H25"/>
      <c r="I25"/>
      <c r="J25"/>
      <c r="K25"/>
      <c r="L25" s="15"/>
      <c r="M25" s="15"/>
      <c r="N25" s="1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</row>
    <row r="26" spans="1:534" s="70" customFormat="1" ht="17" x14ac:dyDescent="0.2">
      <c r="A26"/>
      <c r="B26"/>
      <c r="C26"/>
      <c r="D26"/>
      <c r="E26"/>
      <c r="F26"/>
      <c r="G26"/>
      <c r="H26"/>
      <c r="I26"/>
      <c r="J26"/>
      <c r="K26"/>
      <c r="L26" s="15"/>
      <c r="M26" s="15"/>
      <c r="N26" s="15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</row>
    <row r="27" spans="1:534" s="70" customFormat="1" ht="17" x14ac:dyDescent="0.2">
      <c r="A27"/>
      <c r="B27"/>
      <c r="C27"/>
      <c r="D27"/>
      <c r="E27"/>
      <c r="F27"/>
      <c r="G27"/>
      <c r="H27"/>
      <c r="I27"/>
      <c r="J27"/>
      <c r="K27"/>
      <c r="L27" s="15"/>
      <c r="M27" s="15"/>
      <c r="N27" s="15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</row>
    <row r="28" spans="1:534" s="70" customFormat="1" ht="17" x14ac:dyDescent="0.2">
      <c r="A28"/>
      <c r="B28"/>
      <c r="C28"/>
      <c r="D28"/>
      <c r="E28"/>
      <c r="F28"/>
      <c r="G28"/>
      <c r="H28"/>
      <c r="I28"/>
      <c r="J28"/>
      <c r="K28"/>
      <c r="L28" s="15"/>
      <c r="M28" s="15"/>
      <c r="N28" s="15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</row>
    <row r="29" spans="1:53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 s="15"/>
      <c r="M29" s="15"/>
      <c r="N29" s="15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</row>
    <row r="30" spans="1:53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 s="15"/>
      <c r="M30" s="15"/>
      <c r="N30" s="15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</row>
    <row r="31" spans="1:53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 s="15"/>
      <c r="M31" s="15"/>
      <c r="N31" s="15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</row>
    <row r="32" spans="1:534" ht="17" x14ac:dyDescent="0.2">
      <c r="L32" s="15"/>
      <c r="M32" s="15"/>
      <c r="N32" s="15"/>
    </row>
    <row r="33" spans="12:14" ht="17" x14ac:dyDescent="0.2">
      <c r="L33" s="15"/>
      <c r="M33" s="15"/>
      <c r="N33" s="15"/>
    </row>
    <row r="34" spans="12:14" ht="17" x14ac:dyDescent="0.2">
      <c r="L34" s="15"/>
      <c r="M34" s="15"/>
      <c r="N34" s="15"/>
    </row>
    <row r="35" spans="12:14" ht="17" x14ac:dyDescent="0.2">
      <c r="L35" s="15"/>
      <c r="M35" s="15"/>
      <c r="N35" s="15"/>
    </row>
    <row r="36" spans="12:14" ht="17" x14ac:dyDescent="0.2">
      <c r="L36" s="15"/>
      <c r="M36" s="15"/>
      <c r="N36" s="15"/>
    </row>
    <row r="37" spans="12:14" ht="17" x14ac:dyDescent="0.2">
      <c r="L37" s="15"/>
      <c r="M37" s="15"/>
      <c r="N37" s="15"/>
    </row>
  </sheetData>
  <sheetProtection sheet="1" formatCells="0" formatColumns="0" formatRows="0"/>
  <autoFilter ref="A1:TL3" xr:uid="{00000000-0001-0000-0100-000000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sortState xmlns:xlrd2="http://schemas.microsoft.com/office/spreadsheetml/2017/richdata2" ref="A4:TL5">
      <sortCondition descending="1" ref="F1:F6"/>
    </sortState>
  </autoFilter>
  <mergeCells count="91">
    <mergeCell ref="SV2:SZ2"/>
    <mergeCell ref="RD2:RH2"/>
    <mergeCell ref="RI2:RM2"/>
    <mergeCell ref="RN2:RR2"/>
    <mergeCell ref="RS2:RW2"/>
    <mergeCell ref="SL2:SP2"/>
    <mergeCell ref="SQ2:SU2"/>
    <mergeCell ref="QK2:QO2"/>
    <mergeCell ref="NF2:NJ2"/>
    <mergeCell ref="NK2:NO2"/>
    <mergeCell ref="NP2:NT2"/>
    <mergeCell ref="NU2:NY2"/>
    <mergeCell ref="ON2:OR2"/>
    <mergeCell ref="OS2:OW2"/>
    <mergeCell ref="OX2:PB2"/>
    <mergeCell ref="PC2:PG2"/>
    <mergeCell ref="PV2:PZ2"/>
    <mergeCell ref="QA2:QE2"/>
    <mergeCell ref="QF2:QJ2"/>
    <mergeCell ref="MM2:MQ2"/>
    <mergeCell ref="JH2:JL2"/>
    <mergeCell ref="JM2:JQ2"/>
    <mergeCell ref="JR2:JV2"/>
    <mergeCell ref="JW2:KA2"/>
    <mergeCell ref="KP2:KT2"/>
    <mergeCell ref="KU2:KY2"/>
    <mergeCell ref="KZ2:LD2"/>
    <mergeCell ref="LE2:LI2"/>
    <mergeCell ref="LX2:MB2"/>
    <mergeCell ref="MC2:MG2"/>
    <mergeCell ref="MH2:ML2"/>
    <mergeCell ref="IO2:IS2"/>
    <mergeCell ref="FJ2:FN2"/>
    <mergeCell ref="FO2:FS2"/>
    <mergeCell ref="FT2:FX2"/>
    <mergeCell ref="FY2:GC2"/>
    <mergeCell ref="GR2:GV2"/>
    <mergeCell ref="GW2:HA2"/>
    <mergeCell ref="HB2:HF2"/>
    <mergeCell ref="HG2:HK2"/>
    <mergeCell ref="HZ2:ID2"/>
    <mergeCell ref="IE2:II2"/>
    <mergeCell ref="IJ2:IN2"/>
    <mergeCell ref="EQ2:EU2"/>
    <mergeCell ref="AZ2:BD2"/>
    <mergeCell ref="BQ2:BU2"/>
    <mergeCell ref="BV2:BZ2"/>
    <mergeCell ref="CA2:CE2"/>
    <mergeCell ref="CT2:CX2"/>
    <mergeCell ref="CY2:DC2"/>
    <mergeCell ref="DD2:DH2"/>
    <mergeCell ref="DI2:DM2"/>
    <mergeCell ref="EB2:EF2"/>
    <mergeCell ref="EG2:EK2"/>
    <mergeCell ref="EL2:EP2"/>
    <mergeCell ref="NF1:OM1"/>
    <mergeCell ref="ON1:PU1"/>
    <mergeCell ref="PV1:RC1"/>
    <mergeCell ref="RD1:SK1"/>
    <mergeCell ref="SL1:TL1"/>
    <mergeCell ref="O2:S2"/>
    <mergeCell ref="T2:X2"/>
    <mergeCell ref="Y2:AC2"/>
    <mergeCell ref="AP2:AT2"/>
    <mergeCell ref="AU2:AY2"/>
    <mergeCell ref="LX1:NE1"/>
    <mergeCell ref="O1:AO1"/>
    <mergeCell ref="AP1:BP1"/>
    <mergeCell ref="BQ1:CQ1"/>
    <mergeCell ref="CR1:CS1"/>
    <mergeCell ref="CT1:EA1"/>
    <mergeCell ref="EB1:FI1"/>
    <mergeCell ref="FJ1:GQ1"/>
    <mergeCell ref="GR1:HY1"/>
    <mergeCell ref="HZ1:JG1"/>
    <mergeCell ref="JH1:KO1"/>
    <mergeCell ref="KP1:LW1"/>
    <mergeCell ref="L1:L3"/>
    <mergeCell ref="M1:M3"/>
    <mergeCell ref="N1:N3"/>
    <mergeCell ref="G1:G3"/>
    <mergeCell ref="H1:H3"/>
    <mergeCell ref="I1:I3"/>
    <mergeCell ref="J1:J3"/>
    <mergeCell ref="K1:K3"/>
    <mergeCell ref="F1:F3"/>
    <mergeCell ref="A1:A3"/>
    <mergeCell ref="B1:B3"/>
    <mergeCell ref="C1:C3"/>
    <mergeCell ref="D1:D3"/>
    <mergeCell ref="E1:E3"/>
  </mergeCells>
  <conditionalFormatting sqref="H1:H1048576">
    <cfRule type="containsText" dxfId="281" priority="39" operator="containsText" text="No DD">
      <formula>NOT(ISERROR(SEARCH("No DD",H1)))</formula>
    </cfRule>
    <cfRule type="containsText" dxfId="280" priority="40" operator="containsText" text="Merit">
      <formula>NOT(ISERROR(SEARCH("Merit",H1)))</formula>
    </cfRule>
    <cfRule type="containsText" dxfId="279" priority="41" operator="containsText" text="Excellence">
      <formula>NOT(ISERROR(SEARCH("Excellence",H1)))</formula>
    </cfRule>
    <cfRule type="containsText" dxfId="278" priority="42" operator="containsText" text="Worlds Team">
      <formula>NOT(ISERROR(SEARCH("Worlds Team",H1)))</formula>
    </cfRule>
    <cfRule type="containsText" dxfId="277" priority="43" operator="containsText" text="National Team">
      <formula>NOT(ISERROR(SEARCH("National Team",H1)))</formula>
    </cfRule>
  </conditionalFormatting>
  <conditionalFormatting sqref="A1:A1048576">
    <cfRule type="expression" dxfId="276" priority="44">
      <formula>AND(G1&lt;&gt;"",F1="")</formula>
    </cfRule>
  </conditionalFormatting>
  <conditionalFormatting sqref="O4:AO5">
    <cfRule type="expression" dxfId="275" priority="45" stopIfTrue="1">
      <formula>IF($AD4&lt;&gt;"",1,0)</formula>
    </cfRule>
  </conditionalFormatting>
  <conditionalFormatting sqref="AP4:BP5">
    <cfRule type="expression" dxfId="274" priority="38" stopIfTrue="1">
      <formula>IF($BE4&lt;&gt;"",1,0)</formula>
    </cfRule>
  </conditionalFormatting>
  <conditionalFormatting sqref="BQ4:CQ5">
    <cfRule type="expression" dxfId="273" priority="37" stopIfTrue="1">
      <formula>IF($CF4&lt;&gt;"",1,0)</formula>
    </cfRule>
  </conditionalFormatting>
  <conditionalFormatting sqref="K1:K1048576">
    <cfRule type="expression" dxfId="272" priority="54">
      <formula>IF(K1=$BQ$1,1,0)</formula>
    </cfRule>
    <cfRule type="expression" dxfId="271" priority="55">
      <formula>IF(K1=$AP$1,1,0)</formula>
    </cfRule>
    <cfRule type="expression" dxfId="270" priority="56">
      <formula>IF(K1=$O$1,1,0)</formula>
    </cfRule>
  </conditionalFormatting>
  <conditionalFormatting sqref="BM16:BM1048576 BF1:BF1048576 BI1:BI1048576 BM1:BM14">
    <cfRule type="cellIs" dxfId="269" priority="50" operator="between">
      <formula>$BP$11</formula>
      <formula>1000</formula>
    </cfRule>
    <cfRule type="cellIs" dxfId="268" priority="51" operator="between">
      <formula>$BP$10</formula>
      <formula>$BP$11</formula>
    </cfRule>
    <cfRule type="cellIs" dxfId="267" priority="52" operator="between">
      <formula>$BP$9</formula>
      <formula>$BP$10</formula>
    </cfRule>
    <cfRule type="cellIs" dxfId="266" priority="53" operator="between">
      <formula>$BP$8</formula>
      <formula>$BP$9</formula>
    </cfRule>
  </conditionalFormatting>
  <conditionalFormatting sqref="CN16:CN1048576 CG1:CG1048576 CJ1:CJ1048576 CN1:CN14">
    <cfRule type="cellIs" dxfId="265" priority="46" operator="between">
      <formula>$CQ$11</formula>
      <formula>1000</formula>
    </cfRule>
    <cfRule type="cellIs" dxfId="264" priority="47" operator="between">
      <formula>$CQ$10</formula>
      <formula>$CQ$11</formula>
    </cfRule>
    <cfRule type="cellIs" dxfId="263" priority="48" operator="between">
      <formula>$CQ$9</formula>
      <formula>$CQ$10</formula>
    </cfRule>
    <cfRule type="cellIs" dxfId="262" priority="49" operator="between">
      <formula>$CQ$8</formula>
      <formula>$CQ$9</formula>
    </cfRule>
  </conditionalFormatting>
  <conditionalFormatting sqref="DX16:DX1048576 DN1:DN1048576 DQ1:DQ1048576 DU1:DU1048576 DX1:DX14">
    <cfRule type="cellIs" dxfId="261" priority="57" operator="between">
      <formula>$EA$11</formula>
      <formula>1000</formula>
    </cfRule>
    <cfRule type="cellIs" dxfId="260" priority="58" operator="between">
      <formula>$EA$10</formula>
      <formula>$EA$11</formula>
    </cfRule>
    <cfRule type="cellIs" dxfId="259" priority="59" operator="between">
      <formula>$EA$9</formula>
      <formula>$EA$10</formula>
    </cfRule>
    <cfRule type="cellIs" dxfId="258" priority="60" operator="between">
      <formula>$EA$8</formula>
      <formula>$EA$9</formula>
    </cfRule>
  </conditionalFormatting>
  <conditionalFormatting sqref="FF16:FF1048576 EV1:EV1048576 EY1:EY1048576 FC1:FC1048576 FF1:FF14">
    <cfRule type="cellIs" dxfId="257" priority="33" operator="between">
      <formula>$FI$11</formula>
      <formula>1000</formula>
    </cfRule>
    <cfRule type="cellIs" dxfId="256" priority="34" operator="between">
      <formula>$FI$10</formula>
      <formula>$FI$11</formula>
    </cfRule>
    <cfRule type="cellIs" dxfId="255" priority="35" operator="between">
      <formula>$FI$9</formula>
      <formula>$FI$10</formula>
    </cfRule>
    <cfRule type="cellIs" dxfId="254" priority="36" operator="between">
      <formula>$FI$8</formula>
      <formula>$FI$9</formula>
    </cfRule>
  </conditionalFormatting>
  <conditionalFormatting sqref="HV16:HV1048576 HL1:HL1048576 HO1:HO1048576 HS1:HS1048576 HV1:HV14">
    <cfRule type="cellIs" dxfId="253" priority="29" operator="between">
      <formula>$HY$11</formula>
      <formula>1000</formula>
    </cfRule>
    <cfRule type="cellIs" dxfId="252" priority="30" operator="between">
      <formula>$HY$10</formula>
      <formula>$HY$11</formula>
    </cfRule>
    <cfRule type="cellIs" dxfId="251" priority="31" operator="between">
      <formula>$HY$9</formula>
      <formula>$HY$10</formula>
    </cfRule>
    <cfRule type="cellIs" dxfId="250" priority="32" operator="between">
      <formula>$HY$8</formula>
      <formula>$HY$9</formula>
    </cfRule>
  </conditionalFormatting>
  <conditionalFormatting sqref="AM15 AE1:AE1048576 AH1:AH1048576 AL1:AL1048576">
    <cfRule type="cellIs" dxfId="249" priority="25" operator="between">
      <formula>$AO$11</formula>
      <formula>1000</formula>
    </cfRule>
    <cfRule type="cellIs" dxfId="248" priority="26" operator="between">
      <formula>$AO$10</formula>
      <formula>$AO$11</formula>
    </cfRule>
    <cfRule type="cellIs" dxfId="247" priority="27" operator="between">
      <formula>$AO$9</formula>
      <formula>$AO$10</formula>
    </cfRule>
    <cfRule type="cellIs" dxfId="246" priority="28" operator="between">
      <formula>$AO$8</formula>
      <formula>$AO$9</formula>
    </cfRule>
  </conditionalFormatting>
  <conditionalFormatting sqref="BM15">
    <cfRule type="cellIs" dxfId="245" priority="21" operator="between">
      <formula>$AO$11</formula>
      <formula>1000</formula>
    </cfRule>
    <cfRule type="cellIs" dxfId="244" priority="22" operator="between">
      <formula>$AO$10</formula>
      <formula>$AO$11</formula>
    </cfRule>
    <cfRule type="cellIs" dxfId="243" priority="23" operator="between">
      <formula>$AO$9</formula>
      <formula>$AO$10</formula>
    </cfRule>
    <cfRule type="cellIs" dxfId="242" priority="24" operator="between">
      <formula>$AO$8</formula>
      <formula>$AO$9</formula>
    </cfRule>
  </conditionalFormatting>
  <conditionalFormatting sqref="CN15">
    <cfRule type="cellIs" dxfId="241" priority="17" operator="between">
      <formula>$AO$11</formula>
      <formula>1000</formula>
    </cfRule>
    <cfRule type="cellIs" dxfId="240" priority="18" operator="between">
      <formula>$AO$10</formula>
      <formula>$AO$11</formula>
    </cfRule>
    <cfRule type="cellIs" dxfId="239" priority="19" operator="between">
      <formula>$AO$9</formula>
      <formula>$AO$10</formula>
    </cfRule>
    <cfRule type="cellIs" dxfId="238" priority="20" operator="between">
      <formula>$AO$8</formula>
      <formula>$AO$9</formula>
    </cfRule>
  </conditionalFormatting>
  <conditionalFormatting sqref="DX15">
    <cfRule type="cellIs" dxfId="237" priority="13" operator="between">
      <formula>$AO$11</formula>
      <formula>1000</formula>
    </cfRule>
    <cfRule type="cellIs" dxfId="236" priority="14" operator="between">
      <formula>$AO$10</formula>
      <formula>$AO$11</formula>
    </cfRule>
    <cfRule type="cellIs" dxfId="235" priority="15" operator="between">
      <formula>$AO$9</formula>
      <formula>$AO$10</formula>
    </cfRule>
    <cfRule type="cellIs" dxfId="234" priority="16" operator="between">
      <formula>$AO$8</formula>
      <formula>$AO$9</formula>
    </cfRule>
  </conditionalFormatting>
  <conditionalFormatting sqref="FF15">
    <cfRule type="cellIs" dxfId="233" priority="9" operator="between">
      <formula>$AO$11</formula>
      <formula>1000</formula>
    </cfRule>
    <cfRule type="cellIs" dxfId="232" priority="10" operator="between">
      <formula>$AO$10</formula>
      <formula>$AO$11</formula>
    </cfRule>
    <cfRule type="cellIs" dxfId="231" priority="11" operator="between">
      <formula>$AO$9</formula>
      <formula>$AO$10</formula>
    </cfRule>
    <cfRule type="cellIs" dxfId="230" priority="12" operator="between">
      <formula>$AO$8</formula>
      <formula>$AO$9</formula>
    </cfRule>
  </conditionalFormatting>
  <conditionalFormatting sqref="HV15">
    <cfRule type="cellIs" dxfId="229" priority="5" operator="between">
      <formula>$AO$11</formula>
      <formula>1000</formula>
    </cfRule>
    <cfRule type="cellIs" dxfId="228" priority="6" operator="between">
      <formula>$AO$10</formula>
      <formula>$AO$11</formula>
    </cfRule>
    <cfRule type="cellIs" dxfId="227" priority="7" operator="between">
      <formula>$AO$9</formula>
      <formula>$AO$10</formula>
    </cfRule>
    <cfRule type="cellIs" dxfId="226" priority="8" operator="between">
      <formula>$AO$8</formula>
      <formula>$AO$9</formula>
    </cfRule>
  </conditionalFormatting>
  <conditionalFormatting sqref="CL1:CL1048576 AJ1:AJ1048576">
    <cfRule type="cellIs" dxfId="225" priority="61" operator="between">
      <formula>AO$15</formula>
      <formula>1000</formula>
    </cfRule>
    <cfRule type="cellIs" dxfId="224" priority="62" operator="between">
      <formula>AO$14</formula>
      <formula>AO$15</formula>
    </cfRule>
  </conditionalFormatting>
  <conditionalFormatting sqref="DS1:DS1048576 FA1:FA1048576 GI1:GI1048576 HQ1:HQ1048576 IY1:IY1048576 KG1:KG1048576 LO1:LO1048576 MW1:MW1048576 OE1:OE1048576 PM1:PM1048576 QU1:QU1048576 SC1:SC1048576">
    <cfRule type="cellIs" dxfId="223" priority="63" operator="between">
      <formula>EA$15</formula>
      <formula>1000</formula>
    </cfRule>
    <cfRule type="cellIs" dxfId="222" priority="64" operator="between">
      <formula>EA$14</formula>
      <formula>EA$15</formula>
    </cfRule>
  </conditionalFormatting>
  <conditionalFormatting sqref="DT1:DT1048576 FB1:FB1048576 GJ1:GJ1048576 HR1:HR1048576 IZ1:IZ1048576 KH1:KH1048576 LP1:LP1048576 MX1:MX1048576 OF1:OF1048576 PN1:PN1048576 QV1:QV1048576 SD1:SD1048576">
    <cfRule type="cellIs" dxfId="221" priority="65" operator="between">
      <formula>EA$13</formula>
      <formula>1000</formula>
    </cfRule>
    <cfRule type="cellIs" dxfId="220" priority="66" operator="between">
      <formula>EA$12</formula>
      <formula>EA$13</formula>
    </cfRule>
  </conditionalFormatting>
  <conditionalFormatting sqref="AG1:AG1048576 AJ1:AJ1048576 AN1:AN1048576">
    <cfRule type="cellIs" dxfId="219" priority="67" operator="between">
      <formula>$AO$15</formula>
      <formula>1000</formula>
    </cfRule>
    <cfRule type="cellIs" dxfId="218" priority="68" operator="between">
      <formula>$AO$14</formula>
      <formula>$AO$15</formula>
    </cfRule>
    <cfRule type="cellIs" dxfId="217" priority="69" operator="between">
      <formula>$AO$13</formula>
      <formula>$AO$14</formula>
    </cfRule>
    <cfRule type="cellIs" dxfId="216" priority="70" operator="between">
      <formula>$AO$12</formula>
      <formula>$AO$13</formula>
    </cfRule>
  </conditionalFormatting>
  <conditionalFormatting sqref="BH1:BH1048576 BK1:BK1048576 BO1:BO1048576">
    <cfRule type="cellIs" dxfId="215" priority="71" operator="between">
      <formula>$BP$15</formula>
      <formula>1000</formula>
    </cfRule>
    <cfRule type="cellIs" dxfId="214" priority="72" operator="between">
      <formula>$BP$14</formula>
      <formula>$BP$15</formula>
    </cfRule>
    <cfRule type="cellIs" dxfId="213" priority="73" operator="between">
      <formula>$BP$13</formula>
      <formula>$BP$14</formula>
    </cfRule>
    <cfRule type="cellIs" dxfId="212" priority="74" operator="between">
      <formula>$BP$12</formula>
      <formula>$BP$13</formula>
    </cfRule>
  </conditionalFormatting>
  <conditionalFormatting sqref="CI1:CI1048576 CL1:CL1048576 CP1:CP1048576">
    <cfRule type="cellIs" dxfId="211" priority="75" operator="between">
      <formula>$CQ$15</formula>
      <formula>1000</formula>
    </cfRule>
    <cfRule type="cellIs" dxfId="210" priority="76" operator="between">
      <formula>$CQ$14</formula>
      <formula>$CQ$15</formula>
    </cfRule>
    <cfRule type="cellIs" dxfId="209" priority="77" operator="between">
      <formula>$CQ$13</formula>
      <formula>$CQ$14</formula>
    </cfRule>
    <cfRule type="cellIs" dxfId="208" priority="78" operator="between">
      <formula>$CQ$12</formula>
      <formula>$CQ$13</formula>
    </cfRule>
  </conditionalFormatting>
  <conditionalFormatting sqref="MR1:MR1048576 MU1:MU1048576 MY1:MY1048576 NB1:NB1048576">
    <cfRule type="cellIs" dxfId="207" priority="79" operator="between">
      <formula>$NE$8</formula>
      <formula>$NE$9</formula>
    </cfRule>
  </conditionalFormatting>
  <conditionalFormatting sqref="DP1:DP1048576 DS1:DS1048576 DW1:DW1048576 DZ1:DZ1048576">
    <cfRule type="cellIs" dxfId="206" priority="80" operator="between">
      <formula>$EA$15</formula>
      <formula>1000</formula>
    </cfRule>
    <cfRule type="cellIs" dxfId="205" priority="81" operator="between">
      <formula>$EA$14</formula>
      <formula>$EA$15</formula>
    </cfRule>
    <cfRule type="cellIs" dxfId="204" priority="82" operator="between">
      <formula>$EA$13</formula>
      <formula>$EA$14</formula>
    </cfRule>
    <cfRule type="cellIs" dxfId="203" priority="83" operator="between">
      <formula>$EA$12</formula>
      <formula>$EA$13</formula>
    </cfRule>
  </conditionalFormatting>
  <conditionalFormatting sqref="EX1:EX1048576 FA1:FA1048576 FE1:FE1048576 FH1:FH1048576">
    <cfRule type="cellIs" dxfId="202" priority="84" operator="between">
      <formula>$FI$15</formula>
      <formula>1000</formula>
    </cfRule>
    <cfRule type="cellIs" dxfId="201" priority="85" operator="between">
      <formula>$FI$14</formula>
      <formula>$FI$15</formula>
    </cfRule>
    <cfRule type="cellIs" dxfId="200" priority="86" operator="between">
      <formula>$FI$13</formula>
      <formula>$FI$14</formula>
    </cfRule>
    <cfRule type="cellIs" dxfId="199" priority="87" operator="between">
      <formula>$FI$12</formula>
      <formula>$FI$13</formula>
    </cfRule>
  </conditionalFormatting>
  <conditionalFormatting sqref="GD1:GD1048576 GG1:GG1048576 GK1:GK1048576 GN1:GN14 GN16:GN1048576">
    <cfRule type="cellIs" dxfId="198" priority="88" operator="between">
      <formula>$GQ$11</formula>
      <formula>1000</formula>
    </cfRule>
    <cfRule type="cellIs" dxfId="197" priority="89" operator="between">
      <formula>$GQ$10</formula>
      <formula>$GQ$11</formula>
    </cfRule>
    <cfRule type="cellIs" dxfId="196" priority="90" operator="between">
      <formula>$GQ$9</formula>
      <formula>$GQ$10</formula>
    </cfRule>
    <cfRule type="cellIs" dxfId="195" priority="91" operator="between">
      <formula>$GQ$8</formula>
      <formula>$GQ$9</formula>
    </cfRule>
  </conditionalFormatting>
  <conditionalFormatting sqref="GF1:GF1048576 GI1:GI1048576 GM1:GM1048576 GP1:GP1048576">
    <cfRule type="cellIs" dxfId="194" priority="92" operator="between">
      <formula>$GQ$15</formula>
      <formula>1000</formula>
    </cfRule>
    <cfRule type="cellIs" dxfId="193" priority="93" operator="between">
      <formula>$GQ$14</formula>
      <formula>$GQ$15</formula>
    </cfRule>
    <cfRule type="cellIs" dxfId="192" priority="94" operator="between">
      <formula>$GQ$13</formula>
      <formula>$GQ$14</formula>
    </cfRule>
    <cfRule type="cellIs" dxfId="191" priority="95" operator="between">
      <formula>$GQ$12</formula>
      <formula>$GQ$13</formula>
    </cfRule>
  </conditionalFormatting>
  <conditionalFormatting sqref="HN1:HN1048576 HQ1:HQ1048576 HU1:HU1048576 HX1:HX1048576">
    <cfRule type="cellIs" dxfId="190" priority="96" operator="between">
      <formula>$HY$15</formula>
      <formula>1000</formula>
    </cfRule>
    <cfRule type="cellIs" dxfId="189" priority="97" operator="between">
      <formula>$HY$14</formula>
      <formula>$HY$15</formula>
    </cfRule>
    <cfRule type="cellIs" dxfId="188" priority="98" operator="between">
      <formula>$HY$13</formula>
      <formula>$HY$14</formula>
    </cfRule>
    <cfRule type="cellIs" dxfId="187" priority="99" operator="between">
      <formula>$HY$12</formula>
      <formula>$HY$13</formula>
    </cfRule>
  </conditionalFormatting>
  <conditionalFormatting sqref="IT1:IT1048576 IW1:IW1048576 JA1:JA1048576 JD1:JD1048576">
    <cfRule type="cellIs" dxfId="186" priority="100" operator="between">
      <formula>$JG$11</formula>
      <formula>1000</formula>
    </cfRule>
    <cfRule type="cellIs" dxfId="185" priority="101" operator="between">
      <formula>$JG$10</formula>
      <formula>$JG$11</formula>
    </cfRule>
    <cfRule type="cellIs" dxfId="184" priority="102" operator="between">
      <formula>$JG$9</formula>
      <formula>$JG$10</formula>
    </cfRule>
    <cfRule type="cellIs" dxfId="183" priority="103" operator="between">
      <formula>$JG$8</formula>
      <formula>$JG$9</formula>
    </cfRule>
  </conditionalFormatting>
  <conditionalFormatting sqref="IV1:IV1048576 IY1:IY1048576 JC1:JC1048576 JF1:JF1048576">
    <cfRule type="cellIs" dxfId="182" priority="104" operator="between">
      <formula>$JG$15</formula>
      <formula>1000</formula>
    </cfRule>
    <cfRule type="cellIs" dxfId="181" priority="105" operator="between">
      <formula>$JG$14</formula>
      <formula>$JG$15</formula>
    </cfRule>
    <cfRule type="cellIs" dxfId="180" priority="106" operator="between">
      <formula>$JG$13</formula>
      <formula>$JG$14</formula>
    </cfRule>
    <cfRule type="cellIs" dxfId="179" priority="107" operator="between">
      <formula>$JG$12</formula>
      <formula>$JG$13</formula>
    </cfRule>
  </conditionalFormatting>
  <conditionalFormatting sqref="KB1:KB1048576 KE1:KE1048576 KI1:KI1048576 KL1:KL1048576">
    <cfRule type="cellIs" dxfId="178" priority="108" operator="between">
      <formula>$KO$11</formula>
      <formula>1000</formula>
    </cfRule>
    <cfRule type="cellIs" dxfId="177" priority="109" operator="between">
      <formula>$KO$10</formula>
      <formula>$KO$11</formula>
    </cfRule>
    <cfRule type="cellIs" dxfId="176" priority="110" operator="between">
      <formula>$KO$9</formula>
      <formula>$KO$10</formula>
    </cfRule>
    <cfRule type="cellIs" dxfId="175" priority="111" operator="between">
      <formula>$KO$8</formula>
      <formula>$KO$9</formula>
    </cfRule>
  </conditionalFormatting>
  <conditionalFormatting sqref="KD1:KD1048576 KG1:KG1048576 KK1:KK1048576 KN1:KN1048576">
    <cfRule type="cellIs" dxfId="174" priority="112" operator="between">
      <formula>$KO$15</formula>
      <formula>1000</formula>
    </cfRule>
    <cfRule type="cellIs" dxfId="173" priority="113" operator="between">
      <formula>$KO$14</formula>
      <formula>$KO$15</formula>
    </cfRule>
    <cfRule type="cellIs" dxfId="172" priority="114" operator="between">
      <formula>$KO$13</formula>
      <formula>$KO$14</formula>
    </cfRule>
    <cfRule type="cellIs" dxfId="171" priority="115" operator="between">
      <formula>$KO$12</formula>
      <formula>$KO$13</formula>
    </cfRule>
  </conditionalFormatting>
  <conditionalFormatting sqref="LJ1:LJ1048576 LM1:LM1048576 LQ1:LQ1048576 LT1:LT1048576">
    <cfRule type="cellIs" dxfId="170" priority="116" operator="between">
      <formula>$LW$11</formula>
      <formula>1000</formula>
    </cfRule>
    <cfRule type="cellIs" dxfId="169" priority="117" operator="between">
      <formula>$LW$10</formula>
      <formula>$LW$11</formula>
    </cfRule>
    <cfRule type="cellIs" dxfId="168" priority="118" operator="between">
      <formula>$LW$9</formula>
      <formula>$LW$10</formula>
    </cfRule>
    <cfRule type="cellIs" dxfId="167" priority="119" operator="between">
      <formula>$LW$8</formula>
      <formula>$LW$9</formula>
    </cfRule>
  </conditionalFormatting>
  <conditionalFormatting sqref="LL1:LL1048576 LO1:LO1048576 LS1:LS1048576 LV1:LV1048576">
    <cfRule type="cellIs" dxfId="166" priority="120" operator="between">
      <formula>$LW$15</formula>
      <formula>1000</formula>
    </cfRule>
    <cfRule type="cellIs" dxfId="165" priority="121" operator="between">
      <formula>$LW$14</formula>
      <formula>$LW$15</formula>
    </cfRule>
    <cfRule type="cellIs" dxfId="164" priority="122" operator="between">
      <formula>$LW$13</formula>
      <formula>$LW$14</formula>
    </cfRule>
    <cfRule type="cellIs" dxfId="163" priority="123" operator="between">
      <formula>$LW$12</formula>
      <formula>$LW$13</formula>
    </cfRule>
  </conditionalFormatting>
  <conditionalFormatting sqref="MR1:MR1048576 MU1:MU1048576 MY1:MY1048576">
    <cfRule type="cellIs" dxfId="162" priority="124" operator="between">
      <formula>$NE$11</formula>
      <formula>1000</formula>
    </cfRule>
    <cfRule type="cellIs" dxfId="161" priority="125" operator="between">
      <formula>$NE$10</formula>
      <formula>$NE$11</formula>
    </cfRule>
    <cfRule type="cellIs" dxfId="160" priority="126" operator="between">
      <formula>$NE$9</formula>
      <formula>$NE$10</formula>
    </cfRule>
  </conditionalFormatting>
  <conditionalFormatting sqref="MT1:MT1048576 MW1:MW1048576 NA1:NA1048576 ND1:ND1048576">
    <cfRule type="cellIs" dxfId="159" priority="127" operator="between">
      <formula>$NE$15</formula>
      <formula>1000</formula>
    </cfRule>
    <cfRule type="cellIs" dxfId="158" priority="128" operator="between">
      <formula>$NE$14</formula>
      <formula>$NE$15</formula>
    </cfRule>
    <cfRule type="cellIs" dxfId="157" priority="129" operator="between">
      <formula>$NE$13</formula>
      <formula>$NE$14</formula>
    </cfRule>
    <cfRule type="cellIs" dxfId="156" priority="130" operator="between">
      <formula>$NE$12</formula>
      <formula>$NE$13</formula>
    </cfRule>
  </conditionalFormatting>
  <conditionalFormatting sqref="NZ1:NZ1048576 OC1:OC1048576 OG1:OG1048576 OJ1:OJ1048576">
    <cfRule type="cellIs" dxfId="155" priority="131" operator="between">
      <formula>$OM$11</formula>
      <formula>1000</formula>
    </cfRule>
    <cfRule type="cellIs" dxfId="154" priority="132" operator="between">
      <formula>$OM$10</formula>
      <formula>$OM$11</formula>
    </cfRule>
    <cfRule type="cellIs" dxfId="153" priority="133" operator="between">
      <formula>$OM$9</formula>
      <formula>$OM$10</formula>
    </cfRule>
    <cfRule type="cellIs" dxfId="152" priority="134" operator="between">
      <formula>$OM$8</formula>
      <formula>$OM$9</formula>
    </cfRule>
  </conditionalFormatting>
  <conditionalFormatting sqref="OB1:OB1048576 OE1:OE1048576 OI1:OI1048576 OL1:OL1048576">
    <cfRule type="cellIs" dxfId="151" priority="135" operator="between">
      <formula>$OM$15</formula>
      <formula>1000</formula>
    </cfRule>
    <cfRule type="cellIs" dxfId="150" priority="136" operator="between">
      <formula>$OM$14</formula>
      <formula>$OM$15</formula>
    </cfRule>
    <cfRule type="cellIs" dxfId="149" priority="137" operator="between">
      <formula>$OM$13</formula>
      <formula>$OM$14</formula>
    </cfRule>
    <cfRule type="cellIs" dxfId="148" priority="138" operator="between">
      <formula>$OM$12</formula>
      <formula>$OM$13</formula>
    </cfRule>
  </conditionalFormatting>
  <conditionalFormatting sqref="PH1:PH1048576 PK1:PK1048576 PO1:PO1048576 PR1:PR1048576">
    <cfRule type="cellIs" dxfId="147" priority="139" operator="between">
      <formula>$PU$11</formula>
      <formula>1000</formula>
    </cfRule>
    <cfRule type="cellIs" dxfId="146" priority="140" operator="between">
      <formula>$PU$10</formula>
      <formula>$PU$11</formula>
    </cfRule>
    <cfRule type="cellIs" dxfId="145" priority="141" operator="between">
      <formula>$PU$9</formula>
      <formula>$PU$10</formula>
    </cfRule>
    <cfRule type="cellIs" dxfId="144" priority="142" operator="between">
      <formula>$PU$8</formula>
      <formula>$PU$9</formula>
    </cfRule>
  </conditionalFormatting>
  <conditionalFormatting sqref="PJ1:PJ1048576 PM1:PM1048576 PQ1:PQ1048576 PT1:PT1048576">
    <cfRule type="cellIs" dxfId="143" priority="143" operator="between">
      <formula>$PU$15</formula>
      <formula>1000</formula>
    </cfRule>
    <cfRule type="cellIs" dxfId="142" priority="144" operator="between">
      <formula>$PU$14</formula>
      <formula>$PU$15</formula>
    </cfRule>
    <cfRule type="cellIs" dxfId="141" priority="145" operator="between">
      <formula>$PU$13</formula>
      <formula>$PU$14</formula>
    </cfRule>
    <cfRule type="cellIs" dxfId="140" priority="146" operator="between">
      <formula>$PU$12</formula>
      <formula>$PU$13</formula>
    </cfRule>
  </conditionalFormatting>
  <conditionalFormatting sqref="QP1:QP1048576 QS1:QS1048576 QW1:QW1048576 QZ1:QZ1048576">
    <cfRule type="cellIs" dxfId="139" priority="147" operator="between">
      <formula>$RC$11</formula>
      <formula>1000</formula>
    </cfRule>
    <cfRule type="cellIs" dxfId="138" priority="148" operator="between">
      <formula>$RC$10</formula>
      <formula>$RC$11</formula>
    </cfRule>
    <cfRule type="cellIs" dxfId="137" priority="149" operator="between">
      <formula>$RC$9</formula>
      <formula>$RC$10</formula>
    </cfRule>
    <cfRule type="cellIs" dxfId="136" priority="150" operator="between">
      <formula>$RC$8</formula>
      <formula>$RC$9</formula>
    </cfRule>
  </conditionalFormatting>
  <conditionalFormatting sqref="QR1:QR1048576 QU1:QU1048576 QY1:QY1048576 RB1:RB1048576">
    <cfRule type="cellIs" dxfId="135" priority="151" operator="between">
      <formula>$RC$15</formula>
      <formula>1000</formula>
    </cfRule>
    <cfRule type="cellIs" dxfId="134" priority="152" operator="between">
      <formula>$RC$14</formula>
      <formula>$RC$15</formula>
    </cfRule>
    <cfRule type="cellIs" dxfId="133" priority="153" operator="between">
      <formula>$RC$13</formula>
      <formula>$RC$14</formula>
    </cfRule>
    <cfRule type="cellIs" dxfId="132" priority="154" operator="between">
      <formula>$RC$12</formula>
      <formula>$RC$13</formula>
    </cfRule>
  </conditionalFormatting>
  <conditionalFormatting sqref="RX1:RX1048576 SA1:SA1048576 SE1:SE1048576 SH1:SH1048576">
    <cfRule type="cellIs" dxfId="131" priority="155" operator="between">
      <formula>$SK$11</formula>
      <formula>1000</formula>
    </cfRule>
    <cfRule type="cellIs" dxfId="130" priority="156" operator="between">
      <formula>$SK$10</formula>
      <formula>$SK$11</formula>
    </cfRule>
    <cfRule type="cellIs" dxfId="129" priority="157" operator="between">
      <formula>$SK$9</formula>
      <formula>$SK$10</formula>
    </cfRule>
    <cfRule type="cellIs" dxfId="128" priority="158" operator="between">
      <formula>$SK$8</formula>
      <formula>$SK$9</formula>
    </cfRule>
  </conditionalFormatting>
  <conditionalFormatting sqref="RZ1:RZ1048576 SC1:SC1048576 SG1:SG1048576 SJ1:SJ1048576">
    <cfRule type="cellIs" dxfId="127" priority="159" operator="between">
      <formula>$SK$15</formula>
      <formula>1000</formula>
    </cfRule>
    <cfRule type="cellIs" dxfId="126" priority="160" operator="between">
      <formula>$SK$14</formula>
      <formula>$SK$15</formula>
    </cfRule>
    <cfRule type="cellIs" dxfId="125" priority="161" operator="between">
      <formula>$SK$13</formula>
      <formula>$SK$14</formula>
    </cfRule>
    <cfRule type="cellIs" dxfId="124" priority="162" operator="between">
      <formula>$SK$12</formula>
      <formula>$SK$13</formula>
    </cfRule>
  </conditionalFormatting>
  <conditionalFormatting sqref="GN15">
    <cfRule type="cellIs" dxfId="123" priority="1" operator="between">
      <formula>$AO$11</formula>
      <formula>1000</formula>
    </cfRule>
    <cfRule type="cellIs" dxfId="122" priority="2" operator="between">
      <formula>$AO$10</formula>
      <formula>$AO$11</formula>
    </cfRule>
    <cfRule type="cellIs" dxfId="121" priority="3" operator="between">
      <formula>$AO$9</formula>
      <formula>$AO$10</formula>
    </cfRule>
    <cfRule type="cellIs" dxfId="120" priority="4" operator="between">
      <formula>$AO$8</formula>
      <formula>$AO$9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BB36E-A6BD-A441-8FD9-FC3145D3F7A0}">
  <sheetPr codeName="Sheet11"/>
  <dimension ref="A1:PX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5" max="15" width="27.5" bestFit="1" customWidth="1"/>
    <col min="16" max="16" width="24.6640625" bestFit="1" customWidth="1"/>
    <col min="17" max="17" width="13" bestFit="1" customWidth="1"/>
    <col min="18" max="18" width="31.5" customWidth="1"/>
    <col min="19" max="39" width="10.83203125" hidden="1" customWidth="1"/>
    <col min="40" max="45" width="10.83203125" style="70" customWidth="1"/>
    <col min="46" max="66" width="10.83203125" hidden="1" customWidth="1"/>
    <col min="67" max="72" width="10.83203125" style="70" customWidth="1"/>
    <col min="73" max="93" width="10.83203125" hidden="1" customWidth="1"/>
    <col min="94" max="99" width="10.83203125" style="70" customWidth="1"/>
    <col min="100" max="100" width="10.83203125" style="70"/>
    <col min="101" max="101" width="10.83203125" style="70" customWidth="1"/>
    <col min="102" max="121" width="10.83203125" hidden="1" customWidth="1"/>
    <col min="122" max="127" width="10.83203125" style="70" customWidth="1"/>
    <col min="128" max="147" width="10.83203125" hidden="1" customWidth="1"/>
    <col min="148" max="153" width="10.83203125" style="70" customWidth="1"/>
    <col min="154" max="173" width="10.83203125" hidden="1" customWidth="1"/>
    <col min="174" max="179" width="10.83203125" style="70" customWidth="1"/>
    <col min="180" max="199" width="10.83203125" hidden="1" customWidth="1"/>
    <col min="200" max="205" width="10.83203125" style="70" hidden="1" customWidth="1"/>
    <col min="206" max="225" width="10.83203125" hidden="1" customWidth="1"/>
    <col min="226" max="231" width="10.83203125" style="70" hidden="1" customWidth="1"/>
    <col min="232" max="251" width="10.83203125" hidden="1" customWidth="1"/>
    <col min="252" max="257" width="10.83203125" style="70" hidden="1" customWidth="1"/>
    <col min="258" max="277" width="10.83203125" hidden="1" customWidth="1"/>
    <col min="278" max="283" width="10.83203125" style="70" hidden="1" customWidth="1"/>
    <col min="284" max="303" width="10.83203125" hidden="1" customWidth="1"/>
    <col min="304" max="309" width="10.83203125" style="70" hidden="1" customWidth="1"/>
    <col min="310" max="329" width="10.83203125" hidden="1" customWidth="1"/>
    <col min="330" max="335" width="10.83203125" style="70" hidden="1" customWidth="1"/>
    <col min="336" max="355" width="10.83203125" hidden="1" customWidth="1"/>
    <col min="356" max="361" width="10.83203125" style="70" hidden="1" customWidth="1"/>
    <col min="362" max="381" width="10.83203125" hidden="1" customWidth="1"/>
    <col min="382" max="387" width="10.83203125" style="70" hidden="1" customWidth="1"/>
    <col min="388" max="407" width="10.83203125" hidden="1" customWidth="1"/>
    <col min="408" max="413" width="10.83203125" style="70" hidden="1" customWidth="1"/>
    <col min="414" max="434" width="10.83203125" hidden="1" customWidth="1"/>
    <col min="435" max="440" width="10.83203125" style="70" hidden="1" customWidth="1"/>
  </cols>
  <sheetData>
    <row r="1" spans="1:440" ht="16" customHeight="1" x14ac:dyDescent="0.2">
      <c r="A1" s="117" t="s">
        <v>1</v>
      </c>
      <c r="B1" s="117" t="s">
        <v>32</v>
      </c>
      <c r="C1" s="117" t="s">
        <v>0</v>
      </c>
      <c r="D1" s="117" t="s">
        <v>63</v>
      </c>
      <c r="E1" s="117" t="s">
        <v>2</v>
      </c>
      <c r="F1" s="119" t="s">
        <v>69</v>
      </c>
      <c r="G1" s="119" t="s">
        <v>12</v>
      </c>
      <c r="H1" s="117" t="s">
        <v>13</v>
      </c>
      <c r="I1" s="119" t="s">
        <v>96</v>
      </c>
      <c r="J1" s="118" t="s">
        <v>155</v>
      </c>
      <c r="K1" s="116" t="s">
        <v>37</v>
      </c>
      <c r="L1" s="118" t="s">
        <v>156</v>
      </c>
      <c r="M1" s="116" t="s">
        <v>37</v>
      </c>
      <c r="N1" s="116" t="s">
        <v>14</v>
      </c>
      <c r="O1" s="116" t="s">
        <v>37</v>
      </c>
      <c r="P1" s="120" t="s">
        <v>15</v>
      </c>
      <c r="Q1" s="116" t="s">
        <v>38</v>
      </c>
      <c r="R1" s="116" t="s">
        <v>37</v>
      </c>
      <c r="S1" s="113" t="s">
        <v>104</v>
      </c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4" t="s">
        <v>111</v>
      </c>
      <c r="AU1" s="114"/>
      <c r="AV1" s="114"/>
      <c r="AW1" s="114"/>
      <c r="AX1" s="114"/>
      <c r="AY1" s="114"/>
      <c r="AZ1" s="114"/>
      <c r="BA1" s="114"/>
      <c r="BB1" s="114"/>
      <c r="BC1" s="114"/>
      <c r="BD1" s="114"/>
      <c r="BE1" s="114"/>
      <c r="BF1" s="114"/>
      <c r="BG1" s="114"/>
      <c r="BH1" s="114"/>
      <c r="BI1" s="114"/>
      <c r="BJ1" s="114"/>
      <c r="BK1" s="114"/>
      <c r="BL1" s="114"/>
      <c r="BM1" s="114"/>
      <c r="BN1" s="114"/>
      <c r="BO1" s="114"/>
      <c r="BP1" s="114"/>
      <c r="BQ1" s="114"/>
      <c r="BR1" s="114"/>
      <c r="BS1" s="114"/>
      <c r="BT1" s="114"/>
      <c r="BU1" s="113" t="s">
        <v>146</v>
      </c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5" t="s">
        <v>68</v>
      </c>
      <c r="CW1" s="115"/>
      <c r="CX1" s="113" t="s">
        <v>114</v>
      </c>
      <c r="CY1" s="113"/>
      <c r="CZ1" s="113"/>
      <c r="DA1" s="113"/>
      <c r="DB1" s="113"/>
      <c r="DC1" s="113"/>
      <c r="DD1" s="113"/>
      <c r="DE1" s="113"/>
      <c r="DF1" s="113"/>
      <c r="DG1" s="113"/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4" t="s">
        <v>172</v>
      </c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4"/>
      <c r="EL1" s="114"/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4"/>
      <c r="EX1" s="113" t="s">
        <v>175</v>
      </c>
      <c r="EY1" s="113"/>
      <c r="EZ1" s="113"/>
      <c r="FA1" s="113"/>
      <c r="FB1" s="113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4"/>
      <c r="GS1" s="114"/>
      <c r="GT1" s="114"/>
      <c r="GU1" s="114"/>
      <c r="GV1" s="114"/>
      <c r="GW1" s="114"/>
      <c r="GX1" s="113"/>
      <c r="GY1" s="113"/>
      <c r="GZ1" s="113"/>
      <c r="HA1" s="113"/>
      <c r="HB1" s="113"/>
      <c r="HC1" s="113"/>
      <c r="HD1" s="113"/>
      <c r="HE1" s="113"/>
      <c r="HF1" s="113"/>
      <c r="HG1" s="113"/>
      <c r="HH1" s="113"/>
      <c r="HI1" s="113"/>
      <c r="HJ1" s="113"/>
      <c r="HK1" s="113"/>
      <c r="HL1" s="113"/>
      <c r="HM1" s="113"/>
      <c r="HN1" s="113"/>
      <c r="HO1" s="113"/>
      <c r="HP1" s="113"/>
      <c r="HQ1" s="113"/>
      <c r="HR1" s="113"/>
      <c r="HS1" s="113"/>
      <c r="HT1" s="113"/>
      <c r="HU1" s="113"/>
      <c r="HV1" s="113"/>
      <c r="HW1" s="113"/>
      <c r="HX1" s="114"/>
      <c r="HY1" s="114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3"/>
      <c r="IY1" s="113"/>
      <c r="IZ1" s="113"/>
      <c r="JA1" s="113"/>
      <c r="JB1" s="113"/>
      <c r="JC1" s="113"/>
      <c r="JD1" s="113"/>
      <c r="JE1" s="113"/>
      <c r="JF1" s="113"/>
      <c r="JG1" s="113"/>
      <c r="JH1" s="113"/>
      <c r="JI1" s="113"/>
      <c r="JJ1" s="113"/>
      <c r="JK1" s="113"/>
      <c r="JL1" s="113"/>
      <c r="JM1" s="113"/>
      <c r="JN1" s="113"/>
      <c r="JO1" s="113"/>
      <c r="JP1" s="113"/>
      <c r="JQ1" s="113"/>
      <c r="JR1" s="113"/>
      <c r="JS1" s="113"/>
      <c r="JT1" s="113"/>
      <c r="JU1" s="113"/>
      <c r="JV1" s="113"/>
      <c r="JW1" s="113"/>
      <c r="JX1" s="114"/>
      <c r="JY1" s="114"/>
      <c r="JZ1" s="114"/>
      <c r="KA1" s="114"/>
      <c r="KB1" s="114"/>
      <c r="KC1" s="114"/>
      <c r="KD1" s="114"/>
      <c r="KE1" s="114"/>
      <c r="KF1" s="114"/>
      <c r="KG1" s="114"/>
      <c r="KH1" s="114"/>
      <c r="KI1" s="114"/>
      <c r="KJ1" s="114"/>
      <c r="KK1" s="114"/>
      <c r="KL1" s="114"/>
      <c r="KM1" s="114"/>
      <c r="KN1" s="114"/>
      <c r="KO1" s="114"/>
      <c r="KP1" s="114"/>
      <c r="KQ1" s="114"/>
      <c r="KR1" s="114"/>
      <c r="KS1" s="114"/>
      <c r="KT1" s="114"/>
      <c r="KU1" s="114"/>
      <c r="KV1" s="114"/>
      <c r="KW1" s="114"/>
      <c r="KX1" s="113"/>
      <c r="KY1" s="113"/>
      <c r="KZ1" s="113"/>
      <c r="LA1" s="113"/>
      <c r="LB1" s="113"/>
      <c r="LC1" s="113"/>
      <c r="LD1" s="113"/>
      <c r="LE1" s="113"/>
      <c r="LF1" s="113"/>
      <c r="LG1" s="113"/>
      <c r="LH1" s="113"/>
      <c r="LI1" s="113"/>
      <c r="LJ1" s="113"/>
      <c r="LK1" s="113"/>
      <c r="LL1" s="113"/>
      <c r="LM1" s="113"/>
      <c r="LN1" s="113"/>
      <c r="LO1" s="113"/>
      <c r="LP1" s="113"/>
      <c r="LQ1" s="113"/>
      <c r="LR1" s="113"/>
      <c r="LS1" s="113"/>
      <c r="LT1" s="113"/>
      <c r="LU1" s="113"/>
      <c r="LV1" s="113"/>
      <c r="LW1" s="113"/>
      <c r="LX1" s="114"/>
      <c r="LY1" s="114"/>
      <c r="LZ1" s="114"/>
      <c r="MA1" s="114"/>
      <c r="MB1" s="114"/>
      <c r="MC1" s="114"/>
      <c r="MD1" s="114"/>
      <c r="ME1" s="114"/>
      <c r="MF1" s="114"/>
      <c r="MG1" s="114"/>
      <c r="MH1" s="114"/>
      <c r="MI1" s="114"/>
      <c r="MJ1" s="114"/>
      <c r="MK1" s="114"/>
      <c r="ML1" s="114"/>
      <c r="MM1" s="114"/>
      <c r="MN1" s="114"/>
      <c r="MO1" s="114"/>
      <c r="MP1" s="114"/>
      <c r="MQ1" s="114"/>
      <c r="MR1" s="114"/>
      <c r="MS1" s="114"/>
      <c r="MT1" s="114"/>
      <c r="MU1" s="114"/>
      <c r="MV1" s="114"/>
      <c r="MW1" s="114"/>
      <c r="MX1" s="113"/>
      <c r="MY1" s="113"/>
      <c r="MZ1" s="113"/>
      <c r="NA1" s="113"/>
      <c r="NB1" s="113"/>
      <c r="NC1" s="113"/>
      <c r="ND1" s="113"/>
      <c r="NE1" s="113"/>
      <c r="NF1" s="113"/>
      <c r="NG1" s="113"/>
      <c r="NH1" s="113"/>
      <c r="NI1" s="113"/>
      <c r="NJ1" s="113"/>
      <c r="NK1" s="113"/>
      <c r="NL1" s="113"/>
      <c r="NM1" s="113"/>
      <c r="NN1" s="113"/>
      <c r="NO1" s="113"/>
      <c r="NP1" s="113"/>
      <c r="NQ1" s="113"/>
      <c r="NR1" s="113"/>
      <c r="NS1" s="113"/>
      <c r="NT1" s="113"/>
      <c r="NU1" s="113"/>
      <c r="NV1" s="113"/>
      <c r="NW1" s="113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3" t="s">
        <v>72</v>
      </c>
      <c r="OY1" s="113"/>
      <c r="OZ1" s="113"/>
      <c r="PA1" s="113"/>
      <c r="PB1" s="113"/>
      <c r="PC1" s="113"/>
      <c r="PD1" s="113"/>
      <c r="PE1" s="113"/>
      <c r="PF1" s="113"/>
      <c r="PG1" s="113"/>
      <c r="PH1" s="113"/>
      <c r="PI1" s="113"/>
      <c r="PJ1" s="113"/>
      <c r="PK1" s="113"/>
      <c r="PL1" s="113"/>
      <c r="PM1" s="113"/>
      <c r="PN1" s="113"/>
      <c r="PO1" s="113"/>
      <c r="PP1" s="113"/>
      <c r="PQ1" s="113"/>
      <c r="PR1" s="113"/>
      <c r="PS1" s="113"/>
      <c r="PT1" s="113"/>
      <c r="PU1" s="113"/>
      <c r="PV1" s="113"/>
      <c r="PW1" s="113"/>
      <c r="PX1" s="113"/>
    </row>
    <row r="2" spans="1:440" x14ac:dyDescent="0.2">
      <c r="A2" s="117"/>
      <c r="B2" s="117"/>
      <c r="C2" s="117"/>
      <c r="D2" s="117"/>
      <c r="E2" s="117"/>
      <c r="F2" s="119"/>
      <c r="G2" s="119"/>
      <c r="H2" s="117"/>
      <c r="I2" s="119"/>
      <c r="J2" s="118"/>
      <c r="K2" s="116"/>
      <c r="L2" s="118"/>
      <c r="M2" s="116"/>
      <c r="N2" s="116"/>
      <c r="O2" s="116"/>
      <c r="P2" s="120"/>
      <c r="Q2" s="116"/>
      <c r="R2" s="116"/>
      <c r="S2" s="111" t="s">
        <v>147</v>
      </c>
      <c r="T2" s="111"/>
      <c r="U2" s="111"/>
      <c r="V2" s="111"/>
      <c r="W2" s="111" t="s">
        <v>148</v>
      </c>
      <c r="X2" s="111"/>
      <c r="Y2" s="111"/>
      <c r="Z2" s="111"/>
      <c r="AA2" s="111" t="s">
        <v>149</v>
      </c>
      <c r="AB2" s="111"/>
      <c r="AC2" s="111"/>
      <c r="AD2" s="111"/>
      <c r="AE2" s="111" t="s">
        <v>150</v>
      </c>
      <c r="AF2" s="111"/>
      <c r="AG2" s="111"/>
      <c r="AH2" s="111"/>
      <c r="AI2" s="121" t="s">
        <v>151</v>
      </c>
      <c r="AJ2" s="121"/>
      <c r="AK2" s="121"/>
      <c r="AL2" s="121"/>
      <c r="AM2" s="88"/>
      <c r="AN2" s="88" t="s">
        <v>152</v>
      </c>
      <c r="AO2" s="88" t="s">
        <v>153</v>
      </c>
      <c r="AP2" s="88" t="s">
        <v>149</v>
      </c>
      <c r="AQ2" s="88" t="s">
        <v>76</v>
      </c>
      <c r="AR2" s="88" t="s">
        <v>154</v>
      </c>
      <c r="AS2" s="88" t="s">
        <v>19</v>
      </c>
      <c r="AT2" s="112" t="s">
        <v>147</v>
      </c>
      <c r="AU2" s="112"/>
      <c r="AV2" s="112"/>
      <c r="AW2" s="112"/>
      <c r="AX2" s="112" t="s">
        <v>148</v>
      </c>
      <c r="AY2" s="112"/>
      <c r="AZ2" s="112"/>
      <c r="BA2" s="112"/>
      <c r="BB2" s="112" t="s">
        <v>149</v>
      </c>
      <c r="BC2" s="112"/>
      <c r="BD2" s="112"/>
      <c r="BE2" s="112"/>
      <c r="BF2" s="112" t="s">
        <v>150</v>
      </c>
      <c r="BG2" s="112"/>
      <c r="BH2" s="112"/>
      <c r="BI2" s="112"/>
      <c r="BJ2" s="122" t="s">
        <v>151</v>
      </c>
      <c r="BK2" s="122"/>
      <c r="BL2" s="122"/>
      <c r="BM2" s="122"/>
      <c r="BN2" s="89"/>
      <c r="BO2" s="89" t="s">
        <v>152</v>
      </c>
      <c r="BP2" s="89" t="s">
        <v>153</v>
      </c>
      <c r="BQ2" s="89" t="s">
        <v>149</v>
      </c>
      <c r="BR2" s="89" t="s">
        <v>76</v>
      </c>
      <c r="BS2" s="89" t="s">
        <v>154</v>
      </c>
      <c r="BT2" s="89" t="s">
        <v>19</v>
      </c>
      <c r="BU2" s="111" t="s">
        <v>147</v>
      </c>
      <c r="BV2" s="111"/>
      <c r="BW2" s="111"/>
      <c r="BX2" s="111"/>
      <c r="BY2" s="111" t="s">
        <v>148</v>
      </c>
      <c r="BZ2" s="111"/>
      <c r="CA2" s="111"/>
      <c r="CB2" s="111"/>
      <c r="CC2" s="111" t="s">
        <v>149</v>
      </c>
      <c r="CD2" s="111"/>
      <c r="CE2" s="111"/>
      <c r="CF2" s="111"/>
      <c r="CG2" s="111" t="s">
        <v>150</v>
      </c>
      <c r="CH2" s="111"/>
      <c r="CI2" s="111"/>
      <c r="CJ2" s="111"/>
      <c r="CK2" s="121" t="s">
        <v>151</v>
      </c>
      <c r="CL2" s="121"/>
      <c r="CM2" s="121"/>
      <c r="CN2" s="121"/>
      <c r="CO2" s="88"/>
      <c r="CP2" s="88" t="s">
        <v>152</v>
      </c>
      <c r="CQ2" s="88" t="s">
        <v>153</v>
      </c>
      <c r="CR2" s="88" t="s">
        <v>149</v>
      </c>
      <c r="CS2" s="88" t="s">
        <v>76</v>
      </c>
      <c r="CT2" s="88" t="s">
        <v>154</v>
      </c>
      <c r="CU2" s="88" t="s">
        <v>19</v>
      </c>
      <c r="CV2" s="86" t="s">
        <v>153</v>
      </c>
      <c r="CW2" s="86" t="s">
        <v>24</v>
      </c>
      <c r="CX2" s="111" t="s">
        <v>147</v>
      </c>
      <c r="CY2" s="111"/>
      <c r="CZ2" s="111"/>
      <c r="DA2" s="111"/>
      <c r="DB2" s="111" t="s">
        <v>148</v>
      </c>
      <c r="DC2" s="111"/>
      <c r="DD2" s="111"/>
      <c r="DE2" s="111"/>
      <c r="DF2" s="111" t="s">
        <v>149</v>
      </c>
      <c r="DG2" s="111"/>
      <c r="DH2" s="111"/>
      <c r="DI2" s="111"/>
      <c r="DJ2" s="111" t="s">
        <v>150</v>
      </c>
      <c r="DK2" s="111"/>
      <c r="DL2" s="111"/>
      <c r="DM2" s="111"/>
      <c r="DN2" s="123" t="s">
        <v>151</v>
      </c>
      <c r="DO2" s="123"/>
      <c r="DP2" s="123"/>
      <c r="DQ2" s="123"/>
      <c r="DR2" s="88" t="s">
        <v>152</v>
      </c>
      <c r="DS2" s="88" t="s">
        <v>153</v>
      </c>
      <c r="DT2" s="88" t="s">
        <v>149</v>
      </c>
      <c r="DU2" s="88" t="s">
        <v>76</v>
      </c>
      <c r="DV2" s="88" t="s">
        <v>154</v>
      </c>
      <c r="DW2" s="88" t="s">
        <v>19</v>
      </c>
      <c r="DX2" s="112" t="s">
        <v>147</v>
      </c>
      <c r="DY2" s="112"/>
      <c r="DZ2" s="112"/>
      <c r="EA2" s="112"/>
      <c r="EB2" s="112" t="s">
        <v>148</v>
      </c>
      <c r="EC2" s="112"/>
      <c r="ED2" s="112"/>
      <c r="EE2" s="112"/>
      <c r="EF2" s="112" t="s">
        <v>149</v>
      </c>
      <c r="EG2" s="112"/>
      <c r="EH2" s="112"/>
      <c r="EI2" s="112"/>
      <c r="EJ2" s="112" t="s">
        <v>150</v>
      </c>
      <c r="EK2" s="112"/>
      <c r="EL2" s="112"/>
      <c r="EM2" s="112"/>
      <c r="EN2" s="122" t="s">
        <v>151</v>
      </c>
      <c r="EO2" s="122"/>
      <c r="EP2" s="122"/>
      <c r="EQ2" s="122"/>
      <c r="ER2" s="89" t="s">
        <v>152</v>
      </c>
      <c r="ES2" s="89" t="s">
        <v>153</v>
      </c>
      <c r="ET2" s="89" t="s">
        <v>149</v>
      </c>
      <c r="EU2" s="89" t="s">
        <v>76</v>
      </c>
      <c r="EV2" s="89" t="s">
        <v>154</v>
      </c>
      <c r="EW2" s="89" t="s">
        <v>19</v>
      </c>
      <c r="EX2" s="111" t="s">
        <v>147</v>
      </c>
      <c r="EY2" s="111"/>
      <c r="EZ2" s="111"/>
      <c r="FA2" s="111"/>
      <c r="FB2" s="111" t="s">
        <v>148</v>
      </c>
      <c r="FC2" s="111"/>
      <c r="FD2" s="111"/>
      <c r="FE2" s="111"/>
      <c r="FF2" s="111" t="s">
        <v>149</v>
      </c>
      <c r="FG2" s="111"/>
      <c r="FH2" s="111"/>
      <c r="FI2" s="111"/>
      <c r="FJ2" s="111" t="s">
        <v>150</v>
      </c>
      <c r="FK2" s="111"/>
      <c r="FL2" s="111"/>
      <c r="FM2" s="111"/>
      <c r="FN2" s="123" t="s">
        <v>151</v>
      </c>
      <c r="FO2" s="123"/>
      <c r="FP2" s="123"/>
      <c r="FQ2" s="123"/>
      <c r="FR2" s="88" t="s">
        <v>152</v>
      </c>
      <c r="FS2" s="88" t="s">
        <v>153</v>
      </c>
      <c r="FT2" s="88" t="s">
        <v>149</v>
      </c>
      <c r="FU2" s="88" t="s">
        <v>76</v>
      </c>
      <c r="FV2" s="88" t="s">
        <v>154</v>
      </c>
      <c r="FW2" s="88" t="s">
        <v>19</v>
      </c>
      <c r="FX2" s="112" t="s">
        <v>147</v>
      </c>
      <c r="FY2" s="112"/>
      <c r="FZ2" s="112"/>
      <c r="GA2" s="112"/>
      <c r="GB2" s="112" t="s">
        <v>148</v>
      </c>
      <c r="GC2" s="112"/>
      <c r="GD2" s="112"/>
      <c r="GE2" s="112"/>
      <c r="GF2" s="112" t="s">
        <v>149</v>
      </c>
      <c r="GG2" s="112"/>
      <c r="GH2" s="112"/>
      <c r="GI2" s="112"/>
      <c r="GJ2" s="112" t="s">
        <v>150</v>
      </c>
      <c r="GK2" s="112"/>
      <c r="GL2" s="112"/>
      <c r="GM2" s="112"/>
      <c r="GN2" s="122" t="s">
        <v>151</v>
      </c>
      <c r="GO2" s="122"/>
      <c r="GP2" s="122"/>
      <c r="GQ2" s="122"/>
      <c r="GR2" s="89" t="s">
        <v>152</v>
      </c>
      <c r="GS2" s="89" t="s">
        <v>153</v>
      </c>
      <c r="GT2" s="89" t="s">
        <v>149</v>
      </c>
      <c r="GU2" s="89" t="s">
        <v>76</v>
      </c>
      <c r="GV2" s="89" t="s">
        <v>154</v>
      </c>
      <c r="GW2" s="89" t="s">
        <v>19</v>
      </c>
      <c r="GX2" s="111" t="s">
        <v>147</v>
      </c>
      <c r="GY2" s="111"/>
      <c r="GZ2" s="111"/>
      <c r="HA2" s="111"/>
      <c r="HB2" s="111" t="s">
        <v>148</v>
      </c>
      <c r="HC2" s="111"/>
      <c r="HD2" s="111"/>
      <c r="HE2" s="111"/>
      <c r="HF2" s="111" t="s">
        <v>149</v>
      </c>
      <c r="HG2" s="111"/>
      <c r="HH2" s="111"/>
      <c r="HI2" s="111"/>
      <c r="HJ2" s="111" t="s">
        <v>150</v>
      </c>
      <c r="HK2" s="111"/>
      <c r="HL2" s="111"/>
      <c r="HM2" s="111"/>
      <c r="HN2" s="123" t="s">
        <v>151</v>
      </c>
      <c r="HO2" s="123"/>
      <c r="HP2" s="123"/>
      <c r="HQ2" s="123"/>
      <c r="HR2" s="88" t="s">
        <v>152</v>
      </c>
      <c r="HS2" s="88" t="s">
        <v>153</v>
      </c>
      <c r="HT2" s="88" t="s">
        <v>149</v>
      </c>
      <c r="HU2" s="88" t="s">
        <v>76</v>
      </c>
      <c r="HV2" s="88" t="s">
        <v>154</v>
      </c>
      <c r="HW2" s="88" t="s">
        <v>19</v>
      </c>
      <c r="HX2" s="112" t="s">
        <v>147</v>
      </c>
      <c r="HY2" s="112"/>
      <c r="HZ2" s="112"/>
      <c r="IA2" s="112"/>
      <c r="IB2" s="112" t="s">
        <v>148</v>
      </c>
      <c r="IC2" s="112"/>
      <c r="ID2" s="112"/>
      <c r="IE2" s="112"/>
      <c r="IF2" s="112" t="s">
        <v>149</v>
      </c>
      <c r="IG2" s="112"/>
      <c r="IH2" s="112"/>
      <c r="II2" s="112"/>
      <c r="IJ2" s="112" t="s">
        <v>150</v>
      </c>
      <c r="IK2" s="112"/>
      <c r="IL2" s="112"/>
      <c r="IM2" s="112"/>
      <c r="IN2" s="122" t="s">
        <v>151</v>
      </c>
      <c r="IO2" s="122"/>
      <c r="IP2" s="122"/>
      <c r="IQ2" s="122"/>
      <c r="IR2" s="89" t="s">
        <v>152</v>
      </c>
      <c r="IS2" s="89" t="s">
        <v>153</v>
      </c>
      <c r="IT2" s="89" t="s">
        <v>149</v>
      </c>
      <c r="IU2" s="89" t="s">
        <v>76</v>
      </c>
      <c r="IV2" s="89" t="s">
        <v>154</v>
      </c>
      <c r="IW2" s="89" t="s">
        <v>19</v>
      </c>
      <c r="IX2" s="111" t="s">
        <v>147</v>
      </c>
      <c r="IY2" s="111"/>
      <c r="IZ2" s="111"/>
      <c r="JA2" s="111"/>
      <c r="JB2" s="111" t="s">
        <v>148</v>
      </c>
      <c r="JC2" s="111"/>
      <c r="JD2" s="111"/>
      <c r="JE2" s="111"/>
      <c r="JF2" s="111" t="s">
        <v>149</v>
      </c>
      <c r="JG2" s="111"/>
      <c r="JH2" s="111"/>
      <c r="JI2" s="111"/>
      <c r="JJ2" s="111" t="s">
        <v>150</v>
      </c>
      <c r="JK2" s="111"/>
      <c r="JL2" s="111"/>
      <c r="JM2" s="111"/>
      <c r="JN2" s="123" t="s">
        <v>151</v>
      </c>
      <c r="JO2" s="123"/>
      <c r="JP2" s="123"/>
      <c r="JQ2" s="123"/>
      <c r="JR2" s="88" t="s">
        <v>152</v>
      </c>
      <c r="JS2" s="88" t="s">
        <v>153</v>
      </c>
      <c r="JT2" s="88" t="s">
        <v>149</v>
      </c>
      <c r="JU2" s="88" t="s">
        <v>76</v>
      </c>
      <c r="JV2" s="88" t="s">
        <v>154</v>
      </c>
      <c r="JW2" s="88" t="s">
        <v>19</v>
      </c>
      <c r="JX2" s="112" t="s">
        <v>147</v>
      </c>
      <c r="JY2" s="112"/>
      <c r="JZ2" s="112"/>
      <c r="KA2" s="112"/>
      <c r="KB2" s="112" t="s">
        <v>148</v>
      </c>
      <c r="KC2" s="112"/>
      <c r="KD2" s="112"/>
      <c r="KE2" s="112"/>
      <c r="KF2" s="112" t="s">
        <v>149</v>
      </c>
      <c r="KG2" s="112"/>
      <c r="KH2" s="112"/>
      <c r="KI2" s="112"/>
      <c r="KJ2" s="112" t="s">
        <v>150</v>
      </c>
      <c r="KK2" s="112"/>
      <c r="KL2" s="112"/>
      <c r="KM2" s="112"/>
      <c r="KN2" s="122" t="s">
        <v>151</v>
      </c>
      <c r="KO2" s="122"/>
      <c r="KP2" s="122"/>
      <c r="KQ2" s="122"/>
      <c r="KR2" s="89" t="s">
        <v>152</v>
      </c>
      <c r="KS2" s="89" t="s">
        <v>153</v>
      </c>
      <c r="KT2" s="89" t="s">
        <v>149</v>
      </c>
      <c r="KU2" s="89" t="s">
        <v>76</v>
      </c>
      <c r="KV2" s="89" t="s">
        <v>154</v>
      </c>
      <c r="KW2" s="89" t="s">
        <v>19</v>
      </c>
      <c r="KX2" s="111" t="s">
        <v>147</v>
      </c>
      <c r="KY2" s="111"/>
      <c r="KZ2" s="111"/>
      <c r="LA2" s="111"/>
      <c r="LB2" s="111" t="s">
        <v>148</v>
      </c>
      <c r="LC2" s="111"/>
      <c r="LD2" s="111"/>
      <c r="LE2" s="111"/>
      <c r="LF2" s="111" t="s">
        <v>149</v>
      </c>
      <c r="LG2" s="111"/>
      <c r="LH2" s="111"/>
      <c r="LI2" s="111"/>
      <c r="LJ2" s="111" t="s">
        <v>150</v>
      </c>
      <c r="LK2" s="111"/>
      <c r="LL2" s="111"/>
      <c r="LM2" s="111"/>
      <c r="LN2" s="123" t="s">
        <v>151</v>
      </c>
      <c r="LO2" s="123"/>
      <c r="LP2" s="123"/>
      <c r="LQ2" s="123"/>
      <c r="LR2" s="88" t="s">
        <v>152</v>
      </c>
      <c r="LS2" s="88" t="s">
        <v>153</v>
      </c>
      <c r="LT2" s="88" t="s">
        <v>149</v>
      </c>
      <c r="LU2" s="88" t="s">
        <v>76</v>
      </c>
      <c r="LV2" s="88" t="s">
        <v>154</v>
      </c>
      <c r="LW2" s="88" t="s">
        <v>19</v>
      </c>
      <c r="LX2" s="112" t="s">
        <v>147</v>
      </c>
      <c r="LY2" s="112"/>
      <c r="LZ2" s="112"/>
      <c r="MA2" s="112"/>
      <c r="MB2" s="112" t="s">
        <v>148</v>
      </c>
      <c r="MC2" s="112"/>
      <c r="MD2" s="112"/>
      <c r="ME2" s="112"/>
      <c r="MF2" s="112" t="s">
        <v>149</v>
      </c>
      <c r="MG2" s="112"/>
      <c r="MH2" s="112"/>
      <c r="MI2" s="112"/>
      <c r="MJ2" s="112" t="s">
        <v>150</v>
      </c>
      <c r="MK2" s="112"/>
      <c r="ML2" s="112"/>
      <c r="MM2" s="112"/>
      <c r="MN2" s="122" t="s">
        <v>151</v>
      </c>
      <c r="MO2" s="122"/>
      <c r="MP2" s="122"/>
      <c r="MQ2" s="122"/>
      <c r="MR2" s="89" t="s">
        <v>152</v>
      </c>
      <c r="MS2" s="89" t="s">
        <v>153</v>
      </c>
      <c r="MT2" s="89" t="s">
        <v>149</v>
      </c>
      <c r="MU2" s="89" t="s">
        <v>76</v>
      </c>
      <c r="MV2" s="89" t="s">
        <v>154</v>
      </c>
      <c r="MW2" s="89" t="s">
        <v>19</v>
      </c>
      <c r="MX2" s="111" t="s">
        <v>147</v>
      </c>
      <c r="MY2" s="111"/>
      <c r="MZ2" s="111"/>
      <c r="NA2" s="111"/>
      <c r="NB2" s="111" t="s">
        <v>148</v>
      </c>
      <c r="NC2" s="111"/>
      <c r="ND2" s="111"/>
      <c r="NE2" s="111"/>
      <c r="NF2" s="111" t="s">
        <v>149</v>
      </c>
      <c r="NG2" s="111"/>
      <c r="NH2" s="111"/>
      <c r="NI2" s="111"/>
      <c r="NJ2" s="111" t="s">
        <v>150</v>
      </c>
      <c r="NK2" s="111"/>
      <c r="NL2" s="111"/>
      <c r="NM2" s="111"/>
      <c r="NN2" s="123" t="s">
        <v>151</v>
      </c>
      <c r="NO2" s="123"/>
      <c r="NP2" s="123"/>
      <c r="NQ2" s="123"/>
      <c r="NR2" s="88" t="s">
        <v>152</v>
      </c>
      <c r="NS2" s="88" t="s">
        <v>153</v>
      </c>
      <c r="NT2" s="88" t="s">
        <v>149</v>
      </c>
      <c r="NU2" s="88" t="s">
        <v>76</v>
      </c>
      <c r="NV2" s="88" t="s">
        <v>154</v>
      </c>
      <c r="NW2" s="88" t="s">
        <v>19</v>
      </c>
      <c r="NX2" s="112" t="s">
        <v>147</v>
      </c>
      <c r="NY2" s="112"/>
      <c r="NZ2" s="112"/>
      <c r="OA2" s="112"/>
      <c r="OB2" s="112" t="s">
        <v>148</v>
      </c>
      <c r="OC2" s="112"/>
      <c r="OD2" s="112"/>
      <c r="OE2" s="112"/>
      <c r="OF2" s="112" t="s">
        <v>149</v>
      </c>
      <c r="OG2" s="112"/>
      <c r="OH2" s="112"/>
      <c r="OI2" s="112"/>
      <c r="OJ2" s="112" t="s">
        <v>150</v>
      </c>
      <c r="OK2" s="112"/>
      <c r="OL2" s="112"/>
      <c r="OM2" s="112"/>
      <c r="ON2" s="122" t="s">
        <v>151</v>
      </c>
      <c r="OO2" s="122"/>
      <c r="OP2" s="122"/>
      <c r="OQ2" s="122"/>
      <c r="OR2" s="89" t="s">
        <v>152</v>
      </c>
      <c r="OS2" s="89" t="s">
        <v>153</v>
      </c>
      <c r="OT2" s="89" t="s">
        <v>149</v>
      </c>
      <c r="OU2" s="89" t="s">
        <v>76</v>
      </c>
      <c r="OV2" s="89" t="s">
        <v>154</v>
      </c>
      <c r="OW2" s="89" t="s">
        <v>19</v>
      </c>
      <c r="OX2" s="111" t="s">
        <v>147</v>
      </c>
      <c r="OY2" s="111"/>
      <c r="OZ2" s="111"/>
      <c r="PA2" s="111"/>
      <c r="PB2" s="111" t="s">
        <v>148</v>
      </c>
      <c r="PC2" s="111"/>
      <c r="PD2" s="111"/>
      <c r="PE2" s="111"/>
      <c r="PF2" s="111" t="s">
        <v>149</v>
      </c>
      <c r="PG2" s="111"/>
      <c r="PH2" s="111"/>
      <c r="PI2" s="111"/>
      <c r="PJ2" s="111" t="s">
        <v>150</v>
      </c>
      <c r="PK2" s="111"/>
      <c r="PL2" s="111"/>
      <c r="PM2" s="111"/>
      <c r="PN2" s="121" t="s">
        <v>151</v>
      </c>
      <c r="PO2" s="121"/>
      <c r="PP2" s="121"/>
      <c r="PQ2" s="121"/>
      <c r="PR2" s="88"/>
      <c r="PS2" s="88" t="s">
        <v>152</v>
      </c>
      <c r="PT2" s="88" t="s">
        <v>153</v>
      </c>
      <c r="PU2" s="88" t="s">
        <v>149</v>
      </c>
      <c r="PV2" s="88" t="s">
        <v>76</v>
      </c>
      <c r="PW2" s="88" t="s">
        <v>154</v>
      </c>
      <c r="PX2" s="88" t="s">
        <v>19</v>
      </c>
    </row>
    <row r="3" spans="1:440" x14ac:dyDescent="0.2">
      <c r="A3" s="117"/>
      <c r="B3" s="117"/>
      <c r="C3" s="117"/>
      <c r="D3" s="117"/>
      <c r="E3" s="117"/>
      <c r="F3" s="119"/>
      <c r="G3" s="119"/>
      <c r="H3" s="117"/>
      <c r="I3" s="119"/>
      <c r="J3" s="118"/>
      <c r="K3" s="116"/>
      <c r="L3" s="118"/>
      <c r="M3" s="116"/>
      <c r="N3" s="116"/>
      <c r="O3" s="116"/>
      <c r="P3" s="120"/>
      <c r="Q3" s="116"/>
      <c r="R3" s="116"/>
      <c r="S3" s="88" t="s">
        <v>16</v>
      </c>
      <c r="T3" s="88" t="s">
        <v>11</v>
      </c>
      <c r="U3" s="88" t="s">
        <v>34</v>
      </c>
      <c r="V3" s="88" t="s">
        <v>35</v>
      </c>
      <c r="W3" s="88" t="s">
        <v>16</v>
      </c>
      <c r="X3" s="88" t="s">
        <v>11</v>
      </c>
      <c r="Y3" s="88" t="s">
        <v>34</v>
      </c>
      <c r="Z3" s="88" t="s">
        <v>35</v>
      </c>
      <c r="AA3" s="88" t="s">
        <v>16</v>
      </c>
      <c r="AB3" s="88" t="s">
        <v>11</v>
      </c>
      <c r="AC3" s="88" t="s">
        <v>34</v>
      </c>
      <c r="AD3" s="88" t="s">
        <v>35</v>
      </c>
      <c r="AE3" s="88" t="s">
        <v>16</v>
      </c>
      <c r="AF3" s="88" t="s">
        <v>11</v>
      </c>
      <c r="AG3" s="88" t="s">
        <v>34</v>
      </c>
      <c r="AH3" s="88" t="s">
        <v>35</v>
      </c>
      <c r="AI3" s="90" t="s">
        <v>16</v>
      </c>
      <c r="AJ3" s="90" t="s">
        <v>11</v>
      </c>
      <c r="AK3" s="90" t="s">
        <v>34</v>
      </c>
      <c r="AL3" s="90" t="s">
        <v>35</v>
      </c>
      <c r="AM3" s="88" t="s">
        <v>60</v>
      </c>
      <c r="AN3" s="88"/>
      <c r="AO3" s="88"/>
      <c r="AP3" s="88"/>
      <c r="AQ3" s="88"/>
      <c r="AR3" s="88"/>
      <c r="AS3" s="88"/>
      <c r="AT3" s="89" t="s">
        <v>16</v>
      </c>
      <c r="AU3" s="89" t="s">
        <v>11</v>
      </c>
      <c r="AV3" s="89" t="s">
        <v>34</v>
      </c>
      <c r="AW3" s="89" t="s">
        <v>35</v>
      </c>
      <c r="AX3" s="89" t="s">
        <v>16</v>
      </c>
      <c r="AY3" s="89" t="s">
        <v>11</v>
      </c>
      <c r="AZ3" s="89" t="s">
        <v>34</v>
      </c>
      <c r="BA3" s="89" t="s">
        <v>35</v>
      </c>
      <c r="BB3" s="89" t="s">
        <v>16</v>
      </c>
      <c r="BC3" s="89" t="s">
        <v>11</v>
      </c>
      <c r="BD3" s="89" t="s">
        <v>34</v>
      </c>
      <c r="BE3" s="89" t="s">
        <v>35</v>
      </c>
      <c r="BF3" s="89" t="s">
        <v>16</v>
      </c>
      <c r="BG3" s="89" t="s">
        <v>11</v>
      </c>
      <c r="BH3" s="89" t="s">
        <v>34</v>
      </c>
      <c r="BI3" s="89" t="s">
        <v>35</v>
      </c>
      <c r="BJ3" s="91" t="s">
        <v>16</v>
      </c>
      <c r="BK3" s="91" t="s">
        <v>11</v>
      </c>
      <c r="BL3" s="91" t="s">
        <v>34</v>
      </c>
      <c r="BM3" s="91" t="s">
        <v>35</v>
      </c>
      <c r="BN3" s="89" t="s">
        <v>60</v>
      </c>
      <c r="BO3" s="89"/>
      <c r="BP3" s="89"/>
      <c r="BQ3" s="89"/>
      <c r="BR3" s="89"/>
      <c r="BS3" s="89"/>
      <c r="BT3" s="89"/>
      <c r="BU3" s="88" t="s">
        <v>16</v>
      </c>
      <c r="BV3" s="88" t="s">
        <v>11</v>
      </c>
      <c r="BW3" s="88" t="s">
        <v>34</v>
      </c>
      <c r="BX3" s="88" t="s">
        <v>35</v>
      </c>
      <c r="BY3" s="88" t="s">
        <v>16</v>
      </c>
      <c r="BZ3" s="88" t="s">
        <v>11</v>
      </c>
      <c r="CA3" s="88" t="s">
        <v>34</v>
      </c>
      <c r="CB3" s="88" t="s">
        <v>35</v>
      </c>
      <c r="CC3" s="88" t="s">
        <v>16</v>
      </c>
      <c r="CD3" s="88" t="s">
        <v>11</v>
      </c>
      <c r="CE3" s="88" t="s">
        <v>34</v>
      </c>
      <c r="CF3" s="88" t="s">
        <v>35</v>
      </c>
      <c r="CG3" s="88" t="s">
        <v>16</v>
      </c>
      <c r="CH3" s="88" t="s">
        <v>11</v>
      </c>
      <c r="CI3" s="88" t="s">
        <v>34</v>
      </c>
      <c r="CJ3" s="88" t="s">
        <v>35</v>
      </c>
      <c r="CK3" s="90" t="s">
        <v>16</v>
      </c>
      <c r="CL3" s="90" t="s">
        <v>11</v>
      </c>
      <c r="CM3" s="90" t="s">
        <v>34</v>
      </c>
      <c r="CN3" s="90" t="s">
        <v>35</v>
      </c>
      <c r="CO3" s="88" t="s">
        <v>60</v>
      </c>
      <c r="CP3" s="88"/>
      <c r="CQ3" s="88"/>
      <c r="CR3" s="88"/>
      <c r="CS3" s="88"/>
      <c r="CT3" s="88"/>
      <c r="CU3" s="88"/>
      <c r="CV3" s="86"/>
      <c r="CW3" s="86"/>
      <c r="CX3" s="88" t="s">
        <v>16</v>
      </c>
      <c r="CY3" s="88" t="s">
        <v>11</v>
      </c>
      <c r="CZ3" s="88" t="s">
        <v>34</v>
      </c>
      <c r="DA3" s="88" t="s">
        <v>35</v>
      </c>
      <c r="DB3" s="88" t="s">
        <v>16</v>
      </c>
      <c r="DC3" s="88" t="s">
        <v>11</v>
      </c>
      <c r="DD3" s="88" t="s">
        <v>34</v>
      </c>
      <c r="DE3" s="88" t="s">
        <v>35</v>
      </c>
      <c r="DF3" s="88" t="s">
        <v>16</v>
      </c>
      <c r="DG3" s="88" t="s">
        <v>11</v>
      </c>
      <c r="DH3" s="88" t="s">
        <v>34</v>
      </c>
      <c r="DI3" s="88" t="s">
        <v>35</v>
      </c>
      <c r="DJ3" s="88" t="s">
        <v>16</v>
      </c>
      <c r="DK3" s="88" t="s">
        <v>11</v>
      </c>
      <c r="DL3" s="88" t="s">
        <v>34</v>
      </c>
      <c r="DM3" s="88" t="s">
        <v>35</v>
      </c>
      <c r="DN3" s="92" t="s">
        <v>16</v>
      </c>
      <c r="DO3" s="92" t="s">
        <v>11</v>
      </c>
      <c r="DP3" s="92" t="s">
        <v>34</v>
      </c>
      <c r="DQ3" s="92" t="s">
        <v>35</v>
      </c>
      <c r="DR3" s="88"/>
      <c r="DS3" s="88"/>
      <c r="DT3" s="88"/>
      <c r="DU3" s="88"/>
      <c r="DV3" s="88"/>
      <c r="DW3" s="88"/>
      <c r="DX3" s="89" t="s">
        <v>16</v>
      </c>
      <c r="DY3" s="89" t="s">
        <v>11</v>
      </c>
      <c r="DZ3" s="89" t="s">
        <v>34</v>
      </c>
      <c r="EA3" s="89" t="s">
        <v>35</v>
      </c>
      <c r="EB3" s="89" t="s">
        <v>16</v>
      </c>
      <c r="EC3" s="89" t="s">
        <v>11</v>
      </c>
      <c r="ED3" s="89" t="s">
        <v>34</v>
      </c>
      <c r="EE3" s="89" t="s">
        <v>35</v>
      </c>
      <c r="EF3" s="89" t="s">
        <v>16</v>
      </c>
      <c r="EG3" s="89" t="s">
        <v>11</v>
      </c>
      <c r="EH3" s="89" t="s">
        <v>34</v>
      </c>
      <c r="EI3" s="89" t="s">
        <v>35</v>
      </c>
      <c r="EJ3" s="89" t="s">
        <v>16</v>
      </c>
      <c r="EK3" s="89" t="s">
        <v>11</v>
      </c>
      <c r="EL3" s="89" t="s">
        <v>34</v>
      </c>
      <c r="EM3" s="89" t="s">
        <v>35</v>
      </c>
      <c r="EN3" s="91" t="s">
        <v>16</v>
      </c>
      <c r="EO3" s="91" t="s">
        <v>11</v>
      </c>
      <c r="EP3" s="91" t="s">
        <v>34</v>
      </c>
      <c r="EQ3" s="91" t="s">
        <v>35</v>
      </c>
      <c r="ER3" s="89"/>
      <c r="ES3" s="89"/>
      <c r="ET3" s="89"/>
      <c r="EU3" s="89"/>
      <c r="EV3" s="89"/>
      <c r="EW3" s="89"/>
      <c r="EX3" s="88" t="s">
        <v>16</v>
      </c>
      <c r="EY3" s="88" t="s">
        <v>11</v>
      </c>
      <c r="EZ3" s="88" t="s">
        <v>34</v>
      </c>
      <c r="FA3" s="88" t="s">
        <v>35</v>
      </c>
      <c r="FB3" s="88" t="s">
        <v>16</v>
      </c>
      <c r="FC3" s="88" t="s">
        <v>11</v>
      </c>
      <c r="FD3" s="88" t="s">
        <v>34</v>
      </c>
      <c r="FE3" s="88" t="s">
        <v>35</v>
      </c>
      <c r="FF3" s="88" t="s">
        <v>16</v>
      </c>
      <c r="FG3" s="88" t="s">
        <v>11</v>
      </c>
      <c r="FH3" s="88" t="s">
        <v>34</v>
      </c>
      <c r="FI3" s="88" t="s">
        <v>35</v>
      </c>
      <c r="FJ3" s="88" t="s">
        <v>16</v>
      </c>
      <c r="FK3" s="88" t="s">
        <v>11</v>
      </c>
      <c r="FL3" s="88" t="s">
        <v>34</v>
      </c>
      <c r="FM3" s="88" t="s">
        <v>35</v>
      </c>
      <c r="FN3" s="92" t="s">
        <v>16</v>
      </c>
      <c r="FO3" s="92" t="s">
        <v>11</v>
      </c>
      <c r="FP3" s="92" t="s">
        <v>34</v>
      </c>
      <c r="FQ3" s="92" t="s">
        <v>35</v>
      </c>
      <c r="FR3" s="88"/>
      <c r="FS3" s="88"/>
      <c r="FT3" s="88"/>
      <c r="FU3" s="88"/>
      <c r="FV3" s="88"/>
      <c r="FW3" s="88"/>
      <c r="FX3" s="89" t="s">
        <v>16</v>
      </c>
      <c r="FY3" s="89" t="s">
        <v>11</v>
      </c>
      <c r="FZ3" s="89" t="s">
        <v>34</v>
      </c>
      <c r="GA3" s="89" t="s">
        <v>35</v>
      </c>
      <c r="GB3" s="89" t="s">
        <v>16</v>
      </c>
      <c r="GC3" s="89" t="s">
        <v>11</v>
      </c>
      <c r="GD3" s="89" t="s">
        <v>34</v>
      </c>
      <c r="GE3" s="89" t="s">
        <v>35</v>
      </c>
      <c r="GF3" s="89" t="s">
        <v>16</v>
      </c>
      <c r="GG3" s="89" t="s">
        <v>11</v>
      </c>
      <c r="GH3" s="89" t="s">
        <v>34</v>
      </c>
      <c r="GI3" s="89" t="s">
        <v>35</v>
      </c>
      <c r="GJ3" s="89" t="s">
        <v>16</v>
      </c>
      <c r="GK3" s="89" t="s">
        <v>11</v>
      </c>
      <c r="GL3" s="89" t="s">
        <v>34</v>
      </c>
      <c r="GM3" s="89" t="s">
        <v>35</v>
      </c>
      <c r="GN3" s="91" t="s">
        <v>16</v>
      </c>
      <c r="GO3" s="91" t="s">
        <v>11</v>
      </c>
      <c r="GP3" s="91" t="s">
        <v>34</v>
      </c>
      <c r="GQ3" s="91" t="s">
        <v>35</v>
      </c>
      <c r="GR3" s="89"/>
      <c r="GS3" s="89"/>
      <c r="GT3" s="89"/>
      <c r="GU3" s="89"/>
      <c r="GV3" s="89"/>
      <c r="GW3" s="89"/>
      <c r="GX3" s="88" t="s">
        <v>16</v>
      </c>
      <c r="GY3" s="88" t="s">
        <v>11</v>
      </c>
      <c r="GZ3" s="88" t="s">
        <v>34</v>
      </c>
      <c r="HA3" s="88" t="s">
        <v>35</v>
      </c>
      <c r="HB3" s="88" t="s">
        <v>16</v>
      </c>
      <c r="HC3" s="88" t="s">
        <v>11</v>
      </c>
      <c r="HD3" s="88" t="s">
        <v>34</v>
      </c>
      <c r="HE3" s="88" t="s">
        <v>35</v>
      </c>
      <c r="HF3" s="88" t="s">
        <v>16</v>
      </c>
      <c r="HG3" s="88" t="s">
        <v>11</v>
      </c>
      <c r="HH3" s="88" t="s">
        <v>34</v>
      </c>
      <c r="HI3" s="88" t="s">
        <v>35</v>
      </c>
      <c r="HJ3" s="88" t="s">
        <v>16</v>
      </c>
      <c r="HK3" s="88" t="s">
        <v>11</v>
      </c>
      <c r="HL3" s="88" t="s">
        <v>34</v>
      </c>
      <c r="HM3" s="88" t="s">
        <v>35</v>
      </c>
      <c r="HN3" s="92" t="s">
        <v>16</v>
      </c>
      <c r="HO3" s="92" t="s">
        <v>11</v>
      </c>
      <c r="HP3" s="92" t="s">
        <v>34</v>
      </c>
      <c r="HQ3" s="92" t="s">
        <v>35</v>
      </c>
      <c r="HR3" s="88"/>
      <c r="HS3" s="88"/>
      <c r="HT3" s="88"/>
      <c r="HU3" s="88"/>
      <c r="HV3" s="88"/>
      <c r="HW3" s="88"/>
      <c r="HX3" s="89" t="s">
        <v>16</v>
      </c>
      <c r="HY3" s="89" t="s">
        <v>11</v>
      </c>
      <c r="HZ3" s="89" t="s">
        <v>34</v>
      </c>
      <c r="IA3" s="89" t="s">
        <v>35</v>
      </c>
      <c r="IB3" s="89" t="s">
        <v>16</v>
      </c>
      <c r="IC3" s="89" t="s">
        <v>11</v>
      </c>
      <c r="ID3" s="89" t="s">
        <v>34</v>
      </c>
      <c r="IE3" s="89" t="s">
        <v>35</v>
      </c>
      <c r="IF3" s="89" t="s">
        <v>16</v>
      </c>
      <c r="IG3" s="89" t="s">
        <v>11</v>
      </c>
      <c r="IH3" s="89" t="s">
        <v>34</v>
      </c>
      <c r="II3" s="89" t="s">
        <v>35</v>
      </c>
      <c r="IJ3" s="89" t="s">
        <v>16</v>
      </c>
      <c r="IK3" s="89" t="s">
        <v>11</v>
      </c>
      <c r="IL3" s="89" t="s">
        <v>34</v>
      </c>
      <c r="IM3" s="89" t="s">
        <v>35</v>
      </c>
      <c r="IN3" s="91" t="s">
        <v>16</v>
      </c>
      <c r="IO3" s="91" t="s">
        <v>11</v>
      </c>
      <c r="IP3" s="91" t="s">
        <v>34</v>
      </c>
      <c r="IQ3" s="91" t="s">
        <v>35</v>
      </c>
      <c r="IR3" s="89"/>
      <c r="IS3" s="89"/>
      <c r="IT3" s="89"/>
      <c r="IU3" s="89"/>
      <c r="IV3" s="89"/>
      <c r="IW3" s="89"/>
      <c r="IX3" s="88" t="s">
        <v>16</v>
      </c>
      <c r="IY3" s="88" t="s">
        <v>11</v>
      </c>
      <c r="IZ3" s="88" t="s">
        <v>34</v>
      </c>
      <c r="JA3" s="88" t="s">
        <v>35</v>
      </c>
      <c r="JB3" s="88" t="s">
        <v>16</v>
      </c>
      <c r="JC3" s="88" t="s">
        <v>11</v>
      </c>
      <c r="JD3" s="88" t="s">
        <v>34</v>
      </c>
      <c r="JE3" s="88" t="s">
        <v>35</v>
      </c>
      <c r="JF3" s="88" t="s">
        <v>16</v>
      </c>
      <c r="JG3" s="88" t="s">
        <v>11</v>
      </c>
      <c r="JH3" s="88" t="s">
        <v>34</v>
      </c>
      <c r="JI3" s="88" t="s">
        <v>35</v>
      </c>
      <c r="JJ3" s="88" t="s">
        <v>16</v>
      </c>
      <c r="JK3" s="88" t="s">
        <v>11</v>
      </c>
      <c r="JL3" s="88" t="s">
        <v>34</v>
      </c>
      <c r="JM3" s="88" t="s">
        <v>35</v>
      </c>
      <c r="JN3" s="92" t="s">
        <v>16</v>
      </c>
      <c r="JO3" s="92" t="s">
        <v>11</v>
      </c>
      <c r="JP3" s="92" t="s">
        <v>34</v>
      </c>
      <c r="JQ3" s="92" t="s">
        <v>35</v>
      </c>
      <c r="JR3" s="88"/>
      <c r="JS3" s="88"/>
      <c r="JT3" s="88"/>
      <c r="JU3" s="88"/>
      <c r="JV3" s="88"/>
      <c r="JW3" s="88"/>
      <c r="JX3" s="89" t="s">
        <v>16</v>
      </c>
      <c r="JY3" s="89" t="s">
        <v>11</v>
      </c>
      <c r="JZ3" s="89" t="s">
        <v>34</v>
      </c>
      <c r="KA3" s="89" t="s">
        <v>35</v>
      </c>
      <c r="KB3" s="89" t="s">
        <v>16</v>
      </c>
      <c r="KC3" s="89" t="s">
        <v>11</v>
      </c>
      <c r="KD3" s="89" t="s">
        <v>34</v>
      </c>
      <c r="KE3" s="89" t="s">
        <v>35</v>
      </c>
      <c r="KF3" s="89" t="s">
        <v>16</v>
      </c>
      <c r="KG3" s="89" t="s">
        <v>11</v>
      </c>
      <c r="KH3" s="89" t="s">
        <v>34</v>
      </c>
      <c r="KI3" s="89" t="s">
        <v>35</v>
      </c>
      <c r="KJ3" s="89" t="s">
        <v>16</v>
      </c>
      <c r="KK3" s="89" t="s">
        <v>11</v>
      </c>
      <c r="KL3" s="89" t="s">
        <v>34</v>
      </c>
      <c r="KM3" s="89" t="s">
        <v>35</v>
      </c>
      <c r="KN3" s="91" t="s">
        <v>16</v>
      </c>
      <c r="KO3" s="91" t="s">
        <v>11</v>
      </c>
      <c r="KP3" s="91" t="s">
        <v>34</v>
      </c>
      <c r="KQ3" s="91" t="s">
        <v>35</v>
      </c>
      <c r="KR3" s="89"/>
      <c r="KS3" s="89"/>
      <c r="KT3" s="89"/>
      <c r="KU3" s="89"/>
      <c r="KV3" s="89"/>
      <c r="KW3" s="89"/>
      <c r="KX3" s="88" t="s">
        <v>16</v>
      </c>
      <c r="KY3" s="88" t="s">
        <v>11</v>
      </c>
      <c r="KZ3" s="88" t="s">
        <v>34</v>
      </c>
      <c r="LA3" s="88" t="s">
        <v>35</v>
      </c>
      <c r="LB3" s="88" t="s">
        <v>16</v>
      </c>
      <c r="LC3" s="88" t="s">
        <v>11</v>
      </c>
      <c r="LD3" s="88" t="s">
        <v>34</v>
      </c>
      <c r="LE3" s="88" t="s">
        <v>35</v>
      </c>
      <c r="LF3" s="88" t="s">
        <v>16</v>
      </c>
      <c r="LG3" s="88" t="s">
        <v>11</v>
      </c>
      <c r="LH3" s="88" t="s">
        <v>34</v>
      </c>
      <c r="LI3" s="88" t="s">
        <v>35</v>
      </c>
      <c r="LJ3" s="88" t="s">
        <v>16</v>
      </c>
      <c r="LK3" s="88" t="s">
        <v>11</v>
      </c>
      <c r="LL3" s="88" t="s">
        <v>34</v>
      </c>
      <c r="LM3" s="88" t="s">
        <v>35</v>
      </c>
      <c r="LN3" s="92" t="s">
        <v>16</v>
      </c>
      <c r="LO3" s="92" t="s">
        <v>11</v>
      </c>
      <c r="LP3" s="92" t="s">
        <v>34</v>
      </c>
      <c r="LQ3" s="92" t="s">
        <v>35</v>
      </c>
      <c r="LR3" s="88"/>
      <c r="LS3" s="88"/>
      <c r="LT3" s="88"/>
      <c r="LU3" s="88"/>
      <c r="LV3" s="88"/>
      <c r="LW3" s="88"/>
      <c r="LX3" s="89" t="s">
        <v>16</v>
      </c>
      <c r="LY3" s="89" t="s">
        <v>11</v>
      </c>
      <c r="LZ3" s="89" t="s">
        <v>34</v>
      </c>
      <c r="MA3" s="89" t="s">
        <v>35</v>
      </c>
      <c r="MB3" s="89" t="s">
        <v>16</v>
      </c>
      <c r="MC3" s="89" t="s">
        <v>11</v>
      </c>
      <c r="MD3" s="89" t="s">
        <v>34</v>
      </c>
      <c r="ME3" s="89" t="s">
        <v>35</v>
      </c>
      <c r="MF3" s="89" t="s">
        <v>16</v>
      </c>
      <c r="MG3" s="89" t="s">
        <v>11</v>
      </c>
      <c r="MH3" s="89" t="s">
        <v>34</v>
      </c>
      <c r="MI3" s="89" t="s">
        <v>35</v>
      </c>
      <c r="MJ3" s="89" t="s">
        <v>16</v>
      </c>
      <c r="MK3" s="89" t="s">
        <v>11</v>
      </c>
      <c r="ML3" s="89" t="s">
        <v>34</v>
      </c>
      <c r="MM3" s="89" t="s">
        <v>35</v>
      </c>
      <c r="MN3" s="91" t="s">
        <v>16</v>
      </c>
      <c r="MO3" s="91" t="s">
        <v>11</v>
      </c>
      <c r="MP3" s="91" t="s">
        <v>34</v>
      </c>
      <c r="MQ3" s="91" t="s">
        <v>35</v>
      </c>
      <c r="MR3" s="89"/>
      <c r="MS3" s="89"/>
      <c r="MT3" s="89"/>
      <c r="MU3" s="89"/>
      <c r="MV3" s="89"/>
      <c r="MW3" s="89"/>
      <c r="MX3" s="88" t="s">
        <v>16</v>
      </c>
      <c r="MY3" s="88" t="s">
        <v>11</v>
      </c>
      <c r="MZ3" s="88" t="s">
        <v>34</v>
      </c>
      <c r="NA3" s="88" t="s">
        <v>35</v>
      </c>
      <c r="NB3" s="88" t="s">
        <v>16</v>
      </c>
      <c r="NC3" s="88" t="s">
        <v>11</v>
      </c>
      <c r="ND3" s="88" t="s">
        <v>34</v>
      </c>
      <c r="NE3" s="88" t="s">
        <v>35</v>
      </c>
      <c r="NF3" s="88" t="s">
        <v>16</v>
      </c>
      <c r="NG3" s="88" t="s">
        <v>11</v>
      </c>
      <c r="NH3" s="88" t="s">
        <v>34</v>
      </c>
      <c r="NI3" s="88" t="s">
        <v>35</v>
      </c>
      <c r="NJ3" s="88" t="s">
        <v>16</v>
      </c>
      <c r="NK3" s="88" t="s">
        <v>11</v>
      </c>
      <c r="NL3" s="88" t="s">
        <v>34</v>
      </c>
      <c r="NM3" s="88" t="s">
        <v>35</v>
      </c>
      <c r="NN3" s="92" t="s">
        <v>16</v>
      </c>
      <c r="NO3" s="92" t="s">
        <v>11</v>
      </c>
      <c r="NP3" s="92" t="s">
        <v>34</v>
      </c>
      <c r="NQ3" s="92" t="s">
        <v>35</v>
      </c>
      <c r="NR3" s="88"/>
      <c r="NS3" s="88"/>
      <c r="NT3" s="88"/>
      <c r="NU3" s="88"/>
      <c r="NV3" s="88"/>
      <c r="NW3" s="88"/>
      <c r="NX3" s="89" t="s">
        <v>16</v>
      </c>
      <c r="NY3" s="89" t="s">
        <v>11</v>
      </c>
      <c r="NZ3" s="89" t="s">
        <v>34</v>
      </c>
      <c r="OA3" s="89" t="s">
        <v>35</v>
      </c>
      <c r="OB3" s="89" t="s">
        <v>16</v>
      </c>
      <c r="OC3" s="89" t="s">
        <v>11</v>
      </c>
      <c r="OD3" s="89" t="s">
        <v>34</v>
      </c>
      <c r="OE3" s="89" t="s">
        <v>35</v>
      </c>
      <c r="OF3" s="89" t="s">
        <v>16</v>
      </c>
      <c r="OG3" s="89" t="s">
        <v>11</v>
      </c>
      <c r="OH3" s="89" t="s">
        <v>34</v>
      </c>
      <c r="OI3" s="89" t="s">
        <v>35</v>
      </c>
      <c r="OJ3" s="89" t="s">
        <v>16</v>
      </c>
      <c r="OK3" s="89" t="s">
        <v>11</v>
      </c>
      <c r="OL3" s="89" t="s">
        <v>34</v>
      </c>
      <c r="OM3" s="89" t="s">
        <v>35</v>
      </c>
      <c r="ON3" s="91" t="s">
        <v>16</v>
      </c>
      <c r="OO3" s="91" t="s">
        <v>11</v>
      </c>
      <c r="OP3" s="91" t="s">
        <v>34</v>
      </c>
      <c r="OQ3" s="91" t="s">
        <v>35</v>
      </c>
      <c r="OR3" s="89"/>
      <c r="OS3" s="89"/>
      <c r="OT3" s="89"/>
      <c r="OU3" s="89"/>
      <c r="OV3" s="89"/>
      <c r="OW3" s="89"/>
      <c r="OX3" s="88" t="s">
        <v>16</v>
      </c>
      <c r="OY3" s="88" t="s">
        <v>11</v>
      </c>
      <c r="OZ3" s="88" t="s">
        <v>34</v>
      </c>
      <c r="PA3" s="88" t="s">
        <v>35</v>
      </c>
      <c r="PB3" s="88" t="s">
        <v>16</v>
      </c>
      <c r="PC3" s="88" t="s">
        <v>11</v>
      </c>
      <c r="PD3" s="88" t="s">
        <v>34</v>
      </c>
      <c r="PE3" s="88" t="s">
        <v>35</v>
      </c>
      <c r="PF3" s="88" t="s">
        <v>16</v>
      </c>
      <c r="PG3" s="88" t="s">
        <v>11</v>
      </c>
      <c r="PH3" s="88" t="s">
        <v>34</v>
      </c>
      <c r="PI3" s="88" t="s">
        <v>35</v>
      </c>
      <c r="PJ3" s="88" t="s">
        <v>16</v>
      </c>
      <c r="PK3" s="88" t="s">
        <v>11</v>
      </c>
      <c r="PL3" s="88" t="s">
        <v>34</v>
      </c>
      <c r="PM3" s="88" t="s">
        <v>35</v>
      </c>
      <c r="PN3" s="90" t="s">
        <v>16</v>
      </c>
      <c r="PO3" s="90" t="s">
        <v>11</v>
      </c>
      <c r="PP3" s="90" t="s">
        <v>34</v>
      </c>
      <c r="PQ3" s="90" t="s">
        <v>35</v>
      </c>
      <c r="PR3" s="88" t="s">
        <v>60</v>
      </c>
      <c r="PS3" s="88"/>
      <c r="PT3" s="88"/>
      <c r="PU3" s="88"/>
      <c r="PV3" s="88"/>
      <c r="PW3" s="88"/>
      <c r="PX3" s="88"/>
    </row>
    <row r="4" spans="1:440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" t="s">
        <v>163</v>
      </c>
      <c r="C4" s="7" t="s">
        <v>3</v>
      </c>
      <c r="D4" s="18">
        <v>2003</v>
      </c>
      <c r="E4" s="14">
        <f>SUM(J4:P4)+SUM(J4:N4)*0.0000001+SUM(J4)*0.0000000000001</f>
        <v>96.960009696004832</v>
      </c>
      <c r="F4" s="3" t="str">
        <f>IF(OR(AND(AN4&gt;=AS$8,AO4&gt;=AS$12,AN4&lt;&gt;"",AM4=""),AND(AQ4&gt;=AS$8,AR4&gt;=AS$12,AQ4&lt;&gt;"",AM4=""),AND(BO4&gt;=BT$8,BP4&gt;=BT$12,BO4&lt;&gt;"",BN4=""),AND(BR4&gt;=BT$8,BS4&gt;=BT$12,BR4&lt;&gt;"",BN4=""),AND(CP4&gt;=CU$8,CQ4&gt;=CU$12,CP4&lt;&gt;"",CO4=""),AND(CS4&gt;=CU$8,CT4&gt;=CU$12,CS4&lt;&gt;""),AND(DR4&gt;=DW$8,DS4&gt;=DW$12,DR4&lt;&gt;""),AND(DU4&gt;=DW$8,DV4&gt;=DW$12,DU4&lt;&gt;""),AND(ER4&gt;=EW$8,ES4&gt;=EW$12,ER4&lt;&gt;""),AND(EU4&gt;=EW$8,EV4&gt;=EW$12,EU4&lt;&gt;""),AND(FR4&gt;=FW$8,FS4&gt;=FW$12,FR4&lt;&gt;""),AND(FU4&gt;=FW$8,FV4&gt;=FW$12,FU4&lt;&gt;""),AND(GR4&gt;=GW$8,GS4&gt;=GW$12,GR4&lt;&gt;""),AND(GU4&gt;=GW$8,GV4&gt;=GW$12,GU4&lt;&gt;""),AND(HR4&gt;=HW$8,HS4&gt;=HW$12,HR4&lt;&gt;""),AND(HU4&gt;=HW$8,HV4&gt;=HW$12,HU4&lt;&gt;""),AND(IR4&gt;=IW$8,IS4&gt;=IW$12,IR4&lt;&gt;""),AND(IU4&gt;=IW$8,IV4&gt;=IW$12,IU4&lt;&gt;""),AND(JR4&gt;=JW$8,JS4&gt;=JW$12,JR4&lt;&gt;""),AND(JU4&gt;=JW$8,JV4&gt;=JW$12,JU4&lt;&gt;""),AND(KR4&gt;=KW$8,KS4&gt;=KW$12,KR4&lt;&gt;""),AND(KU4&gt;=KW$8,KV4&gt;=KW$12,KU4&lt;&gt;""),AND(LR4&gt;=LW$8,LS4&gt;=LW$12,LR4&lt;&gt;""),AND(LU4&gt;=LW$8,LV4&gt;=LW$12,LU4&lt;&gt;""),AND(MR4&gt;=MW$8,MS4&gt;=MW$12,MR4&lt;&gt;""),AND(MU4&gt;=MW$8,MV4&gt;=MW$12,MU4&lt;&gt;""),AND(NR4&gt;=NW$8,NS4&gt;=NW$12,NR4&lt;&gt;""),AND(NU4&gt;=NW$8,NV4&gt;=NW$12,NU4&lt;&gt;""),AND(OR4&gt;=OW$8,OS4&gt;=OW$12,OR4&lt;&gt;""),AND(OU4&gt;=OW$8,OV4&gt;=OW$12,OU4&lt;&gt;"")),"P","")</f>
        <v>P</v>
      </c>
      <c r="G4" s="3" t="str">
        <f>IF(OR(AND(AO4&gt;=AS$12,AO4&lt;&gt;"",AM4=""),AND(AR4&gt;=AS$12,AR4&lt;&gt;"",AM4=""),AND(BP4&gt;=BT$12,BP4&lt;&gt;"",BN4=""),AND(BS4&gt;=BT$12,BS4&lt;&gt;"",BN4=""),AND(CQ4&gt;=CU$12,CQ4&lt;&gt;"",CO4=""),AND(CT4&gt;=CU$12,CT4&lt;&gt;"",CO4=""),AND(DS4&gt;=DW$12,DS4&lt;&gt;""),AND(DV4&gt;=DW$12,DV4&lt;&gt;""),AND(ES4&gt;=EW$12,ES4&lt;&gt;""),AND(EV4&gt;=EW$12,EV4&lt;&gt;""),AND(FS4&gt;=FW$12,FS4&lt;&gt;""),AND(FV4&gt;=FW$12,FV4&lt;&gt;""),AND(GS4&gt;=GW$12,GS4&lt;&gt;""),AND(GV4&gt;=GW$12,GV4&lt;&gt;""),AND(HS4&gt;=HW$12,HS4&lt;&gt;""),AND(HV4&gt;=HW$12,HV4&lt;&gt;""),AND(IS4&gt;=IW$12,IS4&lt;&gt;""),AND(IV4&gt;=IW$12,IV4&lt;&gt;""),AND(JS4&gt;=JW$12,JS4&lt;&gt;""),AND(JV4&gt;=JW$12,JV4&lt;&gt;""),AND(KS4&gt;=KW$12,KS4&lt;&gt;""),AND(KV4&gt;=KW$12,KV4&lt;&gt;""),AND(LS4&gt;=LW$12,LS4&lt;&gt;""),AND(LV4&gt;=LW$12,LV4&lt;&gt;""),AND(MS4&gt;=MW$12,MS4&lt;&gt;""),AND(MV4&gt;=MW$12,MV4&lt;&gt;""),AND(NS4&gt;=NW$12,NS4&lt;&gt;""),AND(NV4&gt;=NW$12,NV4&lt;&gt;""),AND(OS4&gt;=OW$12,OS4&lt;&gt;""),AND(OV4&gt;=OW$12,OV4&lt;&gt;"")),"P","")</f>
        <v>P</v>
      </c>
      <c r="H4" s="70" t="str">
        <f>IF(AND(G4="P",F4=""),"No DD",IF(OR(AND(AN4&gt;=AS$11,AO4&gt;=AS$15,AN4&lt;&gt;"",AM4=""),AND(AQ4&gt;=AS$11,AR4&gt;=AS$15,AQ4&lt;&gt;"",AM4=""),AND(BO4&gt;=BT$11,BP4&gt;=BT$15,BO4&lt;&gt;"",BN4=""),AND(BR4&gt;=BT$11,BS4&gt;=BT$15,BR4&lt;&gt;"",BN4=""),AND(CP4&gt;=CU$11,CQ4&gt;=CU$15,CP4&lt;&gt;"",CO4=""),AND(CS4&gt;=CU$11,CT4&gt;=CU$15,CS4&lt;&gt;""),AND(DR4&gt;=DW$11,DS4&gt;=DW$15,DR4&lt;&gt;""),AND(DU4&gt;=DW$11,DV4&gt;=DW$15,DU4&lt;&gt;""),AND(ER4&gt;=EW$11,ES4&gt;=EW$15,ER4&lt;&gt;""),AND(EU4&gt;=EW$11,EV4&gt;=EW$15,EU4&lt;&gt;""),AND(FR4&gt;=FW$11,FS4&gt;=FW$15,FR4&lt;&gt;""),AND(FU4&gt;=FW$11,FV4&gt;=FW$15,FU4&lt;&gt;""),AND(GR4&gt;=GW$11,GS4&gt;=GW$15,GR4&lt;&gt;""),AND(GU4&gt;=GW$11,GV4&gt;=GW$15,GU4&lt;&gt;""),AND(HR4&gt;=HW$11,HS4&gt;=HW$15,HR4&lt;&gt;""),AND(HU4&gt;=HW$11,HV4&gt;=HW$15,HU4&lt;&gt;""),AND(IR4&gt;=IW$11,IS4&gt;=IW$15,IR4&lt;&gt;""),AND(IU4&gt;=IW$11,IV4&gt;=IW$15,IU4&lt;&gt;""),AND(JR4&gt;=JW$11,JS4&gt;=JW$15,JR4&lt;&gt;""),AND(JU4&gt;=JW$11,JV4&gt;=JW$15,JU4&lt;&gt;""),AND(KR4&gt;=KW$11,KS4&gt;=KW$15,KR4&lt;&gt;""),AND(KU4&gt;=KW$11,KV4&gt;=KW$15,KU4&lt;&gt;""),AND(LR4&gt;=LW$11,LS4&gt;=LW$15,LR4&lt;&gt;""),AND(LU4&gt;=LW$11,LV4&gt;=LW$15,LU4&lt;&gt;""),AND(MR4&gt;=MW$11,MS4&gt;=MW$15,MR4&lt;&gt;""),AND(MU4&gt;=MW$11,MV4&gt;=MW$15,MU4&lt;&gt;""),AND(NR4&gt;=NW$11,NS4&gt;=NW$15,NR4&lt;&gt;""),AND(NU4&gt;=NW$11,NV4&gt;=NW$15,NU4&lt;&gt;""),AND(OR4&gt;=OW$11,OS4&gt;=OW$15,OR4&lt;&gt;""),AND(OU4&gt;=OW$11,OV4&gt;=OW$15,OU4&lt;&gt;"")),"Merit",IF(OR(AND(AN4&gt;=AS$10,AO4&gt;=AS$14,AN4&lt;&gt;"",AM4=""),AND(AQ4&gt;=AS$10,AR4&gt;=AS$14,AQ4&lt;&gt;"",AM4=""),AND(BO4&gt;=BT$10,BP4&gt;=BT$14,BO4&lt;&gt;"",BN4=""),AND(BR4&gt;=BT$10,BS4&gt;=BT$14,BR4&lt;&gt;"",BN4=""),AND(CP4&gt;=CU$10,CQ4&gt;=CU$14,CP4&lt;&gt;"",CO4=""),AND(CS4&gt;=CU$10,CT4&gt;=CU$14,CS4&lt;&gt;""),AND(DR4&gt;=DW$10,DS4&gt;=DW$14,DR4&lt;&gt;""),AND(DU4&gt;=DW$10,DV4&gt;=DW$14,DU4&lt;&gt;""),AND(ER4&gt;=EW$10,ES4&gt;=EW$14,ER4&lt;&gt;""),AND(EU4&gt;=EW$10,EV4&gt;=EW$14,EU4&lt;&gt;""),AND(FR4&gt;=FW$10,FS4&gt;=FW$14,FR4&lt;&gt;""),AND(FU4&gt;=FW$10,FV4&gt;=FW$14,FU4&lt;&gt;""),AND(GR4&gt;=GW$10,GS4&gt;=GW$14,GR4&lt;&gt;""),AND(GU4&gt;=GW$10,GV4&gt;=GW$14,GU4&lt;&gt;""),AND(HR4&gt;=HW$10,HS4&gt;=HW$14,HR4&lt;&gt;""),AND(HU4&gt;=HW$10,HV4&gt;=HW$14,HU4&lt;&gt;""),AND(IR4&gt;=IW$10,IS4&gt;=IW$14,IR4&lt;&gt;""),AND(IU4&gt;=IW$10,IV4&gt;=IW$14,IU4&lt;&gt;""),AND(JR4&gt;=JW$10,JS4&gt;=JW$14,JR4&lt;&gt;""),AND(JU4&gt;=JW$10,JV4&gt;=JW$14,JU4&lt;&gt;""),AND(KR4&gt;=KW$10,KS4&gt;=KW$14,KR4&lt;&gt;""),AND(KU4&gt;=KW$10,KV4&gt;=KW$14,KU4&lt;&gt;""),AND(LR4&gt;=LW$10,LS4&gt;=LW$14,LR4&lt;&gt;""),AND(LU4&gt;=LW$10,LV4&gt;=LW$14,LU4&lt;&gt;""),AND(MR4&gt;=MW$10,MS4&gt;=MW$14,MR4&lt;&gt;""),AND(MU4&gt;=MW$10,MV4&gt;=MW$14,MU4&lt;&gt;""),AND(NR4&gt;=NW$10,NS4&gt;=NW$14,NR4&lt;&gt;""),AND(NU4&gt;=NW$10,NV4&gt;=NW$14,NU4&lt;&gt;""),AND(OR4&gt;=OW$10,OS4&gt;=OW$14,OR4&lt;&gt;""),AND(OU4&gt;=OW$10,OV4&gt;=OW$14,OU4&lt;&gt;"")),"Excellence",IF(I4="P","Worlds Team",IF(F4="P","National Team","")))))</f>
        <v>Excellence</v>
      </c>
      <c r="I4" s="3" t="str">
        <f>IF(OR(AND(AN4&gt;=AS$9,AO4&gt;=AS$13,AN4&lt;&gt;"",AM4=""),AND(AQ4&gt;=AS$9,AR4&gt;=AS$13,AQ4&lt;&gt;"",AM4=""),AND(BO4&gt;=BT$9,BP4&gt;=BT$13,BO4&lt;&gt;"",BN4=""),AND(BR4&gt;=BT$9,BS4&gt;=BT$13,BR4&lt;&gt;"",BN4=""),AND(CP4&gt;=CU$9,CQ4&gt;=CU$13,CP4&lt;&gt;"",CO4=""),AND(CS4&gt;=CU$9,CT4&gt;=CU$13,CS4&lt;&gt;""),AND(DR4&gt;=DW$9,DS4&gt;=DW$13,DR4&lt;&gt;""),AND(DU4&gt;=DW$9,DV4&gt;=DW$13,DU4&lt;&gt;""),AND(ER4&gt;=EW$9,ES4&gt;=EW$13,ER4&lt;&gt;""),AND(EU4&gt;=EW$9,EV4&gt;=EW$13,EU4&lt;&gt;""),AND(FR4&gt;=FW$9,FS4&gt;=FW$13,FR4&lt;&gt;""),AND(FU4&gt;=FW$9,FV4&gt;=FW$13,FU4&lt;&gt;""),AND(GR4&gt;=GW$9,GS4&gt;=GW$13,GR4&lt;&gt;""),AND(GU4&gt;=GW$9,GV4&gt;=GW$13,GU4&lt;&gt;""),AND(HR4&gt;=HW$9,HS4&gt;=HW$13,HR4&lt;&gt;""),AND(HU4&gt;=HW$9,HV4&gt;=HW$13,HU4&lt;&gt;""),AND(IR4&gt;=IW$9,IS4&gt;=IW$13,IR4&lt;&gt;""),AND(IU4&gt;=IW$9,IV4&gt;=IW$13,IU4&lt;&gt;""),AND(JR4&gt;=JW$9,JS4&gt;=JW$13,JR4&lt;&gt;""),AND(JU4&gt;=JW$9,JV4&gt;=JW$13,JU4&lt;&gt;""),AND(KR4&gt;=KW$9,KS4&gt;=KW$13,KR4&lt;&gt;""),AND(KU4&gt;=KW$9,KV4&gt;=KW$13,KU4&lt;&gt;""),AND(LR4&gt;=LW$9,LS4&gt;=LW$13,LR4&lt;&gt;""),AND(LU4&gt;=LW$9,LV4&gt;=LW$13,LU4&lt;&gt;""),AND(MR4&gt;=MW$9,MS4&gt;=MW$13,MR4&lt;&gt;""),AND(MU4&gt;=MW$9,MV4&gt;=MW$13,MU4&lt;&gt;""),AND(NR4&gt;=NW$9,NS4&gt;=NW$13,NR4&lt;&gt;""),AND(NU4&gt;=NW$9,NV4&gt;=NW$13,NU4&lt;&gt;""),AND(OR4&gt;=OW$9,OS4&gt;=OW$13,OR4&lt;&gt;""),AND(OU4&gt;=OW$9,OV4&gt;=OW$13,OU4&lt;&gt;"")),"P","")</f>
        <v>P</v>
      </c>
      <c r="J4" s="13">
        <f>IF(COUNT(AO4,BP4,CQ4)&gt;0,LARGE((AO4,BP4,CQ4),1),0)</f>
        <v>48.26</v>
      </c>
      <c r="K4" s="13" t="str">
        <f>IF(J4=0,"",IF(J4=CQ4,$BU$1,IF(J4=BP4,$AT$1,IF(J4=AO4,$S$1,""))))</f>
        <v>2022 Elite Canada</v>
      </c>
      <c r="L4" s="13">
        <f>IF(COUNT(AO4,BP4,CQ4)&gt;1,LARGE((AO4,BP4,CQ4),2),0)</f>
        <v>0</v>
      </c>
      <c r="M4" s="13" t="str">
        <f>IF(L4=0,"",IF(L4=CQ4,$BU$1,IF(L4=BP4,$AT$1,IF(L4=AO4,$S$1,""))))</f>
        <v/>
      </c>
      <c r="N4" s="13">
        <f>IF(MAX(AR4,BS4,CT4)&gt;0,MAX(AR4,BS4,CT4),0)</f>
        <v>48.699999999999996</v>
      </c>
      <c r="O4" s="13" t="str">
        <f>IF(N4=0,"",IF(N4=CT4,$BU$1,IF(N4=BS4,$AT$1,IF(N4=AR4,$S$1,""))))</f>
        <v>2022 Elite Canada</v>
      </c>
      <c r="P4" s="13" t="str">
        <f>IF(MAX(CV4:CW4)&gt;0,MAX(CV4:CW4),"")</f>
        <v/>
      </c>
      <c r="Q4" s="16" t="str">
        <f>IF(P4="","",IF(P4=CV4,"("&amp;CV$2&amp;")",IF(P4=CW4,"("&amp;CW$2&amp;")")))</f>
        <v/>
      </c>
      <c r="R4" s="13" t="str">
        <f>IF(P4="","",IF(P4=CV4,IF(P4+IF(L4="",0,L4)=OS4,$NX$1,IF(P4+IF(L4="",0,L4)=NS4,$MX$1,IF(P4+IF(L4="",0,L4)=MS4,$LX$1,IF(P4+IF(L4="",0,L4)=LS4,$KX$1,IF(P4+IF(L4="",0,L4)=KS4,$JX$1,IF(P4+IF(L4="",0,L4)=JS4,$IX$1,IF(P4+IF(L4="",0,L4)=IS4,$HX$1,IF(P4+IF(L4="",0,L4)=HS4,$GX$1,IF(P4+IF(L4="",0,L4)=GS4,$FX$1,IF(P4+IF(L4="",0,L4)=FS4,$EX$1,IF(P4+IF(L4="",0,L4)=ES4,$DX$1,IF(P4+IF(L4="",0,L4)=DS4,$CX$1)))))))))))),IF(P4=CW4,IF(P4+IF(N4="",0,N4)=OV4,$NX$1,IF(P4+IF(N4="",0,N4)=NV4,$MX$1,IF(P4+IF(N4="",0,N4)=MV4,$LX$1,IF(P4+IF(N4="",0,N4)=LV4,$KX$1,IF(P4+IF(N4="",0,N4)=KV4,$JX$1,IF(P4+IF(N4="",0,N4)=JV4,$IX$1,IF(P4+IF(N4="",0,N4)=IV4,$HX$1,IF(P4+IF(N4="",0,N4)=HV4,$GX$1,IF(P4+IF(N4="",0,N4)=GV4,$FX$1,IF(P4+IF(N4="",0,N4)=FV4,$EX$1,IF(P4+IF(N4="",0,N4)=EV4,$DX$1,IF(P4+IF(N4="",0,N4)=DV4,$CX$1)))))))))))))))</f>
        <v/>
      </c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51"/>
      <c r="AN4" s="76" t="str">
        <f>IF(SUM(T4,X4)&gt;0,SUM(T4,X4),"")</f>
        <v/>
      </c>
      <c r="AO4" s="76" t="str">
        <f>IF(SUM(S4:T4,V4:X4,Z4)-U4-Y4&gt;0,SUM(S4:T4,V4:X4,Z4)-U4-Y4,"")</f>
        <v/>
      </c>
      <c r="AP4" s="76" t="str">
        <f>IF(SUM(AA4:AB4,AD4)-AC4&gt;0,SUM(AA4:AB4,AD4)-AC4,"")</f>
        <v/>
      </c>
      <c r="AQ4" s="76" t="str">
        <f>IF(SUM(AF4,AJ4)&gt;0,SUM(AF4,AJ4),"")</f>
        <v/>
      </c>
      <c r="AR4" s="76" t="str">
        <f>IF(SUM(AE4:AF4,AH4:AJ4,AL4)-SUM(AG4,AK4)&gt;0,SUM(AE4:AF4,AH4:AJ4,AL4)-SUM(AG4,AK4),"")</f>
        <v/>
      </c>
      <c r="AS4" s="76" t="str">
        <f>IF(SUM(AO4,AR4)&gt;0,SUM(AO4,AR4),"")</f>
        <v/>
      </c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52"/>
      <c r="BO4" s="16" t="str">
        <f>IF(SUM(AU4,AY4)&gt;0,SUM(AU4,AY4),"")</f>
        <v/>
      </c>
      <c r="BP4" s="16" t="str">
        <f>IF(SUM(AT4:AU4,AW4:AY4,BA4)-AV4-AZ4&gt;0,SUM(AT4:AU4,AW4:AY4,BA4)-AV4-AZ4,"")</f>
        <v/>
      </c>
      <c r="BQ4" s="16" t="str">
        <f>IF(SUM(BB4:BC4,BE4)-BD4&gt;0,SUM(BB4:BC4,BE4)-BD4,"")</f>
        <v/>
      </c>
      <c r="BR4" s="16" t="str">
        <f>IF(SUM(BG4,BK4)&gt;0,SUM(BG4,BK4),"")</f>
        <v/>
      </c>
      <c r="BS4" s="16" t="str">
        <f>IF(SUM(BF4:BG4,BI4:BK4,BM4)-SUM(BH4,BL4)&gt;0,SUM(BF4:BG4,BI4:BK4,BM4)-SUM(BH4,BL4),"")</f>
        <v/>
      </c>
      <c r="BT4" s="16" t="str">
        <f>IF(SUM(BP4,BS4)&gt;0,SUM(BP4,BS4),"")</f>
        <v/>
      </c>
      <c r="BU4" s="27">
        <v>17.5</v>
      </c>
      <c r="BV4" s="27">
        <v>6.5</v>
      </c>
      <c r="BW4" s="27">
        <v>0</v>
      </c>
      <c r="BX4" s="27">
        <v>0</v>
      </c>
      <c r="BY4" s="27">
        <v>18.36</v>
      </c>
      <c r="BZ4" s="27">
        <v>5.9</v>
      </c>
      <c r="CA4" s="27">
        <v>0</v>
      </c>
      <c r="CB4" s="27">
        <v>0</v>
      </c>
      <c r="CC4" s="27"/>
      <c r="CD4" s="27"/>
      <c r="CE4" s="27"/>
      <c r="CF4" s="27"/>
      <c r="CG4" s="27">
        <v>18.100000000000001</v>
      </c>
      <c r="CH4" s="27">
        <v>6.5</v>
      </c>
      <c r="CI4" s="27">
        <v>0</v>
      </c>
      <c r="CJ4" s="27">
        <v>0</v>
      </c>
      <c r="CK4" s="27">
        <v>18.2</v>
      </c>
      <c r="CL4" s="27">
        <v>5.9</v>
      </c>
      <c r="CM4" s="27">
        <v>0</v>
      </c>
      <c r="CN4" s="27">
        <v>0</v>
      </c>
      <c r="CO4" s="51"/>
      <c r="CP4" s="76">
        <f>IF(SUM(BV4,BZ4)&gt;0,SUM(BV4,BZ4),"")</f>
        <v>12.4</v>
      </c>
      <c r="CQ4" s="76">
        <f>IF(SUM(BU4:BV4,BX4:BZ4,CB4)-BW4-CA4&gt;0,SUM(BU4:BV4,BX4:BZ4,CB4)-BW4-CA4,"")</f>
        <v>48.26</v>
      </c>
      <c r="CR4" s="76" t="str">
        <f>IF(SUM(CC4:CD4,CF4)-CE4&gt;0,SUM(CC4:CD4,CF4)-CE4,"")</f>
        <v/>
      </c>
      <c r="CS4" s="76">
        <f>IF(SUM(CH4,CL4)&gt;0,SUM(CH4,CL4),"")</f>
        <v>12.4</v>
      </c>
      <c r="CT4" s="76">
        <f>IF(SUM(CG4:CH4,CJ4:CL4,CN4)-SUM(CI4,CM4)&gt;0,SUM(CG4:CH4,CJ4:CL4,CN4)-SUM(CI4,CM4),"")</f>
        <v>48.699999999999996</v>
      </c>
      <c r="CU4" s="76">
        <f>IF(SUM(CQ4,CT4)&gt;0,SUM(CQ4,CT4),"")</f>
        <v>96.96</v>
      </c>
      <c r="CV4" s="87" t="str">
        <f>IF(L4&gt;=0.001,IF(MAX(DS4,ES4,FS4,GS4,HS4,IS4,JS4,KS4,LS4,MS4,NS4,OS4)-IF(L4="",0,L4)&gt;0.001,MAX(DS4,ES4,FS4,GS4,HS4,IS4,JS4,KS4,LS4,MS4,NS4,OS4)-IF(L4="",0,L4),""),"")</f>
        <v/>
      </c>
      <c r="CW4" s="87" t="str">
        <f>IF(N4&gt;=0.001,IF(MAX(DV4,EV4,FV4,GV4,HV4,IV4,JV4,KV4,LV4,MV4,NV4,OV4)-IF(N4="",0,N4)&gt;0.001,MAX(DV4,EV4,FV4,GV4,HV4,IV4,JV4,KV4,LV4,MV4,NV4,OV4)-IF(N4="",0,N4),""),"")</f>
        <v/>
      </c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76" t="str">
        <f>IF(SUM(CY4,DC4)&gt;0,SUM(CY4,DC4),"")</f>
        <v/>
      </c>
      <c r="DS4" s="76" t="str">
        <f>IF(SUM(CX4:CY4,DA4:DC4,DE4)-CZ4-DD4&gt;0,SUM(CX4:CY4,DA4:DC4,DE4)-CZ4-DD4,"")</f>
        <v/>
      </c>
      <c r="DT4" s="76" t="str">
        <f>IF(SUM(DF4:DG4,DI4)-DH4&gt;0,SUM(DF4:DG4,DI4)-DH4,"")</f>
        <v/>
      </c>
      <c r="DU4" s="76" t="str">
        <f>IF(SUM(DK4,DO4)&gt;0,SUM(DK4,DO4),"")</f>
        <v/>
      </c>
      <c r="DV4" s="76" t="str">
        <f>IF(SUM(DJ4:DK4,DM4:DO4,DQ4)-SUM(DL4,DP4)&gt;0,SUM(DJ4:DK4,DM4:DO4,DQ4)-SUM(DL4,DP4),"")</f>
        <v/>
      </c>
      <c r="DW4" s="76" t="str">
        <f>IF(SUM(DS4,DV4)&gt;0,SUM(DS4,DV4),"")</f>
        <v/>
      </c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16" t="str">
        <f>IF(SUM(DY4,EC4)&gt;0,SUM(DY4,EC4),"")</f>
        <v/>
      </c>
      <c r="ES4" s="16" t="str">
        <f>IF(SUM(DX4:DY4,EA4:EC4,EE4)-DZ4-ED4&gt;0,SUM(DX4:DY4,EA4:EC4,EE4)-DZ4-ED4,"")</f>
        <v/>
      </c>
      <c r="ET4" s="16" t="str">
        <f>IF(SUM(EF4:EG4,EI4)-EH4&gt;0,SUM(EF4:EG4,EI4)-EH4,"")</f>
        <v/>
      </c>
      <c r="EU4" s="16" t="str">
        <f>IF(SUM(EK4,EO4)&gt;0,SUM(EK4,EO4),"")</f>
        <v/>
      </c>
      <c r="EV4" s="16" t="str">
        <f>IF(SUM(EJ4:EK4,EM4:EO4,EQ4)-SUM(EL4,EP4)&gt;0,SUM(EJ4:EK4,EM4:EO4,EQ4)-SUM(EL4,EP4),"")</f>
        <v/>
      </c>
      <c r="EW4" s="16" t="str">
        <f>IF(SUM(ES4,EV4)&gt;0,SUM(ES4,EV4),"")</f>
        <v/>
      </c>
      <c r="EX4" s="25">
        <v>17.8</v>
      </c>
      <c r="EY4" s="25">
        <v>6.9</v>
      </c>
      <c r="EZ4" s="25">
        <v>0</v>
      </c>
      <c r="FA4" s="25">
        <v>0</v>
      </c>
      <c r="FB4" s="25">
        <v>17.3</v>
      </c>
      <c r="FC4" s="25">
        <v>5.7</v>
      </c>
      <c r="FD4" s="25">
        <v>0</v>
      </c>
      <c r="FE4" s="25">
        <v>0</v>
      </c>
      <c r="FF4" s="25"/>
      <c r="FG4" s="25"/>
      <c r="FH4" s="25"/>
      <c r="FI4" s="25"/>
      <c r="FJ4" s="25">
        <v>17.5</v>
      </c>
      <c r="FK4" s="25">
        <v>6.5</v>
      </c>
      <c r="FL4" s="25">
        <v>0</v>
      </c>
      <c r="FM4" s="25">
        <v>0</v>
      </c>
      <c r="FN4" s="25">
        <v>16.2</v>
      </c>
      <c r="FO4" s="25">
        <v>3.7</v>
      </c>
      <c r="FP4" s="25">
        <v>0</v>
      </c>
      <c r="FQ4" s="25">
        <v>0</v>
      </c>
      <c r="FR4" s="76">
        <f>IF(SUM(EY4,FC4)&gt;0,SUM(EY4,FC4),"")</f>
        <v>12.600000000000001</v>
      </c>
      <c r="FS4" s="76">
        <f>IF(SUM(EX4:EY4,FA4:FC4,FE4)-EZ4-FD4&gt;0,SUM(EX4:EY4,FA4:FC4,FE4)-EZ4-FD4,"")</f>
        <v>47.7</v>
      </c>
      <c r="FT4" s="76" t="str">
        <f>IF(SUM(FF4:FG4,FI4)-FH4&gt;0,SUM(FF4:FG4,FI4)-FH4,"")</f>
        <v/>
      </c>
      <c r="FU4" s="76">
        <f>IF(SUM(FK4,FO4)&gt;0,SUM(FK4,FO4),"")</f>
        <v>10.199999999999999</v>
      </c>
      <c r="FV4" s="76">
        <f>IF(SUM(FJ4:FK4,FM4:FO4,FQ4)-SUM(FL4,FP4)&gt;0,SUM(FJ4:FK4,FM4:FO4,FQ4)-SUM(FL4,FP4),"")</f>
        <v>43.900000000000006</v>
      </c>
      <c r="FW4" s="76">
        <f>IF(SUM(FS4,FV4)&gt;0,SUM(FS4,FV4),"")</f>
        <v>91.600000000000009</v>
      </c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16" t="str">
        <f>IF(SUM(FY4,GC4)&gt;0,SUM(FY4,GC4),"")</f>
        <v/>
      </c>
      <c r="GS4" s="16" t="str">
        <f>IF(SUM(FX4:FY4,GA4:GC4,GE4)-FZ4-GD4&gt;0,SUM(FX4:FY4,GA4:GC4,GE4)-FZ4-GD4,"")</f>
        <v/>
      </c>
      <c r="GT4" s="16" t="str">
        <f>IF(SUM(GF4:GG4,GI4)-GH4&gt;0,SUM(GF4:GG4,GI4)-GH4,"")</f>
        <v/>
      </c>
      <c r="GU4" s="16" t="str">
        <f>IF(SUM(GK4,GO4)&gt;0,SUM(GK4,GO4),"")</f>
        <v/>
      </c>
      <c r="GV4" s="16" t="str">
        <f>IF(SUM(GJ4:GK4,GM4:GO4,GQ4)-SUM(GL4,GP4)&gt;0,SUM(GJ4:GK4,GM4:GO4,GQ4)-SUM(GL4,GP4),"")</f>
        <v/>
      </c>
      <c r="GW4" s="16" t="str">
        <f>IF(SUM(GS4,GV4)&gt;0,SUM(GS4,GV4),"")</f>
        <v/>
      </c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76" t="str">
        <f>IF(SUM(GY4,HC4)&gt;0,SUM(GY4,HC4),"")</f>
        <v/>
      </c>
      <c r="HS4" s="76" t="str">
        <f>IF(SUM(GX4:GY4,HA4:HC4,HE4)-GZ4-HD4&gt;0,SUM(GX4:GY4,HA4:HC4,HE4)-GZ4-HD4,"")</f>
        <v/>
      </c>
      <c r="HT4" s="76" t="str">
        <f>IF(SUM(HF4:HG4,HI4)-HH4&gt;0,SUM(HF4:HG4,HI4)-HH4,"")</f>
        <v/>
      </c>
      <c r="HU4" s="76" t="str">
        <f>IF(SUM(HK4,HO4)&gt;0,SUM(HK4,HO4),"")</f>
        <v/>
      </c>
      <c r="HV4" s="76" t="str">
        <f>IF(SUM(HJ4:HK4,HM4:HO4,HQ4)-SUM(HL4,HP4)&gt;0,SUM(HJ4:HK4,HM4:HO4,HQ4)-SUM(HL4,HP4),"")</f>
        <v/>
      </c>
      <c r="HW4" s="76" t="str">
        <f>IF(SUM(HS4,HV4)&gt;0,SUM(HS4,HV4),"")</f>
        <v/>
      </c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16" t="str">
        <f>IF(SUM(HY4,IC4)&gt;0,SUM(HY4,IC4),"")</f>
        <v/>
      </c>
      <c r="IS4" s="16" t="str">
        <f>IF(SUM(HX4:HY4,IA4:IC4,IE4)-HZ4-ID4&gt;0,SUM(HX4:HY4,IA4:IC4,IE4)-HZ4-ID4,"")</f>
        <v/>
      </c>
      <c r="IT4" s="16" t="str">
        <f>IF(SUM(IF4:IG4,II4)-IH4&gt;0,SUM(IF4:IG4,II4)-IH4,"")</f>
        <v/>
      </c>
      <c r="IU4" s="16" t="str">
        <f>IF(SUM(IK4,IO4)&gt;0,SUM(IK4,IO4),"")</f>
        <v/>
      </c>
      <c r="IV4" s="16" t="str">
        <f>IF(SUM(IJ4:IK4,IM4:IO4,IQ4)-SUM(IL4,IP4)&gt;0,SUM(IJ4:IK4,IM4:IO4,IQ4)-SUM(IL4,IP4),"")</f>
        <v/>
      </c>
      <c r="IW4" s="16" t="str">
        <f>IF(SUM(IS4,IV4)&gt;0,SUM(IS4,IV4),"")</f>
        <v/>
      </c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76" t="str">
        <f>IF(SUM(IY4,JC4)&gt;0,SUM(IY4,JC4),"")</f>
        <v/>
      </c>
      <c r="JS4" s="76" t="str">
        <f>IF(SUM(IX4:IY4,JA4:JC4,JE4)-IZ4-JD4&gt;0,SUM(IX4:IY4,JA4:JC4,JE4)-IZ4-JD4,"")</f>
        <v/>
      </c>
      <c r="JT4" s="76" t="str">
        <f>IF(SUM(JF4:JG4,JI4)-JH4&gt;0,SUM(JF4:JG4,JI4)-JH4,"")</f>
        <v/>
      </c>
      <c r="JU4" s="76" t="str">
        <f>IF(SUM(JK4,JO4)&gt;0,SUM(JK4,JO4),"")</f>
        <v/>
      </c>
      <c r="JV4" s="76" t="str">
        <f>IF(SUM(JJ4:JK4,JM4:JO4,JQ4)-SUM(JL4,JP4)&gt;0,SUM(JJ4:JK4,JM4:JO4,JQ4)-SUM(JL4,JP4),"")</f>
        <v/>
      </c>
      <c r="JW4" s="76" t="str">
        <f>IF(SUM(JS4,JV4)&gt;0,SUM(JS4,JV4),"")</f>
        <v/>
      </c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16" t="str">
        <f>IF(SUM(JY4,KC4)&gt;0,SUM(JY4,KC4),"")</f>
        <v/>
      </c>
      <c r="KS4" s="16" t="str">
        <f>IF(SUM(JX4:JY4,KA4:KC4,KE4)-JZ4-KD4&gt;0,SUM(JX4:JY4,KA4:KC4,KE4)-JZ4-KD4,"")</f>
        <v/>
      </c>
      <c r="KT4" s="16" t="str">
        <f>IF(SUM(KF4:KG4,KI4)-KH4&gt;0,SUM(KF4:KG4,KI4)-KH4,"")</f>
        <v/>
      </c>
      <c r="KU4" s="16" t="str">
        <f>IF(SUM(KK4,KO4)&gt;0,SUM(KK4,KO4),"")</f>
        <v/>
      </c>
      <c r="KV4" s="16" t="str">
        <f>IF(SUM(KJ4:KK4,KM4:KO4,KQ4)-SUM(KL4,KP4)&gt;0,SUM(KJ4:KK4,KM4:KO4,KQ4)-SUM(KL4,KP4),"")</f>
        <v/>
      </c>
      <c r="KW4" s="16" t="str">
        <f>IF(SUM(KS4,KV4)&gt;0,SUM(KS4,KV4),"")</f>
        <v/>
      </c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76" t="str">
        <f>IF(SUM(KY4,LC4)&gt;0,SUM(KY4,LC4),"")</f>
        <v/>
      </c>
      <c r="LS4" s="76" t="str">
        <f>IF(SUM(KX4:KY4,LA4:LC4,LE4)-KZ4-LD4&gt;0,SUM(KX4:KY4,LA4:LC4,LE4)-KZ4-LD4,"")</f>
        <v/>
      </c>
      <c r="LT4" s="76" t="str">
        <f>IF(SUM(LF4:LG4,LI4)-LH4&gt;0,SUM(LF4:LG4,LI4)-LH4,"")</f>
        <v/>
      </c>
      <c r="LU4" s="76" t="str">
        <f>IF(SUM(LK4,LO4)&gt;0,SUM(LK4,LO4),"")</f>
        <v/>
      </c>
      <c r="LV4" s="76" t="str">
        <f>IF(SUM(LJ4:LK4,LM4:LO4,LQ4)-SUM(LL4,LP4)&gt;0,SUM(LJ4:LK4,LM4:LO4,LQ4)-SUM(LL4,LP4),"")</f>
        <v/>
      </c>
      <c r="LW4" s="76" t="str">
        <f>IF(SUM(LS4,LV4)&gt;0,SUM(LS4,LV4),"")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IF(SUM(LY4,MC4)&gt;0,SUM(LY4,MC4),"")</f>
        <v/>
      </c>
      <c r="MS4" s="16" t="str">
        <f>IF(SUM(LX4:LY4,MA4:MC4,ME4)-LZ4-MD4&gt;0,SUM(LX4:LY4,MA4:MC4,ME4)-LZ4-MD4,"")</f>
        <v/>
      </c>
      <c r="MT4" s="16" t="str">
        <f>IF(SUM(MF4:MG4,MI4)-MH4&gt;0,SUM(MF4:MG4,MI4)-MH4,"")</f>
        <v/>
      </c>
      <c r="MU4" s="16" t="str">
        <f>IF(SUM(MK4,MO4)&gt;0,SUM(MK4,MO4),"")</f>
        <v/>
      </c>
      <c r="MV4" s="16" t="str">
        <f>IF(SUM(MJ4:MK4,MM4:MO4,MQ4)-SUM(ML4,MP4)&gt;0,SUM(MJ4:MK4,MM4:MO4,MQ4)-SUM(ML4,MP4),"")</f>
        <v/>
      </c>
      <c r="MW4" s="16" t="str">
        <f>IF(SUM(MS4,MV4)&gt;0,SUM(MS4,MV4),"")</f>
        <v/>
      </c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76" t="str">
        <f>IF(SUM(MY4,NC4)&gt;0,SUM(MY4,NC4),"")</f>
        <v/>
      </c>
      <c r="NS4" s="76" t="str">
        <f>IF(SUM(MX4:MY4,NA4:NC4,NE4)-MZ4-ND4&gt;0,SUM(MX4:MY4,NA4:NC4,NE4)-MZ4-ND4,"")</f>
        <v/>
      </c>
      <c r="NT4" s="76" t="str">
        <f>IF(SUM(NF4:NG4,NI4)-NH4&gt;0,SUM(NF4:NG4,NI4)-NH4,"")</f>
        <v/>
      </c>
      <c r="NU4" s="76" t="str">
        <f>IF(SUM(NK4,NO4)&gt;0,SUM(NK4,NO4),"")</f>
        <v/>
      </c>
      <c r="NV4" s="76" t="str">
        <f>IF(SUM(NJ4:NK4,NM4:NO4,NQ4)-SUM(NL4,NP4)&gt;0,SUM(NJ4:NK4,NM4:NO4,NQ4)-SUM(NL4,NP4),"")</f>
        <v/>
      </c>
      <c r="NW4" s="76" t="str">
        <f>IF(SUM(NS4,NV4)&gt;0,SUM(NS4,NV4),"")</f>
        <v/>
      </c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16" t="str">
        <f>IF(SUM(NY4,OC4)&gt;0,SUM(NY4,OC4),"")</f>
        <v/>
      </c>
      <c r="OS4" s="16" t="str">
        <f>IF(SUM(NX4:NY4,OA4:OC4,OE4)-NZ4-OD4&gt;0,SUM(NX4:NY4,OA4:OC4,OE4)-NZ4-OD4,"")</f>
        <v/>
      </c>
      <c r="OT4" s="16" t="str">
        <f>IF(SUM(OF4:OG4,OI4)-OH4&gt;0,SUM(OF4:OG4,OI4)-OH4,"")</f>
        <v/>
      </c>
      <c r="OU4" s="16" t="str">
        <f>IF(SUM(OK4,OO4)&gt;0,SUM(OK4,OO4),"")</f>
        <v/>
      </c>
      <c r="OV4" s="16" t="str">
        <f>IF(SUM(OJ4:OK4,OM4:OO4,OQ4)-SUM(OL4,OP4)&gt;0,SUM(OJ4:OK4,OM4:OO4,OQ4)-SUM(OL4,OP4),"")</f>
        <v/>
      </c>
      <c r="OW4" s="16" t="str">
        <f>IF(SUM(OS4,OV4)&gt;0,SUM(OS4,OV4),"")</f>
        <v/>
      </c>
      <c r="OX4" s="42">
        <f>IF($CO4="P",BU4,(BU4+AT4)/2)</f>
        <v>8.75</v>
      </c>
      <c r="OY4" s="42">
        <f>IF($CO4="P",BV4,(BV4+AU4)/2)</f>
        <v>3.25</v>
      </c>
      <c r="OZ4" s="42">
        <f>IF($CO4="P",BW4,(BW4+AV4)/2)</f>
        <v>0</v>
      </c>
      <c r="PA4" s="42">
        <f>IF($CO4="P",BX4,(BX4+AW4)/2)</f>
        <v>0</v>
      </c>
      <c r="PB4" s="42">
        <f>IF($CO4="P",BY4,(BY4+AX4)/2)</f>
        <v>9.18</v>
      </c>
      <c r="PC4" s="42">
        <f>IF($CO4="P",BZ4,(BZ4+AY4)/2)</f>
        <v>2.95</v>
      </c>
      <c r="PD4" s="42">
        <f>IF($CO4="P",CA4,(CA4+AZ4)/2)</f>
        <v>0</v>
      </c>
      <c r="PE4" s="42">
        <f>IF($CO4="P",CB4,(CB4+BA4)/2)</f>
        <v>0</v>
      </c>
      <c r="PF4" s="42">
        <f>IF($CO4="P",CC4,(CC4+BB4)/2)</f>
        <v>0</v>
      </c>
      <c r="PG4" s="42">
        <f>IF($CO4="P",CD4,(CD4+BC4)/2)</f>
        <v>0</v>
      </c>
      <c r="PH4" s="42">
        <f>IF($CO4="P",CE4,(CE4+BD4)/2)</f>
        <v>0</v>
      </c>
      <c r="PI4" s="42">
        <f>IF($CO4="P",CF4,(CF4+BE4)/2)</f>
        <v>0</v>
      </c>
      <c r="PJ4" s="42">
        <f>IF($CO4="P",CG4,(CG4+BF4)/2)</f>
        <v>9.0500000000000007</v>
      </c>
      <c r="PK4" s="42">
        <f>IF($CO4="P",CH4,(CH4+BG4)/2)</f>
        <v>3.25</v>
      </c>
      <c r="PL4" s="42">
        <f>IF($CO4="P",CI4,(CI4+BH4)/2)</f>
        <v>0</v>
      </c>
      <c r="PM4" s="42">
        <f>IF($CO4="P",CJ4,(CJ4+BI4)/2)</f>
        <v>0</v>
      </c>
      <c r="PN4" s="42">
        <f>IF($CO4="P",CK4,(CK4+BJ4)/2)</f>
        <v>9.1</v>
      </c>
      <c r="PO4" s="42">
        <f>IF($CO4="P",CL4,(CL4+BK4)/2)</f>
        <v>2.95</v>
      </c>
      <c r="PP4" s="42">
        <f>IF($CO4="P",CM4,(CM4+BL4)/2)</f>
        <v>0</v>
      </c>
      <c r="PQ4" s="42">
        <f>IF($CO4="P",CN4,(CN4+BM4)/2)</f>
        <v>0</v>
      </c>
      <c r="PR4" s="51" t="s">
        <v>61</v>
      </c>
      <c r="PS4" s="76">
        <f>IF(SUM(OY4,PC4)&gt;0,SUM(OY4,PC4),"")</f>
        <v>6.2</v>
      </c>
      <c r="PT4" s="76">
        <f>IF(SUM(OX4:OY4,PA4:PC4,PE4)-OZ4-PD4&gt;0,SUM(OX4:OY4,PA4:PC4,PE4)-OZ4-PD4,"")</f>
        <v>24.13</v>
      </c>
      <c r="PU4" s="76" t="str">
        <f>IF(SUM(PF4:PG4,PI4)-PH4&gt;0,SUM(PF4:PG4,PI4)-PH4,"")</f>
        <v/>
      </c>
      <c r="PV4" s="76">
        <f>IF(SUM(PK4,PO4)&gt;0,SUM(PK4,PO4),"")</f>
        <v>6.2</v>
      </c>
      <c r="PW4" s="76">
        <f>IF(SUM(PJ4:PK4,PM4:PO4,PQ4)-SUM(PL4,PP4)&gt;0,SUM(PJ4:PK4,PM4:PO4,PQ4)-SUM(PL4,PP4),"")</f>
        <v>24.349999999999998</v>
      </c>
      <c r="PX4" s="76">
        <f>IF(SUM(PT4,PW4)&gt;0,SUM(PT4,PW4),"")</f>
        <v>48.48</v>
      </c>
    </row>
    <row r="5" spans="1:440" x14ac:dyDescent="0.2">
      <c r="A5" s="5">
        <f>IF(AND(F5="P",G5="P"),SUMPRODUCT((F$4:F$6="P")*(G$4:G$6="P")*(E$4:E$6&gt;E5))+1,IF(G5="P",SUMPRODUCT((F$4:F$6="")*(G$4:G$6="P")*(E$4:E$6&gt;E5))+1+SUMPRODUCT((F$4:F$6="P")*(G$4:G$6="P")),""))</f>
        <v>2</v>
      </c>
      <c r="B5" s="6" t="s">
        <v>91</v>
      </c>
      <c r="C5" s="7" t="s">
        <v>5</v>
      </c>
      <c r="D5" s="18">
        <v>2002</v>
      </c>
      <c r="E5" s="14">
        <f>SUM(J5:P5)+SUM(J5:N5)*0.0000001+SUM(J5)*0.0000000000001</f>
        <v>87.900206476690812</v>
      </c>
      <c r="F5" s="3" t="str">
        <f>IF(OR(AND(AN5&gt;=AS$8,AO5&gt;=AS$12,AN5&lt;&gt;"",AM5=""),AND(AQ5&gt;=AS$8,AR5&gt;=AS$12,AQ5&lt;&gt;"",AM5=""),AND(BO5&gt;=BT$8,BP5&gt;=BT$12,BO5&lt;&gt;"",BN5=""),AND(BR5&gt;=BT$8,BS5&gt;=BT$12,BR5&lt;&gt;"",BN5=""),AND(CP5&gt;=CU$8,CQ5&gt;=CU$12,CP5&lt;&gt;"",CO5=""),AND(CS5&gt;=CU$8,CT5&gt;=CU$12,CS5&lt;&gt;""),AND(DR5&gt;=DW$8,DS5&gt;=DW$12,DR5&lt;&gt;""),AND(DU5&gt;=DW$8,DV5&gt;=DW$12,DU5&lt;&gt;""),AND(ER5&gt;=EW$8,ES5&gt;=EW$12,ER5&lt;&gt;""),AND(EU5&gt;=EW$8,EV5&gt;=EW$12,EU5&lt;&gt;""),AND(FR5&gt;=FW$8,FS5&gt;=FW$12,FR5&lt;&gt;""),AND(FU5&gt;=FW$8,FV5&gt;=FW$12,FU5&lt;&gt;""),AND(GR5&gt;=GW$8,GS5&gt;=GW$12,GR5&lt;&gt;""),AND(GU5&gt;=GW$8,GV5&gt;=GW$12,GU5&lt;&gt;""),AND(HR5&gt;=HW$8,HS5&gt;=HW$12,HR5&lt;&gt;""),AND(HU5&gt;=HW$8,HV5&gt;=HW$12,HU5&lt;&gt;""),AND(IR5&gt;=IW$8,IS5&gt;=IW$12,IR5&lt;&gt;""),AND(IU5&gt;=IW$8,IV5&gt;=IW$12,IU5&lt;&gt;""),AND(JR5&gt;=JW$8,JS5&gt;=JW$12,JR5&lt;&gt;""),AND(JU5&gt;=JW$8,JV5&gt;=JW$12,JU5&lt;&gt;""),AND(KR5&gt;=KW$8,KS5&gt;=KW$12,KR5&lt;&gt;""),AND(KU5&gt;=KW$8,KV5&gt;=KW$12,KU5&lt;&gt;""),AND(LR5&gt;=LW$8,LS5&gt;=LW$12,LR5&lt;&gt;""),AND(LU5&gt;=LW$8,LV5&gt;=LW$12,LU5&lt;&gt;""),AND(MR5&gt;=MW$8,MS5&gt;=MW$12,MR5&lt;&gt;""),AND(MU5&gt;=MW$8,MV5&gt;=MW$12,MU5&lt;&gt;""),AND(NR5&gt;=NW$8,NS5&gt;=NW$12,NR5&lt;&gt;""),AND(NU5&gt;=NW$8,NV5&gt;=NW$12,NU5&lt;&gt;""),AND(OR5&gt;=OW$8,OS5&gt;=OW$12,OR5&lt;&gt;""),AND(OU5&gt;=OW$8,OV5&gt;=OW$12,OU5&lt;&gt;"")),"P","")</f>
        <v>P</v>
      </c>
      <c r="G5" s="3" t="str">
        <f>IF(OR(AND(AO5&gt;=AS$12,AO5&lt;&gt;"",AM5=""),AND(AR5&gt;=AS$12,AR5&lt;&gt;"",AM5=""),AND(BP5&gt;=BT$12,BP5&lt;&gt;"",BN5=""),AND(BS5&gt;=BT$12,BS5&lt;&gt;"",BN5=""),AND(CQ5&gt;=CU$12,CQ5&lt;&gt;"",CO5=""),AND(CT5&gt;=CU$12,CT5&lt;&gt;"",CO5=""),AND(DS5&gt;=DW$12,DS5&lt;&gt;""),AND(DV5&gt;=DW$12,DV5&lt;&gt;""),AND(ES5&gt;=EW$12,ES5&lt;&gt;""),AND(EV5&gt;=EW$12,EV5&lt;&gt;""),AND(FS5&gt;=FW$12,FS5&lt;&gt;""),AND(FV5&gt;=FW$12,FV5&lt;&gt;""),AND(GS5&gt;=GW$12,GS5&lt;&gt;""),AND(GV5&gt;=GW$12,GV5&lt;&gt;""),AND(HS5&gt;=HW$12,HS5&lt;&gt;""),AND(HV5&gt;=HW$12,HV5&lt;&gt;""),AND(IS5&gt;=IW$12,IS5&lt;&gt;""),AND(IV5&gt;=IW$12,IV5&lt;&gt;""),AND(JS5&gt;=JW$12,JS5&lt;&gt;""),AND(JV5&gt;=JW$12,JV5&lt;&gt;""),AND(KS5&gt;=KW$12,KS5&lt;&gt;""),AND(KV5&gt;=KW$12,KV5&lt;&gt;""),AND(LS5&gt;=LW$12,LS5&lt;&gt;""),AND(LV5&gt;=LW$12,LV5&lt;&gt;""),AND(MS5&gt;=MW$12,MS5&lt;&gt;""),AND(MV5&gt;=MW$12,MV5&lt;&gt;""),AND(NS5&gt;=NW$12,NS5&lt;&gt;""),AND(NV5&gt;=NW$12,NV5&lt;&gt;""),AND(OS5&gt;=OW$12,OS5&lt;&gt;""),AND(OV5&gt;=OW$12,OV5&lt;&gt;"")),"P","")</f>
        <v>P</v>
      </c>
      <c r="H5" s="70" t="str">
        <f>IF(AND(G5="P",F5=""),"No DD",IF(OR(AND(AN5&gt;=AS$11,AO5&gt;=AS$15,AN5&lt;&gt;"",AM5=""),AND(AQ5&gt;=AS$11,AR5&gt;=AS$15,AQ5&lt;&gt;"",AM5=""),AND(BO5&gt;=BT$11,BP5&gt;=BT$15,BO5&lt;&gt;"",BN5=""),AND(BR5&gt;=BT$11,BS5&gt;=BT$15,BR5&lt;&gt;"",BN5=""),AND(CP5&gt;=CU$11,CQ5&gt;=CU$15,CP5&lt;&gt;"",CO5=""),AND(CS5&gt;=CU$11,CT5&gt;=CU$15,CS5&lt;&gt;""),AND(DR5&gt;=DW$11,DS5&gt;=DW$15,DR5&lt;&gt;""),AND(DU5&gt;=DW$11,DV5&gt;=DW$15,DU5&lt;&gt;""),AND(ER5&gt;=EW$11,ES5&gt;=EW$15,ER5&lt;&gt;""),AND(EU5&gt;=EW$11,EV5&gt;=EW$15,EU5&lt;&gt;""),AND(FR5&gt;=FW$11,FS5&gt;=FW$15,FR5&lt;&gt;""),AND(FU5&gt;=FW$11,FV5&gt;=FW$15,FU5&lt;&gt;""),AND(GR5&gt;=GW$11,GS5&gt;=GW$15,GR5&lt;&gt;""),AND(GU5&gt;=GW$11,GV5&gt;=GW$15,GU5&lt;&gt;""),AND(HR5&gt;=HW$11,HS5&gt;=HW$15,HR5&lt;&gt;""),AND(HU5&gt;=HW$11,HV5&gt;=HW$15,HU5&lt;&gt;""),AND(IR5&gt;=IW$11,IS5&gt;=IW$15,IR5&lt;&gt;""),AND(IU5&gt;=IW$11,IV5&gt;=IW$15,IU5&lt;&gt;""),AND(JR5&gt;=JW$11,JS5&gt;=JW$15,JR5&lt;&gt;""),AND(JU5&gt;=JW$11,JV5&gt;=JW$15,JU5&lt;&gt;""),AND(KR5&gt;=KW$11,KS5&gt;=KW$15,KR5&lt;&gt;""),AND(KU5&gt;=KW$11,KV5&gt;=KW$15,KU5&lt;&gt;""),AND(LR5&gt;=LW$11,LS5&gt;=LW$15,LR5&lt;&gt;""),AND(LU5&gt;=LW$11,LV5&gt;=LW$15,LU5&lt;&gt;""),AND(MR5&gt;=MW$11,MS5&gt;=MW$15,MR5&lt;&gt;""),AND(MU5&gt;=MW$11,MV5&gt;=MW$15,MU5&lt;&gt;""),AND(NR5&gt;=NW$11,NS5&gt;=NW$15,NR5&lt;&gt;""),AND(NU5&gt;=NW$11,NV5&gt;=NW$15,NU5&lt;&gt;""),AND(OR5&gt;=OW$11,OS5&gt;=OW$15,OR5&lt;&gt;""),AND(OU5&gt;=OW$11,OV5&gt;=OW$15,OU5&lt;&gt;"")),"Merit",IF(OR(AND(AN5&gt;=AS$10,AO5&gt;=AS$14,AN5&lt;&gt;"",AM5=""),AND(AQ5&gt;=AS$10,AR5&gt;=AS$14,AQ5&lt;&gt;"",AM5=""),AND(BO5&gt;=BT$10,BP5&gt;=BT$14,BO5&lt;&gt;"",BN5=""),AND(BR5&gt;=BT$10,BS5&gt;=BT$14,BR5&lt;&gt;"",BN5=""),AND(CP5&gt;=CU$10,CQ5&gt;=CU$14,CP5&lt;&gt;"",CO5=""),AND(CS5&gt;=CU$10,CT5&gt;=CU$14,CS5&lt;&gt;""),AND(DR5&gt;=DW$10,DS5&gt;=DW$14,DR5&lt;&gt;""),AND(DU5&gt;=DW$10,DV5&gt;=DW$14,DU5&lt;&gt;""),AND(ER5&gt;=EW$10,ES5&gt;=EW$14,ER5&lt;&gt;""),AND(EU5&gt;=EW$10,EV5&gt;=EW$14,EU5&lt;&gt;""),AND(FR5&gt;=FW$10,FS5&gt;=FW$14,FR5&lt;&gt;""),AND(FU5&gt;=FW$10,FV5&gt;=FW$14,FU5&lt;&gt;""),AND(GR5&gt;=GW$10,GS5&gt;=GW$14,GR5&lt;&gt;""),AND(GU5&gt;=GW$10,GV5&gt;=GW$14,GU5&lt;&gt;""),AND(HR5&gt;=HW$10,HS5&gt;=HW$14,HR5&lt;&gt;""),AND(HU5&gt;=HW$10,HV5&gt;=HW$14,HU5&lt;&gt;""),AND(IR5&gt;=IW$10,IS5&gt;=IW$14,IR5&lt;&gt;""),AND(IU5&gt;=IW$10,IV5&gt;=IW$14,IU5&lt;&gt;""),AND(JR5&gt;=JW$10,JS5&gt;=JW$14,JR5&lt;&gt;""),AND(JU5&gt;=JW$10,JV5&gt;=JW$14,JU5&lt;&gt;""),AND(KR5&gt;=KW$10,KS5&gt;=KW$14,KR5&lt;&gt;""),AND(KU5&gt;=KW$10,KV5&gt;=KW$14,KU5&lt;&gt;""),AND(LR5&gt;=LW$10,LS5&gt;=LW$14,LR5&lt;&gt;""),AND(LU5&gt;=LW$10,LV5&gt;=LW$14,LU5&lt;&gt;""),AND(MR5&gt;=MW$10,MS5&gt;=MW$14,MR5&lt;&gt;""),AND(MU5&gt;=MW$10,MV5&gt;=MW$14,MU5&lt;&gt;""),AND(NR5&gt;=NW$10,NS5&gt;=NW$14,NR5&lt;&gt;""),AND(NU5&gt;=NW$10,NV5&gt;=NW$14,NU5&lt;&gt;""),AND(OR5&gt;=OW$10,OS5&gt;=OW$14,OR5&lt;&gt;""),AND(OU5&gt;=OW$10,OV5&gt;=OW$14,OU5&lt;&gt;"")),"Excellence",IF(I5="P","Worlds Team",IF(F5="P","National Team","")))))</f>
        <v>Worlds Team</v>
      </c>
      <c r="I5" s="3" t="str">
        <f>IF(OR(AND(AN5&gt;=AS$9,AO5&gt;=AS$13,AN5&lt;&gt;"",AM5=""),AND(AQ5&gt;=AS$9,AR5&gt;=AS$13,AQ5&lt;&gt;"",AM5=""),AND(BO5&gt;=BT$9,BP5&gt;=BT$13,BO5&lt;&gt;"",BN5=""),AND(BR5&gt;=BT$9,BS5&gt;=BT$13,BR5&lt;&gt;"",BN5=""),AND(CP5&gt;=CU$9,CQ5&gt;=CU$13,CP5&lt;&gt;"",CO5=""),AND(CS5&gt;=CU$9,CT5&gt;=CU$13,CS5&lt;&gt;""),AND(DR5&gt;=DW$9,DS5&gt;=DW$13,DR5&lt;&gt;""),AND(DU5&gt;=DW$9,DV5&gt;=DW$13,DU5&lt;&gt;""),AND(ER5&gt;=EW$9,ES5&gt;=EW$13,ER5&lt;&gt;""),AND(EU5&gt;=EW$9,EV5&gt;=EW$13,EU5&lt;&gt;""),AND(FR5&gt;=FW$9,FS5&gt;=FW$13,FR5&lt;&gt;""),AND(FU5&gt;=FW$9,FV5&gt;=FW$13,FU5&lt;&gt;""),AND(GR5&gt;=GW$9,GS5&gt;=GW$13,GR5&lt;&gt;""),AND(GU5&gt;=GW$9,GV5&gt;=GW$13,GU5&lt;&gt;""),AND(HR5&gt;=HW$9,HS5&gt;=HW$13,HR5&lt;&gt;""),AND(HU5&gt;=HW$9,HV5&gt;=HW$13,HU5&lt;&gt;""),AND(IR5&gt;=IW$9,IS5&gt;=IW$13,IR5&lt;&gt;""),AND(IU5&gt;=IW$9,IV5&gt;=IW$13,IU5&lt;&gt;""),AND(JR5&gt;=JW$9,JS5&gt;=JW$13,JR5&lt;&gt;""),AND(JU5&gt;=JW$9,JV5&gt;=JW$13,JU5&lt;&gt;""),AND(KR5&gt;=KW$9,KS5&gt;=KW$13,KR5&lt;&gt;""),AND(KU5&gt;=KW$9,KV5&gt;=KW$13,KU5&lt;&gt;""),AND(LR5&gt;=LW$9,LS5&gt;=LW$13,LR5&lt;&gt;""),AND(LU5&gt;=LW$9,LV5&gt;=LW$13,LU5&lt;&gt;""),AND(MR5&gt;=MW$9,MS5&gt;=MW$13,MR5&lt;&gt;""),AND(MU5&gt;=MW$9,MV5&gt;=MW$13,MU5&lt;&gt;""),AND(NR5&gt;=NW$9,NS5&gt;=NW$13,NR5&lt;&gt;""),AND(NU5&gt;=NW$9,NV5&gt;=NW$13,NU5&lt;&gt;""),AND(OR5&gt;=OW$9,OS5&gt;=OW$13,OR5&lt;&gt;""),AND(OU5&gt;=OW$9,OV5&gt;=OW$13,OU5&lt;&gt;"")),"P","")</f>
        <v>P</v>
      </c>
      <c r="J5" s="13">
        <f>IF(COUNT(AO5,BP5,CQ5)&gt;0,LARGE((AO5,BP5,CQ5),1),0)</f>
        <v>41.300000000000004</v>
      </c>
      <c r="K5" s="13" t="str">
        <f>IF(J5=0,"",IF(J5=CQ5,$BU$1,IF(J5=BP5,$AT$1,IF(J5=AO5,$S$1,""))))</f>
        <v>2022 Elite Canada</v>
      </c>
      <c r="L5" s="13">
        <f>IF(COUNT(AO5,BP5,CQ5)&gt;1,LARGE((AO5,BP5,CQ5),2),0)</f>
        <v>2.0000000000000001E-4</v>
      </c>
      <c r="M5" s="13" t="str">
        <f>IF(L5=0,"",IF(L5=CQ5,$BU$1,IF(L5=BP5,$AT$1,IF(L5=AO5,$S$1,""))))</f>
        <v>2021 Elite Canada</v>
      </c>
      <c r="N5" s="13">
        <f>IF(MAX(AR5,BS5,CT5)&gt;0,MAX(AR5,BS5,CT5),0)</f>
        <v>23.466666666666669</v>
      </c>
      <c r="O5" s="13" t="str">
        <f>IF(N5=0,"",IF(N5=CT5,$BU$1,IF(N5=BS5,$AT$1,IF(N5=AR5,$S$1,""))))</f>
        <v>2022 Elite Canada</v>
      </c>
      <c r="P5" s="13">
        <f>IF(MAX(CV5:CW5)&gt;0,MAX(CV5:CW5),"")</f>
        <v>23.133333333333333</v>
      </c>
      <c r="Q5" s="16" t="str">
        <f>IF(P5="","",IF(P5=CV5,"("&amp;CV$2&amp;")",IF(P5=CW5,"("&amp;CW$2&amp;")")))</f>
        <v>(Final)</v>
      </c>
      <c r="R5" s="13" t="str">
        <f>IF(P5="","",IF(P5=CV5,IF(P5+IF(L5="",0,L5)=OS5,$NX$1,IF(P5+IF(L5="",0,L5)=NS5,$MX$1,IF(P5+IF(L5="",0,L5)=MS5,$LX$1,IF(P5+IF(L5="",0,L5)=LS5,$KX$1,IF(P5+IF(L5="",0,L5)=KS5,$JX$1,IF(P5+IF(L5="",0,L5)=JS5,$IX$1,IF(P5+IF(L5="",0,L5)=IS5,$HX$1,IF(P5+IF(L5="",0,L5)=HS5,$GX$1,IF(P5+IF(L5="",0,L5)=GS5,$FX$1,IF(P5+IF(L5="",0,L5)=FS5,$EX$1,IF(P5+IF(L5="",0,L5)=ES5,$DX$1,IF(P5+IF(L5="",0,L5)=DS5,$CX$1)))))))))))),IF(P5=CW5,IF(P5+IF(N5="",0,N5)=OV5,$NX$1,IF(P5+IF(N5="",0,N5)=NV5,$MX$1,IF(P5+IF(N5="",0,N5)=MV5,$LX$1,IF(P5+IF(N5="",0,N5)=LV5,$KX$1,IF(P5+IF(N5="",0,N5)=KV5,$JX$1,IF(P5+IF(N5="",0,N5)=JV5,$IX$1,IF(P5+IF(N5="",0,N5)=IV5,$HX$1,IF(P5+IF(N5="",0,N5)=HV5,$GX$1,IF(P5+IF(N5="",0,N5)=GV5,$FX$1,IF(P5+IF(N5="",0,N5)=FV5,$EX$1,IF(P5+IF(N5="",0,N5)=EV5,$DX$1,IF(P5+IF(N5="",0,N5)=DV5,$CX$1)))))))))))))))</f>
        <v>2022 World Games Technical Trial #2 (May 15)</v>
      </c>
      <c r="S5" s="27">
        <v>1E-4</v>
      </c>
      <c r="T5" s="27">
        <v>1E-4</v>
      </c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51"/>
      <c r="AN5" s="76">
        <f>IF(SUM(T5,X5)&gt;0,SUM(T5,X5),"")</f>
        <v>1E-4</v>
      </c>
      <c r="AO5" s="76">
        <f>IF(SUM(S5:T5,V5:X5,Z5)-U5-Y5&gt;0,SUM(S5:T5,V5:X5,Z5)-U5-Y5,"")</f>
        <v>2.0000000000000001E-4</v>
      </c>
      <c r="AP5" s="76" t="str">
        <f>IF(SUM(AA5:AB5,AD5)-AC5&gt;0,SUM(AA5:AB5,AD5)-AC5,"")</f>
        <v/>
      </c>
      <c r="AQ5" s="76" t="str">
        <f>IF(SUM(AF5,AJ5)&gt;0,SUM(AF5,AJ5),"")</f>
        <v/>
      </c>
      <c r="AR5" s="76" t="str">
        <f>IF(SUM(AE5:AF5,AH5:AJ5,AL5)-SUM(AG5,AK5)&gt;0,SUM(AE5:AF5,AH5:AJ5,AL5)-SUM(AG5,AK5),"")</f>
        <v/>
      </c>
      <c r="AS5" s="76">
        <f>IF(SUM(AO5,AR5)&gt;0,SUM(AO5,AR5),"")</f>
        <v>2.0000000000000001E-4</v>
      </c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52"/>
      <c r="BO5" s="16" t="str">
        <f>IF(SUM(AU5,AY5)&gt;0,SUM(AU5,AY5),"")</f>
        <v/>
      </c>
      <c r="BP5" s="16" t="str">
        <f>IF(SUM(AT5:AU5,AW5:AY5,BA5)-AV5-AZ5&gt;0,SUM(AT5:AU5,AW5:AY5,BA5)-AV5-AZ5,"")</f>
        <v/>
      </c>
      <c r="BQ5" s="16" t="str">
        <f>IF(SUM(BB5:BC5,BE5)-BD5&gt;0,SUM(BB5:BC5,BE5)-BD5,"")</f>
        <v/>
      </c>
      <c r="BR5" s="16" t="str">
        <f>IF(SUM(BG5,BK5)&gt;0,SUM(BG5,BK5),"")</f>
        <v/>
      </c>
      <c r="BS5" s="16" t="str">
        <f>IF(SUM(BF5:BG5,BI5:BK5,BM5)-SUM(BH5,BL5)&gt;0,SUM(BF5:BG5,BI5:BK5,BM5)-SUM(BH5,BL5),"")</f>
        <v/>
      </c>
      <c r="BT5" s="16" t="str">
        <f>IF(SUM(BP5,BS5)&gt;0,SUM(BP5,BS5),"")</f>
        <v/>
      </c>
      <c r="BU5" s="27">
        <v>16.666666666666668</v>
      </c>
      <c r="BV5" s="27">
        <v>4.4000000000000004</v>
      </c>
      <c r="BW5" s="27">
        <v>0</v>
      </c>
      <c r="BX5" s="27">
        <v>0</v>
      </c>
      <c r="BY5" s="27">
        <v>15.333333333333332</v>
      </c>
      <c r="BZ5" s="27">
        <v>4.9000000000000004</v>
      </c>
      <c r="CA5" s="27">
        <v>0</v>
      </c>
      <c r="CB5" s="27">
        <v>0</v>
      </c>
      <c r="CC5" s="27"/>
      <c r="CD5" s="27"/>
      <c r="CE5" s="27"/>
      <c r="CF5" s="27"/>
      <c r="CG5" s="27">
        <v>8.7999999999999989</v>
      </c>
      <c r="CH5" s="27">
        <v>3.45</v>
      </c>
      <c r="CI5" s="27">
        <v>0</v>
      </c>
      <c r="CJ5" s="27">
        <v>0</v>
      </c>
      <c r="CK5" s="27">
        <v>8.3666666666666671</v>
      </c>
      <c r="CL5" s="27">
        <v>2.85</v>
      </c>
      <c r="CM5" s="27">
        <v>0</v>
      </c>
      <c r="CN5" s="27">
        <v>0</v>
      </c>
      <c r="CO5" s="51" t="s">
        <v>61</v>
      </c>
      <c r="CP5" s="76">
        <f>IF(SUM(BV5,BZ5)&gt;0,SUM(BV5,BZ5),"")</f>
        <v>9.3000000000000007</v>
      </c>
      <c r="CQ5" s="76">
        <f>IF(SUM(BU5:BV5,BX5:BZ5,CB5)-BW5-CA5&gt;0,SUM(BU5:BV5,BX5:BZ5,CB5)-BW5-CA5,"")</f>
        <v>41.300000000000004</v>
      </c>
      <c r="CR5" s="76" t="str">
        <f>IF(SUM(CC5:CD5,CF5)-CE5&gt;0,SUM(CC5:CD5,CF5)-CE5,"")</f>
        <v/>
      </c>
      <c r="CS5" s="76">
        <f>IF(SUM(CH5,CL5)&gt;0,SUM(CH5,CL5),"")</f>
        <v>6.3000000000000007</v>
      </c>
      <c r="CT5" s="76">
        <f>IF(SUM(CG5:CH5,CJ5:CL5,CN5)-SUM(CI5,CM5)&gt;0,SUM(CG5:CH5,CJ5:CL5,CN5)-SUM(CI5,CM5),"")</f>
        <v>23.466666666666669</v>
      </c>
      <c r="CU5" s="76">
        <f>IF(SUM(CQ5,CT5)&gt;0,SUM(CQ5,CT5),"")</f>
        <v>64.76666666666668</v>
      </c>
      <c r="CV5" s="87" t="str">
        <f>IF(L5&gt;=0.001,IF(MAX(DS5,ES5,FS5,GS5,HS5,IS5,JS5,KS5,LS5,MS5,NS5,OS5)-IF(L5="",0,L5)&gt;0.001,MAX(DS5,ES5,FS5,GS5,HS5,IS5,JS5,KS5,LS5,MS5,NS5,OS5)-IF(L5="",0,L5),""),"")</f>
        <v/>
      </c>
      <c r="CW5" s="87">
        <f>IF(N5&gt;=0.001,IF(MAX(DV5,EV5,FV5,GV5,HV5,IV5,JV5,KV5,LV5,MV5,NV5,OV5)-IF(N5="",0,N5)&gt;0.001,MAX(DV5,EV5,FV5,GV5,HV5,IV5,JV5,KV5,LV5,MV5,NV5,OV5)-IF(N5="",0,N5),""),"")</f>
        <v>23.133333333333333</v>
      </c>
      <c r="CX5" s="25"/>
      <c r="CY5" s="25">
        <v>2.0000000000000001E-4</v>
      </c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76">
        <f>IF(SUM(CY5,DC5)&gt;0,SUM(CY5,DC5),"")</f>
        <v>2.0000000000000001E-4</v>
      </c>
      <c r="DS5" s="76">
        <f>IF(SUM(CX5:CY5,DA5:DC5,DE5)-CZ5-DD5&gt;0,SUM(CX5:CY5,DA5:DC5,DE5)-CZ5-DD5,"")</f>
        <v>2.0000000000000001E-4</v>
      </c>
      <c r="DT5" s="76" t="str">
        <f>IF(SUM(DF5:DG5,DI5)-DH5&gt;0,SUM(DF5:DG5,DI5)-DH5,"")</f>
        <v/>
      </c>
      <c r="DU5" s="76" t="str">
        <f>IF(SUM(DK5,DO5)&gt;0,SUM(DK5,DO5),"")</f>
        <v/>
      </c>
      <c r="DV5" s="76" t="str">
        <f>IF(SUM(DJ5:DK5,DM5:DO5,DQ5)-SUM(DL5,DP5)&gt;0,SUM(DJ5:DK5,DM5:DO5,DQ5)-SUM(DL5,DP5),"")</f>
        <v/>
      </c>
      <c r="DW5" s="76">
        <f>IF(SUM(DS5,DV5)&gt;0,SUM(DS5,DV5),"")</f>
        <v>2.0000000000000001E-4</v>
      </c>
      <c r="DX5" s="26">
        <v>17.2</v>
      </c>
      <c r="DY5" s="26">
        <v>5.5</v>
      </c>
      <c r="DZ5" s="26">
        <v>0</v>
      </c>
      <c r="EA5" s="26">
        <v>0</v>
      </c>
      <c r="EB5" s="26">
        <v>16.899999999999999</v>
      </c>
      <c r="EC5" s="26">
        <v>5.3</v>
      </c>
      <c r="ED5" s="26">
        <v>0</v>
      </c>
      <c r="EE5" s="26">
        <v>0</v>
      </c>
      <c r="EF5" s="26"/>
      <c r="EG5" s="26"/>
      <c r="EH5" s="26"/>
      <c r="EI5" s="26"/>
      <c r="EJ5" s="26">
        <v>17.2</v>
      </c>
      <c r="EK5" s="26">
        <v>5.5</v>
      </c>
      <c r="EL5" s="26">
        <v>0</v>
      </c>
      <c r="EM5" s="26">
        <v>0</v>
      </c>
      <c r="EN5" s="26">
        <v>16.899999999999999</v>
      </c>
      <c r="EO5" s="26">
        <v>5.3</v>
      </c>
      <c r="EP5" s="26">
        <v>0</v>
      </c>
      <c r="EQ5" s="26">
        <v>0</v>
      </c>
      <c r="ER5" s="16">
        <f>IF(SUM(DY5,EC5)&gt;0,SUM(DY5,EC5),"")</f>
        <v>10.8</v>
      </c>
      <c r="ES5" s="16">
        <f>IF(SUM(DX5:DY5,EA5:EC5,EE5)-DZ5-ED5&gt;0,SUM(DX5:DY5,EA5:EC5,EE5)-DZ5-ED5,"")</f>
        <v>44.899999999999991</v>
      </c>
      <c r="ET5" s="16" t="str">
        <f>IF(SUM(EF5:EG5,EI5)-EH5&gt;0,SUM(EF5:EG5,EI5)-EH5,"")</f>
        <v/>
      </c>
      <c r="EU5" s="16">
        <f>IF(SUM(EK5,EO5)&gt;0,SUM(EK5,EO5),"")</f>
        <v>10.8</v>
      </c>
      <c r="EV5" s="16">
        <f>IF(SUM(EJ5:EK5,EM5:EO5,EQ5)-SUM(EL5,EP5)&gt;0,SUM(EJ5:EK5,EM5:EO5,EQ5)-SUM(EL5,EP5),"")</f>
        <v>44.899999999999991</v>
      </c>
      <c r="EW5" s="16">
        <f>IF(SUM(ES5,EV5)&gt;0,SUM(ES5,EV5),"")</f>
        <v>89.799999999999983</v>
      </c>
      <c r="EX5" s="25">
        <v>16.8</v>
      </c>
      <c r="EY5" s="25">
        <v>5.9</v>
      </c>
      <c r="EZ5" s="25">
        <v>0</v>
      </c>
      <c r="FA5" s="25">
        <v>0</v>
      </c>
      <c r="FB5" s="25">
        <v>17.2</v>
      </c>
      <c r="FC5" s="25">
        <v>6.1</v>
      </c>
      <c r="FD5" s="25">
        <v>0</v>
      </c>
      <c r="FE5" s="25">
        <v>0</v>
      </c>
      <c r="FF5" s="25"/>
      <c r="FG5" s="25"/>
      <c r="FH5" s="25"/>
      <c r="FI5" s="25"/>
      <c r="FJ5" s="25">
        <v>17.3</v>
      </c>
      <c r="FK5" s="25">
        <v>6.1</v>
      </c>
      <c r="FL5" s="25">
        <v>0</v>
      </c>
      <c r="FM5" s="25">
        <v>0</v>
      </c>
      <c r="FN5" s="25">
        <v>17.3</v>
      </c>
      <c r="FO5" s="25">
        <v>5.9</v>
      </c>
      <c r="FP5" s="25">
        <v>0</v>
      </c>
      <c r="FQ5" s="25">
        <v>0</v>
      </c>
      <c r="FR5" s="76">
        <f>IF(SUM(EY5,FC5)&gt;0,SUM(EY5,FC5),"")</f>
        <v>12</v>
      </c>
      <c r="FS5" s="76">
        <f>IF(SUM(EX5:EY5,FA5:FC5,FE5)-EZ5-FD5&gt;0,SUM(EX5:EY5,FA5:FC5,FE5)-EZ5-FD5,"")</f>
        <v>46.000000000000007</v>
      </c>
      <c r="FT5" s="76" t="str">
        <f>IF(SUM(FF5:FG5,FI5)-FH5&gt;0,SUM(FF5:FG5,FI5)-FH5,"")</f>
        <v/>
      </c>
      <c r="FU5" s="76">
        <f>IF(SUM(FK5,FO5)&gt;0,SUM(FK5,FO5),"")</f>
        <v>12</v>
      </c>
      <c r="FV5" s="76">
        <f>IF(SUM(FJ5:FK5,FM5:FO5,FQ5)-SUM(FL5,FP5)&gt;0,SUM(FJ5:FK5,FM5:FO5,FQ5)-SUM(FL5,FP5),"")</f>
        <v>46.6</v>
      </c>
      <c r="FW5" s="76">
        <f>IF(SUM(FS5,FV5)&gt;0,SUM(FS5,FV5),"")</f>
        <v>92.600000000000009</v>
      </c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16" t="str">
        <f>IF(SUM(FY5,GC5)&gt;0,SUM(FY5,GC5),"")</f>
        <v/>
      </c>
      <c r="GS5" s="16" t="str">
        <f>IF(SUM(FX5:FY5,GA5:GC5,GE5)-FZ5-GD5&gt;0,SUM(FX5:FY5,GA5:GC5,GE5)-FZ5-GD5,"")</f>
        <v/>
      </c>
      <c r="GT5" s="16" t="str">
        <f>IF(SUM(GF5:GG5,GI5)-GH5&gt;0,SUM(GF5:GG5,GI5)-GH5,"")</f>
        <v/>
      </c>
      <c r="GU5" s="16" t="str">
        <f>IF(SUM(GK5,GO5)&gt;0,SUM(GK5,GO5),"")</f>
        <v/>
      </c>
      <c r="GV5" s="16" t="str">
        <f>IF(SUM(GJ5:GK5,GM5:GO5,GQ5)-SUM(GL5,GP5)&gt;0,SUM(GJ5:GK5,GM5:GO5,GQ5)-SUM(GL5,GP5),"")</f>
        <v/>
      </c>
      <c r="GW5" s="16" t="str">
        <f>IF(SUM(GS5,GV5)&gt;0,SUM(GS5,GV5),"")</f>
        <v/>
      </c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25"/>
      <c r="HR5" s="76" t="str">
        <f>IF(SUM(GY5,HC5)&gt;0,SUM(GY5,HC5),"")</f>
        <v/>
      </c>
      <c r="HS5" s="76" t="str">
        <f>IF(SUM(GX5:GY5,HA5:HC5,HE5)-GZ5-HD5&gt;0,SUM(GX5:GY5,HA5:HC5,HE5)-GZ5-HD5,"")</f>
        <v/>
      </c>
      <c r="HT5" s="76" t="str">
        <f>IF(SUM(HF5:HG5,HI5)-HH5&gt;0,SUM(HF5:HG5,HI5)-HH5,"")</f>
        <v/>
      </c>
      <c r="HU5" s="76" t="str">
        <f>IF(SUM(HK5,HO5)&gt;0,SUM(HK5,HO5),"")</f>
        <v/>
      </c>
      <c r="HV5" s="76" t="str">
        <f>IF(SUM(HJ5:HK5,HM5:HO5,HQ5)-SUM(HL5,HP5)&gt;0,SUM(HJ5:HK5,HM5:HO5,HQ5)-SUM(HL5,HP5),"")</f>
        <v/>
      </c>
      <c r="HW5" s="76" t="str">
        <f>IF(SUM(HS5,HV5)&gt;0,SUM(HS5,HV5),"")</f>
        <v/>
      </c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16" t="str">
        <f>IF(SUM(HY5,IC5)&gt;0,SUM(HY5,IC5),"")</f>
        <v/>
      </c>
      <c r="IS5" s="16" t="str">
        <f>IF(SUM(HX5:HY5,IA5:IC5,IE5)-HZ5-ID5&gt;0,SUM(HX5:HY5,IA5:IC5,IE5)-HZ5-ID5,"")</f>
        <v/>
      </c>
      <c r="IT5" s="16" t="str">
        <f>IF(SUM(IF5:IG5,II5)-IH5&gt;0,SUM(IF5:IG5,II5)-IH5,"")</f>
        <v/>
      </c>
      <c r="IU5" s="16" t="str">
        <f>IF(SUM(IK5,IO5)&gt;0,SUM(IK5,IO5),"")</f>
        <v/>
      </c>
      <c r="IV5" s="16" t="str">
        <f>IF(SUM(IJ5:IK5,IM5:IO5,IQ5)-SUM(IL5,IP5)&gt;0,SUM(IJ5:IK5,IM5:IO5,IQ5)-SUM(IL5,IP5),"")</f>
        <v/>
      </c>
      <c r="IW5" s="16" t="str">
        <f>IF(SUM(IS5,IV5)&gt;0,SUM(IS5,IV5),"")</f>
        <v/>
      </c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76" t="str">
        <f>IF(SUM(IY5,JC5)&gt;0,SUM(IY5,JC5),"")</f>
        <v/>
      </c>
      <c r="JS5" s="76" t="str">
        <f>IF(SUM(IX5:IY5,JA5:JC5,JE5)-IZ5-JD5&gt;0,SUM(IX5:IY5,JA5:JC5,JE5)-IZ5-JD5,"")</f>
        <v/>
      </c>
      <c r="JT5" s="76" t="str">
        <f>IF(SUM(JF5:JG5,JI5)-JH5&gt;0,SUM(JF5:JG5,JI5)-JH5,"")</f>
        <v/>
      </c>
      <c r="JU5" s="76" t="str">
        <f>IF(SUM(JK5,JO5)&gt;0,SUM(JK5,JO5),"")</f>
        <v/>
      </c>
      <c r="JV5" s="76" t="str">
        <f>IF(SUM(JJ5:JK5,JM5:JO5,JQ5)-SUM(JL5,JP5)&gt;0,SUM(JJ5:JK5,JM5:JO5,JQ5)-SUM(JL5,JP5),"")</f>
        <v/>
      </c>
      <c r="JW5" s="76" t="str">
        <f>IF(SUM(JS5,JV5)&gt;0,SUM(JS5,JV5),"")</f>
        <v/>
      </c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16" t="str">
        <f>IF(SUM(JY5,KC5)&gt;0,SUM(JY5,KC5),"")</f>
        <v/>
      </c>
      <c r="KS5" s="16" t="str">
        <f>IF(SUM(JX5:JY5,KA5:KC5,KE5)-JZ5-KD5&gt;0,SUM(JX5:JY5,KA5:KC5,KE5)-JZ5-KD5,"")</f>
        <v/>
      </c>
      <c r="KT5" s="16" t="str">
        <f>IF(SUM(KF5:KG5,KI5)-KH5&gt;0,SUM(KF5:KG5,KI5)-KH5,"")</f>
        <v/>
      </c>
      <c r="KU5" s="16" t="str">
        <f>IF(SUM(KK5,KO5)&gt;0,SUM(KK5,KO5),"")</f>
        <v/>
      </c>
      <c r="KV5" s="16" t="str">
        <f>IF(SUM(KJ5:KK5,KM5:KO5,KQ5)-SUM(KL5,KP5)&gt;0,SUM(KJ5:KK5,KM5:KO5,KQ5)-SUM(KL5,KP5),"")</f>
        <v/>
      </c>
      <c r="KW5" s="16" t="str">
        <f>IF(SUM(KS5,KV5)&gt;0,SUM(KS5,KV5),"")</f>
        <v/>
      </c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76" t="str">
        <f>IF(SUM(KY5,LC5)&gt;0,SUM(KY5,LC5),"")</f>
        <v/>
      </c>
      <c r="LS5" s="76" t="str">
        <f>IF(SUM(KX5:KY5,LA5:LC5,LE5)-KZ5-LD5&gt;0,SUM(KX5:KY5,LA5:LC5,LE5)-KZ5-LD5,"")</f>
        <v/>
      </c>
      <c r="LT5" s="76" t="str">
        <f>IF(SUM(LF5:LG5,LI5)-LH5&gt;0,SUM(LF5:LG5,LI5)-LH5,"")</f>
        <v/>
      </c>
      <c r="LU5" s="76" t="str">
        <f>IF(SUM(LK5,LO5)&gt;0,SUM(LK5,LO5),"")</f>
        <v/>
      </c>
      <c r="LV5" s="76" t="str">
        <f>IF(SUM(LJ5:LK5,LM5:LO5,LQ5)-SUM(LL5,LP5)&gt;0,SUM(LJ5:LK5,LM5:LO5,LQ5)-SUM(LL5,LP5),"")</f>
        <v/>
      </c>
      <c r="LW5" s="76" t="str">
        <f>IF(SUM(LS5,LV5)&gt;0,SUM(LS5,LV5),"")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IF(SUM(LY5,MC5)&gt;0,SUM(LY5,MC5),"")</f>
        <v/>
      </c>
      <c r="MS5" s="16" t="str">
        <f>IF(SUM(LX5:LY5,MA5:MC5,ME5)-LZ5-MD5&gt;0,SUM(LX5:LY5,MA5:MC5,ME5)-LZ5-MD5,"")</f>
        <v/>
      </c>
      <c r="MT5" s="16" t="str">
        <f>IF(SUM(MF5:MG5,MI5)-MH5&gt;0,SUM(MF5:MG5,MI5)-MH5,"")</f>
        <v/>
      </c>
      <c r="MU5" s="16" t="str">
        <f>IF(SUM(MK5,MO5)&gt;0,SUM(MK5,MO5),"")</f>
        <v/>
      </c>
      <c r="MV5" s="16" t="str">
        <f>IF(SUM(MJ5:MK5,MM5:MO5,MQ5)-SUM(ML5,MP5)&gt;0,SUM(MJ5:MK5,MM5:MO5,MQ5)-SUM(ML5,MP5),"")</f>
        <v/>
      </c>
      <c r="MW5" s="16" t="str">
        <f>IF(SUM(MS5,MV5)&gt;0,SUM(MS5,MV5),"")</f>
        <v/>
      </c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76" t="str">
        <f>IF(SUM(MY5,NC5)&gt;0,SUM(MY5,NC5),"")</f>
        <v/>
      </c>
      <c r="NS5" s="76" t="str">
        <f>IF(SUM(MX5:MY5,NA5:NC5,NE5)-MZ5-ND5&gt;0,SUM(MX5:MY5,NA5:NC5,NE5)-MZ5-ND5,"")</f>
        <v/>
      </c>
      <c r="NT5" s="76" t="str">
        <f>IF(SUM(NF5:NG5,NI5)-NH5&gt;0,SUM(NF5:NG5,NI5)-NH5,"")</f>
        <v/>
      </c>
      <c r="NU5" s="76" t="str">
        <f>IF(SUM(NK5,NO5)&gt;0,SUM(NK5,NO5),"")</f>
        <v/>
      </c>
      <c r="NV5" s="76" t="str">
        <f>IF(SUM(NJ5:NK5,NM5:NO5,NQ5)-SUM(NL5,NP5)&gt;0,SUM(NJ5:NK5,NM5:NO5,NQ5)-SUM(NL5,NP5),"")</f>
        <v/>
      </c>
      <c r="NW5" s="76" t="str">
        <f>IF(SUM(NS5,NV5)&gt;0,SUM(NS5,NV5),"")</f>
        <v/>
      </c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16" t="str">
        <f>IF(SUM(NY5,OC5)&gt;0,SUM(NY5,OC5),"")</f>
        <v/>
      </c>
      <c r="OS5" s="16" t="str">
        <f>IF(SUM(NX5:NY5,OA5:OC5,OE5)-NZ5-OD5&gt;0,SUM(NX5:NY5,OA5:OC5,OE5)-NZ5-OD5,"")</f>
        <v/>
      </c>
      <c r="OT5" s="16" t="str">
        <f>IF(SUM(OF5:OG5,OI5)-OH5&gt;0,SUM(OF5:OG5,OI5)-OH5,"")</f>
        <v/>
      </c>
      <c r="OU5" s="16" t="str">
        <f>IF(SUM(OK5,OO5)&gt;0,SUM(OK5,OO5),"")</f>
        <v/>
      </c>
      <c r="OV5" s="16" t="str">
        <f>IF(SUM(OJ5:OK5,OM5:OO5,OQ5)-SUM(OL5,OP5)&gt;0,SUM(OJ5:OK5,OM5:OO5,OQ5)-SUM(OL5,OP5),"")</f>
        <v/>
      </c>
      <c r="OW5" s="16" t="str">
        <f>IF(SUM(OS5,OV5)&gt;0,SUM(OS5,OV5),"")</f>
        <v/>
      </c>
      <c r="OX5" s="42">
        <f>IF($CO5="P",BU5,(BU5+AT5)/2)</f>
        <v>16.666666666666668</v>
      </c>
      <c r="OY5" s="42">
        <f>IF($CO5="P",BV5,(BV5+AU5)/2)</f>
        <v>4.4000000000000004</v>
      </c>
      <c r="OZ5" s="42">
        <f>IF($CO5="P",BW5,(BW5+AV5)/2)</f>
        <v>0</v>
      </c>
      <c r="PA5" s="42">
        <f>IF($CO5="P",BX5,(BX5+AW5)/2)</f>
        <v>0</v>
      </c>
      <c r="PB5" s="42">
        <f>IF($CO5="P",BY5,(BY5+AX5)/2)</f>
        <v>15.333333333333332</v>
      </c>
      <c r="PC5" s="42">
        <f>IF($CO5="P",BZ5,(BZ5+AY5)/2)</f>
        <v>4.9000000000000004</v>
      </c>
      <c r="PD5" s="42">
        <f>IF($CO5="P",CA5,(CA5+AZ5)/2)</f>
        <v>0</v>
      </c>
      <c r="PE5" s="42">
        <f>IF($CO5="P",CB5,(CB5+BA5)/2)</f>
        <v>0</v>
      </c>
      <c r="PF5" s="42">
        <f>IF($CO5="P",CC5,(CC5+BB5)/2)</f>
        <v>0</v>
      </c>
      <c r="PG5" s="42">
        <f>IF($CO5="P",CD5,(CD5+BC5)/2)</f>
        <v>0</v>
      </c>
      <c r="PH5" s="42">
        <f>IF($CO5="P",CE5,(CE5+BD5)/2)</f>
        <v>0</v>
      </c>
      <c r="PI5" s="42">
        <f>IF($CO5="P",CF5,(CF5+BE5)/2)</f>
        <v>0</v>
      </c>
      <c r="PJ5" s="42">
        <f>IF($CO5="P",CG5,(CG5+BF5)/2)</f>
        <v>8.7999999999999989</v>
      </c>
      <c r="PK5" s="42">
        <f>IF($CO5="P",CH5,(CH5+BG5)/2)</f>
        <v>3.45</v>
      </c>
      <c r="PL5" s="42">
        <f>IF($CO5="P",CI5,(CI5+BH5)/2)</f>
        <v>0</v>
      </c>
      <c r="PM5" s="42">
        <f>IF($CO5="P",CJ5,(CJ5+BI5)/2)</f>
        <v>0</v>
      </c>
      <c r="PN5" s="42">
        <f>IF($CO5="P",CK5,(CK5+BJ5)/2)</f>
        <v>8.3666666666666671</v>
      </c>
      <c r="PO5" s="42">
        <f>IF($CO5="P",CL5,(CL5+BK5)/2)</f>
        <v>2.85</v>
      </c>
      <c r="PP5" s="42">
        <f>IF($CO5="P",CM5,(CM5+BL5)/2)</f>
        <v>0</v>
      </c>
      <c r="PQ5" s="42">
        <f>IF($CO5="P",CN5,(CN5+BM5)/2)</f>
        <v>0</v>
      </c>
      <c r="PR5" s="51" t="s">
        <v>61</v>
      </c>
      <c r="PS5" s="76">
        <f>IF(SUM(OY5,PC5)&gt;0,SUM(OY5,PC5),"")</f>
        <v>9.3000000000000007</v>
      </c>
      <c r="PT5" s="76">
        <f>IF(SUM(OX5:OY5,PA5:PC5,PE5)-OZ5-PD5&gt;0,SUM(OX5:OY5,PA5:PC5,PE5)-OZ5-PD5,"")</f>
        <v>41.300000000000004</v>
      </c>
      <c r="PU5" s="76" t="str">
        <f>IF(SUM(PF5:PG5,PI5)-PH5&gt;0,SUM(PF5:PG5,PI5)-PH5,"")</f>
        <v/>
      </c>
      <c r="PV5" s="76">
        <f>IF(SUM(PK5,PO5)&gt;0,SUM(PK5,PO5),"")</f>
        <v>6.3000000000000007</v>
      </c>
      <c r="PW5" s="76">
        <f>IF(SUM(PJ5:PK5,PM5:PO5,PQ5)-SUM(PL5,PP5)&gt;0,SUM(PJ5:PK5,PM5:PO5,PQ5)-SUM(PL5,PP5),"")</f>
        <v>23.466666666666669</v>
      </c>
      <c r="PX5" s="76">
        <f>IF(SUM(PT5,PW5)&gt;0,SUM(PT5,PW5),"")</f>
        <v>64.76666666666668</v>
      </c>
    </row>
    <row r="6" spans="1:440" ht="17" x14ac:dyDescent="0.2">
      <c r="P6" s="15"/>
      <c r="Q6" s="15"/>
      <c r="R6" s="15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</row>
    <row r="7" spans="1:440" ht="17" x14ac:dyDescent="0.2">
      <c r="P7" s="15"/>
      <c r="Q7" s="15"/>
      <c r="R7" s="15"/>
    </row>
    <row r="8" spans="1:440" ht="17" x14ac:dyDescent="0.2">
      <c r="B8" s="43" t="s">
        <v>58</v>
      </c>
      <c r="P8" s="15"/>
      <c r="Q8" s="15"/>
      <c r="R8" s="15"/>
      <c r="AN8" s="7"/>
      <c r="AS8" s="78">
        <v>1E-4</v>
      </c>
      <c r="BO8" s="7"/>
      <c r="BT8" s="78">
        <v>2.0000000000000001E-4</v>
      </c>
      <c r="CP8" s="7"/>
      <c r="CU8" s="78">
        <v>11</v>
      </c>
      <c r="DR8" s="7"/>
      <c r="DW8" s="78">
        <v>1E-4</v>
      </c>
      <c r="ER8" s="7"/>
      <c r="EW8" s="78">
        <v>11</v>
      </c>
      <c r="FR8" s="7"/>
      <c r="FW8" s="78">
        <v>11</v>
      </c>
      <c r="GR8" s="7"/>
      <c r="GW8" s="78">
        <v>11</v>
      </c>
      <c r="HR8" s="7"/>
      <c r="HW8" s="78">
        <v>11</v>
      </c>
      <c r="IR8" s="7"/>
      <c r="IW8" s="78">
        <v>11</v>
      </c>
      <c r="JR8" s="7"/>
      <c r="JW8" s="78">
        <v>11</v>
      </c>
      <c r="KR8" s="7"/>
      <c r="KW8" s="78">
        <v>11</v>
      </c>
      <c r="LR8" s="7"/>
      <c r="LW8" s="78">
        <v>11</v>
      </c>
      <c r="MR8" s="7"/>
      <c r="MW8" s="78">
        <v>11</v>
      </c>
      <c r="NR8" s="7"/>
      <c r="NW8" s="78">
        <v>11</v>
      </c>
      <c r="OR8" s="7"/>
      <c r="OW8" s="78">
        <v>11</v>
      </c>
    </row>
    <row r="9" spans="1:440" ht="17" x14ac:dyDescent="0.2">
      <c r="B9" s="54" t="s">
        <v>57</v>
      </c>
      <c r="P9" s="15"/>
      <c r="Q9" s="15"/>
      <c r="R9" s="15"/>
      <c r="AN9" s="7"/>
      <c r="AS9" s="93">
        <v>1E-4</v>
      </c>
      <c r="BO9" s="7"/>
      <c r="BT9" s="93">
        <v>2.0000000000000001E-4</v>
      </c>
      <c r="CP9" s="7"/>
      <c r="CU9" s="93">
        <v>11</v>
      </c>
      <c r="DR9" s="7"/>
      <c r="DW9" s="93">
        <v>2.0000000000000001E-4</v>
      </c>
      <c r="ER9" s="7"/>
      <c r="EW9" s="93">
        <v>11</v>
      </c>
      <c r="FR9" s="7"/>
      <c r="FW9" s="93">
        <v>11</v>
      </c>
      <c r="GR9" s="7"/>
      <c r="GW9" s="93">
        <v>11</v>
      </c>
      <c r="HR9" s="7"/>
      <c r="HW9" s="93">
        <v>11</v>
      </c>
      <c r="IR9" s="7"/>
      <c r="IW9" s="93">
        <v>11</v>
      </c>
      <c r="JR9" s="7"/>
      <c r="JW9" s="93">
        <v>11</v>
      </c>
      <c r="KR9" s="7"/>
      <c r="KW9" s="93">
        <v>11</v>
      </c>
      <c r="LR9" s="7"/>
      <c r="LW9" s="93">
        <v>11</v>
      </c>
      <c r="MR9" s="7"/>
      <c r="MW9" s="93">
        <v>11</v>
      </c>
      <c r="NR9" s="7"/>
      <c r="NW9" s="93">
        <v>11</v>
      </c>
      <c r="OR9" s="7"/>
      <c r="OW9" s="93">
        <v>11</v>
      </c>
    </row>
    <row r="10" spans="1:440" ht="17" x14ac:dyDescent="0.2">
      <c r="A10" s="35"/>
      <c r="B10" s="55" t="s">
        <v>71</v>
      </c>
      <c r="C10" s="34"/>
      <c r="P10" s="15"/>
      <c r="Q10" s="15"/>
      <c r="R10" s="15"/>
      <c r="AN10" s="7"/>
      <c r="AS10" s="80">
        <v>2.0000000000000001E-4</v>
      </c>
      <c r="BO10" s="7"/>
      <c r="BT10" s="80">
        <v>2.9999999999999997E-4</v>
      </c>
      <c r="CP10" s="7"/>
      <c r="CU10" s="80">
        <v>11</v>
      </c>
      <c r="DR10" s="7"/>
      <c r="DW10" s="80">
        <v>2.9999999999999997E-4</v>
      </c>
      <c r="ER10" s="7"/>
      <c r="EW10" s="80">
        <v>11</v>
      </c>
      <c r="FR10" s="7"/>
      <c r="FW10" s="80">
        <v>11</v>
      </c>
      <c r="GR10" s="7"/>
      <c r="GW10" s="80">
        <v>11</v>
      </c>
      <c r="HR10" s="7"/>
      <c r="HW10" s="80">
        <v>11</v>
      </c>
      <c r="IR10" s="7"/>
      <c r="IW10" s="80">
        <v>11</v>
      </c>
      <c r="JR10" s="7"/>
      <c r="JW10" s="80">
        <v>11</v>
      </c>
      <c r="KR10" s="7"/>
      <c r="KW10" s="80">
        <v>11</v>
      </c>
      <c r="LR10" s="7"/>
      <c r="LW10" s="80">
        <v>11</v>
      </c>
      <c r="MR10" s="7"/>
      <c r="MW10" s="80">
        <v>11</v>
      </c>
      <c r="NR10" s="7"/>
      <c r="NW10" s="80">
        <v>11</v>
      </c>
      <c r="OR10" s="7"/>
      <c r="OW10" s="80">
        <v>11</v>
      </c>
    </row>
    <row r="11" spans="1:440" ht="17" x14ac:dyDescent="0.2">
      <c r="A11" s="35"/>
      <c r="B11" s="66" t="s">
        <v>86</v>
      </c>
      <c r="C11" s="34"/>
      <c r="P11" s="15"/>
      <c r="Q11" s="15"/>
      <c r="R11" s="15"/>
      <c r="AN11" s="7"/>
      <c r="AS11" s="81">
        <v>2.0000000000000001E-4</v>
      </c>
      <c r="BO11" s="7"/>
      <c r="BT11" s="81">
        <v>2.9999999999999997E-4</v>
      </c>
      <c r="CP11" s="7"/>
      <c r="CU11" s="81">
        <v>14.6</v>
      </c>
      <c r="DR11" s="7"/>
      <c r="DW11" s="81">
        <v>2.9999999999999997E-4</v>
      </c>
      <c r="ER11" s="7"/>
      <c r="EW11" s="81">
        <v>14.6</v>
      </c>
      <c r="FR11" s="7"/>
      <c r="FW11" s="81">
        <v>14.6</v>
      </c>
      <c r="GR11" s="7"/>
      <c r="GW11" s="81">
        <v>14.6</v>
      </c>
      <c r="HR11" s="7"/>
      <c r="HW11" s="81">
        <v>14.6</v>
      </c>
      <c r="IR11" s="7"/>
      <c r="IW11" s="81">
        <v>14.6</v>
      </c>
      <c r="JR11" s="7"/>
      <c r="JW11" s="81">
        <v>14.6</v>
      </c>
      <c r="KR11" s="7"/>
      <c r="KW11" s="81">
        <v>14.6</v>
      </c>
      <c r="LR11" s="7"/>
      <c r="LW11" s="81">
        <v>14.6</v>
      </c>
      <c r="MR11" s="7"/>
      <c r="MW11" s="81">
        <v>14.6</v>
      </c>
      <c r="NR11" s="7"/>
      <c r="NW11" s="81">
        <v>14.6</v>
      </c>
      <c r="OR11" s="7"/>
      <c r="OW11" s="81">
        <v>14.6</v>
      </c>
    </row>
    <row r="12" spans="1:440" ht="17" x14ac:dyDescent="0.2">
      <c r="A12" s="35"/>
      <c r="B12" s="65" t="s">
        <v>55</v>
      </c>
      <c r="C12" s="34"/>
      <c r="P12" s="15"/>
      <c r="Q12" s="15"/>
      <c r="R12" s="15"/>
      <c r="AN12" s="7"/>
      <c r="AS12" s="82">
        <v>2.0000000000000001E-4</v>
      </c>
      <c r="BO12" s="7"/>
      <c r="BT12" s="82">
        <v>4.0000000000000002E-4</v>
      </c>
      <c r="CP12" s="7"/>
      <c r="CU12" s="82">
        <v>45</v>
      </c>
      <c r="DR12" s="7"/>
      <c r="DW12" s="82">
        <v>4.0000000000000002E-4</v>
      </c>
      <c r="ER12" s="7"/>
      <c r="EW12" s="82">
        <v>45</v>
      </c>
      <c r="FR12" s="7"/>
      <c r="FW12" s="82">
        <v>45</v>
      </c>
      <c r="GR12" s="7"/>
      <c r="GW12" s="82">
        <v>45</v>
      </c>
      <c r="HR12" s="7"/>
      <c r="HW12" s="82">
        <v>45</v>
      </c>
      <c r="IR12" s="7"/>
      <c r="IW12" s="82">
        <v>45</v>
      </c>
      <c r="JR12" s="7"/>
      <c r="JW12" s="82">
        <v>45</v>
      </c>
      <c r="KR12" s="7"/>
      <c r="KW12" s="82">
        <v>45</v>
      </c>
      <c r="LR12" s="7"/>
      <c r="LW12" s="82">
        <v>45</v>
      </c>
      <c r="MR12" s="7"/>
      <c r="MW12" s="82">
        <v>45</v>
      </c>
      <c r="NR12" s="7"/>
      <c r="NW12" s="82">
        <v>45</v>
      </c>
      <c r="OR12" s="7"/>
      <c r="OW12" s="82">
        <v>45</v>
      </c>
    </row>
    <row r="13" spans="1:440" ht="17" x14ac:dyDescent="0.2">
      <c r="A13" s="35"/>
      <c r="B13" s="44" t="s">
        <v>56</v>
      </c>
      <c r="C13" s="34"/>
      <c r="P13" s="15"/>
      <c r="Q13" s="15"/>
      <c r="R13" s="15"/>
      <c r="AN13" s="7"/>
      <c r="AS13" s="83">
        <v>2.9999999999999997E-4</v>
      </c>
      <c r="BO13" s="7"/>
      <c r="BT13" s="83">
        <v>4.0000000000000002E-4</v>
      </c>
      <c r="CP13" s="7"/>
      <c r="CU13" s="83">
        <v>46.2</v>
      </c>
      <c r="DR13" s="7"/>
      <c r="DW13" s="83">
        <v>4.0000000000000002E-4</v>
      </c>
      <c r="ER13" s="7"/>
      <c r="EW13" s="83">
        <v>46.2</v>
      </c>
      <c r="FR13" s="7"/>
      <c r="FW13" s="83">
        <v>46.2</v>
      </c>
      <c r="GR13" s="7"/>
      <c r="GW13" s="83">
        <v>46.2</v>
      </c>
      <c r="HR13" s="7"/>
      <c r="HW13" s="83">
        <v>46.2</v>
      </c>
      <c r="IR13" s="7"/>
      <c r="IW13" s="83">
        <v>46.2</v>
      </c>
      <c r="JR13" s="7"/>
      <c r="JW13" s="83">
        <v>46.2</v>
      </c>
      <c r="KR13" s="7"/>
      <c r="KW13" s="83">
        <v>46.2</v>
      </c>
      <c r="LR13" s="7"/>
      <c r="LW13" s="83">
        <v>46.2</v>
      </c>
      <c r="MR13" s="7"/>
      <c r="MW13" s="83">
        <v>46.2</v>
      </c>
      <c r="NR13" s="7"/>
      <c r="NW13" s="83">
        <v>46.2</v>
      </c>
      <c r="OR13" s="7"/>
      <c r="OW13" s="83">
        <v>46.2</v>
      </c>
    </row>
    <row r="14" spans="1:440" ht="17" x14ac:dyDescent="0.2">
      <c r="A14" s="35"/>
      <c r="B14" s="64" t="s">
        <v>70</v>
      </c>
      <c r="C14" s="34"/>
      <c r="P14" s="15"/>
      <c r="Q14" s="15"/>
      <c r="R14" s="15"/>
      <c r="AN14" s="7"/>
      <c r="AS14" s="84">
        <v>2.9999999999999997E-4</v>
      </c>
      <c r="BO14" s="7"/>
      <c r="BT14" s="84">
        <v>4.0000000000000002E-4</v>
      </c>
      <c r="CP14" s="7"/>
      <c r="CU14" s="84">
        <v>47.4</v>
      </c>
      <c r="DR14" s="7"/>
      <c r="DW14" s="84">
        <v>4.0000000000000002E-4</v>
      </c>
      <c r="ER14" s="7"/>
      <c r="EW14" s="84">
        <v>47.4</v>
      </c>
      <c r="FR14" s="7"/>
      <c r="FW14" s="84">
        <v>47.4</v>
      </c>
      <c r="GR14" s="7"/>
      <c r="GW14" s="84">
        <v>47.4</v>
      </c>
      <c r="HR14" s="7"/>
      <c r="HW14" s="84">
        <v>47.4</v>
      </c>
      <c r="IR14" s="7"/>
      <c r="IW14" s="84">
        <v>47.4</v>
      </c>
      <c r="JR14" s="7"/>
      <c r="JW14" s="84">
        <v>47.4</v>
      </c>
      <c r="KR14" s="7"/>
      <c r="KW14" s="84">
        <v>47.4</v>
      </c>
      <c r="LR14" s="7"/>
      <c r="LW14" s="84">
        <v>47.4</v>
      </c>
      <c r="MR14" s="7"/>
      <c r="MW14" s="84">
        <v>47.4</v>
      </c>
      <c r="NR14" s="7"/>
      <c r="NW14" s="84">
        <v>47.4</v>
      </c>
      <c r="OR14" s="7"/>
      <c r="OW14" s="84">
        <v>47.4</v>
      </c>
    </row>
    <row r="15" spans="1:440" ht="17" x14ac:dyDescent="0.2">
      <c r="A15" s="35"/>
      <c r="B15" s="45" t="s">
        <v>39</v>
      </c>
      <c r="C15" s="34"/>
      <c r="P15" s="15"/>
      <c r="Q15" s="15"/>
      <c r="R15" s="15"/>
      <c r="AN15" s="7"/>
      <c r="AP15" s="70" t="s">
        <v>174</v>
      </c>
      <c r="AS15" s="85">
        <v>2.9999999999999997E-4</v>
      </c>
      <c r="BO15" s="7"/>
      <c r="BQ15" s="70" t="s">
        <v>174</v>
      </c>
      <c r="BT15" s="85">
        <v>4.0000000000000002E-4</v>
      </c>
      <c r="CP15" s="7"/>
      <c r="CU15" s="85">
        <v>51</v>
      </c>
      <c r="DR15" s="7"/>
      <c r="DT15" s="70" t="s">
        <v>174</v>
      </c>
      <c r="DW15" s="85">
        <v>4.0000000000000002E-4</v>
      </c>
      <c r="ER15" s="7"/>
      <c r="EW15" s="85">
        <v>51</v>
      </c>
      <c r="FR15" s="7"/>
      <c r="FW15" s="85">
        <v>51</v>
      </c>
      <c r="GR15" s="7"/>
      <c r="GW15" s="85">
        <v>51</v>
      </c>
      <c r="HR15" s="7"/>
      <c r="HW15" s="85">
        <v>51</v>
      </c>
      <c r="IR15" s="7"/>
      <c r="IW15" s="85">
        <v>51</v>
      </c>
      <c r="JR15" s="7"/>
      <c r="JW15" s="85">
        <v>51</v>
      </c>
      <c r="KR15" s="7"/>
      <c r="KW15" s="85">
        <v>51</v>
      </c>
      <c r="LR15" s="7"/>
      <c r="LW15" s="85">
        <v>51</v>
      </c>
      <c r="MR15" s="7"/>
      <c r="MW15" s="85">
        <v>51</v>
      </c>
      <c r="NR15" s="7"/>
      <c r="NW15" s="85">
        <v>51</v>
      </c>
      <c r="OR15" s="7"/>
      <c r="OW15" s="85">
        <v>51</v>
      </c>
    </row>
    <row r="16" spans="1:440" x14ac:dyDescent="0.2">
      <c r="B16" s="53" t="s">
        <v>62</v>
      </c>
      <c r="C16" s="2"/>
    </row>
    <row r="17" spans="1:3" x14ac:dyDescent="0.2">
      <c r="A17" s="35"/>
      <c r="B17" s="35"/>
      <c r="C17" s="34"/>
    </row>
    <row r="18" spans="1:3" x14ac:dyDescent="0.2">
      <c r="A18" s="35"/>
      <c r="B18" s="35"/>
      <c r="C18" s="34"/>
    </row>
    <row r="19" spans="1:3" x14ac:dyDescent="0.2">
      <c r="A19" s="35"/>
      <c r="B19" s="35"/>
      <c r="C19" s="34"/>
    </row>
    <row r="20" spans="1:3" x14ac:dyDescent="0.2">
      <c r="A20" s="6"/>
      <c r="B20" s="6"/>
      <c r="C20" s="6"/>
    </row>
  </sheetData>
  <sheetProtection sheet="1" formatCells="0" formatColumns="0" formatRows="0"/>
  <autoFilter ref="A1:PX5" xr:uid="{BB9C3AB3-2D15-174E-B900-3E2F789706E1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sortState xmlns:xlrd2="http://schemas.microsoft.com/office/spreadsheetml/2017/richdata2" ref="A4:PX5">
      <sortCondition descending="1" ref="F1:F6"/>
    </sortState>
  </autoFilter>
  <mergeCells count="115">
    <mergeCell ref="PF2:PI2"/>
    <mergeCell ref="PJ2:PM2"/>
    <mergeCell ref="PN2:PQ2"/>
    <mergeCell ref="OB2:OE2"/>
    <mergeCell ref="OF2:OI2"/>
    <mergeCell ref="OJ2:OM2"/>
    <mergeCell ref="ON2:OQ2"/>
    <mergeCell ref="OX2:PA2"/>
    <mergeCell ref="PB2:PE2"/>
    <mergeCell ref="MX2:NA2"/>
    <mergeCell ref="NB2:NE2"/>
    <mergeCell ref="NF2:NI2"/>
    <mergeCell ref="NJ2:NM2"/>
    <mergeCell ref="NN2:NQ2"/>
    <mergeCell ref="NX2:OA2"/>
    <mergeCell ref="LN2:LQ2"/>
    <mergeCell ref="LX2:MA2"/>
    <mergeCell ref="MB2:ME2"/>
    <mergeCell ref="MF2:MI2"/>
    <mergeCell ref="MJ2:MM2"/>
    <mergeCell ref="MN2:MQ2"/>
    <mergeCell ref="KX2:LA2"/>
    <mergeCell ref="LB2:LE2"/>
    <mergeCell ref="LF2:LI2"/>
    <mergeCell ref="LJ2:LM2"/>
    <mergeCell ref="JF2:JI2"/>
    <mergeCell ref="JJ2:JM2"/>
    <mergeCell ref="JN2:JQ2"/>
    <mergeCell ref="JX2:KA2"/>
    <mergeCell ref="KB2:KE2"/>
    <mergeCell ref="KF2:KI2"/>
    <mergeCell ref="JB2:JE2"/>
    <mergeCell ref="GX2:HA2"/>
    <mergeCell ref="HB2:HE2"/>
    <mergeCell ref="HF2:HI2"/>
    <mergeCell ref="HJ2:HM2"/>
    <mergeCell ref="HN2:HQ2"/>
    <mergeCell ref="HX2:IA2"/>
    <mergeCell ref="KJ2:KM2"/>
    <mergeCell ref="KN2:KQ2"/>
    <mergeCell ref="EX2:FA2"/>
    <mergeCell ref="FB2:FE2"/>
    <mergeCell ref="FF2:FI2"/>
    <mergeCell ref="FJ2:FM2"/>
    <mergeCell ref="IB2:IE2"/>
    <mergeCell ref="IF2:II2"/>
    <mergeCell ref="IJ2:IM2"/>
    <mergeCell ref="IN2:IQ2"/>
    <mergeCell ref="IX2:JA2"/>
    <mergeCell ref="BU2:BX2"/>
    <mergeCell ref="KX1:LW1"/>
    <mergeCell ref="LX1:MW1"/>
    <mergeCell ref="MX1:NW1"/>
    <mergeCell ref="DF2:DI2"/>
    <mergeCell ref="DJ2:DM2"/>
    <mergeCell ref="DN2:DQ2"/>
    <mergeCell ref="DX2:EA2"/>
    <mergeCell ref="EB2:EE2"/>
    <mergeCell ref="EF2:EI2"/>
    <mergeCell ref="BY2:CB2"/>
    <mergeCell ref="CC2:CF2"/>
    <mergeCell ref="CG2:CJ2"/>
    <mergeCell ref="CK2:CN2"/>
    <mergeCell ref="CX2:DA2"/>
    <mergeCell ref="DB2:DE2"/>
    <mergeCell ref="FN2:FQ2"/>
    <mergeCell ref="FX2:GA2"/>
    <mergeCell ref="GB2:GE2"/>
    <mergeCell ref="GF2:GI2"/>
    <mergeCell ref="GJ2:GM2"/>
    <mergeCell ref="GN2:GQ2"/>
    <mergeCell ref="EJ2:EM2"/>
    <mergeCell ref="EN2:EQ2"/>
    <mergeCell ref="NX1:OW1"/>
    <mergeCell ref="OX1:PX1"/>
    <mergeCell ref="S2:V2"/>
    <mergeCell ref="W2:Z2"/>
    <mergeCell ref="AA2:AD2"/>
    <mergeCell ref="AE2:AH2"/>
    <mergeCell ref="AI2:AL2"/>
    <mergeCell ref="EX1:FW1"/>
    <mergeCell ref="FX1:GW1"/>
    <mergeCell ref="GX1:HW1"/>
    <mergeCell ref="HX1:IW1"/>
    <mergeCell ref="IX1:JW1"/>
    <mergeCell ref="JX1:KW1"/>
    <mergeCell ref="S1:AS1"/>
    <mergeCell ref="AT1:BT1"/>
    <mergeCell ref="BU1:CU1"/>
    <mergeCell ref="CV1:CW1"/>
    <mergeCell ref="CX1:DW1"/>
    <mergeCell ref="DX1:EW1"/>
    <mergeCell ref="AT2:AW2"/>
    <mergeCell ref="AX2:BA2"/>
    <mergeCell ref="BB2:BE2"/>
    <mergeCell ref="BF2:BI2"/>
    <mergeCell ref="BJ2:BM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S4:AS5">
    <cfRule type="expression" dxfId="119" priority="5" stopIfTrue="1">
      <formula>IF($AM4&lt;&gt;"",1,0)</formula>
    </cfRule>
  </conditionalFormatting>
  <conditionalFormatting sqref="AT4:BT5">
    <cfRule type="expression" dxfId="118" priority="10" stopIfTrue="1">
      <formula>IF($BN4&lt;&gt;"",1,0)</formula>
    </cfRule>
  </conditionalFormatting>
  <conditionalFormatting sqref="K1:K1048576 M1:M1048576 O1:O1048576">
    <cfRule type="expression" dxfId="117" priority="17">
      <formula>IF(K1=$BU$1,1,0)</formula>
    </cfRule>
    <cfRule type="expression" dxfId="116" priority="18">
      <formula>IF(K1=$AT$1,1,0)</formula>
    </cfRule>
    <cfRule type="expression" dxfId="115" priority="19">
      <formula>IF(K1=$S$1,1,0)</formula>
    </cfRule>
  </conditionalFormatting>
  <conditionalFormatting sqref="BU4:CU5">
    <cfRule type="expression" dxfId="114" priority="11" stopIfTrue="1">
      <formula>IF($CO4&lt;&gt;"",1,0)</formula>
    </cfRule>
  </conditionalFormatting>
  <conditionalFormatting sqref="A1:A1048576">
    <cfRule type="expression" dxfId="113" priority="20">
      <formula>AND(G1="P",F1="")</formula>
    </cfRule>
  </conditionalFormatting>
  <conditionalFormatting sqref="H1:H1048576">
    <cfRule type="containsText" dxfId="112" priority="12" operator="containsText" text="No DD">
      <formula>NOT(ISERROR(SEARCH("No DD",H1)))</formula>
    </cfRule>
    <cfRule type="containsText" dxfId="111" priority="13" operator="containsText" text="Merit">
      <formula>NOT(ISERROR(SEARCH("Merit",H1)))</formula>
    </cfRule>
    <cfRule type="containsText" dxfId="110" priority="14" operator="containsText" text="Excellence">
      <formula>NOT(ISERROR(SEARCH("Excellence",H1)))</formula>
    </cfRule>
    <cfRule type="containsText" dxfId="109" priority="15" operator="containsText" text="Worlds Team">
      <formula>NOT(ISERROR(SEARCH("Worlds Team",H1)))</formula>
    </cfRule>
    <cfRule type="containsText" dxfId="108" priority="16" operator="containsText" text="National Team">
      <formula>NOT(ISERROR(SEARCH("National Team",H1)))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07" priority="57298" operator="between">
      <formula>AS$11</formula>
      <formula>1000</formula>
    </cfRule>
    <cfRule type="cellIs" dxfId="106" priority="57299" operator="between">
      <formula>AS$10</formula>
      <formula>AS$11</formula>
    </cfRule>
    <cfRule type="cellIs" dxfId="105" priority="57300" operator="between">
      <formula>AS$9</formula>
      <formula>AS$10</formula>
    </cfRule>
    <cfRule type="cellIs" dxfId="104" priority="57301" operator="between">
      <formula>AS$8</formula>
      <formula>AS$9</formula>
    </cfRule>
  </conditionalFormatting>
  <conditionalFormatting sqref="OS1:OS1048576 AO1:AO1048576 BP1:BP1048576 CQ1:CQ1048576 DS1:DS1048576 ES1:ES1048576 FS1:FS1048576 GS1:GS1048576 HS1:HS1048576 IS1:IS1048576 JS1:JS1048576 KS1:KS1048576 LS1:LS1048576 MS1:MS1048576 NS1:NS1048576">
    <cfRule type="cellIs" dxfId="103" priority="57478" operator="between">
      <formula>AS$15</formula>
      <formula>1000</formula>
    </cfRule>
    <cfRule type="cellIs" dxfId="102" priority="57479" operator="between">
      <formula>AS$14</formula>
      <formula>AS$15</formula>
    </cfRule>
    <cfRule type="cellIs" dxfId="101" priority="57480" operator="between">
      <formula>AS$13</formula>
      <formula>AS$14</formula>
    </cfRule>
    <cfRule type="cellIs" dxfId="100" priority="57481" operator="between">
      <formula>AS$12</formula>
      <formula>AS$13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9" priority="57658" operator="between">
      <formula>AS$8</formula>
      <formula>AS$9</formula>
    </cfRule>
    <cfRule type="cellIs" dxfId="98" priority="57659" operator="between">
      <formula>AS$9</formula>
      <formula>AS$10</formula>
    </cfRule>
    <cfRule type="cellIs" dxfId="97" priority="57660" operator="between">
      <formula>AS$10</formula>
      <formula>AS$11</formula>
    </cfRule>
    <cfRule type="cellIs" dxfId="96" priority="57661" operator="between">
      <formula>AS$11</formula>
      <formula>1000</formula>
    </cfRule>
  </conditionalFormatting>
  <conditionalFormatting sqref="AR1:AR1048576 BS1:BS1048576 CT1:CT1048576 DV1:DV1048576 EV1:EV1048576 FV1:FV1048576 GV1:GV1048576 HV1:HV1048576 IV1:IV1048576 JV1:JV1048576 KV1:KV1048576 LV1:LV1048576 MV1:MV1048576 NV1:NV1048576 OV1:OV1048576">
    <cfRule type="cellIs" dxfId="95" priority="57838" operator="between">
      <formula>AS$12</formula>
      <formula>AS$13</formula>
    </cfRule>
    <cfRule type="cellIs" dxfId="94" priority="57839" operator="between">
      <formula>AS$13</formula>
      <formula>AS$14</formula>
    </cfRule>
    <cfRule type="cellIs" dxfId="93" priority="57840" operator="between">
      <formula>AS$14</formula>
      <formula>AS$15</formula>
    </cfRule>
    <cfRule type="cellIs" dxfId="92" priority="57841" operator="between">
      <formula>AS$15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PX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5" max="15" width="27.5" bestFit="1" customWidth="1"/>
    <col min="16" max="16" width="24.6640625" bestFit="1" customWidth="1"/>
    <col min="17" max="17" width="13" bestFit="1" customWidth="1"/>
    <col min="18" max="18" width="40.33203125" bestFit="1" customWidth="1"/>
    <col min="19" max="39" width="10.83203125" hidden="1" customWidth="1"/>
    <col min="40" max="45" width="10.83203125" style="70" customWidth="1"/>
    <col min="46" max="66" width="10.83203125" hidden="1" customWidth="1"/>
    <col min="67" max="72" width="10.83203125" style="70" customWidth="1"/>
    <col min="73" max="93" width="10.83203125" hidden="1" customWidth="1"/>
    <col min="94" max="99" width="10.83203125" style="70" customWidth="1"/>
    <col min="100" max="100" width="10.83203125" style="70"/>
    <col min="101" max="101" width="10.83203125" style="70" customWidth="1"/>
    <col min="102" max="121" width="10.83203125" hidden="1" customWidth="1"/>
    <col min="122" max="127" width="10.83203125" style="70" customWidth="1"/>
    <col min="128" max="147" width="10.83203125" hidden="1" customWidth="1"/>
    <col min="148" max="153" width="10.83203125" style="70" customWidth="1"/>
    <col min="154" max="173" width="10.83203125" hidden="1" customWidth="1"/>
    <col min="174" max="179" width="10.83203125" style="70" customWidth="1"/>
    <col min="180" max="199" width="10.83203125" hidden="1" customWidth="1"/>
    <col min="200" max="205" width="10.83203125" style="70" hidden="1" customWidth="1"/>
    <col min="206" max="225" width="10.83203125" hidden="1" customWidth="1"/>
    <col min="226" max="231" width="10.83203125" style="70" hidden="1" customWidth="1"/>
    <col min="232" max="251" width="10.83203125" hidden="1" customWidth="1"/>
    <col min="252" max="257" width="10.83203125" style="70" hidden="1" customWidth="1"/>
    <col min="258" max="277" width="10.83203125" hidden="1" customWidth="1"/>
    <col min="278" max="283" width="10.83203125" style="70" hidden="1" customWidth="1"/>
    <col min="284" max="303" width="10.83203125" hidden="1" customWidth="1"/>
    <col min="304" max="309" width="10.83203125" style="70" hidden="1" customWidth="1"/>
    <col min="310" max="329" width="10.83203125" hidden="1" customWidth="1"/>
    <col min="330" max="335" width="10.83203125" style="70" hidden="1" customWidth="1"/>
    <col min="336" max="355" width="10.83203125" hidden="1" customWidth="1"/>
    <col min="356" max="361" width="10.83203125" style="70" hidden="1" customWidth="1"/>
    <col min="362" max="381" width="10.83203125" hidden="1" customWidth="1"/>
    <col min="382" max="387" width="10.83203125" style="70" hidden="1" customWidth="1"/>
    <col min="388" max="407" width="10.83203125" hidden="1" customWidth="1"/>
    <col min="408" max="413" width="10.83203125" style="70" hidden="1" customWidth="1"/>
    <col min="414" max="434" width="10.83203125" hidden="1" customWidth="1"/>
    <col min="435" max="440" width="10.83203125" style="70" hidden="1" customWidth="1"/>
  </cols>
  <sheetData>
    <row r="1" spans="1:440" ht="16" customHeight="1" x14ac:dyDescent="0.2">
      <c r="A1" s="117" t="s">
        <v>1</v>
      </c>
      <c r="B1" s="117" t="s">
        <v>32</v>
      </c>
      <c r="C1" s="117" t="s">
        <v>0</v>
      </c>
      <c r="D1" s="117" t="s">
        <v>63</v>
      </c>
      <c r="E1" s="117" t="s">
        <v>2</v>
      </c>
      <c r="F1" s="119" t="s">
        <v>69</v>
      </c>
      <c r="G1" s="119" t="s">
        <v>12</v>
      </c>
      <c r="H1" s="117" t="s">
        <v>13</v>
      </c>
      <c r="I1" s="119" t="s">
        <v>96</v>
      </c>
      <c r="J1" s="118" t="s">
        <v>155</v>
      </c>
      <c r="K1" s="116" t="s">
        <v>37</v>
      </c>
      <c r="L1" s="118" t="s">
        <v>156</v>
      </c>
      <c r="M1" s="116" t="s">
        <v>37</v>
      </c>
      <c r="N1" s="116" t="s">
        <v>14</v>
      </c>
      <c r="O1" s="116" t="s">
        <v>37</v>
      </c>
      <c r="P1" s="120" t="s">
        <v>15</v>
      </c>
      <c r="Q1" s="116" t="s">
        <v>38</v>
      </c>
      <c r="R1" s="116" t="s">
        <v>37</v>
      </c>
      <c r="S1" s="113" t="s">
        <v>104</v>
      </c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4" t="s">
        <v>111</v>
      </c>
      <c r="AU1" s="114"/>
      <c r="AV1" s="114"/>
      <c r="AW1" s="114"/>
      <c r="AX1" s="114"/>
      <c r="AY1" s="114"/>
      <c r="AZ1" s="114"/>
      <c r="BA1" s="114"/>
      <c r="BB1" s="114"/>
      <c r="BC1" s="114"/>
      <c r="BD1" s="114"/>
      <c r="BE1" s="114"/>
      <c r="BF1" s="114"/>
      <c r="BG1" s="114"/>
      <c r="BH1" s="114"/>
      <c r="BI1" s="114"/>
      <c r="BJ1" s="114"/>
      <c r="BK1" s="114"/>
      <c r="BL1" s="114"/>
      <c r="BM1" s="114"/>
      <c r="BN1" s="114"/>
      <c r="BO1" s="114"/>
      <c r="BP1" s="114"/>
      <c r="BQ1" s="114"/>
      <c r="BR1" s="114"/>
      <c r="BS1" s="114"/>
      <c r="BT1" s="114"/>
      <c r="BU1" s="113" t="s">
        <v>146</v>
      </c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5" t="s">
        <v>68</v>
      </c>
      <c r="CW1" s="115"/>
      <c r="CX1" s="113" t="s">
        <v>114</v>
      </c>
      <c r="CY1" s="113"/>
      <c r="CZ1" s="113"/>
      <c r="DA1" s="113"/>
      <c r="DB1" s="113"/>
      <c r="DC1" s="113"/>
      <c r="DD1" s="113"/>
      <c r="DE1" s="113"/>
      <c r="DF1" s="113"/>
      <c r="DG1" s="113"/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4" t="s">
        <v>172</v>
      </c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4"/>
      <c r="EL1" s="114"/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4"/>
      <c r="EX1" s="113" t="s">
        <v>175</v>
      </c>
      <c r="EY1" s="113"/>
      <c r="EZ1" s="113"/>
      <c r="FA1" s="113"/>
      <c r="FB1" s="113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4"/>
      <c r="GS1" s="114"/>
      <c r="GT1" s="114"/>
      <c r="GU1" s="114"/>
      <c r="GV1" s="114"/>
      <c r="GW1" s="114"/>
      <c r="GX1" s="113"/>
      <c r="GY1" s="113"/>
      <c r="GZ1" s="113"/>
      <c r="HA1" s="113"/>
      <c r="HB1" s="113"/>
      <c r="HC1" s="113"/>
      <c r="HD1" s="113"/>
      <c r="HE1" s="113"/>
      <c r="HF1" s="113"/>
      <c r="HG1" s="113"/>
      <c r="HH1" s="113"/>
      <c r="HI1" s="113"/>
      <c r="HJ1" s="113"/>
      <c r="HK1" s="113"/>
      <c r="HL1" s="113"/>
      <c r="HM1" s="113"/>
      <c r="HN1" s="113"/>
      <c r="HO1" s="113"/>
      <c r="HP1" s="113"/>
      <c r="HQ1" s="113"/>
      <c r="HR1" s="113"/>
      <c r="HS1" s="113"/>
      <c r="HT1" s="113"/>
      <c r="HU1" s="113"/>
      <c r="HV1" s="113"/>
      <c r="HW1" s="113"/>
      <c r="HX1" s="114"/>
      <c r="HY1" s="114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3"/>
      <c r="IY1" s="113"/>
      <c r="IZ1" s="113"/>
      <c r="JA1" s="113"/>
      <c r="JB1" s="113"/>
      <c r="JC1" s="113"/>
      <c r="JD1" s="113"/>
      <c r="JE1" s="113"/>
      <c r="JF1" s="113"/>
      <c r="JG1" s="113"/>
      <c r="JH1" s="113"/>
      <c r="JI1" s="113"/>
      <c r="JJ1" s="113"/>
      <c r="JK1" s="113"/>
      <c r="JL1" s="113"/>
      <c r="JM1" s="113"/>
      <c r="JN1" s="113"/>
      <c r="JO1" s="113"/>
      <c r="JP1" s="113"/>
      <c r="JQ1" s="113"/>
      <c r="JR1" s="113"/>
      <c r="JS1" s="113"/>
      <c r="JT1" s="113"/>
      <c r="JU1" s="113"/>
      <c r="JV1" s="113"/>
      <c r="JW1" s="113"/>
      <c r="JX1" s="114"/>
      <c r="JY1" s="114"/>
      <c r="JZ1" s="114"/>
      <c r="KA1" s="114"/>
      <c r="KB1" s="114"/>
      <c r="KC1" s="114"/>
      <c r="KD1" s="114"/>
      <c r="KE1" s="114"/>
      <c r="KF1" s="114"/>
      <c r="KG1" s="114"/>
      <c r="KH1" s="114"/>
      <c r="KI1" s="114"/>
      <c r="KJ1" s="114"/>
      <c r="KK1" s="114"/>
      <c r="KL1" s="114"/>
      <c r="KM1" s="114"/>
      <c r="KN1" s="114"/>
      <c r="KO1" s="114"/>
      <c r="KP1" s="114"/>
      <c r="KQ1" s="114"/>
      <c r="KR1" s="114"/>
      <c r="KS1" s="114"/>
      <c r="KT1" s="114"/>
      <c r="KU1" s="114"/>
      <c r="KV1" s="114"/>
      <c r="KW1" s="114"/>
      <c r="KX1" s="113"/>
      <c r="KY1" s="113"/>
      <c r="KZ1" s="113"/>
      <c r="LA1" s="113"/>
      <c r="LB1" s="113"/>
      <c r="LC1" s="113"/>
      <c r="LD1" s="113"/>
      <c r="LE1" s="113"/>
      <c r="LF1" s="113"/>
      <c r="LG1" s="113"/>
      <c r="LH1" s="113"/>
      <c r="LI1" s="113"/>
      <c r="LJ1" s="113"/>
      <c r="LK1" s="113"/>
      <c r="LL1" s="113"/>
      <c r="LM1" s="113"/>
      <c r="LN1" s="113"/>
      <c r="LO1" s="113"/>
      <c r="LP1" s="113"/>
      <c r="LQ1" s="113"/>
      <c r="LR1" s="113"/>
      <c r="LS1" s="113"/>
      <c r="LT1" s="113"/>
      <c r="LU1" s="113"/>
      <c r="LV1" s="113"/>
      <c r="LW1" s="113"/>
      <c r="LX1" s="114"/>
      <c r="LY1" s="114"/>
      <c r="LZ1" s="114"/>
      <c r="MA1" s="114"/>
      <c r="MB1" s="114"/>
      <c r="MC1" s="114"/>
      <c r="MD1" s="114"/>
      <c r="ME1" s="114"/>
      <c r="MF1" s="114"/>
      <c r="MG1" s="114"/>
      <c r="MH1" s="114"/>
      <c r="MI1" s="114"/>
      <c r="MJ1" s="114"/>
      <c r="MK1" s="114"/>
      <c r="ML1" s="114"/>
      <c r="MM1" s="114"/>
      <c r="MN1" s="114"/>
      <c r="MO1" s="114"/>
      <c r="MP1" s="114"/>
      <c r="MQ1" s="114"/>
      <c r="MR1" s="114"/>
      <c r="MS1" s="114"/>
      <c r="MT1" s="114"/>
      <c r="MU1" s="114"/>
      <c r="MV1" s="114"/>
      <c r="MW1" s="114"/>
      <c r="MX1" s="113"/>
      <c r="MY1" s="113"/>
      <c r="MZ1" s="113"/>
      <c r="NA1" s="113"/>
      <c r="NB1" s="113"/>
      <c r="NC1" s="113"/>
      <c r="ND1" s="113"/>
      <c r="NE1" s="113"/>
      <c r="NF1" s="113"/>
      <c r="NG1" s="113"/>
      <c r="NH1" s="113"/>
      <c r="NI1" s="113"/>
      <c r="NJ1" s="113"/>
      <c r="NK1" s="113"/>
      <c r="NL1" s="113"/>
      <c r="NM1" s="113"/>
      <c r="NN1" s="113"/>
      <c r="NO1" s="113"/>
      <c r="NP1" s="113"/>
      <c r="NQ1" s="113"/>
      <c r="NR1" s="113"/>
      <c r="NS1" s="113"/>
      <c r="NT1" s="113"/>
      <c r="NU1" s="113"/>
      <c r="NV1" s="113"/>
      <c r="NW1" s="113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3" t="s">
        <v>72</v>
      </c>
      <c r="OY1" s="113"/>
      <c r="OZ1" s="113"/>
      <c r="PA1" s="113"/>
      <c r="PB1" s="113"/>
      <c r="PC1" s="113"/>
      <c r="PD1" s="113"/>
      <c r="PE1" s="113"/>
      <c r="PF1" s="113"/>
      <c r="PG1" s="113"/>
      <c r="PH1" s="113"/>
      <c r="PI1" s="113"/>
      <c r="PJ1" s="113"/>
      <c r="PK1" s="113"/>
      <c r="PL1" s="113"/>
      <c r="PM1" s="113"/>
      <c r="PN1" s="113"/>
      <c r="PO1" s="113"/>
      <c r="PP1" s="113"/>
      <c r="PQ1" s="113"/>
      <c r="PR1" s="113"/>
      <c r="PS1" s="113"/>
      <c r="PT1" s="113"/>
      <c r="PU1" s="113"/>
      <c r="PV1" s="113"/>
      <c r="PW1" s="113"/>
      <c r="PX1" s="113"/>
    </row>
    <row r="2" spans="1:440" x14ac:dyDescent="0.2">
      <c r="A2" s="117"/>
      <c r="B2" s="117"/>
      <c r="C2" s="117"/>
      <c r="D2" s="117"/>
      <c r="E2" s="117"/>
      <c r="F2" s="119"/>
      <c r="G2" s="119"/>
      <c r="H2" s="117"/>
      <c r="I2" s="119"/>
      <c r="J2" s="118"/>
      <c r="K2" s="116"/>
      <c r="L2" s="118"/>
      <c r="M2" s="116"/>
      <c r="N2" s="116"/>
      <c r="O2" s="116"/>
      <c r="P2" s="120"/>
      <c r="Q2" s="116"/>
      <c r="R2" s="116"/>
      <c r="S2" s="111" t="s">
        <v>147</v>
      </c>
      <c r="T2" s="111"/>
      <c r="U2" s="111"/>
      <c r="V2" s="111"/>
      <c r="W2" s="111" t="s">
        <v>148</v>
      </c>
      <c r="X2" s="111"/>
      <c r="Y2" s="111"/>
      <c r="Z2" s="111"/>
      <c r="AA2" s="111" t="s">
        <v>149</v>
      </c>
      <c r="AB2" s="111"/>
      <c r="AC2" s="111"/>
      <c r="AD2" s="111"/>
      <c r="AE2" s="111" t="s">
        <v>150</v>
      </c>
      <c r="AF2" s="111"/>
      <c r="AG2" s="111"/>
      <c r="AH2" s="111"/>
      <c r="AI2" s="121" t="s">
        <v>151</v>
      </c>
      <c r="AJ2" s="121"/>
      <c r="AK2" s="121"/>
      <c r="AL2" s="121"/>
      <c r="AM2" s="49"/>
      <c r="AN2" s="88" t="s">
        <v>152</v>
      </c>
      <c r="AO2" s="88" t="s">
        <v>153</v>
      </c>
      <c r="AP2" s="88" t="s">
        <v>149</v>
      </c>
      <c r="AQ2" s="88" t="s">
        <v>76</v>
      </c>
      <c r="AR2" s="88" t="s">
        <v>154</v>
      </c>
      <c r="AS2" s="88" t="s">
        <v>19</v>
      </c>
      <c r="AT2" s="112" t="s">
        <v>147</v>
      </c>
      <c r="AU2" s="112"/>
      <c r="AV2" s="112"/>
      <c r="AW2" s="112"/>
      <c r="AX2" s="112" t="s">
        <v>148</v>
      </c>
      <c r="AY2" s="112"/>
      <c r="AZ2" s="112"/>
      <c r="BA2" s="112"/>
      <c r="BB2" s="112" t="s">
        <v>149</v>
      </c>
      <c r="BC2" s="112"/>
      <c r="BD2" s="112"/>
      <c r="BE2" s="112"/>
      <c r="BF2" s="112" t="s">
        <v>150</v>
      </c>
      <c r="BG2" s="112"/>
      <c r="BH2" s="112"/>
      <c r="BI2" s="112"/>
      <c r="BJ2" s="122" t="s">
        <v>151</v>
      </c>
      <c r="BK2" s="122"/>
      <c r="BL2" s="122"/>
      <c r="BM2" s="122"/>
      <c r="BN2" s="50"/>
      <c r="BO2" s="89" t="s">
        <v>152</v>
      </c>
      <c r="BP2" s="89" t="s">
        <v>153</v>
      </c>
      <c r="BQ2" s="89" t="s">
        <v>149</v>
      </c>
      <c r="BR2" s="89" t="s">
        <v>76</v>
      </c>
      <c r="BS2" s="89" t="s">
        <v>154</v>
      </c>
      <c r="BT2" s="89" t="s">
        <v>19</v>
      </c>
      <c r="BU2" s="111" t="s">
        <v>147</v>
      </c>
      <c r="BV2" s="111"/>
      <c r="BW2" s="111"/>
      <c r="BX2" s="111"/>
      <c r="BY2" s="111" t="s">
        <v>148</v>
      </c>
      <c r="BZ2" s="111"/>
      <c r="CA2" s="111"/>
      <c r="CB2" s="111"/>
      <c r="CC2" s="111" t="s">
        <v>149</v>
      </c>
      <c r="CD2" s="111"/>
      <c r="CE2" s="111"/>
      <c r="CF2" s="111"/>
      <c r="CG2" s="111" t="s">
        <v>150</v>
      </c>
      <c r="CH2" s="111"/>
      <c r="CI2" s="111"/>
      <c r="CJ2" s="111"/>
      <c r="CK2" s="121" t="s">
        <v>151</v>
      </c>
      <c r="CL2" s="121"/>
      <c r="CM2" s="121"/>
      <c r="CN2" s="121"/>
      <c r="CO2" s="60"/>
      <c r="CP2" s="88" t="s">
        <v>152</v>
      </c>
      <c r="CQ2" s="88" t="s">
        <v>153</v>
      </c>
      <c r="CR2" s="88" t="s">
        <v>149</v>
      </c>
      <c r="CS2" s="88" t="s">
        <v>76</v>
      </c>
      <c r="CT2" s="88" t="s">
        <v>154</v>
      </c>
      <c r="CU2" s="88" t="s">
        <v>19</v>
      </c>
      <c r="CV2" s="86" t="s">
        <v>153</v>
      </c>
      <c r="CW2" s="86" t="s">
        <v>24</v>
      </c>
      <c r="CX2" s="111" t="s">
        <v>147</v>
      </c>
      <c r="CY2" s="111"/>
      <c r="CZ2" s="111"/>
      <c r="DA2" s="111"/>
      <c r="DB2" s="111" t="s">
        <v>148</v>
      </c>
      <c r="DC2" s="111"/>
      <c r="DD2" s="111"/>
      <c r="DE2" s="111"/>
      <c r="DF2" s="111" t="s">
        <v>149</v>
      </c>
      <c r="DG2" s="111"/>
      <c r="DH2" s="111"/>
      <c r="DI2" s="111"/>
      <c r="DJ2" s="111" t="s">
        <v>150</v>
      </c>
      <c r="DK2" s="111"/>
      <c r="DL2" s="111"/>
      <c r="DM2" s="111"/>
      <c r="DN2" s="123" t="s">
        <v>151</v>
      </c>
      <c r="DO2" s="123"/>
      <c r="DP2" s="123"/>
      <c r="DQ2" s="123"/>
      <c r="DR2" s="88" t="s">
        <v>152</v>
      </c>
      <c r="DS2" s="88" t="s">
        <v>153</v>
      </c>
      <c r="DT2" s="88" t="s">
        <v>149</v>
      </c>
      <c r="DU2" s="88" t="s">
        <v>76</v>
      </c>
      <c r="DV2" s="88" t="s">
        <v>154</v>
      </c>
      <c r="DW2" s="88" t="s">
        <v>19</v>
      </c>
      <c r="DX2" s="112" t="s">
        <v>147</v>
      </c>
      <c r="DY2" s="112"/>
      <c r="DZ2" s="112"/>
      <c r="EA2" s="112"/>
      <c r="EB2" s="112" t="s">
        <v>148</v>
      </c>
      <c r="EC2" s="112"/>
      <c r="ED2" s="112"/>
      <c r="EE2" s="112"/>
      <c r="EF2" s="112" t="s">
        <v>149</v>
      </c>
      <c r="EG2" s="112"/>
      <c r="EH2" s="112"/>
      <c r="EI2" s="112"/>
      <c r="EJ2" s="112" t="s">
        <v>150</v>
      </c>
      <c r="EK2" s="112"/>
      <c r="EL2" s="112"/>
      <c r="EM2" s="112"/>
      <c r="EN2" s="122" t="s">
        <v>151</v>
      </c>
      <c r="EO2" s="122"/>
      <c r="EP2" s="122"/>
      <c r="EQ2" s="122"/>
      <c r="ER2" s="89" t="s">
        <v>152</v>
      </c>
      <c r="ES2" s="89" t="s">
        <v>153</v>
      </c>
      <c r="ET2" s="89" t="s">
        <v>149</v>
      </c>
      <c r="EU2" s="89" t="s">
        <v>76</v>
      </c>
      <c r="EV2" s="89" t="s">
        <v>154</v>
      </c>
      <c r="EW2" s="89" t="s">
        <v>19</v>
      </c>
      <c r="EX2" s="111" t="s">
        <v>147</v>
      </c>
      <c r="EY2" s="111"/>
      <c r="EZ2" s="111"/>
      <c r="FA2" s="111"/>
      <c r="FB2" s="111" t="s">
        <v>148</v>
      </c>
      <c r="FC2" s="111"/>
      <c r="FD2" s="111"/>
      <c r="FE2" s="111"/>
      <c r="FF2" s="111" t="s">
        <v>149</v>
      </c>
      <c r="FG2" s="111"/>
      <c r="FH2" s="111"/>
      <c r="FI2" s="111"/>
      <c r="FJ2" s="111" t="s">
        <v>150</v>
      </c>
      <c r="FK2" s="111"/>
      <c r="FL2" s="111"/>
      <c r="FM2" s="111"/>
      <c r="FN2" s="123" t="s">
        <v>151</v>
      </c>
      <c r="FO2" s="123"/>
      <c r="FP2" s="123"/>
      <c r="FQ2" s="123"/>
      <c r="FR2" s="88" t="s">
        <v>152</v>
      </c>
      <c r="FS2" s="88" t="s">
        <v>153</v>
      </c>
      <c r="FT2" s="88" t="s">
        <v>149</v>
      </c>
      <c r="FU2" s="88" t="s">
        <v>76</v>
      </c>
      <c r="FV2" s="88" t="s">
        <v>154</v>
      </c>
      <c r="FW2" s="88" t="s">
        <v>19</v>
      </c>
      <c r="FX2" s="112" t="s">
        <v>147</v>
      </c>
      <c r="FY2" s="112"/>
      <c r="FZ2" s="112"/>
      <c r="GA2" s="112"/>
      <c r="GB2" s="112" t="s">
        <v>148</v>
      </c>
      <c r="GC2" s="112"/>
      <c r="GD2" s="112"/>
      <c r="GE2" s="112"/>
      <c r="GF2" s="112" t="s">
        <v>149</v>
      </c>
      <c r="GG2" s="112"/>
      <c r="GH2" s="112"/>
      <c r="GI2" s="112"/>
      <c r="GJ2" s="112" t="s">
        <v>150</v>
      </c>
      <c r="GK2" s="112"/>
      <c r="GL2" s="112"/>
      <c r="GM2" s="112"/>
      <c r="GN2" s="122" t="s">
        <v>151</v>
      </c>
      <c r="GO2" s="122"/>
      <c r="GP2" s="122"/>
      <c r="GQ2" s="122"/>
      <c r="GR2" s="89" t="s">
        <v>152</v>
      </c>
      <c r="GS2" s="89" t="s">
        <v>153</v>
      </c>
      <c r="GT2" s="89" t="s">
        <v>149</v>
      </c>
      <c r="GU2" s="89" t="s">
        <v>76</v>
      </c>
      <c r="GV2" s="89" t="s">
        <v>154</v>
      </c>
      <c r="GW2" s="89" t="s">
        <v>19</v>
      </c>
      <c r="GX2" s="111" t="s">
        <v>147</v>
      </c>
      <c r="GY2" s="111"/>
      <c r="GZ2" s="111"/>
      <c r="HA2" s="111"/>
      <c r="HB2" s="111" t="s">
        <v>148</v>
      </c>
      <c r="HC2" s="111"/>
      <c r="HD2" s="111"/>
      <c r="HE2" s="111"/>
      <c r="HF2" s="111" t="s">
        <v>149</v>
      </c>
      <c r="HG2" s="111"/>
      <c r="HH2" s="111"/>
      <c r="HI2" s="111"/>
      <c r="HJ2" s="111" t="s">
        <v>150</v>
      </c>
      <c r="HK2" s="111"/>
      <c r="HL2" s="111"/>
      <c r="HM2" s="111"/>
      <c r="HN2" s="123" t="s">
        <v>151</v>
      </c>
      <c r="HO2" s="123"/>
      <c r="HP2" s="123"/>
      <c r="HQ2" s="123"/>
      <c r="HR2" s="88" t="s">
        <v>152</v>
      </c>
      <c r="HS2" s="88" t="s">
        <v>153</v>
      </c>
      <c r="HT2" s="88" t="s">
        <v>149</v>
      </c>
      <c r="HU2" s="88" t="s">
        <v>76</v>
      </c>
      <c r="HV2" s="88" t="s">
        <v>154</v>
      </c>
      <c r="HW2" s="88" t="s">
        <v>19</v>
      </c>
      <c r="HX2" s="112" t="s">
        <v>147</v>
      </c>
      <c r="HY2" s="112"/>
      <c r="HZ2" s="112"/>
      <c r="IA2" s="112"/>
      <c r="IB2" s="112" t="s">
        <v>148</v>
      </c>
      <c r="IC2" s="112"/>
      <c r="ID2" s="112"/>
      <c r="IE2" s="112"/>
      <c r="IF2" s="112" t="s">
        <v>149</v>
      </c>
      <c r="IG2" s="112"/>
      <c r="IH2" s="112"/>
      <c r="II2" s="112"/>
      <c r="IJ2" s="112" t="s">
        <v>150</v>
      </c>
      <c r="IK2" s="112"/>
      <c r="IL2" s="112"/>
      <c r="IM2" s="112"/>
      <c r="IN2" s="122" t="s">
        <v>151</v>
      </c>
      <c r="IO2" s="122"/>
      <c r="IP2" s="122"/>
      <c r="IQ2" s="122"/>
      <c r="IR2" s="89" t="s">
        <v>152</v>
      </c>
      <c r="IS2" s="89" t="s">
        <v>153</v>
      </c>
      <c r="IT2" s="89" t="s">
        <v>149</v>
      </c>
      <c r="IU2" s="89" t="s">
        <v>76</v>
      </c>
      <c r="IV2" s="89" t="s">
        <v>154</v>
      </c>
      <c r="IW2" s="89" t="s">
        <v>19</v>
      </c>
      <c r="IX2" s="111" t="s">
        <v>147</v>
      </c>
      <c r="IY2" s="111"/>
      <c r="IZ2" s="111"/>
      <c r="JA2" s="111"/>
      <c r="JB2" s="111" t="s">
        <v>148</v>
      </c>
      <c r="JC2" s="111"/>
      <c r="JD2" s="111"/>
      <c r="JE2" s="111"/>
      <c r="JF2" s="111" t="s">
        <v>149</v>
      </c>
      <c r="JG2" s="111"/>
      <c r="JH2" s="111"/>
      <c r="JI2" s="111"/>
      <c r="JJ2" s="111" t="s">
        <v>150</v>
      </c>
      <c r="JK2" s="111"/>
      <c r="JL2" s="111"/>
      <c r="JM2" s="111"/>
      <c r="JN2" s="123" t="s">
        <v>151</v>
      </c>
      <c r="JO2" s="123"/>
      <c r="JP2" s="123"/>
      <c r="JQ2" s="123"/>
      <c r="JR2" s="88" t="s">
        <v>152</v>
      </c>
      <c r="JS2" s="88" t="s">
        <v>153</v>
      </c>
      <c r="JT2" s="88" t="s">
        <v>149</v>
      </c>
      <c r="JU2" s="88" t="s">
        <v>76</v>
      </c>
      <c r="JV2" s="88" t="s">
        <v>154</v>
      </c>
      <c r="JW2" s="88" t="s">
        <v>19</v>
      </c>
      <c r="JX2" s="112" t="s">
        <v>147</v>
      </c>
      <c r="JY2" s="112"/>
      <c r="JZ2" s="112"/>
      <c r="KA2" s="112"/>
      <c r="KB2" s="112" t="s">
        <v>148</v>
      </c>
      <c r="KC2" s="112"/>
      <c r="KD2" s="112"/>
      <c r="KE2" s="112"/>
      <c r="KF2" s="112" t="s">
        <v>149</v>
      </c>
      <c r="KG2" s="112"/>
      <c r="KH2" s="112"/>
      <c r="KI2" s="112"/>
      <c r="KJ2" s="112" t="s">
        <v>150</v>
      </c>
      <c r="KK2" s="112"/>
      <c r="KL2" s="112"/>
      <c r="KM2" s="112"/>
      <c r="KN2" s="122" t="s">
        <v>151</v>
      </c>
      <c r="KO2" s="122"/>
      <c r="KP2" s="122"/>
      <c r="KQ2" s="122"/>
      <c r="KR2" s="89" t="s">
        <v>152</v>
      </c>
      <c r="KS2" s="89" t="s">
        <v>153</v>
      </c>
      <c r="KT2" s="89" t="s">
        <v>149</v>
      </c>
      <c r="KU2" s="89" t="s">
        <v>76</v>
      </c>
      <c r="KV2" s="89" t="s">
        <v>154</v>
      </c>
      <c r="KW2" s="89" t="s">
        <v>19</v>
      </c>
      <c r="KX2" s="111" t="s">
        <v>147</v>
      </c>
      <c r="KY2" s="111"/>
      <c r="KZ2" s="111"/>
      <c r="LA2" s="111"/>
      <c r="LB2" s="111" t="s">
        <v>148</v>
      </c>
      <c r="LC2" s="111"/>
      <c r="LD2" s="111"/>
      <c r="LE2" s="111"/>
      <c r="LF2" s="111" t="s">
        <v>149</v>
      </c>
      <c r="LG2" s="111"/>
      <c r="LH2" s="111"/>
      <c r="LI2" s="111"/>
      <c r="LJ2" s="111" t="s">
        <v>150</v>
      </c>
      <c r="LK2" s="111"/>
      <c r="LL2" s="111"/>
      <c r="LM2" s="111"/>
      <c r="LN2" s="123" t="s">
        <v>151</v>
      </c>
      <c r="LO2" s="123"/>
      <c r="LP2" s="123"/>
      <c r="LQ2" s="123"/>
      <c r="LR2" s="88" t="s">
        <v>152</v>
      </c>
      <c r="LS2" s="88" t="s">
        <v>153</v>
      </c>
      <c r="LT2" s="88" t="s">
        <v>149</v>
      </c>
      <c r="LU2" s="88" t="s">
        <v>76</v>
      </c>
      <c r="LV2" s="88" t="s">
        <v>154</v>
      </c>
      <c r="LW2" s="88" t="s">
        <v>19</v>
      </c>
      <c r="LX2" s="112" t="s">
        <v>147</v>
      </c>
      <c r="LY2" s="112"/>
      <c r="LZ2" s="112"/>
      <c r="MA2" s="112"/>
      <c r="MB2" s="112" t="s">
        <v>148</v>
      </c>
      <c r="MC2" s="112"/>
      <c r="MD2" s="112"/>
      <c r="ME2" s="112"/>
      <c r="MF2" s="112" t="s">
        <v>149</v>
      </c>
      <c r="MG2" s="112"/>
      <c r="MH2" s="112"/>
      <c r="MI2" s="112"/>
      <c r="MJ2" s="112" t="s">
        <v>150</v>
      </c>
      <c r="MK2" s="112"/>
      <c r="ML2" s="112"/>
      <c r="MM2" s="112"/>
      <c r="MN2" s="122" t="s">
        <v>151</v>
      </c>
      <c r="MO2" s="122"/>
      <c r="MP2" s="122"/>
      <c r="MQ2" s="122"/>
      <c r="MR2" s="89" t="s">
        <v>152</v>
      </c>
      <c r="MS2" s="89" t="s">
        <v>153</v>
      </c>
      <c r="MT2" s="89" t="s">
        <v>149</v>
      </c>
      <c r="MU2" s="89" t="s">
        <v>76</v>
      </c>
      <c r="MV2" s="89" t="s">
        <v>154</v>
      </c>
      <c r="MW2" s="89" t="s">
        <v>19</v>
      </c>
      <c r="MX2" s="111" t="s">
        <v>147</v>
      </c>
      <c r="MY2" s="111"/>
      <c r="MZ2" s="111"/>
      <c r="NA2" s="111"/>
      <c r="NB2" s="111" t="s">
        <v>148</v>
      </c>
      <c r="NC2" s="111"/>
      <c r="ND2" s="111"/>
      <c r="NE2" s="111"/>
      <c r="NF2" s="111" t="s">
        <v>149</v>
      </c>
      <c r="NG2" s="111"/>
      <c r="NH2" s="111"/>
      <c r="NI2" s="111"/>
      <c r="NJ2" s="111" t="s">
        <v>150</v>
      </c>
      <c r="NK2" s="111"/>
      <c r="NL2" s="111"/>
      <c r="NM2" s="111"/>
      <c r="NN2" s="123" t="s">
        <v>151</v>
      </c>
      <c r="NO2" s="123"/>
      <c r="NP2" s="123"/>
      <c r="NQ2" s="123"/>
      <c r="NR2" s="88" t="s">
        <v>152</v>
      </c>
      <c r="NS2" s="88" t="s">
        <v>153</v>
      </c>
      <c r="NT2" s="88" t="s">
        <v>149</v>
      </c>
      <c r="NU2" s="88" t="s">
        <v>76</v>
      </c>
      <c r="NV2" s="88" t="s">
        <v>154</v>
      </c>
      <c r="NW2" s="88" t="s">
        <v>19</v>
      </c>
      <c r="NX2" s="112" t="s">
        <v>147</v>
      </c>
      <c r="NY2" s="112"/>
      <c r="NZ2" s="112"/>
      <c r="OA2" s="112"/>
      <c r="OB2" s="112" t="s">
        <v>148</v>
      </c>
      <c r="OC2" s="112"/>
      <c r="OD2" s="112"/>
      <c r="OE2" s="112"/>
      <c r="OF2" s="112" t="s">
        <v>149</v>
      </c>
      <c r="OG2" s="112"/>
      <c r="OH2" s="112"/>
      <c r="OI2" s="112"/>
      <c r="OJ2" s="112" t="s">
        <v>150</v>
      </c>
      <c r="OK2" s="112"/>
      <c r="OL2" s="112"/>
      <c r="OM2" s="112"/>
      <c r="ON2" s="122" t="s">
        <v>151</v>
      </c>
      <c r="OO2" s="122"/>
      <c r="OP2" s="122"/>
      <c r="OQ2" s="122"/>
      <c r="OR2" s="89" t="s">
        <v>152</v>
      </c>
      <c r="OS2" s="89" t="s">
        <v>153</v>
      </c>
      <c r="OT2" s="89" t="s">
        <v>149</v>
      </c>
      <c r="OU2" s="89" t="s">
        <v>76</v>
      </c>
      <c r="OV2" s="89" t="s">
        <v>154</v>
      </c>
      <c r="OW2" s="89" t="s">
        <v>19</v>
      </c>
      <c r="OX2" s="111" t="s">
        <v>147</v>
      </c>
      <c r="OY2" s="111"/>
      <c r="OZ2" s="111"/>
      <c r="PA2" s="111"/>
      <c r="PB2" s="111" t="s">
        <v>148</v>
      </c>
      <c r="PC2" s="111"/>
      <c r="PD2" s="111"/>
      <c r="PE2" s="111"/>
      <c r="PF2" s="111" t="s">
        <v>149</v>
      </c>
      <c r="PG2" s="111"/>
      <c r="PH2" s="111"/>
      <c r="PI2" s="111"/>
      <c r="PJ2" s="111" t="s">
        <v>150</v>
      </c>
      <c r="PK2" s="111"/>
      <c r="PL2" s="111"/>
      <c r="PM2" s="111"/>
      <c r="PN2" s="121" t="s">
        <v>151</v>
      </c>
      <c r="PO2" s="121"/>
      <c r="PP2" s="121"/>
      <c r="PQ2" s="121"/>
      <c r="PR2" s="57"/>
      <c r="PS2" s="88" t="s">
        <v>152</v>
      </c>
      <c r="PT2" s="88" t="s">
        <v>153</v>
      </c>
      <c r="PU2" s="88" t="s">
        <v>149</v>
      </c>
      <c r="PV2" s="88" t="s">
        <v>76</v>
      </c>
      <c r="PW2" s="88" t="s">
        <v>154</v>
      </c>
      <c r="PX2" s="88" t="s">
        <v>19</v>
      </c>
    </row>
    <row r="3" spans="1:440" x14ac:dyDescent="0.2">
      <c r="A3" s="117"/>
      <c r="B3" s="117"/>
      <c r="C3" s="117"/>
      <c r="D3" s="117"/>
      <c r="E3" s="117"/>
      <c r="F3" s="119"/>
      <c r="G3" s="119"/>
      <c r="H3" s="117"/>
      <c r="I3" s="119"/>
      <c r="J3" s="118"/>
      <c r="K3" s="116"/>
      <c r="L3" s="118"/>
      <c r="M3" s="116"/>
      <c r="N3" s="116"/>
      <c r="O3" s="116"/>
      <c r="P3" s="120"/>
      <c r="Q3" s="116"/>
      <c r="R3" s="116"/>
      <c r="S3" s="37" t="s">
        <v>16</v>
      </c>
      <c r="T3" s="37" t="s">
        <v>11</v>
      </c>
      <c r="U3" s="37" t="s">
        <v>34</v>
      </c>
      <c r="V3" s="37" t="s">
        <v>35</v>
      </c>
      <c r="W3" s="37" t="s">
        <v>16</v>
      </c>
      <c r="X3" s="37" t="s">
        <v>11</v>
      </c>
      <c r="Y3" s="37" t="s">
        <v>34</v>
      </c>
      <c r="Z3" s="37" t="s">
        <v>35</v>
      </c>
      <c r="AA3" s="88" t="s">
        <v>16</v>
      </c>
      <c r="AB3" s="88" t="s">
        <v>11</v>
      </c>
      <c r="AC3" s="88" t="s">
        <v>34</v>
      </c>
      <c r="AD3" s="88" t="s">
        <v>35</v>
      </c>
      <c r="AE3" s="37" t="s">
        <v>16</v>
      </c>
      <c r="AF3" s="37" t="s">
        <v>11</v>
      </c>
      <c r="AG3" s="37" t="s">
        <v>34</v>
      </c>
      <c r="AH3" s="37" t="s">
        <v>35</v>
      </c>
      <c r="AI3" s="40" t="s">
        <v>16</v>
      </c>
      <c r="AJ3" s="40" t="s">
        <v>11</v>
      </c>
      <c r="AK3" s="40" t="s">
        <v>34</v>
      </c>
      <c r="AL3" s="40" t="s">
        <v>35</v>
      </c>
      <c r="AM3" s="49" t="s">
        <v>60</v>
      </c>
      <c r="AN3" s="88"/>
      <c r="AO3" s="88"/>
      <c r="AP3" s="88"/>
      <c r="AQ3" s="88"/>
      <c r="AR3" s="88"/>
      <c r="AS3" s="88"/>
      <c r="AT3" s="36" t="s">
        <v>16</v>
      </c>
      <c r="AU3" s="36" t="s">
        <v>11</v>
      </c>
      <c r="AV3" s="36" t="s">
        <v>34</v>
      </c>
      <c r="AW3" s="36" t="s">
        <v>35</v>
      </c>
      <c r="AX3" s="36" t="s">
        <v>16</v>
      </c>
      <c r="AY3" s="36" t="s">
        <v>11</v>
      </c>
      <c r="AZ3" s="36" t="s">
        <v>34</v>
      </c>
      <c r="BA3" s="36" t="s">
        <v>35</v>
      </c>
      <c r="BB3" s="89" t="s">
        <v>16</v>
      </c>
      <c r="BC3" s="89" t="s">
        <v>11</v>
      </c>
      <c r="BD3" s="89" t="s">
        <v>34</v>
      </c>
      <c r="BE3" s="89" t="s">
        <v>35</v>
      </c>
      <c r="BF3" s="36" t="s">
        <v>16</v>
      </c>
      <c r="BG3" s="36" t="s">
        <v>11</v>
      </c>
      <c r="BH3" s="36" t="s">
        <v>34</v>
      </c>
      <c r="BI3" s="36" t="s">
        <v>35</v>
      </c>
      <c r="BJ3" s="38" t="s">
        <v>16</v>
      </c>
      <c r="BK3" s="38" t="s">
        <v>11</v>
      </c>
      <c r="BL3" s="38" t="s">
        <v>34</v>
      </c>
      <c r="BM3" s="38" t="s">
        <v>35</v>
      </c>
      <c r="BN3" s="50" t="s">
        <v>60</v>
      </c>
      <c r="BO3" s="89"/>
      <c r="BP3" s="89"/>
      <c r="BQ3" s="89"/>
      <c r="BR3" s="89"/>
      <c r="BS3" s="89"/>
      <c r="BT3" s="89"/>
      <c r="BU3" s="60" t="s">
        <v>16</v>
      </c>
      <c r="BV3" s="60" t="s">
        <v>11</v>
      </c>
      <c r="BW3" s="60" t="s">
        <v>34</v>
      </c>
      <c r="BX3" s="60" t="s">
        <v>35</v>
      </c>
      <c r="BY3" s="60" t="s">
        <v>16</v>
      </c>
      <c r="BZ3" s="60" t="s">
        <v>11</v>
      </c>
      <c r="CA3" s="60" t="s">
        <v>34</v>
      </c>
      <c r="CB3" s="60" t="s">
        <v>35</v>
      </c>
      <c r="CC3" s="88" t="s">
        <v>16</v>
      </c>
      <c r="CD3" s="88" t="s">
        <v>11</v>
      </c>
      <c r="CE3" s="88" t="s">
        <v>34</v>
      </c>
      <c r="CF3" s="88" t="s">
        <v>35</v>
      </c>
      <c r="CG3" s="60" t="s">
        <v>16</v>
      </c>
      <c r="CH3" s="60" t="s">
        <v>11</v>
      </c>
      <c r="CI3" s="60" t="s">
        <v>34</v>
      </c>
      <c r="CJ3" s="60" t="s">
        <v>35</v>
      </c>
      <c r="CK3" s="61" t="s">
        <v>16</v>
      </c>
      <c r="CL3" s="61" t="s">
        <v>11</v>
      </c>
      <c r="CM3" s="61" t="s">
        <v>34</v>
      </c>
      <c r="CN3" s="61" t="s">
        <v>35</v>
      </c>
      <c r="CO3" s="60" t="s">
        <v>60</v>
      </c>
      <c r="CP3" s="88"/>
      <c r="CQ3" s="88"/>
      <c r="CR3" s="88"/>
      <c r="CS3" s="88"/>
      <c r="CT3" s="88"/>
      <c r="CU3" s="88"/>
      <c r="CV3" s="86"/>
      <c r="CW3" s="86"/>
      <c r="CX3" s="37" t="s">
        <v>16</v>
      </c>
      <c r="CY3" s="37" t="s">
        <v>11</v>
      </c>
      <c r="CZ3" s="37" t="s">
        <v>34</v>
      </c>
      <c r="DA3" s="37" t="s">
        <v>35</v>
      </c>
      <c r="DB3" s="37" t="s">
        <v>16</v>
      </c>
      <c r="DC3" s="37" t="s">
        <v>11</v>
      </c>
      <c r="DD3" s="37" t="s">
        <v>34</v>
      </c>
      <c r="DE3" s="37" t="s">
        <v>35</v>
      </c>
      <c r="DF3" s="88" t="s">
        <v>16</v>
      </c>
      <c r="DG3" s="88" t="s">
        <v>11</v>
      </c>
      <c r="DH3" s="88" t="s">
        <v>34</v>
      </c>
      <c r="DI3" s="88" t="s">
        <v>35</v>
      </c>
      <c r="DJ3" s="37" t="s">
        <v>16</v>
      </c>
      <c r="DK3" s="37" t="s">
        <v>11</v>
      </c>
      <c r="DL3" s="37" t="s">
        <v>34</v>
      </c>
      <c r="DM3" s="37" t="s">
        <v>35</v>
      </c>
      <c r="DN3" s="39" t="s">
        <v>16</v>
      </c>
      <c r="DO3" s="39" t="s">
        <v>11</v>
      </c>
      <c r="DP3" s="39" t="s">
        <v>34</v>
      </c>
      <c r="DQ3" s="39" t="s">
        <v>35</v>
      </c>
      <c r="DR3" s="88"/>
      <c r="DS3" s="88"/>
      <c r="DT3" s="88"/>
      <c r="DU3" s="88"/>
      <c r="DV3" s="88"/>
      <c r="DW3" s="88"/>
      <c r="DX3" s="36" t="s">
        <v>16</v>
      </c>
      <c r="DY3" s="36" t="s">
        <v>11</v>
      </c>
      <c r="DZ3" s="36" t="s">
        <v>34</v>
      </c>
      <c r="EA3" s="36" t="s">
        <v>35</v>
      </c>
      <c r="EB3" s="36" t="s">
        <v>16</v>
      </c>
      <c r="EC3" s="36" t="s">
        <v>11</v>
      </c>
      <c r="ED3" s="36" t="s">
        <v>34</v>
      </c>
      <c r="EE3" s="36" t="s">
        <v>35</v>
      </c>
      <c r="EF3" s="89" t="s">
        <v>16</v>
      </c>
      <c r="EG3" s="89" t="s">
        <v>11</v>
      </c>
      <c r="EH3" s="89" t="s">
        <v>34</v>
      </c>
      <c r="EI3" s="89" t="s">
        <v>35</v>
      </c>
      <c r="EJ3" s="36" t="s">
        <v>16</v>
      </c>
      <c r="EK3" s="36" t="s">
        <v>11</v>
      </c>
      <c r="EL3" s="36" t="s">
        <v>34</v>
      </c>
      <c r="EM3" s="36" t="s">
        <v>35</v>
      </c>
      <c r="EN3" s="38" t="s">
        <v>16</v>
      </c>
      <c r="EO3" s="38" t="s">
        <v>11</v>
      </c>
      <c r="EP3" s="38" t="s">
        <v>34</v>
      </c>
      <c r="EQ3" s="38" t="s">
        <v>35</v>
      </c>
      <c r="ER3" s="89"/>
      <c r="ES3" s="89"/>
      <c r="ET3" s="89"/>
      <c r="EU3" s="89"/>
      <c r="EV3" s="89"/>
      <c r="EW3" s="89"/>
      <c r="EX3" s="37" t="s">
        <v>16</v>
      </c>
      <c r="EY3" s="37" t="s">
        <v>11</v>
      </c>
      <c r="EZ3" s="37" t="s">
        <v>34</v>
      </c>
      <c r="FA3" s="37" t="s">
        <v>35</v>
      </c>
      <c r="FB3" s="37" t="s">
        <v>16</v>
      </c>
      <c r="FC3" s="37" t="s">
        <v>11</v>
      </c>
      <c r="FD3" s="37" t="s">
        <v>34</v>
      </c>
      <c r="FE3" s="37" t="s">
        <v>35</v>
      </c>
      <c r="FF3" s="88" t="s">
        <v>16</v>
      </c>
      <c r="FG3" s="88" t="s">
        <v>11</v>
      </c>
      <c r="FH3" s="88" t="s">
        <v>34</v>
      </c>
      <c r="FI3" s="88" t="s">
        <v>35</v>
      </c>
      <c r="FJ3" s="37" t="s">
        <v>16</v>
      </c>
      <c r="FK3" s="37" t="s">
        <v>11</v>
      </c>
      <c r="FL3" s="37" t="s">
        <v>34</v>
      </c>
      <c r="FM3" s="37" t="s">
        <v>35</v>
      </c>
      <c r="FN3" s="39" t="s">
        <v>16</v>
      </c>
      <c r="FO3" s="39" t="s">
        <v>11</v>
      </c>
      <c r="FP3" s="39" t="s">
        <v>34</v>
      </c>
      <c r="FQ3" s="39" t="s">
        <v>35</v>
      </c>
      <c r="FR3" s="88"/>
      <c r="FS3" s="88"/>
      <c r="FT3" s="88"/>
      <c r="FU3" s="88"/>
      <c r="FV3" s="88"/>
      <c r="FW3" s="88"/>
      <c r="FX3" s="19" t="s">
        <v>16</v>
      </c>
      <c r="FY3" s="19" t="s">
        <v>11</v>
      </c>
      <c r="FZ3" s="19" t="s">
        <v>34</v>
      </c>
      <c r="GA3" s="19" t="s">
        <v>35</v>
      </c>
      <c r="GB3" s="19" t="s">
        <v>16</v>
      </c>
      <c r="GC3" s="19" t="s">
        <v>11</v>
      </c>
      <c r="GD3" s="19" t="s">
        <v>34</v>
      </c>
      <c r="GE3" s="19" t="s">
        <v>35</v>
      </c>
      <c r="GF3" s="89" t="s">
        <v>16</v>
      </c>
      <c r="GG3" s="89" t="s">
        <v>11</v>
      </c>
      <c r="GH3" s="89" t="s">
        <v>34</v>
      </c>
      <c r="GI3" s="89" t="s">
        <v>35</v>
      </c>
      <c r="GJ3" s="19" t="s">
        <v>16</v>
      </c>
      <c r="GK3" s="19" t="s">
        <v>11</v>
      </c>
      <c r="GL3" s="19" t="s">
        <v>34</v>
      </c>
      <c r="GM3" s="19" t="s">
        <v>35</v>
      </c>
      <c r="GN3" s="22" t="s">
        <v>16</v>
      </c>
      <c r="GO3" s="22" t="s">
        <v>11</v>
      </c>
      <c r="GP3" s="22" t="s">
        <v>34</v>
      </c>
      <c r="GQ3" s="22" t="s">
        <v>35</v>
      </c>
      <c r="GR3" s="89"/>
      <c r="GS3" s="89"/>
      <c r="GT3" s="89"/>
      <c r="GU3" s="89"/>
      <c r="GV3" s="89"/>
      <c r="GW3" s="89"/>
      <c r="GX3" s="20" t="s">
        <v>16</v>
      </c>
      <c r="GY3" s="20" t="s">
        <v>11</v>
      </c>
      <c r="GZ3" s="20" t="s">
        <v>34</v>
      </c>
      <c r="HA3" s="20" t="s">
        <v>35</v>
      </c>
      <c r="HB3" s="20" t="s">
        <v>16</v>
      </c>
      <c r="HC3" s="20" t="s">
        <v>11</v>
      </c>
      <c r="HD3" s="20" t="s">
        <v>34</v>
      </c>
      <c r="HE3" s="20" t="s">
        <v>35</v>
      </c>
      <c r="HF3" s="88" t="s">
        <v>16</v>
      </c>
      <c r="HG3" s="88" t="s">
        <v>11</v>
      </c>
      <c r="HH3" s="88" t="s">
        <v>34</v>
      </c>
      <c r="HI3" s="88" t="s">
        <v>35</v>
      </c>
      <c r="HJ3" s="20" t="s">
        <v>16</v>
      </c>
      <c r="HK3" s="20" t="s">
        <v>11</v>
      </c>
      <c r="HL3" s="20" t="s">
        <v>34</v>
      </c>
      <c r="HM3" s="20" t="s">
        <v>35</v>
      </c>
      <c r="HN3" s="21" t="s">
        <v>16</v>
      </c>
      <c r="HO3" s="21" t="s">
        <v>11</v>
      </c>
      <c r="HP3" s="21" t="s">
        <v>34</v>
      </c>
      <c r="HQ3" s="21" t="s">
        <v>35</v>
      </c>
      <c r="HR3" s="88"/>
      <c r="HS3" s="88"/>
      <c r="HT3" s="88"/>
      <c r="HU3" s="88"/>
      <c r="HV3" s="88"/>
      <c r="HW3" s="88"/>
      <c r="HX3" s="19" t="s">
        <v>16</v>
      </c>
      <c r="HY3" s="19" t="s">
        <v>11</v>
      </c>
      <c r="HZ3" s="19" t="s">
        <v>34</v>
      </c>
      <c r="IA3" s="19" t="s">
        <v>35</v>
      </c>
      <c r="IB3" s="19" t="s">
        <v>16</v>
      </c>
      <c r="IC3" s="19" t="s">
        <v>11</v>
      </c>
      <c r="ID3" s="19" t="s">
        <v>34</v>
      </c>
      <c r="IE3" s="19" t="s">
        <v>35</v>
      </c>
      <c r="IF3" s="89" t="s">
        <v>16</v>
      </c>
      <c r="IG3" s="89" t="s">
        <v>11</v>
      </c>
      <c r="IH3" s="89" t="s">
        <v>34</v>
      </c>
      <c r="II3" s="89" t="s">
        <v>35</v>
      </c>
      <c r="IJ3" s="19" t="s">
        <v>16</v>
      </c>
      <c r="IK3" s="19" t="s">
        <v>11</v>
      </c>
      <c r="IL3" s="19" t="s">
        <v>34</v>
      </c>
      <c r="IM3" s="19" t="s">
        <v>35</v>
      </c>
      <c r="IN3" s="22" t="s">
        <v>16</v>
      </c>
      <c r="IO3" s="22" t="s">
        <v>11</v>
      </c>
      <c r="IP3" s="22" t="s">
        <v>34</v>
      </c>
      <c r="IQ3" s="22" t="s">
        <v>35</v>
      </c>
      <c r="IR3" s="89"/>
      <c r="IS3" s="89"/>
      <c r="IT3" s="89"/>
      <c r="IU3" s="89"/>
      <c r="IV3" s="89"/>
      <c r="IW3" s="89"/>
      <c r="IX3" s="20" t="s">
        <v>16</v>
      </c>
      <c r="IY3" s="20" t="s">
        <v>11</v>
      </c>
      <c r="IZ3" s="20" t="s">
        <v>34</v>
      </c>
      <c r="JA3" s="20" t="s">
        <v>35</v>
      </c>
      <c r="JB3" s="20" t="s">
        <v>16</v>
      </c>
      <c r="JC3" s="20" t="s">
        <v>11</v>
      </c>
      <c r="JD3" s="20" t="s">
        <v>34</v>
      </c>
      <c r="JE3" s="20" t="s">
        <v>35</v>
      </c>
      <c r="JF3" s="88" t="s">
        <v>16</v>
      </c>
      <c r="JG3" s="88" t="s">
        <v>11</v>
      </c>
      <c r="JH3" s="88" t="s">
        <v>34</v>
      </c>
      <c r="JI3" s="88" t="s">
        <v>35</v>
      </c>
      <c r="JJ3" s="20" t="s">
        <v>16</v>
      </c>
      <c r="JK3" s="20" t="s">
        <v>11</v>
      </c>
      <c r="JL3" s="20" t="s">
        <v>34</v>
      </c>
      <c r="JM3" s="20" t="s">
        <v>35</v>
      </c>
      <c r="JN3" s="21" t="s">
        <v>16</v>
      </c>
      <c r="JO3" s="21" t="s">
        <v>11</v>
      </c>
      <c r="JP3" s="21" t="s">
        <v>34</v>
      </c>
      <c r="JQ3" s="21" t="s">
        <v>35</v>
      </c>
      <c r="JR3" s="88"/>
      <c r="JS3" s="88"/>
      <c r="JT3" s="88"/>
      <c r="JU3" s="88"/>
      <c r="JV3" s="88"/>
      <c r="JW3" s="88"/>
      <c r="JX3" s="19" t="s">
        <v>16</v>
      </c>
      <c r="JY3" s="19" t="s">
        <v>11</v>
      </c>
      <c r="JZ3" s="19" t="s">
        <v>34</v>
      </c>
      <c r="KA3" s="19" t="s">
        <v>35</v>
      </c>
      <c r="KB3" s="19" t="s">
        <v>16</v>
      </c>
      <c r="KC3" s="19" t="s">
        <v>11</v>
      </c>
      <c r="KD3" s="19" t="s">
        <v>34</v>
      </c>
      <c r="KE3" s="19" t="s">
        <v>35</v>
      </c>
      <c r="KF3" s="89" t="s">
        <v>16</v>
      </c>
      <c r="KG3" s="89" t="s">
        <v>11</v>
      </c>
      <c r="KH3" s="89" t="s">
        <v>34</v>
      </c>
      <c r="KI3" s="89" t="s">
        <v>35</v>
      </c>
      <c r="KJ3" s="19" t="s">
        <v>16</v>
      </c>
      <c r="KK3" s="19" t="s">
        <v>11</v>
      </c>
      <c r="KL3" s="19" t="s">
        <v>34</v>
      </c>
      <c r="KM3" s="19" t="s">
        <v>35</v>
      </c>
      <c r="KN3" s="22" t="s">
        <v>16</v>
      </c>
      <c r="KO3" s="22" t="s">
        <v>11</v>
      </c>
      <c r="KP3" s="22" t="s">
        <v>34</v>
      </c>
      <c r="KQ3" s="22" t="s">
        <v>35</v>
      </c>
      <c r="KR3" s="89"/>
      <c r="KS3" s="89"/>
      <c r="KT3" s="89"/>
      <c r="KU3" s="89"/>
      <c r="KV3" s="89"/>
      <c r="KW3" s="89"/>
      <c r="KX3" s="20" t="s">
        <v>16</v>
      </c>
      <c r="KY3" s="20" t="s">
        <v>11</v>
      </c>
      <c r="KZ3" s="20" t="s">
        <v>34</v>
      </c>
      <c r="LA3" s="20" t="s">
        <v>35</v>
      </c>
      <c r="LB3" s="20" t="s">
        <v>16</v>
      </c>
      <c r="LC3" s="20" t="s">
        <v>11</v>
      </c>
      <c r="LD3" s="20" t="s">
        <v>34</v>
      </c>
      <c r="LE3" s="20" t="s">
        <v>35</v>
      </c>
      <c r="LF3" s="88" t="s">
        <v>16</v>
      </c>
      <c r="LG3" s="88" t="s">
        <v>11</v>
      </c>
      <c r="LH3" s="88" t="s">
        <v>34</v>
      </c>
      <c r="LI3" s="88" t="s">
        <v>35</v>
      </c>
      <c r="LJ3" s="20" t="s">
        <v>16</v>
      </c>
      <c r="LK3" s="20" t="s">
        <v>11</v>
      </c>
      <c r="LL3" s="20" t="s">
        <v>34</v>
      </c>
      <c r="LM3" s="20" t="s">
        <v>35</v>
      </c>
      <c r="LN3" s="21" t="s">
        <v>16</v>
      </c>
      <c r="LO3" s="21" t="s">
        <v>11</v>
      </c>
      <c r="LP3" s="21" t="s">
        <v>34</v>
      </c>
      <c r="LQ3" s="21" t="s">
        <v>35</v>
      </c>
      <c r="LR3" s="88"/>
      <c r="LS3" s="88"/>
      <c r="LT3" s="88"/>
      <c r="LU3" s="88"/>
      <c r="LV3" s="88"/>
      <c r="LW3" s="88"/>
      <c r="LX3" s="19" t="s">
        <v>16</v>
      </c>
      <c r="LY3" s="19" t="s">
        <v>11</v>
      </c>
      <c r="LZ3" s="19" t="s">
        <v>34</v>
      </c>
      <c r="MA3" s="19" t="s">
        <v>35</v>
      </c>
      <c r="MB3" s="19" t="s">
        <v>16</v>
      </c>
      <c r="MC3" s="19" t="s">
        <v>11</v>
      </c>
      <c r="MD3" s="19" t="s">
        <v>34</v>
      </c>
      <c r="ME3" s="19" t="s">
        <v>35</v>
      </c>
      <c r="MF3" s="89" t="s">
        <v>16</v>
      </c>
      <c r="MG3" s="89" t="s">
        <v>11</v>
      </c>
      <c r="MH3" s="89" t="s">
        <v>34</v>
      </c>
      <c r="MI3" s="89" t="s">
        <v>35</v>
      </c>
      <c r="MJ3" s="19" t="s">
        <v>16</v>
      </c>
      <c r="MK3" s="19" t="s">
        <v>11</v>
      </c>
      <c r="ML3" s="19" t="s">
        <v>34</v>
      </c>
      <c r="MM3" s="19" t="s">
        <v>35</v>
      </c>
      <c r="MN3" s="22" t="s">
        <v>16</v>
      </c>
      <c r="MO3" s="22" t="s">
        <v>11</v>
      </c>
      <c r="MP3" s="22" t="s">
        <v>34</v>
      </c>
      <c r="MQ3" s="22" t="s">
        <v>35</v>
      </c>
      <c r="MR3" s="89"/>
      <c r="MS3" s="89"/>
      <c r="MT3" s="89"/>
      <c r="MU3" s="89"/>
      <c r="MV3" s="89"/>
      <c r="MW3" s="89"/>
      <c r="MX3" s="20" t="s">
        <v>16</v>
      </c>
      <c r="MY3" s="20" t="s">
        <v>11</v>
      </c>
      <c r="MZ3" s="20" t="s">
        <v>34</v>
      </c>
      <c r="NA3" s="20" t="s">
        <v>35</v>
      </c>
      <c r="NB3" s="20" t="s">
        <v>16</v>
      </c>
      <c r="NC3" s="20" t="s">
        <v>11</v>
      </c>
      <c r="ND3" s="20" t="s">
        <v>34</v>
      </c>
      <c r="NE3" s="20" t="s">
        <v>35</v>
      </c>
      <c r="NF3" s="88" t="s">
        <v>16</v>
      </c>
      <c r="NG3" s="88" t="s">
        <v>11</v>
      </c>
      <c r="NH3" s="88" t="s">
        <v>34</v>
      </c>
      <c r="NI3" s="88" t="s">
        <v>35</v>
      </c>
      <c r="NJ3" s="20" t="s">
        <v>16</v>
      </c>
      <c r="NK3" s="20" t="s">
        <v>11</v>
      </c>
      <c r="NL3" s="20" t="s">
        <v>34</v>
      </c>
      <c r="NM3" s="20" t="s">
        <v>35</v>
      </c>
      <c r="NN3" s="21" t="s">
        <v>16</v>
      </c>
      <c r="NO3" s="21" t="s">
        <v>11</v>
      </c>
      <c r="NP3" s="21" t="s">
        <v>34</v>
      </c>
      <c r="NQ3" s="21" t="s">
        <v>35</v>
      </c>
      <c r="NR3" s="88"/>
      <c r="NS3" s="88"/>
      <c r="NT3" s="88"/>
      <c r="NU3" s="88"/>
      <c r="NV3" s="88"/>
      <c r="NW3" s="88"/>
      <c r="NX3" s="19" t="s">
        <v>16</v>
      </c>
      <c r="NY3" s="19" t="s">
        <v>11</v>
      </c>
      <c r="NZ3" s="19" t="s">
        <v>34</v>
      </c>
      <c r="OA3" s="19" t="s">
        <v>35</v>
      </c>
      <c r="OB3" s="19" t="s">
        <v>16</v>
      </c>
      <c r="OC3" s="19" t="s">
        <v>11</v>
      </c>
      <c r="OD3" s="19" t="s">
        <v>34</v>
      </c>
      <c r="OE3" s="19" t="s">
        <v>35</v>
      </c>
      <c r="OF3" s="89" t="s">
        <v>16</v>
      </c>
      <c r="OG3" s="89" t="s">
        <v>11</v>
      </c>
      <c r="OH3" s="89" t="s">
        <v>34</v>
      </c>
      <c r="OI3" s="89" t="s">
        <v>35</v>
      </c>
      <c r="OJ3" s="19" t="s">
        <v>16</v>
      </c>
      <c r="OK3" s="19" t="s">
        <v>11</v>
      </c>
      <c r="OL3" s="19" t="s">
        <v>34</v>
      </c>
      <c r="OM3" s="19" t="s">
        <v>35</v>
      </c>
      <c r="ON3" s="22" t="s">
        <v>16</v>
      </c>
      <c r="OO3" s="22" t="s">
        <v>11</v>
      </c>
      <c r="OP3" s="22" t="s">
        <v>34</v>
      </c>
      <c r="OQ3" s="22" t="s">
        <v>35</v>
      </c>
      <c r="OR3" s="89"/>
      <c r="OS3" s="89"/>
      <c r="OT3" s="89"/>
      <c r="OU3" s="89"/>
      <c r="OV3" s="89"/>
      <c r="OW3" s="89"/>
      <c r="OX3" s="57" t="s">
        <v>16</v>
      </c>
      <c r="OY3" s="57" t="s">
        <v>11</v>
      </c>
      <c r="OZ3" s="57" t="s">
        <v>34</v>
      </c>
      <c r="PA3" s="57" t="s">
        <v>35</v>
      </c>
      <c r="PB3" s="57" t="s">
        <v>16</v>
      </c>
      <c r="PC3" s="57" t="s">
        <v>11</v>
      </c>
      <c r="PD3" s="57" t="s">
        <v>34</v>
      </c>
      <c r="PE3" s="57" t="s">
        <v>35</v>
      </c>
      <c r="PF3" s="88" t="s">
        <v>16</v>
      </c>
      <c r="PG3" s="88" t="s">
        <v>11</v>
      </c>
      <c r="PH3" s="88" t="s">
        <v>34</v>
      </c>
      <c r="PI3" s="88" t="s">
        <v>35</v>
      </c>
      <c r="PJ3" s="57" t="s">
        <v>16</v>
      </c>
      <c r="PK3" s="57" t="s">
        <v>11</v>
      </c>
      <c r="PL3" s="57" t="s">
        <v>34</v>
      </c>
      <c r="PM3" s="57" t="s">
        <v>35</v>
      </c>
      <c r="PN3" s="58" t="s">
        <v>16</v>
      </c>
      <c r="PO3" s="58" t="s">
        <v>11</v>
      </c>
      <c r="PP3" s="58" t="s">
        <v>34</v>
      </c>
      <c r="PQ3" s="58" t="s">
        <v>35</v>
      </c>
      <c r="PR3" s="57" t="s">
        <v>60</v>
      </c>
      <c r="PS3" s="88"/>
      <c r="PT3" s="88"/>
      <c r="PU3" s="88"/>
      <c r="PV3" s="88"/>
      <c r="PW3" s="88"/>
      <c r="PX3" s="88"/>
    </row>
    <row r="4" spans="1:440" x14ac:dyDescent="0.2">
      <c r="A4" s="5">
        <f>IF(AND(F4="P",G4="P"),SUMPRODUCT((F$4:F$8="P")*(G$4:G$8="P")*(E$4:E$8&gt;E4))+1,IF(G4="P",SUMPRODUCT((F$4:F$8="")*(G$4:G$8="P")*(E$4:E$8&gt;E4))+1+SUMPRODUCT((F$4:F$8="P")*(G$4:G$8="P")),""))</f>
        <v>1</v>
      </c>
      <c r="B4" s="6" t="s">
        <v>164</v>
      </c>
      <c r="C4" s="7" t="s">
        <v>3</v>
      </c>
      <c r="D4" s="18">
        <v>1991</v>
      </c>
      <c r="E4" s="14">
        <f>SUM(J4:P4)+SUM(J4:N4)*0.0000001+SUM(J4)*0.0000000000001</f>
        <v>91.260009126004519</v>
      </c>
      <c r="F4" s="3" t="str">
        <f>IF(OR(AND(AN4&gt;=AS$10,AO4&gt;=AS$14,AN4&lt;&gt;"",AM4=""),AND(AQ4&gt;=AS$10,AR4&gt;=AS$14,AQ4&lt;&gt;"",AM4=""),AND(BO4&gt;=BT$10,BP4&gt;=BT$14,BO4&lt;&gt;"",BN4=""),AND(BR4&gt;=BT$10,BS4&gt;=BT$14,BR4&lt;&gt;"",BN4=""),AND(CP4&gt;=CU$10,CQ4&gt;=CU$14,CP4&lt;&gt;"",CO4=""),AND(CS4&gt;=CU$10,CT4&gt;=CU$14,CS4&lt;&gt;""),AND(DR4&gt;=DW$10,DS4&gt;=DW$14,DR4&lt;&gt;""),AND(DU4&gt;=DW$10,DV4&gt;=DW$14,DU4&lt;&gt;""),AND(ER4&gt;=EW$10,ES4&gt;=EW$14,ER4&lt;&gt;""),AND(EU4&gt;=EW$10,EV4&gt;=EW$14,EU4&lt;&gt;""),AND(FR4&gt;=FW$10,FS4&gt;=FW$14,FR4&lt;&gt;""),AND(FU4&gt;=FW$10,FV4&gt;=FW$14,FU4&lt;&gt;""),AND(GR4&gt;=GW$10,GS4&gt;=GW$14,GR4&lt;&gt;""),AND(GU4&gt;=GW$10,GV4&gt;=GW$14,GU4&lt;&gt;""),AND(HR4&gt;=HW$10,HS4&gt;=HW$14,HR4&lt;&gt;""),AND(HU4&gt;=HW$10,HV4&gt;=HW$14,HU4&lt;&gt;""),AND(IR4&gt;=IW$10,IS4&gt;=IW$14,IR4&lt;&gt;""),AND(IU4&gt;=IW$10,IV4&gt;=IW$14,IU4&lt;&gt;""),AND(JR4&gt;=JW$10,JS4&gt;=JW$14,JR4&lt;&gt;""),AND(JU4&gt;=JW$10,JV4&gt;=JW$14,JU4&lt;&gt;""),AND(KR4&gt;=KW$10,KS4&gt;=KW$14,KR4&lt;&gt;""),AND(KU4&gt;=KW$10,KV4&gt;=KW$14,KU4&lt;&gt;""),AND(LR4&gt;=LW$10,LS4&gt;=LW$14,LR4&lt;&gt;""),AND(LU4&gt;=LW$10,LV4&gt;=LW$14,LU4&lt;&gt;""),AND(MR4&gt;=MW$10,MS4&gt;=MW$14,MR4&lt;&gt;""),AND(MU4&gt;=MW$10,MV4&gt;=MW$14,MU4&lt;&gt;""),AND(NR4&gt;=NW$10,NS4&gt;=NW$14,NR4&lt;&gt;""),AND(NU4&gt;=NW$10,NV4&gt;=NW$14,NU4&lt;&gt;""),AND(OR4&gt;=OW$10,OS4&gt;=OW$14,OR4&lt;&gt;""),AND(OU4&gt;=OW$10,OV4&gt;=OW$14,OU4&lt;&gt;"")),"P","")</f>
        <v>P</v>
      </c>
      <c r="G4" s="3" t="str">
        <f>IF(OR(AND(AO4&gt;=AS$14,AO4&lt;&gt;"",AM4=""),AND(AR4&gt;=AS$14,AR4&lt;&gt;"",AM4=""),AND(BP4&gt;=BT$14,BP4&lt;&gt;"",BN4=""),AND(BS4&gt;=BT$14,BS4&lt;&gt;"",BN4=""),AND(CQ4&gt;=CU$14,CQ4&lt;&gt;"",CO4=""),AND(CT4&gt;=CU$14,CT4&lt;&gt;"",CO4=""),AND(DS4&gt;=DW$14,DS4&lt;&gt;""),AND(DV4&gt;=DW$14,DV4&lt;&gt;""),AND(ES4&gt;=EW$14,ES4&lt;&gt;""),AND(EV4&gt;=EW$14,EV4&lt;&gt;""),AND(FS4&gt;=FW$14,FS4&lt;&gt;""),AND(FV4&gt;=FW$14,FV4&lt;&gt;""),AND(GS4&gt;=GW$14,GS4&lt;&gt;""),AND(GV4&gt;=GW$14,GV4&lt;&gt;""),AND(HS4&gt;=HW$14,HS4&lt;&gt;""),AND(HV4&gt;=HW$14,HV4&lt;&gt;""),AND(IS4&gt;=IW$14,IS4&lt;&gt;""),AND(IV4&gt;=IW$14,IV4&lt;&gt;""),AND(JS4&gt;=JW$14,JS4&lt;&gt;""),AND(JV4&gt;=JW$14,JV4&lt;&gt;""),AND(KS4&gt;=KW$14,KS4&lt;&gt;""),AND(KV4&gt;=KW$14,KV4&lt;&gt;""),AND(LS4&gt;=LW$14,LS4&lt;&gt;""),AND(LV4&gt;=LW$14,LV4&lt;&gt;""),AND(MS4&gt;=MW$14,MS4&lt;&gt;""),AND(MV4&gt;=MW$14,MV4&lt;&gt;""),AND(NS4&gt;=NW$14,NS4&lt;&gt;""),AND(NV4&gt;=NW$14,NV4&lt;&gt;""),AND(OS4&gt;=OW$14,OS4&lt;&gt;""),AND(OV4&gt;=OW$14,OV4&lt;&gt;"")),"P","")</f>
        <v>P</v>
      </c>
      <c r="H4" s="70" t="str">
        <f>IF(AND(G4="P",F4=""),"No DD",IF(OR(AND(AN4&gt;=AS$13,AO4&gt;=AS$17,AN4&lt;&gt;"",AM4=""),AND(AQ4&gt;=AS$13,AR4&gt;=AS$17,AQ4&lt;&gt;"",AM4=""),AND(BO4&gt;=BT$13,BP4&gt;=BT$17,BO4&lt;&gt;"",BN4=""),AND(BR4&gt;=BT$13,BS4&gt;=BT$17,BR4&lt;&gt;"",BN4=""),AND(CP4&gt;=CU$13,CQ4&gt;=CU$17,CP4&lt;&gt;"",CO4=""),AND(CS4&gt;=CU$13,CT4&gt;=CU$17,CS4&lt;&gt;""),AND(DR4&gt;=DW$13,DS4&gt;=DW$17,DR4&lt;&gt;""),AND(DU4&gt;=DW$13,DV4&gt;=DW$17,DU4&lt;&gt;""),AND(ER4&gt;=EW$13,ES4&gt;=EW$17,ER4&lt;&gt;""),AND(EU4&gt;=EW$13,EV4&gt;=EW$17,EU4&lt;&gt;""),AND(FR4&gt;=FW$13,FS4&gt;=FW$17,FR4&lt;&gt;""),AND(FU4&gt;=FW$13,FV4&gt;=FW$17,FU4&lt;&gt;""),AND(GR4&gt;=GW$13,GS4&gt;=GW$17,GR4&lt;&gt;""),AND(GU4&gt;=GW$13,GV4&gt;=GW$17,GU4&lt;&gt;""),AND(HR4&gt;=HW$13,HS4&gt;=HW$17,HR4&lt;&gt;""),AND(HU4&gt;=HW$13,HV4&gt;=HW$17,HU4&lt;&gt;""),AND(IR4&gt;=IW$13,IS4&gt;=IW$17,IR4&lt;&gt;""),AND(IU4&gt;=IW$13,IV4&gt;=IW$17,IU4&lt;&gt;""),AND(JR4&gt;=JW$13,JS4&gt;=JW$17,JR4&lt;&gt;""),AND(JU4&gt;=JW$13,JV4&gt;=JW$17,JU4&lt;&gt;""),AND(KR4&gt;=KW$13,KS4&gt;=KW$17,KR4&lt;&gt;""),AND(KU4&gt;=KW$13,KV4&gt;=KW$17,KU4&lt;&gt;""),AND(LR4&gt;=LW$13,LS4&gt;=LW$17,LR4&lt;&gt;""),AND(LU4&gt;=LW$13,LV4&gt;=LW$17,LU4&lt;&gt;""),AND(MR4&gt;=MW$13,MS4&gt;=MW$17,MR4&lt;&gt;""),AND(MU4&gt;=MW$13,MV4&gt;=MW$17,MU4&lt;&gt;""),AND(NR4&gt;=NW$13,NS4&gt;=NW$17,NR4&lt;&gt;""),AND(NU4&gt;=NW$13,NV4&gt;=NW$17,NU4&lt;&gt;""),AND(OR4&gt;=OW$13,OS4&gt;=OW$17,OR4&lt;&gt;""),AND(OU4&gt;=OW$13,OV4&gt;=OW$17,OU4&lt;&gt;"")),"Merit",IF(OR(AND(AN4&gt;=AS$12,AO4&gt;=AS$16,AN4&lt;&gt;"",AM4=""),AND(AQ4&gt;=AS$12,AR4&gt;=AS$16,AQ4&lt;&gt;"",AM4=""),AND(BO4&gt;=BT$12,BP4&gt;=BT$16,BO4&lt;&gt;"",BN4=""),AND(BR4&gt;=BT$12,BS4&gt;=BT$16,BR4&lt;&gt;"",BN4=""),AND(CP4&gt;=CU$12,CQ4&gt;=CU$16,CP4&lt;&gt;"",CO4=""),AND(CS4&gt;=CU$12,CT4&gt;=CU$16,CS4&lt;&gt;""),AND(DR4&gt;=DW$12,DS4&gt;=DW$16,DR4&lt;&gt;""),AND(DU4&gt;=DW$12,DV4&gt;=DW$16,DU4&lt;&gt;""),AND(ER4&gt;=EW$12,ES4&gt;=EW$16,ER4&lt;&gt;""),AND(EU4&gt;=EW$12,EV4&gt;=EW$16,EU4&lt;&gt;""),AND(FR4&gt;=FW$12,FS4&gt;=FW$16,FR4&lt;&gt;""),AND(FU4&gt;=FW$12,FV4&gt;=FW$16,FU4&lt;&gt;""),AND(GR4&gt;=GW$12,GS4&gt;=GW$16,GR4&lt;&gt;""),AND(GU4&gt;=GW$12,GV4&gt;=GW$16,GU4&lt;&gt;""),AND(HR4&gt;=HW$12,HS4&gt;=HW$16,HR4&lt;&gt;""),AND(HU4&gt;=HW$12,HV4&gt;=HW$16,HU4&lt;&gt;""),AND(IR4&gt;=IW$12,IS4&gt;=IW$16,IR4&lt;&gt;""),AND(IU4&gt;=IW$12,IV4&gt;=IW$16,IU4&lt;&gt;""),AND(JR4&gt;=JW$12,JS4&gt;=JW$16,JR4&lt;&gt;""),AND(JU4&gt;=JW$12,JV4&gt;=JW$16,JU4&lt;&gt;""),AND(KR4&gt;=KW$12,KS4&gt;=KW$16,KR4&lt;&gt;""),AND(KU4&gt;=KW$12,KV4&gt;=KW$16,KU4&lt;&gt;""),AND(LR4&gt;=LW$12,LS4&gt;=LW$16,LR4&lt;&gt;""),AND(LU4&gt;=LW$12,LV4&gt;=LW$16,LU4&lt;&gt;""),AND(MR4&gt;=MW$12,MS4&gt;=MW$16,MR4&lt;&gt;""),AND(MU4&gt;=MW$12,MV4&gt;=MW$16,MU4&lt;&gt;""),AND(NR4&gt;=NW$12,NS4&gt;=NW$16,NR4&lt;&gt;""),AND(NU4&gt;=NW$12,NV4&gt;=NW$16,NU4&lt;&gt;""),AND(OR4&gt;=OW$12,OS4&gt;=OW$16,OR4&lt;&gt;""),AND(OU4&gt;=OW$12,OV4&gt;=OW$16,OU4&lt;&gt;"")),"Excellence",IF(I4="P","Worlds Team",IF(F4="P","National Team","")))))</f>
        <v>Excellence</v>
      </c>
      <c r="I4" s="3" t="str">
        <f>IF(OR(AND(AN4&gt;=AS$11,AO4&gt;=AS$15,AN4&lt;&gt;"",AM4=""),AND(AQ4&gt;=AS$11,AR4&gt;=AS$15,AQ4&lt;&gt;"",AM4=""),AND(BO4&gt;=BT$11,BP4&gt;=BT$15,BO4&lt;&gt;"",BN4=""),AND(BR4&gt;=BT$11,BS4&gt;=BT$15,BR4&lt;&gt;"",BN4=""),AND(CP4&gt;=CU$11,CQ4&gt;=CU$15,CP4&lt;&gt;"",CO4=""),AND(CS4&gt;=CU$11,CT4&gt;=CU$15,CS4&lt;&gt;""),AND(DR4&gt;=DW$11,DS4&gt;=DW$15,DR4&lt;&gt;""),AND(DU4&gt;=DW$11,DV4&gt;=DW$15,DU4&lt;&gt;""),AND(ER4&gt;=EW$11,ES4&gt;=EW$15,ER4&lt;&gt;""),AND(EU4&gt;=EW$11,EV4&gt;=EW$15,EU4&lt;&gt;""),AND(FR4&gt;=FW$11,FS4&gt;=FW$15,FR4&lt;&gt;""),AND(FU4&gt;=FW$11,FV4&gt;=FW$15,FU4&lt;&gt;""),AND(GR4&gt;=GW$11,GS4&gt;=GW$15,GR4&lt;&gt;""),AND(GU4&gt;=GW$11,GV4&gt;=GW$15,GU4&lt;&gt;""),AND(HR4&gt;=HW$11,HS4&gt;=HW$15,HR4&lt;&gt;""),AND(HU4&gt;=HW$11,HV4&gt;=HW$15,HU4&lt;&gt;""),AND(IR4&gt;=IW$11,IS4&gt;=IW$15,IR4&lt;&gt;""),AND(IU4&gt;=IW$11,IV4&gt;=IW$15,IU4&lt;&gt;""),AND(JR4&gt;=JW$11,JS4&gt;=JW$15,JR4&lt;&gt;""),AND(JU4&gt;=JW$11,JV4&gt;=JW$15,JU4&lt;&gt;""),AND(KR4&gt;=KW$11,KS4&gt;=KW$15,KR4&lt;&gt;""),AND(KU4&gt;=KW$11,KV4&gt;=KW$15,KU4&lt;&gt;""),AND(LR4&gt;=LW$11,LS4&gt;=LW$15,LR4&lt;&gt;""),AND(LU4&gt;=LW$11,LV4&gt;=LW$15,LU4&lt;&gt;""),AND(MR4&gt;=MW$11,MS4&gt;=MW$15,MR4&lt;&gt;""),AND(MU4&gt;=MW$11,MV4&gt;=MW$15,MU4&lt;&gt;""),AND(NR4&gt;=NW$11,NS4&gt;=NW$15,NR4&lt;&gt;""),AND(NU4&gt;=NW$11,NV4&gt;=NW$15,NU4&lt;&gt;""),AND(OR4&gt;=OW$11,OS4&gt;=OW$15,OR4&lt;&gt;""),AND(OU4&gt;=OW$11,OV4&gt;=OW$15,OU4&lt;&gt;"")),"P","")</f>
        <v>P</v>
      </c>
      <c r="J4" s="13">
        <f>IF(COUNT(AO4,BP4,CQ4)&gt;0,LARGE((AO4,BP4,CQ4),1),0)</f>
        <v>45.4</v>
      </c>
      <c r="K4" s="13" t="str">
        <f>IF(J4=0,"",IF(J4=CQ4,$BU$1,IF(J4=BP4,$AT$1,IF(J4=AO4,$S$1,""))))</f>
        <v>2022 Elite Canada</v>
      </c>
      <c r="L4" s="13">
        <f>IF(COUNT(AO4,BP4,CQ4)&gt;1,LARGE((AO4,BP4,CQ4),2),0)</f>
        <v>0</v>
      </c>
      <c r="M4" s="13" t="str">
        <f>IF(L4=0,"",IF(L4=CQ4,$BU$1,IF(L4=BP4,$AT$1,IF(L4=AO4,$S$1,""))))</f>
        <v/>
      </c>
      <c r="N4" s="13">
        <f>IF(MAX(AR4,BS4,CT4)&gt;0,MAX(AR4,BS4,CT4),0)</f>
        <v>45.86</v>
      </c>
      <c r="O4" s="13" t="str">
        <f>IF(N4=0,"",IF(N4=CT4,$BU$1,IF(N4=BS4,$AT$1,IF(N4=AR4,$S$1,""))))</f>
        <v>2022 Elite Canada</v>
      </c>
      <c r="P4" s="13" t="str">
        <f>IF(MAX(CV4:CW4)&gt;0,MAX(CV4:CW4),"")</f>
        <v/>
      </c>
      <c r="Q4" s="16" t="str">
        <f>IF(P4="","",IF(P4=CV4,"("&amp;CV$2&amp;")",IF(P4=CW4,"("&amp;CW$2&amp;")")))</f>
        <v/>
      </c>
      <c r="R4" s="13" t="str">
        <f>IF(P4="","",IF(P4=CV4,IF(P4+IF(L4="",0,L4)=OS4,$NX$1,IF(P4+IF(L4="",0,L4)=NS4,$MX$1,IF(P4+IF(L4="",0,L4)=MS4,$LX$1,IF(P4+IF(L4="",0,L4)=LS4,$KX$1,IF(P4+IF(L4="",0,L4)=KS4,$JX$1,IF(P4+IF(L4="",0,L4)=JS4,$IX$1,IF(P4+IF(L4="",0,L4)=IS4,$HX$1,IF(P4+IF(L4="",0,L4)=HS4,$GX$1,IF(P4+IF(L4="",0,L4)=GS4,$FX$1,IF(P4+IF(L4="",0,L4)=FS4,$EX$1,IF(P4+IF(L4="",0,L4)=ES4,$DX$1,IF(P4+IF(L4="",0,L4)=DS4,$CX$1)))))))))))),IF(P4=CW4,IF(P4+IF(N4="",0,N4)=OV4,$NX$1,IF(P4+IF(N4="",0,N4)=NV4,$MX$1,IF(P4+IF(N4="",0,N4)=MV4,$LX$1,IF(P4+IF(N4="",0,N4)=LV4,$KX$1,IF(P4+IF(N4="",0,N4)=KV4,$JX$1,IF(P4+IF(N4="",0,N4)=JV4,$IX$1,IF(P4+IF(N4="",0,N4)=IV4,$HX$1,IF(P4+IF(N4="",0,N4)=HV4,$GX$1,IF(P4+IF(N4="",0,N4)=GV4,$FX$1,IF(P4+IF(N4="",0,N4)=FV4,$EX$1,IF(P4+IF(N4="",0,N4)=EV4,$DX$1,IF(P4+IF(N4="",0,N4)=DV4,$CX$1)))))))))))))))</f>
        <v/>
      </c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51"/>
      <c r="AN4" s="76" t="str">
        <f>IF(SUM(T4,X4)&gt;0,SUM(T4,X4),"")</f>
        <v/>
      </c>
      <c r="AO4" s="76" t="str">
        <f>IF(SUM(S4:T4,V4:X4,Z4)-U4-Y4&gt;0,SUM(S4:T4,V4:X4,Z4)-U4-Y4,"")</f>
        <v/>
      </c>
      <c r="AP4" s="76" t="str">
        <f>IF(SUM(AA4:AB4,AD4)-AC4&gt;0,SUM(AA4:AB4,AD4)-AC4,"")</f>
        <v/>
      </c>
      <c r="AQ4" s="76" t="str">
        <f>IF(SUM(AF4,AJ4)&gt;0,SUM(AF4,AJ4),"")</f>
        <v/>
      </c>
      <c r="AR4" s="76" t="str">
        <f>IF(SUM(AE4:AF4,AH4:AJ4,AL4)-SUM(AG4,AK4)&gt;0,SUM(AE4:AF4,AH4:AJ4,AL4)-SUM(AG4,AK4),"")</f>
        <v/>
      </c>
      <c r="AS4" s="76" t="str">
        <f>IF(SUM(AO4,AR4)&gt;0,SUM(AO4,AR4),"")</f>
        <v/>
      </c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52"/>
      <c r="BO4" s="16" t="str">
        <f>IF(SUM(AU4,AY4)&gt;0,SUM(AU4,AY4),"")</f>
        <v/>
      </c>
      <c r="BP4" s="16" t="str">
        <f>IF(SUM(AT4:AU4,AW4:AY4,BA4)-AV4-AZ4&gt;0,SUM(AT4:AU4,AW4:AY4,BA4)-AV4-AZ4,"")</f>
        <v/>
      </c>
      <c r="BQ4" s="16" t="str">
        <f>IF(SUM(BB4:BC4,BE4)-BD4&gt;0,SUM(BB4:BC4,BE4)-BD4,"")</f>
        <v/>
      </c>
      <c r="BR4" s="16" t="str">
        <f>IF(SUM(BG4,BK4)&gt;0,SUM(BG4,BK4),"")</f>
        <v/>
      </c>
      <c r="BS4" s="16" t="str">
        <f>IF(SUM(BF4:BG4,BI4:BK4,BM4)-SUM(BH4,BL4)&gt;0,SUM(BF4:BG4,BI4:BK4,BM4)-SUM(BH4,BL4),"")</f>
        <v/>
      </c>
      <c r="BT4" s="16" t="str">
        <f>IF(SUM(BP4,BS4)&gt;0,SUM(BP4,BS4),"")</f>
        <v/>
      </c>
      <c r="BU4" s="27">
        <v>17.7</v>
      </c>
      <c r="BV4" s="27">
        <v>4.7</v>
      </c>
      <c r="BW4" s="27">
        <v>0</v>
      </c>
      <c r="BX4" s="27">
        <v>0.3</v>
      </c>
      <c r="BY4" s="27">
        <v>17.7</v>
      </c>
      <c r="BZ4" s="27">
        <v>4.7</v>
      </c>
      <c r="CA4" s="27">
        <v>0</v>
      </c>
      <c r="CB4" s="27">
        <v>0.3</v>
      </c>
      <c r="CC4" s="27"/>
      <c r="CD4" s="27"/>
      <c r="CE4" s="27"/>
      <c r="CF4" s="27"/>
      <c r="CG4" s="27">
        <v>18.059999999999999</v>
      </c>
      <c r="CH4" s="27">
        <v>4.7</v>
      </c>
      <c r="CI4" s="27">
        <v>0</v>
      </c>
      <c r="CJ4" s="27">
        <v>0.3</v>
      </c>
      <c r="CK4" s="27">
        <v>17.8</v>
      </c>
      <c r="CL4" s="27">
        <v>4.7</v>
      </c>
      <c r="CM4" s="27">
        <v>0</v>
      </c>
      <c r="CN4" s="27">
        <v>0.3</v>
      </c>
      <c r="CO4" s="51"/>
      <c r="CP4" s="76">
        <f>IF(SUM(BV4,BZ4)&gt;0,SUM(BV4,BZ4),"")</f>
        <v>9.4</v>
      </c>
      <c r="CQ4" s="76">
        <f>IF(SUM(BU4:BV4,BX4:BZ4,CB4)-BW4-CA4&gt;0,SUM(BU4:BV4,BX4:BZ4,CB4)-BW4-CA4,"")</f>
        <v>45.4</v>
      </c>
      <c r="CR4" s="76" t="str">
        <f>IF(SUM(CC4:CD4,CF4)-CE4&gt;0,SUM(CC4:CD4,CF4)-CE4,"")</f>
        <v/>
      </c>
      <c r="CS4" s="76">
        <f>IF(SUM(CH4,CL4)&gt;0,SUM(CH4,CL4),"")</f>
        <v>9.4</v>
      </c>
      <c r="CT4" s="76">
        <f>IF(SUM(CG4:CH4,CJ4:CL4,CN4)-SUM(CI4,CM4)&gt;0,SUM(CG4:CH4,CJ4:CL4,CN4)-SUM(CI4,CM4),"")</f>
        <v>45.86</v>
      </c>
      <c r="CU4" s="76">
        <f>IF(SUM(CQ4,CT4)&gt;0,SUM(CQ4,CT4),"")</f>
        <v>91.259999999999991</v>
      </c>
      <c r="CV4" s="87" t="str">
        <f>IF(L4&gt;=0.001,IF(MAX(DS4,ES4,FS4,GS4,HS4,IS4,JS4,KS4,LS4,MS4,NS4,OS4)-IF(L4="",0,L4)&gt;0.001,MAX(DS4,ES4,FS4,GS4,HS4,IS4,JS4,KS4,LS4,MS4,NS4,OS4)-IF(L4="",0,L4),""),"")</f>
        <v/>
      </c>
      <c r="CW4" s="87" t="str">
        <f>IF(N4&gt;=0.001,IF(MAX(DV4,EV4,FV4,GV4,HV4,IV4,JV4,KV4,LV4,MV4,NV4,OV4)-IF(N4="",0,N4)&gt;0.001,MAX(DV4,EV4,FV4,GV4,HV4,IV4,JV4,KV4,LV4,MV4,NV4,OV4)-IF(N4="",0,N4),""),"")</f>
        <v/>
      </c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76" t="str">
        <f>IF(SUM(CY4,DC4)&gt;0,SUM(CY4,DC4),"")</f>
        <v/>
      </c>
      <c r="DS4" s="76" t="str">
        <f>IF(SUM(CX4:CY4,DA4:DC4,DE4)-CZ4-DD4&gt;0,SUM(CX4:CY4,DA4:DC4,DE4)-CZ4-DD4,"")</f>
        <v/>
      </c>
      <c r="DT4" s="76" t="str">
        <f>IF(SUM(DF4:DG4,DI4)-DH4&gt;0,SUM(DF4:DG4,DI4)-DH4,"")</f>
        <v/>
      </c>
      <c r="DU4" s="76" t="str">
        <f>IF(SUM(DK4,DO4)&gt;0,SUM(DK4,DO4),"")</f>
        <v/>
      </c>
      <c r="DV4" s="76" t="str">
        <f>IF(SUM(DJ4:DK4,DM4:DO4,DQ4)-SUM(DL4,DP4)&gt;0,SUM(DJ4:DK4,DM4:DO4,DQ4)-SUM(DL4,DP4),"")</f>
        <v/>
      </c>
      <c r="DW4" s="76" t="str">
        <f>IF(SUM(DS4,DV4)&gt;0,SUM(DS4,DV4),"")</f>
        <v/>
      </c>
      <c r="DX4" s="26">
        <v>17.8</v>
      </c>
      <c r="DY4" s="26">
        <v>4.7</v>
      </c>
      <c r="DZ4" s="26">
        <v>0</v>
      </c>
      <c r="EA4" s="26">
        <v>0.3</v>
      </c>
      <c r="EB4" s="26">
        <v>16.7</v>
      </c>
      <c r="EC4" s="26">
        <v>1.9</v>
      </c>
      <c r="ED4" s="26">
        <v>0</v>
      </c>
      <c r="EE4" s="26">
        <v>0.3</v>
      </c>
      <c r="EF4" s="26"/>
      <c r="EG4" s="26"/>
      <c r="EH4" s="26"/>
      <c r="EI4" s="26"/>
      <c r="EJ4" s="26">
        <v>17.399999999999999</v>
      </c>
      <c r="EK4" s="26">
        <v>4.3</v>
      </c>
      <c r="EL4" s="26">
        <v>0</v>
      </c>
      <c r="EM4" s="26">
        <v>0.3</v>
      </c>
      <c r="EN4" s="26">
        <v>17.7</v>
      </c>
      <c r="EO4" s="26">
        <v>4.7</v>
      </c>
      <c r="EP4" s="26">
        <v>0</v>
      </c>
      <c r="EQ4" s="26">
        <v>0.3</v>
      </c>
      <c r="ER4" s="16">
        <f>IF(SUM(DY4,EC4)&gt;0,SUM(DY4,EC4),"")</f>
        <v>6.6</v>
      </c>
      <c r="ES4" s="16">
        <f>IF(SUM(DX4:DY4,EA4:EC4,EE4)-DZ4-ED4&gt;0,SUM(DX4:DY4,EA4:EC4,EE4)-DZ4-ED4,"")</f>
        <v>41.699999999999996</v>
      </c>
      <c r="ET4" s="16" t="str">
        <f>IF(SUM(EF4:EG4,EI4)-EH4&gt;0,SUM(EF4:EG4,EI4)-EH4,"")</f>
        <v/>
      </c>
      <c r="EU4" s="16">
        <f>IF(SUM(EK4,EO4)&gt;0,SUM(EK4,EO4),"")</f>
        <v>9</v>
      </c>
      <c r="EV4" s="16">
        <f>IF(SUM(EJ4:EK4,EM4:EO4,EQ4)-SUM(EL4,EP4)&gt;0,SUM(EJ4:EK4,EM4:EO4,EQ4)-SUM(EL4,EP4),"")</f>
        <v>44.7</v>
      </c>
      <c r="EW4" s="16">
        <f>IF(SUM(ES4,EV4)&gt;0,SUM(ES4,EV4),"")</f>
        <v>86.4</v>
      </c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25"/>
      <c r="FL4" s="25"/>
      <c r="FM4" s="25"/>
      <c r="FN4" s="25"/>
      <c r="FO4" s="25"/>
      <c r="FP4" s="25"/>
      <c r="FQ4" s="25"/>
      <c r="FR4" s="76" t="str">
        <f>IF(SUM(EY4,FC4)&gt;0,SUM(EY4,FC4),"")</f>
        <v/>
      </c>
      <c r="FS4" s="76" t="str">
        <f>IF(SUM(EX4:EY4,FA4:FC4,FE4)-EZ4-FD4&gt;0,SUM(EX4:EY4,FA4:FC4,FE4)-EZ4-FD4,"")</f>
        <v/>
      </c>
      <c r="FT4" s="76" t="str">
        <f>IF(SUM(FF4:FG4,FI4)-FH4&gt;0,SUM(FF4:FG4,FI4)-FH4,"")</f>
        <v/>
      </c>
      <c r="FU4" s="76" t="str">
        <f>IF(SUM(FK4,FO4)&gt;0,SUM(FK4,FO4),"")</f>
        <v/>
      </c>
      <c r="FV4" s="76" t="str">
        <f>IF(SUM(FJ4:FK4,FM4:FO4,FQ4)-SUM(FL4,FP4)&gt;0,SUM(FJ4:FK4,FM4:FO4,FQ4)-SUM(FL4,FP4),"")</f>
        <v/>
      </c>
      <c r="FW4" s="76" t="str">
        <f>IF(SUM(FS4,FV4)&gt;0,SUM(FS4,FV4),"")</f>
        <v/>
      </c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16" t="str">
        <f>IF(SUM(FY4,GC4)&gt;0,SUM(FY4,GC4),"")</f>
        <v/>
      </c>
      <c r="GS4" s="16" t="str">
        <f>IF(SUM(FX4:FY4,GA4:GC4,GE4)-FZ4-GD4&gt;0,SUM(FX4:FY4,GA4:GC4,GE4)-FZ4-GD4,"")</f>
        <v/>
      </c>
      <c r="GT4" s="16" t="str">
        <f>IF(SUM(GF4:GG4,GI4)-GH4&gt;0,SUM(GF4:GG4,GI4)-GH4,"")</f>
        <v/>
      </c>
      <c r="GU4" s="16" t="str">
        <f>IF(SUM(GK4,GO4)&gt;0,SUM(GK4,GO4),"")</f>
        <v/>
      </c>
      <c r="GV4" s="16" t="str">
        <f>IF(SUM(GJ4:GK4,GM4:GO4,GQ4)-SUM(GL4,GP4)&gt;0,SUM(GJ4:GK4,GM4:GO4,GQ4)-SUM(GL4,GP4),"")</f>
        <v/>
      </c>
      <c r="GW4" s="16" t="str">
        <f>IF(SUM(GS4,GV4)&gt;0,SUM(GS4,GV4),"")</f>
        <v/>
      </c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76" t="str">
        <f>IF(SUM(GY4,HC4)&gt;0,SUM(GY4,HC4),"")</f>
        <v/>
      </c>
      <c r="HS4" s="76" t="str">
        <f>IF(SUM(GX4:GY4,HA4:HC4,HE4)-GZ4-HD4&gt;0,SUM(GX4:GY4,HA4:HC4,HE4)-GZ4-HD4,"")</f>
        <v/>
      </c>
      <c r="HT4" s="76" t="str">
        <f>IF(SUM(HF4:HG4,HI4)-HH4&gt;0,SUM(HF4:HG4,HI4)-HH4,"")</f>
        <v/>
      </c>
      <c r="HU4" s="76" t="str">
        <f>IF(SUM(HK4,HO4)&gt;0,SUM(HK4,HO4),"")</f>
        <v/>
      </c>
      <c r="HV4" s="76" t="str">
        <f>IF(SUM(HJ4:HK4,HM4:HO4,HQ4)-SUM(HL4,HP4)&gt;0,SUM(HJ4:HK4,HM4:HO4,HQ4)-SUM(HL4,HP4),"")</f>
        <v/>
      </c>
      <c r="HW4" s="76" t="str">
        <f>IF(SUM(HS4,HV4)&gt;0,SUM(HS4,HV4),"")</f>
        <v/>
      </c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16" t="str">
        <f>IF(SUM(HY4,IC4)&gt;0,SUM(HY4,IC4),"")</f>
        <v/>
      </c>
      <c r="IS4" s="16" t="str">
        <f>IF(SUM(HX4:HY4,IA4:IC4,IE4)-HZ4-ID4&gt;0,SUM(HX4:HY4,IA4:IC4,IE4)-HZ4-ID4,"")</f>
        <v/>
      </c>
      <c r="IT4" s="16" t="str">
        <f>IF(SUM(IF4:IG4,II4)-IH4&gt;0,SUM(IF4:IG4,II4)-IH4,"")</f>
        <v/>
      </c>
      <c r="IU4" s="16" t="str">
        <f>IF(SUM(IK4,IO4)&gt;0,SUM(IK4,IO4),"")</f>
        <v/>
      </c>
      <c r="IV4" s="16" t="str">
        <f>IF(SUM(IJ4:IK4,IM4:IO4,IQ4)-SUM(IL4,IP4)&gt;0,SUM(IJ4:IK4,IM4:IO4,IQ4)-SUM(IL4,IP4),"")</f>
        <v/>
      </c>
      <c r="IW4" s="16" t="str">
        <f>IF(SUM(IS4,IV4)&gt;0,SUM(IS4,IV4),"")</f>
        <v/>
      </c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76" t="str">
        <f>IF(SUM(IY4,JC4)&gt;0,SUM(IY4,JC4),"")</f>
        <v/>
      </c>
      <c r="JS4" s="76" t="str">
        <f>IF(SUM(IX4:IY4,JA4:JC4,JE4)-IZ4-JD4&gt;0,SUM(IX4:IY4,JA4:JC4,JE4)-IZ4-JD4,"")</f>
        <v/>
      </c>
      <c r="JT4" s="76" t="str">
        <f>IF(SUM(JF4:JG4,JI4)-JH4&gt;0,SUM(JF4:JG4,JI4)-JH4,"")</f>
        <v/>
      </c>
      <c r="JU4" s="76" t="str">
        <f>IF(SUM(JK4,JO4)&gt;0,SUM(JK4,JO4),"")</f>
        <v/>
      </c>
      <c r="JV4" s="76" t="str">
        <f>IF(SUM(JJ4:JK4,JM4:JO4,JQ4)-SUM(JL4,JP4)&gt;0,SUM(JJ4:JK4,JM4:JO4,JQ4)-SUM(JL4,JP4),"")</f>
        <v/>
      </c>
      <c r="JW4" s="76" t="str">
        <f>IF(SUM(JS4,JV4)&gt;0,SUM(JS4,JV4),"")</f>
        <v/>
      </c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16" t="str">
        <f>IF(SUM(JY4,KC4)&gt;0,SUM(JY4,KC4),"")</f>
        <v/>
      </c>
      <c r="KS4" s="16" t="str">
        <f>IF(SUM(JX4:JY4,KA4:KC4,KE4)-JZ4-KD4&gt;0,SUM(JX4:JY4,KA4:KC4,KE4)-JZ4-KD4,"")</f>
        <v/>
      </c>
      <c r="KT4" s="16" t="str">
        <f>IF(SUM(KF4:KG4,KI4)-KH4&gt;0,SUM(KF4:KG4,KI4)-KH4,"")</f>
        <v/>
      </c>
      <c r="KU4" s="16" t="str">
        <f>IF(SUM(KK4,KO4)&gt;0,SUM(KK4,KO4),"")</f>
        <v/>
      </c>
      <c r="KV4" s="16" t="str">
        <f>IF(SUM(KJ4:KK4,KM4:KO4,KQ4)-SUM(KL4,KP4)&gt;0,SUM(KJ4:KK4,KM4:KO4,KQ4)-SUM(KL4,KP4),"")</f>
        <v/>
      </c>
      <c r="KW4" s="16" t="str">
        <f>IF(SUM(KS4,KV4)&gt;0,SUM(KS4,KV4),"")</f>
        <v/>
      </c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76" t="str">
        <f>IF(SUM(KY4,LC4)&gt;0,SUM(KY4,LC4),"")</f>
        <v/>
      </c>
      <c r="LS4" s="76" t="str">
        <f>IF(SUM(KX4:KY4,LA4:LC4,LE4)-KZ4-LD4&gt;0,SUM(KX4:KY4,LA4:LC4,LE4)-KZ4-LD4,"")</f>
        <v/>
      </c>
      <c r="LT4" s="76" t="str">
        <f>IF(SUM(LF4:LG4,LI4)-LH4&gt;0,SUM(LF4:LG4,LI4)-LH4,"")</f>
        <v/>
      </c>
      <c r="LU4" s="76" t="str">
        <f>IF(SUM(LK4,LO4)&gt;0,SUM(LK4,LO4),"")</f>
        <v/>
      </c>
      <c r="LV4" s="76" t="str">
        <f>IF(SUM(LJ4:LK4,LM4:LO4,LQ4)-SUM(LL4,LP4)&gt;0,SUM(LJ4:LK4,LM4:LO4,LQ4)-SUM(LL4,LP4),"")</f>
        <v/>
      </c>
      <c r="LW4" s="76" t="str">
        <f>IF(SUM(LS4,LV4)&gt;0,SUM(LS4,LV4),"")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IF(SUM(LY4,MC4)&gt;0,SUM(LY4,MC4),"")</f>
        <v/>
      </c>
      <c r="MS4" s="16" t="str">
        <f>IF(SUM(LX4:LY4,MA4:MC4,ME4)-LZ4-MD4&gt;0,SUM(LX4:LY4,MA4:MC4,ME4)-LZ4-MD4,"")</f>
        <v/>
      </c>
      <c r="MT4" s="16" t="str">
        <f>IF(SUM(MF4:MG4,MI4)-MH4&gt;0,SUM(MF4:MG4,MI4)-MH4,"")</f>
        <v/>
      </c>
      <c r="MU4" s="16" t="str">
        <f>IF(SUM(MK4,MO4)&gt;0,SUM(MK4,MO4),"")</f>
        <v/>
      </c>
      <c r="MV4" s="16" t="str">
        <f>IF(SUM(MJ4:MK4,MM4:MO4,MQ4)-SUM(ML4,MP4)&gt;0,SUM(MJ4:MK4,MM4:MO4,MQ4)-SUM(ML4,MP4),"")</f>
        <v/>
      </c>
      <c r="MW4" s="16" t="str">
        <f>IF(SUM(MS4,MV4)&gt;0,SUM(MS4,MV4),"")</f>
        <v/>
      </c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76" t="str">
        <f>IF(SUM(MY4,NC4)&gt;0,SUM(MY4,NC4),"")</f>
        <v/>
      </c>
      <c r="NS4" s="76" t="str">
        <f>IF(SUM(MX4:MY4,NA4:NC4,NE4)-MZ4-ND4&gt;0,SUM(MX4:MY4,NA4:NC4,NE4)-MZ4-ND4,"")</f>
        <v/>
      </c>
      <c r="NT4" s="76" t="str">
        <f>IF(SUM(NF4:NG4,NI4)-NH4&gt;0,SUM(NF4:NG4,NI4)-NH4,"")</f>
        <v/>
      </c>
      <c r="NU4" s="76" t="str">
        <f>IF(SUM(NK4,NO4)&gt;0,SUM(NK4,NO4),"")</f>
        <v/>
      </c>
      <c r="NV4" s="76" t="str">
        <f>IF(SUM(NJ4:NK4,NM4:NO4,NQ4)-SUM(NL4,NP4)&gt;0,SUM(NJ4:NK4,NM4:NO4,NQ4)-SUM(NL4,NP4),"")</f>
        <v/>
      </c>
      <c r="NW4" s="76" t="str">
        <f>IF(SUM(NS4,NV4)&gt;0,SUM(NS4,NV4),"")</f>
        <v/>
      </c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16" t="str">
        <f>IF(SUM(NY4,OC4)&gt;0,SUM(NY4,OC4),"")</f>
        <v/>
      </c>
      <c r="OS4" s="16" t="str">
        <f>IF(SUM(NX4:NY4,OA4:OC4,OE4)-NZ4-OD4&gt;0,SUM(NX4:NY4,OA4:OC4,OE4)-NZ4-OD4,"")</f>
        <v/>
      </c>
      <c r="OT4" s="16" t="str">
        <f>IF(SUM(OF4:OG4,OI4)-OH4&gt;0,SUM(OF4:OG4,OI4)-OH4,"")</f>
        <v/>
      </c>
      <c r="OU4" s="16" t="str">
        <f>IF(SUM(OK4,OO4)&gt;0,SUM(OK4,OO4),"")</f>
        <v/>
      </c>
      <c r="OV4" s="16" t="str">
        <f>IF(SUM(OJ4:OK4,OM4:OO4,OQ4)-SUM(OL4,OP4)&gt;0,SUM(OJ4:OK4,OM4:OO4,OQ4)-SUM(OL4,OP4),"")</f>
        <v/>
      </c>
      <c r="OW4" s="16" t="str">
        <f>IF(SUM(OS4,OV4)&gt;0,SUM(OS4,OV4),"")</f>
        <v/>
      </c>
      <c r="OX4" s="42">
        <f>IF($CO4="P",BU4,(BU4+AT4)/2)</f>
        <v>8.85</v>
      </c>
      <c r="OY4" s="42">
        <f>IF($CO4="P",BV4,(BV4+AU4)/2)</f>
        <v>2.35</v>
      </c>
      <c r="OZ4" s="42">
        <f>IF($CO4="P",BW4,(BW4+AV4)/2)</f>
        <v>0</v>
      </c>
      <c r="PA4" s="42">
        <f>IF($CO4="P",BX4,(BX4+AW4)/2)</f>
        <v>0.15</v>
      </c>
      <c r="PB4" s="42">
        <f>IF($CO4="P",BY4,(BY4+AX4)/2)</f>
        <v>8.85</v>
      </c>
      <c r="PC4" s="42">
        <f>IF($CO4="P",BZ4,(BZ4+AY4)/2)</f>
        <v>2.35</v>
      </c>
      <c r="PD4" s="42">
        <f>IF($CO4="P",CA4,(CA4+AZ4)/2)</f>
        <v>0</v>
      </c>
      <c r="PE4" s="42">
        <f>IF($CO4="P",CB4,(CB4+BA4)/2)</f>
        <v>0.15</v>
      </c>
      <c r="PF4" s="42">
        <f>IF($CO4="P",CC4,(CC4+BB4)/2)</f>
        <v>0</v>
      </c>
      <c r="PG4" s="42">
        <f>IF($CO4="P",CD4,(CD4+BC4)/2)</f>
        <v>0</v>
      </c>
      <c r="PH4" s="42">
        <f>IF($CO4="P",CE4,(CE4+BD4)/2)</f>
        <v>0</v>
      </c>
      <c r="PI4" s="42">
        <f>IF($CO4="P",CF4,(CF4+BE4)/2)</f>
        <v>0</v>
      </c>
      <c r="PJ4" s="42">
        <f>IF($CO4="P",CG4,(CG4+BF4)/2)</f>
        <v>9.0299999999999994</v>
      </c>
      <c r="PK4" s="42">
        <f>IF($CO4="P",CH4,(CH4+BG4)/2)</f>
        <v>2.35</v>
      </c>
      <c r="PL4" s="42">
        <f>IF($CO4="P",CI4,(CI4+BH4)/2)</f>
        <v>0</v>
      </c>
      <c r="PM4" s="42">
        <f>IF($CO4="P",CJ4,(CJ4+BI4)/2)</f>
        <v>0.15</v>
      </c>
      <c r="PN4" s="42">
        <f>IF($CO4="P",CK4,(CK4+BJ4)/2)</f>
        <v>8.9</v>
      </c>
      <c r="PO4" s="42">
        <f>IF($CO4="P",CL4,(CL4+BK4)/2)</f>
        <v>2.35</v>
      </c>
      <c r="PP4" s="42">
        <f>IF($CO4="P",CM4,(CM4+BL4)/2)</f>
        <v>0</v>
      </c>
      <c r="PQ4" s="42">
        <f>IF($CO4="P",CN4,(CN4+BM4)/2)</f>
        <v>0.15</v>
      </c>
      <c r="PR4" s="51" t="s">
        <v>61</v>
      </c>
      <c r="PS4" s="76">
        <f>IF(SUM(OY4,PC4)&gt;0,SUM(OY4,PC4),"")</f>
        <v>4.7</v>
      </c>
      <c r="PT4" s="76">
        <f>IF(SUM(OX4:OY4,PA4:PC4,PE4)-OZ4-PD4&gt;0,SUM(OX4:OY4,PA4:PC4,PE4)-OZ4-PD4,"")</f>
        <v>22.7</v>
      </c>
      <c r="PU4" s="76" t="str">
        <f>IF(SUM(PF4:PG4,PI4)-PH4&gt;0,SUM(PF4:PG4,PI4)-PH4,"")</f>
        <v/>
      </c>
      <c r="PV4" s="76">
        <f>IF(SUM(PK4,PO4)&gt;0,SUM(PK4,PO4),"")</f>
        <v>4.7</v>
      </c>
      <c r="PW4" s="76">
        <f>IF(SUM(PJ4:PK4,PM4:PO4,PQ4)-SUM(PL4,PP4)&gt;0,SUM(PJ4:PK4,PM4:PO4,PQ4)-SUM(PL4,PP4),"")</f>
        <v>22.93</v>
      </c>
      <c r="PX4" s="76">
        <f>IF(SUM(PT4,PW4)&gt;0,SUM(PT4,PW4),"")</f>
        <v>45.629999999999995</v>
      </c>
    </row>
    <row r="5" spans="1:440" x14ac:dyDescent="0.2">
      <c r="A5" s="5">
        <f>IF(AND(F5="P",G5="P"),SUMPRODUCT((F$4:F$8="P")*(G$4:G$8="P")*(E$4:E$8&gt;E5))+1,IF(G5="P",SUMPRODUCT((F$4:F$8="")*(G$4:G$8="P")*(E$4:E$8&gt;E5))+1+SUMPRODUCT((F$4:F$8="P")*(G$4:G$8="P")),""))</f>
        <v>2</v>
      </c>
      <c r="B5" s="6" t="s">
        <v>165</v>
      </c>
      <c r="C5" s="7" t="s">
        <v>3</v>
      </c>
      <c r="D5" s="18">
        <v>2004</v>
      </c>
      <c r="E5" s="14">
        <f>SUM(J5:P5)+SUM(J5:N5)*0.0000001+SUM(J5)*0.0000000000001</f>
        <v>88.100308794034419</v>
      </c>
      <c r="F5" s="3" t="str">
        <f>IF(OR(AND(AN5&gt;=AS$10,AO5&gt;=AS$14,AN5&lt;&gt;"",AM5=""),AND(AQ5&gt;=AS$10,AR5&gt;=AS$14,AQ5&lt;&gt;"",AM5=""),AND(BO5&gt;=BT$10,BP5&gt;=BT$14,BO5&lt;&gt;"",BN5=""),AND(BR5&gt;=BT$10,BS5&gt;=BT$14,BR5&lt;&gt;"",BN5=""),AND(CP5&gt;=CU$10,CQ5&gt;=CU$14,CP5&lt;&gt;"",CO5=""),AND(CS5&gt;=CU$10,CT5&gt;=CU$14,CS5&lt;&gt;""),AND(DR5&gt;=DW$10,DS5&gt;=DW$14,DR5&lt;&gt;""),AND(DU5&gt;=DW$10,DV5&gt;=DW$14,DU5&lt;&gt;""),AND(ER5&gt;=EW$10,ES5&gt;=EW$14,ER5&lt;&gt;""),AND(EU5&gt;=EW$10,EV5&gt;=EW$14,EU5&lt;&gt;""),AND(FR5&gt;=FW$10,FS5&gt;=FW$14,FR5&lt;&gt;""),AND(FU5&gt;=FW$10,FV5&gt;=FW$14,FU5&lt;&gt;""),AND(GR5&gt;=GW$10,GS5&gt;=GW$14,GR5&lt;&gt;""),AND(GU5&gt;=GW$10,GV5&gt;=GW$14,GU5&lt;&gt;""),AND(HR5&gt;=HW$10,HS5&gt;=HW$14,HR5&lt;&gt;""),AND(HU5&gt;=HW$10,HV5&gt;=HW$14,HU5&lt;&gt;""),AND(IR5&gt;=IW$10,IS5&gt;=IW$14,IR5&lt;&gt;""),AND(IU5&gt;=IW$10,IV5&gt;=IW$14,IU5&lt;&gt;""),AND(JR5&gt;=JW$10,JS5&gt;=JW$14,JR5&lt;&gt;""),AND(JU5&gt;=JW$10,JV5&gt;=JW$14,JU5&lt;&gt;""),AND(KR5&gt;=KW$10,KS5&gt;=KW$14,KR5&lt;&gt;""),AND(KU5&gt;=KW$10,KV5&gt;=KW$14,KU5&lt;&gt;""),AND(LR5&gt;=LW$10,LS5&gt;=LW$14,LR5&lt;&gt;""),AND(LU5&gt;=LW$10,LV5&gt;=LW$14,LU5&lt;&gt;""),AND(MR5&gt;=MW$10,MS5&gt;=MW$14,MR5&lt;&gt;""),AND(MU5&gt;=MW$10,MV5&gt;=MW$14,MU5&lt;&gt;""),AND(NR5&gt;=NW$10,NS5&gt;=NW$14,NR5&lt;&gt;""),AND(NU5&gt;=NW$10,NV5&gt;=NW$14,NU5&lt;&gt;""),AND(OR5&gt;=OW$10,OS5&gt;=OW$14,OR5&lt;&gt;""),AND(OU5&gt;=OW$10,OV5&gt;=OW$14,OU5&lt;&gt;"")),"P","")</f>
        <v>P</v>
      </c>
      <c r="G5" s="3" t="str">
        <f>IF(OR(AND(AO5&gt;=AS$14,AO5&lt;&gt;"",AM5=""),AND(AR5&gt;=AS$14,AR5&lt;&gt;"",AM5=""),AND(BP5&gt;=BT$14,BP5&lt;&gt;"",BN5=""),AND(BS5&gt;=BT$14,BS5&lt;&gt;"",BN5=""),AND(CQ5&gt;=CU$14,CQ5&lt;&gt;"",CO5=""),AND(CT5&gt;=CU$14,CT5&lt;&gt;"",CO5=""),AND(DS5&gt;=DW$14,DS5&lt;&gt;""),AND(DV5&gt;=DW$14,DV5&lt;&gt;""),AND(ES5&gt;=EW$14,ES5&lt;&gt;""),AND(EV5&gt;=EW$14,EV5&lt;&gt;""),AND(FS5&gt;=FW$14,FS5&lt;&gt;""),AND(FV5&gt;=FW$14,FV5&lt;&gt;""),AND(GS5&gt;=GW$14,GS5&lt;&gt;""),AND(GV5&gt;=GW$14,GV5&lt;&gt;""),AND(HS5&gt;=HW$14,HS5&lt;&gt;""),AND(HV5&gt;=HW$14,HV5&lt;&gt;""),AND(IS5&gt;=IW$14,IS5&lt;&gt;""),AND(IV5&gt;=IW$14,IV5&lt;&gt;""),AND(JS5&gt;=JW$14,JS5&lt;&gt;""),AND(JV5&gt;=JW$14,JV5&lt;&gt;""),AND(KS5&gt;=KW$14,KS5&lt;&gt;""),AND(KV5&gt;=KW$14,KV5&lt;&gt;""),AND(LS5&gt;=LW$14,LS5&lt;&gt;""),AND(LV5&gt;=LW$14,LV5&lt;&gt;""),AND(MS5&gt;=MW$14,MS5&lt;&gt;""),AND(MV5&gt;=MW$14,MV5&lt;&gt;""),AND(NS5&gt;=NW$14,NS5&lt;&gt;""),AND(NV5&gt;=NW$14,NV5&lt;&gt;""),AND(OS5&gt;=OW$14,OS5&lt;&gt;""),AND(OV5&gt;=OW$14,OV5&lt;&gt;"")),"P","")</f>
        <v>P</v>
      </c>
      <c r="H5" s="70" t="str">
        <f>IF(AND(G5="P",F5=""),"No DD",IF(OR(AND(AN5&gt;=AS$13,AO5&gt;=AS$17,AN5&lt;&gt;"",AM5=""),AND(AQ5&gt;=AS$13,AR5&gt;=AS$17,AQ5&lt;&gt;"",AM5=""),AND(BO5&gt;=BT$13,BP5&gt;=BT$17,BO5&lt;&gt;"",BN5=""),AND(BR5&gt;=BT$13,BS5&gt;=BT$17,BR5&lt;&gt;"",BN5=""),AND(CP5&gt;=CU$13,CQ5&gt;=CU$17,CP5&lt;&gt;"",CO5=""),AND(CS5&gt;=CU$13,CT5&gt;=CU$17,CS5&lt;&gt;""),AND(DR5&gt;=DW$13,DS5&gt;=DW$17,DR5&lt;&gt;""),AND(DU5&gt;=DW$13,DV5&gt;=DW$17,DU5&lt;&gt;""),AND(ER5&gt;=EW$13,ES5&gt;=EW$17,ER5&lt;&gt;""),AND(EU5&gt;=EW$13,EV5&gt;=EW$17,EU5&lt;&gt;""),AND(FR5&gt;=FW$13,FS5&gt;=FW$17,FR5&lt;&gt;""),AND(FU5&gt;=FW$13,FV5&gt;=FW$17,FU5&lt;&gt;""),AND(GR5&gt;=GW$13,GS5&gt;=GW$17,GR5&lt;&gt;""),AND(GU5&gt;=GW$13,GV5&gt;=GW$17,GU5&lt;&gt;""),AND(HR5&gt;=HW$13,HS5&gt;=HW$17,HR5&lt;&gt;""),AND(HU5&gt;=HW$13,HV5&gt;=HW$17,HU5&lt;&gt;""),AND(IR5&gt;=IW$13,IS5&gt;=IW$17,IR5&lt;&gt;""),AND(IU5&gt;=IW$13,IV5&gt;=IW$17,IU5&lt;&gt;""),AND(JR5&gt;=JW$13,JS5&gt;=JW$17,JR5&lt;&gt;""),AND(JU5&gt;=JW$13,JV5&gt;=JW$17,JU5&lt;&gt;""),AND(KR5&gt;=KW$13,KS5&gt;=KW$17,KR5&lt;&gt;""),AND(KU5&gt;=KW$13,KV5&gt;=KW$17,KU5&lt;&gt;""),AND(LR5&gt;=LW$13,LS5&gt;=LW$17,LR5&lt;&gt;""),AND(LU5&gt;=LW$13,LV5&gt;=LW$17,LU5&lt;&gt;""),AND(MR5&gt;=MW$13,MS5&gt;=MW$17,MR5&lt;&gt;""),AND(MU5&gt;=MW$13,MV5&gt;=MW$17,MU5&lt;&gt;""),AND(NR5&gt;=NW$13,NS5&gt;=NW$17,NR5&lt;&gt;""),AND(NU5&gt;=NW$13,NV5&gt;=NW$17,NU5&lt;&gt;""),AND(OR5&gt;=OW$13,OS5&gt;=OW$17,OR5&lt;&gt;""),AND(OU5&gt;=OW$13,OV5&gt;=OW$17,OU5&lt;&gt;"")),"Merit",IF(OR(AND(AN5&gt;=AS$12,AO5&gt;=AS$16,AN5&lt;&gt;"",AM5=""),AND(AQ5&gt;=AS$12,AR5&gt;=AS$16,AQ5&lt;&gt;"",AM5=""),AND(BO5&gt;=BT$12,BP5&gt;=BT$16,BO5&lt;&gt;"",BN5=""),AND(BR5&gt;=BT$12,BS5&gt;=BT$16,BR5&lt;&gt;"",BN5=""),AND(CP5&gt;=CU$12,CQ5&gt;=CU$16,CP5&lt;&gt;"",CO5=""),AND(CS5&gt;=CU$12,CT5&gt;=CU$16,CS5&lt;&gt;""),AND(DR5&gt;=DW$12,DS5&gt;=DW$16,DR5&lt;&gt;""),AND(DU5&gt;=DW$12,DV5&gt;=DW$16,DU5&lt;&gt;""),AND(ER5&gt;=EW$12,ES5&gt;=EW$16,ER5&lt;&gt;""),AND(EU5&gt;=EW$12,EV5&gt;=EW$16,EU5&lt;&gt;""),AND(FR5&gt;=FW$12,FS5&gt;=FW$16,FR5&lt;&gt;""),AND(FU5&gt;=FW$12,FV5&gt;=FW$16,FU5&lt;&gt;""),AND(GR5&gt;=GW$12,GS5&gt;=GW$16,GR5&lt;&gt;""),AND(GU5&gt;=GW$12,GV5&gt;=GW$16,GU5&lt;&gt;""),AND(HR5&gt;=HW$12,HS5&gt;=HW$16,HR5&lt;&gt;""),AND(HU5&gt;=HW$12,HV5&gt;=HW$16,HU5&lt;&gt;""),AND(IR5&gt;=IW$12,IS5&gt;=IW$16,IR5&lt;&gt;""),AND(IU5&gt;=IW$12,IV5&gt;=IW$16,IU5&lt;&gt;""),AND(JR5&gt;=JW$12,JS5&gt;=JW$16,JR5&lt;&gt;""),AND(JU5&gt;=JW$12,JV5&gt;=JW$16,JU5&lt;&gt;""),AND(KR5&gt;=KW$12,KS5&gt;=KW$16,KR5&lt;&gt;""),AND(KU5&gt;=KW$12,KV5&gt;=KW$16,KU5&lt;&gt;""),AND(LR5&gt;=LW$12,LS5&gt;=LW$16,LR5&lt;&gt;""),AND(LU5&gt;=LW$12,LV5&gt;=LW$16,LU5&lt;&gt;""),AND(MR5&gt;=MW$12,MS5&gt;=MW$16,MR5&lt;&gt;""),AND(MU5&gt;=MW$12,MV5&gt;=MW$16,MU5&lt;&gt;""),AND(NR5&gt;=NW$12,NS5&gt;=NW$16,NR5&lt;&gt;""),AND(NU5&gt;=NW$12,NV5&gt;=NW$16,NU5&lt;&gt;""),AND(OR5&gt;=OW$12,OS5&gt;=OW$16,OR5&lt;&gt;""),AND(OU5&gt;=OW$12,OV5&gt;=OW$16,OU5&lt;&gt;"")),"Excellence",IF(I5="P","Worlds Team",IF(F5="P","National Team","")))))</f>
        <v>National Team</v>
      </c>
      <c r="I5" s="3" t="str">
        <f>IF(OR(AND(AN5&gt;=AS$11,AO5&gt;=AS$15,AN5&lt;&gt;"",AM5=""),AND(AQ5&gt;=AS$11,AR5&gt;=AS$15,AQ5&lt;&gt;"",AM5=""),AND(BO5&gt;=BT$11,BP5&gt;=BT$15,BO5&lt;&gt;"",BN5=""),AND(BR5&gt;=BT$11,BS5&gt;=BT$15,BR5&lt;&gt;"",BN5=""),AND(CP5&gt;=CU$11,CQ5&gt;=CU$15,CP5&lt;&gt;"",CO5=""),AND(CS5&gt;=CU$11,CT5&gt;=CU$15,CS5&lt;&gt;""),AND(DR5&gt;=DW$11,DS5&gt;=DW$15,DR5&lt;&gt;""),AND(DU5&gt;=DW$11,DV5&gt;=DW$15,DU5&lt;&gt;""),AND(ER5&gt;=EW$11,ES5&gt;=EW$15,ER5&lt;&gt;""),AND(EU5&gt;=EW$11,EV5&gt;=EW$15,EU5&lt;&gt;""),AND(FR5&gt;=FW$11,FS5&gt;=FW$15,FR5&lt;&gt;""),AND(FU5&gt;=FW$11,FV5&gt;=FW$15,FU5&lt;&gt;""),AND(GR5&gt;=GW$11,GS5&gt;=GW$15,GR5&lt;&gt;""),AND(GU5&gt;=GW$11,GV5&gt;=GW$15,GU5&lt;&gt;""),AND(HR5&gt;=HW$11,HS5&gt;=HW$15,HR5&lt;&gt;""),AND(HU5&gt;=HW$11,HV5&gt;=HW$15,HU5&lt;&gt;""),AND(IR5&gt;=IW$11,IS5&gt;=IW$15,IR5&lt;&gt;""),AND(IU5&gt;=IW$11,IV5&gt;=IW$15,IU5&lt;&gt;""),AND(JR5&gt;=JW$11,JS5&gt;=JW$15,JR5&lt;&gt;""),AND(JU5&gt;=JW$11,JV5&gt;=JW$15,JU5&lt;&gt;""),AND(KR5&gt;=KW$11,KS5&gt;=KW$15,KR5&lt;&gt;""),AND(KU5&gt;=KW$11,KV5&gt;=KW$15,KU5&lt;&gt;""),AND(LR5&gt;=LW$11,LS5&gt;=LW$15,LR5&lt;&gt;""),AND(LU5&gt;=LW$11,LV5&gt;=LW$15,LU5&lt;&gt;""),AND(MR5&gt;=MW$11,MS5&gt;=MW$15,MR5&lt;&gt;""),AND(MU5&gt;=MW$11,MV5&gt;=MW$15,MU5&lt;&gt;""),AND(NR5&gt;=NW$11,NS5&gt;=NW$15,NR5&lt;&gt;""),AND(NU5&gt;=NW$11,NV5&gt;=NW$15,NU5&lt;&gt;""),AND(OR5&gt;=OW$11,OS5&gt;=OW$15,OR5&lt;&gt;""),AND(OU5&gt;=OW$11,OV5&gt;=OW$15,OU5&lt;&gt;"")),"P","")</f>
        <v/>
      </c>
      <c r="J5" s="13">
        <f>IF(COUNT(AO5,BP5,CQ5)&gt;0,LARGE((AO5,BP5,CQ5),1),0)</f>
        <v>44.2</v>
      </c>
      <c r="K5" s="13" t="str">
        <f>IF(J5=0,"",IF(J5=CQ5,$BU$1,IF(J5=BP5,$AT$1,IF(J5=AO5,$S$1,""))))</f>
        <v>2022 Elite Canada</v>
      </c>
      <c r="L5" s="13">
        <f>IF(COUNT(AO5,BP5,CQ5)&gt;1,LARGE((AO5,BP5,CQ5),2),0)</f>
        <v>3.0000000000000003E-4</v>
      </c>
      <c r="M5" s="13" t="str">
        <f>IF(L5=0,"",IF(L5=CQ5,$BU$1,IF(L5=BP5,$AT$1,IF(L5=AO5,$S$1,""))))</f>
        <v>2021 Canadian Championships</v>
      </c>
      <c r="N5" s="13">
        <f>IF(MAX(AR5,BS5,CT5)&gt;0,MAX(AR5,BS5,CT5),0)</f>
        <v>43.739999999999995</v>
      </c>
      <c r="O5" s="13" t="str">
        <f>IF(N5=0,"",IF(N5=CT5,$BU$1,IF(N5=BS5,$AT$1,IF(N5=AR5,$S$1,""))))</f>
        <v>2022 Elite Canada</v>
      </c>
      <c r="P5" s="13">
        <f>IF(MAX(CV5:CW5)&gt;0,MAX(CV5:CW5),"")</f>
        <v>0.16000000000000369</v>
      </c>
      <c r="Q5" s="16" t="str">
        <f>IF(P5="","",IF(P5=CV5,"("&amp;CV$2&amp;")",IF(P5=CW5,"("&amp;CW$2&amp;")")))</f>
        <v>(Final)</v>
      </c>
      <c r="R5" s="13" t="str">
        <f>IF(P5="","",IF(P5=CV5,IF(P5+IF(L5="",0,L5)=OS5,$NX$1,IF(P5+IF(L5="",0,L5)=NS5,$MX$1,IF(P5+IF(L5="",0,L5)=MS5,$LX$1,IF(P5+IF(L5="",0,L5)=LS5,$KX$1,IF(P5+IF(L5="",0,L5)=KS5,$JX$1,IF(P5+IF(L5="",0,L5)=JS5,$IX$1,IF(P5+IF(L5="",0,L5)=IS5,$HX$1,IF(P5+IF(L5="",0,L5)=HS5,$GX$1,IF(P5+IF(L5="",0,L5)=GS5,$FX$1,IF(P5+IF(L5="",0,L5)=FS5,$EX$1,IF(P5+IF(L5="",0,L5)=ES5,$DX$1,IF(P5+IF(L5="",0,L5)=DS5,$CX$1)))))))))))),IF(P5=CW5,IF(P5+IF(N5="",0,N5)=OV5,$NX$1,IF(P5+IF(N5="",0,N5)=NV5,$MX$1,IF(P5+IF(N5="",0,N5)=MV5,$LX$1,IF(P5+IF(N5="",0,N5)=LV5,$KX$1,IF(P5+IF(N5="",0,N5)=KV5,$JX$1,IF(P5+IF(N5="",0,N5)=JV5,$IX$1,IF(P5+IF(N5="",0,N5)=IV5,$HX$1,IF(P5+IF(N5="",0,N5)=HV5,$GX$1,IF(P5+IF(N5="",0,N5)=GV5,$FX$1,IF(P5+IF(N5="",0,N5)=FV5,$EX$1,IF(P5+IF(N5="",0,N5)=EV5,$DX$1,IF(P5+IF(N5="",0,N5)=DV5,$CX$1)))))))))))))))</f>
        <v>2022 World Games Technical Trial #1 (Mar 12)</v>
      </c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51"/>
      <c r="AN5" s="76" t="str">
        <f>IF(SUM(T5,X5)&gt;0,SUM(T5,X5),"")</f>
        <v/>
      </c>
      <c r="AO5" s="76" t="str">
        <f>IF(SUM(S5:T5,V5:X5,Z5)-U5-Y5&gt;0,SUM(S5:T5,V5:X5,Z5)-U5-Y5,"")</f>
        <v/>
      </c>
      <c r="AP5" s="76" t="str">
        <f>IF(SUM(AA5:AB5,AD5)-AC5&gt;0,SUM(AA5:AB5,AD5)-AC5,"")</f>
        <v/>
      </c>
      <c r="AQ5" s="76" t="str">
        <f>IF(SUM(AF5,AJ5)&gt;0,SUM(AF5,AJ5),"")</f>
        <v/>
      </c>
      <c r="AR5" s="76" t="str">
        <f>IF(SUM(AE5:AF5,AH5:AJ5,AL5)-SUM(AG5,AK5)&gt;0,SUM(AE5:AF5,AH5:AJ5,AL5)-SUM(AG5,AK5),"")</f>
        <v/>
      </c>
      <c r="AS5" s="76" t="str">
        <f>IF(SUM(AO5,AR5)&gt;0,SUM(AO5,AR5),"")</f>
        <v/>
      </c>
      <c r="AT5" s="26">
        <v>1E-4</v>
      </c>
      <c r="AU5" s="26">
        <v>2.0000000000000001E-4</v>
      </c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52"/>
      <c r="BO5" s="16">
        <f>IF(SUM(AU5,AY5)&gt;0,SUM(AU5,AY5),"")</f>
        <v>2.0000000000000001E-4</v>
      </c>
      <c r="BP5" s="16">
        <f>IF(SUM(AT5:AU5,AW5:AY5,BA5)-AV5-AZ5&gt;0,SUM(AT5:AU5,AW5:AY5,BA5)-AV5-AZ5,"")</f>
        <v>3.0000000000000003E-4</v>
      </c>
      <c r="BQ5" s="16" t="str">
        <f>IF(SUM(BB5:BC5,BE5)-BD5&gt;0,SUM(BB5:BC5,BE5)-BD5,"")</f>
        <v/>
      </c>
      <c r="BR5" s="16" t="str">
        <f>IF(SUM(BG5,BK5)&gt;0,SUM(BG5,BK5),"")</f>
        <v/>
      </c>
      <c r="BS5" s="16" t="str">
        <f>IF(SUM(BF5:BG5,BI5:BK5,BM5)-SUM(BH5,BL5)&gt;0,SUM(BF5:BG5,BI5:BK5,BM5)-SUM(BH5,BL5),"")</f>
        <v/>
      </c>
      <c r="BT5" s="16">
        <f>IF(SUM(BP5,BS5)&gt;0,SUM(BP5,BS5),"")</f>
        <v>3.0000000000000003E-4</v>
      </c>
      <c r="BU5" s="27">
        <v>18.2</v>
      </c>
      <c r="BV5" s="27">
        <v>3.6</v>
      </c>
      <c r="BW5" s="27">
        <v>0</v>
      </c>
      <c r="BX5" s="27">
        <v>0</v>
      </c>
      <c r="BY5" s="27">
        <v>17.600000000000001</v>
      </c>
      <c r="BZ5" s="27">
        <v>4.5</v>
      </c>
      <c r="CA5" s="27">
        <v>0</v>
      </c>
      <c r="CB5" s="27">
        <v>0.3</v>
      </c>
      <c r="CC5" s="27"/>
      <c r="CD5" s="27"/>
      <c r="CE5" s="27"/>
      <c r="CF5" s="27"/>
      <c r="CG5" s="27">
        <v>17.940000000000001</v>
      </c>
      <c r="CH5" s="27">
        <v>3.6</v>
      </c>
      <c r="CI5" s="27">
        <v>0</v>
      </c>
      <c r="CJ5" s="27">
        <v>0</v>
      </c>
      <c r="CK5" s="27">
        <v>17.399999999999999</v>
      </c>
      <c r="CL5" s="27">
        <v>4.5</v>
      </c>
      <c r="CM5" s="27">
        <v>0</v>
      </c>
      <c r="CN5" s="27">
        <v>0.3</v>
      </c>
      <c r="CO5" s="51"/>
      <c r="CP5" s="76">
        <f>IF(SUM(BV5,BZ5)&gt;0,SUM(BV5,BZ5),"")</f>
        <v>8.1</v>
      </c>
      <c r="CQ5" s="76">
        <f>IF(SUM(BU5:BV5,BX5:BZ5,CB5)-BW5-CA5&gt;0,SUM(BU5:BV5,BX5:BZ5,CB5)-BW5-CA5,"")</f>
        <v>44.2</v>
      </c>
      <c r="CR5" s="76" t="str">
        <f>IF(SUM(CC5:CD5,CF5)-CE5&gt;0,SUM(CC5:CD5,CF5)-CE5,"")</f>
        <v/>
      </c>
      <c r="CS5" s="76">
        <f>IF(SUM(CH5,CL5)&gt;0,SUM(CH5,CL5),"")</f>
        <v>8.1</v>
      </c>
      <c r="CT5" s="76">
        <f>IF(SUM(CG5:CH5,CJ5:CL5,CN5)-SUM(CI5,CM5)&gt;0,SUM(CG5:CH5,CJ5:CL5,CN5)-SUM(CI5,CM5),"")</f>
        <v>43.739999999999995</v>
      </c>
      <c r="CU5" s="76">
        <f>IF(SUM(CQ5,CT5)&gt;0,SUM(CQ5,CT5),"")</f>
        <v>87.94</v>
      </c>
      <c r="CV5" s="87" t="str">
        <f>IF(L5&gt;=0.001,IF(MAX(DS5,ES5,FS5,GS5,HS5,IS5,JS5,KS5,LS5,MS5,NS5,OS5)-IF(L5="",0,L5)&gt;0.001,MAX(DS5,ES5,FS5,GS5,HS5,IS5,JS5,KS5,LS5,MS5,NS5,OS5)-IF(L5="",0,L5),""),"")</f>
        <v/>
      </c>
      <c r="CW5" s="87">
        <f>IF(N5&gt;=0.001,IF(MAX(DV5,EV5,FV5,GV5,HV5,IV5,JV5,KV5,LV5,MV5,NV5,OV5)-IF(N5="",0,N5)&gt;0.001,MAX(DV5,EV5,FV5,GV5,HV5,IV5,JV5,KV5,LV5,MV5,NV5,OV5)-IF(N5="",0,N5),""),"")</f>
        <v>0.16000000000000369</v>
      </c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76" t="str">
        <f>IF(SUM(CY5,DC5)&gt;0,SUM(CY5,DC5),"")</f>
        <v/>
      </c>
      <c r="DS5" s="76" t="str">
        <f>IF(SUM(CX5:CY5,DA5:DC5,DE5)-CZ5-DD5&gt;0,SUM(CX5:CY5,DA5:DC5,DE5)-CZ5-DD5,"")</f>
        <v/>
      </c>
      <c r="DT5" s="76" t="str">
        <f>IF(SUM(DF5:DG5,DI5)-DH5&gt;0,SUM(DF5:DG5,DI5)-DH5,"")</f>
        <v/>
      </c>
      <c r="DU5" s="76" t="str">
        <f>IF(SUM(DK5,DO5)&gt;0,SUM(DK5,DO5),"")</f>
        <v/>
      </c>
      <c r="DV5" s="76" t="str">
        <f>IF(SUM(DJ5:DK5,DM5:DO5,DQ5)-SUM(DL5,DP5)&gt;0,SUM(DJ5:DK5,DM5:DO5,DQ5)-SUM(DL5,DP5),"")</f>
        <v/>
      </c>
      <c r="DW5" s="76" t="str">
        <f>IF(SUM(DS5,DV5)&gt;0,SUM(DS5,DV5),"")</f>
        <v/>
      </c>
      <c r="DX5" s="26">
        <v>17.600000000000001</v>
      </c>
      <c r="DY5" s="26">
        <v>3.6</v>
      </c>
      <c r="DZ5" s="26">
        <v>0</v>
      </c>
      <c r="EA5" s="26">
        <v>0</v>
      </c>
      <c r="EB5" s="26">
        <v>17.399999999999999</v>
      </c>
      <c r="EC5" s="26">
        <v>4.5</v>
      </c>
      <c r="ED5" s="26">
        <v>0</v>
      </c>
      <c r="EE5" s="26">
        <v>0.3</v>
      </c>
      <c r="EF5" s="26"/>
      <c r="EG5" s="26"/>
      <c r="EH5" s="26"/>
      <c r="EI5" s="26"/>
      <c r="EJ5" s="26">
        <v>18.100000000000001</v>
      </c>
      <c r="EK5" s="26">
        <v>3.6</v>
      </c>
      <c r="EL5" s="26">
        <v>0</v>
      </c>
      <c r="EM5" s="26">
        <v>0</v>
      </c>
      <c r="EN5" s="26">
        <v>17.399999999999999</v>
      </c>
      <c r="EO5" s="26">
        <v>4.5</v>
      </c>
      <c r="EP5" s="26">
        <v>0</v>
      </c>
      <c r="EQ5" s="26">
        <v>0.3</v>
      </c>
      <c r="ER5" s="16">
        <f>IF(SUM(DY5,EC5)&gt;0,SUM(DY5,EC5),"")</f>
        <v>8.1</v>
      </c>
      <c r="ES5" s="16">
        <f>IF(SUM(DX5:DY5,EA5:EC5,EE5)-DZ5-ED5&gt;0,SUM(DX5:DY5,EA5:EC5,EE5)-DZ5-ED5,"")</f>
        <v>43.4</v>
      </c>
      <c r="ET5" s="16" t="str">
        <f>IF(SUM(EF5:EG5,EI5)-EH5&gt;0,SUM(EF5:EG5,EI5)-EH5,"")</f>
        <v/>
      </c>
      <c r="EU5" s="16">
        <f>IF(SUM(EK5,EO5)&gt;0,SUM(EK5,EO5),"")</f>
        <v>8.1</v>
      </c>
      <c r="EV5" s="16">
        <f>IF(SUM(EJ5:EK5,EM5:EO5,EQ5)-SUM(EL5,EP5)&gt;0,SUM(EJ5:EK5,EM5:EO5,EQ5)-SUM(EL5,EP5),"")</f>
        <v>43.9</v>
      </c>
      <c r="EW5" s="16">
        <f>IF(SUM(ES5,EV5)&gt;0,SUM(ES5,EV5),"")</f>
        <v>87.3</v>
      </c>
      <c r="EX5" s="25">
        <v>16.7</v>
      </c>
      <c r="EY5" s="25">
        <v>4.5</v>
      </c>
      <c r="EZ5" s="25">
        <v>0</v>
      </c>
      <c r="FA5" s="25">
        <v>0.3</v>
      </c>
      <c r="FB5" s="25">
        <v>17.100000000000001</v>
      </c>
      <c r="FC5" s="25">
        <v>4.3</v>
      </c>
      <c r="FD5" s="25">
        <v>0</v>
      </c>
      <c r="FE5" s="25">
        <v>0.3</v>
      </c>
      <c r="FF5" s="25"/>
      <c r="FG5" s="25"/>
      <c r="FH5" s="25"/>
      <c r="FI5" s="25"/>
      <c r="FJ5" s="25">
        <v>16.600000000000001</v>
      </c>
      <c r="FK5" s="25">
        <v>4.5</v>
      </c>
      <c r="FL5" s="25">
        <v>0</v>
      </c>
      <c r="FM5" s="25">
        <v>0.3</v>
      </c>
      <c r="FN5" s="25">
        <v>17.100000000000001</v>
      </c>
      <c r="FO5" s="25">
        <v>4.3</v>
      </c>
      <c r="FP5" s="25">
        <v>0</v>
      </c>
      <c r="FQ5" s="25">
        <v>0.3</v>
      </c>
      <c r="FR5" s="76">
        <f>IF(SUM(EY5,FC5)&gt;0,SUM(EY5,FC5),"")</f>
        <v>8.8000000000000007</v>
      </c>
      <c r="FS5" s="76">
        <f>IF(SUM(EX5:EY5,FA5:FC5,FE5)-EZ5-FD5&gt;0,SUM(EX5:EY5,FA5:FC5,FE5)-EZ5-FD5,"")</f>
        <v>43.199999999999996</v>
      </c>
      <c r="FT5" s="76" t="str">
        <f>IF(SUM(FF5:FG5,FI5)-FH5&gt;0,SUM(FF5:FG5,FI5)-FH5,"")</f>
        <v/>
      </c>
      <c r="FU5" s="76">
        <f>IF(SUM(FK5,FO5)&gt;0,SUM(FK5,FO5),"")</f>
        <v>8.8000000000000007</v>
      </c>
      <c r="FV5" s="76">
        <f>IF(SUM(FJ5:FK5,FM5:FO5,FQ5)-SUM(FL5,FP5)&gt;0,SUM(FJ5:FK5,FM5:FO5,FQ5)-SUM(FL5,FP5),"")</f>
        <v>43.099999999999994</v>
      </c>
      <c r="FW5" s="76">
        <f>IF(SUM(FS5,FV5)&gt;0,SUM(FS5,FV5),"")</f>
        <v>86.299999999999983</v>
      </c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16" t="str">
        <f>IF(SUM(FY5,GC5)&gt;0,SUM(FY5,GC5),"")</f>
        <v/>
      </c>
      <c r="GS5" s="16" t="str">
        <f>IF(SUM(FX5:FY5,GA5:GC5,GE5)-FZ5-GD5&gt;0,SUM(FX5:FY5,GA5:GC5,GE5)-FZ5-GD5,"")</f>
        <v/>
      </c>
      <c r="GT5" s="16" t="str">
        <f>IF(SUM(GF5:GG5,GI5)-GH5&gt;0,SUM(GF5:GG5,GI5)-GH5,"")</f>
        <v/>
      </c>
      <c r="GU5" s="16" t="str">
        <f>IF(SUM(GK5,GO5)&gt;0,SUM(GK5,GO5),"")</f>
        <v/>
      </c>
      <c r="GV5" s="16" t="str">
        <f>IF(SUM(GJ5:GK5,GM5:GO5,GQ5)-SUM(GL5,GP5)&gt;0,SUM(GJ5:GK5,GM5:GO5,GQ5)-SUM(GL5,GP5),"")</f>
        <v/>
      </c>
      <c r="GW5" s="16" t="str">
        <f>IF(SUM(GS5,GV5)&gt;0,SUM(GS5,GV5),"")</f>
        <v/>
      </c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25"/>
      <c r="HR5" s="76" t="str">
        <f>IF(SUM(GY5,HC5)&gt;0,SUM(GY5,HC5),"")</f>
        <v/>
      </c>
      <c r="HS5" s="76" t="str">
        <f>IF(SUM(GX5:GY5,HA5:HC5,HE5)-GZ5-HD5&gt;0,SUM(GX5:GY5,HA5:HC5,HE5)-GZ5-HD5,"")</f>
        <v/>
      </c>
      <c r="HT5" s="76" t="str">
        <f>IF(SUM(HF5:HG5,HI5)-HH5&gt;0,SUM(HF5:HG5,HI5)-HH5,"")</f>
        <v/>
      </c>
      <c r="HU5" s="76" t="str">
        <f>IF(SUM(HK5,HO5)&gt;0,SUM(HK5,HO5),"")</f>
        <v/>
      </c>
      <c r="HV5" s="76" t="str">
        <f>IF(SUM(HJ5:HK5,HM5:HO5,HQ5)-SUM(HL5,HP5)&gt;0,SUM(HJ5:HK5,HM5:HO5,HQ5)-SUM(HL5,HP5),"")</f>
        <v/>
      </c>
      <c r="HW5" s="76" t="str">
        <f>IF(SUM(HS5,HV5)&gt;0,SUM(HS5,HV5),"")</f>
        <v/>
      </c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16" t="str">
        <f>IF(SUM(HY5,IC5)&gt;0,SUM(HY5,IC5),"")</f>
        <v/>
      </c>
      <c r="IS5" s="16" t="str">
        <f>IF(SUM(HX5:HY5,IA5:IC5,IE5)-HZ5-ID5&gt;0,SUM(HX5:HY5,IA5:IC5,IE5)-HZ5-ID5,"")</f>
        <v/>
      </c>
      <c r="IT5" s="16" t="str">
        <f>IF(SUM(IF5:IG5,II5)-IH5&gt;0,SUM(IF5:IG5,II5)-IH5,"")</f>
        <v/>
      </c>
      <c r="IU5" s="16" t="str">
        <f>IF(SUM(IK5,IO5)&gt;0,SUM(IK5,IO5),"")</f>
        <v/>
      </c>
      <c r="IV5" s="16" t="str">
        <f>IF(SUM(IJ5:IK5,IM5:IO5,IQ5)-SUM(IL5,IP5)&gt;0,SUM(IJ5:IK5,IM5:IO5,IQ5)-SUM(IL5,IP5),"")</f>
        <v/>
      </c>
      <c r="IW5" s="16" t="str">
        <f>IF(SUM(IS5,IV5)&gt;0,SUM(IS5,IV5),"")</f>
        <v/>
      </c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76" t="str">
        <f>IF(SUM(IY5,JC5)&gt;0,SUM(IY5,JC5),"")</f>
        <v/>
      </c>
      <c r="JS5" s="76" t="str">
        <f>IF(SUM(IX5:IY5,JA5:JC5,JE5)-IZ5-JD5&gt;0,SUM(IX5:IY5,JA5:JC5,JE5)-IZ5-JD5,"")</f>
        <v/>
      </c>
      <c r="JT5" s="76" t="str">
        <f>IF(SUM(JF5:JG5,JI5)-JH5&gt;0,SUM(JF5:JG5,JI5)-JH5,"")</f>
        <v/>
      </c>
      <c r="JU5" s="76" t="str">
        <f>IF(SUM(JK5,JO5)&gt;0,SUM(JK5,JO5),"")</f>
        <v/>
      </c>
      <c r="JV5" s="76" t="str">
        <f>IF(SUM(JJ5:JK5,JM5:JO5,JQ5)-SUM(JL5,JP5)&gt;0,SUM(JJ5:JK5,JM5:JO5,JQ5)-SUM(JL5,JP5),"")</f>
        <v/>
      </c>
      <c r="JW5" s="76" t="str">
        <f>IF(SUM(JS5,JV5)&gt;0,SUM(JS5,JV5),"")</f>
        <v/>
      </c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16" t="str">
        <f>IF(SUM(JY5,KC5)&gt;0,SUM(JY5,KC5),"")</f>
        <v/>
      </c>
      <c r="KS5" s="16" t="str">
        <f>IF(SUM(JX5:JY5,KA5:KC5,KE5)-JZ5-KD5&gt;0,SUM(JX5:JY5,KA5:KC5,KE5)-JZ5-KD5,"")</f>
        <v/>
      </c>
      <c r="KT5" s="16" t="str">
        <f>IF(SUM(KF5:KG5,KI5)-KH5&gt;0,SUM(KF5:KG5,KI5)-KH5,"")</f>
        <v/>
      </c>
      <c r="KU5" s="16" t="str">
        <f>IF(SUM(KK5,KO5)&gt;0,SUM(KK5,KO5),"")</f>
        <v/>
      </c>
      <c r="KV5" s="16" t="str">
        <f>IF(SUM(KJ5:KK5,KM5:KO5,KQ5)-SUM(KL5,KP5)&gt;0,SUM(KJ5:KK5,KM5:KO5,KQ5)-SUM(KL5,KP5),"")</f>
        <v/>
      </c>
      <c r="KW5" s="16" t="str">
        <f>IF(SUM(KS5,KV5)&gt;0,SUM(KS5,KV5),"")</f>
        <v/>
      </c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76" t="str">
        <f>IF(SUM(KY5,LC5)&gt;0,SUM(KY5,LC5),"")</f>
        <v/>
      </c>
      <c r="LS5" s="76" t="str">
        <f>IF(SUM(KX5:KY5,LA5:LC5,LE5)-KZ5-LD5&gt;0,SUM(KX5:KY5,LA5:LC5,LE5)-KZ5-LD5,"")</f>
        <v/>
      </c>
      <c r="LT5" s="76" t="str">
        <f>IF(SUM(LF5:LG5,LI5)-LH5&gt;0,SUM(LF5:LG5,LI5)-LH5,"")</f>
        <v/>
      </c>
      <c r="LU5" s="76" t="str">
        <f>IF(SUM(LK5,LO5)&gt;0,SUM(LK5,LO5),"")</f>
        <v/>
      </c>
      <c r="LV5" s="76" t="str">
        <f>IF(SUM(LJ5:LK5,LM5:LO5,LQ5)-SUM(LL5,LP5)&gt;0,SUM(LJ5:LK5,LM5:LO5,LQ5)-SUM(LL5,LP5),"")</f>
        <v/>
      </c>
      <c r="LW5" s="76" t="str">
        <f>IF(SUM(LS5,LV5)&gt;0,SUM(LS5,LV5),"")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IF(SUM(LY5,MC5)&gt;0,SUM(LY5,MC5),"")</f>
        <v/>
      </c>
      <c r="MS5" s="16" t="str">
        <f>IF(SUM(LX5:LY5,MA5:MC5,ME5)-LZ5-MD5&gt;0,SUM(LX5:LY5,MA5:MC5,ME5)-LZ5-MD5,"")</f>
        <v/>
      </c>
      <c r="MT5" s="16" t="str">
        <f>IF(SUM(MF5:MG5,MI5)-MH5&gt;0,SUM(MF5:MG5,MI5)-MH5,"")</f>
        <v/>
      </c>
      <c r="MU5" s="16" t="str">
        <f>IF(SUM(MK5,MO5)&gt;0,SUM(MK5,MO5),"")</f>
        <v/>
      </c>
      <c r="MV5" s="16" t="str">
        <f>IF(SUM(MJ5:MK5,MM5:MO5,MQ5)-SUM(ML5,MP5)&gt;0,SUM(MJ5:MK5,MM5:MO5,MQ5)-SUM(ML5,MP5),"")</f>
        <v/>
      </c>
      <c r="MW5" s="16" t="str">
        <f>IF(SUM(MS5,MV5)&gt;0,SUM(MS5,MV5),"")</f>
        <v/>
      </c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76" t="str">
        <f>IF(SUM(MY5,NC5)&gt;0,SUM(MY5,NC5),"")</f>
        <v/>
      </c>
      <c r="NS5" s="76" t="str">
        <f>IF(SUM(MX5:MY5,NA5:NC5,NE5)-MZ5-ND5&gt;0,SUM(MX5:MY5,NA5:NC5,NE5)-MZ5-ND5,"")</f>
        <v/>
      </c>
      <c r="NT5" s="76" t="str">
        <f>IF(SUM(NF5:NG5,NI5)-NH5&gt;0,SUM(NF5:NG5,NI5)-NH5,"")</f>
        <v/>
      </c>
      <c r="NU5" s="76" t="str">
        <f>IF(SUM(NK5,NO5)&gt;0,SUM(NK5,NO5),"")</f>
        <v/>
      </c>
      <c r="NV5" s="76" t="str">
        <f>IF(SUM(NJ5:NK5,NM5:NO5,NQ5)-SUM(NL5,NP5)&gt;0,SUM(NJ5:NK5,NM5:NO5,NQ5)-SUM(NL5,NP5),"")</f>
        <v/>
      </c>
      <c r="NW5" s="76" t="str">
        <f>IF(SUM(NS5,NV5)&gt;0,SUM(NS5,NV5),"")</f>
        <v/>
      </c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16" t="str">
        <f>IF(SUM(NY5,OC5)&gt;0,SUM(NY5,OC5),"")</f>
        <v/>
      </c>
      <c r="OS5" s="16" t="str">
        <f>IF(SUM(NX5:NY5,OA5:OC5,OE5)-NZ5-OD5&gt;0,SUM(NX5:NY5,OA5:OC5,OE5)-NZ5-OD5,"")</f>
        <v/>
      </c>
      <c r="OT5" s="16" t="str">
        <f>IF(SUM(OF5:OG5,OI5)-OH5&gt;0,SUM(OF5:OG5,OI5)-OH5,"")</f>
        <v/>
      </c>
      <c r="OU5" s="16" t="str">
        <f>IF(SUM(OK5,OO5)&gt;0,SUM(OK5,OO5),"")</f>
        <v/>
      </c>
      <c r="OV5" s="16" t="str">
        <f>IF(SUM(OJ5:OK5,OM5:OO5,OQ5)-SUM(OL5,OP5)&gt;0,SUM(OJ5:OK5,OM5:OO5,OQ5)-SUM(OL5,OP5),"")</f>
        <v/>
      </c>
      <c r="OW5" s="16" t="str">
        <f>IF(SUM(OS5,OV5)&gt;0,SUM(OS5,OV5),"")</f>
        <v/>
      </c>
      <c r="OX5" s="42">
        <f>IF($CO5="P",BU5,(BU5+AT5)/2)</f>
        <v>9.1000499999999995</v>
      </c>
      <c r="OY5" s="42">
        <f>IF($CO5="P",BV5,(BV5+AU5)/2)</f>
        <v>1.8001</v>
      </c>
      <c r="OZ5" s="42">
        <f>IF($CO5="P",BW5,(BW5+AV5)/2)</f>
        <v>0</v>
      </c>
      <c r="PA5" s="42">
        <f>IF($CO5="P",BX5,(BX5+AW5)/2)</f>
        <v>0</v>
      </c>
      <c r="PB5" s="42">
        <f>IF($CO5="P",BY5,(BY5+AX5)/2)</f>
        <v>8.8000000000000007</v>
      </c>
      <c r="PC5" s="42">
        <f>IF($CO5="P",BZ5,(BZ5+AY5)/2)</f>
        <v>2.25</v>
      </c>
      <c r="PD5" s="42">
        <f>IF($CO5="P",CA5,(CA5+AZ5)/2)</f>
        <v>0</v>
      </c>
      <c r="PE5" s="42">
        <f>IF($CO5="P",CB5,(CB5+BA5)/2)</f>
        <v>0.15</v>
      </c>
      <c r="PF5" s="42">
        <f>IF($CO5="P",CC5,(CC5+BB5)/2)</f>
        <v>0</v>
      </c>
      <c r="PG5" s="42">
        <f>IF($CO5="P",CD5,(CD5+BC5)/2)</f>
        <v>0</v>
      </c>
      <c r="PH5" s="42">
        <f>IF($CO5="P",CE5,(CE5+BD5)/2)</f>
        <v>0</v>
      </c>
      <c r="PI5" s="42">
        <f>IF($CO5="P",CF5,(CF5+BE5)/2)</f>
        <v>0</v>
      </c>
      <c r="PJ5" s="42">
        <f>IF($CO5="P",CG5,(CG5+BF5)/2)</f>
        <v>8.9700000000000006</v>
      </c>
      <c r="PK5" s="42">
        <f>IF($CO5="P",CH5,(CH5+BG5)/2)</f>
        <v>1.8</v>
      </c>
      <c r="PL5" s="42">
        <f>IF($CO5="P",CI5,(CI5+BH5)/2)</f>
        <v>0</v>
      </c>
      <c r="PM5" s="42">
        <f>IF($CO5="P",CJ5,(CJ5+BI5)/2)</f>
        <v>0</v>
      </c>
      <c r="PN5" s="42">
        <f>IF($CO5="P",CK5,(CK5+BJ5)/2)</f>
        <v>8.6999999999999993</v>
      </c>
      <c r="PO5" s="42">
        <f>IF($CO5="P",CL5,(CL5+BK5)/2)</f>
        <v>2.25</v>
      </c>
      <c r="PP5" s="42">
        <f>IF($CO5="P",CM5,(CM5+BL5)/2)</f>
        <v>0</v>
      </c>
      <c r="PQ5" s="42">
        <f>IF($CO5="P",CN5,(CN5+BM5)/2)</f>
        <v>0.15</v>
      </c>
      <c r="PR5" s="51" t="s">
        <v>61</v>
      </c>
      <c r="PS5" s="76">
        <f>IF(SUM(OY5,PC5)&gt;0,SUM(OY5,PC5),"")</f>
        <v>4.0501000000000005</v>
      </c>
      <c r="PT5" s="76">
        <f>IF(SUM(OX5:OY5,PA5:PC5,PE5)-OZ5-PD5&gt;0,SUM(OX5:OY5,PA5:PC5,PE5)-OZ5-PD5,"")</f>
        <v>22.100149999999999</v>
      </c>
      <c r="PU5" s="76" t="str">
        <f>IF(SUM(PF5:PG5,PI5)-PH5&gt;0,SUM(PF5:PG5,PI5)-PH5,"")</f>
        <v/>
      </c>
      <c r="PV5" s="76">
        <f>IF(SUM(PK5,PO5)&gt;0,SUM(PK5,PO5),"")</f>
        <v>4.05</v>
      </c>
      <c r="PW5" s="76">
        <f>IF(SUM(PJ5:PK5,PM5:PO5,PQ5)-SUM(PL5,PP5)&gt;0,SUM(PJ5:PK5,PM5:PO5,PQ5)-SUM(PL5,PP5),"")</f>
        <v>21.869999999999997</v>
      </c>
      <c r="PX5" s="76">
        <f>IF(SUM(PT5,PW5)&gt;0,SUM(PT5,PW5),"")</f>
        <v>43.970149999999997</v>
      </c>
    </row>
    <row r="6" spans="1:440" x14ac:dyDescent="0.2">
      <c r="A6" s="5">
        <f>IF(AND(F6="P",G6="P"),SUMPRODUCT((F$4:F$8="P")*(G$4:G$8="P")*(E$4:E$8&gt;E6))+1,IF(G6="P",SUMPRODUCT((F$4:F$8="")*(G$4:G$8="P")*(E$4:E$8&gt;E6))+1+SUMPRODUCT((F$4:F$8="P")*(G$4:G$8="P")),""))</f>
        <v>3</v>
      </c>
      <c r="B6" s="6" t="s">
        <v>84</v>
      </c>
      <c r="C6" s="7" t="s">
        <v>3</v>
      </c>
      <c r="D6" s="18">
        <v>2003</v>
      </c>
      <c r="E6" s="14">
        <f>SUM(J6:P6)+SUM(J6:N6)*0.0000001+SUM(J6)*0.0000000000001</f>
        <v>81.600207946023886</v>
      </c>
      <c r="F6" s="3" t="str">
        <f>IF(OR(AND(AN6&gt;=AS$10,AO6&gt;=AS$14,AN6&lt;&gt;"",AM6=""),AND(AQ6&gt;=AS$10,AR6&gt;=AS$14,AQ6&lt;&gt;"",AM6=""),AND(BO6&gt;=BT$10,BP6&gt;=BT$14,BO6&lt;&gt;"",BN6=""),AND(BR6&gt;=BT$10,BS6&gt;=BT$14,BR6&lt;&gt;"",BN6=""),AND(CP6&gt;=CU$10,CQ6&gt;=CU$14,CP6&lt;&gt;"",CO6=""),AND(CS6&gt;=CU$10,CT6&gt;=CU$14,CS6&lt;&gt;""),AND(DR6&gt;=DW$10,DS6&gt;=DW$14,DR6&lt;&gt;""),AND(DU6&gt;=DW$10,DV6&gt;=DW$14,DU6&lt;&gt;""),AND(ER6&gt;=EW$10,ES6&gt;=EW$14,ER6&lt;&gt;""),AND(EU6&gt;=EW$10,EV6&gt;=EW$14,EU6&lt;&gt;""),AND(FR6&gt;=FW$10,FS6&gt;=FW$14,FR6&lt;&gt;""),AND(FU6&gt;=FW$10,FV6&gt;=FW$14,FU6&lt;&gt;""),AND(GR6&gt;=GW$10,GS6&gt;=GW$14,GR6&lt;&gt;""),AND(GU6&gt;=GW$10,GV6&gt;=GW$14,GU6&lt;&gt;""),AND(HR6&gt;=HW$10,HS6&gt;=HW$14,HR6&lt;&gt;""),AND(HU6&gt;=HW$10,HV6&gt;=HW$14,HU6&lt;&gt;""),AND(IR6&gt;=IW$10,IS6&gt;=IW$14,IR6&lt;&gt;""),AND(IU6&gt;=IW$10,IV6&gt;=IW$14,IU6&lt;&gt;""),AND(JR6&gt;=JW$10,JS6&gt;=JW$14,JR6&lt;&gt;""),AND(JU6&gt;=JW$10,JV6&gt;=JW$14,JU6&lt;&gt;""),AND(KR6&gt;=KW$10,KS6&gt;=KW$14,KR6&lt;&gt;""),AND(KU6&gt;=KW$10,KV6&gt;=KW$14,KU6&lt;&gt;""),AND(LR6&gt;=LW$10,LS6&gt;=LW$14,LR6&lt;&gt;""),AND(LU6&gt;=LW$10,LV6&gt;=LW$14,LU6&lt;&gt;""),AND(MR6&gt;=MW$10,MS6&gt;=MW$14,MR6&lt;&gt;""),AND(MU6&gt;=MW$10,MV6&gt;=MW$14,MU6&lt;&gt;""),AND(NR6&gt;=NW$10,NS6&gt;=NW$14,NR6&lt;&gt;""),AND(NU6&gt;=NW$10,NV6&gt;=NW$14,NU6&lt;&gt;""),AND(OR6&gt;=OW$10,OS6&gt;=OW$14,OR6&lt;&gt;""),AND(OU6&gt;=OW$10,OV6&gt;=OW$14,OU6&lt;&gt;"")),"P","")</f>
        <v/>
      </c>
      <c r="G6" s="3" t="str">
        <f>IF(OR(AND(AO6&gt;=AS$14,AO6&lt;&gt;"",AM6=""),AND(AR6&gt;=AS$14,AR6&lt;&gt;"",AM6=""),AND(BP6&gt;=BT$14,BP6&lt;&gt;"",BN6=""),AND(BS6&gt;=BT$14,BS6&lt;&gt;"",BN6=""),AND(CQ6&gt;=CU$14,CQ6&lt;&gt;"",CO6=""),AND(CT6&gt;=CU$14,CT6&lt;&gt;"",CO6=""),AND(DS6&gt;=DW$14,DS6&lt;&gt;""),AND(DV6&gt;=DW$14,DV6&lt;&gt;""),AND(ES6&gt;=EW$14,ES6&lt;&gt;""),AND(EV6&gt;=EW$14,EV6&lt;&gt;""),AND(FS6&gt;=FW$14,FS6&lt;&gt;""),AND(FV6&gt;=FW$14,FV6&lt;&gt;""),AND(GS6&gt;=GW$14,GS6&lt;&gt;""),AND(GV6&gt;=GW$14,GV6&lt;&gt;""),AND(HS6&gt;=HW$14,HS6&lt;&gt;""),AND(HV6&gt;=HW$14,HV6&lt;&gt;""),AND(IS6&gt;=IW$14,IS6&lt;&gt;""),AND(IV6&gt;=IW$14,IV6&lt;&gt;""),AND(JS6&gt;=JW$14,JS6&lt;&gt;""),AND(JV6&gt;=JW$14,JV6&lt;&gt;""),AND(KS6&gt;=KW$14,KS6&lt;&gt;""),AND(KV6&gt;=KW$14,KV6&lt;&gt;""),AND(LS6&gt;=LW$14,LS6&lt;&gt;""),AND(LV6&gt;=LW$14,LV6&lt;&gt;""),AND(MS6&gt;=MW$14,MS6&lt;&gt;""),AND(MV6&gt;=MW$14,MV6&lt;&gt;""),AND(NS6&gt;=NW$14,NS6&lt;&gt;""),AND(NV6&gt;=NW$14,NV6&lt;&gt;""),AND(OS6&gt;=OW$14,OS6&lt;&gt;""),AND(OV6&gt;=OW$14,OV6&lt;&gt;"")),"P","")</f>
        <v>P</v>
      </c>
      <c r="H6" s="70" t="str">
        <f>IF(AND(G6="P",F6=""),"No DD",IF(OR(AND(AN6&gt;=AS$13,AO6&gt;=AS$17,AN6&lt;&gt;"",AM6=""),AND(AQ6&gt;=AS$13,AR6&gt;=AS$17,AQ6&lt;&gt;"",AM6=""),AND(BO6&gt;=BT$13,BP6&gt;=BT$17,BO6&lt;&gt;"",BN6=""),AND(BR6&gt;=BT$13,BS6&gt;=BT$17,BR6&lt;&gt;"",BN6=""),AND(CP6&gt;=CU$13,CQ6&gt;=CU$17,CP6&lt;&gt;"",CO6=""),AND(CS6&gt;=CU$13,CT6&gt;=CU$17,CS6&lt;&gt;""),AND(DR6&gt;=DW$13,DS6&gt;=DW$17,DR6&lt;&gt;""),AND(DU6&gt;=DW$13,DV6&gt;=DW$17,DU6&lt;&gt;""),AND(ER6&gt;=EW$13,ES6&gt;=EW$17,ER6&lt;&gt;""),AND(EU6&gt;=EW$13,EV6&gt;=EW$17,EU6&lt;&gt;""),AND(FR6&gt;=FW$13,FS6&gt;=FW$17,FR6&lt;&gt;""),AND(FU6&gt;=FW$13,FV6&gt;=FW$17,FU6&lt;&gt;""),AND(GR6&gt;=GW$13,GS6&gt;=GW$17,GR6&lt;&gt;""),AND(GU6&gt;=GW$13,GV6&gt;=GW$17,GU6&lt;&gt;""),AND(HR6&gt;=HW$13,HS6&gt;=HW$17,HR6&lt;&gt;""),AND(HU6&gt;=HW$13,HV6&gt;=HW$17,HU6&lt;&gt;""),AND(IR6&gt;=IW$13,IS6&gt;=IW$17,IR6&lt;&gt;""),AND(IU6&gt;=IW$13,IV6&gt;=IW$17,IU6&lt;&gt;""),AND(JR6&gt;=JW$13,JS6&gt;=JW$17,JR6&lt;&gt;""),AND(JU6&gt;=JW$13,JV6&gt;=JW$17,JU6&lt;&gt;""),AND(KR6&gt;=KW$13,KS6&gt;=KW$17,KR6&lt;&gt;""),AND(KU6&gt;=KW$13,KV6&gt;=KW$17,KU6&lt;&gt;""),AND(LR6&gt;=LW$13,LS6&gt;=LW$17,LR6&lt;&gt;""),AND(LU6&gt;=LW$13,LV6&gt;=LW$17,LU6&lt;&gt;""),AND(MR6&gt;=MW$13,MS6&gt;=MW$17,MR6&lt;&gt;""),AND(MU6&gt;=MW$13,MV6&gt;=MW$17,MU6&lt;&gt;""),AND(NR6&gt;=NW$13,NS6&gt;=NW$17,NR6&lt;&gt;""),AND(NU6&gt;=NW$13,NV6&gt;=NW$17,NU6&lt;&gt;""),AND(OR6&gt;=OW$13,OS6&gt;=OW$17,OR6&lt;&gt;""),AND(OU6&gt;=OW$13,OV6&gt;=OW$17,OU6&lt;&gt;"")),"Merit",IF(OR(AND(AN6&gt;=AS$12,AO6&gt;=AS$16,AN6&lt;&gt;"",AM6=""),AND(AQ6&gt;=AS$12,AR6&gt;=AS$16,AQ6&lt;&gt;"",AM6=""),AND(BO6&gt;=BT$12,BP6&gt;=BT$16,BO6&lt;&gt;"",BN6=""),AND(BR6&gt;=BT$12,BS6&gt;=BT$16,BR6&lt;&gt;"",BN6=""),AND(CP6&gt;=CU$12,CQ6&gt;=CU$16,CP6&lt;&gt;"",CO6=""),AND(CS6&gt;=CU$12,CT6&gt;=CU$16,CS6&lt;&gt;""),AND(DR6&gt;=DW$12,DS6&gt;=DW$16,DR6&lt;&gt;""),AND(DU6&gt;=DW$12,DV6&gt;=DW$16,DU6&lt;&gt;""),AND(ER6&gt;=EW$12,ES6&gt;=EW$16,ER6&lt;&gt;""),AND(EU6&gt;=EW$12,EV6&gt;=EW$16,EU6&lt;&gt;""),AND(FR6&gt;=FW$12,FS6&gt;=FW$16,FR6&lt;&gt;""),AND(FU6&gt;=FW$12,FV6&gt;=FW$16,FU6&lt;&gt;""),AND(GR6&gt;=GW$12,GS6&gt;=GW$16,GR6&lt;&gt;""),AND(GU6&gt;=GW$12,GV6&gt;=GW$16,GU6&lt;&gt;""),AND(HR6&gt;=HW$12,HS6&gt;=HW$16,HR6&lt;&gt;""),AND(HU6&gt;=HW$12,HV6&gt;=HW$16,HU6&lt;&gt;""),AND(IR6&gt;=IW$12,IS6&gt;=IW$16,IR6&lt;&gt;""),AND(IU6&gt;=IW$12,IV6&gt;=IW$16,IU6&lt;&gt;""),AND(JR6&gt;=JW$12,JS6&gt;=JW$16,JR6&lt;&gt;""),AND(JU6&gt;=JW$12,JV6&gt;=JW$16,JU6&lt;&gt;""),AND(KR6&gt;=KW$12,KS6&gt;=KW$16,KR6&lt;&gt;""),AND(KU6&gt;=KW$12,KV6&gt;=KW$16,KU6&lt;&gt;""),AND(LR6&gt;=LW$12,LS6&gt;=LW$16,LR6&lt;&gt;""),AND(LU6&gt;=LW$12,LV6&gt;=LW$16,LU6&lt;&gt;""),AND(MR6&gt;=MW$12,MS6&gt;=MW$16,MR6&lt;&gt;""),AND(MU6&gt;=MW$12,MV6&gt;=MW$16,MU6&lt;&gt;""),AND(NR6&gt;=NW$12,NS6&gt;=NW$16,NR6&lt;&gt;""),AND(NU6&gt;=NW$12,NV6&gt;=NW$16,NU6&lt;&gt;""),AND(OR6&gt;=OW$12,OS6&gt;=OW$16,OR6&lt;&gt;""),AND(OU6&gt;=OW$12,OV6&gt;=OW$16,OU6&lt;&gt;"")),"Excellence",IF(I6="P","Worlds Team",IF(F6="P","National Team","")))))</f>
        <v>No DD</v>
      </c>
      <c r="I6" s="3" t="str">
        <f>IF(OR(AND(AN6&gt;=AS$11,AO6&gt;=AS$15,AN6&lt;&gt;"",AM6=""),AND(AQ6&gt;=AS$11,AR6&gt;=AS$15,AQ6&lt;&gt;"",AM6=""),AND(BO6&gt;=BT$11,BP6&gt;=BT$15,BO6&lt;&gt;"",BN6=""),AND(BR6&gt;=BT$11,BS6&gt;=BT$15,BR6&lt;&gt;"",BN6=""),AND(CP6&gt;=CU$11,CQ6&gt;=CU$15,CP6&lt;&gt;"",CO6=""),AND(CS6&gt;=CU$11,CT6&gt;=CU$15,CS6&lt;&gt;""),AND(DR6&gt;=DW$11,DS6&gt;=DW$15,DR6&lt;&gt;""),AND(DU6&gt;=DW$11,DV6&gt;=DW$15,DU6&lt;&gt;""),AND(ER6&gt;=EW$11,ES6&gt;=EW$15,ER6&lt;&gt;""),AND(EU6&gt;=EW$11,EV6&gt;=EW$15,EU6&lt;&gt;""),AND(FR6&gt;=FW$11,FS6&gt;=FW$15,FR6&lt;&gt;""),AND(FU6&gt;=FW$11,FV6&gt;=FW$15,FU6&lt;&gt;""),AND(GR6&gt;=GW$11,GS6&gt;=GW$15,GR6&lt;&gt;""),AND(GU6&gt;=GW$11,GV6&gt;=GW$15,GU6&lt;&gt;""),AND(HR6&gt;=HW$11,HS6&gt;=HW$15,HR6&lt;&gt;""),AND(HU6&gt;=HW$11,HV6&gt;=HW$15,HU6&lt;&gt;""),AND(IR6&gt;=IW$11,IS6&gt;=IW$15,IR6&lt;&gt;""),AND(IU6&gt;=IW$11,IV6&gt;=IW$15,IU6&lt;&gt;""),AND(JR6&gt;=JW$11,JS6&gt;=JW$15,JR6&lt;&gt;""),AND(JU6&gt;=JW$11,JV6&gt;=JW$15,JU6&lt;&gt;""),AND(KR6&gt;=KW$11,KS6&gt;=KW$15,KR6&lt;&gt;""),AND(KU6&gt;=KW$11,KV6&gt;=KW$15,KU6&lt;&gt;""),AND(LR6&gt;=LW$11,LS6&gt;=LW$15,LR6&lt;&gt;""),AND(LU6&gt;=LW$11,LV6&gt;=LW$15,LU6&lt;&gt;""),AND(MR6&gt;=MW$11,MS6&gt;=MW$15,MR6&lt;&gt;""),AND(MU6&gt;=MW$11,MV6&gt;=MW$15,MU6&lt;&gt;""),AND(NR6&gt;=NW$11,NS6&gt;=NW$15,NR6&lt;&gt;""),AND(NU6&gt;=NW$11,NV6&gt;=NW$15,NU6&lt;&gt;""),AND(OR6&gt;=OW$11,OS6&gt;=OW$15,OR6&lt;&gt;""),AND(OU6&gt;=OW$11,OV6&gt;=OW$15,OU6&lt;&gt;"")),"P","")</f>
        <v/>
      </c>
      <c r="J6" s="13">
        <f>IF(COUNT(AO6,BP6,CQ6)&gt;0,LARGE((AO6,BP6,CQ6),1),0)</f>
        <v>38.9</v>
      </c>
      <c r="K6" s="13" t="str">
        <f>IF(J6=0,"",IF(J6=CQ6,$BU$1,IF(J6=BP6,$AT$1,IF(J6=AO6,$S$1,""))))</f>
        <v>2022 Elite Canada</v>
      </c>
      <c r="L6" s="13">
        <f>IF(COUNT(AO6,BP6,CQ6)&gt;1,LARGE((AO6,BP6,CQ6),2),0)</f>
        <v>2.0000000000000001E-4</v>
      </c>
      <c r="M6" s="13" t="str">
        <f>IF(L6=0,"",IF(L6=CQ6,$BU$1,IF(L6=BP6,$AT$1,IF(L6=AO6,$S$1,""))))</f>
        <v>2021 Canadian Championships</v>
      </c>
      <c r="N6" s="13">
        <f>IF(MAX(AR6,BS6,CT6)&gt;0,MAX(AR6,BS6,CT6),0)</f>
        <v>40.559999999999995</v>
      </c>
      <c r="O6" s="13" t="str">
        <f>IF(N6=0,"",IF(N6=CT6,$BU$1,IF(N6=BS6,$AT$1,IF(N6=AR6,$S$1,""))))</f>
        <v>2022 Elite Canada</v>
      </c>
      <c r="P6" s="13">
        <f>IF(MAX(CV6:CW6)&gt;0,MAX(CV6:CW6),"")</f>
        <v>2.1400000000000006</v>
      </c>
      <c r="Q6" s="16" t="str">
        <f>IF(P6="","",IF(P6=CV6,"("&amp;CV$2&amp;")",IF(P6=CW6,"("&amp;CW$2&amp;")")))</f>
        <v>(Final)</v>
      </c>
      <c r="R6" s="13" t="str">
        <f>IF(P6="","",IF(P6=CV6,IF(P6+IF(L6="",0,L6)=OS6,$NX$1,IF(P6+IF(L6="",0,L6)=NS6,$MX$1,IF(P6+IF(L6="",0,L6)=MS6,$LX$1,IF(P6+IF(L6="",0,L6)=LS6,$KX$1,IF(P6+IF(L6="",0,L6)=KS6,$JX$1,IF(P6+IF(L6="",0,L6)=JS6,$IX$1,IF(P6+IF(L6="",0,L6)=IS6,$HX$1,IF(P6+IF(L6="",0,L6)=HS6,$GX$1,IF(P6+IF(L6="",0,L6)=GS6,$FX$1,IF(P6+IF(L6="",0,L6)=FS6,$EX$1,IF(P6+IF(L6="",0,L6)=ES6,$DX$1,IF(P6+IF(L6="",0,L6)=DS6,$CX$1)))))))))))),IF(P6=CW6,IF(P6+IF(N6="",0,N6)=OV6,$NX$1,IF(P6+IF(N6="",0,N6)=NV6,$MX$1,IF(P6+IF(N6="",0,N6)=MV6,$LX$1,IF(P6+IF(N6="",0,N6)=LV6,$KX$1,IF(P6+IF(N6="",0,N6)=KV6,$JX$1,IF(P6+IF(N6="",0,N6)=JV6,$IX$1,IF(P6+IF(N6="",0,N6)=IV6,$HX$1,IF(P6+IF(N6="",0,N6)=HV6,$GX$1,IF(P6+IF(N6="",0,N6)=GV6,$FX$1,IF(P6+IF(N6="",0,N6)=FV6,$EX$1,IF(P6+IF(N6="",0,N6)=EV6,$DX$1,IF(P6+IF(N6="",0,N6)=DV6,$CX$1)))))))))))))))</f>
        <v>2022 World Games Technical Trial #2 (May 15)</v>
      </c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51"/>
      <c r="AN6" s="76" t="str">
        <f>IF(SUM(T6,X6)&gt;0,SUM(T6,X6),"")</f>
        <v/>
      </c>
      <c r="AO6" s="76" t="str">
        <f>IF(SUM(S6:T6,V6:X6,Z6)-U6-Y6&gt;0,SUM(S6:T6,V6:X6,Z6)-U6-Y6,"")</f>
        <v/>
      </c>
      <c r="AP6" s="76" t="str">
        <f>IF(SUM(AA6:AB6,AD6)-AC6&gt;0,SUM(AA6:AB6,AD6)-AC6,"")</f>
        <v/>
      </c>
      <c r="AQ6" s="76" t="str">
        <f>IF(SUM(AF6,AJ6)&gt;0,SUM(AF6,AJ6),"")</f>
        <v/>
      </c>
      <c r="AR6" s="76" t="str">
        <f>IF(SUM(AE6:AF6,AH6:AJ6,AL6)-SUM(AG6,AK6)&gt;0,SUM(AE6:AF6,AH6:AJ6,AL6)-SUM(AG6,AK6),"")</f>
        <v/>
      </c>
      <c r="AS6" s="76" t="str">
        <f>IF(SUM(AO6,AR6)&gt;0,SUM(AO6,AR6),"")</f>
        <v/>
      </c>
      <c r="AT6" s="26"/>
      <c r="AU6" s="26">
        <v>2.0000000000000001E-4</v>
      </c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52"/>
      <c r="BO6" s="16">
        <f>IF(SUM(AU6,AY6)&gt;0,SUM(AU6,AY6),"")</f>
        <v>2.0000000000000001E-4</v>
      </c>
      <c r="BP6" s="16">
        <f>IF(SUM(AT6:AU6,AW6:AY6,BA6)-AV6-AZ6&gt;0,SUM(AT6:AU6,AW6:AY6,BA6)-AV6-AZ6,"")</f>
        <v>2.0000000000000001E-4</v>
      </c>
      <c r="BQ6" s="16" t="str">
        <f>IF(SUM(BB6:BC6,BE6)-BD6&gt;0,SUM(BB6:BC6,BE6)-BD6,"")</f>
        <v/>
      </c>
      <c r="BR6" s="16" t="str">
        <f>IF(SUM(BG6,BK6)&gt;0,SUM(BG6,BK6),"")</f>
        <v/>
      </c>
      <c r="BS6" s="16" t="str">
        <f>IF(SUM(BF6:BG6,BI6:BK6,BM6)-SUM(BH6,BL6)&gt;0,SUM(BF6:BG6,BI6:BK6,BM6)-SUM(BH6,BL6),"")</f>
        <v/>
      </c>
      <c r="BT6" s="16">
        <f>IF(SUM(BP6,BS6)&gt;0,SUM(BP6,BS6),"")</f>
        <v>2.0000000000000001E-4</v>
      </c>
      <c r="BU6" s="27">
        <v>16.600000000000001</v>
      </c>
      <c r="BV6" s="27">
        <v>3.9</v>
      </c>
      <c r="BW6" s="27">
        <v>0</v>
      </c>
      <c r="BX6" s="27">
        <v>0.3</v>
      </c>
      <c r="BY6" s="27">
        <v>15.9</v>
      </c>
      <c r="BZ6" s="27">
        <v>1.9</v>
      </c>
      <c r="CA6" s="27">
        <v>0</v>
      </c>
      <c r="CB6" s="27">
        <v>0.3</v>
      </c>
      <c r="CC6" s="27"/>
      <c r="CD6" s="27"/>
      <c r="CE6" s="27"/>
      <c r="CF6" s="27"/>
      <c r="CG6" s="27">
        <v>15.1</v>
      </c>
      <c r="CH6" s="27">
        <v>4.0999999999999996</v>
      </c>
      <c r="CI6" s="27">
        <v>0.2</v>
      </c>
      <c r="CJ6" s="27">
        <v>0.3</v>
      </c>
      <c r="CK6" s="27">
        <v>16.46</v>
      </c>
      <c r="CL6" s="27">
        <v>4.5</v>
      </c>
      <c r="CM6" s="27">
        <v>0</v>
      </c>
      <c r="CN6" s="27">
        <v>0.3</v>
      </c>
      <c r="CO6" s="51"/>
      <c r="CP6" s="76">
        <f>IF(SUM(BV6,BZ6)&gt;0,SUM(BV6,BZ6),"")</f>
        <v>5.8</v>
      </c>
      <c r="CQ6" s="76">
        <f>IF(SUM(BU6:BV6,BX6:BZ6,CB6)-BW6-CA6&gt;0,SUM(BU6:BV6,BX6:BZ6,CB6)-BW6-CA6,"")</f>
        <v>38.9</v>
      </c>
      <c r="CR6" s="76" t="str">
        <f>IF(SUM(CC6:CD6,CF6)-CE6&gt;0,SUM(CC6:CD6,CF6)-CE6,"")</f>
        <v/>
      </c>
      <c r="CS6" s="76">
        <f>IF(SUM(CH6,CL6)&gt;0,SUM(CH6,CL6),"")</f>
        <v>8.6</v>
      </c>
      <c r="CT6" s="76">
        <f>IF(SUM(CG6:CH6,CJ6:CL6,CN6)-SUM(CI6,CM6)&gt;0,SUM(CG6:CH6,CJ6:CL6,CN6)-SUM(CI6,CM6),"")</f>
        <v>40.559999999999995</v>
      </c>
      <c r="CU6" s="76">
        <f>IF(SUM(CQ6,CT6)&gt;0,SUM(CQ6,CT6),"")</f>
        <v>79.459999999999994</v>
      </c>
      <c r="CV6" s="87" t="str">
        <f>IF(L6&gt;=0.001,IF(MAX(DS6,ES6,FS6,GS6,HS6,IS6,JS6,KS6,LS6,MS6,NS6,OS6)-IF(L6="",0,L6)&gt;0.001,MAX(DS6,ES6,FS6,GS6,HS6,IS6,JS6,KS6,LS6,MS6,NS6,OS6)-IF(L6="",0,L6),""),"")</f>
        <v/>
      </c>
      <c r="CW6" s="87">
        <f>IF(N6&gt;=0.001,IF(MAX(DV6,EV6,FV6,GV6,HV6,IV6,JV6,KV6,LV6,MV6,NV6,OV6)-IF(N6="",0,N6)&gt;0.001,MAX(DV6,EV6,FV6,GV6,HV6,IV6,JV6,KV6,LV6,MV6,NV6,OV6)-IF(N6="",0,N6),""),"")</f>
        <v>2.1400000000000006</v>
      </c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76" t="str">
        <f>IF(SUM(CY6,DC6)&gt;0,SUM(CY6,DC6),"")</f>
        <v/>
      </c>
      <c r="DS6" s="76" t="str">
        <f>IF(SUM(CX6:CY6,DA6:DC6,DE6)-CZ6-DD6&gt;0,SUM(CX6:CY6,DA6:DC6,DE6)-CZ6-DD6,"")</f>
        <v/>
      </c>
      <c r="DT6" s="76" t="str">
        <f>IF(SUM(DF6:DG6,DI6)-DH6&gt;0,SUM(DF6:DG6,DI6)-DH6,"")</f>
        <v/>
      </c>
      <c r="DU6" s="76" t="str">
        <f>IF(SUM(DK6,DO6)&gt;0,SUM(DK6,DO6),"")</f>
        <v/>
      </c>
      <c r="DV6" s="76" t="str">
        <f>IF(SUM(DJ6:DK6,DM6:DO6,DQ6)-SUM(DL6,DP6)&gt;0,SUM(DJ6:DK6,DM6:DO6,DQ6)-SUM(DL6,DP6),"")</f>
        <v/>
      </c>
      <c r="DW6" s="76" t="str">
        <f>IF(SUM(DS6,DV6)&gt;0,SUM(DS6,DV6),"")</f>
        <v/>
      </c>
      <c r="DX6" s="26">
        <v>9.8000000000000007</v>
      </c>
      <c r="DY6" s="26">
        <v>1.4</v>
      </c>
      <c r="DZ6" s="26">
        <v>0</v>
      </c>
      <c r="EA6" s="26">
        <v>0.3</v>
      </c>
      <c r="EB6" s="26">
        <v>15.4</v>
      </c>
      <c r="EC6" s="26">
        <v>1.9</v>
      </c>
      <c r="ED6" s="26">
        <v>0</v>
      </c>
      <c r="EE6" s="26">
        <v>0.3</v>
      </c>
      <c r="EF6" s="26"/>
      <c r="EG6" s="26"/>
      <c r="EH6" s="26"/>
      <c r="EI6" s="26"/>
      <c r="EJ6" s="26">
        <v>16.2</v>
      </c>
      <c r="EK6" s="26">
        <v>1.7</v>
      </c>
      <c r="EL6" s="26">
        <v>1.9</v>
      </c>
      <c r="EM6" s="26">
        <v>0</v>
      </c>
      <c r="EN6" s="26">
        <v>0</v>
      </c>
      <c r="EO6" s="26">
        <v>0</v>
      </c>
      <c r="EP6" s="26">
        <v>0</v>
      </c>
      <c r="EQ6" s="26">
        <v>0</v>
      </c>
      <c r="ER6" s="16">
        <f>IF(SUM(DY6,EC6)&gt;0,SUM(DY6,EC6),"")</f>
        <v>3.3</v>
      </c>
      <c r="ES6" s="16">
        <f>IF(SUM(DX6:DY6,EA6:EC6,EE6)-DZ6-ED6&gt;0,SUM(DX6:DY6,EA6:EC6,EE6)-DZ6-ED6,"")</f>
        <v>29.1</v>
      </c>
      <c r="ET6" s="16" t="str">
        <f>IF(SUM(EF6:EG6,EI6)-EH6&gt;0,SUM(EF6:EG6,EI6)-EH6,"")</f>
        <v/>
      </c>
      <c r="EU6" s="16">
        <f>IF(SUM(EK6,EO6)&gt;0,SUM(EK6,EO6),"")</f>
        <v>1.7</v>
      </c>
      <c r="EV6" s="16">
        <f>IF(SUM(EJ6:EK6,EM6:EO6,EQ6)-SUM(EL6,EP6)&gt;0,SUM(EJ6:EK6,EM6:EO6,EQ6)-SUM(EL6,EP6),"")</f>
        <v>15.999999999999998</v>
      </c>
      <c r="EW6" s="16">
        <f>IF(SUM(ES6,EV6)&gt;0,SUM(ES6,EV6),"")</f>
        <v>45.1</v>
      </c>
      <c r="EX6" s="25">
        <v>16.2</v>
      </c>
      <c r="EY6" s="25">
        <v>1.2</v>
      </c>
      <c r="EZ6" s="25">
        <v>0</v>
      </c>
      <c r="FA6" s="25">
        <v>0</v>
      </c>
      <c r="FB6" s="25">
        <v>16.3</v>
      </c>
      <c r="FC6" s="25">
        <v>3.9</v>
      </c>
      <c r="FD6" s="25">
        <v>0.2</v>
      </c>
      <c r="FE6" s="25">
        <v>0.3</v>
      </c>
      <c r="FF6" s="25"/>
      <c r="FG6" s="25"/>
      <c r="FH6" s="25"/>
      <c r="FI6" s="25"/>
      <c r="FJ6" s="25">
        <v>17.5</v>
      </c>
      <c r="FK6" s="25">
        <v>3.6</v>
      </c>
      <c r="FL6" s="25">
        <v>0</v>
      </c>
      <c r="FM6" s="25">
        <v>0</v>
      </c>
      <c r="FN6" s="25">
        <v>17</v>
      </c>
      <c r="FO6" s="25">
        <v>4.3</v>
      </c>
      <c r="FP6" s="25">
        <v>0</v>
      </c>
      <c r="FQ6" s="25">
        <v>0.3</v>
      </c>
      <c r="FR6" s="76">
        <f>IF(SUM(EY6,FC6)&gt;0,SUM(EY6,FC6),"")</f>
        <v>5.0999999999999996</v>
      </c>
      <c r="FS6" s="76">
        <f>IF(SUM(EX6:EY6,FA6:FC6,FE6)-EZ6-FD6&gt;0,SUM(EX6:EY6,FA6:FC6,FE6)-EZ6-FD6,"")</f>
        <v>37.699999999999996</v>
      </c>
      <c r="FT6" s="76" t="str">
        <f>IF(SUM(FF6:FG6,FI6)-FH6&gt;0,SUM(FF6:FG6,FI6)-FH6,"")</f>
        <v/>
      </c>
      <c r="FU6" s="76">
        <f>IF(SUM(FK6,FO6)&gt;0,SUM(FK6,FO6),"")</f>
        <v>7.9</v>
      </c>
      <c r="FV6" s="76">
        <f>IF(SUM(FJ6:FK6,FM6:FO6,FQ6)-SUM(FL6,FP6)&gt;0,SUM(FJ6:FK6,FM6:FO6,FQ6)-SUM(FL6,FP6),"")</f>
        <v>42.699999999999996</v>
      </c>
      <c r="FW6" s="76">
        <f>IF(SUM(FS6,FV6)&gt;0,SUM(FS6,FV6),"")</f>
        <v>80.399999999999991</v>
      </c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16" t="str">
        <f>IF(SUM(FY6,GC6)&gt;0,SUM(FY6,GC6),"")</f>
        <v/>
      </c>
      <c r="GS6" s="16" t="str">
        <f>IF(SUM(FX6:FY6,GA6:GC6,GE6)-FZ6-GD6&gt;0,SUM(FX6:FY6,GA6:GC6,GE6)-FZ6-GD6,"")</f>
        <v/>
      </c>
      <c r="GT6" s="16" t="str">
        <f>IF(SUM(GF6:GG6,GI6)-GH6&gt;0,SUM(GF6:GG6,GI6)-GH6,"")</f>
        <v/>
      </c>
      <c r="GU6" s="16" t="str">
        <f>IF(SUM(GK6,GO6)&gt;0,SUM(GK6,GO6),"")</f>
        <v/>
      </c>
      <c r="GV6" s="16" t="str">
        <f>IF(SUM(GJ6:GK6,GM6:GO6,GQ6)-SUM(GL6,GP6)&gt;0,SUM(GJ6:GK6,GM6:GO6,GQ6)-SUM(GL6,GP6),"")</f>
        <v/>
      </c>
      <c r="GW6" s="16" t="str">
        <f>IF(SUM(GS6,GV6)&gt;0,SUM(GS6,GV6),"")</f>
        <v/>
      </c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25"/>
      <c r="HR6" s="76" t="str">
        <f>IF(SUM(GY6,HC6)&gt;0,SUM(GY6,HC6),"")</f>
        <v/>
      </c>
      <c r="HS6" s="76" t="str">
        <f>IF(SUM(GX6:GY6,HA6:HC6,HE6)-GZ6-HD6&gt;0,SUM(GX6:GY6,HA6:HC6,HE6)-GZ6-HD6,"")</f>
        <v/>
      </c>
      <c r="HT6" s="76" t="str">
        <f>IF(SUM(HF6:HG6,HI6)-HH6&gt;0,SUM(HF6:HG6,HI6)-HH6,"")</f>
        <v/>
      </c>
      <c r="HU6" s="76" t="str">
        <f>IF(SUM(HK6,HO6)&gt;0,SUM(HK6,HO6),"")</f>
        <v/>
      </c>
      <c r="HV6" s="76" t="str">
        <f>IF(SUM(HJ6:HK6,HM6:HO6,HQ6)-SUM(HL6,HP6)&gt;0,SUM(HJ6:HK6,HM6:HO6,HQ6)-SUM(HL6,HP6),"")</f>
        <v/>
      </c>
      <c r="HW6" s="76" t="str">
        <f>IF(SUM(HS6,HV6)&gt;0,SUM(HS6,HV6),"")</f>
        <v/>
      </c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16" t="str">
        <f>IF(SUM(HY6,IC6)&gt;0,SUM(HY6,IC6),"")</f>
        <v/>
      </c>
      <c r="IS6" s="16" t="str">
        <f>IF(SUM(HX6:HY6,IA6:IC6,IE6)-HZ6-ID6&gt;0,SUM(HX6:HY6,IA6:IC6,IE6)-HZ6-ID6,"")</f>
        <v/>
      </c>
      <c r="IT6" s="16" t="str">
        <f>IF(SUM(IF6:IG6,II6)-IH6&gt;0,SUM(IF6:IG6,II6)-IH6,"")</f>
        <v/>
      </c>
      <c r="IU6" s="16" t="str">
        <f>IF(SUM(IK6,IO6)&gt;0,SUM(IK6,IO6),"")</f>
        <v/>
      </c>
      <c r="IV6" s="16" t="str">
        <f>IF(SUM(IJ6:IK6,IM6:IO6,IQ6)-SUM(IL6,IP6)&gt;0,SUM(IJ6:IK6,IM6:IO6,IQ6)-SUM(IL6,IP6),"")</f>
        <v/>
      </c>
      <c r="IW6" s="16" t="str">
        <f>IF(SUM(IS6,IV6)&gt;0,SUM(IS6,IV6),"")</f>
        <v/>
      </c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76" t="str">
        <f>IF(SUM(IY6,JC6)&gt;0,SUM(IY6,JC6),"")</f>
        <v/>
      </c>
      <c r="JS6" s="76" t="str">
        <f>IF(SUM(IX6:IY6,JA6:JC6,JE6)-IZ6-JD6&gt;0,SUM(IX6:IY6,JA6:JC6,JE6)-IZ6-JD6,"")</f>
        <v/>
      </c>
      <c r="JT6" s="76" t="str">
        <f>IF(SUM(JF6:JG6,JI6)-JH6&gt;0,SUM(JF6:JG6,JI6)-JH6,"")</f>
        <v/>
      </c>
      <c r="JU6" s="76" t="str">
        <f>IF(SUM(JK6,JO6)&gt;0,SUM(JK6,JO6),"")</f>
        <v/>
      </c>
      <c r="JV6" s="76" t="str">
        <f>IF(SUM(JJ6:JK6,JM6:JO6,JQ6)-SUM(JL6,JP6)&gt;0,SUM(JJ6:JK6,JM6:JO6,JQ6)-SUM(JL6,JP6),"")</f>
        <v/>
      </c>
      <c r="JW6" s="76" t="str">
        <f>IF(SUM(JS6,JV6)&gt;0,SUM(JS6,JV6),"")</f>
        <v/>
      </c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6"/>
      <c r="KR6" s="16" t="str">
        <f>IF(SUM(JY6,KC6)&gt;0,SUM(JY6,KC6),"")</f>
        <v/>
      </c>
      <c r="KS6" s="16" t="str">
        <f>IF(SUM(JX6:JY6,KA6:KC6,KE6)-JZ6-KD6&gt;0,SUM(JX6:JY6,KA6:KC6,KE6)-JZ6-KD6,"")</f>
        <v/>
      </c>
      <c r="KT6" s="16" t="str">
        <f>IF(SUM(KF6:KG6,KI6)-KH6&gt;0,SUM(KF6:KG6,KI6)-KH6,"")</f>
        <v/>
      </c>
      <c r="KU6" s="16" t="str">
        <f>IF(SUM(KK6,KO6)&gt;0,SUM(KK6,KO6),"")</f>
        <v/>
      </c>
      <c r="KV6" s="16" t="str">
        <f>IF(SUM(KJ6:KK6,KM6:KO6,KQ6)-SUM(KL6,KP6)&gt;0,SUM(KJ6:KK6,KM6:KO6,KQ6)-SUM(KL6,KP6),"")</f>
        <v/>
      </c>
      <c r="KW6" s="16" t="str">
        <f>IF(SUM(KS6,KV6)&gt;0,SUM(KS6,KV6),"")</f>
        <v/>
      </c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76" t="str">
        <f>IF(SUM(KY6,LC6)&gt;0,SUM(KY6,LC6),"")</f>
        <v/>
      </c>
      <c r="LS6" s="76" t="str">
        <f>IF(SUM(KX6:KY6,LA6:LC6,LE6)-KZ6-LD6&gt;0,SUM(KX6:KY6,LA6:LC6,LE6)-KZ6-LD6,"")</f>
        <v/>
      </c>
      <c r="LT6" s="76" t="str">
        <f>IF(SUM(LF6:LG6,LI6)-LH6&gt;0,SUM(LF6:LG6,LI6)-LH6,"")</f>
        <v/>
      </c>
      <c r="LU6" s="76" t="str">
        <f>IF(SUM(LK6,LO6)&gt;0,SUM(LK6,LO6),"")</f>
        <v/>
      </c>
      <c r="LV6" s="76" t="str">
        <f>IF(SUM(LJ6:LK6,LM6:LO6,LQ6)-SUM(LL6,LP6)&gt;0,SUM(LJ6:LK6,LM6:LO6,LQ6)-SUM(LL6,LP6),"")</f>
        <v/>
      </c>
      <c r="LW6" s="76" t="str">
        <f>IF(SUM(LS6,LV6)&gt;0,SUM(LS6,LV6),"")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IF(SUM(LY6,MC6)&gt;0,SUM(LY6,MC6),"")</f>
        <v/>
      </c>
      <c r="MS6" s="16" t="str">
        <f>IF(SUM(LX6:LY6,MA6:MC6,ME6)-LZ6-MD6&gt;0,SUM(LX6:LY6,MA6:MC6,ME6)-LZ6-MD6,"")</f>
        <v/>
      </c>
      <c r="MT6" s="16" t="str">
        <f>IF(SUM(MF6:MG6,MI6)-MH6&gt;0,SUM(MF6:MG6,MI6)-MH6,"")</f>
        <v/>
      </c>
      <c r="MU6" s="16" t="str">
        <f>IF(SUM(MK6,MO6)&gt;0,SUM(MK6,MO6),"")</f>
        <v/>
      </c>
      <c r="MV6" s="16" t="str">
        <f>IF(SUM(MJ6:MK6,MM6:MO6,MQ6)-SUM(ML6,MP6)&gt;0,SUM(MJ6:MK6,MM6:MO6,MQ6)-SUM(ML6,MP6),"")</f>
        <v/>
      </c>
      <c r="MW6" s="16" t="str">
        <f>IF(SUM(MS6,MV6)&gt;0,SUM(MS6,MV6),"")</f>
        <v/>
      </c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76" t="str">
        <f>IF(SUM(MY6,NC6)&gt;0,SUM(MY6,NC6),"")</f>
        <v/>
      </c>
      <c r="NS6" s="76" t="str">
        <f>IF(SUM(MX6:MY6,NA6:NC6,NE6)-MZ6-ND6&gt;0,SUM(MX6:MY6,NA6:NC6,NE6)-MZ6-ND6,"")</f>
        <v/>
      </c>
      <c r="NT6" s="76" t="str">
        <f>IF(SUM(NF6:NG6,NI6)-NH6&gt;0,SUM(NF6:NG6,NI6)-NH6,"")</f>
        <v/>
      </c>
      <c r="NU6" s="76" t="str">
        <f>IF(SUM(NK6,NO6)&gt;0,SUM(NK6,NO6),"")</f>
        <v/>
      </c>
      <c r="NV6" s="76" t="str">
        <f>IF(SUM(NJ6:NK6,NM6:NO6,NQ6)-SUM(NL6,NP6)&gt;0,SUM(NJ6:NK6,NM6:NO6,NQ6)-SUM(NL6,NP6),"")</f>
        <v/>
      </c>
      <c r="NW6" s="76" t="str">
        <f>IF(SUM(NS6,NV6)&gt;0,SUM(NS6,NV6),"")</f>
        <v/>
      </c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6"/>
      <c r="OR6" s="16" t="str">
        <f>IF(SUM(NY6,OC6)&gt;0,SUM(NY6,OC6),"")</f>
        <v/>
      </c>
      <c r="OS6" s="16" t="str">
        <f>IF(SUM(NX6:NY6,OA6:OC6,OE6)-NZ6-OD6&gt;0,SUM(NX6:NY6,OA6:OC6,OE6)-NZ6-OD6,"")</f>
        <v/>
      </c>
      <c r="OT6" s="16" t="str">
        <f>IF(SUM(OF6:OG6,OI6)-OH6&gt;0,SUM(OF6:OG6,OI6)-OH6,"")</f>
        <v/>
      </c>
      <c r="OU6" s="16" t="str">
        <f>IF(SUM(OK6,OO6)&gt;0,SUM(OK6,OO6),"")</f>
        <v/>
      </c>
      <c r="OV6" s="16" t="str">
        <f>IF(SUM(OJ6:OK6,OM6:OO6,OQ6)-SUM(OL6,OP6)&gt;0,SUM(OJ6:OK6,OM6:OO6,OQ6)-SUM(OL6,OP6),"")</f>
        <v/>
      </c>
      <c r="OW6" s="16" t="str">
        <f>IF(SUM(OS6,OV6)&gt;0,SUM(OS6,OV6),"")</f>
        <v/>
      </c>
      <c r="OX6" s="42">
        <f>IF($CO6="P",BU6,(BU6+AT6)/2)</f>
        <v>8.3000000000000007</v>
      </c>
      <c r="OY6" s="42">
        <f>IF($CO6="P",BV6,(BV6+AU6)/2)</f>
        <v>1.9500999999999999</v>
      </c>
      <c r="OZ6" s="42">
        <f>IF($CO6="P",BW6,(BW6+AV6)/2)</f>
        <v>0</v>
      </c>
      <c r="PA6" s="42">
        <f>IF($CO6="P",BX6,(BX6+AW6)/2)</f>
        <v>0.15</v>
      </c>
      <c r="PB6" s="42">
        <f>IF($CO6="P",BY6,(BY6+AX6)/2)</f>
        <v>7.95</v>
      </c>
      <c r="PC6" s="42">
        <f>IF($CO6="P",BZ6,(BZ6+AY6)/2)</f>
        <v>0.95</v>
      </c>
      <c r="PD6" s="42">
        <f>IF($CO6="P",CA6,(CA6+AZ6)/2)</f>
        <v>0</v>
      </c>
      <c r="PE6" s="42">
        <f>IF($CO6="P",CB6,(CB6+BA6)/2)</f>
        <v>0.15</v>
      </c>
      <c r="PF6" s="42">
        <f>IF($CO6="P",CC6,(CC6+BB6)/2)</f>
        <v>0</v>
      </c>
      <c r="PG6" s="42">
        <f>IF($CO6="P",CD6,(CD6+BC6)/2)</f>
        <v>0</v>
      </c>
      <c r="PH6" s="42">
        <f>IF($CO6="P",CE6,(CE6+BD6)/2)</f>
        <v>0</v>
      </c>
      <c r="PI6" s="42">
        <f>IF($CO6="P",CF6,(CF6+BE6)/2)</f>
        <v>0</v>
      </c>
      <c r="PJ6" s="42">
        <f>IF($CO6="P",CG6,(CG6+BF6)/2)</f>
        <v>7.55</v>
      </c>
      <c r="PK6" s="42">
        <f>IF($CO6="P",CH6,(CH6+BG6)/2)</f>
        <v>2.0499999999999998</v>
      </c>
      <c r="PL6" s="42">
        <f>IF($CO6="P",CI6,(CI6+BH6)/2)</f>
        <v>0.1</v>
      </c>
      <c r="PM6" s="42">
        <f>IF($CO6="P",CJ6,(CJ6+BI6)/2)</f>
        <v>0.15</v>
      </c>
      <c r="PN6" s="42">
        <f>IF($CO6="P",CK6,(CK6+BJ6)/2)</f>
        <v>8.23</v>
      </c>
      <c r="PO6" s="42">
        <f>IF($CO6="P",CL6,(CL6+BK6)/2)</f>
        <v>2.25</v>
      </c>
      <c r="PP6" s="42">
        <f>IF($CO6="P",CM6,(CM6+BL6)/2)</f>
        <v>0</v>
      </c>
      <c r="PQ6" s="42">
        <f>IF($CO6="P",CN6,(CN6+BM6)/2)</f>
        <v>0.15</v>
      </c>
      <c r="PR6" s="51" t="s">
        <v>61</v>
      </c>
      <c r="PS6" s="76">
        <f>IF(SUM(OY6,PC6)&gt;0,SUM(OY6,PC6),"")</f>
        <v>2.9001000000000001</v>
      </c>
      <c r="PT6" s="76">
        <f>IF(SUM(OX6:OY6,PA6:PC6,PE6)-OZ6-PD6&gt;0,SUM(OX6:OY6,PA6:PC6,PE6)-OZ6-PD6,"")</f>
        <v>19.450099999999999</v>
      </c>
      <c r="PU6" s="76" t="str">
        <f>IF(SUM(PF6:PG6,PI6)-PH6&gt;0,SUM(PF6:PG6,PI6)-PH6,"")</f>
        <v/>
      </c>
      <c r="PV6" s="76">
        <f>IF(SUM(PK6,PO6)&gt;0,SUM(PK6,PO6),"")</f>
        <v>4.3</v>
      </c>
      <c r="PW6" s="76">
        <f>IF(SUM(PJ6:PK6,PM6:PO6,PQ6)-SUM(PL6,PP6)&gt;0,SUM(PJ6:PK6,PM6:PO6,PQ6)-SUM(PL6,PP6),"")</f>
        <v>20.279999999999998</v>
      </c>
      <c r="PX6" s="76">
        <f>IF(SUM(PT6,PW6)&gt;0,SUM(PT6,PW6),"")</f>
        <v>39.730099999999993</v>
      </c>
    </row>
    <row r="7" spans="1:440" x14ac:dyDescent="0.2">
      <c r="A7" s="5" t="str">
        <f>IF(AND(F7="P",G7="P"),SUMPRODUCT((F$4:F$8="P")*(G$4:G$8="P")*(E$4:E$8&gt;E7))+1,IF(G7="P",SUMPRODUCT((F$4:F$8="")*(G$4:G$8="P")*(E$4:E$8&gt;E7))+1+SUMPRODUCT((F$4:F$8="P")*(G$4:G$8="P")),""))</f>
        <v/>
      </c>
      <c r="B7" s="6" t="s">
        <v>112</v>
      </c>
      <c r="C7" s="7" t="s">
        <v>3</v>
      </c>
      <c r="D7" s="18">
        <v>2003</v>
      </c>
      <c r="E7" s="14">
        <f>SUM(J7:P7)+SUM(J7:N7)*0.0000001+SUM(J7)*0.0000000000001</f>
        <v>4.0000004000002003E-4</v>
      </c>
      <c r="F7" s="3" t="str">
        <f>IF(OR(AND(AN7&gt;=AS$10,AO7&gt;=AS$14,AN7&lt;&gt;"",AM7=""),AND(AQ7&gt;=AS$10,AR7&gt;=AS$14,AQ7&lt;&gt;"",AM7=""),AND(BO7&gt;=BT$10,BP7&gt;=BT$14,BO7&lt;&gt;"",BN7=""),AND(BR7&gt;=BT$10,BS7&gt;=BT$14,BR7&lt;&gt;"",BN7=""),AND(CP7&gt;=CU$10,CQ7&gt;=CU$14,CP7&lt;&gt;"",CO7=""),AND(CS7&gt;=CU$10,CT7&gt;=CU$14,CS7&lt;&gt;""),AND(DR7&gt;=DW$10,DS7&gt;=DW$14,DR7&lt;&gt;""),AND(DU7&gt;=DW$10,DV7&gt;=DW$14,DU7&lt;&gt;""),AND(ER7&gt;=EW$10,ES7&gt;=EW$14,ER7&lt;&gt;""),AND(EU7&gt;=EW$10,EV7&gt;=EW$14,EU7&lt;&gt;""),AND(FR7&gt;=FW$10,FS7&gt;=FW$14,FR7&lt;&gt;""),AND(FU7&gt;=FW$10,FV7&gt;=FW$14,FU7&lt;&gt;""),AND(GR7&gt;=GW$10,GS7&gt;=GW$14,GR7&lt;&gt;""),AND(GU7&gt;=GW$10,GV7&gt;=GW$14,GU7&lt;&gt;""),AND(HR7&gt;=HW$10,HS7&gt;=HW$14,HR7&lt;&gt;""),AND(HU7&gt;=HW$10,HV7&gt;=HW$14,HU7&lt;&gt;""),AND(IR7&gt;=IW$10,IS7&gt;=IW$14,IR7&lt;&gt;""),AND(IU7&gt;=IW$10,IV7&gt;=IW$14,IU7&lt;&gt;""),AND(JR7&gt;=JW$10,JS7&gt;=JW$14,JR7&lt;&gt;""),AND(JU7&gt;=JW$10,JV7&gt;=JW$14,JU7&lt;&gt;""),AND(KR7&gt;=KW$10,KS7&gt;=KW$14,KR7&lt;&gt;""),AND(KU7&gt;=KW$10,KV7&gt;=KW$14,KU7&lt;&gt;""),AND(LR7&gt;=LW$10,LS7&gt;=LW$14,LR7&lt;&gt;""),AND(LU7&gt;=LW$10,LV7&gt;=LW$14,LU7&lt;&gt;""),AND(MR7&gt;=MW$10,MS7&gt;=MW$14,MR7&lt;&gt;""),AND(MU7&gt;=MW$10,MV7&gt;=MW$14,MU7&lt;&gt;""),AND(NR7&gt;=NW$10,NS7&gt;=NW$14,NR7&lt;&gt;""),AND(NU7&gt;=NW$10,NV7&gt;=NW$14,NU7&lt;&gt;""),AND(OR7&gt;=OW$10,OS7&gt;=OW$14,OR7&lt;&gt;""),AND(OU7&gt;=OW$10,OV7&gt;=OW$14,OU7&lt;&gt;"")),"P","")</f>
        <v/>
      </c>
      <c r="G7" s="3" t="str">
        <f>IF(OR(AND(AO7&gt;=AS$14,AO7&lt;&gt;"",AM7=""),AND(AR7&gt;=AS$14,AR7&lt;&gt;"",AM7=""),AND(BP7&gt;=BT$14,BP7&lt;&gt;"",BN7=""),AND(BS7&gt;=BT$14,BS7&lt;&gt;"",BN7=""),AND(CQ7&gt;=CU$14,CQ7&lt;&gt;"",CO7=""),AND(CT7&gt;=CU$14,CT7&lt;&gt;"",CO7=""),AND(DS7&gt;=DW$14,DS7&lt;&gt;""),AND(DV7&gt;=DW$14,DV7&lt;&gt;""),AND(ES7&gt;=EW$14,ES7&lt;&gt;""),AND(EV7&gt;=EW$14,EV7&lt;&gt;""),AND(FS7&gt;=FW$14,FS7&lt;&gt;""),AND(FV7&gt;=FW$14,FV7&lt;&gt;""),AND(GS7&gt;=GW$14,GS7&lt;&gt;""),AND(GV7&gt;=GW$14,GV7&lt;&gt;""),AND(HS7&gt;=HW$14,HS7&lt;&gt;""),AND(HV7&gt;=HW$14,HV7&lt;&gt;""),AND(IS7&gt;=IW$14,IS7&lt;&gt;""),AND(IV7&gt;=IW$14,IV7&lt;&gt;""),AND(JS7&gt;=JW$14,JS7&lt;&gt;""),AND(JV7&gt;=JW$14,JV7&lt;&gt;""),AND(KS7&gt;=KW$14,KS7&lt;&gt;""),AND(KV7&gt;=KW$14,KV7&lt;&gt;""),AND(LS7&gt;=LW$14,LS7&lt;&gt;""),AND(LV7&gt;=LW$14,LV7&lt;&gt;""),AND(MS7&gt;=MW$14,MS7&lt;&gt;""),AND(MV7&gt;=MW$14,MV7&lt;&gt;""),AND(NS7&gt;=NW$14,NS7&lt;&gt;""),AND(NV7&gt;=NW$14,NV7&lt;&gt;""),AND(OS7&gt;=OW$14,OS7&lt;&gt;""),AND(OV7&gt;=OW$14,OV7&lt;&gt;"")),"P","")</f>
        <v/>
      </c>
      <c r="H7" s="70" t="str">
        <f>IF(AND(G7="P",F7=""),"No DD",IF(OR(AND(AN7&gt;=AS$13,AO7&gt;=AS$17,AN7&lt;&gt;"",AM7=""),AND(AQ7&gt;=AS$13,AR7&gt;=AS$17,AQ7&lt;&gt;"",AM7=""),AND(BO7&gt;=BT$13,BP7&gt;=BT$17,BO7&lt;&gt;"",BN7=""),AND(BR7&gt;=BT$13,BS7&gt;=BT$17,BR7&lt;&gt;"",BN7=""),AND(CP7&gt;=CU$13,CQ7&gt;=CU$17,CP7&lt;&gt;"",CO7=""),AND(CS7&gt;=CU$13,CT7&gt;=CU$17,CS7&lt;&gt;""),AND(DR7&gt;=DW$13,DS7&gt;=DW$17,DR7&lt;&gt;""),AND(DU7&gt;=DW$13,DV7&gt;=DW$17,DU7&lt;&gt;""),AND(ER7&gt;=EW$13,ES7&gt;=EW$17,ER7&lt;&gt;""),AND(EU7&gt;=EW$13,EV7&gt;=EW$17,EU7&lt;&gt;""),AND(FR7&gt;=FW$13,FS7&gt;=FW$17,FR7&lt;&gt;""),AND(FU7&gt;=FW$13,FV7&gt;=FW$17,FU7&lt;&gt;""),AND(GR7&gt;=GW$13,GS7&gt;=GW$17,GR7&lt;&gt;""),AND(GU7&gt;=GW$13,GV7&gt;=GW$17,GU7&lt;&gt;""),AND(HR7&gt;=HW$13,HS7&gt;=HW$17,HR7&lt;&gt;""),AND(HU7&gt;=HW$13,HV7&gt;=HW$17,HU7&lt;&gt;""),AND(IR7&gt;=IW$13,IS7&gt;=IW$17,IR7&lt;&gt;""),AND(IU7&gt;=IW$13,IV7&gt;=IW$17,IU7&lt;&gt;""),AND(JR7&gt;=JW$13,JS7&gt;=JW$17,JR7&lt;&gt;""),AND(JU7&gt;=JW$13,JV7&gt;=JW$17,JU7&lt;&gt;""),AND(KR7&gt;=KW$13,KS7&gt;=KW$17,KR7&lt;&gt;""),AND(KU7&gt;=KW$13,KV7&gt;=KW$17,KU7&lt;&gt;""),AND(LR7&gt;=LW$13,LS7&gt;=LW$17,LR7&lt;&gt;""),AND(LU7&gt;=LW$13,LV7&gt;=LW$17,LU7&lt;&gt;""),AND(MR7&gt;=MW$13,MS7&gt;=MW$17,MR7&lt;&gt;""),AND(MU7&gt;=MW$13,MV7&gt;=MW$17,MU7&lt;&gt;""),AND(NR7&gt;=NW$13,NS7&gt;=NW$17,NR7&lt;&gt;""),AND(NU7&gt;=NW$13,NV7&gt;=NW$17,NU7&lt;&gt;""),AND(OR7&gt;=OW$13,OS7&gt;=OW$17,OR7&lt;&gt;""),AND(OU7&gt;=OW$13,OV7&gt;=OW$17,OU7&lt;&gt;"")),"Merit",IF(OR(AND(AN7&gt;=AS$12,AO7&gt;=AS$16,AN7&lt;&gt;"",AM7=""),AND(AQ7&gt;=AS$12,AR7&gt;=AS$16,AQ7&lt;&gt;"",AM7=""),AND(BO7&gt;=BT$12,BP7&gt;=BT$16,BO7&lt;&gt;"",BN7=""),AND(BR7&gt;=BT$12,BS7&gt;=BT$16,BR7&lt;&gt;"",BN7=""),AND(CP7&gt;=CU$12,CQ7&gt;=CU$16,CP7&lt;&gt;"",CO7=""),AND(CS7&gt;=CU$12,CT7&gt;=CU$16,CS7&lt;&gt;""),AND(DR7&gt;=DW$12,DS7&gt;=DW$16,DR7&lt;&gt;""),AND(DU7&gt;=DW$12,DV7&gt;=DW$16,DU7&lt;&gt;""),AND(ER7&gt;=EW$12,ES7&gt;=EW$16,ER7&lt;&gt;""),AND(EU7&gt;=EW$12,EV7&gt;=EW$16,EU7&lt;&gt;""),AND(FR7&gt;=FW$12,FS7&gt;=FW$16,FR7&lt;&gt;""),AND(FU7&gt;=FW$12,FV7&gt;=FW$16,FU7&lt;&gt;""),AND(GR7&gt;=GW$12,GS7&gt;=GW$16,GR7&lt;&gt;""),AND(GU7&gt;=GW$12,GV7&gt;=GW$16,GU7&lt;&gt;""),AND(HR7&gt;=HW$12,HS7&gt;=HW$16,HR7&lt;&gt;""),AND(HU7&gt;=HW$12,HV7&gt;=HW$16,HU7&lt;&gt;""),AND(IR7&gt;=IW$12,IS7&gt;=IW$16,IR7&lt;&gt;""),AND(IU7&gt;=IW$12,IV7&gt;=IW$16,IU7&lt;&gt;""),AND(JR7&gt;=JW$12,JS7&gt;=JW$16,JR7&lt;&gt;""),AND(JU7&gt;=JW$12,JV7&gt;=JW$16,JU7&lt;&gt;""),AND(KR7&gt;=KW$12,KS7&gt;=KW$16,KR7&lt;&gt;""),AND(KU7&gt;=KW$12,KV7&gt;=KW$16,KU7&lt;&gt;""),AND(LR7&gt;=LW$12,LS7&gt;=LW$16,LR7&lt;&gt;""),AND(LU7&gt;=LW$12,LV7&gt;=LW$16,LU7&lt;&gt;""),AND(MR7&gt;=MW$12,MS7&gt;=MW$16,MR7&lt;&gt;""),AND(MU7&gt;=MW$12,MV7&gt;=MW$16,MU7&lt;&gt;""),AND(NR7&gt;=NW$12,NS7&gt;=NW$16,NR7&lt;&gt;""),AND(NU7&gt;=NW$12,NV7&gt;=NW$16,NU7&lt;&gt;""),AND(OR7&gt;=OW$12,OS7&gt;=OW$16,OR7&lt;&gt;""),AND(OU7&gt;=OW$12,OV7&gt;=OW$16,OU7&lt;&gt;"")),"Excellence",IF(I7="P","Worlds Team",IF(F7="P","National Team","")))))</f>
        <v/>
      </c>
      <c r="I7" s="3" t="str">
        <f>IF(OR(AND(AN7&gt;=AS$11,AO7&gt;=AS$15,AN7&lt;&gt;"",AM7=""),AND(AQ7&gt;=AS$11,AR7&gt;=AS$15,AQ7&lt;&gt;"",AM7=""),AND(BO7&gt;=BT$11,BP7&gt;=BT$15,BO7&lt;&gt;"",BN7=""),AND(BR7&gt;=BT$11,BS7&gt;=BT$15,BR7&lt;&gt;"",BN7=""),AND(CP7&gt;=CU$11,CQ7&gt;=CU$15,CP7&lt;&gt;"",CO7=""),AND(CS7&gt;=CU$11,CT7&gt;=CU$15,CS7&lt;&gt;""),AND(DR7&gt;=DW$11,DS7&gt;=DW$15,DR7&lt;&gt;""),AND(DU7&gt;=DW$11,DV7&gt;=DW$15,DU7&lt;&gt;""),AND(ER7&gt;=EW$11,ES7&gt;=EW$15,ER7&lt;&gt;""),AND(EU7&gt;=EW$11,EV7&gt;=EW$15,EU7&lt;&gt;""),AND(FR7&gt;=FW$11,FS7&gt;=FW$15,FR7&lt;&gt;""),AND(FU7&gt;=FW$11,FV7&gt;=FW$15,FU7&lt;&gt;""),AND(GR7&gt;=GW$11,GS7&gt;=GW$15,GR7&lt;&gt;""),AND(GU7&gt;=GW$11,GV7&gt;=GW$15,GU7&lt;&gt;""),AND(HR7&gt;=HW$11,HS7&gt;=HW$15,HR7&lt;&gt;""),AND(HU7&gt;=HW$11,HV7&gt;=HW$15,HU7&lt;&gt;""),AND(IR7&gt;=IW$11,IS7&gt;=IW$15,IR7&lt;&gt;""),AND(IU7&gt;=IW$11,IV7&gt;=IW$15,IU7&lt;&gt;""),AND(JR7&gt;=JW$11,JS7&gt;=JW$15,JR7&lt;&gt;""),AND(JU7&gt;=JW$11,JV7&gt;=JW$15,JU7&lt;&gt;""),AND(KR7&gt;=KW$11,KS7&gt;=KW$15,KR7&lt;&gt;""),AND(KU7&gt;=KW$11,KV7&gt;=KW$15,KU7&lt;&gt;""),AND(LR7&gt;=LW$11,LS7&gt;=LW$15,LR7&lt;&gt;""),AND(LU7&gt;=LW$11,LV7&gt;=LW$15,LU7&lt;&gt;""),AND(MR7&gt;=MW$11,MS7&gt;=MW$15,MR7&lt;&gt;""),AND(MU7&gt;=MW$11,MV7&gt;=MW$15,MU7&lt;&gt;""),AND(NR7&gt;=NW$11,NS7&gt;=NW$15,NR7&lt;&gt;""),AND(NU7&gt;=NW$11,NV7&gt;=NW$15,NU7&lt;&gt;""),AND(OR7&gt;=OW$11,OS7&gt;=OW$15,OR7&lt;&gt;""),AND(OU7&gt;=OW$11,OV7&gt;=OW$15,OU7&lt;&gt;"")),"P","")</f>
        <v/>
      </c>
      <c r="J7" s="13">
        <f>IF(COUNT(AO7,BP7,CQ7)&gt;0,LARGE((AO7,BP7,CQ7),1),0)</f>
        <v>2.0000000000000001E-4</v>
      </c>
      <c r="K7" s="13" t="str">
        <f>IF(J7=0,"",IF(J7=CQ7,$BU$1,IF(J7=BP7,$AT$1,IF(J7=AO7,$S$1,""))))</f>
        <v>2021 Canadian Championships</v>
      </c>
      <c r="L7" s="13">
        <f>IF(COUNT(AO7,BP7,CQ7)&gt;1,LARGE((AO7,BP7,CQ7),2),0)</f>
        <v>2.0000000000000001E-4</v>
      </c>
      <c r="M7" s="13" t="str">
        <f>IF(L7=0,"",IF(L7=CQ7,$BU$1,IF(L7=BP7,$AT$1,IF(L7=AO7,$S$1,""))))</f>
        <v>2021 Canadian Championships</v>
      </c>
      <c r="N7" s="13">
        <f>IF(MAX(AR7,BS7,CT7)&gt;0,MAX(AR7,BS7,CT7),0)</f>
        <v>0</v>
      </c>
      <c r="O7" s="13" t="str">
        <f>IF(N7=0,"",IF(N7=CT7,$BU$1,IF(N7=BS7,$AT$1,IF(N7=AR7,$S$1,""))))</f>
        <v/>
      </c>
      <c r="P7" s="13" t="str">
        <f>IF(MAX(CV7:CW7)&gt;0,MAX(CV7:CW7),"")</f>
        <v/>
      </c>
      <c r="Q7" s="16" t="str">
        <f>IF(P7="","",IF(P7=CV7,"("&amp;CV$2&amp;")",IF(P7=CW7,"("&amp;CW$2&amp;")")))</f>
        <v/>
      </c>
      <c r="R7" s="13" t="str">
        <f>IF(P7="","",IF(P7=CV7,IF(P7+IF(L7="",0,L7)=OS7,$NX$1,IF(P7+IF(L7="",0,L7)=NS7,$MX$1,IF(P7+IF(L7="",0,L7)=MS7,$LX$1,IF(P7+IF(L7="",0,L7)=LS7,$KX$1,IF(P7+IF(L7="",0,L7)=KS7,$JX$1,IF(P7+IF(L7="",0,L7)=JS7,$IX$1,IF(P7+IF(L7="",0,L7)=IS7,$HX$1,IF(P7+IF(L7="",0,L7)=HS7,$GX$1,IF(P7+IF(L7="",0,L7)=GS7,$FX$1,IF(P7+IF(L7="",0,L7)=FS7,$EX$1,IF(P7+IF(L7="",0,L7)=ES7,$DX$1,IF(P7+IF(L7="",0,L7)=DS7,$CX$1)))))))))))),IF(P7=CW7,IF(P7+IF(N7="",0,N7)=OV7,$NX$1,IF(P7+IF(N7="",0,N7)=NV7,$MX$1,IF(P7+IF(N7="",0,N7)=MV7,$LX$1,IF(P7+IF(N7="",0,N7)=LV7,$KX$1,IF(P7+IF(N7="",0,N7)=KV7,$JX$1,IF(P7+IF(N7="",0,N7)=JV7,$IX$1,IF(P7+IF(N7="",0,N7)=IV7,$HX$1,IF(P7+IF(N7="",0,N7)=HV7,$GX$1,IF(P7+IF(N7="",0,N7)=GV7,$FX$1,IF(P7+IF(N7="",0,N7)=FV7,$EX$1,IF(P7+IF(N7="",0,N7)=EV7,$DX$1,IF(P7+IF(N7="",0,N7)=DV7,$CX$1)))))))))))))))</f>
        <v/>
      </c>
      <c r="S7" s="27"/>
      <c r="T7" s="27">
        <v>2.0000000000000001E-4</v>
      </c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51"/>
      <c r="AN7" s="76">
        <f>IF(SUM(T7,X7)&gt;0,SUM(T7,X7),"")</f>
        <v>2.0000000000000001E-4</v>
      </c>
      <c r="AO7" s="76">
        <f>IF(SUM(S7:T7,V7:X7,Z7)-U7-Y7&gt;0,SUM(S7:T7,V7:X7,Z7)-U7-Y7,"")</f>
        <v>2.0000000000000001E-4</v>
      </c>
      <c r="AP7" s="76" t="str">
        <f>IF(SUM(AA7:AB7,AD7)-AC7&gt;0,SUM(AA7:AB7,AD7)-AC7,"")</f>
        <v/>
      </c>
      <c r="AQ7" s="76" t="str">
        <f>IF(SUM(AF7,AJ7)&gt;0,SUM(AF7,AJ7),"")</f>
        <v/>
      </c>
      <c r="AR7" s="76" t="str">
        <f>IF(SUM(AE7:AF7,AH7:AJ7,AL7)-SUM(AG7,AK7)&gt;0,SUM(AE7:AF7,AH7:AJ7,AL7)-SUM(AG7,AK7),"")</f>
        <v/>
      </c>
      <c r="AS7" s="76">
        <f>IF(SUM(AO7,AR7)&gt;0,SUM(AO7,AR7),"")</f>
        <v>2.0000000000000001E-4</v>
      </c>
      <c r="AT7" s="26"/>
      <c r="AU7" s="26">
        <v>2.0000000000000001E-4</v>
      </c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52"/>
      <c r="BO7" s="16">
        <f>IF(SUM(AU7,AY7)&gt;0,SUM(AU7,AY7),"")</f>
        <v>2.0000000000000001E-4</v>
      </c>
      <c r="BP7" s="16">
        <f>IF(SUM(AT7:AU7,AW7:AY7,BA7)-AV7-AZ7&gt;0,SUM(AT7:AU7,AW7:AY7,BA7)-AV7-AZ7,"")</f>
        <v>2.0000000000000001E-4</v>
      </c>
      <c r="BQ7" s="16" t="str">
        <f>IF(SUM(BB7:BC7,BE7)-BD7&gt;0,SUM(BB7:BC7,BE7)-BD7,"")</f>
        <v/>
      </c>
      <c r="BR7" s="16" t="str">
        <f>IF(SUM(BG7,BK7)&gt;0,SUM(BG7,BK7),"")</f>
        <v/>
      </c>
      <c r="BS7" s="16" t="str">
        <f>IF(SUM(BF7:BG7,BI7:BK7,BM7)-SUM(BH7,BL7)&gt;0,SUM(BF7:BG7,BI7:BK7,BM7)-SUM(BH7,BL7),"")</f>
        <v/>
      </c>
      <c r="BT7" s="16">
        <f>IF(SUM(BP7,BS7)&gt;0,SUM(BP7,BS7),"")</f>
        <v>2.0000000000000001E-4</v>
      </c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51"/>
      <c r="CP7" s="76" t="str">
        <f>IF(SUM(BV7,BZ7)&gt;0,SUM(BV7,BZ7),"")</f>
        <v/>
      </c>
      <c r="CQ7" s="76" t="str">
        <f>IF(SUM(BU7:BV7,BX7:BZ7,CB7)-BW7-CA7&gt;0,SUM(BU7:BV7,BX7:BZ7,CB7)-BW7-CA7,"")</f>
        <v/>
      </c>
      <c r="CR7" s="76" t="str">
        <f>IF(SUM(CC7:CD7,CF7)-CE7&gt;0,SUM(CC7:CD7,CF7)-CE7,"")</f>
        <v/>
      </c>
      <c r="CS7" s="76" t="str">
        <f>IF(SUM(CH7,CL7)&gt;0,SUM(CH7,CL7),"")</f>
        <v/>
      </c>
      <c r="CT7" s="76" t="str">
        <f>IF(SUM(CG7:CH7,CJ7:CL7,CN7)-SUM(CI7,CM7)&gt;0,SUM(CG7:CH7,CJ7:CL7,CN7)-SUM(CI7,CM7),"")</f>
        <v/>
      </c>
      <c r="CU7" s="76" t="str">
        <f>IF(SUM(CQ7,CT7)&gt;0,SUM(CQ7,CT7),"")</f>
        <v/>
      </c>
      <c r="CV7" s="87" t="str">
        <f>IF(L7&gt;=0.001,IF(MAX(DS7,ES7,FS7,GS7,HS7,IS7,JS7,KS7,LS7,MS7,NS7,OS7)-IF(L7="",0,L7)&gt;0.001,MAX(DS7,ES7,FS7,GS7,HS7,IS7,JS7,KS7,LS7,MS7,NS7,OS7)-IF(L7="",0,L7),""),"")</f>
        <v/>
      </c>
      <c r="CW7" s="87" t="str">
        <f>IF(N7&gt;=0.001,IF(MAX(DV7,EV7,FV7,GV7,HV7,IV7,JV7,KV7,LV7,MV7,NV7,OV7)-IF(N7="",0,N7)&gt;0.001,MAX(DV7,EV7,FV7,GV7,HV7,IV7,JV7,KV7,LV7,MV7,NV7,OV7)-IF(N7="",0,N7),""),"")</f>
        <v/>
      </c>
      <c r="CX7" s="25"/>
      <c r="CY7" s="25">
        <v>2.0000000000000001E-4</v>
      </c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76">
        <f>IF(SUM(CY7,DC7)&gt;0,SUM(CY7,DC7),"")</f>
        <v>2.0000000000000001E-4</v>
      </c>
      <c r="DS7" s="76">
        <f>IF(SUM(CX7:CY7,DA7:DC7,DE7)-CZ7-DD7&gt;0,SUM(CX7:CY7,DA7:DC7,DE7)-CZ7-DD7,"")</f>
        <v>2.0000000000000001E-4</v>
      </c>
      <c r="DT7" s="76" t="str">
        <f>IF(SUM(DF7:DG7,DI7)-DH7&gt;0,SUM(DF7:DG7,DI7)-DH7,"")</f>
        <v/>
      </c>
      <c r="DU7" s="76" t="str">
        <f>IF(SUM(DK7,DO7)&gt;0,SUM(DK7,DO7),"")</f>
        <v/>
      </c>
      <c r="DV7" s="76" t="str">
        <f>IF(SUM(DJ7:DK7,DM7:DO7,DQ7)-SUM(DL7,DP7)&gt;0,SUM(DJ7:DK7,DM7:DO7,DQ7)-SUM(DL7,DP7),"")</f>
        <v/>
      </c>
      <c r="DW7" s="76">
        <f>IF(SUM(DS7,DV7)&gt;0,SUM(DS7,DV7),"")</f>
        <v>2.0000000000000001E-4</v>
      </c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16" t="str">
        <f>IF(SUM(DY7,EC7)&gt;0,SUM(DY7,EC7),"")</f>
        <v/>
      </c>
      <c r="ES7" s="16" t="str">
        <f>IF(SUM(DX7:DY7,EA7:EC7,EE7)-DZ7-ED7&gt;0,SUM(DX7:DY7,EA7:EC7,EE7)-DZ7-ED7,"")</f>
        <v/>
      </c>
      <c r="ET7" s="16" t="str">
        <f>IF(SUM(EF7:EG7,EI7)-EH7&gt;0,SUM(EF7:EG7,EI7)-EH7,"")</f>
        <v/>
      </c>
      <c r="EU7" s="16" t="str">
        <f>IF(SUM(EK7,EO7)&gt;0,SUM(EK7,EO7),"")</f>
        <v/>
      </c>
      <c r="EV7" s="16" t="str">
        <f>IF(SUM(EJ7:EK7,EM7:EO7,EQ7)-SUM(EL7,EP7)&gt;0,SUM(EJ7:EK7,EM7:EO7,EQ7)-SUM(EL7,EP7),"")</f>
        <v/>
      </c>
      <c r="EW7" s="16" t="str">
        <f>IF(SUM(ES7,EV7)&gt;0,SUM(ES7,EV7),"")</f>
        <v/>
      </c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25"/>
      <c r="FR7" s="76" t="str">
        <f>IF(SUM(EY7,FC7)&gt;0,SUM(EY7,FC7),"")</f>
        <v/>
      </c>
      <c r="FS7" s="76" t="str">
        <f>IF(SUM(EX7:EY7,FA7:FC7,FE7)-EZ7-FD7&gt;0,SUM(EX7:EY7,FA7:FC7,FE7)-EZ7-FD7,"")</f>
        <v/>
      </c>
      <c r="FT7" s="76" t="str">
        <f>IF(SUM(FF7:FG7,FI7)-FH7&gt;0,SUM(FF7:FG7,FI7)-FH7,"")</f>
        <v/>
      </c>
      <c r="FU7" s="76" t="str">
        <f>IF(SUM(FK7,FO7)&gt;0,SUM(FK7,FO7),"")</f>
        <v/>
      </c>
      <c r="FV7" s="76" t="str">
        <f>IF(SUM(FJ7:FK7,FM7:FO7,FQ7)-SUM(FL7,FP7)&gt;0,SUM(FJ7:FK7,FM7:FO7,FQ7)-SUM(FL7,FP7),"")</f>
        <v/>
      </c>
      <c r="FW7" s="76" t="str">
        <f>IF(SUM(FS7,FV7)&gt;0,SUM(FS7,FV7),"")</f>
        <v/>
      </c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16" t="str">
        <f>IF(SUM(FY7,GC7)&gt;0,SUM(FY7,GC7),"")</f>
        <v/>
      </c>
      <c r="GS7" s="16" t="str">
        <f>IF(SUM(FX7:FY7,GA7:GC7,GE7)-FZ7-GD7&gt;0,SUM(FX7:FY7,GA7:GC7,GE7)-FZ7-GD7,"")</f>
        <v/>
      </c>
      <c r="GT7" s="16" t="str">
        <f>IF(SUM(GF7:GG7,GI7)-GH7&gt;0,SUM(GF7:GG7,GI7)-GH7,"")</f>
        <v/>
      </c>
      <c r="GU7" s="16" t="str">
        <f>IF(SUM(GK7,GO7)&gt;0,SUM(GK7,GO7),"")</f>
        <v/>
      </c>
      <c r="GV7" s="16" t="str">
        <f>IF(SUM(GJ7:GK7,GM7:GO7,GQ7)-SUM(GL7,GP7)&gt;0,SUM(GJ7:GK7,GM7:GO7,GQ7)-SUM(GL7,GP7),"")</f>
        <v/>
      </c>
      <c r="GW7" s="16" t="str">
        <f>IF(SUM(GS7,GV7)&gt;0,SUM(GS7,GV7),"")</f>
        <v/>
      </c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25"/>
      <c r="HR7" s="76" t="str">
        <f>IF(SUM(GY7,HC7)&gt;0,SUM(GY7,HC7),"")</f>
        <v/>
      </c>
      <c r="HS7" s="76" t="str">
        <f>IF(SUM(GX7:GY7,HA7:HC7,HE7)-GZ7-HD7&gt;0,SUM(GX7:GY7,HA7:HC7,HE7)-GZ7-HD7,"")</f>
        <v/>
      </c>
      <c r="HT7" s="76" t="str">
        <f>IF(SUM(HF7:HG7,HI7)-HH7&gt;0,SUM(HF7:HG7,HI7)-HH7,"")</f>
        <v/>
      </c>
      <c r="HU7" s="76" t="str">
        <f>IF(SUM(HK7,HO7)&gt;0,SUM(HK7,HO7),"")</f>
        <v/>
      </c>
      <c r="HV7" s="76" t="str">
        <f>IF(SUM(HJ7:HK7,HM7:HO7,HQ7)-SUM(HL7,HP7)&gt;0,SUM(HJ7:HK7,HM7:HO7,HQ7)-SUM(HL7,HP7),"")</f>
        <v/>
      </c>
      <c r="HW7" s="76" t="str">
        <f>IF(SUM(HS7,HV7)&gt;0,SUM(HS7,HV7),"")</f>
        <v/>
      </c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16" t="str">
        <f>IF(SUM(HY7,IC7)&gt;0,SUM(HY7,IC7),"")</f>
        <v/>
      </c>
      <c r="IS7" s="16" t="str">
        <f>IF(SUM(HX7:HY7,IA7:IC7,IE7)-HZ7-ID7&gt;0,SUM(HX7:HY7,IA7:IC7,IE7)-HZ7-ID7,"")</f>
        <v/>
      </c>
      <c r="IT7" s="16" t="str">
        <f>IF(SUM(IF7:IG7,II7)-IH7&gt;0,SUM(IF7:IG7,II7)-IH7,"")</f>
        <v/>
      </c>
      <c r="IU7" s="16" t="str">
        <f>IF(SUM(IK7,IO7)&gt;0,SUM(IK7,IO7),"")</f>
        <v/>
      </c>
      <c r="IV7" s="16" t="str">
        <f>IF(SUM(IJ7:IK7,IM7:IO7,IQ7)-SUM(IL7,IP7)&gt;0,SUM(IJ7:IK7,IM7:IO7,IQ7)-SUM(IL7,IP7),"")</f>
        <v/>
      </c>
      <c r="IW7" s="16" t="str">
        <f>IF(SUM(IS7,IV7)&gt;0,SUM(IS7,IV7),"")</f>
        <v/>
      </c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76" t="str">
        <f>IF(SUM(IY7,JC7)&gt;0,SUM(IY7,JC7),"")</f>
        <v/>
      </c>
      <c r="JS7" s="76" t="str">
        <f>IF(SUM(IX7:IY7,JA7:JC7,JE7)-IZ7-JD7&gt;0,SUM(IX7:IY7,JA7:JC7,JE7)-IZ7-JD7,"")</f>
        <v/>
      </c>
      <c r="JT7" s="76" t="str">
        <f>IF(SUM(JF7:JG7,JI7)-JH7&gt;0,SUM(JF7:JG7,JI7)-JH7,"")</f>
        <v/>
      </c>
      <c r="JU7" s="76" t="str">
        <f>IF(SUM(JK7,JO7)&gt;0,SUM(JK7,JO7),"")</f>
        <v/>
      </c>
      <c r="JV7" s="76" t="str">
        <f>IF(SUM(JJ7:JK7,JM7:JO7,JQ7)-SUM(JL7,JP7)&gt;0,SUM(JJ7:JK7,JM7:JO7,JQ7)-SUM(JL7,JP7),"")</f>
        <v/>
      </c>
      <c r="JW7" s="76" t="str">
        <f>IF(SUM(JS7,JV7)&gt;0,SUM(JS7,JV7),"")</f>
        <v/>
      </c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6"/>
      <c r="KR7" s="16" t="str">
        <f>IF(SUM(JY7,KC7)&gt;0,SUM(JY7,KC7),"")</f>
        <v/>
      </c>
      <c r="KS7" s="16" t="str">
        <f>IF(SUM(JX7:JY7,KA7:KC7,KE7)-JZ7-KD7&gt;0,SUM(JX7:JY7,KA7:KC7,KE7)-JZ7-KD7,"")</f>
        <v/>
      </c>
      <c r="KT7" s="16" t="str">
        <f>IF(SUM(KF7:KG7,KI7)-KH7&gt;0,SUM(KF7:KG7,KI7)-KH7,"")</f>
        <v/>
      </c>
      <c r="KU7" s="16" t="str">
        <f>IF(SUM(KK7,KO7)&gt;0,SUM(KK7,KO7),"")</f>
        <v/>
      </c>
      <c r="KV7" s="16" t="str">
        <f>IF(SUM(KJ7:KK7,KM7:KO7,KQ7)-SUM(KL7,KP7)&gt;0,SUM(KJ7:KK7,KM7:KO7,KQ7)-SUM(KL7,KP7),"")</f>
        <v/>
      </c>
      <c r="KW7" s="16" t="str">
        <f>IF(SUM(KS7,KV7)&gt;0,SUM(KS7,KV7),"")</f>
        <v/>
      </c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76" t="str">
        <f>IF(SUM(KY7,LC7)&gt;0,SUM(KY7,LC7),"")</f>
        <v/>
      </c>
      <c r="LS7" s="76" t="str">
        <f>IF(SUM(KX7:KY7,LA7:LC7,LE7)-KZ7-LD7&gt;0,SUM(KX7:KY7,LA7:LC7,LE7)-KZ7-LD7,"")</f>
        <v/>
      </c>
      <c r="LT7" s="76" t="str">
        <f>IF(SUM(LF7:LG7,LI7)-LH7&gt;0,SUM(LF7:LG7,LI7)-LH7,"")</f>
        <v/>
      </c>
      <c r="LU7" s="76" t="str">
        <f>IF(SUM(LK7,LO7)&gt;0,SUM(LK7,LO7),"")</f>
        <v/>
      </c>
      <c r="LV7" s="76" t="str">
        <f>IF(SUM(LJ7:LK7,LM7:LO7,LQ7)-SUM(LL7,LP7)&gt;0,SUM(LJ7:LK7,LM7:LO7,LQ7)-SUM(LL7,LP7),"")</f>
        <v/>
      </c>
      <c r="LW7" s="76" t="str">
        <f>IF(SUM(LS7,LV7)&gt;0,SUM(LS7,LV7),"")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IF(SUM(LY7,MC7)&gt;0,SUM(LY7,MC7),"")</f>
        <v/>
      </c>
      <c r="MS7" s="16" t="str">
        <f>IF(SUM(LX7:LY7,MA7:MC7,ME7)-LZ7-MD7&gt;0,SUM(LX7:LY7,MA7:MC7,ME7)-LZ7-MD7,"")</f>
        <v/>
      </c>
      <c r="MT7" s="16" t="str">
        <f>IF(SUM(MF7:MG7,MI7)-MH7&gt;0,SUM(MF7:MG7,MI7)-MH7,"")</f>
        <v/>
      </c>
      <c r="MU7" s="16" t="str">
        <f>IF(SUM(MK7,MO7)&gt;0,SUM(MK7,MO7),"")</f>
        <v/>
      </c>
      <c r="MV7" s="16" t="str">
        <f>IF(SUM(MJ7:MK7,MM7:MO7,MQ7)-SUM(ML7,MP7)&gt;0,SUM(MJ7:MK7,MM7:MO7,MQ7)-SUM(ML7,MP7),"")</f>
        <v/>
      </c>
      <c r="MW7" s="16" t="str">
        <f>IF(SUM(MS7,MV7)&gt;0,SUM(MS7,MV7),"")</f>
        <v/>
      </c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76" t="str">
        <f>IF(SUM(MY7,NC7)&gt;0,SUM(MY7,NC7),"")</f>
        <v/>
      </c>
      <c r="NS7" s="76" t="str">
        <f>IF(SUM(MX7:MY7,NA7:NC7,NE7)-MZ7-ND7&gt;0,SUM(MX7:MY7,NA7:NC7,NE7)-MZ7-ND7,"")</f>
        <v/>
      </c>
      <c r="NT7" s="76" t="str">
        <f>IF(SUM(NF7:NG7,NI7)-NH7&gt;0,SUM(NF7:NG7,NI7)-NH7,"")</f>
        <v/>
      </c>
      <c r="NU7" s="76" t="str">
        <f>IF(SUM(NK7,NO7)&gt;0,SUM(NK7,NO7),"")</f>
        <v/>
      </c>
      <c r="NV7" s="76" t="str">
        <f>IF(SUM(NJ7:NK7,NM7:NO7,NQ7)-SUM(NL7,NP7)&gt;0,SUM(NJ7:NK7,NM7:NO7,NQ7)-SUM(NL7,NP7),"")</f>
        <v/>
      </c>
      <c r="NW7" s="76" t="str">
        <f>IF(SUM(NS7,NV7)&gt;0,SUM(NS7,NV7),"")</f>
        <v/>
      </c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6"/>
      <c r="OR7" s="16" t="str">
        <f>IF(SUM(NY7,OC7)&gt;0,SUM(NY7,OC7),"")</f>
        <v/>
      </c>
      <c r="OS7" s="16" t="str">
        <f>IF(SUM(NX7:NY7,OA7:OC7,OE7)-NZ7-OD7&gt;0,SUM(NX7:NY7,OA7:OC7,OE7)-NZ7-OD7,"")</f>
        <v/>
      </c>
      <c r="OT7" s="16" t="str">
        <f>IF(SUM(OF7:OG7,OI7)-OH7&gt;0,SUM(OF7:OG7,OI7)-OH7,"")</f>
        <v/>
      </c>
      <c r="OU7" s="16" t="str">
        <f>IF(SUM(OK7,OO7)&gt;0,SUM(OK7,OO7),"")</f>
        <v/>
      </c>
      <c r="OV7" s="16" t="str">
        <f>IF(SUM(OJ7:OK7,OM7:OO7,OQ7)-SUM(OL7,OP7)&gt;0,SUM(OJ7:OK7,OM7:OO7,OQ7)-SUM(OL7,OP7),"")</f>
        <v/>
      </c>
      <c r="OW7" s="16" t="str">
        <f>IF(SUM(OS7,OV7)&gt;0,SUM(OS7,OV7),"")</f>
        <v/>
      </c>
      <c r="OX7" s="42">
        <f>IF($CO7="P",BU7,(BU7+AT7)/2)</f>
        <v>0</v>
      </c>
      <c r="OY7" s="42">
        <f>IF($CO7="P",BV7,(BV7+AU7)/2)</f>
        <v>1E-4</v>
      </c>
      <c r="OZ7" s="42">
        <f>IF($CO7="P",BW7,(BW7+AV7)/2)</f>
        <v>0</v>
      </c>
      <c r="PA7" s="42">
        <f>IF($CO7="P",BX7,(BX7+AW7)/2)</f>
        <v>0</v>
      </c>
      <c r="PB7" s="42">
        <f>IF($CO7="P",BY7,(BY7+AX7)/2)</f>
        <v>0</v>
      </c>
      <c r="PC7" s="42">
        <f>IF($CO7="P",BZ7,(BZ7+AY7)/2)</f>
        <v>0</v>
      </c>
      <c r="PD7" s="42">
        <f>IF($CO7="P",CA7,(CA7+AZ7)/2)</f>
        <v>0</v>
      </c>
      <c r="PE7" s="42">
        <f>IF($CO7="P",CB7,(CB7+BA7)/2)</f>
        <v>0</v>
      </c>
      <c r="PF7" s="42">
        <f>IF($CO7="P",CC7,(CC7+BB7)/2)</f>
        <v>0</v>
      </c>
      <c r="PG7" s="42">
        <f>IF($CO7="P",CD7,(CD7+BC7)/2)</f>
        <v>0</v>
      </c>
      <c r="PH7" s="42">
        <f>IF($CO7="P",CE7,(CE7+BD7)/2)</f>
        <v>0</v>
      </c>
      <c r="PI7" s="42">
        <f>IF($CO7="P",CF7,(CF7+BE7)/2)</f>
        <v>0</v>
      </c>
      <c r="PJ7" s="42">
        <f>IF($CO7="P",CG7,(CG7+BF7)/2)</f>
        <v>0</v>
      </c>
      <c r="PK7" s="42">
        <f>IF($CO7="P",CH7,(CH7+BG7)/2)</f>
        <v>0</v>
      </c>
      <c r="PL7" s="42">
        <f>IF($CO7="P",CI7,(CI7+BH7)/2)</f>
        <v>0</v>
      </c>
      <c r="PM7" s="42">
        <f>IF($CO7="P",CJ7,(CJ7+BI7)/2)</f>
        <v>0</v>
      </c>
      <c r="PN7" s="42">
        <f>IF($CO7="P",CK7,(CK7+BJ7)/2)</f>
        <v>0</v>
      </c>
      <c r="PO7" s="42">
        <f>IF($CO7="P",CL7,(CL7+BK7)/2)</f>
        <v>0</v>
      </c>
      <c r="PP7" s="42">
        <f>IF($CO7="P",CM7,(CM7+BL7)/2)</f>
        <v>0</v>
      </c>
      <c r="PQ7" s="42">
        <f>IF($CO7="P",CN7,(CN7+BM7)/2)</f>
        <v>0</v>
      </c>
      <c r="PR7" s="51" t="s">
        <v>61</v>
      </c>
      <c r="PS7" s="76">
        <f>IF(SUM(OY7,PC7)&gt;0,SUM(OY7,PC7),"")</f>
        <v>1E-4</v>
      </c>
      <c r="PT7" s="76">
        <f>IF(SUM(OX7:OY7,PA7:PC7,PE7)-OZ7-PD7&gt;0,SUM(OX7:OY7,PA7:PC7,PE7)-OZ7-PD7,"")</f>
        <v>1E-4</v>
      </c>
      <c r="PU7" s="76" t="str">
        <f>IF(SUM(PF7:PG7,PI7)-PH7&gt;0,SUM(PF7:PG7,PI7)-PH7,"")</f>
        <v/>
      </c>
      <c r="PV7" s="76" t="str">
        <f>IF(SUM(PK7,PO7)&gt;0,SUM(PK7,PO7),"")</f>
        <v/>
      </c>
      <c r="PW7" s="76" t="str">
        <f>IF(SUM(PJ7:PK7,PM7:PO7,PQ7)-SUM(PL7,PP7)&gt;0,SUM(PJ7:PK7,PM7:PO7,PQ7)-SUM(PL7,PP7),"")</f>
        <v/>
      </c>
      <c r="PX7" s="76">
        <f>IF(SUM(PT7,PW7)&gt;0,SUM(PT7,PW7),"")</f>
        <v>1E-4</v>
      </c>
    </row>
    <row r="8" spans="1:440" ht="17" x14ac:dyDescent="0.2">
      <c r="P8" s="15"/>
      <c r="Q8" s="15"/>
      <c r="R8" s="15"/>
      <c r="LX8" s="28"/>
      <c r="LY8" s="28"/>
      <c r="LZ8" s="28"/>
      <c r="MA8" s="28"/>
      <c r="MB8" s="28"/>
      <c r="MC8" s="28"/>
      <c r="MD8" s="28"/>
      <c r="ME8" s="28"/>
      <c r="MF8" s="28"/>
      <c r="MG8" s="28"/>
      <c r="MH8" s="28"/>
      <c r="MI8" s="28"/>
      <c r="MJ8" s="28"/>
      <c r="MK8" s="28"/>
      <c r="ML8" s="28"/>
      <c r="MM8" s="28"/>
      <c r="MN8" s="28"/>
      <c r="MO8" s="28"/>
      <c r="MP8" s="28"/>
      <c r="MQ8" s="28"/>
    </row>
    <row r="9" spans="1:440" ht="17" x14ac:dyDescent="0.2">
      <c r="P9" s="15"/>
      <c r="Q9" s="15"/>
      <c r="R9" s="15"/>
    </row>
    <row r="10" spans="1:440" ht="17" x14ac:dyDescent="0.2">
      <c r="B10" s="43" t="s">
        <v>58</v>
      </c>
      <c r="P10" s="15"/>
      <c r="Q10" s="15"/>
      <c r="R10" s="15"/>
      <c r="AN10" s="7"/>
      <c r="AS10" s="78">
        <v>2.0000000000000001E-4</v>
      </c>
      <c r="BO10" s="7"/>
      <c r="BT10" s="78">
        <v>2.0000000000000001E-4</v>
      </c>
      <c r="CP10" s="7"/>
      <c r="CU10" s="78">
        <v>8.6</v>
      </c>
      <c r="DR10" s="7"/>
      <c r="DW10" s="78">
        <v>1E-4</v>
      </c>
      <c r="ER10" s="7"/>
      <c r="EW10" s="78">
        <v>8.6</v>
      </c>
      <c r="FR10" s="7"/>
      <c r="FW10" s="78">
        <v>8.6</v>
      </c>
      <c r="GR10" s="7"/>
      <c r="GW10" s="78">
        <v>8.6</v>
      </c>
      <c r="HR10" s="7"/>
      <c r="HW10" s="78">
        <v>8.6</v>
      </c>
      <c r="IR10" s="7"/>
      <c r="IW10" s="78">
        <v>8.6</v>
      </c>
      <c r="JR10" s="7"/>
      <c r="JW10" s="78">
        <v>8.6</v>
      </c>
      <c r="KR10" s="7"/>
      <c r="KW10" s="78">
        <v>8.6</v>
      </c>
      <c r="LR10" s="7"/>
      <c r="LW10" s="78">
        <v>8.6</v>
      </c>
      <c r="MR10" s="7"/>
      <c r="MW10" s="78">
        <v>8.6</v>
      </c>
      <c r="NR10" s="7"/>
      <c r="NW10" s="78">
        <v>8.6</v>
      </c>
      <c r="OR10" s="7"/>
      <c r="OW10" s="78">
        <v>8.6</v>
      </c>
    </row>
    <row r="11" spans="1:440" ht="17" x14ac:dyDescent="0.2">
      <c r="B11" s="54" t="s">
        <v>57</v>
      </c>
      <c r="P11" s="15"/>
      <c r="Q11" s="15"/>
      <c r="R11" s="15"/>
      <c r="AN11" s="7"/>
      <c r="AS11" s="93">
        <v>2.0000000000000001E-4</v>
      </c>
      <c r="BO11" s="7"/>
      <c r="BT11" s="93">
        <v>2.0000000000000001E-4</v>
      </c>
      <c r="CP11" s="7"/>
      <c r="CU11" s="93">
        <v>8.6</v>
      </c>
      <c r="DR11" s="7"/>
      <c r="DW11" s="93">
        <v>2.0000000000000001E-4</v>
      </c>
      <c r="ER11" s="7"/>
      <c r="EW11" s="93">
        <v>8.6</v>
      </c>
      <c r="FR11" s="7"/>
      <c r="FW11" s="93">
        <v>8.6</v>
      </c>
      <c r="GR11" s="7"/>
      <c r="GW11" s="93">
        <v>8.6</v>
      </c>
      <c r="HR11" s="7"/>
      <c r="HW11" s="93">
        <v>8.6</v>
      </c>
      <c r="IR11" s="7"/>
      <c r="IW11" s="93">
        <v>8.6</v>
      </c>
      <c r="JR11" s="7"/>
      <c r="JW11" s="93">
        <v>8.6</v>
      </c>
      <c r="KR11" s="7"/>
      <c r="KW11" s="93">
        <v>8.6</v>
      </c>
      <c r="LR11" s="7"/>
      <c r="LW11" s="93">
        <v>8.6</v>
      </c>
      <c r="MR11" s="7"/>
      <c r="MW11" s="93">
        <v>8.6</v>
      </c>
      <c r="NR11" s="7"/>
      <c r="NW11" s="93">
        <v>8.6</v>
      </c>
      <c r="OR11" s="7"/>
      <c r="OW11" s="93">
        <v>8.6</v>
      </c>
    </row>
    <row r="12" spans="1:440" ht="17" x14ac:dyDescent="0.2">
      <c r="A12" s="35"/>
      <c r="B12" s="55" t="s">
        <v>71</v>
      </c>
      <c r="C12" s="34"/>
      <c r="P12" s="15"/>
      <c r="Q12" s="15"/>
      <c r="R12" s="15"/>
      <c r="AN12" s="7"/>
      <c r="AS12" s="80">
        <v>2.9999999999999997E-4</v>
      </c>
      <c r="BO12" s="7"/>
      <c r="BT12" s="80">
        <v>2.9999999999999997E-4</v>
      </c>
      <c r="CP12" s="7"/>
      <c r="CU12" s="80">
        <v>8.6</v>
      </c>
      <c r="DR12" s="7"/>
      <c r="DW12" s="80">
        <v>2.9999999999999997E-4</v>
      </c>
      <c r="ER12" s="7"/>
      <c r="EW12" s="80">
        <v>8.6</v>
      </c>
      <c r="FR12" s="7"/>
      <c r="FW12" s="80">
        <v>8.6</v>
      </c>
      <c r="GR12" s="7"/>
      <c r="GW12" s="80">
        <v>8.6</v>
      </c>
      <c r="HR12" s="7"/>
      <c r="HW12" s="80">
        <v>8.6</v>
      </c>
      <c r="IR12" s="7"/>
      <c r="IW12" s="80">
        <v>8.6</v>
      </c>
      <c r="JR12" s="7"/>
      <c r="JW12" s="80">
        <v>8.6</v>
      </c>
      <c r="KR12" s="7"/>
      <c r="KW12" s="80">
        <v>8.6</v>
      </c>
      <c r="LR12" s="7"/>
      <c r="LW12" s="80">
        <v>8.6</v>
      </c>
      <c r="MR12" s="7"/>
      <c r="MW12" s="80">
        <v>8.6</v>
      </c>
      <c r="NR12" s="7"/>
      <c r="NW12" s="80">
        <v>8.6</v>
      </c>
      <c r="OR12" s="7"/>
      <c r="OW12" s="80">
        <v>8.6</v>
      </c>
    </row>
    <row r="13" spans="1:440" ht="17" x14ac:dyDescent="0.2">
      <c r="A13" s="35"/>
      <c r="B13" s="66" t="s">
        <v>86</v>
      </c>
      <c r="C13" s="34"/>
      <c r="P13" s="15"/>
      <c r="Q13" s="15"/>
      <c r="R13" s="15"/>
      <c r="AN13" s="7"/>
      <c r="AS13" s="81">
        <v>2.9999999999999997E-4</v>
      </c>
      <c r="BO13" s="7"/>
      <c r="BT13" s="81">
        <v>2.9999999999999997E-4</v>
      </c>
      <c r="CP13" s="7"/>
      <c r="CU13" s="81">
        <v>10.6</v>
      </c>
      <c r="DR13" s="7"/>
      <c r="DW13" s="81">
        <v>2.9999999999999997E-4</v>
      </c>
      <c r="ER13" s="7"/>
      <c r="EW13" s="81">
        <v>10.6</v>
      </c>
      <c r="FR13" s="7"/>
      <c r="FW13" s="81">
        <v>10.6</v>
      </c>
      <c r="GR13" s="7"/>
      <c r="GW13" s="81">
        <v>10.6</v>
      </c>
      <c r="HR13" s="7"/>
      <c r="HW13" s="81">
        <v>10.6</v>
      </c>
      <c r="IR13" s="7"/>
      <c r="IW13" s="81">
        <v>10.6</v>
      </c>
      <c r="JR13" s="7"/>
      <c r="JW13" s="81">
        <v>10.6</v>
      </c>
      <c r="KR13" s="7"/>
      <c r="KW13" s="81">
        <v>10.6</v>
      </c>
      <c r="LR13" s="7"/>
      <c r="LW13" s="81">
        <v>10.6</v>
      </c>
      <c r="MR13" s="7"/>
      <c r="MW13" s="81">
        <v>10.6</v>
      </c>
      <c r="NR13" s="7"/>
      <c r="NW13" s="81">
        <v>10.6</v>
      </c>
      <c r="OR13" s="7"/>
      <c r="OW13" s="81">
        <v>10.6</v>
      </c>
    </row>
    <row r="14" spans="1:440" ht="17" x14ac:dyDescent="0.2">
      <c r="A14" s="35"/>
      <c r="B14" s="65" t="s">
        <v>55</v>
      </c>
      <c r="C14" s="34"/>
      <c r="P14" s="15"/>
      <c r="Q14" s="15"/>
      <c r="R14" s="15"/>
      <c r="AN14" s="7"/>
      <c r="AS14" s="82">
        <v>4.0000000000000002E-4</v>
      </c>
      <c r="BO14" s="7"/>
      <c r="BT14" s="82">
        <v>2.9999999999999997E-4</v>
      </c>
      <c r="CP14" s="7"/>
      <c r="CU14" s="82">
        <v>42.6</v>
      </c>
      <c r="DR14" s="7"/>
      <c r="DW14" s="82">
        <v>4.0000000000000002E-4</v>
      </c>
      <c r="ER14" s="7"/>
      <c r="EW14" s="82">
        <v>42.6</v>
      </c>
      <c r="FR14" s="7"/>
      <c r="FW14" s="82">
        <v>42.6</v>
      </c>
      <c r="GR14" s="7"/>
      <c r="GW14" s="82">
        <v>42.6</v>
      </c>
      <c r="HR14" s="7"/>
      <c r="HW14" s="82">
        <v>42.6</v>
      </c>
      <c r="IR14" s="7"/>
      <c r="IW14" s="82">
        <v>42.6</v>
      </c>
      <c r="JR14" s="7"/>
      <c r="JW14" s="82">
        <v>42.6</v>
      </c>
      <c r="KR14" s="7"/>
      <c r="KW14" s="82">
        <v>42.6</v>
      </c>
      <c r="LR14" s="7"/>
      <c r="LW14" s="82">
        <v>42.6</v>
      </c>
      <c r="MR14" s="7"/>
      <c r="MW14" s="82">
        <v>42.6</v>
      </c>
      <c r="NR14" s="7"/>
      <c r="NW14" s="82">
        <v>42.6</v>
      </c>
      <c r="OR14" s="7"/>
      <c r="OW14" s="82">
        <v>42.6</v>
      </c>
    </row>
    <row r="15" spans="1:440" ht="17" x14ac:dyDescent="0.2">
      <c r="A15" s="35"/>
      <c r="B15" s="44" t="s">
        <v>56</v>
      </c>
      <c r="C15" s="34"/>
      <c r="P15" s="15"/>
      <c r="Q15" s="15"/>
      <c r="R15" s="15"/>
      <c r="AN15" s="7"/>
      <c r="AS15" s="83">
        <v>4.0000000000000002E-4</v>
      </c>
      <c r="BO15" s="7"/>
      <c r="BT15" s="83">
        <v>4.0000000000000002E-4</v>
      </c>
      <c r="CP15" s="7"/>
      <c r="CU15" s="83">
        <v>43.4</v>
      </c>
      <c r="DR15" s="7"/>
      <c r="DW15" s="83">
        <v>4.0000000000000002E-4</v>
      </c>
      <c r="ER15" s="7"/>
      <c r="EW15" s="83">
        <v>43.4</v>
      </c>
      <c r="FR15" s="7"/>
      <c r="FW15" s="83">
        <v>43.4</v>
      </c>
      <c r="GR15" s="7"/>
      <c r="GW15" s="83">
        <v>43.4</v>
      </c>
      <c r="HR15" s="7"/>
      <c r="HW15" s="83">
        <v>43.4</v>
      </c>
      <c r="IR15" s="7"/>
      <c r="IW15" s="83">
        <v>43.4</v>
      </c>
      <c r="JR15" s="7"/>
      <c r="JW15" s="83">
        <v>43.4</v>
      </c>
      <c r="KR15" s="7"/>
      <c r="KW15" s="83">
        <v>43.4</v>
      </c>
      <c r="LR15" s="7"/>
      <c r="LW15" s="83">
        <v>43.4</v>
      </c>
      <c r="MR15" s="7"/>
      <c r="MW15" s="83">
        <v>43.4</v>
      </c>
      <c r="NR15" s="7"/>
      <c r="NW15" s="83">
        <v>43.4</v>
      </c>
      <c r="OR15" s="7"/>
      <c r="OW15" s="83">
        <v>43.4</v>
      </c>
    </row>
    <row r="16" spans="1:440" ht="17" x14ac:dyDescent="0.2">
      <c r="A16" s="35"/>
      <c r="B16" s="64" t="s">
        <v>70</v>
      </c>
      <c r="C16" s="34"/>
      <c r="P16" s="15"/>
      <c r="Q16" s="15"/>
      <c r="R16" s="15"/>
      <c r="AN16" s="7"/>
      <c r="AS16" s="84">
        <v>4.0000000000000002E-4</v>
      </c>
      <c r="BO16" s="7"/>
      <c r="BT16" s="84">
        <v>4.0000000000000002E-4</v>
      </c>
      <c r="CP16" s="7"/>
      <c r="CU16" s="84">
        <v>44.6</v>
      </c>
      <c r="DR16" s="7"/>
      <c r="DW16" s="84">
        <v>4.0000000000000002E-4</v>
      </c>
      <c r="ER16" s="7"/>
      <c r="EW16" s="84">
        <v>44.6</v>
      </c>
      <c r="FR16" s="7"/>
      <c r="FW16" s="84">
        <v>44.6</v>
      </c>
      <c r="GR16" s="7"/>
      <c r="GW16" s="84">
        <v>44.6</v>
      </c>
      <c r="HR16" s="7"/>
      <c r="HW16" s="84">
        <v>44.6</v>
      </c>
      <c r="IR16" s="7"/>
      <c r="IW16" s="84">
        <v>44.6</v>
      </c>
      <c r="JR16" s="7"/>
      <c r="JW16" s="84">
        <v>44.6</v>
      </c>
      <c r="KR16" s="7"/>
      <c r="KW16" s="84">
        <v>44.6</v>
      </c>
      <c r="LR16" s="7"/>
      <c r="LW16" s="84">
        <v>44.6</v>
      </c>
      <c r="MR16" s="7"/>
      <c r="MW16" s="84">
        <v>44.6</v>
      </c>
      <c r="NR16" s="7"/>
      <c r="NW16" s="84">
        <v>44.6</v>
      </c>
      <c r="OR16" s="7"/>
      <c r="OW16" s="84">
        <v>44.6</v>
      </c>
    </row>
    <row r="17" spans="1:413" ht="17" x14ac:dyDescent="0.2">
      <c r="A17" s="35"/>
      <c r="B17" s="45" t="s">
        <v>39</v>
      </c>
      <c r="C17" s="34"/>
      <c r="P17" s="15"/>
      <c r="Q17" s="15"/>
      <c r="R17" s="15"/>
      <c r="AN17" s="7"/>
      <c r="AP17" s="70" t="s">
        <v>174</v>
      </c>
      <c r="AS17" s="85">
        <v>4.0000000000000002E-4</v>
      </c>
      <c r="BO17" s="7"/>
      <c r="BQ17" s="70" t="s">
        <v>174</v>
      </c>
      <c r="BT17" s="85">
        <v>4.0000000000000002E-4</v>
      </c>
      <c r="CP17" s="7"/>
      <c r="CU17" s="85">
        <v>46</v>
      </c>
      <c r="DR17" s="7"/>
      <c r="DT17" s="70" t="s">
        <v>174</v>
      </c>
      <c r="DW17" s="85">
        <v>4.0000000000000002E-4</v>
      </c>
      <c r="ER17" s="7"/>
      <c r="EW17" s="85">
        <v>46</v>
      </c>
      <c r="FR17" s="7"/>
      <c r="FW17" s="85">
        <v>46</v>
      </c>
      <c r="GR17" s="7"/>
      <c r="GW17" s="85">
        <v>46</v>
      </c>
      <c r="HR17" s="7"/>
      <c r="HW17" s="85">
        <v>46</v>
      </c>
      <c r="IR17" s="7"/>
      <c r="IW17" s="85">
        <v>46</v>
      </c>
      <c r="JR17" s="7"/>
      <c r="JW17" s="85">
        <v>46</v>
      </c>
      <c r="KR17" s="7"/>
      <c r="KW17" s="85">
        <v>46</v>
      </c>
      <c r="LR17" s="7"/>
      <c r="LW17" s="85">
        <v>46</v>
      </c>
      <c r="MR17" s="7"/>
      <c r="MW17" s="85">
        <v>46</v>
      </c>
      <c r="NR17" s="7"/>
      <c r="NW17" s="85">
        <v>46</v>
      </c>
      <c r="OR17" s="7"/>
      <c r="OW17" s="85">
        <v>46</v>
      </c>
    </row>
    <row r="18" spans="1:413" x14ac:dyDescent="0.2">
      <c r="B18" s="53" t="s">
        <v>62</v>
      </c>
      <c r="C18" s="2"/>
    </row>
    <row r="19" spans="1:413" x14ac:dyDescent="0.2">
      <c r="A19" s="35"/>
      <c r="B19" s="35"/>
      <c r="C19" s="34"/>
    </row>
    <row r="20" spans="1:413" x14ac:dyDescent="0.2">
      <c r="A20" s="35"/>
      <c r="B20" s="35"/>
      <c r="C20" s="34"/>
    </row>
    <row r="21" spans="1:413" x14ac:dyDescent="0.2">
      <c r="A21" s="35"/>
      <c r="B21" s="35"/>
      <c r="C21" s="34"/>
    </row>
    <row r="22" spans="1:413" x14ac:dyDescent="0.2">
      <c r="A22" s="6"/>
      <c r="B22" s="6"/>
      <c r="C22" s="6"/>
    </row>
  </sheetData>
  <sheetProtection sheet="1" formatCells="0" formatColumns="0" formatRows="0"/>
  <autoFilter ref="A1:PX6" xr:uid="{BB9C3AB3-2D15-174E-B900-3E2F789706E1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sortState xmlns:xlrd2="http://schemas.microsoft.com/office/spreadsheetml/2017/richdata2" ref="A4:PX7">
      <sortCondition descending="1" ref="F1:F8"/>
    </sortState>
  </autoFilter>
  <mergeCells count="115">
    <mergeCell ref="OX1:PX1"/>
    <mergeCell ref="OX2:PA2"/>
    <mergeCell ref="PB2:PE2"/>
    <mergeCell ref="PJ2:PM2"/>
    <mergeCell ref="PN2:PQ2"/>
    <mergeCell ref="PF2:PI2"/>
    <mergeCell ref="IX2:JA2"/>
    <mergeCell ref="JB2:JE2"/>
    <mergeCell ref="KX1:LW1"/>
    <mergeCell ref="LX1:MW1"/>
    <mergeCell ref="MX1:NW1"/>
    <mergeCell ref="NX1:OW1"/>
    <mergeCell ref="KJ2:KM2"/>
    <mergeCell ref="KN2:KQ2"/>
    <mergeCell ref="KX2:LA2"/>
    <mergeCell ref="LB2:LE2"/>
    <mergeCell ref="LJ2:LM2"/>
    <mergeCell ref="JX1:KW1"/>
    <mergeCell ref="LN2:LQ2"/>
    <mergeCell ref="MB2:ME2"/>
    <mergeCell ref="MJ2:MM2"/>
    <mergeCell ref="MN2:MQ2"/>
    <mergeCell ref="OB2:OE2"/>
    <mergeCell ref="OJ2:OM2"/>
    <mergeCell ref="L1:L3"/>
    <mergeCell ref="M1:M3"/>
    <mergeCell ref="AA2:AD2"/>
    <mergeCell ref="BB2:BE2"/>
    <mergeCell ref="A1:A3"/>
    <mergeCell ref="BF2:BI2"/>
    <mergeCell ref="B1:B3"/>
    <mergeCell ref="C1:C3"/>
    <mergeCell ref="D1:D3"/>
    <mergeCell ref="E1:E3"/>
    <mergeCell ref="S2:V2"/>
    <mergeCell ref="K1:K3"/>
    <mergeCell ref="O1:O3"/>
    <mergeCell ref="Q1:Q3"/>
    <mergeCell ref="R1:R3"/>
    <mergeCell ref="N1:N3"/>
    <mergeCell ref="P1:P3"/>
    <mergeCell ref="I1:I3"/>
    <mergeCell ref="G1:G3"/>
    <mergeCell ref="H1:H3"/>
    <mergeCell ref="J1:J3"/>
    <mergeCell ref="F1:F3"/>
    <mergeCell ref="BJ2:BM2"/>
    <mergeCell ref="S1:AS1"/>
    <mergeCell ref="AT1:BT1"/>
    <mergeCell ref="W2:Z2"/>
    <mergeCell ref="AE2:AH2"/>
    <mergeCell ref="AI2:AL2"/>
    <mergeCell ref="AT2:AW2"/>
    <mergeCell ref="AX2:BA2"/>
    <mergeCell ref="BU1:CU1"/>
    <mergeCell ref="BU2:BX2"/>
    <mergeCell ref="BY2:CB2"/>
    <mergeCell ref="CG2:CJ2"/>
    <mergeCell ref="CK2:CN2"/>
    <mergeCell ref="CC2:CF2"/>
    <mergeCell ref="ON2:OQ2"/>
    <mergeCell ref="MX2:NA2"/>
    <mergeCell ref="NB2:NE2"/>
    <mergeCell ref="NJ2:NM2"/>
    <mergeCell ref="NN2:NQ2"/>
    <mergeCell ref="NX2:OA2"/>
    <mergeCell ref="NF2:NI2"/>
    <mergeCell ref="OF2:OI2"/>
    <mergeCell ref="MF2:MI2"/>
    <mergeCell ref="KB2:KE2"/>
    <mergeCell ref="HB2:HE2"/>
    <mergeCell ref="HJ2:HM2"/>
    <mergeCell ref="HN2:HQ2"/>
    <mergeCell ref="FX1:GW1"/>
    <mergeCell ref="GX1:HW1"/>
    <mergeCell ref="HX1:IW1"/>
    <mergeCell ref="IX1:JW1"/>
    <mergeCell ref="LX2:MA2"/>
    <mergeCell ref="GX2:HA2"/>
    <mergeCell ref="HX2:IA2"/>
    <mergeCell ref="FX2:GA2"/>
    <mergeCell ref="GB2:GE2"/>
    <mergeCell ref="GJ2:GM2"/>
    <mergeCell ref="GN2:GQ2"/>
    <mergeCell ref="GF2:GI2"/>
    <mergeCell ref="HF2:HI2"/>
    <mergeCell ref="IB2:IE2"/>
    <mergeCell ref="IJ2:IM2"/>
    <mergeCell ref="IN2:IQ2"/>
    <mergeCell ref="IF2:II2"/>
    <mergeCell ref="JF2:JI2"/>
    <mergeCell ref="KF2:KI2"/>
    <mergeCell ref="LF2:LI2"/>
    <mergeCell ref="JJ2:JM2"/>
    <mergeCell ref="JN2:JQ2"/>
    <mergeCell ref="JX2:KA2"/>
    <mergeCell ref="CV1:CW1"/>
    <mergeCell ref="CX1:DW1"/>
    <mergeCell ref="FN2:FQ2"/>
    <mergeCell ref="FF2:FI2"/>
    <mergeCell ref="EX2:FA2"/>
    <mergeCell ref="FB2:FE2"/>
    <mergeCell ref="FJ2:FM2"/>
    <mergeCell ref="CX2:DA2"/>
    <mergeCell ref="EX1:FW1"/>
    <mergeCell ref="DB2:DE2"/>
    <mergeCell ref="DJ2:DM2"/>
    <mergeCell ref="DN2:DQ2"/>
    <mergeCell ref="DX1:EW1"/>
    <mergeCell ref="DX2:EA2"/>
    <mergeCell ref="EB2:EE2"/>
    <mergeCell ref="EJ2:EM2"/>
    <mergeCell ref="EN2:EQ2"/>
    <mergeCell ref="DF2:DI2"/>
    <mergeCell ref="EF2:EI2"/>
  </mergeCells>
  <conditionalFormatting sqref="S4:AS7">
    <cfRule type="expression" dxfId="91" priority="5" stopIfTrue="1">
      <formula>IF($AM4&lt;&gt;"",1,0)</formula>
    </cfRule>
  </conditionalFormatting>
  <conditionalFormatting sqref="AT4:BT7">
    <cfRule type="expression" dxfId="90" priority="10" stopIfTrue="1">
      <formula>IF($BN4&lt;&gt;"",1,0)</formula>
    </cfRule>
  </conditionalFormatting>
  <conditionalFormatting sqref="K1:K1048576 M1:M1048576 O1:O1048576">
    <cfRule type="expression" dxfId="89" priority="36252">
      <formula>IF(K1=$BU$1,1,0)</formula>
    </cfRule>
    <cfRule type="expression" dxfId="88" priority="36253">
      <formula>IF(K1=$AT$1,1,0)</formula>
    </cfRule>
    <cfRule type="expression" dxfId="87" priority="36254">
      <formula>IF(K1=$S$1,1,0)</formula>
    </cfRule>
  </conditionalFormatting>
  <conditionalFormatting sqref="BU4:CU7">
    <cfRule type="expression" dxfId="86" priority="11" stopIfTrue="1">
      <formula>IF($CO4&lt;&gt;"",1,0)</formula>
    </cfRule>
  </conditionalFormatting>
  <conditionalFormatting sqref="A1:A1048576">
    <cfRule type="expression" dxfId="85" priority="38439">
      <formula>AND(G1="P",F1="")</formula>
    </cfRule>
  </conditionalFormatting>
  <conditionalFormatting sqref="H1:H1048576">
    <cfRule type="containsText" dxfId="84" priority="13" operator="containsText" text="No DD">
      <formula>NOT(ISERROR(SEARCH("No DD",H1)))</formula>
    </cfRule>
    <cfRule type="containsText" dxfId="83" priority="14" operator="containsText" text="Merit">
      <formula>NOT(ISERROR(SEARCH("Merit",H1)))</formula>
    </cfRule>
    <cfRule type="containsText" dxfId="82" priority="22" operator="containsText" text="Excellence">
      <formula>NOT(ISERROR(SEARCH("Excellence",H1)))</formula>
    </cfRule>
    <cfRule type="containsText" dxfId="81" priority="23" operator="containsText" text="Worlds Team">
      <formula>NOT(ISERROR(SEARCH("Worlds Team",H1)))</formula>
    </cfRule>
    <cfRule type="containsText" dxfId="80" priority="24" operator="containsText" text="National Team">
      <formula>NOT(ISERROR(SEARCH("National Team",H1)))</formula>
    </cfRule>
  </conditionalFormatting>
  <conditionalFormatting sqref="OR1:OR1048576">
    <cfRule type="cellIs" dxfId="79" priority="49846" operator="between">
      <formula>OW$13</formula>
      <formula>1000</formula>
    </cfRule>
    <cfRule type="cellIs" dxfId="78" priority="49847" operator="between">
      <formula>OW$12</formula>
      <formula>OW$13</formula>
    </cfRule>
    <cfRule type="cellIs" dxfId="77" priority="49848" operator="between">
      <formula>OW$11</formula>
      <formula>OW$12</formula>
    </cfRule>
    <cfRule type="cellIs" dxfId="76" priority="49849" operator="between">
      <formula>OW$10</formula>
      <formula>OW$11</formula>
    </cfRule>
  </conditionalFormatting>
  <conditionalFormatting sqref="AN1:AN1048576 BO1:BO1048576 CP1:CP1048576 DR1:DR1048576 ER1:ER1048576 FR1:FR1048576 GR1:GR1048576 HR1:HR1048576 IR1:IR1048576 JR1:JR1048576 KR1:KR1048576 LR1:LR1048576 MR1:MR1048576 NR1:NR1048576">
    <cfRule type="cellIs" dxfId="75" priority="57242" operator="between">
      <formula>AS$13</formula>
      <formula>1000</formula>
    </cfRule>
    <cfRule type="cellIs" dxfId="74" priority="57243" operator="between">
      <formula>AS$12</formula>
      <formula>AS$13</formula>
    </cfRule>
    <cfRule type="cellIs" dxfId="73" priority="57244" operator="between">
      <formula>AS$11</formula>
      <formula>AS$12</formula>
    </cfRule>
    <cfRule type="cellIs" dxfId="72" priority="57245" operator="between">
      <formula>AS$10</formula>
      <formula>AS$11</formula>
    </cfRule>
  </conditionalFormatting>
  <conditionalFormatting sqref="OS1:OS1048576">
    <cfRule type="cellIs" dxfId="71" priority="50026" operator="between">
      <formula>OW$17</formula>
      <formula>1000</formula>
    </cfRule>
    <cfRule type="cellIs" dxfId="70" priority="50027" operator="between">
      <formula>OW$16</formula>
      <formula>OW$17</formula>
    </cfRule>
    <cfRule type="cellIs" dxfId="69" priority="50028" operator="between">
      <formula>OW$15</formula>
      <formula>OW$16</formula>
    </cfRule>
    <cfRule type="cellIs" dxfId="68" priority="50029" operator="between">
      <formula>OW$14</formula>
      <formula>OW$15</formula>
    </cfRule>
  </conditionalFormatting>
  <conditionalFormatting sqref="AO1:AO1048576 BP1:BP1048576 CQ1:CQ1048576 DS1:DS1048576 ES1:ES1048576 FS1:FS1048576 GS1:GS1048576 HS1:HS1048576 IS1:IS1048576 JS1:JS1048576 KS1:KS1048576 LS1:LS1048576 MS1:MS1048576 NS1:NS1048576">
    <cfRule type="cellIs" dxfId="67" priority="57246" operator="between">
      <formula>AS$17</formula>
      <formula>1000</formula>
    </cfRule>
    <cfRule type="cellIs" dxfId="66" priority="57247" operator="between">
      <formula>AS$16</formula>
      <formula>AS$17</formula>
    </cfRule>
    <cfRule type="cellIs" dxfId="65" priority="57248" operator="between">
      <formula>AS$15</formula>
      <formula>AS$16</formula>
    </cfRule>
    <cfRule type="cellIs" dxfId="64" priority="57249" operator="between">
      <formula>AS$14</formula>
      <formula>AS$15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3" priority="6" operator="between">
      <formula>AS$10</formula>
      <formula>AS$11</formula>
    </cfRule>
    <cfRule type="cellIs" dxfId="62" priority="7" operator="between">
      <formula>AS$11</formula>
      <formula>AS$12</formula>
    </cfRule>
    <cfRule type="cellIs" dxfId="61" priority="8" operator="between">
      <formula>AS$12</formula>
      <formula>AS$13</formula>
    </cfRule>
    <cfRule type="cellIs" dxfId="60" priority="9" operator="between">
      <formula>AS$13</formula>
      <formula>1000</formula>
    </cfRule>
  </conditionalFormatting>
  <conditionalFormatting sqref="AR1:AR1048576 BS1:BS1048576 CT1:CT1048576 DV1:DV1048576 EV1:EV1048576 FV1:FV1048576 GV1:GV1048576 HV1:HV1048576 IV1:IV1048576 JV1:JV1048576 KV1:KV1048576 LV1:LV1048576 MV1:MV1048576 NV1:NV1048576 OV1:OV1048576">
    <cfRule type="cellIs" dxfId="59" priority="1" operator="between">
      <formula>AS$14</formula>
      <formula>AS$15</formula>
    </cfRule>
    <cfRule type="cellIs" dxfId="58" priority="2" operator="between">
      <formula>AS$15</formula>
      <formula>AS$16</formula>
    </cfRule>
    <cfRule type="cellIs" dxfId="57" priority="3" operator="between">
      <formula>AS$16</formula>
      <formula>AS$17</formula>
    </cfRule>
    <cfRule type="cellIs" dxfId="56" priority="4" operator="between">
      <formula>AS$17</formula>
      <formula>1000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3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70" customWidth="1"/>
    <col min="52" max="72" width="10.83203125" hidden="1" customWidth="1"/>
    <col min="73" max="80" width="10.83203125" style="70" customWidth="1"/>
    <col min="81" max="101" width="10.83203125" hidden="1" customWidth="1"/>
    <col min="102" max="112" width="10.83203125" style="70" customWidth="1"/>
    <col min="113" max="132" width="10.83203125" hidden="1" customWidth="1"/>
    <col min="133" max="140" width="10.83203125" style="70" customWidth="1"/>
    <col min="141" max="160" width="10.83203125" hidden="1" customWidth="1"/>
    <col min="161" max="168" width="10.83203125" style="70" customWidth="1"/>
    <col min="169" max="188" width="10.83203125" hidden="1" customWidth="1"/>
    <col min="189" max="196" width="10.83203125" style="70" customWidth="1"/>
    <col min="197" max="216" width="10.83203125" hidden="1" customWidth="1"/>
    <col min="217" max="224" width="10.83203125" style="70" hidden="1" customWidth="1"/>
    <col min="225" max="244" width="10.83203125" hidden="1" customWidth="1"/>
    <col min="245" max="252" width="10.83203125" style="70" hidden="1" customWidth="1"/>
    <col min="253" max="272" width="10.83203125" hidden="1" customWidth="1"/>
    <col min="273" max="280" width="10.83203125" style="70" hidden="1" customWidth="1"/>
    <col min="281" max="300" width="10.83203125" hidden="1" customWidth="1"/>
    <col min="301" max="308" width="10.83203125" style="70" hidden="1" customWidth="1"/>
    <col min="309" max="328" width="10.83203125" hidden="1" customWidth="1"/>
    <col min="329" max="336" width="10.83203125" style="70" hidden="1" customWidth="1"/>
    <col min="337" max="356" width="10.83203125" hidden="1" customWidth="1"/>
    <col min="357" max="364" width="10.83203125" style="70" hidden="1" customWidth="1"/>
    <col min="365" max="384" width="10.83203125" hidden="1" customWidth="1"/>
    <col min="385" max="392" width="10.83203125" style="70" hidden="1" customWidth="1"/>
    <col min="393" max="412" width="10.83203125" hidden="1" customWidth="1"/>
    <col min="413" max="420" width="10.83203125" style="70" hidden="1" customWidth="1"/>
    <col min="421" max="440" width="10.83203125" hidden="1" customWidth="1"/>
    <col min="441" max="448" width="10.83203125" style="70" hidden="1" customWidth="1"/>
    <col min="449" max="469" width="10.83203125" hidden="1" customWidth="1"/>
    <col min="470" max="477" width="10.83203125" style="70" hidden="1" customWidth="1"/>
  </cols>
  <sheetData>
    <row r="1" spans="1:477" ht="16" customHeight="1" x14ac:dyDescent="0.2">
      <c r="A1" s="117" t="s">
        <v>1</v>
      </c>
      <c r="B1" s="117" t="s">
        <v>32</v>
      </c>
      <c r="C1" s="117" t="s">
        <v>0</v>
      </c>
      <c r="D1" s="117" t="s">
        <v>63</v>
      </c>
      <c r="E1" s="117" t="s">
        <v>2</v>
      </c>
      <c r="F1" s="119" t="s">
        <v>69</v>
      </c>
      <c r="G1" s="119" t="s">
        <v>12</v>
      </c>
      <c r="H1" s="117" t="s">
        <v>13</v>
      </c>
      <c r="I1" s="119" t="s">
        <v>96</v>
      </c>
      <c r="J1" s="118" t="s">
        <v>155</v>
      </c>
      <c r="K1" s="116" t="s">
        <v>37</v>
      </c>
      <c r="L1" s="118" t="s">
        <v>156</v>
      </c>
      <c r="M1" s="116" t="s">
        <v>37</v>
      </c>
      <c r="N1" s="118" t="s">
        <v>157</v>
      </c>
      <c r="O1" s="116" t="s">
        <v>37</v>
      </c>
      <c r="P1" s="118" t="s">
        <v>158</v>
      </c>
      <c r="Q1" s="116" t="s">
        <v>37</v>
      </c>
      <c r="R1" s="116" t="s">
        <v>14</v>
      </c>
      <c r="S1" s="116" t="s">
        <v>37</v>
      </c>
      <c r="T1" s="120" t="s">
        <v>15</v>
      </c>
      <c r="U1" s="116" t="s">
        <v>38</v>
      </c>
      <c r="V1" s="116" t="s">
        <v>37</v>
      </c>
      <c r="W1" s="113" t="s">
        <v>104</v>
      </c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4" t="s">
        <v>111</v>
      </c>
      <c r="BA1" s="114"/>
      <c r="BB1" s="114"/>
      <c r="BC1" s="114"/>
      <c r="BD1" s="114"/>
      <c r="BE1" s="114"/>
      <c r="BF1" s="114"/>
      <c r="BG1" s="114"/>
      <c r="BH1" s="114"/>
      <c r="BI1" s="114"/>
      <c r="BJ1" s="114"/>
      <c r="BK1" s="114"/>
      <c r="BL1" s="114"/>
      <c r="BM1" s="114"/>
      <c r="BN1" s="114"/>
      <c r="BO1" s="114"/>
      <c r="BP1" s="114"/>
      <c r="BQ1" s="114"/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3" t="s">
        <v>146</v>
      </c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  <c r="CY1" s="113"/>
      <c r="CZ1" s="113"/>
      <c r="DA1" s="113"/>
      <c r="DB1" s="113"/>
      <c r="DC1" s="113"/>
      <c r="DD1" s="113"/>
      <c r="DE1" s="113"/>
      <c r="DF1" s="115" t="s">
        <v>68</v>
      </c>
      <c r="DG1" s="115"/>
      <c r="DH1" s="115"/>
      <c r="DI1" s="113" t="s">
        <v>114</v>
      </c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3"/>
      <c r="EH1" s="113"/>
      <c r="EI1" s="113"/>
      <c r="EJ1" s="113"/>
      <c r="EK1" s="114" t="s">
        <v>172</v>
      </c>
      <c r="EL1" s="114"/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4"/>
      <c r="EX1" s="114"/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4"/>
      <c r="FJ1" s="114"/>
      <c r="FK1" s="114"/>
      <c r="FL1" s="114"/>
      <c r="FM1" s="113" t="s">
        <v>175</v>
      </c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3"/>
      <c r="GG1" s="113"/>
      <c r="GH1" s="113"/>
      <c r="GI1" s="113"/>
      <c r="GJ1" s="113"/>
      <c r="GK1" s="113"/>
      <c r="GL1" s="113"/>
      <c r="GM1" s="113"/>
      <c r="GN1" s="113"/>
      <c r="GO1" s="114"/>
      <c r="GP1" s="114"/>
      <c r="GQ1" s="114"/>
      <c r="GR1" s="114"/>
      <c r="GS1" s="114"/>
      <c r="GT1" s="114"/>
      <c r="GU1" s="114"/>
      <c r="GV1" s="114"/>
      <c r="GW1" s="114"/>
      <c r="GX1" s="114"/>
      <c r="GY1" s="114"/>
      <c r="GZ1" s="114"/>
      <c r="HA1" s="114"/>
      <c r="HB1" s="114"/>
      <c r="HC1" s="114"/>
      <c r="HD1" s="114"/>
      <c r="HE1" s="114"/>
      <c r="HF1" s="114"/>
      <c r="HG1" s="114"/>
      <c r="HH1" s="114"/>
      <c r="HI1" s="114"/>
      <c r="HJ1" s="114"/>
      <c r="HK1" s="114"/>
      <c r="HL1" s="114"/>
      <c r="HM1" s="114"/>
      <c r="HN1" s="114"/>
      <c r="HO1" s="114"/>
      <c r="HP1" s="114"/>
      <c r="HQ1" s="113"/>
      <c r="HR1" s="113"/>
      <c r="HS1" s="113"/>
      <c r="HT1" s="113"/>
      <c r="HU1" s="113"/>
      <c r="HV1" s="113"/>
      <c r="HW1" s="113"/>
      <c r="HX1" s="113"/>
      <c r="HY1" s="113"/>
      <c r="HZ1" s="113"/>
      <c r="IA1" s="113"/>
      <c r="IB1" s="113"/>
      <c r="IC1" s="113"/>
      <c r="ID1" s="113"/>
      <c r="IE1" s="113"/>
      <c r="IF1" s="113"/>
      <c r="IG1" s="113"/>
      <c r="IH1" s="113"/>
      <c r="II1" s="113"/>
      <c r="IJ1" s="113"/>
      <c r="IK1" s="113"/>
      <c r="IL1" s="113"/>
      <c r="IM1" s="113"/>
      <c r="IN1" s="113"/>
      <c r="IO1" s="113"/>
      <c r="IP1" s="113"/>
      <c r="IQ1" s="113"/>
      <c r="IR1" s="113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4"/>
      <c r="JS1" s="114"/>
      <c r="JT1" s="114"/>
      <c r="JU1" s="113"/>
      <c r="JV1" s="113"/>
      <c r="JW1" s="113"/>
      <c r="JX1" s="113"/>
      <c r="JY1" s="113"/>
      <c r="JZ1" s="113"/>
      <c r="KA1" s="113"/>
      <c r="KB1" s="113"/>
      <c r="KC1" s="113"/>
      <c r="KD1" s="113"/>
      <c r="KE1" s="113"/>
      <c r="KF1" s="113"/>
      <c r="KG1" s="113"/>
      <c r="KH1" s="113"/>
      <c r="KI1" s="113"/>
      <c r="KJ1" s="113"/>
      <c r="KK1" s="113"/>
      <c r="KL1" s="113"/>
      <c r="KM1" s="113"/>
      <c r="KN1" s="113"/>
      <c r="KO1" s="113"/>
      <c r="KP1" s="113"/>
      <c r="KQ1" s="113"/>
      <c r="KR1" s="113"/>
      <c r="KS1" s="113"/>
      <c r="KT1" s="113"/>
      <c r="KU1" s="113"/>
      <c r="KV1" s="113"/>
      <c r="KW1" s="114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4"/>
      <c r="LY1" s="113"/>
      <c r="LZ1" s="113"/>
      <c r="MA1" s="113"/>
      <c r="MB1" s="113"/>
      <c r="MC1" s="113"/>
      <c r="MD1" s="113"/>
      <c r="ME1" s="113"/>
      <c r="MF1" s="113"/>
      <c r="MG1" s="113"/>
      <c r="MH1" s="113"/>
      <c r="MI1" s="113"/>
      <c r="MJ1" s="113"/>
      <c r="MK1" s="113"/>
      <c r="ML1" s="113"/>
      <c r="MM1" s="113"/>
      <c r="MN1" s="113"/>
      <c r="MO1" s="113"/>
      <c r="MP1" s="113"/>
      <c r="MQ1" s="113"/>
      <c r="MR1" s="113"/>
      <c r="MS1" s="113"/>
      <c r="MT1" s="113"/>
      <c r="MU1" s="113"/>
      <c r="MV1" s="113"/>
      <c r="MW1" s="113"/>
      <c r="MX1" s="113"/>
      <c r="MY1" s="113"/>
      <c r="MZ1" s="113"/>
      <c r="NA1" s="114"/>
      <c r="NB1" s="114"/>
      <c r="NC1" s="114"/>
      <c r="ND1" s="114"/>
      <c r="NE1" s="114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3"/>
      <c r="OD1" s="113"/>
      <c r="OE1" s="113"/>
      <c r="OF1" s="113"/>
      <c r="OG1" s="113"/>
      <c r="OH1" s="113"/>
      <c r="OI1" s="113"/>
      <c r="OJ1" s="113"/>
      <c r="OK1" s="113"/>
      <c r="OL1" s="113"/>
      <c r="OM1" s="113"/>
      <c r="ON1" s="113"/>
      <c r="OO1" s="113"/>
      <c r="OP1" s="113"/>
      <c r="OQ1" s="113"/>
      <c r="OR1" s="113"/>
      <c r="OS1" s="113"/>
      <c r="OT1" s="113"/>
      <c r="OU1" s="113"/>
      <c r="OV1" s="113"/>
      <c r="OW1" s="113"/>
      <c r="OX1" s="113"/>
      <c r="OY1" s="113"/>
      <c r="OZ1" s="113"/>
      <c r="PA1" s="113"/>
      <c r="PB1" s="113"/>
      <c r="PC1" s="113"/>
      <c r="PD1" s="113"/>
      <c r="PE1" s="114"/>
      <c r="PF1" s="114"/>
      <c r="PG1" s="114"/>
      <c r="PH1" s="114"/>
      <c r="PI1" s="114"/>
      <c r="PJ1" s="114"/>
      <c r="PK1" s="114"/>
      <c r="PL1" s="114"/>
      <c r="PM1" s="114"/>
      <c r="PN1" s="114"/>
      <c r="PO1" s="114"/>
      <c r="PP1" s="114"/>
      <c r="PQ1" s="114"/>
      <c r="PR1" s="114"/>
      <c r="PS1" s="114"/>
      <c r="PT1" s="114"/>
      <c r="PU1" s="114"/>
      <c r="PV1" s="114"/>
      <c r="PW1" s="114"/>
      <c r="PX1" s="114"/>
      <c r="PY1" s="114"/>
      <c r="PZ1" s="114"/>
      <c r="QA1" s="114"/>
      <c r="QB1" s="114"/>
      <c r="QC1" s="114"/>
      <c r="QD1" s="114"/>
      <c r="QE1" s="114"/>
      <c r="QF1" s="114"/>
      <c r="QG1" s="113" t="s">
        <v>72</v>
      </c>
      <c r="QH1" s="113"/>
      <c r="QI1" s="113"/>
      <c r="QJ1" s="113"/>
      <c r="QK1" s="113"/>
      <c r="QL1" s="113"/>
      <c r="QM1" s="113"/>
      <c r="QN1" s="113"/>
      <c r="QO1" s="113"/>
      <c r="QP1" s="113"/>
      <c r="QQ1" s="113"/>
      <c r="QR1" s="113"/>
      <c r="QS1" s="113"/>
      <c r="QT1" s="113"/>
      <c r="QU1" s="113"/>
      <c r="QV1" s="113"/>
      <c r="QW1" s="113"/>
      <c r="QX1" s="113"/>
      <c r="QY1" s="113"/>
      <c r="QZ1" s="113"/>
      <c r="RA1" s="113"/>
      <c r="RB1" s="113"/>
      <c r="RC1" s="113"/>
      <c r="RD1" s="113"/>
      <c r="RE1" s="113"/>
      <c r="RF1" s="113"/>
      <c r="RG1" s="113"/>
      <c r="RH1" s="113"/>
      <c r="RI1" s="113"/>
    </row>
    <row r="2" spans="1:477" x14ac:dyDescent="0.2">
      <c r="A2" s="117"/>
      <c r="B2" s="117"/>
      <c r="C2" s="117"/>
      <c r="D2" s="117"/>
      <c r="E2" s="117"/>
      <c r="F2" s="119"/>
      <c r="G2" s="119"/>
      <c r="H2" s="117"/>
      <c r="I2" s="119"/>
      <c r="J2" s="118"/>
      <c r="K2" s="116"/>
      <c r="L2" s="118"/>
      <c r="M2" s="116"/>
      <c r="N2" s="118"/>
      <c r="O2" s="116"/>
      <c r="P2" s="118"/>
      <c r="Q2" s="116"/>
      <c r="R2" s="116"/>
      <c r="S2" s="116"/>
      <c r="T2" s="120"/>
      <c r="U2" s="116"/>
      <c r="V2" s="116"/>
      <c r="W2" s="111" t="s">
        <v>147</v>
      </c>
      <c r="X2" s="111"/>
      <c r="Y2" s="111"/>
      <c r="Z2" s="111"/>
      <c r="AA2" s="111" t="s">
        <v>148</v>
      </c>
      <c r="AB2" s="111"/>
      <c r="AC2" s="111"/>
      <c r="AD2" s="111"/>
      <c r="AE2" s="111" t="s">
        <v>149</v>
      </c>
      <c r="AF2" s="111"/>
      <c r="AG2" s="111"/>
      <c r="AH2" s="111"/>
      <c r="AI2" s="111" t="s">
        <v>150</v>
      </c>
      <c r="AJ2" s="111"/>
      <c r="AK2" s="111"/>
      <c r="AL2" s="111"/>
      <c r="AM2" s="121" t="s">
        <v>151</v>
      </c>
      <c r="AN2" s="121"/>
      <c r="AO2" s="121"/>
      <c r="AP2" s="121"/>
      <c r="AQ2" s="88"/>
      <c r="AR2" s="88" t="s">
        <v>152</v>
      </c>
      <c r="AS2" s="88" t="s">
        <v>153</v>
      </c>
      <c r="AT2" s="88" t="s">
        <v>149</v>
      </c>
      <c r="AU2" s="94" t="s">
        <v>159</v>
      </c>
      <c r="AV2" s="94" t="s">
        <v>25</v>
      </c>
      <c r="AW2" s="88" t="s">
        <v>76</v>
      </c>
      <c r="AX2" s="88" t="s">
        <v>154</v>
      </c>
      <c r="AY2" s="88" t="s">
        <v>19</v>
      </c>
      <c r="AZ2" s="112" t="s">
        <v>147</v>
      </c>
      <c r="BA2" s="112"/>
      <c r="BB2" s="112"/>
      <c r="BC2" s="112"/>
      <c r="BD2" s="112" t="s">
        <v>148</v>
      </c>
      <c r="BE2" s="112"/>
      <c r="BF2" s="112"/>
      <c r="BG2" s="112"/>
      <c r="BH2" s="112" t="s">
        <v>149</v>
      </c>
      <c r="BI2" s="112"/>
      <c r="BJ2" s="112"/>
      <c r="BK2" s="112"/>
      <c r="BL2" s="112" t="s">
        <v>150</v>
      </c>
      <c r="BM2" s="112"/>
      <c r="BN2" s="112"/>
      <c r="BO2" s="112"/>
      <c r="BP2" s="122" t="s">
        <v>151</v>
      </c>
      <c r="BQ2" s="122"/>
      <c r="BR2" s="122"/>
      <c r="BS2" s="122"/>
      <c r="BT2" s="89"/>
      <c r="BU2" s="89" t="s">
        <v>152</v>
      </c>
      <c r="BV2" s="89" t="s">
        <v>153</v>
      </c>
      <c r="BW2" s="89" t="s">
        <v>149</v>
      </c>
      <c r="BX2" s="95" t="s">
        <v>159</v>
      </c>
      <c r="BY2" s="95" t="s">
        <v>25</v>
      </c>
      <c r="BZ2" s="89" t="s">
        <v>76</v>
      </c>
      <c r="CA2" s="89" t="s">
        <v>154</v>
      </c>
      <c r="CB2" s="89" t="s">
        <v>19</v>
      </c>
      <c r="CC2" s="111" t="s">
        <v>147</v>
      </c>
      <c r="CD2" s="111"/>
      <c r="CE2" s="111"/>
      <c r="CF2" s="111"/>
      <c r="CG2" s="111" t="s">
        <v>148</v>
      </c>
      <c r="CH2" s="111"/>
      <c r="CI2" s="111"/>
      <c r="CJ2" s="111"/>
      <c r="CK2" s="111" t="s">
        <v>149</v>
      </c>
      <c r="CL2" s="111"/>
      <c r="CM2" s="111"/>
      <c r="CN2" s="111"/>
      <c r="CO2" s="111" t="s">
        <v>150</v>
      </c>
      <c r="CP2" s="111"/>
      <c r="CQ2" s="111"/>
      <c r="CR2" s="111"/>
      <c r="CS2" s="121" t="s">
        <v>151</v>
      </c>
      <c r="CT2" s="121"/>
      <c r="CU2" s="121"/>
      <c r="CV2" s="121"/>
      <c r="CW2" s="88"/>
      <c r="CX2" s="88" t="s">
        <v>152</v>
      </c>
      <c r="CY2" s="88" t="s">
        <v>153</v>
      </c>
      <c r="CZ2" s="88" t="s">
        <v>149</v>
      </c>
      <c r="DA2" s="94" t="s">
        <v>159</v>
      </c>
      <c r="DB2" s="94" t="s">
        <v>25</v>
      </c>
      <c r="DC2" s="88" t="s">
        <v>76</v>
      </c>
      <c r="DD2" s="88" t="s">
        <v>154</v>
      </c>
      <c r="DE2" s="88" t="s">
        <v>19</v>
      </c>
      <c r="DF2" s="86" t="s">
        <v>153</v>
      </c>
      <c r="DG2" s="86" t="s">
        <v>149</v>
      </c>
      <c r="DH2" s="86" t="s">
        <v>24</v>
      </c>
      <c r="DI2" s="111" t="s">
        <v>147</v>
      </c>
      <c r="DJ2" s="111"/>
      <c r="DK2" s="111"/>
      <c r="DL2" s="111"/>
      <c r="DM2" s="111" t="s">
        <v>148</v>
      </c>
      <c r="DN2" s="111"/>
      <c r="DO2" s="111"/>
      <c r="DP2" s="111"/>
      <c r="DQ2" s="111" t="s">
        <v>149</v>
      </c>
      <c r="DR2" s="111"/>
      <c r="DS2" s="111"/>
      <c r="DT2" s="111"/>
      <c r="DU2" s="111" t="s">
        <v>150</v>
      </c>
      <c r="DV2" s="111"/>
      <c r="DW2" s="111"/>
      <c r="DX2" s="111"/>
      <c r="DY2" s="123" t="s">
        <v>151</v>
      </c>
      <c r="DZ2" s="123"/>
      <c r="EA2" s="123"/>
      <c r="EB2" s="123"/>
      <c r="EC2" s="88" t="s">
        <v>152</v>
      </c>
      <c r="ED2" s="88" t="s">
        <v>153</v>
      </c>
      <c r="EE2" s="88" t="s">
        <v>149</v>
      </c>
      <c r="EF2" s="94" t="s">
        <v>159</v>
      </c>
      <c r="EG2" s="94" t="s">
        <v>25</v>
      </c>
      <c r="EH2" s="88" t="s">
        <v>76</v>
      </c>
      <c r="EI2" s="88" t="s">
        <v>154</v>
      </c>
      <c r="EJ2" s="88" t="s">
        <v>19</v>
      </c>
      <c r="EK2" s="112" t="s">
        <v>147</v>
      </c>
      <c r="EL2" s="112"/>
      <c r="EM2" s="112"/>
      <c r="EN2" s="112"/>
      <c r="EO2" s="112" t="s">
        <v>148</v>
      </c>
      <c r="EP2" s="112"/>
      <c r="EQ2" s="112"/>
      <c r="ER2" s="112"/>
      <c r="ES2" s="112" t="s">
        <v>149</v>
      </c>
      <c r="ET2" s="112"/>
      <c r="EU2" s="112"/>
      <c r="EV2" s="112"/>
      <c r="EW2" s="112" t="s">
        <v>150</v>
      </c>
      <c r="EX2" s="112"/>
      <c r="EY2" s="112"/>
      <c r="EZ2" s="112"/>
      <c r="FA2" s="122" t="s">
        <v>151</v>
      </c>
      <c r="FB2" s="122"/>
      <c r="FC2" s="122"/>
      <c r="FD2" s="122"/>
      <c r="FE2" s="89" t="s">
        <v>152</v>
      </c>
      <c r="FF2" s="89" t="s">
        <v>153</v>
      </c>
      <c r="FG2" s="89" t="s">
        <v>149</v>
      </c>
      <c r="FH2" s="95" t="s">
        <v>159</v>
      </c>
      <c r="FI2" s="95" t="s">
        <v>25</v>
      </c>
      <c r="FJ2" s="89" t="s">
        <v>76</v>
      </c>
      <c r="FK2" s="89" t="s">
        <v>154</v>
      </c>
      <c r="FL2" s="89" t="s">
        <v>19</v>
      </c>
      <c r="FM2" s="111" t="s">
        <v>147</v>
      </c>
      <c r="FN2" s="111"/>
      <c r="FO2" s="111"/>
      <c r="FP2" s="111"/>
      <c r="FQ2" s="111" t="s">
        <v>148</v>
      </c>
      <c r="FR2" s="111"/>
      <c r="FS2" s="111"/>
      <c r="FT2" s="111"/>
      <c r="FU2" s="111" t="s">
        <v>149</v>
      </c>
      <c r="FV2" s="111"/>
      <c r="FW2" s="111"/>
      <c r="FX2" s="111"/>
      <c r="FY2" s="111" t="s">
        <v>150</v>
      </c>
      <c r="FZ2" s="111"/>
      <c r="GA2" s="111"/>
      <c r="GB2" s="111"/>
      <c r="GC2" s="123" t="s">
        <v>151</v>
      </c>
      <c r="GD2" s="123"/>
      <c r="GE2" s="123"/>
      <c r="GF2" s="123"/>
      <c r="GG2" s="88" t="s">
        <v>152</v>
      </c>
      <c r="GH2" s="88" t="s">
        <v>153</v>
      </c>
      <c r="GI2" s="88" t="s">
        <v>149</v>
      </c>
      <c r="GJ2" s="94" t="s">
        <v>159</v>
      </c>
      <c r="GK2" s="94" t="s">
        <v>25</v>
      </c>
      <c r="GL2" s="88" t="s">
        <v>76</v>
      </c>
      <c r="GM2" s="88" t="s">
        <v>154</v>
      </c>
      <c r="GN2" s="88" t="s">
        <v>19</v>
      </c>
      <c r="GO2" s="112" t="s">
        <v>147</v>
      </c>
      <c r="GP2" s="112"/>
      <c r="GQ2" s="112"/>
      <c r="GR2" s="112"/>
      <c r="GS2" s="112" t="s">
        <v>148</v>
      </c>
      <c r="GT2" s="112"/>
      <c r="GU2" s="112"/>
      <c r="GV2" s="112"/>
      <c r="GW2" s="112" t="s">
        <v>149</v>
      </c>
      <c r="GX2" s="112"/>
      <c r="GY2" s="112"/>
      <c r="GZ2" s="112"/>
      <c r="HA2" s="112" t="s">
        <v>150</v>
      </c>
      <c r="HB2" s="112"/>
      <c r="HC2" s="112"/>
      <c r="HD2" s="112"/>
      <c r="HE2" s="122" t="s">
        <v>151</v>
      </c>
      <c r="HF2" s="122"/>
      <c r="HG2" s="122"/>
      <c r="HH2" s="122"/>
      <c r="HI2" s="89" t="s">
        <v>152</v>
      </c>
      <c r="HJ2" s="89" t="s">
        <v>153</v>
      </c>
      <c r="HK2" s="89" t="s">
        <v>149</v>
      </c>
      <c r="HL2" s="95" t="s">
        <v>159</v>
      </c>
      <c r="HM2" s="95" t="s">
        <v>25</v>
      </c>
      <c r="HN2" s="89" t="s">
        <v>76</v>
      </c>
      <c r="HO2" s="89" t="s">
        <v>154</v>
      </c>
      <c r="HP2" s="89" t="s">
        <v>19</v>
      </c>
      <c r="HQ2" s="111" t="s">
        <v>147</v>
      </c>
      <c r="HR2" s="111"/>
      <c r="HS2" s="111"/>
      <c r="HT2" s="111"/>
      <c r="HU2" s="111" t="s">
        <v>148</v>
      </c>
      <c r="HV2" s="111"/>
      <c r="HW2" s="111"/>
      <c r="HX2" s="111"/>
      <c r="HY2" s="111" t="s">
        <v>149</v>
      </c>
      <c r="HZ2" s="111"/>
      <c r="IA2" s="111"/>
      <c r="IB2" s="111"/>
      <c r="IC2" s="111" t="s">
        <v>150</v>
      </c>
      <c r="ID2" s="111"/>
      <c r="IE2" s="111"/>
      <c r="IF2" s="111"/>
      <c r="IG2" s="123" t="s">
        <v>151</v>
      </c>
      <c r="IH2" s="123"/>
      <c r="II2" s="123"/>
      <c r="IJ2" s="123"/>
      <c r="IK2" s="88" t="s">
        <v>152</v>
      </c>
      <c r="IL2" s="88" t="s">
        <v>153</v>
      </c>
      <c r="IM2" s="88" t="s">
        <v>149</v>
      </c>
      <c r="IN2" s="94" t="s">
        <v>159</v>
      </c>
      <c r="IO2" s="94" t="s">
        <v>25</v>
      </c>
      <c r="IP2" s="88" t="s">
        <v>76</v>
      </c>
      <c r="IQ2" s="88" t="s">
        <v>154</v>
      </c>
      <c r="IR2" s="88" t="s">
        <v>19</v>
      </c>
      <c r="IS2" s="112" t="s">
        <v>147</v>
      </c>
      <c r="IT2" s="112"/>
      <c r="IU2" s="112"/>
      <c r="IV2" s="112"/>
      <c r="IW2" s="112" t="s">
        <v>148</v>
      </c>
      <c r="IX2" s="112"/>
      <c r="IY2" s="112"/>
      <c r="IZ2" s="112"/>
      <c r="JA2" s="112" t="s">
        <v>149</v>
      </c>
      <c r="JB2" s="112"/>
      <c r="JC2" s="112"/>
      <c r="JD2" s="112"/>
      <c r="JE2" s="112" t="s">
        <v>150</v>
      </c>
      <c r="JF2" s="112"/>
      <c r="JG2" s="112"/>
      <c r="JH2" s="112"/>
      <c r="JI2" s="122" t="s">
        <v>151</v>
      </c>
      <c r="JJ2" s="122"/>
      <c r="JK2" s="122"/>
      <c r="JL2" s="122"/>
      <c r="JM2" s="89" t="s">
        <v>152</v>
      </c>
      <c r="JN2" s="89" t="s">
        <v>153</v>
      </c>
      <c r="JO2" s="89" t="s">
        <v>149</v>
      </c>
      <c r="JP2" s="95" t="s">
        <v>159</v>
      </c>
      <c r="JQ2" s="95" t="s">
        <v>25</v>
      </c>
      <c r="JR2" s="89" t="s">
        <v>76</v>
      </c>
      <c r="JS2" s="89" t="s">
        <v>154</v>
      </c>
      <c r="JT2" s="89" t="s">
        <v>19</v>
      </c>
      <c r="JU2" s="111" t="s">
        <v>147</v>
      </c>
      <c r="JV2" s="111"/>
      <c r="JW2" s="111"/>
      <c r="JX2" s="111"/>
      <c r="JY2" s="111" t="s">
        <v>148</v>
      </c>
      <c r="JZ2" s="111"/>
      <c r="KA2" s="111"/>
      <c r="KB2" s="111"/>
      <c r="KC2" s="111" t="s">
        <v>149</v>
      </c>
      <c r="KD2" s="111"/>
      <c r="KE2" s="111"/>
      <c r="KF2" s="111"/>
      <c r="KG2" s="111" t="s">
        <v>150</v>
      </c>
      <c r="KH2" s="111"/>
      <c r="KI2" s="111"/>
      <c r="KJ2" s="111"/>
      <c r="KK2" s="123" t="s">
        <v>151</v>
      </c>
      <c r="KL2" s="123"/>
      <c r="KM2" s="123"/>
      <c r="KN2" s="123"/>
      <c r="KO2" s="88" t="s">
        <v>152</v>
      </c>
      <c r="KP2" s="88" t="s">
        <v>153</v>
      </c>
      <c r="KQ2" s="88" t="s">
        <v>149</v>
      </c>
      <c r="KR2" s="94" t="s">
        <v>159</v>
      </c>
      <c r="KS2" s="94" t="s">
        <v>25</v>
      </c>
      <c r="KT2" s="88" t="s">
        <v>76</v>
      </c>
      <c r="KU2" s="88" t="s">
        <v>154</v>
      </c>
      <c r="KV2" s="88" t="s">
        <v>19</v>
      </c>
      <c r="KW2" s="112" t="s">
        <v>147</v>
      </c>
      <c r="KX2" s="112"/>
      <c r="KY2" s="112"/>
      <c r="KZ2" s="112"/>
      <c r="LA2" s="112" t="s">
        <v>148</v>
      </c>
      <c r="LB2" s="112"/>
      <c r="LC2" s="112"/>
      <c r="LD2" s="112"/>
      <c r="LE2" s="112" t="s">
        <v>149</v>
      </c>
      <c r="LF2" s="112"/>
      <c r="LG2" s="112"/>
      <c r="LH2" s="112"/>
      <c r="LI2" s="112" t="s">
        <v>150</v>
      </c>
      <c r="LJ2" s="112"/>
      <c r="LK2" s="112"/>
      <c r="LL2" s="112"/>
      <c r="LM2" s="122" t="s">
        <v>151</v>
      </c>
      <c r="LN2" s="122"/>
      <c r="LO2" s="122"/>
      <c r="LP2" s="122"/>
      <c r="LQ2" s="89" t="s">
        <v>152</v>
      </c>
      <c r="LR2" s="89" t="s">
        <v>153</v>
      </c>
      <c r="LS2" s="89" t="s">
        <v>149</v>
      </c>
      <c r="LT2" s="95" t="s">
        <v>159</v>
      </c>
      <c r="LU2" s="95" t="s">
        <v>25</v>
      </c>
      <c r="LV2" s="89" t="s">
        <v>76</v>
      </c>
      <c r="LW2" s="89" t="s">
        <v>154</v>
      </c>
      <c r="LX2" s="89" t="s">
        <v>19</v>
      </c>
      <c r="LY2" s="111" t="s">
        <v>147</v>
      </c>
      <c r="LZ2" s="111"/>
      <c r="MA2" s="111"/>
      <c r="MB2" s="111"/>
      <c r="MC2" s="111" t="s">
        <v>148</v>
      </c>
      <c r="MD2" s="111"/>
      <c r="ME2" s="111"/>
      <c r="MF2" s="111"/>
      <c r="MG2" s="111" t="s">
        <v>149</v>
      </c>
      <c r="MH2" s="111"/>
      <c r="MI2" s="111"/>
      <c r="MJ2" s="111"/>
      <c r="MK2" s="111" t="s">
        <v>150</v>
      </c>
      <c r="ML2" s="111"/>
      <c r="MM2" s="111"/>
      <c r="MN2" s="111"/>
      <c r="MO2" s="123" t="s">
        <v>151</v>
      </c>
      <c r="MP2" s="123"/>
      <c r="MQ2" s="123"/>
      <c r="MR2" s="123"/>
      <c r="MS2" s="88" t="s">
        <v>152</v>
      </c>
      <c r="MT2" s="88" t="s">
        <v>153</v>
      </c>
      <c r="MU2" s="88" t="s">
        <v>149</v>
      </c>
      <c r="MV2" s="94" t="s">
        <v>159</v>
      </c>
      <c r="MW2" s="94" t="s">
        <v>25</v>
      </c>
      <c r="MX2" s="88" t="s">
        <v>76</v>
      </c>
      <c r="MY2" s="88" t="s">
        <v>154</v>
      </c>
      <c r="MZ2" s="88" t="s">
        <v>19</v>
      </c>
      <c r="NA2" s="112" t="s">
        <v>147</v>
      </c>
      <c r="NB2" s="112"/>
      <c r="NC2" s="112"/>
      <c r="ND2" s="112"/>
      <c r="NE2" s="112" t="s">
        <v>148</v>
      </c>
      <c r="NF2" s="112"/>
      <c r="NG2" s="112"/>
      <c r="NH2" s="112"/>
      <c r="NI2" s="112" t="s">
        <v>149</v>
      </c>
      <c r="NJ2" s="112"/>
      <c r="NK2" s="112"/>
      <c r="NL2" s="112"/>
      <c r="NM2" s="112" t="s">
        <v>150</v>
      </c>
      <c r="NN2" s="112"/>
      <c r="NO2" s="112"/>
      <c r="NP2" s="112"/>
      <c r="NQ2" s="122" t="s">
        <v>151</v>
      </c>
      <c r="NR2" s="122"/>
      <c r="NS2" s="122"/>
      <c r="NT2" s="122"/>
      <c r="NU2" s="89" t="s">
        <v>152</v>
      </c>
      <c r="NV2" s="89" t="s">
        <v>153</v>
      </c>
      <c r="NW2" s="89" t="s">
        <v>149</v>
      </c>
      <c r="NX2" s="95" t="s">
        <v>159</v>
      </c>
      <c r="NY2" s="95" t="s">
        <v>25</v>
      </c>
      <c r="NZ2" s="89" t="s">
        <v>76</v>
      </c>
      <c r="OA2" s="89" t="s">
        <v>154</v>
      </c>
      <c r="OB2" s="89" t="s">
        <v>19</v>
      </c>
      <c r="OC2" s="111" t="s">
        <v>147</v>
      </c>
      <c r="OD2" s="111"/>
      <c r="OE2" s="111"/>
      <c r="OF2" s="111"/>
      <c r="OG2" s="111" t="s">
        <v>148</v>
      </c>
      <c r="OH2" s="111"/>
      <c r="OI2" s="111"/>
      <c r="OJ2" s="111"/>
      <c r="OK2" s="111" t="s">
        <v>149</v>
      </c>
      <c r="OL2" s="111"/>
      <c r="OM2" s="111"/>
      <c r="ON2" s="111"/>
      <c r="OO2" s="111" t="s">
        <v>150</v>
      </c>
      <c r="OP2" s="111"/>
      <c r="OQ2" s="111"/>
      <c r="OR2" s="111"/>
      <c r="OS2" s="123" t="s">
        <v>151</v>
      </c>
      <c r="OT2" s="123"/>
      <c r="OU2" s="123"/>
      <c r="OV2" s="123"/>
      <c r="OW2" s="88" t="s">
        <v>152</v>
      </c>
      <c r="OX2" s="88" t="s">
        <v>153</v>
      </c>
      <c r="OY2" s="88" t="s">
        <v>149</v>
      </c>
      <c r="OZ2" s="94" t="s">
        <v>159</v>
      </c>
      <c r="PA2" s="94" t="s">
        <v>25</v>
      </c>
      <c r="PB2" s="88" t="s">
        <v>76</v>
      </c>
      <c r="PC2" s="88" t="s">
        <v>154</v>
      </c>
      <c r="PD2" s="88" t="s">
        <v>19</v>
      </c>
      <c r="PE2" s="112" t="s">
        <v>147</v>
      </c>
      <c r="PF2" s="112"/>
      <c r="PG2" s="112"/>
      <c r="PH2" s="112"/>
      <c r="PI2" s="112" t="s">
        <v>148</v>
      </c>
      <c r="PJ2" s="112"/>
      <c r="PK2" s="112"/>
      <c r="PL2" s="112"/>
      <c r="PM2" s="112" t="s">
        <v>149</v>
      </c>
      <c r="PN2" s="112"/>
      <c r="PO2" s="112"/>
      <c r="PP2" s="112"/>
      <c r="PQ2" s="112" t="s">
        <v>150</v>
      </c>
      <c r="PR2" s="112"/>
      <c r="PS2" s="112"/>
      <c r="PT2" s="112"/>
      <c r="PU2" s="122" t="s">
        <v>151</v>
      </c>
      <c r="PV2" s="122"/>
      <c r="PW2" s="122"/>
      <c r="PX2" s="122"/>
      <c r="PY2" s="89" t="s">
        <v>152</v>
      </c>
      <c r="PZ2" s="89" t="s">
        <v>153</v>
      </c>
      <c r="QA2" s="89" t="s">
        <v>149</v>
      </c>
      <c r="QB2" s="95" t="s">
        <v>159</v>
      </c>
      <c r="QC2" s="95" t="s">
        <v>25</v>
      </c>
      <c r="QD2" s="89" t="s">
        <v>76</v>
      </c>
      <c r="QE2" s="89" t="s">
        <v>154</v>
      </c>
      <c r="QF2" s="89" t="s">
        <v>19</v>
      </c>
      <c r="QG2" s="111" t="s">
        <v>147</v>
      </c>
      <c r="QH2" s="111"/>
      <c r="QI2" s="111"/>
      <c r="QJ2" s="111"/>
      <c r="QK2" s="111" t="s">
        <v>148</v>
      </c>
      <c r="QL2" s="111"/>
      <c r="QM2" s="111"/>
      <c r="QN2" s="111"/>
      <c r="QO2" s="111" t="s">
        <v>149</v>
      </c>
      <c r="QP2" s="111"/>
      <c r="QQ2" s="111"/>
      <c r="QR2" s="111"/>
      <c r="QS2" s="111" t="s">
        <v>150</v>
      </c>
      <c r="QT2" s="111"/>
      <c r="QU2" s="111"/>
      <c r="QV2" s="111"/>
      <c r="QW2" s="121" t="s">
        <v>151</v>
      </c>
      <c r="QX2" s="121"/>
      <c r="QY2" s="121"/>
      <c r="QZ2" s="121"/>
      <c r="RA2" s="88"/>
      <c r="RB2" s="88" t="s">
        <v>152</v>
      </c>
      <c r="RC2" s="88" t="s">
        <v>153</v>
      </c>
      <c r="RD2" s="88" t="s">
        <v>149</v>
      </c>
      <c r="RE2" s="94" t="s">
        <v>159</v>
      </c>
      <c r="RF2" s="94" t="s">
        <v>25</v>
      </c>
      <c r="RG2" s="88" t="s">
        <v>76</v>
      </c>
      <c r="RH2" s="88" t="s">
        <v>154</v>
      </c>
      <c r="RI2" s="88" t="s">
        <v>19</v>
      </c>
    </row>
    <row r="3" spans="1:477" x14ac:dyDescent="0.2">
      <c r="A3" s="117"/>
      <c r="B3" s="117"/>
      <c r="C3" s="117"/>
      <c r="D3" s="117"/>
      <c r="E3" s="117"/>
      <c r="F3" s="119"/>
      <c r="G3" s="119"/>
      <c r="H3" s="117"/>
      <c r="I3" s="119"/>
      <c r="J3" s="118"/>
      <c r="K3" s="116"/>
      <c r="L3" s="118"/>
      <c r="M3" s="116"/>
      <c r="N3" s="118"/>
      <c r="O3" s="116"/>
      <c r="P3" s="118"/>
      <c r="Q3" s="116"/>
      <c r="R3" s="116"/>
      <c r="S3" s="116"/>
      <c r="T3" s="120"/>
      <c r="U3" s="116"/>
      <c r="V3" s="116"/>
      <c r="W3" s="88" t="s">
        <v>16</v>
      </c>
      <c r="X3" s="88" t="s">
        <v>11</v>
      </c>
      <c r="Y3" s="88" t="s">
        <v>34</v>
      </c>
      <c r="Z3" s="88" t="s">
        <v>35</v>
      </c>
      <c r="AA3" s="88" t="s">
        <v>16</v>
      </c>
      <c r="AB3" s="88" t="s">
        <v>11</v>
      </c>
      <c r="AC3" s="88" t="s">
        <v>34</v>
      </c>
      <c r="AD3" s="88" t="s">
        <v>35</v>
      </c>
      <c r="AE3" s="88" t="s">
        <v>16</v>
      </c>
      <c r="AF3" s="88" t="s">
        <v>11</v>
      </c>
      <c r="AG3" s="88" t="s">
        <v>34</v>
      </c>
      <c r="AH3" s="88" t="s">
        <v>35</v>
      </c>
      <c r="AI3" s="88" t="s">
        <v>16</v>
      </c>
      <c r="AJ3" s="88" t="s">
        <v>11</v>
      </c>
      <c r="AK3" s="88" t="s">
        <v>34</v>
      </c>
      <c r="AL3" s="88" t="s">
        <v>35</v>
      </c>
      <c r="AM3" s="90" t="s">
        <v>16</v>
      </c>
      <c r="AN3" s="90" t="s">
        <v>11</v>
      </c>
      <c r="AO3" s="90" t="s">
        <v>34</v>
      </c>
      <c r="AP3" s="90" t="s">
        <v>35</v>
      </c>
      <c r="AQ3" s="88" t="s">
        <v>60</v>
      </c>
      <c r="AR3" s="88"/>
      <c r="AS3" s="88"/>
      <c r="AT3" s="88"/>
      <c r="AU3" s="94"/>
      <c r="AV3" s="94"/>
      <c r="AW3" s="88"/>
      <c r="AX3" s="88"/>
      <c r="AY3" s="88"/>
      <c r="AZ3" s="89" t="s">
        <v>16</v>
      </c>
      <c r="BA3" s="89" t="s">
        <v>11</v>
      </c>
      <c r="BB3" s="89" t="s">
        <v>34</v>
      </c>
      <c r="BC3" s="89" t="s">
        <v>35</v>
      </c>
      <c r="BD3" s="89" t="s">
        <v>16</v>
      </c>
      <c r="BE3" s="89" t="s">
        <v>11</v>
      </c>
      <c r="BF3" s="89" t="s">
        <v>34</v>
      </c>
      <c r="BG3" s="89" t="s">
        <v>35</v>
      </c>
      <c r="BH3" s="89" t="s">
        <v>16</v>
      </c>
      <c r="BI3" s="89" t="s">
        <v>11</v>
      </c>
      <c r="BJ3" s="89" t="s">
        <v>34</v>
      </c>
      <c r="BK3" s="89" t="s">
        <v>35</v>
      </c>
      <c r="BL3" s="89" t="s">
        <v>16</v>
      </c>
      <c r="BM3" s="89" t="s">
        <v>11</v>
      </c>
      <c r="BN3" s="89" t="s">
        <v>34</v>
      </c>
      <c r="BO3" s="89" t="s">
        <v>35</v>
      </c>
      <c r="BP3" s="91" t="s">
        <v>16</v>
      </c>
      <c r="BQ3" s="91" t="s">
        <v>11</v>
      </c>
      <c r="BR3" s="91" t="s">
        <v>34</v>
      </c>
      <c r="BS3" s="91" t="s">
        <v>35</v>
      </c>
      <c r="BT3" s="89" t="s">
        <v>60</v>
      </c>
      <c r="BU3" s="89"/>
      <c r="BV3" s="89"/>
      <c r="BW3" s="89"/>
      <c r="BX3" s="95"/>
      <c r="BY3" s="95"/>
      <c r="BZ3" s="89"/>
      <c r="CA3" s="89"/>
      <c r="CB3" s="89"/>
      <c r="CC3" s="88" t="s">
        <v>16</v>
      </c>
      <c r="CD3" s="88" t="s">
        <v>11</v>
      </c>
      <c r="CE3" s="88" t="s">
        <v>34</v>
      </c>
      <c r="CF3" s="88" t="s">
        <v>35</v>
      </c>
      <c r="CG3" s="88" t="s">
        <v>16</v>
      </c>
      <c r="CH3" s="88" t="s">
        <v>11</v>
      </c>
      <c r="CI3" s="88" t="s">
        <v>34</v>
      </c>
      <c r="CJ3" s="88" t="s">
        <v>35</v>
      </c>
      <c r="CK3" s="88" t="s">
        <v>16</v>
      </c>
      <c r="CL3" s="88" t="s">
        <v>11</v>
      </c>
      <c r="CM3" s="88" t="s">
        <v>34</v>
      </c>
      <c r="CN3" s="88" t="s">
        <v>35</v>
      </c>
      <c r="CO3" s="88" t="s">
        <v>16</v>
      </c>
      <c r="CP3" s="88" t="s">
        <v>11</v>
      </c>
      <c r="CQ3" s="88" t="s">
        <v>34</v>
      </c>
      <c r="CR3" s="88" t="s">
        <v>35</v>
      </c>
      <c r="CS3" s="90" t="s">
        <v>16</v>
      </c>
      <c r="CT3" s="90" t="s">
        <v>11</v>
      </c>
      <c r="CU3" s="90" t="s">
        <v>34</v>
      </c>
      <c r="CV3" s="90" t="s">
        <v>35</v>
      </c>
      <c r="CW3" s="88" t="s">
        <v>60</v>
      </c>
      <c r="CX3" s="88"/>
      <c r="CY3" s="88"/>
      <c r="CZ3" s="88"/>
      <c r="DA3" s="94"/>
      <c r="DB3" s="94"/>
      <c r="DC3" s="88"/>
      <c r="DD3" s="88"/>
      <c r="DE3" s="88"/>
      <c r="DF3" s="86"/>
      <c r="DG3" s="86"/>
      <c r="DH3" s="86"/>
      <c r="DI3" s="88" t="s">
        <v>16</v>
      </c>
      <c r="DJ3" s="88" t="s">
        <v>11</v>
      </c>
      <c r="DK3" s="88" t="s">
        <v>34</v>
      </c>
      <c r="DL3" s="88" t="s">
        <v>35</v>
      </c>
      <c r="DM3" s="88" t="s">
        <v>16</v>
      </c>
      <c r="DN3" s="88" t="s">
        <v>11</v>
      </c>
      <c r="DO3" s="88" t="s">
        <v>34</v>
      </c>
      <c r="DP3" s="88" t="s">
        <v>35</v>
      </c>
      <c r="DQ3" s="88" t="s">
        <v>16</v>
      </c>
      <c r="DR3" s="88" t="s">
        <v>11</v>
      </c>
      <c r="DS3" s="88" t="s">
        <v>34</v>
      </c>
      <c r="DT3" s="88" t="s">
        <v>35</v>
      </c>
      <c r="DU3" s="88" t="s">
        <v>16</v>
      </c>
      <c r="DV3" s="88" t="s">
        <v>11</v>
      </c>
      <c r="DW3" s="88" t="s">
        <v>34</v>
      </c>
      <c r="DX3" s="88" t="s">
        <v>35</v>
      </c>
      <c r="DY3" s="92" t="s">
        <v>16</v>
      </c>
      <c r="DZ3" s="92" t="s">
        <v>11</v>
      </c>
      <c r="EA3" s="92" t="s">
        <v>34</v>
      </c>
      <c r="EB3" s="92" t="s">
        <v>35</v>
      </c>
      <c r="EC3" s="88"/>
      <c r="ED3" s="88"/>
      <c r="EE3" s="88"/>
      <c r="EF3" s="94"/>
      <c r="EG3" s="94"/>
      <c r="EH3" s="88"/>
      <c r="EI3" s="88"/>
      <c r="EJ3" s="88"/>
      <c r="EK3" s="89" t="s">
        <v>16</v>
      </c>
      <c r="EL3" s="89" t="s">
        <v>11</v>
      </c>
      <c r="EM3" s="89" t="s">
        <v>34</v>
      </c>
      <c r="EN3" s="89" t="s">
        <v>35</v>
      </c>
      <c r="EO3" s="89" t="s">
        <v>16</v>
      </c>
      <c r="EP3" s="89" t="s">
        <v>11</v>
      </c>
      <c r="EQ3" s="89" t="s">
        <v>34</v>
      </c>
      <c r="ER3" s="89" t="s">
        <v>35</v>
      </c>
      <c r="ES3" s="89" t="s">
        <v>16</v>
      </c>
      <c r="ET3" s="89" t="s">
        <v>11</v>
      </c>
      <c r="EU3" s="89" t="s">
        <v>34</v>
      </c>
      <c r="EV3" s="89" t="s">
        <v>35</v>
      </c>
      <c r="EW3" s="89" t="s">
        <v>16</v>
      </c>
      <c r="EX3" s="89" t="s">
        <v>11</v>
      </c>
      <c r="EY3" s="89" t="s">
        <v>34</v>
      </c>
      <c r="EZ3" s="89" t="s">
        <v>35</v>
      </c>
      <c r="FA3" s="91" t="s">
        <v>16</v>
      </c>
      <c r="FB3" s="91" t="s">
        <v>11</v>
      </c>
      <c r="FC3" s="91" t="s">
        <v>34</v>
      </c>
      <c r="FD3" s="91" t="s">
        <v>35</v>
      </c>
      <c r="FE3" s="89"/>
      <c r="FF3" s="89"/>
      <c r="FG3" s="89"/>
      <c r="FH3" s="95"/>
      <c r="FI3" s="95"/>
      <c r="FJ3" s="89"/>
      <c r="FK3" s="89"/>
      <c r="FL3" s="89"/>
      <c r="FM3" s="88" t="s">
        <v>16</v>
      </c>
      <c r="FN3" s="88" t="s">
        <v>11</v>
      </c>
      <c r="FO3" s="88" t="s">
        <v>34</v>
      </c>
      <c r="FP3" s="88" t="s">
        <v>35</v>
      </c>
      <c r="FQ3" s="88" t="s">
        <v>16</v>
      </c>
      <c r="FR3" s="88" t="s">
        <v>11</v>
      </c>
      <c r="FS3" s="88" t="s">
        <v>34</v>
      </c>
      <c r="FT3" s="88" t="s">
        <v>35</v>
      </c>
      <c r="FU3" s="88" t="s">
        <v>16</v>
      </c>
      <c r="FV3" s="88" t="s">
        <v>11</v>
      </c>
      <c r="FW3" s="88" t="s">
        <v>34</v>
      </c>
      <c r="FX3" s="88" t="s">
        <v>35</v>
      </c>
      <c r="FY3" s="88" t="s">
        <v>16</v>
      </c>
      <c r="FZ3" s="88" t="s">
        <v>11</v>
      </c>
      <c r="GA3" s="88" t="s">
        <v>34</v>
      </c>
      <c r="GB3" s="88" t="s">
        <v>35</v>
      </c>
      <c r="GC3" s="92" t="s">
        <v>16</v>
      </c>
      <c r="GD3" s="92" t="s">
        <v>11</v>
      </c>
      <c r="GE3" s="92" t="s">
        <v>34</v>
      </c>
      <c r="GF3" s="92" t="s">
        <v>35</v>
      </c>
      <c r="GG3" s="88"/>
      <c r="GH3" s="88"/>
      <c r="GI3" s="88"/>
      <c r="GJ3" s="94"/>
      <c r="GK3" s="94"/>
      <c r="GL3" s="88"/>
      <c r="GM3" s="88"/>
      <c r="GN3" s="88"/>
      <c r="GO3" s="89" t="s">
        <v>16</v>
      </c>
      <c r="GP3" s="89" t="s">
        <v>11</v>
      </c>
      <c r="GQ3" s="89" t="s">
        <v>34</v>
      </c>
      <c r="GR3" s="89" t="s">
        <v>35</v>
      </c>
      <c r="GS3" s="89" t="s">
        <v>16</v>
      </c>
      <c r="GT3" s="89" t="s">
        <v>11</v>
      </c>
      <c r="GU3" s="89" t="s">
        <v>34</v>
      </c>
      <c r="GV3" s="89" t="s">
        <v>35</v>
      </c>
      <c r="GW3" s="89" t="s">
        <v>16</v>
      </c>
      <c r="GX3" s="89" t="s">
        <v>11</v>
      </c>
      <c r="GY3" s="89" t="s">
        <v>34</v>
      </c>
      <c r="GZ3" s="89" t="s">
        <v>35</v>
      </c>
      <c r="HA3" s="89" t="s">
        <v>16</v>
      </c>
      <c r="HB3" s="89" t="s">
        <v>11</v>
      </c>
      <c r="HC3" s="89" t="s">
        <v>34</v>
      </c>
      <c r="HD3" s="89" t="s">
        <v>35</v>
      </c>
      <c r="HE3" s="91" t="s">
        <v>16</v>
      </c>
      <c r="HF3" s="91" t="s">
        <v>11</v>
      </c>
      <c r="HG3" s="91" t="s">
        <v>34</v>
      </c>
      <c r="HH3" s="91" t="s">
        <v>35</v>
      </c>
      <c r="HI3" s="89"/>
      <c r="HJ3" s="89"/>
      <c r="HK3" s="89"/>
      <c r="HL3" s="95"/>
      <c r="HM3" s="95"/>
      <c r="HN3" s="89"/>
      <c r="HO3" s="89"/>
      <c r="HP3" s="89"/>
      <c r="HQ3" s="88" t="s">
        <v>16</v>
      </c>
      <c r="HR3" s="88" t="s">
        <v>11</v>
      </c>
      <c r="HS3" s="88" t="s">
        <v>34</v>
      </c>
      <c r="HT3" s="88" t="s">
        <v>35</v>
      </c>
      <c r="HU3" s="88" t="s">
        <v>16</v>
      </c>
      <c r="HV3" s="88" t="s">
        <v>11</v>
      </c>
      <c r="HW3" s="88" t="s">
        <v>34</v>
      </c>
      <c r="HX3" s="88" t="s">
        <v>35</v>
      </c>
      <c r="HY3" s="88" t="s">
        <v>16</v>
      </c>
      <c r="HZ3" s="88" t="s">
        <v>11</v>
      </c>
      <c r="IA3" s="88" t="s">
        <v>34</v>
      </c>
      <c r="IB3" s="88" t="s">
        <v>35</v>
      </c>
      <c r="IC3" s="88" t="s">
        <v>16</v>
      </c>
      <c r="ID3" s="88" t="s">
        <v>11</v>
      </c>
      <c r="IE3" s="88" t="s">
        <v>34</v>
      </c>
      <c r="IF3" s="88" t="s">
        <v>35</v>
      </c>
      <c r="IG3" s="92" t="s">
        <v>16</v>
      </c>
      <c r="IH3" s="92" t="s">
        <v>11</v>
      </c>
      <c r="II3" s="92" t="s">
        <v>34</v>
      </c>
      <c r="IJ3" s="92" t="s">
        <v>35</v>
      </c>
      <c r="IK3" s="88"/>
      <c r="IL3" s="88"/>
      <c r="IM3" s="88"/>
      <c r="IN3" s="94"/>
      <c r="IO3" s="94"/>
      <c r="IP3" s="88"/>
      <c r="IQ3" s="88"/>
      <c r="IR3" s="88"/>
      <c r="IS3" s="89" t="s">
        <v>16</v>
      </c>
      <c r="IT3" s="89" t="s">
        <v>11</v>
      </c>
      <c r="IU3" s="89" t="s">
        <v>34</v>
      </c>
      <c r="IV3" s="89" t="s">
        <v>35</v>
      </c>
      <c r="IW3" s="89" t="s">
        <v>16</v>
      </c>
      <c r="IX3" s="89" t="s">
        <v>11</v>
      </c>
      <c r="IY3" s="89" t="s">
        <v>34</v>
      </c>
      <c r="IZ3" s="89" t="s">
        <v>35</v>
      </c>
      <c r="JA3" s="89" t="s">
        <v>16</v>
      </c>
      <c r="JB3" s="89" t="s">
        <v>11</v>
      </c>
      <c r="JC3" s="89" t="s">
        <v>34</v>
      </c>
      <c r="JD3" s="89" t="s">
        <v>35</v>
      </c>
      <c r="JE3" s="89" t="s">
        <v>16</v>
      </c>
      <c r="JF3" s="89" t="s">
        <v>11</v>
      </c>
      <c r="JG3" s="89" t="s">
        <v>34</v>
      </c>
      <c r="JH3" s="89" t="s">
        <v>35</v>
      </c>
      <c r="JI3" s="91" t="s">
        <v>16</v>
      </c>
      <c r="JJ3" s="91" t="s">
        <v>11</v>
      </c>
      <c r="JK3" s="91" t="s">
        <v>34</v>
      </c>
      <c r="JL3" s="91" t="s">
        <v>35</v>
      </c>
      <c r="JM3" s="89"/>
      <c r="JN3" s="89"/>
      <c r="JO3" s="89"/>
      <c r="JP3" s="95"/>
      <c r="JQ3" s="95"/>
      <c r="JR3" s="89"/>
      <c r="JS3" s="89"/>
      <c r="JT3" s="89"/>
      <c r="JU3" s="88" t="s">
        <v>16</v>
      </c>
      <c r="JV3" s="88" t="s">
        <v>11</v>
      </c>
      <c r="JW3" s="88" t="s">
        <v>34</v>
      </c>
      <c r="JX3" s="88" t="s">
        <v>35</v>
      </c>
      <c r="JY3" s="88" t="s">
        <v>16</v>
      </c>
      <c r="JZ3" s="88" t="s">
        <v>11</v>
      </c>
      <c r="KA3" s="88" t="s">
        <v>34</v>
      </c>
      <c r="KB3" s="88" t="s">
        <v>35</v>
      </c>
      <c r="KC3" s="88" t="s">
        <v>16</v>
      </c>
      <c r="KD3" s="88" t="s">
        <v>11</v>
      </c>
      <c r="KE3" s="88" t="s">
        <v>34</v>
      </c>
      <c r="KF3" s="88" t="s">
        <v>35</v>
      </c>
      <c r="KG3" s="88" t="s">
        <v>16</v>
      </c>
      <c r="KH3" s="88" t="s">
        <v>11</v>
      </c>
      <c r="KI3" s="88" t="s">
        <v>34</v>
      </c>
      <c r="KJ3" s="88" t="s">
        <v>35</v>
      </c>
      <c r="KK3" s="92" t="s">
        <v>16</v>
      </c>
      <c r="KL3" s="92" t="s">
        <v>11</v>
      </c>
      <c r="KM3" s="92" t="s">
        <v>34</v>
      </c>
      <c r="KN3" s="92" t="s">
        <v>35</v>
      </c>
      <c r="KO3" s="88"/>
      <c r="KP3" s="88"/>
      <c r="KQ3" s="88"/>
      <c r="KR3" s="94"/>
      <c r="KS3" s="94"/>
      <c r="KT3" s="88"/>
      <c r="KU3" s="88"/>
      <c r="KV3" s="88"/>
      <c r="KW3" s="89" t="s">
        <v>16</v>
      </c>
      <c r="KX3" s="89" t="s">
        <v>11</v>
      </c>
      <c r="KY3" s="89" t="s">
        <v>34</v>
      </c>
      <c r="KZ3" s="89" t="s">
        <v>35</v>
      </c>
      <c r="LA3" s="89" t="s">
        <v>16</v>
      </c>
      <c r="LB3" s="89" t="s">
        <v>11</v>
      </c>
      <c r="LC3" s="89" t="s">
        <v>34</v>
      </c>
      <c r="LD3" s="89" t="s">
        <v>35</v>
      </c>
      <c r="LE3" s="89" t="s">
        <v>16</v>
      </c>
      <c r="LF3" s="89" t="s">
        <v>11</v>
      </c>
      <c r="LG3" s="89" t="s">
        <v>34</v>
      </c>
      <c r="LH3" s="89" t="s">
        <v>35</v>
      </c>
      <c r="LI3" s="89" t="s">
        <v>16</v>
      </c>
      <c r="LJ3" s="89" t="s">
        <v>11</v>
      </c>
      <c r="LK3" s="89" t="s">
        <v>34</v>
      </c>
      <c r="LL3" s="89" t="s">
        <v>35</v>
      </c>
      <c r="LM3" s="91" t="s">
        <v>16</v>
      </c>
      <c r="LN3" s="91" t="s">
        <v>11</v>
      </c>
      <c r="LO3" s="91" t="s">
        <v>34</v>
      </c>
      <c r="LP3" s="91" t="s">
        <v>35</v>
      </c>
      <c r="LQ3" s="89"/>
      <c r="LR3" s="89"/>
      <c r="LS3" s="89"/>
      <c r="LT3" s="95"/>
      <c r="LU3" s="95"/>
      <c r="LV3" s="89"/>
      <c r="LW3" s="89"/>
      <c r="LX3" s="89"/>
      <c r="LY3" s="88" t="s">
        <v>16</v>
      </c>
      <c r="LZ3" s="88" t="s">
        <v>11</v>
      </c>
      <c r="MA3" s="88" t="s">
        <v>34</v>
      </c>
      <c r="MB3" s="88" t="s">
        <v>35</v>
      </c>
      <c r="MC3" s="88" t="s">
        <v>16</v>
      </c>
      <c r="MD3" s="88" t="s">
        <v>11</v>
      </c>
      <c r="ME3" s="88" t="s">
        <v>34</v>
      </c>
      <c r="MF3" s="88" t="s">
        <v>35</v>
      </c>
      <c r="MG3" s="88" t="s">
        <v>16</v>
      </c>
      <c r="MH3" s="88" t="s">
        <v>11</v>
      </c>
      <c r="MI3" s="88" t="s">
        <v>34</v>
      </c>
      <c r="MJ3" s="88" t="s">
        <v>35</v>
      </c>
      <c r="MK3" s="88" t="s">
        <v>16</v>
      </c>
      <c r="ML3" s="88" t="s">
        <v>11</v>
      </c>
      <c r="MM3" s="88" t="s">
        <v>34</v>
      </c>
      <c r="MN3" s="88" t="s">
        <v>35</v>
      </c>
      <c r="MO3" s="92" t="s">
        <v>16</v>
      </c>
      <c r="MP3" s="92" t="s">
        <v>11</v>
      </c>
      <c r="MQ3" s="92" t="s">
        <v>34</v>
      </c>
      <c r="MR3" s="92" t="s">
        <v>35</v>
      </c>
      <c r="MS3" s="88"/>
      <c r="MT3" s="88"/>
      <c r="MU3" s="88"/>
      <c r="MV3" s="94"/>
      <c r="MW3" s="94"/>
      <c r="MX3" s="88"/>
      <c r="MY3" s="88"/>
      <c r="MZ3" s="88"/>
      <c r="NA3" s="89" t="s">
        <v>16</v>
      </c>
      <c r="NB3" s="89" t="s">
        <v>11</v>
      </c>
      <c r="NC3" s="89" t="s">
        <v>34</v>
      </c>
      <c r="ND3" s="89" t="s">
        <v>35</v>
      </c>
      <c r="NE3" s="89" t="s">
        <v>16</v>
      </c>
      <c r="NF3" s="89" t="s">
        <v>11</v>
      </c>
      <c r="NG3" s="89" t="s">
        <v>34</v>
      </c>
      <c r="NH3" s="89" t="s">
        <v>35</v>
      </c>
      <c r="NI3" s="89" t="s">
        <v>16</v>
      </c>
      <c r="NJ3" s="89" t="s">
        <v>11</v>
      </c>
      <c r="NK3" s="89" t="s">
        <v>34</v>
      </c>
      <c r="NL3" s="89" t="s">
        <v>35</v>
      </c>
      <c r="NM3" s="89" t="s">
        <v>16</v>
      </c>
      <c r="NN3" s="89" t="s">
        <v>11</v>
      </c>
      <c r="NO3" s="89" t="s">
        <v>34</v>
      </c>
      <c r="NP3" s="89" t="s">
        <v>35</v>
      </c>
      <c r="NQ3" s="91" t="s">
        <v>16</v>
      </c>
      <c r="NR3" s="91" t="s">
        <v>11</v>
      </c>
      <c r="NS3" s="91" t="s">
        <v>34</v>
      </c>
      <c r="NT3" s="91" t="s">
        <v>35</v>
      </c>
      <c r="NU3" s="89"/>
      <c r="NV3" s="89"/>
      <c r="NW3" s="89"/>
      <c r="NX3" s="95"/>
      <c r="NY3" s="95"/>
      <c r="NZ3" s="89"/>
      <c r="OA3" s="89"/>
      <c r="OB3" s="89"/>
      <c r="OC3" s="88" t="s">
        <v>16</v>
      </c>
      <c r="OD3" s="88" t="s">
        <v>11</v>
      </c>
      <c r="OE3" s="88" t="s">
        <v>34</v>
      </c>
      <c r="OF3" s="88" t="s">
        <v>35</v>
      </c>
      <c r="OG3" s="88" t="s">
        <v>16</v>
      </c>
      <c r="OH3" s="88" t="s">
        <v>11</v>
      </c>
      <c r="OI3" s="88" t="s">
        <v>34</v>
      </c>
      <c r="OJ3" s="88" t="s">
        <v>35</v>
      </c>
      <c r="OK3" s="88" t="s">
        <v>16</v>
      </c>
      <c r="OL3" s="88" t="s">
        <v>11</v>
      </c>
      <c r="OM3" s="88" t="s">
        <v>34</v>
      </c>
      <c r="ON3" s="88" t="s">
        <v>35</v>
      </c>
      <c r="OO3" s="88" t="s">
        <v>16</v>
      </c>
      <c r="OP3" s="88" t="s">
        <v>11</v>
      </c>
      <c r="OQ3" s="88" t="s">
        <v>34</v>
      </c>
      <c r="OR3" s="88" t="s">
        <v>35</v>
      </c>
      <c r="OS3" s="92" t="s">
        <v>16</v>
      </c>
      <c r="OT3" s="92" t="s">
        <v>11</v>
      </c>
      <c r="OU3" s="92" t="s">
        <v>34</v>
      </c>
      <c r="OV3" s="92" t="s">
        <v>35</v>
      </c>
      <c r="OW3" s="88"/>
      <c r="OX3" s="88"/>
      <c r="OY3" s="88"/>
      <c r="OZ3" s="94"/>
      <c r="PA3" s="94"/>
      <c r="PB3" s="88"/>
      <c r="PC3" s="88"/>
      <c r="PD3" s="88"/>
      <c r="PE3" s="89" t="s">
        <v>16</v>
      </c>
      <c r="PF3" s="89" t="s">
        <v>11</v>
      </c>
      <c r="PG3" s="89" t="s">
        <v>34</v>
      </c>
      <c r="PH3" s="89" t="s">
        <v>35</v>
      </c>
      <c r="PI3" s="89" t="s">
        <v>16</v>
      </c>
      <c r="PJ3" s="89" t="s">
        <v>11</v>
      </c>
      <c r="PK3" s="89" t="s">
        <v>34</v>
      </c>
      <c r="PL3" s="89" t="s">
        <v>35</v>
      </c>
      <c r="PM3" s="89" t="s">
        <v>16</v>
      </c>
      <c r="PN3" s="89" t="s">
        <v>11</v>
      </c>
      <c r="PO3" s="89" t="s">
        <v>34</v>
      </c>
      <c r="PP3" s="89" t="s">
        <v>35</v>
      </c>
      <c r="PQ3" s="89" t="s">
        <v>16</v>
      </c>
      <c r="PR3" s="89" t="s">
        <v>11</v>
      </c>
      <c r="PS3" s="89" t="s">
        <v>34</v>
      </c>
      <c r="PT3" s="89" t="s">
        <v>35</v>
      </c>
      <c r="PU3" s="91" t="s">
        <v>16</v>
      </c>
      <c r="PV3" s="91" t="s">
        <v>11</v>
      </c>
      <c r="PW3" s="91" t="s">
        <v>34</v>
      </c>
      <c r="PX3" s="91" t="s">
        <v>35</v>
      </c>
      <c r="PY3" s="89"/>
      <c r="PZ3" s="89"/>
      <c r="QA3" s="89"/>
      <c r="QB3" s="95"/>
      <c r="QC3" s="95"/>
      <c r="QD3" s="89"/>
      <c r="QE3" s="89"/>
      <c r="QF3" s="89"/>
      <c r="QG3" s="88" t="s">
        <v>16</v>
      </c>
      <c r="QH3" s="88" t="s">
        <v>11</v>
      </c>
      <c r="QI3" s="88" t="s">
        <v>34</v>
      </c>
      <c r="QJ3" s="88" t="s">
        <v>35</v>
      </c>
      <c r="QK3" s="88" t="s">
        <v>16</v>
      </c>
      <c r="QL3" s="88" t="s">
        <v>11</v>
      </c>
      <c r="QM3" s="88" t="s">
        <v>34</v>
      </c>
      <c r="QN3" s="88" t="s">
        <v>35</v>
      </c>
      <c r="QO3" s="88" t="s">
        <v>16</v>
      </c>
      <c r="QP3" s="88" t="s">
        <v>11</v>
      </c>
      <c r="QQ3" s="88" t="s">
        <v>34</v>
      </c>
      <c r="QR3" s="88" t="s">
        <v>35</v>
      </c>
      <c r="QS3" s="88" t="s">
        <v>16</v>
      </c>
      <c r="QT3" s="88" t="s">
        <v>11</v>
      </c>
      <c r="QU3" s="88" t="s">
        <v>34</v>
      </c>
      <c r="QV3" s="88" t="s">
        <v>35</v>
      </c>
      <c r="QW3" s="90" t="s">
        <v>16</v>
      </c>
      <c r="QX3" s="90" t="s">
        <v>11</v>
      </c>
      <c r="QY3" s="90" t="s">
        <v>34</v>
      </c>
      <c r="QZ3" s="90" t="s">
        <v>35</v>
      </c>
      <c r="RA3" s="88" t="s">
        <v>60</v>
      </c>
      <c r="RB3" s="88"/>
      <c r="RC3" s="88"/>
      <c r="RD3" s="88"/>
      <c r="RE3" s="94"/>
      <c r="RF3" s="94"/>
      <c r="RG3" s="88"/>
      <c r="RH3" s="88"/>
      <c r="RI3" s="88"/>
    </row>
    <row r="4" spans="1:477" x14ac:dyDescent="0.2">
      <c r="A4" s="5">
        <f>IF(AND(F4="P",G4="P"),SUMPRODUCT((F$4:F$18="P")*(G$4:G$18="P")*(E$4:E$18&gt;E4))+1,IF(G4="P",SUMPRODUCT((F$4:F$18="")*(G$4:G$18="P")*(E$4:E$18&gt;E4))+1+SUMPRODUCT((F$4:F$18="P")*(G$4:G$18="P")),""))</f>
        <v>1</v>
      </c>
      <c r="B4" s="6" t="s">
        <v>98</v>
      </c>
      <c r="C4" s="7" t="s">
        <v>6</v>
      </c>
      <c r="D4" s="18">
        <v>2003</v>
      </c>
      <c r="E4" s="14">
        <f>SUM(J4:T4)+SUM(J4:P4)*0.0000001+SUM(J4)*0.0000000000001</f>
        <v>134.04008790401329</v>
      </c>
      <c r="F4" s="3" t="str">
        <f>IF(OR(AND(AR4&gt;=AY$20,AS4&gt;=AY$24,AR4&lt;&gt;"",AQ4=""),AND(AW4&gt;=AY$20,AX4&gt;=AY$24,AW4&lt;&gt;"",AQ4=""),AND(BU4&gt;=CB$20,BV4&gt;=CB$24,BU4&lt;&gt;"",BT4=""),AND(BZ4&gt;=CB$20,CA4&gt;=CB$24,BZ4&lt;&gt;"",BT4=""),AND(CX4&gt;=DE$20,CY4&gt;=DE$24,CX4&lt;&gt;"",CW4=""),AND(DC4&gt;=DE$20,DD4&gt;=DE$24,DC4&lt;&gt;""),AND(EC4&gt;=EJ$20,ED4&gt;=EJ$24,EC4&lt;&gt;""),AND(EH4&gt;=EJ$20,EI4&gt;=EJ$24,EH4&lt;&gt;""),AND(FE4&gt;=FL$20,FF4&gt;=FL$24,FE4&lt;&gt;""),AND(FJ4&gt;=FL$20,FK4&gt;=FL$24,FJ4&lt;&gt;""),AND(GG4&gt;=GN$20,GH4&gt;=GN$24,GG4&lt;&gt;""),AND(GL4&gt;=GN$20,GM4&gt;=GN$24,GL4&lt;&gt;""),AND(HI4&gt;=HP$20,HJ4&gt;=HP$24,HI4&lt;&gt;""),AND(HN4&gt;=HP$20,HO4&gt;=HP$24,HN4&lt;&gt;""),AND(IK4&gt;=IR$20,IL4&gt;=IR$24,IK4&lt;&gt;""),AND(IP4&gt;=IR$20,IQ4&gt;=IR$24,IP4&lt;&gt;""),AND(JM4&gt;=JT$20,JN4&gt;=JT$24,JM4&lt;&gt;""),AND(JR4&gt;=JT$20,JS4&gt;=JT$24,JR4&lt;&gt;""),AND(KO4&gt;=KV$20,KP4&gt;=KV$24,KO4&lt;&gt;""),AND(KT4&gt;=KV$20,KU4&gt;=KV$24,KT4&lt;&gt;""),AND(LQ4&gt;=LX$20,LR4&gt;=LX$24,LQ4&lt;&gt;""),AND(LV4&gt;=LX$20,LW4&gt;=LX$24,LV4&lt;&gt;""),AND(MS4&gt;=MZ$20,MT4&gt;=MZ$24,MS4&lt;&gt;""),AND(MX4&gt;=MZ$20,MY4&gt;=MZ$24,MX4&lt;&gt;""),AND(NU4&gt;=OB$20,NV4&gt;=OB$24,NU4&lt;&gt;""),AND(NZ4&gt;=OB$20,OA4&gt;=OB$24,NZ4&lt;&gt;""),AND(OW4&gt;=PD$20,OX4&gt;=PD$24,OW4&lt;&gt;""),AND(PB4&gt;=PD$20,PC4&gt;=PD$24,PB4&lt;&gt;""),AND(PY4&gt;=QF$20,PZ4&gt;=QF$24,PY4&lt;&gt;""),AND(QD4&gt;=QF$20,QE4&gt;=QF$24,QD4&lt;&gt;"")),"P","")</f>
        <v>P</v>
      </c>
      <c r="G4" s="3" t="str">
        <f>IF(OR(AND(AS4&gt;=AY$24,AS4&lt;&gt;"",AQ4=""),AND(AX4&gt;=AY$24,AX4&lt;&gt;"",AQ4=""),AND(BV4&gt;=CB$24,BV4&lt;&gt;"",BT4=""),AND(CA4&gt;=CB$24,CA4&lt;&gt;"",BT4=""),AND(CY4&gt;=DE$24,CY4&lt;&gt;"",CW4=""),AND(DD4&gt;=DE$24,DD4&lt;&gt;"",CW4=""),AND(ED4&gt;=EJ$24,ED4&lt;&gt;""),AND(EI4&gt;=EJ$24,EI4&lt;&gt;""),AND(FF4&gt;=FL$24,FF4&lt;&gt;""),AND(FK4&gt;=FL$24,FK4&lt;&gt;""),AND(GH4&gt;=GN$24,GH4&lt;&gt;""),AND(GM4&gt;=GN$24,GM4&lt;&gt;""),AND(HJ4&gt;=HP$24,HJ4&lt;&gt;""),AND(HO4&gt;=HP$24,HO4&lt;&gt;""),AND(IL4&gt;=IR$24,IL4&lt;&gt;""),AND(IQ4&gt;=IR$24,IQ4&lt;&gt;""),AND(JN4&gt;=JT$24,JN4&lt;&gt;""),AND(JS4&gt;=JT$24,JS4&lt;&gt;""),AND(KP4&gt;=KV$24,KP4&lt;&gt;""),AND(KU4&gt;=KV$24,KU4&lt;&gt;""),AND(LR4&gt;=LX$24,LR4&lt;&gt;""),AND(LW4&gt;=LX$24,LW4&lt;&gt;""),AND(MT4&gt;=MZ$24,MT4&lt;&gt;""),AND(MY4&gt;=MZ$24,MY4&lt;&gt;""),AND(NV4&gt;=OB$24,NV4&lt;&gt;""),AND(OA4&gt;=OB$24,OA4&lt;&gt;""),AND(OX4&gt;=PD$24,OX4&lt;&gt;""),AND(PC4&gt;=PD$24,PC4&lt;&gt;""),AND(PZ4&gt;=QF$24,PZ4&lt;&gt;""),AND(QE4&gt;=QF$24,QE4&lt;&gt;"")),"P","")</f>
        <v>P</v>
      </c>
      <c r="H4" s="70" t="str">
        <f>IF(AND(G4="P",F4=""),"No DD",IF(OR(AND(AU4&gt;=AY$23,AV4&gt;=AY$27,AU4&lt;&gt;"",AQ4=""),AND(BX4&gt;=CB$23,BY4&gt;=CB$27,BX4&lt;&gt;"",BT4=""),AND(DA4&gt;=DE$23,DB4&gt;=DE$27,DA4&lt;&gt;"",CW4=""),AND(EF4&gt;=EJ$23,EG4&gt;=EJ$27,EF4&lt;&gt;""),AND(FH4&gt;=FL$23,FI4&gt;=FL$27,FH4&lt;&gt;""),AND(GJ4&gt;=GN$23,GK4&gt;=GN$27,GJ4&lt;&gt;""),AND(HL4&gt;=HP$23,HM4&gt;=HP$27,HL4&lt;&gt;""),AND(IN4&gt;=IR$23,IO4&gt;=IR$27,IN4&lt;&gt;""),AND(JP4&gt;=JT$23,JQ4&gt;=JT$27,JP4&lt;&gt;""),AND(KR4&gt;=KV$23,KS4&gt;=KV$27,KR4&lt;&gt;""),AND(LT4&gt;=LX$23,LU4&gt;=LX$27,LT4&lt;&gt;""),AND(MV4&gt;=MZ$23,MW4&gt;=MZ$27,MV4&lt;&gt;""),AND(NX4&gt;=OB$23,NY4&gt;=OB$27,NX4&lt;&gt;""),AND(OZ4&gt;=PD$23,PA4&gt;=PD$27,OZ4&lt;&gt;""),AND(QB4&gt;=QF$23,QC4&gt;=QF$27,QB4&lt;&gt;"")),"Merit",IF(OR(AND(AU4&gt;=AY$22,AV4&gt;=AY$26,AU4&lt;&gt;"",AQ4=""),AND(BX4&gt;=CB$22,BY4&gt;=CB$26,BX4&lt;&gt;"",BT4=""),AND(DA4&gt;=DE$22,DB4&gt;=DE$26,DA4&lt;&gt;"",CW4=""),AND(EF4&gt;=EJ$22,EG4&gt;=EJ$26,EF4&lt;&gt;""),AND(FH4&gt;=FL$22,FI4&gt;=FL$26,FH4&lt;&gt;""),AND(GJ4&gt;=GN$22,GK4&gt;=GN$26,GJ4&lt;&gt;""),AND(HL4&gt;=HP$22,HM4&gt;=HP$26,HL4&lt;&gt;""),AND(IN4&gt;=IR$22,IO4&gt;=IR$26,IN4&lt;&gt;""),AND(JP4&gt;=JT$22,JQ4&gt;=JT$26,JP4&lt;&gt;""),AND(KR4&gt;=KV$22,KS4&gt;=KV$26,KR4&lt;&gt;""),AND(LT4&gt;=LX$22,LU4&gt;=LX$26,LT4&lt;&gt;""),AND(MV4&gt;=MZ$22,MW4&gt;=MZ$26,MV4&lt;&gt;""),AND(NX4&gt;=OB$22,NY4&gt;=OB$26,NX4&lt;&gt;""),AND(OZ4&gt;=PD$22,PA4&gt;=PD$26,OZ4&lt;&gt;""),AND(QB4&gt;=QF$22,QC4&gt;=QF$26,QB4&lt;&gt;"")),"Excellence",IF(I4="P","Worlds Team",IF(F4="P","National Team","")))))</f>
        <v>Excellence</v>
      </c>
      <c r="I4" s="3" t="str">
        <f>IF(OR(AND(AU4&gt;=AY$21,AV4&gt;=AY$25,AU4&lt;&gt;"",AQ4=""),AND(BX4&gt;=CB$21,BY4&gt;=CB$25,BX4&lt;&gt;"",BT4=""),AND(DA4&gt;=DE$21,DB4&gt;=DE$25,DA4&lt;&gt;"",CW4=""),AND(EF4&gt;=EJ$21,EG4&gt;=EJ$25,EF4&lt;&gt;""),AND(FH4&gt;=FL$21,FI4&gt;=FL$25,FH4&lt;&gt;""),AND(GJ4&gt;=GN$21,GK4&gt;=GN$25,GJ4&lt;&gt;""),AND(HL4&gt;=HP$21,HM4&gt;=HP$25,HL4&lt;&gt;""),AND(IN4&gt;=IR$21,IO4&gt;=IR$25,IN4&lt;&gt;""),AND(JP4&gt;=JT$21,JQ4&gt;=JT$25,JP4&lt;&gt;""),AND(KR4&gt;=KV$21,KS4&gt;=KV$25,KR4&lt;&gt;""),AND(LT4&gt;=LX$21,LU4&gt;=LX$25,LT4&lt;&gt;""),AND(MV4&gt;=MZ$21,MW4&gt;=MZ$25,MV4&lt;&gt;""),AND(NX4&gt;=OB$21,NY4&gt;=OB$25,NX4&lt;&gt;""),AND(OZ4&gt;=PD$21,PA4&gt;=PD$25,OZ4&lt;&gt;""),AND(QB4&gt;=QF$21,QC4&gt;=QF$25,QB4&lt;&gt;"")),"P","")</f>
        <v>P</v>
      </c>
      <c r="J4" s="13">
        <f>IF(COUNT(AS4,BV4,CY4)&gt;0,LARGE((AS4,BV4,CY4),1),0)</f>
        <v>53.239999999999995</v>
      </c>
      <c r="K4" s="13" t="str">
        <f>IF(J4=0,"",IF(J4=CY4,$CC$1,IF(J4=BV4,$AZ$1,IF(J4=AS4,$W$1,""))))</f>
        <v>2022 Elite Canada</v>
      </c>
      <c r="L4" s="13">
        <f>IF(COUNT(AS4,BV4,CY4)&gt;1,LARGE((AS4,BV4,CY4),2),0)</f>
        <v>8.0000000000000007E-5</v>
      </c>
      <c r="M4" s="13" t="str">
        <f>IF(L4=0,"",IF(L4=CY4,$CC$1,IF(L4=BV4,$AZ$1,IF(L4=AS4,$W$1,""))))</f>
        <v>2021 Elite Canada</v>
      </c>
      <c r="N4" s="13">
        <f>IF(COUNT(AT4,BW4,CZ4)&gt;0,LARGE((AT4,BW4,CZ4),1),0)</f>
        <v>25.8</v>
      </c>
      <c r="O4" s="13" t="str">
        <f>IF(N4=0,"",IF(N4=CZ4,$CC$1,IF(N4=BW4,$AZ$1,IF(N4=AT4,$W$1,""))))</f>
        <v>2022 Elite Canada</v>
      </c>
      <c r="P4" s="13">
        <f>IF(COUNT(AT4,BW4,CZ4)&gt;1,LARGE((AT4,BW4,CZ4),2),0)</f>
        <v>0</v>
      </c>
      <c r="Q4" s="13" t="str">
        <f>IF(P4=0,"",IF(P4=CZ4,$CC$1,IF(P4=BW4,$AZ$1,IF(P4=AT4,$W$1,""))))</f>
        <v/>
      </c>
      <c r="R4" s="13">
        <f>IF(MAX(AX4,CA4,DD4)&gt;0,MAX(AX4,CA4,DD4),0)</f>
        <v>51.999999999999993</v>
      </c>
      <c r="S4" s="13" t="str">
        <f>IF(R4=0,"",IF(R4=DD4,$CC$1,IF(R4=CA4,$AZ$1,IF(R4=AX4,$W$1,""))))</f>
        <v>2022 Elite Canada</v>
      </c>
      <c r="T4" s="13">
        <f>IF(MAX(DF4:DH4)&gt;0,MAX(DF4:DH4),"")</f>
        <v>3</v>
      </c>
      <c r="U4" s="16" t="str">
        <f>IF(T4="","",IF(T4=DF4,"("&amp;DF$2&amp;")",IF(T4=DH4,"("&amp;DH$2&amp;")")))</f>
        <v>(Final)</v>
      </c>
      <c r="V4" s="13" t="str">
        <f>IF(T4="","",IF(T4=DF4,IF(T4+IF(L4="",0,L4)=PZ4,$PE$1,IF(T4+IF(L4="",0,L4)=OX4,$OC$1,IF(T4+IF(L4="",0,L4)=NV4,$NA$1,IF(T4+IF(L4="",0,L4)=MT4,$LY$1,IF(T4+IF(L4="",0,L4)=LR4,$KW$1,IF(T4+IF(L4="",0,L4)=KP4,$JU$1,IF(T4+IF(L4="",0,L4)=JN4,$IS$1,IF(T4+IF(L4="",0,L4)=IL4,$HQ$1,IF(T4+IF(L4="",0,L4)=HJ4,$GO$1,IF(T4+IF(L4="",0,L4)=GH4,$FM$1,IF(T4+IF(L4="",0,L4)=FF4,$EK$1,IF(T4+IF(L4="",0,L4)=ED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</f>
        <v>2022 World Games Technical Trial #1 (Mar 12)</v>
      </c>
      <c r="W4" s="27">
        <v>5.0000000000000002E-5</v>
      </c>
      <c r="X4" s="27">
        <v>3.0000000000000001E-5</v>
      </c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51"/>
      <c r="AR4" s="76">
        <f>IF(SUM(X4,AB4)&gt;0,SUM(X4,AB4),"")</f>
        <v>3.0000000000000001E-5</v>
      </c>
      <c r="AS4" s="76">
        <f>IF(SUM(W4:X4,Z4:AB4,AD4)-Y4-AC4&gt;0,SUM(W4:X4,Z4:AB4,AD4)-Y4-AC4,"")</f>
        <v>8.0000000000000007E-5</v>
      </c>
      <c r="AT4" s="76" t="str">
        <f>IF(SUM(AE4:AF4,AH4)-AG4&gt;0,SUM(AE4:AF4,AH4)-AG4,"")</f>
        <v/>
      </c>
      <c r="AU4" s="76">
        <f>IF(SUM(X4,AB4,AF4)&gt;0,SUM(X4,AB4,AF4),"")</f>
        <v>3.0000000000000001E-5</v>
      </c>
      <c r="AV4" s="76">
        <f>IF(SUM(AS4,AT4)&gt;0,SUM(AS4,AT4),"")</f>
        <v>8.0000000000000007E-5</v>
      </c>
      <c r="AW4" s="76" t="str">
        <f>IF(SUM(AJ4,AN4)&gt;0,SUM(AJ4,AN4),"")</f>
        <v/>
      </c>
      <c r="AX4" s="76" t="str">
        <f>IF(SUM(AI4:AJ4,AL4:AN4,AP4)-SUM(AK4,AO4)&gt;0,SUM(AI4:AJ4,AL4:AN4,AP4)-SUM(AK4,AO4),"")</f>
        <v/>
      </c>
      <c r="AY4" s="76">
        <f>IF(SUM(AS4,AX4)&gt;0,SUM(AS4,AX4),"")</f>
        <v>8.0000000000000007E-5</v>
      </c>
      <c r="AZ4" s="26">
        <v>3.0000000000000001E-5</v>
      </c>
      <c r="BA4" s="26">
        <v>3.0000000000000001E-5</v>
      </c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52"/>
      <c r="BU4" s="16">
        <f>IF(SUM(BA4,BE4)&gt;0,SUM(BA4,BE4),"")</f>
        <v>3.0000000000000001E-5</v>
      </c>
      <c r="BV4" s="16">
        <f>IF(SUM(AZ4:BA4,BC4:BE4,BG4)-BB4-BF4&gt;0,SUM(AZ4:BA4,BC4:BE4,BG4)-BB4-BF4,"")</f>
        <v>6.0000000000000002E-5</v>
      </c>
      <c r="BW4" s="16" t="str">
        <f>IF(SUM(BH4:BI4,BK4)-BJ4&gt;0,SUM(BH4:BI4,BK4)-BJ4,"")</f>
        <v/>
      </c>
      <c r="BX4" s="16">
        <f>IF(SUM(BA4,BE4,BI4)&gt;0,SUM(BA4,BE4,BI4),"")</f>
        <v>3.0000000000000001E-5</v>
      </c>
      <c r="BY4" s="16">
        <f>IF(SUM(BV4,BW4)&gt;0,SUM(BV4,BW4),"")</f>
        <v>6.0000000000000002E-5</v>
      </c>
      <c r="BZ4" s="16" t="str">
        <f>IF(SUM(BM4,BQ4)&gt;0,SUM(BM4,BQ4),"")</f>
        <v/>
      </c>
      <c r="CA4" s="16" t="str">
        <f>IF(SUM(BL4:BM4,BO4:BQ4,BS4)-SUM(BN4,BR4)&gt;0,SUM(BL4:BM4,BO4:BQ4,BS4)-SUM(BN4,BR4),"")</f>
        <v/>
      </c>
      <c r="CB4" s="16">
        <f>IF(SUM(BV4,CA4)&gt;0,SUM(BV4,CA4),"")</f>
        <v>6.0000000000000002E-5</v>
      </c>
      <c r="CC4" s="27">
        <v>18.34</v>
      </c>
      <c r="CD4" s="27">
        <v>7.2</v>
      </c>
      <c r="CE4" s="27">
        <v>0</v>
      </c>
      <c r="CF4" s="27">
        <v>0</v>
      </c>
      <c r="CG4" s="27">
        <v>18.600000000000001</v>
      </c>
      <c r="CH4" s="27">
        <v>8.8000000000000007</v>
      </c>
      <c r="CI4" s="27">
        <v>0</v>
      </c>
      <c r="CJ4" s="27">
        <v>0.3</v>
      </c>
      <c r="CK4" s="27">
        <v>18.399999999999999</v>
      </c>
      <c r="CL4" s="27">
        <v>7.1</v>
      </c>
      <c r="CM4" s="27">
        <v>0</v>
      </c>
      <c r="CN4" s="27">
        <v>0.3</v>
      </c>
      <c r="CO4" s="27">
        <v>18.3</v>
      </c>
      <c r="CP4" s="27">
        <v>6.4</v>
      </c>
      <c r="CQ4" s="27">
        <v>0.6</v>
      </c>
      <c r="CR4" s="27">
        <v>0</v>
      </c>
      <c r="CS4" s="27">
        <v>18.8</v>
      </c>
      <c r="CT4" s="27">
        <v>8.8000000000000007</v>
      </c>
      <c r="CU4" s="27">
        <v>0</v>
      </c>
      <c r="CV4" s="27">
        <v>0.3</v>
      </c>
      <c r="CW4" s="51"/>
      <c r="CX4" s="76">
        <f>IF(SUM(CD4,CH4)&gt;0,SUM(CD4,CH4),"")</f>
        <v>16</v>
      </c>
      <c r="CY4" s="76">
        <f>IF(SUM(CC4:CD4,CF4:CH4,CJ4)-CE4-CI4&gt;0,SUM(CC4:CD4,CF4:CH4,CJ4)-CE4-CI4,"")</f>
        <v>53.239999999999995</v>
      </c>
      <c r="CZ4" s="76">
        <f>IF(SUM(CK4:CL4,CN4)-CM4&gt;0,SUM(CK4:CL4,CN4)-CM4,"")</f>
        <v>25.8</v>
      </c>
      <c r="DA4" s="76">
        <f>IF(SUM(CD4,CH4,CL4)&gt;0,SUM(CD4,CH4,CL4),"")</f>
        <v>23.1</v>
      </c>
      <c r="DB4" s="76">
        <f>IF(SUM(CY4,CZ4)&gt;0,SUM(CY4,CZ4),"")</f>
        <v>79.039999999999992</v>
      </c>
      <c r="DC4" s="76">
        <f>IF(SUM(CP4,CT4)&gt;0,SUM(CP4,CT4),"")</f>
        <v>15.200000000000001</v>
      </c>
      <c r="DD4" s="76">
        <f>IF(SUM(CO4:CP4,CR4:CT4,CV4)-SUM(CQ4,CU4)&gt;0,SUM(CO4:CP4,CR4:CT4,CV4)-SUM(CQ4,CU4),"")</f>
        <v>51.999999999999993</v>
      </c>
      <c r="DE4" s="76">
        <f>IF(SUM(CY4,DD4)&gt;0,SUM(CY4,DD4),"")</f>
        <v>105.23999999999998</v>
      </c>
      <c r="DF4" s="87" t="str">
        <f>IF(L4&gt;=0.001,IF(MAX(ED4,FF4,GH4,HJ4,IL4,JN4,KP4,LR4,MT4,NV4,OX4,PZ4)-IF(L4="",0,L4)&gt;0.001,MAX(ED4,FF4,GH4,HJ4,IL4,JN4,KP4,LR4,MT4,NV4,OX4,PZ4)-IF(L4="",0,L4),""),"")</f>
        <v/>
      </c>
      <c r="DG4" s="87" t="str">
        <f>IF(P4&gt;=0.001,IF(MAX(EE4,FG4,GI4,HK4,IM4,JO4,KQ4,LS4,MU4,NW4,OY4,QA4)-IF(P4="",0,P4)&gt;0.001,MAX(EE4,FG4,GI4,HK4,IM4,JO4,KQ4,LS4,MU4,NW4,OY4,QA4)-IF(P4="",0,P4),""),"")</f>
        <v/>
      </c>
      <c r="DH4" s="87">
        <f>IF(R4&gt;=0.001,IF(MAX(EI4,FK4,GM4,HO4,IQ4,JS4,KU4,LW4,MY4,OA4,PC4,QE4)-IF(R4="",0,R4)&gt;0.001,MAX(EI4,FK4,GM4,HO4,IQ4,JS4,KU4,LW4,MY4,OA4,PC4,QE4)-IF(R4="",0,R4),""),"")</f>
        <v>3</v>
      </c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76" t="str">
        <f>IF(SUM(DJ4,DN4)&gt;0,SUM(DJ4,DN4),"")</f>
        <v/>
      </c>
      <c r="ED4" s="76" t="str">
        <f>IF(SUM(DI4:DJ4,DL4:DN4,DP4)-DK4-DO4&gt;0,SUM(DI4:DJ4,DL4:DN4,DP4)-DK4-DO4,"")</f>
        <v/>
      </c>
      <c r="EE4" s="76" t="str">
        <f>IF(SUM(DQ4:DR4,DT4)-DS4&gt;0,SUM(DQ4:DR4,DT4)-DS4,"")</f>
        <v/>
      </c>
      <c r="EF4" s="76" t="str">
        <f>IF(SUM(DJ4,DN4,DR4)&gt;0,SUM(DJ4,DN4,DR4),"")</f>
        <v/>
      </c>
      <c r="EG4" s="76" t="str">
        <f>IF(SUM(ED4,EE4)&gt;0,SUM(ED4,EE4),"")</f>
        <v/>
      </c>
      <c r="EH4" s="76" t="str">
        <f>IF(SUM(DV4,DZ4)&gt;0,SUM(DV4,DZ4),"")</f>
        <v/>
      </c>
      <c r="EI4" s="76" t="str">
        <f>IF(SUM(DU4:DV4,DX4:DZ4,EB4)-SUM(DW4,EA4)&gt;0,SUM(DU4:DV4,DX4:DZ4,EB4)-SUM(DW4,EA4),"")</f>
        <v/>
      </c>
      <c r="EJ4" s="76" t="str">
        <f>IF(SUM(ED4,EI4)&gt;0,SUM(ED4,EI4),"")</f>
        <v/>
      </c>
      <c r="EK4" s="26">
        <v>18.96</v>
      </c>
      <c r="EL4" s="26">
        <v>9.1999999999999993</v>
      </c>
      <c r="EM4" s="26">
        <v>0.6</v>
      </c>
      <c r="EN4" s="26">
        <v>0.3</v>
      </c>
      <c r="EO4" s="26">
        <v>17.3</v>
      </c>
      <c r="EP4" s="26">
        <v>4.8</v>
      </c>
      <c r="EQ4" s="26">
        <v>0</v>
      </c>
      <c r="ER4" s="26">
        <v>0.3</v>
      </c>
      <c r="ES4" s="26"/>
      <c r="ET4" s="26"/>
      <c r="EU4" s="26"/>
      <c r="EV4" s="26"/>
      <c r="EW4" s="26">
        <v>18.899999999999999</v>
      </c>
      <c r="EX4" s="26">
        <v>9.1999999999999993</v>
      </c>
      <c r="EY4" s="26">
        <v>0.6</v>
      </c>
      <c r="EZ4" s="26">
        <v>0.3</v>
      </c>
      <c r="FA4" s="26">
        <v>19.2</v>
      </c>
      <c r="FB4" s="26">
        <v>8</v>
      </c>
      <c r="FC4" s="26">
        <v>0</v>
      </c>
      <c r="FD4" s="26">
        <v>0</v>
      </c>
      <c r="FE4" s="16">
        <f>IF(SUM(EL4,EP4)&gt;0,SUM(EL4,EP4),"")</f>
        <v>14</v>
      </c>
      <c r="FF4" s="16">
        <f>IF(SUM(EK4:EL4,EN4:EP4,ER4)-EM4-EQ4&gt;0,SUM(EK4:EL4,EN4:EP4,ER4)-EM4-EQ4,"")</f>
        <v>50.26</v>
      </c>
      <c r="FG4" s="16" t="str">
        <f>IF(SUM(ES4:ET4,EV4)-EU4&gt;0,SUM(ES4:ET4,EV4)-EU4,"")</f>
        <v/>
      </c>
      <c r="FH4" s="16">
        <f>IF(SUM(EL4,EP4,ET4)&gt;0,SUM(EL4,EP4,ET4),"")</f>
        <v>14</v>
      </c>
      <c r="FI4" s="16">
        <f>IF(SUM(FF4,FG4)&gt;0,SUM(FF4,FG4),"")</f>
        <v>50.26</v>
      </c>
      <c r="FJ4" s="16">
        <f>IF(SUM(EX4,FB4)&gt;0,SUM(EX4,FB4),"")</f>
        <v>17.2</v>
      </c>
      <c r="FK4" s="16">
        <f>IF(SUM(EW4:EX4,EZ4:FB4,FD4)-SUM(EY4,FC4)&gt;0,SUM(EW4:EX4,EZ4:FB4,FD4)-SUM(EY4,FC4),"")</f>
        <v>54.999999999999993</v>
      </c>
      <c r="FL4" s="16">
        <f>IF(SUM(FF4,FK4)&gt;0,SUM(FF4,FK4),"")</f>
        <v>105.25999999999999</v>
      </c>
      <c r="FM4" s="25">
        <v>18.600000000000001</v>
      </c>
      <c r="FN4" s="25">
        <v>9.3000000000000007</v>
      </c>
      <c r="FO4" s="25">
        <v>0.2</v>
      </c>
      <c r="FP4" s="25">
        <v>0.3</v>
      </c>
      <c r="FQ4" s="25">
        <v>18.7</v>
      </c>
      <c r="FR4" s="25">
        <v>10</v>
      </c>
      <c r="FS4" s="25">
        <v>0.2</v>
      </c>
      <c r="FT4" s="25">
        <v>0.6</v>
      </c>
      <c r="FU4" s="25"/>
      <c r="FV4" s="25"/>
      <c r="FW4" s="25"/>
      <c r="FX4" s="25"/>
      <c r="FY4" s="25">
        <v>18.8</v>
      </c>
      <c r="FZ4" s="25">
        <v>9.3000000000000007</v>
      </c>
      <c r="GA4" s="25">
        <v>0.8</v>
      </c>
      <c r="GB4" s="25">
        <v>0.3</v>
      </c>
      <c r="GC4" s="25">
        <v>17.399999999999999</v>
      </c>
      <c r="GD4" s="25">
        <v>5.0999999999999996</v>
      </c>
      <c r="GE4" s="25">
        <v>0</v>
      </c>
      <c r="GF4" s="25">
        <v>0.3</v>
      </c>
      <c r="GG4" s="76">
        <f>IF(SUM(FN4,FR4)&gt;0,SUM(FN4,FR4),"")</f>
        <v>19.3</v>
      </c>
      <c r="GH4" s="76">
        <f>IF(SUM(FM4:FN4,FP4:FR4,FT4)-FO4-FS4&gt;0,SUM(FM4:FN4,FP4:FR4,FT4)-FO4-FS4,"")</f>
        <v>57.1</v>
      </c>
      <c r="GI4" s="76" t="str">
        <f>IF(SUM(FU4:FV4,FX4)-FW4&gt;0,SUM(FU4:FV4,FX4)-FW4,"")</f>
        <v/>
      </c>
      <c r="GJ4" s="76">
        <f>IF(SUM(FN4,FR4,FV4)&gt;0,SUM(FN4,FR4,FV4),"")</f>
        <v>19.3</v>
      </c>
      <c r="GK4" s="76">
        <f>IF(SUM(GH4,GI4)&gt;0,SUM(GH4,GI4),"")</f>
        <v>57.1</v>
      </c>
      <c r="GL4" s="76">
        <f>IF(SUM(FZ4,GD4)&gt;0,SUM(FZ4,GD4),"")</f>
        <v>14.4</v>
      </c>
      <c r="GM4" s="76">
        <f>IF(SUM(FY4:FZ4,GB4:GD4,GF4)-SUM(GA4,GE4)&gt;0,SUM(FY4:FZ4,GB4:GD4,GF4)-SUM(GA4,GE4),"")</f>
        <v>50.4</v>
      </c>
      <c r="GN4" s="76">
        <f>IF(SUM(GH4,GM4)&gt;0,SUM(GH4,GM4),"")</f>
        <v>107.5</v>
      </c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16" t="str">
        <f>IF(SUM(GP4,GT4)&gt;0,SUM(GP4,GT4),"")</f>
        <v/>
      </c>
      <c r="HJ4" s="16" t="str">
        <f>IF(SUM(GO4:GP4,GR4:GT4,GV4)-GQ4-GU4&gt;0,SUM(GO4:GP4,GR4:GT4,GV4)-GQ4-GU4,"")</f>
        <v/>
      </c>
      <c r="HK4" s="16" t="str">
        <f>IF(SUM(GW4:GX4,GZ4)-GY4&gt;0,SUM(GW4:GX4,GZ4)-GY4,"")</f>
        <v/>
      </c>
      <c r="HL4" s="16" t="str">
        <f>IF(SUM(GP4,GT4,GX4)&gt;0,SUM(GP4,GT4,GX4),"")</f>
        <v/>
      </c>
      <c r="HM4" s="16" t="str">
        <f>IF(SUM(HJ4,HK4)&gt;0,SUM(HJ4,HK4),"")</f>
        <v/>
      </c>
      <c r="HN4" s="16" t="str">
        <f>IF(SUM(HB4,HF4)&gt;0,SUM(HB4,HF4),"")</f>
        <v/>
      </c>
      <c r="HO4" s="16" t="str">
        <f>IF(SUM(HA4:HB4,HD4:HF4,HH4)-SUM(HC4,HG4)&gt;0,SUM(HA4:HB4,HD4:HF4,HH4)-SUM(HC4,HG4),"")</f>
        <v/>
      </c>
      <c r="HP4" s="16" t="str">
        <f>IF(SUM(HJ4,HO4)&gt;0,SUM(HJ4,HO4),"")</f>
        <v/>
      </c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76" t="str">
        <f>IF(SUM(HR4,HV4)&gt;0,SUM(HR4,HV4),"")</f>
        <v/>
      </c>
      <c r="IL4" s="76" t="str">
        <f>IF(SUM(HQ4:HR4,HT4:HV4,HX4)-HS4-HW4&gt;0,SUM(HQ4:HR4,HT4:HV4,HX4)-HS4-HW4,"")</f>
        <v/>
      </c>
      <c r="IM4" s="76" t="str">
        <f>IF(SUM(HY4:HZ4,IB4)-IA4&gt;0,SUM(HY4:HZ4,IB4)-IA4,"")</f>
        <v/>
      </c>
      <c r="IN4" s="76" t="str">
        <f>IF(SUM(HR4,HV4,HZ4)&gt;0,SUM(HR4,HV4,HZ4),"")</f>
        <v/>
      </c>
      <c r="IO4" s="76" t="str">
        <f>IF(SUM(IL4,IM4)&gt;0,SUM(IL4,IM4),"")</f>
        <v/>
      </c>
      <c r="IP4" s="76" t="str">
        <f>IF(SUM(ID4,IH4)&gt;0,SUM(ID4,IH4),"")</f>
        <v/>
      </c>
      <c r="IQ4" s="76" t="str">
        <f>IF(SUM(IC4:ID4,IF4:IH4,IJ4)-SUM(IE4,II4)&gt;0,SUM(IC4:ID4,IF4:IH4,IJ4)-SUM(IE4,II4),"")</f>
        <v/>
      </c>
      <c r="IR4" s="76" t="str">
        <f>IF(SUM(IL4,IQ4)&gt;0,SUM(IL4,IQ4),"")</f>
        <v/>
      </c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16" t="str">
        <f>IF(SUM(IT4,IX4)&gt;0,SUM(IT4,IX4),"")</f>
        <v/>
      </c>
      <c r="JN4" s="16" t="str">
        <f>IF(SUM(IS4:IT4,IV4:IX4,IZ4)-IU4-IY4&gt;0,SUM(IS4:IT4,IV4:IX4,IZ4)-IU4-IY4,"")</f>
        <v/>
      </c>
      <c r="JO4" s="16" t="str">
        <f>IF(SUM(JA4:JB4,JD4)-JC4&gt;0,SUM(JA4:JB4,JD4)-JC4,"")</f>
        <v/>
      </c>
      <c r="JP4" s="16" t="str">
        <f>IF(SUM(IT4,IX4,JB4)&gt;0,SUM(IT4,IX4,JB4),"")</f>
        <v/>
      </c>
      <c r="JQ4" s="16" t="str">
        <f>IF(SUM(JN4,JO4)&gt;0,SUM(JN4,JO4),"")</f>
        <v/>
      </c>
      <c r="JR4" s="16" t="str">
        <f>IF(SUM(JF4,JJ4)&gt;0,SUM(JF4,JJ4),"")</f>
        <v/>
      </c>
      <c r="JS4" s="16" t="str">
        <f>IF(SUM(JE4:JF4,JH4:JJ4,JL4)-SUM(JG4,JK4)&gt;0,SUM(JE4:JF4,JH4:JJ4,JL4)-SUM(JG4,JK4),"")</f>
        <v/>
      </c>
      <c r="JT4" s="16" t="str">
        <f>IF(SUM(JN4,JS4)&gt;0,SUM(JN4,JS4),"")</f>
        <v/>
      </c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76" t="str">
        <f>IF(SUM(JV4,JZ4)&gt;0,SUM(JV4,JZ4),"")</f>
        <v/>
      </c>
      <c r="KP4" s="76" t="str">
        <f>IF(SUM(JU4:JV4,JX4:JZ4,KB4)-JW4-KA4&gt;0,SUM(JU4:JV4,JX4:JZ4,KB4)-JW4-KA4,"")</f>
        <v/>
      </c>
      <c r="KQ4" s="76" t="str">
        <f>IF(SUM(KC4:KD4,KF4)-KE4&gt;0,SUM(KC4:KD4,KF4)-KE4,"")</f>
        <v/>
      </c>
      <c r="KR4" s="76" t="str">
        <f>IF(SUM(JV4,JZ4,KD4)&gt;0,SUM(JV4,JZ4,KD4),"")</f>
        <v/>
      </c>
      <c r="KS4" s="76" t="str">
        <f>IF(SUM(KP4,KQ4)&gt;0,SUM(KP4,KQ4),"")</f>
        <v/>
      </c>
      <c r="KT4" s="76" t="str">
        <f>IF(SUM(KH4,KL4)&gt;0,SUM(KH4,KL4),"")</f>
        <v/>
      </c>
      <c r="KU4" s="76" t="str">
        <f>IF(SUM(KG4:KH4,KJ4:KL4,KN4)-SUM(KI4,KM4)&gt;0,SUM(KG4:KH4,KJ4:KL4,KN4)-SUM(KI4,KM4),"")</f>
        <v/>
      </c>
      <c r="KV4" s="76" t="str">
        <f>IF(SUM(KP4,KU4)&gt;0,SUM(KP4,KU4),"")</f>
        <v/>
      </c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16" t="str">
        <f>IF(SUM(KX4,LB4)&gt;0,SUM(KX4,LB4),"")</f>
        <v/>
      </c>
      <c r="LR4" s="16" t="str">
        <f>IF(SUM(KW4:KX4,KZ4:LB4,LD4)-KY4-LC4&gt;0,SUM(KW4:KX4,KZ4:LB4,LD4)-KY4-LC4,"")</f>
        <v/>
      </c>
      <c r="LS4" s="16" t="str">
        <f>IF(SUM(LE4:LF4,LH4)-LG4&gt;0,SUM(LE4:LF4,LH4)-LG4,"")</f>
        <v/>
      </c>
      <c r="LT4" s="16" t="str">
        <f>IF(SUM(KX4,LB4,LF4)&gt;0,SUM(KX4,LB4,LF4),"")</f>
        <v/>
      </c>
      <c r="LU4" s="16" t="str">
        <f>IF(SUM(LR4,LS4)&gt;0,SUM(LR4,LS4),"")</f>
        <v/>
      </c>
      <c r="LV4" s="16" t="str">
        <f>IF(SUM(LJ4,LN4)&gt;0,SUM(LJ4,LN4),"")</f>
        <v/>
      </c>
      <c r="LW4" s="16" t="str">
        <f>IF(SUM(LI4:LJ4,LL4:LN4,LP4)-SUM(LK4,LO4)&gt;0,SUM(LI4:LJ4,LL4:LN4,LP4)-SUM(LK4,LO4),"")</f>
        <v/>
      </c>
      <c r="LX4" s="16" t="str">
        <f>IF(SUM(LR4,LW4)&gt;0,SUM(LR4,LW4),"")</f>
        <v/>
      </c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76" t="str">
        <f>IF(SUM(LZ4,MD4)&gt;0,SUM(LZ4,MD4),"")</f>
        <v/>
      </c>
      <c r="MT4" s="76" t="str">
        <f>IF(SUM(LY4:LZ4,MB4:MD4,MF4)-MA4-ME4&gt;0,SUM(LY4:LZ4,MB4:MD4,MF4)-MA4-ME4,"")</f>
        <v/>
      </c>
      <c r="MU4" s="76" t="str">
        <f>IF(SUM(MG4:MH4,MJ4)-MI4&gt;0,SUM(MG4:MH4,MJ4)-MI4,"")</f>
        <v/>
      </c>
      <c r="MV4" s="76" t="str">
        <f>IF(SUM(LZ4,MD4,MH4)&gt;0,SUM(LZ4,MD4,MH4),"")</f>
        <v/>
      </c>
      <c r="MW4" s="76" t="str">
        <f>IF(SUM(MT4,MU4)&gt;0,SUM(MT4,MU4),"")</f>
        <v/>
      </c>
      <c r="MX4" s="76" t="str">
        <f>IF(SUM(ML4,MP4)&gt;0,SUM(ML4,MP4),"")</f>
        <v/>
      </c>
      <c r="MY4" s="76" t="str">
        <f>IF(SUM(MK4:ML4,MN4:MP4,MR4)-SUM(MM4,MQ4)&gt;0,SUM(MK4:ML4,MN4:MP4,MR4)-SUM(MM4,MQ4),"")</f>
        <v/>
      </c>
      <c r="MZ4" s="76" t="str">
        <f>IF(SUM(MT4,MY4)&gt;0,SUM(MT4,MY4),"")</f>
        <v/>
      </c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16" t="str">
        <f>IF(SUM(NB4,NF4)&gt;0,SUM(NB4,NF4),"")</f>
        <v/>
      </c>
      <c r="NV4" s="16" t="str">
        <f>IF(SUM(NA4:NB4,ND4:NF4,NH4)-NC4-NG4&gt;0,SUM(NA4:NB4,ND4:NF4,NH4)-NC4-NG4,"")</f>
        <v/>
      </c>
      <c r="NW4" s="16" t="str">
        <f>IF(SUM(NI4:NJ4,NL4)-NK4&gt;0,SUM(NI4:NJ4,NL4)-NK4,"")</f>
        <v/>
      </c>
      <c r="NX4" s="16" t="str">
        <f>IF(SUM(NB4,NF4,NJ4)&gt;0,SUM(NB4,NF4,NJ4),"")</f>
        <v/>
      </c>
      <c r="NY4" s="16" t="str">
        <f>IF(SUM(NV4,NW4)&gt;0,SUM(NV4,NW4),"")</f>
        <v/>
      </c>
      <c r="NZ4" s="16" t="str">
        <f>IF(SUM(NN4,NR4)&gt;0,SUM(NN4,NR4),"")</f>
        <v/>
      </c>
      <c r="OA4" s="16" t="str">
        <f>IF(SUM(NM4:NN4,NP4:NR4,NT4)-SUM(NO4,NS4)&gt;0,SUM(NM4:NN4,NP4:NR4,NT4)-SUM(NO4,NS4),"")</f>
        <v/>
      </c>
      <c r="OB4" s="16" t="str">
        <f>IF(SUM(NV4,OA4)&gt;0,SUM(NV4,OA4),"")</f>
        <v/>
      </c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76" t="str">
        <f>IF(SUM(OD4,OH4)&gt;0,SUM(OD4,OH4),"")</f>
        <v/>
      </c>
      <c r="OX4" s="76" t="str">
        <f>IF(SUM(OC4:OD4,OF4:OH4,OJ4)-OE4-OI4&gt;0,SUM(OC4:OD4,OF4:OH4,OJ4)-OE4-OI4,"")</f>
        <v/>
      </c>
      <c r="OY4" s="76" t="str">
        <f>IF(SUM(OK4:OL4,ON4)-OM4&gt;0,SUM(OK4:OL4,ON4)-OM4,"")</f>
        <v/>
      </c>
      <c r="OZ4" s="76" t="str">
        <f>IF(SUM(OD4,OH4,OL4)&gt;0,SUM(OD4,OH4,OL4),"")</f>
        <v/>
      </c>
      <c r="PA4" s="76" t="str">
        <f>IF(SUM(OX4,OY4)&gt;0,SUM(OX4,OY4),"")</f>
        <v/>
      </c>
      <c r="PB4" s="76" t="str">
        <f>IF(SUM(OP4,OT4)&gt;0,SUM(OP4,OT4),"")</f>
        <v/>
      </c>
      <c r="PC4" s="76" t="str">
        <f>IF(SUM(OO4:OP4,OR4:OT4,OV4)-SUM(OQ4,OU4)&gt;0,SUM(OO4:OP4,OR4:OT4,OV4)-SUM(OQ4,OU4),"")</f>
        <v/>
      </c>
      <c r="PD4" s="76" t="str">
        <f>IF(SUM(OX4,PC4)&gt;0,SUM(OX4,PC4),"")</f>
        <v/>
      </c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16" t="str">
        <f>IF(SUM(PF4,PJ4)&gt;0,SUM(PF4,PJ4),"")</f>
        <v/>
      </c>
      <c r="PZ4" s="16" t="str">
        <f>IF(SUM(PE4:PF4,PH4:PJ4,PL4)-PG4-PK4&gt;0,SUM(PE4:PF4,PH4:PJ4,PL4)-PG4-PK4,"")</f>
        <v/>
      </c>
      <c r="QA4" s="16" t="str">
        <f>IF(SUM(PM4:PN4,PP4)-PO4&gt;0,SUM(PM4:PN4,PP4)-PO4,"")</f>
        <v/>
      </c>
      <c r="QB4" s="16" t="str">
        <f>IF(SUM(PF4,PJ4,PN4)&gt;0,SUM(PF4,PJ4,PN4),"")</f>
        <v/>
      </c>
      <c r="QC4" s="16" t="str">
        <f>IF(SUM(PZ4,QA4)&gt;0,SUM(PZ4,QA4),"")</f>
        <v/>
      </c>
      <c r="QD4" s="16" t="str">
        <f>IF(SUM(PR4,PV4)&gt;0,SUM(PR4,PV4),"")</f>
        <v/>
      </c>
      <c r="QE4" s="16" t="str">
        <f>IF(SUM(PQ4:PR4,PT4:PV4,PX4)-SUM(PS4,PW4)&gt;0,SUM(PQ4:PR4,PT4:PV4,PX4)-SUM(PS4,PW4),"")</f>
        <v/>
      </c>
      <c r="QF4" s="16" t="str">
        <f>IF(SUM(PZ4,QE4)&gt;0,SUM(PZ4,QE4),"")</f>
        <v/>
      </c>
      <c r="QG4" s="42">
        <f>IF($CW4="P",CC4,(CC4+AZ4)/2)</f>
        <v>9.1700149999999994</v>
      </c>
      <c r="QH4" s="42">
        <f>IF($CW4="P",CD4,(CD4+BA4)/2)</f>
        <v>3.600015</v>
      </c>
      <c r="QI4" s="42">
        <f>IF($CW4="P",CE4,(CE4+BB4)/2)</f>
        <v>0</v>
      </c>
      <c r="QJ4" s="42">
        <f>IF($CW4="P",CF4,(CF4+BC4)/2)</f>
        <v>0</v>
      </c>
      <c r="QK4" s="42">
        <f>IF($CW4="P",CG4,(CG4+BD4)/2)</f>
        <v>9.3000000000000007</v>
      </c>
      <c r="QL4" s="42">
        <f>IF($CW4="P",CH4,(CH4+BE4)/2)</f>
        <v>4.4000000000000004</v>
      </c>
      <c r="QM4" s="42">
        <f>IF($CW4="P",CI4,(CI4+BF4)/2)</f>
        <v>0</v>
      </c>
      <c r="QN4" s="42">
        <f>IF($CW4="P",CJ4,(CJ4+BG4)/2)</f>
        <v>0.15</v>
      </c>
      <c r="QO4" s="42">
        <f>IF($CW4="P",CK4,(CK4+BH4)/2)</f>
        <v>9.1999999999999993</v>
      </c>
      <c r="QP4" s="42">
        <f>IF($CW4="P",CL4,(CL4+BI4)/2)</f>
        <v>3.55</v>
      </c>
      <c r="QQ4" s="42">
        <f>IF($CW4="P",CM4,(CM4+BJ4)/2)</f>
        <v>0</v>
      </c>
      <c r="QR4" s="42">
        <f>IF($CW4="P",CN4,(CN4+BK4)/2)</f>
        <v>0.15</v>
      </c>
      <c r="QS4" s="42">
        <f>IF($CW4="P",CO4,(CO4+BL4)/2)</f>
        <v>9.15</v>
      </c>
      <c r="QT4" s="42">
        <f>IF($CW4="P",CP4,(CP4+BM4)/2)</f>
        <v>3.2</v>
      </c>
      <c r="QU4" s="42">
        <f>IF($CW4="P",CQ4,(CQ4+BN4)/2)</f>
        <v>0.3</v>
      </c>
      <c r="QV4" s="42">
        <f>IF($CW4="P",CR4,(CR4+BO4)/2)</f>
        <v>0</v>
      </c>
      <c r="QW4" s="42">
        <f>IF($CW4="P",CS4,(CS4+BP4)/2)</f>
        <v>9.4</v>
      </c>
      <c r="QX4" s="42">
        <f>IF($CW4="P",CT4,(CT4+BQ4)/2)</f>
        <v>4.4000000000000004</v>
      </c>
      <c r="QY4" s="42">
        <f>IF($CW4="P",CU4,(CU4+BR4)/2)</f>
        <v>0</v>
      </c>
      <c r="QZ4" s="42">
        <f>IF($CW4="P",CV4,(CV4+BS4)/2)</f>
        <v>0.15</v>
      </c>
      <c r="RA4" s="51" t="s">
        <v>61</v>
      </c>
      <c r="RB4" s="76">
        <f>IF(SUM(QH4,QL4)&gt;0,SUM(QH4,QL4),"")</f>
        <v>8.0000150000000012</v>
      </c>
      <c r="RC4" s="76">
        <f>IF(SUM(QG4:QH4,QJ4:QL4,QN4)-QI4-QM4&gt;0,SUM(QG4:QH4,QJ4:QL4,QN4)-QI4-QM4,"")</f>
        <v>26.62003</v>
      </c>
      <c r="RD4" s="76">
        <f>IF(SUM(QO4:QP4,QR4)-QQ4&gt;0,SUM(QO4:QP4,QR4)-QQ4,"")</f>
        <v>12.9</v>
      </c>
      <c r="RE4" s="76">
        <f>IF(SUM(QH4,QL4,QP4)&gt;0,SUM(QH4,QL4,QP4),"")</f>
        <v>11.550015000000002</v>
      </c>
      <c r="RF4" s="76">
        <f>IF(SUM(RC4,RD4)&gt;0,SUM(RC4,RD4),"")</f>
        <v>39.520029999999998</v>
      </c>
      <c r="RG4" s="76">
        <f>IF(SUM(QT4,QX4)&gt;0,SUM(QT4,QX4),"")</f>
        <v>7.6000000000000005</v>
      </c>
      <c r="RH4" s="76">
        <f>IF(SUM(QS4:QT4,QV4:QX4,QZ4)-SUM(QU4,QY4)&gt;0,SUM(QS4:QT4,QV4:QX4,QZ4)-SUM(QU4,QY4),"")</f>
        <v>25.999999999999996</v>
      </c>
      <c r="RI4" s="76">
        <f>IF(SUM(RC4,RH4)&gt;0,SUM(RC4,RH4),"")</f>
        <v>52.62003</v>
      </c>
    </row>
    <row r="5" spans="1:477" x14ac:dyDescent="0.2">
      <c r="A5" s="5" cm="1">
        <f t="array" ref="A5">IF(AND(F5="P",G5="P"),SUMPRODUCT((F$4:F$18="P")*(G$4:G$18="P")*(E$4:E$18&gt;E5))+1,IF(G5="P",SUMPRODUCT((F$4:F$18="")*(G$4:G$18="P")*(E$4:E$18&gt;E5))+1+SUMPRODUCT((F$4:F$18="P")*(G$4:G$18="P")),""))</f>
        <v>2</v>
      </c>
      <c r="B5" s="6" t="s">
        <v>85</v>
      </c>
      <c r="C5" s="7" t="s">
        <v>3</v>
      </c>
      <c r="D5" s="18">
        <v>2003</v>
      </c>
      <c r="E5" s="14">
        <f>SUM(J5:T5)+SUM(J5:P5)*0.0000001+SUM(J5)*0.0000000000001</f>
        <v>133.20008766001359</v>
      </c>
      <c r="F5" s="3" t="str">
        <f>IF(OR(AND(AR5&gt;=AY$20,AS5&gt;=AY$24,AR5&lt;&gt;"",AQ5=""),AND(AW5&gt;=AY$20,AX5&gt;=AY$24,AW5&lt;&gt;"",AQ5=""),AND(BU5&gt;=CB$20,BV5&gt;=CB$24,BU5&lt;&gt;"",BT5=""),AND(BZ5&gt;=CB$20,CA5&gt;=CB$24,BZ5&lt;&gt;"",BT5=""),AND(CX5&gt;=DE$20,CY5&gt;=DE$24,CX5&lt;&gt;"",CW5=""),AND(DC5&gt;=DE$20,DD5&gt;=DE$24,DC5&lt;&gt;""),AND(EC5&gt;=EJ$20,ED5&gt;=EJ$24,EC5&lt;&gt;""),AND(EH5&gt;=EJ$20,EI5&gt;=EJ$24,EH5&lt;&gt;""),AND(FE5&gt;=FL$20,FF5&gt;=FL$24,FE5&lt;&gt;""),AND(FJ5&gt;=FL$20,FK5&gt;=FL$24,FJ5&lt;&gt;""),AND(GG5&gt;=GN$20,GH5&gt;=GN$24,GG5&lt;&gt;""),AND(GL5&gt;=GN$20,GM5&gt;=GN$24,GL5&lt;&gt;""),AND(HI5&gt;=HP$20,HJ5&gt;=HP$24,HI5&lt;&gt;""),AND(HN5&gt;=HP$20,HO5&gt;=HP$24,HN5&lt;&gt;""),AND(IK5&gt;=IR$20,IL5&gt;=IR$24,IK5&lt;&gt;""),AND(IP5&gt;=IR$20,IQ5&gt;=IR$24,IP5&lt;&gt;""),AND(JM5&gt;=JT$20,JN5&gt;=JT$24,JM5&lt;&gt;""),AND(JR5&gt;=JT$20,JS5&gt;=JT$24,JR5&lt;&gt;""),AND(KO5&gt;=KV$20,KP5&gt;=KV$24,KO5&lt;&gt;""),AND(KT5&gt;=KV$20,KU5&gt;=KV$24,KT5&lt;&gt;""),AND(LQ5&gt;=LX$20,LR5&gt;=LX$24,LQ5&lt;&gt;""),AND(LV5&gt;=LX$20,LW5&gt;=LX$24,LV5&lt;&gt;""),AND(MS5&gt;=MZ$20,MT5&gt;=MZ$24,MS5&lt;&gt;""),AND(MX5&gt;=MZ$20,MY5&gt;=MZ$24,MX5&lt;&gt;""),AND(NU5&gt;=OB$20,NV5&gt;=OB$24,NU5&lt;&gt;""),AND(NZ5&gt;=OB$20,OA5&gt;=OB$24,NZ5&lt;&gt;""),AND(OW5&gt;=PD$20,OX5&gt;=PD$24,OW5&lt;&gt;""),AND(PB5&gt;=PD$20,PC5&gt;=PD$24,PB5&lt;&gt;""),AND(PY5&gt;=QF$20,PZ5&gt;=QF$24,PY5&lt;&gt;""),AND(QD5&gt;=QF$20,QE5&gt;=QF$24,QD5&lt;&gt;"")),"P","")</f>
        <v>P</v>
      </c>
      <c r="G5" s="3" t="str">
        <f>IF(OR(AND(AS5&gt;=AY$24,AS5&lt;&gt;"",AQ5=""),AND(AX5&gt;=AY$24,AX5&lt;&gt;"",AQ5=""),AND(BV5&gt;=CB$24,BV5&lt;&gt;"",BT5=""),AND(CA5&gt;=CB$24,CA5&lt;&gt;"",BT5=""),AND(CY5&gt;=DE$24,CY5&lt;&gt;"",CW5=""),AND(DD5&gt;=DE$24,DD5&lt;&gt;"",CW5=""),AND(ED5&gt;=EJ$24,ED5&lt;&gt;""),AND(EI5&gt;=EJ$24,EI5&lt;&gt;""),AND(FF5&gt;=FL$24,FF5&lt;&gt;""),AND(FK5&gt;=FL$24,FK5&lt;&gt;""),AND(GH5&gt;=GN$24,GH5&lt;&gt;""),AND(GM5&gt;=GN$24,GM5&lt;&gt;""),AND(HJ5&gt;=HP$24,HJ5&lt;&gt;""),AND(HO5&gt;=HP$24,HO5&lt;&gt;""),AND(IL5&gt;=IR$24,IL5&lt;&gt;""),AND(IQ5&gt;=IR$24,IQ5&lt;&gt;""),AND(JN5&gt;=JT$24,JN5&lt;&gt;""),AND(JS5&gt;=JT$24,JS5&lt;&gt;""),AND(KP5&gt;=KV$24,KP5&lt;&gt;""),AND(KU5&gt;=KV$24,KU5&lt;&gt;""),AND(LR5&gt;=LX$24,LR5&lt;&gt;""),AND(LW5&gt;=LX$24,LW5&lt;&gt;""),AND(MT5&gt;=MZ$24,MT5&lt;&gt;""),AND(MY5&gt;=MZ$24,MY5&lt;&gt;""),AND(NV5&gt;=OB$24,NV5&lt;&gt;""),AND(OA5&gt;=OB$24,OA5&lt;&gt;""),AND(OX5&gt;=PD$24,OX5&lt;&gt;""),AND(PC5&gt;=PD$24,PC5&lt;&gt;""),AND(PZ5&gt;=QF$24,PZ5&lt;&gt;""),AND(QE5&gt;=QF$24,QE5&lt;&gt;"")),"P","")</f>
        <v>P</v>
      </c>
      <c r="H5" s="70" t="str">
        <f>IF(AND(G5="P",F5=""),"No DD",IF(OR(AND(AU5&gt;=AY$23,AV5&gt;=AY$27,AU5&lt;&gt;"",AQ5=""),AND(BX5&gt;=CB$23,BY5&gt;=CB$27,BX5&lt;&gt;"",BT5=""),AND(DA5&gt;=DE$23,DB5&gt;=DE$27,DA5&lt;&gt;"",CW5=""),AND(EF5&gt;=EJ$23,EG5&gt;=EJ$27,EF5&lt;&gt;""),AND(FH5&gt;=FL$23,FI5&gt;=FL$27,FH5&lt;&gt;""),AND(GJ5&gt;=GN$23,GK5&gt;=GN$27,GJ5&lt;&gt;""),AND(HL5&gt;=HP$23,HM5&gt;=HP$27,HL5&lt;&gt;""),AND(IN5&gt;=IR$23,IO5&gt;=IR$27,IN5&lt;&gt;""),AND(JP5&gt;=JT$23,JQ5&gt;=JT$27,JP5&lt;&gt;""),AND(KR5&gt;=KV$23,KS5&gt;=KV$27,KR5&lt;&gt;""),AND(LT5&gt;=LX$23,LU5&gt;=LX$27,LT5&lt;&gt;""),AND(MV5&gt;=MZ$23,MW5&gt;=MZ$27,MV5&lt;&gt;""),AND(NX5&gt;=OB$23,NY5&gt;=OB$27,NX5&lt;&gt;""),AND(OZ5&gt;=PD$23,PA5&gt;=PD$27,OZ5&lt;&gt;""),AND(QB5&gt;=QF$23,QC5&gt;=QF$27,QB5&lt;&gt;"")),"Merit",IF(OR(AND(AU5&gt;=AY$22,AV5&gt;=AY$26,AU5&lt;&gt;"",AQ5=""),AND(BX5&gt;=CB$22,BY5&gt;=CB$26,BX5&lt;&gt;"",BT5=""),AND(DA5&gt;=DE$22,DB5&gt;=DE$26,DA5&lt;&gt;"",CW5=""),AND(EF5&gt;=EJ$22,EG5&gt;=EJ$26,EF5&lt;&gt;""),AND(FH5&gt;=FL$22,FI5&gt;=FL$26,FH5&lt;&gt;""),AND(GJ5&gt;=GN$22,GK5&gt;=GN$26,GJ5&lt;&gt;""),AND(HL5&gt;=HP$22,HM5&gt;=HP$26,HL5&lt;&gt;""),AND(IN5&gt;=IR$22,IO5&gt;=IR$26,IN5&lt;&gt;""),AND(JP5&gt;=JT$22,JQ5&gt;=JT$26,JP5&lt;&gt;""),AND(KR5&gt;=KV$22,KS5&gt;=KV$26,KR5&lt;&gt;""),AND(LT5&gt;=LX$22,LU5&gt;=LX$26,LT5&lt;&gt;""),AND(MV5&gt;=MZ$22,MW5&gt;=MZ$26,MV5&lt;&gt;""),AND(NX5&gt;=OB$22,NY5&gt;=OB$26,NX5&lt;&gt;""),AND(OZ5&gt;=PD$22,PA5&gt;=PD$26,OZ5&lt;&gt;""),AND(QB5&gt;=QF$22,QC5&gt;=QF$26,QB5&lt;&gt;"")),"Excellence",IF(I5="P","Worlds Team",IF(F5="P","National Team","")))))</f>
        <v>Merit</v>
      </c>
      <c r="I5" s="3" t="str">
        <f>IF(OR(AND(AU5&gt;=AY$21,AV5&gt;=AY$25,AU5&lt;&gt;"",AQ5=""),AND(BX5&gt;=CB$21,BY5&gt;=CB$25,BX5&lt;&gt;"",BT5=""),AND(DA5&gt;=DE$21,DB5&gt;=DE$25,DA5&lt;&gt;"",CW5=""),AND(EF5&gt;=EJ$21,EG5&gt;=EJ$25,EF5&lt;&gt;""),AND(FH5&gt;=FL$21,FI5&gt;=FL$25,FH5&lt;&gt;""),AND(GJ5&gt;=GN$21,GK5&gt;=GN$25,GJ5&lt;&gt;""),AND(HL5&gt;=HP$21,HM5&gt;=HP$25,HL5&lt;&gt;""),AND(IN5&gt;=IR$21,IO5&gt;=IR$25,IN5&lt;&gt;""),AND(JP5&gt;=JT$21,JQ5&gt;=JT$25,JP5&lt;&gt;""),AND(KR5&gt;=KV$21,KS5&gt;=KV$25,KR5&lt;&gt;""),AND(LT5&gt;=LX$21,LU5&gt;=LX$25,LT5&lt;&gt;""),AND(MV5&gt;=MZ$21,MW5&gt;=MZ$25,MV5&lt;&gt;""),AND(NX5&gt;=OB$21,NY5&gt;=OB$25,NX5&lt;&gt;""),AND(OZ5&gt;=PD$21,PA5&gt;=PD$25,OZ5&lt;&gt;""),AND(QB5&gt;=QF$21,QC5&gt;=QF$25,QB5&lt;&gt;"")),"P","")</f>
        <v>P</v>
      </c>
      <c r="J5" s="13">
        <f>IF(COUNT(AS5,BV5,CY5)&gt;0,LARGE((AS5,BV5,CY5),1),0)</f>
        <v>55.999999999999993</v>
      </c>
      <c r="K5" s="13" t="str">
        <f>IF(J5=0,"",IF(J5=CY5,$CC$1,IF(J5=BV5,$AZ$1,IF(J5=AS5,$W$1,""))))</f>
        <v>2022 Elite Canada</v>
      </c>
      <c r="L5" s="13">
        <f>IF(COUNT(AS5,BV5,CY5)&gt;1,LARGE((AS5,BV5,CY5),2),0)</f>
        <v>8.0000000000000007E-5</v>
      </c>
      <c r="M5" s="13" t="str">
        <f>IF(L5=0,"",IF(L5=CY5,$CC$1,IF(L5=BV5,$AZ$1,IF(L5=AS5,$W$1,""))))</f>
        <v>2021 Canadian Championships</v>
      </c>
      <c r="N5" s="13">
        <f>IF(COUNT(AT5,BW5,CZ5)&gt;0,LARGE((AT5,BW5,CZ5),1),0)</f>
        <v>20.6</v>
      </c>
      <c r="O5" s="13" t="str">
        <f>IF(N5=0,"",IF(N5=CZ5,$CC$1,IF(N5=BW5,$AZ$1,IF(N5=AT5,$W$1,""))))</f>
        <v>2022 Elite Canada</v>
      </c>
      <c r="P5" s="13">
        <f>IF(COUNT(AT5,BW5,CZ5)&gt;1,LARGE((AT5,BW5,CZ5),2),0)</f>
        <v>0</v>
      </c>
      <c r="Q5" s="13" t="str">
        <f>IF(P5=0,"",IF(P5=CZ5,$CC$1,IF(P5=BW5,$AZ$1,IF(P5=AT5,$W$1,""))))</f>
        <v/>
      </c>
      <c r="R5" s="13">
        <f>IF(MAX(AX5,CA5,DD5)&gt;0,MAX(AX5,CA5,DD5),0)</f>
        <v>54.599999999999994</v>
      </c>
      <c r="S5" s="13" t="str">
        <f>IF(R5=0,"",IF(R5=DD5,$CC$1,IF(R5=CA5,$AZ$1,IF(R5=AX5,$W$1,""))))</f>
        <v>2022 Elite Canada</v>
      </c>
      <c r="T5" s="13">
        <f>IF(MAX(DF5:DH5)&gt;0,MAX(DF5:DH5),"")</f>
        <v>2.0000000000000071</v>
      </c>
      <c r="U5" s="16" t="str">
        <f>IF(T5="","",IF(T5=DF5,"("&amp;DF$2&amp;")",IF(T5=DH5,"("&amp;DH$2&amp;")")))</f>
        <v>(Final)</v>
      </c>
      <c r="V5" s="13" t="str">
        <f>IF(T5="","",IF(T5=DF5,IF(T5+IF(L5="",0,L5)=PZ5,$PE$1,IF(T5+IF(L5="",0,L5)=OX5,$OC$1,IF(T5+IF(L5="",0,L5)=NV5,$NA$1,IF(T5+IF(L5="",0,L5)=MT5,$LY$1,IF(T5+IF(L5="",0,L5)=LR5,$KW$1,IF(T5+IF(L5="",0,L5)=KP5,$JU$1,IF(T5+IF(L5="",0,L5)=JN5,$IS$1,IF(T5+IF(L5="",0,L5)=IL5,$HQ$1,IF(T5+IF(L5="",0,L5)=HJ5,$GO$1,IF(T5+IF(L5="",0,L5)=GH5,$FM$1,IF(T5+IF(L5="",0,L5)=FF5,$EK$1,IF(T5+IF(L5="",0,L5)=ED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</f>
        <v>2022 World Games Technical Trial #1 (Mar 12)</v>
      </c>
      <c r="W5" s="27">
        <v>4.0000000000000003E-5</v>
      </c>
      <c r="X5" s="27">
        <v>4.0000000000000003E-5</v>
      </c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51"/>
      <c r="AR5" s="76">
        <f>IF(SUM(X5,AB5)&gt;0,SUM(X5,AB5),"")</f>
        <v>4.0000000000000003E-5</v>
      </c>
      <c r="AS5" s="76">
        <f>IF(SUM(W5:X5,Z5:AB5,AD5)-Y5-AC5&gt;0,SUM(W5:X5,Z5:AB5,AD5)-Y5-AC5,"")</f>
        <v>8.0000000000000007E-5</v>
      </c>
      <c r="AT5" s="76" t="str">
        <f>IF(SUM(AE5:AF5,AH5)-AG5&gt;0,SUM(AE5:AF5,AH5)-AG5,"")</f>
        <v/>
      </c>
      <c r="AU5" s="76">
        <f>IF(SUM(X5,AB5,AF5)&gt;0,SUM(X5,AB5,AF5),"")</f>
        <v>4.0000000000000003E-5</v>
      </c>
      <c r="AV5" s="76">
        <f>IF(SUM(AS5,AT5)&gt;0,SUM(AS5,AT5),"")</f>
        <v>8.0000000000000007E-5</v>
      </c>
      <c r="AW5" s="76" t="str">
        <f>IF(SUM(AJ5,AN5)&gt;0,SUM(AJ5,AN5),"")</f>
        <v/>
      </c>
      <c r="AX5" s="76" t="str">
        <f>IF(SUM(AI5:AJ5,AL5:AN5,AP5)-SUM(AK5,AO5)&gt;0,SUM(AI5:AJ5,AL5:AN5,AP5)-SUM(AK5,AO5),"")</f>
        <v/>
      </c>
      <c r="AY5" s="76">
        <f>IF(SUM(AS5,AX5)&gt;0,SUM(AS5,AX5),"")</f>
        <v>8.0000000000000007E-5</v>
      </c>
      <c r="AZ5" s="26">
        <v>4.0000000000000003E-5</v>
      </c>
      <c r="BA5" s="26">
        <v>4.0000000000000003E-5</v>
      </c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52"/>
      <c r="BU5" s="16">
        <f>IF(SUM(BA5,BE5)&gt;0,SUM(BA5,BE5),"")</f>
        <v>4.0000000000000003E-5</v>
      </c>
      <c r="BV5" s="16">
        <f>IF(SUM(AZ5:BA5,BC5:BE5,BG5)-BB5-BF5&gt;0,SUM(AZ5:BA5,BC5:BE5,BG5)-BB5-BF5,"")</f>
        <v>8.0000000000000007E-5</v>
      </c>
      <c r="BW5" s="16" t="str">
        <f>IF(SUM(BH5:BI5,BK5)-BJ5&gt;0,SUM(BH5:BI5,BK5)-BJ5,"")</f>
        <v/>
      </c>
      <c r="BX5" s="16">
        <f>IF(SUM(BA5,BE5,BI5)&gt;0,SUM(BA5,BE5,BI5),"")</f>
        <v>4.0000000000000003E-5</v>
      </c>
      <c r="BY5" s="16">
        <f>IF(SUM(BV5,BW5)&gt;0,SUM(BV5,BW5),"")</f>
        <v>8.0000000000000007E-5</v>
      </c>
      <c r="BZ5" s="16" t="str">
        <f>IF(SUM(BM5,BQ5)&gt;0,SUM(BM5,BQ5),"")</f>
        <v/>
      </c>
      <c r="CA5" s="16" t="str">
        <f>IF(SUM(BL5:BM5,BO5:BQ5,BS5)-SUM(BN5,BR5)&gt;0,SUM(BL5:BM5,BO5:BQ5,BS5)-SUM(BN5,BR5),"")</f>
        <v/>
      </c>
      <c r="CB5" s="16">
        <f>IF(SUM(BV5,CA5)&gt;0,SUM(BV5,CA5),"")</f>
        <v>8.0000000000000007E-5</v>
      </c>
      <c r="CC5" s="27">
        <v>18.8</v>
      </c>
      <c r="CD5" s="27">
        <v>9.1999999999999993</v>
      </c>
      <c r="CE5" s="27">
        <v>0.6</v>
      </c>
      <c r="CF5" s="27">
        <v>0.3</v>
      </c>
      <c r="CG5" s="27">
        <v>19</v>
      </c>
      <c r="CH5" s="27">
        <v>9.1999999999999993</v>
      </c>
      <c r="CI5" s="27">
        <v>0.2</v>
      </c>
      <c r="CJ5" s="27">
        <v>0.3</v>
      </c>
      <c r="CK5" s="27">
        <v>17.8</v>
      </c>
      <c r="CL5" s="27">
        <v>2.8</v>
      </c>
      <c r="CM5" s="27">
        <v>0</v>
      </c>
      <c r="CN5" s="27">
        <v>0</v>
      </c>
      <c r="CO5" s="27">
        <v>19</v>
      </c>
      <c r="CP5" s="27">
        <v>8.5</v>
      </c>
      <c r="CQ5" s="27">
        <v>0</v>
      </c>
      <c r="CR5" s="27">
        <v>0.3</v>
      </c>
      <c r="CS5" s="27">
        <v>18.7</v>
      </c>
      <c r="CT5" s="27">
        <v>8.4</v>
      </c>
      <c r="CU5" s="27">
        <v>0.6</v>
      </c>
      <c r="CV5" s="27">
        <v>0.3</v>
      </c>
      <c r="CW5" s="51"/>
      <c r="CX5" s="76">
        <f>IF(SUM(CD5,CH5)&gt;0,SUM(CD5,CH5),"")</f>
        <v>18.399999999999999</v>
      </c>
      <c r="CY5" s="76">
        <f>IF(SUM(CC5:CD5,CF5:CH5,CJ5)-CE5-CI5&gt;0,SUM(CC5:CD5,CF5:CH5,CJ5)-CE5-CI5,"")</f>
        <v>55.999999999999993</v>
      </c>
      <c r="CZ5" s="76">
        <f>IF(SUM(CK5:CL5,CN5)-CM5&gt;0,SUM(CK5:CL5,CN5)-CM5,"")</f>
        <v>20.6</v>
      </c>
      <c r="DA5" s="76">
        <f>IF(SUM(CD5,CH5,CL5)&gt;0,SUM(CD5,CH5,CL5),"")</f>
        <v>21.2</v>
      </c>
      <c r="DB5" s="76">
        <f>IF(SUM(CY5,CZ5)&gt;0,SUM(CY5,CZ5),"")</f>
        <v>76.599999999999994</v>
      </c>
      <c r="DC5" s="76">
        <f>IF(SUM(CP5,CT5)&gt;0,SUM(CP5,CT5),"")</f>
        <v>16.899999999999999</v>
      </c>
      <c r="DD5" s="76">
        <f>IF(SUM(CO5:CP5,CR5:CT5,CV5)-SUM(CQ5,CU5)&gt;0,SUM(CO5:CP5,CR5:CT5,CV5)-SUM(CQ5,CU5),"")</f>
        <v>54.599999999999994</v>
      </c>
      <c r="DE5" s="76">
        <f>IF(SUM(CY5,DD5)&gt;0,SUM(CY5,DD5),"")</f>
        <v>110.6</v>
      </c>
      <c r="DF5" s="87" t="str">
        <f>IF(L5&gt;=0.001,IF(MAX(ED5,FF5,GH5,HJ5,IL5,JN5,KP5,LR5,MT5,NV5,OX5,PZ5)-IF(L5="",0,L5)&gt;0.001,MAX(ED5,FF5,GH5,HJ5,IL5,JN5,KP5,LR5,MT5,NV5,OX5,PZ5)-IF(L5="",0,L5),""),"")</f>
        <v/>
      </c>
      <c r="DG5" s="87" t="str">
        <f>IF(P5&gt;=0.001,IF(MAX(EE5,FG5,GI5,HK5,IM5,JO5,KQ5,LS5,MU5,NW5,OY5,QA5)-IF(P5="",0,P5)&gt;0.001,MAX(EE5,FG5,GI5,HK5,IM5,JO5,KQ5,LS5,MU5,NW5,OY5,QA5)-IF(P5="",0,P5),""),"")</f>
        <v/>
      </c>
      <c r="DH5" s="87">
        <f>IF(R5&gt;=0.001,IF(MAX(EI5,FK5,GM5,HO5,IQ5,JS5,KU5,LW5,MY5,OA5,PC5,QE5)-IF(R5="",0,R5)&gt;0.001,MAX(EI5,FK5,GM5,HO5,IQ5,JS5,KU5,LW5,MY5,OA5,PC5,QE5)-IF(R5="",0,R5),""),"")</f>
        <v>2.0000000000000071</v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76" t="str">
        <f>IF(SUM(DJ5,DN5)&gt;0,SUM(DJ5,DN5),"")</f>
        <v/>
      </c>
      <c r="ED5" s="76" t="str">
        <f>IF(SUM(DI5:DJ5,DL5:DN5,DP5)-DK5-DO5&gt;0,SUM(DI5:DJ5,DL5:DN5,DP5)-DK5-DO5,"")</f>
        <v/>
      </c>
      <c r="EE5" s="76" t="str">
        <f>IF(SUM(DQ5:DR5,DT5)-DS5&gt;0,SUM(DQ5:DR5,DT5)-DS5,"")</f>
        <v/>
      </c>
      <c r="EF5" s="76" t="str">
        <f>IF(SUM(DJ5,DN5,DR5)&gt;0,SUM(DJ5,DN5,DR5),"")</f>
        <v/>
      </c>
      <c r="EG5" s="76" t="str">
        <f>IF(SUM(ED5,EE5)&gt;0,SUM(ED5,EE5),"")</f>
        <v/>
      </c>
      <c r="EH5" s="76" t="str">
        <f>IF(SUM(DV5,DZ5)&gt;0,SUM(DV5,DZ5),"")</f>
        <v/>
      </c>
      <c r="EI5" s="76" t="str">
        <f>IF(SUM(DU5:DV5,DX5:DZ5,EB5)-SUM(DW5,EA5)&gt;0,SUM(DU5:DV5,DX5:DZ5,EB5)-SUM(DW5,EA5),"")</f>
        <v/>
      </c>
      <c r="EJ5" s="76" t="str">
        <f>IF(SUM(ED5,EI5)&gt;0,SUM(ED5,EI5),"")</f>
        <v/>
      </c>
      <c r="EK5" s="26">
        <v>19.100000000000001</v>
      </c>
      <c r="EL5" s="26">
        <v>8.4</v>
      </c>
      <c r="EM5" s="26">
        <v>0.6</v>
      </c>
      <c r="EN5" s="26">
        <v>0</v>
      </c>
      <c r="EO5" s="26">
        <v>18.8</v>
      </c>
      <c r="EP5" s="26">
        <v>10</v>
      </c>
      <c r="EQ5" s="26">
        <v>0.2</v>
      </c>
      <c r="ER5" s="26">
        <v>0.6</v>
      </c>
      <c r="ES5" s="26"/>
      <c r="ET5" s="26"/>
      <c r="EU5" s="26"/>
      <c r="EV5" s="26"/>
      <c r="EW5" s="26">
        <v>19.2</v>
      </c>
      <c r="EX5" s="26">
        <v>9.1999999999999993</v>
      </c>
      <c r="EY5" s="26">
        <v>0</v>
      </c>
      <c r="EZ5" s="26">
        <v>0.3</v>
      </c>
      <c r="FA5" s="26">
        <v>19</v>
      </c>
      <c r="FB5" s="26">
        <v>9.1999999999999993</v>
      </c>
      <c r="FC5" s="26">
        <v>0.6</v>
      </c>
      <c r="FD5" s="26">
        <v>0.3</v>
      </c>
      <c r="FE5" s="16">
        <f>IF(SUM(EL5,EP5)&gt;0,SUM(EL5,EP5),"")</f>
        <v>18.399999999999999</v>
      </c>
      <c r="FF5" s="16">
        <f>IF(SUM(EK5:EL5,EN5:EP5,ER5)-EM5-EQ5&gt;0,SUM(EK5:EL5,EN5:EP5,ER5)-EM5-EQ5,"")</f>
        <v>56.099999999999994</v>
      </c>
      <c r="FG5" s="16" t="str">
        <f>IF(SUM(ES5:ET5,EV5)-EU5&gt;0,SUM(ES5:ET5,EV5)-EU5,"")</f>
        <v/>
      </c>
      <c r="FH5" s="16">
        <f>IF(SUM(EL5,EP5,ET5)&gt;0,SUM(EL5,EP5,ET5),"")</f>
        <v>18.399999999999999</v>
      </c>
      <c r="FI5" s="16">
        <f>IF(SUM(FF5,FG5)&gt;0,SUM(FF5,FG5),"")</f>
        <v>56.099999999999994</v>
      </c>
      <c r="FJ5" s="16">
        <f>IF(SUM(EX5,FB5)&gt;0,SUM(EX5,FB5),"")</f>
        <v>18.399999999999999</v>
      </c>
      <c r="FK5" s="16">
        <f>IF(SUM(EW5:EX5,EZ5:FB5,FD5)-SUM(EY5,FC5)&gt;0,SUM(EW5:EX5,EZ5:FB5,FD5)-SUM(EY5,FC5),"")</f>
        <v>56.6</v>
      </c>
      <c r="FL5" s="16">
        <f>IF(SUM(FF5,FK5)&gt;0,SUM(FF5,FK5),"")</f>
        <v>112.69999999999999</v>
      </c>
      <c r="FM5" s="25">
        <v>18.600000000000001</v>
      </c>
      <c r="FN5" s="25">
        <v>7.2</v>
      </c>
      <c r="FO5" s="25">
        <v>0</v>
      </c>
      <c r="FP5" s="25">
        <v>0</v>
      </c>
      <c r="FQ5" s="25">
        <v>19.100000000000001</v>
      </c>
      <c r="FR5" s="25">
        <v>8.4</v>
      </c>
      <c r="FS5" s="25">
        <v>0.2</v>
      </c>
      <c r="FT5" s="25">
        <v>0</v>
      </c>
      <c r="FU5" s="25"/>
      <c r="FV5" s="25"/>
      <c r="FW5" s="25"/>
      <c r="FX5" s="25"/>
      <c r="FY5" s="25">
        <v>18.2</v>
      </c>
      <c r="FZ5" s="25">
        <v>6.4</v>
      </c>
      <c r="GA5" s="25">
        <v>0.8</v>
      </c>
      <c r="GB5" s="25">
        <v>0</v>
      </c>
      <c r="GC5" s="25">
        <v>17.600000000000001</v>
      </c>
      <c r="GD5" s="25">
        <v>4</v>
      </c>
      <c r="GE5" s="25">
        <v>0</v>
      </c>
      <c r="GF5" s="25">
        <v>0</v>
      </c>
      <c r="GG5" s="76">
        <f>IF(SUM(FN5,FR5)&gt;0,SUM(FN5,FR5),"")</f>
        <v>15.600000000000001</v>
      </c>
      <c r="GH5" s="76">
        <f>IF(SUM(FM5:FN5,FP5:FR5,FT5)-FO5-FS5&gt;0,SUM(FM5:FN5,FP5:FR5,FT5)-FO5-FS5,"")</f>
        <v>53.1</v>
      </c>
      <c r="GI5" s="76" t="str">
        <f>IF(SUM(FU5:FV5,FX5)-FW5&gt;0,SUM(FU5:FV5,FX5)-FW5,"")</f>
        <v/>
      </c>
      <c r="GJ5" s="76">
        <f>IF(SUM(FN5,FR5,FV5)&gt;0,SUM(FN5,FR5,FV5),"")</f>
        <v>15.600000000000001</v>
      </c>
      <c r="GK5" s="76">
        <f>IF(SUM(GH5,GI5)&gt;0,SUM(GH5,GI5),"")</f>
        <v>53.1</v>
      </c>
      <c r="GL5" s="76">
        <f>IF(SUM(FZ5,GD5)&gt;0,SUM(FZ5,GD5),"")</f>
        <v>10.4</v>
      </c>
      <c r="GM5" s="76">
        <f>IF(SUM(FY5:FZ5,GB5:GD5,GF5)-SUM(GA5,GE5)&gt;0,SUM(FY5:FZ5,GB5:GD5,GF5)-SUM(GA5,GE5),"")</f>
        <v>45.400000000000006</v>
      </c>
      <c r="GN5" s="76">
        <f>IF(SUM(GH5,GM5)&gt;0,SUM(GH5,GM5),"")</f>
        <v>98.5</v>
      </c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16" t="str">
        <f>IF(SUM(GP5,GT5)&gt;0,SUM(GP5,GT5),"")</f>
        <v/>
      </c>
      <c r="HJ5" s="16" t="str">
        <f>IF(SUM(GO5:GP5,GR5:GT5,GV5)-GQ5-GU5&gt;0,SUM(GO5:GP5,GR5:GT5,GV5)-GQ5-GU5,"")</f>
        <v/>
      </c>
      <c r="HK5" s="16" t="str">
        <f>IF(SUM(GW5:GX5,GZ5)-GY5&gt;0,SUM(GW5:GX5,GZ5)-GY5,"")</f>
        <v/>
      </c>
      <c r="HL5" s="16" t="str">
        <f>IF(SUM(GP5,GT5,GX5)&gt;0,SUM(GP5,GT5,GX5),"")</f>
        <v/>
      </c>
      <c r="HM5" s="16" t="str">
        <f>IF(SUM(HJ5,HK5)&gt;0,SUM(HJ5,HK5),"")</f>
        <v/>
      </c>
      <c r="HN5" s="16" t="str">
        <f>IF(SUM(HB5,HF5)&gt;0,SUM(HB5,HF5),"")</f>
        <v/>
      </c>
      <c r="HO5" s="16" t="str">
        <f>IF(SUM(HA5:HB5,HD5:HF5,HH5)-SUM(HC5,HG5)&gt;0,SUM(HA5:HB5,HD5:HF5,HH5)-SUM(HC5,HG5),"")</f>
        <v/>
      </c>
      <c r="HP5" s="16" t="str">
        <f>IF(SUM(HJ5,HO5)&gt;0,SUM(HJ5,HO5),"")</f>
        <v/>
      </c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76" t="str">
        <f>IF(SUM(HR5,HV5)&gt;0,SUM(HR5,HV5),"")</f>
        <v/>
      </c>
      <c r="IL5" s="76" t="str">
        <f>IF(SUM(HQ5:HR5,HT5:HV5,HX5)-HS5-HW5&gt;0,SUM(HQ5:HR5,HT5:HV5,HX5)-HS5-HW5,"")</f>
        <v/>
      </c>
      <c r="IM5" s="76" t="str">
        <f>IF(SUM(HY5:HZ5,IB5)-IA5&gt;0,SUM(HY5:HZ5,IB5)-IA5,"")</f>
        <v/>
      </c>
      <c r="IN5" s="76" t="str">
        <f>IF(SUM(HR5,HV5,HZ5)&gt;0,SUM(HR5,HV5,HZ5),"")</f>
        <v/>
      </c>
      <c r="IO5" s="76" t="str">
        <f>IF(SUM(IL5,IM5)&gt;0,SUM(IL5,IM5),"")</f>
        <v/>
      </c>
      <c r="IP5" s="76" t="str">
        <f>IF(SUM(ID5,IH5)&gt;0,SUM(ID5,IH5),"")</f>
        <v/>
      </c>
      <c r="IQ5" s="76" t="str">
        <f>IF(SUM(IC5:ID5,IF5:IH5,IJ5)-SUM(IE5,II5)&gt;0,SUM(IC5:ID5,IF5:IH5,IJ5)-SUM(IE5,II5),"")</f>
        <v/>
      </c>
      <c r="IR5" s="76" t="str">
        <f>IF(SUM(IL5,IQ5)&gt;0,SUM(IL5,IQ5),"")</f>
        <v/>
      </c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16" t="str">
        <f>IF(SUM(IT5,IX5)&gt;0,SUM(IT5,IX5),"")</f>
        <v/>
      </c>
      <c r="JN5" s="16" t="str">
        <f>IF(SUM(IS5:IT5,IV5:IX5,IZ5)-IU5-IY5&gt;0,SUM(IS5:IT5,IV5:IX5,IZ5)-IU5-IY5,"")</f>
        <v/>
      </c>
      <c r="JO5" s="16" t="str">
        <f>IF(SUM(JA5:JB5,JD5)-JC5&gt;0,SUM(JA5:JB5,JD5)-JC5,"")</f>
        <v/>
      </c>
      <c r="JP5" s="16" t="str">
        <f>IF(SUM(IT5,IX5,JB5)&gt;0,SUM(IT5,IX5,JB5),"")</f>
        <v/>
      </c>
      <c r="JQ5" s="16" t="str">
        <f>IF(SUM(JN5,JO5)&gt;0,SUM(JN5,JO5),"")</f>
        <v/>
      </c>
      <c r="JR5" s="16" t="str">
        <f>IF(SUM(JF5,JJ5)&gt;0,SUM(JF5,JJ5),"")</f>
        <v/>
      </c>
      <c r="JS5" s="16" t="str">
        <f>IF(SUM(JE5:JF5,JH5:JJ5,JL5)-SUM(JG5,JK5)&gt;0,SUM(JE5:JF5,JH5:JJ5,JL5)-SUM(JG5,JK5),"")</f>
        <v/>
      </c>
      <c r="JT5" s="16" t="str">
        <f>IF(SUM(JN5,JS5)&gt;0,SUM(JN5,JS5),"")</f>
        <v/>
      </c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76" t="str">
        <f>IF(SUM(JV5,JZ5)&gt;0,SUM(JV5,JZ5),"")</f>
        <v/>
      </c>
      <c r="KP5" s="76" t="str">
        <f>IF(SUM(JU5:JV5,JX5:JZ5,KB5)-JW5-KA5&gt;0,SUM(JU5:JV5,JX5:JZ5,KB5)-JW5-KA5,"")</f>
        <v/>
      </c>
      <c r="KQ5" s="76" t="str">
        <f>IF(SUM(KC5:KD5,KF5)-KE5&gt;0,SUM(KC5:KD5,KF5)-KE5,"")</f>
        <v/>
      </c>
      <c r="KR5" s="76" t="str">
        <f>IF(SUM(JV5,JZ5,KD5)&gt;0,SUM(JV5,JZ5,KD5),"")</f>
        <v/>
      </c>
      <c r="KS5" s="76" t="str">
        <f>IF(SUM(KP5,KQ5)&gt;0,SUM(KP5,KQ5),"")</f>
        <v/>
      </c>
      <c r="KT5" s="76" t="str">
        <f>IF(SUM(KH5,KL5)&gt;0,SUM(KH5,KL5),"")</f>
        <v/>
      </c>
      <c r="KU5" s="76" t="str">
        <f>IF(SUM(KG5:KH5,KJ5:KL5,KN5)-SUM(KI5,KM5)&gt;0,SUM(KG5:KH5,KJ5:KL5,KN5)-SUM(KI5,KM5),"")</f>
        <v/>
      </c>
      <c r="KV5" s="76" t="str">
        <f>IF(SUM(KP5,KU5)&gt;0,SUM(KP5,KU5),"")</f>
        <v/>
      </c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16" t="str">
        <f>IF(SUM(KX5,LB5)&gt;0,SUM(KX5,LB5),"")</f>
        <v/>
      </c>
      <c r="LR5" s="16" t="str">
        <f>IF(SUM(KW5:KX5,KZ5:LB5,LD5)-KY5-LC5&gt;0,SUM(KW5:KX5,KZ5:LB5,LD5)-KY5-LC5,"")</f>
        <v/>
      </c>
      <c r="LS5" s="16" t="str">
        <f>IF(SUM(LE5:LF5,LH5)-LG5&gt;0,SUM(LE5:LF5,LH5)-LG5,"")</f>
        <v/>
      </c>
      <c r="LT5" s="16" t="str">
        <f>IF(SUM(KX5,LB5,LF5)&gt;0,SUM(KX5,LB5,LF5),"")</f>
        <v/>
      </c>
      <c r="LU5" s="16" t="str">
        <f>IF(SUM(LR5,LS5)&gt;0,SUM(LR5,LS5),"")</f>
        <v/>
      </c>
      <c r="LV5" s="16" t="str">
        <f>IF(SUM(LJ5,LN5)&gt;0,SUM(LJ5,LN5),"")</f>
        <v/>
      </c>
      <c r="LW5" s="16" t="str">
        <f>IF(SUM(LI5:LJ5,LL5:LN5,LP5)-SUM(LK5,LO5)&gt;0,SUM(LI5:LJ5,LL5:LN5,LP5)-SUM(LK5,LO5),"")</f>
        <v/>
      </c>
      <c r="LX5" s="16" t="str">
        <f>IF(SUM(LR5,LW5)&gt;0,SUM(LR5,LW5),"")</f>
        <v/>
      </c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76" t="str">
        <f>IF(SUM(LZ5,MD5)&gt;0,SUM(LZ5,MD5),"")</f>
        <v/>
      </c>
      <c r="MT5" s="76" t="str">
        <f>IF(SUM(LY5:LZ5,MB5:MD5,MF5)-MA5-ME5&gt;0,SUM(LY5:LZ5,MB5:MD5,MF5)-MA5-ME5,"")</f>
        <v/>
      </c>
      <c r="MU5" s="76" t="str">
        <f>IF(SUM(MG5:MH5,MJ5)-MI5&gt;0,SUM(MG5:MH5,MJ5)-MI5,"")</f>
        <v/>
      </c>
      <c r="MV5" s="76" t="str">
        <f>IF(SUM(LZ5,MD5,MH5)&gt;0,SUM(LZ5,MD5,MH5),"")</f>
        <v/>
      </c>
      <c r="MW5" s="76" t="str">
        <f>IF(SUM(MT5,MU5)&gt;0,SUM(MT5,MU5),"")</f>
        <v/>
      </c>
      <c r="MX5" s="76" t="str">
        <f>IF(SUM(ML5,MP5)&gt;0,SUM(ML5,MP5),"")</f>
        <v/>
      </c>
      <c r="MY5" s="76" t="str">
        <f>IF(SUM(MK5:ML5,MN5:MP5,MR5)-SUM(MM5,MQ5)&gt;0,SUM(MK5:ML5,MN5:MP5,MR5)-SUM(MM5,MQ5),"")</f>
        <v/>
      </c>
      <c r="MZ5" s="76" t="str">
        <f>IF(SUM(MT5,MY5)&gt;0,SUM(MT5,MY5),"")</f>
        <v/>
      </c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16" t="str">
        <f>IF(SUM(NB5,NF5)&gt;0,SUM(NB5,NF5),"")</f>
        <v/>
      </c>
      <c r="NV5" s="16" t="str">
        <f>IF(SUM(NA5:NB5,ND5:NF5,NH5)-NC5-NG5&gt;0,SUM(NA5:NB5,ND5:NF5,NH5)-NC5-NG5,"")</f>
        <v/>
      </c>
      <c r="NW5" s="16" t="str">
        <f>IF(SUM(NI5:NJ5,NL5)-NK5&gt;0,SUM(NI5:NJ5,NL5)-NK5,"")</f>
        <v/>
      </c>
      <c r="NX5" s="16" t="str">
        <f>IF(SUM(NB5,NF5,NJ5)&gt;0,SUM(NB5,NF5,NJ5),"")</f>
        <v/>
      </c>
      <c r="NY5" s="16" t="str">
        <f>IF(SUM(NV5,NW5)&gt;0,SUM(NV5,NW5),"")</f>
        <v/>
      </c>
      <c r="NZ5" s="16" t="str">
        <f>IF(SUM(NN5,NR5)&gt;0,SUM(NN5,NR5),"")</f>
        <v/>
      </c>
      <c r="OA5" s="16" t="str">
        <f>IF(SUM(NM5:NN5,NP5:NR5,NT5)-SUM(NO5,NS5)&gt;0,SUM(NM5:NN5,NP5:NR5,NT5)-SUM(NO5,NS5),"")</f>
        <v/>
      </c>
      <c r="OB5" s="16" t="str">
        <f>IF(SUM(NV5,OA5)&gt;0,SUM(NV5,OA5),"")</f>
        <v/>
      </c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76" t="str">
        <f>IF(SUM(OD5,OH5)&gt;0,SUM(OD5,OH5),"")</f>
        <v/>
      </c>
      <c r="OX5" s="76" t="str">
        <f>IF(SUM(OC5:OD5,OF5:OH5,OJ5)-OE5-OI5&gt;0,SUM(OC5:OD5,OF5:OH5,OJ5)-OE5-OI5,"")</f>
        <v/>
      </c>
      <c r="OY5" s="76" t="str">
        <f>IF(SUM(OK5:OL5,ON5)-OM5&gt;0,SUM(OK5:OL5,ON5)-OM5,"")</f>
        <v/>
      </c>
      <c r="OZ5" s="76" t="str">
        <f>IF(SUM(OD5,OH5,OL5)&gt;0,SUM(OD5,OH5,OL5),"")</f>
        <v/>
      </c>
      <c r="PA5" s="76" t="str">
        <f>IF(SUM(OX5,OY5)&gt;0,SUM(OX5,OY5),"")</f>
        <v/>
      </c>
      <c r="PB5" s="76" t="str">
        <f>IF(SUM(OP5,OT5)&gt;0,SUM(OP5,OT5),"")</f>
        <v/>
      </c>
      <c r="PC5" s="76" t="str">
        <f>IF(SUM(OO5:OP5,OR5:OT5,OV5)-SUM(OQ5,OU5)&gt;0,SUM(OO5:OP5,OR5:OT5,OV5)-SUM(OQ5,OU5),"")</f>
        <v/>
      </c>
      <c r="PD5" s="76" t="str">
        <f>IF(SUM(OX5,PC5)&gt;0,SUM(OX5,PC5),"")</f>
        <v/>
      </c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16" t="str">
        <f>IF(SUM(PF5,PJ5)&gt;0,SUM(PF5,PJ5),"")</f>
        <v/>
      </c>
      <c r="PZ5" s="16" t="str">
        <f>IF(SUM(PE5:PF5,PH5:PJ5,PL5)-PG5-PK5&gt;0,SUM(PE5:PF5,PH5:PJ5,PL5)-PG5-PK5,"")</f>
        <v/>
      </c>
      <c r="QA5" s="16" t="str">
        <f>IF(SUM(PM5:PN5,PP5)-PO5&gt;0,SUM(PM5:PN5,PP5)-PO5,"")</f>
        <v/>
      </c>
      <c r="QB5" s="16" t="str">
        <f>IF(SUM(PF5,PJ5,PN5)&gt;0,SUM(PF5,PJ5,PN5),"")</f>
        <v/>
      </c>
      <c r="QC5" s="16" t="str">
        <f>IF(SUM(PZ5,QA5)&gt;0,SUM(PZ5,QA5),"")</f>
        <v/>
      </c>
      <c r="QD5" s="16" t="str">
        <f>IF(SUM(PR5,PV5)&gt;0,SUM(PR5,PV5),"")</f>
        <v/>
      </c>
      <c r="QE5" s="16" t="str">
        <f>IF(SUM(PQ5:PR5,PT5:PV5,PX5)-SUM(PS5,PW5)&gt;0,SUM(PQ5:PR5,PT5:PV5,PX5)-SUM(PS5,PW5),"")</f>
        <v/>
      </c>
      <c r="QF5" s="16" t="str">
        <f>IF(SUM(PZ5,QE5)&gt;0,SUM(PZ5,QE5),"")</f>
        <v/>
      </c>
      <c r="QG5" s="42">
        <f>IF($CW5="P",CC5,(CC5+AZ5)/2)</f>
        <v>9.4000199999999996</v>
      </c>
      <c r="QH5" s="42">
        <f>IF($CW5="P",CD5,(CD5+BA5)/2)</f>
        <v>4.6000199999999998</v>
      </c>
      <c r="QI5" s="42">
        <f>IF($CW5="P",CE5,(CE5+BB5)/2)</f>
        <v>0.3</v>
      </c>
      <c r="QJ5" s="42">
        <f>IF($CW5="P",CF5,(CF5+BC5)/2)</f>
        <v>0.15</v>
      </c>
      <c r="QK5" s="42">
        <f>IF($CW5="P",CG5,(CG5+BD5)/2)</f>
        <v>9.5</v>
      </c>
      <c r="QL5" s="42">
        <f>IF($CW5="P",CH5,(CH5+BE5)/2)</f>
        <v>4.5999999999999996</v>
      </c>
      <c r="QM5" s="42">
        <f>IF($CW5="P",CI5,(CI5+BF5)/2)</f>
        <v>0.1</v>
      </c>
      <c r="QN5" s="42">
        <f>IF($CW5="P",CJ5,(CJ5+BG5)/2)</f>
        <v>0.15</v>
      </c>
      <c r="QO5" s="42">
        <f>IF($CW5="P",CK5,(CK5+BH5)/2)</f>
        <v>8.9</v>
      </c>
      <c r="QP5" s="42">
        <f>IF($CW5="P",CL5,(CL5+BI5)/2)</f>
        <v>1.4</v>
      </c>
      <c r="QQ5" s="42">
        <f>IF($CW5="P",CM5,(CM5+BJ5)/2)</f>
        <v>0</v>
      </c>
      <c r="QR5" s="42">
        <f>IF($CW5="P",CN5,(CN5+BK5)/2)</f>
        <v>0</v>
      </c>
      <c r="QS5" s="42">
        <f>IF($CW5="P",CO5,(CO5+BL5)/2)</f>
        <v>9.5</v>
      </c>
      <c r="QT5" s="42">
        <f>IF($CW5="P",CP5,(CP5+BM5)/2)</f>
        <v>4.25</v>
      </c>
      <c r="QU5" s="42">
        <f>IF($CW5="P",CQ5,(CQ5+BN5)/2)</f>
        <v>0</v>
      </c>
      <c r="QV5" s="42">
        <f>IF($CW5="P",CR5,(CR5+BO5)/2)</f>
        <v>0.15</v>
      </c>
      <c r="QW5" s="42">
        <f>IF($CW5="P",CS5,(CS5+BP5)/2)</f>
        <v>9.35</v>
      </c>
      <c r="QX5" s="42">
        <f>IF($CW5="P",CT5,(CT5+BQ5)/2)</f>
        <v>4.2</v>
      </c>
      <c r="QY5" s="42">
        <f>IF($CW5="P",CU5,(CU5+BR5)/2)</f>
        <v>0.3</v>
      </c>
      <c r="QZ5" s="42">
        <f>IF($CW5="P",CV5,(CV5+BS5)/2)</f>
        <v>0.15</v>
      </c>
      <c r="RA5" s="51" t="s">
        <v>61</v>
      </c>
      <c r="RB5" s="76">
        <f>IF(SUM(QH5,QL5)&gt;0,SUM(QH5,QL5),"")</f>
        <v>9.2000199999999985</v>
      </c>
      <c r="RC5" s="76">
        <f>IF(SUM(QG5:QH5,QJ5:QL5,QN5)-QI5-QM5&gt;0,SUM(QG5:QH5,QJ5:QL5,QN5)-QI5-QM5,"")</f>
        <v>28.000039999999995</v>
      </c>
      <c r="RD5" s="76">
        <f>IF(SUM(QO5:QP5,QR5)-QQ5&gt;0,SUM(QO5:QP5,QR5)-QQ5,"")</f>
        <v>10.3</v>
      </c>
      <c r="RE5" s="76">
        <f>IF(SUM(QH5,QL5,QP5)&gt;0,SUM(QH5,QL5,QP5),"")</f>
        <v>10.600019999999999</v>
      </c>
      <c r="RF5" s="76">
        <f>IF(SUM(RC5,RD5)&gt;0,SUM(RC5,RD5),"")</f>
        <v>38.300039999999996</v>
      </c>
      <c r="RG5" s="76">
        <f>IF(SUM(QT5,QX5)&gt;0,SUM(QT5,QX5),"")</f>
        <v>8.4499999999999993</v>
      </c>
      <c r="RH5" s="76">
        <f>IF(SUM(QS5:QT5,QV5:QX5,QZ5)-SUM(QU5,QY5)&gt;0,SUM(QS5:QT5,QV5:QX5,QZ5)-SUM(QU5,QY5),"")</f>
        <v>27.299999999999997</v>
      </c>
      <c r="RI5" s="76">
        <f>IF(SUM(RC5,RH5)&gt;0,SUM(RC5,RH5),"")</f>
        <v>55.300039999999996</v>
      </c>
    </row>
    <row r="6" spans="1:477" x14ac:dyDescent="0.2">
      <c r="A6" s="5">
        <f>IF(AND(F6="P",G6="P"),SUMPRODUCT((F$4:F$18="P")*(G$4:G$18="P")*(E$4:E$18&gt;E6))+1,IF(G6="P",SUMPRODUCT((F$4:F$18="")*(G$4:G$18="P")*(E$4:E$18&gt;E6))+1+SUMPRODUCT((F$4:F$18="P")*(G$4:G$18="P")),""))</f>
        <v>3</v>
      </c>
      <c r="B6" s="6" t="s">
        <v>10</v>
      </c>
      <c r="C6" s="7" t="s">
        <v>5</v>
      </c>
      <c r="D6" s="18">
        <v>1994</v>
      </c>
      <c r="E6" s="14">
        <f>SUM(J6:T6)+SUM(J6:P6)*0.0000001+SUM(J6)*0.0000000000001</f>
        <v>131.30000785000527</v>
      </c>
      <c r="F6" s="3" t="str">
        <f>IF(OR(AND(AR6&gt;=AY$20,AS6&gt;=AY$24,AR6&lt;&gt;"",AQ6=""),AND(AW6&gt;=AY$20,AX6&gt;=AY$24,AW6&lt;&gt;"",AQ6=""),AND(BU6&gt;=CB$20,BV6&gt;=CB$24,BU6&lt;&gt;"",BT6=""),AND(BZ6&gt;=CB$20,CA6&gt;=CB$24,BZ6&lt;&gt;"",BT6=""),AND(CX6&gt;=DE$20,CY6&gt;=DE$24,CX6&lt;&gt;"",CW6=""),AND(DC6&gt;=DE$20,DD6&gt;=DE$24,DC6&lt;&gt;""),AND(EC6&gt;=EJ$20,ED6&gt;=EJ$24,EC6&lt;&gt;""),AND(EH6&gt;=EJ$20,EI6&gt;=EJ$24,EH6&lt;&gt;""),AND(FE6&gt;=FL$20,FF6&gt;=FL$24,FE6&lt;&gt;""),AND(FJ6&gt;=FL$20,FK6&gt;=FL$24,FJ6&lt;&gt;""),AND(GG6&gt;=GN$20,GH6&gt;=GN$24,GG6&lt;&gt;""),AND(GL6&gt;=GN$20,GM6&gt;=GN$24,GL6&lt;&gt;""),AND(HI6&gt;=HP$20,HJ6&gt;=HP$24,HI6&lt;&gt;""),AND(HN6&gt;=HP$20,HO6&gt;=HP$24,HN6&lt;&gt;""),AND(IK6&gt;=IR$20,IL6&gt;=IR$24,IK6&lt;&gt;""),AND(IP6&gt;=IR$20,IQ6&gt;=IR$24,IP6&lt;&gt;""),AND(JM6&gt;=JT$20,JN6&gt;=JT$24,JM6&lt;&gt;""),AND(JR6&gt;=JT$20,JS6&gt;=JT$24,JR6&lt;&gt;""),AND(KO6&gt;=KV$20,KP6&gt;=KV$24,KO6&lt;&gt;""),AND(KT6&gt;=KV$20,KU6&gt;=KV$24,KT6&lt;&gt;""),AND(LQ6&gt;=LX$20,LR6&gt;=LX$24,LQ6&lt;&gt;""),AND(LV6&gt;=LX$20,LW6&gt;=LX$24,LV6&lt;&gt;""),AND(MS6&gt;=MZ$20,MT6&gt;=MZ$24,MS6&lt;&gt;""),AND(MX6&gt;=MZ$20,MY6&gt;=MZ$24,MX6&lt;&gt;""),AND(NU6&gt;=OB$20,NV6&gt;=OB$24,NU6&lt;&gt;""),AND(NZ6&gt;=OB$20,OA6&gt;=OB$24,NZ6&lt;&gt;""),AND(OW6&gt;=PD$20,OX6&gt;=PD$24,OW6&lt;&gt;""),AND(PB6&gt;=PD$20,PC6&gt;=PD$24,PB6&lt;&gt;""),AND(PY6&gt;=QF$20,PZ6&gt;=QF$24,PY6&lt;&gt;""),AND(QD6&gt;=QF$20,QE6&gt;=QF$24,QD6&lt;&gt;"")),"P","")</f>
        <v>P</v>
      </c>
      <c r="G6" s="3" t="str">
        <f>IF(OR(AND(AS6&gt;=AY$24,AS6&lt;&gt;"",AQ6=""),AND(AX6&gt;=AY$24,AX6&lt;&gt;"",AQ6=""),AND(BV6&gt;=CB$24,BV6&lt;&gt;"",BT6=""),AND(CA6&gt;=CB$24,CA6&lt;&gt;"",BT6=""),AND(CY6&gt;=DE$24,CY6&lt;&gt;"",CW6=""),AND(DD6&gt;=DE$24,DD6&lt;&gt;"",CW6=""),AND(ED6&gt;=EJ$24,ED6&lt;&gt;""),AND(EI6&gt;=EJ$24,EI6&lt;&gt;""),AND(FF6&gt;=FL$24,FF6&lt;&gt;""),AND(FK6&gt;=FL$24,FK6&lt;&gt;""),AND(GH6&gt;=GN$24,GH6&lt;&gt;""),AND(GM6&gt;=GN$24,GM6&lt;&gt;""),AND(HJ6&gt;=HP$24,HJ6&lt;&gt;""),AND(HO6&gt;=HP$24,HO6&lt;&gt;""),AND(IL6&gt;=IR$24,IL6&lt;&gt;""),AND(IQ6&gt;=IR$24,IQ6&lt;&gt;""),AND(JN6&gt;=JT$24,JN6&lt;&gt;""),AND(JS6&gt;=JT$24,JS6&lt;&gt;""),AND(KP6&gt;=KV$24,KP6&lt;&gt;""),AND(KU6&gt;=KV$24,KU6&lt;&gt;""),AND(LR6&gt;=LX$24,LR6&lt;&gt;""),AND(LW6&gt;=LX$24,LW6&lt;&gt;""),AND(MT6&gt;=MZ$24,MT6&lt;&gt;""),AND(MY6&gt;=MZ$24,MY6&lt;&gt;""),AND(NV6&gt;=OB$24,NV6&lt;&gt;""),AND(OA6&gt;=OB$24,OA6&lt;&gt;""),AND(OX6&gt;=PD$24,OX6&lt;&gt;""),AND(PC6&gt;=PD$24,PC6&lt;&gt;""),AND(PZ6&gt;=QF$24,PZ6&lt;&gt;""),AND(QE6&gt;=QF$24,QE6&lt;&gt;"")),"P","")</f>
        <v>P</v>
      </c>
      <c r="H6" s="70" t="str">
        <f>IF(AND(G6="P",F6=""),"No DD",IF(OR(AND(AU6&gt;=AY$23,AV6&gt;=AY$27,AU6&lt;&gt;"",AQ6=""),AND(BX6&gt;=CB$23,BY6&gt;=CB$27,BX6&lt;&gt;"",BT6=""),AND(DA6&gt;=DE$23,DB6&gt;=DE$27,DA6&lt;&gt;"",CW6=""),AND(EF6&gt;=EJ$23,EG6&gt;=EJ$27,EF6&lt;&gt;""),AND(FH6&gt;=FL$23,FI6&gt;=FL$27,FH6&lt;&gt;""),AND(GJ6&gt;=GN$23,GK6&gt;=GN$27,GJ6&lt;&gt;""),AND(HL6&gt;=HP$23,HM6&gt;=HP$27,HL6&lt;&gt;""),AND(IN6&gt;=IR$23,IO6&gt;=IR$27,IN6&lt;&gt;""),AND(JP6&gt;=JT$23,JQ6&gt;=JT$27,JP6&lt;&gt;""),AND(KR6&gt;=KV$23,KS6&gt;=KV$27,KR6&lt;&gt;""),AND(LT6&gt;=LX$23,LU6&gt;=LX$27,LT6&lt;&gt;""),AND(MV6&gt;=MZ$23,MW6&gt;=MZ$27,MV6&lt;&gt;""),AND(NX6&gt;=OB$23,NY6&gt;=OB$27,NX6&lt;&gt;""),AND(OZ6&gt;=PD$23,PA6&gt;=PD$27,OZ6&lt;&gt;""),AND(QB6&gt;=QF$23,QC6&gt;=QF$27,QB6&lt;&gt;"")),"Merit",IF(OR(AND(AU6&gt;=AY$22,AV6&gt;=AY$26,AU6&lt;&gt;"",AQ6=""),AND(BX6&gt;=CB$22,BY6&gt;=CB$26,BX6&lt;&gt;"",BT6=""),AND(DA6&gt;=DE$22,DB6&gt;=DE$26,DA6&lt;&gt;"",CW6=""),AND(EF6&gt;=EJ$22,EG6&gt;=EJ$26,EF6&lt;&gt;""),AND(FH6&gt;=FL$22,FI6&gt;=FL$26,FH6&lt;&gt;""),AND(GJ6&gt;=GN$22,GK6&gt;=GN$26,GJ6&lt;&gt;""),AND(HL6&gt;=HP$22,HM6&gt;=HP$26,HL6&lt;&gt;""),AND(IN6&gt;=IR$22,IO6&gt;=IR$26,IN6&lt;&gt;""),AND(JP6&gt;=JT$22,JQ6&gt;=JT$26,JP6&lt;&gt;""),AND(KR6&gt;=KV$22,KS6&gt;=KV$26,KR6&lt;&gt;""),AND(LT6&gt;=LX$22,LU6&gt;=LX$26,LT6&lt;&gt;""),AND(MV6&gt;=MZ$22,MW6&gt;=MZ$26,MV6&lt;&gt;""),AND(NX6&gt;=OB$22,NY6&gt;=OB$26,NX6&lt;&gt;""),AND(OZ6&gt;=PD$22,PA6&gt;=PD$26,OZ6&lt;&gt;""),AND(QB6&gt;=QF$22,QC6&gt;=QF$26,QB6&lt;&gt;"")),"Excellence",IF(I6="P","Worlds Team",IF(F6="P","National Team","")))))</f>
        <v>Worlds Team</v>
      </c>
      <c r="I6" s="3" t="str">
        <f>IF(OR(AND(AU6&gt;=AY$21,AV6&gt;=AY$25,AU6&lt;&gt;"",AQ6=""),AND(BX6&gt;=CB$21,BY6&gt;=CB$25,BX6&lt;&gt;"",BT6=""),AND(DA6&gt;=DE$21,DB6&gt;=DE$25,DA6&lt;&gt;"",CW6=""),AND(EF6&gt;=EJ$21,EG6&gt;=EJ$25,EF6&lt;&gt;""),AND(FH6&gt;=FL$21,FI6&gt;=FL$25,FH6&lt;&gt;""),AND(GJ6&gt;=GN$21,GK6&gt;=GN$25,GJ6&lt;&gt;""),AND(HL6&gt;=HP$21,HM6&gt;=HP$25,HL6&lt;&gt;""),AND(IN6&gt;=IR$21,IO6&gt;=IR$25,IN6&lt;&gt;""),AND(JP6&gt;=JT$21,JQ6&gt;=JT$25,JP6&lt;&gt;""),AND(KR6&gt;=KV$21,KS6&gt;=KV$25,KR6&lt;&gt;""),AND(LT6&gt;=LX$21,LU6&gt;=LX$25,LT6&lt;&gt;""),AND(MV6&gt;=MZ$21,MW6&gt;=MZ$25,MV6&lt;&gt;""),AND(NX6&gt;=OB$21,NY6&gt;=OB$25,NX6&lt;&gt;""),AND(OZ6&gt;=PD$21,PA6&gt;=PD$25,OZ6&lt;&gt;""),AND(QB6&gt;=QF$21,QC6&gt;=QF$25,QB6&lt;&gt;"")),"P","")</f>
        <v>P</v>
      </c>
      <c r="J6" s="13">
        <f>IF(COUNT(AS6,BV6,CY6)&gt;0,LARGE((AS6,BV6,CY6),1),0)</f>
        <v>53</v>
      </c>
      <c r="K6" s="13" t="str">
        <f>IF(J6=0,"",IF(J6=CY6,$CC$1,IF(J6=BV6,$AZ$1,IF(J6=AS6,$W$1,""))))</f>
        <v>2022 Elite Canada</v>
      </c>
      <c r="L6" s="13">
        <f>IF(COUNT(AS6,BV6,CY6)&gt;1,LARGE((AS6,BV6,CY6),2),0)</f>
        <v>0</v>
      </c>
      <c r="M6" s="13" t="str">
        <f>IF(L6=0,"",IF(L6=CY6,$CC$1,IF(L6=BV6,$AZ$1,IF(L6=AS6,$W$1,""))))</f>
        <v/>
      </c>
      <c r="N6" s="13">
        <f>IF(COUNT(AT6,BW6,CZ6)&gt;0,LARGE((AT6,BW6,CZ6),1),0)</f>
        <v>25.5</v>
      </c>
      <c r="O6" s="13" t="str">
        <f>IF(N6=0,"",IF(N6=CZ6,$CC$1,IF(N6=BW6,$AZ$1,IF(N6=AT6,$W$1,""))))</f>
        <v>2022 Elite Canada</v>
      </c>
      <c r="P6" s="13">
        <f>IF(COUNT(AT6,BW6,CZ6)&gt;1,LARGE((AT6,BW6,CZ6),2),0)</f>
        <v>0</v>
      </c>
      <c r="Q6" s="13" t="str">
        <f>IF(P6=0,"",IF(P6=CZ6,$CC$1,IF(P6=BW6,$AZ$1,IF(P6=AT6,$W$1,""))))</f>
        <v/>
      </c>
      <c r="R6" s="13">
        <f>IF(MAX(AX6,CA6,DD6)&gt;0,MAX(AX6,CA6,DD6),0)</f>
        <v>26.199999999999996</v>
      </c>
      <c r="S6" s="13" t="str">
        <f>IF(R6=0,"",IF(R6=DD6,$CC$1,IF(R6=CA6,$AZ$1,IF(R6=AX6,$W$1,""))))</f>
        <v>2022 Elite Canada</v>
      </c>
      <c r="T6" s="13">
        <f>IF(MAX(DF6:DH6)&gt;0,MAX(DF6:DH6),"")</f>
        <v>26.6</v>
      </c>
      <c r="U6" s="16" t="str">
        <f>IF(T6="","",IF(T6=DF6,"("&amp;DF$2&amp;")",IF(T6=DH6,"("&amp;DH$2&amp;")")))</f>
        <v>(Final)</v>
      </c>
      <c r="V6" s="13" t="str">
        <f>IF(T6="","",IF(T6=DF6,IF(T6+IF(L6="",0,L6)=PZ6,$PE$1,IF(T6+IF(L6="",0,L6)=OX6,$OC$1,IF(T6+IF(L6="",0,L6)=NV6,$NA$1,IF(T6+IF(L6="",0,L6)=MT6,$LY$1,IF(T6+IF(L6="",0,L6)=LR6,$KW$1,IF(T6+IF(L6="",0,L6)=KP6,$JU$1,IF(T6+IF(L6="",0,L6)=JN6,$IS$1,IF(T6+IF(L6="",0,L6)=IL6,$HQ$1,IF(T6+IF(L6="",0,L6)=HJ6,$GO$1,IF(T6+IF(L6="",0,L6)=GH6,$FM$1,IF(T6+IF(L6="",0,L6)=FF6,$EK$1,IF(T6+IF(L6="",0,L6)=ED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</f>
        <v>2022 World Games Technical Trial #1 (Mar 12)</v>
      </c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51"/>
      <c r="AR6" s="76" t="str">
        <f>IF(SUM(X6,AB6)&gt;0,SUM(X6,AB6),"")</f>
        <v/>
      </c>
      <c r="AS6" s="76" t="str">
        <f>IF(SUM(W6:X6,Z6:AB6,AD6)-Y6-AC6&gt;0,SUM(W6:X6,Z6:AB6,AD6)-Y6-AC6,"")</f>
        <v/>
      </c>
      <c r="AT6" s="76" t="str">
        <f>IF(SUM(AE6:AF6,AH6)-AG6&gt;0,SUM(AE6:AF6,AH6)-AG6,"")</f>
        <v/>
      </c>
      <c r="AU6" s="76" t="str">
        <f>IF(SUM(X6,AB6,AF6)&gt;0,SUM(X6,AB6,AF6),"")</f>
        <v/>
      </c>
      <c r="AV6" s="76" t="str">
        <f>IF(SUM(AS6,AT6)&gt;0,SUM(AS6,AT6),"")</f>
        <v/>
      </c>
      <c r="AW6" s="76" t="str">
        <f>IF(SUM(AJ6,AN6)&gt;0,SUM(AJ6,AN6),"")</f>
        <v/>
      </c>
      <c r="AX6" s="76" t="str">
        <f>IF(SUM(AI6:AJ6,AL6:AN6,AP6)-SUM(AK6,AO6)&gt;0,SUM(AI6:AJ6,AL6:AN6,AP6)-SUM(AK6,AO6),"")</f>
        <v/>
      </c>
      <c r="AY6" s="76" t="str">
        <f>IF(SUM(AS6,AX6)&gt;0,SUM(AS6,AX6),"")</f>
        <v/>
      </c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52"/>
      <c r="BU6" s="16" t="str">
        <f>IF(SUM(BA6,BE6)&gt;0,SUM(BA6,BE6),"")</f>
        <v/>
      </c>
      <c r="BV6" s="16" t="str">
        <f>IF(SUM(AZ6:BA6,BC6:BE6,BG6)-BB6-BF6&gt;0,SUM(AZ6:BA6,BC6:BE6,BG6)-BB6-BF6,"")</f>
        <v/>
      </c>
      <c r="BW6" s="16" t="str">
        <f>IF(SUM(BH6:BI6,BK6)-BJ6&gt;0,SUM(BH6:BI6,BK6)-BJ6,"")</f>
        <v/>
      </c>
      <c r="BX6" s="16" t="str">
        <f>IF(SUM(BA6,BE6,BI6)&gt;0,SUM(BA6,BE6,BI6),"")</f>
        <v/>
      </c>
      <c r="BY6" s="16" t="str">
        <f>IF(SUM(BV6,BW6)&gt;0,SUM(BV6,BW6),"")</f>
        <v/>
      </c>
      <c r="BZ6" s="16" t="str">
        <f>IF(SUM(BM6,BQ6)&gt;0,SUM(BM6,BQ6),"")</f>
        <v/>
      </c>
      <c r="CA6" s="16" t="str">
        <f>IF(SUM(BL6:BM6,BO6:BQ6,BS6)-SUM(BN6,BR6)&gt;0,SUM(BL6:BM6,BO6:BQ6,BS6)-SUM(BN6,BR6),"")</f>
        <v/>
      </c>
      <c r="CB6" s="16" t="str">
        <f>IF(SUM(BV6,CA6)&gt;0,SUM(BV6,CA6),"")</f>
        <v/>
      </c>
      <c r="CC6" s="27">
        <v>18.600000000000001</v>
      </c>
      <c r="CD6" s="27">
        <v>8.4</v>
      </c>
      <c r="CE6" s="27">
        <v>0</v>
      </c>
      <c r="CF6" s="27">
        <v>0</v>
      </c>
      <c r="CG6" s="27">
        <v>18.7</v>
      </c>
      <c r="CH6" s="27">
        <v>7.3</v>
      </c>
      <c r="CI6" s="27">
        <v>0</v>
      </c>
      <c r="CJ6" s="27">
        <v>0</v>
      </c>
      <c r="CK6" s="27">
        <v>18.3</v>
      </c>
      <c r="CL6" s="27">
        <v>7.2</v>
      </c>
      <c r="CM6" s="27">
        <v>0</v>
      </c>
      <c r="CN6" s="27">
        <v>0</v>
      </c>
      <c r="CO6" s="27">
        <v>18.399999999999999</v>
      </c>
      <c r="CP6" s="27">
        <v>8.4</v>
      </c>
      <c r="CQ6" s="27">
        <v>0.6</v>
      </c>
      <c r="CR6" s="27">
        <v>0</v>
      </c>
      <c r="CS6" s="27">
        <v>0</v>
      </c>
      <c r="CT6" s="27">
        <v>0</v>
      </c>
      <c r="CU6" s="27">
        <v>0</v>
      </c>
      <c r="CV6" s="27">
        <v>0</v>
      </c>
      <c r="CW6" s="51"/>
      <c r="CX6" s="76">
        <f>IF(SUM(CD6,CH6)&gt;0,SUM(CD6,CH6),"")</f>
        <v>15.7</v>
      </c>
      <c r="CY6" s="76">
        <f>IF(SUM(CC6:CD6,CF6:CH6,CJ6)-CE6-CI6&gt;0,SUM(CC6:CD6,CF6:CH6,CJ6)-CE6-CI6,"")</f>
        <v>53</v>
      </c>
      <c r="CZ6" s="76">
        <f>IF(SUM(CK6:CL6,CN6)-CM6&gt;0,SUM(CK6:CL6,CN6)-CM6,"")</f>
        <v>25.5</v>
      </c>
      <c r="DA6" s="76">
        <f>IF(SUM(CD6,CH6,CL6)&gt;0,SUM(CD6,CH6,CL6),"")</f>
        <v>22.9</v>
      </c>
      <c r="DB6" s="76">
        <f>IF(SUM(CY6,CZ6)&gt;0,SUM(CY6,CZ6),"")</f>
        <v>78.5</v>
      </c>
      <c r="DC6" s="76">
        <f>IF(SUM(CP6,CT6)&gt;0,SUM(CP6,CT6),"")</f>
        <v>8.4</v>
      </c>
      <c r="DD6" s="76">
        <f>IF(SUM(CO6:CP6,CR6:CT6,CV6)-SUM(CQ6,CU6)&gt;0,SUM(CO6:CP6,CR6:CT6,CV6)-SUM(CQ6,CU6),"")</f>
        <v>26.199999999999996</v>
      </c>
      <c r="DE6" s="76">
        <f>IF(SUM(CY6,DD6)&gt;0,SUM(CY6,DD6),"")</f>
        <v>79.199999999999989</v>
      </c>
      <c r="DF6" s="87" t="str">
        <f>IF(L6&gt;=0.001,IF(MAX(ED6,FF6,GH6,HJ6,IL6,JN6,KP6,LR6,MT6,NV6,OX6,PZ6)-IF(L6="",0,L6)&gt;0.001,MAX(ED6,FF6,GH6,HJ6,IL6,JN6,KP6,LR6,MT6,NV6,OX6,PZ6)-IF(L6="",0,L6),""),"")</f>
        <v/>
      </c>
      <c r="DG6" s="87" t="str">
        <f>IF(P6&gt;=0.001,IF(MAX(EE6,FG6,GI6,HK6,IM6,JO6,KQ6,LS6,MU6,NW6,OY6,QA6)-IF(P6="",0,P6)&gt;0.001,MAX(EE6,FG6,GI6,HK6,IM6,JO6,KQ6,LS6,MU6,NW6,OY6,QA6)-IF(P6="",0,P6),""),"")</f>
        <v/>
      </c>
      <c r="DH6" s="87">
        <f>IF(R6&gt;=0.001,IF(MAX(EI6,FK6,GM6,HO6,IQ6,JS6,KU6,LW6,MY6,OA6,PC6,QE6)-IF(R6="",0,R6)&gt;0.001,MAX(EI6,FK6,GM6,HO6,IQ6,JS6,KU6,LW6,MY6,OA6,PC6,QE6)-IF(R6="",0,R6),""),"")</f>
        <v>26.6</v>
      </c>
      <c r="DI6" s="25"/>
      <c r="DJ6" s="25">
        <v>2.0000000000000002E-5</v>
      </c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76">
        <f>IF(SUM(DJ6,DN6)&gt;0,SUM(DJ6,DN6),"")</f>
        <v>2.0000000000000002E-5</v>
      </c>
      <c r="ED6" s="76">
        <f>IF(SUM(DI6:DJ6,DL6:DN6,DP6)-DK6-DO6&gt;0,SUM(DI6:DJ6,DL6:DN6,DP6)-DK6-DO6,"")</f>
        <v>2.0000000000000002E-5</v>
      </c>
      <c r="EE6" s="76" t="str">
        <f>IF(SUM(DQ6:DR6,DT6)-DS6&gt;0,SUM(DQ6:DR6,DT6)-DS6,"")</f>
        <v/>
      </c>
      <c r="EF6" s="76">
        <f>IF(SUM(DJ6,DN6,DR6)&gt;0,SUM(DJ6,DN6,DR6),"")</f>
        <v>2.0000000000000002E-5</v>
      </c>
      <c r="EG6" s="76">
        <f>IF(SUM(ED6,EE6)&gt;0,SUM(ED6,EE6),"")</f>
        <v>2.0000000000000002E-5</v>
      </c>
      <c r="EH6" s="76" t="str">
        <f>IF(SUM(DV6,DZ6)&gt;0,SUM(DV6,DZ6),"")</f>
        <v/>
      </c>
      <c r="EI6" s="76" t="str">
        <f>IF(SUM(DU6:DV6,DX6:DZ6,EB6)-SUM(DW6,EA6)&gt;0,SUM(DU6:DV6,DX6:DZ6,EB6)-SUM(DW6,EA6),"")</f>
        <v/>
      </c>
      <c r="EJ6" s="76">
        <f>IF(SUM(ED6,EI6)&gt;0,SUM(ED6,EI6),"")</f>
        <v>2.0000000000000002E-5</v>
      </c>
      <c r="EK6" s="26">
        <v>18.399999999999999</v>
      </c>
      <c r="EL6" s="26">
        <v>8.4</v>
      </c>
      <c r="EM6" s="26">
        <v>0</v>
      </c>
      <c r="EN6" s="26">
        <v>0</v>
      </c>
      <c r="EO6" s="26">
        <v>18.5</v>
      </c>
      <c r="EP6" s="26">
        <v>7.3</v>
      </c>
      <c r="EQ6" s="26">
        <v>0</v>
      </c>
      <c r="ER6" s="26">
        <v>0</v>
      </c>
      <c r="ES6" s="26"/>
      <c r="ET6" s="26"/>
      <c r="EU6" s="26"/>
      <c r="EV6" s="26"/>
      <c r="EW6" s="26">
        <v>18.899999999999999</v>
      </c>
      <c r="EX6" s="26">
        <v>8.5</v>
      </c>
      <c r="EY6" s="26">
        <v>0.6</v>
      </c>
      <c r="EZ6" s="26">
        <v>0</v>
      </c>
      <c r="FA6" s="26">
        <v>18.600000000000001</v>
      </c>
      <c r="FB6" s="26">
        <v>8</v>
      </c>
      <c r="FC6" s="26">
        <v>0.6</v>
      </c>
      <c r="FD6" s="26">
        <v>0</v>
      </c>
      <c r="FE6" s="16">
        <f>IF(SUM(EL6,EP6)&gt;0,SUM(EL6,EP6),"")</f>
        <v>15.7</v>
      </c>
      <c r="FF6" s="16">
        <f>IF(SUM(EK6:EL6,EN6:EP6,ER6)-EM6-EQ6&gt;0,SUM(EK6:EL6,EN6:EP6,ER6)-EM6-EQ6,"")</f>
        <v>52.599999999999994</v>
      </c>
      <c r="FG6" s="16" t="str">
        <f>IF(SUM(ES6:ET6,EV6)-EU6&gt;0,SUM(ES6:ET6,EV6)-EU6,"")</f>
        <v/>
      </c>
      <c r="FH6" s="16">
        <f>IF(SUM(EL6,EP6,ET6)&gt;0,SUM(EL6,EP6,ET6),"")</f>
        <v>15.7</v>
      </c>
      <c r="FI6" s="16">
        <f>IF(SUM(FF6,FG6)&gt;0,SUM(FF6,FG6),"")</f>
        <v>52.599999999999994</v>
      </c>
      <c r="FJ6" s="16">
        <f>IF(SUM(EX6,FB6)&gt;0,SUM(EX6,FB6),"")</f>
        <v>16.5</v>
      </c>
      <c r="FK6" s="16">
        <f>IF(SUM(EW6:EX6,EZ6:FB6,FD6)-SUM(EY6,FC6)&gt;0,SUM(EW6:EX6,EZ6:FB6,FD6)-SUM(EY6,FC6),"")</f>
        <v>52.8</v>
      </c>
      <c r="FL6" s="16">
        <f>IF(SUM(FF6,FK6)&gt;0,SUM(FF6,FK6),"")</f>
        <v>105.39999999999999</v>
      </c>
      <c r="FM6" s="25">
        <v>18.7</v>
      </c>
      <c r="FN6" s="25">
        <v>8.4</v>
      </c>
      <c r="FO6" s="25">
        <v>0</v>
      </c>
      <c r="FP6" s="25">
        <v>0</v>
      </c>
      <c r="FQ6" s="25">
        <v>17.600000000000001</v>
      </c>
      <c r="FR6" s="25">
        <v>2.8</v>
      </c>
      <c r="FS6" s="25">
        <v>0</v>
      </c>
      <c r="FT6" s="25">
        <v>0</v>
      </c>
      <c r="FU6" s="25"/>
      <c r="FV6" s="25"/>
      <c r="FW6" s="25"/>
      <c r="FX6" s="25"/>
      <c r="FY6" s="25">
        <v>17.600000000000001</v>
      </c>
      <c r="FZ6" s="25">
        <v>4</v>
      </c>
      <c r="GA6" s="25">
        <v>0</v>
      </c>
      <c r="GB6" s="25">
        <v>0</v>
      </c>
      <c r="GC6" s="25">
        <v>18.3</v>
      </c>
      <c r="GD6" s="25">
        <v>7.2</v>
      </c>
      <c r="GE6" s="25">
        <v>0.6</v>
      </c>
      <c r="GF6" s="25">
        <v>0</v>
      </c>
      <c r="GG6" s="76">
        <f>IF(SUM(FN6,FR6)&gt;0,SUM(FN6,FR6),"")</f>
        <v>11.2</v>
      </c>
      <c r="GH6" s="76">
        <f>IF(SUM(FM6:FN6,FP6:FR6,FT6)-FO6-FS6&gt;0,SUM(FM6:FN6,FP6:FR6,FT6)-FO6-FS6,"")</f>
        <v>47.5</v>
      </c>
      <c r="GI6" s="76" t="str">
        <f>IF(SUM(FU6:FV6,FX6)-FW6&gt;0,SUM(FU6:FV6,FX6)-FW6,"")</f>
        <v/>
      </c>
      <c r="GJ6" s="76">
        <f>IF(SUM(FN6,FR6,FV6)&gt;0,SUM(FN6,FR6,FV6),"")</f>
        <v>11.2</v>
      </c>
      <c r="GK6" s="76">
        <f>IF(SUM(GH6,GI6)&gt;0,SUM(GH6,GI6),"")</f>
        <v>47.5</v>
      </c>
      <c r="GL6" s="76">
        <f>IF(SUM(FZ6,GD6)&gt;0,SUM(FZ6,GD6),"")</f>
        <v>11.2</v>
      </c>
      <c r="GM6" s="76">
        <f>IF(SUM(FY6:FZ6,GB6:GD6,GF6)-SUM(GA6,GE6)&gt;0,SUM(FY6:FZ6,GB6:GD6,GF6)-SUM(GA6,GE6),"")</f>
        <v>46.500000000000007</v>
      </c>
      <c r="GN6" s="76">
        <f>IF(SUM(GH6,GM6)&gt;0,SUM(GH6,GM6),"")</f>
        <v>94</v>
      </c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16" t="str">
        <f>IF(SUM(GP6,GT6)&gt;0,SUM(GP6,GT6),"")</f>
        <v/>
      </c>
      <c r="HJ6" s="16" t="str">
        <f>IF(SUM(GO6:GP6,GR6:GT6,GV6)-GQ6-GU6&gt;0,SUM(GO6:GP6,GR6:GT6,GV6)-GQ6-GU6,"")</f>
        <v/>
      </c>
      <c r="HK6" s="16" t="str">
        <f>IF(SUM(GW6:GX6,GZ6)-GY6&gt;0,SUM(GW6:GX6,GZ6)-GY6,"")</f>
        <v/>
      </c>
      <c r="HL6" s="16" t="str">
        <f>IF(SUM(GP6,GT6,GX6)&gt;0,SUM(GP6,GT6,GX6),"")</f>
        <v/>
      </c>
      <c r="HM6" s="16" t="str">
        <f>IF(SUM(HJ6,HK6)&gt;0,SUM(HJ6,HK6),"")</f>
        <v/>
      </c>
      <c r="HN6" s="16" t="str">
        <f>IF(SUM(HB6,HF6)&gt;0,SUM(HB6,HF6),"")</f>
        <v/>
      </c>
      <c r="HO6" s="16" t="str">
        <f>IF(SUM(HA6:HB6,HD6:HF6,HH6)-SUM(HC6,HG6)&gt;0,SUM(HA6:HB6,HD6:HF6,HH6)-SUM(HC6,HG6),"")</f>
        <v/>
      </c>
      <c r="HP6" s="16" t="str">
        <f>IF(SUM(HJ6,HO6)&gt;0,SUM(HJ6,HO6),"")</f>
        <v/>
      </c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76" t="str">
        <f>IF(SUM(HR6,HV6)&gt;0,SUM(HR6,HV6),"")</f>
        <v/>
      </c>
      <c r="IL6" s="76" t="str">
        <f>IF(SUM(HQ6:HR6,HT6:HV6,HX6)-HS6-HW6&gt;0,SUM(HQ6:HR6,HT6:HV6,HX6)-HS6-HW6,"")</f>
        <v/>
      </c>
      <c r="IM6" s="76" t="str">
        <f>IF(SUM(HY6:HZ6,IB6)-IA6&gt;0,SUM(HY6:HZ6,IB6)-IA6,"")</f>
        <v/>
      </c>
      <c r="IN6" s="76" t="str">
        <f>IF(SUM(HR6,HV6,HZ6)&gt;0,SUM(HR6,HV6,HZ6),"")</f>
        <v/>
      </c>
      <c r="IO6" s="76" t="str">
        <f>IF(SUM(IL6,IM6)&gt;0,SUM(IL6,IM6),"")</f>
        <v/>
      </c>
      <c r="IP6" s="76" t="str">
        <f>IF(SUM(ID6,IH6)&gt;0,SUM(ID6,IH6),"")</f>
        <v/>
      </c>
      <c r="IQ6" s="76" t="str">
        <f>IF(SUM(IC6:ID6,IF6:IH6,IJ6)-SUM(IE6,II6)&gt;0,SUM(IC6:ID6,IF6:IH6,IJ6)-SUM(IE6,II6),"")</f>
        <v/>
      </c>
      <c r="IR6" s="76" t="str">
        <f>IF(SUM(IL6,IQ6)&gt;0,SUM(IL6,IQ6),"")</f>
        <v/>
      </c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16" t="str">
        <f>IF(SUM(IT6,IX6)&gt;0,SUM(IT6,IX6),"")</f>
        <v/>
      </c>
      <c r="JN6" s="16" t="str">
        <f>IF(SUM(IS6:IT6,IV6:IX6,IZ6)-IU6-IY6&gt;0,SUM(IS6:IT6,IV6:IX6,IZ6)-IU6-IY6,"")</f>
        <v/>
      </c>
      <c r="JO6" s="16" t="str">
        <f>IF(SUM(JA6:JB6,JD6)-JC6&gt;0,SUM(JA6:JB6,JD6)-JC6,"")</f>
        <v/>
      </c>
      <c r="JP6" s="16" t="str">
        <f>IF(SUM(IT6,IX6,JB6)&gt;0,SUM(IT6,IX6,JB6),"")</f>
        <v/>
      </c>
      <c r="JQ6" s="16" t="str">
        <f>IF(SUM(JN6,JO6)&gt;0,SUM(JN6,JO6),"")</f>
        <v/>
      </c>
      <c r="JR6" s="16" t="str">
        <f>IF(SUM(JF6,JJ6)&gt;0,SUM(JF6,JJ6),"")</f>
        <v/>
      </c>
      <c r="JS6" s="16" t="str">
        <f>IF(SUM(JE6:JF6,JH6:JJ6,JL6)-SUM(JG6,JK6)&gt;0,SUM(JE6:JF6,JH6:JJ6,JL6)-SUM(JG6,JK6),"")</f>
        <v/>
      </c>
      <c r="JT6" s="16" t="str">
        <f>IF(SUM(JN6,JS6)&gt;0,SUM(JN6,JS6),"")</f>
        <v/>
      </c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76" t="str">
        <f>IF(SUM(JV6,JZ6)&gt;0,SUM(JV6,JZ6),"")</f>
        <v/>
      </c>
      <c r="KP6" s="76" t="str">
        <f>IF(SUM(JU6:JV6,JX6:JZ6,KB6)-JW6-KA6&gt;0,SUM(JU6:JV6,JX6:JZ6,KB6)-JW6-KA6,"")</f>
        <v/>
      </c>
      <c r="KQ6" s="76" t="str">
        <f>IF(SUM(KC6:KD6,KF6)-KE6&gt;0,SUM(KC6:KD6,KF6)-KE6,"")</f>
        <v/>
      </c>
      <c r="KR6" s="76" t="str">
        <f>IF(SUM(JV6,JZ6,KD6)&gt;0,SUM(JV6,JZ6,KD6),"")</f>
        <v/>
      </c>
      <c r="KS6" s="76" t="str">
        <f>IF(SUM(KP6,KQ6)&gt;0,SUM(KP6,KQ6),"")</f>
        <v/>
      </c>
      <c r="KT6" s="76" t="str">
        <f>IF(SUM(KH6,KL6)&gt;0,SUM(KH6,KL6),"")</f>
        <v/>
      </c>
      <c r="KU6" s="76" t="str">
        <f>IF(SUM(KG6:KH6,KJ6:KL6,KN6)-SUM(KI6,KM6)&gt;0,SUM(KG6:KH6,KJ6:KL6,KN6)-SUM(KI6,KM6),"")</f>
        <v/>
      </c>
      <c r="KV6" s="76" t="str">
        <f>IF(SUM(KP6,KU6)&gt;0,SUM(KP6,KU6),"")</f>
        <v/>
      </c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16" t="str">
        <f>IF(SUM(KX6,LB6)&gt;0,SUM(KX6,LB6),"")</f>
        <v/>
      </c>
      <c r="LR6" s="16" t="str">
        <f>IF(SUM(KW6:KX6,KZ6:LB6,LD6)-KY6-LC6&gt;0,SUM(KW6:KX6,KZ6:LB6,LD6)-KY6-LC6,"")</f>
        <v/>
      </c>
      <c r="LS6" s="16" t="str">
        <f>IF(SUM(LE6:LF6,LH6)-LG6&gt;0,SUM(LE6:LF6,LH6)-LG6,"")</f>
        <v/>
      </c>
      <c r="LT6" s="16" t="str">
        <f>IF(SUM(KX6,LB6,LF6)&gt;0,SUM(KX6,LB6,LF6),"")</f>
        <v/>
      </c>
      <c r="LU6" s="16" t="str">
        <f>IF(SUM(LR6,LS6)&gt;0,SUM(LR6,LS6),"")</f>
        <v/>
      </c>
      <c r="LV6" s="16" t="str">
        <f>IF(SUM(LJ6,LN6)&gt;0,SUM(LJ6,LN6),"")</f>
        <v/>
      </c>
      <c r="LW6" s="16" t="str">
        <f>IF(SUM(LI6:LJ6,LL6:LN6,LP6)-SUM(LK6,LO6)&gt;0,SUM(LI6:LJ6,LL6:LN6,LP6)-SUM(LK6,LO6),"")</f>
        <v/>
      </c>
      <c r="LX6" s="16" t="str">
        <f>IF(SUM(LR6,LW6)&gt;0,SUM(LR6,LW6),"")</f>
        <v/>
      </c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76" t="str">
        <f>IF(SUM(LZ6,MD6)&gt;0,SUM(LZ6,MD6),"")</f>
        <v/>
      </c>
      <c r="MT6" s="76" t="str">
        <f>IF(SUM(LY6:LZ6,MB6:MD6,MF6)-MA6-ME6&gt;0,SUM(LY6:LZ6,MB6:MD6,MF6)-MA6-ME6,"")</f>
        <v/>
      </c>
      <c r="MU6" s="76" t="str">
        <f>IF(SUM(MG6:MH6,MJ6)-MI6&gt;0,SUM(MG6:MH6,MJ6)-MI6,"")</f>
        <v/>
      </c>
      <c r="MV6" s="76" t="str">
        <f>IF(SUM(LZ6,MD6,MH6)&gt;0,SUM(LZ6,MD6,MH6),"")</f>
        <v/>
      </c>
      <c r="MW6" s="76" t="str">
        <f>IF(SUM(MT6,MU6)&gt;0,SUM(MT6,MU6),"")</f>
        <v/>
      </c>
      <c r="MX6" s="76" t="str">
        <f>IF(SUM(ML6,MP6)&gt;0,SUM(ML6,MP6),"")</f>
        <v/>
      </c>
      <c r="MY6" s="76" t="str">
        <f>IF(SUM(MK6:ML6,MN6:MP6,MR6)-SUM(MM6,MQ6)&gt;0,SUM(MK6:ML6,MN6:MP6,MR6)-SUM(MM6,MQ6),"")</f>
        <v/>
      </c>
      <c r="MZ6" s="76" t="str">
        <f>IF(SUM(MT6,MY6)&gt;0,SUM(MT6,MY6),"")</f>
        <v/>
      </c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16" t="str">
        <f>IF(SUM(NB6,NF6)&gt;0,SUM(NB6,NF6),"")</f>
        <v/>
      </c>
      <c r="NV6" s="16" t="str">
        <f>IF(SUM(NA6:NB6,ND6:NF6,NH6)-NC6-NG6&gt;0,SUM(NA6:NB6,ND6:NF6,NH6)-NC6-NG6,"")</f>
        <v/>
      </c>
      <c r="NW6" s="16" t="str">
        <f>IF(SUM(NI6:NJ6,NL6)-NK6&gt;0,SUM(NI6:NJ6,NL6)-NK6,"")</f>
        <v/>
      </c>
      <c r="NX6" s="16" t="str">
        <f>IF(SUM(NB6,NF6,NJ6)&gt;0,SUM(NB6,NF6,NJ6),"")</f>
        <v/>
      </c>
      <c r="NY6" s="16" t="str">
        <f>IF(SUM(NV6,NW6)&gt;0,SUM(NV6,NW6),"")</f>
        <v/>
      </c>
      <c r="NZ6" s="16" t="str">
        <f>IF(SUM(NN6,NR6)&gt;0,SUM(NN6,NR6),"")</f>
        <v/>
      </c>
      <c r="OA6" s="16" t="str">
        <f>IF(SUM(NM6:NN6,NP6:NR6,NT6)-SUM(NO6,NS6)&gt;0,SUM(NM6:NN6,NP6:NR6,NT6)-SUM(NO6,NS6),"")</f>
        <v/>
      </c>
      <c r="OB6" s="16" t="str">
        <f>IF(SUM(NV6,OA6)&gt;0,SUM(NV6,OA6),"")</f>
        <v/>
      </c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76" t="str">
        <f>IF(SUM(OD6,OH6)&gt;0,SUM(OD6,OH6),"")</f>
        <v/>
      </c>
      <c r="OX6" s="76" t="str">
        <f>IF(SUM(OC6:OD6,OF6:OH6,OJ6)-OE6-OI6&gt;0,SUM(OC6:OD6,OF6:OH6,OJ6)-OE6-OI6,"")</f>
        <v/>
      </c>
      <c r="OY6" s="76" t="str">
        <f>IF(SUM(OK6:OL6,ON6)-OM6&gt;0,SUM(OK6:OL6,ON6)-OM6,"")</f>
        <v/>
      </c>
      <c r="OZ6" s="76" t="str">
        <f>IF(SUM(OD6,OH6,OL6)&gt;0,SUM(OD6,OH6,OL6),"")</f>
        <v/>
      </c>
      <c r="PA6" s="76" t="str">
        <f>IF(SUM(OX6,OY6)&gt;0,SUM(OX6,OY6),"")</f>
        <v/>
      </c>
      <c r="PB6" s="76" t="str">
        <f>IF(SUM(OP6,OT6)&gt;0,SUM(OP6,OT6),"")</f>
        <v/>
      </c>
      <c r="PC6" s="76" t="str">
        <f>IF(SUM(OO6:OP6,OR6:OT6,OV6)-SUM(OQ6,OU6)&gt;0,SUM(OO6:OP6,OR6:OT6,OV6)-SUM(OQ6,OU6),"")</f>
        <v/>
      </c>
      <c r="PD6" s="76" t="str">
        <f>IF(SUM(OX6,PC6)&gt;0,SUM(OX6,PC6),"")</f>
        <v/>
      </c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16" t="str">
        <f>IF(SUM(PF6,PJ6)&gt;0,SUM(PF6,PJ6),"")</f>
        <v/>
      </c>
      <c r="PZ6" s="16" t="str">
        <f>IF(SUM(PE6:PF6,PH6:PJ6,PL6)-PG6-PK6&gt;0,SUM(PE6:PF6,PH6:PJ6,PL6)-PG6-PK6,"")</f>
        <v/>
      </c>
      <c r="QA6" s="16" t="str">
        <f>IF(SUM(PM6:PN6,PP6)-PO6&gt;0,SUM(PM6:PN6,PP6)-PO6,"")</f>
        <v/>
      </c>
      <c r="QB6" s="16" t="str">
        <f>IF(SUM(PF6,PJ6,PN6)&gt;0,SUM(PF6,PJ6,PN6),"")</f>
        <v/>
      </c>
      <c r="QC6" s="16" t="str">
        <f>IF(SUM(PZ6,QA6)&gt;0,SUM(PZ6,QA6),"")</f>
        <v/>
      </c>
      <c r="QD6" s="16" t="str">
        <f>IF(SUM(PR6,PV6)&gt;0,SUM(PR6,PV6),"")</f>
        <v/>
      </c>
      <c r="QE6" s="16" t="str">
        <f>IF(SUM(PQ6:PR6,PT6:PV6,PX6)-SUM(PS6,PW6)&gt;0,SUM(PQ6:PR6,PT6:PV6,PX6)-SUM(PS6,PW6),"")</f>
        <v/>
      </c>
      <c r="QF6" s="16" t="str">
        <f>IF(SUM(PZ6,QE6)&gt;0,SUM(PZ6,QE6),"")</f>
        <v/>
      </c>
      <c r="QG6" s="42">
        <f>IF($CW6="P",CC6,(CC6+AZ6)/2)</f>
        <v>9.3000000000000007</v>
      </c>
      <c r="QH6" s="42">
        <f>IF($CW6="P",CD6,(CD6+BA6)/2)</f>
        <v>4.2</v>
      </c>
      <c r="QI6" s="42">
        <f>IF($CW6="P",CE6,(CE6+BB6)/2)</f>
        <v>0</v>
      </c>
      <c r="QJ6" s="42">
        <f>IF($CW6="P",CF6,(CF6+BC6)/2)</f>
        <v>0</v>
      </c>
      <c r="QK6" s="42">
        <f>IF($CW6="P",CG6,(CG6+BD6)/2)</f>
        <v>9.35</v>
      </c>
      <c r="QL6" s="42">
        <f>IF($CW6="P",CH6,(CH6+BE6)/2)</f>
        <v>3.65</v>
      </c>
      <c r="QM6" s="42">
        <f>IF($CW6="P",CI6,(CI6+BF6)/2)</f>
        <v>0</v>
      </c>
      <c r="QN6" s="42">
        <f>IF($CW6="P",CJ6,(CJ6+BG6)/2)</f>
        <v>0</v>
      </c>
      <c r="QO6" s="42">
        <f>IF($CW6="P",CK6,(CK6+BH6)/2)</f>
        <v>9.15</v>
      </c>
      <c r="QP6" s="42">
        <f>IF($CW6="P",CL6,(CL6+BI6)/2)</f>
        <v>3.6</v>
      </c>
      <c r="QQ6" s="42">
        <f>IF($CW6="P",CM6,(CM6+BJ6)/2)</f>
        <v>0</v>
      </c>
      <c r="QR6" s="42">
        <f>IF($CW6="P",CN6,(CN6+BK6)/2)</f>
        <v>0</v>
      </c>
      <c r="QS6" s="42">
        <f>IF($CW6="P",CO6,(CO6+BL6)/2)</f>
        <v>9.1999999999999993</v>
      </c>
      <c r="QT6" s="42">
        <f>IF($CW6="P",CP6,(CP6+BM6)/2)</f>
        <v>4.2</v>
      </c>
      <c r="QU6" s="42">
        <f>IF($CW6="P",CQ6,(CQ6+BN6)/2)</f>
        <v>0.3</v>
      </c>
      <c r="QV6" s="42">
        <f>IF($CW6="P",CR6,(CR6+BO6)/2)</f>
        <v>0</v>
      </c>
      <c r="QW6" s="42">
        <f>IF($CW6="P",CS6,(CS6+BP6)/2)</f>
        <v>0</v>
      </c>
      <c r="QX6" s="42">
        <f>IF($CW6="P",CT6,(CT6+BQ6)/2)</f>
        <v>0</v>
      </c>
      <c r="QY6" s="42">
        <f>IF($CW6="P",CU6,(CU6+BR6)/2)</f>
        <v>0</v>
      </c>
      <c r="QZ6" s="42">
        <f>IF($CW6="P",CV6,(CV6+BS6)/2)</f>
        <v>0</v>
      </c>
      <c r="RA6" s="51" t="s">
        <v>61</v>
      </c>
      <c r="RB6" s="76">
        <f>IF(SUM(QH6,QL6)&gt;0,SUM(QH6,QL6),"")</f>
        <v>7.85</v>
      </c>
      <c r="RC6" s="76">
        <f>IF(SUM(QG6:QH6,QJ6:QL6,QN6)-QI6-QM6&gt;0,SUM(QG6:QH6,QJ6:QL6,QN6)-QI6-QM6,"")</f>
        <v>26.5</v>
      </c>
      <c r="RD6" s="76">
        <f>IF(SUM(QO6:QP6,QR6)-QQ6&gt;0,SUM(QO6:QP6,QR6)-QQ6,"")</f>
        <v>12.75</v>
      </c>
      <c r="RE6" s="76">
        <f>IF(SUM(QH6,QL6,QP6)&gt;0,SUM(QH6,QL6,QP6),"")</f>
        <v>11.45</v>
      </c>
      <c r="RF6" s="76">
        <f>IF(SUM(RC6,RD6)&gt;0,SUM(RC6,RD6),"")</f>
        <v>39.25</v>
      </c>
      <c r="RG6" s="76">
        <f>IF(SUM(QT6,QX6)&gt;0,SUM(QT6,QX6),"")</f>
        <v>4.2</v>
      </c>
      <c r="RH6" s="76">
        <f>IF(SUM(QS6:QT6,QV6:QX6,QZ6)-SUM(QU6,QY6)&gt;0,SUM(QS6:QT6,QV6:QX6,QZ6)-SUM(QU6,QY6),"")</f>
        <v>13.099999999999998</v>
      </c>
      <c r="RI6" s="76">
        <f>IF(SUM(RC6,RH6)&gt;0,SUM(RC6,RH6),"")</f>
        <v>39.599999999999994</v>
      </c>
    </row>
    <row r="7" spans="1:477" x14ac:dyDescent="0.2">
      <c r="A7" s="5">
        <f>IF(AND(F7="P",G7="P"),SUMPRODUCT((F$4:F$18="P")*(G$4:G$18="P")*(E$4:E$18&gt;E7))+1,IF(G7="P",SUMPRODUCT((F$4:F$18="")*(G$4:G$18="P")*(E$4:E$18&gt;E7))+1+SUMPRODUCT((F$4:F$18="P")*(G$4:G$18="P")),""))</f>
        <v>4</v>
      </c>
      <c r="B7" s="6" t="s">
        <v>91</v>
      </c>
      <c r="C7" s="7" t="s">
        <v>5</v>
      </c>
      <c r="D7" s="18">
        <v>2002</v>
      </c>
      <c r="E7" s="14">
        <f>SUM(J7:T7)+SUM(J7:P7)*0.0000001+SUM(J7)*0.0000000000001</f>
        <v>126.50005743000987</v>
      </c>
      <c r="F7" s="3" t="str">
        <f>IF(OR(AND(AR7&gt;=AY$20,AS7&gt;=AY$24,AR7&lt;&gt;"",AQ7=""),AND(AW7&gt;=AY$20,AX7&gt;=AY$24,AW7&lt;&gt;"",AQ7=""),AND(BU7&gt;=CB$20,BV7&gt;=CB$24,BU7&lt;&gt;"",BT7=""),AND(BZ7&gt;=CB$20,CA7&gt;=CB$24,BZ7&lt;&gt;"",BT7=""),AND(CX7&gt;=DE$20,CY7&gt;=DE$24,CX7&lt;&gt;"",CW7=""),AND(DC7&gt;=DE$20,DD7&gt;=DE$24,DC7&lt;&gt;""),AND(EC7&gt;=EJ$20,ED7&gt;=EJ$24,EC7&lt;&gt;""),AND(EH7&gt;=EJ$20,EI7&gt;=EJ$24,EH7&lt;&gt;""),AND(FE7&gt;=FL$20,FF7&gt;=FL$24,FE7&lt;&gt;""),AND(FJ7&gt;=FL$20,FK7&gt;=FL$24,FJ7&lt;&gt;""),AND(GG7&gt;=GN$20,GH7&gt;=GN$24,GG7&lt;&gt;""),AND(GL7&gt;=GN$20,GM7&gt;=GN$24,GL7&lt;&gt;""),AND(HI7&gt;=HP$20,HJ7&gt;=HP$24,HI7&lt;&gt;""),AND(HN7&gt;=HP$20,HO7&gt;=HP$24,HN7&lt;&gt;""),AND(IK7&gt;=IR$20,IL7&gt;=IR$24,IK7&lt;&gt;""),AND(IP7&gt;=IR$20,IQ7&gt;=IR$24,IP7&lt;&gt;""),AND(JM7&gt;=JT$20,JN7&gt;=JT$24,JM7&lt;&gt;""),AND(JR7&gt;=JT$20,JS7&gt;=JT$24,JR7&lt;&gt;""),AND(KO7&gt;=KV$20,KP7&gt;=KV$24,KO7&lt;&gt;""),AND(KT7&gt;=KV$20,KU7&gt;=KV$24,KT7&lt;&gt;""),AND(LQ7&gt;=LX$20,LR7&gt;=LX$24,LQ7&lt;&gt;""),AND(LV7&gt;=LX$20,LW7&gt;=LX$24,LV7&lt;&gt;""),AND(MS7&gt;=MZ$20,MT7&gt;=MZ$24,MS7&lt;&gt;""),AND(MX7&gt;=MZ$20,MY7&gt;=MZ$24,MX7&lt;&gt;""),AND(NU7&gt;=OB$20,NV7&gt;=OB$24,NU7&lt;&gt;""),AND(NZ7&gt;=OB$20,OA7&gt;=OB$24,NZ7&lt;&gt;""),AND(OW7&gt;=PD$20,OX7&gt;=PD$24,OW7&lt;&gt;""),AND(PB7&gt;=PD$20,PC7&gt;=PD$24,PB7&lt;&gt;""),AND(PY7&gt;=QF$20,PZ7&gt;=QF$24,PY7&lt;&gt;""),AND(QD7&gt;=QF$20,QE7&gt;=QF$24,QD7&lt;&gt;"")),"P","")</f>
        <v>P</v>
      </c>
      <c r="G7" s="3" t="str">
        <f>IF(OR(AND(AS7&gt;=AY$24,AS7&lt;&gt;"",AQ7=""),AND(AX7&gt;=AY$24,AX7&lt;&gt;"",AQ7=""),AND(BV7&gt;=CB$24,BV7&lt;&gt;"",BT7=""),AND(CA7&gt;=CB$24,CA7&lt;&gt;"",BT7=""),AND(CY7&gt;=DE$24,CY7&lt;&gt;"",CW7=""),AND(DD7&gt;=DE$24,DD7&lt;&gt;"",CW7=""),AND(ED7&gt;=EJ$24,ED7&lt;&gt;""),AND(EI7&gt;=EJ$24,EI7&lt;&gt;""),AND(FF7&gt;=FL$24,FF7&lt;&gt;""),AND(FK7&gt;=FL$24,FK7&lt;&gt;""),AND(GH7&gt;=GN$24,GH7&lt;&gt;""),AND(GM7&gt;=GN$24,GM7&lt;&gt;""),AND(HJ7&gt;=HP$24,HJ7&lt;&gt;""),AND(HO7&gt;=HP$24,HO7&lt;&gt;""),AND(IL7&gt;=IR$24,IL7&lt;&gt;""),AND(IQ7&gt;=IR$24,IQ7&lt;&gt;""),AND(JN7&gt;=JT$24,JN7&lt;&gt;""),AND(JS7&gt;=JT$24,JS7&lt;&gt;""),AND(KP7&gt;=KV$24,KP7&lt;&gt;""),AND(KU7&gt;=KV$24,KU7&lt;&gt;""),AND(LR7&gt;=LX$24,LR7&lt;&gt;""),AND(LW7&gt;=LX$24,LW7&lt;&gt;""),AND(MT7&gt;=MZ$24,MT7&lt;&gt;""),AND(MY7&gt;=MZ$24,MY7&lt;&gt;""),AND(NV7&gt;=OB$24,NV7&lt;&gt;""),AND(OA7&gt;=OB$24,OA7&lt;&gt;""),AND(OX7&gt;=PD$24,OX7&lt;&gt;""),AND(PC7&gt;=PD$24,PC7&lt;&gt;""),AND(PZ7&gt;=QF$24,PZ7&lt;&gt;""),AND(QE7&gt;=QF$24,QE7&lt;&gt;"")),"P","")</f>
        <v>P</v>
      </c>
      <c r="H7" s="70" t="str">
        <f>IF(AND(G7="P",F7=""),"No DD",IF(OR(AND(AU7&gt;=AY$23,AV7&gt;=AY$27,AU7&lt;&gt;"",AQ7=""),AND(BX7&gt;=CB$23,BY7&gt;=CB$27,BX7&lt;&gt;"",BT7=""),AND(DA7&gt;=DE$23,DB7&gt;=DE$27,DA7&lt;&gt;"",CW7=""),AND(EF7&gt;=EJ$23,EG7&gt;=EJ$27,EF7&lt;&gt;""),AND(FH7&gt;=FL$23,FI7&gt;=FL$27,FH7&lt;&gt;""),AND(GJ7&gt;=GN$23,GK7&gt;=GN$27,GJ7&lt;&gt;""),AND(HL7&gt;=HP$23,HM7&gt;=HP$27,HL7&lt;&gt;""),AND(IN7&gt;=IR$23,IO7&gt;=IR$27,IN7&lt;&gt;""),AND(JP7&gt;=JT$23,JQ7&gt;=JT$27,JP7&lt;&gt;""),AND(KR7&gt;=KV$23,KS7&gt;=KV$27,KR7&lt;&gt;""),AND(LT7&gt;=LX$23,LU7&gt;=LX$27,LT7&lt;&gt;""),AND(MV7&gt;=MZ$23,MW7&gt;=MZ$27,MV7&lt;&gt;""),AND(NX7&gt;=OB$23,NY7&gt;=OB$27,NX7&lt;&gt;""),AND(OZ7&gt;=PD$23,PA7&gt;=PD$27,OZ7&lt;&gt;""),AND(QB7&gt;=QF$23,QC7&gt;=QF$27,QB7&lt;&gt;"")),"Merit",IF(OR(AND(AU7&gt;=AY$22,AV7&gt;=AY$26,AU7&lt;&gt;"",AQ7=""),AND(BX7&gt;=CB$22,BY7&gt;=CB$26,BX7&lt;&gt;"",BT7=""),AND(DA7&gt;=DE$22,DB7&gt;=DE$26,DA7&lt;&gt;"",CW7=""),AND(EF7&gt;=EJ$22,EG7&gt;=EJ$26,EF7&lt;&gt;""),AND(FH7&gt;=FL$22,FI7&gt;=FL$26,FH7&lt;&gt;""),AND(GJ7&gt;=GN$22,GK7&gt;=GN$26,GJ7&lt;&gt;""),AND(HL7&gt;=HP$22,HM7&gt;=HP$26,HL7&lt;&gt;""),AND(IN7&gt;=IR$22,IO7&gt;=IR$26,IN7&lt;&gt;""),AND(JP7&gt;=JT$22,JQ7&gt;=JT$26,JP7&lt;&gt;""),AND(KR7&gt;=KV$22,KS7&gt;=KV$26,KR7&lt;&gt;""),AND(LT7&gt;=LX$22,LU7&gt;=LX$26,LT7&lt;&gt;""),AND(MV7&gt;=MZ$22,MW7&gt;=MZ$26,MV7&lt;&gt;""),AND(NX7&gt;=OB$22,NY7&gt;=OB$26,NX7&lt;&gt;""),AND(OZ7&gt;=PD$22,PA7&gt;=PD$26,OZ7&lt;&gt;""),AND(QB7&gt;=QF$22,QC7&gt;=QF$26,QB7&lt;&gt;"")),"Excellence",IF(I7="P","Worlds Team",IF(F7="P","National Team","")))))</f>
        <v>National Team</v>
      </c>
      <c r="I7" s="3" t="str">
        <f>IF(OR(AND(AU7&gt;=AY$21,AV7&gt;=AY$25,AU7&lt;&gt;"",AQ7=""),AND(BX7&gt;=CB$21,BY7&gt;=CB$25,BX7&lt;&gt;"",BT7=""),AND(DA7&gt;=DE$21,DB7&gt;=DE$25,DA7&lt;&gt;"",CW7=""),AND(EF7&gt;=EJ$21,EG7&gt;=EJ$25,EF7&lt;&gt;""),AND(FH7&gt;=FL$21,FI7&gt;=FL$25,FH7&lt;&gt;""),AND(GJ7&gt;=GN$21,GK7&gt;=GN$25,GJ7&lt;&gt;""),AND(HL7&gt;=HP$21,HM7&gt;=HP$25,HL7&lt;&gt;""),AND(IN7&gt;=IR$21,IO7&gt;=IR$25,IN7&lt;&gt;""),AND(JP7&gt;=JT$21,JQ7&gt;=JT$25,JP7&lt;&gt;""),AND(KR7&gt;=KV$21,KS7&gt;=KV$25,KR7&lt;&gt;""),AND(LT7&gt;=LX$21,LU7&gt;=LX$25,LT7&lt;&gt;""),AND(MV7&gt;=MZ$21,MW7&gt;=MZ$25,MV7&lt;&gt;""),AND(NX7&gt;=OB$21,NY7&gt;=OB$25,NX7&lt;&gt;""),AND(OZ7&gt;=PD$21,PA7&gt;=PD$25,OZ7&lt;&gt;""),AND(QB7&gt;=QF$21,QC7&gt;=QF$25,QB7&lt;&gt;"")),"P","")</f>
        <v/>
      </c>
      <c r="J7" s="13">
        <f>IF(COUNT(AS7,BV7,CY7)&gt;0,LARGE((AS7,BV7,CY7),1),0)</f>
        <v>48.8</v>
      </c>
      <c r="K7" s="13" t="str">
        <f>IF(J7=0,"",IF(J7=CY7,$CC$1,IF(J7=BV7,$AZ$1,IF(J7=AS7,$W$1,""))))</f>
        <v>2022 Elite Canada</v>
      </c>
      <c r="L7" s="13">
        <f>IF(COUNT(AS7,BV7,CY7)&gt;1,LARGE((AS7,BV7,CY7),2),0)</f>
        <v>5.0000000000000002E-5</v>
      </c>
      <c r="M7" s="13" t="str">
        <f>IF(L7=0,"",IF(L7=CY7,$CC$1,IF(L7=BV7,$AZ$1,IF(L7=AS7,$W$1,""))))</f>
        <v>2021 Elite Canada</v>
      </c>
      <c r="N7" s="13">
        <f>IF(COUNT(AT7,BW7,CZ7)&gt;0,LARGE((AT7,BW7,CZ7),1),0)</f>
        <v>25.5</v>
      </c>
      <c r="O7" s="13" t="str">
        <f>IF(N7=0,"",IF(N7=CZ7,$CC$1,IF(N7=BW7,$AZ$1,IF(N7=AT7,$W$1,""))))</f>
        <v>2022 Elite Canada</v>
      </c>
      <c r="P7" s="13">
        <f>IF(COUNT(AT7,BW7,CZ7)&gt;1,LARGE((AT7,BW7,CZ7),2),0)</f>
        <v>0</v>
      </c>
      <c r="Q7" s="13" t="str">
        <f>IF(P7=0,"",IF(P7=CZ7,$CC$1,IF(P7=BW7,$AZ$1,IF(P7=AT7,$W$1,""))))</f>
        <v/>
      </c>
      <c r="R7" s="13">
        <f>IF(MAX(AX7,CA7,DD7)&gt;0,MAX(AX7,CA7,DD7),0)</f>
        <v>26.700000000000003</v>
      </c>
      <c r="S7" s="13" t="str">
        <f>IF(R7=0,"",IF(R7=DD7,$CC$1,IF(R7=CA7,$AZ$1,IF(R7=AX7,$W$1,""))))</f>
        <v>2022 Elite Canada</v>
      </c>
      <c r="T7" s="13">
        <f>IF(MAX(DF7:DH7)&gt;0,MAX(DF7:DH7),"")</f>
        <v>25.5</v>
      </c>
      <c r="U7" s="16" t="str">
        <f>IF(T7="","",IF(T7=DF7,"("&amp;DF$2&amp;")",IF(T7=DH7,"("&amp;DH$2&amp;")")))</f>
        <v>(Final)</v>
      </c>
      <c r="V7" s="13" t="str">
        <f>IF(T7="","",IF(T7=DF7,IF(T7+IF(L7="",0,L7)=PZ7,$PE$1,IF(T7+IF(L7="",0,L7)=OX7,$OC$1,IF(T7+IF(L7="",0,L7)=NV7,$NA$1,IF(T7+IF(L7="",0,L7)=MT7,$LY$1,IF(T7+IF(L7="",0,L7)=LR7,$KW$1,IF(T7+IF(L7="",0,L7)=KP7,$JU$1,IF(T7+IF(L7="",0,L7)=JN7,$IS$1,IF(T7+IF(L7="",0,L7)=IL7,$HQ$1,IF(T7+IF(L7="",0,L7)=HJ7,$GO$1,IF(T7+IF(L7="",0,L7)=GH7,$FM$1,IF(T7+IF(L7="",0,L7)=FF7,$EK$1,IF(T7+IF(L7="",0,L7)=ED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</f>
        <v>2022 World Games Technical Trial #2 (May 15)</v>
      </c>
      <c r="W7" s="27">
        <v>4.0000000000000003E-5</v>
      </c>
      <c r="X7" s="27">
        <v>1.0000000000000001E-5</v>
      </c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51"/>
      <c r="AR7" s="76">
        <f>IF(SUM(X7,AB7)&gt;0,SUM(X7,AB7),"")</f>
        <v>1.0000000000000001E-5</v>
      </c>
      <c r="AS7" s="76">
        <f>IF(SUM(W7:X7,Z7:AB7,AD7)-Y7-AC7&gt;0,SUM(W7:X7,Z7:AB7,AD7)-Y7-AC7,"")</f>
        <v>5.0000000000000002E-5</v>
      </c>
      <c r="AT7" s="76" t="str">
        <f>IF(SUM(AE7:AF7,AH7)-AG7&gt;0,SUM(AE7:AF7,AH7)-AG7,"")</f>
        <v/>
      </c>
      <c r="AU7" s="76">
        <f>IF(SUM(X7,AB7,AF7)&gt;0,SUM(X7,AB7,AF7),"")</f>
        <v>1.0000000000000001E-5</v>
      </c>
      <c r="AV7" s="76">
        <f>IF(SUM(AS7,AT7)&gt;0,SUM(AS7,AT7),"")</f>
        <v>5.0000000000000002E-5</v>
      </c>
      <c r="AW7" s="76" t="str">
        <f>IF(SUM(AJ7,AN7)&gt;0,SUM(AJ7,AN7),"")</f>
        <v/>
      </c>
      <c r="AX7" s="76" t="str">
        <f>IF(SUM(AI7:AJ7,AL7:AN7,AP7)-SUM(AK7,AO7)&gt;0,SUM(AI7:AJ7,AL7:AN7,AP7)-SUM(AK7,AO7),"")</f>
        <v/>
      </c>
      <c r="AY7" s="76">
        <f>IF(SUM(AS7,AX7)&gt;0,SUM(AS7,AX7),"")</f>
        <v>5.0000000000000002E-5</v>
      </c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52"/>
      <c r="BU7" s="16" t="str">
        <f>IF(SUM(BA7,BE7)&gt;0,SUM(BA7,BE7),"")</f>
        <v/>
      </c>
      <c r="BV7" s="16" t="str">
        <f>IF(SUM(AZ7:BA7,BC7:BE7,BG7)-BB7-BF7&gt;0,SUM(AZ7:BA7,BC7:BE7,BG7)-BB7-BF7,"")</f>
        <v/>
      </c>
      <c r="BW7" s="16" t="str">
        <f>IF(SUM(BH7:BI7,BK7)-BJ7&gt;0,SUM(BH7:BI7,BK7)-BJ7,"")</f>
        <v/>
      </c>
      <c r="BX7" s="16" t="str">
        <f>IF(SUM(BA7,BE7,BI7)&gt;0,SUM(BA7,BE7,BI7),"")</f>
        <v/>
      </c>
      <c r="BY7" s="16" t="str">
        <f>IF(SUM(BV7,BW7)&gt;0,SUM(BV7,BW7),"")</f>
        <v/>
      </c>
      <c r="BZ7" s="16" t="str">
        <f>IF(SUM(BM7,BQ7)&gt;0,SUM(BM7,BQ7),"")</f>
        <v/>
      </c>
      <c r="CA7" s="16" t="str">
        <f>IF(SUM(BL7:BM7,BO7:BQ7,BS7)-SUM(BN7,BR7)&gt;0,SUM(BL7:BM7,BO7:BQ7,BS7)-SUM(BN7,BR7),"")</f>
        <v/>
      </c>
      <c r="CB7" s="16" t="str">
        <f>IF(SUM(BV7,CA7)&gt;0,SUM(BV7,CA7),"")</f>
        <v/>
      </c>
      <c r="CC7" s="27">
        <v>18.7</v>
      </c>
      <c r="CD7" s="27">
        <v>7.3</v>
      </c>
      <c r="CE7" s="27">
        <v>0.6</v>
      </c>
      <c r="CF7" s="27">
        <v>0</v>
      </c>
      <c r="CG7" s="27">
        <v>17.8</v>
      </c>
      <c r="CH7" s="27">
        <v>6.4</v>
      </c>
      <c r="CI7" s="27">
        <v>0.8</v>
      </c>
      <c r="CJ7" s="27">
        <v>0</v>
      </c>
      <c r="CK7" s="27">
        <v>18.5</v>
      </c>
      <c r="CL7" s="27">
        <v>7.6</v>
      </c>
      <c r="CM7" s="27">
        <v>0.6</v>
      </c>
      <c r="CN7" s="27">
        <v>0</v>
      </c>
      <c r="CO7" s="27">
        <v>18.5</v>
      </c>
      <c r="CP7" s="27">
        <v>8.1</v>
      </c>
      <c r="CQ7" s="27">
        <v>0.2</v>
      </c>
      <c r="CR7" s="27">
        <v>0.3</v>
      </c>
      <c r="CS7" s="27">
        <v>0</v>
      </c>
      <c r="CT7" s="27">
        <v>0</v>
      </c>
      <c r="CU7" s="27">
        <v>0</v>
      </c>
      <c r="CV7" s="27">
        <v>0</v>
      </c>
      <c r="CW7" s="51"/>
      <c r="CX7" s="76">
        <f>IF(SUM(CD7,CH7)&gt;0,SUM(CD7,CH7),"")</f>
        <v>13.7</v>
      </c>
      <c r="CY7" s="76">
        <f>IF(SUM(CC7:CD7,CF7:CH7,CJ7)-CE7-CI7&gt;0,SUM(CC7:CD7,CF7:CH7,CJ7)-CE7-CI7,"")</f>
        <v>48.8</v>
      </c>
      <c r="CZ7" s="76">
        <f>IF(SUM(CK7:CL7,CN7)-CM7&gt;0,SUM(CK7:CL7,CN7)-CM7,"")</f>
        <v>25.5</v>
      </c>
      <c r="DA7" s="76">
        <f>IF(SUM(CD7,CH7,CL7)&gt;0,SUM(CD7,CH7,CL7),"")</f>
        <v>21.299999999999997</v>
      </c>
      <c r="DB7" s="76">
        <f>IF(SUM(CY7,CZ7)&gt;0,SUM(CY7,CZ7),"")</f>
        <v>74.3</v>
      </c>
      <c r="DC7" s="76">
        <f>IF(SUM(CP7,CT7)&gt;0,SUM(CP7,CT7),"")</f>
        <v>8.1</v>
      </c>
      <c r="DD7" s="76">
        <f>IF(SUM(CO7:CP7,CR7:CT7,CV7)-SUM(CQ7,CU7)&gt;0,SUM(CO7:CP7,CR7:CT7,CV7)-SUM(CQ7,CU7),"")</f>
        <v>26.700000000000003</v>
      </c>
      <c r="DE7" s="76">
        <f>IF(SUM(CY7,DD7)&gt;0,SUM(CY7,DD7),"")</f>
        <v>75.5</v>
      </c>
      <c r="DF7" s="87" t="str">
        <f>IF(L7&gt;=0.001,IF(MAX(ED7,FF7,GH7,HJ7,IL7,JN7,KP7,LR7,MT7,NV7,OX7,PZ7)-IF(L7="",0,L7)&gt;0.001,MAX(ED7,FF7,GH7,HJ7,IL7,JN7,KP7,LR7,MT7,NV7,OX7,PZ7)-IF(L7="",0,L7),""),"")</f>
        <v/>
      </c>
      <c r="DG7" s="87" t="str">
        <f>IF(P7&gt;=0.001,IF(MAX(EE7,FG7,GI7,HK7,IM7,JO7,KQ7,LS7,MU7,NW7,OY7,QA7)-IF(P7="",0,P7)&gt;0.001,MAX(EE7,FG7,GI7,HK7,IM7,JO7,KQ7,LS7,MU7,NW7,OY7,QA7)-IF(P7="",0,P7),""),"")</f>
        <v/>
      </c>
      <c r="DH7" s="87">
        <f>IF(R7&gt;=0.001,IF(MAX(EI7,FK7,GM7,HO7,IQ7,JS7,KU7,LW7,MY7,OA7,PC7,QE7)-IF(R7="",0,R7)&gt;0.001,MAX(EI7,FK7,GM7,HO7,IQ7,JS7,KU7,LW7,MY7,OA7,PC7,QE7)-IF(R7="",0,R7),""),"")</f>
        <v>25.5</v>
      </c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76" t="str">
        <f>IF(SUM(DJ7,DN7)&gt;0,SUM(DJ7,DN7),"")</f>
        <v/>
      </c>
      <c r="ED7" s="76" t="str">
        <f>IF(SUM(DI7:DJ7,DL7:DN7,DP7)-DK7-DO7&gt;0,SUM(DI7:DJ7,DL7:DN7,DP7)-DK7-DO7,"")</f>
        <v/>
      </c>
      <c r="EE7" s="76" t="str">
        <f>IF(SUM(DQ7:DR7,DT7)-DS7&gt;0,SUM(DQ7:DR7,DT7)-DS7,"")</f>
        <v/>
      </c>
      <c r="EF7" s="76" t="str">
        <f>IF(SUM(DJ7,DN7,DR7)&gt;0,SUM(DJ7,DN7,DR7),"")</f>
        <v/>
      </c>
      <c r="EG7" s="76" t="str">
        <f>IF(SUM(ED7,EE7)&gt;0,SUM(ED7,EE7),"")</f>
        <v/>
      </c>
      <c r="EH7" s="76" t="str">
        <f>IF(SUM(DV7,DZ7)&gt;0,SUM(DV7,DZ7),"")</f>
        <v/>
      </c>
      <c r="EI7" s="76" t="str">
        <f>IF(SUM(DU7:DV7,DX7:DZ7,EB7)-SUM(DW7,EA7)&gt;0,SUM(DU7:DV7,DX7:DZ7,EB7)-SUM(DW7,EA7),"")</f>
        <v/>
      </c>
      <c r="EJ7" s="76" t="str">
        <f>IF(SUM(ED7,EI7)&gt;0,SUM(ED7,EI7),"")</f>
        <v/>
      </c>
      <c r="EK7" s="26">
        <v>18.5</v>
      </c>
      <c r="EL7" s="26">
        <v>7.3</v>
      </c>
      <c r="EM7" s="26">
        <v>0</v>
      </c>
      <c r="EN7" s="26">
        <v>0</v>
      </c>
      <c r="EO7" s="26">
        <v>18.399999999999999</v>
      </c>
      <c r="EP7" s="26">
        <v>7.6</v>
      </c>
      <c r="EQ7" s="26">
        <v>0</v>
      </c>
      <c r="ER7" s="26">
        <v>0</v>
      </c>
      <c r="ES7" s="26"/>
      <c r="ET7" s="26"/>
      <c r="EU7" s="26"/>
      <c r="EV7" s="26"/>
      <c r="EW7" s="26">
        <v>17.2</v>
      </c>
      <c r="EX7" s="26">
        <v>4</v>
      </c>
      <c r="EY7" s="26">
        <v>0</v>
      </c>
      <c r="EZ7" s="26">
        <v>0</v>
      </c>
      <c r="FA7" s="26">
        <v>18.399999999999999</v>
      </c>
      <c r="FB7" s="26">
        <v>7.3</v>
      </c>
      <c r="FC7" s="26">
        <v>0.6</v>
      </c>
      <c r="FD7" s="26">
        <v>0</v>
      </c>
      <c r="FE7" s="16">
        <f>IF(SUM(EL7,EP7)&gt;0,SUM(EL7,EP7),"")</f>
        <v>14.899999999999999</v>
      </c>
      <c r="FF7" s="16">
        <f>IF(SUM(EK7:EL7,EN7:EP7,ER7)-EM7-EQ7&gt;0,SUM(EK7:EL7,EN7:EP7,ER7)-EM7-EQ7,"")</f>
        <v>51.800000000000004</v>
      </c>
      <c r="FG7" s="16" t="str">
        <f>IF(SUM(ES7:ET7,EV7)-EU7&gt;0,SUM(ES7:ET7,EV7)-EU7,"")</f>
        <v/>
      </c>
      <c r="FH7" s="16">
        <f>IF(SUM(EL7,EP7,ET7)&gt;0,SUM(EL7,EP7,ET7),"")</f>
        <v>14.899999999999999</v>
      </c>
      <c r="FI7" s="16">
        <f>IF(SUM(FF7,FG7)&gt;0,SUM(FF7,FG7),"")</f>
        <v>51.800000000000004</v>
      </c>
      <c r="FJ7" s="16">
        <f>IF(SUM(EX7,FB7)&gt;0,SUM(EX7,FB7),"")</f>
        <v>11.3</v>
      </c>
      <c r="FK7" s="16">
        <f>IF(SUM(EW7:EX7,EZ7:FB7,FD7)-SUM(EY7,FC7)&gt;0,SUM(EW7:EX7,EZ7:FB7,FD7)-SUM(EY7,FC7),"")</f>
        <v>46.29999999999999</v>
      </c>
      <c r="FL7" s="16">
        <f>IF(SUM(FF7,FK7)&gt;0,SUM(FF7,FK7),"")</f>
        <v>98.1</v>
      </c>
      <c r="FM7" s="25">
        <v>18.899999999999999</v>
      </c>
      <c r="FN7" s="25">
        <v>7.2</v>
      </c>
      <c r="FO7" s="25">
        <v>0</v>
      </c>
      <c r="FP7" s="25">
        <v>0</v>
      </c>
      <c r="FQ7" s="25">
        <v>18.7</v>
      </c>
      <c r="FR7" s="25">
        <v>8.5</v>
      </c>
      <c r="FS7" s="25">
        <v>0.2</v>
      </c>
      <c r="FT7" s="25">
        <v>0</v>
      </c>
      <c r="FU7" s="25"/>
      <c r="FV7" s="25"/>
      <c r="FW7" s="25"/>
      <c r="FX7" s="25"/>
      <c r="FY7" s="25">
        <v>18.3</v>
      </c>
      <c r="FZ7" s="25">
        <v>8.5</v>
      </c>
      <c r="GA7" s="25">
        <v>0.2</v>
      </c>
      <c r="GB7" s="25">
        <v>0</v>
      </c>
      <c r="GC7" s="25">
        <v>19</v>
      </c>
      <c r="GD7" s="25">
        <v>7.2</v>
      </c>
      <c r="GE7" s="25">
        <v>0.6</v>
      </c>
      <c r="GF7" s="25">
        <v>0</v>
      </c>
      <c r="GG7" s="76">
        <f>IF(SUM(FN7,FR7)&gt;0,SUM(FN7,FR7),"")</f>
        <v>15.7</v>
      </c>
      <c r="GH7" s="76">
        <f>IF(SUM(FM7:FN7,FP7:FR7,FT7)-FO7-FS7&gt;0,SUM(FM7:FN7,FP7:FR7,FT7)-FO7-FS7,"")</f>
        <v>53.099999999999994</v>
      </c>
      <c r="GI7" s="76" t="str">
        <f>IF(SUM(FU7:FV7,FX7)-FW7&gt;0,SUM(FU7:FV7,FX7)-FW7,"")</f>
        <v/>
      </c>
      <c r="GJ7" s="76">
        <f>IF(SUM(FN7,FR7,FV7)&gt;0,SUM(FN7,FR7,FV7),"")</f>
        <v>15.7</v>
      </c>
      <c r="GK7" s="76">
        <f>IF(SUM(GH7,GI7)&gt;0,SUM(GH7,GI7),"")</f>
        <v>53.099999999999994</v>
      </c>
      <c r="GL7" s="76">
        <f>IF(SUM(FZ7,GD7)&gt;0,SUM(FZ7,GD7),"")</f>
        <v>15.7</v>
      </c>
      <c r="GM7" s="76">
        <f>IF(SUM(FY7:FZ7,GB7:GD7,GF7)-SUM(GA7,GE7)&gt;0,SUM(FY7:FZ7,GB7:GD7,GF7)-SUM(GA7,GE7),"")</f>
        <v>52.2</v>
      </c>
      <c r="GN7" s="76">
        <f>IF(SUM(GH7,GM7)&gt;0,SUM(GH7,GM7),"")</f>
        <v>105.3</v>
      </c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16" t="str">
        <f>IF(SUM(GP7,GT7)&gt;0,SUM(GP7,GT7),"")</f>
        <v/>
      </c>
      <c r="HJ7" s="16" t="str">
        <f>IF(SUM(GO7:GP7,GR7:GT7,GV7)-GQ7-GU7&gt;0,SUM(GO7:GP7,GR7:GT7,GV7)-GQ7-GU7,"")</f>
        <v/>
      </c>
      <c r="HK7" s="16" t="str">
        <f>IF(SUM(GW7:GX7,GZ7)-GY7&gt;0,SUM(GW7:GX7,GZ7)-GY7,"")</f>
        <v/>
      </c>
      <c r="HL7" s="16" t="str">
        <f>IF(SUM(GP7,GT7,GX7)&gt;0,SUM(GP7,GT7,GX7),"")</f>
        <v/>
      </c>
      <c r="HM7" s="16" t="str">
        <f>IF(SUM(HJ7,HK7)&gt;0,SUM(HJ7,HK7),"")</f>
        <v/>
      </c>
      <c r="HN7" s="16" t="str">
        <f>IF(SUM(HB7,HF7)&gt;0,SUM(HB7,HF7),"")</f>
        <v/>
      </c>
      <c r="HO7" s="16" t="str">
        <f>IF(SUM(HA7:HB7,HD7:HF7,HH7)-SUM(HC7,HG7)&gt;0,SUM(HA7:HB7,HD7:HF7,HH7)-SUM(HC7,HG7),"")</f>
        <v/>
      </c>
      <c r="HP7" s="16" t="str">
        <f>IF(SUM(HJ7,HO7)&gt;0,SUM(HJ7,HO7),"")</f>
        <v/>
      </c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76" t="str">
        <f>IF(SUM(HR7,HV7)&gt;0,SUM(HR7,HV7),"")</f>
        <v/>
      </c>
      <c r="IL7" s="76" t="str">
        <f>IF(SUM(HQ7:HR7,HT7:HV7,HX7)-HS7-HW7&gt;0,SUM(HQ7:HR7,HT7:HV7,HX7)-HS7-HW7,"")</f>
        <v/>
      </c>
      <c r="IM7" s="76" t="str">
        <f>IF(SUM(HY7:HZ7,IB7)-IA7&gt;0,SUM(HY7:HZ7,IB7)-IA7,"")</f>
        <v/>
      </c>
      <c r="IN7" s="76" t="str">
        <f>IF(SUM(HR7,HV7,HZ7)&gt;0,SUM(HR7,HV7,HZ7),"")</f>
        <v/>
      </c>
      <c r="IO7" s="76" t="str">
        <f>IF(SUM(IL7,IM7)&gt;0,SUM(IL7,IM7),"")</f>
        <v/>
      </c>
      <c r="IP7" s="76" t="str">
        <f>IF(SUM(ID7,IH7)&gt;0,SUM(ID7,IH7),"")</f>
        <v/>
      </c>
      <c r="IQ7" s="76" t="str">
        <f>IF(SUM(IC7:ID7,IF7:IH7,IJ7)-SUM(IE7,II7)&gt;0,SUM(IC7:ID7,IF7:IH7,IJ7)-SUM(IE7,II7),"")</f>
        <v/>
      </c>
      <c r="IR7" s="76" t="str">
        <f>IF(SUM(IL7,IQ7)&gt;0,SUM(IL7,IQ7),"")</f>
        <v/>
      </c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16" t="str">
        <f>IF(SUM(IT7,IX7)&gt;0,SUM(IT7,IX7),"")</f>
        <v/>
      </c>
      <c r="JN7" s="16" t="str">
        <f>IF(SUM(IS7:IT7,IV7:IX7,IZ7)-IU7-IY7&gt;0,SUM(IS7:IT7,IV7:IX7,IZ7)-IU7-IY7,"")</f>
        <v/>
      </c>
      <c r="JO7" s="16" t="str">
        <f>IF(SUM(JA7:JB7,JD7)-JC7&gt;0,SUM(JA7:JB7,JD7)-JC7,"")</f>
        <v/>
      </c>
      <c r="JP7" s="16" t="str">
        <f>IF(SUM(IT7,IX7,JB7)&gt;0,SUM(IT7,IX7,JB7),"")</f>
        <v/>
      </c>
      <c r="JQ7" s="16" t="str">
        <f>IF(SUM(JN7,JO7)&gt;0,SUM(JN7,JO7),"")</f>
        <v/>
      </c>
      <c r="JR7" s="16" t="str">
        <f>IF(SUM(JF7,JJ7)&gt;0,SUM(JF7,JJ7),"")</f>
        <v/>
      </c>
      <c r="JS7" s="16" t="str">
        <f>IF(SUM(JE7:JF7,JH7:JJ7,JL7)-SUM(JG7,JK7)&gt;0,SUM(JE7:JF7,JH7:JJ7,JL7)-SUM(JG7,JK7),"")</f>
        <v/>
      </c>
      <c r="JT7" s="16" t="str">
        <f>IF(SUM(JN7,JS7)&gt;0,SUM(JN7,JS7),"")</f>
        <v/>
      </c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76" t="str">
        <f>IF(SUM(JV7,JZ7)&gt;0,SUM(JV7,JZ7),"")</f>
        <v/>
      </c>
      <c r="KP7" s="76" t="str">
        <f>IF(SUM(JU7:JV7,JX7:JZ7,KB7)-JW7-KA7&gt;0,SUM(JU7:JV7,JX7:JZ7,KB7)-JW7-KA7,"")</f>
        <v/>
      </c>
      <c r="KQ7" s="76" t="str">
        <f>IF(SUM(KC7:KD7,KF7)-KE7&gt;0,SUM(KC7:KD7,KF7)-KE7,"")</f>
        <v/>
      </c>
      <c r="KR7" s="76" t="str">
        <f>IF(SUM(JV7,JZ7,KD7)&gt;0,SUM(JV7,JZ7,KD7),"")</f>
        <v/>
      </c>
      <c r="KS7" s="76" t="str">
        <f>IF(SUM(KP7,KQ7)&gt;0,SUM(KP7,KQ7),"")</f>
        <v/>
      </c>
      <c r="KT7" s="76" t="str">
        <f>IF(SUM(KH7,KL7)&gt;0,SUM(KH7,KL7),"")</f>
        <v/>
      </c>
      <c r="KU7" s="76" t="str">
        <f>IF(SUM(KG7:KH7,KJ7:KL7,KN7)-SUM(KI7,KM7)&gt;0,SUM(KG7:KH7,KJ7:KL7,KN7)-SUM(KI7,KM7),"")</f>
        <v/>
      </c>
      <c r="KV7" s="76" t="str">
        <f>IF(SUM(KP7,KU7)&gt;0,SUM(KP7,KU7),"")</f>
        <v/>
      </c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16" t="str">
        <f>IF(SUM(KX7,LB7)&gt;0,SUM(KX7,LB7),"")</f>
        <v/>
      </c>
      <c r="LR7" s="16" t="str">
        <f>IF(SUM(KW7:KX7,KZ7:LB7,LD7)-KY7-LC7&gt;0,SUM(KW7:KX7,KZ7:LB7,LD7)-KY7-LC7,"")</f>
        <v/>
      </c>
      <c r="LS7" s="16" t="str">
        <f>IF(SUM(LE7:LF7,LH7)-LG7&gt;0,SUM(LE7:LF7,LH7)-LG7,"")</f>
        <v/>
      </c>
      <c r="LT7" s="16" t="str">
        <f>IF(SUM(KX7,LB7,LF7)&gt;0,SUM(KX7,LB7,LF7),"")</f>
        <v/>
      </c>
      <c r="LU7" s="16" t="str">
        <f>IF(SUM(LR7,LS7)&gt;0,SUM(LR7,LS7),"")</f>
        <v/>
      </c>
      <c r="LV7" s="16" t="str">
        <f>IF(SUM(LJ7,LN7)&gt;0,SUM(LJ7,LN7),"")</f>
        <v/>
      </c>
      <c r="LW7" s="16" t="str">
        <f>IF(SUM(LI7:LJ7,LL7:LN7,LP7)-SUM(LK7,LO7)&gt;0,SUM(LI7:LJ7,LL7:LN7,LP7)-SUM(LK7,LO7),"")</f>
        <v/>
      </c>
      <c r="LX7" s="16" t="str">
        <f>IF(SUM(LR7,LW7)&gt;0,SUM(LR7,LW7),"")</f>
        <v/>
      </c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76" t="str">
        <f>IF(SUM(LZ7,MD7)&gt;0,SUM(LZ7,MD7),"")</f>
        <v/>
      </c>
      <c r="MT7" s="76" t="str">
        <f>IF(SUM(LY7:LZ7,MB7:MD7,MF7)-MA7-ME7&gt;0,SUM(LY7:LZ7,MB7:MD7,MF7)-MA7-ME7,"")</f>
        <v/>
      </c>
      <c r="MU7" s="76" t="str">
        <f>IF(SUM(MG7:MH7,MJ7)-MI7&gt;0,SUM(MG7:MH7,MJ7)-MI7,"")</f>
        <v/>
      </c>
      <c r="MV7" s="76" t="str">
        <f>IF(SUM(LZ7,MD7,MH7)&gt;0,SUM(LZ7,MD7,MH7),"")</f>
        <v/>
      </c>
      <c r="MW7" s="76" t="str">
        <f>IF(SUM(MT7,MU7)&gt;0,SUM(MT7,MU7),"")</f>
        <v/>
      </c>
      <c r="MX7" s="76" t="str">
        <f>IF(SUM(ML7,MP7)&gt;0,SUM(ML7,MP7),"")</f>
        <v/>
      </c>
      <c r="MY7" s="76" t="str">
        <f>IF(SUM(MK7:ML7,MN7:MP7,MR7)-SUM(MM7,MQ7)&gt;0,SUM(MK7:ML7,MN7:MP7,MR7)-SUM(MM7,MQ7),"")</f>
        <v/>
      </c>
      <c r="MZ7" s="76" t="str">
        <f>IF(SUM(MT7,MY7)&gt;0,SUM(MT7,MY7),"")</f>
        <v/>
      </c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16" t="str">
        <f>IF(SUM(NB7,NF7)&gt;0,SUM(NB7,NF7),"")</f>
        <v/>
      </c>
      <c r="NV7" s="16" t="str">
        <f>IF(SUM(NA7:NB7,ND7:NF7,NH7)-NC7-NG7&gt;0,SUM(NA7:NB7,ND7:NF7,NH7)-NC7-NG7,"")</f>
        <v/>
      </c>
      <c r="NW7" s="16" t="str">
        <f>IF(SUM(NI7:NJ7,NL7)-NK7&gt;0,SUM(NI7:NJ7,NL7)-NK7,"")</f>
        <v/>
      </c>
      <c r="NX7" s="16" t="str">
        <f>IF(SUM(NB7,NF7,NJ7)&gt;0,SUM(NB7,NF7,NJ7),"")</f>
        <v/>
      </c>
      <c r="NY7" s="16" t="str">
        <f>IF(SUM(NV7,NW7)&gt;0,SUM(NV7,NW7),"")</f>
        <v/>
      </c>
      <c r="NZ7" s="16" t="str">
        <f>IF(SUM(NN7,NR7)&gt;0,SUM(NN7,NR7),"")</f>
        <v/>
      </c>
      <c r="OA7" s="16" t="str">
        <f>IF(SUM(NM7:NN7,NP7:NR7,NT7)-SUM(NO7,NS7)&gt;0,SUM(NM7:NN7,NP7:NR7,NT7)-SUM(NO7,NS7),"")</f>
        <v/>
      </c>
      <c r="OB7" s="16" t="str">
        <f>IF(SUM(NV7,OA7)&gt;0,SUM(NV7,OA7),"")</f>
        <v/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76" t="str">
        <f>IF(SUM(OD7,OH7)&gt;0,SUM(OD7,OH7),"")</f>
        <v/>
      </c>
      <c r="OX7" s="76" t="str">
        <f>IF(SUM(OC7:OD7,OF7:OH7,OJ7)-OE7-OI7&gt;0,SUM(OC7:OD7,OF7:OH7,OJ7)-OE7-OI7,"")</f>
        <v/>
      </c>
      <c r="OY7" s="76" t="str">
        <f>IF(SUM(OK7:OL7,ON7)-OM7&gt;0,SUM(OK7:OL7,ON7)-OM7,"")</f>
        <v/>
      </c>
      <c r="OZ7" s="76" t="str">
        <f>IF(SUM(OD7,OH7,OL7)&gt;0,SUM(OD7,OH7,OL7),"")</f>
        <v/>
      </c>
      <c r="PA7" s="76" t="str">
        <f>IF(SUM(OX7,OY7)&gt;0,SUM(OX7,OY7),"")</f>
        <v/>
      </c>
      <c r="PB7" s="76" t="str">
        <f>IF(SUM(OP7,OT7)&gt;0,SUM(OP7,OT7),"")</f>
        <v/>
      </c>
      <c r="PC7" s="76" t="str">
        <f>IF(SUM(OO7:OP7,OR7:OT7,OV7)-SUM(OQ7,OU7)&gt;0,SUM(OO7:OP7,OR7:OT7,OV7)-SUM(OQ7,OU7),"")</f>
        <v/>
      </c>
      <c r="PD7" s="76" t="str">
        <f>IF(SUM(OX7,PC7)&gt;0,SUM(OX7,PC7),"")</f>
        <v/>
      </c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16" t="str">
        <f>IF(SUM(PF7,PJ7)&gt;0,SUM(PF7,PJ7),"")</f>
        <v/>
      </c>
      <c r="PZ7" s="16" t="str">
        <f>IF(SUM(PE7:PF7,PH7:PJ7,PL7)-PG7-PK7&gt;0,SUM(PE7:PF7,PH7:PJ7,PL7)-PG7-PK7,"")</f>
        <v/>
      </c>
      <c r="QA7" s="16" t="str">
        <f>IF(SUM(PM7:PN7,PP7)-PO7&gt;0,SUM(PM7:PN7,PP7)-PO7,"")</f>
        <v/>
      </c>
      <c r="QB7" s="16" t="str">
        <f>IF(SUM(PF7,PJ7,PN7)&gt;0,SUM(PF7,PJ7,PN7),"")</f>
        <v/>
      </c>
      <c r="QC7" s="16" t="str">
        <f>IF(SUM(PZ7,QA7)&gt;0,SUM(PZ7,QA7),"")</f>
        <v/>
      </c>
      <c r="QD7" s="16" t="str">
        <f>IF(SUM(PR7,PV7)&gt;0,SUM(PR7,PV7),"")</f>
        <v/>
      </c>
      <c r="QE7" s="16" t="str">
        <f>IF(SUM(PQ7:PR7,PT7:PV7,PX7)-SUM(PS7,PW7)&gt;0,SUM(PQ7:PR7,PT7:PV7,PX7)-SUM(PS7,PW7),"")</f>
        <v/>
      </c>
      <c r="QF7" s="16" t="str">
        <f>IF(SUM(PZ7,QE7)&gt;0,SUM(PZ7,QE7),"")</f>
        <v/>
      </c>
      <c r="QG7" s="42">
        <f>IF($CW7="P",CC7,(CC7+AZ7)/2)</f>
        <v>9.35</v>
      </c>
      <c r="QH7" s="42">
        <f>IF($CW7="P",CD7,(CD7+BA7)/2)</f>
        <v>3.65</v>
      </c>
      <c r="QI7" s="42">
        <f>IF($CW7="P",CE7,(CE7+BB7)/2)</f>
        <v>0.3</v>
      </c>
      <c r="QJ7" s="42">
        <f>IF($CW7="P",CF7,(CF7+BC7)/2)</f>
        <v>0</v>
      </c>
      <c r="QK7" s="42">
        <f>IF($CW7="P",CG7,(CG7+BD7)/2)</f>
        <v>8.9</v>
      </c>
      <c r="QL7" s="42">
        <f>IF($CW7="P",CH7,(CH7+BE7)/2)</f>
        <v>3.2</v>
      </c>
      <c r="QM7" s="42">
        <f>IF($CW7="P",CI7,(CI7+BF7)/2)</f>
        <v>0.4</v>
      </c>
      <c r="QN7" s="42">
        <f>IF($CW7="P",CJ7,(CJ7+BG7)/2)</f>
        <v>0</v>
      </c>
      <c r="QO7" s="42">
        <f>IF($CW7="P",CK7,(CK7+BH7)/2)</f>
        <v>9.25</v>
      </c>
      <c r="QP7" s="42">
        <f>IF($CW7="P",CL7,(CL7+BI7)/2)</f>
        <v>3.8</v>
      </c>
      <c r="QQ7" s="42">
        <f>IF($CW7="P",CM7,(CM7+BJ7)/2)</f>
        <v>0.3</v>
      </c>
      <c r="QR7" s="42">
        <f>IF($CW7="P",CN7,(CN7+BK7)/2)</f>
        <v>0</v>
      </c>
      <c r="QS7" s="42">
        <f>IF($CW7="P",CO7,(CO7+BL7)/2)</f>
        <v>9.25</v>
      </c>
      <c r="QT7" s="42">
        <f>IF($CW7="P",CP7,(CP7+BM7)/2)</f>
        <v>4.05</v>
      </c>
      <c r="QU7" s="42">
        <f>IF($CW7="P",CQ7,(CQ7+BN7)/2)</f>
        <v>0.1</v>
      </c>
      <c r="QV7" s="42">
        <f>IF($CW7="P",CR7,(CR7+BO7)/2)</f>
        <v>0.15</v>
      </c>
      <c r="QW7" s="42">
        <f>IF($CW7="P",CS7,(CS7+BP7)/2)</f>
        <v>0</v>
      </c>
      <c r="QX7" s="42">
        <f>IF($CW7="P",CT7,(CT7+BQ7)/2)</f>
        <v>0</v>
      </c>
      <c r="QY7" s="42">
        <f>IF($CW7="P",CU7,(CU7+BR7)/2)</f>
        <v>0</v>
      </c>
      <c r="QZ7" s="42">
        <f>IF($CW7="P",CV7,(CV7+BS7)/2)</f>
        <v>0</v>
      </c>
      <c r="RA7" s="51" t="s">
        <v>61</v>
      </c>
      <c r="RB7" s="76">
        <f>IF(SUM(QH7,QL7)&gt;0,SUM(QH7,QL7),"")</f>
        <v>6.85</v>
      </c>
      <c r="RC7" s="76">
        <f>IF(SUM(QG7:QH7,QJ7:QL7,QN7)-QI7-QM7&gt;0,SUM(QG7:QH7,QJ7:QL7,QN7)-QI7-QM7,"")</f>
        <v>24.4</v>
      </c>
      <c r="RD7" s="76">
        <f>IF(SUM(QO7:QP7,QR7)-QQ7&gt;0,SUM(QO7:QP7,QR7)-QQ7,"")</f>
        <v>12.75</v>
      </c>
      <c r="RE7" s="76">
        <f>IF(SUM(QH7,QL7,QP7)&gt;0,SUM(QH7,QL7,QP7),"")</f>
        <v>10.649999999999999</v>
      </c>
      <c r="RF7" s="76">
        <f>IF(SUM(RC7,RD7)&gt;0,SUM(RC7,RD7),"")</f>
        <v>37.15</v>
      </c>
      <c r="RG7" s="76">
        <f>IF(SUM(QT7,QX7)&gt;0,SUM(QT7,QX7),"")</f>
        <v>4.05</v>
      </c>
      <c r="RH7" s="76">
        <f>IF(SUM(QS7:QT7,QV7:QX7,QZ7)-SUM(QU7,QY7)&gt;0,SUM(QS7:QT7,QV7:QX7,QZ7)-SUM(QU7,QY7),"")</f>
        <v>13.350000000000001</v>
      </c>
      <c r="RI7" s="76">
        <f>IF(SUM(RC7,RH7)&gt;0,SUM(RC7,RH7),"")</f>
        <v>37.75</v>
      </c>
    </row>
    <row r="8" spans="1:477" x14ac:dyDescent="0.2">
      <c r="A8" s="5">
        <f>IF(AND(F8="P",G8="P"),SUMPRODUCT((F$4:F$18="P")*(G$4:G$18="P")*(E$4:E$18&gt;E8))+1,IF(G8="P",SUMPRODUCT((F$4:F$18="")*(G$4:G$18="P")*(E$4:E$18&gt;E8))+1+SUMPRODUCT((F$4:F$18="P")*(G$4:G$18="P")),""))</f>
        <v>5</v>
      </c>
      <c r="B8" s="6" t="s">
        <v>173</v>
      </c>
      <c r="C8" s="7" t="s">
        <v>6</v>
      </c>
      <c r="D8" s="18">
        <v>2001</v>
      </c>
      <c r="E8" s="14">
        <f>SUM(J8:T8)+SUM(J8:P8)*0.0000001+SUM(J8)*0.0000000000001</f>
        <v>20.000002000001999</v>
      </c>
      <c r="F8" s="3" t="str">
        <f>IF(OR(AND(AR8&gt;=AY$20,AS8&gt;=AY$24,AR8&lt;&gt;"",AQ8=""),AND(AW8&gt;=AY$20,AX8&gt;=AY$24,AW8&lt;&gt;"",AQ8=""),AND(BU8&gt;=CB$20,BV8&gt;=CB$24,BU8&lt;&gt;"",BT8=""),AND(BZ8&gt;=CB$20,CA8&gt;=CB$24,BZ8&lt;&gt;"",BT8=""),AND(CX8&gt;=DE$20,CY8&gt;=DE$24,CX8&lt;&gt;"",CW8=""),AND(DC8&gt;=DE$20,DD8&gt;=DE$24,DC8&lt;&gt;""),AND(EC8&gt;=EJ$20,ED8&gt;=EJ$24,EC8&lt;&gt;""),AND(EH8&gt;=EJ$20,EI8&gt;=EJ$24,EH8&lt;&gt;""),AND(FE8&gt;=FL$20,FF8&gt;=FL$24,FE8&lt;&gt;""),AND(FJ8&gt;=FL$20,FK8&gt;=FL$24,FJ8&lt;&gt;""),AND(GG8&gt;=GN$20,GH8&gt;=GN$24,GG8&lt;&gt;""),AND(GL8&gt;=GN$20,GM8&gt;=GN$24,GL8&lt;&gt;""),AND(HI8&gt;=HP$20,HJ8&gt;=HP$24,HI8&lt;&gt;""),AND(HN8&gt;=HP$20,HO8&gt;=HP$24,HN8&lt;&gt;""),AND(IK8&gt;=IR$20,IL8&gt;=IR$24,IK8&lt;&gt;""),AND(IP8&gt;=IR$20,IQ8&gt;=IR$24,IP8&lt;&gt;""),AND(JM8&gt;=JT$20,JN8&gt;=JT$24,JM8&lt;&gt;""),AND(JR8&gt;=JT$20,JS8&gt;=JT$24,JR8&lt;&gt;""),AND(KO8&gt;=KV$20,KP8&gt;=KV$24,KO8&lt;&gt;""),AND(KT8&gt;=KV$20,KU8&gt;=KV$24,KT8&lt;&gt;""),AND(LQ8&gt;=LX$20,LR8&gt;=LX$24,LQ8&lt;&gt;""),AND(LV8&gt;=LX$20,LW8&gt;=LX$24,LV8&lt;&gt;""),AND(MS8&gt;=MZ$20,MT8&gt;=MZ$24,MS8&lt;&gt;""),AND(MX8&gt;=MZ$20,MY8&gt;=MZ$24,MX8&lt;&gt;""),AND(NU8&gt;=OB$20,NV8&gt;=OB$24,NU8&lt;&gt;""),AND(NZ8&gt;=OB$20,OA8&gt;=OB$24,NZ8&lt;&gt;""),AND(OW8&gt;=PD$20,OX8&gt;=PD$24,OW8&lt;&gt;""),AND(PB8&gt;=PD$20,PC8&gt;=PD$24,PB8&lt;&gt;""),AND(PY8&gt;=QF$20,PZ8&gt;=QF$24,PY8&lt;&gt;""),AND(QD8&gt;=QF$20,QE8&gt;=QF$24,QD8&lt;&gt;"")),"P","")</f>
        <v>P</v>
      </c>
      <c r="G8" s="3" t="str">
        <f>IF(OR(AND(AS8&gt;=AY$24,AS8&lt;&gt;"",AQ8=""),AND(AX8&gt;=AY$24,AX8&lt;&gt;"",AQ8=""),AND(BV8&gt;=CB$24,BV8&lt;&gt;"",BT8=""),AND(CA8&gt;=CB$24,CA8&lt;&gt;"",BT8=""),AND(CY8&gt;=DE$24,CY8&lt;&gt;"",CW8=""),AND(DD8&gt;=DE$24,DD8&lt;&gt;"",CW8=""),AND(ED8&gt;=EJ$24,ED8&lt;&gt;""),AND(EI8&gt;=EJ$24,EI8&lt;&gt;""),AND(FF8&gt;=FL$24,FF8&lt;&gt;""),AND(FK8&gt;=FL$24,FK8&lt;&gt;""),AND(GH8&gt;=GN$24,GH8&lt;&gt;""),AND(GM8&gt;=GN$24,GM8&lt;&gt;""),AND(HJ8&gt;=HP$24,HJ8&lt;&gt;""),AND(HO8&gt;=HP$24,HO8&lt;&gt;""),AND(IL8&gt;=IR$24,IL8&lt;&gt;""),AND(IQ8&gt;=IR$24,IQ8&lt;&gt;""),AND(JN8&gt;=JT$24,JN8&lt;&gt;""),AND(JS8&gt;=JT$24,JS8&lt;&gt;""),AND(KP8&gt;=KV$24,KP8&lt;&gt;""),AND(KU8&gt;=KV$24,KU8&lt;&gt;""),AND(LR8&gt;=LX$24,LR8&lt;&gt;""),AND(LW8&gt;=LX$24,LW8&lt;&gt;""),AND(MT8&gt;=MZ$24,MT8&lt;&gt;""),AND(MY8&gt;=MZ$24,MY8&lt;&gt;""),AND(NV8&gt;=OB$24,NV8&lt;&gt;""),AND(OA8&gt;=OB$24,OA8&lt;&gt;""),AND(OX8&gt;=PD$24,OX8&lt;&gt;""),AND(PC8&gt;=PD$24,PC8&lt;&gt;""),AND(PZ8&gt;=QF$24,PZ8&lt;&gt;""),AND(QE8&gt;=QF$24,QE8&lt;&gt;"")),"P","")</f>
        <v>P</v>
      </c>
      <c r="H8" s="70" t="str">
        <f>IF(AND(G8="P",F8=""),"No DD",IF(OR(AND(AU8&gt;=AY$23,AV8&gt;=AY$27,AU8&lt;&gt;"",AQ8=""),AND(BX8&gt;=CB$23,BY8&gt;=CB$27,BX8&lt;&gt;"",BT8=""),AND(DA8&gt;=DE$23,DB8&gt;=DE$27,DA8&lt;&gt;"",CW8=""),AND(EF8&gt;=EJ$23,EG8&gt;=EJ$27,EF8&lt;&gt;""),AND(FH8&gt;=FL$23,FI8&gt;=FL$27,FH8&lt;&gt;""),AND(GJ8&gt;=GN$23,GK8&gt;=GN$27,GJ8&lt;&gt;""),AND(HL8&gt;=HP$23,HM8&gt;=HP$27,HL8&lt;&gt;""),AND(IN8&gt;=IR$23,IO8&gt;=IR$27,IN8&lt;&gt;""),AND(JP8&gt;=JT$23,JQ8&gt;=JT$27,JP8&lt;&gt;""),AND(KR8&gt;=KV$23,KS8&gt;=KV$27,KR8&lt;&gt;""),AND(LT8&gt;=LX$23,LU8&gt;=LX$27,LT8&lt;&gt;""),AND(MV8&gt;=MZ$23,MW8&gt;=MZ$27,MV8&lt;&gt;""),AND(NX8&gt;=OB$23,NY8&gt;=OB$27,NX8&lt;&gt;""),AND(OZ8&gt;=PD$23,PA8&gt;=PD$27,OZ8&lt;&gt;""),AND(QB8&gt;=QF$23,QC8&gt;=QF$27,QB8&lt;&gt;"")),"Merit",IF(OR(AND(AU8&gt;=AY$22,AV8&gt;=AY$26,AU8&lt;&gt;"",AQ8=""),AND(BX8&gt;=CB$22,BY8&gt;=CB$26,BX8&lt;&gt;"",BT8=""),AND(DA8&gt;=DE$22,DB8&gt;=DE$26,DA8&lt;&gt;"",CW8=""),AND(EF8&gt;=EJ$22,EG8&gt;=EJ$26,EF8&lt;&gt;""),AND(FH8&gt;=FL$22,FI8&gt;=FL$26,FH8&lt;&gt;""),AND(GJ8&gt;=GN$22,GK8&gt;=GN$26,GJ8&lt;&gt;""),AND(HL8&gt;=HP$22,HM8&gt;=HP$26,HL8&lt;&gt;""),AND(IN8&gt;=IR$22,IO8&gt;=IR$26,IN8&lt;&gt;""),AND(JP8&gt;=JT$22,JQ8&gt;=JT$26,JP8&lt;&gt;""),AND(KR8&gt;=KV$22,KS8&gt;=KV$26,KR8&lt;&gt;""),AND(LT8&gt;=LX$22,LU8&gt;=LX$26,LT8&lt;&gt;""),AND(MV8&gt;=MZ$22,MW8&gt;=MZ$26,MV8&lt;&gt;""),AND(NX8&gt;=OB$22,NY8&gt;=OB$26,NX8&lt;&gt;""),AND(OZ8&gt;=PD$22,PA8&gt;=PD$26,OZ8&lt;&gt;""),AND(QB8&gt;=QF$22,QC8&gt;=QF$26,QB8&lt;&gt;"")),"Excellence",IF(I8="P","Worlds Team",IF(F8="P","National Team","")))))</f>
        <v>National Team</v>
      </c>
      <c r="I8" s="3" t="str">
        <f>IF(OR(AND(AU8&gt;=AY$21,AV8&gt;=AY$25,AU8&lt;&gt;"",AQ8=""),AND(BX8&gt;=CB$21,BY8&gt;=CB$25,BX8&lt;&gt;"",BT8=""),AND(DA8&gt;=DE$21,DB8&gt;=DE$25,DA8&lt;&gt;"",CW8=""),AND(EF8&gt;=EJ$21,EG8&gt;=EJ$25,EF8&lt;&gt;""),AND(FH8&gt;=FL$21,FI8&gt;=FL$25,FH8&lt;&gt;""),AND(GJ8&gt;=GN$21,GK8&gt;=GN$25,GJ8&lt;&gt;""),AND(HL8&gt;=HP$21,HM8&gt;=HP$25,HL8&lt;&gt;""),AND(IN8&gt;=IR$21,IO8&gt;=IR$25,IN8&lt;&gt;""),AND(JP8&gt;=JT$21,JQ8&gt;=JT$25,JP8&lt;&gt;""),AND(KR8&gt;=KV$21,KS8&gt;=KV$25,KR8&lt;&gt;""),AND(LT8&gt;=LX$21,LU8&gt;=LX$25,LT8&lt;&gt;""),AND(MV8&gt;=MZ$21,MW8&gt;=MZ$25,MV8&lt;&gt;""),AND(NX8&gt;=OB$21,NY8&gt;=OB$25,NX8&lt;&gt;""),AND(OZ8&gt;=PD$21,PA8&gt;=PD$25,OZ8&lt;&gt;""),AND(QB8&gt;=QF$21,QC8&gt;=QF$25,QB8&lt;&gt;"")),"P","")</f>
        <v/>
      </c>
      <c r="J8" s="13">
        <f>IF(COUNT(AS8,BV8,CY8)&gt;0,LARGE((AS8,BV8,CY8),1),0)</f>
        <v>20</v>
      </c>
      <c r="K8" s="13" t="str">
        <f>IF(J8=0,"",IF(J8=CY8,$CC$1,IF(J8=BV8,$AZ$1,IF(J8=AS8,$W$1,""))))</f>
        <v>2022 Elite Canada</v>
      </c>
      <c r="L8" s="13">
        <f>IF(COUNT(AS8,BV8,CY8)&gt;1,LARGE((AS8,BV8,CY8),2),0)</f>
        <v>0</v>
      </c>
      <c r="M8" s="13" t="str">
        <f>IF(L8=0,"",IF(L8=CY8,$CC$1,IF(L8=BV8,$AZ$1,IF(L8=AS8,$W$1,""))))</f>
        <v/>
      </c>
      <c r="N8" s="13">
        <f>IF(COUNT(AT8,BW8,CZ8)&gt;0,LARGE((AT8,BW8,CZ8),1),0)</f>
        <v>0</v>
      </c>
      <c r="O8" s="13" t="str">
        <f>IF(N8=0,"",IF(N8=CZ8,$CC$1,IF(N8=BW8,$AZ$1,IF(N8=AT8,$W$1,""))))</f>
        <v/>
      </c>
      <c r="P8" s="13">
        <f>IF(COUNT(AT8,BW8,CZ8)&gt;1,LARGE((AT8,BW8,CZ8),2),0)</f>
        <v>0</v>
      </c>
      <c r="Q8" s="13" t="str">
        <f>IF(P8=0,"",IF(P8=CZ8,$CC$1,IF(P8=BW8,$AZ$1,IF(P8=AT8,$W$1,""))))</f>
        <v/>
      </c>
      <c r="R8" s="13">
        <f>IF(MAX(AX8,CA8,DD8)&gt;0,MAX(AX8,CA8,DD8),0)</f>
        <v>0</v>
      </c>
      <c r="S8" s="13" t="str">
        <f>IF(R8=0,"",IF(R8=DD8,$CC$1,IF(R8=CA8,$AZ$1,IF(R8=AX8,$W$1,""))))</f>
        <v/>
      </c>
      <c r="T8" s="13" t="str">
        <f>IF(MAX(DF8:DH8)&gt;0,MAX(DF8:DH8),"")</f>
        <v/>
      </c>
      <c r="U8" s="16" t="str">
        <f>IF(T8="","",IF(T8=DF8,"("&amp;DF$2&amp;")",IF(T8=DH8,"("&amp;DH$2&amp;")")))</f>
        <v/>
      </c>
      <c r="V8" s="13" t="str">
        <f>IF(T8="","",IF(T8=DF8,IF(T8+IF(L8="",0,L8)=PZ8,$PE$1,IF(T8+IF(L8="",0,L8)=OX8,$OC$1,IF(T8+IF(L8="",0,L8)=NV8,$NA$1,IF(T8+IF(L8="",0,L8)=MT8,$LY$1,IF(T8+IF(L8="",0,L8)=LR8,$KW$1,IF(T8+IF(L8="",0,L8)=KP8,$JU$1,IF(T8+IF(L8="",0,L8)=JN8,$IS$1,IF(T8+IF(L8="",0,L8)=IL8,$HQ$1,IF(T8+IF(L8="",0,L8)=HJ8,$GO$1,IF(T8+IF(L8="",0,L8)=GH8,$FM$1,IF(T8+IF(L8="",0,L8)=FF8,$EK$1,IF(T8+IF(L8="",0,L8)=ED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</f>
        <v/>
      </c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51"/>
      <c r="AR8" s="76" t="str">
        <f>IF(SUM(X8,AB8)&gt;0,SUM(X8,AB8),"")</f>
        <v/>
      </c>
      <c r="AS8" s="76" t="str">
        <f>IF(SUM(W8:X8,Z8:AB8,AD8)-Y8-AC8&gt;0,SUM(W8:X8,Z8:AB8,AD8)-Y8-AC8,"")</f>
        <v/>
      </c>
      <c r="AT8" s="76" t="str">
        <f>IF(SUM(AE8:AF8,AH8)-AG8&gt;0,SUM(AE8:AF8,AH8)-AG8,"")</f>
        <v/>
      </c>
      <c r="AU8" s="76" t="str">
        <f>IF(SUM(X8,AB8,AF8)&gt;0,SUM(X8,AB8,AF8),"")</f>
        <v/>
      </c>
      <c r="AV8" s="76" t="str">
        <f>IF(SUM(AS8,AT8)&gt;0,SUM(AS8,AT8),"")</f>
        <v/>
      </c>
      <c r="AW8" s="76" t="str">
        <f>IF(SUM(AJ8,AN8)&gt;0,SUM(AJ8,AN8),"")</f>
        <v/>
      </c>
      <c r="AX8" s="76" t="str">
        <f>IF(SUM(AI8:AJ8,AL8:AN8,AP8)-SUM(AK8,AO8)&gt;0,SUM(AI8:AJ8,AL8:AN8,AP8)-SUM(AK8,AO8),"")</f>
        <v/>
      </c>
      <c r="AY8" s="76" t="str">
        <f>IF(SUM(AS8,AX8)&gt;0,SUM(AS8,AX8),"")</f>
        <v/>
      </c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52"/>
      <c r="BU8" s="16" t="str">
        <f>IF(SUM(BA8,BE8)&gt;0,SUM(BA8,BE8),"")</f>
        <v/>
      </c>
      <c r="BV8" s="16" t="str">
        <f>IF(SUM(AZ8:BA8,BC8:BE8,BG8)-BB8-BF8&gt;0,SUM(AZ8:BA8,BC8:BE8,BG8)-BB8-BF8,"")</f>
        <v/>
      </c>
      <c r="BW8" s="16" t="str">
        <f>IF(SUM(BH8:BI8,BK8)-BJ8&gt;0,SUM(BH8:BI8,BK8)-BJ8,"")</f>
        <v/>
      </c>
      <c r="BX8" s="16" t="str">
        <f>IF(SUM(BA8,BE8,BI8)&gt;0,SUM(BA8,BE8,BI8),"")</f>
        <v/>
      </c>
      <c r="BY8" s="16" t="str">
        <f>IF(SUM(BV8,BW8)&gt;0,SUM(BV8,BW8),"")</f>
        <v/>
      </c>
      <c r="BZ8" s="16" t="str">
        <f>IF(SUM(BM8,BQ8)&gt;0,SUM(BM8,BQ8),"")</f>
        <v/>
      </c>
      <c r="CA8" s="16" t="str">
        <f>IF(SUM(BL8:BM8,BO8:BQ8,BS8)-SUM(BN8,BR8)&gt;0,SUM(BL8:BM8,BO8:BQ8,BS8)-SUM(BN8,BR8),"")</f>
        <v/>
      </c>
      <c r="CB8" s="16" t="str">
        <f>IF(SUM(BV8,CA8)&gt;0,SUM(BV8,CA8),"")</f>
        <v/>
      </c>
      <c r="CC8" s="27">
        <v>17.600000000000001</v>
      </c>
      <c r="CD8" s="27">
        <v>2.4</v>
      </c>
      <c r="CE8" s="27">
        <v>0</v>
      </c>
      <c r="CF8" s="27">
        <v>0</v>
      </c>
      <c r="CG8" s="27">
        <v>0</v>
      </c>
      <c r="CH8" s="27">
        <v>0</v>
      </c>
      <c r="CI8" s="27">
        <v>0</v>
      </c>
      <c r="CJ8" s="27">
        <v>0</v>
      </c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7"/>
      <c r="CW8" s="51"/>
      <c r="CX8" s="76">
        <f>IF(SUM(CD8,CH8)&gt;0,SUM(CD8,CH8),"")</f>
        <v>2.4</v>
      </c>
      <c r="CY8" s="76">
        <f>IF(SUM(CC8:CD8,CF8:CH8,CJ8)-CE8-CI8&gt;0,SUM(CC8:CD8,CF8:CH8,CJ8)-CE8-CI8,"")</f>
        <v>20</v>
      </c>
      <c r="CZ8" s="76" t="str">
        <f>IF(SUM(CK8:CL8,CN8)-CM8&gt;0,SUM(CK8:CL8,CN8)-CM8,"")</f>
        <v/>
      </c>
      <c r="DA8" s="76">
        <f>IF(SUM(CD8,CH8,CL8)&gt;0,SUM(CD8,CH8,CL8),"")</f>
        <v>2.4</v>
      </c>
      <c r="DB8" s="76">
        <f>IF(SUM(CY8,CZ8)&gt;0,SUM(CY8,CZ8),"")</f>
        <v>20</v>
      </c>
      <c r="DC8" s="76" t="str">
        <f>IF(SUM(CP8,CT8)&gt;0,SUM(CP8,CT8),"")</f>
        <v/>
      </c>
      <c r="DD8" s="76" t="str">
        <f>IF(SUM(CO8:CP8,CR8:CT8,CV8)-SUM(CQ8,CU8)&gt;0,SUM(CO8:CP8,CR8:CT8,CV8)-SUM(CQ8,CU8),"")</f>
        <v/>
      </c>
      <c r="DE8" s="76">
        <f>IF(SUM(CY8,DD8)&gt;0,SUM(CY8,DD8),"")</f>
        <v>20</v>
      </c>
      <c r="DF8" s="87" t="str">
        <f>IF(L8&gt;=0.001,IF(MAX(ED8,FF8,GH8,HJ8,IL8,JN8,KP8,LR8,MT8,NV8,OX8,PZ8)-IF(L8="",0,L8)&gt;0.001,MAX(ED8,FF8,GH8,HJ8,IL8,JN8,KP8,LR8,MT8,NV8,OX8,PZ8)-IF(L8="",0,L8),""),"")</f>
        <v/>
      </c>
      <c r="DG8" s="87" t="str">
        <f>IF(P8&gt;=0.001,IF(MAX(EE8,FG8,GI8,HK8,IM8,JO8,KQ8,LS8,MU8,NW8,OY8,QA8)-IF(P8="",0,P8)&gt;0.001,MAX(EE8,FG8,GI8,HK8,IM8,JO8,KQ8,LS8,MU8,NW8,OY8,QA8)-IF(P8="",0,P8),""),"")</f>
        <v/>
      </c>
      <c r="DH8" s="87" t="str">
        <f>IF(R8&gt;=0.001,IF(MAX(EI8,FK8,GM8,HO8,IQ8,JS8,KU8,LW8,MY8,OA8,PC8,QE8)-IF(R8="",0,R8)&gt;0.001,MAX(EI8,FK8,GM8,HO8,IQ8,JS8,KU8,LW8,MY8,OA8,PC8,QE8)-IF(R8="",0,R8),""),"")</f>
        <v/>
      </c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76" t="str">
        <f>IF(SUM(DJ8,DN8)&gt;0,SUM(DJ8,DN8),"")</f>
        <v/>
      </c>
      <c r="ED8" s="76" t="str">
        <f>IF(SUM(DI8:DJ8,DL8:DN8,DP8)-DK8-DO8&gt;0,SUM(DI8:DJ8,DL8:DN8,DP8)-DK8-DO8,"")</f>
        <v/>
      </c>
      <c r="EE8" s="76" t="str">
        <f>IF(SUM(DQ8:DR8,DT8)-DS8&gt;0,SUM(DQ8:DR8,DT8)-DS8,"")</f>
        <v/>
      </c>
      <c r="EF8" s="76" t="str">
        <f>IF(SUM(DJ8,DN8,DR8)&gt;0,SUM(DJ8,DN8,DR8),"")</f>
        <v/>
      </c>
      <c r="EG8" s="76" t="str">
        <f>IF(SUM(ED8,EE8)&gt;0,SUM(ED8,EE8),"")</f>
        <v/>
      </c>
      <c r="EH8" s="76" t="str">
        <f>IF(SUM(DV8,DZ8)&gt;0,SUM(DV8,DZ8),"")</f>
        <v/>
      </c>
      <c r="EI8" s="76" t="str">
        <f>IF(SUM(DU8:DV8,DX8:DZ8,EB8)-SUM(DW8,EA8)&gt;0,SUM(DU8:DV8,DX8:DZ8,EB8)-SUM(DW8,EA8),"")</f>
        <v/>
      </c>
      <c r="EJ8" s="76" t="str">
        <f>IF(SUM(ED8,EI8)&gt;0,SUM(ED8,EI8),"")</f>
        <v/>
      </c>
      <c r="EK8" s="26">
        <v>18.600000000000001</v>
      </c>
      <c r="EL8" s="26">
        <v>7.7</v>
      </c>
      <c r="EM8" s="26">
        <v>0.2</v>
      </c>
      <c r="EN8" s="26">
        <v>0.3</v>
      </c>
      <c r="EO8" s="26">
        <v>18.5</v>
      </c>
      <c r="EP8" s="26">
        <v>7.6</v>
      </c>
      <c r="EQ8" s="26">
        <v>0.6</v>
      </c>
      <c r="ER8" s="26">
        <v>0</v>
      </c>
      <c r="ES8" s="26"/>
      <c r="ET8" s="26"/>
      <c r="EU8" s="26"/>
      <c r="EV8" s="26"/>
      <c r="EW8" s="26">
        <v>18.600000000000001</v>
      </c>
      <c r="EX8" s="26">
        <v>7.3</v>
      </c>
      <c r="EY8" s="26">
        <v>0.8</v>
      </c>
      <c r="EZ8" s="26">
        <v>0</v>
      </c>
      <c r="FA8" s="26">
        <v>17.2</v>
      </c>
      <c r="FB8" s="26">
        <v>3.2</v>
      </c>
      <c r="FC8" s="26">
        <v>0</v>
      </c>
      <c r="FD8" s="26">
        <v>0</v>
      </c>
      <c r="FE8" s="16">
        <f>IF(SUM(EL8,EP8)&gt;0,SUM(EL8,EP8),"")</f>
        <v>15.3</v>
      </c>
      <c r="FF8" s="16">
        <f>IF(SUM(EK8:EL8,EN8:EP8,ER8)-EM8-EQ8&gt;0,SUM(EK8:EL8,EN8:EP8,ER8)-EM8-EQ8,"")</f>
        <v>51.9</v>
      </c>
      <c r="FG8" s="16" t="str">
        <f>IF(SUM(ES8:ET8,EV8)-EU8&gt;0,SUM(ES8:ET8,EV8)-EU8,"")</f>
        <v/>
      </c>
      <c r="FH8" s="16">
        <f>IF(SUM(EL8,EP8,ET8)&gt;0,SUM(EL8,EP8,ET8),"")</f>
        <v>15.3</v>
      </c>
      <c r="FI8" s="16">
        <f>IF(SUM(FF8,FG8)&gt;0,SUM(FF8,FG8),"")</f>
        <v>51.9</v>
      </c>
      <c r="FJ8" s="16">
        <f>IF(SUM(EX8,FB8)&gt;0,SUM(EX8,FB8),"")</f>
        <v>10.5</v>
      </c>
      <c r="FK8" s="16">
        <f>IF(SUM(EW8:EX8,EZ8:FB8,FD8)-SUM(EY8,FC8)&gt;0,SUM(EW8:EX8,EZ8:FB8,FD8)-SUM(EY8,FC8),"")</f>
        <v>45.500000000000007</v>
      </c>
      <c r="FL8" s="16">
        <f>IF(SUM(FF8,FK8)&gt;0,SUM(FF8,FK8),"")</f>
        <v>97.4</v>
      </c>
      <c r="FM8" s="25">
        <v>18.399999999999999</v>
      </c>
      <c r="FN8" s="25">
        <v>6</v>
      </c>
      <c r="FO8" s="25">
        <v>0.8</v>
      </c>
      <c r="FP8" s="25">
        <v>0</v>
      </c>
      <c r="FQ8" s="25">
        <v>18.600000000000001</v>
      </c>
      <c r="FR8" s="25">
        <v>6</v>
      </c>
      <c r="FS8" s="25">
        <v>0</v>
      </c>
      <c r="FT8" s="25">
        <v>0</v>
      </c>
      <c r="FU8" s="25"/>
      <c r="FV8" s="25"/>
      <c r="FW8" s="25"/>
      <c r="FX8" s="25"/>
      <c r="FY8" s="25">
        <v>19.3</v>
      </c>
      <c r="FZ8" s="25">
        <v>7.6</v>
      </c>
      <c r="GA8" s="25">
        <v>0</v>
      </c>
      <c r="GB8" s="25">
        <v>0.3</v>
      </c>
      <c r="GC8" s="25">
        <v>18.3</v>
      </c>
      <c r="GD8" s="25">
        <v>3.7</v>
      </c>
      <c r="GE8" s="25">
        <v>2.2999999999999998</v>
      </c>
      <c r="GF8" s="25">
        <v>0</v>
      </c>
      <c r="GG8" s="76">
        <f>IF(SUM(FN8,FR8)&gt;0,SUM(FN8,FR8),"")</f>
        <v>12</v>
      </c>
      <c r="GH8" s="76">
        <f>IF(SUM(FM8:FN8,FP8:FR8,FT8)-FO8-FS8&gt;0,SUM(FM8:FN8,FP8:FR8,FT8)-FO8-FS8,"")</f>
        <v>48.2</v>
      </c>
      <c r="GI8" s="76" t="str">
        <f>IF(SUM(FU8:FV8,FX8)-FW8&gt;0,SUM(FU8:FV8,FX8)-FW8,"")</f>
        <v/>
      </c>
      <c r="GJ8" s="76">
        <f>IF(SUM(FN8,FR8,FV8)&gt;0,SUM(FN8,FR8,FV8),"")</f>
        <v>12</v>
      </c>
      <c r="GK8" s="76">
        <f>IF(SUM(GH8,GI8)&gt;0,SUM(GH8,GI8),"")</f>
        <v>48.2</v>
      </c>
      <c r="GL8" s="76">
        <f>IF(SUM(FZ8,GD8)&gt;0,SUM(FZ8,GD8),"")</f>
        <v>11.3</v>
      </c>
      <c r="GM8" s="76">
        <f>IF(SUM(FY8:FZ8,GB8:GD8,GF8)-SUM(GA8,GE8)&gt;0,SUM(FY8:FZ8,GB8:GD8,GF8)-SUM(GA8,GE8),"")</f>
        <v>46.900000000000006</v>
      </c>
      <c r="GN8" s="76">
        <f>IF(SUM(GH8,GM8)&gt;0,SUM(GH8,GM8),"")</f>
        <v>95.100000000000009</v>
      </c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16" t="str">
        <f>IF(SUM(GP8,GT8)&gt;0,SUM(GP8,GT8),"")</f>
        <v/>
      </c>
      <c r="HJ8" s="16" t="str">
        <f>IF(SUM(GO8:GP8,GR8:GT8,GV8)-GQ8-GU8&gt;0,SUM(GO8:GP8,GR8:GT8,GV8)-GQ8-GU8,"")</f>
        <v/>
      </c>
      <c r="HK8" s="16" t="str">
        <f>IF(SUM(GW8:GX8,GZ8)-GY8&gt;0,SUM(GW8:GX8,GZ8)-GY8,"")</f>
        <v/>
      </c>
      <c r="HL8" s="16" t="str">
        <f>IF(SUM(GP8,GT8,GX8)&gt;0,SUM(GP8,GT8,GX8),"")</f>
        <v/>
      </c>
      <c r="HM8" s="16" t="str">
        <f>IF(SUM(HJ8,HK8)&gt;0,SUM(HJ8,HK8),"")</f>
        <v/>
      </c>
      <c r="HN8" s="16" t="str">
        <f>IF(SUM(HB8,HF8)&gt;0,SUM(HB8,HF8),"")</f>
        <v/>
      </c>
      <c r="HO8" s="16" t="str">
        <f>IF(SUM(HA8:HB8,HD8:HF8,HH8)-SUM(HC8,HG8)&gt;0,SUM(HA8:HB8,HD8:HF8,HH8)-SUM(HC8,HG8),"")</f>
        <v/>
      </c>
      <c r="HP8" s="16" t="str">
        <f>IF(SUM(HJ8,HO8)&gt;0,SUM(HJ8,HO8),"")</f>
        <v/>
      </c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76" t="str">
        <f>IF(SUM(HR8,HV8)&gt;0,SUM(HR8,HV8),"")</f>
        <v/>
      </c>
      <c r="IL8" s="76" t="str">
        <f>IF(SUM(HQ8:HR8,HT8:HV8,HX8)-HS8-HW8&gt;0,SUM(HQ8:HR8,HT8:HV8,HX8)-HS8-HW8,"")</f>
        <v/>
      </c>
      <c r="IM8" s="76" t="str">
        <f>IF(SUM(HY8:HZ8,IB8)-IA8&gt;0,SUM(HY8:HZ8,IB8)-IA8,"")</f>
        <v/>
      </c>
      <c r="IN8" s="76" t="str">
        <f>IF(SUM(HR8,HV8,HZ8)&gt;0,SUM(HR8,HV8,HZ8),"")</f>
        <v/>
      </c>
      <c r="IO8" s="76" t="str">
        <f>IF(SUM(IL8,IM8)&gt;0,SUM(IL8,IM8),"")</f>
        <v/>
      </c>
      <c r="IP8" s="76" t="str">
        <f>IF(SUM(ID8,IH8)&gt;0,SUM(ID8,IH8),"")</f>
        <v/>
      </c>
      <c r="IQ8" s="76" t="str">
        <f>IF(SUM(IC8:ID8,IF8:IH8,IJ8)-SUM(IE8,II8)&gt;0,SUM(IC8:ID8,IF8:IH8,IJ8)-SUM(IE8,II8),"")</f>
        <v/>
      </c>
      <c r="IR8" s="76" t="str">
        <f>IF(SUM(IL8,IQ8)&gt;0,SUM(IL8,IQ8),"")</f>
        <v/>
      </c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16" t="str">
        <f>IF(SUM(IT8,IX8)&gt;0,SUM(IT8,IX8),"")</f>
        <v/>
      </c>
      <c r="JN8" s="16" t="str">
        <f>IF(SUM(IS8:IT8,IV8:IX8,IZ8)-IU8-IY8&gt;0,SUM(IS8:IT8,IV8:IX8,IZ8)-IU8-IY8,"")</f>
        <v/>
      </c>
      <c r="JO8" s="16" t="str">
        <f>IF(SUM(JA8:JB8,JD8)-JC8&gt;0,SUM(JA8:JB8,JD8)-JC8,"")</f>
        <v/>
      </c>
      <c r="JP8" s="16" t="str">
        <f>IF(SUM(IT8,IX8,JB8)&gt;0,SUM(IT8,IX8,JB8),"")</f>
        <v/>
      </c>
      <c r="JQ8" s="16" t="str">
        <f>IF(SUM(JN8,JO8)&gt;0,SUM(JN8,JO8),"")</f>
        <v/>
      </c>
      <c r="JR8" s="16" t="str">
        <f>IF(SUM(JF8,JJ8)&gt;0,SUM(JF8,JJ8),"")</f>
        <v/>
      </c>
      <c r="JS8" s="16" t="str">
        <f>IF(SUM(JE8:JF8,JH8:JJ8,JL8)-SUM(JG8,JK8)&gt;0,SUM(JE8:JF8,JH8:JJ8,JL8)-SUM(JG8,JK8),"")</f>
        <v/>
      </c>
      <c r="JT8" s="16" t="str">
        <f>IF(SUM(JN8,JS8)&gt;0,SUM(JN8,JS8),"")</f>
        <v/>
      </c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76" t="str">
        <f>IF(SUM(JV8,JZ8)&gt;0,SUM(JV8,JZ8),"")</f>
        <v/>
      </c>
      <c r="KP8" s="76" t="str">
        <f>IF(SUM(JU8:JV8,JX8:JZ8,KB8)-JW8-KA8&gt;0,SUM(JU8:JV8,JX8:JZ8,KB8)-JW8-KA8,"")</f>
        <v/>
      </c>
      <c r="KQ8" s="76" t="str">
        <f>IF(SUM(KC8:KD8,KF8)-KE8&gt;0,SUM(KC8:KD8,KF8)-KE8,"")</f>
        <v/>
      </c>
      <c r="KR8" s="76" t="str">
        <f>IF(SUM(JV8,JZ8,KD8)&gt;0,SUM(JV8,JZ8,KD8),"")</f>
        <v/>
      </c>
      <c r="KS8" s="76" t="str">
        <f>IF(SUM(KP8,KQ8)&gt;0,SUM(KP8,KQ8),"")</f>
        <v/>
      </c>
      <c r="KT8" s="76" t="str">
        <f>IF(SUM(KH8,KL8)&gt;0,SUM(KH8,KL8),"")</f>
        <v/>
      </c>
      <c r="KU8" s="76" t="str">
        <f>IF(SUM(KG8:KH8,KJ8:KL8,KN8)-SUM(KI8,KM8)&gt;0,SUM(KG8:KH8,KJ8:KL8,KN8)-SUM(KI8,KM8),"")</f>
        <v/>
      </c>
      <c r="KV8" s="76" t="str">
        <f>IF(SUM(KP8,KU8)&gt;0,SUM(KP8,KU8),"")</f>
        <v/>
      </c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16" t="str">
        <f>IF(SUM(KX8,LB8)&gt;0,SUM(KX8,LB8),"")</f>
        <v/>
      </c>
      <c r="LR8" s="16" t="str">
        <f>IF(SUM(KW8:KX8,KZ8:LB8,LD8)-KY8-LC8&gt;0,SUM(KW8:KX8,KZ8:LB8,LD8)-KY8-LC8,"")</f>
        <v/>
      </c>
      <c r="LS8" s="16" t="str">
        <f>IF(SUM(LE8:LF8,LH8)-LG8&gt;0,SUM(LE8:LF8,LH8)-LG8,"")</f>
        <v/>
      </c>
      <c r="LT8" s="16" t="str">
        <f>IF(SUM(KX8,LB8,LF8)&gt;0,SUM(KX8,LB8,LF8),"")</f>
        <v/>
      </c>
      <c r="LU8" s="16" t="str">
        <f>IF(SUM(LR8,LS8)&gt;0,SUM(LR8,LS8),"")</f>
        <v/>
      </c>
      <c r="LV8" s="16" t="str">
        <f>IF(SUM(LJ8,LN8)&gt;0,SUM(LJ8,LN8),"")</f>
        <v/>
      </c>
      <c r="LW8" s="16" t="str">
        <f>IF(SUM(LI8:LJ8,LL8:LN8,LP8)-SUM(LK8,LO8)&gt;0,SUM(LI8:LJ8,LL8:LN8,LP8)-SUM(LK8,LO8),"")</f>
        <v/>
      </c>
      <c r="LX8" s="16" t="str">
        <f>IF(SUM(LR8,LW8)&gt;0,SUM(LR8,LW8),"")</f>
        <v/>
      </c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76" t="str">
        <f>IF(SUM(LZ8,MD8)&gt;0,SUM(LZ8,MD8),"")</f>
        <v/>
      </c>
      <c r="MT8" s="76" t="str">
        <f>IF(SUM(LY8:LZ8,MB8:MD8,MF8)-MA8-ME8&gt;0,SUM(LY8:LZ8,MB8:MD8,MF8)-MA8-ME8,"")</f>
        <v/>
      </c>
      <c r="MU8" s="76" t="str">
        <f>IF(SUM(MG8:MH8,MJ8)-MI8&gt;0,SUM(MG8:MH8,MJ8)-MI8,"")</f>
        <v/>
      </c>
      <c r="MV8" s="76" t="str">
        <f>IF(SUM(LZ8,MD8,MH8)&gt;0,SUM(LZ8,MD8,MH8),"")</f>
        <v/>
      </c>
      <c r="MW8" s="76" t="str">
        <f>IF(SUM(MT8,MU8)&gt;0,SUM(MT8,MU8),"")</f>
        <v/>
      </c>
      <c r="MX8" s="76" t="str">
        <f>IF(SUM(ML8,MP8)&gt;0,SUM(ML8,MP8),"")</f>
        <v/>
      </c>
      <c r="MY8" s="76" t="str">
        <f>IF(SUM(MK8:ML8,MN8:MP8,MR8)-SUM(MM8,MQ8)&gt;0,SUM(MK8:ML8,MN8:MP8,MR8)-SUM(MM8,MQ8),"")</f>
        <v/>
      </c>
      <c r="MZ8" s="76" t="str">
        <f>IF(SUM(MT8,MY8)&gt;0,SUM(MT8,MY8),"")</f>
        <v/>
      </c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16" t="str">
        <f>IF(SUM(NB8,NF8)&gt;0,SUM(NB8,NF8),"")</f>
        <v/>
      </c>
      <c r="NV8" s="16" t="str">
        <f>IF(SUM(NA8:NB8,ND8:NF8,NH8)-NC8-NG8&gt;0,SUM(NA8:NB8,ND8:NF8,NH8)-NC8-NG8,"")</f>
        <v/>
      </c>
      <c r="NW8" s="16" t="str">
        <f>IF(SUM(NI8:NJ8,NL8)-NK8&gt;0,SUM(NI8:NJ8,NL8)-NK8,"")</f>
        <v/>
      </c>
      <c r="NX8" s="16" t="str">
        <f>IF(SUM(NB8,NF8,NJ8)&gt;0,SUM(NB8,NF8,NJ8),"")</f>
        <v/>
      </c>
      <c r="NY8" s="16" t="str">
        <f>IF(SUM(NV8,NW8)&gt;0,SUM(NV8,NW8),"")</f>
        <v/>
      </c>
      <c r="NZ8" s="16" t="str">
        <f>IF(SUM(NN8,NR8)&gt;0,SUM(NN8,NR8),"")</f>
        <v/>
      </c>
      <c r="OA8" s="16" t="str">
        <f>IF(SUM(NM8:NN8,NP8:NR8,NT8)-SUM(NO8,NS8)&gt;0,SUM(NM8:NN8,NP8:NR8,NT8)-SUM(NO8,NS8),"")</f>
        <v/>
      </c>
      <c r="OB8" s="16" t="str">
        <f>IF(SUM(NV8,OA8)&gt;0,SUM(NV8,OA8),"")</f>
        <v/>
      </c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76" t="str">
        <f>IF(SUM(OD8,OH8)&gt;0,SUM(OD8,OH8),"")</f>
        <v/>
      </c>
      <c r="OX8" s="76" t="str">
        <f>IF(SUM(OC8:OD8,OF8:OH8,OJ8)-OE8-OI8&gt;0,SUM(OC8:OD8,OF8:OH8,OJ8)-OE8-OI8,"")</f>
        <v/>
      </c>
      <c r="OY8" s="76" t="str">
        <f>IF(SUM(OK8:OL8,ON8)-OM8&gt;0,SUM(OK8:OL8,ON8)-OM8,"")</f>
        <v/>
      </c>
      <c r="OZ8" s="76" t="str">
        <f>IF(SUM(OD8,OH8,OL8)&gt;0,SUM(OD8,OH8,OL8),"")</f>
        <v/>
      </c>
      <c r="PA8" s="76" t="str">
        <f>IF(SUM(OX8,OY8)&gt;0,SUM(OX8,OY8),"")</f>
        <v/>
      </c>
      <c r="PB8" s="76" t="str">
        <f>IF(SUM(OP8,OT8)&gt;0,SUM(OP8,OT8),"")</f>
        <v/>
      </c>
      <c r="PC8" s="76" t="str">
        <f>IF(SUM(OO8:OP8,OR8:OT8,OV8)-SUM(OQ8,OU8)&gt;0,SUM(OO8:OP8,OR8:OT8,OV8)-SUM(OQ8,OU8),"")</f>
        <v/>
      </c>
      <c r="PD8" s="76" t="str">
        <f>IF(SUM(OX8,PC8)&gt;0,SUM(OX8,PC8),"")</f>
        <v/>
      </c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16" t="str">
        <f>IF(SUM(PF8,PJ8)&gt;0,SUM(PF8,PJ8),"")</f>
        <v/>
      </c>
      <c r="PZ8" s="16" t="str">
        <f>IF(SUM(PE8:PF8,PH8:PJ8,PL8)-PG8-PK8&gt;0,SUM(PE8:PF8,PH8:PJ8,PL8)-PG8-PK8,"")</f>
        <v/>
      </c>
      <c r="QA8" s="16" t="str">
        <f>IF(SUM(PM8:PN8,PP8)-PO8&gt;0,SUM(PM8:PN8,PP8)-PO8,"")</f>
        <v/>
      </c>
      <c r="QB8" s="16" t="str">
        <f>IF(SUM(PF8,PJ8,PN8)&gt;0,SUM(PF8,PJ8,PN8),"")</f>
        <v/>
      </c>
      <c r="QC8" s="16" t="str">
        <f>IF(SUM(PZ8,QA8)&gt;0,SUM(PZ8,QA8),"")</f>
        <v/>
      </c>
      <c r="QD8" s="16" t="str">
        <f>IF(SUM(PR8,PV8)&gt;0,SUM(PR8,PV8),"")</f>
        <v/>
      </c>
      <c r="QE8" s="16" t="str">
        <f>IF(SUM(PQ8:PR8,PT8:PV8,PX8)-SUM(PS8,PW8)&gt;0,SUM(PQ8:PR8,PT8:PV8,PX8)-SUM(PS8,PW8),"")</f>
        <v/>
      </c>
      <c r="QF8" s="16" t="str">
        <f>IF(SUM(PZ8,QE8)&gt;0,SUM(PZ8,QE8),"")</f>
        <v/>
      </c>
      <c r="QG8" s="42">
        <f>IF($CW8="P",CC8,(CC8+AZ8)/2)</f>
        <v>8.8000000000000007</v>
      </c>
      <c r="QH8" s="42">
        <f>IF($CW8="P",CD8,(CD8+BA8)/2)</f>
        <v>1.2</v>
      </c>
      <c r="QI8" s="42">
        <f>IF($CW8="P",CE8,(CE8+BB8)/2)</f>
        <v>0</v>
      </c>
      <c r="QJ8" s="42">
        <f>IF($CW8="P",CF8,(CF8+BC8)/2)</f>
        <v>0</v>
      </c>
      <c r="QK8" s="42">
        <f>IF($CW8="P",CG8,(CG8+BD8)/2)</f>
        <v>0</v>
      </c>
      <c r="QL8" s="42">
        <f>IF($CW8="P",CH8,(CH8+BE8)/2)</f>
        <v>0</v>
      </c>
      <c r="QM8" s="42">
        <f>IF($CW8="P",CI8,(CI8+BF8)/2)</f>
        <v>0</v>
      </c>
      <c r="QN8" s="42">
        <f>IF($CW8="P",CJ8,(CJ8+BG8)/2)</f>
        <v>0</v>
      </c>
      <c r="QO8" s="42">
        <f>IF($CW8="P",CK8,(CK8+BH8)/2)</f>
        <v>0</v>
      </c>
      <c r="QP8" s="42">
        <f>IF($CW8="P",CL8,(CL8+BI8)/2)</f>
        <v>0</v>
      </c>
      <c r="QQ8" s="42">
        <f>IF($CW8="P",CM8,(CM8+BJ8)/2)</f>
        <v>0</v>
      </c>
      <c r="QR8" s="42">
        <f>IF($CW8="P",CN8,(CN8+BK8)/2)</f>
        <v>0</v>
      </c>
      <c r="QS8" s="42">
        <f>IF($CW8="P",CO8,(CO8+BL8)/2)</f>
        <v>0</v>
      </c>
      <c r="QT8" s="42">
        <f>IF($CW8="P",CP8,(CP8+BM8)/2)</f>
        <v>0</v>
      </c>
      <c r="QU8" s="42">
        <f>IF($CW8="P",CQ8,(CQ8+BN8)/2)</f>
        <v>0</v>
      </c>
      <c r="QV8" s="42">
        <f>IF($CW8="P",CR8,(CR8+BO8)/2)</f>
        <v>0</v>
      </c>
      <c r="QW8" s="42">
        <f>IF($CW8="P",CS8,(CS8+BP8)/2)</f>
        <v>0</v>
      </c>
      <c r="QX8" s="42">
        <f>IF($CW8="P",CT8,(CT8+BQ8)/2)</f>
        <v>0</v>
      </c>
      <c r="QY8" s="42">
        <f>IF($CW8="P",CU8,(CU8+BR8)/2)</f>
        <v>0</v>
      </c>
      <c r="QZ8" s="42">
        <f>IF($CW8="P",CV8,(CV8+BS8)/2)</f>
        <v>0</v>
      </c>
      <c r="RA8" s="51" t="s">
        <v>61</v>
      </c>
      <c r="RB8" s="76">
        <f>IF(SUM(QH8,QL8)&gt;0,SUM(QH8,QL8),"")</f>
        <v>1.2</v>
      </c>
      <c r="RC8" s="76">
        <f>IF(SUM(QG8:QH8,QJ8:QL8,QN8)-QI8-QM8&gt;0,SUM(QG8:QH8,QJ8:QL8,QN8)-QI8-QM8,"")</f>
        <v>10</v>
      </c>
      <c r="RD8" s="76" t="str">
        <f>IF(SUM(QO8:QP8,QR8)-QQ8&gt;0,SUM(QO8:QP8,QR8)-QQ8,"")</f>
        <v/>
      </c>
      <c r="RE8" s="76">
        <f>IF(SUM(QH8,QL8,QP8)&gt;0,SUM(QH8,QL8,QP8),"")</f>
        <v>1.2</v>
      </c>
      <c r="RF8" s="76">
        <f>IF(SUM(RC8,RD8)&gt;0,SUM(RC8,RD8),"")</f>
        <v>10</v>
      </c>
      <c r="RG8" s="76" t="str">
        <f>IF(SUM(QT8,QX8)&gt;0,SUM(QT8,QX8),"")</f>
        <v/>
      </c>
      <c r="RH8" s="76" t="str">
        <f>IF(SUM(QS8:QT8,QV8:QX8,QZ8)-SUM(QU8,QY8)&gt;0,SUM(QS8:QT8,QV8:QX8,QZ8)-SUM(QU8,QY8),"")</f>
        <v/>
      </c>
      <c r="RI8" s="76">
        <f>IF(SUM(RC8,RH8)&gt;0,SUM(RC8,RH8),"")</f>
        <v>10</v>
      </c>
    </row>
    <row r="9" spans="1:477" x14ac:dyDescent="0.2">
      <c r="A9" s="5" t="str">
        <f>IF(AND(F9="P",G9="P"),SUMPRODUCT((F$4:F$18="P")*(G$4:G$18="P")*(E$4:E$18&gt;E9))+1,IF(G9="P",SUMPRODUCT((F$4:F$18="")*(G$4:G$18="P")*(E$4:E$18&gt;E9))+1+SUMPRODUCT((F$4:F$18="P")*(G$4:G$18="P")),""))</f>
        <v/>
      </c>
      <c r="B9" s="6" t="s">
        <v>167</v>
      </c>
      <c r="C9" s="7" t="s">
        <v>5</v>
      </c>
      <c r="D9" s="18">
        <v>1999</v>
      </c>
      <c r="E9" s="14">
        <f>SUM(J9:T9)+SUM(J9:P9)*0.0000001+SUM(J9)*0.0000000000001</f>
        <v>126.20000756000505</v>
      </c>
      <c r="F9" s="3" t="str">
        <f>IF(OR(AND(AR9&gt;=AY$20,AS9&gt;=AY$24,AR9&lt;&gt;"",AQ9=""),AND(AW9&gt;=AY$20,AX9&gt;=AY$24,AW9&lt;&gt;"",AQ9=""),AND(BU9&gt;=CB$20,BV9&gt;=CB$24,BU9&lt;&gt;"",BT9=""),AND(BZ9&gt;=CB$20,CA9&gt;=CB$24,BZ9&lt;&gt;"",BT9=""),AND(CX9&gt;=DE$20,CY9&gt;=DE$24,CX9&lt;&gt;"",CW9=""),AND(DC9&gt;=DE$20,DD9&gt;=DE$24,DC9&lt;&gt;""),AND(EC9&gt;=EJ$20,ED9&gt;=EJ$24,EC9&lt;&gt;""),AND(EH9&gt;=EJ$20,EI9&gt;=EJ$24,EH9&lt;&gt;""),AND(FE9&gt;=FL$20,FF9&gt;=FL$24,FE9&lt;&gt;""),AND(FJ9&gt;=FL$20,FK9&gt;=FL$24,FJ9&lt;&gt;""),AND(GG9&gt;=GN$20,GH9&gt;=GN$24,GG9&lt;&gt;""),AND(GL9&gt;=GN$20,GM9&gt;=GN$24,GL9&lt;&gt;""),AND(HI9&gt;=HP$20,HJ9&gt;=HP$24,HI9&lt;&gt;""),AND(HN9&gt;=HP$20,HO9&gt;=HP$24,HN9&lt;&gt;""),AND(IK9&gt;=IR$20,IL9&gt;=IR$24,IK9&lt;&gt;""),AND(IP9&gt;=IR$20,IQ9&gt;=IR$24,IP9&lt;&gt;""),AND(JM9&gt;=JT$20,JN9&gt;=JT$24,JM9&lt;&gt;""),AND(JR9&gt;=JT$20,JS9&gt;=JT$24,JR9&lt;&gt;""),AND(KO9&gt;=KV$20,KP9&gt;=KV$24,KO9&lt;&gt;""),AND(KT9&gt;=KV$20,KU9&gt;=KV$24,KT9&lt;&gt;""),AND(LQ9&gt;=LX$20,LR9&gt;=LX$24,LQ9&lt;&gt;""),AND(LV9&gt;=LX$20,LW9&gt;=LX$24,LV9&lt;&gt;""),AND(MS9&gt;=MZ$20,MT9&gt;=MZ$24,MS9&lt;&gt;""),AND(MX9&gt;=MZ$20,MY9&gt;=MZ$24,MX9&lt;&gt;""),AND(NU9&gt;=OB$20,NV9&gt;=OB$24,NU9&lt;&gt;""),AND(NZ9&gt;=OB$20,OA9&gt;=OB$24,NZ9&lt;&gt;""),AND(OW9&gt;=PD$20,OX9&gt;=PD$24,OW9&lt;&gt;""),AND(PB9&gt;=PD$20,PC9&gt;=PD$24,PB9&lt;&gt;""),AND(PY9&gt;=QF$20,PZ9&gt;=QF$24,PY9&lt;&gt;""),AND(QD9&gt;=QF$20,QE9&gt;=QF$24,QD9&lt;&gt;"")),"P","")</f>
        <v/>
      </c>
      <c r="G9" s="3" t="str">
        <f>IF(OR(AND(AS9&gt;=AY$24,AS9&lt;&gt;"",AQ9=""),AND(AX9&gt;=AY$24,AX9&lt;&gt;"",AQ9=""),AND(BV9&gt;=CB$24,BV9&lt;&gt;"",BT9=""),AND(CA9&gt;=CB$24,CA9&lt;&gt;"",BT9=""),AND(CY9&gt;=DE$24,CY9&lt;&gt;"",CW9=""),AND(DD9&gt;=DE$24,DD9&lt;&gt;"",CW9=""),AND(ED9&gt;=EJ$24,ED9&lt;&gt;""),AND(EI9&gt;=EJ$24,EI9&lt;&gt;""),AND(FF9&gt;=FL$24,FF9&lt;&gt;""),AND(FK9&gt;=FL$24,FK9&lt;&gt;""),AND(GH9&gt;=GN$24,GH9&lt;&gt;""),AND(GM9&gt;=GN$24,GM9&lt;&gt;""),AND(HJ9&gt;=HP$24,HJ9&lt;&gt;""),AND(HO9&gt;=HP$24,HO9&lt;&gt;""),AND(IL9&gt;=IR$24,IL9&lt;&gt;""),AND(IQ9&gt;=IR$24,IQ9&lt;&gt;""),AND(JN9&gt;=JT$24,JN9&lt;&gt;""),AND(JS9&gt;=JT$24,JS9&lt;&gt;""),AND(KP9&gt;=KV$24,KP9&lt;&gt;""),AND(KU9&gt;=KV$24,KU9&lt;&gt;""),AND(LR9&gt;=LX$24,LR9&lt;&gt;""),AND(LW9&gt;=LX$24,LW9&lt;&gt;""),AND(MT9&gt;=MZ$24,MT9&lt;&gt;""),AND(MY9&gt;=MZ$24,MY9&lt;&gt;""),AND(NV9&gt;=OB$24,NV9&lt;&gt;""),AND(OA9&gt;=OB$24,OA9&lt;&gt;""),AND(OX9&gt;=PD$24,OX9&lt;&gt;""),AND(PC9&gt;=PD$24,PC9&lt;&gt;""),AND(PZ9&gt;=QF$24,PZ9&lt;&gt;""),AND(QE9&gt;=QF$24,QE9&lt;&gt;"")),"P","")</f>
        <v/>
      </c>
      <c r="H9" s="70" t="str">
        <f>IF(AND(G9="P",F9=""),"No DD",IF(OR(AND(AU9&gt;=AY$23,AV9&gt;=AY$27,AU9&lt;&gt;"",AQ9=""),AND(BX9&gt;=CB$23,BY9&gt;=CB$27,BX9&lt;&gt;"",BT9=""),AND(DA9&gt;=DE$23,DB9&gt;=DE$27,DA9&lt;&gt;"",CW9=""),AND(EF9&gt;=EJ$23,EG9&gt;=EJ$27,EF9&lt;&gt;""),AND(FH9&gt;=FL$23,FI9&gt;=FL$27,FH9&lt;&gt;""),AND(GJ9&gt;=GN$23,GK9&gt;=GN$27,GJ9&lt;&gt;""),AND(HL9&gt;=HP$23,HM9&gt;=HP$27,HL9&lt;&gt;""),AND(IN9&gt;=IR$23,IO9&gt;=IR$27,IN9&lt;&gt;""),AND(JP9&gt;=JT$23,JQ9&gt;=JT$27,JP9&lt;&gt;""),AND(KR9&gt;=KV$23,KS9&gt;=KV$27,KR9&lt;&gt;""),AND(LT9&gt;=LX$23,LU9&gt;=LX$27,LT9&lt;&gt;""),AND(MV9&gt;=MZ$23,MW9&gt;=MZ$27,MV9&lt;&gt;""),AND(NX9&gt;=OB$23,NY9&gt;=OB$27,NX9&lt;&gt;""),AND(OZ9&gt;=PD$23,PA9&gt;=PD$27,OZ9&lt;&gt;""),AND(QB9&gt;=QF$23,QC9&gt;=QF$27,QB9&lt;&gt;"")),"Merit",IF(OR(AND(AU9&gt;=AY$22,AV9&gt;=AY$26,AU9&lt;&gt;"",AQ9=""),AND(BX9&gt;=CB$22,BY9&gt;=CB$26,BX9&lt;&gt;"",BT9=""),AND(DA9&gt;=DE$22,DB9&gt;=DE$26,DA9&lt;&gt;"",CW9=""),AND(EF9&gt;=EJ$22,EG9&gt;=EJ$26,EF9&lt;&gt;""),AND(FH9&gt;=FL$22,FI9&gt;=FL$26,FH9&lt;&gt;""),AND(GJ9&gt;=GN$22,GK9&gt;=GN$26,GJ9&lt;&gt;""),AND(HL9&gt;=HP$22,HM9&gt;=HP$26,HL9&lt;&gt;""),AND(IN9&gt;=IR$22,IO9&gt;=IR$26,IN9&lt;&gt;""),AND(JP9&gt;=JT$22,JQ9&gt;=JT$26,JP9&lt;&gt;""),AND(KR9&gt;=KV$22,KS9&gt;=KV$26,KR9&lt;&gt;""),AND(LT9&gt;=LX$22,LU9&gt;=LX$26,LT9&lt;&gt;""),AND(MV9&gt;=MZ$22,MW9&gt;=MZ$26,MV9&lt;&gt;""),AND(NX9&gt;=OB$22,NY9&gt;=OB$26,NX9&lt;&gt;""),AND(OZ9&gt;=PD$22,PA9&gt;=PD$26,OZ9&lt;&gt;""),AND(QB9&gt;=QF$22,QC9&gt;=QF$26,QB9&lt;&gt;"")),"Excellence",IF(I9="P","Worlds Team",IF(F9="P","National Team","")))))</f>
        <v/>
      </c>
      <c r="I9" s="3" t="str">
        <f>IF(OR(AND(AU9&gt;=AY$21,AV9&gt;=AY$25,AU9&lt;&gt;"",AQ9=""),AND(BX9&gt;=CB$21,BY9&gt;=CB$25,BX9&lt;&gt;"",BT9=""),AND(DA9&gt;=DE$21,DB9&gt;=DE$25,DA9&lt;&gt;"",CW9=""),AND(EF9&gt;=EJ$21,EG9&gt;=EJ$25,EF9&lt;&gt;""),AND(FH9&gt;=FL$21,FI9&gt;=FL$25,FH9&lt;&gt;""),AND(GJ9&gt;=GN$21,GK9&gt;=GN$25,GJ9&lt;&gt;""),AND(HL9&gt;=HP$21,HM9&gt;=HP$25,HL9&lt;&gt;""),AND(IN9&gt;=IR$21,IO9&gt;=IR$25,IN9&lt;&gt;""),AND(JP9&gt;=JT$21,JQ9&gt;=JT$25,JP9&lt;&gt;""),AND(KR9&gt;=KV$21,KS9&gt;=KV$25,KR9&lt;&gt;""),AND(LT9&gt;=LX$21,LU9&gt;=LX$25,LT9&lt;&gt;""),AND(MV9&gt;=MZ$21,MW9&gt;=MZ$25,MV9&lt;&gt;""),AND(NX9&gt;=OB$21,NY9&gt;=OB$25,NX9&lt;&gt;""),AND(OZ9&gt;=PD$21,PA9&gt;=PD$25,OZ9&lt;&gt;""),AND(QB9&gt;=QF$21,QC9&gt;=QF$25,QB9&lt;&gt;"")),"P","")</f>
        <v/>
      </c>
      <c r="J9" s="13">
        <f>IF(COUNT(AS9,BV9,CY9)&gt;0,LARGE((AS9,BV9,CY9),1),0)</f>
        <v>50.599999999999994</v>
      </c>
      <c r="K9" s="13" t="str">
        <f>IF(J9=0,"",IF(J9=CY9,$CC$1,IF(J9=BV9,$AZ$1,IF(J9=AS9,$W$1,""))))</f>
        <v>2022 Elite Canada</v>
      </c>
      <c r="L9" s="13">
        <f>IF(COUNT(AS9,BV9,CY9)&gt;1,LARGE((AS9,BV9,CY9),2),0)</f>
        <v>0</v>
      </c>
      <c r="M9" s="13" t="str">
        <f>IF(L9=0,"",IF(L9=CY9,$CC$1,IF(L9=BV9,$AZ$1,IF(L9=AS9,$W$1,""))))</f>
        <v/>
      </c>
      <c r="N9" s="13">
        <f>IF(COUNT(AT9,BW9,CZ9)&gt;0,LARGE((AT9,BW9,CZ9),1),0)</f>
        <v>25</v>
      </c>
      <c r="O9" s="13" t="str">
        <f>IF(N9=0,"",IF(N9=CZ9,$CC$1,IF(N9=BW9,$AZ$1,IF(N9=AT9,$W$1,""))))</f>
        <v>2022 Elite Canada</v>
      </c>
      <c r="P9" s="13">
        <f>IF(COUNT(AT9,BW9,CZ9)&gt;1,LARGE((AT9,BW9,CZ9),2),0)</f>
        <v>0</v>
      </c>
      <c r="Q9" s="13" t="str">
        <f>IF(P9=0,"",IF(P9=CZ9,$CC$1,IF(P9=BW9,$AZ$1,IF(P9=AT9,$W$1,""))))</f>
        <v/>
      </c>
      <c r="R9" s="13">
        <f>IF(MAX(AX9,CA9,DD9)&gt;0,MAX(AX9,CA9,DD9),0)</f>
        <v>50.400000000000006</v>
      </c>
      <c r="S9" s="13" t="str">
        <f>IF(R9=0,"",IF(R9=DD9,$CC$1,IF(R9=CA9,$AZ$1,IF(R9=AX9,$W$1,""))))</f>
        <v>2022 Elite Canada</v>
      </c>
      <c r="T9" s="13">
        <f>IF(MAX(DF9:DH9)&gt;0,MAX(DF9:DH9),"")</f>
        <v>0.19999999999998863</v>
      </c>
      <c r="U9" s="16" t="str">
        <f>IF(T9="","",IF(T9=DF9,"("&amp;DF$2&amp;")",IF(T9=DH9,"("&amp;DH$2&amp;")")))</f>
        <v>(Final)</v>
      </c>
      <c r="V9" s="13" t="str">
        <f>IF(T9="","",IF(T9=DF9,IF(T9+IF(L9="",0,L9)=PZ9,$PE$1,IF(T9+IF(L9="",0,L9)=OX9,$OC$1,IF(T9+IF(L9="",0,L9)=NV9,$NA$1,IF(T9+IF(L9="",0,L9)=MT9,$LY$1,IF(T9+IF(L9="",0,L9)=LR9,$KW$1,IF(T9+IF(L9="",0,L9)=KP9,$JU$1,IF(T9+IF(L9="",0,L9)=JN9,$IS$1,IF(T9+IF(L9="",0,L9)=IL9,$HQ$1,IF(T9+IF(L9="",0,L9)=HJ9,$GO$1,IF(T9+IF(L9="",0,L9)=GH9,$FM$1,IF(T9+IF(L9="",0,L9)=FF9,$EK$1,IF(T9+IF(L9="",0,L9)=ED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</f>
        <v>2022 World Games Technical Trial #1 (Mar 12)</v>
      </c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51"/>
      <c r="AR9" s="76" t="str">
        <f>IF(SUM(X9,AB9)&gt;0,SUM(X9,AB9),"")</f>
        <v/>
      </c>
      <c r="AS9" s="76" t="str">
        <f>IF(SUM(W9:X9,Z9:AB9,AD9)-Y9-AC9&gt;0,SUM(W9:X9,Z9:AB9,AD9)-Y9-AC9,"")</f>
        <v/>
      </c>
      <c r="AT9" s="76" t="str">
        <f>IF(SUM(AE9:AF9,AH9)-AG9&gt;0,SUM(AE9:AF9,AH9)-AG9,"")</f>
        <v/>
      </c>
      <c r="AU9" s="76" t="str">
        <f>IF(SUM(X9,AB9,AF9)&gt;0,SUM(X9,AB9,AF9),"")</f>
        <v/>
      </c>
      <c r="AV9" s="76" t="str">
        <f>IF(SUM(AS9,AT9)&gt;0,SUM(AS9,AT9),"")</f>
        <v/>
      </c>
      <c r="AW9" s="76" t="str">
        <f>IF(SUM(AJ9,AN9)&gt;0,SUM(AJ9,AN9),"")</f>
        <v/>
      </c>
      <c r="AX9" s="76" t="str">
        <f>IF(SUM(AI9:AJ9,AL9:AN9,AP9)-SUM(AK9,AO9)&gt;0,SUM(AI9:AJ9,AL9:AN9,AP9)-SUM(AK9,AO9),"")</f>
        <v/>
      </c>
      <c r="AY9" s="76" t="str">
        <f>IF(SUM(AS9,AX9)&gt;0,SUM(AS9,AX9),"")</f>
        <v/>
      </c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52"/>
      <c r="BU9" s="16" t="str">
        <f>IF(SUM(BA9,BE9)&gt;0,SUM(BA9,BE9),"")</f>
        <v/>
      </c>
      <c r="BV9" s="16" t="str">
        <f>IF(SUM(AZ9:BA9,BC9:BE9,BG9)-BB9-BF9&gt;0,SUM(AZ9:BA9,BC9:BE9,BG9)-BB9-BF9,"")</f>
        <v/>
      </c>
      <c r="BW9" s="16" t="str">
        <f>IF(SUM(BH9:BI9,BK9)-BJ9&gt;0,SUM(BH9:BI9,BK9)-BJ9,"")</f>
        <v/>
      </c>
      <c r="BX9" s="16" t="str">
        <f>IF(SUM(BA9,BE9,BI9)&gt;0,SUM(BA9,BE9,BI9),"")</f>
        <v/>
      </c>
      <c r="BY9" s="16" t="str">
        <f>IF(SUM(BV9,BW9)&gt;0,SUM(BV9,BW9),"")</f>
        <v/>
      </c>
      <c r="BZ9" s="16" t="str">
        <f>IF(SUM(BM9,BQ9)&gt;0,SUM(BM9,BQ9),"")</f>
        <v/>
      </c>
      <c r="CA9" s="16" t="str">
        <f>IF(SUM(BL9:BM9,BO9:BQ9,BS9)-SUM(BN9,BR9)&gt;0,SUM(BL9:BM9,BO9:BQ9,BS9)-SUM(BN9,BR9),"")</f>
        <v/>
      </c>
      <c r="CB9" s="16" t="str">
        <f>IF(SUM(BV9,CA9)&gt;0,SUM(BV9,CA9),"")</f>
        <v/>
      </c>
      <c r="CC9" s="27">
        <v>19</v>
      </c>
      <c r="CD9" s="27">
        <v>7.2</v>
      </c>
      <c r="CE9" s="27">
        <v>0</v>
      </c>
      <c r="CF9" s="27">
        <v>0</v>
      </c>
      <c r="CG9" s="27">
        <v>18.399999999999999</v>
      </c>
      <c r="CH9" s="27">
        <v>6</v>
      </c>
      <c r="CI9" s="27">
        <v>0</v>
      </c>
      <c r="CJ9" s="27">
        <v>0</v>
      </c>
      <c r="CK9" s="27">
        <v>19</v>
      </c>
      <c r="CL9" s="27">
        <v>6</v>
      </c>
      <c r="CM9" s="27">
        <v>0</v>
      </c>
      <c r="CN9" s="27">
        <v>0</v>
      </c>
      <c r="CO9" s="27">
        <v>18.8</v>
      </c>
      <c r="CP9" s="27">
        <v>6.4</v>
      </c>
      <c r="CQ9" s="27">
        <v>0.8</v>
      </c>
      <c r="CR9" s="27">
        <v>0</v>
      </c>
      <c r="CS9" s="27">
        <v>19.2</v>
      </c>
      <c r="CT9" s="27">
        <v>6.8</v>
      </c>
      <c r="CU9" s="27">
        <v>0</v>
      </c>
      <c r="CV9" s="27">
        <v>0</v>
      </c>
      <c r="CW9" s="51"/>
      <c r="CX9" s="76">
        <f>IF(SUM(CD9,CH9)&gt;0,SUM(CD9,CH9),"")</f>
        <v>13.2</v>
      </c>
      <c r="CY9" s="76">
        <f>IF(SUM(CC9:CD9,CF9:CH9,CJ9)-CE9-CI9&gt;0,SUM(CC9:CD9,CF9:CH9,CJ9)-CE9-CI9,"")</f>
        <v>50.599999999999994</v>
      </c>
      <c r="CZ9" s="76">
        <f>IF(SUM(CK9:CL9,CN9)-CM9&gt;0,SUM(CK9:CL9,CN9)-CM9,"")</f>
        <v>25</v>
      </c>
      <c r="DA9" s="76">
        <f>IF(SUM(CD9,CH9,CL9)&gt;0,SUM(CD9,CH9,CL9),"")</f>
        <v>19.2</v>
      </c>
      <c r="DB9" s="76">
        <f>IF(SUM(CY9,CZ9)&gt;0,SUM(CY9,CZ9),"")</f>
        <v>75.599999999999994</v>
      </c>
      <c r="DC9" s="76">
        <f>IF(SUM(CP9,CT9)&gt;0,SUM(CP9,CT9),"")</f>
        <v>13.2</v>
      </c>
      <c r="DD9" s="76">
        <f>IF(SUM(CO9:CP9,CR9:CT9,CV9)-SUM(CQ9,CU9)&gt;0,SUM(CO9:CP9,CR9:CT9,CV9)-SUM(CQ9,CU9),"")</f>
        <v>50.400000000000006</v>
      </c>
      <c r="DE9" s="76">
        <f>IF(SUM(CY9,DD9)&gt;0,SUM(CY9,DD9),"")</f>
        <v>101</v>
      </c>
      <c r="DF9" s="87" t="str">
        <f>IF(L9&gt;=0.001,IF(MAX(ED9,FF9,GH9,HJ9,IL9,JN9,KP9,LR9,MT9,NV9,OX9,PZ9)-IF(L9="",0,L9)&gt;0.001,MAX(ED9,FF9,GH9,HJ9,IL9,JN9,KP9,LR9,MT9,NV9,OX9,PZ9)-IF(L9="",0,L9),""),"")</f>
        <v/>
      </c>
      <c r="DG9" s="87" t="str">
        <f>IF(P9&gt;=0.001,IF(MAX(EE9,FG9,GI9,HK9,IM9,JO9,KQ9,LS9,MU9,NW9,OY9,QA9)-IF(P9="",0,P9)&gt;0.001,MAX(EE9,FG9,GI9,HK9,IM9,JO9,KQ9,LS9,MU9,NW9,OY9,QA9)-IF(P9="",0,P9),""),"")</f>
        <v/>
      </c>
      <c r="DH9" s="87">
        <f>IF(R9&gt;=0.001,IF(MAX(EI9,FK9,GM9,HO9,IQ9,JS9,KU9,LW9,MY9,OA9,PC9,QE9)-IF(R9="",0,R9)&gt;0.001,MAX(EI9,FK9,GM9,HO9,IQ9,JS9,KU9,LW9,MY9,OA9,PC9,QE9)-IF(R9="",0,R9),""),"")</f>
        <v>0.19999999999998863</v>
      </c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76" t="str">
        <f>IF(SUM(DJ9,DN9)&gt;0,SUM(DJ9,DN9),"")</f>
        <v/>
      </c>
      <c r="ED9" s="76" t="str">
        <f>IF(SUM(DI9:DJ9,DL9:DN9,DP9)-DK9-DO9&gt;0,SUM(DI9:DJ9,DL9:DN9,DP9)-DK9-DO9,"")</f>
        <v/>
      </c>
      <c r="EE9" s="76" t="str">
        <f>IF(SUM(DQ9:DR9,DT9)-DS9&gt;0,SUM(DQ9:DR9,DT9)-DS9,"")</f>
        <v/>
      </c>
      <c r="EF9" s="76" t="str">
        <f>IF(SUM(DJ9,DN9,DR9)&gt;0,SUM(DJ9,DN9,DR9),"")</f>
        <v/>
      </c>
      <c r="EG9" s="76" t="str">
        <f>IF(SUM(ED9,EE9)&gt;0,SUM(ED9,EE9),"")</f>
        <v/>
      </c>
      <c r="EH9" s="76" t="str">
        <f>IF(SUM(DV9,DZ9)&gt;0,SUM(DV9,DZ9),"")</f>
        <v/>
      </c>
      <c r="EI9" s="76" t="str">
        <f>IF(SUM(DU9:DV9,DX9:DZ9,EB9)-SUM(DW9,EA9)&gt;0,SUM(DU9:DV9,DX9:DZ9,EB9)-SUM(DW9,EA9),"")</f>
        <v/>
      </c>
      <c r="EJ9" s="76" t="str">
        <f>IF(SUM(ED9,EI9)&gt;0,SUM(ED9,EI9),"")</f>
        <v/>
      </c>
      <c r="EK9" s="26">
        <v>18.8</v>
      </c>
      <c r="EL9" s="26">
        <v>7.2</v>
      </c>
      <c r="EM9" s="26">
        <v>0.8</v>
      </c>
      <c r="EN9" s="26">
        <v>0</v>
      </c>
      <c r="EO9" s="26">
        <v>19.3</v>
      </c>
      <c r="EP9" s="26">
        <v>6</v>
      </c>
      <c r="EQ9" s="26">
        <v>0.2</v>
      </c>
      <c r="ER9" s="26">
        <v>0</v>
      </c>
      <c r="ES9" s="26"/>
      <c r="ET9" s="26"/>
      <c r="EU9" s="26"/>
      <c r="EV9" s="26"/>
      <c r="EW9" s="26">
        <v>19</v>
      </c>
      <c r="EX9" s="26">
        <v>7.2</v>
      </c>
      <c r="EY9" s="26">
        <v>0.2</v>
      </c>
      <c r="EZ9" s="26">
        <v>0</v>
      </c>
      <c r="FA9" s="26">
        <v>18.600000000000001</v>
      </c>
      <c r="FB9" s="26">
        <v>6.8</v>
      </c>
      <c r="FC9" s="26">
        <v>0.8</v>
      </c>
      <c r="FD9" s="26">
        <v>0</v>
      </c>
      <c r="FE9" s="16">
        <f>IF(SUM(EL9,EP9)&gt;0,SUM(EL9,EP9),"")</f>
        <v>13.2</v>
      </c>
      <c r="FF9" s="16">
        <f>IF(SUM(EK9:EL9,EN9:EP9,ER9)-EM9-EQ9&gt;0,SUM(EK9:EL9,EN9:EP9,ER9)-EM9-EQ9,"")</f>
        <v>50.3</v>
      </c>
      <c r="FG9" s="16" t="str">
        <f>IF(SUM(ES9:ET9,EV9)-EU9&gt;0,SUM(ES9:ET9,EV9)-EU9,"")</f>
        <v/>
      </c>
      <c r="FH9" s="16">
        <f>IF(SUM(EL9,EP9,ET9)&gt;0,SUM(EL9,EP9,ET9),"")</f>
        <v>13.2</v>
      </c>
      <c r="FI9" s="16">
        <f>IF(SUM(FF9,FG9)&gt;0,SUM(FF9,FG9),"")</f>
        <v>50.3</v>
      </c>
      <c r="FJ9" s="16">
        <f>IF(SUM(EX9,FB9)&gt;0,SUM(EX9,FB9),"")</f>
        <v>14</v>
      </c>
      <c r="FK9" s="16">
        <f>IF(SUM(EW9:EX9,EZ9:FB9,FD9)-SUM(EY9,FC9)&gt;0,SUM(EW9:EX9,EZ9:FB9,FD9)-SUM(EY9,FC9),"")</f>
        <v>50.599999999999994</v>
      </c>
      <c r="FL9" s="16">
        <f>IF(SUM(FF9,FK9)&gt;0,SUM(FF9,FK9),"")</f>
        <v>100.89999999999999</v>
      </c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76" t="str">
        <f>IF(SUM(FN9,FR9)&gt;0,SUM(FN9,FR9),"")</f>
        <v/>
      </c>
      <c r="GH9" s="76" t="str">
        <f>IF(SUM(FM9:FN9,FP9:FR9,FT9)-FO9-FS9&gt;0,SUM(FM9:FN9,FP9:FR9,FT9)-FO9-FS9,"")</f>
        <v/>
      </c>
      <c r="GI9" s="76" t="str">
        <f>IF(SUM(FU9:FV9,FX9)-FW9&gt;0,SUM(FU9:FV9,FX9)-FW9,"")</f>
        <v/>
      </c>
      <c r="GJ9" s="76" t="str">
        <f>IF(SUM(FN9,FR9,FV9)&gt;0,SUM(FN9,FR9,FV9),"")</f>
        <v/>
      </c>
      <c r="GK9" s="76" t="str">
        <f>IF(SUM(GH9,GI9)&gt;0,SUM(GH9,GI9),"")</f>
        <v/>
      </c>
      <c r="GL9" s="76" t="str">
        <f>IF(SUM(FZ9,GD9)&gt;0,SUM(FZ9,GD9),"")</f>
        <v/>
      </c>
      <c r="GM9" s="76" t="str">
        <f>IF(SUM(FY9:FZ9,GB9:GD9,GF9)-SUM(GA9,GE9)&gt;0,SUM(FY9:FZ9,GB9:GD9,GF9)-SUM(GA9,GE9),"")</f>
        <v/>
      </c>
      <c r="GN9" s="76" t="str">
        <f>IF(SUM(GH9,GM9)&gt;0,SUM(GH9,GM9),"")</f>
        <v/>
      </c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16" t="str">
        <f>IF(SUM(GP9,GT9)&gt;0,SUM(GP9,GT9),"")</f>
        <v/>
      </c>
      <c r="HJ9" s="16" t="str">
        <f>IF(SUM(GO9:GP9,GR9:GT9,GV9)-GQ9-GU9&gt;0,SUM(GO9:GP9,GR9:GT9,GV9)-GQ9-GU9,"")</f>
        <v/>
      </c>
      <c r="HK9" s="16" t="str">
        <f>IF(SUM(GW9:GX9,GZ9)-GY9&gt;0,SUM(GW9:GX9,GZ9)-GY9,"")</f>
        <v/>
      </c>
      <c r="HL9" s="16" t="str">
        <f>IF(SUM(GP9,GT9,GX9)&gt;0,SUM(GP9,GT9,GX9),"")</f>
        <v/>
      </c>
      <c r="HM9" s="16" t="str">
        <f>IF(SUM(HJ9,HK9)&gt;0,SUM(HJ9,HK9),"")</f>
        <v/>
      </c>
      <c r="HN9" s="16" t="str">
        <f>IF(SUM(HB9,HF9)&gt;0,SUM(HB9,HF9),"")</f>
        <v/>
      </c>
      <c r="HO9" s="16" t="str">
        <f>IF(SUM(HA9:HB9,HD9:HF9,HH9)-SUM(HC9,HG9)&gt;0,SUM(HA9:HB9,HD9:HF9,HH9)-SUM(HC9,HG9),"")</f>
        <v/>
      </c>
      <c r="HP9" s="16" t="str">
        <f>IF(SUM(HJ9,HO9)&gt;0,SUM(HJ9,HO9),"")</f>
        <v/>
      </c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76" t="str">
        <f>IF(SUM(HR9,HV9)&gt;0,SUM(HR9,HV9),"")</f>
        <v/>
      </c>
      <c r="IL9" s="76" t="str">
        <f>IF(SUM(HQ9:HR9,HT9:HV9,HX9)-HS9-HW9&gt;0,SUM(HQ9:HR9,HT9:HV9,HX9)-HS9-HW9,"")</f>
        <v/>
      </c>
      <c r="IM9" s="76" t="str">
        <f>IF(SUM(HY9:HZ9,IB9)-IA9&gt;0,SUM(HY9:HZ9,IB9)-IA9,"")</f>
        <v/>
      </c>
      <c r="IN9" s="76" t="str">
        <f>IF(SUM(HR9,HV9,HZ9)&gt;0,SUM(HR9,HV9,HZ9),"")</f>
        <v/>
      </c>
      <c r="IO9" s="76" t="str">
        <f>IF(SUM(IL9,IM9)&gt;0,SUM(IL9,IM9),"")</f>
        <v/>
      </c>
      <c r="IP9" s="76" t="str">
        <f>IF(SUM(ID9,IH9)&gt;0,SUM(ID9,IH9),"")</f>
        <v/>
      </c>
      <c r="IQ9" s="76" t="str">
        <f>IF(SUM(IC9:ID9,IF9:IH9,IJ9)-SUM(IE9,II9)&gt;0,SUM(IC9:ID9,IF9:IH9,IJ9)-SUM(IE9,II9),"")</f>
        <v/>
      </c>
      <c r="IR9" s="76" t="str">
        <f>IF(SUM(IL9,IQ9)&gt;0,SUM(IL9,IQ9),"")</f>
        <v/>
      </c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16" t="str">
        <f>IF(SUM(IT9,IX9)&gt;0,SUM(IT9,IX9),"")</f>
        <v/>
      </c>
      <c r="JN9" s="16" t="str">
        <f>IF(SUM(IS9:IT9,IV9:IX9,IZ9)-IU9-IY9&gt;0,SUM(IS9:IT9,IV9:IX9,IZ9)-IU9-IY9,"")</f>
        <v/>
      </c>
      <c r="JO9" s="16" t="str">
        <f>IF(SUM(JA9:JB9,JD9)-JC9&gt;0,SUM(JA9:JB9,JD9)-JC9,"")</f>
        <v/>
      </c>
      <c r="JP9" s="16" t="str">
        <f>IF(SUM(IT9,IX9,JB9)&gt;0,SUM(IT9,IX9,JB9),"")</f>
        <v/>
      </c>
      <c r="JQ9" s="16" t="str">
        <f>IF(SUM(JN9,JO9)&gt;0,SUM(JN9,JO9),"")</f>
        <v/>
      </c>
      <c r="JR9" s="16" t="str">
        <f>IF(SUM(JF9,JJ9)&gt;0,SUM(JF9,JJ9),"")</f>
        <v/>
      </c>
      <c r="JS9" s="16" t="str">
        <f>IF(SUM(JE9:JF9,JH9:JJ9,JL9)-SUM(JG9,JK9)&gt;0,SUM(JE9:JF9,JH9:JJ9,JL9)-SUM(JG9,JK9),"")</f>
        <v/>
      </c>
      <c r="JT9" s="16" t="str">
        <f>IF(SUM(JN9,JS9)&gt;0,SUM(JN9,JS9),"")</f>
        <v/>
      </c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76" t="str">
        <f>IF(SUM(JV9,JZ9)&gt;0,SUM(JV9,JZ9),"")</f>
        <v/>
      </c>
      <c r="KP9" s="76" t="str">
        <f>IF(SUM(JU9:JV9,JX9:JZ9,KB9)-JW9-KA9&gt;0,SUM(JU9:JV9,JX9:JZ9,KB9)-JW9-KA9,"")</f>
        <v/>
      </c>
      <c r="KQ9" s="76" t="str">
        <f>IF(SUM(KC9:KD9,KF9)-KE9&gt;0,SUM(KC9:KD9,KF9)-KE9,"")</f>
        <v/>
      </c>
      <c r="KR9" s="76" t="str">
        <f>IF(SUM(JV9,JZ9,KD9)&gt;0,SUM(JV9,JZ9,KD9),"")</f>
        <v/>
      </c>
      <c r="KS9" s="76" t="str">
        <f>IF(SUM(KP9,KQ9)&gt;0,SUM(KP9,KQ9),"")</f>
        <v/>
      </c>
      <c r="KT9" s="76" t="str">
        <f>IF(SUM(KH9,KL9)&gt;0,SUM(KH9,KL9),"")</f>
        <v/>
      </c>
      <c r="KU9" s="76" t="str">
        <f>IF(SUM(KG9:KH9,KJ9:KL9,KN9)-SUM(KI9,KM9)&gt;0,SUM(KG9:KH9,KJ9:KL9,KN9)-SUM(KI9,KM9),"")</f>
        <v/>
      </c>
      <c r="KV9" s="76" t="str">
        <f>IF(SUM(KP9,KU9)&gt;0,SUM(KP9,KU9),"")</f>
        <v/>
      </c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16" t="str">
        <f>IF(SUM(KX9,LB9)&gt;0,SUM(KX9,LB9),"")</f>
        <v/>
      </c>
      <c r="LR9" s="16" t="str">
        <f>IF(SUM(KW9:KX9,KZ9:LB9,LD9)-KY9-LC9&gt;0,SUM(KW9:KX9,KZ9:LB9,LD9)-KY9-LC9,"")</f>
        <v/>
      </c>
      <c r="LS9" s="16" t="str">
        <f>IF(SUM(LE9:LF9,LH9)-LG9&gt;0,SUM(LE9:LF9,LH9)-LG9,"")</f>
        <v/>
      </c>
      <c r="LT9" s="16" t="str">
        <f>IF(SUM(KX9,LB9,LF9)&gt;0,SUM(KX9,LB9,LF9),"")</f>
        <v/>
      </c>
      <c r="LU9" s="16" t="str">
        <f>IF(SUM(LR9,LS9)&gt;0,SUM(LR9,LS9),"")</f>
        <v/>
      </c>
      <c r="LV9" s="16" t="str">
        <f>IF(SUM(LJ9,LN9)&gt;0,SUM(LJ9,LN9),"")</f>
        <v/>
      </c>
      <c r="LW9" s="16" t="str">
        <f>IF(SUM(LI9:LJ9,LL9:LN9,LP9)-SUM(LK9,LO9)&gt;0,SUM(LI9:LJ9,LL9:LN9,LP9)-SUM(LK9,LO9),"")</f>
        <v/>
      </c>
      <c r="LX9" s="16" t="str">
        <f>IF(SUM(LR9,LW9)&gt;0,SUM(LR9,LW9),"")</f>
        <v/>
      </c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76" t="str">
        <f>IF(SUM(LZ9,MD9)&gt;0,SUM(LZ9,MD9),"")</f>
        <v/>
      </c>
      <c r="MT9" s="76" t="str">
        <f>IF(SUM(LY9:LZ9,MB9:MD9,MF9)-MA9-ME9&gt;0,SUM(LY9:LZ9,MB9:MD9,MF9)-MA9-ME9,"")</f>
        <v/>
      </c>
      <c r="MU9" s="76" t="str">
        <f>IF(SUM(MG9:MH9,MJ9)-MI9&gt;0,SUM(MG9:MH9,MJ9)-MI9,"")</f>
        <v/>
      </c>
      <c r="MV9" s="76" t="str">
        <f>IF(SUM(LZ9,MD9,MH9)&gt;0,SUM(LZ9,MD9,MH9),"")</f>
        <v/>
      </c>
      <c r="MW9" s="76" t="str">
        <f>IF(SUM(MT9,MU9)&gt;0,SUM(MT9,MU9),"")</f>
        <v/>
      </c>
      <c r="MX9" s="76" t="str">
        <f>IF(SUM(ML9,MP9)&gt;0,SUM(ML9,MP9),"")</f>
        <v/>
      </c>
      <c r="MY9" s="76" t="str">
        <f>IF(SUM(MK9:ML9,MN9:MP9,MR9)-SUM(MM9,MQ9)&gt;0,SUM(MK9:ML9,MN9:MP9,MR9)-SUM(MM9,MQ9),"")</f>
        <v/>
      </c>
      <c r="MZ9" s="76" t="str">
        <f>IF(SUM(MT9,MY9)&gt;0,SUM(MT9,MY9),"")</f>
        <v/>
      </c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16" t="str">
        <f>IF(SUM(NB9,NF9)&gt;0,SUM(NB9,NF9),"")</f>
        <v/>
      </c>
      <c r="NV9" s="16" t="str">
        <f>IF(SUM(NA9:NB9,ND9:NF9,NH9)-NC9-NG9&gt;0,SUM(NA9:NB9,ND9:NF9,NH9)-NC9-NG9,"")</f>
        <v/>
      </c>
      <c r="NW9" s="16" t="str">
        <f>IF(SUM(NI9:NJ9,NL9)-NK9&gt;0,SUM(NI9:NJ9,NL9)-NK9,"")</f>
        <v/>
      </c>
      <c r="NX9" s="16" t="str">
        <f>IF(SUM(NB9,NF9,NJ9)&gt;0,SUM(NB9,NF9,NJ9),"")</f>
        <v/>
      </c>
      <c r="NY9" s="16" t="str">
        <f>IF(SUM(NV9,NW9)&gt;0,SUM(NV9,NW9),"")</f>
        <v/>
      </c>
      <c r="NZ9" s="16" t="str">
        <f>IF(SUM(NN9,NR9)&gt;0,SUM(NN9,NR9),"")</f>
        <v/>
      </c>
      <c r="OA9" s="16" t="str">
        <f>IF(SUM(NM9:NN9,NP9:NR9,NT9)-SUM(NO9,NS9)&gt;0,SUM(NM9:NN9,NP9:NR9,NT9)-SUM(NO9,NS9),"")</f>
        <v/>
      </c>
      <c r="OB9" s="16" t="str">
        <f>IF(SUM(NV9,OA9)&gt;0,SUM(NV9,OA9),"")</f>
        <v/>
      </c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76" t="str">
        <f>IF(SUM(OD9,OH9)&gt;0,SUM(OD9,OH9),"")</f>
        <v/>
      </c>
      <c r="OX9" s="76" t="str">
        <f>IF(SUM(OC9:OD9,OF9:OH9,OJ9)-OE9-OI9&gt;0,SUM(OC9:OD9,OF9:OH9,OJ9)-OE9-OI9,"")</f>
        <v/>
      </c>
      <c r="OY9" s="76" t="str">
        <f>IF(SUM(OK9:OL9,ON9)-OM9&gt;0,SUM(OK9:OL9,ON9)-OM9,"")</f>
        <v/>
      </c>
      <c r="OZ9" s="76" t="str">
        <f>IF(SUM(OD9,OH9,OL9)&gt;0,SUM(OD9,OH9,OL9),"")</f>
        <v/>
      </c>
      <c r="PA9" s="76" t="str">
        <f>IF(SUM(OX9,OY9)&gt;0,SUM(OX9,OY9),"")</f>
        <v/>
      </c>
      <c r="PB9" s="76" t="str">
        <f>IF(SUM(OP9,OT9)&gt;0,SUM(OP9,OT9),"")</f>
        <v/>
      </c>
      <c r="PC9" s="76" t="str">
        <f>IF(SUM(OO9:OP9,OR9:OT9,OV9)-SUM(OQ9,OU9)&gt;0,SUM(OO9:OP9,OR9:OT9,OV9)-SUM(OQ9,OU9),"")</f>
        <v/>
      </c>
      <c r="PD9" s="76" t="str">
        <f>IF(SUM(OX9,PC9)&gt;0,SUM(OX9,PC9),"")</f>
        <v/>
      </c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16" t="str">
        <f>IF(SUM(PF9,PJ9)&gt;0,SUM(PF9,PJ9),"")</f>
        <v/>
      </c>
      <c r="PZ9" s="16" t="str">
        <f>IF(SUM(PE9:PF9,PH9:PJ9,PL9)-PG9-PK9&gt;0,SUM(PE9:PF9,PH9:PJ9,PL9)-PG9-PK9,"")</f>
        <v/>
      </c>
      <c r="QA9" s="16" t="str">
        <f>IF(SUM(PM9:PN9,PP9)-PO9&gt;0,SUM(PM9:PN9,PP9)-PO9,"")</f>
        <v/>
      </c>
      <c r="QB9" s="16" t="str">
        <f>IF(SUM(PF9,PJ9,PN9)&gt;0,SUM(PF9,PJ9,PN9),"")</f>
        <v/>
      </c>
      <c r="QC9" s="16" t="str">
        <f>IF(SUM(PZ9,QA9)&gt;0,SUM(PZ9,QA9),"")</f>
        <v/>
      </c>
      <c r="QD9" s="16" t="str">
        <f>IF(SUM(PR9,PV9)&gt;0,SUM(PR9,PV9),"")</f>
        <v/>
      </c>
      <c r="QE9" s="16" t="str">
        <f>IF(SUM(PQ9:PR9,PT9:PV9,PX9)-SUM(PS9,PW9)&gt;0,SUM(PQ9:PR9,PT9:PV9,PX9)-SUM(PS9,PW9),"")</f>
        <v/>
      </c>
      <c r="QF9" s="16" t="str">
        <f>IF(SUM(PZ9,QE9)&gt;0,SUM(PZ9,QE9),"")</f>
        <v/>
      </c>
      <c r="QG9" s="42">
        <f>IF($CW9="P",CC9,(CC9+AZ9)/2)</f>
        <v>9.5</v>
      </c>
      <c r="QH9" s="42">
        <f>IF($CW9="P",CD9,(CD9+BA9)/2)</f>
        <v>3.6</v>
      </c>
      <c r="QI9" s="42">
        <f>IF($CW9="P",CE9,(CE9+BB9)/2)</f>
        <v>0</v>
      </c>
      <c r="QJ9" s="42">
        <f>IF($CW9="P",CF9,(CF9+BC9)/2)</f>
        <v>0</v>
      </c>
      <c r="QK9" s="42">
        <f>IF($CW9="P",CG9,(CG9+BD9)/2)</f>
        <v>9.1999999999999993</v>
      </c>
      <c r="QL9" s="42">
        <f>IF($CW9="P",CH9,(CH9+BE9)/2)</f>
        <v>3</v>
      </c>
      <c r="QM9" s="42">
        <f>IF($CW9="P",CI9,(CI9+BF9)/2)</f>
        <v>0</v>
      </c>
      <c r="QN9" s="42">
        <f>IF($CW9="P",CJ9,(CJ9+BG9)/2)</f>
        <v>0</v>
      </c>
      <c r="QO9" s="42">
        <f>IF($CW9="P",CK9,(CK9+BH9)/2)</f>
        <v>9.5</v>
      </c>
      <c r="QP9" s="42">
        <f>IF($CW9="P",CL9,(CL9+BI9)/2)</f>
        <v>3</v>
      </c>
      <c r="QQ9" s="42">
        <f>IF($CW9="P",CM9,(CM9+BJ9)/2)</f>
        <v>0</v>
      </c>
      <c r="QR9" s="42">
        <f>IF($CW9="P",CN9,(CN9+BK9)/2)</f>
        <v>0</v>
      </c>
      <c r="QS9" s="42">
        <f>IF($CW9="P",CO9,(CO9+BL9)/2)</f>
        <v>9.4</v>
      </c>
      <c r="QT9" s="42">
        <f>IF($CW9="P",CP9,(CP9+BM9)/2)</f>
        <v>3.2</v>
      </c>
      <c r="QU9" s="42">
        <f>IF($CW9="P",CQ9,(CQ9+BN9)/2)</f>
        <v>0.4</v>
      </c>
      <c r="QV9" s="42">
        <f>IF($CW9="P",CR9,(CR9+BO9)/2)</f>
        <v>0</v>
      </c>
      <c r="QW9" s="42">
        <f>IF($CW9="P",CS9,(CS9+BP9)/2)</f>
        <v>9.6</v>
      </c>
      <c r="QX9" s="42">
        <f>IF($CW9="P",CT9,(CT9+BQ9)/2)</f>
        <v>3.4</v>
      </c>
      <c r="QY9" s="42">
        <f>IF($CW9="P",CU9,(CU9+BR9)/2)</f>
        <v>0</v>
      </c>
      <c r="QZ9" s="42">
        <f>IF($CW9="P",CV9,(CV9+BS9)/2)</f>
        <v>0</v>
      </c>
      <c r="RA9" s="51" t="s">
        <v>61</v>
      </c>
      <c r="RB9" s="76">
        <f>IF(SUM(QH9,QL9)&gt;0,SUM(QH9,QL9),"")</f>
        <v>6.6</v>
      </c>
      <c r="RC9" s="76">
        <f>IF(SUM(QG9:QH9,QJ9:QL9,QN9)-QI9-QM9&gt;0,SUM(QG9:QH9,QJ9:QL9,QN9)-QI9-QM9,"")</f>
        <v>25.299999999999997</v>
      </c>
      <c r="RD9" s="76">
        <f>IF(SUM(QO9:QP9,QR9)-QQ9&gt;0,SUM(QO9:QP9,QR9)-QQ9,"")</f>
        <v>12.5</v>
      </c>
      <c r="RE9" s="76">
        <f>IF(SUM(QH9,QL9,QP9)&gt;0,SUM(QH9,QL9,QP9),"")</f>
        <v>9.6</v>
      </c>
      <c r="RF9" s="76">
        <f>IF(SUM(RC9,RD9)&gt;0,SUM(RC9,RD9),"")</f>
        <v>37.799999999999997</v>
      </c>
      <c r="RG9" s="76">
        <f>IF(SUM(QT9,QX9)&gt;0,SUM(QT9,QX9),"")</f>
        <v>6.6</v>
      </c>
      <c r="RH9" s="76">
        <f>IF(SUM(QS9:QT9,QV9:QX9,QZ9)-SUM(QU9,QY9)&gt;0,SUM(QS9:QT9,QV9:QX9,QZ9)-SUM(QU9,QY9),"")</f>
        <v>25.200000000000003</v>
      </c>
      <c r="RI9" s="76">
        <f>IF(SUM(RC9,RH9)&gt;0,SUM(RC9,RH9),"")</f>
        <v>50.5</v>
      </c>
    </row>
    <row r="10" spans="1:477" x14ac:dyDescent="0.2">
      <c r="A10" s="5" t="str">
        <f>IF(AND(F10="P",G10="P"),SUMPRODUCT((F$4:F$18="P")*(G$4:G$18="P")*(E$4:E$18&gt;E10))+1,IF(G10="P",SUMPRODUCT((F$4:F$18="")*(G$4:G$18="P")*(E$4:E$18&gt;E10))+1+SUMPRODUCT((F$4:F$18="P")*(G$4:G$18="P")),""))</f>
        <v/>
      </c>
      <c r="B10" s="6" t="s">
        <v>169</v>
      </c>
      <c r="C10" s="7" t="s">
        <v>5</v>
      </c>
      <c r="D10" s="18">
        <v>2004</v>
      </c>
      <c r="E10" s="14">
        <f>SUM(J10:T10)+SUM(J10:P10)*0.0000001+SUM(J10)*0.0000000000001</f>
        <v>122.50000756000509</v>
      </c>
      <c r="F10" s="3" t="str">
        <f>IF(OR(AND(AR10&gt;=AY$20,AS10&gt;=AY$24,AR10&lt;&gt;"",AQ10=""),AND(AW10&gt;=AY$20,AX10&gt;=AY$24,AW10&lt;&gt;"",AQ10=""),AND(BU10&gt;=CB$20,BV10&gt;=CB$24,BU10&lt;&gt;"",BT10=""),AND(BZ10&gt;=CB$20,CA10&gt;=CB$24,BZ10&lt;&gt;"",BT10=""),AND(CX10&gt;=DE$20,CY10&gt;=DE$24,CX10&lt;&gt;"",CW10=""),AND(DC10&gt;=DE$20,DD10&gt;=DE$24,DC10&lt;&gt;""),AND(EC10&gt;=EJ$20,ED10&gt;=EJ$24,EC10&lt;&gt;""),AND(EH10&gt;=EJ$20,EI10&gt;=EJ$24,EH10&lt;&gt;""),AND(FE10&gt;=FL$20,FF10&gt;=FL$24,FE10&lt;&gt;""),AND(FJ10&gt;=FL$20,FK10&gt;=FL$24,FJ10&lt;&gt;""),AND(GG10&gt;=GN$20,GH10&gt;=GN$24,GG10&lt;&gt;""),AND(GL10&gt;=GN$20,GM10&gt;=GN$24,GL10&lt;&gt;""),AND(HI10&gt;=HP$20,HJ10&gt;=HP$24,HI10&lt;&gt;""),AND(HN10&gt;=HP$20,HO10&gt;=HP$24,HN10&lt;&gt;""),AND(IK10&gt;=IR$20,IL10&gt;=IR$24,IK10&lt;&gt;""),AND(IP10&gt;=IR$20,IQ10&gt;=IR$24,IP10&lt;&gt;""),AND(JM10&gt;=JT$20,JN10&gt;=JT$24,JM10&lt;&gt;""),AND(JR10&gt;=JT$20,JS10&gt;=JT$24,JR10&lt;&gt;""),AND(KO10&gt;=KV$20,KP10&gt;=KV$24,KO10&lt;&gt;""),AND(KT10&gt;=KV$20,KU10&gt;=KV$24,KT10&lt;&gt;""),AND(LQ10&gt;=LX$20,LR10&gt;=LX$24,LQ10&lt;&gt;""),AND(LV10&gt;=LX$20,LW10&gt;=LX$24,LV10&lt;&gt;""),AND(MS10&gt;=MZ$20,MT10&gt;=MZ$24,MS10&lt;&gt;""),AND(MX10&gt;=MZ$20,MY10&gt;=MZ$24,MX10&lt;&gt;""),AND(NU10&gt;=OB$20,NV10&gt;=OB$24,NU10&lt;&gt;""),AND(NZ10&gt;=OB$20,OA10&gt;=OB$24,NZ10&lt;&gt;""),AND(OW10&gt;=PD$20,OX10&gt;=PD$24,OW10&lt;&gt;""),AND(PB10&gt;=PD$20,PC10&gt;=PD$24,PB10&lt;&gt;""),AND(PY10&gt;=QF$20,PZ10&gt;=QF$24,PY10&lt;&gt;""),AND(QD10&gt;=QF$20,QE10&gt;=QF$24,QD10&lt;&gt;"")),"P","")</f>
        <v/>
      </c>
      <c r="G10" s="3" t="str">
        <f>IF(OR(AND(AS10&gt;=AY$24,AS10&lt;&gt;"",AQ10=""),AND(AX10&gt;=AY$24,AX10&lt;&gt;"",AQ10=""),AND(BV10&gt;=CB$24,BV10&lt;&gt;"",BT10=""),AND(CA10&gt;=CB$24,CA10&lt;&gt;"",BT10=""),AND(CY10&gt;=DE$24,CY10&lt;&gt;"",CW10=""),AND(DD10&gt;=DE$24,DD10&lt;&gt;"",CW10=""),AND(ED10&gt;=EJ$24,ED10&lt;&gt;""),AND(EI10&gt;=EJ$24,EI10&lt;&gt;""),AND(FF10&gt;=FL$24,FF10&lt;&gt;""),AND(FK10&gt;=FL$24,FK10&lt;&gt;""),AND(GH10&gt;=GN$24,GH10&lt;&gt;""),AND(GM10&gt;=GN$24,GM10&lt;&gt;""),AND(HJ10&gt;=HP$24,HJ10&lt;&gt;""),AND(HO10&gt;=HP$24,HO10&lt;&gt;""),AND(IL10&gt;=IR$24,IL10&lt;&gt;""),AND(IQ10&gt;=IR$24,IQ10&lt;&gt;""),AND(JN10&gt;=JT$24,JN10&lt;&gt;""),AND(JS10&gt;=JT$24,JS10&lt;&gt;""),AND(KP10&gt;=KV$24,KP10&lt;&gt;""),AND(KU10&gt;=KV$24,KU10&lt;&gt;""),AND(LR10&gt;=LX$24,LR10&lt;&gt;""),AND(LW10&gt;=LX$24,LW10&lt;&gt;""),AND(MT10&gt;=MZ$24,MT10&lt;&gt;""),AND(MY10&gt;=MZ$24,MY10&lt;&gt;""),AND(NV10&gt;=OB$24,NV10&lt;&gt;""),AND(OA10&gt;=OB$24,OA10&lt;&gt;""),AND(OX10&gt;=PD$24,OX10&lt;&gt;""),AND(PC10&gt;=PD$24,PC10&lt;&gt;""),AND(PZ10&gt;=QF$24,PZ10&lt;&gt;""),AND(QE10&gt;=QF$24,QE10&lt;&gt;"")),"P","")</f>
        <v/>
      </c>
      <c r="H10" s="70" t="str">
        <f>IF(AND(G10="P",F10=""),"No DD",IF(OR(AND(AU10&gt;=AY$23,AV10&gt;=AY$27,AU10&lt;&gt;"",AQ10=""),AND(BX10&gt;=CB$23,BY10&gt;=CB$27,BX10&lt;&gt;"",BT10=""),AND(DA10&gt;=DE$23,DB10&gt;=DE$27,DA10&lt;&gt;"",CW10=""),AND(EF10&gt;=EJ$23,EG10&gt;=EJ$27,EF10&lt;&gt;""),AND(FH10&gt;=FL$23,FI10&gt;=FL$27,FH10&lt;&gt;""),AND(GJ10&gt;=GN$23,GK10&gt;=GN$27,GJ10&lt;&gt;""),AND(HL10&gt;=HP$23,HM10&gt;=HP$27,HL10&lt;&gt;""),AND(IN10&gt;=IR$23,IO10&gt;=IR$27,IN10&lt;&gt;""),AND(JP10&gt;=JT$23,JQ10&gt;=JT$27,JP10&lt;&gt;""),AND(KR10&gt;=KV$23,KS10&gt;=KV$27,KR10&lt;&gt;""),AND(LT10&gt;=LX$23,LU10&gt;=LX$27,LT10&lt;&gt;""),AND(MV10&gt;=MZ$23,MW10&gt;=MZ$27,MV10&lt;&gt;""),AND(NX10&gt;=OB$23,NY10&gt;=OB$27,NX10&lt;&gt;""),AND(OZ10&gt;=PD$23,PA10&gt;=PD$27,OZ10&lt;&gt;""),AND(QB10&gt;=QF$23,QC10&gt;=QF$27,QB10&lt;&gt;"")),"Merit",IF(OR(AND(AU10&gt;=AY$22,AV10&gt;=AY$26,AU10&lt;&gt;"",AQ10=""),AND(BX10&gt;=CB$22,BY10&gt;=CB$26,BX10&lt;&gt;"",BT10=""),AND(DA10&gt;=DE$22,DB10&gt;=DE$26,DA10&lt;&gt;"",CW10=""),AND(EF10&gt;=EJ$22,EG10&gt;=EJ$26,EF10&lt;&gt;""),AND(FH10&gt;=FL$22,FI10&gt;=FL$26,FH10&lt;&gt;""),AND(GJ10&gt;=GN$22,GK10&gt;=GN$26,GJ10&lt;&gt;""),AND(HL10&gt;=HP$22,HM10&gt;=HP$26,HL10&lt;&gt;""),AND(IN10&gt;=IR$22,IO10&gt;=IR$26,IN10&lt;&gt;""),AND(JP10&gt;=JT$22,JQ10&gt;=JT$26,JP10&lt;&gt;""),AND(KR10&gt;=KV$22,KS10&gt;=KV$26,KR10&lt;&gt;""),AND(LT10&gt;=LX$22,LU10&gt;=LX$26,LT10&lt;&gt;""),AND(MV10&gt;=MZ$22,MW10&gt;=MZ$26,MV10&lt;&gt;""),AND(NX10&gt;=OB$22,NY10&gt;=OB$26,NX10&lt;&gt;""),AND(OZ10&gt;=PD$22,PA10&gt;=PD$26,OZ10&lt;&gt;""),AND(QB10&gt;=QF$22,QC10&gt;=QF$26,QB10&lt;&gt;"")),"Excellence",IF(I10="P","Worlds Team",IF(F10="P","National Team","")))))</f>
        <v/>
      </c>
      <c r="I10" s="3" t="str">
        <f>IF(OR(AND(AU10&gt;=AY$21,AV10&gt;=AY$25,AU10&lt;&gt;"",AQ10=""),AND(BX10&gt;=CB$21,BY10&gt;=CB$25,BX10&lt;&gt;"",BT10=""),AND(DA10&gt;=DE$21,DB10&gt;=DE$25,DA10&lt;&gt;"",CW10=""),AND(EF10&gt;=EJ$21,EG10&gt;=EJ$25,EF10&lt;&gt;""),AND(FH10&gt;=FL$21,FI10&gt;=FL$25,FH10&lt;&gt;""),AND(GJ10&gt;=GN$21,GK10&gt;=GN$25,GJ10&lt;&gt;""),AND(HL10&gt;=HP$21,HM10&gt;=HP$25,HL10&lt;&gt;""),AND(IN10&gt;=IR$21,IO10&gt;=IR$25,IN10&lt;&gt;""),AND(JP10&gt;=JT$21,JQ10&gt;=JT$25,JP10&lt;&gt;""),AND(KR10&gt;=KV$21,KS10&gt;=KV$25,KR10&lt;&gt;""),AND(LT10&gt;=LX$21,LU10&gt;=LX$25,LT10&lt;&gt;""),AND(MV10&gt;=MZ$21,MW10&gt;=MZ$25,MV10&lt;&gt;""),AND(NX10&gt;=OB$21,NY10&gt;=OB$25,NX10&lt;&gt;""),AND(OZ10&gt;=PD$21,PA10&gt;=PD$25,OZ10&lt;&gt;""),AND(QB10&gt;=QF$21,QC10&gt;=QF$25,QB10&lt;&gt;"")),"P","")</f>
        <v/>
      </c>
      <c r="J10" s="13">
        <f>IF(COUNT(AS10,BV10,CY10)&gt;0,LARGE((AS10,BV10,CY10),1),0)</f>
        <v>50.900000000000006</v>
      </c>
      <c r="K10" s="13" t="str">
        <f>IF(J10=0,"",IF(J10=CY10,$CC$1,IF(J10=BV10,$AZ$1,IF(J10=AS10,$W$1,""))))</f>
        <v>2022 Elite Canada</v>
      </c>
      <c r="L10" s="13">
        <f>IF(COUNT(AS10,BV10,CY10)&gt;1,LARGE((AS10,BV10,CY10),2),0)</f>
        <v>0</v>
      </c>
      <c r="M10" s="13" t="str">
        <f>IF(L10=0,"",IF(L10=CY10,$CC$1,IF(L10=BV10,$AZ$1,IF(L10=AS10,$W$1,""))))</f>
        <v/>
      </c>
      <c r="N10" s="13">
        <f>IF(COUNT(AT10,BW10,CZ10)&gt;0,LARGE((AT10,BW10,CZ10),1),0)</f>
        <v>24.7</v>
      </c>
      <c r="O10" s="13" t="str">
        <f>IF(N10=0,"",IF(N10=CZ10,$CC$1,IF(N10=BW10,$AZ$1,IF(N10=AT10,$W$1,""))))</f>
        <v>2022 Elite Canada</v>
      </c>
      <c r="P10" s="13">
        <f>IF(COUNT(AT10,BW10,CZ10)&gt;1,LARGE((AT10,BW10,CZ10),2),0)</f>
        <v>0</v>
      </c>
      <c r="Q10" s="13" t="str">
        <f>IF(P10=0,"",IF(P10=CZ10,$CC$1,IF(P10=BW10,$AZ$1,IF(P10=AT10,$W$1,""))))</f>
        <v/>
      </c>
      <c r="R10" s="13">
        <f>IF(MAX(AX10,CA10,DD10)&gt;0,MAX(AX10,CA10,DD10),0)</f>
        <v>25</v>
      </c>
      <c r="S10" s="13" t="str">
        <f>IF(R10=0,"",IF(R10=DD10,$CC$1,IF(R10=CA10,$AZ$1,IF(R10=AX10,$W$1,""))))</f>
        <v>2022 Elite Canada</v>
      </c>
      <c r="T10" s="13">
        <f>IF(MAX(DF10:DH10)&gt;0,MAX(DF10:DH10),"")</f>
        <v>21.9</v>
      </c>
      <c r="U10" s="16" t="str">
        <f>IF(T10="","",IF(T10=DF10,"("&amp;DF$2&amp;")",IF(T10=DH10,"("&amp;DH$2&amp;")")))</f>
        <v>(Final)</v>
      </c>
      <c r="V10" s="13" t="str">
        <f>IF(T10="","",IF(T10=DF10,IF(T10+IF(L10="",0,L10)=PZ10,$PE$1,IF(T10+IF(L10="",0,L10)=OX10,$OC$1,IF(T10+IF(L10="",0,L10)=NV10,$NA$1,IF(T10+IF(L10="",0,L10)=MT10,$LY$1,IF(T10+IF(L10="",0,L10)=LR10,$KW$1,IF(T10+IF(L10="",0,L10)=KP10,$JU$1,IF(T10+IF(L10="",0,L10)=JN10,$IS$1,IF(T10+IF(L10="",0,L10)=IL10,$HQ$1,IF(T10+IF(L10="",0,L10)=HJ10,$GO$1,IF(T10+IF(L10="",0,L10)=GH10,$FM$1,IF(T10+IF(L10="",0,L10)=FF10,$EK$1,IF(T10+IF(L10="",0,L10)=ED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</f>
        <v>2022 World Games Technical Trial #2 (May 15)</v>
      </c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51"/>
      <c r="AR10" s="76" t="str">
        <f>IF(SUM(X10,AB10)&gt;0,SUM(X10,AB10),"")</f>
        <v/>
      </c>
      <c r="AS10" s="76" t="str">
        <f>IF(SUM(W10:X10,Z10:AB10,AD10)-Y10-AC10&gt;0,SUM(W10:X10,Z10:AB10,AD10)-Y10-AC10,"")</f>
        <v/>
      </c>
      <c r="AT10" s="76" t="str">
        <f>IF(SUM(AE10:AF10,AH10)-AG10&gt;0,SUM(AE10:AF10,AH10)-AG10,"")</f>
        <v/>
      </c>
      <c r="AU10" s="76" t="str">
        <f>IF(SUM(X10,AB10,AF10)&gt;0,SUM(X10,AB10,AF10),"")</f>
        <v/>
      </c>
      <c r="AV10" s="76" t="str">
        <f>IF(SUM(AS10,AT10)&gt;0,SUM(AS10,AT10),"")</f>
        <v/>
      </c>
      <c r="AW10" s="76" t="str">
        <f>IF(SUM(AJ10,AN10)&gt;0,SUM(AJ10,AN10),"")</f>
        <v/>
      </c>
      <c r="AX10" s="76" t="str">
        <f>IF(SUM(AI10:AJ10,AL10:AN10,AP10)-SUM(AK10,AO10)&gt;0,SUM(AI10:AJ10,AL10:AN10,AP10)-SUM(AK10,AO10),"")</f>
        <v/>
      </c>
      <c r="AY10" s="76" t="str">
        <f>IF(SUM(AS10,AX10)&gt;0,SUM(AS10,AX10),"")</f>
        <v/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52"/>
      <c r="BU10" s="16" t="str">
        <f>IF(SUM(BA10,BE10)&gt;0,SUM(BA10,BE10),"")</f>
        <v/>
      </c>
      <c r="BV10" s="16" t="str">
        <f>IF(SUM(AZ10:BA10,BC10:BE10,BG10)-BB10-BF10&gt;0,SUM(AZ10:BA10,BC10:BE10,BG10)-BB10-BF10,"")</f>
        <v/>
      </c>
      <c r="BW10" s="16" t="str">
        <f>IF(SUM(BH10:BI10,BK10)-BJ10&gt;0,SUM(BH10:BI10,BK10)-BJ10,"")</f>
        <v/>
      </c>
      <c r="BX10" s="16" t="str">
        <f>IF(SUM(BA10,BE10,BI10)&gt;0,SUM(BA10,BE10,BI10),"")</f>
        <v/>
      </c>
      <c r="BY10" s="16" t="str">
        <f>IF(SUM(BV10,BW10)&gt;0,SUM(BV10,BW10),"")</f>
        <v/>
      </c>
      <c r="BZ10" s="16" t="str">
        <f>IF(SUM(BM10,BQ10)&gt;0,SUM(BM10,BQ10),"")</f>
        <v/>
      </c>
      <c r="CA10" s="16" t="str">
        <f>IF(SUM(BL10:BM10,BO10:BQ10,BS10)-SUM(BN10,BR10)&gt;0,SUM(BL10:BM10,BO10:BQ10,BS10)-SUM(BN10,BR10),"")</f>
        <v/>
      </c>
      <c r="CB10" s="16" t="str">
        <f>IF(SUM(BV10,CA10)&gt;0,SUM(BV10,CA10),"")</f>
        <v/>
      </c>
      <c r="CC10" s="27">
        <v>19</v>
      </c>
      <c r="CD10" s="27">
        <v>6.8</v>
      </c>
      <c r="CE10" s="27">
        <v>0.6</v>
      </c>
      <c r="CF10" s="27">
        <v>0</v>
      </c>
      <c r="CG10" s="27">
        <v>19.100000000000001</v>
      </c>
      <c r="CH10" s="27">
        <v>7.2</v>
      </c>
      <c r="CI10" s="27">
        <v>0.6</v>
      </c>
      <c r="CJ10" s="27">
        <v>0</v>
      </c>
      <c r="CK10" s="27">
        <v>18.399999999999999</v>
      </c>
      <c r="CL10" s="27">
        <v>7.3</v>
      </c>
      <c r="CM10" s="27">
        <v>1</v>
      </c>
      <c r="CN10" s="27">
        <v>0</v>
      </c>
      <c r="CO10" s="27">
        <v>18.8</v>
      </c>
      <c r="CP10" s="27">
        <v>6.8</v>
      </c>
      <c r="CQ10" s="27">
        <v>0.6</v>
      </c>
      <c r="CR10" s="27">
        <v>0</v>
      </c>
      <c r="CS10" s="27">
        <v>0</v>
      </c>
      <c r="CT10" s="27">
        <v>0</v>
      </c>
      <c r="CU10" s="27">
        <v>0</v>
      </c>
      <c r="CV10" s="27">
        <v>0</v>
      </c>
      <c r="CW10" s="51"/>
      <c r="CX10" s="76">
        <f>IF(SUM(CD10,CH10)&gt;0,SUM(CD10,CH10),"")</f>
        <v>14</v>
      </c>
      <c r="CY10" s="76">
        <f>IF(SUM(CC10:CD10,CF10:CH10,CJ10)-CE10-CI10&gt;0,SUM(CC10:CD10,CF10:CH10,CJ10)-CE10-CI10,"")</f>
        <v>50.900000000000006</v>
      </c>
      <c r="CZ10" s="76">
        <f>IF(SUM(CK10:CL10,CN10)-CM10&gt;0,SUM(CK10:CL10,CN10)-CM10,"")</f>
        <v>24.7</v>
      </c>
      <c r="DA10" s="76">
        <f>IF(SUM(CD10,CH10,CL10)&gt;0,SUM(CD10,CH10,CL10),"")</f>
        <v>21.3</v>
      </c>
      <c r="DB10" s="76">
        <f>IF(SUM(CY10,CZ10)&gt;0,SUM(CY10,CZ10),"")</f>
        <v>75.600000000000009</v>
      </c>
      <c r="DC10" s="76">
        <f>IF(SUM(CP10,CT10)&gt;0,SUM(CP10,CT10),"")</f>
        <v>6.8</v>
      </c>
      <c r="DD10" s="76">
        <f>IF(SUM(CO10:CP10,CR10:CT10,CV10)-SUM(CQ10,CU10)&gt;0,SUM(CO10:CP10,CR10:CT10,CV10)-SUM(CQ10,CU10),"")</f>
        <v>25</v>
      </c>
      <c r="DE10" s="76">
        <f>IF(SUM(CY10,DD10)&gt;0,SUM(CY10,DD10),"")</f>
        <v>75.900000000000006</v>
      </c>
      <c r="DF10" s="87" t="str">
        <f>IF(L10&gt;=0.001,IF(MAX(ED10,FF10,GH10,HJ10,IL10,JN10,KP10,LR10,MT10,NV10,OX10,PZ10)-IF(L10="",0,L10)&gt;0.001,MAX(ED10,FF10,GH10,HJ10,IL10,JN10,KP10,LR10,MT10,NV10,OX10,PZ10)-IF(L10="",0,L10),""),"")</f>
        <v/>
      </c>
      <c r="DG10" s="87" t="str">
        <f>IF(P10&gt;=0.001,IF(MAX(EE10,FG10,GI10,HK10,IM10,JO10,KQ10,LS10,MU10,NW10,OY10,QA10)-IF(P10="",0,P10)&gt;0.001,MAX(EE10,FG10,GI10,HK10,IM10,JO10,KQ10,LS10,MU10,NW10,OY10,QA10)-IF(P10="",0,P10),""),"")</f>
        <v/>
      </c>
      <c r="DH10" s="87">
        <f>IF(R10&gt;=0.001,IF(MAX(EI10,FK10,GM10,HO10,IQ10,JS10,KU10,LW10,MY10,OA10,PC10,QE10)-IF(R10="",0,R10)&gt;0.001,MAX(EI10,FK10,GM10,HO10,IQ10,JS10,KU10,LW10,MY10,OA10,PC10,QE10)-IF(R10="",0,R10),""),"")</f>
        <v>21.9</v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76" t="str">
        <f>IF(SUM(DJ10,DN10)&gt;0,SUM(DJ10,DN10),"")</f>
        <v/>
      </c>
      <c r="ED10" s="76" t="str">
        <f>IF(SUM(DI10:DJ10,DL10:DN10,DP10)-DK10-DO10&gt;0,SUM(DI10:DJ10,DL10:DN10,DP10)-DK10-DO10,"")</f>
        <v/>
      </c>
      <c r="EE10" s="76" t="str">
        <f>IF(SUM(DQ10:DR10,DT10)-DS10&gt;0,SUM(DQ10:DR10,DT10)-DS10,"")</f>
        <v/>
      </c>
      <c r="EF10" s="76" t="str">
        <f>IF(SUM(DJ10,DN10,DR10)&gt;0,SUM(DJ10,DN10,DR10),"")</f>
        <v/>
      </c>
      <c r="EG10" s="76" t="str">
        <f>IF(SUM(ED10,EE10)&gt;0,SUM(ED10,EE10),"")</f>
        <v/>
      </c>
      <c r="EH10" s="76" t="str">
        <f>IF(SUM(DV10,DZ10)&gt;0,SUM(DV10,DZ10),"")</f>
        <v/>
      </c>
      <c r="EI10" s="76" t="str">
        <f>IF(SUM(DU10:DV10,DX10:DZ10,EB10)-SUM(DW10,EA10)&gt;0,SUM(DU10:DV10,DX10:DZ10,EB10)-SUM(DW10,EA10),"")</f>
        <v/>
      </c>
      <c r="EJ10" s="76" t="str">
        <f>IF(SUM(ED10,EI10)&gt;0,SUM(ED10,EI10),"")</f>
        <v/>
      </c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16" t="str">
        <f>IF(SUM(EL10,EP10)&gt;0,SUM(EL10,EP10),"")</f>
        <v/>
      </c>
      <c r="FF10" s="16" t="str">
        <f>IF(SUM(EK10:EL10,EN10:EP10,ER10)-EM10-EQ10&gt;0,SUM(EK10:EL10,EN10:EP10,ER10)-EM10-EQ10,"")</f>
        <v/>
      </c>
      <c r="FG10" s="16" t="str">
        <f>IF(SUM(ES10:ET10,EV10)-EU10&gt;0,SUM(ES10:ET10,EV10)-EU10,"")</f>
        <v/>
      </c>
      <c r="FH10" s="16" t="str">
        <f>IF(SUM(EL10,EP10,ET10)&gt;0,SUM(EL10,EP10,ET10),"")</f>
        <v/>
      </c>
      <c r="FI10" s="16" t="str">
        <f>IF(SUM(FF10,FG10)&gt;0,SUM(FF10,FG10),"")</f>
        <v/>
      </c>
      <c r="FJ10" s="16" t="str">
        <f>IF(SUM(EX10,FB10)&gt;0,SUM(EX10,FB10),"")</f>
        <v/>
      </c>
      <c r="FK10" s="16" t="str">
        <f>IF(SUM(EW10:EX10,EZ10:FB10,FD10)-SUM(EY10,FC10)&gt;0,SUM(EW10:EX10,EZ10:FB10,FD10)-SUM(EY10,FC10),"")</f>
        <v/>
      </c>
      <c r="FL10" s="16" t="str">
        <f>IF(SUM(FF10,FK10)&gt;0,SUM(FF10,FK10),"")</f>
        <v/>
      </c>
      <c r="FM10" s="25">
        <v>18.3</v>
      </c>
      <c r="FN10" s="25">
        <v>6.4</v>
      </c>
      <c r="FO10" s="25">
        <v>0.8</v>
      </c>
      <c r="FP10" s="25">
        <v>0</v>
      </c>
      <c r="FQ10" s="25">
        <v>18.8</v>
      </c>
      <c r="FR10" s="25">
        <v>8</v>
      </c>
      <c r="FS10" s="25">
        <v>0.6</v>
      </c>
      <c r="FT10" s="25">
        <v>0</v>
      </c>
      <c r="FU10" s="25"/>
      <c r="FV10" s="25"/>
      <c r="FW10" s="25"/>
      <c r="FX10" s="25"/>
      <c r="FY10" s="25">
        <v>17.399999999999999</v>
      </c>
      <c r="FZ10" s="25">
        <v>2.8</v>
      </c>
      <c r="GA10" s="25">
        <v>0</v>
      </c>
      <c r="GB10" s="25">
        <v>0</v>
      </c>
      <c r="GC10" s="25">
        <v>18.7</v>
      </c>
      <c r="GD10" s="25">
        <v>8</v>
      </c>
      <c r="GE10" s="25">
        <v>0</v>
      </c>
      <c r="GF10" s="25">
        <v>0</v>
      </c>
      <c r="GG10" s="76">
        <f>IF(SUM(FN10,FR10)&gt;0,SUM(FN10,FR10),"")</f>
        <v>14.4</v>
      </c>
      <c r="GH10" s="76">
        <f>IF(SUM(FM10:FN10,FP10:FR10,FT10)-FO10-FS10&gt;0,SUM(FM10:FN10,FP10:FR10,FT10)-FO10-FS10,"")</f>
        <v>50.1</v>
      </c>
      <c r="GI10" s="76" t="str">
        <f>IF(SUM(FU10:FV10,FX10)-FW10&gt;0,SUM(FU10:FV10,FX10)-FW10,"")</f>
        <v/>
      </c>
      <c r="GJ10" s="76">
        <f>IF(SUM(FN10,FR10,FV10)&gt;0,SUM(FN10,FR10,FV10),"")</f>
        <v>14.4</v>
      </c>
      <c r="GK10" s="76">
        <f>IF(SUM(GH10,GI10)&gt;0,SUM(GH10,GI10),"")</f>
        <v>50.1</v>
      </c>
      <c r="GL10" s="76">
        <f>IF(SUM(FZ10,GD10)&gt;0,SUM(FZ10,GD10),"")</f>
        <v>10.8</v>
      </c>
      <c r="GM10" s="76">
        <f>IF(SUM(FY10:FZ10,GB10:GD10,GF10)-SUM(GA10,GE10)&gt;0,SUM(FY10:FZ10,GB10:GD10,GF10)-SUM(GA10,GE10),"")</f>
        <v>46.9</v>
      </c>
      <c r="GN10" s="76">
        <f>IF(SUM(GH10,GM10)&gt;0,SUM(GH10,GM10),"")</f>
        <v>97</v>
      </c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16" t="str">
        <f>IF(SUM(GP10,GT10)&gt;0,SUM(GP10,GT10),"")</f>
        <v/>
      </c>
      <c r="HJ10" s="16" t="str">
        <f>IF(SUM(GO10:GP10,GR10:GT10,GV10)-GQ10-GU10&gt;0,SUM(GO10:GP10,GR10:GT10,GV10)-GQ10-GU10,"")</f>
        <v/>
      </c>
      <c r="HK10" s="16" t="str">
        <f>IF(SUM(GW10:GX10,GZ10)-GY10&gt;0,SUM(GW10:GX10,GZ10)-GY10,"")</f>
        <v/>
      </c>
      <c r="HL10" s="16" t="str">
        <f>IF(SUM(GP10,GT10,GX10)&gt;0,SUM(GP10,GT10,GX10),"")</f>
        <v/>
      </c>
      <c r="HM10" s="16" t="str">
        <f>IF(SUM(HJ10,HK10)&gt;0,SUM(HJ10,HK10),"")</f>
        <v/>
      </c>
      <c r="HN10" s="16" t="str">
        <f>IF(SUM(HB10,HF10)&gt;0,SUM(HB10,HF10),"")</f>
        <v/>
      </c>
      <c r="HO10" s="16" t="str">
        <f>IF(SUM(HA10:HB10,HD10:HF10,HH10)-SUM(HC10,HG10)&gt;0,SUM(HA10:HB10,HD10:HF10,HH10)-SUM(HC10,HG10),"")</f>
        <v/>
      </c>
      <c r="HP10" s="16" t="str">
        <f>IF(SUM(HJ10,HO10)&gt;0,SUM(HJ10,HO10),"")</f>
        <v/>
      </c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76" t="str">
        <f>IF(SUM(HR10,HV10)&gt;0,SUM(HR10,HV10),"")</f>
        <v/>
      </c>
      <c r="IL10" s="76" t="str">
        <f>IF(SUM(HQ10:HR10,HT10:HV10,HX10)-HS10-HW10&gt;0,SUM(HQ10:HR10,HT10:HV10,HX10)-HS10-HW10,"")</f>
        <v/>
      </c>
      <c r="IM10" s="76" t="str">
        <f>IF(SUM(HY10:HZ10,IB10)-IA10&gt;0,SUM(HY10:HZ10,IB10)-IA10,"")</f>
        <v/>
      </c>
      <c r="IN10" s="76" t="str">
        <f>IF(SUM(HR10,HV10,HZ10)&gt;0,SUM(HR10,HV10,HZ10),"")</f>
        <v/>
      </c>
      <c r="IO10" s="76" t="str">
        <f>IF(SUM(IL10,IM10)&gt;0,SUM(IL10,IM10),"")</f>
        <v/>
      </c>
      <c r="IP10" s="76" t="str">
        <f>IF(SUM(ID10,IH10)&gt;0,SUM(ID10,IH10),"")</f>
        <v/>
      </c>
      <c r="IQ10" s="76" t="str">
        <f>IF(SUM(IC10:ID10,IF10:IH10,IJ10)-SUM(IE10,II10)&gt;0,SUM(IC10:ID10,IF10:IH10,IJ10)-SUM(IE10,II10),"")</f>
        <v/>
      </c>
      <c r="IR10" s="76" t="str">
        <f>IF(SUM(IL10,IQ10)&gt;0,SUM(IL10,IQ10),"")</f>
        <v/>
      </c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16" t="str">
        <f>IF(SUM(IT10,IX10)&gt;0,SUM(IT10,IX10),"")</f>
        <v/>
      </c>
      <c r="JN10" s="16" t="str">
        <f>IF(SUM(IS10:IT10,IV10:IX10,IZ10)-IU10-IY10&gt;0,SUM(IS10:IT10,IV10:IX10,IZ10)-IU10-IY10,"")</f>
        <v/>
      </c>
      <c r="JO10" s="16" t="str">
        <f>IF(SUM(JA10:JB10,JD10)-JC10&gt;0,SUM(JA10:JB10,JD10)-JC10,"")</f>
        <v/>
      </c>
      <c r="JP10" s="16" t="str">
        <f>IF(SUM(IT10,IX10,JB10)&gt;0,SUM(IT10,IX10,JB10),"")</f>
        <v/>
      </c>
      <c r="JQ10" s="16" t="str">
        <f>IF(SUM(JN10,JO10)&gt;0,SUM(JN10,JO10),"")</f>
        <v/>
      </c>
      <c r="JR10" s="16" t="str">
        <f>IF(SUM(JF10,JJ10)&gt;0,SUM(JF10,JJ10),"")</f>
        <v/>
      </c>
      <c r="JS10" s="16" t="str">
        <f>IF(SUM(JE10:JF10,JH10:JJ10,JL10)-SUM(JG10,JK10)&gt;0,SUM(JE10:JF10,JH10:JJ10,JL10)-SUM(JG10,JK10),"")</f>
        <v/>
      </c>
      <c r="JT10" s="16" t="str">
        <f>IF(SUM(JN10,JS10)&gt;0,SUM(JN10,JS10),"")</f>
        <v/>
      </c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76" t="str">
        <f>IF(SUM(JV10,JZ10)&gt;0,SUM(JV10,JZ10),"")</f>
        <v/>
      </c>
      <c r="KP10" s="76" t="str">
        <f>IF(SUM(JU10:JV10,JX10:JZ10,KB10)-JW10-KA10&gt;0,SUM(JU10:JV10,JX10:JZ10,KB10)-JW10-KA10,"")</f>
        <v/>
      </c>
      <c r="KQ10" s="76" t="str">
        <f>IF(SUM(KC10:KD10,KF10)-KE10&gt;0,SUM(KC10:KD10,KF10)-KE10,"")</f>
        <v/>
      </c>
      <c r="KR10" s="76" t="str">
        <f>IF(SUM(JV10,JZ10,KD10)&gt;0,SUM(JV10,JZ10,KD10),"")</f>
        <v/>
      </c>
      <c r="KS10" s="76" t="str">
        <f>IF(SUM(KP10,KQ10)&gt;0,SUM(KP10,KQ10),"")</f>
        <v/>
      </c>
      <c r="KT10" s="76" t="str">
        <f>IF(SUM(KH10,KL10)&gt;0,SUM(KH10,KL10),"")</f>
        <v/>
      </c>
      <c r="KU10" s="76" t="str">
        <f>IF(SUM(KG10:KH10,KJ10:KL10,KN10)-SUM(KI10,KM10)&gt;0,SUM(KG10:KH10,KJ10:KL10,KN10)-SUM(KI10,KM10),"")</f>
        <v/>
      </c>
      <c r="KV10" s="76" t="str">
        <f>IF(SUM(KP10,KU10)&gt;0,SUM(KP10,KU10),"")</f>
        <v/>
      </c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16" t="str">
        <f>IF(SUM(KX10,LB10)&gt;0,SUM(KX10,LB10),"")</f>
        <v/>
      </c>
      <c r="LR10" s="16" t="str">
        <f>IF(SUM(KW10:KX10,KZ10:LB10,LD10)-KY10-LC10&gt;0,SUM(KW10:KX10,KZ10:LB10,LD10)-KY10-LC10,"")</f>
        <v/>
      </c>
      <c r="LS10" s="16" t="str">
        <f>IF(SUM(LE10:LF10,LH10)-LG10&gt;0,SUM(LE10:LF10,LH10)-LG10,"")</f>
        <v/>
      </c>
      <c r="LT10" s="16" t="str">
        <f>IF(SUM(KX10,LB10,LF10)&gt;0,SUM(KX10,LB10,LF10),"")</f>
        <v/>
      </c>
      <c r="LU10" s="16" t="str">
        <f>IF(SUM(LR10,LS10)&gt;0,SUM(LR10,LS10),"")</f>
        <v/>
      </c>
      <c r="LV10" s="16" t="str">
        <f>IF(SUM(LJ10,LN10)&gt;0,SUM(LJ10,LN10),"")</f>
        <v/>
      </c>
      <c r="LW10" s="16" t="str">
        <f>IF(SUM(LI10:LJ10,LL10:LN10,LP10)-SUM(LK10,LO10)&gt;0,SUM(LI10:LJ10,LL10:LN10,LP10)-SUM(LK10,LO10),"")</f>
        <v/>
      </c>
      <c r="LX10" s="16" t="str">
        <f>IF(SUM(LR10,LW10)&gt;0,SUM(LR10,LW10),"")</f>
        <v/>
      </c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76" t="str">
        <f>IF(SUM(LZ10,MD10)&gt;0,SUM(LZ10,MD10),"")</f>
        <v/>
      </c>
      <c r="MT10" s="76" t="str">
        <f>IF(SUM(LY10:LZ10,MB10:MD10,MF10)-MA10-ME10&gt;0,SUM(LY10:LZ10,MB10:MD10,MF10)-MA10-ME10,"")</f>
        <v/>
      </c>
      <c r="MU10" s="76" t="str">
        <f>IF(SUM(MG10:MH10,MJ10)-MI10&gt;0,SUM(MG10:MH10,MJ10)-MI10,"")</f>
        <v/>
      </c>
      <c r="MV10" s="76" t="str">
        <f>IF(SUM(LZ10,MD10,MH10)&gt;0,SUM(LZ10,MD10,MH10),"")</f>
        <v/>
      </c>
      <c r="MW10" s="76" t="str">
        <f>IF(SUM(MT10,MU10)&gt;0,SUM(MT10,MU10),"")</f>
        <v/>
      </c>
      <c r="MX10" s="76" t="str">
        <f>IF(SUM(ML10,MP10)&gt;0,SUM(ML10,MP10),"")</f>
        <v/>
      </c>
      <c r="MY10" s="76" t="str">
        <f>IF(SUM(MK10:ML10,MN10:MP10,MR10)-SUM(MM10,MQ10)&gt;0,SUM(MK10:ML10,MN10:MP10,MR10)-SUM(MM10,MQ10),"")</f>
        <v/>
      </c>
      <c r="MZ10" s="76" t="str">
        <f>IF(SUM(MT10,MY10)&gt;0,SUM(MT10,MY10),"")</f>
        <v/>
      </c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16" t="str">
        <f>IF(SUM(NB10,NF10)&gt;0,SUM(NB10,NF10),"")</f>
        <v/>
      </c>
      <c r="NV10" s="16" t="str">
        <f>IF(SUM(NA10:NB10,ND10:NF10,NH10)-NC10-NG10&gt;0,SUM(NA10:NB10,ND10:NF10,NH10)-NC10-NG10,"")</f>
        <v/>
      </c>
      <c r="NW10" s="16" t="str">
        <f>IF(SUM(NI10:NJ10,NL10)-NK10&gt;0,SUM(NI10:NJ10,NL10)-NK10,"")</f>
        <v/>
      </c>
      <c r="NX10" s="16" t="str">
        <f>IF(SUM(NB10,NF10,NJ10)&gt;0,SUM(NB10,NF10,NJ10),"")</f>
        <v/>
      </c>
      <c r="NY10" s="16" t="str">
        <f>IF(SUM(NV10,NW10)&gt;0,SUM(NV10,NW10),"")</f>
        <v/>
      </c>
      <c r="NZ10" s="16" t="str">
        <f>IF(SUM(NN10,NR10)&gt;0,SUM(NN10,NR10),"")</f>
        <v/>
      </c>
      <c r="OA10" s="16" t="str">
        <f>IF(SUM(NM10:NN10,NP10:NR10,NT10)-SUM(NO10,NS10)&gt;0,SUM(NM10:NN10,NP10:NR10,NT10)-SUM(NO10,NS10),"")</f>
        <v/>
      </c>
      <c r="OB10" s="16" t="str">
        <f>IF(SUM(NV10,OA10)&gt;0,SUM(NV10,OA10),"")</f>
        <v/>
      </c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76" t="str">
        <f>IF(SUM(OD10,OH10)&gt;0,SUM(OD10,OH10),"")</f>
        <v/>
      </c>
      <c r="OX10" s="76" t="str">
        <f>IF(SUM(OC10:OD10,OF10:OH10,OJ10)-OE10-OI10&gt;0,SUM(OC10:OD10,OF10:OH10,OJ10)-OE10-OI10,"")</f>
        <v/>
      </c>
      <c r="OY10" s="76" t="str">
        <f>IF(SUM(OK10:OL10,ON10)-OM10&gt;0,SUM(OK10:OL10,ON10)-OM10,"")</f>
        <v/>
      </c>
      <c r="OZ10" s="76" t="str">
        <f>IF(SUM(OD10,OH10,OL10)&gt;0,SUM(OD10,OH10,OL10),"")</f>
        <v/>
      </c>
      <c r="PA10" s="76" t="str">
        <f>IF(SUM(OX10,OY10)&gt;0,SUM(OX10,OY10),"")</f>
        <v/>
      </c>
      <c r="PB10" s="76" t="str">
        <f>IF(SUM(OP10,OT10)&gt;0,SUM(OP10,OT10),"")</f>
        <v/>
      </c>
      <c r="PC10" s="76" t="str">
        <f>IF(SUM(OO10:OP10,OR10:OT10,OV10)-SUM(OQ10,OU10)&gt;0,SUM(OO10:OP10,OR10:OT10,OV10)-SUM(OQ10,OU10),"")</f>
        <v/>
      </c>
      <c r="PD10" s="76" t="str">
        <f>IF(SUM(OX10,PC10)&gt;0,SUM(OX10,PC10),"")</f>
        <v/>
      </c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16" t="str">
        <f>IF(SUM(PF10,PJ10)&gt;0,SUM(PF10,PJ10),"")</f>
        <v/>
      </c>
      <c r="PZ10" s="16" t="str">
        <f>IF(SUM(PE10:PF10,PH10:PJ10,PL10)-PG10-PK10&gt;0,SUM(PE10:PF10,PH10:PJ10,PL10)-PG10-PK10,"")</f>
        <v/>
      </c>
      <c r="QA10" s="16" t="str">
        <f>IF(SUM(PM10:PN10,PP10)-PO10&gt;0,SUM(PM10:PN10,PP10)-PO10,"")</f>
        <v/>
      </c>
      <c r="QB10" s="16" t="str">
        <f>IF(SUM(PF10,PJ10,PN10)&gt;0,SUM(PF10,PJ10,PN10),"")</f>
        <v/>
      </c>
      <c r="QC10" s="16" t="str">
        <f>IF(SUM(PZ10,QA10)&gt;0,SUM(PZ10,QA10),"")</f>
        <v/>
      </c>
      <c r="QD10" s="16" t="str">
        <f>IF(SUM(PR10,PV10)&gt;0,SUM(PR10,PV10),"")</f>
        <v/>
      </c>
      <c r="QE10" s="16" t="str">
        <f>IF(SUM(PQ10:PR10,PT10:PV10,PX10)-SUM(PS10,PW10)&gt;0,SUM(PQ10:PR10,PT10:PV10,PX10)-SUM(PS10,PW10),"")</f>
        <v/>
      </c>
      <c r="QF10" s="16" t="str">
        <f>IF(SUM(PZ10,QE10)&gt;0,SUM(PZ10,QE10),"")</f>
        <v/>
      </c>
      <c r="QG10" s="42">
        <f>IF($CW10="P",CC10,(CC10+AZ10)/2)</f>
        <v>9.5</v>
      </c>
      <c r="QH10" s="42">
        <f>IF($CW10="P",CD10,(CD10+BA10)/2)</f>
        <v>3.4</v>
      </c>
      <c r="QI10" s="42">
        <f>IF($CW10="P",CE10,(CE10+BB10)/2)</f>
        <v>0.3</v>
      </c>
      <c r="QJ10" s="42">
        <f>IF($CW10="P",CF10,(CF10+BC10)/2)</f>
        <v>0</v>
      </c>
      <c r="QK10" s="42">
        <f>IF($CW10="P",CG10,(CG10+BD10)/2)</f>
        <v>9.5500000000000007</v>
      </c>
      <c r="QL10" s="42">
        <f>IF($CW10="P",CH10,(CH10+BE10)/2)</f>
        <v>3.6</v>
      </c>
      <c r="QM10" s="42">
        <f>IF($CW10="P",CI10,(CI10+BF10)/2)</f>
        <v>0.3</v>
      </c>
      <c r="QN10" s="42">
        <f>IF($CW10="P",CJ10,(CJ10+BG10)/2)</f>
        <v>0</v>
      </c>
      <c r="QO10" s="42">
        <f>IF($CW10="P",CK10,(CK10+BH10)/2)</f>
        <v>9.1999999999999993</v>
      </c>
      <c r="QP10" s="42">
        <f>IF($CW10="P",CL10,(CL10+BI10)/2)</f>
        <v>3.65</v>
      </c>
      <c r="QQ10" s="42">
        <f>IF($CW10="P",CM10,(CM10+BJ10)/2)</f>
        <v>0.5</v>
      </c>
      <c r="QR10" s="42">
        <f>IF($CW10="P",CN10,(CN10+BK10)/2)</f>
        <v>0</v>
      </c>
      <c r="QS10" s="42">
        <f>IF($CW10="P",CO10,(CO10+BL10)/2)</f>
        <v>9.4</v>
      </c>
      <c r="QT10" s="42">
        <f>IF($CW10="P",CP10,(CP10+BM10)/2)</f>
        <v>3.4</v>
      </c>
      <c r="QU10" s="42">
        <f>IF($CW10="P",CQ10,(CQ10+BN10)/2)</f>
        <v>0.3</v>
      </c>
      <c r="QV10" s="42">
        <f>IF($CW10="P",CR10,(CR10+BO10)/2)</f>
        <v>0</v>
      </c>
      <c r="QW10" s="42">
        <f>IF($CW10="P",CS10,(CS10+BP10)/2)</f>
        <v>0</v>
      </c>
      <c r="QX10" s="42">
        <f>IF($CW10="P",CT10,(CT10+BQ10)/2)</f>
        <v>0</v>
      </c>
      <c r="QY10" s="42">
        <f>IF($CW10="P",CU10,(CU10+BR10)/2)</f>
        <v>0</v>
      </c>
      <c r="QZ10" s="42">
        <f>IF($CW10="P",CV10,(CV10+BS10)/2)</f>
        <v>0</v>
      </c>
      <c r="RA10" s="51" t="s">
        <v>61</v>
      </c>
      <c r="RB10" s="76">
        <f>IF(SUM(QH10,QL10)&gt;0,SUM(QH10,QL10),"")</f>
        <v>7</v>
      </c>
      <c r="RC10" s="76">
        <f>IF(SUM(QG10:QH10,QJ10:QL10,QN10)-QI10-QM10&gt;0,SUM(QG10:QH10,QJ10:QL10,QN10)-QI10-QM10,"")</f>
        <v>25.450000000000003</v>
      </c>
      <c r="RD10" s="76">
        <f>IF(SUM(QO10:QP10,QR10)-QQ10&gt;0,SUM(QO10:QP10,QR10)-QQ10,"")</f>
        <v>12.35</v>
      </c>
      <c r="RE10" s="76">
        <f>IF(SUM(QH10,QL10,QP10)&gt;0,SUM(QH10,QL10,QP10),"")</f>
        <v>10.65</v>
      </c>
      <c r="RF10" s="76">
        <f>IF(SUM(RC10,RD10)&gt;0,SUM(RC10,RD10),"")</f>
        <v>37.800000000000004</v>
      </c>
      <c r="RG10" s="76">
        <f>IF(SUM(QT10,QX10)&gt;0,SUM(QT10,QX10),"")</f>
        <v>3.4</v>
      </c>
      <c r="RH10" s="76">
        <f>IF(SUM(QS10:QT10,QV10:QX10,QZ10)-SUM(QU10,QY10)&gt;0,SUM(QS10:QT10,QV10:QX10,QZ10)-SUM(QU10,QY10),"")</f>
        <v>12.5</v>
      </c>
      <c r="RI10" s="76">
        <f>IF(SUM(RC10,RH10)&gt;0,SUM(RC10,RH10),"")</f>
        <v>37.950000000000003</v>
      </c>
    </row>
    <row r="11" spans="1:477" x14ac:dyDescent="0.2">
      <c r="A11" s="5" t="str">
        <f>IF(AND(F11="P",G11="P"),SUMPRODUCT((F$4:F$18="P")*(G$4:G$18="P")*(E$4:E$18&gt;E11))+1,IF(G11="P",SUMPRODUCT((F$4:F$18="")*(G$4:G$18="P")*(E$4:E$18&gt;E11))+1+SUMPRODUCT((F$4:F$18="P")*(G$4:G$18="P")),""))</f>
        <v/>
      </c>
      <c r="B11" s="6" t="s">
        <v>166</v>
      </c>
      <c r="C11" s="7" t="s">
        <v>6</v>
      </c>
      <c r="D11" s="18">
        <v>2003</v>
      </c>
      <c r="E11" s="14">
        <f>SUM(J11:T11)+SUM(J11:P11)*0.0000001+SUM(J11)*0.0000000000001</f>
        <v>121.80000714000495</v>
      </c>
      <c r="F11" s="3" t="str">
        <f>IF(OR(AND(AR11&gt;=AY$20,AS11&gt;=AY$24,AR11&lt;&gt;"",AQ11=""),AND(AW11&gt;=AY$20,AX11&gt;=AY$24,AW11&lt;&gt;"",AQ11=""),AND(BU11&gt;=CB$20,BV11&gt;=CB$24,BU11&lt;&gt;"",BT11=""),AND(BZ11&gt;=CB$20,CA11&gt;=CB$24,BZ11&lt;&gt;"",BT11=""),AND(CX11&gt;=DE$20,CY11&gt;=DE$24,CX11&lt;&gt;"",CW11=""),AND(DC11&gt;=DE$20,DD11&gt;=DE$24,DC11&lt;&gt;""),AND(EC11&gt;=EJ$20,ED11&gt;=EJ$24,EC11&lt;&gt;""),AND(EH11&gt;=EJ$20,EI11&gt;=EJ$24,EH11&lt;&gt;""),AND(FE11&gt;=FL$20,FF11&gt;=FL$24,FE11&lt;&gt;""),AND(FJ11&gt;=FL$20,FK11&gt;=FL$24,FJ11&lt;&gt;""),AND(GG11&gt;=GN$20,GH11&gt;=GN$24,GG11&lt;&gt;""),AND(GL11&gt;=GN$20,GM11&gt;=GN$24,GL11&lt;&gt;""),AND(HI11&gt;=HP$20,HJ11&gt;=HP$24,HI11&lt;&gt;""),AND(HN11&gt;=HP$20,HO11&gt;=HP$24,HN11&lt;&gt;""),AND(IK11&gt;=IR$20,IL11&gt;=IR$24,IK11&lt;&gt;""),AND(IP11&gt;=IR$20,IQ11&gt;=IR$24,IP11&lt;&gt;""),AND(JM11&gt;=JT$20,JN11&gt;=JT$24,JM11&lt;&gt;""),AND(JR11&gt;=JT$20,JS11&gt;=JT$24,JR11&lt;&gt;""),AND(KO11&gt;=KV$20,KP11&gt;=KV$24,KO11&lt;&gt;""),AND(KT11&gt;=KV$20,KU11&gt;=KV$24,KT11&lt;&gt;""),AND(LQ11&gt;=LX$20,LR11&gt;=LX$24,LQ11&lt;&gt;""),AND(LV11&gt;=LX$20,LW11&gt;=LX$24,LV11&lt;&gt;""),AND(MS11&gt;=MZ$20,MT11&gt;=MZ$24,MS11&lt;&gt;""),AND(MX11&gt;=MZ$20,MY11&gt;=MZ$24,MX11&lt;&gt;""),AND(NU11&gt;=OB$20,NV11&gt;=OB$24,NU11&lt;&gt;""),AND(NZ11&gt;=OB$20,OA11&gt;=OB$24,NZ11&lt;&gt;""),AND(OW11&gt;=PD$20,OX11&gt;=PD$24,OW11&lt;&gt;""),AND(PB11&gt;=PD$20,PC11&gt;=PD$24,PB11&lt;&gt;""),AND(PY11&gt;=QF$20,PZ11&gt;=QF$24,PY11&lt;&gt;""),AND(QD11&gt;=QF$20,QE11&gt;=QF$24,QD11&lt;&gt;"")),"P","")</f>
        <v/>
      </c>
      <c r="G11" s="3" t="str">
        <f>IF(OR(AND(AS11&gt;=AY$24,AS11&lt;&gt;"",AQ11=""),AND(AX11&gt;=AY$24,AX11&lt;&gt;"",AQ11=""),AND(BV11&gt;=CB$24,BV11&lt;&gt;"",BT11=""),AND(CA11&gt;=CB$24,CA11&lt;&gt;"",BT11=""),AND(CY11&gt;=DE$24,CY11&lt;&gt;"",CW11=""),AND(DD11&gt;=DE$24,DD11&lt;&gt;"",CW11=""),AND(ED11&gt;=EJ$24,ED11&lt;&gt;""),AND(EI11&gt;=EJ$24,EI11&lt;&gt;""),AND(FF11&gt;=FL$24,FF11&lt;&gt;""),AND(FK11&gt;=FL$24,FK11&lt;&gt;""),AND(GH11&gt;=GN$24,GH11&lt;&gt;""),AND(GM11&gt;=GN$24,GM11&lt;&gt;""),AND(HJ11&gt;=HP$24,HJ11&lt;&gt;""),AND(HO11&gt;=HP$24,HO11&lt;&gt;""),AND(IL11&gt;=IR$24,IL11&lt;&gt;""),AND(IQ11&gt;=IR$24,IQ11&lt;&gt;""),AND(JN11&gt;=JT$24,JN11&lt;&gt;""),AND(JS11&gt;=JT$24,JS11&lt;&gt;""),AND(KP11&gt;=KV$24,KP11&lt;&gt;""),AND(KU11&gt;=KV$24,KU11&lt;&gt;""),AND(LR11&gt;=LX$24,LR11&lt;&gt;""),AND(LW11&gt;=LX$24,LW11&lt;&gt;""),AND(MT11&gt;=MZ$24,MT11&lt;&gt;""),AND(MY11&gt;=MZ$24,MY11&lt;&gt;""),AND(NV11&gt;=OB$24,NV11&lt;&gt;""),AND(OA11&gt;=OB$24,OA11&lt;&gt;""),AND(OX11&gt;=PD$24,OX11&lt;&gt;""),AND(PC11&gt;=PD$24,PC11&lt;&gt;""),AND(PZ11&gt;=QF$24,PZ11&lt;&gt;""),AND(QE11&gt;=QF$24,QE11&lt;&gt;"")),"P","")</f>
        <v/>
      </c>
      <c r="H11" s="70" t="str">
        <f>IF(AND(G11="P",F11=""),"No DD",IF(OR(AND(AU11&gt;=AY$23,AV11&gt;=AY$27,AU11&lt;&gt;"",AQ11=""),AND(BX11&gt;=CB$23,BY11&gt;=CB$27,BX11&lt;&gt;"",BT11=""),AND(DA11&gt;=DE$23,DB11&gt;=DE$27,DA11&lt;&gt;"",CW11=""),AND(EF11&gt;=EJ$23,EG11&gt;=EJ$27,EF11&lt;&gt;""),AND(FH11&gt;=FL$23,FI11&gt;=FL$27,FH11&lt;&gt;""),AND(GJ11&gt;=GN$23,GK11&gt;=GN$27,GJ11&lt;&gt;""),AND(HL11&gt;=HP$23,HM11&gt;=HP$27,HL11&lt;&gt;""),AND(IN11&gt;=IR$23,IO11&gt;=IR$27,IN11&lt;&gt;""),AND(JP11&gt;=JT$23,JQ11&gt;=JT$27,JP11&lt;&gt;""),AND(KR11&gt;=KV$23,KS11&gt;=KV$27,KR11&lt;&gt;""),AND(LT11&gt;=LX$23,LU11&gt;=LX$27,LT11&lt;&gt;""),AND(MV11&gt;=MZ$23,MW11&gt;=MZ$27,MV11&lt;&gt;""),AND(NX11&gt;=OB$23,NY11&gt;=OB$27,NX11&lt;&gt;""),AND(OZ11&gt;=PD$23,PA11&gt;=PD$27,OZ11&lt;&gt;""),AND(QB11&gt;=QF$23,QC11&gt;=QF$27,QB11&lt;&gt;"")),"Merit",IF(OR(AND(AU11&gt;=AY$22,AV11&gt;=AY$26,AU11&lt;&gt;"",AQ11=""),AND(BX11&gt;=CB$22,BY11&gt;=CB$26,BX11&lt;&gt;"",BT11=""),AND(DA11&gt;=DE$22,DB11&gt;=DE$26,DA11&lt;&gt;"",CW11=""),AND(EF11&gt;=EJ$22,EG11&gt;=EJ$26,EF11&lt;&gt;""),AND(FH11&gt;=FL$22,FI11&gt;=FL$26,FH11&lt;&gt;""),AND(GJ11&gt;=GN$22,GK11&gt;=GN$26,GJ11&lt;&gt;""),AND(HL11&gt;=HP$22,HM11&gt;=HP$26,HL11&lt;&gt;""),AND(IN11&gt;=IR$22,IO11&gt;=IR$26,IN11&lt;&gt;""),AND(JP11&gt;=JT$22,JQ11&gt;=JT$26,JP11&lt;&gt;""),AND(KR11&gt;=KV$22,KS11&gt;=KV$26,KR11&lt;&gt;""),AND(LT11&gt;=LX$22,LU11&gt;=LX$26,LT11&lt;&gt;""),AND(MV11&gt;=MZ$22,MW11&gt;=MZ$26,MV11&lt;&gt;""),AND(NX11&gt;=OB$22,NY11&gt;=OB$26,NX11&lt;&gt;""),AND(OZ11&gt;=PD$22,PA11&gt;=PD$26,OZ11&lt;&gt;""),AND(QB11&gt;=QF$22,QC11&gt;=QF$26,QB11&lt;&gt;"")),"Excellence",IF(I11="P","Worlds Team",IF(F11="P","National Team","")))))</f>
        <v/>
      </c>
      <c r="I11" s="3" t="str">
        <f>IF(OR(AND(AU11&gt;=AY$21,AV11&gt;=AY$25,AU11&lt;&gt;"",AQ11=""),AND(BX11&gt;=CB$21,BY11&gt;=CB$25,BX11&lt;&gt;"",BT11=""),AND(DA11&gt;=DE$21,DB11&gt;=DE$25,DA11&lt;&gt;"",CW11=""),AND(EF11&gt;=EJ$21,EG11&gt;=EJ$25,EF11&lt;&gt;""),AND(FH11&gt;=FL$21,FI11&gt;=FL$25,FH11&lt;&gt;""),AND(GJ11&gt;=GN$21,GK11&gt;=GN$25,GJ11&lt;&gt;""),AND(HL11&gt;=HP$21,HM11&gt;=HP$25,HL11&lt;&gt;""),AND(IN11&gt;=IR$21,IO11&gt;=IR$25,IN11&lt;&gt;""),AND(JP11&gt;=JT$21,JQ11&gt;=JT$25,JP11&lt;&gt;""),AND(KR11&gt;=KV$21,KS11&gt;=KV$25,KR11&lt;&gt;""),AND(LT11&gt;=LX$21,LU11&gt;=LX$25,LT11&lt;&gt;""),AND(MV11&gt;=MZ$21,MW11&gt;=MZ$25,MV11&lt;&gt;""),AND(NX11&gt;=OB$21,NY11&gt;=OB$25,NX11&lt;&gt;""),AND(OZ11&gt;=PD$21,PA11&gt;=PD$25,OZ11&lt;&gt;""),AND(QB11&gt;=QF$21,QC11&gt;=QF$25,QB11&lt;&gt;"")),"P","")</f>
        <v/>
      </c>
      <c r="J11" s="13">
        <f>IF(COUNT(AS11,BV11,CY11)&gt;0,LARGE((AS11,BV11,CY11),1),0)</f>
        <v>49.5</v>
      </c>
      <c r="K11" s="13" t="str">
        <f>IF(J11=0,"",IF(J11=CY11,$CC$1,IF(J11=BV11,$AZ$1,IF(J11=AS11,$W$1,""))))</f>
        <v>2022 Elite Canada</v>
      </c>
      <c r="L11" s="13">
        <f>IF(COUNT(AS11,BV11,CY11)&gt;1,LARGE((AS11,BV11,CY11),2),0)</f>
        <v>0</v>
      </c>
      <c r="M11" s="13" t="str">
        <f>IF(L11=0,"",IF(L11=CY11,$CC$1,IF(L11=BV11,$AZ$1,IF(L11=AS11,$W$1,""))))</f>
        <v/>
      </c>
      <c r="N11" s="13">
        <f>IF(COUNT(AT11,BW11,CZ11)&gt;0,LARGE((AT11,BW11,CZ11),1),0)</f>
        <v>21.9</v>
      </c>
      <c r="O11" s="13" t="str">
        <f>IF(N11=0,"",IF(N11=CZ11,$CC$1,IF(N11=BW11,$AZ$1,IF(N11=AT11,$W$1,""))))</f>
        <v>2022 Elite Canada</v>
      </c>
      <c r="P11" s="13">
        <f>IF(COUNT(AT11,BW11,CZ11)&gt;1,LARGE((AT11,BW11,CZ11),2),0)</f>
        <v>0</v>
      </c>
      <c r="Q11" s="13" t="str">
        <f>IF(P11=0,"",IF(P11=CZ11,$CC$1,IF(P11=BW11,$AZ$1,IF(P11=AT11,$W$1,""))))</f>
        <v/>
      </c>
      <c r="R11" s="13">
        <f>IF(MAX(AX11,CA11,DD11)&gt;0,MAX(AX11,CA11,DD11),0)</f>
        <v>45.100000000000009</v>
      </c>
      <c r="S11" s="13" t="str">
        <f>IF(R11=0,"",IF(R11=DD11,$CC$1,IF(R11=CA11,$AZ$1,IF(R11=AX11,$W$1,""))))</f>
        <v>2022 Elite Canada</v>
      </c>
      <c r="T11" s="13">
        <f>IF(MAX(DF11:DH11)&gt;0,MAX(DF11:DH11),"")</f>
        <v>5.2999999999999972</v>
      </c>
      <c r="U11" s="16" t="str">
        <f>IF(T11="","",IF(T11=DF11,"("&amp;DF$2&amp;")",IF(T11=DH11,"("&amp;DH$2&amp;")")))</f>
        <v>(Final)</v>
      </c>
      <c r="V11" s="13" t="str">
        <f>IF(T11="","",IF(T11=DF11,IF(T11+IF(L11="",0,L11)=PZ11,$PE$1,IF(T11+IF(L11="",0,L11)=OX11,$OC$1,IF(T11+IF(L11="",0,L11)=NV11,$NA$1,IF(T11+IF(L11="",0,L11)=MT11,$LY$1,IF(T11+IF(L11="",0,L11)=LR11,$KW$1,IF(T11+IF(L11="",0,L11)=KP11,$JU$1,IF(T11+IF(L11="",0,L11)=JN11,$IS$1,IF(T11+IF(L11="",0,L11)=IL11,$HQ$1,IF(T11+IF(L11="",0,L11)=HJ11,$GO$1,IF(T11+IF(L11="",0,L11)=GH11,$FM$1,IF(T11+IF(L11="",0,L11)=FF11,$EK$1,IF(T11+IF(L11="",0,L11)=ED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</f>
        <v>2022 World Games Technical Trial #1 (Mar 12)</v>
      </c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51"/>
      <c r="AR11" s="76" t="str">
        <f>IF(SUM(X11,AB11)&gt;0,SUM(X11,AB11),"")</f>
        <v/>
      </c>
      <c r="AS11" s="76" t="str">
        <f>IF(SUM(W11:X11,Z11:AB11,AD11)-Y11-AC11&gt;0,SUM(W11:X11,Z11:AB11,AD11)-Y11-AC11,"")</f>
        <v/>
      </c>
      <c r="AT11" s="76" t="str">
        <f>IF(SUM(AE11:AF11,AH11)-AG11&gt;0,SUM(AE11:AF11,AH11)-AG11,"")</f>
        <v/>
      </c>
      <c r="AU11" s="76" t="str">
        <f>IF(SUM(X11,AB11,AF11)&gt;0,SUM(X11,AB11,AF11),"")</f>
        <v/>
      </c>
      <c r="AV11" s="76" t="str">
        <f>IF(SUM(AS11,AT11)&gt;0,SUM(AS11,AT11),"")</f>
        <v/>
      </c>
      <c r="AW11" s="76" t="str">
        <f>IF(SUM(AJ11,AN11)&gt;0,SUM(AJ11,AN11),"")</f>
        <v/>
      </c>
      <c r="AX11" s="76" t="str">
        <f>IF(SUM(AI11:AJ11,AL11:AN11,AP11)-SUM(AK11,AO11)&gt;0,SUM(AI11:AJ11,AL11:AN11,AP11)-SUM(AK11,AO11),"")</f>
        <v/>
      </c>
      <c r="AY11" s="76" t="str">
        <f>IF(SUM(AS11,AX11)&gt;0,SUM(AS11,AX11),"")</f>
        <v/>
      </c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52"/>
      <c r="BU11" s="16" t="str">
        <f>IF(SUM(BA11,BE11)&gt;0,SUM(BA11,BE11),"")</f>
        <v/>
      </c>
      <c r="BV11" s="16" t="str">
        <f>IF(SUM(AZ11:BA11,BC11:BE11,BG11)-BB11-BF11&gt;0,SUM(AZ11:BA11,BC11:BE11,BG11)-BB11-BF11,"")</f>
        <v/>
      </c>
      <c r="BW11" s="16" t="str">
        <f>IF(SUM(BH11:BI11,BK11)-BJ11&gt;0,SUM(BH11:BI11,BK11)-BJ11,"")</f>
        <v/>
      </c>
      <c r="BX11" s="16" t="str">
        <f>IF(SUM(BA11,BE11,BI11)&gt;0,SUM(BA11,BE11,BI11),"")</f>
        <v/>
      </c>
      <c r="BY11" s="16" t="str">
        <f>IF(SUM(BV11,BW11)&gt;0,SUM(BV11,BW11),"")</f>
        <v/>
      </c>
      <c r="BZ11" s="16" t="str">
        <f>IF(SUM(BM11,BQ11)&gt;0,SUM(BM11,BQ11),"")</f>
        <v/>
      </c>
      <c r="CA11" s="16" t="str">
        <f>IF(SUM(BL11:BM11,BO11:BQ11,BS11)-SUM(BN11,BR11)&gt;0,SUM(BL11:BM11,BO11:BQ11,BS11)-SUM(BN11,BR11),"")</f>
        <v/>
      </c>
      <c r="CB11" s="16" t="str">
        <f>IF(SUM(BV11,CA11)&gt;0,SUM(BV11,CA11),"")</f>
        <v/>
      </c>
      <c r="CC11" s="27">
        <v>18.899999999999999</v>
      </c>
      <c r="CD11" s="27">
        <v>6.4</v>
      </c>
      <c r="CE11" s="27">
        <v>0.8</v>
      </c>
      <c r="CF11" s="27">
        <v>0</v>
      </c>
      <c r="CG11" s="27">
        <v>18.3</v>
      </c>
      <c r="CH11" s="27">
        <v>7.7</v>
      </c>
      <c r="CI11" s="27">
        <v>1</v>
      </c>
      <c r="CJ11" s="27">
        <v>0</v>
      </c>
      <c r="CK11" s="27">
        <v>18.3</v>
      </c>
      <c r="CL11" s="27">
        <v>5.2</v>
      </c>
      <c r="CM11" s="27">
        <v>1.6</v>
      </c>
      <c r="CN11" s="27">
        <v>0</v>
      </c>
      <c r="CO11" s="27">
        <v>19</v>
      </c>
      <c r="CP11" s="27">
        <v>6.4</v>
      </c>
      <c r="CQ11" s="27">
        <v>0.8</v>
      </c>
      <c r="CR11" s="27">
        <v>0</v>
      </c>
      <c r="CS11" s="27">
        <v>17.3</v>
      </c>
      <c r="CT11" s="27">
        <v>3.2</v>
      </c>
      <c r="CU11" s="27">
        <v>0</v>
      </c>
      <c r="CV11" s="27">
        <v>0</v>
      </c>
      <c r="CW11" s="51"/>
      <c r="CX11" s="76">
        <f>IF(SUM(CD11,CH11)&gt;0,SUM(CD11,CH11),"")</f>
        <v>14.100000000000001</v>
      </c>
      <c r="CY11" s="76">
        <f>IF(SUM(CC11:CD11,CF11:CH11,CJ11)-CE11-CI11&gt;0,SUM(CC11:CD11,CF11:CH11,CJ11)-CE11-CI11,"")</f>
        <v>49.5</v>
      </c>
      <c r="CZ11" s="76">
        <f>IF(SUM(CK11:CL11,CN11)-CM11&gt;0,SUM(CK11:CL11,CN11)-CM11,"")</f>
        <v>21.9</v>
      </c>
      <c r="DA11" s="76">
        <f>IF(SUM(CD11,CH11,CL11)&gt;0,SUM(CD11,CH11,CL11),"")</f>
        <v>19.3</v>
      </c>
      <c r="DB11" s="76">
        <f>IF(SUM(CY11,CZ11)&gt;0,SUM(CY11,CZ11),"")</f>
        <v>71.400000000000006</v>
      </c>
      <c r="DC11" s="76">
        <f>IF(SUM(CP11,CT11)&gt;0,SUM(CP11,CT11),"")</f>
        <v>9.6000000000000014</v>
      </c>
      <c r="DD11" s="76">
        <f>IF(SUM(CO11:CP11,CR11:CT11,CV11)-SUM(CQ11,CU11)&gt;0,SUM(CO11:CP11,CR11:CT11,CV11)-SUM(CQ11,CU11),"")</f>
        <v>45.100000000000009</v>
      </c>
      <c r="DE11" s="76">
        <f>IF(SUM(CY11,DD11)&gt;0,SUM(CY11,DD11),"")</f>
        <v>94.600000000000009</v>
      </c>
      <c r="DF11" s="87" t="str">
        <f>IF(L11&gt;=0.001,IF(MAX(ED11,FF11,GH11,HJ11,IL11,JN11,KP11,LR11,MT11,NV11,OX11,PZ11)-IF(L11="",0,L11)&gt;0.001,MAX(ED11,FF11,GH11,HJ11,IL11,JN11,KP11,LR11,MT11,NV11,OX11,PZ11)-IF(L11="",0,L11),""),"")</f>
        <v/>
      </c>
      <c r="DG11" s="87" t="str">
        <f>IF(P11&gt;=0.001,IF(MAX(EE11,FG11,GI11,HK11,IM11,JO11,KQ11,LS11,MU11,NW11,OY11,QA11)-IF(P11="",0,P11)&gt;0.001,MAX(EE11,FG11,GI11,HK11,IM11,JO11,KQ11,LS11,MU11,NW11,OY11,QA11)-IF(P11="",0,P11),""),"")</f>
        <v/>
      </c>
      <c r="DH11" s="87">
        <f>IF(R11&gt;=0.001,IF(MAX(EI11,FK11,GM11,HO11,IQ11,JS11,KU11,LW11,MY11,OA11,PC11,QE11)-IF(R11="",0,R11)&gt;0.001,MAX(EI11,FK11,GM11,HO11,IQ11,JS11,KU11,LW11,MY11,OA11,PC11,QE11)-IF(R11="",0,R11),""),"")</f>
        <v>5.2999999999999972</v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76" t="str">
        <f>IF(SUM(DJ11,DN11)&gt;0,SUM(DJ11,DN11),"")</f>
        <v/>
      </c>
      <c r="ED11" s="76" t="str">
        <f>IF(SUM(DI11:DJ11,DL11:DN11,DP11)-DK11-DO11&gt;0,SUM(DI11:DJ11,DL11:DN11,DP11)-DK11-DO11,"")</f>
        <v/>
      </c>
      <c r="EE11" s="76" t="str">
        <f>IF(SUM(DQ11:DR11,DT11)-DS11&gt;0,SUM(DQ11:DR11,DT11)-DS11,"")</f>
        <v/>
      </c>
      <c r="EF11" s="76" t="str">
        <f>IF(SUM(DJ11,DN11,DR11)&gt;0,SUM(DJ11,DN11,DR11),"")</f>
        <v/>
      </c>
      <c r="EG11" s="76" t="str">
        <f>IF(SUM(ED11,EE11)&gt;0,SUM(ED11,EE11),"")</f>
        <v/>
      </c>
      <c r="EH11" s="76" t="str">
        <f>IF(SUM(DV11,DZ11)&gt;0,SUM(DV11,DZ11),"")</f>
        <v/>
      </c>
      <c r="EI11" s="76" t="str">
        <f>IF(SUM(DU11:DV11,DX11:DZ11,EB11)-SUM(DW11,EA11)&gt;0,SUM(DU11:DV11,DX11:DZ11,EB11)-SUM(DW11,EA11),"")</f>
        <v/>
      </c>
      <c r="EJ11" s="76" t="str">
        <f>IF(SUM(ED11,EI11)&gt;0,SUM(ED11,EI11),"")</f>
        <v/>
      </c>
      <c r="EK11" s="26">
        <v>19.2</v>
      </c>
      <c r="EL11" s="26">
        <v>6.4</v>
      </c>
      <c r="EM11" s="26">
        <v>0</v>
      </c>
      <c r="EN11" s="26">
        <v>0</v>
      </c>
      <c r="EO11" s="26">
        <v>18</v>
      </c>
      <c r="EP11" s="26">
        <v>7.7</v>
      </c>
      <c r="EQ11" s="26">
        <v>0.6</v>
      </c>
      <c r="ER11" s="26">
        <v>0</v>
      </c>
      <c r="ES11" s="26"/>
      <c r="ET11" s="26"/>
      <c r="EU11" s="26"/>
      <c r="EV11" s="26"/>
      <c r="EW11" s="26">
        <v>18.600000000000001</v>
      </c>
      <c r="EX11" s="26">
        <v>7.2</v>
      </c>
      <c r="EY11" s="26">
        <v>0.6</v>
      </c>
      <c r="EZ11" s="26">
        <v>0</v>
      </c>
      <c r="FA11" s="26">
        <v>18.3</v>
      </c>
      <c r="FB11" s="26">
        <v>7.7</v>
      </c>
      <c r="FC11" s="26">
        <v>0.8</v>
      </c>
      <c r="FD11" s="26">
        <v>0</v>
      </c>
      <c r="FE11" s="16">
        <f>IF(SUM(EL11,EP11)&gt;0,SUM(EL11,EP11),"")</f>
        <v>14.100000000000001</v>
      </c>
      <c r="FF11" s="16">
        <f>IF(SUM(EK11:EL11,EN11:EP11,ER11)-EM11-EQ11&gt;0,SUM(EK11:EL11,EN11:EP11,ER11)-EM11-EQ11,"")</f>
        <v>50.7</v>
      </c>
      <c r="FG11" s="16" t="str">
        <f>IF(SUM(ES11:ET11,EV11)-EU11&gt;0,SUM(ES11:ET11,EV11)-EU11,"")</f>
        <v/>
      </c>
      <c r="FH11" s="16">
        <f>IF(SUM(EL11,EP11,ET11)&gt;0,SUM(EL11,EP11,ET11),"")</f>
        <v>14.100000000000001</v>
      </c>
      <c r="FI11" s="16">
        <f>IF(SUM(FF11,FG11)&gt;0,SUM(FF11,FG11),"")</f>
        <v>50.7</v>
      </c>
      <c r="FJ11" s="16">
        <f>IF(SUM(EX11,FB11)&gt;0,SUM(EX11,FB11),"")</f>
        <v>14.9</v>
      </c>
      <c r="FK11" s="16">
        <f>IF(SUM(EW11:EX11,EZ11:FB11,FD11)-SUM(EY11,FC11)&gt;0,SUM(EW11:EX11,EZ11:FB11,FD11)-SUM(EY11,FC11),"")</f>
        <v>50.400000000000006</v>
      </c>
      <c r="FL11" s="16">
        <f>IF(SUM(FF11,FK11)&gt;0,SUM(FF11,FK11),"")</f>
        <v>101.10000000000001</v>
      </c>
      <c r="FM11" s="25">
        <v>18.7</v>
      </c>
      <c r="FN11" s="25">
        <v>7.7</v>
      </c>
      <c r="FO11" s="25">
        <v>0</v>
      </c>
      <c r="FP11" s="25">
        <v>0</v>
      </c>
      <c r="FQ11" s="25">
        <v>17.600000000000001</v>
      </c>
      <c r="FR11" s="25">
        <v>2.8</v>
      </c>
      <c r="FS11" s="25">
        <v>0</v>
      </c>
      <c r="FT11" s="25">
        <v>0</v>
      </c>
      <c r="FU11" s="25"/>
      <c r="FV11" s="25"/>
      <c r="FW11" s="25"/>
      <c r="FX11" s="25"/>
      <c r="FY11" s="25">
        <v>16.600000000000001</v>
      </c>
      <c r="FZ11" s="25">
        <v>7.7</v>
      </c>
      <c r="GA11" s="25">
        <v>0.8</v>
      </c>
      <c r="GB11" s="25">
        <v>0</v>
      </c>
      <c r="GC11" s="25">
        <v>17.5</v>
      </c>
      <c r="GD11" s="25">
        <v>2.8</v>
      </c>
      <c r="GE11" s="25">
        <v>0</v>
      </c>
      <c r="GF11" s="25">
        <v>0</v>
      </c>
      <c r="GG11" s="76">
        <f>IF(SUM(FN11,FR11)&gt;0,SUM(FN11,FR11),"")</f>
        <v>10.5</v>
      </c>
      <c r="GH11" s="76">
        <f>IF(SUM(FM11:FN11,FP11:FR11,FT11)-FO11-FS11&gt;0,SUM(FM11:FN11,FP11:FR11,FT11)-FO11-FS11,"")</f>
        <v>46.8</v>
      </c>
      <c r="GI11" s="76" t="str">
        <f>IF(SUM(FU11:FV11,FX11)-FW11&gt;0,SUM(FU11:FV11,FX11)-FW11,"")</f>
        <v/>
      </c>
      <c r="GJ11" s="76">
        <f>IF(SUM(FN11,FR11,FV11)&gt;0,SUM(FN11,FR11,FV11),"")</f>
        <v>10.5</v>
      </c>
      <c r="GK11" s="76">
        <f>IF(SUM(GH11,GI11)&gt;0,SUM(GH11,GI11),"")</f>
        <v>46.8</v>
      </c>
      <c r="GL11" s="76">
        <f>IF(SUM(FZ11,GD11)&gt;0,SUM(FZ11,GD11),"")</f>
        <v>10.5</v>
      </c>
      <c r="GM11" s="76">
        <f>IF(SUM(FY11:FZ11,GB11:GD11,GF11)-SUM(GA11,GE11)&gt;0,SUM(FY11:FZ11,GB11:GD11,GF11)-SUM(GA11,GE11),"")</f>
        <v>43.8</v>
      </c>
      <c r="GN11" s="76">
        <f>IF(SUM(GH11,GM11)&gt;0,SUM(GH11,GM11),"")</f>
        <v>90.6</v>
      </c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16" t="str">
        <f>IF(SUM(GP11,GT11)&gt;0,SUM(GP11,GT11),"")</f>
        <v/>
      </c>
      <c r="HJ11" s="16" t="str">
        <f>IF(SUM(GO11:GP11,GR11:GT11,GV11)-GQ11-GU11&gt;0,SUM(GO11:GP11,GR11:GT11,GV11)-GQ11-GU11,"")</f>
        <v/>
      </c>
      <c r="HK11" s="16" t="str">
        <f>IF(SUM(GW11:GX11,GZ11)-GY11&gt;0,SUM(GW11:GX11,GZ11)-GY11,"")</f>
        <v/>
      </c>
      <c r="HL11" s="16" t="str">
        <f>IF(SUM(GP11,GT11,GX11)&gt;0,SUM(GP11,GT11,GX11),"")</f>
        <v/>
      </c>
      <c r="HM11" s="16" t="str">
        <f>IF(SUM(HJ11,HK11)&gt;0,SUM(HJ11,HK11),"")</f>
        <v/>
      </c>
      <c r="HN11" s="16" t="str">
        <f>IF(SUM(HB11,HF11)&gt;0,SUM(HB11,HF11),"")</f>
        <v/>
      </c>
      <c r="HO11" s="16" t="str">
        <f>IF(SUM(HA11:HB11,HD11:HF11,HH11)-SUM(HC11,HG11)&gt;0,SUM(HA11:HB11,HD11:HF11,HH11)-SUM(HC11,HG11),"")</f>
        <v/>
      </c>
      <c r="HP11" s="16" t="str">
        <f>IF(SUM(HJ11,HO11)&gt;0,SUM(HJ11,HO11),"")</f>
        <v/>
      </c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76" t="str">
        <f>IF(SUM(HR11,HV11)&gt;0,SUM(HR11,HV11),"")</f>
        <v/>
      </c>
      <c r="IL11" s="76" t="str">
        <f>IF(SUM(HQ11:HR11,HT11:HV11,HX11)-HS11-HW11&gt;0,SUM(HQ11:HR11,HT11:HV11,HX11)-HS11-HW11,"")</f>
        <v/>
      </c>
      <c r="IM11" s="76" t="str">
        <f>IF(SUM(HY11:HZ11,IB11)-IA11&gt;0,SUM(HY11:HZ11,IB11)-IA11,"")</f>
        <v/>
      </c>
      <c r="IN11" s="76" t="str">
        <f>IF(SUM(HR11,HV11,HZ11)&gt;0,SUM(HR11,HV11,HZ11),"")</f>
        <v/>
      </c>
      <c r="IO11" s="76" t="str">
        <f>IF(SUM(IL11,IM11)&gt;0,SUM(IL11,IM11),"")</f>
        <v/>
      </c>
      <c r="IP11" s="76" t="str">
        <f>IF(SUM(ID11,IH11)&gt;0,SUM(ID11,IH11),"")</f>
        <v/>
      </c>
      <c r="IQ11" s="76" t="str">
        <f>IF(SUM(IC11:ID11,IF11:IH11,IJ11)-SUM(IE11,II11)&gt;0,SUM(IC11:ID11,IF11:IH11,IJ11)-SUM(IE11,II11),"")</f>
        <v/>
      </c>
      <c r="IR11" s="76" t="str">
        <f>IF(SUM(IL11,IQ11)&gt;0,SUM(IL11,IQ11),"")</f>
        <v/>
      </c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16" t="str">
        <f>IF(SUM(IT11,IX11)&gt;0,SUM(IT11,IX11),"")</f>
        <v/>
      </c>
      <c r="JN11" s="16" t="str">
        <f>IF(SUM(IS11:IT11,IV11:IX11,IZ11)-IU11-IY11&gt;0,SUM(IS11:IT11,IV11:IX11,IZ11)-IU11-IY11,"")</f>
        <v/>
      </c>
      <c r="JO11" s="16" t="str">
        <f>IF(SUM(JA11:JB11,JD11)-JC11&gt;0,SUM(JA11:JB11,JD11)-JC11,"")</f>
        <v/>
      </c>
      <c r="JP11" s="16" t="str">
        <f>IF(SUM(IT11,IX11,JB11)&gt;0,SUM(IT11,IX11,JB11),"")</f>
        <v/>
      </c>
      <c r="JQ11" s="16" t="str">
        <f>IF(SUM(JN11,JO11)&gt;0,SUM(JN11,JO11),"")</f>
        <v/>
      </c>
      <c r="JR11" s="16" t="str">
        <f>IF(SUM(JF11,JJ11)&gt;0,SUM(JF11,JJ11),"")</f>
        <v/>
      </c>
      <c r="JS11" s="16" t="str">
        <f>IF(SUM(JE11:JF11,JH11:JJ11,JL11)-SUM(JG11,JK11)&gt;0,SUM(JE11:JF11,JH11:JJ11,JL11)-SUM(JG11,JK11),"")</f>
        <v/>
      </c>
      <c r="JT11" s="16" t="str">
        <f>IF(SUM(JN11,JS11)&gt;0,SUM(JN11,JS11),"")</f>
        <v/>
      </c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76" t="str">
        <f>IF(SUM(JV11,JZ11)&gt;0,SUM(JV11,JZ11),"")</f>
        <v/>
      </c>
      <c r="KP11" s="76" t="str">
        <f>IF(SUM(JU11:JV11,JX11:JZ11,KB11)-JW11-KA11&gt;0,SUM(JU11:JV11,JX11:JZ11,KB11)-JW11-KA11,"")</f>
        <v/>
      </c>
      <c r="KQ11" s="76" t="str">
        <f>IF(SUM(KC11:KD11,KF11)-KE11&gt;0,SUM(KC11:KD11,KF11)-KE11,"")</f>
        <v/>
      </c>
      <c r="KR11" s="76" t="str">
        <f>IF(SUM(JV11,JZ11,KD11)&gt;0,SUM(JV11,JZ11,KD11),"")</f>
        <v/>
      </c>
      <c r="KS11" s="76" t="str">
        <f>IF(SUM(KP11,KQ11)&gt;0,SUM(KP11,KQ11),"")</f>
        <v/>
      </c>
      <c r="KT11" s="76" t="str">
        <f>IF(SUM(KH11,KL11)&gt;0,SUM(KH11,KL11),"")</f>
        <v/>
      </c>
      <c r="KU11" s="76" t="str">
        <f>IF(SUM(KG11:KH11,KJ11:KL11,KN11)-SUM(KI11,KM11)&gt;0,SUM(KG11:KH11,KJ11:KL11,KN11)-SUM(KI11,KM11),"")</f>
        <v/>
      </c>
      <c r="KV11" s="76" t="str">
        <f>IF(SUM(KP11,KU11)&gt;0,SUM(KP11,KU11),"")</f>
        <v/>
      </c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16" t="str">
        <f>IF(SUM(KX11,LB11)&gt;0,SUM(KX11,LB11),"")</f>
        <v/>
      </c>
      <c r="LR11" s="16" t="str">
        <f>IF(SUM(KW11:KX11,KZ11:LB11,LD11)-KY11-LC11&gt;0,SUM(KW11:KX11,KZ11:LB11,LD11)-KY11-LC11,"")</f>
        <v/>
      </c>
      <c r="LS11" s="16" t="str">
        <f>IF(SUM(LE11:LF11,LH11)-LG11&gt;0,SUM(LE11:LF11,LH11)-LG11,"")</f>
        <v/>
      </c>
      <c r="LT11" s="16" t="str">
        <f>IF(SUM(KX11,LB11,LF11)&gt;0,SUM(KX11,LB11,LF11),"")</f>
        <v/>
      </c>
      <c r="LU11" s="16" t="str">
        <f>IF(SUM(LR11,LS11)&gt;0,SUM(LR11,LS11),"")</f>
        <v/>
      </c>
      <c r="LV11" s="16" t="str">
        <f>IF(SUM(LJ11,LN11)&gt;0,SUM(LJ11,LN11),"")</f>
        <v/>
      </c>
      <c r="LW11" s="16" t="str">
        <f>IF(SUM(LI11:LJ11,LL11:LN11,LP11)-SUM(LK11,LO11)&gt;0,SUM(LI11:LJ11,LL11:LN11,LP11)-SUM(LK11,LO11),"")</f>
        <v/>
      </c>
      <c r="LX11" s="16" t="str">
        <f>IF(SUM(LR11,LW11)&gt;0,SUM(LR11,LW11),"")</f>
        <v/>
      </c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76" t="str">
        <f>IF(SUM(LZ11,MD11)&gt;0,SUM(LZ11,MD11),"")</f>
        <v/>
      </c>
      <c r="MT11" s="76" t="str">
        <f>IF(SUM(LY11:LZ11,MB11:MD11,MF11)-MA11-ME11&gt;0,SUM(LY11:LZ11,MB11:MD11,MF11)-MA11-ME11,"")</f>
        <v/>
      </c>
      <c r="MU11" s="76" t="str">
        <f>IF(SUM(MG11:MH11,MJ11)-MI11&gt;0,SUM(MG11:MH11,MJ11)-MI11,"")</f>
        <v/>
      </c>
      <c r="MV11" s="76" t="str">
        <f>IF(SUM(LZ11,MD11,MH11)&gt;0,SUM(LZ11,MD11,MH11),"")</f>
        <v/>
      </c>
      <c r="MW11" s="76" t="str">
        <f>IF(SUM(MT11,MU11)&gt;0,SUM(MT11,MU11),"")</f>
        <v/>
      </c>
      <c r="MX11" s="76" t="str">
        <f>IF(SUM(ML11,MP11)&gt;0,SUM(ML11,MP11),"")</f>
        <v/>
      </c>
      <c r="MY11" s="76" t="str">
        <f>IF(SUM(MK11:ML11,MN11:MP11,MR11)-SUM(MM11,MQ11)&gt;0,SUM(MK11:ML11,MN11:MP11,MR11)-SUM(MM11,MQ11),"")</f>
        <v/>
      </c>
      <c r="MZ11" s="76" t="str">
        <f>IF(SUM(MT11,MY11)&gt;0,SUM(MT11,MY11),"")</f>
        <v/>
      </c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16" t="str">
        <f>IF(SUM(NB11,NF11)&gt;0,SUM(NB11,NF11),"")</f>
        <v/>
      </c>
      <c r="NV11" s="16" t="str">
        <f>IF(SUM(NA11:NB11,ND11:NF11,NH11)-NC11-NG11&gt;0,SUM(NA11:NB11,ND11:NF11,NH11)-NC11-NG11,"")</f>
        <v/>
      </c>
      <c r="NW11" s="16" t="str">
        <f>IF(SUM(NI11:NJ11,NL11)-NK11&gt;0,SUM(NI11:NJ11,NL11)-NK11,"")</f>
        <v/>
      </c>
      <c r="NX11" s="16" t="str">
        <f>IF(SUM(NB11,NF11,NJ11)&gt;0,SUM(NB11,NF11,NJ11),"")</f>
        <v/>
      </c>
      <c r="NY11" s="16" t="str">
        <f>IF(SUM(NV11,NW11)&gt;0,SUM(NV11,NW11),"")</f>
        <v/>
      </c>
      <c r="NZ11" s="16" t="str">
        <f>IF(SUM(NN11,NR11)&gt;0,SUM(NN11,NR11),"")</f>
        <v/>
      </c>
      <c r="OA11" s="16" t="str">
        <f>IF(SUM(NM11:NN11,NP11:NR11,NT11)-SUM(NO11,NS11)&gt;0,SUM(NM11:NN11,NP11:NR11,NT11)-SUM(NO11,NS11),"")</f>
        <v/>
      </c>
      <c r="OB11" s="16" t="str">
        <f>IF(SUM(NV11,OA11)&gt;0,SUM(NV11,OA11),"")</f>
        <v/>
      </c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76" t="str">
        <f>IF(SUM(OD11,OH11)&gt;0,SUM(OD11,OH11),"")</f>
        <v/>
      </c>
      <c r="OX11" s="76" t="str">
        <f>IF(SUM(OC11:OD11,OF11:OH11,OJ11)-OE11-OI11&gt;0,SUM(OC11:OD11,OF11:OH11,OJ11)-OE11-OI11,"")</f>
        <v/>
      </c>
      <c r="OY11" s="76" t="str">
        <f>IF(SUM(OK11:OL11,ON11)-OM11&gt;0,SUM(OK11:OL11,ON11)-OM11,"")</f>
        <v/>
      </c>
      <c r="OZ11" s="76" t="str">
        <f>IF(SUM(OD11,OH11,OL11)&gt;0,SUM(OD11,OH11,OL11),"")</f>
        <v/>
      </c>
      <c r="PA11" s="76" t="str">
        <f>IF(SUM(OX11,OY11)&gt;0,SUM(OX11,OY11),"")</f>
        <v/>
      </c>
      <c r="PB11" s="76" t="str">
        <f>IF(SUM(OP11,OT11)&gt;0,SUM(OP11,OT11),"")</f>
        <v/>
      </c>
      <c r="PC11" s="76" t="str">
        <f>IF(SUM(OO11:OP11,OR11:OT11,OV11)-SUM(OQ11,OU11)&gt;0,SUM(OO11:OP11,OR11:OT11,OV11)-SUM(OQ11,OU11),"")</f>
        <v/>
      </c>
      <c r="PD11" s="76" t="str">
        <f>IF(SUM(OX11,PC11)&gt;0,SUM(OX11,PC11),"")</f>
        <v/>
      </c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16" t="str">
        <f>IF(SUM(PF11,PJ11)&gt;0,SUM(PF11,PJ11),"")</f>
        <v/>
      </c>
      <c r="PZ11" s="16" t="str">
        <f>IF(SUM(PE11:PF11,PH11:PJ11,PL11)-PG11-PK11&gt;0,SUM(PE11:PF11,PH11:PJ11,PL11)-PG11-PK11,"")</f>
        <v/>
      </c>
      <c r="QA11" s="16" t="str">
        <f>IF(SUM(PM11:PN11,PP11)-PO11&gt;0,SUM(PM11:PN11,PP11)-PO11,"")</f>
        <v/>
      </c>
      <c r="QB11" s="16" t="str">
        <f>IF(SUM(PF11,PJ11,PN11)&gt;0,SUM(PF11,PJ11,PN11),"")</f>
        <v/>
      </c>
      <c r="QC11" s="16" t="str">
        <f>IF(SUM(PZ11,QA11)&gt;0,SUM(PZ11,QA11),"")</f>
        <v/>
      </c>
      <c r="QD11" s="16" t="str">
        <f>IF(SUM(PR11,PV11)&gt;0,SUM(PR11,PV11),"")</f>
        <v/>
      </c>
      <c r="QE11" s="16" t="str">
        <f>IF(SUM(PQ11:PR11,PT11:PV11,PX11)-SUM(PS11,PW11)&gt;0,SUM(PQ11:PR11,PT11:PV11,PX11)-SUM(PS11,PW11),"")</f>
        <v/>
      </c>
      <c r="QF11" s="16" t="str">
        <f>IF(SUM(PZ11,QE11)&gt;0,SUM(PZ11,QE11),"")</f>
        <v/>
      </c>
      <c r="QG11" s="42">
        <f>IF($CW11="P",CC11,(CC11+AZ11)/2)</f>
        <v>9.4499999999999993</v>
      </c>
      <c r="QH11" s="42">
        <f>IF($CW11="P",CD11,(CD11+BA11)/2)</f>
        <v>3.2</v>
      </c>
      <c r="QI11" s="42">
        <f>IF($CW11="P",CE11,(CE11+BB11)/2)</f>
        <v>0.4</v>
      </c>
      <c r="QJ11" s="42">
        <f>IF($CW11="P",CF11,(CF11+BC11)/2)</f>
        <v>0</v>
      </c>
      <c r="QK11" s="42">
        <f>IF($CW11="P",CG11,(CG11+BD11)/2)</f>
        <v>9.15</v>
      </c>
      <c r="QL11" s="42">
        <f>IF($CW11="P",CH11,(CH11+BE11)/2)</f>
        <v>3.85</v>
      </c>
      <c r="QM11" s="42">
        <f>IF($CW11="P",CI11,(CI11+BF11)/2)</f>
        <v>0.5</v>
      </c>
      <c r="QN11" s="42">
        <f>IF($CW11="P",CJ11,(CJ11+BG11)/2)</f>
        <v>0</v>
      </c>
      <c r="QO11" s="42">
        <f>IF($CW11="P",CK11,(CK11+BH11)/2)</f>
        <v>9.15</v>
      </c>
      <c r="QP11" s="42">
        <f>IF($CW11="P",CL11,(CL11+BI11)/2)</f>
        <v>2.6</v>
      </c>
      <c r="QQ11" s="42">
        <f>IF($CW11="P",CM11,(CM11+BJ11)/2)</f>
        <v>0.8</v>
      </c>
      <c r="QR11" s="42">
        <f>IF($CW11="P",CN11,(CN11+BK11)/2)</f>
        <v>0</v>
      </c>
      <c r="QS11" s="42">
        <f>IF($CW11="P",CO11,(CO11+BL11)/2)</f>
        <v>9.5</v>
      </c>
      <c r="QT11" s="42">
        <f>IF($CW11="P",CP11,(CP11+BM11)/2)</f>
        <v>3.2</v>
      </c>
      <c r="QU11" s="42">
        <f>IF($CW11="P",CQ11,(CQ11+BN11)/2)</f>
        <v>0.4</v>
      </c>
      <c r="QV11" s="42">
        <f>IF($CW11="P",CR11,(CR11+BO11)/2)</f>
        <v>0</v>
      </c>
      <c r="QW11" s="42">
        <f>IF($CW11="P",CS11,(CS11+BP11)/2)</f>
        <v>8.65</v>
      </c>
      <c r="QX11" s="42">
        <f>IF($CW11="P",CT11,(CT11+BQ11)/2)</f>
        <v>1.6</v>
      </c>
      <c r="QY11" s="42">
        <f>IF($CW11="P",CU11,(CU11+BR11)/2)</f>
        <v>0</v>
      </c>
      <c r="QZ11" s="42">
        <f>IF($CW11="P",CV11,(CV11+BS11)/2)</f>
        <v>0</v>
      </c>
      <c r="RA11" s="51" t="s">
        <v>61</v>
      </c>
      <c r="RB11" s="76">
        <f>IF(SUM(QH11,QL11)&gt;0,SUM(QH11,QL11),"")</f>
        <v>7.0500000000000007</v>
      </c>
      <c r="RC11" s="76">
        <f>IF(SUM(QG11:QH11,QJ11:QL11,QN11)-QI11-QM11&gt;0,SUM(QG11:QH11,QJ11:QL11,QN11)-QI11-QM11,"")</f>
        <v>24.75</v>
      </c>
      <c r="RD11" s="76">
        <f>IF(SUM(QO11:QP11,QR11)-QQ11&gt;0,SUM(QO11:QP11,QR11)-QQ11,"")</f>
        <v>10.95</v>
      </c>
      <c r="RE11" s="76">
        <f>IF(SUM(QH11,QL11,QP11)&gt;0,SUM(QH11,QL11,QP11),"")</f>
        <v>9.65</v>
      </c>
      <c r="RF11" s="76">
        <f>IF(SUM(RC11,RD11)&gt;0,SUM(RC11,RD11),"")</f>
        <v>35.700000000000003</v>
      </c>
      <c r="RG11" s="76">
        <f>IF(SUM(QT11,QX11)&gt;0,SUM(QT11,QX11),"")</f>
        <v>4.8000000000000007</v>
      </c>
      <c r="RH11" s="76">
        <f>IF(SUM(QS11:QT11,QV11:QX11,QZ11)-SUM(QU11,QY11)&gt;0,SUM(QS11:QT11,QV11:QX11,QZ11)-SUM(QU11,QY11),"")</f>
        <v>22.550000000000004</v>
      </c>
      <c r="RI11" s="76">
        <f>IF(SUM(RC11,RH11)&gt;0,SUM(RC11,RH11),"")</f>
        <v>47.300000000000004</v>
      </c>
    </row>
    <row r="12" spans="1:477" x14ac:dyDescent="0.2">
      <c r="A12" s="5" t="str">
        <f>IF(AND(F12="P",G12="P"),SUMPRODUCT((F$4:F$18="P")*(G$4:G$18="P")*(E$4:E$18&gt;E12))+1,IF(G12="P",SUMPRODUCT((F$4:F$18="")*(G$4:G$18="P")*(E$4:E$18&gt;E12))+1+SUMPRODUCT((F$4:F$18="P")*(G$4:G$18="P")),""))</f>
        <v/>
      </c>
      <c r="B12" s="6" t="s">
        <v>99</v>
      </c>
      <c r="C12" s="7" t="s">
        <v>9</v>
      </c>
      <c r="D12" s="18">
        <v>2000</v>
      </c>
      <c r="E12" s="14">
        <f>SUM(J12:T12)+SUM(J12:P12)*0.0000001+SUM(J12)*0.0000000000001</f>
        <v>115.10000727000484</v>
      </c>
      <c r="F12" s="3" t="str">
        <f>IF(OR(AND(AR12&gt;=AY$20,AS12&gt;=AY$24,AR12&lt;&gt;"",AQ12=""),AND(AW12&gt;=AY$20,AX12&gt;=AY$24,AW12&lt;&gt;"",AQ12=""),AND(BU12&gt;=CB$20,BV12&gt;=CB$24,BU12&lt;&gt;"",BT12=""),AND(BZ12&gt;=CB$20,CA12&gt;=CB$24,BZ12&lt;&gt;"",BT12=""),AND(CX12&gt;=DE$20,CY12&gt;=DE$24,CX12&lt;&gt;"",CW12=""),AND(DC12&gt;=DE$20,DD12&gt;=DE$24,DC12&lt;&gt;""),AND(EC12&gt;=EJ$20,ED12&gt;=EJ$24,EC12&lt;&gt;""),AND(EH12&gt;=EJ$20,EI12&gt;=EJ$24,EH12&lt;&gt;""),AND(FE12&gt;=FL$20,FF12&gt;=FL$24,FE12&lt;&gt;""),AND(FJ12&gt;=FL$20,FK12&gt;=FL$24,FJ12&lt;&gt;""),AND(GG12&gt;=GN$20,GH12&gt;=GN$24,GG12&lt;&gt;""),AND(GL12&gt;=GN$20,GM12&gt;=GN$24,GL12&lt;&gt;""),AND(HI12&gt;=HP$20,HJ12&gt;=HP$24,HI12&lt;&gt;""),AND(HN12&gt;=HP$20,HO12&gt;=HP$24,HN12&lt;&gt;""),AND(IK12&gt;=IR$20,IL12&gt;=IR$24,IK12&lt;&gt;""),AND(IP12&gt;=IR$20,IQ12&gt;=IR$24,IP12&lt;&gt;""),AND(JM12&gt;=JT$20,JN12&gt;=JT$24,JM12&lt;&gt;""),AND(JR12&gt;=JT$20,JS12&gt;=JT$24,JR12&lt;&gt;""),AND(KO12&gt;=KV$20,KP12&gt;=KV$24,KO12&lt;&gt;""),AND(KT12&gt;=KV$20,KU12&gt;=KV$24,KT12&lt;&gt;""),AND(LQ12&gt;=LX$20,LR12&gt;=LX$24,LQ12&lt;&gt;""),AND(LV12&gt;=LX$20,LW12&gt;=LX$24,LV12&lt;&gt;""),AND(MS12&gt;=MZ$20,MT12&gt;=MZ$24,MS12&lt;&gt;""),AND(MX12&gt;=MZ$20,MY12&gt;=MZ$24,MX12&lt;&gt;""),AND(NU12&gt;=OB$20,NV12&gt;=OB$24,NU12&lt;&gt;""),AND(NZ12&gt;=OB$20,OA12&gt;=OB$24,NZ12&lt;&gt;""),AND(OW12&gt;=PD$20,OX12&gt;=PD$24,OW12&lt;&gt;""),AND(PB12&gt;=PD$20,PC12&gt;=PD$24,PB12&lt;&gt;""),AND(PY12&gt;=QF$20,PZ12&gt;=QF$24,PY12&lt;&gt;""),AND(QD12&gt;=QF$20,QE12&gt;=QF$24,QD12&lt;&gt;"")),"P","")</f>
        <v/>
      </c>
      <c r="G12" s="3" t="str">
        <f>IF(OR(AND(AS12&gt;=AY$24,AS12&lt;&gt;"",AQ12=""),AND(AX12&gt;=AY$24,AX12&lt;&gt;"",AQ12=""),AND(BV12&gt;=CB$24,BV12&lt;&gt;"",BT12=""),AND(CA12&gt;=CB$24,CA12&lt;&gt;"",BT12=""),AND(CY12&gt;=DE$24,CY12&lt;&gt;"",CW12=""),AND(DD12&gt;=DE$24,DD12&lt;&gt;"",CW12=""),AND(ED12&gt;=EJ$24,ED12&lt;&gt;""),AND(EI12&gt;=EJ$24,EI12&lt;&gt;""),AND(FF12&gt;=FL$24,FF12&lt;&gt;""),AND(FK12&gt;=FL$24,FK12&lt;&gt;""),AND(GH12&gt;=GN$24,GH12&lt;&gt;""),AND(GM12&gt;=GN$24,GM12&lt;&gt;""),AND(HJ12&gt;=HP$24,HJ12&lt;&gt;""),AND(HO12&gt;=HP$24,HO12&lt;&gt;""),AND(IL12&gt;=IR$24,IL12&lt;&gt;""),AND(IQ12&gt;=IR$24,IQ12&lt;&gt;""),AND(JN12&gt;=JT$24,JN12&lt;&gt;""),AND(JS12&gt;=JT$24,JS12&lt;&gt;""),AND(KP12&gt;=KV$24,KP12&lt;&gt;""),AND(KU12&gt;=KV$24,KU12&lt;&gt;""),AND(LR12&gt;=LX$24,LR12&lt;&gt;""),AND(LW12&gt;=LX$24,LW12&lt;&gt;""),AND(MT12&gt;=MZ$24,MT12&lt;&gt;""),AND(MY12&gt;=MZ$24,MY12&lt;&gt;""),AND(NV12&gt;=OB$24,NV12&lt;&gt;""),AND(OA12&gt;=OB$24,OA12&lt;&gt;""),AND(OX12&gt;=PD$24,OX12&lt;&gt;""),AND(PC12&gt;=PD$24,PC12&lt;&gt;""),AND(PZ12&gt;=QF$24,PZ12&lt;&gt;""),AND(QE12&gt;=QF$24,QE12&lt;&gt;"")),"P","")</f>
        <v/>
      </c>
      <c r="H12" s="70" t="str">
        <f>IF(AND(G12="P",F12=""),"No DD",IF(OR(AND(AU12&gt;=AY$23,AV12&gt;=AY$27,AU12&lt;&gt;"",AQ12=""),AND(BX12&gt;=CB$23,BY12&gt;=CB$27,BX12&lt;&gt;"",BT12=""),AND(DA12&gt;=DE$23,DB12&gt;=DE$27,DA12&lt;&gt;"",CW12=""),AND(EF12&gt;=EJ$23,EG12&gt;=EJ$27,EF12&lt;&gt;""),AND(FH12&gt;=FL$23,FI12&gt;=FL$27,FH12&lt;&gt;""),AND(GJ12&gt;=GN$23,GK12&gt;=GN$27,GJ12&lt;&gt;""),AND(HL12&gt;=HP$23,HM12&gt;=HP$27,HL12&lt;&gt;""),AND(IN12&gt;=IR$23,IO12&gt;=IR$27,IN12&lt;&gt;""),AND(JP12&gt;=JT$23,JQ12&gt;=JT$27,JP12&lt;&gt;""),AND(KR12&gt;=KV$23,KS12&gt;=KV$27,KR12&lt;&gt;""),AND(LT12&gt;=LX$23,LU12&gt;=LX$27,LT12&lt;&gt;""),AND(MV12&gt;=MZ$23,MW12&gt;=MZ$27,MV12&lt;&gt;""),AND(NX12&gt;=OB$23,NY12&gt;=OB$27,NX12&lt;&gt;""),AND(OZ12&gt;=PD$23,PA12&gt;=PD$27,OZ12&lt;&gt;""),AND(QB12&gt;=QF$23,QC12&gt;=QF$27,QB12&lt;&gt;"")),"Merit",IF(OR(AND(AU12&gt;=AY$22,AV12&gt;=AY$26,AU12&lt;&gt;"",AQ12=""),AND(BX12&gt;=CB$22,BY12&gt;=CB$26,BX12&lt;&gt;"",BT12=""),AND(DA12&gt;=DE$22,DB12&gt;=DE$26,DA12&lt;&gt;"",CW12=""),AND(EF12&gt;=EJ$22,EG12&gt;=EJ$26,EF12&lt;&gt;""),AND(FH12&gt;=FL$22,FI12&gt;=FL$26,FH12&lt;&gt;""),AND(GJ12&gt;=GN$22,GK12&gt;=GN$26,GJ12&lt;&gt;""),AND(HL12&gt;=HP$22,HM12&gt;=HP$26,HL12&lt;&gt;""),AND(IN12&gt;=IR$22,IO12&gt;=IR$26,IN12&lt;&gt;""),AND(JP12&gt;=JT$22,JQ12&gt;=JT$26,JP12&lt;&gt;""),AND(KR12&gt;=KV$22,KS12&gt;=KV$26,KR12&lt;&gt;""),AND(LT12&gt;=LX$22,LU12&gt;=LX$26,LT12&lt;&gt;""),AND(MV12&gt;=MZ$22,MW12&gt;=MZ$26,MV12&lt;&gt;""),AND(NX12&gt;=OB$22,NY12&gt;=OB$26,NX12&lt;&gt;""),AND(OZ12&gt;=PD$22,PA12&gt;=PD$26,OZ12&lt;&gt;""),AND(QB12&gt;=QF$22,QC12&gt;=QF$26,QB12&lt;&gt;"")),"Excellence",IF(I12="P","Worlds Team",IF(F12="P","National Team","")))))</f>
        <v/>
      </c>
      <c r="I12" s="3" t="str">
        <f>IF(OR(AND(AU12&gt;=AY$21,AV12&gt;=AY$25,AU12&lt;&gt;"",AQ12=""),AND(BX12&gt;=CB$21,BY12&gt;=CB$25,BX12&lt;&gt;"",BT12=""),AND(DA12&gt;=DE$21,DB12&gt;=DE$25,DA12&lt;&gt;"",CW12=""),AND(EF12&gt;=EJ$21,EG12&gt;=EJ$25,EF12&lt;&gt;""),AND(FH12&gt;=FL$21,FI12&gt;=FL$25,FH12&lt;&gt;""),AND(GJ12&gt;=GN$21,GK12&gt;=GN$25,GJ12&lt;&gt;""),AND(HL12&gt;=HP$21,HM12&gt;=HP$25,HL12&lt;&gt;""),AND(IN12&gt;=IR$21,IO12&gt;=IR$25,IN12&lt;&gt;""),AND(JP12&gt;=JT$21,JQ12&gt;=JT$25,JP12&lt;&gt;""),AND(KR12&gt;=KV$21,KS12&gt;=KV$25,KR12&lt;&gt;""),AND(LT12&gt;=LX$21,LU12&gt;=LX$25,LT12&lt;&gt;""),AND(MV12&gt;=MZ$21,MW12&gt;=MZ$25,MV12&lt;&gt;""),AND(NX12&gt;=OB$21,NY12&gt;=OB$25,NX12&lt;&gt;""),AND(OZ12&gt;=PD$21,PA12&gt;=PD$25,OZ12&lt;&gt;""),AND(QB12&gt;=QF$21,QC12&gt;=QF$25,QB12&lt;&gt;"")),"P","")</f>
        <v/>
      </c>
      <c r="J12" s="13">
        <f>IF(COUNT(AS12,BV12,CY12)&gt;0,LARGE((AS12,BV12,CY12),1),0)</f>
        <v>48.499999999999993</v>
      </c>
      <c r="K12" s="13" t="str">
        <f>IF(J12=0,"",IF(J12=CY12,$CC$1,IF(J12=BV12,$AZ$1,IF(J12=AS12,$W$1,""))))</f>
        <v>2022 Elite Canada</v>
      </c>
      <c r="L12" s="13">
        <f>IF(COUNT(AS12,BV12,CY12)&gt;1,LARGE((AS12,BV12,CY12),2),0)</f>
        <v>0</v>
      </c>
      <c r="M12" s="13" t="str">
        <f>IF(L12=0,"",IF(L12=CY12,$CC$1,IF(L12=BV12,$AZ$1,IF(L12=AS12,$W$1,""))))</f>
        <v/>
      </c>
      <c r="N12" s="13">
        <f>IF(COUNT(AT12,BW12,CZ12)&gt;0,LARGE((AT12,BW12,CZ12),1),0)</f>
        <v>24.200000000000003</v>
      </c>
      <c r="O12" s="13" t="str">
        <f>IF(N12=0,"",IF(N12=CZ12,$CC$1,IF(N12=BW12,$AZ$1,IF(N12=AT12,$W$1,""))))</f>
        <v>2022 Elite Canada</v>
      </c>
      <c r="P12" s="13">
        <f>IF(COUNT(AT12,BW12,CZ12)&gt;1,LARGE((AT12,BW12,CZ12),2),0)</f>
        <v>0</v>
      </c>
      <c r="Q12" s="13" t="str">
        <f>IF(P12=0,"",IF(P12=CZ12,$CC$1,IF(P12=BW12,$AZ$1,IF(P12=AT12,$W$1,""))))</f>
        <v/>
      </c>
      <c r="R12" s="13">
        <f>IF(MAX(AX12,CA12,DD12)&gt;0,MAX(AX12,CA12,DD12),0)</f>
        <v>42.4</v>
      </c>
      <c r="S12" s="13" t="str">
        <f>IF(R12=0,"",IF(R12=DD12,$CC$1,IF(R12=CA12,$AZ$1,IF(R12=AX12,$W$1,""))))</f>
        <v>2022 Elite Canada</v>
      </c>
      <c r="T12" s="13" t="str">
        <f>IF(MAX(DF12:DH12)&gt;0,MAX(DF12:DH12),"")</f>
        <v/>
      </c>
      <c r="U12" s="16" t="str">
        <f>IF(T12="","",IF(T12=DF12,"("&amp;DF$2&amp;")",IF(T12=DH12,"("&amp;DH$2&amp;")")))</f>
        <v/>
      </c>
      <c r="V12" s="13" t="str">
        <f>IF(T12="","",IF(T12=DF12,IF(T12+IF(L12="",0,L12)=PZ12,$PE$1,IF(T12+IF(L12="",0,L12)=OX12,$OC$1,IF(T12+IF(L12="",0,L12)=NV12,$NA$1,IF(T12+IF(L12="",0,L12)=MT12,$LY$1,IF(T12+IF(L12="",0,L12)=LR12,$KW$1,IF(T12+IF(L12="",0,L12)=KP12,$JU$1,IF(T12+IF(L12="",0,L12)=JN12,$IS$1,IF(T12+IF(L12="",0,L12)=IL12,$HQ$1,IF(T12+IF(L12="",0,L12)=HJ12,$GO$1,IF(T12+IF(L12="",0,L12)=GH12,$FM$1,IF(T12+IF(L12="",0,L12)=FF12,$EK$1,IF(T12+IF(L12="",0,L12)=ED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</f>
        <v/>
      </c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51"/>
      <c r="AR12" s="76" t="str">
        <f>IF(SUM(X12,AB12)&gt;0,SUM(X12,AB12),"")</f>
        <v/>
      </c>
      <c r="AS12" s="76" t="str">
        <f>IF(SUM(W12:X12,Z12:AB12,AD12)-Y12-AC12&gt;0,SUM(W12:X12,Z12:AB12,AD12)-Y12-AC12,"")</f>
        <v/>
      </c>
      <c r="AT12" s="76" t="str">
        <f>IF(SUM(AE12:AF12,AH12)-AG12&gt;0,SUM(AE12:AF12,AH12)-AG12,"")</f>
        <v/>
      </c>
      <c r="AU12" s="76" t="str">
        <f>IF(SUM(X12,AB12,AF12)&gt;0,SUM(X12,AB12,AF12),"")</f>
        <v/>
      </c>
      <c r="AV12" s="76" t="str">
        <f>IF(SUM(AS12,AT12)&gt;0,SUM(AS12,AT12),"")</f>
        <v/>
      </c>
      <c r="AW12" s="76" t="str">
        <f>IF(SUM(AJ12,AN12)&gt;0,SUM(AJ12,AN12),"")</f>
        <v/>
      </c>
      <c r="AX12" s="76" t="str">
        <f>IF(SUM(AI12:AJ12,AL12:AN12,AP12)-SUM(AK12,AO12)&gt;0,SUM(AI12:AJ12,AL12:AN12,AP12)-SUM(AK12,AO12),"")</f>
        <v/>
      </c>
      <c r="AY12" s="76" t="str">
        <f>IF(SUM(AS12,AX12)&gt;0,SUM(AS12,AX12),"")</f>
        <v/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52"/>
      <c r="BU12" s="16" t="str">
        <f>IF(SUM(BA12,BE12)&gt;0,SUM(BA12,BE12),"")</f>
        <v/>
      </c>
      <c r="BV12" s="16" t="str">
        <f>IF(SUM(AZ12:BA12,BC12:BE12,BG12)-BB12-BF12&gt;0,SUM(AZ12:BA12,BC12:BE12,BG12)-BB12-BF12,"")</f>
        <v/>
      </c>
      <c r="BW12" s="16" t="str">
        <f>IF(SUM(BH12:BI12,BK12)-BJ12&gt;0,SUM(BH12:BI12,BK12)-BJ12,"")</f>
        <v/>
      </c>
      <c r="BX12" s="16" t="str">
        <f>IF(SUM(BA12,BE12,BI12)&gt;0,SUM(BA12,BE12,BI12),"")</f>
        <v/>
      </c>
      <c r="BY12" s="16" t="str">
        <f>IF(SUM(BV12,BW12)&gt;0,SUM(BV12,BW12),"")</f>
        <v/>
      </c>
      <c r="BZ12" s="16" t="str">
        <f>IF(SUM(BM12,BQ12)&gt;0,SUM(BM12,BQ12),"")</f>
        <v/>
      </c>
      <c r="CA12" s="16" t="str">
        <f>IF(SUM(BL12:BM12,BO12:BQ12,BS12)-SUM(BN12,BR12)&gt;0,SUM(BL12:BM12,BO12:BQ12,BS12)-SUM(BN12,BR12),"")</f>
        <v/>
      </c>
      <c r="CB12" s="16" t="str">
        <f>IF(SUM(BV12,CA12)&gt;0,SUM(BV12,CA12),"")</f>
        <v/>
      </c>
      <c r="CC12" s="27">
        <v>18.2</v>
      </c>
      <c r="CD12" s="27">
        <v>6</v>
      </c>
      <c r="CE12" s="27">
        <v>0.2</v>
      </c>
      <c r="CF12" s="27">
        <v>0</v>
      </c>
      <c r="CG12" s="27">
        <v>18.3</v>
      </c>
      <c r="CH12" s="27">
        <v>6.4</v>
      </c>
      <c r="CI12" s="27">
        <v>0.2</v>
      </c>
      <c r="CJ12" s="27">
        <v>0</v>
      </c>
      <c r="CK12" s="27">
        <v>18.8</v>
      </c>
      <c r="CL12" s="27">
        <v>6.4</v>
      </c>
      <c r="CM12" s="27">
        <v>1</v>
      </c>
      <c r="CN12" s="27">
        <v>0</v>
      </c>
      <c r="CO12" s="27">
        <v>18.3</v>
      </c>
      <c r="CP12" s="27">
        <v>5.6</v>
      </c>
      <c r="CQ12" s="27">
        <v>0.6</v>
      </c>
      <c r="CR12" s="27">
        <v>0</v>
      </c>
      <c r="CS12" s="27">
        <v>17.899999999999999</v>
      </c>
      <c r="CT12" s="27">
        <v>3.7</v>
      </c>
      <c r="CU12" s="27">
        <v>2.5</v>
      </c>
      <c r="CV12" s="27">
        <v>0</v>
      </c>
      <c r="CW12" s="51"/>
      <c r="CX12" s="76">
        <f>IF(SUM(CD12,CH12)&gt;0,SUM(CD12,CH12),"")</f>
        <v>12.4</v>
      </c>
      <c r="CY12" s="76">
        <f>IF(SUM(CC12:CD12,CF12:CH12,CJ12)-CE12-CI12&gt;0,SUM(CC12:CD12,CF12:CH12,CJ12)-CE12-CI12,"")</f>
        <v>48.499999999999993</v>
      </c>
      <c r="CZ12" s="76">
        <f>IF(SUM(CK12:CL12,CN12)-CM12&gt;0,SUM(CK12:CL12,CN12)-CM12,"")</f>
        <v>24.200000000000003</v>
      </c>
      <c r="DA12" s="76">
        <f>IF(SUM(CD12,CH12,CL12)&gt;0,SUM(CD12,CH12,CL12),"")</f>
        <v>18.8</v>
      </c>
      <c r="DB12" s="76">
        <f>IF(SUM(CY12,CZ12)&gt;0,SUM(CY12,CZ12),"")</f>
        <v>72.699999999999989</v>
      </c>
      <c r="DC12" s="76">
        <f>IF(SUM(CP12,CT12)&gt;0,SUM(CP12,CT12),"")</f>
        <v>9.3000000000000007</v>
      </c>
      <c r="DD12" s="76">
        <f>IF(SUM(CO12:CP12,CR12:CT12,CV12)-SUM(CQ12,CU12)&gt;0,SUM(CO12:CP12,CR12:CT12,CV12)-SUM(CQ12,CU12),"")</f>
        <v>42.4</v>
      </c>
      <c r="DE12" s="76">
        <f>IF(SUM(CY12,DD12)&gt;0,SUM(CY12,DD12),"")</f>
        <v>90.899999999999991</v>
      </c>
      <c r="DF12" s="87" t="str">
        <f>IF(L12&gt;=0.001,IF(MAX(ED12,FF12,GH12,HJ12,IL12,JN12,KP12,LR12,MT12,NV12,OX12,PZ12)-IF(L12="",0,L12)&gt;0.001,MAX(ED12,FF12,GH12,HJ12,IL12,JN12,KP12,LR12,MT12,NV12,OX12,PZ12)-IF(L12="",0,L12),""),"")</f>
        <v/>
      </c>
      <c r="DG12" s="87" t="str">
        <f>IF(P12&gt;=0.001,IF(MAX(EE12,FG12,GI12,HK12,IM12,JO12,KQ12,LS12,MU12,NW12,OY12,QA12)-IF(P12="",0,P12)&gt;0.001,MAX(EE12,FG12,GI12,HK12,IM12,JO12,KQ12,LS12,MU12,NW12,OY12,QA12)-IF(P12="",0,P12),""),"")</f>
        <v/>
      </c>
      <c r="DH12" s="87" t="str">
        <f>IF(R12&gt;=0.001,IF(MAX(EI12,FK12,GM12,HO12,IQ12,JS12,KU12,LW12,MY12,OA12,PC12,QE12)-IF(R12="",0,R12)&gt;0.001,MAX(EI12,FK12,GM12,HO12,IQ12,JS12,KU12,LW12,MY12,OA12,PC12,QE12)-IF(R12="",0,R12),""),"")</f>
        <v/>
      </c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76" t="str">
        <f>IF(SUM(DJ12,DN12)&gt;0,SUM(DJ12,DN12),"")</f>
        <v/>
      </c>
      <c r="ED12" s="76" t="str">
        <f>IF(SUM(DI12:DJ12,DL12:DN12,DP12)-DK12-DO12&gt;0,SUM(DI12:DJ12,DL12:DN12,DP12)-DK12-DO12,"")</f>
        <v/>
      </c>
      <c r="EE12" s="76" t="str">
        <f>IF(SUM(DQ12:DR12,DT12)-DS12&gt;0,SUM(DQ12:DR12,DT12)-DS12,"")</f>
        <v/>
      </c>
      <c r="EF12" s="76" t="str">
        <f>IF(SUM(DJ12,DN12,DR12)&gt;0,SUM(DJ12,DN12,DR12),"")</f>
        <v/>
      </c>
      <c r="EG12" s="76" t="str">
        <f>IF(SUM(ED12,EE12)&gt;0,SUM(ED12,EE12),"")</f>
        <v/>
      </c>
      <c r="EH12" s="76" t="str">
        <f>IF(SUM(DV12,DZ12)&gt;0,SUM(DV12,DZ12),"")</f>
        <v/>
      </c>
      <c r="EI12" s="76" t="str">
        <f>IF(SUM(DU12:DV12,DX12:DZ12,EB12)-SUM(DW12,EA12)&gt;0,SUM(DU12:DV12,DX12:DZ12,EB12)-SUM(DW12,EA12),"")</f>
        <v/>
      </c>
      <c r="EJ12" s="76" t="str">
        <f>IF(SUM(ED12,EI12)&gt;0,SUM(ED12,EI12),"")</f>
        <v/>
      </c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16" t="str">
        <f>IF(SUM(EL12,EP12)&gt;0,SUM(EL12,EP12),"")</f>
        <v/>
      </c>
      <c r="FF12" s="16" t="str">
        <f>IF(SUM(EK12:EL12,EN12:EP12,ER12)-EM12-EQ12&gt;0,SUM(EK12:EL12,EN12:EP12,ER12)-EM12-EQ12,"")</f>
        <v/>
      </c>
      <c r="FG12" s="16" t="str">
        <f>IF(SUM(ES12:ET12,EV12)-EU12&gt;0,SUM(ES12:ET12,EV12)-EU12,"")</f>
        <v/>
      </c>
      <c r="FH12" s="16" t="str">
        <f>IF(SUM(EL12,EP12,ET12)&gt;0,SUM(EL12,EP12,ET12),"")</f>
        <v/>
      </c>
      <c r="FI12" s="16" t="str">
        <f>IF(SUM(FF12,FG12)&gt;0,SUM(FF12,FG12),"")</f>
        <v/>
      </c>
      <c r="FJ12" s="16" t="str">
        <f>IF(SUM(EX12,FB12)&gt;0,SUM(EX12,FB12),"")</f>
        <v/>
      </c>
      <c r="FK12" s="16" t="str">
        <f>IF(SUM(EW12:EX12,EZ12:FB12,FD12)-SUM(EY12,FC12)&gt;0,SUM(EW12:EX12,EZ12:FB12,FD12)-SUM(EY12,FC12),"")</f>
        <v/>
      </c>
      <c r="FL12" s="16" t="str">
        <f>IF(SUM(FF12,FK12)&gt;0,SUM(FF12,FK12),"")</f>
        <v/>
      </c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76" t="str">
        <f>IF(SUM(FN12,FR12)&gt;0,SUM(FN12,FR12),"")</f>
        <v/>
      </c>
      <c r="GH12" s="76" t="str">
        <f>IF(SUM(FM12:FN12,FP12:FR12,FT12)-FO12-FS12&gt;0,SUM(FM12:FN12,FP12:FR12,FT12)-FO12-FS12,"")</f>
        <v/>
      </c>
      <c r="GI12" s="76" t="str">
        <f>IF(SUM(FU12:FV12,FX12)-FW12&gt;0,SUM(FU12:FV12,FX12)-FW12,"")</f>
        <v/>
      </c>
      <c r="GJ12" s="76" t="str">
        <f>IF(SUM(FN12,FR12,FV12)&gt;0,SUM(FN12,FR12,FV12),"")</f>
        <v/>
      </c>
      <c r="GK12" s="76" t="str">
        <f>IF(SUM(GH12,GI12)&gt;0,SUM(GH12,GI12),"")</f>
        <v/>
      </c>
      <c r="GL12" s="76" t="str">
        <f>IF(SUM(FZ12,GD12)&gt;0,SUM(FZ12,GD12),"")</f>
        <v/>
      </c>
      <c r="GM12" s="76" t="str">
        <f>IF(SUM(FY12:FZ12,GB12:GD12,GF12)-SUM(GA12,GE12)&gt;0,SUM(FY12:FZ12,GB12:GD12,GF12)-SUM(GA12,GE12),"")</f>
        <v/>
      </c>
      <c r="GN12" s="76" t="str">
        <f>IF(SUM(GH12,GM12)&gt;0,SUM(GH12,GM12),"")</f>
        <v/>
      </c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16" t="str">
        <f>IF(SUM(GP12,GT12)&gt;0,SUM(GP12,GT12),"")</f>
        <v/>
      </c>
      <c r="HJ12" s="16" t="str">
        <f>IF(SUM(GO12:GP12,GR12:GT12,GV12)-GQ12-GU12&gt;0,SUM(GO12:GP12,GR12:GT12,GV12)-GQ12-GU12,"")</f>
        <v/>
      </c>
      <c r="HK12" s="16" t="str">
        <f>IF(SUM(GW12:GX12,GZ12)-GY12&gt;0,SUM(GW12:GX12,GZ12)-GY12,"")</f>
        <v/>
      </c>
      <c r="HL12" s="16" t="str">
        <f>IF(SUM(GP12,GT12,GX12)&gt;0,SUM(GP12,GT12,GX12),"")</f>
        <v/>
      </c>
      <c r="HM12" s="16" t="str">
        <f>IF(SUM(HJ12,HK12)&gt;0,SUM(HJ12,HK12),"")</f>
        <v/>
      </c>
      <c r="HN12" s="16" t="str">
        <f>IF(SUM(HB12,HF12)&gt;0,SUM(HB12,HF12),"")</f>
        <v/>
      </c>
      <c r="HO12" s="16" t="str">
        <f>IF(SUM(HA12:HB12,HD12:HF12,HH12)-SUM(HC12,HG12)&gt;0,SUM(HA12:HB12,HD12:HF12,HH12)-SUM(HC12,HG12),"")</f>
        <v/>
      </c>
      <c r="HP12" s="16" t="str">
        <f>IF(SUM(HJ12,HO12)&gt;0,SUM(HJ12,HO12),"")</f>
        <v/>
      </c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76" t="str">
        <f>IF(SUM(HR12,HV12)&gt;0,SUM(HR12,HV12),"")</f>
        <v/>
      </c>
      <c r="IL12" s="76" t="str">
        <f>IF(SUM(HQ12:HR12,HT12:HV12,HX12)-HS12-HW12&gt;0,SUM(HQ12:HR12,HT12:HV12,HX12)-HS12-HW12,"")</f>
        <v/>
      </c>
      <c r="IM12" s="76" t="str">
        <f>IF(SUM(HY12:HZ12,IB12)-IA12&gt;0,SUM(HY12:HZ12,IB12)-IA12,"")</f>
        <v/>
      </c>
      <c r="IN12" s="76" t="str">
        <f>IF(SUM(HR12,HV12,HZ12)&gt;0,SUM(HR12,HV12,HZ12),"")</f>
        <v/>
      </c>
      <c r="IO12" s="76" t="str">
        <f>IF(SUM(IL12,IM12)&gt;0,SUM(IL12,IM12),"")</f>
        <v/>
      </c>
      <c r="IP12" s="76" t="str">
        <f>IF(SUM(ID12,IH12)&gt;0,SUM(ID12,IH12),"")</f>
        <v/>
      </c>
      <c r="IQ12" s="76" t="str">
        <f>IF(SUM(IC12:ID12,IF12:IH12,IJ12)-SUM(IE12,II12)&gt;0,SUM(IC12:ID12,IF12:IH12,IJ12)-SUM(IE12,II12),"")</f>
        <v/>
      </c>
      <c r="IR12" s="76" t="str">
        <f>IF(SUM(IL12,IQ12)&gt;0,SUM(IL12,IQ12),"")</f>
        <v/>
      </c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16" t="str">
        <f>IF(SUM(IT12,IX12)&gt;0,SUM(IT12,IX12),"")</f>
        <v/>
      </c>
      <c r="JN12" s="16" t="str">
        <f>IF(SUM(IS12:IT12,IV12:IX12,IZ12)-IU12-IY12&gt;0,SUM(IS12:IT12,IV12:IX12,IZ12)-IU12-IY12,"")</f>
        <v/>
      </c>
      <c r="JO12" s="16" t="str">
        <f>IF(SUM(JA12:JB12,JD12)-JC12&gt;0,SUM(JA12:JB12,JD12)-JC12,"")</f>
        <v/>
      </c>
      <c r="JP12" s="16" t="str">
        <f>IF(SUM(IT12,IX12,JB12)&gt;0,SUM(IT12,IX12,JB12),"")</f>
        <v/>
      </c>
      <c r="JQ12" s="16" t="str">
        <f>IF(SUM(JN12,JO12)&gt;0,SUM(JN12,JO12),"")</f>
        <v/>
      </c>
      <c r="JR12" s="16" t="str">
        <f>IF(SUM(JF12,JJ12)&gt;0,SUM(JF12,JJ12),"")</f>
        <v/>
      </c>
      <c r="JS12" s="16" t="str">
        <f>IF(SUM(JE12:JF12,JH12:JJ12,JL12)-SUM(JG12,JK12)&gt;0,SUM(JE12:JF12,JH12:JJ12,JL12)-SUM(JG12,JK12),"")</f>
        <v/>
      </c>
      <c r="JT12" s="16" t="str">
        <f>IF(SUM(JN12,JS12)&gt;0,SUM(JN12,JS12),"")</f>
        <v/>
      </c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76" t="str">
        <f>IF(SUM(JV12,JZ12)&gt;0,SUM(JV12,JZ12),"")</f>
        <v/>
      </c>
      <c r="KP12" s="76" t="str">
        <f>IF(SUM(JU12:JV12,JX12:JZ12,KB12)-JW12-KA12&gt;0,SUM(JU12:JV12,JX12:JZ12,KB12)-JW12-KA12,"")</f>
        <v/>
      </c>
      <c r="KQ12" s="76" t="str">
        <f>IF(SUM(KC12:KD12,KF12)-KE12&gt;0,SUM(KC12:KD12,KF12)-KE12,"")</f>
        <v/>
      </c>
      <c r="KR12" s="76" t="str">
        <f>IF(SUM(JV12,JZ12,KD12)&gt;0,SUM(JV12,JZ12,KD12),"")</f>
        <v/>
      </c>
      <c r="KS12" s="76" t="str">
        <f>IF(SUM(KP12,KQ12)&gt;0,SUM(KP12,KQ12),"")</f>
        <v/>
      </c>
      <c r="KT12" s="76" t="str">
        <f>IF(SUM(KH12,KL12)&gt;0,SUM(KH12,KL12),"")</f>
        <v/>
      </c>
      <c r="KU12" s="76" t="str">
        <f>IF(SUM(KG12:KH12,KJ12:KL12,KN12)-SUM(KI12,KM12)&gt;0,SUM(KG12:KH12,KJ12:KL12,KN12)-SUM(KI12,KM12),"")</f>
        <v/>
      </c>
      <c r="KV12" s="76" t="str">
        <f>IF(SUM(KP12,KU12)&gt;0,SUM(KP12,KU12),"")</f>
        <v/>
      </c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16" t="str">
        <f>IF(SUM(KX12,LB12)&gt;0,SUM(KX12,LB12),"")</f>
        <v/>
      </c>
      <c r="LR12" s="16" t="str">
        <f>IF(SUM(KW12:KX12,KZ12:LB12,LD12)-KY12-LC12&gt;0,SUM(KW12:KX12,KZ12:LB12,LD12)-KY12-LC12,"")</f>
        <v/>
      </c>
      <c r="LS12" s="16" t="str">
        <f>IF(SUM(LE12:LF12,LH12)-LG12&gt;0,SUM(LE12:LF12,LH12)-LG12,"")</f>
        <v/>
      </c>
      <c r="LT12" s="16" t="str">
        <f>IF(SUM(KX12,LB12,LF12)&gt;0,SUM(KX12,LB12,LF12),"")</f>
        <v/>
      </c>
      <c r="LU12" s="16" t="str">
        <f>IF(SUM(LR12,LS12)&gt;0,SUM(LR12,LS12),"")</f>
        <v/>
      </c>
      <c r="LV12" s="16" t="str">
        <f>IF(SUM(LJ12,LN12)&gt;0,SUM(LJ12,LN12),"")</f>
        <v/>
      </c>
      <c r="LW12" s="16" t="str">
        <f>IF(SUM(LI12:LJ12,LL12:LN12,LP12)-SUM(LK12,LO12)&gt;0,SUM(LI12:LJ12,LL12:LN12,LP12)-SUM(LK12,LO12),"")</f>
        <v/>
      </c>
      <c r="LX12" s="16" t="str">
        <f>IF(SUM(LR12,LW12)&gt;0,SUM(LR12,LW12),"")</f>
        <v/>
      </c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76" t="str">
        <f>IF(SUM(LZ12,MD12)&gt;0,SUM(LZ12,MD12),"")</f>
        <v/>
      </c>
      <c r="MT12" s="76" t="str">
        <f>IF(SUM(LY12:LZ12,MB12:MD12,MF12)-MA12-ME12&gt;0,SUM(LY12:LZ12,MB12:MD12,MF12)-MA12-ME12,"")</f>
        <v/>
      </c>
      <c r="MU12" s="76" t="str">
        <f>IF(SUM(MG12:MH12,MJ12)-MI12&gt;0,SUM(MG12:MH12,MJ12)-MI12,"")</f>
        <v/>
      </c>
      <c r="MV12" s="76" t="str">
        <f>IF(SUM(LZ12,MD12,MH12)&gt;0,SUM(LZ12,MD12,MH12),"")</f>
        <v/>
      </c>
      <c r="MW12" s="76" t="str">
        <f>IF(SUM(MT12,MU12)&gt;0,SUM(MT12,MU12),"")</f>
        <v/>
      </c>
      <c r="MX12" s="76" t="str">
        <f>IF(SUM(ML12,MP12)&gt;0,SUM(ML12,MP12),"")</f>
        <v/>
      </c>
      <c r="MY12" s="76" t="str">
        <f>IF(SUM(MK12:ML12,MN12:MP12,MR12)-SUM(MM12,MQ12)&gt;0,SUM(MK12:ML12,MN12:MP12,MR12)-SUM(MM12,MQ12),"")</f>
        <v/>
      </c>
      <c r="MZ12" s="76" t="str">
        <f>IF(SUM(MT12,MY12)&gt;0,SUM(MT12,MY12),"")</f>
        <v/>
      </c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16" t="str">
        <f>IF(SUM(NB12,NF12)&gt;0,SUM(NB12,NF12),"")</f>
        <v/>
      </c>
      <c r="NV12" s="16" t="str">
        <f>IF(SUM(NA12:NB12,ND12:NF12,NH12)-NC12-NG12&gt;0,SUM(NA12:NB12,ND12:NF12,NH12)-NC12-NG12,"")</f>
        <v/>
      </c>
      <c r="NW12" s="16" t="str">
        <f>IF(SUM(NI12:NJ12,NL12)-NK12&gt;0,SUM(NI12:NJ12,NL12)-NK12,"")</f>
        <v/>
      </c>
      <c r="NX12" s="16" t="str">
        <f>IF(SUM(NB12,NF12,NJ12)&gt;0,SUM(NB12,NF12,NJ12),"")</f>
        <v/>
      </c>
      <c r="NY12" s="16" t="str">
        <f>IF(SUM(NV12,NW12)&gt;0,SUM(NV12,NW12),"")</f>
        <v/>
      </c>
      <c r="NZ12" s="16" t="str">
        <f>IF(SUM(NN12,NR12)&gt;0,SUM(NN12,NR12),"")</f>
        <v/>
      </c>
      <c r="OA12" s="16" t="str">
        <f>IF(SUM(NM12:NN12,NP12:NR12,NT12)-SUM(NO12,NS12)&gt;0,SUM(NM12:NN12,NP12:NR12,NT12)-SUM(NO12,NS12),"")</f>
        <v/>
      </c>
      <c r="OB12" s="16" t="str">
        <f>IF(SUM(NV12,OA12)&gt;0,SUM(NV12,OA12),"")</f>
        <v/>
      </c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76" t="str">
        <f>IF(SUM(OD12,OH12)&gt;0,SUM(OD12,OH12),"")</f>
        <v/>
      </c>
      <c r="OX12" s="76" t="str">
        <f>IF(SUM(OC12:OD12,OF12:OH12,OJ12)-OE12-OI12&gt;0,SUM(OC12:OD12,OF12:OH12,OJ12)-OE12-OI12,"")</f>
        <v/>
      </c>
      <c r="OY12" s="76" t="str">
        <f>IF(SUM(OK12:OL12,ON12)-OM12&gt;0,SUM(OK12:OL12,ON12)-OM12,"")</f>
        <v/>
      </c>
      <c r="OZ12" s="76" t="str">
        <f>IF(SUM(OD12,OH12,OL12)&gt;0,SUM(OD12,OH12,OL12),"")</f>
        <v/>
      </c>
      <c r="PA12" s="76" t="str">
        <f>IF(SUM(OX12,OY12)&gt;0,SUM(OX12,OY12),"")</f>
        <v/>
      </c>
      <c r="PB12" s="76" t="str">
        <f>IF(SUM(OP12,OT12)&gt;0,SUM(OP12,OT12),"")</f>
        <v/>
      </c>
      <c r="PC12" s="76" t="str">
        <f>IF(SUM(OO12:OP12,OR12:OT12,OV12)-SUM(OQ12,OU12)&gt;0,SUM(OO12:OP12,OR12:OT12,OV12)-SUM(OQ12,OU12),"")</f>
        <v/>
      </c>
      <c r="PD12" s="76" t="str">
        <f>IF(SUM(OX12,PC12)&gt;0,SUM(OX12,PC12),"")</f>
        <v/>
      </c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16" t="str">
        <f>IF(SUM(PF12,PJ12)&gt;0,SUM(PF12,PJ12),"")</f>
        <v/>
      </c>
      <c r="PZ12" s="16" t="str">
        <f>IF(SUM(PE12:PF12,PH12:PJ12,PL12)-PG12-PK12&gt;0,SUM(PE12:PF12,PH12:PJ12,PL12)-PG12-PK12,"")</f>
        <v/>
      </c>
      <c r="QA12" s="16" t="str">
        <f>IF(SUM(PM12:PN12,PP12)-PO12&gt;0,SUM(PM12:PN12,PP12)-PO12,"")</f>
        <v/>
      </c>
      <c r="QB12" s="16" t="str">
        <f>IF(SUM(PF12,PJ12,PN12)&gt;0,SUM(PF12,PJ12,PN12),"")</f>
        <v/>
      </c>
      <c r="QC12" s="16" t="str">
        <f>IF(SUM(PZ12,QA12)&gt;0,SUM(PZ12,QA12),"")</f>
        <v/>
      </c>
      <c r="QD12" s="16" t="str">
        <f>IF(SUM(PR12,PV12)&gt;0,SUM(PR12,PV12),"")</f>
        <v/>
      </c>
      <c r="QE12" s="16" t="str">
        <f>IF(SUM(PQ12:PR12,PT12:PV12,PX12)-SUM(PS12,PW12)&gt;0,SUM(PQ12:PR12,PT12:PV12,PX12)-SUM(PS12,PW12),"")</f>
        <v/>
      </c>
      <c r="QF12" s="16" t="str">
        <f>IF(SUM(PZ12,QE12)&gt;0,SUM(PZ12,QE12),"")</f>
        <v/>
      </c>
      <c r="QG12" s="42">
        <f>IF($CW12="P",CC12,(CC12+AZ12)/2)</f>
        <v>9.1</v>
      </c>
      <c r="QH12" s="42">
        <f>IF($CW12="P",CD12,(CD12+BA12)/2)</f>
        <v>3</v>
      </c>
      <c r="QI12" s="42">
        <f>IF($CW12="P",CE12,(CE12+BB12)/2)</f>
        <v>0.1</v>
      </c>
      <c r="QJ12" s="42">
        <f>IF($CW12="P",CF12,(CF12+BC12)/2)</f>
        <v>0</v>
      </c>
      <c r="QK12" s="42">
        <f>IF($CW12="P",CG12,(CG12+BD12)/2)</f>
        <v>9.15</v>
      </c>
      <c r="QL12" s="42">
        <f>IF($CW12="P",CH12,(CH12+BE12)/2)</f>
        <v>3.2</v>
      </c>
      <c r="QM12" s="42">
        <f>IF($CW12="P",CI12,(CI12+BF12)/2)</f>
        <v>0.1</v>
      </c>
      <c r="QN12" s="42">
        <f>IF($CW12="P",CJ12,(CJ12+BG12)/2)</f>
        <v>0</v>
      </c>
      <c r="QO12" s="42">
        <f>IF($CW12="P",CK12,(CK12+BH12)/2)</f>
        <v>9.4</v>
      </c>
      <c r="QP12" s="42">
        <f>IF($CW12="P",CL12,(CL12+BI12)/2)</f>
        <v>3.2</v>
      </c>
      <c r="QQ12" s="42">
        <f>IF($CW12="P",CM12,(CM12+BJ12)/2)</f>
        <v>0.5</v>
      </c>
      <c r="QR12" s="42">
        <f>IF($CW12="P",CN12,(CN12+BK12)/2)</f>
        <v>0</v>
      </c>
      <c r="QS12" s="42">
        <f>IF($CW12="P",CO12,(CO12+BL12)/2)</f>
        <v>9.15</v>
      </c>
      <c r="QT12" s="42">
        <f>IF($CW12="P",CP12,(CP12+BM12)/2)</f>
        <v>2.8</v>
      </c>
      <c r="QU12" s="42">
        <f>IF($CW12="P",CQ12,(CQ12+BN12)/2)</f>
        <v>0.3</v>
      </c>
      <c r="QV12" s="42">
        <f>IF($CW12="P",CR12,(CR12+BO12)/2)</f>
        <v>0</v>
      </c>
      <c r="QW12" s="42">
        <f>IF($CW12="P",CS12,(CS12+BP12)/2)</f>
        <v>8.9499999999999993</v>
      </c>
      <c r="QX12" s="42">
        <f>IF($CW12="P",CT12,(CT12+BQ12)/2)</f>
        <v>1.85</v>
      </c>
      <c r="QY12" s="42">
        <f>IF($CW12="P",CU12,(CU12+BR12)/2)</f>
        <v>1.25</v>
      </c>
      <c r="QZ12" s="42">
        <f>IF($CW12="P",CV12,(CV12+BS12)/2)</f>
        <v>0</v>
      </c>
      <c r="RA12" s="51" t="s">
        <v>61</v>
      </c>
      <c r="RB12" s="76">
        <f>IF(SUM(QH12,QL12)&gt;0,SUM(QH12,QL12),"")</f>
        <v>6.2</v>
      </c>
      <c r="RC12" s="76">
        <f>IF(SUM(QG12:QH12,QJ12:QL12,QN12)-QI12-QM12&gt;0,SUM(QG12:QH12,QJ12:QL12,QN12)-QI12-QM12,"")</f>
        <v>24.249999999999996</v>
      </c>
      <c r="RD12" s="76">
        <f>IF(SUM(QO12:QP12,QR12)-QQ12&gt;0,SUM(QO12:QP12,QR12)-QQ12,"")</f>
        <v>12.100000000000001</v>
      </c>
      <c r="RE12" s="76">
        <f>IF(SUM(QH12,QL12,QP12)&gt;0,SUM(QH12,QL12,QP12),"")</f>
        <v>9.4</v>
      </c>
      <c r="RF12" s="76">
        <f>IF(SUM(RC12,RD12)&gt;0,SUM(RC12,RD12),"")</f>
        <v>36.349999999999994</v>
      </c>
      <c r="RG12" s="76">
        <f>IF(SUM(QT12,QX12)&gt;0,SUM(QT12,QX12),"")</f>
        <v>4.6500000000000004</v>
      </c>
      <c r="RH12" s="76">
        <f>IF(SUM(QS12:QT12,QV12:QX12,QZ12)-SUM(QU12,QY12)&gt;0,SUM(QS12:QT12,QV12:QX12,QZ12)-SUM(QU12,QY12),"")</f>
        <v>21.2</v>
      </c>
      <c r="RI12" s="76">
        <f>IF(SUM(RC12,RH12)&gt;0,SUM(RC12,RH12),"")</f>
        <v>45.449999999999996</v>
      </c>
    </row>
    <row r="13" spans="1:477" x14ac:dyDescent="0.2">
      <c r="A13" s="5" t="str">
        <f>IF(AND(F13="P",G13="P"),SUMPRODUCT((F$4:F$18="P")*(G$4:G$18="P")*(E$4:E$18&gt;E13))+1,IF(G13="P",SUMPRODUCT((F$4:F$18="")*(G$4:G$18="P")*(E$4:E$18&gt;E13))+1+SUMPRODUCT((F$4:F$18="P")*(G$4:G$18="P")),""))</f>
        <v/>
      </c>
      <c r="B13" s="6" t="s">
        <v>94</v>
      </c>
      <c r="C13" s="7" t="s">
        <v>5</v>
      </c>
      <c r="D13" s="18">
        <v>2003</v>
      </c>
      <c r="E13" s="14">
        <f>SUM(J13:T13)+SUM(J13:P13)*0.0000001+SUM(J13)*0.0000000000001</f>
        <v>112.60002696000699</v>
      </c>
      <c r="F13" s="3" t="str">
        <f>IF(OR(AND(AR13&gt;=AY$20,AS13&gt;=AY$24,AR13&lt;&gt;"",AQ13=""),AND(AW13&gt;=AY$20,AX13&gt;=AY$24,AW13&lt;&gt;"",AQ13=""),AND(BU13&gt;=CB$20,BV13&gt;=CB$24,BU13&lt;&gt;"",BT13=""),AND(BZ13&gt;=CB$20,CA13&gt;=CB$24,BZ13&lt;&gt;"",BT13=""),AND(CX13&gt;=DE$20,CY13&gt;=DE$24,CX13&lt;&gt;"",CW13=""),AND(DC13&gt;=DE$20,DD13&gt;=DE$24,DC13&lt;&gt;""),AND(EC13&gt;=EJ$20,ED13&gt;=EJ$24,EC13&lt;&gt;""),AND(EH13&gt;=EJ$20,EI13&gt;=EJ$24,EH13&lt;&gt;""),AND(FE13&gt;=FL$20,FF13&gt;=FL$24,FE13&lt;&gt;""),AND(FJ13&gt;=FL$20,FK13&gt;=FL$24,FJ13&lt;&gt;""),AND(GG13&gt;=GN$20,GH13&gt;=GN$24,GG13&lt;&gt;""),AND(GL13&gt;=GN$20,GM13&gt;=GN$24,GL13&lt;&gt;""),AND(HI13&gt;=HP$20,HJ13&gt;=HP$24,HI13&lt;&gt;""),AND(HN13&gt;=HP$20,HO13&gt;=HP$24,HN13&lt;&gt;""),AND(IK13&gt;=IR$20,IL13&gt;=IR$24,IK13&lt;&gt;""),AND(IP13&gt;=IR$20,IQ13&gt;=IR$24,IP13&lt;&gt;""),AND(JM13&gt;=JT$20,JN13&gt;=JT$24,JM13&lt;&gt;""),AND(JR13&gt;=JT$20,JS13&gt;=JT$24,JR13&lt;&gt;""),AND(KO13&gt;=KV$20,KP13&gt;=KV$24,KO13&lt;&gt;""),AND(KT13&gt;=KV$20,KU13&gt;=KV$24,KT13&lt;&gt;""),AND(LQ13&gt;=LX$20,LR13&gt;=LX$24,LQ13&lt;&gt;""),AND(LV13&gt;=LX$20,LW13&gt;=LX$24,LV13&lt;&gt;""),AND(MS13&gt;=MZ$20,MT13&gt;=MZ$24,MS13&lt;&gt;""),AND(MX13&gt;=MZ$20,MY13&gt;=MZ$24,MX13&lt;&gt;""),AND(NU13&gt;=OB$20,NV13&gt;=OB$24,NU13&lt;&gt;""),AND(NZ13&gt;=OB$20,OA13&gt;=OB$24,NZ13&lt;&gt;""),AND(OW13&gt;=PD$20,OX13&gt;=PD$24,OW13&lt;&gt;""),AND(PB13&gt;=PD$20,PC13&gt;=PD$24,PB13&lt;&gt;""),AND(PY13&gt;=QF$20,PZ13&gt;=QF$24,PY13&lt;&gt;""),AND(QD13&gt;=QF$20,QE13&gt;=QF$24,QD13&lt;&gt;"")),"P","")</f>
        <v/>
      </c>
      <c r="G13" s="3" t="str">
        <f>IF(OR(AND(AS13&gt;=AY$24,AS13&lt;&gt;"",AQ13=""),AND(AX13&gt;=AY$24,AX13&lt;&gt;"",AQ13=""),AND(BV13&gt;=CB$24,BV13&lt;&gt;"",BT13=""),AND(CA13&gt;=CB$24,CA13&lt;&gt;"",BT13=""),AND(CY13&gt;=DE$24,CY13&lt;&gt;"",CW13=""),AND(DD13&gt;=DE$24,DD13&lt;&gt;"",CW13=""),AND(ED13&gt;=EJ$24,ED13&lt;&gt;""),AND(EI13&gt;=EJ$24,EI13&lt;&gt;""),AND(FF13&gt;=FL$24,FF13&lt;&gt;""),AND(FK13&gt;=FL$24,FK13&lt;&gt;""),AND(GH13&gt;=GN$24,GH13&lt;&gt;""),AND(GM13&gt;=GN$24,GM13&lt;&gt;""),AND(HJ13&gt;=HP$24,HJ13&lt;&gt;""),AND(HO13&gt;=HP$24,HO13&lt;&gt;""),AND(IL13&gt;=IR$24,IL13&lt;&gt;""),AND(IQ13&gt;=IR$24,IQ13&lt;&gt;""),AND(JN13&gt;=JT$24,JN13&lt;&gt;""),AND(JS13&gt;=JT$24,JS13&lt;&gt;""),AND(KP13&gt;=KV$24,KP13&lt;&gt;""),AND(KU13&gt;=KV$24,KU13&lt;&gt;""),AND(LR13&gt;=LX$24,LR13&lt;&gt;""),AND(LW13&gt;=LX$24,LW13&lt;&gt;""),AND(MT13&gt;=MZ$24,MT13&lt;&gt;""),AND(MY13&gt;=MZ$24,MY13&lt;&gt;""),AND(NV13&gt;=OB$24,NV13&lt;&gt;""),AND(OA13&gt;=OB$24,OA13&lt;&gt;""),AND(OX13&gt;=PD$24,OX13&lt;&gt;""),AND(PC13&gt;=PD$24,PC13&lt;&gt;""),AND(PZ13&gt;=QF$24,PZ13&lt;&gt;""),AND(QE13&gt;=QF$24,QE13&lt;&gt;"")),"P","")</f>
        <v/>
      </c>
      <c r="H13" s="70" t="str">
        <f>IF(AND(G13="P",F13=""),"No DD",IF(OR(AND(AU13&gt;=AY$23,AV13&gt;=AY$27,AU13&lt;&gt;"",AQ13=""),AND(BX13&gt;=CB$23,BY13&gt;=CB$27,BX13&lt;&gt;"",BT13=""),AND(DA13&gt;=DE$23,DB13&gt;=DE$27,DA13&lt;&gt;"",CW13=""),AND(EF13&gt;=EJ$23,EG13&gt;=EJ$27,EF13&lt;&gt;""),AND(FH13&gt;=FL$23,FI13&gt;=FL$27,FH13&lt;&gt;""),AND(GJ13&gt;=GN$23,GK13&gt;=GN$27,GJ13&lt;&gt;""),AND(HL13&gt;=HP$23,HM13&gt;=HP$27,HL13&lt;&gt;""),AND(IN13&gt;=IR$23,IO13&gt;=IR$27,IN13&lt;&gt;""),AND(JP13&gt;=JT$23,JQ13&gt;=JT$27,JP13&lt;&gt;""),AND(KR13&gt;=KV$23,KS13&gt;=KV$27,KR13&lt;&gt;""),AND(LT13&gt;=LX$23,LU13&gt;=LX$27,LT13&lt;&gt;""),AND(MV13&gt;=MZ$23,MW13&gt;=MZ$27,MV13&lt;&gt;""),AND(NX13&gt;=OB$23,NY13&gt;=OB$27,NX13&lt;&gt;""),AND(OZ13&gt;=PD$23,PA13&gt;=PD$27,OZ13&lt;&gt;""),AND(QB13&gt;=QF$23,QC13&gt;=QF$27,QB13&lt;&gt;"")),"Merit",IF(OR(AND(AU13&gt;=AY$22,AV13&gt;=AY$26,AU13&lt;&gt;"",AQ13=""),AND(BX13&gt;=CB$22,BY13&gt;=CB$26,BX13&lt;&gt;"",BT13=""),AND(DA13&gt;=DE$22,DB13&gt;=DE$26,DA13&lt;&gt;"",CW13=""),AND(EF13&gt;=EJ$22,EG13&gt;=EJ$26,EF13&lt;&gt;""),AND(FH13&gt;=FL$22,FI13&gt;=FL$26,FH13&lt;&gt;""),AND(GJ13&gt;=GN$22,GK13&gt;=GN$26,GJ13&lt;&gt;""),AND(HL13&gt;=HP$22,HM13&gt;=HP$26,HL13&lt;&gt;""),AND(IN13&gt;=IR$22,IO13&gt;=IR$26,IN13&lt;&gt;""),AND(JP13&gt;=JT$22,JQ13&gt;=JT$26,JP13&lt;&gt;""),AND(KR13&gt;=KV$22,KS13&gt;=KV$26,KR13&lt;&gt;""),AND(LT13&gt;=LX$22,LU13&gt;=LX$26,LT13&lt;&gt;""),AND(MV13&gt;=MZ$22,MW13&gt;=MZ$26,MV13&lt;&gt;""),AND(NX13&gt;=OB$22,NY13&gt;=OB$26,NX13&lt;&gt;""),AND(OZ13&gt;=PD$22,PA13&gt;=PD$26,OZ13&lt;&gt;""),AND(QB13&gt;=QF$22,QC13&gt;=QF$26,QB13&lt;&gt;"")),"Excellence",IF(I13="P","Worlds Team",IF(F13="P","National Team","")))))</f>
        <v/>
      </c>
      <c r="I13" s="3" t="str">
        <f>IF(OR(AND(AU13&gt;=AY$21,AV13&gt;=AY$25,AU13&lt;&gt;"",AQ13=""),AND(BX13&gt;=CB$21,BY13&gt;=CB$25,BX13&lt;&gt;"",BT13=""),AND(DA13&gt;=DE$21,DB13&gt;=DE$25,DA13&lt;&gt;"",CW13=""),AND(EF13&gt;=EJ$21,EG13&gt;=EJ$25,EF13&lt;&gt;""),AND(FH13&gt;=FL$21,FI13&gt;=FL$25,FH13&lt;&gt;""),AND(GJ13&gt;=GN$21,GK13&gt;=GN$25,GJ13&lt;&gt;""),AND(HL13&gt;=HP$21,HM13&gt;=HP$25,HL13&lt;&gt;""),AND(IN13&gt;=IR$21,IO13&gt;=IR$25,IN13&lt;&gt;""),AND(JP13&gt;=JT$21,JQ13&gt;=JT$25,JP13&lt;&gt;""),AND(KR13&gt;=KV$21,KS13&gt;=KV$25,KR13&lt;&gt;""),AND(LT13&gt;=LX$21,LU13&gt;=LX$25,LT13&lt;&gt;""),AND(MV13&gt;=MZ$21,MW13&gt;=MZ$25,MV13&lt;&gt;""),AND(NX13&gt;=OB$21,NY13&gt;=OB$25,NX13&lt;&gt;""),AND(OZ13&gt;=PD$21,PA13&gt;=PD$25,OZ13&lt;&gt;""),AND(QB13&gt;=QF$21,QC13&gt;=QF$25,QB13&lt;&gt;"")),"P","")</f>
        <v/>
      </c>
      <c r="J13" s="13">
        <f>IF(COUNT(AS13,BV13,CY13)&gt;0,LARGE((AS13,BV13,CY13),1),0)</f>
        <v>49.900000000000013</v>
      </c>
      <c r="K13" s="13" t="str">
        <f>IF(J13=0,"",IF(J13=CY13,$CC$1,IF(J13=BV13,$AZ$1,IF(J13=AS13,$W$1,""))))</f>
        <v>2022 Elite Canada</v>
      </c>
      <c r="L13" s="13">
        <f>IF(COUNT(AS13,BV13,CY13)&gt;1,LARGE((AS13,BV13,CY13),2),0)</f>
        <v>2.0000000000000002E-5</v>
      </c>
      <c r="M13" s="13" t="str">
        <f>IF(L13=0,"",IF(L13=CY13,$CC$1,IF(L13=BV13,$AZ$1,IF(L13=AS13,$W$1,""))))</f>
        <v>2021 Elite Canada</v>
      </c>
      <c r="N13" s="13">
        <f>IF(COUNT(AT13,BW13,CZ13)&gt;0,LARGE((AT13,BW13,CZ13),1),0)</f>
        <v>19.7</v>
      </c>
      <c r="O13" s="13" t="str">
        <f>IF(N13=0,"",IF(N13=CZ13,$CC$1,IF(N13=BW13,$AZ$1,IF(N13=AT13,$W$1,""))))</f>
        <v>2022 Elite Canada</v>
      </c>
      <c r="P13" s="13">
        <f>IF(COUNT(AT13,BW13,CZ13)&gt;1,LARGE((AT13,BW13,CZ13),2),0)</f>
        <v>0</v>
      </c>
      <c r="Q13" s="13" t="str">
        <f>IF(P13=0,"",IF(P13=CZ13,$CC$1,IF(P13=BW13,$AZ$1,IF(P13=AT13,$W$1,""))))</f>
        <v/>
      </c>
      <c r="R13" s="13">
        <f>IF(MAX(AX13,CA13,DD13)&gt;0,MAX(AX13,CA13,DD13),0)</f>
        <v>42.999999999999993</v>
      </c>
      <c r="S13" s="13" t="str">
        <f>IF(R13=0,"",IF(R13=DD13,$CC$1,IF(R13=CA13,$AZ$1,IF(R13=AX13,$W$1,""))))</f>
        <v>2022 Elite Canada</v>
      </c>
      <c r="T13" s="13" t="str">
        <f>IF(MAX(DF13:DH13)&gt;0,MAX(DF13:DH13),"")</f>
        <v/>
      </c>
      <c r="U13" s="16" t="str">
        <f>IF(T13="","",IF(T13=DF13,"("&amp;DF$2&amp;")",IF(T13=DH13,"("&amp;DH$2&amp;")")))</f>
        <v/>
      </c>
      <c r="V13" s="13" t="str">
        <f>IF(T13="","",IF(T13=DF13,IF(T13+IF(L13="",0,L13)=PZ13,$PE$1,IF(T13+IF(L13="",0,L13)=OX13,$OC$1,IF(T13+IF(L13="",0,L13)=NV13,$NA$1,IF(T13+IF(L13="",0,L13)=MT13,$LY$1,IF(T13+IF(L13="",0,L13)=LR13,$KW$1,IF(T13+IF(L13="",0,L13)=KP13,$JU$1,IF(T13+IF(L13="",0,L13)=JN13,$IS$1,IF(T13+IF(L13="",0,L13)=IL13,$HQ$1,IF(T13+IF(L13="",0,L13)=HJ13,$GO$1,IF(T13+IF(L13="",0,L13)=GH13,$FM$1,IF(T13+IF(L13="",0,L13)=FF13,$EK$1,IF(T13+IF(L13="",0,L13)=ED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</f>
        <v/>
      </c>
      <c r="W13" s="27"/>
      <c r="X13" s="27">
        <v>2.0000000000000002E-5</v>
      </c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51"/>
      <c r="AR13" s="76">
        <f>IF(SUM(X13,AB13)&gt;0,SUM(X13,AB13),"")</f>
        <v>2.0000000000000002E-5</v>
      </c>
      <c r="AS13" s="76">
        <f>IF(SUM(W13:X13,Z13:AB13,AD13)-Y13-AC13&gt;0,SUM(W13:X13,Z13:AB13,AD13)-Y13-AC13,"")</f>
        <v>2.0000000000000002E-5</v>
      </c>
      <c r="AT13" s="76" t="str">
        <f>IF(SUM(AE13:AF13,AH13)-AG13&gt;0,SUM(AE13:AF13,AH13)-AG13,"")</f>
        <v/>
      </c>
      <c r="AU13" s="76">
        <f>IF(SUM(X13,AB13,AF13)&gt;0,SUM(X13,AB13,AF13),"")</f>
        <v>2.0000000000000002E-5</v>
      </c>
      <c r="AV13" s="76">
        <f>IF(SUM(AS13,AT13)&gt;0,SUM(AS13,AT13),"")</f>
        <v>2.0000000000000002E-5</v>
      </c>
      <c r="AW13" s="76" t="str">
        <f>IF(SUM(AJ13,AN13)&gt;0,SUM(AJ13,AN13),"")</f>
        <v/>
      </c>
      <c r="AX13" s="76" t="str">
        <f>IF(SUM(AI13:AJ13,AL13:AN13,AP13)-SUM(AK13,AO13)&gt;0,SUM(AI13:AJ13,AL13:AN13,AP13)-SUM(AK13,AO13),"")</f>
        <v/>
      </c>
      <c r="AY13" s="76">
        <f>IF(SUM(AS13,AX13)&gt;0,SUM(AS13,AX13),"")</f>
        <v>2.0000000000000002E-5</v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52"/>
      <c r="BU13" s="16" t="str">
        <f>IF(SUM(BA13,BE13)&gt;0,SUM(BA13,BE13),"")</f>
        <v/>
      </c>
      <c r="BV13" s="16" t="str">
        <f>IF(SUM(AZ13:BA13,BC13:BE13,BG13)-BB13-BF13&gt;0,SUM(AZ13:BA13,BC13:BE13,BG13)-BB13-BF13,"")</f>
        <v/>
      </c>
      <c r="BW13" s="16" t="str">
        <f>IF(SUM(BH13:BI13,BK13)-BJ13&gt;0,SUM(BH13:BI13,BK13)-BJ13,"")</f>
        <v/>
      </c>
      <c r="BX13" s="16" t="str">
        <f>IF(SUM(BA13,BE13,BI13)&gt;0,SUM(BA13,BE13,BI13),"")</f>
        <v/>
      </c>
      <c r="BY13" s="16" t="str">
        <f>IF(SUM(BV13,BW13)&gt;0,SUM(BV13,BW13),"")</f>
        <v/>
      </c>
      <c r="BZ13" s="16" t="str">
        <f>IF(SUM(BM13,BQ13)&gt;0,SUM(BM13,BQ13),"")</f>
        <v/>
      </c>
      <c r="CA13" s="16" t="str">
        <f>IF(SUM(BL13:BM13,BO13:BQ13,BS13)-SUM(BN13,BR13)&gt;0,SUM(BL13:BM13,BO13:BQ13,BS13)-SUM(BN13,BR13),"")</f>
        <v/>
      </c>
      <c r="CB13" s="16" t="str">
        <f>IF(SUM(BV13,CA13)&gt;0,SUM(BV13,CA13),"")</f>
        <v/>
      </c>
      <c r="CC13" s="27">
        <v>18.600000000000001</v>
      </c>
      <c r="CD13" s="27">
        <v>7.6</v>
      </c>
      <c r="CE13" s="27">
        <v>0.8</v>
      </c>
      <c r="CF13" s="27">
        <v>0</v>
      </c>
      <c r="CG13" s="27">
        <v>18.100000000000001</v>
      </c>
      <c r="CH13" s="27">
        <v>7.2</v>
      </c>
      <c r="CI13" s="27">
        <v>0.8</v>
      </c>
      <c r="CJ13" s="27">
        <v>0</v>
      </c>
      <c r="CK13" s="27">
        <v>17.3</v>
      </c>
      <c r="CL13" s="27">
        <v>2.4</v>
      </c>
      <c r="CM13" s="27">
        <v>0</v>
      </c>
      <c r="CN13" s="27">
        <v>0</v>
      </c>
      <c r="CO13" s="27">
        <v>18.5</v>
      </c>
      <c r="CP13" s="27">
        <v>6.8</v>
      </c>
      <c r="CQ13" s="27">
        <v>0.2</v>
      </c>
      <c r="CR13" s="27">
        <v>0</v>
      </c>
      <c r="CS13" s="27">
        <v>18.5</v>
      </c>
      <c r="CT13" s="27">
        <v>2.8</v>
      </c>
      <c r="CU13" s="27">
        <v>3.4</v>
      </c>
      <c r="CV13" s="27">
        <v>0</v>
      </c>
      <c r="CW13" s="51"/>
      <c r="CX13" s="76">
        <f>IF(SUM(CD13,CH13)&gt;0,SUM(CD13,CH13),"")</f>
        <v>14.8</v>
      </c>
      <c r="CY13" s="76">
        <f>IF(SUM(CC13:CD13,CF13:CH13,CJ13)-CE13-CI13&gt;0,SUM(CC13:CD13,CF13:CH13,CJ13)-CE13-CI13,"")</f>
        <v>49.900000000000013</v>
      </c>
      <c r="CZ13" s="76">
        <f>IF(SUM(CK13:CL13,CN13)-CM13&gt;0,SUM(CK13:CL13,CN13)-CM13,"")</f>
        <v>19.7</v>
      </c>
      <c r="DA13" s="76">
        <f>IF(SUM(CD13,CH13,CL13)&gt;0,SUM(CD13,CH13,CL13),"")</f>
        <v>17.2</v>
      </c>
      <c r="DB13" s="76">
        <f>IF(SUM(CY13,CZ13)&gt;0,SUM(CY13,CZ13),"")</f>
        <v>69.600000000000009</v>
      </c>
      <c r="DC13" s="76">
        <f>IF(SUM(CP13,CT13)&gt;0,SUM(CP13,CT13),"")</f>
        <v>9.6</v>
      </c>
      <c r="DD13" s="76">
        <f>IF(SUM(CO13:CP13,CR13:CT13,CV13)-SUM(CQ13,CU13)&gt;0,SUM(CO13:CP13,CR13:CT13,CV13)-SUM(CQ13,CU13),"")</f>
        <v>42.999999999999993</v>
      </c>
      <c r="DE13" s="76">
        <f>IF(SUM(CY13,DD13)&gt;0,SUM(CY13,DD13),"")</f>
        <v>92.9</v>
      </c>
      <c r="DF13" s="87" t="str">
        <f>IF(L13&gt;=0.001,IF(MAX(ED13,FF13,GH13,HJ13,IL13,JN13,KP13,LR13,MT13,NV13,OX13,PZ13)-IF(L13="",0,L13)&gt;0.001,MAX(ED13,FF13,GH13,HJ13,IL13,JN13,KP13,LR13,MT13,NV13,OX13,PZ13)-IF(L13="",0,L13),""),"")</f>
        <v/>
      </c>
      <c r="DG13" s="87" t="str">
        <f>IF(P13&gt;=0.001,IF(MAX(EE13,FG13,GI13,HK13,IM13,JO13,KQ13,LS13,MU13,NW13,OY13,QA13)-IF(P13="",0,P13)&gt;0.001,MAX(EE13,FG13,GI13,HK13,IM13,JO13,KQ13,LS13,MU13,NW13,OY13,QA13)-IF(P13="",0,P13),""),"")</f>
        <v/>
      </c>
      <c r="DH13" s="87" t="str">
        <f>IF(R13&gt;=0.001,IF(MAX(EI13,FK13,GM13,HO13,IQ13,JS13,KU13,LW13,MY13,OA13,PC13,QE13)-IF(R13="",0,R13)&gt;0.001,MAX(EI13,FK13,GM13,HO13,IQ13,JS13,KU13,LW13,MY13,OA13,PC13,QE13)-IF(R13="",0,R13),""),"")</f>
        <v/>
      </c>
      <c r="DI13" s="25"/>
      <c r="DJ13" s="25">
        <v>2.0000000000000002E-5</v>
      </c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76">
        <f>IF(SUM(DJ13,DN13)&gt;0,SUM(DJ13,DN13),"")</f>
        <v>2.0000000000000002E-5</v>
      </c>
      <c r="ED13" s="76">
        <f>IF(SUM(DI13:DJ13,DL13:DN13,DP13)-DK13-DO13&gt;0,SUM(DI13:DJ13,DL13:DN13,DP13)-DK13-DO13,"")</f>
        <v>2.0000000000000002E-5</v>
      </c>
      <c r="EE13" s="76" t="str">
        <f>IF(SUM(DQ13:DR13,DT13)-DS13&gt;0,SUM(DQ13:DR13,DT13)-DS13,"")</f>
        <v/>
      </c>
      <c r="EF13" s="76">
        <f>IF(SUM(DJ13,DN13,DR13)&gt;0,SUM(DJ13,DN13,DR13),"")</f>
        <v>2.0000000000000002E-5</v>
      </c>
      <c r="EG13" s="76">
        <f>IF(SUM(ED13,EE13)&gt;0,SUM(ED13,EE13),"")</f>
        <v>2.0000000000000002E-5</v>
      </c>
      <c r="EH13" s="76" t="str">
        <f>IF(SUM(DV13,DZ13)&gt;0,SUM(DV13,DZ13),"")</f>
        <v/>
      </c>
      <c r="EI13" s="76" t="str">
        <f>IF(SUM(DU13:DV13,DX13:DZ13,EB13)-SUM(DW13,EA13)&gt;0,SUM(DU13:DV13,DX13:DZ13,EB13)-SUM(DW13,EA13),"")</f>
        <v/>
      </c>
      <c r="EJ13" s="76">
        <f>IF(SUM(ED13,EI13)&gt;0,SUM(ED13,EI13),"")</f>
        <v>2.0000000000000002E-5</v>
      </c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16" t="str">
        <f>IF(SUM(EL13,EP13)&gt;0,SUM(EL13,EP13),"")</f>
        <v/>
      </c>
      <c r="FF13" s="16" t="str">
        <f>IF(SUM(EK13:EL13,EN13:EP13,ER13)-EM13-EQ13&gt;0,SUM(EK13:EL13,EN13:EP13,ER13)-EM13-EQ13,"")</f>
        <v/>
      </c>
      <c r="FG13" s="16" t="str">
        <f>IF(SUM(ES13:ET13,EV13)-EU13&gt;0,SUM(ES13:ET13,EV13)-EU13,"")</f>
        <v/>
      </c>
      <c r="FH13" s="16" t="str">
        <f>IF(SUM(EL13,EP13,ET13)&gt;0,SUM(EL13,EP13,ET13),"")</f>
        <v/>
      </c>
      <c r="FI13" s="16" t="str">
        <f>IF(SUM(FF13,FG13)&gt;0,SUM(FF13,FG13),"")</f>
        <v/>
      </c>
      <c r="FJ13" s="16" t="str">
        <f>IF(SUM(EX13,FB13)&gt;0,SUM(EX13,FB13),"")</f>
        <v/>
      </c>
      <c r="FK13" s="16" t="str">
        <f>IF(SUM(EW13:EX13,EZ13:FB13,FD13)-SUM(EY13,FC13)&gt;0,SUM(EW13:EX13,EZ13:FB13,FD13)-SUM(EY13,FC13),"")</f>
        <v/>
      </c>
      <c r="FL13" s="16" t="str">
        <f>IF(SUM(FF13,FK13)&gt;0,SUM(FF13,FK13),"")</f>
        <v/>
      </c>
      <c r="FM13" s="25">
        <v>19</v>
      </c>
      <c r="FN13" s="25">
        <v>8</v>
      </c>
      <c r="FO13" s="25">
        <v>0.8</v>
      </c>
      <c r="FP13" s="25">
        <v>0.3</v>
      </c>
      <c r="FQ13" s="25">
        <v>18.399999999999999</v>
      </c>
      <c r="FR13" s="25">
        <v>6.8</v>
      </c>
      <c r="FS13" s="25">
        <v>0.8</v>
      </c>
      <c r="FT13" s="25">
        <v>0</v>
      </c>
      <c r="FU13" s="25"/>
      <c r="FV13" s="25"/>
      <c r="FW13" s="25"/>
      <c r="FX13" s="25"/>
      <c r="FY13" s="25">
        <v>17.600000000000001</v>
      </c>
      <c r="FZ13" s="25">
        <v>2.8</v>
      </c>
      <c r="GA13" s="25">
        <v>0</v>
      </c>
      <c r="GB13" s="25">
        <v>0</v>
      </c>
      <c r="GC13" s="25">
        <v>18.8</v>
      </c>
      <c r="GD13" s="25">
        <v>4.5999999999999996</v>
      </c>
      <c r="GE13" s="25">
        <v>1.4</v>
      </c>
      <c r="GF13" s="25">
        <v>0</v>
      </c>
      <c r="GG13" s="76">
        <f>IF(SUM(FN13,FR13)&gt;0,SUM(FN13,FR13),"")</f>
        <v>14.8</v>
      </c>
      <c r="GH13" s="76">
        <f>IF(SUM(FM13:FN13,FP13:FR13,FT13)-FO13-FS13&gt;0,SUM(FM13:FN13,FP13:FR13,FT13)-FO13-FS13,"")</f>
        <v>50.900000000000006</v>
      </c>
      <c r="GI13" s="76" t="str">
        <f>IF(SUM(FU13:FV13,FX13)-FW13&gt;0,SUM(FU13:FV13,FX13)-FW13,"")</f>
        <v/>
      </c>
      <c r="GJ13" s="76">
        <f>IF(SUM(FN13,FR13,FV13)&gt;0,SUM(FN13,FR13,FV13),"")</f>
        <v>14.8</v>
      </c>
      <c r="GK13" s="76">
        <f>IF(SUM(GH13,GI13)&gt;0,SUM(GH13,GI13),"")</f>
        <v>50.900000000000006</v>
      </c>
      <c r="GL13" s="76">
        <f>IF(SUM(FZ13,GD13)&gt;0,SUM(FZ13,GD13),"")</f>
        <v>7.3999999999999995</v>
      </c>
      <c r="GM13" s="76">
        <f>IF(SUM(FY13:FZ13,GB13:GD13,GF13)-SUM(GA13,GE13)&gt;0,SUM(FY13:FZ13,GB13:GD13,GF13)-SUM(GA13,GE13),"")</f>
        <v>42.400000000000006</v>
      </c>
      <c r="GN13" s="76">
        <f>IF(SUM(GH13,GM13)&gt;0,SUM(GH13,GM13),"")</f>
        <v>93.300000000000011</v>
      </c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16" t="str">
        <f>IF(SUM(GP13,GT13)&gt;0,SUM(GP13,GT13),"")</f>
        <v/>
      </c>
      <c r="HJ13" s="16" t="str">
        <f>IF(SUM(GO13:GP13,GR13:GT13,GV13)-GQ13-GU13&gt;0,SUM(GO13:GP13,GR13:GT13,GV13)-GQ13-GU13,"")</f>
        <v/>
      </c>
      <c r="HK13" s="16" t="str">
        <f>IF(SUM(GW13:GX13,GZ13)-GY13&gt;0,SUM(GW13:GX13,GZ13)-GY13,"")</f>
        <v/>
      </c>
      <c r="HL13" s="16" t="str">
        <f>IF(SUM(GP13,GT13,GX13)&gt;0,SUM(GP13,GT13,GX13),"")</f>
        <v/>
      </c>
      <c r="HM13" s="16" t="str">
        <f>IF(SUM(HJ13,HK13)&gt;0,SUM(HJ13,HK13),"")</f>
        <v/>
      </c>
      <c r="HN13" s="16" t="str">
        <f>IF(SUM(HB13,HF13)&gt;0,SUM(HB13,HF13),"")</f>
        <v/>
      </c>
      <c r="HO13" s="16" t="str">
        <f>IF(SUM(HA13:HB13,HD13:HF13,HH13)-SUM(HC13,HG13)&gt;0,SUM(HA13:HB13,HD13:HF13,HH13)-SUM(HC13,HG13),"")</f>
        <v/>
      </c>
      <c r="HP13" s="16" t="str">
        <f>IF(SUM(HJ13,HO13)&gt;0,SUM(HJ13,HO13),"")</f>
        <v/>
      </c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76" t="str">
        <f>IF(SUM(HR13,HV13)&gt;0,SUM(HR13,HV13),"")</f>
        <v/>
      </c>
      <c r="IL13" s="76" t="str">
        <f>IF(SUM(HQ13:HR13,HT13:HV13,HX13)-HS13-HW13&gt;0,SUM(HQ13:HR13,HT13:HV13,HX13)-HS13-HW13,"")</f>
        <v/>
      </c>
      <c r="IM13" s="76" t="str">
        <f>IF(SUM(HY13:HZ13,IB13)-IA13&gt;0,SUM(HY13:HZ13,IB13)-IA13,"")</f>
        <v/>
      </c>
      <c r="IN13" s="76" t="str">
        <f>IF(SUM(HR13,HV13,HZ13)&gt;0,SUM(HR13,HV13,HZ13),"")</f>
        <v/>
      </c>
      <c r="IO13" s="76" t="str">
        <f>IF(SUM(IL13,IM13)&gt;0,SUM(IL13,IM13),"")</f>
        <v/>
      </c>
      <c r="IP13" s="76" t="str">
        <f>IF(SUM(ID13,IH13)&gt;0,SUM(ID13,IH13),"")</f>
        <v/>
      </c>
      <c r="IQ13" s="76" t="str">
        <f>IF(SUM(IC13:ID13,IF13:IH13,IJ13)-SUM(IE13,II13)&gt;0,SUM(IC13:ID13,IF13:IH13,IJ13)-SUM(IE13,II13),"")</f>
        <v/>
      </c>
      <c r="IR13" s="76" t="str">
        <f>IF(SUM(IL13,IQ13)&gt;0,SUM(IL13,IQ13),"")</f>
        <v/>
      </c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16" t="str">
        <f>IF(SUM(IT13,IX13)&gt;0,SUM(IT13,IX13),"")</f>
        <v/>
      </c>
      <c r="JN13" s="16" t="str">
        <f>IF(SUM(IS13:IT13,IV13:IX13,IZ13)-IU13-IY13&gt;0,SUM(IS13:IT13,IV13:IX13,IZ13)-IU13-IY13,"")</f>
        <v/>
      </c>
      <c r="JO13" s="16" t="str">
        <f>IF(SUM(JA13:JB13,JD13)-JC13&gt;0,SUM(JA13:JB13,JD13)-JC13,"")</f>
        <v/>
      </c>
      <c r="JP13" s="16" t="str">
        <f>IF(SUM(IT13,IX13,JB13)&gt;0,SUM(IT13,IX13,JB13),"")</f>
        <v/>
      </c>
      <c r="JQ13" s="16" t="str">
        <f>IF(SUM(JN13,JO13)&gt;0,SUM(JN13,JO13),"")</f>
        <v/>
      </c>
      <c r="JR13" s="16" t="str">
        <f>IF(SUM(JF13,JJ13)&gt;0,SUM(JF13,JJ13),"")</f>
        <v/>
      </c>
      <c r="JS13" s="16" t="str">
        <f>IF(SUM(JE13:JF13,JH13:JJ13,JL13)-SUM(JG13,JK13)&gt;0,SUM(JE13:JF13,JH13:JJ13,JL13)-SUM(JG13,JK13),"")</f>
        <v/>
      </c>
      <c r="JT13" s="16" t="str">
        <f>IF(SUM(JN13,JS13)&gt;0,SUM(JN13,JS13),"")</f>
        <v/>
      </c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76" t="str">
        <f>IF(SUM(JV13,JZ13)&gt;0,SUM(JV13,JZ13),"")</f>
        <v/>
      </c>
      <c r="KP13" s="76" t="str">
        <f>IF(SUM(JU13:JV13,JX13:JZ13,KB13)-JW13-KA13&gt;0,SUM(JU13:JV13,JX13:JZ13,KB13)-JW13-KA13,"")</f>
        <v/>
      </c>
      <c r="KQ13" s="76" t="str">
        <f>IF(SUM(KC13:KD13,KF13)-KE13&gt;0,SUM(KC13:KD13,KF13)-KE13,"")</f>
        <v/>
      </c>
      <c r="KR13" s="76" t="str">
        <f>IF(SUM(JV13,JZ13,KD13)&gt;0,SUM(JV13,JZ13,KD13),"")</f>
        <v/>
      </c>
      <c r="KS13" s="76" t="str">
        <f>IF(SUM(KP13,KQ13)&gt;0,SUM(KP13,KQ13),"")</f>
        <v/>
      </c>
      <c r="KT13" s="76" t="str">
        <f>IF(SUM(KH13,KL13)&gt;0,SUM(KH13,KL13),"")</f>
        <v/>
      </c>
      <c r="KU13" s="76" t="str">
        <f>IF(SUM(KG13:KH13,KJ13:KL13,KN13)-SUM(KI13,KM13)&gt;0,SUM(KG13:KH13,KJ13:KL13,KN13)-SUM(KI13,KM13),"")</f>
        <v/>
      </c>
      <c r="KV13" s="76" t="str">
        <f>IF(SUM(KP13,KU13)&gt;0,SUM(KP13,KU13),"")</f>
        <v/>
      </c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16" t="str">
        <f>IF(SUM(KX13,LB13)&gt;0,SUM(KX13,LB13),"")</f>
        <v/>
      </c>
      <c r="LR13" s="16" t="str">
        <f>IF(SUM(KW13:KX13,KZ13:LB13,LD13)-KY13-LC13&gt;0,SUM(KW13:KX13,KZ13:LB13,LD13)-KY13-LC13,"")</f>
        <v/>
      </c>
      <c r="LS13" s="16" t="str">
        <f>IF(SUM(LE13:LF13,LH13)-LG13&gt;0,SUM(LE13:LF13,LH13)-LG13,"")</f>
        <v/>
      </c>
      <c r="LT13" s="16" t="str">
        <f>IF(SUM(KX13,LB13,LF13)&gt;0,SUM(KX13,LB13,LF13),"")</f>
        <v/>
      </c>
      <c r="LU13" s="16" t="str">
        <f>IF(SUM(LR13,LS13)&gt;0,SUM(LR13,LS13),"")</f>
        <v/>
      </c>
      <c r="LV13" s="16" t="str">
        <f>IF(SUM(LJ13,LN13)&gt;0,SUM(LJ13,LN13),"")</f>
        <v/>
      </c>
      <c r="LW13" s="16" t="str">
        <f>IF(SUM(LI13:LJ13,LL13:LN13,LP13)-SUM(LK13,LO13)&gt;0,SUM(LI13:LJ13,LL13:LN13,LP13)-SUM(LK13,LO13),"")</f>
        <v/>
      </c>
      <c r="LX13" s="16" t="str">
        <f>IF(SUM(LR13,LW13)&gt;0,SUM(LR13,LW13),"")</f>
        <v/>
      </c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76" t="str">
        <f>IF(SUM(LZ13,MD13)&gt;0,SUM(LZ13,MD13),"")</f>
        <v/>
      </c>
      <c r="MT13" s="76" t="str">
        <f>IF(SUM(LY13:LZ13,MB13:MD13,MF13)-MA13-ME13&gt;0,SUM(LY13:LZ13,MB13:MD13,MF13)-MA13-ME13,"")</f>
        <v/>
      </c>
      <c r="MU13" s="76" t="str">
        <f>IF(SUM(MG13:MH13,MJ13)-MI13&gt;0,SUM(MG13:MH13,MJ13)-MI13,"")</f>
        <v/>
      </c>
      <c r="MV13" s="76" t="str">
        <f>IF(SUM(LZ13,MD13,MH13)&gt;0,SUM(LZ13,MD13,MH13),"")</f>
        <v/>
      </c>
      <c r="MW13" s="76" t="str">
        <f>IF(SUM(MT13,MU13)&gt;0,SUM(MT13,MU13),"")</f>
        <v/>
      </c>
      <c r="MX13" s="76" t="str">
        <f>IF(SUM(ML13,MP13)&gt;0,SUM(ML13,MP13),"")</f>
        <v/>
      </c>
      <c r="MY13" s="76" t="str">
        <f>IF(SUM(MK13:ML13,MN13:MP13,MR13)-SUM(MM13,MQ13)&gt;0,SUM(MK13:ML13,MN13:MP13,MR13)-SUM(MM13,MQ13),"")</f>
        <v/>
      </c>
      <c r="MZ13" s="76" t="str">
        <f>IF(SUM(MT13,MY13)&gt;0,SUM(MT13,MY13),"")</f>
        <v/>
      </c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16" t="str">
        <f>IF(SUM(NB13,NF13)&gt;0,SUM(NB13,NF13),"")</f>
        <v/>
      </c>
      <c r="NV13" s="16" t="str">
        <f>IF(SUM(NA13:NB13,ND13:NF13,NH13)-NC13-NG13&gt;0,SUM(NA13:NB13,ND13:NF13,NH13)-NC13-NG13,"")</f>
        <v/>
      </c>
      <c r="NW13" s="16" t="str">
        <f>IF(SUM(NI13:NJ13,NL13)-NK13&gt;0,SUM(NI13:NJ13,NL13)-NK13,"")</f>
        <v/>
      </c>
      <c r="NX13" s="16" t="str">
        <f>IF(SUM(NB13,NF13,NJ13)&gt;0,SUM(NB13,NF13,NJ13),"")</f>
        <v/>
      </c>
      <c r="NY13" s="16" t="str">
        <f>IF(SUM(NV13,NW13)&gt;0,SUM(NV13,NW13),"")</f>
        <v/>
      </c>
      <c r="NZ13" s="16" t="str">
        <f>IF(SUM(NN13,NR13)&gt;0,SUM(NN13,NR13),"")</f>
        <v/>
      </c>
      <c r="OA13" s="16" t="str">
        <f>IF(SUM(NM13:NN13,NP13:NR13,NT13)-SUM(NO13,NS13)&gt;0,SUM(NM13:NN13,NP13:NR13,NT13)-SUM(NO13,NS13),"")</f>
        <v/>
      </c>
      <c r="OB13" s="16" t="str">
        <f>IF(SUM(NV13,OA13)&gt;0,SUM(NV13,OA13),"")</f>
        <v/>
      </c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76" t="str">
        <f>IF(SUM(OD13,OH13)&gt;0,SUM(OD13,OH13),"")</f>
        <v/>
      </c>
      <c r="OX13" s="76" t="str">
        <f>IF(SUM(OC13:OD13,OF13:OH13,OJ13)-OE13-OI13&gt;0,SUM(OC13:OD13,OF13:OH13,OJ13)-OE13-OI13,"")</f>
        <v/>
      </c>
      <c r="OY13" s="76" t="str">
        <f>IF(SUM(OK13:OL13,ON13)-OM13&gt;0,SUM(OK13:OL13,ON13)-OM13,"")</f>
        <v/>
      </c>
      <c r="OZ13" s="76" t="str">
        <f>IF(SUM(OD13,OH13,OL13)&gt;0,SUM(OD13,OH13,OL13),"")</f>
        <v/>
      </c>
      <c r="PA13" s="76" t="str">
        <f>IF(SUM(OX13,OY13)&gt;0,SUM(OX13,OY13),"")</f>
        <v/>
      </c>
      <c r="PB13" s="76" t="str">
        <f>IF(SUM(OP13,OT13)&gt;0,SUM(OP13,OT13),"")</f>
        <v/>
      </c>
      <c r="PC13" s="76" t="str">
        <f>IF(SUM(OO13:OP13,OR13:OT13,OV13)-SUM(OQ13,OU13)&gt;0,SUM(OO13:OP13,OR13:OT13,OV13)-SUM(OQ13,OU13),"")</f>
        <v/>
      </c>
      <c r="PD13" s="76" t="str">
        <f>IF(SUM(OX13,PC13)&gt;0,SUM(OX13,PC13),"")</f>
        <v/>
      </c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16" t="str">
        <f>IF(SUM(PF13,PJ13)&gt;0,SUM(PF13,PJ13),"")</f>
        <v/>
      </c>
      <c r="PZ13" s="16" t="str">
        <f>IF(SUM(PE13:PF13,PH13:PJ13,PL13)-PG13-PK13&gt;0,SUM(PE13:PF13,PH13:PJ13,PL13)-PG13-PK13,"")</f>
        <v/>
      </c>
      <c r="QA13" s="16" t="str">
        <f>IF(SUM(PM13:PN13,PP13)-PO13&gt;0,SUM(PM13:PN13,PP13)-PO13,"")</f>
        <v/>
      </c>
      <c r="QB13" s="16" t="str">
        <f>IF(SUM(PF13,PJ13,PN13)&gt;0,SUM(PF13,PJ13,PN13),"")</f>
        <v/>
      </c>
      <c r="QC13" s="16" t="str">
        <f>IF(SUM(PZ13,QA13)&gt;0,SUM(PZ13,QA13),"")</f>
        <v/>
      </c>
      <c r="QD13" s="16" t="str">
        <f>IF(SUM(PR13,PV13)&gt;0,SUM(PR13,PV13),"")</f>
        <v/>
      </c>
      <c r="QE13" s="16" t="str">
        <f>IF(SUM(PQ13:PR13,PT13:PV13,PX13)-SUM(PS13,PW13)&gt;0,SUM(PQ13:PR13,PT13:PV13,PX13)-SUM(PS13,PW13),"")</f>
        <v/>
      </c>
      <c r="QF13" s="16" t="str">
        <f>IF(SUM(PZ13,QE13)&gt;0,SUM(PZ13,QE13),"")</f>
        <v/>
      </c>
      <c r="QG13" s="42">
        <f>IF($CW13="P",CC13,(CC13+AZ13)/2)</f>
        <v>9.3000000000000007</v>
      </c>
      <c r="QH13" s="42">
        <f>IF($CW13="P",CD13,(CD13+BA13)/2)</f>
        <v>3.8</v>
      </c>
      <c r="QI13" s="42">
        <f>IF($CW13="P",CE13,(CE13+BB13)/2)</f>
        <v>0.4</v>
      </c>
      <c r="QJ13" s="42">
        <f>IF($CW13="P",CF13,(CF13+BC13)/2)</f>
        <v>0</v>
      </c>
      <c r="QK13" s="42">
        <f>IF($CW13="P",CG13,(CG13+BD13)/2)</f>
        <v>9.0500000000000007</v>
      </c>
      <c r="QL13" s="42">
        <f>IF($CW13="P",CH13,(CH13+BE13)/2)</f>
        <v>3.6</v>
      </c>
      <c r="QM13" s="42">
        <f>IF($CW13="P",CI13,(CI13+BF13)/2)</f>
        <v>0.4</v>
      </c>
      <c r="QN13" s="42">
        <f>IF($CW13="P",CJ13,(CJ13+BG13)/2)</f>
        <v>0</v>
      </c>
      <c r="QO13" s="42">
        <f>IF($CW13="P",CK13,(CK13+BH13)/2)</f>
        <v>8.65</v>
      </c>
      <c r="QP13" s="42">
        <f>IF($CW13="P",CL13,(CL13+BI13)/2)</f>
        <v>1.2</v>
      </c>
      <c r="QQ13" s="42">
        <f>IF($CW13="P",CM13,(CM13+BJ13)/2)</f>
        <v>0</v>
      </c>
      <c r="QR13" s="42">
        <f>IF($CW13="P",CN13,(CN13+BK13)/2)</f>
        <v>0</v>
      </c>
      <c r="QS13" s="42">
        <f>IF($CW13="P",CO13,(CO13+BL13)/2)</f>
        <v>9.25</v>
      </c>
      <c r="QT13" s="42">
        <f>IF($CW13="P",CP13,(CP13+BM13)/2)</f>
        <v>3.4</v>
      </c>
      <c r="QU13" s="42">
        <f>IF($CW13="P",CQ13,(CQ13+BN13)/2)</f>
        <v>0.1</v>
      </c>
      <c r="QV13" s="42">
        <f>IF($CW13="P",CR13,(CR13+BO13)/2)</f>
        <v>0</v>
      </c>
      <c r="QW13" s="42">
        <f>IF($CW13="P",CS13,(CS13+BP13)/2)</f>
        <v>9.25</v>
      </c>
      <c r="QX13" s="42">
        <f>IF($CW13="P",CT13,(CT13+BQ13)/2)</f>
        <v>1.4</v>
      </c>
      <c r="QY13" s="42">
        <f>IF($CW13="P",CU13,(CU13+BR13)/2)</f>
        <v>1.7</v>
      </c>
      <c r="QZ13" s="42">
        <f>IF($CW13="P",CV13,(CV13+BS13)/2)</f>
        <v>0</v>
      </c>
      <c r="RA13" s="51" t="s">
        <v>61</v>
      </c>
      <c r="RB13" s="76">
        <f>IF(SUM(QH13,QL13)&gt;0,SUM(QH13,QL13),"")</f>
        <v>7.4</v>
      </c>
      <c r="RC13" s="76">
        <f>IF(SUM(QG13:QH13,QJ13:QL13,QN13)-QI13-QM13&gt;0,SUM(QG13:QH13,QJ13:QL13,QN13)-QI13-QM13,"")</f>
        <v>24.950000000000006</v>
      </c>
      <c r="RD13" s="76">
        <f>IF(SUM(QO13:QP13,QR13)-QQ13&gt;0,SUM(QO13:QP13,QR13)-QQ13,"")</f>
        <v>9.85</v>
      </c>
      <c r="RE13" s="76">
        <f>IF(SUM(QH13,QL13,QP13)&gt;0,SUM(QH13,QL13,QP13),"")</f>
        <v>8.6</v>
      </c>
      <c r="RF13" s="76">
        <f>IF(SUM(RC13,RD13)&gt;0,SUM(RC13,RD13),"")</f>
        <v>34.800000000000004</v>
      </c>
      <c r="RG13" s="76">
        <f>IF(SUM(QT13,QX13)&gt;0,SUM(QT13,QX13),"")</f>
        <v>4.8</v>
      </c>
      <c r="RH13" s="76">
        <f>IF(SUM(QS13:QT13,QV13:QX13,QZ13)-SUM(QU13,QY13)&gt;0,SUM(QS13:QT13,QV13:QX13,QZ13)-SUM(QU13,QY13),"")</f>
        <v>21.499999999999996</v>
      </c>
      <c r="RI13" s="76">
        <f>IF(SUM(RC13,RH13)&gt;0,SUM(RC13,RH13),"")</f>
        <v>46.45</v>
      </c>
    </row>
    <row r="14" spans="1:477" x14ac:dyDescent="0.2">
      <c r="A14" s="5" t="str">
        <f>IF(AND(F14="P",G14="P"),SUMPRODUCT((F$4:F$18="P")*(G$4:G$18="P")*(E$4:E$18&gt;E14))+1,IF(G14="P",SUMPRODUCT((F$4:F$18="")*(G$4:G$18="P")*(E$4:E$18&gt;E14))+1+SUMPRODUCT((F$4:F$18="P")*(G$4:G$18="P")),""))</f>
        <v/>
      </c>
      <c r="B14" s="6" t="s">
        <v>168</v>
      </c>
      <c r="C14" s="7" t="s">
        <v>6</v>
      </c>
      <c r="D14" s="18">
        <v>2005</v>
      </c>
      <c r="E14" s="14">
        <f>SUM(J14:T14)+SUM(J14:P14)*0.0000001+SUM(J14)*0.0000000000001</f>
        <v>112.0000072000047</v>
      </c>
      <c r="F14" s="3" t="str">
        <f>IF(OR(AND(AR14&gt;=AY$20,AS14&gt;=AY$24,AR14&lt;&gt;"",AQ14=""),AND(AW14&gt;=AY$20,AX14&gt;=AY$24,AW14&lt;&gt;"",AQ14=""),AND(BU14&gt;=CB$20,BV14&gt;=CB$24,BU14&lt;&gt;"",BT14=""),AND(BZ14&gt;=CB$20,CA14&gt;=CB$24,BZ14&lt;&gt;"",BT14=""),AND(CX14&gt;=DE$20,CY14&gt;=DE$24,CX14&lt;&gt;"",CW14=""),AND(DC14&gt;=DE$20,DD14&gt;=DE$24,DC14&lt;&gt;""),AND(EC14&gt;=EJ$20,ED14&gt;=EJ$24,EC14&lt;&gt;""),AND(EH14&gt;=EJ$20,EI14&gt;=EJ$24,EH14&lt;&gt;""),AND(FE14&gt;=FL$20,FF14&gt;=FL$24,FE14&lt;&gt;""),AND(FJ14&gt;=FL$20,FK14&gt;=FL$24,FJ14&lt;&gt;""),AND(GG14&gt;=GN$20,GH14&gt;=GN$24,GG14&lt;&gt;""),AND(GL14&gt;=GN$20,GM14&gt;=GN$24,GL14&lt;&gt;""),AND(HI14&gt;=HP$20,HJ14&gt;=HP$24,HI14&lt;&gt;""),AND(HN14&gt;=HP$20,HO14&gt;=HP$24,HN14&lt;&gt;""),AND(IK14&gt;=IR$20,IL14&gt;=IR$24,IK14&lt;&gt;""),AND(IP14&gt;=IR$20,IQ14&gt;=IR$24,IP14&lt;&gt;""),AND(JM14&gt;=JT$20,JN14&gt;=JT$24,JM14&lt;&gt;""),AND(JR14&gt;=JT$20,JS14&gt;=JT$24,JR14&lt;&gt;""),AND(KO14&gt;=KV$20,KP14&gt;=KV$24,KO14&lt;&gt;""),AND(KT14&gt;=KV$20,KU14&gt;=KV$24,KT14&lt;&gt;""),AND(LQ14&gt;=LX$20,LR14&gt;=LX$24,LQ14&lt;&gt;""),AND(LV14&gt;=LX$20,LW14&gt;=LX$24,LV14&lt;&gt;""),AND(MS14&gt;=MZ$20,MT14&gt;=MZ$24,MS14&lt;&gt;""),AND(MX14&gt;=MZ$20,MY14&gt;=MZ$24,MX14&lt;&gt;""),AND(NU14&gt;=OB$20,NV14&gt;=OB$24,NU14&lt;&gt;""),AND(NZ14&gt;=OB$20,OA14&gt;=OB$24,NZ14&lt;&gt;""),AND(OW14&gt;=PD$20,OX14&gt;=PD$24,OW14&lt;&gt;""),AND(PB14&gt;=PD$20,PC14&gt;=PD$24,PB14&lt;&gt;""),AND(PY14&gt;=QF$20,PZ14&gt;=QF$24,PY14&lt;&gt;""),AND(QD14&gt;=QF$20,QE14&gt;=QF$24,QD14&lt;&gt;"")),"P","")</f>
        <v/>
      </c>
      <c r="G14" s="3" t="str">
        <f>IF(OR(AND(AS14&gt;=AY$24,AS14&lt;&gt;"",AQ14=""),AND(AX14&gt;=AY$24,AX14&lt;&gt;"",AQ14=""),AND(BV14&gt;=CB$24,BV14&lt;&gt;"",BT14=""),AND(CA14&gt;=CB$24,CA14&lt;&gt;"",BT14=""),AND(CY14&gt;=DE$24,CY14&lt;&gt;"",CW14=""),AND(DD14&gt;=DE$24,DD14&lt;&gt;"",CW14=""),AND(ED14&gt;=EJ$24,ED14&lt;&gt;""),AND(EI14&gt;=EJ$24,EI14&lt;&gt;""),AND(FF14&gt;=FL$24,FF14&lt;&gt;""),AND(FK14&gt;=FL$24,FK14&lt;&gt;""),AND(GH14&gt;=GN$24,GH14&lt;&gt;""),AND(GM14&gt;=GN$24,GM14&lt;&gt;""),AND(HJ14&gt;=HP$24,HJ14&lt;&gt;""),AND(HO14&gt;=HP$24,HO14&lt;&gt;""),AND(IL14&gt;=IR$24,IL14&lt;&gt;""),AND(IQ14&gt;=IR$24,IQ14&lt;&gt;""),AND(JN14&gt;=JT$24,JN14&lt;&gt;""),AND(JS14&gt;=JT$24,JS14&lt;&gt;""),AND(KP14&gt;=KV$24,KP14&lt;&gt;""),AND(KU14&gt;=KV$24,KU14&lt;&gt;""),AND(LR14&gt;=LX$24,LR14&lt;&gt;""),AND(LW14&gt;=LX$24,LW14&lt;&gt;""),AND(MT14&gt;=MZ$24,MT14&lt;&gt;""),AND(MY14&gt;=MZ$24,MY14&lt;&gt;""),AND(NV14&gt;=OB$24,NV14&lt;&gt;""),AND(OA14&gt;=OB$24,OA14&lt;&gt;""),AND(OX14&gt;=PD$24,OX14&lt;&gt;""),AND(PC14&gt;=PD$24,PC14&lt;&gt;""),AND(PZ14&gt;=QF$24,PZ14&lt;&gt;""),AND(QE14&gt;=QF$24,QE14&lt;&gt;"")),"P","")</f>
        <v/>
      </c>
      <c r="H14" s="70" t="str">
        <f>IF(AND(G14="P",F14=""),"No DD",IF(OR(AND(AU14&gt;=AY$23,AV14&gt;=AY$27,AU14&lt;&gt;"",AQ14=""),AND(BX14&gt;=CB$23,BY14&gt;=CB$27,BX14&lt;&gt;"",BT14=""),AND(DA14&gt;=DE$23,DB14&gt;=DE$27,DA14&lt;&gt;"",CW14=""),AND(EF14&gt;=EJ$23,EG14&gt;=EJ$27,EF14&lt;&gt;""),AND(FH14&gt;=FL$23,FI14&gt;=FL$27,FH14&lt;&gt;""),AND(GJ14&gt;=GN$23,GK14&gt;=GN$27,GJ14&lt;&gt;""),AND(HL14&gt;=HP$23,HM14&gt;=HP$27,HL14&lt;&gt;""),AND(IN14&gt;=IR$23,IO14&gt;=IR$27,IN14&lt;&gt;""),AND(JP14&gt;=JT$23,JQ14&gt;=JT$27,JP14&lt;&gt;""),AND(KR14&gt;=KV$23,KS14&gt;=KV$27,KR14&lt;&gt;""),AND(LT14&gt;=LX$23,LU14&gt;=LX$27,LT14&lt;&gt;""),AND(MV14&gt;=MZ$23,MW14&gt;=MZ$27,MV14&lt;&gt;""),AND(NX14&gt;=OB$23,NY14&gt;=OB$27,NX14&lt;&gt;""),AND(OZ14&gt;=PD$23,PA14&gt;=PD$27,OZ14&lt;&gt;""),AND(QB14&gt;=QF$23,QC14&gt;=QF$27,QB14&lt;&gt;"")),"Merit",IF(OR(AND(AU14&gt;=AY$22,AV14&gt;=AY$26,AU14&lt;&gt;"",AQ14=""),AND(BX14&gt;=CB$22,BY14&gt;=CB$26,BX14&lt;&gt;"",BT14=""),AND(DA14&gt;=DE$22,DB14&gt;=DE$26,DA14&lt;&gt;"",CW14=""),AND(EF14&gt;=EJ$22,EG14&gt;=EJ$26,EF14&lt;&gt;""),AND(FH14&gt;=FL$22,FI14&gt;=FL$26,FH14&lt;&gt;""),AND(GJ14&gt;=GN$22,GK14&gt;=GN$26,GJ14&lt;&gt;""),AND(HL14&gt;=HP$22,HM14&gt;=HP$26,HL14&lt;&gt;""),AND(IN14&gt;=IR$22,IO14&gt;=IR$26,IN14&lt;&gt;""),AND(JP14&gt;=JT$22,JQ14&gt;=JT$26,JP14&lt;&gt;""),AND(KR14&gt;=KV$22,KS14&gt;=KV$26,KR14&lt;&gt;""),AND(LT14&gt;=LX$22,LU14&gt;=LX$26,LT14&lt;&gt;""),AND(MV14&gt;=MZ$22,MW14&gt;=MZ$26,MV14&lt;&gt;""),AND(NX14&gt;=OB$22,NY14&gt;=OB$26,NX14&lt;&gt;""),AND(OZ14&gt;=PD$22,PA14&gt;=PD$26,OZ14&lt;&gt;""),AND(QB14&gt;=QF$22,QC14&gt;=QF$26,QB14&lt;&gt;"")),"Excellence",IF(I14="P","Worlds Team",IF(F14="P","National Team","")))))</f>
        <v/>
      </c>
      <c r="I14" s="3" t="str">
        <f>IF(OR(AND(AU14&gt;=AY$21,AV14&gt;=AY$25,AU14&lt;&gt;"",AQ14=""),AND(BX14&gt;=CB$21,BY14&gt;=CB$25,BX14&lt;&gt;"",BT14=""),AND(DA14&gt;=DE$21,DB14&gt;=DE$25,DA14&lt;&gt;"",CW14=""),AND(EF14&gt;=EJ$21,EG14&gt;=EJ$25,EF14&lt;&gt;""),AND(FH14&gt;=FL$21,FI14&gt;=FL$25,FH14&lt;&gt;""),AND(GJ14&gt;=GN$21,GK14&gt;=GN$25,GJ14&lt;&gt;""),AND(HL14&gt;=HP$21,HM14&gt;=HP$25,HL14&lt;&gt;""),AND(IN14&gt;=IR$21,IO14&gt;=IR$25,IN14&lt;&gt;""),AND(JP14&gt;=JT$21,JQ14&gt;=JT$25,JP14&lt;&gt;""),AND(KR14&gt;=KV$21,KS14&gt;=KV$25,KR14&lt;&gt;""),AND(LT14&gt;=LX$21,LU14&gt;=LX$25,LT14&lt;&gt;""),AND(MV14&gt;=MZ$21,MW14&gt;=MZ$25,MV14&lt;&gt;""),AND(NX14&gt;=OB$21,NY14&gt;=OB$25,NX14&lt;&gt;""),AND(OZ14&gt;=PD$21,PA14&gt;=PD$25,OZ14&lt;&gt;""),AND(QB14&gt;=QF$21,QC14&gt;=QF$25,QB14&lt;&gt;"")),"P","")</f>
        <v/>
      </c>
      <c r="J14" s="13">
        <f>IF(COUNT(AS14,BV14,CY14)&gt;0,LARGE((AS14,BV14,CY14),1),0)</f>
        <v>47.1</v>
      </c>
      <c r="K14" s="13" t="str">
        <f>IF(J14=0,"",IF(J14=CY14,$CC$1,IF(J14=BV14,$AZ$1,IF(J14=AS14,$W$1,""))))</f>
        <v>2022 Elite Canada</v>
      </c>
      <c r="L14" s="13">
        <f>IF(COUNT(AS14,BV14,CY14)&gt;1,LARGE((AS14,BV14,CY14),2),0)</f>
        <v>0</v>
      </c>
      <c r="M14" s="13" t="str">
        <f>IF(L14=0,"",IF(L14=CY14,$CC$1,IF(L14=BV14,$AZ$1,IF(L14=AS14,$W$1,""))))</f>
        <v/>
      </c>
      <c r="N14" s="13">
        <f>IF(COUNT(AT14,BW14,CZ14)&gt;0,LARGE((AT14,BW14,CZ14),1),0)</f>
        <v>24.9</v>
      </c>
      <c r="O14" s="13" t="str">
        <f>IF(N14=0,"",IF(N14=CZ14,$CC$1,IF(N14=BW14,$AZ$1,IF(N14=AT14,$W$1,""))))</f>
        <v>2022 Elite Canada</v>
      </c>
      <c r="P14" s="13">
        <f>IF(COUNT(AT14,BW14,CZ14)&gt;1,LARGE((AT14,BW14,CZ14),2),0)</f>
        <v>0</v>
      </c>
      <c r="Q14" s="13" t="str">
        <f>IF(P14=0,"",IF(P14=CZ14,$CC$1,IF(P14=BW14,$AZ$1,IF(P14=AT14,$W$1,""))))</f>
        <v/>
      </c>
      <c r="R14" s="13">
        <f>IF(MAX(AX14,CA14,DD14)&gt;0,MAX(AX14,CA14,DD14),0)</f>
        <v>39.999999999999993</v>
      </c>
      <c r="S14" s="13" t="str">
        <f>IF(R14=0,"",IF(R14=DD14,$CC$1,IF(R14=CA14,$AZ$1,IF(R14=AX14,$W$1,""))))</f>
        <v>2022 Elite Canada</v>
      </c>
      <c r="T14" s="13" t="str">
        <f>IF(MAX(DF14:DH14)&gt;0,MAX(DF14:DH14),"")</f>
        <v/>
      </c>
      <c r="U14" s="16" t="str">
        <f>IF(T14="","",IF(T14=DF14,"("&amp;DF$2&amp;")",IF(T14=DH14,"("&amp;DH$2&amp;")")))</f>
        <v/>
      </c>
      <c r="V14" s="13" t="str">
        <f>IF(T14="","",IF(T14=DF14,IF(T14+IF(L14="",0,L14)=PZ14,$PE$1,IF(T14+IF(L14="",0,L14)=OX14,$OC$1,IF(T14+IF(L14="",0,L14)=NV14,$NA$1,IF(T14+IF(L14="",0,L14)=MT14,$LY$1,IF(T14+IF(L14="",0,L14)=LR14,$KW$1,IF(T14+IF(L14="",0,L14)=KP14,$JU$1,IF(T14+IF(L14="",0,L14)=JN14,$IS$1,IF(T14+IF(L14="",0,L14)=IL14,$HQ$1,IF(T14+IF(L14="",0,L14)=HJ14,$GO$1,IF(T14+IF(L14="",0,L14)=GH14,$FM$1,IF(T14+IF(L14="",0,L14)=FF14,$EK$1,IF(T14+IF(L14="",0,L14)=ED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</f>
        <v/>
      </c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51"/>
      <c r="AR14" s="76" t="str">
        <f>IF(SUM(X14,AB14)&gt;0,SUM(X14,AB14),"")</f>
        <v/>
      </c>
      <c r="AS14" s="76" t="str">
        <f>IF(SUM(W14:X14,Z14:AB14,AD14)-Y14-AC14&gt;0,SUM(W14:X14,Z14:AB14,AD14)-Y14-AC14,"")</f>
        <v/>
      </c>
      <c r="AT14" s="76" t="str">
        <f>IF(SUM(AE14:AF14,AH14)-AG14&gt;0,SUM(AE14:AF14,AH14)-AG14,"")</f>
        <v/>
      </c>
      <c r="AU14" s="76" t="str">
        <f>IF(SUM(X14,AB14,AF14)&gt;0,SUM(X14,AB14,AF14),"")</f>
        <v/>
      </c>
      <c r="AV14" s="76" t="str">
        <f>IF(SUM(AS14,AT14)&gt;0,SUM(AS14,AT14),"")</f>
        <v/>
      </c>
      <c r="AW14" s="76" t="str">
        <f>IF(SUM(AJ14,AN14)&gt;0,SUM(AJ14,AN14),"")</f>
        <v/>
      </c>
      <c r="AX14" s="76" t="str">
        <f>IF(SUM(AI14:AJ14,AL14:AN14,AP14)-SUM(AK14,AO14)&gt;0,SUM(AI14:AJ14,AL14:AN14,AP14)-SUM(AK14,AO14),"")</f>
        <v/>
      </c>
      <c r="AY14" s="76" t="str">
        <f>IF(SUM(AS14,AX14)&gt;0,SUM(AS14,AX14),"")</f>
        <v/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52"/>
      <c r="BU14" s="16" t="str">
        <f>IF(SUM(BA14,BE14)&gt;0,SUM(BA14,BE14),"")</f>
        <v/>
      </c>
      <c r="BV14" s="16" t="str">
        <f>IF(SUM(AZ14:BA14,BC14:BE14,BG14)-BB14-BF14&gt;0,SUM(AZ14:BA14,BC14:BE14,BG14)-BB14-BF14,"")</f>
        <v/>
      </c>
      <c r="BW14" s="16" t="str">
        <f>IF(SUM(BH14:BI14,BK14)-BJ14&gt;0,SUM(BH14:BI14,BK14)-BJ14,"")</f>
        <v/>
      </c>
      <c r="BX14" s="16" t="str">
        <f>IF(SUM(BA14,BE14,BI14)&gt;0,SUM(BA14,BE14,BI14),"")</f>
        <v/>
      </c>
      <c r="BY14" s="16" t="str">
        <f>IF(SUM(BV14,BW14)&gt;0,SUM(BV14,BW14),"")</f>
        <v/>
      </c>
      <c r="BZ14" s="16" t="str">
        <f>IF(SUM(BM14,BQ14)&gt;0,SUM(BM14,BQ14),"")</f>
        <v/>
      </c>
      <c r="CA14" s="16" t="str">
        <f>IF(SUM(BL14:BM14,BO14:BQ14,BS14)-SUM(BN14,BR14)&gt;0,SUM(BL14:BM14,BO14:BQ14,BS14)-SUM(BN14,BR14),"")</f>
        <v/>
      </c>
      <c r="CB14" s="16" t="str">
        <f>IF(SUM(BV14,CA14)&gt;0,SUM(BV14,CA14),"")</f>
        <v/>
      </c>
      <c r="CC14" s="27">
        <v>18.899999999999999</v>
      </c>
      <c r="CD14" s="27">
        <v>7.2</v>
      </c>
      <c r="CE14" s="27">
        <v>0</v>
      </c>
      <c r="CF14" s="27">
        <v>0</v>
      </c>
      <c r="CG14" s="27">
        <v>17.399999999999999</v>
      </c>
      <c r="CH14" s="27">
        <v>3.6</v>
      </c>
      <c r="CI14" s="27">
        <v>0</v>
      </c>
      <c r="CJ14" s="27">
        <v>0</v>
      </c>
      <c r="CK14" s="27">
        <v>18.899999999999999</v>
      </c>
      <c r="CL14" s="27">
        <v>6</v>
      </c>
      <c r="CM14" s="27">
        <v>0</v>
      </c>
      <c r="CN14" s="27">
        <v>0</v>
      </c>
      <c r="CO14" s="27">
        <v>17.399999999999999</v>
      </c>
      <c r="CP14" s="27">
        <v>2.8</v>
      </c>
      <c r="CQ14" s="27">
        <v>0</v>
      </c>
      <c r="CR14" s="27">
        <v>0</v>
      </c>
      <c r="CS14" s="27">
        <v>17.399999999999999</v>
      </c>
      <c r="CT14" s="27">
        <v>2.4</v>
      </c>
      <c r="CU14" s="27">
        <v>0</v>
      </c>
      <c r="CV14" s="27">
        <v>0</v>
      </c>
      <c r="CW14" s="51"/>
      <c r="CX14" s="76">
        <f>IF(SUM(CD14,CH14)&gt;0,SUM(CD14,CH14),"")</f>
        <v>10.8</v>
      </c>
      <c r="CY14" s="76">
        <f>IF(SUM(CC14:CD14,CF14:CH14,CJ14)-CE14-CI14&gt;0,SUM(CC14:CD14,CF14:CH14,CJ14)-CE14-CI14,"")</f>
        <v>47.1</v>
      </c>
      <c r="CZ14" s="76">
        <f>IF(SUM(CK14:CL14,CN14)-CM14&gt;0,SUM(CK14:CL14,CN14)-CM14,"")</f>
        <v>24.9</v>
      </c>
      <c r="DA14" s="76">
        <f>IF(SUM(CD14,CH14,CL14)&gt;0,SUM(CD14,CH14,CL14),"")</f>
        <v>16.8</v>
      </c>
      <c r="DB14" s="76">
        <f>IF(SUM(CY14,CZ14)&gt;0,SUM(CY14,CZ14),"")</f>
        <v>72</v>
      </c>
      <c r="DC14" s="76">
        <f>IF(SUM(CP14,CT14)&gt;0,SUM(CP14,CT14),"")</f>
        <v>5.1999999999999993</v>
      </c>
      <c r="DD14" s="76">
        <f>IF(SUM(CO14:CP14,CR14:CT14,CV14)-SUM(CQ14,CU14)&gt;0,SUM(CO14:CP14,CR14:CT14,CV14)-SUM(CQ14,CU14),"")</f>
        <v>39.999999999999993</v>
      </c>
      <c r="DE14" s="76">
        <f>IF(SUM(CY14,DD14)&gt;0,SUM(CY14,DD14),"")</f>
        <v>87.1</v>
      </c>
      <c r="DF14" s="87" t="str">
        <f>IF(L14&gt;=0.001,IF(MAX(ED14,FF14,GH14,HJ14,IL14,JN14,KP14,LR14,MT14,NV14,OX14,PZ14)-IF(L14="",0,L14)&gt;0.001,MAX(ED14,FF14,GH14,HJ14,IL14,JN14,KP14,LR14,MT14,NV14,OX14,PZ14)-IF(L14="",0,L14),""),"")</f>
        <v/>
      </c>
      <c r="DG14" s="87" t="str">
        <f>IF(P14&gt;=0.001,IF(MAX(EE14,FG14,GI14,HK14,IM14,JO14,KQ14,LS14,MU14,NW14,OY14,QA14)-IF(P14="",0,P14)&gt;0.001,MAX(EE14,FG14,GI14,HK14,IM14,JO14,KQ14,LS14,MU14,NW14,OY14,QA14)-IF(P14="",0,P14),""),"")</f>
        <v/>
      </c>
      <c r="DH14" s="87" t="str">
        <f>IF(R14&gt;=0.001,IF(MAX(EI14,FK14,GM14,HO14,IQ14,JS14,KU14,LW14,MY14,OA14,PC14,QE14)-IF(R14="",0,R14)&gt;0.001,MAX(EI14,FK14,GM14,HO14,IQ14,JS14,KU14,LW14,MY14,OA14,PC14,QE14)-IF(R14="",0,R14),""),"")</f>
        <v/>
      </c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76" t="str">
        <f>IF(SUM(DJ14,DN14)&gt;0,SUM(DJ14,DN14),"")</f>
        <v/>
      </c>
      <c r="ED14" s="76" t="str">
        <f>IF(SUM(DI14:DJ14,DL14:DN14,DP14)-DK14-DO14&gt;0,SUM(DI14:DJ14,DL14:DN14,DP14)-DK14-DO14,"")</f>
        <v/>
      </c>
      <c r="EE14" s="76" t="str">
        <f>IF(SUM(DQ14:DR14,DT14)-DS14&gt;0,SUM(DQ14:DR14,DT14)-DS14,"")</f>
        <v/>
      </c>
      <c r="EF14" s="76" t="str">
        <f>IF(SUM(DJ14,DN14,DR14)&gt;0,SUM(DJ14,DN14,DR14),"")</f>
        <v/>
      </c>
      <c r="EG14" s="76" t="str">
        <f>IF(SUM(ED14,EE14)&gt;0,SUM(ED14,EE14),"")</f>
        <v/>
      </c>
      <c r="EH14" s="76" t="str">
        <f>IF(SUM(DV14,DZ14)&gt;0,SUM(DV14,DZ14),"")</f>
        <v/>
      </c>
      <c r="EI14" s="76" t="str">
        <f>IF(SUM(DU14:DV14,DX14:DZ14,EB14)-SUM(DW14,EA14)&gt;0,SUM(DU14:DV14,DX14:DZ14,EB14)-SUM(DW14,EA14),"")</f>
        <v/>
      </c>
      <c r="EJ14" s="76" t="str">
        <f>IF(SUM(ED14,EI14)&gt;0,SUM(ED14,EI14),"")</f>
        <v/>
      </c>
      <c r="EK14" s="26">
        <v>18.600000000000001</v>
      </c>
      <c r="EL14" s="26">
        <v>7.2</v>
      </c>
      <c r="EM14" s="26">
        <v>0.6</v>
      </c>
      <c r="EN14" s="26">
        <v>0</v>
      </c>
      <c r="EO14" s="26">
        <v>17.8</v>
      </c>
      <c r="EP14" s="26">
        <v>6.8</v>
      </c>
      <c r="EQ14" s="26">
        <v>0.2</v>
      </c>
      <c r="ER14" s="26">
        <v>0</v>
      </c>
      <c r="ES14" s="26"/>
      <c r="ET14" s="26"/>
      <c r="EU14" s="26"/>
      <c r="EV14" s="26"/>
      <c r="EW14" s="26">
        <v>18.600000000000001</v>
      </c>
      <c r="EX14" s="26">
        <v>7.2</v>
      </c>
      <c r="EY14" s="26">
        <v>0.2</v>
      </c>
      <c r="EZ14" s="26">
        <v>0</v>
      </c>
      <c r="FA14" s="26">
        <v>0</v>
      </c>
      <c r="FB14" s="26">
        <v>0</v>
      </c>
      <c r="FC14" s="26">
        <v>0</v>
      </c>
      <c r="FD14" s="26">
        <v>0</v>
      </c>
      <c r="FE14" s="16">
        <f>IF(SUM(EL14,EP14)&gt;0,SUM(EL14,EP14),"")</f>
        <v>14</v>
      </c>
      <c r="FF14" s="16">
        <f>IF(SUM(EK14:EL14,EN14:EP14,ER14)-EM14-EQ14&gt;0,SUM(EK14:EL14,EN14:EP14,ER14)-EM14-EQ14,"")</f>
        <v>49.599999999999994</v>
      </c>
      <c r="FG14" s="16" t="str">
        <f>IF(SUM(ES14:ET14,EV14)-EU14&gt;0,SUM(ES14:ET14,EV14)-EU14,"")</f>
        <v/>
      </c>
      <c r="FH14" s="16">
        <f>IF(SUM(EL14,EP14,ET14)&gt;0,SUM(EL14,EP14,ET14),"")</f>
        <v>14</v>
      </c>
      <c r="FI14" s="16">
        <f>IF(SUM(FF14,FG14)&gt;0,SUM(FF14,FG14),"")</f>
        <v>49.599999999999994</v>
      </c>
      <c r="FJ14" s="16">
        <f>IF(SUM(EX14,FB14)&gt;0,SUM(EX14,FB14),"")</f>
        <v>7.2</v>
      </c>
      <c r="FK14" s="16">
        <f>IF(SUM(EW14:EX14,EZ14:FB14,FD14)-SUM(EY14,FC14)&gt;0,SUM(EW14:EX14,EZ14:FB14,FD14)-SUM(EY14,FC14),"")</f>
        <v>25.6</v>
      </c>
      <c r="FL14" s="16">
        <f>IF(SUM(FF14,FK14)&gt;0,SUM(FF14,FK14),"")</f>
        <v>75.199999999999989</v>
      </c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76" t="str">
        <f>IF(SUM(FN14,FR14)&gt;0,SUM(FN14,FR14),"")</f>
        <v/>
      </c>
      <c r="GH14" s="76" t="str">
        <f>IF(SUM(FM14:FN14,FP14:FR14,FT14)-FO14-FS14&gt;0,SUM(FM14:FN14,FP14:FR14,FT14)-FO14-FS14,"")</f>
        <v/>
      </c>
      <c r="GI14" s="76" t="str">
        <f>IF(SUM(FU14:FV14,FX14)-FW14&gt;0,SUM(FU14:FV14,FX14)-FW14,"")</f>
        <v/>
      </c>
      <c r="GJ14" s="76" t="str">
        <f>IF(SUM(FN14,FR14,FV14)&gt;0,SUM(FN14,FR14,FV14),"")</f>
        <v/>
      </c>
      <c r="GK14" s="76" t="str">
        <f>IF(SUM(GH14,GI14)&gt;0,SUM(GH14,GI14),"")</f>
        <v/>
      </c>
      <c r="GL14" s="76" t="str">
        <f>IF(SUM(FZ14,GD14)&gt;0,SUM(FZ14,GD14),"")</f>
        <v/>
      </c>
      <c r="GM14" s="76" t="str">
        <f>IF(SUM(FY14:FZ14,GB14:GD14,GF14)-SUM(GA14,GE14)&gt;0,SUM(FY14:FZ14,GB14:GD14,GF14)-SUM(GA14,GE14),"")</f>
        <v/>
      </c>
      <c r="GN14" s="76" t="str">
        <f>IF(SUM(GH14,GM14)&gt;0,SUM(GH14,GM14),"")</f>
        <v/>
      </c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16" t="str">
        <f>IF(SUM(GP14,GT14)&gt;0,SUM(GP14,GT14),"")</f>
        <v/>
      </c>
      <c r="HJ14" s="16" t="str">
        <f>IF(SUM(GO14:GP14,GR14:GT14,GV14)-GQ14-GU14&gt;0,SUM(GO14:GP14,GR14:GT14,GV14)-GQ14-GU14,"")</f>
        <v/>
      </c>
      <c r="HK14" s="16" t="str">
        <f>IF(SUM(GW14:GX14,GZ14)-GY14&gt;0,SUM(GW14:GX14,GZ14)-GY14,"")</f>
        <v/>
      </c>
      <c r="HL14" s="16" t="str">
        <f>IF(SUM(GP14,GT14,GX14)&gt;0,SUM(GP14,GT14,GX14),"")</f>
        <v/>
      </c>
      <c r="HM14" s="16" t="str">
        <f>IF(SUM(HJ14,HK14)&gt;0,SUM(HJ14,HK14),"")</f>
        <v/>
      </c>
      <c r="HN14" s="16" t="str">
        <f>IF(SUM(HB14,HF14)&gt;0,SUM(HB14,HF14),"")</f>
        <v/>
      </c>
      <c r="HO14" s="16" t="str">
        <f>IF(SUM(HA14:HB14,HD14:HF14,HH14)-SUM(HC14,HG14)&gt;0,SUM(HA14:HB14,HD14:HF14,HH14)-SUM(HC14,HG14),"")</f>
        <v/>
      </c>
      <c r="HP14" s="16" t="str">
        <f>IF(SUM(HJ14,HO14)&gt;0,SUM(HJ14,HO14),"")</f>
        <v/>
      </c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76" t="str">
        <f>IF(SUM(HR14,HV14)&gt;0,SUM(HR14,HV14),"")</f>
        <v/>
      </c>
      <c r="IL14" s="76" t="str">
        <f>IF(SUM(HQ14:HR14,HT14:HV14,HX14)-HS14-HW14&gt;0,SUM(HQ14:HR14,HT14:HV14,HX14)-HS14-HW14,"")</f>
        <v/>
      </c>
      <c r="IM14" s="76" t="str">
        <f>IF(SUM(HY14:HZ14,IB14)-IA14&gt;0,SUM(HY14:HZ14,IB14)-IA14,"")</f>
        <v/>
      </c>
      <c r="IN14" s="76" t="str">
        <f>IF(SUM(HR14,HV14,HZ14)&gt;0,SUM(HR14,HV14,HZ14),"")</f>
        <v/>
      </c>
      <c r="IO14" s="76" t="str">
        <f>IF(SUM(IL14,IM14)&gt;0,SUM(IL14,IM14),"")</f>
        <v/>
      </c>
      <c r="IP14" s="76" t="str">
        <f>IF(SUM(ID14,IH14)&gt;0,SUM(ID14,IH14),"")</f>
        <v/>
      </c>
      <c r="IQ14" s="76" t="str">
        <f>IF(SUM(IC14:ID14,IF14:IH14,IJ14)-SUM(IE14,II14)&gt;0,SUM(IC14:ID14,IF14:IH14,IJ14)-SUM(IE14,II14),"")</f>
        <v/>
      </c>
      <c r="IR14" s="76" t="str">
        <f>IF(SUM(IL14,IQ14)&gt;0,SUM(IL14,IQ14),"")</f>
        <v/>
      </c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16" t="str">
        <f>IF(SUM(IT14,IX14)&gt;0,SUM(IT14,IX14),"")</f>
        <v/>
      </c>
      <c r="JN14" s="16" t="str">
        <f>IF(SUM(IS14:IT14,IV14:IX14,IZ14)-IU14-IY14&gt;0,SUM(IS14:IT14,IV14:IX14,IZ14)-IU14-IY14,"")</f>
        <v/>
      </c>
      <c r="JO14" s="16" t="str">
        <f>IF(SUM(JA14:JB14,JD14)-JC14&gt;0,SUM(JA14:JB14,JD14)-JC14,"")</f>
        <v/>
      </c>
      <c r="JP14" s="16" t="str">
        <f>IF(SUM(IT14,IX14,JB14)&gt;0,SUM(IT14,IX14,JB14),"")</f>
        <v/>
      </c>
      <c r="JQ14" s="16" t="str">
        <f>IF(SUM(JN14,JO14)&gt;0,SUM(JN14,JO14),"")</f>
        <v/>
      </c>
      <c r="JR14" s="16" t="str">
        <f>IF(SUM(JF14,JJ14)&gt;0,SUM(JF14,JJ14),"")</f>
        <v/>
      </c>
      <c r="JS14" s="16" t="str">
        <f>IF(SUM(JE14:JF14,JH14:JJ14,JL14)-SUM(JG14,JK14)&gt;0,SUM(JE14:JF14,JH14:JJ14,JL14)-SUM(JG14,JK14),"")</f>
        <v/>
      </c>
      <c r="JT14" s="16" t="str">
        <f>IF(SUM(JN14,JS14)&gt;0,SUM(JN14,JS14),"")</f>
        <v/>
      </c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76" t="str">
        <f>IF(SUM(JV14,JZ14)&gt;0,SUM(JV14,JZ14),"")</f>
        <v/>
      </c>
      <c r="KP14" s="76" t="str">
        <f>IF(SUM(JU14:JV14,JX14:JZ14,KB14)-JW14-KA14&gt;0,SUM(JU14:JV14,JX14:JZ14,KB14)-JW14-KA14,"")</f>
        <v/>
      </c>
      <c r="KQ14" s="76" t="str">
        <f>IF(SUM(KC14:KD14,KF14)-KE14&gt;0,SUM(KC14:KD14,KF14)-KE14,"")</f>
        <v/>
      </c>
      <c r="KR14" s="76" t="str">
        <f>IF(SUM(JV14,JZ14,KD14)&gt;0,SUM(JV14,JZ14,KD14),"")</f>
        <v/>
      </c>
      <c r="KS14" s="76" t="str">
        <f>IF(SUM(KP14,KQ14)&gt;0,SUM(KP14,KQ14),"")</f>
        <v/>
      </c>
      <c r="KT14" s="76" t="str">
        <f>IF(SUM(KH14,KL14)&gt;0,SUM(KH14,KL14),"")</f>
        <v/>
      </c>
      <c r="KU14" s="76" t="str">
        <f>IF(SUM(KG14:KH14,KJ14:KL14,KN14)-SUM(KI14,KM14)&gt;0,SUM(KG14:KH14,KJ14:KL14,KN14)-SUM(KI14,KM14),"")</f>
        <v/>
      </c>
      <c r="KV14" s="76" t="str">
        <f>IF(SUM(KP14,KU14)&gt;0,SUM(KP14,KU14),"")</f>
        <v/>
      </c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16" t="str">
        <f>IF(SUM(KX14,LB14)&gt;0,SUM(KX14,LB14),"")</f>
        <v/>
      </c>
      <c r="LR14" s="16" t="str">
        <f>IF(SUM(KW14:KX14,KZ14:LB14,LD14)-KY14-LC14&gt;0,SUM(KW14:KX14,KZ14:LB14,LD14)-KY14-LC14,"")</f>
        <v/>
      </c>
      <c r="LS14" s="16" t="str">
        <f>IF(SUM(LE14:LF14,LH14)-LG14&gt;0,SUM(LE14:LF14,LH14)-LG14,"")</f>
        <v/>
      </c>
      <c r="LT14" s="16" t="str">
        <f>IF(SUM(KX14,LB14,LF14)&gt;0,SUM(KX14,LB14,LF14),"")</f>
        <v/>
      </c>
      <c r="LU14" s="16" t="str">
        <f>IF(SUM(LR14,LS14)&gt;0,SUM(LR14,LS14),"")</f>
        <v/>
      </c>
      <c r="LV14" s="16" t="str">
        <f>IF(SUM(LJ14,LN14)&gt;0,SUM(LJ14,LN14),"")</f>
        <v/>
      </c>
      <c r="LW14" s="16" t="str">
        <f>IF(SUM(LI14:LJ14,LL14:LN14,LP14)-SUM(LK14,LO14)&gt;0,SUM(LI14:LJ14,LL14:LN14,LP14)-SUM(LK14,LO14),"")</f>
        <v/>
      </c>
      <c r="LX14" s="16" t="str">
        <f>IF(SUM(LR14,LW14)&gt;0,SUM(LR14,LW14),"")</f>
        <v/>
      </c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76" t="str">
        <f>IF(SUM(LZ14,MD14)&gt;0,SUM(LZ14,MD14),"")</f>
        <v/>
      </c>
      <c r="MT14" s="76" t="str">
        <f>IF(SUM(LY14:LZ14,MB14:MD14,MF14)-MA14-ME14&gt;0,SUM(LY14:LZ14,MB14:MD14,MF14)-MA14-ME14,"")</f>
        <v/>
      </c>
      <c r="MU14" s="76" t="str">
        <f>IF(SUM(MG14:MH14,MJ14)-MI14&gt;0,SUM(MG14:MH14,MJ14)-MI14,"")</f>
        <v/>
      </c>
      <c r="MV14" s="76" t="str">
        <f>IF(SUM(LZ14,MD14,MH14)&gt;0,SUM(LZ14,MD14,MH14),"")</f>
        <v/>
      </c>
      <c r="MW14" s="76" t="str">
        <f>IF(SUM(MT14,MU14)&gt;0,SUM(MT14,MU14),"")</f>
        <v/>
      </c>
      <c r="MX14" s="76" t="str">
        <f>IF(SUM(ML14,MP14)&gt;0,SUM(ML14,MP14),"")</f>
        <v/>
      </c>
      <c r="MY14" s="76" t="str">
        <f>IF(SUM(MK14:ML14,MN14:MP14,MR14)-SUM(MM14,MQ14)&gt;0,SUM(MK14:ML14,MN14:MP14,MR14)-SUM(MM14,MQ14),"")</f>
        <v/>
      </c>
      <c r="MZ14" s="76" t="str">
        <f>IF(SUM(MT14,MY14)&gt;0,SUM(MT14,MY14),"")</f>
        <v/>
      </c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16" t="str">
        <f>IF(SUM(NB14,NF14)&gt;0,SUM(NB14,NF14),"")</f>
        <v/>
      </c>
      <c r="NV14" s="16" t="str">
        <f>IF(SUM(NA14:NB14,ND14:NF14,NH14)-NC14-NG14&gt;0,SUM(NA14:NB14,ND14:NF14,NH14)-NC14-NG14,"")</f>
        <v/>
      </c>
      <c r="NW14" s="16" t="str">
        <f>IF(SUM(NI14:NJ14,NL14)-NK14&gt;0,SUM(NI14:NJ14,NL14)-NK14,"")</f>
        <v/>
      </c>
      <c r="NX14" s="16" t="str">
        <f>IF(SUM(NB14,NF14,NJ14)&gt;0,SUM(NB14,NF14,NJ14),"")</f>
        <v/>
      </c>
      <c r="NY14" s="16" t="str">
        <f>IF(SUM(NV14,NW14)&gt;0,SUM(NV14,NW14),"")</f>
        <v/>
      </c>
      <c r="NZ14" s="16" t="str">
        <f>IF(SUM(NN14,NR14)&gt;0,SUM(NN14,NR14),"")</f>
        <v/>
      </c>
      <c r="OA14" s="16" t="str">
        <f>IF(SUM(NM14:NN14,NP14:NR14,NT14)-SUM(NO14,NS14)&gt;0,SUM(NM14:NN14,NP14:NR14,NT14)-SUM(NO14,NS14),"")</f>
        <v/>
      </c>
      <c r="OB14" s="16" t="str">
        <f>IF(SUM(NV14,OA14)&gt;0,SUM(NV14,OA14),"")</f>
        <v/>
      </c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76" t="str">
        <f>IF(SUM(OD14,OH14)&gt;0,SUM(OD14,OH14),"")</f>
        <v/>
      </c>
      <c r="OX14" s="76" t="str">
        <f>IF(SUM(OC14:OD14,OF14:OH14,OJ14)-OE14-OI14&gt;0,SUM(OC14:OD14,OF14:OH14,OJ14)-OE14-OI14,"")</f>
        <v/>
      </c>
      <c r="OY14" s="76" t="str">
        <f>IF(SUM(OK14:OL14,ON14)-OM14&gt;0,SUM(OK14:OL14,ON14)-OM14,"")</f>
        <v/>
      </c>
      <c r="OZ14" s="76" t="str">
        <f>IF(SUM(OD14,OH14,OL14)&gt;0,SUM(OD14,OH14,OL14),"")</f>
        <v/>
      </c>
      <c r="PA14" s="76" t="str">
        <f>IF(SUM(OX14,OY14)&gt;0,SUM(OX14,OY14),"")</f>
        <v/>
      </c>
      <c r="PB14" s="76" t="str">
        <f>IF(SUM(OP14,OT14)&gt;0,SUM(OP14,OT14),"")</f>
        <v/>
      </c>
      <c r="PC14" s="76" t="str">
        <f>IF(SUM(OO14:OP14,OR14:OT14,OV14)-SUM(OQ14,OU14)&gt;0,SUM(OO14:OP14,OR14:OT14,OV14)-SUM(OQ14,OU14),"")</f>
        <v/>
      </c>
      <c r="PD14" s="76" t="str">
        <f>IF(SUM(OX14,PC14)&gt;0,SUM(OX14,PC14),"")</f>
        <v/>
      </c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16" t="str">
        <f>IF(SUM(PF14,PJ14)&gt;0,SUM(PF14,PJ14),"")</f>
        <v/>
      </c>
      <c r="PZ14" s="16" t="str">
        <f>IF(SUM(PE14:PF14,PH14:PJ14,PL14)-PG14-PK14&gt;0,SUM(PE14:PF14,PH14:PJ14,PL14)-PG14-PK14,"")</f>
        <v/>
      </c>
      <c r="QA14" s="16" t="str">
        <f>IF(SUM(PM14:PN14,PP14)-PO14&gt;0,SUM(PM14:PN14,PP14)-PO14,"")</f>
        <v/>
      </c>
      <c r="QB14" s="16" t="str">
        <f>IF(SUM(PF14,PJ14,PN14)&gt;0,SUM(PF14,PJ14,PN14),"")</f>
        <v/>
      </c>
      <c r="QC14" s="16" t="str">
        <f>IF(SUM(PZ14,QA14)&gt;0,SUM(PZ14,QA14),"")</f>
        <v/>
      </c>
      <c r="QD14" s="16" t="str">
        <f>IF(SUM(PR14,PV14)&gt;0,SUM(PR14,PV14),"")</f>
        <v/>
      </c>
      <c r="QE14" s="16" t="str">
        <f>IF(SUM(PQ14:PR14,PT14:PV14,PX14)-SUM(PS14,PW14)&gt;0,SUM(PQ14:PR14,PT14:PV14,PX14)-SUM(PS14,PW14),"")</f>
        <v/>
      </c>
      <c r="QF14" s="16" t="str">
        <f>IF(SUM(PZ14,QE14)&gt;0,SUM(PZ14,QE14),"")</f>
        <v/>
      </c>
      <c r="QG14" s="42">
        <f>IF($CW14="P",CC14,(CC14+AZ14)/2)</f>
        <v>9.4499999999999993</v>
      </c>
      <c r="QH14" s="42">
        <f>IF($CW14="P",CD14,(CD14+BA14)/2)</f>
        <v>3.6</v>
      </c>
      <c r="QI14" s="42">
        <f>IF($CW14="P",CE14,(CE14+BB14)/2)</f>
        <v>0</v>
      </c>
      <c r="QJ14" s="42">
        <f>IF($CW14="P",CF14,(CF14+BC14)/2)</f>
        <v>0</v>
      </c>
      <c r="QK14" s="42">
        <f>IF($CW14="P",CG14,(CG14+BD14)/2)</f>
        <v>8.6999999999999993</v>
      </c>
      <c r="QL14" s="42">
        <f>IF($CW14="P",CH14,(CH14+BE14)/2)</f>
        <v>1.8</v>
      </c>
      <c r="QM14" s="42">
        <f>IF($CW14="P",CI14,(CI14+BF14)/2)</f>
        <v>0</v>
      </c>
      <c r="QN14" s="42">
        <f>IF($CW14="P",CJ14,(CJ14+BG14)/2)</f>
        <v>0</v>
      </c>
      <c r="QO14" s="42">
        <f>IF($CW14="P",CK14,(CK14+BH14)/2)</f>
        <v>9.4499999999999993</v>
      </c>
      <c r="QP14" s="42">
        <f>IF($CW14="P",CL14,(CL14+BI14)/2)</f>
        <v>3</v>
      </c>
      <c r="QQ14" s="42">
        <f>IF($CW14="P",CM14,(CM14+BJ14)/2)</f>
        <v>0</v>
      </c>
      <c r="QR14" s="42">
        <f>IF($CW14="P",CN14,(CN14+BK14)/2)</f>
        <v>0</v>
      </c>
      <c r="QS14" s="42">
        <f>IF($CW14="P",CO14,(CO14+BL14)/2)</f>
        <v>8.6999999999999993</v>
      </c>
      <c r="QT14" s="42">
        <f>IF($CW14="P",CP14,(CP14+BM14)/2)</f>
        <v>1.4</v>
      </c>
      <c r="QU14" s="42">
        <f>IF($CW14="P",CQ14,(CQ14+BN14)/2)</f>
        <v>0</v>
      </c>
      <c r="QV14" s="42">
        <f>IF($CW14="P",CR14,(CR14+BO14)/2)</f>
        <v>0</v>
      </c>
      <c r="QW14" s="42">
        <f>IF($CW14="P",CS14,(CS14+BP14)/2)</f>
        <v>8.6999999999999993</v>
      </c>
      <c r="QX14" s="42">
        <f>IF($CW14="P",CT14,(CT14+BQ14)/2)</f>
        <v>1.2</v>
      </c>
      <c r="QY14" s="42">
        <f>IF($CW14="P",CU14,(CU14+BR14)/2)</f>
        <v>0</v>
      </c>
      <c r="QZ14" s="42">
        <f>IF($CW14="P",CV14,(CV14+BS14)/2)</f>
        <v>0</v>
      </c>
      <c r="RA14" s="51" t="s">
        <v>61</v>
      </c>
      <c r="RB14" s="76">
        <f>IF(SUM(QH14,QL14)&gt;0,SUM(QH14,QL14),"")</f>
        <v>5.4</v>
      </c>
      <c r="RC14" s="76">
        <f>IF(SUM(QG14:QH14,QJ14:QL14,QN14)-QI14-QM14&gt;0,SUM(QG14:QH14,QJ14:QL14,QN14)-QI14-QM14,"")</f>
        <v>23.55</v>
      </c>
      <c r="RD14" s="76">
        <f>IF(SUM(QO14:QP14,QR14)-QQ14&gt;0,SUM(QO14:QP14,QR14)-QQ14,"")</f>
        <v>12.45</v>
      </c>
      <c r="RE14" s="76">
        <f>IF(SUM(QH14,QL14,QP14)&gt;0,SUM(QH14,QL14,QP14),"")</f>
        <v>8.4</v>
      </c>
      <c r="RF14" s="76">
        <f>IF(SUM(RC14,RD14)&gt;0,SUM(RC14,RD14),"")</f>
        <v>36</v>
      </c>
      <c r="RG14" s="76">
        <f>IF(SUM(QT14,QX14)&gt;0,SUM(QT14,QX14),"")</f>
        <v>2.5999999999999996</v>
      </c>
      <c r="RH14" s="76">
        <f>IF(SUM(QS14:QT14,QV14:QX14,QZ14)-SUM(QU14,QY14)&gt;0,SUM(QS14:QT14,QV14:QX14,QZ14)-SUM(QU14,QY14),"")</f>
        <v>19.999999999999996</v>
      </c>
      <c r="RI14" s="76">
        <f>IF(SUM(RC14,RH14)&gt;0,SUM(RC14,RH14),"")</f>
        <v>43.55</v>
      </c>
    </row>
    <row r="15" spans="1:477" x14ac:dyDescent="0.2">
      <c r="A15" s="5" t="str">
        <f>IF(AND(F15="P",G15="P"),SUMPRODUCT((F$4:F$18="P")*(G$4:G$18="P")*(E$4:E$18&gt;E15))+1,IF(G15="P",SUMPRODUCT((F$4:F$18="")*(G$4:G$18="P")*(E$4:E$18&gt;E15))+1+SUMPRODUCT((F$4:F$18="P")*(G$4:G$18="P")),""))</f>
        <v/>
      </c>
      <c r="B15" s="6" t="s">
        <v>95</v>
      </c>
      <c r="C15" s="7" t="s">
        <v>6</v>
      </c>
      <c r="D15" s="18">
        <v>2002</v>
      </c>
      <c r="E15" s="14">
        <f>SUM(J15:T15)+SUM(J15:P15)*0.0000001+SUM(J15)*0.0000000000001</f>
        <v>67.500006750004815</v>
      </c>
      <c r="F15" s="3" t="str">
        <f>IF(OR(AND(AR15&gt;=AY$20,AS15&gt;=AY$24,AR15&lt;&gt;"",AQ15=""),AND(AW15&gt;=AY$20,AX15&gt;=AY$24,AW15&lt;&gt;"",AQ15=""),AND(BU15&gt;=CB$20,BV15&gt;=CB$24,BU15&lt;&gt;"",BT15=""),AND(BZ15&gt;=CB$20,CA15&gt;=CB$24,BZ15&lt;&gt;"",BT15=""),AND(CX15&gt;=DE$20,CY15&gt;=DE$24,CX15&lt;&gt;"",CW15=""),AND(DC15&gt;=DE$20,DD15&gt;=DE$24,DC15&lt;&gt;""),AND(EC15&gt;=EJ$20,ED15&gt;=EJ$24,EC15&lt;&gt;""),AND(EH15&gt;=EJ$20,EI15&gt;=EJ$24,EH15&lt;&gt;""),AND(FE15&gt;=FL$20,FF15&gt;=FL$24,FE15&lt;&gt;""),AND(FJ15&gt;=FL$20,FK15&gt;=FL$24,FJ15&lt;&gt;""),AND(GG15&gt;=GN$20,GH15&gt;=GN$24,GG15&lt;&gt;""),AND(GL15&gt;=GN$20,GM15&gt;=GN$24,GL15&lt;&gt;""),AND(HI15&gt;=HP$20,HJ15&gt;=HP$24,HI15&lt;&gt;""),AND(HN15&gt;=HP$20,HO15&gt;=HP$24,HN15&lt;&gt;""),AND(IK15&gt;=IR$20,IL15&gt;=IR$24,IK15&lt;&gt;""),AND(IP15&gt;=IR$20,IQ15&gt;=IR$24,IP15&lt;&gt;""),AND(JM15&gt;=JT$20,JN15&gt;=JT$24,JM15&lt;&gt;""),AND(JR15&gt;=JT$20,JS15&gt;=JT$24,JR15&lt;&gt;""),AND(KO15&gt;=KV$20,KP15&gt;=KV$24,KO15&lt;&gt;""),AND(KT15&gt;=KV$20,KU15&gt;=KV$24,KT15&lt;&gt;""),AND(LQ15&gt;=LX$20,LR15&gt;=LX$24,LQ15&lt;&gt;""),AND(LV15&gt;=LX$20,LW15&gt;=LX$24,LV15&lt;&gt;""),AND(MS15&gt;=MZ$20,MT15&gt;=MZ$24,MS15&lt;&gt;""),AND(MX15&gt;=MZ$20,MY15&gt;=MZ$24,MX15&lt;&gt;""),AND(NU15&gt;=OB$20,NV15&gt;=OB$24,NU15&lt;&gt;""),AND(NZ15&gt;=OB$20,OA15&gt;=OB$24,NZ15&lt;&gt;""),AND(OW15&gt;=PD$20,OX15&gt;=PD$24,OW15&lt;&gt;""),AND(PB15&gt;=PD$20,PC15&gt;=PD$24,PB15&lt;&gt;""),AND(PY15&gt;=QF$20,PZ15&gt;=QF$24,PY15&lt;&gt;""),AND(QD15&gt;=QF$20,QE15&gt;=QF$24,QD15&lt;&gt;"")),"P","")</f>
        <v/>
      </c>
      <c r="G15" s="3" t="str">
        <f>IF(OR(AND(AS15&gt;=AY$24,AS15&lt;&gt;"",AQ15=""),AND(AX15&gt;=AY$24,AX15&lt;&gt;"",AQ15=""),AND(BV15&gt;=CB$24,BV15&lt;&gt;"",BT15=""),AND(CA15&gt;=CB$24,CA15&lt;&gt;"",BT15=""),AND(CY15&gt;=DE$24,CY15&lt;&gt;"",CW15=""),AND(DD15&gt;=DE$24,DD15&lt;&gt;"",CW15=""),AND(ED15&gt;=EJ$24,ED15&lt;&gt;""),AND(EI15&gt;=EJ$24,EI15&lt;&gt;""),AND(FF15&gt;=FL$24,FF15&lt;&gt;""),AND(FK15&gt;=FL$24,FK15&lt;&gt;""),AND(GH15&gt;=GN$24,GH15&lt;&gt;""),AND(GM15&gt;=GN$24,GM15&lt;&gt;""),AND(HJ15&gt;=HP$24,HJ15&lt;&gt;""),AND(HO15&gt;=HP$24,HO15&lt;&gt;""),AND(IL15&gt;=IR$24,IL15&lt;&gt;""),AND(IQ15&gt;=IR$24,IQ15&lt;&gt;""),AND(JN15&gt;=JT$24,JN15&lt;&gt;""),AND(JS15&gt;=JT$24,JS15&lt;&gt;""),AND(KP15&gt;=KV$24,KP15&lt;&gt;""),AND(KU15&gt;=KV$24,KU15&lt;&gt;""),AND(LR15&gt;=LX$24,LR15&lt;&gt;""),AND(LW15&gt;=LX$24,LW15&lt;&gt;""),AND(MT15&gt;=MZ$24,MT15&lt;&gt;""),AND(MY15&gt;=MZ$24,MY15&lt;&gt;""),AND(NV15&gt;=OB$24,NV15&lt;&gt;""),AND(OA15&gt;=OB$24,OA15&lt;&gt;""),AND(OX15&gt;=PD$24,OX15&lt;&gt;""),AND(PC15&gt;=PD$24,PC15&lt;&gt;""),AND(PZ15&gt;=QF$24,PZ15&lt;&gt;""),AND(QE15&gt;=QF$24,QE15&lt;&gt;"")),"P","")</f>
        <v/>
      </c>
      <c r="H15" s="70" t="str">
        <f>IF(AND(G15="P",F15=""),"No DD",IF(OR(AND(AU15&gt;=AY$23,AV15&gt;=AY$27,AU15&lt;&gt;"",AQ15=""),AND(BX15&gt;=CB$23,BY15&gt;=CB$27,BX15&lt;&gt;"",BT15=""),AND(DA15&gt;=DE$23,DB15&gt;=DE$27,DA15&lt;&gt;"",CW15=""),AND(EF15&gt;=EJ$23,EG15&gt;=EJ$27,EF15&lt;&gt;""),AND(FH15&gt;=FL$23,FI15&gt;=FL$27,FH15&lt;&gt;""),AND(GJ15&gt;=GN$23,GK15&gt;=GN$27,GJ15&lt;&gt;""),AND(HL15&gt;=HP$23,HM15&gt;=HP$27,HL15&lt;&gt;""),AND(IN15&gt;=IR$23,IO15&gt;=IR$27,IN15&lt;&gt;""),AND(JP15&gt;=JT$23,JQ15&gt;=JT$27,JP15&lt;&gt;""),AND(KR15&gt;=KV$23,KS15&gt;=KV$27,KR15&lt;&gt;""),AND(LT15&gt;=LX$23,LU15&gt;=LX$27,LT15&lt;&gt;""),AND(MV15&gt;=MZ$23,MW15&gt;=MZ$27,MV15&lt;&gt;""),AND(NX15&gt;=OB$23,NY15&gt;=OB$27,NX15&lt;&gt;""),AND(OZ15&gt;=PD$23,PA15&gt;=PD$27,OZ15&lt;&gt;""),AND(QB15&gt;=QF$23,QC15&gt;=QF$27,QB15&lt;&gt;"")),"Merit",IF(OR(AND(AU15&gt;=AY$22,AV15&gt;=AY$26,AU15&lt;&gt;"",AQ15=""),AND(BX15&gt;=CB$22,BY15&gt;=CB$26,BX15&lt;&gt;"",BT15=""),AND(DA15&gt;=DE$22,DB15&gt;=DE$26,DA15&lt;&gt;"",CW15=""),AND(EF15&gt;=EJ$22,EG15&gt;=EJ$26,EF15&lt;&gt;""),AND(FH15&gt;=FL$22,FI15&gt;=FL$26,FH15&lt;&gt;""),AND(GJ15&gt;=GN$22,GK15&gt;=GN$26,GJ15&lt;&gt;""),AND(HL15&gt;=HP$22,HM15&gt;=HP$26,HL15&lt;&gt;""),AND(IN15&gt;=IR$22,IO15&gt;=IR$26,IN15&lt;&gt;""),AND(JP15&gt;=JT$22,JQ15&gt;=JT$26,JP15&lt;&gt;""),AND(KR15&gt;=KV$22,KS15&gt;=KV$26,KR15&lt;&gt;""),AND(LT15&gt;=LX$22,LU15&gt;=LX$26,LT15&lt;&gt;""),AND(MV15&gt;=MZ$22,MW15&gt;=MZ$26,MV15&lt;&gt;""),AND(NX15&gt;=OB$22,NY15&gt;=OB$26,NX15&lt;&gt;""),AND(OZ15&gt;=PD$22,PA15&gt;=PD$26,OZ15&lt;&gt;""),AND(QB15&gt;=QF$22,QC15&gt;=QF$26,QB15&lt;&gt;"")),"Excellence",IF(I15="P","Worlds Team",IF(F15="P","National Team","")))))</f>
        <v/>
      </c>
      <c r="I15" s="3" t="str">
        <f>IF(OR(AND(AU15&gt;=AY$21,AV15&gt;=AY$25,AU15&lt;&gt;"",AQ15=""),AND(BX15&gt;=CB$21,BY15&gt;=CB$25,BX15&lt;&gt;"",BT15=""),AND(DA15&gt;=DE$21,DB15&gt;=DE$25,DA15&lt;&gt;"",CW15=""),AND(EF15&gt;=EJ$21,EG15&gt;=EJ$25,EF15&lt;&gt;""),AND(FH15&gt;=FL$21,FI15&gt;=FL$25,FH15&lt;&gt;""),AND(GJ15&gt;=GN$21,GK15&gt;=GN$25,GJ15&lt;&gt;""),AND(HL15&gt;=HP$21,HM15&gt;=HP$25,HL15&lt;&gt;""),AND(IN15&gt;=IR$21,IO15&gt;=IR$25,IN15&lt;&gt;""),AND(JP15&gt;=JT$21,JQ15&gt;=JT$25,JP15&lt;&gt;""),AND(KR15&gt;=KV$21,KS15&gt;=KV$25,KR15&lt;&gt;""),AND(LT15&gt;=LX$21,LU15&gt;=LX$25,LT15&lt;&gt;""),AND(MV15&gt;=MZ$21,MW15&gt;=MZ$25,MV15&lt;&gt;""),AND(NX15&gt;=OB$21,NY15&gt;=OB$25,NX15&lt;&gt;""),AND(OZ15&gt;=PD$21,PA15&gt;=PD$25,OZ15&lt;&gt;""),AND(QB15&gt;=QF$21,QC15&gt;=QF$25,QB15&lt;&gt;"")),"P","")</f>
        <v/>
      </c>
      <c r="J15" s="13">
        <f>IF(COUNT(AS15,BV15,CY15)&gt;0,LARGE((AS15,BV15,CY15),1),0)</f>
        <v>48.2</v>
      </c>
      <c r="K15" s="13" t="str">
        <f>IF(J15=0,"",IF(J15=CY15,$CC$1,IF(J15=BV15,$AZ$1,IF(J15=AS15,$W$1,""))))</f>
        <v>2022 Elite Canada</v>
      </c>
      <c r="L15" s="13">
        <f>IF(COUNT(AS15,BV15,CY15)&gt;1,LARGE((AS15,BV15,CY15),2),0)</f>
        <v>0</v>
      </c>
      <c r="M15" s="13" t="str">
        <f>IF(L15=0,"",IF(L15=CY15,$CC$1,IF(L15=BV15,$AZ$1,IF(L15=AS15,$W$1,""))))</f>
        <v/>
      </c>
      <c r="N15" s="13">
        <f>IF(COUNT(AT15,BW15,CZ15)&gt;0,LARGE((AT15,BW15,CZ15),1),0)</f>
        <v>19.300000000000004</v>
      </c>
      <c r="O15" s="13" t="str">
        <f>IF(N15=0,"",IF(N15=CZ15,$CC$1,IF(N15=BW15,$AZ$1,IF(N15=AT15,$W$1,""))))</f>
        <v>2022 Elite Canada</v>
      </c>
      <c r="P15" s="13">
        <f>IF(COUNT(AT15,BW15,CZ15)&gt;1,LARGE((AT15,BW15,CZ15),2),0)</f>
        <v>0</v>
      </c>
      <c r="Q15" s="13" t="str">
        <f>IF(P15=0,"",IF(P15=CZ15,$CC$1,IF(P15=BW15,$AZ$1,IF(P15=AT15,$W$1,""))))</f>
        <v/>
      </c>
      <c r="R15" s="13">
        <f>IF(MAX(AX15,CA15,DD15)&gt;0,MAX(AX15,CA15,DD15),0)</f>
        <v>0</v>
      </c>
      <c r="S15" s="13" t="str">
        <f>IF(R15=0,"",IF(R15=DD15,$CC$1,IF(R15=CA15,$AZ$1,IF(R15=AX15,$W$1,""))))</f>
        <v/>
      </c>
      <c r="T15" s="13" t="str">
        <f>IF(MAX(DF15:DH15)&gt;0,MAX(DF15:DH15),"")</f>
        <v/>
      </c>
      <c r="U15" s="16" t="str">
        <f>IF(T15="","",IF(T15=DF15,"("&amp;DF$2&amp;")",IF(T15=DH15,"("&amp;DH$2&amp;")")))</f>
        <v/>
      </c>
      <c r="V15" s="13" t="str">
        <f>IF(T15="","",IF(T15=DF15,IF(T15+IF(L15="",0,L15)=PZ15,$PE$1,IF(T15+IF(L15="",0,L15)=OX15,$OC$1,IF(T15+IF(L15="",0,L15)=NV15,$NA$1,IF(T15+IF(L15="",0,L15)=MT15,$LY$1,IF(T15+IF(L15="",0,L15)=LR15,$KW$1,IF(T15+IF(L15="",0,L15)=KP15,$JU$1,IF(T15+IF(L15="",0,L15)=JN15,$IS$1,IF(T15+IF(L15="",0,L15)=IL15,$HQ$1,IF(T15+IF(L15="",0,L15)=HJ15,$GO$1,IF(T15+IF(L15="",0,L15)=GH15,$FM$1,IF(T15+IF(L15="",0,L15)=FF15,$EK$1,IF(T15+IF(L15="",0,L15)=ED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</f>
        <v/>
      </c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51"/>
      <c r="AR15" s="76" t="str">
        <f>IF(SUM(X15,AB15)&gt;0,SUM(X15,AB15),"")</f>
        <v/>
      </c>
      <c r="AS15" s="76" t="str">
        <f>IF(SUM(W15:X15,Z15:AB15,AD15)-Y15-AC15&gt;0,SUM(W15:X15,Z15:AB15,AD15)-Y15-AC15,"")</f>
        <v/>
      </c>
      <c r="AT15" s="76" t="str">
        <f>IF(SUM(AE15:AF15,AH15)-AG15&gt;0,SUM(AE15:AF15,AH15)-AG15,"")</f>
        <v/>
      </c>
      <c r="AU15" s="76" t="str">
        <f>IF(SUM(X15,AB15,AF15)&gt;0,SUM(X15,AB15,AF15),"")</f>
        <v/>
      </c>
      <c r="AV15" s="76" t="str">
        <f>IF(SUM(AS15,AT15)&gt;0,SUM(AS15,AT15),"")</f>
        <v/>
      </c>
      <c r="AW15" s="76" t="str">
        <f>IF(SUM(AJ15,AN15)&gt;0,SUM(AJ15,AN15),"")</f>
        <v/>
      </c>
      <c r="AX15" s="76" t="str">
        <f>IF(SUM(AI15:AJ15,AL15:AN15,AP15)-SUM(AK15,AO15)&gt;0,SUM(AI15:AJ15,AL15:AN15,AP15)-SUM(AK15,AO15),"")</f>
        <v/>
      </c>
      <c r="AY15" s="76" t="str">
        <f>IF(SUM(AS15,AX15)&gt;0,SUM(AS15,AX15),"")</f>
        <v/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52"/>
      <c r="BU15" s="16" t="str">
        <f>IF(SUM(BA15,BE15)&gt;0,SUM(BA15,BE15),"")</f>
        <v/>
      </c>
      <c r="BV15" s="16" t="str">
        <f>IF(SUM(AZ15:BA15,BC15:BE15,BG15)-BB15-BF15&gt;0,SUM(AZ15:BA15,BC15:BE15,BG15)-BB15-BF15,"")</f>
        <v/>
      </c>
      <c r="BW15" s="16" t="str">
        <f>IF(SUM(BH15:BI15,BK15)-BJ15&gt;0,SUM(BH15:BI15,BK15)-BJ15,"")</f>
        <v/>
      </c>
      <c r="BX15" s="16" t="str">
        <f>IF(SUM(BA15,BE15,BI15)&gt;0,SUM(BA15,BE15,BI15),"")</f>
        <v/>
      </c>
      <c r="BY15" s="16" t="str">
        <f>IF(SUM(BV15,BW15)&gt;0,SUM(BV15,BW15),"")</f>
        <v/>
      </c>
      <c r="BZ15" s="16" t="str">
        <f>IF(SUM(BM15,BQ15)&gt;0,SUM(BM15,BQ15),"")</f>
        <v/>
      </c>
      <c r="CA15" s="16" t="str">
        <f>IF(SUM(BL15:BM15,BO15:BQ15,BS15)-SUM(BN15,BR15)&gt;0,SUM(BL15:BM15,BO15:BQ15,BS15)-SUM(BN15,BR15),"")</f>
        <v/>
      </c>
      <c r="CB15" s="16" t="str">
        <f>IF(SUM(BV15,CA15)&gt;0,SUM(BV15,CA15),"")</f>
        <v/>
      </c>
      <c r="CC15" s="27">
        <v>18.2</v>
      </c>
      <c r="CD15" s="27">
        <v>6</v>
      </c>
      <c r="CE15" s="27">
        <v>0.8</v>
      </c>
      <c r="CF15" s="27">
        <v>0</v>
      </c>
      <c r="CG15" s="27">
        <v>19</v>
      </c>
      <c r="CH15" s="27">
        <v>6.4</v>
      </c>
      <c r="CI15" s="27">
        <v>0.6</v>
      </c>
      <c r="CJ15" s="27">
        <v>0</v>
      </c>
      <c r="CK15" s="27">
        <v>18.100000000000001</v>
      </c>
      <c r="CL15" s="27">
        <v>4.0999999999999996</v>
      </c>
      <c r="CM15" s="27">
        <v>2.9</v>
      </c>
      <c r="CN15" s="27">
        <v>0</v>
      </c>
      <c r="CO15" s="27"/>
      <c r="CP15" s="27"/>
      <c r="CQ15" s="27"/>
      <c r="CR15" s="27"/>
      <c r="CS15" s="27"/>
      <c r="CT15" s="27"/>
      <c r="CU15" s="27"/>
      <c r="CV15" s="27"/>
      <c r="CW15" s="51"/>
      <c r="CX15" s="76">
        <f>IF(SUM(CD15,CH15)&gt;0,SUM(CD15,CH15),"")</f>
        <v>12.4</v>
      </c>
      <c r="CY15" s="76">
        <f>IF(SUM(CC15:CD15,CF15:CH15,CJ15)-CE15-CI15&gt;0,SUM(CC15:CD15,CF15:CH15,CJ15)-CE15-CI15,"")</f>
        <v>48.2</v>
      </c>
      <c r="CZ15" s="76">
        <f>IF(SUM(CK15:CL15,CN15)-CM15&gt;0,SUM(CK15:CL15,CN15)-CM15,"")</f>
        <v>19.300000000000004</v>
      </c>
      <c r="DA15" s="76">
        <f>IF(SUM(CD15,CH15,CL15)&gt;0,SUM(CD15,CH15,CL15),"")</f>
        <v>16.5</v>
      </c>
      <c r="DB15" s="76">
        <f>IF(SUM(CY15,CZ15)&gt;0,SUM(CY15,CZ15),"")</f>
        <v>67.5</v>
      </c>
      <c r="DC15" s="76" t="str">
        <f>IF(SUM(CP15,CT15)&gt;0,SUM(CP15,CT15),"")</f>
        <v/>
      </c>
      <c r="DD15" s="76" t="str">
        <f>IF(SUM(CO15:CP15,CR15:CT15,CV15)-SUM(CQ15,CU15)&gt;0,SUM(CO15:CP15,CR15:CT15,CV15)-SUM(CQ15,CU15),"")</f>
        <v/>
      </c>
      <c r="DE15" s="76">
        <f>IF(SUM(CY15,DD15)&gt;0,SUM(CY15,DD15),"")</f>
        <v>48.2</v>
      </c>
      <c r="DF15" s="87" t="str">
        <f>IF(L15&gt;=0.001,IF(MAX(ED15,FF15,GH15,HJ15,IL15,JN15,KP15,LR15,MT15,NV15,OX15,PZ15)-IF(L15="",0,L15)&gt;0.001,MAX(ED15,FF15,GH15,HJ15,IL15,JN15,KP15,LR15,MT15,NV15,OX15,PZ15)-IF(L15="",0,L15),""),"")</f>
        <v/>
      </c>
      <c r="DG15" s="87" t="str">
        <f>IF(P15&gt;=0.001,IF(MAX(EE15,FG15,GI15,HK15,IM15,JO15,KQ15,LS15,MU15,NW15,OY15,QA15)-IF(P15="",0,P15)&gt;0.001,MAX(EE15,FG15,GI15,HK15,IM15,JO15,KQ15,LS15,MU15,NW15,OY15,QA15)-IF(P15="",0,P15),""),"")</f>
        <v/>
      </c>
      <c r="DH15" s="87" t="str">
        <f>IF(R15&gt;=0.001,IF(MAX(EI15,FK15,GM15,HO15,IQ15,JS15,KU15,LW15,MY15,OA15,PC15,QE15)-IF(R15="",0,R15)&gt;0.001,MAX(EI15,FK15,GM15,HO15,IQ15,JS15,KU15,LW15,MY15,OA15,PC15,QE15)-IF(R15="",0,R15),""),"")</f>
        <v/>
      </c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76" t="str">
        <f>IF(SUM(DJ15,DN15)&gt;0,SUM(DJ15,DN15),"")</f>
        <v/>
      </c>
      <c r="ED15" s="76" t="str">
        <f>IF(SUM(DI15:DJ15,DL15:DN15,DP15)-DK15-DO15&gt;0,SUM(DI15:DJ15,DL15:DN15,DP15)-DK15-DO15,"")</f>
        <v/>
      </c>
      <c r="EE15" s="76" t="str">
        <f>IF(SUM(DQ15:DR15,DT15)-DS15&gt;0,SUM(DQ15:DR15,DT15)-DS15,"")</f>
        <v/>
      </c>
      <c r="EF15" s="76" t="str">
        <f>IF(SUM(DJ15,DN15,DR15)&gt;0,SUM(DJ15,DN15,DR15),"")</f>
        <v/>
      </c>
      <c r="EG15" s="76" t="str">
        <f>IF(SUM(ED15,EE15)&gt;0,SUM(ED15,EE15),"")</f>
        <v/>
      </c>
      <c r="EH15" s="76" t="str">
        <f>IF(SUM(DV15,DZ15)&gt;0,SUM(DV15,DZ15),"")</f>
        <v/>
      </c>
      <c r="EI15" s="76" t="str">
        <f>IF(SUM(DU15:DV15,DX15:DZ15,EB15)-SUM(DW15,EA15)&gt;0,SUM(DU15:DV15,DX15:DZ15,EB15)-SUM(DW15,EA15),"")</f>
        <v/>
      </c>
      <c r="EJ15" s="76" t="str">
        <f>IF(SUM(ED15,EI15)&gt;0,SUM(ED15,EI15),"")</f>
        <v/>
      </c>
      <c r="EK15" s="26">
        <v>18</v>
      </c>
      <c r="EL15" s="26">
        <v>3.2</v>
      </c>
      <c r="EM15" s="26">
        <v>0</v>
      </c>
      <c r="EN15" s="26">
        <v>0</v>
      </c>
      <c r="EO15" s="26">
        <v>18.399999999999999</v>
      </c>
      <c r="EP15" s="26">
        <v>6.4</v>
      </c>
      <c r="EQ15" s="26">
        <v>0.2</v>
      </c>
      <c r="ER15" s="26">
        <v>0</v>
      </c>
      <c r="ES15" s="26"/>
      <c r="ET15" s="26"/>
      <c r="EU15" s="26"/>
      <c r="EV15" s="26"/>
      <c r="EW15" s="26">
        <v>0</v>
      </c>
      <c r="EX15" s="26">
        <v>0</v>
      </c>
      <c r="EY15" s="26">
        <v>0</v>
      </c>
      <c r="EZ15" s="26">
        <v>0</v>
      </c>
      <c r="FA15" s="26">
        <v>0</v>
      </c>
      <c r="FB15" s="26">
        <v>0</v>
      </c>
      <c r="FC15" s="26">
        <v>0</v>
      </c>
      <c r="FD15" s="26">
        <v>0</v>
      </c>
      <c r="FE15" s="16">
        <f>IF(SUM(EL15,EP15)&gt;0,SUM(EL15,EP15),"")</f>
        <v>9.6000000000000014</v>
      </c>
      <c r="FF15" s="16">
        <f>IF(SUM(EK15:EL15,EN15:EP15,ER15)-EM15-EQ15&gt;0,SUM(EK15:EL15,EN15:EP15,ER15)-EM15-EQ15,"")</f>
        <v>45.79999999999999</v>
      </c>
      <c r="FG15" s="16" t="str">
        <f>IF(SUM(ES15:ET15,EV15)-EU15&gt;0,SUM(ES15:ET15,EV15)-EU15,"")</f>
        <v/>
      </c>
      <c r="FH15" s="16">
        <f>IF(SUM(EL15,EP15,ET15)&gt;0,SUM(EL15,EP15,ET15),"")</f>
        <v>9.6000000000000014</v>
      </c>
      <c r="FI15" s="16">
        <f>IF(SUM(FF15,FG15)&gt;0,SUM(FF15,FG15),"")</f>
        <v>45.79999999999999</v>
      </c>
      <c r="FJ15" s="16" t="str">
        <f>IF(SUM(EX15,FB15)&gt;0,SUM(EX15,FB15),"")</f>
        <v/>
      </c>
      <c r="FK15" s="16" t="str">
        <f>IF(SUM(EW15:EX15,EZ15:FB15,FD15)-SUM(EY15,FC15)&gt;0,SUM(EW15:EX15,EZ15:FB15,FD15)-SUM(EY15,FC15),"")</f>
        <v/>
      </c>
      <c r="FL15" s="16">
        <f>IF(SUM(FF15,FK15)&gt;0,SUM(FF15,FK15),"")</f>
        <v>45.79999999999999</v>
      </c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76" t="str">
        <f>IF(SUM(FN15,FR15)&gt;0,SUM(FN15,FR15),"")</f>
        <v/>
      </c>
      <c r="GH15" s="76" t="str">
        <f>IF(SUM(FM15:FN15,FP15:FR15,FT15)-FO15-FS15&gt;0,SUM(FM15:FN15,FP15:FR15,FT15)-FO15-FS15,"")</f>
        <v/>
      </c>
      <c r="GI15" s="76" t="str">
        <f>IF(SUM(FU15:FV15,FX15)-FW15&gt;0,SUM(FU15:FV15,FX15)-FW15,"")</f>
        <v/>
      </c>
      <c r="GJ15" s="76" t="str">
        <f>IF(SUM(FN15,FR15,FV15)&gt;0,SUM(FN15,FR15,FV15),"")</f>
        <v/>
      </c>
      <c r="GK15" s="76" t="str">
        <f>IF(SUM(GH15,GI15)&gt;0,SUM(GH15,GI15),"")</f>
        <v/>
      </c>
      <c r="GL15" s="76" t="str">
        <f>IF(SUM(FZ15,GD15)&gt;0,SUM(FZ15,GD15),"")</f>
        <v/>
      </c>
      <c r="GM15" s="76" t="str">
        <f>IF(SUM(FY15:FZ15,GB15:GD15,GF15)-SUM(GA15,GE15)&gt;0,SUM(FY15:FZ15,GB15:GD15,GF15)-SUM(GA15,GE15),"")</f>
        <v/>
      </c>
      <c r="GN15" s="76" t="str">
        <f>IF(SUM(GH15,GM15)&gt;0,SUM(GH15,GM15),"")</f>
        <v/>
      </c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16" t="str">
        <f>IF(SUM(GP15,GT15)&gt;0,SUM(GP15,GT15),"")</f>
        <v/>
      </c>
      <c r="HJ15" s="16" t="str">
        <f>IF(SUM(GO15:GP15,GR15:GT15,GV15)-GQ15-GU15&gt;0,SUM(GO15:GP15,GR15:GT15,GV15)-GQ15-GU15,"")</f>
        <v/>
      </c>
      <c r="HK15" s="16" t="str">
        <f>IF(SUM(GW15:GX15,GZ15)-GY15&gt;0,SUM(GW15:GX15,GZ15)-GY15,"")</f>
        <v/>
      </c>
      <c r="HL15" s="16" t="str">
        <f>IF(SUM(GP15,GT15,GX15)&gt;0,SUM(GP15,GT15,GX15),"")</f>
        <v/>
      </c>
      <c r="HM15" s="16" t="str">
        <f>IF(SUM(HJ15,HK15)&gt;0,SUM(HJ15,HK15),"")</f>
        <v/>
      </c>
      <c r="HN15" s="16" t="str">
        <f>IF(SUM(HB15,HF15)&gt;0,SUM(HB15,HF15),"")</f>
        <v/>
      </c>
      <c r="HO15" s="16" t="str">
        <f>IF(SUM(HA15:HB15,HD15:HF15,HH15)-SUM(HC15,HG15)&gt;0,SUM(HA15:HB15,HD15:HF15,HH15)-SUM(HC15,HG15),"")</f>
        <v/>
      </c>
      <c r="HP15" s="16" t="str">
        <f>IF(SUM(HJ15,HO15)&gt;0,SUM(HJ15,HO15),"")</f>
        <v/>
      </c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76" t="str">
        <f>IF(SUM(HR15,HV15)&gt;0,SUM(HR15,HV15),"")</f>
        <v/>
      </c>
      <c r="IL15" s="76" t="str">
        <f>IF(SUM(HQ15:HR15,HT15:HV15,HX15)-HS15-HW15&gt;0,SUM(HQ15:HR15,HT15:HV15,HX15)-HS15-HW15,"")</f>
        <v/>
      </c>
      <c r="IM15" s="76" t="str">
        <f>IF(SUM(HY15:HZ15,IB15)-IA15&gt;0,SUM(HY15:HZ15,IB15)-IA15,"")</f>
        <v/>
      </c>
      <c r="IN15" s="76" t="str">
        <f>IF(SUM(HR15,HV15,HZ15)&gt;0,SUM(HR15,HV15,HZ15),"")</f>
        <v/>
      </c>
      <c r="IO15" s="76" t="str">
        <f>IF(SUM(IL15,IM15)&gt;0,SUM(IL15,IM15),"")</f>
        <v/>
      </c>
      <c r="IP15" s="76" t="str">
        <f>IF(SUM(ID15,IH15)&gt;0,SUM(ID15,IH15),"")</f>
        <v/>
      </c>
      <c r="IQ15" s="76" t="str">
        <f>IF(SUM(IC15:ID15,IF15:IH15,IJ15)-SUM(IE15,II15)&gt;0,SUM(IC15:ID15,IF15:IH15,IJ15)-SUM(IE15,II15),"")</f>
        <v/>
      </c>
      <c r="IR15" s="76" t="str">
        <f>IF(SUM(IL15,IQ15)&gt;0,SUM(IL15,IQ15),"")</f>
        <v/>
      </c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16" t="str">
        <f>IF(SUM(IT15,IX15)&gt;0,SUM(IT15,IX15),"")</f>
        <v/>
      </c>
      <c r="JN15" s="16" t="str">
        <f>IF(SUM(IS15:IT15,IV15:IX15,IZ15)-IU15-IY15&gt;0,SUM(IS15:IT15,IV15:IX15,IZ15)-IU15-IY15,"")</f>
        <v/>
      </c>
      <c r="JO15" s="16" t="str">
        <f>IF(SUM(JA15:JB15,JD15)-JC15&gt;0,SUM(JA15:JB15,JD15)-JC15,"")</f>
        <v/>
      </c>
      <c r="JP15" s="16" t="str">
        <f>IF(SUM(IT15,IX15,JB15)&gt;0,SUM(IT15,IX15,JB15),"")</f>
        <v/>
      </c>
      <c r="JQ15" s="16" t="str">
        <f>IF(SUM(JN15,JO15)&gt;0,SUM(JN15,JO15),"")</f>
        <v/>
      </c>
      <c r="JR15" s="16" t="str">
        <f>IF(SUM(JF15,JJ15)&gt;0,SUM(JF15,JJ15),"")</f>
        <v/>
      </c>
      <c r="JS15" s="16" t="str">
        <f>IF(SUM(JE15:JF15,JH15:JJ15,JL15)-SUM(JG15,JK15)&gt;0,SUM(JE15:JF15,JH15:JJ15,JL15)-SUM(JG15,JK15),"")</f>
        <v/>
      </c>
      <c r="JT15" s="16" t="str">
        <f>IF(SUM(JN15,JS15)&gt;0,SUM(JN15,JS15),"")</f>
        <v/>
      </c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76" t="str">
        <f>IF(SUM(JV15,JZ15)&gt;0,SUM(JV15,JZ15),"")</f>
        <v/>
      </c>
      <c r="KP15" s="76" t="str">
        <f>IF(SUM(JU15:JV15,JX15:JZ15,KB15)-JW15-KA15&gt;0,SUM(JU15:JV15,JX15:JZ15,KB15)-JW15-KA15,"")</f>
        <v/>
      </c>
      <c r="KQ15" s="76" t="str">
        <f>IF(SUM(KC15:KD15,KF15)-KE15&gt;0,SUM(KC15:KD15,KF15)-KE15,"")</f>
        <v/>
      </c>
      <c r="KR15" s="76" t="str">
        <f>IF(SUM(JV15,JZ15,KD15)&gt;0,SUM(JV15,JZ15,KD15),"")</f>
        <v/>
      </c>
      <c r="KS15" s="76" t="str">
        <f>IF(SUM(KP15,KQ15)&gt;0,SUM(KP15,KQ15),"")</f>
        <v/>
      </c>
      <c r="KT15" s="76" t="str">
        <f>IF(SUM(KH15,KL15)&gt;0,SUM(KH15,KL15),"")</f>
        <v/>
      </c>
      <c r="KU15" s="76" t="str">
        <f>IF(SUM(KG15:KH15,KJ15:KL15,KN15)-SUM(KI15,KM15)&gt;0,SUM(KG15:KH15,KJ15:KL15,KN15)-SUM(KI15,KM15),"")</f>
        <v/>
      </c>
      <c r="KV15" s="76" t="str">
        <f>IF(SUM(KP15,KU15)&gt;0,SUM(KP15,KU15),"")</f>
        <v/>
      </c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6"/>
      <c r="LQ15" s="16" t="str">
        <f>IF(SUM(KX15,LB15)&gt;0,SUM(KX15,LB15),"")</f>
        <v/>
      </c>
      <c r="LR15" s="16" t="str">
        <f>IF(SUM(KW15:KX15,KZ15:LB15,LD15)-KY15-LC15&gt;0,SUM(KW15:KX15,KZ15:LB15,LD15)-KY15-LC15,"")</f>
        <v/>
      </c>
      <c r="LS15" s="16" t="str">
        <f>IF(SUM(LE15:LF15,LH15)-LG15&gt;0,SUM(LE15:LF15,LH15)-LG15,"")</f>
        <v/>
      </c>
      <c r="LT15" s="16" t="str">
        <f>IF(SUM(KX15,LB15,LF15)&gt;0,SUM(KX15,LB15,LF15),"")</f>
        <v/>
      </c>
      <c r="LU15" s="16" t="str">
        <f>IF(SUM(LR15,LS15)&gt;0,SUM(LR15,LS15),"")</f>
        <v/>
      </c>
      <c r="LV15" s="16" t="str">
        <f>IF(SUM(LJ15,LN15)&gt;0,SUM(LJ15,LN15),"")</f>
        <v/>
      </c>
      <c r="LW15" s="16" t="str">
        <f>IF(SUM(LI15:LJ15,LL15:LN15,LP15)-SUM(LK15,LO15)&gt;0,SUM(LI15:LJ15,LL15:LN15,LP15)-SUM(LK15,LO15),"")</f>
        <v/>
      </c>
      <c r="LX15" s="16" t="str">
        <f>IF(SUM(LR15,LW15)&gt;0,SUM(LR15,LW15),"")</f>
        <v/>
      </c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25"/>
      <c r="MS15" s="76" t="str">
        <f>IF(SUM(LZ15,MD15)&gt;0,SUM(LZ15,MD15),"")</f>
        <v/>
      </c>
      <c r="MT15" s="76" t="str">
        <f>IF(SUM(LY15:LZ15,MB15:MD15,MF15)-MA15-ME15&gt;0,SUM(LY15:LZ15,MB15:MD15,MF15)-MA15-ME15,"")</f>
        <v/>
      </c>
      <c r="MU15" s="76" t="str">
        <f>IF(SUM(MG15:MH15,MJ15)-MI15&gt;0,SUM(MG15:MH15,MJ15)-MI15,"")</f>
        <v/>
      </c>
      <c r="MV15" s="76" t="str">
        <f>IF(SUM(LZ15,MD15,MH15)&gt;0,SUM(LZ15,MD15,MH15),"")</f>
        <v/>
      </c>
      <c r="MW15" s="76" t="str">
        <f>IF(SUM(MT15,MU15)&gt;0,SUM(MT15,MU15),"")</f>
        <v/>
      </c>
      <c r="MX15" s="76" t="str">
        <f>IF(SUM(ML15,MP15)&gt;0,SUM(ML15,MP15),"")</f>
        <v/>
      </c>
      <c r="MY15" s="76" t="str">
        <f>IF(SUM(MK15:ML15,MN15:MP15,MR15)-SUM(MM15,MQ15)&gt;0,SUM(MK15:ML15,MN15:MP15,MR15)-SUM(MM15,MQ15),"")</f>
        <v/>
      </c>
      <c r="MZ15" s="76" t="str">
        <f>IF(SUM(MT15,MY15)&gt;0,SUM(MT15,MY15),"")</f>
        <v/>
      </c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6"/>
      <c r="NU15" s="16" t="str">
        <f>IF(SUM(NB15,NF15)&gt;0,SUM(NB15,NF15),"")</f>
        <v/>
      </c>
      <c r="NV15" s="16" t="str">
        <f>IF(SUM(NA15:NB15,ND15:NF15,NH15)-NC15-NG15&gt;0,SUM(NA15:NB15,ND15:NF15,NH15)-NC15-NG15,"")</f>
        <v/>
      </c>
      <c r="NW15" s="16" t="str">
        <f>IF(SUM(NI15:NJ15,NL15)-NK15&gt;0,SUM(NI15:NJ15,NL15)-NK15,"")</f>
        <v/>
      </c>
      <c r="NX15" s="16" t="str">
        <f>IF(SUM(NB15,NF15,NJ15)&gt;0,SUM(NB15,NF15,NJ15),"")</f>
        <v/>
      </c>
      <c r="NY15" s="16" t="str">
        <f>IF(SUM(NV15,NW15)&gt;0,SUM(NV15,NW15),"")</f>
        <v/>
      </c>
      <c r="NZ15" s="16" t="str">
        <f>IF(SUM(NN15,NR15)&gt;0,SUM(NN15,NR15),"")</f>
        <v/>
      </c>
      <c r="OA15" s="16" t="str">
        <f>IF(SUM(NM15:NN15,NP15:NR15,NT15)-SUM(NO15,NS15)&gt;0,SUM(NM15:NN15,NP15:NR15,NT15)-SUM(NO15,NS15),"")</f>
        <v/>
      </c>
      <c r="OB15" s="16" t="str">
        <f>IF(SUM(NV15,OA15)&gt;0,SUM(NV15,OA15),"")</f>
        <v/>
      </c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25"/>
      <c r="OW15" s="76" t="str">
        <f>IF(SUM(OD15,OH15)&gt;0,SUM(OD15,OH15),"")</f>
        <v/>
      </c>
      <c r="OX15" s="76" t="str">
        <f>IF(SUM(OC15:OD15,OF15:OH15,OJ15)-OE15-OI15&gt;0,SUM(OC15:OD15,OF15:OH15,OJ15)-OE15-OI15,"")</f>
        <v/>
      </c>
      <c r="OY15" s="76" t="str">
        <f>IF(SUM(OK15:OL15,ON15)-OM15&gt;0,SUM(OK15:OL15,ON15)-OM15,"")</f>
        <v/>
      </c>
      <c r="OZ15" s="76" t="str">
        <f>IF(SUM(OD15,OH15,OL15)&gt;0,SUM(OD15,OH15,OL15),"")</f>
        <v/>
      </c>
      <c r="PA15" s="76" t="str">
        <f>IF(SUM(OX15,OY15)&gt;0,SUM(OX15,OY15),"")</f>
        <v/>
      </c>
      <c r="PB15" s="76" t="str">
        <f>IF(SUM(OP15,OT15)&gt;0,SUM(OP15,OT15),"")</f>
        <v/>
      </c>
      <c r="PC15" s="76" t="str">
        <f>IF(SUM(OO15:OP15,OR15:OT15,OV15)-SUM(OQ15,OU15)&gt;0,SUM(OO15:OP15,OR15:OT15,OV15)-SUM(OQ15,OU15),"")</f>
        <v/>
      </c>
      <c r="PD15" s="76" t="str">
        <f>IF(SUM(OX15,PC15)&gt;0,SUM(OX15,PC15),"")</f>
        <v/>
      </c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6"/>
      <c r="PY15" s="16" t="str">
        <f>IF(SUM(PF15,PJ15)&gt;0,SUM(PF15,PJ15),"")</f>
        <v/>
      </c>
      <c r="PZ15" s="16" t="str">
        <f>IF(SUM(PE15:PF15,PH15:PJ15,PL15)-PG15-PK15&gt;0,SUM(PE15:PF15,PH15:PJ15,PL15)-PG15-PK15,"")</f>
        <v/>
      </c>
      <c r="QA15" s="16" t="str">
        <f>IF(SUM(PM15:PN15,PP15)-PO15&gt;0,SUM(PM15:PN15,PP15)-PO15,"")</f>
        <v/>
      </c>
      <c r="QB15" s="16" t="str">
        <f>IF(SUM(PF15,PJ15,PN15)&gt;0,SUM(PF15,PJ15,PN15),"")</f>
        <v/>
      </c>
      <c r="QC15" s="16" t="str">
        <f>IF(SUM(PZ15,QA15)&gt;0,SUM(PZ15,QA15),"")</f>
        <v/>
      </c>
      <c r="QD15" s="16" t="str">
        <f>IF(SUM(PR15,PV15)&gt;0,SUM(PR15,PV15),"")</f>
        <v/>
      </c>
      <c r="QE15" s="16" t="str">
        <f>IF(SUM(PQ15:PR15,PT15:PV15,PX15)-SUM(PS15,PW15)&gt;0,SUM(PQ15:PR15,PT15:PV15,PX15)-SUM(PS15,PW15),"")</f>
        <v/>
      </c>
      <c r="QF15" s="16" t="str">
        <f>IF(SUM(PZ15,QE15)&gt;0,SUM(PZ15,QE15),"")</f>
        <v/>
      </c>
      <c r="QG15" s="42">
        <f>IF($CW15="P",CC15,(CC15+AZ15)/2)</f>
        <v>9.1</v>
      </c>
      <c r="QH15" s="42">
        <f>IF($CW15="P",CD15,(CD15+BA15)/2)</f>
        <v>3</v>
      </c>
      <c r="QI15" s="42">
        <f>IF($CW15="P",CE15,(CE15+BB15)/2)</f>
        <v>0.4</v>
      </c>
      <c r="QJ15" s="42">
        <f>IF($CW15="P",CF15,(CF15+BC15)/2)</f>
        <v>0</v>
      </c>
      <c r="QK15" s="42">
        <f>IF($CW15="P",CG15,(CG15+BD15)/2)</f>
        <v>9.5</v>
      </c>
      <c r="QL15" s="42">
        <f>IF($CW15="P",CH15,(CH15+BE15)/2)</f>
        <v>3.2</v>
      </c>
      <c r="QM15" s="42">
        <f>IF($CW15="P",CI15,(CI15+BF15)/2)</f>
        <v>0.3</v>
      </c>
      <c r="QN15" s="42">
        <f>IF($CW15="P",CJ15,(CJ15+BG15)/2)</f>
        <v>0</v>
      </c>
      <c r="QO15" s="42">
        <f>IF($CW15="P",CK15,(CK15+BH15)/2)</f>
        <v>9.0500000000000007</v>
      </c>
      <c r="QP15" s="42">
        <f>IF($CW15="P",CL15,(CL15+BI15)/2)</f>
        <v>2.0499999999999998</v>
      </c>
      <c r="QQ15" s="42">
        <f>IF($CW15="P",CM15,(CM15+BJ15)/2)</f>
        <v>1.45</v>
      </c>
      <c r="QR15" s="42">
        <f>IF($CW15="P",CN15,(CN15+BK15)/2)</f>
        <v>0</v>
      </c>
      <c r="QS15" s="42">
        <f>IF($CW15="P",CO15,(CO15+BL15)/2)</f>
        <v>0</v>
      </c>
      <c r="QT15" s="42">
        <f>IF($CW15="P",CP15,(CP15+BM15)/2)</f>
        <v>0</v>
      </c>
      <c r="QU15" s="42">
        <f>IF($CW15="P",CQ15,(CQ15+BN15)/2)</f>
        <v>0</v>
      </c>
      <c r="QV15" s="42">
        <f>IF($CW15="P",CR15,(CR15+BO15)/2)</f>
        <v>0</v>
      </c>
      <c r="QW15" s="42">
        <f>IF($CW15="P",CS15,(CS15+BP15)/2)</f>
        <v>0</v>
      </c>
      <c r="QX15" s="42">
        <f>IF($CW15="P",CT15,(CT15+BQ15)/2)</f>
        <v>0</v>
      </c>
      <c r="QY15" s="42">
        <f>IF($CW15="P",CU15,(CU15+BR15)/2)</f>
        <v>0</v>
      </c>
      <c r="QZ15" s="42">
        <f>IF($CW15="P",CV15,(CV15+BS15)/2)</f>
        <v>0</v>
      </c>
      <c r="RA15" s="51" t="s">
        <v>61</v>
      </c>
      <c r="RB15" s="76">
        <f>IF(SUM(QH15,QL15)&gt;0,SUM(QH15,QL15),"")</f>
        <v>6.2</v>
      </c>
      <c r="RC15" s="76">
        <f>IF(SUM(QG15:QH15,QJ15:QL15,QN15)-QI15-QM15&gt;0,SUM(QG15:QH15,QJ15:QL15,QN15)-QI15-QM15,"")</f>
        <v>24.1</v>
      </c>
      <c r="RD15" s="76">
        <f>IF(SUM(QO15:QP15,QR15)-QQ15&gt;0,SUM(QO15:QP15,QR15)-QQ15,"")</f>
        <v>9.6500000000000021</v>
      </c>
      <c r="RE15" s="76">
        <f>IF(SUM(QH15,QL15,QP15)&gt;0,SUM(QH15,QL15,QP15),"")</f>
        <v>8.25</v>
      </c>
      <c r="RF15" s="76">
        <f>IF(SUM(RC15,RD15)&gt;0,SUM(RC15,RD15),"")</f>
        <v>33.75</v>
      </c>
      <c r="RG15" s="76" t="str">
        <f>IF(SUM(QT15,QX15)&gt;0,SUM(QT15,QX15),"")</f>
        <v/>
      </c>
      <c r="RH15" s="76" t="str">
        <f>IF(SUM(QS15:QT15,QV15:QX15,QZ15)-SUM(QU15,QY15)&gt;0,SUM(QS15:QT15,QV15:QX15,QZ15)-SUM(QU15,QY15),"")</f>
        <v/>
      </c>
      <c r="RI15" s="76">
        <f>IF(SUM(RC15,RH15)&gt;0,SUM(RC15,RH15),"")</f>
        <v>24.1</v>
      </c>
    </row>
    <row r="16" spans="1:477" x14ac:dyDescent="0.2">
      <c r="A16" s="5" t="str">
        <f>IF(AND(F16="P",G16="P"),SUMPRODUCT((F$4:F$18="P")*(G$4:G$18="P")*(E$4:E$18&gt;E16))+1,IF(G16="P",SUMPRODUCT((F$4:F$18="")*(G$4:G$18="P")*(E$4:E$18&gt;E16))+1+SUMPRODUCT((F$4:F$18="P")*(G$4:G$18="P")),""))</f>
        <v/>
      </c>
      <c r="B16" s="6" t="s">
        <v>36</v>
      </c>
      <c r="C16" s="7" t="s">
        <v>9</v>
      </c>
      <c r="D16" s="18">
        <v>1998</v>
      </c>
      <c r="E16" s="14">
        <f>SUM(J16:T16)+SUM(J16:P16)*0.0000001+SUM(J16)*0.0000000000001</f>
        <v>50.300005030005025</v>
      </c>
      <c r="F16" s="3" t="str">
        <f>IF(OR(AND(AR16&gt;=AY$20,AS16&gt;=AY$24,AR16&lt;&gt;"",AQ16=""),AND(AW16&gt;=AY$20,AX16&gt;=AY$24,AW16&lt;&gt;"",AQ16=""),AND(BU16&gt;=CB$20,BV16&gt;=CB$24,BU16&lt;&gt;"",BT16=""),AND(BZ16&gt;=CB$20,CA16&gt;=CB$24,BZ16&lt;&gt;"",BT16=""),AND(CX16&gt;=DE$20,CY16&gt;=DE$24,CX16&lt;&gt;"",CW16=""),AND(DC16&gt;=DE$20,DD16&gt;=DE$24,DC16&lt;&gt;""),AND(EC16&gt;=EJ$20,ED16&gt;=EJ$24,EC16&lt;&gt;""),AND(EH16&gt;=EJ$20,EI16&gt;=EJ$24,EH16&lt;&gt;""),AND(FE16&gt;=FL$20,FF16&gt;=FL$24,FE16&lt;&gt;""),AND(FJ16&gt;=FL$20,FK16&gt;=FL$24,FJ16&lt;&gt;""),AND(GG16&gt;=GN$20,GH16&gt;=GN$24,GG16&lt;&gt;""),AND(GL16&gt;=GN$20,GM16&gt;=GN$24,GL16&lt;&gt;""),AND(HI16&gt;=HP$20,HJ16&gt;=HP$24,HI16&lt;&gt;""),AND(HN16&gt;=HP$20,HO16&gt;=HP$24,HN16&lt;&gt;""),AND(IK16&gt;=IR$20,IL16&gt;=IR$24,IK16&lt;&gt;""),AND(IP16&gt;=IR$20,IQ16&gt;=IR$24,IP16&lt;&gt;""),AND(JM16&gt;=JT$20,JN16&gt;=JT$24,JM16&lt;&gt;""),AND(JR16&gt;=JT$20,JS16&gt;=JT$24,JR16&lt;&gt;""),AND(KO16&gt;=KV$20,KP16&gt;=KV$24,KO16&lt;&gt;""),AND(KT16&gt;=KV$20,KU16&gt;=KV$24,KT16&lt;&gt;""),AND(LQ16&gt;=LX$20,LR16&gt;=LX$24,LQ16&lt;&gt;""),AND(LV16&gt;=LX$20,LW16&gt;=LX$24,LV16&lt;&gt;""),AND(MS16&gt;=MZ$20,MT16&gt;=MZ$24,MS16&lt;&gt;""),AND(MX16&gt;=MZ$20,MY16&gt;=MZ$24,MX16&lt;&gt;""),AND(NU16&gt;=OB$20,NV16&gt;=OB$24,NU16&lt;&gt;""),AND(NZ16&gt;=OB$20,OA16&gt;=OB$24,NZ16&lt;&gt;""),AND(OW16&gt;=PD$20,OX16&gt;=PD$24,OW16&lt;&gt;""),AND(PB16&gt;=PD$20,PC16&gt;=PD$24,PB16&lt;&gt;""),AND(PY16&gt;=QF$20,PZ16&gt;=QF$24,PY16&lt;&gt;""),AND(QD16&gt;=QF$20,QE16&gt;=QF$24,QD16&lt;&gt;"")),"P","")</f>
        <v/>
      </c>
      <c r="G16" s="3" t="str">
        <f>IF(OR(AND(AS16&gt;=AY$24,AS16&lt;&gt;"",AQ16=""),AND(AX16&gt;=AY$24,AX16&lt;&gt;"",AQ16=""),AND(BV16&gt;=CB$24,BV16&lt;&gt;"",BT16=""),AND(CA16&gt;=CB$24,CA16&lt;&gt;"",BT16=""),AND(CY16&gt;=DE$24,CY16&lt;&gt;"",CW16=""),AND(DD16&gt;=DE$24,DD16&lt;&gt;"",CW16=""),AND(ED16&gt;=EJ$24,ED16&lt;&gt;""),AND(EI16&gt;=EJ$24,EI16&lt;&gt;""),AND(FF16&gt;=FL$24,FF16&lt;&gt;""),AND(FK16&gt;=FL$24,FK16&lt;&gt;""),AND(GH16&gt;=GN$24,GH16&lt;&gt;""),AND(GM16&gt;=GN$24,GM16&lt;&gt;""),AND(HJ16&gt;=HP$24,HJ16&lt;&gt;""),AND(HO16&gt;=HP$24,HO16&lt;&gt;""),AND(IL16&gt;=IR$24,IL16&lt;&gt;""),AND(IQ16&gt;=IR$24,IQ16&lt;&gt;""),AND(JN16&gt;=JT$24,JN16&lt;&gt;""),AND(JS16&gt;=JT$24,JS16&lt;&gt;""),AND(KP16&gt;=KV$24,KP16&lt;&gt;""),AND(KU16&gt;=KV$24,KU16&lt;&gt;""),AND(LR16&gt;=LX$24,LR16&lt;&gt;""),AND(LW16&gt;=LX$24,LW16&lt;&gt;""),AND(MT16&gt;=MZ$24,MT16&lt;&gt;""),AND(MY16&gt;=MZ$24,MY16&lt;&gt;""),AND(NV16&gt;=OB$24,NV16&lt;&gt;""),AND(OA16&gt;=OB$24,OA16&lt;&gt;""),AND(OX16&gt;=PD$24,OX16&lt;&gt;""),AND(PC16&gt;=PD$24,PC16&lt;&gt;""),AND(PZ16&gt;=QF$24,PZ16&lt;&gt;""),AND(QE16&gt;=QF$24,QE16&lt;&gt;"")),"P","")</f>
        <v/>
      </c>
      <c r="H16" s="70" t="str">
        <f>IF(AND(G16="P",F16=""),"No DD",IF(OR(AND(AU16&gt;=AY$23,AV16&gt;=AY$27,AU16&lt;&gt;"",AQ16=""),AND(BX16&gt;=CB$23,BY16&gt;=CB$27,BX16&lt;&gt;"",BT16=""),AND(DA16&gt;=DE$23,DB16&gt;=DE$27,DA16&lt;&gt;"",CW16=""),AND(EF16&gt;=EJ$23,EG16&gt;=EJ$27,EF16&lt;&gt;""),AND(FH16&gt;=FL$23,FI16&gt;=FL$27,FH16&lt;&gt;""),AND(GJ16&gt;=GN$23,GK16&gt;=GN$27,GJ16&lt;&gt;""),AND(HL16&gt;=HP$23,HM16&gt;=HP$27,HL16&lt;&gt;""),AND(IN16&gt;=IR$23,IO16&gt;=IR$27,IN16&lt;&gt;""),AND(JP16&gt;=JT$23,JQ16&gt;=JT$27,JP16&lt;&gt;""),AND(KR16&gt;=KV$23,KS16&gt;=KV$27,KR16&lt;&gt;""),AND(LT16&gt;=LX$23,LU16&gt;=LX$27,LT16&lt;&gt;""),AND(MV16&gt;=MZ$23,MW16&gt;=MZ$27,MV16&lt;&gt;""),AND(NX16&gt;=OB$23,NY16&gt;=OB$27,NX16&lt;&gt;""),AND(OZ16&gt;=PD$23,PA16&gt;=PD$27,OZ16&lt;&gt;""),AND(QB16&gt;=QF$23,QC16&gt;=QF$27,QB16&lt;&gt;"")),"Merit",IF(OR(AND(AU16&gt;=AY$22,AV16&gt;=AY$26,AU16&lt;&gt;"",AQ16=""),AND(BX16&gt;=CB$22,BY16&gt;=CB$26,BX16&lt;&gt;"",BT16=""),AND(DA16&gt;=DE$22,DB16&gt;=DE$26,DA16&lt;&gt;"",CW16=""),AND(EF16&gt;=EJ$22,EG16&gt;=EJ$26,EF16&lt;&gt;""),AND(FH16&gt;=FL$22,FI16&gt;=FL$26,FH16&lt;&gt;""),AND(GJ16&gt;=GN$22,GK16&gt;=GN$26,GJ16&lt;&gt;""),AND(HL16&gt;=HP$22,HM16&gt;=HP$26,HL16&lt;&gt;""),AND(IN16&gt;=IR$22,IO16&gt;=IR$26,IN16&lt;&gt;""),AND(JP16&gt;=JT$22,JQ16&gt;=JT$26,JP16&lt;&gt;""),AND(KR16&gt;=KV$22,KS16&gt;=KV$26,KR16&lt;&gt;""),AND(LT16&gt;=LX$22,LU16&gt;=LX$26,LT16&lt;&gt;""),AND(MV16&gt;=MZ$22,MW16&gt;=MZ$26,MV16&lt;&gt;""),AND(NX16&gt;=OB$22,NY16&gt;=OB$26,NX16&lt;&gt;""),AND(OZ16&gt;=PD$22,PA16&gt;=PD$26,OZ16&lt;&gt;""),AND(QB16&gt;=QF$22,QC16&gt;=QF$26,QB16&lt;&gt;"")),"Excellence",IF(I16="P","Worlds Team",IF(F16="P","National Team","")))))</f>
        <v/>
      </c>
      <c r="I16" s="3" t="str">
        <f>IF(OR(AND(AU16&gt;=AY$21,AV16&gt;=AY$25,AU16&lt;&gt;"",AQ16=""),AND(BX16&gt;=CB$21,BY16&gt;=CB$25,BX16&lt;&gt;"",BT16=""),AND(DA16&gt;=DE$21,DB16&gt;=DE$25,DA16&lt;&gt;"",CW16=""),AND(EF16&gt;=EJ$21,EG16&gt;=EJ$25,EF16&lt;&gt;""),AND(FH16&gt;=FL$21,FI16&gt;=FL$25,FH16&lt;&gt;""),AND(GJ16&gt;=GN$21,GK16&gt;=GN$25,GJ16&lt;&gt;""),AND(HL16&gt;=HP$21,HM16&gt;=HP$25,HL16&lt;&gt;""),AND(IN16&gt;=IR$21,IO16&gt;=IR$25,IN16&lt;&gt;""),AND(JP16&gt;=JT$21,JQ16&gt;=JT$25,JP16&lt;&gt;""),AND(KR16&gt;=KV$21,KS16&gt;=KV$25,KR16&lt;&gt;""),AND(LT16&gt;=LX$21,LU16&gt;=LX$25,LT16&lt;&gt;""),AND(MV16&gt;=MZ$21,MW16&gt;=MZ$25,MV16&lt;&gt;""),AND(NX16&gt;=OB$21,NY16&gt;=OB$25,NX16&lt;&gt;""),AND(OZ16&gt;=PD$21,PA16&gt;=PD$25,OZ16&lt;&gt;""),AND(QB16&gt;=QF$21,QC16&gt;=QF$25,QB16&lt;&gt;"")),"P","")</f>
        <v/>
      </c>
      <c r="J16" s="13">
        <f>IF(COUNT(AS16,BV16,CY16)&gt;0,LARGE((AS16,BV16,CY16),1),0)</f>
        <v>50.3</v>
      </c>
      <c r="K16" s="13" t="str">
        <f>IF(J16=0,"",IF(J16=CY16,$CC$1,IF(J16=BV16,$AZ$1,IF(J16=AS16,$W$1,""))))</f>
        <v>2022 Elite Canada</v>
      </c>
      <c r="L16" s="13">
        <f>IF(COUNT(AS16,BV16,CY16)&gt;1,LARGE((AS16,BV16,CY16),2),0)</f>
        <v>0</v>
      </c>
      <c r="M16" s="13" t="str">
        <f>IF(L16=0,"",IF(L16=CY16,$CC$1,IF(L16=BV16,$AZ$1,IF(L16=AS16,$W$1,""))))</f>
        <v/>
      </c>
      <c r="N16" s="13">
        <f>IF(COUNT(AT16,BW16,CZ16)&gt;0,LARGE((AT16,BW16,CZ16),1),0)</f>
        <v>0</v>
      </c>
      <c r="O16" s="13" t="str">
        <f>IF(N16=0,"",IF(N16=CZ16,$CC$1,IF(N16=BW16,$AZ$1,IF(N16=AT16,$W$1,""))))</f>
        <v/>
      </c>
      <c r="P16" s="13">
        <f>IF(COUNT(AT16,BW16,CZ16)&gt;1,LARGE((AT16,BW16,CZ16),2),0)</f>
        <v>0</v>
      </c>
      <c r="Q16" s="13" t="str">
        <f>IF(P16=0,"",IF(P16=CZ16,$CC$1,IF(P16=BW16,$AZ$1,IF(P16=AT16,$W$1,""))))</f>
        <v/>
      </c>
      <c r="R16" s="13">
        <f>IF(MAX(AX16,CA16,DD16)&gt;0,MAX(AX16,CA16,DD16),0)</f>
        <v>0</v>
      </c>
      <c r="S16" s="13" t="str">
        <f>IF(R16=0,"",IF(R16=DD16,$CC$1,IF(R16=CA16,$AZ$1,IF(R16=AX16,$W$1,""))))</f>
        <v/>
      </c>
      <c r="T16" s="13" t="str">
        <f>IF(MAX(DF16:DH16)&gt;0,MAX(DF16:DH16),"")</f>
        <v/>
      </c>
      <c r="U16" s="16" t="str">
        <f>IF(T16="","",IF(T16=DF16,"("&amp;DF$2&amp;")",IF(T16=DH16,"("&amp;DH$2&amp;")")))</f>
        <v/>
      </c>
      <c r="V16" s="13" t="str">
        <f>IF(T16="","",IF(T16=DF16,IF(T16+IF(L16="",0,L16)=PZ16,$PE$1,IF(T16+IF(L16="",0,L16)=OX16,$OC$1,IF(T16+IF(L16="",0,L16)=NV16,$NA$1,IF(T16+IF(L16="",0,L16)=MT16,$LY$1,IF(T16+IF(L16="",0,L16)=LR16,$KW$1,IF(T16+IF(L16="",0,L16)=KP16,$JU$1,IF(T16+IF(L16="",0,L16)=JN16,$IS$1,IF(T16+IF(L16="",0,L16)=IL16,$HQ$1,IF(T16+IF(L16="",0,L16)=HJ16,$GO$1,IF(T16+IF(L16="",0,L16)=GH16,$FM$1,IF(T16+IF(L16="",0,L16)=FF16,$EK$1,IF(T16+IF(L16="",0,L16)=ED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</f>
        <v/>
      </c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51"/>
      <c r="AR16" s="76" t="str">
        <f>IF(SUM(X16,AB16)&gt;0,SUM(X16,AB16),"")</f>
        <v/>
      </c>
      <c r="AS16" s="76" t="str">
        <f>IF(SUM(W16:X16,Z16:AB16,AD16)-Y16-AC16&gt;0,SUM(W16:X16,Z16:AB16,AD16)-Y16-AC16,"")</f>
        <v/>
      </c>
      <c r="AT16" s="76" t="str">
        <f>IF(SUM(AE16:AF16,AH16)-AG16&gt;0,SUM(AE16:AF16,AH16)-AG16,"")</f>
        <v/>
      </c>
      <c r="AU16" s="76" t="str">
        <f>IF(SUM(X16,AB16,AF16)&gt;0,SUM(X16,AB16,AF16),"")</f>
        <v/>
      </c>
      <c r="AV16" s="76" t="str">
        <f>IF(SUM(AS16,AT16)&gt;0,SUM(AS16,AT16),"")</f>
        <v/>
      </c>
      <c r="AW16" s="76" t="str">
        <f>IF(SUM(AJ16,AN16)&gt;0,SUM(AJ16,AN16),"")</f>
        <v/>
      </c>
      <c r="AX16" s="76" t="str">
        <f>IF(SUM(AI16:AJ16,AL16:AN16,AP16)-SUM(AK16,AO16)&gt;0,SUM(AI16:AJ16,AL16:AN16,AP16)-SUM(AK16,AO16),"")</f>
        <v/>
      </c>
      <c r="AY16" s="76" t="str">
        <f>IF(SUM(AS16,AX16)&gt;0,SUM(AS16,AX16),"")</f>
        <v/>
      </c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52"/>
      <c r="BU16" s="16" t="str">
        <f>IF(SUM(BA16,BE16)&gt;0,SUM(BA16,BE16),"")</f>
        <v/>
      </c>
      <c r="BV16" s="16" t="str">
        <f>IF(SUM(AZ16:BA16,BC16:BE16,BG16)-BB16-BF16&gt;0,SUM(AZ16:BA16,BC16:BE16,BG16)-BB16-BF16,"")</f>
        <v/>
      </c>
      <c r="BW16" s="16" t="str">
        <f>IF(SUM(BH16:BI16,BK16)-BJ16&gt;0,SUM(BH16:BI16,BK16)-BJ16,"")</f>
        <v/>
      </c>
      <c r="BX16" s="16" t="str">
        <f>IF(SUM(BA16,BE16,BI16)&gt;0,SUM(BA16,BE16,BI16),"")</f>
        <v/>
      </c>
      <c r="BY16" s="16" t="str">
        <f>IF(SUM(BV16,BW16)&gt;0,SUM(BV16,BW16),"")</f>
        <v/>
      </c>
      <c r="BZ16" s="16" t="str">
        <f>IF(SUM(BM16,BQ16)&gt;0,SUM(BM16,BQ16),"")</f>
        <v/>
      </c>
      <c r="CA16" s="16" t="str">
        <f>IF(SUM(BL16:BM16,BO16:BQ16,BS16)-SUM(BN16,BR16)&gt;0,SUM(BL16:BM16,BO16:BQ16,BS16)-SUM(BN16,BR16),"")</f>
        <v/>
      </c>
      <c r="CB16" s="16" t="str">
        <f>IF(SUM(BV16,CA16)&gt;0,SUM(BV16,CA16),"")</f>
        <v/>
      </c>
      <c r="CC16" s="27">
        <v>18.2</v>
      </c>
      <c r="CD16" s="27">
        <v>7.2</v>
      </c>
      <c r="CE16" s="27">
        <v>0.6</v>
      </c>
      <c r="CF16" s="27">
        <v>0</v>
      </c>
      <c r="CG16" s="27">
        <v>18.5</v>
      </c>
      <c r="CH16" s="27">
        <v>7.2</v>
      </c>
      <c r="CI16" s="27">
        <v>0.2</v>
      </c>
      <c r="CJ16" s="27">
        <v>0</v>
      </c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51"/>
      <c r="CX16" s="76">
        <f>IF(SUM(CD16,CH16)&gt;0,SUM(CD16,CH16),"")</f>
        <v>14.4</v>
      </c>
      <c r="CY16" s="76">
        <f>IF(SUM(CC16:CD16,CF16:CH16,CJ16)-CE16-CI16&gt;0,SUM(CC16:CD16,CF16:CH16,CJ16)-CE16-CI16,"")</f>
        <v>50.3</v>
      </c>
      <c r="CZ16" s="76" t="str">
        <f>IF(SUM(CK16:CL16,CN16)-CM16&gt;0,SUM(CK16:CL16,CN16)-CM16,"")</f>
        <v/>
      </c>
      <c r="DA16" s="76">
        <f>IF(SUM(CD16,CH16,CL16)&gt;0,SUM(CD16,CH16,CL16),"")</f>
        <v>14.4</v>
      </c>
      <c r="DB16" s="76">
        <f>IF(SUM(CY16,CZ16)&gt;0,SUM(CY16,CZ16),"")</f>
        <v>50.3</v>
      </c>
      <c r="DC16" s="76" t="str">
        <f>IF(SUM(CP16,CT16)&gt;0,SUM(CP16,CT16),"")</f>
        <v/>
      </c>
      <c r="DD16" s="76" t="str">
        <f>IF(SUM(CO16:CP16,CR16:CT16,CV16)-SUM(CQ16,CU16)&gt;0,SUM(CO16:CP16,CR16:CT16,CV16)-SUM(CQ16,CU16),"")</f>
        <v/>
      </c>
      <c r="DE16" s="76">
        <f>IF(SUM(CY16,DD16)&gt;0,SUM(CY16,DD16),"")</f>
        <v>50.3</v>
      </c>
      <c r="DF16" s="87" t="str">
        <f>IF(L16&gt;=0.001,IF(MAX(ED16,FF16,GH16,HJ16,IL16,JN16,KP16,LR16,MT16,NV16,OX16,PZ16)-IF(L16="",0,L16)&gt;0.001,MAX(ED16,FF16,GH16,HJ16,IL16,JN16,KP16,LR16,MT16,NV16,OX16,PZ16)-IF(L16="",0,L16),""),"")</f>
        <v/>
      </c>
      <c r="DG16" s="87" t="str">
        <f>IF(P16&gt;=0.001,IF(MAX(EE16,FG16,GI16,HK16,IM16,JO16,KQ16,LS16,MU16,NW16,OY16,QA16)-IF(P16="",0,P16)&gt;0.001,MAX(EE16,FG16,GI16,HK16,IM16,JO16,KQ16,LS16,MU16,NW16,OY16,QA16)-IF(P16="",0,P16),""),"")</f>
        <v/>
      </c>
      <c r="DH16" s="87" t="str">
        <f>IF(R16&gt;=0.001,IF(MAX(EI16,FK16,GM16,HO16,IQ16,JS16,KU16,LW16,MY16,OA16,PC16,QE16)-IF(R16="",0,R16)&gt;0.001,MAX(EI16,FK16,GM16,HO16,IQ16,JS16,KU16,LW16,MY16,OA16,PC16,QE16)-IF(R16="",0,R16),""),"")</f>
        <v/>
      </c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76" t="str">
        <f>IF(SUM(DJ16,DN16)&gt;0,SUM(DJ16,DN16),"")</f>
        <v/>
      </c>
      <c r="ED16" s="76" t="str">
        <f>IF(SUM(DI16:DJ16,DL16:DN16,DP16)-DK16-DO16&gt;0,SUM(DI16:DJ16,DL16:DN16,DP16)-DK16-DO16,"")</f>
        <v/>
      </c>
      <c r="EE16" s="76" t="str">
        <f>IF(SUM(DQ16:DR16,DT16)-DS16&gt;0,SUM(DQ16:DR16,DT16)-DS16,"")</f>
        <v/>
      </c>
      <c r="EF16" s="76" t="str">
        <f>IF(SUM(DJ16,DN16,DR16)&gt;0,SUM(DJ16,DN16,DR16),"")</f>
        <v/>
      </c>
      <c r="EG16" s="76" t="str">
        <f>IF(SUM(ED16,EE16)&gt;0,SUM(ED16,EE16),"")</f>
        <v/>
      </c>
      <c r="EH16" s="76" t="str">
        <f>IF(SUM(DV16,DZ16)&gt;0,SUM(DV16,DZ16),"")</f>
        <v/>
      </c>
      <c r="EI16" s="76" t="str">
        <f>IF(SUM(DU16:DV16,DX16:DZ16,EB16)-SUM(DW16,EA16)&gt;0,SUM(DU16:DV16,DX16:DZ16,EB16)-SUM(DW16,EA16),"")</f>
        <v/>
      </c>
      <c r="EJ16" s="76" t="str">
        <f>IF(SUM(ED16,EI16)&gt;0,SUM(ED16,EI16),"")</f>
        <v/>
      </c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16" t="str">
        <f>IF(SUM(EL16,EP16)&gt;0,SUM(EL16,EP16),"")</f>
        <v/>
      </c>
      <c r="FF16" s="16" t="str">
        <f>IF(SUM(EK16:EL16,EN16:EP16,ER16)-EM16-EQ16&gt;0,SUM(EK16:EL16,EN16:EP16,ER16)-EM16-EQ16,"")</f>
        <v/>
      </c>
      <c r="FG16" s="16" t="str">
        <f>IF(SUM(ES16:ET16,EV16)-EU16&gt;0,SUM(ES16:ET16,EV16)-EU16,"")</f>
        <v/>
      </c>
      <c r="FH16" s="16" t="str">
        <f>IF(SUM(EL16,EP16,ET16)&gt;0,SUM(EL16,EP16,ET16),"")</f>
        <v/>
      </c>
      <c r="FI16" s="16" t="str">
        <f>IF(SUM(FF16,FG16)&gt;0,SUM(FF16,FG16),"")</f>
        <v/>
      </c>
      <c r="FJ16" s="16" t="str">
        <f>IF(SUM(EX16,FB16)&gt;0,SUM(EX16,FB16),"")</f>
        <v/>
      </c>
      <c r="FK16" s="16" t="str">
        <f>IF(SUM(EW16:EX16,EZ16:FB16,FD16)-SUM(EY16,FC16)&gt;0,SUM(EW16:EX16,EZ16:FB16,FD16)-SUM(EY16,FC16),"")</f>
        <v/>
      </c>
      <c r="FL16" s="16" t="str">
        <f>IF(SUM(FF16,FK16)&gt;0,SUM(FF16,FK16),"")</f>
        <v/>
      </c>
      <c r="FM16" s="25">
        <v>17.5</v>
      </c>
      <c r="FN16" s="25">
        <v>2.8</v>
      </c>
      <c r="FO16" s="25">
        <v>0</v>
      </c>
      <c r="FP16" s="25">
        <v>0</v>
      </c>
      <c r="FQ16" s="25">
        <v>18.399999999999999</v>
      </c>
      <c r="FR16" s="25">
        <v>6</v>
      </c>
      <c r="FS16" s="25">
        <v>0.8</v>
      </c>
      <c r="FT16" s="25">
        <v>0</v>
      </c>
      <c r="FU16" s="25"/>
      <c r="FV16" s="25"/>
      <c r="FW16" s="25"/>
      <c r="FX16" s="25"/>
      <c r="FY16" s="25">
        <v>17.600000000000001</v>
      </c>
      <c r="FZ16" s="25">
        <v>2.8</v>
      </c>
      <c r="GA16" s="25">
        <v>0</v>
      </c>
      <c r="GB16" s="25">
        <v>0</v>
      </c>
      <c r="GC16" s="25">
        <v>18.2</v>
      </c>
      <c r="GD16" s="25">
        <v>6.8</v>
      </c>
      <c r="GE16" s="25">
        <v>0.6</v>
      </c>
      <c r="GF16" s="25">
        <v>0</v>
      </c>
      <c r="GG16" s="76">
        <f>IF(SUM(FN16,FR16)&gt;0,SUM(FN16,FR16),"")</f>
        <v>8.8000000000000007</v>
      </c>
      <c r="GH16" s="76">
        <f>IF(SUM(FM16:FN16,FP16:FR16,FT16)-FO16-FS16&gt;0,SUM(FM16:FN16,FP16:FR16,FT16)-FO16-FS16,"")</f>
        <v>43.900000000000006</v>
      </c>
      <c r="GI16" s="76" t="str">
        <f>IF(SUM(FU16:FV16,FX16)-FW16&gt;0,SUM(FU16:FV16,FX16)-FW16,"")</f>
        <v/>
      </c>
      <c r="GJ16" s="76">
        <f>IF(SUM(FN16,FR16,FV16)&gt;0,SUM(FN16,FR16,FV16),"")</f>
        <v>8.8000000000000007</v>
      </c>
      <c r="GK16" s="76">
        <f>IF(SUM(GH16,GI16)&gt;0,SUM(GH16,GI16),"")</f>
        <v>43.900000000000006</v>
      </c>
      <c r="GL16" s="76">
        <f>IF(SUM(FZ16,GD16)&gt;0,SUM(FZ16,GD16),"")</f>
        <v>9.6</v>
      </c>
      <c r="GM16" s="76">
        <f>IF(SUM(FY16:FZ16,GB16:GD16,GF16)-SUM(GA16,GE16)&gt;0,SUM(FY16:FZ16,GB16:GD16,GF16)-SUM(GA16,GE16),"")</f>
        <v>44.8</v>
      </c>
      <c r="GN16" s="76">
        <f>IF(SUM(GH16,GM16)&gt;0,SUM(GH16,GM16),"")</f>
        <v>88.7</v>
      </c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16" t="str">
        <f>IF(SUM(GP16,GT16)&gt;0,SUM(GP16,GT16),"")</f>
        <v/>
      </c>
      <c r="HJ16" s="16" t="str">
        <f>IF(SUM(GO16:GP16,GR16:GT16,GV16)-GQ16-GU16&gt;0,SUM(GO16:GP16,GR16:GT16,GV16)-GQ16-GU16,"")</f>
        <v/>
      </c>
      <c r="HK16" s="16" t="str">
        <f>IF(SUM(GW16:GX16,GZ16)-GY16&gt;0,SUM(GW16:GX16,GZ16)-GY16,"")</f>
        <v/>
      </c>
      <c r="HL16" s="16" t="str">
        <f>IF(SUM(GP16,GT16,GX16)&gt;0,SUM(GP16,GT16,GX16),"")</f>
        <v/>
      </c>
      <c r="HM16" s="16" t="str">
        <f>IF(SUM(HJ16,HK16)&gt;0,SUM(HJ16,HK16),"")</f>
        <v/>
      </c>
      <c r="HN16" s="16" t="str">
        <f>IF(SUM(HB16,HF16)&gt;0,SUM(HB16,HF16),"")</f>
        <v/>
      </c>
      <c r="HO16" s="16" t="str">
        <f>IF(SUM(HA16:HB16,HD16:HF16,HH16)-SUM(HC16,HG16)&gt;0,SUM(HA16:HB16,HD16:HF16,HH16)-SUM(HC16,HG16),"")</f>
        <v/>
      </c>
      <c r="HP16" s="16" t="str">
        <f>IF(SUM(HJ16,HO16)&gt;0,SUM(HJ16,HO16),"")</f>
        <v/>
      </c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76" t="str">
        <f>IF(SUM(HR16,HV16)&gt;0,SUM(HR16,HV16),"")</f>
        <v/>
      </c>
      <c r="IL16" s="76" t="str">
        <f>IF(SUM(HQ16:HR16,HT16:HV16,HX16)-HS16-HW16&gt;0,SUM(HQ16:HR16,HT16:HV16,HX16)-HS16-HW16,"")</f>
        <v/>
      </c>
      <c r="IM16" s="76" t="str">
        <f>IF(SUM(HY16:HZ16,IB16)-IA16&gt;0,SUM(HY16:HZ16,IB16)-IA16,"")</f>
        <v/>
      </c>
      <c r="IN16" s="76" t="str">
        <f>IF(SUM(HR16,HV16,HZ16)&gt;0,SUM(HR16,HV16,HZ16),"")</f>
        <v/>
      </c>
      <c r="IO16" s="76" t="str">
        <f>IF(SUM(IL16,IM16)&gt;0,SUM(IL16,IM16),"")</f>
        <v/>
      </c>
      <c r="IP16" s="76" t="str">
        <f>IF(SUM(ID16,IH16)&gt;0,SUM(ID16,IH16),"")</f>
        <v/>
      </c>
      <c r="IQ16" s="76" t="str">
        <f>IF(SUM(IC16:ID16,IF16:IH16,IJ16)-SUM(IE16,II16)&gt;0,SUM(IC16:ID16,IF16:IH16,IJ16)-SUM(IE16,II16),"")</f>
        <v/>
      </c>
      <c r="IR16" s="76" t="str">
        <f>IF(SUM(IL16,IQ16)&gt;0,SUM(IL16,IQ16),"")</f>
        <v/>
      </c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16" t="str">
        <f>IF(SUM(IT16,IX16)&gt;0,SUM(IT16,IX16),"")</f>
        <v/>
      </c>
      <c r="JN16" s="16" t="str">
        <f>IF(SUM(IS16:IT16,IV16:IX16,IZ16)-IU16-IY16&gt;0,SUM(IS16:IT16,IV16:IX16,IZ16)-IU16-IY16,"")</f>
        <v/>
      </c>
      <c r="JO16" s="16" t="str">
        <f>IF(SUM(JA16:JB16,JD16)-JC16&gt;0,SUM(JA16:JB16,JD16)-JC16,"")</f>
        <v/>
      </c>
      <c r="JP16" s="16" t="str">
        <f>IF(SUM(IT16,IX16,JB16)&gt;0,SUM(IT16,IX16,JB16),"")</f>
        <v/>
      </c>
      <c r="JQ16" s="16" t="str">
        <f>IF(SUM(JN16,JO16)&gt;0,SUM(JN16,JO16),"")</f>
        <v/>
      </c>
      <c r="JR16" s="16" t="str">
        <f>IF(SUM(JF16,JJ16)&gt;0,SUM(JF16,JJ16),"")</f>
        <v/>
      </c>
      <c r="JS16" s="16" t="str">
        <f>IF(SUM(JE16:JF16,JH16:JJ16,JL16)-SUM(JG16,JK16)&gt;0,SUM(JE16:JF16,JH16:JJ16,JL16)-SUM(JG16,JK16),"")</f>
        <v/>
      </c>
      <c r="JT16" s="16" t="str">
        <f>IF(SUM(JN16,JS16)&gt;0,SUM(JN16,JS16),"")</f>
        <v/>
      </c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76" t="str">
        <f>IF(SUM(JV16,JZ16)&gt;0,SUM(JV16,JZ16),"")</f>
        <v/>
      </c>
      <c r="KP16" s="76" t="str">
        <f>IF(SUM(JU16:JV16,JX16:JZ16,KB16)-JW16-KA16&gt;0,SUM(JU16:JV16,JX16:JZ16,KB16)-JW16-KA16,"")</f>
        <v/>
      </c>
      <c r="KQ16" s="76" t="str">
        <f>IF(SUM(KC16:KD16,KF16)-KE16&gt;0,SUM(KC16:KD16,KF16)-KE16,"")</f>
        <v/>
      </c>
      <c r="KR16" s="76" t="str">
        <f>IF(SUM(JV16,JZ16,KD16)&gt;0,SUM(JV16,JZ16,KD16),"")</f>
        <v/>
      </c>
      <c r="KS16" s="76" t="str">
        <f>IF(SUM(KP16,KQ16)&gt;0,SUM(KP16,KQ16),"")</f>
        <v/>
      </c>
      <c r="KT16" s="76" t="str">
        <f>IF(SUM(KH16,KL16)&gt;0,SUM(KH16,KL16),"")</f>
        <v/>
      </c>
      <c r="KU16" s="76" t="str">
        <f>IF(SUM(KG16:KH16,KJ16:KL16,KN16)-SUM(KI16,KM16)&gt;0,SUM(KG16:KH16,KJ16:KL16,KN16)-SUM(KI16,KM16),"")</f>
        <v/>
      </c>
      <c r="KV16" s="76" t="str">
        <f>IF(SUM(KP16,KU16)&gt;0,SUM(KP16,KU16),"")</f>
        <v/>
      </c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6"/>
      <c r="LQ16" s="16" t="str">
        <f>IF(SUM(KX16,LB16)&gt;0,SUM(KX16,LB16),"")</f>
        <v/>
      </c>
      <c r="LR16" s="16" t="str">
        <f>IF(SUM(KW16:KX16,KZ16:LB16,LD16)-KY16-LC16&gt;0,SUM(KW16:KX16,KZ16:LB16,LD16)-KY16-LC16,"")</f>
        <v/>
      </c>
      <c r="LS16" s="16" t="str">
        <f>IF(SUM(LE16:LF16,LH16)-LG16&gt;0,SUM(LE16:LF16,LH16)-LG16,"")</f>
        <v/>
      </c>
      <c r="LT16" s="16" t="str">
        <f>IF(SUM(KX16,LB16,LF16)&gt;0,SUM(KX16,LB16,LF16),"")</f>
        <v/>
      </c>
      <c r="LU16" s="16" t="str">
        <f>IF(SUM(LR16,LS16)&gt;0,SUM(LR16,LS16),"")</f>
        <v/>
      </c>
      <c r="LV16" s="16" t="str">
        <f>IF(SUM(LJ16,LN16)&gt;0,SUM(LJ16,LN16),"")</f>
        <v/>
      </c>
      <c r="LW16" s="16" t="str">
        <f>IF(SUM(LI16:LJ16,LL16:LN16,LP16)-SUM(LK16,LO16)&gt;0,SUM(LI16:LJ16,LL16:LN16,LP16)-SUM(LK16,LO16),"")</f>
        <v/>
      </c>
      <c r="LX16" s="16" t="str">
        <f>IF(SUM(LR16,LW16)&gt;0,SUM(LR16,LW16),"")</f>
        <v/>
      </c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76" t="str">
        <f>IF(SUM(LZ16,MD16)&gt;0,SUM(LZ16,MD16),"")</f>
        <v/>
      </c>
      <c r="MT16" s="76" t="str">
        <f>IF(SUM(LY16:LZ16,MB16:MD16,MF16)-MA16-ME16&gt;0,SUM(LY16:LZ16,MB16:MD16,MF16)-MA16-ME16,"")</f>
        <v/>
      </c>
      <c r="MU16" s="76" t="str">
        <f>IF(SUM(MG16:MH16,MJ16)-MI16&gt;0,SUM(MG16:MH16,MJ16)-MI16,"")</f>
        <v/>
      </c>
      <c r="MV16" s="76" t="str">
        <f>IF(SUM(LZ16,MD16,MH16)&gt;0,SUM(LZ16,MD16,MH16),"")</f>
        <v/>
      </c>
      <c r="MW16" s="76" t="str">
        <f>IF(SUM(MT16,MU16)&gt;0,SUM(MT16,MU16),"")</f>
        <v/>
      </c>
      <c r="MX16" s="76" t="str">
        <f>IF(SUM(ML16,MP16)&gt;0,SUM(ML16,MP16),"")</f>
        <v/>
      </c>
      <c r="MY16" s="76" t="str">
        <f>IF(SUM(MK16:ML16,MN16:MP16,MR16)-SUM(MM16,MQ16)&gt;0,SUM(MK16:ML16,MN16:MP16,MR16)-SUM(MM16,MQ16),"")</f>
        <v/>
      </c>
      <c r="MZ16" s="76" t="str">
        <f>IF(SUM(MT16,MY16)&gt;0,SUM(MT16,MY16),"")</f>
        <v/>
      </c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6"/>
      <c r="NU16" s="16" t="str">
        <f>IF(SUM(NB16,NF16)&gt;0,SUM(NB16,NF16),"")</f>
        <v/>
      </c>
      <c r="NV16" s="16" t="str">
        <f>IF(SUM(NA16:NB16,ND16:NF16,NH16)-NC16-NG16&gt;0,SUM(NA16:NB16,ND16:NF16,NH16)-NC16-NG16,"")</f>
        <v/>
      </c>
      <c r="NW16" s="16" t="str">
        <f>IF(SUM(NI16:NJ16,NL16)-NK16&gt;0,SUM(NI16:NJ16,NL16)-NK16,"")</f>
        <v/>
      </c>
      <c r="NX16" s="16" t="str">
        <f>IF(SUM(NB16,NF16,NJ16)&gt;0,SUM(NB16,NF16,NJ16),"")</f>
        <v/>
      </c>
      <c r="NY16" s="16" t="str">
        <f>IF(SUM(NV16,NW16)&gt;0,SUM(NV16,NW16),"")</f>
        <v/>
      </c>
      <c r="NZ16" s="16" t="str">
        <f>IF(SUM(NN16,NR16)&gt;0,SUM(NN16,NR16),"")</f>
        <v/>
      </c>
      <c r="OA16" s="16" t="str">
        <f>IF(SUM(NM16:NN16,NP16:NR16,NT16)-SUM(NO16,NS16)&gt;0,SUM(NM16:NN16,NP16:NR16,NT16)-SUM(NO16,NS16),"")</f>
        <v/>
      </c>
      <c r="OB16" s="16" t="str">
        <f>IF(SUM(NV16,OA16)&gt;0,SUM(NV16,OA16),"")</f>
        <v/>
      </c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25"/>
      <c r="OW16" s="76" t="str">
        <f>IF(SUM(OD16,OH16)&gt;0,SUM(OD16,OH16),"")</f>
        <v/>
      </c>
      <c r="OX16" s="76" t="str">
        <f>IF(SUM(OC16:OD16,OF16:OH16,OJ16)-OE16-OI16&gt;0,SUM(OC16:OD16,OF16:OH16,OJ16)-OE16-OI16,"")</f>
        <v/>
      </c>
      <c r="OY16" s="76" t="str">
        <f>IF(SUM(OK16:OL16,ON16)-OM16&gt;0,SUM(OK16:OL16,ON16)-OM16,"")</f>
        <v/>
      </c>
      <c r="OZ16" s="76" t="str">
        <f>IF(SUM(OD16,OH16,OL16)&gt;0,SUM(OD16,OH16,OL16),"")</f>
        <v/>
      </c>
      <c r="PA16" s="76" t="str">
        <f>IF(SUM(OX16,OY16)&gt;0,SUM(OX16,OY16),"")</f>
        <v/>
      </c>
      <c r="PB16" s="76" t="str">
        <f>IF(SUM(OP16,OT16)&gt;0,SUM(OP16,OT16),"")</f>
        <v/>
      </c>
      <c r="PC16" s="76" t="str">
        <f>IF(SUM(OO16:OP16,OR16:OT16,OV16)-SUM(OQ16,OU16)&gt;0,SUM(OO16:OP16,OR16:OT16,OV16)-SUM(OQ16,OU16),"")</f>
        <v/>
      </c>
      <c r="PD16" s="76" t="str">
        <f>IF(SUM(OX16,PC16)&gt;0,SUM(OX16,PC16),"")</f>
        <v/>
      </c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6"/>
      <c r="PY16" s="16" t="str">
        <f>IF(SUM(PF16,PJ16)&gt;0,SUM(PF16,PJ16),"")</f>
        <v/>
      </c>
      <c r="PZ16" s="16" t="str">
        <f>IF(SUM(PE16:PF16,PH16:PJ16,PL16)-PG16-PK16&gt;0,SUM(PE16:PF16,PH16:PJ16,PL16)-PG16-PK16,"")</f>
        <v/>
      </c>
      <c r="QA16" s="16" t="str">
        <f>IF(SUM(PM16:PN16,PP16)-PO16&gt;0,SUM(PM16:PN16,PP16)-PO16,"")</f>
        <v/>
      </c>
      <c r="QB16" s="16" t="str">
        <f>IF(SUM(PF16,PJ16,PN16)&gt;0,SUM(PF16,PJ16,PN16),"")</f>
        <v/>
      </c>
      <c r="QC16" s="16" t="str">
        <f>IF(SUM(PZ16,QA16)&gt;0,SUM(PZ16,QA16),"")</f>
        <v/>
      </c>
      <c r="QD16" s="16" t="str">
        <f>IF(SUM(PR16,PV16)&gt;0,SUM(PR16,PV16),"")</f>
        <v/>
      </c>
      <c r="QE16" s="16" t="str">
        <f>IF(SUM(PQ16:PR16,PT16:PV16,PX16)-SUM(PS16,PW16)&gt;0,SUM(PQ16:PR16,PT16:PV16,PX16)-SUM(PS16,PW16),"")</f>
        <v/>
      </c>
      <c r="QF16" s="16" t="str">
        <f>IF(SUM(PZ16,QE16)&gt;0,SUM(PZ16,QE16),"")</f>
        <v/>
      </c>
      <c r="QG16" s="42">
        <f>IF($CW16="P",CC16,(CC16+AZ16)/2)</f>
        <v>9.1</v>
      </c>
      <c r="QH16" s="42">
        <f>IF($CW16="P",CD16,(CD16+BA16)/2)</f>
        <v>3.6</v>
      </c>
      <c r="QI16" s="42">
        <f>IF($CW16="P",CE16,(CE16+BB16)/2)</f>
        <v>0.3</v>
      </c>
      <c r="QJ16" s="42">
        <f>IF($CW16="P",CF16,(CF16+BC16)/2)</f>
        <v>0</v>
      </c>
      <c r="QK16" s="42">
        <f>IF($CW16="P",CG16,(CG16+BD16)/2)</f>
        <v>9.25</v>
      </c>
      <c r="QL16" s="42">
        <f>IF($CW16="P",CH16,(CH16+BE16)/2)</f>
        <v>3.6</v>
      </c>
      <c r="QM16" s="42">
        <f>IF($CW16="P",CI16,(CI16+BF16)/2)</f>
        <v>0.1</v>
      </c>
      <c r="QN16" s="42">
        <f>IF($CW16="P",CJ16,(CJ16+BG16)/2)</f>
        <v>0</v>
      </c>
      <c r="QO16" s="42">
        <f>IF($CW16="P",CK16,(CK16+BH16)/2)</f>
        <v>0</v>
      </c>
      <c r="QP16" s="42">
        <f>IF($CW16="P",CL16,(CL16+BI16)/2)</f>
        <v>0</v>
      </c>
      <c r="QQ16" s="42">
        <f>IF($CW16="P",CM16,(CM16+BJ16)/2)</f>
        <v>0</v>
      </c>
      <c r="QR16" s="42">
        <f>IF($CW16="P",CN16,(CN16+BK16)/2)</f>
        <v>0</v>
      </c>
      <c r="QS16" s="42">
        <f>IF($CW16="P",CO16,(CO16+BL16)/2)</f>
        <v>0</v>
      </c>
      <c r="QT16" s="42">
        <f>IF($CW16="P",CP16,(CP16+BM16)/2)</f>
        <v>0</v>
      </c>
      <c r="QU16" s="42">
        <f>IF($CW16="P",CQ16,(CQ16+BN16)/2)</f>
        <v>0</v>
      </c>
      <c r="QV16" s="42">
        <f>IF($CW16="P",CR16,(CR16+BO16)/2)</f>
        <v>0</v>
      </c>
      <c r="QW16" s="42">
        <f>IF($CW16="P",CS16,(CS16+BP16)/2)</f>
        <v>0</v>
      </c>
      <c r="QX16" s="42">
        <f>IF($CW16="P",CT16,(CT16+BQ16)/2)</f>
        <v>0</v>
      </c>
      <c r="QY16" s="42">
        <f>IF($CW16="P",CU16,(CU16+BR16)/2)</f>
        <v>0</v>
      </c>
      <c r="QZ16" s="42">
        <f>IF($CW16="P",CV16,(CV16+BS16)/2)</f>
        <v>0</v>
      </c>
      <c r="RA16" s="51" t="s">
        <v>61</v>
      </c>
      <c r="RB16" s="76">
        <f>IF(SUM(QH16,QL16)&gt;0,SUM(QH16,QL16),"")</f>
        <v>7.2</v>
      </c>
      <c r="RC16" s="76">
        <f>IF(SUM(QG16:QH16,QJ16:QL16,QN16)-QI16-QM16&gt;0,SUM(QG16:QH16,QJ16:QL16,QN16)-QI16-QM16,"")</f>
        <v>25.15</v>
      </c>
      <c r="RD16" s="76" t="str">
        <f>IF(SUM(QO16:QP16,QR16)-QQ16&gt;0,SUM(QO16:QP16,QR16)-QQ16,"")</f>
        <v/>
      </c>
      <c r="RE16" s="76">
        <f>IF(SUM(QH16,QL16,QP16)&gt;0,SUM(QH16,QL16,QP16),"")</f>
        <v>7.2</v>
      </c>
      <c r="RF16" s="76">
        <f>IF(SUM(RC16,RD16)&gt;0,SUM(RC16,RD16),"")</f>
        <v>25.15</v>
      </c>
      <c r="RG16" s="76" t="str">
        <f>IF(SUM(QT16,QX16)&gt;0,SUM(QT16,QX16),"")</f>
        <v/>
      </c>
      <c r="RH16" s="76" t="str">
        <f>IF(SUM(QS16:QT16,QV16:QX16,QZ16)-SUM(QU16,QY16)&gt;0,SUM(QS16:QT16,QV16:QX16,QZ16)-SUM(QU16,QY16),"")</f>
        <v/>
      </c>
      <c r="RI16" s="76">
        <f>IF(SUM(RC16,RH16)&gt;0,SUM(RC16,RH16),"")</f>
        <v>25.15</v>
      </c>
    </row>
    <row r="17" spans="1:477" x14ac:dyDescent="0.2">
      <c r="A17" s="5" t="str">
        <f>IF(AND(F17="P",G17="P"),SUMPRODUCT((F$4:F$18="P")*(G$4:G$18="P")*(E$4:E$18&gt;E17))+1,IF(G17="P",SUMPRODUCT((F$4:F$18="")*(G$4:G$18="P")*(E$4:E$18&gt;E17))+1+SUMPRODUCT((F$4:F$18="P")*(G$4:G$18="P")),""))</f>
        <v/>
      </c>
      <c r="B17" s="6" t="s">
        <v>170</v>
      </c>
      <c r="C17" s="7" t="s">
        <v>9</v>
      </c>
      <c r="D17" s="18">
        <v>2005</v>
      </c>
      <c r="E17" s="14">
        <f>SUM(J17:T17)+SUM(J17:P17)*0.0000001+SUM(J17)*0.0000000000001</f>
        <v>20.000002000001999</v>
      </c>
      <c r="F17" s="3" t="str">
        <f>IF(OR(AND(AR17&gt;=AY$20,AS17&gt;=AY$24,AR17&lt;&gt;"",AQ17=""),AND(AW17&gt;=AY$20,AX17&gt;=AY$24,AW17&lt;&gt;"",AQ17=""),AND(BU17&gt;=CB$20,BV17&gt;=CB$24,BU17&lt;&gt;"",BT17=""),AND(BZ17&gt;=CB$20,CA17&gt;=CB$24,BZ17&lt;&gt;"",BT17=""),AND(CX17&gt;=DE$20,CY17&gt;=DE$24,CX17&lt;&gt;"",CW17=""),AND(DC17&gt;=DE$20,DD17&gt;=DE$24,DC17&lt;&gt;""),AND(EC17&gt;=EJ$20,ED17&gt;=EJ$24,EC17&lt;&gt;""),AND(EH17&gt;=EJ$20,EI17&gt;=EJ$24,EH17&lt;&gt;""),AND(FE17&gt;=FL$20,FF17&gt;=FL$24,FE17&lt;&gt;""),AND(FJ17&gt;=FL$20,FK17&gt;=FL$24,FJ17&lt;&gt;""),AND(GG17&gt;=GN$20,GH17&gt;=GN$24,GG17&lt;&gt;""),AND(GL17&gt;=GN$20,GM17&gt;=GN$24,GL17&lt;&gt;""),AND(HI17&gt;=HP$20,HJ17&gt;=HP$24,HI17&lt;&gt;""),AND(HN17&gt;=HP$20,HO17&gt;=HP$24,HN17&lt;&gt;""),AND(IK17&gt;=IR$20,IL17&gt;=IR$24,IK17&lt;&gt;""),AND(IP17&gt;=IR$20,IQ17&gt;=IR$24,IP17&lt;&gt;""),AND(JM17&gt;=JT$20,JN17&gt;=JT$24,JM17&lt;&gt;""),AND(JR17&gt;=JT$20,JS17&gt;=JT$24,JR17&lt;&gt;""),AND(KO17&gt;=KV$20,KP17&gt;=KV$24,KO17&lt;&gt;""),AND(KT17&gt;=KV$20,KU17&gt;=KV$24,KT17&lt;&gt;""),AND(LQ17&gt;=LX$20,LR17&gt;=LX$24,LQ17&lt;&gt;""),AND(LV17&gt;=LX$20,LW17&gt;=LX$24,LV17&lt;&gt;""),AND(MS17&gt;=MZ$20,MT17&gt;=MZ$24,MS17&lt;&gt;""),AND(MX17&gt;=MZ$20,MY17&gt;=MZ$24,MX17&lt;&gt;""),AND(NU17&gt;=OB$20,NV17&gt;=OB$24,NU17&lt;&gt;""),AND(NZ17&gt;=OB$20,OA17&gt;=OB$24,NZ17&lt;&gt;""),AND(OW17&gt;=PD$20,OX17&gt;=PD$24,OW17&lt;&gt;""),AND(PB17&gt;=PD$20,PC17&gt;=PD$24,PB17&lt;&gt;""),AND(PY17&gt;=QF$20,PZ17&gt;=QF$24,PY17&lt;&gt;""),AND(QD17&gt;=QF$20,QE17&gt;=QF$24,QD17&lt;&gt;"")),"P","")</f>
        <v/>
      </c>
      <c r="G17" s="3" t="str">
        <f>IF(OR(AND(AS17&gt;=AY$24,AS17&lt;&gt;"",AQ17=""),AND(AX17&gt;=AY$24,AX17&lt;&gt;"",AQ17=""),AND(BV17&gt;=CB$24,BV17&lt;&gt;"",BT17=""),AND(CA17&gt;=CB$24,CA17&lt;&gt;"",BT17=""),AND(CY17&gt;=DE$24,CY17&lt;&gt;"",CW17=""),AND(DD17&gt;=DE$24,DD17&lt;&gt;"",CW17=""),AND(ED17&gt;=EJ$24,ED17&lt;&gt;""),AND(EI17&gt;=EJ$24,EI17&lt;&gt;""),AND(FF17&gt;=FL$24,FF17&lt;&gt;""),AND(FK17&gt;=FL$24,FK17&lt;&gt;""),AND(GH17&gt;=GN$24,GH17&lt;&gt;""),AND(GM17&gt;=GN$24,GM17&lt;&gt;""),AND(HJ17&gt;=HP$24,HJ17&lt;&gt;""),AND(HO17&gt;=HP$24,HO17&lt;&gt;""),AND(IL17&gt;=IR$24,IL17&lt;&gt;""),AND(IQ17&gt;=IR$24,IQ17&lt;&gt;""),AND(JN17&gt;=JT$24,JN17&lt;&gt;""),AND(JS17&gt;=JT$24,JS17&lt;&gt;""),AND(KP17&gt;=KV$24,KP17&lt;&gt;""),AND(KU17&gt;=KV$24,KU17&lt;&gt;""),AND(LR17&gt;=LX$24,LR17&lt;&gt;""),AND(LW17&gt;=LX$24,LW17&lt;&gt;""),AND(MT17&gt;=MZ$24,MT17&lt;&gt;""),AND(MY17&gt;=MZ$24,MY17&lt;&gt;""),AND(NV17&gt;=OB$24,NV17&lt;&gt;""),AND(OA17&gt;=OB$24,OA17&lt;&gt;""),AND(OX17&gt;=PD$24,OX17&lt;&gt;""),AND(PC17&gt;=PD$24,PC17&lt;&gt;""),AND(PZ17&gt;=QF$24,PZ17&lt;&gt;""),AND(QE17&gt;=QF$24,QE17&lt;&gt;"")),"P","")</f>
        <v/>
      </c>
      <c r="H17" s="70" t="str">
        <f>IF(AND(G17="P",F17=""),"No DD",IF(OR(AND(AU17&gt;=AY$23,AV17&gt;=AY$27,AU17&lt;&gt;"",AQ17=""),AND(BX17&gt;=CB$23,BY17&gt;=CB$27,BX17&lt;&gt;"",BT17=""),AND(DA17&gt;=DE$23,DB17&gt;=DE$27,DA17&lt;&gt;"",CW17=""),AND(EF17&gt;=EJ$23,EG17&gt;=EJ$27,EF17&lt;&gt;""),AND(FH17&gt;=FL$23,FI17&gt;=FL$27,FH17&lt;&gt;""),AND(GJ17&gt;=GN$23,GK17&gt;=GN$27,GJ17&lt;&gt;""),AND(HL17&gt;=HP$23,HM17&gt;=HP$27,HL17&lt;&gt;""),AND(IN17&gt;=IR$23,IO17&gt;=IR$27,IN17&lt;&gt;""),AND(JP17&gt;=JT$23,JQ17&gt;=JT$27,JP17&lt;&gt;""),AND(KR17&gt;=KV$23,KS17&gt;=KV$27,KR17&lt;&gt;""),AND(LT17&gt;=LX$23,LU17&gt;=LX$27,LT17&lt;&gt;""),AND(MV17&gt;=MZ$23,MW17&gt;=MZ$27,MV17&lt;&gt;""),AND(NX17&gt;=OB$23,NY17&gt;=OB$27,NX17&lt;&gt;""),AND(OZ17&gt;=PD$23,PA17&gt;=PD$27,OZ17&lt;&gt;""),AND(QB17&gt;=QF$23,QC17&gt;=QF$27,QB17&lt;&gt;"")),"Merit",IF(OR(AND(AU17&gt;=AY$22,AV17&gt;=AY$26,AU17&lt;&gt;"",AQ17=""),AND(BX17&gt;=CB$22,BY17&gt;=CB$26,BX17&lt;&gt;"",BT17=""),AND(DA17&gt;=DE$22,DB17&gt;=DE$26,DA17&lt;&gt;"",CW17=""),AND(EF17&gt;=EJ$22,EG17&gt;=EJ$26,EF17&lt;&gt;""),AND(FH17&gt;=FL$22,FI17&gt;=FL$26,FH17&lt;&gt;""),AND(GJ17&gt;=GN$22,GK17&gt;=GN$26,GJ17&lt;&gt;""),AND(HL17&gt;=HP$22,HM17&gt;=HP$26,HL17&lt;&gt;""),AND(IN17&gt;=IR$22,IO17&gt;=IR$26,IN17&lt;&gt;""),AND(JP17&gt;=JT$22,JQ17&gt;=JT$26,JP17&lt;&gt;""),AND(KR17&gt;=KV$22,KS17&gt;=KV$26,KR17&lt;&gt;""),AND(LT17&gt;=LX$22,LU17&gt;=LX$26,LT17&lt;&gt;""),AND(MV17&gt;=MZ$22,MW17&gt;=MZ$26,MV17&lt;&gt;""),AND(NX17&gt;=OB$22,NY17&gt;=OB$26,NX17&lt;&gt;""),AND(OZ17&gt;=PD$22,PA17&gt;=PD$26,OZ17&lt;&gt;""),AND(QB17&gt;=QF$22,QC17&gt;=QF$26,QB17&lt;&gt;"")),"Excellence",IF(I17="P","Worlds Team",IF(F17="P","National Team","")))))</f>
        <v/>
      </c>
      <c r="I17" s="3" t="str">
        <f>IF(OR(AND(AU17&gt;=AY$21,AV17&gt;=AY$25,AU17&lt;&gt;"",AQ17=""),AND(BX17&gt;=CB$21,BY17&gt;=CB$25,BX17&lt;&gt;"",BT17=""),AND(DA17&gt;=DE$21,DB17&gt;=DE$25,DA17&lt;&gt;"",CW17=""),AND(EF17&gt;=EJ$21,EG17&gt;=EJ$25,EF17&lt;&gt;""),AND(FH17&gt;=FL$21,FI17&gt;=FL$25,FH17&lt;&gt;""),AND(GJ17&gt;=GN$21,GK17&gt;=GN$25,GJ17&lt;&gt;""),AND(HL17&gt;=HP$21,HM17&gt;=HP$25,HL17&lt;&gt;""),AND(IN17&gt;=IR$21,IO17&gt;=IR$25,IN17&lt;&gt;""),AND(JP17&gt;=JT$21,JQ17&gt;=JT$25,JP17&lt;&gt;""),AND(KR17&gt;=KV$21,KS17&gt;=KV$25,KR17&lt;&gt;""),AND(LT17&gt;=LX$21,LU17&gt;=LX$25,LT17&lt;&gt;""),AND(MV17&gt;=MZ$21,MW17&gt;=MZ$25,MV17&lt;&gt;""),AND(NX17&gt;=OB$21,NY17&gt;=OB$25,NX17&lt;&gt;""),AND(OZ17&gt;=PD$21,PA17&gt;=PD$25,OZ17&lt;&gt;""),AND(QB17&gt;=QF$21,QC17&gt;=QF$25,QB17&lt;&gt;"")),"P","")</f>
        <v/>
      </c>
      <c r="J17" s="13">
        <f>IF(COUNT(AS17,BV17,CY17)&gt;0,LARGE((AS17,BV17,CY17),1),0)</f>
        <v>20</v>
      </c>
      <c r="K17" s="13" t="str">
        <f>IF(J17=0,"",IF(J17=CY17,$CC$1,IF(J17=BV17,$AZ$1,IF(J17=AS17,$W$1,""))))</f>
        <v>2022 Elite Canada</v>
      </c>
      <c r="L17" s="13">
        <f>IF(COUNT(AS17,BV17,CY17)&gt;1,LARGE((AS17,BV17,CY17),2),0)</f>
        <v>0</v>
      </c>
      <c r="M17" s="13" t="str">
        <f>IF(L17=0,"",IF(L17=CY17,$CC$1,IF(L17=BV17,$AZ$1,IF(L17=AS17,$W$1,""))))</f>
        <v/>
      </c>
      <c r="N17" s="13">
        <f>IF(COUNT(AT17,BW17,CZ17)&gt;0,LARGE((AT17,BW17,CZ17),1),0)</f>
        <v>0</v>
      </c>
      <c r="O17" s="13" t="str">
        <f>IF(N17=0,"",IF(N17=CZ17,$CC$1,IF(N17=BW17,$AZ$1,IF(N17=AT17,$W$1,""))))</f>
        <v/>
      </c>
      <c r="P17" s="13">
        <f>IF(COUNT(AT17,BW17,CZ17)&gt;1,LARGE((AT17,BW17,CZ17),2),0)</f>
        <v>0</v>
      </c>
      <c r="Q17" s="13" t="str">
        <f>IF(P17=0,"",IF(P17=CZ17,$CC$1,IF(P17=BW17,$AZ$1,IF(P17=AT17,$W$1,""))))</f>
        <v/>
      </c>
      <c r="R17" s="13">
        <f>IF(MAX(AX17,CA17,DD17)&gt;0,MAX(AX17,CA17,DD17),0)</f>
        <v>0</v>
      </c>
      <c r="S17" s="13" t="str">
        <f>IF(R17=0,"",IF(R17=DD17,$CC$1,IF(R17=CA17,$AZ$1,IF(R17=AX17,$W$1,""))))</f>
        <v/>
      </c>
      <c r="T17" s="13" t="str">
        <f>IF(MAX(DF17:DH17)&gt;0,MAX(DF17:DH17),"")</f>
        <v/>
      </c>
      <c r="U17" s="16" t="str">
        <f>IF(T17="","",IF(T17=DF17,"("&amp;DF$2&amp;")",IF(T17=DH17,"("&amp;DH$2&amp;")")))</f>
        <v/>
      </c>
      <c r="V17" s="13" t="str">
        <f>IF(T17="","",IF(T17=DF17,IF(T17+IF(L17="",0,L17)=PZ17,$PE$1,IF(T17+IF(L17="",0,L17)=OX17,$OC$1,IF(T17+IF(L17="",0,L17)=NV17,$NA$1,IF(T17+IF(L17="",0,L17)=MT17,$LY$1,IF(T17+IF(L17="",0,L17)=LR17,$KW$1,IF(T17+IF(L17="",0,L17)=KP17,$JU$1,IF(T17+IF(L17="",0,L17)=JN17,$IS$1,IF(T17+IF(L17="",0,L17)=IL17,$HQ$1,IF(T17+IF(L17="",0,L17)=HJ17,$GO$1,IF(T17+IF(L17="",0,L17)=GH17,$FM$1,IF(T17+IF(L17="",0,L17)=FF17,$EK$1,IF(T17+IF(L17="",0,L17)=ED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</f>
        <v/>
      </c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51"/>
      <c r="AR17" s="76" t="str">
        <f>IF(SUM(X17,AB17)&gt;0,SUM(X17,AB17),"")</f>
        <v/>
      </c>
      <c r="AS17" s="76" t="str">
        <f>IF(SUM(W17:X17,Z17:AB17,AD17)-Y17-AC17&gt;0,SUM(W17:X17,Z17:AB17,AD17)-Y17-AC17,"")</f>
        <v/>
      </c>
      <c r="AT17" s="76" t="str">
        <f>IF(SUM(AE17:AF17,AH17)-AG17&gt;0,SUM(AE17:AF17,AH17)-AG17,"")</f>
        <v/>
      </c>
      <c r="AU17" s="76" t="str">
        <f>IF(SUM(X17,AB17,AF17)&gt;0,SUM(X17,AB17,AF17),"")</f>
        <v/>
      </c>
      <c r="AV17" s="76" t="str">
        <f>IF(SUM(AS17,AT17)&gt;0,SUM(AS17,AT17),"")</f>
        <v/>
      </c>
      <c r="AW17" s="76" t="str">
        <f>IF(SUM(AJ17,AN17)&gt;0,SUM(AJ17,AN17),"")</f>
        <v/>
      </c>
      <c r="AX17" s="76" t="str">
        <f>IF(SUM(AI17:AJ17,AL17:AN17,AP17)-SUM(AK17,AO17)&gt;0,SUM(AI17:AJ17,AL17:AN17,AP17)-SUM(AK17,AO17),"")</f>
        <v/>
      </c>
      <c r="AY17" s="76" t="str">
        <f>IF(SUM(AS17,AX17)&gt;0,SUM(AS17,AX17),"")</f>
        <v/>
      </c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52"/>
      <c r="BU17" s="16" t="str">
        <f>IF(SUM(BA17,BE17)&gt;0,SUM(BA17,BE17),"")</f>
        <v/>
      </c>
      <c r="BV17" s="16" t="str">
        <f>IF(SUM(AZ17:BA17,BC17:BE17,BG17)-BB17-BF17&gt;0,SUM(AZ17:BA17,BC17:BE17,BG17)-BB17-BF17,"")</f>
        <v/>
      </c>
      <c r="BW17" s="16" t="str">
        <f>IF(SUM(BH17:BI17,BK17)-BJ17&gt;0,SUM(BH17:BI17,BK17)-BJ17,"")</f>
        <v/>
      </c>
      <c r="BX17" s="16" t="str">
        <f>IF(SUM(BA17,BE17,BI17)&gt;0,SUM(BA17,BE17,BI17),"")</f>
        <v/>
      </c>
      <c r="BY17" s="16" t="str">
        <f>IF(SUM(BV17,BW17)&gt;0,SUM(BV17,BW17),"")</f>
        <v/>
      </c>
      <c r="BZ17" s="16" t="str">
        <f>IF(SUM(BM17,BQ17)&gt;0,SUM(BM17,BQ17),"")</f>
        <v/>
      </c>
      <c r="CA17" s="16" t="str">
        <f>IF(SUM(BL17:BM17,BO17:BQ17,BS17)-SUM(BN17,BR17)&gt;0,SUM(BL17:BM17,BO17:BQ17,BS17)-SUM(BN17,BR17),"")</f>
        <v/>
      </c>
      <c r="CB17" s="16" t="str">
        <f>IF(SUM(BV17,CA17)&gt;0,SUM(BV17,CA17),"")</f>
        <v/>
      </c>
      <c r="CC17" s="27">
        <v>17.600000000000001</v>
      </c>
      <c r="CD17" s="27">
        <v>2.4</v>
      </c>
      <c r="CE17" s="27">
        <v>0</v>
      </c>
      <c r="CF17" s="27">
        <v>0</v>
      </c>
      <c r="CG17" s="27">
        <v>0</v>
      </c>
      <c r="CH17" s="27">
        <v>0</v>
      </c>
      <c r="CI17" s="27">
        <v>0</v>
      </c>
      <c r="CJ17" s="27">
        <v>0</v>
      </c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51"/>
      <c r="CX17" s="76">
        <f>IF(SUM(CD17,CH17)&gt;0,SUM(CD17,CH17),"")</f>
        <v>2.4</v>
      </c>
      <c r="CY17" s="76">
        <f>IF(SUM(CC17:CD17,CF17:CH17,CJ17)-CE17-CI17&gt;0,SUM(CC17:CD17,CF17:CH17,CJ17)-CE17-CI17,"")</f>
        <v>20</v>
      </c>
      <c r="CZ17" s="76" t="str">
        <f>IF(SUM(CK17:CL17,CN17)-CM17&gt;0,SUM(CK17:CL17,CN17)-CM17,"")</f>
        <v/>
      </c>
      <c r="DA17" s="76">
        <f>IF(SUM(CD17,CH17,CL17)&gt;0,SUM(CD17,CH17,CL17),"")</f>
        <v>2.4</v>
      </c>
      <c r="DB17" s="76">
        <f>IF(SUM(CY17,CZ17)&gt;0,SUM(CY17,CZ17),"")</f>
        <v>20</v>
      </c>
      <c r="DC17" s="76" t="str">
        <f>IF(SUM(CP17,CT17)&gt;0,SUM(CP17,CT17),"")</f>
        <v/>
      </c>
      <c r="DD17" s="76" t="str">
        <f>IF(SUM(CO17:CP17,CR17:CT17,CV17)-SUM(CQ17,CU17)&gt;0,SUM(CO17:CP17,CR17:CT17,CV17)-SUM(CQ17,CU17),"")</f>
        <v/>
      </c>
      <c r="DE17" s="76">
        <f>IF(SUM(CY17,DD17)&gt;0,SUM(CY17,DD17),"")</f>
        <v>20</v>
      </c>
      <c r="DF17" s="87" t="str">
        <f>IF(L17&gt;=0.001,IF(MAX(ED17,FF17,GH17,HJ17,IL17,JN17,KP17,LR17,MT17,NV17,OX17,PZ17)-IF(L17="",0,L17)&gt;0.001,MAX(ED17,FF17,GH17,HJ17,IL17,JN17,KP17,LR17,MT17,NV17,OX17,PZ17)-IF(L17="",0,L17),""),"")</f>
        <v/>
      </c>
      <c r="DG17" s="87" t="str">
        <f>IF(P17&gt;=0.001,IF(MAX(EE17,FG17,GI17,HK17,IM17,JO17,KQ17,LS17,MU17,NW17,OY17,QA17)-IF(P17="",0,P17)&gt;0.001,MAX(EE17,FG17,GI17,HK17,IM17,JO17,KQ17,LS17,MU17,NW17,OY17,QA17)-IF(P17="",0,P17),""),"")</f>
        <v/>
      </c>
      <c r="DH17" s="87" t="str">
        <f>IF(R17&gt;=0.001,IF(MAX(EI17,FK17,GM17,HO17,IQ17,JS17,KU17,LW17,MY17,OA17,PC17,QE17)-IF(R17="",0,R17)&gt;0.001,MAX(EI17,FK17,GM17,HO17,IQ17,JS17,KU17,LW17,MY17,OA17,PC17,QE17)-IF(R17="",0,R17),""),"")</f>
        <v/>
      </c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76" t="str">
        <f>IF(SUM(DJ17,DN17)&gt;0,SUM(DJ17,DN17),"")</f>
        <v/>
      </c>
      <c r="ED17" s="76" t="str">
        <f>IF(SUM(DI17:DJ17,DL17:DN17,DP17)-DK17-DO17&gt;0,SUM(DI17:DJ17,DL17:DN17,DP17)-DK17-DO17,"")</f>
        <v/>
      </c>
      <c r="EE17" s="76" t="str">
        <f>IF(SUM(DQ17:DR17,DT17)-DS17&gt;0,SUM(DQ17:DR17,DT17)-DS17,"")</f>
        <v/>
      </c>
      <c r="EF17" s="76" t="str">
        <f>IF(SUM(DJ17,DN17,DR17)&gt;0,SUM(DJ17,DN17,DR17),"")</f>
        <v/>
      </c>
      <c r="EG17" s="76" t="str">
        <f>IF(SUM(ED17,EE17)&gt;0,SUM(ED17,EE17),"")</f>
        <v/>
      </c>
      <c r="EH17" s="76" t="str">
        <f>IF(SUM(DV17,DZ17)&gt;0,SUM(DV17,DZ17),"")</f>
        <v/>
      </c>
      <c r="EI17" s="76" t="str">
        <f>IF(SUM(DU17:DV17,DX17:DZ17,EB17)-SUM(DW17,EA17)&gt;0,SUM(DU17:DV17,DX17:DZ17,EB17)-SUM(DW17,EA17),"")</f>
        <v/>
      </c>
      <c r="EJ17" s="76" t="str">
        <f>IF(SUM(ED17,EI17)&gt;0,SUM(ED17,EI17),"")</f>
        <v/>
      </c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16" t="str">
        <f>IF(SUM(EL17,EP17)&gt;0,SUM(EL17,EP17),"")</f>
        <v/>
      </c>
      <c r="FF17" s="16" t="str">
        <f>IF(SUM(EK17:EL17,EN17:EP17,ER17)-EM17-EQ17&gt;0,SUM(EK17:EL17,EN17:EP17,ER17)-EM17-EQ17,"")</f>
        <v/>
      </c>
      <c r="FG17" s="16" t="str">
        <f>IF(SUM(ES17:ET17,EV17)-EU17&gt;0,SUM(ES17:ET17,EV17)-EU17,"")</f>
        <v/>
      </c>
      <c r="FH17" s="16" t="str">
        <f>IF(SUM(EL17,EP17,ET17)&gt;0,SUM(EL17,EP17,ET17),"")</f>
        <v/>
      </c>
      <c r="FI17" s="16" t="str">
        <f>IF(SUM(FF17,FG17)&gt;0,SUM(FF17,FG17),"")</f>
        <v/>
      </c>
      <c r="FJ17" s="16" t="str">
        <f>IF(SUM(EX17,FB17)&gt;0,SUM(EX17,FB17),"")</f>
        <v/>
      </c>
      <c r="FK17" s="16" t="str">
        <f>IF(SUM(EW17:EX17,EZ17:FB17,FD17)-SUM(EY17,FC17)&gt;0,SUM(EW17:EX17,EZ17:FB17,FD17)-SUM(EY17,FC17),"")</f>
        <v/>
      </c>
      <c r="FL17" s="16" t="str">
        <f>IF(SUM(FF17,FK17)&gt;0,SUM(FF17,FK17),"")</f>
        <v/>
      </c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76" t="str">
        <f>IF(SUM(FN17,FR17)&gt;0,SUM(FN17,FR17),"")</f>
        <v/>
      </c>
      <c r="GH17" s="76" t="str">
        <f>IF(SUM(FM17:FN17,FP17:FR17,FT17)-FO17-FS17&gt;0,SUM(FM17:FN17,FP17:FR17,FT17)-FO17-FS17,"")</f>
        <v/>
      </c>
      <c r="GI17" s="76" t="str">
        <f>IF(SUM(FU17:FV17,FX17)-FW17&gt;0,SUM(FU17:FV17,FX17)-FW17,"")</f>
        <v/>
      </c>
      <c r="GJ17" s="76" t="str">
        <f>IF(SUM(FN17,FR17,FV17)&gt;0,SUM(FN17,FR17,FV17),"")</f>
        <v/>
      </c>
      <c r="GK17" s="76" t="str">
        <f>IF(SUM(GH17,GI17)&gt;0,SUM(GH17,GI17),"")</f>
        <v/>
      </c>
      <c r="GL17" s="76" t="str">
        <f>IF(SUM(FZ17,GD17)&gt;0,SUM(FZ17,GD17),"")</f>
        <v/>
      </c>
      <c r="GM17" s="76" t="str">
        <f>IF(SUM(FY17:FZ17,GB17:GD17,GF17)-SUM(GA17,GE17)&gt;0,SUM(FY17:FZ17,GB17:GD17,GF17)-SUM(GA17,GE17),"")</f>
        <v/>
      </c>
      <c r="GN17" s="76" t="str">
        <f>IF(SUM(GH17,GM17)&gt;0,SUM(GH17,GM17),"")</f>
        <v/>
      </c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16" t="str">
        <f>IF(SUM(GP17,GT17)&gt;0,SUM(GP17,GT17),"")</f>
        <v/>
      </c>
      <c r="HJ17" s="16" t="str">
        <f>IF(SUM(GO17:GP17,GR17:GT17,GV17)-GQ17-GU17&gt;0,SUM(GO17:GP17,GR17:GT17,GV17)-GQ17-GU17,"")</f>
        <v/>
      </c>
      <c r="HK17" s="16" t="str">
        <f>IF(SUM(GW17:GX17,GZ17)-GY17&gt;0,SUM(GW17:GX17,GZ17)-GY17,"")</f>
        <v/>
      </c>
      <c r="HL17" s="16" t="str">
        <f>IF(SUM(GP17,GT17,GX17)&gt;0,SUM(GP17,GT17,GX17),"")</f>
        <v/>
      </c>
      <c r="HM17" s="16" t="str">
        <f>IF(SUM(HJ17,HK17)&gt;0,SUM(HJ17,HK17),"")</f>
        <v/>
      </c>
      <c r="HN17" s="16" t="str">
        <f>IF(SUM(HB17,HF17)&gt;0,SUM(HB17,HF17),"")</f>
        <v/>
      </c>
      <c r="HO17" s="16" t="str">
        <f>IF(SUM(HA17:HB17,HD17:HF17,HH17)-SUM(HC17,HG17)&gt;0,SUM(HA17:HB17,HD17:HF17,HH17)-SUM(HC17,HG17),"")</f>
        <v/>
      </c>
      <c r="HP17" s="16" t="str">
        <f>IF(SUM(HJ17,HO17)&gt;0,SUM(HJ17,HO17),"")</f>
        <v/>
      </c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76" t="str">
        <f>IF(SUM(HR17,HV17)&gt;0,SUM(HR17,HV17),"")</f>
        <v/>
      </c>
      <c r="IL17" s="76" t="str">
        <f>IF(SUM(HQ17:HR17,HT17:HV17,HX17)-HS17-HW17&gt;0,SUM(HQ17:HR17,HT17:HV17,HX17)-HS17-HW17,"")</f>
        <v/>
      </c>
      <c r="IM17" s="76" t="str">
        <f>IF(SUM(HY17:HZ17,IB17)-IA17&gt;0,SUM(HY17:HZ17,IB17)-IA17,"")</f>
        <v/>
      </c>
      <c r="IN17" s="76" t="str">
        <f>IF(SUM(HR17,HV17,HZ17)&gt;0,SUM(HR17,HV17,HZ17),"")</f>
        <v/>
      </c>
      <c r="IO17" s="76" t="str">
        <f>IF(SUM(IL17,IM17)&gt;0,SUM(IL17,IM17),"")</f>
        <v/>
      </c>
      <c r="IP17" s="76" t="str">
        <f>IF(SUM(ID17,IH17)&gt;0,SUM(ID17,IH17),"")</f>
        <v/>
      </c>
      <c r="IQ17" s="76" t="str">
        <f>IF(SUM(IC17:ID17,IF17:IH17,IJ17)-SUM(IE17,II17)&gt;0,SUM(IC17:ID17,IF17:IH17,IJ17)-SUM(IE17,II17),"")</f>
        <v/>
      </c>
      <c r="IR17" s="76" t="str">
        <f>IF(SUM(IL17,IQ17)&gt;0,SUM(IL17,IQ17),"")</f>
        <v/>
      </c>
      <c r="IS17" s="26"/>
      <c r="IT17" s="26"/>
      <c r="IU17" s="26"/>
      <c r="IV17" s="26"/>
      <c r="IW17" s="26"/>
      <c r="IX17" s="26"/>
      <c r="IY17" s="26"/>
      <c r="IZ17" s="26"/>
      <c r="JA17" s="26"/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6"/>
      <c r="JM17" s="16" t="str">
        <f>IF(SUM(IT17,IX17)&gt;0,SUM(IT17,IX17),"")</f>
        <v/>
      </c>
      <c r="JN17" s="16" t="str">
        <f>IF(SUM(IS17:IT17,IV17:IX17,IZ17)-IU17-IY17&gt;0,SUM(IS17:IT17,IV17:IX17,IZ17)-IU17-IY17,"")</f>
        <v/>
      </c>
      <c r="JO17" s="16" t="str">
        <f>IF(SUM(JA17:JB17,JD17)-JC17&gt;0,SUM(JA17:JB17,JD17)-JC17,"")</f>
        <v/>
      </c>
      <c r="JP17" s="16" t="str">
        <f>IF(SUM(IT17,IX17,JB17)&gt;0,SUM(IT17,IX17,JB17),"")</f>
        <v/>
      </c>
      <c r="JQ17" s="16" t="str">
        <f>IF(SUM(JN17,JO17)&gt;0,SUM(JN17,JO17),"")</f>
        <v/>
      </c>
      <c r="JR17" s="16" t="str">
        <f>IF(SUM(JF17,JJ17)&gt;0,SUM(JF17,JJ17),"")</f>
        <v/>
      </c>
      <c r="JS17" s="16" t="str">
        <f>IF(SUM(JE17:JF17,JH17:JJ17,JL17)-SUM(JG17,JK17)&gt;0,SUM(JE17:JF17,JH17:JJ17,JL17)-SUM(JG17,JK17),"")</f>
        <v/>
      </c>
      <c r="JT17" s="16" t="str">
        <f>IF(SUM(JN17,JS17)&gt;0,SUM(JN17,JS17),"")</f>
        <v/>
      </c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76" t="str">
        <f>IF(SUM(JV17,JZ17)&gt;0,SUM(JV17,JZ17),"")</f>
        <v/>
      </c>
      <c r="KP17" s="76" t="str">
        <f>IF(SUM(JU17:JV17,JX17:JZ17,KB17)-JW17-KA17&gt;0,SUM(JU17:JV17,JX17:JZ17,KB17)-JW17-KA17,"")</f>
        <v/>
      </c>
      <c r="KQ17" s="76" t="str">
        <f>IF(SUM(KC17:KD17,KF17)-KE17&gt;0,SUM(KC17:KD17,KF17)-KE17,"")</f>
        <v/>
      </c>
      <c r="KR17" s="76" t="str">
        <f>IF(SUM(JV17,JZ17,KD17)&gt;0,SUM(JV17,JZ17,KD17),"")</f>
        <v/>
      </c>
      <c r="KS17" s="76" t="str">
        <f>IF(SUM(KP17,KQ17)&gt;0,SUM(KP17,KQ17),"")</f>
        <v/>
      </c>
      <c r="KT17" s="76" t="str">
        <f>IF(SUM(KH17,KL17)&gt;0,SUM(KH17,KL17),"")</f>
        <v/>
      </c>
      <c r="KU17" s="76" t="str">
        <f>IF(SUM(KG17:KH17,KJ17:KL17,KN17)-SUM(KI17,KM17)&gt;0,SUM(KG17:KH17,KJ17:KL17,KN17)-SUM(KI17,KM17),"")</f>
        <v/>
      </c>
      <c r="KV17" s="76" t="str">
        <f>IF(SUM(KP17,KU17)&gt;0,SUM(KP17,KU17),"")</f>
        <v/>
      </c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26"/>
      <c r="LJ17" s="26"/>
      <c r="LK17" s="26"/>
      <c r="LL17" s="26"/>
      <c r="LM17" s="26"/>
      <c r="LN17" s="26"/>
      <c r="LO17" s="26"/>
      <c r="LP17" s="26"/>
      <c r="LQ17" s="16" t="str">
        <f>IF(SUM(KX17,LB17)&gt;0,SUM(KX17,LB17),"")</f>
        <v/>
      </c>
      <c r="LR17" s="16" t="str">
        <f>IF(SUM(KW17:KX17,KZ17:LB17,LD17)-KY17-LC17&gt;0,SUM(KW17:KX17,KZ17:LB17,LD17)-KY17-LC17,"")</f>
        <v/>
      </c>
      <c r="LS17" s="16" t="str">
        <f>IF(SUM(LE17:LF17,LH17)-LG17&gt;0,SUM(LE17:LF17,LH17)-LG17,"")</f>
        <v/>
      </c>
      <c r="LT17" s="16" t="str">
        <f>IF(SUM(KX17,LB17,LF17)&gt;0,SUM(KX17,LB17,LF17),"")</f>
        <v/>
      </c>
      <c r="LU17" s="16" t="str">
        <f>IF(SUM(LR17,LS17)&gt;0,SUM(LR17,LS17),"")</f>
        <v/>
      </c>
      <c r="LV17" s="16" t="str">
        <f>IF(SUM(LJ17,LN17)&gt;0,SUM(LJ17,LN17),"")</f>
        <v/>
      </c>
      <c r="LW17" s="16" t="str">
        <f>IF(SUM(LI17:LJ17,LL17:LN17,LP17)-SUM(LK17,LO17)&gt;0,SUM(LI17:LJ17,LL17:LN17,LP17)-SUM(LK17,LO17),"")</f>
        <v/>
      </c>
      <c r="LX17" s="16" t="str">
        <f>IF(SUM(LR17,LW17)&gt;0,SUM(LR17,LW17),"")</f>
        <v/>
      </c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25"/>
      <c r="MR17" s="25"/>
      <c r="MS17" s="76" t="str">
        <f>IF(SUM(LZ17,MD17)&gt;0,SUM(LZ17,MD17),"")</f>
        <v/>
      </c>
      <c r="MT17" s="76" t="str">
        <f>IF(SUM(LY17:LZ17,MB17:MD17,MF17)-MA17-ME17&gt;0,SUM(LY17:LZ17,MB17:MD17,MF17)-MA17-ME17,"")</f>
        <v/>
      </c>
      <c r="MU17" s="76" t="str">
        <f>IF(SUM(MG17:MH17,MJ17)-MI17&gt;0,SUM(MG17:MH17,MJ17)-MI17,"")</f>
        <v/>
      </c>
      <c r="MV17" s="76" t="str">
        <f>IF(SUM(LZ17,MD17,MH17)&gt;0,SUM(LZ17,MD17,MH17),"")</f>
        <v/>
      </c>
      <c r="MW17" s="76" t="str">
        <f>IF(SUM(MT17,MU17)&gt;0,SUM(MT17,MU17),"")</f>
        <v/>
      </c>
      <c r="MX17" s="76" t="str">
        <f>IF(SUM(ML17,MP17)&gt;0,SUM(ML17,MP17),"")</f>
        <v/>
      </c>
      <c r="MY17" s="76" t="str">
        <f>IF(SUM(MK17:ML17,MN17:MP17,MR17)-SUM(MM17,MQ17)&gt;0,SUM(MK17:ML17,MN17:MP17,MR17)-SUM(MM17,MQ17),"")</f>
        <v/>
      </c>
      <c r="MZ17" s="76" t="str">
        <f>IF(SUM(MT17,MY17)&gt;0,SUM(MT17,MY17),"")</f>
        <v/>
      </c>
      <c r="NA17" s="26"/>
      <c r="NB17" s="26"/>
      <c r="NC17" s="26"/>
      <c r="ND17" s="26"/>
      <c r="NE17" s="26"/>
      <c r="NF17" s="26"/>
      <c r="NG17" s="26"/>
      <c r="NH17" s="26"/>
      <c r="NI17" s="26"/>
      <c r="NJ17" s="26"/>
      <c r="NK17" s="26"/>
      <c r="NL17" s="26"/>
      <c r="NM17" s="26"/>
      <c r="NN17" s="26"/>
      <c r="NO17" s="26"/>
      <c r="NP17" s="26"/>
      <c r="NQ17" s="26"/>
      <c r="NR17" s="26"/>
      <c r="NS17" s="26"/>
      <c r="NT17" s="26"/>
      <c r="NU17" s="16" t="str">
        <f>IF(SUM(NB17,NF17)&gt;0,SUM(NB17,NF17),"")</f>
        <v/>
      </c>
      <c r="NV17" s="16" t="str">
        <f>IF(SUM(NA17:NB17,ND17:NF17,NH17)-NC17-NG17&gt;0,SUM(NA17:NB17,ND17:NF17,NH17)-NC17-NG17,"")</f>
        <v/>
      </c>
      <c r="NW17" s="16" t="str">
        <f>IF(SUM(NI17:NJ17,NL17)-NK17&gt;0,SUM(NI17:NJ17,NL17)-NK17,"")</f>
        <v/>
      </c>
      <c r="NX17" s="16" t="str">
        <f>IF(SUM(NB17,NF17,NJ17)&gt;0,SUM(NB17,NF17,NJ17),"")</f>
        <v/>
      </c>
      <c r="NY17" s="16" t="str">
        <f>IF(SUM(NV17,NW17)&gt;0,SUM(NV17,NW17),"")</f>
        <v/>
      </c>
      <c r="NZ17" s="16" t="str">
        <f>IF(SUM(NN17,NR17)&gt;0,SUM(NN17,NR17),"")</f>
        <v/>
      </c>
      <c r="OA17" s="16" t="str">
        <f>IF(SUM(NM17:NN17,NP17:NR17,NT17)-SUM(NO17,NS17)&gt;0,SUM(NM17:NN17,NP17:NR17,NT17)-SUM(NO17,NS17),"")</f>
        <v/>
      </c>
      <c r="OB17" s="16" t="str">
        <f>IF(SUM(NV17,OA17)&gt;0,SUM(NV17,OA17),"")</f>
        <v/>
      </c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25"/>
      <c r="OR17" s="25"/>
      <c r="OS17" s="25"/>
      <c r="OT17" s="25"/>
      <c r="OU17" s="25"/>
      <c r="OV17" s="25"/>
      <c r="OW17" s="76" t="str">
        <f>IF(SUM(OD17,OH17)&gt;0,SUM(OD17,OH17),"")</f>
        <v/>
      </c>
      <c r="OX17" s="76" t="str">
        <f>IF(SUM(OC17:OD17,OF17:OH17,OJ17)-OE17-OI17&gt;0,SUM(OC17:OD17,OF17:OH17,OJ17)-OE17-OI17,"")</f>
        <v/>
      </c>
      <c r="OY17" s="76" t="str">
        <f>IF(SUM(OK17:OL17,ON17)-OM17&gt;0,SUM(OK17:OL17,ON17)-OM17,"")</f>
        <v/>
      </c>
      <c r="OZ17" s="76" t="str">
        <f>IF(SUM(OD17,OH17,OL17)&gt;0,SUM(OD17,OH17,OL17),"")</f>
        <v/>
      </c>
      <c r="PA17" s="76" t="str">
        <f>IF(SUM(OX17,OY17)&gt;0,SUM(OX17,OY17),"")</f>
        <v/>
      </c>
      <c r="PB17" s="76" t="str">
        <f>IF(SUM(OP17,OT17)&gt;0,SUM(OP17,OT17),"")</f>
        <v/>
      </c>
      <c r="PC17" s="76" t="str">
        <f>IF(SUM(OO17:OP17,OR17:OT17,OV17)-SUM(OQ17,OU17)&gt;0,SUM(OO17:OP17,OR17:OT17,OV17)-SUM(OQ17,OU17),"")</f>
        <v/>
      </c>
      <c r="PD17" s="76" t="str">
        <f>IF(SUM(OX17,PC17)&gt;0,SUM(OX17,PC17),"")</f>
        <v/>
      </c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26"/>
      <c r="PS17" s="26"/>
      <c r="PT17" s="26"/>
      <c r="PU17" s="26"/>
      <c r="PV17" s="26"/>
      <c r="PW17" s="26"/>
      <c r="PX17" s="26"/>
      <c r="PY17" s="16" t="str">
        <f>IF(SUM(PF17,PJ17)&gt;0,SUM(PF17,PJ17),"")</f>
        <v/>
      </c>
      <c r="PZ17" s="16" t="str">
        <f>IF(SUM(PE17:PF17,PH17:PJ17,PL17)-PG17-PK17&gt;0,SUM(PE17:PF17,PH17:PJ17,PL17)-PG17-PK17,"")</f>
        <v/>
      </c>
      <c r="QA17" s="16" t="str">
        <f>IF(SUM(PM17:PN17,PP17)-PO17&gt;0,SUM(PM17:PN17,PP17)-PO17,"")</f>
        <v/>
      </c>
      <c r="QB17" s="16" t="str">
        <f>IF(SUM(PF17,PJ17,PN17)&gt;0,SUM(PF17,PJ17,PN17),"")</f>
        <v/>
      </c>
      <c r="QC17" s="16" t="str">
        <f>IF(SUM(PZ17,QA17)&gt;0,SUM(PZ17,QA17),"")</f>
        <v/>
      </c>
      <c r="QD17" s="16" t="str">
        <f>IF(SUM(PR17,PV17)&gt;0,SUM(PR17,PV17),"")</f>
        <v/>
      </c>
      <c r="QE17" s="16" t="str">
        <f>IF(SUM(PQ17:PR17,PT17:PV17,PX17)-SUM(PS17,PW17)&gt;0,SUM(PQ17:PR17,PT17:PV17,PX17)-SUM(PS17,PW17),"")</f>
        <v/>
      </c>
      <c r="QF17" s="16" t="str">
        <f>IF(SUM(PZ17,QE17)&gt;0,SUM(PZ17,QE17),"")</f>
        <v/>
      </c>
      <c r="QG17" s="42">
        <f>IF($CW17="P",CC17,(CC17+AZ17)/2)</f>
        <v>8.8000000000000007</v>
      </c>
      <c r="QH17" s="42">
        <f>IF($CW17="P",CD17,(CD17+BA17)/2)</f>
        <v>1.2</v>
      </c>
      <c r="QI17" s="42">
        <f>IF($CW17="P",CE17,(CE17+BB17)/2)</f>
        <v>0</v>
      </c>
      <c r="QJ17" s="42">
        <f>IF($CW17="P",CF17,(CF17+BC17)/2)</f>
        <v>0</v>
      </c>
      <c r="QK17" s="42">
        <f>IF($CW17="P",CG17,(CG17+BD17)/2)</f>
        <v>0</v>
      </c>
      <c r="QL17" s="42">
        <f>IF($CW17="P",CH17,(CH17+BE17)/2)</f>
        <v>0</v>
      </c>
      <c r="QM17" s="42">
        <f>IF($CW17="P",CI17,(CI17+BF17)/2)</f>
        <v>0</v>
      </c>
      <c r="QN17" s="42">
        <f>IF($CW17="P",CJ17,(CJ17+BG17)/2)</f>
        <v>0</v>
      </c>
      <c r="QO17" s="42">
        <f>IF($CW17="P",CK17,(CK17+BH17)/2)</f>
        <v>0</v>
      </c>
      <c r="QP17" s="42">
        <f>IF($CW17="P",CL17,(CL17+BI17)/2)</f>
        <v>0</v>
      </c>
      <c r="QQ17" s="42">
        <f>IF($CW17="P",CM17,(CM17+BJ17)/2)</f>
        <v>0</v>
      </c>
      <c r="QR17" s="42">
        <f>IF($CW17="P",CN17,(CN17+BK17)/2)</f>
        <v>0</v>
      </c>
      <c r="QS17" s="42">
        <f>IF($CW17="P",CO17,(CO17+BL17)/2)</f>
        <v>0</v>
      </c>
      <c r="QT17" s="42">
        <f>IF($CW17="P",CP17,(CP17+BM17)/2)</f>
        <v>0</v>
      </c>
      <c r="QU17" s="42">
        <f>IF($CW17="P",CQ17,(CQ17+BN17)/2)</f>
        <v>0</v>
      </c>
      <c r="QV17" s="42">
        <f>IF($CW17="P",CR17,(CR17+BO17)/2)</f>
        <v>0</v>
      </c>
      <c r="QW17" s="42">
        <f>IF($CW17="P",CS17,(CS17+BP17)/2)</f>
        <v>0</v>
      </c>
      <c r="QX17" s="42">
        <f>IF($CW17="P",CT17,(CT17+BQ17)/2)</f>
        <v>0</v>
      </c>
      <c r="QY17" s="42">
        <f>IF($CW17="P",CU17,(CU17+BR17)/2)</f>
        <v>0</v>
      </c>
      <c r="QZ17" s="42">
        <f>IF($CW17="P",CV17,(CV17+BS17)/2)</f>
        <v>0</v>
      </c>
      <c r="RA17" s="51" t="s">
        <v>61</v>
      </c>
      <c r="RB17" s="76">
        <f>IF(SUM(QH17,QL17)&gt;0,SUM(QH17,QL17),"")</f>
        <v>1.2</v>
      </c>
      <c r="RC17" s="76">
        <f>IF(SUM(QG17:QH17,QJ17:QL17,QN17)-QI17-QM17&gt;0,SUM(QG17:QH17,QJ17:QL17,QN17)-QI17-QM17,"")</f>
        <v>10</v>
      </c>
      <c r="RD17" s="76" t="str">
        <f>IF(SUM(QO17:QP17,QR17)-QQ17&gt;0,SUM(QO17:QP17,QR17)-QQ17,"")</f>
        <v/>
      </c>
      <c r="RE17" s="76">
        <f>IF(SUM(QH17,QL17,QP17)&gt;0,SUM(QH17,QL17,QP17),"")</f>
        <v>1.2</v>
      </c>
      <c r="RF17" s="76">
        <f>IF(SUM(RC17,RD17)&gt;0,SUM(RC17,RD17),"")</f>
        <v>10</v>
      </c>
      <c r="RG17" s="76" t="str">
        <f>IF(SUM(QT17,QX17)&gt;0,SUM(QT17,QX17),"")</f>
        <v/>
      </c>
      <c r="RH17" s="76" t="str">
        <f>IF(SUM(QS17:QT17,QV17:QX17,QZ17)-SUM(QU17,QY17)&gt;0,SUM(QS17:QT17,QV17:QX17,QZ17)-SUM(QU17,QY17),"")</f>
        <v/>
      </c>
      <c r="RI17" s="76">
        <f>IF(SUM(RC17,RH17)&gt;0,SUM(RC17,RH17),"")</f>
        <v>10</v>
      </c>
    </row>
    <row r="18" spans="1:477" ht="17" x14ac:dyDescent="0.2">
      <c r="T18" s="15"/>
      <c r="U18" s="15"/>
      <c r="V18" s="15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</row>
    <row r="19" spans="1:477" ht="17" x14ac:dyDescent="0.2">
      <c r="T19" s="15"/>
      <c r="U19" s="15"/>
      <c r="V19" s="15"/>
    </row>
    <row r="20" spans="1:477" ht="17" x14ac:dyDescent="0.2">
      <c r="B20" s="43" t="s">
        <v>58</v>
      </c>
      <c r="T20" s="15"/>
      <c r="U20" s="15"/>
      <c r="V20" s="15"/>
      <c r="AR20" s="7"/>
      <c r="AY20" s="78">
        <v>1.0000000000000001E-5</v>
      </c>
      <c r="BU20" s="7"/>
      <c r="CB20" s="78">
        <v>1.0000000000000001E-5</v>
      </c>
      <c r="CX20" s="7"/>
      <c r="DE20" s="78">
        <v>14.4</v>
      </c>
      <c r="EC20" s="7"/>
      <c r="EJ20" s="78">
        <v>1.0000000000000001E-5</v>
      </c>
      <c r="FE20" s="7"/>
      <c r="FL20" s="78">
        <v>14.4</v>
      </c>
      <c r="GG20" s="7"/>
      <c r="GN20" s="78">
        <v>14.4</v>
      </c>
      <c r="HI20" s="7"/>
      <c r="HP20" s="78">
        <v>14.4</v>
      </c>
      <c r="IK20" s="7"/>
      <c r="IR20" s="78">
        <v>14.4</v>
      </c>
      <c r="JM20" s="7"/>
      <c r="JT20" s="78">
        <v>14.4</v>
      </c>
      <c r="KO20" s="7"/>
      <c r="KV20" s="78">
        <v>14.4</v>
      </c>
      <c r="LQ20" s="7"/>
      <c r="LX20" s="78">
        <v>14.4</v>
      </c>
      <c r="MS20" s="7"/>
      <c r="MZ20" s="78">
        <v>14.4</v>
      </c>
      <c r="NU20" s="7"/>
      <c r="OB20" s="78">
        <v>14.4</v>
      </c>
      <c r="OW20" s="7"/>
      <c r="PD20" s="78">
        <v>14.4</v>
      </c>
      <c r="PY20" s="7"/>
      <c r="QF20" s="78">
        <v>14.4</v>
      </c>
    </row>
    <row r="21" spans="1:477" ht="17" x14ac:dyDescent="0.2">
      <c r="B21" s="54" t="s">
        <v>57</v>
      </c>
      <c r="T21" s="15"/>
      <c r="U21" s="15"/>
      <c r="V21" s="15"/>
      <c r="AR21" s="7"/>
      <c r="AY21" s="93">
        <v>2.0000000000000002E-5</v>
      </c>
      <c r="BU21" s="7"/>
      <c r="CB21" s="93">
        <v>2.0000000000000002E-5</v>
      </c>
      <c r="CX21" s="7"/>
      <c r="DE21" s="93">
        <v>21.6</v>
      </c>
      <c r="EC21" s="7"/>
      <c r="EJ21" s="93">
        <v>2.0000000000000002E-5</v>
      </c>
      <c r="FE21" s="7"/>
      <c r="FL21" s="93">
        <v>21.6</v>
      </c>
      <c r="GG21" s="7"/>
      <c r="GN21" s="93">
        <v>21.6</v>
      </c>
      <c r="HI21" s="7"/>
      <c r="HP21" s="93">
        <v>21.6</v>
      </c>
      <c r="IK21" s="7"/>
      <c r="IR21" s="93">
        <v>21.6</v>
      </c>
      <c r="JM21" s="7"/>
      <c r="JT21" s="93">
        <v>21.6</v>
      </c>
      <c r="KO21" s="7"/>
      <c r="KV21" s="93">
        <v>21.6</v>
      </c>
      <c r="LQ21" s="7"/>
      <c r="LX21" s="93">
        <v>21.6</v>
      </c>
      <c r="MS21" s="7"/>
      <c r="MZ21" s="93">
        <v>21.6</v>
      </c>
      <c r="NU21" s="7"/>
      <c r="OB21" s="93">
        <v>21.6</v>
      </c>
      <c r="OW21" s="7"/>
      <c r="PD21" s="93">
        <v>21.6</v>
      </c>
      <c r="PY21" s="7"/>
      <c r="QF21" s="93">
        <v>21.6</v>
      </c>
    </row>
    <row r="22" spans="1:477" ht="17" x14ac:dyDescent="0.2">
      <c r="A22" s="35"/>
      <c r="B22" s="55" t="s">
        <v>71</v>
      </c>
      <c r="C22" s="34"/>
      <c r="T22" s="15"/>
      <c r="U22" s="15"/>
      <c r="V22" s="15"/>
      <c r="AR22" s="7"/>
      <c r="AY22" s="80">
        <v>3.0000000000000001E-5</v>
      </c>
      <c r="BU22" s="7"/>
      <c r="CB22" s="80">
        <v>3.0000000000000001E-5</v>
      </c>
      <c r="CX22" s="7"/>
      <c r="DE22" s="80">
        <v>23.2</v>
      </c>
      <c r="EC22" s="7"/>
      <c r="EJ22" s="80">
        <v>3.0000000000000001E-5</v>
      </c>
      <c r="FE22" s="7"/>
      <c r="FL22" s="80">
        <v>23.2</v>
      </c>
      <c r="GG22" s="7"/>
      <c r="GN22" s="80">
        <v>23.2</v>
      </c>
      <c r="HI22" s="7"/>
      <c r="HP22" s="80">
        <v>23.2</v>
      </c>
      <c r="IK22" s="7"/>
      <c r="IR22" s="80">
        <v>23.2</v>
      </c>
      <c r="JM22" s="7"/>
      <c r="JT22" s="80">
        <v>23.2</v>
      </c>
      <c r="KO22" s="7"/>
      <c r="KV22" s="80">
        <v>23.2</v>
      </c>
      <c r="LQ22" s="7"/>
      <c r="LX22" s="80">
        <v>23.2</v>
      </c>
      <c r="MS22" s="7"/>
      <c r="MZ22" s="80">
        <v>23.2</v>
      </c>
      <c r="NU22" s="7"/>
      <c r="OB22" s="80">
        <v>23.2</v>
      </c>
      <c r="OW22" s="7"/>
      <c r="PD22" s="80">
        <v>23.2</v>
      </c>
      <c r="PY22" s="7"/>
      <c r="QF22" s="80">
        <v>23.2</v>
      </c>
    </row>
    <row r="23" spans="1:477" ht="17" x14ac:dyDescent="0.2">
      <c r="A23" s="35"/>
      <c r="B23" s="66" t="s">
        <v>86</v>
      </c>
      <c r="C23" s="34"/>
      <c r="T23" s="15"/>
      <c r="U23" s="15"/>
      <c r="V23" s="15"/>
      <c r="AR23" s="7"/>
      <c r="AY23" s="81">
        <v>4.0000000000000003E-5</v>
      </c>
      <c r="BU23" s="7"/>
      <c r="CB23" s="81">
        <v>4.0000000000000003E-5</v>
      </c>
      <c r="CX23" s="7"/>
      <c r="DE23" s="81">
        <v>25.6</v>
      </c>
      <c r="EC23" s="7"/>
      <c r="EJ23" s="81">
        <v>4.0000000000000003E-5</v>
      </c>
      <c r="FE23" s="7"/>
      <c r="FL23" s="81">
        <v>25.6</v>
      </c>
      <c r="GG23" s="7"/>
      <c r="GN23" s="81">
        <v>25.6</v>
      </c>
      <c r="HI23" s="7"/>
      <c r="HP23" s="81">
        <v>25.6</v>
      </c>
      <c r="IK23" s="7"/>
      <c r="IR23" s="81">
        <v>25.6</v>
      </c>
      <c r="JM23" s="7"/>
      <c r="JT23" s="81">
        <v>25.6</v>
      </c>
      <c r="KO23" s="7"/>
      <c r="KV23" s="81">
        <v>25.6</v>
      </c>
      <c r="LQ23" s="7"/>
      <c r="LX23" s="81">
        <v>25.6</v>
      </c>
      <c r="MS23" s="7"/>
      <c r="MZ23" s="81">
        <v>25.6</v>
      </c>
      <c r="NU23" s="7"/>
      <c r="OB23" s="81">
        <v>25.6</v>
      </c>
      <c r="OW23" s="7"/>
      <c r="PD23" s="81">
        <v>25.6</v>
      </c>
      <c r="PY23" s="7"/>
      <c r="QF23" s="81">
        <v>25.6</v>
      </c>
    </row>
    <row r="24" spans="1:477" ht="17" x14ac:dyDescent="0.2">
      <c r="A24" s="35"/>
      <c r="B24" s="65" t="s">
        <v>55</v>
      </c>
      <c r="C24" s="34"/>
      <c r="T24" s="15"/>
      <c r="U24" s="15"/>
      <c r="V24" s="15"/>
      <c r="AR24" s="7"/>
      <c r="AY24" s="82">
        <v>5.0000000000000002E-5</v>
      </c>
      <c r="BU24" s="7"/>
      <c r="CB24" s="82">
        <v>5.0000000000000002E-5</v>
      </c>
      <c r="CX24" s="7"/>
      <c r="DE24" s="82">
        <v>51.2</v>
      </c>
      <c r="EC24" s="7"/>
      <c r="EJ24" s="82">
        <v>5.0000000000000002E-5</v>
      </c>
      <c r="FE24" s="7"/>
      <c r="FL24" s="82">
        <v>51.2</v>
      </c>
      <c r="GG24" s="7"/>
      <c r="GN24" s="82">
        <v>51.2</v>
      </c>
      <c r="HI24" s="7"/>
      <c r="HP24" s="82">
        <v>51.2</v>
      </c>
      <c r="IK24" s="7"/>
      <c r="IR24" s="82">
        <v>51.2</v>
      </c>
      <c r="JM24" s="7"/>
      <c r="JT24" s="82">
        <v>51.2</v>
      </c>
      <c r="KO24" s="7"/>
      <c r="KV24" s="82">
        <v>51.2</v>
      </c>
      <c r="LQ24" s="7"/>
      <c r="LX24" s="82">
        <v>51.2</v>
      </c>
      <c r="MS24" s="7"/>
      <c r="MZ24" s="82">
        <v>51.2</v>
      </c>
      <c r="NU24" s="7"/>
      <c r="OB24" s="82">
        <v>51.2</v>
      </c>
      <c r="OW24" s="7"/>
      <c r="PD24" s="82">
        <v>51.2</v>
      </c>
      <c r="PY24" s="7"/>
      <c r="QF24" s="82">
        <v>51.2</v>
      </c>
    </row>
    <row r="25" spans="1:477" ht="17" x14ac:dyDescent="0.2">
      <c r="A25" s="35"/>
      <c r="B25" s="44" t="s">
        <v>56</v>
      </c>
      <c r="C25" s="34"/>
      <c r="T25" s="15"/>
      <c r="U25" s="15"/>
      <c r="V25" s="15"/>
      <c r="AR25" s="7"/>
      <c r="AY25" s="83">
        <v>6.0000000000000002E-5</v>
      </c>
      <c r="BU25" s="7"/>
      <c r="CB25" s="83">
        <v>6.0000000000000002E-5</v>
      </c>
      <c r="CX25" s="7"/>
      <c r="DE25" s="83">
        <v>77.2</v>
      </c>
      <c r="EC25" s="7"/>
      <c r="EJ25" s="83">
        <v>6.0000000000000002E-5</v>
      </c>
      <c r="FE25" s="7"/>
      <c r="FL25" s="83">
        <v>77.2</v>
      </c>
      <c r="GG25" s="7"/>
      <c r="GN25" s="83">
        <v>77.2</v>
      </c>
      <c r="HI25" s="7"/>
      <c r="HP25" s="83">
        <v>77.2</v>
      </c>
      <c r="IK25" s="7"/>
      <c r="IR25" s="83">
        <v>77.2</v>
      </c>
      <c r="JM25" s="7"/>
      <c r="JT25" s="83">
        <v>77.2</v>
      </c>
      <c r="KO25" s="7"/>
      <c r="KV25" s="83">
        <v>77.2</v>
      </c>
      <c r="LQ25" s="7"/>
      <c r="LX25" s="83">
        <v>77.2</v>
      </c>
      <c r="MS25" s="7"/>
      <c r="MZ25" s="83">
        <v>77.2</v>
      </c>
      <c r="NU25" s="7"/>
      <c r="OB25" s="83">
        <v>77.2</v>
      </c>
      <c r="OW25" s="7"/>
      <c r="PD25" s="83">
        <v>77.2</v>
      </c>
      <c r="PY25" s="7"/>
      <c r="QF25" s="83">
        <v>77.2</v>
      </c>
    </row>
    <row r="26" spans="1:477" ht="17" x14ac:dyDescent="0.2">
      <c r="A26" s="35"/>
      <c r="B26" s="64" t="s">
        <v>70</v>
      </c>
      <c r="C26" s="34"/>
      <c r="T26" s="15"/>
      <c r="U26" s="15"/>
      <c r="V26" s="15"/>
      <c r="AR26" s="7"/>
      <c r="AY26" s="84">
        <v>6.9999999999999994E-5</v>
      </c>
      <c r="BU26" s="7"/>
      <c r="CB26" s="84">
        <v>6.9999999999999994E-5</v>
      </c>
      <c r="CX26" s="7"/>
      <c r="DE26" s="84">
        <v>79.8</v>
      </c>
      <c r="EC26" s="7"/>
      <c r="EJ26" s="84">
        <v>6.9999999999999994E-5</v>
      </c>
      <c r="FE26" s="7"/>
      <c r="FL26" s="84">
        <v>79.8</v>
      </c>
      <c r="GG26" s="7"/>
      <c r="GN26" s="84">
        <v>79.8</v>
      </c>
      <c r="HI26" s="7"/>
      <c r="HP26" s="84">
        <v>79.8</v>
      </c>
      <c r="IK26" s="7"/>
      <c r="IR26" s="84">
        <v>79.8</v>
      </c>
      <c r="JM26" s="7"/>
      <c r="JT26" s="84">
        <v>79.8</v>
      </c>
      <c r="KO26" s="7"/>
      <c r="KV26" s="84">
        <v>79.8</v>
      </c>
      <c r="LQ26" s="7"/>
      <c r="LX26" s="84">
        <v>79.8</v>
      </c>
      <c r="MS26" s="7"/>
      <c r="MZ26" s="84">
        <v>79.8</v>
      </c>
      <c r="NU26" s="7"/>
      <c r="OB26" s="84">
        <v>79.8</v>
      </c>
      <c r="OW26" s="7"/>
      <c r="PD26" s="84">
        <v>79.8</v>
      </c>
      <c r="PY26" s="7"/>
      <c r="QF26" s="84">
        <v>79.8</v>
      </c>
    </row>
    <row r="27" spans="1:477" ht="17" x14ac:dyDescent="0.2">
      <c r="A27" s="35"/>
      <c r="B27" s="45" t="s">
        <v>39</v>
      </c>
      <c r="C27" s="34"/>
      <c r="T27" s="15"/>
      <c r="U27" s="15"/>
      <c r="V27" s="15"/>
      <c r="AR27" s="7"/>
      <c r="AV27" s="70" t="s">
        <v>174</v>
      </c>
      <c r="AY27" s="85">
        <v>8.0000000000000007E-5</v>
      </c>
      <c r="BU27" s="7"/>
      <c r="BY27" s="70" t="s">
        <v>174</v>
      </c>
      <c r="CB27" s="85">
        <v>8.0000000000000007E-5</v>
      </c>
      <c r="CX27" s="7"/>
      <c r="DE27" s="85">
        <v>82.2</v>
      </c>
      <c r="EC27" s="7"/>
      <c r="EG27" s="70" t="s">
        <v>174</v>
      </c>
      <c r="EJ27" s="85">
        <v>8.0000000000000007E-5</v>
      </c>
      <c r="FE27" s="7"/>
      <c r="FL27" s="85">
        <v>82.2</v>
      </c>
      <c r="GG27" s="7"/>
      <c r="GN27" s="85">
        <v>82.2</v>
      </c>
      <c r="HI27" s="7"/>
      <c r="HP27" s="85">
        <v>82.2</v>
      </c>
      <c r="IK27" s="7"/>
      <c r="IR27" s="85">
        <v>82.2</v>
      </c>
      <c r="JM27" s="7"/>
      <c r="JT27" s="85">
        <v>82.2</v>
      </c>
      <c r="KO27" s="7"/>
      <c r="KV27" s="85">
        <v>82.2</v>
      </c>
      <c r="LQ27" s="7"/>
      <c r="LX27" s="85">
        <v>82.2</v>
      </c>
      <c r="MS27" s="7"/>
      <c r="MZ27" s="85">
        <v>82.2</v>
      </c>
      <c r="NU27" s="7"/>
      <c r="OB27" s="85">
        <v>82.2</v>
      </c>
      <c r="OW27" s="7"/>
      <c r="PD27" s="85">
        <v>82.2</v>
      </c>
      <c r="PY27" s="7"/>
      <c r="QF27" s="85">
        <v>82.2</v>
      </c>
    </row>
    <row r="28" spans="1:477" x14ac:dyDescent="0.2">
      <c r="B28" s="53" t="s">
        <v>62</v>
      </c>
      <c r="C28" s="2"/>
    </row>
    <row r="29" spans="1:477" x14ac:dyDescent="0.2">
      <c r="A29" s="35"/>
      <c r="B29" s="35"/>
      <c r="C29" s="34"/>
      <c r="QH29" s="2"/>
      <c r="QI29" s="2"/>
      <c r="QJ29" s="2"/>
      <c r="QK29" s="2"/>
      <c r="QL29" s="2"/>
      <c r="QM29" s="2"/>
      <c r="QN29" s="2"/>
      <c r="QO29" s="2"/>
      <c r="QP29" s="2"/>
    </row>
    <row r="30" spans="1:477" x14ac:dyDescent="0.2">
      <c r="A30" s="35"/>
      <c r="B30" s="35"/>
      <c r="C30" s="34"/>
    </row>
    <row r="31" spans="1:477" x14ac:dyDescent="0.2">
      <c r="A31" s="35"/>
      <c r="B31" s="35"/>
      <c r="C31" s="34"/>
    </row>
    <row r="32" spans="1:477" x14ac:dyDescent="0.2">
      <c r="A32" s="6"/>
      <c r="B32" s="6"/>
      <c r="C32" s="6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17">
      <sortCondition descending="1" ref="F1:F18"/>
    </sortState>
  </autoFilter>
  <mergeCells count="119">
    <mergeCell ref="QO2:QR2"/>
    <mergeCell ref="QS2:QV2"/>
    <mergeCell ref="QW2:QZ2"/>
    <mergeCell ref="N1:N3"/>
    <mergeCell ref="O1:O3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  <mergeCell ref="HU2:HX2"/>
    <mergeCell ref="HY2:IB2"/>
    <mergeCell ref="IC2:IF2"/>
    <mergeCell ref="IG2:IJ2"/>
    <mergeCell ref="IS2:IV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T1:T3"/>
    <mergeCell ref="U1:U3"/>
    <mergeCell ref="V1:V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R1:R3"/>
    <mergeCell ref="S1:S3"/>
  </mergeCells>
  <conditionalFormatting sqref="W4:AY17">
    <cfRule type="expression" dxfId="55" priority="5" stopIfTrue="1">
      <formula>IF($AQ4&lt;&gt;"",1,0)</formula>
    </cfRule>
  </conditionalFormatting>
  <conditionalFormatting sqref="AZ4:CB17">
    <cfRule type="expression" dxfId="54" priority="10" stopIfTrue="1">
      <formula>IF($BT4&lt;&gt;"",1,0)</formula>
    </cfRule>
  </conditionalFormatting>
  <conditionalFormatting sqref="M1:M3 O1:O3 Q1:Q3 K1:K1048576 S1:S1048576 M4:Q1048576">
    <cfRule type="expression" dxfId="53" priority="17">
      <formula>IF(K1=$CC$1,1,0)</formula>
    </cfRule>
    <cfRule type="expression" dxfId="52" priority="18">
      <formula>IF(K1=$AZ$1,1,0)</formula>
    </cfRule>
    <cfRule type="expression" dxfId="51" priority="19">
      <formula>IF(K1=$W$1,1,0)</formula>
    </cfRule>
  </conditionalFormatting>
  <conditionalFormatting sqref="CC4:DE17">
    <cfRule type="expression" dxfId="50" priority="11" stopIfTrue="1">
      <formula>IF($CW4&lt;&gt;"",1,0)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3" priority="58636" operator="between">
      <formula>AY$20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2" priority="58681" operator="between">
      <formula>AY$24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1" priority="58726" operator="between">
      <formula>AY$20</formula>
      <formula>AY$21</formula>
    </cfRule>
    <cfRule type="cellIs" dxfId="40" priority="58727" operator="between">
      <formula>AY$21</formula>
      <formula>AY$22</formula>
    </cfRule>
    <cfRule type="cellIs" dxfId="39" priority="58728" operator="between">
      <formula>AY$22</formula>
      <formula>AY$23</formula>
    </cfRule>
    <cfRule type="cellIs" dxfId="38" priority="58729" operator="between">
      <formula>AY$23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7" priority="58906" operator="between">
      <formula>AY$24</formula>
      <formula>AY$25</formula>
    </cfRule>
    <cfRule type="cellIs" dxfId="36" priority="58907" operator="between">
      <formula>AY$25</formula>
      <formula>AY$26</formula>
    </cfRule>
    <cfRule type="cellIs" dxfId="35" priority="58908" operator="between">
      <formula>AY$26</formula>
      <formula>AY$27</formula>
    </cfRule>
    <cfRule type="cellIs" dxfId="34" priority="58909" operator="between">
      <formula>AY$27</formula>
      <formula>1000</formula>
    </cfRule>
  </conditionalFormatting>
  <conditionalFormatting sqref="BY1:BY26 DB1:DB1048576 EG1:EG26 FI1:FI26 GK1:GK1048576 HM1:HM1048576 IO1:IO1048576 JQ1:JQ1048576 KS1:KS1048576 LU1:LU1048576 MW1:MW1048576 NY1:NY1048576 PA1:PA1048576 QC1:QC1048576 AV1:AV26 AV28:AV1048576 BY28:BY1048576 EG28:EG1048576 FI28:FI1048576">
    <cfRule type="cellIs" dxfId="33" priority="59086" operator="between">
      <formula>AY$27</formula>
      <formula>1000</formula>
    </cfRule>
    <cfRule type="cellIs" dxfId="32" priority="59087" operator="between">
      <formula>AY$26</formula>
      <formula>AY$27</formula>
    </cfRule>
    <cfRule type="cellIs" dxfId="31" priority="59088" operator="between">
      <formula>AY$25</formula>
      <formula>AY$26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0" priority="59221" operator="between">
      <formula>AY$23</formula>
      <formula>1000</formula>
    </cfRule>
    <cfRule type="cellIs" dxfId="29" priority="59222" operator="between">
      <formula>AY$22</formula>
      <formula>AY$23</formula>
    </cfRule>
    <cfRule type="cellIs" dxfId="28" priority="59223" operator="between">
      <formula>AY$21</formula>
      <formula>AY$22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70" customWidth="1"/>
    <col min="52" max="72" width="10.83203125" hidden="1" customWidth="1"/>
    <col min="73" max="80" width="10.83203125" style="70" customWidth="1"/>
    <col min="81" max="101" width="10.83203125" hidden="1" customWidth="1"/>
    <col min="102" max="112" width="10.83203125" style="70" customWidth="1"/>
    <col min="113" max="132" width="10.83203125" hidden="1" customWidth="1"/>
    <col min="133" max="140" width="10.83203125" style="70" customWidth="1"/>
    <col min="141" max="160" width="10.83203125" hidden="1" customWidth="1"/>
    <col min="161" max="168" width="10.83203125" style="70" customWidth="1"/>
    <col min="169" max="188" width="10.83203125" hidden="1" customWidth="1"/>
    <col min="189" max="196" width="10.83203125" style="70" customWidth="1"/>
    <col min="197" max="216" width="10.83203125" hidden="1" customWidth="1"/>
    <col min="217" max="224" width="10.83203125" style="70" hidden="1" customWidth="1"/>
    <col min="225" max="244" width="10.83203125" hidden="1" customWidth="1"/>
    <col min="245" max="252" width="10.83203125" style="70" hidden="1" customWidth="1"/>
    <col min="253" max="272" width="10.83203125" hidden="1" customWidth="1"/>
    <col min="273" max="280" width="10.83203125" style="70" hidden="1" customWidth="1"/>
    <col min="281" max="300" width="10.83203125" hidden="1" customWidth="1"/>
    <col min="301" max="308" width="10.83203125" style="70" hidden="1" customWidth="1"/>
    <col min="309" max="328" width="10.83203125" hidden="1" customWidth="1"/>
    <col min="329" max="336" width="10.83203125" style="70" hidden="1" customWidth="1"/>
    <col min="337" max="356" width="10.83203125" hidden="1" customWidth="1"/>
    <col min="357" max="364" width="10.83203125" style="70" hidden="1" customWidth="1"/>
    <col min="365" max="384" width="10.83203125" hidden="1" customWidth="1"/>
    <col min="385" max="392" width="10.83203125" style="70" hidden="1" customWidth="1"/>
    <col min="393" max="412" width="10.83203125" hidden="1" customWidth="1"/>
    <col min="413" max="420" width="10.83203125" style="70" hidden="1" customWidth="1"/>
    <col min="421" max="440" width="10.83203125" hidden="1" customWidth="1"/>
    <col min="441" max="448" width="10.83203125" style="70" hidden="1" customWidth="1"/>
    <col min="449" max="469" width="10.83203125" hidden="1" customWidth="1"/>
    <col min="470" max="477" width="10.83203125" style="70" hidden="1" customWidth="1"/>
  </cols>
  <sheetData>
    <row r="1" spans="1:477" ht="16" customHeight="1" x14ac:dyDescent="0.2">
      <c r="A1" s="117" t="s">
        <v>1</v>
      </c>
      <c r="B1" s="117" t="s">
        <v>32</v>
      </c>
      <c r="C1" s="117" t="s">
        <v>0</v>
      </c>
      <c r="D1" s="117" t="s">
        <v>63</v>
      </c>
      <c r="E1" s="117" t="s">
        <v>2</v>
      </c>
      <c r="F1" s="119" t="s">
        <v>69</v>
      </c>
      <c r="G1" s="119" t="s">
        <v>12</v>
      </c>
      <c r="H1" s="117" t="s">
        <v>13</v>
      </c>
      <c r="I1" s="119" t="s">
        <v>96</v>
      </c>
      <c r="J1" s="118" t="s">
        <v>155</v>
      </c>
      <c r="K1" s="116" t="s">
        <v>37</v>
      </c>
      <c r="L1" s="118" t="s">
        <v>156</v>
      </c>
      <c r="M1" s="116" t="s">
        <v>37</v>
      </c>
      <c r="N1" s="118" t="s">
        <v>157</v>
      </c>
      <c r="O1" s="116" t="s">
        <v>37</v>
      </c>
      <c r="P1" s="118" t="s">
        <v>158</v>
      </c>
      <c r="Q1" s="116" t="s">
        <v>37</v>
      </c>
      <c r="R1" s="116" t="s">
        <v>14</v>
      </c>
      <c r="S1" s="116" t="s">
        <v>37</v>
      </c>
      <c r="T1" s="120" t="s">
        <v>15</v>
      </c>
      <c r="U1" s="116" t="s">
        <v>38</v>
      </c>
      <c r="V1" s="116" t="s">
        <v>37</v>
      </c>
      <c r="W1" s="113" t="s">
        <v>104</v>
      </c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4" t="s">
        <v>111</v>
      </c>
      <c r="BA1" s="114"/>
      <c r="BB1" s="114"/>
      <c r="BC1" s="114"/>
      <c r="BD1" s="114"/>
      <c r="BE1" s="114"/>
      <c r="BF1" s="114"/>
      <c r="BG1" s="114"/>
      <c r="BH1" s="114"/>
      <c r="BI1" s="114"/>
      <c r="BJ1" s="114"/>
      <c r="BK1" s="114"/>
      <c r="BL1" s="114"/>
      <c r="BM1" s="114"/>
      <c r="BN1" s="114"/>
      <c r="BO1" s="114"/>
      <c r="BP1" s="114"/>
      <c r="BQ1" s="114"/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3" t="s">
        <v>146</v>
      </c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  <c r="CY1" s="113"/>
      <c r="CZ1" s="113"/>
      <c r="DA1" s="113"/>
      <c r="DB1" s="113"/>
      <c r="DC1" s="113"/>
      <c r="DD1" s="113"/>
      <c r="DE1" s="113"/>
      <c r="DF1" s="115" t="s">
        <v>68</v>
      </c>
      <c r="DG1" s="115"/>
      <c r="DH1" s="115"/>
      <c r="DI1" s="113" t="s">
        <v>114</v>
      </c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3"/>
      <c r="EH1" s="113"/>
      <c r="EI1" s="113"/>
      <c r="EJ1" s="113"/>
      <c r="EK1" s="114" t="s">
        <v>172</v>
      </c>
      <c r="EL1" s="114"/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4"/>
      <c r="EX1" s="114"/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4"/>
      <c r="FJ1" s="114"/>
      <c r="FK1" s="114"/>
      <c r="FL1" s="114"/>
      <c r="FM1" s="113" t="s">
        <v>175</v>
      </c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3"/>
      <c r="GG1" s="113"/>
      <c r="GH1" s="113"/>
      <c r="GI1" s="113"/>
      <c r="GJ1" s="113"/>
      <c r="GK1" s="113"/>
      <c r="GL1" s="113"/>
      <c r="GM1" s="113"/>
      <c r="GN1" s="113"/>
      <c r="GO1" s="114"/>
      <c r="GP1" s="114"/>
      <c r="GQ1" s="114"/>
      <c r="GR1" s="114"/>
      <c r="GS1" s="114"/>
      <c r="GT1" s="114"/>
      <c r="GU1" s="114"/>
      <c r="GV1" s="114"/>
      <c r="GW1" s="114"/>
      <c r="GX1" s="114"/>
      <c r="GY1" s="114"/>
      <c r="GZ1" s="114"/>
      <c r="HA1" s="114"/>
      <c r="HB1" s="114"/>
      <c r="HC1" s="114"/>
      <c r="HD1" s="114"/>
      <c r="HE1" s="114"/>
      <c r="HF1" s="114"/>
      <c r="HG1" s="114"/>
      <c r="HH1" s="114"/>
      <c r="HI1" s="114"/>
      <c r="HJ1" s="114"/>
      <c r="HK1" s="114"/>
      <c r="HL1" s="114"/>
      <c r="HM1" s="114"/>
      <c r="HN1" s="114"/>
      <c r="HO1" s="114"/>
      <c r="HP1" s="114"/>
      <c r="HQ1" s="113"/>
      <c r="HR1" s="113"/>
      <c r="HS1" s="113"/>
      <c r="HT1" s="113"/>
      <c r="HU1" s="113"/>
      <c r="HV1" s="113"/>
      <c r="HW1" s="113"/>
      <c r="HX1" s="113"/>
      <c r="HY1" s="113"/>
      <c r="HZ1" s="113"/>
      <c r="IA1" s="113"/>
      <c r="IB1" s="113"/>
      <c r="IC1" s="113"/>
      <c r="ID1" s="113"/>
      <c r="IE1" s="113"/>
      <c r="IF1" s="113"/>
      <c r="IG1" s="113"/>
      <c r="IH1" s="113"/>
      <c r="II1" s="113"/>
      <c r="IJ1" s="113"/>
      <c r="IK1" s="113"/>
      <c r="IL1" s="113"/>
      <c r="IM1" s="113"/>
      <c r="IN1" s="113"/>
      <c r="IO1" s="113"/>
      <c r="IP1" s="113"/>
      <c r="IQ1" s="113"/>
      <c r="IR1" s="113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4"/>
      <c r="JS1" s="114"/>
      <c r="JT1" s="114"/>
      <c r="JU1" s="113"/>
      <c r="JV1" s="113"/>
      <c r="JW1" s="113"/>
      <c r="JX1" s="113"/>
      <c r="JY1" s="113"/>
      <c r="JZ1" s="113"/>
      <c r="KA1" s="113"/>
      <c r="KB1" s="113"/>
      <c r="KC1" s="113"/>
      <c r="KD1" s="113"/>
      <c r="KE1" s="113"/>
      <c r="KF1" s="113"/>
      <c r="KG1" s="113"/>
      <c r="KH1" s="113"/>
      <c r="KI1" s="113"/>
      <c r="KJ1" s="113"/>
      <c r="KK1" s="113"/>
      <c r="KL1" s="113"/>
      <c r="KM1" s="113"/>
      <c r="KN1" s="113"/>
      <c r="KO1" s="113"/>
      <c r="KP1" s="113"/>
      <c r="KQ1" s="113"/>
      <c r="KR1" s="113"/>
      <c r="KS1" s="113"/>
      <c r="KT1" s="113"/>
      <c r="KU1" s="113"/>
      <c r="KV1" s="113"/>
      <c r="KW1" s="114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4"/>
      <c r="LY1" s="113"/>
      <c r="LZ1" s="113"/>
      <c r="MA1" s="113"/>
      <c r="MB1" s="113"/>
      <c r="MC1" s="113"/>
      <c r="MD1" s="113"/>
      <c r="ME1" s="113"/>
      <c r="MF1" s="113"/>
      <c r="MG1" s="113"/>
      <c r="MH1" s="113"/>
      <c r="MI1" s="113"/>
      <c r="MJ1" s="113"/>
      <c r="MK1" s="113"/>
      <c r="ML1" s="113"/>
      <c r="MM1" s="113"/>
      <c r="MN1" s="113"/>
      <c r="MO1" s="113"/>
      <c r="MP1" s="113"/>
      <c r="MQ1" s="113"/>
      <c r="MR1" s="113"/>
      <c r="MS1" s="113"/>
      <c r="MT1" s="113"/>
      <c r="MU1" s="113"/>
      <c r="MV1" s="113"/>
      <c r="MW1" s="113"/>
      <c r="MX1" s="113"/>
      <c r="MY1" s="113"/>
      <c r="MZ1" s="113"/>
      <c r="NA1" s="114"/>
      <c r="NB1" s="114"/>
      <c r="NC1" s="114"/>
      <c r="ND1" s="114"/>
      <c r="NE1" s="114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3"/>
      <c r="OD1" s="113"/>
      <c r="OE1" s="113"/>
      <c r="OF1" s="113"/>
      <c r="OG1" s="113"/>
      <c r="OH1" s="113"/>
      <c r="OI1" s="113"/>
      <c r="OJ1" s="113"/>
      <c r="OK1" s="113"/>
      <c r="OL1" s="113"/>
      <c r="OM1" s="113"/>
      <c r="ON1" s="113"/>
      <c r="OO1" s="113"/>
      <c r="OP1" s="113"/>
      <c r="OQ1" s="113"/>
      <c r="OR1" s="113"/>
      <c r="OS1" s="113"/>
      <c r="OT1" s="113"/>
      <c r="OU1" s="113"/>
      <c r="OV1" s="113"/>
      <c r="OW1" s="113"/>
      <c r="OX1" s="113"/>
      <c r="OY1" s="113"/>
      <c r="OZ1" s="113"/>
      <c r="PA1" s="113"/>
      <c r="PB1" s="113"/>
      <c r="PC1" s="113"/>
      <c r="PD1" s="113"/>
      <c r="PE1" s="114"/>
      <c r="PF1" s="114"/>
      <c r="PG1" s="114"/>
      <c r="PH1" s="114"/>
      <c r="PI1" s="114"/>
      <c r="PJ1" s="114"/>
      <c r="PK1" s="114"/>
      <c r="PL1" s="114"/>
      <c r="PM1" s="114"/>
      <c r="PN1" s="114"/>
      <c r="PO1" s="114"/>
      <c r="PP1" s="114"/>
      <c r="PQ1" s="114"/>
      <c r="PR1" s="114"/>
      <c r="PS1" s="114"/>
      <c r="PT1" s="114"/>
      <c r="PU1" s="114"/>
      <c r="PV1" s="114"/>
      <c r="PW1" s="114"/>
      <c r="PX1" s="114"/>
      <c r="PY1" s="114"/>
      <c r="PZ1" s="114"/>
      <c r="QA1" s="114"/>
      <c r="QB1" s="114"/>
      <c r="QC1" s="114"/>
      <c r="QD1" s="114"/>
      <c r="QE1" s="114"/>
      <c r="QF1" s="114"/>
      <c r="QG1" s="113" t="s">
        <v>72</v>
      </c>
      <c r="QH1" s="113"/>
      <c r="QI1" s="113"/>
      <c r="QJ1" s="113"/>
      <c r="QK1" s="113"/>
      <c r="QL1" s="113"/>
      <c r="QM1" s="113"/>
      <c r="QN1" s="113"/>
      <c r="QO1" s="113"/>
      <c r="QP1" s="113"/>
      <c r="QQ1" s="113"/>
      <c r="QR1" s="113"/>
      <c r="QS1" s="113"/>
      <c r="QT1" s="113"/>
      <c r="QU1" s="113"/>
      <c r="QV1" s="113"/>
      <c r="QW1" s="113"/>
      <c r="QX1" s="113"/>
      <c r="QY1" s="113"/>
      <c r="QZ1" s="113"/>
      <c r="RA1" s="113"/>
      <c r="RB1" s="113"/>
      <c r="RC1" s="113"/>
      <c r="RD1" s="113"/>
      <c r="RE1" s="113"/>
      <c r="RF1" s="113"/>
      <c r="RG1" s="113"/>
      <c r="RH1" s="113"/>
      <c r="RI1" s="113"/>
    </row>
    <row r="2" spans="1:477" x14ac:dyDescent="0.2">
      <c r="A2" s="117"/>
      <c r="B2" s="117"/>
      <c r="C2" s="117"/>
      <c r="D2" s="117"/>
      <c r="E2" s="117"/>
      <c r="F2" s="119"/>
      <c r="G2" s="119"/>
      <c r="H2" s="117"/>
      <c r="I2" s="119"/>
      <c r="J2" s="118"/>
      <c r="K2" s="116"/>
      <c r="L2" s="118"/>
      <c r="M2" s="116"/>
      <c r="N2" s="118"/>
      <c r="O2" s="116"/>
      <c r="P2" s="118"/>
      <c r="Q2" s="116"/>
      <c r="R2" s="116"/>
      <c r="S2" s="116"/>
      <c r="T2" s="120"/>
      <c r="U2" s="116"/>
      <c r="V2" s="116"/>
      <c r="W2" s="111" t="s">
        <v>147</v>
      </c>
      <c r="X2" s="111"/>
      <c r="Y2" s="111"/>
      <c r="Z2" s="111"/>
      <c r="AA2" s="111" t="s">
        <v>148</v>
      </c>
      <c r="AB2" s="111"/>
      <c r="AC2" s="111"/>
      <c r="AD2" s="111"/>
      <c r="AE2" s="111" t="s">
        <v>149</v>
      </c>
      <c r="AF2" s="111"/>
      <c r="AG2" s="111"/>
      <c r="AH2" s="111"/>
      <c r="AI2" s="111" t="s">
        <v>150</v>
      </c>
      <c r="AJ2" s="111"/>
      <c r="AK2" s="111"/>
      <c r="AL2" s="111"/>
      <c r="AM2" s="121" t="s">
        <v>151</v>
      </c>
      <c r="AN2" s="121"/>
      <c r="AO2" s="121"/>
      <c r="AP2" s="121"/>
      <c r="AQ2" s="94"/>
      <c r="AR2" s="94" t="s">
        <v>152</v>
      </c>
      <c r="AS2" s="94" t="s">
        <v>153</v>
      </c>
      <c r="AT2" s="94" t="s">
        <v>149</v>
      </c>
      <c r="AU2" s="94" t="s">
        <v>159</v>
      </c>
      <c r="AV2" s="94" t="s">
        <v>25</v>
      </c>
      <c r="AW2" s="94" t="s">
        <v>76</v>
      </c>
      <c r="AX2" s="94" t="s">
        <v>154</v>
      </c>
      <c r="AY2" s="94" t="s">
        <v>19</v>
      </c>
      <c r="AZ2" s="112" t="s">
        <v>147</v>
      </c>
      <c r="BA2" s="112"/>
      <c r="BB2" s="112"/>
      <c r="BC2" s="112"/>
      <c r="BD2" s="112" t="s">
        <v>148</v>
      </c>
      <c r="BE2" s="112"/>
      <c r="BF2" s="112"/>
      <c r="BG2" s="112"/>
      <c r="BH2" s="112" t="s">
        <v>149</v>
      </c>
      <c r="BI2" s="112"/>
      <c r="BJ2" s="112"/>
      <c r="BK2" s="112"/>
      <c r="BL2" s="112" t="s">
        <v>150</v>
      </c>
      <c r="BM2" s="112"/>
      <c r="BN2" s="112"/>
      <c r="BO2" s="112"/>
      <c r="BP2" s="122" t="s">
        <v>151</v>
      </c>
      <c r="BQ2" s="122"/>
      <c r="BR2" s="122"/>
      <c r="BS2" s="122"/>
      <c r="BT2" s="95"/>
      <c r="BU2" s="95" t="s">
        <v>152</v>
      </c>
      <c r="BV2" s="95" t="s">
        <v>153</v>
      </c>
      <c r="BW2" s="95" t="s">
        <v>149</v>
      </c>
      <c r="BX2" s="95" t="s">
        <v>159</v>
      </c>
      <c r="BY2" s="95" t="s">
        <v>25</v>
      </c>
      <c r="BZ2" s="95" t="s">
        <v>76</v>
      </c>
      <c r="CA2" s="95" t="s">
        <v>154</v>
      </c>
      <c r="CB2" s="95" t="s">
        <v>19</v>
      </c>
      <c r="CC2" s="111" t="s">
        <v>147</v>
      </c>
      <c r="CD2" s="111"/>
      <c r="CE2" s="111"/>
      <c r="CF2" s="111"/>
      <c r="CG2" s="111" t="s">
        <v>148</v>
      </c>
      <c r="CH2" s="111"/>
      <c r="CI2" s="111"/>
      <c r="CJ2" s="111"/>
      <c r="CK2" s="111" t="s">
        <v>149</v>
      </c>
      <c r="CL2" s="111"/>
      <c r="CM2" s="111"/>
      <c r="CN2" s="111"/>
      <c r="CO2" s="111" t="s">
        <v>150</v>
      </c>
      <c r="CP2" s="111"/>
      <c r="CQ2" s="111"/>
      <c r="CR2" s="111"/>
      <c r="CS2" s="121" t="s">
        <v>151</v>
      </c>
      <c r="CT2" s="121"/>
      <c r="CU2" s="121"/>
      <c r="CV2" s="121"/>
      <c r="CW2" s="94"/>
      <c r="CX2" s="94" t="s">
        <v>152</v>
      </c>
      <c r="CY2" s="94" t="s">
        <v>153</v>
      </c>
      <c r="CZ2" s="94" t="s">
        <v>149</v>
      </c>
      <c r="DA2" s="94" t="s">
        <v>159</v>
      </c>
      <c r="DB2" s="94" t="s">
        <v>25</v>
      </c>
      <c r="DC2" s="94" t="s">
        <v>76</v>
      </c>
      <c r="DD2" s="94" t="s">
        <v>154</v>
      </c>
      <c r="DE2" s="94" t="s">
        <v>19</v>
      </c>
      <c r="DF2" s="86" t="s">
        <v>153</v>
      </c>
      <c r="DG2" s="86" t="s">
        <v>149</v>
      </c>
      <c r="DH2" s="86" t="s">
        <v>24</v>
      </c>
      <c r="DI2" s="111" t="s">
        <v>147</v>
      </c>
      <c r="DJ2" s="111"/>
      <c r="DK2" s="111"/>
      <c r="DL2" s="111"/>
      <c r="DM2" s="111" t="s">
        <v>148</v>
      </c>
      <c r="DN2" s="111"/>
      <c r="DO2" s="111"/>
      <c r="DP2" s="111"/>
      <c r="DQ2" s="111" t="s">
        <v>149</v>
      </c>
      <c r="DR2" s="111"/>
      <c r="DS2" s="111"/>
      <c r="DT2" s="111"/>
      <c r="DU2" s="111" t="s">
        <v>150</v>
      </c>
      <c r="DV2" s="111"/>
      <c r="DW2" s="111"/>
      <c r="DX2" s="111"/>
      <c r="DY2" s="123" t="s">
        <v>151</v>
      </c>
      <c r="DZ2" s="123"/>
      <c r="EA2" s="123"/>
      <c r="EB2" s="123"/>
      <c r="EC2" s="94" t="s">
        <v>152</v>
      </c>
      <c r="ED2" s="94" t="s">
        <v>153</v>
      </c>
      <c r="EE2" s="94" t="s">
        <v>149</v>
      </c>
      <c r="EF2" s="94" t="s">
        <v>159</v>
      </c>
      <c r="EG2" s="94" t="s">
        <v>25</v>
      </c>
      <c r="EH2" s="94" t="s">
        <v>76</v>
      </c>
      <c r="EI2" s="94" t="s">
        <v>154</v>
      </c>
      <c r="EJ2" s="94" t="s">
        <v>19</v>
      </c>
      <c r="EK2" s="112" t="s">
        <v>147</v>
      </c>
      <c r="EL2" s="112"/>
      <c r="EM2" s="112"/>
      <c r="EN2" s="112"/>
      <c r="EO2" s="112" t="s">
        <v>148</v>
      </c>
      <c r="EP2" s="112"/>
      <c r="EQ2" s="112"/>
      <c r="ER2" s="112"/>
      <c r="ES2" s="112" t="s">
        <v>149</v>
      </c>
      <c r="ET2" s="112"/>
      <c r="EU2" s="112"/>
      <c r="EV2" s="112"/>
      <c r="EW2" s="112" t="s">
        <v>150</v>
      </c>
      <c r="EX2" s="112"/>
      <c r="EY2" s="112"/>
      <c r="EZ2" s="112"/>
      <c r="FA2" s="122" t="s">
        <v>151</v>
      </c>
      <c r="FB2" s="122"/>
      <c r="FC2" s="122"/>
      <c r="FD2" s="122"/>
      <c r="FE2" s="95" t="s">
        <v>152</v>
      </c>
      <c r="FF2" s="95" t="s">
        <v>153</v>
      </c>
      <c r="FG2" s="95" t="s">
        <v>149</v>
      </c>
      <c r="FH2" s="95" t="s">
        <v>159</v>
      </c>
      <c r="FI2" s="95" t="s">
        <v>25</v>
      </c>
      <c r="FJ2" s="95" t="s">
        <v>76</v>
      </c>
      <c r="FK2" s="95" t="s">
        <v>154</v>
      </c>
      <c r="FL2" s="95" t="s">
        <v>19</v>
      </c>
      <c r="FM2" s="111" t="s">
        <v>147</v>
      </c>
      <c r="FN2" s="111"/>
      <c r="FO2" s="111"/>
      <c r="FP2" s="111"/>
      <c r="FQ2" s="111" t="s">
        <v>148</v>
      </c>
      <c r="FR2" s="111"/>
      <c r="FS2" s="111"/>
      <c r="FT2" s="111"/>
      <c r="FU2" s="111" t="s">
        <v>149</v>
      </c>
      <c r="FV2" s="111"/>
      <c r="FW2" s="111"/>
      <c r="FX2" s="111"/>
      <c r="FY2" s="111" t="s">
        <v>150</v>
      </c>
      <c r="FZ2" s="111"/>
      <c r="GA2" s="111"/>
      <c r="GB2" s="111"/>
      <c r="GC2" s="123" t="s">
        <v>151</v>
      </c>
      <c r="GD2" s="123"/>
      <c r="GE2" s="123"/>
      <c r="GF2" s="123"/>
      <c r="GG2" s="94" t="s">
        <v>152</v>
      </c>
      <c r="GH2" s="94" t="s">
        <v>153</v>
      </c>
      <c r="GI2" s="94" t="s">
        <v>149</v>
      </c>
      <c r="GJ2" s="94" t="s">
        <v>159</v>
      </c>
      <c r="GK2" s="94" t="s">
        <v>25</v>
      </c>
      <c r="GL2" s="94" t="s">
        <v>76</v>
      </c>
      <c r="GM2" s="94" t="s">
        <v>154</v>
      </c>
      <c r="GN2" s="94" t="s">
        <v>19</v>
      </c>
      <c r="GO2" s="112" t="s">
        <v>147</v>
      </c>
      <c r="GP2" s="112"/>
      <c r="GQ2" s="112"/>
      <c r="GR2" s="112"/>
      <c r="GS2" s="112" t="s">
        <v>148</v>
      </c>
      <c r="GT2" s="112"/>
      <c r="GU2" s="112"/>
      <c r="GV2" s="112"/>
      <c r="GW2" s="112" t="s">
        <v>149</v>
      </c>
      <c r="GX2" s="112"/>
      <c r="GY2" s="112"/>
      <c r="GZ2" s="112"/>
      <c r="HA2" s="112" t="s">
        <v>150</v>
      </c>
      <c r="HB2" s="112"/>
      <c r="HC2" s="112"/>
      <c r="HD2" s="112"/>
      <c r="HE2" s="122" t="s">
        <v>151</v>
      </c>
      <c r="HF2" s="122"/>
      <c r="HG2" s="122"/>
      <c r="HH2" s="122"/>
      <c r="HI2" s="95" t="s">
        <v>152</v>
      </c>
      <c r="HJ2" s="95" t="s">
        <v>153</v>
      </c>
      <c r="HK2" s="95" t="s">
        <v>149</v>
      </c>
      <c r="HL2" s="95" t="s">
        <v>159</v>
      </c>
      <c r="HM2" s="95" t="s">
        <v>25</v>
      </c>
      <c r="HN2" s="95" t="s">
        <v>76</v>
      </c>
      <c r="HO2" s="95" t="s">
        <v>154</v>
      </c>
      <c r="HP2" s="95" t="s">
        <v>19</v>
      </c>
      <c r="HQ2" s="111" t="s">
        <v>147</v>
      </c>
      <c r="HR2" s="111"/>
      <c r="HS2" s="111"/>
      <c r="HT2" s="111"/>
      <c r="HU2" s="111" t="s">
        <v>148</v>
      </c>
      <c r="HV2" s="111"/>
      <c r="HW2" s="111"/>
      <c r="HX2" s="111"/>
      <c r="HY2" s="111" t="s">
        <v>149</v>
      </c>
      <c r="HZ2" s="111"/>
      <c r="IA2" s="111"/>
      <c r="IB2" s="111"/>
      <c r="IC2" s="111" t="s">
        <v>150</v>
      </c>
      <c r="ID2" s="111"/>
      <c r="IE2" s="111"/>
      <c r="IF2" s="111"/>
      <c r="IG2" s="123" t="s">
        <v>151</v>
      </c>
      <c r="IH2" s="123"/>
      <c r="II2" s="123"/>
      <c r="IJ2" s="123"/>
      <c r="IK2" s="94" t="s">
        <v>152</v>
      </c>
      <c r="IL2" s="94" t="s">
        <v>153</v>
      </c>
      <c r="IM2" s="94" t="s">
        <v>149</v>
      </c>
      <c r="IN2" s="94" t="s">
        <v>159</v>
      </c>
      <c r="IO2" s="94" t="s">
        <v>25</v>
      </c>
      <c r="IP2" s="94" t="s">
        <v>76</v>
      </c>
      <c r="IQ2" s="94" t="s">
        <v>154</v>
      </c>
      <c r="IR2" s="94" t="s">
        <v>19</v>
      </c>
      <c r="IS2" s="112" t="s">
        <v>147</v>
      </c>
      <c r="IT2" s="112"/>
      <c r="IU2" s="112"/>
      <c r="IV2" s="112"/>
      <c r="IW2" s="112" t="s">
        <v>148</v>
      </c>
      <c r="IX2" s="112"/>
      <c r="IY2" s="112"/>
      <c r="IZ2" s="112"/>
      <c r="JA2" s="112" t="s">
        <v>149</v>
      </c>
      <c r="JB2" s="112"/>
      <c r="JC2" s="112"/>
      <c r="JD2" s="112"/>
      <c r="JE2" s="112" t="s">
        <v>150</v>
      </c>
      <c r="JF2" s="112"/>
      <c r="JG2" s="112"/>
      <c r="JH2" s="112"/>
      <c r="JI2" s="122" t="s">
        <v>151</v>
      </c>
      <c r="JJ2" s="122"/>
      <c r="JK2" s="122"/>
      <c r="JL2" s="122"/>
      <c r="JM2" s="95" t="s">
        <v>152</v>
      </c>
      <c r="JN2" s="95" t="s">
        <v>153</v>
      </c>
      <c r="JO2" s="95" t="s">
        <v>149</v>
      </c>
      <c r="JP2" s="95" t="s">
        <v>159</v>
      </c>
      <c r="JQ2" s="95" t="s">
        <v>25</v>
      </c>
      <c r="JR2" s="95" t="s">
        <v>76</v>
      </c>
      <c r="JS2" s="95" t="s">
        <v>154</v>
      </c>
      <c r="JT2" s="95" t="s">
        <v>19</v>
      </c>
      <c r="JU2" s="111" t="s">
        <v>147</v>
      </c>
      <c r="JV2" s="111"/>
      <c r="JW2" s="111"/>
      <c r="JX2" s="111"/>
      <c r="JY2" s="111" t="s">
        <v>148</v>
      </c>
      <c r="JZ2" s="111"/>
      <c r="KA2" s="111"/>
      <c r="KB2" s="111"/>
      <c r="KC2" s="111" t="s">
        <v>149</v>
      </c>
      <c r="KD2" s="111"/>
      <c r="KE2" s="111"/>
      <c r="KF2" s="111"/>
      <c r="KG2" s="111" t="s">
        <v>150</v>
      </c>
      <c r="KH2" s="111"/>
      <c r="KI2" s="111"/>
      <c r="KJ2" s="111"/>
      <c r="KK2" s="123" t="s">
        <v>151</v>
      </c>
      <c r="KL2" s="123"/>
      <c r="KM2" s="123"/>
      <c r="KN2" s="123"/>
      <c r="KO2" s="94" t="s">
        <v>152</v>
      </c>
      <c r="KP2" s="94" t="s">
        <v>153</v>
      </c>
      <c r="KQ2" s="94" t="s">
        <v>149</v>
      </c>
      <c r="KR2" s="94" t="s">
        <v>159</v>
      </c>
      <c r="KS2" s="94" t="s">
        <v>25</v>
      </c>
      <c r="KT2" s="94" t="s">
        <v>76</v>
      </c>
      <c r="KU2" s="94" t="s">
        <v>154</v>
      </c>
      <c r="KV2" s="94" t="s">
        <v>19</v>
      </c>
      <c r="KW2" s="112" t="s">
        <v>147</v>
      </c>
      <c r="KX2" s="112"/>
      <c r="KY2" s="112"/>
      <c r="KZ2" s="112"/>
      <c r="LA2" s="112" t="s">
        <v>148</v>
      </c>
      <c r="LB2" s="112"/>
      <c r="LC2" s="112"/>
      <c r="LD2" s="112"/>
      <c r="LE2" s="112" t="s">
        <v>149</v>
      </c>
      <c r="LF2" s="112"/>
      <c r="LG2" s="112"/>
      <c r="LH2" s="112"/>
      <c r="LI2" s="112" t="s">
        <v>150</v>
      </c>
      <c r="LJ2" s="112"/>
      <c r="LK2" s="112"/>
      <c r="LL2" s="112"/>
      <c r="LM2" s="122" t="s">
        <v>151</v>
      </c>
      <c r="LN2" s="122"/>
      <c r="LO2" s="122"/>
      <c r="LP2" s="122"/>
      <c r="LQ2" s="95" t="s">
        <v>152</v>
      </c>
      <c r="LR2" s="95" t="s">
        <v>153</v>
      </c>
      <c r="LS2" s="95" t="s">
        <v>149</v>
      </c>
      <c r="LT2" s="95" t="s">
        <v>159</v>
      </c>
      <c r="LU2" s="95" t="s">
        <v>25</v>
      </c>
      <c r="LV2" s="95" t="s">
        <v>76</v>
      </c>
      <c r="LW2" s="95" t="s">
        <v>154</v>
      </c>
      <c r="LX2" s="95" t="s">
        <v>19</v>
      </c>
      <c r="LY2" s="111" t="s">
        <v>147</v>
      </c>
      <c r="LZ2" s="111"/>
      <c r="MA2" s="111"/>
      <c r="MB2" s="111"/>
      <c r="MC2" s="111" t="s">
        <v>148</v>
      </c>
      <c r="MD2" s="111"/>
      <c r="ME2" s="111"/>
      <c r="MF2" s="111"/>
      <c r="MG2" s="111" t="s">
        <v>149</v>
      </c>
      <c r="MH2" s="111"/>
      <c r="MI2" s="111"/>
      <c r="MJ2" s="111"/>
      <c r="MK2" s="111" t="s">
        <v>150</v>
      </c>
      <c r="ML2" s="111"/>
      <c r="MM2" s="111"/>
      <c r="MN2" s="111"/>
      <c r="MO2" s="123" t="s">
        <v>151</v>
      </c>
      <c r="MP2" s="123"/>
      <c r="MQ2" s="123"/>
      <c r="MR2" s="123"/>
      <c r="MS2" s="94" t="s">
        <v>152</v>
      </c>
      <c r="MT2" s="94" t="s">
        <v>153</v>
      </c>
      <c r="MU2" s="94" t="s">
        <v>149</v>
      </c>
      <c r="MV2" s="94" t="s">
        <v>159</v>
      </c>
      <c r="MW2" s="94" t="s">
        <v>25</v>
      </c>
      <c r="MX2" s="94" t="s">
        <v>76</v>
      </c>
      <c r="MY2" s="94" t="s">
        <v>154</v>
      </c>
      <c r="MZ2" s="94" t="s">
        <v>19</v>
      </c>
      <c r="NA2" s="112" t="s">
        <v>147</v>
      </c>
      <c r="NB2" s="112"/>
      <c r="NC2" s="112"/>
      <c r="ND2" s="112"/>
      <c r="NE2" s="112" t="s">
        <v>148</v>
      </c>
      <c r="NF2" s="112"/>
      <c r="NG2" s="112"/>
      <c r="NH2" s="112"/>
      <c r="NI2" s="112" t="s">
        <v>149</v>
      </c>
      <c r="NJ2" s="112"/>
      <c r="NK2" s="112"/>
      <c r="NL2" s="112"/>
      <c r="NM2" s="112" t="s">
        <v>150</v>
      </c>
      <c r="NN2" s="112"/>
      <c r="NO2" s="112"/>
      <c r="NP2" s="112"/>
      <c r="NQ2" s="122" t="s">
        <v>151</v>
      </c>
      <c r="NR2" s="122"/>
      <c r="NS2" s="122"/>
      <c r="NT2" s="122"/>
      <c r="NU2" s="95" t="s">
        <v>152</v>
      </c>
      <c r="NV2" s="95" t="s">
        <v>153</v>
      </c>
      <c r="NW2" s="95" t="s">
        <v>149</v>
      </c>
      <c r="NX2" s="95" t="s">
        <v>159</v>
      </c>
      <c r="NY2" s="95" t="s">
        <v>25</v>
      </c>
      <c r="NZ2" s="95" t="s">
        <v>76</v>
      </c>
      <c r="OA2" s="95" t="s">
        <v>154</v>
      </c>
      <c r="OB2" s="95" t="s">
        <v>19</v>
      </c>
      <c r="OC2" s="111" t="s">
        <v>147</v>
      </c>
      <c r="OD2" s="111"/>
      <c r="OE2" s="111"/>
      <c r="OF2" s="111"/>
      <c r="OG2" s="111" t="s">
        <v>148</v>
      </c>
      <c r="OH2" s="111"/>
      <c r="OI2" s="111"/>
      <c r="OJ2" s="111"/>
      <c r="OK2" s="111" t="s">
        <v>149</v>
      </c>
      <c r="OL2" s="111"/>
      <c r="OM2" s="111"/>
      <c r="ON2" s="111"/>
      <c r="OO2" s="111" t="s">
        <v>150</v>
      </c>
      <c r="OP2" s="111"/>
      <c r="OQ2" s="111"/>
      <c r="OR2" s="111"/>
      <c r="OS2" s="123" t="s">
        <v>151</v>
      </c>
      <c r="OT2" s="123"/>
      <c r="OU2" s="123"/>
      <c r="OV2" s="123"/>
      <c r="OW2" s="94" t="s">
        <v>152</v>
      </c>
      <c r="OX2" s="94" t="s">
        <v>153</v>
      </c>
      <c r="OY2" s="94" t="s">
        <v>149</v>
      </c>
      <c r="OZ2" s="94" t="s">
        <v>159</v>
      </c>
      <c r="PA2" s="94" t="s">
        <v>25</v>
      </c>
      <c r="PB2" s="94" t="s">
        <v>76</v>
      </c>
      <c r="PC2" s="94" t="s">
        <v>154</v>
      </c>
      <c r="PD2" s="94" t="s">
        <v>19</v>
      </c>
      <c r="PE2" s="112" t="s">
        <v>147</v>
      </c>
      <c r="PF2" s="112"/>
      <c r="PG2" s="112"/>
      <c r="PH2" s="112"/>
      <c r="PI2" s="112" t="s">
        <v>148</v>
      </c>
      <c r="PJ2" s="112"/>
      <c r="PK2" s="112"/>
      <c r="PL2" s="112"/>
      <c r="PM2" s="112" t="s">
        <v>149</v>
      </c>
      <c r="PN2" s="112"/>
      <c r="PO2" s="112"/>
      <c r="PP2" s="112"/>
      <c r="PQ2" s="112" t="s">
        <v>150</v>
      </c>
      <c r="PR2" s="112"/>
      <c r="PS2" s="112"/>
      <c r="PT2" s="112"/>
      <c r="PU2" s="122" t="s">
        <v>151</v>
      </c>
      <c r="PV2" s="122"/>
      <c r="PW2" s="122"/>
      <c r="PX2" s="122"/>
      <c r="PY2" s="95" t="s">
        <v>152</v>
      </c>
      <c r="PZ2" s="95" t="s">
        <v>153</v>
      </c>
      <c r="QA2" s="95" t="s">
        <v>149</v>
      </c>
      <c r="QB2" s="95" t="s">
        <v>159</v>
      </c>
      <c r="QC2" s="95" t="s">
        <v>25</v>
      </c>
      <c r="QD2" s="95" t="s">
        <v>76</v>
      </c>
      <c r="QE2" s="95" t="s">
        <v>154</v>
      </c>
      <c r="QF2" s="95" t="s">
        <v>19</v>
      </c>
      <c r="QG2" s="111" t="s">
        <v>147</v>
      </c>
      <c r="QH2" s="111"/>
      <c r="QI2" s="111"/>
      <c r="QJ2" s="111"/>
      <c r="QK2" s="111" t="s">
        <v>148</v>
      </c>
      <c r="QL2" s="111"/>
      <c r="QM2" s="111"/>
      <c r="QN2" s="111"/>
      <c r="QO2" s="111" t="s">
        <v>149</v>
      </c>
      <c r="QP2" s="111"/>
      <c r="QQ2" s="111"/>
      <c r="QR2" s="111"/>
      <c r="QS2" s="111" t="s">
        <v>150</v>
      </c>
      <c r="QT2" s="111"/>
      <c r="QU2" s="111"/>
      <c r="QV2" s="111"/>
      <c r="QW2" s="121" t="s">
        <v>151</v>
      </c>
      <c r="QX2" s="121"/>
      <c r="QY2" s="121"/>
      <c r="QZ2" s="121"/>
      <c r="RA2" s="94"/>
      <c r="RB2" s="94" t="s">
        <v>152</v>
      </c>
      <c r="RC2" s="94" t="s">
        <v>153</v>
      </c>
      <c r="RD2" s="94" t="s">
        <v>149</v>
      </c>
      <c r="RE2" s="94" t="s">
        <v>159</v>
      </c>
      <c r="RF2" s="94" t="s">
        <v>25</v>
      </c>
      <c r="RG2" s="94" t="s">
        <v>76</v>
      </c>
      <c r="RH2" s="94" t="s">
        <v>154</v>
      </c>
      <c r="RI2" s="94" t="s">
        <v>19</v>
      </c>
    </row>
    <row r="3" spans="1:477" x14ac:dyDescent="0.2">
      <c r="A3" s="117"/>
      <c r="B3" s="117"/>
      <c r="C3" s="117"/>
      <c r="D3" s="117"/>
      <c r="E3" s="117"/>
      <c r="F3" s="119"/>
      <c r="G3" s="119"/>
      <c r="H3" s="117"/>
      <c r="I3" s="119"/>
      <c r="J3" s="118"/>
      <c r="K3" s="116"/>
      <c r="L3" s="118"/>
      <c r="M3" s="116"/>
      <c r="N3" s="118"/>
      <c r="O3" s="116"/>
      <c r="P3" s="118"/>
      <c r="Q3" s="116"/>
      <c r="R3" s="116"/>
      <c r="S3" s="116"/>
      <c r="T3" s="120"/>
      <c r="U3" s="116"/>
      <c r="V3" s="116"/>
      <c r="W3" s="94" t="s">
        <v>16</v>
      </c>
      <c r="X3" s="94" t="s">
        <v>11</v>
      </c>
      <c r="Y3" s="94" t="s">
        <v>34</v>
      </c>
      <c r="Z3" s="94" t="s">
        <v>35</v>
      </c>
      <c r="AA3" s="94" t="s">
        <v>16</v>
      </c>
      <c r="AB3" s="94" t="s">
        <v>11</v>
      </c>
      <c r="AC3" s="94" t="s">
        <v>34</v>
      </c>
      <c r="AD3" s="94" t="s">
        <v>35</v>
      </c>
      <c r="AE3" s="94" t="s">
        <v>16</v>
      </c>
      <c r="AF3" s="94" t="s">
        <v>11</v>
      </c>
      <c r="AG3" s="94" t="s">
        <v>34</v>
      </c>
      <c r="AH3" s="94" t="s">
        <v>35</v>
      </c>
      <c r="AI3" s="94" t="s">
        <v>16</v>
      </c>
      <c r="AJ3" s="94" t="s">
        <v>11</v>
      </c>
      <c r="AK3" s="94" t="s">
        <v>34</v>
      </c>
      <c r="AL3" s="94" t="s">
        <v>35</v>
      </c>
      <c r="AM3" s="96" t="s">
        <v>16</v>
      </c>
      <c r="AN3" s="96" t="s">
        <v>11</v>
      </c>
      <c r="AO3" s="96" t="s">
        <v>34</v>
      </c>
      <c r="AP3" s="96" t="s">
        <v>35</v>
      </c>
      <c r="AQ3" s="94" t="s">
        <v>60</v>
      </c>
      <c r="AR3" s="94"/>
      <c r="AS3" s="94"/>
      <c r="AT3" s="94"/>
      <c r="AU3" s="94"/>
      <c r="AV3" s="94"/>
      <c r="AW3" s="94"/>
      <c r="AX3" s="94"/>
      <c r="AY3" s="94"/>
      <c r="AZ3" s="95" t="s">
        <v>16</v>
      </c>
      <c r="BA3" s="95" t="s">
        <v>11</v>
      </c>
      <c r="BB3" s="95" t="s">
        <v>34</v>
      </c>
      <c r="BC3" s="95" t="s">
        <v>35</v>
      </c>
      <c r="BD3" s="95" t="s">
        <v>16</v>
      </c>
      <c r="BE3" s="95" t="s">
        <v>11</v>
      </c>
      <c r="BF3" s="95" t="s">
        <v>34</v>
      </c>
      <c r="BG3" s="95" t="s">
        <v>35</v>
      </c>
      <c r="BH3" s="95" t="s">
        <v>16</v>
      </c>
      <c r="BI3" s="95" t="s">
        <v>11</v>
      </c>
      <c r="BJ3" s="95" t="s">
        <v>34</v>
      </c>
      <c r="BK3" s="95" t="s">
        <v>35</v>
      </c>
      <c r="BL3" s="95" t="s">
        <v>16</v>
      </c>
      <c r="BM3" s="95" t="s">
        <v>11</v>
      </c>
      <c r="BN3" s="95" t="s">
        <v>34</v>
      </c>
      <c r="BO3" s="95" t="s">
        <v>35</v>
      </c>
      <c r="BP3" s="97" t="s">
        <v>16</v>
      </c>
      <c r="BQ3" s="97" t="s">
        <v>11</v>
      </c>
      <c r="BR3" s="97" t="s">
        <v>34</v>
      </c>
      <c r="BS3" s="97" t="s">
        <v>35</v>
      </c>
      <c r="BT3" s="95" t="s">
        <v>60</v>
      </c>
      <c r="BU3" s="95"/>
      <c r="BV3" s="95"/>
      <c r="BW3" s="95"/>
      <c r="BX3" s="95"/>
      <c r="BY3" s="95"/>
      <c r="BZ3" s="95"/>
      <c r="CA3" s="95"/>
      <c r="CB3" s="95"/>
      <c r="CC3" s="94" t="s">
        <v>16</v>
      </c>
      <c r="CD3" s="94" t="s">
        <v>11</v>
      </c>
      <c r="CE3" s="94" t="s">
        <v>34</v>
      </c>
      <c r="CF3" s="94" t="s">
        <v>35</v>
      </c>
      <c r="CG3" s="94" t="s">
        <v>16</v>
      </c>
      <c r="CH3" s="94" t="s">
        <v>11</v>
      </c>
      <c r="CI3" s="94" t="s">
        <v>34</v>
      </c>
      <c r="CJ3" s="94" t="s">
        <v>35</v>
      </c>
      <c r="CK3" s="94" t="s">
        <v>16</v>
      </c>
      <c r="CL3" s="94" t="s">
        <v>11</v>
      </c>
      <c r="CM3" s="94" t="s">
        <v>34</v>
      </c>
      <c r="CN3" s="94" t="s">
        <v>35</v>
      </c>
      <c r="CO3" s="94" t="s">
        <v>16</v>
      </c>
      <c r="CP3" s="94" t="s">
        <v>11</v>
      </c>
      <c r="CQ3" s="94" t="s">
        <v>34</v>
      </c>
      <c r="CR3" s="94" t="s">
        <v>35</v>
      </c>
      <c r="CS3" s="96" t="s">
        <v>16</v>
      </c>
      <c r="CT3" s="96" t="s">
        <v>11</v>
      </c>
      <c r="CU3" s="96" t="s">
        <v>34</v>
      </c>
      <c r="CV3" s="96" t="s">
        <v>35</v>
      </c>
      <c r="CW3" s="94" t="s">
        <v>60</v>
      </c>
      <c r="CX3" s="94"/>
      <c r="CY3" s="94"/>
      <c r="CZ3" s="94"/>
      <c r="DA3" s="94"/>
      <c r="DB3" s="94"/>
      <c r="DC3" s="94"/>
      <c r="DD3" s="94"/>
      <c r="DE3" s="94"/>
      <c r="DF3" s="86"/>
      <c r="DG3" s="86"/>
      <c r="DH3" s="86"/>
      <c r="DI3" s="94" t="s">
        <v>16</v>
      </c>
      <c r="DJ3" s="94" t="s">
        <v>11</v>
      </c>
      <c r="DK3" s="94" t="s">
        <v>34</v>
      </c>
      <c r="DL3" s="94" t="s">
        <v>35</v>
      </c>
      <c r="DM3" s="94" t="s">
        <v>16</v>
      </c>
      <c r="DN3" s="94" t="s">
        <v>11</v>
      </c>
      <c r="DO3" s="94" t="s">
        <v>34</v>
      </c>
      <c r="DP3" s="94" t="s">
        <v>35</v>
      </c>
      <c r="DQ3" s="94" t="s">
        <v>16</v>
      </c>
      <c r="DR3" s="94" t="s">
        <v>11</v>
      </c>
      <c r="DS3" s="94" t="s">
        <v>34</v>
      </c>
      <c r="DT3" s="94" t="s">
        <v>35</v>
      </c>
      <c r="DU3" s="94" t="s">
        <v>16</v>
      </c>
      <c r="DV3" s="94" t="s">
        <v>11</v>
      </c>
      <c r="DW3" s="94" t="s">
        <v>34</v>
      </c>
      <c r="DX3" s="94" t="s">
        <v>35</v>
      </c>
      <c r="DY3" s="98" t="s">
        <v>16</v>
      </c>
      <c r="DZ3" s="98" t="s">
        <v>11</v>
      </c>
      <c r="EA3" s="98" t="s">
        <v>34</v>
      </c>
      <c r="EB3" s="98" t="s">
        <v>35</v>
      </c>
      <c r="EC3" s="94"/>
      <c r="ED3" s="94"/>
      <c r="EE3" s="94"/>
      <c r="EF3" s="94"/>
      <c r="EG3" s="94"/>
      <c r="EH3" s="94"/>
      <c r="EI3" s="94"/>
      <c r="EJ3" s="94"/>
      <c r="EK3" s="95" t="s">
        <v>16</v>
      </c>
      <c r="EL3" s="95" t="s">
        <v>11</v>
      </c>
      <c r="EM3" s="95" t="s">
        <v>34</v>
      </c>
      <c r="EN3" s="95" t="s">
        <v>35</v>
      </c>
      <c r="EO3" s="95" t="s">
        <v>16</v>
      </c>
      <c r="EP3" s="95" t="s">
        <v>11</v>
      </c>
      <c r="EQ3" s="95" t="s">
        <v>34</v>
      </c>
      <c r="ER3" s="95" t="s">
        <v>35</v>
      </c>
      <c r="ES3" s="95" t="s">
        <v>16</v>
      </c>
      <c r="ET3" s="95" t="s">
        <v>11</v>
      </c>
      <c r="EU3" s="95" t="s">
        <v>34</v>
      </c>
      <c r="EV3" s="95" t="s">
        <v>35</v>
      </c>
      <c r="EW3" s="95" t="s">
        <v>16</v>
      </c>
      <c r="EX3" s="95" t="s">
        <v>11</v>
      </c>
      <c r="EY3" s="95" t="s">
        <v>34</v>
      </c>
      <c r="EZ3" s="95" t="s">
        <v>35</v>
      </c>
      <c r="FA3" s="97" t="s">
        <v>16</v>
      </c>
      <c r="FB3" s="97" t="s">
        <v>11</v>
      </c>
      <c r="FC3" s="97" t="s">
        <v>34</v>
      </c>
      <c r="FD3" s="97" t="s">
        <v>35</v>
      </c>
      <c r="FE3" s="95"/>
      <c r="FF3" s="95"/>
      <c r="FG3" s="95"/>
      <c r="FH3" s="95"/>
      <c r="FI3" s="95"/>
      <c r="FJ3" s="95"/>
      <c r="FK3" s="95"/>
      <c r="FL3" s="95"/>
      <c r="FM3" s="94" t="s">
        <v>16</v>
      </c>
      <c r="FN3" s="94" t="s">
        <v>11</v>
      </c>
      <c r="FO3" s="94" t="s">
        <v>34</v>
      </c>
      <c r="FP3" s="94" t="s">
        <v>35</v>
      </c>
      <c r="FQ3" s="94" t="s">
        <v>16</v>
      </c>
      <c r="FR3" s="94" t="s">
        <v>11</v>
      </c>
      <c r="FS3" s="94" t="s">
        <v>34</v>
      </c>
      <c r="FT3" s="94" t="s">
        <v>35</v>
      </c>
      <c r="FU3" s="94" t="s">
        <v>16</v>
      </c>
      <c r="FV3" s="94" t="s">
        <v>11</v>
      </c>
      <c r="FW3" s="94" t="s">
        <v>34</v>
      </c>
      <c r="FX3" s="94" t="s">
        <v>35</v>
      </c>
      <c r="FY3" s="94" t="s">
        <v>16</v>
      </c>
      <c r="FZ3" s="94" t="s">
        <v>11</v>
      </c>
      <c r="GA3" s="94" t="s">
        <v>34</v>
      </c>
      <c r="GB3" s="94" t="s">
        <v>35</v>
      </c>
      <c r="GC3" s="98" t="s">
        <v>16</v>
      </c>
      <c r="GD3" s="98" t="s">
        <v>11</v>
      </c>
      <c r="GE3" s="98" t="s">
        <v>34</v>
      </c>
      <c r="GF3" s="98" t="s">
        <v>35</v>
      </c>
      <c r="GG3" s="94"/>
      <c r="GH3" s="94"/>
      <c r="GI3" s="94"/>
      <c r="GJ3" s="94"/>
      <c r="GK3" s="94"/>
      <c r="GL3" s="94"/>
      <c r="GM3" s="94"/>
      <c r="GN3" s="94"/>
      <c r="GO3" s="95" t="s">
        <v>16</v>
      </c>
      <c r="GP3" s="95" t="s">
        <v>11</v>
      </c>
      <c r="GQ3" s="95" t="s">
        <v>34</v>
      </c>
      <c r="GR3" s="95" t="s">
        <v>35</v>
      </c>
      <c r="GS3" s="95" t="s">
        <v>16</v>
      </c>
      <c r="GT3" s="95" t="s">
        <v>11</v>
      </c>
      <c r="GU3" s="95" t="s">
        <v>34</v>
      </c>
      <c r="GV3" s="95" t="s">
        <v>35</v>
      </c>
      <c r="GW3" s="95" t="s">
        <v>16</v>
      </c>
      <c r="GX3" s="95" t="s">
        <v>11</v>
      </c>
      <c r="GY3" s="95" t="s">
        <v>34</v>
      </c>
      <c r="GZ3" s="95" t="s">
        <v>35</v>
      </c>
      <c r="HA3" s="95" t="s">
        <v>16</v>
      </c>
      <c r="HB3" s="95" t="s">
        <v>11</v>
      </c>
      <c r="HC3" s="95" t="s">
        <v>34</v>
      </c>
      <c r="HD3" s="95" t="s">
        <v>35</v>
      </c>
      <c r="HE3" s="97" t="s">
        <v>16</v>
      </c>
      <c r="HF3" s="97" t="s">
        <v>11</v>
      </c>
      <c r="HG3" s="97" t="s">
        <v>34</v>
      </c>
      <c r="HH3" s="97" t="s">
        <v>35</v>
      </c>
      <c r="HI3" s="95"/>
      <c r="HJ3" s="95"/>
      <c r="HK3" s="95"/>
      <c r="HL3" s="95"/>
      <c r="HM3" s="95"/>
      <c r="HN3" s="95"/>
      <c r="HO3" s="95"/>
      <c r="HP3" s="95"/>
      <c r="HQ3" s="94" t="s">
        <v>16</v>
      </c>
      <c r="HR3" s="94" t="s">
        <v>11</v>
      </c>
      <c r="HS3" s="94" t="s">
        <v>34</v>
      </c>
      <c r="HT3" s="94" t="s">
        <v>35</v>
      </c>
      <c r="HU3" s="94" t="s">
        <v>16</v>
      </c>
      <c r="HV3" s="94" t="s">
        <v>11</v>
      </c>
      <c r="HW3" s="94" t="s">
        <v>34</v>
      </c>
      <c r="HX3" s="94" t="s">
        <v>35</v>
      </c>
      <c r="HY3" s="94" t="s">
        <v>16</v>
      </c>
      <c r="HZ3" s="94" t="s">
        <v>11</v>
      </c>
      <c r="IA3" s="94" t="s">
        <v>34</v>
      </c>
      <c r="IB3" s="94" t="s">
        <v>35</v>
      </c>
      <c r="IC3" s="94" t="s">
        <v>16</v>
      </c>
      <c r="ID3" s="94" t="s">
        <v>11</v>
      </c>
      <c r="IE3" s="94" t="s">
        <v>34</v>
      </c>
      <c r="IF3" s="94" t="s">
        <v>35</v>
      </c>
      <c r="IG3" s="98" t="s">
        <v>16</v>
      </c>
      <c r="IH3" s="98" t="s">
        <v>11</v>
      </c>
      <c r="II3" s="98" t="s">
        <v>34</v>
      </c>
      <c r="IJ3" s="98" t="s">
        <v>35</v>
      </c>
      <c r="IK3" s="94"/>
      <c r="IL3" s="94"/>
      <c r="IM3" s="94"/>
      <c r="IN3" s="94"/>
      <c r="IO3" s="94"/>
      <c r="IP3" s="94"/>
      <c r="IQ3" s="94"/>
      <c r="IR3" s="94"/>
      <c r="IS3" s="95" t="s">
        <v>16</v>
      </c>
      <c r="IT3" s="95" t="s">
        <v>11</v>
      </c>
      <c r="IU3" s="95" t="s">
        <v>34</v>
      </c>
      <c r="IV3" s="95" t="s">
        <v>35</v>
      </c>
      <c r="IW3" s="95" t="s">
        <v>16</v>
      </c>
      <c r="IX3" s="95" t="s">
        <v>11</v>
      </c>
      <c r="IY3" s="95" t="s">
        <v>34</v>
      </c>
      <c r="IZ3" s="95" t="s">
        <v>35</v>
      </c>
      <c r="JA3" s="95" t="s">
        <v>16</v>
      </c>
      <c r="JB3" s="95" t="s">
        <v>11</v>
      </c>
      <c r="JC3" s="95" t="s">
        <v>34</v>
      </c>
      <c r="JD3" s="95" t="s">
        <v>35</v>
      </c>
      <c r="JE3" s="95" t="s">
        <v>16</v>
      </c>
      <c r="JF3" s="95" t="s">
        <v>11</v>
      </c>
      <c r="JG3" s="95" t="s">
        <v>34</v>
      </c>
      <c r="JH3" s="95" t="s">
        <v>35</v>
      </c>
      <c r="JI3" s="97" t="s">
        <v>16</v>
      </c>
      <c r="JJ3" s="97" t="s">
        <v>11</v>
      </c>
      <c r="JK3" s="97" t="s">
        <v>34</v>
      </c>
      <c r="JL3" s="97" t="s">
        <v>35</v>
      </c>
      <c r="JM3" s="95"/>
      <c r="JN3" s="95"/>
      <c r="JO3" s="95"/>
      <c r="JP3" s="95"/>
      <c r="JQ3" s="95"/>
      <c r="JR3" s="95"/>
      <c r="JS3" s="95"/>
      <c r="JT3" s="95"/>
      <c r="JU3" s="94" t="s">
        <v>16</v>
      </c>
      <c r="JV3" s="94" t="s">
        <v>11</v>
      </c>
      <c r="JW3" s="94" t="s">
        <v>34</v>
      </c>
      <c r="JX3" s="94" t="s">
        <v>35</v>
      </c>
      <c r="JY3" s="94" t="s">
        <v>16</v>
      </c>
      <c r="JZ3" s="94" t="s">
        <v>11</v>
      </c>
      <c r="KA3" s="94" t="s">
        <v>34</v>
      </c>
      <c r="KB3" s="94" t="s">
        <v>35</v>
      </c>
      <c r="KC3" s="94" t="s">
        <v>16</v>
      </c>
      <c r="KD3" s="94" t="s">
        <v>11</v>
      </c>
      <c r="KE3" s="94" t="s">
        <v>34</v>
      </c>
      <c r="KF3" s="94" t="s">
        <v>35</v>
      </c>
      <c r="KG3" s="94" t="s">
        <v>16</v>
      </c>
      <c r="KH3" s="94" t="s">
        <v>11</v>
      </c>
      <c r="KI3" s="94" t="s">
        <v>34</v>
      </c>
      <c r="KJ3" s="94" t="s">
        <v>35</v>
      </c>
      <c r="KK3" s="98" t="s">
        <v>16</v>
      </c>
      <c r="KL3" s="98" t="s">
        <v>11</v>
      </c>
      <c r="KM3" s="98" t="s">
        <v>34</v>
      </c>
      <c r="KN3" s="98" t="s">
        <v>35</v>
      </c>
      <c r="KO3" s="94"/>
      <c r="KP3" s="94"/>
      <c r="KQ3" s="94"/>
      <c r="KR3" s="94"/>
      <c r="KS3" s="94"/>
      <c r="KT3" s="94"/>
      <c r="KU3" s="94"/>
      <c r="KV3" s="94"/>
      <c r="KW3" s="95" t="s">
        <v>16</v>
      </c>
      <c r="KX3" s="95" t="s">
        <v>11</v>
      </c>
      <c r="KY3" s="95" t="s">
        <v>34</v>
      </c>
      <c r="KZ3" s="95" t="s">
        <v>35</v>
      </c>
      <c r="LA3" s="95" t="s">
        <v>16</v>
      </c>
      <c r="LB3" s="95" t="s">
        <v>11</v>
      </c>
      <c r="LC3" s="95" t="s">
        <v>34</v>
      </c>
      <c r="LD3" s="95" t="s">
        <v>35</v>
      </c>
      <c r="LE3" s="95" t="s">
        <v>16</v>
      </c>
      <c r="LF3" s="95" t="s">
        <v>11</v>
      </c>
      <c r="LG3" s="95" t="s">
        <v>34</v>
      </c>
      <c r="LH3" s="95" t="s">
        <v>35</v>
      </c>
      <c r="LI3" s="95" t="s">
        <v>16</v>
      </c>
      <c r="LJ3" s="95" t="s">
        <v>11</v>
      </c>
      <c r="LK3" s="95" t="s">
        <v>34</v>
      </c>
      <c r="LL3" s="95" t="s">
        <v>35</v>
      </c>
      <c r="LM3" s="97" t="s">
        <v>16</v>
      </c>
      <c r="LN3" s="97" t="s">
        <v>11</v>
      </c>
      <c r="LO3" s="97" t="s">
        <v>34</v>
      </c>
      <c r="LP3" s="97" t="s">
        <v>35</v>
      </c>
      <c r="LQ3" s="95"/>
      <c r="LR3" s="95"/>
      <c r="LS3" s="95"/>
      <c r="LT3" s="95"/>
      <c r="LU3" s="95"/>
      <c r="LV3" s="95"/>
      <c r="LW3" s="95"/>
      <c r="LX3" s="95"/>
      <c r="LY3" s="94" t="s">
        <v>16</v>
      </c>
      <c r="LZ3" s="94" t="s">
        <v>11</v>
      </c>
      <c r="MA3" s="94" t="s">
        <v>34</v>
      </c>
      <c r="MB3" s="94" t="s">
        <v>35</v>
      </c>
      <c r="MC3" s="94" t="s">
        <v>16</v>
      </c>
      <c r="MD3" s="94" t="s">
        <v>11</v>
      </c>
      <c r="ME3" s="94" t="s">
        <v>34</v>
      </c>
      <c r="MF3" s="94" t="s">
        <v>35</v>
      </c>
      <c r="MG3" s="94" t="s">
        <v>16</v>
      </c>
      <c r="MH3" s="94" t="s">
        <v>11</v>
      </c>
      <c r="MI3" s="94" t="s">
        <v>34</v>
      </c>
      <c r="MJ3" s="94" t="s">
        <v>35</v>
      </c>
      <c r="MK3" s="94" t="s">
        <v>16</v>
      </c>
      <c r="ML3" s="94" t="s">
        <v>11</v>
      </c>
      <c r="MM3" s="94" t="s">
        <v>34</v>
      </c>
      <c r="MN3" s="94" t="s">
        <v>35</v>
      </c>
      <c r="MO3" s="98" t="s">
        <v>16</v>
      </c>
      <c r="MP3" s="98" t="s">
        <v>11</v>
      </c>
      <c r="MQ3" s="98" t="s">
        <v>34</v>
      </c>
      <c r="MR3" s="98" t="s">
        <v>35</v>
      </c>
      <c r="MS3" s="94"/>
      <c r="MT3" s="94"/>
      <c r="MU3" s="94"/>
      <c r="MV3" s="94"/>
      <c r="MW3" s="94"/>
      <c r="MX3" s="94"/>
      <c r="MY3" s="94"/>
      <c r="MZ3" s="94"/>
      <c r="NA3" s="95" t="s">
        <v>16</v>
      </c>
      <c r="NB3" s="95" t="s">
        <v>11</v>
      </c>
      <c r="NC3" s="95" t="s">
        <v>34</v>
      </c>
      <c r="ND3" s="95" t="s">
        <v>35</v>
      </c>
      <c r="NE3" s="95" t="s">
        <v>16</v>
      </c>
      <c r="NF3" s="95" t="s">
        <v>11</v>
      </c>
      <c r="NG3" s="95" t="s">
        <v>34</v>
      </c>
      <c r="NH3" s="95" t="s">
        <v>35</v>
      </c>
      <c r="NI3" s="95" t="s">
        <v>16</v>
      </c>
      <c r="NJ3" s="95" t="s">
        <v>11</v>
      </c>
      <c r="NK3" s="95" t="s">
        <v>34</v>
      </c>
      <c r="NL3" s="95" t="s">
        <v>35</v>
      </c>
      <c r="NM3" s="95" t="s">
        <v>16</v>
      </c>
      <c r="NN3" s="95" t="s">
        <v>11</v>
      </c>
      <c r="NO3" s="95" t="s">
        <v>34</v>
      </c>
      <c r="NP3" s="95" t="s">
        <v>35</v>
      </c>
      <c r="NQ3" s="97" t="s">
        <v>16</v>
      </c>
      <c r="NR3" s="97" t="s">
        <v>11</v>
      </c>
      <c r="NS3" s="97" t="s">
        <v>34</v>
      </c>
      <c r="NT3" s="97" t="s">
        <v>35</v>
      </c>
      <c r="NU3" s="95"/>
      <c r="NV3" s="95"/>
      <c r="NW3" s="95"/>
      <c r="NX3" s="95"/>
      <c r="NY3" s="95"/>
      <c r="NZ3" s="95"/>
      <c r="OA3" s="95"/>
      <c r="OB3" s="95"/>
      <c r="OC3" s="94" t="s">
        <v>16</v>
      </c>
      <c r="OD3" s="94" t="s">
        <v>11</v>
      </c>
      <c r="OE3" s="94" t="s">
        <v>34</v>
      </c>
      <c r="OF3" s="94" t="s">
        <v>35</v>
      </c>
      <c r="OG3" s="94" t="s">
        <v>16</v>
      </c>
      <c r="OH3" s="94" t="s">
        <v>11</v>
      </c>
      <c r="OI3" s="94" t="s">
        <v>34</v>
      </c>
      <c r="OJ3" s="94" t="s">
        <v>35</v>
      </c>
      <c r="OK3" s="94" t="s">
        <v>16</v>
      </c>
      <c r="OL3" s="94" t="s">
        <v>11</v>
      </c>
      <c r="OM3" s="94" t="s">
        <v>34</v>
      </c>
      <c r="ON3" s="94" t="s">
        <v>35</v>
      </c>
      <c r="OO3" s="94" t="s">
        <v>16</v>
      </c>
      <c r="OP3" s="94" t="s">
        <v>11</v>
      </c>
      <c r="OQ3" s="94" t="s">
        <v>34</v>
      </c>
      <c r="OR3" s="94" t="s">
        <v>35</v>
      </c>
      <c r="OS3" s="98" t="s">
        <v>16</v>
      </c>
      <c r="OT3" s="98" t="s">
        <v>11</v>
      </c>
      <c r="OU3" s="98" t="s">
        <v>34</v>
      </c>
      <c r="OV3" s="98" t="s">
        <v>35</v>
      </c>
      <c r="OW3" s="94"/>
      <c r="OX3" s="94"/>
      <c r="OY3" s="94"/>
      <c r="OZ3" s="94"/>
      <c r="PA3" s="94"/>
      <c r="PB3" s="94"/>
      <c r="PC3" s="94"/>
      <c r="PD3" s="94"/>
      <c r="PE3" s="95" t="s">
        <v>16</v>
      </c>
      <c r="PF3" s="95" t="s">
        <v>11</v>
      </c>
      <c r="PG3" s="95" t="s">
        <v>34</v>
      </c>
      <c r="PH3" s="95" t="s">
        <v>35</v>
      </c>
      <c r="PI3" s="95" t="s">
        <v>16</v>
      </c>
      <c r="PJ3" s="95" t="s">
        <v>11</v>
      </c>
      <c r="PK3" s="95" t="s">
        <v>34</v>
      </c>
      <c r="PL3" s="95" t="s">
        <v>35</v>
      </c>
      <c r="PM3" s="95" t="s">
        <v>16</v>
      </c>
      <c r="PN3" s="95" t="s">
        <v>11</v>
      </c>
      <c r="PO3" s="95" t="s">
        <v>34</v>
      </c>
      <c r="PP3" s="95" t="s">
        <v>35</v>
      </c>
      <c r="PQ3" s="95" t="s">
        <v>16</v>
      </c>
      <c r="PR3" s="95" t="s">
        <v>11</v>
      </c>
      <c r="PS3" s="95" t="s">
        <v>34</v>
      </c>
      <c r="PT3" s="95" t="s">
        <v>35</v>
      </c>
      <c r="PU3" s="97" t="s">
        <v>16</v>
      </c>
      <c r="PV3" s="97" t="s">
        <v>11</v>
      </c>
      <c r="PW3" s="97" t="s">
        <v>34</v>
      </c>
      <c r="PX3" s="97" t="s">
        <v>35</v>
      </c>
      <c r="PY3" s="95"/>
      <c r="PZ3" s="95"/>
      <c r="QA3" s="95"/>
      <c r="QB3" s="95"/>
      <c r="QC3" s="95"/>
      <c r="QD3" s="95"/>
      <c r="QE3" s="95"/>
      <c r="QF3" s="95"/>
      <c r="QG3" s="94" t="s">
        <v>16</v>
      </c>
      <c r="QH3" s="94" t="s">
        <v>11</v>
      </c>
      <c r="QI3" s="94" t="s">
        <v>34</v>
      </c>
      <c r="QJ3" s="94" t="s">
        <v>35</v>
      </c>
      <c r="QK3" s="94" t="s">
        <v>16</v>
      </c>
      <c r="QL3" s="94" t="s">
        <v>11</v>
      </c>
      <c r="QM3" s="94" t="s">
        <v>34</v>
      </c>
      <c r="QN3" s="94" t="s">
        <v>35</v>
      </c>
      <c r="QO3" s="94" t="s">
        <v>16</v>
      </c>
      <c r="QP3" s="94" t="s">
        <v>11</v>
      </c>
      <c r="QQ3" s="94" t="s">
        <v>34</v>
      </c>
      <c r="QR3" s="94" t="s">
        <v>35</v>
      </c>
      <c r="QS3" s="94" t="s">
        <v>16</v>
      </c>
      <c r="QT3" s="94" t="s">
        <v>11</v>
      </c>
      <c r="QU3" s="94" t="s">
        <v>34</v>
      </c>
      <c r="QV3" s="94" t="s">
        <v>35</v>
      </c>
      <c r="QW3" s="96" t="s">
        <v>16</v>
      </c>
      <c r="QX3" s="96" t="s">
        <v>11</v>
      </c>
      <c r="QY3" s="96" t="s">
        <v>34</v>
      </c>
      <c r="QZ3" s="96" t="s">
        <v>35</v>
      </c>
      <c r="RA3" s="94" t="s">
        <v>60</v>
      </c>
      <c r="RB3" s="94"/>
      <c r="RC3" s="94"/>
      <c r="RD3" s="94"/>
      <c r="RE3" s="94"/>
      <c r="RF3" s="94"/>
      <c r="RG3" s="94"/>
      <c r="RH3" s="94"/>
      <c r="RI3" s="94"/>
    </row>
    <row r="4" spans="1:477" x14ac:dyDescent="0.2">
      <c r="A4" s="5">
        <f>IF(AND(F4="P",G4="P"),SUMPRODUCT((F$4:F$15="P")*(G$4:G$15="P")*(E$4:E$15&gt;E4))+1,IF(G4="P",SUMPRODUCT((F$4:F$15="")*(G$4:G$15="P")*(E$4:E$15&gt;E4))+1+SUMPRODUCT((F$4:F$15="P")*(G$4:G$15="P")),""))</f>
        <v>1</v>
      </c>
      <c r="B4" s="6" t="s">
        <v>80</v>
      </c>
      <c r="C4" s="7" t="s">
        <v>6</v>
      </c>
      <c r="D4" s="18">
        <v>2001</v>
      </c>
      <c r="E4" s="14">
        <f>SUM(J4:T4)+SUM(J4:P4)*0.0000001+SUM(J4)*0.0000000000001</f>
        <v>124.80006743001107</v>
      </c>
      <c r="F4" s="3" t="str">
        <f>IF(OR(AND(AR4&gt;=AY$17,AS4&gt;=AY$21,AR4&lt;&gt;"",AQ4=""),AND(AW4&gt;=AY$17,AX4&gt;=AY$21,AW4&lt;&gt;"",AQ4=""),AND(BU4&gt;=CB$17,BV4&gt;=CB$21,BU4&lt;&gt;"",BT4=""),AND(BZ4&gt;=CB$17,CA4&gt;=CB$21,BZ4&lt;&gt;"",BT4=""),AND(CX4&gt;=DE$17,CY4&gt;=DE$21,CX4&lt;&gt;"",CW4=""),AND(DC4&gt;=DE$17,DD4&gt;=DE$21,DC4&lt;&gt;""),AND(EC4&gt;=EJ$17,ED4&gt;=EJ$21,EC4&lt;&gt;""),AND(EH4&gt;=EJ$17,EI4&gt;=EJ$21,EH4&lt;&gt;""),AND(FE4&gt;=FL$17,FF4&gt;=FL$21,FE4&lt;&gt;""),AND(FJ4&gt;=FL$17,FK4&gt;=FL$21,FJ4&lt;&gt;""),AND(GG4&gt;=GN$17,GH4&gt;=GN$21,GG4&lt;&gt;""),AND(GL4&gt;=GN$17,GM4&gt;=GN$21,GL4&lt;&gt;""),AND(HI4&gt;=HP$17,HJ4&gt;=HP$21,HI4&lt;&gt;""),AND(HN4&gt;=HP$17,HO4&gt;=HP$21,HN4&lt;&gt;""),AND(IK4&gt;=IR$17,IL4&gt;=IR$21,IK4&lt;&gt;""),AND(IP4&gt;=IR$17,IQ4&gt;=IR$21,IP4&lt;&gt;""),AND(JM4&gt;=JT$17,JN4&gt;=JT$21,JM4&lt;&gt;""),AND(JR4&gt;=JT$17,JS4&gt;=JT$21,JR4&lt;&gt;""),AND(KO4&gt;=KV$17,KP4&gt;=KV$21,KO4&lt;&gt;""),AND(KT4&gt;=KV$17,KU4&gt;=KV$21,KT4&lt;&gt;""),AND(LQ4&gt;=LX$17,LR4&gt;=LX$21,LQ4&lt;&gt;""),AND(LV4&gt;=LX$17,LW4&gt;=LX$21,LV4&lt;&gt;""),AND(MS4&gt;=MZ$17,MT4&gt;=MZ$21,MS4&lt;&gt;""),AND(MX4&gt;=MZ$17,MY4&gt;=MZ$21,MX4&lt;&gt;""),AND(NU4&gt;=OB$17,NV4&gt;=OB$21,NU4&lt;&gt;""),AND(NZ4&gt;=OB$17,OA4&gt;=OB$21,NZ4&lt;&gt;""),AND(OW4&gt;=PD$17,OX4&gt;=PD$21,OW4&lt;&gt;""),AND(PB4&gt;=PD$17,PC4&gt;=PD$21,PB4&lt;&gt;""),AND(PY4&gt;=QF$17,PZ4&gt;=QF$21,PY4&lt;&gt;""),AND(QD4&gt;=QF$17,QE4&gt;=QF$21,QD4&lt;&gt;"")),"P","")</f>
        <v>P</v>
      </c>
      <c r="G4" s="3" t="str">
        <f>IF(OR(AND(AS4&gt;=AY$21,AS4&lt;&gt;"",AQ4=""),AND(AX4&gt;=AY$21,AX4&lt;&gt;"",AQ4=""),AND(BV4&gt;=CB$21,BV4&lt;&gt;"",BT4=""),AND(CA4&gt;=CB$21,CA4&lt;&gt;"",BT4=""),AND(CY4&gt;=DE$21,CY4&lt;&gt;"",CW4=""),AND(DD4&gt;=DE$21,DD4&lt;&gt;"",CW4=""),AND(ED4&gt;=EJ$21,ED4&lt;&gt;""),AND(EI4&gt;=EJ$21,EI4&lt;&gt;""),AND(FF4&gt;=FL$21,FF4&lt;&gt;""),AND(FK4&gt;=FL$21,FK4&lt;&gt;""),AND(GH4&gt;=GN$21,GH4&lt;&gt;""),AND(GM4&gt;=GN$21,GM4&lt;&gt;""),AND(HJ4&gt;=HP$21,HJ4&lt;&gt;""),AND(HO4&gt;=HP$21,HO4&lt;&gt;""),AND(IL4&gt;=IR$21,IL4&lt;&gt;""),AND(IQ4&gt;=IR$21,IQ4&lt;&gt;""),AND(JN4&gt;=JT$21,JN4&lt;&gt;""),AND(JS4&gt;=JT$21,JS4&lt;&gt;""),AND(KP4&gt;=KV$21,KP4&lt;&gt;""),AND(KU4&gt;=KV$21,KU4&lt;&gt;""),AND(LR4&gt;=LX$21,LR4&lt;&gt;""),AND(LW4&gt;=LX$21,LW4&lt;&gt;""),AND(MT4&gt;=MZ$21,MT4&lt;&gt;""),AND(MY4&gt;=MZ$21,MY4&lt;&gt;""),AND(NV4&gt;=OB$21,NV4&lt;&gt;""),AND(OA4&gt;=OB$21,OA4&lt;&gt;""),AND(OX4&gt;=PD$21,OX4&lt;&gt;""),AND(PC4&gt;=PD$21,PC4&lt;&gt;""),AND(PZ4&gt;=QF$21,PZ4&lt;&gt;""),AND(QE4&gt;=QF$21,QE4&lt;&gt;"")),"P","")</f>
        <v>P</v>
      </c>
      <c r="H4" s="70" t="str">
        <f>IF(AND(G4="P",F4=""),"No DD",IF(OR(AND(AU4&gt;=AY$20,AV4&gt;=AY$24,AU4&lt;&gt;"",AQ4=""),AND(BX4&gt;=CB$20,BY4&gt;=CB$24,BX4&lt;&gt;"",BT4=""),AND(DA4&gt;=DE$20,DB4&gt;=DE$24,DA4&lt;&gt;"",CW4=""),AND(EF4&gt;=EJ$20,EG4&gt;=EJ$24,EF4&lt;&gt;""),AND(FH4&gt;=FL$20,FI4&gt;=FL$24,FH4&lt;&gt;""),AND(GJ4&gt;=GN$20,GK4&gt;=GN$24,GJ4&lt;&gt;""),AND(HL4&gt;=HP$20,HM4&gt;=HP$24,HL4&lt;&gt;""),AND(IN4&gt;=IR$20,IO4&gt;=IR$24,IN4&lt;&gt;""),AND(JP4&gt;=JT$20,JQ4&gt;=JT$24,JP4&lt;&gt;""),AND(KR4&gt;=KV$20,KS4&gt;=KV$24,KR4&lt;&gt;""),AND(LT4&gt;=LX$20,LU4&gt;=LX$24,LT4&lt;&gt;""),AND(MV4&gt;=MZ$20,MW4&gt;=MZ$24,MV4&lt;&gt;""),AND(NX4&gt;=OB$20,NY4&gt;=OB$24,NX4&lt;&gt;""),AND(OZ4&gt;=PD$20,PA4&gt;=PD$24,OZ4&lt;&gt;""),AND(QB4&gt;=QF$20,QC4&gt;=QF$24,QB4&lt;&gt;"")),"Merit",IF(OR(AND(AU4&gt;=AY$19,AV4&gt;=AY$23,AU4&lt;&gt;"",AQ4=""),AND(BX4&gt;=CB$19,BY4&gt;=CB$23,BX4&lt;&gt;"",BT4=""),AND(DA4&gt;=DE$19,DB4&gt;=DE$23,DA4&lt;&gt;"",CW4=""),AND(EF4&gt;=EJ$19,EG4&gt;=EJ$23,EF4&lt;&gt;""),AND(FH4&gt;=FL$19,FI4&gt;=FL$23,FH4&lt;&gt;""),AND(GJ4&gt;=GN$19,GK4&gt;=GN$23,GJ4&lt;&gt;""),AND(HL4&gt;=HP$19,HM4&gt;=HP$23,HL4&lt;&gt;""),AND(IN4&gt;=IR$19,IO4&gt;=IR$23,IN4&lt;&gt;""),AND(JP4&gt;=JT$19,JQ4&gt;=JT$23,JP4&lt;&gt;""),AND(KR4&gt;=KV$19,KS4&gt;=KV$23,KR4&lt;&gt;""),AND(LT4&gt;=LX$19,LU4&gt;=LX$23,LT4&lt;&gt;""),AND(MV4&gt;=MZ$19,MW4&gt;=MZ$23,MV4&lt;&gt;""),AND(NX4&gt;=OB$19,NY4&gt;=OB$23,NX4&lt;&gt;""),AND(OZ4&gt;=PD$19,PA4&gt;=PD$23,OZ4&lt;&gt;""),AND(QB4&gt;=QF$19,QC4&gt;=QF$23,QB4&lt;&gt;"")),"Excellence",IF(I4="P","Worlds Team",IF(F4="P","National Team","")))))</f>
        <v>Excellence</v>
      </c>
      <c r="I4" s="3" t="str">
        <f>IF(OR(AND(AU4&gt;=AY$18,AV4&gt;=AY$22,AU4&lt;&gt;"",AQ4=""),AND(BX4&gt;=CB$18,BY4&gt;=CB$22,BX4&lt;&gt;"",BT4=""),AND(DA4&gt;=DE$18,DB4&gt;=DE$22,DA4&lt;&gt;"",CW4=""),AND(EF4&gt;=EJ$18,EG4&gt;=EJ$22,EF4&lt;&gt;""),AND(FH4&gt;=FL$18,FI4&gt;=FL$22,FH4&lt;&gt;""),AND(GJ4&gt;=GN$18,GK4&gt;=GN$22,GJ4&lt;&gt;""),AND(HL4&gt;=HP$18,HM4&gt;=HP$22,HL4&lt;&gt;""),AND(IN4&gt;=IR$18,IO4&gt;=IR$22,IN4&lt;&gt;""),AND(JP4&gt;=JT$18,JQ4&gt;=JT$22,JP4&lt;&gt;""),AND(KR4&gt;=KV$18,KS4&gt;=KV$22,KR4&lt;&gt;""),AND(LT4&gt;=LX$18,LU4&gt;=LX$22,LT4&lt;&gt;""),AND(MV4&gt;=MZ$18,MW4&gt;=MZ$22,MV4&lt;&gt;""),AND(NX4&gt;=OB$18,NY4&gt;=OB$22,NX4&lt;&gt;""),AND(OZ4&gt;=PD$18,PA4&gt;=PD$22,OZ4&lt;&gt;""),AND(QB4&gt;=QF$18,QC4&gt;=QF$22,QB4&lt;&gt;"")),"P","")</f>
        <v>P</v>
      </c>
      <c r="J4" s="13">
        <f>IF(COUNT(AS4,BV4,CY4)&gt;0,LARGE((AS4,BV4,CY4),1),0)</f>
        <v>50.8</v>
      </c>
      <c r="K4" s="13" t="str">
        <f>IF(J4=0,"",IF(J4=CY4,$CC$1,IF(J4=BV4,$AZ$1,IF(J4=AS4,$W$1,""))))</f>
        <v>2022 Elite Canada</v>
      </c>
      <c r="L4" s="13">
        <f>IF(COUNT(AS4,BV4,CY4)&gt;1,LARGE((AS4,BV4,CY4),2),0)</f>
        <v>6.0000000000000008E-5</v>
      </c>
      <c r="M4" s="13" t="str">
        <f>IF(L4=0,"",IF(L4=CY4,$CC$1,IF(L4=BV4,$AZ$1,IF(L4=AS4,$W$1,""))))</f>
        <v>2021 Canadian Championships</v>
      </c>
      <c r="N4" s="13">
        <f>IF(COUNT(AT4,BW4,CZ4)&gt;0,LARGE((AT4,BW4,CZ4),1),0)</f>
        <v>23.5</v>
      </c>
      <c r="O4" s="13" t="str">
        <f>IF(N4=0,"",IF(N4=CZ4,$CC$1,IF(N4=BW4,$AZ$1,IF(N4=AT4,$W$1,""))))</f>
        <v>2022 Elite Canada</v>
      </c>
      <c r="P4" s="13">
        <f>IF(COUNT(AT4,BW4,CZ4)&gt;1,LARGE((AT4,BW4,CZ4),2),0)</f>
        <v>0</v>
      </c>
      <c r="Q4" s="13" t="str">
        <f>IF(P4=0,"",IF(P4=CZ4,$CC$1,IF(P4=BW4,$AZ$1,IF(P4=AT4,$W$1,""))))</f>
        <v/>
      </c>
      <c r="R4" s="13">
        <f>IF(MAX(AX4,CA4,DD4)&gt;0,MAX(AX4,CA4,DD4),0)</f>
        <v>50.5</v>
      </c>
      <c r="S4" s="13" t="str">
        <f>IF(R4=0,"",IF(R4=DD4,$CC$1,IF(R4=CA4,$AZ$1,IF(R4=AX4,$W$1,""))))</f>
        <v>2022 Elite Canada</v>
      </c>
      <c r="T4" s="13" t="str">
        <f>IF(MAX(DF4:DH4)&gt;0,MAX(DF4:DH4),"")</f>
        <v/>
      </c>
      <c r="U4" s="16" t="str">
        <f>IF(T4="","",IF(T4=DF4,"("&amp;DF$2&amp;")",IF(T4=DH4,"("&amp;DH$2&amp;")")))</f>
        <v/>
      </c>
      <c r="V4" s="13" t="str">
        <f>IF(T4="","",IF(T4=DF4,IF(T4+IF(L4="",0,L4)=PZ4,$PE$1,IF(T4+IF(L4="",0,L4)=OX4,$OC$1,IF(T4+IF(L4="",0,L4)=NV4,$NA$1,IF(T4+IF(L4="",0,L4)=MT4,$LY$1,IF(T4+IF(L4="",0,L4)=LR4,$KW$1,IF(T4+IF(L4="",0,L4)=KP4,$JU$1,IF(T4+IF(L4="",0,L4)=JN4,$IS$1,IF(T4+IF(L4="",0,L4)=IL4,$HQ$1,IF(T4+IF(L4="",0,L4)=HJ4,$GO$1,IF(T4+IF(L4="",0,L4)=GH4,$FM$1,IF(T4+IF(L4="",0,L4)=FF4,$EK$1,IF(T4+IF(L4="",0,L4)=ED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</f>
        <v/>
      </c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51"/>
      <c r="AR4" s="76" t="str">
        <f>IF(SUM(X4,AB4)&gt;0,SUM(X4,AB4),"")</f>
        <v/>
      </c>
      <c r="AS4" s="76" t="str">
        <f>IF(SUM(W4:X4,Z4:AB4,AD4)-Y4-AC4&gt;0,SUM(W4:X4,Z4:AB4,AD4)-Y4-AC4,"")</f>
        <v/>
      </c>
      <c r="AT4" s="76" t="str">
        <f>IF(SUM(AE4:AF4,AH4)-AG4&gt;0,SUM(AE4:AF4,AH4)-AG4,"")</f>
        <v/>
      </c>
      <c r="AU4" s="76" t="str">
        <f>IF(SUM(X4,AB4,AF4)&gt;0,SUM(X4,AB4,AF4),"")</f>
        <v/>
      </c>
      <c r="AV4" s="76" t="str">
        <f>IF(SUM(AS4,AT4)&gt;0,SUM(AS4,AT4),"")</f>
        <v/>
      </c>
      <c r="AW4" s="76" t="str">
        <f>IF(SUM(AJ4,AN4)&gt;0,SUM(AJ4,AN4),"")</f>
        <v/>
      </c>
      <c r="AX4" s="76" t="str">
        <f>IF(SUM(AI4:AJ4,AL4:AN4,AP4)-SUM(AK4,AO4)&gt;0,SUM(AI4:AJ4,AL4:AN4,AP4)-SUM(AK4,AO4),"")</f>
        <v/>
      </c>
      <c r="AY4" s="76" t="str">
        <f>IF(SUM(AS4,AX4)&gt;0,SUM(AS4,AX4),"")</f>
        <v/>
      </c>
      <c r="AZ4" s="26">
        <v>2.0000000000000002E-5</v>
      </c>
      <c r="BA4" s="26">
        <v>4.0000000000000003E-5</v>
      </c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52"/>
      <c r="BU4" s="16">
        <f>IF(SUM(BA4,BE4)&gt;0,SUM(BA4,BE4),"")</f>
        <v>4.0000000000000003E-5</v>
      </c>
      <c r="BV4" s="16">
        <f>IF(SUM(AZ4:BA4,BC4:BE4,BG4)-BB4-BF4&gt;0,SUM(AZ4:BA4,BC4:BE4,BG4)-BB4-BF4,"")</f>
        <v>6.0000000000000008E-5</v>
      </c>
      <c r="BW4" s="16" t="str">
        <f>IF(SUM(BH4:BI4,BK4)-BJ4&gt;0,SUM(BH4:BI4,BK4)-BJ4,"")</f>
        <v/>
      </c>
      <c r="BX4" s="16">
        <f>IF(SUM(BA4,BE4,BI4)&gt;0,SUM(BA4,BE4,BI4),"")</f>
        <v>4.0000000000000003E-5</v>
      </c>
      <c r="BY4" s="16">
        <f>IF(SUM(BV4,BW4)&gt;0,SUM(BV4,BW4),"")</f>
        <v>6.0000000000000008E-5</v>
      </c>
      <c r="BZ4" s="16" t="str">
        <f>IF(SUM(BM4,BQ4)&gt;0,SUM(BM4,BQ4),"")</f>
        <v/>
      </c>
      <c r="CA4" s="16" t="str">
        <f>IF(SUM(BL4:BM4,BO4:BQ4,BS4)-SUM(BN4,BR4)&gt;0,SUM(BL4:BM4,BO4:BQ4,BS4)-SUM(BN4,BR4),"")</f>
        <v/>
      </c>
      <c r="CB4" s="16">
        <f>IF(SUM(BV4,CA4)&gt;0,SUM(BV4,CA4),"")</f>
        <v>6.0000000000000008E-5</v>
      </c>
      <c r="CC4" s="27">
        <v>18.8</v>
      </c>
      <c r="CD4" s="27">
        <v>6.8</v>
      </c>
      <c r="CE4" s="27">
        <v>0</v>
      </c>
      <c r="CF4" s="27">
        <v>0.3</v>
      </c>
      <c r="CG4" s="27">
        <v>18.600000000000001</v>
      </c>
      <c r="CH4" s="27">
        <v>6.8</v>
      </c>
      <c r="CI4" s="27">
        <v>0.8</v>
      </c>
      <c r="CJ4" s="27">
        <v>0.3</v>
      </c>
      <c r="CK4" s="27">
        <v>18.5</v>
      </c>
      <c r="CL4" s="27">
        <v>5.6</v>
      </c>
      <c r="CM4" s="27">
        <v>0.6</v>
      </c>
      <c r="CN4" s="27">
        <v>0</v>
      </c>
      <c r="CO4" s="27">
        <v>18.100000000000001</v>
      </c>
      <c r="CP4" s="27">
        <v>6.8</v>
      </c>
      <c r="CQ4" s="27">
        <v>0.2</v>
      </c>
      <c r="CR4" s="27">
        <v>0.6</v>
      </c>
      <c r="CS4" s="27">
        <v>18.8</v>
      </c>
      <c r="CT4" s="27">
        <v>6.4</v>
      </c>
      <c r="CU4" s="27">
        <v>0</v>
      </c>
      <c r="CV4" s="27">
        <v>0</v>
      </c>
      <c r="CW4" s="51"/>
      <c r="CX4" s="76">
        <f>IF(SUM(CD4,CH4)&gt;0,SUM(CD4,CH4),"")</f>
        <v>13.6</v>
      </c>
      <c r="CY4" s="76">
        <f>IF(SUM(CC4:CD4,CF4:CH4,CJ4)-CE4-CI4&gt;0,SUM(CC4:CD4,CF4:CH4,CJ4)-CE4-CI4,"")</f>
        <v>50.8</v>
      </c>
      <c r="CZ4" s="76">
        <f>IF(SUM(CK4:CL4,CN4)-CM4&gt;0,SUM(CK4:CL4,CN4)-CM4,"")</f>
        <v>23.5</v>
      </c>
      <c r="DA4" s="76">
        <f>IF(SUM(CD4,CH4,CL4)&gt;0,SUM(CD4,CH4,CL4),"")</f>
        <v>19.2</v>
      </c>
      <c r="DB4" s="76">
        <f>IF(SUM(CY4,CZ4)&gt;0,SUM(CY4,CZ4),"")</f>
        <v>74.3</v>
      </c>
      <c r="DC4" s="76">
        <f>IF(SUM(CP4,CT4)&gt;0,SUM(CP4,CT4),"")</f>
        <v>13.2</v>
      </c>
      <c r="DD4" s="76">
        <f>IF(SUM(CO4:CP4,CR4:CT4,CV4)-SUM(CQ4,CU4)&gt;0,SUM(CO4:CP4,CR4:CT4,CV4)-SUM(CQ4,CU4),"")</f>
        <v>50.5</v>
      </c>
      <c r="DE4" s="76">
        <f>IF(SUM(CY4,DD4)&gt;0,SUM(CY4,DD4),"")</f>
        <v>101.3</v>
      </c>
      <c r="DF4" s="87" t="str">
        <f>IF(L4&gt;=0.001,IF(MAX(ED4,FF4,GH4,HJ4,IL4,JN4,KP4,LR4,MT4,NV4,OX4,PZ4)-IF(L4="",0,L4)&gt;0.001,MAX(ED4,FF4,GH4,HJ4,IL4,JN4,KP4,LR4,MT4,NV4,OX4,PZ4)-IF(L4="",0,L4),""),"")</f>
        <v/>
      </c>
      <c r="DG4" s="87" t="str">
        <f>IF(P4&gt;=0.001,IF(MAX(EE4,FG4,GI4,HK4,IM4,JO4,KQ4,LS4,MU4,NW4,OY4,QA4)-IF(P4="",0,P4)&gt;0.001,MAX(EE4,FG4,GI4,HK4,IM4,JO4,KQ4,LS4,MU4,NW4,OY4,QA4)-IF(P4="",0,P4),""),"")</f>
        <v/>
      </c>
      <c r="DH4" s="87" t="str">
        <f>IF(R4&gt;=0.001,IF(MAX(EI4,FK4,GM4,HO4,IQ4,JS4,KU4,LW4,MY4,OA4,PC4,QE4)-IF(R4="",0,R4)&gt;0.001,MAX(EI4,FK4,GM4,HO4,IQ4,JS4,KU4,LW4,MY4,OA4,PC4,QE4)-IF(R4="",0,R4),""),"")</f>
        <v/>
      </c>
      <c r="DI4" s="25">
        <v>1.0000000000000001E-5</v>
      </c>
      <c r="DJ4" s="25">
        <v>4.0000000000000003E-5</v>
      </c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76">
        <f>IF(SUM(DJ4,DN4)&gt;0,SUM(DJ4,DN4),"")</f>
        <v>4.0000000000000003E-5</v>
      </c>
      <c r="ED4" s="76">
        <f>IF(SUM(DI4:DJ4,DL4:DN4,DP4)-DK4-DO4&gt;0,SUM(DI4:DJ4,DL4:DN4,DP4)-DK4-DO4,"")</f>
        <v>5.0000000000000002E-5</v>
      </c>
      <c r="EE4" s="76" t="str">
        <f>IF(SUM(DQ4:DR4,DT4)-DS4&gt;0,SUM(DQ4:DR4,DT4)-DS4,"")</f>
        <v/>
      </c>
      <c r="EF4" s="76">
        <f>IF(SUM(DJ4,DN4,DR4)&gt;0,SUM(DJ4,DN4,DR4),"")</f>
        <v>4.0000000000000003E-5</v>
      </c>
      <c r="EG4" s="76">
        <f>IF(SUM(ED4,EE4)&gt;0,SUM(ED4,EE4),"")</f>
        <v>5.0000000000000002E-5</v>
      </c>
      <c r="EH4" s="76" t="str">
        <f>IF(SUM(DV4,DZ4)&gt;0,SUM(DV4,DZ4),"")</f>
        <v/>
      </c>
      <c r="EI4" s="76" t="str">
        <f>IF(SUM(DU4:DV4,DX4:DZ4,EB4)-SUM(DW4,EA4)&gt;0,SUM(DU4:DV4,DX4:DZ4,EB4)-SUM(DW4,EA4),"")</f>
        <v/>
      </c>
      <c r="EJ4" s="76">
        <f>IF(SUM(ED4,EI4)&gt;0,SUM(ED4,EI4),"")</f>
        <v>5.0000000000000002E-5</v>
      </c>
      <c r="EK4" s="26">
        <v>18.8</v>
      </c>
      <c r="EL4" s="26">
        <v>6.8</v>
      </c>
      <c r="EM4" s="26">
        <v>0.6</v>
      </c>
      <c r="EN4" s="26">
        <v>0.3</v>
      </c>
      <c r="EO4" s="26">
        <v>18.8</v>
      </c>
      <c r="EP4" s="26">
        <v>6.8</v>
      </c>
      <c r="EQ4" s="26">
        <v>0.2</v>
      </c>
      <c r="ER4" s="26">
        <v>0.3</v>
      </c>
      <c r="ES4" s="26"/>
      <c r="ET4" s="26"/>
      <c r="EU4" s="26"/>
      <c r="EV4" s="26"/>
      <c r="EW4" s="26">
        <v>18.399999999999999</v>
      </c>
      <c r="EX4" s="26">
        <v>4.4000000000000004</v>
      </c>
      <c r="EY4" s="26">
        <v>1</v>
      </c>
      <c r="EZ4" s="26">
        <v>0</v>
      </c>
      <c r="FA4" s="26">
        <v>18.600000000000001</v>
      </c>
      <c r="FB4" s="26">
        <v>6.8</v>
      </c>
      <c r="FC4" s="26">
        <v>0</v>
      </c>
      <c r="FD4" s="26">
        <v>0.3</v>
      </c>
      <c r="FE4" s="16">
        <f>IF(SUM(EL4,EP4)&gt;0,SUM(EL4,EP4),"")</f>
        <v>13.6</v>
      </c>
      <c r="FF4" s="16">
        <f>IF(SUM(EK4:EL4,EN4:EP4,ER4)-EM4-EQ4&gt;0,SUM(EK4:EL4,EN4:EP4,ER4)-EM4-EQ4,"")</f>
        <v>50.999999999999993</v>
      </c>
      <c r="FG4" s="16" t="str">
        <f>IF(SUM(ES4:ET4,EV4)-EU4&gt;0,SUM(ES4:ET4,EV4)-EU4,"")</f>
        <v/>
      </c>
      <c r="FH4" s="16">
        <f>IF(SUM(EL4,EP4,ET4)&gt;0,SUM(EL4,EP4,ET4),"")</f>
        <v>13.6</v>
      </c>
      <c r="FI4" s="16">
        <f>IF(SUM(FF4,FG4)&gt;0,SUM(FF4,FG4),"")</f>
        <v>50.999999999999993</v>
      </c>
      <c r="FJ4" s="16">
        <f>IF(SUM(EX4,FB4)&gt;0,SUM(EX4,FB4),"")</f>
        <v>11.2</v>
      </c>
      <c r="FK4" s="16">
        <f>IF(SUM(EW4:EX4,EZ4:FB4,FD4)-SUM(EY4,FC4)&gt;0,SUM(EW4:EX4,EZ4:FB4,FD4)-SUM(EY4,FC4),"")</f>
        <v>47.499999999999993</v>
      </c>
      <c r="FL4" s="16">
        <f>IF(SUM(FF4,FK4)&gt;0,SUM(FF4,FK4),"")</f>
        <v>98.499999999999986</v>
      </c>
      <c r="FM4" s="25">
        <v>18.399999999999999</v>
      </c>
      <c r="FN4" s="25">
        <v>6</v>
      </c>
      <c r="FO4" s="25">
        <v>0</v>
      </c>
      <c r="FP4" s="25">
        <v>0.3</v>
      </c>
      <c r="FQ4" s="25">
        <v>18.8</v>
      </c>
      <c r="FR4" s="25">
        <v>6.8</v>
      </c>
      <c r="FS4" s="25">
        <v>0</v>
      </c>
      <c r="FT4" s="25">
        <v>0.3</v>
      </c>
      <c r="FU4" s="25"/>
      <c r="FV4" s="25"/>
      <c r="FW4" s="25"/>
      <c r="FX4" s="25"/>
      <c r="FY4" s="25">
        <v>18.7</v>
      </c>
      <c r="FZ4" s="25">
        <v>6.8</v>
      </c>
      <c r="GA4" s="25">
        <v>0.2</v>
      </c>
      <c r="GB4" s="25">
        <v>0.3</v>
      </c>
      <c r="GC4" s="25">
        <v>18</v>
      </c>
      <c r="GD4" s="25">
        <v>6.4</v>
      </c>
      <c r="GE4" s="25">
        <v>0.2</v>
      </c>
      <c r="GF4" s="25">
        <v>0.3</v>
      </c>
      <c r="GG4" s="76">
        <f>IF(SUM(FN4,FR4)&gt;0,SUM(FN4,FR4),"")</f>
        <v>12.8</v>
      </c>
      <c r="GH4" s="76">
        <f>IF(SUM(FM4:FN4,FP4:FR4,FT4)-FO4-FS4&gt;0,SUM(FM4:FN4,FP4:FR4,FT4)-FO4-FS4,"")</f>
        <v>50.599999999999994</v>
      </c>
      <c r="GI4" s="76" t="str">
        <f>IF(SUM(FU4:FV4,FX4)-FW4&gt;0,SUM(FU4:FV4,FX4)-FW4,"")</f>
        <v/>
      </c>
      <c r="GJ4" s="76">
        <f>IF(SUM(FN4,FR4,FV4)&gt;0,SUM(FN4,FR4,FV4),"")</f>
        <v>12.8</v>
      </c>
      <c r="GK4" s="76">
        <f>IF(SUM(GH4,GI4)&gt;0,SUM(GH4,GI4),"")</f>
        <v>50.599999999999994</v>
      </c>
      <c r="GL4" s="76">
        <f>IF(SUM(FZ4,GD4)&gt;0,SUM(FZ4,GD4),"")</f>
        <v>13.2</v>
      </c>
      <c r="GM4" s="76">
        <f>IF(SUM(FY4:FZ4,GB4:GD4,GF4)-SUM(GA4,GE4)&gt;0,SUM(FY4:FZ4,GB4:GD4,GF4)-SUM(GA4,GE4),"")</f>
        <v>50.099999999999994</v>
      </c>
      <c r="GN4" s="76">
        <f>IF(SUM(GH4,GM4)&gt;0,SUM(GH4,GM4),"")</f>
        <v>100.69999999999999</v>
      </c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16" t="str">
        <f>IF(SUM(GP4,GT4)&gt;0,SUM(GP4,GT4),"")</f>
        <v/>
      </c>
      <c r="HJ4" s="16" t="str">
        <f>IF(SUM(GO4:GP4,GR4:GT4,GV4)-GQ4-GU4&gt;0,SUM(GO4:GP4,GR4:GT4,GV4)-GQ4-GU4,"")</f>
        <v/>
      </c>
      <c r="HK4" s="16" t="str">
        <f>IF(SUM(GW4:GX4,GZ4)-GY4&gt;0,SUM(GW4:GX4,GZ4)-GY4,"")</f>
        <v/>
      </c>
      <c r="HL4" s="16" t="str">
        <f>IF(SUM(GP4,GT4,GX4)&gt;0,SUM(GP4,GT4,GX4),"")</f>
        <v/>
      </c>
      <c r="HM4" s="16" t="str">
        <f>IF(SUM(HJ4,HK4)&gt;0,SUM(HJ4,HK4),"")</f>
        <v/>
      </c>
      <c r="HN4" s="16" t="str">
        <f>IF(SUM(HB4,HF4)&gt;0,SUM(HB4,HF4),"")</f>
        <v/>
      </c>
      <c r="HO4" s="16" t="str">
        <f>IF(SUM(HA4:HB4,HD4:HF4,HH4)-SUM(HC4,HG4)&gt;0,SUM(HA4:HB4,HD4:HF4,HH4)-SUM(HC4,HG4),"")</f>
        <v/>
      </c>
      <c r="HP4" s="16" t="str">
        <f>IF(SUM(HJ4,HO4)&gt;0,SUM(HJ4,HO4),"")</f>
        <v/>
      </c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76" t="str">
        <f>IF(SUM(HR4,HV4)&gt;0,SUM(HR4,HV4),"")</f>
        <v/>
      </c>
      <c r="IL4" s="76" t="str">
        <f>IF(SUM(HQ4:HR4,HT4:HV4,HX4)-HS4-HW4&gt;0,SUM(HQ4:HR4,HT4:HV4,HX4)-HS4-HW4,"")</f>
        <v/>
      </c>
      <c r="IM4" s="76" t="str">
        <f>IF(SUM(HY4:HZ4,IB4)-IA4&gt;0,SUM(HY4:HZ4,IB4)-IA4,"")</f>
        <v/>
      </c>
      <c r="IN4" s="76" t="str">
        <f>IF(SUM(HR4,HV4,HZ4)&gt;0,SUM(HR4,HV4,HZ4),"")</f>
        <v/>
      </c>
      <c r="IO4" s="76" t="str">
        <f>IF(SUM(IL4,IM4)&gt;0,SUM(IL4,IM4),"")</f>
        <v/>
      </c>
      <c r="IP4" s="76" t="str">
        <f>IF(SUM(ID4,IH4)&gt;0,SUM(ID4,IH4),"")</f>
        <v/>
      </c>
      <c r="IQ4" s="76" t="str">
        <f>IF(SUM(IC4:ID4,IF4:IH4,IJ4)-SUM(IE4,II4)&gt;0,SUM(IC4:ID4,IF4:IH4,IJ4)-SUM(IE4,II4),"")</f>
        <v/>
      </c>
      <c r="IR4" s="76" t="str">
        <f>IF(SUM(IL4,IQ4)&gt;0,SUM(IL4,IQ4),"")</f>
        <v/>
      </c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16" t="str">
        <f>IF(SUM(IT4,IX4)&gt;0,SUM(IT4,IX4),"")</f>
        <v/>
      </c>
      <c r="JN4" s="16" t="str">
        <f>IF(SUM(IS4:IT4,IV4:IX4,IZ4)-IU4-IY4&gt;0,SUM(IS4:IT4,IV4:IX4,IZ4)-IU4-IY4,"")</f>
        <v/>
      </c>
      <c r="JO4" s="16" t="str">
        <f>IF(SUM(JA4:JB4,JD4)-JC4&gt;0,SUM(JA4:JB4,JD4)-JC4,"")</f>
        <v/>
      </c>
      <c r="JP4" s="16" t="str">
        <f>IF(SUM(IT4,IX4,JB4)&gt;0,SUM(IT4,IX4,JB4),"")</f>
        <v/>
      </c>
      <c r="JQ4" s="16" t="str">
        <f>IF(SUM(JN4,JO4)&gt;0,SUM(JN4,JO4),"")</f>
        <v/>
      </c>
      <c r="JR4" s="16" t="str">
        <f>IF(SUM(JF4,JJ4)&gt;0,SUM(JF4,JJ4),"")</f>
        <v/>
      </c>
      <c r="JS4" s="16" t="str">
        <f>IF(SUM(JE4:JF4,JH4:JJ4,JL4)-SUM(JG4,JK4)&gt;0,SUM(JE4:JF4,JH4:JJ4,JL4)-SUM(JG4,JK4),"")</f>
        <v/>
      </c>
      <c r="JT4" s="16" t="str">
        <f>IF(SUM(JN4,JS4)&gt;0,SUM(JN4,JS4),"")</f>
        <v/>
      </c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76" t="str">
        <f>IF(SUM(JV4,JZ4)&gt;0,SUM(JV4,JZ4),"")</f>
        <v/>
      </c>
      <c r="KP4" s="76" t="str">
        <f>IF(SUM(JU4:JV4,JX4:JZ4,KB4)-JW4-KA4&gt;0,SUM(JU4:JV4,JX4:JZ4,KB4)-JW4-KA4,"")</f>
        <v/>
      </c>
      <c r="KQ4" s="76" t="str">
        <f>IF(SUM(KC4:KD4,KF4)-KE4&gt;0,SUM(KC4:KD4,KF4)-KE4,"")</f>
        <v/>
      </c>
      <c r="KR4" s="76" t="str">
        <f>IF(SUM(JV4,JZ4,KD4)&gt;0,SUM(JV4,JZ4,KD4),"")</f>
        <v/>
      </c>
      <c r="KS4" s="76" t="str">
        <f>IF(SUM(KP4,KQ4)&gt;0,SUM(KP4,KQ4),"")</f>
        <v/>
      </c>
      <c r="KT4" s="76" t="str">
        <f>IF(SUM(KH4,KL4)&gt;0,SUM(KH4,KL4),"")</f>
        <v/>
      </c>
      <c r="KU4" s="76" t="str">
        <f>IF(SUM(KG4:KH4,KJ4:KL4,KN4)-SUM(KI4,KM4)&gt;0,SUM(KG4:KH4,KJ4:KL4,KN4)-SUM(KI4,KM4),"")</f>
        <v/>
      </c>
      <c r="KV4" s="76" t="str">
        <f>IF(SUM(KP4,KU4)&gt;0,SUM(KP4,KU4),"")</f>
        <v/>
      </c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16" t="str">
        <f>IF(SUM(KX4,LB4)&gt;0,SUM(KX4,LB4),"")</f>
        <v/>
      </c>
      <c r="LR4" s="16" t="str">
        <f>IF(SUM(KW4:KX4,KZ4:LB4,LD4)-KY4-LC4&gt;0,SUM(KW4:KX4,KZ4:LB4,LD4)-KY4-LC4,"")</f>
        <v/>
      </c>
      <c r="LS4" s="16" t="str">
        <f>IF(SUM(LE4:LF4,LH4)-LG4&gt;0,SUM(LE4:LF4,LH4)-LG4,"")</f>
        <v/>
      </c>
      <c r="LT4" s="16" t="str">
        <f>IF(SUM(KX4,LB4,LF4)&gt;0,SUM(KX4,LB4,LF4),"")</f>
        <v/>
      </c>
      <c r="LU4" s="16" t="str">
        <f>IF(SUM(LR4,LS4)&gt;0,SUM(LR4,LS4),"")</f>
        <v/>
      </c>
      <c r="LV4" s="16" t="str">
        <f>IF(SUM(LJ4,LN4)&gt;0,SUM(LJ4,LN4),"")</f>
        <v/>
      </c>
      <c r="LW4" s="16" t="str">
        <f>IF(SUM(LI4:LJ4,LL4:LN4,LP4)-SUM(LK4,LO4)&gt;0,SUM(LI4:LJ4,LL4:LN4,LP4)-SUM(LK4,LO4),"")</f>
        <v/>
      </c>
      <c r="LX4" s="16" t="str">
        <f>IF(SUM(LR4,LW4)&gt;0,SUM(LR4,LW4),"")</f>
        <v/>
      </c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76" t="str">
        <f>IF(SUM(LZ4,MD4)&gt;0,SUM(LZ4,MD4),"")</f>
        <v/>
      </c>
      <c r="MT4" s="76" t="str">
        <f>IF(SUM(LY4:LZ4,MB4:MD4,MF4)-MA4-ME4&gt;0,SUM(LY4:LZ4,MB4:MD4,MF4)-MA4-ME4,"")</f>
        <v/>
      </c>
      <c r="MU4" s="76" t="str">
        <f>IF(SUM(MG4:MH4,MJ4)-MI4&gt;0,SUM(MG4:MH4,MJ4)-MI4,"")</f>
        <v/>
      </c>
      <c r="MV4" s="76" t="str">
        <f>IF(SUM(LZ4,MD4,MH4)&gt;0,SUM(LZ4,MD4,MH4),"")</f>
        <v/>
      </c>
      <c r="MW4" s="76" t="str">
        <f>IF(SUM(MT4,MU4)&gt;0,SUM(MT4,MU4),"")</f>
        <v/>
      </c>
      <c r="MX4" s="76" t="str">
        <f>IF(SUM(ML4,MP4)&gt;0,SUM(ML4,MP4),"")</f>
        <v/>
      </c>
      <c r="MY4" s="76" t="str">
        <f>IF(SUM(MK4:ML4,MN4:MP4,MR4)-SUM(MM4,MQ4)&gt;0,SUM(MK4:ML4,MN4:MP4,MR4)-SUM(MM4,MQ4),"")</f>
        <v/>
      </c>
      <c r="MZ4" s="76" t="str">
        <f>IF(SUM(MT4,MY4)&gt;0,SUM(MT4,MY4),"")</f>
        <v/>
      </c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16" t="str">
        <f>IF(SUM(NB4,NF4)&gt;0,SUM(NB4,NF4),"")</f>
        <v/>
      </c>
      <c r="NV4" s="16" t="str">
        <f>IF(SUM(NA4:NB4,ND4:NF4,NH4)-NC4-NG4&gt;0,SUM(NA4:NB4,ND4:NF4,NH4)-NC4-NG4,"")</f>
        <v/>
      </c>
      <c r="NW4" s="16" t="str">
        <f>IF(SUM(NI4:NJ4,NL4)-NK4&gt;0,SUM(NI4:NJ4,NL4)-NK4,"")</f>
        <v/>
      </c>
      <c r="NX4" s="16" t="str">
        <f>IF(SUM(NB4,NF4,NJ4)&gt;0,SUM(NB4,NF4,NJ4),"")</f>
        <v/>
      </c>
      <c r="NY4" s="16" t="str">
        <f>IF(SUM(NV4,NW4)&gt;0,SUM(NV4,NW4),"")</f>
        <v/>
      </c>
      <c r="NZ4" s="16" t="str">
        <f>IF(SUM(NN4,NR4)&gt;0,SUM(NN4,NR4),"")</f>
        <v/>
      </c>
      <c r="OA4" s="16" t="str">
        <f>IF(SUM(NM4:NN4,NP4:NR4,NT4)-SUM(NO4,NS4)&gt;0,SUM(NM4:NN4,NP4:NR4,NT4)-SUM(NO4,NS4),"")</f>
        <v/>
      </c>
      <c r="OB4" s="16" t="str">
        <f>IF(SUM(NV4,OA4)&gt;0,SUM(NV4,OA4),"")</f>
        <v/>
      </c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76" t="str">
        <f>IF(SUM(OD4,OH4)&gt;0,SUM(OD4,OH4),"")</f>
        <v/>
      </c>
      <c r="OX4" s="76" t="str">
        <f>IF(SUM(OC4:OD4,OF4:OH4,OJ4)-OE4-OI4&gt;0,SUM(OC4:OD4,OF4:OH4,OJ4)-OE4-OI4,"")</f>
        <v/>
      </c>
      <c r="OY4" s="76" t="str">
        <f>IF(SUM(OK4:OL4,ON4)-OM4&gt;0,SUM(OK4:OL4,ON4)-OM4,"")</f>
        <v/>
      </c>
      <c r="OZ4" s="76" t="str">
        <f>IF(SUM(OD4,OH4,OL4)&gt;0,SUM(OD4,OH4,OL4),"")</f>
        <v/>
      </c>
      <c r="PA4" s="76" t="str">
        <f>IF(SUM(OX4,OY4)&gt;0,SUM(OX4,OY4),"")</f>
        <v/>
      </c>
      <c r="PB4" s="76" t="str">
        <f>IF(SUM(OP4,OT4)&gt;0,SUM(OP4,OT4),"")</f>
        <v/>
      </c>
      <c r="PC4" s="76" t="str">
        <f>IF(SUM(OO4:OP4,OR4:OT4,OV4)-SUM(OQ4,OU4)&gt;0,SUM(OO4:OP4,OR4:OT4,OV4)-SUM(OQ4,OU4),"")</f>
        <v/>
      </c>
      <c r="PD4" s="76" t="str">
        <f>IF(SUM(OX4,PC4)&gt;0,SUM(OX4,PC4),"")</f>
        <v/>
      </c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16" t="str">
        <f>IF(SUM(PF4,PJ4)&gt;0,SUM(PF4,PJ4),"")</f>
        <v/>
      </c>
      <c r="PZ4" s="16" t="str">
        <f>IF(SUM(PE4:PF4,PH4:PJ4,PL4)-PG4-PK4&gt;0,SUM(PE4:PF4,PH4:PJ4,PL4)-PG4-PK4,"")</f>
        <v/>
      </c>
      <c r="QA4" s="16" t="str">
        <f>IF(SUM(PM4:PN4,PP4)-PO4&gt;0,SUM(PM4:PN4,PP4)-PO4,"")</f>
        <v/>
      </c>
      <c r="QB4" s="16" t="str">
        <f>IF(SUM(PF4,PJ4,PN4)&gt;0,SUM(PF4,PJ4,PN4),"")</f>
        <v/>
      </c>
      <c r="QC4" s="16" t="str">
        <f>IF(SUM(PZ4,QA4)&gt;0,SUM(PZ4,QA4),"")</f>
        <v/>
      </c>
      <c r="QD4" s="16" t="str">
        <f>IF(SUM(PR4,PV4)&gt;0,SUM(PR4,PV4),"")</f>
        <v/>
      </c>
      <c r="QE4" s="16" t="str">
        <f>IF(SUM(PQ4:PR4,PT4:PV4,PX4)-SUM(PS4,PW4)&gt;0,SUM(PQ4:PR4,PT4:PV4,PX4)-SUM(PS4,PW4),"")</f>
        <v/>
      </c>
      <c r="QF4" s="16" t="str">
        <f>IF(SUM(PZ4,QE4)&gt;0,SUM(PZ4,QE4),"")</f>
        <v/>
      </c>
      <c r="QG4" s="42">
        <f>IF($CW4="P",CC4,(CC4+AZ4)/2)</f>
        <v>9.40001</v>
      </c>
      <c r="QH4" s="42">
        <f>IF($CW4="P",CD4,(CD4+BA4)/2)</f>
        <v>3.40002</v>
      </c>
      <c r="QI4" s="42">
        <f>IF($CW4="P",CE4,(CE4+BB4)/2)</f>
        <v>0</v>
      </c>
      <c r="QJ4" s="42">
        <f>IF($CW4="P",CF4,(CF4+BC4)/2)</f>
        <v>0.15</v>
      </c>
      <c r="QK4" s="42">
        <f>IF($CW4="P",CG4,(CG4+BD4)/2)</f>
        <v>9.3000000000000007</v>
      </c>
      <c r="QL4" s="42">
        <f>IF($CW4="P",CH4,(CH4+BE4)/2)</f>
        <v>3.4</v>
      </c>
      <c r="QM4" s="42">
        <f>IF($CW4="P",CI4,(CI4+BF4)/2)</f>
        <v>0.4</v>
      </c>
      <c r="QN4" s="42">
        <f>IF($CW4="P",CJ4,(CJ4+BG4)/2)</f>
        <v>0.15</v>
      </c>
      <c r="QO4" s="42">
        <f>IF($CW4="P",CK4,(CK4+BH4)/2)</f>
        <v>9.25</v>
      </c>
      <c r="QP4" s="42">
        <f>IF($CW4="P",CL4,(CL4+BI4)/2)</f>
        <v>2.8</v>
      </c>
      <c r="QQ4" s="42">
        <f>IF($CW4="P",CM4,(CM4+BJ4)/2)</f>
        <v>0.3</v>
      </c>
      <c r="QR4" s="42">
        <f>IF($CW4="P",CN4,(CN4+BK4)/2)</f>
        <v>0</v>
      </c>
      <c r="QS4" s="42">
        <f>IF($CW4="P",CO4,(CO4+BL4)/2)</f>
        <v>9.0500000000000007</v>
      </c>
      <c r="QT4" s="42">
        <f>IF($CW4="P",CP4,(CP4+BM4)/2)</f>
        <v>3.4</v>
      </c>
      <c r="QU4" s="42">
        <f>IF($CW4="P",CQ4,(CQ4+BN4)/2)</f>
        <v>0.1</v>
      </c>
      <c r="QV4" s="42">
        <f>IF($CW4="P",CR4,(CR4+BO4)/2)</f>
        <v>0.3</v>
      </c>
      <c r="QW4" s="42">
        <f>IF($CW4="P",CS4,(CS4+BP4)/2)</f>
        <v>9.4</v>
      </c>
      <c r="QX4" s="42">
        <f>IF($CW4="P",CT4,(CT4+BQ4)/2)</f>
        <v>3.2</v>
      </c>
      <c r="QY4" s="42">
        <f>IF($CW4="P",CU4,(CU4+BR4)/2)</f>
        <v>0</v>
      </c>
      <c r="QZ4" s="42">
        <f>IF($CW4="P",CV4,(CV4+BS4)/2)</f>
        <v>0</v>
      </c>
      <c r="RA4" s="51" t="s">
        <v>61</v>
      </c>
      <c r="RB4" s="76">
        <f>IF(SUM(QH4,QL4)&gt;0,SUM(QH4,QL4),"")</f>
        <v>6.80002</v>
      </c>
      <c r="RC4" s="76">
        <f>IF(SUM(QG4:QH4,QJ4:QL4,QN4)-QI4-QM4&gt;0,SUM(QG4:QH4,QJ4:QL4,QN4)-QI4-QM4,"")</f>
        <v>25.400030000000001</v>
      </c>
      <c r="RD4" s="76">
        <f>IF(SUM(QO4:QP4,QR4)-QQ4&gt;0,SUM(QO4:QP4,QR4)-QQ4,"")</f>
        <v>11.75</v>
      </c>
      <c r="RE4" s="76">
        <f>IF(SUM(QH4,QL4,QP4)&gt;0,SUM(QH4,QL4,QP4),"")</f>
        <v>9.6000200000000007</v>
      </c>
      <c r="RF4" s="76">
        <f>IF(SUM(RC4,RD4)&gt;0,SUM(RC4,RD4),"")</f>
        <v>37.150030000000001</v>
      </c>
      <c r="RG4" s="76">
        <f>IF(SUM(QT4,QX4)&gt;0,SUM(QT4,QX4),"")</f>
        <v>6.6</v>
      </c>
      <c r="RH4" s="76">
        <f>IF(SUM(QS4:QT4,QV4:QX4,QZ4)-SUM(QU4,QY4)&gt;0,SUM(QS4:QT4,QV4:QX4,QZ4)-SUM(QU4,QY4),"")</f>
        <v>25.25</v>
      </c>
      <c r="RI4" s="76">
        <f>IF(SUM(RC4,RH4)&gt;0,SUM(RC4,RH4),"")</f>
        <v>50.650030000000001</v>
      </c>
    </row>
    <row r="5" spans="1:477" x14ac:dyDescent="0.2">
      <c r="A5" s="5">
        <f>IF(AND(F5="P",G5="P"),SUMPRODUCT((F$4:F$15="P")*(G$4:G$15="P")*(E$4:E$15&gt;E5))+1,IF(G5="P",SUMPRODUCT((F$4:F$15="")*(G$4:G$15="P")*(E$4:E$15&gt;E5))+1+SUMPRODUCT((F$4:F$15="P")*(G$4:G$15="P")),""))</f>
        <v>2</v>
      </c>
      <c r="B5" s="6" t="s">
        <v>108</v>
      </c>
      <c r="C5" s="7" t="s">
        <v>43</v>
      </c>
      <c r="D5" s="18">
        <v>2002</v>
      </c>
      <c r="E5" s="14">
        <f>SUM(J5:T5)+SUM(J5:P5)*0.0000001+SUM(J5)*0.0000000000001</f>
        <v>122.60005728000984</v>
      </c>
      <c r="F5" s="3" t="str">
        <f>IF(OR(AND(AR5&gt;=AY$17,AS5&gt;=AY$21,AR5&lt;&gt;"",AQ5=""),AND(AW5&gt;=AY$17,AX5&gt;=AY$21,AW5&lt;&gt;"",AQ5=""),AND(BU5&gt;=CB$17,BV5&gt;=CB$21,BU5&lt;&gt;"",BT5=""),AND(BZ5&gt;=CB$17,CA5&gt;=CB$21,BZ5&lt;&gt;"",BT5=""),AND(CX5&gt;=DE$17,CY5&gt;=DE$21,CX5&lt;&gt;"",CW5=""),AND(DC5&gt;=DE$17,DD5&gt;=DE$21,DC5&lt;&gt;""),AND(EC5&gt;=EJ$17,ED5&gt;=EJ$21,EC5&lt;&gt;""),AND(EH5&gt;=EJ$17,EI5&gt;=EJ$21,EH5&lt;&gt;""),AND(FE5&gt;=FL$17,FF5&gt;=FL$21,FE5&lt;&gt;""),AND(FJ5&gt;=FL$17,FK5&gt;=FL$21,FJ5&lt;&gt;""),AND(GG5&gt;=GN$17,GH5&gt;=GN$21,GG5&lt;&gt;""),AND(GL5&gt;=GN$17,GM5&gt;=GN$21,GL5&lt;&gt;""),AND(HI5&gt;=HP$17,HJ5&gt;=HP$21,HI5&lt;&gt;""),AND(HN5&gt;=HP$17,HO5&gt;=HP$21,HN5&lt;&gt;""),AND(IK5&gt;=IR$17,IL5&gt;=IR$21,IK5&lt;&gt;""),AND(IP5&gt;=IR$17,IQ5&gt;=IR$21,IP5&lt;&gt;""),AND(JM5&gt;=JT$17,JN5&gt;=JT$21,JM5&lt;&gt;""),AND(JR5&gt;=JT$17,JS5&gt;=JT$21,JR5&lt;&gt;""),AND(KO5&gt;=KV$17,KP5&gt;=KV$21,KO5&lt;&gt;""),AND(KT5&gt;=KV$17,KU5&gt;=KV$21,KT5&lt;&gt;""),AND(LQ5&gt;=LX$17,LR5&gt;=LX$21,LQ5&lt;&gt;""),AND(LV5&gt;=LX$17,LW5&gt;=LX$21,LV5&lt;&gt;""),AND(MS5&gt;=MZ$17,MT5&gt;=MZ$21,MS5&lt;&gt;""),AND(MX5&gt;=MZ$17,MY5&gt;=MZ$21,MX5&lt;&gt;""),AND(NU5&gt;=OB$17,NV5&gt;=OB$21,NU5&lt;&gt;""),AND(NZ5&gt;=OB$17,OA5&gt;=OB$21,NZ5&lt;&gt;""),AND(OW5&gt;=PD$17,OX5&gt;=PD$21,OW5&lt;&gt;""),AND(PB5&gt;=PD$17,PC5&gt;=PD$21,PB5&lt;&gt;""),AND(PY5&gt;=QF$17,PZ5&gt;=QF$21,PY5&lt;&gt;""),AND(QD5&gt;=QF$17,QE5&gt;=QF$21,QD5&lt;&gt;"")),"P","")</f>
        <v>P</v>
      </c>
      <c r="G5" s="3" t="str">
        <f>IF(OR(AND(AS5&gt;=AY$21,AS5&lt;&gt;"",AQ5=""),AND(AX5&gt;=AY$21,AX5&lt;&gt;"",AQ5=""),AND(BV5&gt;=CB$21,BV5&lt;&gt;"",BT5=""),AND(CA5&gt;=CB$21,CA5&lt;&gt;"",BT5=""),AND(CY5&gt;=DE$21,CY5&lt;&gt;"",CW5=""),AND(DD5&gt;=DE$21,DD5&lt;&gt;"",CW5=""),AND(ED5&gt;=EJ$21,ED5&lt;&gt;""),AND(EI5&gt;=EJ$21,EI5&lt;&gt;""),AND(FF5&gt;=FL$21,FF5&lt;&gt;""),AND(FK5&gt;=FL$21,FK5&lt;&gt;""),AND(GH5&gt;=GN$21,GH5&lt;&gt;""),AND(GM5&gt;=GN$21,GM5&lt;&gt;""),AND(HJ5&gt;=HP$21,HJ5&lt;&gt;""),AND(HO5&gt;=HP$21,HO5&lt;&gt;""),AND(IL5&gt;=IR$21,IL5&lt;&gt;""),AND(IQ5&gt;=IR$21,IQ5&lt;&gt;""),AND(JN5&gt;=JT$21,JN5&lt;&gt;""),AND(JS5&gt;=JT$21,JS5&lt;&gt;""),AND(KP5&gt;=KV$21,KP5&lt;&gt;""),AND(KU5&gt;=KV$21,KU5&lt;&gt;""),AND(LR5&gt;=LX$21,LR5&lt;&gt;""),AND(LW5&gt;=LX$21,LW5&lt;&gt;""),AND(MT5&gt;=MZ$21,MT5&lt;&gt;""),AND(MY5&gt;=MZ$21,MY5&lt;&gt;""),AND(NV5&gt;=OB$21,NV5&lt;&gt;""),AND(OA5&gt;=OB$21,OA5&lt;&gt;""),AND(OX5&gt;=PD$21,OX5&lt;&gt;""),AND(PC5&gt;=PD$21,PC5&lt;&gt;""),AND(PZ5&gt;=QF$21,PZ5&lt;&gt;""),AND(QE5&gt;=QF$21,QE5&lt;&gt;"")),"P","")</f>
        <v>P</v>
      </c>
      <c r="H5" s="70" t="str">
        <f>IF(AND(G5="P",F5=""),"No DD",IF(OR(AND(AU5&gt;=AY$20,AV5&gt;=AY$24,AU5&lt;&gt;"",AQ5=""),AND(BX5&gt;=CB$20,BY5&gt;=CB$24,BX5&lt;&gt;"",BT5=""),AND(DA5&gt;=DE$20,DB5&gt;=DE$24,DA5&lt;&gt;"",CW5=""),AND(EF5&gt;=EJ$20,EG5&gt;=EJ$24,EF5&lt;&gt;""),AND(FH5&gt;=FL$20,FI5&gt;=FL$24,FH5&lt;&gt;""),AND(GJ5&gt;=GN$20,GK5&gt;=GN$24,GJ5&lt;&gt;""),AND(HL5&gt;=HP$20,HM5&gt;=HP$24,HL5&lt;&gt;""),AND(IN5&gt;=IR$20,IO5&gt;=IR$24,IN5&lt;&gt;""),AND(JP5&gt;=JT$20,JQ5&gt;=JT$24,JP5&lt;&gt;""),AND(KR5&gt;=KV$20,KS5&gt;=KV$24,KR5&lt;&gt;""),AND(LT5&gt;=LX$20,LU5&gt;=LX$24,LT5&lt;&gt;""),AND(MV5&gt;=MZ$20,MW5&gt;=MZ$24,MV5&lt;&gt;""),AND(NX5&gt;=OB$20,NY5&gt;=OB$24,NX5&lt;&gt;""),AND(OZ5&gt;=PD$20,PA5&gt;=PD$24,OZ5&lt;&gt;""),AND(QB5&gt;=QF$20,QC5&gt;=QF$24,QB5&lt;&gt;"")),"Merit",IF(OR(AND(AU5&gt;=AY$19,AV5&gt;=AY$23,AU5&lt;&gt;"",AQ5=""),AND(BX5&gt;=CB$19,BY5&gt;=CB$23,BX5&lt;&gt;"",BT5=""),AND(DA5&gt;=DE$19,DB5&gt;=DE$23,DA5&lt;&gt;"",CW5=""),AND(EF5&gt;=EJ$19,EG5&gt;=EJ$23,EF5&lt;&gt;""),AND(FH5&gt;=FL$19,FI5&gt;=FL$23,FH5&lt;&gt;""),AND(GJ5&gt;=GN$19,GK5&gt;=GN$23,GJ5&lt;&gt;""),AND(HL5&gt;=HP$19,HM5&gt;=HP$23,HL5&lt;&gt;""),AND(IN5&gt;=IR$19,IO5&gt;=IR$23,IN5&lt;&gt;""),AND(JP5&gt;=JT$19,JQ5&gt;=JT$23,JP5&lt;&gt;""),AND(KR5&gt;=KV$19,KS5&gt;=KV$23,KR5&lt;&gt;""),AND(LT5&gt;=LX$19,LU5&gt;=LX$23,LT5&lt;&gt;""),AND(MV5&gt;=MZ$19,MW5&gt;=MZ$23,MV5&lt;&gt;""),AND(NX5&gt;=OB$19,NY5&gt;=OB$23,NX5&lt;&gt;""),AND(OZ5&gt;=PD$19,PA5&gt;=PD$23,OZ5&lt;&gt;""),AND(QB5&gt;=QF$19,QC5&gt;=QF$23,QB5&lt;&gt;"")),"Excellence",IF(I5="P","Worlds Team",IF(F5="P","National Team","")))))</f>
        <v>Worlds Team</v>
      </c>
      <c r="I5" s="3" t="str">
        <f>IF(OR(AND(AU5&gt;=AY$18,AV5&gt;=AY$22,AU5&lt;&gt;"",AQ5=""),AND(BX5&gt;=CB$18,BY5&gt;=CB$22,BX5&lt;&gt;"",BT5=""),AND(DA5&gt;=DE$18,DB5&gt;=DE$22,DA5&lt;&gt;"",CW5=""),AND(EF5&gt;=EJ$18,EG5&gt;=EJ$22,EF5&lt;&gt;""),AND(FH5&gt;=FL$18,FI5&gt;=FL$22,FH5&lt;&gt;""),AND(GJ5&gt;=GN$18,GK5&gt;=GN$22,GJ5&lt;&gt;""),AND(HL5&gt;=HP$18,HM5&gt;=HP$22,HL5&lt;&gt;""),AND(IN5&gt;=IR$18,IO5&gt;=IR$22,IN5&lt;&gt;""),AND(JP5&gt;=JT$18,JQ5&gt;=JT$22,JP5&lt;&gt;""),AND(KR5&gt;=KV$18,KS5&gt;=KV$22,KR5&lt;&gt;""),AND(LT5&gt;=LX$18,LU5&gt;=LX$22,LT5&lt;&gt;""),AND(MV5&gt;=MZ$18,MW5&gt;=MZ$22,MV5&lt;&gt;""),AND(NX5&gt;=OB$18,NY5&gt;=OB$22,NX5&lt;&gt;""),AND(OZ5&gt;=PD$18,PA5&gt;=PD$22,OZ5&lt;&gt;""),AND(QB5&gt;=QF$18,QC5&gt;=QF$22,QB5&lt;&gt;"")),"P","")</f>
        <v>P</v>
      </c>
      <c r="J5" s="13">
        <f>IF(COUNT(AS5,BV5,CY5)&gt;0,LARGE((AS5,BV5,CY5),1),0)</f>
        <v>48.5</v>
      </c>
      <c r="K5" s="13" t="str">
        <f>IF(J5=0,"",IF(J5=CY5,$CC$1,IF(J5=BV5,$AZ$1,IF(J5=AS5,$W$1,""))))</f>
        <v>2022 Elite Canada</v>
      </c>
      <c r="L5" s="13">
        <f>IF(COUNT(AS5,BV5,CY5)&gt;1,LARGE((AS5,BV5,CY5),2),0)</f>
        <v>5.0000000000000002E-5</v>
      </c>
      <c r="M5" s="13" t="str">
        <f>IF(L5=0,"",IF(L5=CY5,$CC$1,IF(L5=BV5,$AZ$1,IF(L5=AS5,$W$1,""))))</f>
        <v>2021 Canadian Championships</v>
      </c>
      <c r="N5" s="13">
        <f>IF(COUNT(AT5,BW5,CZ5)&gt;0,LARGE((AT5,BW5,CZ5),1),0)</f>
        <v>24.3</v>
      </c>
      <c r="O5" s="13" t="str">
        <f>IF(N5=0,"",IF(N5=CZ5,$CC$1,IF(N5=BW5,$AZ$1,IF(N5=AT5,$W$1,""))))</f>
        <v>2022 Elite Canada</v>
      </c>
      <c r="P5" s="13">
        <f>IF(COUNT(AT5,BW5,CZ5)&gt;1,LARGE((AT5,BW5,CZ5),2),0)</f>
        <v>0</v>
      </c>
      <c r="Q5" s="13" t="str">
        <f>IF(P5=0,"",IF(P5=CZ5,$CC$1,IF(P5=BW5,$AZ$1,IF(P5=AT5,$W$1,""))))</f>
        <v/>
      </c>
      <c r="R5" s="13">
        <f>IF(MAX(AX5,CA5,DD5)&gt;0,MAX(AX5,CA5,DD5),0)</f>
        <v>49.8</v>
      </c>
      <c r="S5" s="13" t="str">
        <f>IF(R5=0,"",IF(R5=DD5,$CC$1,IF(R5=CA5,$AZ$1,IF(R5=AX5,$W$1,""))))</f>
        <v>2022 Elite Canada</v>
      </c>
      <c r="T5" s="13" t="str">
        <f>IF(MAX(DF5:DH5)&gt;0,MAX(DF5:DH5),"")</f>
        <v/>
      </c>
      <c r="U5" s="16" t="str">
        <f>IF(T5="","",IF(T5=DF5,"("&amp;DF$2&amp;")",IF(T5=DH5,"("&amp;DH$2&amp;")")))</f>
        <v/>
      </c>
      <c r="V5" s="13" t="str">
        <f>IF(T5="","",IF(T5=DF5,IF(T5+IF(L5="",0,L5)=PZ5,$PE$1,IF(T5+IF(L5="",0,L5)=OX5,$OC$1,IF(T5+IF(L5="",0,L5)=NV5,$NA$1,IF(T5+IF(L5="",0,L5)=MT5,$LY$1,IF(T5+IF(L5="",0,L5)=LR5,$KW$1,IF(T5+IF(L5="",0,L5)=KP5,$JU$1,IF(T5+IF(L5="",0,L5)=JN5,$IS$1,IF(T5+IF(L5="",0,L5)=IL5,$HQ$1,IF(T5+IF(L5="",0,L5)=HJ5,$GO$1,IF(T5+IF(L5="",0,L5)=GH5,$FM$1,IF(T5+IF(L5="",0,L5)=FF5,$EK$1,IF(T5+IF(L5="",0,L5)=ED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</f>
        <v/>
      </c>
      <c r="W5" s="27"/>
      <c r="X5" s="27">
        <v>2.0000000000000002E-5</v>
      </c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51"/>
      <c r="AR5" s="76">
        <f>IF(SUM(X5,AB5)&gt;0,SUM(X5,AB5),"")</f>
        <v>2.0000000000000002E-5</v>
      </c>
      <c r="AS5" s="76">
        <f>IF(SUM(W5:X5,Z5:AB5,AD5)-Y5-AC5&gt;0,SUM(W5:X5,Z5:AB5,AD5)-Y5-AC5,"")</f>
        <v>2.0000000000000002E-5</v>
      </c>
      <c r="AT5" s="76" t="str">
        <f>IF(SUM(AE5:AF5,AH5)-AG5&gt;0,SUM(AE5:AF5,AH5)-AG5,"")</f>
        <v/>
      </c>
      <c r="AU5" s="76">
        <f>IF(SUM(X5,AB5,AF5)&gt;0,SUM(X5,AB5,AF5),"")</f>
        <v>2.0000000000000002E-5</v>
      </c>
      <c r="AV5" s="76">
        <f>IF(SUM(AS5,AT5)&gt;0,SUM(AS5,AT5),"")</f>
        <v>2.0000000000000002E-5</v>
      </c>
      <c r="AW5" s="76" t="str">
        <f>IF(SUM(AJ5,AN5)&gt;0,SUM(AJ5,AN5),"")</f>
        <v/>
      </c>
      <c r="AX5" s="76" t="str">
        <f>IF(SUM(AI5:AJ5,AL5:AN5,AP5)-SUM(AK5,AO5)&gt;0,SUM(AI5:AJ5,AL5:AN5,AP5)-SUM(AK5,AO5),"")</f>
        <v/>
      </c>
      <c r="AY5" s="76">
        <f>IF(SUM(AS5,AX5)&gt;0,SUM(AS5,AX5),"")</f>
        <v>2.0000000000000002E-5</v>
      </c>
      <c r="AZ5" s="26">
        <v>3.0000000000000001E-5</v>
      </c>
      <c r="BA5" s="26">
        <v>2.0000000000000002E-5</v>
      </c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52"/>
      <c r="BU5" s="16">
        <f>IF(SUM(BA5,BE5)&gt;0,SUM(BA5,BE5),"")</f>
        <v>2.0000000000000002E-5</v>
      </c>
      <c r="BV5" s="16">
        <f>IF(SUM(AZ5:BA5,BC5:BE5,BG5)-BB5-BF5&gt;0,SUM(AZ5:BA5,BC5:BE5,BG5)-BB5-BF5,"")</f>
        <v>5.0000000000000002E-5</v>
      </c>
      <c r="BW5" s="16" t="str">
        <f>IF(SUM(BH5:BI5,BK5)-BJ5&gt;0,SUM(BH5:BI5,BK5)-BJ5,"")</f>
        <v/>
      </c>
      <c r="BX5" s="16">
        <f>IF(SUM(BA5,BE5,BI5)&gt;0,SUM(BA5,BE5,BI5),"")</f>
        <v>2.0000000000000002E-5</v>
      </c>
      <c r="BY5" s="16">
        <f>IF(SUM(BV5,BW5)&gt;0,SUM(BV5,BW5),"")</f>
        <v>5.0000000000000002E-5</v>
      </c>
      <c r="BZ5" s="16" t="str">
        <f>IF(SUM(BM5,BQ5)&gt;0,SUM(BM5,BQ5),"")</f>
        <v/>
      </c>
      <c r="CA5" s="16" t="str">
        <f>IF(SUM(BL5:BM5,BO5:BQ5,BS5)-SUM(BN5,BR5)&gt;0,SUM(BL5:BM5,BO5:BQ5,BS5)-SUM(BN5,BR5),"")</f>
        <v/>
      </c>
      <c r="CB5" s="16">
        <f>IF(SUM(BV5,CA5)&gt;0,SUM(BV5,CA5),"")</f>
        <v>5.0000000000000002E-5</v>
      </c>
      <c r="CC5" s="27">
        <v>18.600000000000001</v>
      </c>
      <c r="CD5" s="27">
        <v>5.6</v>
      </c>
      <c r="CE5" s="27">
        <v>0.6</v>
      </c>
      <c r="CF5" s="27">
        <v>0</v>
      </c>
      <c r="CG5" s="27">
        <v>18.899999999999999</v>
      </c>
      <c r="CH5" s="27">
        <v>6</v>
      </c>
      <c r="CI5" s="27">
        <v>0</v>
      </c>
      <c r="CJ5" s="27">
        <v>0</v>
      </c>
      <c r="CK5" s="27">
        <v>18.600000000000001</v>
      </c>
      <c r="CL5" s="27">
        <v>6</v>
      </c>
      <c r="CM5" s="27">
        <v>0.6</v>
      </c>
      <c r="CN5" s="27">
        <v>0.3</v>
      </c>
      <c r="CO5" s="27">
        <v>19</v>
      </c>
      <c r="CP5" s="27">
        <v>6.4</v>
      </c>
      <c r="CQ5" s="27">
        <v>0</v>
      </c>
      <c r="CR5" s="27">
        <v>0</v>
      </c>
      <c r="CS5" s="27">
        <v>19.2</v>
      </c>
      <c r="CT5" s="27">
        <v>5.2</v>
      </c>
      <c r="CU5" s="27">
        <v>0</v>
      </c>
      <c r="CV5" s="27">
        <v>0</v>
      </c>
      <c r="CW5" s="51"/>
      <c r="CX5" s="76">
        <f>IF(SUM(CD5,CH5)&gt;0,SUM(CD5,CH5),"")</f>
        <v>11.6</v>
      </c>
      <c r="CY5" s="76">
        <f>IF(SUM(CC5:CD5,CF5:CH5,CJ5)-CE5-CI5&gt;0,SUM(CC5:CD5,CF5:CH5,CJ5)-CE5-CI5,"")</f>
        <v>48.5</v>
      </c>
      <c r="CZ5" s="76">
        <f>IF(SUM(CK5:CL5,CN5)-CM5&gt;0,SUM(CK5:CL5,CN5)-CM5,"")</f>
        <v>24.3</v>
      </c>
      <c r="DA5" s="76">
        <f>IF(SUM(CD5,CH5,CL5)&gt;0,SUM(CD5,CH5,CL5),"")</f>
        <v>17.600000000000001</v>
      </c>
      <c r="DB5" s="76">
        <f>IF(SUM(CY5,CZ5)&gt;0,SUM(CY5,CZ5),"")</f>
        <v>72.8</v>
      </c>
      <c r="DC5" s="76">
        <f>IF(SUM(CP5,CT5)&gt;0,SUM(CP5,CT5),"")</f>
        <v>11.600000000000001</v>
      </c>
      <c r="DD5" s="76">
        <f>IF(SUM(CO5:CP5,CR5:CT5,CV5)-SUM(CQ5,CU5)&gt;0,SUM(CO5:CP5,CR5:CT5,CV5)-SUM(CQ5,CU5),"")</f>
        <v>49.8</v>
      </c>
      <c r="DE5" s="76">
        <f>IF(SUM(CY5,DD5)&gt;0,SUM(CY5,DD5),"")</f>
        <v>98.3</v>
      </c>
      <c r="DF5" s="87" t="str">
        <f>IF(L5&gt;=0.001,IF(MAX(ED5,FF5,GH5,HJ5,IL5,JN5,KP5,LR5,MT5,NV5,OX5,PZ5)-IF(L5="",0,L5)&gt;0.001,MAX(ED5,FF5,GH5,HJ5,IL5,JN5,KP5,LR5,MT5,NV5,OX5,PZ5)-IF(L5="",0,L5),""),"")</f>
        <v/>
      </c>
      <c r="DG5" s="87" t="str">
        <f>IF(P5&gt;=0.001,IF(MAX(EE5,FG5,GI5,HK5,IM5,JO5,KQ5,LS5,MU5,NW5,OY5,QA5)-IF(P5="",0,P5)&gt;0.001,MAX(EE5,FG5,GI5,HK5,IM5,JO5,KQ5,LS5,MU5,NW5,OY5,QA5)-IF(P5="",0,P5),""),"")</f>
        <v/>
      </c>
      <c r="DH5" s="87" t="str">
        <f>IF(R5&gt;=0.001,IF(MAX(EI5,FK5,GM5,HO5,IQ5,JS5,KU5,LW5,MY5,OA5,PC5,QE5)-IF(R5="",0,R5)&gt;0.001,MAX(EI5,FK5,GM5,HO5,IQ5,JS5,KU5,LW5,MY5,OA5,PC5,QE5)-IF(R5="",0,R5),""),"")</f>
        <v/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76" t="str">
        <f>IF(SUM(DJ5,DN5)&gt;0,SUM(DJ5,DN5),"")</f>
        <v/>
      </c>
      <c r="ED5" s="76" t="str">
        <f>IF(SUM(DI5:DJ5,DL5:DN5,DP5)-DK5-DO5&gt;0,SUM(DI5:DJ5,DL5:DN5,DP5)-DK5-DO5,"")</f>
        <v/>
      </c>
      <c r="EE5" s="76" t="str">
        <f>IF(SUM(DQ5:DR5,DT5)-DS5&gt;0,SUM(DQ5:DR5,DT5)-DS5,"")</f>
        <v/>
      </c>
      <c r="EF5" s="76" t="str">
        <f>IF(SUM(DJ5,DN5,DR5)&gt;0,SUM(DJ5,DN5,DR5),"")</f>
        <v/>
      </c>
      <c r="EG5" s="76" t="str">
        <f>IF(SUM(ED5,EE5)&gt;0,SUM(ED5,EE5),"")</f>
        <v/>
      </c>
      <c r="EH5" s="76" t="str">
        <f>IF(SUM(DV5,DZ5)&gt;0,SUM(DV5,DZ5),"")</f>
        <v/>
      </c>
      <c r="EI5" s="76" t="str">
        <f>IF(SUM(DU5:DV5,DX5:DZ5,EB5)-SUM(DW5,EA5)&gt;0,SUM(DU5:DV5,DX5:DZ5,EB5)-SUM(DW5,EA5),"")</f>
        <v/>
      </c>
      <c r="EJ5" s="76" t="str">
        <f>IF(SUM(ED5,EI5)&gt;0,SUM(ED5,EI5),"")</f>
        <v/>
      </c>
      <c r="EK5" s="26">
        <v>18.8</v>
      </c>
      <c r="EL5" s="26">
        <v>5.2</v>
      </c>
      <c r="EM5" s="26">
        <v>0</v>
      </c>
      <c r="EN5" s="26">
        <v>0</v>
      </c>
      <c r="EO5" s="26">
        <v>18.5</v>
      </c>
      <c r="EP5" s="26">
        <v>6.4</v>
      </c>
      <c r="EQ5" s="26">
        <v>0</v>
      </c>
      <c r="ER5" s="26">
        <v>0</v>
      </c>
      <c r="ES5" s="26"/>
      <c r="ET5" s="26"/>
      <c r="EU5" s="26"/>
      <c r="EV5" s="26"/>
      <c r="EW5" s="26">
        <v>19</v>
      </c>
      <c r="EX5" s="26">
        <v>5.2</v>
      </c>
      <c r="EY5" s="26">
        <v>0</v>
      </c>
      <c r="EZ5" s="26">
        <v>0</v>
      </c>
      <c r="FA5" s="26">
        <v>18.399999999999999</v>
      </c>
      <c r="FB5" s="26">
        <v>6.4</v>
      </c>
      <c r="FC5" s="26">
        <v>0.2</v>
      </c>
      <c r="FD5" s="26">
        <v>0</v>
      </c>
      <c r="FE5" s="16">
        <f>IF(SUM(EL5,EP5)&gt;0,SUM(EL5,EP5),"")</f>
        <v>11.600000000000001</v>
      </c>
      <c r="FF5" s="16">
        <f>IF(SUM(EK5:EL5,EN5:EP5,ER5)-EM5-EQ5&gt;0,SUM(EK5:EL5,EN5:EP5,ER5)-EM5-EQ5,"")</f>
        <v>48.9</v>
      </c>
      <c r="FG5" s="16" t="str">
        <f>IF(SUM(ES5:ET5,EV5)-EU5&gt;0,SUM(ES5:ET5,EV5)-EU5,"")</f>
        <v/>
      </c>
      <c r="FH5" s="16">
        <f>IF(SUM(EL5,EP5,ET5)&gt;0,SUM(EL5,EP5,ET5),"")</f>
        <v>11.600000000000001</v>
      </c>
      <c r="FI5" s="16">
        <f>IF(SUM(FF5,FG5)&gt;0,SUM(FF5,FG5),"")</f>
        <v>48.9</v>
      </c>
      <c r="FJ5" s="16">
        <f>IF(SUM(EX5,FB5)&gt;0,SUM(EX5,FB5),"")</f>
        <v>11.600000000000001</v>
      </c>
      <c r="FK5" s="16">
        <f>IF(SUM(EW5:EX5,EZ5:FB5,FD5)-SUM(EY5,FC5)&gt;0,SUM(EW5:EX5,EZ5:FB5,FD5)-SUM(EY5,FC5),"")</f>
        <v>48.79999999999999</v>
      </c>
      <c r="FL5" s="16">
        <f>IF(SUM(FF5,FK5)&gt;0,SUM(FF5,FK5),"")</f>
        <v>97.699999999999989</v>
      </c>
      <c r="FM5" s="25">
        <v>18.600000000000001</v>
      </c>
      <c r="FN5" s="25">
        <v>7.2</v>
      </c>
      <c r="FO5" s="25">
        <v>0</v>
      </c>
      <c r="FP5" s="25">
        <v>0.3</v>
      </c>
      <c r="FQ5" s="25">
        <v>18.399999999999999</v>
      </c>
      <c r="FR5" s="25">
        <v>6.8</v>
      </c>
      <c r="FS5" s="25">
        <v>0.2</v>
      </c>
      <c r="FT5" s="25">
        <v>0.3</v>
      </c>
      <c r="FU5" s="25"/>
      <c r="FV5" s="25"/>
      <c r="FW5" s="25"/>
      <c r="FX5" s="25"/>
      <c r="FY5" s="25">
        <v>17.399999999999999</v>
      </c>
      <c r="FZ5" s="25">
        <v>2.8</v>
      </c>
      <c r="GA5" s="25">
        <v>0</v>
      </c>
      <c r="GB5" s="25">
        <v>0</v>
      </c>
      <c r="GC5" s="25">
        <v>17.2</v>
      </c>
      <c r="GD5" s="25">
        <v>3.2</v>
      </c>
      <c r="GE5" s="25">
        <v>0</v>
      </c>
      <c r="GF5" s="25">
        <v>0.3</v>
      </c>
      <c r="GG5" s="76">
        <f>IF(SUM(FN5,FR5)&gt;0,SUM(FN5,FR5),"")</f>
        <v>14</v>
      </c>
      <c r="GH5" s="76">
        <f>IF(SUM(FM5:FN5,FP5:FR5,FT5)-FO5-FS5&gt;0,SUM(FM5:FN5,FP5:FR5,FT5)-FO5-FS5,"")</f>
        <v>51.399999999999991</v>
      </c>
      <c r="GI5" s="76" t="str">
        <f>IF(SUM(FU5:FV5,FX5)-FW5&gt;0,SUM(FU5:FV5,FX5)-FW5,"")</f>
        <v/>
      </c>
      <c r="GJ5" s="76">
        <f>IF(SUM(FN5,FR5,FV5)&gt;0,SUM(FN5,FR5,FV5),"")</f>
        <v>14</v>
      </c>
      <c r="GK5" s="76">
        <f>IF(SUM(GH5,GI5)&gt;0,SUM(GH5,GI5),"")</f>
        <v>51.399999999999991</v>
      </c>
      <c r="GL5" s="76">
        <f>IF(SUM(FZ5,GD5)&gt;0,SUM(FZ5,GD5),"")</f>
        <v>6</v>
      </c>
      <c r="GM5" s="76">
        <f>IF(SUM(FY5:FZ5,GB5:GD5,GF5)-SUM(GA5,GE5)&gt;0,SUM(FY5:FZ5,GB5:GD5,GF5)-SUM(GA5,GE5),"")</f>
        <v>40.9</v>
      </c>
      <c r="GN5" s="76">
        <f>IF(SUM(GH5,GM5)&gt;0,SUM(GH5,GM5),"")</f>
        <v>92.299999999999983</v>
      </c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16" t="str">
        <f>IF(SUM(GP5,GT5)&gt;0,SUM(GP5,GT5),"")</f>
        <v/>
      </c>
      <c r="HJ5" s="16" t="str">
        <f>IF(SUM(GO5:GP5,GR5:GT5,GV5)-GQ5-GU5&gt;0,SUM(GO5:GP5,GR5:GT5,GV5)-GQ5-GU5,"")</f>
        <v/>
      </c>
      <c r="HK5" s="16" t="str">
        <f>IF(SUM(GW5:GX5,GZ5)-GY5&gt;0,SUM(GW5:GX5,GZ5)-GY5,"")</f>
        <v/>
      </c>
      <c r="HL5" s="16" t="str">
        <f>IF(SUM(GP5,GT5,GX5)&gt;0,SUM(GP5,GT5,GX5),"")</f>
        <v/>
      </c>
      <c r="HM5" s="16" t="str">
        <f>IF(SUM(HJ5,HK5)&gt;0,SUM(HJ5,HK5),"")</f>
        <v/>
      </c>
      <c r="HN5" s="16" t="str">
        <f>IF(SUM(HB5,HF5)&gt;0,SUM(HB5,HF5),"")</f>
        <v/>
      </c>
      <c r="HO5" s="16" t="str">
        <f>IF(SUM(HA5:HB5,HD5:HF5,HH5)-SUM(HC5,HG5)&gt;0,SUM(HA5:HB5,HD5:HF5,HH5)-SUM(HC5,HG5),"")</f>
        <v/>
      </c>
      <c r="HP5" s="16" t="str">
        <f>IF(SUM(HJ5,HO5)&gt;0,SUM(HJ5,HO5),"")</f>
        <v/>
      </c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76" t="str">
        <f>IF(SUM(HR5,HV5)&gt;0,SUM(HR5,HV5),"")</f>
        <v/>
      </c>
      <c r="IL5" s="76" t="str">
        <f>IF(SUM(HQ5:HR5,HT5:HV5,HX5)-HS5-HW5&gt;0,SUM(HQ5:HR5,HT5:HV5,HX5)-HS5-HW5,"")</f>
        <v/>
      </c>
      <c r="IM5" s="76" t="str">
        <f>IF(SUM(HY5:HZ5,IB5)-IA5&gt;0,SUM(HY5:HZ5,IB5)-IA5,"")</f>
        <v/>
      </c>
      <c r="IN5" s="76" t="str">
        <f>IF(SUM(HR5,HV5,HZ5)&gt;0,SUM(HR5,HV5,HZ5),"")</f>
        <v/>
      </c>
      <c r="IO5" s="76" t="str">
        <f>IF(SUM(IL5,IM5)&gt;0,SUM(IL5,IM5),"")</f>
        <v/>
      </c>
      <c r="IP5" s="76" t="str">
        <f>IF(SUM(ID5,IH5)&gt;0,SUM(ID5,IH5),"")</f>
        <v/>
      </c>
      <c r="IQ5" s="76" t="str">
        <f>IF(SUM(IC5:ID5,IF5:IH5,IJ5)-SUM(IE5,II5)&gt;0,SUM(IC5:ID5,IF5:IH5,IJ5)-SUM(IE5,II5),"")</f>
        <v/>
      </c>
      <c r="IR5" s="76" t="str">
        <f>IF(SUM(IL5,IQ5)&gt;0,SUM(IL5,IQ5),"")</f>
        <v/>
      </c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16" t="str">
        <f>IF(SUM(IT5,IX5)&gt;0,SUM(IT5,IX5),"")</f>
        <v/>
      </c>
      <c r="JN5" s="16" t="str">
        <f>IF(SUM(IS5:IT5,IV5:IX5,IZ5)-IU5-IY5&gt;0,SUM(IS5:IT5,IV5:IX5,IZ5)-IU5-IY5,"")</f>
        <v/>
      </c>
      <c r="JO5" s="16" t="str">
        <f>IF(SUM(JA5:JB5,JD5)-JC5&gt;0,SUM(JA5:JB5,JD5)-JC5,"")</f>
        <v/>
      </c>
      <c r="JP5" s="16" t="str">
        <f>IF(SUM(IT5,IX5,JB5)&gt;0,SUM(IT5,IX5,JB5),"")</f>
        <v/>
      </c>
      <c r="JQ5" s="16" t="str">
        <f>IF(SUM(JN5,JO5)&gt;0,SUM(JN5,JO5),"")</f>
        <v/>
      </c>
      <c r="JR5" s="16" t="str">
        <f>IF(SUM(JF5,JJ5)&gt;0,SUM(JF5,JJ5),"")</f>
        <v/>
      </c>
      <c r="JS5" s="16" t="str">
        <f>IF(SUM(JE5:JF5,JH5:JJ5,JL5)-SUM(JG5,JK5)&gt;0,SUM(JE5:JF5,JH5:JJ5,JL5)-SUM(JG5,JK5),"")</f>
        <v/>
      </c>
      <c r="JT5" s="16" t="str">
        <f>IF(SUM(JN5,JS5)&gt;0,SUM(JN5,JS5),"")</f>
        <v/>
      </c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76" t="str">
        <f>IF(SUM(JV5,JZ5)&gt;0,SUM(JV5,JZ5),"")</f>
        <v/>
      </c>
      <c r="KP5" s="76" t="str">
        <f>IF(SUM(JU5:JV5,JX5:JZ5,KB5)-JW5-KA5&gt;0,SUM(JU5:JV5,JX5:JZ5,KB5)-JW5-KA5,"")</f>
        <v/>
      </c>
      <c r="KQ5" s="76" t="str">
        <f>IF(SUM(KC5:KD5,KF5)-KE5&gt;0,SUM(KC5:KD5,KF5)-KE5,"")</f>
        <v/>
      </c>
      <c r="KR5" s="76" t="str">
        <f>IF(SUM(JV5,JZ5,KD5)&gt;0,SUM(JV5,JZ5,KD5),"")</f>
        <v/>
      </c>
      <c r="KS5" s="76" t="str">
        <f>IF(SUM(KP5,KQ5)&gt;0,SUM(KP5,KQ5),"")</f>
        <v/>
      </c>
      <c r="KT5" s="76" t="str">
        <f>IF(SUM(KH5,KL5)&gt;0,SUM(KH5,KL5),"")</f>
        <v/>
      </c>
      <c r="KU5" s="76" t="str">
        <f>IF(SUM(KG5:KH5,KJ5:KL5,KN5)-SUM(KI5,KM5)&gt;0,SUM(KG5:KH5,KJ5:KL5,KN5)-SUM(KI5,KM5),"")</f>
        <v/>
      </c>
      <c r="KV5" s="76" t="str">
        <f>IF(SUM(KP5,KU5)&gt;0,SUM(KP5,KU5),"")</f>
        <v/>
      </c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16" t="str">
        <f>IF(SUM(KX5,LB5)&gt;0,SUM(KX5,LB5),"")</f>
        <v/>
      </c>
      <c r="LR5" s="16" t="str">
        <f>IF(SUM(KW5:KX5,KZ5:LB5,LD5)-KY5-LC5&gt;0,SUM(KW5:KX5,KZ5:LB5,LD5)-KY5-LC5,"")</f>
        <v/>
      </c>
      <c r="LS5" s="16" t="str">
        <f>IF(SUM(LE5:LF5,LH5)-LG5&gt;0,SUM(LE5:LF5,LH5)-LG5,"")</f>
        <v/>
      </c>
      <c r="LT5" s="16" t="str">
        <f>IF(SUM(KX5,LB5,LF5)&gt;0,SUM(KX5,LB5,LF5),"")</f>
        <v/>
      </c>
      <c r="LU5" s="16" t="str">
        <f>IF(SUM(LR5,LS5)&gt;0,SUM(LR5,LS5),"")</f>
        <v/>
      </c>
      <c r="LV5" s="16" t="str">
        <f>IF(SUM(LJ5,LN5)&gt;0,SUM(LJ5,LN5),"")</f>
        <v/>
      </c>
      <c r="LW5" s="16" t="str">
        <f>IF(SUM(LI5:LJ5,LL5:LN5,LP5)-SUM(LK5,LO5)&gt;0,SUM(LI5:LJ5,LL5:LN5,LP5)-SUM(LK5,LO5),"")</f>
        <v/>
      </c>
      <c r="LX5" s="16" t="str">
        <f>IF(SUM(LR5,LW5)&gt;0,SUM(LR5,LW5),"")</f>
        <v/>
      </c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76" t="str">
        <f>IF(SUM(LZ5,MD5)&gt;0,SUM(LZ5,MD5),"")</f>
        <v/>
      </c>
      <c r="MT5" s="76" t="str">
        <f>IF(SUM(LY5:LZ5,MB5:MD5,MF5)-MA5-ME5&gt;0,SUM(LY5:LZ5,MB5:MD5,MF5)-MA5-ME5,"")</f>
        <v/>
      </c>
      <c r="MU5" s="76" t="str">
        <f>IF(SUM(MG5:MH5,MJ5)-MI5&gt;0,SUM(MG5:MH5,MJ5)-MI5,"")</f>
        <v/>
      </c>
      <c r="MV5" s="76" t="str">
        <f>IF(SUM(LZ5,MD5,MH5)&gt;0,SUM(LZ5,MD5,MH5),"")</f>
        <v/>
      </c>
      <c r="MW5" s="76" t="str">
        <f>IF(SUM(MT5,MU5)&gt;0,SUM(MT5,MU5),"")</f>
        <v/>
      </c>
      <c r="MX5" s="76" t="str">
        <f>IF(SUM(ML5,MP5)&gt;0,SUM(ML5,MP5),"")</f>
        <v/>
      </c>
      <c r="MY5" s="76" t="str">
        <f>IF(SUM(MK5:ML5,MN5:MP5,MR5)-SUM(MM5,MQ5)&gt;0,SUM(MK5:ML5,MN5:MP5,MR5)-SUM(MM5,MQ5),"")</f>
        <v/>
      </c>
      <c r="MZ5" s="76" t="str">
        <f>IF(SUM(MT5,MY5)&gt;0,SUM(MT5,MY5),"")</f>
        <v/>
      </c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16" t="str">
        <f>IF(SUM(NB5,NF5)&gt;0,SUM(NB5,NF5),"")</f>
        <v/>
      </c>
      <c r="NV5" s="16" t="str">
        <f>IF(SUM(NA5:NB5,ND5:NF5,NH5)-NC5-NG5&gt;0,SUM(NA5:NB5,ND5:NF5,NH5)-NC5-NG5,"")</f>
        <v/>
      </c>
      <c r="NW5" s="16" t="str">
        <f>IF(SUM(NI5:NJ5,NL5)-NK5&gt;0,SUM(NI5:NJ5,NL5)-NK5,"")</f>
        <v/>
      </c>
      <c r="NX5" s="16" t="str">
        <f>IF(SUM(NB5,NF5,NJ5)&gt;0,SUM(NB5,NF5,NJ5),"")</f>
        <v/>
      </c>
      <c r="NY5" s="16" t="str">
        <f>IF(SUM(NV5,NW5)&gt;0,SUM(NV5,NW5),"")</f>
        <v/>
      </c>
      <c r="NZ5" s="16" t="str">
        <f>IF(SUM(NN5,NR5)&gt;0,SUM(NN5,NR5),"")</f>
        <v/>
      </c>
      <c r="OA5" s="16" t="str">
        <f>IF(SUM(NM5:NN5,NP5:NR5,NT5)-SUM(NO5,NS5)&gt;0,SUM(NM5:NN5,NP5:NR5,NT5)-SUM(NO5,NS5),"")</f>
        <v/>
      </c>
      <c r="OB5" s="16" t="str">
        <f>IF(SUM(NV5,OA5)&gt;0,SUM(NV5,OA5),"")</f>
        <v/>
      </c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76" t="str">
        <f>IF(SUM(OD5,OH5)&gt;0,SUM(OD5,OH5),"")</f>
        <v/>
      </c>
      <c r="OX5" s="76" t="str">
        <f>IF(SUM(OC5:OD5,OF5:OH5,OJ5)-OE5-OI5&gt;0,SUM(OC5:OD5,OF5:OH5,OJ5)-OE5-OI5,"")</f>
        <v/>
      </c>
      <c r="OY5" s="76" t="str">
        <f>IF(SUM(OK5:OL5,ON5)-OM5&gt;0,SUM(OK5:OL5,ON5)-OM5,"")</f>
        <v/>
      </c>
      <c r="OZ5" s="76" t="str">
        <f>IF(SUM(OD5,OH5,OL5)&gt;0,SUM(OD5,OH5,OL5),"")</f>
        <v/>
      </c>
      <c r="PA5" s="76" t="str">
        <f>IF(SUM(OX5,OY5)&gt;0,SUM(OX5,OY5),"")</f>
        <v/>
      </c>
      <c r="PB5" s="76" t="str">
        <f>IF(SUM(OP5,OT5)&gt;0,SUM(OP5,OT5),"")</f>
        <v/>
      </c>
      <c r="PC5" s="76" t="str">
        <f>IF(SUM(OO5:OP5,OR5:OT5,OV5)-SUM(OQ5,OU5)&gt;0,SUM(OO5:OP5,OR5:OT5,OV5)-SUM(OQ5,OU5),"")</f>
        <v/>
      </c>
      <c r="PD5" s="76" t="str">
        <f>IF(SUM(OX5,PC5)&gt;0,SUM(OX5,PC5),"")</f>
        <v/>
      </c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16" t="str">
        <f>IF(SUM(PF5,PJ5)&gt;0,SUM(PF5,PJ5),"")</f>
        <v/>
      </c>
      <c r="PZ5" s="16" t="str">
        <f>IF(SUM(PE5:PF5,PH5:PJ5,PL5)-PG5-PK5&gt;0,SUM(PE5:PF5,PH5:PJ5,PL5)-PG5-PK5,"")</f>
        <v/>
      </c>
      <c r="QA5" s="16" t="str">
        <f>IF(SUM(PM5:PN5,PP5)-PO5&gt;0,SUM(PM5:PN5,PP5)-PO5,"")</f>
        <v/>
      </c>
      <c r="QB5" s="16" t="str">
        <f>IF(SUM(PF5,PJ5,PN5)&gt;0,SUM(PF5,PJ5,PN5),"")</f>
        <v/>
      </c>
      <c r="QC5" s="16" t="str">
        <f>IF(SUM(PZ5,QA5)&gt;0,SUM(PZ5,QA5),"")</f>
        <v/>
      </c>
      <c r="QD5" s="16" t="str">
        <f>IF(SUM(PR5,PV5)&gt;0,SUM(PR5,PV5),"")</f>
        <v/>
      </c>
      <c r="QE5" s="16" t="str">
        <f>IF(SUM(PQ5:PR5,PT5:PV5,PX5)-SUM(PS5,PW5)&gt;0,SUM(PQ5:PR5,PT5:PV5,PX5)-SUM(PS5,PW5),"")</f>
        <v/>
      </c>
      <c r="QF5" s="16" t="str">
        <f>IF(SUM(PZ5,QE5)&gt;0,SUM(PZ5,QE5),"")</f>
        <v/>
      </c>
      <c r="QG5" s="42">
        <f>IF($CW5="P",CC5,(CC5+AZ5)/2)</f>
        <v>9.3000150000000001</v>
      </c>
      <c r="QH5" s="42">
        <f>IF($CW5="P",CD5,(CD5+BA5)/2)</f>
        <v>2.8000099999999999</v>
      </c>
      <c r="QI5" s="42">
        <f>IF($CW5="P",CE5,(CE5+BB5)/2)</f>
        <v>0.3</v>
      </c>
      <c r="QJ5" s="42">
        <f>IF($CW5="P",CF5,(CF5+BC5)/2)</f>
        <v>0</v>
      </c>
      <c r="QK5" s="42">
        <f>IF($CW5="P",CG5,(CG5+BD5)/2)</f>
        <v>9.4499999999999993</v>
      </c>
      <c r="QL5" s="42">
        <f>IF($CW5="P",CH5,(CH5+BE5)/2)</f>
        <v>3</v>
      </c>
      <c r="QM5" s="42">
        <f>IF($CW5="P",CI5,(CI5+BF5)/2)</f>
        <v>0</v>
      </c>
      <c r="QN5" s="42">
        <f>IF($CW5="P",CJ5,(CJ5+BG5)/2)</f>
        <v>0</v>
      </c>
      <c r="QO5" s="42">
        <f>IF($CW5="P",CK5,(CK5+BH5)/2)</f>
        <v>9.3000000000000007</v>
      </c>
      <c r="QP5" s="42">
        <f>IF($CW5="P",CL5,(CL5+BI5)/2)</f>
        <v>3</v>
      </c>
      <c r="QQ5" s="42">
        <f>IF($CW5="P",CM5,(CM5+BJ5)/2)</f>
        <v>0.3</v>
      </c>
      <c r="QR5" s="42">
        <f>IF($CW5="P",CN5,(CN5+BK5)/2)</f>
        <v>0.15</v>
      </c>
      <c r="QS5" s="42">
        <f>IF($CW5="P",CO5,(CO5+BL5)/2)</f>
        <v>9.5</v>
      </c>
      <c r="QT5" s="42">
        <f>IF($CW5="P",CP5,(CP5+BM5)/2)</f>
        <v>3.2</v>
      </c>
      <c r="QU5" s="42">
        <f>IF($CW5="P",CQ5,(CQ5+BN5)/2)</f>
        <v>0</v>
      </c>
      <c r="QV5" s="42">
        <f>IF($CW5="P",CR5,(CR5+BO5)/2)</f>
        <v>0</v>
      </c>
      <c r="QW5" s="42">
        <f>IF($CW5="P",CS5,(CS5+BP5)/2)</f>
        <v>9.6</v>
      </c>
      <c r="QX5" s="42">
        <f>IF($CW5="P",CT5,(CT5+BQ5)/2)</f>
        <v>2.6</v>
      </c>
      <c r="QY5" s="42">
        <f>IF($CW5="P",CU5,(CU5+BR5)/2)</f>
        <v>0</v>
      </c>
      <c r="QZ5" s="42">
        <f>IF($CW5="P",CV5,(CV5+BS5)/2)</f>
        <v>0</v>
      </c>
      <c r="RA5" s="51" t="s">
        <v>61</v>
      </c>
      <c r="RB5" s="76">
        <f>IF(SUM(QH5,QL5)&gt;0,SUM(QH5,QL5),"")</f>
        <v>5.8000100000000003</v>
      </c>
      <c r="RC5" s="76">
        <f>IF(SUM(QG5:QH5,QJ5:QL5,QN5)-QI5-QM5&gt;0,SUM(QG5:QH5,QJ5:QL5,QN5)-QI5-QM5,"")</f>
        <v>24.250024999999997</v>
      </c>
      <c r="RD5" s="76">
        <f>IF(SUM(QO5:QP5,QR5)-QQ5&gt;0,SUM(QO5:QP5,QR5)-QQ5,"")</f>
        <v>12.15</v>
      </c>
      <c r="RE5" s="76">
        <f>IF(SUM(QH5,QL5,QP5)&gt;0,SUM(QH5,QL5,QP5),"")</f>
        <v>8.8000100000000003</v>
      </c>
      <c r="RF5" s="76">
        <f>IF(SUM(RC5,RD5)&gt;0,SUM(RC5,RD5),"")</f>
        <v>36.400024999999999</v>
      </c>
      <c r="RG5" s="76">
        <f>IF(SUM(QT5,QX5)&gt;0,SUM(QT5,QX5),"")</f>
        <v>5.8000000000000007</v>
      </c>
      <c r="RH5" s="76">
        <f>IF(SUM(QS5:QT5,QV5:QX5,QZ5)-SUM(QU5,QY5)&gt;0,SUM(QS5:QT5,QV5:QX5,QZ5)-SUM(QU5,QY5),"")</f>
        <v>24.9</v>
      </c>
      <c r="RI5" s="76">
        <f>IF(SUM(RC5,RH5)&gt;0,SUM(RC5,RH5),"")</f>
        <v>49.150024999999999</v>
      </c>
    </row>
    <row r="6" spans="1:477" x14ac:dyDescent="0.2">
      <c r="A6" s="5" cm="1">
        <f t="array" ref="A6">IF(AND(F6="P",G6="P"),SUMPRODUCT((F$4:F$15="P")*(G$4:G$15="P")*(E$4:E$15&gt;E6))+1,IF(G6="P",SUMPRODUCT((F$4:F$15="")*(G$4:G$15="P")*(E$4:E$15&gt;E6))+1+SUMPRODUCT((F$4:F$15="P")*(G$4:G$15="P")),""))</f>
        <v>3</v>
      </c>
      <c r="B6" s="6" t="s">
        <v>93</v>
      </c>
      <c r="C6" s="7" t="s">
        <v>6</v>
      </c>
      <c r="D6" s="18">
        <v>1996</v>
      </c>
      <c r="E6" s="14">
        <f>SUM(J6:T6)+SUM(J6:P6)*0.0000001+SUM(J6)*0.0000000000001</f>
        <v>121.7000672600109</v>
      </c>
      <c r="F6" s="3" t="str">
        <f>IF(OR(AND(AR6&gt;=AY$17,AS6&gt;=AY$21,AR6&lt;&gt;"",AQ6=""),AND(AW6&gt;=AY$17,AX6&gt;=AY$21,AW6&lt;&gt;"",AQ6=""),AND(BU6&gt;=CB$17,BV6&gt;=CB$21,BU6&lt;&gt;"",BT6=""),AND(BZ6&gt;=CB$17,CA6&gt;=CB$21,BZ6&lt;&gt;"",BT6=""),AND(CX6&gt;=DE$17,CY6&gt;=DE$21,CX6&lt;&gt;"",CW6=""),AND(DC6&gt;=DE$17,DD6&gt;=DE$21,DC6&lt;&gt;""),AND(EC6&gt;=EJ$17,ED6&gt;=EJ$21,EC6&lt;&gt;""),AND(EH6&gt;=EJ$17,EI6&gt;=EJ$21,EH6&lt;&gt;""),AND(FE6&gt;=FL$17,FF6&gt;=FL$21,FE6&lt;&gt;""),AND(FJ6&gt;=FL$17,FK6&gt;=FL$21,FJ6&lt;&gt;""),AND(GG6&gt;=GN$17,GH6&gt;=GN$21,GG6&lt;&gt;""),AND(GL6&gt;=GN$17,GM6&gt;=GN$21,GL6&lt;&gt;""),AND(HI6&gt;=HP$17,HJ6&gt;=HP$21,HI6&lt;&gt;""),AND(HN6&gt;=HP$17,HO6&gt;=HP$21,HN6&lt;&gt;""),AND(IK6&gt;=IR$17,IL6&gt;=IR$21,IK6&lt;&gt;""),AND(IP6&gt;=IR$17,IQ6&gt;=IR$21,IP6&lt;&gt;""),AND(JM6&gt;=JT$17,JN6&gt;=JT$21,JM6&lt;&gt;""),AND(JR6&gt;=JT$17,JS6&gt;=JT$21,JR6&lt;&gt;""),AND(KO6&gt;=KV$17,KP6&gt;=KV$21,KO6&lt;&gt;""),AND(KT6&gt;=KV$17,KU6&gt;=KV$21,KT6&lt;&gt;""),AND(LQ6&gt;=LX$17,LR6&gt;=LX$21,LQ6&lt;&gt;""),AND(LV6&gt;=LX$17,LW6&gt;=LX$21,LV6&lt;&gt;""),AND(MS6&gt;=MZ$17,MT6&gt;=MZ$21,MS6&lt;&gt;""),AND(MX6&gt;=MZ$17,MY6&gt;=MZ$21,MX6&lt;&gt;""),AND(NU6&gt;=OB$17,NV6&gt;=OB$21,NU6&lt;&gt;""),AND(NZ6&gt;=OB$17,OA6&gt;=OB$21,NZ6&lt;&gt;""),AND(OW6&gt;=PD$17,OX6&gt;=PD$21,OW6&lt;&gt;""),AND(PB6&gt;=PD$17,PC6&gt;=PD$21,PB6&lt;&gt;""),AND(PY6&gt;=QF$17,PZ6&gt;=QF$21,PY6&lt;&gt;""),AND(QD6&gt;=QF$17,QE6&gt;=QF$21,QD6&lt;&gt;"")),"P","")</f>
        <v>P</v>
      </c>
      <c r="G6" s="3" t="str">
        <f>IF(OR(AND(AS6&gt;=AY$21,AS6&lt;&gt;"",AQ6=""),AND(AX6&gt;=AY$21,AX6&lt;&gt;"",AQ6=""),AND(BV6&gt;=CB$21,BV6&lt;&gt;"",BT6=""),AND(CA6&gt;=CB$21,CA6&lt;&gt;"",BT6=""),AND(CY6&gt;=DE$21,CY6&lt;&gt;"",CW6=""),AND(DD6&gt;=DE$21,DD6&lt;&gt;"",CW6=""),AND(ED6&gt;=EJ$21,ED6&lt;&gt;""),AND(EI6&gt;=EJ$21,EI6&lt;&gt;""),AND(FF6&gt;=FL$21,FF6&lt;&gt;""),AND(FK6&gt;=FL$21,FK6&lt;&gt;""),AND(GH6&gt;=GN$21,GH6&lt;&gt;""),AND(GM6&gt;=GN$21,GM6&lt;&gt;""),AND(HJ6&gt;=HP$21,HJ6&lt;&gt;""),AND(HO6&gt;=HP$21,HO6&lt;&gt;""),AND(IL6&gt;=IR$21,IL6&lt;&gt;""),AND(IQ6&gt;=IR$21,IQ6&lt;&gt;""),AND(JN6&gt;=JT$21,JN6&lt;&gt;""),AND(JS6&gt;=JT$21,JS6&lt;&gt;""),AND(KP6&gt;=KV$21,KP6&lt;&gt;""),AND(KU6&gt;=KV$21,KU6&lt;&gt;""),AND(LR6&gt;=LX$21,LR6&lt;&gt;""),AND(LW6&gt;=LX$21,LW6&lt;&gt;""),AND(MT6&gt;=MZ$21,MT6&lt;&gt;""),AND(MY6&gt;=MZ$21,MY6&lt;&gt;""),AND(NV6&gt;=OB$21,NV6&lt;&gt;""),AND(OA6&gt;=OB$21,OA6&lt;&gt;""),AND(OX6&gt;=PD$21,OX6&lt;&gt;""),AND(PC6&gt;=PD$21,PC6&lt;&gt;""),AND(PZ6&gt;=QF$21,PZ6&lt;&gt;""),AND(QE6&gt;=QF$21,QE6&lt;&gt;"")),"P","")</f>
        <v>P</v>
      </c>
      <c r="H6" s="70" t="str">
        <f>IF(AND(G6="P",F6=""),"No DD",IF(OR(AND(AU6&gt;=AY$20,AV6&gt;=AY$24,AU6&lt;&gt;"",AQ6=""),AND(BX6&gt;=CB$20,BY6&gt;=CB$24,BX6&lt;&gt;"",BT6=""),AND(DA6&gt;=DE$20,DB6&gt;=DE$24,DA6&lt;&gt;"",CW6=""),AND(EF6&gt;=EJ$20,EG6&gt;=EJ$24,EF6&lt;&gt;""),AND(FH6&gt;=FL$20,FI6&gt;=FL$24,FH6&lt;&gt;""),AND(GJ6&gt;=GN$20,GK6&gt;=GN$24,GJ6&lt;&gt;""),AND(HL6&gt;=HP$20,HM6&gt;=HP$24,HL6&lt;&gt;""),AND(IN6&gt;=IR$20,IO6&gt;=IR$24,IN6&lt;&gt;""),AND(JP6&gt;=JT$20,JQ6&gt;=JT$24,JP6&lt;&gt;""),AND(KR6&gt;=KV$20,KS6&gt;=KV$24,KR6&lt;&gt;""),AND(LT6&gt;=LX$20,LU6&gt;=LX$24,LT6&lt;&gt;""),AND(MV6&gt;=MZ$20,MW6&gt;=MZ$24,MV6&lt;&gt;""),AND(NX6&gt;=OB$20,NY6&gt;=OB$24,NX6&lt;&gt;""),AND(OZ6&gt;=PD$20,PA6&gt;=PD$24,OZ6&lt;&gt;""),AND(QB6&gt;=QF$20,QC6&gt;=QF$24,QB6&lt;&gt;"")),"Merit",IF(OR(AND(AU6&gt;=AY$19,AV6&gt;=AY$23,AU6&lt;&gt;"",AQ6=""),AND(BX6&gt;=CB$19,BY6&gt;=CB$23,BX6&lt;&gt;"",BT6=""),AND(DA6&gt;=DE$19,DB6&gt;=DE$23,DA6&lt;&gt;"",CW6=""),AND(EF6&gt;=EJ$19,EG6&gt;=EJ$23,EF6&lt;&gt;""),AND(FH6&gt;=FL$19,FI6&gt;=FL$23,FH6&lt;&gt;""),AND(GJ6&gt;=GN$19,GK6&gt;=GN$23,GJ6&lt;&gt;""),AND(HL6&gt;=HP$19,HM6&gt;=HP$23,HL6&lt;&gt;""),AND(IN6&gt;=IR$19,IO6&gt;=IR$23,IN6&lt;&gt;""),AND(JP6&gt;=JT$19,JQ6&gt;=JT$23,JP6&lt;&gt;""),AND(KR6&gt;=KV$19,KS6&gt;=KV$23,KR6&lt;&gt;""),AND(LT6&gt;=LX$19,LU6&gt;=LX$23,LT6&lt;&gt;""),AND(MV6&gt;=MZ$19,MW6&gt;=MZ$23,MV6&lt;&gt;""),AND(NX6&gt;=OB$19,NY6&gt;=OB$23,NX6&lt;&gt;""),AND(OZ6&gt;=PD$19,PA6&gt;=PD$23,OZ6&lt;&gt;""),AND(QB6&gt;=QF$19,QC6&gt;=QF$23,QB6&lt;&gt;"")),"Excellence",IF(I6="P","Worlds Team",IF(F6="P","National Team","")))))</f>
        <v>Worlds Team</v>
      </c>
      <c r="I6" s="3" t="str">
        <f>IF(OR(AND(AU6&gt;=AY$18,AV6&gt;=AY$22,AU6&lt;&gt;"",AQ6=""),AND(BX6&gt;=CB$18,BY6&gt;=CB$22,BX6&lt;&gt;"",BT6=""),AND(DA6&gt;=DE$18,DB6&gt;=DE$22,DA6&lt;&gt;"",CW6=""),AND(EF6&gt;=EJ$18,EG6&gt;=EJ$22,EF6&lt;&gt;""),AND(FH6&gt;=FL$18,FI6&gt;=FL$22,FH6&lt;&gt;""),AND(GJ6&gt;=GN$18,GK6&gt;=GN$22,GJ6&lt;&gt;""),AND(HL6&gt;=HP$18,HM6&gt;=HP$22,HL6&lt;&gt;""),AND(IN6&gt;=IR$18,IO6&gt;=IR$22,IN6&lt;&gt;""),AND(JP6&gt;=JT$18,JQ6&gt;=JT$22,JP6&lt;&gt;""),AND(KR6&gt;=KV$18,KS6&gt;=KV$22,KR6&lt;&gt;""),AND(LT6&gt;=LX$18,LU6&gt;=LX$22,LT6&lt;&gt;""),AND(MV6&gt;=MZ$18,MW6&gt;=MZ$22,MV6&lt;&gt;""),AND(NX6&gt;=OB$18,NY6&gt;=OB$22,NX6&lt;&gt;""),AND(OZ6&gt;=PD$18,PA6&gt;=PD$22,OZ6&lt;&gt;""),AND(QB6&gt;=QF$18,QC6&gt;=QF$22,QB6&lt;&gt;"")),"P","")</f>
        <v>P</v>
      </c>
      <c r="J6" s="13">
        <f>IF(COUNT(AS6,BV6,CY6)&gt;0,LARGE((AS6,BV6,CY6),1),0)</f>
        <v>48.999999999999993</v>
      </c>
      <c r="K6" s="13" t="str">
        <f>IF(J6=0,"",IF(J6=CY6,$CC$1,IF(J6=BV6,$AZ$1,IF(J6=AS6,$W$1,""))))</f>
        <v>2022 Elite Canada</v>
      </c>
      <c r="L6" s="13">
        <f>IF(COUNT(AS6,BV6,CY6)&gt;1,LARGE((AS6,BV6,CY6),2),0)</f>
        <v>6.0000000000000002E-5</v>
      </c>
      <c r="M6" s="13" t="str">
        <f>IF(L6=0,"",IF(L6=CY6,$CC$1,IF(L6=BV6,$AZ$1,IF(L6=AS6,$W$1,""))))</f>
        <v>2021 Elite Canada</v>
      </c>
      <c r="N6" s="13">
        <f>IF(COUNT(AT6,BW6,CZ6)&gt;0,LARGE((AT6,BW6,CZ6),1),0)</f>
        <v>23.6</v>
      </c>
      <c r="O6" s="13" t="str">
        <f>IF(N6=0,"",IF(N6=CZ6,$CC$1,IF(N6=BW6,$AZ$1,IF(N6=AT6,$W$1,""))))</f>
        <v>2022 Elite Canada</v>
      </c>
      <c r="P6" s="13">
        <f>IF(COUNT(AT6,BW6,CZ6)&gt;1,LARGE((AT6,BW6,CZ6),2),0)</f>
        <v>0</v>
      </c>
      <c r="Q6" s="13" t="str">
        <f>IF(P6=0,"",IF(P6=CZ6,$CC$1,IF(P6=BW6,$AZ$1,IF(P6=AT6,$W$1,""))))</f>
        <v/>
      </c>
      <c r="R6" s="13">
        <f>IF(MAX(AX6,CA6,DD6)&gt;0,MAX(AX6,CA6,DD6),0)</f>
        <v>49.100000000000009</v>
      </c>
      <c r="S6" s="13" t="str">
        <f>IF(R6=0,"",IF(R6=DD6,$CC$1,IF(R6=CA6,$AZ$1,IF(R6=AX6,$W$1,""))))</f>
        <v>2022 Elite Canada</v>
      </c>
      <c r="T6" s="13" t="str">
        <f>IF(MAX(DF6:DH6)&gt;0,MAX(DF6:DH6),"")</f>
        <v/>
      </c>
      <c r="U6" s="16" t="str">
        <f>IF(T6="","",IF(T6=DF6,"("&amp;DF$2&amp;")",IF(T6=DH6,"("&amp;DH$2&amp;")")))</f>
        <v/>
      </c>
      <c r="V6" s="13" t="str">
        <f>IF(T6="","",IF(T6=DF6,IF(T6+IF(L6="",0,L6)=PZ6,$PE$1,IF(T6+IF(L6="",0,L6)=OX6,$OC$1,IF(T6+IF(L6="",0,L6)=NV6,$NA$1,IF(T6+IF(L6="",0,L6)=MT6,$LY$1,IF(T6+IF(L6="",0,L6)=LR6,$KW$1,IF(T6+IF(L6="",0,L6)=KP6,$JU$1,IF(T6+IF(L6="",0,L6)=JN6,$IS$1,IF(T6+IF(L6="",0,L6)=IL6,$HQ$1,IF(T6+IF(L6="",0,L6)=HJ6,$GO$1,IF(T6+IF(L6="",0,L6)=GH6,$FM$1,IF(T6+IF(L6="",0,L6)=FF6,$EK$1,IF(T6+IF(L6="",0,L6)=ED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</f>
        <v/>
      </c>
      <c r="W6" s="27">
        <v>3.0000000000000001E-5</v>
      </c>
      <c r="X6" s="27">
        <v>3.0000000000000001E-5</v>
      </c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51"/>
      <c r="AR6" s="76">
        <f>IF(SUM(X6,AB6)&gt;0,SUM(X6,AB6),"")</f>
        <v>3.0000000000000001E-5</v>
      </c>
      <c r="AS6" s="76">
        <f>IF(SUM(W6:X6,Z6:AB6,AD6)-Y6-AC6&gt;0,SUM(W6:X6,Z6:AB6,AD6)-Y6-AC6,"")</f>
        <v>6.0000000000000002E-5</v>
      </c>
      <c r="AT6" s="76" t="str">
        <f>IF(SUM(AE6:AF6,AH6)-AG6&gt;0,SUM(AE6:AF6,AH6)-AG6,"")</f>
        <v/>
      </c>
      <c r="AU6" s="76">
        <f>IF(SUM(X6,AB6,AF6)&gt;0,SUM(X6,AB6,AF6),"")</f>
        <v>3.0000000000000001E-5</v>
      </c>
      <c r="AV6" s="76">
        <f>IF(SUM(AS6,AT6)&gt;0,SUM(AS6,AT6),"")</f>
        <v>6.0000000000000002E-5</v>
      </c>
      <c r="AW6" s="76" t="str">
        <f>IF(SUM(AJ6,AN6)&gt;0,SUM(AJ6,AN6),"")</f>
        <v/>
      </c>
      <c r="AX6" s="76" t="str">
        <f>IF(SUM(AI6:AJ6,AL6:AN6,AP6)-SUM(AK6,AO6)&gt;0,SUM(AI6:AJ6,AL6:AN6,AP6)-SUM(AK6,AO6),"")</f>
        <v/>
      </c>
      <c r="AY6" s="76">
        <f>IF(SUM(AS6,AX6)&gt;0,SUM(AS6,AX6),"")</f>
        <v>6.0000000000000002E-5</v>
      </c>
      <c r="AZ6" s="26"/>
      <c r="BA6" s="26">
        <v>1.0000000000000001E-5</v>
      </c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52"/>
      <c r="BU6" s="16">
        <f>IF(SUM(BA6,BE6)&gt;0,SUM(BA6,BE6),"")</f>
        <v>1.0000000000000001E-5</v>
      </c>
      <c r="BV6" s="16">
        <f>IF(SUM(AZ6:BA6,BC6:BE6,BG6)-BB6-BF6&gt;0,SUM(AZ6:BA6,BC6:BE6,BG6)-BB6-BF6,"")</f>
        <v>1.0000000000000001E-5</v>
      </c>
      <c r="BW6" s="16" t="str">
        <f>IF(SUM(BH6:BI6,BK6)-BJ6&gt;0,SUM(BH6:BI6,BK6)-BJ6,"")</f>
        <v/>
      </c>
      <c r="BX6" s="16">
        <f>IF(SUM(BA6,BE6,BI6)&gt;0,SUM(BA6,BE6,BI6),"")</f>
        <v>1.0000000000000001E-5</v>
      </c>
      <c r="BY6" s="16">
        <f>IF(SUM(BV6,BW6)&gt;0,SUM(BV6,BW6),"")</f>
        <v>1.0000000000000001E-5</v>
      </c>
      <c r="BZ6" s="16" t="str">
        <f>IF(SUM(BM6,BQ6)&gt;0,SUM(BM6,BQ6),"")</f>
        <v/>
      </c>
      <c r="CA6" s="16" t="str">
        <f>IF(SUM(BL6:BM6,BO6:BQ6,BS6)-SUM(BN6,BR6)&gt;0,SUM(BL6:BM6,BO6:BQ6,BS6)-SUM(BN6,BR6),"")</f>
        <v/>
      </c>
      <c r="CB6" s="16">
        <f>IF(SUM(BV6,CA6)&gt;0,SUM(BV6,CA6),"")</f>
        <v>1.0000000000000001E-5</v>
      </c>
      <c r="CC6" s="27">
        <v>18.899999999999999</v>
      </c>
      <c r="CD6" s="27">
        <v>6.4</v>
      </c>
      <c r="CE6" s="27">
        <v>0.2</v>
      </c>
      <c r="CF6" s="27">
        <v>0</v>
      </c>
      <c r="CG6" s="27">
        <v>18.899999999999999</v>
      </c>
      <c r="CH6" s="27">
        <v>5.2</v>
      </c>
      <c r="CI6" s="27">
        <v>0.2</v>
      </c>
      <c r="CJ6" s="27">
        <v>0</v>
      </c>
      <c r="CK6" s="27">
        <v>18.8</v>
      </c>
      <c r="CL6" s="27">
        <v>4.8</v>
      </c>
      <c r="CM6" s="27">
        <v>0</v>
      </c>
      <c r="CN6" s="27">
        <v>0</v>
      </c>
      <c r="CO6" s="27">
        <v>18.7</v>
      </c>
      <c r="CP6" s="27">
        <v>6.4</v>
      </c>
      <c r="CQ6" s="27">
        <v>0</v>
      </c>
      <c r="CR6" s="27">
        <v>0</v>
      </c>
      <c r="CS6" s="27">
        <v>18.8</v>
      </c>
      <c r="CT6" s="27">
        <v>5.2</v>
      </c>
      <c r="CU6" s="27">
        <v>0</v>
      </c>
      <c r="CV6" s="27">
        <v>0</v>
      </c>
      <c r="CW6" s="51"/>
      <c r="CX6" s="76">
        <f>IF(SUM(CD6,CH6)&gt;0,SUM(CD6,CH6),"")</f>
        <v>11.600000000000001</v>
      </c>
      <c r="CY6" s="76">
        <f>IF(SUM(CC6:CD6,CF6:CH6,CJ6)-CE6-CI6&gt;0,SUM(CC6:CD6,CF6:CH6,CJ6)-CE6-CI6,"")</f>
        <v>48.999999999999993</v>
      </c>
      <c r="CZ6" s="76">
        <f>IF(SUM(CK6:CL6,CN6)-CM6&gt;0,SUM(CK6:CL6,CN6)-CM6,"")</f>
        <v>23.6</v>
      </c>
      <c r="DA6" s="76">
        <f>IF(SUM(CD6,CH6,CL6)&gt;0,SUM(CD6,CH6,CL6),"")</f>
        <v>16.400000000000002</v>
      </c>
      <c r="DB6" s="76">
        <f>IF(SUM(CY6,CZ6)&gt;0,SUM(CY6,CZ6),"")</f>
        <v>72.599999999999994</v>
      </c>
      <c r="DC6" s="76">
        <f>IF(SUM(CP6,CT6)&gt;0,SUM(CP6,CT6),"")</f>
        <v>11.600000000000001</v>
      </c>
      <c r="DD6" s="76">
        <f>IF(SUM(CO6:CP6,CR6:CT6,CV6)-SUM(CQ6,CU6)&gt;0,SUM(CO6:CP6,CR6:CT6,CV6)-SUM(CQ6,CU6),"")</f>
        <v>49.100000000000009</v>
      </c>
      <c r="DE6" s="76">
        <f>IF(SUM(CY6,DD6)&gt;0,SUM(CY6,DD6),"")</f>
        <v>98.1</v>
      </c>
      <c r="DF6" s="87" t="str">
        <f>IF(L6&gt;=0.001,IF(MAX(ED6,FF6,GH6,HJ6,IL6,JN6,KP6,LR6,MT6,NV6,OX6,PZ6)-IF(L6="",0,L6)&gt;0.001,MAX(ED6,FF6,GH6,HJ6,IL6,JN6,KP6,LR6,MT6,NV6,OX6,PZ6)-IF(L6="",0,L6),""),"")</f>
        <v/>
      </c>
      <c r="DG6" s="87" t="str">
        <f>IF(P6&gt;=0.001,IF(MAX(EE6,FG6,GI6,HK6,IM6,JO6,KQ6,LS6,MU6,NW6,OY6,QA6)-IF(P6="",0,P6)&gt;0.001,MAX(EE6,FG6,GI6,HK6,IM6,JO6,KQ6,LS6,MU6,NW6,OY6,QA6)-IF(P6="",0,P6),""),"")</f>
        <v/>
      </c>
      <c r="DH6" s="87" t="str">
        <f>IF(R6&gt;=0.001,IF(MAX(EI6,FK6,GM6,HO6,IQ6,JS6,KU6,LW6,MY6,OA6,PC6,QE6)-IF(R6="",0,R6)&gt;0.001,MAX(EI6,FK6,GM6,HO6,IQ6,JS6,KU6,LW6,MY6,OA6,PC6,QE6)-IF(R6="",0,R6),""),"")</f>
        <v/>
      </c>
      <c r="DI6" s="25">
        <v>2.0000000000000002E-5</v>
      </c>
      <c r="DJ6" s="25">
        <v>3.0000000000000001E-5</v>
      </c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76">
        <f>IF(SUM(DJ6,DN6)&gt;0,SUM(DJ6,DN6),"")</f>
        <v>3.0000000000000001E-5</v>
      </c>
      <c r="ED6" s="76">
        <f>IF(SUM(DI6:DJ6,DL6:DN6,DP6)-DK6-DO6&gt;0,SUM(DI6:DJ6,DL6:DN6,DP6)-DK6-DO6,"")</f>
        <v>5.0000000000000002E-5</v>
      </c>
      <c r="EE6" s="76" t="str">
        <f>IF(SUM(DQ6:DR6,DT6)-DS6&gt;0,SUM(DQ6:DR6,DT6)-DS6,"")</f>
        <v/>
      </c>
      <c r="EF6" s="76">
        <f>IF(SUM(DJ6,DN6,DR6)&gt;0,SUM(DJ6,DN6,DR6),"")</f>
        <v>3.0000000000000001E-5</v>
      </c>
      <c r="EG6" s="76">
        <f>IF(SUM(ED6,EE6)&gt;0,SUM(ED6,EE6),"")</f>
        <v>5.0000000000000002E-5</v>
      </c>
      <c r="EH6" s="76" t="str">
        <f>IF(SUM(DV6,DZ6)&gt;0,SUM(DV6,DZ6),"")</f>
        <v/>
      </c>
      <c r="EI6" s="76" t="str">
        <f>IF(SUM(DU6:DV6,DX6:DZ6,EB6)-SUM(DW6,EA6)&gt;0,SUM(DU6:DV6,DX6:DZ6,EB6)-SUM(DW6,EA6),"")</f>
        <v/>
      </c>
      <c r="EJ6" s="76">
        <f>IF(SUM(ED6,EI6)&gt;0,SUM(ED6,EI6),"")</f>
        <v>5.0000000000000002E-5</v>
      </c>
      <c r="EK6" s="26">
        <v>18.399999999999999</v>
      </c>
      <c r="EL6" s="26">
        <v>5.6</v>
      </c>
      <c r="EM6" s="26">
        <v>0.8</v>
      </c>
      <c r="EN6" s="26">
        <v>0</v>
      </c>
      <c r="EO6" s="26">
        <v>19</v>
      </c>
      <c r="EP6" s="26">
        <v>6</v>
      </c>
      <c r="EQ6" s="26">
        <v>0</v>
      </c>
      <c r="ER6" s="26">
        <v>0</v>
      </c>
      <c r="ES6" s="26"/>
      <c r="ET6" s="26"/>
      <c r="EU6" s="26"/>
      <c r="EV6" s="26"/>
      <c r="EW6" s="26">
        <v>18.899999999999999</v>
      </c>
      <c r="EX6" s="26">
        <v>5.6</v>
      </c>
      <c r="EY6" s="26">
        <v>0.6</v>
      </c>
      <c r="EZ6" s="26">
        <v>0</v>
      </c>
      <c r="FA6" s="26">
        <v>18.399999999999999</v>
      </c>
      <c r="FB6" s="26">
        <v>4.4000000000000004</v>
      </c>
      <c r="FC6" s="26">
        <v>0</v>
      </c>
      <c r="FD6" s="26">
        <v>0</v>
      </c>
      <c r="FE6" s="16">
        <f>IF(SUM(EL6,EP6)&gt;0,SUM(EL6,EP6),"")</f>
        <v>11.6</v>
      </c>
      <c r="FF6" s="16">
        <f>IF(SUM(EK6:EL6,EN6:EP6,ER6)-EM6-EQ6&gt;0,SUM(EK6:EL6,EN6:EP6,ER6)-EM6-EQ6,"")</f>
        <v>48.2</v>
      </c>
      <c r="FG6" s="16" t="str">
        <f>IF(SUM(ES6:ET6,EV6)-EU6&gt;0,SUM(ES6:ET6,EV6)-EU6,"")</f>
        <v/>
      </c>
      <c r="FH6" s="16">
        <f>IF(SUM(EL6,EP6,ET6)&gt;0,SUM(EL6,EP6,ET6),"")</f>
        <v>11.6</v>
      </c>
      <c r="FI6" s="16">
        <f>IF(SUM(FF6,FG6)&gt;0,SUM(FF6,FG6),"")</f>
        <v>48.2</v>
      </c>
      <c r="FJ6" s="16">
        <f>IF(SUM(EX6,FB6)&gt;0,SUM(EX6,FB6),"")</f>
        <v>10</v>
      </c>
      <c r="FK6" s="16">
        <f>IF(SUM(EW6:EX6,EZ6:FB6,FD6)-SUM(EY6,FC6)&gt;0,SUM(EW6:EX6,EZ6:FB6,FD6)-SUM(EY6,FC6),"")</f>
        <v>46.699999999999996</v>
      </c>
      <c r="FL6" s="16">
        <f>IF(SUM(FF6,FK6)&gt;0,SUM(FF6,FK6),"")</f>
        <v>94.9</v>
      </c>
      <c r="FM6" s="25">
        <v>16.3</v>
      </c>
      <c r="FN6" s="25">
        <v>5.2</v>
      </c>
      <c r="FO6" s="25">
        <v>0.6</v>
      </c>
      <c r="FP6" s="25">
        <v>0.3</v>
      </c>
      <c r="FQ6" s="25">
        <v>18.5</v>
      </c>
      <c r="FR6" s="25">
        <v>5.6</v>
      </c>
      <c r="FS6" s="25">
        <v>0.2</v>
      </c>
      <c r="FT6" s="25">
        <v>0</v>
      </c>
      <c r="FU6" s="25"/>
      <c r="FV6" s="25"/>
      <c r="FW6" s="25"/>
      <c r="FX6" s="25"/>
      <c r="FY6" s="25">
        <v>19</v>
      </c>
      <c r="FZ6" s="25">
        <v>6.4</v>
      </c>
      <c r="GA6" s="25">
        <v>0</v>
      </c>
      <c r="GB6" s="25">
        <v>0</v>
      </c>
      <c r="GC6" s="25">
        <v>18.8</v>
      </c>
      <c r="GD6" s="25">
        <v>5.2</v>
      </c>
      <c r="GE6" s="25">
        <v>0.6</v>
      </c>
      <c r="GF6" s="25">
        <v>0</v>
      </c>
      <c r="GG6" s="76">
        <f>IF(SUM(FN6,FR6)&gt;0,SUM(FN6,FR6),"")</f>
        <v>10.8</v>
      </c>
      <c r="GH6" s="76">
        <f>IF(SUM(FM6:FN6,FP6:FR6,FT6)-FO6-FS6&gt;0,SUM(FM6:FN6,FP6:FR6,FT6)-FO6-FS6,"")</f>
        <v>45.099999999999994</v>
      </c>
      <c r="GI6" s="76" t="str">
        <f>IF(SUM(FU6:FV6,FX6)-FW6&gt;0,SUM(FU6:FV6,FX6)-FW6,"")</f>
        <v/>
      </c>
      <c r="GJ6" s="76">
        <f>IF(SUM(FN6,FR6,FV6)&gt;0,SUM(FN6,FR6,FV6),"")</f>
        <v>10.8</v>
      </c>
      <c r="GK6" s="76">
        <f>IF(SUM(GH6,GI6)&gt;0,SUM(GH6,GI6),"")</f>
        <v>45.099999999999994</v>
      </c>
      <c r="GL6" s="76">
        <f>IF(SUM(FZ6,GD6)&gt;0,SUM(FZ6,GD6),"")</f>
        <v>11.600000000000001</v>
      </c>
      <c r="GM6" s="76">
        <f>IF(SUM(FY6:FZ6,GB6:GD6,GF6)-SUM(GA6,GE6)&gt;0,SUM(FY6:FZ6,GB6:GD6,GF6)-SUM(GA6,GE6),"")</f>
        <v>48.800000000000004</v>
      </c>
      <c r="GN6" s="76">
        <f>IF(SUM(GH6,GM6)&gt;0,SUM(GH6,GM6),"")</f>
        <v>93.9</v>
      </c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16" t="str">
        <f>IF(SUM(GP6,GT6)&gt;0,SUM(GP6,GT6),"")</f>
        <v/>
      </c>
      <c r="HJ6" s="16" t="str">
        <f>IF(SUM(GO6:GP6,GR6:GT6,GV6)-GQ6-GU6&gt;0,SUM(GO6:GP6,GR6:GT6,GV6)-GQ6-GU6,"")</f>
        <v/>
      </c>
      <c r="HK6" s="16" t="str">
        <f>IF(SUM(GW6:GX6,GZ6)-GY6&gt;0,SUM(GW6:GX6,GZ6)-GY6,"")</f>
        <v/>
      </c>
      <c r="HL6" s="16" t="str">
        <f>IF(SUM(GP6,GT6,GX6)&gt;0,SUM(GP6,GT6,GX6),"")</f>
        <v/>
      </c>
      <c r="HM6" s="16" t="str">
        <f>IF(SUM(HJ6,HK6)&gt;0,SUM(HJ6,HK6),"")</f>
        <v/>
      </c>
      <c r="HN6" s="16" t="str">
        <f>IF(SUM(HB6,HF6)&gt;0,SUM(HB6,HF6),"")</f>
        <v/>
      </c>
      <c r="HO6" s="16" t="str">
        <f>IF(SUM(HA6:HB6,HD6:HF6,HH6)-SUM(HC6,HG6)&gt;0,SUM(HA6:HB6,HD6:HF6,HH6)-SUM(HC6,HG6),"")</f>
        <v/>
      </c>
      <c r="HP6" s="16" t="str">
        <f>IF(SUM(HJ6,HO6)&gt;0,SUM(HJ6,HO6),"")</f>
        <v/>
      </c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76" t="str">
        <f>IF(SUM(HR6,HV6)&gt;0,SUM(HR6,HV6),"")</f>
        <v/>
      </c>
      <c r="IL6" s="76" t="str">
        <f>IF(SUM(HQ6:HR6,HT6:HV6,HX6)-HS6-HW6&gt;0,SUM(HQ6:HR6,HT6:HV6,HX6)-HS6-HW6,"")</f>
        <v/>
      </c>
      <c r="IM6" s="76" t="str">
        <f>IF(SUM(HY6:HZ6,IB6)-IA6&gt;0,SUM(HY6:HZ6,IB6)-IA6,"")</f>
        <v/>
      </c>
      <c r="IN6" s="76" t="str">
        <f>IF(SUM(HR6,HV6,HZ6)&gt;0,SUM(HR6,HV6,HZ6),"")</f>
        <v/>
      </c>
      <c r="IO6" s="76" t="str">
        <f>IF(SUM(IL6,IM6)&gt;0,SUM(IL6,IM6),"")</f>
        <v/>
      </c>
      <c r="IP6" s="76" t="str">
        <f>IF(SUM(ID6,IH6)&gt;0,SUM(ID6,IH6),"")</f>
        <v/>
      </c>
      <c r="IQ6" s="76" t="str">
        <f>IF(SUM(IC6:ID6,IF6:IH6,IJ6)-SUM(IE6,II6)&gt;0,SUM(IC6:ID6,IF6:IH6,IJ6)-SUM(IE6,II6),"")</f>
        <v/>
      </c>
      <c r="IR6" s="76" t="str">
        <f>IF(SUM(IL6,IQ6)&gt;0,SUM(IL6,IQ6),"")</f>
        <v/>
      </c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16" t="str">
        <f>IF(SUM(IT6,IX6)&gt;0,SUM(IT6,IX6),"")</f>
        <v/>
      </c>
      <c r="JN6" s="16" t="str">
        <f>IF(SUM(IS6:IT6,IV6:IX6,IZ6)-IU6-IY6&gt;0,SUM(IS6:IT6,IV6:IX6,IZ6)-IU6-IY6,"")</f>
        <v/>
      </c>
      <c r="JO6" s="16" t="str">
        <f>IF(SUM(JA6:JB6,JD6)-JC6&gt;0,SUM(JA6:JB6,JD6)-JC6,"")</f>
        <v/>
      </c>
      <c r="JP6" s="16" t="str">
        <f>IF(SUM(IT6,IX6,JB6)&gt;0,SUM(IT6,IX6,JB6),"")</f>
        <v/>
      </c>
      <c r="JQ6" s="16" t="str">
        <f>IF(SUM(JN6,JO6)&gt;0,SUM(JN6,JO6),"")</f>
        <v/>
      </c>
      <c r="JR6" s="16" t="str">
        <f>IF(SUM(JF6,JJ6)&gt;0,SUM(JF6,JJ6),"")</f>
        <v/>
      </c>
      <c r="JS6" s="16" t="str">
        <f>IF(SUM(JE6:JF6,JH6:JJ6,JL6)-SUM(JG6,JK6)&gt;0,SUM(JE6:JF6,JH6:JJ6,JL6)-SUM(JG6,JK6),"")</f>
        <v/>
      </c>
      <c r="JT6" s="16" t="str">
        <f>IF(SUM(JN6,JS6)&gt;0,SUM(JN6,JS6),"")</f>
        <v/>
      </c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76" t="str">
        <f>IF(SUM(JV6,JZ6)&gt;0,SUM(JV6,JZ6),"")</f>
        <v/>
      </c>
      <c r="KP6" s="76" t="str">
        <f>IF(SUM(JU6:JV6,JX6:JZ6,KB6)-JW6-KA6&gt;0,SUM(JU6:JV6,JX6:JZ6,KB6)-JW6-KA6,"")</f>
        <v/>
      </c>
      <c r="KQ6" s="76" t="str">
        <f>IF(SUM(KC6:KD6,KF6)-KE6&gt;0,SUM(KC6:KD6,KF6)-KE6,"")</f>
        <v/>
      </c>
      <c r="KR6" s="76" t="str">
        <f>IF(SUM(JV6,JZ6,KD6)&gt;0,SUM(JV6,JZ6,KD6),"")</f>
        <v/>
      </c>
      <c r="KS6" s="76" t="str">
        <f>IF(SUM(KP6,KQ6)&gt;0,SUM(KP6,KQ6),"")</f>
        <v/>
      </c>
      <c r="KT6" s="76" t="str">
        <f>IF(SUM(KH6,KL6)&gt;0,SUM(KH6,KL6),"")</f>
        <v/>
      </c>
      <c r="KU6" s="76" t="str">
        <f>IF(SUM(KG6:KH6,KJ6:KL6,KN6)-SUM(KI6,KM6)&gt;0,SUM(KG6:KH6,KJ6:KL6,KN6)-SUM(KI6,KM6),"")</f>
        <v/>
      </c>
      <c r="KV6" s="76" t="str">
        <f>IF(SUM(KP6,KU6)&gt;0,SUM(KP6,KU6),"")</f>
        <v/>
      </c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16" t="str">
        <f>IF(SUM(KX6,LB6)&gt;0,SUM(KX6,LB6),"")</f>
        <v/>
      </c>
      <c r="LR6" s="16" t="str">
        <f>IF(SUM(KW6:KX6,KZ6:LB6,LD6)-KY6-LC6&gt;0,SUM(KW6:KX6,KZ6:LB6,LD6)-KY6-LC6,"")</f>
        <v/>
      </c>
      <c r="LS6" s="16" t="str">
        <f>IF(SUM(LE6:LF6,LH6)-LG6&gt;0,SUM(LE6:LF6,LH6)-LG6,"")</f>
        <v/>
      </c>
      <c r="LT6" s="16" t="str">
        <f>IF(SUM(KX6,LB6,LF6)&gt;0,SUM(KX6,LB6,LF6),"")</f>
        <v/>
      </c>
      <c r="LU6" s="16" t="str">
        <f>IF(SUM(LR6,LS6)&gt;0,SUM(LR6,LS6),"")</f>
        <v/>
      </c>
      <c r="LV6" s="16" t="str">
        <f>IF(SUM(LJ6,LN6)&gt;0,SUM(LJ6,LN6),"")</f>
        <v/>
      </c>
      <c r="LW6" s="16" t="str">
        <f>IF(SUM(LI6:LJ6,LL6:LN6,LP6)-SUM(LK6,LO6)&gt;0,SUM(LI6:LJ6,LL6:LN6,LP6)-SUM(LK6,LO6),"")</f>
        <v/>
      </c>
      <c r="LX6" s="16" t="str">
        <f>IF(SUM(LR6,LW6)&gt;0,SUM(LR6,LW6),"")</f>
        <v/>
      </c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76" t="str">
        <f>IF(SUM(LZ6,MD6)&gt;0,SUM(LZ6,MD6),"")</f>
        <v/>
      </c>
      <c r="MT6" s="76" t="str">
        <f>IF(SUM(LY6:LZ6,MB6:MD6,MF6)-MA6-ME6&gt;0,SUM(LY6:LZ6,MB6:MD6,MF6)-MA6-ME6,"")</f>
        <v/>
      </c>
      <c r="MU6" s="76" t="str">
        <f>IF(SUM(MG6:MH6,MJ6)-MI6&gt;0,SUM(MG6:MH6,MJ6)-MI6,"")</f>
        <v/>
      </c>
      <c r="MV6" s="76" t="str">
        <f>IF(SUM(LZ6,MD6,MH6)&gt;0,SUM(LZ6,MD6,MH6),"")</f>
        <v/>
      </c>
      <c r="MW6" s="76" t="str">
        <f>IF(SUM(MT6,MU6)&gt;0,SUM(MT6,MU6),"")</f>
        <v/>
      </c>
      <c r="MX6" s="76" t="str">
        <f>IF(SUM(ML6,MP6)&gt;0,SUM(ML6,MP6),"")</f>
        <v/>
      </c>
      <c r="MY6" s="76" t="str">
        <f>IF(SUM(MK6:ML6,MN6:MP6,MR6)-SUM(MM6,MQ6)&gt;0,SUM(MK6:ML6,MN6:MP6,MR6)-SUM(MM6,MQ6),"")</f>
        <v/>
      </c>
      <c r="MZ6" s="76" t="str">
        <f>IF(SUM(MT6,MY6)&gt;0,SUM(MT6,MY6),"")</f>
        <v/>
      </c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16" t="str">
        <f>IF(SUM(NB6,NF6)&gt;0,SUM(NB6,NF6),"")</f>
        <v/>
      </c>
      <c r="NV6" s="16" t="str">
        <f>IF(SUM(NA6:NB6,ND6:NF6,NH6)-NC6-NG6&gt;0,SUM(NA6:NB6,ND6:NF6,NH6)-NC6-NG6,"")</f>
        <v/>
      </c>
      <c r="NW6" s="16" t="str">
        <f>IF(SUM(NI6:NJ6,NL6)-NK6&gt;0,SUM(NI6:NJ6,NL6)-NK6,"")</f>
        <v/>
      </c>
      <c r="NX6" s="16" t="str">
        <f>IF(SUM(NB6,NF6,NJ6)&gt;0,SUM(NB6,NF6,NJ6),"")</f>
        <v/>
      </c>
      <c r="NY6" s="16" t="str">
        <f>IF(SUM(NV6,NW6)&gt;0,SUM(NV6,NW6),"")</f>
        <v/>
      </c>
      <c r="NZ6" s="16" t="str">
        <f>IF(SUM(NN6,NR6)&gt;0,SUM(NN6,NR6),"")</f>
        <v/>
      </c>
      <c r="OA6" s="16" t="str">
        <f>IF(SUM(NM6:NN6,NP6:NR6,NT6)-SUM(NO6,NS6)&gt;0,SUM(NM6:NN6,NP6:NR6,NT6)-SUM(NO6,NS6),"")</f>
        <v/>
      </c>
      <c r="OB6" s="16" t="str">
        <f>IF(SUM(NV6,OA6)&gt;0,SUM(NV6,OA6),"")</f>
        <v/>
      </c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76" t="str">
        <f>IF(SUM(OD6,OH6)&gt;0,SUM(OD6,OH6),"")</f>
        <v/>
      </c>
      <c r="OX6" s="76" t="str">
        <f>IF(SUM(OC6:OD6,OF6:OH6,OJ6)-OE6-OI6&gt;0,SUM(OC6:OD6,OF6:OH6,OJ6)-OE6-OI6,"")</f>
        <v/>
      </c>
      <c r="OY6" s="76" t="str">
        <f>IF(SUM(OK6:OL6,ON6)-OM6&gt;0,SUM(OK6:OL6,ON6)-OM6,"")</f>
        <v/>
      </c>
      <c r="OZ6" s="76" t="str">
        <f>IF(SUM(OD6,OH6,OL6)&gt;0,SUM(OD6,OH6,OL6),"")</f>
        <v/>
      </c>
      <c r="PA6" s="76" t="str">
        <f>IF(SUM(OX6,OY6)&gt;0,SUM(OX6,OY6),"")</f>
        <v/>
      </c>
      <c r="PB6" s="76" t="str">
        <f>IF(SUM(OP6,OT6)&gt;0,SUM(OP6,OT6),"")</f>
        <v/>
      </c>
      <c r="PC6" s="76" t="str">
        <f>IF(SUM(OO6:OP6,OR6:OT6,OV6)-SUM(OQ6,OU6)&gt;0,SUM(OO6:OP6,OR6:OT6,OV6)-SUM(OQ6,OU6),"")</f>
        <v/>
      </c>
      <c r="PD6" s="76" t="str">
        <f>IF(SUM(OX6,PC6)&gt;0,SUM(OX6,PC6),"")</f>
        <v/>
      </c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16" t="str">
        <f>IF(SUM(PF6,PJ6)&gt;0,SUM(PF6,PJ6),"")</f>
        <v/>
      </c>
      <c r="PZ6" s="16" t="str">
        <f>IF(SUM(PE6:PF6,PH6:PJ6,PL6)-PG6-PK6&gt;0,SUM(PE6:PF6,PH6:PJ6,PL6)-PG6-PK6,"")</f>
        <v/>
      </c>
      <c r="QA6" s="16" t="str">
        <f>IF(SUM(PM6:PN6,PP6)-PO6&gt;0,SUM(PM6:PN6,PP6)-PO6,"")</f>
        <v/>
      </c>
      <c r="QB6" s="16" t="str">
        <f>IF(SUM(PF6,PJ6,PN6)&gt;0,SUM(PF6,PJ6,PN6),"")</f>
        <v/>
      </c>
      <c r="QC6" s="16" t="str">
        <f>IF(SUM(PZ6,QA6)&gt;0,SUM(PZ6,QA6),"")</f>
        <v/>
      </c>
      <c r="QD6" s="16" t="str">
        <f>IF(SUM(PR6,PV6)&gt;0,SUM(PR6,PV6),"")</f>
        <v/>
      </c>
      <c r="QE6" s="16" t="str">
        <f>IF(SUM(PQ6:PR6,PT6:PV6,PX6)-SUM(PS6,PW6)&gt;0,SUM(PQ6:PR6,PT6:PV6,PX6)-SUM(PS6,PW6),"")</f>
        <v/>
      </c>
      <c r="QF6" s="16" t="str">
        <f>IF(SUM(PZ6,QE6)&gt;0,SUM(PZ6,QE6),"")</f>
        <v/>
      </c>
      <c r="QG6" s="42">
        <f>IF($CW6="P",CC6,(CC6+AZ6)/2)</f>
        <v>9.4499999999999993</v>
      </c>
      <c r="QH6" s="42">
        <f>IF($CW6="P",CD6,(CD6+BA6)/2)</f>
        <v>3.200005</v>
      </c>
      <c r="QI6" s="42">
        <f>IF($CW6="P",CE6,(CE6+BB6)/2)</f>
        <v>0.1</v>
      </c>
      <c r="QJ6" s="42">
        <f>IF($CW6="P",CF6,(CF6+BC6)/2)</f>
        <v>0</v>
      </c>
      <c r="QK6" s="42">
        <f>IF($CW6="P",CG6,(CG6+BD6)/2)</f>
        <v>9.4499999999999993</v>
      </c>
      <c r="QL6" s="42">
        <f>IF($CW6="P",CH6,(CH6+BE6)/2)</f>
        <v>2.6</v>
      </c>
      <c r="QM6" s="42">
        <f>IF($CW6="P",CI6,(CI6+BF6)/2)</f>
        <v>0.1</v>
      </c>
      <c r="QN6" s="42">
        <f>IF($CW6="P",CJ6,(CJ6+BG6)/2)</f>
        <v>0</v>
      </c>
      <c r="QO6" s="42">
        <f>IF($CW6="P",CK6,(CK6+BH6)/2)</f>
        <v>9.4</v>
      </c>
      <c r="QP6" s="42">
        <f>IF($CW6="P",CL6,(CL6+BI6)/2)</f>
        <v>2.4</v>
      </c>
      <c r="QQ6" s="42">
        <f>IF($CW6="P",CM6,(CM6+BJ6)/2)</f>
        <v>0</v>
      </c>
      <c r="QR6" s="42">
        <f>IF($CW6="P",CN6,(CN6+BK6)/2)</f>
        <v>0</v>
      </c>
      <c r="QS6" s="42">
        <f>IF($CW6="P",CO6,(CO6+BL6)/2)</f>
        <v>9.35</v>
      </c>
      <c r="QT6" s="42">
        <f>IF($CW6="P",CP6,(CP6+BM6)/2)</f>
        <v>3.2</v>
      </c>
      <c r="QU6" s="42">
        <f>IF($CW6="P",CQ6,(CQ6+BN6)/2)</f>
        <v>0</v>
      </c>
      <c r="QV6" s="42">
        <f>IF($CW6="P",CR6,(CR6+BO6)/2)</f>
        <v>0</v>
      </c>
      <c r="QW6" s="42">
        <f>IF($CW6="P",CS6,(CS6+BP6)/2)</f>
        <v>9.4</v>
      </c>
      <c r="QX6" s="42">
        <f>IF($CW6="P",CT6,(CT6+BQ6)/2)</f>
        <v>2.6</v>
      </c>
      <c r="QY6" s="42">
        <f>IF($CW6="P",CU6,(CU6+BR6)/2)</f>
        <v>0</v>
      </c>
      <c r="QZ6" s="42">
        <f>IF($CW6="P",CV6,(CV6+BS6)/2)</f>
        <v>0</v>
      </c>
      <c r="RA6" s="51" t="s">
        <v>61</v>
      </c>
      <c r="RB6" s="76">
        <f>IF(SUM(QH6,QL6)&gt;0,SUM(QH6,QL6),"")</f>
        <v>5.8000050000000005</v>
      </c>
      <c r="RC6" s="76">
        <f>IF(SUM(QG6:QH6,QJ6:QL6,QN6)-QI6-QM6&gt;0,SUM(QG6:QH6,QJ6:QL6,QN6)-QI6-QM6,"")</f>
        <v>24.500004999999998</v>
      </c>
      <c r="RD6" s="76">
        <f>IF(SUM(QO6:QP6,QR6)-QQ6&gt;0,SUM(QO6:QP6,QR6)-QQ6,"")</f>
        <v>11.8</v>
      </c>
      <c r="RE6" s="76">
        <f>IF(SUM(QH6,QL6,QP6)&gt;0,SUM(QH6,QL6,QP6),"")</f>
        <v>8.2000050000000009</v>
      </c>
      <c r="RF6" s="76">
        <f>IF(SUM(RC6,RD6)&gt;0,SUM(RC6,RD6),"")</f>
        <v>36.300004999999999</v>
      </c>
      <c r="RG6" s="76">
        <f>IF(SUM(QT6,QX6)&gt;0,SUM(QT6,QX6),"")</f>
        <v>5.8000000000000007</v>
      </c>
      <c r="RH6" s="76">
        <f>IF(SUM(QS6:QT6,QV6:QX6,QZ6)-SUM(QU6,QY6)&gt;0,SUM(QS6:QT6,QV6:QX6,QZ6)-SUM(QU6,QY6),"")</f>
        <v>24.550000000000004</v>
      </c>
      <c r="RI6" s="76">
        <f>IF(SUM(RC6,RH6)&gt;0,SUM(RC6,RH6),"")</f>
        <v>49.050004999999999</v>
      </c>
    </row>
    <row r="7" spans="1:477" x14ac:dyDescent="0.2">
      <c r="A7" s="5">
        <f>IF(AND(F7="P",G7="P"),SUMPRODUCT((F$4:F$15="P")*(G$4:G$15="P")*(E$4:E$15&gt;E7))+1,IF(G7="P",SUMPRODUCT((F$4:F$15="")*(G$4:G$15="P")*(E$4:E$15&gt;E7))+1+SUMPRODUCT((F$4:F$15="P")*(G$4:G$15="P")),""))</f>
        <v>4</v>
      </c>
      <c r="B7" s="6" t="s">
        <v>92</v>
      </c>
      <c r="C7" s="7" t="s">
        <v>5</v>
      </c>
      <c r="D7" s="18">
        <v>2003</v>
      </c>
      <c r="E7" s="14">
        <f>SUM(J7:T7)+SUM(J7:P7)*0.0000001+SUM(J7)*0.0000000000001</f>
        <v>120.30000722000493</v>
      </c>
      <c r="F7" s="3" t="str">
        <f>IF(OR(AND(AR7&gt;=AY$17,AS7&gt;=AY$21,AR7&lt;&gt;"",AQ7=""),AND(AW7&gt;=AY$17,AX7&gt;=AY$21,AW7&lt;&gt;"",AQ7=""),AND(BU7&gt;=CB$17,BV7&gt;=CB$21,BU7&lt;&gt;"",BT7=""),AND(BZ7&gt;=CB$17,CA7&gt;=CB$21,BZ7&lt;&gt;"",BT7=""),AND(CX7&gt;=DE$17,CY7&gt;=DE$21,CX7&lt;&gt;"",CW7=""),AND(DC7&gt;=DE$17,DD7&gt;=DE$21,DC7&lt;&gt;""),AND(EC7&gt;=EJ$17,ED7&gt;=EJ$21,EC7&lt;&gt;""),AND(EH7&gt;=EJ$17,EI7&gt;=EJ$21,EH7&lt;&gt;""),AND(FE7&gt;=FL$17,FF7&gt;=FL$21,FE7&lt;&gt;""),AND(FJ7&gt;=FL$17,FK7&gt;=FL$21,FJ7&lt;&gt;""),AND(GG7&gt;=GN$17,GH7&gt;=GN$21,GG7&lt;&gt;""),AND(GL7&gt;=GN$17,GM7&gt;=GN$21,GL7&lt;&gt;""),AND(HI7&gt;=HP$17,HJ7&gt;=HP$21,HI7&lt;&gt;""),AND(HN7&gt;=HP$17,HO7&gt;=HP$21,HN7&lt;&gt;""),AND(IK7&gt;=IR$17,IL7&gt;=IR$21,IK7&lt;&gt;""),AND(IP7&gt;=IR$17,IQ7&gt;=IR$21,IP7&lt;&gt;""),AND(JM7&gt;=JT$17,JN7&gt;=JT$21,JM7&lt;&gt;""),AND(JR7&gt;=JT$17,JS7&gt;=JT$21,JR7&lt;&gt;""),AND(KO7&gt;=KV$17,KP7&gt;=KV$21,KO7&lt;&gt;""),AND(KT7&gt;=KV$17,KU7&gt;=KV$21,KT7&lt;&gt;""),AND(LQ7&gt;=LX$17,LR7&gt;=LX$21,LQ7&lt;&gt;""),AND(LV7&gt;=LX$17,LW7&gt;=LX$21,LV7&lt;&gt;""),AND(MS7&gt;=MZ$17,MT7&gt;=MZ$21,MS7&lt;&gt;""),AND(MX7&gt;=MZ$17,MY7&gt;=MZ$21,MX7&lt;&gt;""),AND(NU7&gt;=OB$17,NV7&gt;=OB$21,NU7&lt;&gt;""),AND(NZ7&gt;=OB$17,OA7&gt;=OB$21,NZ7&lt;&gt;""),AND(OW7&gt;=PD$17,OX7&gt;=PD$21,OW7&lt;&gt;""),AND(PB7&gt;=PD$17,PC7&gt;=PD$21,PB7&lt;&gt;""),AND(PY7&gt;=QF$17,PZ7&gt;=QF$21,PY7&lt;&gt;""),AND(QD7&gt;=QF$17,QE7&gt;=QF$21,QD7&lt;&gt;"")),"P","")</f>
        <v>P</v>
      </c>
      <c r="G7" s="3" t="str">
        <f>IF(OR(AND(AS7&gt;=AY$21,AS7&lt;&gt;"",AQ7=""),AND(AX7&gt;=AY$21,AX7&lt;&gt;"",AQ7=""),AND(BV7&gt;=CB$21,BV7&lt;&gt;"",BT7=""),AND(CA7&gt;=CB$21,CA7&lt;&gt;"",BT7=""),AND(CY7&gt;=DE$21,CY7&lt;&gt;"",CW7=""),AND(DD7&gt;=DE$21,DD7&lt;&gt;"",CW7=""),AND(ED7&gt;=EJ$21,ED7&lt;&gt;""),AND(EI7&gt;=EJ$21,EI7&lt;&gt;""),AND(FF7&gt;=FL$21,FF7&lt;&gt;""),AND(FK7&gt;=FL$21,FK7&lt;&gt;""),AND(GH7&gt;=GN$21,GH7&lt;&gt;""),AND(GM7&gt;=GN$21,GM7&lt;&gt;""),AND(HJ7&gt;=HP$21,HJ7&lt;&gt;""),AND(HO7&gt;=HP$21,HO7&lt;&gt;""),AND(IL7&gt;=IR$21,IL7&lt;&gt;""),AND(IQ7&gt;=IR$21,IQ7&lt;&gt;""),AND(JN7&gt;=JT$21,JN7&lt;&gt;""),AND(JS7&gt;=JT$21,JS7&lt;&gt;""),AND(KP7&gt;=KV$21,KP7&lt;&gt;""),AND(KU7&gt;=KV$21,KU7&lt;&gt;""),AND(LR7&gt;=LX$21,LR7&lt;&gt;""),AND(LW7&gt;=LX$21,LW7&lt;&gt;""),AND(MT7&gt;=MZ$21,MT7&lt;&gt;""),AND(MY7&gt;=MZ$21,MY7&lt;&gt;""),AND(NV7&gt;=OB$21,NV7&lt;&gt;""),AND(OA7&gt;=OB$21,OA7&lt;&gt;""),AND(OX7&gt;=PD$21,OX7&lt;&gt;""),AND(PC7&gt;=PD$21,PC7&lt;&gt;""),AND(PZ7&gt;=QF$21,PZ7&lt;&gt;""),AND(QE7&gt;=QF$21,QE7&lt;&gt;"")),"P","")</f>
        <v>P</v>
      </c>
      <c r="H7" s="70" t="str">
        <f>IF(AND(G7="P",F7=""),"No DD",IF(OR(AND(AU7&gt;=AY$20,AV7&gt;=AY$24,AU7&lt;&gt;"",AQ7=""),AND(BX7&gt;=CB$20,BY7&gt;=CB$24,BX7&lt;&gt;"",BT7=""),AND(DA7&gt;=DE$20,DB7&gt;=DE$24,DA7&lt;&gt;"",CW7=""),AND(EF7&gt;=EJ$20,EG7&gt;=EJ$24,EF7&lt;&gt;""),AND(FH7&gt;=FL$20,FI7&gt;=FL$24,FH7&lt;&gt;""),AND(GJ7&gt;=GN$20,GK7&gt;=GN$24,GJ7&lt;&gt;""),AND(HL7&gt;=HP$20,HM7&gt;=HP$24,HL7&lt;&gt;""),AND(IN7&gt;=IR$20,IO7&gt;=IR$24,IN7&lt;&gt;""),AND(JP7&gt;=JT$20,JQ7&gt;=JT$24,JP7&lt;&gt;""),AND(KR7&gt;=KV$20,KS7&gt;=KV$24,KR7&lt;&gt;""),AND(LT7&gt;=LX$20,LU7&gt;=LX$24,LT7&lt;&gt;""),AND(MV7&gt;=MZ$20,MW7&gt;=MZ$24,MV7&lt;&gt;""),AND(NX7&gt;=OB$20,NY7&gt;=OB$24,NX7&lt;&gt;""),AND(OZ7&gt;=PD$20,PA7&gt;=PD$24,OZ7&lt;&gt;""),AND(QB7&gt;=QF$20,QC7&gt;=QF$24,QB7&lt;&gt;"")),"Merit",IF(OR(AND(AU7&gt;=AY$19,AV7&gt;=AY$23,AU7&lt;&gt;"",AQ7=""),AND(BX7&gt;=CB$19,BY7&gt;=CB$23,BX7&lt;&gt;"",BT7=""),AND(DA7&gt;=DE$19,DB7&gt;=DE$23,DA7&lt;&gt;"",CW7=""),AND(EF7&gt;=EJ$19,EG7&gt;=EJ$23,EF7&lt;&gt;""),AND(FH7&gt;=FL$19,FI7&gt;=FL$23,FH7&lt;&gt;""),AND(GJ7&gt;=GN$19,GK7&gt;=GN$23,GJ7&lt;&gt;""),AND(HL7&gt;=HP$19,HM7&gt;=HP$23,HL7&lt;&gt;""),AND(IN7&gt;=IR$19,IO7&gt;=IR$23,IN7&lt;&gt;""),AND(JP7&gt;=JT$19,JQ7&gt;=JT$23,JP7&lt;&gt;""),AND(KR7&gt;=KV$19,KS7&gt;=KV$23,KR7&lt;&gt;""),AND(LT7&gt;=LX$19,LU7&gt;=LX$23,LT7&lt;&gt;""),AND(MV7&gt;=MZ$19,MW7&gt;=MZ$23,MV7&lt;&gt;""),AND(NX7&gt;=OB$19,NY7&gt;=OB$23,NX7&lt;&gt;""),AND(OZ7&gt;=PD$19,PA7&gt;=PD$23,OZ7&lt;&gt;""),AND(QB7&gt;=QF$19,QC7&gt;=QF$23,QB7&lt;&gt;"")),"Excellence",IF(I7="P","Worlds Team",IF(F7="P","National Team","")))))</f>
        <v>Worlds Team</v>
      </c>
      <c r="I7" s="3" t="str">
        <f>IF(OR(AND(AU7&gt;=AY$18,AV7&gt;=AY$22,AU7&lt;&gt;"",AQ7=""),AND(BX7&gt;=CB$18,BY7&gt;=CB$22,BX7&lt;&gt;"",BT7=""),AND(DA7&gt;=DE$18,DB7&gt;=DE$22,DA7&lt;&gt;"",CW7=""),AND(EF7&gt;=EJ$18,EG7&gt;=EJ$22,EF7&lt;&gt;""),AND(FH7&gt;=FL$18,FI7&gt;=FL$22,FH7&lt;&gt;""),AND(GJ7&gt;=GN$18,GK7&gt;=GN$22,GJ7&lt;&gt;""),AND(HL7&gt;=HP$18,HM7&gt;=HP$22,HL7&lt;&gt;""),AND(IN7&gt;=IR$18,IO7&gt;=IR$22,IN7&lt;&gt;""),AND(JP7&gt;=JT$18,JQ7&gt;=JT$22,JP7&lt;&gt;""),AND(KR7&gt;=KV$18,KS7&gt;=KV$22,KR7&lt;&gt;""),AND(LT7&gt;=LX$18,LU7&gt;=LX$22,LT7&lt;&gt;""),AND(MV7&gt;=MZ$18,MW7&gt;=MZ$22,MV7&lt;&gt;""),AND(NX7&gt;=OB$18,NY7&gt;=OB$22,NX7&lt;&gt;""),AND(OZ7&gt;=PD$18,PA7&gt;=PD$22,OZ7&lt;&gt;""),AND(QB7&gt;=QF$18,QC7&gt;=QF$22,QB7&lt;&gt;"")),"P","")</f>
        <v>P</v>
      </c>
      <c r="J7" s="13">
        <f>IF(COUNT(AS7,BV7,CY7)&gt;0,LARGE((AS7,BV7,CY7),1),0)</f>
        <v>49.2</v>
      </c>
      <c r="K7" s="13" t="str">
        <f>IF(J7=0,"",IF(J7=CY7,$CC$1,IF(J7=BV7,$AZ$1,IF(J7=AS7,$W$1,""))))</f>
        <v>2022 Elite Canada</v>
      </c>
      <c r="L7" s="13">
        <f>IF(COUNT(AS7,BV7,CY7)&gt;1,LARGE((AS7,BV7,CY7),2),0)</f>
        <v>0</v>
      </c>
      <c r="M7" s="13" t="str">
        <f>IF(L7=0,"",IF(L7=CY7,$CC$1,IF(L7=BV7,$AZ$1,IF(L7=AS7,$W$1,""))))</f>
        <v/>
      </c>
      <c r="N7" s="13">
        <f>IF(COUNT(AT7,BW7,CZ7)&gt;0,LARGE((AT7,BW7,CZ7),1),0)</f>
        <v>22.999999999999996</v>
      </c>
      <c r="O7" s="13" t="str">
        <f>IF(N7=0,"",IF(N7=CZ7,$CC$1,IF(N7=BW7,$AZ$1,IF(N7=AT7,$W$1,""))))</f>
        <v>2022 Elite Canada</v>
      </c>
      <c r="P7" s="13">
        <f>IF(COUNT(AT7,BW7,CZ7)&gt;1,LARGE((AT7,BW7,CZ7),2),0)</f>
        <v>0</v>
      </c>
      <c r="Q7" s="13" t="str">
        <f>IF(P7=0,"",IF(P7=CZ7,$CC$1,IF(P7=BW7,$AZ$1,IF(P7=AT7,$W$1,""))))</f>
        <v/>
      </c>
      <c r="R7" s="13">
        <f>IF(MAX(AX7,CA7,DD7)&gt;0,MAX(AX7,CA7,DD7),0)</f>
        <v>48.000000000000007</v>
      </c>
      <c r="S7" s="13" t="str">
        <f>IF(R7=0,"",IF(R7=DD7,$CC$1,IF(R7=CA7,$AZ$1,IF(R7=AX7,$W$1,""))))</f>
        <v>2022 Elite Canada</v>
      </c>
      <c r="T7" s="13">
        <f>IF(MAX(DF7:DH7)&gt;0,MAX(DF7:DH7),"")</f>
        <v>9.9999999999994316E-2</v>
      </c>
      <c r="U7" s="16" t="str">
        <f>IF(T7="","",IF(T7=DF7,"("&amp;DF$2&amp;")",IF(T7=DH7,"("&amp;DH$2&amp;")")))</f>
        <v>(Final)</v>
      </c>
      <c r="V7" s="13" t="str">
        <f>IF(T7="","",IF(T7=DF7,IF(T7+IF(L7="",0,L7)=PZ7,$PE$1,IF(T7+IF(L7="",0,L7)=OX7,$OC$1,IF(T7+IF(L7="",0,L7)=NV7,$NA$1,IF(T7+IF(L7="",0,L7)=MT7,$LY$1,IF(T7+IF(L7="",0,L7)=LR7,$KW$1,IF(T7+IF(L7="",0,L7)=KP7,$JU$1,IF(T7+IF(L7="",0,L7)=JN7,$IS$1,IF(T7+IF(L7="",0,L7)=IL7,$HQ$1,IF(T7+IF(L7="",0,L7)=HJ7,$GO$1,IF(T7+IF(L7="",0,L7)=GH7,$FM$1,IF(T7+IF(L7="",0,L7)=FF7,$EK$1,IF(T7+IF(L7="",0,L7)=ED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</f>
        <v>2022 World Games Technical Trial #1 (Mar 12)</v>
      </c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51"/>
      <c r="AR7" s="76" t="str">
        <f>IF(SUM(X7,AB7)&gt;0,SUM(X7,AB7),"")</f>
        <v/>
      </c>
      <c r="AS7" s="76" t="str">
        <f>IF(SUM(W7:X7,Z7:AB7,AD7)-Y7-AC7&gt;0,SUM(W7:X7,Z7:AB7,AD7)-Y7-AC7,"")</f>
        <v/>
      </c>
      <c r="AT7" s="76" t="str">
        <f>IF(SUM(AE7:AF7,AH7)-AG7&gt;0,SUM(AE7:AF7,AH7)-AG7,"")</f>
        <v/>
      </c>
      <c r="AU7" s="76" t="str">
        <f>IF(SUM(X7,AB7,AF7)&gt;0,SUM(X7,AB7,AF7),"")</f>
        <v/>
      </c>
      <c r="AV7" s="76" t="str">
        <f>IF(SUM(AS7,AT7)&gt;0,SUM(AS7,AT7),"")</f>
        <v/>
      </c>
      <c r="AW7" s="76" t="str">
        <f>IF(SUM(AJ7,AN7)&gt;0,SUM(AJ7,AN7),"")</f>
        <v/>
      </c>
      <c r="AX7" s="76" t="str">
        <f>IF(SUM(AI7:AJ7,AL7:AN7,AP7)-SUM(AK7,AO7)&gt;0,SUM(AI7:AJ7,AL7:AN7,AP7)-SUM(AK7,AO7),"")</f>
        <v/>
      </c>
      <c r="AY7" s="76" t="str">
        <f>IF(SUM(AS7,AX7)&gt;0,SUM(AS7,AX7),"")</f>
        <v/>
      </c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52"/>
      <c r="BU7" s="16" t="str">
        <f>IF(SUM(BA7,BE7)&gt;0,SUM(BA7,BE7),"")</f>
        <v/>
      </c>
      <c r="BV7" s="16" t="str">
        <f>IF(SUM(AZ7:BA7,BC7:BE7,BG7)-BB7-BF7&gt;0,SUM(AZ7:BA7,BC7:BE7,BG7)-BB7-BF7,"")</f>
        <v/>
      </c>
      <c r="BW7" s="16" t="str">
        <f>IF(SUM(BH7:BI7,BK7)-BJ7&gt;0,SUM(BH7:BI7,BK7)-BJ7,"")</f>
        <v/>
      </c>
      <c r="BX7" s="16" t="str">
        <f>IF(SUM(BA7,BE7,BI7)&gt;0,SUM(BA7,BE7,BI7),"")</f>
        <v/>
      </c>
      <c r="BY7" s="16" t="str">
        <f>IF(SUM(BV7,BW7)&gt;0,SUM(BV7,BW7),"")</f>
        <v/>
      </c>
      <c r="BZ7" s="16" t="str">
        <f>IF(SUM(BM7,BQ7)&gt;0,SUM(BM7,BQ7),"")</f>
        <v/>
      </c>
      <c r="CA7" s="16" t="str">
        <f>IF(SUM(BL7:BM7,BO7:BQ7,BS7)-SUM(BN7,BR7)&gt;0,SUM(BL7:BM7,BO7:BQ7,BS7)-SUM(BN7,BR7),"")</f>
        <v/>
      </c>
      <c r="CB7" s="16" t="str">
        <f>IF(SUM(BV7,CA7)&gt;0,SUM(BV7,CA7),"")</f>
        <v/>
      </c>
      <c r="CC7" s="27">
        <v>19</v>
      </c>
      <c r="CD7" s="27">
        <v>5.6</v>
      </c>
      <c r="CE7" s="27">
        <v>0</v>
      </c>
      <c r="CF7" s="27">
        <v>0</v>
      </c>
      <c r="CG7" s="27">
        <v>18.600000000000001</v>
      </c>
      <c r="CH7" s="27">
        <v>6</v>
      </c>
      <c r="CI7" s="27">
        <v>0</v>
      </c>
      <c r="CJ7" s="27">
        <v>0</v>
      </c>
      <c r="CK7" s="27">
        <v>18.399999999999999</v>
      </c>
      <c r="CL7" s="27">
        <v>5.2</v>
      </c>
      <c r="CM7" s="27">
        <v>0.6</v>
      </c>
      <c r="CN7" s="27">
        <v>0</v>
      </c>
      <c r="CO7" s="27">
        <v>18.600000000000001</v>
      </c>
      <c r="CP7" s="27">
        <v>5.6</v>
      </c>
      <c r="CQ7" s="27">
        <v>0</v>
      </c>
      <c r="CR7" s="27">
        <v>0</v>
      </c>
      <c r="CS7" s="27">
        <v>18.600000000000001</v>
      </c>
      <c r="CT7" s="27">
        <v>6</v>
      </c>
      <c r="CU7" s="27">
        <v>0.8</v>
      </c>
      <c r="CV7" s="27">
        <v>0</v>
      </c>
      <c r="CW7" s="51"/>
      <c r="CX7" s="76">
        <f>IF(SUM(CD7,CH7)&gt;0,SUM(CD7,CH7),"")</f>
        <v>11.6</v>
      </c>
      <c r="CY7" s="76">
        <f>IF(SUM(CC7:CD7,CF7:CH7,CJ7)-CE7-CI7&gt;0,SUM(CC7:CD7,CF7:CH7,CJ7)-CE7-CI7,"")</f>
        <v>49.2</v>
      </c>
      <c r="CZ7" s="76">
        <f>IF(SUM(CK7:CL7,CN7)-CM7&gt;0,SUM(CK7:CL7,CN7)-CM7,"")</f>
        <v>22.999999999999996</v>
      </c>
      <c r="DA7" s="76">
        <f>IF(SUM(CD7,CH7,CL7)&gt;0,SUM(CD7,CH7,CL7),"")</f>
        <v>16.8</v>
      </c>
      <c r="DB7" s="76">
        <f>IF(SUM(CY7,CZ7)&gt;0,SUM(CY7,CZ7),"")</f>
        <v>72.2</v>
      </c>
      <c r="DC7" s="76">
        <f>IF(SUM(CP7,CT7)&gt;0,SUM(CP7,CT7),"")</f>
        <v>11.6</v>
      </c>
      <c r="DD7" s="76">
        <f>IF(SUM(CO7:CP7,CR7:CT7,CV7)-SUM(CQ7,CU7)&gt;0,SUM(CO7:CP7,CR7:CT7,CV7)-SUM(CQ7,CU7),"")</f>
        <v>48.000000000000007</v>
      </c>
      <c r="DE7" s="76">
        <f>IF(SUM(CY7,DD7)&gt;0,SUM(CY7,DD7),"")</f>
        <v>97.200000000000017</v>
      </c>
      <c r="DF7" s="87" t="str">
        <f>IF(L7&gt;=0.001,IF(MAX(ED7,FF7,GH7,HJ7,IL7,JN7,KP7,LR7,MT7,NV7,OX7,PZ7)-IF(L7="",0,L7)&gt;0.001,MAX(ED7,FF7,GH7,HJ7,IL7,JN7,KP7,LR7,MT7,NV7,OX7,PZ7)-IF(L7="",0,L7),""),"")</f>
        <v/>
      </c>
      <c r="DG7" s="87" t="str">
        <f>IF(P7&gt;=0.001,IF(MAX(EE7,FG7,GI7,HK7,IM7,JO7,KQ7,LS7,MU7,NW7,OY7,QA7)-IF(P7="",0,P7)&gt;0.001,MAX(EE7,FG7,GI7,HK7,IM7,JO7,KQ7,LS7,MU7,NW7,OY7,QA7)-IF(P7="",0,P7),""),"")</f>
        <v/>
      </c>
      <c r="DH7" s="87">
        <f>IF(R7&gt;=0.001,IF(MAX(EI7,FK7,GM7,HO7,IQ7,JS7,KU7,LW7,MY7,OA7,PC7,QE7)-IF(R7="",0,R7)&gt;0.001,MAX(EI7,FK7,GM7,HO7,IQ7,JS7,KU7,LW7,MY7,OA7,PC7,QE7)-IF(R7="",0,R7),""),"")</f>
        <v>9.9999999999994316E-2</v>
      </c>
      <c r="DI7" s="25"/>
      <c r="DJ7" s="25">
        <v>4.0000000000000003E-5</v>
      </c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76">
        <f>IF(SUM(DJ7,DN7)&gt;0,SUM(DJ7,DN7),"")</f>
        <v>4.0000000000000003E-5</v>
      </c>
      <c r="ED7" s="76">
        <f>IF(SUM(DI7:DJ7,DL7:DN7,DP7)-DK7-DO7&gt;0,SUM(DI7:DJ7,DL7:DN7,DP7)-DK7-DO7,"")</f>
        <v>4.0000000000000003E-5</v>
      </c>
      <c r="EE7" s="76" t="str">
        <f>IF(SUM(DQ7:DR7,DT7)-DS7&gt;0,SUM(DQ7:DR7,DT7)-DS7,"")</f>
        <v/>
      </c>
      <c r="EF7" s="76">
        <f>IF(SUM(DJ7,DN7,DR7)&gt;0,SUM(DJ7,DN7,DR7),"")</f>
        <v>4.0000000000000003E-5</v>
      </c>
      <c r="EG7" s="76">
        <f>IF(SUM(ED7,EE7)&gt;0,SUM(ED7,EE7),"")</f>
        <v>4.0000000000000003E-5</v>
      </c>
      <c r="EH7" s="76" t="str">
        <f>IF(SUM(DV7,DZ7)&gt;0,SUM(DV7,DZ7),"")</f>
        <v/>
      </c>
      <c r="EI7" s="76" t="str">
        <f>IF(SUM(DU7:DV7,DX7:DZ7,EB7)-SUM(DW7,EA7)&gt;0,SUM(DU7:DV7,DX7:DZ7,EB7)-SUM(DW7,EA7),"")</f>
        <v/>
      </c>
      <c r="EJ7" s="76">
        <f>IF(SUM(ED7,EI7)&gt;0,SUM(ED7,EI7),"")</f>
        <v>4.0000000000000003E-5</v>
      </c>
      <c r="EK7" s="26">
        <v>18.8</v>
      </c>
      <c r="EL7" s="26">
        <v>5.6</v>
      </c>
      <c r="EM7" s="26">
        <v>0</v>
      </c>
      <c r="EN7" s="26">
        <v>0</v>
      </c>
      <c r="EO7" s="26">
        <v>17.3</v>
      </c>
      <c r="EP7" s="26">
        <v>2.4</v>
      </c>
      <c r="EQ7" s="26">
        <v>0</v>
      </c>
      <c r="ER7" s="26">
        <v>0</v>
      </c>
      <c r="ES7" s="26"/>
      <c r="ET7" s="26"/>
      <c r="EU7" s="26"/>
      <c r="EV7" s="26"/>
      <c r="EW7" s="26">
        <v>18.399999999999999</v>
      </c>
      <c r="EX7" s="26">
        <v>5.6</v>
      </c>
      <c r="EY7" s="26">
        <v>0.6</v>
      </c>
      <c r="EZ7" s="26">
        <v>0</v>
      </c>
      <c r="FA7" s="26">
        <v>18.7</v>
      </c>
      <c r="FB7" s="26">
        <v>6</v>
      </c>
      <c r="FC7" s="26">
        <v>0</v>
      </c>
      <c r="FD7" s="26">
        <v>0</v>
      </c>
      <c r="FE7" s="16">
        <f>IF(SUM(EL7,EP7)&gt;0,SUM(EL7,EP7),"")</f>
        <v>8</v>
      </c>
      <c r="FF7" s="16">
        <f>IF(SUM(EK7:EL7,EN7:EP7,ER7)-EM7-EQ7&gt;0,SUM(EK7:EL7,EN7:EP7,ER7)-EM7-EQ7,"")</f>
        <v>44.1</v>
      </c>
      <c r="FG7" s="16" t="str">
        <f>IF(SUM(ES7:ET7,EV7)-EU7&gt;0,SUM(ES7:ET7,EV7)-EU7,"")</f>
        <v/>
      </c>
      <c r="FH7" s="16">
        <f>IF(SUM(EL7,EP7,ET7)&gt;0,SUM(EL7,EP7,ET7),"")</f>
        <v>8</v>
      </c>
      <c r="FI7" s="16">
        <f>IF(SUM(FF7,FG7)&gt;0,SUM(FF7,FG7),"")</f>
        <v>44.1</v>
      </c>
      <c r="FJ7" s="16">
        <f>IF(SUM(EX7,FB7)&gt;0,SUM(EX7,FB7),"")</f>
        <v>11.6</v>
      </c>
      <c r="FK7" s="16">
        <f>IF(SUM(EW7:EX7,EZ7:FB7,FD7)-SUM(EY7,FC7)&gt;0,SUM(EW7:EX7,EZ7:FB7,FD7)-SUM(EY7,FC7),"")</f>
        <v>48.1</v>
      </c>
      <c r="FL7" s="16">
        <f>IF(SUM(FF7,FK7)&gt;0,SUM(FF7,FK7),"")</f>
        <v>92.2</v>
      </c>
      <c r="FM7" s="25">
        <v>18.600000000000001</v>
      </c>
      <c r="FN7" s="25">
        <v>6.4</v>
      </c>
      <c r="FO7" s="25">
        <v>0</v>
      </c>
      <c r="FP7" s="25">
        <v>0</v>
      </c>
      <c r="FQ7" s="25">
        <v>18.5</v>
      </c>
      <c r="FR7" s="25">
        <v>6</v>
      </c>
      <c r="FS7" s="25">
        <v>0</v>
      </c>
      <c r="FT7" s="25">
        <v>0.3</v>
      </c>
      <c r="FU7" s="25"/>
      <c r="FV7" s="25"/>
      <c r="FW7" s="25"/>
      <c r="FX7" s="25"/>
      <c r="FY7" s="25">
        <v>17.399999999999999</v>
      </c>
      <c r="FZ7" s="25">
        <v>2.8</v>
      </c>
      <c r="GA7" s="25">
        <v>0</v>
      </c>
      <c r="GB7" s="25">
        <v>0</v>
      </c>
      <c r="GC7" s="25">
        <v>17.399999999999999</v>
      </c>
      <c r="GD7" s="25">
        <v>2.4</v>
      </c>
      <c r="GE7" s="25">
        <v>0</v>
      </c>
      <c r="GF7" s="25">
        <v>0</v>
      </c>
      <c r="GG7" s="76">
        <f>IF(SUM(FN7,FR7)&gt;0,SUM(FN7,FR7),"")</f>
        <v>12.4</v>
      </c>
      <c r="GH7" s="76">
        <f>IF(SUM(FM7:FN7,FP7:FR7,FT7)-FO7-FS7&gt;0,SUM(FM7:FN7,FP7:FR7,FT7)-FO7-FS7,"")</f>
        <v>49.8</v>
      </c>
      <c r="GI7" s="76" t="str">
        <f>IF(SUM(FU7:FV7,FX7)-FW7&gt;0,SUM(FU7:FV7,FX7)-FW7,"")</f>
        <v/>
      </c>
      <c r="GJ7" s="76">
        <f>IF(SUM(FN7,FR7,FV7)&gt;0,SUM(FN7,FR7,FV7),"")</f>
        <v>12.4</v>
      </c>
      <c r="GK7" s="76">
        <f>IF(SUM(GH7,GI7)&gt;0,SUM(GH7,GI7),"")</f>
        <v>49.8</v>
      </c>
      <c r="GL7" s="76">
        <f>IF(SUM(FZ7,GD7)&gt;0,SUM(FZ7,GD7),"")</f>
        <v>5.1999999999999993</v>
      </c>
      <c r="GM7" s="76">
        <f>IF(SUM(FY7:FZ7,GB7:GD7,GF7)-SUM(GA7,GE7)&gt;0,SUM(FY7:FZ7,GB7:GD7,GF7)-SUM(GA7,GE7),"")</f>
        <v>39.999999999999993</v>
      </c>
      <c r="GN7" s="76">
        <f>IF(SUM(GH7,GM7)&gt;0,SUM(GH7,GM7),"")</f>
        <v>89.799999999999983</v>
      </c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16" t="str">
        <f>IF(SUM(GP7,GT7)&gt;0,SUM(GP7,GT7),"")</f>
        <v/>
      </c>
      <c r="HJ7" s="16" t="str">
        <f>IF(SUM(GO7:GP7,GR7:GT7,GV7)-GQ7-GU7&gt;0,SUM(GO7:GP7,GR7:GT7,GV7)-GQ7-GU7,"")</f>
        <v/>
      </c>
      <c r="HK7" s="16" t="str">
        <f>IF(SUM(GW7:GX7,GZ7)-GY7&gt;0,SUM(GW7:GX7,GZ7)-GY7,"")</f>
        <v/>
      </c>
      <c r="HL7" s="16" t="str">
        <f>IF(SUM(GP7,GT7,GX7)&gt;0,SUM(GP7,GT7,GX7),"")</f>
        <v/>
      </c>
      <c r="HM7" s="16" t="str">
        <f>IF(SUM(HJ7,HK7)&gt;0,SUM(HJ7,HK7),"")</f>
        <v/>
      </c>
      <c r="HN7" s="16" t="str">
        <f>IF(SUM(HB7,HF7)&gt;0,SUM(HB7,HF7),"")</f>
        <v/>
      </c>
      <c r="HO7" s="16" t="str">
        <f>IF(SUM(HA7:HB7,HD7:HF7,HH7)-SUM(HC7,HG7)&gt;0,SUM(HA7:HB7,HD7:HF7,HH7)-SUM(HC7,HG7),"")</f>
        <v/>
      </c>
      <c r="HP7" s="16" t="str">
        <f>IF(SUM(HJ7,HO7)&gt;0,SUM(HJ7,HO7),"")</f>
        <v/>
      </c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76" t="str">
        <f>IF(SUM(HR7,HV7)&gt;0,SUM(HR7,HV7),"")</f>
        <v/>
      </c>
      <c r="IL7" s="76" t="str">
        <f>IF(SUM(HQ7:HR7,HT7:HV7,HX7)-HS7-HW7&gt;0,SUM(HQ7:HR7,HT7:HV7,HX7)-HS7-HW7,"")</f>
        <v/>
      </c>
      <c r="IM7" s="76" t="str">
        <f>IF(SUM(HY7:HZ7,IB7)-IA7&gt;0,SUM(HY7:HZ7,IB7)-IA7,"")</f>
        <v/>
      </c>
      <c r="IN7" s="76" t="str">
        <f>IF(SUM(HR7,HV7,HZ7)&gt;0,SUM(HR7,HV7,HZ7),"")</f>
        <v/>
      </c>
      <c r="IO7" s="76" t="str">
        <f>IF(SUM(IL7,IM7)&gt;0,SUM(IL7,IM7),"")</f>
        <v/>
      </c>
      <c r="IP7" s="76" t="str">
        <f>IF(SUM(ID7,IH7)&gt;0,SUM(ID7,IH7),"")</f>
        <v/>
      </c>
      <c r="IQ7" s="76" t="str">
        <f>IF(SUM(IC7:ID7,IF7:IH7,IJ7)-SUM(IE7,II7)&gt;0,SUM(IC7:ID7,IF7:IH7,IJ7)-SUM(IE7,II7),"")</f>
        <v/>
      </c>
      <c r="IR7" s="76" t="str">
        <f>IF(SUM(IL7,IQ7)&gt;0,SUM(IL7,IQ7),"")</f>
        <v/>
      </c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16" t="str">
        <f>IF(SUM(IT7,IX7)&gt;0,SUM(IT7,IX7),"")</f>
        <v/>
      </c>
      <c r="JN7" s="16" t="str">
        <f>IF(SUM(IS7:IT7,IV7:IX7,IZ7)-IU7-IY7&gt;0,SUM(IS7:IT7,IV7:IX7,IZ7)-IU7-IY7,"")</f>
        <v/>
      </c>
      <c r="JO7" s="16" t="str">
        <f>IF(SUM(JA7:JB7,JD7)-JC7&gt;0,SUM(JA7:JB7,JD7)-JC7,"")</f>
        <v/>
      </c>
      <c r="JP7" s="16" t="str">
        <f>IF(SUM(IT7,IX7,JB7)&gt;0,SUM(IT7,IX7,JB7),"")</f>
        <v/>
      </c>
      <c r="JQ7" s="16" t="str">
        <f>IF(SUM(JN7,JO7)&gt;0,SUM(JN7,JO7),"")</f>
        <v/>
      </c>
      <c r="JR7" s="16" t="str">
        <f>IF(SUM(JF7,JJ7)&gt;0,SUM(JF7,JJ7),"")</f>
        <v/>
      </c>
      <c r="JS7" s="16" t="str">
        <f>IF(SUM(JE7:JF7,JH7:JJ7,JL7)-SUM(JG7,JK7)&gt;0,SUM(JE7:JF7,JH7:JJ7,JL7)-SUM(JG7,JK7),"")</f>
        <v/>
      </c>
      <c r="JT7" s="16" t="str">
        <f>IF(SUM(JN7,JS7)&gt;0,SUM(JN7,JS7),"")</f>
        <v/>
      </c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76" t="str">
        <f>IF(SUM(JV7,JZ7)&gt;0,SUM(JV7,JZ7),"")</f>
        <v/>
      </c>
      <c r="KP7" s="76" t="str">
        <f>IF(SUM(JU7:JV7,JX7:JZ7,KB7)-JW7-KA7&gt;0,SUM(JU7:JV7,JX7:JZ7,KB7)-JW7-KA7,"")</f>
        <v/>
      </c>
      <c r="KQ7" s="76" t="str">
        <f>IF(SUM(KC7:KD7,KF7)-KE7&gt;0,SUM(KC7:KD7,KF7)-KE7,"")</f>
        <v/>
      </c>
      <c r="KR7" s="76" t="str">
        <f>IF(SUM(JV7,JZ7,KD7)&gt;0,SUM(JV7,JZ7,KD7),"")</f>
        <v/>
      </c>
      <c r="KS7" s="76" t="str">
        <f>IF(SUM(KP7,KQ7)&gt;0,SUM(KP7,KQ7),"")</f>
        <v/>
      </c>
      <c r="KT7" s="76" t="str">
        <f>IF(SUM(KH7,KL7)&gt;0,SUM(KH7,KL7),"")</f>
        <v/>
      </c>
      <c r="KU7" s="76" t="str">
        <f>IF(SUM(KG7:KH7,KJ7:KL7,KN7)-SUM(KI7,KM7)&gt;0,SUM(KG7:KH7,KJ7:KL7,KN7)-SUM(KI7,KM7),"")</f>
        <v/>
      </c>
      <c r="KV7" s="76" t="str">
        <f>IF(SUM(KP7,KU7)&gt;0,SUM(KP7,KU7),"")</f>
        <v/>
      </c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16" t="str">
        <f>IF(SUM(KX7,LB7)&gt;0,SUM(KX7,LB7),"")</f>
        <v/>
      </c>
      <c r="LR7" s="16" t="str">
        <f>IF(SUM(KW7:KX7,KZ7:LB7,LD7)-KY7-LC7&gt;0,SUM(KW7:KX7,KZ7:LB7,LD7)-KY7-LC7,"")</f>
        <v/>
      </c>
      <c r="LS7" s="16" t="str">
        <f>IF(SUM(LE7:LF7,LH7)-LG7&gt;0,SUM(LE7:LF7,LH7)-LG7,"")</f>
        <v/>
      </c>
      <c r="LT7" s="16" t="str">
        <f>IF(SUM(KX7,LB7,LF7)&gt;0,SUM(KX7,LB7,LF7),"")</f>
        <v/>
      </c>
      <c r="LU7" s="16" t="str">
        <f>IF(SUM(LR7,LS7)&gt;0,SUM(LR7,LS7),"")</f>
        <v/>
      </c>
      <c r="LV7" s="16" t="str">
        <f>IF(SUM(LJ7,LN7)&gt;0,SUM(LJ7,LN7),"")</f>
        <v/>
      </c>
      <c r="LW7" s="16" t="str">
        <f>IF(SUM(LI7:LJ7,LL7:LN7,LP7)-SUM(LK7,LO7)&gt;0,SUM(LI7:LJ7,LL7:LN7,LP7)-SUM(LK7,LO7),"")</f>
        <v/>
      </c>
      <c r="LX7" s="16" t="str">
        <f>IF(SUM(LR7,LW7)&gt;0,SUM(LR7,LW7),"")</f>
        <v/>
      </c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76" t="str">
        <f>IF(SUM(LZ7,MD7)&gt;0,SUM(LZ7,MD7),"")</f>
        <v/>
      </c>
      <c r="MT7" s="76" t="str">
        <f>IF(SUM(LY7:LZ7,MB7:MD7,MF7)-MA7-ME7&gt;0,SUM(LY7:LZ7,MB7:MD7,MF7)-MA7-ME7,"")</f>
        <v/>
      </c>
      <c r="MU7" s="76" t="str">
        <f>IF(SUM(MG7:MH7,MJ7)-MI7&gt;0,SUM(MG7:MH7,MJ7)-MI7,"")</f>
        <v/>
      </c>
      <c r="MV7" s="76" t="str">
        <f>IF(SUM(LZ7,MD7,MH7)&gt;0,SUM(LZ7,MD7,MH7),"")</f>
        <v/>
      </c>
      <c r="MW7" s="76" t="str">
        <f>IF(SUM(MT7,MU7)&gt;0,SUM(MT7,MU7),"")</f>
        <v/>
      </c>
      <c r="MX7" s="76" t="str">
        <f>IF(SUM(ML7,MP7)&gt;0,SUM(ML7,MP7),"")</f>
        <v/>
      </c>
      <c r="MY7" s="76" t="str">
        <f>IF(SUM(MK7:ML7,MN7:MP7,MR7)-SUM(MM7,MQ7)&gt;0,SUM(MK7:ML7,MN7:MP7,MR7)-SUM(MM7,MQ7),"")</f>
        <v/>
      </c>
      <c r="MZ7" s="76" t="str">
        <f>IF(SUM(MT7,MY7)&gt;0,SUM(MT7,MY7),"")</f>
        <v/>
      </c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16" t="str">
        <f>IF(SUM(NB7,NF7)&gt;0,SUM(NB7,NF7),"")</f>
        <v/>
      </c>
      <c r="NV7" s="16" t="str">
        <f>IF(SUM(NA7:NB7,ND7:NF7,NH7)-NC7-NG7&gt;0,SUM(NA7:NB7,ND7:NF7,NH7)-NC7-NG7,"")</f>
        <v/>
      </c>
      <c r="NW7" s="16" t="str">
        <f>IF(SUM(NI7:NJ7,NL7)-NK7&gt;0,SUM(NI7:NJ7,NL7)-NK7,"")</f>
        <v/>
      </c>
      <c r="NX7" s="16" t="str">
        <f>IF(SUM(NB7,NF7,NJ7)&gt;0,SUM(NB7,NF7,NJ7),"")</f>
        <v/>
      </c>
      <c r="NY7" s="16" t="str">
        <f>IF(SUM(NV7,NW7)&gt;0,SUM(NV7,NW7),"")</f>
        <v/>
      </c>
      <c r="NZ7" s="16" t="str">
        <f>IF(SUM(NN7,NR7)&gt;0,SUM(NN7,NR7),"")</f>
        <v/>
      </c>
      <c r="OA7" s="16" t="str">
        <f>IF(SUM(NM7:NN7,NP7:NR7,NT7)-SUM(NO7,NS7)&gt;0,SUM(NM7:NN7,NP7:NR7,NT7)-SUM(NO7,NS7),"")</f>
        <v/>
      </c>
      <c r="OB7" s="16" t="str">
        <f>IF(SUM(NV7,OA7)&gt;0,SUM(NV7,OA7),"")</f>
        <v/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76" t="str">
        <f>IF(SUM(OD7,OH7)&gt;0,SUM(OD7,OH7),"")</f>
        <v/>
      </c>
      <c r="OX7" s="76" t="str">
        <f>IF(SUM(OC7:OD7,OF7:OH7,OJ7)-OE7-OI7&gt;0,SUM(OC7:OD7,OF7:OH7,OJ7)-OE7-OI7,"")</f>
        <v/>
      </c>
      <c r="OY7" s="76" t="str">
        <f>IF(SUM(OK7:OL7,ON7)-OM7&gt;0,SUM(OK7:OL7,ON7)-OM7,"")</f>
        <v/>
      </c>
      <c r="OZ7" s="76" t="str">
        <f>IF(SUM(OD7,OH7,OL7)&gt;0,SUM(OD7,OH7,OL7),"")</f>
        <v/>
      </c>
      <c r="PA7" s="76" t="str">
        <f>IF(SUM(OX7,OY7)&gt;0,SUM(OX7,OY7),"")</f>
        <v/>
      </c>
      <c r="PB7" s="76" t="str">
        <f>IF(SUM(OP7,OT7)&gt;0,SUM(OP7,OT7),"")</f>
        <v/>
      </c>
      <c r="PC7" s="76" t="str">
        <f>IF(SUM(OO7:OP7,OR7:OT7,OV7)-SUM(OQ7,OU7)&gt;0,SUM(OO7:OP7,OR7:OT7,OV7)-SUM(OQ7,OU7),"")</f>
        <v/>
      </c>
      <c r="PD7" s="76" t="str">
        <f>IF(SUM(OX7,PC7)&gt;0,SUM(OX7,PC7),"")</f>
        <v/>
      </c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16" t="str">
        <f>IF(SUM(PF7,PJ7)&gt;0,SUM(PF7,PJ7),"")</f>
        <v/>
      </c>
      <c r="PZ7" s="16" t="str">
        <f>IF(SUM(PE7:PF7,PH7:PJ7,PL7)-PG7-PK7&gt;0,SUM(PE7:PF7,PH7:PJ7,PL7)-PG7-PK7,"")</f>
        <v/>
      </c>
      <c r="QA7" s="16" t="str">
        <f>IF(SUM(PM7:PN7,PP7)-PO7&gt;0,SUM(PM7:PN7,PP7)-PO7,"")</f>
        <v/>
      </c>
      <c r="QB7" s="16" t="str">
        <f>IF(SUM(PF7,PJ7,PN7)&gt;0,SUM(PF7,PJ7,PN7),"")</f>
        <v/>
      </c>
      <c r="QC7" s="16" t="str">
        <f>IF(SUM(PZ7,QA7)&gt;0,SUM(PZ7,QA7),"")</f>
        <v/>
      </c>
      <c r="QD7" s="16" t="str">
        <f>IF(SUM(PR7,PV7)&gt;0,SUM(PR7,PV7),"")</f>
        <v/>
      </c>
      <c r="QE7" s="16" t="str">
        <f>IF(SUM(PQ7:PR7,PT7:PV7,PX7)-SUM(PS7,PW7)&gt;0,SUM(PQ7:PR7,PT7:PV7,PX7)-SUM(PS7,PW7),"")</f>
        <v/>
      </c>
      <c r="QF7" s="16" t="str">
        <f>IF(SUM(PZ7,QE7)&gt;0,SUM(PZ7,QE7),"")</f>
        <v/>
      </c>
      <c r="QG7" s="42">
        <f>IF($CW7="P",CC7,(CC7+AZ7)/2)</f>
        <v>9.5</v>
      </c>
      <c r="QH7" s="42">
        <f>IF($CW7="P",CD7,(CD7+BA7)/2)</f>
        <v>2.8</v>
      </c>
      <c r="QI7" s="42">
        <f>IF($CW7="P",CE7,(CE7+BB7)/2)</f>
        <v>0</v>
      </c>
      <c r="QJ7" s="42">
        <f>IF($CW7="P",CF7,(CF7+BC7)/2)</f>
        <v>0</v>
      </c>
      <c r="QK7" s="42">
        <f>IF($CW7="P",CG7,(CG7+BD7)/2)</f>
        <v>9.3000000000000007</v>
      </c>
      <c r="QL7" s="42">
        <f>IF($CW7="P",CH7,(CH7+BE7)/2)</f>
        <v>3</v>
      </c>
      <c r="QM7" s="42">
        <f>IF($CW7="P",CI7,(CI7+BF7)/2)</f>
        <v>0</v>
      </c>
      <c r="QN7" s="42">
        <f>IF($CW7="P",CJ7,(CJ7+BG7)/2)</f>
        <v>0</v>
      </c>
      <c r="QO7" s="42">
        <f>IF($CW7="P",CK7,(CK7+BH7)/2)</f>
        <v>9.1999999999999993</v>
      </c>
      <c r="QP7" s="42">
        <f>IF($CW7="P",CL7,(CL7+BI7)/2)</f>
        <v>2.6</v>
      </c>
      <c r="QQ7" s="42">
        <f>IF($CW7="P",CM7,(CM7+BJ7)/2)</f>
        <v>0.3</v>
      </c>
      <c r="QR7" s="42">
        <f>IF($CW7="P",CN7,(CN7+BK7)/2)</f>
        <v>0</v>
      </c>
      <c r="QS7" s="42">
        <f>IF($CW7="P",CO7,(CO7+BL7)/2)</f>
        <v>9.3000000000000007</v>
      </c>
      <c r="QT7" s="42">
        <f>IF($CW7="P",CP7,(CP7+BM7)/2)</f>
        <v>2.8</v>
      </c>
      <c r="QU7" s="42">
        <f>IF($CW7="P",CQ7,(CQ7+BN7)/2)</f>
        <v>0</v>
      </c>
      <c r="QV7" s="42">
        <f>IF($CW7="P",CR7,(CR7+BO7)/2)</f>
        <v>0</v>
      </c>
      <c r="QW7" s="42">
        <f>IF($CW7="P",CS7,(CS7+BP7)/2)</f>
        <v>9.3000000000000007</v>
      </c>
      <c r="QX7" s="42">
        <f>IF($CW7="P",CT7,(CT7+BQ7)/2)</f>
        <v>3</v>
      </c>
      <c r="QY7" s="42">
        <f>IF($CW7="P",CU7,(CU7+BR7)/2)</f>
        <v>0.4</v>
      </c>
      <c r="QZ7" s="42">
        <f>IF($CW7="P",CV7,(CV7+BS7)/2)</f>
        <v>0</v>
      </c>
      <c r="RA7" s="51" t="s">
        <v>61</v>
      </c>
      <c r="RB7" s="76">
        <f>IF(SUM(QH7,QL7)&gt;0,SUM(QH7,QL7),"")</f>
        <v>5.8</v>
      </c>
      <c r="RC7" s="76">
        <f>IF(SUM(QG7:QH7,QJ7:QL7,QN7)-QI7-QM7&gt;0,SUM(QG7:QH7,QJ7:QL7,QN7)-QI7-QM7,"")</f>
        <v>24.6</v>
      </c>
      <c r="RD7" s="76">
        <f>IF(SUM(QO7:QP7,QR7)-QQ7&gt;0,SUM(QO7:QP7,QR7)-QQ7,"")</f>
        <v>11.499999999999998</v>
      </c>
      <c r="RE7" s="76">
        <f>IF(SUM(QH7,QL7,QP7)&gt;0,SUM(QH7,QL7,QP7),"")</f>
        <v>8.4</v>
      </c>
      <c r="RF7" s="76">
        <f>IF(SUM(RC7,RD7)&gt;0,SUM(RC7,RD7),"")</f>
        <v>36.1</v>
      </c>
      <c r="RG7" s="76">
        <f>IF(SUM(QT7,QX7)&gt;0,SUM(QT7,QX7),"")</f>
        <v>5.8</v>
      </c>
      <c r="RH7" s="76">
        <f>IF(SUM(QS7:QT7,QV7:QX7,QZ7)-SUM(QU7,QY7)&gt;0,SUM(QS7:QT7,QV7:QX7,QZ7)-SUM(QU7,QY7),"")</f>
        <v>24.000000000000004</v>
      </c>
      <c r="RI7" s="76">
        <f>IF(SUM(RC7,RH7)&gt;0,SUM(RC7,RH7),"")</f>
        <v>48.600000000000009</v>
      </c>
    </row>
    <row r="8" spans="1:477" x14ac:dyDescent="0.2">
      <c r="A8" s="5">
        <f>IF(AND(F8="P",G8="P"),SUMPRODUCT((F$4:F$15="P")*(G$4:G$15="P")*(E$4:E$15&gt;E8))+1,IF(G8="P",SUMPRODUCT((F$4:F$15="")*(G$4:G$15="P")*(E$4:E$15&gt;E8))+1+SUMPRODUCT((F$4:F$15="P")*(G$4:G$15="P")),""))</f>
        <v>5</v>
      </c>
      <c r="B8" s="6" t="s">
        <v>81</v>
      </c>
      <c r="C8" s="7" t="s">
        <v>6</v>
      </c>
      <c r="D8" s="18">
        <v>2001</v>
      </c>
      <c r="E8" s="14">
        <f>SUM(J8:T8)+SUM(J8:P8)*0.0000001+SUM(J8)*0.0000000000001</f>
        <v>119.90002723000684</v>
      </c>
      <c r="F8" s="3" t="str">
        <f>IF(OR(AND(AR8&gt;=AY$17,AS8&gt;=AY$21,AR8&lt;&gt;"",AQ8=""),AND(AW8&gt;=AY$17,AX8&gt;=AY$21,AW8&lt;&gt;"",AQ8=""),AND(BU8&gt;=CB$17,BV8&gt;=CB$21,BU8&lt;&gt;"",BT8=""),AND(BZ8&gt;=CB$17,CA8&gt;=CB$21,BZ8&lt;&gt;"",BT8=""),AND(CX8&gt;=DE$17,CY8&gt;=DE$21,CX8&lt;&gt;"",CW8=""),AND(DC8&gt;=DE$17,DD8&gt;=DE$21,DC8&lt;&gt;""),AND(EC8&gt;=EJ$17,ED8&gt;=EJ$21,EC8&lt;&gt;""),AND(EH8&gt;=EJ$17,EI8&gt;=EJ$21,EH8&lt;&gt;""),AND(FE8&gt;=FL$17,FF8&gt;=FL$21,FE8&lt;&gt;""),AND(FJ8&gt;=FL$17,FK8&gt;=FL$21,FJ8&lt;&gt;""),AND(GG8&gt;=GN$17,GH8&gt;=GN$21,GG8&lt;&gt;""),AND(GL8&gt;=GN$17,GM8&gt;=GN$21,GL8&lt;&gt;""),AND(HI8&gt;=HP$17,HJ8&gt;=HP$21,HI8&lt;&gt;""),AND(HN8&gt;=HP$17,HO8&gt;=HP$21,HN8&lt;&gt;""),AND(IK8&gt;=IR$17,IL8&gt;=IR$21,IK8&lt;&gt;""),AND(IP8&gt;=IR$17,IQ8&gt;=IR$21,IP8&lt;&gt;""),AND(JM8&gt;=JT$17,JN8&gt;=JT$21,JM8&lt;&gt;""),AND(JR8&gt;=JT$17,JS8&gt;=JT$21,JR8&lt;&gt;""),AND(KO8&gt;=KV$17,KP8&gt;=KV$21,KO8&lt;&gt;""),AND(KT8&gt;=KV$17,KU8&gt;=KV$21,KT8&lt;&gt;""),AND(LQ8&gt;=LX$17,LR8&gt;=LX$21,LQ8&lt;&gt;""),AND(LV8&gt;=LX$17,LW8&gt;=LX$21,LV8&lt;&gt;""),AND(MS8&gt;=MZ$17,MT8&gt;=MZ$21,MS8&lt;&gt;""),AND(MX8&gt;=MZ$17,MY8&gt;=MZ$21,MX8&lt;&gt;""),AND(NU8&gt;=OB$17,NV8&gt;=OB$21,NU8&lt;&gt;""),AND(NZ8&gt;=OB$17,OA8&gt;=OB$21,NZ8&lt;&gt;""),AND(OW8&gt;=PD$17,OX8&gt;=PD$21,OW8&lt;&gt;""),AND(PB8&gt;=PD$17,PC8&gt;=PD$21,PB8&lt;&gt;""),AND(PY8&gt;=QF$17,PZ8&gt;=QF$21,PY8&lt;&gt;""),AND(QD8&gt;=QF$17,QE8&gt;=QF$21,QD8&lt;&gt;"")),"P","")</f>
        <v>P</v>
      </c>
      <c r="G8" s="3" t="str">
        <f>IF(OR(AND(AS8&gt;=AY$21,AS8&lt;&gt;"",AQ8=""),AND(AX8&gt;=AY$21,AX8&lt;&gt;"",AQ8=""),AND(BV8&gt;=CB$21,BV8&lt;&gt;"",BT8=""),AND(CA8&gt;=CB$21,CA8&lt;&gt;"",BT8=""),AND(CY8&gt;=DE$21,CY8&lt;&gt;"",CW8=""),AND(DD8&gt;=DE$21,DD8&lt;&gt;"",CW8=""),AND(ED8&gt;=EJ$21,ED8&lt;&gt;""),AND(EI8&gt;=EJ$21,EI8&lt;&gt;""),AND(FF8&gt;=FL$21,FF8&lt;&gt;""),AND(FK8&gt;=FL$21,FK8&lt;&gt;""),AND(GH8&gt;=GN$21,GH8&lt;&gt;""),AND(GM8&gt;=GN$21,GM8&lt;&gt;""),AND(HJ8&gt;=HP$21,HJ8&lt;&gt;""),AND(HO8&gt;=HP$21,HO8&lt;&gt;""),AND(IL8&gt;=IR$21,IL8&lt;&gt;""),AND(IQ8&gt;=IR$21,IQ8&lt;&gt;""),AND(JN8&gt;=JT$21,JN8&lt;&gt;""),AND(JS8&gt;=JT$21,JS8&lt;&gt;""),AND(KP8&gt;=KV$21,KP8&lt;&gt;""),AND(KU8&gt;=KV$21,KU8&lt;&gt;""),AND(LR8&gt;=LX$21,LR8&lt;&gt;""),AND(LW8&gt;=LX$21,LW8&lt;&gt;""),AND(MT8&gt;=MZ$21,MT8&lt;&gt;""),AND(MY8&gt;=MZ$21,MY8&lt;&gt;""),AND(NV8&gt;=OB$21,NV8&lt;&gt;""),AND(OA8&gt;=OB$21,OA8&lt;&gt;""),AND(OX8&gt;=PD$21,OX8&lt;&gt;""),AND(PC8&gt;=PD$21,PC8&lt;&gt;""),AND(PZ8&gt;=QF$21,PZ8&lt;&gt;""),AND(QE8&gt;=QF$21,QE8&lt;&gt;"")),"P","")</f>
        <v>P</v>
      </c>
      <c r="H8" s="70" t="str">
        <f>IF(AND(G8="P",F8=""),"No DD",IF(OR(AND(AU8&gt;=AY$20,AV8&gt;=AY$24,AU8&lt;&gt;"",AQ8=""),AND(BX8&gt;=CB$20,BY8&gt;=CB$24,BX8&lt;&gt;"",BT8=""),AND(DA8&gt;=DE$20,DB8&gt;=DE$24,DA8&lt;&gt;"",CW8=""),AND(EF8&gt;=EJ$20,EG8&gt;=EJ$24,EF8&lt;&gt;""),AND(FH8&gt;=FL$20,FI8&gt;=FL$24,FH8&lt;&gt;""),AND(GJ8&gt;=GN$20,GK8&gt;=GN$24,GJ8&lt;&gt;""),AND(HL8&gt;=HP$20,HM8&gt;=HP$24,HL8&lt;&gt;""),AND(IN8&gt;=IR$20,IO8&gt;=IR$24,IN8&lt;&gt;""),AND(JP8&gt;=JT$20,JQ8&gt;=JT$24,JP8&lt;&gt;""),AND(KR8&gt;=KV$20,KS8&gt;=KV$24,KR8&lt;&gt;""),AND(LT8&gt;=LX$20,LU8&gt;=LX$24,LT8&lt;&gt;""),AND(MV8&gt;=MZ$20,MW8&gt;=MZ$24,MV8&lt;&gt;""),AND(NX8&gt;=OB$20,NY8&gt;=OB$24,NX8&lt;&gt;""),AND(OZ8&gt;=PD$20,PA8&gt;=PD$24,OZ8&lt;&gt;""),AND(QB8&gt;=QF$20,QC8&gt;=QF$24,QB8&lt;&gt;"")),"Merit",IF(OR(AND(AU8&gt;=AY$19,AV8&gt;=AY$23,AU8&lt;&gt;"",AQ8=""),AND(BX8&gt;=CB$19,BY8&gt;=CB$23,BX8&lt;&gt;"",BT8=""),AND(DA8&gt;=DE$19,DB8&gt;=DE$23,DA8&lt;&gt;"",CW8=""),AND(EF8&gt;=EJ$19,EG8&gt;=EJ$23,EF8&lt;&gt;""),AND(FH8&gt;=FL$19,FI8&gt;=FL$23,FH8&lt;&gt;""),AND(GJ8&gt;=GN$19,GK8&gt;=GN$23,GJ8&lt;&gt;""),AND(HL8&gt;=HP$19,HM8&gt;=HP$23,HL8&lt;&gt;""),AND(IN8&gt;=IR$19,IO8&gt;=IR$23,IN8&lt;&gt;""),AND(JP8&gt;=JT$19,JQ8&gt;=JT$23,JP8&lt;&gt;""),AND(KR8&gt;=KV$19,KS8&gt;=KV$23,KR8&lt;&gt;""),AND(LT8&gt;=LX$19,LU8&gt;=LX$23,LT8&lt;&gt;""),AND(MV8&gt;=MZ$19,MW8&gt;=MZ$23,MV8&lt;&gt;""),AND(NX8&gt;=OB$19,NY8&gt;=OB$23,NX8&lt;&gt;""),AND(OZ8&gt;=PD$19,PA8&gt;=PD$23,OZ8&lt;&gt;""),AND(QB8&gt;=QF$19,QC8&gt;=QF$23,QB8&lt;&gt;"")),"Excellence",IF(I8="P","Worlds Team",IF(F8="P","National Team","")))))</f>
        <v>Worlds Team</v>
      </c>
      <c r="I8" s="3" t="str">
        <f>IF(OR(AND(AU8&gt;=AY$18,AV8&gt;=AY$22,AU8&lt;&gt;"",AQ8=""),AND(BX8&gt;=CB$18,BY8&gt;=CB$22,BX8&lt;&gt;"",BT8=""),AND(DA8&gt;=DE$18,DB8&gt;=DE$22,DA8&lt;&gt;"",CW8=""),AND(EF8&gt;=EJ$18,EG8&gt;=EJ$22,EF8&lt;&gt;""),AND(FH8&gt;=FL$18,FI8&gt;=FL$22,FH8&lt;&gt;""),AND(GJ8&gt;=GN$18,GK8&gt;=GN$22,GJ8&lt;&gt;""),AND(HL8&gt;=HP$18,HM8&gt;=HP$22,HL8&lt;&gt;""),AND(IN8&gt;=IR$18,IO8&gt;=IR$22,IN8&lt;&gt;""),AND(JP8&gt;=JT$18,JQ8&gt;=JT$22,JP8&lt;&gt;""),AND(KR8&gt;=KV$18,KS8&gt;=KV$22,KR8&lt;&gt;""),AND(LT8&gt;=LX$18,LU8&gt;=LX$22,LT8&lt;&gt;""),AND(MV8&gt;=MZ$18,MW8&gt;=MZ$22,MV8&lt;&gt;""),AND(NX8&gt;=OB$18,NY8&gt;=OB$22,NX8&lt;&gt;""),AND(OZ8&gt;=PD$18,PA8&gt;=PD$22,OZ8&lt;&gt;""),AND(QB8&gt;=QF$18,QC8&gt;=QF$22,QB8&lt;&gt;"")),"P","")</f>
        <v>P</v>
      </c>
      <c r="J8" s="13">
        <f>IF(COUNT(AS8,BV8,CY8)&gt;0,LARGE((AS8,BV8,CY8),1),0)</f>
        <v>48.5</v>
      </c>
      <c r="K8" s="13" t="str">
        <f>IF(J8=0,"",IF(J8=CY8,$CC$1,IF(J8=BV8,$AZ$1,IF(J8=AS8,$W$1,""))))</f>
        <v>2022 Elite Canada</v>
      </c>
      <c r="L8" s="13">
        <f>IF(COUNT(AS8,BV8,CY8)&gt;1,LARGE((AS8,BV8,CY8),2),0)</f>
        <v>2.0000000000000002E-5</v>
      </c>
      <c r="M8" s="13" t="str">
        <f>IF(L8=0,"",IF(L8=CY8,$CC$1,IF(L8=BV8,$AZ$1,IF(L8=AS8,$W$1,""))))</f>
        <v>2021 Canadian Championships</v>
      </c>
      <c r="N8" s="13">
        <f>IF(COUNT(AT8,BW8,CZ8)&gt;0,LARGE((AT8,BW8,CZ8),1),0)</f>
        <v>23.8</v>
      </c>
      <c r="O8" s="13" t="str">
        <f>IF(N8=0,"",IF(N8=CZ8,$CC$1,IF(N8=BW8,$AZ$1,IF(N8=AT8,$W$1,""))))</f>
        <v>2022 Elite Canada</v>
      </c>
      <c r="P8" s="13">
        <f>IF(COUNT(AT8,BW8,CZ8)&gt;1,LARGE((AT8,BW8,CZ8),2),0)</f>
        <v>0</v>
      </c>
      <c r="Q8" s="13" t="str">
        <f>IF(P8=0,"",IF(P8=CZ8,$CC$1,IF(P8=BW8,$AZ$1,IF(P8=AT8,$W$1,""))))</f>
        <v/>
      </c>
      <c r="R8" s="13">
        <f>IF(MAX(AX8,CA8,DD8)&gt;0,MAX(AX8,CA8,DD8),0)</f>
        <v>47.5</v>
      </c>
      <c r="S8" s="13" t="str">
        <f>IF(R8=0,"",IF(R8=DD8,$CC$1,IF(R8=CA8,$AZ$1,IF(R8=AX8,$W$1,""))))</f>
        <v>2022 Elite Canada</v>
      </c>
      <c r="T8" s="13">
        <f>IF(MAX(DF8:DH8)&gt;0,MAX(DF8:DH8),"")</f>
        <v>9.9999999999994316E-2</v>
      </c>
      <c r="U8" s="16" t="str">
        <f>IF(T8="","",IF(T8=DF8,"("&amp;DF$2&amp;")",IF(T8=DH8,"("&amp;DH$2&amp;")")))</f>
        <v>(Final)</v>
      </c>
      <c r="V8" s="13" t="str">
        <f>IF(T8="","",IF(T8=DF8,IF(T8+IF(L8="",0,L8)=PZ8,$PE$1,IF(T8+IF(L8="",0,L8)=OX8,$OC$1,IF(T8+IF(L8="",0,L8)=NV8,$NA$1,IF(T8+IF(L8="",0,L8)=MT8,$LY$1,IF(T8+IF(L8="",0,L8)=LR8,$KW$1,IF(T8+IF(L8="",0,L8)=KP8,$JU$1,IF(T8+IF(L8="",0,L8)=JN8,$IS$1,IF(T8+IF(L8="",0,L8)=IL8,$HQ$1,IF(T8+IF(L8="",0,L8)=HJ8,$GO$1,IF(T8+IF(L8="",0,L8)=GH8,$FM$1,IF(T8+IF(L8="",0,L8)=FF8,$EK$1,IF(T8+IF(L8="",0,L8)=ED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</f>
        <v>2022 World Games Technical Trial #1 (Mar 12)</v>
      </c>
      <c r="W8" s="27"/>
      <c r="X8" s="27">
        <v>1.0000000000000001E-5</v>
      </c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51"/>
      <c r="AR8" s="76">
        <f>IF(SUM(X8,AB8)&gt;0,SUM(X8,AB8),"")</f>
        <v>1.0000000000000001E-5</v>
      </c>
      <c r="AS8" s="76">
        <f>IF(SUM(W8:X8,Z8:AB8,AD8)-Y8-AC8&gt;0,SUM(W8:X8,Z8:AB8,AD8)-Y8-AC8,"")</f>
        <v>1.0000000000000001E-5</v>
      </c>
      <c r="AT8" s="76" t="str">
        <f>IF(SUM(AE8:AF8,AH8)-AG8&gt;0,SUM(AE8:AF8,AH8)-AG8,"")</f>
        <v/>
      </c>
      <c r="AU8" s="76">
        <f>IF(SUM(X8,AB8,AF8)&gt;0,SUM(X8,AB8,AF8),"")</f>
        <v>1.0000000000000001E-5</v>
      </c>
      <c r="AV8" s="76">
        <f>IF(SUM(AS8,AT8)&gt;0,SUM(AS8,AT8),"")</f>
        <v>1.0000000000000001E-5</v>
      </c>
      <c r="AW8" s="76" t="str">
        <f>IF(SUM(AJ8,AN8)&gt;0,SUM(AJ8,AN8),"")</f>
        <v/>
      </c>
      <c r="AX8" s="76" t="str">
        <f>IF(SUM(AI8:AJ8,AL8:AN8,AP8)-SUM(AK8,AO8)&gt;0,SUM(AI8:AJ8,AL8:AN8,AP8)-SUM(AK8,AO8),"")</f>
        <v/>
      </c>
      <c r="AY8" s="76">
        <f>IF(SUM(AS8,AX8)&gt;0,SUM(AS8,AX8),"")</f>
        <v>1.0000000000000001E-5</v>
      </c>
      <c r="AZ8" s="26"/>
      <c r="BA8" s="26">
        <v>2.0000000000000002E-5</v>
      </c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52"/>
      <c r="BU8" s="16">
        <f>IF(SUM(BA8,BE8)&gt;0,SUM(BA8,BE8),"")</f>
        <v>2.0000000000000002E-5</v>
      </c>
      <c r="BV8" s="16">
        <f>IF(SUM(AZ8:BA8,BC8:BE8,BG8)-BB8-BF8&gt;0,SUM(AZ8:BA8,BC8:BE8,BG8)-BB8-BF8,"")</f>
        <v>2.0000000000000002E-5</v>
      </c>
      <c r="BW8" s="16" t="str">
        <f>IF(SUM(BH8:BI8,BK8)-BJ8&gt;0,SUM(BH8:BI8,BK8)-BJ8,"")</f>
        <v/>
      </c>
      <c r="BX8" s="16">
        <f>IF(SUM(BA8,BE8,BI8)&gt;0,SUM(BA8,BE8,BI8),"")</f>
        <v>2.0000000000000002E-5</v>
      </c>
      <c r="BY8" s="16">
        <f>IF(SUM(BV8,BW8)&gt;0,SUM(BV8,BW8),"")</f>
        <v>2.0000000000000002E-5</v>
      </c>
      <c r="BZ8" s="16" t="str">
        <f>IF(SUM(BM8,BQ8)&gt;0,SUM(BM8,BQ8),"")</f>
        <v/>
      </c>
      <c r="CA8" s="16" t="str">
        <f>IF(SUM(BL8:BM8,BO8:BQ8,BS8)-SUM(BN8,BR8)&gt;0,SUM(BL8:BM8,BO8:BQ8,BS8)-SUM(BN8,BR8),"")</f>
        <v/>
      </c>
      <c r="CB8" s="16">
        <f>IF(SUM(BV8,CA8)&gt;0,SUM(BV8,CA8),"")</f>
        <v>2.0000000000000002E-5</v>
      </c>
      <c r="CC8" s="27">
        <v>18.600000000000001</v>
      </c>
      <c r="CD8" s="27">
        <v>5.6</v>
      </c>
      <c r="CE8" s="27">
        <v>0.2</v>
      </c>
      <c r="CF8" s="27">
        <v>0</v>
      </c>
      <c r="CG8" s="27">
        <v>18.5</v>
      </c>
      <c r="CH8" s="27">
        <v>6</v>
      </c>
      <c r="CI8" s="27">
        <v>0</v>
      </c>
      <c r="CJ8" s="27">
        <v>0</v>
      </c>
      <c r="CK8" s="27">
        <v>19</v>
      </c>
      <c r="CL8" s="27">
        <v>4.8</v>
      </c>
      <c r="CM8" s="27">
        <v>0</v>
      </c>
      <c r="CN8" s="27">
        <v>0</v>
      </c>
      <c r="CO8" s="27">
        <v>18.3</v>
      </c>
      <c r="CP8" s="27">
        <v>5.6</v>
      </c>
      <c r="CQ8" s="27">
        <v>0.2</v>
      </c>
      <c r="CR8" s="27">
        <v>0</v>
      </c>
      <c r="CS8" s="27">
        <v>18</v>
      </c>
      <c r="CT8" s="27">
        <v>6</v>
      </c>
      <c r="CU8" s="27">
        <v>0.2</v>
      </c>
      <c r="CV8" s="27">
        <v>0</v>
      </c>
      <c r="CW8" s="51"/>
      <c r="CX8" s="76">
        <f>IF(SUM(CD8,CH8)&gt;0,SUM(CD8,CH8),"")</f>
        <v>11.6</v>
      </c>
      <c r="CY8" s="76">
        <f>IF(SUM(CC8:CD8,CF8:CH8,CJ8)-CE8-CI8&gt;0,SUM(CC8:CD8,CF8:CH8,CJ8)-CE8-CI8,"")</f>
        <v>48.5</v>
      </c>
      <c r="CZ8" s="76">
        <f>IF(SUM(CK8:CL8,CN8)-CM8&gt;0,SUM(CK8:CL8,CN8)-CM8,"")</f>
        <v>23.8</v>
      </c>
      <c r="DA8" s="76">
        <f>IF(SUM(CD8,CH8,CL8)&gt;0,SUM(CD8,CH8,CL8),"")</f>
        <v>16.399999999999999</v>
      </c>
      <c r="DB8" s="76">
        <f>IF(SUM(CY8,CZ8)&gt;0,SUM(CY8,CZ8),"")</f>
        <v>72.3</v>
      </c>
      <c r="DC8" s="76">
        <f>IF(SUM(CP8,CT8)&gt;0,SUM(CP8,CT8),"")</f>
        <v>11.6</v>
      </c>
      <c r="DD8" s="76">
        <f>IF(SUM(CO8:CP8,CR8:CT8,CV8)-SUM(CQ8,CU8)&gt;0,SUM(CO8:CP8,CR8:CT8,CV8)-SUM(CQ8,CU8),"")</f>
        <v>47.5</v>
      </c>
      <c r="DE8" s="76">
        <f>IF(SUM(CY8,DD8)&gt;0,SUM(CY8,DD8),"")</f>
        <v>96</v>
      </c>
      <c r="DF8" s="87" t="str">
        <f>IF(L8&gt;=0.001,IF(MAX(ED8,FF8,GH8,HJ8,IL8,JN8,KP8,LR8,MT8,NV8,OX8,PZ8)-IF(L8="",0,L8)&gt;0.001,MAX(ED8,FF8,GH8,HJ8,IL8,JN8,KP8,LR8,MT8,NV8,OX8,PZ8)-IF(L8="",0,L8),""),"")</f>
        <v/>
      </c>
      <c r="DG8" s="87" t="str">
        <f>IF(P8&gt;=0.001,IF(MAX(EE8,FG8,GI8,HK8,IM8,JO8,KQ8,LS8,MU8,NW8,OY8,QA8)-IF(P8="",0,P8)&gt;0.001,MAX(EE8,FG8,GI8,HK8,IM8,JO8,KQ8,LS8,MU8,NW8,OY8,QA8)-IF(P8="",0,P8),""),"")</f>
        <v/>
      </c>
      <c r="DH8" s="87">
        <f>IF(R8&gt;=0.001,IF(MAX(EI8,FK8,GM8,HO8,IQ8,JS8,KU8,LW8,MY8,OA8,PC8,QE8)-IF(R8="",0,R8)&gt;0.001,MAX(EI8,FK8,GM8,HO8,IQ8,JS8,KU8,LW8,MY8,OA8,PC8,QE8)-IF(R8="",0,R8),""),"")</f>
        <v>9.9999999999994316E-2</v>
      </c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76" t="str">
        <f>IF(SUM(DJ8,DN8)&gt;0,SUM(DJ8,DN8),"")</f>
        <v/>
      </c>
      <c r="ED8" s="76" t="str">
        <f>IF(SUM(DI8:DJ8,DL8:DN8,DP8)-DK8-DO8&gt;0,SUM(DI8:DJ8,DL8:DN8,DP8)-DK8-DO8,"")</f>
        <v/>
      </c>
      <c r="EE8" s="76" t="str">
        <f>IF(SUM(DQ8:DR8,DT8)-DS8&gt;0,SUM(DQ8:DR8,DT8)-DS8,"")</f>
        <v/>
      </c>
      <c r="EF8" s="76" t="str">
        <f>IF(SUM(DJ8,DN8,DR8)&gt;0,SUM(DJ8,DN8,DR8),"")</f>
        <v/>
      </c>
      <c r="EG8" s="76" t="str">
        <f>IF(SUM(ED8,EE8)&gt;0,SUM(ED8,EE8),"")</f>
        <v/>
      </c>
      <c r="EH8" s="76" t="str">
        <f>IF(SUM(DV8,DZ8)&gt;0,SUM(DV8,DZ8),"")</f>
        <v/>
      </c>
      <c r="EI8" s="76" t="str">
        <f>IF(SUM(DU8:DV8,DX8:DZ8,EB8)-SUM(DW8,EA8)&gt;0,SUM(DU8:DV8,DX8:DZ8,EB8)-SUM(DW8,EA8),"")</f>
        <v/>
      </c>
      <c r="EJ8" s="76" t="str">
        <f>IF(SUM(ED8,EI8)&gt;0,SUM(ED8,EI8),"")</f>
        <v/>
      </c>
      <c r="EK8" s="26">
        <v>18.600000000000001</v>
      </c>
      <c r="EL8" s="26">
        <v>5.6</v>
      </c>
      <c r="EM8" s="26">
        <v>0</v>
      </c>
      <c r="EN8" s="26">
        <v>0</v>
      </c>
      <c r="EO8" s="26">
        <v>18</v>
      </c>
      <c r="EP8" s="26">
        <v>5.6</v>
      </c>
      <c r="EQ8" s="26">
        <v>0.2</v>
      </c>
      <c r="ER8" s="26">
        <v>0</v>
      </c>
      <c r="ES8" s="26"/>
      <c r="ET8" s="26"/>
      <c r="EU8" s="26"/>
      <c r="EV8" s="26"/>
      <c r="EW8" s="26">
        <v>18</v>
      </c>
      <c r="EX8" s="26">
        <v>5.6</v>
      </c>
      <c r="EY8" s="26">
        <v>0.2</v>
      </c>
      <c r="EZ8" s="26">
        <v>0</v>
      </c>
      <c r="FA8" s="26">
        <v>18.2</v>
      </c>
      <c r="FB8" s="26">
        <v>6</v>
      </c>
      <c r="FC8" s="26">
        <v>0</v>
      </c>
      <c r="FD8" s="26">
        <v>0</v>
      </c>
      <c r="FE8" s="16">
        <f>IF(SUM(EL8,EP8)&gt;0,SUM(EL8,EP8),"")</f>
        <v>11.2</v>
      </c>
      <c r="FF8" s="16">
        <f>IF(SUM(EK8:EL8,EN8:EP8,ER8)-EM8-EQ8&gt;0,SUM(EK8:EL8,EN8:EP8,ER8)-EM8-EQ8,"")</f>
        <v>47.6</v>
      </c>
      <c r="FG8" s="16" t="str">
        <f>IF(SUM(ES8:ET8,EV8)-EU8&gt;0,SUM(ES8:ET8,EV8)-EU8,"")</f>
        <v/>
      </c>
      <c r="FH8" s="16">
        <f>IF(SUM(EL8,EP8,ET8)&gt;0,SUM(EL8,EP8,ET8),"")</f>
        <v>11.2</v>
      </c>
      <c r="FI8" s="16">
        <f>IF(SUM(FF8,FG8)&gt;0,SUM(FF8,FG8),"")</f>
        <v>47.6</v>
      </c>
      <c r="FJ8" s="16">
        <f>IF(SUM(EX8,FB8)&gt;0,SUM(EX8,FB8),"")</f>
        <v>11.6</v>
      </c>
      <c r="FK8" s="16">
        <f>IF(SUM(EW8:EX8,EZ8:FB8,FD8)-SUM(EY8,FC8)&gt;0,SUM(EW8:EX8,EZ8:FB8,FD8)-SUM(EY8,FC8),"")</f>
        <v>47.599999999999994</v>
      </c>
      <c r="FL8" s="16">
        <f>IF(SUM(FF8,FK8)&gt;0,SUM(FF8,FK8),"")</f>
        <v>95.199999999999989</v>
      </c>
      <c r="FM8" s="25">
        <v>18.600000000000001</v>
      </c>
      <c r="FN8" s="25">
        <v>5.6</v>
      </c>
      <c r="FO8" s="25">
        <v>0</v>
      </c>
      <c r="FP8" s="25">
        <v>0</v>
      </c>
      <c r="FQ8" s="25">
        <v>18.2</v>
      </c>
      <c r="FR8" s="25">
        <v>5.6</v>
      </c>
      <c r="FS8" s="25">
        <v>0.6</v>
      </c>
      <c r="FT8" s="25">
        <v>0</v>
      </c>
      <c r="FU8" s="25"/>
      <c r="FV8" s="25"/>
      <c r="FW8" s="25"/>
      <c r="FX8" s="25"/>
      <c r="FY8" s="25">
        <v>18.100000000000001</v>
      </c>
      <c r="FZ8" s="25">
        <v>4.8</v>
      </c>
      <c r="GA8" s="25">
        <v>0.6</v>
      </c>
      <c r="GB8" s="25">
        <v>0</v>
      </c>
      <c r="GC8" s="25">
        <v>16.600000000000001</v>
      </c>
      <c r="GD8" s="25">
        <v>6</v>
      </c>
      <c r="GE8" s="25">
        <v>0.2</v>
      </c>
      <c r="GF8" s="25">
        <v>0</v>
      </c>
      <c r="GG8" s="76">
        <f>IF(SUM(FN8,FR8)&gt;0,SUM(FN8,FR8),"")</f>
        <v>11.2</v>
      </c>
      <c r="GH8" s="76">
        <f>IF(SUM(FM8:FN8,FP8:FR8,FT8)-FO8-FS8&gt;0,SUM(FM8:FN8,FP8:FR8,FT8)-FO8-FS8,"")</f>
        <v>47.400000000000006</v>
      </c>
      <c r="GI8" s="76" t="str">
        <f>IF(SUM(FU8:FV8,FX8)-FW8&gt;0,SUM(FU8:FV8,FX8)-FW8,"")</f>
        <v/>
      </c>
      <c r="GJ8" s="76">
        <f>IF(SUM(FN8,FR8,FV8)&gt;0,SUM(FN8,FR8,FV8),"")</f>
        <v>11.2</v>
      </c>
      <c r="GK8" s="76">
        <f>IF(SUM(GH8,GI8)&gt;0,SUM(GH8,GI8),"")</f>
        <v>47.400000000000006</v>
      </c>
      <c r="GL8" s="76">
        <f>IF(SUM(FZ8,GD8)&gt;0,SUM(FZ8,GD8),"")</f>
        <v>10.8</v>
      </c>
      <c r="GM8" s="76">
        <f>IF(SUM(FY8:FZ8,GB8:GD8,GF8)-SUM(GA8,GE8)&gt;0,SUM(FY8:FZ8,GB8:GD8,GF8)-SUM(GA8,GE8),"")</f>
        <v>44.7</v>
      </c>
      <c r="GN8" s="76">
        <f>IF(SUM(GH8,GM8)&gt;0,SUM(GH8,GM8),"")</f>
        <v>92.100000000000009</v>
      </c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16" t="str">
        <f>IF(SUM(GP8,GT8)&gt;0,SUM(GP8,GT8),"")</f>
        <v/>
      </c>
      <c r="HJ8" s="16" t="str">
        <f>IF(SUM(GO8:GP8,GR8:GT8,GV8)-GQ8-GU8&gt;0,SUM(GO8:GP8,GR8:GT8,GV8)-GQ8-GU8,"")</f>
        <v/>
      </c>
      <c r="HK8" s="16" t="str">
        <f>IF(SUM(GW8:GX8,GZ8)-GY8&gt;0,SUM(GW8:GX8,GZ8)-GY8,"")</f>
        <v/>
      </c>
      <c r="HL8" s="16" t="str">
        <f>IF(SUM(GP8,GT8,GX8)&gt;0,SUM(GP8,GT8,GX8),"")</f>
        <v/>
      </c>
      <c r="HM8" s="16" t="str">
        <f>IF(SUM(HJ8,HK8)&gt;0,SUM(HJ8,HK8),"")</f>
        <v/>
      </c>
      <c r="HN8" s="16" t="str">
        <f>IF(SUM(HB8,HF8)&gt;0,SUM(HB8,HF8),"")</f>
        <v/>
      </c>
      <c r="HO8" s="16" t="str">
        <f>IF(SUM(HA8:HB8,HD8:HF8,HH8)-SUM(HC8,HG8)&gt;0,SUM(HA8:HB8,HD8:HF8,HH8)-SUM(HC8,HG8),"")</f>
        <v/>
      </c>
      <c r="HP8" s="16" t="str">
        <f>IF(SUM(HJ8,HO8)&gt;0,SUM(HJ8,HO8),"")</f>
        <v/>
      </c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76" t="str">
        <f>IF(SUM(HR8,HV8)&gt;0,SUM(HR8,HV8),"")</f>
        <v/>
      </c>
      <c r="IL8" s="76" t="str">
        <f>IF(SUM(HQ8:HR8,HT8:HV8,HX8)-HS8-HW8&gt;0,SUM(HQ8:HR8,HT8:HV8,HX8)-HS8-HW8,"")</f>
        <v/>
      </c>
      <c r="IM8" s="76" t="str">
        <f>IF(SUM(HY8:HZ8,IB8)-IA8&gt;0,SUM(HY8:HZ8,IB8)-IA8,"")</f>
        <v/>
      </c>
      <c r="IN8" s="76" t="str">
        <f>IF(SUM(HR8,HV8,HZ8)&gt;0,SUM(HR8,HV8,HZ8),"")</f>
        <v/>
      </c>
      <c r="IO8" s="76" t="str">
        <f>IF(SUM(IL8,IM8)&gt;0,SUM(IL8,IM8),"")</f>
        <v/>
      </c>
      <c r="IP8" s="76" t="str">
        <f>IF(SUM(ID8,IH8)&gt;0,SUM(ID8,IH8),"")</f>
        <v/>
      </c>
      <c r="IQ8" s="76" t="str">
        <f>IF(SUM(IC8:ID8,IF8:IH8,IJ8)-SUM(IE8,II8)&gt;0,SUM(IC8:ID8,IF8:IH8,IJ8)-SUM(IE8,II8),"")</f>
        <v/>
      </c>
      <c r="IR8" s="76" t="str">
        <f>IF(SUM(IL8,IQ8)&gt;0,SUM(IL8,IQ8),"")</f>
        <v/>
      </c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16" t="str">
        <f>IF(SUM(IT8,IX8)&gt;0,SUM(IT8,IX8),"")</f>
        <v/>
      </c>
      <c r="JN8" s="16" t="str">
        <f>IF(SUM(IS8:IT8,IV8:IX8,IZ8)-IU8-IY8&gt;0,SUM(IS8:IT8,IV8:IX8,IZ8)-IU8-IY8,"")</f>
        <v/>
      </c>
      <c r="JO8" s="16" t="str">
        <f>IF(SUM(JA8:JB8,JD8)-JC8&gt;0,SUM(JA8:JB8,JD8)-JC8,"")</f>
        <v/>
      </c>
      <c r="JP8" s="16" t="str">
        <f>IF(SUM(IT8,IX8,JB8)&gt;0,SUM(IT8,IX8,JB8),"")</f>
        <v/>
      </c>
      <c r="JQ8" s="16" t="str">
        <f>IF(SUM(JN8,JO8)&gt;0,SUM(JN8,JO8),"")</f>
        <v/>
      </c>
      <c r="JR8" s="16" t="str">
        <f>IF(SUM(JF8,JJ8)&gt;0,SUM(JF8,JJ8),"")</f>
        <v/>
      </c>
      <c r="JS8" s="16" t="str">
        <f>IF(SUM(JE8:JF8,JH8:JJ8,JL8)-SUM(JG8,JK8)&gt;0,SUM(JE8:JF8,JH8:JJ8,JL8)-SUM(JG8,JK8),"")</f>
        <v/>
      </c>
      <c r="JT8" s="16" t="str">
        <f>IF(SUM(JN8,JS8)&gt;0,SUM(JN8,JS8),"")</f>
        <v/>
      </c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76" t="str">
        <f>IF(SUM(JV8,JZ8)&gt;0,SUM(JV8,JZ8),"")</f>
        <v/>
      </c>
      <c r="KP8" s="76" t="str">
        <f>IF(SUM(JU8:JV8,JX8:JZ8,KB8)-JW8-KA8&gt;0,SUM(JU8:JV8,JX8:JZ8,KB8)-JW8-KA8,"")</f>
        <v/>
      </c>
      <c r="KQ8" s="76" t="str">
        <f>IF(SUM(KC8:KD8,KF8)-KE8&gt;0,SUM(KC8:KD8,KF8)-KE8,"")</f>
        <v/>
      </c>
      <c r="KR8" s="76" t="str">
        <f>IF(SUM(JV8,JZ8,KD8)&gt;0,SUM(JV8,JZ8,KD8),"")</f>
        <v/>
      </c>
      <c r="KS8" s="76" t="str">
        <f>IF(SUM(KP8,KQ8)&gt;0,SUM(KP8,KQ8),"")</f>
        <v/>
      </c>
      <c r="KT8" s="76" t="str">
        <f>IF(SUM(KH8,KL8)&gt;0,SUM(KH8,KL8),"")</f>
        <v/>
      </c>
      <c r="KU8" s="76" t="str">
        <f>IF(SUM(KG8:KH8,KJ8:KL8,KN8)-SUM(KI8,KM8)&gt;0,SUM(KG8:KH8,KJ8:KL8,KN8)-SUM(KI8,KM8),"")</f>
        <v/>
      </c>
      <c r="KV8" s="76" t="str">
        <f>IF(SUM(KP8,KU8)&gt;0,SUM(KP8,KU8),"")</f>
        <v/>
      </c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16" t="str">
        <f>IF(SUM(KX8,LB8)&gt;0,SUM(KX8,LB8),"")</f>
        <v/>
      </c>
      <c r="LR8" s="16" t="str">
        <f>IF(SUM(KW8:KX8,KZ8:LB8,LD8)-KY8-LC8&gt;0,SUM(KW8:KX8,KZ8:LB8,LD8)-KY8-LC8,"")</f>
        <v/>
      </c>
      <c r="LS8" s="16" t="str">
        <f>IF(SUM(LE8:LF8,LH8)-LG8&gt;0,SUM(LE8:LF8,LH8)-LG8,"")</f>
        <v/>
      </c>
      <c r="LT8" s="16" t="str">
        <f>IF(SUM(KX8,LB8,LF8)&gt;0,SUM(KX8,LB8,LF8),"")</f>
        <v/>
      </c>
      <c r="LU8" s="16" t="str">
        <f>IF(SUM(LR8,LS8)&gt;0,SUM(LR8,LS8),"")</f>
        <v/>
      </c>
      <c r="LV8" s="16" t="str">
        <f>IF(SUM(LJ8,LN8)&gt;0,SUM(LJ8,LN8),"")</f>
        <v/>
      </c>
      <c r="LW8" s="16" t="str">
        <f>IF(SUM(LI8:LJ8,LL8:LN8,LP8)-SUM(LK8,LO8)&gt;0,SUM(LI8:LJ8,LL8:LN8,LP8)-SUM(LK8,LO8),"")</f>
        <v/>
      </c>
      <c r="LX8" s="16" t="str">
        <f>IF(SUM(LR8,LW8)&gt;0,SUM(LR8,LW8),"")</f>
        <v/>
      </c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76" t="str">
        <f>IF(SUM(LZ8,MD8)&gt;0,SUM(LZ8,MD8),"")</f>
        <v/>
      </c>
      <c r="MT8" s="76" t="str">
        <f>IF(SUM(LY8:LZ8,MB8:MD8,MF8)-MA8-ME8&gt;0,SUM(LY8:LZ8,MB8:MD8,MF8)-MA8-ME8,"")</f>
        <v/>
      </c>
      <c r="MU8" s="76" t="str">
        <f>IF(SUM(MG8:MH8,MJ8)-MI8&gt;0,SUM(MG8:MH8,MJ8)-MI8,"")</f>
        <v/>
      </c>
      <c r="MV8" s="76" t="str">
        <f>IF(SUM(LZ8,MD8,MH8)&gt;0,SUM(LZ8,MD8,MH8),"")</f>
        <v/>
      </c>
      <c r="MW8" s="76" t="str">
        <f>IF(SUM(MT8,MU8)&gt;0,SUM(MT8,MU8),"")</f>
        <v/>
      </c>
      <c r="MX8" s="76" t="str">
        <f>IF(SUM(ML8,MP8)&gt;0,SUM(ML8,MP8),"")</f>
        <v/>
      </c>
      <c r="MY8" s="76" t="str">
        <f>IF(SUM(MK8:ML8,MN8:MP8,MR8)-SUM(MM8,MQ8)&gt;0,SUM(MK8:ML8,MN8:MP8,MR8)-SUM(MM8,MQ8),"")</f>
        <v/>
      </c>
      <c r="MZ8" s="76" t="str">
        <f>IF(SUM(MT8,MY8)&gt;0,SUM(MT8,MY8),"")</f>
        <v/>
      </c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16" t="str">
        <f>IF(SUM(NB8,NF8)&gt;0,SUM(NB8,NF8),"")</f>
        <v/>
      </c>
      <c r="NV8" s="16" t="str">
        <f>IF(SUM(NA8:NB8,ND8:NF8,NH8)-NC8-NG8&gt;0,SUM(NA8:NB8,ND8:NF8,NH8)-NC8-NG8,"")</f>
        <v/>
      </c>
      <c r="NW8" s="16" t="str">
        <f>IF(SUM(NI8:NJ8,NL8)-NK8&gt;0,SUM(NI8:NJ8,NL8)-NK8,"")</f>
        <v/>
      </c>
      <c r="NX8" s="16" t="str">
        <f>IF(SUM(NB8,NF8,NJ8)&gt;0,SUM(NB8,NF8,NJ8),"")</f>
        <v/>
      </c>
      <c r="NY8" s="16" t="str">
        <f>IF(SUM(NV8,NW8)&gt;0,SUM(NV8,NW8),"")</f>
        <v/>
      </c>
      <c r="NZ8" s="16" t="str">
        <f>IF(SUM(NN8,NR8)&gt;0,SUM(NN8,NR8),"")</f>
        <v/>
      </c>
      <c r="OA8" s="16" t="str">
        <f>IF(SUM(NM8:NN8,NP8:NR8,NT8)-SUM(NO8,NS8)&gt;0,SUM(NM8:NN8,NP8:NR8,NT8)-SUM(NO8,NS8),"")</f>
        <v/>
      </c>
      <c r="OB8" s="16" t="str">
        <f>IF(SUM(NV8,OA8)&gt;0,SUM(NV8,OA8),"")</f>
        <v/>
      </c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76" t="str">
        <f>IF(SUM(OD8,OH8)&gt;0,SUM(OD8,OH8),"")</f>
        <v/>
      </c>
      <c r="OX8" s="76" t="str">
        <f>IF(SUM(OC8:OD8,OF8:OH8,OJ8)-OE8-OI8&gt;0,SUM(OC8:OD8,OF8:OH8,OJ8)-OE8-OI8,"")</f>
        <v/>
      </c>
      <c r="OY8" s="76" t="str">
        <f>IF(SUM(OK8:OL8,ON8)-OM8&gt;0,SUM(OK8:OL8,ON8)-OM8,"")</f>
        <v/>
      </c>
      <c r="OZ8" s="76" t="str">
        <f>IF(SUM(OD8,OH8,OL8)&gt;0,SUM(OD8,OH8,OL8),"")</f>
        <v/>
      </c>
      <c r="PA8" s="76" t="str">
        <f>IF(SUM(OX8,OY8)&gt;0,SUM(OX8,OY8),"")</f>
        <v/>
      </c>
      <c r="PB8" s="76" t="str">
        <f>IF(SUM(OP8,OT8)&gt;0,SUM(OP8,OT8),"")</f>
        <v/>
      </c>
      <c r="PC8" s="76" t="str">
        <f>IF(SUM(OO8:OP8,OR8:OT8,OV8)-SUM(OQ8,OU8)&gt;0,SUM(OO8:OP8,OR8:OT8,OV8)-SUM(OQ8,OU8),"")</f>
        <v/>
      </c>
      <c r="PD8" s="76" t="str">
        <f>IF(SUM(OX8,PC8)&gt;0,SUM(OX8,PC8),"")</f>
        <v/>
      </c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16" t="str">
        <f>IF(SUM(PF8,PJ8)&gt;0,SUM(PF8,PJ8),"")</f>
        <v/>
      </c>
      <c r="PZ8" s="16" t="str">
        <f>IF(SUM(PE8:PF8,PH8:PJ8,PL8)-PG8-PK8&gt;0,SUM(PE8:PF8,PH8:PJ8,PL8)-PG8-PK8,"")</f>
        <v/>
      </c>
      <c r="QA8" s="16" t="str">
        <f>IF(SUM(PM8:PN8,PP8)-PO8&gt;0,SUM(PM8:PN8,PP8)-PO8,"")</f>
        <v/>
      </c>
      <c r="QB8" s="16" t="str">
        <f>IF(SUM(PF8,PJ8,PN8)&gt;0,SUM(PF8,PJ8,PN8),"")</f>
        <v/>
      </c>
      <c r="QC8" s="16" t="str">
        <f>IF(SUM(PZ8,QA8)&gt;0,SUM(PZ8,QA8),"")</f>
        <v/>
      </c>
      <c r="QD8" s="16" t="str">
        <f>IF(SUM(PR8,PV8)&gt;0,SUM(PR8,PV8),"")</f>
        <v/>
      </c>
      <c r="QE8" s="16" t="str">
        <f>IF(SUM(PQ8:PR8,PT8:PV8,PX8)-SUM(PS8,PW8)&gt;0,SUM(PQ8:PR8,PT8:PV8,PX8)-SUM(PS8,PW8),"")</f>
        <v/>
      </c>
      <c r="QF8" s="16" t="str">
        <f>IF(SUM(PZ8,QE8)&gt;0,SUM(PZ8,QE8),"")</f>
        <v/>
      </c>
      <c r="QG8" s="42">
        <f>IF($CW8="P",CC8,(CC8+AZ8)/2)</f>
        <v>9.3000000000000007</v>
      </c>
      <c r="QH8" s="42">
        <f>IF($CW8="P",CD8,(CD8+BA8)/2)</f>
        <v>2.8000099999999999</v>
      </c>
      <c r="QI8" s="42">
        <f>IF($CW8="P",CE8,(CE8+BB8)/2)</f>
        <v>0.1</v>
      </c>
      <c r="QJ8" s="42">
        <f>IF($CW8="P",CF8,(CF8+BC8)/2)</f>
        <v>0</v>
      </c>
      <c r="QK8" s="42">
        <f>IF($CW8="P",CG8,(CG8+BD8)/2)</f>
        <v>9.25</v>
      </c>
      <c r="QL8" s="42">
        <f>IF($CW8="P",CH8,(CH8+BE8)/2)</f>
        <v>3</v>
      </c>
      <c r="QM8" s="42">
        <f>IF($CW8="P",CI8,(CI8+BF8)/2)</f>
        <v>0</v>
      </c>
      <c r="QN8" s="42">
        <f>IF($CW8="P",CJ8,(CJ8+BG8)/2)</f>
        <v>0</v>
      </c>
      <c r="QO8" s="42">
        <f>IF($CW8="P",CK8,(CK8+BH8)/2)</f>
        <v>9.5</v>
      </c>
      <c r="QP8" s="42">
        <f>IF($CW8="P",CL8,(CL8+BI8)/2)</f>
        <v>2.4</v>
      </c>
      <c r="QQ8" s="42">
        <f>IF($CW8="P",CM8,(CM8+BJ8)/2)</f>
        <v>0</v>
      </c>
      <c r="QR8" s="42">
        <f>IF($CW8="P",CN8,(CN8+BK8)/2)</f>
        <v>0</v>
      </c>
      <c r="QS8" s="42">
        <f>IF($CW8="P",CO8,(CO8+BL8)/2)</f>
        <v>9.15</v>
      </c>
      <c r="QT8" s="42">
        <f>IF($CW8="P",CP8,(CP8+BM8)/2)</f>
        <v>2.8</v>
      </c>
      <c r="QU8" s="42">
        <f>IF($CW8="P",CQ8,(CQ8+BN8)/2)</f>
        <v>0.1</v>
      </c>
      <c r="QV8" s="42">
        <f>IF($CW8="P",CR8,(CR8+BO8)/2)</f>
        <v>0</v>
      </c>
      <c r="QW8" s="42">
        <f>IF($CW8="P",CS8,(CS8+BP8)/2)</f>
        <v>9</v>
      </c>
      <c r="QX8" s="42">
        <f>IF($CW8="P",CT8,(CT8+BQ8)/2)</f>
        <v>3</v>
      </c>
      <c r="QY8" s="42">
        <f>IF($CW8="P",CU8,(CU8+BR8)/2)</f>
        <v>0.1</v>
      </c>
      <c r="QZ8" s="42">
        <f>IF($CW8="P",CV8,(CV8+BS8)/2)</f>
        <v>0</v>
      </c>
      <c r="RA8" s="51" t="s">
        <v>61</v>
      </c>
      <c r="RB8" s="76">
        <f>IF(SUM(QH8,QL8)&gt;0,SUM(QH8,QL8),"")</f>
        <v>5.8000100000000003</v>
      </c>
      <c r="RC8" s="76">
        <f>IF(SUM(QG8:QH8,QJ8:QL8,QN8)-QI8-QM8&gt;0,SUM(QG8:QH8,QJ8:QL8,QN8)-QI8-QM8,"")</f>
        <v>24.25001</v>
      </c>
      <c r="RD8" s="76">
        <f>IF(SUM(QO8:QP8,QR8)-QQ8&gt;0,SUM(QO8:QP8,QR8)-QQ8,"")</f>
        <v>11.9</v>
      </c>
      <c r="RE8" s="76">
        <f>IF(SUM(QH8,QL8,QP8)&gt;0,SUM(QH8,QL8,QP8),"")</f>
        <v>8.2000100000000007</v>
      </c>
      <c r="RF8" s="76">
        <f>IF(SUM(RC8,RD8)&gt;0,SUM(RC8,RD8),"")</f>
        <v>36.150010000000002</v>
      </c>
      <c r="RG8" s="76">
        <f>IF(SUM(QT8,QX8)&gt;0,SUM(QT8,QX8),"")</f>
        <v>5.8</v>
      </c>
      <c r="RH8" s="76">
        <f>IF(SUM(QS8:QT8,QV8:QX8,QZ8)-SUM(QU8,QY8)&gt;0,SUM(QS8:QT8,QV8:QX8,QZ8)-SUM(QU8,QY8),"")</f>
        <v>23.75</v>
      </c>
      <c r="RI8" s="76">
        <f>IF(SUM(RC8,RH8)&gt;0,SUM(RC8,RH8),"")</f>
        <v>48.000010000000003</v>
      </c>
    </row>
    <row r="9" spans="1:477" x14ac:dyDescent="0.2">
      <c r="A9" s="5">
        <f>IF(AND(F9="P",G9="P"),SUMPRODUCT((F$4:F$15="P")*(G$4:G$15="P")*(E$4:E$15&gt;E9))+1,IF(G9="P",SUMPRODUCT((F$4:F$15="")*(G$4:G$15="P")*(E$4:E$15&gt;E9))+1+SUMPRODUCT((F$4:F$15="P")*(G$4:G$15="P")),""))</f>
        <v>6</v>
      </c>
      <c r="B9" s="6" t="s">
        <v>113</v>
      </c>
      <c r="C9" s="7" t="s">
        <v>5</v>
      </c>
      <c r="D9" s="18">
        <v>1999</v>
      </c>
      <c r="E9" s="14">
        <f>SUM(J9:T9)+SUM(J9:P9)*0.0000001+SUM(J9)*0.0000000000001</f>
        <v>117.6000068800045</v>
      </c>
      <c r="F9" s="3" t="str">
        <f>IF(OR(AND(AR9&gt;=AY$17,AS9&gt;=AY$21,AR9&lt;&gt;"",AQ9=""),AND(AW9&gt;=AY$17,AX9&gt;=AY$21,AW9&lt;&gt;"",AQ9=""),AND(BU9&gt;=CB$17,BV9&gt;=CB$21,BU9&lt;&gt;"",BT9=""),AND(BZ9&gt;=CB$17,CA9&gt;=CB$21,BZ9&lt;&gt;"",BT9=""),AND(CX9&gt;=DE$17,CY9&gt;=DE$21,CX9&lt;&gt;"",CW9=""),AND(DC9&gt;=DE$17,DD9&gt;=DE$21,DC9&lt;&gt;""),AND(EC9&gt;=EJ$17,ED9&gt;=EJ$21,EC9&lt;&gt;""),AND(EH9&gt;=EJ$17,EI9&gt;=EJ$21,EH9&lt;&gt;""),AND(FE9&gt;=FL$17,FF9&gt;=FL$21,FE9&lt;&gt;""),AND(FJ9&gt;=FL$17,FK9&gt;=FL$21,FJ9&lt;&gt;""),AND(GG9&gt;=GN$17,GH9&gt;=GN$21,GG9&lt;&gt;""),AND(GL9&gt;=GN$17,GM9&gt;=GN$21,GL9&lt;&gt;""),AND(HI9&gt;=HP$17,HJ9&gt;=HP$21,HI9&lt;&gt;""),AND(HN9&gt;=HP$17,HO9&gt;=HP$21,HN9&lt;&gt;""),AND(IK9&gt;=IR$17,IL9&gt;=IR$21,IK9&lt;&gt;""),AND(IP9&gt;=IR$17,IQ9&gt;=IR$21,IP9&lt;&gt;""),AND(JM9&gt;=JT$17,JN9&gt;=JT$21,JM9&lt;&gt;""),AND(JR9&gt;=JT$17,JS9&gt;=JT$21,JR9&lt;&gt;""),AND(KO9&gt;=KV$17,KP9&gt;=KV$21,KO9&lt;&gt;""),AND(KT9&gt;=KV$17,KU9&gt;=KV$21,KT9&lt;&gt;""),AND(LQ9&gt;=LX$17,LR9&gt;=LX$21,LQ9&lt;&gt;""),AND(LV9&gt;=LX$17,LW9&gt;=LX$21,LV9&lt;&gt;""),AND(MS9&gt;=MZ$17,MT9&gt;=MZ$21,MS9&lt;&gt;""),AND(MX9&gt;=MZ$17,MY9&gt;=MZ$21,MX9&lt;&gt;""),AND(NU9&gt;=OB$17,NV9&gt;=OB$21,NU9&lt;&gt;""),AND(NZ9&gt;=OB$17,OA9&gt;=OB$21,NZ9&lt;&gt;""),AND(OW9&gt;=PD$17,OX9&gt;=PD$21,OW9&lt;&gt;""),AND(PB9&gt;=PD$17,PC9&gt;=PD$21,PB9&lt;&gt;""),AND(PY9&gt;=QF$17,PZ9&gt;=QF$21,PY9&lt;&gt;""),AND(QD9&gt;=QF$17,QE9&gt;=QF$21,QD9&lt;&gt;"")),"P","")</f>
        <v>P</v>
      </c>
      <c r="G9" s="3" t="str">
        <f>IF(OR(AND(AS9&gt;=AY$21,AS9&lt;&gt;"",AQ9=""),AND(AX9&gt;=AY$21,AX9&lt;&gt;"",AQ9=""),AND(BV9&gt;=CB$21,BV9&lt;&gt;"",BT9=""),AND(CA9&gt;=CB$21,CA9&lt;&gt;"",BT9=""),AND(CY9&gt;=DE$21,CY9&lt;&gt;"",CW9=""),AND(DD9&gt;=DE$21,DD9&lt;&gt;"",CW9=""),AND(ED9&gt;=EJ$21,ED9&lt;&gt;""),AND(EI9&gt;=EJ$21,EI9&lt;&gt;""),AND(FF9&gt;=FL$21,FF9&lt;&gt;""),AND(FK9&gt;=FL$21,FK9&lt;&gt;""),AND(GH9&gt;=GN$21,GH9&lt;&gt;""),AND(GM9&gt;=GN$21,GM9&lt;&gt;""),AND(HJ9&gt;=HP$21,HJ9&lt;&gt;""),AND(HO9&gt;=HP$21,HO9&lt;&gt;""),AND(IL9&gt;=IR$21,IL9&lt;&gt;""),AND(IQ9&gt;=IR$21,IQ9&lt;&gt;""),AND(JN9&gt;=JT$21,JN9&lt;&gt;""),AND(JS9&gt;=JT$21,JS9&lt;&gt;""),AND(KP9&gt;=KV$21,KP9&lt;&gt;""),AND(KU9&gt;=KV$21,KU9&lt;&gt;""),AND(LR9&gt;=LX$21,LR9&lt;&gt;""),AND(LW9&gt;=LX$21,LW9&lt;&gt;""),AND(MT9&gt;=MZ$21,MT9&lt;&gt;""),AND(MY9&gt;=MZ$21,MY9&lt;&gt;""),AND(NV9&gt;=OB$21,NV9&lt;&gt;""),AND(OA9&gt;=OB$21,OA9&lt;&gt;""),AND(OX9&gt;=PD$21,OX9&lt;&gt;""),AND(PC9&gt;=PD$21,PC9&lt;&gt;""),AND(PZ9&gt;=QF$21,PZ9&lt;&gt;""),AND(QE9&gt;=QF$21,QE9&lt;&gt;"")),"P","")</f>
        <v>P</v>
      </c>
      <c r="H9" s="70" t="str">
        <f>IF(AND(G9="P",F9=""),"No DD",IF(OR(AND(AU9&gt;=AY$20,AV9&gt;=AY$24,AU9&lt;&gt;"",AQ9=""),AND(BX9&gt;=CB$20,BY9&gt;=CB$24,BX9&lt;&gt;"",BT9=""),AND(DA9&gt;=DE$20,DB9&gt;=DE$24,DA9&lt;&gt;"",CW9=""),AND(EF9&gt;=EJ$20,EG9&gt;=EJ$24,EF9&lt;&gt;""),AND(FH9&gt;=FL$20,FI9&gt;=FL$24,FH9&lt;&gt;""),AND(GJ9&gt;=GN$20,GK9&gt;=GN$24,GJ9&lt;&gt;""),AND(HL9&gt;=HP$20,HM9&gt;=HP$24,HL9&lt;&gt;""),AND(IN9&gt;=IR$20,IO9&gt;=IR$24,IN9&lt;&gt;""),AND(JP9&gt;=JT$20,JQ9&gt;=JT$24,JP9&lt;&gt;""),AND(KR9&gt;=KV$20,KS9&gt;=KV$24,KR9&lt;&gt;""),AND(LT9&gt;=LX$20,LU9&gt;=LX$24,LT9&lt;&gt;""),AND(MV9&gt;=MZ$20,MW9&gt;=MZ$24,MV9&lt;&gt;""),AND(NX9&gt;=OB$20,NY9&gt;=OB$24,NX9&lt;&gt;""),AND(OZ9&gt;=PD$20,PA9&gt;=PD$24,OZ9&lt;&gt;""),AND(QB9&gt;=QF$20,QC9&gt;=QF$24,QB9&lt;&gt;"")),"Merit",IF(OR(AND(AU9&gt;=AY$19,AV9&gt;=AY$23,AU9&lt;&gt;"",AQ9=""),AND(BX9&gt;=CB$19,BY9&gt;=CB$23,BX9&lt;&gt;"",BT9=""),AND(DA9&gt;=DE$19,DB9&gt;=DE$23,DA9&lt;&gt;"",CW9=""),AND(EF9&gt;=EJ$19,EG9&gt;=EJ$23,EF9&lt;&gt;""),AND(FH9&gt;=FL$19,FI9&gt;=FL$23,FH9&lt;&gt;""),AND(GJ9&gt;=GN$19,GK9&gt;=GN$23,GJ9&lt;&gt;""),AND(HL9&gt;=HP$19,HM9&gt;=HP$23,HL9&lt;&gt;""),AND(IN9&gt;=IR$19,IO9&gt;=IR$23,IN9&lt;&gt;""),AND(JP9&gt;=JT$19,JQ9&gt;=JT$23,JP9&lt;&gt;""),AND(KR9&gt;=KV$19,KS9&gt;=KV$23,KR9&lt;&gt;""),AND(LT9&gt;=LX$19,LU9&gt;=LX$23,LT9&lt;&gt;""),AND(MV9&gt;=MZ$19,MW9&gt;=MZ$23,MV9&lt;&gt;""),AND(NX9&gt;=OB$19,NY9&gt;=OB$23,NX9&lt;&gt;""),AND(OZ9&gt;=PD$19,PA9&gt;=PD$23,OZ9&lt;&gt;""),AND(QB9&gt;=QF$19,QC9&gt;=QF$23,QB9&lt;&gt;"")),"Excellence",IF(I9="P","Worlds Team",IF(F9="P","National Team","")))))</f>
        <v>National Team</v>
      </c>
      <c r="I9" s="3" t="str">
        <f>IF(OR(AND(AU9&gt;=AY$18,AV9&gt;=AY$22,AU9&lt;&gt;"",AQ9=""),AND(BX9&gt;=CB$18,BY9&gt;=CB$22,BX9&lt;&gt;"",BT9=""),AND(DA9&gt;=DE$18,DB9&gt;=DE$22,DA9&lt;&gt;"",CW9=""),AND(EF9&gt;=EJ$18,EG9&gt;=EJ$22,EF9&lt;&gt;""),AND(FH9&gt;=FL$18,FI9&gt;=FL$22,FH9&lt;&gt;""),AND(GJ9&gt;=GN$18,GK9&gt;=GN$22,GJ9&lt;&gt;""),AND(HL9&gt;=HP$18,HM9&gt;=HP$22,HL9&lt;&gt;""),AND(IN9&gt;=IR$18,IO9&gt;=IR$22,IN9&lt;&gt;""),AND(JP9&gt;=JT$18,JQ9&gt;=JT$22,JP9&lt;&gt;""),AND(KR9&gt;=KV$18,KS9&gt;=KV$22,KR9&lt;&gt;""),AND(LT9&gt;=LX$18,LU9&gt;=LX$22,LT9&lt;&gt;""),AND(MV9&gt;=MZ$18,MW9&gt;=MZ$22,MV9&lt;&gt;""),AND(NX9&gt;=OB$18,NY9&gt;=OB$22,NX9&lt;&gt;""),AND(OZ9&gt;=PD$18,PA9&gt;=PD$22,OZ9&lt;&gt;""),AND(QB9&gt;=QF$18,QC9&gt;=QF$22,QB9&lt;&gt;"")),"P","")</f>
        <v/>
      </c>
      <c r="J9" s="13">
        <f>IF(COUNT(AS9,BV9,CY9)&gt;0,LARGE((AS9,BV9,CY9),1),0)</f>
        <v>45.099999999999994</v>
      </c>
      <c r="K9" s="13" t="str">
        <f>IF(J9=0,"",IF(J9=CY9,$CC$1,IF(J9=BV9,$AZ$1,IF(J9=AS9,$W$1,""))))</f>
        <v>2022 Elite Canada</v>
      </c>
      <c r="L9" s="13">
        <f>IF(COUNT(AS9,BV9,CY9)&gt;1,LARGE((AS9,BV9,CY9),2),0)</f>
        <v>0</v>
      </c>
      <c r="M9" s="13" t="str">
        <f>IF(L9=0,"",IF(L9=CY9,$CC$1,IF(L9=BV9,$AZ$1,IF(L9=AS9,$W$1,""))))</f>
        <v/>
      </c>
      <c r="N9" s="13">
        <f>IF(COUNT(AT9,BW9,CZ9)&gt;0,LARGE((AT9,BW9,CZ9),1),0)</f>
        <v>23.7</v>
      </c>
      <c r="O9" s="13" t="str">
        <f>IF(N9=0,"",IF(N9=CZ9,$CC$1,IF(N9=BW9,$AZ$1,IF(N9=AT9,$W$1,""))))</f>
        <v>2022 Elite Canada</v>
      </c>
      <c r="P9" s="13">
        <f>IF(COUNT(AT9,BW9,CZ9)&gt;1,LARGE((AT9,BW9,CZ9),2),0)</f>
        <v>0</v>
      </c>
      <c r="Q9" s="13" t="str">
        <f>IF(P9=0,"",IF(P9=CZ9,$CC$1,IF(P9=BW9,$AZ$1,IF(P9=AT9,$W$1,""))))</f>
        <v/>
      </c>
      <c r="R9" s="13">
        <f>IF(MAX(AX9,CA9,DD9)&gt;0,MAX(AX9,CA9,DD9),0)</f>
        <v>48.8</v>
      </c>
      <c r="S9" s="13" t="str">
        <f>IF(R9=0,"",IF(R9=DD9,$CC$1,IF(R9=CA9,$AZ$1,IF(R9=AX9,$W$1,""))))</f>
        <v>2022 Elite Canada</v>
      </c>
      <c r="T9" s="13" t="str">
        <f>IF(MAX(DF9:DH9)&gt;0,MAX(DF9:DH9),"")</f>
        <v/>
      </c>
      <c r="U9" s="16" t="str">
        <f>IF(T9="","",IF(T9=DF9,"("&amp;DF$2&amp;")",IF(T9=DH9,"("&amp;DH$2&amp;")")))</f>
        <v/>
      </c>
      <c r="V9" s="13" t="str">
        <f>IF(T9="","",IF(T9=DF9,IF(T9+IF(L9="",0,L9)=PZ9,$PE$1,IF(T9+IF(L9="",0,L9)=OX9,$OC$1,IF(T9+IF(L9="",0,L9)=NV9,$NA$1,IF(T9+IF(L9="",0,L9)=MT9,$LY$1,IF(T9+IF(L9="",0,L9)=LR9,$KW$1,IF(T9+IF(L9="",0,L9)=KP9,$JU$1,IF(T9+IF(L9="",0,L9)=JN9,$IS$1,IF(T9+IF(L9="",0,L9)=IL9,$HQ$1,IF(T9+IF(L9="",0,L9)=HJ9,$GO$1,IF(T9+IF(L9="",0,L9)=GH9,$FM$1,IF(T9+IF(L9="",0,L9)=FF9,$EK$1,IF(T9+IF(L9="",0,L9)=ED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</f>
        <v/>
      </c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51"/>
      <c r="AR9" s="76" t="str">
        <f>IF(SUM(X9,AB9)&gt;0,SUM(X9,AB9),"")</f>
        <v/>
      </c>
      <c r="AS9" s="76" t="str">
        <f>IF(SUM(W9:X9,Z9:AB9,AD9)-Y9-AC9&gt;0,SUM(W9:X9,Z9:AB9,AD9)-Y9-AC9,"")</f>
        <v/>
      </c>
      <c r="AT9" s="76" t="str">
        <f>IF(SUM(AE9:AF9,AH9)-AG9&gt;0,SUM(AE9:AF9,AH9)-AG9,"")</f>
        <v/>
      </c>
      <c r="AU9" s="76" t="str">
        <f>IF(SUM(X9,AB9,AF9)&gt;0,SUM(X9,AB9,AF9),"")</f>
        <v/>
      </c>
      <c r="AV9" s="76" t="str">
        <f>IF(SUM(AS9,AT9)&gt;0,SUM(AS9,AT9),"")</f>
        <v/>
      </c>
      <c r="AW9" s="76" t="str">
        <f>IF(SUM(AJ9,AN9)&gt;0,SUM(AJ9,AN9),"")</f>
        <v/>
      </c>
      <c r="AX9" s="76" t="str">
        <f>IF(SUM(AI9:AJ9,AL9:AN9,AP9)-SUM(AK9,AO9)&gt;0,SUM(AI9:AJ9,AL9:AN9,AP9)-SUM(AK9,AO9),"")</f>
        <v/>
      </c>
      <c r="AY9" s="76" t="str">
        <f>IF(SUM(AS9,AX9)&gt;0,SUM(AS9,AX9),"")</f>
        <v/>
      </c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52"/>
      <c r="BU9" s="16" t="str">
        <f>IF(SUM(BA9,BE9)&gt;0,SUM(BA9,BE9),"")</f>
        <v/>
      </c>
      <c r="BV9" s="16" t="str">
        <f>IF(SUM(AZ9:BA9,BC9:BE9,BG9)-BB9-BF9&gt;0,SUM(AZ9:BA9,BC9:BE9,BG9)-BB9-BF9,"")</f>
        <v/>
      </c>
      <c r="BW9" s="16" t="str">
        <f>IF(SUM(BH9:BI9,BK9)-BJ9&gt;0,SUM(BH9:BI9,BK9)-BJ9,"")</f>
        <v/>
      </c>
      <c r="BX9" s="16" t="str">
        <f>IF(SUM(BA9,BE9,BI9)&gt;0,SUM(BA9,BE9,BI9),"")</f>
        <v/>
      </c>
      <c r="BY9" s="16" t="str">
        <f>IF(SUM(BV9,BW9)&gt;0,SUM(BV9,BW9),"")</f>
        <v/>
      </c>
      <c r="BZ9" s="16" t="str">
        <f>IF(SUM(BM9,BQ9)&gt;0,SUM(BM9,BQ9),"")</f>
        <v/>
      </c>
      <c r="CA9" s="16" t="str">
        <f>IF(SUM(BL9:BM9,BO9:BQ9,BS9)-SUM(BN9,BR9)&gt;0,SUM(BL9:BM9,BO9:BQ9,BS9)-SUM(BN9,BR9),"")</f>
        <v/>
      </c>
      <c r="CB9" s="16" t="str">
        <f>IF(SUM(BV9,CA9)&gt;0,SUM(BV9,CA9),"")</f>
        <v/>
      </c>
      <c r="CC9" s="27">
        <v>18.7</v>
      </c>
      <c r="CD9" s="27">
        <v>5.6</v>
      </c>
      <c r="CE9" s="27">
        <v>0</v>
      </c>
      <c r="CF9" s="27">
        <v>0</v>
      </c>
      <c r="CG9" s="27">
        <v>18.600000000000001</v>
      </c>
      <c r="CH9" s="27">
        <v>3.3</v>
      </c>
      <c r="CI9" s="27">
        <v>1.1000000000000001</v>
      </c>
      <c r="CJ9" s="27">
        <v>0</v>
      </c>
      <c r="CK9" s="27">
        <v>19.100000000000001</v>
      </c>
      <c r="CL9" s="27">
        <v>5.2</v>
      </c>
      <c r="CM9" s="27">
        <v>0.6</v>
      </c>
      <c r="CN9" s="27">
        <v>0</v>
      </c>
      <c r="CO9" s="27">
        <v>18.7</v>
      </c>
      <c r="CP9" s="27">
        <v>5.6</v>
      </c>
      <c r="CQ9" s="27">
        <v>0</v>
      </c>
      <c r="CR9" s="27">
        <v>0</v>
      </c>
      <c r="CS9" s="27">
        <v>18.899999999999999</v>
      </c>
      <c r="CT9" s="27">
        <v>5.6</v>
      </c>
      <c r="CU9" s="27">
        <v>0</v>
      </c>
      <c r="CV9" s="27">
        <v>0</v>
      </c>
      <c r="CW9" s="51"/>
      <c r="CX9" s="76">
        <f>IF(SUM(CD9,CH9)&gt;0,SUM(CD9,CH9),"")</f>
        <v>8.8999999999999986</v>
      </c>
      <c r="CY9" s="76">
        <f>IF(SUM(CC9:CD9,CF9:CH9,CJ9)-CE9-CI9&gt;0,SUM(CC9:CD9,CF9:CH9,CJ9)-CE9-CI9,"")</f>
        <v>45.099999999999994</v>
      </c>
      <c r="CZ9" s="76">
        <f>IF(SUM(CK9:CL9,CN9)-CM9&gt;0,SUM(CK9:CL9,CN9)-CM9,"")</f>
        <v>23.7</v>
      </c>
      <c r="DA9" s="76">
        <f>IF(SUM(CD9,CH9,CL9)&gt;0,SUM(CD9,CH9,CL9),"")</f>
        <v>14.099999999999998</v>
      </c>
      <c r="DB9" s="76">
        <f>IF(SUM(CY9,CZ9)&gt;0,SUM(CY9,CZ9),"")</f>
        <v>68.8</v>
      </c>
      <c r="DC9" s="76">
        <f>IF(SUM(CP9,CT9)&gt;0,SUM(CP9,CT9),"")</f>
        <v>11.2</v>
      </c>
      <c r="DD9" s="76">
        <f>IF(SUM(CO9:CP9,CR9:CT9,CV9)-SUM(CQ9,CU9)&gt;0,SUM(CO9:CP9,CR9:CT9,CV9)-SUM(CQ9,CU9),"")</f>
        <v>48.8</v>
      </c>
      <c r="DE9" s="76">
        <f>IF(SUM(CY9,DD9)&gt;0,SUM(CY9,DD9),"")</f>
        <v>93.899999999999991</v>
      </c>
      <c r="DF9" s="87" t="str">
        <f>IF(L9&gt;=0.001,IF(MAX(ED9,FF9,GH9,HJ9,IL9,JN9,KP9,LR9,MT9,NV9,OX9,PZ9)-IF(L9="",0,L9)&gt;0.001,MAX(ED9,FF9,GH9,HJ9,IL9,JN9,KP9,LR9,MT9,NV9,OX9,PZ9)-IF(L9="",0,L9),""),"")</f>
        <v/>
      </c>
      <c r="DG9" s="87" t="str">
        <f>IF(P9&gt;=0.001,IF(MAX(EE9,FG9,GI9,HK9,IM9,JO9,KQ9,LS9,MU9,NW9,OY9,QA9)-IF(P9="",0,P9)&gt;0.001,MAX(EE9,FG9,GI9,HK9,IM9,JO9,KQ9,LS9,MU9,NW9,OY9,QA9)-IF(P9="",0,P9),""),"")</f>
        <v/>
      </c>
      <c r="DH9" s="87" t="str">
        <f>IF(R9&gt;=0.001,IF(MAX(EI9,FK9,GM9,HO9,IQ9,JS9,KU9,LW9,MY9,OA9,PC9,QE9)-IF(R9="",0,R9)&gt;0.001,MAX(EI9,FK9,GM9,HO9,IQ9,JS9,KU9,LW9,MY9,OA9,PC9,QE9)-IF(R9="",0,R9),""),"")</f>
        <v/>
      </c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76" t="str">
        <f>IF(SUM(DJ9,DN9)&gt;0,SUM(DJ9,DN9),"")</f>
        <v/>
      </c>
      <c r="ED9" s="76" t="str">
        <f>IF(SUM(DI9:DJ9,DL9:DN9,DP9)-DK9-DO9&gt;0,SUM(DI9:DJ9,DL9:DN9,DP9)-DK9-DO9,"")</f>
        <v/>
      </c>
      <c r="EE9" s="76" t="str">
        <f>IF(SUM(DQ9:DR9,DT9)-DS9&gt;0,SUM(DQ9:DR9,DT9)-DS9,"")</f>
        <v/>
      </c>
      <c r="EF9" s="76" t="str">
        <f>IF(SUM(DJ9,DN9,DR9)&gt;0,SUM(DJ9,DN9,DR9),"")</f>
        <v/>
      </c>
      <c r="EG9" s="76" t="str">
        <f>IF(SUM(ED9,EE9)&gt;0,SUM(ED9,EE9),"")</f>
        <v/>
      </c>
      <c r="EH9" s="76" t="str">
        <f>IF(SUM(DV9,DZ9)&gt;0,SUM(DV9,DZ9),"")</f>
        <v/>
      </c>
      <c r="EI9" s="76" t="str">
        <f>IF(SUM(DU9:DV9,DX9:DZ9,EB9)-SUM(DW9,EA9)&gt;0,SUM(DU9:DV9,DX9:DZ9,EB9)-SUM(DW9,EA9),"")</f>
        <v/>
      </c>
      <c r="EJ9" s="76" t="str">
        <f>IF(SUM(ED9,EI9)&gt;0,SUM(ED9,EI9),"")</f>
        <v/>
      </c>
      <c r="EK9" s="26">
        <v>18.7</v>
      </c>
      <c r="EL9" s="26">
        <v>5.6</v>
      </c>
      <c r="EM9" s="26">
        <v>0.6</v>
      </c>
      <c r="EN9" s="26">
        <v>0</v>
      </c>
      <c r="EO9" s="26">
        <v>18.899999999999999</v>
      </c>
      <c r="EP9" s="26">
        <v>5.6</v>
      </c>
      <c r="EQ9" s="26">
        <v>0</v>
      </c>
      <c r="ER9" s="26">
        <v>0</v>
      </c>
      <c r="ES9" s="26"/>
      <c r="ET9" s="26"/>
      <c r="EU9" s="26"/>
      <c r="EV9" s="26"/>
      <c r="EW9" s="26">
        <v>18.899999999999999</v>
      </c>
      <c r="EX9" s="26">
        <v>2.8</v>
      </c>
      <c r="EY9" s="26">
        <v>1.6</v>
      </c>
      <c r="EZ9" s="26">
        <v>0</v>
      </c>
      <c r="FA9" s="26">
        <v>18.399999999999999</v>
      </c>
      <c r="FB9" s="26">
        <v>2.4</v>
      </c>
      <c r="FC9" s="26">
        <v>2.2000000000000002</v>
      </c>
      <c r="FD9" s="26">
        <v>0</v>
      </c>
      <c r="FE9" s="16">
        <f>IF(SUM(EL9,EP9)&gt;0,SUM(EL9,EP9),"")</f>
        <v>11.2</v>
      </c>
      <c r="FF9" s="16">
        <f>IF(SUM(EK9:EL9,EN9:EP9,ER9)-EM9-EQ9&gt;0,SUM(EK9:EL9,EN9:EP9,ER9)-EM9-EQ9,"")</f>
        <v>48.199999999999996</v>
      </c>
      <c r="FG9" s="16" t="str">
        <f>IF(SUM(ES9:ET9,EV9)-EU9&gt;0,SUM(ES9:ET9,EV9)-EU9,"")</f>
        <v/>
      </c>
      <c r="FH9" s="16">
        <f>IF(SUM(EL9,EP9,ET9)&gt;0,SUM(EL9,EP9,ET9),"")</f>
        <v>11.2</v>
      </c>
      <c r="FI9" s="16">
        <f>IF(SUM(FF9,FG9)&gt;0,SUM(FF9,FG9),"")</f>
        <v>48.199999999999996</v>
      </c>
      <c r="FJ9" s="16">
        <f>IF(SUM(EX9,FB9)&gt;0,SUM(EX9,FB9),"")</f>
        <v>5.1999999999999993</v>
      </c>
      <c r="FK9" s="16">
        <f>IF(SUM(EW9:EX9,EZ9:FB9,FD9)-SUM(EY9,FC9)&gt;0,SUM(EW9:EX9,EZ9:FB9,FD9)-SUM(EY9,FC9),"")</f>
        <v>38.699999999999996</v>
      </c>
      <c r="FL9" s="16">
        <f>IF(SUM(FF9,FK9)&gt;0,SUM(FF9,FK9),"")</f>
        <v>86.899999999999991</v>
      </c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76" t="str">
        <f>IF(SUM(FN9,FR9)&gt;0,SUM(FN9,FR9),"")</f>
        <v/>
      </c>
      <c r="GH9" s="76" t="str">
        <f>IF(SUM(FM9:FN9,FP9:FR9,FT9)-FO9-FS9&gt;0,SUM(FM9:FN9,FP9:FR9,FT9)-FO9-FS9,"")</f>
        <v/>
      </c>
      <c r="GI9" s="76" t="str">
        <f>IF(SUM(FU9:FV9,FX9)-FW9&gt;0,SUM(FU9:FV9,FX9)-FW9,"")</f>
        <v/>
      </c>
      <c r="GJ9" s="76" t="str">
        <f>IF(SUM(FN9,FR9,FV9)&gt;0,SUM(FN9,FR9,FV9),"")</f>
        <v/>
      </c>
      <c r="GK9" s="76" t="str">
        <f>IF(SUM(GH9,GI9)&gt;0,SUM(GH9,GI9),"")</f>
        <v/>
      </c>
      <c r="GL9" s="76" t="str">
        <f>IF(SUM(FZ9,GD9)&gt;0,SUM(FZ9,GD9),"")</f>
        <v/>
      </c>
      <c r="GM9" s="76" t="str">
        <f>IF(SUM(FY9:FZ9,GB9:GD9,GF9)-SUM(GA9,GE9)&gt;0,SUM(FY9:FZ9,GB9:GD9,GF9)-SUM(GA9,GE9),"")</f>
        <v/>
      </c>
      <c r="GN9" s="76" t="str">
        <f>IF(SUM(GH9,GM9)&gt;0,SUM(GH9,GM9),"")</f>
        <v/>
      </c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16" t="str">
        <f>IF(SUM(GP9,GT9)&gt;0,SUM(GP9,GT9),"")</f>
        <v/>
      </c>
      <c r="HJ9" s="16" t="str">
        <f>IF(SUM(GO9:GP9,GR9:GT9,GV9)-GQ9-GU9&gt;0,SUM(GO9:GP9,GR9:GT9,GV9)-GQ9-GU9,"")</f>
        <v/>
      </c>
      <c r="HK9" s="16" t="str">
        <f>IF(SUM(GW9:GX9,GZ9)-GY9&gt;0,SUM(GW9:GX9,GZ9)-GY9,"")</f>
        <v/>
      </c>
      <c r="HL9" s="16" t="str">
        <f>IF(SUM(GP9,GT9,GX9)&gt;0,SUM(GP9,GT9,GX9),"")</f>
        <v/>
      </c>
      <c r="HM9" s="16" t="str">
        <f>IF(SUM(HJ9,HK9)&gt;0,SUM(HJ9,HK9),"")</f>
        <v/>
      </c>
      <c r="HN9" s="16" t="str">
        <f>IF(SUM(HB9,HF9)&gt;0,SUM(HB9,HF9),"")</f>
        <v/>
      </c>
      <c r="HO9" s="16" t="str">
        <f>IF(SUM(HA9:HB9,HD9:HF9,HH9)-SUM(HC9,HG9)&gt;0,SUM(HA9:HB9,HD9:HF9,HH9)-SUM(HC9,HG9),"")</f>
        <v/>
      </c>
      <c r="HP9" s="16" t="str">
        <f>IF(SUM(HJ9,HO9)&gt;0,SUM(HJ9,HO9),"")</f>
        <v/>
      </c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76" t="str">
        <f>IF(SUM(HR9,HV9)&gt;0,SUM(HR9,HV9),"")</f>
        <v/>
      </c>
      <c r="IL9" s="76" t="str">
        <f>IF(SUM(HQ9:HR9,HT9:HV9,HX9)-HS9-HW9&gt;0,SUM(HQ9:HR9,HT9:HV9,HX9)-HS9-HW9,"")</f>
        <v/>
      </c>
      <c r="IM9" s="76" t="str">
        <f>IF(SUM(HY9:HZ9,IB9)-IA9&gt;0,SUM(HY9:HZ9,IB9)-IA9,"")</f>
        <v/>
      </c>
      <c r="IN9" s="76" t="str">
        <f>IF(SUM(HR9,HV9,HZ9)&gt;0,SUM(HR9,HV9,HZ9),"")</f>
        <v/>
      </c>
      <c r="IO9" s="76" t="str">
        <f>IF(SUM(IL9,IM9)&gt;0,SUM(IL9,IM9),"")</f>
        <v/>
      </c>
      <c r="IP9" s="76" t="str">
        <f>IF(SUM(ID9,IH9)&gt;0,SUM(ID9,IH9),"")</f>
        <v/>
      </c>
      <c r="IQ9" s="76" t="str">
        <f>IF(SUM(IC9:ID9,IF9:IH9,IJ9)-SUM(IE9,II9)&gt;0,SUM(IC9:ID9,IF9:IH9,IJ9)-SUM(IE9,II9),"")</f>
        <v/>
      </c>
      <c r="IR9" s="76" t="str">
        <f>IF(SUM(IL9,IQ9)&gt;0,SUM(IL9,IQ9),"")</f>
        <v/>
      </c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16" t="str">
        <f>IF(SUM(IT9,IX9)&gt;0,SUM(IT9,IX9),"")</f>
        <v/>
      </c>
      <c r="JN9" s="16" t="str">
        <f>IF(SUM(IS9:IT9,IV9:IX9,IZ9)-IU9-IY9&gt;0,SUM(IS9:IT9,IV9:IX9,IZ9)-IU9-IY9,"")</f>
        <v/>
      </c>
      <c r="JO9" s="16" t="str">
        <f>IF(SUM(JA9:JB9,JD9)-JC9&gt;0,SUM(JA9:JB9,JD9)-JC9,"")</f>
        <v/>
      </c>
      <c r="JP9" s="16" t="str">
        <f>IF(SUM(IT9,IX9,JB9)&gt;0,SUM(IT9,IX9,JB9),"")</f>
        <v/>
      </c>
      <c r="JQ9" s="16" t="str">
        <f>IF(SUM(JN9,JO9)&gt;0,SUM(JN9,JO9),"")</f>
        <v/>
      </c>
      <c r="JR9" s="16" t="str">
        <f>IF(SUM(JF9,JJ9)&gt;0,SUM(JF9,JJ9),"")</f>
        <v/>
      </c>
      <c r="JS9" s="16" t="str">
        <f>IF(SUM(JE9:JF9,JH9:JJ9,JL9)-SUM(JG9,JK9)&gt;0,SUM(JE9:JF9,JH9:JJ9,JL9)-SUM(JG9,JK9),"")</f>
        <v/>
      </c>
      <c r="JT9" s="16" t="str">
        <f>IF(SUM(JN9,JS9)&gt;0,SUM(JN9,JS9),"")</f>
        <v/>
      </c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76" t="str">
        <f>IF(SUM(JV9,JZ9)&gt;0,SUM(JV9,JZ9),"")</f>
        <v/>
      </c>
      <c r="KP9" s="76" t="str">
        <f>IF(SUM(JU9:JV9,JX9:JZ9,KB9)-JW9-KA9&gt;0,SUM(JU9:JV9,JX9:JZ9,KB9)-JW9-KA9,"")</f>
        <v/>
      </c>
      <c r="KQ9" s="76" t="str">
        <f>IF(SUM(KC9:KD9,KF9)-KE9&gt;0,SUM(KC9:KD9,KF9)-KE9,"")</f>
        <v/>
      </c>
      <c r="KR9" s="76" t="str">
        <f>IF(SUM(JV9,JZ9,KD9)&gt;0,SUM(JV9,JZ9,KD9),"")</f>
        <v/>
      </c>
      <c r="KS9" s="76" t="str">
        <f>IF(SUM(KP9,KQ9)&gt;0,SUM(KP9,KQ9),"")</f>
        <v/>
      </c>
      <c r="KT9" s="76" t="str">
        <f>IF(SUM(KH9,KL9)&gt;0,SUM(KH9,KL9),"")</f>
        <v/>
      </c>
      <c r="KU9" s="76" t="str">
        <f>IF(SUM(KG9:KH9,KJ9:KL9,KN9)-SUM(KI9,KM9)&gt;0,SUM(KG9:KH9,KJ9:KL9,KN9)-SUM(KI9,KM9),"")</f>
        <v/>
      </c>
      <c r="KV9" s="76" t="str">
        <f>IF(SUM(KP9,KU9)&gt;0,SUM(KP9,KU9),"")</f>
        <v/>
      </c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16" t="str">
        <f>IF(SUM(KX9,LB9)&gt;0,SUM(KX9,LB9),"")</f>
        <v/>
      </c>
      <c r="LR9" s="16" t="str">
        <f>IF(SUM(KW9:KX9,KZ9:LB9,LD9)-KY9-LC9&gt;0,SUM(KW9:KX9,KZ9:LB9,LD9)-KY9-LC9,"")</f>
        <v/>
      </c>
      <c r="LS9" s="16" t="str">
        <f>IF(SUM(LE9:LF9,LH9)-LG9&gt;0,SUM(LE9:LF9,LH9)-LG9,"")</f>
        <v/>
      </c>
      <c r="LT9" s="16" t="str">
        <f>IF(SUM(KX9,LB9,LF9)&gt;0,SUM(KX9,LB9,LF9),"")</f>
        <v/>
      </c>
      <c r="LU9" s="16" t="str">
        <f>IF(SUM(LR9,LS9)&gt;0,SUM(LR9,LS9),"")</f>
        <v/>
      </c>
      <c r="LV9" s="16" t="str">
        <f>IF(SUM(LJ9,LN9)&gt;0,SUM(LJ9,LN9),"")</f>
        <v/>
      </c>
      <c r="LW9" s="16" t="str">
        <f>IF(SUM(LI9:LJ9,LL9:LN9,LP9)-SUM(LK9,LO9)&gt;0,SUM(LI9:LJ9,LL9:LN9,LP9)-SUM(LK9,LO9),"")</f>
        <v/>
      </c>
      <c r="LX9" s="16" t="str">
        <f>IF(SUM(LR9,LW9)&gt;0,SUM(LR9,LW9),"")</f>
        <v/>
      </c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76" t="str">
        <f>IF(SUM(LZ9,MD9)&gt;0,SUM(LZ9,MD9),"")</f>
        <v/>
      </c>
      <c r="MT9" s="76" t="str">
        <f>IF(SUM(LY9:LZ9,MB9:MD9,MF9)-MA9-ME9&gt;0,SUM(LY9:LZ9,MB9:MD9,MF9)-MA9-ME9,"")</f>
        <v/>
      </c>
      <c r="MU9" s="76" t="str">
        <f>IF(SUM(MG9:MH9,MJ9)-MI9&gt;0,SUM(MG9:MH9,MJ9)-MI9,"")</f>
        <v/>
      </c>
      <c r="MV9" s="76" t="str">
        <f>IF(SUM(LZ9,MD9,MH9)&gt;0,SUM(LZ9,MD9,MH9),"")</f>
        <v/>
      </c>
      <c r="MW9" s="76" t="str">
        <f>IF(SUM(MT9,MU9)&gt;0,SUM(MT9,MU9),"")</f>
        <v/>
      </c>
      <c r="MX9" s="76" t="str">
        <f>IF(SUM(ML9,MP9)&gt;0,SUM(ML9,MP9),"")</f>
        <v/>
      </c>
      <c r="MY9" s="76" t="str">
        <f>IF(SUM(MK9:ML9,MN9:MP9,MR9)-SUM(MM9,MQ9)&gt;0,SUM(MK9:ML9,MN9:MP9,MR9)-SUM(MM9,MQ9),"")</f>
        <v/>
      </c>
      <c r="MZ9" s="76" t="str">
        <f>IF(SUM(MT9,MY9)&gt;0,SUM(MT9,MY9),"")</f>
        <v/>
      </c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16" t="str">
        <f>IF(SUM(NB9,NF9)&gt;0,SUM(NB9,NF9),"")</f>
        <v/>
      </c>
      <c r="NV9" s="16" t="str">
        <f>IF(SUM(NA9:NB9,ND9:NF9,NH9)-NC9-NG9&gt;0,SUM(NA9:NB9,ND9:NF9,NH9)-NC9-NG9,"")</f>
        <v/>
      </c>
      <c r="NW9" s="16" t="str">
        <f>IF(SUM(NI9:NJ9,NL9)-NK9&gt;0,SUM(NI9:NJ9,NL9)-NK9,"")</f>
        <v/>
      </c>
      <c r="NX9" s="16" t="str">
        <f>IF(SUM(NB9,NF9,NJ9)&gt;0,SUM(NB9,NF9,NJ9),"")</f>
        <v/>
      </c>
      <c r="NY9" s="16" t="str">
        <f>IF(SUM(NV9,NW9)&gt;0,SUM(NV9,NW9),"")</f>
        <v/>
      </c>
      <c r="NZ9" s="16" t="str">
        <f>IF(SUM(NN9,NR9)&gt;0,SUM(NN9,NR9),"")</f>
        <v/>
      </c>
      <c r="OA9" s="16" t="str">
        <f>IF(SUM(NM9:NN9,NP9:NR9,NT9)-SUM(NO9,NS9)&gt;0,SUM(NM9:NN9,NP9:NR9,NT9)-SUM(NO9,NS9),"")</f>
        <v/>
      </c>
      <c r="OB9" s="16" t="str">
        <f>IF(SUM(NV9,OA9)&gt;0,SUM(NV9,OA9),"")</f>
        <v/>
      </c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76" t="str">
        <f>IF(SUM(OD9,OH9)&gt;0,SUM(OD9,OH9),"")</f>
        <v/>
      </c>
      <c r="OX9" s="76" t="str">
        <f>IF(SUM(OC9:OD9,OF9:OH9,OJ9)-OE9-OI9&gt;0,SUM(OC9:OD9,OF9:OH9,OJ9)-OE9-OI9,"")</f>
        <v/>
      </c>
      <c r="OY9" s="76" t="str">
        <f>IF(SUM(OK9:OL9,ON9)-OM9&gt;0,SUM(OK9:OL9,ON9)-OM9,"")</f>
        <v/>
      </c>
      <c r="OZ9" s="76" t="str">
        <f>IF(SUM(OD9,OH9,OL9)&gt;0,SUM(OD9,OH9,OL9),"")</f>
        <v/>
      </c>
      <c r="PA9" s="76" t="str">
        <f>IF(SUM(OX9,OY9)&gt;0,SUM(OX9,OY9),"")</f>
        <v/>
      </c>
      <c r="PB9" s="76" t="str">
        <f>IF(SUM(OP9,OT9)&gt;0,SUM(OP9,OT9),"")</f>
        <v/>
      </c>
      <c r="PC9" s="76" t="str">
        <f>IF(SUM(OO9:OP9,OR9:OT9,OV9)-SUM(OQ9,OU9)&gt;0,SUM(OO9:OP9,OR9:OT9,OV9)-SUM(OQ9,OU9),"")</f>
        <v/>
      </c>
      <c r="PD9" s="76" t="str">
        <f>IF(SUM(OX9,PC9)&gt;0,SUM(OX9,PC9),"")</f>
        <v/>
      </c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16" t="str">
        <f>IF(SUM(PF9,PJ9)&gt;0,SUM(PF9,PJ9),"")</f>
        <v/>
      </c>
      <c r="PZ9" s="16" t="str">
        <f>IF(SUM(PE9:PF9,PH9:PJ9,PL9)-PG9-PK9&gt;0,SUM(PE9:PF9,PH9:PJ9,PL9)-PG9-PK9,"")</f>
        <v/>
      </c>
      <c r="QA9" s="16" t="str">
        <f>IF(SUM(PM9:PN9,PP9)-PO9&gt;0,SUM(PM9:PN9,PP9)-PO9,"")</f>
        <v/>
      </c>
      <c r="QB9" s="16" t="str">
        <f>IF(SUM(PF9,PJ9,PN9)&gt;0,SUM(PF9,PJ9,PN9),"")</f>
        <v/>
      </c>
      <c r="QC9" s="16" t="str">
        <f>IF(SUM(PZ9,QA9)&gt;0,SUM(PZ9,QA9),"")</f>
        <v/>
      </c>
      <c r="QD9" s="16" t="str">
        <f>IF(SUM(PR9,PV9)&gt;0,SUM(PR9,PV9),"")</f>
        <v/>
      </c>
      <c r="QE9" s="16" t="str">
        <f>IF(SUM(PQ9:PR9,PT9:PV9,PX9)-SUM(PS9,PW9)&gt;0,SUM(PQ9:PR9,PT9:PV9,PX9)-SUM(PS9,PW9),"")</f>
        <v/>
      </c>
      <c r="QF9" s="16" t="str">
        <f>IF(SUM(PZ9,QE9)&gt;0,SUM(PZ9,QE9),"")</f>
        <v/>
      </c>
      <c r="QG9" s="42">
        <f>IF($CW9="P",CC9,(CC9+AZ9)/2)</f>
        <v>9.35</v>
      </c>
      <c r="QH9" s="42">
        <f>IF($CW9="P",CD9,(CD9+BA9)/2)</f>
        <v>2.8</v>
      </c>
      <c r="QI9" s="42">
        <f>IF($CW9="P",CE9,(CE9+BB9)/2)</f>
        <v>0</v>
      </c>
      <c r="QJ9" s="42">
        <f>IF($CW9="P",CF9,(CF9+BC9)/2)</f>
        <v>0</v>
      </c>
      <c r="QK9" s="42">
        <f>IF($CW9="P",CG9,(CG9+BD9)/2)</f>
        <v>9.3000000000000007</v>
      </c>
      <c r="QL9" s="42">
        <f>IF($CW9="P",CH9,(CH9+BE9)/2)</f>
        <v>1.65</v>
      </c>
      <c r="QM9" s="42">
        <f>IF($CW9="P",CI9,(CI9+BF9)/2)</f>
        <v>0.55000000000000004</v>
      </c>
      <c r="QN9" s="42">
        <f>IF($CW9="P",CJ9,(CJ9+BG9)/2)</f>
        <v>0</v>
      </c>
      <c r="QO9" s="42">
        <f>IF($CW9="P",CK9,(CK9+BH9)/2)</f>
        <v>9.5500000000000007</v>
      </c>
      <c r="QP9" s="42">
        <f>IF($CW9="P",CL9,(CL9+BI9)/2)</f>
        <v>2.6</v>
      </c>
      <c r="QQ9" s="42">
        <f>IF($CW9="P",CM9,(CM9+BJ9)/2)</f>
        <v>0.3</v>
      </c>
      <c r="QR9" s="42">
        <f>IF($CW9="P",CN9,(CN9+BK9)/2)</f>
        <v>0</v>
      </c>
      <c r="QS9" s="42">
        <f>IF($CW9="P",CO9,(CO9+BL9)/2)</f>
        <v>9.35</v>
      </c>
      <c r="QT9" s="42">
        <f>IF($CW9="P",CP9,(CP9+BM9)/2)</f>
        <v>2.8</v>
      </c>
      <c r="QU9" s="42">
        <f>IF($CW9="P",CQ9,(CQ9+BN9)/2)</f>
        <v>0</v>
      </c>
      <c r="QV9" s="42">
        <f>IF($CW9="P",CR9,(CR9+BO9)/2)</f>
        <v>0</v>
      </c>
      <c r="QW9" s="42">
        <f>IF($CW9="P",CS9,(CS9+BP9)/2)</f>
        <v>9.4499999999999993</v>
      </c>
      <c r="QX9" s="42">
        <f>IF($CW9="P",CT9,(CT9+BQ9)/2)</f>
        <v>2.8</v>
      </c>
      <c r="QY9" s="42">
        <f>IF($CW9="P",CU9,(CU9+BR9)/2)</f>
        <v>0</v>
      </c>
      <c r="QZ9" s="42">
        <f>IF($CW9="P",CV9,(CV9+BS9)/2)</f>
        <v>0</v>
      </c>
      <c r="RA9" s="51" t="s">
        <v>61</v>
      </c>
      <c r="RB9" s="76">
        <f>IF(SUM(QH9,QL9)&gt;0,SUM(QH9,QL9),"")</f>
        <v>4.4499999999999993</v>
      </c>
      <c r="RC9" s="76">
        <f>IF(SUM(QG9:QH9,QJ9:QL9,QN9)-QI9-QM9&gt;0,SUM(QG9:QH9,QJ9:QL9,QN9)-QI9-QM9,"")</f>
        <v>22.549999999999997</v>
      </c>
      <c r="RD9" s="76">
        <f>IF(SUM(QO9:QP9,QR9)-QQ9&gt;0,SUM(QO9:QP9,QR9)-QQ9,"")</f>
        <v>11.85</v>
      </c>
      <c r="RE9" s="76">
        <f>IF(SUM(QH9,QL9,QP9)&gt;0,SUM(QH9,QL9,QP9),"")</f>
        <v>7.0499999999999989</v>
      </c>
      <c r="RF9" s="76">
        <f>IF(SUM(RC9,RD9)&gt;0,SUM(RC9,RD9),"")</f>
        <v>34.4</v>
      </c>
      <c r="RG9" s="76">
        <f>IF(SUM(QT9,QX9)&gt;0,SUM(QT9,QX9),"")</f>
        <v>5.6</v>
      </c>
      <c r="RH9" s="76">
        <f>IF(SUM(QS9:QT9,QV9:QX9,QZ9)-SUM(QU9,QY9)&gt;0,SUM(QS9:QT9,QV9:QX9,QZ9)-SUM(QU9,QY9),"")</f>
        <v>24.4</v>
      </c>
      <c r="RI9" s="76">
        <f>IF(SUM(RC9,RH9)&gt;0,SUM(RC9,RH9),"")</f>
        <v>46.949999999999996</v>
      </c>
    </row>
    <row r="10" spans="1:477" x14ac:dyDescent="0.2">
      <c r="A10" s="5">
        <f>IF(AND(F10="P",G10="P"),SUMPRODUCT((F$4:F$15="P")*(G$4:G$15="P")*(E$4:E$15&gt;E10))+1,IF(G10="P",SUMPRODUCT((F$4:F$15="")*(G$4:G$15="P")*(E$4:E$15&gt;E10))+1+SUMPRODUCT((F$4:F$15="P")*(G$4:G$15="P")),""))</f>
        <v>7</v>
      </c>
      <c r="B10" s="6" t="s">
        <v>100</v>
      </c>
      <c r="C10" s="7" t="s">
        <v>6</v>
      </c>
      <c r="D10" s="18">
        <v>2003</v>
      </c>
      <c r="E10" s="14">
        <f>SUM(J10:T10)+SUM(J10:P10)*0.0000001+SUM(J10)*0.0000000000001</f>
        <v>117.54000688400487</v>
      </c>
      <c r="F10" s="3" t="str">
        <f>IF(OR(AND(AR10&gt;=AY$17,AS10&gt;=AY$21,AR10&lt;&gt;"",AQ10=""),AND(AW10&gt;=AY$17,AX10&gt;=AY$21,AW10&lt;&gt;"",AQ10=""),AND(BU10&gt;=CB$17,BV10&gt;=CB$21,BU10&lt;&gt;"",BT10=""),AND(BZ10&gt;=CB$17,CA10&gt;=CB$21,BZ10&lt;&gt;"",BT10=""),AND(CX10&gt;=DE$17,CY10&gt;=DE$21,CX10&lt;&gt;"",CW10=""),AND(DC10&gt;=DE$17,DD10&gt;=DE$21,DC10&lt;&gt;""),AND(EC10&gt;=EJ$17,ED10&gt;=EJ$21,EC10&lt;&gt;""),AND(EH10&gt;=EJ$17,EI10&gt;=EJ$21,EH10&lt;&gt;""),AND(FE10&gt;=FL$17,FF10&gt;=FL$21,FE10&lt;&gt;""),AND(FJ10&gt;=FL$17,FK10&gt;=FL$21,FJ10&lt;&gt;""),AND(GG10&gt;=GN$17,GH10&gt;=GN$21,GG10&lt;&gt;""),AND(GL10&gt;=GN$17,GM10&gt;=GN$21,GL10&lt;&gt;""),AND(HI10&gt;=HP$17,HJ10&gt;=HP$21,HI10&lt;&gt;""),AND(HN10&gt;=HP$17,HO10&gt;=HP$21,HN10&lt;&gt;""),AND(IK10&gt;=IR$17,IL10&gt;=IR$21,IK10&lt;&gt;""),AND(IP10&gt;=IR$17,IQ10&gt;=IR$21,IP10&lt;&gt;""),AND(JM10&gt;=JT$17,JN10&gt;=JT$21,JM10&lt;&gt;""),AND(JR10&gt;=JT$17,JS10&gt;=JT$21,JR10&lt;&gt;""),AND(KO10&gt;=KV$17,KP10&gt;=KV$21,KO10&lt;&gt;""),AND(KT10&gt;=KV$17,KU10&gt;=KV$21,KT10&lt;&gt;""),AND(LQ10&gt;=LX$17,LR10&gt;=LX$21,LQ10&lt;&gt;""),AND(LV10&gt;=LX$17,LW10&gt;=LX$21,LV10&lt;&gt;""),AND(MS10&gt;=MZ$17,MT10&gt;=MZ$21,MS10&lt;&gt;""),AND(MX10&gt;=MZ$17,MY10&gt;=MZ$21,MX10&lt;&gt;""),AND(NU10&gt;=OB$17,NV10&gt;=OB$21,NU10&lt;&gt;""),AND(NZ10&gt;=OB$17,OA10&gt;=OB$21,NZ10&lt;&gt;""),AND(OW10&gt;=PD$17,OX10&gt;=PD$21,OW10&lt;&gt;""),AND(PB10&gt;=PD$17,PC10&gt;=PD$21,PB10&lt;&gt;""),AND(PY10&gt;=QF$17,PZ10&gt;=QF$21,PY10&lt;&gt;""),AND(QD10&gt;=QF$17,QE10&gt;=QF$21,QD10&lt;&gt;"")),"P","")</f>
        <v>P</v>
      </c>
      <c r="G10" s="3" t="str">
        <f>IF(OR(AND(AS10&gt;=AY$21,AS10&lt;&gt;"",AQ10=""),AND(AX10&gt;=AY$21,AX10&lt;&gt;"",AQ10=""),AND(BV10&gt;=CB$21,BV10&lt;&gt;"",BT10=""),AND(CA10&gt;=CB$21,CA10&lt;&gt;"",BT10=""),AND(CY10&gt;=DE$21,CY10&lt;&gt;"",CW10=""),AND(DD10&gt;=DE$21,DD10&lt;&gt;"",CW10=""),AND(ED10&gt;=EJ$21,ED10&lt;&gt;""),AND(EI10&gt;=EJ$21,EI10&lt;&gt;""),AND(FF10&gt;=FL$21,FF10&lt;&gt;""),AND(FK10&gt;=FL$21,FK10&lt;&gt;""),AND(GH10&gt;=GN$21,GH10&lt;&gt;""),AND(GM10&gt;=GN$21,GM10&lt;&gt;""),AND(HJ10&gt;=HP$21,HJ10&lt;&gt;""),AND(HO10&gt;=HP$21,HO10&lt;&gt;""),AND(IL10&gt;=IR$21,IL10&lt;&gt;""),AND(IQ10&gt;=IR$21,IQ10&lt;&gt;""),AND(JN10&gt;=JT$21,JN10&lt;&gt;""),AND(JS10&gt;=JT$21,JS10&lt;&gt;""),AND(KP10&gt;=KV$21,KP10&lt;&gt;""),AND(KU10&gt;=KV$21,KU10&lt;&gt;""),AND(LR10&gt;=LX$21,LR10&lt;&gt;""),AND(LW10&gt;=LX$21,LW10&lt;&gt;""),AND(MT10&gt;=MZ$21,MT10&lt;&gt;""),AND(MY10&gt;=MZ$21,MY10&lt;&gt;""),AND(NV10&gt;=OB$21,NV10&lt;&gt;""),AND(OA10&gt;=OB$21,OA10&lt;&gt;""),AND(OX10&gt;=PD$21,OX10&lt;&gt;""),AND(PC10&gt;=PD$21,PC10&lt;&gt;""),AND(PZ10&gt;=QF$21,PZ10&lt;&gt;""),AND(QE10&gt;=QF$21,QE10&lt;&gt;"")),"P","")</f>
        <v>P</v>
      </c>
      <c r="H10" s="70" t="str">
        <f>IF(AND(G10="P",F10=""),"No DD",IF(OR(AND(AU10&gt;=AY$20,AV10&gt;=AY$24,AU10&lt;&gt;"",AQ10=""),AND(BX10&gt;=CB$20,BY10&gt;=CB$24,BX10&lt;&gt;"",BT10=""),AND(DA10&gt;=DE$20,DB10&gt;=DE$24,DA10&lt;&gt;"",CW10=""),AND(EF10&gt;=EJ$20,EG10&gt;=EJ$24,EF10&lt;&gt;""),AND(FH10&gt;=FL$20,FI10&gt;=FL$24,FH10&lt;&gt;""),AND(GJ10&gt;=GN$20,GK10&gt;=GN$24,GJ10&lt;&gt;""),AND(HL10&gt;=HP$20,HM10&gt;=HP$24,HL10&lt;&gt;""),AND(IN10&gt;=IR$20,IO10&gt;=IR$24,IN10&lt;&gt;""),AND(JP10&gt;=JT$20,JQ10&gt;=JT$24,JP10&lt;&gt;""),AND(KR10&gt;=KV$20,KS10&gt;=KV$24,KR10&lt;&gt;""),AND(LT10&gt;=LX$20,LU10&gt;=LX$24,LT10&lt;&gt;""),AND(MV10&gt;=MZ$20,MW10&gt;=MZ$24,MV10&lt;&gt;""),AND(NX10&gt;=OB$20,NY10&gt;=OB$24,NX10&lt;&gt;""),AND(OZ10&gt;=PD$20,PA10&gt;=PD$24,OZ10&lt;&gt;""),AND(QB10&gt;=QF$20,QC10&gt;=QF$24,QB10&lt;&gt;"")),"Merit",IF(OR(AND(AU10&gt;=AY$19,AV10&gt;=AY$23,AU10&lt;&gt;"",AQ10=""),AND(BX10&gt;=CB$19,BY10&gt;=CB$23,BX10&lt;&gt;"",BT10=""),AND(DA10&gt;=DE$19,DB10&gt;=DE$23,DA10&lt;&gt;"",CW10=""),AND(EF10&gt;=EJ$19,EG10&gt;=EJ$23,EF10&lt;&gt;""),AND(FH10&gt;=FL$19,FI10&gt;=FL$23,FH10&lt;&gt;""),AND(GJ10&gt;=GN$19,GK10&gt;=GN$23,GJ10&lt;&gt;""),AND(HL10&gt;=HP$19,HM10&gt;=HP$23,HL10&lt;&gt;""),AND(IN10&gt;=IR$19,IO10&gt;=IR$23,IN10&lt;&gt;""),AND(JP10&gt;=JT$19,JQ10&gt;=JT$23,JP10&lt;&gt;""),AND(KR10&gt;=KV$19,KS10&gt;=KV$23,KR10&lt;&gt;""),AND(LT10&gt;=LX$19,LU10&gt;=LX$23,LT10&lt;&gt;""),AND(MV10&gt;=MZ$19,MW10&gt;=MZ$23,MV10&lt;&gt;""),AND(NX10&gt;=OB$19,NY10&gt;=OB$23,NX10&lt;&gt;""),AND(OZ10&gt;=PD$19,PA10&gt;=PD$23,OZ10&lt;&gt;""),AND(QB10&gt;=QF$19,QC10&gt;=QF$23,QB10&lt;&gt;"")),"Excellence",IF(I10="P","Worlds Team",IF(F10="P","National Team","")))))</f>
        <v>National Team</v>
      </c>
      <c r="I10" s="3" t="str">
        <f>IF(OR(AND(AU10&gt;=AY$18,AV10&gt;=AY$22,AU10&lt;&gt;"",AQ10=""),AND(BX10&gt;=CB$18,BY10&gt;=CB$22,BX10&lt;&gt;"",BT10=""),AND(DA10&gt;=DE$18,DB10&gt;=DE$22,DA10&lt;&gt;"",CW10=""),AND(EF10&gt;=EJ$18,EG10&gt;=EJ$22,EF10&lt;&gt;""),AND(FH10&gt;=FL$18,FI10&gt;=FL$22,FH10&lt;&gt;""),AND(GJ10&gt;=GN$18,GK10&gt;=GN$22,GJ10&lt;&gt;""),AND(HL10&gt;=HP$18,HM10&gt;=HP$22,HL10&lt;&gt;""),AND(IN10&gt;=IR$18,IO10&gt;=IR$22,IN10&lt;&gt;""),AND(JP10&gt;=JT$18,JQ10&gt;=JT$22,JP10&lt;&gt;""),AND(KR10&gt;=KV$18,KS10&gt;=KV$22,KR10&lt;&gt;""),AND(LT10&gt;=LX$18,LU10&gt;=LX$22,LT10&lt;&gt;""),AND(MV10&gt;=MZ$18,MW10&gt;=MZ$22,MV10&lt;&gt;""),AND(NX10&gt;=OB$18,NY10&gt;=OB$22,NX10&lt;&gt;""),AND(OZ10&gt;=PD$18,PA10&gt;=PD$22,OZ10&lt;&gt;""),AND(QB10&gt;=QF$18,QC10&gt;=QF$22,QB10&lt;&gt;"")),"P","")</f>
        <v/>
      </c>
      <c r="J10" s="13">
        <f>IF(COUNT(AS10,BV10,CY10)&gt;0,LARGE((AS10,BV10,CY10),1),0)</f>
        <v>48.64</v>
      </c>
      <c r="K10" s="13" t="str">
        <f>IF(J10=0,"",IF(J10=CY10,$CC$1,IF(J10=BV10,$AZ$1,IF(J10=AS10,$W$1,""))))</f>
        <v>2022 Elite Canada</v>
      </c>
      <c r="L10" s="13">
        <f>IF(COUNT(AS10,BV10,CY10)&gt;1,LARGE((AS10,BV10,CY10),2),0)</f>
        <v>0</v>
      </c>
      <c r="M10" s="13" t="str">
        <f>IF(L10=0,"",IF(L10=CY10,$CC$1,IF(L10=BV10,$AZ$1,IF(L10=AS10,$W$1,""))))</f>
        <v/>
      </c>
      <c r="N10" s="13">
        <f>IF(COUNT(AT10,BW10,CZ10)&gt;0,LARGE((AT10,BW10,CZ10),1),0)</f>
        <v>20.2</v>
      </c>
      <c r="O10" s="13" t="str">
        <f>IF(N10=0,"",IF(N10=CZ10,$CC$1,IF(N10=BW10,$AZ$1,IF(N10=AT10,$W$1,""))))</f>
        <v>2022 Elite Canada</v>
      </c>
      <c r="P10" s="13">
        <f>IF(COUNT(AT10,BW10,CZ10)&gt;1,LARGE((AT10,BW10,CZ10),2),0)</f>
        <v>0</v>
      </c>
      <c r="Q10" s="13" t="str">
        <f>IF(P10=0,"",IF(P10=CZ10,$CC$1,IF(P10=BW10,$AZ$1,IF(P10=AT10,$W$1,""))))</f>
        <v/>
      </c>
      <c r="R10" s="13">
        <f>IF(MAX(AX10,CA10,DD10)&gt;0,MAX(AX10,CA10,DD10),0)</f>
        <v>42.499999999999993</v>
      </c>
      <c r="S10" s="13" t="str">
        <f>IF(R10=0,"",IF(R10=DD10,$CC$1,IF(R10=CA10,$AZ$1,IF(R10=AX10,$W$1,""))))</f>
        <v>2022 Elite Canada</v>
      </c>
      <c r="T10" s="13">
        <f>IF(MAX(DF10:DH10)&gt;0,MAX(DF10:DH10),"")</f>
        <v>6.2000000000000028</v>
      </c>
      <c r="U10" s="16" t="str">
        <f>IF(T10="","",IF(T10=DF10,"("&amp;DF$2&amp;")",IF(T10=DH10,"("&amp;DH$2&amp;")")))</f>
        <v>(Final)</v>
      </c>
      <c r="V10" s="13" t="str">
        <f>IF(T10="","",IF(T10=DF10,IF(T10+IF(L10="",0,L10)=PZ10,$PE$1,IF(T10+IF(L10="",0,L10)=OX10,$OC$1,IF(T10+IF(L10="",0,L10)=NV10,$NA$1,IF(T10+IF(L10="",0,L10)=MT10,$LY$1,IF(T10+IF(L10="",0,L10)=LR10,$KW$1,IF(T10+IF(L10="",0,L10)=KP10,$JU$1,IF(T10+IF(L10="",0,L10)=JN10,$IS$1,IF(T10+IF(L10="",0,L10)=IL10,$HQ$1,IF(T10+IF(L10="",0,L10)=HJ10,$GO$1,IF(T10+IF(L10="",0,L10)=GH10,$FM$1,IF(T10+IF(L10="",0,L10)=FF10,$EK$1,IF(T10+IF(L10="",0,L10)=ED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</f>
        <v>2022 World Games Technical Trial #1 (Mar 12)</v>
      </c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51"/>
      <c r="AR10" s="76" t="str">
        <f>IF(SUM(X10,AB10)&gt;0,SUM(X10,AB10),"")</f>
        <v/>
      </c>
      <c r="AS10" s="76" t="str">
        <f>IF(SUM(W10:X10,Z10:AB10,AD10)-Y10-AC10&gt;0,SUM(W10:X10,Z10:AB10,AD10)-Y10-AC10,"")</f>
        <v/>
      </c>
      <c r="AT10" s="76" t="str">
        <f>IF(SUM(AE10:AF10,AH10)-AG10&gt;0,SUM(AE10:AF10,AH10)-AG10,"")</f>
        <v/>
      </c>
      <c r="AU10" s="76" t="str">
        <f>IF(SUM(X10,AB10,AF10)&gt;0,SUM(X10,AB10,AF10),"")</f>
        <v/>
      </c>
      <c r="AV10" s="76" t="str">
        <f>IF(SUM(AS10,AT10)&gt;0,SUM(AS10,AT10),"")</f>
        <v/>
      </c>
      <c r="AW10" s="76" t="str">
        <f>IF(SUM(AJ10,AN10)&gt;0,SUM(AJ10,AN10),"")</f>
        <v/>
      </c>
      <c r="AX10" s="76" t="str">
        <f>IF(SUM(AI10:AJ10,AL10:AN10,AP10)-SUM(AK10,AO10)&gt;0,SUM(AI10:AJ10,AL10:AN10,AP10)-SUM(AK10,AO10),"")</f>
        <v/>
      </c>
      <c r="AY10" s="76" t="str">
        <f>IF(SUM(AS10,AX10)&gt;0,SUM(AS10,AX10),"")</f>
        <v/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52"/>
      <c r="BU10" s="16" t="str">
        <f>IF(SUM(BA10,BE10)&gt;0,SUM(BA10,BE10),"")</f>
        <v/>
      </c>
      <c r="BV10" s="16" t="str">
        <f>IF(SUM(AZ10:BA10,BC10:BE10,BG10)-BB10-BF10&gt;0,SUM(AZ10:BA10,BC10:BE10,BG10)-BB10-BF10,"")</f>
        <v/>
      </c>
      <c r="BW10" s="16" t="str">
        <f>IF(SUM(BH10:BI10,BK10)-BJ10&gt;0,SUM(BH10:BI10,BK10)-BJ10,"")</f>
        <v/>
      </c>
      <c r="BX10" s="16" t="str">
        <f>IF(SUM(BA10,BE10,BI10)&gt;0,SUM(BA10,BE10,BI10),"")</f>
        <v/>
      </c>
      <c r="BY10" s="16" t="str">
        <f>IF(SUM(BV10,BW10)&gt;0,SUM(BV10,BW10),"")</f>
        <v/>
      </c>
      <c r="BZ10" s="16" t="str">
        <f>IF(SUM(BM10,BQ10)&gt;0,SUM(BM10,BQ10),"")</f>
        <v/>
      </c>
      <c r="CA10" s="16" t="str">
        <f>IF(SUM(BL10:BM10,BO10:BQ10,BS10)-SUM(BN10,BR10)&gt;0,SUM(BL10:BM10,BO10:BQ10,BS10)-SUM(BN10,BR10),"")</f>
        <v/>
      </c>
      <c r="CB10" s="16" t="str">
        <f>IF(SUM(BV10,CA10)&gt;0,SUM(BV10,CA10),"")</f>
        <v/>
      </c>
      <c r="CC10" s="27">
        <v>18.64</v>
      </c>
      <c r="CD10" s="27">
        <v>6</v>
      </c>
      <c r="CE10" s="27">
        <v>0</v>
      </c>
      <c r="CF10" s="27">
        <v>0</v>
      </c>
      <c r="CG10" s="27">
        <v>19</v>
      </c>
      <c r="CH10" s="27">
        <v>5.6</v>
      </c>
      <c r="CI10" s="27">
        <v>0.6</v>
      </c>
      <c r="CJ10" s="27">
        <v>0</v>
      </c>
      <c r="CK10" s="27">
        <v>17.399999999999999</v>
      </c>
      <c r="CL10" s="27">
        <v>2.8</v>
      </c>
      <c r="CM10" s="27">
        <v>0</v>
      </c>
      <c r="CN10" s="27">
        <v>0</v>
      </c>
      <c r="CO10" s="27">
        <v>17.399999999999999</v>
      </c>
      <c r="CP10" s="27">
        <v>2.4</v>
      </c>
      <c r="CQ10" s="27">
        <v>0</v>
      </c>
      <c r="CR10" s="27">
        <v>0</v>
      </c>
      <c r="CS10" s="27">
        <v>16.899999999999999</v>
      </c>
      <c r="CT10" s="27">
        <v>6.4</v>
      </c>
      <c r="CU10" s="27">
        <v>0.6</v>
      </c>
      <c r="CV10" s="27">
        <v>0</v>
      </c>
      <c r="CW10" s="51"/>
      <c r="CX10" s="76">
        <f>IF(SUM(CD10,CH10)&gt;0,SUM(CD10,CH10),"")</f>
        <v>11.6</v>
      </c>
      <c r="CY10" s="76">
        <f>IF(SUM(CC10:CD10,CF10:CH10,CJ10)-CE10-CI10&gt;0,SUM(CC10:CD10,CF10:CH10,CJ10)-CE10-CI10,"")</f>
        <v>48.64</v>
      </c>
      <c r="CZ10" s="76">
        <f>IF(SUM(CK10:CL10,CN10)-CM10&gt;0,SUM(CK10:CL10,CN10)-CM10,"")</f>
        <v>20.2</v>
      </c>
      <c r="DA10" s="76">
        <f>IF(SUM(CD10,CH10,CL10)&gt;0,SUM(CD10,CH10,CL10),"")</f>
        <v>14.399999999999999</v>
      </c>
      <c r="DB10" s="76">
        <f>IF(SUM(CY10,CZ10)&gt;0,SUM(CY10,CZ10),"")</f>
        <v>68.84</v>
      </c>
      <c r="DC10" s="76">
        <f>IF(SUM(CP10,CT10)&gt;0,SUM(CP10,CT10),"")</f>
        <v>8.8000000000000007</v>
      </c>
      <c r="DD10" s="76">
        <f>IF(SUM(CO10:CP10,CR10:CT10,CV10)-SUM(CQ10,CU10)&gt;0,SUM(CO10:CP10,CR10:CT10,CV10)-SUM(CQ10,CU10),"")</f>
        <v>42.499999999999993</v>
      </c>
      <c r="DE10" s="76">
        <f>IF(SUM(CY10,DD10)&gt;0,SUM(CY10,DD10),"")</f>
        <v>91.139999999999986</v>
      </c>
      <c r="DF10" s="87" t="str">
        <f>IF(L10&gt;=0.001,IF(MAX(ED10,FF10,GH10,HJ10,IL10,JN10,KP10,LR10,MT10,NV10,OX10,PZ10)-IF(L10="",0,L10)&gt;0.001,MAX(ED10,FF10,GH10,HJ10,IL10,JN10,KP10,LR10,MT10,NV10,OX10,PZ10)-IF(L10="",0,L10),""),"")</f>
        <v/>
      </c>
      <c r="DG10" s="87" t="str">
        <f>IF(P10&gt;=0.001,IF(MAX(EE10,FG10,GI10,HK10,IM10,JO10,KQ10,LS10,MU10,NW10,OY10,QA10)-IF(P10="",0,P10)&gt;0.001,MAX(EE10,FG10,GI10,HK10,IM10,JO10,KQ10,LS10,MU10,NW10,OY10,QA10)-IF(P10="",0,P10),""),"")</f>
        <v/>
      </c>
      <c r="DH10" s="87">
        <f>IF(R10&gt;=0.001,IF(MAX(EI10,FK10,GM10,HO10,IQ10,JS10,KU10,LW10,MY10,OA10,PC10,QE10)-IF(R10="",0,R10)&gt;0.001,MAX(EI10,FK10,GM10,HO10,IQ10,JS10,KU10,LW10,MY10,OA10,PC10,QE10)-IF(R10="",0,R10),""),"")</f>
        <v>6.2000000000000028</v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76" t="str">
        <f>IF(SUM(DJ10,DN10)&gt;0,SUM(DJ10,DN10),"")</f>
        <v/>
      </c>
      <c r="ED10" s="76" t="str">
        <f>IF(SUM(DI10:DJ10,DL10:DN10,DP10)-DK10-DO10&gt;0,SUM(DI10:DJ10,DL10:DN10,DP10)-DK10-DO10,"")</f>
        <v/>
      </c>
      <c r="EE10" s="76" t="str">
        <f>IF(SUM(DQ10:DR10,DT10)-DS10&gt;0,SUM(DQ10:DR10,DT10)-DS10,"")</f>
        <v/>
      </c>
      <c r="EF10" s="76" t="str">
        <f>IF(SUM(DJ10,DN10,DR10)&gt;0,SUM(DJ10,DN10,DR10),"")</f>
        <v/>
      </c>
      <c r="EG10" s="76" t="str">
        <f>IF(SUM(ED10,EE10)&gt;0,SUM(ED10,EE10),"")</f>
        <v/>
      </c>
      <c r="EH10" s="76" t="str">
        <f>IF(SUM(DV10,DZ10)&gt;0,SUM(DV10,DZ10),"")</f>
        <v/>
      </c>
      <c r="EI10" s="76" t="str">
        <f>IF(SUM(DU10:DV10,DX10:DZ10,EB10)-SUM(DW10,EA10)&gt;0,SUM(DU10:DV10,DX10:DZ10,EB10)-SUM(DW10,EA10),"")</f>
        <v/>
      </c>
      <c r="EJ10" s="76" t="str">
        <f>IF(SUM(ED10,EI10)&gt;0,SUM(ED10,EI10),"")</f>
        <v/>
      </c>
      <c r="EK10" s="26">
        <v>18.600000000000001</v>
      </c>
      <c r="EL10" s="26">
        <v>6</v>
      </c>
      <c r="EM10" s="26">
        <v>0.2</v>
      </c>
      <c r="EN10" s="26">
        <v>0</v>
      </c>
      <c r="EO10" s="26">
        <v>18.600000000000001</v>
      </c>
      <c r="EP10" s="26">
        <v>5.6</v>
      </c>
      <c r="EQ10" s="26">
        <v>0.2</v>
      </c>
      <c r="ER10" s="26">
        <v>0</v>
      </c>
      <c r="ES10" s="26"/>
      <c r="ET10" s="26"/>
      <c r="EU10" s="26"/>
      <c r="EV10" s="26"/>
      <c r="EW10" s="26">
        <v>18.600000000000001</v>
      </c>
      <c r="EX10" s="26">
        <v>6</v>
      </c>
      <c r="EY10" s="26">
        <v>0.2</v>
      </c>
      <c r="EZ10" s="26">
        <v>0</v>
      </c>
      <c r="FA10" s="26">
        <v>18.7</v>
      </c>
      <c r="FB10" s="26">
        <v>5.6</v>
      </c>
      <c r="FC10" s="26">
        <v>0</v>
      </c>
      <c r="FD10" s="26">
        <v>0</v>
      </c>
      <c r="FE10" s="16">
        <f>IF(SUM(EL10,EP10)&gt;0,SUM(EL10,EP10),"")</f>
        <v>11.6</v>
      </c>
      <c r="FF10" s="16">
        <f>IF(SUM(EK10:EL10,EN10:EP10,ER10)-EM10-EQ10&gt;0,SUM(EK10:EL10,EN10:EP10,ER10)-EM10-EQ10,"")</f>
        <v>48.4</v>
      </c>
      <c r="FG10" s="16" t="str">
        <f>IF(SUM(ES10:ET10,EV10)-EU10&gt;0,SUM(ES10:ET10,EV10)-EU10,"")</f>
        <v/>
      </c>
      <c r="FH10" s="16">
        <f>IF(SUM(EL10,EP10,ET10)&gt;0,SUM(EL10,EP10,ET10),"")</f>
        <v>11.6</v>
      </c>
      <c r="FI10" s="16">
        <f>IF(SUM(FF10,FG10)&gt;0,SUM(FF10,FG10),"")</f>
        <v>48.4</v>
      </c>
      <c r="FJ10" s="16">
        <f>IF(SUM(EX10,FB10)&gt;0,SUM(EX10,FB10),"")</f>
        <v>11.6</v>
      </c>
      <c r="FK10" s="16">
        <f>IF(SUM(EW10:EX10,EZ10:FB10,FD10)-SUM(EY10,FC10)&gt;0,SUM(EW10:EX10,EZ10:FB10,FD10)-SUM(EY10,FC10),"")</f>
        <v>48.699999999999996</v>
      </c>
      <c r="FL10" s="16">
        <f>IF(SUM(FF10,FK10)&gt;0,SUM(FF10,FK10),"")</f>
        <v>97.1</v>
      </c>
      <c r="FM10" s="25">
        <v>18.600000000000001</v>
      </c>
      <c r="FN10" s="25">
        <v>6</v>
      </c>
      <c r="FO10" s="25">
        <v>0.2</v>
      </c>
      <c r="FP10" s="25">
        <v>0</v>
      </c>
      <c r="FQ10" s="25">
        <v>18.8</v>
      </c>
      <c r="FR10" s="25">
        <v>5.6</v>
      </c>
      <c r="FS10" s="25">
        <v>0.2</v>
      </c>
      <c r="FT10" s="25">
        <v>0</v>
      </c>
      <c r="FU10" s="25"/>
      <c r="FV10" s="25"/>
      <c r="FW10" s="25"/>
      <c r="FX10" s="25"/>
      <c r="FY10" s="25">
        <v>18.2</v>
      </c>
      <c r="FZ10" s="25">
        <v>4.4000000000000004</v>
      </c>
      <c r="GA10" s="25">
        <v>0.2</v>
      </c>
      <c r="GB10" s="25">
        <v>0</v>
      </c>
      <c r="GC10" s="25">
        <v>18.5</v>
      </c>
      <c r="GD10" s="25">
        <v>6.4</v>
      </c>
      <c r="GE10" s="25">
        <v>0</v>
      </c>
      <c r="GF10" s="25">
        <v>0</v>
      </c>
      <c r="GG10" s="76">
        <f>IF(SUM(FN10,FR10)&gt;0,SUM(FN10,FR10),"")</f>
        <v>11.6</v>
      </c>
      <c r="GH10" s="76">
        <f>IF(SUM(FM10:FN10,FP10:FR10,FT10)-FO10-FS10&gt;0,SUM(FM10:FN10,FP10:FR10,FT10)-FO10-FS10,"")</f>
        <v>48.6</v>
      </c>
      <c r="GI10" s="76" t="str">
        <f>IF(SUM(FU10:FV10,FX10)-FW10&gt;0,SUM(FU10:FV10,FX10)-FW10,"")</f>
        <v/>
      </c>
      <c r="GJ10" s="76">
        <f>IF(SUM(FN10,FR10,FV10)&gt;0,SUM(FN10,FR10,FV10),"")</f>
        <v>11.6</v>
      </c>
      <c r="GK10" s="76">
        <f>IF(SUM(GH10,GI10)&gt;0,SUM(GH10,GI10),"")</f>
        <v>48.6</v>
      </c>
      <c r="GL10" s="76">
        <f>IF(SUM(FZ10,GD10)&gt;0,SUM(FZ10,GD10),"")</f>
        <v>10.8</v>
      </c>
      <c r="GM10" s="76">
        <f>IF(SUM(FY10:FZ10,GB10:GD10,GF10)-SUM(GA10,GE10)&gt;0,SUM(FY10:FZ10,GB10:GD10,GF10)-SUM(GA10,GE10),"")</f>
        <v>47.3</v>
      </c>
      <c r="GN10" s="76">
        <f>IF(SUM(GH10,GM10)&gt;0,SUM(GH10,GM10),"")</f>
        <v>95.9</v>
      </c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16" t="str">
        <f>IF(SUM(GP10,GT10)&gt;0,SUM(GP10,GT10),"")</f>
        <v/>
      </c>
      <c r="HJ10" s="16" t="str">
        <f>IF(SUM(GO10:GP10,GR10:GT10,GV10)-GQ10-GU10&gt;0,SUM(GO10:GP10,GR10:GT10,GV10)-GQ10-GU10,"")</f>
        <v/>
      </c>
      <c r="HK10" s="16" t="str">
        <f>IF(SUM(GW10:GX10,GZ10)-GY10&gt;0,SUM(GW10:GX10,GZ10)-GY10,"")</f>
        <v/>
      </c>
      <c r="HL10" s="16" t="str">
        <f>IF(SUM(GP10,GT10,GX10)&gt;0,SUM(GP10,GT10,GX10),"")</f>
        <v/>
      </c>
      <c r="HM10" s="16" t="str">
        <f>IF(SUM(HJ10,HK10)&gt;0,SUM(HJ10,HK10),"")</f>
        <v/>
      </c>
      <c r="HN10" s="16" t="str">
        <f>IF(SUM(HB10,HF10)&gt;0,SUM(HB10,HF10),"")</f>
        <v/>
      </c>
      <c r="HO10" s="16" t="str">
        <f>IF(SUM(HA10:HB10,HD10:HF10,HH10)-SUM(HC10,HG10)&gt;0,SUM(HA10:HB10,HD10:HF10,HH10)-SUM(HC10,HG10),"")</f>
        <v/>
      </c>
      <c r="HP10" s="16" t="str">
        <f>IF(SUM(HJ10,HO10)&gt;0,SUM(HJ10,HO10),"")</f>
        <v/>
      </c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76" t="str">
        <f>IF(SUM(HR10,HV10)&gt;0,SUM(HR10,HV10),"")</f>
        <v/>
      </c>
      <c r="IL10" s="76" t="str">
        <f>IF(SUM(HQ10:HR10,HT10:HV10,HX10)-HS10-HW10&gt;0,SUM(HQ10:HR10,HT10:HV10,HX10)-HS10-HW10,"")</f>
        <v/>
      </c>
      <c r="IM10" s="76" t="str">
        <f>IF(SUM(HY10:HZ10,IB10)-IA10&gt;0,SUM(HY10:HZ10,IB10)-IA10,"")</f>
        <v/>
      </c>
      <c r="IN10" s="76" t="str">
        <f>IF(SUM(HR10,HV10,HZ10)&gt;0,SUM(HR10,HV10,HZ10),"")</f>
        <v/>
      </c>
      <c r="IO10" s="76" t="str">
        <f>IF(SUM(IL10,IM10)&gt;0,SUM(IL10,IM10),"")</f>
        <v/>
      </c>
      <c r="IP10" s="76" t="str">
        <f>IF(SUM(ID10,IH10)&gt;0,SUM(ID10,IH10),"")</f>
        <v/>
      </c>
      <c r="IQ10" s="76" t="str">
        <f>IF(SUM(IC10:ID10,IF10:IH10,IJ10)-SUM(IE10,II10)&gt;0,SUM(IC10:ID10,IF10:IH10,IJ10)-SUM(IE10,II10),"")</f>
        <v/>
      </c>
      <c r="IR10" s="76" t="str">
        <f>IF(SUM(IL10,IQ10)&gt;0,SUM(IL10,IQ10),"")</f>
        <v/>
      </c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16" t="str">
        <f>IF(SUM(IT10,IX10)&gt;0,SUM(IT10,IX10),"")</f>
        <v/>
      </c>
      <c r="JN10" s="16" t="str">
        <f>IF(SUM(IS10:IT10,IV10:IX10,IZ10)-IU10-IY10&gt;0,SUM(IS10:IT10,IV10:IX10,IZ10)-IU10-IY10,"")</f>
        <v/>
      </c>
      <c r="JO10" s="16" t="str">
        <f>IF(SUM(JA10:JB10,JD10)-JC10&gt;0,SUM(JA10:JB10,JD10)-JC10,"")</f>
        <v/>
      </c>
      <c r="JP10" s="16" t="str">
        <f>IF(SUM(IT10,IX10,JB10)&gt;0,SUM(IT10,IX10,JB10),"")</f>
        <v/>
      </c>
      <c r="JQ10" s="16" t="str">
        <f>IF(SUM(JN10,JO10)&gt;0,SUM(JN10,JO10),"")</f>
        <v/>
      </c>
      <c r="JR10" s="16" t="str">
        <f>IF(SUM(JF10,JJ10)&gt;0,SUM(JF10,JJ10),"")</f>
        <v/>
      </c>
      <c r="JS10" s="16" t="str">
        <f>IF(SUM(JE10:JF10,JH10:JJ10,JL10)-SUM(JG10,JK10)&gt;0,SUM(JE10:JF10,JH10:JJ10,JL10)-SUM(JG10,JK10),"")</f>
        <v/>
      </c>
      <c r="JT10" s="16" t="str">
        <f>IF(SUM(JN10,JS10)&gt;0,SUM(JN10,JS10),"")</f>
        <v/>
      </c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76" t="str">
        <f>IF(SUM(JV10,JZ10)&gt;0,SUM(JV10,JZ10),"")</f>
        <v/>
      </c>
      <c r="KP10" s="76" t="str">
        <f>IF(SUM(JU10:JV10,JX10:JZ10,KB10)-JW10-KA10&gt;0,SUM(JU10:JV10,JX10:JZ10,KB10)-JW10-KA10,"")</f>
        <v/>
      </c>
      <c r="KQ10" s="76" t="str">
        <f>IF(SUM(KC10:KD10,KF10)-KE10&gt;0,SUM(KC10:KD10,KF10)-KE10,"")</f>
        <v/>
      </c>
      <c r="KR10" s="76" t="str">
        <f>IF(SUM(JV10,JZ10,KD10)&gt;0,SUM(JV10,JZ10,KD10),"")</f>
        <v/>
      </c>
      <c r="KS10" s="76" t="str">
        <f>IF(SUM(KP10,KQ10)&gt;0,SUM(KP10,KQ10),"")</f>
        <v/>
      </c>
      <c r="KT10" s="76" t="str">
        <f>IF(SUM(KH10,KL10)&gt;0,SUM(KH10,KL10),"")</f>
        <v/>
      </c>
      <c r="KU10" s="76" t="str">
        <f>IF(SUM(KG10:KH10,KJ10:KL10,KN10)-SUM(KI10,KM10)&gt;0,SUM(KG10:KH10,KJ10:KL10,KN10)-SUM(KI10,KM10),"")</f>
        <v/>
      </c>
      <c r="KV10" s="76" t="str">
        <f>IF(SUM(KP10,KU10)&gt;0,SUM(KP10,KU10),"")</f>
        <v/>
      </c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16" t="str">
        <f>IF(SUM(KX10,LB10)&gt;0,SUM(KX10,LB10),"")</f>
        <v/>
      </c>
      <c r="LR10" s="16" t="str">
        <f>IF(SUM(KW10:KX10,KZ10:LB10,LD10)-KY10-LC10&gt;0,SUM(KW10:KX10,KZ10:LB10,LD10)-KY10-LC10,"")</f>
        <v/>
      </c>
      <c r="LS10" s="16" t="str">
        <f>IF(SUM(LE10:LF10,LH10)-LG10&gt;0,SUM(LE10:LF10,LH10)-LG10,"")</f>
        <v/>
      </c>
      <c r="LT10" s="16" t="str">
        <f>IF(SUM(KX10,LB10,LF10)&gt;0,SUM(KX10,LB10,LF10),"")</f>
        <v/>
      </c>
      <c r="LU10" s="16" t="str">
        <f>IF(SUM(LR10,LS10)&gt;0,SUM(LR10,LS10),"")</f>
        <v/>
      </c>
      <c r="LV10" s="16" t="str">
        <f>IF(SUM(LJ10,LN10)&gt;0,SUM(LJ10,LN10),"")</f>
        <v/>
      </c>
      <c r="LW10" s="16" t="str">
        <f>IF(SUM(LI10:LJ10,LL10:LN10,LP10)-SUM(LK10,LO10)&gt;0,SUM(LI10:LJ10,LL10:LN10,LP10)-SUM(LK10,LO10),"")</f>
        <v/>
      </c>
      <c r="LX10" s="16" t="str">
        <f>IF(SUM(LR10,LW10)&gt;0,SUM(LR10,LW10),"")</f>
        <v/>
      </c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76" t="str">
        <f>IF(SUM(LZ10,MD10)&gt;0,SUM(LZ10,MD10),"")</f>
        <v/>
      </c>
      <c r="MT10" s="76" t="str">
        <f>IF(SUM(LY10:LZ10,MB10:MD10,MF10)-MA10-ME10&gt;0,SUM(LY10:LZ10,MB10:MD10,MF10)-MA10-ME10,"")</f>
        <v/>
      </c>
      <c r="MU10" s="76" t="str">
        <f>IF(SUM(MG10:MH10,MJ10)-MI10&gt;0,SUM(MG10:MH10,MJ10)-MI10,"")</f>
        <v/>
      </c>
      <c r="MV10" s="76" t="str">
        <f>IF(SUM(LZ10,MD10,MH10)&gt;0,SUM(LZ10,MD10,MH10),"")</f>
        <v/>
      </c>
      <c r="MW10" s="76" t="str">
        <f>IF(SUM(MT10,MU10)&gt;0,SUM(MT10,MU10),"")</f>
        <v/>
      </c>
      <c r="MX10" s="76" t="str">
        <f>IF(SUM(ML10,MP10)&gt;0,SUM(ML10,MP10),"")</f>
        <v/>
      </c>
      <c r="MY10" s="76" t="str">
        <f>IF(SUM(MK10:ML10,MN10:MP10,MR10)-SUM(MM10,MQ10)&gt;0,SUM(MK10:ML10,MN10:MP10,MR10)-SUM(MM10,MQ10),"")</f>
        <v/>
      </c>
      <c r="MZ10" s="76" t="str">
        <f>IF(SUM(MT10,MY10)&gt;0,SUM(MT10,MY10),"")</f>
        <v/>
      </c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16" t="str">
        <f>IF(SUM(NB10,NF10)&gt;0,SUM(NB10,NF10),"")</f>
        <v/>
      </c>
      <c r="NV10" s="16" t="str">
        <f>IF(SUM(NA10:NB10,ND10:NF10,NH10)-NC10-NG10&gt;0,SUM(NA10:NB10,ND10:NF10,NH10)-NC10-NG10,"")</f>
        <v/>
      </c>
      <c r="NW10" s="16" t="str">
        <f>IF(SUM(NI10:NJ10,NL10)-NK10&gt;0,SUM(NI10:NJ10,NL10)-NK10,"")</f>
        <v/>
      </c>
      <c r="NX10" s="16" t="str">
        <f>IF(SUM(NB10,NF10,NJ10)&gt;0,SUM(NB10,NF10,NJ10),"")</f>
        <v/>
      </c>
      <c r="NY10" s="16" t="str">
        <f>IF(SUM(NV10,NW10)&gt;0,SUM(NV10,NW10),"")</f>
        <v/>
      </c>
      <c r="NZ10" s="16" t="str">
        <f>IF(SUM(NN10,NR10)&gt;0,SUM(NN10,NR10),"")</f>
        <v/>
      </c>
      <c r="OA10" s="16" t="str">
        <f>IF(SUM(NM10:NN10,NP10:NR10,NT10)-SUM(NO10,NS10)&gt;0,SUM(NM10:NN10,NP10:NR10,NT10)-SUM(NO10,NS10),"")</f>
        <v/>
      </c>
      <c r="OB10" s="16" t="str">
        <f>IF(SUM(NV10,OA10)&gt;0,SUM(NV10,OA10),"")</f>
        <v/>
      </c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76" t="str">
        <f>IF(SUM(OD10,OH10)&gt;0,SUM(OD10,OH10),"")</f>
        <v/>
      </c>
      <c r="OX10" s="76" t="str">
        <f>IF(SUM(OC10:OD10,OF10:OH10,OJ10)-OE10-OI10&gt;0,SUM(OC10:OD10,OF10:OH10,OJ10)-OE10-OI10,"")</f>
        <v/>
      </c>
      <c r="OY10" s="76" t="str">
        <f>IF(SUM(OK10:OL10,ON10)-OM10&gt;0,SUM(OK10:OL10,ON10)-OM10,"")</f>
        <v/>
      </c>
      <c r="OZ10" s="76" t="str">
        <f>IF(SUM(OD10,OH10,OL10)&gt;0,SUM(OD10,OH10,OL10),"")</f>
        <v/>
      </c>
      <c r="PA10" s="76" t="str">
        <f>IF(SUM(OX10,OY10)&gt;0,SUM(OX10,OY10),"")</f>
        <v/>
      </c>
      <c r="PB10" s="76" t="str">
        <f>IF(SUM(OP10,OT10)&gt;0,SUM(OP10,OT10),"")</f>
        <v/>
      </c>
      <c r="PC10" s="76" t="str">
        <f>IF(SUM(OO10:OP10,OR10:OT10,OV10)-SUM(OQ10,OU10)&gt;0,SUM(OO10:OP10,OR10:OT10,OV10)-SUM(OQ10,OU10),"")</f>
        <v/>
      </c>
      <c r="PD10" s="76" t="str">
        <f>IF(SUM(OX10,PC10)&gt;0,SUM(OX10,PC10),"")</f>
        <v/>
      </c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16" t="str">
        <f>IF(SUM(PF10,PJ10)&gt;0,SUM(PF10,PJ10),"")</f>
        <v/>
      </c>
      <c r="PZ10" s="16" t="str">
        <f>IF(SUM(PE10:PF10,PH10:PJ10,PL10)-PG10-PK10&gt;0,SUM(PE10:PF10,PH10:PJ10,PL10)-PG10-PK10,"")</f>
        <v/>
      </c>
      <c r="QA10" s="16" t="str">
        <f>IF(SUM(PM10:PN10,PP10)-PO10&gt;0,SUM(PM10:PN10,PP10)-PO10,"")</f>
        <v/>
      </c>
      <c r="QB10" s="16" t="str">
        <f>IF(SUM(PF10,PJ10,PN10)&gt;0,SUM(PF10,PJ10,PN10),"")</f>
        <v/>
      </c>
      <c r="QC10" s="16" t="str">
        <f>IF(SUM(PZ10,QA10)&gt;0,SUM(PZ10,QA10),"")</f>
        <v/>
      </c>
      <c r="QD10" s="16" t="str">
        <f>IF(SUM(PR10,PV10)&gt;0,SUM(PR10,PV10),"")</f>
        <v/>
      </c>
      <c r="QE10" s="16" t="str">
        <f>IF(SUM(PQ10:PR10,PT10:PV10,PX10)-SUM(PS10,PW10)&gt;0,SUM(PQ10:PR10,PT10:PV10,PX10)-SUM(PS10,PW10),"")</f>
        <v/>
      </c>
      <c r="QF10" s="16" t="str">
        <f>IF(SUM(PZ10,QE10)&gt;0,SUM(PZ10,QE10),"")</f>
        <v/>
      </c>
      <c r="QG10" s="42">
        <f>IF($CW10="P",CC10,(CC10+AZ10)/2)</f>
        <v>9.32</v>
      </c>
      <c r="QH10" s="42">
        <f>IF($CW10="P",CD10,(CD10+BA10)/2)</f>
        <v>3</v>
      </c>
      <c r="QI10" s="42">
        <f>IF($CW10="P",CE10,(CE10+BB10)/2)</f>
        <v>0</v>
      </c>
      <c r="QJ10" s="42">
        <f>IF($CW10="P",CF10,(CF10+BC10)/2)</f>
        <v>0</v>
      </c>
      <c r="QK10" s="42">
        <f>IF($CW10="P",CG10,(CG10+BD10)/2)</f>
        <v>9.5</v>
      </c>
      <c r="QL10" s="42">
        <f>IF($CW10="P",CH10,(CH10+BE10)/2)</f>
        <v>2.8</v>
      </c>
      <c r="QM10" s="42">
        <f>IF($CW10="P",CI10,(CI10+BF10)/2)</f>
        <v>0.3</v>
      </c>
      <c r="QN10" s="42">
        <f>IF($CW10="P",CJ10,(CJ10+BG10)/2)</f>
        <v>0</v>
      </c>
      <c r="QO10" s="42">
        <f>IF($CW10="P",CK10,(CK10+BH10)/2)</f>
        <v>8.6999999999999993</v>
      </c>
      <c r="QP10" s="42">
        <f>IF($CW10="P",CL10,(CL10+BI10)/2)</f>
        <v>1.4</v>
      </c>
      <c r="QQ10" s="42">
        <f>IF($CW10="P",CM10,(CM10+BJ10)/2)</f>
        <v>0</v>
      </c>
      <c r="QR10" s="42">
        <f>IF($CW10="P",CN10,(CN10+BK10)/2)</f>
        <v>0</v>
      </c>
      <c r="QS10" s="42">
        <f>IF($CW10="P",CO10,(CO10+BL10)/2)</f>
        <v>8.6999999999999993</v>
      </c>
      <c r="QT10" s="42">
        <f>IF($CW10="P",CP10,(CP10+BM10)/2)</f>
        <v>1.2</v>
      </c>
      <c r="QU10" s="42">
        <f>IF($CW10="P",CQ10,(CQ10+BN10)/2)</f>
        <v>0</v>
      </c>
      <c r="QV10" s="42">
        <f>IF($CW10="P",CR10,(CR10+BO10)/2)</f>
        <v>0</v>
      </c>
      <c r="QW10" s="42">
        <f>IF($CW10="P",CS10,(CS10+BP10)/2)</f>
        <v>8.4499999999999993</v>
      </c>
      <c r="QX10" s="42">
        <f>IF($CW10="P",CT10,(CT10+BQ10)/2)</f>
        <v>3.2</v>
      </c>
      <c r="QY10" s="42">
        <f>IF($CW10="P",CU10,(CU10+BR10)/2)</f>
        <v>0.3</v>
      </c>
      <c r="QZ10" s="42">
        <f>IF($CW10="P",CV10,(CV10+BS10)/2)</f>
        <v>0</v>
      </c>
      <c r="RA10" s="51" t="s">
        <v>61</v>
      </c>
      <c r="RB10" s="76">
        <f>IF(SUM(QH10,QL10)&gt;0,SUM(QH10,QL10),"")</f>
        <v>5.8</v>
      </c>
      <c r="RC10" s="76">
        <f>IF(SUM(QG10:QH10,QJ10:QL10,QN10)-QI10-QM10&gt;0,SUM(QG10:QH10,QJ10:QL10,QN10)-QI10-QM10,"")</f>
        <v>24.32</v>
      </c>
      <c r="RD10" s="76">
        <f>IF(SUM(QO10:QP10,QR10)-QQ10&gt;0,SUM(QO10:QP10,QR10)-QQ10,"")</f>
        <v>10.1</v>
      </c>
      <c r="RE10" s="76">
        <f>IF(SUM(QH10,QL10,QP10)&gt;0,SUM(QH10,QL10,QP10),"")</f>
        <v>7.1999999999999993</v>
      </c>
      <c r="RF10" s="76">
        <f>IF(SUM(RC10,RD10)&gt;0,SUM(RC10,RD10),"")</f>
        <v>34.42</v>
      </c>
      <c r="RG10" s="76">
        <f>IF(SUM(QT10,QX10)&gt;0,SUM(QT10,QX10),"")</f>
        <v>4.4000000000000004</v>
      </c>
      <c r="RH10" s="76">
        <f>IF(SUM(QS10:QT10,QV10:QX10,QZ10)-SUM(QU10,QY10)&gt;0,SUM(QS10:QT10,QV10:QX10,QZ10)-SUM(QU10,QY10),"")</f>
        <v>21.249999999999996</v>
      </c>
      <c r="RI10" s="76">
        <f>IF(SUM(RC10,RH10)&gt;0,SUM(RC10,RH10),"")</f>
        <v>45.569999999999993</v>
      </c>
    </row>
    <row r="11" spans="1:477" x14ac:dyDescent="0.2">
      <c r="A11" s="5">
        <f>IF(AND(F11="P",G11="P"),SUMPRODUCT((F$4:F$15="P")*(G$4:G$15="P")*(E$4:E$15&gt;E11))+1,IF(G11="P",SUMPRODUCT((F$4:F$15="")*(G$4:G$15="P")*(E$4:E$15&gt;E11))+1+SUMPRODUCT((F$4:F$15="P")*(G$4:G$15="P")),""))</f>
        <v>8</v>
      </c>
      <c r="B11" s="6" t="s">
        <v>109</v>
      </c>
      <c r="C11" s="7" t="s">
        <v>6</v>
      </c>
      <c r="D11" s="18">
        <v>2004</v>
      </c>
      <c r="E11" s="14">
        <f>SUM(J11:T11)+SUM(J11:P11)*0.0000001+SUM(J11)*0.0000000000001</f>
        <v>117.4000569200097</v>
      </c>
      <c r="F11" s="3" t="str">
        <f>IF(OR(AND(AR11&gt;=AY$17,AS11&gt;=AY$21,AR11&lt;&gt;"",AQ11=""),AND(AW11&gt;=AY$17,AX11&gt;=AY$21,AW11&lt;&gt;"",AQ11=""),AND(BU11&gt;=CB$17,BV11&gt;=CB$21,BU11&lt;&gt;"",BT11=""),AND(BZ11&gt;=CB$17,CA11&gt;=CB$21,BZ11&lt;&gt;"",BT11=""),AND(CX11&gt;=DE$17,CY11&gt;=DE$21,CX11&lt;&gt;"",CW11=""),AND(DC11&gt;=DE$17,DD11&gt;=DE$21,DC11&lt;&gt;""),AND(EC11&gt;=EJ$17,ED11&gt;=EJ$21,EC11&lt;&gt;""),AND(EH11&gt;=EJ$17,EI11&gt;=EJ$21,EH11&lt;&gt;""),AND(FE11&gt;=FL$17,FF11&gt;=FL$21,FE11&lt;&gt;""),AND(FJ11&gt;=FL$17,FK11&gt;=FL$21,FJ11&lt;&gt;""),AND(GG11&gt;=GN$17,GH11&gt;=GN$21,GG11&lt;&gt;""),AND(GL11&gt;=GN$17,GM11&gt;=GN$21,GL11&lt;&gt;""),AND(HI11&gt;=HP$17,HJ11&gt;=HP$21,HI11&lt;&gt;""),AND(HN11&gt;=HP$17,HO11&gt;=HP$21,HN11&lt;&gt;""),AND(IK11&gt;=IR$17,IL11&gt;=IR$21,IK11&lt;&gt;""),AND(IP11&gt;=IR$17,IQ11&gt;=IR$21,IP11&lt;&gt;""),AND(JM11&gt;=JT$17,JN11&gt;=JT$21,JM11&lt;&gt;""),AND(JR11&gt;=JT$17,JS11&gt;=JT$21,JR11&lt;&gt;""),AND(KO11&gt;=KV$17,KP11&gt;=KV$21,KO11&lt;&gt;""),AND(KT11&gt;=KV$17,KU11&gt;=KV$21,KT11&lt;&gt;""),AND(LQ11&gt;=LX$17,LR11&gt;=LX$21,LQ11&lt;&gt;""),AND(LV11&gt;=LX$17,LW11&gt;=LX$21,LV11&lt;&gt;""),AND(MS11&gt;=MZ$17,MT11&gt;=MZ$21,MS11&lt;&gt;""),AND(MX11&gt;=MZ$17,MY11&gt;=MZ$21,MX11&lt;&gt;""),AND(NU11&gt;=OB$17,NV11&gt;=OB$21,NU11&lt;&gt;""),AND(NZ11&gt;=OB$17,OA11&gt;=OB$21,NZ11&lt;&gt;""),AND(OW11&gt;=PD$17,OX11&gt;=PD$21,OW11&lt;&gt;""),AND(PB11&gt;=PD$17,PC11&gt;=PD$21,PB11&lt;&gt;""),AND(PY11&gt;=QF$17,PZ11&gt;=QF$21,PY11&lt;&gt;""),AND(QD11&gt;=QF$17,QE11&gt;=QF$21,QD11&lt;&gt;"")),"P","")</f>
        <v>P</v>
      </c>
      <c r="G11" s="3" t="str">
        <f>IF(OR(AND(AS11&gt;=AY$21,AS11&lt;&gt;"",AQ11=""),AND(AX11&gt;=AY$21,AX11&lt;&gt;"",AQ11=""),AND(BV11&gt;=CB$21,BV11&lt;&gt;"",BT11=""),AND(CA11&gt;=CB$21,CA11&lt;&gt;"",BT11=""),AND(CY11&gt;=DE$21,CY11&lt;&gt;"",CW11=""),AND(DD11&gt;=DE$21,DD11&lt;&gt;"",CW11=""),AND(ED11&gt;=EJ$21,ED11&lt;&gt;""),AND(EI11&gt;=EJ$21,EI11&lt;&gt;""),AND(FF11&gt;=FL$21,FF11&lt;&gt;""),AND(FK11&gt;=FL$21,FK11&lt;&gt;""),AND(GH11&gt;=GN$21,GH11&lt;&gt;""),AND(GM11&gt;=GN$21,GM11&lt;&gt;""),AND(HJ11&gt;=HP$21,HJ11&lt;&gt;""),AND(HO11&gt;=HP$21,HO11&lt;&gt;""),AND(IL11&gt;=IR$21,IL11&lt;&gt;""),AND(IQ11&gt;=IR$21,IQ11&lt;&gt;""),AND(JN11&gt;=JT$21,JN11&lt;&gt;""),AND(JS11&gt;=JT$21,JS11&lt;&gt;""),AND(KP11&gt;=KV$21,KP11&lt;&gt;""),AND(KU11&gt;=KV$21,KU11&lt;&gt;""),AND(LR11&gt;=LX$21,LR11&lt;&gt;""),AND(LW11&gt;=LX$21,LW11&lt;&gt;""),AND(MT11&gt;=MZ$21,MT11&lt;&gt;""),AND(MY11&gt;=MZ$21,MY11&lt;&gt;""),AND(NV11&gt;=OB$21,NV11&lt;&gt;""),AND(OA11&gt;=OB$21,OA11&lt;&gt;""),AND(OX11&gt;=PD$21,OX11&lt;&gt;""),AND(PC11&gt;=PD$21,PC11&lt;&gt;""),AND(PZ11&gt;=QF$21,PZ11&lt;&gt;""),AND(QE11&gt;=QF$21,QE11&lt;&gt;"")),"P","")</f>
        <v>P</v>
      </c>
      <c r="H11" s="70" t="str">
        <f>IF(AND(G11="P",F11=""),"No DD",IF(OR(AND(AU11&gt;=AY$20,AV11&gt;=AY$24,AU11&lt;&gt;"",AQ11=""),AND(BX11&gt;=CB$20,BY11&gt;=CB$24,BX11&lt;&gt;"",BT11=""),AND(DA11&gt;=DE$20,DB11&gt;=DE$24,DA11&lt;&gt;"",CW11=""),AND(EF11&gt;=EJ$20,EG11&gt;=EJ$24,EF11&lt;&gt;""),AND(FH11&gt;=FL$20,FI11&gt;=FL$24,FH11&lt;&gt;""),AND(GJ11&gt;=GN$20,GK11&gt;=GN$24,GJ11&lt;&gt;""),AND(HL11&gt;=HP$20,HM11&gt;=HP$24,HL11&lt;&gt;""),AND(IN11&gt;=IR$20,IO11&gt;=IR$24,IN11&lt;&gt;""),AND(JP11&gt;=JT$20,JQ11&gt;=JT$24,JP11&lt;&gt;""),AND(KR11&gt;=KV$20,KS11&gt;=KV$24,KR11&lt;&gt;""),AND(LT11&gt;=LX$20,LU11&gt;=LX$24,LT11&lt;&gt;""),AND(MV11&gt;=MZ$20,MW11&gt;=MZ$24,MV11&lt;&gt;""),AND(NX11&gt;=OB$20,NY11&gt;=OB$24,NX11&lt;&gt;""),AND(OZ11&gt;=PD$20,PA11&gt;=PD$24,OZ11&lt;&gt;""),AND(QB11&gt;=QF$20,QC11&gt;=QF$24,QB11&lt;&gt;"")),"Merit",IF(OR(AND(AU11&gt;=AY$19,AV11&gt;=AY$23,AU11&lt;&gt;"",AQ11=""),AND(BX11&gt;=CB$19,BY11&gt;=CB$23,BX11&lt;&gt;"",BT11=""),AND(DA11&gt;=DE$19,DB11&gt;=DE$23,DA11&lt;&gt;"",CW11=""),AND(EF11&gt;=EJ$19,EG11&gt;=EJ$23,EF11&lt;&gt;""),AND(FH11&gt;=FL$19,FI11&gt;=FL$23,FH11&lt;&gt;""),AND(GJ11&gt;=GN$19,GK11&gt;=GN$23,GJ11&lt;&gt;""),AND(HL11&gt;=HP$19,HM11&gt;=HP$23,HL11&lt;&gt;""),AND(IN11&gt;=IR$19,IO11&gt;=IR$23,IN11&lt;&gt;""),AND(JP11&gt;=JT$19,JQ11&gt;=JT$23,JP11&lt;&gt;""),AND(KR11&gt;=KV$19,KS11&gt;=KV$23,KR11&lt;&gt;""),AND(LT11&gt;=LX$19,LU11&gt;=LX$23,LT11&lt;&gt;""),AND(MV11&gt;=MZ$19,MW11&gt;=MZ$23,MV11&lt;&gt;""),AND(NX11&gt;=OB$19,NY11&gt;=OB$23,NX11&lt;&gt;""),AND(OZ11&gt;=PD$19,PA11&gt;=PD$23,OZ11&lt;&gt;""),AND(QB11&gt;=QF$19,QC11&gt;=QF$23,QB11&lt;&gt;"")),"Excellence",IF(I11="P","Worlds Team",IF(F11="P","National Team","")))))</f>
        <v>National Team</v>
      </c>
      <c r="I11" s="3" t="str">
        <f>IF(OR(AND(AU11&gt;=AY$18,AV11&gt;=AY$22,AU11&lt;&gt;"",AQ11=""),AND(BX11&gt;=CB$18,BY11&gt;=CB$22,BX11&lt;&gt;"",BT11=""),AND(DA11&gt;=DE$18,DB11&gt;=DE$22,DA11&lt;&gt;"",CW11=""),AND(EF11&gt;=EJ$18,EG11&gt;=EJ$22,EF11&lt;&gt;""),AND(FH11&gt;=FL$18,FI11&gt;=FL$22,FH11&lt;&gt;""),AND(GJ11&gt;=GN$18,GK11&gt;=GN$22,GJ11&lt;&gt;""),AND(HL11&gt;=HP$18,HM11&gt;=HP$22,HL11&lt;&gt;""),AND(IN11&gt;=IR$18,IO11&gt;=IR$22,IN11&lt;&gt;""),AND(JP11&gt;=JT$18,JQ11&gt;=JT$22,JP11&lt;&gt;""),AND(KR11&gt;=KV$18,KS11&gt;=KV$22,KR11&lt;&gt;""),AND(LT11&gt;=LX$18,LU11&gt;=LX$22,LT11&lt;&gt;""),AND(MV11&gt;=MZ$18,MW11&gt;=MZ$22,MV11&lt;&gt;""),AND(NX11&gt;=OB$18,NY11&gt;=OB$22,NX11&lt;&gt;""),AND(OZ11&gt;=PD$18,PA11&gt;=PD$22,OZ11&lt;&gt;""),AND(QB11&gt;=QF$18,QC11&gt;=QF$22,QB11&lt;&gt;"")),"P","")</f>
        <v/>
      </c>
      <c r="J11" s="13">
        <f>IF(COUNT(AS11,BV11,CY11)&gt;0,LARGE((AS11,BV11,CY11),1),0)</f>
        <v>47.000000000000007</v>
      </c>
      <c r="K11" s="13" t="str">
        <f>IF(J11=0,"",IF(J11=CY11,$CC$1,IF(J11=BV11,$AZ$1,IF(J11=AS11,$W$1,""))))</f>
        <v>2022 Elite Canada</v>
      </c>
      <c r="L11" s="13">
        <f>IF(COUNT(AS11,BV11,CY11)&gt;1,LARGE((AS11,BV11,CY11),2),0)</f>
        <v>5.0000000000000002E-5</v>
      </c>
      <c r="M11" s="13" t="str">
        <f>IF(L11=0,"",IF(L11=CY11,$CC$1,IF(L11=BV11,$AZ$1,IF(L11=AS11,$W$1,""))))</f>
        <v>2021 Canadian Championships</v>
      </c>
      <c r="N11" s="13">
        <f>IF(COUNT(AT11,BW11,CZ11)&gt;0,LARGE((AT11,BW11,CZ11),1),0)</f>
        <v>22.2</v>
      </c>
      <c r="O11" s="13" t="str">
        <f>IF(N11=0,"",IF(N11=CZ11,$CC$1,IF(N11=BW11,$AZ$1,IF(N11=AT11,$W$1,""))))</f>
        <v>2022 Elite Canada</v>
      </c>
      <c r="P11" s="13">
        <f>IF(COUNT(AT11,BW11,CZ11)&gt;1,LARGE((AT11,BW11,CZ11),2),0)</f>
        <v>0</v>
      </c>
      <c r="Q11" s="13" t="str">
        <f>IF(P11=0,"",IF(P11=CZ11,$CC$1,IF(P11=BW11,$AZ$1,IF(P11=AT11,$W$1,""))))</f>
        <v/>
      </c>
      <c r="R11" s="13">
        <f>IF(MAX(AX11,CA11,DD11)&gt;0,MAX(AX11,CA11,DD11),0)</f>
        <v>48.1</v>
      </c>
      <c r="S11" s="13" t="str">
        <f>IF(R11=0,"",IF(R11=DD11,$CC$1,IF(R11=CA11,$AZ$1,IF(R11=AX11,$W$1,""))))</f>
        <v>2022 Elite Canada</v>
      </c>
      <c r="T11" s="13">
        <f>IF(MAX(DF11:DH11)&gt;0,MAX(DF11:DH11),"")</f>
        <v>9.9999999999994316E-2</v>
      </c>
      <c r="U11" s="16" t="str">
        <f>IF(T11="","",IF(T11=DF11,"("&amp;DF$2&amp;")",IF(T11=DH11,"("&amp;DH$2&amp;")")))</f>
        <v>(Final)</v>
      </c>
      <c r="V11" s="13" t="str">
        <f>IF(T11="","",IF(T11=DF11,IF(T11+IF(L11="",0,L11)=PZ11,$PE$1,IF(T11+IF(L11="",0,L11)=OX11,$OC$1,IF(T11+IF(L11="",0,L11)=NV11,$NA$1,IF(T11+IF(L11="",0,L11)=MT11,$LY$1,IF(T11+IF(L11="",0,L11)=LR11,$KW$1,IF(T11+IF(L11="",0,L11)=KP11,$JU$1,IF(T11+IF(L11="",0,L11)=JN11,$IS$1,IF(T11+IF(L11="",0,L11)=IL11,$HQ$1,IF(T11+IF(L11="",0,L11)=HJ11,$GO$1,IF(T11+IF(L11="",0,L11)=GH11,$FM$1,IF(T11+IF(L11="",0,L11)=FF11,$EK$1,IF(T11+IF(L11="",0,L11)=ED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</f>
        <v>2022 World Games Technical Trial #2 (May 15)</v>
      </c>
      <c r="W11" s="27"/>
      <c r="X11" s="27">
        <v>1.0000000000000001E-5</v>
      </c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51"/>
      <c r="AR11" s="76">
        <f>IF(SUM(X11,AB11)&gt;0,SUM(X11,AB11),"")</f>
        <v>1.0000000000000001E-5</v>
      </c>
      <c r="AS11" s="76">
        <f>IF(SUM(W11:X11,Z11:AB11,AD11)-Y11-AC11&gt;0,SUM(W11:X11,Z11:AB11,AD11)-Y11-AC11,"")</f>
        <v>1.0000000000000001E-5</v>
      </c>
      <c r="AT11" s="76" t="str">
        <f>IF(SUM(AE11:AF11,AH11)-AG11&gt;0,SUM(AE11:AF11,AH11)-AG11,"")</f>
        <v/>
      </c>
      <c r="AU11" s="76">
        <f>IF(SUM(X11,AB11,AF11)&gt;0,SUM(X11,AB11,AF11),"")</f>
        <v>1.0000000000000001E-5</v>
      </c>
      <c r="AV11" s="76">
        <f>IF(SUM(AS11,AT11)&gt;0,SUM(AS11,AT11),"")</f>
        <v>1.0000000000000001E-5</v>
      </c>
      <c r="AW11" s="76" t="str">
        <f>IF(SUM(AJ11,AN11)&gt;0,SUM(AJ11,AN11),"")</f>
        <v/>
      </c>
      <c r="AX11" s="76" t="str">
        <f>IF(SUM(AI11:AJ11,AL11:AN11,AP11)-SUM(AK11,AO11)&gt;0,SUM(AI11:AJ11,AL11:AN11,AP11)-SUM(AK11,AO11),"")</f>
        <v/>
      </c>
      <c r="AY11" s="76">
        <f>IF(SUM(AS11,AX11)&gt;0,SUM(AS11,AX11),"")</f>
        <v>1.0000000000000001E-5</v>
      </c>
      <c r="AZ11" s="26">
        <v>5.0000000000000002E-5</v>
      </c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52"/>
      <c r="BU11" s="16" t="str">
        <f>IF(SUM(BA11,BE11)&gt;0,SUM(BA11,BE11),"")</f>
        <v/>
      </c>
      <c r="BV11" s="16">
        <f>IF(SUM(AZ11:BA11,BC11:BE11,BG11)-BB11-BF11&gt;0,SUM(AZ11:BA11,BC11:BE11,BG11)-BB11-BF11,"")</f>
        <v>5.0000000000000002E-5</v>
      </c>
      <c r="BW11" s="16" t="str">
        <f>IF(SUM(BH11:BI11,BK11)-BJ11&gt;0,SUM(BH11:BI11,BK11)-BJ11,"")</f>
        <v/>
      </c>
      <c r="BX11" s="16" t="str">
        <f>IF(SUM(BA11,BE11,BI11)&gt;0,SUM(BA11,BE11,BI11),"")</f>
        <v/>
      </c>
      <c r="BY11" s="16">
        <f>IF(SUM(BV11,BW11)&gt;0,SUM(BV11,BW11),"")</f>
        <v>5.0000000000000002E-5</v>
      </c>
      <c r="BZ11" s="16" t="str">
        <f>IF(SUM(BM11,BQ11)&gt;0,SUM(BM11,BQ11),"")</f>
        <v/>
      </c>
      <c r="CA11" s="16" t="str">
        <f>IF(SUM(BL11:BM11,BO11:BQ11,BS11)-SUM(BN11,BR11)&gt;0,SUM(BL11:BM11,BO11:BQ11,BS11)-SUM(BN11,BR11),"")</f>
        <v/>
      </c>
      <c r="CB11" s="16">
        <f>IF(SUM(BV11,CA11)&gt;0,SUM(BV11,CA11),"")</f>
        <v>5.0000000000000002E-5</v>
      </c>
      <c r="CC11" s="27">
        <v>18.600000000000001</v>
      </c>
      <c r="CD11" s="27">
        <v>5.2</v>
      </c>
      <c r="CE11" s="27">
        <v>0.8</v>
      </c>
      <c r="CF11" s="27">
        <v>0</v>
      </c>
      <c r="CG11" s="27">
        <v>18.600000000000001</v>
      </c>
      <c r="CH11" s="27">
        <v>5.6</v>
      </c>
      <c r="CI11" s="27">
        <v>0.2</v>
      </c>
      <c r="CJ11" s="27">
        <v>0</v>
      </c>
      <c r="CK11" s="27">
        <v>18</v>
      </c>
      <c r="CL11" s="27">
        <v>4.8</v>
      </c>
      <c r="CM11" s="27">
        <v>0.6</v>
      </c>
      <c r="CN11" s="27">
        <v>0</v>
      </c>
      <c r="CO11" s="27">
        <v>18.5</v>
      </c>
      <c r="CP11" s="27">
        <v>5.2</v>
      </c>
      <c r="CQ11" s="27">
        <v>0.2</v>
      </c>
      <c r="CR11" s="27">
        <v>0</v>
      </c>
      <c r="CS11" s="27">
        <v>19</v>
      </c>
      <c r="CT11" s="27">
        <v>5.6</v>
      </c>
      <c r="CU11" s="27">
        <v>0</v>
      </c>
      <c r="CV11" s="27">
        <v>0</v>
      </c>
      <c r="CW11" s="51"/>
      <c r="CX11" s="76">
        <f>IF(SUM(CD11,CH11)&gt;0,SUM(CD11,CH11),"")</f>
        <v>10.8</v>
      </c>
      <c r="CY11" s="76">
        <f>IF(SUM(CC11:CD11,CF11:CH11,CJ11)-CE11-CI11&gt;0,SUM(CC11:CD11,CF11:CH11,CJ11)-CE11-CI11,"")</f>
        <v>47.000000000000007</v>
      </c>
      <c r="CZ11" s="76">
        <f>IF(SUM(CK11:CL11,CN11)-CM11&gt;0,SUM(CK11:CL11,CN11)-CM11,"")</f>
        <v>22.2</v>
      </c>
      <c r="DA11" s="76">
        <f>IF(SUM(CD11,CH11,CL11)&gt;0,SUM(CD11,CH11,CL11),"")</f>
        <v>15.600000000000001</v>
      </c>
      <c r="DB11" s="76">
        <f>IF(SUM(CY11,CZ11)&gt;0,SUM(CY11,CZ11),"")</f>
        <v>69.2</v>
      </c>
      <c r="DC11" s="76">
        <f>IF(SUM(CP11,CT11)&gt;0,SUM(CP11,CT11),"")</f>
        <v>10.8</v>
      </c>
      <c r="DD11" s="76">
        <f>IF(SUM(CO11:CP11,CR11:CT11,CV11)-SUM(CQ11,CU11)&gt;0,SUM(CO11:CP11,CR11:CT11,CV11)-SUM(CQ11,CU11),"")</f>
        <v>48.1</v>
      </c>
      <c r="DE11" s="76">
        <f>IF(SUM(CY11,DD11)&gt;0,SUM(CY11,DD11),"")</f>
        <v>95.100000000000009</v>
      </c>
      <c r="DF11" s="87" t="str">
        <f>IF(L11&gt;=0.001,IF(MAX(ED11,FF11,GH11,HJ11,IL11,JN11,KP11,LR11,MT11,NV11,OX11,PZ11)-IF(L11="",0,L11)&gt;0.001,MAX(ED11,FF11,GH11,HJ11,IL11,JN11,KP11,LR11,MT11,NV11,OX11,PZ11)-IF(L11="",0,L11),""),"")</f>
        <v/>
      </c>
      <c r="DG11" s="87" t="str">
        <f>IF(P11&gt;=0.001,IF(MAX(EE11,FG11,GI11,HK11,IM11,JO11,KQ11,LS11,MU11,NW11,OY11,QA11)-IF(P11="",0,P11)&gt;0.001,MAX(EE11,FG11,GI11,HK11,IM11,JO11,KQ11,LS11,MU11,NW11,OY11,QA11)-IF(P11="",0,P11),""),"")</f>
        <v/>
      </c>
      <c r="DH11" s="87">
        <f>IF(R11&gt;=0.001,IF(MAX(EI11,FK11,GM11,HO11,IQ11,JS11,KU11,LW11,MY11,OA11,PC11,QE11)-IF(R11="",0,R11)&gt;0.001,MAX(EI11,FK11,GM11,HO11,IQ11,JS11,KU11,LW11,MY11,OA11,PC11,QE11)-IF(R11="",0,R11),""),"")</f>
        <v>9.9999999999994316E-2</v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76" t="str">
        <f>IF(SUM(DJ11,DN11)&gt;0,SUM(DJ11,DN11),"")</f>
        <v/>
      </c>
      <c r="ED11" s="76" t="str">
        <f>IF(SUM(DI11:DJ11,DL11:DN11,DP11)-DK11-DO11&gt;0,SUM(DI11:DJ11,DL11:DN11,DP11)-DK11-DO11,"")</f>
        <v/>
      </c>
      <c r="EE11" s="76" t="str">
        <f>IF(SUM(DQ11:DR11,DT11)-DS11&gt;0,SUM(DQ11:DR11,DT11)-DS11,"")</f>
        <v/>
      </c>
      <c r="EF11" s="76" t="str">
        <f>IF(SUM(DJ11,DN11,DR11)&gt;0,SUM(DJ11,DN11,DR11),"")</f>
        <v/>
      </c>
      <c r="EG11" s="76" t="str">
        <f>IF(SUM(ED11,EE11)&gt;0,SUM(ED11,EE11),"")</f>
        <v/>
      </c>
      <c r="EH11" s="76" t="str">
        <f>IF(SUM(DV11,DZ11)&gt;0,SUM(DV11,DZ11),"")</f>
        <v/>
      </c>
      <c r="EI11" s="76" t="str">
        <f>IF(SUM(DU11:DV11,DX11:DZ11,EB11)-SUM(DW11,EA11)&gt;0,SUM(DU11:DV11,DX11:DZ11,EB11)-SUM(DW11,EA11),"")</f>
        <v/>
      </c>
      <c r="EJ11" s="76" t="str">
        <f>IF(SUM(ED11,EI11)&gt;0,SUM(ED11,EI11),"")</f>
        <v/>
      </c>
      <c r="EK11" s="26">
        <v>18.600000000000001</v>
      </c>
      <c r="EL11" s="26">
        <v>5.2</v>
      </c>
      <c r="EM11" s="26">
        <v>0.6</v>
      </c>
      <c r="EN11" s="26">
        <v>0</v>
      </c>
      <c r="EO11" s="26">
        <v>18.600000000000001</v>
      </c>
      <c r="EP11" s="26">
        <v>5.6</v>
      </c>
      <c r="EQ11" s="26">
        <v>0.2</v>
      </c>
      <c r="ER11" s="26">
        <v>0</v>
      </c>
      <c r="ES11" s="26"/>
      <c r="ET11" s="26"/>
      <c r="EU11" s="26"/>
      <c r="EV11" s="26"/>
      <c r="EW11" s="26">
        <v>18.399999999999999</v>
      </c>
      <c r="EX11" s="26">
        <v>5.2</v>
      </c>
      <c r="EY11" s="26">
        <v>0</v>
      </c>
      <c r="EZ11" s="26">
        <v>0</v>
      </c>
      <c r="FA11" s="26">
        <v>18.8</v>
      </c>
      <c r="FB11" s="26">
        <v>5.6</v>
      </c>
      <c r="FC11" s="26">
        <v>0.2</v>
      </c>
      <c r="FD11" s="26">
        <v>0</v>
      </c>
      <c r="FE11" s="16">
        <f>IF(SUM(EL11,EP11)&gt;0,SUM(EL11,EP11),"")</f>
        <v>10.8</v>
      </c>
      <c r="FF11" s="16">
        <f>IF(SUM(EK11:EL11,EN11:EP11,ER11)-EM11-EQ11&gt;0,SUM(EK11:EL11,EN11:EP11,ER11)-EM11-EQ11,"")</f>
        <v>47.2</v>
      </c>
      <c r="FG11" s="16" t="str">
        <f>IF(SUM(ES11:ET11,EV11)-EU11&gt;0,SUM(ES11:ET11,EV11)-EU11,"")</f>
        <v/>
      </c>
      <c r="FH11" s="16">
        <f>IF(SUM(EL11,EP11,ET11)&gt;0,SUM(EL11,EP11,ET11),"")</f>
        <v>10.8</v>
      </c>
      <c r="FI11" s="16">
        <f>IF(SUM(FF11,FG11)&gt;0,SUM(FF11,FG11),"")</f>
        <v>47.2</v>
      </c>
      <c r="FJ11" s="16">
        <f>IF(SUM(EX11,FB11)&gt;0,SUM(EX11,FB11),"")</f>
        <v>10.8</v>
      </c>
      <c r="FK11" s="16">
        <f>IF(SUM(EW11:EX11,EZ11:FB11,FD11)-SUM(EY11,FC11)&gt;0,SUM(EW11:EX11,EZ11:FB11,FD11)-SUM(EY11,FC11),"")</f>
        <v>47.8</v>
      </c>
      <c r="FL11" s="16">
        <f>IF(SUM(FF11,FK11)&gt;0,SUM(FF11,FK11),"")</f>
        <v>95</v>
      </c>
      <c r="FM11" s="25">
        <v>17.399999999999999</v>
      </c>
      <c r="FN11" s="25">
        <v>2.4</v>
      </c>
      <c r="FO11" s="25">
        <v>0</v>
      </c>
      <c r="FP11" s="25">
        <v>0</v>
      </c>
      <c r="FQ11" s="25">
        <v>18.2</v>
      </c>
      <c r="FR11" s="25">
        <v>5.6</v>
      </c>
      <c r="FS11" s="25">
        <v>0.2</v>
      </c>
      <c r="FT11" s="25">
        <v>0</v>
      </c>
      <c r="FU11" s="25"/>
      <c r="FV11" s="25"/>
      <c r="FW11" s="25"/>
      <c r="FX11" s="25"/>
      <c r="FY11" s="25">
        <v>18.399999999999999</v>
      </c>
      <c r="FZ11" s="25">
        <v>5.6</v>
      </c>
      <c r="GA11" s="25">
        <v>0.2</v>
      </c>
      <c r="GB11" s="25">
        <v>0</v>
      </c>
      <c r="GC11" s="25">
        <v>18.8</v>
      </c>
      <c r="GD11" s="25">
        <v>5.6</v>
      </c>
      <c r="GE11" s="25">
        <v>0</v>
      </c>
      <c r="GF11" s="25">
        <v>0</v>
      </c>
      <c r="GG11" s="76">
        <f>IF(SUM(FN11,FR11)&gt;0,SUM(FN11,FR11),"")</f>
        <v>8</v>
      </c>
      <c r="GH11" s="76">
        <f>IF(SUM(FM11:FN11,FP11:FR11,FT11)-FO11-FS11&gt;0,SUM(FM11:FN11,FP11:FR11,FT11)-FO11-FS11,"")</f>
        <v>43.4</v>
      </c>
      <c r="GI11" s="76" t="str">
        <f>IF(SUM(FU11:FV11,FX11)-FW11&gt;0,SUM(FU11:FV11,FX11)-FW11,"")</f>
        <v/>
      </c>
      <c r="GJ11" s="76">
        <f>IF(SUM(FN11,FR11,FV11)&gt;0,SUM(FN11,FR11,FV11),"")</f>
        <v>8</v>
      </c>
      <c r="GK11" s="76">
        <f>IF(SUM(GH11,GI11)&gt;0,SUM(GH11,GI11),"")</f>
        <v>43.4</v>
      </c>
      <c r="GL11" s="76">
        <f>IF(SUM(FZ11,GD11)&gt;0,SUM(FZ11,GD11),"")</f>
        <v>11.2</v>
      </c>
      <c r="GM11" s="76">
        <f>IF(SUM(FY11:FZ11,GB11:GD11,GF11)-SUM(GA11,GE11)&gt;0,SUM(FY11:FZ11,GB11:GD11,GF11)-SUM(GA11,GE11),"")</f>
        <v>48.199999999999996</v>
      </c>
      <c r="GN11" s="76">
        <f>IF(SUM(GH11,GM11)&gt;0,SUM(GH11,GM11),"")</f>
        <v>91.6</v>
      </c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16" t="str">
        <f>IF(SUM(GP11,GT11)&gt;0,SUM(GP11,GT11),"")</f>
        <v/>
      </c>
      <c r="HJ11" s="16" t="str">
        <f>IF(SUM(GO11:GP11,GR11:GT11,GV11)-GQ11-GU11&gt;0,SUM(GO11:GP11,GR11:GT11,GV11)-GQ11-GU11,"")</f>
        <v/>
      </c>
      <c r="HK11" s="16" t="str">
        <f>IF(SUM(GW11:GX11,GZ11)-GY11&gt;0,SUM(GW11:GX11,GZ11)-GY11,"")</f>
        <v/>
      </c>
      <c r="HL11" s="16" t="str">
        <f>IF(SUM(GP11,GT11,GX11)&gt;0,SUM(GP11,GT11,GX11),"")</f>
        <v/>
      </c>
      <c r="HM11" s="16" t="str">
        <f>IF(SUM(HJ11,HK11)&gt;0,SUM(HJ11,HK11),"")</f>
        <v/>
      </c>
      <c r="HN11" s="16" t="str">
        <f>IF(SUM(HB11,HF11)&gt;0,SUM(HB11,HF11),"")</f>
        <v/>
      </c>
      <c r="HO11" s="16" t="str">
        <f>IF(SUM(HA11:HB11,HD11:HF11,HH11)-SUM(HC11,HG11)&gt;0,SUM(HA11:HB11,HD11:HF11,HH11)-SUM(HC11,HG11),"")</f>
        <v/>
      </c>
      <c r="HP11" s="16" t="str">
        <f>IF(SUM(HJ11,HO11)&gt;0,SUM(HJ11,HO11),"")</f>
        <v/>
      </c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76" t="str">
        <f>IF(SUM(HR11,HV11)&gt;0,SUM(HR11,HV11),"")</f>
        <v/>
      </c>
      <c r="IL11" s="76" t="str">
        <f>IF(SUM(HQ11:HR11,HT11:HV11,HX11)-HS11-HW11&gt;0,SUM(HQ11:HR11,HT11:HV11,HX11)-HS11-HW11,"")</f>
        <v/>
      </c>
      <c r="IM11" s="76" t="str">
        <f>IF(SUM(HY11:HZ11,IB11)-IA11&gt;0,SUM(HY11:HZ11,IB11)-IA11,"")</f>
        <v/>
      </c>
      <c r="IN11" s="76" t="str">
        <f>IF(SUM(HR11,HV11,HZ11)&gt;0,SUM(HR11,HV11,HZ11),"")</f>
        <v/>
      </c>
      <c r="IO11" s="76" t="str">
        <f>IF(SUM(IL11,IM11)&gt;0,SUM(IL11,IM11),"")</f>
        <v/>
      </c>
      <c r="IP11" s="76" t="str">
        <f>IF(SUM(ID11,IH11)&gt;0,SUM(ID11,IH11),"")</f>
        <v/>
      </c>
      <c r="IQ11" s="76" t="str">
        <f>IF(SUM(IC11:ID11,IF11:IH11,IJ11)-SUM(IE11,II11)&gt;0,SUM(IC11:ID11,IF11:IH11,IJ11)-SUM(IE11,II11),"")</f>
        <v/>
      </c>
      <c r="IR11" s="76" t="str">
        <f>IF(SUM(IL11,IQ11)&gt;0,SUM(IL11,IQ11),"")</f>
        <v/>
      </c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16" t="str">
        <f>IF(SUM(IT11,IX11)&gt;0,SUM(IT11,IX11),"")</f>
        <v/>
      </c>
      <c r="JN11" s="16" t="str">
        <f>IF(SUM(IS11:IT11,IV11:IX11,IZ11)-IU11-IY11&gt;0,SUM(IS11:IT11,IV11:IX11,IZ11)-IU11-IY11,"")</f>
        <v/>
      </c>
      <c r="JO11" s="16" t="str">
        <f>IF(SUM(JA11:JB11,JD11)-JC11&gt;0,SUM(JA11:JB11,JD11)-JC11,"")</f>
        <v/>
      </c>
      <c r="JP11" s="16" t="str">
        <f>IF(SUM(IT11,IX11,JB11)&gt;0,SUM(IT11,IX11,JB11),"")</f>
        <v/>
      </c>
      <c r="JQ11" s="16" t="str">
        <f>IF(SUM(JN11,JO11)&gt;0,SUM(JN11,JO11),"")</f>
        <v/>
      </c>
      <c r="JR11" s="16" t="str">
        <f>IF(SUM(JF11,JJ11)&gt;0,SUM(JF11,JJ11),"")</f>
        <v/>
      </c>
      <c r="JS11" s="16" t="str">
        <f>IF(SUM(JE11:JF11,JH11:JJ11,JL11)-SUM(JG11,JK11)&gt;0,SUM(JE11:JF11,JH11:JJ11,JL11)-SUM(JG11,JK11),"")</f>
        <v/>
      </c>
      <c r="JT11" s="16" t="str">
        <f>IF(SUM(JN11,JS11)&gt;0,SUM(JN11,JS11),"")</f>
        <v/>
      </c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76" t="str">
        <f>IF(SUM(JV11,JZ11)&gt;0,SUM(JV11,JZ11),"")</f>
        <v/>
      </c>
      <c r="KP11" s="76" t="str">
        <f>IF(SUM(JU11:JV11,JX11:JZ11,KB11)-JW11-KA11&gt;0,SUM(JU11:JV11,JX11:JZ11,KB11)-JW11-KA11,"")</f>
        <v/>
      </c>
      <c r="KQ11" s="76" t="str">
        <f>IF(SUM(KC11:KD11,KF11)-KE11&gt;0,SUM(KC11:KD11,KF11)-KE11,"")</f>
        <v/>
      </c>
      <c r="KR11" s="76" t="str">
        <f>IF(SUM(JV11,JZ11,KD11)&gt;0,SUM(JV11,JZ11,KD11),"")</f>
        <v/>
      </c>
      <c r="KS11" s="76" t="str">
        <f>IF(SUM(KP11,KQ11)&gt;0,SUM(KP11,KQ11),"")</f>
        <v/>
      </c>
      <c r="KT11" s="76" t="str">
        <f>IF(SUM(KH11,KL11)&gt;0,SUM(KH11,KL11),"")</f>
        <v/>
      </c>
      <c r="KU11" s="76" t="str">
        <f>IF(SUM(KG11:KH11,KJ11:KL11,KN11)-SUM(KI11,KM11)&gt;0,SUM(KG11:KH11,KJ11:KL11,KN11)-SUM(KI11,KM11),"")</f>
        <v/>
      </c>
      <c r="KV11" s="76" t="str">
        <f>IF(SUM(KP11,KU11)&gt;0,SUM(KP11,KU11),"")</f>
        <v/>
      </c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16" t="str">
        <f>IF(SUM(KX11,LB11)&gt;0,SUM(KX11,LB11),"")</f>
        <v/>
      </c>
      <c r="LR11" s="16" t="str">
        <f>IF(SUM(KW11:KX11,KZ11:LB11,LD11)-KY11-LC11&gt;0,SUM(KW11:KX11,KZ11:LB11,LD11)-KY11-LC11,"")</f>
        <v/>
      </c>
      <c r="LS11" s="16" t="str">
        <f>IF(SUM(LE11:LF11,LH11)-LG11&gt;0,SUM(LE11:LF11,LH11)-LG11,"")</f>
        <v/>
      </c>
      <c r="LT11" s="16" t="str">
        <f>IF(SUM(KX11,LB11,LF11)&gt;0,SUM(KX11,LB11,LF11),"")</f>
        <v/>
      </c>
      <c r="LU11" s="16" t="str">
        <f>IF(SUM(LR11,LS11)&gt;0,SUM(LR11,LS11),"")</f>
        <v/>
      </c>
      <c r="LV11" s="16" t="str">
        <f>IF(SUM(LJ11,LN11)&gt;0,SUM(LJ11,LN11),"")</f>
        <v/>
      </c>
      <c r="LW11" s="16" t="str">
        <f>IF(SUM(LI11:LJ11,LL11:LN11,LP11)-SUM(LK11,LO11)&gt;0,SUM(LI11:LJ11,LL11:LN11,LP11)-SUM(LK11,LO11),"")</f>
        <v/>
      </c>
      <c r="LX11" s="16" t="str">
        <f>IF(SUM(LR11,LW11)&gt;0,SUM(LR11,LW11),"")</f>
        <v/>
      </c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76" t="str">
        <f>IF(SUM(LZ11,MD11)&gt;0,SUM(LZ11,MD11),"")</f>
        <v/>
      </c>
      <c r="MT11" s="76" t="str">
        <f>IF(SUM(LY11:LZ11,MB11:MD11,MF11)-MA11-ME11&gt;0,SUM(LY11:LZ11,MB11:MD11,MF11)-MA11-ME11,"")</f>
        <v/>
      </c>
      <c r="MU11" s="76" t="str">
        <f>IF(SUM(MG11:MH11,MJ11)-MI11&gt;0,SUM(MG11:MH11,MJ11)-MI11,"")</f>
        <v/>
      </c>
      <c r="MV11" s="76" t="str">
        <f>IF(SUM(LZ11,MD11,MH11)&gt;0,SUM(LZ11,MD11,MH11),"")</f>
        <v/>
      </c>
      <c r="MW11" s="76" t="str">
        <f>IF(SUM(MT11,MU11)&gt;0,SUM(MT11,MU11),"")</f>
        <v/>
      </c>
      <c r="MX11" s="76" t="str">
        <f>IF(SUM(ML11,MP11)&gt;0,SUM(ML11,MP11),"")</f>
        <v/>
      </c>
      <c r="MY11" s="76" t="str">
        <f>IF(SUM(MK11:ML11,MN11:MP11,MR11)-SUM(MM11,MQ11)&gt;0,SUM(MK11:ML11,MN11:MP11,MR11)-SUM(MM11,MQ11),"")</f>
        <v/>
      </c>
      <c r="MZ11" s="76" t="str">
        <f>IF(SUM(MT11,MY11)&gt;0,SUM(MT11,MY11),"")</f>
        <v/>
      </c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16" t="str">
        <f>IF(SUM(NB11,NF11)&gt;0,SUM(NB11,NF11),"")</f>
        <v/>
      </c>
      <c r="NV11" s="16" t="str">
        <f>IF(SUM(NA11:NB11,ND11:NF11,NH11)-NC11-NG11&gt;0,SUM(NA11:NB11,ND11:NF11,NH11)-NC11-NG11,"")</f>
        <v/>
      </c>
      <c r="NW11" s="16" t="str">
        <f>IF(SUM(NI11:NJ11,NL11)-NK11&gt;0,SUM(NI11:NJ11,NL11)-NK11,"")</f>
        <v/>
      </c>
      <c r="NX11" s="16" t="str">
        <f>IF(SUM(NB11,NF11,NJ11)&gt;0,SUM(NB11,NF11,NJ11),"")</f>
        <v/>
      </c>
      <c r="NY11" s="16" t="str">
        <f>IF(SUM(NV11,NW11)&gt;0,SUM(NV11,NW11),"")</f>
        <v/>
      </c>
      <c r="NZ11" s="16" t="str">
        <f>IF(SUM(NN11,NR11)&gt;0,SUM(NN11,NR11),"")</f>
        <v/>
      </c>
      <c r="OA11" s="16" t="str">
        <f>IF(SUM(NM11:NN11,NP11:NR11,NT11)-SUM(NO11,NS11)&gt;0,SUM(NM11:NN11,NP11:NR11,NT11)-SUM(NO11,NS11),"")</f>
        <v/>
      </c>
      <c r="OB11" s="16" t="str">
        <f>IF(SUM(NV11,OA11)&gt;0,SUM(NV11,OA11),"")</f>
        <v/>
      </c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76" t="str">
        <f>IF(SUM(OD11,OH11)&gt;0,SUM(OD11,OH11),"")</f>
        <v/>
      </c>
      <c r="OX11" s="76" t="str">
        <f>IF(SUM(OC11:OD11,OF11:OH11,OJ11)-OE11-OI11&gt;0,SUM(OC11:OD11,OF11:OH11,OJ11)-OE11-OI11,"")</f>
        <v/>
      </c>
      <c r="OY11" s="76" t="str">
        <f>IF(SUM(OK11:OL11,ON11)-OM11&gt;0,SUM(OK11:OL11,ON11)-OM11,"")</f>
        <v/>
      </c>
      <c r="OZ11" s="76" t="str">
        <f>IF(SUM(OD11,OH11,OL11)&gt;0,SUM(OD11,OH11,OL11),"")</f>
        <v/>
      </c>
      <c r="PA11" s="76" t="str">
        <f>IF(SUM(OX11,OY11)&gt;0,SUM(OX11,OY11),"")</f>
        <v/>
      </c>
      <c r="PB11" s="76" t="str">
        <f>IF(SUM(OP11,OT11)&gt;0,SUM(OP11,OT11),"")</f>
        <v/>
      </c>
      <c r="PC11" s="76" t="str">
        <f>IF(SUM(OO11:OP11,OR11:OT11,OV11)-SUM(OQ11,OU11)&gt;0,SUM(OO11:OP11,OR11:OT11,OV11)-SUM(OQ11,OU11),"")</f>
        <v/>
      </c>
      <c r="PD11" s="76" t="str">
        <f>IF(SUM(OX11,PC11)&gt;0,SUM(OX11,PC11),"")</f>
        <v/>
      </c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16" t="str">
        <f>IF(SUM(PF11,PJ11)&gt;0,SUM(PF11,PJ11),"")</f>
        <v/>
      </c>
      <c r="PZ11" s="16" t="str">
        <f>IF(SUM(PE11:PF11,PH11:PJ11,PL11)-PG11-PK11&gt;0,SUM(PE11:PF11,PH11:PJ11,PL11)-PG11-PK11,"")</f>
        <v/>
      </c>
      <c r="QA11" s="16" t="str">
        <f>IF(SUM(PM11:PN11,PP11)-PO11&gt;0,SUM(PM11:PN11,PP11)-PO11,"")</f>
        <v/>
      </c>
      <c r="QB11" s="16" t="str">
        <f>IF(SUM(PF11,PJ11,PN11)&gt;0,SUM(PF11,PJ11,PN11),"")</f>
        <v/>
      </c>
      <c r="QC11" s="16" t="str">
        <f>IF(SUM(PZ11,QA11)&gt;0,SUM(PZ11,QA11),"")</f>
        <v/>
      </c>
      <c r="QD11" s="16" t="str">
        <f>IF(SUM(PR11,PV11)&gt;0,SUM(PR11,PV11),"")</f>
        <v/>
      </c>
      <c r="QE11" s="16" t="str">
        <f>IF(SUM(PQ11:PR11,PT11:PV11,PX11)-SUM(PS11,PW11)&gt;0,SUM(PQ11:PR11,PT11:PV11,PX11)-SUM(PS11,PW11),"")</f>
        <v/>
      </c>
      <c r="QF11" s="16" t="str">
        <f>IF(SUM(PZ11,QE11)&gt;0,SUM(PZ11,QE11),"")</f>
        <v/>
      </c>
      <c r="QG11" s="42">
        <f>IF($CW11="P",CC11,(CC11+AZ11)/2)</f>
        <v>9.3000250000000015</v>
      </c>
      <c r="QH11" s="42">
        <f>IF($CW11="P",CD11,(CD11+BA11)/2)</f>
        <v>2.6</v>
      </c>
      <c r="QI11" s="42">
        <f>IF($CW11="P",CE11,(CE11+BB11)/2)</f>
        <v>0.4</v>
      </c>
      <c r="QJ11" s="42">
        <f>IF($CW11="P",CF11,(CF11+BC11)/2)</f>
        <v>0</v>
      </c>
      <c r="QK11" s="42">
        <f>IF($CW11="P",CG11,(CG11+BD11)/2)</f>
        <v>9.3000000000000007</v>
      </c>
      <c r="QL11" s="42">
        <f>IF($CW11="P",CH11,(CH11+BE11)/2)</f>
        <v>2.8</v>
      </c>
      <c r="QM11" s="42">
        <f>IF($CW11="P",CI11,(CI11+BF11)/2)</f>
        <v>0.1</v>
      </c>
      <c r="QN11" s="42">
        <f>IF($CW11="P",CJ11,(CJ11+BG11)/2)</f>
        <v>0</v>
      </c>
      <c r="QO11" s="42">
        <f>IF($CW11="P",CK11,(CK11+BH11)/2)</f>
        <v>9</v>
      </c>
      <c r="QP11" s="42">
        <f>IF($CW11="P",CL11,(CL11+BI11)/2)</f>
        <v>2.4</v>
      </c>
      <c r="QQ11" s="42">
        <f>IF($CW11="P",CM11,(CM11+BJ11)/2)</f>
        <v>0.3</v>
      </c>
      <c r="QR11" s="42">
        <f>IF($CW11="P",CN11,(CN11+BK11)/2)</f>
        <v>0</v>
      </c>
      <c r="QS11" s="42">
        <f>IF($CW11="P",CO11,(CO11+BL11)/2)</f>
        <v>9.25</v>
      </c>
      <c r="QT11" s="42">
        <f>IF($CW11="P",CP11,(CP11+BM11)/2)</f>
        <v>2.6</v>
      </c>
      <c r="QU11" s="42">
        <f>IF($CW11="P",CQ11,(CQ11+BN11)/2)</f>
        <v>0.1</v>
      </c>
      <c r="QV11" s="42">
        <f>IF($CW11="P",CR11,(CR11+BO11)/2)</f>
        <v>0</v>
      </c>
      <c r="QW11" s="42">
        <f>IF($CW11="P",CS11,(CS11+BP11)/2)</f>
        <v>9.5</v>
      </c>
      <c r="QX11" s="42">
        <f>IF($CW11="P",CT11,(CT11+BQ11)/2)</f>
        <v>2.8</v>
      </c>
      <c r="QY11" s="42">
        <f>IF($CW11="P",CU11,(CU11+BR11)/2)</f>
        <v>0</v>
      </c>
      <c r="QZ11" s="42">
        <f>IF($CW11="P",CV11,(CV11+BS11)/2)</f>
        <v>0</v>
      </c>
      <c r="RA11" s="51" t="s">
        <v>61</v>
      </c>
      <c r="RB11" s="76">
        <f>IF(SUM(QH11,QL11)&gt;0,SUM(QH11,QL11),"")</f>
        <v>5.4</v>
      </c>
      <c r="RC11" s="76">
        <f>IF(SUM(QG11:QH11,QJ11:QL11,QN11)-QI11-QM11&gt;0,SUM(QG11:QH11,QJ11:QL11,QN11)-QI11-QM11,"")</f>
        <v>23.500025000000004</v>
      </c>
      <c r="RD11" s="76">
        <f>IF(SUM(QO11:QP11,QR11)-QQ11&gt;0,SUM(QO11:QP11,QR11)-QQ11,"")</f>
        <v>11.1</v>
      </c>
      <c r="RE11" s="76">
        <f>IF(SUM(QH11,QL11,QP11)&gt;0,SUM(QH11,QL11,QP11),"")</f>
        <v>7.8000000000000007</v>
      </c>
      <c r="RF11" s="76">
        <f>IF(SUM(RC11,RD11)&gt;0,SUM(RC11,RD11),"")</f>
        <v>34.600025000000002</v>
      </c>
      <c r="RG11" s="76">
        <f>IF(SUM(QT11,QX11)&gt;0,SUM(QT11,QX11),"")</f>
        <v>5.4</v>
      </c>
      <c r="RH11" s="76">
        <f>IF(SUM(QS11:QT11,QV11:QX11,QZ11)-SUM(QU11,QY11)&gt;0,SUM(QS11:QT11,QV11:QX11,QZ11)-SUM(QU11,QY11),"")</f>
        <v>24.05</v>
      </c>
      <c r="RI11" s="76">
        <f>IF(SUM(RC11,RH11)&gt;0,SUM(RC11,RH11),"")</f>
        <v>47.550025000000005</v>
      </c>
    </row>
    <row r="12" spans="1:477" x14ac:dyDescent="0.2">
      <c r="A12" s="5">
        <f>IF(AND(F12="P",G12="P"),SUMPRODUCT((F$4:F$15="P")*(G$4:G$15="P")*(E$4:E$15&gt;E12))+1,IF(G12="P",SUMPRODUCT((F$4:F$15="")*(G$4:G$15="P")*(E$4:E$15&gt;E12))+1+SUMPRODUCT((F$4:F$15="P")*(G$4:G$15="P")),""))</f>
        <v>9</v>
      </c>
      <c r="B12" s="6" t="s">
        <v>31</v>
      </c>
      <c r="C12" s="7" t="s">
        <v>9</v>
      </c>
      <c r="D12" s="18">
        <v>1998</v>
      </c>
      <c r="E12" s="14">
        <f>SUM(J12:T12)+SUM(J12:P12)*0.0000001+SUM(J12)*0.0000000000001</f>
        <v>5.0000005000005004E-5</v>
      </c>
      <c r="F12" s="3" t="str">
        <f>IF(OR(AND(AR12&gt;=AY$17,AS12&gt;=AY$21,AR12&lt;&gt;"",AQ12=""),AND(AW12&gt;=AY$17,AX12&gt;=AY$21,AW12&lt;&gt;"",AQ12=""),AND(BU12&gt;=CB$17,BV12&gt;=CB$21,BU12&lt;&gt;"",BT12=""),AND(BZ12&gt;=CB$17,CA12&gt;=CB$21,BZ12&lt;&gt;"",BT12=""),AND(CX12&gt;=DE$17,CY12&gt;=DE$21,CX12&lt;&gt;"",CW12=""),AND(DC12&gt;=DE$17,DD12&gt;=DE$21,DC12&lt;&gt;""),AND(EC12&gt;=EJ$17,ED12&gt;=EJ$21,EC12&lt;&gt;""),AND(EH12&gt;=EJ$17,EI12&gt;=EJ$21,EH12&lt;&gt;""),AND(FE12&gt;=FL$17,FF12&gt;=FL$21,FE12&lt;&gt;""),AND(FJ12&gt;=FL$17,FK12&gt;=FL$21,FJ12&lt;&gt;""),AND(GG12&gt;=GN$17,GH12&gt;=GN$21,GG12&lt;&gt;""),AND(GL12&gt;=GN$17,GM12&gt;=GN$21,GL12&lt;&gt;""),AND(HI12&gt;=HP$17,HJ12&gt;=HP$21,HI12&lt;&gt;""),AND(HN12&gt;=HP$17,HO12&gt;=HP$21,HN12&lt;&gt;""),AND(IK12&gt;=IR$17,IL12&gt;=IR$21,IK12&lt;&gt;""),AND(IP12&gt;=IR$17,IQ12&gt;=IR$21,IP12&lt;&gt;""),AND(JM12&gt;=JT$17,JN12&gt;=JT$21,JM12&lt;&gt;""),AND(JR12&gt;=JT$17,JS12&gt;=JT$21,JR12&lt;&gt;""),AND(KO12&gt;=KV$17,KP12&gt;=KV$21,KO12&lt;&gt;""),AND(KT12&gt;=KV$17,KU12&gt;=KV$21,KT12&lt;&gt;""),AND(LQ12&gt;=LX$17,LR12&gt;=LX$21,LQ12&lt;&gt;""),AND(LV12&gt;=LX$17,LW12&gt;=LX$21,LV12&lt;&gt;""),AND(MS12&gt;=MZ$17,MT12&gt;=MZ$21,MS12&lt;&gt;""),AND(MX12&gt;=MZ$17,MY12&gt;=MZ$21,MX12&lt;&gt;""),AND(NU12&gt;=OB$17,NV12&gt;=OB$21,NU12&lt;&gt;""),AND(NZ12&gt;=OB$17,OA12&gt;=OB$21,NZ12&lt;&gt;""),AND(OW12&gt;=PD$17,OX12&gt;=PD$21,OW12&lt;&gt;""),AND(PB12&gt;=PD$17,PC12&gt;=PD$21,PB12&lt;&gt;""),AND(PY12&gt;=QF$17,PZ12&gt;=QF$21,PY12&lt;&gt;""),AND(QD12&gt;=QF$17,QE12&gt;=QF$21,QD12&lt;&gt;"")),"P","")</f>
        <v>P</v>
      </c>
      <c r="G12" s="3" t="str">
        <f>IF(OR(AND(AS12&gt;=AY$21,AS12&lt;&gt;"",AQ12=""),AND(AX12&gt;=AY$21,AX12&lt;&gt;"",AQ12=""),AND(BV12&gt;=CB$21,BV12&lt;&gt;"",BT12=""),AND(CA12&gt;=CB$21,CA12&lt;&gt;"",BT12=""),AND(CY12&gt;=DE$21,CY12&lt;&gt;"",CW12=""),AND(DD12&gt;=DE$21,DD12&lt;&gt;"",CW12=""),AND(ED12&gt;=EJ$21,ED12&lt;&gt;""),AND(EI12&gt;=EJ$21,EI12&lt;&gt;""),AND(FF12&gt;=FL$21,FF12&lt;&gt;""),AND(FK12&gt;=FL$21,FK12&lt;&gt;""),AND(GH12&gt;=GN$21,GH12&lt;&gt;""),AND(GM12&gt;=GN$21,GM12&lt;&gt;""),AND(HJ12&gt;=HP$21,HJ12&lt;&gt;""),AND(HO12&gt;=HP$21,HO12&lt;&gt;""),AND(IL12&gt;=IR$21,IL12&lt;&gt;""),AND(IQ12&gt;=IR$21,IQ12&lt;&gt;""),AND(JN12&gt;=JT$21,JN12&lt;&gt;""),AND(JS12&gt;=JT$21,JS12&lt;&gt;""),AND(KP12&gt;=KV$21,KP12&lt;&gt;""),AND(KU12&gt;=KV$21,KU12&lt;&gt;""),AND(LR12&gt;=LX$21,LR12&lt;&gt;""),AND(LW12&gt;=LX$21,LW12&lt;&gt;""),AND(MT12&gt;=MZ$21,MT12&lt;&gt;""),AND(MY12&gt;=MZ$21,MY12&lt;&gt;""),AND(NV12&gt;=OB$21,NV12&lt;&gt;""),AND(OA12&gt;=OB$21,OA12&lt;&gt;""),AND(OX12&gt;=PD$21,OX12&lt;&gt;""),AND(PC12&gt;=PD$21,PC12&lt;&gt;""),AND(PZ12&gt;=QF$21,PZ12&lt;&gt;""),AND(QE12&gt;=QF$21,QE12&lt;&gt;"")),"P","")</f>
        <v>P</v>
      </c>
      <c r="H12" s="70" t="str">
        <f>IF(AND(G12="P",F12=""),"No DD",IF(OR(AND(AU12&gt;=AY$20,AV12&gt;=AY$24,AU12&lt;&gt;"",AQ12=""),AND(BX12&gt;=CB$20,BY12&gt;=CB$24,BX12&lt;&gt;"",BT12=""),AND(DA12&gt;=DE$20,DB12&gt;=DE$24,DA12&lt;&gt;"",CW12=""),AND(EF12&gt;=EJ$20,EG12&gt;=EJ$24,EF12&lt;&gt;""),AND(FH12&gt;=FL$20,FI12&gt;=FL$24,FH12&lt;&gt;""),AND(GJ12&gt;=GN$20,GK12&gt;=GN$24,GJ12&lt;&gt;""),AND(HL12&gt;=HP$20,HM12&gt;=HP$24,HL12&lt;&gt;""),AND(IN12&gt;=IR$20,IO12&gt;=IR$24,IN12&lt;&gt;""),AND(JP12&gt;=JT$20,JQ12&gt;=JT$24,JP12&lt;&gt;""),AND(KR12&gt;=KV$20,KS12&gt;=KV$24,KR12&lt;&gt;""),AND(LT12&gt;=LX$20,LU12&gt;=LX$24,LT12&lt;&gt;""),AND(MV12&gt;=MZ$20,MW12&gt;=MZ$24,MV12&lt;&gt;""),AND(NX12&gt;=OB$20,NY12&gt;=OB$24,NX12&lt;&gt;""),AND(OZ12&gt;=PD$20,PA12&gt;=PD$24,OZ12&lt;&gt;""),AND(QB12&gt;=QF$20,QC12&gt;=QF$24,QB12&lt;&gt;"")),"Merit",IF(OR(AND(AU12&gt;=AY$19,AV12&gt;=AY$23,AU12&lt;&gt;"",AQ12=""),AND(BX12&gt;=CB$19,BY12&gt;=CB$23,BX12&lt;&gt;"",BT12=""),AND(DA12&gt;=DE$19,DB12&gt;=DE$23,DA12&lt;&gt;"",CW12=""),AND(EF12&gt;=EJ$19,EG12&gt;=EJ$23,EF12&lt;&gt;""),AND(FH12&gt;=FL$19,FI12&gt;=FL$23,FH12&lt;&gt;""),AND(GJ12&gt;=GN$19,GK12&gt;=GN$23,GJ12&lt;&gt;""),AND(HL12&gt;=HP$19,HM12&gt;=HP$23,HL12&lt;&gt;""),AND(IN12&gt;=IR$19,IO12&gt;=IR$23,IN12&lt;&gt;""),AND(JP12&gt;=JT$19,JQ12&gt;=JT$23,JP12&lt;&gt;""),AND(KR12&gt;=KV$19,KS12&gt;=KV$23,KR12&lt;&gt;""),AND(LT12&gt;=LX$19,LU12&gt;=LX$23,LT12&lt;&gt;""),AND(MV12&gt;=MZ$19,MW12&gt;=MZ$23,MV12&lt;&gt;""),AND(NX12&gt;=OB$19,NY12&gt;=OB$23,NX12&lt;&gt;""),AND(OZ12&gt;=PD$19,PA12&gt;=PD$23,OZ12&lt;&gt;""),AND(QB12&gt;=QF$19,QC12&gt;=QF$23,QB12&lt;&gt;"")),"Excellence",IF(I12="P","Worlds Team",IF(F12="P","National Team","")))))</f>
        <v>National Team</v>
      </c>
      <c r="I12" s="3" t="str">
        <f>IF(OR(AND(AU12&gt;=AY$18,AV12&gt;=AY$22,AU12&lt;&gt;"",AQ12=""),AND(BX12&gt;=CB$18,BY12&gt;=CB$22,BX12&lt;&gt;"",BT12=""),AND(DA12&gt;=DE$18,DB12&gt;=DE$22,DA12&lt;&gt;"",CW12=""),AND(EF12&gt;=EJ$18,EG12&gt;=EJ$22,EF12&lt;&gt;""),AND(FH12&gt;=FL$18,FI12&gt;=FL$22,FH12&lt;&gt;""),AND(GJ12&gt;=GN$18,GK12&gt;=GN$22,GJ12&lt;&gt;""),AND(HL12&gt;=HP$18,HM12&gt;=HP$22,HL12&lt;&gt;""),AND(IN12&gt;=IR$18,IO12&gt;=IR$22,IN12&lt;&gt;""),AND(JP12&gt;=JT$18,JQ12&gt;=JT$22,JP12&lt;&gt;""),AND(KR12&gt;=KV$18,KS12&gt;=KV$22,KR12&lt;&gt;""),AND(LT12&gt;=LX$18,LU12&gt;=LX$22,LT12&lt;&gt;""),AND(MV12&gt;=MZ$18,MW12&gt;=MZ$22,MV12&lt;&gt;""),AND(NX12&gt;=OB$18,NY12&gt;=OB$22,NX12&lt;&gt;""),AND(OZ12&gt;=PD$18,PA12&gt;=PD$22,OZ12&lt;&gt;""),AND(QB12&gt;=QF$18,QC12&gt;=QF$22,QB12&lt;&gt;"")),"P","")</f>
        <v/>
      </c>
      <c r="J12" s="13">
        <f>IF(COUNT(AS12,BV12,CY12)&gt;0,LARGE((AS12,BV12,CY12),1),0)</f>
        <v>5.0000000000000002E-5</v>
      </c>
      <c r="K12" s="13" t="str">
        <f>IF(J12=0,"",IF(J12=CY12,$CC$1,IF(J12=BV12,$AZ$1,IF(J12=AS12,$W$1,""))))</f>
        <v>2021 Elite Canada</v>
      </c>
      <c r="L12" s="13">
        <f>IF(COUNT(AS12,BV12,CY12)&gt;1,LARGE((AS12,BV12,CY12),2),0)</f>
        <v>0</v>
      </c>
      <c r="M12" s="13" t="str">
        <f>IF(L12=0,"",IF(L12=CY12,$CC$1,IF(L12=BV12,$AZ$1,IF(L12=AS12,$W$1,""))))</f>
        <v/>
      </c>
      <c r="N12" s="13">
        <f>IF(COUNT(AT12,BW12,CZ12)&gt;0,LARGE((AT12,BW12,CZ12),1),0)</f>
        <v>0</v>
      </c>
      <c r="O12" s="13" t="str">
        <f>IF(N12=0,"",IF(N12=CZ12,$CC$1,IF(N12=BW12,$AZ$1,IF(N12=AT12,$W$1,""))))</f>
        <v/>
      </c>
      <c r="P12" s="13">
        <f>IF(COUNT(AT12,BW12,CZ12)&gt;1,LARGE((AT12,BW12,CZ12),2),0)</f>
        <v>0</v>
      </c>
      <c r="Q12" s="13" t="str">
        <f>IF(P12=0,"",IF(P12=CZ12,$CC$1,IF(P12=BW12,$AZ$1,IF(P12=AT12,$W$1,""))))</f>
        <v/>
      </c>
      <c r="R12" s="13">
        <f>IF(MAX(AX12,CA12,DD12)&gt;0,MAX(AX12,CA12,DD12),0)</f>
        <v>0</v>
      </c>
      <c r="S12" s="13" t="str">
        <f>IF(R12=0,"",IF(R12=DD12,$CC$1,IF(R12=CA12,$AZ$1,IF(R12=AX12,$W$1,""))))</f>
        <v/>
      </c>
      <c r="T12" s="13" t="str">
        <f>IF(MAX(DF12:DH12)&gt;0,MAX(DF12:DH12),"")</f>
        <v/>
      </c>
      <c r="U12" s="16" t="str">
        <f>IF(T12="","",IF(T12=DF12,"("&amp;DF$2&amp;")",IF(T12=DH12,"("&amp;DH$2&amp;")")))</f>
        <v/>
      </c>
      <c r="V12" s="13" t="str">
        <f>IF(T12="","",IF(T12=DF12,IF(T12+IF(L12="",0,L12)=PZ12,$PE$1,IF(T12+IF(L12="",0,L12)=OX12,$OC$1,IF(T12+IF(L12="",0,L12)=NV12,$NA$1,IF(T12+IF(L12="",0,L12)=MT12,$LY$1,IF(T12+IF(L12="",0,L12)=LR12,$KW$1,IF(T12+IF(L12="",0,L12)=KP12,$JU$1,IF(T12+IF(L12="",0,L12)=JN12,$IS$1,IF(T12+IF(L12="",0,L12)=IL12,$HQ$1,IF(T12+IF(L12="",0,L12)=HJ12,$GO$1,IF(T12+IF(L12="",0,L12)=GH12,$FM$1,IF(T12+IF(L12="",0,L12)=FF12,$EK$1,IF(T12+IF(L12="",0,L12)=ED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</f>
        <v/>
      </c>
      <c r="W12" s="27">
        <v>3.0000000000000001E-5</v>
      </c>
      <c r="X12" s="27">
        <v>2.0000000000000002E-5</v>
      </c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51"/>
      <c r="AR12" s="76">
        <f>IF(SUM(X12,AB12)&gt;0,SUM(X12,AB12),"")</f>
        <v>2.0000000000000002E-5</v>
      </c>
      <c r="AS12" s="76">
        <f>IF(SUM(W12:X12,Z12:AB12,AD12)-Y12-AC12&gt;0,SUM(W12:X12,Z12:AB12,AD12)-Y12-AC12,"")</f>
        <v>5.0000000000000002E-5</v>
      </c>
      <c r="AT12" s="76" t="str">
        <f>IF(SUM(AE12:AF12,AH12)-AG12&gt;0,SUM(AE12:AF12,AH12)-AG12,"")</f>
        <v/>
      </c>
      <c r="AU12" s="76">
        <f>IF(SUM(X12,AB12,AF12)&gt;0,SUM(X12,AB12,AF12),"")</f>
        <v>2.0000000000000002E-5</v>
      </c>
      <c r="AV12" s="76">
        <f>IF(SUM(AS12,AT12)&gt;0,SUM(AS12,AT12),"")</f>
        <v>5.0000000000000002E-5</v>
      </c>
      <c r="AW12" s="76" t="str">
        <f>IF(SUM(AJ12,AN12)&gt;0,SUM(AJ12,AN12),"")</f>
        <v/>
      </c>
      <c r="AX12" s="76" t="str">
        <f>IF(SUM(AI12:AJ12,AL12:AN12,AP12)-SUM(AK12,AO12)&gt;0,SUM(AI12:AJ12,AL12:AN12,AP12)-SUM(AK12,AO12),"")</f>
        <v/>
      </c>
      <c r="AY12" s="76">
        <f>IF(SUM(AS12,AX12)&gt;0,SUM(AS12,AX12),"")</f>
        <v>5.0000000000000002E-5</v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52"/>
      <c r="BU12" s="16" t="str">
        <f>IF(SUM(BA12,BE12)&gt;0,SUM(BA12,BE12),"")</f>
        <v/>
      </c>
      <c r="BV12" s="16" t="str">
        <f>IF(SUM(AZ12:BA12,BC12:BE12,BG12)-BB12-BF12&gt;0,SUM(AZ12:BA12,BC12:BE12,BG12)-BB12-BF12,"")</f>
        <v/>
      </c>
      <c r="BW12" s="16" t="str">
        <f>IF(SUM(BH12:BI12,BK12)-BJ12&gt;0,SUM(BH12:BI12,BK12)-BJ12,"")</f>
        <v/>
      </c>
      <c r="BX12" s="16" t="str">
        <f>IF(SUM(BA12,BE12,BI12)&gt;0,SUM(BA12,BE12,BI12),"")</f>
        <v/>
      </c>
      <c r="BY12" s="16" t="str">
        <f>IF(SUM(BV12,BW12)&gt;0,SUM(BV12,BW12),"")</f>
        <v/>
      </c>
      <c r="BZ12" s="16" t="str">
        <f>IF(SUM(BM12,BQ12)&gt;0,SUM(BM12,BQ12),"")</f>
        <v/>
      </c>
      <c r="CA12" s="16" t="str">
        <f>IF(SUM(BL12:BM12,BO12:BQ12,BS12)-SUM(BN12,BR12)&gt;0,SUM(BL12:BM12,BO12:BQ12,BS12)-SUM(BN12,BR12),"")</f>
        <v/>
      </c>
      <c r="CB12" s="16" t="str">
        <f>IF(SUM(BV12,CA12)&gt;0,SUM(BV12,CA12),"")</f>
        <v/>
      </c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51"/>
      <c r="CX12" s="76" t="str">
        <f>IF(SUM(CD12,CH12)&gt;0,SUM(CD12,CH12),"")</f>
        <v/>
      </c>
      <c r="CY12" s="76" t="str">
        <f>IF(SUM(CC12:CD12,CF12:CH12,CJ12)-CE12-CI12&gt;0,SUM(CC12:CD12,CF12:CH12,CJ12)-CE12-CI12,"")</f>
        <v/>
      </c>
      <c r="CZ12" s="76" t="str">
        <f>IF(SUM(CK12:CL12,CN12)-CM12&gt;0,SUM(CK12:CL12,CN12)-CM12,"")</f>
        <v/>
      </c>
      <c r="DA12" s="76" t="str">
        <f>IF(SUM(CD12,CH12,CL12)&gt;0,SUM(CD12,CH12,CL12),"")</f>
        <v/>
      </c>
      <c r="DB12" s="76" t="str">
        <f>IF(SUM(CY12,CZ12)&gt;0,SUM(CY12,CZ12),"")</f>
        <v/>
      </c>
      <c r="DC12" s="76" t="str">
        <f>IF(SUM(CP12,CT12)&gt;0,SUM(CP12,CT12),"")</f>
        <v/>
      </c>
      <c r="DD12" s="76" t="str">
        <f>IF(SUM(CO12:CP12,CR12:CT12,CV12)-SUM(CQ12,CU12)&gt;0,SUM(CO12:CP12,CR12:CT12,CV12)-SUM(CQ12,CU12),"")</f>
        <v/>
      </c>
      <c r="DE12" s="76" t="str">
        <f>IF(SUM(CY12,DD12)&gt;0,SUM(CY12,DD12),"")</f>
        <v/>
      </c>
      <c r="DF12" s="87" t="str">
        <f>IF(L12&gt;=0.001,IF(MAX(ED12,FF12,GH12,HJ12,IL12,JN12,KP12,LR12,MT12,NV12,OX12,PZ12)-IF(L12="",0,L12)&gt;0.001,MAX(ED12,FF12,GH12,HJ12,IL12,JN12,KP12,LR12,MT12,NV12,OX12,PZ12)-IF(L12="",0,L12),""),"")</f>
        <v/>
      </c>
      <c r="DG12" s="87" t="str">
        <f>IF(P12&gt;=0.001,IF(MAX(EE12,FG12,GI12,HK12,IM12,JO12,KQ12,LS12,MU12,NW12,OY12,QA12)-IF(P12="",0,P12)&gt;0.001,MAX(EE12,FG12,GI12,HK12,IM12,JO12,KQ12,LS12,MU12,NW12,OY12,QA12)-IF(P12="",0,P12),""),"")</f>
        <v/>
      </c>
      <c r="DH12" s="87" t="str">
        <f>IF(R12&gt;=0.001,IF(MAX(EI12,FK12,GM12,HO12,IQ12,JS12,KU12,LW12,MY12,OA12,PC12,QE12)-IF(R12="",0,R12)&gt;0.001,MAX(EI12,FK12,GM12,HO12,IQ12,JS12,KU12,LW12,MY12,OA12,PC12,QE12)-IF(R12="",0,R12),""),"")</f>
        <v/>
      </c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76" t="str">
        <f>IF(SUM(DJ12,DN12)&gt;0,SUM(DJ12,DN12),"")</f>
        <v/>
      </c>
      <c r="ED12" s="76" t="str">
        <f>IF(SUM(DI12:DJ12,DL12:DN12,DP12)-DK12-DO12&gt;0,SUM(DI12:DJ12,DL12:DN12,DP12)-DK12-DO12,"")</f>
        <v/>
      </c>
      <c r="EE12" s="76" t="str">
        <f>IF(SUM(DQ12:DR12,DT12)-DS12&gt;0,SUM(DQ12:DR12,DT12)-DS12,"")</f>
        <v/>
      </c>
      <c r="EF12" s="76" t="str">
        <f>IF(SUM(DJ12,DN12,DR12)&gt;0,SUM(DJ12,DN12,DR12),"")</f>
        <v/>
      </c>
      <c r="EG12" s="76" t="str">
        <f>IF(SUM(ED12,EE12)&gt;0,SUM(ED12,EE12),"")</f>
        <v/>
      </c>
      <c r="EH12" s="76" t="str">
        <f>IF(SUM(DV12,DZ12)&gt;0,SUM(DV12,DZ12),"")</f>
        <v/>
      </c>
      <c r="EI12" s="76" t="str">
        <f>IF(SUM(DU12:DV12,DX12:DZ12,EB12)-SUM(DW12,EA12)&gt;0,SUM(DU12:DV12,DX12:DZ12,EB12)-SUM(DW12,EA12),"")</f>
        <v/>
      </c>
      <c r="EJ12" s="76" t="str">
        <f>IF(SUM(ED12,EI12)&gt;0,SUM(ED12,EI12),"")</f>
        <v/>
      </c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16" t="str">
        <f>IF(SUM(EL12,EP12)&gt;0,SUM(EL12,EP12),"")</f>
        <v/>
      </c>
      <c r="FF12" s="16" t="str">
        <f>IF(SUM(EK12:EL12,EN12:EP12,ER12)-EM12-EQ12&gt;0,SUM(EK12:EL12,EN12:EP12,ER12)-EM12-EQ12,"")</f>
        <v/>
      </c>
      <c r="FG12" s="16" t="str">
        <f>IF(SUM(ES12:ET12,EV12)-EU12&gt;0,SUM(ES12:ET12,EV12)-EU12,"")</f>
        <v/>
      </c>
      <c r="FH12" s="16" t="str">
        <f>IF(SUM(EL12,EP12,ET12)&gt;0,SUM(EL12,EP12,ET12),"")</f>
        <v/>
      </c>
      <c r="FI12" s="16" t="str">
        <f>IF(SUM(FF12,FG12)&gt;0,SUM(FF12,FG12),"")</f>
        <v/>
      </c>
      <c r="FJ12" s="16" t="str">
        <f>IF(SUM(EX12,FB12)&gt;0,SUM(EX12,FB12),"")</f>
        <v/>
      </c>
      <c r="FK12" s="16" t="str">
        <f>IF(SUM(EW12:EX12,EZ12:FB12,FD12)-SUM(EY12,FC12)&gt;0,SUM(EW12:EX12,EZ12:FB12,FD12)-SUM(EY12,FC12),"")</f>
        <v/>
      </c>
      <c r="FL12" s="16" t="str">
        <f>IF(SUM(FF12,FK12)&gt;0,SUM(FF12,FK12),"")</f>
        <v/>
      </c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76" t="str">
        <f>IF(SUM(FN12,FR12)&gt;0,SUM(FN12,FR12),"")</f>
        <v/>
      </c>
      <c r="GH12" s="76" t="str">
        <f>IF(SUM(FM12:FN12,FP12:FR12,FT12)-FO12-FS12&gt;0,SUM(FM12:FN12,FP12:FR12,FT12)-FO12-FS12,"")</f>
        <v/>
      </c>
      <c r="GI12" s="76" t="str">
        <f>IF(SUM(FU12:FV12,FX12)-FW12&gt;0,SUM(FU12:FV12,FX12)-FW12,"")</f>
        <v/>
      </c>
      <c r="GJ12" s="76" t="str">
        <f>IF(SUM(FN12,FR12,FV12)&gt;0,SUM(FN12,FR12,FV12),"")</f>
        <v/>
      </c>
      <c r="GK12" s="76" t="str">
        <f>IF(SUM(GH12,GI12)&gt;0,SUM(GH12,GI12),"")</f>
        <v/>
      </c>
      <c r="GL12" s="76" t="str">
        <f>IF(SUM(FZ12,GD12)&gt;0,SUM(FZ12,GD12),"")</f>
        <v/>
      </c>
      <c r="GM12" s="76" t="str">
        <f>IF(SUM(FY12:FZ12,GB12:GD12,GF12)-SUM(GA12,GE12)&gt;0,SUM(FY12:FZ12,GB12:GD12,GF12)-SUM(GA12,GE12),"")</f>
        <v/>
      </c>
      <c r="GN12" s="76" t="str">
        <f>IF(SUM(GH12,GM12)&gt;0,SUM(GH12,GM12),"")</f>
        <v/>
      </c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16" t="str">
        <f>IF(SUM(GP12,GT12)&gt;0,SUM(GP12,GT12),"")</f>
        <v/>
      </c>
      <c r="HJ12" s="16" t="str">
        <f>IF(SUM(GO12:GP12,GR12:GT12,GV12)-GQ12-GU12&gt;0,SUM(GO12:GP12,GR12:GT12,GV12)-GQ12-GU12,"")</f>
        <v/>
      </c>
      <c r="HK12" s="16" t="str">
        <f>IF(SUM(GW12:GX12,GZ12)-GY12&gt;0,SUM(GW12:GX12,GZ12)-GY12,"")</f>
        <v/>
      </c>
      <c r="HL12" s="16" t="str">
        <f>IF(SUM(GP12,GT12,GX12)&gt;0,SUM(GP12,GT12,GX12),"")</f>
        <v/>
      </c>
      <c r="HM12" s="16" t="str">
        <f>IF(SUM(HJ12,HK12)&gt;0,SUM(HJ12,HK12),"")</f>
        <v/>
      </c>
      <c r="HN12" s="16" t="str">
        <f>IF(SUM(HB12,HF12)&gt;0,SUM(HB12,HF12),"")</f>
        <v/>
      </c>
      <c r="HO12" s="16" t="str">
        <f>IF(SUM(HA12:HB12,HD12:HF12,HH12)-SUM(HC12,HG12)&gt;0,SUM(HA12:HB12,HD12:HF12,HH12)-SUM(HC12,HG12),"")</f>
        <v/>
      </c>
      <c r="HP12" s="16" t="str">
        <f>IF(SUM(HJ12,HO12)&gt;0,SUM(HJ12,HO12),"")</f>
        <v/>
      </c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76" t="str">
        <f>IF(SUM(HR12,HV12)&gt;0,SUM(HR12,HV12),"")</f>
        <v/>
      </c>
      <c r="IL12" s="76" t="str">
        <f>IF(SUM(HQ12:HR12,HT12:HV12,HX12)-HS12-HW12&gt;0,SUM(HQ12:HR12,HT12:HV12,HX12)-HS12-HW12,"")</f>
        <v/>
      </c>
      <c r="IM12" s="76" t="str">
        <f>IF(SUM(HY12:HZ12,IB12)-IA12&gt;0,SUM(HY12:HZ12,IB12)-IA12,"")</f>
        <v/>
      </c>
      <c r="IN12" s="76" t="str">
        <f>IF(SUM(HR12,HV12,HZ12)&gt;0,SUM(HR12,HV12,HZ12),"")</f>
        <v/>
      </c>
      <c r="IO12" s="76" t="str">
        <f>IF(SUM(IL12,IM12)&gt;0,SUM(IL12,IM12),"")</f>
        <v/>
      </c>
      <c r="IP12" s="76" t="str">
        <f>IF(SUM(ID12,IH12)&gt;0,SUM(ID12,IH12),"")</f>
        <v/>
      </c>
      <c r="IQ12" s="76" t="str">
        <f>IF(SUM(IC12:ID12,IF12:IH12,IJ12)-SUM(IE12,II12)&gt;0,SUM(IC12:ID12,IF12:IH12,IJ12)-SUM(IE12,II12),"")</f>
        <v/>
      </c>
      <c r="IR12" s="76" t="str">
        <f>IF(SUM(IL12,IQ12)&gt;0,SUM(IL12,IQ12),"")</f>
        <v/>
      </c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16" t="str">
        <f>IF(SUM(IT12,IX12)&gt;0,SUM(IT12,IX12),"")</f>
        <v/>
      </c>
      <c r="JN12" s="16" t="str">
        <f>IF(SUM(IS12:IT12,IV12:IX12,IZ12)-IU12-IY12&gt;0,SUM(IS12:IT12,IV12:IX12,IZ12)-IU12-IY12,"")</f>
        <v/>
      </c>
      <c r="JO12" s="16" t="str">
        <f>IF(SUM(JA12:JB12,JD12)-JC12&gt;0,SUM(JA12:JB12,JD12)-JC12,"")</f>
        <v/>
      </c>
      <c r="JP12" s="16" t="str">
        <f>IF(SUM(IT12,IX12,JB12)&gt;0,SUM(IT12,IX12,JB12),"")</f>
        <v/>
      </c>
      <c r="JQ12" s="16" t="str">
        <f>IF(SUM(JN12,JO12)&gt;0,SUM(JN12,JO12),"")</f>
        <v/>
      </c>
      <c r="JR12" s="16" t="str">
        <f>IF(SUM(JF12,JJ12)&gt;0,SUM(JF12,JJ12),"")</f>
        <v/>
      </c>
      <c r="JS12" s="16" t="str">
        <f>IF(SUM(JE12:JF12,JH12:JJ12,JL12)-SUM(JG12,JK12)&gt;0,SUM(JE12:JF12,JH12:JJ12,JL12)-SUM(JG12,JK12),"")</f>
        <v/>
      </c>
      <c r="JT12" s="16" t="str">
        <f>IF(SUM(JN12,JS12)&gt;0,SUM(JN12,JS12),"")</f>
        <v/>
      </c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76" t="str">
        <f>IF(SUM(JV12,JZ12)&gt;0,SUM(JV12,JZ12),"")</f>
        <v/>
      </c>
      <c r="KP12" s="76" t="str">
        <f>IF(SUM(JU12:JV12,JX12:JZ12,KB12)-JW12-KA12&gt;0,SUM(JU12:JV12,JX12:JZ12,KB12)-JW12-KA12,"")</f>
        <v/>
      </c>
      <c r="KQ12" s="76" t="str">
        <f>IF(SUM(KC12:KD12,KF12)-KE12&gt;0,SUM(KC12:KD12,KF12)-KE12,"")</f>
        <v/>
      </c>
      <c r="KR12" s="76" t="str">
        <f>IF(SUM(JV12,JZ12,KD12)&gt;0,SUM(JV12,JZ12,KD12),"")</f>
        <v/>
      </c>
      <c r="KS12" s="76" t="str">
        <f>IF(SUM(KP12,KQ12)&gt;0,SUM(KP12,KQ12),"")</f>
        <v/>
      </c>
      <c r="KT12" s="76" t="str">
        <f>IF(SUM(KH12,KL12)&gt;0,SUM(KH12,KL12),"")</f>
        <v/>
      </c>
      <c r="KU12" s="76" t="str">
        <f>IF(SUM(KG12:KH12,KJ12:KL12,KN12)-SUM(KI12,KM12)&gt;0,SUM(KG12:KH12,KJ12:KL12,KN12)-SUM(KI12,KM12),"")</f>
        <v/>
      </c>
      <c r="KV12" s="76" t="str">
        <f>IF(SUM(KP12,KU12)&gt;0,SUM(KP12,KU12),"")</f>
        <v/>
      </c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16" t="str">
        <f>IF(SUM(KX12,LB12)&gt;0,SUM(KX12,LB12),"")</f>
        <v/>
      </c>
      <c r="LR12" s="16" t="str">
        <f>IF(SUM(KW12:KX12,KZ12:LB12,LD12)-KY12-LC12&gt;0,SUM(KW12:KX12,KZ12:LB12,LD12)-KY12-LC12,"")</f>
        <v/>
      </c>
      <c r="LS12" s="16" t="str">
        <f>IF(SUM(LE12:LF12,LH12)-LG12&gt;0,SUM(LE12:LF12,LH12)-LG12,"")</f>
        <v/>
      </c>
      <c r="LT12" s="16" t="str">
        <f>IF(SUM(KX12,LB12,LF12)&gt;0,SUM(KX12,LB12,LF12),"")</f>
        <v/>
      </c>
      <c r="LU12" s="16" t="str">
        <f>IF(SUM(LR12,LS12)&gt;0,SUM(LR12,LS12),"")</f>
        <v/>
      </c>
      <c r="LV12" s="16" t="str">
        <f>IF(SUM(LJ12,LN12)&gt;0,SUM(LJ12,LN12),"")</f>
        <v/>
      </c>
      <c r="LW12" s="16" t="str">
        <f>IF(SUM(LI12:LJ12,LL12:LN12,LP12)-SUM(LK12,LO12)&gt;0,SUM(LI12:LJ12,LL12:LN12,LP12)-SUM(LK12,LO12),"")</f>
        <v/>
      </c>
      <c r="LX12" s="16" t="str">
        <f>IF(SUM(LR12,LW12)&gt;0,SUM(LR12,LW12),"")</f>
        <v/>
      </c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76" t="str">
        <f>IF(SUM(LZ12,MD12)&gt;0,SUM(LZ12,MD12),"")</f>
        <v/>
      </c>
      <c r="MT12" s="76" t="str">
        <f>IF(SUM(LY12:LZ12,MB12:MD12,MF12)-MA12-ME12&gt;0,SUM(LY12:LZ12,MB12:MD12,MF12)-MA12-ME12,"")</f>
        <v/>
      </c>
      <c r="MU12" s="76" t="str">
        <f>IF(SUM(MG12:MH12,MJ12)-MI12&gt;0,SUM(MG12:MH12,MJ12)-MI12,"")</f>
        <v/>
      </c>
      <c r="MV12" s="76" t="str">
        <f>IF(SUM(LZ12,MD12,MH12)&gt;0,SUM(LZ12,MD12,MH12),"")</f>
        <v/>
      </c>
      <c r="MW12" s="76" t="str">
        <f>IF(SUM(MT12,MU12)&gt;0,SUM(MT12,MU12),"")</f>
        <v/>
      </c>
      <c r="MX12" s="76" t="str">
        <f>IF(SUM(ML12,MP12)&gt;0,SUM(ML12,MP12),"")</f>
        <v/>
      </c>
      <c r="MY12" s="76" t="str">
        <f>IF(SUM(MK12:ML12,MN12:MP12,MR12)-SUM(MM12,MQ12)&gt;0,SUM(MK12:ML12,MN12:MP12,MR12)-SUM(MM12,MQ12),"")</f>
        <v/>
      </c>
      <c r="MZ12" s="76" t="str">
        <f>IF(SUM(MT12,MY12)&gt;0,SUM(MT12,MY12),"")</f>
        <v/>
      </c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16" t="str">
        <f>IF(SUM(NB12,NF12)&gt;0,SUM(NB12,NF12),"")</f>
        <v/>
      </c>
      <c r="NV12" s="16" t="str">
        <f>IF(SUM(NA12:NB12,ND12:NF12,NH12)-NC12-NG12&gt;0,SUM(NA12:NB12,ND12:NF12,NH12)-NC12-NG12,"")</f>
        <v/>
      </c>
      <c r="NW12" s="16" t="str">
        <f>IF(SUM(NI12:NJ12,NL12)-NK12&gt;0,SUM(NI12:NJ12,NL12)-NK12,"")</f>
        <v/>
      </c>
      <c r="NX12" s="16" t="str">
        <f>IF(SUM(NB12,NF12,NJ12)&gt;0,SUM(NB12,NF12,NJ12),"")</f>
        <v/>
      </c>
      <c r="NY12" s="16" t="str">
        <f>IF(SUM(NV12,NW12)&gt;0,SUM(NV12,NW12),"")</f>
        <v/>
      </c>
      <c r="NZ12" s="16" t="str">
        <f>IF(SUM(NN12,NR12)&gt;0,SUM(NN12,NR12),"")</f>
        <v/>
      </c>
      <c r="OA12" s="16" t="str">
        <f>IF(SUM(NM12:NN12,NP12:NR12,NT12)-SUM(NO12,NS12)&gt;0,SUM(NM12:NN12,NP12:NR12,NT12)-SUM(NO12,NS12),"")</f>
        <v/>
      </c>
      <c r="OB12" s="16" t="str">
        <f>IF(SUM(NV12,OA12)&gt;0,SUM(NV12,OA12),"")</f>
        <v/>
      </c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76" t="str">
        <f>IF(SUM(OD12,OH12)&gt;0,SUM(OD12,OH12),"")</f>
        <v/>
      </c>
      <c r="OX12" s="76" t="str">
        <f>IF(SUM(OC12:OD12,OF12:OH12,OJ12)-OE12-OI12&gt;0,SUM(OC12:OD12,OF12:OH12,OJ12)-OE12-OI12,"")</f>
        <v/>
      </c>
      <c r="OY12" s="76" t="str">
        <f>IF(SUM(OK12:OL12,ON12)-OM12&gt;0,SUM(OK12:OL12,ON12)-OM12,"")</f>
        <v/>
      </c>
      <c r="OZ12" s="76" t="str">
        <f>IF(SUM(OD12,OH12,OL12)&gt;0,SUM(OD12,OH12,OL12),"")</f>
        <v/>
      </c>
      <c r="PA12" s="76" t="str">
        <f>IF(SUM(OX12,OY12)&gt;0,SUM(OX12,OY12),"")</f>
        <v/>
      </c>
      <c r="PB12" s="76" t="str">
        <f>IF(SUM(OP12,OT12)&gt;0,SUM(OP12,OT12),"")</f>
        <v/>
      </c>
      <c r="PC12" s="76" t="str">
        <f>IF(SUM(OO12:OP12,OR12:OT12,OV12)-SUM(OQ12,OU12)&gt;0,SUM(OO12:OP12,OR12:OT12,OV12)-SUM(OQ12,OU12),"")</f>
        <v/>
      </c>
      <c r="PD12" s="76" t="str">
        <f>IF(SUM(OX12,PC12)&gt;0,SUM(OX12,PC12),"")</f>
        <v/>
      </c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16" t="str">
        <f>IF(SUM(PF12,PJ12)&gt;0,SUM(PF12,PJ12),"")</f>
        <v/>
      </c>
      <c r="PZ12" s="16" t="str">
        <f>IF(SUM(PE12:PF12,PH12:PJ12,PL12)-PG12-PK12&gt;0,SUM(PE12:PF12,PH12:PJ12,PL12)-PG12-PK12,"")</f>
        <v/>
      </c>
      <c r="QA12" s="16" t="str">
        <f>IF(SUM(PM12:PN12,PP12)-PO12&gt;0,SUM(PM12:PN12,PP12)-PO12,"")</f>
        <v/>
      </c>
      <c r="QB12" s="16" t="str">
        <f>IF(SUM(PF12,PJ12,PN12)&gt;0,SUM(PF12,PJ12,PN12),"")</f>
        <v/>
      </c>
      <c r="QC12" s="16" t="str">
        <f>IF(SUM(PZ12,QA12)&gt;0,SUM(PZ12,QA12),"")</f>
        <v/>
      </c>
      <c r="QD12" s="16" t="str">
        <f>IF(SUM(PR12,PV12)&gt;0,SUM(PR12,PV12),"")</f>
        <v/>
      </c>
      <c r="QE12" s="16" t="str">
        <f>IF(SUM(PQ12:PR12,PT12:PV12,PX12)-SUM(PS12,PW12)&gt;0,SUM(PQ12:PR12,PT12:PV12,PX12)-SUM(PS12,PW12),"")</f>
        <v/>
      </c>
      <c r="QF12" s="16" t="str">
        <f>IF(SUM(PZ12,QE12)&gt;0,SUM(PZ12,QE12),"")</f>
        <v/>
      </c>
      <c r="QG12" s="42">
        <f>IF($CW12="P",CC12,(CC12+AZ12)/2)</f>
        <v>0</v>
      </c>
      <c r="QH12" s="42">
        <f>IF($CW12="P",CD12,(CD12+BA12)/2)</f>
        <v>0</v>
      </c>
      <c r="QI12" s="42">
        <f>IF($CW12="P",CE12,(CE12+BB12)/2)</f>
        <v>0</v>
      </c>
      <c r="QJ12" s="42">
        <f>IF($CW12="P",CF12,(CF12+BC12)/2)</f>
        <v>0</v>
      </c>
      <c r="QK12" s="42">
        <f>IF($CW12="P",CG12,(CG12+BD12)/2)</f>
        <v>0</v>
      </c>
      <c r="QL12" s="42">
        <f>IF($CW12="P",CH12,(CH12+BE12)/2)</f>
        <v>0</v>
      </c>
      <c r="QM12" s="42">
        <f>IF($CW12="P",CI12,(CI12+BF12)/2)</f>
        <v>0</v>
      </c>
      <c r="QN12" s="42">
        <f>IF($CW12="P",CJ12,(CJ12+BG12)/2)</f>
        <v>0</v>
      </c>
      <c r="QO12" s="42">
        <f>IF($CW12="P",CK12,(CK12+BH12)/2)</f>
        <v>0</v>
      </c>
      <c r="QP12" s="42">
        <f>IF($CW12="P",CL12,(CL12+BI12)/2)</f>
        <v>0</v>
      </c>
      <c r="QQ12" s="42">
        <f>IF($CW12="P",CM12,(CM12+BJ12)/2)</f>
        <v>0</v>
      </c>
      <c r="QR12" s="42">
        <f>IF($CW12="P",CN12,(CN12+BK12)/2)</f>
        <v>0</v>
      </c>
      <c r="QS12" s="42">
        <f>IF($CW12="P",CO12,(CO12+BL12)/2)</f>
        <v>0</v>
      </c>
      <c r="QT12" s="42">
        <f>IF($CW12="P",CP12,(CP12+BM12)/2)</f>
        <v>0</v>
      </c>
      <c r="QU12" s="42">
        <f>IF($CW12="P",CQ12,(CQ12+BN12)/2)</f>
        <v>0</v>
      </c>
      <c r="QV12" s="42">
        <f>IF($CW12="P",CR12,(CR12+BO12)/2)</f>
        <v>0</v>
      </c>
      <c r="QW12" s="42">
        <f>IF($CW12="P",CS12,(CS12+BP12)/2)</f>
        <v>0</v>
      </c>
      <c r="QX12" s="42">
        <f>IF($CW12="P",CT12,(CT12+BQ12)/2)</f>
        <v>0</v>
      </c>
      <c r="QY12" s="42">
        <f>IF($CW12="P",CU12,(CU12+BR12)/2)</f>
        <v>0</v>
      </c>
      <c r="QZ12" s="42">
        <f>IF($CW12="P",CV12,(CV12+BS12)/2)</f>
        <v>0</v>
      </c>
      <c r="RA12" s="51" t="s">
        <v>61</v>
      </c>
      <c r="RB12" s="76" t="str">
        <f>IF(SUM(QH12,QL12)&gt;0,SUM(QH12,QL12),"")</f>
        <v/>
      </c>
      <c r="RC12" s="76" t="str">
        <f>IF(SUM(QG12:QH12,QJ12:QL12,QN12)-QI12-QM12&gt;0,SUM(QG12:QH12,QJ12:QL12,QN12)-QI12-QM12,"")</f>
        <v/>
      </c>
      <c r="RD12" s="76" t="str">
        <f>IF(SUM(QO12:QP12,QR12)-QQ12&gt;0,SUM(QO12:QP12,QR12)-QQ12,"")</f>
        <v/>
      </c>
      <c r="RE12" s="76" t="str">
        <f>IF(SUM(QH12,QL12,QP12)&gt;0,SUM(QH12,QL12,QP12),"")</f>
        <v/>
      </c>
      <c r="RF12" s="76" t="str">
        <f>IF(SUM(RC12,RD12)&gt;0,SUM(RC12,RD12),"")</f>
        <v/>
      </c>
      <c r="RG12" s="76" t="str">
        <f>IF(SUM(QT12,QX12)&gt;0,SUM(QT12,QX12),"")</f>
        <v/>
      </c>
      <c r="RH12" s="76" t="str">
        <f>IF(SUM(QS12:QT12,QV12:QX12,QZ12)-SUM(QU12,QY12)&gt;0,SUM(QS12:QT12,QV12:QX12,QZ12)-SUM(QU12,QY12),"")</f>
        <v/>
      </c>
      <c r="RI12" s="76" t="str">
        <f>IF(SUM(RC12,RH12)&gt;0,SUM(RC12,RH12),"")</f>
        <v/>
      </c>
    </row>
    <row r="13" spans="1:477" x14ac:dyDescent="0.2">
      <c r="A13" s="5" t="str">
        <f>IF(AND(F13="P",G13="P"),SUMPRODUCT((F$4:F$15="P")*(G$4:G$15="P")*(E$4:E$15&gt;E13))+1,IF(G13="P",SUMPRODUCT((F$4:F$15="")*(G$4:G$15="P")*(E$4:E$15&gt;E13))+1+SUMPRODUCT((F$4:F$15="P")*(G$4:G$15="P")),""))</f>
        <v/>
      </c>
      <c r="B13" s="6" t="s">
        <v>171</v>
      </c>
      <c r="C13" s="7" t="s">
        <v>43</v>
      </c>
      <c r="D13" s="18">
        <v>2000</v>
      </c>
      <c r="E13" s="14">
        <f>SUM(J13:T13)+SUM(J13:P13)*0.0000001+SUM(J13)*0.0000000000001</f>
        <v>118.20000708000472</v>
      </c>
      <c r="F13" s="3" t="str">
        <f>IF(OR(AND(AR13&gt;=AY$17,AS13&gt;=AY$21,AR13&lt;&gt;"",AQ13=""),AND(AW13&gt;=AY$17,AX13&gt;=AY$21,AW13&lt;&gt;"",AQ13=""),AND(BU13&gt;=CB$17,BV13&gt;=CB$21,BU13&lt;&gt;"",BT13=""),AND(BZ13&gt;=CB$17,CA13&gt;=CB$21,BZ13&lt;&gt;"",BT13=""),AND(CX13&gt;=DE$17,CY13&gt;=DE$21,CX13&lt;&gt;"",CW13=""),AND(DC13&gt;=DE$17,DD13&gt;=DE$21,DC13&lt;&gt;""),AND(EC13&gt;=EJ$17,ED13&gt;=EJ$21,EC13&lt;&gt;""),AND(EH13&gt;=EJ$17,EI13&gt;=EJ$21,EH13&lt;&gt;""),AND(FE13&gt;=FL$17,FF13&gt;=FL$21,FE13&lt;&gt;""),AND(FJ13&gt;=FL$17,FK13&gt;=FL$21,FJ13&lt;&gt;""),AND(GG13&gt;=GN$17,GH13&gt;=GN$21,GG13&lt;&gt;""),AND(GL13&gt;=GN$17,GM13&gt;=GN$21,GL13&lt;&gt;""),AND(HI13&gt;=HP$17,HJ13&gt;=HP$21,HI13&lt;&gt;""),AND(HN13&gt;=HP$17,HO13&gt;=HP$21,HN13&lt;&gt;""),AND(IK13&gt;=IR$17,IL13&gt;=IR$21,IK13&lt;&gt;""),AND(IP13&gt;=IR$17,IQ13&gt;=IR$21,IP13&lt;&gt;""),AND(JM13&gt;=JT$17,JN13&gt;=JT$21,JM13&lt;&gt;""),AND(JR13&gt;=JT$17,JS13&gt;=JT$21,JR13&lt;&gt;""),AND(KO13&gt;=KV$17,KP13&gt;=KV$21,KO13&lt;&gt;""),AND(KT13&gt;=KV$17,KU13&gt;=KV$21,KT13&lt;&gt;""),AND(LQ13&gt;=LX$17,LR13&gt;=LX$21,LQ13&lt;&gt;""),AND(LV13&gt;=LX$17,LW13&gt;=LX$21,LV13&lt;&gt;""),AND(MS13&gt;=MZ$17,MT13&gt;=MZ$21,MS13&lt;&gt;""),AND(MX13&gt;=MZ$17,MY13&gt;=MZ$21,MX13&lt;&gt;""),AND(NU13&gt;=OB$17,NV13&gt;=OB$21,NU13&lt;&gt;""),AND(NZ13&gt;=OB$17,OA13&gt;=OB$21,NZ13&lt;&gt;""),AND(OW13&gt;=PD$17,OX13&gt;=PD$21,OW13&lt;&gt;""),AND(PB13&gt;=PD$17,PC13&gt;=PD$21,PB13&lt;&gt;""),AND(PY13&gt;=QF$17,PZ13&gt;=QF$21,PY13&lt;&gt;""),AND(QD13&gt;=QF$17,QE13&gt;=QF$21,QD13&lt;&gt;"")),"P","")</f>
        <v/>
      </c>
      <c r="G13" s="3" t="str">
        <f>IF(OR(AND(AS13&gt;=AY$21,AS13&lt;&gt;"",AQ13=""),AND(AX13&gt;=AY$21,AX13&lt;&gt;"",AQ13=""),AND(BV13&gt;=CB$21,BV13&lt;&gt;"",BT13=""),AND(CA13&gt;=CB$21,CA13&lt;&gt;"",BT13=""),AND(CY13&gt;=DE$21,CY13&lt;&gt;"",CW13=""),AND(DD13&gt;=DE$21,DD13&lt;&gt;"",CW13=""),AND(ED13&gt;=EJ$21,ED13&lt;&gt;""),AND(EI13&gt;=EJ$21,EI13&lt;&gt;""),AND(FF13&gt;=FL$21,FF13&lt;&gt;""),AND(FK13&gt;=FL$21,FK13&lt;&gt;""),AND(GH13&gt;=GN$21,GH13&lt;&gt;""),AND(GM13&gt;=GN$21,GM13&lt;&gt;""),AND(HJ13&gt;=HP$21,HJ13&lt;&gt;""),AND(HO13&gt;=HP$21,HO13&lt;&gt;""),AND(IL13&gt;=IR$21,IL13&lt;&gt;""),AND(IQ13&gt;=IR$21,IQ13&lt;&gt;""),AND(JN13&gt;=JT$21,JN13&lt;&gt;""),AND(JS13&gt;=JT$21,JS13&lt;&gt;""),AND(KP13&gt;=KV$21,KP13&lt;&gt;""),AND(KU13&gt;=KV$21,KU13&lt;&gt;""),AND(LR13&gt;=LX$21,LR13&lt;&gt;""),AND(LW13&gt;=LX$21,LW13&lt;&gt;""),AND(MT13&gt;=MZ$21,MT13&lt;&gt;""),AND(MY13&gt;=MZ$21,MY13&lt;&gt;""),AND(NV13&gt;=OB$21,NV13&lt;&gt;""),AND(OA13&gt;=OB$21,OA13&lt;&gt;""),AND(OX13&gt;=PD$21,OX13&lt;&gt;""),AND(PC13&gt;=PD$21,PC13&lt;&gt;""),AND(PZ13&gt;=QF$21,PZ13&lt;&gt;""),AND(QE13&gt;=QF$21,QE13&lt;&gt;"")),"P","")</f>
        <v/>
      </c>
      <c r="H13" s="70" t="str">
        <f>IF(AND(G13="P",F13=""),"No DD",IF(OR(AND(AU13&gt;=AY$20,AV13&gt;=AY$24,AU13&lt;&gt;"",AQ13=""),AND(BX13&gt;=CB$20,BY13&gt;=CB$24,BX13&lt;&gt;"",BT13=""),AND(DA13&gt;=DE$20,DB13&gt;=DE$24,DA13&lt;&gt;"",CW13=""),AND(EF13&gt;=EJ$20,EG13&gt;=EJ$24,EF13&lt;&gt;""),AND(FH13&gt;=FL$20,FI13&gt;=FL$24,FH13&lt;&gt;""),AND(GJ13&gt;=GN$20,GK13&gt;=GN$24,GJ13&lt;&gt;""),AND(HL13&gt;=HP$20,HM13&gt;=HP$24,HL13&lt;&gt;""),AND(IN13&gt;=IR$20,IO13&gt;=IR$24,IN13&lt;&gt;""),AND(JP13&gt;=JT$20,JQ13&gt;=JT$24,JP13&lt;&gt;""),AND(KR13&gt;=KV$20,KS13&gt;=KV$24,KR13&lt;&gt;""),AND(LT13&gt;=LX$20,LU13&gt;=LX$24,LT13&lt;&gt;""),AND(MV13&gt;=MZ$20,MW13&gt;=MZ$24,MV13&lt;&gt;""),AND(NX13&gt;=OB$20,NY13&gt;=OB$24,NX13&lt;&gt;""),AND(OZ13&gt;=PD$20,PA13&gt;=PD$24,OZ13&lt;&gt;""),AND(QB13&gt;=QF$20,QC13&gt;=QF$24,QB13&lt;&gt;"")),"Merit",IF(OR(AND(AU13&gt;=AY$19,AV13&gt;=AY$23,AU13&lt;&gt;"",AQ13=""),AND(BX13&gt;=CB$19,BY13&gt;=CB$23,BX13&lt;&gt;"",BT13=""),AND(DA13&gt;=DE$19,DB13&gt;=DE$23,DA13&lt;&gt;"",CW13=""),AND(EF13&gt;=EJ$19,EG13&gt;=EJ$23,EF13&lt;&gt;""),AND(FH13&gt;=FL$19,FI13&gt;=FL$23,FH13&lt;&gt;""),AND(GJ13&gt;=GN$19,GK13&gt;=GN$23,GJ13&lt;&gt;""),AND(HL13&gt;=HP$19,HM13&gt;=HP$23,HL13&lt;&gt;""),AND(IN13&gt;=IR$19,IO13&gt;=IR$23,IN13&lt;&gt;""),AND(JP13&gt;=JT$19,JQ13&gt;=JT$23,JP13&lt;&gt;""),AND(KR13&gt;=KV$19,KS13&gt;=KV$23,KR13&lt;&gt;""),AND(LT13&gt;=LX$19,LU13&gt;=LX$23,LT13&lt;&gt;""),AND(MV13&gt;=MZ$19,MW13&gt;=MZ$23,MV13&lt;&gt;""),AND(NX13&gt;=OB$19,NY13&gt;=OB$23,NX13&lt;&gt;""),AND(OZ13&gt;=PD$19,PA13&gt;=PD$23,OZ13&lt;&gt;""),AND(QB13&gt;=QF$19,QC13&gt;=QF$23,QB13&lt;&gt;"")),"Excellence",IF(I13="P","Worlds Team",IF(F13="P","National Team","")))))</f>
        <v/>
      </c>
      <c r="I13" s="3" t="str">
        <f>IF(OR(AND(AU13&gt;=AY$18,AV13&gt;=AY$22,AU13&lt;&gt;"",AQ13=""),AND(BX13&gt;=CB$18,BY13&gt;=CB$22,BX13&lt;&gt;"",BT13=""),AND(DA13&gt;=DE$18,DB13&gt;=DE$22,DA13&lt;&gt;"",CW13=""),AND(EF13&gt;=EJ$18,EG13&gt;=EJ$22,EF13&lt;&gt;""),AND(FH13&gt;=FL$18,FI13&gt;=FL$22,FH13&lt;&gt;""),AND(GJ13&gt;=GN$18,GK13&gt;=GN$22,GJ13&lt;&gt;""),AND(HL13&gt;=HP$18,HM13&gt;=HP$22,HL13&lt;&gt;""),AND(IN13&gt;=IR$18,IO13&gt;=IR$22,IN13&lt;&gt;""),AND(JP13&gt;=JT$18,JQ13&gt;=JT$22,JP13&lt;&gt;""),AND(KR13&gt;=KV$18,KS13&gt;=KV$22,KR13&lt;&gt;""),AND(LT13&gt;=LX$18,LU13&gt;=LX$22,LT13&lt;&gt;""),AND(MV13&gt;=MZ$18,MW13&gt;=MZ$22,MV13&lt;&gt;""),AND(NX13&gt;=OB$18,NY13&gt;=OB$22,NX13&lt;&gt;""),AND(OZ13&gt;=PD$18,PA13&gt;=PD$22,OZ13&lt;&gt;""),AND(QB13&gt;=QF$18,QC13&gt;=QF$22,QB13&lt;&gt;"")),"P","")</f>
        <v/>
      </c>
      <c r="J13" s="13">
        <f>IF(COUNT(AS13,BV13,CY13)&gt;0,LARGE((AS13,BV13,CY13),1),0)</f>
        <v>47.3</v>
      </c>
      <c r="K13" s="13" t="str">
        <f>IF(J13=0,"",IF(J13=CY13,$CC$1,IF(J13=BV13,$AZ$1,IF(J13=AS13,$W$1,""))))</f>
        <v>2022 Elite Canada</v>
      </c>
      <c r="L13" s="13">
        <f>IF(COUNT(AS13,BV13,CY13)&gt;1,LARGE((AS13,BV13,CY13),2),0)</f>
        <v>0</v>
      </c>
      <c r="M13" s="13" t="str">
        <f>IF(L13=0,"",IF(L13=CY13,$CC$1,IF(L13=BV13,$AZ$1,IF(L13=AS13,$W$1,""))))</f>
        <v/>
      </c>
      <c r="N13" s="13">
        <f>IF(COUNT(AT13,BW13,CZ13)&gt;0,LARGE((AT13,BW13,CZ13),1),0)</f>
        <v>23.5</v>
      </c>
      <c r="O13" s="13" t="str">
        <f>IF(N13=0,"",IF(N13=CZ13,$CC$1,IF(N13=BW13,$AZ$1,IF(N13=AT13,$W$1,""))))</f>
        <v>2022 Elite Canada</v>
      </c>
      <c r="P13" s="13">
        <f>IF(COUNT(AT13,BW13,CZ13)&gt;1,LARGE((AT13,BW13,CZ13),2),0)</f>
        <v>0</v>
      </c>
      <c r="Q13" s="13" t="str">
        <f>IF(P13=0,"",IF(P13=CZ13,$CC$1,IF(P13=BW13,$AZ$1,IF(P13=AT13,$W$1,""))))</f>
        <v/>
      </c>
      <c r="R13" s="13">
        <f>IF(MAX(AX13,CA13,DD13)&gt;0,MAX(AX13,CA13,DD13),0)</f>
        <v>47.4</v>
      </c>
      <c r="S13" s="13" t="str">
        <f>IF(R13=0,"",IF(R13=DD13,$CC$1,IF(R13=CA13,$AZ$1,IF(R13=AX13,$W$1,""))))</f>
        <v>2022 Elite Canada</v>
      </c>
      <c r="T13" s="13" t="str">
        <f>IF(MAX(DF13:DH13)&gt;0,MAX(DF13:DH13),"")</f>
        <v/>
      </c>
      <c r="U13" s="16" t="str">
        <f>IF(T13="","",IF(T13=DF13,"("&amp;DF$2&amp;")",IF(T13=DH13,"("&amp;DH$2&amp;")")))</f>
        <v/>
      </c>
      <c r="V13" s="13" t="str">
        <f>IF(T13="","",IF(T13=DF13,IF(T13+IF(L13="",0,L13)=PZ13,$PE$1,IF(T13+IF(L13="",0,L13)=OX13,$OC$1,IF(T13+IF(L13="",0,L13)=NV13,$NA$1,IF(T13+IF(L13="",0,L13)=MT13,$LY$1,IF(T13+IF(L13="",0,L13)=LR13,$KW$1,IF(T13+IF(L13="",0,L13)=KP13,$JU$1,IF(T13+IF(L13="",0,L13)=JN13,$IS$1,IF(T13+IF(L13="",0,L13)=IL13,$HQ$1,IF(T13+IF(L13="",0,L13)=HJ13,$GO$1,IF(T13+IF(L13="",0,L13)=GH13,$FM$1,IF(T13+IF(L13="",0,L13)=FF13,$EK$1,IF(T13+IF(L13="",0,L13)=ED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</f>
        <v/>
      </c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51"/>
      <c r="AR13" s="76" t="str">
        <f>IF(SUM(X13,AB13)&gt;0,SUM(X13,AB13),"")</f>
        <v/>
      </c>
      <c r="AS13" s="76" t="str">
        <f>IF(SUM(W13:X13,Z13:AB13,AD13)-Y13-AC13&gt;0,SUM(W13:X13,Z13:AB13,AD13)-Y13-AC13,"")</f>
        <v/>
      </c>
      <c r="AT13" s="76" t="str">
        <f>IF(SUM(AE13:AF13,AH13)-AG13&gt;0,SUM(AE13:AF13,AH13)-AG13,"")</f>
        <v/>
      </c>
      <c r="AU13" s="76" t="str">
        <f>IF(SUM(X13,AB13,AF13)&gt;0,SUM(X13,AB13,AF13),"")</f>
        <v/>
      </c>
      <c r="AV13" s="76" t="str">
        <f>IF(SUM(AS13,AT13)&gt;0,SUM(AS13,AT13),"")</f>
        <v/>
      </c>
      <c r="AW13" s="76" t="str">
        <f>IF(SUM(AJ13,AN13)&gt;0,SUM(AJ13,AN13),"")</f>
        <v/>
      </c>
      <c r="AX13" s="76" t="str">
        <f>IF(SUM(AI13:AJ13,AL13:AN13,AP13)-SUM(AK13,AO13)&gt;0,SUM(AI13:AJ13,AL13:AN13,AP13)-SUM(AK13,AO13),"")</f>
        <v/>
      </c>
      <c r="AY13" s="76" t="str">
        <f>IF(SUM(AS13,AX13)&gt;0,SUM(AS13,AX13),"")</f>
        <v/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52"/>
      <c r="BU13" s="16" t="str">
        <f>IF(SUM(BA13,BE13)&gt;0,SUM(BA13,BE13),"")</f>
        <v/>
      </c>
      <c r="BV13" s="16" t="str">
        <f>IF(SUM(AZ13:BA13,BC13:BE13,BG13)-BB13-BF13&gt;0,SUM(AZ13:BA13,BC13:BE13,BG13)-BB13-BF13,"")</f>
        <v/>
      </c>
      <c r="BW13" s="16" t="str">
        <f>IF(SUM(BH13:BI13,BK13)-BJ13&gt;0,SUM(BH13:BI13,BK13)-BJ13,"")</f>
        <v/>
      </c>
      <c r="BX13" s="16" t="str">
        <f>IF(SUM(BA13,BE13,BI13)&gt;0,SUM(BA13,BE13,BI13),"")</f>
        <v/>
      </c>
      <c r="BY13" s="16" t="str">
        <f>IF(SUM(BV13,BW13)&gt;0,SUM(BV13,BW13),"")</f>
        <v/>
      </c>
      <c r="BZ13" s="16" t="str">
        <f>IF(SUM(BM13,BQ13)&gt;0,SUM(BM13,BQ13),"")</f>
        <v/>
      </c>
      <c r="CA13" s="16" t="str">
        <f>IF(SUM(BL13:BM13,BO13:BQ13,BS13)-SUM(BN13,BR13)&gt;0,SUM(BL13:BM13,BO13:BQ13,BS13)-SUM(BN13,BR13),"")</f>
        <v/>
      </c>
      <c r="CB13" s="16" t="str">
        <f>IF(SUM(BV13,CA13)&gt;0,SUM(BV13,CA13),"")</f>
        <v/>
      </c>
      <c r="CC13" s="27">
        <v>18.5</v>
      </c>
      <c r="CD13" s="27">
        <v>5.2</v>
      </c>
      <c r="CE13" s="27">
        <v>0</v>
      </c>
      <c r="CF13" s="27">
        <v>0</v>
      </c>
      <c r="CG13" s="27">
        <v>18.600000000000001</v>
      </c>
      <c r="CH13" s="27">
        <v>5.6</v>
      </c>
      <c r="CI13" s="27">
        <v>0.6</v>
      </c>
      <c r="CJ13" s="27">
        <v>0</v>
      </c>
      <c r="CK13" s="27">
        <v>18.2</v>
      </c>
      <c r="CL13" s="27">
        <v>5.2</v>
      </c>
      <c r="CM13" s="27">
        <v>0.2</v>
      </c>
      <c r="CN13" s="27">
        <v>0.3</v>
      </c>
      <c r="CO13" s="27">
        <v>18.399999999999999</v>
      </c>
      <c r="CP13" s="27">
        <v>5.2</v>
      </c>
      <c r="CQ13" s="27">
        <v>0.6</v>
      </c>
      <c r="CR13" s="27">
        <v>0</v>
      </c>
      <c r="CS13" s="27">
        <v>19</v>
      </c>
      <c r="CT13" s="27">
        <v>5.6</v>
      </c>
      <c r="CU13" s="27">
        <v>0.2</v>
      </c>
      <c r="CV13" s="27">
        <v>0</v>
      </c>
      <c r="CW13" s="51"/>
      <c r="CX13" s="76">
        <f>IF(SUM(CD13,CH13)&gt;0,SUM(CD13,CH13),"")</f>
        <v>10.8</v>
      </c>
      <c r="CY13" s="76">
        <f>IF(SUM(CC13:CD13,CF13:CH13,CJ13)-CE13-CI13&gt;0,SUM(CC13:CD13,CF13:CH13,CJ13)-CE13-CI13,"")</f>
        <v>47.3</v>
      </c>
      <c r="CZ13" s="76">
        <f>IF(SUM(CK13:CL13,CN13)-CM13&gt;0,SUM(CK13:CL13,CN13)-CM13,"")</f>
        <v>23.5</v>
      </c>
      <c r="DA13" s="76">
        <f>IF(SUM(CD13,CH13,CL13)&gt;0,SUM(CD13,CH13,CL13),"")</f>
        <v>16</v>
      </c>
      <c r="DB13" s="76">
        <f>IF(SUM(CY13,CZ13)&gt;0,SUM(CY13,CZ13),"")</f>
        <v>70.8</v>
      </c>
      <c r="DC13" s="76">
        <f>IF(SUM(CP13,CT13)&gt;0,SUM(CP13,CT13),"")</f>
        <v>10.8</v>
      </c>
      <c r="DD13" s="76">
        <f>IF(SUM(CO13:CP13,CR13:CT13,CV13)-SUM(CQ13,CU13)&gt;0,SUM(CO13:CP13,CR13:CT13,CV13)-SUM(CQ13,CU13),"")</f>
        <v>47.4</v>
      </c>
      <c r="DE13" s="76">
        <f>IF(SUM(CY13,DD13)&gt;0,SUM(CY13,DD13),"")</f>
        <v>94.699999999999989</v>
      </c>
      <c r="DF13" s="87" t="str">
        <f>IF(L13&gt;=0.001,IF(MAX(ED13,FF13,GH13,HJ13,IL13,JN13,KP13,LR13,MT13,NV13,OX13,PZ13)-IF(L13="",0,L13)&gt;0.001,MAX(ED13,FF13,GH13,HJ13,IL13,JN13,KP13,LR13,MT13,NV13,OX13,PZ13)-IF(L13="",0,L13),""),"")</f>
        <v/>
      </c>
      <c r="DG13" s="87" t="str">
        <f>IF(P13&gt;=0.001,IF(MAX(EE13,FG13,GI13,HK13,IM13,JO13,KQ13,LS13,MU13,NW13,OY13,QA13)-IF(P13="",0,P13)&gt;0.001,MAX(EE13,FG13,GI13,HK13,IM13,JO13,KQ13,LS13,MU13,NW13,OY13,QA13)-IF(P13="",0,P13),""),"")</f>
        <v/>
      </c>
      <c r="DH13" s="87" t="str">
        <f>IF(R13&gt;=0.001,IF(MAX(EI13,FK13,GM13,HO13,IQ13,JS13,KU13,LW13,MY13,OA13,PC13,QE13)-IF(R13="",0,R13)&gt;0.001,MAX(EI13,FK13,GM13,HO13,IQ13,JS13,KU13,LW13,MY13,OA13,PC13,QE13)-IF(R13="",0,R13),""),"")</f>
        <v/>
      </c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76" t="str">
        <f>IF(SUM(DJ13,DN13)&gt;0,SUM(DJ13,DN13),"")</f>
        <v/>
      </c>
      <c r="ED13" s="76" t="str">
        <f>IF(SUM(DI13:DJ13,DL13:DN13,DP13)-DK13-DO13&gt;0,SUM(DI13:DJ13,DL13:DN13,DP13)-DK13-DO13,"")</f>
        <v/>
      </c>
      <c r="EE13" s="76" t="str">
        <f>IF(SUM(DQ13:DR13,DT13)-DS13&gt;0,SUM(DQ13:DR13,DT13)-DS13,"")</f>
        <v/>
      </c>
      <c r="EF13" s="76" t="str">
        <f>IF(SUM(DJ13,DN13,DR13)&gt;0,SUM(DJ13,DN13,DR13),"")</f>
        <v/>
      </c>
      <c r="EG13" s="76" t="str">
        <f>IF(SUM(ED13,EE13)&gt;0,SUM(ED13,EE13),"")</f>
        <v/>
      </c>
      <c r="EH13" s="76" t="str">
        <f>IF(SUM(DV13,DZ13)&gt;0,SUM(DV13,DZ13),"")</f>
        <v/>
      </c>
      <c r="EI13" s="76" t="str">
        <f>IF(SUM(DU13:DV13,DX13:DZ13,EB13)-SUM(DW13,EA13)&gt;0,SUM(DU13:DV13,DX13:DZ13,EB13)-SUM(DW13,EA13),"")</f>
        <v/>
      </c>
      <c r="EJ13" s="76" t="str">
        <f>IF(SUM(ED13,EI13)&gt;0,SUM(ED13,EI13),"")</f>
        <v/>
      </c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16" t="str">
        <f>IF(SUM(EL13,EP13)&gt;0,SUM(EL13,EP13),"")</f>
        <v/>
      </c>
      <c r="FF13" s="16" t="str">
        <f>IF(SUM(EK13:EL13,EN13:EP13,ER13)-EM13-EQ13&gt;0,SUM(EK13:EL13,EN13:EP13,ER13)-EM13-EQ13,"")</f>
        <v/>
      </c>
      <c r="FG13" s="16" t="str">
        <f>IF(SUM(ES13:ET13,EV13)-EU13&gt;0,SUM(ES13:ET13,EV13)-EU13,"")</f>
        <v/>
      </c>
      <c r="FH13" s="16" t="str">
        <f>IF(SUM(EL13,EP13,ET13)&gt;0,SUM(EL13,EP13,ET13),"")</f>
        <v/>
      </c>
      <c r="FI13" s="16" t="str">
        <f>IF(SUM(FF13,FG13)&gt;0,SUM(FF13,FG13),"")</f>
        <v/>
      </c>
      <c r="FJ13" s="16" t="str">
        <f>IF(SUM(EX13,FB13)&gt;0,SUM(EX13,FB13),"")</f>
        <v/>
      </c>
      <c r="FK13" s="16" t="str">
        <f>IF(SUM(EW13:EX13,EZ13:FB13,FD13)-SUM(EY13,FC13)&gt;0,SUM(EW13:EX13,EZ13:FB13,FD13)-SUM(EY13,FC13),"")</f>
        <v/>
      </c>
      <c r="FL13" s="16" t="str">
        <f>IF(SUM(FF13,FK13)&gt;0,SUM(FF13,FK13),"")</f>
        <v/>
      </c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76" t="str">
        <f>IF(SUM(FN13,FR13)&gt;0,SUM(FN13,FR13),"")</f>
        <v/>
      </c>
      <c r="GH13" s="76" t="str">
        <f>IF(SUM(FM13:FN13,FP13:FR13,FT13)-FO13-FS13&gt;0,SUM(FM13:FN13,FP13:FR13,FT13)-FO13-FS13,"")</f>
        <v/>
      </c>
      <c r="GI13" s="76" t="str">
        <f>IF(SUM(FU13:FV13,FX13)-FW13&gt;0,SUM(FU13:FV13,FX13)-FW13,"")</f>
        <v/>
      </c>
      <c r="GJ13" s="76" t="str">
        <f>IF(SUM(FN13,FR13,FV13)&gt;0,SUM(FN13,FR13,FV13),"")</f>
        <v/>
      </c>
      <c r="GK13" s="76" t="str">
        <f>IF(SUM(GH13,GI13)&gt;0,SUM(GH13,GI13),"")</f>
        <v/>
      </c>
      <c r="GL13" s="76" t="str">
        <f>IF(SUM(FZ13,GD13)&gt;0,SUM(FZ13,GD13),"")</f>
        <v/>
      </c>
      <c r="GM13" s="76" t="str">
        <f>IF(SUM(FY13:FZ13,GB13:GD13,GF13)-SUM(GA13,GE13)&gt;0,SUM(FY13:FZ13,GB13:GD13,GF13)-SUM(GA13,GE13),"")</f>
        <v/>
      </c>
      <c r="GN13" s="76" t="str">
        <f>IF(SUM(GH13,GM13)&gt;0,SUM(GH13,GM13),"")</f>
        <v/>
      </c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16" t="str">
        <f>IF(SUM(GP13,GT13)&gt;0,SUM(GP13,GT13),"")</f>
        <v/>
      </c>
      <c r="HJ13" s="16" t="str">
        <f>IF(SUM(GO13:GP13,GR13:GT13,GV13)-GQ13-GU13&gt;0,SUM(GO13:GP13,GR13:GT13,GV13)-GQ13-GU13,"")</f>
        <v/>
      </c>
      <c r="HK13" s="16" t="str">
        <f>IF(SUM(GW13:GX13,GZ13)-GY13&gt;0,SUM(GW13:GX13,GZ13)-GY13,"")</f>
        <v/>
      </c>
      <c r="HL13" s="16" t="str">
        <f>IF(SUM(GP13,GT13,GX13)&gt;0,SUM(GP13,GT13,GX13),"")</f>
        <v/>
      </c>
      <c r="HM13" s="16" t="str">
        <f>IF(SUM(HJ13,HK13)&gt;0,SUM(HJ13,HK13),"")</f>
        <v/>
      </c>
      <c r="HN13" s="16" t="str">
        <f>IF(SUM(HB13,HF13)&gt;0,SUM(HB13,HF13),"")</f>
        <v/>
      </c>
      <c r="HO13" s="16" t="str">
        <f>IF(SUM(HA13:HB13,HD13:HF13,HH13)-SUM(HC13,HG13)&gt;0,SUM(HA13:HB13,HD13:HF13,HH13)-SUM(HC13,HG13),"")</f>
        <v/>
      </c>
      <c r="HP13" s="16" t="str">
        <f>IF(SUM(HJ13,HO13)&gt;0,SUM(HJ13,HO13),"")</f>
        <v/>
      </c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76" t="str">
        <f>IF(SUM(HR13,HV13)&gt;0,SUM(HR13,HV13),"")</f>
        <v/>
      </c>
      <c r="IL13" s="76" t="str">
        <f>IF(SUM(HQ13:HR13,HT13:HV13,HX13)-HS13-HW13&gt;0,SUM(HQ13:HR13,HT13:HV13,HX13)-HS13-HW13,"")</f>
        <v/>
      </c>
      <c r="IM13" s="76" t="str">
        <f>IF(SUM(HY13:HZ13,IB13)-IA13&gt;0,SUM(HY13:HZ13,IB13)-IA13,"")</f>
        <v/>
      </c>
      <c r="IN13" s="76" t="str">
        <f>IF(SUM(HR13,HV13,HZ13)&gt;0,SUM(HR13,HV13,HZ13),"")</f>
        <v/>
      </c>
      <c r="IO13" s="76" t="str">
        <f>IF(SUM(IL13,IM13)&gt;0,SUM(IL13,IM13),"")</f>
        <v/>
      </c>
      <c r="IP13" s="76" t="str">
        <f>IF(SUM(ID13,IH13)&gt;0,SUM(ID13,IH13),"")</f>
        <v/>
      </c>
      <c r="IQ13" s="76" t="str">
        <f>IF(SUM(IC13:ID13,IF13:IH13,IJ13)-SUM(IE13,II13)&gt;0,SUM(IC13:ID13,IF13:IH13,IJ13)-SUM(IE13,II13),"")</f>
        <v/>
      </c>
      <c r="IR13" s="76" t="str">
        <f>IF(SUM(IL13,IQ13)&gt;0,SUM(IL13,IQ13),"")</f>
        <v/>
      </c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16" t="str">
        <f>IF(SUM(IT13,IX13)&gt;0,SUM(IT13,IX13),"")</f>
        <v/>
      </c>
      <c r="JN13" s="16" t="str">
        <f>IF(SUM(IS13:IT13,IV13:IX13,IZ13)-IU13-IY13&gt;0,SUM(IS13:IT13,IV13:IX13,IZ13)-IU13-IY13,"")</f>
        <v/>
      </c>
      <c r="JO13" s="16" t="str">
        <f>IF(SUM(JA13:JB13,JD13)-JC13&gt;0,SUM(JA13:JB13,JD13)-JC13,"")</f>
        <v/>
      </c>
      <c r="JP13" s="16" t="str">
        <f>IF(SUM(IT13,IX13,JB13)&gt;0,SUM(IT13,IX13,JB13),"")</f>
        <v/>
      </c>
      <c r="JQ13" s="16" t="str">
        <f>IF(SUM(JN13,JO13)&gt;0,SUM(JN13,JO13),"")</f>
        <v/>
      </c>
      <c r="JR13" s="16" t="str">
        <f>IF(SUM(JF13,JJ13)&gt;0,SUM(JF13,JJ13),"")</f>
        <v/>
      </c>
      <c r="JS13" s="16" t="str">
        <f>IF(SUM(JE13:JF13,JH13:JJ13,JL13)-SUM(JG13,JK13)&gt;0,SUM(JE13:JF13,JH13:JJ13,JL13)-SUM(JG13,JK13),"")</f>
        <v/>
      </c>
      <c r="JT13" s="16" t="str">
        <f>IF(SUM(JN13,JS13)&gt;0,SUM(JN13,JS13),"")</f>
        <v/>
      </c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76" t="str">
        <f>IF(SUM(JV13,JZ13)&gt;0,SUM(JV13,JZ13),"")</f>
        <v/>
      </c>
      <c r="KP13" s="76" t="str">
        <f>IF(SUM(JU13:JV13,JX13:JZ13,KB13)-JW13-KA13&gt;0,SUM(JU13:JV13,JX13:JZ13,KB13)-JW13-KA13,"")</f>
        <v/>
      </c>
      <c r="KQ13" s="76" t="str">
        <f>IF(SUM(KC13:KD13,KF13)-KE13&gt;0,SUM(KC13:KD13,KF13)-KE13,"")</f>
        <v/>
      </c>
      <c r="KR13" s="76" t="str">
        <f>IF(SUM(JV13,JZ13,KD13)&gt;0,SUM(JV13,JZ13,KD13),"")</f>
        <v/>
      </c>
      <c r="KS13" s="76" t="str">
        <f>IF(SUM(KP13,KQ13)&gt;0,SUM(KP13,KQ13),"")</f>
        <v/>
      </c>
      <c r="KT13" s="76" t="str">
        <f>IF(SUM(KH13,KL13)&gt;0,SUM(KH13,KL13),"")</f>
        <v/>
      </c>
      <c r="KU13" s="76" t="str">
        <f>IF(SUM(KG13:KH13,KJ13:KL13,KN13)-SUM(KI13,KM13)&gt;0,SUM(KG13:KH13,KJ13:KL13,KN13)-SUM(KI13,KM13),"")</f>
        <v/>
      </c>
      <c r="KV13" s="76" t="str">
        <f>IF(SUM(KP13,KU13)&gt;0,SUM(KP13,KU13),"")</f>
        <v/>
      </c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16" t="str">
        <f>IF(SUM(KX13,LB13)&gt;0,SUM(KX13,LB13),"")</f>
        <v/>
      </c>
      <c r="LR13" s="16" t="str">
        <f>IF(SUM(KW13:KX13,KZ13:LB13,LD13)-KY13-LC13&gt;0,SUM(KW13:KX13,KZ13:LB13,LD13)-KY13-LC13,"")</f>
        <v/>
      </c>
      <c r="LS13" s="16" t="str">
        <f>IF(SUM(LE13:LF13,LH13)-LG13&gt;0,SUM(LE13:LF13,LH13)-LG13,"")</f>
        <v/>
      </c>
      <c r="LT13" s="16" t="str">
        <f>IF(SUM(KX13,LB13,LF13)&gt;0,SUM(KX13,LB13,LF13),"")</f>
        <v/>
      </c>
      <c r="LU13" s="16" t="str">
        <f>IF(SUM(LR13,LS13)&gt;0,SUM(LR13,LS13),"")</f>
        <v/>
      </c>
      <c r="LV13" s="16" t="str">
        <f>IF(SUM(LJ13,LN13)&gt;0,SUM(LJ13,LN13),"")</f>
        <v/>
      </c>
      <c r="LW13" s="16" t="str">
        <f>IF(SUM(LI13:LJ13,LL13:LN13,LP13)-SUM(LK13,LO13)&gt;0,SUM(LI13:LJ13,LL13:LN13,LP13)-SUM(LK13,LO13),"")</f>
        <v/>
      </c>
      <c r="LX13" s="16" t="str">
        <f>IF(SUM(LR13,LW13)&gt;0,SUM(LR13,LW13),"")</f>
        <v/>
      </c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76" t="str">
        <f>IF(SUM(LZ13,MD13)&gt;0,SUM(LZ13,MD13),"")</f>
        <v/>
      </c>
      <c r="MT13" s="76" t="str">
        <f>IF(SUM(LY13:LZ13,MB13:MD13,MF13)-MA13-ME13&gt;0,SUM(LY13:LZ13,MB13:MD13,MF13)-MA13-ME13,"")</f>
        <v/>
      </c>
      <c r="MU13" s="76" t="str">
        <f>IF(SUM(MG13:MH13,MJ13)-MI13&gt;0,SUM(MG13:MH13,MJ13)-MI13,"")</f>
        <v/>
      </c>
      <c r="MV13" s="76" t="str">
        <f>IF(SUM(LZ13,MD13,MH13)&gt;0,SUM(LZ13,MD13,MH13),"")</f>
        <v/>
      </c>
      <c r="MW13" s="76" t="str">
        <f>IF(SUM(MT13,MU13)&gt;0,SUM(MT13,MU13),"")</f>
        <v/>
      </c>
      <c r="MX13" s="76" t="str">
        <f>IF(SUM(ML13,MP13)&gt;0,SUM(ML13,MP13),"")</f>
        <v/>
      </c>
      <c r="MY13" s="76" t="str">
        <f>IF(SUM(MK13:ML13,MN13:MP13,MR13)-SUM(MM13,MQ13)&gt;0,SUM(MK13:ML13,MN13:MP13,MR13)-SUM(MM13,MQ13),"")</f>
        <v/>
      </c>
      <c r="MZ13" s="76" t="str">
        <f>IF(SUM(MT13,MY13)&gt;0,SUM(MT13,MY13),"")</f>
        <v/>
      </c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16" t="str">
        <f>IF(SUM(NB13,NF13)&gt;0,SUM(NB13,NF13),"")</f>
        <v/>
      </c>
      <c r="NV13" s="16" t="str">
        <f>IF(SUM(NA13:NB13,ND13:NF13,NH13)-NC13-NG13&gt;0,SUM(NA13:NB13,ND13:NF13,NH13)-NC13-NG13,"")</f>
        <v/>
      </c>
      <c r="NW13" s="16" t="str">
        <f>IF(SUM(NI13:NJ13,NL13)-NK13&gt;0,SUM(NI13:NJ13,NL13)-NK13,"")</f>
        <v/>
      </c>
      <c r="NX13" s="16" t="str">
        <f>IF(SUM(NB13,NF13,NJ13)&gt;0,SUM(NB13,NF13,NJ13),"")</f>
        <v/>
      </c>
      <c r="NY13" s="16" t="str">
        <f>IF(SUM(NV13,NW13)&gt;0,SUM(NV13,NW13),"")</f>
        <v/>
      </c>
      <c r="NZ13" s="16" t="str">
        <f>IF(SUM(NN13,NR13)&gt;0,SUM(NN13,NR13),"")</f>
        <v/>
      </c>
      <c r="OA13" s="16" t="str">
        <f>IF(SUM(NM13:NN13,NP13:NR13,NT13)-SUM(NO13,NS13)&gt;0,SUM(NM13:NN13,NP13:NR13,NT13)-SUM(NO13,NS13),"")</f>
        <v/>
      </c>
      <c r="OB13" s="16" t="str">
        <f>IF(SUM(NV13,OA13)&gt;0,SUM(NV13,OA13),"")</f>
        <v/>
      </c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76" t="str">
        <f>IF(SUM(OD13,OH13)&gt;0,SUM(OD13,OH13),"")</f>
        <v/>
      </c>
      <c r="OX13" s="76" t="str">
        <f>IF(SUM(OC13:OD13,OF13:OH13,OJ13)-OE13-OI13&gt;0,SUM(OC13:OD13,OF13:OH13,OJ13)-OE13-OI13,"")</f>
        <v/>
      </c>
      <c r="OY13" s="76" t="str">
        <f>IF(SUM(OK13:OL13,ON13)-OM13&gt;0,SUM(OK13:OL13,ON13)-OM13,"")</f>
        <v/>
      </c>
      <c r="OZ13" s="76" t="str">
        <f>IF(SUM(OD13,OH13,OL13)&gt;0,SUM(OD13,OH13,OL13),"")</f>
        <v/>
      </c>
      <c r="PA13" s="76" t="str">
        <f>IF(SUM(OX13,OY13)&gt;0,SUM(OX13,OY13),"")</f>
        <v/>
      </c>
      <c r="PB13" s="76" t="str">
        <f>IF(SUM(OP13,OT13)&gt;0,SUM(OP13,OT13),"")</f>
        <v/>
      </c>
      <c r="PC13" s="76" t="str">
        <f>IF(SUM(OO13:OP13,OR13:OT13,OV13)-SUM(OQ13,OU13)&gt;0,SUM(OO13:OP13,OR13:OT13,OV13)-SUM(OQ13,OU13),"")</f>
        <v/>
      </c>
      <c r="PD13" s="76" t="str">
        <f>IF(SUM(OX13,PC13)&gt;0,SUM(OX13,PC13),"")</f>
        <v/>
      </c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16" t="str">
        <f>IF(SUM(PF13,PJ13)&gt;0,SUM(PF13,PJ13),"")</f>
        <v/>
      </c>
      <c r="PZ13" s="16" t="str">
        <f>IF(SUM(PE13:PF13,PH13:PJ13,PL13)-PG13-PK13&gt;0,SUM(PE13:PF13,PH13:PJ13,PL13)-PG13-PK13,"")</f>
        <v/>
      </c>
      <c r="QA13" s="16" t="str">
        <f>IF(SUM(PM13:PN13,PP13)-PO13&gt;0,SUM(PM13:PN13,PP13)-PO13,"")</f>
        <v/>
      </c>
      <c r="QB13" s="16" t="str">
        <f>IF(SUM(PF13,PJ13,PN13)&gt;0,SUM(PF13,PJ13,PN13),"")</f>
        <v/>
      </c>
      <c r="QC13" s="16" t="str">
        <f>IF(SUM(PZ13,QA13)&gt;0,SUM(PZ13,QA13),"")</f>
        <v/>
      </c>
      <c r="QD13" s="16" t="str">
        <f>IF(SUM(PR13,PV13)&gt;0,SUM(PR13,PV13),"")</f>
        <v/>
      </c>
      <c r="QE13" s="16" t="str">
        <f>IF(SUM(PQ13:PR13,PT13:PV13,PX13)-SUM(PS13,PW13)&gt;0,SUM(PQ13:PR13,PT13:PV13,PX13)-SUM(PS13,PW13),"")</f>
        <v/>
      </c>
      <c r="QF13" s="16" t="str">
        <f>IF(SUM(PZ13,QE13)&gt;0,SUM(PZ13,QE13),"")</f>
        <v/>
      </c>
      <c r="QG13" s="42">
        <f>IF($CW13="P",CC13,(CC13+AZ13)/2)</f>
        <v>9.25</v>
      </c>
      <c r="QH13" s="42">
        <f>IF($CW13="P",CD13,(CD13+BA13)/2)</f>
        <v>2.6</v>
      </c>
      <c r="QI13" s="42">
        <f>IF($CW13="P",CE13,(CE13+BB13)/2)</f>
        <v>0</v>
      </c>
      <c r="QJ13" s="42">
        <f>IF($CW13="P",CF13,(CF13+BC13)/2)</f>
        <v>0</v>
      </c>
      <c r="QK13" s="42">
        <f>IF($CW13="P",CG13,(CG13+BD13)/2)</f>
        <v>9.3000000000000007</v>
      </c>
      <c r="QL13" s="42">
        <f>IF($CW13="P",CH13,(CH13+BE13)/2)</f>
        <v>2.8</v>
      </c>
      <c r="QM13" s="42">
        <f>IF($CW13="P",CI13,(CI13+BF13)/2)</f>
        <v>0.3</v>
      </c>
      <c r="QN13" s="42">
        <f>IF($CW13="P",CJ13,(CJ13+BG13)/2)</f>
        <v>0</v>
      </c>
      <c r="QO13" s="42">
        <f>IF($CW13="P",CK13,(CK13+BH13)/2)</f>
        <v>9.1</v>
      </c>
      <c r="QP13" s="42">
        <f>IF($CW13="P",CL13,(CL13+BI13)/2)</f>
        <v>2.6</v>
      </c>
      <c r="QQ13" s="42">
        <f>IF($CW13="P",CM13,(CM13+BJ13)/2)</f>
        <v>0.1</v>
      </c>
      <c r="QR13" s="42">
        <f>IF($CW13="P",CN13,(CN13+BK13)/2)</f>
        <v>0.15</v>
      </c>
      <c r="QS13" s="42">
        <f>IF($CW13="P",CO13,(CO13+BL13)/2)</f>
        <v>9.1999999999999993</v>
      </c>
      <c r="QT13" s="42">
        <f>IF($CW13="P",CP13,(CP13+BM13)/2)</f>
        <v>2.6</v>
      </c>
      <c r="QU13" s="42">
        <f>IF($CW13="P",CQ13,(CQ13+BN13)/2)</f>
        <v>0.3</v>
      </c>
      <c r="QV13" s="42">
        <f>IF($CW13="P",CR13,(CR13+BO13)/2)</f>
        <v>0</v>
      </c>
      <c r="QW13" s="42">
        <f>IF($CW13="P",CS13,(CS13+BP13)/2)</f>
        <v>9.5</v>
      </c>
      <c r="QX13" s="42">
        <f>IF($CW13="P",CT13,(CT13+BQ13)/2)</f>
        <v>2.8</v>
      </c>
      <c r="QY13" s="42">
        <f>IF($CW13="P",CU13,(CU13+BR13)/2)</f>
        <v>0.1</v>
      </c>
      <c r="QZ13" s="42">
        <f>IF($CW13="P",CV13,(CV13+BS13)/2)</f>
        <v>0</v>
      </c>
      <c r="RA13" s="51" t="s">
        <v>61</v>
      </c>
      <c r="RB13" s="76">
        <f>IF(SUM(QH13,QL13)&gt;0,SUM(QH13,QL13),"")</f>
        <v>5.4</v>
      </c>
      <c r="RC13" s="76">
        <f>IF(SUM(QG13:QH13,QJ13:QL13,QN13)-QI13-QM13&gt;0,SUM(QG13:QH13,QJ13:QL13,QN13)-QI13-QM13,"")</f>
        <v>23.65</v>
      </c>
      <c r="RD13" s="76">
        <f>IF(SUM(QO13:QP13,QR13)-QQ13&gt;0,SUM(QO13:QP13,QR13)-QQ13,"")</f>
        <v>11.75</v>
      </c>
      <c r="RE13" s="76">
        <f>IF(SUM(QH13,QL13,QP13)&gt;0,SUM(QH13,QL13,QP13),"")</f>
        <v>8</v>
      </c>
      <c r="RF13" s="76">
        <f>IF(SUM(RC13,RD13)&gt;0,SUM(RC13,RD13),"")</f>
        <v>35.4</v>
      </c>
      <c r="RG13" s="76">
        <f>IF(SUM(QT13,QX13)&gt;0,SUM(QT13,QX13),"")</f>
        <v>5.4</v>
      </c>
      <c r="RH13" s="76">
        <f>IF(SUM(QS13:QT13,QV13:QX13,QZ13)-SUM(QU13,QY13)&gt;0,SUM(QS13:QT13,QV13:QX13,QZ13)-SUM(QU13,QY13),"")</f>
        <v>23.7</v>
      </c>
      <c r="RI13" s="76">
        <f>IF(SUM(RC13,RH13)&gt;0,SUM(RC13,RH13),"")</f>
        <v>47.349999999999994</v>
      </c>
    </row>
    <row r="14" spans="1:477" x14ac:dyDescent="0.2">
      <c r="A14" s="5" t="str">
        <f>IF(AND(F14="P",G14="P"),SUMPRODUCT((F$4:F$15="P")*(G$4:G$15="P")*(E$4:E$15&gt;E14))+1,IF(G14="P",SUMPRODUCT((F$4:F$15="")*(G$4:G$15="P")*(E$4:E$15&gt;E14))+1+SUMPRODUCT((F$4:F$15="P")*(G$4:G$15="P")),""))</f>
        <v/>
      </c>
      <c r="B14" s="6" t="s">
        <v>101</v>
      </c>
      <c r="C14" s="7" t="s">
        <v>6</v>
      </c>
      <c r="D14" s="18">
        <v>2003</v>
      </c>
      <c r="E14" s="14">
        <f>SUM(J14:T14)+SUM(J14:P14)*0.0000001+SUM(J14)*0.0000000000001</f>
        <v>40.500004050004051</v>
      </c>
      <c r="F14" s="3" t="str">
        <f>IF(OR(AND(AR14&gt;=AY$17,AS14&gt;=AY$21,AR14&lt;&gt;"",AQ14=""),AND(AW14&gt;=AY$17,AX14&gt;=AY$21,AW14&lt;&gt;"",AQ14=""),AND(BU14&gt;=CB$17,BV14&gt;=CB$21,BU14&lt;&gt;"",BT14=""),AND(BZ14&gt;=CB$17,CA14&gt;=CB$21,BZ14&lt;&gt;"",BT14=""),AND(CX14&gt;=DE$17,CY14&gt;=DE$21,CX14&lt;&gt;"",CW14=""),AND(DC14&gt;=DE$17,DD14&gt;=DE$21,DC14&lt;&gt;""),AND(EC14&gt;=EJ$17,ED14&gt;=EJ$21,EC14&lt;&gt;""),AND(EH14&gt;=EJ$17,EI14&gt;=EJ$21,EH14&lt;&gt;""),AND(FE14&gt;=FL$17,FF14&gt;=FL$21,FE14&lt;&gt;""),AND(FJ14&gt;=FL$17,FK14&gt;=FL$21,FJ14&lt;&gt;""),AND(GG14&gt;=GN$17,GH14&gt;=GN$21,GG14&lt;&gt;""),AND(GL14&gt;=GN$17,GM14&gt;=GN$21,GL14&lt;&gt;""),AND(HI14&gt;=HP$17,HJ14&gt;=HP$21,HI14&lt;&gt;""),AND(HN14&gt;=HP$17,HO14&gt;=HP$21,HN14&lt;&gt;""),AND(IK14&gt;=IR$17,IL14&gt;=IR$21,IK14&lt;&gt;""),AND(IP14&gt;=IR$17,IQ14&gt;=IR$21,IP14&lt;&gt;""),AND(JM14&gt;=JT$17,JN14&gt;=JT$21,JM14&lt;&gt;""),AND(JR14&gt;=JT$17,JS14&gt;=JT$21,JR14&lt;&gt;""),AND(KO14&gt;=KV$17,KP14&gt;=KV$21,KO14&lt;&gt;""),AND(KT14&gt;=KV$17,KU14&gt;=KV$21,KT14&lt;&gt;""),AND(LQ14&gt;=LX$17,LR14&gt;=LX$21,LQ14&lt;&gt;""),AND(LV14&gt;=LX$17,LW14&gt;=LX$21,LV14&lt;&gt;""),AND(MS14&gt;=MZ$17,MT14&gt;=MZ$21,MS14&lt;&gt;""),AND(MX14&gt;=MZ$17,MY14&gt;=MZ$21,MX14&lt;&gt;""),AND(NU14&gt;=OB$17,NV14&gt;=OB$21,NU14&lt;&gt;""),AND(NZ14&gt;=OB$17,OA14&gt;=OB$21,NZ14&lt;&gt;""),AND(OW14&gt;=PD$17,OX14&gt;=PD$21,OW14&lt;&gt;""),AND(PB14&gt;=PD$17,PC14&gt;=PD$21,PB14&lt;&gt;""),AND(PY14&gt;=QF$17,PZ14&gt;=QF$21,PY14&lt;&gt;""),AND(QD14&gt;=QF$17,QE14&gt;=QF$21,QD14&lt;&gt;"")),"P","")</f>
        <v/>
      </c>
      <c r="G14" s="3" t="str">
        <f>IF(OR(AND(AS14&gt;=AY$21,AS14&lt;&gt;"",AQ14=""),AND(AX14&gt;=AY$21,AX14&lt;&gt;"",AQ14=""),AND(BV14&gt;=CB$21,BV14&lt;&gt;"",BT14=""),AND(CA14&gt;=CB$21,CA14&lt;&gt;"",BT14=""),AND(CY14&gt;=DE$21,CY14&lt;&gt;"",CW14=""),AND(DD14&gt;=DE$21,DD14&lt;&gt;"",CW14=""),AND(ED14&gt;=EJ$21,ED14&lt;&gt;""),AND(EI14&gt;=EJ$21,EI14&lt;&gt;""),AND(FF14&gt;=FL$21,FF14&lt;&gt;""),AND(FK14&gt;=FL$21,FK14&lt;&gt;""),AND(GH14&gt;=GN$21,GH14&lt;&gt;""),AND(GM14&gt;=GN$21,GM14&lt;&gt;""),AND(HJ14&gt;=HP$21,HJ14&lt;&gt;""),AND(HO14&gt;=HP$21,HO14&lt;&gt;""),AND(IL14&gt;=IR$21,IL14&lt;&gt;""),AND(IQ14&gt;=IR$21,IQ14&lt;&gt;""),AND(JN14&gt;=JT$21,JN14&lt;&gt;""),AND(JS14&gt;=JT$21,JS14&lt;&gt;""),AND(KP14&gt;=KV$21,KP14&lt;&gt;""),AND(KU14&gt;=KV$21,KU14&lt;&gt;""),AND(LR14&gt;=LX$21,LR14&lt;&gt;""),AND(LW14&gt;=LX$21,LW14&lt;&gt;""),AND(MT14&gt;=MZ$21,MT14&lt;&gt;""),AND(MY14&gt;=MZ$21,MY14&lt;&gt;""),AND(NV14&gt;=OB$21,NV14&lt;&gt;""),AND(OA14&gt;=OB$21,OA14&lt;&gt;""),AND(OX14&gt;=PD$21,OX14&lt;&gt;""),AND(PC14&gt;=PD$21,PC14&lt;&gt;""),AND(PZ14&gt;=QF$21,PZ14&lt;&gt;""),AND(QE14&gt;=QF$21,QE14&lt;&gt;"")),"P","")</f>
        <v/>
      </c>
      <c r="H14" s="70" t="str">
        <f>IF(AND(G14="P",F14=""),"No DD",IF(OR(AND(AU14&gt;=AY$20,AV14&gt;=AY$24,AU14&lt;&gt;"",AQ14=""),AND(BX14&gt;=CB$20,BY14&gt;=CB$24,BX14&lt;&gt;"",BT14=""),AND(DA14&gt;=DE$20,DB14&gt;=DE$24,DA14&lt;&gt;"",CW14=""),AND(EF14&gt;=EJ$20,EG14&gt;=EJ$24,EF14&lt;&gt;""),AND(FH14&gt;=FL$20,FI14&gt;=FL$24,FH14&lt;&gt;""),AND(GJ14&gt;=GN$20,GK14&gt;=GN$24,GJ14&lt;&gt;""),AND(HL14&gt;=HP$20,HM14&gt;=HP$24,HL14&lt;&gt;""),AND(IN14&gt;=IR$20,IO14&gt;=IR$24,IN14&lt;&gt;""),AND(JP14&gt;=JT$20,JQ14&gt;=JT$24,JP14&lt;&gt;""),AND(KR14&gt;=KV$20,KS14&gt;=KV$24,KR14&lt;&gt;""),AND(LT14&gt;=LX$20,LU14&gt;=LX$24,LT14&lt;&gt;""),AND(MV14&gt;=MZ$20,MW14&gt;=MZ$24,MV14&lt;&gt;""),AND(NX14&gt;=OB$20,NY14&gt;=OB$24,NX14&lt;&gt;""),AND(OZ14&gt;=PD$20,PA14&gt;=PD$24,OZ14&lt;&gt;""),AND(QB14&gt;=QF$20,QC14&gt;=QF$24,QB14&lt;&gt;"")),"Merit",IF(OR(AND(AU14&gt;=AY$19,AV14&gt;=AY$23,AU14&lt;&gt;"",AQ14=""),AND(BX14&gt;=CB$19,BY14&gt;=CB$23,BX14&lt;&gt;"",BT14=""),AND(DA14&gt;=DE$19,DB14&gt;=DE$23,DA14&lt;&gt;"",CW14=""),AND(EF14&gt;=EJ$19,EG14&gt;=EJ$23,EF14&lt;&gt;""),AND(FH14&gt;=FL$19,FI14&gt;=FL$23,FH14&lt;&gt;""),AND(GJ14&gt;=GN$19,GK14&gt;=GN$23,GJ14&lt;&gt;""),AND(HL14&gt;=HP$19,HM14&gt;=HP$23,HL14&lt;&gt;""),AND(IN14&gt;=IR$19,IO14&gt;=IR$23,IN14&lt;&gt;""),AND(JP14&gt;=JT$19,JQ14&gt;=JT$23,JP14&lt;&gt;""),AND(KR14&gt;=KV$19,KS14&gt;=KV$23,KR14&lt;&gt;""),AND(LT14&gt;=LX$19,LU14&gt;=LX$23,LT14&lt;&gt;""),AND(MV14&gt;=MZ$19,MW14&gt;=MZ$23,MV14&lt;&gt;""),AND(NX14&gt;=OB$19,NY14&gt;=OB$23,NX14&lt;&gt;""),AND(OZ14&gt;=PD$19,PA14&gt;=PD$23,OZ14&lt;&gt;""),AND(QB14&gt;=QF$19,QC14&gt;=QF$23,QB14&lt;&gt;"")),"Excellence",IF(I14="P","Worlds Team",IF(F14="P","National Team","")))))</f>
        <v/>
      </c>
      <c r="I14" s="3" t="str">
        <f>IF(OR(AND(AU14&gt;=AY$18,AV14&gt;=AY$22,AU14&lt;&gt;"",AQ14=""),AND(BX14&gt;=CB$18,BY14&gt;=CB$22,BX14&lt;&gt;"",BT14=""),AND(DA14&gt;=DE$18,DB14&gt;=DE$22,DA14&lt;&gt;"",CW14=""),AND(EF14&gt;=EJ$18,EG14&gt;=EJ$22,EF14&lt;&gt;""),AND(FH14&gt;=FL$18,FI14&gt;=FL$22,FH14&lt;&gt;""),AND(GJ14&gt;=GN$18,GK14&gt;=GN$22,GJ14&lt;&gt;""),AND(HL14&gt;=HP$18,HM14&gt;=HP$22,HL14&lt;&gt;""),AND(IN14&gt;=IR$18,IO14&gt;=IR$22,IN14&lt;&gt;""),AND(JP14&gt;=JT$18,JQ14&gt;=JT$22,JP14&lt;&gt;""),AND(KR14&gt;=KV$18,KS14&gt;=KV$22,KR14&lt;&gt;""),AND(LT14&gt;=LX$18,LU14&gt;=LX$22,LT14&lt;&gt;""),AND(MV14&gt;=MZ$18,MW14&gt;=MZ$22,MV14&lt;&gt;""),AND(NX14&gt;=OB$18,NY14&gt;=OB$22,NX14&lt;&gt;""),AND(OZ14&gt;=PD$18,PA14&gt;=PD$22,OZ14&lt;&gt;""),AND(QB14&gt;=QF$18,QC14&gt;=QF$22,QB14&lt;&gt;"")),"P","")</f>
        <v/>
      </c>
      <c r="J14" s="13">
        <f>IF(COUNT(AS14,BV14,CY14)&gt;0,LARGE((AS14,BV14,CY14),1),0)</f>
        <v>40.5</v>
      </c>
      <c r="K14" s="13" t="str">
        <f>IF(J14=0,"",IF(J14=CY14,$CC$1,IF(J14=BV14,$AZ$1,IF(J14=AS14,$W$1,""))))</f>
        <v>2022 Elite Canada</v>
      </c>
      <c r="L14" s="13">
        <f>IF(COUNT(AS14,BV14,CY14)&gt;1,LARGE((AS14,BV14,CY14),2),0)</f>
        <v>0</v>
      </c>
      <c r="M14" s="13" t="str">
        <f>IF(L14=0,"",IF(L14=CY14,$CC$1,IF(L14=BV14,$AZ$1,IF(L14=AS14,$W$1,""))))</f>
        <v/>
      </c>
      <c r="N14" s="13">
        <f>IF(COUNT(AT14,BW14,CZ14)&gt;0,LARGE((AT14,BW14,CZ14),1),0)</f>
        <v>0</v>
      </c>
      <c r="O14" s="13" t="str">
        <f>IF(N14=0,"",IF(N14=CZ14,$CC$1,IF(N14=BW14,$AZ$1,IF(N14=AT14,$W$1,""))))</f>
        <v/>
      </c>
      <c r="P14" s="13">
        <f>IF(COUNT(AT14,BW14,CZ14)&gt;1,LARGE((AT14,BW14,CZ14),2),0)</f>
        <v>0</v>
      </c>
      <c r="Q14" s="13" t="str">
        <f>IF(P14=0,"",IF(P14=CZ14,$CC$1,IF(P14=BW14,$AZ$1,IF(P14=AT14,$W$1,""))))</f>
        <v/>
      </c>
      <c r="R14" s="13">
        <f>IF(MAX(AX14,CA14,DD14)&gt;0,MAX(AX14,CA14,DD14),0)</f>
        <v>0</v>
      </c>
      <c r="S14" s="13" t="str">
        <f>IF(R14=0,"",IF(R14=DD14,$CC$1,IF(R14=CA14,$AZ$1,IF(R14=AX14,$W$1,""))))</f>
        <v/>
      </c>
      <c r="T14" s="13" t="str">
        <f>IF(MAX(DF14:DH14)&gt;0,MAX(DF14:DH14),"")</f>
        <v/>
      </c>
      <c r="U14" s="16" t="str">
        <f>IF(T14="","",IF(T14=DF14,"("&amp;DF$2&amp;")",IF(T14=DH14,"("&amp;DH$2&amp;")")))</f>
        <v/>
      </c>
      <c r="V14" s="13" t="str">
        <f>IF(T14="","",IF(T14=DF14,IF(T14+IF(L14="",0,L14)=PZ14,$PE$1,IF(T14+IF(L14="",0,L14)=OX14,$OC$1,IF(T14+IF(L14="",0,L14)=NV14,$NA$1,IF(T14+IF(L14="",0,L14)=MT14,$LY$1,IF(T14+IF(L14="",0,L14)=LR14,$KW$1,IF(T14+IF(L14="",0,L14)=KP14,$JU$1,IF(T14+IF(L14="",0,L14)=JN14,$IS$1,IF(T14+IF(L14="",0,L14)=IL14,$HQ$1,IF(T14+IF(L14="",0,L14)=HJ14,$GO$1,IF(T14+IF(L14="",0,L14)=GH14,$FM$1,IF(T14+IF(L14="",0,L14)=FF14,$EK$1,IF(T14+IF(L14="",0,L14)=ED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</f>
        <v/>
      </c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51"/>
      <c r="AR14" s="76" t="str">
        <f>IF(SUM(X14,AB14)&gt;0,SUM(X14,AB14),"")</f>
        <v/>
      </c>
      <c r="AS14" s="76" t="str">
        <f>IF(SUM(W14:X14,Z14:AB14,AD14)-Y14-AC14&gt;0,SUM(W14:X14,Z14:AB14,AD14)-Y14-AC14,"")</f>
        <v/>
      </c>
      <c r="AT14" s="76" t="str">
        <f>IF(SUM(AE14:AF14,AH14)-AG14&gt;0,SUM(AE14:AF14,AH14)-AG14,"")</f>
        <v/>
      </c>
      <c r="AU14" s="76" t="str">
        <f>IF(SUM(X14,AB14,AF14)&gt;0,SUM(X14,AB14,AF14),"")</f>
        <v/>
      </c>
      <c r="AV14" s="76" t="str">
        <f>IF(SUM(AS14,AT14)&gt;0,SUM(AS14,AT14),"")</f>
        <v/>
      </c>
      <c r="AW14" s="76" t="str">
        <f>IF(SUM(AJ14,AN14)&gt;0,SUM(AJ14,AN14),"")</f>
        <v/>
      </c>
      <c r="AX14" s="76" t="str">
        <f>IF(SUM(AI14:AJ14,AL14:AN14,AP14)-SUM(AK14,AO14)&gt;0,SUM(AI14:AJ14,AL14:AN14,AP14)-SUM(AK14,AO14),"")</f>
        <v/>
      </c>
      <c r="AY14" s="76" t="str">
        <f>IF(SUM(AS14,AX14)&gt;0,SUM(AS14,AX14),"")</f>
        <v/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52"/>
      <c r="BU14" s="16" t="str">
        <f>IF(SUM(BA14,BE14)&gt;0,SUM(BA14,BE14),"")</f>
        <v/>
      </c>
      <c r="BV14" s="16" t="str">
        <f>IF(SUM(AZ14:BA14,BC14:BE14,BG14)-BB14-BF14&gt;0,SUM(AZ14:BA14,BC14:BE14,BG14)-BB14-BF14,"")</f>
        <v/>
      </c>
      <c r="BW14" s="16" t="str">
        <f>IF(SUM(BH14:BI14,BK14)-BJ14&gt;0,SUM(BH14:BI14,BK14)-BJ14,"")</f>
        <v/>
      </c>
      <c r="BX14" s="16" t="str">
        <f>IF(SUM(BA14,BE14,BI14)&gt;0,SUM(BA14,BE14,BI14),"")</f>
        <v/>
      </c>
      <c r="BY14" s="16" t="str">
        <f>IF(SUM(BV14,BW14)&gt;0,SUM(BV14,BW14),"")</f>
        <v/>
      </c>
      <c r="BZ14" s="16" t="str">
        <f>IF(SUM(BM14,BQ14)&gt;0,SUM(BM14,BQ14),"")</f>
        <v/>
      </c>
      <c r="CA14" s="16" t="str">
        <f>IF(SUM(BL14:BM14,BO14:BQ14,BS14)-SUM(BN14,BR14)&gt;0,SUM(BL14:BM14,BO14:BQ14,BS14)-SUM(BN14,BR14),"")</f>
        <v/>
      </c>
      <c r="CB14" s="16" t="str">
        <f>IF(SUM(BV14,CA14)&gt;0,SUM(BV14,CA14),"")</f>
        <v/>
      </c>
      <c r="CC14" s="27">
        <v>18.399999999999999</v>
      </c>
      <c r="CD14" s="27">
        <v>5.2</v>
      </c>
      <c r="CE14" s="27">
        <v>0.2</v>
      </c>
      <c r="CF14" s="27">
        <v>0</v>
      </c>
      <c r="CG14" s="27">
        <v>17.100000000000001</v>
      </c>
      <c r="CH14" s="27">
        <v>0</v>
      </c>
      <c r="CI14" s="27">
        <v>0</v>
      </c>
      <c r="CJ14" s="27">
        <v>0</v>
      </c>
      <c r="CK14" s="27">
        <v>0</v>
      </c>
      <c r="CL14" s="27">
        <v>0</v>
      </c>
      <c r="CM14" s="27">
        <v>0</v>
      </c>
      <c r="CN14" s="27">
        <v>0</v>
      </c>
      <c r="CO14" s="27">
        <v>0</v>
      </c>
      <c r="CP14" s="27">
        <v>0</v>
      </c>
      <c r="CQ14" s="27">
        <v>0</v>
      </c>
      <c r="CR14" s="27">
        <v>0</v>
      </c>
      <c r="CS14" s="27">
        <v>0</v>
      </c>
      <c r="CT14" s="27">
        <v>0</v>
      </c>
      <c r="CU14" s="27">
        <v>0</v>
      </c>
      <c r="CV14" s="27">
        <v>0</v>
      </c>
      <c r="CW14" s="51"/>
      <c r="CX14" s="76">
        <f>IF(SUM(CD14,CH14)&gt;0,SUM(CD14,CH14),"")</f>
        <v>5.2</v>
      </c>
      <c r="CY14" s="76">
        <f>IF(SUM(CC14:CD14,CF14:CH14,CJ14)-CE14-CI14&gt;0,SUM(CC14:CD14,CF14:CH14,CJ14)-CE14-CI14,"")</f>
        <v>40.5</v>
      </c>
      <c r="CZ14" s="76" t="str">
        <f>IF(SUM(CK14:CL14,CN14)-CM14&gt;0,SUM(CK14:CL14,CN14)-CM14,"")</f>
        <v/>
      </c>
      <c r="DA14" s="76">
        <f>IF(SUM(CD14,CH14,CL14)&gt;0,SUM(CD14,CH14,CL14),"")</f>
        <v>5.2</v>
      </c>
      <c r="DB14" s="76">
        <f>IF(SUM(CY14,CZ14)&gt;0,SUM(CY14,CZ14),"")</f>
        <v>40.5</v>
      </c>
      <c r="DC14" s="76" t="str">
        <f>IF(SUM(CP14,CT14)&gt;0,SUM(CP14,CT14),"")</f>
        <v/>
      </c>
      <c r="DD14" s="76" t="str">
        <f>IF(SUM(CO14:CP14,CR14:CT14,CV14)-SUM(CQ14,CU14)&gt;0,SUM(CO14:CP14,CR14:CT14,CV14)-SUM(CQ14,CU14),"")</f>
        <v/>
      </c>
      <c r="DE14" s="76">
        <f>IF(SUM(CY14,DD14)&gt;0,SUM(CY14,DD14),"")</f>
        <v>40.5</v>
      </c>
      <c r="DF14" s="87" t="str">
        <f>IF(L14&gt;=0.001,IF(MAX(ED14,FF14,GH14,HJ14,IL14,JN14,KP14,LR14,MT14,NV14,OX14,PZ14)-IF(L14="",0,L14)&gt;0.001,MAX(ED14,FF14,GH14,HJ14,IL14,JN14,KP14,LR14,MT14,NV14,OX14,PZ14)-IF(L14="",0,L14),""),"")</f>
        <v/>
      </c>
      <c r="DG14" s="87" t="str">
        <f>IF(P14&gt;=0.001,IF(MAX(EE14,FG14,GI14,HK14,IM14,JO14,KQ14,LS14,MU14,NW14,OY14,QA14)-IF(P14="",0,P14)&gt;0.001,MAX(EE14,FG14,GI14,HK14,IM14,JO14,KQ14,LS14,MU14,NW14,OY14,QA14)-IF(P14="",0,P14),""),"")</f>
        <v/>
      </c>
      <c r="DH14" s="87" t="str">
        <f>IF(R14&gt;=0.001,IF(MAX(EI14,FK14,GM14,HO14,IQ14,JS14,KU14,LW14,MY14,OA14,PC14,QE14)-IF(R14="",0,R14)&gt;0.001,MAX(EI14,FK14,GM14,HO14,IQ14,JS14,KU14,LW14,MY14,OA14,PC14,QE14)-IF(R14="",0,R14),""),"")</f>
        <v/>
      </c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76" t="str">
        <f>IF(SUM(DJ14,DN14)&gt;0,SUM(DJ14,DN14),"")</f>
        <v/>
      </c>
      <c r="ED14" s="76" t="str">
        <f>IF(SUM(DI14:DJ14,DL14:DN14,DP14)-DK14-DO14&gt;0,SUM(DI14:DJ14,DL14:DN14,DP14)-DK14-DO14,"")</f>
        <v/>
      </c>
      <c r="EE14" s="76" t="str">
        <f>IF(SUM(DQ14:DR14,DT14)-DS14&gt;0,SUM(DQ14:DR14,DT14)-DS14,"")</f>
        <v/>
      </c>
      <c r="EF14" s="76" t="str">
        <f>IF(SUM(DJ14,DN14,DR14)&gt;0,SUM(DJ14,DN14,DR14),"")</f>
        <v/>
      </c>
      <c r="EG14" s="76" t="str">
        <f>IF(SUM(ED14,EE14)&gt;0,SUM(ED14,EE14),"")</f>
        <v/>
      </c>
      <c r="EH14" s="76" t="str">
        <f>IF(SUM(DV14,DZ14)&gt;0,SUM(DV14,DZ14),"")</f>
        <v/>
      </c>
      <c r="EI14" s="76" t="str">
        <f>IF(SUM(DU14:DV14,DX14:DZ14,EB14)-SUM(DW14,EA14)&gt;0,SUM(DU14:DV14,DX14:DZ14,EB14)-SUM(DW14,EA14),"")</f>
        <v/>
      </c>
      <c r="EJ14" s="76" t="str">
        <f>IF(SUM(ED14,EI14)&gt;0,SUM(ED14,EI14),"")</f>
        <v/>
      </c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16" t="str">
        <f>IF(SUM(EL14,EP14)&gt;0,SUM(EL14,EP14),"")</f>
        <v/>
      </c>
      <c r="FF14" s="16" t="str">
        <f>IF(SUM(EK14:EL14,EN14:EP14,ER14)-EM14-EQ14&gt;0,SUM(EK14:EL14,EN14:EP14,ER14)-EM14-EQ14,"")</f>
        <v/>
      </c>
      <c r="FG14" s="16" t="str">
        <f>IF(SUM(ES14:ET14,EV14)-EU14&gt;0,SUM(ES14:ET14,EV14)-EU14,"")</f>
        <v/>
      </c>
      <c r="FH14" s="16" t="str">
        <f>IF(SUM(EL14,EP14,ET14)&gt;0,SUM(EL14,EP14,ET14),"")</f>
        <v/>
      </c>
      <c r="FI14" s="16" t="str">
        <f>IF(SUM(FF14,FG14)&gt;0,SUM(FF14,FG14),"")</f>
        <v/>
      </c>
      <c r="FJ14" s="16" t="str">
        <f>IF(SUM(EX14,FB14)&gt;0,SUM(EX14,FB14),"")</f>
        <v/>
      </c>
      <c r="FK14" s="16" t="str">
        <f>IF(SUM(EW14:EX14,EZ14:FB14,FD14)-SUM(EY14,FC14)&gt;0,SUM(EW14:EX14,EZ14:FB14,FD14)-SUM(EY14,FC14),"")</f>
        <v/>
      </c>
      <c r="FL14" s="16" t="str">
        <f>IF(SUM(FF14,FK14)&gt;0,SUM(FF14,FK14),"")</f>
        <v/>
      </c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76" t="str">
        <f>IF(SUM(FN14,FR14)&gt;0,SUM(FN14,FR14),"")</f>
        <v/>
      </c>
      <c r="GH14" s="76" t="str">
        <f>IF(SUM(FM14:FN14,FP14:FR14,FT14)-FO14-FS14&gt;0,SUM(FM14:FN14,FP14:FR14,FT14)-FO14-FS14,"")</f>
        <v/>
      </c>
      <c r="GI14" s="76" t="str">
        <f>IF(SUM(FU14:FV14,FX14)-FW14&gt;0,SUM(FU14:FV14,FX14)-FW14,"")</f>
        <v/>
      </c>
      <c r="GJ14" s="76" t="str">
        <f>IF(SUM(FN14,FR14,FV14)&gt;0,SUM(FN14,FR14,FV14),"")</f>
        <v/>
      </c>
      <c r="GK14" s="76" t="str">
        <f>IF(SUM(GH14,GI14)&gt;0,SUM(GH14,GI14),"")</f>
        <v/>
      </c>
      <c r="GL14" s="76" t="str">
        <f>IF(SUM(FZ14,GD14)&gt;0,SUM(FZ14,GD14),"")</f>
        <v/>
      </c>
      <c r="GM14" s="76" t="str">
        <f>IF(SUM(FY14:FZ14,GB14:GD14,GF14)-SUM(GA14,GE14)&gt;0,SUM(FY14:FZ14,GB14:GD14,GF14)-SUM(GA14,GE14),"")</f>
        <v/>
      </c>
      <c r="GN14" s="76" t="str">
        <f>IF(SUM(GH14,GM14)&gt;0,SUM(GH14,GM14),"")</f>
        <v/>
      </c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16" t="str">
        <f>IF(SUM(GP14,GT14)&gt;0,SUM(GP14,GT14),"")</f>
        <v/>
      </c>
      <c r="HJ14" s="16" t="str">
        <f>IF(SUM(GO14:GP14,GR14:GT14,GV14)-GQ14-GU14&gt;0,SUM(GO14:GP14,GR14:GT14,GV14)-GQ14-GU14,"")</f>
        <v/>
      </c>
      <c r="HK14" s="16" t="str">
        <f>IF(SUM(GW14:GX14,GZ14)-GY14&gt;0,SUM(GW14:GX14,GZ14)-GY14,"")</f>
        <v/>
      </c>
      <c r="HL14" s="16" t="str">
        <f>IF(SUM(GP14,GT14,GX14)&gt;0,SUM(GP14,GT14,GX14),"")</f>
        <v/>
      </c>
      <c r="HM14" s="16" t="str">
        <f>IF(SUM(HJ14,HK14)&gt;0,SUM(HJ14,HK14),"")</f>
        <v/>
      </c>
      <c r="HN14" s="16" t="str">
        <f>IF(SUM(HB14,HF14)&gt;0,SUM(HB14,HF14),"")</f>
        <v/>
      </c>
      <c r="HO14" s="16" t="str">
        <f>IF(SUM(HA14:HB14,HD14:HF14,HH14)-SUM(HC14,HG14)&gt;0,SUM(HA14:HB14,HD14:HF14,HH14)-SUM(HC14,HG14),"")</f>
        <v/>
      </c>
      <c r="HP14" s="16" t="str">
        <f>IF(SUM(HJ14,HO14)&gt;0,SUM(HJ14,HO14),"")</f>
        <v/>
      </c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76" t="str">
        <f>IF(SUM(HR14,HV14)&gt;0,SUM(HR14,HV14),"")</f>
        <v/>
      </c>
      <c r="IL14" s="76" t="str">
        <f>IF(SUM(HQ14:HR14,HT14:HV14,HX14)-HS14-HW14&gt;0,SUM(HQ14:HR14,HT14:HV14,HX14)-HS14-HW14,"")</f>
        <v/>
      </c>
      <c r="IM14" s="76" t="str">
        <f>IF(SUM(HY14:HZ14,IB14)-IA14&gt;0,SUM(HY14:HZ14,IB14)-IA14,"")</f>
        <v/>
      </c>
      <c r="IN14" s="76" t="str">
        <f>IF(SUM(HR14,HV14,HZ14)&gt;0,SUM(HR14,HV14,HZ14),"")</f>
        <v/>
      </c>
      <c r="IO14" s="76" t="str">
        <f>IF(SUM(IL14,IM14)&gt;0,SUM(IL14,IM14),"")</f>
        <v/>
      </c>
      <c r="IP14" s="76" t="str">
        <f>IF(SUM(ID14,IH14)&gt;0,SUM(ID14,IH14),"")</f>
        <v/>
      </c>
      <c r="IQ14" s="76" t="str">
        <f>IF(SUM(IC14:ID14,IF14:IH14,IJ14)-SUM(IE14,II14)&gt;0,SUM(IC14:ID14,IF14:IH14,IJ14)-SUM(IE14,II14),"")</f>
        <v/>
      </c>
      <c r="IR14" s="76" t="str">
        <f>IF(SUM(IL14,IQ14)&gt;0,SUM(IL14,IQ14),"")</f>
        <v/>
      </c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16" t="str">
        <f>IF(SUM(IT14,IX14)&gt;0,SUM(IT14,IX14),"")</f>
        <v/>
      </c>
      <c r="JN14" s="16" t="str">
        <f>IF(SUM(IS14:IT14,IV14:IX14,IZ14)-IU14-IY14&gt;0,SUM(IS14:IT14,IV14:IX14,IZ14)-IU14-IY14,"")</f>
        <v/>
      </c>
      <c r="JO14" s="16" t="str">
        <f>IF(SUM(JA14:JB14,JD14)-JC14&gt;0,SUM(JA14:JB14,JD14)-JC14,"")</f>
        <v/>
      </c>
      <c r="JP14" s="16" t="str">
        <f>IF(SUM(IT14,IX14,JB14)&gt;0,SUM(IT14,IX14,JB14),"")</f>
        <v/>
      </c>
      <c r="JQ14" s="16" t="str">
        <f>IF(SUM(JN14,JO14)&gt;0,SUM(JN14,JO14),"")</f>
        <v/>
      </c>
      <c r="JR14" s="16" t="str">
        <f>IF(SUM(JF14,JJ14)&gt;0,SUM(JF14,JJ14),"")</f>
        <v/>
      </c>
      <c r="JS14" s="16" t="str">
        <f>IF(SUM(JE14:JF14,JH14:JJ14,JL14)-SUM(JG14,JK14)&gt;0,SUM(JE14:JF14,JH14:JJ14,JL14)-SUM(JG14,JK14),"")</f>
        <v/>
      </c>
      <c r="JT14" s="16" t="str">
        <f>IF(SUM(JN14,JS14)&gt;0,SUM(JN14,JS14),"")</f>
        <v/>
      </c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76" t="str">
        <f>IF(SUM(JV14,JZ14)&gt;0,SUM(JV14,JZ14),"")</f>
        <v/>
      </c>
      <c r="KP14" s="76" t="str">
        <f>IF(SUM(JU14:JV14,JX14:JZ14,KB14)-JW14-KA14&gt;0,SUM(JU14:JV14,JX14:JZ14,KB14)-JW14-KA14,"")</f>
        <v/>
      </c>
      <c r="KQ14" s="76" t="str">
        <f>IF(SUM(KC14:KD14,KF14)-KE14&gt;0,SUM(KC14:KD14,KF14)-KE14,"")</f>
        <v/>
      </c>
      <c r="KR14" s="76" t="str">
        <f>IF(SUM(JV14,JZ14,KD14)&gt;0,SUM(JV14,JZ14,KD14),"")</f>
        <v/>
      </c>
      <c r="KS14" s="76" t="str">
        <f>IF(SUM(KP14,KQ14)&gt;0,SUM(KP14,KQ14),"")</f>
        <v/>
      </c>
      <c r="KT14" s="76" t="str">
        <f>IF(SUM(KH14,KL14)&gt;0,SUM(KH14,KL14),"")</f>
        <v/>
      </c>
      <c r="KU14" s="76" t="str">
        <f>IF(SUM(KG14:KH14,KJ14:KL14,KN14)-SUM(KI14,KM14)&gt;0,SUM(KG14:KH14,KJ14:KL14,KN14)-SUM(KI14,KM14),"")</f>
        <v/>
      </c>
      <c r="KV14" s="76" t="str">
        <f>IF(SUM(KP14,KU14)&gt;0,SUM(KP14,KU14),"")</f>
        <v/>
      </c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16" t="str">
        <f>IF(SUM(KX14,LB14)&gt;0,SUM(KX14,LB14),"")</f>
        <v/>
      </c>
      <c r="LR14" s="16" t="str">
        <f>IF(SUM(KW14:KX14,KZ14:LB14,LD14)-KY14-LC14&gt;0,SUM(KW14:KX14,KZ14:LB14,LD14)-KY14-LC14,"")</f>
        <v/>
      </c>
      <c r="LS14" s="16" t="str">
        <f>IF(SUM(LE14:LF14,LH14)-LG14&gt;0,SUM(LE14:LF14,LH14)-LG14,"")</f>
        <v/>
      </c>
      <c r="LT14" s="16" t="str">
        <f>IF(SUM(KX14,LB14,LF14)&gt;0,SUM(KX14,LB14,LF14),"")</f>
        <v/>
      </c>
      <c r="LU14" s="16" t="str">
        <f>IF(SUM(LR14,LS14)&gt;0,SUM(LR14,LS14),"")</f>
        <v/>
      </c>
      <c r="LV14" s="16" t="str">
        <f>IF(SUM(LJ14,LN14)&gt;0,SUM(LJ14,LN14),"")</f>
        <v/>
      </c>
      <c r="LW14" s="16" t="str">
        <f>IF(SUM(LI14:LJ14,LL14:LN14,LP14)-SUM(LK14,LO14)&gt;0,SUM(LI14:LJ14,LL14:LN14,LP14)-SUM(LK14,LO14),"")</f>
        <v/>
      </c>
      <c r="LX14" s="16" t="str">
        <f>IF(SUM(LR14,LW14)&gt;0,SUM(LR14,LW14),"")</f>
        <v/>
      </c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76" t="str">
        <f>IF(SUM(LZ14,MD14)&gt;0,SUM(LZ14,MD14),"")</f>
        <v/>
      </c>
      <c r="MT14" s="76" t="str">
        <f>IF(SUM(LY14:LZ14,MB14:MD14,MF14)-MA14-ME14&gt;0,SUM(LY14:LZ14,MB14:MD14,MF14)-MA14-ME14,"")</f>
        <v/>
      </c>
      <c r="MU14" s="76" t="str">
        <f>IF(SUM(MG14:MH14,MJ14)-MI14&gt;0,SUM(MG14:MH14,MJ14)-MI14,"")</f>
        <v/>
      </c>
      <c r="MV14" s="76" t="str">
        <f>IF(SUM(LZ14,MD14,MH14)&gt;0,SUM(LZ14,MD14,MH14),"")</f>
        <v/>
      </c>
      <c r="MW14" s="76" t="str">
        <f>IF(SUM(MT14,MU14)&gt;0,SUM(MT14,MU14),"")</f>
        <v/>
      </c>
      <c r="MX14" s="76" t="str">
        <f>IF(SUM(ML14,MP14)&gt;0,SUM(ML14,MP14),"")</f>
        <v/>
      </c>
      <c r="MY14" s="76" t="str">
        <f>IF(SUM(MK14:ML14,MN14:MP14,MR14)-SUM(MM14,MQ14)&gt;0,SUM(MK14:ML14,MN14:MP14,MR14)-SUM(MM14,MQ14),"")</f>
        <v/>
      </c>
      <c r="MZ14" s="76" t="str">
        <f>IF(SUM(MT14,MY14)&gt;0,SUM(MT14,MY14),"")</f>
        <v/>
      </c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16" t="str">
        <f>IF(SUM(NB14,NF14)&gt;0,SUM(NB14,NF14),"")</f>
        <v/>
      </c>
      <c r="NV14" s="16" t="str">
        <f>IF(SUM(NA14:NB14,ND14:NF14,NH14)-NC14-NG14&gt;0,SUM(NA14:NB14,ND14:NF14,NH14)-NC14-NG14,"")</f>
        <v/>
      </c>
      <c r="NW14" s="16" t="str">
        <f>IF(SUM(NI14:NJ14,NL14)-NK14&gt;0,SUM(NI14:NJ14,NL14)-NK14,"")</f>
        <v/>
      </c>
      <c r="NX14" s="16" t="str">
        <f>IF(SUM(NB14,NF14,NJ14)&gt;0,SUM(NB14,NF14,NJ14),"")</f>
        <v/>
      </c>
      <c r="NY14" s="16" t="str">
        <f>IF(SUM(NV14,NW14)&gt;0,SUM(NV14,NW14),"")</f>
        <v/>
      </c>
      <c r="NZ14" s="16" t="str">
        <f>IF(SUM(NN14,NR14)&gt;0,SUM(NN14,NR14),"")</f>
        <v/>
      </c>
      <c r="OA14" s="16" t="str">
        <f>IF(SUM(NM14:NN14,NP14:NR14,NT14)-SUM(NO14,NS14)&gt;0,SUM(NM14:NN14,NP14:NR14,NT14)-SUM(NO14,NS14),"")</f>
        <v/>
      </c>
      <c r="OB14" s="16" t="str">
        <f>IF(SUM(NV14,OA14)&gt;0,SUM(NV14,OA14),"")</f>
        <v/>
      </c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76" t="str">
        <f>IF(SUM(OD14,OH14)&gt;0,SUM(OD14,OH14),"")</f>
        <v/>
      </c>
      <c r="OX14" s="76" t="str">
        <f>IF(SUM(OC14:OD14,OF14:OH14,OJ14)-OE14-OI14&gt;0,SUM(OC14:OD14,OF14:OH14,OJ14)-OE14-OI14,"")</f>
        <v/>
      </c>
      <c r="OY14" s="76" t="str">
        <f>IF(SUM(OK14:OL14,ON14)-OM14&gt;0,SUM(OK14:OL14,ON14)-OM14,"")</f>
        <v/>
      </c>
      <c r="OZ14" s="76" t="str">
        <f>IF(SUM(OD14,OH14,OL14)&gt;0,SUM(OD14,OH14,OL14),"")</f>
        <v/>
      </c>
      <c r="PA14" s="76" t="str">
        <f>IF(SUM(OX14,OY14)&gt;0,SUM(OX14,OY14),"")</f>
        <v/>
      </c>
      <c r="PB14" s="76" t="str">
        <f>IF(SUM(OP14,OT14)&gt;0,SUM(OP14,OT14),"")</f>
        <v/>
      </c>
      <c r="PC14" s="76" t="str">
        <f>IF(SUM(OO14:OP14,OR14:OT14,OV14)-SUM(OQ14,OU14)&gt;0,SUM(OO14:OP14,OR14:OT14,OV14)-SUM(OQ14,OU14),"")</f>
        <v/>
      </c>
      <c r="PD14" s="76" t="str">
        <f>IF(SUM(OX14,PC14)&gt;0,SUM(OX14,PC14),"")</f>
        <v/>
      </c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16" t="str">
        <f>IF(SUM(PF14,PJ14)&gt;0,SUM(PF14,PJ14),"")</f>
        <v/>
      </c>
      <c r="PZ14" s="16" t="str">
        <f>IF(SUM(PE14:PF14,PH14:PJ14,PL14)-PG14-PK14&gt;0,SUM(PE14:PF14,PH14:PJ14,PL14)-PG14-PK14,"")</f>
        <v/>
      </c>
      <c r="QA14" s="16" t="str">
        <f>IF(SUM(PM14:PN14,PP14)-PO14&gt;0,SUM(PM14:PN14,PP14)-PO14,"")</f>
        <v/>
      </c>
      <c r="QB14" s="16" t="str">
        <f>IF(SUM(PF14,PJ14,PN14)&gt;0,SUM(PF14,PJ14,PN14),"")</f>
        <v/>
      </c>
      <c r="QC14" s="16" t="str">
        <f>IF(SUM(PZ14,QA14)&gt;0,SUM(PZ14,QA14),"")</f>
        <v/>
      </c>
      <c r="QD14" s="16" t="str">
        <f>IF(SUM(PR14,PV14)&gt;0,SUM(PR14,PV14),"")</f>
        <v/>
      </c>
      <c r="QE14" s="16" t="str">
        <f>IF(SUM(PQ14:PR14,PT14:PV14,PX14)-SUM(PS14,PW14)&gt;0,SUM(PQ14:PR14,PT14:PV14,PX14)-SUM(PS14,PW14),"")</f>
        <v/>
      </c>
      <c r="QF14" s="16" t="str">
        <f>IF(SUM(PZ14,QE14)&gt;0,SUM(PZ14,QE14),"")</f>
        <v/>
      </c>
      <c r="QG14" s="42">
        <f>IF($CW14="P",CC14,(CC14+AZ14)/2)</f>
        <v>9.1999999999999993</v>
      </c>
      <c r="QH14" s="42">
        <f>IF($CW14="P",CD14,(CD14+BA14)/2)</f>
        <v>2.6</v>
      </c>
      <c r="QI14" s="42">
        <f>IF($CW14="P",CE14,(CE14+BB14)/2)</f>
        <v>0.1</v>
      </c>
      <c r="QJ14" s="42">
        <f>IF($CW14="P",CF14,(CF14+BC14)/2)</f>
        <v>0</v>
      </c>
      <c r="QK14" s="42">
        <f>IF($CW14="P",CG14,(CG14+BD14)/2)</f>
        <v>8.5500000000000007</v>
      </c>
      <c r="QL14" s="42">
        <f>IF($CW14="P",CH14,(CH14+BE14)/2)</f>
        <v>0</v>
      </c>
      <c r="QM14" s="42">
        <f>IF($CW14="P",CI14,(CI14+BF14)/2)</f>
        <v>0</v>
      </c>
      <c r="QN14" s="42">
        <f>IF($CW14="P",CJ14,(CJ14+BG14)/2)</f>
        <v>0</v>
      </c>
      <c r="QO14" s="42">
        <f>IF($CW14="P",CK14,(CK14+BH14)/2)</f>
        <v>0</v>
      </c>
      <c r="QP14" s="42">
        <f>IF($CW14="P",CL14,(CL14+BI14)/2)</f>
        <v>0</v>
      </c>
      <c r="QQ14" s="42">
        <f>IF($CW14="P",CM14,(CM14+BJ14)/2)</f>
        <v>0</v>
      </c>
      <c r="QR14" s="42">
        <f>IF($CW14="P",CN14,(CN14+BK14)/2)</f>
        <v>0</v>
      </c>
      <c r="QS14" s="42">
        <f>IF($CW14="P",CO14,(CO14+BL14)/2)</f>
        <v>0</v>
      </c>
      <c r="QT14" s="42">
        <f>IF($CW14="P",CP14,(CP14+BM14)/2)</f>
        <v>0</v>
      </c>
      <c r="QU14" s="42">
        <f>IF($CW14="P",CQ14,(CQ14+BN14)/2)</f>
        <v>0</v>
      </c>
      <c r="QV14" s="42">
        <f>IF($CW14="P",CR14,(CR14+BO14)/2)</f>
        <v>0</v>
      </c>
      <c r="QW14" s="42">
        <f>IF($CW14="P",CS14,(CS14+BP14)/2)</f>
        <v>0</v>
      </c>
      <c r="QX14" s="42">
        <f>IF($CW14="P",CT14,(CT14+BQ14)/2)</f>
        <v>0</v>
      </c>
      <c r="QY14" s="42">
        <f>IF($CW14="P",CU14,(CU14+BR14)/2)</f>
        <v>0</v>
      </c>
      <c r="QZ14" s="42">
        <f>IF($CW14="P",CV14,(CV14+BS14)/2)</f>
        <v>0</v>
      </c>
      <c r="RA14" s="51" t="s">
        <v>61</v>
      </c>
      <c r="RB14" s="76">
        <f>IF(SUM(QH14,QL14)&gt;0,SUM(QH14,QL14),"")</f>
        <v>2.6</v>
      </c>
      <c r="RC14" s="76">
        <f>IF(SUM(QG14:QH14,QJ14:QL14,QN14)-QI14-QM14&gt;0,SUM(QG14:QH14,QJ14:QL14,QN14)-QI14-QM14,"")</f>
        <v>20.25</v>
      </c>
      <c r="RD14" s="76" t="str">
        <f>IF(SUM(QO14:QP14,QR14)-QQ14&gt;0,SUM(QO14:QP14,QR14)-QQ14,"")</f>
        <v/>
      </c>
      <c r="RE14" s="76">
        <f>IF(SUM(QH14,QL14,QP14)&gt;0,SUM(QH14,QL14,QP14),"")</f>
        <v>2.6</v>
      </c>
      <c r="RF14" s="76">
        <f>IF(SUM(RC14,RD14)&gt;0,SUM(RC14,RD14),"")</f>
        <v>20.25</v>
      </c>
      <c r="RG14" s="76" t="str">
        <f>IF(SUM(QT14,QX14)&gt;0,SUM(QT14,QX14),"")</f>
        <v/>
      </c>
      <c r="RH14" s="76" t="str">
        <f>IF(SUM(QS14:QT14,QV14:QX14,QZ14)-SUM(QU14,QY14)&gt;0,SUM(QS14:QT14,QV14:QX14,QZ14)-SUM(QU14,QY14),"")</f>
        <v/>
      </c>
      <c r="RI14" s="76">
        <f>IF(SUM(RC14,RH14)&gt;0,SUM(RC14,RH14),"")</f>
        <v>20.25</v>
      </c>
    </row>
    <row r="15" spans="1:477" ht="17" x14ac:dyDescent="0.2">
      <c r="T15" s="15"/>
      <c r="U15" s="15"/>
      <c r="V15" s="15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</row>
    <row r="16" spans="1:477" ht="17" x14ac:dyDescent="0.2">
      <c r="T16" s="15"/>
      <c r="U16" s="15"/>
      <c r="V16" s="15"/>
    </row>
    <row r="17" spans="1:458" ht="17" x14ac:dyDescent="0.2">
      <c r="B17" s="43" t="s">
        <v>58</v>
      </c>
      <c r="T17" s="15"/>
      <c r="U17" s="15"/>
      <c r="V17" s="15"/>
      <c r="AR17" s="7"/>
      <c r="AY17" s="78">
        <v>1.0000000000000001E-5</v>
      </c>
      <c r="BU17" s="7"/>
      <c r="CB17" s="78">
        <v>1.0000000000000001E-5</v>
      </c>
      <c r="CX17" s="7"/>
      <c r="DE17" s="78">
        <v>10.8</v>
      </c>
      <c r="EC17" s="7"/>
      <c r="EJ17" s="78">
        <v>1.0000000000000001E-5</v>
      </c>
      <c r="FE17" s="7"/>
      <c r="FL17" s="78">
        <v>10.8</v>
      </c>
      <c r="GG17" s="7"/>
      <c r="GN17" s="78">
        <v>10.8</v>
      </c>
      <c r="HI17" s="7"/>
      <c r="HP17" s="78">
        <v>10.8</v>
      </c>
      <c r="IK17" s="7"/>
      <c r="IR17" s="78">
        <v>10.8</v>
      </c>
      <c r="JM17" s="7"/>
      <c r="JT17" s="78">
        <v>10.8</v>
      </c>
      <c r="KO17" s="7"/>
      <c r="KV17" s="78">
        <v>10.8</v>
      </c>
      <c r="LQ17" s="7"/>
      <c r="LX17" s="78">
        <v>10.8</v>
      </c>
      <c r="MS17" s="7"/>
      <c r="MZ17" s="78">
        <v>10.8</v>
      </c>
      <c r="NU17" s="7"/>
      <c r="OB17" s="78">
        <v>10.8</v>
      </c>
      <c r="OW17" s="7"/>
      <c r="PD17" s="78">
        <v>10.8</v>
      </c>
      <c r="PY17" s="7"/>
      <c r="QF17" s="78">
        <v>10.8</v>
      </c>
    </row>
    <row r="18" spans="1:458" ht="17" x14ac:dyDescent="0.2">
      <c r="B18" s="54" t="s">
        <v>57</v>
      </c>
      <c r="T18" s="15"/>
      <c r="U18" s="15"/>
      <c r="V18" s="15"/>
      <c r="AR18" s="7"/>
      <c r="AY18" s="93">
        <v>2.0000000000000002E-5</v>
      </c>
      <c r="BU18" s="7"/>
      <c r="CB18" s="93">
        <v>2.0000000000000002E-5</v>
      </c>
      <c r="CX18" s="7"/>
      <c r="DE18" s="93">
        <v>16</v>
      </c>
      <c r="EC18" s="7"/>
      <c r="EJ18" s="93">
        <v>2.0000000000000002E-5</v>
      </c>
      <c r="FE18" s="7"/>
      <c r="FL18" s="93">
        <v>16</v>
      </c>
      <c r="GG18" s="7"/>
      <c r="GN18" s="93">
        <v>16</v>
      </c>
      <c r="HI18" s="7"/>
      <c r="HP18" s="93">
        <v>16</v>
      </c>
      <c r="IK18" s="7"/>
      <c r="IR18" s="93">
        <v>16</v>
      </c>
      <c r="JM18" s="7"/>
      <c r="JT18" s="93">
        <v>16</v>
      </c>
      <c r="KO18" s="7"/>
      <c r="KV18" s="93">
        <v>16</v>
      </c>
      <c r="LQ18" s="7"/>
      <c r="LX18" s="93">
        <v>16</v>
      </c>
      <c r="MS18" s="7"/>
      <c r="MZ18" s="93">
        <v>16</v>
      </c>
      <c r="NU18" s="7"/>
      <c r="OB18" s="93">
        <v>16</v>
      </c>
      <c r="OW18" s="7"/>
      <c r="PD18" s="93">
        <v>16</v>
      </c>
      <c r="PY18" s="7"/>
      <c r="QF18" s="93">
        <v>16</v>
      </c>
    </row>
    <row r="19" spans="1:458" ht="17" x14ac:dyDescent="0.2">
      <c r="A19" s="35"/>
      <c r="B19" s="55" t="s">
        <v>71</v>
      </c>
      <c r="C19" s="34"/>
      <c r="T19" s="15"/>
      <c r="U19" s="15"/>
      <c r="V19" s="15"/>
      <c r="AR19" s="7"/>
      <c r="AY19" s="80">
        <v>3.0000000000000001E-5</v>
      </c>
      <c r="BU19" s="7"/>
      <c r="CB19" s="80">
        <v>3.0000000000000001E-5</v>
      </c>
      <c r="CX19" s="7"/>
      <c r="DE19" s="80">
        <v>16.8</v>
      </c>
      <c r="EC19" s="7"/>
      <c r="EJ19" s="80">
        <v>3.0000000000000001E-5</v>
      </c>
      <c r="FE19" s="7"/>
      <c r="FL19" s="80">
        <v>16.8</v>
      </c>
      <c r="GG19" s="7"/>
      <c r="GN19" s="80">
        <v>16.8</v>
      </c>
      <c r="HI19" s="7"/>
      <c r="HP19" s="80">
        <v>16.8</v>
      </c>
      <c r="IK19" s="7"/>
      <c r="IR19" s="80">
        <v>16.8</v>
      </c>
      <c r="JM19" s="7"/>
      <c r="JT19" s="80">
        <v>16.8</v>
      </c>
      <c r="KO19" s="7"/>
      <c r="KV19" s="80">
        <v>16.8</v>
      </c>
      <c r="LQ19" s="7"/>
      <c r="LX19" s="80">
        <v>16.8</v>
      </c>
      <c r="MS19" s="7"/>
      <c r="MZ19" s="80">
        <v>16.8</v>
      </c>
      <c r="NU19" s="7"/>
      <c r="OB19" s="80">
        <v>16.8</v>
      </c>
      <c r="OW19" s="7"/>
      <c r="PD19" s="80">
        <v>16.8</v>
      </c>
      <c r="PY19" s="7"/>
      <c r="QF19" s="80">
        <v>16.8</v>
      </c>
    </row>
    <row r="20" spans="1:458" ht="17" x14ac:dyDescent="0.2">
      <c r="A20" s="35"/>
      <c r="B20" s="66" t="s">
        <v>86</v>
      </c>
      <c r="C20" s="34"/>
      <c r="T20" s="15"/>
      <c r="U20" s="15"/>
      <c r="V20" s="15"/>
      <c r="AR20" s="7"/>
      <c r="AY20" s="81">
        <v>4.0000000000000003E-5</v>
      </c>
      <c r="BU20" s="7"/>
      <c r="CB20" s="81">
        <v>4.0000000000000003E-5</v>
      </c>
      <c r="CX20" s="7"/>
      <c r="DE20" s="81">
        <v>17.600000000000001</v>
      </c>
      <c r="EC20" s="7"/>
      <c r="EJ20" s="81">
        <v>4.0000000000000003E-5</v>
      </c>
      <c r="FE20" s="7"/>
      <c r="FL20" s="81">
        <v>17.600000000000001</v>
      </c>
      <c r="GG20" s="7"/>
      <c r="GN20" s="81">
        <v>17.600000000000001</v>
      </c>
      <c r="HI20" s="7"/>
      <c r="HP20" s="81">
        <v>17.600000000000001</v>
      </c>
      <c r="IK20" s="7"/>
      <c r="IR20" s="81">
        <v>17.600000000000001</v>
      </c>
      <c r="JM20" s="7"/>
      <c r="JT20" s="81">
        <v>17.600000000000001</v>
      </c>
      <c r="KO20" s="7"/>
      <c r="KV20" s="81">
        <v>17.600000000000001</v>
      </c>
      <c r="LQ20" s="7"/>
      <c r="LX20" s="81">
        <v>17.600000000000001</v>
      </c>
      <c r="MS20" s="7"/>
      <c r="MZ20" s="81">
        <v>17.600000000000001</v>
      </c>
      <c r="NU20" s="7"/>
      <c r="OB20" s="81">
        <v>17.600000000000001</v>
      </c>
      <c r="OW20" s="7"/>
      <c r="PD20" s="81">
        <v>17.600000000000001</v>
      </c>
      <c r="PY20" s="7"/>
      <c r="QF20" s="81">
        <v>17.600000000000001</v>
      </c>
    </row>
    <row r="21" spans="1:458" ht="17" x14ac:dyDescent="0.2">
      <c r="A21" s="35"/>
      <c r="B21" s="65" t="s">
        <v>55</v>
      </c>
      <c r="C21" s="34"/>
      <c r="T21" s="15"/>
      <c r="U21" s="15"/>
      <c r="V21" s="15"/>
      <c r="AR21" s="7"/>
      <c r="AY21" s="82">
        <v>5.0000000000000002E-5</v>
      </c>
      <c r="BU21" s="7"/>
      <c r="CB21" s="82">
        <v>5.0000000000000002E-5</v>
      </c>
      <c r="CX21" s="7"/>
      <c r="DE21" s="82">
        <v>48</v>
      </c>
      <c r="EC21" s="7"/>
      <c r="EJ21" s="82">
        <v>5.0000000000000002E-5</v>
      </c>
      <c r="FE21" s="7"/>
      <c r="FL21" s="82">
        <v>48</v>
      </c>
      <c r="GG21" s="7"/>
      <c r="GN21" s="82">
        <v>48</v>
      </c>
      <c r="HI21" s="7"/>
      <c r="HP21" s="82">
        <v>48</v>
      </c>
      <c r="IK21" s="7"/>
      <c r="IR21" s="82">
        <v>48</v>
      </c>
      <c r="JM21" s="7"/>
      <c r="JT21" s="82">
        <v>48</v>
      </c>
      <c r="KO21" s="7"/>
      <c r="KV21" s="82">
        <v>48</v>
      </c>
      <c r="LQ21" s="7"/>
      <c r="LX21" s="82">
        <v>48</v>
      </c>
      <c r="MS21" s="7"/>
      <c r="MZ21" s="82">
        <v>48</v>
      </c>
      <c r="NU21" s="7"/>
      <c r="OB21" s="82">
        <v>48</v>
      </c>
      <c r="OW21" s="7"/>
      <c r="PD21" s="82">
        <v>48</v>
      </c>
      <c r="PY21" s="7"/>
      <c r="QF21" s="82">
        <v>48</v>
      </c>
    </row>
    <row r="22" spans="1:458" ht="17" x14ac:dyDescent="0.2">
      <c r="A22" s="35"/>
      <c r="B22" s="44" t="s">
        <v>56</v>
      </c>
      <c r="C22" s="34"/>
      <c r="T22" s="15"/>
      <c r="U22" s="15"/>
      <c r="V22" s="15"/>
      <c r="AR22" s="7"/>
      <c r="AY22" s="83">
        <v>6.0000000000000002E-5</v>
      </c>
      <c r="BU22" s="7"/>
      <c r="CB22" s="83">
        <v>6.0000000000000002E-5</v>
      </c>
      <c r="CX22" s="7"/>
      <c r="DE22" s="83">
        <v>72</v>
      </c>
      <c r="EC22" s="7"/>
      <c r="EJ22" s="83">
        <v>6.0000000000000002E-5</v>
      </c>
      <c r="FE22" s="7"/>
      <c r="FL22" s="83">
        <v>72</v>
      </c>
      <c r="GG22" s="7"/>
      <c r="GN22" s="83">
        <v>72</v>
      </c>
      <c r="HI22" s="7"/>
      <c r="HP22" s="83">
        <v>72</v>
      </c>
      <c r="IK22" s="7"/>
      <c r="IR22" s="83">
        <v>72</v>
      </c>
      <c r="JM22" s="7"/>
      <c r="JT22" s="83">
        <v>72</v>
      </c>
      <c r="KO22" s="7"/>
      <c r="KV22" s="83">
        <v>72</v>
      </c>
      <c r="LQ22" s="7"/>
      <c r="LX22" s="83">
        <v>72</v>
      </c>
      <c r="MS22" s="7"/>
      <c r="MZ22" s="83">
        <v>72</v>
      </c>
      <c r="NU22" s="7"/>
      <c r="OB22" s="83">
        <v>72</v>
      </c>
      <c r="OW22" s="7"/>
      <c r="PD22" s="83">
        <v>72</v>
      </c>
      <c r="PY22" s="7"/>
      <c r="QF22" s="83">
        <v>72</v>
      </c>
    </row>
    <row r="23" spans="1:458" ht="17" x14ac:dyDescent="0.2">
      <c r="A23" s="35"/>
      <c r="B23" s="64" t="s">
        <v>70</v>
      </c>
      <c r="C23" s="34"/>
      <c r="T23" s="15"/>
      <c r="U23" s="15"/>
      <c r="V23" s="15"/>
      <c r="AR23" s="7"/>
      <c r="AY23" s="84">
        <v>6.9999999999999994E-5</v>
      </c>
      <c r="BU23" s="7"/>
      <c r="CB23" s="84">
        <v>6.9999999999999994E-5</v>
      </c>
      <c r="CX23" s="7"/>
      <c r="DE23" s="84">
        <v>73.400000000000006</v>
      </c>
      <c r="EC23" s="7"/>
      <c r="EJ23" s="84">
        <v>6.9999999999999994E-5</v>
      </c>
      <c r="FE23" s="7"/>
      <c r="FL23" s="84">
        <v>73.400000000000006</v>
      </c>
      <c r="GG23" s="7"/>
      <c r="GN23" s="84">
        <v>73.400000000000006</v>
      </c>
      <c r="HI23" s="7"/>
      <c r="HP23" s="84">
        <v>73.400000000000006</v>
      </c>
      <c r="IK23" s="7"/>
      <c r="IR23" s="84">
        <v>73.400000000000006</v>
      </c>
      <c r="JM23" s="7"/>
      <c r="JT23" s="84">
        <v>73.400000000000006</v>
      </c>
      <c r="KO23" s="7"/>
      <c r="KV23" s="84">
        <v>73.400000000000006</v>
      </c>
      <c r="LQ23" s="7"/>
      <c r="LX23" s="84">
        <v>73.400000000000006</v>
      </c>
      <c r="MS23" s="7"/>
      <c r="MZ23" s="84">
        <v>73.400000000000006</v>
      </c>
      <c r="NU23" s="7"/>
      <c r="OB23" s="84">
        <v>73.400000000000006</v>
      </c>
      <c r="OW23" s="7"/>
      <c r="PD23" s="84">
        <v>73.400000000000006</v>
      </c>
      <c r="PY23" s="7"/>
      <c r="QF23" s="84">
        <v>73.400000000000006</v>
      </c>
    </row>
    <row r="24" spans="1:458" ht="17" x14ac:dyDescent="0.2">
      <c r="A24" s="35"/>
      <c r="B24" s="45" t="s">
        <v>39</v>
      </c>
      <c r="C24" s="34"/>
      <c r="T24" s="15"/>
      <c r="U24" s="15"/>
      <c r="V24" s="15"/>
      <c r="AR24" s="7"/>
      <c r="AV24" s="70" t="s">
        <v>174</v>
      </c>
      <c r="AY24" s="85">
        <v>8.0000000000000007E-5</v>
      </c>
      <c r="BU24" s="7"/>
      <c r="BY24" s="70" t="s">
        <v>174</v>
      </c>
      <c r="CB24" s="85">
        <v>8.0000000000000007E-5</v>
      </c>
      <c r="CX24" s="7"/>
      <c r="DE24" s="85">
        <v>74.8</v>
      </c>
      <c r="EC24" s="7"/>
      <c r="EG24" s="70" t="s">
        <v>174</v>
      </c>
      <c r="EJ24" s="85">
        <v>8.0000000000000007E-5</v>
      </c>
      <c r="FE24" s="7"/>
      <c r="FL24" s="85">
        <v>74.8</v>
      </c>
      <c r="GG24" s="7"/>
      <c r="GN24" s="85">
        <v>74.8</v>
      </c>
      <c r="HI24" s="7"/>
      <c r="HP24" s="85">
        <v>74.8</v>
      </c>
      <c r="IK24" s="7"/>
      <c r="IR24" s="85">
        <v>74.8</v>
      </c>
      <c r="JM24" s="7"/>
      <c r="JT24" s="85">
        <v>74.8</v>
      </c>
      <c r="KO24" s="7"/>
      <c r="KV24" s="85">
        <v>74.8</v>
      </c>
      <c r="LQ24" s="7"/>
      <c r="LX24" s="85">
        <v>74.8</v>
      </c>
      <c r="MS24" s="7"/>
      <c r="MZ24" s="85">
        <v>74.8</v>
      </c>
      <c r="NU24" s="7"/>
      <c r="OB24" s="85">
        <v>74.8</v>
      </c>
      <c r="OW24" s="7"/>
      <c r="PD24" s="85">
        <v>74.8</v>
      </c>
      <c r="PY24" s="7"/>
      <c r="QF24" s="85">
        <v>74.8</v>
      </c>
    </row>
    <row r="25" spans="1:458" x14ac:dyDescent="0.2">
      <c r="B25" s="53" t="s">
        <v>62</v>
      </c>
      <c r="C25" s="2"/>
    </row>
    <row r="26" spans="1:458" x14ac:dyDescent="0.2">
      <c r="A26" s="35"/>
      <c r="B26" s="35"/>
      <c r="C26" s="34"/>
      <c r="QH26" s="2"/>
      <c r="QI26" s="2"/>
      <c r="QJ26" s="2"/>
      <c r="QK26" s="2"/>
      <c r="QL26" s="2"/>
      <c r="QM26" s="2"/>
      <c r="QN26" s="2"/>
      <c r="QO26" s="2"/>
      <c r="QP26" s="2"/>
    </row>
    <row r="27" spans="1:458" x14ac:dyDescent="0.2">
      <c r="A27" s="35"/>
      <c r="B27" s="35"/>
      <c r="C27" s="34"/>
    </row>
    <row r="28" spans="1:458" x14ac:dyDescent="0.2">
      <c r="A28" s="35"/>
      <c r="B28" s="35"/>
      <c r="C28" s="34"/>
    </row>
    <row r="29" spans="1:458" x14ac:dyDescent="0.2">
      <c r="A29" s="6"/>
      <c r="B29" s="6"/>
      <c r="C29" s="6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14">
      <sortCondition descending="1" ref="F1:F15"/>
    </sortState>
  </autoFilter>
  <mergeCells count="119"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LE2:LH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IS2:IV2"/>
    <mergeCell ref="IW2:IZ2"/>
    <mergeCell ref="JA2:JD2"/>
    <mergeCell ref="JE2:JH2"/>
    <mergeCell ref="JI2:JL2"/>
    <mergeCell ref="JU2:JX2"/>
    <mergeCell ref="HE2:HH2"/>
    <mergeCell ref="HQ2:HT2"/>
    <mergeCell ref="HU2:HX2"/>
    <mergeCell ref="HY2:IB2"/>
    <mergeCell ref="IC2:IF2"/>
    <mergeCell ref="IG2:IJ2"/>
    <mergeCell ref="FY2:GB2"/>
    <mergeCell ref="GC2:GF2"/>
    <mergeCell ref="GO2:GR2"/>
    <mergeCell ref="GS2:GV2"/>
    <mergeCell ref="GW2:GZ2"/>
    <mergeCell ref="HA2:HD2"/>
    <mergeCell ref="ES2:EV2"/>
    <mergeCell ref="EW2:EZ2"/>
    <mergeCell ref="FA2:FD2"/>
    <mergeCell ref="FM2:FP2"/>
    <mergeCell ref="FQ2:FT2"/>
    <mergeCell ref="FU2:FX2"/>
    <mergeCell ref="DU2:DX2"/>
    <mergeCell ref="DY2:EB2"/>
    <mergeCell ref="EK2:EN2"/>
    <mergeCell ref="EO2:ER2"/>
    <mergeCell ref="CC2:CF2"/>
    <mergeCell ref="CG2:CJ2"/>
    <mergeCell ref="CK2:CN2"/>
    <mergeCell ref="CO2:CR2"/>
    <mergeCell ref="CS2:CV2"/>
    <mergeCell ref="DI2:DL2"/>
    <mergeCell ref="OC1:PD1"/>
    <mergeCell ref="PE1:QF1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S1:S3"/>
    <mergeCell ref="T1:T3"/>
    <mergeCell ref="U1:U3"/>
    <mergeCell ref="V1:V3"/>
    <mergeCell ref="W1:AY1"/>
    <mergeCell ref="AZ1:CB1"/>
    <mergeCell ref="BH2:BK2"/>
    <mergeCell ref="BL2:BO2"/>
    <mergeCell ref="BP2:BS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W4:AY14">
    <cfRule type="expression" dxfId="27" priority="5" stopIfTrue="1">
      <formula>IF($AQ4&lt;&gt;"",1,0)</formula>
    </cfRule>
  </conditionalFormatting>
  <conditionalFormatting sqref="AZ4:CB14">
    <cfRule type="expression" dxfId="26" priority="10" stopIfTrue="1">
      <formula>IF($BT4&lt;&gt;"",1,0)</formula>
    </cfRule>
  </conditionalFormatting>
  <conditionalFormatting sqref="M1:M3 O1:O3 Q1:Q3 K1:K1048576 S1:S1048576 M4:Q1048576">
    <cfRule type="expression" dxfId="25" priority="17">
      <formula>IF(K1=$CC$1,1,0)</formula>
    </cfRule>
    <cfRule type="expression" dxfId="24" priority="18">
      <formula>IF(K1=$AZ$1,1,0)</formula>
    </cfRule>
    <cfRule type="expression" dxfId="23" priority="19">
      <formula>IF(K1=$W$1,1,0)</formula>
    </cfRule>
  </conditionalFormatting>
  <conditionalFormatting sqref="CC4:DE14">
    <cfRule type="expression" dxfId="22" priority="11" stopIfTrue="1">
      <formula>IF($CW4&lt;&gt;"",1,0)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5" priority="59902" operator="between">
      <formula>AY$17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4" priority="59947" operator="between">
      <formula>AY$21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3" priority="59992" operator="between">
      <formula>AY$17</formula>
      <formula>AY$18</formula>
    </cfRule>
    <cfRule type="cellIs" dxfId="12" priority="59993" operator="between">
      <formula>AY$18</formula>
      <formula>AY$19</formula>
    </cfRule>
    <cfRule type="cellIs" dxfId="11" priority="59994" operator="between">
      <formula>AY$19</formula>
      <formula>AY$20</formula>
    </cfRule>
    <cfRule type="cellIs" dxfId="10" priority="59995" operator="between">
      <formula>AY$20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9" priority="60172" operator="between">
      <formula>AY$21</formula>
      <formula>AY$22</formula>
    </cfRule>
    <cfRule type="cellIs" dxfId="8" priority="60173" operator="between">
      <formula>AY$22</formula>
      <formula>AY$23</formula>
    </cfRule>
    <cfRule type="cellIs" dxfId="7" priority="60174" operator="between">
      <formula>AY$23</formula>
      <formula>AY$24</formula>
    </cfRule>
    <cfRule type="cellIs" dxfId="6" priority="60175" operator="between">
      <formula>AY$24</formula>
      <formula>1000</formula>
    </cfRule>
  </conditionalFormatting>
  <conditionalFormatting sqref="BY1:BY23 DB1:DB1048576 EG1:EG23 FI1:FI1048576 GK1:GK1048576 HM1:HM1048576 IO1:IO1048576 JQ1:JQ1048576 KS1:KS1048576 LU1:LU1048576 MW1:MW1048576 NY1:NY1048576 PA1:PA1048576 QC1:QC1048576 AV1:AV23 AV25:AV1048576 BY25:BY1048576 EG25:EG1048576">
    <cfRule type="cellIs" dxfId="5" priority="60352" operator="between">
      <formula>AY$24</formula>
      <formula>1000</formula>
    </cfRule>
    <cfRule type="cellIs" dxfId="4" priority="60353" operator="between">
      <formula>AY$23</formula>
      <formula>AY$24</formula>
    </cfRule>
    <cfRule type="cellIs" dxfId="3" priority="60354" operator="between">
      <formula>AY$22</formula>
      <formula>AY$23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60487" operator="between">
      <formula>AY$20</formula>
      <formula>1000</formula>
    </cfRule>
    <cfRule type="cellIs" dxfId="1" priority="60488" operator="between">
      <formula>AY$19</formula>
      <formula>AY$20</formula>
    </cfRule>
    <cfRule type="cellIs" dxfId="0" priority="60489" operator="between">
      <formula>AY$18</formula>
      <formula>AY$19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2022-05-19T18:20:22Z</dcterms:modified>
</cp:coreProperties>
</file>