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D82B1CE-83EE-124A-BCD1-7F5AB6871409}" xr6:coauthVersionLast="46" xr6:coauthVersionMax="46" xr10:uidLastSave="{00000000-0000-0000-0000-000000000000}"/>
  <bookViews>
    <workbookView xWindow="33600" yWindow="-9720" windowWidth="38400" windowHeight="211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'SYN-M'!$A$1:$NQ$10</definedName>
    <definedName name="_xlnm._FilterDatabase" localSheetId="4" hidden="1">'SYN-W'!$A$1:$NQ$9</definedName>
    <definedName name="_xlnm._FilterDatabase" localSheetId="1" hidden="1">'TRA-M'!$A$1:$OQ$22</definedName>
    <definedName name="_xlnm._FilterDatabase" localSheetId="2" hidden="1">'TRA-W'!$A$1:$OQ$16</definedName>
    <definedName name="_xlnm._FilterDatabase" localSheetId="5" hidden="1">'TUM-M'!$A$1:$MT$7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B14" i="12" l="1"/>
  <c r="LA14" i="12"/>
  <c r="KZ14" i="12"/>
  <c r="KY14" i="12"/>
  <c r="LB12" i="12"/>
  <c r="LA12" i="12"/>
  <c r="KZ12" i="12"/>
  <c r="KY12" i="12"/>
  <c r="LB11" i="12"/>
  <c r="LA11" i="12"/>
  <c r="KZ11" i="12"/>
  <c r="KY11" i="12"/>
  <c r="LB13" i="12"/>
  <c r="LA13" i="12"/>
  <c r="KZ13" i="12"/>
  <c r="KY13" i="12"/>
  <c r="LB10" i="12"/>
  <c r="LA10" i="12"/>
  <c r="KZ10" i="12"/>
  <c r="KY10" i="12"/>
  <c r="LB9" i="12"/>
  <c r="LA9" i="12"/>
  <c r="KZ9" i="12"/>
  <c r="KY9" i="12"/>
  <c r="LB16" i="12"/>
  <c r="LA16" i="12"/>
  <c r="KZ16" i="12"/>
  <c r="KY16" i="12"/>
  <c r="LB15" i="12"/>
  <c r="LA15" i="12"/>
  <c r="KZ15" i="12"/>
  <c r="KY15" i="12"/>
  <c r="LB5" i="12"/>
  <c r="LA5" i="12"/>
  <c r="KZ5" i="12"/>
  <c r="KY5" i="12"/>
  <c r="LB4" i="12"/>
  <c r="LA4" i="12"/>
  <c r="KZ4" i="12"/>
  <c r="KY4" i="12"/>
  <c r="LB6" i="12"/>
  <c r="LA6" i="12"/>
  <c r="KZ6" i="12"/>
  <c r="KY6" i="12"/>
  <c r="LB7" i="12"/>
  <c r="LA7" i="12"/>
  <c r="KZ7" i="12"/>
  <c r="KY7" i="12"/>
  <c r="LB8" i="12"/>
  <c r="LA8" i="12"/>
  <c r="KZ8" i="12"/>
  <c r="KY8" i="12"/>
  <c r="KG14" i="12"/>
  <c r="KF14" i="12"/>
  <c r="KE14" i="12"/>
  <c r="KD14" i="12"/>
  <c r="KG12" i="12"/>
  <c r="KF12" i="12"/>
  <c r="KE12" i="12"/>
  <c r="KD12" i="12"/>
  <c r="KG11" i="12"/>
  <c r="KF11" i="12"/>
  <c r="KE11" i="12"/>
  <c r="KD11" i="12"/>
  <c r="KG13" i="12"/>
  <c r="KF13" i="12"/>
  <c r="KE13" i="12"/>
  <c r="KD13" i="12"/>
  <c r="KG10" i="12"/>
  <c r="KF10" i="12"/>
  <c r="KE10" i="12"/>
  <c r="KD10" i="12"/>
  <c r="KG9" i="12"/>
  <c r="KF9" i="12"/>
  <c r="KE9" i="12"/>
  <c r="KD9" i="12"/>
  <c r="KG16" i="12"/>
  <c r="KF16" i="12"/>
  <c r="KE16" i="12"/>
  <c r="KD16" i="12"/>
  <c r="KG15" i="12"/>
  <c r="KF15" i="12"/>
  <c r="KE15" i="12"/>
  <c r="KD15" i="12"/>
  <c r="KG5" i="12"/>
  <c r="KF5" i="12"/>
  <c r="KE5" i="12"/>
  <c r="KD5" i="12"/>
  <c r="KG4" i="12"/>
  <c r="KF4" i="12"/>
  <c r="KE4" i="12"/>
  <c r="KD4" i="12"/>
  <c r="KG6" i="12"/>
  <c r="KF6" i="12"/>
  <c r="KE6" i="12"/>
  <c r="KD6" i="12"/>
  <c r="KG7" i="12"/>
  <c r="KF7" i="12"/>
  <c r="KE7" i="12"/>
  <c r="KD7" i="12"/>
  <c r="KG8" i="12"/>
  <c r="KF8" i="12"/>
  <c r="KE8" i="12"/>
  <c r="KD8" i="12"/>
  <c r="JL14" i="12"/>
  <c r="JK14" i="12"/>
  <c r="JJ14" i="12"/>
  <c r="JI14" i="12"/>
  <c r="JL12" i="12"/>
  <c r="JK12" i="12"/>
  <c r="JJ12" i="12"/>
  <c r="JI12" i="12"/>
  <c r="JL11" i="12"/>
  <c r="JK11" i="12"/>
  <c r="JJ11" i="12"/>
  <c r="JI11" i="12"/>
  <c r="JL13" i="12"/>
  <c r="JK13" i="12"/>
  <c r="JJ13" i="12"/>
  <c r="JI13" i="12"/>
  <c r="JL10" i="12"/>
  <c r="JK10" i="12"/>
  <c r="JJ10" i="12"/>
  <c r="JI10" i="12"/>
  <c r="JL9" i="12"/>
  <c r="JK9" i="12"/>
  <c r="JJ9" i="12"/>
  <c r="JI9" i="12"/>
  <c r="JL16" i="12"/>
  <c r="JK16" i="12"/>
  <c r="JJ16" i="12"/>
  <c r="JI16" i="12"/>
  <c r="JL15" i="12"/>
  <c r="JK15" i="12"/>
  <c r="JJ15" i="12"/>
  <c r="JI15" i="12"/>
  <c r="JL5" i="12"/>
  <c r="JK5" i="12"/>
  <c r="JJ5" i="12"/>
  <c r="JI5" i="12"/>
  <c r="JL4" i="12"/>
  <c r="JK4" i="12"/>
  <c r="JJ4" i="12"/>
  <c r="JI4" i="12"/>
  <c r="JL6" i="12"/>
  <c r="JK6" i="12"/>
  <c r="JJ6" i="12"/>
  <c r="JI6" i="12"/>
  <c r="JL7" i="12"/>
  <c r="JK7" i="12"/>
  <c r="JJ7" i="12"/>
  <c r="JI7" i="12"/>
  <c r="JL8" i="12"/>
  <c r="JK8" i="12"/>
  <c r="JJ8" i="12"/>
  <c r="JI8" i="12"/>
  <c r="IQ14" i="12"/>
  <c r="IP14" i="12"/>
  <c r="IO14" i="12"/>
  <c r="IN14" i="12"/>
  <c r="IQ12" i="12"/>
  <c r="IP12" i="12"/>
  <c r="IO12" i="12"/>
  <c r="IN12" i="12"/>
  <c r="IQ11" i="12"/>
  <c r="IP11" i="12"/>
  <c r="IO11" i="12"/>
  <c r="IN11" i="12"/>
  <c r="IQ13" i="12"/>
  <c r="IP13" i="12"/>
  <c r="IO13" i="12"/>
  <c r="IN13" i="12"/>
  <c r="IQ10" i="12"/>
  <c r="IP10" i="12"/>
  <c r="IO10" i="12"/>
  <c r="IN10" i="12"/>
  <c r="IQ9" i="12"/>
  <c r="IP9" i="12"/>
  <c r="IO9" i="12"/>
  <c r="IN9" i="12"/>
  <c r="IQ16" i="12"/>
  <c r="IP16" i="12"/>
  <c r="IO16" i="12"/>
  <c r="IN16" i="12"/>
  <c r="IQ15" i="12"/>
  <c r="IP15" i="12"/>
  <c r="IO15" i="12"/>
  <c r="IN15" i="12"/>
  <c r="IQ5" i="12"/>
  <c r="IP5" i="12"/>
  <c r="IO5" i="12"/>
  <c r="IN5" i="12"/>
  <c r="IQ4" i="12"/>
  <c r="IP4" i="12"/>
  <c r="IO4" i="12"/>
  <c r="IN4" i="12"/>
  <c r="IQ6" i="12"/>
  <c r="IP6" i="12"/>
  <c r="IO6" i="12"/>
  <c r="IN6" i="12"/>
  <c r="IQ7" i="12"/>
  <c r="IP7" i="12"/>
  <c r="IO7" i="12"/>
  <c r="IN7" i="12"/>
  <c r="IQ8" i="12"/>
  <c r="IP8" i="12"/>
  <c r="IO8" i="12"/>
  <c r="IN8" i="12"/>
  <c r="HV14" i="12"/>
  <c r="HU14" i="12"/>
  <c r="HT14" i="12"/>
  <c r="HS14" i="12"/>
  <c r="HV12" i="12"/>
  <c r="HU12" i="12"/>
  <c r="HT12" i="12"/>
  <c r="HS12" i="12"/>
  <c r="HV11" i="12"/>
  <c r="HU11" i="12"/>
  <c r="HT11" i="12"/>
  <c r="HS11" i="12"/>
  <c r="HV13" i="12"/>
  <c r="HU13" i="12"/>
  <c r="HT13" i="12"/>
  <c r="HS13" i="12"/>
  <c r="HV10" i="12"/>
  <c r="HU10" i="12"/>
  <c r="HT10" i="12"/>
  <c r="HS10" i="12"/>
  <c r="HV9" i="12"/>
  <c r="HU9" i="12"/>
  <c r="HT9" i="12"/>
  <c r="HS9" i="12"/>
  <c r="HV16" i="12"/>
  <c r="HU16" i="12"/>
  <c r="HT16" i="12"/>
  <c r="HS16" i="12"/>
  <c r="HV15" i="12"/>
  <c r="HU15" i="12"/>
  <c r="HT15" i="12"/>
  <c r="HS15" i="12"/>
  <c r="HV5" i="12"/>
  <c r="HU5" i="12"/>
  <c r="HT5" i="12"/>
  <c r="HS5" i="12"/>
  <c r="HV4" i="12"/>
  <c r="HU4" i="12"/>
  <c r="HT4" i="12"/>
  <c r="HS4" i="12"/>
  <c r="HV6" i="12"/>
  <c r="HU6" i="12"/>
  <c r="HT6" i="12"/>
  <c r="HS6" i="12"/>
  <c r="HV7" i="12"/>
  <c r="HU7" i="12"/>
  <c r="HT7" i="12"/>
  <c r="HS7" i="12"/>
  <c r="HV8" i="12"/>
  <c r="HU8" i="12"/>
  <c r="HT8" i="12"/>
  <c r="HS8" i="12"/>
  <c r="HA14" i="12"/>
  <c r="GZ14" i="12"/>
  <c r="GY14" i="12"/>
  <c r="GX14" i="12"/>
  <c r="HA12" i="12"/>
  <c r="GZ12" i="12"/>
  <c r="GY12" i="12"/>
  <c r="GX12" i="12"/>
  <c r="HA11" i="12"/>
  <c r="GZ11" i="12"/>
  <c r="GY11" i="12"/>
  <c r="GX11" i="12"/>
  <c r="HA13" i="12"/>
  <c r="GZ13" i="12"/>
  <c r="GY13" i="12"/>
  <c r="GX13" i="12"/>
  <c r="HA10" i="12"/>
  <c r="GZ10" i="12"/>
  <c r="GY10" i="12"/>
  <c r="GX10" i="12"/>
  <c r="HA9" i="12"/>
  <c r="GZ9" i="12"/>
  <c r="GY9" i="12"/>
  <c r="GX9" i="12"/>
  <c r="HA16" i="12"/>
  <c r="GZ16" i="12"/>
  <c r="GY16" i="12"/>
  <c r="GX16" i="12"/>
  <c r="HA15" i="12"/>
  <c r="GZ15" i="12"/>
  <c r="GY15" i="12"/>
  <c r="GX15" i="12"/>
  <c r="HA5" i="12"/>
  <c r="GZ5" i="12"/>
  <c r="GY5" i="12"/>
  <c r="GX5" i="12"/>
  <c r="HA4" i="12"/>
  <c r="GZ4" i="12"/>
  <c r="GY4" i="12"/>
  <c r="GX4" i="12"/>
  <c r="HA6" i="12"/>
  <c r="GZ6" i="12"/>
  <c r="GY6" i="12"/>
  <c r="GX6" i="12"/>
  <c r="HA7" i="12"/>
  <c r="GZ7" i="12"/>
  <c r="GY7" i="12"/>
  <c r="GX7" i="12"/>
  <c r="HA8" i="12"/>
  <c r="GZ8" i="12"/>
  <c r="GY8" i="12"/>
  <c r="GX8" i="12"/>
  <c r="GF14" i="12"/>
  <c r="GE14" i="12"/>
  <c r="GD14" i="12"/>
  <c r="GC14" i="12"/>
  <c r="GF12" i="12"/>
  <c r="GE12" i="12"/>
  <c r="GD12" i="12"/>
  <c r="GC12" i="12"/>
  <c r="GF11" i="12"/>
  <c r="GE11" i="12"/>
  <c r="GD11" i="12"/>
  <c r="GC11" i="12"/>
  <c r="GF13" i="12"/>
  <c r="GE13" i="12"/>
  <c r="GD13" i="12"/>
  <c r="GC13" i="12"/>
  <c r="GF10" i="12"/>
  <c r="GE10" i="12"/>
  <c r="GD10" i="12"/>
  <c r="GC10" i="12"/>
  <c r="GF9" i="12"/>
  <c r="GE9" i="12"/>
  <c r="GD9" i="12"/>
  <c r="GC9" i="12"/>
  <c r="GF16" i="12"/>
  <c r="GE16" i="12"/>
  <c r="GD16" i="12"/>
  <c r="GC16" i="12"/>
  <c r="GF15" i="12"/>
  <c r="GE15" i="12"/>
  <c r="GD15" i="12"/>
  <c r="GC15" i="12"/>
  <c r="GF5" i="12"/>
  <c r="GE5" i="12"/>
  <c r="GD5" i="12"/>
  <c r="GC5" i="12"/>
  <c r="GF4" i="12"/>
  <c r="GE4" i="12"/>
  <c r="GD4" i="12"/>
  <c r="GC4" i="12"/>
  <c r="GF6" i="12"/>
  <c r="GE6" i="12"/>
  <c r="GD6" i="12"/>
  <c r="GC6" i="12"/>
  <c r="GF7" i="12"/>
  <c r="GE7" i="12"/>
  <c r="GD7" i="12"/>
  <c r="GC7" i="12"/>
  <c r="GF8" i="12"/>
  <c r="GE8" i="12"/>
  <c r="GD8" i="12"/>
  <c r="GC8" i="12"/>
  <c r="FK14" i="12"/>
  <c r="FJ14" i="12"/>
  <c r="FI14" i="12"/>
  <c r="FH14" i="12"/>
  <c r="FK12" i="12"/>
  <c r="FJ12" i="12"/>
  <c r="FI12" i="12"/>
  <c r="FH12" i="12"/>
  <c r="FK11" i="12"/>
  <c r="FJ11" i="12"/>
  <c r="FI11" i="12"/>
  <c r="FH11" i="12"/>
  <c r="FK13" i="12"/>
  <c r="FJ13" i="12"/>
  <c r="FI13" i="12"/>
  <c r="FH13" i="12"/>
  <c r="FK10" i="12"/>
  <c r="FJ10" i="12"/>
  <c r="FI10" i="12"/>
  <c r="FH10" i="12"/>
  <c r="FK9" i="12"/>
  <c r="FJ9" i="12"/>
  <c r="FI9" i="12"/>
  <c r="FH9" i="12"/>
  <c r="FK16" i="12"/>
  <c r="FJ16" i="12"/>
  <c r="FI16" i="12"/>
  <c r="FH16" i="12"/>
  <c r="FK15" i="12"/>
  <c r="FJ15" i="12"/>
  <c r="FI15" i="12"/>
  <c r="FH15" i="12"/>
  <c r="FK5" i="12"/>
  <c r="FJ5" i="12"/>
  <c r="FI5" i="12"/>
  <c r="FH5" i="12"/>
  <c r="FK4" i="12"/>
  <c r="FJ4" i="12"/>
  <c r="FI4" i="12"/>
  <c r="FH4" i="12"/>
  <c r="FK6" i="12"/>
  <c r="FJ6" i="12"/>
  <c r="FI6" i="12"/>
  <c r="FH6" i="12"/>
  <c r="FK7" i="12"/>
  <c r="FJ7" i="12"/>
  <c r="FI7" i="12"/>
  <c r="FH7" i="12"/>
  <c r="FK8" i="12"/>
  <c r="FJ8" i="12"/>
  <c r="FI8" i="12"/>
  <c r="FH8" i="12"/>
  <c r="EP14" i="12"/>
  <c r="EO14" i="12"/>
  <c r="EN14" i="12"/>
  <c r="EM14" i="12"/>
  <c r="EP12" i="12"/>
  <c r="EO12" i="12"/>
  <c r="EN12" i="12"/>
  <c r="EM12" i="12"/>
  <c r="EP11" i="12"/>
  <c r="EO11" i="12"/>
  <c r="EN11" i="12"/>
  <c r="EM11" i="12"/>
  <c r="EP13" i="12"/>
  <c r="EO13" i="12"/>
  <c r="EN13" i="12"/>
  <c r="EM13" i="12"/>
  <c r="EP10" i="12"/>
  <c r="EO10" i="12"/>
  <c r="EN10" i="12"/>
  <c r="EM10" i="12"/>
  <c r="EP9" i="12"/>
  <c r="EO9" i="12"/>
  <c r="EN9" i="12"/>
  <c r="EM9" i="12"/>
  <c r="EP16" i="12"/>
  <c r="EO16" i="12"/>
  <c r="EN16" i="12"/>
  <c r="EM16" i="12"/>
  <c r="EP15" i="12"/>
  <c r="EO15" i="12"/>
  <c r="EN15" i="12"/>
  <c r="EM15" i="12"/>
  <c r="EP5" i="12"/>
  <c r="EO5" i="12"/>
  <c r="EN5" i="12"/>
  <c r="EM5" i="12"/>
  <c r="EP4" i="12"/>
  <c r="EO4" i="12"/>
  <c r="EN4" i="12"/>
  <c r="EM4" i="12"/>
  <c r="EP6" i="12"/>
  <c r="EO6" i="12"/>
  <c r="EN6" i="12"/>
  <c r="EM6" i="12"/>
  <c r="EP7" i="12"/>
  <c r="EO7" i="12"/>
  <c r="EN7" i="12"/>
  <c r="EM7" i="12"/>
  <c r="EP8" i="12"/>
  <c r="EO8" i="12"/>
  <c r="EN8" i="12"/>
  <c r="EM8" i="12"/>
  <c r="DU14" i="12"/>
  <c r="DT14" i="12"/>
  <c r="DS14" i="12"/>
  <c r="DR14" i="12"/>
  <c r="DU12" i="12"/>
  <c r="DT12" i="12"/>
  <c r="DS12" i="12"/>
  <c r="DR12" i="12"/>
  <c r="DU11" i="12"/>
  <c r="DT11" i="12"/>
  <c r="DS11" i="12"/>
  <c r="DR11" i="12"/>
  <c r="DU13" i="12"/>
  <c r="DT13" i="12"/>
  <c r="DS13" i="12"/>
  <c r="DR13" i="12"/>
  <c r="DU10" i="12"/>
  <c r="DT10" i="12"/>
  <c r="DS10" i="12"/>
  <c r="DR10" i="12"/>
  <c r="DU9" i="12"/>
  <c r="DT9" i="12"/>
  <c r="DS9" i="12"/>
  <c r="DR9" i="12"/>
  <c r="DU16" i="12"/>
  <c r="DT16" i="12"/>
  <c r="DS16" i="12"/>
  <c r="DR16" i="12"/>
  <c r="DU15" i="12"/>
  <c r="DT15" i="12"/>
  <c r="DS15" i="12"/>
  <c r="DR15" i="12"/>
  <c r="DU5" i="12"/>
  <c r="DT5" i="12"/>
  <c r="DS5" i="12"/>
  <c r="DR5" i="12"/>
  <c r="DU4" i="12"/>
  <c r="DT4" i="12"/>
  <c r="DS4" i="12"/>
  <c r="DR4" i="12"/>
  <c r="DU6" i="12"/>
  <c r="DT6" i="12"/>
  <c r="DS6" i="12"/>
  <c r="DR6" i="12"/>
  <c r="DU7" i="12"/>
  <c r="DT7" i="12"/>
  <c r="DS7" i="12"/>
  <c r="DR7" i="12"/>
  <c r="DU8" i="12"/>
  <c r="DT8" i="12"/>
  <c r="DS8" i="12"/>
  <c r="DR8" i="12"/>
  <c r="CZ14" i="12"/>
  <c r="CY14" i="12"/>
  <c r="CX14" i="12"/>
  <c r="CW14" i="12"/>
  <c r="CZ12" i="12"/>
  <c r="CY12" i="12"/>
  <c r="CX12" i="12"/>
  <c r="CW12" i="12"/>
  <c r="CZ11" i="12"/>
  <c r="CY11" i="12"/>
  <c r="CX11" i="12"/>
  <c r="CW11" i="12"/>
  <c r="CZ13" i="12"/>
  <c r="CY13" i="12"/>
  <c r="CX13" i="12"/>
  <c r="CW13" i="12"/>
  <c r="CZ10" i="12"/>
  <c r="CY10" i="12"/>
  <c r="CX10" i="12"/>
  <c r="CW10" i="12"/>
  <c r="CZ9" i="12"/>
  <c r="CY9" i="12"/>
  <c r="CX9" i="12"/>
  <c r="CW9" i="12"/>
  <c r="CZ16" i="12"/>
  <c r="CY16" i="12"/>
  <c r="CX16" i="12"/>
  <c r="CW16" i="12"/>
  <c r="CZ15" i="12"/>
  <c r="CY15" i="12"/>
  <c r="CX15" i="12"/>
  <c r="CW15" i="12"/>
  <c r="CZ5" i="12"/>
  <c r="CY5" i="12"/>
  <c r="CX5" i="12"/>
  <c r="CW5" i="12"/>
  <c r="CZ4" i="12"/>
  <c r="CY4" i="12"/>
  <c r="CX4" i="12"/>
  <c r="CW4" i="12"/>
  <c r="CZ6" i="12"/>
  <c r="CY6" i="12"/>
  <c r="CX6" i="12"/>
  <c r="CW6" i="12"/>
  <c r="CZ7" i="12"/>
  <c r="CY7" i="12"/>
  <c r="CX7" i="12"/>
  <c r="CW7" i="12"/>
  <c r="CZ8" i="12"/>
  <c r="CY8" i="12"/>
  <c r="CX8" i="12"/>
  <c r="CW8" i="12"/>
  <c r="LB23" i="6"/>
  <c r="LA23" i="6"/>
  <c r="KZ23" i="6"/>
  <c r="LC23" i="6" s="1"/>
  <c r="KY23" i="6"/>
  <c r="LB17" i="6"/>
  <c r="LA17" i="6"/>
  <c r="KZ17" i="6"/>
  <c r="KY17" i="6"/>
  <c r="LB22" i="6"/>
  <c r="LA22" i="6"/>
  <c r="KZ22" i="6"/>
  <c r="LC22" i="6" s="1"/>
  <c r="KY22" i="6"/>
  <c r="LB21" i="6"/>
  <c r="LA21" i="6"/>
  <c r="KZ21" i="6"/>
  <c r="KY21" i="6"/>
  <c r="LB18" i="6"/>
  <c r="LA18" i="6"/>
  <c r="KZ18" i="6"/>
  <c r="LC18" i="6" s="1"/>
  <c r="KY18" i="6"/>
  <c r="LB19" i="6"/>
  <c r="LA19" i="6"/>
  <c r="KZ19" i="6"/>
  <c r="LC19" i="6" s="1"/>
  <c r="KY19" i="6"/>
  <c r="LB14" i="6"/>
  <c r="LA14" i="6"/>
  <c r="KZ14" i="6"/>
  <c r="KY14" i="6"/>
  <c r="LB13" i="6"/>
  <c r="LA13" i="6"/>
  <c r="KZ13" i="6"/>
  <c r="LC13" i="6" s="1"/>
  <c r="KY13" i="6"/>
  <c r="LB16" i="6"/>
  <c r="LA16" i="6"/>
  <c r="KZ16" i="6"/>
  <c r="LC16" i="6" s="1"/>
  <c r="KY16" i="6"/>
  <c r="LB12" i="6"/>
  <c r="LA12" i="6"/>
  <c r="KZ12" i="6"/>
  <c r="KY12" i="6"/>
  <c r="LB15" i="6"/>
  <c r="LA15" i="6"/>
  <c r="KZ15" i="6"/>
  <c r="LC15" i="6" s="1"/>
  <c r="KY15" i="6"/>
  <c r="LB20" i="6"/>
  <c r="LA20" i="6"/>
  <c r="KZ20" i="6"/>
  <c r="KY20" i="6"/>
  <c r="LB8" i="6"/>
  <c r="LA8" i="6"/>
  <c r="KZ8" i="6"/>
  <c r="LC8" i="6" s="1"/>
  <c r="KY8" i="6"/>
  <c r="LB11" i="6"/>
  <c r="LA11" i="6"/>
  <c r="KZ11" i="6"/>
  <c r="KY11" i="6"/>
  <c r="LB7" i="6"/>
  <c r="LA7" i="6"/>
  <c r="KZ7" i="6"/>
  <c r="KY7" i="6"/>
  <c r="LB6" i="6"/>
  <c r="LA6" i="6"/>
  <c r="KZ6" i="6"/>
  <c r="KY6" i="6"/>
  <c r="LB10" i="6"/>
  <c r="LA10" i="6"/>
  <c r="KZ10" i="6"/>
  <c r="KY10" i="6"/>
  <c r="LB5" i="6"/>
  <c r="LA5" i="6"/>
  <c r="KZ5" i="6"/>
  <c r="KY5" i="6"/>
  <c r="LB4" i="6"/>
  <c r="LA4" i="6"/>
  <c r="KZ4" i="6"/>
  <c r="KY4" i="6"/>
  <c r="LB9" i="6"/>
  <c r="LA9" i="6"/>
  <c r="KZ9" i="6"/>
  <c r="KY9" i="6"/>
  <c r="KG23" i="6"/>
  <c r="KF23" i="6"/>
  <c r="KE23" i="6"/>
  <c r="KD23" i="6"/>
  <c r="KG17" i="6"/>
  <c r="KF17" i="6"/>
  <c r="KE17" i="6"/>
  <c r="KD17" i="6"/>
  <c r="KG22" i="6"/>
  <c r="KF22" i="6"/>
  <c r="KE22" i="6"/>
  <c r="KD22" i="6"/>
  <c r="KG21" i="6"/>
  <c r="KF21" i="6"/>
  <c r="KE21" i="6"/>
  <c r="KD21" i="6"/>
  <c r="KG18" i="6"/>
  <c r="KF18" i="6"/>
  <c r="KE18" i="6"/>
  <c r="KD18" i="6"/>
  <c r="KG19" i="6"/>
  <c r="KF19" i="6"/>
  <c r="KE19" i="6"/>
  <c r="KD19" i="6"/>
  <c r="KG14" i="6"/>
  <c r="KF14" i="6"/>
  <c r="KE14" i="6"/>
  <c r="KD14" i="6"/>
  <c r="KG13" i="6"/>
  <c r="KF13" i="6"/>
  <c r="KE13" i="6"/>
  <c r="KD13" i="6"/>
  <c r="KG16" i="6"/>
  <c r="KF16" i="6"/>
  <c r="KE16" i="6"/>
  <c r="KD16" i="6"/>
  <c r="KG12" i="6"/>
  <c r="KF12" i="6"/>
  <c r="KE12" i="6"/>
  <c r="KD12" i="6"/>
  <c r="KG15" i="6"/>
  <c r="KF15" i="6"/>
  <c r="KE15" i="6"/>
  <c r="KD15" i="6"/>
  <c r="KG20" i="6"/>
  <c r="KF20" i="6"/>
  <c r="KE20" i="6"/>
  <c r="KD20" i="6"/>
  <c r="KG8" i="6"/>
  <c r="KF8" i="6"/>
  <c r="KE8" i="6"/>
  <c r="KD8" i="6"/>
  <c r="KG11" i="6"/>
  <c r="KF11" i="6"/>
  <c r="KE11" i="6"/>
  <c r="KD11" i="6"/>
  <c r="KG7" i="6"/>
  <c r="KF7" i="6"/>
  <c r="KE7" i="6"/>
  <c r="KD7" i="6"/>
  <c r="KG6" i="6"/>
  <c r="KF6" i="6"/>
  <c r="KE6" i="6"/>
  <c r="KD6" i="6"/>
  <c r="KG10" i="6"/>
  <c r="KF10" i="6"/>
  <c r="KE10" i="6"/>
  <c r="KD10" i="6"/>
  <c r="KG5" i="6"/>
  <c r="KF5" i="6"/>
  <c r="KE5" i="6"/>
  <c r="KD5" i="6"/>
  <c r="KG4" i="6"/>
  <c r="KF4" i="6"/>
  <c r="KE4" i="6"/>
  <c r="KD4" i="6"/>
  <c r="KG9" i="6"/>
  <c r="KF9" i="6"/>
  <c r="KE9" i="6"/>
  <c r="KD9" i="6"/>
  <c r="JL23" i="6"/>
  <c r="JK23" i="6"/>
  <c r="JJ23" i="6"/>
  <c r="JI23" i="6"/>
  <c r="JL17" i="6"/>
  <c r="JK17" i="6"/>
  <c r="JJ17" i="6"/>
  <c r="JI17" i="6"/>
  <c r="JL22" i="6"/>
  <c r="JK22" i="6"/>
  <c r="JJ22" i="6"/>
  <c r="JI22" i="6"/>
  <c r="JL21" i="6"/>
  <c r="JK21" i="6"/>
  <c r="JJ21" i="6"/>
  <c r="JI21" i="6"/>
  <c r="JL18" i="6"/>
  <c r="JK18" i="6"/>
  <c r="JJ18" i="6"/>
  <c r="JI18" i="6"/>
  <c r="JL19" i="6"/>
  <c r="JK19" i="6"/>
  <c r="JJ19" i="6"/>
  <c r="JI19" i="6"/>
  <c r="JL14" i="6"/>
  <c r="JK14" i="6"/>
  <c r="JJ14" i="6"/>
  <c r="JI14" i="6"/>
  <c r="JL13" i="6"/>
  <c r="JK13" i="6"/>
  <c r="JJ13" i="6"/>
  <c r="JI13" i="6"/>
  <c r="JL16" i="6"/>
  <c r="JK16" i="6"/>
  <c r="JJ16" i="6"/>
  <c r="JI16" i="6"/>
  <c r="JL12" i="6"/>
  <c r="JK12" i="6"/>
  <c r="JJ12" i="6"/>
  <c r="JI12" i="6"/>
  <c r="JL15" i="6"/>
  <c r="JK15" i="6"/>
  <c r="JJ15" i="6"/>
  <c r="JI15" i="6"/>
  <c r="JL20" i="6"/>
  <c r="JK20" i="6"/>
  <c r="JJ20" i="6"/>
  <c r="JI20" i="6"/>
  <c r="JL8" i="6"/>
  <c r="JK8" i="6"/>
  <c r="JJ8" i="6"/>
  <c r="JI8" i="6"/>
  <c r="JL11" i="6"/>
  <c r="JK11" i="6"/>
  <c r="JJ11" i="6"/>
  <c r="JI11" i="6"/>
  <c r="JL7" i="6"/>
  <c r="JK7" i="6"/>
  <c r="JJ7" i="6"/>
  <c r="JI7" i="6"/>
  <c r="JL6" i="6"/>
  <c r="JK6" i="6"/>
  <c r="JJ6" i="6"/>
  <c r="JI6" i="6"/>
  <c r="JL10" i="6"/>
  <c r="JK10" i="6"/>
  <c r="JJ10" i="6"/>
  <c r="JI10" i="6"/>
  <c r="JL5" i="6"/>
  <c r="JK5" i="6"/>
  <c r="JJ5" i="6"/>
  <c r="JI5" i="6"/>
  <c r="JL4" i="6"/>
  <c r="JK4" i="6"/>
  <c r="JJ4" i="6"/>
  <c r="JI4" i="6"/>
  <c r="JL9" i="6"/>
  <c r="JK9" i="6"/>
  <c r="JJ9" i="6"/>
  <c r="JI9" i="6"/>
  <c r="IQ23" i="6"/>
  <c r="IP23" i="6"/>
  <c r="IO23" i="6"/>
  <c r="IN23" i="6"/>
  <c r="IQ17" i="6"/>
  <c r="IP17" i="6"/>
  <c r="IO17" i="6"/>
  <c r="IN17" i="6"/>
  <c r="IQ22" i="6"/>
  <c r="IP22" i="6"/>
  <c r="IO22" i="6"/>
  <c r="IN22" i="6"/>
  <c r="IQ21" i="6"/>
  <c r="IP21" i="6"/>
  <c r="IO21" i="6"/>
  <c r="IR21" i="6" s="1"/>
  <c r="IN21" i="6"/>
  <c r="IQ18" i="6"/>
  <c r="IP18" i="6"/>
  <c r="IO18" i="6"/>
  <c r="IN18" i="6"/>
  <c r="IQ19" i="6"/>
  <c r="IP19" i="6"/>
  <c r="IO19" i="6"/>
  <c r="IN19" i="6"/>
  <c r="IQ14" i="6"/>
  <c r="IP14" i="6"/>
  <c r="IO14" i="6"/>
  <c r="IN14" i="6"/>
  <c r="IQ13" i="6"/>
  <c r="IP13" i="6"/>
  <c r="IO13" i="6"/>
  <c r="IN13" i="6"/>
  <c r="IQ16" i="6"/>
  <c r="IP16" i="6"/>
  <c r="IO16" i="6"/>
  <c r="IN16" i="6"/>
  <c r="IQ12" i="6"/>
  <c r="IP12" i="6"/>
  <c r="IO12" i="6"/>
  <c r="IN12" i="6"/>
  <c r="IQ15" i="6"/>
  <c r="IP15" i="6"/>
  <c r="IO15" i="6"/>
  <c r="IN15" i="6"/>
  <c r="IQ20" i="6"/>
  <c r="IP20" i="6"/>
  <c r="IO20" i="6"/>
  <c r="IN20" i="6"/>
  <c r="IQ8" i="6"/>
  <c r="IP8" i="6"/>
  <c r="IO8" i="6"/>
  <c r="IN8" i="6"/>
  <c r="IQ11" i="6"/>
  <c r="IP11" i="6"/>
  <c r="IO11" i="6"/>
  <c r="IN11" i="6"/>
  <c r="IQ7" i="6"/>
  <c r="IP7" i="6"/>
  <c r="IO7" i="6"/>
  <c r="IN7" i="6"/>
  <c r="IQ6" i="6"/>
  <c r="IP6" i="6"/>
  <c r="IO6" i="6"/>
  <c r="IN6" i="6"/>
  <c r="IQ10" i="6"/>
  <c r="IP10" i="6"/>
  <c r="IO10" i="6"/>
  <c r="IN10" i="6"/>
  <c r="IQ5" i="6"/>
  <c r="IP5" i="6"/>
  <c r="IO5" i="6"/>
  <c r="IN5" i="6"/>
  <c r="IQ4" i="6"/>
  <c r="IP4" i="6"/>
  <c r="IO4" i="6"/>
  <c r="IN4" i="6"/>
  <c r="IQ9" i="6"/>
  <c r="IP9" i="6"/>
  <c r="IO9" i="6"/>
  <c r="IN9" i="6"/>
  <c r="HV23" i="6"/>
  <c r="HU23" i="6"/>
  <c r="HT23" i="6"/>
  <c r="HS23" i="6"/>
  <c r="HV17" i="6"/>
  <c r="HU17" i="6"/>
  <c r="HT17" i="6"/>
  <c r="HS17" i="6"/>
  <c r="HV22" i="6"/>
  <c r="HU22" i="6"/>
  <c r="HT22" i="6"/>
  <c r="HS22" i="6"/>
  <c r="HV21" i="6"/>
  <c r="HU21" i="6"/>
  <c r="HT21" i="6"/>
  <c r="HS21" i="6"/>
  <c r="HV18" i="6"/>
  <c r="HU18" i="6"/>
  <c r="HT18" i="6"/>
  <c r="HS18" i="6"/>
  <c r="HV19" i="6"/>
  <c r="HU19" i="6"/>
  <c r="HT19" i="6"/>
  <c r="HS19" i="6"/>
  <c r="HV14" i="6"/>
  <c r="HU14" i="6"/>
  <c r="HT14" i="6"/>
  <c r="HS14" i="6"/>
  <c r="HV13" i="6"/>
  <c r="HU13" i="6"/>
  <c r="HT13" i="6"/>
  <c r="HS13" i="6"/>
  <c r="HV16" i="6"/>
  <c r="HU16" i="6"/>
  <c r="HT16" i="6"/>
  <c r="HS16" i="6"/>
  <c r="HV12" i="6"/>
  <c r="HU12" i="6"/>
  <c r="HT12" i="6"/>
  <c r="HS12" i="6"/>
  <c r="HV15" i="6"/>
  <c r="HU15" i="6"/>
  <c r="HT15" i="6"/>
  <c r="HS15" i="6"/>
  <c r="HV20" i="6"/>
  <c r="HU20" i="6"/>
  <c r="HT20" i="6"/>
  <c r="HS20" i="6"/>
  <c r="HV8" i="6"/>
  <c r="HU8" i="6"/>
  <c r="HT8" i="6"/>
  <c r="HS8" i="6"/>
  <c r="HV11" i="6"/>
  <c r="HU11" i="6"/>
  <c r="HT11" i="6"/>
  <c r="HS11" i="6"/>
  <c r="HV7" i="6"/>
  <c r="HU7" i="6"/>
  <c r="HT7" i="6"/>
  <c r="HS7" i="6"/>
  <c r="HV6" i="6"/>
  <c r="HU6" i="6"/>
  <c r="HT6" i="6"/>
  <c r="HS6" i="6"/>
  <c r="HV10" i="6"/>
  <c r="HU10" i="6"/>
  <c r="HT10" i="6"/>
  <c r="HS10" i="6"/>
  <c r="HV5" i="6"/>
  <c r="HU5" i="6"/>
  <c r="HT5" i="6"/>
  <c r="HS5" i="6"/>
  <c r="HV4" i="6"/>
  <c r="HU4" i="6"/>
  <c r="HT4" i="6"/>
  <c r="HS4" i="6"/>
  <c r="HV9" i="6"/>
  <c r="HU9" i="6"/>
  <c r="HT9" i="6"/>
  <c r="HS9" i="6"/>
  <c r="HA23" i="6"/>
  <c r="GZ23" i="6"/>
  <c r="GY23" i="6"/>
  <c r="GX23" i="6"/>
  <c r="HA17" i="6"/>
  <c r="GZ17" i="6"/>
  <c r="GY17" i="6"/>
  <c r="GX17" i="6"/>
  <c r="HA22" i="6"/>
  <c r="GZ22" i="6"/>
  <c r="GY22" i="6"/>
  <c r="GX22" i="6"/>
  <c r="HA21" i="6"/>
  <c r="GZ21" i="6"/>
  <c r="GY21" i="6"/>
  <c r="GX21" i="6"/>
  <c r="HA18" i="6"/>
  <c r="GZ18" i="6"/>
  <c r="GY18" i="6"/>
  <c r="GX18" i="6"/>
  <c r="HA19" i="6"/>
  <c r="GZ19" i="6"/>
  <c r="GY19" i="6"/>
  <c r="GX19" i="6"/>
  <c r="HA14" i="6"/>
  <c r="GZ14" i="6"/>
  <c r="GY14" i="6"/>
  <c r="GX14" i="6"/>
  <c r="HA13" i="6"/>
  <c r="GZ13" i="6"/>
  <c r="GY13" i="6"/>
  <c r="GX13" i="6"/>
  <c r="HA16" i="6"/>
  <c r="GZ16" i="6"/>
  <c r="GY16" i="6"/>
  <c r="GX16" i="6"/>
  <c r="HA12" i="6"/>
  <c r="GZ12" i="6"/>
  <c r="GY12" i="6"/>
  <c r="GX12" i="6"/>
  <c r="HA15" i="6"/>
  <c r="GZ15" i="6"/>
  <c r="GY15" i="6"/>
  <c r="GX15" i="6"/>
  <c r="HA20" i="6"/>
  <c r="GZ20" i="6"/>
  <c r="GY20" i="6"/>
  <c r="GX20" i="6"/>
  <c r="HA8" i="6"/>
  <c r="GZ8" i="6"/>
  <c r="GY8" i="6"/>
  <c r="GX8" i="6"/>
  <c r="HA11" i="6"/>
  <c r="GZ11" i="6"/>
  <c r="GY11" i="6"/>
  <c r="GX11" i="6"/>
  <c r="HA7" i="6"/>
  <c r="GZ7" i="6"/>
  <c r="GY7" i="6"/>
  <c r="GX7" i="6"/>
  <c r="HA6" i="6"/>
  <c r="GZ6" i="6"/>
  <c r="GY6" i="6"/>
  <c r="GX6" i="6"/>
  <c r="HA10" i="6"/>
  <c r="GZ10" i="6"/>
  <c r="GY10" i="6"/>
  <c r="GX10" i="6"/>
  <c r="HA5" i="6"/>
  <c r="GZ5" i="6"/>
  <c r="GY5" i="6"/>
  <c r="GX5" i="6"/>
  <c r="HA4" i="6"/>
  <c r="GZ4" i="6"/>
  <c r="GY4" i="6"/>
  <c r="GX4" i="6"/>
  <c r="HA9" i="6"/>
  <c r="GZ9" i="6"/>
  <c r="GY9" i="6"/>
  <c r="GX9" i="6"/>
  <c r="GF23" i="6"/>
  <c r="GE23" i="6"/>
  <c r="GD23" i="6"/>
  <c r="GC23" i="6"/>
  <c r="GF17" i="6"/>
  <c r="GE17" i="6"/>
  <c r="GD17" i="6"/>
  <c r="GC17" i="6"/>
  <c r="GF22" i="6"/>
  <c r="GE22" i="6"/>
  <c r="GD22" i="6"/>
  <c r="GC22" i="6"/>
  <c r="GF21" i="6"/>
  <c r="GE21" i="6"/>
  <c r="GD21" i="6"/>
  <c r="GC21" i="6"/>
  <c r="GF18" i="6"/>
  <c r="GE18" i="6"/>
  <c r="GD18" i="6"/>
  <c r="GC18" i="6"/>
  <c r="GF19" i="6"/>
  <c r="GE19" i="6"/>
  <c r="GD19" i="6"/>
  <c r="GC19" i="6"/>
  <c r="GF14" i="6"/>
  <c r="GE14" i="6"/>
  <c r="GD14" i="6"/>
  <c r="GC14" i="6"/>
  <c r="GF13" i="6"/>
  <c r="GE13" i="6"/>
  <c r="GD13" i="6"/>
  <c r="GC13" i="6"/>
  <c r="GF16" i="6"/>
  <c r="GE16" i="6"/>
  <c r="GD16" i="6"/>
  <c r="GC16" i="6"/>
  <c r="GF12" i="6"/>
  <c r="GE12" i="6"/>
  <c r="GD12" i="6"/>
  <c r="GC12" i="6"/>
  <c r="GF15" i="6"/>
  <c r="GE15" i="6"/>
  <c r="GD15" i="6"/>
  <c r="GC15" i="6"/>
  <c r="GF20" i="6"/>
  <c r="GE20" i="6"/>
  <c r="GD20" i="6"/>
  <c r="GC20" i="6"/>
  <c r="GF8" i="6"/>
  <c r="GE8" i="6"/>
  <c r="GD8" i="6"/>
  <c r="GC8" i="6"/>
  <c r="GF11" i="6"/>
  <c r="GE11" i="6"/>
  <c r="GD11" i="6"/>
  <c r="GC11" i="6"/>
  <c r="GF7" i="6"/>
  <c r="GE7" i="6"/>
  <c r="GD7" i="6"/>
  <c r="GC7" i="6"/>
  <c r="GF6" i="6"/>
  <c r="GE6" i="6"/>
  <c r="GD6" i="6"/>
  <c r="GC6" i="6"/>
  <c r="GF10" i="6"/>
  <c r="GE10" i="6"/>
  <c r="GD10" i="6"/>
  <c r="GC10" i="6"/>
  <c r="GF5" i="6"/>
  <c r="GE5" i="6"/>
  <c r="GD5" i="6"/>
  <c r="GC5" i="6"/>
  <c r="GF4" i="6"/>
  <c r="GE4" i="6"/>
  <c r="GD4" i="6"/>
  <c r="GC4" i="6"/>
  <c r="GF9" i="6"/>
  <c r="GE9" i="6"/>
  <c r="GD9" i="6"/>
  <c r="GC9" i="6"/>
  <c r="FK23" i="6"/>
  <c r="FJ23" i="6"/>
  <c r="FI23" i="6"/>
  <c r="FH23" i="6"/>
  <c r="FK17" i="6"/>
  <c r="FJ17" i="6"/>
  <c r="FI17" i="6"/>
  <c r="FH17" i="6"/>
  <c r="FK22" i="6"/>
  <c r="FJ22" i="6"/>
  <c r="FI22" i="6"/>
  <c r="FH22" i="6"/>
  <c r="FK21" i="6"/>
  <c r="FJ21" i="6"/>
  <c r="FI21" i="6"/>
  <c r="FH21" i="6"/>
  <c r="FK18" i="6"/>
  <c r="FJ18" i="6"/>
  <c r="FI18" i="6"/>
  <c r="FH18" i="6"/>
  <c r="FK19" i="6"/>
  <c r="FJ19" i="6"/>
  <c r="FI19" i="6"/>
  <c r="FH19" i="6"/>
  <c r="FK14" i="6"/>
  <c r="FJ14" i="6"/>
  <c r="FI14" i="6"/>
  <c r="FH14" i="6"/>
  <c r="FK13" i="6"/>
  <c r="FJ13" i="6"/>
  <c r="FI13" i="6"/>
  <c r="FH13" i="6"/>
  <c r="FK16" i="6"/>
  <c r="FJ16" i="6"/>
  <c r="FI16" i="6"/>
  <c r="FH16" i="6"/>
  <c r="FK12" i="6"/>
  <c r="FJ12" i="6"/>
  <c r="FI12" i="6"/>
  <c r="FH12" i="6"/>
  <c r="FK15" i="6"/>
  <c r="FJ15" i="6"/>
  <c r="FI15" i="6"/>
  <c r="FH15" i="6"/>
  <c r="FK20" i="6"/>
  <c r="FJ20" i="6"/>
  <c r="FI20" i="6"/>
  <c r="FH20" i="6"/>
  <c r="FK8" i="6"/>
  <c r="FJ8" i="6"/>
  <c r="FI8" i="6"/>
  <c r="FH8" i="6"/>
  <c r="FK11" i="6"/>
  <c r="FJ11" i="6"/>
  <c r="FI11" i="6"/>
  <c r="FH11" i="6"/>
  <c r="FK7" i="6"/>
  <c r="FJ7" i="6"/>
  <c r="FI7" i="6"/>
  <c r="FH7" i="6"/>
  <c r="FK6" i="6"/>
  <c r="FJ6" i="6"/>
  <c r="FI6" i="6"/>
  <c r="FH6" i="6"/>
  <c r="FK10" i="6"/>
  <c r="FJ10" i="6"/>
  <c r="FI10" i="6"/>
  <c r="FL10" i="6" s="1"/>
  <c r="FH10" i="6"/>
  <c r="FK5" i="6"/>
  <c r="FJ5" i="6"/>
  <c r="FI5" i="6"/>
  <c r="FH5" i="6"/>
  <c r="FK4" i="6"/>
  <c r="FJ4" i="6"/>
  <c r="FI4" i="6"/>
  <c r="FL4" i="6" s="1"/>
  <c r="FH4" i="6"/>
  <c r="FK9" i="6"/>
  <c r="FJ9" i="6"/>
  <c r="FI9" i="6"/>
  <c r="FH9" i="6"/>
  <c r="EP23" i="6"/>
  <c r="EO23" i="6"/>
  <c r="EN23" i="6"/>
  <c r="EM23" i="6"/>
  <c r="EP17" i="6"/>
  <c r="EO17" i="6"/>
  <c r="EN17" i="6"/>
  <c r="EM17" i="6"/>
  <c r="EP22" i="6"/>
  <c r="EO22" i="6"/>
  <c r="EN22" i="6"/>
  <c r="EM22" i="6"/>
  <c r="EP21" i="6"/>
  <c r="EO21" i="6"/>
  <c r="EN21" i="6"/>
  <c r="EM21" i="6"/>
  <c r="EP18" i="6"/>
  <c r="EO18" i="6"/>
  <c r="EN18" i="6"/>
  <c r="EM18" i="6"/>
  <c r="EP19" i="6"/>
  <c r="EO19" i="6"/>
  <c r="EN19" i="6"/>
  <c r="EM19" i="6"/>
  <c r="EP14" i="6"/>
  <c r="EO14" i="6"/>
  <c r="EN14" i="6"/>
  <c r="EM14" i="6"/>
  <c r="EP13" i="6"/>
  <c r="EO13" i="6"/>
  <c r="EN13" i="6"/>
  <c r="EM13" i="6"/>
  <c r="EP16" i="6"/>
  <c r="EO16" i="6"/>
  <c r="EN16" i="6"/>
  <c r="EM16" i="6"/>
  <c r="EP12" i="6"/>
  <c r="EO12" i="6"/>
  <c r="EN12" i="6"/>
  <c r="EM12" i="6"/>
  <c r="EP15" i="6"/>
  <c r="EO15" i="6"/>
  <c r="EN15" i="6"/>
  <c r="EM15" i="6"/>
  <c r="EP20" i="6"/>
  <c r="EO20" i="6"/>
  <c r="EN20" i="6"/>
  <c r="EM20" i="6"/>
  <c r="EP8" i="6"/>
  <c r="EO8" i="6"/>
  <c r="EN8" i="6"/>
  <c r="EQ8" i="6" s="1"/>
  <c r="EM8" i="6"/>
  <c r="EP11" i="6"/>
  <c r="EO11" i="6"/>
  <c r="EN11" i="6"/>
  <c r="EM11" i="6"/>
  <c r="EP7" i="6"/>
  <c r="EO7" i="6"/>
  <c r="EN7" i="6"/>
  <c r="EM7" i="6"/>
  <c r="EP6" i="6"/>
  <c r="EO6" i="6"/>
  <c r="EN6" i="6"/>
  <c r="EM6" i="6"/>
  <c r="EP10" i="6"/>
  <c r="EO10" i="6"/>
  <c r="EN10" i="6"/>
  <c r="EQ10" i="6" s="1"/>
  <c r="EM10" i="6"/>
  <c r="EP5" i="6"/>
  <c r="EO5" i="6"/>
  <c r="EN5" i="6"/>
  <c r="EM5" i="6"/>
  <c r="EP4" i="6"/>
  <c r="EO4" i="6"/>
  <c r="EN4" i="6"/>
  <c r="EQ4" i="6" s="1"/>
  <c r="EM4" i="6"/>
  <c r="EP9" i="6"/>
  <c r="EO9" i="6"/>
  <c r="EN9" i="6"/>
  <c r="EM9" i="6"/>
  <c r="DU23" i="6"/>
  <c r="DT23" i="6"/>
  <c r="DS23" i="6"/>
  <c r="DV23" i="6" s="1"/>
  <c r="DR23" i="6"/>
  <c r="DU17" i="6"/>
  <c r="DT17" i="6"/>
  <c r="DS17" i="6"/>
  <c r="DR17" i="6"/>
  <c r="DU22" i="6"/>
  <c r="DT22" i="6"/>
  <c r="DS22" i="6"/>
  <c r="DR22" i="6"/>
  <c r="DU21" i="6"/>
  <c r="DT21" i="6"/>
  <c r="DS21" i="6"/>
  <c r="DR21" i="6"/>
  <c r="DU18" i="6"/>
  <c r="DT18" i="6"/>
  <c r="DS18" i="6"/>
  <c r="DR18" i="6"/>
  <c r="DU19" i="6"/>
  <c r="DT19" i="6"/>
  <c r="DS19" i="6"/>
  <c r="DR19" i="6"/>
  <c r="DU14" i="6"/>
  <c r="DT14" i="6"/>
  <c r="DS14" i="6"/>
  <c r="DR14" i="6"/>
  <c r="DU13" i="6"/>
  <c r="DT13" i="6"/>
  <c r="DS13" i="6"/>
  <c r="DR13" i="6"/>
  <c r="DU16" i="6"/>
  <c r="DT16" i="6"/>
  <c r="DS16" i="6"/>
  <c r="DR16" i="6"/>
  <c r="DU12" i="6"/>
  <c r="DT12" i="6"/>
  <c r="DS12" i="6"/>
  <c r="DR12" i="6"/>
  <c r="DU15" i="6"/>
  <c r="DT15" i="6"/>
  <c r="DS15" i="6"/>
  <c r="DR15" i="6"/>
  <c r="DU20" i="6"/>
  <c r="DT20" i="6"/>
  <c r="DS20" i="6"/>
  <c r="DR20" i="6"/>
  <c r="DU8" i="6"/>
  <c r="DT8" i="6"/>
  <c r="DS8" i="6"/>
  <c r="DV8" i="6" s="1"/>
  <c r="DR8" i="6"/>
  <c r="DU11" i="6"/>
  <c r="DT11" i="6"/>
  <c r="DS11" i="6"/>
  <c r="DR11" i="6"/>
  <c r="DU7" i="6"/>
  <c r="DT7" i="6"/>
  <c r="DS7" i="6"/>
  <c r="DR7" i="6"/>
  <c r="DU6" i="6"/>
  <c r="DT6" i="6"/>
  <c r="DS6" i="6"/>
  <c r="DR6" i="6"/>
  <c r="DU10" i="6"/>
  <c r="DT10" i="6"/>
  <c r="DS10" i="6"/>
  <c r="DV10" i="6" s="1"/>
  <c r="DR10" i="6"/>
  <c r="DU5" i="6"/>
  <c r="DT5" i="6"/>
  <c r="DS5" i="6"/>
  <c r="DR5" i="6"/>
  <c r="DU4" i="6"/>
  <c r="DT4" i="6"/>
  <c r="DS4" i="6"/>
  <c r="DR4" i="6"/>
  <c r="DU9" i="6"/>
  <c r="DT9" i="6"/>
  <c r="DS9" i="6"/>
  <c r="DR9" i="6"/>
  <c r="CZ23" i="6"/>
  <c r="CY23" i="6"/>
  <c r="CX23" i="6"/>
  <c r="CW23" i="6"/>
  <c r="CZ17" i="6"/>
  <c r="CY17" i="6"/>
  <c r="CX17" i="6"/>
  <c r="CW17" i="6"/>
  <c r="CZ22" i="6"/>
  <c r="CY22" i="6"/>
  <c r="CX22" i="6"/>
  <c r="CW22" i="6"/>
  <c r="CZ21" i="6"/>
  <c r="CY21" i="6"/>
  <c r="CX21" i="6"/>
  <c r="CW21" i="6"/>
  <c r="CZ18" i="6"/>
  <c r="CY18" i="6"/>
  <c r="CX18" i="6"/>
  <c r="CW18" i="6"/>
  <c r="CZ19" i="6"/>
  <c r="CY19" i="6"/>
  <c r="CX19" i="6"/>
  <c r="CW19" i="6"/>
  <c r="CZ14" i="6"/>
  <c r="CY14" i="6"/>
  <c r="CX14" i="6"/>
  <c r="CW14" i="6"/>
  <c r="CZ13" i="6"/>
  <c r="CY13" i="6"/>
  <c r="CX13" i="6"/>
  <c r="CW13" i="6"/>
  <c r="CZ16" i="6"/>
  <c r="CY16" i="6"/>
  <c r="CX16" i="6"/>
  <c r="CW16" i="6"/>
  <c r="CZ12" i="6"/>
  <c r="CY12" i="6"/>
  <c r="CX12" i="6"/>
  <c r="CW12" i="6"/>
  <c r="CZ15" i="6"/>
  <c r="CY15" i="6"/>
  <c r="CX15" i="6"/>
  <c r="CW15" i="6"/>
  <c r="CZ20" i="6"/>
  <c r="CY20" i="6"/>
  <c r="CX20" i="6"/>
  <c r="CW20" i="6"/>
  <c r="CZ8" i="6"/>
  <c r="CY8" i="6"/>
  <c r="CX8" i="6"/>
  <c r="CW8" i="6"/>
  <c r="CZ11" i="6"/>
  <c r="CY11" i="6"/>
  <c r="CX11" i="6"/>
  <c r="CW11" i="6"/>
  <c r="CZ7" i="6"/>
  <c r="CY7" i="6"/>
  <c r="CX7" i="6"/>
  <c r="CW7" i="6"/>
  <c r="CZ6" i="6"/>
  <c r="CY6" i="6"/>
  <c r="CX6" i="6"/>
  <c r="CW6" i="6"/>
  <c r="CZ10" i="6"/>
  <c r="CY10" i="6"/>
  <c r="CX10" i="6"/>
  <c r="CW10" i="6"/>
  <c r="CZ5" i="6"/>
  <c r="CY5" i="6"/>
  <c r="CX5" i="6"/>
  <c r="CW5" i="6"/>
  <c r="CZ4" i="6"/>
  <c r="CY4" i="6"/>
  <c r="CX4" i="6"/>
  <c r="CW4" i="6"/>
  <c r="CZ9" i="6"/>
  <c r="CY9" i="6"/>
  <c r="CX9" i="6"/>
  <c r="CW9" i="6"/>
  <c r="LB7" i="8"/>
  <c r="LA7" i="8"/>
  <c r="KZ7" i="8"/>
  <c r="KY7" i="8"/>
  <c r="LB6" i="8"/>
  <c r="LA6" i="8"/>
  <c r="KZ6" i="8"/>
  <c r="LC6" i="8" s="1"/>
  <c r="KY6" i="8"/>
  <c r="LB5" i="8"/>
  <c r="LA5" i="8"/>
  <c r="KZ5" i="8"/>
  <c r="KY5" i="8"/>
  <c r="LB4" i="8"/>
  <c r="LA4" i="8"/>
  <c r="KZ4" i="8"/>
  <c r="LC4" i="8" s="1"/>
  <c r="KY4" i="8"/>
  <c r="KG7" i="8"/>
  <c r="KF7" i="8"/>
  <c r="KE7" i="8"/>
  <c r="KD7" i="8"/>
  <c r="KG6" i="8"/>
  <c r="KF6" i="8"/>
  <c r="KE6" i="8"/>
  <c r="KH6" i="8" s="1"/>
  <c r="KD6" i="8"/>
  <c r="KG5" i="8"/>
  <c r="KF5" i="8"/>
  <c r="KE5" i="8"/>
  <c r="KH5" i="8" s="1"/>
  <c r="KD5" i="8"/>
  <c r="KG4" i="8"/>
  <c r="KF4" i="8"/>
  <c r="KE4" i="8"/>
  <c r="KH4" i="8" s="1"/>
  <c r="KD4" i="8"/>
  <c r="JL7" i="8"/>
  <c r="JK7" i="8"/>
  <c r="JJ7" i="8"/>
  <c r="JM7" i="8" s="1"/>
  <c r="JI7" i="8"/>
  <c r="JL6" i="8"/>
  <c r="JK6" i="8"/>
  <c r="JJ6" i="8"/>
  <c r="JI6" i="8"/>
  <c r="JL5" i="8"/>
  <c r="JK5" i="8"/>
  <c r="JJ5" i="8"/>
  <c r="JM5" i="8" s="1"/>
  <c r="JI5" i="8"/>
  <c r="JL4" i="8"/>
  <c r="JK4" i="8"/>
  <c r="JJ4" i="8"/>
  <c r="JM4" i="8" s="1"/>
  <c r="JI4" i="8"/>
  <c r="IQ7" i="8"/>
  <c r="IP7" i="8"/>
  <c r="IO7" i="8"/>
  <c r="IN7" i="8"/>
  <c r="IQ6" i="8"/>
  <c r="IP6" i="8"/>
  <c r="IO6" i="8"/>
  <c r="IN6" i="8"/>
  <c r="IQ5" i="8"/>
  <c r="IP5" i="8"/>
  <c r="IO5" i="8"/>
  <c r="IN5" i="8"/>
  <c r="IQ4" i="8"/>
  <c r="IP4" i="8"/>
  <c r="IO4" i="8"/>
  <c r="IN4" i="8"/>
  <c r="HV7" i="8"/>
  <c r="HU7" i="8"/>
  <c r="HT7" i="8"/>
  <c r="HS7" i="8"/>
  <c r="HV6" i="8"/>
  <c r="HU6" i="8"/>
  <c r="HT6" i="8"/>
  <c r="HS6" i="8"/>
  <c r="HV5" i="8"/>
  <c r="HU5" i="8"/>
  <c r="HT5" i="8"/>
  <c r="HS5" i="8"/>
  <c r="HV4" i="8"/>
  <c r="HU4" i="8"/>
  <c r="HT4" i="8"/>
  <c r="HS4" i="8"/>
  <c r="HA7" i="8"/>
  <c r="GZ7" i="8"/>
  <c r="GY7" i="8"/>
  <c r="GX7" i="8"/>
  <c r="HA6" i="8"/>
  <c r="GZ6" i="8"/>
  <c r="GY6" i="8"/>
  <c r="GX6" i="8"/>
  <c r="HA5" i="8"/>
  <c r="GZ5" i="8"/>
  <c r="GY5" i="8"/>
  <c r="GX5" i="8"/>
  <c r="HA4" i="8"/>
  <c r="GZ4" i="8"/>
  <c r="GY4" i="8"/>
  <c r="GX4" i="8"/>
  <c r="GF7" i="8"/>
  <c r="GE7" i="8"/>
  <c r="GD7" i="8"/>
  <c r="GC7" i="8"/>
  <c r="GF6" i="8"/>
  <c r="GE6" i="8"/>
  <c r="GD6" i="8"/>
  <c r="GC6" i="8"/>
  <c r="GF5" i="8"/>
  <c r="GE5" i="8"/>
  <c r="GD5" i="8"/>
  <c r="GC5" i="8"/>
  <c r="GF4" i="8"/>
  <c r="GE4" i="8"/>
  <c r="GD4" i="8"/>
  <c r="GC4" i="8"/>
  <c r="FK7" i="8"/>
  <c r="FJ7" i="8"/>
  <c r="FI7" i="8"/>
  <c r="FH7" i="8"/>
  <c r="FK6" i="8"/>
  <c r="FJ6" i="8"/>
  <c r="FI6" i="8"/>
  <c r="FH6" i="8"/>
  <c r="FK5" i="8"/>
  <c r="FJ5" i="8"/>
  <c r="FI5" i="8"/>
  <c r="FH5" i="8"/>
  <c r="FK4" i="8"/>
  <c r="FJ4" i="8"/>
  <c r="FI4" i="8"/>
  <c r="FH4" i="8"/>
  <c r="EP7" i="8"/>
  <c r="EO7" i="8"/>
  <c r="EN7" i="8"/>
  <c r="EM7" i="8"/>
  <c r="EP6" i="8"/>
  <c r="EO6" i="8"/>
  <c r="EN6" i="8"/>
  <c r="EM6" i="8"/>
  <c r="EP5" i="8"/>
  <c r="EO5" i="8"/>
  <c r="EN5" i="8"/>
  <c r="EM5" i="8"/>
  <c r="EP4" i="8"/>
  <c r="EO4" i="8"/>
  <c r="EN4" i="8"/>
  <c r="EM4" i="8"/>
  <c r="DU7" i="8"/>
  <c r="DT7" i="8"/>
  <c r="DS7" i="8"/>
  <c r="DV7" i="8" s="1"/>
  <c r="DR7" i="8"/>
  <c r="DU6" i="8"/>
  <c r="DT6" i="8"/>
  <c r="DS6" i="8"/>
  <c r="DR6" i="8"/>
  <c r="DU5" i="8"/>
  <c r="DT5" i="8"/>
  <c r="DS5" i="8"/>
  <c r="DV5" i="8" s="1"/>
  <c r="DR5" i="8"/>
  <c r="DU4" i="8"/>
  <c r="DT4" i="8"/>
  <c r="DS4" i="8"/>
  <c r="DR4" i="8"/>
  <c r="CZ7" i="8"/>
  <c r="CY7" i="8"/>
  <c r="CX7" i="8"/>
  <c r="CW7" i="8"/>
  <c r="CZ6" i="8"/>
  <c r="CY6" i="8"/>
  <c r="CX6" i="8"/>
  <c r="CW6" i="8"/>
  <c r="CZ5" i="8"/>
  <c r="CY5" i="8"/>
  <c r="CX5" i="8"/>
  <c r="CW5" i="8"/>
  <c r="CZ4" i="8"/>
  <c r="CY4" i="8"/>
  <c r="CX4" i="8"/>
  <c r="CW4" i="8"/>
  <c r="LB7" i="7"/>
  <c r="LA7" i="7"/>
  <c r="KZ7" i="7"/>
  <c r="LC7" i="7" s="1"/>
  <c r="KY7" i="7"/>
  <c r="LB6" i="7"/>
  <c r="LA6" i="7"/>
  <c r="KZ6" i="7"/>
  <c r="KY6" i="7"/>
  <c r="LB8" i="7"/>
  <c r="LA8" i="7"/>
  <c r="KZ8" i="7"/>
  <c r="LC8" i="7" s="1"/>
  <c r="KY8" i="7"/>
  <c r="LB5" i="7"/>
  <c r="LA5" i="7"/>
  <c r="KZ5" i="7"/>
  <c r="KY5" i="7"/>
  <c r="LB4" i="7"/>
  <c r="LA4" i="7"/>
  <c r="KZ4" i="7"/>
  <c r="KY4" i="7"/>
  <c r="KG7" i="7"/>
  <c r="KF7" i="7"/>
  <c r="KE7" i="7"/>
  <c r="KD7" i="7"/>
  <c r="KG6" i="7"/>
  <c r="KF6" i="7"/>
  <c r="KE6" i="7"/>
  <c r="KD6" i="7"/>
  <c r="KG8" i="7"/>
  <c r="KF8" i="7"/>
  <c r="KE8" i="7"/>
  <c r="KD8" i="7"/>
  <c r="KG5" i="7"/>
  <c r="KF5" i="7"/>
  <c r="KE5" i="7"/>
  <c r="KH5" i="7" s="1"/>
  <c r="KD5" i="7"/>
  <c r="KG4" i="7"/>
  <c r="KF4" i="7"/>
  <c r="KE4" i="7"/>
  <c r="KD4" i="7"/>
  <c r="JL7" i="7"/>
  <c r="JK7" i="7"/>
  <c r="JJ7" i="7"/>
  <c r="JM7" i="7" s="1"/>
  <c r="JI7" i="7"/>
  <c r="JL6" i="7"/>
  <c r="JK6" i="7"/>
  <c r="JJ6" i="7"/>
  <c r="JI6" i="7"/>
  <c r="JL8" i="7"/>
  <c r="JK8" i="7"/>
  <c r="JJ8" i="7"/>
  <c r="JI8" i="7"/>
  <c r="JL5" i="7"/>
  <c r="JK5" i="7"/>
  <c r="JJ5" i="7"/>
  <c r="JI5" i="7"/>
  <c r="JL4" i="7"/>
  <c r="JK4" i="7"/>
  <c r="JJ4" i="7"/>
  <c r="JM4" i="7" s="1"/>
  <c r="JI4" i="7"/>
  <c r="IQ7" i="7"/>
  <c r="IP7" i="7"/>
  <c r="IO7" i="7"/>
  <c r="IN7" i="7"/>
  <c r="IQ6" i="7"/>
  <c r="IP6" i="7"/>
  <c r="IO6" i="7"/>
  <c r="IR6" i="7" s="1"/>
  <c r="IN6" i="7"/>
  <c r="IQ8" i="7"/>
  <c r="IP8" i="7"/>
  <c r="IO8" i="7"/>
  <c r="IN8" i="7"/>
  <c r="IQ5" i="7"/>
  <c r="IP5" i="7"/>
  <c r="IO5" i="7"/>
  <c r="IR5" i="7" s="1"/>
  <c r="IN5" i="7"/>
  <c r="IQ4" i="7"/>
  <c r="IP4" i="7"/>
  <c r="IO4" i="7"/>
  <c r="IN4" i="7"/>
  <c r="HV7" i="7"/>
  <c r="HU7" i="7"/>
  <c r="HT7" i="7"/>
  <c r="HW7" i="7" s="1"/>
  <c r="HS7" i="7"/>
  <c r="HV6" i="7"/>
  <c r="HU6" i="7"/>
  <c r="HT6" i="7"/>
  <c r="HS6" i="7"/>
  <c r="HV8" i="7"/>
  <c r="HU8" i="7"/>
  <c r="HT8" i="7"/>
  <c r="HW8" i="7" s="1"/>
  <c r="HS8" i="7"/>
  <c r="HV5" i="7"/>
  <c r="HU5" i="7"/>
  <c r="HT5" i="7"/>
  <c r="HS5" i="7"/>
  <c r="HV4" i="7"/>
  <c r="HU4" i="7"/>
  <c r="HT4" i="7"/>
  <c r="HW4" i="7" s="1"/>
  <c r="HS4" i="7"/>
  <c r="HA7" i="7"/>
  <c r="GY7" i="7"/>
  <c r="GX7" i="7"/>
  <c r="HA6" i="7"/>
  <c r="GY6" i="7"/>
  <c r="HB6" i="7" s="1"/>
  <c r="GX6" i="7"/>
  <c r="HA8" i="7"/>
  <c r="GY8" i="7"/>
  <c r="GX8" i="7"/>
  <c r="HA5" i="7"/>
  <c r="GY5" i="7"/>
  <c r="HB5" i="7" s="1"/>
  <c r="GX5" i="7"/>
  <c r="HA4" i="7"/>
  <c r="GZ4" i="7"/>
  <c r="GY4" i="7"/>
  <c r="HB4" i="7" s="1"/>
  <c r="GX4" i="7"/>
  <c r="GF7" i="7"/>
  <c r="GE7" i="7"/>
  <c r="GD7" i="7"/>
  <c r="GC7" i="7"/>
  <c r="GF6" i="7"/>
  <c r="GE6" i="7"/>
  <c r="GD6" i="7"/>
  <c r="GC6" i="7"/>
  <c r="GF8" i="7"/>
  <c r="GE8" i="7"/>
  <c r="GD8" i="7"/>
  <c r="GC8" i="7"/>
  <c r="GF5" i="7"/>
  <c r="GE5" i="7"/>
  <c r="GD5" i="7"/>
  <c r="GG5" i="7" s="1"/>
  <c r="GC5" i="7"/>
  <c r="GF4" i="7"/>
  <c r="GE4" i="7"/>
  <c r="GD4" i="7"/>
  <c r="GC4" i="7"/>
  <c r="FK7" i="7"/>
  <c r="FJ7" i="7"/>
  <c r="FI7" i="7"/>
  <c r="FL7" i="7" s="1"/>
  <c r="FH7" i="7"/>
  <c r="FK6" i="7"/>
  <c r="FJ6" i="7"/>
  <c r="FI6" i="7"/>
  <c r="FH6" i="7"/>
  <c r="FK8" i="7"/>
  <c r="FJ8" i="7"/>
  <c r="FI8" i="7"/>
  <c r="FL8" i="7" s="1"/>
  <c r="FH8" i="7"/>
  <c r="FK5" i="7"/>
  <c r="FJ5" i="7"/>
  <c r="FI5" i="7"/>
  <c r="FH5" i="7"/>
  <c r="FK4" i="7"/>
  <c r="FJ4" i="7"/>
  <c r="FI4" i="7"/>
  <c r="FH4" i="7"/>
  <c r="EP7" i="7"/>
  <c r="EO7" i="7"/>
  <c r="EN7" i="7"/>
  <c r="EQ7" i="7" s="1"/>
  <c r="EM7" i="7"/>
  <c r="EP6" i="7"/>
  <c r="EO6" i="7"/>
  <c r="EN6" i="7"/>
  <c r="EM6" i="7"/>
  <c r="EP8" i="7"/>
  <c r="EO8" i="7"/>
  <c r="EN8" i="7"/>
  <c r="EM8" i="7"/>
  <c r="EP5" i="7"/>
  <c r="EO5" i="7"/>
  <c r="EN5" i="7"/>
  <c r="EM5" i="7"/>
  <c r="EP4" i="7"/>
  <c r="EO4" i="7"/>
  <c r="EN4" i="7"/>
  <c r="EM4" i="7"/>
  <c r="DU7" i="7"/>
  <c r="DT7" i="7"/>
  <c r="DS7" i="7"/>
  <c r="DR7" i="7"/>
  <c r="DU6" i="7"/>
  <c r="DT6" i="7"/>
  <c r="DS6" i="7"/>
  <c r="DR6" i="7"/>
  <c r="DU8" i="7"/>
  <c r="DT8" i="7"/>
  <c r="DS8" i="7"/>
  <c r="DR8" i="7"/>
  <c r="DU5" i="7"/>
  <c r="DT5" i="7"/>
  <c r="DS5" i="7"/>
  <c r="DR5" i="7"/>
  <c r="DU4" i="7"/>
  <c r="DT4" i="7"/>
  <c r="DS4" i="7"/>
  <c r="DR4" i="7"/>
  <c r="CZ7" i="7"/>
  <c r="CY7" i="7"/>
  <c r="CX7" i="7"/>
  <c r="CW7" i="7"/>
  <c r="CZ6" i="7"/>
  <c r="CY6" i="7"/>
  <c r="CX6" i="7"/>
  <c r="CW6" i="7"/>
  <c r="CZ8" i="7"/>
  <c r="CY8" i="7"/>
  <c r="CX8" i="7"/>
  <c r="CW8" i="7"/>
  <c r="CZ5" i="7"/>
  <c r="CY5" i="7"/>
  <c r="CX5" i="7"/>
  <c r="CW5" i="7"/>
  <c r="CZ4" i="7"/>
  <c r="CY4" i="7"/>
  <c r="CX4" i="7"/>
  <c r="CW4" i="7"/>
  <c r="LW9" i="14"/>
  <c r="LV9" i="14"/>
  <c r="LT9" i="14"/>
  <c r="LS9" i="14"/>
  <c r="LR9" i="14"/>
  <c r="LW8" i="14"/>
  <c r="LV8" i="14"/>
  <c r="LT8" i="14"/>
  <c r="LS8" i="14"/>
  <c r="LR8" i="14"/>
  <c r="LW7" i="14"/>
  <c r="LV7" i="14"/>
  <c r="LT7" i="14"/>
  <c r="LS7" i="14"/>
  <c r="LR7" i="14"/>
  <c r="LW6" i="14"/>
  <c r="LV6" i="14"/>
  <c r="LT6" i="14"/>
  <c r="LS6" i="14"/>
  <c r="LR6" i="14"/>
  <c r="LW5" i="14"/>
  <c r="LV5" i="14"/>
  <c r="LT5" i="14"/>
  <c r="LS5" i="14"/>
  <c r="LR5" i="14"/>
  <c r="LW4" i="14"/>
  <c r="LV4" i="14"/>
  <c r="LT4" i="14"/>
  <c r="LS4" i="14"/>
  <c r="LR4" i="14"/>
  <c r="LA9" i="14"/>
  <c r="KZ9" i="14"/>
  <c r="KX9" i="14"/>
  <c r="KW9" i="14"/>
  <c r="KV9" i="14"/>
  <c r="LA8" i="14"/>
  <c r="KZ8" i="14"/>
  <c r="KX8" i="14"/>
  <c r="KW8" i="14"/>
  <c r="KV8" i="14"/>
  <c r="LA7" i="14"/>
  <c r="KZ7" i="14"/>
  <c r="KX7" i="14"/>
  <c r="KW7" i="14"/>
  <c r="KV7" i="14"/>
  <c r="LA6" i="14"/>
  <c r="KZ6" i="14"/>
  <c r="KX6" i="14"/>
  <c r="KW6" i="14"/>
  <c r="KV6" i="14"/>
  <c r="LA5" i="14"/>
  <c r="KZ5" i="14"/>
  <c r="KX5" i="14"/>
  <c r="KW5" i="14"/>
  <c r="KV5" i="14"/>
  <c r="LA4" i="14"/>
  <c r="KZ4" i="14"/>
  <c r="KX4" i="14"/>
  <c r="KW4" i="14"/>
  <c r="KV4" i="14"/>
  <c r="KE9" i="14"/>
  <c r="KD9" i="14"/>
  <c r="KB9" i="14"/>
  <c r="KA9" i="14"/>
  <c r="JZ9" i="14"/>
  <c r="KE8" i="14"/>
  <c r="KD8" i="14"/>
  <c r="KB8" i="14"/>
  <c r="KA8" i="14"/>
  <c r="JZ8" i="14"/>
  <c r="KE7" i="14"/>
  <c r="KD7" i="14"/>
  <c r="KB7" i="14"/>
  <c r="KA7" i="14"/>
  <c r="JZ7" i="14"/>
  <c r="KE6" i="14"/>
  <c r="KD6" i="14"/>
  <c r="KB6" i="14"/>
  <c r="KA6" i="14"/>
  <c r="JZ6" i="14"/>
  <c r="KE5" i="14"/>
  <c r="KD5" i="14"/>
  <c r="KB5" i="14"/>
  <c r="KA5" i="14"/>
  <c r="JZ5" i="14"/>
  <c r="KE4" i="14"/>
  <c r="KD4" i="14"/>
  <c r="KB4" i="14"/>
  <c r="KA4" i="14"/>
  <c r="JZ4" i="14"/>
  <c r="JI9" i="14"/>
  <c r="JH9" i="14"/>
  <c r="JF9" i="14"/>
  <c r="JE9" i="14"/>
  <c r="JD9" i="14"/>
  <c r="JI8" i="14"/>
  <c r="JH8" i="14"/>
  <c r="JF8" i="14"/>
  <c r="JE8" i="14"/>
  <c r="JD8" i="14"/>
  <c r="JI7" i="14"/>
  <c r="JH7" i="14"/>
  <c r="JF7" i="14"/>
  <c r="JE7" i="14"/>
  <c r="JD7" i="14"/>
  <c r="JI6" i="14"/>
  <c r="JH6" i="14"/>
  <c r="JF6" i="14"/>
  <c r="JE6" i="14"/>
  <c r="JD6" i="14"/>
  <c r="JI5" i="14"/>
  <c r="JH5" i="14"/>
  <c r="JF5" i="14"/>
  <c r="JE5" i="14"/>
  <c r="JD5" i="14"/>
  <c r="JI4" i="14"/>
  <c r="JH4" i="14"/>
  <c r="JF4" i="14"/>
  <c r="JE4" i="14"/>
  <c r="JD4" i="14"/>
  <c r="IM9" i="14"/>
  <c r="IL9" i="14"/>
  <c r="IJ9" i="14"/>
  <c r="II9" i="14"/>
  <c r="IH9" i="14"/>
  <c r="IM8" i="14"/>
  <c r="IL8" i="14"/>
  <c r="IJ8" i="14"/>
  <c r="II8" i="14"/>
  <c r="IH8" i="14"/>
  <c r="IM7" i="14"/>
  <c r="IL7" i="14"/>
  <c r="IJ7" i="14"/>
  <c r="II7" i="14"/>
  <c r="IH7" i="14"/>
  <c r="IM6" i="14"/>
  <c r="IL6" i="14"/>
  <c r="IJ6" i="14"/>
  <c r="II6" i="14"/>
  <c r="IH6" i="14"/>
  <c r="IM5" i="14"/>
  <c r="IL5" i="14"/>
  <c r="IJ5" i="14"/>
  <c r="II5" i="14"/>
  <c r="IH5" i="14"/>
  <c r="IM4" i="14"/>
  <c r="IL4" i="14"/>
  <c r="IJ4" i="14"/>
  <c r="II4" i="14"/>
  <c r="IH4" i="14"/>
  <c r="HQ9" i="14"/>
  <c r="HP9" i="14"/>
  <c r="HN9" i="14"/>
  <c r="HM9" i="14"/>
  <c r="HL9" i="14"/>
  <c r="HQ8" i="14"/>
  <c r="HP8" i="14"/>
  <c r="HN8" i="14"/>
  <c r="HM8" i="14"/>
  <c r="HL8" i="14"/>
  <c r="HQ7" i="14"/>
  <c r="HP7" i="14"/>
  <c r="HN7" i="14"/>
  <c r="HM7" i="14"/>
  <c r="HL7" i="14"/>
  <c r="HQ6" i="14"/>
  <c r="HP6" i="14"/>
  <c r="HN6" i="14"/>
  <c r="HM6" i="14"/>
  <c r="HL6" i="14"/>
  <c r="HQ5" i="14"/>
  <c r="HP5" i="14"/>
  <c r="HN5" i="14"/>
  <c r="HM5" i="14"/>
  <c r="HL5" i="14"/>
  <c r="HQ4" i="14"/>
  <c r="HP4" i="14"/>
  <c r="HN4" i="14"/>
  <c r="HM4" i="14"/>
  <c r="HL4" i="14"/>
  <c r="GU9" i="14"/>
  <c r="GT9" i="14"/>
  <c r="GR9" i="14"/>
  <c r="GQ9" i="14"/>
  <c r="GP9" i="14"/>
  <c r="GU8" i="14"/>
  <c r="GT8" i="14"/>
  <c r="GR8" i="14"/>
  <c r="GQ8" i="14"/>
  <c r="GP8" i="14"/>
  <c r="GU7" i="14"/>
  <c r="GT7" i="14"/>
  <c r="GR7" i="14"/>
  <c r="GQ7" i="14"/>
  <c r="GP7" i="14"/>
  <c r="GU6" i="14"/>
  <c r="GT6" i="14"/>
  <c r="GR6" i="14"/>
  <c r="GQ6" i="14"/>
  <c r="GP6" i="14"/>
  <c r="GU5" i="14"/>
  <c r="GT5" i="14"/>
  <c r="GR5" i="14"/>
  <c r="GQ5" i="14"/>
  <c r="GP5" i="14"/>
  <c r="GU4" i="14"/>
  <c r="GT4" i="14"/>
  <c r="GR4" i="14"/>
  <c r="GQ4" i="14"/>
  <c r="GP4" i="14"/>
  <c r="FY9" i="14"/>
  <c r="FX9" i="14"/>
  <c r="FV9" i="14"/>
  <c r="FU9" i="14"/>
  <c r="FT9" i="14"/>
  <c r="FY8" i="14"/>
  <c r="FX8" i="14"/>
  <c r="FV8" i="14"/>
  <c r="FU8" i="14"/>
  <c r="FT8" i="14"/>
  <c r="FY7" i="14"/>
  <c r="FX7" i="14"/>
  <c r="FV7" i="14"/>
  <c r="FU7" i="14"/>
  <c r="FT7" i="14"/>
  <c r="FY6" i="14"/>
  <c r="FX6" i="14"/>
  <c r="FV6" i="14"/>
  <c r="FU6" i="14"/>
  <c r="FT6" i="14"/>
  <c r="FY5" i="14"/>
  <c r="FX5" i="14"/>
  <c r="FV5" i="14"/>
  <c r="FU5" i="14"/>
  <c r="FT5" i="14"/>
  <c r="FY4" i="14"/>
  <c r="FX4" i="14"/>
  <c r="FV4" i="14"/>
  <c r="FU4" i="14"/>
  <c r="FT4" i="14"/>
  <c r="FC9" i="14"/>
  <c r="FB9" i="14"/>
  <c r="EZ9" i="14"/>
  <c r="EY9" i="14"/>
  <c r="EX9" i="14"/>
  <c r="FC8" i="14"/>
  <c r="FB8" i="14"/>
  <c r="EZ8" i="14"/>
  <c r="EY8" i="14"/>
  <c r="EX8" i="14"/>
  <c r="FC7" i="14"/>
  <c r="FB7" i="14"/>
  <c r="EZ7" i="14"/>
  <c r="EY7" i="14"/>
  <c r="EX7" i="14"/>
  <c r="FC6" i="14"/>
  <c r="FB6" i="14"/>
  <c r="EZ6" i="14"/>
  <c r="EY6" i="14"/>
  <c r="EX6" i="14"/>
  <c r="FC5" i="14"/>
  <c r="FB5" i="14"/>
  <c r="EZ5" i="14"/>
  <c r="EY5" i="14"/>
  <c r="EX5" i="14"/>
  <c r="FC4" i="14"/>
  <c r="FB4" i="14"/>
  <c r="EZ4" i="14"/>
  <c r="EY4" i="14"/>
  <c r="EX4" i="14"/>
  <c r="EG9" i="14"/>
  <c r="EF9" i="14"/>
  <c r="ED9" i="14"/>
  <c r="EC9" i="14"/>
  <c r="EB9" i="14"/>
  <c r="EG8" i="14"/>
  <c r="EF8" i="14"/>
  <c r="ED8" i="14"/>
  <c r="EC8" i="14"/>
  <c r="EB8" i="14"/>
  <c r="EG7" i="14"/>
  <c r="EF7" i="14"/>
  <c r="ED7" i="14"/>
  <c r="EC7" i="14"/>
  <c r="EB7" i="14"/>
  <c r="EG6" i="14"/>
  <c r="EF6" i="14"/>
  <c r="ED6" i="14"/>
  <c r="EC6" i="14"/>
  <c r="EB6" i="14"/>
  <c r="EG5" i="14"/>
  <c r="EF5" i="14"/>
  <c r="ED5" i="14"/>
  <c r="EC5" i="14"/>
  <c r="EB5" i="14"/>
  <c r="EG4" i="14"/>
  <c r="EF4" i="14"/>
  <c r="ED4" i="14"/>
  <c r="EC4" i="14"/>
  <c r="EB4" i="14"/>
  <c r="DK9" i="14"/>
  <c r="DJ9" i="14"/>
  <c r="DH9" i="14"/>
  <c r="DG9" i="14"/>
  <c r="DF9" i="14"/>
  <c r="DK8" i="14"/>
  <c r="DJ8" i="14"/>
  <c r="DH8" i="14"/>
  <c r="DG8" i="14"/>
  <c r="DF8" i="14"/>
  <c r="DK7" i="14"/>
  <c r="DJ7" i="14"/>
  <c r="DH7" i="14"/>
  <c r="DG7" i="14"/>
  <c r="DF7" i="14"/>
  <c r="DK6" i="14"/>
  <c r="DJ6" i="14"/>
  <c r="DH6" i="14"/>
  <c r="DG6" i="14"/>
  <c r="DF6" i="14"/>
  <c r="DK5" i="14"/>
  <c r="DJ5" i="14"/>
  <c r="DH5" i="14"/>
  <c r="DG5" i="14"/>
  <c r="DF5" i="14"/>
  <c r="DK4" i="14"/>
  <c r="DJ4" i="14"/>
  <c r="DH4" i="14"/>
  <c r="DG4" i="14"/>
  <c r="DF4" i="14"/>
  <c r="LW10" i="9"/>
  <c r="LV10" i="9"/>
  <c r="LT10" i="9"/>
  <c r="LS10" i="9"/>
  <c r="LR10" i="9"/>
  <c r="LW9" i="9"/>
  <c r="LV9" i="9"/>
  <c r="LT9" i="9"/>
  <c r="LS9" i="9"/>
  <c r="LU9" i="9" s="1"/>
  <c r="LX9" i="9" s="1"/>
  <c r="LR9" i="9"/>
  <c r="LW8" i="9"/>
  <c r="LV8" i="9"/>
  <c r="LT8" i="9"/>
  <c r="LS8" i="9"/>
  <c r="LR8" i="9"/>
  <c r="LW7" i="9"/>
  <c r="LV7" i="9"/>
  <c r="LT7" i="9"/>
  <c r="LS7" i="9"/>
  <c r="LR7" i="9"/>
  <c r="LW6" i="9"/>
  <c r="LV6" i="9"/>
  <c r="LT6" i="9"/>
  <c r="LS6" i="9"/>
  <c r="LR6" i="9"/>
  <c r="LW5" i="9"/>
  <c r="LV5" i="9"/>
  <c r="LT5" i="9"/>
  <c r="LS5" i="9"/>
  <c r="LR5" i="9"/>
  <c r="LW4" i="9"/>
  <c r="LV4" i="9"/>
  <c r="LT4" i="9"/>
  <c r="LS4" i="9"/>
  <c r="LR4" i="9"/>
  <c r="LA10" i="9"/>
  <c r="KZ10" i="9"/>
  <c r="KX10" i="9"/>
  <c r="KW10" i="9"/>
  <c r="KV10" i="9"/>
  <c r="LA9" i="9"/>
  <c r="KZ9" i="9"/>
  <c r="KX9" i="9"/>
  <c r="KW9" i="9"/>
  <c r="KV9" i="9"/>
  <c r="LA8" i="9"/>
  <c r="KZ8" i="9"/>
  <c r="KX8" i="9"/>
  <c r="KW8" i="9"/>
  <c r="KV8" i="9"/>
  <c r="LA7" i="9"/>
  <c r="KZ7" i="9"/>
  <c r="KX7" i="9"/>
  <c r="KW7" i="9"/>
  <c r="KV7" i="9"/>
  <c r="LA6" i="9"/>
  <c r="KZ6" i="9"/>
  <c r="KX6" i="9"/>
  <c r="KW6" i="9"/>
  <c r="KV6" i="9"/>
  <c r="LA5" i="9"/>
  <c r="KZ5" i="9"/>
  <c r="KX5" i="9"/>
  <c r="KW5" i="9"/>
  <c r="KV5" i="9"/>
  <c r="LA4" i="9"/>
  <c r="KZ4" i="9"/>
  <c r="KX4" i="9"/>
  <c r="KW4" i="9"/>
  <c r="KV4" i="9"/>
  <c r="KE10" i="9"/>
  <c r="KD10" i="9"/>
  <c r="KB10" i="9"/>
  <c r="KA10" i="9"/>
  <c r="JZ10" i="9"/>
  <c r="KE9" i="9"/>
  <c r="KD9" i="9"/>
  <c r="KB9" i="9"/>
  <c r="KA9" i="9"/>
  <c r="JZ9" i="9"/>
  <c r="KE8" i="9"/>
  <c r="KD8" i="9"/>
  <c r="KB8" i="9"/>
  <c r="KA8" i="9"/>
  <c r="JZ8" i="9"/>
  <c r="KE7" i="9"/>
  <c r="KD7" i="9"/>
  <c r="KB7" i="9"/>
  <c r="KA7" i="9"/>
  <c r="JZ7" i="9"/>
  <c r="KE6" i="9"/>
  <c r="KD6" i="9"/>
  <c r="KB6" i="9"/>
  <c r="KA6" i="9"/>
  <c r="JZ6" i="9"/>
  <c r="KE5" i="9"/>
  <c r="KD5" i="9"/>
  <c r="KB5" i="9"/>
  <c r="KA5" i="9"/>
  <c r="JZ5" i="9"/>
  <c r="KE4" i="9"/>
  <c r="KD4" i="9"/>
  <c r="KB4" i="9"/>
  <c r="KA4" i="9"/>
  <c r="JZ4" i="9"/>
  <c r="JI10" i="9"/>
  <c r="JH10" i="9"/>
  <c r="JF10" i="9"/>
  <c r="JE10" i="9"/>
  <c r="JD10" i="9"/>
  <c r="JI9" i="9"/>
  <c r="JH9" i="9"/>
  <c r="JF9" i="9"/>
  <c r="JE9" i="9"/>
  <c r="JD9" i="9"/>
  <c r="JI8" i="9"/>
  <c r="JH8" i="9"/>
  <c r="JF8" i="9"/>
  <c r="JE8" i="9"/>
  <c r="JG8" i="9" s="1"/>
  <c r="JD8" i="9"/>
  <c r="JI7" i="9"/>
  <c r="JH7" i="9"/>
  <c r="JF7" i="9"/>
  <c r="JE7" i="9"/>
  <c r="JD7" i="9"/>
  <c r="JI6" i="9"/>
  <c r="JH6" i="9"/>
  <c r="JF6" i="9"/>
  <c r="JE6" i="9"/>
  <c r="JD6" i="9"/>
  <c r="JI5" i="9"/>
  <c r="JH5" i="9"/>
  <c r="JF5" i="9"/>
  <c r="JE5" i="9"/>
  <c r="JD5" i="9"/>
  <c r="JI4" i="9"/>
  <c r="JH4" i="9"/>
  <c r="JF4" i="9"/>
  <c r="JE4" i="9"/>
  <c r="JD4" i="9"/>
  <c r="IM10" i="9"/>
  <c r="IL10" i="9"/>
  <c r="IJ10" i="9"/>
  <c r="II10" i="9"/>
  <c r="IH10" i="9"/>
  <c r="IM9" i="9"/>
  <c r="IL9" i="9"/>
  <c r="IJ9" i="9"/>
  <c r="II9" i="9"/>
  <c r="IH9" i="9"/>
  <c r="IM8" i="9"/>
  <c r="IL8" i="9"/>
  <c r="IJ8" i="9"/>
  <c r="II8" i="9"/>
  <c r="IH8" i="9"/>
  <c r="IM7" i="9"/>
  <c r="IL7" i="9"/>
  <c r="IJ7" i="9"/>
  <c r="II7" i="9"/>
  <c r="IK7" i="9" s="1"/>
  <c r="IH7" i="9"/>
  <c r="IM6" i="9"/>
  <c r="IL6" i="9"/>
  <c r="IJ6" i="9"/>
  <c r="IK6" i="9" s="1"/>
  <c r="II6" i="9"/>
  <c r="IH6" i="9"/>
  <c r="IM5" i="9"/>
  <c r="IL5" i="9"/>
  <c r="IJ5" i="9"/>
  <c r="II5" i="9"/>
  <c r="IH5" i="9"/>
  <c r="IM4" i="9"/>
  <c r="IL4" i="9"/>
  <c r="IJ4" i="9"/>
  <c r="II4" i="9"/>
  <c r="IH4" i="9"/>
  <c r="HQ10" i="9"/>
  <c r="HP10" i="9"/>
  <c r="HN10" i="9"/>
  <c r="HM10" i="9"/>
  <c r="HL10" i="9"/>
  <c r="HQ9" i="9"/>
  <c r="HP9" i="9"/>
  <c r="HN9" i="9"/>
  <c r="HM9" i="9"/>
  <c r="HL9" i="9"/>
  <c r="HQ8" i="9"/>
  <c r="HP8" i="9"/>
  <c r="HN8" i="9"/>
  <c r="HM8" i="9"/>
  <c r="HL8" i="9"/>
  <c r="HQ7" i="9"/>
  <c r="HP7" i="9"/>
  <c r="HN7" i="9"/>
  <c r="HM7" i="9"/>
  <c r="HL7" i="9"/>
  <c r="HQ6" i="9"/>
  <c r="HP6" i="9"/>
  <c r="HN6" i="9"/>
  <c r="HM6" i="9"/>
  <c r="HL6" i="9"/>
  <c r="HQ5" i="9"/>
  <c r="HP5" i="9"/>
  <c r="HO5" i="9"/>
  <c r="HN5" i="9"/>
  <c r="HM5" i="9"/>
  <c r="HL5" i="9"/>
  <c r="HQ4" i="9"/>
  <c r="HP4" i="9"/>
  <c r="HN4" i="9"/>
  <c r="HM4" i="9"/>
  <c r="HL4" i="9"/>
  <c r="GU10" i="9"/>
  <c r="GT10" i="9"/>
  <c r="GR10" i="9"/>
  <c r="GQ10" i="9"/>
  <c r="GP10" i="9"/>
  <c r="GU9" i="9"/>
  <c r="GT9" i="9"/>
  <c r="GR9" i="9"/>
  <c r="GQ9" i="9"/>
  <c r="GP9" i="9"/>
  <c r="GU8" i="9"/>
  <c r="GT8" i="9"/>
  <c r="GR8" i="9"/>
  <c r="GQ8" i="9"/>
  <c r="GP8" i="9"/>
  <c r="GU7" i="9"/>
  <c r="GT7" i="9"/>
  <c r="GR7" i="9"/>
  <c r="GQ7" i="9"/>
  <c r="GP7" i="9"/>
  <c r="GU6" i="9"/>
  <c r="GT6" i="9"/>
  <c r="GR6" i="9"/>
  <c r="GQ6" i="9"/>
  <c r="GP6" i="9"/>
  <c r="GU5" i="9"/>
  <c r="GT5" i="9"/>
  <c r="GR5" i="9"/>
  <c r="GQ5" i="9"/>
  <c r="GP5" i="9"/>
  <c r="GU4" i="9"/>
  <c r="GT4" i="9"/>
  <c r="GR4" i="9"/>
  <c r="GQ4" i="9"/>
  <c r="GP4" i="9"/>
  <c r="FY10" i="9"/>
  <c r="FX10" i="9"/>
  <c r="FV10" i="9"/>
  <c r="FU10" i="9"/>
  <c r="FT10" i="9"/>
  <c r="FY9" i="9"/>
  <c r="FX9" i="9"/>
  <c r="FV9" i="9"/>
  <c r="FU9" i="9"/>
  <c r="FT9" i="9"/>
  <c r="FY8" i="9"/>
  <c r="FX8" i="9"/>
  <c r="FV8" i="9"/>
  <c r="FU8" i="9"/>
  <c r="FT8" i="9"/>
  <c r="FY7" i="9"/>
  <c r="FX7" i="9"/>
  <c r="FV7" i="9"/>
  <c r="FU7" i="9"/>
  <c r="FT7" i="9"/>
  <c r="FY6" i="9"/>
  <c r="FX6" i="9"/>
  <c r="FV6" i="9"/>
  <c r="FU6" i="9"/>
  <c r="FT6" i="9"/>
  <c r="FY5" i="9"/>
  <c r="FX5" i="9"/>
  <c r="FV5" i="9"/>
  <c r="FU5" i="9"/>
  <c r="FT5" i="9"/>
  <c r="FY4" i="9"/>
  <c r="FX4" i="9"/>
  <c r="FV4" i="9"/>
  <c r="FU4" i="9"/>
  <c r="FT4" i="9"/>
  <c r="FC10" i="9"/>
  <c r="FB10" i="9"/>
  <c r="EZ10" i="9"/>
  <c r="EY10" i="9"/>
  <c r="EX10" i="9"/>
  <c r="FC9" i="9"/>
  <c r="FB9" i="9"/>
  <c r="EZ9" i="9"/>
  <c r="EY9" i="9"/>
  <c r="EX9" i="9"/>
  <c r="FC8" i="9"/>
  <c r="FB8" i="9"/>
  <c r="EZ8" i="9"/>
  <c r="EY8" i="9"/>
  <c r="EX8" i="9"/>
  <c r="FC7" i="9"/>
  <c r="FB7" i="9"/>
  <c r="EZ7" i="9"/>
  <c r="EY7" i="9"/>
  <c r="EX7" i="9"/>
  <c r="FC6" i="9"/>
  <c r="FB6" i="9"/>
  <c r="EZ6" i="9"/>
  <c r="EY6" i="9"/>
  <c r="FA6" i="9" s="1"/>
  <c r="FD6" i="9" s="1"/>
  <c r="EX6" i="9"/>
  <c r="FC5" i="9"/>
  <c r="FB5" i="9"/>
  <c r="EZ5" i="9"/>
  <c r="EY5" i="9"/>
  <c r="EX5" i="9"/>
  <c r="FC4" i="9"/>
  <c r="FB4" i="9"/>
  <c r="EZ4" i="9"/>
  <c r="EY4" i="9"/>
  <c r="EX4" i="9"/>
  <c r="EG10" i="9"/>
  <c r="EF10" i="9"/>
  <c r="ED10" i="9"/>
  <c r="EC10" i="9"/>
  <c r="EB10" i="9"/>
  <c r="EG9" i="9"/>
  <c r="EF9" i="9"/>
  <c r="ED9" i="9"/>
  <c r="EC9" i="9"/>
  <c r="EB9" i="9"/>
  <c r="EG8" i="9"/>
  <c r="EF8" i="9"/>
  <c r="ED8" i="9"/>
  <c r="EC8" i="9"/>
  <c r="EB8" i="9"/>
  <c r="EG7" i="9"/>
  <c r="EF7" i="9"/>
  <c r="ED7" i="9"/>
  <c r="EC7" i="9"/>
  <c r="EB7" i="9"/>
  <c r="EG6" i="9"/>
  <c r="EF6" i="9"/>
  <c r="ED6" i="9"/>
  <c r="EC6" i="9"/>
  <c r="EB6" i="9"/>
  <c r="EG5" i="9"/>
  <c r="EF5" i="9"/>
  <c r="ED5" i="9"/>
  <c r="EC5" i="9"/>
  <c r="EB5" i="9"/>
  <c r="EG4" i="9"/>
  <c r="EF4" i="9"/>
  <c r="ED4" i="9"/>
  <c r="EC4" i="9"/>
  <c r="EB4" i="9"/>
  <c r="DK10" i="9"/>
  <c r="DJ10" i="9"/>
  <c r="DH10" i="9"/>
  <c r="DG10" i="9"/>
  <c r="DF10" i="9"/>
  <c r="DK9" i="9"/>
  <c r="DJ9" i="9"/>
  <c r="DH9" i="9"/>
  <c r="DG9" i="9"/>
  <c r="DF9" i="9"/>
  <c r="DK8" i="9"/>
  <c r="DJ8" i="9"/>
  <c r="DH8" i="9"/>
  <c r="DG8" i="9"/>
  <c r="DF8" i="9"/>
  <c r="DK7" i="9"/>
  <c r="DJ7" i="9"/>
  <c r="DH7" i="9"/>
  <c r="DG7" i="9"/>
  <c r="DF7" i="9"/>
  <c r="DK6" i="9"/>
  <c r="DJ6" i="9"/>
  <c r="DH6" i="9"/>
  <c r="DG6" i="9"/>
  <c r="DF6" i="9"/>
  <c r="DK5" i="9"/>
  <c r="DJ5" i="9"/>
  <c r="DH5" i="9"/>
  <c r="DG5" i="9"/>
  <c r="DF5" i="9"/>
  <c r="DK4" i="9"/>
  <c r="DJ4" i="9"/>
  <c r="DH4" i="9"/>
  <c r="DG4" i="9"/>
  <c r="DF4" i="9"/>
  <c r="MR17" i="13"/>
  <c r="MQ17" i="13"/>
  <c r="MO17" i="13"/>
  <c r="MN17" i="13"/>
  <c r="MM17" i="13"/>
  <c r="MR16" i="13"/>
  <c r="MQ16" i="13"/>
  <c r="MO16" i="13"/>
  <c r="MN16" i="13"/>
  <c r="MM16" i="13"/>
  <c r="MR15" i="13"/>
  <c r="MQ15" i="13"/>
  <c r="MO15" i="13"/>
  <c r="MN15" i="13"/>
  <c r="MM15" i="13"/>
  <c r="MR14" i="13"/>
  <c r="MQ14" i="13"/>
  <c r="MO14" i="13"/>
  <c r="MN14" i="13"/>
  <c r="MM14" i="13"/>
  <c r="MR13" i="13"/>
  <c r="MQ13" i="13"/>
  <c r="MO13" i="13"/>
  <c r="MN13" i="13"/>
  <c r="MM13" i="13"/>
  <c r="MR12" i="13"/>
  <c r="MQ12" i="13"/>
  <c r="MO12" i="13"/>
  <c r="MN12" i="13"/>
  <c r="MM12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8" i="13"/>
  <c r="MQ8" i="13"/>
  <c r="MO8" i="13"/>
  <c r="MN8" i="13"/>
  <c r="MM8" i="13"/>
  <c r="MR7" i="13"/>
  <c r="MQ7" i="13"/>
  <c r="MO7" i="13"/>
  <c r="MN7" i="13"/>
  <c r="MM7" i="13"/>
  <c r="MR6" i="13"/>
  <c r="MQ6" i="13"/>
  <c r="MO6" i="13"/>
  <c r="MN6" i="13"/>
  <c r="MP6" i="13" s="1"/>
  <c r="MM6" i="13"/>
  <c r="MR5" i="13"/>
  <c r="MQ5" i="13"/>
  <c r="MO5" i="13"/>
  <c r="MN5" i="13"/>
  <c r="MM5" i="13"/>
  <c r="MR4" i="13"/>
  <c r="MQ4" i="13"/>
  <c r="MO4" i="13"/>
  <c r="MN4" i="13"/>
  <c r="MM4" i="13"/>
  <c r="LV17" i="13"/>
  <c r="LU17" i="13"/>
  <c r="LS17" i="13"/>
  <c r="LR17" i="13"/>
  <c r="LQ17" i="13"/>
  <c r="LV16" i="13"/>
  <c r="LU16" i="13"/>
  <c r="LS16" i="13"/>
  <c r="LR16" i="13"/>
  <c r="LQ16" i="13"/>
  <c r="LV15" i="13"/>
  <c r="LU15" i="13"/>
  <c r="LS15" i="13"/>
  <c r="LR15" i="13"/>
  <c r="LQ15" i="13"/>
  <c r="LV14" i="13"/>
  <c r="LU14" i="13"/>
  <c r="LS14" i="13"/>
  <c r="LR14" i="13"/>
  <c r="LQ14" i="13"/>
  <c r="LV13" i="13"/>
  <c r="LU13" i="13"/>
  <c r="LS13" i="13"/>
  <c r="LR13" i="13"/>
  <c r="LQ13" i="13"/>
  <c r="LV12" i="13"/>
  <c r="LU12" i="13"/>
  <c r="LS12" i="13"/>
  <c r="LR12" i="13"/>
  <c r="LQ12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8" i="13"/>
  <c r="LU8" i="13"/>
  <c r="LS8" i="13"/>
  <c r="LR8" i="13"/>
  <c r="LQ8" i="13"/>
  <c r="LV7" i="13"/>
  <c r="LU7" i="13"/>
  <c r="LS7" i="13"/>
  <c r="LR7" i="13"/>
  <c r="LQ7" i="13"/>
  <c r="LV6" i="13"/>
  <c r="LU6" i="13"/>
  <c r="LS6" i="13"/>
  <c r="LR6" i="13"/>
  <c r="LQ6" i="13"/>
  <c r="LV5" i="13"/>
  <c r="LU5" i="13"/>
  <c r="LS5" i="13"/>
  <c r="LR5" i="13"/>
  <c r="LQ5" i="13"/>
  <c r="LV4" i="13"/>
  <c r="LU4" i="13"/>
  <c r="LS4" i="13"/>
  <c r="LR4" i="13"/>
  <c r="LQ4" i="13"/>
  <c r="KZ17" i="13"/>
  <c r="KY17" i="13"/>
  <c r="KW17" i="13"/>
  <c r="KV17" i="13"/>
  <c r="KX17" i="13" s="1"/>
  <c r="LA17" i="13" s="1"/>
  <c r="KU17" i="13"/>
  <c r="KZ16" i="13"/>
  <c r="KY16" i="13"/>
  <c r="KW16" i="13"/>
  <c r="KV16" i="13"/>
  <c r="KU16" i="13"/>
  <c r="KZ15" i="13"/>
  <c r="KY15" i="13"/>
  <c r="KW15" i="13"/>
  <c r="KV15" i="13"/>
  <c r="KU15" i="13"/>
  <c r="KZ14" i="13"/>
  <c r="KY14" i="13"/>
  <c r="KW14" i="13"/>
  <c r="KV14" i="13"/>
  <c r="KU14" i="13"/>
  <c r="KZ13" i="13"/>
  <c r="KY13" i="13"/>
  <c r="KW13" i="13"/>
  <c r="KV13" i="13"/>
  <c r="KU13" i="13"/>
  <c r="KZ12" i="13"/>
  <c r="KY12" i="13"/>
  <c r="KW12" i="13"/>
  <c r="KV12" i="13"/>
  <c r="KU12" i="13"/>
  <c r="KZ11" i="13"/>
  <c r="KY11" i="13"/>
  <c r="KW11" i="13"/>
  <c r="KV11" i="13"/>
  <c r="KU11" i="13"/>
  <c r="KZ10" i="13"/>
  <c r="KY10" i="13"/>
  <c r="KW10" i="13"/>
  <c r="KV10" i="13"/>
  <c r="KX10" i="13" s="1"/>
  <c r="KU10" i="13"/>
  <c r="KZ9" i="13"/>
  <c r="KY9" i="13"/>
  <c r="KW9" i="13"/>
  <c r="KV9" i="13"/>
  <c r="KX9" i="13" s="1"/>
  <c r="LA9" i="13" s="1"/>
  <c r="KU9" i="13"/>
  <c r="KZ8" i="13"/>
  <c r="KY8" i="13"/>
  <c r="KW8" i="13"/>
  <c r="KV8" i="13"/>
  <c r="KU8" i="13"/>
  <c r="KZ7" i="13"/>
  <c r="KY7" i="13"/>
  <c r="KW7" i="13"/>
  <c r="KV7" i="13"/>
  <c r="KU7" i="13"/>
  <c r="KZ6" i="13"/>
  <c r="KY6" i="13"/>
  <c r="KW6" i="13"/>
  <c r="KV6" i="13"/>
  <c r="KU6" i="13"/>
  <c r="KZ5" i="13"/>
  <c r="KY5" i="13"/>
  <c r="KW5" i="13"/>
  <c r="KV5" i="13"/>
  <c r="KU5" i="13"/>
  <c r="KZ4" i="13"/>
  <c r="KY4" i="13"/>
  <c r="KW4" i="13"/>
  <c r="KV4" i="13"/>
  <c r="KU4" i="13"/>
  <c r="KD17" i="13"/>
  <c r="KC17" i="13"/>
  <c r="KA17" i="13"/>
  <c r="JZ17" i="13"/>
  <c r="JY17" i="13"/>
  <c r="KD16" i="13"/>
  <c r="KC16" i="13"/>
  <c r="KA16" i="13"/>
  <c r="JZ16" i="13"/>
  <c r="JY16" i="13"/>
  <c r="KD15" i="13"/>
  <c r="KC15" i="13"/>
  <c r="KA15" i="13"/>
  <c r="JZ15" i="13"/>
  <c r="JY15" i="13"/>
  <c r="KD14" i="13"/>
  <c r="KC14" i="13"/>
  <c r="KA14" i="13"/>
  <c r="JZ14" i="13"/>
  <c r="JY14" i="13"/>
  <c r="KD13" i="13"/>
  <c r="KC13" i="13"/>
  <c r="KA13" i="13"/>
  <c r="JZ13" i="13"/>
  <c r="JY13" i="13"/>
  <c r="KD12" i="13"/>
  <c r="KC12" i="13"/>
  <c r="KA12" i="13"/>
  <c r="JZ12" i="13"/>
  <c r="JY12" i="13"/>
  <c r="KD11" i="13"/>
  <c r="KC11" i="13"/>
  <c r="KA11" i="13"/>
  <c r="JZ11" i="13"/>
  <c r="JY11" i="13"/>
  <c r="KD10" i="13"/>
  <c r="KC10" i="13"/>
  <c r="KA10" i="13"/>
  <c r="JZ10" i="13"/>
  <c r="JY10" i="13"/>
  <c r="KD9" i="13"/>
  <c r="KC9" i="13"/>
  <c r="KA9" i="13"/>
  <c r="JZ9" i="13"/>
  <c r="JY9" i="13"/>
  <c r="KD8" i="13"/>
  <c r="KC8" i="13"/>
  <c r="KA8" i="13"/>
  <c r="JZ8" i="13"/>
  <c r="JY8" i="13"/>
  <c r="KD7" i="13"/>
  <c r="KC7" i="13"/>
  <c r="KA7" i="13"/>
  <c r="JZ7" i="13"/>
  <c r="JY7" i="13"/>
  <c r="KD6" i="13"/>
  <c r="KC6" i="13"/>
  <c r="KA6" i="13"/>
  <c r="JZ6" i="13"/>
  <c r="JY6" i="13"/>
  <c r="KD5" i="13"/>
  <c r="KC5" i="13"/>
  <c r="KA5" i="13"/>
  <c r="KB5" i="13" s="1"/>
  <c r="KE5" i="13" s="1"/>
  <c r="JZ5" i="13"/>
  <c r="JY5" i="13"/>
  <c r="KD4" i="13"/>
  <c r="KC4" i="13"/>
  <c r="KA4" i="13"/>
  <c r="JZ4" i="13"/>
  <c r="JY4" i="13"/>
  <c r="JH17" i="13"/>
  <c r="JG17" i="13"/>
  <c r="JE17" i="13"/>
  <c r="JD17" i="13"/>
  <c r="JC17" i="13"/>
  <c r="JH16" i="13"/>
  <c r="JG16" i="13"/>
  <c r="JE16" i="13"/>
  <c r="JD16" i="13"/>
  <c r="JC16" i="13"/>
  <c r="JH15" i="13"/>
  <c r="JG15" i="13"/>
  <c r="JE15" i="13"/>
  <c r="JD15" i="13"/>
  <c r="JC15" i="13"/>
  <c r="JH14" i="13"/>
  <c r="JG14" i="13"/>
  <c r="JE14" i="13"/>
  <c r="JD14" i="13"/>
  <c r="JF14" i="13" s="1"/>
  <c r="JC14" i="13"/>
  <c r="JH13" i="13"/>
  <c r="JG13" i="13"/>
  <c r="JE13" i="13"/>
  <c r="JD13" i="13"/>
  <c r="JC13" i="13"/>
  <c r="JH12" i="13"/>
  <c r="JG12" i="13"/>
  <c r="JE12" i="13"/>
  <c r="JD12" i="13"/>
  <c r="JC12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C9" i="13"/>
  <c r="JH8" i="13"/>
  <c r="JG8" i="13"/>
  <c r="JE8" i="13"/>
  <c r="JD8" i="13"/>
  <c r="JC8" i="13"/>
  <c r="JH7" i="13"/>
  <c r="JG7" i="13"/>
  <c r="JE7" i="13"/>
  <c r="JD7" i="13"/>
  <c r="JF7" i="13" s="1"/>
  <c r="JC7" i="13"/>
  <c r="JH6" i="13"/>
  <c r="JG6" i="13"/>
  <c r="JE6" i="13"/>
  <c r="JD6" i="13"/>
  <c r="JF6" i="13" s="1"/>
  <c r="JC6" i="13"/>
  <c r="JH5" i="13"/>
  <c r="JG5" i="13"/>
  <c r="JE5" i="13"/>
  <c r="JD5" i="13"/>
  <c r="JC5" i="13"/>
  <c r="JH4" i="13"/>
  <c r="JG4" i="13"/>
  <c r="JE4" i="13"/>
  <c r="JD4" i="13"/>
  <c r="JC4" i="13"/>
  <c r="IL17" i="13"/>
  <c r="IK17" i="13"/>
  <c r="II17" i="13"/>
  <c r="IH17" i="13"/>
  <c r="IG17" i="13"/>
  <c r="IL16" i="13"/>
  <c r="IK16" i="13"/>
  <c r="II16" i="13"/>
  <c r="IH16" i="13"/>
  <c r="IG16" i="13"/>
  <c r="IL15" i="13"/>
  <c r="IK15" i="13"/>
  <c r="II15" i="13"/>
  <c r="IH15" i="13"/>
  <c r="IG15" i="13"/>
  <c r="IL14" i="13"/>
  <c r="IK14" i="13"/>
  <c r="II14" i="13"/>
  <c r="IH14" i="13"/>
  <c r="IG14" i="13"/>
  <c r="IL13" i="13"/>
  <c r="IK13" i="13"/>
  <c r="II13" i="13"/>
  <c r="IH13" i="13"/>
  <c r="IG13" i="13"/>
  <c r="IL12" i="13"/>
  <c r="IK12" i="13"/>
  <c r="II12" i="13"/>
  <c r="IH12" i="13"/>
  <c r="IG12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8" i="13"/>
  <c r="IK8" i="13"/>
  <c r="II8" i="13"/>
  <c r="IH8" i="13"/>
  <c r="IG8" i="13"/>
  <c r="IL7" i="13"/>
  <c r="IK7" i="13"/>
  <c r="II7" i="13"/>
  <c r="IH7" i="13"/>
  <c r="IG7" i="13"/>
  <c r="IL6" i="13"/>
  <c r="IK6" i="13"/>
  <c r="II6" i="13"/>
  <c r="IH6" i="13"/>
  <c r="IG6" i="13"/>
  <c r="IL5" i="13"/>
  <c r="IK5" i="13"/>
  <c r="II5" i="13"/>
  <c r="IH5" i="13"/>
  <c r="IG5" i="13"/>
  <c r="IL4" i="13"/>
  <c r="IK4" i="13"/>
  <c r="II4" i="13"/>
  <c r="IH4" i="13"/>
  <c r="IG4" i="13"/>
  <c r="HP17" i="13"/>
  <c r="HO17" i="13"/>
  <c r="HM17" i="13"/>
  <c r="HL17" i="13"/>
  <c r="HN17" i="13" s="1"/>
  <c r="HK17" i="13"/>
  <c r="HP16" i="13"/>
  <c r="HO16" i="13"/>
  <c r="HM16" i="13"/>
  <c r="HL16" i="13"/>
  <c r="HK16" i="13"/>
  <c r="HP15" i="13"/>
  <c r="HO15" i="13"/>
  <c r="HM15" i="13"/>
  <c r="HL15" i="13"/>
  <c r="HK15" i="13"/>
  <c r="HP14" i="13"/>
  <c r="HO14" i="13"/>
  <c r="HM14" i="13"/>
  <c r="HL14" i="13"/>
  <c r="HK14" i="13"/>
  <c r="HP13" i="13"/>
  <c r="HO13" i="13"/>
  <c r="HM13" i="13"/>
  <c r="HL13" i="13"/>
  <c r="HK13" i="13"/>
  <c r="HP12" i="13"/>
  <c r="HO12" i="13"/>
  <c r="HM12" i="13"/>
  <c r="HL12" i="13"/>
  <c r="HK12" i="13"/>
  <c r="HP11" i="13"/>
  <c r="HO11" i="13"/>
  <c r="HM11" i="13"/>
  <c r="HL11" i="13"/>
  <c r="HK11" i="13"/>
  <c r="HP10" i="13"/>
  <c r="HO10" i="13"/>
  <c r="HM10" i="13"/>
  <c r="HL10" i="13"/>
  <c r="HN10" i="13" s="1"/>
  <c r="HK10" i="13"/>
  <c r="HP9" i="13"/>
  <c r="HO9" i="13"/>
  <c r="HM9" i="13"/>
  <c r="HL9" i="13"/>
  <c r="HK9" i="13"/>
  <c r="HP8" i="13"/>
  <c r="HO8" i="13"/>
  <c r="HM8" i="13"/>
  <c r="HL8" i="13"/>
  <c r="HK8" i="13"/>
  <c r="HP7" i="13"/>
  <c r="HO7" i="13"/>
  <c r="HM7" i="13"/>
  <c r="HL7" i="13"/>
  <c r="HK7" i="13"/>
  <c r="HP6" i="13"/>
  <c r="HO6" i="13"/>
  <c r="HM6" i="13"/>
  <c r="HL6" i="13"/>
  <c r="HK6" i="13"/>
  <c r="HP5" i="13"/>
  <c r="HO5" i="13"/>
  <c r="HM5" i="13"/>
  <c r="HN5" i="13" s="1"/>
  <c r="HL5" i="13"/>
  <c r="HK5" i="13"/>
  <c r="HP4" i="13"/>
  <c r="HO4" i="13"/>
  <c r="HM4" i="13"/>
  <c r="HL4" i="13"/>
  <c r="HK4" i="13"/>
  <c r="GT17" i="13"/>
  <c r="GS17" i="13"/>
  <c r="GQ17" i="13"/>
  <c r="GP17" i="13"/>
  <c r="GO17" i="13"/>
  <c r="GT16" i="13"/>
  <c r="GS16" i="13"/>
  <c r="GQ16" i="13"/>
  <c r="GP16" i="13"/>
  <c r="GO16" i="13"/>
  <c r="GT15" i="13"/>
  <c r="GS15" i="13"/>
  <c r="GQ15" i="13"/>
  <c r="GP15" i="13"/>
  <c r="GR15" i="13" s="1"/>
  <c r="GO15" i="13"/>
  <c r="GT14" i="13"/>
  <c r="GS14" i="13"/>
  <c r="GQ14" i="13"/>
  <c r="GP14" i="13"/>
  <c r="GO14" i="13"/>
  <c r="GT13" i="13"/>
  <c r="GS13" i="13"/>
  <c r="GQ13" i="13"/>
  <c r="GP13" i="13"/>
  <c r="GO13" i="13"/>
  <c r="GT12" i="13"/>
  <c r="GS12" i="13"/>
  <c r="GQ12" i="13"/>
  <c r="GP12" i="13"/>
  <c r="GO12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R9" i="13" s="1"/>
  <c r="GO9" i="13"/>
  <c r="GT8" i="13"/>
  <c r="GS8" i="13"/>
  <c r="GQ8" i="13"/>
  <c r="GP8" i="13"/>
  <c r="GO8" i="13"/>
  <c r="GT7" i="13"/>
  <c r="GS7" i="13"/>
  <c r="GQ7" i="13"/>
  <c r="GP7" i="13"/>
  <c r="GR7" i="13" s="1"/>
  <c r="GU7" i="13" s="1"/>
  <c r="GO7" i="13"/>
  <c r="GT6" i="13"/>
  <c r="GS6" i="13"/>
  <c r="GQ6" i="13"/>
  <c r="GP6" i="13"/>
  <c r="GO6" i="13"/>
  <c r="GT5" i="13"/>
  <c r="GS5" i="13"/>
  <c r="GQ5" i="13"/>
  <c r="GR5" i="13" s="1"/>
  <c r="GU5" i="13" s="1"/>
  <c r="GP5" i="13"/>
  <c r="GO5" i="13"/>
  <c r="GT4" i="13"/>
  <c r="GS4" i="13"/>
  <c r="GQ4" i="13"/>
  <c r="GP4" i="13"/>
  <c r="GO4" i="13"/>
  <c r="FX17" i="13"/>
  <c r="FW17" i="13"/>
  <c r="FU17" i="13"/>
  <c r="FT17" i="13"/>
  <c r="FS17" i="13"/>
  <c r="FX16" i="13"/>
  <c r="FW16" i="13"/>
  <c r="FU16" i="13"/>
  <c r="FT16" i="13"/>
  <c r="FS16" i="13"/>
  <c r="FX15" i="13"/>
  <c r="FW15" i="13"/>
  <c r="FU15" i="13"/>
  <c r="FT15" i="13"/>
  <c r="FV15" i="13" s="1"/>
  <c r="FS15" i="13"/>
  <c r="FX14" i="13"/>
  <c r="FW14" i="13"/>
  <c r="FU14" i="13"/>
  <c r="FT14" i="13"/>
  <c r="FV14" i="13" s="1"/>
  <c r="FS14" i="13"/>
  <c r="FX13" i="13"/>
  <c r="FW13" i="13"/>
  <c r="FU13" i="13"/>
  <c r="FT13" i="13"/>
  <c r="FS13" i="13"/>
  <c r="FX12" i="13"/>
  <c r="FW12" i="13"/>
  <c r="FU12" i="13"/>
  <c r="FT12" i="13"/>
  <c r="FS12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8" i="13"/>
  <c r="FW8" i="13"/>
  <c r="FU8" i="13"/>
  <c r="FT8" i="13"/>
  <c r="FS8" i="13"/>
  <c r="FX7" i="13"/>
  <c r="FW7" i="13"/>
  <c r="FU7" i="13"/>
  <c r="FT7" i="13"/>
  <c r="FV7" i="13" s="1"/>
  <c r="FS7" i="13"/>
  <c r="FX6" i="13"/>
  <c r="FW6" i="13"/>
  <c r="FU6" i="13"/>
  <c r="FT6" i="13"/>
  <c r="FV6" i="13" s="1"/>
  <c r="FS6" i="13"/>
  <c r="FX5" i="13"/>
  <c r="FW5" i="13"/>
  <c r="FU5" i="13"/>
  <c r="FT5" i="13"/>
  <c r="FS5" i="13"/>
  <c r="FX4" i="13"/>
  <c r="FW4" i="13"/>
  <c r="FU4" i="13"/>
  <c r="FT4" i="13"/>
  <c r="FS4" i="13"/>
  <c r="FB17" i="13"/>
  <c r="FA17" i="13"/>
  <c r="EY17" i="13"/>
  <c r="EX17" i="13"/>
  <c r="EW17" i="13"/>
  <c r="FB16" i="13"/>
  <c r="FA16" i="13"/>
  <c r="EY16" i="13"/>
  <c r="EX16" i="13"/>
  <c r="EW16" i="13"/>
  <c r="FB15" i="13"/>
  <c r="FA15" i="13"/>
  <c r="EY15" i="13"/>
  <c r="EX15" i="13"/>
  <c r="EW15" i="13"/>
  <c r="FB14" i="13"/>
  <c r="FA14" i="13"/>
  <c r="EY14" i="13"/>
  <c r="EX14" i="13"/>
  <c r="EW14" i="13"/>
  <c r="FB13" i="13"/>
  <c r="FA13" i="13"/>
  <c r="EY13" i="13"/>
  <c r="EX13" i="13"/>
  <c r="EW13" i="13"/>
  <c r="FB12" i="13"/>
  <c r="FA12" i="13"/>
  <c r="EY12" i="13"/>
  <c r="EX12" i="13"/>
  <c r="EW12" i="13"/>
  <c r="FB11" i="13"/>
  <c r="FA11" i="13"/>
  <c r="EY11" i="13"/>
  <c r="EX11" i="13"/>
  <c r="EW11" i="13"/>
  <c r="FB10" i="13"/>
  <c r="FA10" i="13"/>
  <c r="EY10" i="13"/>
  <c r="EX10" i="13"/>
  <c r="EW10" i="13"/>
  <c r="FB9" i="13"/>
  <c r="FA9" i="13"/>
  <c r="EY9" i="13"/>
  <c r="EX9" i="13"/>
  <c r="EW9" i="13"/>
  <c r="FB8" i="13"/>
  <c r="FA8" i="13"/>
  <c r="EY8" i="13"/>
  <c r="EX8" i="13"/>
  <c r="EW8" i="13"/>
  <c r="FB7" i="13"/>
  <c r="FA7" i="13"/>
  <c r="EY7" i="13"/>
  <c r="EX7" i="13"/>
  <c r="EW7" i="13"/>
  <c r="FB6" i="13"/>
  <c r="FA6" i="13"/>
  <c r="EY6" i="13"/>
  <c r="EX6" i="13"/>
  <c r="EW6" i="13"/>
  <c r="FB5" i="13"/>
  <c r="FA5" i="13"/>
  <c r="EY5" i="13"/>
  <c r="EX5" i="13"/>
  <c r="EW5" i="13"/>
  <c r="FB4" i="13"/>
  <c r="FA4" i="13"/>
  <c r="EY4" i="13"/>
  <c r="EX4" i="13"/>
  <c r="EZ4" i="13" s="1"/>
  <c r="EW4" i="13"/>
  <c r="EF17" i="13"/>
  <c r="EE17" i="13"/>
  <c r="EC17" i="13"/>
  <c r="EB17" i="13"/>
  <c r="EA17" i="13"/>
  <c r="EF16" i="13"/>
  <c r="EE16" i="13"/>
  <c r="EC16" i="13"/>
  <c r="EB16" i="13"/>
  <c r="EA16" i="13"/>
  <c r="EF15" i="13"/>
  <c r="EE15" i="13"/>
  <c r="EC15" i="13"/>
  <c r="EB15" i="13"/>
  <c r="EA15" i="13"/>
  <c r="EF14" i="13"/>
  <c r="EE14" i="13"/>
  <c r="EC14" i="13"/>
  <c r="ED14" i="13" s="1"/>
  <c r="EB14" i="13"/>
  <c r="EA14" i="13"/>
  <c r="EF13" i="13"/>
  <c r="EE13" i="13"/>
  <c r="EC13" i="13"/>
  <c r="EB13" i="13"/>
  <c r="EA13" i="13"/>
  <c r="EF12" i="13"/>
  <c r="EE12" i="13"/>
  <c r="EC12" i="13"/>
  <c r="EB12" i="13"/>
  <c r="EA12" i="13"/>
  <c r="EF11" i="13"/>
  <c r="EE11" i="13"/>
  <c r="EC11" i="13"/>
  <c r="EB11" i="13"/>
  <c r="ED11" i="13" s="1"/>
  <c r="EA11" i="13"/>
  <c r="EF10" i="13"/>
  <c r="EE10" i="13"/>
  <c r="EC10" i="13"/>
  <c r="EB10" i="13"/>
  <c r="EA10" i="13"/>
  <c r="EF9" i="13"/>
  <c r="EE9" i="13"/>
  <c r="EC9" i="13"/>
  <c r="EB9" i="13"/>
  <c r="ED9" i="13" s="1"/>
  <c r="EA9" i="13"/>
  <c r="EF8" i="13"/>
  <c r="EE8" i="13"/>
  <c r="EC8" i="13"/>
  <c r="EB8" i="13"/>
  <c r="EA8" i="13"/>
  <c r="EF7" i="13"/>
  <c r="EE7" i="13"/>
  <c r="EC7" i="13"/>
  <c r="EB7" i="13"/>
  <c r="EA7" i="13"/>
  <c r="EF6" i="13"/>
  <c r="EE6" i="13"/>
  <c r="EC6" i="13"/>
  <c r="EB6" i="13"/>
  <c r="EA6" i="13"/>
  <c r="EF5" i="13"/>
  <c r="EE5" i="13"/>
  <c r="EC5" i="13"/>
  <c r="EB5" i="13"/>
  <c r="EA5" i="13"/>
  <c r="EF4" i="13"/>
  <c r="EE4" i="13"/>
  <c r="EC4" i="13"/>
  <c r="EB4" i="13"/>
  <c r="EA4" i="13"/>
  <c r="MR26" i="4"/>
  <c r="MQ26" i="4"/>
  <c r="MO26" i="4"/>
  <c r="MN26" i="4"/>
  <c r="MP26" i="4" s="1"/>
  <c r="MS26" i="4" s="1"/>
  <c r="MM26" i="4"/>
  <c r="MR25" i="4"/>
  <c r="MQ25" i="4"/>
  <c r="MO25" i="4"/>
  <c r="MN25" i="4"/>
  <c r="MM25" i="4"/>
  <c r="MR24" i="4"/>
  <c r="MQ24" i="4"/>
  <c r="MO24" i="4"/>
  <c r="MN24" i="4"/>
  <c r="MP24" i="4" s="1"/>
  <c r="MM24" i="4"/>
  <c r="MR23" i="4"/>
  <c r="MQ23" i="4"/>
  <c r="MO23" i="4"/>
  <c r="MN23" i="4"/>
  <c r="MM23" i="4"/>
  <c r="MR22" i="4"/>
  <c r="MQ22" i="4"/>
  <c r="MO22" i="4"/>
  <c r="MN22" i="4"/>
  <c r="MP22" i="4" s="1"/>
  <c r="MS22" i="4" s="1"/>
  <c r="MM22" i="4"/>
  <c r="MR21" i="4"/>
  <c r="MQ21" i="4"/>
  <c r="MO21" i="4"/>
  <c r="MN21" i="4"/>
  <c r="MM21" i="4"/>
  <c r="MR20" i="4"/>
  <c r="MQ20" i="4"/>
  <c r="MO20" i="4"/>
  <c r="MN20" i="4"/>
  <c r="MM20" i="4"/>
  <c r="MR19" i="4"/>
  <c r="MQ19" i="4"/>
  <c r="MO19" i="4"/>
  <c r="MN19" i="4"/>
  <c r="MM19" i="4"/>
  <c r="MR18" i="4"/>
  <c r="MQ18" i="4"/>
  <c r="MO18" i="4"/>
  <c r="MN18" i="4"/>
  <c r="MP18" i="4" s="1"/>
  <c r="MM18" i="4"/>
  <c r="MR17" i="4"/>
  <c r="MQ17" i="4"/>
  <c r="MO17" i="4"/>
  <c r="MN17" i="4"/>
  <c r="MM17" i="4"/>
  <c r="MR15" i="4"/>
  <c r="MQ15" i="4"/>
  <c r="MO15" i="4"/>
  <c r="MN15" i="4"/>
  <c r="MM15" i="4"/>
  <c r="MR16" i="4"/>
  <c r="MQ16" i="4"/>
  <c r="MO16" i="4"/>
  <c r="MN16" i="4"/>
  <c r="MM16" i="4"/>
  <c r="MR14" i="4"/>
  <c r="MQ14" i="4"/>
  <c r="MO14" i="4"/>
  <c r="MN14" i="4"/>
  <c r="MP14" i="4" s="1"/>
  <c r="MS14" i="4" s="1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M11" i="4"/>
  <c r="MR10" i="4"/>
  <c r="MQ10" i="4"/>
  <c r="MO10" i="4"/>
  <c r="MN10" i="4"/>
  <c r="MP10" i="4" s="1"/>
  <c r="MS10" i="4" s="1"/>
  <c r="MM10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P7" i="4" s="1"/>
  <c r="MM7" i="4"/>
  <c r="MR5" i="4"/>
  <c r="MQ5" i="4"/>
  <c r="MO5" i="4"/>
  <c r="MN5" i="4"/>
  <c r="MP5" i="4" s="1"/>
  <c r="MS5" i="4" s="1"/>
  <c r="MM5" i="4"/>
  <c r="MR6" i="4"/>
  <c r="MQ6" i="4"/>
  <c r="MP6" i="4"/>
  <c r="MO6" i="4"/>
  <c r="MN6" i="4"/>
  <c r="MM6" i="4"/>
  <c r="MR4" i="4"/>
  <c r="MQ4" i="4"/>
  <c r="MO4" i="4"/>
  <c r="MN4" i="4"/>
  <c r="MM4" i="4"/>
  <c r="LV26" i="4"/>
  <c r="LU26" i="4"/>
  <c r="LS26" i="4"/>
  <c r="LR26" i="4"/>
  <c r="LT26" i="4" s="1"/>
  <c r="LW26" i="4" s="1"/>
  <c r="LQ26" i="4"/>
  <c r="LV25" i="4"/>
  <c r="LU25" i="4"/>
  <c r="LS25" i="4"/>
  <c r="LT25" i="4" s="1"/>
  <c r="LR25" i="4"/>
  <c r="LQ25" i="4"/>
  <c r="LV24" i="4"/>
  <c r="LU24" i="4"/>
  <c r="LS24" i="4"/>
  <c r="LR24" i="4"/>
  <c r="LQ24" i="4"/>
  <c r="LV23" i="4"/>
  <c r="LU23" i="4"/>
  <c r="LS23" i="4"/>
  <c r="LR23" i="4"/>
  <c r="LQ23" i="4"/>
  <c r="LV22" i="4"/>
  <c r="LU22" i="4"/>
  <c r="LS22" i="4"/>
  <c r="LR22" i="4"/>
  <c r="LQ22" i="4"/>
  <c r="LV21" i="4"/>
  <c r="LU21" i="4"/>
  <c r="LS21" i="4"/>
  <c r="LR21" i="4"/>
  <c r="LQ21" i="4"/>
  <c r="LV20" i="4"/>
  <c r="LU20" i="4"/>
  <c r="LS20" i="4"/>
  <c r="LR20" i="4"/>
  <c r="LT20" i="4" s="1"/>
  <c r="LQ20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Q17" i="4"/>
  <c r="LV15" i="4"/>
  <c r="LU15" i="4"/>
  <c r="LS15" i="4"/>
  <c r="LR15" i="4"/>
  <c r="LQ15" i="4"/>
  <c r="LV16" i="4"/>
  <c r="LU16" i="4"/>
  <c r="LS16" i="4"/>
  <c r="LR16" i="4"/>
  <c r="LQ16" i="4"/>
  <c r="LV14" i="4"/>
  <c r="LU14" i="4"/>
  <c r="LS14" i="4"/>
  <c r="LR14" i="4"/>
  <c r="LQ14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Q11" i="4"/>
  <c r="LV10" i="4"/>
  <c r="LU10" i="4"/>
  <c r="LS10" i="4"/>
  <c r="LR10" i="4"/>
  <c r="LT10" i="4" s="1"/>
  <c r="LW10" i="4" s="1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T4" i="4" s="1"/>
  <c r="LQ4" i="4"/>
  <c r="KZ26" i="4"/>
  <c r="KY26" i="4"/>
  <c r="KW26" i="4"/>
  <c r="KV26" i="4"/>
  <c r="KU26" i="4"/>
  <c r="KZ25" i="4"/>
  <c r="KY25" i="4"/>
  <c r="KW25" i="4"/>
  <c r="KV25" i="4"/>
  <c r="KU25" i="4"/>
  <c r="KZ24" i="4"/>
  <c r="KY24" i="4"/>
  <c r="KW24" i="4"/>
  <c r="KV24" i="4"/>
  <c r="KU24" i="4"/>
  <c r="KZ23" i="4"/>
  <c r="KY23" i="4"/>
  <c r="KW23" i="4"/>
  <c r="KV23" i="4"/>
  <c r="KU23" i="4"/>
  <c r="KZ22" i="4"/>
  <c r="KY22" i="4"/>
  <c r="KW22" i="4"/>
  <c r="KV22" i="4"/>
  <c r="KU22" i="4"/>
  <c r="KZ21" i="4"/>
  <c r="KY21" i="4"/>
  <c r="KW21" i="4"/>
  <c r="KV21" i="4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X18" i="4" s="1"/>
  <c r="KU18" i="4"/>
  <c r="KZ17" i="4"/>
  <c r="KY17" i="4"/>
  <c r="KW17" i="4"/>
  <c r="KV17" i="4"/>
  <c r="KU17" i="4"/>
  <c r="KZ15" i="4"/>
  <c r="KY15" i="4"/>
  <c r="KW15" i="4"/>
  <c r="KV15" i="4"/>
  <c r="KU15" i="4"/>
  <c r="KZ16" i="4"/>
  <c r="KY16" i="4"/>
  <c r="KW16" i="4"/>
  <c r="KV16" i="4"/>
  <c r="KU16" i="4"/>
  <c r="KZ14" i="4"/>
  <c r="KY14" i="4"/>
  <c r="KW14" i="4"/>
  <c r="KV14" i="4"/>
  <c r="KU14" i="4"/>
  <c r="KZ13" i="4"/>
  <c r="KY13" i="4"/>
  <c r="KW13" i="4"/>
  <c r="KV13" i="4"/>
  <c r="KU13" i="4"/>
  <c r="KZ12" i="4"/>
  <c r="KY12" i="4"/>
  <c r="KW12" i="4"/>
  <c r="KX12" i="4" s="1"/>
  <c r="LA12" i="4" s="1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X9" i="4" s="1"/>
  <c r="LA9" i="4" s="1"/>
  <c r="KU9" i="4"/>
  <c r="KZ8" i="4"/>
  <c r="KY8" i="4"/>
  <c r="KW8" i="4"/>
  <c r="KV8" i="4"/>
  <c r="KU8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26" i="4"/>
  <c r="KC26" i="4"/>
  <c r="KA26" i="4"/>
  <c r="JZ26" i="4"/>
  <c r="JY26" i="4"/>
  <c r="KD25" i="4"/>
  <c r="KC25" i="4"/>
  <c r="KA25" i="4"/>
  <c r="JZ25" i="4"/>
  <c r="JY25" i="4"/>
  <c r="KD24" i="4"/>
  <c r="KC24" i="4"/>
  <c r="KA24" i="4"/>
  <c r="JZ24" i="4"/>
  <c r="JY24" i="4"/>
  <c r="KD23" i="4"/>
  <c r="KC23" i="4"/>
  <c r="KA23" i="4"/>
  <c r="JZ23" i="4"/>
  <c r="JY23" i="4"/>
  <c r="KD22" i="4"/>
  <c r="KC22" i="4"/>
  <c r="KA22" i="4"/>
  <c r="JZ22" i="4"/>
  <c r="JY22" i="4"/>
  <c r="KD21" i="4"/>
  <c r="KC21" i="4"/>
  <c r="KA21" i="4"/>
  <c r="JZ21" i="4"/>
  <c r="JY21" i="4"/>
  <c r="KD20" i="4"/>
  <c r="KC20" i="4"/>
  <c r="KA20" i="4"/>
  <c r="JZ20" i="4"/>
  <c r="JY20" i="4"/>
  <c r="KD19" i="4"/>
  <c r="KC19" i="4"/>
  <c r="KA19" i="4"/>
  <c r="JZ19" i="4"/>
  <c r="JY19" i="4"/>
  <c r="KD18" i="4"/>
  <c r="KC18" i="4"/>
  <c r="KA18" i="4"/>
  <c r="JZ18" i="4"/>
  <c r="KB18" i="4" s="1"/>
  <c r="JY18" i="4"/>
  <c r="KD17" i="4"/>
  <c r="KC17" i="4"/>
  <c r="KA17" i="4"/>
  <c r="JZ17" i="4"/>
  <c r="JY17" i="4"/>
  <c r="KD15" i="4"/>
  <c r="KC15" i="4"/>
  <c r="KA15" i="4"/>
  <c r="JZ15" i="4"/>
  <c r="JY15" i="4"/>
  <c r="KD16" i="4"/>
  <c r="KC16" i="4"/>
  <c r="KA16" i="4"/>
  <c r="JZ16" i="4"/>
  <c r="JY16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KB9" i="4" s="1"/>
  <c r="JY9" i="4"/>
  <c r="KD8" i="4"/>
  <c r="KC8" i="4"/>
  <c r="KA8" i="4"/>
  <c r="JZ8" i="4"/>
  <c r="KB8" i="4" s="1"/>
  <c r="JY8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26" i="4"/>
  <c r="JG26" i="4"/>
  <c r="JE26" i="4"/>
  <c r="JD26" i="4"/>
  <c r="JC26" i="4"/>
  <c r="JH25" i="4"/>
  <c r="JG25" i="4"/>
  <c r="JE25" i="4"/>
  <c r="JD25" i="4"/>
  <c r="JC25" i="4"/>
  <c r="JH24" i="4"/>
  <c r="JG24" i="4"/>
  <c r="JE24" i="4"/>
  <c r="JD24" i="4"/>
  <c r="JC24" i="4"/>
  <c r="JH23" i="4"/>
  <c r="JG23" i="4"/>
  <c r="JE23" i="4"/>
  <c r="JD23" i="4"/>
  <c r="JF23" i="4" s="1"/>
  <c r="JC23" i="4"/>
  <c r="JH22" i="4"/>
  <c r="JG22" i="4"/>
  <c r="JE22" i="4"/>
  <c r="JD22" i="4"/>
  <c r="JC22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D19" i="4"/>
  <c r="JC19" i="4"/>
  <c r="JH18" i="4"/>
  <c r="JG18" i="4"/>
  <c r="JE18" i="4"/>
  <c r="JD18" i="4"/>
  <c r="JC18" i="4"/>
  <c r="JH17" i="4"/>
  <c r="JG17" i="4"/>
  <c r="JE17" i="4"/>
  <c r="JD17" i="4"/>
  <c r="JC17" i="4"/>
  <c r="JH15" i="4"/>
  <c r="JG15" i="4"/>
  <c r="JE15" i="4"/>
  <c r="JD15" i="4"/>
  <c r="JF15" i="4" s="1"/>
  <c r="JC15" i="4"/>
  <c r="JH16" i="4"/>
  <c r="JG16" i="4"/>
  <c r="JE16" i="4"/>
  <c r="JD16" i="4"/>
  <c r="JF16" i="4" s="1"/>
  <c r="JI16" i="4" s="1"/>
  <c r="JC16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C9" i="4"/>
  <c r="JH8" i="4"/>
  <c r="JG8" i="4"/>
  <c r="JE8" i="4"/>
  <c r="JD8" i="4"/>
  <c r="JF8" i="4" s="1"/>
  <c r="JC8" i="4"/>
  <c r="JH7" i="4"/>
  <c r="JG7" i="4"/>
  <c r="JE7" i="4"/>
  <c r="JD7" i="4"/>
  <c r="JF7" i="4" s="1"/>
  <c r="JI7" i="4" s="1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26" i="4"/>
  <c r="IK26" i="4"/>
  <c r="II26" i="4"/>
  <c r="IH26" i="4"/>
  <c r="IG26" i="4"/>
  <c r="IL25" i="4"/>
  <c r="IK25" i="4"/>
  <c r="II25" i="4"/>
  <c r="IH25" i="4"/>
  <c r="IG25" i="4"/>
  <c r="IL24" i="4"/>
  <c r="IK24" i="4"/>
  <c r="II24" i="4"/>
  <c r="IH24" i="4"/>
  <c r="IG24" i="4"/>
  <c r="IL23" i="4"/>
  <c r="IK23" i="4"/>
  <c r="II23" i="4"/>
  <c r="IH23" i="4"/>
  <c r="IJ23" i="4" s="1"/>
  <c r="IG23" i="4"/>
  <c r="IL22" i="4"/>
  <c r="IK22" i="4"/>
  <c r="II22" i="4"/>
  <c r="IH22" i="4"/>
  <c r="IG22" i="4"/>
  <c r="IL21" i="4"/>
  <c r="IK21" i="4"/>
  <c r="II21" i="4"/>
  <c r="IH21" i="4"/>
  <c r="IG21" i="4"/>
  <c r="IL20" i="4"/>
  <c r="IK20" i="4"/>
  <c r="II20" i="4"/>
  <c r="IH20" i="4"/>
  <c r="IG20" i="4"/>
  <c r="IL19" i="4"/>
  <c r="IK19" i="4"/>
  <c r="II19" i="4"/>
  <c r="IH19" i="4"/>
  <c r="IG19" i="4"/>
  <c r="IL18" i="4"/>
  <c r="IK18" i="4"/>
  <c r="II18" i="4"/>
  <c r="IH18" i="4"/>
  <c r="IG18" i="4"/>
  <c r="IL17" i="4"/>
  <c r="IK17" i="4"/>
  <c r="II17" i="4"/>
  <c r="IH17" i="4"/>
  <c r="IG17" i="4"/>
  <c r="IL15" i="4"/>
  <c r="IK15" i="4"/>
  <c r="II15" i="4"/>
  <c r="IH15" i="4"/>
  <c r="IG15" i="4"/>
  <c r="IL16" i="4"/>
  <c r="IK16" i="4"/>
  <c r="II16" i="4"/>
  <c r="IH16" i="4"/>
  <c r="IG16" i="4"/>
  <c r="IL14" i="4"/>
  <c r="IK14" i="4"/>
  <c r="II14" i="4"/>
  <c r="IH14" i="4"/>
  <c r="IJ14" i="4" s="1"/>
  <c r="IM14" i="4" s="1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G9" i="4"/>
  <c r="IL8" i="4"/>
  <c r="IK8" i="4"/>
  <c r="II8" i="4"/>
  <c r="IH8" i="4"/>
  <c r="IG8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26" i="4"/>
  <c r="HO26" i="4"/>
  <c r="HM26" i="4"/>
  <c r="HL26" i="4"/>
  <c r="HK26" i="4"/>
  <c r="HP25" i="4"/>
  <c r="HO25" i="4"/>
  <c r="HM25" i="4"/>
  <c r="HL25" i="4"/>
  <c r="HK25" i="4"/>
  <c r="HP24" i="4"/>
  <c r="HO24" i="4"/>
  <c r="HM24" i="4"/>
  <c r="HL24" i="4"/>
  <c r="HK24" i="4"/>
  <c r="HP23" i="4"/>
  <c r="HO23" i="4"/>
  <c r="HM23" i="4"/>
  <c r="HL23" i="4"/>
  <c r="HK23" i="4"/>
  <c r="HP22" i="4"/>
  <c r="HO22" i="4"/>
  <c r="HM22" i="4"/>
  <c r="HL22" i="4"/>
  <c r="HK22" i="4"/>
  <c r="HP21" i="4"/>
  <c r="HO21" i="4"/>
  <c r="HM21" i="4"/>
  <c r="HL21" i="4"/>
  <c r="HK21" i="4"/>
  <c r="HP20" i="4"/>
  <c r="HO20" i="4"/>
  <c r="HM20" i="4"/>
  <c r="HN20" i="4" s="1"/>
  <c r="HL20" i="4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K17" i="4"/>
  <c r="HP15" i="4"/>
  <c r="HO15" i="4"/>
  <c r="HM15" i="4"/>
  <c r="HL15" i="4"/>
  <c r="HK15" i="4"/>
  <c r="HP16" i="4"/>
  <c r="HO16" i="4"/>
  <c r="HM16" i="4"/>
  <c r="HL16" i="4"/>
  <c r="HK16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26" i="4"/>
  <c r="GS26" i="4"/>
  <c r="GQ26" i="4"/>
  <c r="GP26" i="4"/>
  <c r="GO26" i="4"/>
  <c r="GT25" i="4"/>
  <c r="GS25" i="4"/>
  <c r="GQ25" i="4"/>
  <c r="GP25" i="4"/>
  <c r="GO25" i="4"/>
  <c r="GT24" i="4"/>
  <c r="GS24" i="4"/>
  <c r="GQ24" i="4"/>
  <c r="GP24" i="4"/>
  <c r="GO24" i="4"/>
  <c r="GT23" i="4"/>
  <c r="GS23" i="4"/>
  <c r="GQ23" i="4"/>
  <c r="GP23" i="4"/>
  <c r="GO23" i="4"/>
  <c r="GT22" i="4"/>
  <c r="GS22" i="4"/>
  <c r="GQ22" i="4"/>
  <c r="GP22" i="4"/>
  <c r="GR22" i="4" s="1"/>
  <c r="GO22" i="4"/>
  <c r="GT21" i="4"/>
  <c r="GS21" i="4"/>
  <c r="GQ21" i="4"/>
  <c r="GP21" i="4"/>
  <c r="GO21" i="4"/>
  <c r="GT20" i="4"/>
  <c r="GS20" i="4"/>
  <c r="GQ20" i="4"/>
  <c r="GP20" i="4"/>
  <c r="GO20" i="4"/>
  <c r="GT19" i="4"/>
  <c r="GS19" i="4"/>
  <c r="GQ19" i="4"/>
  <c r="GP19" i="4"/>
  <c r="GO19" i="4"/>
  <c r="GT18" i="4"/>
  <c r="GS18" i="4"/>
  <c r="GQ18" i="4"/>
  <c r="GP18" i="4"/>
  <c r="GO18" i="4"/>
  <c r="GT17" i="4"/>
  <c r="GS17" i="4"/>
  <c r="GQ17" i="4"/>
  <c r="GP17" i="4"/>
  <c r="GO17" i="4"/>
  <c r="GT15" i="4"/>
  <c r="GS15" i="4"/>
  <c r="GQ15" i="4"/>
  <c r="GP15" i="4"/>
  <c r="GO15" i="4"/>
  <c r="GT16" i="4"/>
  <c r="GS16" i="4"/>
  <c r="GQ16" i="4"/>
  <c r="GP16" i="4"/>
  <c r="GO16" i="4"/>
  <c r="GT14" i="4"/>
  <c r="GS14" i="4"/>
  <c r="GQ14" i="4"/>
  <c r="GP14" i="4"/>
  <c r="GO14" i="4"/>
  <c r="GT13" i="4"/>
  <c r="GS13" i="4"/>
  <c r="GQ13" i="4"/>
  <c r="GP13" i="4"/>
  <c r="GO13" i="4"/>
  <c r="GT12" i="4"/>
  <c r="GS12" i="4"/>
  <c r="GQ12" i="4"/>
  <c r="GP12" i="4"/>
  <c r="GR12" i="4" s="1"/>
  <c r="GU12" i="4" s="1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R4" i="4" s="1"/>
  <c r="GU4" i="4" s="1"/>
  <c r="GO4" i="4"/>
  <c r="FX26" i="4"/>
  <c r="FW26" i="4"/>
  <c r="FU26" i="4"/>
  <c r="FT26" i="4"/>
  <c r="FS26" i="4"/>
  <c r="FX25" i="4"/>
  <c r="FW25" i="4"/>
  <c r="FU25" i="4"/>
  <c r="FT25" i="4"/>
  <c r="FS25" i="4"/>
  <c r="FX24" i="4"/>
  <c r="FW24" i="4"/>
  <c r="FU24" i="4"/>
  <c r="FT24" i="4"/>
  <c r="FS24" i="4"/>
  <c r="FX23" i="4"/>
  <c r="FW23" i="4"/>
  <c r="FU23" i="4"/>
  <c r="FT23" i="4"/>
  <c r="FS23" i="4"/>
  <c r="FX22" i="4"/>
  <c r="FW22" i="4"/>
  <c r="FU22" i="4"/>
  <c r="FT22" i="4"/>
  <c r="FS22" i="4"/>
  <c r="FX21" i="4"/>
  <c r="FW21" i="4"/>
  <c r="FU21" i="4"/>
  <c r="FT21" i="4"/>
  <c r="FS21" i="4"/>
  <c r="FX20" i="4"/>
  <c r="FW20" i="4"/>
  <c r="FU20" i="4"/>
  <c r="FT20" i="4"/>
  <c r="FS20" i="4"/>
  <c r="FX19" i="4"/>
  <c r="FW19" i="4"/>
  <c r="FU19" i="4"/>
  <c r="FT19" i="4"/>
  <c r="FV19" i="4" s="1"/>
  <c r="FY19" i="4" s="1"/>
  <c r="FS19" i="4"/>
  <c r="FX18" i="4"/>
  <c r="FW18" i="4"/>
  <c r="FU18" i="4"/>
  <c r="FT18" i="4"/>
  <c r="FS18" i="4"/>
  <c r="FX17" i="4"/>
  <c r="FW17" i="4"/>
  <c r="FU17" i="4"/>
  <c r="FT17" i="4"/>
  <c r="FS17" i="4"/>
  <c r="FX15" i="4"/>
  <c r="FW15" i="4"/>
  <c r="FU15" i="4"/>
  <c r="FT15" i="4"/>
  <c r="FS15" i="4"/>
  <c r="FX16" i="4"/>
  <c r="FW16" i="4"/>
  <c r="FU16" i="4"/>
  <c r="FT16" i="4"/>
  <c r="FS16" i="4"/>
  <c r="FX14" i="4"/>
  <c r="FW14" i="4"/>
  <c r="FU14" i="4"/>
  <c r="FT14" i="4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V11" i="4" s="1"/>
  <c r="FY11" i="4" s="1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26" i="4"/>
  <c r="FA26" i="4"/>
  <c r="EY26" i="4"/>
  <c r="EX26" i="4"/>
  <c r="EW26" i="4"/>
  <c r="FB25" i="4"/>
  <c r="FA25" i="4"/>
  <c r="EY25" i="4"/>
  <c r="EX25" i="4"/>
  <c r="EW25" i="4"/>
  <c r="FB24" i="4"/>
  <c r="FA24" i="4"/>
  <c r="EY24" i="4"/>
  <c r="EX24" i="4"/>
  <c r="EW24" i="4"/>
  <c r="FB23" i="4"/>
  <c r="FA23" i="4"/>
  <c r="EY23" i="4"/>
  <c r="EX23" i="4"/>
  <c r="EW23" i="4"/>
  <c r="FB22" i="4"/>
  <c r="FA22" i="4"/>
  <c r="EY22" i="4"/>
  <c r="EX22" i="4"/>
  <c r="EW22" i="4"/>
  <c r="FB21" i="4"/>
  <c r="FA21" i="4"/>
  <c r="EY21" i="4"/>
  <c r="EX21" i="4"/>
  <c r="EW21" i="4"/>
  <c r="FB20" i="4"/>
  <c r="FA20" i="4"/>
  <c r="EY20" i="4"/>
  <c r="EX20" i="4"/>
  <c r="EW20" i="4"/>
  <c r="FB19" i="4"/>
  <c r="FA19" i="4"/>
  <c r="EY19" i="4"/>
  <c r="EX19" i="4"/>
  <c r="EW19" i="4"/>
  <c r="FB18" i="4"/>
  <c r="FA18" i="4"/>
  <c r="EY18" i="4"/>
  <c r="EX18" i="4"/>
  <c r="EZ18" i="4" s="1"/>
  <c r="EW18" i="4"/>
  <c r="FB17" i="4"/>
  <c r="FA17" i="4"/>
  <c r="EY17" i="4"/>
  <c r="EX17" i="4"/>
  <c r="EW17" i="4"/>
  <c r="FB15" i="4"/>
  <c r="FA15" i="4"/>
  <c r="EY15" i="4"/>
  <c r="EX15" i="4"/>
  <c r="EW15" i="4"/>
  <c r="FB16" i="4"/>
  <c r="FA16" i="4"/>
  <c r="EY16" i="4"/>
  <c r="EX16" i="4"/>
  <c r="EW16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Z12" i="4" s="1"/>
  <c r="EW12" i="4"/>
  <c r="FB11" i="4"/>
  <c r="FA11" i="4"/>
  <c r="EY11" i="4"/>
  <c r="EX11" i="4"/>
  <c r="EW11" i="4"/>
  <c r="FB10" i="4"/>
  <c r="FA10" i="4"/>
  <c r="EY10" i="4"/>
  <c r="EX10" i="4"/>
  <c r="EZ10" i="4" s="1"/>
  <c r="EW10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26" i="4"/>
  <c r="EE26" i="4"/>
  <c r="EC26" i="4"/>
  <c r="EB26" i="4"/>
  <c r="EA26" i="4"/>
  <c r="EF25" i="4"/>
  <c r="EE25" i="4"/>
  <c r="EC25" i="4"/>
  <c r="EB25" i="4"/>
  <c r="EA25" i="4"/>
  <c r="EF24" i="4"/>
  <c r="EE24" i="4"/>
  <c r="EC24" i="4"/>
  <c r="EB24" i="4"/>
  <c r="EA24" i="4"/>
  <c r="EF23" i="4"/>
  <c r="EE23" i="4"/>
  <c r="EC23" i="4"/>
  <c r="EB23" i="4"/>
  <c r="EA23" i="4"/>
  <c r="EF22" i="4"/>
  <c r="EE22" i="4"/>
  <c r="EC22" i="4"/>
  <c r="EB22" i="4"/>
  <c r="EA22" i="4"/>
  <c r="EF21" i="4"/>
  <c r="EE21" i="4"/>
  <c r="EC21" i="4"/>
  <c r="EB21" i="4"/>
  <c r="EA21" i="4"/>
  <c r="EF20" i="4"/>
  <c r="EE20" i="4"/>
  <c r="EC20" i="4"/>
  <c r="EB20" i="4"/>
  <c r="EA20" i="4"/>
  <c r="EF19" i="4"/>
  <c r="EE19" i="4"/>
  <c r="EC19" i="4"/>
  <c r="EB19" i="4"/>
  <c r="EA19" i="4"/>
  <c r="EF18" i="4"/>
  <c r="EE18" i="4"/>
  <c r="EC18" i="4"/>
  <c r="EB18" i="4"/>
  <c r="EA18" i="4"/>
  <c r="EF17" i="4"/>
  <c r="EE17" i="4"/>
  <c r="EC17" i="4"/>
  <c r="EB17" i="4"/>
  <c r="EA17" i="4"/>
  <c r="EF15" i="4"/>
  <c r="EE15" i="4"/>
  <c r="EC15" i="4"/>
  <c r="EB15" i="4"/>
  <c r="EA15" i="4"/>
  <c r="EF16" i="4"/>
  <c r="EE16" i="4"/>
  <c r="EC16" i="4"/>
  <c r="EB16" i="4"/>
  <c r="EA16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AH5" i="8"/>
  <c r="AI5" i="8"/>
  <c r="AJ5" i="8"/>
  <c r="AK5" i="8"/>
  <c r="BD5" i="8"/>
  <c r="BE5" i="8"/>
  <c r="BG5" i="8"/>
  <c r="BZ5" i="8"/>
  <c r="CA5" i="8"/>
  <c r="CC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AQ20" i="4"/>
  <c r="AR20" i="4"/>
  <c r="AS20" i="4"/>
  <c r="AT20" i="4"/>
  <c r="AU20" i="4"/>
  <c r="AW20" i="4"/>
  <c r="AX20" i="4"/>
  <c r="BU20" i="4"/>
  <c r="BV20" i="4"/>
  <c r="BW20" i="4"/>
  <c r="BX20" i="4"/>
  <c r="BY20" i="4"/>
  <c r="CA20" i="4"/>
  <c r="CB20" i="4"/>
  <c r="CY20" i="4"/>
  <c r="CZ20" i="4"/>
  <c r="DA20" i="4"/>
  <c r="DB20" i="4"/>
  <c r="DC20" i="4"/>
  <c r="DE20" i="4"/>
  <c r="DF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C20" i="4"/>
  <c r="OD20" i="4"/>
  <c r="OE20" i="4"/>
  <c r="OF20" i="4"/>
  <c r="OG20" i="4"/>
  <c r="OQ20" i="4" s="1"/>
  <c r="OH20" i="4"/>
  <c r="OI20" i="4"/>
  <c r="ON20" i="4"/>
  <c r="AQ22" i="4"/>
  <c r="AR22" i="4"/>
  <c r="AS22" i="4"/>
  <c r="AT22" i="4"/>
  <c r="AU22" i="4"/>
  <c r="AW22" i="4"/>
  <c r="AX22" i="4"/>
  <c r="BU22" i="4"/>
  <c r="BV22" i="4"/>
  <c r="BW22" i="4"/>
  <c r="BX22" i="4"/>
  <c r="BY22" i="4"/>
  <c r="CA22" i="4"/>
  <c r="CB22" i="4"/>
  <c r="CY22" i="4"/>
  <c r="CZ22" i="4"/>
  <c r="DA22" i="4"/>
  <c r="DB22" i="4"/>
  <c r="DC22" i="4"/>
  <c r="DE22" i="4"/>
  <c r="DF22" i="4"/>
  <c r="NI22" i="4"/>
  <c r="NJ22" i="4"/>
  <c r="NK22" i="4"/>
  <c r="NM22" i="4"/>
  <c r="NN22" i="4"/>
  <c r="NP22" i="4"/>
  <c r="NQ22" i="4"/>
  <c r="NR22" i="4"/>
  <c r="NS22" i="4"/>
  <c r="NT22" i="4"/>
  <c r="NU22" i="4"/>
  <c r="NV22" i="4"/>
  <c r="NW22" i="4"/>
  <c r="OL22" i="4" s="1"/>
  <c r="NX22" i="4"/>
  <c r="NY22" i="4"/>
  <c r="NZ22" i="4"/>
  <c r="OA22" i="4"/>
  <c r="OB22" i="4"/>
  <c r="OC22" i="4"/>
  <c r="OD22" i="4"/>
  <c r="OE22" i="4"/>
  <c r="OF22" i="4"/>
  <c r="OG22" i="4"/>
  <c r="OQ22" i="4" s="1"/>
  <c r="OH22" i="4"/>
  <c r="OI22" i="4"/>
  <c r="ON22" i="4"/>
  <c r="AH11" i="12"/>
  <c r="AI11" i="12"/>
  <c r="AJ11" i="12"/>
  <c r="AK11" i="12"/>
  <c r="BD11" i="12"/>
  <c r="BE11" i="12"/>
  <c r="BF11" i="12"/>
  <c r="BG11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AH12" i="12"/>
  <c r="AI12" i="12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AH22" i="6"/>
  <c r="AI22" i="6"/>
  <c r="AJ22" i="6"/>
  <c r="AK22" i="6"/>
  <c r="BD22" i="6"/>
  <c r="BE22" i="6"/>
  <c r="BF22" i="6"/>
  <c r="BG22" i="6"/>
  <c r="BZ22" i="6"/>
  <c r="CA22" i="6"/>
  <c r="CB22" i="6"/>
  <c r="CC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8" i="6"/>
  <c r="AI8" i="6"/>
  <c r="AJ8" i="6"/>
  <c r="AK8" i="6"/>
  <c r="BD8" i="6"/>
  <c r="BE8" i="6"/>
  <c r="BF8" i="6"/>
  <c r="BG8" i="6"/>
  <c r="BZ8" i="6"/>
  <c r="CA8" i="6"/>
  <c r="CB8" i="6"/>
  <c r="CC8" i="6"/>
  <c r="LT8" i="6"/>
  <c r="LU8" i="6"/>
  <c r="LV8" i="6"/>
  <c r="LW8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AH14" i="6"/>
  <c r="AI14" i="6"/>
  <c r="AJ14" i="6"/>
  <c r="AK14" i="6"/>
  <c r="BD14" i="6"/>
  <c r="BE14" i="6"/>
  <c r="BF14" i="6"/>
  <c r="BG14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AH13" i="6"/>
  <c r="AI13" i="6"/>
  <c r="AJ13" i="6"/>
  <c r="AK13" i="6"/>
  <c r="BD13" i="6"/>
  <c r="BE13" i="6"/>
  <c r="BF13" i="6"/>
  <c r="BG13" i="6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AH5" i="6"/>
  <c r="AI5" i="6"/>
  <c r="J5" i="6" s="1"/>
  <c r="AJ5" i="6"/>
  <c r="AK5" i="6"/>
  <c r="BD5" i="6"/>
  <c r="BE5" i="6"/>
  <c r="BF5" i="6"/>
  <c r="BG5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KH7" i="12" l="1"/>
  <c r="KH4" i="12"/>
  <c r="KH12" i="12"/>
  <c r="LC5" i="12"/>
  <c r="CE11" i="12"/>
  <c r="FL7" i="12"/>
  <c r="FL4" i="12"/>
  <c r="HW16" i="12"/>
  <c r="HW11" i="12"/>
  <c r="IR7" i="12"/>
  <c r="IR13" i="12"/>
  <c r="EQ7" i="12"/>
  <c r="JM7" i="12"/>
  <c r="JM15" i="12"/>
  <c r="JM13" i="12"/>
  <c r="LC7" i="12"/>
  <c r="LC4" i="12"/>
  <c r="LC15" i="12"/>
  <c r="DA9" i="6"/>
  <c r="DA21" i="6"/>
  <c r="GG9" i="6"/>
  <c r="J12" i="6"/>
  <c r="LC21" i="6"/>
  <c r="KH20" i="6"/>
  <c r="LC11" i="6"/>
  <c r="DV4" i="8"/>
  <c r="FL4" i="8"/>
  <c r="KY8" i="14"/>
  <c r="EE10" i="9"/>
  <c r="EH10" i="9" s="1"/>
  <c r="GS5" i="9"/>
  <c r="HO9" i="9"/>
  <c r="HR9" i="9" s="1"/>
  <c r="LU6" i="9"/>
  <c r="LX6" i="9" s="1"/>
  <c r="DI5" i="9"/>
  <c r="FW7" i="9"/>
  <c r="FZ7" i="9" s="1"/>
  <c r="JF15" i="13"/>
  <c r="LT16" i="4"/>
  <c r="ED26" i="4"/>
  <c r="EZ19" i="4"/>
  <c r="FV4" i="4"/>
  <c r="MP16" i="4"/>
  <c r="EZ24" i="4"/>
  <c r="FC24" i="4" s="1"/>
  <c r="GR18" i="4"/>
  <c r="GU18" i="4" s="1"/>
  <c r="FC12" i="4"/>
  <c r="DA7" i="12"/>
  <c r="DA15" i="12"/>
  <c r="DA9" i="12"/>
  <c r="DA13" i="12"/>
  <c r="J12" i="12"/>
  <c r="CE12" i="12" s="1"/>
  <c r="J11" i="12"/>
  <c r="K11" i="12" s="1"/>
  <c r="EQ4" i="12"/>
  <c r="DA11" i="12"/>
  <c r="DA14" i="12"/>
  <c r="DV7" i="12"/>
  <c r="DV4" i="12"/>
  <c r="DV15" i="12"/>
  <c r="DV9" i="12"/>
  <c r="DV13" i="12"/>
  <c r="EQ8" i="12"/>
  <c r="JM5" i="12"/>
  <c r="JM10" i="12"/>
  <c r="BH12" i="12"/>
  <c r="LX11" i="12"/>
  <c r="FL13" i="12"/>
  <c r="GG8" i="12"/>
  <c r="GG11" i="12"/>
  <c r="GG14" i="12"/>
  <c r="HB7" i="12"/>
  <c r="HB15" i="12"/>
  <c r="HB9" i="12"/>
  <c r="HB13" i="12"/>
  <c r="HW8" i="12"/>
  <c r="JM12" i="12"/>
  <c r="LC10" i="12"/>
  <c r="LC11" i="12"/>
  <c r="LC14" i="12"/>
  <c r="FL11" i="12"/>
  <c r="FL14" i="12"/>
  <c r="GG7" i="12"/>
  <c r="GG15" i="12"/>
  <c r="GG13" i="12"/>
  <c r="HB11" i="12"/>
  <c r="HB14" i="12"/>
  <c r="HW7" i="12"/>
  <c r="HW9" i="12"/>
  <c r="HW13" i="12"/>
  <c r="HW12" i="12"/>
  <c r="IR8" i="12"/>
  <c r="IR11" i="12"/>
  <c r="IR14" i="12"/>
  <c r="CD11" i="12"/>
  <c r="BH22" i="6"/>
  <c r="FL8" i="6"/>
  <c r="FL15" i="6"/>
  <c r="FL16" i="6"/>
  <c r="FL18" i="6"/>
  <c r="JM15" i="6"/>
  <c r="JM14" i="6"/>
  <c r="LC7" i="6"/>
  <c r="J13" i="6"/>
  <c r="K13" i="6" s="1"/>
  <c r="J14" i="6"/>
  <c r="K14" i="6" s="1"/>
  <c r="J8" i="6"/>
  <c r="CE8" i="6" s="1"/>
  <c r="J22" i="6"/>
  <c r="K22" i="6" s="1"/>
  <c r="GG20" i="6"/>
  <c r="GG13" i="6"/>
  <c r="GG19" i="6"/>
  <c r="GG21" i="6"/>
  <c r="HB9" i="6"/>
  <c r="HB6" i="6"/>
  <c r="HB11" i="6"/>
  <c r="HB20" i="6"/>
  <c r="HB13" i="6"/>
  <c r="HB19" i="6"/>
  <c r="HB21" i="6"/>
  <c r="HW9" i="6"/>
  <c r="HW20" i="6"/>
  <c r="HW13" i="6"/>
  <c r="HW21" i="6"/>
  <c r="IR20" i="6"/>
  <c r="IR13" i="6"/>
  <c r="IR19" i="6"/>
  <c r="LC9" i="6"/>
  <c r="LC6" i="6"/>
  <c r="K5" i="6"/>
  <c r="CE12" i="6"/>
  <c r="K12" i="6"/>
  <c r="CE14" i="6"/>
  <c r="CE5" i="6"/>
  <c r="DV6" i="6"/>
  <c r="DV11" i="6"/>
  <c r="DV20" i="6"/>
  <c r="DV13" i="6"/>
  <c r="DV21" i="6"/>
  <c r="DV17" i="6"/>
  <c r="EQ9" i="6"/>
  <c r="EQ6" i="6"/>
  <c r="EQ11" i="6"/>
  <c r="EQ20" i="6"/>
  <c r="FL9" i="6"/>
  <c r="FL6" i="6"/>
  <c r="FL11" i="6"/>
  <c r="FL20" i="6"/>
  <c r="FL13" i="6"/>
  <c r="FL19" i="6"/>
  <c r="FL21" i="6"/>
  <c r="KH15" i="6"/>
  <c r="KH16" i="6"/>
  <c r="JM9" i="6"/>
  <c r="JM5" i="6"/>
  <c r="JM6" i="6"/>
  <c r="JM11" i="6"/>
  <c r="JM20" i="6"/>
  <c r="JM12" i="6"/>
  <c r="JM13" i="6"/>
  <c r="JM19" i="6"/>
  <c r="JM21" i="6"/>
  <c r="KH9" i="6"/>
  <c r="KH6" i="6"/>
  <c r="DA4" i="6"/>
  <c r="DA14" i="6"/>
  <c r="HW22" i="6"/>
  <c r="HW23" i="6"/>
  <c r="IR4" i="6"/>
  <c r="GG4" i="6"/>
  <c r="GG7" i="6"/>
  <c r="GG14" i="6"/>
  <c r="HW7" i="6"/>
  <c r="HW14" i="6"/>
  <c r="DA4" i="8"/>
  <c r="FL5" i="8"/>
  <c r="EQ4" i="8"/>
  <c r="DA5" i="7"/>
  <c r="DA6" i="7"/>
  <c r="GG8" i="7"/>
  <c r="GG7" i="7"/>
  <c r="HW5" i="7"/>
  <c r="HW6" i="7"/>
  <c r="IR4" i="7"/>
  <c r="IR8" i="7"/>
  <c r="JM6" i="7"/>
  <c r="KH4" i="7"/>
  <c r="KH8" i="7"/>
  <c r="KH7" i="7"/>
  <c r="LC5" i="7"/>
  <c r="LC6" i="7"/>
  <c r="FL6" i="7"/>
  <c r="GS8" i="9"/>
  <c r="GV8" i="9" s="1"/>
  <c r="JG10" i="9"/>
  <c r="LU5" i="9"/>
  <c r="LX5" i="9" s="1"/>
  <c r="EE6" i="9"/>
  <c r="EH6" i="9" s="1"/>
  <c r="LU10" i="9"/>
  <c r="DI10" i="9"/>
  <c r="DL10" i="9" s="1"/>
  <c r="GS6" i="9"/>
  <c r="GV6" i="9" s="1"/>
  <c r="HO10" i="9"/>
  <c r="HR10" i="9" s="1"/>
  <c r="JG4" i="9"/>
  <c r="JJ4" i="9" s="1"/>
  <c r="KY6" i="9"/>
  <c r="LB6" i="9" s="1"/>
  <c r="LU7" i="9"/>
  <c r="FY7" i="13"/>
  <c r="JI15" i="13"/>
  <c r="LT13" i="13"/>
  <c r="LW13" i="13" s="1"/>
  <c r="GR6" i="13"/>
  <c r="GU6" i="13" s="1"/>
  <c r="JF9" i="13"/>
  <c r="JI9" i="13" s="1"/>
  <c r="JF17" i="13"/>
  <c r="JI17" i="13" s="1"/>
  <c r="KB6" i="13"/>
  <c r="KE6" i="13" s="1"/>
  <c r="MP17" i="13"/>
  <c r="MS17" i="13" s="1"/>
  <c r="MP5" i="13"/>
  <c r="MS5" i="13" s="1"/>
  <c r="MP15" i="13"/>
  <c r="MS15" i="13" s="1"/>
  <c r="EZ10" i="13"/>
  <c r="FC10" i="13" s="1"/>
  <c r="FY6" i="13"/>
  <c r="FY14" i="13"/>
  <c r="HQ10" i="13"/>
  <c r="JI6" i="13"/>
  <c r="JI14" i="13"/>
  <c r="LA10" i="13"/>
  <c r="MS6" i="13"/>
  <c r="MP14" i="13"/>
  <c r="MS14" i="13" s="1"/>
  <c r="ED4" i="13"/>
  <c r="EZ6" i="13"/>
  <c r="EZ14" i="13"/>
  <c r="IJ6" i="13"/>
  <c r="IJ14" i="13"/>
  <c r="IM14" i="13" s="1"/>
  <c r="KB10" i="13"/>
  <c r="LT6" i="13"/>
  <c r="LW6" i="13" s="1"/>
  <c r="LT14" i="13"/>
  <c r="LW14" i="13" s="1"/>
  <c r="MP16" i="13"/>
  <c r="GU22" i="4"/>
  <c r="KB13" i="4"/>
  <c r="KE13" i="4" s="1"/>
  <c r="ED24" i="4"/>
  <c r="EZ9" i="4"/>
  <c r="FV26" i="4"/>
  <c r="HN12" i="4"/>
  <c r="HQ12" i="4" s="1"/>
  <c r="IJ24" i="4"/>
  <c r="IM24" i="4" s="1"/>
  <c r="JF5" i="4"/>
  <c r="JI5" i="4" s="1"/>
  <c r="JF14" i="4"/>
  <c r="KB7" i="4"/>
  <c r="KX8" i="4"/>
  <c r="ED13" i="4"/>
  <c r="ED21" i="4"/>
  <c r="HN17" i="4"/>
  <c r="HQ17" i="4" s="1"/>
  <c r="IM23" i="4"/>
  <c r="JI8" i="4"/>
  <c r="JI15" i="4"/>
  <c r="JF19" i="4"/>
  <c r="JI19" i="4" s="1"/>
  <c r="KE9" i="4"/>
  <c r="KX13" i="4"/>
  <c r="LA18" i="4"/>
  <c r="LT22" i="4"/>
  <c r="LW22" i="4" s="1"/>
  <c r="MS7" i="4"/>
  <c r="MS16" i="4"/>
  <c r="MP23" i="4"/>
  <c r="MS23" i="4" s="1"/>
  <c r="ED18" i="4"/>
  <c r="ED23" i="4"/>
  <c r="IJ4" i="4"/>
  <c r="IM4" i="4" s="1"/>
  <c r="IJ20" i="4"/>
  <c r="IM20" i="4" s="1"/>
  <c r="JF6" i="4"/>
  <c r="JI6" i="4" s="1"/>
  <c r="JF13" i="4"/>
  <c r="JI13" i="4" s="1"/>
  <c r="KB22" i="4"/>
  <c r="KE22" i="4" s="1"/>
  <c r="KX7" i="4"/>
  <c r="LT15" i="4"/>
  <c r="LW15" i="4" s="1"/>
  <c r="FV14" i="4"/>
  <c r="FV22" i="4"/>
  <c r="FY22" i="4" s="1"/>
  <c r="GR7" i="4"/>
  <c r="GU7" i="4" s="1"/>
  <c r="GR16" i="4"/>
  <c r="GU16" i="4" s="1"/>
  <c r="MP9" i="4"/>
  <c r="MS9" i="4" s="1"/>
  <c r="MP17" i="4"/>
  <c r="MS17" i="4" s="1"/>
  <c r="MP25" i="4"/>
  <c r="MS25" i="4" s="1"/>
  <c r="ED5" i="4"/>
  <c r="ED14" i="4"/>
  <c r="EG14" i="4" s="1"/>
  <c r="ED22" i="4"/>
  <c r="EG22" i="4" s="1"/>
  <c r="LW16" i="4"/>
  <c r="EG18" i="4"/>
  <c r="EG23" i="4"/>
  <c r="EG26" i="4"/>
  <c r="FC19" i="4"/>
  <c r="JI14" i="4"/>
  <c r="KE7" i="4"/>
  <c r="LA8" i="4"/>
  <c r="ED20" i="4"/>
  <c r="EG20" i="4" s="1"/>
  <c r="GR26" i="4"/>
  <c r="GU26" i="4" s="1"/>
  <c r="HN11" i="4"/>
  <c r="HN25" i="4"/>
  <c r="HQ25" i="4" s="1"/>
  <c r="KB20" i="4"/>
  <c r="KE20" i="4" s="1"/>
  <c r="KX6" i="4"/>
  <c r="LA6" i="4" s="1"/>
  <c r="KX21" i="4"/>
  <c r="LA21" i="4" s="1"/>
  <c r="LT5" i="4"/>
  <c r="ED17" i="4"/>
  <c r="EG17" i="4" s="1"/>
  <c r="FV5" i="4"/>
  <c r="FY5" i="4" s="1"/>
  <c r="KX26" i="4"/>
  <c r="LA26" i="4" s="1"/>
  <c r="HN10" i="4"/>
  <c r="HQ10" i="4" s="1"/>
  <c r="IJ9" i="4"/>
  <c r="IM9" i="4" s="1"/>
  <c r="KB14" i="4"/>
  <c r="KE14" i="4" s="1"/>
  <c r="KB19" i="4"/>
  <c r="KE19" i="4" s="1"/>
  <c r="LT6" i="4"/>
  <c r="LW6" i="4" s="1"/>
  <c r="LT13" i="4"/>
  <c r="LW13" i="4" s="1"/>
  <c r="LT21" i="4"/>
  <c r="LW21" i="4" s="1"/>
  <c r="FC9" i="4"/>
  <c r="GR14" i="4"/>
  <c r="GU14" i="4" s="1"/>
  <c r="HN21" i="4"/>
  <c r="HQ21" i="4" s="1"/>
  <c r="HN26" i="4"/>
  <c r="HQ26" i="4" s="1"/>
  <c r="KX22" i="4"/>
  <c r="EZ5" i="4"/>
  <c r="FC5" i="4" s="1"/>
  <c r="EZ22" i="4"/>
  <c r="FC22" i="4" s="1"/>
  <c r="KE18" i="4"/>
  <c r="LW4" i="4"/>
  <c r="LW20" i="4"/>
  <c r="MP19" i="4"/>
  <c r="DA5" i="6"/>
  <c r="KY9" i="14"/>
  <c r="LB9" i="14" s="1"/>
  <c r="GS7" i="14"/>
  <c r="GV7" i="14" s="1"/>
  <c r="IK8" i="14"/>
  <c r="LU8" i="14"/>
  <c r="LX8" i="14" s="1"/>
  <c r="KC5" i="14"/>
  <c r="KF5" i="14" s="1"/>
  <c r="EE6" i="14"/>
  <c r="EH6" i="14" s="1"/>
  <c r="FW4" i="14"/>
  <c r="FZ4" i="14" s="1"/>
  <c r="HO7" i="14"/>
  <c r="HR7" i="14" s="1"/>
  <c r="IN8" i="14"/>
  <c r="LU7" i="14"/>
  <c r="LX7" i="14" s="1"/>
  <c r="GS9" i="14"/>
  <c r="GV9" i="14" s="1"/>
  <c r="DI4" i="14"/>
  <c r="DL4" i="14" s="1"/>
  <c r="DI8" i="14"/>
  <c r="DL8" i="14" s="1"/>
  <c r="KC8" i="14"/>
  <c r="KF8" i="14" s="1"/>
  <c r="FW7" i="14"/>
  <c r="FZ7" i="14" s="1"/>
  <c r="HO8" i="14"/>
  <c r="HR8" i="14" s="1"/>
  <c r="LB8" i="14"/>
  <c r="LU9" i="14"/>
  <c r="LX9" i="14" s="1"/>
  <c r="FA8" i="14"/>
  <c r="FD8" i="14" s="1"/>
  <c r="IK5" i="9"/>
  <c r="IN5" i="9" s="1"/>
  <c r="KY10" i="9"/>
  <c r="LB10" i="9" s="1"/>
  <c r="FW6" i="9"/>
  <c r="FZ6" i="9" s="1"/>
  <c r="IK4" i="9"/>
  <c r="IN4" i="9" s="1"/>
  <c r="LU8" i="9"/>
  <c r="LX8" i="9" s="1"/>
  <c r="DL5" i="9"/>
  <c r="DI7" i="9"/>
  <c r="DL7" i="9" s="1"/>
  <c r="FA7" i="9"/>
  <c r="FD7" i="9" s="1"/>
  <c r="FW8" i="9"/>
  <c r="FZ8" i="9" s="1"/>
  <c r="HR5" i="9"/>
  <c r="IN6" i="9"/>
  <c r="EE5" i="9"/>
  <c r="EH5" i="9" s="1"/>
  <c r="FA4" i="9"/>
  <c r="FD4" i="9" s="1"/>
  <c r="JG9" i="9"/>
  <c r="JJ9" i="9" s="1"/>
  <c r="KC5" i="9"/>
  <c r="KF5" i="9" s="1"/>
  <c r="KC10" i="9"/>
  <c r="KF10" i="9" s="1"/>
  <c r="FV4" i="13"/>
  <c r="FY4" i="13" s="1"/>
  <c r="FV12" i="13"/>
  <c r="FY12" i="13" s="1"/>
  <c r="GR14" i="13"/>
  <c r="GU14" i="13" s="1"/>
  <c r="IJ10" i="13"/>
  <c r="IM10" i="13" s="1"/>
  <c r="LT10" i="13"/>
  <c r="GR11" i="13"/>
  <c r="GU11" i="13" s="1"/>
  <c r="KB11" i="13"/>
  <c r="KE11" i="13" s="1"/>
  <c r="HQ5" i="13"/>
  <c r="HN13" i="13"/>
  <c r="HQ13" i="13" s="1"/>
  <c r="IJ17" i="13"/>
  <c r="FC6" i="13"/>
  <c r="FC14" i="13"/>
  <c r="IM6" i="13"/>
  <c r="KE10" i="13"/>
  <c r="EG9" i="13"/>
  <c r="GR12" i="13"/>
  <c r="HN14" i="13"/>
  <c r="HQ14" i="13" s="1"/>
  <c r="IJ8" i="13"/>
  <c r="IM8" i="13" s="1"/>
  <c r="IJ16" i="13"/>
  <c r="IM16" i="13" s="1"/>
  <c r="KX6" i="13"/>
  <c r="LA6" i="13" s="1"/>
  <c r="KX14" i="13"/>
  <c r="LA14" i="13" s="1"/>
  <c r="GG9" i="12"/>
  <c r="IR12" i="12"/>
  <c r="DA16" i="12"/>
  <c r="EQ6" i="12"/>
  <c r="EQ5" i="12"/>
  <c r="EQ10" i="12"/>
  <c r="GG12" i="12"/>
  <c r="HB16" i="12"/>
  <c r="IR6" i="12"/>
  <c r="IR5" i="12"/>
  <c r="IR10" i="12"/>
  <c r="KH13" i="12"/>
  <c r="LC13" i="12"/>
  <c r="LC12" i="12"/>
  <c r="HW4" i="12"/>
  <c r="HW15" i="12"/>
  <c r="JM11" i="12"/>
  <c r="DV6" i="12"/>
  <c r="DV11" i="12"/>
  <c r="DV14" i="12"/>
  <c r="GG16" i="12"/>
  <c r="HW5" i="12"/>
  <c r="DA12" i="12"/>
  <c r="EQ13" i="12"/>
  <c r="FL8" i="12"/>
  <c r="FL6" i="12"/>
  <c r="FL5" i="12"/>
  <c r="FL10" i="12"/>
  <c r="IR15" i="12"/>
  <c r="JM4" i="12"/>
  <c r="KH5" i="12"/>
  <c r="KH10" i="12"/>
  <c r="KH11" i="12"/>
  <c r="DA8" i="12"/>
  <c r="DV5" i="12"/>
  <c r="DV16" i="12"/>
  <c r="DV12" i="12"/>
  <c r="EQ11" i="12"/>
  <c r="EQ14" i="12"/>
  <c r="HB8" i="12"/>
  <c r="HB12" i="12"/>
  <c r="HW10" i="12"/>
  <c r="IR16" i="12"/>
  <c r="KH15" i="12"/>
  <c r="KH9" i="12"/>
  <c r="LC9" i="12"/>
  <c r="DA6" i="12"/>
  <c r="DA5" i="12"/>
  <c r="DA10" i="12"/>
  <c r="DV10" i="12"/>
  <c r="EQ16" i="12"/>
  <c r="FL15" i="12"/>
  <c r="FL9" i="12"/>
  <c r="GG4" i="12"/>
  <c r="HB6" i="12"/>
  <c r="HB5" i="12"/>
  <c r="HB10" i="12"/>
  <c r="HW6" i="12"/>
  <c r="HW14" i="12"/>
  <c r="JM9" i="12"/>
  <c r="IR9" i="12"/>
  <c r="KH8" i="12"/>
  <c r="LC8" i="12"/>
  <c r="EQ15" i="12"/>
  <c r="EQ9" i="12"/>
  <c r="GG6" i="12"/>
  <c r="GG5" i="12"/>
  <c r="GG10" i="12"/>
  <c r="JM8" i="12"/>
  <c r="KH6" i="12"/>
  <c r="LC6" i="12"/>
  <c r="FL12" i="12"/>
  <c r="IR4" i="12"/>
  <c r="DV8" i="12"/>
  <c r="EQ12" i="12"/>
  <c r="JM6" i="12"/>
  <c r="JM14" i="12"/>
  <c r="KH16" i="12"/>
  <c r="KH14" i="12"/>
  <c r="LC16" i="12"/>
  <c r="DA4" i="12"/>
  <c r="FL16" i="12"/>
  <c r="HB4" i="12"/>
  <c r="JM16" i="12"/>
  <c r="IR22" i="6"/>
  <c r="IR23" i="6"/>
  <c r="JM10" i="6"/>
  <c r="JM8" i="6"/>
  <c r="DA17" i="6"/>
  <c r="DV9" i="6"/>
  <c r="DV12" i="6"/>
  <c r="HW19" i="6"/>
  <c r="IR14" i="6"/>
  <c r="KH18" i="6"/>
  <c r="KH22" i="6"/>
  <c r="KH23" i="6"/>
  <c r="LC20" i="6"/>
  <c r="LC17" i="6"/>
  <c r="DA8" i="6"/>
  <c r="DA16" i="6"/>
  <c r="EQ12" i="6"/>
  <c r="EQ21" i="6"/>
  <c r="EQ17" i="6"/>
  <c r="FL17" i="6"/>
  <c r="IR9" i="6"/>
  <c r="IR6" i="6"/>
  <c r="IR11" i="6"/>
  <c r="KH7" i="6"/>
  <c r="GG5" i="6"/>
  <c r="HW5" i="6"/>
  <c r="KH11" i="6"/>
  <c r="DA22" i="6"/>
  <c r="DV15" i="6"/>
  <c r="GG15" i="6"/>
  <c r="GG18" i="6"/>
  <c r="GG22" i="6"/>
  <c r="GG23" i="6"/>
  <c r="HB4" i="6"/>
  <c r="HB10" i="6"/>
  <c r="HB7" i="6"/>
  <c r="HB8" i="6"/>
  <c r="HB15" i="6"/>
  <c r="HB16" i="6"/>
  <c r="HB14" i="6"/>
  <c r="HB18" i="6"/>
  <c r="HB22" i="6"/>
  <c r="HB23" i="6"/>
  <c r="KH13" i="6"/>
  <c r="KH19" i="6"/>
  <c r="KH21" i="6"/>
  <c r="DA6" i="6"/>
  <c r="DA11" i="6"/>
  <c r="DA20" i="6"/>
  <c r="DA13" i="6"/>
  <c r="DV14" i="6"/>
  <c r="EQ14" i="6"/>
  <c r="IR10" i="6"/>
  <c r="IR8" i="6"/>
  <c r="IR17" i="6"/>
  <c r="DA19" i="6"/>
  <c r="DV4" i="6"/>
  <c r="DV16" i="6"/>
  <c r="EQ13" i="6"/>
  <c r="EQ19" i="6"/>
  <c r="FL7" i="6"/>
  <c r="FL22" i="6"/>
  <c r="FL23" i="6"/>
  <c r="GG12" i="6"/>
  <c r="HW6" i="6"/>
  <c r="HW11" i="6"/>
  <c r="IR15" i="6"/>
  <c r="IR16" i="6"/>
  <c r="IR18" i="6"/>
  <c r="JM17" i="6"/>
  <c r="KH14" i="6"/>
  <c r="LC4" i="6"/>
  <c r="LC10" i="6"/>
  <c r="LC12" i="6"/>
  <c r="DA10" i="6"/>
  <c r="DA12" i="6"/>
  <c r="DV7" i="6"/>
  <c r="DV18" i="6"/>
  <c r="EQ5" i="6"/>
  <c r="FL14" i="6"/>
  <c r="GG10" i="6"/>
  <c r="GG8" i="6"/>
  <c r="GG17" i="6"/>
  <c r="HB5" i="6"/>
  <c r="HB12" i="6"/>
  <c r="HB17" i="6"/>
  <c r="IR7" i="6"/>
  <c r="GG16" i="6"/>
  <c r="HW12" i="6"/>
  <c r="JM16" i="6"/>
  <c r="JM18" i="6"/>
  <c r="KH5" i="6"/>
  <c r="DA7" i="6"/>
  <c r="DA18" i="6"/>
  <c r="DV5" i="6"/>
  <c r="DV22" i="6"/>
  <c r="EQ15" i="6"/>
  <c r="EQ16" i="6"/>
  <c r="EQ18" i="6"/>
  <c r="FL5" i="6"/>
  <c r="HW4" i="6"/>
  <c r="HW10" i="6"/>
  <c r="HW8" i="6"/>
  <c r="HW17" i="6"/>
  <c r="JM4" i="6"/>
  <c r="JM7" i="6"/>
  <c r="JM22" i="6"/>
  <c r="JM23" i="6"/>
  <c r="KH12" i="6"/>
  <c r="LC14" i="6"/>
  <c r="DA15" i="6"/>
  <c r="DA23" i="6"/>
  <c r="DV19" i="6"/>
  <c r="EQ7" i="6"/>
  <c r="EQ22" i="6"/>
  <c r="EQ23" i="6"/>
  <c r="FL12" i="6"/>
  <c r="GG6" i="6"/>
  <c r="GG11" i="6"/>
  <c r="HW15" i="6"/>
  <c r="HW16" i="6"/>
  <c r="HW18" i="6"/>
  <c r="IR5" i="6"/>
  <c r="KH4" i="6"/>
  <c r="KH10" i="6"/>
  <c r="KH8" i="6"/>
  <c r="KH17" i="6"/>
  <c r="IR12" i="6"/>
  <c r="LC5" i="6"/>
  <c r="DA6" i="8"/>
  <c r="GG4" i="8"/>
  <c r="HB4" i="8"/>
  <c r="HW4" i="8"/>
  <c r="IR4" i="8"/>
  <c r="EQ6" i="8"/>
  <c r="EQ5" i="8"/>
  <c r="EQ7" i="8"/>
  <c r="JM6" i="8"/>
  <c r="IR5" i="8"/>
  <c r="IR7" i="8"/>
  <c r="DA5" i="8"/>
  <c r="DA7" i="8"/>
  <c r="HW5" i="8"/>
  <c r="HW7" i="8"/>
  <c r="LC5" i="8"/>
  <c r="LC7" i="8"/>
  <c r="FL6" i="8"/>
  <c r="GG6" i="8"/>
  <c r="HW6" i="8"/>
  <c r="DV6" i="8"/>
  <c r="FL7" i="8"/>
  <c r="HB6" i="8"/>
  <c r="GG5" i="8"/>
  <c r="GG7" i="8"/>
  <c r="IR6" i="8"/>
  <c r="HB5" i="8"/>
  <c r="HB7" i="8"/>
  <c r="KH7" i="8"/>
  <c r="DA8" i="7"/>
  <c r="DA7" i="7"/>
  <c r="DV5" i="7"/>
  <c r="EQ4" i="7"/>
  <c r="EQ8" i="7"/>
  <c r="FL5" i="7"/>
  <c r="DV8" i="7"/>
  <c r="DV7" i="7"/>
  <c r="EQ5" i="7"/>
  <c r="JM5" i="7"/>
  <c r="HB8" i="7"/>
  <c r="DV6" i="7"/>
  <c r="GG6" i="7"/>
  <c r="DV4" i="7"/>
  <c r="GG4" i="7"/>
  <c r="JM8" i="7"/>
  <c r="EQ6" i="7"/>
  <c r="HB7" i="7"/>
  <c r="DA4" i="7"/>
  <c r="FL4" i="7"/>
  <c r="KH6" i="7"/>
  <c r="LC4" i="7"/>
  <c r="IR7" i="7"/>
  <c r="FA7" i="14"/>
  <c r="FD7" i="14" s="1"/>
  <c r="GS5" i="14"/>
  <c r="GV5" i="14" s="1"/>
  <c r="JG7" i="14"/>
  <c r="JJ7" i="14" s="1"/>
  <c r="DI7" i="14"/>
  <c r="DL7" i="14" s="1"/>
  <c r="EE5" i="14"/>
  <c r="EH5" i="14" s="1"/>
  <c r="FW9" i="14"/>
  <c r="FZ9" i="14" s="1"/>
  <c r="KY6" i="14"/>
  <c r="LB6" i="14" s="1"/>
  <c r="LU6" i="14"/>
  <c r="LX6" i="14" s="1"/>
  <c r="EE9" i="14"/>
  <c r="EH9" i="14" s="1"/>
  <c r="FW6" i="14"/>
  <c r="FZ6" i="14" s="1"/>
  <c r="EE8" i="14"/>
  <c r="EH8" i="14" s="1"/>
  <c r="JG8" i="14"/>
  <c r="JJ8" i="14" s="1"/>
  <c r="KC4" i="14"/>
  <c r="KF4" i="14" s="1"/>
  <c r="KY4" i="14"/>
  <c r="LB4" i="14" s="1"/>
  <c r="LU4" i="14"/>
  <c r="LX4" i="14" s="1"/>
  <c r="JG4" i="14"/>
  <c r="JJ4" i="14" s="1"/>
  <c r="HO5" i="14"/>
  <c r="HR5" i="14" s="1"/>
  <c r="DI5" i="14"/>
  <c r="DL5" i="14" s="1"/>
  <c r="EE4" i="14"/>
  <c r="EH4" i="14" s="1"/>
  <c r="FA4" i="14"/>
  <c r="FD4" i="14" s="1"/>
  <c r="GS6" i="14"/>
  <c r="GV6" i="14" s="1"/>
  <c r="HO6" i="14"/>
  <c r="HR6" i="14" s="1"/>
  <c r="HO9" i="14"/>
  <c r="HR9" i="14" s="1"/>
  <c r="IK5" i="14"/>
  <c r="IN5" i="14" s="1"/>
  <c r="IK7" i="14"/>
  <c r="IN7" i="14" s="1"/>
  <c r="DI6" i="14"/>
  <c r="DL6" i="14" s="1"/>
  <c r="EE7" i="14"/>
  <c r="EH7" i="14" s="1"/>
  <c r="FW8" i="14"/>
  <c r="FZ8" i="14" s="1"/>
  <c r="GS8" i="14"/>
  <c r="GV8" i="14" s="1"/>
  <c r="IK6" i="14"/>
  <c r="IN6" i="14" s="1"/>
  <c r="IK9" i="14"/>
  <c r="IN9" i="14" s="1"/>
  <c r="JG5" i="14"/>
  <c r="JJ5" i="14" s="1"/>
  <c r="KC7" i="14"/>
  <c r="KF7" i="14" s="1"/>
  <c r="DI9" i="14"/>
  <c r="DL9" i="14" s="1"/>
  <c r="FA5" i="14"/>
  <c r="FD5" i="14" s="1"/>
  <c r="GS4" i="14"/>
  <c r="GV4" i="14" s="1"/>
  <c r="JG6" i="14"/>
  <c r="JJ6" i="14" s="1"/>
  <c r="JG9" i="14"/>
  <c r="JJ9" i="14" s="1"/>
  <c r="HO4" i="14"/>
  <c r="HR4" i="14" s="1"/>
  <c r="KC6" i="14"/>
  <c r="KF6" i="14" s="1"/>
  <c r="KC9" i="14"/>
  <c r="KF9" i="14" s="1"/>
  <c r="KY5" i="14"/>
  <c r="LB5" i="14" s="1"/>
  <c r="KY7" i="14"/>
  <c r="LB7" i="14" s="1"/>
  <c r="FA6" i="14"/>
  <c r="FD6" i="14" s="1"/>
  <c r="FA9" i="14"/>
  <c r="FD9" i="14" s="1"/>
  <c r="FW5" i="14"/>
  <c r="FZ5" i="14" s="1"/>
  <c r="IK4" i="14"/>
  <c r="IN4" i="14" s="1"/>
  <c r="LU5" i="14"/>
  <c r="LX5" i="14" s="1"/>
  <c r="FA5" i="9"/>
  <c r="FD5" i="9" s="1"/>
  <c r="FA10" i="9"/>
  <c r="FD10" i="9" s="1"/>
  <c r="FW10" i="9"/>
  <c r="FZ10" i="9" s="1"/>
  <c r="IK8" i="9"/>
  <c r="IN8" i="9" s="1"/>
  <c r="DI9" i="9"/>
  <c r="DL9" i="9" s="1"/>
  <c r="KY5" i="9"/>
  <c r="LB5" i="9" s="1"/>
  <c r="DI4" i="9"/>
  <c r="DL4" i="9" s="1"/>
  <c r="DI6" i="9"/>
  <c r="DL6" i="9" s="1"/>
  <c r="FA9" i="9"/>
  <c r="FD9" i="9" s="1"/>
  <c r="GS9" i="9"/>
  <c r="GV9" i="9" s="1"/>
  <c r="KY7" i="9"/>
  <c r="LB7" i="9" s="1"/>
  <c r="GS4" i="9"/>
  <c r="GV4" i="9" s="1"/>
  <c r="HO6" i="9"/>
  <c r="HR6" i="9" s="1"/>
  <c r="JG6" i="9"/>
  <c r="JJ6" i="9" s="1"/>
  <c r="KC6" i="9"/>
  <c r="KF6" i="9" s="1"/>
  <c r="GV5" i="9"/>
  <c r="JJ8" i="9"/>
  <c r="LU4" i="9"/>
  <c r="LX4" i="9" s="1"/>
  <c r="DI8" i="9"/>
  <c r="DL8" i="9" s="1"/>
  <c r="EE4" i="9"/>
  <c r="EH4" i="9" s="1"/>
  <c r="EE9" i="9"/>
  <c r="EH9" i="9" s="1"/>
  <c r="HO7" i="9"/>
  <c r="HR7" i="9" s="1"/>
  <c r="KC4" i="9"/>
  <c r="KF4" i="9" s="1"/>
  <c r="KC9" i="9"/>
  <c r="KF9" i="9" s="1"/>
  <c r="EE8" i="9"/>
  <c r="EH8" i="9" s="1"/>
  <c r="HO4" i="9"/>
  <c r="HR4" i="9" s="1"/>
  <c r="IK10" i="9"/>
  <c r="IN10" i="9" s="1"/>
  <c r="JG5" i="9"/>
  <c r="JJ5" i="9" s="1"/>
  <c r="KC8" i="9"/>
  <c r="KF8" i="9" s="1"/>
  <c r="KY4" i="9"/>
  <c r="LB4" i="9" s="1"/>
  <c r="KY9" i="9"/>
  <c r="LB9" i="9" s="1"/>
  <c r="IN7" i="9"/>
  <c r="JJ10" i="9"/>
  <c r="LX10" i="9"/>
  <c r="FA8" i="9"/>
  <c r="FD8" i="9" s="1"/>
  <c r="FW4" i="9"/>
  <c r="FZ4" i="9" s="1"/>
  <c r="FW9" i="9"/>
  <c r="FZ9" i="9" s="1"/>
  <c r="GS7" i="9"/>
  <c r="GV7" i="9" s="1"/>
  <c r="JG7" i="9"/>
  <c r="JJ7" i="9" s="1"/>
  <c r="KY8" i="9"/>
  <c r="LB8" i="9" s="1"/>
  <c r="EE7" i="9"/>
  <c r="EH7" i="9" s="1"/>
  <c r="GS10" i="9"/>
  <c r="GV10" i="9" s="1"/>
  <c r="HO8" i="9"/>
  <c r="HR8" i="9" s="1"/>
  <c r="IK9" i="9"/>
  <c r="IN9" i="9" s="1"/>
  <c r="KC7" i="9"/>
  <c r="KF7" i="9" s="1"/>
  <c r="FW5" i="9"/>
  <c r="FZ5" i="9" s="1"/>
  <c r="LX7" i="9"/>
  <c r="EG14" i="13"/>
  <c r="GU9" i="13"/>
  <c r="IJ7" i="13"/>
  <c r="IM7" i="13" s="1"/>
  <c r="IJ15" i="13"/>
  <c r="IM15" i="13" s="1"/>
  <c r="KB12" i="13"/>
  <c r="KE12" i="13" s="1"/>
  <c r="KX8" i="13"/>
  <c r="LA8" i="13" s="1"/>
  <c r="KX16" i="13"/>
  <c r="LA16" i="13" s="1"/>
  <c r="ED8" i="13"/>
  <c r="EG8" i="13" s="1"/>
  <c r="EZ17" i="13"/>
  <c r="FC17" i="13" s="1"/>
  <c r="FV5" i="13"/>
  <c r="FY5" i="13" s="1"/>
  <c r="FV10" i="13"/>
  <c r="FY10" i="13" s="1"/>
  <c r="FV13" i="13"/>
  <c r="FY13" i="13" s="1"/>
  <c r="IJ4" i="13"/>
  <c r="IM4" i="13" s="1"/>
  <c r="IJ12" i="13"/>
  <c r="IM12" i="13" s="1"/>
  <c r="KB9" i="13"/>
  <c r="KE9" i="13" s="1"/>
  <c r="LT9" i="13"/>
  <c r="LW9" i="13" s="1"/>
  <c r="LT17" i="13"/>
  <c r="LW17" i="13" s="1"/>
  <c r="IM17" i="13"/>
  <c r="ED13" i="13"/>
  <c r="EG13" i="13" s="1"/>
  <c r="KB14" i="13"/>
  <c r="KE14" i="13" s="1"/>
  <c r="KX15" i="13"/>
  <c r="LA15" i="13" s="1"/>
  <c r="LT11" i="13"/>
  <c r="LW11" i="13" s="1"/>
  <c r="MP12" i="13"/>
  <c r="MS12" i="13" s="1"/>
  <c r="ED7" i="13"/>
  <c r="EG7" i="13" s="1"/>
  <c r="EZ8" i="13"/>
  <c r="FC8" i="13" s="1"/>
  <c r="FV9" i="13"/>
  <c r="FY9" i="13" s="1"/>
  <c r="IJ11" i="13"/>
  <c r="IM11" i="13" s="1"/>
  <c r="JF4" i="13"/>
  <c r="JI4" i="13" s="1"/>
  <c r="JF12" i="13"/>
  <c r="JI12" i="13" s="1"/>
  <c r="KX12" i="13"/>
  <c r="LA12" i="13" s="1"/>
  <c r="LT5" i="13"/>
  <c r="LW5" i="13" s="1"/>
  <c r="LT8" i="13"/>
  <c r="LW8" i="13" s="1"/>
  <c r="LT16" i="13"/>
  <c r="LW16" i="13" s="1"/>
  <c r="EG4" i="13"/>
  <c r="EZ13" i="13"/>
  <c r="FC13" i="13" s="1"/>
  <c r="GR13" i="13"/>
  <c r="GU13" i="13" s="1"/>
  <c r="KB13" i="13"/>
  <c r="KE13" i="13" s="1"/>
  <c r="LW10" i="13"/>
  <c r="ED6" i="13"/>
  <c r="EG6" i="13" s="1"/>
  <c r="EZ7" i="13"/>
  <c r="FC7" i="13" s="1"/>
  <c r="FV11" i="13"/>
  <c r="FY11" i="13" s="1"/>
  <c r="HN6" i="13"/>
  <c r="HQ6" i="13" s="1"/>
  <c r="HQ17" i="13"/>
  <c r="KB15" i="13"/>
  <c r="KE15" i="13" s="1"/>
  <c r="KX11" i="13"/>
  <c r="LA11" i="13" s="1"/>
  <c r="MP13" i="13"/>
  <c r="MS13" i="13" s="1"/>
  <c r="ED17" i="13"/>
  <c r="EG17" i="13" s="1"/>
  <c r="EZ5" i="13"/>
  <c r="FC5" i="13" s="1"/>
  <c r="EZ16" i="13"/>
  <c r="FC16" i="13" s="1"/>
  <c r="GR16" i="13"/>
  <c r="GU16" i="13" s="1"/>
  <c r="HN9" i="13"/>
  <c r="HQ9" i="13" s="1"/>
  <c r="HN12" i="13"/>
  <c r="HQ12" i="13" s="1"/>
  <c r="HN15" i="13"/>
  <c r="HQ15" i="13" s="1"/>
  <c r="KB17" i="13"/>
  <c r="KE17" i="13" s="1"/>
  <c r="KX5" i="13"/>
  <c r="LA5" i="13" s="1"/>
  <c r="MP4" i="13"/>
  <c r="MS4" i="13" s="1"/>
  <c r="MP7" i="13"/>
  <c r="MS7" i="13" s="1"/>
  <c r="MP10" i="13"/>
  <c r="MS10" i="13" s="1"/>
  <c r="EG11" i="13"/>
  <c r="FY15" i="13"/>
  <c r="GU12" i="13"/>
  <c r="FC4" i="13"/>
  <c r="GU15" i="13"/>
  <c r="IJ5" i="13"/>
  <c r="IM5" i="13" s="1"/>
  <c r="JF5" i="13"/>
  <c r="JI5" i="13" s="1"/>
  <c r="JF8" i="13"/>
  <c r="JI8" i="13" s="1"/>
  <c r="JF11" i="13"/>
  <c r="JI11" i="13" s="1"/>
  <c r="KB8" i="13"/>
  <c r="KE8" i="13" s="1"/>
  <c r="KX4" i="13"/>
  <c r="LA4" i="13" s="1"/>
  <c r="KX7" i="13"/>
  <c r="LA7" i="13" s="1"/>
  <c r="KX13" i="13"/>
  <c r="LA13" i="13" s="1"/>
  <c r="LT4" i="13"/>
  <c r="LW4" i="13" s="1"/>
  <c r="LT7" i="13"/>
  <c r="LW7" i="13" s="1"/>
  <c r="MP9" i="13"/>
  <c r="MS9" i="13" s="1"/>
  <c r="ED5" i="13"/>
  <c r="EG5" i="13" s="1"/>
  <c r="ED16" i="13"/>
  <c r="EG16" i="13" s="1"/>
  <c r="EZ12" i="13"/>
  <c r="FC12" i="13" s="1"/>
  <c r="EZ15" i="13"/>
  <c r="FC15" i="13" s="1"/>
  <c r="FV17" i="13"/>
  <c r="FY17" i="13" s="1"/>
  <c r="HN8" i="13"/>
  <c r="HQ8" i="13" s="1"/>
  <c r="HN11" i="13"/>
  <c r="HQ11" i="13" s="1"/>
  <c r="KB16" i="13"/>
  <c r="KE16" i="13" s="1"/>
  <c r="ED10" i="13"/>
  <c r="EG10" i="13" s="1"/>
  <c r="EZ9" i="13"/>
  <c r="FC9" i="13" s="1"/>
  <c r="FV8" i="13"/>
  <c r="FY8" i="13" s="1"/>
  <c r="GR8" i="13"/>
  <c r="GU8" i="13" s="1"/>
  <c r="GR17" i="13"/>
  <c r="GU17" i="13" s="1"/>
  <c r="JI7" i="13"/>
  <c r="LT12" i="13"/>
  <c r="LW12" i="13" s="1"/>
  <c r="LT15" i="13"/>
  <c r="LW15" i="13" s="1"/>
  <c r="MP11" i="13"/>
  <c r="MS11" i="13" s="1"/>
  <c r="HN16" i="13"/>
  <c r="HQ16" i="13" s="1"/>
  <c r="IJ13" i="13"/>
  <c r="IM13" i="13" s="1"/>
  <c r="JF10" i="13"/>
  <c r="JI10" i="13" s="1"/>
  <c r="JF13" i="13"/>
  <c r="JI13" i="13" s="1"/>
  <c r="JF16" i="13"/>
  <c r="JI16" i="13" s="1"/>
  <c r="KB4" i="13"/>
  <c r="KE4" i="13" s="1"/>
  <c r="KB7" i="13"/>
  <c r="KE7" i="13" s="1"/>
  <c r="MP8" i="13"/>
  <c r="MS8" i="13" s="1"/>
  <c r="ED12" i="13"/>
  <c r="EG12" i="13" s="1"/>
  <c r="ED15" i="13"/>
  <c r="EG15" i="13" s="1"/>
  <c r="EZ11" i="13"/>
  <c r="FC11" i="13" s="1"/>
  <c r="FV16" i="13"/>
  <c r="FY16" i="13" s="1"/>
  <c r="GR4" i="13"/>
  <c r="GU4" i="13" s="1"/>
  <c r="GR10" i="13"/>
  <c r="GU10" i="13" s="1"/>
  <c r="HN4" i="13"/>
  <c r="HQ4" i="13" s="1"/>
  <c r="HN7" i="13"/>
  <c r="HQ7" i="13" s="1"/>
  <c r="IJ9" i="13"/>
  <c r="IM9" i="13" s="1"/>
  <c r="MS16" i="13"/>
  <c r="HQ20" i="4"/>
  <c r="KB21" i="4"/>
  <c r="KE21" i="4" s="1"/>
  <c r="KX5" i="4"/>
  <c r="LA5" i="4" s="1"/>
  <c r="KX17" i="4"/>
  <c r="LA17" i="4" s="1"/>
  <c r="KX20" i="4"/>
  <c r="LA20" i="4" s="1"/>
  <c r="KX25" i="4"/>
  <c r="LA25" i="4" s="1"/>
  <c r="LT19" i="4"/>
  <c r="LW19" i="4" s="1"/>
  <c r="LW25" i="4"/>
  <c r="MP13" i="4"/>
  <c r="MS13" i="4" s="1"/>
  <c r="MP21" i="4"/>
  <c r="MS21" i="4" s="1"/>
  <c r="BZ22" i="4"/>
  <c r="CC22" i="4" s="1"/>
  <c r="EZ14" i="4"/>
  <c r="FC14" i="4" s="1"/>
  <c r="EZ23" i="4"/>
  <c r="FC23" i="4" s="1"/>
  <c r="FV8" i="4"/>
  <c r="FY8" i="4" s="1"/>
  <c r="FV15" i="4"/>
  <c r="FY15" i="4" s="1"/>
  <c r="FV24" i="4"/>
  <c r="FY24" i="4" s="1"/>
  <c r="GR9" i="4"/>
  <c r="GU9" i="4" s="1"/>
  <c r="HN22" i="4"/>
  <c r="HQ22" i="4" s="1"/>
  <c r="IJ7" i="4"/>
  <c r="IM7" i="4" s="1"/>
  <c r="IJ18" i="4"/>
  <c r="IM18" i="4" s="1"/>
  <c r="IJ21" i="4"/>
  <c r="JF11" i="4"/>
  <c r="JI11" i="4" s="1"/>
  <c r="JF22" i="4"/>
  <c r="JI22" i="4" s="1"/>
  <c r="KB4" i="4"/>
  <c r="KE4" i="4" s="1"/>
  <c r="KB23" i="4"/>
  <c r="KE23" i="4" s="1"/>
  <c r="EZ11" i="4"/>
  <c r="FC11" i="4" s="1"/>
  <c r="FV6" i="4"/>
  <c r="FY6" i="4" s="1"/>
  <c r="FV13" i="4"/>
  <c r="FY13" i="4" s="1"/>
  <c r="GR5" i="4"/>
  <c r="GU5" i="4" s="1"/>
  <c r="GR25" i="4"/>
  <c r="GU25" i="4" s="1"/>
  <c r="KX14" i="4"/>
  <c r="LA14" i="4" s="1"/>
  <c r="HN13" i="4"/>
  <c r="HQ13" i="4" s="1"/>
  <c r="KB5" i="4"/>
  <c r="KE5" i="4" s="1"/>
  <c r="KB17" i="4"/>
  <c r="KE17" i="4" s="1"/>
  <c r="KX15" i="4"/>
  <c r="LA15" i="4" s="1"/>
  <c r="KX24" i="4"/>
  <c r="LA24" i="4" s="1"/>
  <c r="LT18" i="4"/>
  <c r="LW18" i="4" s="1"/>
  <c r="ED6" i="4"/>
  <c r="EG6" i="4" s="1"/>
  <c r="FV16" i="4"/>
  <c r="FY16" i="4" s="1"/>
  <c r="GR8" i="4"/>
  <c r="HN7" i="4"/>
  <c r="HQ7" i="4" s="1"/>
  <c r="IJ5" i="4"/>
  <c r="IM5" i="4" s="1"/>
  <c r="IJ17" i="4"/>
  <c r="IM17" i="4" s="1"/>
  <c r="JF10" i="4"/>
  <c r="JI10" i="4" s="1"/>
  <c r="JF26" i="4"/>
  <c r="JI26" i="4" s="1"/>
  <c r="EG13" i="4"/>
  <c r="FC18" i="4"/>
  <c r="FY4" i="4"/>
  <c r="JI23" i="4"/>
  <c r="KE8" i="4"/>
  <c r="LT9" i="4"/>
  <c r="LW9" i="4" s="1"/>
  <c r="ED4" i="4"/>
  <c r="EG4" i="4" s="1"/>
  <c r="ED7" i="4"/>
  <c r="EG7" i="4" s="1"/>
  <c r="ED10" i="4"/>
  <c r="EG10" i="4" s="1"/>
  <c r="FV9" i="4"/>
  <c r="FY9" i="4" s="1"/>
  <c r="FV17" i="4"/>
  <c r="FV25" i="4"/>
  <c r="FY25" i="4" s="1"/>
  <c r="GR10" i="4"/>
  <c r="GU10" i="4" s="1"/>
  <c r="GR13" i="4"/>
  <c r="GU13" i="4" s="1"/>
  <c r="GR21" i="4"/>
  <c r="GU21" i="4" s="1"/>
  <c r="HN9" i="4"/>
  <c r="HQ9" i="4" s="1"/>
  <c r="HN23" i="4"/>
  <c r="HQ23" i="4" s="1"/>
  <c r="IJ19" i="4"/>
  <c r="IM19" i="4" s="1"/>
  <c r="IJ22" i="4"/>
  <c r="IM22" i="4" s="1"/>
  <c r="JF4" i="4"/>
  <c r="JI4" i="4" s="1"/>
  <c r="JF12" i="4"/>
  <c r="JI12" i="4" s="1"/>
  <c r="JF20" i="4"/>
  <c r="JI20" i="4" s="1"/>
  <c r="KX4" i="4"/>
  <c r="LA4" i="4" s="1"/>
  <c r="KX16" i="4"/>
  <c r="KX23" i="4"/>
  <c r="HN5" i="4"/>
  <c r="HQ5" i="4" s="1"/>
  <c r="JF9" i="4"/>
  <c r="JI9" i="4" s="1"/>
  <c r="JF17" i="4"/>
  <c r="JI17" i="4" s="1"/>
  <c r="LT14" i="4"/>
  <c r="LW14" i="4" s="1"/>
  <c r="MP15" i="4"/>
  <c r="MS15" i="4" s="1"/>
  <c r="ED8" i="4"/>
  <c r="EG8" i="4" s="1"/>
  <c r="ED11" i="4"/>
  <c r="EG11" i="4" s="1"/>
  <c r="EG24" i="4"/>
  <c r="EZ16" i="4"/>
  <c r="FC16" i="4" s="1"/>
  <c r="EZ21" i="4"/>
  <c r="FC21" i="4" s="1"/>
  <c r="GR15" i="4"/>
  <c r="GU15" i="4" s="1"/>
  <c r="GR19" i="4"/>
  <c r="GU19" i="4" s="1"/>
  <c r="HN6" i="4"/>
  <c r="HQ6" i="4" s="1"/>
  <c r="HN15" i="4"/>
  <c r="HQ15" i="4" s="1"/>
  <c r="HN19" i="4"/>
  <c r="HQ19" i="4" s="1"/>
  <c r="IJ10" i="4"/>
  <c r="IM10" i="4" s="1"/>
  <c r="IJ13" i="4"/>
  <c r="IM13" i="4" s="1"/>
  <c r="IJ15" i="4"/>
  <c r="IM15" i="4" s="1"/>
  <c r="JF18" i="4"/>
  <c r="JI18" i="4" s="1"/>
  <c r="JF21" i="4"/>
  <c r="JI21" i="4" s="1"/>
  <c r="KB10" i="4"/>
  <c r="KE10" i="4" s="1"/>
  <c r="KB24" i="4"/>
  <c r="KE24" i="4" s="1"/>
  <c r="KX10" i="4"/>
  <c r="LA10" i="4" s="1"/>
  <c r="KX19" i="4"/>
  <c r="LA19" i="4" s="1"/>
  <c r="MP8" i="4"/>
  <c r="MS8" i="4" s="1"/>
  <c r="MP11" i="4"/>
  <c r="MS11" i="4" s="1"/>
  <c r="MP20" i="4"/>
  <c r="MS20" i="4" s="1"/>
  <c r="IM21" i="4"/>
  <c r="LA13" i="4"/>
  <c r="LW5" i="4"/>
  <c r="MS6" i="4"/>
  <c r="ED15" i="4"/>
  <c r="EG15" i="4" s="1"/>
  <c r="ED19" i="4"/>
  <c r="EG19" i="4" s="1"/>
  <c r="ED25" i="4"/>
  <c r="EG25" i="4" s="1"/>
  <c r="EZ6" i="4"/>
  <c r="FC6" i="4" s="1"/>
  <c r="EZ8" i="4"/>
  <c r="FC8" i="4" s="1"/>
  <c r="EZ17" i="4"/>
  <c r="FC17" i="4" s="1"/>
  <c r="EZ20" i="4"/>
  <c r="FC20" i="4" s="1"/>
  <c r="EZ26" i="4"/>
  <c r="FC26" i="4" s="1"/>
  <c r="FV12" i="4"/>
  <c r="FY12" i="4" s="1"/>
  <c r="FV18" i="4"/>
  <c r="FY18" i="4" s="1"/>
  <c r="FV21" i="4"/>
  <c r="FY21" i="4" s="1"/>
  <c r="GR24" i="4"/>
  <c r="GU24" i="4" s="1"/>
  <c r="HN4" i="4"/>
  <c r="HQ4" i="4" s="1"/>
  <c r="HN16" i="4"/>
  <c r="HQ16" i="4" s="1"/>
  <c r="HN18" i="4"/>
  <c r="HQ18" i="4" s="1"/>
  <c r="HN24" i="4"/>
  <c r="HQ24" i="4" s="1"/>
  <c r="IJ12" i="4"/>
  <c r="IM12" i="4" s="1"/>
  <c r="IJ16" i="4"/>
  <c r="IM16" i="4" s="1"/>
  <c r="IJ26" i="4"/>
  <c r="IM26" i="4" s="1"/>
  <c r="JF24" i="4"/>
  <c r="JI24" i="4" s="1"/>
  <c r="KB12" i="4"/>
  <c r="KE12" i="4" s="1"/>
  <c r="KB16" i="4"/>
  <c r="KE16" i="4" s="1"/>
  <c r="KB26" i="4"/>
  <c r="KE26" i="4" s="1"/>
  <c r="LA23" i="4"/>
  <c r="LT8" i="4"/>
  <c r="LW8" i="4" s="1"/>
  <c r="LT11" i="4"/>
  <c r="LW11" i="4" s="1"/>
  <c r="LT24" i="4"/>
  <c r="LW24" i="4" s="1"/>
  <c r="MP4" i="4"/>
  <c r="MS4" i="4" s="1"/>
  <c r="MS19" i="4"/>
  <c r="FC10" i="4"/>
  <c r="FY14" i="4"/>
  <c r="FY17" i="4"/>
  <c r="FY26" i="4"/>
  <c r="LA7" i="4"/>
  <c r="LA22" i="4"/>
  <c r="LT17" i="4"/>
  <c r="LW17" i="4" s="1"/>
  <c r="OO22" i="4"/>
  <c r="ED9" i="4"/>
  <c r="EG9" i="4" s="1"/>
  <c r="ED12" i="4"/>
  <c r="EG12" i="4" s="1"/>
  <c r="ED16" i="4"/>
  <c r="EG16" i="4" s="1"/>
  <c r="EG21" i="4"/>
  <c r="EZ4" i="4"/>
  <c r="FC4" i="4" s="1"/>
  <c r="EZ7" i="4"/>
  <c r="FC7" i="4" s="1"/>
  <c r="EZ13" i="4"/>
  <c r="FC13" i="4" s="1"/>
  <c r="EZ15" i="4"/>
  <c r="FC15" i="4" s="1"/>
  <c r="EZ25" i="4"/>
  <c r="FC25" i="4" s="1"/>
  <c r="FV20" i="4"/>
  <c r="FY20" i="4" s="1"/>
  <c r="FV23" i="4"/>
  <c r="FY23" i="4" s="1"/>
  <c r="GR17" i="4"/>
  <c r="GU17" i="4" s="1"/>
  <c r="GR20" i="4"/>
  <c r="GU20" i="4" s="1"/>
  <c r="GR23" i="4"/>
  <c r="GU23" i="4" s="1"/>
  <c r="HN14" i="4"/>
  <c r="HQ14" i="4" s="1"/>
  <c r="IJ11" i="4"/>
  <c r="IM11" i="4" s="1"/>
  <c r="IJ25" i="4"/>
  <c r="IM25" i="4" s="1"/>
  <c r="KB11" i="4"/>
  <c r="KE11" i="4" s="1"/>
  <c r="KB25" i="4"/>
  <c r="KE25" i="4" s="1"/>
  <c r="KX11" i="4"/>
  <c r="LA11" i="4" s="1"/>
  <c r="LT7" i="4"/>
  <c r="LW7" i="4" s="1"/>
  <c r="LT23" i="4"/>
  <c r="LW23" i="4" s="1"/>
  <c r="MP12" i="4"/>
  <c r="MS12" i="4" s="1"/>
  <c r="FV7" i="4"/>
  <c r="FY7" i="4" s="1"/>
  <c r="GU8" i="4"/>
  <c r="HQ11" i="4"/>
  <c r="MS18" i="4"/>
  <c r="MS24" i="4"/>
  <c r="EG5" i="4"/>
  <c r="FV10" i="4"/>
  <c r="FY10" i="4" s="1"/>
  <c r="GR6" i="4"/>
  <c r="GU6" i="4" s="1"/>
  <c r="GR11" i="4"/>
  <c r="GU11" i="4" s="1"/>
  <c r="HN8" i="4"/>
  <c r="HQ8" i="4" s="1"/>
  <c r="IJ6" i="4"/>
  <c r="IM6" i="4" s="1"/>
  <c r="IJ8" i="4"/>
  <c r="IM8" i="4" s="1"/>
  <c r="JF25" i="4"/>
  <c r="JI25" i="4" s="1"/>
  <c r="KB6" i="4"/>
  <c r="KE6" i="4" s="1"/>
  <c r="KB15" i="4"/>
  <c r="KE15" i="4" s="1"/>
  <c r="LA16" i="4"/>
  <c r="LT12" i="4"/>
  <c r="LW12" i="4" s="1"/>
  <c r="CD12" i="12"/>
  <c r="BH11" i="12"/>
  <c r="CD22" i="6"/>
  <c r="BH8" i="6"/>
  <c r="BH5" i="8"/>
  <c r="LX5" i="8"/>
  <c r="NL22" i="4"/>
  <c r="NO22" i="4" s="1"/>
  <c r="BZ20" i="4"/>
  <c r="CC20" i="4" s="1"/>
  <c r="DD20" i="4"/>
  <c r="DG20" i="4" s="1"/>
  <c r="NL20" i="4"/>
  <c r="NO20" i="4" s="1"/>
  <c r="AL5" i="8"/>
  <c r="MR5" i="8"/>
  <c r="MP5" i="8"/>
  <c r="CD5" i="8"/>
  <c r="L5" i="8"/>
  <c r="CF5" i="8" s="1"/>
  <c r="MQ5" i="8"/>
  <c r="F5" i="8"/>
  <c r="J5" i="8"/>
  <c r="MS5" i="8"/>
  <c r="G5" i="8"/>
  <c r="OO20" i="4"/>
  <c r="OM20" i="4"/>
  <c r="OK20" i="4"/>
  <c r="Q20" i="4"/>
  <c r="DK20" i="4" s="1"/>
  <c r="G20" i="4"/>
  <c r="F20" i="4" s="1"/>
  <c r="AV20" i="4"/>
  <c r="AY20" i="4" s="1"/>
  <c r="H20" i="4"/>
  <c r="DD22" i="4"/>
  <c r="DG22" i="4" s="1"/>
  <c r="OM22" i="4"/>
  <c r="OK22" i="4"/>
  <c r="Q22" i="4"/>
  <c r="DK22" i="4" s="1"/>
  <c r="G22" i="4"/>
  <c r="J22" i="4" s="1"/>
  <c r="AV22" i="4"/>
  <c r="AY22" i="4" s="1"/>
  <c r="MP11" i="12"/>
  <c r="MR11" i="12"/>
  <c r="MS11" i="12"/>
  <c r="MQ11" i="12"/>
  <c r="F11" i="12"/>
  <c r="AL11" i="12"/>
  <c r="G11" i="12"/>
  <c r="LX12" i="12"/>
  <c r="MR12" i="12"/>
  <c r="MQ12" i="12"/>
  <c r="F12" i="12"/>
  <c r="MP12" i="12"/>
  <c r="MS12" i="12"/>
  <c r="AL12" i="12"/>
  <c r="G12" i="12"/>
  <c r="MR22" i="6"/>
  <c r="MP22" i="6"/>
  <c r="LX22" i="6"/>
  <c r="MS22" i="6"/>
  <c r="MQ22" i="6"/>
  <c r="AL22" i="6"/>
  <c r="L22" i="6" s="1"/>
  <c r="G22" i="6"/>
  <c r="F22" i="6"/>
  <c r="BH12" i="6"/>
  <c r="MR8" i="6"/>
  <c r="MP8" i="6"/>
  <c r="LX8" i="6"/>
  <c r="MS8" i="6"/>
  <c r="CD8" i="6"/>
  <c r="MQ8" i="6"/>
  <c r="F8" i="6"/>
  <c r="AL8" i="6"/>
  <c r="G8" i="6"/>
  <c r="BH14" i="6"/>
  <c r="MP14" i="6"/>
  <c r="AL14" i="6"/>
  <c r="LX14" i="6"/>
  <c r="CD14" i="6"/>
  <c r="MS14" i="6"/>
  <c r="MQ14" i="6"/>
  <c r="MR14" i="6"/>
  <c r="F14" i="6"/>
  <c r="G14" i="6"/>
  <c r="CD12" i="6"/>
  <c r="CD13" i="6"/>
  <c r="MR13" i="6"/>
  <c r="MP13" i="6"/>
  <c r="AL13" i="6"/>
  <c r="LX13" i="6"/>
  <c r="BH13" i="6"/>
  <c r="MQ13" i="6"/>
  <c r="F13" i="6"/>
  <c r="MS13" i="6"/>
  <c r="G13" i="6"/>
  <c r="MR5" i="6"/>
  <c r="MR12" i="6"/>
  <c r="LX12" i="6"/>
  <c r="MQ12" i="6"/>
  <c r="MP12" i="6"/>
  <c r="F12" i="6"/>
  <c r="AL12" i="6"/>
  <c r="MS12" i="6"/>
  <c r="G12" i="6"/>
  <c r="CD5" i="6"/>
  <c r="AL5" i="6"/>
  <c r="BH5" i="6"/>
  <c r="LX5" i="6"/>
  <c r="MS5" i="6"/>
  <c r="MQ5" i="6"/>
  <c r="MP5" i="6"/>
  <c r="F5" i="6"/>
  <c r="G5" i="6"/>
  <c r="K12" i="12" l="1"/>
  <c r="L11" i="12"/>
  <c r="M11" i="12"/>
  <c r="CF11" i="12"/>
  <c r="N11" i="12" s="1"/>
  <c r="CE13" i="6"/>
  <c r="L14" i="6"/>
  <c r="CF14" i="6" s="1"/>
  <c r="CE22" i="6"/>
  <c r="L8" i="6"/>
  <c r="M8" i="6" s="1"/>
  <c r="L12" i="6"/>
  <c r="K8" i="6"/>
  <c r="L12" i="12"/>
  <c r="L5" i="6"/>
  <c r="M5" i="6" s="1"/>
  <c r="L13" i="6"/>
  <c r="M22" i="6"/>
  <c r="CF22" i="6"/>
  <c r="M13" i="6"/>
  <c r="CF13" i="6"/>
  <c r="M12" i="6"/>
  <c r="CF12" i="6"/>
  <c r="M14" i="6"/>
  <c r="CF8" i="6"/>
  <c r="MT11" i="12"/>
  <c r="R20" i="4"/>
  <c r="OP22" i="4"/>
  <c r="K20" i="4"/>
  <c r="DJ20" i="4" s="1"/>
  <c r="MT5" i="8"/>
  <c r="H5" i="8"/>
  <c r="I5" i="8" s="1"/>
  <c r="CE5" i="8"/>
  <c r="N5" i="8" s="1"/>
  <c r="K5" i="8"/>
  <c r="M5" i="8"/>
  <c r="OP20" i="4"/>
  <c r="H22" i="4"/>
  <c r="A22" i="4" s="1" a="1"/>
  <c r="A22" i="4" s="1"/>
  <c r="J20" i="4"/>
  <c r="A20" i="4" a="1"/>
  <c r="A20" i="4" s="1"/>
  <c r="I20" i="4"/>
  <c r="R22" i="4"/>
  <c r="K22" i="4"/>
  <c r="L22" i="4" s="1"/>
  <c r="F22" i="4"/>
  <c r="H11" i="12"/>
  <c r="I11" i="12" s="1"/>
  <c r="A11" i="12"/>
  <c r="H12" i="12"/>
  <c r="I12" i="12" s="1"/>
  <c r="MT12" i="12"/>
  <c r="A12" i="12"/>
  <c r="MT22" i="6"/>
  <c r="H22" i="6"/>
  <c r="I22" i="6" s="1"/>
  <c r="MT8" i="6"/>
  <c r="H8" i="6"/>
  <c r="I8" i="6" s="1"/>
  <c r="MT13" i="6"/>
  <c r="MT5" i="6"/>
  <c r="MT14" i="6"/>
  <c r="H14" i="6"/>
  <c r="I14" i="6" s="1"/>
  <c r="A14" i="6"/>
  <c r="H13" i="6"/>
  <c r="I13" i="6" s="1"/>
  <c r="A13" i="6"/>
  <c r="MT12" i="6"/>
  <c r="H12" i="6"/>
  <c r="I12" i="6" s="1"/>
  <c r="H5" i="6"/>
  <c r="I5" i="6" s="1"/>
  <c r="P11" i="12" l="1"/>
  <c r="O11" i="12"/>
  <c r="M12" i="12"/>
  <c r="E12" i="12" s="1"/>
  <c r="CF12" i="12"/>
  <c r="N12" i="12" s="1"/>
  <c r="CF5" i="6"/>
  <c r="O20" i="4"/>
  <c r="DI20" i="4" s="1"/>
  <c r="O22" i="4"/>
  <c r="P22" i="4" s="1"/>
  <c r="M20" i="4"/>
  <c r="DH20" i="4" s="1"/>
  <c r="M22" i="4"/>
  <c r="N22" i="4" s="1"/>
  <c r="L20" i="4"/>
  <c r="N20" i="4" s="1"/>
  <c r="E11" i="12"/>
  <c r="DJ22" i="4"/>
  <c r="E5" i="8"/>
  <c r="O5" i="8"/>
  <c r="P5" i="8"/>
  <c r="I22" i="4"/>
  <c r="DH22" i="4"/>
  <c r="N22" i="6"/>
  <c r="N14" i="6"/>
  <c r="N12" i="6"/>
  <c r="O12" i="12" l="1"/>
  <c r="P12" i="12"/>
  <c r="O12" i="6"/>
  <c r="P12" i="6"/>
  <c r="O22" i="6"/>
  <c r="P22" i="6"/>
  <c r="O14" i="6"/>
  <c r="P14" i="6"/>
  <c r="DI22" i="4"/>
  <c r="S22" i="4" s="1"/>
  <c r="E22" i="4" s="1"/>
  <c r="P20" i="4"/>
  <c r="N13" i="6"/>
  <c r="N5" i="6"/>
  <c r="P5" i="6" s="1"/>
  <c r="E14" i="6"/>
  <c r="N8" i="6"/>
  <c r="P8" i="6" s="1"/>
  <c r="S20" i="4"/>
  <c r="U20" i="4" s="1"/>
  <c r="E22" i="6"/>
  <c r="A22" i="6" s="1"/>
  <c r="E12" i="6"/>
  <c r="A12" i="6" s="1"/>
  <c r="O13" i="6" l="1"/>
  <c r="P13" i="6"/>
  <c r="O5" i="6"/>
  <c r="E8" i="6"/>
  <c r="O8" i="6"/>
  <c r="E13" i="6"/>
  <c r="E5" i="6"/>
  <c r="T20" i="4"/>
  <c r="E20" i="4"/>
  <c r="T22" i="4"/>
  <c r="U22" i="4"/>
  <c r="BG10" i="12" l="1"/>
  <c r="BF10" i="12"/>
  <c r="BE10" i="12"/>
  <c r="BD10" i="12"/>
  <c r="BG9" i="12"/>
  <c r="BF9" i="12"/>
  <c r="BE9" i="12"/>
  <c r="BD9" i="12"/>
  <c r="BG5" i="12"/>
  <c r="BF5" i="12"/>
  <c r="BE5" i="12"/>
  <c r="BD5" i="12"/>
  <c r="BG4" i="12"/>
  <c r="BF4" i="12"/>
  <c r="BE4" i="12"/>
  <c r="BD4" i="12"/>
  <c r="BG14" i="12"/>
  <c r="BF14" i="12"/>
  <c r="BE14" i="12"/>
  <c r="BD14" i="12"/>
  <c r="BG13" i="12"/>
  <c r="BF13" i="12"/>
  <c r="BE13" i="12"/>
  <c r="BD13" i="12"/>
  <c r="BG16" i="12"/>
  <c r="BF16" i="12"/>
  <c r="BE16" i="12"/>
  <c r="BD16" i="12"/>
  <c r="BG6" i="12"/>
  <c r="BF6" i="12"/>
  <c r="BE6" i="12"/>
  <c r="BD6" i="12"/>
  <c r="BG15" i="12"/>
  <c r="BF15" i="12"/>
  <c r="BE15" i="12"/>
  <c r="BH15" i="12" s="1"/>
  <c r="BD15" i="12"/>
  <c r="BG7" i="12"/>
  <c r="BF7" i="12"/>
  <c r="BE7" i="12"/>
  <c r="BD7" i="12"/>
  <c r="BG8" i="12"/>
  <c r="BF8" i="12"/>
  <c r="BE8" i="12"/>
  <c r="BH8" i="12" s="1"/>
  <c r="BD8" i="12"/>
  <c r="AK10" i="12"/>
  <c r="AJ10" i="12"/>
  <c r="AI10" i="12"/>
  <c r="AH10" i="12"/>
  <c r="AK9" i="12"/>
  <c r="AJ9" i="12"/>
  <c r="AI9" i="12"/>
  <c r="AH9" i="12"/>
  <c r="AK5" i="12"/>
  <c r="AJ5" i="12"/>
  <c r="AI5" i="12"/>
  <c r="AH5" i="12"/>
  <c r="AK4" i="12"/>
  <c r="AJ4" i="12"/>
  <c r="AI4" i="12"/>
  <c r="AH4" i="12"/>
  <c r="AK14" i="12"/>
  <c r="AJ14" i="12"/>
  <c r="AI14" i="12"/>
  <c r="AH14" i="12"/>
  <c r="AK13" i="12"/>
  <c r="AJ13" i="12"/>
  <c r="AI13" i="12"/>
  <c r="AH13" i="12"/>
  <c r="AK16" i="12"/>
  <c r="AJ16" i="12"/>
  <c r="AI16" i="12"/>
  <c r="AH16" i="12"/>
  <c r="AK6" i="12"/>
  <c r="AJ6" i="12"/>
  <c r="AI6" i="12"/>
  <c r="AH6" i="12"/>
  <c r="AK15" i="12"/>
  <c r="AJ15" i="12"/>
  <c r="AI15" i="12"/>
  <c r="AH15" i="12"/>
  <c r="AK7" i="12"/>
  <c r="AJ7" i="12"/>
  <c r="AI7" i="12"/>
  <c r="AH7" i="12"/>
  <c r="AK8" i="12"/>
  <c r="AJ8" i="12"/>
  <c r="AI8" i="12"/>
  <c r="AH8" i="12"/>
  <c r="BG21" i="6"/>
  <c r="BF21" i="6"/>
  <c r="BE21" i="6"/>
  <c r="BH21" i="6" s="1"/>
  <c r="BD21" i="6"/>
  <c r="BG23" i="6"/>
  <c r="BF23" i="6"/>
  <c r="BE23" i="6"/>
  <c r="BD23" i="6"/>
  <c r="BG17" i="6"/>
  <c r="BF17" i="6"/>
  <c r="BE17" i="6"/>
  <c r="BH17" i="6" s="1"/>
  <c r="BD17" i="6"/>
  <c r="BG19" i="6"/>
  <c r="BF19" i="6"/>
  <c r="BE19" i="6"/>
  <c r="BD19" i="6"/>
  <c r="BG18" i="6"/>
  <c r="BF18" i="6"/>
  <c r="BE18" i="6"/>
  <c r="BD18" i="6"/>
  <c r="BG7" i="6"/>
  <c r="BF7" i="6"/>
  <c r="BE7" i="6"/>
  <c r="BD7" i="6"/>
  <c r="BG15" i="6"/>
  <c r="BF15" i="6"/>
  <c r="BE15" i="6"/>
  <c r="BD15" i="6"/>
  <c r="BG20" i="6"/>
  <c r="BF20" i="6"/>
  <c r="BE20" i="6"/>
  <c r="BD20" i="6"/>
  <c r="BG16" i="6"/>
  <c r="BF16" i="6"/>
  <c r="BE16" i="6"/>
  <c r="BD16" i="6"/>
  <c r="BG11" i="6"/>
  <c r="BF11" i="6"/>
  <c r="BE11" i="6"/>
  <c r="BD11" i="6"/>
  <c r="BG6" i="6"/>
  <c r="BF6" i="6"/>
  <c r="BE6" i="6"/>
  <c r="BD6" i="6"/>
  <c r="BG10" i="6"/>
  <c r="BF10" i="6"/>
  <c r="BE10" i="6"/>
  <c r="BD10" i="6"/>
  <c r="BG4" i="6"/>
  <c r="BF4" i="6"/>
  <c r="BE4" i="6"/>
  <c r="BD4" i="6"/>
  <c r="BG9" i="6"/>
  <c r="BF9" i="6"/>
  <c r="BE9" i="6"/>
  <c r="BD9" i="6"/>
  <c r="AK21" i="6"/>
  <c r="AJ21" i="6"/>
  <c r="AI21" i="6"/>
  <c r="AH21" i="6"/>
  <c r="AK23" i="6"/>
  <c r="AJ23" i="6"/>
  <c r="AI23" i="6"/>
  <c r="AH23" i="6"/>
  <c r="AK17" i="6"/>
  <c r="AJ17" i="6"/>
  <c r="AI17" i="6"/>
  <c r="AH17" i="6"/>
  <c r="AK19" i="6"/>
  <c r="AJ19" i="6"/>
  <c r="AI19" i="6"/>
  <c r="AH19" i="6"/>
  <c r="AK18" i="6"/>
  <c r="AJ18" i="6"/>
  <c r="AI18" i="6"/>
  <c r="AH18" i="6"/>
  <c r="AK7" i="6"/>
  <c r="AJ7" i="6"/>
  <c r="AI7" i="6"/>
  <c r="AH7" i="6"/>
  <c r="AK15" i="6"/>
  <c r="AJ15" i="6"/>
  <c r="AI15" i="6"/>
  <c r="AH15" i="6"/>
  <c r="AK20" i="6"/>
  <c r="AJ20" i="6"/>
  <c r="AI20" i="6"/>
  <c r="AH20" i="6"/>
  <c r="AK16" i="6"/>
  <c r="AJ16" i="6"/>
  <c r="AI16" i="6"/>
  <c r="AH16" i="6"/>
  <c r="AK11" i="6"/>
  <c r="AJ11" i="6"/>
  <c r="AI11" i="6"/>
  <c r="AH11" i="6"/>
  <c r="AK6" i="6"/>
  <c r="AJ6" i="6"/>
  <c r="AI6" i="6"/>
  <c r="AH6" i="6"/>
  <c r="AK10" i="6"/>
  <c r="AJ10" i="6"/>
  <c r="AI10" i="6"/>
  <c r="AH10" i="6"/>
  <c r="AK4" i="6"/>
  <c r="AJ4" i="6"/>
  <c r="AI4" i="6"/>
  <c r="AH4" i="6"/>
  <c r="AK9" i="6"/>
  <c r="AJ9" i="6"/>
  <c r="AI9" i="6"/>
  <c r="AH9" i="6"/>
  <c r="BG7" i="8"/>
  <c r="BE7" i="8"/>
  <c r="BH7" i="8" s="1"/>
  <c r="BD7" i="8"/>
  <c r="BG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7" i="7"/>
  <c r="BF7" i="7"/>
  <c r="BE7" i="7"/>
  <c r="BD7" i="7"/>
  <c r="BG6" i="7"/>
  <c r="BF6" i="7"/>
  <c r="BE6" i="7"/>
  <c r="BD6" i="7"/>
  <c r="BG5" i="7"/>
  <c r="BF5" i="7"/>
  <c r="BE5" i="7"/>
  <c r="BD5" i="7"/>
  <c r="BG8" i="7"/>
  <c r="BF8" i="7"/>
  <c r="BE8" i="7"/>
  <c r="BD8" i="7"/>
  <c r="BG4" i="7"/>
  <c r="BF4" i="7"/>
  <c r="BE4" i="7"/>
  <c r="BD4" i="7"/>
  <c r="AK7" i="7"/>
  <c r="AJ7" i="7"/>
  <c r="AI7" i="7"/>
  <c r="AH7" i="7"/>
  <c r="AK6" i="7"/>
  <c r="AJ6" i="7"/>
  <c r="AI6" i="7"/>
  <c r="AH6" i="7"/>
  <c r="AK5" i="7"/>
  <c r="AJ5" i="7"/>
  <c r="AI5" i="7"/>
  <c r="AH5" i="7"/>
  <c r="AK8" i="7"/>
  <c r="AJ8" i="7"/>
  <c r="AI8" i="7"/>
  <c r="AH8" i="7"/>
  <c r="AK4" i="7"/>
  <c r="AJ4" i="7"/>
  <c r="AI4" i="7"/>
  <c r="AH4" i="7"/>
  <c r="BN8" i="14"/>
  <c r="BM8" i="14"/>
  <c r="BK8" i="14"/>
  <c r="BJ8" i="14"/>
  <c r="BI8" i="14"/>
  <c r="BN7" i="14"/>
  <c r="BM7" i="14"/>
  <c r="BK7" i="14"/>
  <c r="BJ7" i="14"/>
  <c r="BI7" i="14"/>
  <c r="BN6" i="14"/>
  <c r="BM6" i="14"/>
  <c r="BK6" i="14"/>
  <c r="BJ6" i="14"/>
  <c r="BI6" i="14"/>
  <c r="BN9" i="14"/>
  <c r="BM9" i="14"/>
  <c r="BK9" i="14"/>
  <c r="BJ9" i="14"/>
  <c r="BI9" i="14"/>
  <c r="BN5" i="14"/>
  <c r="BM5" i="14"/>
  <c r="BK5" i="14"/>
  <c r="BJ5" i="14"/>
  <c r="BI5" i="14"/>
  <c r="BN4" i="14"/>
  <c r="BM4" i="14"/>
  <c r="BK4" i="14"/>
  <c r="BJ4" i="14"/>
  <c r="BI4" i="14"/>
  <c r="AQ8" i="14"/>
  <c r="AP8" i="14"/>
  <c r="AN8" i="14"/>
  <c r="AM8" i="14"/>
  <c r="AL8" i="14"/>
  <c r="AQ7" i="14"/>
  <c r="AP7" i="14"/>
  <c r="AN7" i="14"/>
  <c r="AM7" i="14"/>
  <c r="AL7" i="14"/>
  <c r="AQ6" i="14"/>
  <c r="AP6" i="14"/>
  <c r="AN6" i="14"/>
  <c r="AM6" i="14"/>
  <c r="AL6" i="14"/>
  <c r="AQ9" i="14"/>
  <c r="AP9" i="14"/>
  <c r="AN9" i="14"/>
  <c r="AM9" i="14"/>
  <c r="AL9" i="14"/>
  <c r="AQ5" i="14"/>
  <c r="AP5" i="14"/>
  <c r="AN5" i="14"/>
  <c r="AM5" i="14"/>
  <c r="AL5" i="14"/>
  <c r="AQ4" i="14"/>
  <c r="AP4" i="14"/>
  <c r="AN4" i="14"/>
  <c r="AM4" i="14"/>
  <c r="AL4" i="14"/>
  <c r="BN9" i="9"/>
  <c r="BM9" i="9"/>
  <c r="BK9" i="9"/>
  <c r="BJ9" i="9"/>
  <c r="BI9" i="9"/>
  <c r="BN8" i="9"/>
  <c r="BM8" i="9"/>
  <c r="BK8" i="9"/>
  <c r="BJ8" i="9"/>
  <c r="BL8" i="9" s="1"/>
  <c r="BI8" i="9"/>
  <c r="BN5" i="9"/>
  <c r="BM5" i="9"/>
  <c r="BK5" i="9"/>
  <c r="BJ5" i="9"/>
  <c r="BL5" i="9" s="1"/>
  <c r="BI5" i="9"/>
  <c r="BN7" i="9"/>
  <c r="BM7" i="9"/>
  <c r="BK7" i="9"/>
  <c r="BJ7" i="9"/>
  <c r="BI7" i="9"/>
  <c r="BN10" i="9"/>
  <c r="BM10" i="9"/>
  <c r="BK10" i="9"/>
  <c r="BJ10" i="9"/>
  <c r="BI10" i="9"/>
  <c r="BN6" i="9"/>
  <c r="BM6" i="9"/>
  <c r="BK6" i="9"/>
  <c r="BJ6" i="9"/>
  <c r="BI6" i="9"/>
  <c r="BN4" i="9"/>
  <c r="BM4" i="9"/>
  <c r="BK4" i="9"/>
  <c r="BJ4" i="9"/>
  <c r="BI4" i="9"/>
  <c r="AQ9" i="9"/>
  <c r="AP9" i="9"/>
  <c r="AN9" i="9"/>
  <c r="AM9" i="9"/>
  <c r="AL9" i="9"/>
  <c r="AQ8" i="9"/>
  <c r="AP8" i="9"/>
  <c r="AN8" i="9"/>
  <c r="AM8" i="9"/>
  <c r="AL8" i="9"/>
  <c r="AQ5" i="9"/>
  <c r="AP5" i="9"/>
  <c r="AN5" i="9"/>
  <c r="AM5" i="9"/>
  <c r="AL5" i="9"/>
  <c r="AQ7" i="9"/>
  <c r="AP7" i="9"/>
  <c r="AN7" i="9"/>
  <c r="AM7" i="9"/>
  <c r="AL7" i="9"/>
  <c r="AQ10" i="9"/>
  <c r="AP10" i="9"/>
  <c r="AN10" i="9"/>
  <c r="AM10" i="9"/>
  <c r="AL10" i="9"/>
  <c r="AQ6" i="9"/>
  <c r="AP6" i="9"/>
  <c r="AN6" i="9"/>
  <c r="AM6" i="9"/>
  <c r="AL6" i="9"/>
  <c r="AQ4" i="9"/>
  <c r="AP4" i="9"/>
  <c r="AN4" i="9"/>
  <c r="AM4" i="9"/>
  <c r="AL4" i="9"/>
  <c r="CB17" i="13"/>
  <c r="CA17" i="13"/>
  <c r="BY17" i="13"/>
  <c r="BX17" i="13"/>
  <c r="BW17" i="13"/>
  <c r="BV17" i="13"/>
  <c r="BU17" i="13"/>
  <c r="CB16" i="13"/>
  <c r="CA16" i="13"/>
  <c r="BY16" i="13"/>
  <c r="BX16" i="13"/>
  <c r="BW16" i="13"/>
  <c r="BV16" i="13"/>
  <c r="BU16" i="13"/>
  <c r="CB11" i="13"/>
  <c r="CA11" i="13"/>
  <c r="BY11" i="13"/>
  <c r="BX11" i="13"/>
  <c r="BW11" i="13"/>
  <c r="BV11" i="13"/>
  <c r="BU11" i="13"/>
  <c r="CB15" i="13"/>
  <c r="CA15" i="13"/>
  <c r="BY15" i="13"/>
  <c r="BX15" i="13"/>
  <c r="BW15" i="13"/>
  <c r="BV15" i="13"/>
  <c r="BU15" i="13"/>
  <c r="CB12" i="13"/>
  <c r="CA12" i="13"/>
  <c r="BY12" i="13"/>
  <c r="BX12" i="13"/>
  <c r="BW12" i="13"/>
  <c r="BV12" i="13"/>
  <c r="BU12" i="13"/>
  <c r="CB14" i="13"/>
  <c r="CA14" i="13"/>
  <c r="BY14" i="13"/>
  <c r="BX14" i="13"/>
  <c r="BW14" i="13"/>
  <c r="BV14" i="13"/>
  <c r="BU14" i="13"/>
  <c r="CB10" i="13"/>
  <c r="CA10" i="13"/>
  <c r="BY10" i="13"/>
  <c r="BX10" i="13"/>
  <c r="BW10" i="13"/>
  <c r="BV10" i="13"/>
  <c r="BU10" i="13"/>
  <c r="CB13" i="13"/>
  <c r="CA13" i="13"/>
  <c r="BY13" i="13"/>
  <c r="BX13" i="13"/>
  <c r="BW13" i="13"/>
  <c r="BV13" i="13"/>
  <c r="BU13" i="13"/>
  <c r="CB9" i="13"/>
  <c r="CA9" i="13"/>
  <c r="BY9" i="13"/>
  <c r="BX9" i="13"/>
  <c r="BW9" i="13"/>
  <c r="BV9" i="13"/>
  <c r="BU9" i="13"/>
  <c r="CB8" i="13"/>
  <c r="CA8" i="13"/>
  <c r="BY8" i="13"/>
  <c r="BX8" i="13"/>
  <c r="BW8" i="13"/>
  <c r="BV8" i="13"/>
  <c r="BU8" i="13"/>
  <c r="BZ8" i="13" s="1"/>
  <c r="CB6" i="13"/>
  <c r="CA6" i="13"/>
  <c r="BY6" i="13"/>
  <c r="BX6" i="13"/>
  <c r="BW6" i="13"/>
  <c r="BV6" i="13"/>
  <c r="BU6" i="13"/>
  <c r="CB7" i="13"/>
  <c r="CA7" i="13"/>
  <c r="BY7" i="13"/>
  <c r="BX7" i="13"/>
  <c r="BW7" i="13"/>
  <c r="BV7" i="13"/>
  <c r="BU7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7" i="13"/>
  <c r="AW17" i="13"/>
  <c r="AU17" i="13"/>
  <c r="AT17" i="13"/>
  <c r="AS17" i="13"/>
  <c r="AR17" i="13"/>
  <c r="AQ17" i="13"/>
  <c r="AX16" i="13"/>
  <c r="AW16" i="13"/>
  <c r="AU16" i="13"/>
  <c r="AT16" i="13"/>
  <c r="AS16" i="13"/>
  <c r="AR16" i="13"/>
  <c r="AQ16" i="13"/>
  <c r="AX11" i="13"/>
  <c r="AW11" i="13"/>
  <c r="AU11" i="13"/>
  <c r="AT11" i="13"/>
  <c r="AS11" i="13"/>
  <c r="AR11" i="13"/>
  <c r="AQ11" i="13"/>
  <c r="AX15" i="13"/>
  <c r="AW15" i="13"/>
  <c r="AU15" i="13"/>
  <c r="AT15" i="13"/>
  <c r="AS15" i="13"/>
  <c r="AR15" i="13"/>
  <c r="AQ15" i="13"/>
  <c r="AX12" i="13"/>
  <c r="AW12" i="13"/>
  <c r="AU12" i="13"/>
  <c r="AT12" i="13"/>
  <c r="AS12" i="13"/>
  <c r="AR12" i="13"/>
  <c r="AQ12" i="13"/>
  <c r="AX14" i="13"/>
  <c r="AW14" i="13"/>
  <c r="AU14" i="13"/>
  <c r="AT14" i="13"/>
  <c r="AS14" i="13"/>
  <c r="AR14" i="13"/>
  <c r="AQ14" i="13"/>
  <c r="AX10" i="13"/>
  <c r="AW10" i="13"/>
  <c r="AU10" i="13"/>
  <c r="AT10" i="13"/>
  <c r="AS10" i="13"/>
  <c r="AR10" i="13"/>
  <c r="AQ10" i="13"/>
  <c r="AX13" i="13"/>
  <c r="AW13" i="13"/>
  <c r="AU13" i="13"/>
  <c r="AT13" i="13"/>
  <c r="AS13" i="13"/>
  <c r="AR13" i="13"/>
  <c r="AQ13" i="13"/>
  <c r="AX9" i="13"/>
  <c r="AW9" i="13"/>
  <c r="AU9" i="13"/>
  <c r="AT9" i="13"/>
  <c r="AS9" i="13"/>
  <c r="AR9" i="13"/>
  <c r="AQ9" i="13"/>
  <c r="AX8" i="13"/>
  <c r="AW8" i="13"/>
  <c r="AU8" i="13"/>
  <c r="AT8" i="13"/>
  <c r="AS8" i="13"/>
  <c r="AR8" i="13"/>
  <c r="AQ8" i="13"/>
  <c r="AX6" i="13"/>
  <c r="AW6" i="13"/>
  <c r="AU6" i="13"/>
  <c r="AT6" i="13"/>
  <c r="AS6" i="13"/>
  <c r="AR6" i="13"/>
  <c r="AQ6" i="13"/>
  <c r="AX7" i="13"/>
  <c r="AW7" i="13"/>
  <c r="AU7" i="13"/>
  <c r="AT7" i="13"/>
  <c r="AS7" i="13"/>
  <c r="AR7" i="13"/>
  <c r="AQ7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26" i="4"/>
  <c r="CA26" i="4"/>
  <c r="BY26" i="4"/>
  <c r="BX26" i="4"/>
  <c r="BW26" i="4"/>
  <c r="BV26" i="4"/>
  <c r="BU26" i="4"/>
  <c r="CB24" i="4"/>
  <c r="CA24" i="4"/>
  <c r="BY24" i="4"/>
  <c r="BX24" i="4"/>
  <c r="BW24" i="4"/>
  <c r="BV24" i="4"/>
  <c r="BU24" i="4"/>
  <c r="CB25" i="4"/>
  <c r="CA25" i="4"/>
  <c r="BY25" i="4"/>
  <c r="BX25" i="4"/>
  <c r="BW25" i="4"/>
  <c r="BV25" i="4"/>
  <c r="BU25" i="4"/>
  <c r="CB17" i="4"/>
  <c r="CA17" i="4"/>
  <c r="BY17" i="4"/>
  <c r="BX17" i="4"/>
  <c r="BW17" i="4"/>
  <c r="BV17" i="4"/>
  <c r="BU17" i="4"/>
  <c r="CB21" i="4"/>
  <c r="CA21" i="4"/>
  <c r="BY21" i="4"/>
  <c r="BX21" i="4"/>
  <c r="BW21" i="4"/>
  <c r="BV21" i="4"/>
  <c r="BU21" i="4"/>
  <c r="CB19" i="4"/>
  <c r="CA19" i="4"/>
  <c r="BY19" i="4"/>
  <c r="BX19" i="4"/>
  <c r="BW19" i="4"/>
  <c r="BV19" i="4"/>
  <c r="BU19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7" i="4"/>
  <c r="CA7" i="4"/>
  <c r="BY7" i="4"/>
  <c r="BX7" i="4"/>
  <c r="BW7" i="4"/>
  <c r="BV7" i="4"/>
  <c r="BU7" i="4"/>
  <c r="CB12" i="4"/>
  <c r="CA12" i="4"/>
  <c r="BY12" i="4"/>
  <c r="BX12" i="4"/>
  <c r="BW12" i="4"/>
  <c r="BV12" i="4"/>
  <c r="BU12" i="4"/>
  <c r="CB23" i="4"/>
  <c r="CA23" i="4"/>
  <c r="BY23" i="4"/>
  <c r="BX23" i="4"/>
  <c r="BW23" i="4"/>
  <c r="BV23" i="4"/>
  <c r="BU23" i="4"/>
  <c r="CB11" i="4"/>
  <c r="CA11" i="4"/>
  <c r="BY11" i="4"/>
  <c r="BX11" i="4"/>
  <c r="BW11" i="4"/>
  <c r="BV11" i="4"/>
  <c r="BU11" i="4"/>
  <c r="CB9" i="4"/>
  <c r="CA9" i="4"/>
  <c r="BY9" i="4"/>
  <c r="BX9" i="4"/>
  <c r="BW9" i="4"/>
  <c r="BV9" i="4"/>
  <c r="BU9" i="4"/>
  <c r="CB10" i="4"/>
  <c r="CA10" i="4"/>
  <c r="BY10" i="4"/>
  <c r="BX10" i="4"/>
  <c r="BW10" i="4"/>
  <c r="BV10" i="4"/>
  <c r="BU10" i="4"/>
  <c r="CB16" i="4"/>
  <c r="CA16" i="4"/>
  <c r="BY16" i="4"/>
  <c r="BX16" i="4"/>
  <c r="BW16" i="4"/>
  <c r="BV16" i="4"/>
  <c r="BU16" i="4"/>
  <c r="CB8" i="4"/>
  <c r="CA8" i="4"/>
  <c r="BY8" i="4"/>
  <c r="BX8" i="4"/>
  <c r="BW8" i="4"/>
  <c r="BV8" i="4"/>
  <c r="BU8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26" i="4"/>
  <c r="AW26" i="4"/>
  <c r="AU26" i="4"/>
  <c r="AT26" i="4"/>
  <c r="AS26" i="4"/>
  <c r="AR26" i="4"/>
  <c r="AQ26" i="4"/>
  <c r="AX24" i="4"/>
  <c r="AW24" i="4"/>
  <c r="AU24" i="4"/>
  <c r="AT24" i="4"/>
  <c r="AS24" i="4"/>
  <c r="AR24" i="4"/>
  <c r="AQ24" i="4"/>
  <c r="AX25" i="4"/>
  <c r="AW25" i="4"/>
  <c r="AU25" i="4"/>
  <c r="AT25" i="4"/>
  <c r="AS25" i="4"/>
  <c r="AR25" i="4"/>
  <c r="AQ25" i="4"/>
  <c r="AX17" i="4"/>
  <c r="AW17" i="4"/>
  <c r="AU17" i="4"/>
  <c r="AT17" i="4"/>
  <c r="AS17" i="4"/>
  <c r="AR17" i="4"/>
  <c r="AQ17" i="4"/>
  <c r="AX21" i="4"/>
  <c r="AW21" i="4"/>
  <c r="AU21" i="4"/>
  <c r="AT21" i="4"/>
  <c r="AS21" i="4"/>
  <c r="AR21" i="4"/>
  <c r="AQ21" i="4"/>
  <c r="AX19" i="4"/>
  <c r="AW19" i="4"/>
  <c r="AU19" i="4"/>
  <c r="AT19" i="4"/>
  <c r="AS19" i="4"/>
  <c r="AR19" i="4"/>
  <c r="AQ19" i="4"/>
  <c r="AX18" i="4"/>
  <c r="AW18" i="4"/>
  <c r="AU18" i="4"/>
  <c r="AT18" i="4"/>
  <c r="AS18" i="4"/>
  <c r="AR18" i="4"/>
  <c r="AQ18" i="4"/>
  <c r="AV18" i="4" s="1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7" i="4"/>
  <c r="AW7" i="4"/>
  <c r="AU7" i="4"/>
  <c r="AT7" i="4"/>
  <c r="AS7" i="4"/>
  <c r="AR7" i="4"/>
  <c r="AQ7" i="4"/>
  <c r="AX12" i="4"/>
  <c r="AW12" i="4"/>
  <c r="AU12" i="4"/>
  <c r="AT12" i="4"/>
  <c r="AS12" i="4"/>
  <c r="AR12" i="4"/>
  <c r="AQ12" i="4"/>
  <c r="AX23" i="4"/>
  <c r="AW23" i="4"/>
  <c r="AU23" i="4"/>
  <c r="AT23" i="4"/>
  <c r="AS23" i="4"/>
  <c r="AR23" i="4"/>
  <c r="AQ23" i="4"/>
  <c r="AX11" i="4"/>
  <c r="AW11" i="4"/>
  <c r="AU11" i="4"/>
  <c r="AT11" i="4"/>
  <c r="AS11" i="4"/>
  <c r="AR11" i="4"/>
  <c r="AQ11" i="4"/>
  <c r="AX9" i="4"/>
  <c r="AW9" i="4"/>
  <c r="AU9" i="4"/>
  <c r="AT9" i="4"/>
  <c r="AS9" i="4"/>
  <c r="AR9" i="4"/>
  <c r="AQ9" i="4"/>
  <c r="AX10" i="4"/>
  <c r="AW10" i="4"/>
  <c r="AU10" i="4"/>
  <c r="AT10" i="4"/>
  <c r="AS10" i="4"/>
  <c r="AR10" i="4"/>
  <c r="AQ10" i="4"/>
  <c r="AX16" i="4"/>
  <c r="AW16" i="4"/>
  <c r="AU16" i="4"/>
  <c r="AT16" i="4"/>
  <c r="AS16" i="4"/>
  <c r="AR16" i="4"/>
  <c r="AQ16" i="4"/>
  <c r="AX8" i="4"/>
  <c r="AW8" i="4"/>
  <c r="AU8" i="4"/>
  <c r="AT8" i="4"/>
  <c r="AS8" i="4"/>
  <c r="AR8" i="4"/>
  <c r="AQ8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BZ17" i="6"/>
  <c r="CA17" i="6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5" i="12"/>
  <c r="CA5" i="12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7"/>
  <c r="CA5" i="7"/>
  <c r="CB5" i="7"/>
  <c r="CC5" i="7"/>
  <c r="LT5" i="7"/>
  <c r="LU5" i="7"/>
  <c r="LV5" i="7"/>
  <c r="LW5" i="7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6" i="13"/>
  <c r="CZ16" i="13"/>
  <c r="DA16" i="13"/>
  <c r="DB16" i="13"/>
  <c r="DC16" i="13"/>
  <c r="DE16" i="13"/>
  <c r="DF16" i="13"/>
  <c r="NI16" i="13"/>
  <c r="NJ16" i="13"/>
  <c r="NK16" i="13"/>
  <c r="NM16" i="13"/>
  <c r="NN16" i="13"/>
  <c r="NP16" i="13"/>
  <c r="NQ16" i="13"/>
  <c r="NR16" i="13"/>
  <c r="NS16" i="13"/>
  <c r="NT16" i="13"/>
  <c r="NU16" i="13"/>
  <c r="NV16" i="13"/>
  <c r="NW16" i="13"/>
  <c r="OL16" i="13" s="1"/>
  <c r="NX16" i="13"/>
  <c r="NY16" i="13"/>
  <c r="NZ16" i="13"/>
  <c r="OA16" i="13"/>
  <c r="OB16" i="13"/>
  <c r="ON16" i="13" s="1"/>
  <c r="OC16" i="13"/>
  <c r="OD16" i="13"/>
  <c r="OE16" i="13"/>
  <c r="OF16" i="13"/>
  <c r="OG16" i="13"/>
  <c r="OQ16" i="13" s="1"/>
  <c r="OH16" i="13"/>
  <c r="OI16" i="13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F8" i="14"/>
  <c r="CG8" i="14"/>
  <c r="CH8" i="14"/>
  <c r="CJ8" i="14"/>
  <c r="CK8" i="14"/>
  <c r="MN8" i="14"/>
  <c r="MO8" i="14"/>
  <c r="MP8" i="14"/>
  <c r="MR8" i="14"/>
  <c r="MS8" i="14"/>
  <c r="MU8" i="14"/>
  <c r="MV8" i="14"/>
  <c r="MW8" i="14"/>
  <c r="MX8" i="14"/>
  <c r="MY8" i="14"/>
  <c r="MZ8" i="14"/>
  <c r="NA8" i="14"/>
  <c r="NB8" i="14"/>
  <c r="NC8" i="14"/>
  <c r="ND8" i="14"/>
  <c r="NE8" i="14"/>
  <c r="NF8" i="14"/>
  <c r="NG8" i="14"/>
  <c r="NO8" i="14" s="1"/>
  <c r="NH8" i="14"/>
  <c r="NI8" i="14"/>
  <c r="NK8" i="14"/>
  <c r="CF7" i="14"/>
  <c r="CG7" i="14"/>
  <c r="CH7" i="14"/>
  <c r="CJ7" i="14"/>
  <c r="CK7" i="14"/>
  <c r="MN7" i="14"/>
  <c r="MO7" i="14"/>
  <c r="MP7" i="14"/>
  <c r="MR7" i="14"/>
  <c r="MS7" i="14"/>
  <c r="MU7" i="14"/>
  <c r="MV7" i="14"/>
  <c r="MW7" i="14"/>
  <c r="MX7" i="14"/>
  <c r="MY7" i="14"/>
  <c r="MZ7" i="14"/>
  <c r="NA7" i="14"/>
  <c r="NB7" i="14"/>
  <c r="NK7" i="14" s="1"/>
  <c r="NC7" i="14"/>
  <c r="ND7" i="14"/>
  <c r="NE7" i="14"/>
  <c r="NF7" i="14"/>
  <c r="NG7" i="14"/>
  <c r="NO7" i="14" s="1"/>
  <c r="NH7" i="14"/>
  <c r="NI7" i="14"/>
  <c r="NI6" i="14"/>
  <c r="NH6" i="14"/>
  <c r="NG6" i="14"/>
  <c r="NO6" i="14" s="1"/>
  <c r="NF6" i="14"/>
  <c r="NE6" i="14"/>
  <c r="ND6" i="14"/>
  <c r="NC6" i="14"/>
  <c r="NB6" i="14"/>
  <c r="NK6" i="14" s="1"/>
  <c r="NA6" i="14"/>
  <c r="MZ6" i="14"/>
  <c r="MY6" i="14"/>
  <c r="MX6" i="14"/>
  <c r="MW6" i="14"/>
  <c r="MV6" i="14"/>
  <c r="MU6" i="14"/>
  <c r="MS6" i="14"/>
  <c r="MR6" i="14"/>
  <c r="MP6" i="14"/>
  <c r="MO6" i="14"/>
  <c r="MN6" i="14"/>
  <c r="CK6" i="14"/>
  <c r="CJ6" i="14"/>
  <c r="CH6" i="14"/>
  <c r="CG6" i="14"/>
  <c r="CF6" i="14"/>
  <c r="NI9" i="14"/>
  <c r="NH9" i="14"/>
  <c r="NG9" i="14"/>
  <c r="NO9" i="14" s="1"/>
  <c r="NF9" i="14"/>
  <c r="NE9" i="14"/>
  <c r="ND9" i="14"/>
  <c r="NC9" i="14"/>
  <c r="NB9" i="14"/>
  <c r="NK9" i="14" s="1"/>
  <c r="NA9" i="14"/>
  <c r="MZ9" i="14"/>
  <c r="MY9" i="14"/>
  <c r="MX9" i="14"/>
  <c r="MW9" i="14"/>
  <c r="MV9" i="14"/>
  <c r="MU9" i="14"/>
  <c r="MS9" i="14"/>
  <c r="MR9" i="14"/>
  <c r="MP9" i="14"/>
  <c r="MO9" i="14"/>
  <c r="MN9" i="14"/>
  <c r="CK9" i="14"/>
  <c r="CJ9" i="14"/>
  <c r="CH9" i="14"/>
  <c r="CG9" i="14"/>
  <c r="CF9" i="14"/>
  <c r="NI5" i="14"/>
  <c r="NH5" i="14"/>
  <c r="NG5" i="14"/>
  <c r="NO5" i="14" s="1"/>
  <c r="NF5" i="14"/>
  <c r="NE5" i="14"/>
  <c r="ND5" i="14"/>
  <c r="NC5" i="14"/>
  <c r="NB5" i="14"/>
  <c r="NK5" i="14" s="1"/>
  <c r="NA5" i="14"/>
  <c r="MZ5" i="14"/>
  <c r="MY5" i="14"/>
  <c r="MX5" i="14"/>
  <c r="MW5" i="14"/>
  <c r="MV5" i="14"/>
  <c r="MU5" i="14"/>
  <c r="MS5" i="14"/>
  <c r="MR5" i="14"/>
  <c r="MP5" i="14"/>
  <c r="MO5" i="14"/>
  <c r="MN5" i="14"/>
  <c r="CK5" i="14"/>
  <c r="CJ5" i="14"/>
  <c r="CH5" i="14"/>
  <c r="CG5" i="14"/>
  <c r="CF5" i="1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17" i="13"/>
  <c r="OH17" i="13"/>
  <c r="OG17" i="13"/>
  <c r="OQ17" i="13" s="1"/>
  <c r="OF17" i="13"/>
  <c r="OE17" i="13"/>
  <c r="OD17" i="13"/>
  <c r="OC17" i="13"/>
  <c r="OB17" i="13"/>
  <c r="ON17" i="13" s="1"/>
  <c r="OA17" i="13"/>
  <c r="NZ17" i="13"/>
  <c r="NY17" i="13"/>
  <c r="NX17" i="13"/>
  <c r="NW17" i="13"/>
  <c r="OL17" i="13" s="1"/>
  <c r="NV17" i="13"/>
  <c r="NU17" i="13"/>
  <c r="NT17" i="13"/>
  <c r="NS17" i="13"/>
  <c r="NR17" i="13"/>
  <c r="NQ17" i="13"/>
  <c r="NP17" i="13"/>
  <c r="NN17" i="13"/>
  <c r="NM17" i="13"/>
  <c r="NK17" i="13"/>
  <c r="NJ17" i="13"/>
  <c r="NI17" i="13"/>
  <c r="DF17" i="13"/>
  <c r="DE17" i="13"/>
  <c r="DC17" i="13"/>
  <c r="DB17" i="13"/>
  <c r="DA17" i="13"/>
  <c r="CZ17" i="13"/>
  <c r="CY17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15" i="13"/>
  <c r="OH15" i="13"/>
  <c r="OG15" i="13"/>
  <c r="OQ15" i="13" s="1"/>
  <c r="OF15" i="13"/>
  <c r="OE15" i="13"/>
  <c r="OD15" i="13"/>
  <c r="OC15" i="13"/>
  <c r="OB15" i="13"/>
  <c r="ON15" i="13" s="1"/>
  <c r="OA15" i="13"/>
  <c r="NZ15" i="13"/>
  <c r="NY15" i="13"/>
  <c r="NX15" i="13"/>
  <c r="NW15" i="13"/>
  <c r="OL15" i="13" s="1"/>
  <c r="NV15" i="13"/>
  <c r="NU15" i="13"/>
  <c r="NT15" i="13"/>
  <c r="NS15" i="13"/>
  <c r="NR15" i="13"/>
  <c r="NQ15" i="13"/>
  <c r="NP15" i="13"/>
  <c r="NN15" i="13"/>
  <c r="NM15" i="13"/>
  <c r="NK15" i="13"/>
  <c r="NJ15" i="13"/>
  <c r="NI15" i="13"/>
  <c r="DF15" i="13"/>
  <c r="DE15" i="13"/>
  <c r="DC15" i="13"/>
  <c r="DB15" i="13"/>
  <c r="DA15" i="13"/>
  <c r="CZ15" i="13"/>
  <c r="CY15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4" i="13"/>
  <c r="OH14" i="13"/>
  <c r="OG14" i="13"/>
  <c r="OQ14" i="13" s="1"/>
  <c r="OF14" i="13"/>
  <c r="OE14" i="13"/>
  <c r="OD14" i="13"/>
  <c r="OC14" i="13"/>
  <c r="OB14" i="13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3" i="13"/>
  <c r="OH13" i="13"/>
  <c r="OG13" i="13"/>
  <c r="OQ13" i="13" s="1"/>
  <c r="OF13" i="13"/>
  <c r="OE13" i="13"/>
  <c r="OD13" i="13"/>
  <c r="OC13" i="13"/>
  <c r="OB13" i="13"/>
  <c r="ON13" i="13" s="1"/>
  <c r="OA13" i="13"/>
  <c r="NZ13" i="13"/>
  <c r="NY13" i="13"/>
  <c r="NX13" i="13"/>
  <c r="NW13" i="13"/>
  <c r="OL13" i="13" s="1"/>
  <c r="NV13" i="13"/>
  <c r="NU13" i="13"/>
  <c r="NT13" i="13"/>
  <c r="NS13" i="13"/>
  <c r="NR13" i="13"/>
  <c r="NQ13" i="13"/>
  <c r="NP13" i="13"/>
  <c r="NN13" i="13"/>
  <c r="NM13" i="13"/>
  <c r="NK13" i="13"/>
  <c r="NJ13" i="13"/>
  <c r="NI13" i="13"/>
  <c r="DF13" i="13"/>
  <c r="DE13" i="13"/>
  <c r="DC13" i="13"/>
  <c r="DB13" i="13"/>
  <c r="DA13" i="13"/>
  <c r="CZ13" i="13"/>
  <c r="CY13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7" i="13"/>
  <c r="OH7" i="13"/>
  <c r="OG7" i="13"/>
  <c r="OQ7" i="13" s="1"/>
  <c r="OF7" i="13"/>
  <c r="OE7" i="13"/>
  <c r="OD7" i="13"/>
  <c r="OC7" i="13"/>
  <c r="OB7" i="13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N6" i="13" s="1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NT23" i="4"/>
  <c r="NU23" i="4"/>
  <c r="NV23" i="4"/>
  <c r="NW23" i="4"/>
  <c r="OL23" i="4" s="1"/>
  <c r="NX23" i="4"/>
  <c r="NY23" i="4"/>
  <c r="NZ23" i="4"/>
  <c r="OA23" i="4"/>
  <c r="OB23" i="4"/>
  <c r="ON23" i="4" s="1"/>
  <c r="OC23" i="4"/>
  <c r="OD23" i="4"/>
  <c r="OE23" i="4"/>
  <c r="OF23" i="4"/>
  <c r="OG23" i="4"/>
  <c r="OQ23" i="4" s="1"/>
  <c r="OH23" i="4"/>
  <c r="OI23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26" i="4"/>
  <c r="NU26" i="4"/>
  <c r="NV26" i="4"/>
  <c r="NW26" i="4"/>
  <c r="OL26" i="4" s="1"/>
  <c r="NX26" i="4"/>
  <c r="NY26" i="4"/>
  <c r="NZ26" i="4"/>
  <c r="OA26" i="4"/>
  <c r="OB26" i="4"/>
  <c r="ON26" i="4" s="1"/>
  <c r="OC26" i="4"/>
  <c r="OD26" i="4"/>
  <c r="OE26" i="4"/>
  <c r="OF26" i="4"/>
  <c r="OG26" i="4"/>
  <c r="OQ26" i="4" s="1"/>
  <c r="OH26" i="4"/>
  <c r="OI26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25" i="4"/>
  <c r="NU25" i="4"/>
  <c r="NV25" i="4"/>
  <c r="NW25" i="4"/>
  <c r="OL25" i="4" s="1"/>
  <c r="NX25" i="4"/>
  <c r="NY25" i="4"/>
  <c r="NZ25" i="4"/>
  <c r="OA25" i="4"/>
  <c r="OB25" i="4"/>
  <c r="ON25" i="4" s="1"/>
  <c r="OC25" i="4"/>
  <c r="OD25" i="4"/>
  <c r="OE25" i="4"/>
  <c r="OF25" i="4"/>
  <c r="OG25" i="4"/>
  <c r="OQ25" i="4" s="1"/>
  <c r="OH25" i="4"/>
  <c r="OI25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24" i="4"/>
  <c r="NU24" i="4"/>
  <c r="NV24" i="4"/>
  <c r="NW24" i="4"/>
  <c r="OL24" i="4" s="1"/>
  <c r="NX24" i="4"/>
  <c r="NY24" i="4"/>
  <c r="NZ24" i="4"/>
  <c r="OA24" i="4"/>
  <c r="OB24" i="4"/>
  <c r="ON24" i="4" s="1"/>
  <c r="OC24" i="4"/>
  <c r="OD24" i="4"/>
  <c r="OE24" i="4"/>
  <c r="OF24" i="4"/>
  <c r="OG24" i="4"/>
  <c r="OQ24" i="4" s="1"/>
  <c r="OH24" i="4"/>
  <c r="OI24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0" i="4"/>
  <c r="CZ10" i="4"/>
  <c r="DA10" i="4"/>
  <c r="DB10" i="4"/>
  <c r="DC10" i="4"/>
  <c r="DE10" i="4"/>
  <c r="DF10" i="4"/>
  <c r="CY23" i="4"/>
  <c r="CZ23" i="4"/>
  <c r="DA23" i="4"/>
  <c r="DB23" i="4"/>
  <c r="DC23" i="4"/>
  <c r="DE23" i="4"/>
  <c r="DF23" i="4"/>
  <c r="CY9" i="4"/>
  <c r="CZ9" i="4"/>
  <c r="DA9" i="4"/>
  <c r="DB9" i="4"/>
  <c r="DC9" i="4"/>
  <c r="DE9" i="4"/>
  <c r="DF9" i="4"/>
  <c r="CY11" i="4"/>
  <c r="CZ11" i="4"/>
  <c r="DA11" i="4"/>
  <c r="DB11" i="4"/>
  <c r="DC11" i="4"/>
  <c r="DE11" i="4"/>
  <c r="DF11" i="4"/>
  <c r="CY15" i="4"/>
  <c r="CZ15" i="4"/>
  <c r="DA15" i="4"/>
  <c r="DB15" i="4"/>
  <c r="DC15" i="4"/>
  <c r="DE15" i="4"/>
  <c r="DF15" i="4"/>
  <c r="CY16" i="4"/>
  <c r="CZ16" i="4"/>
  <c r="DA16" i="4"/>
  <c r="DB16" i="4"/>
  <c r="DC16" i="4"/>
  <c r="DE16" i="4"/>
  <c r="DF16" i="4"/>
  <c r="CY26" i="4"/>
  <c r="CZ26" i="4"/>
  <c r="DA26" i="4"/>
  <c r="DB26" i="4"/>
  <c r="DC26" i="4"/>
  <c r="DE26" i="4"/>
  <c r="DF26" i="4"/>
  <c r="CY7" i="4"/>
  <c r="CZ7" i="4"/>
  <c r="DA7" i="4"/>
  <c r="DB7" i="4"/>
  <c r="DC7" i="4"/>
  <c r="DE7" i="4"/>
  <c r="DF7" i="4"/>
  <c r="CY12" i="4"/>
  <c r="CZ12" i="4"/>
  <c r="DA12" i="4"/>
  <c r="DB12" i="4"/>
  <c r="DC12" i="4"/>
  <c r="DE12" i="4"/>
  <c r="DF12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25" i="4"/>
  <c r="CZ25" i="4"/>
  <c r="DA25" i="4"/>
  <c r="DB25" i="4"/>
  <c r="DC25" i="4"/>
  <c r="DE25" i="4"/>
  <c r="DF25" i="4"/>
  <c r="CY17" i="4"/>
  <c r="CZ17" i="4"/>
  <c r="DA17" i="4"/>
  <c r="DB17" i="4"/>
  <c r="DC17" i="4"/>
  <c r="DE17" i="4"/>
  <c r="DF17" i="4"/>
  <c r="CY24" i="4"/>
  <c r="CZ24" i="4"/>
  <c r="DA24" i="4"/>
  <c r="DB24" i="4"/>
  <c r="DC24" i="4"/>
  <c r="DE24" i="4"/>
  <c r="DF24" i="4"/>
  <c r="CY13" i="4"/>
  <c r="CZ13" i="4"/>
  <c r="DA13" i="4"/>
  <c r="DB13" i="4"/>
  <c r="DC13" i="4"/>
  <c r="DE13" i="4"/>
  <c r="DF13" i="4"/>
  <c r="DC4" i="4"/>
  <c r="DB4" i="4"/>
  <c r="CZ4" i="4"/>
  <c r="DA4" i="4"/>
  <c r="CY4" i="4"/>
  <c r="LT7" i="12"/>
  <c r="LU7" i="12"/>
  <c r="LV7" i="12"/>
  <c r="LW7" i="12"/>
  <c r="LT13" i="12"/>
  <c r="LU13" i="12"/>
  <c r="LV13" i="12"/>
  <c r="LW13" i="12"/>
  <c r="LT15" i="12"/>
  <c r="LU15" i="12"/>
  <c r="LV15" i="12"/>
  <c r="LW15" i="12"/>
  <c r="LT16" i="12"/>
  <c r="LU16" i="12"/>
  <c r="LV16" i="12"/>
  <c r="LW16" i="12"/>
  <c r="LT6" i="12"/>
  <c r="LU6" i="12"/>
  <c r="LV6" i="12"/>
  <c r="LW6" i="12"/>
  <c r="LT14" i="12"/>
  <c r="LU14" i="12"/>
  <c r="LV14" i="12"/>
  <c r="LW14" i="12"/>
  <c r="LT9" i="12"/>
  <c r="LU9" i="12"/>
  <c r="LV9" i="12"/>
  <c r="LW9" i="12"/>
  <c r="LT10" i="12"/>
  <c r="LU10" i="12"/>
  <c r="LV10" i="12"/>
  <c r="LW10" i="12"/>
  <c r="LV8" i="12"/>
  <c r="CB7" i="12"/>
  <c r="CB13" i="12"/>
  <c r="CB15" i="12"/>
  <c r="CB16" i="12"/>
  <c r="CB6" i="12"/>
  <c r="CB14" i="12"/>
  <c r="CB9" i="12"/>
  <c r="CB10" i="12"/>
  <c r="CB8" i="12"/>
  <c r="LV10" i="6"/>
  <c r="LV6" i="6"/>
  <c r="LV11" i="6"/>
  <c r="LV16" i="6"/>
  <c r="LV4" i="6"/>
  <c r="LV20" i="6"/>
  <c r="LV18" i="6"/>
  <c r="LV19" i="6"/>
  <c r="LV15" i="6"/>
  <c r="LV23" i="6"/>
  <c r="LV21" i="6"/>
  <c r="LV9" i="6"/>
  <c r="CB10" i="6"/>
  <c r="CB6" i="6"/>
  <c r="CB11" i="6"/>
  <c r="CB16" i="6"/>
  <c r="CB4" i="6"/>
  <c r="CB20" i="6"/>
  <c r="CB18" i="6"/>
  <c r="CB19" i="6"/>
  <c r="CB15" i="6"/>
  <c r="CB23" i="6"/>
  <c r="CB21" i="6"/>
  <c r="CB9" i="6"/>
  <c r="LV6" i="8"/>
  <c r="LV7" i="8"/>
  <c r="LV4" i="8"/>
  <c r="CB4" i="8"/>
  <c r="LV8" i="7"/>
  <c r="LV6" i="7"/>
  <c r="LV7" i="7"/>
  <c r="LV4" i="7"/>
  <c r="CB4" i="7"/>
  <c r="CB8" i="7"/>
  <c r="CB6" i="7"/>
  <c r="CB7" i="7"/>
  <c r="BZ4" i="7"/>
  <c r="BH6" i="12" l="1"/>
  <c r="BH4" i="6"/>
  <c r="BH6" i="6"/>
  <c r="BH16" i="6"/>
  <c r="BH18" i="6"/>
  <c r="AO10" i="9"/>
  <c r="AR10" i="9" s="1"/>
  <c r="BL7" i="9"/>
  <c r="BO7" i="9" s="1"/>
  <c r="CC8" i="13"/>
  <c r="OR25" i="4"/>
  <c r="OR26" i="4"/>
  <c r="AV19" i="4"/>
  <c r="BZ25" i="4"/>
  <c r="AL8" i="12"/>
  <c r="AL15" i="12"/>
  <c r="AL14" i="12"/>
  <c r="AL5" i="12"/>
  <c r="J5" i="12"/>
  <c r="CE5" i="12" s="1"/>
  <c r="AL10" i="12"/>
  <c r="J4" i="12"/>
  <c r="CE4" i="12" s="1"/>
  <c r="BH14" i="12"/>
  <c r="BH5" i="12"/>
  <c r="BH10" i="12"/>
  <c r="J7" i="6"/>
  <c r="AL17" i="6"/>
  <c r="J17" i="6"/>
  <c r="AL21" i="6"/>
  <c r="BH6" i="7"/>
  <c r="AO8" i="9"/>
  <c r="AR8" i="9" s="1"/>
  <c r="BL6" i="9"/>
  <c r="BO6" i="9" s="1"/>
  <c r="AO6" i="9"/>
  <c r="AR6" i="9" s="1"/>
  <c r="BZ15" i="13"/>
  <c r="CC15" i="13" s="1"/>
  <c r="BZ16" i="13"/>
  <c r="CC16" i="13" s="1"/>
  <c r="AV6" i="4"/>
  <c r="AY6" i="4" s="1"/>
  <c r="BZ4" i="4"/>
  <c r="CC4" i="4" s="1"/>
  <c r="AV21" i="4"/>
  <c r="AY21" i="4" s="1"/>
  <c r="AO7" i="14"/>
  <c r="AR7" i="14" s="1"/>
  <c r="BO8" i="9"/>
  <c r="BZ14" i="13"/>
  <c r="CC14" i="13" s="1"/>
  <c r="AV6" i="13"/>
  <c r="AY6" i="13" s="1"/>
  <c r="AV4" i="13"/>
  <c r="AY4" i="13" s="1"/>
  <c r="AV14" i="13"/>
  <c r="AY14" i="13" s="1"/>
  <c r="AL7" i="8"/>
  <c r="AL4" i="7"/>
  <c r="AL5" i="7"/>
  <c r="AL7" i="7"/>
  <c r="BH4" i="7"/>
  <c r="BH5" i="7"/>
  <c r="BH7" i="7"/>
  <c r="BL5" i="14"/>
  <c r="BO5" i="14" s="1"/>
  <c r="BL4" i="14"/>
  <c r="BO4" i="14" s="1"/>
  <c r="BL7" i="14"/>
  <c r="BO7" i="14" s="1"/>
  <c r="AO9" i="9"/>
  <c r="AR9" i="9" s="1"/>
  <c r="BL9" i="9"/>
  <c r="BO9" i="9" s="1"/>
  <c r="BL10" i="9"/>
  <c r="BO10" i="9" s="1"/>
  <c r="BZ7" i="13"/>
  <c r="CC7" i="13" s="1"/>
  <c r="BZ10" i="13"/>
  <c r="CC10" i="13" s="1"/>
  <c r="BH13" i="12"/>
  <c r="BH4" i="12"/>
  <c r="AL6" i="8"/>
  <c r="AL8" i="7"/>
  <c r="BH8" i="7"/>
  <c r="AL6" i="7"/>
  <c r="AO9" i="14"/>
  <c r="AR9" i="14" s="1"/>
  <c r="BL9" i="14"/>
  <c r="BO9" i="14" s="1"/>
  <c r="AO6" i="14"/>
  <c r="AR6" i="14" s="1"/>
  <c r="AO8" i="14"/>
  <c r="AR8" i="14" s="1"/>
  <c r="BL8" i="14"/>
  <c r="BO8" i="14" s="1"/>
  <c r="BL6" i="14"/>
  <c r="BO6" i="14" s="1"/>
  <c r="AO4" i="14"/>
  <c r="AR4" i="14" s="1"/>
  <c r="AO5" i="14"/>
  <c r="AR5" i="14" s="1"/>
  <c r="AO5" i="9"/>
  <c r="AR5" i="9" s="1"/>
  <c r="BL4" i="9"/>
  <c r="BO4" i="9" s="1"/>
  <c r="AO7" i="9"/>
  <c r="AR7" i="9" s="1"/>
  <c r="BO5" i="9"/>
  <c r="AO4" i="9"/>
  <c r="AR4" i="9" s="1"/>
  <c r="BZ6" i="13"/>
  <c r="CC6" i="13" s="1"/>
  <c r="AV8" i="13"/>
  <c r="AY8" i="13" s="1"/>
  <c r="AV16" i="13"/>
  <c r="AY16" i="13" s="1"/>
  <c r="AV9" i="13"/>
  <c r="AY9" i="13" s="1"/>
  <c r="AV7" i="13"/>
  <c r="AY7" i="13" s="1"/>
  <c r="AV15" i="13"/>
  <c r="AY15" i="13" s="1"/>
  <c r="AV12" i="13"/>
  <c r="AY12" i="13" s="1"/>
  <c r="AV17" i="13"/>
  <c r="AY17" i="13" s="1"/>
  <c r="BZ11" i="13"/>
  <c r="CC11" i="13" s="1"/>
  <c r="AV10" i="13"/>
  <c r="AY10" i="13" s="1"/>
  <c r="BZ13" i="13"/>
  <c r="CC13" i="13" s="1"/>
  <c r="AV13" i="13"/>
  <c r="AY13" i="13" s="1"/>
  <c r="AV11" i="13"/>
  <c r="AY11" i="13" s="1"/>
  <c r="BZ5" i="13"/>
  <c r="CC5" i="13" s="1"/>
  <c r="BZ9" i="13"/>
  <c r="CC9" i="13" s="1"/>
  <c r="BZ4" i="13"/>
  <c r="CC4" i="13" s="1"/>
  <c r="AV5" i="13"/>
  <c r="AY5" i="13" s="1"/>
  <c r="BZ12" i="13"/>
  <c r="CC12" i="13" s="1"/>
  <c r="BZ17" i="13"/>
  <c r="CC17" i="13" s="1"/>
  <c r="AL4" i="8"/>
  <c r="BH6" i="8"/>
  <c r="BH4" i="8"/>
  <c r="AV15" i="4"/>
  <c r="AY15" i="4" s="1"/>
  <c r="AY19" i="4"/>
  <c r="CC25" i="4"/>
  <c r="BZ26" i="4"/>
  <c r="CC26" i="4" s="1"/>
  <c r="AV7" i="4"/>
  <c r="AY7" i="4" s="1"/>
  <c r="BZ24" i="4"/>
  <c r="CC24" i="4" s="1"/>
  <c r="AV10" i="4"/>
  <c r="AY10" i="4" s="1"/>
  <c r="AV12" i="4"/>
  <c r="AY12" i="4" s="1"/>
  <c r="AV14" i="4"/>
  <c r="AY14" i="4" s="1"/>
  <c r="BZ21" i="4"/>
  <c r="CC21" i="4" s="1"/>
  <c r="AV16" i="4"/>
  <c r="AY16" i="4" s="1"/>
  <c r="BZ19" i="4"/>
  <c r="CC19" i="4" s="1"/>
  <c r="AV8" i="4"/>
  <c r="AY8" i="4" s="1"/>
  <c r="AV24" i="4"/>
  <c r="AY24" i="4" s="1"/>
  <c r="BZ5" i="4"/>
  <c r="CC5" i="4" s="1"/>
  <c r="BZ9" i="4"/>
  <c r="CC9" i="4" s="1"/>
  <c r="BZ23" i="4"/>
  <c r="CC23" i="4" s="1"/>
  <c r="BZ7" i="4"/>
  <c r="CC7" i="4" s="1"/>
  <c r="BZ18" i="4"/>
  <c r="CC18" i="4" s="1"/>
  <c r="AV5" i="4"/>
  <c r="AY5" i="4" s="1"/>
  <c r="AV25" i="4"/>
  <c r="AY25" i="4" s="1"/>
  <c r="BZ6" i="4"/>
  <c r="CC6" i="4" s="1"/>
  <c r="BZ10" i="4"/>
  <c r="CC10" i="4" s="1"/>
  <c r="BZ14" i="4"/>
  <c r="CC14" i="4" s="1"/>
  <c r="AV11" i="4"/>
  <c r="AY11" i="4" s="1"/>
  <c r="AV26" i="4"/>
  <c r="AY26" i="4" s="1"/>
  <c r="BZ13" i="4"/>
  <c r="CC13" i="4" s="1"/>
  <c r="AV9" i="4"/>
  <c r="AY9" i="4" s="1"/>
  <c r="BZ11" i="4"/>
  <c r="CC11" i="4" s="1"/>
  <c r="BZ15" i="4"/>
  <c r="CC15" i="4" s="1"/>
  <c r="AV4" i="4"/>
  <c r="AY4" i="4" s="1"/>
  <c r="AY18" i="4"/>
  <c r="BZ12" i="4"/>
  <c r="CC12" i="4" s="1"/>
  <c r="AV17" i="4"/>
  <c r="AY17" i="4" s="1"/>
  <c r="AV13" i="4"/>
  <c r="AY13" i="4" s="1"/>
  <c r="BZ16" i="4"/>
  <c r="CC16" i="4" s="1"/>
  <c r="BZ17" i="4"/>
  <c r="CC17" i="4" s="1"/>
  <c r="AV23" i="4"/>
  <c r="AY23" i="4" s="1"/>
  <c r="BZ8" i="4"/>
  <c r="CC8" i="4" s="1"/>
  <c r="AL7" i="12"/>
  <c r="AL4" i="12"/>
  <c r="AL16" i="12"/>
  <c r="BH7" i="12"/>
  <c r="AL6" i="12"/>
  <c r="AL13" i="12"/>
  <c r="BH9" i="12"/>
  <c r="AL9" i="12"/>
  <c r="BH16" i="12"/>
  <c r="AL19" i="6"/>
  <c r="AL10" i="6"/>
  <c r="AL20" i="6"/>
  <c r="AL7" i="6"/>
  <c r="BH9" i="6"/>
  <c r="BH10" i="6"/>
  <c r="AL4" i="6"/>
  <c r="AL15" i="6"/>
  <c r="BH11" i="6"/>
  <c r="BH20" i="6"/>
  <c r="BH7" i="6"/>
  <c r="BH19" i="6"/>
  <c r="BH23" i="6"/>
  <c r="AL9" i="6"/>
  <c r="BH15" i="6"/>
  <c r="AL11" i="6"/>
  <c r="AL23" i="6"/>
  <c r="AL6" i="6"/>
  <c r="AL16" i="6"/>
  <c r="AL18" i="6"/>
  <c r="CD4" i="12"/>
  <c r="LX5" i="7"/>
  <c r="CD5" i="7"/>
  <c r="DD14" i="4"/>
  <c r="DG14" i="4" s="1"/>
  <c r="DD16" i="13"/>
  <c r="DG16" i="13" s="1"/>
  <c r="DD11" i="13"/>
  <c r="DG11" i="13" s="1"/>
  <c r="LX4" i="12"/>
  <c r="CD7" i="6"/>
  <c r="LX7" i="6"/>
  <c r="MR17" i="6"/>
  <c r="NL16" i="13"/>
  <c r="NO16" i="13" s="1"/>
  <c r="NL14" i="4"/>
  <c r="NO14" i="4" s="1"/>
  <c r="MP17" i="6"/>
  <c r="MR7" i="6"/>
  <c r="MP7" i="6"/>
  <c r="LX17" i="6"/>
  <c r="CD17" i="6"/>
  <c r="MQ17" i="6"/>
  <c r="F17" i="6"/>
  <c r="MS17" i="6"/>
  <c r="G17" i="6"/>
  <c r="MS7" i="6"/>
  <c r="MQ7" i="6"/>
  <c r="G7" i="6"/>
  <c r="F7" i="6"/>
  <c r="OR24" i="4"/>
  <c r="OO14" i="4"/>
  <c r="LX5" i="12"/>
  <c r="CD5" i="12"/>
  <c r="MQ5" i="12"/>
  <c r="MR5" i="12"/>
  <c r="MP5" i="12"/>
  <c r="F5" i="12"/>
  <c r="MS5" i="12"/>
  <c r="G5" i="12"/>
  <c r="MR4" i="12"/>
  <c r="MP4" i="12"/>
  <c r="MS4" i="12"/>
  <c r="F4" i="12"/>
  <c r="MQ4" i="12"/>
  <c r="G4" i="12"/>
  <c r="MR5" i="7"/>
  <c r="MP5" i="7"/>
  <c r="MQ5" i="7"/>
  <c r="MS5" i="7"/>
  <c r="L5" i="7"/>
  <c r="CF5" i="7" s="1"/>
  <c r="F5" i="7"/>
  <c r="J5" i="7"/>
  <c r="G5" i="7"/>
  <c r="NL11" i="13"/>
  <c r="NO11" i="13" s="1"/>
  <c r="OM11" i="13"/>
  <c r="Q11" i="13"/>
  <c r="DK11" i="13" s="1"/>
  <c r="OO11" i="13"/>
  <c r="OK11" i="13"/>
  <c r="G11" i="13"/>
  <c r="OK16" i="13"/>
  <c r="OM16" i="13"/>
  <c r="Q16" i="13"/>
  <c r="DK16" i="13" s="1"/>
  <c r="OO16" i="13"/>
  <c r="G16" i="13"/>
  <c r="F16" i="13" s="1"/>
  <c r="OR17" i="13"/>
  <c r="Q14" i="4"/>
  <c r="R14" i="4" s="1"/>
  <c r="OM14" i="4"/>
  <c r="OK14" i="4"/>
  <c r="G14" i="4"/>
  <c r="NL18" i="4"/>
  <c r="NO18" i="4" s="1"/>
  <c r="OM18" i="4"/>
  <c r="DD18" i="4"/>
  <c r="DG18" i="4" s="1"/>
  <c r="OO18" i="4"/>
  <c r="OK18" i="4"/>
  <c r="Q18" i="4"/>
  <c r="DK18" i="4" s="1"/>
  <c r="OR23" i="4"/>
  <c r="G18" i="4"/>
  <c r="F18" i="4" s="1"/>
  <c r="CI8" i="14"/>
  <c r="CL8" i="14" s="1"/>
  <c r="CI9" i="14"/>
  <c r="CL9" i="14" s="1"/>
  <c r="CI7" i="14"/>
  <c r="CL7" i="14" s="1"/>
  <c r="NL13" i="13"/>
  <c r="NO13" i="13" s="1"/>
  <c r="MQ7" i="14"/>
  <c r="MT7" i="14" s="1"/>
  <c r="NL7" i="13"/>
  <c r="NO7" i="13" s="1"/>
  <c r="OM13" i="13"/>
  <c r="OO10" i="13"/>
  <c r="OR11" i="13"/>
  <c r="DD13" i="13"/>
  <c r="DG13" i="13" s="1"/>
  <c r="DD6" i="13"/>
  <c r="DG6" i="13" s="1"/>
  <c r="NL5" i="13"/>
  <c r="NO5" i="13" s="1"/>
  <c r="DD8" i="13"/>
  <c r="DG8" i="13" s="1"/>
  <c r="NL14" i="13"/>
  <c r="NO14" i="13" s="1"/>
  <c r="DD5" i="13"/>
  <c r="DG5" i="13" s="1"/>
  <c r="DD12" i="13"/>
  <c r="DG12" i="13" s="1"/>
  <c r="OO5" i="13"/>
  <c r="NL9" i="13"/>
  <c r="NO9" i="13" s="1"/>
  <c r="OO8" i="13"/>
  <c r="OO15" i="13"/>
  <c r="DD10" i="13"/>
  <c r="DG10" i="13" s="1"/>
  <c r="NL6" i="13"/>
  <c r="NO6" i="13" s="1"/>
  <c r="NL15" i="13"/>
  <c r="NO15" i="13" s="1"/>
  <c r="DD17" i="13"/>
  <c r="DG17" i="13" s="1"/>
  <c r="NL17" i="13"/>
  <c r="NO17" i="13" s="1"/>
  <c r="MQ8" i="14"/>
  <c r="MT8" i="14" s="1"/>
  <c r="NP8" i="14"/>
  <c r="NP5" i="14"/>
  <c r="Q6" i="14"/>
  <c r="R6" i="14" s="1"/>
  <c r="MQ9" i="14"/>
  <c r="MT9" i="14" s="1"/>
  <c r="Q8" i="14"/>
  <c r="CP8" i="14" s="1"/>
  <c r="NL8" i="14"/>
  <c r="NM8" i="14"/>
  <c r="G8" i="14"/>
  <c r="F8" i="14" s="1"/>
  <c r="CI5" i="14"/>
  <c r="CL5" i="14" s="1"/>
  <c r="NL5" i="14"/>
  <c r="CI4" i="14"/>
  <c r="CL4" i="14" s="1"/>
  <c r="NL7" i="14"/>
  <c r="NM9" i="14"/>
  <c r="NL6" i="14"/>
  <c r="MQ4" i="14"/>
  <c r="MT4" i="14" s="1"/>
  <c r="G6" i="14"/>
  <c r="F6" i="14" s="1"/>
  <c r="MQ5" i="14"/>
  <c r="MT5" i="14" s="1"/>
  <c r="Q4" i="14"/>
  <c r="CP4" i="14" s="1"/>
  <c r="Q7" i="14"/>
  <c r="CP7" i="14" s="1"/>
  <c r="NP7" i="14"/>
  <c r="NM7" i="14"/>
  <c r="G7" i="14"/>
  <c r="F7" i="14" s="1"/>
  <c r="H7" i="14"/>
  <c r="NP9" i="14"/>
  <c r="MQ6" i="14"/>
  <c r="MT6" i="14" s="1"/>
  <c r="NL4" i="14"/>
  <c r="G9" i="14"/>
  <c r="F9" i="14" s="1"/>
  <c r="NM5" i="14"/>
  <c r="NP4" i="14"/>
  <c r="CI6" i="14"/>
  <c r="CL6" i="14" s="1"/>
  <c r="G5" i="14"/>
  <c r="F5" i="14" s="1"/>
  <c r="NM6" i="14"/>
  <c r="G4" i="14"/>
  <c r="F4" i="14" s="1"/>
  <c r="Q5" i="14"/>
  <c r="CP5" i="14" s="1"/>
  <c r="Q9" i="14"/>
  <c r="R9" i="14" s="1"/>
  <c r="NM4" i="14"/>
  <c r="NL9" i="14"/>
  <c r="NP6" i="14"/>
  <c r="OR16" i="13"/>
  <c r="OR4" i="13"/>
  <c r="Q6" i="13"/>
  <c r="DK6" i="13" s="1"/>
  <c r="OR7" i="13"/>
  <c r="OR10" i="13"/>
  <c r="Q14" i="13"/>
  <c r="DK14" i="13" s="1"/>
  <c r="OR13" i="13"/>
  <c r="OK5" i="13"/>
  <c r="OK9" i="13"/>
  <c r="OM9" i="13"/>
  <c r="OM10" i="13"/>
  <c r="Q15" i="13"/>
  <c r="R15" i="13" s="1"/>
  <c r="Q5" i="13"/>
  <c r="R5" i="13" s="1"/>
  <c r="Q4" i="13"/>
  <c r="DK4" i="13" s="1"/>
  <c r="Q13" i="13"/>
  <c r="R13" i="13" s="1"/>
  <c r="OM8" i="13"/>
  <c r="OR12" i="13"/>
  <c r="Q10" i="13"/>
  <c r="DK10" i="13" s="1"/>
  <c r="NL4" i="13"/>
  <c r="NO4" i="13" s="1"/>
  <c r="OK4" i="13"/>
  <c r="G6" i="13"/>
  <c r="F6" i="13" s="1"/>
  <c r="G7" i="13"/>
  <c r="F7" i="13" s="1"/>
  <c r="OK7" i="13"/>
  <c r="OO7" i="13"/>
  <c r="G8" i="13"/>
  <c r="F8" i="13" s="1"/>
  <c r="OK15" i="13"/>
  <c r="G13" i="13"/>
  <c r="F13" i="13" s="1"/>
  <c r="OR9" i="13"/>
  <c r="G9" i="13"/>
  <c r="F9" i="13" s="1"/>
  <c r="OO9" i="13"/>
  <c r="DD14" i="13"/>
  <c r="DG14" i="13" s="1"/>
  <c r="OM14" i="13"/>
  <c r="DD4" i="13"/>
  <c r="DG4" i="13" s="1"/>
  <c r="OM4" i="13"/>
  <c r="OO4" i="13"/>
  <c r="OR6" i="13"/>
  <c r="OK13" i="13"/>
  <c r="Q9" i="13"/>
  <c r="DK9" i="13" s="1"/>
  <c r="OR15" i="13"/>
  <c r="H4" i="13"/>
  <c r="OM5" i="13"/>
  <c r="OK6" i="13"/>
  <c r="Q7" i="13"/>
  <c r="R7" i="13" s="1"/>
  <c r="OR8" i="13"/>
  <c r="OO13" i="13"/>
  <c r="DD9" i="13"/>
  <c r="DG9" i="13" s="1"/>
  <c r="G12" i="13"/>
  <c r="F12" i="13" s="1"/>
  <c r="G10" i="13"/>
  <c r="F10" i="13" s="1"/>
  <c r="G17" i="13"/>
  <c r="F17" i="13" s="1"/>
  <c r="OK17" i="13"/>
  <c r="G4" i="13"/>
  <c r="F4" i="13" s="1"/>
  <c r="NL8" i="13"/>
  <c r="NO8" i="13" s="1"/>
  <c r="OK8" i="13"/>
  <c r="G14" i="13"/>
  <c r="F14" i="13" s="1"/>
  <c r="OK14" i="13"/>
  <c r="OO14" i="13"/>
  <c r="Q12" i="13"/>
  <c r="R12" i="13" s="1"/>
  <c r="OR14" i="13"/>
  <c r="OM17" i="13"/>
  <c r="G5" i="13"/>
  <c r="F5" i="13" s="1"/>
  <c r="OR5" i="13"/>
  <c r="OM6" i="13"/>
  <c r="OO6" i="13"/>
  <c r="DD7" i="13"/>
  <c r="DG7" i="13" s="1"/>
  <c r="OM7" i="13"/>
  <c r="Q8" i="13"/>
  <c r="R8" i="13" s="1"/>
  <c r="OM12" i="13"/>
  <c r="NL10" i="13"/>
  <c r="NO10" i="13" s="1"/>
  <c r="OK10" i="13"/>
  <c r="OO17" i="13"/>
  <c r="H5" i="13"/>
  <c r="ON7" i="13"/>
  <c r="ON14" i="13"/>
  <c r="DD15" i="13"/>
  <c r="DG15" i="13" s="1"/>
  <c r="NL12" i="13"/>
  <c r="NO12" i="13" s="1"/>
  <c r="OK12" i="13"/>
  <c r="G15" i="13"/>
  <c r="F15" i="13" s="1"/>
  <c r="OO12" i="13"/>
  <c r="Q17" i="13"/>
  <c r="OM15" i="13"/>
  <c r="OO13" i="4"/>
  <c r="OO24" i="4"/>
  <c r="OO17" i="4"/>
  <c r="OO25" i="4"/>
  <c r="OO21" i="4"/>
  <c r="OO19" i="4"/>
  <c r="OO12" i="4"/>
  <c r="OO7" i="4"/>
  <c r="OO10" i="4"/>
  <c r="OO5" i="4"/>
  <c r="OO8" i="4"/>
  <c r="OO6" i="4"/>
  <c r="DD16" i="4"/>
  <c r="DG16" i="4" s="1"/>
  <c r="OR22" i="4"/>
  <c r="OR21" i="4"/>
  <c r="OR20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DD19" i="4"/>
  <c r="DG19" i="4" s="1"/>
  <c r="OR4" i="4"/>
  <c r="OM24" i="4"/>
  <c r="OM17" i="4"/>
  <c r="OM25" i="4"/>
  <c r="OM21" i="4"/>
  <c r="OM19" i="4"/>
  <c r="OM12" i="4"/>
  <c r="OM7" i="4"/>
  <c r="OO26" i="4"/>
  <c r="OM26" i="4"/>
  <c r="OO16" i="4"/>
  <c r="OO15" i="4"/>
  <c r="OM11" i="4"/>
  <c r="OM9" i="4"/>
  <c r="OM23" i="4"/>
  <c r="OM10" i="4"/>
  <c r="OM5" i="4"/>
  <c r="OM8" i="4"/>
  <c r="OM6" i="4"/>
  <c r="DD26" i="4"/>
  <c r="DG26" i="4" s="1"/>
  <c r="OM4" i="4"/>
  <c r="DD4" i="4"/>
  <c r="DD24" i="4"/>
  <c r="DG24" i="4" s="1"/>
  <c r="OO11" i="4"/>
  <c r="OO9" i="4"/>
  <c r="OO23" i="4"/>
  <c r="OM15" i="4"/>
  <c r="OM16" i="4"/>
  <c r="OM13" i="4"/>
  <c r="OO4" i="4"/>
  <c r="DD6" i="4"/>
  <c r="DG6" i="4" s="1"/>
  <c r="DD7" i="4"/>
  <c r="DG7" i="4" s="1"/>
  <c r="DD12" i="4"/>
  <c r="DG12" i="4" s="1"/>
  <c r="DD5" i="4"/>
  <c r="DG5" i="4" s="1"/>
  <c r="DD13" i="4"/>
  <c r="DG13" i="4" s="1"/>
  <c r="DD21" i="4"/>
  <c r="DD10" i="4"/>
  <c r="DG10" i="4" s="1"/>
  <c r="DD25" i="4"/>
  <c r="DG25" i="4" s="1"/>
  <c r="DD23" i="4"/>
  <c r="DG23" i="4" s="1"/>
  <c r="DD17" i="4"/>
  <c r="DG17" i="4" s="1"/>
  <c r="DD9" i="4"/>
  <c r="DG9" i="4" s="1"/>
  <c r="DD11" i="4"/>
  <c r="DG11" i="4" s="1"/>
  <c r="DD8" i="4"/>
  <c r="DG8" i="4" s="1"/>
  <c r="DD15" i="4"/>
  <c r="DG15" i="4" s="1"/>
  <c r="LX15" i="12"/>
  <c r="LX7" i="12"/>
  <c r="LX10" i="12"/>
  <c r="LX14" i="12"/>
  <c r="LX16" i="12"/>
  <c r="LX9" i="12"/>
  <c r="LX6" i="12"/>
  <c r="LX13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Y7" i="12"/>
  <c r="LY13" i="12"/>
  <c r="LY15" i="12"/>
  <c r="LY16" i="12"/>
  <c r="LY6" i="12"/>
  <c r="LY14" i="12"/>
  <c r="LY9" i="12"/>
  <c r="LY10" i="12"/>
  <c r="LY8" i="12"/>
  <c r="LY9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V6" i="9"/>
  <c r="MW6" i="9"/>
  <c r="MX6" i="9"/>
  <c r="MY6" i="9"/>
  <c r="MZ6" i="9"/>
  <c r="NA6" i="9"/>
  <c r="NB6" i="9"/>
  <c r="NC6" i="9"/>
  <c r="ND6" i="9"/>
  <c r="NE6" i="9"/>
  <c r="NF6" i="9"/>
  <c r="NG6" i="9"/>
  <c r="NH6" i="9"/>
  <c r="NI6" i="9"/>
  <c r="MV10" i="9"/>
  <c r="MW10" i="9"/>
  <c r="MX10" i="9"/>
  <c r="MY10" i="9"/>
  <c r="MZ10" i="9"/>
  <c r="NA10" i="9"/>
  <c r="NB10" i="9"/>
  <c r="NC10" i="9"/>
  <c r="ND10" i="9"/>
  <c r="NE10" i="9"/>
  <c r="NF10" i="9"/>
  <c r="NG10" i="9"/>
  <c r="NH10" i="9"/>
  <c r="NI10" i="9"/>
  <c r="MV7" i="9"/>
  <c r="MW7" i="9"/>
  <c r="MX7" i="9"/>
  <c r="MY7" i="9"/>
  <c r="MZ7" i="9"/>
  <c r="NA7" i="9"/>
  <c r="NB7" i="9"/>
  <c r="NC7" i="9"/>
  <c r="ND7" i="9"/>
  <c r="NE7" i="9"/>
  <c r="NF7" i="9"/>
  <c r="NG7" i="9"/>
  <c r="NH7" i="9"/>
  <c r="NI7" i="9"/>
  <c r="MV5" i="9"/>
  <c r="MW5" i="9"/>
  <c r="MX5" i="9"/>
  <c r="MY5" i="9"/>
  <c r="MZ5" i="9"/>
  <c r="NA5" i="9"/>
  <c r="NB5" i="9"/>
  <c r="NC5" i="9"/>
  <c r="ND5" i="9"/>
  <c r="NE5" i="9"/>
  <c r="NF5" i="9"/>
  <c r="NG5" i="9"/>
  <c r="NH5" i="9"/>
  <c r="NI5" i="9"/>
  <c r="MV8" i="9"/>
  <c r="MW8" i="9"/>
  <c r="MX8" i="9"/>
  <c r="MY8" i="9"/>
  <c r="MZ8" i="9"/>
  <c r="NA8" i="9"/>
  <c r="NB8" i="9"/>
  <c r="NC8" i="9"/>
  <c r="ND8" i="9"/>
  <c r="NE8" i="9"/>
  <c r="NF8" i="9"/>
  <c r="NG8" i="9"/>
  <c r="NH8" i="9"/>
  <c r="NI8" i="9"/>
  <c r="MV9" i="9"/>
  <c r="MW9" i="9"/>
  <c r="MX9" i="9"/>
  <c r="MY9" i="9"/>
  <c r="MZ9" i="9"/>
  <c r="NA9" i="9"/>
  <c r="NB9" i="9"/>
  <c r="NC9" i="9"/>
  <c r="ND9" i="9"/>
  <c r="NE9" i="9"/>
  <c r="NF9" i="9"/>
  <c r="NG9" i="9"/>
  <c r="NH9" i="9"/>
  <c r="NI9" i="9"/>
  <c r="MU6" i="9"/>
  <c r="MU10" i="9"/>
  <c r="MU7" i="9"/>
  <c r="MU5" i="9"/>
  <c r="MU8" i="9"/>
  <c r="MU9" i="9"/>
  <c r="MU4" i="9"/>
  <c r="NP4" i="4"/>
  <c r="CC10" i="12"/>
  <c r="CA10" i="12"/>
  <c r="J10" i="12" s="1"/>
  <c r="CE10" i="12" s="1"/>
  <c r="BZ10" i="12"/>
  <c r="CC9" i="12"/>
  <c r="CA9" i="12"/>
  <c r="J9" i="12" s="1"/>
  <c r="CE9" i="12" s="1"/>
  <c r="BZ9" i="12"/>
  <c r="CC14" i="12"/>
  <c r="CA14" i="12"/>
  <c r="J14" i="12" s="1"/>
  <c r="CE14" i="12" s="1"/>
  <c r="BZ14" i="12"/>
  <c r="CC6" i="12"/>
  <c r="CA6" i="12"/>
  <c r="J6" i="12" s="1"/>
  <c r="CE6" i="12" s="1"/>
  <c r="BZ6" i="12"/>
  <c r="CC16" i="12"/>
  <c r="CA16" i="12"/>
  <c r="J16" i="12" s="1"/>
  <c r="CE16" i="12" s="1"/>
  <c r="BZ16" i="12"/>
  <c r="CC15" i="12"/>
  <c r="CA15" i="12"/>
  <c r="J15" i="12" s="1"/>
  <c r="CE15" i="12" s="1"/>
  <c r="BZ15" i="12"/>
  <c r="CC13" i="12"/>
  <c r="CA13" i="12"/>
  <c r="J13" i="12" s="1"/>
  <c r="CE13" i="12" s="1"/>
  <c r="BZ13" i="12"/>
  <c r="CC7" i="12"/>
  <c r="CA7" i="12"/>
  <c r="J7" i="12" s="1"/>
  <c r="CE7" i="12" s="1"/>
  <c r="BZ7" i="12"/>
  <c r="CC8" i="12"/>
  <c r="CA8" i="12"/>
  <c r="J8" i="12" s="1"/>
  <c r="BZ8" i="12"/>
  <c r="CC21" i="6"/>
  <c r="CA21" i="6"/>
  <c r="J21" i="6" s="1"/>
  <c r="BZ21" i="6"/>
  <c r="CC23" i="6"/>
  <c r="CA23" i="6"/>
  <c r="J23" i="6" s="1"/>
  <c r="BZ23" i="6"/>
  <c r="CC15" i="6"/>
  <c r="CA15" i="6"/>
  <c r="J15" i="6" s="1"/>
  <c r="BZ15" i="6"/>
  <c r="CC19" i="6"/>
  <c r="CA19" i="6"/>
  <c r="J19" i="6" s="1"/>
  <c r="BZ19" i="6"/>
  <c r="CC18" i="6"/>
  <c r="CA18" i="6"/>
  <c r="J18" i="6" s="1"/>
  <c r="BZ18" i="6"/>
  <c r="CC20" i="6"/>
  <c r="CA20" i="6"/>
  <c r="J20" i="6" s="1"/>
  <c r="BZ20" i="6"/>
  <c r="CC4" i="6"/>
  <c r="CA4" i="6"/>
  <c r="J4" i="6" s="1"/>
  <c r="BZ4" i="6"/>
  <c r="CC16" i="6"/>
  <c r="CA16" i="6"/>
  <c r="J16" i="6" s="1"/>
  <c r="BZ16" i="6"/>
  <c r="CC11" i="6"/>
  <c r="CA11" i="6"/>
  <c r="J11" i="6" s="1"/>
  <c r="BZ11" i="6"/>
  <c r="CC6" i="6"/>
  <c r="CA6" i="6"/>
  <c r="J6" i="6" s="1"/>
  <c r="BZ6" i="6"/>
  <c r="CC10" i="6"/>
  <c r="CA10" i="6"/>
  <c r="J10" i="6" s="1"/>
  <c r="BZ10" i="6"/>
  <c r="CC9" i="6"/>
  <c r="CA9" i="6"/>
  <c r="J9" i="6" s="1"/>
  <c r="BZ9" i="6"/>
  <c r="CC7" i="8"/>
  <c r="CA7" i="8"/>
  <c r="BZ7" i="8"/>
  <c r="CC6" i="8"/>
  <c r="CA6" i="8"/>
  <c r="BZ6" i="8"/>
  <c r="CC4" i="8"/>
  <c r="CA4" i="8"/>
  <c r="BZ4" i="8"/>
  <c r="CC7" i="7"/>
  <c r="CA7" i="7"/>
  <c r="BZ7" i="7"/>
  <c r="CC6" i="7"/>
  <c r="CA6" i="7"/>
  <c r="BZ6" i="7"/>
  <c r="CC8" i="7"/>
  <c r="CA8" i="7"/>
  <c r="BZ8" i="7"/>
  <c r="CC4" i="7"/>
  <c r="CA4" i="7"/>
  <c r="CK9" i="9"/>
  <c r="CJ9" i="9"/>
  <c r="CH9" i="9"/>
  <c r="CG9" i="9"/>
  <c r="CF9" i="9"/>
  <c r="CK8" i="9"/>
  <c r="CJ8" i="9"/>
  <c r="CH8" i="9"/>
  <c r="CG8" i="9"/>
  <c r="CF8" i="9"/>
  <c r="CK5" i="9"/>
  <c r="CJ5" i="9"/>
  <c r="CH5" i="9"/>
  <c r="CG5" i="9"/>
  <c r="CF5" i="9"/>
  <c r="CK7" i="9"/>
  <c r="CJ7" i="9"/>
  <c r="CH7" i="9"/>
  <c r="CG7" i="9"/>
  <c r="CF7" i="9"/>
  <c r="CK10" i="9"/>
  <c r="CJ10" i="9"/>
  <c r="CH10" i="9"/>
  <c r="CG10" i="9"/>
  <c r="CF10" i="9"/>
  <c r="CK6" i="9"/>
  <c r="CJ6" i="9"/>
  <c r="CH6" i="9"/>
  <c r="CG6" i="9"/>
  <c r="CF6" i="9"/>
  <c r="CK4" i="9"/>
  <c r="CJ4" i="9"/>
  <c r="CH4" i="9"/>
  <c r="CG4" i="9"/>
  <c r="CF4" i="9"/>
  <c r="NQ4" i="4"/>
  <c r="NR4" i="4"/>
  <c r="NS4" i="4"/>
  <c r="NT4" i="4"/>
  <c r="NQ6" i="4"/>
  <c r="NR6" i="4"/>
  <c r="NS6" i="4"/>
  <c r="NQ8" i="4"/>
  <c r="NR8" i="4"/>
  <c r="NS8" i="4"/>
  <c r="NQ5" i="4"/>
  <c r="NR5" i="4"/>
  <c r="NS5" i="4"/>
  <c r="NQ10" i="4"/>
  <c r="NR10" i="4"/>
  <c r="NS10" i="4"/>
  <c r="NQ23" i="4"/>
  <c r="NR23" i="4"/>
  <c r="NS23" i="4"/>
  <c r="NQ9" i="4"/>
  <c r="NR9" i="4"/>
  <c r="NS9" i="4"/>
  <c r="NQ11" i="4"/>
  <c r="NR11" i="4"/>
  <c r="NS11" i="4"/>
  <c r="NQ15" i="4"/>
  <c r="NR15" i="4"/>
  <c r="NS15" i="4"/>
  <c r="NQ16" i="4"/>
  <c r="NR16" i="4"/>
  <c r="NS16" i="4"/>
  <c r="NQ26" i="4"/>
  <c r="NR26" i="4"/>
  <c r="NS26" i="4"/>
  <c r="NQ7" i="4"/>
  <c r="NR7" i="4"/>
  <c r="NS7" i="4"/>
  <c r="NQ12" i="4"/>
  <c r="NR12" i="4"/>
  <c r="NS12" i="4"/>
  <c r="NQ19" i="4"/>
  <c r="NR19" i="4"/>
  <c r="NS19" i="4"/>
  <c r="NQ21" i="4"/>
  <c r="NR21" i="4"/>
  <c r="NS21" i="4"/>
  <c r="NQ25" i="4"/>
  <c r="NR25" i="4"/>
  <c r="NS25" i="4"/>
  <c r="NQ17" i="4"/>
  <c r="NR17" i="4"/>
  <c r="NS17" i="4"/>
  <c r="NQ24" i="4"/>
  <c r="NR24" i="4"/>
  <c r="NS24" i="4"/>
  <c r="NQ13" i="4"/>
  <c r="NR13" i="4"/>
  <c r="NS13" i="4"/>
  <c r="NP6" i="4"/>
  <c r="NP8" i="4"/>
  <c r="NP5" i="4"/>
  <c r="NP10" i="4"/>
  <c r="NP23" i="4"/>
  <c r="NP9" i="4"/>
  <c r="NP11" i="4"/>
  <c r="NP15" i="4"/>
  <c r="NP16" i="4"/>
  <c r="NP26" i="4"/>
  <c r="NP7" i="4"/>
  <c r="NP12" i="4"/>
  <c r="NP19" i="4"/>
  <c r="NP21" i="4"/>
  <c r="NP25" i="4"/>
  <c r="NP17" i="4"/>
  <c r="NP24" i="4"/>
  <c r="NP13" i="4"/>
  <c r="K4" i="6" l="1"/>
  <c r="K9" i="12"/>
  <c r="K13" i="12"/>
  <c r="K6" i="12"/>
  <c r="K16" i="12"/>
  <c r="K10" i="12"/>
  <c r="K15" i="12"/>
  <c r="K14" i="12"/>
  <c r="K8" i="12"/>
  <c r="K7" i="12"/>
  <c r="K4" i="12"/>
  <c r="L4" i="12"/>
  <c r="M4" i="12" s="1"/>
  <c r="L5" i="12"/>
  <c r="M5" i="12" s="1"/>
  <c r="K5" i="12"/>
  <c r="K23" i="6"/>
  <c r="K19" i="6"/>
  <c r="K20" i="6"/>
  <c r="K6" i="6"/>
  <c r="K11" i="6"/>
  <c r="K10" i="6"/>
  <c r="K21" i="6"/>
  <c r="K16" i="6"/>
  <c r="K9" i="6"/>
  <c r="L15" i="6"/>
  <c r="K15" i="6"/>
  <c r="K18" i="6"/>
  <c r="K17" i="6"/>
  <c r="L17" i="6"/>
  <c r="CE17" i="6"/>
  <c r="CE7" i="6"/>
  <c r="K7" i="6"/>
  <c r="L7" i="6"/>
  <c r="CP6" i="14"/>
  <c r="H11" i="13"/>
  <c r="A11" i="13" s="1" a="1"/>
  <c r="A11" i="13" s="1"/>
  <c r="R4" i="13"/>
  <c r="DK5" i="13"/>
  <c r="J14" i="4"/>
  <c r="R14" i="13"/>
  <c r="R6" i="13"/>
  <c r="DK8" i="13"/>
  <c r="OP15" i="13"/>
  <c r="K7" i="14"/>
  <c r="M7" i="14" s="1"/>
  <c r="CI10" i="9"/>
  <c r="CL10" i="9" s="1"/>
  <c r="K14" i="4"/>
  <c r="DJ14" i="4" s="1"/>
  <c r="K18" i="4"/>
  <c r="M18" i="4" s="1"/>
  <c r="K16" i="13"/>
  <c r="M16" i="13" s="1"/>
  <c r="K11" i="13"/>
  <c r="DJ11" i="13" s="1"/>
  <c r="H9" i="13"/>
  <c r="I9" i="13" s="1"/>
  <c r="R10" i="13"/>
  <c r="OP10" i="13"/>
  <c r="MT5" i="12"/>
  <c r="MT17" i="6"/>
  <c r="H16" i="13"/>
  <c r="A16" i="13" s="1" a="1"/>
  <c r="A16" i="13" s="1"/>
  <c r="K8" i="13"/>
  <c r="OP14" i="4"/>
  <c r="H14" i="4"/>
  <c r="I14" i="4" s="1"/>
  <c r="H18" i="4"/>
  <c r="I18" i="4" s="1"/>
  <c r="DK14" i="4"/>
  <c r="MT7" i="6"/>
  <c r="H17" i="6"/>
  <c r="I17" i="6" s="1"/>
  <c r="A17" i="6"/>
  <c r="H7" i="6"/>
  <c r="I7" i="6" s="1"/>
  <c r="MT4" i="12"/>
  <c r="OP16" i="13"/>
  <c r="R11" i="13"/>
  <c r="R18" i="4"/>
  <c r="H5" i="12"/>
  <c r="I5" i="12" s="1"/>
  <c r="H4" i="12"/>
  <c r="I4" i="12" s="1"/>
  <c r="MT5" i="7"/>
  <c r="H5" i="7"/>
  <c r="I5" i="7" s="1"/>
  <c r="CE5" i="7"/>
  <c r="N5" i="7" s="1"/>
  <c r="K5" i="7"/>
  <c r="M5" i="7"/>
  <c r="OP11" i="13"/>
  <c r="J11" i="13"/>
  <c r="F11" i="13"/>
  <c r="I11" i="13"/>
  <c r="R16" i="13"/>
  <c r="K6" i="13"/>
  <c r="O6" i="13" s="1"/>
  <c r="P6" i="13" s="1"/>
  <c r="J16" i="13"/>
  <c r="DK15" i="13"/>
  <c r="OP5" i="13"/>
  <c r="OS5" i="13" s="1"/>
  <c r="F14" i="4"/>
  <c r="OP18" i="4"/>
  <c r="J18" i="4"/>
  <c r="DK7" i="13"/>
  <c r="OP9" i="13"/>
  <c r="OK25" i="4"/>
  <c r="OP25" i="4" s="1"/>
  <c r="OS25" i="4" s="1"/>
  <c r="OK11" i="4"/>
  <c r="OP11" i="4" s="1"/>
  <c r="OK21" i="4"/>
  <c r="OP21" i="4" s="1"/>
  <c r="OK9" i="4"/>
  <c r="OP9" i="4" s="1"/>
  <c r="R8" i="14"/>
  <c r="CD20" i="6"/>
  <c r="L20" i="6" s="1"/>
  <c r="CD6" i="7"/>
  <c r="H8" i="14"/>
  <c r="I8" i="14" s="1"/>
  <c r="NN9" i="14"/>
  <c r="NQ9" i="14" s="1"/>
  <c r="NN8" i="14"/>
  <c r="NQ8" i="14" s="1"/>
  <c r="H14" i="13"/>
  <c r="I14" i="13" s="1"/>
  <c r="K9" i="13"/>
  <c r="O9" i="13" s="1"/>
  <c r="P9" i="13" s="1"/>
  <c r="OP14" i="13"/>
  <c r="K5" i="13"/>
  <c r="O5" i="13" s="1"/>
  <c r="P5" i="13" s="1"/>
  <c r="K12" i="13"/>
  <c r="M12" i="13" s="1"/>
  <c r="H15" i="13"/>
  <c r="I15" i="13" s="1"/>
  <c r="K15" i="13"/>
  <c r="K10" i="13"/>
  <c r="DJ10" i="13" s="1"/>
  <c r="K4" i="13"/>
  <c r="L4" i="13" s="1"/>
  <c r="K7" i="13"/>
  <c r="DJ7" i="13" s="1"/>
  <c r="OP8" i="13"/>
  <c r="K17" i="13"/>
  <c r="DJ17" i="13" s="1"/>
  <c r="K14" i="13"/>
  <c r="O14" i="13" s="1"/>
  <c r="P14" i="13" s="1"/>
  <c r="J9" i="13"/>
  <c r="K13" i="13"/>
  <c r="M13" i="13" s="1"/>
  <c r="OK15" i="4"/>
  <c r="OP15" i="4" s="1"/>
  <c r="OK17" i="4"/>
  <c r="OP17" i="4" s="1"/>
  <c r="MR10" i="12"/>
  <c r="MR8" i="12"/>
  <c r="J7" i="14"/>
  <c r="K9" i="14"/>
  <c r="O9" i="14" s="1"/>
  <c r="K4" i="14"/>
  <c r="M4" i="14" s="1"/>
  <c r="R4" i="14"/>
  <c r="NN6" i="14"/>
  <c r="NQ6" i="14" s="1"/>
  <c r="K5" i="14"/>
  <c r="CO5" i="14" s="1"/>
  <c r="NN5" i="14"/>
  <c r="NQ5" i="14" s="1"/>
  <c r="H5" i="14"/>
  <c r="A5" i="14" s="1" a="1"/>
  <c r="A5" i="14" s="1"/>
  <c r="J5" i="14"/>
  <c r="H6" i="14"/>
  <c r="R5" i="14"/>
  <c r="J6" i="14"/>
  <c r="K6" i="14"/>
  <c r="CO6" i="14" s="1"/>
  <c r="NN7" i="14"/>
  <c r="NQ7" i="14" s="1"/>
  <c r="J8" i="14"/>
  <c r="K8" i="14"/>
  <c r="J4" i="14"/>
  <c r="R7" i="14"/>
  <c r="H9" i="14"/>
  <c r="I9" i="14" s="1"/>
  <c r="J9" i="14"/>
  <c r="I7" i="14"/>
  <c r="H4" i="14"/>
  <c r="I4" i="14" s="1"/>
  <c r="CP9" i="14"/>
  <c r="NN4" i="14"/>
  <c r="NQ4" i="14" s="1"/>
  <c r="O5" i="14"/>
  <c r="L5" i="14"/>
  <c r="J13" i="13"/>
  <c r="J4" i="13"/>
  <c r="I4" i="13"/>
  <c r="I5" i="13"/>
  <c r="DK13" i="13"/>
  <c r="R9" i="13"/>
  <c r="J7" i="13"/>
  <c r="J14" i="13"/>
  <c r="OP4" i="13"/>
  <c r="OS4" i="13" s="1"/>
  <c r="H17" i="13"/>
  <c r="I17" i="13" s="1"/>
  <c r="J17" i="13"/>
  <c r="J6" i="13"/>
  <c r="OP13" i="13"/>
  <c r="H13" i="13"/>
  <c r="H7" i="13"/>
  <c r="I7" i="13" s="1"/>
  <c r="OP7" i="13"/>
  <c r="OP6" i="13"/>
  <c r="OP17" i="13"/>
  <c r="J5" i="13"/>
  <c r="H6" i="13"/>
  <c r="I6" i="13" s="1"/>
  <c r="DK12" i="13"/>
  <c r="OP12" i="13"/>
  <c r="H10" i="13"/>
  <c r="J8" i="13"/>
  <c r="H8" i="13"/>
  <c r="H12" i="13"/>
  <c r="J12" i="13"/>
  <c r="R17" i="13"/>
  <c r="DK17" i="13"/>
  <c r="J15" i="13"/>
  <c r="J10" i="13"/>
  <c r="DG21" i="4"/>
  <c r="OK23" i="4"/>
  <c r="OP23" i="4" s="1"/>
  <c r="OK7" i="4"/>
  <c r="OP7" i="4" s="1"/>
  <c r="OK5" i="4"/>
  <c r="OP5" i="4" s="1"/>
  <c r="OK19" i="4"/>
  <c r="OP19" i="4" s="1"/>
  <c r="OK12" i="4"/>
  <c r="OP12" i="4" s="1"/>
  <c r="OK4" i="4"/>
  <c r="OP4" i="4" s="1"/>
  <c r="OS4" i="4" s="1"/>
  <c r="OK13" i="4"/>
  <c r="OP13" i="4" s="1"/>
  <c r="OK26" i="4"/>
  <c r="OP26" i="4" s="1"/>
  <c r="OS26" i="4" s="1"/>
  <c r="OK8" i="4"/>
  <c r="OP8" i="4" s="1"/>
  <c r="OK10" i="4"/>
  <c r="OP10" i="4" s="1"/>
  <c r="OK24" i="4"/>
  <c r="OP24" i="4" s="1"/>
  <c r="OK16" i="4"/>
  <c r="OP16" i="4" s="1"/>
  <c r="OK6" i="4"/>
  <c r="OP6" i="4" s="1"/>
  <c r="MR7" i="8"/>
  <c r="MR6" i="8"/>
  <c r="MR4" i="8"/>
  <c r="MR7" i="7"/>
  <c r="MR6" i="7"/>
  <c r="MR8" i="7"/>
  <c r="MR4" i="7"/>
  <c r="MP4" i="7"/>
  <c r="CD16" i="6"/>
  <c r="L16" i="6" s="1"/>
  <c r="MR21" i="6"/>
  <c r="MR23" i="6"/>
  <c r="MR15" i="6"/>
  <c r="MR19" i="6"/>
  <c r="MR18" i="6"/>
  <c r="MR20" i="6"/>
  <c r="MR4" i="6"/>
  <c r="MR16" i="6"/>
  <c r="MR11" i="6"/>
  <c r="MR6" i="6"/>
  <c r="MR10" i="6"/>
  <c r="MR9" i="6"/>
  <c r="MQ13" i="12"/>
  <c r="MQ15" i="12"/>
  <c r="MQ7" i="12"/>
  <c r="MR7" i="12"/>
  <c r="MP7" i="12"/>
  <c r="MQ10" i="12"/>
  <c r="MR13" i="12"/>
  <c r="MP13" i="12"/>
  <c r="MQ9" i="12"/>
  <c r="MR15" i="12"/>
  <c r="MP15" i="12"/>
  <c r="MQ14" i="12"/>
  <c r="MR16" i="12"/>
  <c r="MP16" i="12"/>
  <c r="MP10" i="12"/>
  <c r="MS9" i="12"/>
  <c r="MS10" i="12"/>
  <c r="MS7" i="12"/>
  <c r="MS13" i="12"/>
  <c r="MS15" i="12"/>
  <c r="MQ6" i="12"/>
  <c r="MR6" i="12"/>
  <c r="MP6" i="12"/>
  <c r="MS16" i="12"/>
  <c r="MQ16" i="12"/>
  <c r="MR14" i="12"/>
  <c r="MP14" i="12"/>
  <c r="MS6" i="12"/>
  <c r="MR9" i="12"/>
  <c r="MP9" i="12"/>
  <c r="MS14" i="12"/>
  <c r="CD7" i="12"/>
  <c r="L7" i="12" s="1"/>
  <c r="CD15" i="12"/>
  <c r="L15" i="12" s="1"/>
  <c r="CD6" i="12"/>
  <c r="L6" i="12" s="1"/>
  <c r="CD9" i="12"/>
  <c r="L9" i="12" s="1"/>
  <c r="CD10" i="6"/>
  <c r="L10" i="6" s="1"/>
  <c r="CD19" i="6"/>
  <c r="L19" i="6" s="1"/>
  <c r="CD6" i="6"/>
  <c r="L6" i="6" s="1"/>
  <c r="CD23" i="6"/>
  <c r="L23" i="6" s="1"/>
  <c r="CD11" i="6"/>
  <c r="L11" i="6" s="1"/>
  <c r="CD15" i="6"/>
  <c r="CD21" i="6"/>
  <c r="L21" i="6" s="1"/>
  <c r="CD9" i="6"/>
  <c r="L9" i="6" s="1"/>
  <c r="CD7" i="8"/>
  <c r="CD4" i="8"/>
  <c r="CD6" i="8"/>
  <c r="CD8" i="7"/>
  <c r="CD14" i="12"/>
  <c r="L14" i="12" s="1"/>
  <c r="CD10" i="12"/>
  <c r="L10" i="12" s="1"/>
  <c r="CI9" i="9"/>
  <c r="CL9" i="9" s="1"/>
  <c r="CI5" i="9"/>
  <c r="CL5" i="9" s="1"/>
  <c r="CI6" i="9"/>
  <c r="CL6" i="9" s="1"/>
  <c r="CD8" i="12"/>
  <c r="L8" i="12" s="1"/>
  <c r="CD13" i="12"/>
  <c r="L13" i="12" s="1"/>
  <c r="CD16" i="12"/>
  <c r="L16" i="12" s="1"/>
  <c r="CD4" i="6"/>
  <c r="L4" i="6" s="1"/>
  <c r="M4" i="6" s="1"/>
  <c r="CD18" i="6"/>
  <c r="L18" i="6" s="1"/>
  <c r="CD4" i="7"/>
  <c r="CD7" i="7"/>
  <c r="CI7" i="9"/>
  <c r="CL7" i="9" s="1"/>
  <c r="CI4" i="9"/>
  <c r="CL4" i="9" s="1"/>
  <c r="CI8" i="9"/>
  <c r="CL8" i="9" s="1"/>
  <c r="DF4" i="4"/>
  <c r="DE4" i="4"/>
  <c r="LT4" i="6"/>
  <c r="LU4" i="6"/>
  <c r="CE4" i="6" s="1"/>
  <c r="LW4" i="6"/>
  <c r="LT6" i="8"/>
  <c r="LU6" i="8"/>
  <c r="LW6" i="8"/>
  <c r="LT7" i="8"/>
  <c r="LU7" i="8"/>
  <c r="LW7" i="8"/>
  <c r="NI13" i="4"/>
  <c r="NJ13" i="4"/>
  <c r="NK13" i="4"/>
  <c r="NM13" i="4"/>
  <c r="NN13" i="4"/>
  <c r="M15" i="12" l="1"/>
  <c r="CF15" i="12"/>
  <c r="M7" i="12"/>
  <c r="CF7" i="12"/>
  <c r="M6" i="12"/>
  <c r="CF6" i="12"/>
  <c r="M16" i="12"/>
  <c r="CF16" i="12"/>
  <c r="CF5" i="12"/>
  <c r="N5" i="12" s="1"/>
  <c r="M9" i="12"/>
  <c r="CF9" i="12"/>
  <c r="M14" i="12"/>
  <c r="CF14" i="12"/>
  <c r="M13" i="12"/>
  <c r="CF13" i="12"/>
  <c r="CF4" i="12"/>
  <c r="N4" i="12" s="1"/>
  <c r="M10" i="12"/>
  <c r="CF10" i="12"/>
  <c r="N10" i="12" s="1"/>
  <c r="M8" i="12"/>
  <c r="M18" i="6"/>
  <c r="M23" i="6"/>
  <c r="M20" i="6"/>
  <c r="M16" i="6"/>
  <c r="M9" i="6"/>
  <c r="M6" i="6"/>
  <c r="M19" i="6"/>
  <c r="M10" i="6"/>
  <c r="M11" i="6"/>
  <c r="M21" i="6"/>
  <c r="M15" i="6"/>
  <c r="M17" i="6"/>
  <c r="CF17" i="6"/>
  <c r="M7" i="6"/>
  <c r="CF7" i="6"/>
  <c r="O13" i="13"/>
  <c r="P13" i="13" s="1"/>
  <c r="OS5" i="4"/>
  <c r="O7" i="14"/>
  <c r="CN7" i="14" s="1"/>
  <c r="L6" i="14"/>
  <c r="O4" i="14"/>
  <c r="P4" i="14" s="1"/>
  <c r="L4" i="14"/>
  <c r="CO4" i="14"/>
  <c r="M5" i="14"/>
  <c r="N5" i="14" s="1"/>
  <c r="OS13" i="13"/>
  <c r="L9" i="14"/>
  <c r="L18" i="4"/>
  <c r="O18" i="4"/>
  <c r="P18" i="4" s="1"/>
  <c r="DJ18" i="4"/>
  <c r="DJ9" i="13"/>
  <c r="CO9" i="14"/>
  <c r="M9" i="14"/>
  <c r="CM9" i="14" s="1"/>
  <c r="O6" i="14"/>
  <c r="CN6" i="14" s="1"/>
  <c r="L16" i="13"/>
  <c r="N16" i="13" s="1"/>
  <c r="M14" i="4"/>
  <c r="DH14" i="4" s="1"/>
  <c r="OS6" i="4"/>
  <c r="O14" i="4"/>
  <c r="P14" i="4" s="1"/>
  <c r="L14" i="4"/>
  <c r="L7" i="14"/>
  <c r="CO7" i="14"/>
  <c r="DJ16" i="13"/>
  <c r="OS6" i="13"/>
  <c r="OS23" i="4"/>
  <c r="DJ13" i="13"/>
  <c r="OS7" i="13"/>
  <c r="OS11" i="13"/>
  <c r="OS16" i="4"/>
  <c r="OS13" i="4"/>
  <c r="E5" i="12"/>
  <c r="O16" i="13"/>
  <c r="O11" i="13"/>
  <c r="M11" i="13"/>
  <c r="L11" i="13"/>
  <c r="OS15" i="13"/>
  <c r="L9" i="13"/>
  <c r="M9" i="13"/>
  <c r="DH9" i="13" s="1"/>
  <c r="OS16" i="13"/>
  <c r="M10" i="13"/>
  <c r="DH10" i="13" s="1"/>
  <c r="L10" i="13"/>
  <c r="DJ6" i="13"/>
  <c r="M6" i="13"/>
  <c r="DH6" i="13" s="1"/>
  <c r="L6" i="13"/>
  <c r="M5" i="13"/>
  <c r="DH5" i="13" s="1"/>
  <c r="L7" i="13"/>
  <c r="M7" i="13"/>
  <c r="DH7" i="13" s="1"/>
  <c r="M4" i="13"/>
  <c r="DH4" i="13" s="1"/>
  <c r="DJ4" i="13"/>
  <c r="L13" i="13"/>
  <c r="N13" i="13" s="1"/>
  <c r="OS17" i="13"/>
  <c r="I16" i="13"/>
  <c r="A18" i="4" a="1"/>
  <c r="A18" i="4" s="1"/>
  <c r="A14" i="4" a="1"/>
  <c r="A14" i="4" s="1"/>
  <c r="OS14" i="4"/>
  <c r="OS24" i="4"/>
  <c r="O12" i="13"/>
  <c r="P12" i="13" s="1"/>
  <c r="E5" i="7"/>
  <c r="O5" i="7"/>
  <c r="P5" i="7"/>
  <c r="DH16" i="13"/>
  <c r="DJ12" i="13"/>
  <c r="M17" i="13"/>
  <c r="DH17" i="13" s="1"/>
  <c r="O4" i="13"/>
  <c r="L5" i="13"/>
  <c r="L12" i="13"/>
  <c r="N12" i="13" s="1"/>
  <c r="O10" i="13"/>
  <c r="P10" i="13" s="1"/>
  <c r="DI18" i="4"/>
  <c r="N18" i="4"/>
  <c r="DH18" i="4"/>
  <c r="OS18" i="4"/>
  <c r="MT10" i="12"/>
  <c r="MT15" i="12"/>
  <c r="MT13" i="12"/>
  <c r="M14" i="13"/>
  <c r="DH14" i="13" s="1"/>
  <c r="DJ5" i="13"/>
  <c r="O7" i="13"/>
  <c r="OS12" i="13"/>
  <c r="M6" i="14"/>
  <c r="N6" i="14" s="1"/>
  <c r="OS17" i="4"/>
  <c r="OS21" i="4"/>
  <c r="MT14" i="12"/>
  <c r="G4" i="6"/>
  <c r="F4" i="6"/>
  <c r="OS8" i="13"/>
  <c r="OS9" i="13"/>
  <c r="OS10" i="13"/>
  <c r="DJ14" i="13"/>
  <c r="L14" i="13"/>
  <c r="L17" i="13"/>
  <c r="O17" i="13"/>
  <c r="OS14" i="13"/>
  <c r="OS7" i="4"/>
  <c r="OS8" i="4"/>
  <c r="OS9" i="4"/>
  <c r="OS10" i="4"/>
  <c r="OS11" i="4"/>
  <c r="OS15" i="4"/>
  <c r="OS12" i="4"/>
  <c r="OS19" i="4"/>
  <c r="OS22" i="4"/>
  <c r="OS20" i="4"/>
  <c r="I6" i="14"/>
  <c r="I5" i="14"/>
  <c r="L8" i="14"/>
  <c r="M8" i="14"/>
  <c r="CO8" i="14"/>
  <c r="O8" i="14"/>
  <c r="N7" i="14"/>
  <c r="CM7" i="14"/>
  <c r="P9" i="14"/>
  <c r="CN9" i="14"/>
  <c r="CN5" i="14"/>
  <c r="P5" i="14"/>
  <c r="N4" i="14"/>
  <c r="CM4" i="14"/>
  <c r="CN4" i="14"/>
  <c r="A14" i="13" a="1"/>
  <c r="A14" i="13" s="1"/>
  <c r="I13" i="13"/>
  <c r="DH12" i="13"/>
  <c r="DH13" i="13"/>
  <c r="DI6" i="13"/>
  <c r="DI14" i="13"/>
  <c r="DI5" i="13"/>
  <c r="O15" i="13"/>
  <c r="P15" i="13" s="1"/>
  <c r="M15" i="13"/>
  <c r="L15" i="13"/>
  <c r="DJ15" i="13"/>
  <c r="I8" i="13"/>
  <c r="M8" i="13"/>
  <c r="L8" i="13"/>
  <c r="DJ8" i="13"/>
  <c r="O8" i="13"/>
  <c r="P8" i="13" s="1"/>
  <c r="I10" i="13"/>
  <c r="DI9" i="13"/>
  <c r="I12" i="13"/>
  <c r="G13" i="4"/>
  <c r="F13" i="4" s="1"/>
  <c r="Q13" i="4"/>
  <c r="R13" i="4" s="1"/>
  <c r="DG4" i="4"/>
  <c r="MT7" i="12"/>
  <c r="MT9" i="12"/>
  <c r="MT16" i="12"/>
  <c r="MT6" i="12"/>
  <c r="F6" i="8"/>
  <c r="G7" i="8"/>
  <c r="J7" i="8"/>
  <c r="K7" i="8" s="1"/>
  <c r="L7" i="8"/>
  <c r="F7" i="8"/>
  <c r="L6" i="8"/>
  <c r="G6" i="8"/>
  <c r="J6" i="8"/>
  <c r="K6" i="8" s="1"/>
  <c r="LX4" i="6"/>
  <c r="CF4" i="6" s="1"/>
  <c r="LX7" i="8"/>
  <c r="MP21" i="6"/>
  <c r="MP7" i="8"/>
  <c r="MP6" i="8"/>
  <c r="MQ21" i="6"/>
  <c r="MS21" i="6"/>
  <c r="LX6" i="8"/>
  <c r="MQ7" i="8"/>
  <c r="MS7" i="8"/>
  <c r="MQ6" i="8"/>
  <c r="MS6" i="8"/>
  <c r="NL13" i="4"/>
  <c r="NO13" i="4" s="1"/>
  <c r="O4" i="12" l="1"/>
  <c r="P4" i="12"/>
  <c r="O10" i="12"/>
  <c r="P10" i="12"/>
  <c r="E4" i="12"/>
  <c r="P5" i="12"/>
  <c r="O5" i="12"/>
  <c r="DI13" i="13"/>
  <c r="P7" i="14"/>
  <c r="CM5" i="14"/>
  <c r="S5" i="14" s="1"/>
  <c r="N9" i="14"/>
  <c r="N4" i="13"/>
  <c r="P6" i="14"/>
  <c r="DI14" i="4"/>
  <c r="S14" i="4" s="1"/>
  <c r="N14" i="4"/>
  <c r="N11" i="13"/>
  <c r="DI4" i="13"/>
  <c r="S4" i="13" s="1"/>
  <c r="U4" i="13" s="1"/>
  <c r="P4" i="13"/>
  <c r="DI11" i="13"/>
  <c r="P11" i="13"/>
  <c r="DI16" i="13"/>
  <c r="S16" i="13" s="1"/>
  <c r="P16" i="13"/>
  <c r="DI17" i="13"/>
  <c r="S17" i="13" s="1"/>
  <c r="P17" i="13"/>
  <c r="DI7" i="13"/>
  <c r="S7" i="13" s="1"/>
  <c r="P7" i="13"/>
  <c r="N17" i="6"/>
  <c r="N17" i="13"/>
  <c r="N7" i="6"/>
  <c r="DH11" i="13"/>
  <c r="N9" i="13"/>
  <c r="N10" i="13"/>
  <c r="DI10" i="13"/>
  <c r="S10" i="13" s="1"/>
  <c r="T10" i="13" s="1"/>
  <c r="N6" i="13"/>
  <c r="N5" i="13"/>
  <c r="N7" i="13"/>
  <c r="H7" i="8"/>
  <c r="I7" i="8" s="1"/>
  <c r="DI12" i="13"/>
  <c r="S12" i="13" s="1"/>
  <c r="N14" i="13"/>
  <c r="S18" i="4"/>
  <c r="E18" i="4" s="1"/>
  <c r="H6" i="8"/>
  <c r="I6" i="8" s="1"/>
  <c r="CM6" i="14"/>
  <c r="S6" i="14" s="1"/>
  <c r="H4" i="6"/>
  <c r="I4" i="6" s="1"/>
  <c r="DK13" i="4"/>
  <c r="K13" i="4"/>
  <c r="O13" i="4" s="1"/>
  <c r="P13" i="4" s="1"/>
  <c r="J13" i="4"/>
  <c r="A8" i="14" a="1"/>
  <c r="A8" i="14" s="1"/>
  <c r="A6" i="14" a="1"/>
  <c r="A6" i="14" s="1"/>
  <c r="CN8" i="14"/>
  <c r="P8" i="14"/>
  <c r="N8" i="14"/>
  <c r="CM8" i="14"/>
  <c r="S9" i="14"/>
  <c r="U9" i="14" s="1"/>
  <c r="S7" i="14"/>
  <c r="E7" i="14" s="1"/>
  <c r="S4" i="14"/>
  <c r="S6" i="13"/>
  <c r="N15" i="13"/>
  <c r="DH15" i="13"/>
  <c r="S9" i="13"/>
  <c r="DI15" i="13"/>
  <c r="S14" i="13"/>
  <c r="S5" i="13"/>
  <c r="S13" i="13"/>
  <c r="DI8" i="13"/>
  <c r="DH8" i="13"/>
  <c r="N8" i="13"/>
  <c r="H13" i="4"/>
  <c r="A13" i="4" s="1" a="1"/>
  <c r="A13" i="4" s="1"/>
  <c r="M6" i="8"/>
  <c r="M7" i="8"/>
  <c r="CF6" i="8"/>
  <c r="MT21" i="6"/>
  <c r="MT7" i="8"/>
  <c r="CE6" i="8"/>
  <c r="CF7" i="8"/>
  <c r="MT6" i="8"/>
  <c r="CE7" i="8"/>
  <c r="O7" i="6" l="1"/>
  <c r="P7" i="6"/>
  <c r="O17" i="6"/>
  <c r="P17" i="6"/>
  <c r="E17" i="13"/>
  <c r="S11" i="13"/>
  <c r="T11" i="13" s="1"/>
  <c r="E17" i="6"/>
  <c r="E7" i="6"/>
  <c r="E12" i="13"/>
  <c r="E10" i="13"/>
  <c r="E6" i="13"/>
  <c r="E5" i="13"/>
  <c r="E7" i="13"/>
  <c r="T16" i="13"/>
  <c r="U16" i="13"/>
  <c r="E16" i="13"/>
  <c r="E14" i="13"/>
  <c r="T14" i="4"/>
  <c r="U14" i="4"/>
  <c r="E14" i="4"/>
  <c r="U18" i="4"/>
  <c r="T18" i="4"/>
  <c r="U10" i="13"/>
  <c r="T9" i="14"/>
  <c r="U7" i="14"/>
  <c r="E9" i="14"/>
  <c r="S8" i="14"/>
  <c r="T8" i="14" s="1"/>
  <c r="T7" i="14"/>
  <c r="U4" i="14"/>
  <c r="T4" i="14"/>
  <c r="E4" i="14"/>
  <c r="U5" i="14"/>
  <c r="T5" i="14"/>
  <c r="U6" i="14"/>
  <c r="T6" i="14"/>
  <c r="E6" i="14"/>
  <c r="E5" i="14"/>
  <c r="T6" i="13"/>
  <c r="U6" i="13"/>
  <c r="U7" i="13"/>
  <c r="U12" i="13"/>
  <c r="T7" i="13"/>
  <c r="T4" i="13"/>
  <c r="U17" i="13"/>
  <c r="T17" i="13"/>
  <c r="E4" i="13"/>
  <c r="T12" i="13"/>
  <c r="T9" i="13"/>
  <c r="U9" i="13"/>
  <c r="S15" i="13"/>
  <c r="U13" i="13"/>
  <c r="T13" i="13"/>
  <c r="U5" i="13"/>
  <c r="T5" i="13"/>
  <c r="U14" i="13"/>
  <c r="T14" i="13"/>
  <c r="E9" i="13"/>
  <c r="S8" i="13"/>
  <c r="E13" i="13"/>
  <c r="I13" i="4"/>
  <c r="M13" i="4"/>
  <c r="L13" i="4"/>
  <c r="N6" i="8"/>
  <c r="E6" i="8" s="1"/>
  <c r="DJ13" i="4"/>
  <c r="N7" i="8"/>
  <c r="E7" i="8" s="1"/>
  <c r="E11" i="13" l="1"/>
  <c r="U11" i="13"/>
  <c r="N13" i="4"/>
  <c r="E8" i="14"/>
  <c r="U8" i="14"/>
  <c r="U8" i="13"/>
  <c r="T8" i="13"/>
  <c r="U15" i="13"/>
  <c r="T15" i="13"/>
  <c r="E8" i="13"/>
  <c r="E15" i="13"/>
  <c r="DH13" i="4"/>
  <c r="DI13" i="4"/>
  <c r="N4" i="6"/>
  <c r="P4" i="6" s="1"/>
  <c r="P6" i="8"/>
  <c r="O6" i="8"/>
  <c r="O7" i="8"/>
  <c r="P7" i="8"/>
  <c r="E4" i="6" l="1"/>
  <c r="O4" i="6"/>
  <c r="A13" i="13" a="1"/>
  <c r="A13" i="13" s="1"/>
  <c r="A10" i="13" a="1"/>
  <c r="A10" i="13" s="1"/>
  <c r="A4" i="14" a="1"/>
  <c r="A4" i="14" s="1"/>
  <c r="A7" i="14" a="1"/>
  <c r="A7" i="14" s="1"/>
  <c r="A9" i="14" a="1"/>
  <c r="A9" i="14" s="1"/>
  <c r="A9" i="13" a="1"/>
  <c r="A9" i="13" s="1"/>
  <c r="A17" i="13" a="1"/>
  <c r="A17" i="13" s="1"/>
  <c r="A8" i="13" a="1"/>
  <c r="A8" i="13" s="1"/>
  <c r="A6" i="13" a="1"/>
  <c r="A6" i="13" s="1"/>
  <c r="A4" i="13" a="1"/>
  <c r="A4" i="13" s="1"/>
  <c r="A5" i="13" a="1"/>
  <c r="A5" i="13" s="1"/>
  <c r="A7" i="13" a="1"/>
  <c r="A7" i="13" s="1"/>
  <c r="A15" i="13" a="1"/>
  <c r="A15" i="13" s="1"/>
  <c r="A12" i="13" a="1"/>
  <c r="A12" i="13" s="1"/>
  <c r="S13" i="4"/>
  <c r="E13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3" i="4"/>
  <c r="T13" i="4"/>
  <c r="LT10" i="6"/>
  <c r="LU10" i="6"/>
  <c r="CE10" i="6" s="1"/>
  <c r="LW10" i="6"/>
  <c r="NI7" i="4"/>
  <c r="NJ7" i="4"/>
  <c r="NK7" i="4"/>
  <c r="NM7" i="4"/>
  <c r="NN7" i="4"/>
  <c r="NI16" i="4"/>
  <c r="NJ16" i="4"/>
  <c r="NK16" i="4"/>
  <c r="NM16" i="4"/>
  <c r="NN16" i="4"/>
  <c r="G10" i="6" l="1"/>
  <c r="F10" i="6"/>
  <c r="G7" i="4"/>
  <c r="F7" i="4" s="1"/>
  <c r="G9" i="12"/>
  <c r="F9" i="12"/>
  <c r="F6" i="12"/>
  <c r="G6" i="12"/>
  <c r="G16" i="4"/>
  <c r="F16" i="4" s="1"/>
  <c r="Q16" i="4"/>
  <c r="R16" i="4" s="1"/>
  <c r="Q7" i="4"/>
  <c r="R7" i="4" s="1"/>
  <c r="NL16" i="4"/>
  <c r="NO16" i="4" s="1"/>
  <c r="LX10" i="6"/>
  <c r="CF10" i="6" s="1"/>
  <c r="NL7" i="4"/>
  <c r="NO7" i="4" s="1"/>
  <c r="MS23" i="6"/>
  <c r="MQ23" i="6"/>
  <c r="MP23" i="6"/>
  <c r="H9" i="12" l="1"/>
  <c r="I9" i="12" s="1"/>
  <c r="H16" i="4"/>
  <c r="I16" i="4" s="1"/>
  <c r="H6" i="12"/>
  <c r="I6" i="12" s="1"/>
  <c r="H10" i="6"/>
  <c r="I10" i="6" s="1"/>
  <c r="K7" i="4"/>
  <c r="O7" i="4" s="1"/>
  <c r="P7" i="4" s="1"/>
  <c r="J7" i="4"/>
  <c r="K16" i="4"/>
  <c r="O16" i="4" s="1"/>
  <c r="P16" i="4" s="1"/>
  <c r="J16" i="4"/>
  <c r="H7" i="4"/>
  <c r="DK7" i="4"/>
  <c r="MT23" i="6"/>
  <c r="DK16" i="4"/>
  <c r="M16" i="4" l="1"/>
  <c r="DJ7" i="4"/>
  <c r="I7" i="4"/>
  <c r="L16" i="4"/>
  <c r="M7" i="4"/>
  <c r="L7" i="4"/>
  <c r="DJ16" i="4"/>
  <c r="N7" i="4" l="1"/>
  <c r="N16" i="4"/>
  <c r="DH7" i="4"/>
  <c r="DH16" i="4"/>
  <c r="DI16" i="4"/>
  <c r="DI7" i="4"/>
  <c r="N9" i="12"/>
  <c r="N10" i="6"/>
  <c r="O10" i="6" l="1"/>
  <c r="P10" i="6"/>
  <c r="O9" i="12"/>
  <c r="P9" i="12"/>
  <c r="N6" i="12"/>
  <c r="S7" i="4"/>
  <c r="T7" i="4" s="1"/>
  <c r="S16" i="4"/>
  <c r="E16" i="4" s="1"/>
  <c r="E9" i="12"/>
  <c r="E10" i="6"/>
  <c r="O6" i="12" l="1"/>
  <c r="P6" i="12"/>
  <c r="E6" i="12"/>
  <c r="E7" i="4"/>
  <c r="U7" i="4"/>
  <c r="U16" i="4"/>
  <c r="T16" i="4"/>
  <c r="LT4" i="7" l="1"/>
  <c r="LU4" i="7"/>
  <c r="LW4" i="7"/>
  <c r="G4" i="7" l="1"/>
  <c r="F4" i="7"/>
  <c r="L4" i="7"/>
  <c r="CF4" i="7" s="1"/>
  <c r="J4" i="7"/>
  <c r="K4" i="7" s="1"/>
  <c r="LX4" i="7"/>
  <c r="H4" i="7" l="1"/>
  <c r="I4" i="7" s="1"/>
  <c r="CE4" i="7"/>
  <c r="N4" i="7" s="1"/>
  <c r="P4" i="7" s="1"/>
  <c r="M4" i="7"/>
  <c r="E4" i="7" l="1"/>
  <c r="O4" i="7"/>
  <c r="NI26" i="4" l="1"/>
  <c r="NJ26" i="4"/>
  <c r="NK26" i="4"/>
  <c r="NM26" i="4"/>
  <c r="NN26" i="4"/>
  <c r="G26" i="4" l="1"/>
  <c r="F26" i="4" s="1"/>
  <c r="H26" i="4"/>
  <c r="Q26" i="4"/>
  <c r="R26" i="4" s="1"/>
  <c r="NL26" i="4"/>
  <c r="NO26" i="4" s="1"/>
  <c r="K4" i="4" l="1"/>
  <c r="O4" i="4" s="1"/>
  <c r="P4" i="4" s="1"/>
  <c r="K26" i="4"/>
  <c r="O26" i="4" s="1"/>
  <c r="P26" i="4" s="1"/>
  <c r="J26" i="4"/>
  <c r="A26" i="4" a="1"/>
  <c r="A26" i="4" s="1"/>
  <c r="I26" i="4"/>
  <c r="K10" i="4"/>
  <c r="DK26" i="4"/>
  <c r="K24" i="4" l="1"/>
  <c r="O24" i="4" s="1"/>
  <c r="P24" i="4" s="1"/>
  <c r="K25" i="4"/>
  <c r="O25" i="4" s="1"/>
  <c r="P25" i="4" s="1"/>
  <c r="K19" i="4"/>
  <c r="O19" i="4" s="1"/>
  <c r="P19" i="4" s="1"/>
  <c r="K9" i="4"/>
  <c r="O9" i="4" s="1"/>
  <c r="P9" i="4" s="1"/>
  <c r="K15" i="4"/>
  <c r="O15" i="4" s="1"/>
  <c r="P15" i="4" s="1"/>
  <c r="K21" i="4"/>
  <c r="O21" i="4" s="1"/>
  <c r="P21" i="4" s="1"/>
  <c r="K5" i="4"/>
  <c r="O5" i="4" s="1"/>
  <c r="P5" i="4" s="1"/>
  <c r="K8" i="4"/>
  <c r="O8" i="4" s="1"/>
  <c r="P8" i="4" s="1"/>
  <c r="K12" i="4"/>
  <c r="O12" i="4" s="1"/>
  <c r="P12" i="4" s="1"/>
  <c r="K17" i="4"/>
  <c r="O17" i="4" s="1"/>
  <c r="P17" i="4" s="1"/>
  <c r="K23" i="4"/>
  <c r="O23" i="4" s="1"/>
  <c r="P23" i="4" s="1"/>
  <c r="K11" i="4"/>
  <c r="O11" i="4" s="1"/>
  <c r="P11" i="4" s="1"/>
  <c r="K6" i="4"/>
  <c r="O6" i="4" s="1"/>
  <c r="P6" i="4" s="1"/>
  <c r="O10" i="4"/>
  <c r="P10" i="4" s="1"/>
  <c r="M4" i="4"/>
  <c r="L26" i="4"/>
  <c r="M26" i="4"/>
  <c r="DJ26" i="4"/>
  <c r="NO4" i="9"/>
  <c r="NO6" i="9"/>
  <c r="NO10" i="9"/>
  <c r="NO7" i="9"/>
  <c r="NO5" i="9"/>
  <c r="NO8" i="9"/>
  <c r="NO9" i="9"/>
  <c r="N26" i="4" l="1"/>
  <c r="DH26" i="4"/>
  <c r="DI26" i="4"/>
  <c r="MR8" i="9"/>
  <c r="MR9" i="9"/>
  <c r="MR7" i="9"/>
  <c r="MR10" i="9"/>
  <c r="MR6" i="9"/>
  <c r="MR5" i="9"/>
  <c r="MR4" i="9"/>
  <c r="NM12" i="4"/>
  <c r="NM24" i="4"/>
  <c r="NM17" i="4"/>
  <c r="NM25" i="4"/>
  <c r="NM9" i="4"/>
  <c r="NM19" i="4"/>
  <c r="NM21" i="4"/>
  <c r="NM15" i="4"/>
  <c r="NM11" i="4"/>
  <c r="NM23" i="4"/>
  <c r="NM5" i="4"/>
  <c r="NM10" i="4"/>
  <c r="NM8" i="4"/>
  <c r="NM6" i="4"/>
  <c r="NM4" i="4"/>
  <c r="S26" i="4" l="1"/>
  <c r="E26" i="4" s="1"/>
  <c r="Q10" i="9"/>
  <c r="R10" i="9" s="1"/>
  <c r="MN10" i="9"/>
  <c r="MO10" i="9"/>
  <c r="MP10" i="9"/>
  <c r="MS10" i="9"/>
  <c r="Q6" i="9"/>
  <c r="R6" i="9" s="1"/>
  <c r="MN6" i="9"/>
  <c r="MO6" i="9"/>
  <c r="MP6" i="9"/>
  <c r="MS6" i="9"/>
  <c r="G6" i="9" l="1"/>
  <c r="F6" i="9" s="1"/>
  <c r="H6" i="9"/>
  <c r="G10" i="9"/>
  <c r="U26" i="4"/>
  <c r="T26" i="4"/>
  <c r="MQ10" i="9"/>
  <c r="MT10" i="9" s="1"/>
  <c r="MQ6" i="9"/>
  <c r="MT6" i="9" s="1"/>
  <c r="CP10" i="9"/>
  <c r="CP6" i="9"/>
  <c r="H10" i="9" l="1"/>
  <c r="A10" i="9" s="1" a="1"/>
  <c r="A10" i="9" s="1"/>
  <c r="I6" i="9"/>
  <c r="F10" i="9"/>
  <c r="K10" i="9"/>
  <c r="L10" i="9" s="1"/>
  <c r="J10" i="9"/>
  <c r="K6" i="9"/>
  <c r="L6" i="9" s="1"/>
  <c r="J6" i="9"/>
  <c r="A6" i="9" a="1"/>
  <c r="A6" i="9" s="1"/>
  <c r="G10" i="12"/>
  <c r="I10" i="9" l="1"/>
  <c r="F10" i="12"/>
  <c r="O10" i="9"/>
  <c r="CN10" i="9" s="1"/>
  <c r="M10" i="9"/>
  <c r="CM10" i="9" s="1"/>
  <c r="O6" i="9"/>
  <c r="M6" i="9"/>
  <c r="N6" i="9" s="1"/>
  <c r="CO10" i="9"/>
  <c r="CO6" i="9"/>
  <c r="NI12" i="4"/>
  <c r="G12" i="4" s="1"/>
  <c r="F12" i="4" s="1"/>
  <c r="NJ12" i="4"/>
  <c r="NK12" i="4"/>
  <c r="NN12" i="4"/>
  <c r="H10" i="12" l="1"/>
  <c r="I10" i="12" s="1"/>
  <c r="Q12" i="4"/>
  <c r="R12" i="4" s="1"/>
  <c r="H12" i="4"/>
  <c r="I12" i="4" s="1"/>
  <c r="P6" i="9"/>
  <c r="P10" i="9"/>
  <c r="CM6" i="9"/>
  <c r="N10" i="9"/>
  <c r="S10" i="9"/>
  <c r="U10" i="9" s="1"/>
  <c r="CN6" i="9"/>
  <c r="NL12" i="4"/>
  <c r="NO12" i="4" l="1"/>
  <c r="J12" i="4"/>
  <c r="A12" i="4" a="1"/>
  <c r="A12" i="4" s="1"/>
  <c r="S6" i="9"/>
  <c r="U6" i="9" s="1"/>
  <c r="T10" i="9"/>
  <c r="E10" i="9"/>
  <c r="DK12" i="4"/>
  <c r="E10" i="12"/>
  <c r="NK6" i="9"/>
  <c r="NK10" i="9"/>
  <c r="NK7" i="9"/>
  <c r="NK5" i="9"/>
  <c r="NK8" i="9"/>
  <c r="NK9" i="9"/>
  <c r="NK4" i="9"/>
  <c r="M12" i="4" l="1"/>
  <c r="L12" i="4"/>
  <c r="E6" i="9"/>
  <c r="T6" i="9"/>
  <c r="DJ12" i="4"/>
  <c r="MP15" i="6"/>
  <c r="MP6" i="6"/>
  <c r="MP10" i="6"/>
  <c r="MP4" i="8"/>
  <c r="MP6" i="7"/>
  <c r="NP10" i="9"/>
  <c r="MQ8" i="12"/>
  <c r="MS8" i="12"/>
  <c r="MS16" i="6"/>
  <c r="MP20" i="6"/>
  <c r="MP4" i="6"/>
  <c r="MP16" i="6"/>
  <c r="MQ15" i="6"/>
  <c r="MS20" i="6"/>
  <c r="MQ20" i="6"/>
  <c r="MP11" i="6"/>
  <c r="MS6" i="6"/>
  <c r="MS10" i="6"/>
  <c r="MP9" i="6"/>
  <c r="MP19" i="6"/>
  <c r="MP18" i="6"/>
  <c r="MS18" i="6"/>
  <c r="MQ18" i="6"/>
  <c r="MS11" i="6"/>
  <c r="MQ11" i="6"/>
  <c r="MQ6" i="6"/>
  <c r="MQ9" i="6"/>
  <c r="MQ10" i="6"/>
  <c r="MS9" i="6"/>
  <c r="MS15" i="6"/>
  <c r="MS19" i="6"/>
  <c r="MS4" i="6"/>
  <c r="MQ16" i="6"/>
  <c r="MQ4" i="8"/>
  <c r="MS4" i="8"/>
  <c r="MS7" i="7"/>
  <c r="MQ7" i="7"/>
  <c r="MQ6" i="7"/>
  <c r="MQ8" i="7"/>
  <c r="MQ4" i="7"/>
  <c r="MP8" i="7"/>
  <c r="MS8" i="7"/>
  <c r="MP7" i="7"/>
  <c r="MS6" i="7"/>
  <c r="MS4" i="7"/>
  <c r="NM9" i="9"/>
  <c r="NM8" i="9"/>
  <c r="NL10" i="9"/>
  <c r="NL6" i="9"/>
  <c r="NL8" i="9"/>
  <c r="NL9" i="9"/>
  <c r="NM4" i="9"/>
  <c r="NM10" i="9"/>
  <c r="NM7" i="9"/>
  <c r="NP4" i="9"/>
  <c r="NP7" i="9"/>
  <c r="NP6" i="9"/>
  <c r="NL5" i="9"/>
  <c r="NL7" i="9"/>
  <c r="NM6" i="9"/>
  <c r="NP8" i="9"/>
  <c r="NM5" i="9"/>
  <c r="NL4" i="9"/>
  <c r="NP9" i="9"/>
  <c r="NP5" i="9"/>
  <c r="MP8" i="12"/>
  <c r="MQ4" i="6"/>
  <c r="MQ19" i="6"/>
  <c r="N12" i="4" l="1"/>
  <c r="DI12" i="4"/>
  <c r="DH12" i="4"/>
  <c r="MT7" i="7"/>
  <c r="MT11" i="6"/>
  <c r="NN6" i="9"/>
  <c r="NQ6" i="9" s="1"/>
  <c r="NN7" i="9"/>
  <c r="NQ7" i="9" s="1"/>
  <c r="MT15" i="6"/>
  <c r="MT10" i="6"/>
  <c r="MT8" i="12"/>
  <c r="MT6" i="6"/>
  <c r="MT18" i="6"/>
  <c r="MT4" i="7"/>
  <c r="MT8" i="7"/>
  <c r="MT6" i="7"/>
  <c r="MT20" i="6"/>
  <c r="MT16" i="6"/>
  <c r="MT4" i="8"/>
  <c r="NN4" i="9"/>
  <c r="NQ4" i="9" s="1"/>
  <c r="NN8" i="9"/>
  <c r="NQ8" i="9" s="1"/>
  <c r="NN5" i="9"/>
  <c r="NQ5" i="9" s="1"/>
  <c r="NN9" i="9"/>
  <c r="NQ9" i="9" s="1"/>
  <c r="MT9" i="6"/>
  <c r="MT19" i="6"/>
  <c r="MT4" i="6"/>
  <c r="NN10" i="9"/>
  <c r="NQ10" i="9" s="1"/>
  <c r="LT15" i="6"/>
  <c r="LT11" i="6"/>
  <c r="LT20" i="6"/>
  <c r="LT16" i="6"/>
  <c r="LT6" i="6"/>
  <c r="LT18" i="6"/>
  <c r="LT21" i="6"/>
  <c r="LT23" i="6"/>
  <c r="LT9" i="6"/>
  <c r="LT19" i="6"/>
  <c r="S12" i="4" l="1"/>
  <c r="E12" i="4" s="1"/>
  <c r="LT8" i="12"/>
  <c r="U12" i="4" l="1"/>
  <c r="T12" i="4"/>
  <c r="LU4" i="8"/>
  <c r="G4" i="8"/>
  <c r="LU7" i="7"/>
  <c r="LU6" i="7"/>
  <c r="LU8" i="7"/>
  <c r="G15" i="12"/>
  <c r="G7" i="12"/>
  <c r="LW8" i="12"/>
  <c r="LU8" i="12"/>
  <c r="CE8" i="12" s="1"/>
  <c r="G14" i="12"/>
  <c r="G16" i="12"/>
  <c r="G13" i="12"/>
  <c r="G8" i="12" l="1"/>
  <c r="F15" i="12"/>
  <c r="F16" i="12"/>
  <c r="F8" i="12"/>
  <c r="F14" i="12"/>
  <c r="F7" i="12"/>
  <c r="F13" i="12"/>
  <c r="G7" i="7"/>
  <c r="J7" i="7"/>
  <c r="K7" i="7" s="1"/>
  <c r="G6" i="7"/>
  <c r="J6" i="7"/>
  <c r="K6" i="7" s="1"/>
  <c r="J8" i="7"/>
  <c r="K8" i="7" s="1"/>
  <c r="G8" i="7"/>
  <c r="J4" i="8"/>
  <c r="K4" i="8" s="1"/>
  <c r="LX8" i="12"/>
  <c r="CF8" i="12" s="1"/>
  <c r="H8" i="12" l="1"/>
  <c r="I8" i="12" s="1"/>
  <c r="H15" i="12"/>
  <c r="I15" i="12" s="1"/>
  <c r="H16" i="12"/>
  <c r="I16" i="12" s="1"/>
  <c r="H14" i="12"/>
  <c r="I14" i="12" s="1"/>
  <c r="H7" i="12"/>
  <c r="I7" i="12" s="1"/>
  <c r="H13" i="12"/>
  <c r="I13" i="12" s="1"/>
  <c r="N13" i="12" l="1"/>
  <c r="N16" i="12"/>
  <c r="O16" i="12" l="1"/>
  <c r="P16" i="12"/>
  <c r="O13" i="12"/>
  <c r="P13" i="12"/>
  <c r="E13" i="12"/>
  <c r="N7" i="12"/>
  <c r="N8" i="12"/>
  <c r="N14" i="12"/>
  <c r="E16" i="12"/>
  <c r="P7" i="12" l="1"/>
  <c r="O7" i="12"/>
  <c r="N15" i="12"/>
  <c r="O14" i="12"/>
  <c r="P14" i="12"/>
  <c r="O8" i="12"/>
  <c r="P8" i="12"/>
  <c r="E7" i="12"/>
  <c r="E14" i="12"/>
  <c r="E8" i="12"/>
  <c r="O15" i="12" l="1"/>
  <c r="P15" i="12"/>
  <c r="E15" i="12"/>
  <c r="A5" i="12"/>
  <c r="A4" i="12"/>
  <c r="A6" i="12"/>
  <c r="A9" i="12"/>
  <c r="A10" i="12"/>
  <c r="A8" i="12"/>
  <c r="A13" i="12"/>
  <c r="A7" i="12"/>
  <c r="A16" i="12"/>
  <c r="A15" i="12"/>
  <c r="A14" i="12"/>
  <c r="LW15" i="6"/>
  <c r="LU15" i="6"/>
  <c r="CE15" i="6" s="1"/>
  <c r="LW20" i="6"/>
  <c r="LU20" i="6"/>
  <c r="CE20" i="6" s="1"/>
  <c r="LW11" i="6"/>
  <c r="LU11" i="6"/>
  <c r="CE11" i="6" s="1"/>
  <c r="LW18" i="6"/>
  <c r="LU18" i="6"/>
  <c r="CE18" i="6" s="1"/>
  <c r="LW6" i="6"/>
  <c r="LU6" i="6"/>
  <c r="CE6" i="6" s="1"/>
  <c r="LW16" i="6"/>
  <c r="LU16" i="6"/>
  <c r="CE16" i="6" s="1"/>
  <c r="LW19" i="6"/>
  <c r="LU19" i="6"/>
  <c r="CE19" i="6" s="1"/>
  <c r="LW21" i="6"/>
  <c r="LU21" i="6"/>
  <c r="CE21" i="6" s="1"/>
  <c r="LW23" i="6"/>
  <c r="LU23" i="6"/>
  <c r="CE23" i="6" s="1"/>
  <c r="LW9" i="6"/>
  <c r="LU9" i="6"/>
  <c r="CE9" i="6" s="1"/>
  <c r="C50" i="11" l="1"/>
  <c r="C57" i="11"/>
  <c r="C51" i="11"/>
  <c r="C52" i="11"/>
  <c r="C53" i="11"/>
  <c r="C54" i="11"/>
  <c r="C55" i="11"/>
  <c r="C56" i="11"/>
  <c r="G20" i="6"/>
  <c r="F20" i="6"/>
  <c r="G16" i="6"/>
  <c r="F16" i="6"/>
  <c r="G11" i="6"/>
  <c r="F11" i="6"/>
  <c r="G19" i="6"/>
  <c r="F19" i="6"/>
  <c r="G21" i="6"/>
  <c r="F21" i="6"/>
  <c r="G15" i="6"/>
  <c r="F15" i="6"/>
  <c r="G6" i="6"/>
  <c r="F6" i="6"/>
  <c r="G23" i="6"/>
  <c r="F23" i="6"/>
  <c r="G9" i="6"/>
  <c r="F9" i="6"/>
  <c r="G18" i="6"/>
  <c r="F18" i="6"/>
  <c r="D51" i="11"/>
  <c r="D56" i="11"/>
  <c r="D57" i="11"/>
  <c r="D50" i="11"/>
  <c r="D52" i="11"/>
  <c r="D53" i="11"/>
  <c r="D54" i="11"/>
  <c r="D55" i="11"/>
  <c r="LX9" i="6"/>
  <c r="CF9" i="6" s="1"/>
  <c r="LX18" i="6"/>
  <c r="CF18" i="6" s="1"/>
  <c r="LX19" i="6"/>
  <c r="CF19" i="6" s="1"/>
  <c r="LX15" i="6"/>
  <c r="CF15" i="6" s="1"/>
  <c r="LX16" i="6"/>
  <c r="CF16" i="6" s="1"/>
  <c r="LX23" i="6"/>
  <c r="CF23" i="6" s="1"/>
  <c r="LX11" i="6"/>
  <c r="CF11" i="6" s="1"/>
  <c r="LX6" i="6"/>
  <c r="CF6" i="6" s="1"/>
  <c r="LX21" i="6"/>
  <c r="CF21" i="6" s="1"/>
  <c r="LX20" i="6"/>
  <c r="CF20" i="6" s="1"/>
  <c r="H23" i="6" l="1"/>
  <c r="I23" i="6" s="1"/>
  <c r="H19" i="6"/>
  <c r="I19" i="6" s="1"/>
  <c r="H6" i="6"/>
  <c r="I6" i="6" s="1"/>
  <c r="H11" i="6"/>
  <c r="I11" i="6" s="1"/>
  <c r="H18" i="6"/>
  <c r="I18" i="6" s="1"/>
  <c r="H15" i="6"/>
  <c r="I15" i="6" s="1"/>
  <c r="H16" i="6"/>
  <c r="I16" i="6" s="1"/>
  <c r="H9" i="6"/>
  <c r="I9" i="6" s="1"/>
  <c r="H21" i="6"/>
  <c r="I21" i="6" s="1"/>
  <c r="H20" i="6"/>
  <c r="I20" i="6" s="1"/>
  <c r="MN5" i="9"/>
  <c r="MN9" i="9"/>
  <c r="MN8" i="9"/>
  <c r="MN7" i="9"/>
  <c r="MN4" i="9"/>
  <c r="NI4" i="4"/>
  <c r="G4" i="4" s="1"/>
  <c r="F4" i="4" s="1"/>
  <c r="NI6" i="4"/>
  <c r="G6" i="4" s="1"/>
  <c r="F6" i="4" s="1"/>
  <c r="NI8" i="4"/>
  <c r="G8" i="4" s="1"/>
  <c r="F8" i="4" s="1"/>
  <c r="NI23" i="4"/>
  <c r="G23" i="4" s="1"/>
  <c r="F23" i="4" s="1"/>
  <c r="NI10" i="4"/>
  <c r="G10" i="4" s="1"/>
  <c r="F10" i="4" s="1"/>
  <c r="NI11" i="4"/>
  <c r="G11" i="4" s="1"/>
  <c r="F11" i="4" s="1"/>
  <c r="NI21" i="4"/>
  <c r="G21" i="4" s="1"/>
  <c r="F21" i="4" s="1"/>
  <c r="NI15" i="4"/>
  <c r="G15" i="4" s="1"/>
  <c r="F15" i="4" s="1"/>
  <c r="NI19" i="4"/>
  <c r="G19" i="4" s="1"/>
  <c r="F19" i="4" s="1"/>
  <c r="NI5" i="4"/>
  <c r="G5" i="4" s="1"/>
  <c r="F5" i="4" s="1"/>
  <c r="NI9" i="4"/>
  <c r="G9" i="4" s="1"/>
  <c r="F9" i="4" s="1"/>
  <c r="NI25" i="4"/>
  <c r="G25" i="4" s="1"/>
  <c r="F25" i="4" s="1"/>
  <c r="NI17" i="4"/>
  <c r="G17" i="4" s="1"/>
  <c r="F17" i="4" s="1"/>
  <c r="NI24" i="4"/>
  <c r="G24" i="4" s="1"/>
  <c r="F24" i="4" s="1"/>
  <c r="G8" i="9" l="1"/>
  <c r="F8" i="9" s="1"/>
  <c r="G9" i="9"/>
  <c r="F9" i="9" s="1"/>
  <c r="G5" i="9"/>
  <c r="F5" i="9" s="1"/>
  <c r="G4" i="9"/>
  <c r="F4" i="9" s="1"/>
  <c r="G7" i="9"/>
  <c r="F7" i="9" s="1"/>
  <c r="L4" i="8"/>
  <c r="M4" i="8" s="1"/>
  <c r="L7" i="7"/>
  <c r="M7" i="7" s="1"/>
  <c r="L6" i="7"/>
  <c r="M6" i="7" s="1"/>
  <c r="L8" i="7"/>
  <c r="M8" i="7" s="1"/>
  <c r="Q4" i="9"/>
  <c r="R4" i="9" s="1"/>
  <c r="Q7" i="9"/>
  <c r="R7" i="9" s="1"/>
  <c r="Q8" i="9"/>
  <c r="R8" i="9" s="1"/>
  <c r="Q9" i="9"/>
  <c r="R9" i="9" s="1"/>
  <c r="Q5" i="9"/>
  <c r="R5" i="9" s="1"/>
  <c r="Q15" i="4" l="1"/>
  <c r="R15" i="4" s="1"/>
  <c r="Q6" i="4"/>
  <c r="R6" i="4" s="1"/>
  <c r="Q4" i="4"/>
  <c r="R4" i="4" s="1"/>
  <c r="Q24" i="4"/>
  <c r="R24" i="4" s="1"/>
  <c r="Q8" i="4"/>
  <c r="R8" i="4" s="1"/>
  <c r="Q25" i="4"/>
  <c r="R25" i="4" s="1"/>
  <c r="Q17" i="4"/>
  <c r="R17" i="4" s="1"/>
  <c r="Q23" i="4"/>
  <c r="R23" i="4" s="1"/>
  <c r="Q10" i="4"/>
  <c r="R10" i="4" s="1"/>
  <c r="Q5" i="4"/>
  <c r="R5" i="4" s="1"/>
  <c r="Q11" i="4"/>
  <c r="R11" i="4" s="1"/>
  <c r="Q19" i="4"/>
  <c r="R19" i="4" s="1"/>
  <c r="Q9" i="4"/>
  <c r="R9" i="4" s="1"/>
  <c r="Q21" i="4"/>
  <c r="R21" i="4" s="1"/>
  <c r="CE6" i="7"/>
  <c r="K8" i="9" l="1"/>
  <c r="L8" i="9" s="1"/>
  <c r="K4" i="9"/>
  <c r="L4" i="9" s="1"/>
  <c r="K7" i="9"/>
  <c r="L7" i="9" s="1"/>
  <c r="K9" i="9"/>
  <c r="L9" i="9" s="1"/>
  <c r="K5" i="9"/>
  <c r="L5" i="9" s="1"/>
  <c r="CE8" i="7"/>
  <c r="CE7" i="7"/>
  <c r="CE4" i="8"/>
  <c r="M5" i="4" l="1"/>
  <c r="L5" i="4"/>
  <c r="L25" i="4"/>
  <c r="M25" i="4"/>
  <c r="L11" i="4"/>
  <c r="M11" i="4"/>
  <c r="L10" i="4"/>
  <c r="M10" i="4"/>
  <c r="M21" i="4"/>
  <c r="L21" i="4"/>
  <c r="L24" i="4"/>
  <c r="M24" i="4"/>
  <c r="M23" i="4"/>
  <c r="L23" i="4"/>
  <c r="M17" i="4"/>
  <c r="L17" i="4"/>
  <c r="L4" i="4"/>
  <c r="M8" i="4"/>
  <c r="L8" i="4"/>
  <c r="M9" i="4"/>
  <c r="L9" i="4"/>
  <c r="M15" i="4"/>
  <c r="L15" i="4"/>
  <c r="L19" i="4"/>
  <c r="M19" i="4"/>
  <c r="L6" i="4"/>
  <c r="M6" i="4"/>
  <c r="M4" i="9"/>
  <c r="O4" i="9"/>
  <c r="O7" i="9"/>
  <c r="M7" i="9"/>
  <c r="M8" i="9"/>
  <c r="N8" i="9" s="1"/>
  <c r="O8" i="9"/>
  <c r="P8" i="9" s="1"/>
  <c r="O5" i="9"/>
  <c r="P5" i="9" s="1"/>
  <c r="M5" i="9"/>
  <c r="N5" i="9" s="1"/>
  <c r="O9" i="9"/>
  <c r="P9" i="9" s="1"/>
  <c r="M9" i="9"/>
  <c r="N9" i="9" s="1"/>
  <c r="N10" i="4" l="1"/>
  <c r="N25" i="4"/>
  <c r="N21" i="4"/>
  <c r="N6" i="4"/>
  <c r="N24" i="4"/>
  <c r="N19" i="4"/>
  <c r="N17" i="4"/>
  <c r="N11" i="4"/>
  <c r="N8" i="4"/>
  <c r="N4" i="4"/>
  <c r="N23" i="4"/>
  <c r="N15" i="4"/>
  <c r="N9" i="4"/>
  <c r="N5" i="4"/>
  <c r="N7" i="9"/>
  <c r="P7" i="9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MO7" i="9" l="1"/>
  <c r="MP7" i="9"/>
  <c r="MS7" i="9"/>
  <c r="H7" i="9" l="1"/>
  <c r="CP7" i="9"/>
  <c r="CN7" i="9"/>
  <c r="CM7" i="9"/>
  <c r="MQ7" i="9"/>
  <c r="J7" i="9" s="1"/>
  <c r="I7" i="9" l="1"/>
  <c r="A7" i="9" a="1"/>
  <c r="A7" i="9" s="1"/>
  <c r="MT7" i="9"/>
  <c r="CO7" i="9"/>
  <c r="N21" i="6"/>
  <c r="P21" i="6" s="1"/>
  <c r="N18" i="6"/>
  <c r="P18" i="6" s="1"/>
  <c r="O18" i="6" l="1"/>
  <c r="O21" i="6"/>
  <c r="E21" i="6"/>
  <c r="E18" i="6"/>
  <c r="NJ4" i="4"/>
  <c r="NK4" i="4"/>
  <c r="NN4" i="4"/>
  <c r="DI4" i="4" l="1"/>
  <c r="H4" i="4"/>
  <c r="DH4" i="4"/>
  <c r="DK4" i="4"/>
  <c r="S7" i="9"/>
  <c r="NL4" i="4"/>
  <c r="J4" i="4" s="1"/>
  <c r="I4" i="4" l="1"/>
  <c r="NO4" i="4"/>
  <c r="T7" i="9"/>
  <c r="U7" i="9"/>
  <c r="DJ4" i="4"/>
  <c r="E7" i="9"/>
  <c r="MO8" i="9"/>
  <c r="MP8" i="9"/>
  <c r="MS8" i="9"/>
  <c r="H8" i="9" l="1"/>
  <c r="CP8" i="9"/>
  <c r="CN8" i="9"/>
  <c r="CM8" i="9"/>
  <c r="S4" i="4"/>
  <c r="U4" i="4" s="1"/>
  <c r="MQ8" i="9"/>
  <c r="J8" i="9" s="1"/>
  <c r="I8" i="9" l="1"/>
  <c r="A8" i="9" a="1"/>
  <c r="A8" i="9" s="1"/>
  <c r="MT8" i="9"/>
  <c r="CO8" i="9"/>
  <c r="T4" i="4"/>
  <c r="E4" i="4"/>
  <c r="S8" i="9" l="1"/>
  <c r="U8" i="9" s="1"/>
  <c r="T8" i="9" l="1"/>
  <c r="E8" i="9"/>
  <c r="LW8" i="7" l="1"/>
  <c r="LT8" i="7"/>
  <c r="LW6" i="7"/>
  <c r="LT6" i="7"/>
  <c r="LW4" i="8"/>
  <c r="LT4" i="8"/>
  <c r="F6" i="7" l="1"/>
  <c r="F8" i="7"/>
  <c r="F4" i="8"/>
  <c r="CF4" i="8"/>
  <c r="CF6" i="7"/>
  <c r="CF8" i="7"/>
  <c r="LX6" i="7"/>
  <c r="LX8" i="7"/>
  <c r="LX4" i="8"/>
  <c r="NN10" i="4"/>
  <c r="NK10" i="4"/>
  <c r="NJ10" i="4"/>
  <c r="NN15" i="4"/>
  <c r="NK15" i="4"/>
  <c r="NJ15" i="4"/>
  <c r="NN25" i="4"/>
  <c r="NK25" i="4"/>
  <c r="NJ25" i="4"/>
  <c r="NN24" i="4"/>
  <c r="NK24" i="4"/>
  <c r="NJ24" i="4"/>
  <c r="NN17" i="4"/>
  <c r="NK17" i="4"/>
  <c r="NJ17" i="4"/>
  <c r="H8" i="7" l="1"/>
  <c r="I8" i="7" s="1"/>
  <c r="H6" i="7"/>
  <c r="I6" i="7" s="1"/>
  <c r="H4" i="8"/>
  <c r="I4" i="8" s="1"/>
  <c r="H24" i="4"/>
  <c r="H15" i="4"/>
  <c r="A6" i="7"/>
  <c r="N6" i="7"/>
  <c r="P6" i="7" s="1"/>
  <c r="DH24" i="4"/>
  <c r="DH15" i="4"/>
  <c r="DI15" i="4"/>
  <c r="DH25" i="4"/>
  <c r="DI17" i="4"/>
  <c r="DI25" i="4"/>
  <c r="DI10" i="4"/>
  <c r="DI24" i="4"/>
  <c r="DK24" i="4"/>
  <c r="DK25" i="4"/>
  <c r="DK15" i="4"/>
  <c r="DH17" i="4"/>
  <c r="DK17" i="4"/>
  <c r="N8" i="7"/>
  <c r="P8" i="7" s="1"/>
  <c r="DH10" i="4"/>
  <c r="DK10" i="4"/>
  <c r="NL17" i="4"/>
  <c r="NL10" i="4"/>
  <c r="NL25" i="4"/>
  <c r="NL24" i="4"/>
  <c r="J24" i="4" s="1"/>
  <c r="NL15" i="4"/>
  <c r="J15" i="4" s="1"/>
  <c r="H17" i="4" l="1"/>
  <c r="J17" i="4"/>
  <c r="H25" i="4"/>
  <c r="I25" i="4" s="1"/>
  <c r="J25" i="4"/>
  <c r="H10" i="4"/>
  <c r="I10" i="4" s="1"/>
  <c r="J10" i="4"/>
  <c r="I15" i="4"/>
  <c r="A24" i="4" a="1"/>
  <c r="A24" i="4" s="1"/>
  <c r="I24" i="4"/>
  <c r="NO25" i="4"/>
  <c r="NO10" i="4"/>
  <c r="NO17" i="4"/>
  <c r="NO24" i="4"/>
  <c r="NO15" i="4"/>
  <c r="O6" i="7"/>
  <c r="E6" i="7"/>
  <c r="O8" i="7"/>
  <c r="E8" i="7"/>
  <c r="DJ10" i="4"/>
  <c r="DJ17" i="4"/>
  <c r="DJ24" i="4"/>
  <c r="DJ25" i="4"/>
  <c r="DJ15" i="4"/>
  <c r="I17" i="4" l="1"/>
  <c r="A25" i="4" a="1"/>
  <c r="A25" i="4" s="1"/>
  <c r="A17" i="4" a="1"/>
  <c r="A17" i="4" s="1"/>
  <c r="S24" i="4"/>
  <c r="U24" i="4" s="1"/>
  <c r="S25" i="4"/>
  <c r="U25" i="4" s="1"/>
  <c r="S17" i="4"/>
  <c r="U17" i="4" s="1"/>
  <c r="N16" i="6"/>
  <c r="P16" i="6" s="1"/>
  <c r="O16" i="6" l="1"/>
  <c r="T17" i="4"/>
  <c r="E17" i="4"/>
  <c r="T24" i="4"/>
  <c r="E24" i="4"/>
  <c r="T25" i="4"/>
  <c r="E25" i="4"/>
  <c r="N4" i="8"/>
  <c r="P4" i="8" s="1"/>
  <c r="S15" i="4"/>
  <c r="U15" i="4" s="1"/>
  <c r="E16" i="6"/>
  <c r="N11" i="6"/>
  <c r="P11" i="6" s="1"/>
  <c r="NJ11" i="4"/>
  <c r="NK11" i="4"/>
  <c r="NN11" i="4"/>
  <c r="NJ6" i="4"/>
  <c r="NK6" i="4"/>
  <c r="NN6" i="4"/>
  <c r="NJ23" i="4"/>
  <c r="NK23" i="4"/>
  <c r="NN23" i="4"/>
  <c r="NJ8" i="4"/>
  <c r="NK8" i="4"/>
  <c r="NN8" i="4"/>
  <c r="NJ21" i="4"/>
  <c r="NK21" i="4"/>
  <c r="NN21" i="4"/>
  <c r="NJ5" i="4"/>
  <c r="NK5" i="4"/>
  <c r="NN5" i="4"/>
  <c r="NJ19" i="4"/>
  <c r="NK19" i="4"/>
  <c r="NN19" i="4"/>
  <c r="NJ9" i="4"/>
  <c r="NK9" i="4"/>
  <c r="NN9" i="4"/>
  <c r="MS5" i="9"/>
  <c r="MO9" i="9"/>
  <c r="MP9" i="9"/>
  <c r="MS9" i="9"/>
  <c r="MP5" i="9"/>
  <c r="MO5" i="9"/>
  <c r="LW7" i="7"/>
  <c r="LT7" i="7"/>
  <c r="O11" i="6" l="1"/>
  <c r="H9" i="9"/>
  <c r="H5" i="9"/>
  <c r="H21" i="4"/>
  <c r="I21" i="4" s="1"/>
  <c r="F7" i="7"/>
  <c r="O4" i="8"/>
  <c r="DK19" i="4"/>
  <c r="DI5" i="4"/>
  <c r="DK21" i="4"/>
  <c r="DK8" i="4"/>
  <c r="DH8" i="4"/>
  <c r="DI23" i="4"/>
  <c r="CF7" i="7"/>
  <c r="CN5" i="9"/>
  <c r="CM9" i="9"/>
  <c r="CM5" i="9"/>
  <c r="CP9" i="9"/>
  <c r="CN9" i="9"/>
  <c r="CP5" i="9"/>
  <c r="DH21" i="4"/>
  <c r="DH19" i="4"/>
  <c r="DK6" i="4"/>
  <c r="DH6" i="4"/>
  <c r="DH23" i="4"/>
  <c r="DH11" i="4"/>
  <c r="DK9" i="4"/>
  <c r="DH9" i="4"/>
  <c r="DI19" i="4"/>
  <c r="DK5" i="4"/>
  <c r="DH5" i="4"/>
  <c r="DI21" i="4"/>
  <c r="DI8" i="4"/>
  <c r="DK23" i="4"/>
  <c r="DI6" i="4"/>
  <c r="DK11" i="4"/>
  <c r="DI9" i="4"/>
  <c r="DI11" i="4"/>
  <c r="S10" i="4"/>
  <c r="U10" i="4" s="1"/>
  <c r="T15" i="4"/>
  <c r="E15" i="4"/>
  <c r="E4" i="8"/>
  <c r="A5" i="8" s="1"/>
  <c r="E11" i="6"/>
  <c r="MQ5" i="9"/>
  <c r="J5" i="9" s="1"/>
  <c r="MQ9" i="9"/>
  <c r="J9" i="9" s="1"/>
  <c r="NL11" i="4"/>
  <c r="NL9" i="4"/>
  <c r="NL8" i="4"/>
  <c r="LX7" i="7"/>
  <c r="NL21" i="4"/>
  <c r="J21" i="4" s="1"/>
  <c r="NL5" i="4"/>
  <c r="NL23" i="4"/>
  <c r="NL6" i="4"/>
  <c r="NL19" i="4"/>
  <c r="H7" i="7" l="1"/>
  <c r="I7" i="7" s="1"/>
  <c r="A5" i="9" a="1"/>
  <c r="A5" i="9" s="1"/>
  <c r="I5" i="9"/>
  <c r="I9" i="9"/>
  <c r="A9" i="9" a="1"/>
  <c r="A9" i="9" s="1"/>
  <c r="H5" i="4"/>
  <c r="I5" i="4" s="1"/>
  <c r="J5" i="4"/>
  <c r="H9" i="4"/>
  <c r="I9" i="4" s="1"/>
  <c r="J9" i="4"/>
  <c r="H8" i="4"/>
  <c r="I8" i="4" s="1"/>
  <c r="J8" i="4"/>
  <c r="H11" i="4"/>
  <c r="I11" i="4" s="1"/>
  <c r="J11" i="4"/>
  <c r="H19" i="4"/>
  <c r="I19" i="4" s="1"/>
  <c r="J19" i="4"/>
  <c r="H6" i="4"/>
  <c r="J6" i="4"/>
  <c r="H23" i="4"/>
  <c r="I23" i="4" s="1"/>
  <c r="J23" i="4"/>
  <c r="NO11" i="4"/>
  <c r="NO5" i="4"/>
  <c r="NO21" i="4"/>
  <c r="NO23" i="4"/>
  <c r="NO8" i="4"/>
  <c r="NO6" i="4"/>
  <c r="NO19" i="4"/>
  <c r="NO9" i="4"/>
  <c r="MT9" i="9"/>
  <c r="MT5" i="9"/>
  <c r="A7" i="7"/>
  <c r="N7" i="7"/>
  <c r="P7" i="7" s="1"/>
  <c r="CO9" i="9"/>
  <c r="CO5" i="9"/>
  <c r="DJ8" i="4"/>
  <c r="DJ23" i="4"/>
  <c r="DJ19" i="4"/>
  <c r="DJ11" i="4"/>
  <c r="DJ9" i="4"/>
  <c r="DJ6" i="4"/>
  <c r="DJ21" i="4"/>
  <c r="DJ5" i="4"/>
  <c r="T10" i="4"/>
  <c r="E10" i="4"/>
  <c r="I6" i="4" l="1"/>
  <c r="A23" i="4" a="1"/>
  <c r="A23" i="4" s="1"/>
  <c r="A19" i="4" a="1"/>
  <c r="A19" i="4" s="1"/>
  <c r="A11" i="4" a="1"/>
  <c r="A11" i="4" s="1"/>
  <c r="O7" i="7"/>
  <c r="E7" i="7"/>
  <c r="A5" i="7" s="1"/>
  <c r="N9" i="6"/>
  <c r="N6" i="6"/>
  <c r="P6" i="6" s="1"/>
  <c r="N19" i="6"/>
  <c r="P19" i="6" s="1"/>
  <c r="O9" i="6" l="1"/>
  <c r="P9" i="6"/>
  <c r="O6" i="6"/>
  <c r="O19" i="6"/>
  <c r="E9" i="6"/>
  <c r="E19" i="6"/>
  <c r="N20" i="6"/>
  <c r="P20" i="6" s="1"/>
  <c r="N15" i="6"/>
  <c r="P15" i="6" s="1"/>
  <c r="N23" i="6"/>
  <c r="P23" i="6" s="1"/>
  <c r="S5" i="9"/>
  <c r="U5" i="9" s="1"/>
  <c r="S8" i="4"/>
  <c r="U8" i="4" s="1"/>
  <c r="E6" i="6"/>
  <c r="S9" i="4"/>
  <c r="U9" i="4" s="1"/>
  <c r="S19" i="4"/>
  <c r="U19" i="4" s="1"/>
  <c r="S5" i="4"/>
  <c r="U5" i="4" s="1"/>
  <c r="O20" i="6" l="1"/>
  <c r="O23" i="6"/>
  <c r="O15" i="6"/>
  <c r="T8" i="4"/>
  <c r="E8" i="4"/>
  <c r="S6" i="4"/>
  <c r="U6" i="4" s="1"/>
  <c r="S11" i="4"/>
  <c r="U11" i="4" s="1"/>
  <c r="T5" i="4"/>
  <c r="E5" i="4"/>
  <c r="T9" i="4"/>
  <c r="E9" i="4"/>
  <c r="T19" i="4"/>
  <c r="E19" i="4"/>
  <c r="S21" i="4"/>
  <c r="U21" i="4" s="1"/>
  <c r="S23" i="4"/>
  <c r="U23" i="4" s="1"/>
  <c r="S9" i="9"/>
  <c r="T5" i="9"/>
  <c r="E23" i="6"/>
  <c r="A23" i="6" s="1"/>
  <c r="E15" i="6"/>
  <c r="A7" i="6" s="1"/>
  <c r="E20" i="6"/>
  <c r="A10" i="6" s="1"/>
  <c r="E5" i="9"/>
  <c r="A5" i="6" l="1"/>
  <c r="A8" i="6"/>
  <c r="A4" i="6"/>
  <c r="A7" i="8"/>
  <c r="A6" i="8"/>
  <c r="A11" i="6"/>
  <c r="A20" i="6"/>
  <c r="A15" i="6"/>
  <c r="A6" i="6"/>
  <c r="A16" i="6"/>
  <c r="A9" i="6"/>
  <c r="A19" i="6"/>
  <c r="A21" i="6"/>
  <c r="A18" i="6"/>
  <c r="A4" i="7"/>
  <c r="T9" i="9"/>
  <c r="U9" i="9"/>
  <c r="T11" i="4"/>
  <c r="E11" i="4"/>
  <c r="T23" i="4"/>
  <c r="E23" i="4"/>
  <c r="T6" i="4"/>
  <c r="E6" i="4"/>
  <c r="A7" i="4" s="1" a="1"/>
  <c r="A7" i="4" s="1"/>
  <c r="T21" i="4"/>
  <c r="E21" i="4"/>
  <c r="E9" i="9"/>
  <c r="A4" i="9" s="1" a="1"/>
  <c r="A4" i="9" s="1"/>
  <c r="C19" i="11" l="1"/>
  <c r="A9" i="4" a="1"/>
  <c r="A9" i="4" s="1"/>
  <c r="A8" i="4" a="1"/>
  <c r="A8" i="4" s="1"/>
  <c r="A4" i="4" a="1"/>
  <c r="A4" i="4" s="1"/>
  <c r="A5" i="4" a="1"/>
  <c r="A5" i="4" s="1"/>
  <c r="C42" i="11"/>
  <c r="C43" i="11"/>
  <c r="C44" i="11"/>
  <c r="C45" i="11"/>
  <c r="C46" i="11"/>
  <c r="C47" i="11"/>
  <c r="C48" i="11"/>
  <c r="C49" i="11"/>
  <c r="A21" i="4" a="1"/>
  <c r="A21" i="4" s="1"/>
  <c r="A16" i="4" a="1"/>
  <c r="A16" i="4" s="1"/>
  <c r="A15" i="4" a="1"/>
  <c r="A15" i="4" s="1"/>
  <c r="A6" i="4" a="1"/>
  <c r="A6" i="4" s="1"/>
  <c r="A10" i="4" a="1"/>
  <c r="A10" i="4" s="1"/>
  <c r="D43" i="11"/>
  <c r="D44" i="11"/>
  <c r="D45" i="11"/>
  <c r="D49" i="11"/>
  <c r="D42" i="11"/>
  <c r="D46" i="11"/>
  <c r="D47" i="11"/>
  <c r="D48" i="11"/>
  <c r="A4" i="8"/>
  <c r="A8" i="7"/>
  <c r="C26" i="11" s="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<sst xmlns="http://schemas.openxmlformats.org/spreadsheetml/2006/main" count="3919" uniqueCount="194">
  <si>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</si>
  <si>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</si>
  <si>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</si>
  <si>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</si>
  <si>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</si>
  <si>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</si>
  <si>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</si>
  <si>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</si>
  <si>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</si>
  <si>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</si>
  <si>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</si>
  <si>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</si>
  <si>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</si>
  <si>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</si>
  <si>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</si>
  <si>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</si>
  <si>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</si>
  <si>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</si>
  <si>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</si>
  <si>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</si>
  <si>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</si>
  <si>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</si>
  <si>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</si>
  <si>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</si>
  <si>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</si>
  <si>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</si>
  <si>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</si>
  <si>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</si>
  <si>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</si>
  <si>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</si>
  <si>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</si>
  <si>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</si>
  <si>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</si>
  <si>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</si>
  <si>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</si>
  <si>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</si>
  <si>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</si>
  <si>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</si>
  <si>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</si>
  <si>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</si>
  <si>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</si>
  <si>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</si>
  <si>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</si>
  <si>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</si>
  <si>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</si>
  <si>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</si>
  <si>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</si>
  <si>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</si>
  <si>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</si>
  <si>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</si>
  <si>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SUNDQUIST, Callum</t>
  </si>
  <si>
    <t>LEFAIVRE, Justin</t>
  </si>
  <si>
    <t>SHEEHAN, Ryan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</si>
  <si>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</si>
  <si>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</si>
  <si>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</si>
  <si>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</si>
  <si>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</si>
  <si>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</si>
  <si>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</si>
  <si>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</si>
  <si>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</si>
  <si>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</si>
  <si>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</si>
  <si>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</si>
  <si>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</si>
  <si>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</si>
  <si>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</si>
  <si>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</si>
  <si>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</si>
  <si>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</si>
  <si>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</si>
  <si>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</si>
  <si>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</si>
  <si>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</si>
  <si>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</si>
  <si>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</si>
  <si>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</si>
  <si>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</si>
  <si>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</si>
  <si>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</si>
  <si>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</si>
  <si>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</si>
  <si>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</si>
  <si>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</si>
  <si>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HIPEL, Zoe</t>
  </si>
  <si>
    <t>ZEUNER, Michael</t>
  </si>
  <si>
    <t>Injury</t>
  </si>
  <si>
    <t>P</t>
  </si>
  <si>
    <t>Injury Score</t>
  </si>
  <si>
    <t>Year of Birth</t>
  </si>
  <si>
    <t>2001/1999</t>
  </si>
  <si>
    <t>Select</t>
  </si>
  <si>
    <t>Delete oldest domestic trial</t>
  </si>
  <si>
    <t>Add a new athlete to:</t>
  </si>
  <si>
    <t>CHARTIER, Jérémy</t>
  </si>
  <si>
    <t>MOULD, Blake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</si>
  <si>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</si>
  <si>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</si>
  <si>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</si>
  <si>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</si>
  <si>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</si>
  <si>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</si>
  <si>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</si>
  <si>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</si>
  <si>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</si>
  <si>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</si>
  <si>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</si>
  <si>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</si>
  <si>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</si>
  <si>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</si>
  <si>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FRIGON, Charles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</si>
  <si>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</si>
  <si>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</si>
  <si>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</si>
  <si>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</si>
  <si>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</si>
  <si>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</si>
  <si>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</si>
  <si>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</si>
  <si>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</si>
  <si>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</si>
  <si>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</si>
  <si>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</si>
  <si>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</si>
  <si>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</si>
  <si>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</si>
  <si>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</si>
  <si>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</si>
  <si>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</si>
  <si>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</si>
  <si>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</si>
  <si>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</si>
  <si>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</si>
  <si>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</si>
  <si>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</si>
  <si>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</si>
  <si>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</si>
  <si>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</si>
  <si>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</si>
  <si>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CHARTIER &amp; SOEHN</t>
  </si>
  <si>
    <t>Delete oldest international competitions</t>
  </si>
  <si>
    <t>2020 World Cup AZE (Feb 15)</t>
  </si>
  <si>
    <t>2020 World Cup AZE (Feb 16)</t>
  </si>
  <si>
    <t>1998/1992</t>
  </si>
  <si>
    <t>QC/BC</t>
  </si>
  <si>
    <t>MÉTHOT &amp; SMITH</t>
  </si>
  <si>
    <t>NS</t>
  </si>
  <si>
    <t>DWYER, Kai</t>
  </si>
  <si>
    <t>AUBIN, Rémi</t>
  </si>
  <si>
    <t>FLYNN, Gabby</t>
  </si>
  <si>
    <t>DODD, Kristina</t>
  </si>
  <si>
    <t>NB</t>
  </si>
  <si>
    <t>RICHARD, Dexter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</si>
  <si>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</si>
  <si>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</si>
  <si>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</si>
  <si>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</si>
  <si>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</si>
  <si>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</si>
  <si>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</si>
  <si>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</si>
  <si>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</si>
  <si>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</si>
  <si>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</si>
  <si>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</si>
  <si>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*Changed manually for 2021 rules</t>
  </si>
  <si>
    <t>*Bonham and Flynn should have excellence score (but not DD)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</si>
  <si>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</si>
  <si>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</si>
  <si>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</si>
  <si>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</si>
  <si>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</si>
  <si>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</si>
  <si>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</si>
  <si>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</si>
  <si>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</si>
  <si>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</si>
  <si>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</si>
  <si>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</si>
  <si>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</si>
  <si>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</si>
  <si>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</si>
  <si>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</si>
  <si>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</si>
  <si>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</si>
  <si>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</si>
  <si>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</si>
  <si>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</si>
  <si>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</si>
  <si>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2020 World Cup AZE</t>
  </si>
  <si>
    <t>2021 2nd Technical Trial</t>
  </si>
  <si>
    <t>Best 4 Pass</t>
  </si>
  <si>
    <t>Fixed DMT Calculation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</si>
</sst>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64</v>
      </c>
      <c r="B1" t="s">
        <v>1</v>
      </c>
      <c r="C1" t="s">
        <v>66</v>
      </c>
      <c r="D1" s="126" t="s">
        <v>16</v>
      </c>
      <c r="E1" s="52"/>
      <c r="F1" s="52"/>
      <c r="J1" s="52"/>
      <c r="K1" s="52"/>
      <c r="L1" s="52"/>
    </row>
    <row r="2" spans="1:12" x14ac:dyDescent="0.2">
      <c r="A2" s="10" t="s">
        <v>65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Merit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SHUH, Nathan</v>
      </c>
      <c r="D3" s="122" t="str">
        <f>IF(B3&gt;MAX('TRA-M'!A:A),"",INDEX('TRA-M'!I:I,MATCH(B3,'TRA-M'!A:A,0)))</f>
        <v>Worlds Team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Excellence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AUBIN, Rémi</v>
      </c>
      <c r="D5" s="12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SÉROUART, Guillaume</v>
      </c>
      <c r="D7" s="122" t="str">
        <f>IF(B7&gt;MAX('TRA-M'!A:A),"",INDEX('TRA-M'!I:I,MATCH(B7,'TRA-M'!A:A,0)))</f>
        <v>National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BLAKELY, Zachary</v>
      </c>
      <c r="D8" s="122" t="str">
        <f>IF(B8&gt;MAX('TRA-M'!A:A),"",INDEX('TRA-M'!I:I,MATCH(B8,'TRA-M'!A:A,0)))</f>
        <v>National Team</v>
      </c>
      <c r="G8" s="53"/>
    </row>
    <row r="9" spans="1:12" x14ac:dyDescent="0.2">
      <c r="A9" s="10"/>
      <c r="B9" s="10">
        <v>8</v>
      </c>
      <c r="C9" s="10" t="str">
        <f>IF(B9&gt;MAX('TRA-M'!A:A),"",INDEX('TRA-M'!B:B,MATCH(B9,'TRA-M'!A:A,0)))</f>
        <v>LAGACÉ, Benjamin</v>
      </c>
      <c r="D9" s="122" t="str">
        <f>IF(B9&gt;MAX('TRA-M'!A:A),"",INDEX('TRA-M'!I:I,MATCH(B9,'TRA-M'!A:A,0)))</f>
        <v>National Team</v>
      </c>
    </row>
    <row r="10" spans="1:12" x14ac:dyDescent="0.2">
      <c r="A10" s="13" t="s">
        <v>68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SMITH, Samantha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MÉTHOT, Sophiane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TAM, Rachel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MADIGAN, Mariah</v>
      </c>
      <c r="D15" s="128" t="str">
        <f>IF(B7&gt;MAX('TRA-W'!A:A),"",INDEX('TRA-W'!I:I,MATCH(B7,'TRA-W'!A:A,0)))</f>
        <v>Worlds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BERTHIAUME, Sara-Jade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CIRONE, Domenica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69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70</v>
      </c>
      <c r="B22" s="13">
        <v>1</v>
      </c>
      <c r="C22" s="13" t="str">
        <f>IF(B2&gt;MAX('SYN-W'!A:A),"",INDEX('SYN-W'!B:B,MATCH(B2,'SYN-W'!A:A,0)))</f>
        <v>MILETTE &amp; TAM</v>
      </c>
      <c r="D22" s="123" t="str">
        <f>IF(B2&gt;MAX('SYN-W'!A:A),"",INDEX('SYN-W'!I:I,MATCH(B2,'SYN-W'!A:A,0)))</f>
        <v>National Team</v>
      </c>
    </row>
    <row r="23" spans="1:10" x14ac:dyDescent="0.2">
      <c r="A23" s="13"/>
      <c r="B23" s="13">
        <v>2</v>
      </c>
      <c r="C23" s="13" t="str">
        <f>IF(B3&gt;MAX('SYN-W'!A:A),"",INDEX('SYN-W'!B:B,MATCH(B3,'SYN-W'!A:A,0)))</f>
        <v>MADIGAN &amp; NAGANO</v>
      </c>
      <c r="D23" s="128" t="str">
        <f>IF(B3&gt;MAX('SYN-W'!A:A),"",INDEX('SYN-W'!I:I,MATCH(B3,'SYN-W'!A:A,0)))</f>
        <v>No DD</v>
      </c>
    </row>
    <row r="24" spans="1:10" x14ac:dyDescent="0.2">
      <c r="A24" s="13"/>
      <c r="B24" s="13">
        <v>3</v>
      </c>
      <c r="C24" s="13" t="str">
        <f>IF(B4&gt;MAX('SYN-W'!A:A),"",INDEX('SYN-W'!B:B,MATCH(B4,'SYN-W'!A:A,0)))</f>
        <v>BONHAM &amp; FLYNN</v>
      </c>
      <c r="D24" s="128" t="str">
        <f>IF(B4&gt;MAX('SYN-W'!A:A),"",INDEX('SYN-W'!I:I,MATCH(B4,'SYN-W'!A:A,0)))</f>
        <v>No DD</v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71</v>
      </c>
      <c r="B26" s="10">
        <v>1</v>
      </c>
      <c r="C26" s="10" t="str">
        <f>IF(B2&gt;MAX('TUM-M'!A:A),"",INDEX('TUM-M'!B:B,MATCH(B2,'TUM-M'!A:A,0)))</f>
        <v>FERNANDES, Antonio</v>
      </c>
      <c r="D26" s="122" t="str">
        <f>IF(B2&gt;MAX('TUM-M'!A:A),"",INDEX('TUM-M'!H:H,MATCH(B2,'TUM-M'!A:A,0)))</f>
        <v>Worlds Team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122" t="str">
        <f>IF(B3&gt;MAX('TUM-M'!A:A),"",INDEX('TUM-M'!H:H,MATCH(B3,'TUM-M'!A:A,0)))</f>
        <v>National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72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Excellence</v>
      </c>
    </row>
    <row r="35" spans="1:4" x14ac:dyDescent="0.2">
      <c r="A35" s="13"/>
      <c r="B35" s="13">
        <v>2</v>
      </c>
      <c r="C35" s="13" t="str">
        <f>IF(B3&gt;MAX('TUM-W'!A:A),"",INDEX('TUM-W'!B:B,MATCH(B3,'TUM-W'!A:A,0)))</f>
        <v>SPENCE, Abby</v>
      </c>
      <c r="D35" s="123" t="str">
        <f>IF(B3&gt;MAX('TUM-W'!A:A),"",INDEX('TUM-W'!H:H,MATCH(B3,'TUM-W'!A:A,0)))</f>
        <v>National Team</v>
      </c>
    </row>
    <row r="36" spans="1:4" x14ac:dyDescent="0.2">
      <c r="A36" s="13"/>
      <c r="B36" s="13">
        <v>3</v>
      </c>
      <c r="C36" s="13" t="str">
        <f>IF(B4&gt;MAX('TUM-W'!A:A),"",INDEX('TUM-W'!B:B,MATCH(B4,'TUM-W'!A:A,0)))</f>
        <v>HARRISON, Emily</v>
      </c>
      <c r="D36" s="123" t="str">
        <f>IF(B4&gt;MAX('TUM-W'!A:A),"",INDEX('TUM-W'!H:H,MATCH(B4,'TUM-W'!A:A,0)))</f>
        <v>Worlds Team</v>
      </c>
    </row>
    <row r="37" spans="1:4" x14ac:dyDescent="0.2">
      <c r="A37" s="13"/>
      <c r="B37" s="13">
        <v>4</v>
      </c>
      <c r="C37" s="13" t="str">
        <f>IF(B5&gt;MAX('TUM-W'!A:A),"",INDEX('TUM-W'!B:B,MATCH(B5,'TUM-W'!A:A,0)))</f>
        <v>PILLINGER, Taylor</v>
      </c>
      <c r="D37" s="123" t="str">
        <f>IF(B5&gt;MAX('TUM-W'!A:A),"",INDEX('TUM-W'!H:H,MATCH(B5,'TUM-W'!A:A,0)))</f>
        <v>No DD</v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73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122" t="str">
        <f>IF(B4&gt;MAX('DMT-M'!A:A),"",INDEX('DMT-M'!H:H,MATCH(B4,'DMT-M'!A:A,0)))</f>
        <v>National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PEDERSEN, Mitchel</v>
      </c>
      <c r="D46" s="122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BRUNO, Mario</v>
      </c>
      <c r="D47" s="122" t="str">
        <f>IF(B7&gt;MAX('DMT-M'!A:A),"",INDEX('DMT-M'!H:H,MATCH(B7,'DMT-M'!A:A,0)))</f>
        <v>Excellence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FERNANDES, Antonio</v>
      </c>
      <c r="D48" s="122" t="str">
        <f>IF(B8&gt;MAX('DMT-M'!A:A),"",INDEX('DMT-M'!H:H,MATCH(B8,'DMT-M'!A:A,0)))</f>
        <v>Worlds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CHATEAUVERT, Émile</v>
      </c>
      <c r="D49" s="122" t="str">
        <f>IF(B9&gt;MAX('DMT-M'!A:A),"",INDEX('DMT-M'!H:H,MATCH(B9,'DMT-M'!A:A,0)))</f>
        <v>National Team</v>
      </c>
    </row>
    <row r="50" spans="1:5" x14ac:dyDescent="0.2">
      <c r="A50" s="13" t="s">
        <v>74</v>
      </c>
      <c r="B50" s="13">
        <v>1</v>
      </c>
      <c r="C50" s="13" t="str">
        <f>IF(B2&gt;MAX('DMT-W'!A:A),"",INDEX('DMT-W'!B:B,MATCH(B2,'DMT-W'!A:A,0)))</f>
        <v>PHANEUF, Zoe</v>
      </c>
      <c r="D50" s="123" t="str">
        <f>IF(B2&gt;MAX('DMT-W'!A:A),"",INDEX('DMT-W'!H:H,MATCH(B2,'DMT-W'!A:A,0)))</f>
        <v>National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BROWN,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National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ROUX, Laurence</v>
      </c>
      <c r="D53" s="123" t="str">
        <f>IF(B5&gt;MAX('DMT-W'!A:A),"",INDEX('DMT-W'!H:H,MATCH(B5,'DMT-W'!A:A,0)))</f>
        <v>Excellence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MILLER-BURKO, Jordyn</v>
      </c>
      <c r="D54" s="123" t="str">
        <f>IF(B6&gt;MAX('DMT-W'!A:A),"",INDEX('DMT-W'!H:H,MATCH(B6,'DMT-W'!A:A,0)))</f>
        <v>Merit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SOEHN, Kalena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60</v>
      </c>
    </row>
    <row r="60" spans="1:5" x14ac:dyDescent="0.2">
      <c r="B60" s="52" t="s">
        <v>58</v>
      </c>
    </row>
    <row r="61" spans="1:5" x14ac:dyDescent="0.2">
      <c r="B61" s="52" t="s">
        <v>59</v>
      </c>
    </row>
    <row r="62" spans="1:5" x14ac:dyDescent="0.2">
      <c r="B62" s="26" t="s">
        <v>94</v>
      </c>
      <c r="D62" s="52" t="s">
        <v>92</v>
      </c>
    </row>
    <row r="63" spans="1:5" x14ac:dyDescent="0.2">
      <c r="B63" s="26" t="s">
        <v>124</v>
      </c>
      <c r="D63" s="52" t="s">
        <v>92</v>
      </c>
      <c r="E63" t="s">
        <v>92</v>
      </c>
    </row>
    <row r="64" spans="1:5" x14ac:dyDescent="0.2">
      <c r="B64" s="52" t="s">
        <v>93</v>
      </c>
      <c r="D64" s="52"/>
    </row>
    <row r="65" spans="1:4" x14ac:dyDescent="0.2">
      <c r="B65" s="52" t="s">
        <v>141</v>
      </c>
      <c r="D65" s="52"/>
    </row>
    <row r="66" spans="1:4" x14ac:dyDescent="0.2">
      <c r="A66" t="s">
        <v>67</v>
      </c>
      <c r="B66" s="134">
        <v>44317</v>
      </c>
      <c r="C66" s="134"/>
    </row>
    <row r="67" spans="1:4" x14ac:dyDescent="0.2">
      <c r="B67" s="107" t="s">
        <v>191</v>
      </c>
    </row>
    <row r="68" spans="1:4" x14ac:dyDescent="0.2">
      <c r="B68" s="107" t="s">
        <v>193</v>
      </c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36" t="s">
        <v>168</v>
      </c>
      <c r="G1" s="136" t="s">
        <v>164</v>
      </c>
      <c r="H1" s="136" t="s">
        <v>165</v>
      </c>
      <c r="I1" s="136" t="s">
        <v>16</v>
      </c>
      <c r="J1" s="136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163</v>
      </c>
      <c r="P1" s="141" t="s">
        <v>55</v>
      </c>
      <c r="Q1" s="141" t="s">
        <v>20</v>
      </c>
      <c r="R1" s="141" t="s">
        <v>55</v>
      </c>
      <c r="S1" s="140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9" t="s">
        <v>157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7" t="s">
        <v>179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42" t="s">
        <v>21</v>
      </c>
      <c r="DI1" s="142"/>
      <c r="DJ1" s="142"/>
      <c r="DK1" s="142"/>
      <c r="DL1" s="137" t="s">
        <v>142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7" t="s">
        <v>110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159</v>
      </c>
      <c r="AG2" s="135"/>
      <c r="AH2" s="135"/>
      <c r="AI2" s="135"/>
      <c r="AJ2" s="135"/>
      <c r="AK2" s="135" t="s">
        <v>30</v>
      </c>
      <c r="AL2" s="135"/>
      <c r="AM2" s="135"/>
      <c r="AN2" s="135"/>
      <c r="AO2" s="135"/>
      <c r="AP2" s="77"/>
      <c r="AQ2" s="9" t="s">
        <v>28</v>
      </c>
      <c r="AR2" s="9" t="s">
        <v>161</v>
      </c>
      <c r="AS2" s="9" t="s">
        <v>29</v>
      </c>
      <c r="AT2" s="9" t="s">
        <v>162</v>
      </c>
      <c r="AU2" s="9" t="s">
        <v>160</v>
      </c>
      <c r="AV2" s="9" t="s">
        <v>31</v>
      </c>
      <c r="AW2" s="9" t="s">
        <v>123</v>
      </c>
      <c r="AX2" s="9" t="s">
        <v>30</v>
      </c>
      <c r="AY2" s="9" t="s">
        <v>25</v>
      </c>
      <c r="AZ2" s="138" t="s">
        <v>26</v>
      </c>
      <c r="BA2" s="138"/>
      <c r="BB2" s="138"/>
      <c r="BC2" s="138"/>
      <c r="BD2" s="138"/>
      <c r="BE2" s="138" t="s">
        <v>27</v>
      </c>
      <c r="BF2" s="138"/>
      <c r="BG2" s="138"/>
      <c r="BH2" s="138"/>
      <c r="BI2" s="138"/>
      <c r="BJ2" s="138" t="s">
        <v>159</v>
      </c>
      <c r="BK2" s="138"/>
      <c r="BL2" s="138"/>
      <c r="BM2" s="138"/>
      <c r="BN2" s="138"/>
      <c r="BO2" s="138" t="s">
        <v>30</v>
      </c>
      <c r="BP2" s="138"/>
      <c r="BQ2" s="138"/>
      <c r="BR2" s="138"/>
      <c r="BS2" s="138"/>
      <c r="BT2" s="76"/>
      <c r="BU2" s="12" t="s">
        <v>28</v>
      </c>
      <c r="BV2" s="12" t="s">
        <v>161</v>
      </c>
      <c r="BW2" s="12" t="s">
        <v>29</v>
      </c>
      <c r="BX2" s="12" t="s">
        <v>162</v>
      </c>
      <c r="BY2" s="12" t="s">
        <v>160</v>
      </c>
      <c r="BZ2" s="12" t="s">
        <v>31</v>
      </c>
      <c r="CA2" s="12" t="s">
        <v>123</v>
      </c>
      <c r="CB2" s="12" t="s">
        <v>30</v>
      </c>
      <c r="CC2" s="12" t="s">
        <v>25</v>
      </c>
      <c r="CD2" s="135" t="s">
        <v>26</v>
      </c>
      <c r="CE2" s="135"/>
      <c r="CF2" s="135"/>
      <c r="CG2" s="135"/>
      <c r="CH2" s="135"/>
      <c r="CI2" s="135" t="s">
        <v>27</v>
      </c>
      <c r="CJ2" s="135"/>
      <c r="CK2" s="135"/>
      <c r="CL2" s="135"/>
      <c r="CM2" s="135"/>
      <c r="CN2" s="135" t="s">
        <v>159</v>
      </c>
      <c r="CO2" s="135"/>
      <c r="CP2" s="135"/>
      <c r="CQ2" s="135"/>
      <c r="CR2" s="135"/>
      <c r="CS2" s="135" t="s">
        <v>30</v>
      </c>
      <c r="CT2" s="135"/>
      <c r="CU2" s="135"/>
      <c r="CV2" s="135"/>
      <c r="CW2" s="135"/>
      <c r="CX2" s="109"/>
      <c r="CY2" s="9" t="s">
        <v>28</v>
      </c>
      <c r="CZ2" s="9" t="s">
        <v>161</v>
      </c>
      <c r="DA2" s="9" t="s">
        <v>29</v>
      </c>
      <c r="DB2" s="9" t="s">
        <v>162</v>
      </c>
      <c r="DC2" s="9" t="s">
        <v>160</v>
      </c>
      <c r="DD2" s="9" t="s">
        <v>31</v>
      </c>
      <c r="DE2" s="9" t="s">
        <v>123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5" t="s">
        <v>26</v>
      </c>
      <c r="DM2" s="135"/>
      <c r="DN2" s="135"/>
      <c r="DO2" s="135"/>
      <c r="DP2" s="135"/>
      <c r="DQ2" s="135" t="s">
        <v>27</v>
      </c>
      <c r="DR2" s="135"/>
      <c r="DS2" s="135"/>
      <c r="DT2" s="135"/>
      <c r="DU2" s="135"/>
      <c r="DV2" s="135" t="s">
        <v>30</v>
      </c>
      <c r="DW2" s="135"/>
      <c r="DX2" s="135"/>
      <c r="DY2" s="135"/>
      <c r="DZ2" s="135"/>
      <c r="EA2" s="35" t="s">
        <v>104</v>
      </c>
      <c r="EB2" s="9" t="s">
        <v>28</v>
      </c>
      <c r="EC2" s="9" t="s">
        <v>29</v>
      </c>
      <c r="ED2" s="9" t="s">
        <v>31</v>
      </c>
      <c r="EE2" s="9" t="s">
        <v>123</v>
      </c>
      <c r="EF2" s="9" t="s">
        <v>30</v>
      </c>
      <c r="EG2" s="9" t="s">
        <v>25</v>
      </c>
      <c r="EH2" s="138" t="s">
        <v>26</v>
      </c>
      <c r="EI2" s="138"/>
      <c r="EJ2" s="138"/>
      <c r="EK2" s="138"/>
      <c r="EL2" s="138"/>
      <c r="EM2" s="138" t="s">
        <v>27</v>
      </c>
      <c r="EN2" s="138"/>
      <c r="EO2" s="138"/>
      <c r="EP2" s="138"/>
      <c r="EQ2" s="138"/>
      <c r="ER2" s="138" t="s">
        <v>30</v>
      </c>
      <c r="ES2" s="138"/>
      <c r="ET2" s="138"/>
      <c r="EU2" s="138"/>
      <c r="EV2" s="138"/>
      <c r="EW2" s="36" t="s">
        <v>104</v>
      </c>
      <c r="EX2" s="12" t="s">
        <v>28</v>
      </c>
      <c r="EY2" s="12" t="s">
        <v>29</v>
      </c>
      <c r="EZ2" s="12" t="s">
        <v>31</v>
      </c>
      <c r="FA2" s="12" t="s">
        <v>123</v>
      </c>
      <c r="FB2" s="12" t="s">
        <v>30</v>
      </c>
      <c r="FC2" s="12" t="s">
        <v>25</v>
      </c>
      <c r="FD2" s="135" t="s">
        <v>26</v>
      </c>
      <c r="FE2" s="135"/>
      <c r="FF2" s="135"/>
      <c r="FG2" s="135"/>
      <c r="FH2" s="135"/>
      <c r="FI2" s="135" t="s">
        <v>27</v>
      </c>
      <c r="FJ2" s="135"/>
      <c r="FK2" s="135"/>
      <c r="FL2" s="135"/>
      <c r="FM2" s="135"/>
      <c r="FN2" s="135" t="s">
        <v>30</v>
      </c>
      <c r="FO2" s="135"/>
      <c r="FP2" s="135"/>
      <c r="FQ2" s="135"/>
      <c r="FR2" s="135"/>
      <c r="FS2" s="35" t="s">
        <v>104</v>
      </c>
      <c r="FT2" s="9" t="s">
        <v>28</v>
      </c>
      <c r="FU2" s="9" t="s">
        <v>29</v>
      </c>
      <c r="FV2" s="9" t="s">
        <v>31</v>
      </c>
      <c r="FW2" s="9" t="s">
        <v>123</v>
      </c>
      <c r="FX2" s="9" t="s">
        <v>30</v>
      </c>
      <c r="FY2" s="9" t="s">
        <v>25</v>
      </c>
      <c r="FZ2" s="138" t="s">
        <v>26</v>
      </c>
      <c r="GA2" s="138"/>
      <c r="GB2" s="138"/>
      <c r="GC2" s="138"/>
      <c r="GD2" s="138"/>
      <c r="GE2" s="138" t="s">
        <v>27</v>
      </c>
      <c r="GF2" s="138"/>
      <c r="GG2" s="138"/>
      <c r="GH2" s="138"/>
      <c r="GI2" s="138"/>
      <c r="GJ2" s="138" t="s">
        <v>30</v>
      </c>
      <c r="GK2" s="138"/>
      <c r="GL2" s="138"/>
      <c r="GM2" s="138"/>
      <c r="GN2" s="138"/>
      <c r="GO2" s="36" t="s">
        <v>104</v>
      </c>
      <c r="GP2" s="12" t="s">
        <v>28</v>
      </c>
      <c r="GQ2" s="12" t="s">
        <v>29</v>
      </c>
      <c r="GR2" s="12" t="s">
        <v>31</v>
      </c>
      <c r="GS2" s="12" t="s">
        <v>123</v>
      </c>
      <c r="GT2" s="12" t="s">
        <v>30</v>
      </c>
      <c r="GU2" s="12" t="s">
        <v>25</v>
      </c>
      <c r="GV2" s="135" t="s">
        <v>26</v>
      </c>
      <c r="GW2" s="135"/>
      <c r="GX2" s="135"/>
      <c r="GY2" s="135"/>
      <c r="GZ2" s="135"/>
      <c r="HA2" s="135" t="s">
        <v>27</v>
      </c>
      <c r="HB2" s="135"/>
      <c r="HC2" s="135"/>
      <c r="HD2" s="135"/>
      <c r="HE2" s="135"/>
      <c r="HF2" s="135" t="s">
        <v>30</v>
      </c>
      <c r="HG2" s="135"/>
      <c r="HH2" s="135"/>
      <c r="HI2" s="135"/>
      <c r="HJ2" s="135"/>
      <c r="HK2" s="35" t="s">
        <v>104</v>
      </c>
      <c r="HL2" s="9" t="s">
        <v>28</v>
      </c>
      <c r="HM2" s="9" t="s">
        <v>29</v>
      </c>
      <c r="HN2" s="9" t="s">
        <v>31</v>
      </c>
      <c r="HO2" s="9" t="s">
        <v>123</v>
      </c>
      <c r="HP2" s="9" t="s">
        <v>30</v>
      </c>
      <c r="HQ2" s="9" t="s">
        <v>25</v>
      </c>
      <c r="HR2" s="138" t="s">
        <v>26</v>
      </c>
      <c r="HS2" s="138"/>
      <c r="HT2" s="138"/>
      <c r="HU2" s="138"/>
      <c r="HV2" s="138"/>
      <c r="HW2" s="138" t="s">
        <v>27</v>
      </c>
      <c r="HX2" s="138"/>
      <c r="HY2" s="138"/>
      <c r="HZ2" s="138"/>
      <c r="IA2" s="138"/>
      <c r="IB2" s="138" t="s">
        <v>30</v>
      </c>
      <c r="IC2" s="138"/>
      <c r="ID2" s="138"/>
      <c r="IE2" s="138"/>
      <c r="IF2" s="138"/>
      <c r="IG2" s="36" t="s">
        <v>104</v>
      </c>
      <c r="IH2" s="12" t="s">
        <v>28</v>
      </c>
      <c r="II2" s="12" t="s">
        <v>29</v>
      </c>
      <c r="IJ2" s="12" t="s">
        <v>31</v>
      </c>
      <c r="IK2" s="12" t="s">
        <v>123</v>
      </c>
      <c r="IL2" s="12" t="s">
        <v>30</v>
      </c>
      <c r="IM2" s="12" t="s">
        <v>25</v>
      </c>
      <c r="IN2" s="135" t="s">
        <v>26</v>
      </c>
      <c r="IO2" s="135"/>
      <c r="IP2" s="135"/>
      <c r="IQ2" s="135"/>
      <c r="IR2" s="135"/>
      <c r="IS2" s="135" t="s">
        <v>27</v>
      </c>
      <c r="IT2" s="135"/>
      <c r="IU2" s="135"/>
      <c r="IV2" s="135"/>
      <c r="IW2" s="135"/>
      <c r="IX2" s="135" t="s">
        <v>30</v>
      </c>
      <c r="IY2" s="135"/>
      <c r="IZ2" s="135"/>
      <c r="JA2" s="135"/>
      <c r="JB2" s="135"/>
      <c r="JC2" s="35" t="s">
        <v>104</v>
      </c>
      <c r="JD2" s="9" t="s">
        <v>28</v>
      </c>
      <c r="JE2" s="9" t="s">
        <v>29</v>
      </c>
      <c r="JF2" s="9" t="s">
        <v>31</v>
      </c>
      <c r="JG2" s="9" t="s">
        <v>123</v>
      </c>
      <c r="JH2" s="9" t="s">
        <v>30</v>
      </c>
      <c r="JI2" s="9" t="s">
        <v>25</v>
      </c>
      <c r="JJ2" s="138" t="s">
        <v>26</v>
      </c>
      <c r="JK2" s="138"/>
      <c r="JL2" s="138"/>
      <c r="JM2" s="138"/>
      <c r="JN2" s="138"/>
      <c r="JO2" s="138" t="s">
        <v>27</v>
      </c>
      <c r="JP2" s="138"/>
      <c r="JQ2" s="138"/>
      <c r="JR2" s="138"/>
      <c r="JS2" s="138"/>
      <c r="JT2" s="138" t="s">
        <v>30</v>
      </c>
      <c r="JU2" s="138"/>
      <c r="JV2" s="138"/>
      <c r="JW2" s="138"/>
      <c r="JX2" s="138"/>
      <c r="JY2" s="36" t="s">
        <v>104</v>
      </c>
      <c r="JZ2" s="12" t="s">
        <v>28</v>
      </c>
      <c r="KA2" s="12" t="s">
        <v>29</v>
      </c>
      <c r="KB2" s="12" t="s">
        <v>31</v>
      </c>
      <c r="KC2" s="12" t="s">
        <v>123</v>
      </c>
      <c r="KD2" s="12" t="s">
        <v>30</v>
      </c>
      <c r="KE2" s="12" t="s">
        <v>25</v>
      </c>
      <c r="KF2" s="135" t="s">
        <v>26</v>
      </c>
      <c r="KG2" s="135"/>
      <c r="KH2" s="135"/>
      <c r="KI2" s="135"/>
      <c r="KJ2" s="135"/>
      <c r="KK2" s="135" t="s">
        <v>27</v>
      </c>
      <c r="KL2" s="135"/>
      <c r="KM2" s="135"/>
      <c r="KN2" s="135"/>
      <c r="KO2" s="135"/>
      <c r="KP2" s="135" t="s">
        <v>30</v>
      </c>
      <c r="KQ2" s="135"/>
      <c r="KR2" s="135"/>
      <c r="KS2" s="135"/>
      <c r="KT2" s="135"/>
      <c r="KU2" s="35" t="s">
        <v>104</v>
      </c>
      <c r="KV2" s="9" t="s">
        <v>28</v>
      </c>
      <c r="KW2" s="9" t="s">
        <v>29</v>
      </c>
      <c r="KX2" s="9" t="s">
        <v>31</v>
      </c>
      <c r="KY2" s="9" t="s">
        <v>123</v>
      </c>
      <c r="KZ2" s="9" t="s">
        <v>30</v>
      </c>
      <c r="LA2" s="9" t="s">
        <v>25</v>
      </c>
      <c r="LB2" s="138" t="s">
        <v>26</v>
      </c>
      <c r="LC2" s="138"/>
      <c r="LD2" s="138"/>
      <c r="LE2" s="138"/>
      <c r="LF2" s="138"/>
      <c r="LG2" s="138" t="s">
        <v>27</v>
      </c>
      <c r="LH2" s="138"/>
      <c r="LI2" s="138"/>
      <c r="LJ2" s="138"/>
      <c r="LK2" s="138"/>
      <c r="LL2" s="138" t="s">
        <v>30</v>
      </c>
      <c r="LM2" s="138"/>
      <c r="LN2" s="138"/>
      <c r="LO2" s="138"/>
      <c r="LP2" s="138"/>
      <c r="LQ2" s="36" t="s">
        <v>104</v>
      </c>
      <c r="LR2" s="12" t="s">
        <v>28</v>
      </c>
      <c r="LS2" s="12" t="s">
        <v>29</v>
      </c>
      <c r="LT2" s="12" t="s">
        <v>31</v>
      </c>
      <c r="LU2" s="12" t="s">
        <v>123</v>
      </c>
      <c r="LV2" s="12" t="s">
        <v>30</v>
      </c>
      <c r="LW2" s="12" t="s">
        <v>25</v>
      </c>
      <c r="LX2" s="135" t="s">
        <v>26</v>
      </c>
      <c r="LY2" s="135"/>
      <c r="LZ2" s="135"/>
      <c r="MA2" s="135"/>
      <c r="MB2" s="135"/>
      <c r="MC2" s="135" t="s">
        <v>27</v>
      </c>
      <c r="MD2" s="135"/>
      <c r="ME2" s="135"/>
      <c r="MF2" s="135"/>
      <c r="MG2" s="135"/>
      <c r="MH2" s="135" t="s">
        <v>30</v>
      </c>
      <c r="MI2" s="135"/>
      <c r="MJ2" s="135"/>
      <c r="MK2" s="135"/>
      <c r="ML2" s="135"/>
      <c r="MM2" s="35" t="s">
        <v>104</v>
      </c>
      <c r="MN2" s="9" t="s">
        <v>28</v>
      </c>
      <c r="MO2" s="9" t="s">
        <v>29</v>
      </c>
      <c r="MP2" s="9" t="s">
        <v>31</v>
      </c>
      <c r="MQ2" s="9" t="s">
        <v>123</v>
      </c>
      <c r="MR2" s="9" t="s">
        <v>30</v>
      </c>
      <c r="MS2" s="9" t="s">
        <v>25</v>
      </c>
      <c r="MT2" s="138" t="s">
        <v>26</v>
      </c>
      <c r="MU2" s="138"/>
      <c r="MV2" s="138"/>
      <c r="MW2" s="138"/>
      <c r="MX2" s="138"/>
      <c r="MY2" s="138" t="s">
        <v>27</v>
      </c>
      <c r="MZ2" s="138"/>
      <c r="NA2" s="138"/>
      <c r="NB2" s="138"/>
      <c r="NC2" s="138"/>
      <c r="ND2" s="138" t="s">
        <v>30</v>
      </c>
      <c r="NE2" s="138"/>
      <c r="NF2" s="138"/>
      <c r="NG2" s="138"/>
      <c r="NH2" s="138"/>
      <c r="NI2" s="36" t="s">
        <v>104</v>
      </c>
      <c r="NJ2" s="12" t="s">
        <v>28</v>
      </c>
      <c r="NK2" s="12" t="s">
        <v>29</v>
      </c>
      <c r="NL2" s="12" t="s">
        <v>31</v>
      </c>
      <c r="NM2" s="12" t="s">
        <v>123</v>
      </c>
      <c r="NN2" s="12" t="s">
        <v>30</v>
      </c>
      <c r="NO2" s="12" t="s">
        <v>25</v>
      </c>
      <c r="NP2" s="135" t="s">
        <v>26</v>
      </c>
      <c r="NQ2" s="135"/>
      <c r="NR2" s="135"/>
      <c r="NS2" s="135"/>
      <c r="NT2" s="135"/>
      <c r="NU2" s="135" t="s">
        <v>27</v>
      </c>
      <c r="NV2" s="135"/>
      <c r="NW2" s="135"/>
      <c r="NX2" s="135"/>
      <c r="NY2" s="135"/>
      <c r="NZ2" s="135" t="s">
        <v>159</v>
      </c>
      <c r="OA2" s="135"/>
      <c r="OB2" s="135"/>
      <c r="OC2" s="135"/>
      <c r="OD2" s="135"/>
      <c r="OE2" s="135" t="s">
        <v>30</v>
      </c>
      <c r="OF2" s="135"/>
      <c r="OG2" s="135"/>
      <c r="OH2" s="135"/>
      <c r="OI2" s="135"/>
      <c r="OJ2" s="102"/>
      <c r="OK2" s="9" t="s">
        <v>28</v>
      </c>
      <c r="OL2" s="9" t="s">
        <v>161</v>
      </c>
      <c r="OM2" s="9" t="s">
        <v>29</v>
      </c>
      <c r="ON2" s="9" t="s">
        <v>162</v>
      </c>
      <c r="OO2" s="9" t="s">
        <v>160</v>
      </c>
      <c r="OP2" s="9" t="s">
        <v>31</v>
      </c>
      <c r="OQ2" s="9" t="s">
        <v>123</v>
      </c>
      <c r="OR2" s="9" t="s">
        <v>30</v>
      </c>
      <c r="OS2" s="9" t="s">
        <v>25</v>
      </c>
    </row>
    <row r="3" spans="1:409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35" t="s">
        <v>22</v>
      </c>
      <c r="W3" s="35" t="s">
        <v>23</v>
      </c>
      <c r="X3" s="35" t="s">
        <v>14</v>
      </c>
      <c r="Y3" s="35" t="s">
        <v>24</v>
      </c>
      <c r="Z3" s="46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35" t="s">
        <v>22</v>
      </c>
      <c r="AG3" s="35" t="s">
        <v>23</v>
      </c>
      <c r="AH3" s="35" t="s">
        <v>14</v>
      </c>
      <c r="AI3" s="35" t="s">
        <v>24</v>
      </c>
      <c r="AJ3" s="46" t="s">
        <v>44</v>
      </c>
      <c r="AK3" s="35" t="s">
        <v>22</v>
      </c>
      <c r="AL3" s="35" t="s">
        <v>23</v>
      </c>
      <c r="AM3" s="35" t="s">
        <v>14</v>
      </c>
      <c r="AN3" s="35" t="s">
        <v>24</v>
      </c>
      <c r="AO3" s="46" t="s">
        <v>44</v>
      </c>
      <c r="AP3" s="77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22</v>
      </c>
      <c r="BA3" s="36" t="s">
        <v>23</v>
      </c>
      <c r="BB3" s="36" t="s">
        <v>14</v>
      </c>
      <c r="BC3" s="36" t="s">
        <v>24</v>
      </c>
      <c r="BD3" s="47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36" t="s">
        <v>22</v>
      </c>
      <c r="BK3" s="36" t="s">
        <v>23</v>
      </c>
      <c r="BL3" s="36" t="s">
        <v>14</v>
      </c>
      <c r="BM3" s="36" t="s">
        <v>24</v>
      </c>
      <c r="BN3" s="47" t="s">
        <v>44</v>
      </c>
      <c r="BO3" s="36" t="s">
        <v>22</v>
      </c>
      <c r="BP3" s="36" t="s">
        <v>23</v>
      </c>
      <c r="BQ3" s="36" t="s">
        <v>14</v>
      </c>
      <c r="BR3" s="47" t="s">
        <v>24</v>
      </c>
      <c r="BS3" s="36" t="s">
        <v>44</v>
      </c>
      <c r="BT3" s="76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22</v>
      </c>
      <c r="CE3" s="109" t="s">
        <v>23</v>
      </c>
      <c r="CF3" s="109" t="s">
        <v>14</v>
      </c>
      <c r="CG3" s="109" t="s">
        <v>24</v>
      </c>
      <c r="CH3" s="109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09" t="s">
        <v>22</v>
      </c>
      <c r="CO3" s="109" t="s">
        <v>23</v>
      </c>
      <c r="CP3" s="109" t="s">
        <v>14</v>
      </c>
      <c r="CQ3" s="109" t="s">
        <v>24</v>
      </c>
      <c r="CR3" s="109" t="s">
        <v>44</v>
      </c>
      <c r="CS3" s="109" t="s">
        <v>22</v>
      </c>
      <c r="CT3" s="109" t="s">
        <v>23</v>
      </c>
      <c r="CU3" s="109" t="s">
        <v>14</v>
      </c>
      <c r="CV3" s="109" t="s">
        <v>24</v>
      </c>
      <c r="CW3" s="109" t="s">
        <v>44</v>
      </c>
      <c r="CX3" s="109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22</v>
      </c>
      <c r="DM3" s="35" t="s">
        <v>23</v>
      </c>
      <c r="DN3" s="35" t="s">
        <v>14</v>
      </c>
      <c r="DO3" s="35" t="s">
        <v>24</v>
      </c>
      <c r="DP3" s="46" t="s">
        <v>44</v>
      </c>
      <c r="DQ3" s="35" t="s">
        <v>22</v>
      </c>
      <c r="DR3" s="35" t="s">
        <v>23</v>
      </c>
      <c r="DS3" s="35" t="s">
        <v>14</v>
      </c>
      <c r="DT3" s="35" t="s">
        <v>24</v>
      </c>
      <c r="DU3" s="46" t="s">
        <v>44</v>
      </c>
      <c r="DV3" s="35" t="s">
        <v>22</v>
      </c>
      <c r="DW3" s="35" t="s">
        <v>23</v>
      </c>
      <c r="DX3" s="35" t="s">
        <v>14</v>
      </c>
      <c r="DY3" s="35" t="s">
        <v>24</v>
      </c>
      <c r="DZ3" s="46" t="s">
        <v>44</v>
      </c>
      <c r="EA3" s="10"/>
      <c r="EB3" s="9"/>
      <c r="EC3" s="9"/>
      <c r="ED3" s="9"/>
      <c r="EE3" s="9"/>
      <c r="EF3" s="10"/>
      <c r="EG3" s="10"/>
      <c r="EH3" s="36" t="s">
        <v>22</v>
      </c>
      <c r="EI3" s="36" t="s">
        <v>23</v>
      </c>
      <c r="EJ3" s="36" t="s">
        <v>14</v>
      </c>
      <c r="EK3" s="36" t="s">
        <v>24</v>
      </c>
      <c r="EL3" s="47" t="s">
        <v>44</v>
      </c>
      <c r="EM3" s="36" t="s">
        <v>22</v>
      </c>
      <c r="EN3" s="36" t="s">
        <v>23</v>
      </c>
      <c r="EO3" s="36" t="s">
        <v>14</v>
      </c>
      <c r="EP3" s="36" t="s">
        <v>24</v>
      </c>
      <c r="EQ3" s="47" t="s">
        <v>44</v>
      </c>
      <c r="ER3" s="36" t="s">
        <v>22</v>
      </c>
      <c r="ES3" s="36" t="s">
        <v>23</v>
      </c>
      <c r="ET3" s="36" t="s">
        <v>14</v>
      </c>
      <c r="EU3" s="36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35" t="s">
        <v>22</v>
      </c>
      <c r="FE3" s="35" t="s">
        <v>23</v>
      </c>
      <c r="FF3" s="35" t="s">
        <v>14</v>
      </c>
      <c r="FG3" s="35" t="s">
        <v>24</v>
      </c>
      <c r="FH3" s="46" t="s">
        <v>44</v>
      </c>
      <c r="FI3" s="35" t="s">
        <v>22</v>
      </c>
      <c r="FJ3" s="35" t="s">
        <v>23</v>
      </c>
      <c r="FK3" s="35" t="s">
        <v>14</v>
      </c>
      <c r="FL3" s="35" t="s">
        <v>24</v>
      </c>
      <c r="FM3" s="46" t="s">
        <v>44</v>
      </c>
      <c r="FN3" s="35" t="s">
        <v>22</v>
      </c>
      <c r="FO3" s="35" t="s">
        <v>23</v>
      </c>
      <c r="FP3" s="35" t="s">
        <v>14</v>
      </c>
      <c r="FQ3" s="35" t="s">
        <v>24</v>
      </c>
      <c r="FR3" s="46" t="s">
        <v>44</v>
      </c>
      <c r="FS3" s="10"/>
      <c r="FT3" s="9"/>
      <c r="FU3" s="9"/>
      <c r="FV3" s="9"/>
      <c r="FW3" s="9"/>
      <c r="FX3" s="10"/>
      <c r="FY3" s="10"/>
      <c r="FZ3" s="36" t="s">
        <v>22</v>
      </c>
      <c r="GA3" s="36" t="s">
        <v>23</v>
      </c>
      <c r="GB3" s="36" t="s">
        <v>14</v>
      </c>
      <c r="GC3" s="36" t="s">
        <v>24</v>
      </c>
      <c r="GD3" s="47" t="s">
        <v>44</v>
      </c>
      <c r="GE3" s="36" t="s">
        <v>22</v>
      </c>
      <c r="GF3" s="36" t="s">
        <v>23</v>
      </c>
      <c r="GG3" s="36" t="s">
        <v>14</v>
      </c>
      <c r="GH3" s="36" t="s">
        <v>24</v>
      </c>
      <c r="GI3" s="47" t="s">
        <v>44</v>
      </c>
      <c r="GJ3" s="36" t="s">
        <v>22</v>
      </c>
      <c r="GK3" s="36" t="s">
        <v>23</v>
      </c>
      <c r="GL3" s="36" t="s">
        <v>14</v>
      </c>
      <c r="GM3" s="36" t="s">
        <v>24</v>
      </c>
      <c r="GN3" s="47" t="s">
        <v>44</v>
      </c>
      <c r="GO3" s="13"/>
      <c r="GP3" s="12"/>
      <c r="GQ3" s="12"/>
      <c r="GR3" s="12"/>
      <c r="GS3" s="12"/>
      <c r="GT3" s="13"/>
      <c r="GU3" s="13"/>
      <c r="GV3" s="35" t="s">
        <v>22</v>
      </c>
      <c r="GW3" s="35" t="s">
        <v>23</v>
      </c>
      <c r="GX3" s="35" t="s">
        <v>14</v>
      </c>
      <c r="GY3" s="35" t="s">
        <v>24</v>
      </c>
      <c r="GZ3" s="46" t="s">
        <v>44</v>
      </c>
      <c r="HA3" s="35" t="s">
        <v>22</v>
      </c>
      <c r="HB3" s="35" t="s">
        <v>23</v>
      </c>
      <c r="HC3" s="35" t="s">
        <v>14</v>
      </c>
      <c r="HD3" s="35" t="s">
        <v>24</v>
      </c>
      <c r="HE3" s="46" t="s">
        <v>44</v>
      </c>
      <c r="HF3" s="35" t="s">
        <v>22</v>
      </c>
      <c r="HG3" s="35" t="s">
        <v>23</v>
      </c>
      <c r="HH3" s="35" t="s">
        <v>14</v>
      </c>
      <c r="HI3" s="35" t="s">
        <v>24</v>
      </c>
      <c r="HJ3" s="46" t="s">
        <v>44</v>
      </c>
      <c r="HK3" s="10"/>
      <c r="HL3" s="9"/>
      <c r="HM3" s="9"/>
      <c r="HN3" s="9"/>
      <c r="HO3" s="9"/>
      <c r="HP3" s="10"/>
      <c r="HQ3" s="10"/>
      <c r="HR3" s="36" t="s">
        <v>22</v>
      </c>
      <c r="HS3" s="36" t="s">
        <v>23</v>
      </c>
      <c r="HT3" s="36" t="s">
        <v>14</v>
      </c>
      <c r="HU3" s="36" t="s">
        <v>24</v>
      </c>
      <c r="HV3" s="47" t="s">
        <v>44</v>
      </c>
      <c r="HW3" s="36" t="s">
        <v>22</v>
      </c>
      <c r="HX3" s="36" t="s">
        <v>23</v>
      </c>
      <c r="HY3" s="36" t="s">
        <v>14</v>
      </c>
      <c r="HZ3" s="36" t="s">
        <v>24</v>
      </c>
      <c r="IA3" s="47" t="s">
        <v>44</v>
      </c>
      <c r="IB3" s="36" t="s">
        <v>22</v>
      </c>
      <c r="IC3" s="36" t="s">
        <v>23</v>
      </c>
      <c r="ID3" s="36" t="s">
        <v>14</v>
      </c>
      <c r="IE3" s="36" t="s">
        <v>24</v>
      </c>
      <c r="IF3" s="47" t="s">
        <v>44</v>
      </c>
      <c r="IG3" s="13"/>
      <c r="IH3" s="12"/>
      <c r="II3" s="12"/>
      <c r="IJ3" s="12"/>
      <c r="IK3" s="12"/>
      <c r="IL3" s="13"/>
      <c r="IM3" s="13"/>
      <c r="IN3" s="35" t="s">
        <v>22</v>
      </c>
      <c r="IO3" s="35" t="s">
        <v>23</v>
      </c>
      <c r="IP3" s="35" t="s">
        <v>14</v>
      </c>
      <c r="IQ3" s="35" t="s">
        <v>24</v>
      </c>
      <c r="IR3" s="46" t="s">
        <v>44</v>
      </c>
      <c r="IS3" s="35" t="s">
        <v>22</v>
      </c>
      <c r="IT3" s="35" t="s">
        <v>23</v>
      </c>
      <c r="IU3" s="35" t="s">
        <v>14</v>
      </c>
      <c r="IV3" s="35" t="s">
        <v>24</v>
      </c>
      <c r="IW3" s="46" t="s">
        <v>44</v>
      </c>
      <c r="IX3" s="35" t="s">
        <v>22</v>
      </c>
      <c r="IY3" s="35" t="s">
        <v>23</v>
      </c>
      <c r="IZ3" s="35" t="s">
        <v>14</v>
      </c>
      <c r="JA3" s="35" t="s">
        <v>24</v>
      </c>
      <c r="JB3" s="46" t="s">
        <v>44</v>
      </c>
      <c r="JC3" s="10"/>
      <c r="JD3" s="9"/>
      <c r="JE3" s="9"/>
      <c r="JF3" s="9"/>
      <c r="JG3" s="9"/>
      <c r="JH3" s="10"/>
      <c r="JI3" s="10"/>
      <c r="JJ3" s="36" t="s">
        <v>22</v>
      </c>
      <c r="JK3" s="36" t="s">
        <v>23</v>
      </c>
      <c r="JL3" s="36" t="s">
        <v>14</v>
      </c>
      <c r="JM3" s="36" t="s">
        <v>24</v>
      </c>
      <c r="JN3" s="47" t="s">
        <v>44</v>
      </c>
      <c r="JO3" s="36" t="s">
        <v>22</v>
      </c>
      <c r="JP3" s="36" t="s">
        <v>23</v>
      </c>
      <c r="JQ3" s="36" t="s">
        <v>14</v>
      </c>
      <c r="JR3" s="36" t="s">
        <v>24</v>
      </c>
      <c r="JS3" s="47" t="s">
        <v>44</v>
      </c>
      <c r="JT3" s="36" t="s">
        <v>22</v>
      </c>
      <c r="JU3" s="36" t="s">
        <v>23</v>
      </c>
      <c r="JV3" s="36" t="s">
        <v>14</v>
      </c>
      <c r="JW3" s="36" t="s">
        <v>24</v>
      </c>
      <c r="JX3" s="47" t="s">
        <v>44</v>
      </c>
      <c r="JY3" s="13"/>
      <c r="JZ3" s="12"/>
      <c r="KA3" s="12"/>
      <c r="KB3" s="12"/>
      <c r="KC3" s="12"/>
      <c r="KD3" s="13"/>
      <c r="KE3" s="13"/>
      <c r="KF3" s="35" t="s">
        <v>22</v>
      </c>
      <c r="KG3" s="35" t="s">
        <v>23</v>
      </c>
      <c r="KH3" s="35" t="s">
        <v>14</v>
      </c>
      <c r="KI3" s="35" t="s">
        <v>24</v>
      </c>
      <c r="KJ3" s="46" t="s">
        <v>44</v>
      </c>
      <c r="KK3" s="35" t="s">
        <v>22</v>
      </c>
      <c r="KL3" s="35" t="s">
        <v>23</v>
      </c>
      <c r="KM3" s="35" t="s">
        <v>14</v>
      </c>
      <c r="KN3" s="35" t="s">
        <v>24</v>
      </c>
      <c r="KO3" s="46" t="s">
        <v>44</v>
      </c>
      <c r="KP3" s="35" t="s">
        <v>22</v>
      </c>
      <c r="KQ3" s="35" t="s">
        <v>23</v>
      </c>
      <c r="KR3" s="35" t="s">
        <v>14</v>
      </c>
      <c r="KS3" s="35" t="s">
        <v>24</v>
      </c>
      <c r="KT3" s="46" t="s">
        <v>44</v>
      </c>
      <c r="KU3" s="10"/>
      <c r="KV3" s="9"/>
      <c r="KW3" s="9"/>
      <c r="KX3" s="9"/>
      <c r="KY3" s="9"/>
      <c r="KZ3" s="10"/>
      <c r="LA3" s="10"/>
      <c r="LB3" s="36" t="s">
        <v>22</v>
      </c>
      <c r="LC3" s="36" t="s">
        <v>23</v>
      </c>
      <c r="LD3" s="36" t="s">
        <v>14</v>
      </c>
      <c r="LE3" s="36" t="s">
        <v>24</v>
      </c>
      <c r="LF3" s="47" t="s">
        <v>44</v>
      </c>
      <c r="LG3" s="36" t="s">
        <v>22</v>
      </c>
      <c r="LH3" s="36" t="s">
        <v>23</v>
      </c>
      <c r="LI3" s="36" t="s">
        <v>14</v>
      </c>
      <c r="LJ3" s="36" t="s">
        <v>24</v>
      </c>
      <c r="LK3" s="47" t="s">
        <v>44</v>
      </c>
      <c r="LL3" s="36" t="s">
        <v>22</v>
      </c>
      <c r="LM3" s="36" t="s">
        <v>23</v>
      </c>
      <c r="LN3" s="36" t="s">
        <v>14</v>
      </c>
      <c r="LO3" s="36" t="s">
        <v>24</v>
      </c>
      <c r="LP3" s="47" t="s">
        <v>44</v>
      </c>
      <c r="LQ3" s="13"/>
      <c r="LR3" s="12"/>
      <c r="LS3" s="12"/>
      <c r="LT3" s="12"/>
      <c r="LU3" s="12"/>
      <c r="LV3" s="13"/>
      <c r="LW3" s="13"/>
      <c r="LX3" s="35" t="s">
        <v>22</v>
      </c>
      <c r="LY3" s="35" t="s">
        <v>23</v>
      </c>
      <c r="LZ3" s="35" t="s">
        <v>14</v>
      </c>
      <c r="MA3" s="35" t="s">
        <v>24</v>
      </c>
      <c r="MB3" s="46" t="s">
        <v>44</v>
      </c>
      <c r="MC3" s="35" t="s">
        <v>22</v>
      </c>
      <c r="MD3" s="35" t="s">
        <v>23</v>
      </c>
      <c r="ME3" s="35" t="s">
        <v>14</v>
      </c>
      <c r="MF3" s="35" t="s">
        <v>24</v>
      </c>
      <c r="MG3" s="46" t="s">
        <v>44</v>
      </c>
      <c r="MH3" s="35" t="s">
        <v>22</v>
      </c>
      <c r="MI3" s="35" t="s">
        <v>23</v>
      </c>
      <c r="MJ3" s="35" t="s">
        <v>14</v>
      </c>
      <c r="MK3" s="35" t="s">
        <v>24</v>
      </c>
      <c r="ML3" s="46" t="s">
        <v>44</v>
      </c>
      <c r="MM3" s="10"/>
      <c r="MN3" s="9"/>
      <c r="MO3" s="9"/>
      <c r="MP3" s="9"/>
      <c r="MQ3" s="9"/>
      <c r="MR3" s="10"/>
      <c r="MS3" s="10"/>
      <c r="MT3" s="36" t="s">
        <v>22</v>
      </c>
      <c r="MU3" s="36" t="s">
        <v>23</v>
      </c>
      <c r="MV3" s="36" t="s">
        <v>14</v>
      </c>
      <c r="MW3" s="36" t="s">
        <v>24</v>
      </c>
      <c r="MX3" s="47" t="s">
        <v>44</v>
      </c>
      <c r="MY3" s="36" t="s">
        <v>22</v>
      </c>
      <c r="MZ3" s="36" t="s">
        <v>23</v>
      </c>
      <c r="NA3" s="36" t="s">
        <v>14</v>
      </c>
      <c r="NB3" s="36" t="s">
        <v>24</v>
      </c>
      <c r="NC3" s="47" t="s">
        <v>44</v>
      </c>
      <c r="ND3" s="36" t="s">
        <v>22</v>
      </c>
      <c r="NE3" s="36" t="s">
        <v>23</v>
      </c>
      <c r="NF3" s="36" t="s">
        <v>14</v>
      </c>
      <c r="NG3" s="36" t="s">
        <v>24</v>
      </c>
      <c r="NH3" s="47" t="s">
        <v>44</v>
      </c>
      <c r="NI3" s="13"/>
      <c r="NJ3" s="12"/>
      <c r="NK3" s="12"/>
      <c r="NL3" s="12"/>
      <c r="NM3" s="12"/>
      <c r="NN3" s="13"/>
      <c r="NO3" s="13"/>
      <c r="NP3" s="102" t="s">
        <v>22</v>
      </c>
      <c r="NQ3" s="102" t="s">
        <v>23</v>
      </c>
      <c r="NR3" s="102" t="s">
        <v>14</v>
      </c>
      <c r="NS3" s="102" t="s">
        <v>24</v>
      </c>
      <c r="NT3" s="10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02" t="s">
        <v>22</v>
      </c>
      <c r="OA3" s="102" t="s">
        <v>23</v>
      </c>
      <c r="OB3" s="102" t="s">
        <v>14</v>
      </c>
      <c r="OC3" s="102" t="s">
        <v>24</v>
      </c>
      <c r="OD3" s="102" t="s">
        <v>44</v>
      </c>
      <c r="OE3" s="102" t="s">
        <v>22</v>
      </c>
      <c r="OF3" s="102" t="s">
        <v>23</v>
      </c>
      <c r="OG3" s="102" t="s">
        <v>14</v>
      </c>
      <c r="OH3" s="102" t="s">
        <v>24</v>
      </c>
      <c r="OI3" s="102" t="s">
        <v>44</v>
      </c>
      <c r="OJ3" s="10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IF(AND(G4&lt;&gt;"",H4&lt;&gt;""),SUMPRODUCT((G$4:G$27&lt;&gt;"")*(H$4:H$27&lt;&gt;"")*(E$4:E$27&gt;E4))+1,IF(H4&lt;&gt;"",SUMPRODUCT((I$4:I$27="No DD")*(E$4:E$27&gt;E4))+1+SUMPRODUCT((G$4:G$27&lt;&gt;"")*(H$4:H$27&lt;&gt;"")),""))</f>
        <v>1</v>
      </c>
      <c r="B4" s="6" t="s">
        <v>95</v>
      </c>
      <c r="C4" s="7" t="s">
        <v>10</v>
      </c>
      <c r="D4" s="7">
        <v>2001</v>
      </c>
      <c r="E4" s="15">
        <f>SUM(K4:S4)</f>
        <v>283.48</v>
      </c>
      <c r="F4" s="3" t="str">
        <f>IF(G4&lt;&gt;"","P","")</f>
        <v>P</v>
      </c>
      <c r="G4" s="125" t="str">
        <f>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Merit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Excellence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Worlds Team",IF(OR(AND(AR4&gt;=AY$29,AR4&lt;&gt;"",AP4=""),AND(AT4&gt;=AY$29,AT4&lt;&gt;"",AP4=""),AND(AW4&gt;=AY$29,AW4&lt;&gt;"",AP4=""),AND(BV4&gt;=CC$29,BV4&lt;&gt;"",BT4=""),AND(BX4&gt;=CC$29,BX4&lt;&gt;"",BT4=""),AND(CA4&gt;=CC$29,CA4&lt;&gt;"",BT4=""),AND(CZ4&gt;=DG$29,CZ4&lt;&gt;"",CX4=""),AND(DB4&gt;=DG$29,DB4&lt;&gt;"",CX4=""),AND(DE4&gt;=DG$29,DE4&lt;&gt;"",CX4=""),AND(EA4&gt;=EG$29,EA4&lt;&gt;""),AND(EE4&gt;=EG$29,EE4&lt;&gt;""),AND(EW4&gt;=FC$29,EW4&lt;&gt;""),AND(FA4&gt;=FC$29,FA4&lt;&gt;""),AND(FS4&gt;=FY$29,FS4&lt;&gt;""),AND(FW4&gt;=FY$29,FW4&lt;&gt;""),AND(GO4&gt;=GU$29,GO4&lt;&gt;""),AND(GS4&gt;=GU$29,GS4&lt;&gt;""),AND(HK4&gt;=HQ$29,HK4&lt;&gt;""),AND(HO4&gt;=HQ$29,HO4&lt;&gt;""),AND(IG4&gt;=IM$29,IG4&lt;&gt;""),AND(IK4&gt;=IM$29,IK4&lt;&gt;""),AND(JC4&gt;=JI$29,JC4&lt;&gt;""),AND(JG4&gt;=JI$29,JG4&lt;&gt;""),AND(JY4&gt;=KE$29,JY4&lt;&gt;""),AND(KC4&gt;=KE$29,KC4&lt;&gt;""),AND(KU4&gt;=LA$29,KU4&lt;&gt;""),AND(KY4&gt;=LA$29,KY4&lt;&gt;""),AND(LQ4&gt;=LW$29,LQ4&lt;&gt;""),AND(LU4&gt;=LW$29,LU4&lt;&gt;""),AND(MM4&gt;=MS$29,MM4&lt;&gt;""),AND(MQ4&gt;=MS$29,MQ4&lt;&gt;""),AND(NI4&gt;=NO$29,NI4&lt;&gt;""),AND(NM4&gt;=NO$29,NM4&lt;&gt;"")),"National Team",""))))</f>
        <v>Merit</v>
      </c>
      <c r="H4" s="125" t="str">
        <f>IF(OR(AND(AS4&gt;=AY$36,AS4&lt;&gt;"",AP4=""),AND(AU4&gt;=AY$36,AU4&lt;&gt;"",AP4=""),AND(AX4&gt;=AY$36,AX4&lt;&gt;"",AP4=""),AND(BW4&gt;=CC$36,BW4&lt;&gt;"",BT4=""),AND(BY4&gt;=CC$36,BY4&lt;&gt;"",BT4=""),AND(CB4&gt;=CC$36,CB4&lt;&gt;"",BT4=""),AND(DA4&gt;=DG$36,DA4&lt;&gt;"",CX4=""),AND(DC4&gt;=DG$36,DC4&lt;&gt;"",CX4=""),AND(DF4&gt;=DG$36,DF4&lt;&gt;"",CX4=""),AND(EC4&gt;=EG$36,EC4&lt;&gt;""),AND(EF4&gt;=EG$36,EF4&lt;&gt;""),AND(EY4&gt;=FC$36,EY4&lt;&gt;""),AND(FB4&gt;=FC$36,FB4&lt;&gt;""),AND(FU4&gt;=FY$36,FU4&lt;&gt;""),AND(FX4&gt;=FY$36,FX4&lt;&gt;""),AND(GQ4&gt;=GU$36,GQ4&lt;&gt;""),AND(GT4&gt;=GU$36,GT4&lt;&gt;""),AND(HM4&gt;=HQ$36,HM4&lt;&gt;""),AND(HP4&gt;=HQ$36,HP4&lt;&gt;""),AND(II4&gt;=IM$36,II4&lt;&gt;""),AND(IL4&gt;=IM$36,IL4&lt;&gt;""),AND(JE4&gt;=JI$36,JE4&lt;&gt;""),AND(JH4&gt;=JI$36,JH4&lt;&gt;""),AND(KA4&gt;=KE$36,KA4&lt;&gt;""),AND(KD4&gt;=KE$36,KD4&lt;&gt;""),AND(KW4&gt;=LA$36,KW4&lt;&gt;""),AND(KZ4&gt;=LA$36,KZ4&lt;&gt;""),AND(LS4&gt;=LW$36,LS4&lt;&gt;""),AND(LV4&gt;=LW$36,LV4&lt;&gt;""),AND(MO4&gt;=MS$36,MO4&lt;&gt;""),AND(MR4&gt;=MS$36,MR4&lt;&gt;""),AND(NK4&gt;=NO$36,NK4&lt;&gt;""),AND(NN4&gt;=NO$36,NN4&lt;&gt;"")),"Merit",IF(OR(AND(AS4&gt;=AY$35,AS4&lt;&gt;"",AP4=""),AND(AU4&gt;=AY$35,AU4&lt;&gt;"",AP4=""),AND(AX4&gt;=AY$35,AX4&lt;&gt;"",AP4=""),AND(BW4&gt;=CC$35,BW4&lt;&gt;"",BT4=""),AND(BY4&gt;=CC$35,BY4&lt;&gt;"",BT4=""),AND(CB4&gt;=CC$35,CB4&lt;&gt;"",BT4=""),AND(DA4&gt;=DG$35,DA4&lt;&gt;"",CX4=""),AND(DC4&gt;=DG$35,DC4&lt;&gt;"",CX4=""),AND(DF4&gt;=DG$35,DF4&lt;&gt;"",CX4=""),AND(EC4&gt;=EG$35,EC4&lt;&gt;""),AND(EF4&gt;=EG$35,EF4&lt;&gt;""),AND(EY4&gt;=FC$35,EY4&lt;&gt;""),AND(FB4&gt;=FC$35,FB4&lt;&gt;""),AND(FU4&gt;=FY$35,FU4&lt;&gt;""),AND(FX4&gt;=FY$35,FX4&lt;&gt;""),AND(GQ4&gt;=GU$35,GQ4&lt;&gt;""),AND(GT4&gt;=GU$35,GT4&lt;&gt;""),AND(HM4&gt;=HQ$35,HM4&lt;&gt;""),AND(HP4&gt;=HQ$35,HP4&lt;&gt;""),AND(II4&gt;=IM$35,II4&lt;&gt;""),AND(IL4&gt;=IM$35,IL4&lt;&gt;""),AND(JE4&gt;=JI$35,JE4&lt;&gt;""),AND(JH4&gt;=JI$35,JH4&lt;&gt;""),AND(KA4&gt;=KE$35,KA4&lt;&gt;""),AND(KD4&gt;=KE$35,KD4&lt;&gt;""),AND(KW4&gt;=LA$35,KW4&lt;&gt;""),AND(KZ4&gt;=LA$35,KZ4&lt;&gt;""),AND(LS4&gt;=LW$35,LS4&lt;&gt;""),AND(LV4&gt;=LW$35,LV4&lt;&gt;""),AND(MO4&gt;=MS$35,MO4&lt;&gt;""),AND(MR4&gt;=MS$35,MR4&lt;&gt;""),AND(NK4&gt;=NO$35,NK4&lt;&gt;""),AND(NN4&gt;=NO$35,NN4&lt;&gt;"")),"Excellence",IF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"Worlds Team",IF(OR(AND(AV4&gt;=AY$33,AV4&lt;&gt;"",AP4=""),AND(BZ4&gt;=CC$33,BZ4&lt;&gt;"",BT4=""),AND(DD4&gt;=DG$33,DD4&lt;&gt;"",CX4=""),AND(ED4&gt;=EG$33,ED4&lt;&gt;""),AND(EZ4&gt;=FC$33,EZ4&lt;&gt;""),AND(FV4&gt;=FY$33,FV4&lt;&gt;""),AND(GR4&gt;=GU$33,GR4&lt;&gt;""),AND(HN4&gt;=HQ$33,HN4&lt;&gt;""),AND(IJ4&gt;=IM$33,IJ4&lt;&gt;""),AND(JF4&gt;=JI$33,JF4&lt;&gt;""),AND(KB4&gt;=KE$33,KB4&lt;&gt;""),AND(KX4&gt;=LA$33,KX4&lt;&gt;""),AND(LT4&gt;=LW$33,LT4&lt;&gt;""),AND(MP4&gt;=MS$33,MP4&lt;&gt;""),AND(NL4&gt;=NO$33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$34,AV4&lt;&gt;"",AP4=""),AND(BZ4&gt;=CC$34,BZ4&lt;&gt;"",BT4=""),AND(DD4&gt;=DG$34,DD4&lt;&gt;"",CX4=""),AND(ED4&gt;=EG$34,ED4&lt;&gt;""),AND(EZ4&gt;=FC$34,EZ4&lt;&gt;""),AND(FV4&gt;=FY$34,FV4&lt;&gt;""),AND(GR4&gt;=GU$34,GR4&lt;&gt;""),AND(HN4&gt;=HQ$34,HN4&lt;&gt;""),AND(IJ4&gt;=IM$34,IJ4&lt;&gt;""),AND(JF4&gt;=JI$34,JF4&lt;&gt;""),AND(KB4&gt;=KE$34,KB4&lt;&gt;""),AND(KX4&gt;=LA$34,KX4&lt;&gt;""),AND(LT4&gt;=LW$34,LT4&lt;&gt;""),AND(MP4&gt;=MS$34,MP4&lt;&gt;""),AND(NL4&gt;=NO$34,NL4&lt;&gt;"")),OR(G4="Worlds Team",G4="Excellence",G4="Merit")),"P","")</f>
        <v>P</v>
      </c>
      <c r="K4" s="14">
        <f>IF(MAX(AV4,BZ4,DD4)&gt;0,MAX(AV4,BZ4,DD4),0)</f>
        <v>112.51</v>
      </c>
      <c r="L4" s="14" t="str">
        <f>IF(K4=0,"",IF(K4=DD4,$CD$1,IF(K4=BZ4,$AZ$1,IF(K4=AV4,$V$1,""))))</f>
        <v>2019 Nationals</v>
      </c>
      <c r="M4" s="14">
        <f>IF($K4=$AV4,MAX(BU4,CY4),IF($K4=$BZ4,MAX(AQ4,CY4),IF($K4=$DD4,MAX(AQ4,BU4),MAX(AQ4,BU4,CY4))))</f>
        <v>52.58</v>
      </c>
      <c r="N4" s="14" t="str">
        <f>IF(M4=0,"",IF(AND(M4=CY4,$L4&lt;&gt;$CD$1),$CD$1,IF(AND(M4=BU4,$L4&lt;&gt;$AZ$1),$AZ$1,IF(AND(M4=AQ4,$L4&lt;&gt;$V$1),$V$1,""))))</f>
        <v>2021 1st Virtual Technical Trial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59.03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5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9.3000000000000007</v>
      </c>
      <c r="X4" s="69">
        <v>5.7</v>
      </c>
      <c r="Y4" s="69">
        <v>18.62</v>
      </c>
      <c r="Z4" s="69">
        <v>0</v>
      </c>
      <c r="AA4" s="69">
        <v>17.600000000000001</v>
      </c>
      <c r="AB4" s="69">
        <v>9.1999999999999993</v>
      </c>
      <c r="AC4" s="69">
        <v>16.2</v>
      </c>
      <c r="AD4" s="69">
        <v>17.09</v>
      </c>
      <c r="AE4" s="69">
        <v>0</v>
      </c>
      <c r="AF4" s="69"/>
      <c r="AG4" s="69"/>
      <c r="AH4" s="69"/>
      <c r="AI4" s="69"/>
      <c r="AJ4" s="69"/>
      <c r="AK4" s="69">
        <v>15.14</v>
      </c>
      <c r="AL4" s="69">
        <v>8.5</v>
      </c>
      <c r="AM4" s="69">
        <v>14.8</v>
      </c>
      <c r="AN4" s="69">
        <v>15.414999999999999</v>
      </c>
      <c r="AO4" s="69">
        <v>0</v>
      </c>
      <c r="AP4" s="80"/>
      <c r="AQ4" s="11">
        <f>IF(SUM(V4:Y4)-Z4&gt;0,SUM(V4:Y4)-Z4,"")</f>
        <v>52.42</v>
      </c>
      <c r="AR4" s="11">
        <f>IF(AC4&gt;0,AC4,"")</f>
        <v>16.2</v>
      </c>
      <c r="AS4" s="11">
        <f>IF(SUM(AA4:AD4)-AE4&gt;0,SUM(AA4:AD4)-AE4,"")</f>
        <v>60.09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112.51</v>
      </c>
      <c r="AW4" s="11">
        <f>IF(AM4&gt;0,AM4,"")</f>
        <v>14.8</v>
      </c>
      <c r="AX4" s="11">
        <f>IF(SUM(AK4:AN4)-AO4&gt;0,SUM(AK4:AN4)-AO4,"")</f>
        <v>53.854999999999997</v>
      </c>
      <c r="AY4" s="11">
        <f>IF(SUM(AV4,AX4)&gt;0,SUM(AV4,AX4),"")</f>
        <v>166.36500000000001</v>
      </c>
      <c r="AZ4" s="75">
        <v>18.899999999999999</v>
      </c>
      <c r="BA4" s="75">
        <v>9.5</v>
      </c>
      <c r="BB4" s="75">
        <v>5.7</v>
      </c>
      <c r="BC4" s="75">
        <v>18.48</v>
      </c>
      <c r="BD4" s="75">
        <v>0</v>
      </c>
      <c r="BE4" s="75">
        <v>13.7</v>
      </c>
      <c r="BF4" s="75">
        <v>7.15</v>
      </c>
      <c r="BG4" s="75">
        <v>12.3</v>
      </c>
      <c r="BH4" s="75">
        <v>13.76</v>
      </c>
      <c r="BI4" s="75">
        <v>0</v>
      </c>
      <c r="BJ4" s="75">
        <v>3.4</v>
      </c>
      <c r="BK4" s="75">
        <v>1.7</v>
      </c>
      <c r="BL4" s="75">
        <v>3.4</v>
      </c>
      <c r="BM4" s="75">
        <v>3.64</v>
      </c>
      <c r="BN4" s="75">
        <v>0</v>
      </c>
      <c r="BO4" s="75">
        <v>7.2</v>
      </c>
      <c r="BP4" s="75">
        <v>3.5</v>
      </c>
      <c r="BQ4" s="75">
        <v>6.7</v>
      </c>
      <c r="BR4" s="75">
        <v>7.28</v>
      </c>
      <c r="BS4" s="75">
        <v>0</v>
      </c>
      <c r="BT4" s="81"/>
      <c r="BU4" s="14">
        <f>IF(SUM(AZ4:BC4)-BD4&gt;0,SUM(AZ4:BC4)-BD4,"")</f>
        <v>52.58</v>
      </c>
      <c r="BV4" s="14">
        <f>IF(BG4&gt;0,BG4,"")</f>
        <v>12.3</v>
      </c>
      <c r="BW4" s="14">
        <f>IF(SUM(BE4:BH4)-BI4&gt;0,SUM(BE4:BH4)-BI4,"")</f>
        <v>46.910000000000004</v>
      </c>
      <c r="BX4" s="14">
        <f>IF(BL4&gt;0,BL4,"")</f>
        <v>3.4</v>
      </c>
      <c r="BY4" s="14">
        <f>IF(SUM(BJ4:BM4)-BN4&gt;0,SUM(BJ4:BM4)-BN4,"")</f>
        <v>12.14</v>
      </c>
      <c r="BZ4" s="14">
        <f>IF(BU4="",IF(MAX(BW4,BY4)&gt;0,MAX(BW4,BY4),""),MAX(BW4,BY4)+BU4)</f>
        <v>99.490000000000009</v>
      </c>
      <c r="CA4" s="14">
        <f>IF(BQ4&gt;0,BQ4,"")</f>
        <v>6.7</v>
      </c>
      <c r="CB4" s="14">
        <f>IF(SUM(BO4:BR4)-BS4&gt;0,SUM(BO4:BR4)-BS4,"")</f>
        <v>24.68</v>
      </c>
      <c r="CC4" s="14">
        <f>IF(SUM(BZ4,CB4)&gt;0,SUM(BZ4,CB4),"")</f>
        <v>124.17000000000002</v>
      </c>
      <c r="CD4" s="69">
        <v>18.8</v>
      </c>
      <c r="CE4" s="69">
        <v>8.5</v>
      </c>
      <c r="CF4" s="69">
        <v>6.1</v>
      </c>
      <c r="CG4" s="69">
        <v>18.329999999999998</v>
      </c>
      <c r="CH4" s="69">
        <v>0</v>
      </c>
      <c r="CI4" s="69">
        <v>16.3</v>
      </c>
      <c r="CJ4" s="69">
        <v>8.4</v>
      </c>
      <c r="CK4" s="69">
        <v>15.2</v>
      </c>
      <c r="CL4" s="69">
        <v>16.844999999999999</v>
      </c>
      <c r="CM4" s="69">
        <v>0</v>
      </c>
      <c r="CN4" s="69">
        <v>16.600000000000001</v>
      </c>
      <c r="CO4" s="69">
        <v>9.1</v>
      </c>
      <c r="CP4" s="69">
        <v>16.2</v>
      </c>
      <c r="CQ4" s="69">
        <v>17.13</v>
      </c>
      <c r="CR4" s="69">
        <v>0</v>
      </c>
      <c r="CS4" s="69">
        <v>16.8</v>
      </c>
      <c r="CT4" s="69">
        <v>9.1</v>
      </c>
      <c r="CU4" s="69">
        <v>16.2</v>
      </c>
      <c r="CV4" s="69">
        <v>17.260000000000002</v>
      </c>
      <c r="CW4" s="69">
        <v>0</v>
      </c>
      <c r="CX4" s="80"/>
      <c r="CY4" s="11">
        <f>IF(SUM(CD4:CG4)-CH4&gt;0,SUM(CD4:CG4)-CH4,"")</f>
        <v>51.73</v>
      </c>
      <c r="CZ4" s="11">
        <f>IF(CK4&gt;0,CK4,"")</f>
        <v>15.2</v>
      </c>
      <c r="DA4" s="11">
        <f>IF(SUM(CI4:CL4)-CM4&gt;0,SUM(CI4:CL4)-CM4,"")</f>
        <v>56.745000000000005</v>
      </c>
      <c r="DB4" s="11">
        <f>IF(CP4&gt;0,CP4,"")</f>
        <v>16.2</v>
      </c>
      <c r="DC4" s="11">
        <f>IF(SUM(CN4:CQ4)-CR4&gt;0,SUM(CN4:CQ4)-CR4,"")</f>
        <v>59.03</v>
      </c>
      <c r="DD4" s="11">
        <f>IF(CY4="",IF(MAX(DA4,DC4)&gt;0,MAX(DA4,DC4),""),MAX(DA4,DC4)+CY4)</f>
        <v>110.75999999999999</v>
      </c>
      <c r="DE4" s="11">
        <f>IF(CU4&gt;0,CU4,"")</f>
        <v>16.2</v>
      </c>
      <c r="DF4" s="11">
        <f>IF(SUM(CS4:CV4)-CW4&gt;0,SUM(CS4:CV4)-CW4,"")</f>
        <v>59.36</v>
      </c>
      <c r="DG4" s="11">
        <f>IF(SUM(DD4,DF4)&gt;0,SUM(DD4,DF4),"")</f>
        <v>170.12</v>
      </c>
      <c r="DH4" s="24" t="str">
        <f>IF(MAX(EB4,EX4,FT4,GP4,HL4,IH4,JD4,JZ4,KV4,LR4,MN4,NJ4)-IF(M4="",0,M4)&gt;0.001,MAX(EB4,EX4,FT4,GP4,HL4,IH4,JD4,JZ4,KV4,LR4,MN4,NJ4)-IF(M4="",0,M4),"")</f>
        <v/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</v>
      </c>
      <c r="DM4" s="37">
        <v>9.3000000000000007</v>
      </c>
      <c r="DN4" s="37">
        <v>5.7</v>
      </c>
      <c r="DO4" s="37">
        <v>18.385000000000002</v>
      </c>
      <c r="DP4" s="37">
        <v>0</v>
      </c>
      <c r="DQ4" s="37">
        <v>14.6</v>
      </c>
      <c r="DR4" s="37">
        <v>8.1999999999999993</v>
      </c>
      <c r="DS4" s="37">
        <v>14.4</v>
      </c>
      <c r="DT4" s="37">
        <v>15.305</v>
      </c>
      <c r="DU4" s="37">
        <v>0</v>
      </c>
      <c r="DV4" s="37"/>
      <c r="DW4" s="37"/>
      <c r="DX4" s="37"/>
      <c r="DY4" s="37"/>
      <c r="DZ4" s="37"/>
      <c r="EA4" s="11">
        <f>IF(DS4&gt;0,DS4,"")</f>
        <v>14.4</v>
      </c>
      <c r="EB4" s="11">
        <f>IF(SUM(DL4:DO4)-DP4&gt;0,SUM(DL4:DO4)-DP4,"")</f>
        <v>51.385000000000005</v>
      </c>
      <c r="EC4" s="11">
        <f>IF(SUM(DQ4:DT4)-DU4&gt;0,SUM(DQ4:DT4)-DU4,"")</f>
        <v>52.504999999999995</v>
      </c>
      <c r="ED4" s="11">
        <f>IF(SUM(EB4:EC4)&gt;0,SUM(EB4:EC4),"")</f>
        <v>103.89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103.89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18.850000000000001</v>
      </c>
      <c r="NQ4" s="69">
        <f>IF($CX4="P",CE4,(CE4+BA4)/2)</f>
        <v>9</v>
      </c>
      <c r="NR4" s="69">
        <f>IF($CX4="P",CF4,(CF4+BB4)/2)</f>
        <v>5.9</v>
      </c>
      <c r="NS4" s="69">
        <f>IF($CX4="P",CG4,(CG4+BC4)/2)</f>
        <v>18.405000000000001</v>
      </c>
      <c r="NT4" s="69">
        <f>IF($CX4="P",CH4,(CH4+BD4)/2)</f>
        <v>0</v>
      </c>
      <c r="NU4" s="69">
        <f>IF($CX4="P",CI4,(CI4+BE4)/2)</f>
        <v>15</v>
      </c>
      <c r="NV4" s="69">
        <f>IF($CX4="P",CJ4,(CJ4+BF4)/2)</f>
        <v>7.7750000000000004</v>
      </c>
      <c r="NW4" s="69">
        <f>IF($CX4="P",CK4,(CK4+BG4)/2)</f>
        <v>13.75</v>
      </c>
      <c r="NX4" s="69">
        <f>IF($CX4="P",CL4,(CL4+BH4)/2)</f>
        <v>15.302499999999998</v>
      </c>
      <c r="NY4" s="69">
        <f>IF($CX4="P",CM4,(CM4+BI4)/2)</f>
        <v>0</v>
      </c>
      <c r="NZ4" s="69">
        <f>IF($CX4="P",CN4,(CN4+BJ4)/2)</f>
        <v>10</v>
      </c>
      <c r="OA4" s="69">
        <f>IF($CX4="P",CO4,(CO4+BK4)/2)</f>
        <v>5.3999999999999995</v>
      </c>
      <c r="OB4" s="69">
        <f>IF($CX4="P",CP4,(CP4+BL4)/2)</f>
        <v>9.7999999999999989</v>
      </c>
      <c r="OC4" s="69">
        <f>IF($CX4="P",CQ4,(CQ4+BM4)/2)</f>
        <v>10.385</v>
      </c>
      <c r="OD4" s="69">
        <f>IF($CX4="P",CR4,(CR4+BN4)/2)</f>
        <v>0</v>
      </c>
      <c r="OE4" s="69">
        <f>IF($CX4="P",CS4,(CS4+BO4)/2)</f>
        <v>12</v>
      </c>
      <c r="OF4" s="69">
        <f>IF($CX4="P",CT4,(CT4+BP4)/2)</f>
        <v>6.3</v>
      </c>
      <c r="OG4" s="69">
        <f>IF($CX4="P",CU4,(CU4+BQ4)/2)</f>
        <v>11.45</v>
      </c>
      <c r="OH4" s="69">
        <f>IF($CX4="P",CV4,(CV4+BR4)/2)</f>
        <v>12.270000000000001</v>
      </c>
      <c r="OI4" s="69">
        <f>IF($CX4="P",CW4,(CW4+BS4)/2)</f>
        <v>0</v>
      </c>
      <c r="OJ4" s="80" t="s">
        <v>88</v>
      </c>
      <c r="OK4" s="11">
        <f>IF(SUM(NP4:NS4)-NT4&gt;0,SUM(NP4:NS4)-NT4,"")</f>
        <v>52.155000000000001</v>
      </c>
      <c r="OL4" s="11">
        <f>IF(NW4&gt;0,NW4,"")</f>
        <v>13.75</v>
      </c>
      <c r="OM4" s="11">
        <f>IF(SUM(NU4:NX4)-NY4&gt;0,SUM(NU4:NX4)-NY4,"")</f>
        <v>51.827500000000001</v>
      </c>
      <c r="ON4" s="11">
        <f>IF(OB4&gt;0,OB4,"")</f>
        <v>9.7999999999999989</v>
      </c>
      <c r="OO4" s="11">
        <f>IF(SUM(NZ4:OC4)-OD4&gt;0,SUM(NZ4:OC4)-OD4,"")</f>
        <v>35.584999999999994</v>
      </c>
      <c r="OP4" s="11">
        <f>IF(OR(OK4&lt;&gt;"",OM4&lt;&gt;"",OO4&lt;&gt;""),OK4+MAX(OM4,OO4),"")</f>
        <v>103.9825</v>
      </c>
      <c r="OQ4" s="11">
        <f>IF(OG4&gt;0,OG4,"")</f>
        <v>11.45</v>
      </c>
      <c r="OR4" s="11">
        <f t="shared" ref="OR4:OR22" si="0">IF(SUM(OE4:OH4)-OI4&gt;0,SUM(OE4:OH4)-OI4,"")</f>
        <v>42.02</v>
      </c>
      <c r="OS4" s="11">
        <f>IF(SUM(OP4,OR4)&gt;0,SUM(OP4,OR4),"")</f>
        <v>146.0025</v>
      </c>
    </row>
    <row r="5" spans="1:409" x14ac:dyDescent="0.2">
      <c r="A5" s="5" cm="1">
        <f t="array" ref="A5">IF(AND(G5&lt;&gt;"",H5&lt;&gt;""),SUMPRODUCT((G$4:G$27&lt;&gt;"")*(H$4:H$27&lt;&gt;"")*(E$4:E$27&gt;E5))+1,IF(H5&lt;&gt;"",SUMPRODUCT((I$4:I$27="No DD")*(E$4:E$27&gt;E5))+1+SUMPRODUCT((G$4:G$27&lt;&gt;"")*(H$4:H$27&lt;&gt;"")),""))</f>
        <v>2</v>
      </c>
      <c r="B5" s="6" t="s">
        <v>9</v>
      </c>
      <c r="C5" s="7" t="s">
        <v>3</v>
      </c>
      <c r="D5" s="27">
        <v>1997</v>
      </c>
      <c r="E5" s="15">
        <f>SUM(K5:S5)</f>
        <v>273.29500000000002</v>
      </c>
      <c r="F5" s="3" t="str">
        <f>IF(G5&lt;&gt;"","P","")</f>
        <v>P</v>
      </c>
      <c r="G5" s="125" t="str">
        <f>IF(OR(AND(AR5&gt;=AY$32,AR5&lt;&gt;"",AP5=""),AND(AT5&gt;=AY$32,AT5&lt;&gt;"",AP5=""),AND(AW5&gt;=AY$32,AW5&lt;&gt;"",AP5=""),AND(BV5&gt;=CC$32,BV5&lt;&gt;"",BT5=""),AND(BX5&gt;=CC$32,BX5&lt;&gt;"",BT5=""),AND(CA5&gt;=CC$32,CA5&lt;&gt;"",BT5=""),AND(CZ5&gt;=DG$32,CZ5&lt;&gt;"",CX5=""),AND(DB5&gt;=DG$32,DB5&lt;&gt;"",CX5=""),AND(DE5&gt;=DG$32,DE5&lt;&gt;"",CX5=""),AND(EA5&gt;=EG$32,EA5&lt;&gt;""),AND(EE5&gt;=EG$32,EE5&lt;&gt;""),AND(EW5&gt;=FC$32,EW5&lt;&gt;""),AND(FA5&gt;=FC$32,FA5&lt;&gt;""),AND(FS5&gt;=FY$32,FS5&lt;&gt;""),AND(FW5&gt;=FY$32,FW5&lt;&gt;""),AND(GO5&gt;=GU$32,GO5&lt;&gt;""),AND(GS5&gt;=GU$32,GS5&lt;&gt;""),AND(HK5&gt;=HQ$32,HK5&lt;&gt;""),AND(HO5&gt;=HQ$32,HO5&lt;&gt;""),AND(IG5&gt;=IM$32,IG5&lt;&gt;""),AND(IK5&gt;=IM$32,IK5&lt;&gt;""),AND(JC5&gt;=JI$32,JC5&lt;&gt;""),AND(JG5&gt;=JI$32,JG5&lt;&gt;""),AND(JY5&gt;=KE$32,JY5&lt;&gt;""),AND(KC5&gt;=KE$32,KC5&lt;&gt;""),AND(KU5&gt;=LA$32,KU5&lt;&gt;""),AND(KY5&gt;=LA$32,KY5&lt;&gt;""),AND(LQ5&gt;=LW$32,LQ5&lt;&gt;""),AND(LU5&gt;=LW$32,LU5&lt;&gt;""),AND(MM5&gt;=MS$32,MM5&lt;&gt;""),AND(MQ5&gt;=MS$32,MQ5&lt;&gt;""),AND(NI5&gt;=NO$32,NI5&lt;&gt;""),AND(NM5&gt;=NO$32,NM5&lt;&gt;"")),"Merit",IF(OR(AND(AR5&gt;=AY$31,AR5&lt;&gt;"",AP5=""),AND(AT5&gt;=AY$31,AT5&lt;&gt;"",AP5=""),AND(AW5&gt;=AY$31,AW5&lt;&gt;"",AP5=""),AND(BV5&gt;=CC$31,BV5&lt;&gt;"",BT5=""),AND(BX5&gt;=CC$31,BX5&lt;&gt;"",BT5=""),AND(CA5&gt;=CC$31,CA5&lt;&gt;"",BT5=""),AND(CZ5&gt;=DG$31,CZ5&lt;&gt;"",CX5=""),AND(DB5&gt;=DG$31,DB5&lt;&gt;"",CX5=""),AND(DE5&gt;=DG$31,DE5&lt;&gt;"",CX5=""),AND(EA5&gt;=EG$31,EA5&lt;&gt;""),AND(EE5&gt;=EG$31,EE5&lt;&gt;""),AND(EW5&gt;=FC$31,EW5&lt;&gt;""),AND(FA5&gt;=FC$31,FA5&lt;&gt;""),AND(FS5&gt;=FY$31,FS5&lt;&gt;""),AND(FW5&gt;=FY$31,FW5&lt;&gt;""),AND(GO5&gt;=GU$31,GO5&lt;&gt;""),AND(GS5&gt;=GU$31,GS5&lt;&gt;""),AND(HK5&gt;=HQ$31,HK5&lt;&gt;""),AND(HO5&gt;=HQ$31,HO5&lt;&gt;""),AND(IG5&gt;=IM$31,IG5&lt;&gt;""),AND(IK5&gt;=IM$31,IK5&lt;&gt;""),AND(JC5&gt;=JI$31,JC5&lt;&gt;""),AND(JG5&gt;=JI$31,JG5&lt;&gt;""),AND(JY5&gt;=KE$31,JY5&lt;&gt;""),AND(KC5&gt;=KE$31,KC5&lt;&gt;""),AND(KU5&gt;=LA$31,KU5&lt;&gt;""),AND(KY5&gt;=LA$31,KY5&lt;&gt;""),AND(LQ5&gt;=LW$31,LQ5&lt;&gt;""),AND(LU5&gt;=LW$31,LU5&lt;&gt;""),AND(MM5&gt;=MS$31,MM5&lt;&gt;""),AND(MQ5&gt;=MS$31,MQ5&lt;&gt;""),AND(NI5&gt;=NO$31,NI5&lt;&gt;""),AND(NM5&gt;=NO$31,NM5&lt;&gt;"")),"Excellence",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Worlds Team",IF(OR(AND(AR5&gt;=AY$29,AR5&lt;&gt;"",AP5=""),AND(AT5&gt;=AY$29,AT5&lt;&gt;"",AP5=""),AND(AW5&gt;=AY$29,AW5&lt;&gt;"",AP5=""),AND(BV5&gt;=CC$29,BV5&lt;&gt;"",BT5=""),AND(BX5&gt;=CC$29,BX5&lt;&gt;"",BT5=""),AND(CA5&gt;=CC$29,CA5&lt;&gt;"",BT5=""),AND(CZ5&gt;=DG$29,CZ5&lt;&gt;"",CX5=""),AND(DB5&gt;=DG$29,DB5&lt;&gt;"",CX5=""),AND(DE5&gt;=DG$29,DE5&lt;&gt;"",CX5=""),AND(EA5&gt;=EG$29,EA5&lt;&gt;""),AND(EE5&gt;=EG$29,EE5&lt;&gt;""),AND(EW5&gt;=FC$29,EW5&lt;&gt;""),AND(FA5&gt;=FC$29,FA5&lt;&gt;""),AND(FS5&gt;=FY$29,FS5&lt;&gt;""),AND(FW5&gt;=FY$29,FW5&lt;&gt;""),AND(GO5&gt;=GU$29,GO5&lt;&gt;""),AND(GS5&gt;=GU$29,GS5&lt;&gt;""),AND(HK5&gt;=HQ$29,HK5&lt;&gt;""),AND(HO5&gt;=HQ$29,HO5&lt;&gt;""),AND(IG5&gt;=IM$29,IG5&lt;&gt;""),AND(IK5&gt;=IM$29,IK5&lt;&gt;""),AND(JC5&gt;=JI$29,JC5&lt;&gt;""),AND(JG5&gt;=JI$29,JG5&lt;&gt;""),AND(JY5&gt;=KE$29,JY5&lt;&gt;""),AND(KC5&gt;=KE$29,KC5&lt;&gt;""),AND(KU5&gt;=LA$29,KU5&lt;&gt;""),AND(KY5&gt;=LA$29,KY5&lt;&gt;""),AND(LQ5&gt;=LW$29,LQ5&lt;&gt;""),AND(LU5&gt;=LW$29,LU5&lt;&gt;""),AND(MM5&gt;=MS$29,MM5&lt;&gt;""),AND(MQ5&gt;=MS$29,MQ5&lt;&gt;""),AND(NI5&gt;=NO$29,NI5&lt;&gt;""),AND(NM5&gt;=NO$29,NM5&lt;&gt;"")),"National Team",""))))</f>
        <v>Merit</v>
      </c>
      <c r="H5" s="125" t="str">
        <f>IF(OR(AND(AS5&gt;=AY$36,AS5&lt;&gt;"",AP5=""),AND(AU5&gt;=AY$36,AU5&lt;&gt;"",AP5=""),AND(AX5&gt;=AY$36,AX5&lt;&gt;"",AP5=""),AND(BW5&gt;=CC$36,BW5&lt;&gt;"",BT5=""),AND(BY5&gt;=CC$36,BY5&lt;&gt;"",BT5=""),AND(CB5&gt;=CC$36,CB5&lt;&gt;"",BT5=""),AND(DA5&gt;=DG$36,DA5&lt;&gt;"",CX5=""),AND(DC5&gt;=DG$36,DC5&lt;&gt;"",CX5=""),AND(DF5&gt;=DG$36,DF5&lt;&gt;"",CX5=""),AND(EC5&gt;=EG$36,EC5&lt;&gt;""),AND(EF5&gt;=EG$36,EF5&lt;&gt;""),AND(EY5&gt;=FC$36,EY5&lt;&gt;""),AND(FB5&gt;=FC$36,FB5&lt;&gt;""),AND(FU5&gt;=FY$36,FU5&lt;&gt;""),AND(FX5&gt;=FY$36,FX5&lt;&gt;""),AND(GQ5&gt;=GU$36,GQ5&lt;&gt;""),AND(GT5&gt;=GU$36,GT5&lt;&gt;""),AND(HM5&gt;=HQ$36,HM5&lt;&gt;""),AND(HP5&gt;=HQ$36,HP5&lt;&gt;""),AND(II5&gt;=IM$36,II5&lt;&gt;""),AND(IL5&gt;=IM$36,IL5&lt;&gt;""),AND(JE5&gt;=JI$36,JE5&lt;&gt;""),AND(JH5&gt;=JI$36,JH5&lt;&gt;""),AND(KA5&gt;=KE$36,KA5&lt;&gt;""),AND(KD5&gt;=KE$36,KD5&lt;&gt;""),AND(KW5&gt;=LA$36,KW5&lt;&gt;""),AND(KZ5&gt;=LA$36,KZ5&lt;&gt;""),AND(LS5&gt;=LW$36,LS5&lt;&gt;""),AND(LV5&gt;=LW$36,LV5&lt;&gt;""),AND(MO5&gt;=MS$36,MO5&lt;&gt;""),AND(MR5&gt;=MS$36,MR5&lt;&gt;""),AND(NK5&gt;=NO$36,NK5&lt;&gt;""),AND(NN5&gt;=NO$36,NN5&lt;&gt;"")),"Merit",IF(OR(AND(AS5&gt;=AY$35,AS5&lt;&gt;"",AP5=""),AND(AU5&gt;=AY$35,AU5&lt;&gt;"",AP5=""),AND(AX5&gt;=AY$35,AX5&lt;&gt;"",AP5=""),AND(BW5&gt;=CC$35,BW5&lt;&gt;"",BT5=""),AND(BY5&gt;=CC$35,BY5&lt;&gt;"",BT5=""),AND(CB5&gt;=CC$35,CB5&lt;&gt;"",BT5=""),AND(DA5&gt;=DG$35,DA5&lt;&gt;"",CX5=""),AND(DC5&gt;=DG$35,DC5&lt;&gt;"",CX5=""),AND(DF5&gt;=DG$35,DF5&lt;&gt;"",CX5=""),AND(EC5&gt;=EG$35,EC5&lt;&gt;""),AND(EF5&gt;=EG$35,EF5&lt;&gt;""),AND(EY5&gt;=FC$35,EY5&lt;&gt;""),AND(FB5&gt;=FC$35,FB5&lt;&gt;""),AND(FU5&gt;=FY$35,FU5&lt;&gt;""),AND(FX5&gt;=FY$35,FX5&lt;&gt;""),AND(GQ5&gt;=GU$35,GQ5&lt;&gt;""),AND(GT5&gt;=GU$35,GT5&lt;&gt;""),AND(HM5&gt;=HQ$35,HM5&lt;&gt;""),AND(HP5&gt;=HQ$35,HP5&lt;&gt;""),AND(II5&gt;=IM$35,II5&lt;&gt;""),AND(IL5&gt;=IM$35,IL5&lt;&gt;""),AND(JE5&gt;=JI$35,JE5&lt;&gt;""),AND(JH5&gt;=JI$35,JH5&lt;&gt;""),AND(KA5&gt;=KE$35,KA5&lt;&gt;""),AND(KD5&gt;=KE$35,KD5&lt;&gt;""),AND(KW5&gt;=LA$35,KW5&lt;&gt;""),AND(KZ5&gt;=LA$35,KZ5&lt;&gt;""),AND(LS5&gt;=LW$35,LS5&lt;&gt;""),AND(LV5&gt;=LW$35,LV5&lt;&gt;""),AND(MO5&gt;=MS$35,MO5&lt;&gt;""),AND(MR5&gt;=MS$35,MR5&lt;&gt;""),AND(NK5&gt;=NO$35,NK5&lt;&gt;""),AND(NN5&gt;=NO$35,NN5&lt;&gt;"")),"Excellence",IF(OR(AND(AV5&gt;=AY$34,AV5&lt;&gt;"",AP5=""),AND(BZ5&gt;=CC$34,BZ5&lt;&gt;"",BT5=""),AND(DD5&gt;=DG$34,DD5&lt;&gt;"",CX5=""),AND(ED5&gt;=EG$34,ED5&lt;&gt;""),AND(EZ5&gt;=FC$34,EZ5&lt;&gt;""),AND(FV5&gt;=FY$34,FV5&lt;&gt;""),AND(GR5&gt;=GU$34,GR5&lt;&gt;""),AND(HN5&gt;=HQ$34,HN5&lt;&gt;""),AND(IJ5&gt;=IM$34,IJ5&lt;&gt;""),AND(JF5&gt;=JI$34,JF5&lt;&gt;""),AND(KB5&gt;=KE$34,KB5&lt;&gt;""),AND(KX5&gt;=LA$34,KX5&lt;&gt;""),AND(LT5&gt;=LW$34,LT5&lt;&gt;""),AND(MP5&gt;=MS$34,MP5&lt;&gt;""),AND(NL5&gt;=NO$34,NL5&lt;&gt;"")),"Worlds Team",IF(OR(AND(AV5&gt;=AY$33,AV5&lt;&gt;"",AP5=""),AND(BZ5&gt;=CC$33,BZ5&lt;&gt;"",BT5=""),AND(DD5&gt;=DG$33,DD5&lt;&gt;"",CX5=""),AND(ED5&gt;=EG$33,ED5&lt;&gt;""),AND(EZ5&gt;=FC$33,EZ5&lt;&gt;""),AND(FV5&gt;=FY$33,FV5&lt;&gt;""),AND(GR5&gt;=GU$33,GR5&lt;&gt;""),AND(HN5&gt;=HQ$33,HN5&lt;&gt;""),AND(IJ5&gt;=IM$33,IJ5&lt;&gt;""),AND(JF5&gt;=JI$33,JF5&lt;&gt;""),AND(KB5&gt;=KE$33,KB5&lt;&gt;""),AND(KX5&gt;=LA$33,KX5&lt;&gt;""),AND(LT5&gt;=LW$33,LT5&lt;&gt;""),AND(MP5&gt;=MS$33,MP5&lt;&gt;""),AND(NL5&gt;=NO$33,NL5&lt;&gt;"")),"National Team",""))))</f>
        <v>Worlds Team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Worlds Team</v>
      </c>
      <c r="J5" s="3" t="str">
        <f>IF(AND(OR(AND(AV5&gt;=AY$34,AV5&lt;&gt;"",AP5=""),AND(BZ5&gt;=CC$34,BZ5&lt;&gt;"",BT5=""),AND(DD5&gt;=DG$34,DD5&lt;&gt;"",CX5=""),AND(ED5&gt;=EG$34,ED5&lt;&gt;""),AND(EZ5&gt;=FC$34,EZ5&lt;&gt;""),AND(FV5&gt;=FY$34,FV5&lt;&gt;""),AND(GR5&gt;=GU$34,GR5&lt;&gt;""),AND(HN5&gt;=HQ$34,HN5&lt;&gt;""),AND(IJ5&gt;=IM$34,IJ5&lt;&gt;""),AND(JF5&gt;=JI$34,JF5&lt;&gt;""),AND(KB5&gt;=KE$34,KB5&lt;&gt;""),AND(KX5&gt;=LA$34,KX5&lt;&gt;""),AND(LT5&gt;=LW$34,LT5&lt;&gt;""),AND(MP5&gt;=MS$34,MP5&lt;&gt;""),AND(NL5&gt;=NO$34,NL5&lt;&gt;"")),OR(G5="Worlds Team",G5="Excellence",G5="Merit")),"P","")</f>
        <v>P</v>
      </c>
      <c r="K5" s="14">
        <f>IF(MAX(AV5,BZ5,DD5)&gt;0,MAX(AV5,BZ5,DD5),0)</f>
        <v>107.99000000000001</v>
      </c>
      <c r="L5" s="14" t="str">
        <f>IF(K5=0,"",IF(K5=DD5,$CD$1,IF(K5=BZ5,$AZ$1,IF(K5=AV5,$V$1,""))))</f>
        <v>2021 1st Virtual Technical Trial</v>
      </c>
      <c r="M5" s="14">
        <f>IF($K5=$AV5,MAX(BU5,CY5),IF($K5=$BZ5,MAX(AQ5,CY5),IF($K5=$DD5,MAX(AQ5,BU5),MAX(AQ5,BU5,CY5))))</f>
        <v>50.120000000000005</v>
      </c>
      <c r="N5" s="14" t="str">
        <f>IF(M5=0,"",IF(AND(M5=CY5,$L5&lt;&gt;$CD$1),$CD$1,IF(AND(M5=BU5,$L5&lt;&gt;$AZ$1),$AZ$1,IF(AND(M5=AQ5,$L5&lt;&gt;$V$1),$V$1,""))))</f>
        <v>2019 Nationals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57.36</v>
      </c>
      <c r="P5" s="14" t="str">
        <f>IF(O5=0,"",IF(OR(O5=DC5,O5=DA5),$CD$1,IF(OR(O5=BY5,O5=BW5),$AZ$1,IF(OR(O5=AU5,O5=AS5),$V$1,""))))</f>
        <v>2021 2nd Virtual Technical Trial</v>
      </c>
      <c r="Q5" s="14">
        <f>MAX(AX5,CB5,DF5)</f>
        <v>57.825000000000003</v>
      </c>
      <c r="R5" s="14" t="str">
        <f>IF(Q5=0,"",IF(Q5=DF5,$CD$1,IF(Q5=CB5,$AZ$1,IF(Q5=AX5,$V$1,""))))</f>
        <v>2021 1st Virtual Technical Trial</v>
      </c>
      <c r="S5" s="14" t="str">
        <f>IF(MAX(DH5,DI5,DJ5,DK5)&gt;0,MAX(DH5,DI5,DJ5,DK5),"")</f>
        <v/>
      </c>
      <c r="T5" s="25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9">
        <v>18.2</v>
      </c>
      <c r="W5" s="69">
        <v>9.3000000000000007</v>
      </c>
      <c r="X5" s="69">
        <v>5.7</v>
      </c>
      <c r="Y5" s="69">
        <v>16.920000000000002</v>
      </c>
      <c r="Z5" s="69">
        <v>0</v>
      </c>
      <c r="AA5" s="69">
        <v>14.7</v>
      </c>
      <c r="AB5" s="69">
        <v>9.5</v>
      </c>
      <c r="AC5" s="69">
        <v>14.9</v>
      </c>
      <c r="AD5" s="69">
        <v>15.385</v>
      </c>
      <c r="AE5" s="69">
        <v>0</v>
      </c>
      <c r="AF5" s="69"/>
      <c r="AG5" s="69"/>
      <c r="AH5" s="69"/>
      <c r="AI5" s="69"/>
      <c r="AJ5" s="69"/>
      <c r="AK5" s="69">
        <v>14.68</v>
      </c>
      <c r="AL5" s="69">
        <v>9.3000000000000007</v>
      </c>
      <c r="AM5" s="69">
        <v>15.2</v>
      </c>
      <c r="AN5" s="69">
        <v>15.645</v>
      </c>
      <c r="AO5" s="69">
        <v>0</v>
      </c>
      <c r="AP5" s="80"/>
      <c r="AQ5" s="11">
        <f>IF(SUM(V5:Y5)-Z5&gt;0,SUM(V5:Y5)-Z5,"")</f>
        <v>50.120000000000005</v>
      </c>
      <c r="AR5" s="11">
        <f>IF(AC5&gt;0,AC5,"")</f>
        <v>14.9</v>
      </c>
      <c r="AS5" s="11">
        <f>IF(SUM(AA5:AD5)-AE5&gt;0,SUM(AA5:AD5)-AE5,"")</f>
        <v>54.484999999999999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104.605</v>
      </c>
      <c r="AW5" s="11">
        <f>IF(AM5&gt;0,AM5,"")</f>
        <v>15.2</v>
      </c>
      <c r="AX5" s="11">
        <f>IF(SUM(AK5:AN5)-AO5&gt;0,SUM(AK5:AN5)-AO5,"")</f>
        <v>54.825000000000003</v>
      </c>
      <c r="AY5" s="11">
        <f>IF(SUM(AV5,AX5)&gt;0,SUM(AV5,AX5),"")</f>
        <v>159.43</v>
      </c>
      <c r="AZ5" s="75">
        <v>18</v>
      </c>
      <c r="BA5" s="75">
        <v>9.5</v>
      </c>
      <c r="BB5" s="75">
        <v>5.7</v>
      </c>
      <c r="BC5" s="75">
        <v>17.63</v>
      </c>
      <c r="BD5" s="75">
        <v>0</v>
      </c>
      <c r="BE5" s="75">
        <v>15.2</v>
      </c>
      <c r="BF5" s="75">
        <v>9.1</v>
      </c>
      <c r="BG5" s="75">
        <v>16.2</v>
      </c>
      <c r="BH5" s="75">
        <v>16.574999999999999</v>
      </c>
      <c r="BI5" s="75">
        <v>0</v>
      </c>
      <c r="BJ5" s="75">
        <v>15.5</v>
      </c>
      <c r="BK5" s="75">
        <v>8.75</v>
      </c>
      <c r="BL5" s="75">
        <v>16.2</v>
      </c>
      <c r="BM5" s="75">
        <v>16.71</v>
      </c>
      <c r="BN5" s="75">
        <v>0</v>
      </c>
      <c r="BO5" s="75">
        <v>15.2</v>
      </c>
      <c r="BP5" s="75">
        <v>9.6</v>
      </c>
      <c r="BQ5" s="75">
        <v>16.2</v>
      </c>
      <c r="BR5" s="75">
        <v>16.824999999999999</v>
      </c>
      <c r="BS5" s="75">
        <v>0</v>
      </c>
      <c r="BT5" s="81"/>
      <c r="BU5" s="14">
        <f>IF(SUM(AZ5:BC5)-BD5&gt;0,SUM(AZ5:BC5)-BD5,"")</f>
        <v>50.83</v>
      </c>
      <c r="BV5" s="14">
        <f>IF(BG5&gt;0,BG5,"")</f>
        <v>16.2</v>
      </c>
      <c r="BW5" s="14">
        <f>IF(SUM(BE5:BH5)-BI5&gt;0,SUM(BE5:BH5)-BI5,"")</f>
        <v>57.075000000000003</v>
      </c>
      <c r="BX5" s="14">
        <f>IF(BL5&gt;0,BL5,"")</f>
        <v>16.2</v>
      </c>
      <c r="BY5" s="14">
        <f>IF(SUM(BJ5:BM5)-BN5&gt;0,SUM(BJ5:BM5)-BN5,"")</f>
        <v>57.160000000000004</v>
      </c>
      <c r="BZ5" s="14">
        <f>IF(BU5="",IF(MAX(BW5,BY5)&gt;0,MAX(BW5,BY5),""),MAX(BW5,BY5)+BU5)</f>
        <v>107.99000000000001</v>
      </c>
      <c r="CA5" s="14">
        <f>IF(BQ5&gt;0,BQ5,"")</f>
        <v>16.2</v>
      </c>
      <c r="CB5" s="14">
        <f>IF(SUM(BO5:BR5)-BS5&gt;0,SUM(BO5:BR5)-BS5,"")</f>
        <v>57.825000000000003</v>
      </c>
      <c r="CC5" s="14">
        <f>IF(SUM(BZ5,CB5)&gt;0,SUM(BZ5,CB5),"")</f>
        <v>165.815</v>
      </c>
      <c r="CD5" s="69">
        <v>17.8</v>
      </c>
      <c r="CE5" s="69">
        <v>9.1999999999999993</v>
      </c>
      <c r="CF5" s="69">
        <v>5.2</v>
      </c>
      <c r="CG5" s="69">
        <v>17.579999999999998</v>
      </c>
      <c r="CH5" s="69">
        <v>0</v>
      </c>
      <c r="CI5" s="69">
        <v>9.1</v>
      </c>
      <c r="CJ5" s="69">
        <v>5.7</v>
      </c>
      <c r="CK5" s="69">
        <v>10</v>
      </c>
      <c r="CL5" s="69">
        <v>10.07</v>
      </c>
      <c r="CM5" s="69">
        <v>0</v>
      </c>
      <c r="CN5" s="69">
        <v>15.2</v>
      </c>
      <c r="CO5" s="69">
        <v>9.1999999999999993</v>
      </c>
      <c r="CP5" s="69">
        <v>16.2</v>
      </c>
      <c r="CQ5" s="69">
        <v>16.760000000000002</v>
      </c>
      <c r="CR5" s="69">
        <v>0</v>
      </c>
      <c r="CS5" s="69">
        <v>4.5999999999999996</v>
      </c>
      <c r="CT5" s="69">
        <v>2.5</v>
      </c>
      <c r="CU5" s="69">
        <v>5.5</v>
      </c>
      <c r="CV5" s="69">
        <v>5.2850000000000001</v>
      </c>
      <c r="CW5" s="69">
        <v>0</v>
      </c>
      <c r="CX5" s="80"/>
      <c r="CY5" s="11">
        <f>IF(SUM(CD5:CG5)-CH5&gt;0,SUM(CD5:CG5)-CH5,"")</f>
        <v>49.78</v>
      </c>
      <c r="CZ5" s="11">
        <f>IF(CK5&gt;0,CK5,"")</f>
        <v>10</v>
      </c>
      <c r="DA5" s="11">
        <f>IF(SUM(CI5:CL5)-CM5&gt;0,SUM(CI5:CL5)-CM5,"")</f>
        <v>34.870000000000005</v>
      </c>
      <c r="DB5" s="11">
        <f>IF(CP5&gt;0,CP5,"")</f>
        <v>16.2</v>
      </c>
      <c r="DC5" s="11">
        <f>IF(SUM(CN5:CQ5)-CR5&gt;0,SUM(CN5:CQ5)-CR5,"")</f>
        <v>57.36</v>
      </c>
      <c r="DD5" s="11">
        <f>IF(CY5="",IF(MAX(DA5,DC5)&gt;0,MAX(DA5,DC5),""),MAX(DA5,DC5)+CY5)</f>
        <v>107.14</v>
      </c>
      <c r="DE5" s="11">
        <f>IF(CU5&gt;0,CU5,"")</f>
        <v>5.5</v>
      </c>
      <c r="DF5" s="11">
        <f>IF(SUM(CS5:CV5)-CW5&gt;0,SUM(CS5:CV5)-CW5,"")</f>
        <v>17.884999999999998</v>
      </c>
      <c r="DG5" s="11">
        <f>IF(SUM(DD5,DF5)&gt;0,SUM(DD5,DF5),"")</f>
        <v>125.02500000000001</v>
      </c>
      <c r="DH5" s="24" t="str">
        <f>IF(MAX(EB5,EX5,FT5,GP5,HL5,IH5,JD5,JZ5,KV5,LR5,MN5,NJ5)-IF(M5="",0,M5)&gt;0.001,MAX(EB5,EX5,FT5,GP5,HL5,IH5,JD5,JZ5,KV5,LR5,MN5,NJ5)-IF(M5="",0,M5),"")</f>
        <v/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17.899999999999999</v>
      </c>
      <c r="NQ5" s="69">
        <f>IF($CX5="P",CE5,(CE5+BA5)/2)</f>
        <v>9.35</v>
      </c>
      <c r="NR5" s="69">
        <f>IF($CX5="P",CF5,(CF5+BB5)/2)</f>
        <v>5.45</v>
      </c>
      <c r="NS5" s="69">
        <f>IF($CX5="P",CG5,(CG5+BC5)/2)</f>
        <v>17.604999999999997</v>
      </c>
      <c r="NT5" s="69">
        <f>IF($CX5="P",CH5,(CH5+BD5)/2)</f>
        <v>0</v>
      </c>
      <c r="NU5" s="69">
        <f>IF($CX5="P",CI5,(CI5+BE5)/2)</f>
        <v>12.149999999999999</v>
      </c>
      <c r="NV5" s="69">
        <f>IF($CX5="P",CJ5,(CJ5+BF5)/2)</f>
        <v>7.4</v>
      </c>
      <c r="NW5" s="69">
        <f>IF($CX5="P",CK5,(CK5+BG5)/2)</f>
        <v>13.1</v>
      </c>
      <c r="NX5" s="69">
        <f>IF($CX5="P",CL5,(CL5+BH5)/2)</f>
        <v>13.3225</v>
      </c>
      <c r="NY5" s="69">
        <f>IF($CX5="P",CM5,(CM5+BI5)/2)</f>
        <v>0</v>
      </c>
      <c r="NZ5" s="69">
        <f>IF($CX5="P",CN5,(CN5+BJ5)/2)</f>
        <v>15.35</v>
      </c>
      <c r="OA5" s="69">
        <f>IF($CX5="P",CO5,(CO5+BK5)/2)</f>
        <v>8.9749999999999996</v>
      </c>
      <c r="OB5" s="69">
        <f>IF($CX5="P",CP5,(CP5+BL5)/2)</f>
        <v>16.2</v>
      </c>
      <c r="OC5" s="69">
        <f>IF($CX5="P",CQ5,(CQ5+BM5)/2)</f>
        <v>16.734999999999999</v>
      </c>
      <c r="OD5" s="69">
        <f>IF($CX5="P",CR5,(CR5+BN5)/2)</f>
        <v>0</v>
      </c>
      <c r="OE5" s="69">
        <f>IF($CX5="P",CS5,(CS5+BO5)/2)</f>
        <v>9.8999999999999986</v>
      </c>
      <c r="OF5" s="69">
        <f>IF($CX5="P",CT5,(CT5+BP5)/2)</f>
        <v>6.05</v>
      </c>
      <c r="OG5" s="69">
        <f>IF($CX5="P",CU5,(CU5+BQ5)/2)</f>
        <v>10.85</v>
      </c>
      <c r="OH5" s="69">
        <f>IF($CX5="P",CV5,(CV5+BR5)/2)</f>
        <v>11.055</v>
      </c>
      <c r="OI5" s="69">
        <f>IF($CX5="P",CW5,(CW5+BS5)/2)</f>
        <v>0</v>
      </c>
      <c r="OJ5" s="80" t="s">
        <v>88</v>
      </c>
      <c r="OK5" s="11">
        <f>IF(SUM(NP5:NS5)-NT5&gt;0,SUM(NP5:NS5)-NT5,"")</f>
        <v>50.305</v>
      </c>
      <c r="OL5" s="11">
        <f>IF(NW5&gt;0,NW5,"")</f>
        <v>13.1</v>
      </c>
      <c r="OM5" s="11">
        <f>IF(SUM(NU5:NX5)-NY5&gt;0,SUM(NU5:NX5)-NY5,"")</f>
        <v>45.972499999999997</v>
      </c>
      <c r="ON5" s="11">
        <f>IF(OB5&gt;0,OB5,"")</f>
        <v>16.2</v>
      </c>
      <c r="OO5" s="11">
        <f>IF(SUM(NZ5:OC5)-OD5&gt;0,SUM(NZ5:OC5)-OD5,"")</f>
        <v>57.26</v>
      </c>
      <c r="OP5" s="11">
        <f>IF(OR(OK5&lt;&gt;"",OM5&lt;&gt;"",OO5&lt;&gt;""),OK5+MAX(OM5,OO5),"")</f>
        <v>107.565</v>
      </c>
      <c r="OQ5" s="11">
        <f>IF(OG5&gt;0,OG5,"")</f>
        <v>10.85</v>
      </c>
      <c r="OR5" s="11">
        <f t="shared" si="0"/>
        <v>37.854999999999997</v>
      </c>
      <c r="OS5" s="11">
        <f t="shared" ref="OS5:OS22" si="1">IF(SUM(OP5,OR5)&gt;0,SUM(OP5,OR5),"")</f>
        <v>145.41999999999999</v>
      </c>
    </row>
    <row r="6" spans="1:409" x14ac:dyDescent="0.2">
      <c r="A6" s="5" cm="1">
        <f t="array" ref="A6">IF(AND(G6&lt;&gt;"",H6&lt;&gt;""),SUMPRODUCT((G$4:G$27&lt;&gt;"")*(H$4:H$27&lt;&gt;"")*(E$4:E$27&gt;E6))+1,IF(H6&lt;&gt;"",SUMPRODUCT((I$4:I$27="No DD")*(E$4:E$27&gt;E6))+1+SUMPRODUCT((G$4:G$27&lt;&gt;"")*(H$4:H$27&lt;&gt;"")),""))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272.875</v>
      </c>
      <c r="F6" s="3" t="str">
        <f>IF(G6&lt;&gt;"","P","")</f>
        <v>P</v>
      </c>
      <c r="G6" s="125" t="str">
        <f>IF(OR(AND(AR6&gt;=AY$32,AR6&lt;&gt;"",AP6=""),AND(AT6&gt;=AY$32,AT6&lt;&gt;"",AP6=""),AND(AW6&gt;=AY$32,AW6&lt;&gt;"",AP6=""),AND(BV6&gt;=CC$32,BV6&lt;&gt;"",BT6=""),AND(BX6&gt;=CC$32,BX6&lt;&gt;"",BT6=""),AND(CA6&gt;=CC$32,CA6&lt;&gt;"",BT6=""),AND(CZ6&gt;=DG$32,CZ6&lt;&gt;"",CX6=""),AND(DB6&gt;=DG$32,DB6&lt;&gt;"",CX6=""),AND(DE6&gt;=DG$32,DE6&lt;&gt;"",CX6=""),AND(EA6&gt;=EG$32,EA6&lt;&gt;""),AND(EE6&gt;=EG$32,EE6&lt;&gt;""),AND(EW6&gt;=FC$32,EW6&lt;&gt;""),AND(FA6&gt;=FC$32,FA6&lt;&gt;""),AND(FS6&gt;=FY$32,FS6&lt;&gt;""),AND(FW6&gt;=FY$32,FW6&lt;&gt;""),AND(GO6&gt;=GU$32,GO6&lt;&gt;""),AND(GS6&gt;=GU$32,GS6&lt;&gt;""),AND(HK6&gt;=HQ$32,HK6&lt;&gt;""),AND(HO6&gt;=HQ$32,HO6&lt;&gt;""),AND(IG6&gt;=IM$32,IG6&lt;&gt;""),AND(IK6&gt;=IM$32,IK6&lt;&gt;""),AND(JC6&gt;=JI$32,JC6&lt;&gt;""),AND(JG6&gt;=JI$32,JG6&lt;&gt;""),AND(JY6&gt;=KE$32,JY6&lt;&gt;""),AND(KC6&gt;=KE$32,KC6&lt;&gt;""),AND(KU6&gt;=LA$32,KU6&lt;&gt;""),AND(KY6&gt;=LA$32,KY6&lt;&gt;""),AND(LQ6&gt;=LW$32,LQ6&lt;&gt;""),AND(LU6&gt;=LW$32,LU6&lt;&gt;""),AND(MM6&gt;=MS$32,MM6&lt;&gt;""),AND(MQ6&gt;=MS$32,MQ6&lt;&gt;""),AND(NI6&gt;=NO$32,NI6&lt;&gt;""),AND(NM6&gt;=NO$32,NM6&lt;&gt;"")),"Merit",IF(OR(AND(AR6&gt;=AY$31,AR6&lt;&gt;"",AP6=""),AND(AT6&gt;=AY$31,AT6&lt;&gt;"",AP6=""),AND(AW6&gt;=AY$31,AW6&lt;&gt;"",AP6=""),AND(BV6&gt;=CC$31,BV6&lt;&gt;"",BT6=""),AND(BX6&gt;=CC$31,BX6&lt;&gt;"",BT6=""),AND(CA6&gt;=CC$31,CA6&lt;&gt;"",BT6=""),AND(CZ6&gt;=DG$31,CZ6&lt;&gt;"",CX6=""),AND(DB6&gt;=DG$31,DB6&lt;&gt;"",CX6=""),AND(DE6&gt;=DG$31,DE6&lt;&gt;"",CX6=""),AND(EA6&gt;=EG$31,EA6&lt;&gt;""),AND(EE6&gt;=EG$31,EE6&lt;&gt;""),AND(EW6&gt;=FC$31,EW6&lt;&gt;""),AND(FA6&gt;=FC$31,FA6&lt;&gt;""),AND(FS6&gt;=FY$31,FS6&lt;&gt;""),AND(FW6&gt;=FY$31,FW6&lt;&gt;""),AND(GO6&gt;=GU$31,GO6&lt;&gt;""),AND(GS6&gt;=GU$31,GS6&lt;&gt;""),AND(HK6&gt;=HQ$31,HK6&lt;&gt;""),AND(HO6&gt;=HQ$31,HO6&lt;&gt;""),AND(IG6&gt;=IM$31,IG6&lt;&gt;""),AND(IK6&gt;=IM$31,IK6&lt;&gt;""),AND(JC6&gt;=JI$31,JC6&lt;&gt;""),AND(JG6&gt;=JI$31,JG6&lt;&gt;""),AND(JY6&gt;=KE$31,JY6&lt;&gt;""),AND(KC6&gt;=KE$31,KC6&lt;&gt;""),AND(KU6&gt;=LA$31,KU6&lt;&gt;""),AND(KY6&gt;=LA$31,KY6&lt;&gt;""),AND(LQ6&gt;=LW$31,LQ6&lt;&gt;""),AND(LU6&gt;=LW$31,LU6&lt;&gt;""),AND(MM6&gt;=MS$31,MM6&lt;&gt;""),AND(MQ6&gt;=MS$31,MQ6&lt;&gt;""),AND(NI6&gt;=NO$31,NI6&lt;&gt;""),AND(NM6&gt;=NO$31,NM6&lt;&gt;"")),"Excellence",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Worlds Team",IF(OR(AND(AR6&gt;=AY$29,AR6&lt;&gt;"",AP6=""),AND(AT6&gt;=AY$29,AT6&lt;&gt;"",AP6=""),AND(AW6&gt;=AY$29,AW6&lt;&gt;"",AP6=""),AND(BV6&gt;=CC$29,BV6&lt;&gt;"",BT6=""),AND(BX6&gt;=CC$29,BX6&lt;&gt;"",BT6=""),AND(CA6&gt;=CC$29,CA6&lt;&gt;"",BT6=""),AND(CZ6&gt;=DG$29,CZ6&lt;&gt;"",CX6=""),AND(DB6&gt;=DG$29,DB6&lt;&gt;"",CX6=""),AND(DE6&gt;=DG$29,DE6&lt;&gt;"",CX6=""),AND(EA6&gt;=EG$29,EA6&lt;&gt;""),AND(EE6&gt;=EG$29,EE6&lt;&gt;""),AND(EW6&gt;=FC$29,EW6&lt;&gt;""),AND(FA6&gt;=FC$29,FA6&lt;&gt;""),AND(FS6&gt;=FY$29,FS6&lt;&gt;""),AND(FW6&gt;=FY$29,FW6&lt;&gt;""),AND(GO6&gt;=GU$29,GO6&lt;&gt;""),AND(GS6&gt;=GU$29,GS6&lt;&gt;""),AND(HK6&gt;=HQ$29,HK6&lt;&gt;""),AND(HO6&gt;=HQ$29,HO6&lt;&gt;""),AND(IG6&gt;=IM$29,IG6&lt;&gt;""),AND(IK6&gt;=IM$29,IK6&lt;&gt;""),AND(JC6&gt;=JI$29,JC6&lt;&gt;""),AND(JG6&gt;=JI$29,JG6&lt;&gt;""),AND(JY6&gt;=KE$29,JY6&lt;&gt;""),AND(KC6&gt;=KE$29,KC6&lt;&gt;""),AND(KU6&gt;=LA$29,KU6&lt;&gt;""),AND(KY6&gt;=LA$29,KY6&lt;&gt;""),AND(LQ6&gt;=LW$29,LQ6&lt;&gt;""),AND(LU6&gt;=LW$29,LU6&lt;&gt;""),AND(MM6&gt;=MS$29,MM6&lt;&gt;""),AND(MQ6&gt;=MS$29,MQ6&lt;&gt;""),AND(NI6&gt;=NO$29,NI6&lt;&gt;""),AND(NM6&gt;=NO$29,NM6&lt;&gt;"")),"National Team",""))))</f>
        <v>Merit</v>
      </c>
      <c r="H6" s="125" t="str">
        <f>IF(OR(AND(AS6&gt;=AY$36,AS6&lt;&gt;"",AP6=""),AND(AU6&gt;=AY$36,AU6&lt;&gt;"",AP6=""),AND(AX6&gt;=AY$36,AX6&lt;&gt;"",AP6=""),AND(BW6&gt;=CC$36,BW6&lt;&gt;"",BT6=""),AND(BY6&gt;=CC$36,BY6&lt;&gt;"",BT6=""),AND(CB6&gt;=CC$36,CB6&lt;&gt;"",BT6=""),AND(DA6&gt;=DG$36,DA6&lt;&gt;"",CX6=""),AND(DC6&gt;=DG$36,DC6&lt;&gt;"",CX6=""),AND(DF6&gt;=DG$36,DF6&lt;&gt;"",CX6=""),AND(EC6&gt;=EG$36,EC6&lt;&gt;""),AND(EF6&gt;=EG$36,EF6&lt;&gt;""),AND(EY6&gt;=FC$36,EY6&lt;&gt;""),AND(FB6&gt;=FC$36,FB6&lt;&gt;""),AND(FU6&gt;=FY$36,FU6&lt;&gt;""),AND(FX6&gt;=FY$36,FX6&lt;&gt;""),AND(GQ6&gt;=GU$36,GQ6&lt;&gt;""),AND(GT6&gt;=GU$36,GT6&lt;&gt;""),AND(HM6&gt;=HQ$36,HM6&lt;&gt;""),AND(HP6&gt;=HQ$36,HP6&lt;&gt;""),AND(II6&gt;=IM$36,II6&lt;&gt;""),AND(IL6&gt;=IM$36,IL6&lt;&gt;""),AND(JE6&gt;=JI$36,JE6&lt;&gt;""),AND(JH6&gt;=JI$36,JH6&lt;&gt;""),AND(KA6&gt;=KE$36,KA6&lt;&gt;""),AND(KD6&gt;=KE$36,KD6&lt;&gt;""),AND(KW6&gt;=LA$36,KW6&lt;&gt;""),AND(KZ6&gt;=LA$36,KZ6&lt;&gt;""),AND(LS6&gt;=LW$36,LS6&lt;&gt;""),AND(LV6&gt;=LW$36,LV6&lt;&gt;""),AND(MO6&gt;=MS$36,MO6&lt;&gt;""),AND(MR6&gt;=MS$36,MR6&lt;&gt;""),AND(NK6&gt;=NO$36,NK6&lt;&gt;""),AND(NN6&gt;=NO$36,NN6&lt;&gt;"")),"Merit",IF(OR(AND(AS6&gt;=AY$35,AS6&lt;&gt;"",AP6=""),AND(AU6&gt;=AY$35,AU6&lt;&gt;"",AP6=""),AND(AX6&gt;=AY$35,AX6&lt;&gt;"",AP6=""),AND(BW6&gt;=CC$35,BW6&lt;&gt;"",BT6=""),AND(BY6&gt;=CC$35,BY6&lt;&gt;"",BT6=""),AND(CB6&gt;=CC$35,CB6&lt;&gt;"",BT6=""),AND(DA6&gt;=DG$35,DA6&lt;&gt;"",CX6=""),AND(DC6&gt;=DG$35,DC6&lt;&gt;"",CX6=""),AND(DF6&gt;=DG$35,DF6&lt;&gt;"",CX6=""),AND(EC6&gt;=EG$35,EC6&lt;&gt;""),AND(EF6&gt;=EG$35,EF6&lt;&gt;""),AND(EY6&gt;=FC$35,EY6&lt;&gt;""),AND(FB6&gt;=FC$35,FB6&lt;&gt;""),AND(FU6&gt;=FY$35,FU6&lt;&gt;""),AND(FX6&gt;=FY$35,FX6&lt;&gt;""),AND(GQ6&gt;=GU$35,GQ6&lt;&gt;""),AND(GT6&gt;=GU$35,GT6&lt;&gt;""),AND(HM6&gt;=HQ$35,HM6&lt;&gt;""),AND(HP6&gt;=HQ$35,HP6&lt;&gt;""),AND(II6&gt;=IM$35,II6&lt;&gt;""),AND(IL6&gt;=IM$35,IL6&lt;&gt;""),AND(JE6&gt;=JI$35,JE6&lt;&gt;""),AND(JH6&gt;=JI$35,JH6&lt;&gt;""),AND(KA6&gt;=KE$35,KA6&lt;&gt;""),AND(KD6&gt;=KE$35,KD6&lt;&gt;""),AND(KW6&gt;=LA$35,KW6&lt;&gt;""),AND(KZ6&gt;=LA$35,KZ6&lt;&gt;""),AND(LS6&gt;=LW$35,LS6&lt;&gt;""),AND(LV6&gt;=LW$35,LV6&lt;&gt;""),AND(MO6&gt;=MS$35,MO6&lt;&gt;""),AND(MR6&gt;=MS$35,MR6&lt;&gt;""),AND(NK6&gt;=NO$35,NK6&lt;&gt;""),AND(NN6&gt;=NO$35,NN6&lt;&gt;"")),"Excellence",IF(OR(AND(AV6&gt;=AY$34,AV6&lt;&gt;"",AP6=""),AND(BZ6&gt;=CC$34,BZ6&lt;&gt;"",BT6=""),AND(DD6&gt;=DG$34,DD6&lt;&gt;"",CX6=""),AND(ED6&gt;=EG$34,ED6&lt;&gt;""),AND(EZ6&gt;=FC$34,EZ6&lt;&gt;""),AND(FV6&gt;=FY$34,FV6&lt;&gt;""),AND(GR6&gt;=GU$34,GR6&lt;&gt;""),AND(HN6&gt;=HQ$34,HN6&lt;&gt;""),AND(IJ6&gt;=IM$34,IJ6&lt;&gt;""),AND(JF6&gt;=JI$34,JF6&lt;&gt;""),AND(KB6&gt;=KE$34,KB6&lt;&gt;""),AND(KX6&gt;=LA$34,KX6&lt;&gt;""),AND(LT6&gt;=LW$34,LT6&lt;&gt;""),AND(MP6&gt;=MS$34,MP6&lt;&gt;""),AND(NL6&gt;=NO$34,NL6&lt;&gt;"")),"Worlds Team",IF(OR(AND(AV6&gt;=AY$33,AV6&lt;&gt;"",AP6=""),AND(BZ6&gt;=CC$33,BZ6&lt;&gt;"",BT6=""),AND(DD6&gt;=DG$33,DD6&lt;&gt;"",CX6=""),AND(ED6&gt;=EG$33,ED6&lt;&gt;""),AND(EZ6&gt;=FC$33,EZ6&lt;&gt;""),AND(FV6&gt;=FY$33,FV6&lt;&gt;""),AND(GR6&gt;=GU$33,GR6&lt;&gt;""),AND(HN6&gt;=HQ$33,HN6&lt;&gt;""),AND(IJ6&gt;=IM$33,IJ6&lt;&gt;""),AND(JF6&gt;=JI$33,JF6&lt;&gt;""),AND(KB6&gt;=KE$33,KB6&lt;&gt;""),AND(KX6&gt;=LA$33,KX6&lt;&gt;""),AND(LT6&gt;=LW$33,LT6&lt;&gt;""),AND(MP6&gt;=MS$33,MP6&lt;&gt;""),AND(NL6&gt;=NO$33,NL6&lt;&gt;"")),"National Team",""))))</f>
        <v>Excellence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Excellence</v>
      </c>
      <c r="J6" s="3" t="str">
        <f>IF(AND(OR(AND(AV6&gt;=AY$34,AV6&lt;&gt;"",AP6=""),AND(BZ6&gt;=CC$34,BZ6&lt;&gt;"",BT6=""),AND(DD6&gt;=DG$34,DD6&lt;&gt;"",CX6=""),AND(ED6&gt;=EG$34,ED6&lt;&gt;""),AND(EZ6&gt;=FC$34,EZ6&lt;&gt;""),AND(FV6&gt;=FY$34,FV6&lt;&gt;""),AND(GR6&gt;=GU$34,GR6&lt;&gt;""),AND(HN6&gt;=HQ$34,HN6&lt;&gt;""),AND(IJ6&gt;=IM$34,IJ6&lt;&gt;""),AND(JF6&gt;=JI$34,JF6&lt;&gt;""),AND(KB6&gt;=KE$34,KB6&lt;&gt;""),AND(KX6&gt;=LA$34,KX6&lt;&gt;""),AND(LT6&gt;=LW$34,LT6&lt;&gt;""),AND(MP6&gt;=MS$34,MP6&lt;&gt;""),AND(NL6&gt;=NO$34,NL6&lt;&gt;"")),OR(G6="Worlds Team",G6="Excellence",G6="Merit")),"P","")</f>
        <v>P</v>
      </c>
      <c r="K6" s="14">
        <f>IF(MAX(AV6,BZ6,DD6)&gt;0,MAX(AV6,BZ6,DD6),0)</f>
        <v>108.08500000000001</v>
      </c>
      <c r="L6" s="14" t="str">
        <f>IF(K6=0,"",IF(K6=DD6,$CD$1,IF(K6=BZ6,$AZ$1,IF(K6=AV6,$V$1,""))))</f>
        <v>2019 Nationals</v>
      </c>
      <c r="M6" s="14">
        <f>IF($K6=$AV6,MAX(BU6,CY6),IF($K6=$BZ6,MAX(AQ6,CY6),IF($K6=$DD6,MAX(AQ6,BU6),MAX(AQ6,BU6,CY6))))</f>
        <v>50.110000000000007</v>
      </c>
      <c r="N6" s="14" t="str">
        <f>IF(M6=0,"",IF(AND(M6=CY6,$L6&lt;&gt;$CD$1),$CD$1,IF(AND(M6=BU6,$L6&lt;&gt;$AZ$1),$AZ$1,IF(AND(M6=AQ6,$L6&lt;&gt;$V$1),$V$1,""))))</f>
        <v>2021 1st Virtual Technical Trial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57.575000000000003</v>
      </c>
      <c r="P6" s="14" t="str">
        <f>IF(O6=0,"",IF(OR(O6=DC6,O6=DA6),$CD$1,IF(OR(O6=BY6,O6=BW6),$AZ$1,IF(OR(O6=AU6,O6=AS6),$V$1,""))))</f>
        <v>2021 1st Virtual Technical Trial</v>
      </c>
      <c r="Q6" s="14">
        <f>MAX(AX6,CB6,DF6)</f>
        <v>56.95</v>
      </c>
      <c r="R6" s="14" t="str">
        <f>IF(Q6=0,"",IF(Q6=DF6,$CD$1,IF(Q6=CB6,$AZ$1,IF(Q6=AX6,$V$1,""))))</f>
        <v>2021 1st Virtual Technical Trial</v>
      </c>
      <c r="S6" s="14">
        <f>IF(MAX(DH6,DI6,DJ6,DK6)&gt;0,MAX(DH6,DI6,DJ6,DK6),"")</f>
        <v>0.15499999999999403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2020 World Cup AZE (Feb 15)</v>
      </c>
      <c r="V6" s="69">
        <v>17.8</v>
      </c>
      <c r="W6" s="69">
        <v>9</v>
      </c>
      <c r="X6" s="69">
        <v>6.8</v>
      </c>
      <c r="Y6" s="69">
        <v>16.734999999999999</v>
      </c>
      <c r="Z6" s="69">
        <v>0</v>
      </c>
      <c r="AA6" s="69">
        <v>15.7</v>
      </c>
      <c r="AB6" s="69">
        <v>9.6</v>
      </c>
      <c r="AC6" s="69">
        <v>16</v>
      </c>
      <c r="AD6" s="69">
        <v>16.45</v>
      </c>
      <c r="AE6" s="69">
        <v>0</v>
      </c>
      <c r="AF6" s="69"/>
      <c r="AG6" s="69"/>
      <c r="AH6" s="69"/>
      <c r="AI6" s="69"/>
      <c r="AJ6" s="69"/>
      <c r="AK6" s="69">
        <v>16.8</v>
      </c>
      <c r="AL6" s="69">
        <v>9.1999999999999993</v>
      </c>
      <c r="AM6" s="69">
        <v>14.6</v>
      </c>
      <c r="AN6" s="69">
        <v>16.295000000000002</v>
      </c>
      <c r="AO6" s="69">
        <v>0</v>
      </c>
      <c r="AP6" s="80"/>
      <c r="AQ6" s="11">
        <f>IF(SUM(V6:Y6)-Z6&gt;0,SUM(V6:Y6)-Z6,"")</f>
        <v>50.335000000000001</v>
      </c>
      <c r="AR6" s="11">
        <f>IF(AC6&gt;0,AC6,"")</f>
        <v>16</v>
      </c>
      <c r="AS6" s="11">
        <f>IF(SUM(AA6:AD6)-AE6&gt;0,SUM(AA6:AD6)-AE6,"")</f>
        <v>57.75</v>
      </c>
      <c r="AT6" s="11" t="str">
        <f>IF(AH6&gt;0,AH6,"")</f>
        <v/>
      </c>
      <c r="AU6" s="11" t="str">
        <f>IF(SUM(AF6:AI6)-AJ6&gt;0,SUM(AF6:AI6)-AJ6,"")</f>
        <v/>
      </c>
      <c r="AV6" s="11">
        <f>IF(AQ6="",IF(MAX(AS6,AU6)&gt;0,MAX(AS6,AU6),""),MAX(AS6,AU6)+AQ6)</f>
        <v>108.08500000000001</v>
      </c>
      <c r="AW6" s="11">
        <f>IF(AM6&gt;0,AM6,"")</f>
        <v>14.6</v>
      </c>
      <c r="AX6" s="11">
        <f>IF(SUM(AK6:AN6)-AO6&gt;0,SUM(AK6:AN6)-AO6,"")</f>
        <v>56.895000000000003</v>
      </c>
      <c r="AY6" s="11">
        <f>IF(SUM(AV6,AX6)&gt;0,SUM(AV6,AX6),"")</f>
        <v>164.98000000000002</v>
      </c>
      <c r="AZ6" s="75">
        <v>17.950000000000003</v>
      </c>
      <c r="BA6" s="75">
        <v>9.125</v>
      </c>
      <c r="BB6" s="75">
        <v>5.9499999999999993</v>
      </c>
      <c r="BC6" s="75">
        <v>17.085000000000001</v>
      </c>
      <c r="BD6" s="75">
        <v>0</v>
      </c>
      <c r="BE6" s="75">
        <v>15.8</v>
      </c>
      <c r="BF6" s="75">
        <v>9.4499999999999993</v>
      </c>
      <c r="BG6" s="75">
        <v>16</v>
      </c>
      <c r="BH6" s="75">
        <v>16.324999999999999</v>
      </c>
      <c r="BI6" s="75">
        <v>0</v>
      </c>
      <c r="BJ6" s="75"/>
      <c r="BK6" s="75"/>
      <c r="BL6" s="75"/>
      <c r="BM6" s="75"/>
      <c r="BN6" s="75"/>
      <c r="BO6" s="75">
        <v>16.450000000000003</v>
      </c>
      <c r="BP6" s="75">
        <v>9.0249999999999986</v>
      </c>
      <c r="BQ6" s="75">
        <v>15</v>
      </c>
      <c r="BR6" s="75">
        <v>16.475000000000001</v>
      </c>
      <c r="BS6" s="75">
        <v>0</v>
      </c>
      <c r="BT6" s="81" t="s">
        <v>88</v>
      </c>
      <c r="BU6" s="14">
        <f>IF(SUM(AZ6:BC6)-BD6&gt;0,SUM(AZ6:BC6)-BD6,"")</f>
        <v>50.110000000000007</v>
      </c>
      <c r="BV6" s="14">
        <f>IF(BG6&gt;0,BG6,"")</f>
        <v>16</v>
      </c>
      <c r="BW6" s="14">
        <f>IF(SUM(BE6:BH6)-BI6&gt;0,SUM(BE6:BH6)-BI6,"")</f>
        <v>57.575000000000003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107.685</v>
      </c>
      <c r="CA6" s="14">
        <f>IF(BQ6&gt;0,BQ6,"")</f>
        <v>15</v>
      </c>
      <c r="CB6" s="14">
        <f>IF(SUM(BO6:BR6)-BS6&gt;0,SUM(BO6:BR6)-BS6,"")</f>
        <v>56.95</v>
      </c>
      <c r="CC6" s="14">
        <f>IF(SUM(BZ6,CB6)&gt;0,SUM(BZ6,CB6),"")</f>
        <v>164.63499999999999</v>
      </c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80"/>
      <c r="CY6" s="11" t="str">
        <f>IF(SUM(CD6:CG6)-CH6&gt;0,SUM(CD6:CG6)-CH6,"")</f>
        <v/>
      </c>
      <c r="CZ6" s="11" t="str">
        <f>IF(CK6&gt;0,CK6,"")</f>
        <v/>
      </c>
      <c r="DA6" s="11" t="str">
        <f>IF(SUM(CI6:CL6)-CM6&gt;0,SUM(CI6:CL6)-CM6,"")</f>
        <v/>
      </c>
      <c r="DB6" s="11" t="str">
        <f>IF(CP6&gt;0,CP6,"")</f>
        <v/>
      </c>
      <c r="DC6" s="11" t="str">
        <f>IF(SUM(CN6:CQ6)-CR6&gt;0,SUM(CN6:CQ6)-CR6,"")</f>
        <v/>
      </c>
      <c r="DD6" s="11" t="str">
        <f>IF(CY6="",IF(MAX(DA6,DC6)&gt;0,MAX(DA6,DC6),""),MAX(DA6,DC6)+CY6)</f>
        <v/>
      </c>
      <c r="DE6" s="11" t="str">
        <f>IF(CU6&gt;0,CU6,"")</f>
        <v/>
      </c>
      <c r="DF6" s="11" t="str">
        <f>IF(SUM(CS6:CV6)-CW6&gt;0,SUM(CS6:CV6)-CW6,"")</f>
        <v/>
      </c>
      <c r="DG6" s="11" t="str">
        <f>IF(SUM(DD6,DF6)&gt;0,SUM(DD6,DF6),"")</f>
        <v/>
      </c>
      <c r="DH6" s="24">
        <f>IF(MAX(EB6,EX6,FT6,GP6,HL6,IH6,JD6,JZ6,KV6,LR6,MN6,NJ6)-IF(M6="",0,M6)&gt;0.001,MAX(EB6,EX6,FT6,GP6,HL6,IH6,JD6,JZ6,KV6,LR6,MN6,NJ6)-IF(M6="",0,M6),"")</f>
        <v>0.15499999999999403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17.5</v>
      </c>
      <c r="DM6" s="37">
        <v>9.3000000000000007</v>
      </c>
      <c r="DN6" s="37">
        <v>6.6</v>
      </c>
      <c r="DO6" s="37">
        <v>16.864999999999998</v>
      </c>
      <c r="DP6" s="37">
        <v>0</v>
      </c>
      <c r="DQ6" s="37">
        <v>14.6</v>
      </c>
      <c r="DR6" s="37">
        <v>9.1</v>
      </c>
      <c r="DS6" s="37">
        <v>16</v>
      </c>
      <c r="DT6" s="37">
        <v>15.85</v>
      </c>
      <c r="DU6" s="37">
        <v>0</v>
      </c>
      <c r="DV6" s="37"/>
      <c r="DW6" s="37"/>
      <c r="DX6" s="37"/>
      <c r="DY6" s="37"/>
      <c r="DZ6" s="37"/>
      <c r="EA6" s="11">
        <f>IF(DS6&gt;0,DS6,"")</f>
        <v>16</v>
      </c>
      <c r="EB6" s="11">
        <f>IF(SUM(DL6:DO6)-DP6&gt;0,SUM(DL6:DO6)-DP6,"")</f>
        <v>50.265000000000001</v>
      </c>
      <c r="EC6" s="11">
        <f>IF(SUM(DQ6:DT6)-DU6&gt;0,SUM(DQ6:DT6)-DU6,"")</f>
        <v>55.550000000000004</v>
      </c>
      <c r="ED6" s="11">
        <f>IF(SUM(EB6:EC6)&gt;0,SUM(EB6:EC6),"")</f>
        <v>105.815</v>
      </c>
      <c r="EE6" s="11" t="str">
        <f>IF(DX6&gt;0,DX6,"")</f>
        <v/>
      </c>
      <c r="EF6" s="11" t="str">
        <f>IF(SUM(DV6:DY6)-DZ6&gt;0,SUM(DV6:DY6)-DZ6,"")</f>
        <v/>
      </c>
      <c r="EG6" s="11">
        <f>IF(SUM(ED6,EF6)&gt;0,SUM(ED6,EF6),"")</f>
        <v>105.815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8.9750000000000014</v>
      </c>
      <c r="NQ6" s="69">
        <f>IF($CX6="P",CE6,(CE6+BA6)/2)</f>
        <v>4.5625</v>
      </c>
      <c r="NR6" s="69">
        <f>IF($CX6="P",CF6,(CF6+BB6)/2)</f>
        <v>2.9749999999999996</v>
      </c>
      <c r="NS6" s="69">
        <f>IF($CX6="P",CG6,(CG6+BC6)/2)</f>
        <v>8.5425000000000004</v>
      </c>
      <c r="NT6" s="69">
        <f>IF($CX6="P",CH6,(CH6+BD6)/2)</f>
        <v>0</v>
      </c>
      <c r="NU6" s="69">
        <f>IF($CX6="P",CI6,(CI6+BE6)/2)</f>
        <v>7.9</v>
      </c>
      <c r="NV6" s="69">
        <f>IF($CX6="P",CJ6,(CJ6+BF6)/2)</f>
        <v>4.7249999999999996</v>
      </c>
      <c r="NW6" s="69">
        <f>IF($CX6="P",CK6,(CK6+BG6)/2)</f>
        <v>8</v>
      </c>
      <c r="NX6" s="69">
        <f>IF($CX6="P",CL6,(CL6+BH6)/2)</f>
        <v>8.1624999999999996</v>
      </c>
      <c r="NY6" s="69">
        <f>IF($CX6="P",CM6,(CM6+BI6)/2)</f>
        <v>0</v>
      </c>
      <c r="NZ6" s="69">
        <f>IF($CX6="P",CN6,(CN6+BJ6)/2)</f>
        <v>0</v>
      </c>
      <c r="OA6" s="69">
        <f>IF($CX6="P",CO6,(CO6+BK6)/2)</f>
        <v>0</v>
      </c>
      <c r="OB6" s="69">
        <f>IF($CX6="P",CP6,(CP6+BL6)/2)</f>
        <v>0</v>
      </c>
      <c r="OC6" s="69">
        <f>IF($CX6="P",CQ6,(CQ6+BM6)/2)</f>
        <v>0</v>
      </c>
      <c r="OD6" s="69">
        <f>IF($CX6="P",CR6,(CR6+BN6)/2)</f>
        <v>0</v>
      </c>
      <c r="OE6" s="69">
        <f>IF($CX6="P",CS6,(CS6+BO6)/2)</f>
        <v>8.2250000000000014</v>
      </c>
      <c r="OF6" s="69">
        <f>IF($CX6="P",CT6,(CT6+BP6)/2)</f>
        <v>4.5124999999999993</v>
      </c>
      <c r="OG6" s="69">
        <f>IF($CX6="P",CU6,(CU6+BQ6)/2)</f>
        <v>7.5</v>
      </c>
      <c r="OH6" s="69">
        <f>IF($CX6="P",CV6,(CV6+BR6)/2)</f>
        <v>8.2375000000000007</v>
      </c>
      <c r="OI6" s="69">
        <f>IF($CX6="P",CW6,(CW6+BS6)/2)</f>
        <v>0</v>
      </c>
      <c r="OJ6" s="80" t="s">
        <v>88</v>
      </c>
      <c r="OK6" s="11">
        <f>IF(SUM(NP6:NS6)-NT6&gt;0,SUM(NP6:NS6)-NT6,"")</f>
        <v>25.055000000000003</v>
      </c>
      <c r="OL6" s="11">
        <f>IF(NW6&gt;0,NW6,"")</f>
        <v>8</v>
      </c>
      <c r="OM6" s="11">
        <f>IF(SUM(NU6:NX6)-NY6&gt;0,SUM(NU6:NX6)-NY6,"")</f>
        <v>28.787500000000001</v>
      </c>
      <c r="ON6" s="11" t="str">
        <f>IF(OB6&gt;0,OB6,"")</f>
        <v/>
      </c>
      <c r="OO6" s="11" t="str">
        <f>IF(SUM(NZ6:OC6)-OD6&gt;0,SUM(NZ6:OC6)-OD6,"")</f>
        <v/>
      </c>
      <c r="OP6" s="11">
        <f>IF(OR(OK6&lt;&gt;"",OM6&lt;&gt;"",OO6&lt;&gt;""),OK6+MAX(OM6,OO6),"")</f>
        <v>53.842500000000001</v>
      </c>
      <c r="OQ6" s="11">
        <f>IF(OG6&gt;0,OG6,"")</f>
        <v>7.5</v>
      </c>
      <c r="OR6" s="11">
        <f t="shared" si="0"/>
        <v>28.475000000000001</v>
      </c>
      <c r="OS6" s="11">
        <f t="shared" si="1"/>
        <v>82.317499999999995</v>
      </c>
    </row>
    <row r="7" spans="1:409" x14ac:dyDescent="0.2">
      <c r="A7" s="5" cm="1">
        <f t="array" ref="A7">IF(AND(G7&lt;&gt;"",H7&lt;&gt;""),SUMPRODUCT((G$4:G$27&lt;&gt;"")*(H$4:H$27&lt;&gt;"")*(E$4:E$27&gt;E7))+1,IF(H7&lt;&gt;"",SUMPRODUCT((I$4:I$27="No DD")*(E$4:E$27&gt;E7))+1+SUMPRODUCT((G$4:G$27&lt;&gt;"")*(H$4:H$27&lt;&gt;"")),""))</f>
        <v>4</v>
      </c>
      <c r="B7" s="6" t="s">
        <v>149</v>
      </c>
      <c r="C7" s="7" t="s">
        <v>10</v>
      </c>
      <c r="D7" s="27">
        <v>2001</v>
      </c>
      <c r="E7" s="15">
        <f>SUM(K7:S7)</f>
        <v>270.745</v>
      </c>
      <c r="F7" s="3" t="str">
        <f>IF(G7&lt;&gt;"","P","")</f>
        <v>P</v>
      </c>
      <c r="G7" s="125" t="str">
        <f>IF(OR(AND(AR7&gt;=AY$32,AR7&lt;&gt;"",AP7=""),AND(AT7&gt;=AY$32,AT7&lt;&gt;"",AP7=""),AND(AW7&gt;=AY$32,AW7&lt;&gt;"",AP7=""),AND(BV7&gt;=CC$32,BV7&lt;&gt;"",BT7=""),AND(BX7&gt;=CC$32,BX7&lt;&gt;"",BT7=""),AND(CA7&gt;=CC$32,CA7&lt;&gt;"",BT7=""),AND(CZ7&gt;=DG$32,CZ7&lt;&gt;"",CX7=""),AND(DB7&gt;=DG$32,DB7&lt;&gt;"",CX7=""),AND(DE7&gt;=DG$32,DE7&lt;&gt;"",CX7=""),AND(EA7&gt;=EG$32,EA7&lt;&gt;""),AND(EE7&gt;=EG$32,EE7&lt;&gt;""),AND(EW7&gt;=FC$32,EW7&lt;&gt;""),AND(FA7&gt;=FC$32,FA7&lt;&gt;""),AND(FS7&gt;=FY$32,FS7&lt;&gt;""),AND(FW7&gt;=FY$32,FW7&lt;&gt;""),AND(GO7&gt;=GU$32,GO7&lt;&gt;""),AND(GS7&gt;=GU$32,GS7&lt;&gt;""),AND(HK7&gt;=HQ$32,HK7&lt;&gt;""),AND(HO7&gt;=HQ$32,HO7&lt;&gt;""),AND(IG7&gt;=IM$32,IG7&lt;&gt;""),AND(IK7&gt;=IM$32,IK7&lt;&gt;""),AND(JC7&gt;=JI$32,JC7&lt;&gt;""),AND(JG7&gt;=JI$32,JG7&lt;&gt;""),AND(JY7&gt;=KE$32,JY7&lt;&gt;""),AND(KC7&gt;=KE$32,KC7&lt;&gt;""),AND(KU7&gt;=LA$32,KU7&lt;&gt;""),AND(KY7&gt;=LA$32,KY7&lt;&gt;""),AND(LQ7&gt;=LW$32,LQ7&lt;&gt;""),AND(LU7&gt;=LW$32,LU7&lt;&gt;""),AND(MM7&gt;=MS$32,MM7&lt;&gt;""),AND(MQ7&gt;=MS$32,MQ7&lt;&gt;""),AND(NI7&gt;=NO$32,NI7&lt;&gt;""),AND(NM7&gt;=NO$32,NM7&lt;&gt;"")),"Merit",IF(OR(AND(AR7&gt;=AY$31,AR7&lt;&gt;"",AP7=""),AND(AT7&gt;=AY$31,AT7&lt;&gt;"",AP7=""),AND(AW7&gt;=AY$31,AW7&lt;&gt;"",AP7=""),AND(BV7&gt;=CC$31,BV7&lt;&gt;"",BT7=""),AND(BX7&gt;=CC$31,BX7&lt;&gt;"",BT7=""),AND(CA7&gt;=CC$31,CA7&lt;&gt;"",BT7=""),AND(CZ7&gt;=DG$31,CZ7&lt;&gt;"",CX7=""),AND(DB7&gt;=DG$31,DB7&lt;&gt;"",CX7=""),AND(DE7&gt;=DG$31,DE7&lt;&gt;"",CX7=""),AND(EA7&gt;=EG$31,EA7&lt;&gt;""),AND(EE7&gt;=EG$31,EE7&lt;&gt;""),AND(EW7&gt;=FC$31,EW7&lt;&gt;""),AND(FA7&gt;=FC$31,FA7&lt;&gt;""),AND(FS7&gt;=FY$31,FS7&lt;&gt;""),AND(FW7&gt;=FY$31,FW7&lt;&gt;""),AND(GO7&gt;=GU$31,GO7&lt;&gt;""),AND(GS7&gt;=GU$31,GS7&lt;&gt;""),AND(HK7&gt;=HQ$31,HK7&lt;&gt;""),AND(HO7&gt;=HQ$31,HO7&lt;&gt;""),AND(IG7&gt;=IM$31,IG7&lt;&gt;""),AND(IK7&gt;=IM$31,IK7&lt;&gt;""),AND(JC7&gt;=JI$31,JC7&lt;&gt;""),AND(JG7&gt;=JI$31,JG7&lt;&gt;""),AND(JY7&gt;=KE$31,JY7&lt;&gt;""),AND(KC7&gt;=KE$31,KC7&lt;&gt;""),AND(KU7&gt;=LA$31,KU7&lt;&gt;""),AND(KY7&gt;=LA$31,KY7&lt;&gt;""),AND(LQ7&gt;=LW$31,LQ7&lt;&gt;""),AND(LU7&gt;=LW$31,LU7&lt;&gt;""),AND(MM7&gt;=MS$31,MM7&lt;&gt;""),AND(MQ7&gt;=MS$31,MQ7&lt;&gt;""),AND(NI7&gt;=NO$31,NI7&lt;&gt;""),AND(NM7&gt;=NO$31,NM7&lt;&gt;"")),"Excellence",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Worlds Team",IF(OR(AND(AR7&gt;=AY$29,AR7&lt;&gt;"",AP7=""),AND(AT7&gt;=AY$29,AT7&lt;&gt;"",AP7=""),AND(AW7&gt;=AY$29,AW7&lt;&gt;"",AP7=""),AND(BV7&gt;=CC$29,BV7&lt;&gt;"",BT7=""),AND(BX7&gt;=CC$29,BX7&lt;&gt;"",BT7=""),AND(CA7&gt;=CC$29,CA7&lt;&gt;"",BT7=""),AND(CZ7&gt;=DG$29,CZ7&lt;&gt;"",CX7=""),AND(DB7&gt;=DG$29,DB7&lt;&gt;"",CX7=""),AND(DE7&gt;=DG$29,DE7&lt;&gt;"",CX7=""),AND(EA7&gt;=EG$29,EA7&lt;&gt;""),AND(EE7&gt;=EG$29,EE7&lt;&gt;""),AND(EW7&gt;=FC$29,EW7&lt;&gt;""),AND(FA7&gt;=FC$29,FA7&lt;&gt;""),AND(FS7&gt;=FY$29,FS7&lt;&gt;""),AND(FW7&gt;=FY$29,FW7&lt;&gt;""),AND(GO7&gt;=GU$29,GO7&lt;&gt;""),AND(GS7&gt;=GU$29,GS7&lt;&gt;""),AND(HK7&gt;=HQ$29,HK7&lt;&gt;""),AND(HO7&gt;=HQ$29,HO7&lt;&gt;""),AND(IG7&gt;=IM$29,IG7&lt;&gt;""),AND(IK7&gt;=IM$29,IK7&lt;&gt;""),AND(JC7&gt;=JI$29,JC7&lt;&gt;""),AND(JG7&gt;=JI$29,JG7&lt;&gt;""),AND(JY7&gt;=KE$29,JY7&lt;&gt;""),AND(KC7&gt;=KE$29,KC7&lt;&gt;""),AND(KU7&gt;=LA$29,KU7&lt;&gt;""),AND(KY7&gt;=LA$29,KY7&lt;&gt;""),AND(LQ7&gt;=LW$29,LQ7&lt;&gt;""),AND(LU7&gt;=LW$29,LU7&lt;&gt;""),AND(MM7&gt;=MS$29,MM7&lt;&gt;""),AND(MQ7&gt;=MS$29,MQ7&lt;&gt;""),AND(NI7&gt;=NO$29,NI7&lt;&gt;""),AND(NM7&gt;=NO$29,NM7&lt;&gt;"")),"National Team",""))))</f>
        <v>National Team</v>
      </c>
      <c r="H7" s="125" t="str">
        <f>IF(OR(AND(AS7&gt;=AY$36,AS7&lt;&gt;"",AP7=""),AND(AU7&gt;=AY$36,AU7&lt;&gt;"",AP7=""),AND(AX7&gt;=AY$36,AX7&lt;&gt;"",AP7=""),AND(BW7&gt;=CC$36,BW7&lt;&gt;"",BT7=""),AND(BY7&gt;=CC$36,BY7&lt;&gt;"",BT7=""),AND(CB7&gt;=CC$36,CB7&lt;&gt;"",BT7=""),AND(DA7&gt;=DG$36,DA7&lt;&gt;"",CX7=""),AND(DC7&gt;=DG$36,DC7&lt;&gt;"",CX7=""),AND(DF7&gt;=DG$36,DF7&lt;&gt;"",CX7=""),AND(EC7&gt;=EG$36,EC7&lt;&gt;""),AND(EF7&gt;=EG$36,EF7&lt;&gt;""),AND(EY7&gt;=FC$36,EY7&lt;&gt;""),AND(FB7&gt;=FC$36,FB7&lt;&gt;""),AND(FU7&gt;=FY$36,FU7&lt;&gt;""),AND(FX7&gt;=FY$36,FX7&lt;&gt;""),AND(GQ7&gt;=GU$36,GQ7&lt;&gt;""),AND(GT7&gt;=GU$36,GT7&lt;&gt;""),AND(HM7&gt;=HQ$36,HM7&lt;&gt;""),AND(HP7&gt;=HQ$36,HP7&lt;&gt;""),AND(II7&gt;=IM$36,II7&lt;&gt;""),AND(IL7&gt;=IM$36,IL7&lt;&gt;""),AND(JE7&gt;=JI$36,JE7&lt;&gt;""),AND(JH7&gt;=JI$36,JH7&lt;&gt;""),AND(KA7&gt;=KE$36,KA7&lt;&gt;""),AND(KD7&gt;=KE$36,KD7&lt;&gt;""),AND(KW7&gt;=LA$36,KW7&lt;&gt;""),AND(KZ7&gt;=LA$36,KZ7&lt;&gt;""),AND(LS7&gt;=LW$36,LS7&lt;&gt;""),AND(LV7&gt;=LW$36,LV7&lt;&gt;""),AND(MO7&gt;=MS$36,MO7&lt;&gt;""),AND(MR7&gt;=MS$36,MR7&lt;&gt;""),AND(NK7&gt;=NO$36,NK7&lt;&gt;""),AND(NN7&gt;=NO$36,NN7&lt;&gt;"")),"Merit",IF(OR(AND(AS7&gt;=AY$35,AS7&lt;&gt;"",AP7=""),AND(AU7&gt;=AY$35,AU7&lt;&gt;"",AP7=""),AND(AX7&gt;=AY$35,AX7&lt;&gt;"",AP7=""),AND(BW7&gt;=CC$35,BW7&lt;&gt;"",BT7=""),AND(BY7&gt;=CC$35,BY7&lt;&gt;"",BT7=""),AND(CB7&gt;=CC$35,CB7&lt;&gt;"",BT7=""),AND(DA7&gt;=DG$35,DA7&lt;&gt;"",CX7=""),AND(DC7&gt;=DG$35,DC7&lt;&gt;"",CX7=""),AND(DF7&gt;=DG$35,DF7&lt;&gt;"",CX7=""),AND(EC7&gt;=EG$35,EC7&lt;&gt;""),AND(EF7&gt;=EG$35,EF7&lt;&gt;""),AND(EY7&gt;=FC$35,EY7&lt;&gt;""),AND(FB7&gt;=FC$35,FB7&lt;&gt;""),AND(FU7&gt;=FY$35,FU7&lt;&gt;""),AND(FX7&gt;=FY$35,FX7&lt;&gt;""),AND(GQ7&gt;=GU$35,GQ7&lt;&gt;""),AND(GT7&gt;=GU$35,GT7&lt;&gt;""),AND(HM7&gt;=HQ$35,HM7&lt;&gt;""),AND(HP7&gt;=HQ$35,HP7&lt;&gt;""),AND(II7&gt;=IM$35,II7&lt;&gt;""),AND(IL7&gt;=IM$35,IL7&lt;&gt;""),AND(JE7&gt;=JI$35,JE7&lt;&gt;""),AND(JH7&gt;=JI$35,JH7&lt;&gt;""),AND(KA7&gt;=KE$35,KA7&lt;&gt;""),AND(KD7&gt;=KE$35,KD7&lt;&gt;""),AND(KW7&gt;=LA$35,KW7&lt;&gt;""),AND(KZ7&gt;=LA$35,KZ7&lt;&gt;""),AND(LS7&gt;=LW$35,LS7&lt;&gt;""),AND(LV7&gt;=LW$35,LV7&lt;&gt;""),AND(MO7&gt;=MS$35,MO7&lt;&gt;""),AND(MR7&gt;=MS$35,MR7&lt;&gt;""),AND(NK7&gt;=NO$35,NK7&lt;&gt;""),AND(NN7&gt;=NO$35,NN7&lt;&gt;"")),"Excellence",IF(OR(AND(AV7&gt;=AY$34,AV7&lt;&gt;"",AP7=""),AND(BZ7&gt;=CC$34,BZ7&lt;&gt;"",BT7=""),AND(DD7&gt;=DG$34,DD7&lt;&gt;"",CX7=""),AND(ED7&gt;=EG$34,ED7&lt;&gt;""),AND(EZ7&gt;=FC$34,EZ7&lt;&gt;""),AND(FV7&gt;=FY$34,FV7&lt;&gt;""),AND(GR7&gt;=GU$34,GR7&lt;&gt;""),AND(HN7&gt;=HQ$34,HN7&lt;&gt;""),AND(IJ7&gt;=IM$34,IJ7&lt;&gt;""),AND(JF7&gt;=JI$34,JF7&lt;&gt;""),AND(KB7&gt;=KE$34,KB7&lt;&gt;""),AND(KX7&gt;=LA$34,KX7&lt;&gt;""),AND(LT7&gt;=LW$34,LT7&lt;&gt;""),AND(MP7&gt;=MS$34,MP7&lt;&gt;""),AND(NL7&gt;=NO$34,NL7&lt;&gt;"")),"Worlds Team",IF(OR(AND(AV7&gt;=AY$33,AV7&lt;&gt;"",AP7=""),AND(BZ7&gt;=CC$33,BZ7&lt;&gt;"",BT7=""),AND(DD7&gt;=DG$33,DD7&lt;&gt;"",CX7=""),AND(ED7&gt;=EG$33,ED7&lt;&gt;""),AND(EZ7&gt;=FC$33,EZ7&lt;&gt;""),AND(FV7&gt;=FY$33,FV7&lt;&gt;""),AND(GR7&gt;=GU$33,GR7&lt;&gt;""),AND(HN7&gt;=HQ$33,HN7&lt;&gt;""),AND(IJ7&gt;=IM$33,IJ7&lt;&gt;""),AND(JF7&gt;=JI$33,JF7&lt;&gt;""),AND(KB7&gt;=KE$33,KB7&lt;&gt;""),AND(KX7&gt;=LA$33,KX7&lt;&gt;""),AND(LT7&gt;=LW$33,LT7&lt;&gt;""),AND(MP7&gt;=MS$33,MP7&lt;&gt;""),AND(NL7&gt;=NO$33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$34,AV7&lt;&gt;"",AP7=""),AND(BZ7&gt;=CC$34,BZ7&lt;&gt;"",BT7=""),AND(DD7&gt;=DG$34,DD7&lt;&gt;"",CX7=""),AND(ED7&gt;=EG$34,ED7&lt;&gt;""),AND(EZ7&gt;=FC$34,EZ7&lt;&gt;""),AND(FV7&gt;=FY$34,FV7&lt;&gt;""),AND(GR7&gt;=GU$34,GR7&lt;&gt;""),AND(HN7&gt;=HQ$34,HN7&lt;&gt;""),AND(IJ7&gt;=IM$34,IJ7&lt;&gt;""),AND(JF7&gt;=JI$34,JF7&lt;&gt;""),AND(KB7&gt;=KE$34,KB7&lt;&gt;""),AND(KX7&gt;=LA$34,KX7&lt;&gt;""),AND(LT7&gt;=LW$34,LT7&lt;&gt;""),AND(MP7&gt;=MS$34,MP7&lt;&gt;""),AND(NL7&gt;=NO$34,NL7&lt;&gt;"")),OR(G7="Worlds Team",G7="Excellence",G7="Merit")),"P","")</f>
        <v/>
      </c>
      <c r="K7" s="14">
        <f>IF(MAX(AV7,BZ7,DD7)&gt;0,MAX(AV7,BZ7,DD7),0)</f>
        <v>107.22499999999999</v>
      </c>
      <c r="L7" s="14" t="str">
        <f>IF(K7=0,"",IF(K7=DD7,$CD$1,IF(K7=BZ7,$AZ$1,IF(K7=AV7,$V$1,""))))</f>
        <v>2021 1st Virtual Technical Trial</v>
      </c>
      <c r="M7" s="14">
        <f>IF($K7=$AV7,MAX(BU7,CY7),IF($K7=$BZ7,MAX(AQ7,CY7),IF($K7=$DD7,MAX(AQ7,BU7),MAX(AQ7,BU7,CY7))))</f>
        <v>48.730000000000004</v>
      </c>
      <c r="N7" s="14" t="str">
        <f>IF(M7=0,"",IF(AND(M7=CY7,$L7&lt;&gt;$CD$1),$CD$1,IF(AND(M7=BU7,$L7&lt;&gt;$AZ$1),$AZ$1,IF(AND(M7=AQ7,$L7&lt;&gt;$V$1),$V$1,""))))</f>
        <v>2019 Nationals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57.21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57.58</v>
      </c>
      <c r="R7" s="14" t="str">
        <f>IF(Q7=0,"",IF(Q7=DF7,$CD$1,IF(Q7=CB7,$AZ$1,IF(Q7=AX7,$V$1,""))))</f>
        <v>2021 2nd Virtual Technical Trial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18.600000000000001</v>
      </c>
      <c r="W7" s="69">
        <v>9.6</v>
      </c>
      <c r="X7" s="69">
        <v>3.2</v>
      </c>
      <c r="Y7" s="69">
        <v>17.329999999999998</v>
      </c>
      <c r="Z7" s="69">
        <v>0</v>
      </c>
      <c r="AA7" s="69">
        <v>9.6999999999999993</v>
      </c>
      <c r="AB7" s="69">
        <v>5.3</v>
      </c>
      <c r="AC7" s="69">
        <v>9.4</v>
      </c>
      <c r="AD7" s="69">
        <v>9.83</v>
      </c>
      <c r="AE7" s="69">
        <v>0</v>
      </c>
      <c r="AF7" s="69"/>
      <c r="AG7" s="69"/>
      <c r="AH7" s="69"/>
      <c r="AI7" s="69"/>
      <c r="AJ7" s="69"/>
      <c r="AK7" s="69">
        <v>6.32</v>
      </c>
      <c r="AL7" s="69">
        <v>3.5</v>
      </c>
      <c r="AM7" s="69">
        <v>6.7</v>
      </c>
      <c r="AN7" s="69">
        <v>6.65</v>
      </c>
      <c r="AO7" s="69">
        <v>0</v>
      </c>
      <c r="AP7" s="80"/>
      <c r="AQ7" s="11">
        <f>IF(SUM(V7:Y7)-Z7&gt;0,SUM(V7:Y7)-Z7,"")</f>
        <v>48.730000000000004</v>
      </c>
      <c r="AR7" s="11">
        <f>IF(AC7&gt;0,AC7,"")</f>
        <v>9.4</v>
      </c>
      <c r="AS7" s="11">
        <f>IF(SUM(AA7:AD7)-AE7&gt;0,SUM(AA7:AD7)-AE7,"")</f>
        <v>34.229999999999997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82.960000000000008</v>
      </c>
      <c r="AW7" s="11">
        <f>IF(AM7&gt;0,AM7,"")</f>
        <v>6.7</v>
      </c>
      <c r="AX7" s="11">
        <f>IF(SUM(AK7:AN7)-AO7&gt;0,SUM(AK7:AN7)-AO7,"")</f>
        <v>23.17</v>
      </c>
      <c r="AY7" s="11">
        <f>IF(SUM(AV7,AX7)&gt;0,SUM(AV7,AX7),"")</f>
        <v>106.13000000000001</v>
      </c>
      <c r="AZ7" s="75">
        <v>18</v>
      </c>
      <c r="BA7" s="75">
        <v>9.75</v>
      </c>
      <c r="BB7" s="75">
        <v>4.8</v>
      </c>
      <c r="BC7" s="75">
        <v>17.895</v>
      </c>
      <c r="BD7" s="75">
        <v>0</v>
      </c>
      <c r="BE7" s="75">
        <v>14.8</v>
      </c>
      <c r="BF7" s="75">
        <v>8.75</v>
      </c>
      <c r="BG7" s="75">
        <v>13.5</v>
      </c>
      <c r="BH7" s="75">
        <v>16.91</v>
      </c>
      <c r="BI7" s="75">
        <v>0</v>
      </c>
      <c r="BJ7" s="75">
        <v>16.7</v>
      </c>
      <c r="BK7" s="75">
        <v>8.9</v>
      </c>
      <c r="BL7" s="75">
        <v>13.9</v>
      </c>
      <c r="BM7" s="75">
        <v>17.28</v>
      </c>
      <c r="BN7" s="75">
        <v>0</v>
      </c>
      <c r="BO7" s="75">
        <v>1.7</v>
      </c>
      <c r="BP7" s="75">
        <v>0.9</v>
      </c>
      <c r="BQ7" s="75">
        <v>1.7</v>
      </c>
      <c r="BR7" s="75">
        <v>1.8149999999999999</v>
      </c>
      <c r="BS7" s="75">
        <v>0</v>
      </c>
      <c r="BT7" s="81"/>
      <c r="BU7" s="14">
        <f>IF(SUM(AZ7:BC7)-BD7&gt;0,SUM(AZ7:BC7)-BD7,"")</f>
        <v>50.444999999999993</v>
      </c>
      <c r="BV7" s="14">
        <f>IF(BG7&gt;0,BG7,"")</f>
        <v>13.5</v>
      </c>
      <c r="BW7" s="14">
        <f>IF(SUM(BE7:BH7)-BI7&gt;0,SUM(BE7:BH7)-BI7,"")</f>
        <v>53.959999999999994</v>
      </c>
      <c r="BX7" s="14">
        <f>IF(BL7&gt;0,BL7,"")</f>
        <v>13.9</v>
      </c>
      <c r="BY7" s="14">
        <f>IF(SUM(BJ7:BM7)-BN7&gt;0,SUM(BJ7:BM7)-BN7,"")</f>
        <v>56.78</v>
      </c>
      <c r="BZ7" s="14">
        <f>IF(BU7="",IF(MAX(BW7,BY7)&gt;0,MAX(BW7,BY7),""),MAX(BW7,BY7)+BU7)</f>
        <v>107.22499999999999</v>
      </c>
      <c r="CA7" s="14">
        <f>IF(BQ7&gt;0,BQ7,"")</f>
        <v>1.7</v>
      </c>
      <c r="CB7" s="14">
        <f>IF(SUM(BO7:BR7)-BS7&gt;0,SUM(BO7:BR7)-BS7,"")</f>
        <v>6.1150000000000002</v>
      </c>
      <c r="CC7" s="14">
        <f>IF(SUM(BZ7,CB7)&gt;0,SUM(BZ7,CB7),"")</f>
        <v>113.33999999999999</v>
      </c>
      <c r="CD7" s="69">
        <v>17.7</v>
      </c>
      <c r="CE7" s="69">
        <v>8.9</v>
      </c>
      <c r="CF7" s="69">
        <v>4.4000000000000004</v>
      </c>
      <c r="CG7" s="69">
        <v>17.36</v>
      </c>
      <c r="CH7" s="69">
        <v>0</v>
      </c>
      <c r="CI7" s="69">
        <v>15.5</v>
      </c>
      <c r="CJ7" s="69">
        <v>8.5</v>
      </c>
      <c r="CK7" s="69">
        <v>14.8</v>
      </c>
      <c r="CL7" s="69">
        <v>17.079999999999998</v>
      </c>
      <c r="CM7" s="69">
        <v>0</v>
      </c>
      <c r="CN7" s="69">
        <v>15.7</v>
      </c>
      <c r="CO7" s="69">
        <v>9.4</v>
      </c>
      <c r="CP7" s="69">
        <v>15</v>
      </c>
      <c r="CQ7" s="69">
        <v>17.11</v>
      </c>
      <c r="CR7" s="69">
        <v>0</v>
      </c>
      <c r="CS7" s="69">
        <v>16.2</v>
      </c>
      <c r="CT7" s="69">
        <v>9.4</v>
      </c>
      <c r="CU7" s="69">
        <v>14.6</v>
      </c>
      <c r="CV7" s="69">
        <v>17.38</v>
      </c>
      <c r="CW7" s="69">
        <v>0</v>
      </c>
      <c r="CX7" s="80"/>
      <c r="CY7" s="11">
        <f>IF(SUM(CD7:CG7)-CH7&gt;0,SUM(CD7:CG7)-CH7,"")</f>
        <v>48.36</v>
      </c>
      <c r="CZ7" s="11">
        <f>IF(CK7&gt;0,CK7,"")</f>
        <v>14.8</v>
      </c>
      <c r="DA7" s="11">
        <f>IF(SUM(CI7:CL7)-CM7&gt;0,SUM(CI7:CL7)-CM7,"")</f>
        <v>55.879999999999995</v>
      </c>
      <c r="DB7" s="11">
        <f>IF(CP7&gt;0,CP7,"")</f>
        <v>15</v>
      </c>
      <c r="DC7" s="11">
        <f>IF(SUM(CN7:CQ7)-CR7&gt;0,SUM(CN7:CQ7)-CR7,"")</f>
        <v>57.21</v>
      </c>
      <c r="DD7" s="11">
        <f>IF(CY7="",IF(MAX(DA7,DC7)&gt;0,MAX(DA7,DC7),""),MAX(DA7,DC7)+CY7)</f>
        <v>105.57</v>
      </c>
      <c r="DE7" s="11">
        <f>IF(CU7&gt;0,CU7,"")</f>
        <v>14.6</v>
      </c>
      <c r="DF7" s="11">
        <f>IF(SUM(CS7:CV7)-CW7&gt;0,SUM(CS7:CV7)-CW7,"")</f>
        <v>57.58</v>
      </c>
      <c r="DG7" s="11">
        <f>IF(SUM(DD7,DF7)&gt;0,SUM(DD7,DF7),"")</f>
        <v>163.14999999999998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17.850000000000001</v>
      </c>
      <c r="NQ7" s="69">
        <f>IF($CX7="P",CE7,(CE7+BA7)/2)</f>
        <v>9.3249999999999993</v>
      </c>
      <c r="NR7" s="69">
        <f>IF($CX7="P",CF7,(CF7+BB7)/2)</f>
        <v>4.5999999999999996</v>
      </c>
      <c r="NS7" s="69">
        <f>IF($CX7="P",CG7,(CG7+BC7)/2)</f>
        <v>17.627499999999998</v>
      </c>
      <c r="NT7" s="69">
        <f>IF($CX7="P",CH7,(CH7+BD7)/2)</f>
        <v>0</v>
      </c>
      <c r="NU7" s="69">
        <f>IF($CX7="P",CI7,(CI7+BE7)/2)</f>
        <v>15.15</v>
      </c>
      <c r="NV7" s="69">
        <f>IF($CX7="P",CJ7,(CJ7+BF7)/2)</f>
        <v>8.625</v>
      </c>
      <c r="NW7" s="69">
        <f>IF($CX7="P",CK7,(CK7+BG7)/2)</f>
        <v>14.15</v>
      </c>
      <c r="NX7" s="69">
        <f>IF($CX7="P",CL7,(CL7+BH7)/2)</f>
        <v>16.994999999999997</v>
      </c>
      <c r="NY7" s="69">
        <f>IF($CX7="P",CM7,(CM7+BI7)/2)</f>
        <v>0</v>
      </c>
      <c r="NZ7" s="69">
        <f>IF($CX7="P",CN7,(CN7+BJ7)/2)</f>
        <v>16.2</v>
      </c>
      <c r="OA7" s="69">
        <f>IF($CX7="P",CO7,(CO7+BK7)/2)</f>
        <v>9.15</v>
      </c>
      <c r="OB7" s="69">
        <f>IF($CX7="P",CP7,(CP7+BL7)/2)</f>
        <v>14.45</v>
      </c>
      <c r="OC7" s="69">
        <f>IF($CX7="P",CQ7,(CQ7+BM7)/2)</f>
        <v>17.195</v>
      </c>
      <c r="OD7" s="69">
        <f>IF($CX7="P",CR7,(CR7+BN7)/2)</f>
        <v>0</v>
      </c>
      <c r="OE7" s="69">
        <f>IF($CX7="P",CS7,(CS7+BO7)/2)</f>
        <v>8.9499999999999993</v>
      </c>
      <c r="OF7" s="69">
        <f>IF($CX7="P",CT7,(CT7+BP7)/2)</f>
        <v>5.15</v>
      </c>
      <c r="OG7" s="69">
        <f>IF($CX7="P",CU7,(CU7+BQ7)/2)</f>
        <v>8.15</v>
      </c>
      <c r="OH7" s="69">
        <f>IF($CX7="P",CV7,(CV7+BR7)/2)</f>
        <v>9.5975000000000001</v>
      </c>
      <c r="OI7" s="69">
        <f>IF($CX7="P",CW7,(CW7+BS7)/2)</f>
        <v>0</v>
      </c>
      <c r="OJ7" s="80" t="s">
        <v>88</v>
      </c>
      <c r="OK7" s="11">
        <f>IF(SUM(NP7:NS7)-NT7&gt;0,SUM(NP7:NS7)-NT7,"")</f>
        <v>49.402499999999996</v>
      </c>
      <c r="OL7" s="11">
        <f>IF(NW7&gt;0,NW7,"")</f>
        <v>14.15</v>
      </c>
      <c r="OM7" s="11">
        <f>IF(SUM(NU7:NX7)-NY7&gt;0,SUM(NU7:NX7)-NY7,"")</f>
        <v>54.919999999999995</v>
      </c>
      <c r="ON7" s="11">
        <f>IF(OB7&gt;0,OB7,"")</f>
        <v>14.45</v>
      </c>
      <c r="OO7" s="11">
        <f>IF(SUM(NZ7:OC7)-OD7&gt;0,SUM(NZ7:OC7)-OD7,"")</f>
        <v>56.994999999999997</v>
      </c>
      <c r="OP7" s="11">
        <f>IF(OR(OK7&lt;&gt;"",OM7&lt;&gt;"",OO7&lt;&gt;""),OK7+MAX(OM7,OO7),"")</f>
        <v>106.39749999999999</v>
      </c>
      <c r="OQ7" s="11">
        <f>IF(OG7&gt;0,OG7,"")</f>
        <v>8.15</v>
      </c>
      <c r="OR7" s="11">
        <f t="shared" si="0"/>
        <v>31.8475</v>
      </c>
      <c r="OS7" s="11">
        <f t="shared" si="1"/>
        <v>138.245</v>
      </c>
    </row>
    <row r="8" spans="1:409" x14ac:dyDescent="0.2">
      <c r="A8" s="5" cm="1">
        <f t="array" ref="A8">IF(AND(G8&lt;&gt;"",H8&lt;&gt;""),SUMPRODUCT((G$4:G$27&lt;&gt;"")*(H$4:H$27&lt;&gt;"")*(E$4:E$27&gt;E8))+1,IF(H8&lt;&gt;"",SUMPRODUCT((I$4:I$27="No DD")*(E$4:E$27&gt;E8))+1+SUMPRODUCT((G$4:G$27&lt;&gt;"")*(H$4:H$27&lt;&gt;"")),""))</f>
        <v>5</v>
      </c>
      <c r="B8" s="6" t="s">
        <v>8</v>
      </c>
      <c r="C8" s="7" t="s">
        <v>3</v>
      </c>
      <c r="D8" s="5">
        <v>1994</v>
      </c>
      <c r="E8" s="15">
        <f>SUM(K8:S8)</f>
        <v>270.09500000000003</v>
      </c>
      <c r="F8" s="3" t="str">
        <f>IF(G8&lt;&gt;"","P","")</f>
        <v>P</v>
      </c>
      <c r="G8" s="125" t="str">
        <f>IF(OR(AND(AR8&gt;=AY$32,AR8&lt;&gt;"",AP8=""),AND(AT8&gt;=AY$32,AT8&lt;&gt;"",AP8=""),AND(AW8&gt;=AY$32,AW8&lt;&gt;"",AP8=""),AND(BV8&gt;=CC$32,BV8&lt;&gt;"",BT8=""),AND(BX8&gt;=CC$32,BX8&lt;&gt;"",BT8=""),AND(CA8&gt;=CC$32,CA8&lt;&gt;"",BT8=""),AND(CZ8&gt;=DG$32,CZ8&lt;&gt;"",CX8=""),AND(DB8&gt;=DG$32,DB8&lt;&gt;"",CX8=""),AND(DE8&gt;=DG$32,DE8&lt;&gt;"",CX8=""),AND(EA8&gt;=EG$32,EA8&lt;&gt;""),AND(EE8&gt;=EG$32,EE8&lt;&gt;""),AND(EW8&gt;=FC$32,EW8&lt;&gt;""),AND(FA8&gt;=FC$32,FA8&lt;&gt;""),AND(FS8&gt;=FY$32,FS8&lt;&gt;""),AND(FW8&gt;=FY$32,FW8&lt;&gt;""),AND(GO8&gt;=GU$32,GO8&lt;&gt;""),AND(GS8&gt;=GU$32,GS8&lt;&gt;""),AND(HK8&gt;=HQ$32,HK8&lt;&gt;""),AND(HO8&gt;=HQ$32,HO8&lt;&gt;""),AND(IG8&gt;=IM$32,IG8&lt;&gt;""),AND(IK8&gt;=IM$32,IK8&lt;&gt;""),AND(JC8&gt;=JI$32,JC8&lt;&gt;""),AND(JG8&gt;=JI$32,JG8&lt;&gt;""),AND(JY8&gt;=KE$32,JY8&lt;&gt;""),AND(KC8&gt;=KE$32,KC8&lt;&gt;""),AND(KU8&gt;=LA$32,KU8&lt;&gt;""),AND(KY8&gt;=LA$32,KY8&lt;&gt;""),AND(LQ8&gt;=LW$32,LQ8&lt;&gt;""),AND(LU8&gt;=LW$32,LU8&lt;&gt;""),AND(MM8&gt;=MS$32,MM8&lt;&gt;""),AND(MQ8&gt;=MS$32,MQ8&lt;&gt;""),AND(NI8&gt;=NO$32,NI8&lt;&gt;""),AND(NM8&gt;=NO$32,NM8&lt;&gt;"")),"Merit",IF(OR(AND(AR8&gt;=AY$31,AR8&lt;&gt;"",AP8=""),AND(AT8&gt;=AY$31,AT8&lt;&gt;"",AP8=""),AND(AW8&gt;=AY$31,AW8&lt;&gt;"",AP8=""),AND(BV8&gt;=CC$31,BV8&lt;&gt;"",BT8=""),AND(BX8&gt;=CC$31,BX8&lt;&gt;"",BT8=""),AND(CA8&gt;=CC$31,CA8&lt;&gt;"",BT8=""),AND(CZ8&gt;=DG$31,CZ8&lt;&gt;"",CX8=""),AND(DB8&gt;=DG$31,DB8&lt;&gt;"",CX8=""),AND(DE8&gt;=DG$31,DE8&lt;&gt;"",CX8=""),AND(EA8&gt;=EG$31,EA8&lt;&gt;""),AND(EE8&gt;=EG$31,EE8&lt;&gt;""),AND(EW8&gt;=FC$31,EW8&lt;&gt;""),AND(FA8&gt;=FC$31,FA8&lt;&gt;""),AND(FS8&gt;=FY$31,FS8&lt;&gt;""),AND(FW8&gt;=FY$31,FW8&lt;&gt;""),AND(GO8&gt;=GU$31,GO8&lt;&gt;""),AND(GS8&gt;=GU$31,GS8&lt;&gt;""),AND(HK8&gt;=HQ$31,HK8&lt;&gt;""),AND(HO8&gt;=HQ$31,HO8&lt;&gt;""),AND(IG8&gt;=IM$31,IG8&lt;&gt;""),AND(IK8&gt;=IM$31,IK8&lt;&gt;""),AND(JC8&gt;=JI$31,JC8&lt;&gt;""),AND(JG8&gt;=JI$31,JG8&lt;&gt;""),AND(JY8&gt;=KE$31,JY8&lt;&gt;""),AND(KC8&gt;=KE$31,KC8&lt;&gt;""),AND(KU8&gt;=LA$31,KU8&lt;&gt;""),AND(KY8&gt;=LA$31,KY8&lt;&gt;""),AND(LQ8&gt;=LW$31,LQ8&lt;&gt;""),AND(LU8&gt;=LW$31,LU8&lt;&gt;""),AND(MM8&gt;=MS$31,MM8&lt;&gt;""),AND(MQ8&gt;=MS$31,MQ8&lt;&gt;""),AND(NI8&gt;=NO$31,NI8&lt;&gt;""),AND(NM8&gt;=NO$31,NM8&lt;&gt;"")),"Excellence",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Worlds Team",IF(OR(AND(AR8&gt;=AY$29,AR8&lt;&gt;"",AP8=""),AND(AT8&gt;=AY$29,AT8&lt;&gt;"",AP8=""),AND(AW8&gt;=AY$29,AW8&lt;&gt;"",AP8=""),AND(BV8&gt;=CC$29,BV8&lt;&gt;"",BT8=""),AND(BX8&gt;=CC$29,BX8&lt;&gt;"",BT8=""),AND(CA8&gt;=CC$29,CA8&lt;&gt;"",BT8=""),AND(CZ8&gt;=DG$29,CZ8&lt;&gt;"",CX8=""),AND(DB8&gt;=DG$29,DB8&lt;&gt;"",CX8=""),AND(DE8&gt;=DG$29,DE8&lt;&gt;"",CX8=""),AND(EA8&gt;=EG$29,EA8&lt;&gt;""),AND(EE8&gt;=EG$29,EE8&lt;&gt;""),AND(EW8&gt;=FC$29,EW8&lt;&gt;""),AND(FA8&gt;=FC$29,FA8&lt;&gt;""),AND(FS8&gt;=FY$29,FS8&lt;&gt;""),AND(FW8&gt;=FY$29,FW8&lt;&gt;""),AND(GO8&gt;=GU$29,GO8&lt;&gt;""),AND(GS8&gt;=GU$29,GS8&lt;&gt;""),AND(HK8&gt;=HQ$29,HK8&lt;&gt;""),AND(HO8&gt;=HQ$29,HO8&lt;&gt;""),AND(IG8&gt;=IM$29,IG8&lt;&gt;""),AND(IK8&gt;=IM$29,IK8&lt;&gt;""),AND(JC8&gt;=JI$29,JC8&lt;&gt;""),AND(JG8&gt;=JI$29,JG8&lt;&gt;""),AND(JY8&gt;=KE$29,JY8&lt;&gt;""),AND(KC8&gt;=KE$29,KC8&lt;&gt;""),AND(KU8&gt;=LA$29,KU8&lt;&gt;""),AND(KY8&gt;=LA$29,KY8&lt;&gt;""),AND(LQ8&gt;=LW$29,LQ8&lt;&gt;""),AND(LU8&gt;=LW$29,LU8&lt;&gt;""),AND(MM8&gt;=MS$29,MM8&lt;&gt;""),AND(MQ8&gt;=MS$29,MQ8&lt;&gt;""),AND(NI8&gt;=NO$29,NI8&lt;&gt;""),AND(NM8&gt;=NO$29,NM8&lt;&gt;"")),"National Team",""))))</f>
        <v>Merit</v>
      </c>
      <c r="H8" s="125" t="str">
        <f>IF(OR(AND(AS8&gt;=AY$36,AS8&lt;&gt;"",AP8=""),AND(AU8&gt;=AY$36,AU8&lt;&gt;"",AP8=""),AND(AX8&gt;=AY$36,AX8&lt;&gt;"",AP8=""),AND(BW8&gt;=CC$36,BW8&lt;&gt;"",BT8=""),AND(BY8&gt;=CC$36,BY8&lt;&gt;"",BT8=""),AND(CB8&gt;=CC$36,CB8&lt;&gt;"",BT8=""),AND(DA8&gt;=DG$36,DA8&lt;&gt;"",CX8=""),AND(DC8&gt;=DG$36,DC8&lt;&gt;"",CX8=""),AND(DF8&gt;=DG$36,DF8&lt;&gt;"",CX8=""),AND(EC8&gt;=EG$36,EC8&lt;&gt;""),AND(EF8&gt;=EG$36,EF8&lt;&gt;""),AND(EY8&gt;=FC$36,EY8&lt;&gt;""),AND(FB8&gt;=FC$36,FB8&lt;&gt;""),AND(FU8&gt;=FY$36,FU8&lt;&gt;""),AND(FX8&gt;=FY$36,FX8&lt;&gt;""),AND(GQ8&gt;=GU$36,GQ8&lt;&gt;""),AND(GT8&gt;=GU$36,GT8&lt;&gt;""),AND(HM8&gt;=HQ$36,HM8&lt;&gt;""),AND(HP8&gt;=HQ$36,HP8&lt;&gt;""),AND(II8&gt;=IM$36,II8&lt;&gt;""),AND(IL8&gt;=IM$36,IL8&lt;&gt;""),AND(JE8&gt;=JI$36,JE8&lt;&gt;""),AND(JH8&gt;=JI$36,JH8&lt;&gt;""),AND(KA8&gt;=KE$36,KA8&lt;&gt;""),AND(KD8&gt;=KE$36,KD8&lt;&gt;""),AND(KW8&gt;=LA$36,KW8&lt;&gt;""),AND(KZ8&gt;=LA$36,KZ8&lt;&gt;""),AND(LS8&gt;=LW$36,LS8&lt;&gt;""),AND(LV8&gt;=LW$36,LV8&lt;&gt;""),AND(MO8&gt;=MS$36,MO8&lt;&gt;""),AND(MR8&gt;=MS$36,MR8&lt;&gt;""),AND(NK8&gt;=NO$36,NK8&lt;&gt;""),AND(NN8&gt;=NO$36,NN8&lt;&gt;"")),"Merit",IF(OR(AND(AS8&gt;=AY$35,AS8&lt;&gt;"",AP8=""),AND(AU8&gt;=AY$35,AU8&lt;&gt;"",AP8=""),AND(AX8&gt;=AY$35,AX8&lt;&gt;"",AP8=""),AND(BW8&gt;=CC$35,BW8&lt;&gt;"",BT8=""),AND(BY8&gt;=CC$35,BY8&lt;&gt;"",BT8=""),AND(CB8&gt;=CC$35,CB8&lt;&gt;"",BT8=""),AND(DA8&gt;=DG$35,DA8&lt;&gt;"",CX8=""),AND(DC8&gt;=DG$35,DC8&lt;&gt;"",CX8=""),AND(DF8&gt;=DG$35,DF8&lt;&gt;"",CX8=""),AND(EC8&gt;=EG$35,EC8&lt;&gt;""),AND(EF8&gt;=EG$35,EF8&lt;&gt;""),AND(EY8&gt;=FC$35,EY8&lt;&gt;""),AND(FB8&gt;=FC$35,FB8&lt;&gt;""),AND(FU8&gt;=FY$35,FU8&lt;&gt;""),AND(FX8&gt;=FY$35,FX8&lt;&gt;""),AND(GQ8&gt;=GU$35,GQ8&lt;&gt;""),AND(GT8&gt;=GU$35,GT8&lt;&gt;""),AND(HM8&gt;=HQ$35,HM8&lt;&gt;""),AND(HP8&gt;=HQ$35,HP8&lt;&gt;""),AND(II8&gt;=IM$35,II8&lt;&gt;""),AND(IL8&gt;=IM$35,IL8&lt;&gt;""),AND(JE8&gt;=JI$35,JE8&lt;&gt;""),AND(JH8&gt;=JI$35,JH8&lt;&gt;""),AND(KA8&gt;=KE$35,KA8&lt;&gt;""),AND(KD8&gt;=KE$35,KD8&lt;&gt;""),AND(KW8&gt;=LA$35,KW8&lt;&gt;""),AND(KZ8&gt;=LA$35,KZ8&lt;&gt;""),AND(LS8&gt;=LW$35,LS8&lt;&gt;""),AND(LV8&gt;=LW$35,LV8&lt;&gt;""),AND(MO8&gt;=MS$35,MO8&lt;&gt;""),AND(MR8&gt;=MS$35,MR8&lt;&gt;""),AND(NK8&gt;=NO$35,NK8&lt;&gt;""),AND(NN8&gt;=NO$35,NN8&lt;&gt;"")),"Excellence",IF(OR(AND(AV8&gt;=AY$34,AV8&lt;&gt;"",AP8=""),AND(BZ8&gt;=CC$34,BZ8&lt;&gt;"",BT8=""),AND(DD8&gt;=DG$34,DD8&lt;&gt;"",CX8=""),AND(ED8&gt;=EG$34,ED8&lt;&gt;""),AND(EZ8&gt;=FC$34,EZ8&lt;&gt;""),AND(FV8&gt;=FY$34,FV8&lt;&gt;""),AND(GR8&gt;=GU$34,GR8&lt;&gt;""),AND(HN8&gt;=HQ$34,HN8&lt;&gt;""),AND(IJ8&gt;=IM$34,IJ8&lt;&gt;""),AND(JF8&gt;=JI$34,JF8&lt;&gt;""),AND(KB8&gt;=KE$34,KB8&lt;&gt;""),AND(KX8&gt;=LA$34,KX8&lt;&gt;""),AND(LT8&gt;=LW$34,LT8&lt;&gt;""),AND(MP8&gt;=MS$34,MP8&lt;&gt;""),AND(NL8&gt;=NO$34,NL8&lt;&gt;"")),"Worlds Team",IF(OR(AND(AV8&gt;=AY$33,AV8&lt;&gt;"",AP8=""),AND(BZ8&gt;=CC$33,BZ8&lt;&gt;"",BT8=""),AND(DD8&gt;=DG$33,DD8&lt;&gt;"",CX8=""),AND(ED8&gt;=EG$33,ED8&lt;&gt;""),AND(EZ8&gt;=FC$33,EZ8&lt;&gt;""),AND(FV8&gt;=FY$33,FV8&lt;&gt;""),AND(GR8&gt;=GU$33,GR8&lt;&gt;""),AND(HN8&gt;=HQ$33,HN8&lt;&gt;""),AND(IJ8&gt;=IM$33,IJ8&lt;&gt;""),AND(JF8&gt;=JI$33,JF8&lt;&gt;""),AND(KB8&gt;=KE$33,KB8&lt;&gt;""),AND(KX8&gt;=LA$33,KX8&lt;&gt;""),AND(LT8&gt;=LW$33,LT8&lt;&gt;""),AND(MP8&gt;=MS$33,MP8&lt;&gt;""),AND(NL8&gt;=NO$33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$34,AV8&lt;&gt;"",AP8=""),AND(BZ8&gt;=CC$34,BZ8&lt;&gt;"",BT8=""),AND(DD8&gt;=DG$34,DD8&lt;&gt;"",CX8=""),AND(ED8&gt;=EG$34,ED8&lt;&gt;""),AND(EZ8&gt;=FC$34,EZ8&lt;&gt;""),AND(FV8&gt;=FY$34,FV8&lt;&gt;""),AND(GR8&gt;=GU$34,GR8&lt;&gt;""),AND(HN8&gt;=HQ$34,HN8&lt;&gt;""),AND(IJ8&gt;=IM$34,IJ8&lt;&gt;""),AND(JF8&gt;=JI$34,JF8&lt;&gt;""),AND(KB8&gt;=KE$34,KB8&lt;&gt;""),AND(KX8&gt;=LA$34,KX8&lt;&gt;""),AND(LT8&gt;=LW$34,LT8&lt;&gt;""),AND(MP8&gt;=MS$34,MP8&lt;&gt;""),AND(NL8&gt;=NO$34,NL8&lt;&gt;"")),OR(G8="Worlds Team",G8="Excellence",G8="Merit")),"P","")</f>
        <v>P</v>
      </c>
      <c r="K8" s="14">
        <f>IF(MAX(AV8,BZ8,DD8)&gt;0,MAX(AV8,BZ8,DD8),0)</f>
        <v>107.19499999999999</v>
      </c>
      <c r="L8" s="14" t="str">
        <f>IF(K8=0,"",IF(K8=DD8,$CD$1,IF(K8=BZ8,$AZ$1,IF(K8=AV8,$V$1,""))))</f>
        <v>2019 Nationals</v>
      </c>
      <c r="M8" s="14">
        <f>IF($K8=$AV8,MAX(BU8,CY8),IF($K8=$BZ8,MAX(AQ8,CY8),IF($K8=$DD8,MAX(AQ8,BU8),MAX(AQ8,BU8,CY8))))</f>
        <v>50.480000000000004</v>
      </c>
      <c r="N8" s="14" t="str">
        <f>IF(M8=0,"",IF(AND(M8=CY8,$L8&lt;&gt;$CD$1),$CD$1,IF(AND(M8=BU8,$L8&lt;&gt;$AZ$1),$AZ$1,IF(AND(M8=AQ8,$L8&lt;&gt;$V$1),$V$1,""))))</f>
        <v>2021 1st Virtual Technical Trial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56.167500000000004</v>
      </c>
      <c r="P8" s="14" t="str">
        <f>IF(O8=0,"",IF(OR(O8=DC8,O8=DA8),$CD$1,IF(OR(O8=BY8,O8=BW8),$AZ$1,IF(OR(O8=AU8,O8=AS8),$V$1,""))))</f>
        <v>2021 1st Virtual Technical Trial</v>
      </c>
      <c r="Q8" s="14">
        <f>MAX(AX8,CB8,DF8)</f>
        <v>56.252499999999998</v>
      </c>
      <c r="R8" s="14" t="str">
        <f>IF(Q8=0,"",IF(Q8=DF8,$CD$1,IF(Q8=CB8,$AZ$1,IF(Q8=AX8,$V$1,""))))</f>
        <v>2021 1st Virtual Technical Trial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18.899999999999999</v>
      </c>
      <c r="W8" s="69">
        <v>9.3000000000000007</v>
      </c>
      <c r="X8" s="69">
        <v>5.4</v>
      </c>
      <c r="Y8" s="69">
        <v>17.48</v>
      </c>
      <c r="Z8" s="69">
        <v>0</v>
      </c>
      <c r="AA8" s="69">
        <v>15.1</v>
      </c>
      <c r="AB8" s="69">
        <v>9.4</v>
      </c>
      <c r="AC8" s="69">
        <v>16</v>
      </c>
      <c r="AD8" s="69">
        <v>15.615</v>
      </c>
      <c r="AE8" s="69">
        <v>0</v>
      </c>
      <c r="AF8" s="69"/>
      <c r="AG8" s="69"/>
      <c r="AH8" s="69"/>
      <c r="AI8" s="69"/>
      <c r="AJ8" s="69"/>
      <c r="AK8" s="69">
        <v>15.08</v>
      </c>
      <c r="AL8" s="69">
        <v>9.1</v>
      </c>
      <c r="AM8" s="69">
        <v>16</v>
      </c>
      <c r="AN8" s="69">
        <v>15.91</v>
      </c>
      <c r="AO8" s="69">
        <v>0</v>
      </c>
      <c r="AP8" s="80"/>
      <c r="AQ8" s="11">
        <f>IF(SUM(V8:Y8)-Z8&gt;0,SUM(V8:Y8)-Z8,"")</f>
        <v>51.08</v>
      </c>
      <c r="AR8" s="11">
        <f>IF(AC8&gt;0,AC8,"")</f>
        <v>16</v>
      </c>
      <c r="AS8" s="11">
        <f>IF(SUM(AA8:AD8)-AE8&gt;0,SUM(AA8:AD8)-AE8,"")</f>
        <v>56.115000000000002</v>
      </c>
      <c r="AT8" s="11" t="str">
        <f>IF(AH8&gt;0,AH8,"")</f>
        <v/>
      </c>
      <c r="AU8" s="11" t="str">
        <f>IF(SUM(AF8:AI8)-AJ8&gt;0,SUM(AF8:AI8)-AJ8,"")</f>
        <v/>
      </c>
      <c r="AV8" s="11">
        <f>IF(AQ8="",IF(MAX(AS8,AU8)&gt;0,MAX(AS8,AU8),""),MAX(AS8,AU8)+AQ8)</f>
        <v>107.19499999999999</v>
      </c>
      <c r="AW8" s="11">
        <f>IF(AM8&gt;0,AM8,"")</f>
        <v>16</v>
      </c>
      <c r="AX8" s="11">
        <f>IF(SUM(AK8:AN8)-AO8&gt;0,SUM(AK8:AN8)-AO8,"")</f>
        <v>56.09</v>
      </c>
      <c r="AY8" s="11">
        <f>IF(SUM(AV8,AX8)&gt;0,SUM(AV8,AX8),"")</f>
        <v>163.285</v>
      </c>
      <c r="AZ8" s="75">
        <v>18.399999999999999</v>
      </c>
      <c r="BA8" s="75">
        <v>9.125</v>
      </c>
      <c r="BB8" s="75">
        <v>5.7</v>
      </c>
      <c r="BC8" s="75">
        <v>17.255000000000003</v>
      </c>
      <c r="BD8" s="75">
        <v>0</v>
      </c>
      <c r="BE8" s="75">
        <v>15.7</v>
      </c>
      <c r="BF8" s="75">
        <v>9.25</v>
      </c>
      <c r="BG8" s="75">
        <v>15.5</v>
      </c>
      <c r="BH8" s="75">
        <v>15.717500000000001</v>
      </c>
      <c r="BI8" s="75">
        <v>0</v>
      </c>
      <c r="BJ8" s="75"/>
      <c r="BK8" s="75"/>
      <c r="BL8" s="75"/>
      <c r="BM8" s="75"/>
      <c r="BN8" s="75"/>
      <c r="BO8" s="75">
        <v>15.690000000000001</v>
      </c>
      <c r="BP8" s="75">
        <v>9.1999999999999993</v>
      </c>
      <c r="BQ8" s="75">
        <v>15.4</v>
      </c>
      <c r="BR8" s="75">
        <v>15.9625</v>
      </c>
      <c r="BS8" s="75">
        <v>0</v>
      </c>
      <c r="BT8" s="81" t="s">
        <v>88</v>
      </c>
      <c r="BU8" s="14">
        <f>IF(SUM(AZ8:BC8)-BD8&gt;0,SUM(AZ8:BC8)-BD8,"")</f>
        <v>50.480000000000004</v>
      </c>
      <c r="BV8" s="14">
        <f>IF(BG8&gt;0,BG8,"")</f>
        <v>15.5</v>
      </c>
      <c r="BW8" s="14">
        <f>IF(SUM(BE8:BH8)-BI8&gt;0,SUM(BE8:BH8)-BI8,"")</f>
        <v>56.167500000000004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106.64750000000001</v>
      </c>
      <c r="CA8" s="14">
        <f>IF(BQ8&gt;0,BQ8,"")</f>
        <v>15.4</v>
      </c>
      <c r="CB8" s="14">
        <f>IF(SUM(BO8:BR8)-BS8&gt;0,SUM(BO8:BR8)-BS8,"")</f>
        <v>56.252499999999998</v>
      </c>
      <c r="CC8" s="14">
        <f>IF(SUM(BZ8,CB8)&gt;0,SUM(BZ8,CB8),"")</f>
        <v>162.9</v>
      </c>
      <c r="CD8" s="69">
        <v>17.399999999999999</v>
      </c>
      <c r="CE8" s="69">
        <v>8.9</v>
      </c>
      <c r="CF8" s="69">
        <v>5.6</v>
      </c>
      <c r="CG8" s="69">
        <v>17.53</v>
      </c>
      <c r="CH8" s="69">
        <v>0</v>
      </c>
      <c r="CI8" s="69">
        <v>15</v>
      </c>
      <c r="CJ8" s="69">
        <v>9</v>
      </c>
      <c r="CK8" s="69">
        <v>15.4</v>
      </c>
      <c r="CL8" s="69">
        <v>15.86</v>
      </c>
      <c r="CM8" s="69">
        <v>0</v>
      </c>
      <c r="CN8" s="69">
        <v>6.3</v>
      </c>
      <c r="CO8" s="69">
        <v>3.4</v>
      </c>
      <c r="CP8" s="69">
        <v>6.5</v>
      </c>
      <c r="CQ8" s="69">
        <v>6.93</v>
      </c>
      <c r="CR8" s="69">
        <v>0</v>
      </c>
      <c r="CS8" s="69">
        <v>15.7</v>
      </c>
      <c r="CT8" s="69">
        <v>8.9</v>
      </c>
      <c r="CU8" s="69">
        <v>15</v>
      </c>
      <c r="CV8" s="69">
        <v>16.190000000000001</v>
      </c>
      <c r="CW8" s="69">
        <v>0</v>
      </c>
      <c r="CX8" s="80"/>
      <c r="CY8" s="11">
        <f>IF(SUM(CD8:CG8)-CH8&gt;0,SUM(CD8:CG8)-CH8,"")</f>
        <v>49.43</v>
      </c>
      <c r="CZ8" s="11">
        <f>IF(CK8&gt;0,CK8,"")</f>
        <v>15.4</v>
      </c>
      <c r="DA8" s="11">
        <f>IF(SUM(CI8:CL8)-CM8&gt;0,SUM(CI8:CL8)-CM8,"")</f>
        <v>55.26</v>
      </c>
      <c r="DB8" s="11">
        <f>IF(CP8&gt;0,CP8,"")</f>
        <v>6.5</v>
      </c>
      <c r="DC8" s="11">
        <f>IF(SUM(CN8:CQ8)-CR8&gt;0,SUM(CN8:CQ8)-CR8,"")</f>
        <v>23.13</v>
      </c>
      <c r="DD8" s="11">
        <f>IF(CY8="",IF(MAX(DA8,DC8)&gt;0,MAX(DA8,DC8),""),MAX(DA8,DC8)+CY8)</f>
        <v>104.69</v>
      </c>
      <c r="DE8" s="11">
        <f>IF(CU8&gt;0,CU8,"")</f>
        <v>15</v>
      </c>
      <c r="DF8" s="11">
        <f>IF(SUM(CS8:CV8)-CW8&gt;0,SUM(CS8:CV8)-CW8,"")</f>
        <v>55.790000000000006</v>
      </c>
      <c r="DG8" s="11">
        <f>IF(SUM(DD8,DF8)&gt;0,SUM(DD8,DF8),"")</f>
        <v>160.48000000000002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9.0124999999999993</v>
      </c>
      <c r="NR8" s="69">
        <f>IF($CX8="P",CF8,(CF8+BB8)/2)</f>
        <v>5.65</v>
      </c>
      <c r="NS8" s="69">
        <f>IF($CX8="P",CG8,(CG8+BC8)/2)</f>
        <v>17.392500000000002</v>
      </c>
      <c r="NT8" s="69">
        <f>IF($CX8="P",CH8,(CH8+BD8)/2)</f>
        <v>0</v>
      </c>
      <c r="NU8" s="69">
        <f>IF($CX8="P",CI8,(CI8+BE8)/2)</f>
        <v>15.35</v>
      </c>
      <c r="NV8" s="69">
        <f>IF($CX8="P",CJ8,(CJ8+BF8)/2)</f>
        <v>9.125</v>
      </c>
      <c r="NW8" s="69">
        <f>IF($CX8="P",CK8,(CK8+BG8)/2)</f>
        <v>15.45</v>
      </c>
      <c r="NX8" s="69">
        <f>IF($CX8="P",CL8,(CL8+BH8)/2)</f>
        <v>15.78875</v>
      </c>
      <c r="NY8" s="69">
        <f>IF($CX8="P",CM8,(CM8+BI8)/2)</f>
        <v>0</v>
      </c>
      <c r="NZ8" s="69">
        <f>IF($CX8="P",CN8,(CN8+BJ8)/2)</f>
        <v>3.15</v>
      </c>
      <c r="OA8" s="69">
        <f>IF($CX8="P",CO8,(CO8+BK8)/2)</f>
        <v>1.7</v>
      </c>
      <c r="OB8" s="69">
        <f>IF($CX8="P",CP8,(CP8+BL8)/2)</f>
        <v>3.25</v>
      </c>
      <c r="OC8" s="69">
        <f>IF($CX8="P",CQ8,(CQ8+BM8)/2)</f>
        <v>3.4649999999999999</v>
      </c>
      <c r="OD8" s="69">
        <f>IF($CX8="P",CR8,(CR8+BN8)/2)</f>
        <v>0</v>
      </c>
      <c r="OE8" s="69">
        <f>IF($CX8="P",CS8,(CS8+BO8)/2)</f>
        <v>15.695</v>
      </c>
      <c r="OF8" s="69">
        <f>IF($CX8="P",CT8,(CT8+BP8)/2)</f>
        <v>9.0500000000000007</v>
      </c>
      <c r="OG8" s="69">
        <f>IF($CX8="P",CU8,(CU8+BQ8)/2)</f>
        <v>15.2</v>
      </c>
      <c r="OH8" s="69">
        <f>IF($CX8="P",CV8,(CV8+BR8)/2)</f>
        <v>16.076250000000002</v>
      </c>
      <c r="OI8" s="69">
        <f>IF($CX8="P",CW8,(CW8+BS8)/2)</f>
        <v>0</v>
      </c>
      <c r="OJ8" s="80" t="s">
        <v>88</v>
      </c>
      <c r="OK8" s="11">
        <f>IF(SUM(NP8:NS8)-NT8&gt;0,SUM(NP8:NS8)-NT8,"")</f>
        <v>49.954999999999998</v>
      </c>
      <c r="OL8" s="11">
        <f>IF(NW8&gt;0,NW8,"")</f>
        <v>15.45</v>
      </c>
      <c r="OM8" s="11">
        <f>IF(SUM(NU8:NX8)-NY8&gt;0,SUM(NU8:NX8)-NY8,"")</f>
        <v>55.713749999999997</v>
      </c>
      <c r="ON8" s="11">
        <f>IF(OB8&gt;0,OB8,"")</f>
        <v>3.25</v>
      </c>
      <c r="OO8" s="11">
        <f>IF(SUM(NZ8:OC8)-OD8&gt;0,SUM(NZ8:OC8)-OD8,"")</f>
        <v>11.565</v>
      </c>
      <c r="OP8" s="11">
        <f>IF(OR(OK8&lt;&gt;"",OM8&lt;&gt;"",OO8&lt;&gt;""),OK8+MAX(OM8,OO8),"")</f>
        <v>105.66874999999999</v>
      </c>
      <c r="OQ8" s="11">
        <f>IF(OG8&gt;0,OG8,"")</f>
        <v>15.2</v>
      </c>
      <c r="OR8" s="11">
        <f t="shared" si="0"/>
        <v>56.021250000000002</v>
      </c>
      <c r="OS8" s="11">
        <f t="shared" si="1"/>
        <v>161.69</v>
      </c>
    </row>
    <row r="9" spans="1:409" x14ac:dyDescent="0.2">
      <c r="A9" s="5" cm="1">
        <f t="array" ref="A9">IF(AND(G9&lt;&gt;"",H9&lt;&gt;""),SUMPRODUCT((G$4:G$27&lt;&gt;"")*(H$4:H$27&lt;&gt;"")*(E$4:E$27&gt;E9))+1,IF(H9&lt;&gt;"",SUMPRODUCT((I$4:I$27="No DD")*(E$4:E$27&gt;E9))+1+SUMPRODUCT((G$4:G$27&lt;&gt;"")*(H$4:H$27&lt;&gt;"")),""))</f>
        <v>6</v>
      </c>
      <c r="B9" s="6" t="s">
        <v>178</v>
      </c>
      <c r="C9" s="7" t="s">
        <v>10</v>
      </c>
      <c r="D9" s="5">
        <v>2000</v>
      </c>
      <c r="E9" s="15">
        <f>SUM(K9:S9)</f>
        <v>262.02999999999997</v>
      </c>
      <c r="F9" s="3" t="str">
        <f>IF(G9&lt;&gt;"","P","")</f>
        <v>P</v>
      </c>
      <c r="G9" s="125" t="str">
        <f>IF(OR(AND(AR9&gt;=AY$32,AR9&lt;&gt;"",AP9=""),AND(AT9&gt;=AY$32,AT9&lt;&gt;"",AP9=""),AND(AW9&gt;=AY$32,AW9&lt;&gt;"",AP9=""),AND(BV9&gt;=CC$32,BV9&lt;&gt;"",BT9=""),AND(BX9&gt;=CC$32,BX9&lt;&gt;"",BT9=""),AND(CA9&gt;=CC$32,CA9&lt;&gt;"",BT9=""),AND(CZ9&gt;=DG$32,CZ9&lt;&gt;"",CX9=""),AND(DB9&gt;=DG$32,DB9&lt;&gt;"",CX9=""),AND(DE9&gt;=DG$32,DE9&lt;&gt;"",CX9=""),AND(EA9&gt;=EG$32,EA9&lt;&gt;""),AND(EE9&gt;=EG$32,EE9&lt;&gt;""),AND(EW9&gt;=FC$32,EW9&lt;&gt;""),AND(FA9&gt;=FC$32,FA9&lt;&gt;""),AND(FS9&gt;=FY$32,FS9&lt;&gt;""),AND(FW9&gt;=FY$32,FW9&lt;&gt;""),AND(GO9&gt;=GU$32,GO9&lt;&gt;""),AND(GS9&gt;=GU$32,GS9&lt;&gt;""),AND(HK9&gt;=HQ$32,HK9&lt;&gt;""),AND(HO9&gt;=HQ$32,HO9&lt;&gt;""),AND(IG9&gt;=IM$32,IG9&lt;&gt;""),AND(IK9&gt;=IM$32,IK9&lt;&gt;""),AND(JC9&gt;=JI$32,JC9&lt;&gt;""),AND(JG9&gt;=JI$32,JG9&lt;&gt;""),AND(JY9&gt;=KE$32,JY9&lt;&gt;""),AND(KC9&gt;=KE$32,KC9&lt;&gt;""),AND(KU9&gt;=LA$32,KU9&lt;&gt;""),AND(KY9&gt;=LA$32,KY9&lt;&gt;""),AND(LQ9&gt;=LW$32,LQ9&lt;&gt;""),AND(LU9&gt;=LW$32,LU9&lt;&gt;""),AND(MM9&gt;=MS$32,MM9&lt;&gt;""),AND(MQ9&gt;=MS$32,MQ9&lt;&gt;""),AND(NI9&gt;=NO$32,NI9&lt;&gt;""),AND(NM9&gt;=NO$32,NM9&lt;&gt;"")),"Merit",IF(OR(AND(AR9&gt;=AY$31,AR9&lt;&gt;"",AP9=""),AND(AT9&gt;=AY$31,AT9&lt;&gt;"",AP9=""),AND(AW9&gt;=AY$31,AW9&lt;&gt;"",AP9=""),AND(BV9&gt;=CC$31,BV9&lt;&gt;"",BT9=""),AND(BX9&gt;=CC$31,BX9&lt;&gt;"",BT9=""),AND(CA9&gt;=CC$31,CA9&lt;&gt;"",BT9=""),AND(CZ9&gt;=DG$31,CZ9&lt;&gt;"",CX9=""),AND(DB9&gt;=DG$31,DB9&lt;&gt;"",CX9=""),AND(DE9&gt;=DG$31,DE9&lt;&gt;"",CX9=""),AND(EA9&gt;=EG$31,EA9&lt;&gt;""),AND(EE9&gt;=EG$31,EE9&lt;&gt;""),AND(EW9&gt;=FC$31,EW9&lt;&gt;""),AND(FA9&gt;=FC$31,FA9&lt;&gt;""),AND(FS9&gt;=FY$31,FS9&lt;&gt;""),AND(FW9&gt;=FY$31,FW9&lt;&gt;""),AND(GO9&gt;=GU$31,GO9&lt;&gt;""),AND(GS9&gt;=GU$31,GS9&lt;&gt;""),AND(HK9&gt;=HQ$31,HK9&lt;&gt;""),AND(HO9&gt;=HQ$31,HO9&lt;&gt;""),AND(IG9&gt;=IM$31,IG9&lt;&gt;""),AND(IK9&gt;=IM$31,IK9&lt;&gt;""),AND(JC9&gt;=JI$31,JC9&lt;&gt;""),AND(JG9&gt;=JI$31,JG9&lt;&gt;""),AND(JY9&gt;=KE$31,JY9&lt;&gt;""),AND(KC9&gt;=KE$31,KC9&lt;&gt;""),AND(KU9&gt;=LA$31,KU9&lt;&gt;""),AND(KY9&gt;=LA$31,KY9&lt;&gt;""),AND(LQ9&gt;=LW$31,LQ9&lt;&gt;""),AND(LU9&gt;=LW$31,LU9&lt;&gt;""),AND(MM9&gt;=MS$31,MM9&lt;&gt;""),AND(MQ9&gt;=MS$31,MQ9&lt;&gt;""),AND(NI9&gt;=NO$31,NI9&lt;&gt;""),AND(NM9&gt;=NO$31,NM9&lt;&gt;"")),"Excellence",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Worlds Team",IF(OR(AND(AR9&gt;=AY$29,AR9&lt;&gt;"",AP9=""),AND(AT9&gt;=AY$29,AT9&lt;&gt;"",AP9=""),AND(AW9&gt;=AY$29,AW9&lt;&gt;"",AP9=""),AND(BV9&gt;=CC$29,BV9&lt;&gt;"",BT9=""),AND(BX9&gt;=CC$29,BX9&lt;&gt;"",BT9=""),AND(CA9&gt;=CC$29,CA9&lt;&gt;"",BT9=""),AND(CZ9&gt;=DG$29,CZ9&lt;&gt;"",CX9=""),AND(DB9&gt;=DG$29,DB9&lt;&gt;"",CX9=""),AND(DE9&gt;=DG$29,DE9&lt;&gt;"",CX9=""),AND(EA9&gt;=EG$29,EA9&lt;&gt;""),AND(EE9&gt;=EG$29,EE9&lt;&gt;""),AND(EW9&gt;=FC$29,EW9&lt;&gt;""),AND(FA9&gt;=FC$29,FA9&lt;&gt;""),AND(FS9&gt;=FY$29,FS9&lt;&gt;""),AND(FW9&gt;=FY$29,FW9&lt;&gt;""),AND(GO9&gt;=GU$29,GO9&lt;&gt;""),AND(GS9&gt;=GU$29,GS9&lt;&gt;""),AND(HK9&gt;=HQ$29,HK9&lt;&gt;""),AND(HO9&gt;=HQ$29,HO9&lt;&gt;""),AND(IG9&gt;=IM$29,IG9&lt;&gt;""),AND(IK9&gt;=IM$29,IK9&lt;&gt;""),AND(JC9&gt;=JI$29,JC9&lt;&gt;""),AND(JG9&gt;=JI$29,JG9&lt;&gt;""),AND(JY9&gt;=KE$29,JY9&lt;&gt;""),AND(KC9&gt;=KE$29,KC9&lt;&gt;""),AND(KU9&gt;=LA$29,KU9&lt;&gt;""),AND(KY9&gt;=LA$29,KY9&lt;&gt;""),AND(LQ9&gt;=LW$29,LQ9&lt;&gt;""),AND(LU9&gt;=LW$29,LU9&lt;&gt;""),AND(MM9&gt;=MS$29,MM9&lt;&gt;""),AND(MQ9&gt;=MS$29,MQ9&lt;&gt;""),AND(NI9&gt;=NO$29,NI9&lt;&gt;""),AND(NM9&gt;=NO$29,NM9&lt;&gt;"")),"National Team",""))))</f>
        <v>National Team</v>
      </c>
      <c r="H9" s="125" t="str">
        <f>IF(OR(AND(AS9&gt;=AY$36,AS9&lt;&gt;"",AP9=""),AND(AU9&gt;=AY$36,AU9&lt;&gt;"",AP9=""),AND(AX9&gt;=AY$36,AX9&lt;&gt;"",AP9=""),AND(BW9&gt;=CC$36,BW9&lt;&gt;"",BT9=""),AND(BY9&gt;=CC$36,BY9&lt;&gt;"",BT9=""),AND(CB9&gt;=CC$36,CB9&lt;&gt;"",BT9=""),AND(DA9&gt;=DG$36,DA9&lt;&gt;"",CX9=""),AND(DC9&gt;=DG$36,DC9&lt;&gt;"",CX9=""),AND(DF9&gt;=DG$36,DF9&lt;&gt;"",CX9=""),AND(EC9&gt;=EG$36,EC9&lt;&gt;""),AND(EF9&gt;=EG$36,EF9&lt;&gt;""),AND(EY9&gt;=FC$36,EY9&lt;&gt;""),AND(FB9&gt;=FC$36,FB9&lt;&gt;""),AND(FU9&gt;=FY$36,FU9&lt;&gt;""),AND(FX9&gt;=FY$36,FX9&lt;&gt;""),AND(GQ9&gt;=GU$36,GQ9&lt;&gt;""),AND(GT9&gt;=GU$36,GT9&lt;&gt;""),AND(HM9&gt;=HQ$36,HM9&lt;&gt;""),AND(HP9&gt;=HQ$36,HP9&lt;&gt;""),AND(II9&gt;=IM$36,II9&lt;&gt;""),AND(IL9&gt;=IM$36,IL9&lt;&gt;""),AND(JE9&gt;=JI$36,JE9&lt;&gt;""),AND(JH9&gt;=JI$36,JH9&lt;&gt;""),AND(KA9&gt;=KE$36,KA9&lt;&gt;""),AND(KD9&gt;=KE$36,KD9&lt;&gt;""),AND(KW9&gt;=LA$36,KW9&lt;&gt;""),AND(KZ9&gt;=LA$36,KZ9&lt;&gt;""),AND(LS9&gt;=LW$36,LS9&lt;&gt;""),AND(LV9&gt;=LW$36,LV9&lt;&gt;""),AND(MO9&gt;=MS$36,MO9&lt;&gt;""),AND(MR9&gt;=MS$36,MR9&lt;&gt;""),AND(NK9&gt;=NO$36,NK9&lt;&gt;""),AND(NN9&gt;=NO$36,NN9&lt;&gt;"")),"Merit",IF(OR(AND(AS9&gt;=AY$35,AS9&lt;&gt;"",AP9=""),AND(AU9&gt;=AY$35,AU9&lt;&gt;"",AP9=""),AND(AX9&gt;=AY$35,AX9&lt;&gt;"",AP9=""),AND(BW9&gt;=CC$35,BW9&lt;&gt;"",BT9=""),AND(BY9&gt;=CC$35,BY9&lt;&gt;"",BT9=""),AND(CB9&gt;=CC$35,CB9&lt;&gt;"",BT9=""),AND(DA9&gt;=DG$35,DA9&lt;&gt;"",CX9=""),AND(DC9&gt;=DG$35,DC9&lt;&gt;"",CX9=""),AND(DF9&gt;=DG$35,DF9&lt;&gt;"",CX9=""),AND(EC9&gt;=EG$35,EC9&lt;&gt;""),AND(EF9&gt;=EG$35,EF9&lt;&gt;""),AND(EY9&gt;=FC$35,EY9&lt;&gt;""),AND(FB9&gt;=FC$35,FB9&lt;&gt;""),AND(FU9&gt;=FY$35,FU9&lt;&gt;""),AND(FX9&gt;=FY$35,FX9&lt;&gt;""),AND(GQ9&gt;=GU$35,GQ9&lt;&gt;""),AND(GT9&gt;=GU$35,GT9&lt;&gt;""),AND(HM9&gt;=HQ$35,HM9&lt;&gt;""),AND(HP9&gt;=HQ$35,HP9&lt;&gt;""),AND(II9&gt;=IM$35,II9&lt;&gt;""),AND(IL9&gt;=IM$35,IL9&lt;&gt;""),AND(JE9&gt;=JI$35,JE9&lt;&gt;""),AND(JH9&gt;=JI$35,JH9&lt;&gt;""),AND(KA9&gt;=KE$35,KA9&lt;&gt;""),AND(KD9&gt;=KE$35,KD9&lt;&gt;""),AND(KW9&gt;=LA$35,KW9&lt;&gt;""),AND(KZ9&gt;=LA$35,KZ9&lt;&gt;""),AND(LS9&gt;=LW$35,LS9&lt;&gt;""),AND(LV9&gt;=LW$35,LV9&lt;&gt;""),AND(MO9&gt;=MS$35,MO9&lt;&gt;""),AND(MR9&gt;=MS$35,MR9&lt;&gt;""),AND(NK9&gt;=NO$35,NK9&lt;&gt;""),AND(NN9&gt;=NO$35,NN9&lt;&gt;"")),"Excellence",IF(OR(AND(AV9&gt;=AY$34,AV9&lt;&gt;"",AP9=""),AND(BZ9&gt;=CC$34,BZ9&lt;&gt;"",BT9=""),AND(DD9&gt;=DG$34,DD9&lt;&gt;"",CX9=""),AND(ED9&gt;=EG$34,ED9&lt;&gt;""),AND(EZ9&gt;=FC$34,EZ9&lt;&gt;""),AND(FV9&gt;=FY$34,FV9&lt;&gt;""),AND(GR9&gt;=GU$34,GR9&lt;&gt;""),AND(HN9&gt;=HQ$34,HN9&lt;&gt;""),AND(IJ9&gt;=IM$34,IJ9&lt;&gt;""),AND(JF9&gt;=JI$34,JF9&lt;&gt;""),AND(KB9&gt;=KE$34,KB9&lt;&gt;""),AND(KX9&gt;=LA$34,KX9&lt;&gt;""),AND(LT9&gt;=LW$34,LT9&lt;&gt;""),AND(MP9&gt;=MS$34,MP9&lt;&gt;""),AND(NL9&gt;=NO$34,NL9&lt;&gt;"")),"Worlds Team",IF(OR(AND(AV9&gt;=AY$33,AV9&lt;&gt;"",AP9=""),AND(BZ9&gt;=CC$33,BZ9&lt;&gt;"",BT9=""),AND(DD9&gt;=DG$33,DD9&lt;&gt;"",CX9=""),AND(ED9&gt;=EG$33,ED9&lt;&gt;""),AND(EZ9&gt;=FC$33,EZ9&lt;&gt;""),AND(FV9&gt;=FY$33,FV9&lt;&gt;""),AND(GR9&gt;=GU$33,GR9&lt;&gt;""),AND(HN9&gt;=HQ$33,HN9&lt;&gt;""),AND(IJ9&gt;=IM$33,IJ9&lt;&gt;""),AND(JF9&gt;=JI$33,JF9&lt;&gt;""),AND(KB9&gt;=KE$33,KB9&lt;&gt;""),AND(KX9&gt;=LA$33,KX9&lt;&gt;""),AND(LT9&gt;=LW$33,LT9&lt;&gt;""),AND(MP9&gt;=MS$33,MP9&lt;&gt;""),AND(NL9&gt;=NO$33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$34,AV9&lt;&gt;"",AP9=""),AND(BZ9&gt;=CC$34,BZ9&lt;&gt;"",BT9=""),AND(DD9&gt;=DG$34,DD9&lt;&gt;"",CX9=""),AND(ED9&gt;=EG$34,ED9&lt;&gt;""),AND(EZ9&gt;=FC$34,EZ9&lt;&gt;""),AND(FV9&gt;=FY$34,FV9&lt;&gt;""),AND(GR9&gt;=GU$34,GR9&lt;&gt;""),AND(HN9&gt;=HQ$34,HN9&lt;&gt;""),AND(IJ9&gt;=IM$34,IJ9&lt;&gt;""),AND(JF9&gt;=JI$34,JF9&lt;&gt;""),AND(KB9&gt;=KE$34,KB9&lt;&gt;""),AND(KX9&gt;=LA$34,KX9&lt;&gt;""),AND(LT9&gt;=LW$34,LT9&lt;&gt;""),AND(MP9&gt;=MS$34,MP9&lt;&gt;""),AND(NL9&gt;=NO$34,NL9&lt;&gt;"")),OR(G9="Worlds Team",G9="Excellence",G9="Merit")),"P","")</f>
        <v/>
      </c>
      <c r="K9" s="14">
        <f>IF(MAX(AV9,BZ9,DD9)&gt;0,MAX(AV9,BZ9,DD9),0)</f>
        <v>105.15</v>
      </c>
      <c r="L9" s="14" t="str">
        <f>IF(K9=0,"",IF(K9=DD9,$CD$1,IF(K9=BZ9,$AZ$1,IF(K9=AV9,$V$1,""))))</f>
        <v>2021 1st Virtual Technical Trial</v>
      </c>
      <c r="M9" s="14">
        <f>IF($K9=$AV9,MAX(BU9,CY9),IF($K9=$BZ9,MAX(AQ9,CY9),IF($K9=$DD9,MAX(AQ9,BU9),MAX(AQ9,BU9,CY9))))</f>
        <v>49.41</v>
      </c>
      <c r="N9" s="14" t="str">
        <f>IF(M9=0,"",IF(AND(M9=CY9,$L9&lt;&gt;$CD$1),$CD$1,IF(AND(M9=BU9,$L9&lt;&gt;$AZ$1),$AZ$1,IF(AND(M9=AQ9,$L9&lt;&gt;$V$1),$V$1,""))))</f>
        <v>2019 Nationals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52.260000000000005</v>
      </c>
      <c r="P9" s="14" t="str">
        <f>IF(O9=0,"",IF(OR(O9=DC9,O9=DA9),$CD$1,IF(OR(O9=BY9,O9=BW9),$AZ$1,IF(OR(O9=AU9,O9=AS9),$V$1,""))))</f>
        <v>2021 2nd Virtual Technical Trial</v>
      </c>
      <c r="Q9" s="14">
        <f>MAX(AX9,CB9,DF9)</f>
        <v>55.209999999999994</v>
      </c>
      <c r="R9" s="14" t="str">
        <f>IF(Q9=0,"",IF(Q9=DF9,$CD$1,IF(Q9=CB9,$AZ$1,IF(Q9=AX9,$V$1,""))))</f>
        <v>2021 2nd Virtual Technical Trial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17.600000000000001</v>
      </c>
      <c r="W9" s="69">
        <v>9.1</v>
      </c>
      <c r="X9" s="69">
        <v>5.4</v>
      </c>
      <c r="Y9" s="69">
        <v>17.309999999999999</v>
      </c>
      <c r="Z9" s="69">
        <v>0</v>
      </c>
      <c r="AA9" s="69">
        <v>16</v>
      </c>
      <c r="AB9" s="69">
        <v>9.1</v>
      </c>
      <c r="AC9" s="69">
        <v>11.7</v>
      </c>
      <c r="AD9" s="69">
        <v>15.77</v>
      </c>
      <c r="AE9" s="69">
        <v>1.8</v>
      </c>
      <c r="AF9" s="69"/>
      <c r="AG9" s="69"/>
      <c r="AH9" s="69"/>
      <c r="AI9" s="69"/>
      <c r="AJ9" s="69"/>
      <c r="AK9" s="69">
        <v>13.58</v>
      </c>
      <c r="AL9" s="69">
        <v>9.4</v>
      </c>
      <c r="AM9" s="69">
        <v>14.4</v>
      </c>
      <c r="AN9" s="69">
        <v>15.55</v>
      </c>
      <c r="AO9" s="69">
        <v>0</v>
      </c>
      <c r="AP9" s="80"/>
      <c r="AQ9" s="11">
        <f>IF(SUM(V9:Y9)-Z9&gt;0,SUM(V9:Y9)-Z9,"")</f>
        <v>49.41</v>
      </c>
      <c r="AR9" s="11">
        <f>IF(AC9&gt;0,AC9,"")</f>
        <v>11.7</v>
      </c>
      <c r="AS9" s="11">
        <f>IF(SUM(AA9:AD9)-AE9&gt;0,SUM(AA9:AD9)-AE9,"")</f>
        <v>50.769999999999996</v>
      </c>
      <c r="AT9" s="11" t="str">
        <f>IF(AH9&gt;0,AH9,"")</f>
        <v/>
      </c>
      <c r="AU9" s="11" t="str">
        <f>IF(SUM(AF9:AI9)-AJ9&gt;0,SUM(AF9:AI9)-AJ9,"")</f>
        <v/>
      </c>
      <c r="AV9" s="11">
        <f>IF(AQ9="",IF(MAX(AS9,AU9)&gt;0,MAX(AS9,AU9),""),MAX(AS9,AU9)+AQ9)</f>
        <v>100.17999999999999</v>
      </c>
      <c r="AW9" s="11">
        <f>IF(AM9&gt;0,AM9,"")</f>
        <v>14.4</v>
      </c>
      <c r="AX9" s="11">
        <f>IF(SUM(AK9:AN9)-AO9&gt;0,SUM(AK9:AN9)-AO9,"")</f>
        <v>52.930000000000007</v>
      </c>
      <c r="AY9" s="11">
        <f>IF(SUM(AV9,AX9)&gt;0,SUM(AV9,AX9),"")</f>
        <v>153.11000000000001</v>
      </c>
      <c r="AZ9" s="75">
        <v>17.8</v>
      </c>
      <c r="BA9" s="75">
        <v>9.4499999999999993</v>
      </c>
      <c r="BB9" s="75">
        <v>5</v>
      </c>
      <c r="BC9" s="75">
        <v>18.04</v>
      </c>
      <c r="BD9" s="75">
        <v>0</v>
      </c>
      <c r="BE9" s="75">
        <v>8.4</v>
      </c>
      <c r="BF9" s="75">
        <v>4.3499999999999996</v>
      </c>
      <c r="BG9" s="75">
        <v>7.3</v>
      </c>
      <c r="BH9" s="75">
        <v>8.8000000000000007</v>
      </c>
      <c r="BI9" s="75">
        <v>0</v>
      </c>
      <c r="BJ9" s="75">
        <v>16.66</v>
      </c>
      <c r="BK9" s="75">
        <v>9.3000000000000007</v>
      </c>
      <c r="BL9" s="75">
        <v>12.8</v>
      </c>
      <c r="BM9" s="75">
        <v>16.8</v>
      </c>
      <c r="BN9" s="75">
        <v>0.7</v>
      </c>
      <c r="BO9" s="75">
        <v>14.8</v>
      </c>
      <c r="BP9" s="75">
        <v>9.15</v>
      </c>
      <c r="BQ9" s="75">
        <v>13.7</v>
      </c>
      <c r="BR9" s="75">
        <v>16.920000000000002</v>
      </c>
      <c r="BS9" s="75">
        <v>0</v>
      </c>
      <c r="BT9" s="81"/>
      <c r="BU9" s="14">
        <f>IF(SUM(AZ9:BC9)-BD9&gt;0,SUM(AZ9:BC9)-BD9,"")</f>
        <v>50.29</v>
      </c>
      <c r="BV9" s="14">
        <f>IF(BG9&gt;0,BG9,"")</f>
        <v>7.3</v>
      </c>
      <c r="BW9" s="14">
        <f>IF(SUM(BE9:BH9)-BI9&gt;0,SUM(BE9:BH9)-BI9,"")</f>
        <v>28.85</v>
      </c>
      <c r="BX9" s="14">
        <f>IF(BL9&gt;0,BL9,"")</f>
        <v>12.8</v>
      </c>
      <c r="BY9" s="14">
        <f>IF(SUM(BJ9:BM9)-BN9&gt;0,SUM(BJ9:BM9)-BN9,"")</f>
        <v>54.86</v>
      </c>
      <c r="BZ9" s="14">
        <f>IF(BU9="",IF(MAX(BW9,BY9)&gt;0,MAX(BW9,BY9),""),MAX(BW9,BY9)+BU9)</f>
        <v>105.15</v>
      </c>
      <c r="CA9" s="14">
        <f>IF(BQ9&gt;0,BQ9,"")</f>
        <v>13.7</v>
      </c>
      <c r="CB9" s="14">
        <f>IF(SUM(BO9:BR9)-BS9&gt;0,SUM(BO9:BR9)-BS9,"")</f>
        <v>54.570000000000007</v>
      </c>
      <c r="CC9" s="14">
        <f>IF(SUM(BZ9,CB9)&gt;0,SUM(BZ9,CB9),"")</f>
        <v>159.72000000000003</v>
      </c>
      <c r="CD9" s="69">
        <v>17.7</v>
      </c>
      <c r="CE9" s="69">
        <v>9</v>
      </c>
      <c r="CF9" s="69">
        <v>4.0999999999999996</v>
      </c>
      <c r="CG9" s="69">
        <v>17.745000000000001</v>
      </c>
      <c r="CH9" s="69">
        <v>0</v>
      </c>
      <c r="CI9" s="69">
        <v>16.2</v>
      </c>
      <c r="CJ9" s="69">
        <v>8.6</v>
      </c>
      <c r="CK9" s="69">
        <v>12.2</v>
      </c>
      <c r="CL9" s="69">
        <v>16.559999999999999</v>
      </c>
      <c r="CM9" s="69">
        <v>1.3</v>
      </c>
      <c r="CN9" s="69">
        <v>4.9000000000000004</v>
      </c>
      <c r="CO9" s="69">
        <v>2.2000000000000002</v>
      </c>
      <c r="CP9" s="69">
        <v>3.5</v>
      </c>
      <c r="CQ9" s="69">
        <v>5.1950000000000003</v>
      </c>
      <c r="CR9" s="69">
        <v>0</v>
      </c>
      <c r="CS9" s="69">
        <v>16.2</v>
      </c>
      <c r="CT9" s="69">
        <v>8.6999999999999993</v>
      </c>
      <c r="CU9" s="69">
        <v>13.7</v>
      </c>
      <c r="CV9" s="69">
        <v>16.61</v>
      </c>
      <c r="CW9" s="69">
        <v>0</v>
      </c>
      <c r="CX9" s="80"/>
      <c r="CY9" s="11">
        <f>IF(SUM(CD9:CG9)-CH9&gt;0,SUM(CD9:CG9)-CH9,"")</f>
        <v>48.545000000000002</v>
      </c>
      <c r="CZ9" s="11">
        <f>IF(CK9&gt;0,CK9,"")</f>
        <v>12.2</v>
      </c>
      <c r="DA9" s="11">
        <f>IF(SUM(CI9:CL9)-CM9&gt;0,SUM(CI9:CL9)-CM9,"")</f>
        <v>52.260000000000005</v>
      </c>
      <c r="DB9" s="11">
        <f>IF(CP9&gt;0,CP9,"")</f>
        <v>3.5</v>
      </c>
      <c r="DC9" s="11">
        <f>IF(SUM(CN9:CQ9)-CR9&gt;0,SUM(CN9:CQ9)-CR9,"")</f>
        <v>15.795000000000002</v>
      </c>
      <c r="DD9" s="11">
        <f>IF(CY9="",IF(MAX(DA9,DC9)&gt;0,MAX(DA9,DC9),""),MAX(DA9,DC9)+CY9)</f>
        <v>100.80500000000001</v>
      </c>
      <c r="DE9" s="11">
        <f>IF(CU9&gt;0,CU9,"")</f>
        <v>13.7</v>
      </c>
      <c r="DF9" s="11">
        <f>IF(SUM(CS9:CV9)-CW9&gt;0,SUM(CS9:CV9)-CW9,"")</f>
        <v>55.209999999999994</v>
      </c>
      <c r="DG9" s="11">
        <f>IF(SUM(DD9,DF9)&gt;0,SUM(DD9,DF9),"")</f>
        <v>156.01499999999999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17.75</v>
      </c>
      <c r="NQ9" s="69">
        <f>IF($CX9="P",CE9,(CE9+BA9)/2)</f>
        <v>9.2249999999999996</v>
      </c>
      <c r="NR9" s="69">
        <f>IF($CX9="P",CF9,(CF9+BB9)/2)</f>
        <v>4.55</v>
      </c>
      <c r="NS9" s="69">
        <f>IF($CX9="P",CG9,(CG9+BC9)/2)</f>
        <v>17.892499999999998</v>
      </c>
      <c r="NT9" s="69">
        <f>IF($CX9="P",CH9,(CH9+BD9)/2)</f>
        <v>0</v>
      </c>
      <c r="NU9" s="69">
        <f>IF($CX9="P",CI9,(CI9+BE9)/2)</f>
        <v>12.3</v>
      </c>
      <c r="NV9" s="69">
        <f>IF($CX9="P",CJ9,(CJ9+BF9)/2)</f>
        <v>6.4749999999999996</v>
      </c>
      <c r="NW9" s="69">
        <f>IF($CX9="P",CK9,(CK9+BG9)/2)</f>
        <v>9.75</v>
      </c>
      <c r="NX9" s="69">
        <f>IF($CX9="P",CL9,(CL9+BH9)/2)</f>
        <v>12.68</v>
      </c>
      <c r="NY9" s="69">
        <f>IF($CX9="P",CM9,(CM9+BI9)/2)</f>
        <v>0.65</v>
      </c>
      <c r="NZ9" s="69">
        <f>IF($CX9="P",CN9,(CN9+BJ9)/2)</f>
        <v>10.780000000000001</v>
      </c>
      <c r="OA9" s="69">
        <f>IF($CX9="P",CO9,(CO9+BK9)/2)</f>
        <v>5.75</v>
      </c>
      <c r="OB9" s="69">
        <f>IF($CX9="P",CP9,(CP9+BL9)/2)</f>
        <v>8.15</v>
      </c>
      <c r="OC9" s="69">
        <f>IF($CX9="P",CQ9,(CQ9+BM9)/2)</f>
        <v>10.9975</v>
      </c>
      <c r="OD9" s="69">
        <f>IF($CX9="P",CR9,(CR9+BN9)/2)</f>
        <v>0.35</v>
      </c>
      <c r="OE9" s="69">
        <f>IF($CX9="P",CS9,(CS9+BO9)/2)</f>
        <v>15.5</v>
      </c>
      <c r="OF9" s="69">
        <f>IF($CX9="P",CT9,(CT9+BP9)/2)</f>
        <v>8.9250000000000007</v>
      </c>
      <c r="OG9" s="69">
        <f>IF($CX9="P",CU9,(CU9+BQ9)/2)</f>
        <v>13.7</v>
      </c>
      <c r="OH9" s="69">
        <f>IF($CX9="P",CV9,(CV9+BR9)/2)</f>
        <v>16.765000000000001</v>
      </c>
      <c r="OI9" s="69">
        <f>IF($CX9="P",CW9,(CW9+BS9)/2)</f>
        <v>0</v>
      </c>
      <c r="OJ9" s="80" t="s">
        <v>88</v>
      </c>
      <c r="OK9" s="11">
        <f>IF(SUM(NP9:NS9)-NT9&gt;0,SUM(NP9:NS9)-NT9,"")</f>
        <v>49.417500000000004</v>
      </c>
      <c r="OL9" s="11">
        <f>IF(NW9&gt;0,NW9,"")</f>
        <v>9.75</v>
      </c>
      <c r="OM9" s="11">
        <f>IF(SUM(NU9:NX9)-NY9&gt;0,SUM(NU9:NX9)-NY9,"")</f>
        <v>40.555</v>
      </c>
      <c r="ON9" s="11">
        <f>IF(OB9&gt;0,OB9,"")</f>
        <v>8.15</v>
      </c>
      <c r="OO9" s="11">
        <f>IF(SUM(NZ9:OC9)-OD9&gt;0,SUM(NZ9:OC9)-OD9,"")</f>
        <v>35.327500000000001</v>
      </c>
      <c r="OP9" s="11">
        <f>IF(OR(OK9&lt;&gt;"",OM9&lt;&gt;"",OO9&lt;&gt;""),OK9+MAX(OM9,OO9),"")</f>
        <v>89.972499999999997</v>
      </c>
      <c r="OQ9" s="11">
        <f>IF(OG9&gt;0,OG9,"")</f>
        <v>13.7</v>
      </c>
      <c r="OR9" s="11">
        <f t="shared" si="0"/>
        <v>54.89</v>
      </c>
      <c r="OS9" s="11">
        <f t="shared" si="1"/>
        <v>144.86250000000001</v>
      </c>
    </row>
    <row r="10" spans="1:409" x14ac:dyDescent="0.2">
      <c r="A10" s="5" cm="1">
        <f t="array" ref="A10">IF(AND(G10&lt;&gt;"",H10&lt;&gt;""),SUMPRODUCT((G$4:G$27&lt;&gt;"")*(H$4:H$27&lt;&gt;"")*(E$4:E$27&gt;E10))+1,IF(H10&lt;&gt;"",SUMPRODUCT((I$4:I$27="No DD")*(E$4:E$27&gt;E10))+1+SUMPRODUCT((G$4:G$27&lt;&gt;"")*(H$4:H$27&lt;&gt;"")),""))</f>
        <v>7</v>
      </c>
      <c r="B10" s="6" t="s">
        <v>83</v>
      </c>
      <c r="C10" s="7" t="s">
        <v>5</v>
      </c>
      <c r="D10" s="27">
        <v>1999</v>
      </c>
      <c r="E10" s="15">
        <f>SUM(K10:S10)</f>
        <v>260.935</v>
      </c>
      <c r="F10" s="3" t="str">
        <f>IF(G10&lt;&gt;"","P","")</f>
        <v>P</v>
      </c>
      <c r="G10" s="125" t="str">
        <f>IF(OR(AND(AR10&gt;=AY$32,AR10&lt;&gt;"",AP10=""),AND(AT10&gt;=AY$32,AT10&lt;&gt;"",AP10=""),AND(AW10&gt;=AY$32,AW10&lt;&gt;"",AP10=""),AND(BV10&gt;=CC$32,BV10&lt;&gt;"",BT10=""),AND(BX10&gt;=CC$32,BX10&lt;&gt;"",BT10=""),AND(CA10&gt;=CC$32,CA10&lt;&gt;"",BT10=""),AND(CZ10&gt;=DG$32,CZ10&lt;&gt;"",CX10=""),AND(DB10&gt;=DG$32,DB10&lt;&gt;"",CX10=""),AND(DE10&gt;=DG$32,DE10&lt;&gt;"",CX10=""),AND(EA10&gt;=EG$32,EA10&lt;&gt;""),AND(EE10&gt;=EG$32,EE10&lt;&gt;""),AND(EW10&gt;=FC$32,EW10&lt;&gt;""),AND(FA10&gt;=FC$32,FA10&lt;&gt;""),AND(FS10&gt;=FY$32,FS10&lt;&gt;""),AND(FW10&gt;=FY$32,FW10&lt;&gt;""),AND(GO10&gt;=GU$32,GO10&lt;&gt;""),AND(GS10&gt;=GU$32,GS10&lt;&gt;""),AND(HK10&gt;=HQ$32,HK10&lt;&gt;""),AND(HO10&gt;=HQ$32,HO10&lt;&gt;""),AND(IG10&gt;=IM$32,IG10&lt;&gt;""),AND(IK10&gt;=IM$32,IK10&lt;&gt;""),AND(JC10&gt;=JI$32,JC10&lt;&gt;""),AND(JG10&gt;=JI$32,JG10&lt;&gt;""),AND(JY10&gt;=KE$32,JY10&lt;&gt;""),AND(KC10&gt;=KE$32,KC10&lt;&gt;""),AND(KU10&gt;=LA$32,KU10&lt;&gt;""),AND(KY10&gt;=LA$32,KY10&lt;&gt;""),AND(LQ10&gt;=LW$32,LQ10&lt;&gt;""),AND(LU10&gt;=LW$32,LU10&lt;&gt;""),AND(MM10&gt;=MS$32,MM10&lt;&gt;""),AND(MQ10&gt;=MS$32,MQ10&lt;&gt;""),AND(NI10&gt;=NO$32,NI10&lt;&gt;""),AND(NM10&gt;=NO$32,NM10&lt;&gt;"")),"Merit",IF(OR(AND(AR10&gt;=AY$31,AR10&lt;&gt;"",AP10=""),AND(AT10&gt;=AY$31,AT10&lt;&gt;"",AP10=""),AND(AW10&gt;=AY$31,AW10&lt;&gt;"",AP10=""),AND(BV10&gt;=CC$31,BV10&lt;&gt;"",BT10=""),AND(BX10&gt;=CC$31,BX10&lt;&gt;"",BT10=""),AND(CA10&gt;=CC$31,CA10&lt;&gt;"",BT10=""),AND(CZ10&gt;=DG$31,CZ10&lt;&gt;"",CX10=""),AND(DB10&gt;=DG$31,DB10&lt;&gt;"",CX10=""),AND(DE10&gt;=DG$31,DE10&lt;&gt;"",CX10=""),AND(EA10&gt;=EG$31,EA10&lt;&gt;""),AND(EE10&gt;=EG$31,EE10&lt;&gt;""),AND(EW10&gt;=FC$31,EW10&lt;&gt;""),AND(FA10&gt;=FC$31,FA10&lt;&gt;""),AND(FS10&gt;=FY$31,FS10&lt;&gt;""),AND(FW10&gt;=FY$31,FW10&lt;&gt;""),AND(GO10&gt;=GU$31,GO10&lt;&gt;""),AND(GS10&gt;=GU$31,GS10&lt;&gt;""),AND(HK10&gt;=HQ$31,HK10&lt;&gt;""),AND(HO10&gt;=HQ$31,HO10&lt;&gt;""),AND(IG10&gt;=IM$31,IG10&lt;&gt;""),AND(IK10&gt;=IM$31,IK10&lt;&gt;""),AND(JC10&gt;=JI$31,JC10&lt;&gt;""),AND(JG10&gt;=JI$31,JG10&lt;&gt;""),AND(JY10&gt;=KE$31,JY10&lt;&gt;""),AND(KC10&gt;=KE$31,KC10&lt;&gt;""),AND(KU10&gt;=LA$31,KU10&lt;&gt;""),AND(KY10&gt;=LA$31,KY10&lt;&gt;""),AND(LQ10&gt;=LW$31,LQ10&lt;&gt;""),AND(LU10&gt;=LW$31,LU10&lt;&gt;""),AND(MM10&gt;=MS$31,MM10&lt;&gt;""),AND(MQ10&gt;=MS$31,MQ10&lt;&gt;""),AND(NI10&gt;=NO$31,NI10&lt;&gt;""),AND(NM10&gt;=NO$31,NM10&lt;&gt;"")),"Excellence",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Worlds Team",IF(OR(AND(AR10&gt;=AY$29,AR10&lt;&gt;"",AP10=""),AND(AT10&gt;=AY$29,AT10&lt;&gt;"",AP10=""),AND(AW10&gt;=AY$29,AW10&lt;&gt;"",AP10=""),AND(BV10&gt;=CC$29,BV10&lt;&gt;"",BT10=""),AND(BX10&gt;=CC$29,BX10&lt;&gt;"",BT10=""),AND(CA10&gt;=CC$29,CA10&lt;&gt;"",BT10=""),AND(CZ10&gt;=DG$29,CZ10&lt;&gt;"",CX10=""),AND(DB10&gt;=DG$29,DB10&lt;&gt;"",CX10=""),AND(DE10&gt;=DG$29,DE10&lt;&gt;"",CX10=""),AND(EA10&gt;=EG$29,EA10&lt;&gt;""),AND(EE10&gt;=EG$29,EE10&lt;&gt;""),AND(EW10&gt;=FC$29,EW10&lt;&gt;""),AND(FA10&gt;=FC$29,FA10&lt;&gt;""),AND(FS10&gt;=FY$29,FS10&lt;&gt;""),AND(FW10&gt;=FY$29,FW10&lt;&gt;""),AND(GO10&gt;=GU$29,GO10&lt;&gt;""),AND(GS10&gt;=GU$29,GS10&lt;&gt;""),AND(HK10&gt;=HQ$29,HK10&lt;&gt;""),AND(HO10&gt;=HQ$29,HO10&lt;&gt;""),AND(IG10&gt;=IM$29,IG10&lt;&gt;""),AND(IK10&gt;=IM$29,IK10&lt;&gt;""),AND(JC10&gt;=JI$29,JC10&lt;&gt;""),AND(JG10&gt;=JI$29,JG10&lt;&gt;""),AND(JY10&gt;=KE$29,JY10&lt;&gt;""),AND(KC10&gt;=KE$29,KC10&lt;&gt;""),AND(KU10&gt;=LA$29,KU10&lt;&gt;""),AND(KY10&gt;=LA$29,KY10&lt;&gt;""),AND(LQ10&gt;=LW$29,LQ10&lt;&gt;""),AND(LU10&gt;=LW$29,LU10&lt;&gt;""),AND(MM10&gt;=MS$29,MM10&lt;&gt;""),AND(MQ10&gt;=MS$29,MQ10&lt;&gt;""),AND(NI10&gt;=NO$29,NI10&lt;&gt;""),AND(NM10&gt;=NO$29,NM10&lt;&gt;"")),"National Team",""))))</f>
        <v>National Team</v>
      </c>
      <c r="H10" s="125" t="str">
        <f>IF(OR(AND(AS10&gt;=AY$36,AS10&lt;&gt;"",AP10=""),AND(AU10&gt;=AY$36,AU10&lt;&gt;"",AP10=""),AND(AX10&gt;=AY$36,AX10&lt;&gt;"",AP10=""),AND(BW10&gt;=CC$36,BW10&lt;&gt;"",BT10=""),AND(BY10&gt;=CC$36,BY10&lt;&gt;"",BT10=""),AND(CB10&gt;=CC$36,CB10&lt;&gt;"",BT10=""),AND(DA10&gt;=DG$36,DA10&lt;&gt;"",CX10=""),AND(DC10&gt;=DG$36,DC10&lt;&gt;"",CX10=""),AND(DF10&gt;=DG$36,DF10&lt;&gt;"",CX10=""),AND(EC10&gt;=EG$36,EC10&lt;&gt;""),AND(EF10&gt;=EG$36,EF10&lt;&gt;""),AND(EY10&gt;=FC$36,EY10&lt;&gt;""),AND(FB10&gt;=FC$36,FB10&lt;&gt;""),AND(FU10&gt;=FY$36,FU10&lt;&gt;""),AND(FX10&gt;=FY$36,FX10&lt;&gt;""),AND(GQ10&gt;=GU$36,GQ10&lt;&gt;""),AND(GT10&gt;=GU$36,GT10&lt;&gt;""),AND(HM10&gt;=HQ$36,HM10&lt;&gt;""),AND(HP10&gt;=HQ$36,HP10&lt;&gt;""),AND(II10&gt;=IM$36,II10&lt;&gt;""),AND(IL10&gt;=IM$36,IL10&lt;&gt;""),AND(JE10&gt;=JI$36,JE10&lt;&gt;""),AND(JH10&gt;=JI$36,JH10&lt;&gt;""),AND(KA10&gt;=KE$36,KA10&lt;&gt;""),AND(KD10&gt;=KE$36,KD10&lt;&gt;""),AND(KW10&gt;=LA$36,KW10&lt;&gt;""),AND(KZ10&gt;=LA$36,KZ10&lt;&gt;""),AND(LS10&gt;=LW$36,LS10&lt;&gt;""),AND(LV10&gt;=LW$36,LV10&lt;&gt;""),AND(MO10&gt;=MS$36,MO10&lt;&gt;""),AND(MR10&gt;=MS$36,MR10&lt;&gt;""),AND(NK10&gt;=NO$36,NK10&lt;&gt;""),AND(NN10&gt;=NO$36,NN10&lt;&gt;"")),"Merit",IF(OR(AND(AS10&gt;=AY$35,AS10&lt;&gt;"",AP10=""),AND(AU10&gt;=AY$35,AU10&lt;&gt;"",AP10=""),AND(AX10&gt;=AY$35,AX10&lt;&gt;"",AP10=""),AND(BW10&gt;=CC$35,BW10&lt;&gt;"",BT10=""),AND(BY10&gt;=CC$35,BY10&lt;&gt;"",BT10=""),AND(CB10&gt;=CC$35,CB10&lt;&gt;"",BT10=""),AND(DA10&gt;=DG$35,DA10&lt;&gt;"",CX10=""),AND(DC10&gt;=DG$35,DC10&lt;&gt;"",CX10=""),AND(DF10&gt;=DG$35,DF10&lt;&gt;"",CX10=""),AND(EC10&gt;=EG$35,EC10&lt;&gt;""),AND(EF10&gt;=EG$35,EF10&lt;&gt;""),AND(EY10&gt;=FC$35,EY10&lt;&gt;""),AND(FB10&gt;=FC$35,FB10&lt;&gt;""),AND(FU10&gt;=FY$35,FU10&lt;&gt;""),AND(FX10&gt;=FY$35,FX10&lt;&gt;""),AND(GQ10&gt;=GU$35,GQ10&lt;&gt;""),AND(GT10&gt;=GU$35,GT10&lt;&gt;""),AND(HM10&gt;=HQ$35,HM10&lt;&gt;""),AND(HP10&gt;=HQ$35,HP10&lt;&gt;""),AND(II10&gt;=IM$35,II10&lt;&gt;""),AND(IL10&gt;=IM$35,IL10&lt;&gt;""),AND(JE10&gt;=JI$35,JE10&lt;&gt;""),AND(JH10&gt;=JI$35,JH10&lt;&gt;""),AND(KA10&gt;=KE$35,KA10&lt;&gt;""),AND(KD10&gt;=KE$35,KD10&lt;&gt;""),AND(KW10&gt;=LA$35,KW10&lt;&gt;""),AND(KZ10&gt;=LA$35,KZ10&lt;&gt;""),AND(LS10&gt;=LW$35,LS10&lt;&gt;""),AND(LV10&gt;=LW$35,LV10&lt;&gt;""),AND(MO10&gt;=MS$35,MO10&lt;&gt;""),AND(MR10&gt;=MS$35,MR10&lt;&gt;""),AND(NK10&gt;=NO$35,NK10&lt;&gt;""),AND(NN10&gt;=NO$35,NN10&lt;&gt;"")),"Excellence",IF(OR(AND(AV10&gt;=AY$34,AV10&lt;&gt;"",AP10=""),AND(BZ10&gt;=CC$34,BZ10&lt;&gt;"",BT10=""),AND(DD10&gt;=DG$34,DD10&lt;&gt;"",CX10=""),AND(ED10&gt;=EG$34,ED10&lt;&gt;""),AND(EZ10&gt;=FC$34,EZ10&lt;&gt;""),AND(FV10&gt;=FY$34,FV10&lt;&gt;""),AND(GR10&gt;=GU$34,GR10&lt;&gt;""),AND(HN10&gt;=HQ$34,HN10&lt;&gt;""),AND(IJ10&gt;=IM$34,IJ10&lt;&gt;""),AND(JF10&gt;=JI$34,JF10&lt;&gt;""),AND(KB10&gt;=KE$34,KB10&lt;&gt;""),AND(KX10&gt;=LA$34,KX10&lt;&gt;""),AND(LT10&gt;=LW$34,LT10&lt;&gt;""),AND(MP10&gt;=MS$34,MP10&lt;&gt;""),AND(NL10&gt;=NO$34,NL10&lt;&gt;"")),"Worlds Team",IF(OR(AND(AV10&gt;=AY$33,AV10&lt;&gt;"",AP10=""),AND(BZ10&gt;=CC$33,BZ10&lt;&gt;"",BT10=""),AND(DD10&gt;=DG$33,DD10&lt;&gt;"",CX10=""),AND(ED10&gt;=EG$33,ED10&lt;&gt;""),AND(EZ10&gt;=FC$33,EZ10&lt;&gt;""),AND(FV10&gt;=FY$33,FV10&lt;&gt;""),AND(GR10&gt;=GU$33,GR10&lt;&gt;""),AND(HN10&gt;=HQ$33,HN10&lt;&gt;""),AND(IJ10&gt;=IM$33,IJ10&lt;&gt;""),AND(JF10&gt;=JI$33,JF10&lt;&gt;""),AND(KB10&gt;=KE$33,KB10&lt;&gt;""),AND(KX10&gt;=LA$33,KX10&lt;&gt;""),AND(LT10&gt;=LW$33,LT10&lt;&gt;""),AND(MP10&gt;=MS$33,MP10&lt;&gt;""),AND(NL10&gt;=NO$33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$34,AV10&lt;&gt;"",AP10=""),AND(BZ10&gt;=CC$34,BZ10&lt;&gt;"",BT10=""),AND(DD10&gt;=DG$34,DD10&lt;&gt;"",CX10=""),AND(ED10&gt;=EG$34,ED10&lt;&gt;""),AND(EZ10&gt;=FC$34,EZ10&lt;&gt;""),AND(FV10&gt;=FY$34,FV10&lt;&gt;""),AND(GR10&gt;=GU$34,GR10&lt;&gt;""),AND(HN10&gt;=HQ$34,HN10&lt;&gt;""),AND(IJ10&gt;=IM$34,IJ10&lt;&gt;""),AND(JF10&gt;=JI$34,JF10&lt;&gt;""),AND(KB10&gt;=KE$34,KB10&lt;&gt;""),AND(KX10&gt;=LA$34,KX10&lt;&gt;""),AND(LT10&gt;=LW$34,LT10&lt;&gt;""),AND(MP10&gt;=MS$34,MP10&lt;&gt;""),AND(NL10&gt;=NO$34,NL10&lt;&gt;"")),OR(G10="Worlds Team",G10="Excellence",G10="Merit")),"P","")</f>
        <v/>
      </c>
      <c r="K10" s="14">
        <f>IF(MAX(AV10,BZ10,DD10)&gt;0,MAX(AV10,BZ10,DD10),0)</f>
        <v>103.31500000000001</v>
      </c>
      <c r="L10" s="14" t="str">
        <f>IF(K10=0,"",IF(K10=DD10,$CD$1,IF(K10=BZ10,$AZ$1,IF(K10=AV10,$V$1,""))))</f>
        <v>2019 Nationals</v>
      </c>
      <c r="M10" s="14">
        <f>IF($K10=$AV10,MAX(BU10,CY10),IF($K10=$BZ10,MAX(AQ10,CY10),IF($K10=$DD10,MAX(AQ10,BU10),MAX(AQ10,BU10,CY10))))</f>
        <v>47.629999999999995</v>
      </c>
      <c r="N10" s="14" t="str">
        <f>IF(M10=0,"",IF(AND(M10=CY10,$L10&lt;&gt;$CD$1),$CD$1,IF(AND(M10=BU10,$L10&lt;&gt;$AZ$1),$AZ$1,IF(AND(M10=AQ10,$L10&lt;&gt;$V$1),$V$1,""))))</f>
        <v>2021 2nd Virtual Technical Trial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55.06</v>
      </c>
      <c r="P10" s="14" t="str">
        <f>IF(O10=0,"",IF(OR(O10=DC10,O10=DA10),$CD$1,IF(OR(O10=BY10,O10=BW10),$AZ$1,IF(OR(O10=AU10,O10=AS10),$V$1,""))))</f>
        <v>2021 2nd Virtual Technical Trial</v>
      </c>
      <c r="Q10" s="14">
        <f>MAX(AX10,CB10,DF10)</f>
        <v>54.930000000000007</v>
      </c>
      <c r="R10" s="14" t="str">
        <f>IF(Q10=0,"",IF(Q10=DF10,$CD$1,IF(Q10=CB10,$AZ$1,IF(Q10=AX10,$V$1,""))))</f>
        <v>2021 2nd Virtual Technical Trial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16.399999999999999</v>
      </c>
      <c r="W10" s="69">
        <v>9.1</v>
      </c>
      <c r="X10" s="69">
        <v>5.4</v>
      </c>
      <c r="Y10" s="69">
        <v>16.675000000000001</v>
      </c>
      <c r="Z10" s="69">
        <v>0</v>
      </c>
      <c r="AA10" s="69">
        <v>15.4</v>
      </c>
      <c r="AB10" s="69">
        <v>9.3000000000000007</v>
      </c>
      <c r="AC10" s="69">
        <v>15.2</v>
      </c>
      <c r="AD10" s="69">
        <v>15.84</v>
      </c>
      <c r="AE10" s="69">
        <v>0</v>
      </c>
      <c r="AF10" s="69"/>
      <c r="AG10" s="69"/>
      <c r="AH10" s="69"/>
      <c r="AI10" s="69"/>
      <c r="AJ10" s="69"/>
      <c r="AK10" s="69">
        <v>14.68</v>
      </c>
      <c r="AL10" s="69">
        <v>9.4</v>
      </c>
      <c r="AM10" s="69">
        <v>14.8</v>
      </c>
      <c r="AN10" s="69">
        <v>15.555</v>
      </c>
      <c r="AO10" s="69">
        <v>0</v>
      </c>
      <c r="AP10" s="80"/>
      <c r="AQ10" s="11">
        <f>IF(SUM(V10:Y10)-Z10&gt;0,SUM(V10:Y10)-Z10,"")</f>
        <v>47.575000000000003</v>
      </c>
      <c r="AR10" s="11">
        <f>IF(AC10&gt;0,AC10,"")</f>
        <v>15.2</v>
      </c>
      <c r="AS10" s="11">
        <f>IF(SUM(AA10:AD10)-AE10&gt;0,SUM(AA10:AD10)-AE10,"")</f>
        <v>55.740000000000009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103.31500000000001</v>
      </c>
      <c r="AW10" s="11">
        <f>IF(AM10&gt;0,AM10,"")</f>
        <v>14.8</v>
      </c>
      <c r="AX10" s="11">
        <f>IF(SUM(AK10:AN10)-AO10&gt;0,SUM(AK10:AN10)-AO10,"")</f>
        <v>54.434999999999995</v>
      </c>
      <c r="AY10" s="11">
        <f>IF(SUM(AV10,AX10)&gt;0,SUM(AV10,AX10),"")</f>
        <v>157.75</v>
      </c>
      <c r="AZ10" s="75">
        <v>16.899999999999999</v>
      </c>
      <c r="BA10" s="75">
        <v>9.6</v>
      </c>
      <c r="BB10" s="75">
        <v>5.2</v>
      </c>
      <c r="BC10" s="75">
        <v>16.03</v>
      </c>
      <c r="BD10" s="75">
        <v>0.2</v>
      </c>
      <c r="BE10" s="75">
        <v>4.7</v>
      </c>
      <c r="BF10" s="75">
        <v>2.8</v>
      </c>
      <c r="BG10" s="75">
        <v>4.9000000000000004</v>
      </c>
      <c r="BH10" s="75">
        <v>4.93</v>
      </c>
      <c r="BI10" s="75">
        <v>0.2</v>
      </c>
      <c r="BJ10" s="75">
        <v>13.8</v>
      </c>
      <c r="BK10" s="75">
        <v>9.15</v>
      </c>
      <c r="BL10" s="75">
        <v>14.4</v>
      </c>
      <c r="BM10" s="75">
        <v>15.36</v>
      </c>
      <c r="BN10" s="75">
        <v>0</v>
      </c>
      <c r="BO10" s="75">
        <v>14</v>
      </c>
      <c r="BP10" s="75">
        <v>9.1999999999999993</v>
      </c>
      <c r="BQ10" s="75">
        <v>14.6</v>
      </c>
      <c r="BR10" s="75">
        <v>14.92</v>
      </c>
      <c r="BS10" s="75">
        <v>0.2</v>
      </c>
      <c r="BT10" s="81"/>
      <c r="BU10" s="14">
        <f>IF(SUM(AZ10:BC10)-BD10&gt;0,SUM(AZ10:BC10)-BD10,"")</f>
        <v>47.53</v>
      </c>
      <c r="BV10" s="14">
        <f>IF(BG10&gt;0,BG10,"")</f>
        <v>4.9000000000000004</v>
      </c>
      <c r="BW10" s="14">
        <f>IF(SUM(BE10:BH10)-BI10&gt;0,SUM(BE10:BH10)-BI10,"")</f>
        <v>17.13</v>
      </c>
      <c r="BX10" s="14">
        <f>IF(BL10&gt;0,BL10,"")</f>
        <v>14.4</v>
      </c>
      <c r="BY10" s="14">
        <f>IF(SUM(BJ10:BM10)-BN10&gt;0,SUM(BJ10:BM10)-BN10,"")</f>
        <v>52.71</v>
      </c>
      <c r="BZ10" s="14">
        <f>IF(BU10="",IF(MAX(BW10,BY10)&gt;0,MAX(BW10,BY10),""),MAX(BW10,BY10)+BU10)</f>
        <v>100.24000000000001</v>
      </c>
      <c r="CA10" s="14">
        <f>IF(BQ10&gt;0,BQ10,"")</f>
        <v>14.6</v>
      </c>
      <c r="CB10" s="14">
        <f>IF(SUM(BO10:BR10)-BS10&gt;0,SUM(BO10:BR10)-BS10,"")</f>
        <v>52.519999999999996</v>
      </c>
      <c r="CC10" s="14">
        <f>IF(SUM(BZ10,CB10)&gt;0,SUM(BZ10,CB10),"")</f>
        <v>152.76</v>
      </c>
      <c r="CD10" s="69">
        <v>16.7</v>
      </c>
      <c r="CE10" s="69">
        <v>9.5</v>
      </c>
      <c r="CF10" s="69">
        <v>5.2</v>
      </c>
      <c r="CG10" s="69">
        <v>16.23</v>
      </c>
      <c r="CH10" s="69">
        <v>0</v>
      </c>
      <c r="CI10" s="69">
        <v>15.2</v>
      </c>
      <c r="CJ10" s="69">
        <v>9.3000000000000007</v>
      </c>
      <c r="CK10" s="69">
        <v>14.6</v>
      </c>
      <c r="CL10" s="69">
        <v>15.96</v>
      </c>
      <c r="CM10" s="69">
        <v>0</v>
      </c>
      <c r="CN10" s="69">
        <v>3</v>
      </c>
      <c r="CO10" s="69">
        <v>1.9</v>
      </c>
      <c r="CP10" s="69">
        <v>3</v>
      </c>
      <c r="CQ10" s="69">
        <v>3.32</v>
      </c>
      <c r="CR10" s="69">
        <v>0</v>
      </c>
      <c r="CS10" s="69">
        <v>15.3</v>
      </c>
      <c r="CT10" s="69">
        <v>9.3000000000000007</v>
      </c>
      <c r="CU10" s="69">
        <v>14.6</v>
      </c>
      <c r="CV10" s="69">
        <v>15.73</v>
      </c>
      <c r="CW10" s="69">
        <v>0</v>
      </c>
      <c r="CX10" s="80"/>
      <c r="CY10" s="11">
        <f>IF(SUM(CD10:CG10)-CH10&gt;0,SUM(CD10:CG10)-CH10,"")</f>
        <v>47.629999999999995</v>
      </c>
      <c r="CZ10" s="11">
        <f>IF(CK10&gt;0,CK10,"")</f>
        <v>14.6</v>
      </c>
      <c r="DA10" s="11">
        <f>IF(SUM(CI10:CL10)-CM10&gt;0,SUM(CI10:CL10)-CM10,"")</f>
        <v>55.06</v>
      </c>
      <c r="DB10" s="11">
        <f>IF(CP10&gt;0,CP10,"")</f>
        <v>3</v>
      </c>
      <c r="DC10" s="11">
        <f>IF(SUM(CN10:CQ10)-CR10&gt;0,SUM(CN10:CQ10)-CR10,"")</f>
        <v>11.22</v>
      </c>
      <c r="DD10" s="11">
        <f>IF(CY10="",IF(MAX(DA10,DC10)&gt;0,MAX(DA10,DC10),""),MAX(DA10,DC10)+CY10)</f>
        <v>102.69</v>
      </c>
      <c r="DE10" s="11">
        <f>IF(CU10&gt;0,CU10,"")</f>
        <v>14.6</v>
      </c>
      <c r="DF10" s="11">
        <f>IF(SUM(CS10:CV10)-CW10&gt;0,SUM(CS10:CV10)-CW10,"")</f>
        <v>54.930000000000007</v>
      </c>
      <c r="DG10" s="11">
        <f>IF(SUM(DD10,DF10)&gt;0,SUM(DD10,DF10),"")</f>
        <v>157.62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16.799999999999997</v>
      </c>
      <c r="NQ10" s="69">
        <f>IF($CX10="P",CE10,(CE10+BA10)/2)</f>
        <v>9.5500000000000007</v>
      </c>
      <c r="NR10" s="69">
        <f>IF($CX10="P",CF10,(CF10+BB10)/2)</f>
        <v>5.2</v>
      </c>
      <c r="NS10" s="69">
        <f>IF($CX10="P",CG10,(CG10+BC10)/2)</f>
        <v>16.130000000000003</v>
      </c>
      <c r="NT10" s="69">
        <f>IF($CX10="P",CH10,(CH10+BD10)/2)</f>
        <v>0.1</v>
      </c>
      <c r="NU10" s="69">
        <f>IF($CX10="P",CI10,(CI10+BE10)/2)</f>
        <v>9.9499999999999993</v>
      </c>
      <c r="NV10" s="69">
        <f>IF($CX10="P",CJ10,(CJ10+BF10)/2)</f>
        <v>6.0500000000000007</v>
      </c>
      <c r="NW10" s="69">
        <f>IF($CX10="P",CK10,(CK10+BG10)/2)</f>
        <v>9.75</v>
      </c>
      <c r="NX10" s="69">
        <f>IF($CX10="P",CL10,(CL10+BH10)/2)</f>
        <v>10.445</v>
      </c>
      <c r="NY10" s="69">
        <f>IF($CX10="P",CM10,(CM10+BI10)/2)</f>
        <v>0.1</v>
      </c>
      <c r="NZ10" s="69">
        <f>IF($CX10="P",CN10,(CN10+BJ10)/2)</f>
        <v>8.4</v>
      </c>
      <c r="OA10" s="69">
        <f>IF($CX10="P",CO10,(CO10+BK10)/2)</f>
        <v>5.5250000000000004</v>
      </c>
      <c r="OB10" s="69">
        <f>IF($CX10="P",CP10,(CP10+BL10)/2)</f>
        <v>8.6999999999999993</v>
      </c>
      <c r="OC10" s="69">
        <f>IF($CX10="P",CQ10,(CQ10+BM10)/2)</f>
        <v>9.34</v>
      </c>
      <c r="OD10" s="69">
        <f>IF($CX10="P",CR10,(CR10+BN10)/2)</f>
        <v>0</v>
      </c>
      <c r="OE10" s="69">
        <f>IF($CX10="P",CS10,(CS10+BO10)/2)</f>
        <v>14.65</v>
      </c>
      <c r="OF10" s="69">
        <f>IF($CX10="P",CT10,(CT10+BP10)/2)</f>
        <v>9.25</v>
      </c>
      <c r="OG10" s="69">
        <f>IF($CX10="P",CU10,(CU10+BQ10)/2)</f>
        <v>14.6</v>
      </c>
      <c r="OH10" s="69">
        <f>IF($CX10="P",CV10,(CV10+BR10)/2)</f>
        <v>15.324999999999999</v>
      </c>
      <c r="OI10" s="69">
        <f>IF($CX10="P",CW10,(CW10+BS10)/2)</f>
        <v>0.1</v>
      </c>
      <c r="OJ10" s="80" t="s">
        <v>88</v>
      </c>
      <c r="OK10" s="11">
        <f>IF(SUM(NP10:NS10)-NT10&gt;0,SUM(NP10:NS10)-NT10,"")</f>
        <v>47.58</v>
      </c>
      <c r="OL10" s="11">
        <f>IF(NW10&gt;0,NW10,"")</f>
        <v>9.75</v>
      </c>
      <c r="OM10" s="11">
        <f>IF(SUM(NU10:NX10)-NY10&gt;0,SUM(NU10:NX10)-NY10,"")</f>
        <v>36.094999999999999</v>
      </c>
      <c r="ON10" s="11">
        <f>IF(OB10&gt;0,OB10,"")</f>
        <v>8.6999999999999993</v>
      </c>
      <c r="OO10" s="11">
        <f>IF(SUM(NZ10:OC10)-OD10&gt;0,SUM(NZ10:OC10)-OD10,"")</f>
        <v>31.965</v>
      </c>
      <c r="OP10" s="11">
        <f>IF(OR(OK10&lt;&gt;"",OM10&lt;&gt;"",OO10&lt;&gt;""),OK10+MAX(OM10,OO10),"")</f>
        <v>83.674999999999997</v>
      </c>
      <c r="OQ10" s="11">
        <f>IF(OG10&gt;0,OG10,"")</f>
        <v>14.6</v>
      </c>
      <c r="OR10" s="11">
        <f t="shared" si="0"/>
        <v>53.725000000000001</v>
      </c>
      <c r="OS10" s="11">
        <f t="shared" si="1"/>
        <v>137.4</v>
      </c>
    </row>
    <row r="11" spans="1:409" x14ac:dyDescent="0.2">
      <c r="A11" s="5" t="str" cm="1">
        <f t="array" ref="A11">IF(AND(G11&lt;&gt;"",H11&lt;&gt;""),SUMPRODUCT((G$4:G$27&lt;&gt;"")*(H$4:H$27&lt;&gt;"")*(E$4:E$27&gt;E11))+1,IF(H11&lt;&gt;"",SUMPRODUCT((I$4:I$27="No DD")*(E$4:E$27&gt;E11))+1+SUMPRODUCT((G$4:G$27&lt;&gt;"")*(H$4:H$27&lt;&gt;"")),""))</f>
        <v/>
      </c>
      <c r="B11" s="8" t="s">
        <v>42</v>
      </c>
      <c r="C11" s="4" t="s">
        <v>6</v>
      </c>
      <c r="D11" s="7">
        <v>1995</v>
      </c>
      <c r="E11" s="15">
        <f>SUM(K11:S11)</f>
        <v>258.5</v>
      </c>
      <c r="F11" s="3" t="str">
        <f>IF(G11&lt;&gt;"","P","")</f>
        <v>P</v>
      </c>
      <c r="G11" s="125" t="str">
        <f>IF(OR(AND(AR11&gt;=AY$32,AR11&lt;&gt;"",AP11=""),AND(AT11&gt;=AY$32,AT11&lt;&gt;"",AP11=""),AND(AW11&gt;=AY$32,AW11&lt;&gt;"",AP11=""),AND(BV11&gt;=CC$32,BV11&lt;&gt;"",BT11=""),AND(BX11&gt;=CC$32,BX11&lt;&gt;"",BT11=""),AND(CA11&gt;=CC$32,CA11&lt;&gt;"",BT11=""),AND(CZ11&gt;=DG$32,CZ11&lt;&gt;"",CX11=""),AND(DB11&gt;=DG$32,DB11&lt;&gt;"",CX11=""),AND(DE11&gt;=DG$32,DE11&lt;&gt;"",CX11=""),AND(EA11&gt;=EG$32,EA11&lt;&gt;""),AND(EE11&gt;=EG$32,EE11&lt;&gt;""),AND(EW11&gt;=FC$32,EW11&lt;&gt;""),AND(FA11&gt;=FC$32,FA11&lt;&gt;""),AND(FS11&gt;=FY$32,FS11&lt;&gt;""),AND(FW11&gt;=FY$32,FW11&lt;&gt;""),AND(GO11&gt;=GU$32,GO11&lt;&gt;""),AND(GS11&gt;=GU$32,GS11&lt;&gt;""),AND(HK11&gt;=HQ$32,HK11&lt;&gt;""),AND(HO11&gt;=HQ$32,HO11&lt;&gt;""),AND(IG11&gt;=IM$32,IG11&lt;&gt;""),AND(IK11&gt;=IM$32,IK11&lt;&gt;""),AND(JC11&gt;=JI$32,JC11&lt;&gt;""),AND(JG11&gt;=JI$32,JG11&lt;&gt;""),AND(JY11&gt;=KE$32,JY11&lt;&gt;""),AND(KC11&gt;=KE$32,KC11&lt;&gt;""),AND(KU11&gt;=LA$32,KU11&lt;&gt;""),AND(KY11&gt;=LA$32,KY11&lt;&gt;""),AND(LQ11&gt;=LW$32,LQ11&lt;&gt;""),AND(LU11&gt;=LW$32,LU11&lt;&gt;""),AND(MM11&gt;=MS$32,MM11&lt;&gt;""),AND(MQ11&gt;=MS$32,MQ11&lt;&gt;""),AND(NI11&gt;=NO$32,NI11&lt;&gt;""),AND(NM11&gt;=NO$32,NM11&lt;&gt;"")),"Merit",IF(OR(AND(AR11&gt;=AY$31,AR11&lt;&gt;"",AP11=""),AND(AT11&gt;=AY$31,AT11&lt;&gt;"",AP11=""),AND(AW11&gt;=AY$31,AW11&lt;&gt;"",AP11=""),AND(BV11&gt;=CC$31,BV11&lt;&gt;"",BT11=""),AND(BX11&gt;=CC$31,BX11&lt;&gt;"",BT11=""),AND(CA11&gt;=CC$31,CA11&lt;&gt;"",BT11=""),AND(CZ11&gt;=DG$31,CZ11&lt;&gt;"",CX11=""),AND(DB11&gt;=DG$31,DB11&lt;&gt;"",CX11=""),AND(DE11&gt;=DG$31,DE11&lt;&gt;"",CX11=""),AND(EA11&gt;=EG$31,EA11&lt;&gt;""),AND(EE11&gt;=EG$31,EE11&lt;&gt;""),AND(EW11&gt;=FC$31,EW11&lt;&gt;""),AND(FA11&gt;=FC$31,FA11&lt;&gt;""),AND(FS11&gt;=FY$31,FS11&lt;&gt;""),AND(FW11&gt;=FY$31,FW11&lt;&gt;""),AND(GO11&gt;=GU$31,GO11&lt;&gt;""),AND(GS11&gt;=GU$31,GS11&lt;&gt;""),AND(HK11&gt;=HQ$31,HK11&lt;&gt;""),AND(HO11&gt;=HQ$31,HO11&lt;&gt;""),AND(IG11&gt;=IM$31,IG11&lt;&gt;""),AND(IK11&gt;=IM$31,IK11&lt;&gt;""),AND(JC11&gt;=JI$31,JC11&lt;&gt;""),AND(JG11&gt;=JI$31,JG11&lt;&gt;""),AND(JY11&gt;=KE$31,JY11&lt;&gt;""),AND(KC11&gt;=KE$31,KC11&lt;&gt;""),AND(KU11&gt;=LA$31,KU11&lt;&gt;""),AND(KY11&gt;=LA$31,KY11&lt;&gt;""),AND(LQ11&gt;=LW$31,LQ11&lt;&gt;""),AND(LU11&gt;=LW$31,LU11&lt;&gt;""),AND(MM11&gt;=MS$31,MM11&lt;&gt;""),AND(MQ11&gt;=MS$31,MQ11&lt;&gt;""),AND(NI11&gt;=NO$31,NI11&lt;&gt;""),AND(NM11&gt;=NO$31,NM11&lt;&gt;"")),"Excellence",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Worlds Team",IF(OR(AND(AR11&gt;=AY$29,AR11&lt;&gt;"",AP11=""),AND(AT11&gt;=AY$29,AT11&lt;&gt;"",AP11=""),AND(AW11&gt;=AY$29,AW11&lt;&gt;"",AP11=""),AND(BV11&gt;=CC$29,BV11&lt;&gt;"",BT11=""),AND(BX11&gt;=CC$29,BX11&lt;&gt;"",BT11=""),AND(CA11&gt;=CC$29,CA11&lt;&gt;"",BT11=""),AND(CZ11&gt;=DG$29,CZ11&lt;&gt;"",CX11=""),AND(DB11&gt;=DG$29,DB11&lt;&gt;"",CX11=""),AND(DE11&gt;=DG$29,DE11&lt;&gt;"",CX11=""),AND(EA11&gt;=EG$29,EA11&lt;&gt;""),AND(EE11&gt;=EG$29,EE11&lt;&gt;""),AND(EW11&gt;=FC$29,EW11&lt;&gt;""),AND(FA11&gt;=FC$29,FA11&lt;&gt;""),AND(FS11&gt;=FY$29,FS11&lt;&gt;""),AND(FW11&gt;=FY$29,FW11&lt;&gt;""),AND(GO11&gt;=GU$29,GO11&lt;&gt;""),AND(GS11&gt;=GU$29,GS11&lt;&gt;""),AND(HK11&gt;=HQ$29,HK11&lt;&gt;""),AND(HO11&gt;=HQ$29,HO11&lt;&gt;""),AND(IG11&gt;=IM$29,IG11&lt;&gt;""),AND(IK11&gt;=IM$29,IK11&lt;&gt;""),AND(JC11&gt;=JI$29,JC11&lt;&gt;""),AND(JG11&gt;=JI$29,JG11&lt;&gt;""),AND(JY11&gt;=KE$29,JY11&lt;&gt;""),AND(KC11&gt;=KE$29,KC11&lt;&gt;""),AND(KU11&gt;=LA$29,KU11&lt;&gt;""),AND(KY11&gt;=LA$29,KY11&lt;&gt;""),AND(LQ11&gt;=LW$29,LQ11&lt;&gt;""),AND(LU11&gt;=LW$29,LU11&lt;&gt;""),AND(MM11&gt;=MS$29,MM11&lt;&gt;""),AND(MQ11&gt;=MS$29,MQ11&lt;&gt;""),AND(NI11&gt;=NO$29,NI11&lt;&gt;""),AND(NM11&gt;=NO$29,NM11&lt;&gt;"")),"National Team",""))))</f>
        <v>Merit</v>
      </c>
      <c r="H11" s="125" t="str">
        <f>IF(OR(AND(AS11&gt;=AY$36,AS11&lt;&gt;"",AP11=""),AND(AU11&gt;=AY$36,AU11&lt;&gt;"",AP11=""),AND(AX11&gt;=AY$36,AX11&lt;&gt;"",AP11=""),AND(BW11&gt;=CC$36,BW11&lt;&gt;"",BT11=""),AND(BY11&gt;=CC$36,BY11&lt;&gt;"",BT11=""),AND(CB11&gt;=CC$36,CB11&lt;&gt;"",BT11=""),AND(DA11&gt;=DG$36,DA11&lt;&gt;"",CX11=""),AND(DC11&gt;=DG$36,DC11&lt;&gt;"",CX11=""),AND(DF11&gt;=DG$36,DF11&lt;&gt;"",CX11=""),AND(EC11&gt;=EG$36,EC11&lt;&gt;""),AND(EF11&gt;=EG$36,EF11&lt;&gt;""),AND(EY11&gt;=FC$36,EY11&lt;&gt;""),AND(FB11&gt;=FC$36,FB11&lt;&gt;""),AND(FU11&gt;=FY$36,FU11&lt;&gt;""),AND(FX11&gt;=FY$36,FX11&lt;&gt;""),AND(GQ11&gt;=GU$36,GQ11&lt;&gt;""),AND(GT11&gt;=GU$36,GT11&lt;&gt;""),AND(HM11&gt;=HQ$36,HM11&lt;&gt;""),AND(HP11&gt;=HQ$36,HP11&lt;&gt;""),AND(II11&gt;=IM$36,II11&lt;&gt;""),AND(IL11&gt;=IM$36,IL11&lt;&gt;""),AND(JE11&gt;=JI$36,JE11&lt;&gt;""),AND(JH11&gt;=JI$36,JH11&lt;&gt;""),AND(KA11&gt;=KE$36,KA11&lt;&gt;""),AND(KD11&gt;=KE$36,KD11&lt;&gt;""),AND(KW11&gt;=LA$36,KW11&lt;&gt;""),AND(KZ11&gt;=LA$36,KZ11&lt;&gt;""),AND(LS11&gt;=LW$36,LS11&lt;&gt;""),AND(LV11&gt;=LW$36,LV11&lt;&gt;""),AND(MO11&gt;=MS$36,MO11&lt;&gt;""),AND(MR11&gt;=MS$36,MR11&lt;&gt;""),AND(NK11&gt;=NO$36,NK11&lt;&gt;""),AND(NN11&gt;=NO$36,NN11&lt;&gt;"")),"Merit",IF(OR(AND(AS11&gt;=AY$35,AS11&lt;&gt;"",AP11=""),AND(AU11&gt;=AY$35,AU11&lt;&gt;"",AP11=""),AND(AX11&gt;=AY$35,AX11&lt;&gt;"",AP11=""),AND(BW11&gt;=CC$35,BW11&lt;&gt;"",BT11=""),AND(BY11&gt;=CC$35,BY11&lt;&gt;"",BT11=""),AND(CB11&gt;=CC$35,CB11&lt;&gt;"",BT11=""),AND(DA11&gt;=DG$35,DA11&lt;&gt;"",CX11=""),AND(DC11&gt;=DG$35,DC11&lt;&gt;"",CX11=""),AND(DF11&gt;=DG$35,DF11&lt;&gt;"",CX11=""),AND(EC11&gt;=EG$35,EC11&lt;&gt;""),AND(EF11&gt;=EG$35,EF11&lt;&gt;""),AND(EY11&gt;=FC$35,EY11&lt;&gt;""),AND(FB11&gt;=FC$35,FB11&lt;&gt;""),AND(FU11&gt;=FY$35,FU11&lt;&gt;""),AND(FX11&gt;=FY$35,FX11&lt;&gt;""),AND(GQ11&gt;=GU$35,GQ11&lt;&gt;""),AND(GT11&gt;=GU$35,GT11&lt;&gt;""),AND(HM11&gt;=HQ$35,HM11&lt;&gt;""),AND(HP11&gt;=HQ$35,HP11&lt;&gt;""),AND(II11&gt;=IM$35,II11&lt;&gt;""),AND(IL11&gt;=IM$35,IL11&lt;&gt;""),AND(JE11&gt;=JI$35,JE11&lt;&gt;""),AND(JH11&gt;=JI$35,JH11&lt;&gt;""),AND(KA11&gt;=KE$35,KA11&lt;&gt;""),AND(KD11&gt;=KE$35,KD11&lt;&gt;""),AND(KW11&gt;=LA$35,KW11&lt;&gt;""),AND(KZ11&gt;=LA$35,KZ11&lt;&gt;""),AND(LS11&gt;=LW$35,LS11&lt;&gt;""),AND(LV11&gt;=LW$35,LV11&lt;&gt;""),AND(MO11&gt;=MS$35,MO11&lt;&gt;""),AND(MR11&gt;=MS$35,MR11&lt;&gt;""),AND(NK11&gt;=NO$35,NK11&lt;&gt;""),AND(NN11&gt;=NO$35,NN11&lt;&gt;"")),"Excellence",IF(OR(AND(AV11&gt;=AY$34,AV11&lt;&gt;"",AP11=""),AND(BZ11&gt;=CC$34,BZ11&lt;&gt;"",BT11=""),AND(DD11&gt;=DG$34,DD11&lt;&gt;"",CX11=""),AND(ED11&gt;=EG$34,ED11&lt;&gt;""),AND(EZ11&gt;=FC$34,EZ11&lt;&gt;""),AND(FV11&gt;=FY$34,FV11&lt;&gt;""),AND(GR11&gt;=GU$34,GR11&lt;&gt;""),AND(HN11&gt;=HQ$34,HN11&lt;&gt;""),AND(IJ11&gt;=IM$34,IJ11&lt;&gt;""),AND(JF11&gt;=JI$34,JF11&lt;&gt;""),AND(KB11&gt;=KE$34,KB11&lt;&gt;""),AND(KX11&gt;=LA$34,KX11&lt;&gt;""),AND(LT11&gt;=LW$34,LT11&lt;&gt;""),AND(MP11&gt;=MS$34,MP11&lt;&gt;""),AND(NL11&gt;=NO$34,NL11&lt;&gt;"")),"Worlds Team",IF(OR(AND(AV11&gt;=AY$33,AV11&lt;&gt;"",AP11=""),AND(BZ11&gt;=CC$33,BZ11&lt;&gt;"",BT11=""),AND(DD11&gt;=DG$33,DD11&lt;&gt;"",CX11=""),AND(ED11&gt;=EG$33,ED11&lt;&gt;""),AND(EZ11&gt;=FC$33,EZ11&lt;&gt;""),AND(FV11&gt;=FY$33,FV11&lt;&gt;""),AND(GR11&gt;=GU$33,GR11&lt;&gt;""),AND(HN11&gt;=HQ$33,HN11&lt;&gt;""),AND(IJ11&gt;=IM$33,IJ11&lt;&gt;""),AND(JF11&gt;=JI$33,JF11&lt;&gt;""),AND(KB11&gt;=KE$33,KB11&lt;&gt;""),AND(KX11&gt;=LA$33,KX11&lt;&gt;""),AND(LT11&gt;=LW$33,LT11&lt;&gt;""),AND(MP11&gt;=MS$33,MP11&lt;&gt;""),AND(NL11&gt;=NO$33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$34,AV11&lt;&gt;"",AP11=""),AND(BZ11&gt;=CC$34,BZ11&lt;&gt;"",BT11=""),AND(DD11&gt;=DG$34,DD11&lt;&gt;"",CX11=""),AND(ED11&gt;=EG$34,ED11&lt;&gt;""),AND(EZ11&gt;=FC$34,EZ11&lt;&gt;""),AND(FV11&gt;=FY$34,FV11&lt;&gt;""),AND(GR11&gt;=GU$34,GR11&lt;&gt;""),AND(HN11&gt;=HQ$34,HN11&lt;&gt;""),AND(IJ11&gt;=IM$34,IJ11&lt;&gt;""),AND(JF11&gt;=JI$34,JF11&lt;&gt;""),AND(KB11&gt;=KE$34,KB11&lt;&gt;""),AND(KX11&gt;=LA$34,KX11&lt;&gt;""),AND(LT11&gt;=LW$34,LT11&lt;&gt;""),AND(MP11&gt;=MS$34,MP11&lt;&gt;""),AND(NL11&gt;=NO$34,NL11&lt;&gt;"")),OR(G11="Worlds Team",G11="Excellence",G11="Merit")),"P","")</f>
        <v/>
      </c>
      <c r="K11" s="14">
        <f>IF(MAX(AV11,BZ11,DD11)&gt;0,MAX(AV11,BZ11,DD11),0)</f>
        <v>102.69999999999999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49.72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51.269999999999996</v>
      </c>
      <c r="P11" s="14" t="str">
        <f>IF(O11=0,"",IF(OR(O11=DC11,O11=DA11),$CD$1,IF(OR(O11=BY11,O11=BW11),$AZ$1,IF(OR(O11=AU11,O11=AS11),$V$1,""))))</f>
        <v>2019 Nationals</v>
      </c>
      <c r="Q11" s="14">
        <f>MAX(AX11,CB11,DF11)</f>
        <v>54.81</v>
      </c>
      <c r="R11" s="14" t="str">
        <f>IF(Q11=0,"",IF(Q11=DF11,$CD$1,IF(Q11=CB11,$AZ$1,IF(Q11=AX11,$V$1,""))))</f>
        <v>2019 Nationals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18.3</v>
      </c>
      <c r="W11" s="69">
        <v>9.1999999999999993</v>
      </c>
      <c r="X11" s="69">
        <v>5</v>
      </c>
      <c r="Y11" s="69">
        <v>16.8</v>
      </c>
      <c r="Z11" s="69">
        <v>0</v>
      </c>
      <c r="AA11" s="69">
        <v>14.1</v>
      </c>
      <c r="AB11" s="69">
        <v>8.8000000000000007</v>
      </c>
      <c r="AC11" s="69">
        <v>13.4</v>
      </c>
      <c r="AD11" s="69">
        <v>15.07</v>
      </c>
      <c r="AE11" s="69">
        <v>0.1</v>
      </c>
      <c r="AF11" s="69"/>
      <c r="AG11" s="69"/>
      <c r="AH11" s="69"/>
      <c r="AI11" s="69"/>
      <c r="AJ11" s="69"/>
      <c r="AK11" s="69">
        <v>14.6</v>
      </c>
      <c r="AL11" s="69">
        <v>9.1999999999999993</v>
      </c>
      <c r="AM11" s="69">
        <v>15.6</v>
      </c>
      <c r="AN11" s="69">
        <v>15.41</v>
      </c>
      <c r="AO11" s="69">
        <v>0</v>
      </c>
      <c r="AP11" s="80"/>
      <c r="AQ11" s="11">
        <f>IF(SUM(V11:Y11)-Z11&gt;0,SUM(V11:Y11)-Z11,"")</f>
        <v>49.3</v>
      </c>
      <c r="AR11" s="11">
        <f>IF(AC11&gt;0,AC11,"")</f>
        <v>13.4</v>
      </c>
      <c r="AS11" s="11">
        <f>IF(SUM(AA11:AD11)-AE11&gt;0,SUM(AA11:AD11)-AE11,"")</f>
        <v>51.269999999999996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100.57</v>
      </c>
      <c r="AW11" s="11">
        <f>IF(AM11&gt;0,AM11,"")</f>
        <v>15.6</v>
      </c>
      <c r="AX11" s="11">
        <f>IF(SUM(AK11:AN11)-AO11&gt;0,SUM(AK11:AN11)-AO11,"")</f>
        <v>54.81</v>
      </c>
      <c r="AY11" s="11">
        <f>IF(SUM(AV11,AX11)&gt;0,SUM(AV11,AX11),"")</f>
        <v>155.38</v>
      </c>
      <c r="AZ11" s="63">
        <v>16.3</v>
      </c>
      <c r="BA11" s="63">
        <v>9.1</v>
      </c>
      <c r="BB11" s="63">
        <v>5.6</v>
      </c>
      <c r="BC11" s="63">
        <v>16.46</v>
      </c>
      <c r="BD11" s="63">
        <v>0</v>
      </c>
      <c r="BE11" s="63">
        <v>14.2</v>
      </c>
      <c r="BF11" s="63">
        <v>9.1999999999999993</v>
      </c>
      <c r="BG11" s="63">
        <v>16</v>
      </c>
      <c r="BH11" s="63">
        <v>15.84</v>
      </c>
      <c r="BI11" s="63">
        <v>0</v>
      </c>
      <c r="BJ11" s="63">
        <v>2.9</v>
      </c>
      <c r="BK11" s="63">
        <v>1.75</v>
      </c>
      <c r="BL11" s="63">
        <v>3.6</v>
      </c>
      <c r="BM11" s="63">
        <v>3.3149999999999999</v>
      </c>
      <c r="BN11" s="63">
        <v>0</v>
      </c>
      <c r="BO11" s="63">
        <v>2.8</v>
      </c>
      <c r="BP11" s="63">
        <v>1.7</v>
      </c>
      <c r="BQ11" s="63">
        <v>3.6</v>
      </c>
      <c r="BR11" s="63">
        <v>3.3650000000000002</v>
      </c>
      <c r="BS11" s="63">
        <v>0.2</v>
      </c>
      <c r="BT11" s="81"/>
      <c r="BU11" s="14">
        <f>IF(SUM(AZ11:BC11)-BD11&gt;0,SUM(AZ11:BC11)-BD11,"")</f>
        <v>47.46</v>
      </c>
      <c r="BV11" s="14">
        <f>IF(BG11&gt;0,BG11,"")</f>
        <v>16</v>
      </c>
      <c r="BW11" s="14">
        <f>IF(SUM(BE11:BH11)-BI11&gt;0,SUM(BE11:BH11)-BI11,"")</f>
        <v>55.239999999999995</v>
      </c>
      <c r="BX11" s="14">
        <f>IF(BL11&gt;0,BL11,"")</f>
        <v>3.6</v>
      </c>
      <c r="BY11" s="14">
        <f>IF(SUM(BJ11:BM11)-BN11&gt;0,SUM(BJ11:BM11)-BN11,"")</f>
        <v>11.565</v>
      </c>
      <c r="BZ11" s="14">
        <f>IF(BU11="",IF(MAX(BW11,BY11)&gt;0,MAX(BW11,BY11),""),MAX(BW11,BY11)+BU11)</f>
        <v>102.69999999999999</v>
      </c>
      <c r="CA11" s="14">
        <f>IF(BQ11&gt;0,BQ11,"")</f>
        <v>3.6</v>
      </c>
      <c r="CB11" s="14">
        <f>IF(SUM(BO11:BR11)-BS11&gt;0,SUM(BO11:BR11)-BS11,"")</f>
        <v>11.265000000000001</v>
      </c>
      <c r="CC11" s="14">
        <f>IF(SUM(BZ11,CB11)&gt;0,SUM(BZ11,CB11),"")</f>
        <v>113.96499999999999</v>
      </c>
      <c r="CD11" s="69">
        <v>17.899999999999999</v>
      </c>
      <c r="CE11" s="69">
        <v>9.5</v>
      </c>
      <c r="CF11" s="69">
        <v>5.4</v>
      </c>
      <c r="CG11" s="69">
        <v>16.920000000000002</v>
      </c>
      <c r="CH11" s="69">
        <v>0</v>
      </c>
      <c r="CI11" s="69">
        <v>5.7</v>
      </c>
      <c r="CJ11" s="69">
        <v>3.3</v>
      </c>
      <c r="CK11" s="69">
        <v>6.7</v>
      </c>
      <c r="CL11" s="69">
        <v>6.6849999999999996</v>
      </c>
      <c r="CM11" s="69">
        <v>0</v>
      </c>
      <c r="CN11" s="69">
        <v>13.8</v>
      </c>
      <c r="CO11" s="69">
        <v>8.8000000000000007</v>
      </c>
      <c r="CP11" s="69">
        <v>11</v>
      </c>
      <c r="CQ11" s="69">
        <v>15.94</v>
      </c>
      <c r="CR11" s="69">
        <v>2.5</v>
      </c>
      <c r="CS11" s="69">
        <v>13.4</v>
      </c>
      <c r="CT11" s="69">
        <v>9.6</v>
      </c>
      <c r="CU11" s="69">
        <v>15.6</v>
      </c>
      <c r="CV11" s="69">
        <v>15.725</v>
      </c>
      <c r="CW11" s="69">
        <v>0</v>
      </c>
      <c r="CX11" s="80"/>
      <c r="CY11" s="11">
        <f>IF(SUM(CD11:CG11)-CH11&gt;0,SUM(CD11:CG11)-CH11,"")</f>
        <v>49.72</v>
      </c>
      <c r="CZ11" s="11">
        <f>IF(CK11&gt;0,CK11,"")</f>
        <v>6.7</v>
      </c>
      <c r="DA11" s="11">
        <f>IF(SUM(CI11:CL11)-CM11&gt;0,SUM(CI11:CL11)-CM11,"")</f>
        <v>22.384999999999998</v>
      </c>
      <c r="DB11" s="11">
        <f>IF(CP11&gt;0,CP11,"")</f>
        <v>11</v>
      </c>
      <c r="DC11" s="11">
        <f>IF(SUM(CN11:CQ11)-CR11&gt;0,SUM(CN11:CQ11)-CR11,"")</f>
        <v>47.04</v>
      </c>
      <c r="DD11" s="11">
        <f>IF(CY11="",IF(MAX(DA11,DC11)&gt;0,MAX(DA11,DC11),""),MAX(DA11,DC11)+CY11)</f>
        <v>96.759999999999991</v>
      </c>
      <c r="DE11" s="11">
        <f>IF(CU11&gt;0,CU11,"")</f>
        <v>15.6</v>
      </c>
      <c r="DF11" s="11">
        <f>IF(SUM(CS11:CV11)-CW11&gt;0,SUM(CS11:CV11)-CW11,"")</f>
        <v>54.325000000000003</v>
      </c>
      <c r="DG11" s="11">
        <f>IF(SUM(DD11,DF11)&gt;0,SUM(DD11,DF11),"")</f>
        <v>151.08499999999998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17.100000000000001</v>
      </c>
      <c r="NQ11" s="69">
        <f>IF($CX11="P",CE11,(CE11+BA11)/2)</f>
        <v>9.3000000000000007</v>
      </c>
      <c r="NR11" s="69">
        <f>IF($CX11="P",CF11,(CF11+BB11)/2)</f>
        <v>5.5</v>
      </c>
      <c r="NS11" s="69">
        <f>IF($CX11="P",CG11,(CG11+BC11)/2)</f>
        <v>16.690000000000001</v>
      </c>
      <c r="NT11" s="69">
        <f>IF($CX11="P",CH11,(CH11+BD11)/2)</f>
        <v>0</v>
      </c>
      <c r="NU11" s="69">
        <f>IF($CX11="P",CI11,(CI11+BE11)/2)</f>
        <v>9.9499999999999993</v>
      </c>
      <c r="NV11" s="69">
        <f>IF($CX11="P",CJ11,(CJ11+BF11)/2)</f>
        <v>6.25</v>
      </c>
      <c r="NW11" s="69">
        <f>IF($CX11="P",CK11,(CK11+BG11)/2)</f>
        <v>11.35</v>
      </c>
      <c r="NX11" s="69">
        <f>IF($CX11="P",CL11,(CL11+BH11)/2)</f>
        <v>11.262499999999999</v>
      </c>
      <c r="NY11" s="69">
        <f>IF($CX11="P",CM11,(CM11+BI11)/2)</f>
        <v>0</v>
      </c>
      <c r="NZ11" s="69">
        <f>IF($CX11="P",CN11,(CN11+BJ11)/2)</f>
        <v>8.35</v>
      </c>
      <c r="OA11" s="69">
        <f>IF($CX11="P",CO11,(CO11+BK11)/2)</f>
        <v>5.2750000000000004</v>
      </c>
      <c r="OB11" s="69">
        <f>IF($CX11="P",CP11,(CP11+BL11)/2)</f>
        <v>7.3</v>
      </c>
      <c r="OC11" s="69">
        <f>IF($CX11="P",CQ11,(CQ11+BM11)/2)</f>
        <v>9.6274999999999995</v>
      </c>
      <c r="OD11" s="69">
        <f>IF($CX11="P",CR11,(CR11+BN11)/2)</f>
        <v>1.25</v>
      </c>
      <c r="OE11" s="69">
        <f>IF($CX11="P",CS11,(CS11+BO11)/2)</f>
        <v>8.1</v>
      </c>
      <c r="OF11" s="69">
        <f>IF($CX11="P",CT11,(CT11+BP11)/2)</f>
        <v>5.6499999999999995</v>
      </c>
      <c r="OG11" s="69">
        <f>IF($CX11="P",CU11,(CU11+BQ11)/2)</f>
        <v>9.6</v>
      </c>
      <c r="OH11" s="69">
        <f>IF($CX11="P",CV11,(CV11+BR11)/2)</f>
        <v>9.5449999999999999</v>
      </c>
      <c r="OI11" s="69">
        <f>IF($CX11="P",CW11,(CW11+BS11)/2)</f>
        <v>0.1</v>
      </c>
      <c r="OJ11" s="80" t="s">
        <v>88</v>
      </c>
      <c r="OK11" s="11">
        <f>IF(SUM(NP11:NS11)-NT11&gt;0,SUM(NP11:NS11)-NT11,"")</f>
        <v>48.59</v>
      </c>
      <c r="OL11" s="11">
        <f>IF(NW11&gt;0,NW11,"")</f>
        <v>11.35</v>
      </c>
      <c r="OM11" s="11">
        <f>IF(SUM(NU11:NX11)-NY11&gt;0,SUM(NU11:NX11)-NY11,"")</f>
        <v>38.8125</v>
      </c>
      <c r="ON11" s="11">
        <f>IF(OB11&gt;0,OB11,"")</f>
        <v>7.3</v>
      </c>
      <c r="OO11" s="11">
        <f>IF(SUM(NZ11:OC11)-OD11&gt;0,SUM(NZ11:OC11)-OD11,"")</f>
        <v>29.302500000000002</v>
      </c>
      <c r="OP11" s="11">
        <f>IF(OR(OK11&lt;&gt;"",OM11&lt;&gt;"",OO11&lt;&gt;""),OK11+MAX(OM11,OO11),"")</f>
        <v>87.402500000000003</v>
      </c>
      <c r="OQ11" s="11">
        <f>IF(OG11&gt;0,OG11,"")</f>
        <v>9.6</v>
      </c>
      <c r="OR11" s="11">
        <f t="shared" si="0"/>
        <v>32.795000000000002</v>
      </c>
      <c r="OS11" s="11">
        <f t="shared" si="1"/>
        <v>120.19750000000001</v>
      </c>
    </row>
    <row r="12" spans="1:409" x14ac:dyDescent="0.2">
      <c r="A12" s="5" t="str" cm="1">
        <f t="array" ref="A12">IF(AND(G12&lt;&gt;"",H12&lt;&gt;""),SUMPRODUCT((G$4:G$27&lt;&gt;"")*(H$4:H$27&lt;&gt;"")*(E$4:E$27&gt;E12))+1,IF(H12&lt;&gt;"",SUMPRODUCT((I$4:I$27="No DD")*(E$4:E$27&gt;E12))+1+SUMPRODUCT((G$4:G$27&lt;&gt;"")*(H$4:H$27&lt;&gt;"")),""))</f>
        <v/>
      </c>
      <c r="B12" s="6" t="s">
        <v>113</v>
      </c>
      <c r="C12" s="7" t="s">
        <v>5</v>
      </c>
      <c r="D12" s="27">
        <v>1991</v>
      </c>
      <c r="E12" s="15">
        <f>SUM(K12:S12)</f>
        <v>258.18499999999995</v>
      </c>
      <c r="F12" s="3" t="str">
        <f>IF(G12&lt;&gt;"","P","")</f>
        <v>P</v>
      </c>
      <c r="G12" s="125" t="str">
        <f>IF(OR(AND(AR12&gt;=AY$32,AR12&lt;&gt;"",AP12=""),AND(AT12&gt;=AY$32,AT12&lt;&gt;"",AP12=""),AND(AW12&gt;=AY$32,AW12&lt;&gt;"",AP12=""),AND(BV12&gt;=CC$32,BV12&lt;&gt;"",BT12=""),AND(BX12&gt;=CC$32,BX12&lt;&gt;"",BT12=""),AND(CA12&gt;=CC$32,CA12&lt;&gt;"",BT12=""),AND(CZ12&gt;=DG$32,CZ12&lt;&gt;"",CX12=""),AND(DB12&gt;=DG$32,DB12&lt;&gt;"",CX12=""),AND(DE12&gt;=DG$32,DE12&lt;&gt;"",CX12=""),AND(EA12&gt;=EG$32,EA12&lt;&gt;""),AND(EE12&gt;=EG$32,EE12&lt;&gt;""),AND(EW12&gt;=FC$32,EW12&lt;&gt;""),AND(FA12&gt;=FC$32,FA12&lt;&gt;""),AND(FS12&gt;=FY$32,FS12&lt;&gt;""),AND(FW12&gt;=FY$32,FW12&lt;&gt;""),AND(GO12&gt;=GU$32,GO12&lt;&gt;""),AND(GS12&gt;=GU$32,GS12&lt;&gt;""),AND(HK12&gt;=HQ$32,HK12&lt;&gt;""),AND(HO12&gt;=HQ$32,HO12&lt;&gt;""),AND(IG12&gt;=IM$32,IG12&lt;&gt;""),AND(IK12&gt;=IM$32,IK12&lt;&gt;""),AND(JC12&gt;=JI$32,JC12&lt;&gt;""),AND(JG12&gt;=JI$32,JG12&lt;&gt;""),AND(JY12&gt;=KE$32,JY12&lt;&gt;""),AND(KC12&gt;=KE$32,KC12&lt;&gt;""),AND(KU12&gt;=LA$32,KU12&lt;&gt;""),AND(KY12&gt;=LA$32,KY12&lt;&gt;""),AND(LQ12&gt;=LW$32,LQ12&lt;&gt;""),AND(LU12&gt;=LW$32,LU12&lt;&gt;""),AND(MM12&gt;=MS$32,MM12&lt;&gt;""),AND(MQ12&gt;=MS$32,MQ12&lt;&gt;""),AND(NI12&gt;=NO$32,NI12&lt;&gt;""),AND(NM12&gt;=NO$32,NM12&lt;&gt;"")),"Merit",IF(OR(AND(AR12&gt;=AY$31,AR12&lt;&gt;"",AP12=""),AND(AT12&gt;=AY$31,AT12&lt;&gt;"",AP12=""),AND(AW12&gt;=AY$31,AW12&lt;&gt;"",AP12=""),AND(BV12&gt;=CC$31,BV12&lt;&gt;"",BT12=""),AND(BX12&gt;=CC$31,BX12&lt;&gt;"",BT12=""),AND(CA12&gt;=CC$31,CA12&lt;&gt;"",BT12=""),AND(CZ12&gt;=DG$31,CZ12&lt;&gt;"",CX12=""),AND(DB12&gt;=DG$31,DB12&lt;&gt;"",CX12=""),AND(DE12&gt;=DG$31,DE12&lt;&gt;"",CX12=""),AND(EA12&gt;=EG$31,EA12&lt;&gt;""),AND(EE12&gt;=EG$31,EE12&lt;&gt;""),AND(EW12&gt;=FC$31,EW12&lt;&gt;""),AND(FA12&gt;=FC$31,FA12&lt;&gt;""),AND(FS12&gt;=FY$31,FS12&lt;&gt;""),AND(FW12&gt;=FY$31,FW12&lt;&gt;""),AND(GO12&gt;=GU$31,GO12&lt;&gt;""),AND(GS12&gt;=GU$31,GS12&lt;&gt;""),AND(HK12&gt;=HQ$31,HK12&lt;&gt;""),AND(HO12&gt;=HQ$31,HO12&lt;&gt;""),AND(IG12&gt;=IM$31,IG12&lt;&gt;""),AND(IK12&gt;=IM$31,IK12&lt;&gt;""),AND(JC12&gt;=JI$31,JC12&lt;&gt;""),AND(JG12&gt;=JI$31,JG12&lt;&gt;""),AND(JY12&gt;=KE$31,JY12&lt;&gt;""),AND(KC12&gt;=KE$31,KC12&lt;&gt;""),AND(KU12&gt;=LA$31,KU12&lt;&gt;""),AND(KY12&gt;=LA$31,KY12&lt;&gt;""),AND(LQ12&gt;=LW$31,LQ12&lt;&gt;""),AND(LU12&gt;=LW$31,LU12&lt;&gt;""),AND(MM12&gt;=MS$31,MM12&lt;&gt;""),AND(MQ12&gt;=MS$31,MQ12&lt;&gt;""),AND(NI12&gt;=NO$31,NI12&lt;&gt;""),AND(NM12&gt;=NO$31,NM12&lt;&gt;"")),"Excellence",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Worlds Team",IF(OR(AND(AR12&gt;=AY$29,AR12&lt;&gt;"",AP12=""),AND(AT12&gt;=AY$29,AT12&lt;&gt;"",AP12=""),AND(AW12&gt;=AY$29,AW12&lt;&gt;"",AP12=""),AND(BV12&gt;=CC$29,BV12&lt;&gt;"",BT12=""),AND(BX12&gt;=CC$29,BX12&lt;&gt;"",BT12=""),AND(CA12&gt;=CC$29,CA12&lt;&gt;"",BT12=""),AND(CZ12&gt;=DG$29,CZ12&lt;&gt;"",CX12=""),AND(DB12&gt;=DG$29,DB12&lt;&gt;"",CX12=""),AND(DE12&gt;=DG$29,DE12&lt;&gt;"",CX12=""),AND(EA12&gt;=EG$29,EA12&lt;&gt;""),AND(EE12&gt;=EG$29,EE12&lt;&gt;""),AND(EW12&gt;=FC$29,EW12&lt;&gt;""),AND(FA12&gt;=FC$29,FA12&lt;&gt;""),AND(FS12&gt;=FY$29,FS12&lt;&gt;""),AND(FW12&gt;=FY$29,FW12&lt;&gt;""),AND(GO12&gt;=GU$29,GO12&lt;&gt;""),AND(GS12&gt;=GU$29,GS12&lt;&gt;""),AND(HK12&gt;=HQ$29,HK12&lt;&gt;""),AND(HO12&gt;=HQ$29,HO12&lt;&gt;""),AND(IG12&gt;=IM$29,IG12&lt;&gt;""),AND(IK12&gt;=IM$29,IK12&lt;&gt;""),AND(JC12&gt;=JI$29,JC12&lt;&gt;""),AND(JG12&gt;=JI$29,JG12&lt;&gt;""),AND(JY12&gt;=KE$29,JY12&lt;&gt;""),AND(KC12&gt;=KE$29,KC12&lt;&gt;""),AND(KU12&gt;=LA$29,KU12&lt;&gt;""),AND(KY12&gt;=LA$29,KY12&lt;&gt;""),AND(LQ12&gt;=LW$29,LQ12&lt;&gt;""),AND(LU12&gt;=LW$29,LU12&lt;&gt;""),AND(MM12&gt;=MS$29,MM12&lt;&gt;""),AND(MQ12&gt;=MS$29,MQ12&lt;&gt;""),AND(NI12&gt;=NO$29,NI12&lt;&gt;""),AND(NM12&gt;=NO$29,NM12&lt;&gt;"")),"National Team",""))))</f>
        <v>National Team</v>
      </c>
      <c r="H12" s="125" t="str">
        <f>IF(OR(AND(AS12&gt;=AY$36,AS12&lt;&gt;"",AP12=""),AND(AU12&gt;=AY$36,AU12&lt;&gt;"",AP12=""),AND(AX12&gt;=AY$36,AX12&lt;&gt;"",AP12=""),AND(BW12&gt;=CC$36,BW12&lt;&gt;"",BT12=""),AND(BY12&gt;=CC$36,BY12&lt;&gt;"",BT12=""),AND(CB12&gt;=CC$36,CB12&lt;&gt;"",BT12=""),AND(DA12&gt;=DG$36,DA12&lt;&gt;"",CX12=""),AND(DC12&gt;=DG$36,DC12&lt;&gt;"",CX12=""),AND(DF12&gt;=DG$36,DF12&lt;&gt;"",CX12=""),AND(EC12&gt;=EG$36,EC12&lt;&gt;""),AND(EF12&gt;=EG$36,EF12&lt;&gt;""),AND(EY12&gt;=FC$36,EY12&lt;&gt;""),AND(FB12&gt;=FC$36,FB12&lt;&gt;""),AND(FU12&gt;=FY$36,FU12&lt;&gt;""),AND(FX12&gt;=FY$36,FX12&lt;&gt;""),AND(GQ12&gt;=GU$36,GQ12&lt;&gt;""),AND(GT12&gt;=GU$36,GT12&lt;&gt;""),AND(HM12&gt;=HQ$36,HM12&lt;&gt;""),AND(HP12&gt;=HQ$36,HP12&lt;&gt;""),AND(II12&gt;=IM$36,II12&lt;&gt;""),AND(IL12&gt;=IM$36,IL12&lt;&gt;""),AND(JE12&gt;=JI$36,JE12&lt;&gt;""),AND(JH12&gt;=JI$36,JH12&lt;&gt;""),AND(KA12&gt;=KE$36,KA12&lt;&gt;""),AND(KD12&gt;=KE$36,KD12&lt;&gt;""),AND(KW12&gt;=LA$36,KW12&lt;&gt;""),AND(KZ12&gt;=LA$36,KZ12&lt;&gt;""),AND(LS12&gt;=LW$36,LS12&lt;&gt;""),AND(LV12&gt;=LW$36,LV12&lt;&gt;""),AND(MO12&gt;=MS$36,MO12&lt;&gt;""),AND(MR12&gt;=MS$36,MR12&lt;&gt;""),AND(NK12&gt;=NO$36,NK12&lt;&gt;""),AND(NN12&gt;=NO$36,NN12&lt;&gt;"")),"Merit",IF(OR(AND(AS12&gt;=AY$35,AS12&lt;&gt;"",AP12=""),AND(AU12&gt;=AY$35,AU12&lt;&gt;"",AP12=""),AND(AX12&gt;=AY$35,AX12&lt;&gt;"",AP12=""),AND(BW12&gt;=CC$35,BW12&lt;&gt;"",BT12=""),AND(BY12&gt;=CC$35,BY12&lt;&gt;"",BT12=""),AND(CB12&gt;=CC$35,CB12&lt;&gt;"",BT12=""),AND(DA12&gt;=DG$35,DA12&lt;&gt;"",CX12=""),AND(DC12&gt;=DG$35,DC12&lt;&gt;"",CX12=""),AND(DF12&gt;=DG$35,DF12&lt;&gt;"",CX12=""),AND(EC12&gt;=EG$35,EC12&lt;&gt;""),AND(EF12&gt;=EG$35,EF12&lt;&gt;""),AND(EY12&gt;=FC$35,EY12&lt;&gt;""),AND(FB12&gt;=FC$35,FB12&lt;&gt;""),AND(FU12&gt;=FY$35,FU12&lt;&gt;""),AND(FX12&gt;=FY$35,FX12&lt;&gt;""),AND(GQ12&gt;=GU$35,GQ12&lt;&gt;""),AND(GT12&gt;=GU$35,GT12&lt;&gt;""),AND(HM12&gt;=HQ$35,HM12&lt;&gt;""),AND(HP12&gt;=HQ$35,HP12&lt;&gt;""),AND(II12&gt;=IM$35,II12&lt;&gt;""),AND(IL12&gt;=IM$35,IL12&lt;&gt;""),AND(JE12&gt;=JI$35,JE12&lt;&gt;""),AND(JH12&gt;=JI$35,JH12&lt;&gt;""),AND(KA12&gt;=KE$35,KA12&lt;&gt;""),AND(KD12&gt;=KE$35,KD12&lt;&gt;""),AND(KW12&gt;=LA$35,KW12&lt;&gt;""),AND(KZ12&gt;=LA$35,KZ12&lt;&gt;""),AND(LS12&gt;=LW$35,LS12&lt;&gt;""),AND(LV12&gt;=LW$35,LV12&lt;&gt;""),AND(MO12&gt;=MS$35,MO12&lt;&gt;""),AND(MR12&gt;=MS$35,MR12&lt;&gt;""),AND(NK12&gt;=NO$35,NK12&lt;&gt;""),AND(NN12&gt;=NO$35,NN12&lt;&gt;"")),"Excellence",IF(OR(AND(AV12&gt;=AY$34,AV12&lt;&gt;"",AP12=""),AND(BZ12&gt;=CC$34,BZ12&lt;&gt;"",BT12=""),AND(DD12&gt;=DG$34,DD12&lt;&gt;"",CX12=""),AND(ED12&gt;=EG$34,ED12&lt;&gt;""),AND(EZ12&gt;=FC$34,EZ12&lt;&gt;""),AND(FV12&gt;=FY$34,FV12&lt;&gt;""),AND(GR12&gt;=GU$34,GR12&lt;&gt;""),AND(HN12&gt;=HQ$34,HN12&lt;&gt;""),AND(IJ12&gt;=IM$34,IJ12&lt;&gt;""),AND(JF12&gt;=JI$34,JF12&lt;&gt;""),AND(KB12&gt;=KE$34,KB12&lt;&gt;""),AND(KX12&gt;=LA$34,KX12&lt;&gt;""),AND(LT12&gt;=LW$34,LT12&lt;&gt;""),AND(MP12&gt;=MS$34,MP12&lt;&gt;""),AND(NL12&gt;=NO$34,NL12&lt;&gt;"")),"Worlds Team",IF(OR(AND(AV12&gt;=AY$33,AV12&lt;&gt;"",AP12=""),AND(BZ12&gt;=CC$33,BZ12&lt;&gt;"",BT12=""),AND(DD12&gt;=DG$33,DD12&lt;&gt;"",CX12=""),AND(ED12&gt;=EG$33,ED12&lt;&gt;""),AND(EZ12&gt;=FC$33,EZ12&lt;&gt;""),AND(FV12&gt;=FY$33,FV12&lt;&gt;""),AND(GR12&gt;=GU$33,GR12&lt;&gt;""),AND(HN12&gt;=HQ$33,HN12&lt;&gt;""),AND(IJ12&gt;=IM$33,IJ12&lt;&gt;""),AND(JF12&gt;=JI$33,JF12&lt;&gt;""),AND(KB12&gt;=KE$33,KB12&lt;&gt;""),AND(KX12&gt;=LA$33,KX12&lt;&gt;""),AND(LT12&gt;=LW$33,LT12&lt;&gt;""),AND(MP12&gt;=MS$33,MP12&lt;&gt;""),AND(NL12&gt;=NO$33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$34,AV12&lt;&gt;"",AP12=""),AND(BZ12&gt;=CC$34,BZ12&lt;&gt;"",BT12=""),AND(DD12&gt;=DG$34,DD12&lt;&gt;"",CX12=""),AND(ED12&gt;=EG$34,ED12&lt;&gt;""),AND(EZ12&gt;=FC$34,EZ12&lt;&gt;""),AND(FV12&gt;=FY$34,FV12&lt;&gt;""),AND(GR12&gt;=GU$34,GR12&lt;&gt;""),AND(HN12&gt;=HQ$34,HN12&lt;&gt;""),AND(IJ12&gt;=IM$34,IJ12&lt;&gt;""),AND(JF12&gt;=JI$34,JF12&lt;&gt;""),AND(KB12&gt;=KE$34,KB12&lt;&gt;""),AND(KX12&gt;=LA$34,KX12&lt;&gt;""),AND(LT12&gt;=LW$34,LT12&lt;&gt;""),AND(MP12&gt;=MS$34,MP12&lt;&gt;""),AND(NL12&gt;=NO$34,NL12&lt;&gt;"")),OR(G12="Worlds Team",G12="Excellence",G12="Merit")),"P","")</f>
        <v/>
      </c>
      <c r="K12" s="14">
        <f>IF(MAX(AV12,BZ12,DD12)&gt;0,MAX(AV12,BZ12,DD12),0)</f>
        <v>101.50999999999999</v>
      </c>
      <c r="L12" s="14" t="str">
        <f>IF(K12=0,"",IF(K12=DD12,$CD$1,IF(K12=BZ12,$AZ$1,IF(K12=AV12,$V$1,""))))</f>
        <v>2021 2nd Virtual Technical Trial</v>
      </c>
      <c r="M12" s="14">
        <f>IF($K12=$AV12,MAX(BU12,CY12),IF($K12=$BZ12,MAX(AQ12,CY12),IF($K12=$DD12,MAX(AQ12,BU12),MAX(AQ12,BU12,CY12))))</f>
        <v>47.644999999999996</v>
      </c>
      <c r="N12" s="14" t="str">
        <f>IF(M12=0,"",IF(AND(M12=CY12,$L12&lt;&gt;$CD$1),$CD$1,IF(AND(M12=BU12,$L12&lt;&gt;$AZ$1),$AZ$1,IF(AND(M12=AQ12,$L12&lt;&gt;$V$1),$V$1,""))))</f>
        <v>2021 1st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53.599999999999994</v>
      </c>
      <c r="P12" s="14" t="str">
        <f>IF(O12=0,"",IF(OR(O12=DC12,O12=DA12),$CD$1,IF(OR(O12=BY12,O12=BW12),$AZ$1,IF(OR(O12=AU12,O12=AS12),$V$1,""))))</f>
        <v>2021 1st Virtual Technical Trial</v>
      </c>
      <c r="Q12" s="14">
        <f>MAX(AX12,CB12,DF12)</f>
        <v>55.43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15.5</v>
      </c>
      <c r="W12" s="69">
        <v>8.6999999999999993</v>
      </c>
      <c r="X12" s="69">
        <v>5.2</v>
      </c>
      <c r="Y12" s="69">
        <v>16.704999999999998</v>
      </c>
      <c r="Z12" s="69">
        <v>0</v>
      </c>
      <c r="AA12" s="69">
        <v>13.8</v>
      </c>
      <c r="AB12" s="69">
        <v>8.5</v>
      </c>
      <c r="AC12" s="69">
        <v>14.4</v>
      </c>
      <c r="AD12" s="69">
        <v>16.024999999999999</v>
      </c>
      <c r="AE12" s="69">
        <v>0</v>
      </c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80"/>
      <c r="AQ12" s="11">
        <f>IF(SUM(V12:Y12)-Z12&gt;0,SUM(V12:Y12)-Z12,"")</f>
        <v>46.104999999999997</v>
      </c>
      <c r="AR12" s="11">
        <f>IF(AC12&gt;0,AC12,"")</f>
        <v>14.4</v>
      </c>
      <c r="AS12" s="11">
        <f>IF(SUM(AA12:AD12)-AE12&gt;0,SUM(AA12:AD12)-AE12,"")</f>
        <v>52.725000000000001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98.83</v>
      </c>
      <c r="AW12" s="11" t="str">
        <f>IF(AM12&gt;0,AM12,"")</f>
        <v/>
      </c>
      <c r="AX12" s="11" t="str">
        <f>IF(SUM(AK12:AN12)-AO12&gt;0,SUM(AK12:AN12)-AO12,"")</f>
        <v/>
      </c>
      <c r="AY12" s="11">
        <f>IF(SUM(AV12,AX12)&gt;0,SUM(AV12,AX12),"")</f>
        <v>98.83</v>
      </c>
      <c r="AZ12" s="75">
        <v>16.2</v>
      </c>
      <c r="BA12" s="75">
        <v>8.75</v>
      </c>
      <c r="BB12" s="75">
        <v>5.2</v>
      </c>
      <c r="BC12" s="75">
        <v>17.495000000000001</v>
      </c>
      <c r="BD12" s="75">
        <v>0</v>
      </c>
      <c r="BE12" s="75">
        <v>13.44</v>
      </c>
      <c r="BF12" s="75">
        <v>9</v>
      </c>
      <c r="BG12" s="75">
        <v>14.4</v>
      </c>
      <c r="BH12" s="75">
        <v>16.760000000000002</v>
      </c>
      <c r="BI12" s="75">
        <v>0</v>
      </c>
      <c r="BJ12" s="75">
        <v>3.8</v>
      </c>
      <c r="BK12" s="75">
        <v>2.65</v>
      </c>
      <c r="BL12" s="75">
        <v>3.8</v>
      </c>
      <c r="BM12" s="75">
        <v>5.4</v>
      </c>
      <c r="BN12" s="75">
        <v>0</v>
      </c>
      <c r="BO12" s="75">
        <v>12.4</v>
      </c>
      <c r="BP12" s="75">
        <v>9.25</v>
      </c>
      <c r="BQ12" s="75">
        <v>12.9</v>
      </c>
      <c r="BR12" s="75">
        <v>16.64</v>
      </c>
      <c r="BS12" s="75">
        <v>0.6</v>
      </c>
      <c r="BT12" s="81"/>
      <c r="BU12" s="14">
        <f>IF(SUM(AZ12:BC12)-BD12&gt;0,SUM(AZ12:BC12)-BD12,"")</f>
        <v>47.644999999999996</v>
      </c>
      <c r="BV12" s="14">
        <f>IF(BG12&gt;0,BG12,"")</f>
        <v>14.4</v>
      </c>
      <c r="BW12" s="14">
        <f>IF(SUM(BE12:BH12)-BI12&gt;0,SUM(BE12:BH12)-BI12,"")</f>
        <v>53.599999999999994</v>
      </c>
      <c r="BX12" s="14">
        <f>IF(BL12&gt;0,BL12,"")</f>
        <v>3.8</v>
      </c>
      <c r="BY12" s="14">
        <f>IF(SUM(BJ12:BM12)-BN12&gt;0,SUM(BJ12:BM12)-BN12,"")</f>
        <v>15.65</v>
      </c>
      <c r="BZ12" s="14">
        <f>IF(BU12="",IF(MAX(BW12,BY12)&gt;0,MAX(BW12,BY12),""),MAX(BW12,BY12)+BU12)</f>
        <v>101.24499999999999</v>
      </c>
      <c r="CA12" s="14">
        <f>IF(BQ12&gt;0,BQ12,"")</f>
        <v>12.9</v>
      </c>
      <c r="CB12" s="14">
        <f>IF(SUM(BO12:BR12)-BS12&gt;0,SUM(BO12:BR12)-BS12,"")</f>
        <v>50.589999999999996</v>
      </c>
      <c r="CC12" s="14">
        <f>IF(SUM(BZ12,CB12)&gt;0,SUM(BZ12,CB12),"")</f>
        <v>151.83499999999998</v>
      </c>
      <c r="CD12" s="69">
        <v>15.9</v>
      </c>
      <c r="CE12" s="69">
        <v>8.9</v>
      </c>
      <c r="CF12" s="69">
        <v>5.2</v>
      </c>
      <c r="CG12" s="69">
        <v>17.68</v>
      </c>
      <c r="CH12" s="69">
        <v>0</v>
      </c>
      <c r="CI12" s="69">
        <v>7.2</v>
      </c>
      <c r="CJ12" s="69">
        <v>4.5</v>
      </c>
      <c r="CK12" s="69">
        <v>6.8</v>
      </c>
      <c r="CL12" s="69">
        <v>8.76</v>
      </c>
      <c r="CM12" s="69">
        <v>0</v>
      </c>
      <c r="CN12" s="69">
        <v>13.3</v>
      </c>
      <c r="CO12" s="69">
        <v>9.1999999999999993</v>
      </c>
      <c r="CP12" s="69">
        <v>14.4</v>
      </c>
      <c r="CQ12" s="69">
        <v>16.93</v>
      </c>
      <c r="CR12" s="69">
        <v>0</v>
      </c>
      <c r="CS12" s="69">
        <v>14.9</v>
      </c>
      <c r="CT12" s="69">
        <v>9.1</v>
      </c>
      <c r="CU12" s="69">
        <v>14.4</v>
      </c>
      <c r="CV12" s="69">
        <v>17.03</v>
      </c>
      <c r="CW12" s="69">
        <v>0</v>
      </c>
      <c r="CX12" s="80"/>
      <c r="CY12" s="11">
        <f>IF(SUM(CD12:CG12)-CH12&gt;0,SUM(CD12:CG12)-CH12,"")</f>
        <v>47.68</v>
      </c>
      <c r="CZ12" s="11">
        <f>IF(CK12&gt;0,CK12,"")</f>
        <v>6.8</v>
      </c>
      <c r="DA12" s="11">
        <f>IF(SUM(CI12:CL12)-CM12&gt;0,SUM(CI12:CL12)-CM12,"")</f>
        <v>27.259999999999998</v>
      </c>
      <c r="DB12" s="11">
        <f>IF(CP12&gt;0,CP12,"")</f>
        <v>14.4</v>
      </c>
      <c r="DC12" s="11">
        <f>IF(SUM(CN12:CQ12)-CR12&gt;0,SUM(CN12:CQ12)-CR12,"")</f>
        <v>53.83</v>
      </c>
      <c r="DD12" s="11">
        <f>IF(CY12="",IF(MAX(DA12,DC12)&gt;0,MAX(DA12,DC12),""),MAX(DA12,DC12)+CY12)</f>
        <v>101.50999999999999</v>
      </c>
      <c r="DE12" s="11">
        <f>IF(CU12&gt;0,CU12,"")</f>
        <v>14.4</v>
      </c>
      <c r="DF12" s="11">
        <f>IF(SUM(CS12:CV12)-CW12&gt;0,SUM(CS12:CV12)-CW12,"")</f>
        <v>55.43</v>
      </c>
      <c r="DG12" s="11">
        <f>IF(SUM(DD12,DF12)&gt;0,SUM(DD12,DF12),"")</f>
        <v>156.94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16.05</v>
      </c>
      <c r="NQ12" s="69">
        <f>IF($CX12="P",CE12,(CE12+BA12)/2)</f>
        <v>8.8249999999999993</v>
      </c>
      <c r="NR12" s="69">
        <f>IF($CX12="P",CF12,(CF12+BB12)/2)</f>
        <v>5.2</v>
      </c>
      <c r="NS12" s="69">
        <f>IF($CX12="P",CG12,(CG12+BC12)/2)</f>
        <v>17.587499999999999</v>
      </c>
      <c r="NT12" s="69">
        <f>IF($CX12="P",CH12,(CH12+BD12)/2)</f>
        <v>0</v>
      </c>
      <c r="NU12" s="69">
        <f>IF($CX12="P",CI12,(CI12+BE12)/2)</f>
        <v>10.32</v>
      </c>
      <c r="NV12" s="69">
        <f>IF($CX12="P",CJ12,(CJ12+BF12)/2)</f>
        <v>6.75</v>
      </c>
      <c r="NW12" s="69">
        <f>IF($CX12="P",CK12,(CK12+BG12)/2)</f>
        <v>10.6</v>
      </c>
      <c r="NX12" s="69">
        <f>IF($CX12="P",CL12,(CL12+BH12)/2)</f>
        <v>12.760000000000002</v>
      </c>
      <c r="NY12" s="69">
        <f>IF($CX12="P",CM12,(CM12+BI12)/2)</f>
        <v>0</v>
      </c>
      <c r="NZ12" s="69">
        <f>IF($CX12="P",CN12,(CN12+BJ12)/2)</f>
        <v>8.5500000000000007</v>
      </c>
      <c r="OA12" s="69">
        <f>IF($CX12="P",CO12,(CO12+BK12)/2)</f>
        <v>5.9249999999999998</v>
      </c>
      <c r="OB12" s="69">
        <f>IF($CX12="P",CP12,(CP12+BL12)/2)</f>
        <v>9.1</v>
      </c>
      <c r="OC12" s="69">
        <f>IF($CX12="P",CQ12,(CQ12+BM12)/2)</f>
        <v>11.164999999999999</v>
      </c>
      <c r="OD12" s="69">
        <f>IF($CX12="P",CR12,(CR12+BN12)/2)</f>
        <v>0</v>
      </c>
      <c r="OE12" s="69">
        <f>IF($CX12="P",CS12,(CS12+BO12)/2)</f>
        <v>13.65</v>
      </c>
      <c r="OF12" s="69">
        <f>IF($CX12="P",CT12,(CT12+BP12)/2)</f>
        <v>9.1750000000000007</v>
      </c>
      <c r="OG12" s="69">
        <f>IF($CX12="P",CU12,(CU12+BQ12)/2)</f>
        <v>13.65</v>
      </c>
      <c r="OH12" s="69">
        <f>IF($CX12="P",CV12,(CV12+BR12)/2)</f>
        <v>16.835000000000001</v>
      </c>
      <c r="OI12" s="69">
        <f>IF($CX12="P",CW12,(CW12+BS12)/2)</f>
        <v>0.3</v>
      </c>
      <c r="OJ12" s="80" t="s">
        <v>88</v>
      </c>
      <c r="OK12" s="11">
        <f>IF(SUM(NP12:NS12)-NT12&gt;0,SUM(NP12:NS12)-NT12,"")</f>
        <v>47.662499999999994</v>
      </c>
      <c r="OL12" s="11">
        <f>IF(NW12&gt;0,NW12,"")</f>
        <v>10.6</v>
      </c>
      <c r="OM12" s="11">
        <f>IF(SUM(NU12:NX12)-NY12&gt;0,SUM(NU12:NX12)-NY12,"")</f>
        <v>40.430000000000007</v>
      </c>
      <c r="ON12" s="11">
        <f>IF(OB12&gt;0,OB12,"")</f>
        <v>9.1</v>
      </c>
      <c r="OO12" s="11">
        <f>IF(SUM(NZ12:OC12)-OD12&gt;0,SUM(NZ12:OC12)-OD12,"")</f>
        <v>34.74</v>
      </c>
      <c r="OP12" s="11">
        <f>IF(OR(OK12&lt;&gt;"",OM12&lt;&gt;"",OO12&lt;&gt;""),OK12+MAX(OM12,OO12),"")</f>
        <v>88.092500000000001</v>
      </c>
      <c r="OQ12" s="11">
        <f>IF(OG12&gt;0,OG12,"")</f>
        <v>13.65</v>
      </c>
      <c r="OR12" s="11">
        <f t="shared" si="0"/>
        <v>53.010000000000005</v>
      </c>
      <c r="OS12" s="11">
        <f t="shared" si="1"/>
        <v>141.10250000000002</v>
      </c>
    </row>
    <row r="13" spans="1:409" x14ac:dyDescent="0.2">
      <c r="A13" s="5" t="str" cm="1">
        <f t="array" ref="A13">IF(AND(G13&lt;&gt;"",H13&lt;&gt;""),SUMPRODUCT((G$4:G$27&lt;&gt;"")*(H$4:H$27&lt;&gt;"")*(E$4:E$27&gt;E13))+1,IF(H13&lt;&gt;"",SUMPRODUCT((I$4:I$27="No DD")*(E$4:E$27&gt;E13))+1+SUMPRODUCT((G$4:G$27&lt;&gt;"")*(H$4:H$27&lt;&gt;"")),""))</f>
        <v/>
      </c>
      <c r="B13" s="6" t="s">
        <v>153</v>
      </c>
      <c r="C13" s="7" t="s">
        <v>152</v>
      </c>
      <c r="D13" s="27">
        <v>2001</v>
      </c>
      <c r="E13" s="15">
        <f>SUM(K13:S13)</f>
        <v>255.65999999999997</v>
      </c>
      <c r="F13" s="3" t="str">
        <f>IF(G13&lt;&gt;"","P","")</f>
        <v>P</v>
      </c>
      <c r="G13" s="125" t="str">
        <f>IF(OR(AND(AR13&gt;=AY$32,AR13&lt;&gt;"",AP13=""),AND(AT13&gt;=AY$32,AT13&lt;&gt;"",AP13=""),AND(AW13&gt;=AY$32,AW13&lt;&gt;"",AP13=""),AND(BV13&gt;=CC$32,BV13&lt;&gt;"",BT13=""),AND(BX13&gt;=CC$32,BX13&lt;&gt;"",BT13=""),AND(CA13&gt;=CC$32,CA13&lt;&gt;"",BT13=""),AND(CZ13&gt;=DG$32,CZ13&lt;&gt;"",CX13=""),AND(DB13&gt;=DG$32,DB13&lt;&gt;"",CX13=""),AND(DE13&gt;=DG$32,DE13&lt;&gt;"",CX13=""),AND(EA13&gt;=EG$32,EA13&lt;&gt;""),AND(EE13&gt;=EG$32,EE13&lt;&gt;""),AND(EW13&gt;=FC$32,EW13&lt;&gt;""),AND(FA13&gt;=FC$32,FA13&lt;&gt;""),AND(FS13&gt;=FY$32,FS13&lt;&gt;""),AND(FW13&gt;=FY$32,FW13&lt;&gt;""),AND(GO13&gt;=GU$32,GO13&lt;&gt;""),AND(GS13&gt;=GU$32,GS13&lt;&gt;""),AND(HK13&gt;=HQ$32,HK13&lt;&gt;""),AND(HO13&gt;=HQ$32,HO13&lt;&gt;""),AND(IG13&gt;=IM$32,IG13&lt;&gt;""),AND(IK13&gt;=IM$32,IK13&lt;&gt;""),AND(JC13&gt;=JI$32,JC13&lt;&gt;""),AND(JG13&gt;=JI$32,JG13&lt;&gt;""),AND(JY13&gt;=KE$32,JY13&lt;&gt;""),AND(KC13&gt;=KE$32,KC13&lt;&gt;""),AND(KU13&gt;=LA$32,KU13&lt;&gt;""),AND(KY13&gt;=LA$32,KY13&lt;&gt;""),AND(LQ13&gt;=LW$32,LQ13&lt;&gt;""),AND(LU13&gt;=LW$32,LU13&lt;&gt;""),AND(MM13&gt;=MS$32,MM13&lt;&gt;""),AND(MQ13&gt;=MS$32,MQ13&lt;&gt;""),AND(NI13&gt;=NO$32,NI13&lt;&gt;""),AND(NM13&gt;=NO$32,NM13&lt;&gt;"")),"Merit",IF(OR(AND(AR13&gt;=AY$31,AR13&lt;&gt;"",AP13=""),AND(AT13&gt;=AY$31,AT13&lt;&gt;"",AP13=""),AND(AW13&gt;=AY$31,AW13&lt;&gt;"",AP13=""),AND(BV13&gt;=CC$31,BV13&lt;&gt;"",BT13=""),AND(BX13&gt;=CC$31,BX13&lt;&gt;"",BT13=""),AND(CA13&gt;=CC$31,CA13&lt;&gt;"",BT13=""),AND(CZ13&gt;=DG$31,CZ13&lt;&gt;"",CX13=""),AND(DB13&gt;=DG$31,DB13&lt;&gt;"",CX13=""),AND(DE13&gt;=DG$31,DE13&lt;&gt;"",CX13=""),AND(EA13&gt;=EG$31,EA13&lt;&gt;""),AND(EE13&gt;=EG$31,EE13&lt;&gt;""),AND(EW13&gt;=FC$31,EW13&lt;&gt;""),AND(FA13&gt;=FC$31,FA13&lt;&gt;""),AND(FS13&gt;=FY$31,FS13&lt;&gt;""),AND(FW13&gt;=FY$31,FW13&lt;&gt;""),AND(GO13&gt;=GU$31,GO13&lt;&gt;""),AND(GS13&gt;=GU$31,GS13&lt;&gt;""),AND(HK13&gt;=HQ$31,HK13&lt;&gt;""),AND(HO13&gt;=HQ$31,HO13&lt;&gt;""),AND(IG13&gt;=IM$31,IG13&lt;&gt;""),AND(IK13&gt;=IM$31,IK13&lt;&gt;""),AND(JC13&gt;=JI$31,JC13&lt;&gt;""),AND(JG13&gt;=JI$31,JG13&lt;&gt;""),AND(JY13&gt;=KE$31,JY13&lt;&gt;""),AND(KC13&gt;=KE$31,KC13&lt;&gt;""),AND(KU13&gt;=LA$31,KU13&lt;&gt;""),AND(KY13&gt;=LA$31,KY13&lt;&gt;""),AND(LQ13&gt;=LW$31,LQ13&lt;&gt;""),AND(LU13&gt;=LW$31,LU13&lt;&gt;""),AND(MM13&gt;=MS$31,MM13&lt;&gt;""),AND(MQ13&gt;=MS$31,MQ13&lt;&gt;""),AND(NI13&gt;=NO$31,NI13&lt;&gt;""),AND(NM13&gt;=NO$31,NM13&lt;&gt;"")),"Excellence",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Worlds Team",IF(OR(AND(AR13&gt;=AY$29,AR13&lt;&gt;"",AP13=""),AND(AT13&gt;=AY$29,AT13&lt;&gt;"",AP13=""),AND(AW13&gt;=AY$29,AW13&lt;&gt;"",AP13=""),AND(BV13&gt;=CC$29,BV13&lt;&gt;"",BT13=""),AND(BX13&gt;=CC$29,BX13&lt;&gt;"",BT13=""),AND(CA13&gt;=CC$29,CA13&lt;&gt;"",BT13=""),AND(CZ13&gt;=DG$29,CZ13&lt;&gt;"",CX13=""),AND(DB13&gt;=DG$29,DB13&lt;&gt;"",CX13=""),AND(DE13&gt;=DG$29,DE13&lt;&gt;"",CX13=""),AND(EA13&gt;=EG$29,EA13&lt;&gt;""),AND(EE13&gt;=EG$29,EE13&lt;&gt;""),AND(EW13&gt;=FC$29,EW13&lt;&gt;""),AND(FA13&gt;=FC$29,FA13&lt;&gt;""),AND(FS13&gt;=FY$29,FS13&lt;&gt;""),AND(FW13&gt;=FY$29,FW13&lt;&gt;""),AND(GO13&gt;=GU$29,GO13&lt;&gt;""),AND(GS13&gt;=GU$29,GS13&lt;&gt;""),AND(HK13&gt;=HQ$29,HK13&lt;&gt;""),AND(HO13&gt;=HQ$29,HO13&lt;&gt;""),AND(IG13&gt;=IM$29,IG13&lt;&gt;""),AND(IK13&gt;=IM$29,IK13&lt;&gt;""),AND(JC13&gt;=JI$29,JC13&lt;&gt;""),AND(JG13&gt;=JI$29,JG13&lt;&gt;""),AND(JY13&gt;=KE$29,JY13&lt;&gt;""),AND(KC13&gt;=KE$29,KC13&lt;&gt;""),AND(KU13&gt;=LA$29,KU13&lt;&gt;""),AND(KY13&gt;=LA$29,KY13&lt;&gt;""),AND(LQ13&gt;=LW$29,LQ13&lt;&gt;""),AND(LU13&gt;=LW$29,LU13&lt;&gt;""),AND(MM13&gt;=MS$29,MM13&lt;&gt;""),AND(MQ13&gt;=MS$29,MQ13&lt;&gt;""),AND(NI13&gt;=NO$29,NI13&lt;&gt;""),AND(NM13&gt;=NO$29,NM13&lt;&gt;"")),"National Team",""))))</f>
        <v>National Team</v>
      </c>
      <c r="H13" s="125" t="str">
        <f>IF(OR(AND(AS13&gt;=AY$36,AS13&lt;&gt;"",AP13=""),AND(AU13&gt;=AY$36,AU13&lt;&gt;"",AP13=""),AND(AX13&gt;=AY$36,AX13&lt;&gt;"",AP13=""),AND(BW13&gt;=CC$36,BW13&lt;&gt;"",BT13=""),AND(BY13&gt;=CC$36,BY13&lt;&gt;"",BT13=""),AND(CB13&gt;=CC$36,CB13&lt;&gt;"",BT13=""),AND(DA13&gt;=DG$36,DA13&lt;&gt;"",CX13=""),AND(DC13&gt;=DG$36,DC13&lt;&gt;"",CX13=""),AND(DF13&gt;=DG$36,DF13&lt;&gt;"",CX13=""),AND(EC13&gt;=EG$36,EC13&lt;&gt;""),AND(EF13&gt;=EG$36,EF13&lt;&gt;""),AND(EY13&gt;=FC$36,EY13&lt;&gt;""),AND(FB13&gt;=FC$36,FB13&lt;&gt;""),AND(FU13&gt;=FY$36,FU13&lt;&gt;""),AND(FX13&gt;=FY$36,FX13&lt;&gt;""),AND(GQ13&gt;=GU$36,GQ13&lt;&gt;""),AND(GT13&gt;=GU$36,GT13&lt;&gt;""),AND(HM13&gt;=HQ$36,HM13&lt;&gt;""),AND(HP13&gt;=HQ$36,HP13&lt;&gt;""),AND(II13&gt;=IM$36,II13&lt;&gt;""),AND(IL13&gt;=IM$36,IL13&lt;&gt;""),AND(JE13&gt;=JI$36,JE13&lt;&gt;""),AND(JH13&gt;=JI$36,JH13&lt;&gt;""),AND(KA13&gt;=KE$36,KA13&lt;&gt;""),AND(KD13&gt;=KE$36,KD13&lt;&gt;""),AND(KW13&gt;=LA$36,KW13&lt;&gt;""),AND(KZ13&gt;=LA$36,KZ13&lt;&gt;""),AND(LS13&gt;=LW$36,LS13&lt;&gt;""),AND(LV13&gt;=LW$36,LV13&lt;&gt;""),AND(MO13&gt;=MS$36,MO13&lt;&gt;""),AND(MR13&gt;=MS$36,MR13&lt;&gt;""),AND(NK13&gt;=NO$36,NK13&lt;&gt;""),AND(NN13&gt;=NO$36,NN13&lt;&gt;"")),"Merit",IF(OR(AND(AS13&gt;=AY$35,AS13&lt;&gt;"",AP13=""),AND(AU13&gt;=AY$35,AU13&lt;&gt;"",AP13=""),AND(AX13&gt;=AY$35,AX13&lt;&gt;"",AP13=""),AND(BW13&gt;=CC$35,BW13&lt;&gt;"",BT13=""),AND(BY13&gt;=CC$35,BY13&lt;&gt;"",BT13=""),AND(CB13&gt;=CC$35,CB13&lt;&gt;"",BT13=""),AND(DA13&gt;=DG$35,DA13&lt;&gt;"",CX13=""),AND(DC13&gt;=DG$35,DC13&lt;&gt;"",CX13=""),AND(DF13&gt;=DG$35,DF13&lt;&gt;"",CX13=""),AND(EC13&gt;=EG$35,EC13&lt;&gt;""),AND(EF13&gt;=EG$35,EF13&lt;&gt;""),AND(EY13&gt;=FC$35,EY13&lt;&gt;""),AND(FB13&gt;=FC$35,FB13&lt;&gt;""),AND(FU13&gt;=FY$35,FU13&lt;&gt;""),AND(FX13&gt;=FY$35,FX13&lt;&gt;""),AND(GQ13&gt;=GU$35,GQ13&lt;&gt;""),AND(GT13&gt;=GU$35,GT13&lt;&gt;""),AND(HM13&gt;=HQ$35,HM13&lt;&gt;""),AND(HP13&gt;=HQ$35,HP13&lt;&gt;""),AND(II13&gt;=IM$35,II13&lt;&gt;""),AND(IL13&gt;=IM$35,IL13&lt;&gt;""),AND(JE13&gt;=JI$35,JE13&lt;&gt;""),AND(JH13&gt;=JI$35,JH13&lt;&gt;""),AND(KA13&gt;=KE$35,KA13&lt;&gt;""),AND(KD13&gt;=KE$35,KD13&lt;&gt;""),AND(KW13&gt;=LA$35,KW13&lt;&gt;""),AND(KZ13&gt;=LA$35,KZ13&lt;&gt;""),AND(LS13&gt;=LW$35,LS13&lt;&gt;""),AND(LV13&gt;=LW$35,LV13&lt;&gt;""),AND(MO13&gt;=MS$35,MO13&lt;&gt;""),AND(MR13&gt;=MS$35,MR13&lt;&gt;""),AND(NK13&gt;=NO$35,NK13&lt;&gt;""),AND(NN13&gt;=NO$35,NN13&lt;&gt;"")),"Excellence",IF(OR(AND(AV13&gt;=AY$34,AV13&lt;&gt;"",AP13=""),AND(BZ13&gt;=CC$34,BZ13&lt;&gt;"",BT13=""),AND(DD13&gt;=DG$34,DD13&lt;&gt;"",CX13=""),AND(ED13&gt;=EG$34,ED13&lt;&gt;""),AND(EZ13&gt;=FC$34,EZ13&lt;&gt;""),AND(FV13&gt;=FY$34,FV13&lt;&gt;""),AND(GR13&gt;=GU$34,GR13&lt;&gt;""),AND(HN13&gt;=HQ$34,HN13&lt;&gt;""),AND(IJ13&gt;=IM$34,IJ13&lt;&gt;""),AND(JF13&gt;=JI$34,JF13&lt;&gt;""),AND(KB13&gt;=KE$34,KB13&lt;&gt;""),AND(KX13&gt;=LA$34,KX13&lt;&gt;""),AND(LT13&gt;=LW$34,LT13&lt;&gt;""),AND(MP13&gt;=MS$34,MP13&lt;&gt;""),AND(NL13&gt;=NO$34,NL13&lt;&gt;"")),"Worlds Team",IF(OR(AND(AV13&gt;=AY$33,AV13&lt;&gt;"",AP13=""),AND(BZ13&gt;=CC$33,BZ13&lt;&gt;"",BT13=""),AND(DD13&gt;=DG$33,DD13&lt;&gt;"",CX13=""),AND(ED13&gt;=EG$33,ED13&lt;&gt;""),AND(EZ13&gt;=FC$33,EZ13&lt;&gt;""),AND(FV13&gt;=FY$33,FV13&lt;&gt;""),AND(GR13&gt;=GU$33,GR13&lt;&gt;""),AND(HN13&gt;=HQ$33,HN13&lt;&gt;""),AND(IJ13&gt;=IM$33,IJ13&lt;&gt;""),AND(JF13&gt;=JI$33,JF13&lt;&gt;""),AND(KB13&gt;=KE$33,KB13&lt;&gt;""),AND(KX13&gt;=LA$33,KX13&lt;&gt;""),AND(LT13&gt;=LW$33,LT13&lt;&gt;""),AND(MP13&gt;=MS$33,MP13&lt;&gt;""),AND(NL13&gt;=NO$33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$34,AV13&lt;&gt;"",AP13=""),AND(BZ13&gt;=CC$34,BZ13&lt;&gt;"",BT13=""),AND(DD13&gt;=DG$34,DD13&lt;&gt;"",CX13=""),AND(ED13&gt;=EG$34,ED13&lt;&gt;""),AND(EZ13&gt;=FC$34,EZ13&lt;&gt;""),AND(FV13&gt;=FY$34,FV13&lt;&gt;""),AND(GR13&gt;=GU$34,GR13&lt;&gt;""),AND(HN13&gt;=HQ$34,HN13&lt;&gt;""),AND(IJ13&gt;=IM$34,IJ13&lt;&gt;""),AND(JF13&gt;=JI$34,JF13&lt;&gt;""),AND(KB13&gt;=KE$34,KB13&lt;&gt;""),AND(KX13&gt;=LA$34,KX13&lt;&gt;""),AND(LT13&gt;=LW$34,LT13&lt;&gt;""),AND(MP13&gt;=MS$34,MP13&lt;&gt;""),AND(NL13&gt;=NO$34,NL13&lt;&gt;"")),OR(G13="Worlds Team",G13="Excellence",G13="Merit")),"P","")</f>
        <v/>
      </c>
      <c r="K13" s="14">
        <f>IF(MAX(AV13,BZ13,DD13)&gt;0,MAX(AV13,BZ13,DD13),0)</f>
        <v>100.07</v>
      </c>
      <c r="L13" s="14" t="str">
        <f>IF(K13=0,"",IF(K13=DD13,$CD$1,IF(K13=BZ13,$AZ$1,IF(K13=AV13,$V$1,""))))</f>
        <v>2021 1st Virtual Technical Trial</v>
      </c>
      <c r="M13" s="14">
        <f>IF($K13=$AV13,MAX(BU13,CY13),IF($K13=$BZ13,MAX(AQ13,CY13),IF($K13=$DD13,MAX(AQ13,BU13),MAX(AQ13,BU13,CY13))))</f>
        <v>48.059999999999995</v>
      </c>
      <c r="N13" s="14" t="str">
        <f>IF(M13=0,"",IF(AND(M13=CY13,$L13&lt;&gt;$CD$1),$CD$1,IF(AND(M13=BU13,$L13&lt;&gt;$AZ$1),$AZ$1,IF(AND(M13=AQ13,$L13&lt;&gt;$V$1),$V$1,""))))</f>
        <v>2019 Nationals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53.204999999999998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54.325000000000003</v>
      </c>
      <c r="R13" s="14" t="str">
        <f>IF(Q13=0,"",IF(Q13=DF13,$CD$1,IF(Q13=CB13,$AZ$1,IF(Q13=AX13,$V$1,""))))</f>
        <v>2021 2nd Virtual Technical Trial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17.399999999999999</v>
      </c>
      <c r="W13" s="69">
        <v>9.6999999999999993</v>
      </c>
      <c r="X13" s="69">
        <v>5</v>
      </c>
      <c r="Y13" s="69">
        <v>15.96</v>
      </c>
      <c r="Z13" s="69">
        <v>0</v>
      </c>
      <c r="AA13" s="69">
        <v>12.5</v>
      </c>
      <c r="AB13" s="69">
        <v>7.7</v>
      </c>
      <c r="AC13" s="69">
        <v>13</v>
      </c>
      <c r="AD13" s="69">
        <v>13.635</v>
      </c>
      <c r="AE13" s="69">
        <v>0.2</v>
      </c>
      <c r="AF13" s="69"/>
      <c r="AG13" s="69"/>
      <c r="AH13" s="69"/>
      <c r="AI13" s="69"/>
      <c r="AJ13" s="69"/>
      <c r="AK13" s="69">
        <v>12.16</v>
      </c>
      <c r="AL13" s="69">
        <v>8.6999999999999993</v>
      </c>
      <c r="AM13" s="69">
        <v>13.7</v>
      </c>
      <c r="AN13" s="69">
        <v>14.824999999999999</v>
      </c>
      <c r="AO13" s="69">
        <v>0</v>
      </c>
      <c r="AP13" s="80"/>
      <c r="AQ13" s="11">
        <f>IF(SUM(V13:Y13)-Z13&gt;0,SUM(V13:Y13)-Z13,"")</f>
        <v>48.059999999999995</v>
      </c>
      <c r="AR13" s="11">
        <f>IF(AC13&gt;0,AC13,"")</f>
        <v>13</v>
      </c>
      <c r="AS13" s="11">
        <f>IF(SUM(AA13:AD13)-AE13&gt;0,SUM(AA13:AD13)-AE13,"")</f>
        <v>46.634999999999998</v>
      </c>
      <c r="AT13" s="11" t="str">
        <f>IF(AH13&gt;0,AH13,"")</f>
        <v/>
      </c>
      <c r="AU13" s="11" t="str">
        <f>IF(SUM(AF13:AI13)-AJ13&gt;0,SUM(AF13:AI13)-AJ13,"")</f>
        <v/>
      </c>
      <c r="AV13" s="11">
        <f>IF(AQ13="",IF(MAX(AS13,AU13)&gt;0,MAX(AS13,AU13),""),MAX(AS13,AU13)+AQ13)</f>
        <v>94.694999999999993</v>
      </c>
      <c r="AW13" s="11">
        <f>IF(AM13&gt;0,AM13,"")</f>
        <v>13.7</v>
      </c>
      <c r="AX13" s="11">
        <f>IF(SUM(AK13:AN13)-AO13&gt;0,SUM(AK13:AN13)-AO13,"")</f>
        <v>49.385000000000005</v>
      </c>
      <c r="AY13" s="11">
        <f>IF(SUM(AV13,AX13)&gt;0,SUM(AV13,AX13),"")</f>
        <v>144.07999999999998</v>
      </c>
      <c r="AZ13" s="75">
        <v>17.5</v>
      </c>
      <c r="BA13" s="75">
        <v>9.65</v>
      </c>
      <c r="BB13" s="75">
        <v>4.4000000000000004</v>
      </c>
      <c r="BC13" s="75">
        <v>16.059999999999999</v>
      </c>
      <c r="BD13" s="75">
        <v>0</v>
      </c>
      <c r="BE13" s="75">
        <v>14.3</v>
      </c>
      <c r="BF13" s="75">
        <v>9.1999999999999993</v>
      </c>
      <c r="BG13" s="75">
        <v>13.9</v>
      </c>
      <c r="BH13" s="75">
        <v>15.06</v>
      </c>
      <c r="BI13" s="75">
        <v>0</v>
      </c>
      <c r="BJ13" s="75">
        <v>12.9</v>
      </c>
      <c r="BK13" s="75">
        <v>8.6999999999999993</v>
      </c>
      <c r="BL13" s="75">
        <v>13.3</v>
      </c>
      <c r="BM13" s="75">
        <v>14.61</v>
      </c>
      <c r="BN13" s="75">
        <v>0.2</v>
      </c>
      <c r="BO13" s="75">
        <v>14.7</v>
      </c>
      <c r="BP13" s="75">
        <v>9.35</v>
      </c>
      <c r="BQ13" s="75">
        <v>13.9</v>
      </c>
      <c r="BR13" s="75">
        <v>15.21</v>
      </c>
      <c r="BS13" s="75">
        <v>0</v>
      </c>
      <c r="BT13" s="81"/>
      <c r="BU13" s="14">
        <f>IF(SUM(AZ13:BC13)-BD13&gt;0,SUM(AZ13:BC13)-BD13,"")</f>
        <v>47.61</v>
      </c>
      <c r="BV13" s="14">
        <f>IF(BG13&gt;0,BG13,"")</f>
        <v>13.9</v>
      </c>
      <c r="BW13" s="14">
        <f>IF(SUM(BE13:BH13)-BI13&gt;0,SUM(BE13:BH13)-BI13,"")</f>
        <v>52.46</v>
      </c>
      <c r="BX13" s="14">
        <f>IF(BL13&gt;0,BL13,"")</f>
        <v>13.3</v>
      </c>
      <c r="BY13" s="14">
        <f>IF(SUM(BJ13:BM13)-BN13&gt;0,SUM(BJ13:BM13)-BN13,"")</f>
        <v>49.31</v>
      </c>
      <c r="BZ13" s="14">
        <f>IF(BU13="",IF(MAX(BW13,BY13)&gt;0,MAX(BW13,BY13),""),MAX(BW13,BY13)+BU13)</f>
        <v>100.07</v>
      </c>
      <c r="CA13" s="14">
        <f>IF(BQ13&gt;0,BQ13,"")</f>
        <v>13.9</v>
      </c>
      <c r="CB13" s="14">
        <f>IF(SUM(BO13:BR13)-BS13&gt;0,SUM(BO13:BR13)-BS13,"")</f>
        <v>53.16</v>
      </c>
      <c r="CC13" s="14">
        <f>IF(SUM(BZ13,CB13)&gt;0,SUM(BZ13,CB13),"")</f>
        <v>153.22999999999999</v>
      </c>
      <c r="CD13" s="69">
        <v>13</v>
      </c>
      <c r="CE13" s="69">
        <v>6.8</v>
      </c>
      <c r="CF13" s="69">
        <v>2.1</v>
      </c>
      <c r="CG13" s="69">
        <v>13.39</v>
      </c>
      <c r="CH13" s="69">
        <v>0</v>
      </c>
      <c r="CI13" s="69">
        <v>14</v>
      </c>
      <c r="CJ13" s="69">
        <v>8.9</v>
      </c>
      <c r="CK13" s="69">
        <v>15</v>
      </c>
      <c r="CL13" s="69">
        <v>15.305</v>
      </c>
      <c r="CM13" s="69">
        <v>0</v>
      </c>
      <c r="CN13" s="69">
        <v>12.2</v>
      </c>
      <c r="CO13" s="69">
        <v>9.1999999999999993</v>
      </c>
      <c r="CP13" s="69">
        <v>15</v>
      </c>
      <c r="CQ13" s="69">
        <v>15.455</v>
      </c>
      <c r="CR13" s="69">
        <v>0</v>
      </c>
      <c r="CS13" s="69">
        <v>15.2</v>
      </c>
      <c r="CT13" s="69">
        <v>9.3000000000000007</v>
      </c>
      <c r="CU13" s="69">
        <v>14.4</v>
      </c>
      <c r="CV13" s="69">
        <v>15.425000000000001</v>
      </c>
      <c r="CW13" s="69">
        <v>0</v>
      </c>
      <c r="CX13" s="80"/>
      <c r="CY13" s="11">
        <f>IF(SUM(CD13:CG13)-CH13&gt;0,SUM(CD13:CG13)-CH13,"")</f>
        <v>35.290000000000006</v>
      </c>
      <c r="CZ13" s="11">
        <f>IF(CK13&gt;0,CK13,"")</f>
        <v>15</v>
      </c>
      <c r="DA13" s="11">
        <f>IF(SUM(CI13:CL13)-CM13&gt;0,SUM(CI13:CL13)-CM13,"")</f>
        <v>53.204999999999998</v>
      </c>
      <c r="DB13" s="11">
        <f>IF(CP13&gt;0,CP13,"")</f>
        <v>15</v>
      </c>
      <c r="DC13" s="11">
        <f>IF(SUM(CN13:CQ13)-CR13&gt;0,SUM(CN13:CQ13)-CR13,"")</f>
        <v>51.854999999999997</v>
      </c>
      <c r="DD13" s="11">
        <f>IF(CY13="",IF(MAX(DA13,DC13)&gt;0,MAX(DA13,DC13),""),MAX(DA13,DC13)+CY13)</f>
        <v>88.495000000000005</v>
      </c>
      <c r="DE13" s="11">
        <f>IF(CU13&gt;0,CU13,"")</f>
        <v>14.4</v>
      </c>
      <c r="DF13" s="11">
        <f>IF(SUM(CS13:CV13)-CW13&gt;0,SUM(CS13:CV13)-CW13,"")</f>
        <v>54.325000000000003</v>
      </c>
      <c r="DG13" s="11">
        <f>IF(SUM(DD13,DF13)&gt;0,SUM(DD13,DF13),"")</f>
        <v>142.82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15.25</v>
      </c>
      <c r="NQ13" s="69">
        <f>IF($CX13="P",CE13,(CE13+BA13)/2)</f>
        <v>8.2249999999999996</v>
      </c>
      <c r="NR13" s="69">
        <f>IF($CX13="P",CF13,(CF13+BB13)/2)</f>
        <v>3.25</v>
      </c>
      <c r="NS13" s="69">
        <f>IF($CX13="P",CG13,(CG13+BC13)/2)</f>
        <v>14.725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9.0500000000000007</v>
      </c>
      <c r="NW13" s="69">
        <f>IF($CX13="P",CK13,(CK13+BG13)/2)</f>
        <v>14.45</v>
      </c>
      <c r="NX13" s="69">
        <f>IF($CX13="P",CL13,(CL13+BH13)/2)</f>
        <v>15.182500000000001</v>
      </c>
      <c r="NY13" s="69">
        <f>IF($CX13="P",CM13,(CM13+BI13)/2)</f>
        <v>0</v>
      </c>
      <c r="NZ13" s="69">
        <f>IF($CX13="P",CN13,(CN13+BJ13)/2)</f>
        <v>12.55</v>
      </c>
      <c r="OA13" s="69">
        <f>IF($CX13="P",CO13,(CO13+BK13)/2)</f>
        <v>8.9499999999999993</v>
      </c>
      <c r="OB13" s="69">
        <f>IF($CX13="P",CP13,(CP13+BL13)/2)</f>
        <v>14.15</v>
      </c>
      <c r="OC13" s="69">
        <f>IF($CX13="P",CQ13,(CQ13+BM13)/2)</f>
        <v>15.032499999999999</v>
      </c>
      <c r="OD13" s="69">
        <f>IF($CX13="P",CR13,(CR13+BN13)/2)</f>
        <v>0.1</v>
      </c>
      <c r="OE13" s="69">
        <f>IF($CX13="P",CS13,(CS13+BO13)/2)</f>
        <v>14.95</v>
      </c>
      <c r="OF13" s="69">
        <f>IF($CX13="P",CT13,(CT13+BP13)/2)</f>
        <v>9.3249999999999993</v>
      </c>
      <c r="OG13" s="69">
        <f>IF($CX13="P",CU13,(CU13+BQ13)/2)</f>
        <v>14.15</v>
      </c>
      <c r="OH13" s="69">
        <f>IF($CX13="P",CV13,(CV13+BR13)/2)</f>
        <v>15.317500000000001</v>
      </c>
      <c r="OI13" s="69">
        <f>IF($CX13="P",CW13,(CW13+BS13)/2)</f>
        <v>0</v>
      </c>
      <c r="OJ13" s="80" t="s">
        <v>88</v>
      </c>
      <c r="OK13" s="11">
        <f>IF(SUM(NP13:NS13)-NT13&gt;0,SUM(NP13:NS13)-NT13,"")</f>
        <v>41.45</v>
      </c>
      <c r="OL13" s="11">
        <f>IF(NW13&gt;0,NW13,"")</f>
        <v>14.45</v>
      </c>
      <c r="OM13" s="11">
        <f>IF(SUM(NU13:NX13)-NY13&gt;0,SUM(NU13:NX13)-NY13,"")</f>
        <v>52.83250000000001</v>
      </c>
      <c r="ON13" s="11">
        <f>IF(OB13&gt;0,OB13,"")</f>
        <v>14.15</v>
      </c>
      <c r="OO13" s="11">
        <f>IF(SUM(NZ13:OC13)-OD13&gt;0,SUM(NZ13:OC13)-OD13,"")</f>
        <v>50.582499999999996</v>
      </c>
      <c r="OP13" s="11">
        <f>IF(OR(OK13&lt;&gt;"",OM13&lt;&gt;"",OO13&lt;&gt;""),OK13+MAX(OM13,OO13),"")</f>
        <v>94.282500000000013</v>
      </c>
      <c r="OQ13" s="11">
        <f>IF(OG13&gt;0,OG13,"")</f>
        <v>14.15</v>
      </c>
      <c r="OR13" s="11">
        <f t="shared" si="0"/>
        <v>53.7425</v>
      </c>
      <c r="OS13" s="11">
        <f t="shared" si="1"/>
        <v>148.02500000000001</v>
      </c>
    </row>
    <row r="14" spans="1:409" x14ac:dyDescent="0.2">
      <c r="A14" s="5" t="str" cm="1">
        <f t="array" ref="A14">IF(AND(G14&lt;&gt;"",H14&lt;&gt;""),SUMPRODUCT((G$4:G$27&lt;&gt;"")*(H$4:H$27&lt;&gt;"")*(E$4:E$27&gt;E14))+1,IF(H14&lt;&gt;"",SUMPRODUCT((I$4:I$27="No DD")*(E$4:E$27&gt;E14))+1+SUMPRODUCT((G$4:G$27&lt;&gt;"")*(H$4:H$27&lt;&gt;"")),""))</f>
        <v/>
      </c>
      <c r="B14" s="6" t="s">
        <v>169</v>
      </c>
      <c r="C14" s="7" t="s">
        <v>3</v>
      </c>
      <c r="D14" s="27">
        <v>2003</v>
      </c>
      <c r="E14" s="15">
        <f>SUM(K14:S14)</f>
        <v>251.32499999999996</v>
      </c>
      <c r="F14" s="3" t="str">
        <f>IF(G14&lt;&gt;"","P","")</f>
        <v>P</v>
      </c>
      <c r="G14" s="125" t="str">
        <f>IF(OR(AND(AR14&gt;=AY$32,AR14&lt;&gt;"",AP14=""),AND(AT14&gt;=AY$32,AT14&lt;&gt;"",AP14=""),AND(AW14&gt;=AY$32,AW14&lt;&gt;"",AP14=""),AND(BV14&gt;=CC$32,BV14&lt;&gt;"",BT14=""),AND(BX14&gt;=CC$32,BX14&lt;&gt;"",BT14=""),AND(CA14&gt;=CC$32,CA14&lt;&gt;"",BT14=""),AND(CZ14&gt;=DG$32,CZ14&lt;&gt;"",CX14=""),AND(DB14&gt;=DG$32,DB14&lt;&gt;"",CX14=""),AND(DE14&gt;=DG$32,DE14&lt;&gt;"",CX14=""),AND(EA14&gt;=EG$32,EA14&lt;&gt;""),AND(EE14&gt;=EG$32,EE14&lt;&gt;""),AND(EW14&gt;=FC$32,EW14&lt;&gt;""),AND(FA14&gt;=FC$32,FA14&lt;&gt;""),AND(FS14&gt;=FY$32,FS14&lt;&gt;""),AND(FW14&gt;=FY$32,FW14&lt;&gt;""),AND(GO14&gt;=GU$32,GO14&lt;&gt;""),AND(GS14&gt;=GU$32,GS14&lt;&gt;""),AND(HK14&gt;=HQ$32,HK14&lt;&gt;""),AND(HO14&gt;=HQ$32,HO14&lt;&gt;""),AND(IG14&gt;=IM$32,IG14&lt;&gt;""),AND(IK14&gt;=IM$32,IK14&lt;&gt;""),AND(JC14&gt;=JI$32,JC14&lt;&gt;""),AND(JG14&gt;=JI$32,JG14&lt;&gt;""),AND(JY14&gt;=KE$32,JY14&lt;&gt;""),AND(KC14&gt;=KE$32,KC14&lt;&gt;""),AND(KU14&gt;=LA$32,KU14&lt;&gt;""),AND(KY14&gt;=LA$32,KY14&lt;&gt;""),AND(LQ14&gt;=LW$32,LQ14&lt;&gt;""),AND(LU14&gt;=LW$32,LU14&lt;&gt;""),AND(MM14&gt;=MS$32,MM14&lt;&gt;""),AND(MQ14&gt;=MS$32,MQ14&lt;&gt;""),AND(NI14&gt;=NO$32,NI14&lt;&gt;""),AND(NM14&gt;=NO$32,NM14&lt;&gt;"")),"Merit",IF(OR(AND(AR14&gt;=AY$31,AR14&lt;&gt;"",AP14=""),AND(AT14&gt;=AY$31,AT14&lt;&gt;"",AP14=""),AND(AW14&gt;=AY$31,AW14&lt;&gt;"",AP14=""),AND(BV14&gt;=CC$31,BV14&lt;&gt;"",BT14=""),AND(BX14&gt;=CC$31,BX14&lt;&gt;"",BT14=""),AND(CA14&gt;=CC$31,CA14&lt;&gt;"",BT14=""),AND(CZ14&gt;=DG$31,CZ14&lt;&gt;"",CX14=""),AND(DB14&gt;=DG$31,DB14&lt;&gt;"",CX14=""),AND(DE14&gt;=DG$31,DE14&lt;&gt;"",CX14=""),AND(EA14&gt;=EG$31,EA14&lt;&gt;""),AND(EE14&gt;=EG$31,EE14&lt;&gt;""),AND(EW14&gt;=FC$31,EW14&lt;&gt;""),AND(FA14&gt;=FC$31,FA14&lt;&gt;""),AND(FS14&gt;=FY$31,FS14&lt;&gt;""),AND(FW14&gt;=FY$31,FW14&lt;&gt;""),AND(GO14&gt;=GU$31,GO14&lt;&gt;""),AND(GS14&gt;=GU$31,GS14&lt;&gt;""),AND(HK14&gt;=HQ$31,HK14&lt;&gt;""),AND(HO14&gt;=HQ$31,HO14&lt;&gt;""),AND(IG14&gt;=IM$31,IG14&lt;&gt;""),AND(IK14&gt;=IM$31,IK14&lt;&gt;""),AND(JC14&gt;=JI$31,JC14&lt;&gt;""),AND(JG14&gt;=JI$31,JG14&lt;&gt;""),AND(JY14&gt;=KE$31,JY14&lt;&gt;""),AND(KC14&gt;=KE$31,KC14&lt;&gt;""),AND(KU14&gt;=LA$31,KU14&lt;&gt;""),AND(KY14&gt;=LA$31,KY14&lt;&gt;""),AND(LQ14&gt;=LW$31,LQ14&lt;&gt;""),AND(LU14&gt;=LW$31,LU14&lt;&gt;""),AND(MM14&gt;=MS$31,MM14&lt;&gt;""),AND(MQ14&gt;=MS$31,MQ14&lt;&gt;""),AND(NI14&gt;=NO$31,NI14&lt;&gt;""),AND(NM14&gt;=NO$31,NM14&lt;&gt;"")),"Excellence",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Worlds Team",IF(OR(AND(AR14&gt;=AY$29,AR14&lt;&gt;"",AP14=""),AND(AT14&gt;=AY$29,AT14&lt;&gt;"",AP14=""),AND(AW14&gt;=AY$29,AW14&lt;&gt;"",AP14=""),AND(BV14&gt;=CC$29,BV14&lt;&gt;"",BT14=""),AND(BX14&gt;=CC$29,BX14&lt;&gt;"",BT14=""),AND(CA14&gt;=CC$29,CA14&lt;&gt;"",BT14=""),AND(CZ14&gt;=DG$29,CZ14&lt;&gt;"",CX14=""),AND(DB14&gt;=DG$29,DB14&lt;&gt;"",CX14=""),AND(DE14&gt;=DG$29,DE14&lt;&gt;"",CX14=""),AND(EA14&gt;=EG$29,EA14&lt;&gt;""),AND(EE14&gt;=EG$29,EE14&lt;&gt;""),AND(EW14&gt;=FC$29,EW14&lt;&gt;""),AND(FA14&gt;=FC$29,FA14&lt;&gt;""),AND(FS14&gt;=FY$29,FS14&lt;&gt;""),AND(FW14&gt;=FY$29,FW14&lt;&gt;""),AND(GO14&gt;=GU$29,GO14&lt;&gt;""),AND(GS14&gt;=GU$29,GS14&lt;&gt;""),AND(HK14&gt;=HQ$29,HK14&lt;&gt;""),AND(HO14&gt;=HQ$29,HO14&lt;&gt;""),AND(IG14&gt;=IM$29,IG14&lt;&gt;""),AND(IK14&gt;=IM$29,IK14&lt;&gt;""),AND(JC14&gt;=JI$29,JC14&lt;&gt;""),AND(JG14&gt;=JI$29,JG14&lt;&gt;""),AND(JY14&gt;=KE$29,JY14&lt;&gt;""),AND(KC14&gt;=KE$29,KC14&lt;&gt;""),AND(KU14&gt;=LA$29,KU14&lt;&gt;""),AND(KY14&gt;=LA$29,KY14&lt;&gt;""),AND(LQ14&gt;=LW$29,LQ14&lt;&gt;""),AND(LU14&gt;=LW$29,LU14&lt;&gt;""),AND(MM14&gt;=MS$29,MM14&lt;&gt;""),AND(MQ14&gt;=MS$29,MQ14&lt;&gt;""),AND(NI14&gt;=NO$29,NI14&lt;&gt;""),AND(NM14&gt;=NO$29,NM14&lt;&gt;"")),"National Team",""))))</f>
        <v>National Team</v>
      </c>
      <c r="H14" s="125" t="str">
        <f>IF(OR(AND(AS14&gt;=AY$36,AS14&lt;&gt;"",AP14=""),AND(AU14&gt;=AY$36,AU14&lt;&gt;"",AP14=""),AND(AX14&gt;=AY$36,AX14&lt;&gt;"",AP14=""),AND(BW14&gt;=CC$36,BW14&lt;&gt;"",BT14=""),AND(BY14&gt;=CC$36,BY14&lt;&gt;"",BT14=""),AND(CB14&gt;=CC$36,CB14&lt;&gt;"",BT14=""),AND(DA14&gt;=DG$36,DA14&lt;&gt;"",CX14=""),AND(DC14&gt;=DG$36,DC14&lt;&gt;"",CX14=""),AND(DF14&gt;=DG$36,DF14&lt;&gt;"",CX14=""),AND(EC14&gt;=EG$36,EC14&lt;&gt;""),AND(EF14&gt;=EG$36,EF14&lt;&gt;""),AND(EY14&gt;=FC$36,EY14&lt;&gt;""),AND(FB14&gt;=FC$36,FB14&lt;&gt;""),AND(FU14&gt;=FY$36,FU14&lt;&gt;""),AND(FX14&gt;=FY$36,FX14&lt;&gt;""),AND(GQ14&gt;=GU$36,GQ14&lt;&gt;""),AND(GT14&gt;=GU$36,GT14&lt;&gt;""),AND(HM14&gt;=HQ$36,HM14&lt;&gt;""),AND(HP14&gt;=HQ$36,HP14&lt;&gt;""),AND(II14&gt;=IM$36,II14&lt;&gt;""),AND(IL14&gt;=IM$36,IL14&lt;&gt;""),AND(JE14&gt;=JI$36,JE14&lt;&gt;""),AND(JH14&gt;=JI$36,JH14&lt;&gt;""),AND(KA14&gt;=KE$36,KA14&lt;&gt;""),AND(KD14&gt;=KE$36,KD14&lt;&gt;""),AND(KW14&gt;=LA$36,KW14&lt;&gt;""),AND(KZ14&gt;=LA$36,KZ14&lt;&gt;""),AND(LS14&gt;=LW$36,LS14&lt;&gt;""),AND(LV14&gt;=LW$36,LV14&lt;&gt;""),AND(MO14&gt;=MS$36,MO14&lt;&gt;""),AND(MR14&gt;=MS$36,MR14&lt;&gt;""),AND(NK14&gt;=NO$36,NK14&lt;&gt;""),AND(NN14&gt;=NO$36,NN14&lt;&gt;"")),"Merit",IF(OR(AND(AS14&gt;=AY$35,AS14&lt;&gt;"",AP14=""),AND(AU14&gt;=AY$35,AU14&lt;&gt;"",AP14=""),AND(AX14&gt;=AY$35,AX14&lt;&gt;"",AP14=""),AND(BW14&gt;=CC$35,BW14&lt;&gt;"",BT14=""),AND(BY14&gt;=CC$35,BY14&lt;&gt;"",BT14=""),AND(CB14&gt;=CC$35,CB14&lt;&gt;"",BT14=""),AND(DA14&gt;=DG$35,DA14&lt;&gt;"",CX14=""),AND(DC14&gt;=DG$35,DC14&lt;&gt;"",CX14=""),AND(DF14&gt;=DG$35,DF14&lt;&gt;"",CX14=""),AND(EC14&gt;=EG$35,EC14&lt;&gt;""),AND(EF14&gt;=EG$35,EF14&lt;&gt;""),AND(EY14&gt;=FC$35,EY14&lt;&gt;""),AND(FB14&gt;=FC$35,FB14&lt;&gt;""),AND(FU14&gt;=FY$35,FU14&lt;&gt;""),AND(FX14&gt;=FY$35,FX14&lt;&gt;""),AND(GQ14&gt;=GU$35,GQ14&lt;&gt;""),AND(GT14&gt;=GU$35,GT14&lt;&gt;""),AND(HM14&gt;=HQ$35,HM14&lt;&gt;""),AND(HP14&gt;=HQ$35,HP14&lt;&gt;""),AND(II14&gt;=IM$35,II14&lt;&gt;""),AND(IL14&gt;=IM$35,IL14&lt;&gt;""),AND(JE14&gt;=JI$35,JE14&lt;&gt;""),AND(JH14&gt;=JI$35,JH14&lt;&gt;""),AND(KA14&gt;=KE$35,KA14&lt;&gt;""),AND(KD14&gt;=KE$35,KD14&lt;&gt;""),AND(KW14&gt;=LA$35,KW14&lt;&gt;""),AND(KZ14&gt;=LA$35,KZ14&lt;&gt;""),AND(LS14&gt;=LW$35,LS14&lt;&gt;""),AND(LV14&gt;=LW$35,LV14&lt;&gt;""),AND(MO14&gt;=MS$35,MO14&lt;&gt;""),AND(MR14&gt;=MS$35,MR14&lt;&gt;""),AND(NK14&gt;=NO$35,NK14&lt;&gt;""),AND(NN14&gt;=NO$35,NN14&lt;&gt;"")),"Excellence",IF(OR(AND(AV14&gt;=AY$34,AV14&lt;&gt;"",AP14=""),AND(BZ14&gt;=CC$34,BZ14&lt;&gt;"",BT14=""),AND(DD14&gt;=DG$34,DD14&lt;&gt;"",CX14=""),AND(ED14&gt;=EG$34,ED14&lt;&gt;""),AND(EZ14&gt;=FC$34,EZ14&lt;&gt;""),AND(FV14&gt;=FY$34,FV14&lt;&gt;""),AND(GR14&gt;=GU$34,GR14&lt;&gt;""),AND(HN14&gt;=HQ$34,HN14&lt;&gt;""),AND(IJ14&gt;=IM$34,IJ14&lt;&gt;""),AND(JF14&gt;=JI$34,JF14&lt;&gt;""),AND(KB14&gt;=KE$34,KB14&lt;&gt;""),AND(KX14&gt;=LA$34,KX14&lt;&gt;""),AND(LT14&gt;=LW$34,LT14&lt;&gt;""),AND(MP14&gt;=MS$34,MP14&lt;&gt;""),AND(NL14&gt;=NO$34,NL14&lt;&gt;"")),"Worlds Team",IF(OR(AND(AV14&gt;=AY$33,AV14&lt;&gt;"",AP14=""),AND(BZ14&gt;=CC$33,BZ14&lt;&gt;"",BT14=""),AND(DD14&gt;=DG$33,DD14&lt;&gt;"",CX14=""),AND(ED14&gt;=EG$33,ED14&lt;&gt;""),AND(EZ14&gt;=FC$33,EZ14&lt;&gt;""),AND(FV14&gt;=FY$33,FV14&lt;&gt;""),AND(GR14&gt;=GU$33,GR14&lt;&gt;""),AND(HN14&gt;=HQ$33,HN14&lt;&gt;""),AND(IJ14&gt;=IM$33,IJ14&lt;&gt;""),AND(JF14&gt;=JI$33,JF14&lt;&gt;""),AND(KB14&gt;=KE$33,KB14&lt;&gt;""),AND(KX14&gt;=LA$33,KX14&lt;&gt;""),AND(LT14&gt;=LW$33,LT14&lt;&gt;""),AND(MP14&gt;=MS$33,MP14&lt;&gt;""),AND(NL14&gt;=NO$33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$34,AV14&lt;&gt;"",AP14=""),AND(BZ14&gt;=CC$34,BZ14&lt;&gt;"",BT14=""),AND(DD14&gt;=DG$34,DD14&lt;&gt;"",CX14=""),AND(ED14&gt;=EG$34,ED14&lt;&gt;""),AND(EZ14&gt;=FC$34,EZ14&lt;&gt;""),AND(FV14&gt;=FY$34,FV14&lt;&gt;""),AND(GR14&gt;=GU$34,GR14&lt;&gt;""),AND(HN14&gt;=HQ$34,HN14&lt;&gt;""),AND(IJ14&gt;=IM$34,IJ14&lt;&gt;""),AND(JF14&gt;=JI$34,JF14&lt;&gt;""),AND(KB14&gt;=KE$34,KB14&lt;&gt;""),AND(KX14&gt;=LA$34,KX14&lt;&gt;""),AND(LT14&gt;=LW$34,LT14&lt;&gt;""),AND(MP14&gt;=MS$34,MP14&lt;&gt;""),AND(NL14&gt;=NO$34,NL14&lt;&gt;"")),OR(G14="Worlds Team",G14="Excellence",G14="Merit")),"P","")</f>
        <v/>
      </c>
      <c r="K14" s="14">
        <f>IF(MAX(AV14,BZ14,DD14)&gt;0,MAX(AV14,BZ14,DD14),0)</f>
        <v>100.485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47.539999999999992</v>
      </c>
      <c r="N14" s="14" t="str">
        <f>IF(M14=0,"",IF(AND(M14=CY14,$L14&lt;&gt;$CD$1),$CD$1,IF(AND(M14=BU14,$L14&lt;&gt;$AZ$1),$AZ$1,IF(AND(M14=AQ14,$L14&lt;&gt;$V$1),$V$1,""))))</f>
        <v>2021 1st Virtual Technical Trial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52.64</v>
      </c>
      <c r="P14" s="14" t="str">
        <f>IF(O14=0,"",IF(OR(O14=DC14,O14=DA14),$CD$1,IF(OR(O14=BY14,O14=BW14),$AZ$1,IF(OR(O14=AU14,O14=AS14),$V$1,""))))</f>
        <v>2021 1st Virtual Technical Trial</v>
      </c>
      <c r="Q14" s="14">
        <f>MAX(AX14,CB14,DF14)</f>
        <v>50.660000000000004</v>
      </c>
      <c r="R14" s="14" t="str">
        <f>IF(Q14=0,"",IF(Q14=DF14,$CD$1,IF(Q14=CB14,$AZ$1,IF(Q14=AX14,$V$1,""))))</f>
        <v>2021 1st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17.7</v>
      </c>
      <c r="W14" s="69">
        <v>8.9</v>
      </c>
      <c r="X14" s="69">
        <v>3.9</v>
      </c>
      <c r="Y14" s="69">
        <v>15.935</v>
      </c>
      <c r="Z14" s="69">
        <v>0</v>
      </c>
      <c r="AA14" s="69">
        <v>13.7</v>
      </c>
      <c r="AB14" s="69">
        <v>8.6999999999999993</v>
      </c>
      <c r="AC14" s="69">
        <v>13.8</v>
      </c>
      <c r="AD14" s="69">
        <v>15.404999999999999</v>
      </c>
      <c r="AE14" s="69">
        <v>0</v>
      </c>
      <c r="AF14" s="69"/>
      <c r="AG14" s="69"/>
      <c r="AH14" s="69"/>
      <c r="AI14" s="69"/>
      <c r="AJ14" s="69"/>
      <c r="AK14" s="69">
        <v>5.44</v>
      </c>
      <c r="AL14" s="69">
        <v>3.5</v>
      </c>
      <c r="AM14" s="69">
        <v>6.1</v>
      </c>
      <c r="AN14" s="69">
        <v>6.1749999999999998</v>
      </c>
      <c r="AO14" s="69">
        <v>0</v>
      </c>
      <c r="AP14" s="80"/>
      <c r="AQ14" s="11">
        <f>IF(SUM(V14:Y14)-Z14&gt;0,SUM(V14:Y14)-Z14,"")</f>
        <v>46.435000000000002</v>
      </c>
      <c r="AR14" s="11">
        <f>IF(AC14&gt;0,AC14,"")</f>
        <v>13.8</v>
      </c>
      <c r="AS14" s="11">
        <f>IF(SUM(AA14:AD14)-AE14&gt;0,SUM(AA14:AD14)-AE14,"")</f>
        <v>51.605000000000004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98.04</v>
      </c>
      <c r="AW14" s="11">
        <f>IF(AM14&gt;0,AM14,"")</f>
        <v>6.1</v>
      </c>
      <c r="AX14" s="11">
        <f>IF(SUM(AK14:AN14)-AO14&gt;0,SUM(AK14:AN14)-AO14,"")</f>
        <v>21.215</v>
      </c>
      <c r="AY14" s="11">
        <f>IF(SUM(AV14,AX14)&gt;0,SUM(AV14,AX14),"")</f>
        <v>119.25500000000001</v>
      </c>
      <c r="AZ14" s="75">
        <v>17.7</v>
      </c>
      <c r="BA14" s="75">
        <v>9.6</v>
      </c>
      <c r="BB14" s="75">
        <v>3.9</v>
      </c>
      <c r="BC14" s="75">
        <v>16.34</v>
      </c>
      <c r="BD14" s="75">
        <v>0</v>
      </c>
      <c r="BE14" s="75">
        <v>14.3</v>
      </c>
      <c r="BF14" s="75">
        <v>8.9</v>
      </c>
      <c r="BG14" s="75">
        <v>13.6</v>
      </c>
      <c r="BH14" s="75">
        <v>14.59</v>
      </c>
      <c r="BI14" s="75">
        <v>0</v>
      </c>
      <c r="BJ14" s="75">
        <v>14.6</v>
      </c>
      <c r="BK14" s="75">
        <v>9.1</v>
      </c>
      <c r="BL14" s="75">
        <v>13.8</v>
      </c>
      <c r="BM14" s="75">
        <v>15.14</v>
      </c>
      <c r="BN14" s="75">
        <v>0</v>
      </c>
      <c r="BO14" s="75">
        <v>13</v>
      </c>
      <c r="BP14" s="75">
        <v>8.9</v>
      </c>
      <c r="BQ14" s="75">
        <v>13.8</v>
      </c>
      <c r="BR14" s="75">
        <v>14.96</v>
      </c>
      <c r="BS14" s="75">
        <v>0</v>
      </c>
      <c r="BT14" s="81"/>
      <c r="BU14" s="14">
        <f>IF(SUM(AZ14:BC14)-BD14&gt;0,SUM(AZ14:BC14)-BD14,"")</f>
        <v>47.539999999999992</v>
      </c>
      <c r="BV14" s="14">
        <f>IF(BG14&gt;0,BG14,"")</f>
        <v>13.6</v>
      </c>
      <c r="BW14" s="14">
        <f>IF(SUM(BE14:BH14)-BI14&gt;0,SUM(BE14:BH14)-BI14,"")</f>
        <v>51.39</v>
      </c>
      <c r="BX14" s="14">
        <f>IF(BL14&gt;0,BL14,"")</f>
        <v>13.8</v>
      </c>
      <c r="BY14" s="14">
        <f>IF(SUM(BJ14:BM14)-BN14&gt;0,SUM(BJ14:BM14)-BN14,"")</f>
        <v>52.64</v>
      </c>
      <c r="BZ14" s="14">
        <f>IF(BU14="",IF(MAX(BW14,BY14)&gt;0,MAX(BW14,BY14),""),MAX(BW14,BY14)+BU14)</f>
        <v>100.17999999999999</v>
      </c>
      <c r="CA14" s="14">
        <f>IF(BQ14&gt;0,BQ14,"")</f>
        <v>13.8</v>
      </c>
      <c r="CB14" s="14">
        <f>IF(SUM(BO14:BR14)-BS14&gt;0,SUM(BO14:BR14)-BS14,"")</f>
        <v>50.660000000000004</v>
      </c>
      <c r="CC14" s="14">
        <f>IF(SUM(BZ14,CB14)&gt;0,SUM(BZ14,CB14),"")</f>
        <v>150.84</v>
      </c>
      <c r="CD14" s="69">
        <v>16.899999999999999</v>
      </c>
      <c r="CE14" s="69">
        <v>9.1999999999999993</v>
      </c>
      <c r="CF14" s="69">
        <v>5.2</v>
      </c>
      <c r="CG14" s="69">
        <v>16.11</v>
      </c>
      <c r="CH14" s="69">
        <v>0</v>
      </c>
      <c r="CI14" s="69">
        <v>13.8</v>
      </c>
      <c r="CJ14" s="69">
        <v>9.1999999999999993</v>
      </c>
      <c r="CK14" s="69">
        <v>14.4</v>
      </c>
      <c r="CL14" s="69">
        <v>15.675000000000001</v>
      </c>
      <c r="CM14" s="69">
        <v>0</v>
      </c>
      <c r="CN14" s="69">
        <v>4</v>
      </c>
      <c r="CO14" s="69">
        <v>2.4</v>
      </c>
      <c r="CP14" s="69">
        <v>5.0999999999999996</v>
      </c>
      <c r="CQ14" s="69">
        <v>5</v>
      </c>
      <c r="CR14" s="69">
        <v>0</v>
      </c>
      <c r="CS14" s="69">
        <v>4</v>
      </c>
      <c r="CT14" s="69">
        <v>2.5</v>
      </c>
      <c r="CU14" s="69">
        <v>5.0999999999999996</v>
      </c>
      <c r="CV14" s="69">
        <v>4.8849999999999998</v>
      </c>
      <c r="CW14" s="69">
        <v>0</v>
      </c>
      <c r="CX14" s="80"/>
      <c r="CY14" s="11">
        <f>IF(SUM(CD14:CG14)-CH14&gt;0,SUM(CD14:CG14)-CH14,"")</f>
        <v>47.41</v>
      </c>
      <c r="CZ14" s="11">
        <f>IF(CK14&gt;0,CK14,"")</f>
        <v>14.4</v>
      </c>
      <c r="DA14" s="11">
        <f>IF(SUM(CI14:CL14)-CM14&gt;0,SUM(CI14:CL14)-CM14,"")</f>
        <v>53.075000000000003</v>
      </c>
      <c r="DB14" s="11">
        <f>IF(CP14&gt;0,CP14,"")</f>
        <v>5.0999999999999996</v>
      </c>
      <c r="DC14" s="11">
        <f>IF(SUM(CN14:CQ14)-CR14&gt;0,SUM(CN14:CQ14)-CR14,"")</f>
        <v>16.5</v>
      </c>
      <c r="DD14" s="11">
        <f>IF(CY14="",IF(MAX(DA14,DC14)&gt;0,MAX(DA14,DC14),""),MAX(DA14,DC14)+CY14)</f>
        <v>100.485</v>
      </c>
      <c r="DE14" s="11">
        <f>IF(CU14&gt;0,CU14,"")</f>
        <v>5.0999999999999996</v>
      </c>
      <c r="DF14" s="11">
        <f>IF(SUM(CS14:CV14)-CW14&gt;0,SUM(CS14:CV14)-CW14,"")</f>
        <v>16.484999999999999</v>
      </c>
      <c r="DG14" s="11">
        <f>IF(SUM(DD14,DF14)&gt;0,SUM(DD14,DF14),"")</f>
        <v>116.97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17.299999999999997</v>
      </c>
      <c r="NQ14" s="69">
        <f>IF($CX14="P",CE14,(CE14+BA14)/2)</f>
        <v>9.3999999999999986</v>
      </c>
      <c r="NR14" s="69">
        <f>IF($CX14="P",CF14,(CF14+BB14)/2)</f>
        <v>4.55</v>
      </c>
      <c r="NS14" s="69">
        <f>IF($CX14="P",CG14,(CG14+BC14)/2)</f>
        <v>16.225000000000001</v>
      </c>
      <c r="NT14" s="69">
        <f>IF($CX14="P",CH14,(CH14+BD14)/2)</f>
        <v>0</v>
      </c>
      <c r="NU14" s="69">
        <f>IF($CX14="P",CI14,(CI14+BE14)/2)</f>
        <v>14.05</v>
      </c>
      <c r="NV14" s="69">
        <f>IF($CX14="P",CJ14,(CJ14+BF14)/2)</f>
        <v>9.0500000000000007</v>
      </c>
      <c r="NW14" s="69">
        <f>IF($CX14="P",CK14,(CK14+BG14)/2)</f>
        <v>14</v>
      </c>
      <c r="NX14" s="69">
        <f>IF($CX14="P",CL14,(CL14+BH14)/2)</f>
        <v>15.1325</v>
      </c>
      <c r="NY14" s="69">
        <f>IF($CX14="P",CM14,(CM14+BI14)/2)</f>
        <v>0</v>
      </c>
      <c r="NZ14" s="69">
        <f>IF($CX14="P",CN14,(CN14+BJ14)/2)</f>
        <v>9.3000000000000007</v>
      </c>
      <c r="OA14" s="69">
        <f>IF($CX14="P",CO14,(CO14+BK14)/2)</f>
        <v>5.75</v>
      </c>
      <c r="OB14" s="69">
        <f>IF($CX14="P",CP14,(CP14+BL14)/2)</f>
        <v>9.4499999999999993</v>
      </c>
      <c r="OC14" s="69">
        <f>IF($CX14="P",CQ14,(CQ14+BM14)/2)</f>
        <v>10.07</v>
      </c>
      <c r="OD14" s="69">
        <f>IF($CX14="P",CR14,(CR14+BN14)/2)</f>
        <v>0</v>
      </c>
      <c r="OE14" s="69">
        <f>IF($CX14="P",CS14,(CS14+BO14)/2)</f>
        <v>8.5</v>
      </c>
      <c r="OF14" s="69">
        <f>IF($CX14="P",CT14,(CT14+BP14)/2)</f>
        <v>5.7</v>
      </c>
      <c r="OG14" s="69">
        <f>IF($CX14="P",CU14,(CU14+BQ14)/2)</f>
        <v>9.4499999999999993</v>
      </c>
      <c r="OH14" s="69">
        <f>IF($CX14="P",CV14,(CV14+BR14)/2)</f>
        <v>9.9224999999999994</v>
      </c>
      <c r="OI14" s="69">
        <f>IF($CX14="P",CW14,(CW14+BS14)/2)</f>
        <v>0</v>
      </c>
      <c r="OJ14" s="80" t="s">
        <v>88</v>
      </c>
      <c r="OK14" s="11">
        <f>IF(SUM(NP14:NS14)-NT14&gt;0,SUM(NP14:NS14)-NT14,"")</f>
        <v>47.474999999999994</v>
      </c>
      <c r="OL14" s="11">
        <f>IF(NW14&gt;0,NW14,"")</f>
        <v>14</v>
      </c>
      <c r="OM14" s="11">
        <f>IF(SUM(NU14:NX14)-NY14&gt;0,SUM(NU14:NX14)-NY14,"")</f>
        <v>52.232500000000002</v>
      </c>
      <c r="ON14" s="11">
        <f>IF(OB14&gt;0,OB14,"")</f>
        <v>9.4499999999999993</v>
      </c>
      <c r="OO14" s="11">
        <f>IF(SUM(NZ14:OC14)-OD14&gt;0,SUM(NZ14:OC14)-OD14,"")</f>
        <v>34.57</v>
      </c>
      <c r="OP14" s="11">
        <f>IF(OR(OK14&lt;&gt;"",OM14&lt;&gt;"",OO14&lt;&gt;""),OK14+MAX(OM14,OO14),"")</f>
        <v>99.707499999999996</v>
      </c>
      <c r="OQ14" s="11">
        <f>IF(OG14&gt;0,OG14,"")</f>
        <v>9.4499999999999993</v>
      </c>
      <c r="OR14" s="11">
        <f t="shared" si="0"/>
        <v>33.572499999999998</v>
      </c>
      <c r="OS14" s="11">
        <f t="shared" si="1"/>
        <v>133.28</v>
      </c>
    </row>
    <row r="15" spans="1:409" x14ac:dyDescent="0.2">
      <c r="A15" s="5" cm="1">
        <f t="array" ref="A15">IF(AND(G15&lt;&gt;"",H15&lt;&gt;""),SUMPRODUCT((G$4:G$27&lt;&gt;"")*(H$4:H$27&lt;&gt;"")*(E$4:E$27&gt;E15))+1,IF(H15&lt;&gt;"",SUMPRODUCT((I$4:I$27="No DD")*(E$4:E$27&gt;E15))+1+SUMPRODUCT((G$4:G$27&lt;&gt;"")*(H$4:H$27&lt;&gt;"")),""))</f>
        <v>8</v>
      </c>
      <c r="B15" s="6" t="s">
        <v>82</v>
      </c>
      <c r="C15" s="7" t="s">
        <v>10</v>
      </c>
      <c r="D15" s="27">
        <v>1999</v>
      </c>
      <c r="E15" s="15">
        <f>SUM(K15:S15)</f>
        <v>161.33500000000001</v>
      </c>
      <c r="F15" s="3" t="str">
        <f>IF(G15&lt;&gt;"","P","")</f>
        <v>P</v>
      </c>
      <c r="G15" s="125" t="str">
        <f>IF(OR(AND(AR15&gt;=AY$32,AR15&lt;&gt;"",AP15=""),AND(AT15&gt;=AY$32,AT15&lt;&gt;"",AP15=""),AND(AW15&gt;=AY$32,AW15&lt;&gt;"",AP15=""),AND(BV15&gt;=CC$32,BV15&lt;&gt;"",BT15=""),AND(BX15&gt;=CC$32,BX15&lt;&gt;"",BT15=""),AND(CA15&gt;=CC$32,CA15&lt;&gt;"",BT15=""),AND(CZ15&gt;=DG$32,CZ15&lt;&gt;"",CX15=""),AND(DB15&gt;=DG$32,DB15&lt;&gt;"",CX15=""),AND(DE15&gt;=DG$32,DE15&lt;&gt;"",CX15=""),AND(EA15&gt;=EG$32,EA15&lt;&gt;""),AND(EE15&gt;=EG$32,EE15&lt;&gt;""),AND(EW15&gt;=FC$32,EW15&lt;&gt;""),AND(FA15&gt;=FC$32,FA15&lt;&gt;""),AND(FS15&gt;=FY$32,FS15&lt;&gt;""),AND(FW15&gt;=FY$32,FW15&lt;&gt;""),AND(GO15&gt;=GU$32,GO15&lt;&gt;""),AND(GS15&gt;=GU$32,GS15&lt;&gt;""),AND(HK15&gt;=HQ$32,HK15&lt;&gt;""),AND(HO15&gt;=HQ$32,HO15&lt;&gt;""),AND(IG15&gt;=IM$32,IG15&lt;&gt;""),AND(IK15&gt;=IM$32,IK15&lt;&gt;""),AND(JC15&gt;=JI$32,JC15&lt;&gt;""),AND(JG15&gt;=JI$32,JG15&lt;&gt;""),AND(JY15&gt;=KE$32,JY15&lt;&gt;""),AND(KC15&gt;=KE$32,KC15&lt;&gt;""),AND(KU15&gt;=LA$32,KU15&lt;&gt;""),AND(KY15&gt;=LA$32,KY15&lt;&gt;""),AND(LQ15&gt;=LW$32,LQ15&lt;&gt;""),AND(LU15&gt;=LW$32,LU15&lt;&gt;""),AND(MM15&gt;=MS$32,MM15&lt;&gt;""),AND(MQ15&gt;=MS$32,MQ15&lt;&gt;""),AND(NI15&gt;=NO$32,NI15&lt;&gt;""),AND(NM15&gt;=NO$32,NM15&lt;&gt;"")),"Merit",IF(OR(AND(AR15&gt;=AY$31,AR15&lt;&gt;"",AP15=""),AND(AT15&gt;=AY$31,AT15&lt;&gt;"",AP15=""),AND(AW15&gt;=AY$31,AW15&lt;&gt;"",AP15=""),AND(BV15&gt;=CC$31,BV15&lt;&gt;"",BT15=""),AND(BX15&gt;=CC$31,BX15&lt;&gt;"",BT15=""),AND(CA15&gt;=CC$31,CA15&lt;&gt;"",BT15=""),AND(CZ15&gt;=DG$31,CZ15&lt;&gt;"",CX15=""),AND(DB15&gt;=DG$31,DB15&lt;&gt;"",CX15=""),AND(DE15&gt;=DG$31,DE15&lt;&gt;"",CX15=""),AND(EA15&gt;=EG$31,EA15&lt;&gt;""),AND(EE15&gt;=EG$31,EE15&lt;&gt;""),AND(EW15&gt;=FC$31,EW15&lt;&gt;""),AND(FA15&gt;=FC$31,FA15&lt;&gt;""),AND(FS15&gt;=FY$31,FS15&lt;&gt;""),AND(FW15&gt;=FY$31,FW15&lt;&gt;""),AND(GO15&gt;=GU$31,GO15&lt;&gt;""),AND(GS15&gt;=GU$31,GS15&lt;&gt;""),AND(HK15&gt;=HQ$31,HK15&lt;&gt;""),AND(HO15&gt;=HQ$31,HO15&lt;&gt;""),AND(IG15&gt;=IM$31,IG15&lt;&gt;""),AND(IK15&gt;=IM$31,IK15&lt;&gt;""),AND(JC15&gt;=JI$31,JC15&lt;&gt;""),AND(JG15&gt;=JI$31,JG15&lt;&gt;""),AND(JY15&gt;=KE$31,JY15&lt;&gt;""),AND(KC15&gt;=KE$31,KC15&lt;&gt;""),AND(KU15&gt;=LA$31,KU15&lt;&gt;""),AND(KY15&gt;=LA$31,KY15&lt;&gt;""),AND(LQ15&gt;=LW$31,LQ15&lt;&gt;""),AND(LU15&gt;=LW$31,LU15&lt;&gt;""),AND(MM15&gt;=MS$31,MM15&lt;&gt;""),AND(MQ15&gt;=MS$31,MQ15&lt;&gt;""),AND(NI15&gt;=NO$31,NI15&lt;&gt;""),AND(NM15&gt;=NO$31,NM15&lt;&gt;"")),"Excellence",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Worlds Team",IF(OR(AND(AR15&gt;=AY$29,AR15&lt;&gt;"",AP15=""),AND(AT15&gt;=AY$29,AT15&lt;&gt;"",AP15=""),AND(AW15&gt;=AY$29,AW15&lt;&gt;"",AP15=""),AND(BV15&gt;=CC$29,BV15&lt;&gt;"",BT15=""),AND(BX15&gt;=CC$29,BX15&lt;&gt;"",BT15=""),AND(CA15&gt;=CC$29,CA15&lt;&gt;"",BT15=""),AND(CZ15&gt;=DG$29,CZ15&lt;&gt;"",CX15=""),AND(DB15&gt;=DG$29,DB15&lt;&gt;"",CX15=""),AND(DE15&gt;=DG$29,DE15&lt;&gt;"",CX15=""),AND(EA15&gt;=EG$29,EA15&lt;&gt;""),AND(EE15&gt;=EG$29,EE15&lt;&gt;""),AND(EW15&gt;=FC$29,EW15&lt;&gt;""),AND(FA15&gt;=FC$29,FA15&lt;&gt;""),AND(FS15&gt;=FY$29,FS15&lt;&gt;""),AND(FW15&gt;=FY$29,FW15&lt;&gt;""),AND(GO15&gt;=GU$29,GO15&lt;&gt;""),AND(GS15&gt;=GU$29,GS15&lt;&gt;""),AND(HK15&gt;=HQ$29,HK15&lt;&gt;""),AND(HO15&gt;=HQ$29,HO15&lt;&gt;""),AND(IG15&gt;=IM$29,IG15&lt;&gt;""),AND(IK15&gt;=IM$29,IK15&lt;&gt;""),AND(JC15&gt;=JI$29,JC15&lt;&gt;""),AND(JG15&gt;=JI$29,JG15&lt;&gt;""),AND(JY15&gt;=KE$29,JY15&lt;&gt;""),AND(KC15&gt;=KE$29,KC15&lt;&gt;""),AND(KU15&gt;=LA$29,KU15&lt;&gt;""),AND(KY15&gt;=LA$29,KY15&lt;&gt;""),AND(LQ15&gt;=LW$29,LQ15&lt;&gt;""),AND(LU15&gt;=LW$29,LU15&lt;&gt;""),AND(MM15&gt;=MS$29,MM15&lt;&gt;""),AND(MQ15&gt;=MS$29,MQ15&lt;&gt;""),AND(NI15&gt;=NO$29,NI15&lt;&gt;""),AND(NM15&gt;=NO$29,NM15&lt;&gt;"")),"National Team",""))))</f>
        <v>National Team</v>
      </c>
      <c r="H15" s="125" t="str">
        <f>IF(OR(AND(AS15&gt;=AY$36,AS15&lt;&gt;"",AP15=""),AND(AU15&gt;=AY$36,AU15&lt;&gt;"",AP15=""),AND(AX15&gt;=AY$36,AX15&lt;&gt;"",AP15=""),AND(BW15&gt;=CC$36,BW15&lt;&gt;"",BT15=""),AND(BY15&gt;=CC$36,BY15&lt;&gt;"",BT15=""),AND(CB15&gt;=CC$36,CB15&lt;&gt;"",BT15=""),AND(DA15&gt;=DG$36,DA15&lt;&gt;"",CX15=""),AND(DC15&gt;=DG$36,DC15&lt;&gt;"",CX15=""),AND(DF15&gt;=DG$36,DF15&lt;&gt;"",CX15=""),AND(EC15&gt;=EG$36,EC15&lt;&gt;""),AND(EF15&gt;=EG$36,EF15&lt;&gt;""),AND(EY15&gt;=FC$36,EY15&lt;&gt;""),AND(FB15&gt;=FC$36,FB15&lt;&gt;""),AND(FU15&gt;=FY$36,FU15&lt;&gt;""),AND(FX15&gt;=FY$36,FX15&lt;&gt;""),AND(GQ15&gt;=GU$36,GQ15&lt;&gt;""),AND(GT15&gt;=GU$36,GT15&lt;&gt;""),AND(HM15&gt;=HQ$36,HM15&lt;&gt;""),AND(HP15&gt;=HQ$36,HP15&lt;&gt;""),AND(II15&gt;=IM$36,II15&lt;&gt;""),AND(IL15&gt;=IM$36,IL15&lt;&gt;""),AND(JE15&gt;=JI$36,JE15&lt;&gt;""),AND(JH15&gt;=JI$36,JH15&lt;&gt;""),AND(KA15&gt;=KE$36,KA15&lt;&gt;""),AND(KD15&gt;=KE$36,KD15&lt;&gt;""),AND(KW15&gt;=LA$36,KW15&lt;&gt;""),AND(KZ15&gt;=LA$36,KZ15&lt;&gt;""),AND(LS15&gt;=LW$36,LS15&lt;&gt;""),AND(LV15&gt;=LW$36,LV15&lt;&gt;""),AND(MO15&gt;=MS$36,MO15&lt;&gt;""),AND(MR15&gt;=MS$36,MR15&lt;&gt;""),AND(NK15&gt;=NO$36,NK15&lt;&gt;""),AND(NN15&gt;=NO$36,NN15&lt;&gt;"")),"Merit",IF(OR(AND(AS15&gt;=AY$35,AS15&lt;&gt;"",AP15=""),AND(AU15&gt;=AY$35,AU15&lt;&gt;"",AP15=""),AND(AX15&gt;=AY$35,AX15&lt;&gt;"",AP15=""),AND(BW15&gt;=CC$35,BW15&lt;&gt;"",BT15=""),AND(BY15&gt;=CC$35,BY15&lt;&gt;"",BT15=""),AND(CB15&gt;=CC$35,CB15&lt;&gt;"",BT15=""),AND(DA15&gt;=DG$35,DA15&lt;&gt;"",CX15=""),AND(DC15&gt;=DG$35,DC15&lt;&gt;"",CX15=""),AND(DF15&gt;=DG$35,DF15&lt;&gt;"",CX15=""),AND(EC15&gt;=EG$35,EC15&lt;&gt;""),AND(EF15&gt;=EG$35,EF15&lt;&gt;""),AND(EY15&gt;=FC$35,EY15&lt;&gt;""),AND(FB15&gt;=FC$35,FB15&lt;&gt;""),AND(FU15&gt;=FY$35,FU15&lt;&gt;""),AND(FX15&gt;=FY$35,FX15&lt;&gt;""),AND(GQ15&gt;=GU$35,GQ15&lt;&gt;""),AND(GT15&gt;=GU$35,GT15&lt;&gt;""),AND(HM15&gt;=HQ$35,HM15&lt;&gt;""),AND(HP15&gt;=HQ$35,HP15&lt;&gt;""),AND(II15&gt;=IM$35,II15&lt;&gt;""),AND(IL15&gt;=IM$35,IL15&lt;&gt;""),AND(JE15&gt;=JI$35,JE15&lt;&gt;""),AND(JH15&gt;=JI$35,JH15&lt;&gt;""),AND(KA15&gt;=KE$35,KA15&lt;&gt;""),AND(KD15&gt;=KE$35,KD15&lt;&gt;""),AND(KW15&gt;=LA$35,KW15&lt;&gt;""),AND(KZ15&gt;=LA$35,KZ15&lt;&gt;""),AND(LS15&gt;=LW$35,LS15&lt;&gt;""),AND(LV15&gt;=LW$35,LV15&lt;&gt;""),AND(MO15&gt;=MS$35,MO15&lt;&gt;""),AND(MR15&gt;=MS$35,MR15&lt;&gt;""),AND(NK15&gt;=NO$35,NK15&lt;&gt;""),AND(NN15&gt;=NO$35,NN15&lt;&gt;"")),"Excellence",IF(OR(AND(AV15&gt;=AY$34,AV15&lt;&gt;"",AP15=""),AND(BZ15&gt;=CC$34,BZ15&lt;&gt;"",BT15=""),AND(DD15&gt;=DG$34,DD15&lt;&gt;"",CX15=""),AND(ED15&gt;=EG$34,ED15&lt;&gt;""),AND(EZ15&gt;=FC$34,EZ15&lt;&gt;""),AND(FV15&gt;=FY$34,FV15&lt;&gt;""),AND(GR15&gt;=GU$34,GR15&lt;&gt;""),AND(HN15&gt;=HQ$34,HN15&lt;&gt;""),AND(IJ15&gt;=IM$34,IJ15&lt;&gt;""),AND(JF15&gt;=JI$34,JF15&lt;&gt;""),AND(KB15&gt;=KE$34,KB15&lt;&gt;""),AND(KX15&gt;=LA$34,KX15&lt;&gt;""),AND(LT15&gt;=LW$34,LT15&lt;&gt;""),AND(MP15&gt;=MS$34,MP15&lt;&gt;""),AND(NL15&gt;=NO$34,NL15&lt;&gt;"")),"Worlds Team",IF(OR(AND(AV15&gt;=AY$33,AV15&lt;&gt;"",AP15=""),AND(BZ15&gt;=CC$33,BZ15&lt;&gt;"",BT15=""),AND(DD15&gt;=DG$33,DD15&lt;&gt;"",CX15=""),AND(ED15&gt;=EG$33,ED15&lt;&gt;""),AND(EZ15&gt;=FC$33,EZ15&lt;&gt;""),AND(FV15&gt;=FY$33,FV15&lt;&gt;""),AND(GR15&gt;=GU$33,GR15&lt;&gt;""),AND(HN15&gt;=HQ$33,HN15&lt;&gt;""),AND(IJ15&gt;=IM$33,IJ15&lt;&gt;""),AND(JF15&gt;=JI$33,JF15&lt;&gt;""),AND(KB15&gt;=KE$33,KB15&lt;&gt;""),AND(KX15&gt;=LA$33,KX15&lt;&gt;""),AND(LT15&gt;=LW$33,LT15&lt;&gt;""),AND(MP15&gt;=MS$33,MP15&lt;&gt;""),AND(NL15&gt;=NO$33,NL15&lt;&gt;"")),"National Team",""))))</f>
        <v>National Team</v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>National Team</v>
      </c>
      <c r="J15" s="3" t="str">
        <f>IF(AND(OR(AND(AV15&gt;=AY$34,AV15&lt;&gt;"",AP15=""),AND(BZ15&gt;=CC$34,BZ15&lt;&gt;"",BT15=""),AND(DD15&gt;=DG$34,DD15&lt;&gt;"",CX15=""),AND(ED15&gt;=EG$34,ED15&lt;&gt;""),AND(EZ15&gt;=FC$34,EZ15&lt;&gt;""),AND(FV15&gt;=FY$34,FV15&lt;&gt;""),AND(GR15&gt;=GU$34,GR15&lt;&gt;""),AND(HN15&gt;=HQ$34,HN15&lt;&gt;""),AND(IJ15&gt;=IM$34,IJ15&lt;&gt;""),AND(JF15&gt;=JI$34,JF15&lt;&gt;""),AND(KB15&gt;=KE$34,KB15&lt;&gt;""),AND(KX15&gt;=LA$34,KX15&lt;&gt;""),AND(LT15&gt;=LW$34,LT15&lt;&gt;""),AND(MP15&gt;=MS$34,MP15&lt;&gt;""),AND(NL15&gt;=NO$34,NL15&lt;&gt;"")),OR(G15="Worlds Team",G15="Excellence",G15="Merit")),"P","")</f>
        <v/>
      </c>
      <c r="K15" s="14">
        <f>IF(MAX(AV15,BZ15,DD15)&gt;0,MAX(AV15,BZ15,DD15),0)</f>
        <v>104.905</v>
      </c>
      <c r="L15" s="14" t="str">
        <f>IF(K15=0,"",IF(K15=DD15,$CD$1,IF(K15=BZ15,$AZ$1,IF(K15=AV15,$V$1,""))))</f>
        <v>2019 Nationals</v>
      </c>
      <c r="M15" s="14">
        <f>IF($K15=$AV15,MAX(BU15,CY15),IF($K15=$BZ15,MAX(AQ15,CY15),IF($K15=$DD15,MAX(AQ15,BU15),MAX(AQ15,BU15,CY15))))</f>
        <v>0</v>
      </c>
      <c r="N15" s="14" t="str">
        <f>IF(M15=0,"",IF(AND(M15=CY15,$L15&lt;&gt;$CD$1),$CD$1,IF(AND(M15=BU15,$L15&lt;&gt;$AZ$1),$AZ$1,IF(AND(M15=AQ15,$L15&lt;&gt;$V$1),$V$1,""))))</f>
        <v/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0</v>
      </c>
      <c r="P15" s="14" t="str">
        <f>IF(O15=0,"",IF(OR(O15=DC15,O15=DA15),$CD$1,IF(OR(O15=BY15,O15=BW15),$AZ$1,IF(OR(O15=AU15,O15=AS15),$V$1,""))))</f>
        <v/>
      </c>
      <c r="Q15" s="14">
        <f>MAX(AX15,CB15,DF15)</f>
        <v>56.43</v>
      </c>
      <c r="R15" s="14" t="str">
        <f>IF(Q15=0,"",IF(Q15=DF15,$CD$1,IF(Q15=CB15,$AZ$1,IF(Q15=AX15,$V$1,""))))</f>
        <v>2019 Nationals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17.7</v>
      </c>
      <c r="W15" s="69">
        <v>9.5</v>
      </c>
      <c r="X15" s="69">
        <v>4.8</v>
      </c>
      <c r="Y15" s="69">
        <v>17.375</v>
      </c>
      <c r="Z15" s="69">
        <v>0</v>
      </c>
      <c r="AA15" s="69">
        <v>16.100000000000001</v>
      </c>
      <c r="AB15" s="69">
        <v>8.9</v>
      </c>
      <c r="AC15" s="69">
        <v>14.4</v>
      </c>
      <c r="AD15" s="69">
        <v>16.13</v>
      </c>
      <c r="AE15" s="69">
        <v>0</v>
      </c>
      <c r="AF15" s="69"/>
      <c r="AG15" s="69"/>
      <c r="AH15" s="69"/>
      <c r="AI15" s="69"/>
      <c r="AJ15" s="69"/>
      <c r="AK15" s="69">
        <v>16.32</v>
      </c>
      <c r="AL15" s="69">
        <v>9.5</v>
      </c>
      <c r="AM15" s="69">
        <v>14.4</v>
      </c>
      <c r="AN15" s="69">
        <v>16.21</v>
      </c>
      <c r="AO15" s="69">
        <v>0</v>
      </c>
      <c r="AP15" s="80"/>
      <c r="AQ15" s="11">
        <f>IF(SUM(V15:Y15)-Z15&gt;0,SUM(V15:Y15)-Z15,"")</f>
        <v>49.375</v>
      </c>
      <c r="AR15" s="11">
        <f>IF(AC15&gt;0,AC15,"")</f>
        <v>14.4</v>
      </c>
      <c r="AS15" s="11">
        <f>IF(SUM(AA15:AD15)-AE15&gt;0,SUM(AA15:AD15)-AE15,"")</f>
        <v>55.53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104.905</v>
      </c>
      <c r="AW15" s="11">
        <f>IF(AM15&gt;0,AM15,"")</f>
        <v>14.4</v>
      </c>
      <c r="AX15" s="11">
        <f>IF(SUM(AK15:AN15)-AO15&gt;0,SUM(AK15:AN15)-AO15,"")</f>
        <v>56.43</v>
      </c>
      <c r="AY15" s="11">
        <f>IF(SUM(AV15,AX15)&gt;0,SUM(AV15,AX15),"")</f>
        <v>161.33500000000001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>IF(SUM(AZ15:BC15)-BD15&gt;0,SUM(AZ15:BC15)-BD15,"")</f>
        <v/>
      </c>
      <c r="BV15" s="14" t="str">
        <f>IF(BG15&gt;0,BG15,"")</f>
        <v/>
      </c>
      <c r="BW15" s="14" t="str">
        <f>IF(SUM(BE15:BH15)-BI15&gt;0,SUM(BE15:BH15)-BI15,"")</f>
        <v/>
      </c>
      <c r="BX15" s="14" t="str">
        <f>IF(BL15&gt;0,BL15,"")</f>
        <v/>
      </c>
      <c r="BY15" s="14" t="str">
        <f>IF(SUM(BJ15:BM15)-BN15&gt;0,SUM(BJ15:BM15)-BN15,"")</f>
        <v/>
      </c>
      <c r="BZ15" s="14" t="str">
        <f>IF(BU15="",IF(MAX(BW15,BY15)&gt;0,MAX(BW15,BY15),""),MAX(BW15,BY15)+BU15)</f>
        <v/>
      </c>
      <c r="CA15" s="14" t="str">
        <f>IF(BQ15&gt;0,BQ15,"")</f>
        <v/>
      </c>
      <c r="CB15" s="14" t="str">
        <f>IF(SUM(BO15:BR15)-BS15&gt;0,SUM(BO15:BR15)-BS15,"")</f>
        <v/>
      </c>
      <c r="CC15" s="14" t="str">
        <f>IF(SUM(BZ15,CB15)&gt;0,SUM(BZ15,CB15),"")</f>
        <v/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0</v>
      </c>
      <c r="NQ15" s="69">
        <f>IF($CX15="P",CE15,(CE15+BA15)/2)</f>
        <v>0</v>
      </c>
      <c r="NR15" s="69">
        <f>IF($CX15="P",CF15,(CF15+BB15)/2)</f>
        <v>0</v>
      </c>
      <c r="NS15" s="69">
        <f>IF($CX15="P",CG15,(CG15+BC15)/2)</f>
        <v>0</v>
      </c>
      <c r="NT15" s="69">
        <f>IF($CX15="P",CH15,(CH15+BD15)/2)</f>
        <v>0</v>
      </c>
      <c r="NU15" s="69">
        <f>IF($CX15="P",CI15,(CI15+BE15)/2)</f>
        <v>0</v>
      </c>
      <c r="NV15" s="69">
        <f>IF($CX15="P",CJ15,(CJ15+BF15)/2)</f>
        <v>0</v>
      </c>
      <c r="NW15" s="69">
        <f>IF($CX15="P",CK15,(CK15+BG15)/2)</f>
        <v>0</v>
      </c>
      <c r="NX15" s="69">
        <f>IF($CX15="P",CL15,(CL15+BH15)/2)</f>
        <v>0</v>
      </c>
      <c r="NY15" s="69">
        <f>IF($CX15="P",CM15,(CM15+BI15)/2)</f>
        <v>0</v>
      </c>
      <c r="NZ15" s="69">
        <f>IF($CX15="P",CN15,(CN15+BJ15)/2)</f>
        <v>0</v>
      </c>
      <c r="OA15" s="69">
        <f>IF($CX15="P",CO15,(CO15+BK15)/2)</f>
        <v>0</v>
      </c>
      <c r="OB15" s="69">
        <f>IF($CX15="P",CP15,(CP15+BL15)/2)</f>
        <v>0</v>
      </c>
      <c r="OC15" s="69">
        <f>IF($CX15="P",CQ15,(CQ15+BM15)/2)</f>
        <v>0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88</v>
      </c>
      <c r="OK15" s="11" t="str">
        <f>IF(SUM(NP15:NS15)-NT15&gt;0,SUM(NP15:NS15)-NT15,"")</f>
        <v/>
      </c>
      <c r="OL15" s="11" t="str">
        <f>IF(NW15&gt;0,NW15,"")</f>
        <v/>
      </c>
      <c r="OM15" s="11" t="str">
        <f>IF(SUM(NU15:NX15)-NY15&gt;0,SUM(NU15:NX15)-NY15,"")</f>
        <v/>
      </c>
      <c r="ON15" s="11" t="str">
        <f>IF(OB15&gt;0,OB15,"")</f>
        <v/>
      </c>
      <c r="OO15" s="11" t="str">
        <f>IF(SUM(NZ15:OC15)-OD15&gt;0,SUM(NZ15:OC15)-OD15,"")</f>
        <v/>
      </c>
      <c r="OP15" s="11" t="str">
        <f>IF(OR(OK15&lt;&gt;"",OM15&lt;&gt;"",OO15&lt;&gt;""),OK15+MAX(OM15,OO15),"")</f>
        <v/>
      </c>
      <c r="OQ15" s="11" t="str">
        <f>IF(OG15&gt;0,OG15,"")</f>
        <v/>
      </c>
      <c r="OR15" s="11" t="str">
        <f t="shared" si="0"/>
        <v/>
      </c>
      <c r="OS15" s="11" t="str">
        <f t="shared" si="1"/>
        <v/>
      </c>
    </row>
    <row r="16" spans="1:409" x14ac:dyDescent="0.2">
      <c r="A16" s="5" cm="1">
        <f t="array" ref="A16">IF(AND(G16&lt;&gt;"",H16&lt;&gt;""),SUMPRODUCT((G$4:G$27&lt;&gt;"")*(H$4:H$27&lt;&gt;"")*(E$4:E$27&gt;E16))+1,IF(H16&lt;&gt;"",SUMPRODUCT((I$4:I$27="No DD")*(E$4:E$27&gt;E16))+1+SUMPRODUCT((G$4:G$27&lt;&gt;"")*(H$4:H$27&lt;&gt;"")),""))</f>
        <v>9</v>
      </c>
      <c r="B16" s="6" t="s">
        <v>148</v>
      </c>
      <c r="C16" s="7" t="s">
        <v>147</v>
      </c>
      <c r="D16" s="27">
        <v>2001</v>
      </c>
      <c r="E16" s="15">
        <f>SUM(K16:S16)</f>
        <v>158.66999999999999</v>
      </c>
      <c r="F16" s="3" t="str">
        <f>IF(G16&lt;&gt;"","P","")</f>
        <v>P</v>
      </c>
      <c r="G16" s="125" t="str">
        <f>IF(OR(AND(AR16&gt;=AY$32,AR16&lt;&gt;"",AP16=""),AND(AT16&gt;=AY$32,AT16&lt;&gt;"",AP16=""),AND(AW16&gt;=AY$32,AW16&lt;&gt;"",AP16=""),AND(BV16&gt;=CC$32,BV16&lt;&gt;"",BT16=""),AND(BX16&gt;=CC$32,BX16&lt;&gt;"",BT16=""),AND(CA16&gt;=CC$32,CA16&lt;&gt;"",BT16=""),AND(CZ16&gt;=DG$32,CZ16&lt;&gt;"",CX16=""),AND(DB16&gt;=DG$32,DB16&lt;&gt;"",CX16=""),AND(DE16&gt;=DG$32,DE16&lt;&gt;"",CX16=""),AND(EA16&gt;=EG$32,EA16&lt;&gt;""),AND(EE16&gt;=EG$32,EE16&lt;&gt;""),AND(EW16&gt;=FC$32,EW16&lt;&gt;""),AND(FA16&gt;=FC$32,FA16&lt;&gt;""),AND(FS16&gt;=FY$32,FS16&lt;&gt;""),AND(FW16&gt;=FY$32,FW16&lt;&gt;""),AND(GO16&gt;=GU$32,GO16&lt;&gt;""),AND(GS16&gt;=GU$32,GS16&lt;&gt;""),AND(HK16&gt;=HQ$32,HK16&lt;&gt;""),AND(HO16&gt;=HQ$32,HO16&lt;&gt;""),AND(IG16&gt;=IM$32,IG16&lt;&gt;""),AND(IK16&gt;=IM$32,IK16&lt;&gt;""),AND(JC16&gt;=JI$32,JC16&lt;&gt;""),AND(JG16&gt;=JI$32,JG16&lt;&gt;""),AND(JY16&gt;=KE$32,JY16&lt;&gt;""),AND(KC16&gt;=KE$32,KC16&lt;&gt;""),AND(KU16&gt;=LA$32,KU16&lt;&gt;""),AND(KY16&gt;=LA$32,KY16&lt;&gt;""),AND(LQ16&gt;=LW$32,LQ16&lt;&gt;""),AND(LU16&gt;=LW$32,LU16&lt;&gt;""),AND(MM16&gt;=MS$32,MM16&lt;&gt;""),AND(MQ16&gt;=MS$32,MQ16&lt;&gt;""),AND(NI16&gt;=NO$32,NI16&lt;&gt;""),AND(NM16&gt;=NO$32,NM16&lt;&gt;"")),"Merit",IF(OR(AND(AR16&gt;=AY$31,AR16&lt;&gt;"",AP16=""),AND(AT16&gt;=AY$31,AT16&lt;&gt;"",AP16=""),AND(AW16&gt;=AY$31,AW16&lt;&gt;"",AP16=""),AND(BV16&gt;=CC$31,BV16&lt;&gt;"",BT16=""),AND(BX16&gt;=CC$31,BX16&lt;&gt;"",BT16=""),AND(CA16&gt;=CC$31,CA16&lt;&gt;"",BT16=""),AND(CZ16&gt;=DG$31,CZ16&lt;&gt;"",CX16=""),AND(DB16&gt;=DG$31,DB16&lt;&gt;"",CX16=""),AND(DE16&gt;=DG$31,DE16&lt;&gt;"",CX16=""),AND(EA16&gt;=EG$31,EA16&lt;&gt;""),AND(EE16&gt;=EG$31,EE16&lt;&gt;""),AND(EW16&gt;=FC$31,EW16&lt;&gt;""),AND(FA16&gt;=FC$31,FA16&lt;&gt;""),AND(FS16&gt;=FY$31,FS16&lt;&gt;""),AND(FW16&gt;=FY$31,FW16&lt;&gt;""),AND(GO16&gt;=GU$31,GO16&lt;&gt;""),AND(GS16&gt;=GU$31,GS16&lt;&gt;""),AND(HK16&gt;=HQ$31,HK16&lt;&gt;""),AND(HO16&gt;=HQ$31,HO16&lt;&gt;""),AND(IG16&gt;=IM$31,IG16&lt;&gt;""),AND(IK16&gt;=IM$31,IK16&lt;&gt;""),AND(JC16&gt;=JI$31,JC16&lt;&gt;""),AND(JG16&gt;=JI$31,JG16&lt;&gt;""),AND(JY16&gt;=KE$31,JY16&lt;&gt;""),AND(KC16&gt;=KE$31,KC16&lt;&gt;""),AND(KU16&gt;=LA$31,KU16&lt;&gt;""),AND(KY16&gt;=LA$31,KY16&lt;&gt;""),AND(LQ16&gt;=LW$31,LQ16&lt;&gt;""),AND(LU16&gt;=LW$31,LU16&lt;&gt;""),AND(MM16&gt;=MS$31,MM16&lt;&gt;""),AND(MQ16&gt;=MS$31,MQ16&lt;&gt;""),AND(NI16&gt;=NO$31,NI16&lt;&gt;""),AND(NM16&gt;=NO$31,NM16&lt;&gt;"")),"Excellence",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Worlds Team",IF(OR(AND(AR16&gt;=AY$29,AR16&lt;&gt;"",AP16=""),AND(AT16&gt;=AY$29,AT16&lt;&gt;"",AP16=""),AND(AW16&gt;=AY$29,AW16&lt;&gt;"",AP16=""),AND(BV16&gt;=CC$29,BV16&lt;&gt;"",BT16=""),AND(BX16&gt;=CC$29,BX16&lt;&gt;"",BT16=""),AND(CA16&gt;=CC$29,CA16&lt;&gt;"",BT16=""),AND(CZ16&gt;=DG$29,CZ16&lt;&gt;"",CX16=""),AND(DB16&gt;=DG$29,DB16&lt;&gt;"",CX16=""),AND(DE16&gt;=DG$29,DE16&lt;&gt;"",CX16=""),AND(EA16&gt;=EG$29,EA16&lt;&gt;""),AND(EE16&gt;=EG$29,EE16&lt;&gt;""),AND(EW16&gt;=FC$29,EW16&lt;&gt;""),AND(FA16&gt;=FC$29,FA16&lt;&gt;""),AND(FS16&gt;=FY$29,FS16&lt;&gt;""),AND(FW16&gt;=FY$29,FW16&lt;&gt;""),AND(GO16&gt;=GU$29,GO16&lt;&gt;""),AND(GS16&gt;=GU$29,GS16&lt;&gt;""),AND(HK16&gt;=HQ$29,HK16&lt;&gt;""),AND(HO16&gt;=HQ$29,HO16&lt;&gt;""),AND(IG16&gt;=IM$29,IG16&lt;&gt;""),AND(IK16&gt;=IM$29,IK16&lt;&gt;""),AND(JC16&gt;=JI$29,JC16&lt;&gt;""),AND(JG16&gt;=JI$29,JG16&lt;&gt;""),AND(JY16&gt;=KE$29,JY16&lt;&gt;""),AND(KC16&gt;=KE$29,KC16&lt;&gt;""),AND(KU16&gt;=LA$29,KU16&lt;&gt;""),AND(KY16&gt;=LA$29,KY16&lt;&gt;""),AND(LQ16&gt;=LW$29,LQ16&lt;&gt;""),AND(LU16&gt;=LW$29,LU16&lt;&gt;""),AND(MM16&gt;=MS$29,MM16&lt;&gt;""),AND(MQ16&gt;=MS$29,MQ16&lt;&gt;""),AND(NI16&gt;=NO$29,NI16&lt;&gt;""),AND(NM16&gt;=NO$29,NM16&lt;&gt;"")),"National Team",""))))</f>
        <v>National Team</v>
      </c>
      <c r="H16" s="125" t="str">
        <f>IF(OR(AND(AS16&gt;=AY$36,AS16&lt;&gt;"",AP16=""),AND(AU16&gt;=AY$36,AU16&lt;&gt;"",AP16=""),AND(AX16&gt;=AY$36,AX16&lt;&gt;"",AP16=""),AND(BW16&gt;=CC$36,BW16&lt;&gt;"",BT16=""),AND(BY16&gt;=CC$36,BY16&lt;&gt;"",BT16=""),AND(CB16&gt;=CC$36,CB16&lt;&gt;"",BT16=""),AND(DA16&gt;=DG$36,DA16&lt;&gt;"",CX16=""),AND(DC16&gt;=DG$36,DC16&lt;&gt;"",CX16=""),AND(DF16&gt;=DG$36,DF16&lt;&gt;"",CX16=""),AND(EC16&gt;=EG$36,EC16&lt;&gt;""),AND(EF16&gt;=EG$36,EF16&lt;&gt;""),AND(EY16&gt;=FC$36,EY16&lt;&gt;""),AND(FB16&gt;=FC$36,FB16&lt;&gt;""),AND(FU16&gt;=FY$36,FU16&lt;&gt;""),AND(FX16&gt;=FY$36,FX16&lt;&gt;""),AND(GQ16&gt;=GU$36,GQ16&lt;&gt;""),AND(GT16&gt;=GU$36,GT16&lt;&gt;""),AND(HM16&gt;=HQ$36,HM16&lt;&gt;""),AND(HP16&gt;=HQ$36,HP16&lt;&gt;""),AND(II16&gt;=IM$36,II16&lt;&gt;""),AND(IL16&gt;=IM$36,IL16&lt;&gt;""),AND(JE16&gt;=JI$36,JE16&lt;&gt;""),AND(JH16&gt;=JI$36,JH16&lt;&gt;""),AND(KA16&gt;=KE$36,KA16&lt;&gt;""),AND(KD16&gt;=KE$36,KD16&lt;&gt;""),AND(KW16&gt;=LA$36,KW16&lt;&gt;""),AND(KZ16&gt;=LA$36,KZ16&lt;&gt;""),AND(LS16&gt;=LW$36,LS16&lt;&gt;""),AND(LV16&gt;=LW$36,LV16&lt;&gt;""),AND(MO16&gt;=MS$36,MO16&lt;&gt;""),AND(MR16&gt;=MS$36,MR16&lt;&gt;""),AND(NK16&gt;=NO$36,NK16&lt;&gt;""),AND(NN16&gt;=NO$36,NN16&lt;&gt;"")),"Merit",IF(OR(AND(AS16&gt;=AY$35,AS16&lt;&gt;"",AP16=""),AND(AU16&gt;=AY$35,AU16&lt;&gt;"",AP16=""),AND(AX16&gt;=AY$35,AX16&lt;&gt;"",AP16=""),AND(BW16&gt;=CC$35,BW16&lt;&gt;"",BT16=""),AND(BY16&gt;=CC$35,BY16&lt;&gt;"",BT16=""),AND(CB16&gt;=CC$35,CB16&lt;&gt;"",BT16=""),AND(DA16&gt;=DG$35,DA16&lt;&gt;"",CX16=""),AND(DC16&gt;=DG$35,DC16&lt;&gt;"",CX16=""),AND(DF16&gt;=DG$35,DF16&lt;&gt;"",CX16=""),AND(EC16&gt;=EG$35,EC16&lt;&gt;""),AND(EF16&gt;=EG$35,EF16&lt;&gt;""),AND(EY16&gt;=FC$35,EY16&lt;&gt;""),AND(FB16&gt;=FC$35,FB16&lt;&gt;""),AND(FU16&gt;=FY$35,FU16&lt;&gt;""),AND(FX16&gt;=FY$35,FX16&lt;&gt;""),AND(GQ16&gt;=GU$35,GQ16&lt;&gt;""),AND(GT16&gt;=GU$35,GT16&lt;&gt;""),AND(HM16&gt;=HQ$35,HM16&lt;&gt;""),AND(HP16&gt;=HQ$35,HP16&lt;&gt;""),AND(II16&gt;=IM$35,II16&lt;&gt;""),AND(IL16&gt;=IM$35,IL16&lt;&gt;""),AND(JE16&gt;=JI$35,JE16&lt;&gt;""),AND(JH16&gt;=JI$35,JH16&lt;&gt;""),AND(KA16&gt;=KE$35,KA16&lt;&gt;""),AND(KD16&gt;=KE$35,KD16&lt;&gt;""),AND(KW16&gt;=LA$35,KW16&lt;&gt;""),AND(KZ16&gt;=LA$35,KZ16&lt;&gt;""),AND(LS16&gt;=LW$35,LS16&lt;&gt;""),AND(LV16&gt;=LW$35,LV16&lt;&gt;""),AND(MO16&gt;=MS$35,MO16&lt;&gt;""),AND(MR16&gt;=MS$35,MR16&lt;&gt;""),AND(NK16&gt;=NO$35,NK16&lt;&gt;""),AND(NN16&gt;=NO$35,NN16&lt;&gt;"")),"Excellence",IF(OR(AND(AV16&gt;=AY$34,AV16&lt;&gt;"",AP16=""),AND(BZ16&gt;=CC$34,BZ16&lt;&gt;"",BT16=""),AND(DD16&gt;=DG$34,DD16&lt;&gt;"",CX16=""),AND(ED16&gt;=EG$34,ED16&lt;&gt;""),AND(EZ16&gt;=FC$34,EZ16&lt;&gt;""),AND(FV16&gt;=FY$34,FV16&lt;&gt;""),AND(GR16&gt;=GU$34,GR16&lt;&gt;""),AND(HN16&gt;=HQ$34,HN16&lt;&gt;""),AND(IJ16&gt;=IM$34,IJ16&lt;&gt;""),AND(JF16&gt;=JI$34,JF16&lt;&gt;""),AND(KB16&gt;=KE$34,KB16&lt;&gt;""),AND(KX16&gt;=LA$34,KX16&lt;&gt;""),AND(LT16&gt;=LW$34,LT16&lt;&gt;""),AND(MP16&gt;=MS$34,MP16&lt;&gt;""),AND(NL16&gt;=NO$34,NL16&lt;&gt;"")),"Worlds Team",IF(OR(AND(AV16&gt;=AY$33,AV16&lt;&gt;"",AP16=""),AND(BZ16&gt;=CC$33,BZ16&lt;&gt;"",BT16=""),AND(DD16&gt;=DG$33,DD16&lt;&gt;"",CX16=""),AND(ED16&gt;=EG$33,ED16&lt;&gt;""),AND(EZ16&gt;=FC$33,EZ16&lt;&gt;""),AND(FV16&gt;=FY$33,FV16&lt;&gt;""),AND(GR16&gt;=GU$33,GR16&lt;&gt;""),AND(HN16&gt;=HQ$33,HN16&lt;&gt;""),AND(IJ16&gt;=IM$33,IJ16&lt;&gt;""),AND(JF16&gt;=JI$33,JF16&lt;&gt;""),AND(KB16&gt;=KE$33,KB16&lt;&gt;""),AND(KX16&gt;=LA$33,KX16&lt;&gt;""),AND(LT16&gt;=LW$33,LT16&lt;&gt;""),AND(MP16&gt;=MS$33,MP16&lt;&gt;""),AND(NL16&gt;=NO$33,NL16&lt;&gt;"")),"National Team",""))))</f>
        <v>National Team</v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>National Team</v>
      </c>
      <c r="J16" s="3" t="str">
        <f>IF(AND(OR(AND(AV16&gt;=AY$34,AV16&lt;&gt;"",AP16=""),AND(BZ16&gt;=CC$34,BZ16&lt;&gt;"",BT16=""),AND(DD16&gt;=DG$34,DD16&lt;&gt;"",CX16=""),AND(ED16&gt;=EG$34,ED16&lt;&gt;""),AND(EZ16&gt;=FC$34,EZ16&lt;&gt;""),AND(FV16&gt;=FY$34,FV16&lt;&gt;""),AND(GR16&gt;=GU$34,GR16&lt;&gt;""),AND(HN16&gt;=HQ$34,HN16&lt;&gt;""),AND(IJ16&gt;=IM$34,IJ16&lt;&gt;""),AND(JF16&gt;=JI$34,JF16&lt;&gt;""),AND(KB16&gt;=KE$34,KB16&lt;&gt;""),AND(KX16&gt;=LA$34,KX16&lt;&gt;""),AND(LT16&gt;=LW$34,LT16&lt;&gt;""),AND(MP16&gt;=MS$34,MP16&lt;&gt;""),AND(NL16&gt;=NO$34,NL16&lt;&gt;"")),OR(G16="Worlds Team",G16="Excellence",G16="Merit")),"P","")</f>
        <v/>
      </c>
      <c r="K16" s="14">
        <f>IF(MAX(AV16,BZ16,DD16)&gt;0,MAX(AV16,BZ16,DD16),0)</f>
        <v>103.205</v>
      </c>
      <c r="L16" s="14" t="str">
        <f>IF(K16=0,"",IF(K16=DD16,$CD$1,IF(K16=BZ16,$AZ$1,IF(K16=AV16,$V$1,""))))</f>
        <v>2019 Nationals</v>
      </c>
      <c r="M16" s="14">
        <f>IF($K16=$AV16,MAX(BU16,CY16),IF($K16=$BZ16,MAX(AQ16,CY16),IF($K16=$DD16,MAX(AQ16,BU16),MAX(AQ16,BU16,CY16))))</f>
        <v>0</v>
      </c>
      <c r="N16" s="14" t="str">
        <f>IF(M16=0,"",IF(AND(M16=CY16,$L16&lt;&gt;$CD$1),$CD$1,IF(AND(M16=BU16,$L16&lt;&gt;$AZ$1),$AZ$1,IF(AND(M16=AQ16,$L16&lt;&gt;$V$1),$V$1,""))))</f>
        <v/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0</v>
      </c>
      <c r="P16" s="14" t="str">
        <f>IF(O16=0,"",IF(OR(O16=DC16,O16=DA16),$CD$1,IF(OR(O16=BY16,O16=BW16),$AZ$1,IF(OR(O16=AU16,O16=AS16),$V$1,""))))</f>
        <v/>
      </c>
      <c r="Q16" s="14">
        <f>MAX(AX16,CB16,DF16)</f>
        <v>55.464999999999996</v>
      </c>
      <c r="R16" s="14" t="str">
        <f>IF(Q16=0,"",IF(Q16=DF16,$CD$1,IF(Q16=CB16,$AZ$1,IF(Q16=AX16,$V$1,""))))</f>
        <v>2019 Nationals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15.6</v>
      </c>
      <c r="W16" s="69">
        <v>9.6</v>
      </c>
      <c r="X16" s="69">
        <v>5.4</v>
      </c>
      <c r="Y16" s="69">
        <v>17.48</v>
      </c>
      <c r="Z16" s="69">
        <v>0</v>
      </c>
      <c r="AA16" s="69">
        <v>15.1</v>
      </c>
      <c r="AB16" s="69">
        <v>8.8000000000000007</v>
      </c>
      <c r="AC16" s="69">
        <v>15</v>
      </c>
      <c r="AD16" s="69">
        <v>16.225000000000001</v>
      </c>
      <c r="AE16" s="69">
        <v>0</v>
      </c>
      <c r="AF16" s="69"/>
      <c r="AG16" s="69"/>
      <c r="AH16" s="69"/>
      <c r="AI16" s="69"/>
      <c r="AJ16" s="69"/>
      <c r="AK16" s="69">
        <v>15.14</v>
      </c>
      <c r="AL16" s="69">
        <v>9.1</v>
      </c>
      <c r="AM16" s="69">
        <v>15.2</v>
      </c>
      <c r="AN16" s="69">
        <v>16.024999999999999</v>
      </c>
      <c r="AO16" s="69">
        <v>0</v>
      </c>
      <c r="AP16" s="80"/>
      <c r="AQ16" s="11">
        <f>IF(SUM(V16:Y16)-Z16&gt;0,SUM(V16:Y16)-Z16,"")</f>
        <v>48.08</v>
      </c>
      <c r="AR16" s="11">
        <f>IF(AC16&gt;0,AC16,"")</f>
        <v>15</v>
      </c>
      <c r="AS16" s="11">
        <f>IF(SUM(AA16:AD16)-AE16&gt;0,SUM(AA16:AD16)-AE16,"")</f>
        <v>55.125</v>
      </c>
      <c r="AT16" s="11" t="str">
        <f>IF(AH16&gt;0,AH16,"")</f>
        <v/>
      </c>
      <c r="AU16" s="11" t="str">
        <f>IF(SUM(AF16:AI16)-AJ16&gt;0,SUM(AF16:AI16)-AJ16,"")</f>
        <v/>
      </c>
      <c r="AV16" s="11">
        <f>IF(AQ16="",IF(MAX(AS16,AU16)&gt;0,MAX(AS16,AU16),""),MAX(AS16,AU16)+AQ16)</f>
        <v>103.205</v>
      </c>
      <c r="AW16" s="11">
        <f>IF(AM16&gt;0,AM16,"")</f>
        <v>15.2</v>
      </c>
      <c r="AX16" s="11">
        <f>IF(SUM(AK16:AN16)-AO16&gt;0,SUM(AK16:AN16)-AO16,"")</f>
        <v>55.464999999999996</v>
      </c>
      <c r="AY16" s="11">
        <f>IF(SUM(AV16,AX16)&gt;0,SUM(AV16,AX16),"")</f>
        <v>158.66999999999999</v>
      </c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81"/>
      <c r="BU16" s="14" t="str">
        <f>IF(SUM(AZ16:BC16)-BD16&gt;0,SUM(AZ16:BC16)-BD16,"")</f>
        <v/>
      </c>
      <c r="BV16" s="14" t="str">
        <f>IF(BG16&gt;0,BG16,"")</f>
        <v/>
      </c>
      <c r="BW16" s="14" t="str">
        <f>IF(SUM(BE16:BH16)-BI16&gt;0,SUM(BE16:BH16)-BI16,"")</f>
        <v/>
      </c>
      <c r="BX16" s="14" t="str">
        <f>IF(BL16&gt;0,BL16,"")</f>
        <v/>
      </c>
      <c r="BY16" s="14" t="str">
        <f>IF(SUM(BJ16:BM16)-BN16&gt;0,SUM(BJ16:BM16)-BN16,"")</f>
        <v/>
      </c>
      <c r="BZ16" s="14" t="str">
        <f>IF(BU16="",IF(MAX(BW16,BY16)&gt;0,MAX(BW16,BY16),""),MAX(BW16,BY16)+BU16)</f>
        <v/>
      </c>
      <c r="CA16" s="14" t="str">
        <f>IF(BQ16&gt;0,BQ16,"")</f>
        <v/>
      </c>
      <c r="CB16" s="14" t="str">
        <f>IF(SUM(BO16:BR16)-BS16&gt;0,SUM(BO16:BR16)-BS16,"")</f>
        <v/>
      </c>
      <c r="CC16" s="14" t="str">
        <f>IF(SUM(BZ16,CB16)&gt;0,SUM(BZ16,CB16),"")</f>
        <v/>
      </c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80"/>
      <c r="CY16" s="11" t="str">
        <f>IF(SUM(CD16:CG16)-CH16&gt;0,SUM(CD16:CG16)-CH16,"")</f>
        <v/>
      </c>
      <c r="CZ16" s="11" t="str">
        <f>IF(CK16&gt;0,CK16,"")</f>
        <v/>
      </c>
      <c r="DA16" s="11" t="str">
        <f>IF(SUM(CI16:CL16)-CM16&gt;0,SUM(CI16:CL16)-CM16,"")</f>
        <v/>
      </c>
      <c r="DB16" s="11" t="str">
        <f>IF(CP16&gt;0,CP16,"")</f>
        <v/>
      </c>
      <c r="DC16" s="11" t="str">
        <f>IF(SUM(CN16:CQ16)-CR16&gt;0,SUM(CN16:CQ16)-CR16,"")</f>
        <v/>
      </c>
      <c r="DD16" s="11" t="str">
        <f>IF(CY16="",IF(MAX(DA16,DC16)&gt;0,MAX(DA16,DC16),""),MAX(DA16,DC16)+CY16)</f>
        <v/>
      </c>
      <c r="DE16" s="11" t="str">
        <f>IF(CU16&gt;0,CU16,"")</f>
        <v/>
      </c>
      <c r="DF16" s="11" t="str">
        <f>IF(SUM(CS16:CV16)-CW16&gt;0,SUM(CS16:CV16)-CW16,"")</f>
        <v/>
      </c>
      <c r="DG16" s="11" t="str">
        <f>IF(SUM(DD16,DF16)&gt;0,SUM(DD16,DF16),"")</f>
        <v/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0</v>
      </c>
      <c r="NQ16" s="69">
        <f>IF($CX16="P",CE16,(CE16+BA16)/2)</f>
        <v>0</v>
      </c>
      <c r="NR16" s="69">
        <f>IF($CX16="P",CF16,(CF16+BB16)/2)</f>
        <v>0</v>
      </c>
      <c r="NS16" s="69">
        <f>IF($CX16="P",CG16,(CG16+BC16)/2)</f>
        <v>0</v>
      </c>
      <c r="NT16" s="69">
        <f>IF($CX16="P",CH16,(CH16+BD16)/2)</f>
        <v>0</v>
      </c>
      <c r="NU16" s="69">
        <f>IF($CX16="P",CI16,(CI16+BE16)/2)</f>
        <v>0</v>
      </c>
      <c r="NV16" s="69">
        <f>IF($CX16="P",CJ16,(CJ16+BF16)/2)</f>
        <v>0</v>
      </c>
      <c r="NW16" s="69">
        <f>IF($CX16="P",CK16,(CK16+BG16)/2)</f>
        <v>0</v>
      </c>
      <c r="NX16" s="69">
        <f>IF($CX16="P",CL16,(CL16+BH16)/2)</f>
        <v>0</v>
      </c>
      <c r="NY16" s="69">
        <f>IF($CX16="P",CM16,(CM16+BI16)/2)</f>
        <v>0</v>
      </c>
      <c r="NZ16" s="69">
        <f>IF($CX16="P",CN16,(CN16+BJ16)/2)</f>
        <v>0</v>
      </c>
      <c r="OA16" s="69">
        <f>IF($CX16="P",CO16,(CO16+BK16)/2)</f>
        <v>0</v>
      </c>
      <c r="OB16" s="69">
        <f>IF($CX16="P",CP16,(CP16+BL16)/2)</f>
        <v>0</v>
      </c>
      <c r="OC16" s="69">
        <f>IF($CX16="P",CQ16,(CQ16+BM16)/2)</f>
        <v>0</v>
      </c>
      <c r="OD16" s="69">
        <f>IF($CX16="P",CR16,(CR16+BN16)/2)</f>
        <v>0</v>
      </c>
      <c r="OE16" s="69">
        <f>IF($CX16="P",CS16,(CS16+BO16)/2)</f>
        <v>0</v>
      </c>
      <c r="OF16" s="69">
        <f>IF($CX16="P",CT16,(CT16+BP16)/2)</f>
        <v>0</v>
      </c>
      <c r="OG16" s="69">
        <f>IF($CX16="P",CU16,(CU16+BQ16)/2)</f>
        <v>0</v>
      </c>
      <c r="OH16" s="69">
        <f>IF($CX16="P",CV16,(CV16+BR16)/2)</f>
        <v>0</v>
      </c>
      <c r="OI16" s="69">
        <f>IF($CX16="P",CW16,(CW16+BS16)/2)</f>
        <v>0</v>
      </c>
      <c r="OJ16" s="80" t="s">
        <v>88</v>
      </c>
      <c r="OK16" s="11" t="str">
        <f>IF(SUM(NP16:NS16)-NT16&gt;0,SUM(NP16:NS16)-NT16,"")</f>
        <v/>
      </c>
      <c r="OL16" s="11" t="str">
        <f>IF(NW16&gt;0,NW16,"")</f>
        <v/>
      </c>
      <c r="OM16" s="11" t="str">
        <f>IF(SUM(NU16:NX16)-NY16&gt;0,SUM(NU16:NX16)-NY16,"")</f>
        <v/>
      </c>
      <c r="ON16" s="11" t="str">
        <f>IF(OB16&gt;0,OB16,"")</f>
        <v/>
      </c>
      <c r="OO16" s="11" t="str">
        <f>IF(SUM(NZ16:OC16)-OD16&gt;0,SUM(NZ16:OC16)-OD16,"")</f>
        <v/>
      </c>
      <c r="OP16" s="11" t="str">
        <f>IF(OR(OK16&lt;&gt;"",OM16&lt;&gt;"",OO16&lt;&gt;""),OK16+MAX(OM16,OO16),"")</f>
        <v/>
      </c>
      <c r="OQ16" s="11" t="str">
        <f>IF(OG16&gt;0,OG16,"")</f>
        <v/>
      </c>
      <c r="OR16" s="11" t="str">
        <f t="shared" si="0"/>
        <v/>
      </c>
      <c r="OS16" s="11" t="str">
        <f t="shared" si="1"/>
        <v/>
      </c>
    </row>
    <row r="17" spans="1:409" x14ac:dyDescent="0.2">
      <c r="A17" s="5" t="str" cm="1">
        <f t="array" ref="A17">IF(AND(G17&lt;&gt;"",H17&lt;&gt;""),SUMPRODUCT((G$4:G$27&lt;&gt;"")*(H$4:H$27&lt;&gt;"")*(E$4:E$27&gt;E17))+1,IF(H17&lt;&gt;"",SUMPRODUCT((I$4:I$27="No DD")*(E$4:E$27&gt;E17))+1+SUMPRODUCT((G$4:G$27&lt;&gt;"")*(H$4:H$27&lt;&gt;"")),""))</f>
        <v/>
      </c>
      <c r="B17" s="6" t="s">
        <v>51</v>
      </c>
      <c r="C17" s="7" t="s">
        <v>10</v>
      </c>
      <c r="D17" s="27">
        <v>1998</v>
      </c>
      <c r="E17" s="15">
        <f>SUM(K17:S17)</f>
        <v>254.55</v>
      </c>
      <c r="F17" s="3" t="str">
        <f>IF(G17&lt;&gt;"","P","")</f>
        <v/>
      </c>
      <c r="G17" s="125" t="str">
        <f>IF(OR(AND(AR17&gt;=AY$32,AR17&lt;&gt;"",AP17=""),AND(AT17&gt;=AY$32,AT17&lt;&gt;"",AP17=""),AND(AW17&gt;=AY$32,AW17&lt;&gt;"",AP17=""),AND(BV17&gt;=CC$32,BV17&lt;&gt;"",BT17=""),AND(BX17&gt;=CC$32,BX17&lt;&gt;"",BT17=""),AND(CA17&gt;=CC$32,CA17&lt;&gt;"",BT17=""),AND(CZ17&gt;=DG$32,CZ17&lt;&gt;"",CX17=""),AND(DB17&gt;=DG$32,DB17&lt;&gt;"",CX17=""),AND(DE17&gt;=DG$32,DE17&lt;&gt;"",CX17=""),AND(EA17&gt;=EG$32,EA17&lt;&gt;""),AND(EE17&gt;=EG$32,EE17&lt;&gt;""),AND(EW17&gt;=FC$32,EW17&lt;&gt;""),AND(FA17&gt;=FC$32,FA17&lt;&gt;""),AND(FS17&gt;=FY$32,FS17&lt;&gt;""),AND(FW17&gt;=FY$32,FW17&lt;&gt;""),AND(GO17&gt;=GU$32,GO17&lt;&gt;""),AND(GS17&gt;=GU$32,GS17&lt;&gt;""),AND(HK17&gt;=HQ$32,HK17&lt;&gt;""),AND(HO17&gt;=HQ$32,HO17&lt;&gt;""),AND(IG17&gt;=IM$32,IG17&lt;&gt;""),AND(IK17&gt;=IM$32,IK17&lt;&gt;""),AND(JC17&gt;=JI$32,JC17&lt;&gt;""),AND(JG17&gt;=JI$32,JG17&lt;&gt;""),AND(JY17&gt;=KE$32,JY17&lt;&gt;""),AND(KC17&gt;=KE$32,KC17&lt;&gt;""),AND(KU17&gt;=LA$32,KU17&lt;&gt;""),AND(KY17&gt;=LA$32,KY17&lt;&gt;""),AND(LQ17&gt;=LW$32,LQ17&lt;&gt;""),AND(LU17&gt;=LW$32,LU17&lt;&gt;""),AND(MM17&gt;=MS$32,MM17&lt;&gt;""),AND(MQ17&gt;=MS$32,MQ17&lt;&gt;""),AND(NI17&gt;=NO$32,NI17&lt;&gt;""),AND(NM17&gt;=NO$32,NM17&lt;&gt;"")),"Merit",IF(OR(AND(AR17&gt;=AY$31,AR17&lt;&gt;"",AP17=""),AND(AT17&gt;=AY$31,AT17&lt;&gt;"",AP17=""),AND(AW17&gt;=AY$31,AW17&lt;&gt;"",AP17=""),AND(BV17&gt;=CC$31,BV17&lt;&gt;"",BT17=""),AND(BX17&gt;=CC$31,BX17&lt;&gt;"",BT17=""),AND(CA17&gt;=CC$31,CA17&lt;&gt;"",BT17=""),AND(CZ17&gt;=DG$31,CZ17&lt;&gt;"",CX17=""),AND(DB17&gt;=DG$31,DB17&lt;&gt;"",CX17=""),AND(DE17&gt;=DG$31,DE17&lt;&gt;"",CX17=""),AND(EA17&gt;=EG$31,EA17&lt;&gt;""),AND(EE17&gt;=EG$31,EE17&lt;&gt;""),AND(EW17&gt;=FC$31,EW17&lt;&gt;""),AND(FA17&gt;=FC$31,FA17&lt;&gt;""),AND(FS17&gt;=FY$31,FS17&lt;&gt;""),AND(FW17&gt;=FY$31,FW17&lt;&gt;""),AND(GO17&gt;=GU$31,GO17&lt;&gt;""),AND(GS17&gt;=GU$31,GS17&lt;&gt;""),AND(HK17&gt;=HQ$31,HK17&lt;&gt;""),AND(HO17&gt;=HQ$31,HO17&lt;&gt;""),AND(IG17&gt;=IM$31,IG17&lt;&gt;""),AND(IK17&gt;=IM$31,IK17&lt;&gt;""),AND(JC17&gt;=JI$31,JC17&lt;&gt;""),AND(JG17&gt;=JI$31,JG17&lt;&gt;""),AND(JY17&gt;=KE$31,JY17&lt;&gt;""),AND(KC17&gt;=KE$31,KC17&lt;&gt;""),AND(KU17&gt;=LA$31,KU17&lt;&gt;""),AND(KY17&gt;=LA$31,KY17&lt;&gt;""),AND(LQ17&gt;=LW$31,LQ17&lt;&gt;""),AND(LU17&gt;=LW$31,LU17&lt;&gt;""),AND(MM17&gt;=MS$31,MM17&lt;&gt;""),AND(MQ17&gt;=MS$31,MQ17&lt;&gt;""),AND(NI17&gt;=NO$31,NI17&lt;&gt;""),AND(NM17&gt;=NO$31,NM17&lt;&gt;"")),"Excellence",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Worlds Team",IF(OR(AND(AR17&gt;=AY$29,AR17&lt;&gt;"",AP17=""),AND(AT17&gt;=AY$29,AT17&lt;&gt;"",AP17=""),AND(AW17&gt;=AY$29,AW17&lt;&gt;"",AP17=""),AND(BV17&gt;=CC$29,BV17&lt;&gt;"",BT17=""),AND(BX17&gt;=CC$29,BX17&lt;&gt;"",BT17=""),AND(CA17&gt;=CC$29,CA17&lt;&gt;"",BT17=""),AND(CZ17&gt;=DG$29,CZ17&lt;&gt;"",CX17=""),AND(DB17&gt;=DG$29,DB17&lt;&gt;"",CX17=""),AND(DE17&gt;=DG$29,DE17&lt;&gt;"",CX17=""),AND(EA17&gt;=EG$29,EA17&lt;&gt;""),AND(EE17&gt;=EG$29,EE17&lt;&gt;""),AND(EW17&gt;=FC$29,EW17&lt;&gt;""),AND(FA17&gt;=FC$29,FA17&lt;&gt;""),AND(FS17&gt;=FY$29,FS17&lt;&gt;""),AND(FW17&gt;=FY$29,FW17&lt;&gt;""),AND(GO17&gt;=GU$29,GO17&lt;&gt;""),AND(GS17&gt;=GU$29,GS17&lt;&gt;""),AND(HK17&gt;=HQ$29,HK17&lt;&gt;""),AND(HO17&gt;=HQ$29,HO17&lt;&gt;""),AND(IG17&gt;=IM$29,IG17&lt;&gt;""),AND(IK17&gt;=IM$29,IK17&lt;&gt;""),AND(JC17&gt;=JI$29,JC17&lt;&gt;""),AND(JG17&gt;=JI$29,JG17&lt;&gt;""),AND(JY17&gt;=KE$29,JY17&lt;&gt;""),AND(KC17&gt;=KE$29,KC17&lt;&gt;""),AND(KU17&gt;=LA$29,KU17&lt;&gt;""),AND(KY17&gt;=LA$29,KY17&lt;&gt;""),AND(LQ17&gt;=LW$29,LQ17&lt;&gt;""),AND(LU17&gt;=LW$29,LU17&lt;&gt;""),AND(MM17&gt;=MS$29,MM17&lt;&gt;""),AND(MQ17&gt;=MS$29,MQ17&lt;&gt;""),AND(NI17&gt;=NO$29,NI17&lt;&gt;""),AND(NM17&gt;=NO$29,NM17&lt;&gt;"")),"National Team",""))))</f>
        <v/>
      </c>
      <c r="H17" s="125" t="str">
        <f>IF(OR(AND(AS17&gt;=AY$36,AS17&lt;&gt;"",AP17=""),AND(AU17&gt;=AY$36,AU17&lt;&gt;"",AP17=""),AND(AX17&gt;=AY$36,AX17&lt;&gt;"",AP17=""),AND(BW17&gt;=CC$36,BW17&lt;&gt;"",BT17=""),AND(BY17&gt;=CC$36,BY17&lt;&gt;"",BT17=""),AND(CB17&gt;=CC$36,CB17&lt;&gt;"",BT17=""),AND(DA17&gt;=DG$36,DA17&lt;&gt;"",CX17=""),AND(DC17&gt;=DG$36,DC17&lt;&gt;"",CX17=""),AND(DF17&gt;=DG$36,DF17&lt;&gt;"",CX17=""),AND(EC17&gt;=EG$36,EC17&lt;&gt;""),AND(EF17&gt;=EG$36,EF17&lt;&gt;""),AND(EY17&gt;=FC$36,EY17&lt;&gt;""),AND(FB17&gt;=FC$36,FB17&lt;&gt;""),AND(FU17&gt;=FY$36,FU17&lt;&gt;""),AND(FX17&gt;=FY$36,FX17&lt;&gt;""),AND(GQ17&gt;=GU$36,GQ17&lt;&gt;""),AND(GT17&gt;=GU$36,GT17&lt;&gt;""),AND(HM17&gt;=HQ$36,HM17&lt;&gt;""),AND(HP17&gt;=HQ$36,HP17&lt;&gt;""),AND(II17&gt;=IM$36,II17&lt;&gt;""),AND(IL17&gt;=IM$36,IL17&lt;&gt;""),AND(JE17&gt;=JI$36,JE17&lt;&gt;""),AND(JH17&gt;=JI$36,JH17&lt;&gt;""),AND(KA17&gt;=KE$36,KA17&lt;&gt;""),AND(KD17&gt;=KE$36,KD17&lt;&gt;""),AND(KW17&gt;=LA$36,KW17&lt;&gt;""),AND(KZ17&gt;=LA$36,KZ17&lt;&gt;""),AND(LS17&gt;=LW$36,LS17&lt;&gt;""),AND(LV17&gt;=LW$36,LV17&lt;&gt;""),AND(MO17&gt;=MS$36,MO17&lt;&gt;""),AND(MR17&gt;=MS$36,MR17&lt;&gt;""),AND(NK17&gt;=NO$36,NK17&lt;&gt;""),AND(NN17&gt;=NO$36,NN17&lt;&gt;"")),"Merit",IF(OR(AND(AS17&gt;=AY$35,AS17&lt;&gt;"",AP17=""),AND(AU17&gt;=AY$35,AU17&lt;&gt;"",AP17=""),AND(AX17&gt;=AY$35,AX17&lt;&gt;"",AP17=""),AND(BW17&gt;=CC$35,BW17&lt;&gt;"",BT17=""),AND(BY17&gt;=CC$35,BY17&lt;&gt;"",BT17=""),AND(CB17&gt;=CC$35,CB17&lt;&gt;"",BT17=""),AND(DA17&gt;=DG$35,DA17&lt;&gt;"",CX17=""),AND(DC17&gt;=DG$35,DC17&lt;&gt;"",CX17=""),AND(DF17&gt;=DG$35,DF17&lt;&gt;"",CX17=""),AND(EC17&gt;=EG$35,EC17&lt;&gt;""),AND(EF17&gt;=EG$35,EF17&lt;&gt;""),AND(EY17&gt;=FC$35,EY17&lt;&gt;""),AND(FB17&gt;=FC$35,FB17&lt;&gt;""),AND(FU17&gt;=FY$35,FU17&lt;&gt;""),AND(FX17&gt;=FY$35,FX17&lt;&gt;""),AND(GQ17&gt;=GU$35,GQ17&lt;&gt;""),AND(GT17&gt;=GU$35,GT17&lt;&gt;""),AND(HM17&gt;=HQ$35,HM17&lt;&gt;""),AND(HP17&gt;=HQ$35,HP17&lt;&gt;""),AND(II17&gt;=IM$35,II17&lt;&gt;""),AND(IL17&gt;=IM$35,IL17&lt;&gt;""),AND(JE17&gt;=JI$35,JE17&lt;&gt;""),AND(JH17&gt;=JI$35,JH17&lt;&gt;""),AND(KA17&gt;=KE$35,KA17&lt;&gt;""),AND(KD17&gt;=KE$35,KD17&lt;&gt;""),AND(KW17&gt;=LA$35,KW17&lt;&gt;""),AND(KZ17&gt;=LA$35,KZ17&lt;&gt;""),AND(LS17&gt;=LW$35,LS17&lt;&gt;""),AND(LV17&gt;=LW$35,LV17&lt;&gt;""),AND(MO17&gt;=MS$35,MO17&lt;&gt;""),AND(MR17&gt;=MS$35,MR17&lt;&gt;""),AND(NK17&gt;=NO$35,NK17&lt;&gt;""),AND(NN17&gt;=NO$35,NN17&lt;&gt;"")),"Excellence",IF(OR(AND(AV17&gt;=AY$34,AV17&lt;&gt;"",AP17=""),AND(BZ17&gt;=CC$34,BZ17&lt;&gt;"",BT17=""),AND(DD17&gt;=DG$34,DD17&lt;&gt;"",CX17=""),AND(ED17&gt;=EG$34,ED17&lt;&gt;""),AND(EZ17&gt;=FC$34,EZ17&lt;&gt;""),AND(FV17&gt;=FY$34,FV17&lt;&gt;""),AND(GR17&gt;=GU$34,GR17&lt;&gt;""),AND(HN17&gt;=HQ$34,HN17&lt;&gt;""),AND(IJ17&gt;=IM$34,IJ17&lt;&gt;""),AND(JF17&gt;=JI$34,JF17&lt;&gt;""),AND(KB17&gt;=KE$34,KB17&lt;&gt;""),AND(KX17&gt;=LA$34,KX17&lt;&gt;""),AND(LT17&gt;=LW$34,LT17&lt;&gt;""),AND(MP17&gt;=MS$34,MP17&lt;&gt;""),AND(NL17&gt;=NO$34,NL17&lt;&gt;"")),"Worlds Team",IF(OR(AND(AV17&gt;=AY$33,AV17&lt;&gt;"",AP17=""),AND(BZ17&gt;=CC$33,BZ17&lt;&gt;"",BT17=""),AND(DD17&gt;=DG$33,DD17&lt;&gt;"",CX17=""),AND(ED17&gt;=EG$33,ED17&lt;&gt;""),AND(EZ17&gt;=FC$33,EZ17&lt;&gt;""),AND(FV17&gt;=FY$33,FV17&lt;&gt;""),AND(GR17&gt;=GU$33,GR17&lt;&gt;""),AND(HN17&gt;=HQ$33,HN17&lt;&gt;""),AND(IJ17&gt;=IM$33,IJ17&lt;&gt;""),AND(JF17&gt;=JI$33,JF17&lt;&gt;""),AND(KB17&gt;=KE$33,KB17&lt;&gt;""),AND(KX17&gt;=LA$33,KX17&lt;&gt;""),AND(LT17&gt;=LW$33,LT17&lt;&gt;""),AND(MP17&gt;=MS$33,MP17&lt;&gt;""),AND(NL17&gt;=NO$33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$34,AV17&lt;&gt;"",AP17=""),AND(BZ17&gt;=CC$34,BZ17&lt;&gt;"",BT17=""),AND(DD17&gt;=DG$34,DD17&lt;&gt;"",CX17=""),AND(ED17&gt;=EG$34,ED17&lt;&gt;""),AND(EZ17&gt;=FC$34,EZ17&lt;&gt;""),AND(FV17&gt;=FY$34,FV17&lt;&gt;""),AND(GR17&gt;=GU$34,GR17&lt;&gt;""),AND(HN17&gt;=HQ$34,HN17&lt;&gt;""),AND(IJ17&gt;=IM$34,IJ17&lt;&gt;""),AND(JF17&gt;=JI$34,JF17&lt;&gt;""),AND(KB17&gt;=KE$34,KB17&lt;&gt;""),AND(KX17&gt;=LA$34,KX17&lt;&gt;""),AND(LT17&gt;=LW$34,LT17&lt;&gt;""),AND(MP17&gt;=MS$34,MP17&lt;&gt;""),AND(NL17&gt;=NO$34,NL17&lt;&gt;"")),OR(G17="Worlds Team",G17="Excellence",G17="Merit")),"P","")</f>
        <v/>
      </c>
      <c r="K17" s="14">
        <f>IF(MAX(AV17,BZ17,DD17)&gt;0,MAX(AV17,BZ17,DD17),0)</f>
        <v>100.62</v>
      </c>
      <c r="L17" s="14" t="str">
        <f>IF(K17=0,"",IF(K17=DD17,$CD$1,IF(K17=BZ17,$AZ$1,IF(K17=AV17,$V$1,""))))</f>
        <v>2021 2nd Virtual Technical Trial</v>
      </c>
      <c r="M17" s="14">
        <f>IF($K17=$AV17,MAX(BU17,CY17),IF($K17=$BZ17,MAX(AQ17,CY17),IF($K17=$DD17,MAX(AQ17,BU17),MAX(AQ17,BU17,CY17))))</f>
        <v>46.86</v>
      </c>
      <c r="N17" s="14" t="str">
        <f>IF(M17=0,"",IF(AND(M17=CY17,$L17&lt;&gt;$CD$1),$CD$1,IF(AND(M17=BU17,$L17&lt;&gt;$AZ$1),$AZ$1,IF(AND(M17=AQ17,$L17&lt;&gt;$V$1),$V$1,""))))</f>
        <v>2019 Nationals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53.075000000000003</v>
      </c>
      <c r="P17" s="14" t="str">
        <f>IF(O17=0,"",IF(OR(O17=DC17,O17=DA17),$CD$1,IF(OR(O17=BY17,O17=BW17),$AZ$1,IF(OR(O17=AU17,O17=AS17),$V$1,""))))</f>
        <v>2021 1st Virtual Technical Trial</v>
      </c>
      <c r="Q17" s="14">
        <f>MAX(AX17,CB17,DF17)</f>
        <v>53.995000000000005</v>
      </c>
      <c r="R17" s="14" t="str">
        <f>IF(Q17=0,"",IF(Q17=DF17,$CD$1,IF(Q17=CB17,$AZ$1,IF(Q17=AX17,$V$1,""))))</f>
        <v>2021 2nd Virtual Technical Trial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17.5</v>
      </c>
      <c r="W17" s="69">
        <v>9.1</v>
      </c>
      <c r="X17" s="69">
        <v>3.9</v>
      </c>
      <c r="Y17" s="69">
        <v>16.36</v>
      </c>
      <c r="Z17" s="69">
        <v>0</v>
      </c>
      <c r="AA17" s="69">
        <v>14.7</v>
      </c>
      <c r="AB17" s="69">
        <v>9.8000000000000007</v>
      </c>
      <c r="AC17" s="69">
        <v>12.8</v>
      </c>
      <c r="AD17" s="69">
        <v>14.89</v>
      </c>
      <c r="AE17" s="69">
        <v>0.7</v>
      </c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80"/>
      <c r="AQ17" s="11">
        <f>IF(SUM(V17:Y17)-Z17&gt;0,SUM(V17:Y17)-Z17,"")</f>
        <v>46.86</v>
      </c>
      <c r="AR17" s="11">
        <f>IF(AC17&gt;0,AC17,"")</f>
        <v>12.8</v>
      </c>
      <c r="AS17" s="11">
        <f>IF(SUM(AA17:AD17)-AE17&gt;0,SUM(AA17:AD17)-AE17,"")</f>
        <v>51.489999999999995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98.35</v>
      </c>
      <c r="AW17" s="11" t="str">
        <f>IF(AM17&gt;0,AM17,"")</f>
        <v/>
      </c>
      <c r="AX17" s="11" t="str">
        <f>IF(SUM(AK17:AN17)-AO17&gt;0,SUM(AK17:AN17)-AO17,"")</f>
        <v/>
      </c>
      <c r="AY17" s="11">
        <f>IF(SUM(AV17,AX17)&gt;0,SUM(AV17,AX17),"")</f>
        <v>98.35</v>
      </c>
      <c r="AZ17" s="75">
        <v>16.3</v>
      </c>
      <c r="BA17" s="75">
        <v>8.6999999999999993</v>
      </c>
      <c r="BB17" s="75">
        <v>2.5</v>
      </c>
      <c r="BC17" s="75">
        <v>15.595000000000001</v>
      </c>
      <c r="BD17" s="75">
        <v>0</v>
      </c>
      <c r="BE17" s="75">
        <v>13.1</v>
      </c>
      <c r="BF17" s="75">
        <v>8.15</v>
      </c>
      <c r="BG17" s="75">
        <v>11.9</v>
      </c>
      <c r="BH17" s="75">
        <v>14.494999999999999</v>
      </c>
      <c r="BI17" s="75">
        <v>0</v>
      </c>
      <c r="BJ17" s="75">
        <v>15</v>
      </c>
      <c r="BK17" s="75">
        <v>8.4499999999999993</v>
      </c>
      <c r="BL17" s="75">
        <v>13.5</v>
      </c>
      <c r="BM17" s="75">
        <v>16.125</v>
      </c>
      <c r="BN17" s="75">
        <v>0</v>
      </c>
      <c r="BO17" s="75">
        <v>4.9000000000000004</v>
      </c>
      <c r="BP17" s="75">
        <v>2.5499999999999998</v>
      </c>
      <c r="BQ17" s="75">
        <v>4.5999999999999996</v>
      </c>
      <c r="BR17" s="75">
        <v>4.9450000000000003</v>
      </c>
      <c r="BS17" s="75">
        <v>0</v>
      </c>
      <c r="BT17" s="81"/>
      <c r="BU17" s="14">
        <f>IF(SUM(AZ17:BC17)-BD17&gt;0,SUM(AZ17:BC17)-BD17,"")</f>
        <v>43.094999999999999</v>
      </c>
      <c r="BV17" s="14">
        <f>IF(BG17&gt;0,BG17,"")</f>
        <v>11.9</v>
      </c>
      <c r="BW17" s="14">
        <f>IF(SUM(BE17:BH17)-BI17&gt;0,SUM(BE17:BH17)-BI17,"")</f>
        <v>47.644999999999996</v>
      </c>
      <c r="BX17" s="14">
        <f>IF(BL17&gt;0,BL17,"")</f>
        <v>13.5</v>
      </c>
      <c r="BY17" s="14">
        <f>IF(SUM(BJ17:BM17)-BN17&gt;0,SUM(BJ17:BM17)-BN17,"")</f>
        <v>53.075000000000003</v>
      </c>
      <c r="BZ17" s="14">
        <f>IF(BU17="",IF(MAX(BW17,BY17)&gt;0,MAX(BW17,BY17),""),MAX(BW17,BY17)+BU17)</f>
        <v>96.17</v>
      </c>
      <c r="CA17" s="14">
        <f>IF(BQ17&gt;0,BQ17,"")</f>
        <v>4.5999999999999996</v>
      </c>
      <c r="CB17" s="14">
        <f>IF(SUM(BO17:BR17)-BS17&gt;0,SUM(BO17:BR17)-BS17,"")</f>
        <v>16.995000000000001</v>
      </c>
      <c r="CC17" s="14">
        <f>IF(SUM(BZ17,CB17)&gt;0,SUM(BZ17,CB17),"")</f>
        <v>113.16500000000001</v>
      </c>
      <c r="CD17" s="69">
        <v>18.100000000000001</v>
      </c>
      <c r="CE17" s="69">
        <v>9.1999999999999993</v>
      </c>
      <c r="CF17" s="69">
        <v>4.0999999999999996</v>
      </c>
      <c r="CG17" s="69">
        <v>16.690000000000001</v>
      </c>
      <c r="CH17" s="69">
        <v>0</v>
      </c>
      <c r="CI17" s="69">
        <v>14.6</v>
      </c>
      <c r="CJ17" s="69">
        <v>8.9</v>
      </c>
      <c r="CK17" s="69">
        <v>13.5</v>
      </c>
      <c r="CL17" s="69">
        <v>15.53</v>
      </c>
      <c r="CM17" s="69">
        <v>0</v>
      </c>
      <c r="CN17" s="69">
        <v>1.2</v>
      </c>
      <c r="CO17" s="69">
        <v>0.8</v>
      </c>
      <c r="CP17" s="69">
        <v>1.7</v>
      </c>
      <c r="CQ17" s="69">
        <v>1.7649999999999999</v>
      </c>
      <c r="CR17" s="69">
        <v>0</v>
      </c>
      <c r="CS17" s="69">
        <v>15.5</v>
      </c>
      <c r="CT17" s="69">
        <v>9.1999999999999993</v>
      </c>
      <c r="CU17" s="69">
        <v>13.5</v>
      </c>
      <c r="CV17" s="69">
        <v>15.795</v>
      </c>
      <c r="CW17" s="69">
        <v>0</v>
      </c>
      <c r="CX17" s="80"/>
      <c r="CY17" s="11">
        <f>IF(SUM(CD17:CG17)-CH17&gt;0,SUM(CD17:CG17)-CH17,"")</f>
        <v>48.09</v>
      </c>
      <c r="CZ17" s="11">
        <f>IF(CK17&gt;0,CK17,"")</f>
        <v>13.5</v>
      </c>
      <c r="DA17" s="11">
        <f>IF(SUM(CI17:CL17)-CM17&gt;0,SUM(CI17:CL17)-CM17,"")</f>
        <v>52.53</v>
      </c>
      <c r="DB17" s="11">
        <f>IF(CP17&gt;0,CP17,"")</f>
        <v>1.7</v>
      </c>
      <c r="DC17" s="11">
        <f>IF(SUM(CN17:CQ17)-CR17&gt;0,SUM(CN17:CQ17)-CR17,"")</f>
        <v>5.4649999999999999</v>
      </c>
      <c r="DD17" s="11">
        <f>IF(CY17="",IF(MAX(DA17,DC17)&gt;0,MAX(DA17,DC17),""),MAX(DA17,DC17)+CY17)</f>
        <v>100.62</v>
      </c>
      <c r="DE17" s="11">
        <f>IF(CU17&gt;0,CU17,"")</f>
        <v>13.5</v>
      </c>
      <c r="DF17" s="11">
        <f>IF(SUM(CS17:CV17)-CW17&gt;0,SUM(CS17:CV17)-CW17,"")</f>
        <v>53.995000000000005</v>
      </c>
      <c r="DG17" s="11">
        <f>IF(SUM(DD17,DF17)&gt;0,SUM(DD17,DF17),"")</f>
        <v>154.61500000000001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17.200000000000003</v>
      </c>
      <c r="NQ17" s="69">
        <f>IF($CX17="P",CE17,(CE17+BA17)/2)</f>
        <v>8.9499999999999993</v>
      </c>
      <c r="NR17" s="69">
        <f>IF($CX17="P",CF17,(CF17+BB17)/2)</f>
        <v>3.3</v>
      </c>
      <c r="NS17" s="69">
        <f>IF($CX17="P",CG17,(CG17+BC17)/2)</f>
        <v>16.142500000000002</v>
      </c>
      <c r="NT17" s="69">
        <f>IF($CX17="P",CH17,(CH17+BD17)/2)</f>
        <v>0</v>
      </c>
      <c r="NU17" s="69">
        <f>IF($CX17="P",CI17,(CI17+BE17)/2)</f>
        <v>13.85</v>
      </c>
      <c r="NV17" s="69">
        <f>IF($CX17="P",CJ17,(CJ17+BF17)/2)</f>
        <v>8.5250000000000004</v>
      </c>
      <c r="NW17" s="69">
        <f>IF($CX17="P",CK17,(CK17+BG17)/2)</f>
        <v>12.7</v>
      </c>
      <c r="NX17" s="69">
        <f>IF($CX17="P",CL17,(CL17+BH17)/2)</f>
        <v>15.012499999999999</v>
      </c>
      <c r="NY17" s="69">
        <f>IF($CX17="P",CM17,(CM17+BI17)/2)</f>
        <v>0</v>
      </c>
      <c r="NZ17" s="69">
        <f>IF($CX17="P",CN17,(CN17+BJ17)/2)</f>
        <v>8.1</v>
      </c>
      <c r="OA17" s="69">
        <f>IF($CX17="P",CO17,(CO17+BK17)/2)</f>
        <v>4.625</v>
      </c>
      <c r="OB17" s="69">
        <f>IF($CX17="P",CP17,(CP17+BL17)/2)</f>
        <v>7.6</v>
      </c>
      <c r="OC17" s="69">
        <f>IF($CX17="P",CQ17,(CQ17+BM17)/2)</f>
        <v>8.9450000000000003</v>
      </c>
      <c r="OD17" s="69">
        <f>IF($CX17="P",CR17,(CR17+BN17)/2)</f>
        <v>0</v>
      </c>
      <c r="OE17" s="69">
        <f>IF($CX17="P",CS17,(CS17+BO17)/2)</f>
        <v>10.199999999999999</v>
      </c>
      <c r="OF17" s="69">
        <f>IF($CX17="P",CT17,(CT17+BP17)/2)</f>
        <v>5.875</v>
      </c>
      <c r="OG17" s="69">
        <f>IF($CX17="P",CU17,(CU17+BQ17)/2)</f>
        <v>9.0500000000000007</v>
      </c>
      <c r="OH17" s="69">
        <f>IF($CX17="P",CV17,(CV17+BR17)/2)</f>
        <v>10.370000000000001</v>
      </c>
      <c r="OI17" s="69">
        <f>IF($CX17="P",CW17,(CW17+BS17)/2)</f>
        <v>0</v>
      </c>
      <c r="OJ17" s="80" t="s">
        <v>88</v>
      </c>
      <c r="OK17" s="11">
        <f>IF(SUM(NP17:NS17)-NT17&gt;0,SUM(NP17:NS17)-NT17,"")</f>
        <v>45.592500000000001</v>
      </c>
      <c r="OL17" s="11">
        <f>IF(NW17&gt;0,NW17,"")</f>
        <v>12.7</v>
      </c>
      <c r="OM17" s="11">
        <f>IF(SUM(NU17:NX17)-NY17&gt;0,SUM(NU17:NX17)-NY17,"")</f>
        <v>50.087500000000006</v>
      </c>
      <c r="ON17" s="11">
        <f>IF(OB17&gt;0,OB17,"")</f>
        <v>7.6</v>
      </c>
      <c r="OO17" s="11">
        <f>IF(SUM(NZ17:OC17)-OD17&gt;0,SUM(NZ17:OC17)-OD17,"")</f>
        <v>29.27</v>
      </c>
      <c r="OP17" s="11">
        <f>IF(OR(OK17&lt;&gt;"",OM17&lt;&gt;"",OO17&lt;&gt;""),OK17+MAX(OM17,OO17),"")</f>
        <v>95.68</v>
      </c>
      <c r="OQ17" s="11">
        <f>IF(OG17&gt;0,OG17,"")</f>
        <v>9.0500000000000007</v>
      </c>
      <c r="OR17" s="11">
        <f t="shared" si="0"/>
        <v>35.495000000000005</v>
      </c>
      <c r="OS17" s="11">
        <f t="shared" si="1"/>
        <v>131.17500000000001</v>
      </c>
    </row>
    <row r="18" spans="1:409" x14ac:dyDescent="0.2">
      <c r="A18" s="5" t="str" cm="1">
        <f t="array" ref="A18">IF(AND(G18&lt;&gt;"",H18&lt;&gt;""),SUMPRODUCT((G$4:G$27&lt;&gt;"")*(H$4:H$27&lt;&gt;"")*(E$4:E$27&gt;E18))+1,IF(H18&lt;&gt;"",SUMPRODUCT((I$4:I$27="No DD")*(E$4:E$27&gt;E18))+1+SUMPRODUCT((G$4:G$27&lt;&gt;"")*(H$4:H$27&lt;&gt;"")),""))</f>
        <v/>
      </c>
      <c r="B18" s="6" t="s">
        <v>156</v>
      </c>
      <c r="C18" s="7" t="s">
        <v>3</v>
      </c>
      <c r="D18" s="27">
        <v>2003</v>
      </c>
      <c r="E18" s="15">
        <f>SUM(K18:S18)</f>
        <v>250.05500000000001</v>
      </c>
      <c r="F18" s="3" t="str">
        <f>IF(G18&lt;&gt;"","P","")</f>
        <v/>
      </c>
      <c r="G18" s="125" t="str">
        <f>IF(OR(AND(AR18&gt;=AY$32,AR18&lt;&gt;"",AP18=""),AND(AT18&gt;=AY$32,AT18&lt;&gt;"",AP18=""),AND(AW18&gt;=AY$32,AW18&lt;&gt;"",AP18=""),AND(BV18&gt;=CC$32,BV18&lt;&gt;"",BT18=""),AND(BX18&gt;=CC$32,BX18&lt;&gt;"",BT18=""),AND(CA18&gt;=CC$32,CA18&lt;&gt;"",BT18=""),AND(CZ18&gt;=DG$32,CZ18&lt;&gt;"",CX18=""),AND(DB18&gt;=DG$32,DB18&lt;&gt;"",CX18=""),AND(DE18&gt;=DG$32,DE18&lt;&gt;"",CX18=""),AND(EA18&gt;=EG$32,EA18&lt;&gt;""),AND(EE18&gt;=EG$32,EE18&lt;&gt;""),AND(EW18&gt;=FC$32,EW18&lt;&gt;""),AND(FA18&gt;=FC$32,FA18&lt;&gt;""),AND(FS18&gt;=FY$32,FS18&lt;&gt;""),AND(FW18&gt;=FY$32,FW18&lt;&gt;""),AND(GO18&gt;=GU$32,GO18&lt;&gt;""),AND(GS18&gt;=GU$32,GS18&lt;&gt;""),AND(HK18&gt;=HQ$32,HK18&lt;&gt;""),AND(HO18&gt;=HQ$32,HO18&lt;&gt;""),AND(IG18&gt;=IM$32,IG18&lt;&gt;""),AND(IK18&gt;=IM$32,IK18&lt;&gt;""),AND(JC18&gt;=JI$32,JC18&lt;&gt;""),AND(JG18&gt;=JI$32,JG18&lt;&gt;""),AND(JY18&gt;=KE$32,JY18&lt;&gt;""),AND(KC18&gt;=KE$32,KC18&lt;&gt;""),AND(KU18&gt;=LA$32,KU18&lt;&gt;""),AND(KY18&gt;=LA$32,KY18&lt;&gt;""),AND(LQ18&gt;=LW$32,LQ18&lt;&gt;""),AND(LU18&gt;=LW$32,LU18&lt;&gt;""),AND(MM18&gt;=MS$32,MM18&lt;&gt;""),AND(MQ18&gt;=MS$32,MQ18&lt;&gt;""),AND(NI18&gt;=NO$32,NI18&lt;&gt;""),AND(NM18&gt;=NO$32,NM18&lt;&gt;"")),"Merit",IF(OR(AND(AR18&gt;=AY$31,AR18&lt;&gt;"",AP18=""),AND(AT18&gt;=AY$31,AT18&lt;&gt;"",AP18=""),AND(AW18&gt;=AY$31,AW18&lt;&gt;"",AP18=""),AND(BV18&gt;=CC$31,BV18&lt;&gt;"",BT18=""),AND(BX18&gt;=CC$31,BX18&lt;&gt;"",BT18=""),AND(CA18&gt;=CC$31,CA18&lt;&gt;"",BT18=""),AND(CZ18&gt;=DG$31,CZ18&lt;&gt;"",CX18=""),AND(DB18&gt;=DG$31,DB18&lt;&gt;"",CX18=""),AND(DE18&gt;=DG$31,DE18&lt;&gt;"",CX18=""),AND(EA18&gt;=EG$31,EA18&lt;&gt;""),AND(EE18&gt;=EG$31,EE18&lt;&gt;""),AND(EW18&gt;=FC$31,EW18&lt;&gt;""),AND(FA18&gt;=FC$31,FA18&lt;&gt;""),AND(FS18&gt;=FY$31,FS18&lt;&gt;""),AND(FW18&gt;=FY$31,FW18&lt;&gt;""),AND(GO18&gt;=GU$31,GO18&lt;&gt;""),AND(GS18&gt;=GU$31,GS18&lt;&gt;""),AND(HK18&gt;=HQ$31,HK18&lt;&gt;""),AND(HO18&gt;=HQ$31,HO18&lt;&gt;""),AND(IG18&gt;=IM$31,IG18&lt;&gt;""),AND(IK18&gt;=IM$31,IK18&lt;&gt;""),AND(JC18&gt;=JI$31,JC18&lt;&gt;""),AND(JG18&gt;=JI$31,JG18&lt;&gt;""),AND(JY18&gt;=KE$31,JY18&lt;&gt;""),AND(KC18&gt;=KE$31,KC18&lt;&gt;""),AND(KU18&gt;=LA$31,KU18&lt;&gt;""),AND(KY18&gt;=LA$31,KY18&lt;&gt;""),AND(LQ18&gt;=LW$31,LQ18&lt;&gt;""),AND(LU18&gt;=LW$31,LU18&lt;&gt;""),AND(MM18&gt;=MS$31,MM18&lt;&gt;""),AND(MQ18&gt;=MS$31,MQ18&lt;&gt;""),AND(NI18&gt;=NO$31,NI18&lt;&gt;""),AND(NM18&gt;=NO$31,NM18&lt;&gt;"")),"Excellence",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Worlds Team",IF(OR(AND(AR18&gt;=AY$29,AR18&lt;&gt;"",AP18=""),AND(AT18&gt;=AY$29,AT18&lt;&gt;"",AP18=""),AND(AW18&gt;=AY$29,AW18&lt;&gt;"",AP18=""),AND(BV18&gt;=CC$29,BV18&lt;&gt;"",BT18=""),AND(BX18&gt;=CC$29,BX18&lt;&gt;"",BT18=""),AND(CA18&gt;=CC$29,CA18&lt;&gt;"",BT18=""),AND(CZ18&gt;=DG$29,CZ18&lt;&gt;"",CX18=""),AND(DB18&gt;=DG$29,DB18&lt;&gt;"",CX18=""),AND(DE18&gt;=DG$29,DE18&lt;&gt;"",CX18=""),AND(EA18&gt;=EG$29,EA18&lt;&gt;""),AND(EE18&gt;=EG$29,EE18&lt;&gt;""),AND(EW18&gt;=FC$29,EW18&lt;&gt;""),AND(FA18&gt;=FC$29,FA18&lt;&gt;""),AND(FS18&gt;=FY$29,FS18&lt;&gt;""),AND(FW18&gt;=FY$29,FW18&lt;&gt;""),AND(GO18&gt;=GU$29,GO18&lt;&gt;""),AND(GS18&gt;=GU$29,GS18&lt;&gt;""),AND(HK18&gt;=HQ$29,HK18&lt;&gt;""),AND(HO18&gt;=HQ$29,HO18&lt;&gt;""),AND(IG18&gt;=IM$29,IG18&lt;&gt;""),AND(IK18&gt;=IM$29,IK18&lt;&gt;""),AND(JC18&gt;=JI$29,JC18&lt;&gt;""),AND(JG18&gt;=JI$29,JG18&lt;&gt;""),AND(JY18&gt;=KE$29,JY18&lt;&gt;""),AND(KC18&gt;=KE$29,KC18&lt;&gt;""),AND(KU18&gt;=LA$29,KU18&lt;&gt;""),AND(KY18&gt;=LA$29,KY18&lt;&gt;""),AND(LQ18&gt;=LW$29,LQ18&lt;&gt;""),AND(LU18&gt;=LW$29,LU18&lt;&gt;""),AND(MM18&gt;=MS$29,MM18&lt;&gt;""),AND(MQ18&gt;=MS$29,MQ18&lt;&gt;""),AND(NI18&gt;=NO$29,NI18&lt;&gt;""),AND(NM18&gt;=NO$29,NM18&lt;&gt;"")),"National Team",""))))</f>
        <v/>
      </c>
      <c r="H18" s="125" t="str">
        <f>IF(OR(AND(AS18&gt;=AY$36,AS18&lt;&gt;"",AP18=""),AND(AU18&gt;=AY$36,AU18&lt;&gt;"",AP18=""),AND(AX18&gt;=AY$36,AX18&lt;&gt;"",AP18=""),AND(BW18&gt;=CC$36,BW18&lt;&gt;"",BT18=""),AND(BY18&gt;=CC$36,BY18&lt;&gt;"",BT18=""),AND(CB18&gt;=CC$36,CB18&lt;&gt;"",BT18=""),AND(DA18&gt;=DG$36,DA18&lt;&gt;"",CX18=""),AND(DC18&gt;=DG$36,DC18&lt;&gt;"",CX18=""),AND(DF18&gt;=DG$36,DF18&lt;&gt;"",CX18=""),AND(EC18&gt;=EG$36,EC18&lt;&gt;""),AND(EF18&gt;=EG$36,EF18&lt;&gt;""),AND(EY18&gt;=FC$36,EY18&lt;&gt;""),AND(FB18&gt;=FC$36,FB18&lt;&gt;""),AND(FU18&gt;=FY$36,FU18&lt;&gt;""),AND(FX18&gt;=FY$36,FX18&lt;&gt;""),AND(GQ18&gt;=GU$36,GQ18&lt;&gt;""),AND(GT18&gt;=GU$36,GT18&lt;&gt;""),AND(HM18&gt;=HQ$36,HM18&lt;&gt;""),AND(HP18&gt;=HQ$36,HP18&lt;&gt;""),AND(II18&gt;=IM$36,II18&lt;&gt;""),AND(IL18&gt;=IM$36,IL18&lt;&gt;""),AND(JE18&gt;=JI$36,JE18&lt;&gt;""),AND(JH18&gt;=JI$36,JH18&lt;&gt;""),AND(KA18&gt;=KE$36,KA18&lt;&gt;""),AND(KD18&gt;=KE$36,KD18&lt;&gt;""),AND(KW18&gt;=LA$36,KW18&lt;&gt;""),AND(KZ18&gt;=LA$36,KZ18&lt;&gt;""),AND(LS18&gt;=LW$36,LS18&lt;&gt;""),AND(LV18&gt;=LW$36,LV18&lt;&gt;""),AND(MO18&gt;=MS$36,MO18&lt;&gt;""),AND(MR18&gt;=MS$36,MR18&lt;&gt;""),AND(NK18&gt;=NO$36,NK18&lt;&gt;""),AND(NN18&gt;=NO$36,NN18&lt;&gt;"")),"Merit",IF(OR(AND(AS18&gt;=AY$35,AS18&lt;&gt;"",AP18=""),AND(AU18&gt;=AY$35,AU18&lt;&gt;"",AP18=""),AND(AX18&gt;=AY$35,AX18&lt;&gt;"",AP18=""),AND(BW18&gt;=CC$35,BW18&lt;&gt;"",BT18=""),AND(BY18&gt;=CC$35,BY18&lt;&gt;"",BT18=""),AND(CB18&gt;=CC$35,CB18&lt;&gt;"",BT18=""),AND(DA18&gt;=DG$35,DA18&lt;&gt;"",CX18=""),AND(DC18&gt;=DG$35,DC18&lt;&gt;"",CX18=""),AND(DF18&gt;=DG$35,DF18&lt;&gt;"",CX18=""),AND(EC18&gt;=EG$35,EC18&lt;&gt;""),AND(EF18&gt;=EG$35,EF18&lt;&gt;""),AND(EY18&gt;=FC$35,EY18&lt;&gt;""),AND(FB18&gt;=FC$35,FB18&lt;&gt;""),AND(FU18&gt;=FY$35,FU18&lt;&gt;""),AND(FX18&gt;=FY$35,FX18&lt;&gt;""),AND(GQ18&gt;=GU$35,GQ18&lt;&gt;""),AND(GT18&gt;=GU$35,GT18&lt;&gt;""),AND(HM18&gt;=HQ$35,HM18&lt;&gt;""),AND(HP18&gt;=HQ$35,HP18&lt;&gt;""),AND(II18&gt;=IM$35,II18&lt;&gt;""),AND(IL18&gt;=IM$35,IL18&lt;&gt;""),AND(JE18&gt;=JI$35,JE18&lt;&gt;""),AND(JH18&gt;=JI$35,JH18&lt;&gt;""),AND(KA18&gt;=KE$35,KA18&lt;&gt;""),AND(KD18&gt;=KE$35,KD18&lt;&gt;""),AND(KW18&gt;=LA$35,KW18&lt;&gt;""),AND(KZ18&gt;=LA$35,KZ18&lt;&gt;""),AND(LS18&gt;=LW$35,LS18&lt;&gt;""),AND(LV18&gt;=LW$35,LV18&lt;&gt;""),AND(MO18&gt;=MS$35,MO18&lt;&gt;""),AND(MR18&gt;=MS$35,MR18&lt;&gt;""),AND(NK18&gt;=NO$35,NK18&lt;&gt;""),AND(NN18&gt;=NO$35,NN18&lt;&gt;"")),"Excellence",IF(OR(AND(AV18&gt;=AY$34,AV18&lt;&gt;"",AP18=""),AND(BZ18&gt;=CC$34,BZ18&lt;&gt;"",BT18=""),AND(DD18&gt;=DG$34,DD18&lt;&gt;"",CX18=""),AND(ED18&gt;=EG$34,ED18&lt;&gt;""),AND(EZ18&gt;=FC$34,EZ18&lt;&gt;""),AND(FV18&gt;=FY$34,FV18&lt;&gt;""),AND(GR18&gt;=GU$34,GR18&lt;&gt;""),AND(HN18&gt;=HQ$34,HN18&lt;&gt;""),AND(IJ18&gt;=IM$34,IJ18&lt;&gt;""),AND(JF18&gt;=JI$34,JF18&lt;&gt;""),AND(KB18&gt;=KE$34,KB18&lt;&gt;""),AND(KX18&gt;=LA$34,KX18&lt;&gt;""),AND(LT18&gt;=LW$34,LT18&lt;&gt;""),AND(MP18&gt;=MS$34,MP18&lt;&gt;""),AND(NL18&gt;=NO$34,NL18&lt;&gt;"")),"Worlds Team",IF(OR(AND(AV18&gt;=AY$33,AV18&lt;&gt;"",AP18=""),AND(BZ18&gt;=CC$33,BZ18&lt;&gt;"",BT18=""),AND(DD18&gt;=DG$33,DD18&lt;&gt;"",CX18=""),AND(ED18&gt;=EG$33,ED18&lt;&gt;""),AND(EZ18&gt;=FC$33,EZ18&lt;&gt;""),AND(FV18&gt;=FY$33,FV18&lt;&gt;""),AND(GR18&gt;=GU$33,GR18&lt;&gt;""),AND(HN18&gt;=HQ$33,HN18&lt;&gt;""),AND(IJ18&gt;=IM$33,IJ18&lt;&gt;""),AND(JF18&gt;=JI$33,JF18&lt;&gt;""),AND(KB18&gt;=KE$33,KB18&lt;&gt;""),AND(KX18&gt;=LA$33,KX18&lt;&gt;""),AND(LT18&gt;=LW$33,LT18&lt;&gt;""),AND(MP18&gt;=MS$33,MP18&lt;&gt;""),AND(NL18&gt;=NO$33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$34,AV18&lt;&gt;"",AP18=""),AND(BZ18&gt;=CC$34,BZ18&lt;&gt;"",BT18=""),AND(DD18&gt;=DG$34,DD18&lt;&gt;"",CX18=""),AND(ED18&gt;=EG$34,ED18&lt;&gt;""),AND(EZ18&gt;=FC$34,EZ18&lt;&gt;""),AND(FV18&gt;=FY$34,FV18&lt;&gt;""),AND(GR18&gt;=GU$34,GR18&lt;&gt;""),AND(HN18&gt;=HQ$34,HN18&lt;&gt;""),AND(IJ18&gt;=IM$34,IJ18&lt;&gt;""),AND(JF18&gt;=JI$34,JF18&lt;&gt;""),AND(KB18&gt;=KE$34,KB18&lt;&gt;""),AND(KX18&gt;=LA$34,KX18&lt;&gt;""),AND(LT18&gt;=LW$34,LT18&lt;&gt;""),AND(MP18&gt;=MS$34,MP18&lt;&gt;""),AND(NL18&gt;=NO$34,NL18&lt;&gt;"")),OR(G18="Worlds Team",G18="Excellence",G18="Merit")),"P","")</f>
        <v/>
      </c>
      <c r="K18" s="14">
        <f>IF(MAX(AV18,BZ18,DD18)&gt;0,MAX(AV18,BZ18,DD18),0)</f>
        <v>99.490000000000009</v>
      </c>
      <c r="L18" s="14" t="str">
        <f>IF(K18=0,"",IF(K18=DD18,$CD$1,IF(K18=BZ18,$AZ$1,IF(K18=AV18,$V$1,""))))</f>
        <v>2021 1st Virtual Technical Trial</v>
      </c>
      <c r="M18" s="14">
        <f>IF($K18=$AV18,MAX(BU18,CY18),IF($K18=$BZ18,MAX(AQ18,CY18),IF($K18=$DD18,MAX(AQ18,BU18),MAX(AQ18,BU18,CY18))))</f>
        <v>46.39</v>
      </c>
      <c r="N18" s="14" t="str">
        <f>IF(M18=0,"",IF(AND(M18=CY18,$L18&lt;&gt;$CD$1),$CD$1,IF(AND(M18=BU18,$L18&lt;&gt;$AZ$1),$AZ$1,IF(AND(M18=AQ18,$L18&lt;&gt;$V$1),$V$1,""))))</f>
        <v>2019 Nationals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51.35</v>
      </c>
      <c r="P18" s="14" t="str">
        <f>IF(O18=0,"",IF(OR(O18=DC18,O18=DA18),$CD$1,IF(OR(O18=BY18,O18=BW18),$AZ$1,IF(OR(O18=AU18,O18=AS18),$V$1,""))))</f>
        <v>2019 Nationals</v>
      </c>
      <c r="Q18" s="14">
        <f>MAX(AX18,CB18,DF18)</f>
        <v>52.825000000000003</v>
      </c>
      <c r="R18" s="14" t="str">
        <f>IF(Q18=0,"",IF(Q18=DF18,$CD$1,IF(Q18=CB18,$AZ$1,IF(Q18=AX18,$V$1,""))))</f>
        <v>2019 Nationals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17.100000000000001</v>
      </c>
      <c r="W18" s="69">
        <v>9.5</v>
      </c>
      <c r="X18" s="69">
        <v>3.9</v>
      </c>
      <c r="Y18" s="69">
        <v>15.89</v>
      </c>
      <c r="Z18" s="69">
        <v>0</v>
      </c>
      <c r="AA18" s="69">
        <v>13.7</v>
      </c>
      <c r="AB18" s="69">
        <v>9.3000000000000007</v>
      </c>
      <c r="AC18" s="69">
        <v>13.5</v>
      </c>
      <c r="AD18" s="69">
        <v>14.85</v>
      </c>
      <c r="AE18" s="69">
        <v>0</v>
      </c>
      <c r="AF18" s="69"/>
      <c r="AG18" s="69"/>
      <c r="AH18" s="69"/>
      <c r="AI18" s="69"/>
      <c r="AJ18" s="69"/>
      <c r="AK18" s="69">
        <v>14.36</v>
      </c>
      <c r="AL18" s="69">
        <v>9.5</v>
      </c>
      <c r="AM18" s="69">
        <v>13.7</v>
      </c>
      <c r="AN18" s="69">
        <v>15.265000000000001</v>
      </c>
      <c r="AO18" s="69">
        <v>0</v>
      </c>
      <c r="AP18" s="80"/>
      <c r="AQ18" s="11">
        <f>IF(SUM(V18:Y18)-Z18&gt;0,SUM(V18:Y18)-Z18,"")</f>
        <v>46.39</v>
      </c>
      <c r="AR18" s="11">
        <f>IF(AC18&gt;0,AC18,"")</f>
        <v>13.5</v>
      </c>
      <c r="AS18" s="11">
        <f>IF(SUM(AA18:AD18)-AE18&gt;0,SUM(AA18:AD18)-AE18,"")</f>
        <v>51.35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97.740000000000009</v>
      </c>
      <c r="AW18" s="11">
        <f>IF(AM18&gt;0,AM18,"")</f>
        <v>13.7</v>
      </c>
      <c r="AX18" s="11">
        <f>IF(SUM(AK18:AN18)-AO18&gt;0,SUM(AK18:AN18)-AO18,"")</f>
        <v>52.825000000000003</v>
      </c>
      <c r="AY18" s="11">
        <f>IF(SUM(AV18,AX18)&gt;0,SUM(AV18,AX18),"")</f>
        <v>150.565</v>
      </c>
      <c r="AZ18" s="75">
        <v>16.600000000000001</v>
      </c>
      <c r="BA18" s="75">
        <v>9.1999999999999993</v>
      </c>
      <c r="BB18" s="75">
        <v>5.6</v>
      </c>
      <c r="BC18" s="75">
        <v>15.48</v>
      </c>
      <c r="BD18" s="75">
        <v>0</v>
      </c>
      <c r="BE18" s="75">
        <v>14.8</v>
      </c>
      <c r="BF18" s="75">
        <v>9.15</v>
      </c>
      <c r="BG18" s="75">
        <v>13.7</v>
      </c>
      <c r="BH18" s="75">
        <v>14.96</v>
      </c>
      <c r="BI18" s="75">
        <v>0</v>
      </c>
      <c r="BJ18" s="75">
        <v>0</v>
      </c>
      <c r="BK18" s="75">
        <v>0</v>
      </c>
      <c r="BL18" s="75">
        <v>0</v>
      </c>
      <c r="BM18" s="75">
        <v>0</v>
      </c>
      <c r="BN18" s="75">
        <v>0</v>
      </c>
      <c r="BO18" s="75">
        <v>0</v>
      </c>
      <c r="BP18" s="75">
        <v>0</v>
      </c>
      <c r="BQ18" s="75">
        <v>0</v>
      </c>
      <c r="BR18" s="75">
        <v>0</v>
      </c>
      <c r="BS18" s="75">
        <v>0</v>
      </c>
      <c r="BT18" s="81"/>
      <c r="BU18" s="14">
        <f>IF(SUM(AZ18:BC18)-BD18&gt;0,SUM(AZ18:BC18)-BD18,"")</f>
        <v>46.879999999999995</v>
      </c>
      <c r="BV18" s="14">
        <f>IF(BG18&gt;0,BG18,"")</f>
        <v>13.7</v>
      </c>
      <c r="BW18" s="14">
        <f>IF(SUM(BE18:BH18)-BI18&gt;0,SUM(BE18:BH18)-BI18,"")</f>
        <v>52.610000000000007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99.490000000000009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99.490000000000009</v>
      </c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80"/>
      <c r="CY18" s="11" t="str">
        <f>IF(SUM(CD18:CG18)-CH18&gt;0,SUM(CD18:CG18)-CH18,"")</f>
        <v/>
      </c>
      <c r="CZ18" s="11" t="str">
        <f>IF(CK18&gt;0,CK18,"")</f>
        <v/>
      </c>
      <c r="DA18" s="11" t="str">
        <f>IF(SUM(CI18:CL18)-CM18&gt;0,SUM(CI18:CL18)-CM18,"")</f>
        <v/>
      </c>
      <c r="DB18" s="11" t="str">
        <f>IF(CP18&gt;0,CP18,"")</f>
        <v/>
      </c>
      <c r="DC18" s="11" t="str">
        <f>IF(SUM(CN18:CQ18)-CR18&gt;0,SUM(CN18:CQ18)-CR18,"")</f>
        <v/>
      </c>
      <c r="DD18" s="11" t="str">
        <f>IF(CY18="",IF(MAX(DA18,DC18)&gt;0,MAX(DA18,DC18),""),MAX(DA18,DC18)+CY18)</f>
        <v/>
      </c>
      <c r="DE18" s="11" t="str">
        <f>IF(CU18&gt;0,CU18,"")</f>
        <v/>
      </c>
      <c r="DF18" s="11" t="str">
        <f>IF(SUM(CS18:CV18)-CW18&gt;0,SUM(CS18:CV18)-CW18,"")</f>
        <v/>
      </c>
      <c r="DG18" s="11" t="str">
        <f>IF(SUM(DD18,DF18)&gt;0,SUM(DD18,DF18),"")</f>
        <v/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8.3000000000000007</v>
      </c>
      <c r="NQ18" s="69">
        <f>IF($CX18="P",CE18,(CE18+BA18)/2)</f>
        <v>4.5999999999999996</v>
      </c>
      <c r="NR18" s="69">
        <f>IF($CX18="P",CF18,(CF18+BB18)/2)</f>
        <v>2.8</v>
      </c>
      <c r="NS18" s="69">
        <f>IF($CX18="P",CG18,(CG18+BC18)/2)</f>
        <v>7.74</v>
      </c>
      <c r="NT18" s="69">
        <f>IF($CX18="P",CH18,(CH18+BD18)/2)</f>
        <v>0</v>
      </c>
      <c r="NU18" s="69">
        <f>IF($CX18="P",CI18,(CI18+BE18)/2)</f>
        <v>7.4</v>
      </c>
      <c r="NV18" s="69">
        <f>IF($CX18="P",CJ18,(CJ18+BF18)/2)</f>
        <v>4.5750000000000002</v>
      </c>
      <c r="NW18" s="69">
        <f>IF($CX18="P",CK18,(CK18+BG18)/2)</f>
        <v>6.85</v>
      </c>
      <c r="NX18" s="69">
        <f>IF($CX18="P",CL18,(CL18+BH18)/2)</f>
        <v>7.48</v>
      </c>
      <c r="NY18" s="69">
        <f>IF($CX18="P",CM18,(CM18+BI18)/2)</f>
        <v>0</v>
      </c>
      <c r="NZ18" s="69">
        <f>IF($CX18="P",CN18,(CN18+BJ18)/2)</f>
        <v>0</v>
      </c>
      <c r="OA18" s="69">
        <f>IF($CX18="P",CO18,(CO18+BK18)/2)</f>
        <v>0</v>
      </c>
      <c r="OB18" s="69">
        <f>IF($CX18="P",CP18,(CP18+BL18)/2)</f>
        <v>0</v>
      </c>
      <c r="OC18" s="69">
        <f>IF($CX18="P",CQ18,(CQ18+BM18)/2)</f>
        <v>0</v>
      </c>
      <c r="OD18" s="69">
        <f>IF($CX18="P",CR18,(CR18+BN18)/2)</f>
        <v>0</v>
      </c>
      <c r="OE18" s="69">
        <f>IF($CX18="P",CS18,(CS18+BO18)/2)</f>
        <v>0</v>
      </c>
      <c r="OF18" s="69">
        <f>IF($CX18="P",CT18,(CT18+BP18)/2)</f>
        <v>0</v>
      </c>
      <c r="OG18" s="69">
        <f>IF($CX18="P",CU18,(CU18+BQ18)/2)</f>
        <v>0</v>
      </c>
      <c r="OH18" s="69">
        <f>IF($CX18="P",CV18,(CV18+BR18)/2)</f>
        <v>0</v>
      </c>
      <c r="OI18" s="69">
        <f>IF($CX18="P",CW18,(CW18+BS18)/2)</f>
        <v>0</v>
      </c>
      <c r="OJ18" s="80" t="s">
        <v>88</v>
      </c>
      <c r="OK18" s="11">
        <f>IF(SUM(NP18:NS18)-NT18&gt;0,SUM(NP18:NS18)-NT18,"")</f>
        <v>23.439999999999998</v>
      </c>
      <c r="OL18" s="11">
        <f>IF(NW18&gt;0,NW18,"")</f>
        <v>6.85</v>
      </c>
      <c r="OM18" s="11">
        <f>IF(SUM(NU18:NX18)-NY18&gt;0,SUM(NU18:NX18)-NY18,"")</f>
        <v>26.305000000000003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49.745000000000005</v>
      </c>
      <c r="OQ18" s="11" t="str">
        <f>IF(OG18&gt;0,OG18,"")</f>
        <v/>
      </c>
      <c r="OR18" s="11" t="str">
        <f t="shared" si="0"/>
        <v/>
      </c>
      <c r="OS18" s="11">
        <f t="shared" si="1"/>
        <v>49.745000000000005</v>
      </c>
    </row>
    <row r="19" spans="1:409" x14ac:dyDescent="0.2">
      <c r="A19" s="5" t="str" cm="1">
        <f t="array" ref="A19">IF(AND(G19&lt;&gt;"",H19&lt;&gt;""),SUMPRODUCT((G$4:G$27&lt;&gt;"")*(H$4:H$27&lt;&gt;"")*(E$4:E$27&gt;E19))+1,IF(H19&lt;&gt;"",SUMPRODUCT((I$4:I$27="No DD")*(E$4:E$27&gt;E19))+1+SUMPRODUCT((G$4:G$27&lt;&gt;"")*(H$4:H$27&lt;&gt;"")),""))</f>
        <v/>
      </c>
      <c r="B19" s="6" t="s">
        <v>111</v>
      </c>
      <c r="C19" s="7" t="s">
        <v>10</v>
      </c>
      <c r="D19" s="27">
        <v>2000</v>
      </c>
      <c r="E19" s="15">
        <f>SUM(K19:S19)</f>
        <v>248.68000000000004</v>
      </c>
      <c r="F19" s="3" t="str">
        <f>IF(G19&lt;&gt;"","P","")</f>
        <v/>
      </c>
      <c r="G19" s="125" t="str">
        <f>IF(OR(AND(AR19&gt;=AY$32,AR19&lt;&gt;"",AP19=""),AND(AT19&gt;=AY$32,AT19&lt;&gt;"",AP19=""),AND(AW19&gt;=AY$32,AW19&lt;&gt;"",AP19=""),AND(BV19&gt;=CC$32,BV19&lt;&gt;"",BT19=""),AND(BX19&gt;=CC$32,BX19&lt;&gt;"",BT19=""),AND(CA19&gt;=CC$32,CA19&lt;&gt;"",BT19=""),AND(CZ19&gt;=DG$32,CZ19&lt;&gt;"",CX19=""),AND(DB19&gt;=DG$32,DB19&lt;&gt;"",CX19=""),AND(DE19&gt;=DG$32,DE19&lt;&gt;"",CX19=""),AND(EA19&gt;=EG$32,EA19&lt;&gt;""),AND(EE19&gt;=EG$32,EE19&lt;&gt;""),AND(EW19&gt;=FC$32,EW19&lt;&gt;""),AND(FA19&gt;=FC$32,FA19&lt;&gt;""),AND(FS19&gt;=FY$32,FS19&lt;&gt;""),AND(FW19&gt;=FY$32,FW19&lt;&gt;""),AND(GO19&gt;=GU$32,GO19&lt;&gt;""),AND(GS19&gt;=GU$32,GS19&lt;&gt;""),AND(HK19&gt;=HQ$32,HK19&lt;&gt;""),AND(HO19&gt;=HQ$32,HO19&lt;&gt;""),AND(IG19&gt;=IM$32,IG19&lt;&gt;""),AND(IK19&gt;=IM$32,IK19&lt;&gt;""),AND(JC19&gt;=JI$32,JC19&lt;&gt;""),AND(JG19&gt;=JI$32,JG19&lt;&gt;""),AND(JY19&gt;=KE$32,JY19&lt;&gt;""),AND(KC19&gt;=KE$32,KC19&lt;&gt;""),AND(KU19&gt;=LA$32,KU19&lt;&gt;""),AND(KY19&gt;=LA$32,KY19&lt;&gt;""),AND(LQ19&gt;=LW$32,LQ19&lt;&gt;""),AND(LU19&gt;=LW$32,LU19&lt;&gt;""),AND(MM19&gt;=MS$32,MM19&lt;&gt;""),AND(MQ19&gt;=MS$32,MQ19&lt;&gt;""),AND(NI19&gt;=NO$32,NI19&lt;&gt;""),AND(NM19&gt;=NO$32,NM19&lt;&gt;"")),"Merit",IF(OR(AND(AR19&gt;=AY$31,AR19&lt;&gt;"",AP19=""),AND(AT19&gt;=AY$31,AT19&lt;&gt;"",AP19=""),AND(AW19&gt;=AY$31,AW19&lt;&gt;"",AP19=""),AND(BV19&gt;=CC$31,BV19&lt;&gt;"",BT19=""),AND(BX19&gt;=CC$31,BX19&lt;&gt;"",BT19=""),AND(CA19&gt;=CC$31,CA19&lt;&gt;"",BT19=""),AND(CZ19&gt;=DG$31,CZ19&lt;&gt;"",CX19=""),AND(DB19&gt;=DG$31,DB19&lt;&gt;"",CX19=""),AND(DE19&gt;=DG$31,DE19&lt;&gt;"",CX19=""),AND(EA19&gt;=EG$31,EA19&lt;&gt;""),AND(EE19&gt;=EG$31,EE19&lt;&gt;""),AND(EW19&gt;=FC$31,EW19&lt;&gt;""),AND(FA19&gt;=FC$31,FA19&lt;&gt;""),AND(FS19&gt;=FY$31,FS19&lt;&gt;""),AND(FW19&gt;=FY$31,FW19&lt;&gt;""),AND(GO19&gt;=GU$31,GO19&lt;&gt;""),AND(GS19&gt;=GU$31,GS19&lt;&gt;""),AND(HK19&gt;=HQ$31,HK19&lt;&gt;""),AND(HO19&gt;=HQ$31,HO19&lt;&gt;""),AND(IG19&gt;=IM$31,IG19&lt;&gt;""),AND(IK19&gt;=IM$31,IK19&lt;&gt;""),AND(JC19&gt;=JI$31,JC19&lt;&gt;""),AND(JG19&gt;=JI$31,JG19&lt;&gt;""),AND(JY19&gt;=KE$31,JY19&lt;&gt;""),AND(KC19&gt;=KE$31,KC19&lt;&gt;""),AND(KU19&gt;=LA$31,KU19&lt;&gt;""),AND(KY19&gt;=LA$31,KY19&lt;&gt;""),AND(LQ19&gt;=LW$31,LQ19&lt;&gt;""),AND(LU19&gt;=LW$31,LU19&lt;&gt;""),AND(MM19&gt;=MS$31,MM19&lt;&gt;""),AND(MQ19&gt;=MS$31,MQ19&lt;&gt;""),AND(NI19&gt;=NO$31,NI19&lt;&gt;""),AND(NM19&gt;=NO$31,NM19&lt;&gt;"")),"Excellence",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Worlds Team",IF(OR(AND(AR19&gt;=AY$29,AR19&lt;&gt;"",AP19=""),AND(AT19&gt;=AY$29,AT19&lt;&gt;"",AP19=""),AND(AW19&gt;=AY$29,AW19&lt;&gt;"",AP19=""),AND(BV19&gt;=CC$29,BV19&lt;&gt;"",BT19=""),AND(BX19&gt;=CC$29,BX19&lt;&gt;"",BT19=""),AND(CA19&gt;=CC$29,CA19&lt;&gt;"",BT19=""),AND(CZ19&gt;=DG$29,CZ19&lt;&gt;"",CX19=""),AND(DB19&gt;=DG$29,DB19&lt;&gt;"",CX19=""),AND(DE19&gt;=DG$29,DE19&lt;&gt;"",CX19=""),AND(EA19&gt;=EG$29,EA19&lt;&gt;""),AND(EE19&gt;=EG$29,EE19&lt;&gt;""),AND(EW19&gt;=FC$29,EW19&lt;&gt;""),AND(FA19&gt;=FC$29,FA19&lt;&gt;""),AND(FS19&gt;=FY$29,FS19&lt;&gt;""),AND(FW19&gt;=FY$29,FW19&lt;&gt;""),AND(GO19&gt;=GU$29,GO19&lt;&gt;""),AND(GS19&gt;=GU$29,GS19&lt;&gt;""),AND(HK19&gt;=HQ$29,HK19&lt;&gt;""),AND(HO19&gt;=HQ$29,HO19&lt;&gt;""),AND(IG19&gt;=IM$29,IG19&lt;&gt;""),AND(IK19&gt;=IM$29,IK19&lt;&gt;""),AND(JC19&gt;=JI$29,JC19&lt;&gt;""),AND(JG19&gt;=JI$29,JG19&lt;&gt;""),AND(JY19&gt;=KE$29,JY19&lt;&gt;""),AND(KC19&gt;=KE$29,KC19&lt;&gt;""),AND(KU19&gt;=LA$29,KU19&lt;&gt;""),AND(KY19&gt;=LA$29,KY19&lt;&gt;""),AND(LQ19&gt;=LW$29,LQ19&lt;&gt;""),AND(LU19&gt;=LW$29,LU19&lt;&gt;""),AND(MM19&gt;=MS$29,MM19&lt;&gt;""),AND(MQ19&gt;=MS$29,MQ19&lt;&gt;""),AND(NI19&gt;=NO$29,NI19&lt;&gt;""),AND(NM19&gt;=NO$29,NM19&lt;&gt;"")),"National Team",""))))</f>
        <v/>
      </c>
      <c r="H19" s="125" t="str">
        <f>IF(OR(AND(AS19&gt;=AY$36,AS19&lt;&gt;"",AP19=""),AND(AU19&gt;=AY$36,AU19&lt;&gt;"",AP19=""),AND(AX19&gt;=AY$36,AX19&lt;&gt;"",AP19=""),AND(BW19&gt;=CC$36,BW19&lt;&gt;"",BT19=""),AND(BY19&gt;=CC$36,BY19&lt;&gt;"",BT19=""),AND(CB19&gt;=CC$36,CB19&lt;&gt;"",BT19=""),AND(DA19&gt;=DG$36,DA19&lt;&gt;"",CX19=""),AND(DC19&gt;=DG$36,DC19&lt;&gt;"",CX19=""),AND(DF19&gt;=DG$36,DF19&lt;&gt;"",CX19=""),AND(EC19&gt;=EG$36,EC19&lt;&gt;""),AND(EF19&gt;=EG$36,EF19&lt;&gt;""),AND(EY19&gt;=FC$36,EY19&lt;&gt;""),AND(FB19&gt;=FC$36,FB19&lt;&gt;""),AND(FU19&gt;=FY$36,FU19&lt;&gt;""),AND(FX19&gt;=FY$36,FX19&lt;&gt;""),AND(GQ19&gt;=GU$36,GQ19&lt;&gt;""),AND(GT19&gt;=GU$36,GT19&lt;&gt;""),AND(HM19&gt;=HQ$36,HM19&lt;&gt;""),AND(HP19&gt;=HQ$36,HP19&lt;&gt;""),AND(II19&gt;=IM$36,II19&lt;&gt;""),AND(IL19&gt;=IM$36,IL19&lt;&gt;""),AND(JE19&gt;=JI$36,JE19&lt;&gt;""),AND(JH19&gt;=JI$36,JH19&lt;&gt;""),AND(KA19&gt;=KE$36,KA19&lt;&gt;""),AND(KD19&gt;=KE$36,KD19&lt;&gt;""),AND(KW19&gt;=LA$36,KW19&lt;&gt;""),AND(KZ19&gt;=LA$36,KZ19&lt;&gt;""),AND(LS19&gt;=LW$36,LS19&lt;&gt;""),AND(LV19&gt;=LW$36,LV19&lt;&gt;""),AND(MO19&gt;=MS$36,MO19&lt;&gt;""),AND(MR19&gt;=MS$36,MR19&lt;&gt;""),AND(NK19&gt;=NO$36,NK19&lt;&gt;""),AND(NN19&gt;=NO$36,NN19&lt;&gt;"")),"Merit",IF(OR(AND(AS19&gt;=AY$35,AS19&lt;&gt;"",AP19=""),AND(AU19&gt;=AY$35,AU19&lt;&gt;"",AP19=""),AND(AX19&gt;=AY$35,AX19&lt;&gt;"",AP19=""),AND(BW19&gt;=CC$35,BW19&lt;&gt;"",BT19=""),AND(BY19&gt;=CC$35,BY19&lt;&gt;"",BT19=""),AND(CB19&gt;=CC$35,CB19&lt;&gt;"",BT19=""),AND(DA19&gt;=DG$35,DA19&lt;&gt;"",CX19=""),AND(DC19&gt;=DG$35,DC19&lt;&gt;"",CX19=""),AND(DF19&gt;=DG$35,DF19&lt;&gt;"",CX19=""),AND(EC19&gt;=EG$35,EC19&lt;&gt;""),AND(EF19&gt;=EG$35,EF19&lt;&gt;""),AND(EY19&gt;=FC$35,EY19&lt;&gt;""),AND(FB19&gt;=FC$35,FB19&lt;&gt;""),AND(FU19&gt;=FY$35,FU19&lt;&gt;""),AND(FX19&gt;=FY$35,FX19&lt;&gt;""),AND(GQ19&gt;=GU$35,GQ19&lt;&gt;""),AND(GT19&gt;=GU$35,GT19&lt;&gt;""),AND(HM19&gt;=HQ$35,HM19&lt;&gt;""),AND(HP19&gt;=HQ$35,HP19&lt;&gt;""),AND(II19&gt;=IM$35,II19&lt;&gt;""),AND(IL19&gt;=IM$35,IL19&lt;&gt;""),AND(JE19&gt;=JI$35,JE19&lt;&gt;""),AND(JH19&gt;=JI$35,JH19&lt;&gt;""),AND(KA19&gt;=KE$35,KA19&lt;&gt;""),AND(KD19&gt;=KE$35,KD19&lt;&gt;""),AND(KW19&gt;=LA$35,KW19&lt;&gt;""),AND(KZ19&gt;=LA$35,KZ19&lt;&gt;""),AND(LS19&gt;=LW$35,LS19&lt;&gt;""),AND(LV19&gt;=LW$35,LV19&lt;&gt;""),AND(MO19&gt;=MS$35,MO19&lt;&gt;""),AND(MR19&gt;=MS$35,MR19&lt;&gt;""),AND(NK19&gt;=NO$35,NK19&lt;&gt;""),AND(NN19&gt;=NO$35,NN19&lt;&gt;"")),"Excellence",IF(OR(AND(AV19&gt;=AY$34,AV19&lt;&gt;"",AP19=""),AND(BZ19&gt;=CC$34,BZ19&lt;&gt;"",BT19=""),AND(DD19&gt;=DG$34,DD19&lt;&gt;"",CX19=""),AND(ED19&gt;=EG$34,ED19&lt;&gt;""),AND(EZ19&gt;=FC$34,EZ19&lt;&gt;""),AND(FV19&gt;=FY$34,FV19&lt;&gt;""),AND(GR19&gt;=GU$34,GR19&lt;&gt;""),AND(HN19&gt;=HQ$34,HN19&lt;&gt;""),AND(IJ19&gt;=IM$34,IJ19&lt;&gt;""),AND(JF19&gt;=JI$34,JF19&lt;&gt;""),AND(KB19&gt;=KE$34,KB19&lt;&gt;""),AND(KX19&gt;=LA$34,KX19&lt;&gt;""),AND(LT19&gt;=LW$34,LT19&lt;&gt;""),AND(MP19&gt;=MS$34,MP19&lt;&gt;""),AND(NL19&gt;=NO$34,NL19&lt;&gt;"")),"Worlds Team",IF(OR(AND(AV19&gt;=AY$33,AV19&lt;&gt;"",AP19=""),AND(BZ19&gt;=CC$33,BZ19&lt;&gt;"",BT19=""),AND(DD19&gt;=DG$33,DD19&lt;&gt;"",CX19=""),AND(ED19&gt;=EG$33,ED19&lt;&gt;""),AND(EZ19&gt;=FC$33,EZ19&lt;&gt;""),AND(FV19&gt;=FY$33,FV19&lt;&gt;""),AND(GR19&gt;=GU$33,GR19&lt;&gt;""),AND(HN19&gt;=HQ$33,HN19&lt;&gt;""),AND(IJ19&gt;=IM$33,IJ19&lt;&gt;""),AND(JF19&gt;=JI$33,JF19&lt;&gt;""),AND(KB19&gt;=KE$33,KB19&lt;&gt;""),AND(KX19&gt;=LA$33,KX19&lt;&gt;""),AND(LT19&gt;=LW$33,LT19&lt;&gt;""),AND(MP19&gt;=MS$33,MP19&lt;&gt;""),AND(NL19&gt;=NO$33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$34,AV19&lt;&gt;"",AP19=""),AND(BZ19&gt;=CC$34,BZ19&lt;&gt;"",BT19=""),AND(DD19&gt;=DG$34,DD19&lt;&gt;"",CX19=""),AND(ED19&gt;=EG$34,ED19&lt;&gt;""),AND(EZ19&gt;=FC$34,EZ19&lt;&gt;""),AND(FV19&gt;=FY$34,FV19&lt;&gt;""),AND(GR19&gt;=GU$34,GR19&lt;&gt;""),AND(HN19&gt;=HQ$34,HN19&lt;&gt;""),AND(IJ19&gt;=IM$34,IJ19&lt;&gt;""),AND(JF19&gt;=JI$34,JF19&lt;&gt;""),AND(KB19&gt;=KE$34,KB19&lt;&gt;""),AND(KX19&gt;=LA$34,KX19&lt;&gt;""),AND(LT19&gt;=LW$34,LT19&lt;&gt;""),AND(MP19&gt;=MS$34,MP19&lt;&gt;""),AND(NL19&gt;=NO$34,NL19&lt;&gt;"")),OR(G19="Worlds Team",G19="Excellence",G19="Merit")),"P","")</f>
        <v/>
      </c>
      <c r="K19" s="14">
        <f>IF(MAX(AV19,BZ19,DD19)&gt;0,MAX(AV19,BZ19,DD19),0)</f>
        <v>100.81</v>
      </c>
      <c r="L19" s="14" t="str">
        <f>IF(K19=0,"",IF(K19=DD19,$CD$1,IF(K19=BZ19,$AZ$1,IF(K19=AV19,$V$1,""))))</f>
        <v>2021 1st Virtual Technical Trial</v>
      </c>
      <c r="M19" s="14">
        <f>IF($K19=$AV19,MAX(BU19,CY19),IF($K19=$BZ19,MAX(AQ19,CY19),IF($K19=$DD19,MAX(AQ19,BU19),MAX(AQ19,BU19,CY19))))</f>
        <v>45.234999999999999</v>
      </c>
      <c r="N19" s="14" t="str">
        <f>IF(M19=0,"",IF(AND(M19=CY19,$L19&lt;&gt;$CD$1),$CD$1,IF(AND(M19=BU19,$L19&lt;&gt;$AZ$1),$AZ$1,IF(AND(M19=AQ19,$L19&lt;&gt;$V$1),$V$1,""))))</f>
        <v>2019 Nationals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52.080000000000005</v>
      </c>
      <c r="P19" s="14" t="str">
        <f>IF(O19=0,"",IF(OR(O19=DC19,O19=DA19),$CD$1,IF(OR(O19=BY19,O19=BW19),$AZ$1,IF(OR(O19=AU19,O19=AS19),$V$1,""))))</f>
        <v>2021 1st Virtual Technical Trial</v>
      </c>
      <c r="Q19" s="14">
        <f>MAX(AX19,CB19,DF19)</f>
        <v>50.555000000000007</v>
      </c>
      <c r="R19" s="14" t="str">
        <f>IF(Q19=0,"",IF(Q19=DF19,$CD$1,IF(Q19=CB19,$AZ$1,IF(Q19=AX19,$V$1,""))))</f>
        <v>2021 1st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15.335000000000001</v>
      </c>
      <c r="W19" s="69">
        <v>17.399999999999999</v>
      </c>
      <c r="X19" s="69">
        <v>9.3000000000000007</v>
      </c>
      <c r="Y19" s="69">
        <v>3.2</v>
      </c>
      <c r="Z19" s="69">
        <v>0</v>
      </c>
      <c r="AA19" s="69">
        <v>10.7</v>
      </c>
      <c r="AB19" s="69">
        <v>6.2</v>
      </c>
      <c r="AC19" s="69">
        <v>8.3000000000000007</v>
      </c>
      <c r="AD19" s="69">
        <v>10.215</v>
      </c>
      <c r="AE19" s="69">
        <v>0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80"/>
      <c r="AQ19" s="11">
        <f>IF(SUM(V19:Y19)-Z19&gt;0,SUM(V19:Y19)-Z19,"")</f>
        <v>45.234999999999999</v>
      </c>
      <c r="AR19" s="11">
        <f>IF(AC19&gt;0,AC19,"")</f>
        <v>8.3000000000000007</v>
      </c>
      <c r="AS19" s="11">
        <f>IF(SUM(AA19:AD19)-AE19&gt;0,SUM(AA19:AD19)-AE19,"")</f>
        <v>35.414999999999999</v>
      </c>
      <c r="AT19" s="11" t="str">
        <f>IF(AH19&gt;0,AH19,"")</f>
        <v/>
      </c>
      <c r="AU19" s="11" t="str">
        <f>IF(SUM(AF19:AI19)-AJ19&gt;0,SUM(AF19:AI19)-AJ19,"")</f>
        <v/>
      </c>
      <c r="AV19" s="11">
        <f>IF(AQ19="",IF(MAX(AS19,AU19)&gt;0,MAX(AS19,AU19),""),MAX(AS19,AU19)+AQ19)</f>
        <v>80.650000000000006</v>
      </c>
      <c r="AW19" s="11" t="str">
        <f>IF(AM19&gt;0,AM19,"")</f>
        <v/>
      </c>
      <c r="AX19" s="11" t="str">
        <f>IF(SUM(AK19:AN19)-AO19&gt;0,SUM(AK19:AN19)-AO19,"")</f>
        <v/>
      </c>
      <c r="AY19" s="11">
        <f>IF(SUM(AV19,AX19)&gt;0,SUM(AV19,AX19),"")</f>
        <v>80.650000000000006</v>
      </c>
      <c r="AZ19" s="75">
        <v>17.899999999999999</v>
      </c>
      <c r="BA19" s="75">
        <v>9.3000000000000007</v>
      </c>
      <c r="BB19" s="75">
        <v>3.4</v>
      </c>
      <c r="BC19" s="75">
        <v>15.78</v>
      </c>
      <c r="BD19" s="75">
        <v>0</v>
      </c>
      <c r="BE19" s="75">
        <v>14.4</v>
      </c>
      <c r="BF19" s="75">
        <v>9.3000000000000007</v>
      </c>
      <c r="BG19" s="75">
        <v>13.5</v>
      </c>
      <c r="BH19" s="75">
        <v>14.88</v>
      </c>
      <c r="BI19" s="75">
        <v>0</v>
      </c>
      <c r="BJ19" s="75">
        <v>16.2</v>
      </c>
      <c r="BK19" s="75">
        <v>9.5</v>
      </c>
      <c r="BL19" s="75">
        <v>13.5</v>
      </c>
      <c r="BM19" s="75">
        <v>15.23</v>
      </c>
      <c r="BN19" s="75">
        <v>0</v>
      </c>
      <c r="BO19" s="75">
        <v>14.3</v>
      </c>
      <c r="BP19" s="75">
        <v>8.8000000000000007</v>
      </c>
      <c r="BQ19" s="75">
        <v>13.3</v>
      </c>
      <c r="BR19" s="75">
        <v>14.555</v>
      </c>
      <c r="BS19" s="75">
        <v>0.4</v>
      </c>
      <c r="BT19" s="81"/>
      <c r="BU19" s="14">
        <f>IF(SUM(AZ19:BC19)-BD19&gt;0,SUM(AZ19:BC19)-BD19,"")</f>
        <v>46.379999999999995</v>
      </c>
      <c r="BV19" s="14">
        <f>IF(BG19&gt;0,BG19,"")</f>
        <v>13.5</v>
      </c>
      <c r="BW19" s="14">
        <f>IF(SUM(BE19:BH19)-BI19&gt;0,SUM(BE19:BH19)-BI19,"")</f>
        <v>52.080000000000005</v>
      </c>
      <c r="BX19" s="14">
        <f>IF(BL19&gt;0,BL19,"")</f>
        <v>13.5</v>
      </c>
      <c r="BY19" s="14">
        <f>IF(SUM(BJ19:BM19)-BN19&gt;0,SUM(BJ19:BM19)-BN19,"")</f>
        <v>54.430000000000007</v>
      </c>
      <c r="BZ19" s="14">
        <f>IF(BU19="",IF(MAX(BW19,BY19)&gt;0,MAX(BW19,BY19),""),MAX(BW19,BY19)+BU19)</f>
        <v>100.81</v>
      </c>
      <c r="CA19" s="14">
        <f>IF(BQ19&gt;0,BQ19,"")</f>
        <v>13.3</v>
      </c>
      <c r="CB19" s="14">
        <f>IF(SUM(BO19:BR19)-BS19&gt;0,SUM(BO19:BR19)-BS19,"")</f>
        <v>50.555000000000007</v>
      </c>
      <c r="CC19" s="14">
        <f>IF(SUM(BZ19,CB19)&gt;0,SUM(BZ19,CB19),"")</f>
        <v>151.36500000000001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8.9499999999999993</v>
      </c>
      <c r="NQ19" s="69">
        <f>IF($CX19="P",CE19,(CE19+BA19)/2)</f>
        <v>4.6500000000000004</v>
      </c>
      <c r="NR19" s="69">
        <f>IF($CX19="P",CF19,(CF19+BB19)/2)</f>
        <v>1.7</v>
      </c>
      <c r="NS19" s="69">
        <f>IF($CX19="P",CG19,(CG19+BC19)/2)</f>
        <v>7.89</v>
      </c>
      <c r="NT19" s="69">
        <f>IF($CX19="P",CH19,(CH19+BD19)/2)</f>
        <v>0</v>
      </c>
      <c r="NU19" s="69">
        <f>IF($CX19="P",CI19,(CI19+BE19)/2)</f>
        <v>7.2</v>
      </c>
      <c r="NV19" s="69">
        <f>IF($CX19="P",CJ19,(CJ19+BF19)/2)</f>
        <v>4.6500000000000004</v>
      </c>
      <c r="NW19" s="69">
        <f>IF($CX19="P",CK19,(CK19+BG19)/2)</f>
        <v>6.75</v>
      </c>
      <c r="NX19" s="69">
        <f>IF($CX19="P",CL19,(CL19+BH19)/2)</f>
        <v>7.44</v>
      </c>
      <c r="NY19" s="69">
        <f>IF($CX19="P",CM19,(CM19+BI19)/2)</f>
        <v>0</v>
      </c>
      <c r="NZ19" s="69">
        <f>IF($CX19="P",CN19,(CN19+BJ19)/2)</f>
        <v>8.1</v>
      </c>
      <c r="OA19" s="69">
        <f>IF($CX19="P",CO19,(CO19+BK19)/2)</f>
        <v>4.75</v>
      </c>
      <c r="OB19" s="69">
        <f>IF($CX19="P",CP19,(CP19+BL19)/2)</f>
        <v>6.75</v>
      </c>
      <c r="OC19" s="69">
        <f>IF($CX19="P",CQ19,(CQ19+BM19)/2)</f>
        <v>7.6150000000000002</v>
      </c>
      <c r="OD19" s="69">
        <f>IF($CX19="P",CR19,(CR19+BN19)/2)</f>
        <v>0</v>
      </c>
      <c r="OE19" s="69">
        <f>IF($CX19="P",CS19,(CS19+BO19)/2)</f>
        <v>7.15</v>
      </c>
      <c r="OF19" s="69">
        <f>IF($CX19="P",CT19,(CT19+BP19)/2)</f>
        <v>4.4000000000000004</v>
      </c>
      <c r="OG19" s="69">
        <f>IF($CX19="P",CU19,(CU19+BQ19)/2)</f>
        <v>6.65</v>
      </c>
      <c r="OH19" s="69">
        <f>IF($CX19="P",CV19,(CV19+BR19)/2)</f>
        <v>7.2774999999999999</v>
      </c>
      <c r="OI19" s="69">
        <f>IF($CX19="P",CW19,(CW19+BS19)/2)</f>
        <v>0.2</v>
      </c>
      <c r="OJ19" s="80" t="s">
        <v>88</v>
      </c>
      <c r="OK19" s="11">
        <f>IF(SUM(NP19:NS19)-NT19&gt;0,SUM(NP19:NS19)-NT19,"")</f>
        <v>23.189999999999998</v>
      </c>
      <c r="OL19" s="11">
        <f>IF(NW19&gt;0,NW19,"")</f>
        <v>6.75</v>
      </c>
      <c r="OM19" s="11">
        <f>IF(SUM(NU19:NX19)-NY19&gt;0,SUM(NU19:NX19)-NY19,"")</f>
        <v>26.040000000000003</v>
      </c>
      <c r="ON19" s="11">
        <f>IF(OB19&gt;0,OB19,"")</f>
        <v>6.75</v>
      </c>
      <c r="OO19" s="11">
        <f>IF(SUM(NZ19:OC19)-OD19&gt;0,SUM(NZ19:OC19)-OD19,"")</f>
        <v>27.215000000000003</v>
      </c>
      <c r="OP19" s="11">
        <f>IF(OR(OK19&lt;&gt;"",OM19&lt;&gt;"",OO19&lt;&gt;""),OK19+MAX(OM19,OO19),"")</f>
        <v>50.405000000000001</v>
      </c>
      <c r="OQ19" s="11">
        <f>IF(OG19&gt;0,OG19,"")</f>
        <v>6.65</v>
      </c>
      <c r="OR19" s="11">
        <f t="shared" si="0"/>
        <v>25.277500000000003</v>
      </c>
      <c r="OS19" s="11">
        <f t="shared" si="1"/>
        <v>75.682500000000005</v>
      </c>
    </row>
    <row r="20" spans="1:409" x14ac:dyDescent="0.2">
      <c r="A20" s="5" t="str" cm="1">
        <f t="array" ref="A20">IF(AND(G20&lt;&gt;"",H20&lt;&gt;""),SUMPRODUCT((G$4:G$27&lt;&gt;"")*(H$4:H$27&lt;&gt;"")*(E$4:E$27&gt;E20))+1,IF(H20&lt;&gt;"",SUMPRODUCT((I$4:I$27="No DD")*(E$4:E$27&gt;E20))+1+SUMPRODUCT((G$4:G$27&lt;&gt;"")*(H$4:H$27&lt;&gt;"")),""))</f>
        <v/>
      </c>
      <c r="B20" s="6" t="s">
        <v>188</v>
      </c>
      <c r="C20" s="7" t="s">
        <v>10</v>
      </c>
      <c r="D20" s="5">
        <v>2004</v>
      </c>
      <c r="E20" s="15">
        <f>SUM(K20:S20)</f>
        <v>188.38</v>
      </c>
      <c r="F20" s="3" t="str">
        <f>IF(G20&lt;&gt;"","P","")</f>
        <v/>
      </c>
      <c r="G20" s="125" t="str">
        <f>IF(OR(AND(AR20&gt;=AY$32,AR20&lt;&gt;"",AP20=""),AND(AT20&gt;=AY$32,AT20&lt;&gt;"",AP20=""),AND(AW20&gt;=AY$32,AW20&lt;&gt;"",AP20=""),AND(BV20&gt;=CC$32,BV20&lt;&gt;"",BT20=""),AND(BX20&gt;=CC$32,BX20&lt;&gt;"",BT20=""),AND(CA20&gt;=CC$32,CA20&lt;&gt;"",BT20=""),AND(CZ20&gt;=DG$32,CZ20&lt;&gt;"",CX20=""),AND(DB20&gt;=DG$32,DB20&lt;&gt;"",CX20=""),AND(DE20&gt;=DG$32,DE20&lt;&gt;"",CX20=""),AND(EA20&gt;=EG$32,EA20&lt;&gt;""),AND(EE20&gt;=EG$32,EE20&lt;&gt;""),AND(EW20&gt;=FC$32,EW20&lt;&gt;""),AND(FA20&gt;=FC$32,FA20&lt;&gt;""),AND(FS20&gt;=FY$32,FS20&lt;&gt;""),AND(FW20&gt;=FY$32,FW20&lt;&gt;""),AND(GO20&gt;=GU$32,GO20&lt;&gt;""),AND(GS20&gt;=GU$32,GS20&lt;&gt;""),AND(HK20&gt;=HQ$32,HK20&lt;&gt;""),AND(HO20&gt;=HQ$32,HO20&lt;&gt;""),AND(IG20&gt;=IM$32,IG20&lt;&gt;""),AND(IK20&gt;=IM$32,IK20&lt;&gt;""),AND(JC20&gt;=JI$32,JC20&lt;&gt;""),AND(JG20&gt;=JI$32,JG20&lt;&gt;""),AND(JY20&gt;=KE$32,JY20&lt;&gt;""),AND(KC20&gt;=KE$32,KC20&lt;&gt;""),AND(KU20&gt;=LA$32,KU20&lt;&gt;""),AND(KY20&gt;=LA$32,KY20&lt;&gt;""),AND(LQ20&gt;=LW$32,LQ20&lt;&gt;""),AND(LU20&gt;=LW$32,LU20&lt;&gt;""),AND(MM20&gt;=MS$32,MM20&lt;&gt;""),AND(MQ20&gt;=MS$32,MQ20&lt;&gt;""),AND(NI20&gt;=NO$32,NI20&lt;&gt;""),AND(NM20&gt;=NO$32,NM20&lt;&gt;"")),"Merit",IF(OR(AND(AR20&gt;=AY$31,AR20&lt;&gt;"",AP20=""),AND(AT20&gt;=AY$31,AT20&lt;&gt;"",AP20=""),AND(AW20&gt;=AY$31,AW20&lt;&gt;"",AP20=""),AND(BV20&gt;=CC$31,BV20&lt;&gt;"",BT20=""),AND(BX20&gt;=CC$31,BX20&lt;&gt;"",BT20=""),AND(CA20&gt;=CC$31,CA20&lt;&gt;"",BT20=""),AND(CZ20&gt;=DG$31,CZ20&lt;&gt;"",CX20=""),AND(DB20&gt;=DG$31,DB20&lt;&gt;"",CX20=""),AND(DE20&gt;=DG$31,DE20&lt;&gt;"",CX20=""),AND(EA20&gt;=EG$31,EA20&lt;&gt;""),AND(EE20&gt;=EG$31,EE20&lt;&gt;""),AND(EW20&gt;=FC$31,EW20&lt;&gt;""),AND(FA20&gt;=FC$31,FA20&lt;&gt;""),AND(FS20&gt;=FY$31,FS20&lt;&gt;""),AND(FW20&gt;=FY$31,FW20&lt;&gt;""),AND(GO20&gt;=GU$31,GO20&lt;&gt;""),AND(GS20&gt;=GU$31,GS20&lt;&gt;""),AND(HK20&gt;=HQ$31,HK20&lt;&gt;""),AND(HO20&gt;=HQ$31,HO20&lt;&gt;""),AND(IG20&gt;=IM$31,IG20&lt;&gt;""),AND(IK20&gt;=IM$31,IK20&lt;&gt;""),AND(JC20&gt;=JI$31,JC20&lt;&gt;""),AND(JG20&gt;=JI$31,JG20&lt;&gt;""),AND(JY20&gt;=KE$31,JY20&lt;&gt;""),AND(KC20&gt;=KE$31,KC20&lt;&gt;""),AND(KU20&gt;=LA$31,KU20&lt;&gt;""),AND(KY20&gt;=LA$31,KY20&lt;&gt;""),AND(LQ20&gt;=LW$31,LQ20&lt;&gt;""),AND(LU20&gt;=LW$31,LU20&lt;&gt;""),AND(MM20&gt;=MS$31,MM20&lt;&gt;""),AND(MQ20&gt;=MS$31,MQ20&lt;&gt;""),AND(NI20&gt;=NO$31,NI20&lt;&gt;""),AND(NM20&gt;=NO$31,NM20&lt;&gt;"")),"Excellence",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Worlds Team",IF(OR(AND(AR20&gt;=AY$29,AR20&lt;&gt;"",AP20=""),AND(AT20&gt;=AY$29,AT20&lt;&gt;"",AP20=""),AND(AW20&gt;=AY$29,AW20&lt;&gt;"",AP20=""),AND(BV20&gt;=CC$29,BV20&lt;&gt;"",BT20=""),AND(BX20&gt;=CC$29,BX20&lt;&gt;"",BT20=""),AND(CA20&gt;=CC$29,CA20&lt;&gt;"",BT20=""),AND(CZ20&gt;=DG$29,CZ20&lt;&gt;"",CX20=""),AND(DB20&gt;=DG$29,DB20&lt;&gt;"",CX20=""),AND(DE20&gt;=DG$29,DE20&lt;&gt;"",CX20=""),AND(EA20&gt;=EG$29,EA20&lt;&gt;""),AND(EE20&gt;=EG$29,EE20&lt;&gt;""),AND(EW20&gt;=FC$29,EW20&lt;&gt;""),AND(FA20&gt;=FC$29,FA20&lt;&gt;""),AND(FS20&gt;=FY$29,FS20&lt;&gt;""),AND(FW20&gt;=FY$29,FW20&lt;&gt;""),AND(GO20&gt;=GU$29,GO20&lt;&gt;""),AND(GS20&gt;=GU$29,GS20&lt;&gt;""),AND(HK20&gt;=HQ$29,HK20&lt;&gt;""),AND(HO20&gt;=HQ$29,HO20&lt;&gt;""),AND(IG20&gt;=IM$29,IG20&lt;&gt;""),AND(IK20&gt;=IM$29,IK20&lt;&gt;""),AND(JC20&gt;=JI$29,JC20&lt;&gt;""),AND(JG20&gt;=JI$29,JG20&lt;&gt;""),AND(JY20&gt;=KE$29,JY20&lt;&gt;""),AND(KC20&gt;=KE$29,KC20&lt;&gt;""),AND(KU20&gt;=LA$29,KU20&lt;&gt;""),AND(KY20&gt;=LA$29,KY20&lt;&gt;""),AND(LQ20&gt;=LW$29,LQ20&lt;&gt;""),AND(LU20&gt;=LW$29,LU20&lt;&gt;""),AND(MM20&gt;=MS$29,MM20&lt;&gt;""),AND(MQ20&gt;=MS$29,MQ20&lt;&gt;""),AND(NI20&gt;=NO$29,NI20&lt;&gt;""),AND(NM20&gt;=NO$29,NM20&lt;&gt;"")),"National Team",""))))</f>
        <v/>
      </c>
      <c r="H20" s="125" t="str">
        <f>IF(OR(AND(AS20&gt;=AY$36,AS20&lt;&gt;"",AP20=""),AND(AU20&gt;=AY$36,AU20&lt;&gt;"",AP20=""),AND(AX20&gt;=AY$36,AX20&lt;&gt;"",AP20=""),AND(BW20&gt;=CC$36,BW20&lt;&gt;"",BT20=""),AND(BY20&gt;=CC$36,BY20&lt;&gt;"",BT20=""),AND(CB20&gt;=CC$36,CB20&lt;&gt;"",BT20=""),AND(DA20&gt;=DG$36,DA20&lt;&gt;"",CX20=""),AND(DC20&gt;=DG$36,DC20&lt;&gt;"",CX20=""),AND(DF20&gt;=DG$36,DF20&lt;&gt;"",CX20=""),AND(EC20&gt;=EG$36,EC20&lt;&gt;""),AND(EF20&gt;=EG$36,EF20&lt;&gt;""),AND(EY20&gt;=FC$36,EY20&lt;&gt;""),AND(FB20&gt;=FC$36,FB20&lt;&gt;""),AND(FU20&gt;=FY$36,FU20&lt;&gt;""),AND(FX20&gt;=FY$36,FX20&lt;&gt;""),AND(GQ20&gt;=GU$36,GQ20&lt;&gt;""),AND(GT20&gt;=GU$36,GT20&lt;&gt;""),AND(HM20&gt;=HQ$36,HM20&lt;&gt;""),AND(HP20&gt;=HQ$36,HP20&lt;&gt;""),AND(II20&gt;=IM$36,II20&lt;&gt;""),AND(IL20&gt;=IM$36,IL20&lt;&gt;""),AND(JE20&gt;=JI$36,JE20&lt;&gt;""),AND(JH20&gt;=JI$36,JH20&lt;&gt;""),AND(KA20&gt;=KE$36,KA20&lt;&gt;""),AND(KD20&gt;=KE$36,KD20&lt;&gt;""),AND(KW20&gt;=LA$36,KW20&lt;&gt;""),AND(KZ20&gt;=LA$36,KZ20&lt;&gt;""),AND(LS20&gt;=LW$36,LS20&lt;&gt;""),AND(LV20&gt;=LW$36,LV20&lt;&gt;""),AND(MO20&gt;=MS$36,MO20&lt;&gt;""),AND(MR20&gt;=MS$36,MR20&lt;&gt;""),AND(NK20&gt;=NO$36,NK20&lt;&gt;""),AND(NN20&gt;=NO$36,NN20&lt;&gt;"")),"Merit",IF(OR(AND(AS20&gt;=AY$35,AS20&lt;&gt;"",AP20=""),AND(AU20&gt;=AY$35,AU20&lt;&gt;"",AP20=""),AND(AX20&gt;=AY$35,AX20&lt;&gt;"",AP20=""),AND(BW20&gt;=CC$35,BW20&lt;&gt;"",BT20=""),AND(BY20&gt;=CC$35,BY20&lt;&gt;"",BT20=""),AND(CB20&gt;=CC$35,CB20&lt;&gt;"",BT20=""),AND(DA20&gt;=DG$35,DA20&lt;&gt;"",CX20=""),AND(DC20&gt;=DG$35,DC20&lt;&gt;"",CX20=""),AND(DF20&gt;=DG$35,DF20&lt;&gt;"",CX20=""),AND(EC20&gt;=EG$35,EC20&lt;&gt;""),AND(EF20&gt;=EG$35,EF20&lt;&gt;""),AND(EY20&gt;=FC$35,EY20&lt;&gt;""),AND(FB20&gt;=FC$35,FB20&lt;&gt;""),AND(FU20&gt;=FY$35,FU20&lt;&gt;""),AND(FX20&gt;=FY$35,FX20&lt;&gt;""),AND(GQ20&gt;=GU$35,GQ20&lt;&gt;""),AND(GT20&gt;=GU$35,GT20&lt;&gt;""),AND(HM20&gt;=HQ$35,HM20&lt;&gt;""),AND(HP20&gt;=HQ$35,HP20&lt;&gt;""),AND(II20&gt;=IM$35,II20&lt;&gt;""),AND(IL20&gt;=IM$35,IL20&lt;&gt;""),AND(JE20&gt;=JI$35,JE20&lt;&gt;""),AND(JH20&gt;=JI$35,JH20&lt;&gt;""),AND(KA20&gt;=KE$35,KA20&lt;&gt;""),AND(KD20&gt;=KE$35,KD20&lt;&gt;""),AND(KW20&gt;=LA$35,KW20&lt;&gt;""),AND(KZ20&gt;=LA$35,KZ20&lt;&gt;""),AND(LS20&gt;=LW$35,LS20&lt;&gt;""),AND(LV20&gt;=LW$35,LV20&lt;&gt;""),AND(MO20&gt;=MS$35,MO20&lt;&gt;""),AND(MR20&gt;=MS$35,MR20&lt;&gt;""),AND(NK20&gt;=NO$35,NK20&lt;&gt;""),AND(NN20&gt;=NO$35,NN20&lt;&gt;"")),"Excellence",IF(OR(AND(AV20&gt;=AY$34,AV20&lt;&gt;"",AP20=""),AND(BZ20&gt;=CC$34,BZ20&lt;&gt;"",BT20=""),AND(DD20&gt;=DG$34,DD20&lt;&gt;"",CX20=""),AND(ED20&gt;=EG$34,ED20&lt;&gt;""),AND(EZ20&gt;=FC$34,EZ20&lt;&gt;""),AND(FV20&gt;=FY$34,FV20&lt;&gt;""),AND(GR20&gt;=GU$34,GR20&lt;&gt;""),AND(HN20&gt;=HQ$34,HN20&lt;&gt;""),AND(IJ20&gt;=IM$34,IJ20&lt;&gt;""),AND(JF20&gt;=JI$34,JF20&lt;&gt;""),AND(KB20&gt;=KE$34,KB20&lt;&gt;""),AND(KX20&gt;=LA$34,KX20&lt;&gt;""),AND(LT20&gt;=LW$34,LT20&lt;&gt;""),AND(MP20&gt;=MS$34,MP20&lt;&gt;""),AND(NL20&gt;=NO$34,NL20&lt;&gt;"")),"Worlds Team",IF(OR(AND(AV20&gt;=AY$33,AV20&lt;&gt;"",AP20=""),AND(BZ20&gt;=CC$33,BZ20&lt;&gt;"",BT20=""),AND(DD20&gt;=DG$33,DD20&lt;&gt;"",CX20=""),AND(ED20&gt;=EG$33,ED20&lt;&gt;""),AND(EZ20&gt;=FC$33,EZ20&lt;&gt;""),AND(FV20&gt;=FY$33,FV20&lt;&gt;""),AND(GR20&gt;=GU$33,GR20&lt;&gt;""),AND(HN20&gt;=HQ$33,HN20&lt;&gt;""),AND(IJ20&gt;=IM$33,IJ20&lt;&gt;""),AND(JF20&gt;=JI$33,JF20&lt;&gt;""),AND(KB20&gt;=KE$33,KB20&lt;&gt;""),AND(KX20&gt;=LA$33,KX20&lt;&gt;""),AND(LT20&gt;=LW$33,LT20&lt;&gt;""),AND(MP20&gt;=MS$33,MP20&lt;&gt;""),AND(NL20&gt;=NO$33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$34,AV20&lt;&gt;"",AP20=""),AND(BZ20&gt;=CC$34,BZ20&lt;&gt;"",BT20=""),AND(DD20&gt;=DG$34,DD20&lt;&gt;"",CX20=""),AND(ED20&gt;=EG$34,ED20&lt;&gt;""),AND(EZ20&gt;=FC$34,EZ20&lt;&gt;""),AND(FV20&gt;=FY$34,FV20&lt;&gt;""),AND(GR20&gt;=GU$34,GR20&lt;&gt;""),AND(HN20&gt;=HQ$34,HN20&lt;&gt;""),AND(IJ20&gt;=IM$34,IJ20&lt;&gt;""),AND(JF20&gt;=JI$34,JF20&lt;&gt;""),AND(KB20&gt;=KE$34,KB20&lt;&gt;""),AND(KX20&gt;=LA$34,KX20&lt;&gt;""),AND(LT20&gt;=LW$34,LT20&lt;&gt;""),AND(MP20&gt;=MS$34,MP20&lt;&gt;""),AND(NL20&gt;=NO$34,NL20&lt;&gt;"")),OR(G20="Worlds Team",G20="Excellence",G20="Merit")),"P","")</f>
        <v/>
      </c>
      <c r="K20" s="14">
        <f>IF(MAX(AV20,BZ20,DD20)&gt;0,MAX(AV20,BZ20,DD20),0)</f>
        <v>84.52</v>
      </c>
      <c r="L20" s="14" t="str">
        <f>IF(K20=0,"",IF(K20=DD20,$CD$1,IF(K20=BZ20,$AZ$1,IF(K20=AV20,$V$1,""))))</f>
        <v>2019 Nationals</v>
      </c>
      <c r="M20" s="14">
        <f>IF($K20=$AV20,MAX(BU20,CY20),IF($K20=$BZ20,MAX(AQ20,CY20),IF($K20=$DD20,MAX(AQ20,BU20),MAX(AQ20,BU20,CY20))))</f>
        <v>45.739999999999995</v>
      </c>
      <c r="N20" s="14" t="str">
        <f>IF(M20=0,"",IF(AND(M20=CY20,$L20&lt;&gt;$CD$1),$CD$1,IF(AND(M20=BU20,$L20&lt;&gt;$AZ$1),$AZ$1,IF(AND(M20=AQ20,$L20&lt;&gt;$V$1),$V$1,""))))</f>
        <v>2021 2nd Virtual Technical Trial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20.63</v>
      </c>
      <c r="P20" s="14" t="str">
        <f>IF(O20=0,"",IF(OR(O20=DC20,O20=DA20),$CD$1,IF(OR(O20=BY20,O20=BW20),$AZ$1,IF(OR(O20=AU20,O20=AS20),$V$1,""))))</f>
        <v>2021 2nd Virtual Technical Trial</v>
      </c>
      <c r="Q20" s="14">
        <f>MAX(AX20,CB20,DF20)</f>
        <v>37.489999999999995</v>
      </c>
      <c r="R20" s="14" t="str">
        <f>IF(Q20=0,"",IF(Q20=DF20,$CD$1,IF(Q20=CB20,$AZ$1,IF(Q20=AX20,$V$1,""))))</f>
        <v>2021 2nd Virtual Technical Trial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>
        <v>15.8</v>
      </c>
      <c r="W20" s="69">
        <v>9.1</v>
      </c>
      <c r="X20" s="69">
        <v>3.4</v>
      </c>
      <c r="Y20" s="69">
        <v>14.69</v>
      </c>
      <c r="Z20" s="69">
        <v>2</v>
      </c>
      <c r="AA20" s="69">
        <v>13.4</v>
      </c>
      <c r="AB20" s="69">
        <v>8.3000000000000007</v>
      </c>
      <c r="AC20" s="69">
        <v>9.3000000000000007</v>
      </c>
      <c r="AD20" s="69">
        <v>12.53</v>
      </c>
      <c r="AE20" s="69">
        <v>0</v>
      </c>
      <c r="AF20" s="69"/>
      <c r="AG20" s="69"/>
      <c r="AH20" s="69"/>
      <c r="AI20" s="69"/>
      <c r="AJ20" s="69"/>
      <c r="AK20" s="69">
        <v>1.44</v>
      </c>
      <c r="AL20" s="69">
        <v>1</v>
      </c>
      <c r="AM20" s="69">
        <v>1.5</v>
      </c>
      <c r="AN20" s="69">
        <v>1.52</v>
      </c>
      <c r="AO20" s="69">
        <v>0</v>
      </c>
      <c r="AP20" s="80"/>
      <c r="AQ20" s="11">
        <f>IF(SUM(V20:Y20)-Z20&gt;0,SUM(V20:Y20)-Z20,"")</f>
        <v>40.989999999999995</v>
      </c>
      <c r="AR20" s="11">
        <f>IF(AC20&gt;0,AC20,"")</f>
        <v>9.3000000000000007</v>
      </c>
      <c r="AS20" s="11">
        <f>IF(SUM(AA20:AD20)-AE20&gt;0,SUM(AA20:AD20)-AE20,"")</f>
        <v>43.53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84.52</v>
      </c>
      <c r="AW20" s="11">
        <f>IF(AM20&gt;0,AM20,"")</f>
        <v>1.5</v>
      </c>
      <c r="AX20" s="11">
        <f>IF(SUM(AK20:AN20)-AO20&gt;0,SUM(AK20:AN20)-AO20,"")</f>
        <v>5.46</v>
      </c>
      <c r="AY20" s="11">
        <f>IF(SUM(AV20,AX20)&gt;0,SUM(AV20,AX20),"")</f>
        <v>89.97999999999999</v>
      </c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81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9">
        <v>16.899999999999999</v>
      </c>
      <c r="CE20" s="69">
        <v>9.4</v>
      </c>
      <c r="CF20" s="69">
        <v>3.5</v>
      </c>
      <c r="CG20" s="69">
        <v>15.94</v>
      </c>
      <c r="CH20" s="69">
        <v>0</v>
      </c>
      <c r="CI20" s="69">
        <v>1.6</v>
      </c>
      <c r="CJ20" s="69">
        <v>0.9</v>
      </c>
      <c r="CK20" s="69">
        <v>1.7</v>
      </c>
      <c r="CL20" s="69">
        <v>1.615</v>
      </c>
      <c r="CM20" s="69">
        <v>0</v>
      </c>
      <c r="CN20" s="69">
        <v>5.8</v>
      </c>
      <c r="CO20" s="69">
        <v>3.4</v>
      </c>
      <c r="CP20" s="69">
        <v>5.4</v>
      </c>
      <c r="CQ20" s="69">
        <v>6.03</v>
      </c>
      <c r="CR20" s="69">
        <v>0</v>
      </c>
      <c r="CS20" s="69">
        <v>10.9</v>
      </c>
      <c r="CT20" s="69">
        <v>6.5</v>
      </c>
      <c r="CU20" s="69">
        <v>9.4</v>
      </c>
      <c r="CV20" s="69">
        <v>10.69</v>
      </c>
      <c r="CW20" s="69">
        <v>0</v>
      </c>
      <c r="CX20" s="80"/>
      <c r="CY20" s="11">
        <f>IF(SUM(CD20:CG20)-CH20&gt;0,SUM(CD20:CG20)-CH20,"")</f>
        <v>45.739999999999995</v>
      </c>
      <c r="CZ20" s="11">
        <f>IF(CK20&gt;0,CK20,"")</f>
        <v>1.7</v>
      </c>
      <c r="DA20" s="11">
        <f>IF(SUM(CI20:CL20)-CM20&gt;0,SUM(CI20:CL20)-CM20,"")</f>
        <v>5.8150000000000004</v>
      </c>
      <c r="DB20" s="11">
        <f>IF(CP20&gt;0,CP20,"")</f>
        <v>5.4</v>
      </c>
      <c r="DC20" s="11">
        <f>IF(SUM(CN20:CQ20)-CR20&gt;0,SUM(CN20:CQ20)-CR20,"")</f>
        <v>20.63</v>
      </c>
      <c r="DD20" s="11">
        <f>IF(CY20="",IF(MAX(DA20,DC20)&gt;0,MAX(DA20,DC20),""),MAX(DA20,DC20)+CY20)</f>
        <v>66.36999999999999</v>
      </c>
      <c r="DE20" s="11">
        <f>IF(CU20&gt;0,CU20,"")</f>
        <v>9.4</v>
      </c>
      <c r="DF20" s="11">
        <f>IF(SUM(CS20:CV20)-CW20&gt;0,SUM(CS20:CV20)-CW20,"")</f>
        <v>37.489999999999995</v>
      </c>
      <c r="DG20" s="11">
        <f>IF(SUM(DD20,DF20)&gt;0,SUM(DD20,DF20),"")</f>
        <v>103.85999999999999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8.4499999999999993</v>
      </c>
      <c r="NQ20" s="69">
        <f>IF($CX20="P",CE20,(CE20+BA20)/2)</f>
        <v>4.7</v>
      </c>
      <c r="NR20" s="69">
        <f>IF($CX20="P",CF20,(CF20+BB20)/2)</f>
        <v>1.75</v>
      </c>
      <c r="NS20" s="69">
        <f>IF($CX20="P",CG20,(CG20+BC20)/2)</f>
        <v>7.97</v>
      </c>
      <c r="NT20" s="69">
        <f>IF($CX20="P",CH20,(CH20+BD20)/2)</f>
        <v>0</v>
      </c>
      <c r="NU20" s="69">
        <f>IF($CX20="P",CI20,(CI20+BE20)/2)</f>
        <v>0.8</v>
      </c>
      <c r="NV20" s="69">
        <f>IF($CX20="P",CJ20,(CJ20+BF20)/2)</f>
        <v>0.45</v>
      </c>
      <c r="NW20" s="69">
        <f>IF($CX20="P",CK20,(CK20+BG20)/2)</f>
        <v>0.85</v>
      </c>
      <c r="NX20" s="69">
        <f>IF($CX20="P",CL20,(CL20+BH20)/2)</f>
        <v>0.8075</v>
      </c>
      <c r="NY20" s="69">
        <f>IF($CX20="P",CM20,(CM20+BI20)/2)</f>
        <v>0</v>
      </c>
      <c r="NZ20" s="69">
        <f>IF($CX20="P",CN20,(CN20+BJ20)/2)</f>
        <v>2.9</v>
      </c>
      <c r="OA20" s="69">
        <f>IF($CX20="P",CO20,(CO20+BK20)/2)</f>
        <v>1.7</v>
      </c>
      <c r="OB20" s="69">
        <f>IF($CX20="P",CP20,(CP20+BL20)/2)</f>
        <v>2.7</v>
      </c>
      <c r="OC20" s="69">
        <f>IF($CX20="P",CQ20,(CQ20+BM20)/2)</f>
        <v>3.0150000000000001</v>
      </c>
      <c r="OD20" s="69">
        <f>IF($CX20="P",CR20,(CR20+BN20)/2)</f>
        <v>0</v>
      </c>
      <c r="OE20" s="69">
        <f>IF($CX20="P",CS20,(CS20+BO20)/2)</f>
        <v>5.45</v>
      </c>
      <c r="OF20" s="69">
        <f>IF($CX20="P",CT20,(CT20+BP20)/2)</f>
        <v>3.25</v>
      </c>
      <c r="OG20" s="69">
        <f>IF($CX20="P",CU20,(CU20+BQ20)/2)</f>
        <v>4.7</v>
      </c>
      <c r="OH20" s="69">
        <f>IF($CX20="P",CV20,(CV20+BR20)/2)</f>
        <v>5.3449999999999998</v>
      </c>
      <c r="OI20" s="69">
        <f>IF($CX20="P",CW20,(CW20+BS20)/2)</f>
        <v>0</v>
      </c>
      <c r="OJ20" s="80" t="s">
        <v>88</v>
      </c>
      <c r="OK20" s="11">
        <f>IF(SUM(NP20:NS20)-NT20&gt;0,SUM(NP20:NS20)-NT20,"")</f>
        <v>22.869999999999997</v>
      </c>
      <c r="OL20" s="11">
        <f>IF(NW20&gt;0,NW20,"")</f>
        <v>0.85</v>
      </c>
      <c r="OM20" s="11">
        <f>IF(SUM(NU20:NX20)-NY20&gt;0,SUM(NU20:NX20)-NY20,"")</f>
        <v>2.9075000000000002</v>
      </c>
      <c r="ON20" s="11">
        <f>IF(OB20&gt;0,OB20,"")</f>
        <v>2.7</v>
      </c>
      <c r="OO20" s="11">
        <f>IF(SUM(NZ20:OC20)-OD20&gt;0,SUM(NZ20:OC20)-OD20,"")</f>
        <v>10.315</v>
      </c>
      <c r="OP20" s="11">
        <f>IF(OR(OK20&lt;&gt;"",OM20&lt;&gt;"",OO20&lt;&gt;""),OK20+MAX(OM20,OO20),"")</f>
        <v>33.184999999999995</v>
      </c>
      <c r="OQ20" s="11">
        <f>IF(OG20&gt;0,OG20,"")</f>
        <v>4.7</v>
      </c>
      <c r="OR20" s="11">
        <f t="shared" si="0"/>
        <v>18.744999999999997</v>
      </c>
      <c r="OS20" s="11">
        <f t="shared" si="1"/>
        <v>51.929999999999993</v>
      </c>
    </row>
    <row r="21" spans="1:409" x14ac:dyDescent="0.2">
      <c r="A21" s="5" t="str" cm="1">
        <f t="array" ref="A21">IF(AND(G21&lt;&gt;"",H21&lt;&gt;""),SUMPRODUCT((G$4:G$27&lt;&gt;"")*(H$4:H$27&lt;&gt;"")*(E$4:E$27&gt;E21))+1,IF(H21&lt;&gt;"",SUMPRODUCT((I$4:I$27="No DD")*(E$4:E$27&gt;E21))+1+SUMPRODUCT((G$4:G$27&lt;&gt;"")*(H$4:H$27&lt;&gt;"")),""))</f>
        <v/>
      </c>
      <c r="B21" s="8" t="s">
        <v>7</v>
      </c>
      <c r="C21" s="4" t="s">
        <v>5</v>
      </c>
      <c r="D21" s="27">
        <v>1993</v>
      </c>
      <c r="E21" s="15">
        <f>SUM(K21:S21)</f>
        <v>153.625</v>
      </c>
      <c r="F21" s="3" t="str">
        <f>IF(G21&lt;&gt;"","P","")</f>
        <v/>
      </c>
      <c r="G21" s="125" t="str">
        <f>IF(OR(AND(AR21&gt;=AY$32,AR21&lt;&gt;"",AP21=""),AND(AT21&gt;=AY$32,AT21&lt;&gt;"",AP21=""),AND(AW21&gt;=AY$32,AW21&lt;&gt;"",AP21=""),AND(BV21&gt;=CC$32,BV21&lt;&gt;"",BT21=""),AND(BX21&gt;=CC$32,BX21&lt;&gt;"",BT21=""),AND(CA21&gt;=CC$32,CA21&lt;&gt;"",BT21=""),AND(CZ21&gt;=DG$32,CZ21&lt;&gt;"",CX21=""),AND(DB21&gt;=DG$32,DB21&lt;&gt;"",CX21=""),AND(DE21&gt;=DG$32,DE21&lt;&gt;"",CX21=""),AND(EA21&gt;=EG$32,EA21&lt;&gt;""),AND(EE21&gt;=EG$32,EE21&lt;&gt;""),AND(EW21&gt;=FC$32,EW21&lt;&gt;""),AND(FA21&gt;=FC$32,FA21&lt;&gt;""),AND(FS21&gt;=FY$32,FS21&lt;&gt;""),AND(FW21&gt;=FY$32,FW21&lt;&gt;""),AND(GO21&gt;=GU$32,GO21&lt;&gt;""),AND(GS21&gt;=GU$32,GS21&lt;&gt;""),AND(HK21&gt;=HQ$32,HK21&lt;&gt;""),AND(HO21&gt;=HQ$32,HO21&lt;&gt;""),AND(IG21&gt;=IM$32,IG21&lt;&gt;""),AND(IK21&gt;=IM$32,IK21&lt;&gt;""),AND(JC21&gt;=JI$32,JC21&lt;&gt;""),AND(JG21&gt;=JI$32,JG21&lt;&gt;""),AND(JY21&gt;=KE$32,JY21&lt;&gt;""),AND(KC21&gt;=KE$32,KC21&lt;&gt;""),AND(KU21&gt;=LA$32,KU21&lt;&gt;""),AND(KY21&gt;=LA$32,KY21&lt;&gt;""),AND(LQ21&gt;=LW$32,LQ21&lt;&gt;""),AND(LU21&gt;=LW$32,LU21&lt;&gt;""),AND(MM21&gt;=MS$32,MM21&lt;&gt;""),AND(MQ21&gt;=MS$32,MQ21&lt;&gt;""),AND(NI21&gt;=NO$32,NI21&lt;&gt;""),AND(NM21&gt;=NO$32,NM21&lt;&gt;"")),"Merit",IF(OR(AND(AR21&gt;=AY$31,AR21&lt;&gt;"",AP21=""),AND(AT21&gt;=AY$31,AT21&lt;&gt;"",AP21=""),AND(AW21&gt;=AY$31,AW21&lt;&gt;"",AP21=""),AND(BV21&gt;=CC$31,BV21&lt;&gt;"",BT21=""),AND(BX21&gt;=CC$31,BX21&lt;&gt;"",BT21=""),AND(CA21&gt;=CC$31,CA21&lt;&gt;"",BT21=""),AND(CZ21&gt;=DG$31,CZ21&lt;&gt;"",CX21=""),AND(DB21&gt;=DG$31,DB21&lt;&gt;"",CX21=""),AND(DE21&gt;=DG$31,DE21&lt;&gt;"",CX21=""),AND(EA21&gt;=EG$31,EA21&lt;&gt;""),AND(EE21&gt;=EG$31,EE21&lt;&gt;""),AND(EW21&gt;=FC$31,EW21&lt;&gt;""),AND(FA21&gt;=FC$31,FA21&lt;&gt;""),AND(FS21&gt;=FY$31,FS21&lt;&gt;""),AND(FW21&gt;=FY$31,FW21&lt;&gt;""),AND(GO21&gt;=GU$31,GO21&lt;&gt;""),AND(GS21&gt;=GU$31,GS21&lt;&gt;""),AND(HK21&gt;=HQ$31,HK21&lt;&gt;""),AND(HO21&gt;=HQ$31,HO21&lt;&gt;""),AND(IG21&gt;=IM$31,IG21&lt;&gt;""),AND(IK21&gt;=IM$31,IK21&lt;&gt;""),AND(JC21&gt;=JI$31,JC21&lt;&gt;""),AND(JG21&gt;=JI$31,JG21&lt;&gt;""),AND(JY21&gt;=KE$31,JY21&lt;&gt;""),AND(KC21&gt;=KE$31,KC21&lt;&gt;""),AND(KU21&gt;=LA$31,KU21&lt;&gt;""),AND(KY21&gt;=LA$31,KY21&lt;&gt;""),AND(LQ21&gt;=LW$31,LQ21&lt;&gt;""),AND(LU21&gt;=LW$31,LU21&lt;&gt;""),AND(MM21&gt;=MS$31,MM21&lt;&gt;""),AND(MQ21&gt;=MS$31,MQ21&lt;&gt;""),AND(NI21&gt;=NO$31,NI21&lt;&gt;""),AND(NM21&gt;=NO$31,NM21&lt;&gt;"")),"Excellence",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Worlds Team",IF(OR(AND(AR21&gt;=AY$29,AR21&lt;&gt;"",AP21=""),AND(AT21&gt;=AY$29,AT21&lt;&gt;"",AP21=""),AND(AW21&gt;=AY$29,AW21&lt;&gt;"",AP21=""),AND(BV21&gt;=CC$29,BV21&lt;&gt;"",BT21=""),AND(BX21&gt;=CC$29,BX21&lt;&gt;"",BT21=""),AND(CA21&gt;=CC$29,CA21&lt;&gt;"",BT21=""),AND(CZ21&gt;=DG$29,CZ21&lt;&gt;"",CX21=""),AND(DB21&gt;=DG$29,DB21&lt;&gt;"",CX21=""),AND(DE21&gt;=DG$29,DE21&lt;&gt;"",CX21=""),AND(EA21&gt;=EG$29,EA21&lt;&gt;""),AND(EE21&gt;=EG$29,EE21&lt;&gt;""),AND(EW21&gt;=FC$29,EW21&lt;&gt;""),AND(FA21&gt;=FC$29,FA21&lt;&gt;""),AND(FS21&gt;=FY$29,FS21&lt;&gt;""),AND(FW21&gt;=FY$29,FW21&lt;&gt;""),AND(GO21&gt;=GU$29,GO21&lt;&gt;""),AND(GS21&gt;=GU$29,GS21&lt;&gt;""),AND(HK21&gt;=HQ$29,HK21&lt;&gt;""),AND(HO21&gt;=HQ$29,HO21&lt;&gt;""),AND(IG21&gt;=IM$29,IG21&lt;&gt;""),AND(IK21&gt;=IM$29,IK21&lt;&gt;""),AND(JC21&gt;=JI$29,JC21&lt;&gt;""),AND(JG21&gt;=JI$29,JG21&lt;&gt;""),AND(JY21&gt;=KE$29,JY21&lt;&gt;""),AND(KC21&gt;=KE$29,KC21&lt;&gt;""),AND(KU21&gt;=LA$29,KU21&lt;&gt;""),AND(KY21&gt;=LA$29,KY21&lt;&gt;""),AND(LQ21&gt;=LW$29,LQ21&lt;&gt;""),AND(LU21&gt;=LW$29,LU21&lt;&gt;""),AND(MM21&gt;=MS$29,MM21&lt;&gt;""),AND(MQ21&gt;=MS$29,MQ21&lt;&gt;""),AND(NI21&gt;=NO$29,NI21&lt;&gt;""),AND(NM21&gt;=NO$29,NM21&lt;&gt;"")),"National Team",""))))</f>
        <v/>
      </c>
      <c r="H21" s="125" t="str">
        <f>IF(OR(AND(AS21&gt;=AY$36,AS21&lt;&gt;"",AP21=""),AND(AU21&gt;=AY$36,AU21&lt;&gt;"",AP21=""),AND(AX21&gt;=AY$36,AX21&lt;&gt;"",AP21=""),AND(BW21&gt;=CC$36,BW21&lt;&gt;"",BT21=""),AND(BY21&gt;=CC$36,BY21&lt;&gt;"",BT21=""),AND(CB21&gt;=CC$36,CB21&lt;&gt;"",BT21=""),AND(DA21&gt;=DG$36,DA21&lt;&gt;"",CX21=""),AND(DC21&gt;=DG$36,DC21&lt;&gt;"",CX21=""),AND(DF21&gt;=DG$36,DF21&lt;&gt;"",CX21=""),AND(EC21&gt;=EG$36,EC21&lt;&gt;""),AND(EF21&gt;=EG$36,EF21&lt;&gt;""),AND(EY21&gt;=FC$36,EY21&lt;&gt;""),AND(FB21&gt;=FC$36,FB21&lt;&gt;""),AND(FU21&gt;=FY$36,FU21&lt;&gt;""),AND(FX21&gt;=FY$36,FX21&lt;&gt;""),AND(GQ21&gt;=GU$36,GQ21&lt;&gt;""),AND(GT21&gt;=GU$36,GT21&lt;&gt;""),AND(HM21&gt;=HQ$36,HM21&lt;&gt;""),AND(HP21&gt;=HQ$36,HP21&lt;&gt;""),AND(II21&gt;=IM$36,II21&lt;&gt;""),AND(IL21&gt;=IM$36,IL21&lt;&gt;""),AND(JE21&gt;=JI$36,JE21&lt;&gt;""),AND(JH21&gt;=JI$36,JH21&lt;&gt;""),AND(KA21&gt;=KE$36,KA21&lt;&gt;""),AND(KD21&gt;=KE$36,KD21&lt;&gt;""),AND(KW21&gt;=LA$36,KW21&lt;&gt;""),AND(KZ21&gt;=LA$36,KZ21&lt;&gt;""),AND(LS21&gt;=LW$36,LS21&lt;&gt;""),AND(LV21&gt;=LW$36,LV21&lt;&gt;""),AND(MO21&gt;=MS$36,MO21&lt;&gt;""),AND(MR21&gt;=MS$36,MR21&lt;&gt;""),AND(NK21&gt;=NO$36,NK21&lt;&gt;""),AND(NN21&gt;=NO$36,NN21&lt;&gt;"")),"Merit",IF(OR(AND(AS21&gt;=AY$35,AS21&lt;&gt;"",AP21=""),AND(AU21&gt;=AY$35,AU21&lt;&gt;"",AP21=""),AND(AX21&gt;=AY$35,AX21&lt;&gt;"",AP21=""),AND(BW21&gt;=CC$35,BW21&lt;&gt;"",BT21=""),AND(BY21&gt;=CC$35,BY21&lt;&gt;"",BT21=""),AND(CB21&gt;=CC$35,CB21&lt;&gt;"",BT21=""),AND(DA21&gt;=DG$35,DA21&lt;&gt;"",CX21=""),AND(DC21&gt;=DG$35,DC21&lt;&gt;"",CX21=""),AND(DF21&gt;=DG$35,DF21&lt;&gt;"",CX21=""),AND(EC21&gt;=EG$35,EC21&lt;&gt;""),AND(EF21&gt;=EG$35,EF21&lt;&gt;""),AND(EY21&gt;=FC$35,EY21&lt;&gt;""),AND(FB21&gt;=FC$35,FB21&lt;&gt;""),AND(FU21&gt;=FY$35,FU21&lt;&gt;""),AND(FX21&gt;=FY$35,FX21&lt;&gt;""),AND(GQ21&gt;=GU$35,GQ21&lt;&gt;""),AND(GT21&gt;=GU$35,GT21&lt;&gt;""),AND(HM21&gt;=HQ$35,HM21&lt;&gt;""),AND(HP21&gt;=HQ$35,HP21&lt;&gt;""),AND(II21&gt;=IM$35,II21&lt;&gt;""),AND(IL21&gt;=IM$35,IL21&lt;&gt;""),AND(JE21&gt;=JI$35,JE21&lt;&gt;""),AND(JH21&gt;=JI$35,JH21&lt;&gt;""),AND(KA21&gt;=KE$35,KA21&lt;&gt;""),AND(KD21&gt;=KE$35,KD21&lt;&gt;""),AND(KW21&gt;=LA$35,KW21&lt;&gt;""),AND(KZ21&gt;=LA$35,KZ21&lt;&gt;""),AND(LS21&gt;=LW$35,LS21&lt;&gt;""),AND(LV21&gt;=LW$35,LV21&lt;&gt;""),AND(MO21&gt;=MS$35,MO21&lt;&gt;""),AND(MR21&gt;=MS$35,MR21&lt;&gt;""),AND(NK21&gt;=NO$35,NK21&lt;&gt;""),AND(NN21&gt;=NO$35,NN21&lt;&gt;"")),"Excellence",IF(OR(AND(AV21&gt;=AY$34,AV21&lt;&gt;"",AP21=""),AND(BZ21&gt;=CC$34,BZ21&lt;&gt;"",BT21=""),AND(DD21&gt;=DG$34,DD21&lt;&gt;"",CX21=""),AND(ED21&gt;=EG$34,ED21&lt;&gt;""),AND(EZ21&gt;=FC$34,EZ21&lt;&gt;""),AND(FV21&gt;=FY$34,FV21&lt;&gt;""),AND(GR21&gt;=GU$34,GR21&lt;&gt;""),AND(HN21&gt;=HQ$34,HN21&lt;&gt;""),AND(IJ21&gt;=IM$34,IJ21&lt;&gt;""),AND(JF21&gt;=JI$34,JF21&lt;&gt;""),AND(KB21&gt;=KE$34,KB21&lt;&gt;""),AND(KX21&gt;=LA$34,KX21&lt;&gt;""),AND(LT21&gt;=LW$34,LT21&lt;&gt;""),AND(MP21&gt;=MS$34,MP21&lt;&gt;""),AND(NL21&gt;=NO$34,NL21&lt;&gt;"")),"Worlds Team",IF(OR(AND(AV21&gt;=AY$33,AV21&lt;&gt;"",AP21=""),AND(BZ21&gt;=CC$33,BZ21&lt;&gt;"",BT21=""),AND(DD21&gt;=DG$33,DD21&lt;&gt;"",CX21=""),AND(ED21&gt;=EG$33,ED21&lt;&gt;""),AND(EZ21&gt;=FC$33,EZ21&lt;&gt;""),AND(FV21&gt;=FY$33,FV21&lt;&gt;""),AND(GR21&gt;=GU$33,GR21&lt;&gt;""),AND(HN21&gt;=HQ$33,HN21&lt;&gt;""),AND(IJ21&gt;=IM$33,IJ21&lt;&gt;""),AND(JF21&gt;=JI$33,JF21&lt;&gt;""),AND(KB21&gt;=KE$33,KB21&lt;&gt;""),AND(KX21&gt;=LA$33,KX21&lt;&gt;""),AND(LT21&gt;=LW$33,LT21&lt;&gt;""),AND(MP21&gt;=MS$33,MP21&lt;&gt;""),AND(NL21&gt;=NO$33,NL21&lt;&gt;"")),"National Team",""))))</f>
        <v/>
      </c>
      <c r="I21" s="12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$34,AV21&lt;&gt;"",AP21=""),AND(BZ21&gt;=CC$34,BZ21&lt;&gt;"",BT21=""),AND(DD21&gt;=DG$34,DD21&lt;&gt;"",CX21=""),AND(ED21&gt;=EG$34,ED21&lt;&gt;""),AND(EZ21&gt;=FC$34,EZ21&lt;&gt;""),AND(FV21&gt;=FY$34,FV21&lt;&gt;""),AND(GR21&gt;=GU$34,GR21&lt;&gt;""),AND(HN21&gt;=HQ$34,HN21&lt;&gt;""),AND(IJ21&gt;=IM$34,IJ21&lt;&gt;""),AND(JF21&gt;=JI$34,JF21&lt;&gt;""),AND(KB21&gt;=KE$34,KB21&lt;&gt;""),AND(KX21&gt;=LA$34,KX21&lt;&gt;""),AND(LT21&gt;=LW$34,LT21&lt;&gt;""),AND(MP21&gt;=MS$34,MP21&lt;&gt;""),AND(NL21&gt;=NO$34,NL21&lt;&gt;"")),OR(G21="Worlds Team",G21="Excellence",G21="Merit")),"P","")</f>
        <v/>
      </c>
      <c r="K21" s="14">
        <f>IF(MAX(AV21,BZ21,DD21)&gt;0,MAX(AV21,BZ21,DD21),0)</f>
        <v>102.05000000000001</v>
      </c>
      <c r="L21" s="14" t="str">
        <f>IF(K21=0,"",IF(K21=DD21,$CD$1,IF(K21=BZ21,$AZ$1,IF(K21=AV21,$V$1,""))))</f>
        <v>2019 Nationals</v>
      </c>
      <c r="M21" s="14">
        <f>IF($K21=$AV21,MAX(BU21,CY21),IF($K21=$BZ21,MAX(AQ21,CY21),IF($K21=$DD21,MAX(AQ21,BU21),MAX(AQ21,BU21,CY21))))</f>
        <v>0</v>
      </c>
      <c r="N21" s="14" t="str">
        <f>IF(M21=0,"",IF(AND(M21=CY21,$L21&lt;&gt;$CD$1),$CD$1,IF(AND(M21=BU21,$L21&lt;&gt;$AZ$1),$AZ$1,IF(AND(M21=AQ21,$L21&lt;&gt;$V$1),$V$1,""))))</f>
        <v/>
      </c>
      <c r="O21" s="14">
        <f>IF(K21-N(AQ21)=AS21,MAX(AU21,BW21,BY21,DA21,DC21),IF(K21-N(AQ21)=AU21,MAX(AS21,BW21,BY21,DA21,DC21),IF(K21-N(BU21)=BW21,MAX(AS21,AU21,BY21,DA21,DC21),IF(K21-N(BU21)=BY21,MAX(AS21,AU21,BW21,DA21,DC21),IF(K21-N(CY21)=DA21,MAX(AS21,AU21,BW21,BY21,DC21),IF(K21-N(CY21)=DC21,MAX(AS21,AU21,BW21,BY21,DA21),MAX(AS21,AU21,BW21,BY21,DA21,DC21)))))))</f>
        <v>0</v>
      </c>
      <c r="P21" s="14" t="str">
        <f>IF(O21=0,"",IF(OR(O21=DC21,O21=DA21),$CD$1,IF(OR(O21=BY21,O21=BW21),$AZ$1,IF(OR(O21=AU21,O21=AS21),$V$1,""))))</f>
        <v/>
      </c>
      <c r="Q21" s="14">
        <f>MAX(AX21,CB21,DF21)</f>
        <v>51.575000000000003</v>
      </c>
      <c r="R21" s="14" t="str">
        <f>IF(Q21=0,"",IF(Q21=DF21,$CD$1,IF(Q21=CB21,$AZ$1,IF(Q21=AX21,$V$1,""))))</f>
        <v>2019 Nationals</v>
      </c>
      <c r="S21" s="14" t="str">
        <f>IF(MAX(DH21,DI21,DJ21,DK21)&gt;0,MAX(DH21,DI21,DJ21,DK21),"")</f>
        <v/>
      </c>
      <c r="T21" s="25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9">
        <v>18.3</v>
      </c>
      <c r="W21" s="69">
        <v>9.3000000000000007</v>
      </c>
      <c r="X21" s="69">
        <v>5</v>
      </c>
      <c r="Y21" s="69">
        <v>16.295000000000002</v>
      </c>
      <c r="Z21" s="69">
        <v>0</v>
      </c>
      <c r="AA21" s="69">
        <v>14.6</v>
      </c>
      <c r="AB21" s="69">
        <v>9.3000000000000007</v>
      </c>
      <c r="AC21" s="69">
        <v>13.8</v>
      </c>
      <c r="AD21" s="69">
        <v>15.455</v>
      </c>
      <c r="AE21" s="69">
        <v>0</v>
      </c>
      <c r="AF21" s="69"/>
      <c r="AG21" s="69"/>
      <c r="AH21" s="69"/>
      <c r="AI21" s="69"/>
      <c r="AJ21" s="69"/>
      <c r="AK21" s="69">
        <v>14.84</v>
      </c>
      <c r="AL21" s="69">
        <v>8.8000000000000007</v>
      </c>
      <c r="AM21" s="69">
        <v>13.1</v>
      </c>
      <c r="AN21" s="69">
        <v>15.234999999999999</v>
      </c>
      <c r="AO21" s="69">
        <v>0.4</v>
      </c>
      <c r="AP21" s="80"/>
      <c r="AQ21" s="11">
        <f>IF(SUM(V21:Y21)-Z21&gt;0,SUM(V21:Y21)-Z21,"")</f>
        <v>48.895000000000003</v>
      </c>
      <c r="AR21" s="11">
        <f>IF(AC21&gt;0,AC21,"")</f>
        <v>13.8</v>
      </c>
      <c r="AS21" s="11">
        <f>IF(SUM(AA21:AD21)-AE21&gt;0,SUM(AA21:AD21)-AE21,"")</f>
        <v>53.155000000000001</v>
      </c>
      <c r="AT21" s="11" t="str">
        <f>IF(AH21&gt;0,AH21,"")</f>
        <v/>
      </c>
      <c r="AU21" s="11" t="str">
        <f>IF(SUM(AF21:AI21)-AJ21&gt;0,SUM(AF21:AI21)-AJ21,"")</f>
        <v/>
      </c>
      <c r="AV21" s="11">
        <f>IF(AQ21="",IF(MAX(AS21,AU21)&gt;0,MAX(AS21,AU21),""),MAX(AS21,AU21)+AQ21)</f>
        <v>102.05000000000001</v>
      </c>
      <c r="AW21" s="11">
        <f>IF(AM21&gt;0,AM21,"")</f>
        <v>13.1</v>
      </c>
      <c r="AX21" s="11">
        <f>IF(SUM(AK21:AN21)-AO21&gt;0,SUM(AK21:AN21)-AO21,"")</f>
        <v>51.575000000000003</v>
      </c>
      <c r="AY21" s="11">
        <f>IF(SUM(AV21,AX21)&gt;0,SUM(AV21,AX21),"")</f>
        <v>153.625</v>
      </c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81"/>
      <c r="BU21" s="14" t="str">
        <f>IF(SUM(AZ21:BC21)-BD21&gt;0,SUM(AZ21:BC21)-BD21,"")</f>
        <v/>
      </c>
      <c r="BV21" s="14" t="str">
        <f>IF(BG21&gt;0,BG21,"")</f>
        <v/>
      </c>
      <c r="BW21" s="14" t="str">
        <f>IF(SUM(BE21:BH21)-BI21&gt;0,SUM(BE21:BH21)-BI21,"")</f>
        <v/>
      </c>
      <c r="BX21" s="14" t="str">
        <f>IF(BL21&gt;0,BL21,"")</f>
        <v/>
      </c>
      <c r="BY21" s="14" t="str">
        <f>IF(SUM(BJ21:BM21)-BN21&gt;0,SUM(BJ21:BM21)-BN21,"")</f>
        <v/>
      </c>
      <c r="BZ21" s="14" t="str">
        <f>IF(BU21="",IF(MAX(BW21,BY21)&gt;0,MAX(BW21,BY21),""),MAX(BW21,BY21)+BU21)</f>
        <v/>
      </c>
      <c r="CA21" s="14" t="str">
        <f>IF(BQ21&gt;0,BQ21,"")</f>
        <v/>
      </c>
      <c r="CB21" s="14" t="str">
        <f>IF(SUM(BO21:BR21)-BS21&gt;0,SUM(BO21:BR21)-BS21,"")</f>
        <v/>
      </c>
      <c r="CC21" s="14" t="str">
        <f>IF(SUM(BZ21,CB21)&gt;0,SUM(BZ21,CB21),"")</f>
        <v/>
      </c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80"/>
      <c r="CY21" s="11" t="str">
        <f>IF(SUM(CD21:CG21)-CH21&gt;0,SUM(CD21:CG21)-CH21,"")</f>
        <v/>
      </c>
      <c r="CZ21" s="11" t="str">
        <f>IF(CK21&gt;0,CK21,"")</f>
        <v/>
      </c>
      <c r="DA21" s="11" t="str">
        <f>IF(SUM(CI21:CL21)-CM21&gt;0,SUM(CI21:CL21)-CM21,"")</f>
        <v/>
      </c>
      <c r="DB21" s="11" t="str">
        <f>IF(CP21&gt;0,CP21,"")</f>
        <v/>
      </c>
      <c r="DC21" s="11" t="str">
        <f>IF(SUM(CN21:CQ21)-CR21&gt;0,SUM(CN21:CQ21)-CR21,"")</f>
        <v/>
      </c>
      <c r="DD21" s="11" t="str">
        <f>IF(CY21="",IF(MAX(DA21,DC21)&gt;0,MAX(DA21,DC21),""),MAX(DA21,DC21)+CY21)</f>
        <v/>
      </c>
      <c r="DE21" s="11" t="str">
        <f>IF(CU21&gt;0,CU21,"")</f>
        <v/>
      </c>
      <c r="DF21" s="11" t="str">
        <f>IF(SUM(CS21:CV21)-CW21&gt;0,SUM(CS21:CV21)-CW21,"")</f>
        <v/>
      </c>
      <c r="DG21" s="11" t="str">
        <f>IF(SUM(DD21,DF21)&gt;0,SUM(DD21,DF21),"")</f>
        <v/>
      </c>
      <c r="DH21" s="24" t="str">
        <f>IF(MAX(EB21,EX21,FT21,GP21,HL21,IH21,JD21,JZ21,KV21,LR21,MN21,NJ21)-IF(M21="",0,M21)&gt;0.001,MAX(EB21,EX21,FT21,GP21,HL21,IH21,JD21,JZ21,KV21,LR21,MN21,NJ21)-IF(M21="",0,M21),"")</f>
        <v/>
      </c>
      <c r="DI21" s="24" t="str">
        <f>IF(MAX(EC21,EY21,FU21,GQ21,HM21,II21,JE21,KA21,KW21,LS21,MO21,NK21)-IF(O21="",0,O21)&gt;0.001,MAX(EC21,EY21,FU21,GQ21,HM21,II21,JE21,KA21,KW21,LS21,MO21,NK21)-IF(O21="",0,O21),"")</f>
        <v/>
      </c>
      <c r="DJ21" s="24" t="str">
        <f>IF(MAX(ED21,EZ21,FV21,GR21,HN21,IJ21,JF21,KB21,KX21,LT21,MP21,NL21)-IF(K21="",0,K21)&gt;0.001,MAX(ED21,EZ21,FV21,GR21,HN21,IJ21,JF21,KB21,KX21,LT21,MP21,NL21)-IF(K21="",0,K21),"")</f>
        <v/>
      </c>
      <c r="DK21" s="24" t="str">
        <f>IF(MAX(EF21,FB21,FX21,GT21,HP21,IL21,JH21,KD21,KZ21,LV21,MR21,NN21)-IF(Q21="",0,Q21)&gt;0.001,MAX(EF21,FB21,FX21,GT21,HP21,IL21,JH21,KD21,KZ21,LV21,MR21,NN21)-IF(Q21="",0,Q21),"")</f>
        <v/>
      </c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8"/>
      <c r="JK21" s="38"/>
      <c r="JL21" s="38"/>
      <c r="JM21" s="38"/>
      <c r="JN21" s="38"/>
      <c r="JO21" s="38"/>
      <c r="JP21" s="38"/>
      <c r="JQ21" s="38"/>
      <c r="JR21" s="38"/>
      <c r="JS21" s="38"/>
      <c r="JT21" s="38"/>
      <c r="JU21" s="38"/>
      <c r="JV21" s="38"/>
      <c r="JW21" s="38"/>
      <c r="JX21" s="38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8"/>
      <c r="LC21" s="38"/>
      <c r="LD21" s="38"/>
      <c r="LE21" s="38"/>
      <c r="LF21" s="38"/>
      <c r="LG21" s="38"/>
      <c r="LH21" s="38"/>
      <c r="LI21" s="38"/>
      <c r="LJ21" s="38"/>
      <c r="LK21" s="38"/>
      <c r="LL21" s="38"/>
      <c r="LM21" s="38"/>
      <c r="LN21" s="38"/>
      <c r="LO21" s="38"/>
      <c r="LP21" s="38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8"/>
      <c r="MU21" s="38"/>
      <c r="MV21" s="38"/>
      <c r="MW21" s="38"/>
      <c r="MX21" s="38"/>
      <c r="MY21" s="38"/>
      <c r="MZ21" s="38"/>
      <c r="NA21" s="38"/>
      <c r="NB21" s="38"/>
      <c r="NC21" s="38"/>
      <c r="ND21" s="38"/>
      <c r="NE21" s="38"/>
      <c r="NF21" s="38"/>
      <c r="NG21" s="38"/>
      <c r="NH21" s="38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9">
        <f>IF($CX21="P",CD21,(CD21+AZ21)/2)</f>
        <v>0</v>
      </c>
      <c r="NQ21" s="69">
        <f>IF($CX21="P",CE21,(CE21+BA21)/2)</f>
        <v>0</v>
      </c>
      <c r="NR21" s="69">
        <f>IF($CX21="P",CF21,(CF21+BB21)/2)</f>
        <v>0</v>
      </c>
      <c r="NS21" s="69">
        <f>IF($CX21="P",CG21,(CG21+BC21)/2)</f>
        <v>0</v>
      </c>
      <c r="NT21" s="69">
        <f>IF($CX21="P",CH21,(CH21+BD21)/2)</f>
        <v>0</v>
      </c>
      <c r="NU21" s="69">
        <f>IF($CX21="P",CI21,(CI21+BE21)/2)</f>
        <v>0</v>
      </c>
      <c r="NV21" s="69">
        <f>IF($CX21="P",CJ21,(CJ21+BF21)/2)</f>
        <v>0</v>
      </c>
      <c r="NW21" s="69">
        <f>IF($CX21="P",CK21,(CK21+BG21)/2)</f>
        <v>0</v>
      </c>
      <c r="NX21" s="69">
        <f>IF($CX21="P",CL21,(CL21+BH21)/2)</f>
        <v>0</v>
      </c>
      <c r="NY21" s="69">
        <f>IF($CX21="P",CM21,(CM21+BI21)/2)</f>
        <v>0</v>
      </c>
      <c r="NZ21" s="69">
        <f>IF($CX21="P",CN21,(CN21+BJ21)/2)</f>
        <v>0</v>
      </c>
      <c r="OA21" s="69">
        <f>IF($CX21="P",CO21,(CO21+BK21)/2)</f>
        <v>0</v>
      </c>
      <c r="OB21" s="69">
        <f>IF($CX21="P",CP21,(CP21+BL21)/2)</f>
        <v>0</v>
      </c>
      <c r="OC21" s="69">
        <f>IF($CX21="P",CQ21,(CQ21+BM21)/2)</f>
        <v>0</v>
      </c>
      <c r="OD21" s="69">
        <f>IF($CX21="P",CR21,(CR21+BN21)/2)</f>
        <v>0</v>
      </c>
      <c r="OE21" s="69">
        <f>IF($CX21="P",CS21,(CS21+BO21)/2)</f>
        <v>0</v>
      </c>
      <c r="OF21" s="69">
        <f>IF($CX21="P",CT21,(CT21+BP21)/2)</f>
        <v>0</v>
      </c>
      <c r="OG21" s="69">
        <f>IF($CX21="P",CU21,(CU21+BQ21)/2)</f>
        <v>0</v>
      </c>
      <c r="OH21" s="69">
        <f>IF($CX21="P",CV21,(CV21+BR21)/2)</f>
        <v>0</v>
      </c>
      <c r="OI21" s="69">
        <f>IF($CX21="P",CW21,(CW21+BS21)/2)</f>
        <v>0</v>
      </c>
      <c r="OJ21" s="80" t="s">
        <v>88</v>
      </c>
      <c r="OK21" s="11" t="str">
        <f>IF(SUM(NP21:NS21)-NT21&gt;0,SUM(NP21:NS21)-NT21,"")</f>
        <v/>
      </c>
      <c r="OL21" s="11" t="str">
        <f>IF(NW21&gt;0,NW21,"")</f>
        <v/>
      </c>
      <c r="OM21" s="11" t="str">
        <f>IF(SUM(NU21:NX21)-NY21&gt;0,SUM(NU21:NX21)-NY21,"")</f>
        <v/>
      </c>
      <c r="ON21" s="11" t="str">
        <f>IF(OB21&gt;0,OB21,"")</f>
        <v/>
      </c>
      <c r="OO21" s="11" t="str">
        <f>IF(SUM(NZ21:OC21)-OD21&gt;0,SUM(NZ21:OC21)-OD21,"")</f>
        <v/>
      </c>
      <c r="OP21" s="11" t="str">
        <f>IF(OR(OK21&lt;&gt;"",OM21&lt;&gt;"",OO21&lt;&gt;""),OK21+MAX(OM21,OO21),"")</f>
        <v/>
      </c>
      <c r="OQ21" s="11" t="str">
        <f>IF(OG21&gt;0,OG21,"")</f>
        <v/>
      </c>
      <c r="OR21" s="11" t="str">
        <f t="shared" si="0"/>
        <v/>
      </c>
      <c r="OS21" s="11" t="str">
        <f t="shared" si="1"/>
        <v/>
      </c>
    </row>
    <row r="22" spans="1:409" x14ac:dyDescent="0.2">
      <c r="A22" s="5" t="str" cm="1">
        <f t="array" ref="A22">IF(AND(G22&lt;&gt;"",H22&lt;&gt;""),SUMPRODUCT((G$4:G$27&lt;&gt;"")*(H$4:H$27&lt;&gt;"")*(E$4:E$27&gt;E22))+1,IF(H22&lt;&gt;"",SUMPRODUCT((I$4:I$27="No DD")*(E$4:E$27&gt;E22))+1+SUMPRODUCT((G$4:G$27&lt;&gt;"")*(H$4:H$27&lt;&gt;"")),""))</f>
        <v/>
      </c>
      <c r="B22" s="6" t="s">
        <v>187</v>
      </c>
      <c r="C22" s="7" t="s">
        <v>6</v>
      </c>
      <c r="D22" s="5">
        <v>2001</v>
      </c>
      <c r="E22" s="15">
        <f>SUM(K22:S22)</f>
        <v>152.89499999999998</v>
      </c>
      <c r="F22" s="3" t="str">
        <f>IF(G22&lt;&gt;"","P","")</f>
        <v/>
      </c>
      <c r="G22" s="125" t="str">
        <f>IF(OR(AND(AR22&gt;=AY$32,AR22&lt;&gt;"",AP22=""),AND(AT22&gt;=AY$32,AT22&lt;&gt;"",AP22=""),AND(AW22&gt;=AY$32,AW22&lt;&gt;"",AP22=""),AND(BV22&gt;=CC$32,BV22&lt;&gt;"",BT22=""),AND(BX22&gt;=CC$32,BX22&lt;&gt;"",BT22=""),AND(CA22&gt;=CC$32,CA22&lt;&gt;"",BT22=""),AND(CZ22&gt;=DG$32,CZ22&lt;&gt;"",CX22=""),AND(DB22&gt;=DG$32,DB22&lt;&gt;"",CX22=""),AND(DE22&gt;=DG$32,DE22&lt;&gt;"",CX22=""),AND(EA22&gt;=EG$32,EA22&lt;&gt;""),AND(EE22&gt;=EG$32,EE22&lt;&gt;""),AND(EW22&gt;=FC$32,EW22&lt;&gt;""),AND(FA22&gt;=FC$32,FA22&lt;&gt;""),AND(FS22&gt;=FY$32,FS22&lt;&gt;""),AND(FW22&gt;=FY$32,FW22&lt;&gt;""),AND(GO22&gt;=GU$32,GO22&lt;&gt;""),AND(GS22&gt;=GU$32,GS22&lt;&gt;""),AND(HK22&gt;=HQ$32,HK22&lt;&gt;""),AND(HO22&gt;=HQ$32,HO22&lt;&gt;""),AND(IG22&gt;=IM$32,IG22&lt;&gt;""),AND(IK22&gt;=IM$32,IK22&lt;&gt;""),AND(JC22&gt;=JI$32,JC22&lt;&gt;""),AND(JG22&gt;=JI$32,JG22&lt;&gt;""),AND(JY22&gt;=KE$32,JY22&lt;&gt;""),AND(KC22&gt;=KE$32,KC22&lt;&gt;""),AND(KU22&gt;=LA$32,KU22&lt;&gt;""),AND(KY22&gt;=LA$32,KY22&lt;&gt;""),AND(LQ22&gt;=LW$32,LQ22&lt;&gt;""),AND(LU22&gt;=LW$32,LU22&lt;&gt;""),AND(MM22&gt;=MS$32,MM22&lt;&gt;""),AND(MQ22&gt;=MS$32,MQ22&lt;&gt;""),AND(NI22&gt;=NO$32,NI22&lt;&gt;""),AND(NM22&gt;=NO$32,NM22&lt;&gt;"")),"Merit",IF(OR(AND(AR22&gt;=AY$31,AR22&lt;&gt;"",AP22=""),AND(AT22&gt;=AY$31,AT22&lt;&gt;"",AP22=""),AND(AW22&gt;=AY$31,AW22&lt;&gt;"",AP22=""),AND(BV22&gt;=CC$31,BV22&lt;&gt;"",BT22=""),AND(BX22&gt;=CC$31,BX22&lt;&gt;"",BT22=""),AND(CA22&gt;=CC$31,CA22&lt;&gt;"",BT22=""),AND(CZ22&gt;=DG$31,CZ22&lt;&gt;"",CX22=""),AND(DB22&gt;=DG$31,DB22&lt;&gt;"",CX22=""),AND(DE22&gt;=DG$31,DE22&lt;&gt;"",CX22=""),AND(EA22&gt;=EG$31,EA22&lt;&gt;""),AND(EE22&gt;=EG$31,EE22&lt;&gt;""),AND(EW22&gt;=FC$31,EW22&lt;&gt;""),AND(FA22&gt;=FC$31,FA22&lt;&gt;""),AND(FS22&gt;=FY$31,FS22&lt;&gt;""),AND(FW22&gt;=FY$31,FW22&lt;&gt;""),AND(GO22&gt;=GU$31,GO22&lt;&gt;""),AND(GS22&gt;=GU$31,GS22&lt;&gt;""),AND(HK22&gt;=HQ$31,HK22&lt;&gt;""),AND(HO22&gt;=HQ$31,HO22&lt;&gt;""),AND(IG22&gt;=IM$31,IG22&lt;&gt;""),AND(IK22&gt;=IM$31,IK22&lt;&gt;""),AND(JC22&gt;=JI$31,JC22&lt;&gt;""),AND(JG22&gt;=JI$31,JG22&lt;&gt;""),AND(JY22&gt;=KE$31,JY22&lt;&gt;""),AND(KC22&gt;=KE$31,KC22&lt;&gt;""),AND(KU22&gt;=LA$31,KU22&lt;&gt;""),AND(KY22&gt;=LA$31,KY22&lt;&gt;""),AND(LQ22&gt;=LW$31,LQ22&lt;&gt;""),AND(LU22&gt;=LW$31,LU22&lt;&gt;""),AND(MM22&gt;=MS$31,MM22&lt;&gt;""),AND(MQ22&gt;=MS$31,MQ22&lt;&gt;""),AND(NI22&gt;=NO$31,NI22&lt;&gt;""),AND(NM22&gt;=NO$31,NM22&lt;&gt;"")),"Excellence",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Worlds Team",IF(OR(AND(AR22&gt;=AY$29,AR22&lt;&gt;"",AP22=""),AND(AT22&gt;=AY$29,AT22&lt;&gt;"",AP22=""),AND(AW22&gt;=AY$29,AW22&lt;&gt;"",AP22=""),AND(BV22&gt;=CC$29,BV22&lt;&gt;"",BT22=""),AND(BX22&gt;=CC$29,BX22&lt;&gt;"",BT22=""),AND(CA22&gt;=CC$29,CA22&lt;&gt;"",BT22=""),AND(CZ22&gt;=DG$29,CZ22&lt;&gt;"",CX22=""),AND(DB22&gt;=DG$29,DB22&lt;&gt;"",CX22=""),AND(DE22&gt;=DG$29,DE22&lt;&gt;"",CX22=""),AND(EA22&gt;=EG$29,EA22&lt;&gt;""),AND(EE22&gt;=EG$29,EE22&lt;&gt;""),AND(EW22&gt;=FC$29,EW22&lt;&gt;""),AND(FA22&gt;=FC$29,FA22&lt;&gt;""),AND(FS22&gt;=FY$29,FS22&lt;&gt;""),AND(FW22&gt;=FY$29,FW22&lt;&gt;""),AND(GO22&gt;=GU$29,GO22&lt;&gt;""),AND(GS22&gt;=GU$29,GS22&lt;&gt;""),AND(HK22&gt;=HQ$29,HK22&lt;&gt;""),AND(HO22&gt;=HQ$29,HO22&lt;&gt;""),AND(IG22&gt;=IM$29,IG22&lt;&gt;""),AND(IK22&gt;=IM$29,IK22&lt;&gt;""),AND(JC22&gt;=JI$29,JC22&lt;&gt;""),AND(JG22&gt;=JI$29,JG22&lt;&gt;""),AND(JY22&gt;=KE$29,JY22&lt;&gt;""),AND(KC22&gt;=KE$29,KC22&lt;&gt;""),AND(KU22&gt;=LA$29,KU22&lt;&gt;""),AND(KY22&gt;=LA$29,KY22&lt;&gt;""),AND(LQ22&gt;=LW$29,LQ22&lt;&gt;""),AND(LU22&gt;=LW$29,LU22&lt;&gt;""),AND(MM22&gt;=MS$29,MM22&lt;&gt;""),AND(MQ22&gt;=MS$29,MQ22&lt;&gt;""),AND(NI22&gt;=NO$29,NI22&lt;&gt;""),AND(NM22&gt;=NO$29,NM22&lt;&gt;"")),"National Team",""))))</f>
        <v/>
      </c>
      <c r="H22" s="125" t="str">
        <f>IF(OR(AND(AS22&gt;=AY$36,AS22&lt;&gt;"",AP22=""),AND(AU22&gt;=AY$36,AU22&lt;&gt;"",AP22=""),AND(AX22&gt;=AY$36,AX22&lt;&gt;"",AP22=""),AND(BW22&gt;=CC$36,BW22&lt;&gt;"",BT22=""),AND(BY22&gt;=CC$36,BY22&lt;&gt;"",BT22=""),AND(CB22&gt;=CC$36,CB22&lt;&gt;"",BT22=""),AND(DA22&gt;=DG$36,DA22&lt;&gt;"",CX22=""),AND(DC22&gt;=DG$36,DC22&lt;&gt;"",CX22=""),AND(DF22&gt;=DG$36,DF22&lt;&gt;"",CX22=""),AND(EC22&gt;=EG$36,EC22&lt;&gt;""),AND(EF22&gt;=EG$36,EF22&lt;&gt;""),AND(EY22&gt;=FC$36,EY22&lt;&gt;""),AND(FB22&gt;=FC$36,FB22&lt;&gt;""),AND(FU22&gt;=FY$36,FU22&lt;&gt;""),AND(FX22&gt;=FY$36,FX22&lt;&gt;""),AND(GQ22&gt;=GU$36,GQ22&lt;&gt;""),AND(GT22&gt;=GU$36,GT22&lt;&gt;""),AND(HM22&gt;=HQ$36,HM22&lt;&gt;""),AND(HP22&gt;=HQ$36,HP22&lt;&gt;""),AND(II22&gt;=IM$36,II22&lt;&gt;""),AND(IL22&gt;=IM$36,IL22&lt;&gt;""),AND(JE22&gt;=JI$36,JE22&lt;&gt;""),AND(JH22&gt;=JI$36,JH22&lt;&gt;""),AND(KA22&gt;=KE$36,KA22&lt;&gt;""),AND(KD22&gt;=KE$36,KD22&lt;&gt;""),AND(KW22&gt;=LA$36,KW22&lt;&gt;""),AND(KZ22&gt;=LA$36,KZ22&lt;&gt;""),AND(LS22&gt;=LW$36,LS22&lt;&gt;""),AND(LV22&gt;=LW$36,LV22&lt;&gt;""),AND(MO22&gt;=MS$36,MO22&lt;&gt;""),AND(MR22&gt;=MS$36,MR22&lt;&gt;""),AND(NK22&gt;=NO$36,NK22&lt;&gt;""),AND(NN22&gt;=NO$36,NN22&lt;&gt;"")),"Merit",IF(OR(AND(AS22&gt;=AY$35,AS22&lt;&gt;"",AP22=""),AND(AU22&gt;=AY$35,AU22&lt;&gt;"",AP22=""),AND(AX22&gt;=AY$35,AX22&lt;&gt;"",AP22=""),AND(BW22&gt;=CC$35,BW22&lt;&gt;"",BT22=""),AND(BY22&gt;=CC$35,BY22&lt;&gt;"",BT22=""),AND(CB22&gt;=CC$35,CB22&lt;&gt;"",BT22=""),AND(DA22&gt;=DG$35,DA22&lt;&gt;"",CX22=""),AND(DC22&gt;=DG$35,DC22&lt;&gt;"",CX22=""),AND(DF22&gt;=DG$35,DF22&lt;&gt;"",CX22=""),AND(EC22&gt;=EG$35,EC22&lt;&gt;""),AND(EF22&gt;=EG$35,EF22&lt;&gt;""),AND(EY22&gt;=FC$35,EY22&lt;&gt;""),AND(FB22&gt;=FC$35,FB22&lt;&gt;""),AND(FU22&gt;=FY$35,FU22&lt;&gt;""),AND(FX22&gt;=FY$35,FX22&lt;&gt;""),AND(GQ22&gt;=GU$35,GQ22&lt;&gt;""),AND(GT22&gt;=GU$35,GT22&lt;&gt;""),AND(HM22&gt;=HQ$35,HM22&lt;&gt;""),AND(HP22&gt;=HQ$35,HP22&lt;&gt;""),AND(II22&gt;=IM$35,II22&lt;&gt;""),AND(IL22&gt;=IM$35,IL22&lt;&gt;""),AND(JE22&gt;=JI$35,JE22&lt;&gt;""),AND(JH22&gt;=JI$35,JH22&lt;&gt;""),AND(KA22&gt;=KE$35,KA22&lt;&gt;""),AND(KD22&gt;=KE$35,KD22&lt;&gt;""),AND(KW22&gt;=LA$35,KW22&lt;&gt;""),AND(KZ22&gt;=LA$35,KZ22&lt;&gt;""),AND(LS22&gt;=LW$35,LS22&lt;&gt;""),AND(LV22&gt;=LW$35,LV22&lt;&gt;""),AND(MO22&gt;=MS$35,MO22&lt;&gt;""),AND(MR22&gt;=MS$35,MR22&lt;&gt;""),AND(NK22&gt;=NO$35,NK22&lt;&gt;""),AND(NN22&gt;=NO$35,NN22&lt;&gt;"")),"Excellence",IF(OR(AND(AV22&gt;=AY$34,AV22&lt;&gt;"",AP22=""),AND(BZ22&gt;=CC$34,BZ22&lt;&gt;"",BT22=""),AND(DD22&gt;=DG$34,DD22&lt;&gt;"",CX22=""),AND(ED22&gt;=EG$34,ED22&lt;&gt;""),AND(EZ22&gt;=FC$34,EZ22&lt;&gt;""),AND(FV22&gt;=FY$34,FV22&lt;&gt;""),AND(GR22&gt;=GU$34,GR22&lt;&gt;""),AND(HN22&gt;=HQ$34,HN22&lt;&gt;""),AND(IJ22&gt;=IM$34,IJ22&lt;&gt;""),AND(JF22&gt;=JI$34,JF22&lt;&gt;""),AND(KB22&gt;=KE$34,KB22&lt;&gt;""),AND(KX22&gt;=LA$34,KX22&lt;&gt;""),AND(LT22&gt;=LW$34,LT22&lt;&gt;""),AND(MP22&gt;=MS$34,MP22&lt;&gt;""),AND(NL22&gt;=NO$34,NL22&lt;&gt;"")),"Worlds Team",IF(OR(AND(AV22&gt;=AY$33,AV22&lt;&gt;"",AP22=""),AND(BZ22&gt;=CC$33,BZ22&lt;&gt;"",BT22=""),AND(DD22&gt;=DG$33,DD22&lt;&gt;"",CX22=""),AND(ED22&gt;=EG$33,ED22&lt;&gt;""),AND(EZ22&gt;=FC$33,EZ22&lt;&gt;""),AND(FV22&gt;=FY$33,FV22&lt;&gt;""),AND(GR22&gt;=GU$33,GR22&lt;&gt;""),AND(HN22&gt;=HQ$33,HN22&lt;&gt;""),AND(IJ22&gt;=IM$33,IJ22&lt;&gt;""),AND(JF22&gt;=JI$33,JF22&lt;&gt;""),AND(KB22&gt;=KE$33,KB22&lt;&gt;""),AND(KX22&gt;=LA$33,KX22&lt;&gt;""),AND(LT22&gt;=LW$33,LT22&lt;&gt;""),AND(MP22&gt;=MS$33,MP22&lt;&gt;""),AND(NL22&gt;=NO$33,NL22&lt;&gt;"")),"National Team",""))))</f>
        <v/>
      </c>
      <c r="I22" s="12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$34,AV22&lt;&gt;"",AP22=""),AND(BZ22&gt;=CC$34,BZ22&lt;&gt;"",BT22=""),AND(DD22&gt;=DG$34,DD22&lt;&gt;"",CX22=""),AND(ED22&gt;=EG$34,ED22&lt;&gt;""),AND(EZ22&gt;=FC$34,EZ22&lt;&gt;""),AND(FV22&gt;=FY$34,FV22&lt;&gt;""),AND(GR22&gt;=GU$34,GR22&lt;&gt;""),AND(HN22&gt;=HQ$34,HN22&lt;&gt;""),AND(IJ22&gt;=IM$34,IJ22&lt;&gt;""),AND(JF22&gt;=JI$34,JF22&lt;&gt;""),AND(KB22&gt;=KE$34,KB22&lt;&gt;""),AND(KX22&gt;=LA$34,KX22&lt;&gt;""),AND(LT22&gt;=LW$34,LT22&lt;&gt;""),AND(MP22&gt;=MS$34,MP22&lt;&gt;""),AND(NL22&gt;=NO$34,NL22&lt;&gt;"")),OR(G22="Worlds Team",G22="Excellence",G22="Merit")),"P","")</f>
        <v/>
      </c>
      <c r="K22" s="14">
        <f>IF(MAX(AV22,BZ22,DD22)&gt;0,MAX(AV22,BZ22,DD22),0)</f>
        <v>89.94</v>
      </c>
      <c r="L22" s="14" t="str">
        <f>IF(K22=0,"",IF(K22=DD22,$CD$1,IF(K22=BZ22,$AZ$1,IF(K22=AV22,$V$1,""))))</f>
        <v>2021 2nd Virtual Technical Trial</v>
      </c>
      <c r="M22" s="14">
        <f>IF($K22=$AV22,MAX(BU22,CY22),IF($K22=$BZ22,MAX(AQ22,CY22),IF($K22=$DD22,MAX(AQ22,BU22),MAX(AQ22,BU22,CY22))))</f>
        <v>0</v>
      </c>
      <c r="N22" s="14" t="str">
        <f>IF(M22=0,"",IF(AND(M22=CY22,$L22&lt;&gt;$CD$1),$CD$1,IF(AND(M22=BU22,$L22&lt;&gt;$AZ$1),$AZ$1,IF(AND(M22=AQ22,$L22&lt;&gt;$V$1),$V$1,""))))</f>
        <v/>
      </c>
      <c r="O22" s="14">
        <f>IF(K22-N(AQ22)=AS22,MAX(AU22,BW22,BY22,DA22,DC22),IF(K22-N(AQ22)=AU22,MAX(AS22,BW22,BY22,DA22,DC22),IF(K22-N(BU22)=BW22,MAX(AS22,AU22,BY22,DA22,DC22),IF(K22-N(BU22)=BY22,MAX(AS22,AU22,BW22,DA22,DC22),IF(K22-N(CY22)=DA22,MAX(AS22,AU22,BW22,BY22,DC22),IF(K22-N(CY22)=DC22,MAX(AS22,AU22,BW22,BY22,DA22),MAX(AS22,AU22,BW22,BY22,DA22,DC22)))))))</f>
        <v>10.664999999999999</v>
      </c>
      <c r="P22" s="14" t="str">
        <f>IF(O22=0,"",IF(OR(O22=DC22,O22=DA22),$CD$1,IF(OR(O22=BY22,O22=BW22),$AZ$1,IF(OR(O22=AU22,O22=AS22),$V$1,""))))</f>
        <v>2021 2nd Virtual Technical Trial</v>
      </c>
      <c r="Q22" s="14">
        <f>MAX(AX22,CB22,DF22)</f>
        <v>52.29</v>
      </c>
      <c r="R22" s="14" t="str">
        <f>IF(Q22=0,"",IF(Q22=DF22,$CD$1,IF(Q22=CB22,$AZ$1,IF(Q22=AX22,$V$1,""))))</f>
        <v>2021 2nd Virtual Technical Trial</v>
      </c>
      <c r="S22" s="14" t="str">
        <f>IF(MAX(DH22,DI22,DJ22,DK22)&gt;0,MAX(DH22,DI22,DJ22,DK22),"")</f>
        <v/>
      </c>
      <c r="T22" s="25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80"/>
      <c r="AQ22" s="11" t="str">
        <f>IF(SUM(V22:Y22)-Z22&gt;0,SUM(V22:Y22)-Z22,"")</f>
        <v/>
      </c>
      <c r="AR22" s="11" t="str">
        <f>IF(AC22&gt;0,AC22,"")</f>
        <v/>
      </c>
      <c r="AS22" s="11" t="str">
        <f>IF(SUM(AA22:AD22)-AE22&gt;0,SUM(AA22:AD22)-AE22,"")</f>
        <v/>
      </c>
      <c r="AT22" s="11" t="str">
        <f>IF(AH22&gt;0,AH22,"")</f>
        <v/>
      </c>
      <c r="AU22" s="11" t="str">
        <f>IF(SUM(AF22:AI22)-AJ22&gt;0,SUM(AF22:AI22)-AJ22,"")</f>
        <v/>
      </c>
      <c r="AV22" s="11" t="str">
        <f>IF(AQ22="",IF(MAX(AS22,AU22)&gt;0,MAX(AS22,AU22),""),MAX(AS22,AU22)+AQ22)</f>
        <v/>
      </c>
      <c r="AW22" s="11" t="str">
        <f>IF(AM22&gt;0,AM22,"")</f>
        <v/>
      </c>
      <c r="AX22" s="11" t="str">
        <f>IF(SUM(AK22:AN22)-AO22&gt;0,SUM(AK22:AN22)-AO22,"")</f>
        <v/>
      </c>
      <c r="AY22" s="11" t="str">
        <f>IF(SUM(AV22,AX22)&gt;0,SUM(AV22,AX22),"")</f>
        <v/>
      </c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81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9">
        <v>14.6</v>
      </c>
      <c r="CE22" s="69">
        <v>8.3000000000000007</v>
      </c>
      <c r="CF22" s="69">
        <v>1.7</v>
      </c>
      <c r="CG22" s="69">
        <v>15.17</v>
      </c>
      <c r="CH22" s="69">
        <v>2</v>
      </c>
      <c r="CI22" s="69">
        <v>12.9</v>
      </c>
      <c r="CJ22" s="69">
        <v>9.4</v>
      </c>
      <c r="CK22" s="69">
        <v>13.8</v>
      </c>
      <c r="CL22" s="69">
        <v>16.07</v>
      </c>
      <c r="CM22" s="69">
        <v>0</v>
      </c>
      <c r="CN22" s="69">
        <v>2.2999999999999998</v>
      </c>
      <c r="CO22" s="69">
        <v>1.6</v>
      </c>
      <c r="CP22" s="69">
        <v>3.2</v>
      </c>
      <c r="CQ22" s="69">
        <v>3.5649999999999999</v>
      </c>
      <c r="CR22" s="69">
        <v>0</v>
      </c>
      <c r="CS22" s="69">
        <v>13.5</v>
      </c>
      <c r="CT22" s="69">
        <v>9.1999999999999993</v>
      </c>
      <c r="CU22" s="69">
        <v>13.8</v>
      </c>
      <c r="CV22" s="69">
        <v>15.79</v>
      </c>
      <c r="CW22" s="69">
        <v>0</v>
      </c>
      <c r="CX22" s="80"/>
      <c r="CY22" s="11">
        <f>IF(SUM(CD22:CG22)-CH22&gt;0,SUM(CD22:CG22)-CH22,"")</f>
        <v>37.769999999999996</v>
      </c>
      <c r="CZ22" s="11">
        <f>IF(CK22&gt;0,CK22,"")</f>
        <v>13.8</v>
      </c>
      <c r="DA22" s="11">
        <f>IF(SUM(CI22:CL22)-CM22&gt;0,SUM(CI22:CL22)-CM22,"")</f>
        <v>52.17</v>
      </c>
      <c r="DB22" s="11">
        <f>IF(CP22&gt;0,CP22,"")</f>
        <v>3.2</v>
      </c>
      <c r="DC22" s="11">
        <f>IF(SUM(CN22:CQ22)-CR22&gt;0,SUM(CN22:CQ22)-CR22,"")</f>
        <v>10.664999999999999</v>
      </c>
      <c r="DD22" s="11">
        <f>IF(CY22="",IF(MAX(DA22,DC22)&gt;0,MAX(DA22,DC22),""),MAX(DA22,DC22)+CY22)</f>
        <v>89.94</v>
      </c>
      <c r="DE22" s="11">
        <f>IF(CU22&gt;0,CU22,"")</f>
        <v>13.8</v>
      </c>
      <c r="DF22" s="11">
        <f>IF(SUM(CS22:CV22)-CW22&gt;0,SUM(CS22:CV22)-CW22,"")</f>
        <v>52.29</v>
      </c>
      <c r="DG22" s="11">
        <f>IF(SUM(DD22,DF22)&gt;0,SUM(DD22,DF22),"")</f>
        <v>142.22999999999999</v>
      </c>
      <c r="DH22" s="24" t="str">
        <f>IF(MAX(EB22,EX22,FT22,GP22,HL22,IH22,JD22,JZ22,KV22,LR22,MN22,NJ22)-IF(M22="",0,M22)&gt;0.001,MAX(EB22,EX22,FT22,GP22,HL22,IH22,JD22,JZ22,KV22,LR22,MN22,NJ22)-IF(M22="",0,M22),"")</f>
        <v/>
      </c>
      <c r="DI22" s="24" t="str">
        <f>IF(MAX(EC22,EY22,FU22,GQ22,HM22,II22,JE22,KA22,KW22,LS22,MO22,NK22)-IF(O22="",0,O22)&gt;0.001,MAX(EC22,EY22,FU22,GQ22,HM22,II22,JE22,KA22,KW22,LS22,MO22,NK22)-IF(O22="",0,O22),"")</f>
        <v/>
      </c>
      <c r="DJ22" s="24" t="str">
        <f>IF(MAX(ED22,EZ22,FV22,GR22,HN22,IJ22,JF22,KB22,KX22,LT22,MP22,NL22)-IF(K22="",0,K22)&gt;0.001,MAX(ED22,EZ22,FV22,GR22,HN22,IJ22,JF22,KB22,KX22,LT22,MP22,NL22)-IF(K22="",0,K22),"")</f>
        <v/>
      </c>
      <c r="DK22" s="24" t="str">
        <f>IF(MAX(EF22,FB22,FX22,GT22,HP22,IL22,JH22,KD22,KZ22,LV22,MR22,NN22)-IF(Q22="",0,Q22)&gt;0.001,MAX(EF22,FB22,FX22,GT22,HP22,IL22,JH22,KD22,KZ22,LV22,MR22,NN22)-IF(Q22="",0,Q22),"")</f>
        <v/>
      </c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8"/>
      <c r="JK22" s="38"/>
      <c r="JL22" s="38"/>
      <c r="JM22" s="38"/>
      <c r="JN22" s="38"/>
      <c r="JO22" s="38"/>
      <c r="JP22" s="38"/>
      <c r="JQ22" s="38"/>
      <c r="JR22" s="38"/>
      <c r="JS22" s="38"/>
      <c r="JT22" s="38"/>
      <c r="JU22" s="38"/>
      <c r="JV22" s="38"/>
      <c r="JW22" s="38"/>
      <c r="JX22" s="38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8"/>
      <c r="LC22" s="38"/>
      <c r="LD22" s="38"/>
      <c r="LE22" s="38"/>
      <c r="LF22" s="38"/>
      <c r="LG22" s="38"/>
      <c r="LH22" s="38"/>
      <c r="LI22" s="38"/>
      <c r="LJ22" s="38"/>
      <c r="LK22" s="38"/>
      <c r="LL22" s="38"/>
      <c r="LM22" s="38"/>
      <c r="LN22" s="38"/>
      <c r="LO22" s="38"/>
      <c r="LP22" s="38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8"/>
      <c r="MU22" s="38"/>
      <c r="MV22" s="38"/>
      <c r="MW22" s="38"/>
      <c r="MX22" s="38"/>
      <c r="MY22" s="38"/>
      <c r="MZ22" s="38"/>
      <c r="NA22" s="38"/>
      <c r="NB22" s="38"/>
      <c r="NC22" s="38"/>
      <c r="ND22" s="38"/>
      <c r="NE22" s="38"/>
      <c r="NF22" s="38"/>
      <c r="NG22" s="38"/>
      <c r="NH22" s="38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9">
        <f>IF($CX22="P",CD22,(CD22+AZ22)/2)</f>
        <v>7.3</v>
      </c>
      <c r="NQ22" s="69">
        <f>IF($CX22="P",CE22,(CE22+BA22)/2)</f>
        <v>4.1500000000000004</v>
      </c>
      <c r="NR22" s="69">
        <f>IF($CX22="P",CF22,(CF22+BB22)/2)</f>
        <v>0.85</v>
      </c>
      <c r="NS22" s="69">
        <f>IF($CX22="P",CG22,(CG22+BC22)/2)</f>
        <v>7.585</v>
      </c>
      <c r="NT22" s="69">
        <f>IF($CX22="P",CH22,(CH22+BD22)/2)</f>
        <v>1</v>
      </c>
      <c r="NU22" s="69">
        <f>IF($CX22="P",CI22,(CI22+BE22)/2)</f>
        <v>6.45</v>
      </c>
      <c r="NV22" s="69">
        <f>IF($CX22="P",CJ22,(CJ22+BF22)/2)</f>
        <v>4.7</v>
      </c>
      <c r="NW22" s="69">
        <f>IF($CX22="P",CK22,(CK22+BG22)/2)</f>
        <v>6.9</v>
      </c>
      <c r="NX22" s="69">
        <f>IF($CX22="P",CL22,(CL22+BH22)/2)</f>
        <v>8.0350000000000001</v>
      </c>
      <c r="NY22" s="69">
        <f>IF($CX22="P",CM22,(CM22+BI22)/2)</f>
        <v>0</v>
      </c>
      <c r="NZ22" s="69">
        <f>IF($CX22="P",CN22,(CN22+BJ22)/2)</f>
        <v>1.1499999999999999</v>
      </c>
      <c r="OA22" s="69">
        <f>IF($CX22="P",CO22,(CO22+BK22)/2)</f>
        <v>0.8</v>
      </c>
      <c r="OB22" s="69">
        <f>IF($CX22="P",CP22,(CP22+BL22)/2)</f>
        <v>1.6</v>
      </c>
      <c r="OC22" s="69">
        <f>IF($CX22="P",CQ22,(CQ22+BM22)/2)</f>
        <v>1.7825</v>
      </c>
      <c r="OD22" s="69">
        <f>IF($CX22="P",CR22,(CR22+BN22)/2)</f>
        <v>0</v>
      </c>
      <c r="OE22" s="69">
        <f>IF($CX22="P",CS22,(CS22+BO22)/2)</f>
        <v>6.75</v>
      </c>
      <c r="OF22" s="69">
        <f>IF($CX22="P",CT22,(CT22+BP22)/2)</f>
        <v>4.5999999999999996</v>
      </c>
      <c r="OG22" s="69">
        <f>IF($CX22="P",CU22,(CU22+BQ22)/2)</f>
        <v>6.9</v>
      </c>
      <c r="OH22" s="69">
        <f>IF($CX22="P",CV22,(CV22+BR22)/2)</f>
        <v>7.8949999999999996</v>
      </c>
      <c r="OI22" s="69">
        <f>IF($CX22="P",CW22,(CW22+BS22)/2)</f>
        <v>0</v>
      </c>
      <c r="OJ22" s="80" t="s">
        <v>88</v>
      </c>
      <c r="OK22" s="11">
        <f>IF(SUM(NP22:NS22)-NT22&gt;0,SUM(NP22:NS22)-NT22,"")</f>
        <v>18.884999999999998</v>
      </c>
      <c r="OL22" s="11">
        <f>IF(NW22&gt;0,NW22,"")</f>
        <v>6.9</v>
      </c>
      <c r="OM22" s="11">
        <f>IF(SUM(NU22:NX22)-NY22&gt;0,SUM(NU22:NX22)-NY22,"")</f>
        <v>26.085000000000001</v>
      </c>
      <c r="ON22" s="11">
        <f>IF(OB22&gt;0,OB22,"")</f>
        <v>1.6</v>
      </c>
      <c r="OO22" s="11">
        <f>IF(SUM(NZ22:OC22)-OD22&gt;0,SUM(NZ22:OC22)-OD22,"")</f>
        <v>5.3324999999999996</v>
      </c>
      <c r="OP22" s="11">
        <f>IF(OR(OK22&lt;&gt;"",OM22&lt;&gt;"",OO22&lt;&gt;""),OK22+MAX(OM22,OO22),"")</f>
        <v>44.97</v>
      </c>
      <c r="OQ22" s="11">
        <f>IF(OG22&gt;0,OG22,"")</f>
        <v>6.9</v>
      </c>
      <c r="OR22" s="11">
        <f t="shared" si="0"/>
        <v>26.145</v>
      </c>
      <c r="OS22" s="11">
        <f t="shared" si="1"/>
        <v>71.114999999999995</v>
      </c>
    </row>
    <row r="23" spans="1:409" x14ac:dyDescent="0.2">
      <c r="A23" s="5" t="str" cm="1">
        <f t="array" ref="A23">IF(AND(G23&lt;&gt;"",H23&lt;&gt;""),SUMPRODUCT((G$4:G$27&lt;&gt;"")*(H$4:H$27&lt;&gt;"")*(E$4:E$27&gt;E23))+1,IF(H23&lt;&gt;"",SUMPRODUCT((I$4:I$27="No DD")*(E$4:E$27&gt;E23))+1+SUMPRODUCT((G$4:G$27&lt;&gt;"")*(H$4:H$27&lt;&gt;"")),""))</f>
        <v/>
      </c>
      <c r="B23" s="8" t="s">
        <v>13</v>
      </c>
      <c r="C23" s="4" t="s">
        <v>6</v>
      </c>
      <c r="D23" s="27">
        <v>1995</v>
      </c>
      <c r="E23" s="15">
        <f>SUM(K23:S23)</f>
        <v>99.175000000000011</v>
      </c>
      <c r="F23" s="3" t="str">
        <f>IF(G23&lt;&gt;"","P","")</f>
        <v/>
      </c>
      <c r="G23" s="125" t="str">
        <f>IF(OR(AND(AR23&gt;=AY$32,AR23&lt;&gt;"",AP23=""),AND(AT23&gt;=AY$32,AT23&lt;&gt;"",AP23=""),AND(AW23&gt;=AY$32,AW23&lt;&gt;"",AP23=""),AND(BV23&gt;=CC$32,BV23&lt;&gt;"",BT23=""),AND(BX23&gt;=CC$32,BX23&lt;&gt;"",BT23=""),AND(CA23&gt;=CC$32,CA23&lt;&gt;"",BT23=""),AND(CZ23&gt;=DG$32,CZ23&lt;&gt;"",CX23=""),AND(DB23&gt;=DG$32,DB23&lt;&gt;"",CX23=""),AND(DE23&gt;=DG$32,DE23&lt;&gt;"",CX23=""),AND(EA23&gt;=EG$32,EA23&lt;&gt;""),AND(EE23&gt;=EG$32,EE23&lt;&gt;""),AND(EW23&gt;=FC$32,EW23&lt;&gt;""),AND(FA23&gt;=FC$32,FA23&lt;&gt;""),AND(FS23&gt;=FY$32,FS23&lt;&gt;""),AND(FW23&gt;=FY$32,FW23&lt;&gt;""),AND(GO23&gt;=GU$32,GO23&lt;&gt;""),AND(GS23&gt;=GU$32,GS23&lt;&gt;""),AND(HK23&gt;=HQ$32,HK23&lt;&gt;""),AND(HO23&gt;=HQ$32,HO23&lt;&gt;""),AND(IG23&gt;=IM$32,IG23&lt;&gt;""),AND(IK23&gt;=IM$32,IK23&lt;&gt;""),AND(JC23&gt;=JI$32,JC23&lt;&gt;""),AND(JG23&gt;=JI$32,JG23&lt;&gt;""),AND(JY23&gt;=KE$32,JY23&lt;&gt;""),AND(KC23&gt;=KE$32,KC23&lt;&gt;""),AND(KU23&gt;=LA$32,KU23&lt;&gt;""),AND(KY23&gt;=LA$32,KY23&lt;&gt;""),AND(LQ23&gt;=LW$32,LQ23&lt;&gt;""),AND(LU23&gt;=LW$32,LU23&lt;&gt;""),AND(MM23&gt;=MS$32,MM23&lt;&gt;""),AND(MQ23&gt;=MS$32,MQ23&lt;&gt;""),AND(NI23&gt;=NO$32,NI23&lt;&gt;""),AND(NM23&gt;=NO$32,NM23&lt;&gt;"")),"Merit",IF(OR(AND(AR23&gt;=AY$31,AR23&lt;&gt;"",AP23=""),AND(AT23&gt;=AY$31,AT23&lt;&gt;"",AP23=""),AND(AW23&gt;=AY$31,AW23&lt;&gt;"",AP23=""),AND(BV23&gt;=CC$31,BV23&lt;&gt;"",BT23=""),AND(BX23&gt;=CC$31,BX23&lt;&gt;"",BT23=""),AND(CA23&gt;=CC$31,CA23&lt;&gt;"",BT23=""),AND(CZ23&gt;=DG$31,CZ23&lt;&gt;"",CX23=""),AND(DB23&gt;=DG$31,DB23&lt;&gt;"",CX23=""),AND(DE23&gt;=DG$31,DE23&lt;&gt;"",CX23=""),AND(EA23&gt;=EG$31,EA23&lt;&gt;""),AND(EE23&gt;=EG$31,EE23&lt;&gt;""),AND(EW23&gt;=FC$31,EW23&lt;&gt;""),AND(FA23&gt;=FC$31,FA23&lt;&gt;""),AND(FS23&gt;=FY$31,FS23&lt;&gt;""),AND(FW23&gt;=FY$31,FW23&lt;&gt;""),AND(GO23&gt;=GU$31,GO23&lt;&gt;""),AND(GS23&gt;=GU$31,GS23&lt;&gt;""),AND(HK23&gt;=HQ$31,HK23&lt;&gt;""),AND(HO23&gt;=HQ$31,HO23&lt;&gt;""),AND(IG23&gt;=IM$31,IG23&lt;&gt;""),AND(IK23&gt;=IM$31,IK23&lt;&gt;""),AND(JC23&gt;=JI$31,JC23&lt;&gt;""),AND(JG23&gt;=JI$31,JG23&lt;&gt;""),AND(JY23&gt;=KE$31,JY23&lt;&gt;""),AND(KC23&gt;=KE$31,KC23&lt;&gt;""),AND(KU23&gt;=LA$31,KU23&lt;&gt;""),AND(KY23&gt;=LA$31,KY23&lt;&gt;""),AND(LQ23&gt;=LW$31,LQ23&lt;&gt;""),AND(LU23&gt;=LW$31,LU23&lt;&gt;""),AND(MM23&gt;=MS$31,MM23&lt;&gt;""),AND(MQ23&gt;=MS$31,MQ23&lt;&gt;""),AND(NI23&gt;=NO$31,NI23&lt;&gt;""),AND(NM23&gt;=NO$31,NM23&lt;&gt;"")),"Excellence",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Worlds Team",IF(OR(AND(AR23&gt;=AY$29,AR23&lt;&gt;"",AP23=""),AND(AT23&gt;=AY$29,AT23&lt;&gt;"",AP23=""),AND(AW23&gt;=AY$29,AW23&lt;&gt;"",AP23=""),AND(BV23&gt;=CC$29,BV23&lt;&gt;"",BT23=""),AND(BX23&gt;=CC$29,BX23&lt;&gt;"",BT23=""),AND(CA23&gt;=CC$29,CA23&lt;&gt;"",BT23=""),AND(CZ23&gt;=DG$29,CZ23&lt;&gt;"",CX23=""),AND(DB23&gt;=DG$29,DB23&lt;&gt;"",CX23=""),AND(DE23&gt;=DG$29,DE23&lt;&gt;"",CX23=""),AND(EA23&gt;=EG$29,EA23&lt;&gt;""),AND(EE23&gt;=EG$29,EE23&lt;&gt;""),AND(EW23&gt;=FC$29,EW23&lt;&gt;""),AND(FA23&gt;=FC$29,FA23&lt;&gt;""),AND(FS23&gt;=FY$29,FS23&lt;&gt;""),AND(FW23&gt;=FY$29,FW23&lt;&gt;""),AND(GO23&gt;=GU$29,GO23&lt;&gt;""),AND(GS23&gt;=GU$29,GS23&lt;&gt;""),AND(HK23&gt;=HQ$29,HK23&lt;&gt;""),AND(HO23&gt;=HQ$29,HO23&lt;&gt;""),AND(IG23&gt;=IM$29,IG23&lt;&gt;""),AND(IK23&gt;=IM$29,IK23&lt;&gt;""),AND(JC23&gt;=JI$29,JC23&lt;&gt;""),AND(JG23&gt;=JI$29,JG23&lt;&gt;""),AND(JY23&gt;=KE$29,JY23&lt;&gt;""),AND(KC23&gt;=KE$29,KC23&lt;&gt;""),AND(KU23&gt;=LA$29,KU23&lt;&gt;""),AND(KY23&gt;=LA$29,KY23&lt;&gt;""),AND(LQ23&gt;=LW$29,LQ23&lt;&gt;""),AND(LU23&gt;=LW$29,LU23&lt;&gt;""),AND(MM23&gt;=MS$29,MM23&lt;&gt;""),AND(MQ23&gt;=MS$29,MQ23&lt;&gt;""),AND(NI23&gt;=NO$29,NI23&lt;&gt;""),AND(NM23&gt;=NO$29,NM23&lt;&gt;"")),"National Team",""))))</f>
        <v/>
      </c>
      <c r="H23" s="125" t="str">
        <f>IF(OR(AND(AS23&gt;=AY$36,AS23&lt;&gt;"",AP23=""),AND(AU23&gt;=AY$36,AU23&lt;&gt;"",AP23=""),AND(AX23&gt;=AY$36,AX23&lt;&gt;"",AP23=""),AND(BW23&gt;=CC$36,BW23&lt;&gt;"",BT23=""),AND(BY23&gt;=CC$36,BY23&lt;&gt;"",BT23=""),AND(CB23&gt;=CC$36,CB23&lt;&gt;"",BT23=""),AND(DA23&gt;=DG$36,DA23&lt;&gt;"",CX23=""),AND(DC23&gt;=DG$36,DC23&lt;&gt;"",CX23=""),AND(DF23&gt;=DG$36,DF23&lt;&gt;"",CX23=""),AND(EC23&gt;=EG$36,EC23&lt;&gt;""),AND(EF23&gt;=EG$36,EF23&lt;&gt;""),AND(EY23&gt;=FC$36,EY23&lt;&gt;""),AND(FB23&gt;=FC$36,FB23&lt;&gt;""),AND(FU23&gt;=FY$36,FU23&lt;&gt;""),AND(FX23&gt;=FY$36,FX23&lt;&gt;""),AND(GQ23&gt;=GU$36,GQ23&lt;&gt;""),AND(GT23&gt;=GU$36,GT23&lt;&gt;""),AND(HM23&gt;=HQ$36,HM23&lt;&gt;""),AND(HP23&gt;=HQ$36,HP23&lt;&gt;""),AND(II23&gt;=IM$36,II23&lt;&gt;""),AND(IL23&gt;=IM$36,IL23&lt;&gt;""),AND(JE23&gt;=JI$36,JE23&lt;&gt;""),AND(JH23&gt;=JI$36,JH23&lt;&gt;""),AND(KA23&gt;=KE$36,KA23&lt;&gt;""),AND(KD23&gt;=KE$36,KD23&lt;&gt;""),AND(KW23&gt;=LA$36,KW23&lt;&gt;""),AND(KZ23&gt;=LA$36,KZ23&lt;&gt;""),AND(LS23&gt;=LW$36,LS23&lt;&gt;""),AND(LV23&gt;=LW$36,LV23&lt;&gt;""),AND(MO23&gt;=MS$36,MO23&lt;&gt;""),AND(MR23&gt;=MS$36,MR23&lt;&gt;""),AND(NK23&gt;=NO$36,NK23&lt;&gt;""),AND(NN23&gt;=NO$36,NN23&lt;&gt;"")),"Merit",IF(OR(AND(AS23&gt;=AY$35,AS23&lt;&gt;"",AP23=""),AND(AU23&gt;=AY$35,AU23&lt;&gt;"",AP23=""),AND(AX23&gt;=AY$35,AX23&lt;&gt;"",AP23=""),AND(BW23&gt;=CC$35,BW23&lt;&gt;"",BT23=""),AND(BY23&gt;=CC$35,BY23&lt;&gt;"",BT23=""),AND(CB23&gt;=CC$35,CB23&lt;&gt;"",BT23=""),AND(DA23&gt;=DG$35,DA23&lt;&gt;"",CX23=""),AND(DC23&gt;=DG$35,DC23&lt;&gt;"",CX23=""),AND(DF23&gt;=DG$35,DF23&lt;&gt;"",CX23=""),AND(EC23&gt;=EG$35,EC23&lt;&gt;""),AND(EF23&gt;=EG$35,EF23&lt;&gt;""),AND(EY23&gt;=FC$35,EY23&lt;&gt;""),AND(FB23&gt;=FC$35,FB23&lt;&gt;""),AND(FU23&gt;=FY$35,FU23&lt;&gt;""),AND(FX23&gt;=FY$35,FX23&lt;&gt;""),AND(GQ23&gt;=GU$35,GQ23&lt;&gt;""),AND(GT23&gt;=GU$35,GT23&lt;&gt;""),AND(HM23&gt;=HQ$35,HM23&lt;&gt;""),AND(HP23&gt;=HQ$35,HP23&lt;&gt;""),AND(II23&gt;=IM$35,II23&lt;&gt;""),AND(IL23&gt;=IM$35,IL23&lt;&gt;""),AND(JE23&gt;=JI$35,JE23&lt;&gt;""),AND(JH23&gt;=JI$35,JH23&lt;&gt;""),AND(KA23&gt;=KE$35,KA23&lt;&gt;""),AND(KD23&gt;=KE$35,KD23&lt;&gt;""),AND(KW23&gt;=LA$35,KW23&lt;&gt;""),AND(KZ23&gt;=LA$35,KZ23&lt;&gt;""),AND(LS23&gt;=LW$35,LS23&lt;&gt;""),AND(LV23&gt;=LW$35,LV23&lt;&gt;""),AND(MO23&gt;=MS$35,MO23&lt;&gt;""),AND(MR23&gt;=MS$35,MR23&lt;&gt;""),AND(NK23&gt;=NO$35,NK23&lt;&gt;""),AND(NN23&gt;=NO$35,NN23&lt;&gt;"")),"Excellence",IF(OR(AND(AV23&gt;=AY$34,AV23&lt;&gt;"",AP23=""),AND(BZ23&gt;=CC$34,BZ23&lt;&gt;"",BT23=""),AND(DD23&gt;=DG$34,DD23&lt;&gt;"",CX23=""),AND(ED23&gt;=EG$34,ED23&lt;&gt;""),AND(EZ23&gt;=FC$34,EZ23&lt;&gt;""),AND(FV23&gt;=FY$34,FV23&lt;&gt;""),AND(GR23&gt;=GU$34,GR23&lt;&gt;""),AND(HN23&gt;=HQ$34,HN23&lt;&gt;""),AND(IJ23&gt;=IM$34,IJ23&lt;&gt;""),AND(JF23&gt;=JI$34,JF23&lt;&gt;""),AND(KB23&gt;=KE$34,KB23&lt;&gt;""),AND(KX23&gt;=LA$34,KX23&lt;&gt;""),AND(LT23&gt;=LW$34,LT23&lt;&gt;""),AND(MP23&gt;=MS$34,MP23&lt;&gt;""),AND(NL23&gt;=NO$34,NL23&lt;&gt;"")),"Worlds Team",IF(OR(AND(AV23&gt;=AY$33,AV23&lt;&gt;"",AP23=""),AND(BZ23&gt;=CC$33,BZ23&lt;&gt;"",BT23=""),AND(DD23&gt;=DG$33,DD23&lt;&gt;"",CX23=""),AND(ED23&gt;=EG$33,ED23&lt;&gt;""),AND(EZ23&gt;=FC$33,EZ23&lt;&gt;""),AND(FV23&gt;=FY$33,FV23&lt;&gt;""),AND(GR23&gt;=GU$33,GR23&lt;&gt;""),AND(HN23&gt;=HQ$33,HN23&lt;&gt;""),AND(IJ23&gt;=IM$33,IJ23&lt;&gt;""),AND(JF23&gt;=JI$33,JF23&lt;&gt;""),AND(KB23&gt;=KE$33,KB23&lt;&gt;""),AND(KX23&gt;=LA$33,KX23&lt;&gt;""),AND(LT23&gt;=LW$33,LT23&lt;&gt;""),AND(MP23&gt;=MS$33,MP23&lt;&gt;""),AND(NL23&gt;=NO$33,NL23&lt;&gt;"")),"National Team",""))))</f>
        <v/>
      </c>
      <c r="I23" s="12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$34,AV23&lt;&gt;"",AP23=""),AND(BZ23&gt;=CC$34,BZ23&lt;&gt;"",BT23=""),AND(DD23&gt;=DG$34,DD23&lt;&gt;"",CX23=""),AND(ED23&gt;=EG$34,ED23&lt;&gt;""),AND(EZ23&gt;=FC$34,EZ23&lt;&gt;""),AND(FV23&gt;=FY$34,FV23&lt;&gt;""),AND(GR23&gt;=GU$34,GR23&lt;&gt;""),AND(HN23&gt;=HQ$34,HN23&lt;&gt;""),AND(IJ23&gt;=IM$34,IJ23&lt;&gt;""),AND(JF23&gt;=JI$34,JF23&lt;&gt;""),AND(KB23&gt;=KE$34,KB23&lt;&gt;""),AND(KX23&gt;=LA$34,KX23&lt;&gt;""),AND(LT23&gt;=LW$34,LT23&lt;&gt;""),AND(MP23&gt;=MS$34,MP23&lt;&gt;""),AND(NL23&gt;=NO$34,NL23&lt;&gt;"")),OR(G23="Worlds Team",G23="Excellence",G23="Merit")),"P","")</f>
        <v/>
      </c>
      <c r="K23" s="14">
        <f>IF(MAX(AV23,BZ23,DD23)&gt;0,MAX(AV23,BZ23,DD23),0)</f>
        <v>99.175000000000011</v>
      </c>
      <c r="L23" s="14" t="str">
        <f>IF(K23=0,"",IF(K23=DD23,$CD$1,IF(K23=BZ23,$AZ$1,IF(K23=AV23,$V$1,""))))</f>
        <v>2019 Nationals</v>
      </c>
      <c r="M23" s="14">
        <f>IF($K23=$AV23,MAX(BU23,CY23),IF($K23=$BZ23,MAX(AQ23,CY23),IF($K23=$DD23,MAX(AQ23,BU23),MAX(AQ23,BU23,CY23))))</f>
        <v>0</v>
      </c>
      <c r="N23" s="14" t="str">
        <f>IF(M23=0,"",IF(AND(M23=CY23,$L23&lt;&gt;$CD$1),$CD$1,IF(AND(M23=BU23,$L23&lt;&gt;$AZ$1),$AZ$1,IF(AND(M23=AQ23,$L23&lt;&gt;$V$1),$V$1,""))))</f>
        <v/>
      </c>
      <c r="O23" s="14">
        <f>IF(K23-N(AQ23)=AS23,MAX(AU23,BW23,BY23,DA23,DC23),IF(K23-N(AQ23)=AU23,MAX(AS23,BW23,BY23,DA23,DC23),IF(K23-N(BU23)=BW23,MAX(AS23,AU23,BY23,DA23,DC23),IF(K23-N(BU23)=BY23,MAX(AS23,AU23,BW23,DA23,DC23),IF(K23-N(CY23)=DA23,MAX(AS23,AU23,BW23,BY23,DC23),IF(K23-N(CY23)=DC23,MAX(AS23,AU23,BW23,BY23,DA23),MAX(AS23,AU23,BW23,BY23,DA23,DC23)))))))</f>
        <v>0</v>
      </c>
      <c r="P23" s="14" t="str">
        <f>IF(O23=0,"",IF(OR(O23=DC23,O23=DA23),$CD$1,IF(OR(O23=BY23,O23=BW23),$AZ$1,IF(OR(O23=AU23,O23=AS23),$V$1,""))))</f>
        <v/>
      </c>
      <c r="Q23" s="14">
        <f>MAX(AX23,CB23,DF23)</f>
        <v>0</v>
      </c>
      <c r="R23" s="14" t="str">
        <f>IF(Q23=0,"",IF(Q23=DF23,$CD$1,IF(Q23=CB23,$AZ$1,IF(Q23=AX23,$V$1,""))))</f>
        <v/>
      </c>
      <c r="S23" s="14" t="str">
        <f>IF(MAX(DH23,DI23,DJ23,DK23)&gt;0,MAX(DH23,DI23,DJ23,DK23),"")</f>
        <v/>
      </c>
      <c r="T23" s="25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9">
        <v>17.600000000000001</v>
      </c>
      <c r="W23" s="69">
        <v>9.5</v>
      </c>
      <c r="X23" s="69">
        <v>5.8</v>
      </c>
      <c r="Y23" s="69">
        <v>16.164999999999999</v>
      </c>
      <c r="Z23" s="69">
        <v>0</v>
      </c>
      <c r="AA23" s="69">
        <v>12.8</v>
      </c>
      <c r="AB23" s="69">
        <v>9.3000000000000007</v>
      </c>
      <c r="AC23" s="69">
        <v>13.8</v>
      </c>
      <c r="AD23" s="69">
        <v>14.21</v>
      </c>
      <c r="AE23" s="69">
        <v>0</v>
      </c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80"/>
      <c r="AQ23" s="11">
        <f>IF(SUM(V23:Y23)-Z23&gt;0,SUM(V23:Y23)-Z23,"")</f>
        <v>49.064999999999998</v>
      </c>
      <c r="AR23" s="11">
        <f>IF(AC23&gt;0,AC23,"")</f>
        <v>13.8</v>
      </c>
      <c r="AS23" s="11">
        <f>IF(SUM(AA23:AD23)-AE23&gt;0,SUM(AA23:AD23)-AE23,"")</f>
        <v>50.110000000000007</v>
      </c>
      <c r="AT23" s="11" t="str">
        <f>IF(AH23&gt;0,AH23,"")</f>
        <v/>
      </c>
      <c r="AU23" s="11" t="str">
        <f>IF(SUM(AF23:AI23)-AJ23&gt;0,SUM(AF23:AI23)-AJ23,"")</f>
        <v/>
      </c>
      <c r="AV23" s="11">
        <f>IF(AQ23="",IF(MAX(AS23,AU23)&gt;0,MAX(AS23,AU23),""),MAX(AS23,AU23)+AQ23)</f>
        <v>99.175000000000011</v>
      </c>
      <c r="AW23" s="11" t="str">
        <f>IF(AM23&gt;0,AM23,"")</f>
        <v/>
      </c>
      <c r="AX23" s="11" t="str">
        <f>IF(SUM(AK23:AN23)-AO23&gt;0,SUM(AK23:AN23)-AO23,"")</f>
        <v/>
      </c>
      <c r="AY23" s="11">
        <f>IF(SUM(AV23,AX23)&gt;0,SUM(AV23,AX23),"")</f>
        <v>99.175000000000011</v>
      </c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81"/>
      <c r="BU23" s="14" t="str">
        <f>IF(SUM(AZ23:BC23)-BD23&gt;0,SUM(AZ23:BC23)-BD23,"")</f>
        <v/>
      </c>
      <c r="BV23" s="14" t="str">
        <f>IF(BG23&gt;0,BG23,"")</f>
        <v/>
      </c>
      <c r="BW23" s="14" t="str">
        <f>IF(SUM(BE23:BH23)-BI23&gt;0,SUM(BE23:BH23)-BI23,"")</f>
        <v/>
      </c>
      <c r="BX23" s="14" t="str">
        <f>IF(BL23&gt;0,BL23,"")</f>
        <v/>
      </c>
      <c r="BY23" s="14" t="str">
        <f>IF(SUM(BJ23:BM23)-BN23&gt;0,SUM(BJ23:BM23)-BN23,"")</f>
        <v/>
      </c>
      <c r="BZ23" s="14" t="str">
        <f>IF(BU23="",IF(MAX(BW23,BY23)&gt;0,MAX(BW23,BY23),""),MAX(BW23,BY23)+BU23)</f>
        <v/>
      </c>
      <c r="CA23" s="14" t="str">
        <f>IF(BQ23&gt;0,BQ23,"")</f>
        <v/>
      </c>
      <c r="CB23" s="14" t="str">
        <f>IF(SUM(BO23:BR23)-BS23&gt;0,SUM(BO23:BR23)-BS23,"")</f>
        <v/>
      </c>
      <c r="CC23" s="14" t="str">
        <f>IF(SUM(BZ23,CB23)&gt;0,SUM(BZ23,CB23),"")</f>
        <v/>
      </c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80"/>
      <c r="CY23" s="11" t="str">
        <f>IF(SUM(CD23:CG23)-CH23&gt;0,SUM(CD23:CG23)-CH23,"")</f>
        <v/>
      </c>
      <c r="CZ23" s="11" t="str">
        <f>IF(CK23&gt;0,CK23,"")</f>
        <v/>
      </c>
      <c r="DA23" s="11" t="str">
        <f>IF(SUM(CI23:CL23)-CM23&gt;0,SUM(CI23:CL23)-CM23,"")</f>
        <v/>
      </c>
      <c r="DB23" s="11" t="str">
        <f>IF(CP23&gt;0,CP23,"")</f>
        <v/>
      </c>
      <c r="DC23" s="11" t="str">
        <f>IF(SUM(CN23:CQ23)-CR23&gt;0,SUM(CN23:CQ23)-CR23,"")</f>
        <v/>
      </c>
      <c r="DD23" s="11" t="str">
        <f>IF(CY23="",IF(MAX(DA23,DC23)&gt;0,MAX(DA23,DC23),""),MAX(DA23,DC23)+CY23)</f>
        <v/>
      </c>
      <c r="DE23" s="11" t="str">
        <f>IF(CU23&gt;0,CU23,"")</f>
        <v/>
      </c>
      <c r="DF23" s="11" t="str">
        <f>IF(SUM(CS23:CV23)-CW23&gt;0,SUM(CS23:CV23)-CW23,"")</f>
        <v/>
      </c>
      <c r="DG23" s="11" t="str">
        <f>IF(SUM(DD23,DF23)&gt;0,SUM(DD23,DF23),"")</f>
        <v/>
      </c>
      <c r="DH23" s="24" t="str">
        <f>IF(MAX(EB23,EX23,FT23,GP23,HL23,IH23,JD23,JZ23,KV23,LR23,MN23,NJ23)-IF(M23="",0,M23)&gt;0.001,MAX(EB23,EX23,FT23,GP23,HL23,IH23,JD23,JZ23,KV23,LR23,MN23,NJ23)-IF(M23="",0,M23),"")</f>
        <v/>
      </c>
      <c r="DI23" s="24" t="str">
        <f>IF(MAX(EC23,EY23,FU23,GQ23,HM23,II23,JE23,KA23,KW23,LS23,MO23,NK23)-IF(O23="",0,O23)&gt;0.001,MAX(EC23,EY23,FU23,GQ23,HM23,II23,JE23,KA23,KW23,LS23,MO23,NK23)-IF(O23="",0,O23),"")</f>
        <v/>
      </c>
      <c r="DJ23" s="24" t="str">
        <f>IF(MAX(ED23,EZ23,FV23,GR23,HN23,IJ23,JF23,KB23,KX23,LT23,MP23,NL23)-IF(K23="",0,K23)&gt;0.001,MAX(ED23,EZ23,FV23,GR23,HN23,IJ23,JF23,KB23,KX23,LT23,MP23,NL23)-IF(K23="",0,K23),"")</f>
        <v/>
      </c>
      <c r="DK23" s="24" t="str">
        <f>IF(MAX(EF23,FB23,FX23,GT23,HP23,IL23,JH23,KD23,KZ23,LV23,MR23,NN23)-IF(Q23="",0,Q23)&gt;0.001,MAX(EF23,FB23,FX23,GT23,HP23,IL23,JH23,KD23,KZ23,LV23,MR23,NN23)-IF(Q23="",0,Q23),"")</f>
        <v/>
      </c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8"/>
      <c r="MU23" s="38"/>
      <c r="MV23" s="38"/>
      <c r="MW23" s="38"/>
      <c r="MX23" s="38"/>
      <c r="MY23" s="38"/>
      <c r="MZ23" s="38"/>
      <c r="NA23" s="38"/>
      <c r="NB23" s="38"/>
      <c r="NC23" s="38"/>
      <c r="ND23" s="38"/>
      <c r="NE23" s="38"/>
      <c r="NF23" s="38"/>
      <c r="NG23" s="38"/>
      <c r="NH23" s="38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9">
        <f>IF($CX23="P",CD23,(CD23+AZ23)/2)</f>
        <v>0</v>
      </c>
      <c r="NQ23" s="69">
        <f>IF($CX23="P",CE23,(CE23+BA23)/2)</f>
        <v>0</v>
      </c>
      <c r="NR23" s="69">
        <f>IF($CX23="P",CF23,(CF23+BB23)/2)</f>
        <v>0</v>
      </c>
      <c r="NS23" s="69">
        <f>IF($CX23="P",CG23,(CG23+BC23)/2)</f>
        <v>0</v>
      </c>
      <c r="NT23" s="69">
        <f>IF($CX23="P",CH23,(CH23+BD23)/2)</f>
        <v>0</v>
      </c>
      <c r="NU23" s="69">
        <f>IF($CX23="P",CI23,(CI23+BE23)/2)</f>
        <v>0</v>
      </c>
      <c r="NV23" s="69">
        <f>IF($CX23="P",CJ23,(CJ23+BF23)/2)</f>
        <v>0</v>
      </c>
      <c r="NW23" s="69">
        <f>IF($CX23="P",CK23,(CK23+BG23)/2)</f>
        <v>0</v>
      </c>
      <c r="NX23" s="69">
        <f>IF($CX23="P",CL23,(CL23+BH23)/2)</f>
        <v>0</v>
      </c>
      <c r="NY23" s="69">
        <f>IF($CX23="P",CM23,(CM23+BI23)/2)</f>
        <v>0</v>
      </c>
      <c r="NZ23" s="69">
        <f>IF($CX23="P",CN23,(CN23+BJ23)/2)</f>
        <v>0</v>
      </c>
      <c r="OA23" s="69">
        <f>IF($CX23="P",CO23,(CO23+BK23)/2)</f>
        <v>0</v>
      </c>
      <c r="OB23" s="69">
        <f>IF($CX23="P",CP23,(CP23+BL23)/2)</f>
        <v>0</v>
      </c>
      <c r="OC23" s="69">
        <f>IF($CX23="P",CQ23,(CQ23+BM23)/2)</f>
        <v>0</v>
      </c>
      <c r="OD23" s="69">
        <f>IF($CX23="P",CR23,(CR23+BN23)/2)</f>
        <v>0</v>
      </c>
      <c r="OE23" s="69">
        <f>IF($CX23="P",CS23,(CS23+BO23)/2)</f>
        <v>0</v>
      </c>
      <c r="OF23" s="69">
        <f>IF($CX23="P",CT23,(CT23+BP23)/2)</f>
        <v>0</v>
      </c>
      <c r="OG23" s="69">
        <f>IF($CX23="P",CU23,(CU23+BQ23)/2)</f>
        <v>0</v>
      </c>
      <c r="OH23" s="69">
        <f>IF($CX23="P",CV23,(CV23+BR23)/2)</f>
        <v>0</v>
      </c>
      <c r="OI23" s="69">
        <f>IF($CX23="P",CW23,(CW23+BS23)/2)</f>
        <v>0</v>
      </c>
      <c r="OJ23" s="80" t="s">
        <v>88</v>
      </c>
      <c r="OK23" s="11" t="str">
        <f>IF(SUM(NP23:NS23)-NT23&gt;0,SUM(NP23:NS23)-NT23,"")</f>
        <v/>
      </c>
      <c r="OL23" s="11" t="str">
        <f>IF(NW23&gt;0,NW23,"")</f>
        <v/>
      </c>
      <c r="OM23" s="11" t="str">
        <f>IF(SUM(NU23:NX23)-NY23&gt;0,SUM(NU23:NX23)-NY23,"")</f>
        <v/>
      </c>
      <c r="ON23" s="11" t="str">
        <f>IF(OB23&gt;0,OB23,"")</f>
        <v/>
      </c>
      <c r="OO23" s="11" t="str">
        <f>IF(SUM(NZ23:OC23)-OD23&gt;0,SUM(NZ23:OC23)-OD23,"")</f>
        <v/>
      </c>
      <c r="OP23" s="11" t="str">
        <f>IF(OR(OK23&lt;&gt;"",OM23&lt;&gt;"",OO23&lt;&gt;""),OK23+MAX(OM23,OO23),"")</f>
        <v/>
      </c>
      <c r="OQ23" s="11" t="str">
        <f>IF(OG23&gt;0,OG23,"")</f>
        <v/>
      </c>
      <c r="OR23" s="11" t="str">
        <f t="shared" ref="OR23" si="2">IF(SUM(OE23:OH23)-OI23&gt;0,SUM(OE23:OH23)-OI23,"")</f>
        <v/>
      </c>
      <c r="OS23" s="11" t="str">
        <f t="shared" ref="OS23" si="3">IF(SUM(OP23,OR23)&gt;0,SUM(OP23,OR23),"")</f>
        <v/>
      </c>
    </row>
    <row r="24" spans="1:409" x14ac:dyDescent="0.2">
      <c r="A24" s="5" t="str" cm="1">
        <f t="array" ref="A24">IF(AND(G24&lt;&gt;"",H24&lt;&gt;""),SUMPRODUCT((G$4:G$27&lt;&gt;"")*(H$4:H$27&lt;&gt;"")*(E$4:E$27&gt;E24))+1,IF(H24&lt;&gt;"",SUMPRODUCT((I$4:I$27="No DD")*(E$4:E$27&gt;E24))+1+SUMPRODUCT((G$4:G$27&lt;&gt;"")*(H$4:H$27&lt;&gt;"")),""))</f>
        <v/>
      </c>
      <c r="B24" s="6" t="s">
        <v>112</v>
      </c>
      <c r="C24" s="7" t="s">
        <v>10</v>
      </c>
      <c r="D24" s="27">
        <v>2000</v>
      </c>
      <c r="E24" s="15">
        <f>SUM(K24:S24)</f>
        <v>87.97</v>
      </c>
      <c r="F24" s="3" t="str">
        <f>IF(G24&lt;&gt;"","P","")</f>
        <v/>
      </c>
      <c r="G24" s="125" t="str">
        <f>IF(OR(AND(AR24&gt;=AY$32,AR24&lt;&gt;"",AP24=""),AND(AT24&gt;=AY$32,AT24&lt;&gt;"",AP24=""),AND(AW24&gt;=AY$32,AW24&lt;&gt;"",AP24=""),AND(BV24&gt;=CC$32,BV24&lt;&gt;"",BT24=""),AND(BX24&gt;=CC$32,BX24&lt;&gt;"",BT24=""),AND(CA24&gt;=CC$32,CA24&lt;&gt;"",BT24=""),AND(CZ24&gt;=DG$32,CZ24&lt;&gt;"",CX24=""),AND(DB24&gt;=DG$32,DB24&lt;&gt;"",CX24=""),AND(DE24&gt;=DG$32,DE24&lt;&gt;"",CX24=""),AND(EA24&gt;=EG$32,EA24&lt;&gt;""),AND(EE24&gt;=EG$32,EE24&lt;&gt;""),AND(EW24&gt;=FC$32,EW24&lt;&gt;""),AND(FA24&gt;=FC$32,FA24&lt;&gt;""),AND(FS24&gt;=FY$32,FS24&lt;&gt;""),AND(FW24&gt;=FY$32,FW24&lt;&gt;""),AND(GO24&gt;=GU$32,GO24&lt;&gt;""),AND(GS24&gt;=GU$32,GS24&lt;&gt;""),AND(HK24&gt;=HQ$32,HK24&lt;&gt;""),AND(HO24&gt;=HQ$32,HO24&lt;&gt;""),AND(IG24&gt;=IM$32,IG24&lt;&gt;""),AND(IK24&gt;=IM$32,IK24&lt;&gt;""),AND(JC24&gt;=JI$32,JC24&lt;&gt;""),AND(JG24&gt;=JI$32,JG24&lt;&gt;""),AND(JY24&gt;=KE$32,JY24&lt;&gt;""),AND(KC24&gt;=KE$32,KC24&lt;&gt;""),AND(KU24&gt;=LA$32,KU24&lt;&gt;""),AND(KY24&gt;=LA$32,KY24&lt;&gt;""),AND(LQ24&gt;=LW$32,LQ24&lt;&gt;""),AND(LU24&gt;=LW$32,LU24&lt;&gt;""),AND(MM24&gt;=MS$32,MM24&lt;&gt;""),AND(MQ24&gt;=MS$32,MQ24&lt;&gt;""),AND(NI24&gt;=NO$32,NI24&lt;&gt;""),AND(NM24&gt;=NO$32,NM24&lt;&gt;"")),"Merit",IF(OR(AND(AR24&gt;=AY$31,AR24&lt;&gt;"",AP24=""),AND(AT24&gt;=AY$31,AT24&lt;&gt;"",AP24=""),AND(AW24&gt;=AY$31,AW24&lt;&gt;"",AP24=""),AND(BV24&gt;=CC$31,BV24&lt;&gt;"",BT24=""),AND(BX24&gt;=CC$31,BX24&lt;&gt;"",BT24=""),AND(CA24&gt;=CC$31,CA24&lt;&gt;"",BT24=""),AND(CZ24&gt;=DG$31,CZ24&lt;&gt;"",CX24=""),AND(DB24&gt;=DG$31,DB24&lt;&gt;"",CX24=""),AND(DE24&gt;=DG$31,DE24&lt;&gt;"",CX24=""),AND(EA24&gt;=EG$31,EA24&lt;&gt;""),AND(EE24&gt;=EG$31,EE24&lt;&gt;""),AND(EW24&gt;=FC$31,EW24&lt;&gt;""),AND(FA24&gt;=FC$31,FA24&lt;&gt;""),AND(FS24&gt;=FY$31,FS24&lt;&gt;""),AND(FW24&gt;=FY$31,FW24&lt;&gt;""),AND(GO24&gt;=GU$31,GO24&lt;&gt;""),AND(GS24&gt;=GU$31,GS24&lt;&gt;""),AND(HK24&gt;=HQ$31,HK24&lt;&gt;""),AND(HO24&gt;=HQ$31,HO24&lt;&gt;""),AND(IG24&gt;=IM$31,IG24&lt;&gt;""),AND(IK24&gt;=IM$31,IK24&lt;&gt;""),AND(JC24&gt;=JI$31,JC24&lt;&gt;""),AND(JG24&gt;=JI$31,JG24&lt;&gt;""),AND(JY24&gt;=KE$31,JY24&lt;&gt;""),AND(KC24&gt;=KE$31,KC24&lt;&gt;""),AND(KU24&gt;=LA$31,KU24&lt;&gt;""),AND(KY24&gt;=LA$31,KY24&lt;&gt;""),AND(LQ24&gt;=LW$31,LQ24&lt;&gt;""),AND(LU24&gt;=LW$31,LU24&lt;&gt;""),AND(MM24&gt;=MS$31,MM24&lt;&gt;""),AND(MQ24&gt;=MS$31,MQ24&lt;&gt;""),AND(NI24&gt;=NO$31,NI24&lt;&gt;""),AND(NM24&gt;=NO$31,NM24&lt;&gt;"")),"Excellence",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Worlds Team",IF(OR(AND(AR24&gt;=AY$29,AR24&lt;&gt;"",AP24=""),AND(AT24&gt;=AY$29,AT24&lt;&gt;"",AP24=""),AND(AW24&gt;=AY$29,AW24&lt;&gt;"",AP24=""),AND(BV24&gt;=CC$29,BV24&lt;&gt;"",BT24=""),AND(BX24&gt;=CC$29,BX24&lt;&gt;"",BT24=""),AND(CA24&gt;=CC$29,CA24&lt;&gt;"",BT24=""),AND(CZ24&gt;=DG$29,CZ24&lt;&gt;"",CX24=""),AND(DB24&gt;=DG$29,DB24&lt;&gt;"",CX24=""),AND(DE24&gt;=DG$29,DE24&lt;&gt;"",CX24=""),AND(EA24&gt;=EG$29,EA24&lt;&gt;""),AND(EE24&gt;=EG$29,EE24&lt;&gt;""),AND(EW24&gt;=FC$29,EW24&lt;&gt;""),AND(FA24&gt;=FC$29,FA24&lt;&gt;""),AND(FS24&gt;=FY$29,FS24&lt;&gt;""),AND(FW24&gt;=FY$29,FW24&lt;&gt;""),AND(GO24&gt;=GU$29,GO24&lt;&gt;""),AND(GS24&gt;=GU$29,GS24&lt;&gt;""),AND(HK24&gt;=HQ$29,HK24&lt;&gt;""),AND(HO24&gt;=HQ$29,HO24&lt;&gt;""),AND(IG24&gt;=IM$29,IG24&lt;&gt;""),AND(IK24&gt;=IM$29,IK24&lt;&gt;""),AND(JC24&gt;=JI$29,JC24&lt;&gt;""),AND(JG24&gt;=JI$29,JG24&lt;&gt;""),AND(JY24&gt;=KE$29,JY24&lt;&gt;""),AND(KC24&gt;=KE$29,KC24&lt;&gt;""),AND(KU24&gt;=LA$29,KU24&lt;&gt;""),AND(KY24&gt;=LA$29,KY24&lt;&gt;""),AND(LQ24&gt;=LW$29,LQ24&lt;&gt;""),AND(LU24&gt;=LW$29,LU24&lt;&gt;""),AND(MM24&gt;=MS$29,MM24&lt;&gt;""),AND(MQ24&gt;=MS$29,MQ24&lt;&gt;""),AND(NI24&gt;=NO$29,NI24&lt;&gt;""),AND(NM24&gt;=NO$29,NM24&lt;&gt;"")),"National Team",""))))</f>
        <v/>
      </c>
      <c r="H24" s="125" t="str">
        <f>IF(OR(AND(AS24&gt;=AY$36,AS24&lt;&gt;"",AP24=""),AND(AU24&gt;=AY$36,AU24&lt;&gt;"",AP24=""),AND(AX24&gt;=AY$36,AX24&lt;&gt;"",AP24=""),AND(BW24&gt;=CC$36,BW24&lt;&gt;"",BT24=""),AND(BY24&gt;=CC$36,BY24&lt;&gt;"",BT24=""),AND(CB24&gt;=CC$36,CB24&lt;&gt;"",BT24=""),AND(DA24&gt;=DG$36,DA24&lt;&gt;"",CX24=""),AND(DC24&gt;=DG$36,DC24&lt;&gt;"",CX24=""),AND(DF24&gt;=DG$36,DF24&lt;&gt;"",CX24=""),AND(EC24&gt;=EG$36,EC24&lt;&gt;""),AND(EF24&gt;=EG$36,EF24&lt;&gt;""),AND(EY24&gt;=FC$36,EY24&lt;&gt;""),AND(FB24&gt;=FC$36,FB24&lt;&gt;""),AND(FU24&gt;=FY$36,FU24&lt;&gt;""),AND(FX24&gt;=FY$36,FX24&lt;&gt;""),AND(GQ24&gt;=GU$36,GQ24&lt;&gt;""),AND(GT24&gt;=GU$36,GT24&lt;&gt;""),AND(HM24&gt;=HQ$36,HM24&lt;&gt;""),AND(HP24&gt;=HQ$36,HP24&lt;&gt;""),AND(II24&gt;=IM$36,II24&lt;&gt;""),AND(IL24&gt;=IM$36,IL24&lt;&gt;""),AND(JE24&gt;=JI$36,JE24&lt;&gt;""),AND(JH24&gt;=JI$36,JH24&lt;&gt;""),AND(KA24&gt;=KE$36,KA24&lt;&gt;""),AND(KD24&gt;=KE$36,KD24&lt;&gt;""),AND(KW24&gt;=LA$36,KW24&lt;&gt;""),AND(KZ24&gt;=LA$36,KZ24&lt;&gt;""),AND(LS24&gt;=LW$36,LS24&lt;&gt;""),AND(LV24&gt;=LW$36,LV24&lt;&gt;""),AND(MO24&gt;=MS$36,MO24&lt;&gt;""),AND(MR24&gt;=MS$36,MR24&lt;&gt;""),AND(NK24&gt;=NO$36,NK24&lt;&gt;""),AND(NN24&gt;=NO$36,NN24&lt;&gt;"")),"Merit",IF(OR(AND(AS24&gt;=AY$35,AS24&lt;&gt;"",AP24=""),AND(AU24&gt;=AY$35,AU24&lt;&gt;"",AP24=""),AND(AX24&gt;=AY$35,AX24&lt;&gt;"",AP24=""),AND(BW24&gt;=CC$35,BW24&lt;&gt;"",BT24=""),AND(BY24&gt;=CC$35,BY24&lt;&gt;"",BT24=""),AND(CB24&gt;=CC$35,CB24&lt;&gt;"",BT24=""),AND(DA24&gt;=DG$35,DA24&lt;&gt;"",CX24=""),AND(DC24&gt;=DG$35,DC24&lt;&gt;"",CX24=""),AND(DF24&gt;=DG$35,DF24&lt;&gt;"",CX24=""),AND(EC24&gt;=EG$35,EC24&lt;&gt;""),AND(EF24&gt;=EG$35,EF24&lt;&gt;""),AND(EY24&gt;=FC$35,EY24&lt;&gt;""),AND(FB24&gt;=FC$35,FB24&lt;&gt;""),AND(FU24&gt;=FY$35,FU24&lt;&gt;""),AND(FX24&gt;=FY$35,FX24&lt;&gt;""),AND(GQ24&gt;=GU$35,GQ24&lt;&gt;""),AND(GT24&gt;=GU$35,GT24&lt;&gt;""),AND(HM24&gt;=HQ$35,HM24&lt;&gt;""),AND(HP24&gt;=HQ$35,HP24&lt;&gt;""),AND(II24&gt;=IM$35,II24&lt;&gt;""),AND(IL24&gt;=IM$35,IL24&lt;&gt;""),AND(JE24&gt;=JI$35,JE24&lt;&gt;""),AND(JH24&gt;=JI$35,JH24&lt;&gt;""),AND(KA24&gt;=KE$35,KA24&lt;&gt;""),AND(KD24&gt;=KE$35,KD24&lt;&gt;""),AND(KW24&gt;=LA$35,KW24&lt;&gt;""),AND(KZ24&gt;=LA$35,KZ24&lt;&gt;""),AND(LS24&gt;=LW$35,LS24&lt;&gt;""),AND(LV24&gt;=LW$35,LV24&lt;&gt;""),AND(MO24&gt;=MS$35,MO24&lt;&gt;""),AND(MR24&gt;=MS$35,MR24&lt;&gt;""),AND(NK24&gt;=NO$35,NK24&lt;&gt;""),AND(NN24&gt;=NO$35,NN24&lt;&gt;"")),"Excellence",IF(OR(AND(AV24&gt;=AY$34,AV24&lt;&gt;"",AP24=""),AND(BZ24&gt;=CC$34,BZ24&lt;&gt;"",BT24=""),AND(DD24&gt;=DG$34,DD24&lt;&gt;"",CX24=""),AND(ED24&gt;=EG$34,ED24&lt;&gt;""),AND(EZ24&gt;=FC$34,EZ24&lt;&gt;""),AND(FV24&gt;=FY$34,FV24&lt;&gt;""),AND(GR24&gt;=GU$34,GR24&lt;&gt;""),AND(HN24&gt;=HQ$34,HN24&lt;&gt;""),AND(IJ24&gt;=IM$34,IJ24&lt;&gt;""),AND(JF24&gt;=JI$34,JF24&lt;&gt;""),AND(KB24&gt;=KE$34,KB24&lt;&gt;""),AND(KX24&gt;=LA$34,KX24&lt;&gt;""),AND(LT24&gt;=LW$34,LT24&lt;&gt;""),AND(MP24&gt;=MS$34,MP24&lt;&gt;""),AND(NL24&gt;=NO$34,NL24&lt;&gt;"")),"Worlds Team",IF(OR(AND(AV24&gt;=AY$33,AV24&lt;&gt;"",AP24=""),AND(BZ24&gt;=CC$33,BZ24&lt;&gt;"",BT24=""),AND(DD24&gt;=DG$33,DD24&lt;&gt;"",CX24=""),AND(ED24&gt;=EG$33,ED24&lt;&gt;""),AND(EZ24&gt;=FC$33,EZ24&lt;&gt;""),AND(FV24&gt;=FY$33,FV24&lt;&gt;""),AND(GR24&gt;=GU$33,GR24&lt;&gt;""),AND(HN24&gt;=HQ$33,HN24&lt;&gt;""),AND(IJ24&gt;=IM$33,IJ24&lt;&gt;""),AND(JF24&gt;=JI$33,JF24&lt;&gt;""),AND(KB24&gt;=KE$33,KB24&lt;&gt;""),AND(KX24&gt;=LA$33,KX24&lt;&gt;""),AND(LT24&gt;=LW$33,LT24&lt;&gt;""),AND(MP24&gt;=MS$33,MP24&lt;&gt;""),AND(NL24&gt;=NO$33,NL24&lt;&gt;"")),"National Team",""))))</f>
        <v/>
      </c>
      <c r="I24" s="12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$34,AV24&lt;&gt;"",AP24=""),AND(BZ24&gt;=CC$34,BZ24&lt;&gt;"",BT24=""),AND(DD24&gt;=DG$34,DD24&lt;&gt;"",CX24=""),AND(ED24&gt;=EG$34,ED24&lt;&gt;""),AND(EZ24&gt;=FC$34,EZ24&lt;&gt;""),AND(FV24&gt;=FY$34,FV24&lt;&gt;""),AND(GR24&gt;=GU$34,GR24&lt;&gt;""),AND(HN24&gt;=HQ$34,HN24&lt;&gt;""),AND(IJ24&gt;=IM$34,IJ24&lt;&gt;""),AND(JF24&gt;=JI$34,JF24&lt;&gt;""),AND(KB24&gt;=KE$34,KB24&lt;&gt;""),AND(KX24&gt;=LA$34,KX24&lt;&gt;""),AND(LT24&gt;=LW$34,LT24&lt;&gt;""),AND(MP24&gt;=MS$34,MP24&lt;&gt;""),AND(NL24&gt;=NO$34,NL24&lt;&gt;"")),OR(G24="Worlds Team",G24="Excellence",G24="Merit")),"P","")</f>
        <v/>
      </c>
      <c r="K24" s="14">
        <f>IF(MAX(AV24,BZ24,DD24)&gt;0,MAX(AV24,BZ24,DD24),0)</f>
        <v>87.97</v>
      </c>
      <c r="L24" s="14" t="str">
        <f>IF(K24=0,"",IF(K24=DD24,$CD$1,IF(K24=BZ24,$AZ$1,IF(K24=AV24,$V$1,""))))</f>
        <v>2019 Nationals</v>
      </c>
      <c r="M24" s="14">
        <f>IF($K24=$AV24,MAX(BU24,CY24),IF($K24=$BZ24,MAX(AQ24,CY24),IF($K24=$DD24,MAX(AQ24,BU24),MAX(AQ24,BU24,CY24))))</f>
        <v>0</v>
      </c>
      <c r="N24" s="14" t="str">
        <f>IF(M24=0,"",IF(AND(M24=CY24,$L24&lt;&gt;$CD$1),$CD$1,IF(AND(M24=BU24,$L24&lt;&gt;$AZ$1),$AZ$1,IF(AND(M24=AQ24,$L24&lt;&gt;$V$1),$V$1,""))))</f>
        <v/>
      </c>
      <c r="O24" s="14">
        <f>IF(K24-N(AQ24)=AS24,MAX(AU24,BW24,BY24,DA24,DC24),IF(K24-N(AQ24)=AU24,MAX(AS24,BW24,BY24,DA24,DC24),IF(K24-N(BU24)=BW24,MAX(AS24,AU24,BY24,DA24,DC24),IF(K24-N(BU24)=BY24,MAX(AS24,AU24,BW24,DA24,DC24),IF(K24-N(CY24)=DA24,MAX(AS24,AU24,BW24,BY24,DC24),IF(K24-N(CY24)=DC24,MAX(AS24,AU24,BW24,BY24,DA24),MAX(AS24,AU24,BW24,BY24,DA24,DC24)))))))</f>
        <v>0</v>
      </c>
      <c r="P24" s="14" t="str">
        <f>IF(O24=0,"",IF(OR(O24=DC24,O24=DA24),$CD$1,IF(OR(O24=BY24,O24=BW24),$AZ$1,IF(OR(O24=AU24,O24=AS24),$V$1,""))))</f>
        <v/>
      </c>
      <c r="Q24" s="14">
        <f>MAX(AX24,CB24,DF24)</f>
        <v>0</v>
      </c>
      <c r="R24" s="14" t="str">
        <f>IF(Q24=0,"",IF(Q24=DF24,$CD$1,IF(Q24=CB24,$AZ$1,IF(Q24=AX24,$V$1,""))))</f>
        <v/>
      </c>
      <c r="S24" s="14" t="str">
        <f>IF(MAX(DH24,DI24,DJ24,DK24)&gt;0,MAX(DH24,DI24,DJ24,DK24),"")</f>
        <v/>
      </c>
      <c r="T24" s="25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9">
        <v>13.4</v>
      </c>
      <c r="W24" s="69">
        <v>7.1</v>
      </c>
      <c r="X24" s="69">
        <v>1.6</v>
      </c>
      <c r="Y24" s="69">
        <v>13.73</v>
      </c>
      <c r="Z24" s="69">
        <v>0</v>
      </c>
      <c r="AA24" s="69">
        <v>13.9</v>
      </c>
      <c r="AB24" s="69">
        <v>8.8000000000000007</v>
      </c>
      <c r="AC24" s="69">
        <v>13.2</v>
      </c>
      <c r="AD24" s="69">
        <v>16.54</v>
      </c>
      <c r="AE24" s="69">
        <v>0.3</v>
      </c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80"/>
      <c r="AQ24" s="11">
        <f>IF(SUM(V24:Y24)-Z24&gt;0,SUM(V24:Y24)-Z24,"")</f>
        <v>35.83</v>
      </c>
      <c r="AR24" s="11">
        <f>IF(AC24&gt;0,AC24,"")</f>
        <v>13.2</v>
      </c>
      <c r="AS24" s="11">
        <f>IF(SUM(AA24:AD24)-AE24&gt;0,SUM(AA24:AD24)-AE24,"")</f>
        <v>52.140000000000008</v>
      </c>
      <c r="AT24" s="11" t="str">
        <f>IF(AH24&gt;0,AH24,"")</f>
        <v/>
      </c>
      <c r="AU24" s="11" t="str">
        <f>IF(SUM(AF24:AI24)-AJ24&gt;0,SUM(AF24:AI24)-AJ24,"")</f>
        <v/>
      </c>
      <c r="AV24" s="11">
        <f>IF(AQ24="",IF(MAX(AS24,AU24)&gt;0,MAX(AS24,AU24),""),MAX(AS24,AU24)+AQ24)</f>
        <v>87.97</v>
      </c>
      <c r="AW24" s="11" t="str">
        <f>IF(AM24&gt;0,AM24,"")</f>
        <v/>
      </c>
      <c r="AX24" s="11" t="str">
        <f>IF(SUM(AK24:AN24)-AO24&gt;0,SUM(AK24:AN24)-AO24,"")</f>
        <v/>
      </c>
      <c r="AY24" s="11">
        <f>IF(SUM(AV24,AX24)&gt;0,SUM(AV24,AX24),"")</f>
        <v>87.97</v>
      </c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81"/>
      <c r="BU24" s="14" t="str">
        <f>IF(SUM(AZ24:BC24)-BD24&gt;0,SUM(AZ24:BC24)-BD24,"")</f>
        <v/>
      </c>
      <c r="BV24" s="14" t="str">
        <f>IF(BG24&gt;0,BG24,"")</f>
        <v/>
      </c>
      <c r="BW24" s="14" t="str">
        <f>IF(SUM(BE24:BH24)-BI24&gt;0,SUM(BE24:BH24)-BI24,"")</f>
        <v/>
      </c>
      <c r="BX24" s="14" t="str">
        <f>IF(BL24&gt;0,BL24,"")</f>
        <v/>
      </c>
      <c r="BY24" s="14" t="str">
        <f>IF(SUM(BJ24:BM24)-BN24&gt;0,SUM(BJ24:BM24)-BN24,"")</f>
        <v/>
      </c>
      <c r="BZ24" s="14" t="str">
        <f>IF(BU24="",IF(MAX(BW24,BY24)&gt;0,MAX(BW24,BY24),""),MAX(BW24,BY24)+BU24)</f>
        <v/>
      </c>
      <c r="CA24" s="14" t="str">
        <f>IF(BQ24&gt;0,BQ24,"")</f>
        <v/>
      </c>
      <c r="CB24" s="14" t="str">
        <f>IF(SUM(BO24:BR24)-BS24&gt;0,SUM(BO24:BR24)-BS24,"")</f>
        <v/>
      </c>
      <c r="CC24" s="14" t="str">
        <f>IF(SUM(BZ24,CB24)&gt;0,SUM(BZ24,CB24),"")</f>
        <v/>
      </c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80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4" t="str">
        <f>IF(MAX(EB24,EX24,FT24,GP24,HL24,IH24,JD24,JZ24,KV24,LR24,MN24,NJ24)-IF(M24="",0,M24)&gt;0.001,MAX(EB24,EX24,FT24,GP24,HL24,IH24,JD24,JZ24,KV24,LR24,MN24,NJ24)-IF(M24="",0,M24),"")</f>
        <v/>
      </c>
      <c r="DI24" s="24" t="str">
        <f>IF(MAX(EC24,EY24,FU24,GQ24,HM24,II24,JE24,KA24,KW24,LS24,MO24,NK24)-IF(O24="",0,O24)&gt;0.001,MAX(EC24,EY24,FU24,GQ24,HM24,II24,JE24,KA24,KW24,LS24,MO24,NK24)-IF(O24="",0,O24),"")</f>
        <v/>
      </c>
      <c r="DJ24" s="24" t="str">
        <f>IF(MAX(ED24,EZ24,FV24,GR24,HN24,IJ24,JF24,KB24,KX24,LT24,MP24,NL24)-IF(K24="",0,K24)&gt;0.001,MAX(ED24,EZ24,FV24,GR24,HN24,IJ24,JF24,KB24,KX24,LT24,MP24,NL24)-IF(K24="",0,K24),"")</f>
        <v/>
      </c>
      <c r="DK24" s="24" t="str">
        <f>IF(MAX(EF24,FB24,FX24,GT24,HP24,IL24,JH24,KD24,KZ24,LV24,MR24,NN24)-IF(Q24="",0,Q24)&gt;0.001,MAX(EF24,FB24,FX24,GT24,HP24,IL24,JH24,KD24,KZ24,LV24,MR24,NN24)-IF(Q24="",0,Q24),"")</f>
        <v/>
      </c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8"/>
      <c r="JK24" s="38"/>
      <c r="JL24" s="38"/>
      <c r="JM24" s="38"/>
      <c r="JN24" s="38"/>
      <c r="JO24" s="38"/>
      <c r="JP24" s="38"/>
      <c r="JQ24" s="38"/>
      <c r="JR24" s="38"/>
      <c r="JS24" s="38"/>
      <c r="JT24" s="38"/>
      <c r="JU24" s="38"/>
      <c r="JV24" s="38"/>
      <c r="JW24" s="38"/>
      <c r="JX24" s="38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8"/>
      <c r="LC24" s="38"/>
      <c r="LD24" s="38"/>
      <c r="LE24" s="38"/>
      <c r="LF24" s="38"/>
      <c r="LG24" s="38"/>
      <c r="LH24" s="38"/>
      <c r="LI24" s="38"/>
      <c r="LJ24" s="38"/>
      <c r="LK24" s="38"/>
      <c r="LL24" s="38"/>
      <c r="LM24" s="38"/>
      <c r="LN24" s="38"/>
      <c r="LO24" s="38"/>
      <c r="LP24" s="38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8"/>
      <c r="MU24" s="38"/>
      <c r="MV24" s="38"/>
      <c r="MW24" s="38"/>
      <c r="MX24" s="38"/>
      <c r="MY24" s="38"/>
      <c r="MZ24" s="38"/>
      <c r="NA24" s="38"/>
      <c r="NB24" s="38"/>
      <c r="NC24" s="38"/>
      <c r="ND24" s="38"/>
      <c r="NE24" s="38"/>
      <c r="NF24" s="38"/>
      <c r="NG24" s="38"/>
      <c r="NH24" s="38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9">
        <f>IF($CX24="P",CD24,(CD24+AZ24)/2)</f>
        <v>0</v>
      </c>
      <c r="NQ24" s="69">
        <f>IF($CX24="P",CE24,(CE24+BA24)/2)</f>
        <v>0</v>
      </c>
      <c r="NR24" s="69">
        <f>IF($CX24="P",CF24,(CF24+BB24)/2)</f>
        <v>0</v>
      </c>
      <c r="NS24" s="69">
        <f>IF($CX24="P",CG24,(CG24+BC24)/2)</f>
        <v>0</v>
      </c>
      <c r="NT24" s="69">
        <f>IF($CX24="P",CH24,(CH24+BD24)/2)</f>
        <v>0</v>
      </c>
      <c r="NU24" s="69">
        <f>IF($CX24="P",CI24,(CI24+BE24)/2)</f>
        <v>0</v>
      </c>
      <c r="NV24" s="69">
        <f>IF($CX24="P",CJ24,(CJ24+BF24)/2)</f>
        <v>0</v>
      </c>
      <c r="NW24" s="69">
        <f>IF($CX24="P",CK24,(CK24+BG24)/2)</f>
        <v>0</v>
      </c>
      <c r="NX24" s="69">
        <f>IF($CX24="P",CL24,(CL24+BH24)/2)</f>
        <v>0</v>
      </c>
      <c r="NY24" s="69">
        <f>IF($CX24="P",CM24,(CM24+BI24)/2)</f>
        <v>0</v>
      </c>
      <c r="NZ24" s="69">
        <f>IF($CX24="P",CN24,(CN24+BJ24)/2)</f>
        <v>0</v>
      </c>
      <c r="OA24" s="69">
        <f>IF($CX24="P",CO24,(CO24+BK24)/2)</f>
        <v>0</v>
      </c>
      <c r="OB24" s="69">
        <f>IF($CX24="P",CP24,(CP24+BL24)/2)</f>
        <v>0</v>
      </c>
      <c r="OC24" s="69">
        <f>IF($CX24="P",CQ24,(CQ24+BM24)/2)</f>
        <v>0</v>
      </c>
      <c r="OD24" s="69">
        <f>IF($CX24="P",CR24,(CR24+BN24)/2)</f>
        <v>0</v>
      </c>
      <c r="OE24" s="69">
        <f>IF($CX24="P",CS24,(CS24+BO24)/2)</f>
        <v>0</v>
      </c>
      <c r="OF24" s="69">
        <f>IF($CX24="P",CT24,(CT24+BP24)/2)</f>
        <v>0</v>
      </c>
      <c r="OG24" s="69">
        <f>IF($CX24="P",CU24,(CU24+BQ24)/2)</f>
        <v>0</v>
      </c>
      <c r="OH24" s="69">
        <f>IF($CX24="P",CV24,(CV24+BR24)/2)</f>
        <v>0</v>
      </c>
      <c r="OI24" s="69">
        <f>IF($CX24="P",CW24,(CW24+BS24)/2)</f>
        <v>0</v>
      </c>
      <c r="OJ24" s="80" t="s">
        <v>88</v>
      </c>
      <c r="OK24" s="11" t="str">
        <f>IF(SUM(NP24:NS24)-NT24&gt;0,SUM(NP24:NS24)-NT24,"")</f>
        <v/>
      </c>
      <c r="OL24" s="11" t="str">
        <f>IF(NW24&gt;0,NW24,"")</f>
        <v/>
      </c>
      <c r="OM24" s="11" t="str">
        <f>IF(SUM(NU24:NX24)-NY24&gt;0,SUM(NU24:NX24)-NY24,"")</f>
        <v/>
      </c>
      <c r="ON24" s="11" t="str">
        <f>IF(OB24&gt;0,OB24,"")</f>
        <v/>
      </c>
      <c r="OO24" s="11" t="str">
        <f>IF(SUM(NZ24:OC24)-OD24&gt;0,SUM(NZ24:OC24)-OD24,"")</f>
        <v/>
      </c>
      <c r="OP24" s="11" t="str">
        <f>IF(OR(OK24&lt;&gt;"",OM24&lt;&gt;"",OO24&lt;&gt;""),OK24+MAX(OM24,OO24),"")</f>
        <v/>
      </c>
      <c r="OQ24" s="11" t="str">
        <f>IF(OG24&gt;0,OG24,"")</f>
        <v/>
      </c>
      <c r="OR24" s="11" t="str">
        <f t="shared" ref="OR24" si="4">IF(SUM(OE24:OH24)-OI24&gt;0,SUM(OE24:OH24)-OI24,"")</f>
        <v/>
      </c>
      <c r="OS24" s="11" t="str">
        <f t="shared" ref="OS24" si="5">IF(SUM(OP24,OR24)&gt;0,SUM(OP24,OR24),"")</f>
        <v/>
      </c>
    </row>
    <row r="25" spans="1:409" x14ac:dyDescent="0.2">
      <c r="A25" s="5" t="str" cm="1">
        <f t="array" ref="A25">IF(AND(G25&lt;&gt;"",H25&lt;&gt;""),SUMPRODUCT((G$4:G$27&lt;&gt;"")*(H$4:H$27&lt;&gt;"")*(E$4:E$27&gt;E25))+1,IF(H25&lt;&gt;"",SUMPRODUCT((I$4:I$27="No DD")*(E$4:E$27&gt;E25))+1+SUMPRODUCT((G$4:G$27&lt;&gt;"")*(H$4:H$27&lt;&gt;"")),""))</f>
        <v/>
      </c>
      <c r="B25" s="6" t="s">
        <v>81</v>
      </c>
      <c r="C25" s="7" t="s">
        <v>5</v>
      </c>
      <c r="D25" s="27">
        <v>1999</v>
      </c>
      <c r="E25" s="15">
        <f>SUM(K25:S25)</f>
        <v>77.585000000000008</v>
      </c>
      <c r="F25" s="3" t="str">
        <f>IF(G25&lt;&gt;"","P","")</f>
        <v/>
      </c>
      <c r="G25" s="125" t="str">
        <f>IF(OR(AND(AR25&gt;=AY$32,AR25&lt;&gt;"",AP25=""),AND(AT25&gt;=AY$32,AT25&lt;&gt;"",AP25=""),AND(AW25&gt;=AY$32,AW25&lt;&gt;"",AP25=""),AND(BV25&gt;=CC$32,BV25&lt;&gt;"",BT25=""),AND(BX25&gt;=CC$32,BX25&lt;&gt;"",BT25=""),AND(CA25&gt;=CC$32,CA25&lt;&gt;"",BT25=""),AND(CZ25&gt;=DG$32,CZ25&lt;&gt;"",CX25=""),AND(DB25&gt;=DG$32,DB25&lt;&gt;"",CX25=""),AND(DE25&gt;=DG$32,DE25&lt;&gt;"",CX25=""),AND(EA25&gt;=EG$32,EA25&lt;&gt;""),AND(EE25&gt;=EG$32,EE25&lt;&gt;""),AND(EW25&gt;=FC$32,EW25&lt;&gt;""),AND(FA25&gt;=FC$32,FA25&lt;&gt;""),AND(FS25&gt;=FY$32,FS25&lt;&gt;""),AND(FW25&gt;=FY$32,FW25&lt;&gt;""),AND(GO25&gt;=GU$32,GO25&lt;&gt;""),AND(GS25&gt;=GU$32,GS25&lt;&gt;""),AND(HK25&gt;=HQ$32,HK25&lt;&gt;""),AND(HO25&gt;=HQ$32,HO25&lt;&gt;""),AND(IG25&gt;=IM$32,IG25&lt;&gt;""),AND(IK25&gt;=IM$32,IK25&lt;&gt;""),AND(JC25&gt;=JI$32,JC25&lt;&gt;""),AND(JG25&gt;=JI$32,JG25&lt;&gt;""),AND(JY25&gt;=KE$32,JY25&lt;&gt;""),AND(KC25&gt;=KE$32,KC25&lt;&gt;""),AND(KU25&gt;=LA$32,KU25&lt;&gt;""),AND(KY25&gt;=LA$32,KY25&lt;&gt;""),AND(LQ25&gt;=LW$32,LQ25&lt;&gt;""),AND(LU25&gt;=LW$32,LU25&lt;&gt;""),AND(MM25&gt;=MS$32,MM25&lt;&gt;""),AND(MQ25&gt;=MS$32,MQ25&lt;&gt;""),AND(NI25&gt;=NO$32,NI25&lt;&gt;""),AND(NM25&gt;=NO$32,NM25&lt;&gt;"")),"Merit",IF(OR(AND(AR25&gt;=AY$31,AR25&lt;&gt;"",AP25=""),AND(AT25&gt;=AY$31,AT25&lt;&gt;"",AP25=""),AND(AW25&gt;=AY$31,AW25&lt;&gt;"",AP25=""),AND(BV25&gt;=CC$31,BV25&lt;&gt;"",BT25=""),AND(BX25&gt;=CC$31,BX25&lt;&gt;"",BT25=""),AND(CA25&gt;=CC$31,CA25&lt;&gt;"",BT25=""),AND(CZ25&gt;=DG$31,CZ25&lt;&gt;"",CX25=""),AND(DB25&gt;=DG$31,DB25&lt;&gt;"",CX25=""),AND(DE25&gt;=DG$31,DE25&lt;&gt;"",CX25=""),AND(EA25&gt;=EG$31,EA25&lt;&gt;""),AND(EE25&gt;=EG$31,EE25&lt;&gt;""),AND(EW25&gt;=FC$31,EW25&lt;&gt;""),AND(FA25&gt;=FC$31,FA25&lt;&gt;""),AND(FS25&gt;=FY$31,FS25&lt;&gt;""),AND(FW25&gt;=FY$31,FW25&lt;&gt;""),AND(GO25&gt;=GU$31,GO25&lt;&gt;""),AND(GS25&gt;=GU$31,GS25&lt;&gt;""),AND(HK25&gt;=HQ$31,HK25&lt;&gt;""),AND(HO25&gt;=HQ$31,HO25&lt;&gt;""),AND(IG25&gt;=IM$31,IG25&lt;&gt;""),AND(IK25&gt;=IM$31,IK25&lt;&gt;""),AND(JC25&gt;=JI$31,JC25&lt;&gt;""),AND(JG25&gt;=JI$31,JG25&lt;&gt;""),AND(JY25&gt;=KE$31,JY25&lt;&gt;""),AND(KC25&gt;=KE$31,KC25&lt;&gt;""),AND(KU25&gt;=LA$31,KU25&lt;&gt;""),AND(KY25&gt;=LA$31,KY25&lt;&gt;""),AND(LQ25&gt;=LW$31,LQ25&lt;&gt;""),AND(LU25&gt;=LW$31,LU25&lt;&gt;""),AND(MM25&gt;=MS$31,MM25&lt;&gt;""),AND(MQ25&gt;=MS$31,MQ25&lt;&gt;""),AND(NI25&gt;=NO$31,NI25&lt;&gt;""),AND(NM25&gt;=NO$31,NM25&lt;&gt;"")),"Excellence",IF(OR(AND(AR25&gt;=AY$30,AR25&lt;&gt;"",AP25=""),AND(AT25&gt;=AY$30,AT25&lt;&gt;"",AP25=""),AND(AW25&gt;=AY$30,AW25&lt;&gt;"",AP25=""),AND(BV25&gt;=CC$30,BV25&lt;&gt;"",BT25=""),AND(BX25&gt;=CC$30,BX25&lt;&gt;"",BT25=""),AND(CA25&gt;=CC$30,CA25&lt;&gt;"",BT25=""),AND(CZ25&gt;=DG$30,CZ25&lt;&gt;"",CX25=""),AND(DB25&gt;=DG$30,DB25&lt;&gt;"",CX25=""),AND(DE25&gt;=DG$30,DE25&lt;&gt;"",CX25=""),AND(EA25&gt;=EG$30,EA25&lt;&gt;""),AND(EE25&gt;=EG$30,EE25&lt;&gt;""),AND(EW25&gt;=FC$30,EW25&lt;&gt;""),AND(FA25&gt;=FC$30,FA25&lt;&gt;""),AND(FS25&gt;=FY$30,FS25&lt;&gt;""),AND(FW25&gt;=FY$30,FW25&lt;&gt;""),AND(GO25&gt;=GU$30,GO25&lt;&gt;""),AND(GS25&gt;=GU$30,GS25&lt;&gt;""),AND(HK25&gt;=HQ$30,HK25&lt;&gt;""),AND(HO25&gt;=HQ$30,HO25&lt;&gt;""),AND(IG25&gt;=IM$30,IG25&lt;&gt;""),AND(IK25&gt;=IM$30,IK25&lt;&gt;""),AND(JC25&gt;=JI$30,JC25&lt;&gt;""),AND(JG25&gt;=JI$30,JG25&lt;&gt;""),AND(JY25&gt;=KE$30,JY25&lt;&gt;""),AND(KC25&gt;=KE$30,KC25&lt;&gt;""),AND(KU25&gt;=LA$30,KU25&lt;&gt;""),AND(KY25&gt;=LA$30,KY25&lt;&gt;""),AND(LQ25&gt;=LW$30,LQ25&lt;&gt;""),AND(LU25&gt;=LW$30,LU25&lt;&gt;""),AND(MM25&gt;=MS$30,MM25&lt;&gt;""),AND(MQ25&gt;=MS$30,MQ25&lt;&gt;""),AND(NI25&gt;=NO$30,NI25&lt;&gt;""),AND(NM25&gt;=NO$30,NM25&lt;&gt;"")),"Worlds Team",IF(OR(AND(AR25&gt;=AY$29,AR25&lt;&gt;"",AP25=""),AND(AT25&gt;=AY$29,AT25&lt;&gt;"",AP25=""),AND(AW25&gt;=AY$29,AW25&lt;&gt;"",AP25=""),AND(BV25&gt;=CC$29,BV25&lt;&gt;"",BT25=""),AND(BX25&gt;=CC$29,BX25&lt;&gt;"",BT25=""),AND(CA25&gt;=CC$29,CA25&lt;&gt;"",BT25=""),AND(CZ25&gt;=DG$29,CZ25&lt;&gt;"",CX25=""),AND(DB25&gt;=DG$29,DB25&lt;&gt;"",CX25=""),AND(DE25&gt;=DG$29,DE25&lt;&gt;"",CX25=""),AND(EA25&gt;=EG$29,EA25&lt;&gt;""),AND(EE25&gt;=EG$29,EE25&lt;&gt;""),AND(EW25&gt;=FC$29,EW25&lt;&gt;""),AND(FA25&gt;=FC$29,FA25&lt;&gt;""),AND(FS25&gt;=FY$29,FS25&lt;&gt;""),AND(FW25&gt;=FY$29,FW25&lt;&gt;""),AND(GO25&gt;=GU$29,GO25&lt;&gt;""),AND(GS25&gt;=GU$29,GS25&lt;&gt;""),AND(HK25&gt;=HQ$29,HK25&lt;&gt;""),AND(HO25&gt;=HQ$29,HO25&lt;&gt;""),AND(IG25&gt;=IM$29,IG25&lt;&gt;""),AND(IK25&gt;=IM$29,IK25&lt;&gt;""),AND(JC25&gt;=JI$29,JC25&lt;&gt;""),AND(JG25&gt;=JI$29,JG25&lt;&gt;""),AND(JY25&gt;=KE$29,JY25&lt;&gt;""),AND(KC25&gt;=KE$29,KC25&lt;&gt;""),AND(KU25&gt;=LA$29,KU25&lt;&gt;""),AND(KY25&gt;=LA$29,KY25&lt;&gt;""),AND(LQ25&gt;=LW$29,LQ25&lt;&gt;""),AND(LU25&gt;=LW$29,LU25&lt;&gt;""),AND(MM25&gt;=MS$29,MM25&lt;&gt;""),AND(MQ25&gt;=MS$29,MQ25&lt;&gt;""),AND(NI25&gt;=NO$29,NI25&lt;&gt;""),AND(NM25&gt;=NO$29,NM25&lt;&gt;"")),"National Team",""))))</f>
        <v/>
      </c>
      <c r="H25" s="125" t="str">
        <f>IF(OR(AND(AS25&gt;=AY$36,AS25&lt;&gt;"",AP25=""),AND(AU25&gt;=AY$36,AU25&lt;&gt;"",AP25=""),AND(AX25&gt;=AY$36,AX25&lt;&gt;"",AP25=""),AND(BW25&gt;=CC$36,BW25&lt;&gt;"",BT25=""),AND(BY25&gt;=CC$36,BY25&lt;&gt;"",BT25=""),AND(CB25&gt;=CC$36,CB25&lt;&gt;"",BT25=""),AND(DA25&gt;=DG$36,DA25&lt;&gt;"",CX25=""),AND(DC25&gt;=DG$36,DC25&lt;&gt;"",CX25=""),AND(DF25&gt;=DG$36,DF25&lt;&gt;"",CX25=""),AND(EC25&gt;=EG$36,EC25&lt;&gt;""),AND(EF25&gt;=EG$36,EF25&lt;&gt;""),AND(EY25&gt;=FC$36,EY25&lt;&gt;""),AND(FB25&gt;=FC$36,FB25&lt;&gt;""),AND(FU25&gt;=FY$36,FU25&lt;&gt;""),AND(FX25&gt;=FY$36,FX25&lt;&gt;""),AND(GQ25&gt;=GU$36,GQ25&lt;&gt;""),AND(GT25&gt;=GU$36,GT25&lt;&gt;""),AND(HM25&gt;=HQ$36,HM25&lt;&gt;""),AND(HP25&gt;=HQ$36,HP25&lt;&gt;""),AND(II25&gt;=IM$36,II25&lt;&gt;""),AND(IL25&gt;=IM$36,IL25&lt;&gt;""),AND(JE25&gt;=JI$36,JE25&lt;&gt;""),AND(JH25&gt;=JI$36,JH25&lt;&gt;""),AND(KA25&gt;=KE$36,KA25&lt;&gt;""),AND(KD25&gt;=KE$36,KD25&lt;&gt;""),AND(KW25&gt;=LA$36,KW25&lt;&gt;""),AND(KZ25&gt;=LA$36,KZ25&lt;&gt;""),AND(LS25&gt;=LW$36,LS25&lt;&gt;""),AND(LV25&gt;=LW$36,LV25&lt;&gt;""),AND(MO25&gt;=MS$36,MO25&lt;&gt;""),AND(MR25&gt;=MS$36,MR25&lt;&gt;""),AND(NK25&gt;=NO$36,NK25&lt;&gt;""),AND(NN25&gt;=NO$36,NN25&lt;&gt;"")),"Merit",IF(OR(AND(AS25&gt;=AY$35,AS25&lt;&gt;"",AP25=""),AND(AU25&gt;=AY$35,AU25&lt;&gt;"",AP25=""),AND(AX25&gt;=AY$35,AX25&lt;&gt;"",AP25=""),AND(BW25&gt;=CC$35,BW25&lt;&gt;"",BT25=""),AND(BY25&gt;=CC$35,BY25&lt;&gt;"",BT25=""),AND(CB25&gt;=CC$35,CB25&lt;&gt;"",BT25=""),AND(DA25&gt;=DG$35,DA25&lt;&gt;"",CX25=""),AND(DC25&gt;=DG$35,DC25&lt;&gt;"",CX25=""),AND(DF25&gt;=DG$35,DF25&lt;&gt;"",CX25=""),AND(EC25&gt;=EG$35,EC25&lt;&gt;""),AND(EF25&gt;=EG$35,EF25&lt;&gt;""),AND(EY25&gt;=FC$35,EY25&lt;&gt;""),AND(FB25&gt;=FC$35,FB25&lt;&gt;""),AND(FU25&gt;=FY$35,FU25&lt;&gt;""),AND(FX25&gt;=FY$35,FX25&lt;&gt;""),AND(GQ25&gt;=GU$35,GQ25&lt;&gt;""),AND(GT25&gt;=GU$35,GT25&lt;&gt;""),AND(HM25&gt;=HQ$35,HM25&lt;&gt;""),AND(HP25&gt;=HQ$35,HP25&lt;&gt;""),AND(II25&gt;=IM$35,II25&lt;&gt;""),AND(IL25&gt;=IM$35,IL25&lt;&gt;""),AND(JE25&gt;=JI$35,JE25&lt;&gt;""),AND(JH25&gt;=JI$35,JH25&lt;&gt;""),AND(KA25&gt;=KE$35,KA25&lt;&gt;""),AND(KD25&gt;=KE$35,KD25&lt;&gt;""),AND(KW25&gt;=LA$35,KW25&lt;&gt;""),AND(KZ25&gt;=LA$35,KZ25&lt;&gt;""),AND(LS25&gt;=LW$35,LS25&lt;&gt;""),AND(LV25&gt;=LW$35,LV25&lt;&gt;""),AND(MO25&gt;=MS$35,MO25&lt;&gt;""),AND(MR25&gt;=MS$35,MR25&lt;&gt;""),AND(NK25&gt;=NO$35,NK25&lt;&gt;""),AND(NN25&gt;=NO$35,NN25&lt;&gt;"")),"Excellence",IF(OR(AND(AV25&gt;=AY$34,AV25&lt;&gt;"",AP25=""),AND(BZ25&gt;=CC$34,BZ25&lt;&gt;"",BT25=""),AND(DD25&gt;=DG$34,DD25&lt;&gt;"",CX25=""),AND(ED25&gt;=EG$34,ED25&lt;&gt;""),AND(EZ25&gt;=FC$34,EZ25&lt;&gt;""),AND(FV25&gt;=FY$34,FV25&lt;&gt;""),AND(GR25&gt;=GU$34,GR25&lt;&gt;""),AND(HN25&gt;=HQ$34,HN25&lt;&gt;""),AND(IJ25&gt;=IM$34,IJ25&lt;&gt;""),AND(JF25&gt;=JI$34,JF25&lt;&gt;""),AND(KB25&gt;=KE$34,KB25&lt;&gt;""),AND(KX25&gt;=LA$34,KX25&lt;&gt;""),AND(LT25&gt;=LW$34,LT25&lt;&gt;""),AND(MP25&gt;=MS$34,MP25&lt;&gt;""),AND(NL25&gt;=NO$34,NL25&lt;&gt;"")),"Worlds Team",IF(OR(AND(AV25&gt;=AY$33,AV25&lt;&gt;"",AP25=""),AND(BZ25&gt;=CC$33,BZ25&lt;&gt;"",BT25=""),AND(DD25&gt;=DG$33,DD25&lt;&gt;"",CX25=""),AND(ED25&gt;=EG$33,ED25&lt;&gt;""),AND(EZ25&gt;=FC$33,EZ25&lt;&gt;""),AND(FV25&gt;=FY$33,FV25&lt;&gt;""),AND(GR25&gt;=GU$33,GR25&lt;&gt;""),AND(HN25&gt;=HQ$33,HN25&lt;&gt;""),AND(IJ25&gt;=IM$33,IJ25&lt;&gt;""),AND(JF25&gt;=JI$33,JF25&lt;&gt;""),AND(KB25&gt;=KE$33,KB25&lt;&gt;""),AND(KX25&gt;=LA$33,KX25&lt;&gt;""),AND(LT25&gt;=LW$33,LT25&lt;&gt;""),AND(MP25&gt;=MS$33,MP25&lt;&gt;""),AND(NL25&gt;=NO$33,NL25&lt;&gt;"")),"National Team",""))))</f>
        <v/>
      </c>
      <c r="I25" s="126" t="str">
        <f>IF(AND(G25="Merit",H25="Merit"),"Merit",IF(AND(OR(G25="Merit",G25="Excellence"),OR(H25="Merit",H25="Excellence")),"Excellence",IF(AND(OR(G25="Merit",G25="Excellence",G25="Worlds Team"),OR(H25="Merit",H25="Excellence",H25="Worlds Team")),"Worlds Team",IF(AND(OR(G25="Merit",G25="Excellence",G25="Worlds Team",G25="National Team"),OR(H25="Merit",H25="Excellence",H25="Worlds Team",H25="National Team")),"National Team",IF(OR(H25="Merit",H25="Excellence",H25="Worlds Team",H25="National Team"),"No DD","")))))</f>
        <v/>
      </c>
      <c r="J25" s="3" t="str">
        <f>IF(AND(OR(AND(AV25&gt;=AY$34,AV25&lt;&gt;"",AP25=""),AND(BZ25&gt;=CC$34,BZ25&lt;&gt;"",BT25=""),AND(DD25&gt;=DG$34,DD25&lt;&gt;"",CX25=""),AND(ED25&gt;=EG$34,ED25&lt;&gt;""),AND(EZ25&gt;=FC$34,EZ25&lt;&gt;""),AND(FV25&gt;=FY$34,FV25&lt;&gt;""),AND(GR25&gt;=GU$34,GR25&lt;&gt;""),AND(HN25&gt;=HQ$34,HN25&lt;&gt;""),AND(IJ25&gt;=IM$34,IJ25&lt;&gt;""),AND(JF25&gt;=JI$34,JF25&lt;&gt;""),AND(KB25&gt;=KE$34,KB25&lt;&gt;""),AND(KX25&gt;=LA$34,KX25&lt;&gt;""),AND(LT25&gt;=LW$34,LT25&lt;&gt;""),AND(MP25&gt;=MS$34,MP25&lt;&gt;""),AND(NL25&gt;=NO$34,NL25&lt;&gt;"")),OR(G25="Worlds Team",G25="Excellence",G25="Merit")),"P","")</f>
        <v/>
      </c>
      <c r="K25" s="14">
        <f>IF(MAX(AV25,BZ25,DD25)&gt;0,MAX(AV25,BZ25,DD25),0)</f>
        <v>77.585000000000008</v>
      </c>
      <c r="L25" s="14" t="str">
        <f>IF(K25=0,"",IF(K25=DD25,$CD$1,IF(K25=BZ25,$AZ$1,IF(K25=AV25,$V$1,""))))</f>
        <v>2019 Nationals</v>
      </c>
      <c r="M25" s="14">
        <f>IF($K25=$AV25,MAX(BU25,CY25),IF($K25=$BZ25,MAX(AQ25,CY25),IF($K25=$DD25,MAX(AQ25,BU25),MAX(AQ25,BU25,CY25))))</f>
        <v>0</v>
      </c>
      <c r="N25" s="14" t="str">
        <f>IF(M25=0,"",IF(AND(M25=CY25,$L25&lt;&gt;$CD$1),$CD$1,IF(AND(M25=BU25,$L25&lt;&gt;$AZ$1),$AZ$1,IF(AND(M25=AQ25,$L25&lt;&gt;$V$1),$V$1,""))))</f>
        <v/>
      </c>
      <c r="O25" s="14">
        <f>IF(K25-N(AQ25)=AS25,MAX(AU25,BW25,BY25,DA25,DC25),IF(K25-N(AQ25)=AU25,MAX(AS25,BW25,BY25,DA25,DC25),IF(K25-N(BU25)=BW25,MAX(AS25,AU25,BY25,DA25,DC25),IF(K25-N(BU25)=BY25,MAX(AS25,AU25,BW25,DA25,DC25),IF(K25-N(CY25)=DA25,MAX(AS25,AU25,BW25,BY25,DC25),IF(K25-N(CY25)=DC25,MAX(AS25,AU25,BW25,BY25,DA25),MAX(AS25,AU25,BW25,BY25,DA25,DC25)))))))</f>
        <v>0</v>
      </c>
      <c r="P25" s="14" t="str">
        <f>IF(O25=0,"",IF(OR(O25=DC25,O25=DA25),$CD$1,IF(OR(O25=BY25,O25=BW25),$AZ$1,IF(OR(O25=AU25,O25=AS25),$V$1,""))))</f>
        <v/>
      </c>
      <c r="Q25" s="14">
        <f>MAX(AX25,CB25,DF25)</f>
        <v>0</v>
      </c>
      <c r="R25" s="14" t="str">
        <f>IF(Q25=0,"",IF(Q25=DF25,$CD$1,IF(Q25=CB25,$AZ$1,IF(Q25=AX25,$V$1,""))))</f>
        <v/>
      </c>
      <c r="S25" s="14" t="str">
        <f>IF(MAX(DH25,DI25,DJ25,DK25)&gt;0,MAX(DH25,DI25,DJ25,DK25),"")</f>
        <v/>
      </c>
      <c r="T25" s="25" t="str">
        <f>IF(S25="","",IF(S25=DH25,"(Vol 1)",IF(S25=DI25,"(Vol 2)",IF(S25=DJ25,"(Prelim)",IF(S25=DK25,"(Final)")))))</f>
        <v/>
      </c>
      <c r="U25" s="14" t="str">
        <f>IF(S25="","",IF(S25=DH25,IF(S25+IF(M25="",0,M25)=NJ25,$MT$1,IF(S25+IF(M25="",0,M25)=MN25,$LX$1,IF(S25+IF(M25="",0,M25)=LR25,$LB$1,IF(S25+IF(M25="",0,M25)=KV25,$KF$1,IF(S25+IF(M25="",0,M25)=JZ25,$JJ$1,IF(S25+IF(M25="",0,M25)=JD25,$IN$1,IF(S25+IF(M25="",0,M25)=IH25,$HR$1,IF(S25+IF(M25="",0,M25)=HL25,$GV$1,IF(S25+IF(M25="",0,M25)=GP25,$FZ$1,IF(S25+IF(M25="",0,M25)=FT25,$FD$1,IF(S25+IF(M25="",0,M25)=EX25,$EH$1,IF(S25+IF(M25="",0,M25)=EB25,$DL$1)))))))))))),IF(S25=DI25,IF(S25+IF(O25="",0,O25)=NK25,$MT$1,IF(S25+IF(O25="",0,O25)=MO25,$LX$1,IF(S25+IF(O25="",0,O25)=LS25,$LB$1,IF(S25+IF(O25="",0,O25)=KW25,$KF$1,IF(S25+IF(O25="",0,O25)=KA25,$JJ$1,IF(S25+IF(O25="",0,O25)=JE25,$IN$1,IF(S25+IF(O25="",0,O25)=II25,$HR$1,IF(S25+IF(O25="",0,O25)=HM25,$GV$1,IF(S25+IF(O25="",0,O25)=GQ25,$FZ$1,IF(S25+IF(O25="",0,O25)=FU25,$FD$1,IF(S25+IF(O25="",0,O25)=EY25,$EH$1,IF(S25+IF(O25="",0,O25)=EC25,$DL$1)))))))))))),IF(S25=DJ25,IF(S25+IF(K25="",0,K25)=NL25,$MT$1,IF(S25+IF(K25="",0,K25)=MP25,$LX$1,IF(S25+IF(K25="",0,K25)=LT25,$LB$1,IF(S25+IF(K25="",0,K25)=KX25,$KF$1,IF(S25+IF(K25="",0,K25)=KB25,$JJ$1,IF(S25+IF(K25="",0,K25)=JF25,$IN$1,IF(S25+IF(K25="",0,K25)=IJ25,$HR$1,IF(S25+IF(K25="",0,K25)=HN25,$GV$1,IF(S25+IF(K25="",0,K25)=GR25,$FZ$1,IF(S25+IF(K25="",0,K25)=FV25,$FD$1,IF(S25+IF(K25="",0,K25)=EZ25,$EH$1,IF(S25+IF(K25="",0,K25)=ED25,$DL$1)))))))))))),IF(S25=DK25,IF(S25+IF(Q25="",0,Q25)=NN25,$MT$1,IF(S25+IF(Q25="",0,Q25)=MR25,$LX$1,IF(S25+IF(Q25="",0,Q25)=LV25,$LB$1,IF(S25+IF(Q25="",0,Q25)=KZ25,$KF$1,IF(S25+IF(Q25="",0,Q25)=KD25,$JJ$1,IF(S25+IF(Q25="",0,Q25)=JH25,$IN$1,IF(S25+IF(Q25="",0,Q25)=IL25,$HR$1,IF(S25+IF(Q25="",0,Q25)=HP25,$GV$1,IF(S25+IF(Q25="",0,Q25)=GT25,$FZ$1,IF(S25+IF(Q25="",0,Q25)=FX25,$FD$1,IF(S25+IF(Q25="",0,Q25)=FB25,$EH$1,IF(S25+IF(Q25="",0,Q25)=EF25,$DL$1)))))))))))))))))</f>
        <v/>
      </c>
      <c r="V25" s="69">
        <v>17.100000000000001</v>
      </c>
      <c r="W25" s="69">
        <v>9.5</v>
      </c>
      <c r="X25" s="69">
        <v>4</v>
      </c>
      <c r="Y25" s="69">
        <v>16.27</v>
      </c>
      <c r="Z25" s="69">
        <v>0</v>
      </c>
      <c r="AA25" s="69">
        <v>9</v>
      </c>
      <c r="AB25" s="69">
        <v>5.3</v>
      </c>
      <c r="AC25" s="69">
        <v>7.2</v>
      </c>
      <c r="AD25" s="69">
        <v>9.2149999999999999</v>
      </c>
      <c r="AE25" s="69">
        <v>0</v>
      </c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80"/>
      <c r="AQ25" s="11">
        <f>IF(SUM(V25:Y25)-Z25&gt;0,SUM(V25:Y25)-Z25,"")</f>
        <v>46.870000000000005</v>
      </c>
      <c r="AR25" s="11">
        <f>IF(AC25&gt;0,AC25,"")</f>
        <v>7.2</v>
      </c>
      <c r="AS25" s="11">
        <f>IF(SUM(AA25:AD25)-AE25&gt;0,SUM(AA25:AD25)-AE25,"")</f>
        <v>30.715</v>
      </c>
      <c r="AT25" s="11" t="str">
        <f>IF(AH25&gt;0,AH25,"")</f>
        <v/>
      </c>
      <c r="AU25" s="11" t="str">
        <f>IF(SUM(AF25:AI25)-AJ25&gt;0,SUM(AF25:AI25)-AJ25,"")</f>
        <v/>
      </c>
      <c r="AV25" s="11">
        <f>IF(AQ25="",IF(MAX(AS25,AU25)&gt;0,MAX(AS25,AU25),""),MAX(AS25,AU25)+AQ25)</f>
        <v>77.585000000000008</v>
      </c>
      <c r="AW25" s="11" t="str">
        <f>IF(AM25&gt;0,AM25,"")</f>
        <v/>
      </c>
      <c r="AX25" s="11" t="str">
        <f>IF(SUM(AK25:AN25)-AO25&gt;0,SUM(AK25:AN25)-AO25,"")</f>
        <v/>
      </c>
      <c r="AY25" s="11">
        <f>IF(SUM(AV25,AX25)&gt;0,SUM(AV25,AX25),"")</f>
        <v>77.585000000000008</v>
      </c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81"/>
      <c r="BU25" s="14" t="str">
        <f>IF(SUM(AZ25:BC25)-BD25&gt;0,SUM(AZ25:BC25)-BD25,"")</f>
        <v/>
      </c>
      <c r="BV25" s="14" t="str">
        <f>IF(BG25&gt;0,BG25,"")</f>
        <v/>
      </c>
      <c r="BW25" s="14" t="str">
        <f>IF(SUM(BE25:BH25)-BI25&gt;0,SUM(BE25:BH25)-BI25,"")</f>
        <v/>
      </c>
      <c r="BX25" s="14" t="str">
        <f>IF(BL25&gt;0,BL25,"")</f>
        <v/>
      </c>
      <c r="BY25" s="14" t="str">
        <f>IF(SUM(BJ25:BM25)-BN25&gt;0,SUM(BJ25:BM25)-BN25,"")</f>
        <v/>
      </c>
      <c r="BZ25" s="14" t="str">
        <f>IF(BU25="",IF(MAX(BW25,BY25)&gt;0,MAX(BW25,BY25),""),MAX(BW25,BY25)+BU25)</f>
        <v/>
      </c>
      <c r="CA25" s="14" t="str">
        <f>IF(BQ25&gt;0,BQ25,"")</f>
        <v/>
      </c>
      <c r="CB25" s="14" t="str">
        <f>IF(SUM(BO25:BR25)-BS25&gt;0,SUM(BO25:BR25)-BS25,"")</f>
        <v/>
      </c>
      <c r="CC25" s="14" t="str">
        <f>IF(SUM(BZ25,CB25)&gt;0,SUM(BZ25,CB25),"")</f>
        <v/>
      </c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80"/>
      <c r="CY25" s="11" t="str">
        <f>IF(SUM(CD25:CG25)-CH25&gt;0,SUM(CD25:CG25)-CH25,"")</f>
        <v/>
      </c>
      <c r="CZ25" s="11" t="str">
        <f>IF(CK25&gt;0,CK25,"")</f>
        <v/>
      </c>
      <c r="DA25" s="11" t="str">
        <f>IF(SUM(CI25:CL25)-CM25&gt;0,SUM(CI25:CL25)-CM25,"")</f>
        <v/>
      </c>
      <c r="DB25" s="11" t="str">
        <f>IF(CP25&gt;0,CP25,"")</f>
        <v/>
      </c>
      <c r="DC25" s="11" t="str">
        <f>IF(SUM(CN25:CQ25)-CR25&gt;0,SUM(CN25:CQ25)-CR25,"")</f>
        <v/>
      </c>
      <c r="DD25" s="11" t="str">
        <f>IF(CY25="",IF(MAX(DA25,DC25)&gt;0,MAX(DA25,DC25),""),MAX(DA25,DC25)+CY25)</f>
        <v/>
      </c>
      <c r="DE25" s="11" t="str">
        <f>IF(CU25&gt;0,CU25,"")</f>
        <v/>
      </c>
      <c r="DF25" s="11" t="str">
        <f>IF(SUM(CS25:CV25)-CW25&gt;0,SUM(CS25:CV25)-CW25,"")</f>
        <v/>
      </c>
      <c r="DG25" s="11" t="str">
        <f>IF(SUM(DD25,DF25)&gt;0,SUM(DD25,DF25),"")</f>
        <v/>
      </c>
      <c r="DH25" s="24" t="str">
        <f>IF(MAX(EB25,EX25,FT25,GP25,HL25,IH25,JD25,JZ25,KV25,LR25,MN25,NJ25)-IF(M25="",0,M25)&gt;0.001,MAX(EB25,EX25,FT25,GP25,HL25,IH25,JD25,JZ25,KV25,LR25,MN25,NJ25)-IF(M25="",0,M25),"")</f>
        <v/>
      </c>
      <c r="DI25" s="24" t="str">
        <f>IF(MAX(EC25,EY25,FU25,GQ25,HM25,II25,JE25,KA25,KW25,LS25,MO25,NK25)-IF(O25="",0,O25)&gt;0.001,MAX(EC25,EY25,FU25,GQ25,HM25,II25,JE25,KA25,KW25,LS25,MO25,NK25)-IF(O25="",0,O25),"")</f>
        <v/>
      </c>
      <c r="DJ25" s="24" t="str">
        <f>IF(MAX(ED25,EZ25,FV25,GR25,HN25,IJ25,JF25,KB25,KX25,LT25,MP25,NL25)-IF(K25="",0,K25)&gt;0.001,MAX(ED25,EZ25,FV25,GR25,HN25,IJ25,JF25,KB25,KX25,LT25,MP25,NL25)-IF(K25="",0,K25),"")</f>
        <v/>
      </c>
      <c r="DK25" s="24" t="str">
        <f>IF(MAX(EF25,FB25,FX25,GT25,HP25,IL25,JH25,KD25,KZ25,LV25,MR25,NN25)-IF(Q25="",0,Q25)&gt;0.001,MAX(EF25,FB25,FX25,GT25,HP25,IL25,JH25,KD25,KZ25,LV25,MR25,NN25)-IF(Q25="",0,Q25),"")</f>
        <v/>
      </c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11" t="str">
        <f>IF(DS25&gt;0,DS25,"")</f>
        <v/>
      </c>
      <c r="EB25" s="11" t="str">
        <f>IF(SUM(DL25:DO25)-DP25&gt;0,SUM(DL25:DO25)-DP25,"")</f>
        <v/>
      </c>
      <c r="EC25" s="11" t="str">
        <f>IF(SUM(DQ25:DT25)-DU25&gt;0,SUM(DQ25:DT25)-DU25,"")</f>
        <v/>
      </c>
      <c r="ED25" s="11" t="str">
        <f>IF(SUM(EB25:EC25)&gt;0,SUM(EB25:EC25),"")</f>
        <v/>
      </c>
      <c r="EE25" s="11" t="str">
        <f>IF(DX25&gt;0,DX25,"")</f>
        <v/>
      </c>
      <c r="EF25" s="11" t="str">
        <f>IF(SUM(DV25:DY25)-DZ25&gt;0,SUM(DV25:DY25)-DZ25,"")</f>
        <v/>
      </c>
      <c r="EG25" s="11" t="str">
        <f>IF(SUM(ED25,EF25)&gt;0,SUM(ED25,EF25),"")</f>
        <v/>
      </c>
      <c r="EH25" s="38"/>
      <c r="EI25" s="38"/>
      <c r="EJ25" s="38"/>
      <c r="EK25" s="38"/>
      <c r="EL25" s="38"/>
      <c r="EM25" s="38"/>
      <c r="EN25" s="38"/>
      <c r="EO25" s="38"/>
      <c r="EP25" s="38"/>
      <c r="EQ25" s="38"/>
      <c r="ER25" s="38"/>
      <c r="ES25" s="38"/>
      <c r="ET25" s="38"/>
      <c r="EU25" s="38"/>
      <c r="EV25" s="38"/>
      <c r="EW25" s="14" t="str">
        <f>IF(EO25&gt;0,EO25,"")</f>
        <v/>
      </c>
      <c r="EX25" s="14" t="str">
        <f>IF(SUM(EH25:EK25)-EL25&gt;0,SUM(EH25:EK25)-EL25,"")</f>
        <v/>
      </c>
      <c r="EY25" s="14" t="str">
        <f>IF(SUM(EM25:EP25)-EQ25&gt;0,SUM(EM25:EP25)-EQ25,"")</f>
        <v/>
      </c>
      <c r="EZ25" s="14" t="str">
        <f>IF(SUM(EX25:EY25)&gt;0,SUM(EX25:EY25),"")</f>
        <v/>
      </c>
      <c r="FA25" s="14" t="str">
        <f>IF(ET25&gt;0,ET25,"")</f>
        <v/>
      </c>
      <c r="FB25" s="14" t="str">
        <f>IF(SUM(ER25:EU25)-EV25&gt;0,SUM(ER25:EU25)-EV25,"")</f>
        <v/>
      </c>
      <c r="FC25" s="14" t="str">
        <f>IF(SUM(EZ25,FB25)&gt;0,SUM(EZ25,FB25),"")</f>
        <v/>
      </c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11" t="str">
        <f>IF(FK25&gt;0,FK25,"")</f>
        <v/>
      </c>
      <c r="FT25" s="11" t="str">
        <f>IF(SUM(FD25:FG25)-FH25&gt;0,SUM(FD25:FG25)-FH25,"")</f>
        <v/>
      </c>
      <c r="FU25" s="11" t="str">
        <f>IF(SUM(FI25:FL25)-FM25&gt;0,SUM(FI25:FL25)-FM25,"")</f>
        <v/>
      </c>
      <c r="FV25" s="11" t="str">
        <f>IF(SUM(FT25:FU25)&gt;0,SUM(FT25:FU25),"")</f>
        <v/>
      </c>
      <c r="FW25" s="11" t="str">
        <f>IF(FP25&gt;0,FP25,"")</f>
        <v/>
      </c>
      <c r="FX25" s="11" t="str">
        <f>IF(SUM(FN25:FQ25)-FR25&gt;0,SUM(FN25:FQ25)-FR25,"")</f>
        <v/>
      </c>
      <c r="FY25" s="11" t="str">
        <f>IF(SUM(FV25,FX25)&gt;0,SUM(FV25,FX25),"")</f>
        <v/>
      </c>
      <c r="FZ25" s="38"/>
      <c r="GA25" s="38"/>
      <c r="GB25" s="38"/>
      <c r="GC25" s="38"/>
      <c r="GD25" s="38"/>
      <c r="GE25" s="38"/>
      <c r="GF25" s="38"/>
      <c r="GG25" s="38"/>
      <c r="GH25" s="38"/>
      <c r="GI25" s="38"/>
      <c r="GJ25" s="38"/>
      <c r="GK25" s="38"/>
      <c r="GL25" s="38"/>
      <c r="GM25" s="38"/>
      <c r="GN25" s="38"/>
      <c r="GO25" s="14" t="str">
        <f>IF(GG25&gt;0,GG25,"")</f>
        <v/>
      </c>
      <c r="GP25" s="14" t="str">
        <f>IF(SUM(FZ25:GC25)-GD25&gt;0,SUM(FZ25:GC25)-GD25,"")</f>
        <v/>
      </c>
      <c r="GQ25" s="14" t="str">
        <f>IF(SUM(GE25:GH25)-GI25&gt;0,SUM(GE25:GH25)-GI25,"")</f>
        <v/>
      </c>
      <c r="GR25" s="14" t="str">
        <f>IF(SUM(GP25:GQ25)&gt;0,SUM(GP25:GQ25),"")</f>
        <v/>
      </c>
      <c r="GS25" s="14" t="str">
        <f>IF(GL25&gt;0,GL25,"")</f>
        <v/>
      </c>
      <c r="GT25" s="14" t="str">
        <f>IF(SUM(GJ25:GM25)-GN25&gt;0,SUM(GJ25:GM25)-GN25,"")</f>
        <v/>
      </c>
      <c r="GU25" s="14" t="str">
        <f>IF(SUM(GR25,GT25)&gt;0,SUM(GR25,GT25),"")</f>
        <v/>
      </c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11" t="str">
        <f>IF(HC25&gt;0,HC25,"")</f>
        <v/>
      </c>
      <c r="HL25" s="11" t="str">
        <f>IF(SUM(GV25:GY25)-GZ25&gt;0,SUM(GV25:GY25)-GZ25,"")</f>
        <v/>
      </c>
      <c r="HM25" s="11" t="str">
        <f>IF(SUM(HA25:HD25)-HE25&gt;0,SUM(HA25:HD25)-HE25,"")</f>
        <v/>
      </c>
      <c r="HN25" s="11" t="str">
        <f>IF(SUM(HL25:HM25)&gt;0,SUM(HL25:HM25),"")</f>
        <v/>
      </c>
      <c r="HO25" s="11" t="str">
        <f>IF(HH25&gt;0,HH25,"")</f>
        <v/>
      </c>
      <c r="HP25" s="11" t="str">
        <f>IF(SUM(HF25:HI25)-HJ25&gt;0,SUM(HF25:HI25)-HJ25,"")</f>
        <v/>
      </c>
      <c r="HQ25" s="11" t="str">
        <f>IF(SUM(HN25,HP25)&gt;0,SUM(HN25,HP25),"")</f>
        <v/>
      </c>
      <c r="HR25" s="38"/>
      <c r="HS25" s="38"/>
      <c r="HT25" s="38"/>
      <c r="HU25" s="38"/>
      <c r="HV25" s="38"/>
      <c r="HW25" s="38"/>
      <c r="HX25" s="38"/>
      <c r="HY25" s="38"/>
      <c r="HZ25" s="38"/>
      <c r="IA25" s="38"/>
      <c r="IB25" s="38"/>
      <c r="IC25" s="38"/>
      <c r="ID25" s="38"/>
      <c r="IE25" s="38"/>
      <c r="IF25" s="38"/>
      <c r="IG25" s="14" t="str">
        <f>IF(HY25&gt;0,HY25,"")</f>
        <v/>
      </c>
      <c r="IH25" s="14" t="str">
        <f>IF(SUM(HR25:HU25)-HV25&gt;0,SUM(HR25:HU25)-HV25,"")</f>
        <v/>
      </c>
      <c r="II25" s="14" t="str">
        <f>IF(SUM(HW25:HZ25)-IA25&gt;0,SUM(HW25:HZ25)-IA25,"")</f>
        <v/>
      </c>
      <c r="IJ25" s="14" t="str">
        <f>IF(SUM(IH25:II25)&gt;0,SUM(IH25:II25),"")</f>
        <v/>
      </c>
      <c r="IK25" s="14" t="str">
        <f>IF(ID25&gt;0,ID25,"")</f>
        <v/>
      </c>
      <c r="IL25" s="14" t="str">
        <f>IF(SUM(IB25:IE25)-IF25&gt;0,SUM(IB25:IE25)-IF25,"")</f>
        <v/>
      </c>
      <c r="IM25" s="14" t="str">
        <f>IF(SUM(IJ25,IL25)&gt;0,SUM(IJ25,IL25),"")</f>
        <v/>
      </c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11" t="str">
        <f>IF(IU25&gt;0,IU25,"")</f>
        <v/>
      </c>
      <c r="JD25" s="11" t="str">
        <f>IF(SUM(IN25:IQ25)-IR25&gt;0,SUM(IN25:IQ25)-IR25,"")</f>
        <v/>
      </c>
      <c r="JE25" s="11" t="str">
        <f>IF(SUM(IS25:IV25)-IW25&gt;0,SUM(IS25:IV25)-IW25,"")</f>
        <v/>
      </c>
      <c r="JF25" s="11" t="str">
        <f>IF(SUM(JD25:JE25)&gt;0,SUM(JD25:JE25),"")</f>
        <v/>
      </c>
      <c r="JG25" s="11" t="str">
        <f>IF(IZ25&gt;0,IZ25,"")</f>
        <v/>
      </c>
      <c r="JH25" s="11" t="str">
        <f>IF(SUM(IX25:JA25)-JB25&gt;0,SUM(IX25:JA25)-JB25,"")</f>
        <v/>
      </c>
      <c r="JI25" s="11" t="str">
        <f>IF(SUM(JF25,JH25)&gt;0,SUM(JF25,JH25),"")</f>
        <v/>
      </c>
      <c r="JJ25" s="38"/>
      <c r="JK25" s="38"/>
      <c r="JL25" s="38"/>
      <c r="JM25" s="38"/>
      <c r="JN25" s="38"/>
      <c r="JO25" s="38"/>
      <c r="JP25" s="38"/>
      <c r="JQ25" s="38"/>
      <c r="JR25" s="38"/>
      <c r="JS25" s="38"/>
      <c r="JT25" s="38"/>
      <c r="JU25" s="38"/>
      <c r="JV25" s="38"/>
      <c r="JW25" s="38"/>
      <c r="JX25" s="38"/>
      <c r="JY25" s="14" t="str">
        <f>IF(JQ25&gt;0,JQ25,"")</f>
        <v/>
      </c>
      <c r="JZ25" s="14" t="str">
        <f>IF(SUM(JJ25:JM25)-JN25&gt;0,SUM(JJ25:JM25)-JN25,"")</f>
        <v/>
      </c>
      <c r="KA25" s="14" t="str">
        <f>IF(SUM(JO25:JR25)-JS25&gt;0,SUM(JO25:JR25)-JS25,"")</f>
        <v/>
      </c>
      <c r="KB25" s="14" t="str">
        <f>IF(SUM(JZ25:KA25)&gt;0,SUM(JZ25:KA25),"")</f>
        <v/>
      </c>
      <c r="KC25" s="14" t="str">
        <f>IF(JV25&gt;0,JV25,"")</f>
        <v/>
      </c>
      <c r="KD25" s="14" t="str">
        <f>IF(SUM(JT25:JW25)-JX25&gt;0,SUM(JT25:JW25)-JX25,"")</f>
        <v/>
      </c>
      <c r="KE25" s="14" t="str">
        <f>IF(SUM(KB25,KD25)&gt;0,SUM(KB25,KD25),"")</f>
        <v/>
      </c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11" t="str">
        <f>IF(KM25&gt;0,KM25,"")</f>
        <v/>
      </c>
      <c r="KV25" s="11" t="str">
        <f>IF(SUM(KF25:KI25)-KJ25&gt;0,SUM(KF25:KI25)-KJ25,"")</f>
        <v/>
      </c>
      <c r="KW25" s="11" t="str">
        <f>IF(SUM(KK25:KN25)-KO25&gt;0,SUM(KK25:KN25)-KO25,"")</f>
        <v/>
      </c>
      <c r="KX25" s="11" t="str">
        <f>IF(SUM(KV25:KW25)&gt;0,SUM(KV25:KW25),"")</f>
        <v/>
      </c>
      <c r="KY25" s="11" t="str">
        <f>IF(KR25&gt;0,KR25,"")</f>
        <v/>
      </c>
      <c r="KZ25" s="11" t="str">
        <f>IF(SUM(KP25:KS25)-KT25&gt;0,SUM(KP25:KS25)-KT25,"")</f>
        <v/>
      </c>
      <c r="LA25" s="11" t="str">
        <f>IF(SUM(KX25,KZ25)&gt;0,SUM(KX25,KZ25),"")</f>
        <v/>
      </c>
      <c r="LB25" s="38"/>
      <c r="LC25" s="38"/>
      <c r="LD25" s="38"/>
      <c r="LE25" s="38"/>
      <c r="LF25" s="38"/>
      <c r="LG25" s="38"/>
      <c r="LH25" s="38"/>
      <c r="LI25" s="38"/>
      <c r="LJ25" s="38"/>
      <c r="LK25" s="38"/>
      <c r="LL25" s="38"/>
      <c r="LM25" s="38"/>
      <c r="LN25" s="38"/>
      <c r="LO25" s="38"/>
      <c r="LP25" s="38"/>
      <c r="LQ25" s="14" t="str">
        <f>IF(LI25&gt;0,LI25,"")</f>
        <v/>
      </c>
      <c r="LR25" s="14" t="str">
        <f>IF(SUM(LB25:LE25)-LF25&gt;0,SUM(LB25:LE25)-LF25,"")</f>
        <v/>
      </c>
      <c r="LS25" s="14" t="str">
        <f>IF(SUM(LG25:LJ25)-LK25&gt;0,SUM(LG25:LJ25)-LK25,"")</f>
        <v/>
      </c>
      <c r="LT25" s="14" t="str">
        <f>IF(SUM(LR25:LS25)&gt;0,SUM(LR25:LS25),"")</f>
        <v/>
      </c>
      <c r="LU25" s="14" t="str">
        <f>IF(LN25&gt;0,LN25,"")</f>
        <v/>
      </c>
      <c r="LV25" s="14" t="str">
        <f>IF(SUM(LL25:LO25)-LP25&gt;0,SUM(LL25:LO25)-LP25,"")</f>
        <v/>
      </c>
      <c r="LW25" s="14" t="str">
        <f>IF(SUM(LT25,LV25)&gt;0,SUM(LT25,LV25),"")</f>
        <v/>
      </c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11" t="str">
        <f>IF(ME25&gt;0,ME25,"")</f>
        <v/>
      </c>
      <c r="MN25" s="11" t="str">
        <f>IF(SUM(LX25:MA25)-MB25&gt;0,SUM(LX25:MA25)-MB25,"")</f>
        <v/>
      </c>
      <c r="MO25" s="11" t="str">
        <f>IF(SUM(MC25:MF25)-MG25&gt;0,SUM(MC25:MF25)-MG25,"")</f>
        <v/>
      </c>
      <c r="MP25" s="11" t="str">
        <f>IF(SUM(MN25:MO25)&gt;0,SUM(MN25:MO25),"")</f>
        <v/>
      </c>
      <c r="MQ25" s="11" t="str">
        <f>IF(MJ25&gt;0,MJ25,"")</f>
        <v/>
      </c>
      <c r="MR25" s="11" t="str">
        <f>IF(SUM(MH25:MK25)-ML25&gt;0,SUM(MH25:MK25)-ML25,"")</f>
        <v/>
      </c>
      <c r="MS25" s="11" t="str">
        <f>IF(SUM(MP25,MR25)&gt;0,SUM(MP25,MR25),"")</f>
        <v/>
      </c>
      <c r="MT25" s="38"/>
      <c r="MU25" s="38"/>
      <c r="MV25" s="38"/>
      <c r="MW25" s="38"/>
      <c r="MX25" s="38"/>
      <c r="MY25" s="38"/>
      <c r="MZ25" s="38"/>
      <c r="NA25" s="38"/>
      <c r="NB25" s="38"/>
      <c r="NC25" s="38"/>
      <c r="ND25" s="38"/>
      <c r="NE25" s="38"/>
      <c r="NF25" s="38"/>
      <c r="NG25" s="38"/>
      <c r="NH25" s="38"/>
      <c r="NI25" s="14" t="str">
        <f>IF(NA25&gt;0,NA25,"")</f>
        <v/>
      </c>
      <c r="NJ25" s="14" t="str">
        <f>IF(SUM(MT25:MW25)-MX25&gt;0,SUM(MT25:MW25)-MX25,"")</f>
        <v/>
      </c>
      <c r="NK25" s="14" t="str">
        <f>IF(SUM(MY25:NB25)-NC25&gt;0,SUM(MY25:NB25)-NC25,"")</f>
        <v/>
      </c>
      <c r="NL25" s="14" t="str">
        <f>IF(SUM(NJ25:NK25)&gt;0,SUM(NJ25:NK25),"")</f>
        <v/>
      </c>
      <c r="NM25" s="14" t="str">
        <f>IF(NF25&gt;0,NF25,"")</f>
        <v/>
      </c>
      <c r="NN25" s="14" t="str">
        <f>IF(SUM(ND25:NG25)-NH25&gt;0,SUM(ND25:NG25)-NH25,"")</f>
        <v/>
      </c>
      <c r="NO25" s="14" t="str">
        <f>IF(SUM(NL25,NN25)&gt;0,SUM(NL25,NN25),"")</f>
        <v/>
      </c>
      <c r="NP25" s="69">
        <f>IF($CX25="P",CD25,(CD25+AZ25)/2)</f>
        <v>0</v>
      </c>
      <c r="NQ25" s="69">
        <f>IF($CX25="P",CE25,(CE25+BA25)/2)</f>
        <v>0</v>
      </c>
      <c r="NR25" s="69">
        <f>IF($CX25="P",CF25,(CF25+BB25)/2)</f>
        <v>0</v>
      </c>
      <c r="NS25" s="69">
        <f>IF($CX25="P",CG25,(CG25+BC25)/2)</f>
        <v>0</v>
      </c>
      <c r="NT25" s="69">
        <f>IF($CX25="P",CH25,(CH25+BD25)/2)</f>
        <v>0</v>
      </c>
      <c r="NU25" s="69">
        <f>IF($CX25="P",CI25,(CI25+BE25)/2)</f>
        <v>0</v>
      </c>
      <c r="NV25" s="69">
        <f>IF($CX25="P",CJ25,(CJ25+BF25)/2)</f>
        <v>0</v>
      </c>
      <c r="NW25" s="69">
        <f>IF($CX25="P",CK25,(CK25+BG25)/2)</f>
        <v>0</v>
      </c>
      <c r="NX25" s="69">
        <f>IF($CX25="P",CL25,(CL25+BH25)/2)</f>
        <v>0</v>
      </c>
      <c r="NY25" s="69">
        <f>IF($CX25="P",CM25,(CM25+BI25)/2)</f>
        <v>0</v>
      </c>
      <c r="NZ25" s="69">
        <f>IF($CX25="P",CN25,(CN25+BJ25)/2)</f>
        <v>0</v>
      </c>
      <c r="OA25" s="69">
        <f>IF($CX25="P",CO25,(CO25+BK25)/2)</f>
        <v>0</v>
      </c>
      <c r="OB25" s="69">
        <f>IF($CX25="P",CP25,(CP25+BL25)/2)</f>
        <v>0</v>
      </c>
      <c r="OC25" s="69">
        <f>IF($CX25="P",CQ25,(CQ25+BM25)/2)</f>
        <v>0</v>
      </c>
      <c r="OD25" s="69">
        <f>IF($CX25="P",CR25,(CR25+BN25)/2)</f>
        <v>0</v>
      </c>
      <c r="OE25" s="69">
        <f>IF($CX25="P",CS25,(CS25+BO25)/2)</f>
        <v>0</v>
      </c>
      <c r="OF25" s="69">
        <f>IF($CX25="P",CT25,(CT25+BP25)/2)</f>
        <v>0</v>
      </c>
      <c r="OG25" s="69">
        <f>IF($CX25="P",CU25,(CU25+BQ25)/2)</f>
        <v>0</v>
      </c>
      <c r="OH25" s="69">
        <f>IF($CX25="P",CV25,(CV25+BR25)/2)</f>
        <v>0</v>
      </c>
      <c r="OI25" s="69">
        <f>IF($CX25="P",CW25,(CW25+BS25)/2)</f>
        <v>0</v>
      </c>
      <c r="OJ25" s="80" t="s">
        <v>88</v>
      </c>
      <c r="OK25" s="11" t="str">
        <f>IF(SUM(NP25:NS25)-NT25&gt;0,SUM(NP25:NS25)-NT25,"")</f>
        <v/>
      </c>
      <c r="OL25" s="11" t="str">
        <f>IF(NW25&gt;0,NW25,"")</f>
        <v/>
      </c>
      <c r="OM25" s="11" t="str">
        <f>IF(SUM(NU25:NX25)-NY25&gt;0,SUM(NU25:NX25)-NY25,"")</f>
        <v/>
      </c>
      <c r="ON25" s="11" t="str">
        <f>IF(OB25&gt;0,OB25,"")</f>
        <v/>
      </c>
      <c r="OO25" s="11" t="str">
        <f>IF(SUM(NZ25:OC25)-OD25&gt;0,SUM(NZ25:OC25)-OD25,"")</f>
        <v/>
      </c>
      <c r="OP25" s="11" t="str">
        <f>IF(OR(OK25&lt;&gt;"",OM25&lt;&gt;"",OO25&lt;&gt;""),OK25+MAX(OM25,OO25),"")</f>
        <v/>
      </c>
      <c r="OQ25" s="11" t="str">
        <f>IF(OG25&gt;0,OG25,"")</f>
        <v/>
      </c>
      <c r="OR25" s="11" t="str">
        <f t="shared" ref="OR25" si="6">IF(SUM(OE25:OH25)-OI25&gt;0,SUM(OE25:OH25)-OI25,"")</f>
        <v/>
      </c>
      <c r="OS25" s="11" t="str">
        <f t="shared" ref="OS25" si="7">IF(SUM(OP25,OR25)&gt;0,SUM(OP25,OR25),"")</f>
        <v/>
      </c>
    </row>
    <row r="26" spans="1:409" x14ac:dyDescent="0.2">
      <c r="A26" s="5" t="str" cm="1">
        <f t="array" ref="A26">IF(AND(G26&lt;&gt;"",H26&lt;&gt;""),SUMPRODUCT((G$4:G$27&lt;&gt;"")*(H$4:H$27&lt;&gt;"")*(E$4:E$27&gt;E26))+1,IF(H26&lt;&gt;"",SUMPRODUCT((I$4:I$27="No DD")*(E$4:E$27&gt;E26))+1+SUMPRODUCT((G$4:G$27&lt;&gt;"")*(H$4:H$27&lt;&gt;"")),""))</f>
        <v/>
      </c>
      <c r="B26" s="6" t="s">
        <v>12</v>
      </c>
      <c r="C26" s="7" t="s">
        <v>6</v>
      </c>
      <c r="D26" s="5">
        <v>1996</v>
      </c>
      <c r="E26" s="15">
        <f>SUM(K26:S26)</f>
        <v>63.315000000000005</v>
      </c>
      <c r="F26" s="3" t="str">
        <f>IF(G26&lt;&gt;"","P","")</f>
        <v/>
      </c>
      <c r="G26" s="125" t="str">
        <f>IF(OR(AND(AR26&gt;=AY$32,AR26&lt;&gt;"",AP26=""),AND(AT26&gt;=AY$32,AT26&lt;&gt;"",AP26=""),AND(AW26&gt;=AY$32,AW26&lt;&gt;"",AP26=""),AND(BV26&gt;=CC$32,BV26&lt;&gt;"",BT26=""),AND(BX26&gt;=CC$32,BX26&lt;&gt;"",BT26=""),AND(CA26&gt;=CC$32,CA26&lt;&gt;"",BT26=""),AND(CZ26&gt;=DG$32,CZ26&lt;&gt;"",CX26=""),AND(DB26&gt;=DG$32,DB26&lt;&gt;"",CX26=""),AND(DE26&gt;=DG$32,DE26&lt;&gt;"",CX26=""),AND(EA26&gt;=EG$32,EA26&lt;&gt;""),AND(EE26&gt;=EG$32,EE26&lt;&gt;""),AND(EW26&gt;=FC$32,EW26&lt;&gt;""),AND(FA26&gt;=FC$32,FA26&lt;&gt;""),AND(FS26&gt;=FY$32,FS26&lt;&gt;""),AND(FW26&gt;=FY$32,FW26&lt;&gt;""),AND(GO26&gt;=GU$32,GO26&lt;&gt;""),AND(GS26&gt;=GU$32,GS26&lt;&gt;""),AND(HK26&gt;=HQ$32,HK26&lt;&gt;""),AND(HO26&gt;=HQ$32,HO26&lt;&gt;""),AND(IG26&gt;=IM$32,IG26&lt;&gt;""),AND(IK26&gt;=IM$32,IK26&lt;&gt;""),AND(JC26&gt;=JI$32,JC26&lt;&gt;""),AND(JG26&gt;=JI$32,JG26&lt;&gt;""),AND(JY26&gt;=KE$32,JY26&lt;&gt;""),AND(KC26&gt;=KE$32,KC26&lt;&gt;""),AND(KU26&gt;=LA$32,KU26&lt;&gt;""),AND(KY26&gt;=LA$32,KY26&lt;&gt;""),AND(LQ26&gt;=LW$32,LQ26&lt;&gt;""),AND(LU26&gt;=LW$32,LU26&lt;&gt;""),AND(MM26&gt;=MS$32,MM26&lt;&gt;""),AND(MQ26&gt;=MS$32,MQ26&lt;&gt;""),AND(NI26&gt;=NO$32,NI26&lt;&gt;""),AND(NM26&gt;=NO$32,NM26&lt;&gt;"")),"Merit",IF(OR(AND(AR26&gt;=AY$31,AR26&lt;&gt;"",AP26=""),AND(AT26&gt;=AY$31,AT26&lt;&gt;"",AP26=""),AND(AW26&gt;=AY$31,AW26&lt;&gt;"",AP26=""),AND(BV26&gt;=CC$31,BV26&lt;&gt;"",BT26=""),AND(BX26&gt;=CC$31,BX26&lt;&gt;"",BT26=""),AND(CA26&gt;=CC$31,CA26&lt;&gt;"",BT26=""),AND(CZ26&gt;=DG$31,CZ26&lt;&gt;"",CX26=""),AND(DB26&gt;=DG$31,DB26&lt;&gt;"",CX26=""),AND(DE26&gt;=DG$31,DE26&lt;&gt;"",CX26=""),AND(EA26&gt;=EG$31,EA26&lt;&gt;""),AND(EE26&gt;=EG$31,EE26&lt;&gt;""),AND(EW26&gt;=FC$31,EW26&lt;&gt;""),AND(FA26&gt;=FC$31,FA26&lt;&gt;""),AND(FS26&gt;=FY$31,FS26&lt;&gt;""),AND(FW26&gt;=FY$31,FW26&lt;&gt;""),AND(GO26&gt;=GU$31,GO26&lt;&gt;""),AND(GS26&gt;=GU$31,GS26&lt;&gt;""),AND(HK26&gt;=HQ$31,HK26&lt;&gt;""),AND(HO26&gt;=HQ$31,HO26&lt;&gt;""),AND(IG26&gt;=IM$31,IG26&lt;&gt;""),AND(IK26&gt;=IM$31,IK26&lt;&gt;""),AND(JC26&gt;=JI$31,JC26&lt;&gt;""),AND(JG26&gt;=JI$31,JG26&lt;&gt;""),AND(JY26&gt;=KE$31,JY26&lt;&gt;""),AND(KC26&gt;=KE$31,KC26&lt;&gt;""),AND(KU26&gt;=LA$31,KU26&lt;&gt;""),AND(KY26&gt;=LA$31,KY26&lt;&gt;""),AND(LQ26&gt;=LW$31,LQ26&lt;&gt;""),AND(LU26&gt;=LW$31,LU26&lt;&gt;""),AND(MM26&gt;=MS$31,MM26&lt;&gt;""),AND(MQ26&gt;=MS$31,MQ26&lt;&gt;""),AND(NI26&gt;=NO$31,NI26&lt;&gt;""),AND(NM26&gt;=NO$31,NM26&lt;&gt;"")),"Excellence",IF(OR(AND(AR26&gt;=AY$30,AR26&lt;&gt;"",AP26=""),AND(AT26&gt;=AY$30,AT26&lt;&gt;"",AP26=""),AND(AW26&gt;=AY$30,AW26&lt;&gt;"",AP26=""),AND(BV26&gt;=CC$30,BV26&lt;&gt;"",BT26=""),AND(BX26&gt;=CC$30,BX26&lt;&gt;"",BT26=""),AND(CA26&gt;=CC$30,CA26&lt;&gt;"",BT26=""),AND(CZ26&gt;=DG$30,CZ26&lt;&gt;"",CX26=""),AND(DB26&gt;=DG$30,DB26&lt;&gt;"",CX26=""),AND(DE26&gt;=DG$30,DE26&lt;&gt;"",CX26=""),AND(EA26&gt;=EG$30,EA26&lt;&gt;""),AND(EE26&gt;=EG$30,EE26&lt;&gt;""),AND(EW26&gt;=FC$30,EW26&lt;&gt;""),AND(FA26&gt;=FC$30,FA26&lt;&gt;""),AND(FS26&gt;=FY$30,FS26&lt;&gt;""),AND(FW26&gt;=FY$30,FW26&lt;&gt;""),AND(GO26&gt;=GU$30,GO26&lt;&gt;""),AND(GS26&gt;=GU$30,GS26&lt;&gt;""),AND(HK26&gt;=HQ$30,HK26&lt;&gt;""),AND(HO26&gt;=HQ$30,HO26&lt;&gt;""),AND(IG26&gt;=IM$30,IG26&lt;&gt;""),AND(IK26&gt;=IM$30,IK26&lt;&gt;""),AND(JC26&gt;=JI$30,JC26&lt;&gt;""),AND(JG26&gt;=JI$30,JG26&lt;&gt;""),AND(JY26&gt;=KE$30,JY26&lt;&gt;""),AND(KC26&gt;=KE$30,KC26&lt;&gt;""),AND(KU26&gt;=LA$30,KU26&lt;&gt;""),AND(KY26&gt;=LA$30,KY26&lt;&gt;""),AND(LQ26&gt;=LW$30,LQ26&lt;&gt;""),AND(LU26&gt;=LW$30,LU26&lt;&gt;""),AND(MM26&gt;=MS$30,MM26&lt;&gt;""),AND(MQ26&gt;=MS$30,MQ26&lt;&gt;""),AND(NI26&gt;=NO$30,NI26&lt;&gt;""),AND(NM26&gt;=NO$30,NM26&lt;&gt;"")),"Worlds Team",IF(OR(AND(AR26&gt;=AY$29,AR26&lt;&gt;"",AP26=""),AND(AT26&gt;=AY$29,AT26&lt;&gt;"",AP26=""),AND(AW26&gt;=AY$29,AW26&lt;&gt;"",AP26=""),AND(BV26&gt;=CC$29,BV26&lt;&gt;"",BT26=""),AND(BX26&gt;=CC$29,BX26&lt;&gt;"",BT26=""),AND(CA26&gt;=CC$29,CA26&lt;&gt;"",BT26=""),AND(CZ26&gt;=DG$29,CZ26&lt;&gt;"",CX26=""),AND(DB26&gt;=DG$29,DB26&lt;&gt;"",CX26=""),AND(DE26&gt;=DG$29,DE26&lt;&gt;"",CX26=""),AND(EA26&gt;=EG$29,EA26&lt;&gt;""),AND(EE26&gt;=EG$29,EE26&lt;&gt;""),AND(EW26&gt;=FC$29,EW26&lt;&gt;""),AND(FA26&gt;=FC$29,FA26&lt;&gt;""),AND(FS26&gt;=FY$29,FS26&lt;&gt;""),AND(FW26&gt;=FY$29,FW26&lt;&gt;""),AND(GO26&gt;=GU$29,GO26&lt;&gt;""),AND(GS26&gt;=GU$29,GS26&lt;&gt;""),AND(HK26&gt;=HQ$29,HK26&lt;&gt;""),AND(HO26&gt;=HQ$29,HO26&lt;&gt;""),AND(IG26&gt;=IM$29,IG26&lt;&gt;""),AND(IK26&gt;=IM$29,IK26&lt;&gt;""),AND(JC26&gt;=JI$29,JC26&lt;&gt;""),AND(JG26&gt;=JI$29,JG26&lt;&gt;""),AND(JY26&gt;=KE$29,JY26&lt;&gt;""),AND(KC26&gt;=KE$29,KC26&lt;&gt;""),AND(KU26&gt;=LA$29,KU26&lt;&gt;""),AND(KY26&gt;=LA$29,KY26&lt;&gt;""),AND(LQ26&gt;=LW$29,LQ26&lt;&gt;""),AND(LU26&gt;=LW$29,LU26&lt;&gt;""),AND(MM26&gt;=MS$29,MM26&lt;&gt;""),AND(MQ26&gt;=MS$29,MQ26&lt;&gt;""),AND(NI26&gt;=NO$29,NI26&lt;&gt;""),AND(NM26&gt;=NO$29,NM26&lt;&gt;"")),"National Team",""))))</f>
        <v/>
      </c>
      <c r="H26" s="125" t="str">
        <f>IF(OR(AND(AS26&gt;=AY$36,AS26&lt;&gt;"",AP26=""),AND(AU26&gt;=AY$36,AU26&lt;&gt;"",AP26=""),AND(AX26&gt;=AY$36,AX26&lt;&gt;"",AP26=""),AND(BW26&gt;=CC$36,BW26&lt;&gt;"",BT26=""),AND(BY26&gt;=CC$36,BY26&lt;&gt;"",BT26=""),AND(CB26&gt;=CC$36,CB26&lt;&gt;"",BT26=""),AND(DA26&gt;=DG$36,DA26&lt;&gt;"",CX26=""),AND(DC26&gt;=DG$36,DC26&lt;&gt;"",CX26=""),AND(DF26&gt;=DG$36,DF26&lt;&gt;"",CX26=""),AND(EC26&gt;=EG$36,EC26&lt;&gt;""),AND(EF26&gt;=EG$36,EF26&lt;&gt;""),AND(EY26&gt;=FC$36,EY26&lt;&gt;""),AND(FB26&gt;=FC$36,FB26&lt;&gt;""),AND(FU26&gt;=FY$36,FU26&lt;&gt;""),AND(FX26&gt;=FY$36,FX26&lt;&gt;""),AND(GQ26&gt;=GU$36,GQ26&lt;&gt;""),AND(GT26&gt;=GU$36,GT26&lt;&gt;""),AND(HM26&gt;=HQ$36,HM26&lt;&gt;""),AND(HP26&gt;=HQ$36,HP26&lt;&gt;""),AND(II26&gt;=IM$36,II26&lt;&gt;""),AND(IL26&gt;=IM$36,IL26&lt;&gt;""),AND(JE26&gt;=JI$36,JE26&lt;&gt;""),AND(JH26&gt;=JI$36,JH26&lt;&gt;""),AND(KA26&gt;=KE$36,KA26&lt;&gt;""),AND(KD26&gt;=KE$36,KD26&lt;&gt;""),AND(KW26&gt;=LA$36,KW26&lt;&gt;""),AND(KZ26&gt;=LA$36,KZ26&lt;&gt;""),AND(LS26&gt;=LW$36,LS26&lt;&gt;""),AND(LV26&gt;=LW$36,LV26&lt;&gt;""),AND(MO26&gt;=MS$36,MO26&lt;&gt;""),AND(MR26&gt;=MS$36,MR26&lt;&gt;""),AND(NK26&gt;=NO$36,NK26&lt;&gt;""),AND(NN26&gt;=NO$36,NN26&lt;&gt;"")),"Merit",IF(OR(AND(AS26&gt;=AY$35,AS26&lt;&gt;"",AP26=""),AND(AU26&gt;=AY$35,AU26&lt;&gt;"",AP26=""),AND(AX26&gt;=AY$35,AX26&lt;&gt;"",AP26=""),AND(BW26&gt;=CC$35,BW26&lt;&gt;"",BT26=""),AND(BY26&gt;=CC$35,BY26&lt;&gt;"",BT26=""),AND(CB26&gt;=CC$35,CB26&lt;&gt;"",BT26=""),AND(DA26&gt;=DG$35,DA26&lt;&gt;"",CX26=""),AND(DC26&gt;=DG$35,DC26&lt;&gt;"",CX26=""),AND(DF26&gt;=DG$35,DF26&lt;&gt;"",CX26=""),AND(EC26&gt;=EG$35,EC26&lt;&gt;""),AND(EF26&gt;=EG$35,EF26&lt;&gt;""),AND(EY26&gt;=FC$35,EY26&lt;&gt;""),AND(FB26&gt;=FC$35,FB26&lt;&gt;""),AND(FU26&gt;=FY$35,FU26&lt;&gt;""),AND(FX26&gt;=FY$35,FX26&lt;&gt;""),AND(GQ26&gt;=GU$35,GQ26&lt;&gt;""),AND(GT26&gt;=GU$35,GT26&lt;&gt;""),AND(HM26&gt;=HQ$35,HM26&lt;&gt;""),AND(HP26&gt;=HQ$35,HP26&lt;&gt;""),AND(II26&gt;=IM$35,II26&lt;&gt;""),AND(IL26&gt;=IM$35,IL26&lt;&gt;""),AND(JE26&gt;=JI$35,JE26&lt;&gt;""),AND(JH26&gt;=JI$35,JH26&lt;&gt;""),AND(KA26&gt;=KE$35,KA26&lt;&gt;""),AND(KD26&gt;=KE$35,KD26&lt;&gt;""),AND(KW26&gt;=LA$35,KW26&lt;&gt;""),AND(KZ26&gt;=LA$35,KZ26&lt;&gt;""),AND(LS26&gt;=LW$35,LS26&lt;&gt;""),AND(LV26&gt;=LW$35,LV26&lt;&gt;""),AND(MO26&gt;=MS$35,MO26&lt;&gt;""),AND(MR26&gt;=MS$35,MR26&lt;&gt;""),AND(NK26&gt;=NO$35,NK26&lt;&gt;""),AND(NN26&gt;=NO$35,NN26&lt;&gt;"")),"Excellence",IF(OR(AND(AV26&gt;=AY$34,AV26&lt;&gt;"",AP26=""),AND(BZ26&gt;=CC$34,BZ26&lt;&gt;"",BT26=""),AND(DD26&gt;=DG$34,DD26&lt;&gt;"",CX26=""),AND(ED26&gt;=EG$34,ED26&lt;&gt;""),AND(EZ26&gt;=FC$34,EZ26&lt;&gt;""),AND(FV26&gt;=FY$34,FV26&lt;&gt;""),AND(GR26&gt;=GU$34,GR26&lt;&gt;""),AND(HN26&gt;=HQ$34,HN26&lt;&gt;""),AND(IJ26&gt;=IM$34,IJ26&lt;&gt;""),AND(JF26&gt;=JI$34,JF26&lt;&gt;""),AND(KB26&gt;=KE$34,KB26&lt;&gt;""),AND(KX26&gt;=LA$34,KX26&lt;&gt;""),AND(LT26&gt;=LW$34,LT26&lt;&gt;""),AND(MP26&gt;=MS$34,MP26&lt;&gt;""),AND(NL26&gt;=NO$34,NL26&lt;&gt;"")),"Worlds Team",IF(OR(AND(AV26&gt;=AY$33,AV26&lt;&gt;"",AP26=""),AND(BZ26&gt;=CC$33,BZ26&lt;&gt;"",BT26=""),AND(DD26&gt;=DG$33,DD26&lt;&gt;"",CX26=""),AND(ED26&gt;=EG$33,ED26&lt;&gt;""),AND(EZ26&gt;=FC$33,EZ26&lt;&gt;""),AND(FV26&gt;=FY$33,FV26&lt;&gt;""),AND(GR26&gt;=GU$33,GR26&lt;&gt;""),AND(HN26&gt;=HQ$33,HN26&lt;&gt;""),AND(IJ26&gt;=IM$33,IJ26&lt;&gt;""),AND(JF26&gt;=JI$33,JF26&lt;&gt;""),AND(KB26&gt;=KE$33,KB26&lt;&gt;""),AND(KX26&gt;=LA$33,KX26&lt;&gt;""),AND(LT26&gt;=LW$33,LT26&lt;&gt;""),AND(MP26&gt;=MS$33,MP26&lt;&gt;""),AND(NL26&gt;=NO$33,NL26&lt;&gt;"")),"National Team",""))))</f>
        <v/>
      </c>
      <c r="I26" s="126" t="str">
        <f>IF(AND(G26="Merit",H26="Merit"),"Merit",IF(AND(OR(G26="Merit",G26="Excellence"),OR(H26="Merit",H26="Excellence")),"Excellence",IF(AND(OR(G26="Merit",G26="Excellence",G26="Worlds Team"),OR(H26="Merit",H26="Excellence",H26="Worlds Team")),"Worlds Team",IF(AND(OR(G26="Merit",G26="Excellence",G26="Worlds Team",G26="National Team"),OR(H26="Merit",H26="Excellence",H26="Worlds Team",H26="National Team")),"National Team",IF(OR(H26="Merit",H26="Excellence",H26="Worlds Team",H26="National Team"),"No DD","")))))</f>
        <v/>
      </c>
      <c r="J26" s="3" t="str">
        <f>IF(AND(OR(AND(AV26&gt;=AY$34,AV26&lt;&gt;"",AP26=""),AND(BZ26&gt;=CC$34,BZ26&lt;&gt;"",BT26=""),AND(DD26&gt;=DG$34,DD26&lt;&gt;"",CX26=""),AND(ED26&gt;=EG$34,ED26&lt;&gt;""),AND(EZ26&gt;=FC$34,EZ26&lt;&gt;""),AND(FV26&gt;=FY$34,FV26&lt;&gt;""),AND(GR26&gt;=GU$34,GR26&lt;&gt;""),AND(HN26&gt;=HQ$34,HN26&lt;&gt;""),AND(IJ26&gt;=IM$34,IJ26&lt;&gt;""),AND(JF26&gt;=JI$34,JF26&lt;&gt;""),AND(KB26&gt;=KE$34,KB26&lt;&gt;""),AND(KX26&gt;=LA$34,KX26&lt;&gt;""),AND(LT26&gt;=LW$34,LT26&lt;&gt;""),AND(MP26&gt;=MS$34,MP26&lt;&gt;""),AND(NL26&gt;=NO$34,NL26&lt;&gt;"")),OR(G26="Worlds Team",G26="Excellence",G26="Merit")),"P","")</f>
        <v/>
      </c>
      <c r="K26" s="14">
        <f>IF(MAX(AV26,BZ26,DD26)&gt;0,MAX(AV26,BZ26,DD26),0)</f>
        <v>63.315000000000005</v>
      </c>
      <c r="L26" s="14" t="str">
        <f>IF(K26=0,"",IF(K26=DD26,$CD$1,IF(K26=BZ26,$AZ$1,IF(K26=AV26,$V$1,""))))</f>
        <v>2019 Nationals</v>
      </c>
      <c r="M26" s="14">
        <f>IF($K26=$AV26,MAX(BU26,CY26),IF($K26=$BZ26,MAX(AQ26,CY26),IF($K26=$DD26,MAX(AQ26,BU26),MAX(AQ26,BU26,CY26))))</f>
        <v>0</v>
      </c>
      <c r="N26" s="14" t="str">
        <f>IF(M26=0,"",IF(AND(M26=CY26,$L26&lt;&gt;$CD$1),$CD$1,IF(AND(M26=BU26,$L26&lt;&gt;$AZ$1),$AZ$1,IF(AND(M26=AQ26,$L26&lt;&gt;$V$1),$V$1,""))))</f>
        <v/>
      </c>
      <c r="O26" s="14">
        <f>IF(K26-N(AQ26)=AS26,MAX(AU26,BW26,BY26,DA26,DC26),IF(K26-N(AQ26)=AU26,MAX(AS26,BW26,BY26,DA26,DC26),IF(K26-N(BU26)=BW26,MAX(AS26,AU26,BY26,DA26,DC26),IF(K26-N(BU26)=BY26,MAX(AS26,AU26,BW26,DA26,DC26),IF(K26-N(CY26)=DA26,MAX(AS26,AU26,BW26,BY26,DC26),IF(K26-N(CY26)=DC26,MAX(AS26,AU26,BW26,BY26,DA26),MAX(AS26,AU26,BW26,BY26,DA26,DC26)))))))</f>
        <v>0</v>
      </c>
      <c r="P26" s="14" t="str">
        <f>IF(O26=0,"",IF(OR(O26=DC26,O26=DA26),$CD$1,IF(OR(O26=BY26,O26=BW26),$AZ$1,IF(OR(O26=AU26,O26=AS26),$V$1,""))))</f>
        <v/>
      </c>
      <c r="Q26" s="14">
        <f>MAX(AX26,CB26,DF26)</f>
        <v>0</v>
      </c>
      <c r="R26" s="14" t="str">
        <f>IF(Q26=0,"",IF(Q26=DF26,$CD$1,IF(Q26=CB26,$AZ$1,IF(Q26=AX26,$V$1,""))))</f>
        <v/>
      </c>
      <c r="S26" s="14" t="str">
        <f>IF(MAX(DH26,DI26,DJ26,DK26)&gt;0,MAX(DH26,DI26,DJ26,DK26),"")</f>
        <v/>
      </c>
      <c r="T26" s="25" t="str">
        <f>IF(S26="","",IF(S26=DH26,"(Vol 1)",IF(S26=DI26,"(Vol 2)",IF(S26=DJ26,"(Prelim)",IF(S26=DK26,"(Final)")))))</f>
        <v/>
      </c>
      <c r="U26" s="14" t="str">
        <f>IF(S26="","",IF(S26=DH26,IF(S26+IF(M26="",0,M26)=NJ26,$MT$1,IF(S26+IF(M26="",0,M26)=MN26,$LX$1,IF(S26+IF(M26="",0,M26)=LR26,$LB$1,IF(S26+IF(M26="",0,M26)=KV26,$KF$1,IF(S26+IF(M26="",0,M26)=JZ26,$JJ$1,IF(S26+IF(M26="",0,M26)=JD26,$IN$1,IF(S26+IF(M26="",0,M26)=IH26,$HR$1,IF(S26+IF(M26="",0,M26)=HL26,$GV$1,IF(S26+IF(M26="",0,M26)=GP26,$FZ$1,IF(S26+IF(M26="",0,M26)=FT26,$FD$1,IF(S26+IF(M26="",0,M26)=EX26,$EH$1,IF(S26+IF(M26="",0,M26)=EB26,$DL$1)))))))))))),IF(S26=DI26,IF(S26+IF(O26="",0,O26)=NK26,$MT$1,IF(S26+IF(O26="",0,O26)=MO26,$LX$1,IF(S26+IF(O26="",0,O26)=LS26,$LB$1,IF(S26+IF(O26="",0,O26)=KW26,$KF$1,IF(S26+IF(O26="",0,O26)=KA26,$JJ$1,IF(S26+IF(O26="",0,O26)=JE26,$IN$1,IF(S26+IF(O26="",0,O26)=II26,$HR$1,IF(S26+IF(O26="",0,O26)=HM26,$GV$1,IF(S26+IF(O26="",0,O26)=GQ26,$FZ$1,IF(S26+IF(O26="",0,O26)=FU26,$FD$1,IF(S26+IF(O26="",0,O26)=EY26,$EH$1,IF(S26+IF(O26="",0,O26)=EC26,$DL$1)))))))))))),IF(S26=DJ26,IF(S26+IF(K26="",0,K26)=NL26,$MT$1,IF(S26+IF(K26="",0,K26)=MP26,$LX$1,IF(S26+IF(K26="",0,K26)=LT26,$LB$1,IF(S26+IF(K26="",0,K26)=KX26,$KF$1,IF(S26+IF(K26="",0,K26)=KB26,$JJ$1,IF(S26+IF(K26="",0,K26)=JF26,$IN$1,IF(S26+IF(K26="",0,K26)=IJ26,$HR$1,IF(S26+IF(K26="",0,K26)=HN26,$GV$1,IF(S26+IF(K26="",0,K26)=GR26,$FZ$1,IF(S26+IF(K26="",0,K26)=FV26,$FD$1,IF(S26+IF(K26="",0,K26)=EZ26,$EH$1,IF(S26+IF(K26="",0,K26)=ED26,$DL$1)))))))))))),IF(S26=DK26,IF(S26+IF(Q26="",0,Q26)=NN26,$MT$1,IF(S26+IF(Q26="",0,Q26)=MR26,$LX$1,IF(S26+IF(Q26="",0,Q26)=LV26,$LB$1,IF(S26+IF(Q26="",0,Q26)=KZ26,$KF$1,IF(S26+IF(Q26="",0,Q26)=KD26,$JJ$1,IF(S26+IF(Q26="",0,Q26)=JH26,$IN$1,IF(S26+IF(Q26="",0,Q26)=IL26,$HR$1,IF(S26+IF(Q26="",0,Q26)=HP26,$GV$1,IF(S26+IF(Q26="",0,Q26)=GT26,$FZ$1,IF(S26+IF(Q26="",0,Q26)=FX26,$FD$1,IF(S26+IF(Q26="",0,Q26)=FB26,$EH$1,IF(S26+IF(Q26="",0,Q26)=EF26,$DL$1)))))))))))))))))</f>
        <v/>
      </c>
      <c r="V26" s="69">
        <v>5.9</v>
      </c>
      <c r="W26" s="69">
        <v>2.8</v>
      </c>
      <c r="X26" s="69">
        <v>0</v>
      </c>
      <c r="Y26" s="69">
        <v>4.8550000000000004</v>
      </c>
      <c r="Z26" s="69">
        <v>0</v>
      </c>
      <c r="AA26" s="69">
        <v>13.9</v>
      </c>
      <c r="AB26" s="69">
        <v>8.9</v>
      </c>
      <c r="AC26" s="69">
        <v>12.7</v>
      </c>
      <c r="AD26" s="69">
        <v>15.06</v>
      </c>
      <c r="AE26" s="69">
        <v>0.8</v>
      </c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80"/>
      <c r="AQ26" s="11">
        <f>IF(SUM(V26:Y26)-Z26&gt;0,SUM(V26:Y26)-Z26,"")</f>
        <v>13.555</v>
      </c>
      <c r="AR26" s="11">
        <f>IF(AC26&gt;0,AC26,"")</f>
        <v>12.7</v>
      </c>
      <c r="AS26" s="11">
        <f>IF(SUM(AA26:AD26)-AE26&gt;0,SUM(AA26:AD26)-AE26,"")</f>
        <v>49.760000000000005</v>
      </c>
      <c r="AT26" s="11" t="str">
        <f>IF(AH26&gt;0,AH26,"")</f>
        <v/>
      </c>
      <c r="AU26" s="11" t="str">
        <f>IF(SUM(AF26:AI26)-AJ26&gt;0,SUM(AF26:AI26)-AJ26,"")</f>
        <v/>
      </c>
      <c r="AV26" s="11">
        <f>IF(AQ26="",IF(MAX(AS26,AU26)&gt;0,MAX(AS26,AU26),""),MAX(AS26,AU26)+AQ26)</f>
        <v>63.315000000000005</v>
      </c>
      <c r="AW26" s="11" t="str">
        <f>IF(AM26&gt;0,AM26,"")</f>
        <v/>
      </c>
      <c r="AX26" s="11" t="str">
        <f>IF(SUM(AK26:AN26)-AO26&gt;0,SUM(AK26:AN26)-AO26,"")</f>
        <v/>
      </c>
      <c r="AY26" s="11">
        <f>IF(SUM(AV26,AX26)&gt;0,SUM(AV26,AX26),"")</f>
        <v>63.315000000000005</v>
      </c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81"/>
      <c r="BU26" s="14" t="str">
        <f>IF(SUM(AZ26:BC26)-BD26&gt;0,SUM(AZ26:BC26)-BD26,"")</f>
        <v/>
      </c>
      <c r="BV26" s="14" t="str">
        <f>IF(BG26&gt;0,BG26,"")</f>
        <v/>
      </c>
      <c r="BW26" s="14" t="str">
        <f>IF(SUM(BE26:BH26)-BI26&gt;0,SUM(BE26:BH26)-BI26,"")</f>
        <v/>
      </c>
      <c r="BX26" s="14" t="str">
        <f>IF(BL26&gt;0,BL26,"")</f>
        <v/>
      </c>
      <c r="BY26" s="14" t="str">
        <f>IF(SUM(BJ26:BM26)-BN26&gt;0,SUM(BJ26:BM26)-BN26,"")</f>
        <v/>
      </c>
      <c r="BZ26" s="14" t="str">
        <f>IF(BU26="",IF(MAX(BW26,BY26)&gt;0,MAX(BW26,BY26),""),MAX(BW26,BY26)+BU26)</f>
        <v/>
      </c>
      <c r="CA26" s="14" t="str">
        <f>IF(BQ26&gt;0,BQ26,"")</f>
        <v/>
      </c>
      <c r="CB26" s="14" t="str">
        <f>IF(SUM(BO26:BR26)-BS26&gt;0,SUM(BO26:BR26)-BS26,"")</f>
        <v/>
      </c>
      <c r="CC26" s="14" t="str">
        <f>IF(SUM(BZ26,CB26)&gt;0,SUM(BZ26,CB26),"")</f>
        <v/>
      </c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80"/>
      <c r="CY26" s="11" t="str">
        <f>IF(SUM(CD26:CG26)-CH26&gt;0,SUM(CD26:CG26)-CH26,"")</f>
        <v/>
      </c>
      <c r="CZ26" s="11" t="str">
        <f>IF(CK26&gt;0,CK26,"")</f>
        <v/>
      </c>
      <c r="DA26" s="11" t="str">
        <f>IF(SUM(CI26:CL26)-CM26&gt;0,SUM(CI26:CL26)-CM26,"")</f>
        <v/>
      </c>
      <c r="DB26" s="11" t="str">
        <f>IF(CP26&gt;0,CP26,"")</f>
        <v/>
      </c>
      <c r="DC26" s="11" t="str">
        <f>IF(SUM(CN26:CQ26)-CR26&gt;0,SUM(CN26:CQ26)-CR26,"")</f>
        <v/>
      </c>
      <c r="DD26" s="11" t="str">
        <f>IF(CY26="",IF(MAX(DA26,DC26)&gt;0,MAX(DA26,DC26),""),MAX(DA26,DC26)+CY26)</f>
        <v/>
      </c>
      <c r="DE26" s="11" t="str">
        <f>IF(CU26&gt;0,CU26,"")</f>
        <v/>
      </c>
      <c r="DF26" s="11" t="str">
        <f>IF(SUM(CS26:CV26)-CW26&gt;0,SUM(CS26:CV26)-CW26,"")</f>
        <v/>
      </c>
      <c r="DG26" s="11" t="str">
        <f>IF(SUM(DD26,DF26)&gt;0,SUM(DD26,DF26),"")</f>
        <v/>
      </c>
      <c r="DH26" s="24" t="str">
        <f>IF(MAX(EB26,EX26,FT26,GP26,HL26,IH26,JD26,JZ26,KV26,LR26,MN26,NJ26)-IF(M26="",0,M26)&gt;0.001,MAX(EB26,EX26,FT26,GP26,HL26,IH26,JD26,JZ26,KV26,LR26,MN26,NJ26)-IF(M26="",0,M26),"")</f>
        <v/>
      </c>
      <c r="DI26" s="24" t="str">
        <f>IF(MAX(EC26,EY26,FU26,GQ26,HM26,II26,JE26,KA26,KW26,LS26,MO26,NK26)-IF(O26="",0,O26)&gt;0.001,MAX(EC26,EY26,FU26,GQ26,HM26,II26,JE26,KA26,KW26,LS26,MO26,NK26)-IF(O26="",0,O26),"")</f>
        <v/>
      </c>
      <c r="DJ26" s="24" t="str">
        <f>IF(MAX(ED26,EZ26,FV26,GR26,HN26,IJ26,JF26,KB26,KX26,LT26,MP26,NL26)-IF(K26="",0,K26)&gt;0.001,MAX(ED26,EZ26,FV26,GR26,HN26,IJ26,JF26,KB26,KX26,LT26,MP26,NL26)-IF(K26="",0,K26),"")</f>
        <v/>
      </c>
      <c r="DK26" s="24" t="str">
        <f>IF(MAX(EF26,FB26,FX26,GT26,HP26,IL26,JH26,KD26,KZ26,LV26,MR26,NN26)-IF(Q26="",0,Q26)&gt;0.001,MAX(EF26,FB26,FX26,GT26,HP26,IL26,JH26,KD26,KZ26,LV26,MR26,NN26)-IF(Q26="",0,Q26),"")</f>
        <v/>
      </c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11" t="str">
        <f>IF(DS26&gt;0,DS26,"")</f>
        <v/>
      </c>
      <c r="EB26" s="11" t="str">
        <f>IF(SUM(DL26:DO26)-DP26&gt;0,SUM(DL26:DO26)-DP26,"")</f>
        <v/>
      </c>
      <c r="EC26" s="11" t="str">
        <f>IF(SUM(DQ26:DT26)-DU26&gt;0,SUM(DQ26:DT26)-DU26,"")</f>
        <v/>
      </c>
      <c r="ED26" s="11" t="str">
        <f>IF(SUM(EB26:EC26)&gt;0,SUM(EB26:EC26),"")</f>
        <v/>
      </c>
      <c r="EE26" s="11" t="str">
        <f>IF(DX26&gt;0,DX26,"")</f>
        <v/>
      </c>
      <c r="EF26" s="11" t="str">
        <f>IF(SUM(DV26:DY26)-DZ26&gt;0,SUM(DV26:DY26)-DZ26,"")</f>
        <v/>
      </c>
      <c r="EG26" s="11" t="str">
        <f>IF(SUM(ED26,EF26)&gt;0,SUM(ED26,EF26),"")</f>
        <v/>
      </c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  <c r="EV26" s="38"/>
      <c r="EW26" s="14" t="str">
        <f>IF(EO26&gt;0,EO26,"")</f>
        <v/>
      </c>
      <c r="EX26" s="14" t="str">
        <f>IF(SUM(EH26:EK26)-EL26&gt;0,SUM(EH26:EK26)-EL26,"")</f>
        <v/>
      </c>
      <c r="EY26" s="14" t="str">
        <f>IF(SUM(EM26:EP26)-EQ26&gt;0,SUM(EM26:EP26)-EQ26,"")</f>
        <v/>
      </c>
      <c r="EZ26" s="14" t="str">
        <f>IF(SUM(EX26:EY26)&gt;0,SUM(EX26:EY26),"")</f>
        <v/>
      </c>
      <c r="FA26" s="14" t="str">
        <f>IF(ET26&gt;0,ET26,"")</f>
        <v/>
      </c>
      <c r="FB26" s="14" t="str">
        <f>IF(SUM(ER26:EU26)-EV26&gt;0,SUM(ER26:EU26)-EV26,"")</f>
        <v/>
      </c>
      <c r="FC26" s="14" t="str">
        <f>IF(SUM(EZ26,FB26)&gt;0,SUM(EZ26,FB26),"")</f>
        <v/>
      </c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11" t="str">
        <f>IF(FK26&gt;0,FK26,"")</f>
        <v/>
      </c>
      <c r="FT26" s="11" t="str">
        <f>IF(SUM(FD26:FG26)-FH26&gt;0,SUM(FD26:FG26)-FH26,"")</f>
        <v/>
      </c>
      <c r="FU26" s="11" t="str">
        <f>IF(SUM(FI26:FL26)-FM26&gt;0,SUM(FI26:FL26)-FM26,"")</f>
        <v/>
      </c>
      <c r="FV26" s="11" t="str">
        <f>IF(SUM(FT26:FU26)&gt;0,SUM(FT26:FU26),"")</f>
        <v/>
      </c>
      <c r="FW26" s="11" t="str">
        <f>IF(FP26&gt;0,FP26,"")</f>
        <v/>
      </c>
      <c r="FX26" s="11" t="str">
        <f>IF(SUM(FN26:FQ26)-FR26&gt;0,SUM(FN26:FQ26)-FR26,"")</f>
        <v/>
      </c>
      <c r="FY26" s="11" t="str">
        <f>IF(SUM(FV26,FX26)&gt;0,SUM(FV26,FX26),"")</f>
        <v/>
      </c>
      <c r="FZ26" s="38"/>
      <c r="GA26" s="38"/>
      <c r="GB26" s="38"/>
      <c r="GC26" s="38"/>
      <c r="GD26" s="38"/>
      <c r="GE26" s="38"/>
      <c r="GF26" s="38"/>
      <c r="GG26" s="38"/>
      <c r="GH26" s="38"/>
      <c r="GI26" s="38"/>
      <c r="GJ26" s="38"/>
      <c r="GK26" s="38"/>
      <c r="GL26" s="38"/>
      <c r="GM26" s="38"/>
      <c r="GN26" s="38"/>
      <c r="GO26" s="14" t="str">
        <f>IF(GG26&gt;0,GG26,"")</f>
        <v/>
      </c>
      <c r="GP26" s="14" t="str">
        <f>IF(SUM(FZ26:GC26)-GD26&gt;0,SUM(FZ26:GC26)-GD26,"")</f>
        <v/>
      </c>
      <c r="GQ26" s="14" t="str">
        <f>IF(SUM(GE26:GH26)-GI26&gt;0,SUM(GE26:GH26)-GI26,"")</f>
        <v/>
      </c>
      <c r="GR26" s="14" t="str">
        <f>IF(SUM(GP26:GQ26)&gt;0,SUM(GP26:GQ26),"")</f>
        <v/>
      </c>
      <c r="GS26" s="14" t="str">
        <f>IF(GL26&gt;0,GL26,"")</f>
        <v/>
      </c>
      <c r="GT26" s="14" t="str">
        <f>IF(SUM(GJ26:GM26)-GN26&gt;0,SUM(GJ26:GM26)-GN26,"")</f>
        <v/>
      </c>
      <c r="GU26" s="14" t="str">
        <f>IF(SUM(GR26,GT26)&gt;0,SUM(GR26,GT26),"")</f>
        <v/>
      </c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11" t="str">
        <f>IF(HC26&gt;0,HC26,"")</f>
        <v/>
      </c>
      <c r="HL26" s="11" t="str">
        <f>IF(SUM(GV26:GY26)-GZ26&gt;0,SUM(GV26:GY26)-GZ26,"")</f>
        <v/>
      </c>
      <c r="HM26" s="11" t="str">
        <f>IF(SUM(HA26:HD26)-HE26&gt;0,SUM(HA26:HD26)-HE26,"")</f>
        <v/>
      </c>
      <c r="HN26" s="11" t="str">
        <f>IF(SUM(HL26:HM26)&gt;0,SUM(HL26:HM26),"")</f>
        <v/>
      </c>
      <c r="HO26" s="11" t="str">
        <f>IF(HH26&gt;0,HH26,"")</f>
        <v/>
      </c>
      <c r="HP26" s="11" t="str">
        <f>IF(SUM(HF26:HI26)-HJ26&gt;0,SUM(HF26:HI26)-HJ26,"")</f>
        <v/>
      </c>
      <c r="HQ26" s="11" t="str">
        <f>IF(SUM(HN26,HP26)&gt;0,SUM(HN26,HP26),"")</f>
        <v/>
      </c>
      <c r="HR26" s="38"/>
      <c r="HS26" s="38"/>
      <c r="HT26" s="38"/>
      <c r="HU26" s="38"/>
      <c r="HV26" s="38"/>
      <c r="HW26" s="38"/>
      <c r="HX26" s="38"/>
      <c r="HY26" s="38"/>
      <c r="HZ26" s="38"/>
      <c r="IA26" s="38"/>
      <c r="IB26" s="38"/>
      <c r="IC26" s="38"/>
      <c r="ID26" s="38"/>
      <c r="IE26" s="38"/>
      <c r="IF26" s="38"/>
      <c r="IG26" s="14" t="str">
        <f>IF(HY26&gt;0,HY26,"")</f>
        <v/>
      </c>
      <c r="IH26" s="14" t="str">
        <f>IF(SUM(HR26:HU26)-HV26&gt;0,SUM(HR26:HU26)-HV26,"")</f>
        <v/>
      </c>
      <c r="II26" s="14" t="str">
        <f>IF(SUM(HW26:HZ26)-IA26&gt;0,SUM(HW26:HZ26)-IA26,"")</f>
        <v/>
      </c>
      <c r="IJ26" s="14" t="str">
        <f>IF(SUM(IH26:II26)&gt;0,SUM(IH26:II26),"")</f>
        <v/>
      </c>
      <c r="IK26" s="14" t="str">
        <f>IF(ID26&gt;0,ID26,"")</f>
        <v/>
      </c>
      <c r="IL26" s="14" t="str">
        <f>IF(SUM(IB26:IE26)-IF26&gt;0,SUM(IB26:IE26)-IF26,"")</f>
        <v/>
      </c>
      <c r="IM26" s="14" t="str">
        <f>IF(SUM(IJ26,IL26)&gt;0,SUM(IJ26,IL26),"")</f>
        <v/>
      </c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11" t="str">
        <f>IF(IU26&gt;0,IU26,"")</f>
        <v/>
      </c>
      <c r="JD26" s="11" t="str">
        <f>IF(SUM(IN26:IQ26)-IR26&gt;0,SUM(IN26:IQ26)-IR26,"")</f>
        <v/>
      </c>
      <c r="JE26" s="11" t="str">
        <f>IF(SUM(IS26:IV26)-IW26&gt;0,SUM(IS26:IV26)-IW26,"")</f>
        <v/>
      </c>
      <c r="JF26" s="11" t="str">
        <f>IF(SUM(JD26:JE26)&gt;0,SUM(JD26:JE26),"")</f>
        <v/>
      </c>
      <c r="JG26" s="11" t="str">
        <f>IF(IZ26&gt;0,IZ26,"")</f>
        <v/>
      </c>
      <c r="JH26" s="11" t="str">
        <f>IF(SUM(IX26:JA26)-JB26&gt;0,SUM(IX26:JA26)-JB26,"")</f>
        <v/>
      </c>
      <c r="JI26" s="11" t="str">
        <f>IF(SUM(JF26,JH26)&gt;0,SUM(JF26,JH26),"")</f>
        <v/>
      </c>
      <c r="JJ26" s="38"/>
      <c r="JK26" s="38"/>
      <c r="JL26" s="38"/>
      <c r="JM26" s="38"/>
      <c r="JN26" s="38"/>
      <c r="JO26" s="38"/>
      <c r="JP26" s="38"/>
      <c r="JQ26" s="38"/>
      <c r="JR26" s="38"/>
      <c r="JS26" s="38"/>
      <c r="JT26" s="38"/>
      <c r="JU26" s="38"/>
      <c r="JV26" s="38"/>
      <c r="JW26" s="38"/>
      <c r="JX26" s="38"/>
      <c r="JY26" s="14" t="str">
        <f>IF(JQ26&gt;0,JQ26,"")</f>
        <v/>
      </c>
      <c r="JZ26" s="14" t="str">
        <f>IF(SUM(JJ26:JM26)-JN26&gt;0,SUM(JJ26:JM26)-JN26,"")</f>
        <v/>
      </c>
      <c r="KA26" s="14" t="str">
        <f>IF(SUM(JO26:JR26)-JS26&gt;0,SUM(JO26:JR26)-JS26,"")</f>
        <v/>
      </c>
      <c r="KB26" s="14" t="str">
        <f>IF(SUM(JZ26:KA26)&gt;0,SUM(JZ26:KA26),"")</f>
        <v/>
      </c>
      <c r="KC26" s="14" t="str">
        <f>IF(JV26&gt;0,JV26,"")</f>
        <v/>
      </c>
      <c r="KD26" s="14" t="str">
        <f>IF(SUM(JT26:JW26)-JX26&gt;0,SUM(JT26:JW26)-JX26,"")</f>
        <v/>
      </c>
      <c r="KE26" s="14" t="str">
        <f>IF(SUM(KB26,KD26)&gt;0,SUM(KB26,KD26),"")</f>
        <v/>
      </c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11" t="str">
        <f>IF(KM26&gt;0,KM26,"")</f>
        <v/>
      </c>
      <c r="KV26" s="11" t="str">
        <f>IF(SUM(KF26:KI26)-KJ26&gt;0,SUM(KF26:KI26)-KJ26,"")</f>
        <v/>
      </c>
      <c r="KW26" s="11" t="str">
        <f>IF(SUM(KK26:KN26)-KO26&gt;0,SUM(KK26:KN26)-KO26,"")</f>
        <v/>
      </c>
      <c r="KX26" s="11" t="str">
        <f>IF(SUM(KV26:KW26)&gt;0,SUM(KV26:KW26),"")</f>
        <v/>
      </c>
      <c r="KY26" s="11" t="str">
        <f>IF(KR26&gt;0,KR26,"")</f>
        <v/>
      </c>
      <c r="KZ26" s="11" t="str">
        <f>IF(SUM(KP26:KS26)-KT26&gt;0,SUM(KP26:KS26)-KT26,"")</f>
        <v/>
      </c>
      <c r="LA26" s="11" t="str">
        <f>IF(SUM(KX26,KZ26)&gt;0,SUM(KX26,KZ26),"")</f>
        <v/>
      </c>
      <c r="LB26" s="38"/>
      <c r="LC26" s="38"/>
      <c r="LD26" s="38"/>
      <c r="LE26" s="38"/>
      <c r="LF26" s="38"/>
      <c r="LG26" s="38"/>
      <c r="LH26" s="38"/>
      <c r="LI26" s="38"/>
      <c r="LJ26" s="38"/>
      <c r="LK26" s="38"/>
      <c r="LL26" s="38"/>
      <c r="LM26" s="38"/>
      <c r="LN26" s="38"/>
      <c r="LO26" s="38"/>
      <c r="LP26" s="38"/>
      <c r="LQ26" s="14" t="str">
        <f>IF(LI26&gt;0,LI26,"")</f>
        <v/>
      </c>
      <c r="LR26" s="14" t="str">
        <f>IF(SUM(LB26:LE26)-LF26&gt;0,SUM(LB26:LE26)-LF26,"")</f>
        <v/>
      </c>
      <c r="LS26" s="14" t="str">
        <f>IF(SUM(LG26:LJ26)-LK26&gt;0,SUM(LG26:LJ26)-LK26,"")</f>
        <v/>
      </c>
      <c r="LT26" s="14" t="str">
        <f>IF(SUM(LR26:LS26)&gt;0,SUM(LR26:LS26),"")</f>
        <v/>
      </c>
      <c r="LU26" s="14" t="str">
        <f>IF(LN26&gt;0,LN26,"")</f>
        <v/>
      </c>
      <c r="LV26" s="14" t="str">
        <f>IF(SUM(LL26:LO26)-LP26&gt;0,SUM(LL26:LO26)-LP26,"")</f>
        <v/>
      </c>
      <c r="LW26" s="14" t="str">
        <f>IF(SUM(LT26,LV26)&gt;0,SUM(LT26,LV26),"")</f>
        <v/>
      </c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11" t="str">
        <f>IF(ME26&gt;0,ME26,"")</f>
        <v/>
      </c>
      <c r="MN26" s="11" t="str">
        <f>IF(SUM(LX26:MA26)-MB26&gt;0,SUM(LX26:MA26)-MB26,"")</f>
        <v/>
      </c>
      <c r="MO26" s="11" t="str">
        <f>IF(SUM(MC26:MF26)-MG26&gt;0,SUM(MC26:MF26)-MG26,"")</f>
        <v/>
      </c>
      <c r="MP26" s="11" t="str">
        <f>IF(SUM(MN26:MO26)&gt;0,SUM(MN26:MO26),"")</f>
        <v/>
      </c>
      <c r="MQ26" s="11" t="str">
        <f>IF(MJ26&gt;0,MJ26,"")</f>
        <v/>
      </c>
      <c r="MR26" s="11" t="str">
        <f>IF(SUM(MH26:MK26)-ML26&gt;0,SUM(MH26:MK26)-ML26,"")</f>
        <v/>
      </c>
      <c r="MS26" s="11" t="str">
        <f>IF(SUM(MP26,MR26)&gt;0,SUM(MP26,MR26),"")</f>
        <v/>
      </c>
      <c r="MT26" s="38"/>
      <c r="MU26" s="38"/>
      <c r="MV26" s="38"/>
      <c r="MW26" s="38"/>
      <c r="MX26" s="38"/>
      <c r="MY26" s="38"/>
      <c r="MZ26" s="38"/>
      <c r="NA26" s="38"/>
      <c r="NB26" s="38"/>
      <c r="NC26" s="38"/>
      <c r="ND26" s="38"/>
      <c r="NE26" s="38"/>
      <c r="NF26" s="38"/>
      <c r="NG26" s="38"/>
      <c r="NH26" s="38"/>
      <c r="NI26" s="14" t="str">
        <f>IF(NA26&gt;0,NA26,"")</f>
        <v/>
      </c>
      <c r="NJ26" s="14" t="str">
        <f>IF(SUM(MT26:MW26)-MX26&gt;0,SUM(MT26:MW26)-MX26,"")</f>
        <v/>
      </c>
      <c r="NK26" s="14" t="str">
        <f>IF(SUM(MY26:NB26)-NC26&gt;0,SUM(MY26:NB26)-NC26,"")</f>
        <v/>
      </c>
      <c r="NL26" s="14" t="str">
        <f>IF(SUM(NJ26:NK26)&gt;0,SUM(NJ26:NK26),"")</f>
        <v/>
      </c>
      <c r="NM26" s="14" t="str">
        <f>IF(NF26&gt;0,NF26,"")</f>
        <v/>
      </c>
      <c r="NN26" s="14" t="str">
        <f>IF(SUM(ND26:NG26)-NH26&gt;0,SUM(ND26:NG26)-NH26,"")</f>
        <v/>
      </c>
      <c r="NO26" s="14" t="str">
        <f>IF(SUM(NL26,NN26)&gt;0,SUM(NL26,NN26),"")</f>
        <v/>
      </c>
      <c r="NP26" s="69">
        <f>IF($CX26="P",CD26,(CD26+AZ26)/2)</f>
        <v>0</v>
      </c>
      <c r="NQ26" s="69">
        <f>IF($CX26="P",CE26,(CE26+BA26)/2)</f>
        <v>0</v>
      </c>
      <c r="NR26" s="69">
        <f>IF($CX26="P",CF26,(CF26+BB26)/2)</f>
        <v>0</v>
      </c>
      <c r="NS26" s="69">
        <f>IF($CX26="P",CG26,(CG26+BC26)/2)</f>
        <v>0</v>
      </c>
      <c r="NT26" s="69">
        <f>IF($CX26="P",CH26,(CH26+BD26)/2)</f>
        <v>0</v>
      </c>
      <c r="NU26" s="69">
        <f>IF($CX26="P",CI26,(CI26+BE26)/2)</f>
        <v>0</v>
      </c>
      <c r="NV26" s="69">
        <f>IF($CX26="P",CJ26,(CJ26+BF26)/2)</f>
        <v>0</v>
      </c>
      <c r="NW26" s="69">
        <f>IF($CX26="P",CK26,(CK26+BG26)/2)</f>
        <v>0</v>
      </c>
      <c r="NX26" s="69">
        <f>IF($CX26="P",CL26,(CL26+BH26)/2)</f>
        <v>0</v>
      </c>
      <c r="NY26" s="69">
        <f>IF($CX26="P",CM26,(CM26+BI26)/2)</f>
        <v>0</v>
      </c>
      <c r="NZ26" s="69">
        <f>IF($CX26="P",CN26,(CN26+BJ26)/2)</f>
        <v>0</v>
      </c>
      <c r="OA26" s="69">
        <f>IF($CX26="P",CO26,(CO26+BK26)/2)</f>
        <v>0</v>
      </c>
      <c r="OB26" s="69">
        <f>IF($CX26="P",CP26,(CP26+BL26)/2)</f>
        <v>0</v>
      </c>
      <c r="OC26" s="69">
        <f>IF($CX26="P",CQ26,(CQ26+BM26)/2)</f>
        <v>0</v>
      </c>
      <c r="OD26" s="69">
        <f>IF($CX26="P",CR26,(CR26+BN26)/2)</f>
        <v>0</v>
      </c>
      <c r="OE26" s="69">
        <f>IF($CX26="P",CS26,(CS26+BO26)/2)</f>
        <v>0</v>
      </c>
      <c r="OF26" s="69">
        <f>IF($CX26="P",CT26,(CT26+BP26)/2)</f>
        <v>0</v>
      </c>
      <c r="OG26" s="69">
        <f>IF($CX26="P",CU26,(CU26+BQ26)/2)</f>
        <v>0</v>
      </c>
      <c r="OH26" s="69">
        <f>IF($CX26="P",CV26,(CV26+BR26)/2)</f>
        <v>0</v>
      </c>
      <c r="OI26" s="69">
        <f>IF($CX26="P",CW26,(CW26+BS26)/2)</f>
        <v>0</v>
      </c>
      <c r="OJ26" s="80" t="s">
        <v>88</v>
      </c>
      <c r="OK26" s="11" t="str">
        <f>IF(SUM(NP26:NS26)-NT26&gt;0,SUM(NP26:NS26)-NT26,"")</f>
        <v/>
      </c>
      <c r="OL26" s="11" t="str">
        <f>IF(NW26&gt;0,NW26,"")</f>
        <v/>
      </c>
      <c r="OM26" s="11" t="str">
        <f>IF(SUM(NU26:NX26)-NY26&gt;0,SUM(NU26:NX26)-NY26,"")</f>
        <v/>
      </c>
      <c r="ON26" s="11" t="str">
        <f>IF(OB26&gt;0,OB26,"")</f>
        <v/>
      </c>
      <c r="OO26" s="11" t="str">
        <f>IF(SUM(NZ26:OC26)-OD26&gt;0,SUM(NZ26:OC26)-OD26,"")</f>
        <v/>
      </c>
      <c r="OP26" s="11" t="str">
        <f>IF(OR(OK26&lt;&gt;"",OM26&lt;&gt;"",OO26&lt;&gt;""),OK26+MAX(OM26,OO26),"")</f>
        <v/>
      </c>
      <c r="OQ26" s="11" t="str">
        <f>IF(OG26&gt;0,OG26,"")</f>
        <v/>
      </c>
      <c r="OR26" s="11" t="str">
        <f t="shared" ref="OR26" si="8">IF(SUM(OE26:OH26)-OI26&gt;0,SUM(OE26:OH26)-OI26,"")</f>
        <v/>
      </c>
      <c r="OS26" s="11" t="str">
        <f t="shared" ref="OS26" si="9">IF(SUM(OP26,OR26)&gt;0,SUM(OP26,OR26),"")</f>
        <v/>
      </c>
    </row>
    <row r="27" spans="1:409" x14ac:dyDescent="0.2">
      <c r="B27" s="6"/>
      <c r="D27" s="1"/>
    </row>
    <row r="28" spans="1:409" x14ac:dyDescent="0.2">
      <c r="H28" s="125"/>
      <c r="J28" s="125"/>
    </row>
    <row r="29" spans="1:409" x14ac:dyDescent="0.2">
      <c r="B29" s="70" t="s">
        <v>78</v>
      </c>
      <c r="C29" s="56"/>
      <c r="H29" s="3"/>
      <c r="AR29" s="124"/>
      <c r="AS29" s="124"/>
      <c r="AT29" s="124"/>
      <c r="AW29" s="54"/>
      <c r="AY29" s="64">
        <v>14.4</v>
      </c>
      <c r="BV29" s="124"/>
      <c r="BW29" s="124"/>
      <c r="BX29" s="124"/>
      <c r="CA29" s="54"/>
      <c r="CC29" s="64">
        <v>14.4</v>
      </c>
      <c r="CZ29" s="124"/>
      <c r="DA29" s="124"/>
      <c r="DB29" s="124"/>
      <c r="DE29" s="54"/>
      <c r="DG29" s="64">
        <v>14.4</v>
      </c>
      <c r="EA29" s="56"/>
      <c r="EE29" s="54"/>
      <c r="EG29" s="64">
        <v>14.4</v>
      </c>
      <c r="EW29" s="56"/>
      <c r="FA29" s="54"/>
      <c r="FC29" s="64">
        <v>14.4</v>
      </c>
      <c r="FS29" s="56"/>
      <c r="FW29" s="54"/>
      <c r="FY29" s="64">
        <v>14.4</v>
      </c>
      <c r="GO29" s="56"/>
      <c r="GS29" s="54"/>
      <c r="GU29" s="64">
        <v>14.4</v>
      </c>
      <c r="HK29" s="56"/>
      <c r="HO29" s="54"/>
      <c r="HQ29" s="64">
        <v>14.4</v>
      </c>
      <c r="IG29" s="56"/>
      <c r="IK29" s="54"/>
      <c r="IM29" s="64">
        <v>14.4</v>
      </c>
      <c r="JC29" s="56"/>
      <c r="JG29" s="54"/>
      <c r="JI29" s="64">
        <v>14.4</v>
      </c>
      <c r="JY29" s="56"/>
      <c r="KC29" s="54"/>
      <c r="KE29" s="64">
        <v>14.4</v>
      </c>
      <c r="KU29" s="56"/>
      <c r="KY29" s="54"/>
      <c r="LA29" s="64">
        <v>14.4</v>
      </c>
      <c r="LQ29" s="56"/>
      <c r="LU29" s="54"/>
      <c r="LW29" s="64">
        <v>14.4</v>
      </c>
      <c r="MM29" s="56"/>
      <c r="MQ29" s="54"/>
      <c r="MS29" s="64">
        <v>14.4</v>
      </c>
      <c r="NI29" s="56"/>
      <c r="NM29" s="54"/>
      <c r="NO29" s="64">
        <v>14.4</v>
      </c>
    </row>
    <row r="30" spans="1:409" x14ac:dyDescent="0.2">
      <c r="B30" s="91" t="s">
        <v>77</v>
      </c>
      <c r="C30" s="56"/>
      <c r="AR30" s="124"/>
      <c r="AS30" s="124"/>
      <c r="AT30" s="124"/>
      <c r="AW30" s="54"/>
      <c r="AY30" s="106">
        <v>15.4</v>
      </c>
      <c r="BV30" s="124"/>
      <c r="BW30" s="124"/>
      <c r="BX30" s="124"/>
      <c r="CA30" s="54"/>
      <c r="CC30" s="106">
        <v>15.4</v>
      </c>
      <c r="CZ30" s="124"/>
      <c r="DA30" s="124"/>
      <c r="DB30" s="124"/>
      <c r="DE30" s="54"/>
      <c r="DG30" s="106">
        <v>15.4</v>
      </c>
      <c r="EA30" s="56"/>
      <c r="EE30" s="54"/>
      <c r="EG30" s="106">
        <v>15.4</v>
      </c>
      <c r="EW30" s="56"/>
      <c r="FA30" s="54"/>
      <c r="FC30" s="106">
        <v>15.4</v>
      </c>
      <c r="FS30" s="56"/>
      <c r="FW30" s="54"/>
      <c r="FY30" s="106">
        <v>15.4</v>
      </c>
      <c r="GO30" s="56"/>
      <c r="GS30" s="54"/>
      <c r="GU30" s="106">
        <v>15.4</v>
      </c>
      <c r="HK30" s="56"/>
      <c r="HO30" s="54"/>
      <c r="HQ30" s="106">
        <v>15.4</v>
      </c>
      <c r="IG30" s="56"/>
      <c r="IK30" s="54"/>
      <c r="IM30" s="106">
        <v>15.4</v>
      </c>
      <c r="JC30" s="56"/>
      <c r="JG30" s="54"/>
      <c r="JI30" s="106">
        <v>15.4</v>
      </c>
      <c r="JY30" s="56"/>
      <c r="KC30" s="54"/>
      <c r="KE30" s="106">
        <v>15.4</v>
      </c>
      <c r="KU30" s="56"/>
      <c r="KY30" s="54"/>
      <c r="LA30" s="106">
        <v>15.4</v>
      </c>
      <c r="LQ30" s="56"/>
      <c r="LU30" s="54"/>
      <c r="LW30" s="106">
        <v>15.4</v>
      </c>
      <c r="MM30" s="56"/>
      <c r="MQ30" s="54"/>
      <c r="MS30" s="106">
        <v>15.4</v>
      </c>
      <c r="NI30" s="56"/>
      <c r="NM30" s="54"/>
      <c r="NO30" s="106">
        <v>15.4</v>
      </c>
    </row>
    <row r="31" spans="1:409" x14ac:dyDescent="0.2">
      <c r="A31" s="56"/>
      <c r="B31" s="92" t="s">
        <v>109</v>
      </c>
      <c r="C31" s="56"/>
      <c r="AR31" s="124"/>
      <c r="AS31" s="124"/>
      <c r="AT31" s="124"/>
      <c r="AV31" s="54"/>
      <c r="AW31" s="54"/>
      <c r="AX31" s="54"/>
      <c r="AY31" s="94">
        <v>15.4</v>
      </c>
      <c r="BV31" s="124"/>
      <c r="BW31" s="124"/>
      <c r="BX31" s="124"/>
      <c r="CA31" s="54"/>
      <c r="CC31" s="94">
        <v>15.4</v>
      </c>
      <c r="CZ31" s="124"/>
      <c r="DA31" s="124"/>
      <c r="DB31" s="124"/>
      <c r="DD31" s="54"/>
      <c r="DE31" s="54"/>
      <c r="DF31" s="54"/>
      <c r="DG31" s="94">
        <v>15.4</v>
      </c>
      <c r="EA31" s="56"/>
      <c r="EE31" s="54"/>
      <c r="EG31" s="94">
        <v>15.4</v>
      </c>
      <c r="EW31" s="56"/>
      <c r="FA31" s="54"/>
      <c r="FC31" s="94">
        <v>15.4</v>
      </c>
      <c r="FS31" s="56"/>
      <c r="FW31" s="54"/>
      <c r="FY31" s="94">
        <v>15.4</v>
      </c>
      <c r="GO31" s="56"/>
      <c r="GS31" s="54"/>
      <c r="GU31" s="94">
        <v>15.4</v>
      </c>
      <c r="HK31" s="56"/>
      <c r="HO31" s="54"/>
      <c r="HQ31" s="94">
        <v>15.4</v>
      </c>
      <c r="IG31" s="56"/>
      <c r="IK31" s="54"/>
      <c r="IM31" s="94">
        <v>15.4</v>
      </c>
      <c r="JC31" s="56"/>
      <c r="JG31" s="54"/>
      <c r="JI31" s="94">
        <v>15.4</v>
      </c>
      <c r="JY31" s="56"/>
      <c r="KC31" s="54"/>
      <c r="KE31" s="94">
        <v>15.4</v>
      </c>
      <c r="KU31" s="56"/>
      <c r="KY31" s="54"/>
      <c r="LA31" s="94">
        <v>15.4</v>
      </c>
      <c r="LQ31" s="56"/>
      <c r="LU31" s="54"/>
      <c r="LW31" s="94">
        <v>15.4</v>
      </c>
      <c r="MM31" s="56"/>
      <c r="MQ31" s="54"/>
      <c r="MS31" s="94">
        <v>15.4</v>
      </c>
      <c r="NI31" s="56"/>
      <c r="NM31" s="54"/>
      <c r="NO31" s="94">
        <v>15.4</v>
      </c>
    </row>
    <row r="32" spans="1:409" x14ac:dyDescent="0.2">
      <c r="A32" s="56"/>
      <c r="B32" s="120" t="s">
        <v>158</v>
      </c>
      <c r="C32" s="56"/>
      <c r="AR32" s="124"/>
      <c r="AS32" s="124"/>
      <c r="AT32" s="124"/>
      <c r="AV32" s="54"/>
      <c r="AW32" s="54"/>
      <c r="AX32" s="54"/>
      <c r="AY32" s="121">
        <v>15.4</v>
      </c>
      <c r="BV32" s="124"/>
      <c r="BW32" s="124"/>
      <c r="BX32" s="124"/>
      <c r="CA32" s="54"/>
      <c r="CC32" s="121">
        <v>15.4</v>
      </c>
      <c r="CZ32" s="124"/>
      <c r="DA32" s="124"/>
      <c r="DB32" s="124"/>
      <c r="DD32" s="54"/>
      <c r="DE32" s="54"/>
      <c r="DF32" s="54"/>
      <c r="DG32" s="121">
        <v>15.4</v>
      </c>
      <c r="EA32" s="56"/>
      <c r="EE32" s="54"/>
      <c r="EG32" s="121">
        <v>15.4</v>
      </c>
      <c r="EW32" s="56"/>
      <c r="FA32" s="54"/>
      <c r="FC32" s="121">
        <v>15.4</v>
      </c>
      <c r="FS32" s="56"/>
      <c r="FW32" s="54"/>
      <c r="FY32" s="121">
        <v>15.4</v>
      </c>
      <c r="GO32" s="56"/>
      <c r="GS32" s="54"/>
      <c r="GU32" s="121">
        <v>15.4</v>
      </c>
      <c r="HK32" s="56"/>
      <c r="HO32" s="54"/>
      <c r="HQ32" s="121">
        <v>15.4</v>
      </c>
      <c r="IG32" s="56"/>
      <c r="IK32" s="54"/>
      <c r="IM32" s="121">
        <v>15.4</v>
      </c>
      <c r="JC32" s="56"/>
      <c r="JG32" s="54"/>
      <c r="JI32" s="121">
        <v>15.4</v>
      </c>
      <c r="JY32" s="56"/>
      <c r="KC32" s="54"/>
      <c r="KE32" s="121">
        <v>15.4</v>
      </c>
      <c r="KU32" s="56"/>
      <c r="KY32" s="54"/>
      <c r="LA32" s="121">
        <v>15.4</v>
      </c>
      <c r="LQ32" s="56"/>
      <c r="LU32" s="54"/>
      <c r="LW32" s="121">
        <v>15.4</v>
      </c>
      <c r="MM32" s="56"/>
      <c r="MQ32" s="54"/>
      <c r="MS32" s="121">
        <v>15.4</v>
      </c>
      <c r="NI32" s="56"/>
      <c r="NM32" s="54"/>
      <c r="NO32" s="121">
        <v>15.4</v>
      </c>
    </row>
    <row r="33" spans="1:379" x14ac:dyDescent="0.2">
      <c r="A33" s="56"/>
      <c r="B33" s="118" t="s">
        <v>75</v>
      </c>
      <c r="C33" s="56"/>
      <c r="O33" s="2"/>
      <c r="AR33" s="124"/>
      <c r="AS33" s="124"/>
      <c r="AT33" s="124"/>
      <c r="AV33" s="54"/>
      <c r="AW33" s="54"/>
      <c r="AX33" s="54"/>
      <c r="AY33" s="119">
        <v>103</v>
      </c>
      <c r="BV33" s="124"/>
      <c r="BW33" s="124"/>
      <c r="BX33" s="124"/>
      <c r="CA33" s="54"/>
      <c r="CC33" s="119">
        <v>103</v>
      </c>
      <c r="CZ33" s="124"/>
      <c r="DA33" s="124"/>
      <c r="DB33" s="124"/>
      <c r="DD33" s="54"/>
      <c r="DE33" s="54"/>
      <c r="DF33" s="54"/>
      <c r="DG33" s="119">
        <v>103</v>
      </c>
      <c r="EA33" s="56"/>
      <c r="EE33" s="54"/>
      <c r="EG33" s="119">
        <v>103</v>
      </c>
      <c r="EW33" s="56"/>
      <c r="FA33" s="54"/>
      <c r="FC33" s="119">
        <v>103</v>
      </c>
      <c r="FS33" s="56"/>
      <c r="FW33" s="54"/>
      <c r="FY33" s="119">
        <v>103</v>
      </c>
      <c r="GO33" s="56"/>
      <c r="GS33" s="54"/>
      <c r="GU33" s="119">
        <v>103</v>
      </c>
      <c r="HK33" s="56"/>
      <c r="HO33" s="54"/>
      <c r="HQ33" s="119">
        <v>103</v>
      </c>
      <c r="IG33" s="56"/>
      <c r="IK33" s="54"/>
      <c r="IM33" s="119">
        <v>103</v>
      </c>
      <c r="JC33" s="56"/>
      <c r="JG33" s="54"/>
      <c r="JI33" s="119">
        <v>103</v>
      </c>
      <c r="JY33" s="56"/>
      <c r="KC33" s="54"/>
      <c r="KE33" s="119">
        <v>103</v>
      </c>
      <c r="KU33" s="56"/>
      <c r="KY33" s="54"/>
      <c r="LA33" s="119">
        <v>103</v>
      </c>
      <c r="LQ33" s="56"/>
      <c r="LU33" s="54"/>
      <c r="LW33" s="119">
        <v>103</v>
      </c>
      <c r="MM33" s="56"/>
      <c r="MQ33" s="54"/>
      <c r="MS33" s="119">
        <v>103</v>
      </c>
      <c r="NI33" s="56"/>
      <c r="NM33" s="54"/>
      <c r="NO33" s="119">
        <v>103</v>
      </c>
    </row>
    <row r="34" spans="1:379" x14ac:dyDescent="0.2">
      <c r="A34" s="56"/>
      <c r="B34" s="72" t="s">
        <v>76</v>
      </c>
      <c r="C34" s="56"/>
      <c r="O34" s="2"/>
      <c r="AR34" s="124"/>
      <c r="AS34" s="124"/>
      <c r="AT34" s="124"/>
      <c r="AV34" s="54"/>
      <c r="AW34" s="54"/>
      <c r="AX34" s="54"/>
      <c r="AY34" s="66">
        <v>105</v>
      </c>
      <c r="BV34" s="124"/>
      <c r="BW34" s="124"/>
      <c r="BX34" s="124"/>
      <c r="CA34" s="54"/>
      <c r="CC34" s="66">
        <v>105</v>
      </c>
      <c r="CZ34" s="124"/>
      <c r="DA34" s="124"/>
      <c r="DB34" s="124"/>
      <c r="DD34" s="54"/>
      <c r="DE34" s="54"/>
      <c r="DF34" s="54"/>
      <c r="DG34" s="66">
        <v>105</v>
      </c>
      <c r="EA34" s="56"/>
      <c r="EE34" s="54"/>
      <c r="EG34" s="66">
        <v>105</v>
      </c>
      <c r="EW34" s="56"/>
      <c r="FA34" s="54"/>
      <c r="FC34" s="66">
        <v>105</v>
      </c>
      <c r="FS34" s="56"/>
      <c r="FW34" s="54"/>
      <c r="FY34" s="66">
        <v>105</v>
      </c>
      <c r="GO34" s="56"/>
      <c r="GS34" s="54"/>
      <c r="GU34" s="66">
        <v>105</v>
      </c>
      <c r="HK34" s="56"/>
      <c r="HO34" s="54"/>
      <c r="HQ34" s="66">
        <v>105</v>
      </c>
      <c r="IG34" s="56"/>
      <c r="IK34" s="54"/>
      <c r="IM34" s="66">
        <v>105</v>
      </c>
      <c r="JC34" s="56"/>
      <c r="JG34" s="54"/>
      <c r="JI34" s="66">
        <v>105</v>
      </c>
      <c r="JY34" s="56"/>
      <c r="KC34" s="54"/>
      <c r="KE34" s="66">
        <v>105</v>
      </c>
      <c r="KU34" s="56"/>
      <c r="KY34" s="54"/>
      <c r="LA34" s="66">
        <v>105</v>
      </c>
      <c r="LQ34" s="56"/>
      <c r="LU34" s="54"/>
      <c r="LW34" s="66">
        <v>105</v>
      </c>
      <c r="MM34" s="56"/>
      <c r="MQ34" s="54"/>
      <c r="MS34" s="66">
        <v>105</v>
      </c>
      <c r="NI34" s="56"/>
      <c r="NM34" s="54"/>
      <c r="NO34" s="66">
        <v>105</v>
      </c>
    </row>
    <row r="35" spans="1:379" x14ac:dyDescent="0.2">
      <c r="A35" s="56"/>
      <c r="B35" s="116" t="s">
        <v>107</v>
      </c>
      <c r="C35" s="56"/>
      <c r="AR35" s="124"/>
      <c r="AS35" s="124"/>
      <c r="AT35" s="124"/>
      <c r="AV35" s="54"/>
      <c r="AW35" s="54"/>
      <c r="AX35" s="54" t="s">
        <v>166</v>
      </c>
      <c r="AY35" s="117">
        <v>57</v>
      </c>
      <c r="BV35" s="124"/>
      <c r="BW35" s="124"/>
      <c r="BX35" s="124"/>
      <c r="CA35" s="54"/>
      <c r="CB35" s="129"/>
      <c r="CC35" s="117">
        <v>58</v>
      </c>
      <c r="CZ35" s="124"/>
      <c r="DA35" s="124"/>
      <c r="DB35" s="124"/>
      <c r="DD35" s="54"/>
      <c r="DE35" s="54"/>
      <c r="DF35" s="54"/>
      <c r="DG35" s="117">
        <v>58</v>
      </c>
      <c r="EA35" s="56"/>
      <c r="EE35" s="54"/>
      <c r="EF35" s="129"/>
      <c r="EG35" s="117">
        <v>108</v>
      </c>
      <c r="EW35" s="56"/>
      <c r="FA35" s="54"/>
      <c r="FC35" s="117">
        <v>58</v>
      </c>
      <c r="FS35" s="56"/>
      <c r="FW35" s="54"/>
      <c r="FY35" s="117">
        <v>58</v>
      </c>
      <c r="GO35" s="56"/>
      <c r="GS35" s="54"/>
      <c r="GT35" s="129"/>
      <c r="GU35" s="117">
        <v>58</v>
      </c>
      <c r="HK35" s="56"/>
      <c r="HO35" s="54"/>
      <c r="HP35" s="129"/>
      <c r="HQ35" s="117">
        <v>58</v>
      </c>
      <c r="IG35" s="56"/>
      <c r="IK35" s="54"/>
      <c r="IL35" s="129"/>
      <c r="IM35" s="117">
        <v>58</v>
      </c>
      <c r="JC35" s="56"/>
      <c r="JG35" s="54"/>
      <c r="JI35" s="117">
        <v>58</v>
      </c>
      <c r="JY35" s="56"/>
      <c r="KC35" s="54"/>
      <c r="KE35" s="117">
        <v>58</v>
      </c>
      <c r="KU35" s="56"/>
      <c r="KY35" s="54"/>
      <c r="LA35" s="117">
        <v>58</v>
      </c>
      <c r="LQ35" s="56"/>
      <c r="LU35" s="54"/>
      <c r="LW35" s="117">
        <v>58</v>
      </c>
      <c r="MM35" s="56"/>
      <c r="MQ35" s="54"/>
      <c r="MS35" s="117">
        <v>58</v>
      </c>
      <c r="NI35" s="56"/>
      <c r="NM35" s="54"/>
      <c r="NO35" s="117">
        <v>58</v>
      </c>
    </row>
    <row r="36" spans="1:379" x14ac:dyDescent="0.2">
      <c r="A36" s="56"/>
      <c r="B36" s="74" t="s">
        <v>57</v>
      </c>
      <c r="C36" s="56"/>
      <c r="O36" s="2"/>
      <c r="AR36" s="124"/>
      <c r="AS36" s="124"/>
      <c r="AT36" s="124"/>
      <c r="AV36" s="54"/>
      <c r="AW36" s="54"/>
      <c r="AX36" s="54"/>
      <c r="AY36" s="68">
        <v>59.8</v>
      </c>
      <c r="BV36" s="124"/>
      <c r="BW36" s="124"/>
      <c r="BX36" s="124"/>
      <c r="CA36" s="54"/>
      <c r="CC36" s="68">
        <v>59.4</v>
      </c>
      <c r="CZ36" s="124"/>
      <c r="DA36" s="124"/>
      <c r="DB36" s="124"/>
      <c r="DD36" s="54"/>
      <c r="DE36" s="54"/>
      <c r="DF36" s="54"/>
      <c r="DG36" s="68">
        <v>59.4</v>
      </c>
      <c r="EA36" s="56"/>
      <c r="EE36" s="54"/>
      <c r="EG36" s="68">
        <v>59.8</v>
      </c>
      <c r="EW36" s="56"/>
      <c r="FA36" s="54"/>
      <c r="FC36" s="68">
        <v>59.4</v>
      </c>
      <c r="FS36" s="56"/>
      <c r="FW36" s="54"/>
      <c r="FY36" s="68">
        <v>59.4</v>
      </c>
      <c r="GO36" s="56"/>
      <c r="GS36" s="54"/>
      <c r="GU36" s="68">
        <v>59.4</v>
      </c>
      <c r="HK36" s="56"/>
      <c r="HO36" s="54"/>
      <c r="HQ36" s="68">
        <v>59.4</v>
      </c>
      <c r="IG36" s="56"/>
      <c r="IK36" s="54"/>
      <c r="IL36" s="129"/>
      <c r="IM36" s="68">
        <v>59.4</v>
      </c>
      <c r="JC36" s="56"/>
      <c r="JG36" s="54"/>
      <c r="JI36" s="68">
        <v>59.4</v>
      </c>
      <c r="JY36" s="56"/>
      <c r="KC36" s="54"/>
      <c r="KE36" s="68">
        <v>59.4</v>
      </c>
      <c r="KU36" s="56"/>
      <c r="KY36" s="54"/>
      <c r="LA36" s="68">
        <v>59.4</v>
      </c>
      <c r="LQ36" s="56"/>
      <c r="LU36" s="54"/>
      <c r="LW36" s="68">
        <v>59.4</v>
      </c>
      <c r="MM36" s="56"/>
      <c r="MQ36" s="54"/>
      <c r="MS36" s="68">
        <v>59.4</v>
      </c>
      <c r="NI36" s="56"/>
      <c r="NM36" s="54"/>
      <c r="NO36" s="68">
        <v>59.4</v>
      </c>
    </row>
    <row r="37" spans="1:379" x14ac:dyDescent="0.2">
      <c r="B37" s="82" t="s">
        <v>89</v>
      </c>
      <c r="C37" s="2"/>
      <c r="AU37" s="54"/>
      <c r="AV37" s="54"/>
      <c r="AX37" s="54"/>
      <c r="DC37" s="54"/>
      <c r="DD37" s="54"/>
      <c r="DF37" s="54"/>
      <c r="EX37" s="54"/>
    </row>
    <row r="38" spans="1:379" x14ac:dyDescent="0.2">
      <c r="A38" s="56"/>
      <c r="B38" s="56"/>
      <c r="C38" s="55"/>
      <c r="AQ38" s="54"/>
      <c r="AR38" s="54"/>
      <c r="AS38" s="54"/>
      <c r="AT38" s="54"/>
      <c r="AU38" s="54"/>
      <c r="AV38" s="54"/>
      <c r="AX38" s="54"/>
      <c r="CY38" s="54"/>
      <c r="CZ38" s="54"/>
      <c r="DA38" s="54"/>
      <c r="DB38" s="54"/>
      <c r="DC38" s="54"/>
      <c r="DD38" s="54"/>
      <c r="DF38" s="54"/>
    </row>
    <row r="39" spans="1:379" ht="17" x14ac:dyDescent="0.2">
      <c r="A39" s="56"/>
      <c r="B39" s="56"/>
      <c r="C39" s="55"/>
      <c r="S39" s="19"/>
      <c r="T39" s="19"/>
      <c r="AQ39" s="54"/>
      <c r="AR39" s="54"/>
      <c r="AS39" s="54"/>
      <c r="AT39" s="54"/>
      <c r="AU39" s="54"/>
      <c r="AV39" s="54"/>
      <c r="AX39" s="54"/>
      <c r="CY39" s="54"/>
      <c r="CZ39" s="54"/>
      <c r="DA39" s="54"/>
      <c r="DB39" s="54"/>
      <c r="DC39" s="54"/>
      <c r="DD39" s="54"/>
      <c r="DF39" s="54"/>
    </row>
    <row r="40" spans="1:379" ht="17" x14ac:dyDescent="0.2">
      <c r="A40" s="56"/>
      <c r="B40" s="56"/>
      <c r="C40" s="55"/>
      <c r="S40" s="19"/>
      <c r="AQ40" s="54"/>
      <c r="AR40" s="54"/>
      <c r="AS40" s="54"/>
      <c r="AT40" s="54"/>
      <c r="AU40" s="54"/>
      <c r="AV40" s="54"/>
      <c r="AX40" s="54"/>
      <c r="CY40" s="54"/>
      <c r="CZ40" s="54"/>
      <c r="DA40" s="54"/>
      <c r="DB40" s="54"/>
      <c r="DC40" s="54"/>
      <c r="DD40" s="54"/>
      <c r="DF40" s="54"/>
    </row>
    <row r="41" spans="1:379" ht="17" x14ac:dyDescent="0.2">
      <c r="S41" s="19"/>
      <c r="T41" s="19"/>
      <c r="AQ41" s="54"/>
      <c r="AR41" s="54"/>
      <c r="AS41" s="54"/>
      <c r="AT41" s="54"/>
      <c r="AU41" s="54"/>
      <c r="AV41" s="54"/>
      <c r="AX41" s="54"/>
      <c r="CY41" s="54"/>
      <c r="CZ41" s="54"/>
      <c r="DA41" s="54"/>
      <c r="DB41" s="54"/>
      <c r="DC41" s="54"/>
      <c r="DD41" s="54"/>
      <c r="DF41" s="54"/>
    </row>
    <row r="42" spans="1:379" ht="17" x14ac:dyDescent="0.2">
      <c r="S42" s="19"/>
      <c r="T42" s="19"/>
      <c r="AQ42" s="54"/>
      <c r="AR42" s="54"/>
      <c r="AS42" s="54"/>
      <c r="AT42" s="54"/>
      <c r="AU42" s="54"/>
      <c r="AV42" s="54"/>
      <c r="AX42" s="54"/>
      <c r="CY42" s="54"/>
      <c r="CZ42" s="54"/>
      <c r="DA42" s="54"/>
      <c r="DB42" s="54"/>
      <c r="DC42" s="54"/>
      <c r="DD42" s="54"/>
      <c r="DF42" s="54"/>
    </row>
    <row r="43" spans="1:379" ht="17" x14ac:dyDescent="0.2">
      <c r="S43" s="19"/>
      <c r="T43" s="19"/>
      <c r="AQ43" s="54"/>
      <c r="AR43" s="54"/>
      <c r="AS43" s="54"/>
      <c r="AT43" s="54"/>
      <c r="AU43" s="54"/>
      <c r="AV43" s="54"/>
      <c r="AX43" s="54"/>
      <c r="CY43" s="54"/>
      <c r="CZ43" s="54"/>
      <c r="DA43" s="54"/>
      <c r="DB43" s="54"/>
      <c r="DC43" s="54"/>
      <c r="DD43" s="54"/>
      <c r="DF43" s="54"/>
    </row>
    <row r="44" spans="1:379" ht="17" x14ac:dyDescent="0.2">
      <c r="S44" s="19"/>
      <c r="T44" s="19"/>
      <c r="U44" s="19"/>
    </row>
    <row r="45" spans="1:379" ht="17" x14ac:dyDescent="0.2">
      <c r="S45" s="19"/>
      <c r="T45" s="19"/>
      <c r="U45" s="19"/>
    </row>
    <row r="46" spans="1:379" ht="17" x14ac:dyDescent="0.2">
      <c r="S46" s="19"/>
      <c r="T46" s="19"/>
      <c r="U46" s="19"/>
    </row>
    <row r="47" spans="1:379" ht="17" x14ac:dyDescent="0.2">
      <c r="S47" s="19"/>
      <c r="T47" s="19"/>
      <c r="U47" s="19"/>
    </row>
    <row r="48" spans="1:379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  <row r="53" spans="19:21" ht="17" x14ac:dyDescent="0.2">
      <c r="S53" s="19"/>
      <c r="T53" s="19"/>
      <c r="U53" s="19"/>
    </row>
    <row r="54" spans="19:21" ht="17" x14ac:dyDescent="0.2">
      <c r="S54" s="19"/>
      <c r="T54" s="19"/>
      <c r="U54" s="19"/>
    </row>
    <row r="55" spans="19:21" ht="17" x14ac:dyDescent="0.2">
      <c r="S55" s="19"/>
      <c r="T55" s="19"/>
      <c r="U55" s="19"/>
    </row>
    <row r="56" spans="19:21" ht="17" x14ac:dyDescent="0.2">
      <c r="S56" s="19"/>
      <c r="T56" s="19"/>
      <c r="U56" s="19"/>
    </row>
    <row r="57" spans="19:21" ht="17" x14ac:dyDescent="0.2">
      <c r="S57" s="19"/>
      <c r="T57" s="19"/>
      <c r="U57" s="19"/>
    </row>
    <row r="58" spans="19:21" ht="17" x14ac:dyDescent="0.2">
      <c r="S58" s="19"/>
      <c r="T58" s="19"/>
      <c r="U58" s="19"/>
    </row>
  </sheetData>
  <sheetProtection sheet="1" formatCells="0" formatColumns="0" formatRows="0"/>
  <autoFilter ref="A1:OQ22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6">
      <sortCondition descending="1" ref="F1:F27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6">
    <cfRule type="expression" dxfId="204" priority="1" stopIfTrue="1">
      <formula>IF($AP4&lt;&gt;"",1,0)</formula>
    </cfRule>
  </conditionalFormatting>
  <conditionalFormatting sqref="AZ4:CC26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9" priority="332" operator="between">
      <formula>AY$36</formula>
      <formula>1000</formula>
    </cfRule>
    <cfRule type="cellIs" dxfId="198" priority="37317" operator="between">
      <formula>AY$35</formula>
      <formula>AY$36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7" priority="37318" operator="between">
      <formula>AY$34</formula>
      <formula>1000</formula>
    </cfRule>
    <cfRule type="cellIs" dxfId="196" priority="37319" operator="between">
      <formula>AY$33</formula>
      <formula>AY$34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5" priority="37330" operator="between">
      <formula>AY$36</formula>
      <formula>1000</formula>
    </cfRule>
    <cfRule type="cellIs" dxfId="194" priority="37331" operator="between">
      <formula>AY$35</formula>
      <formula>AY$36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3" priority="37334" operator="between">
      <formula>EG$32</formula>
      <formula>1000</formula>
    </cfRule>
    <cfRule type="cellIs" dxfId="192" priority="37335" operator="between">
      <formula>EG$31</formula>
      <formula>EG$32</formula>
    </cfRule>
    <cfRule type="cellIs" dxfId="191" priority="37336" operator="between">
      <formula>EG$30</formula>
      <formula>EG$31</formula>
    </cfRule>
    <cfRule type="cellIs" dxfId="190" priority="37337" operator="between">
      <formula>EG$29</formula>
      <formula>EG$30</formula>
    </cfRule>
  </conditionalFormatting>
  <conditionalFormatting sqref="A1:A1048576">
    <cfRule type="expression" dxfId="189" priority="37338">
      <formula>AND(H1&lt;&gt;"",G1="")</formula>
    </cfRule>
  </conditionalFormatting>
  <conditionalFormatting sqref="CD4:DG26">
    <cfRule type="expression" dxfId="188" priority="3" stopIfTrue="1">
      <formula>IF($CX4&lt;&gt;"",1,0)</formula>
    </cfRule>
  </conditionalFormatting>
  <conditionalFormatting sqref="AR1:AR1048576 BV1:BV1048576 CZ1:CZ1048576">
    <cfRule type="cellIs" dxfId="187" priority="12" operator="between">
      <formula>AY$32</formula>
      <formula>1000</formula>
    </cfRule>
    <cfRule type="cellIs" dxfId="186" priority="13" operator="between">
      <formula>AY$31</formula>
      <formula>AY$32</formula>
    </cfRule>
    <cfRule type="cellIs" dxfId="185" priority="14" operator="between">
      <formula>AY$30</formula>
      <formula>AY$31</formula>
    </cfRule>
    <cfRule type="cellIs" dxfId="184" priority="15" operator="between">
      <formula>AY$29</formula>
      <formula>AY$30</formula>
    </cfRule>
  </conditionalFormatting>
  <conditionalFormatting sqref="AS1:AS1048576 BW1:BW1048576 DA1:DA1048576">
    <cfRule type="cellIs" dxfId="183" priority="26" operator="between">
      <formula>AY$36</formula>
      <formula>1000</formula>
    </cfRule>
    <cfRule type="cellIs" dxfId="182" priority="27" operator="between">
      <formula>AY$35</formula>
      <formula>AY$36</formula>
    </cfRule>
  </conditionalFormatting>
  <conditionalFormatting sqref="AT1:AT1048576 BX1:BX1048576 DB1:DB1048576">
    <cfRule type="cellIs" dxfId="181" priority="31" operator="between">
      <formula>AY$32</formula>
      <formula>1000</formula>
    </cfRule>
    <cfRule type="cellIs" dxfId="180" priority="73" operator="between">
      <formula>AY$31</formula>
      <formula>AY$32</formula>
    </cfRule>
    <cfRule type="cellIs" dxfId="179" priority="94" operator="between">
      <formula>AY$30</formula>
      <formula>AY$31</formula>
    </cfRule>
    <cfRule type="cellIs" dxfId="178" priority="95" operator="between">
      <formula>AY$29</formula>
      <formula>AY$30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37326" operator="between">
      <formula>AY$32</formula>
      <formula>1000</formula>
    </cfRule>
    <cfRule type="cellIs" dxfId="176" priority="37327" operator="between">
      <formula>AY$31</formula>
      <formula>AY$32</formula>
    </cfRule>
    <cfRule type="cellIs" dxfId="175" priority="37328" operator="between">
      <formula>AY$30</formula>
      <formula>AY$31</formula>
    </cfRule>
    <cfRule type="cellIs" dxfId="174" priority="37329" operator="between">
      <formula>AY$29</formula>
      <formula>AY$30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36" t="s">
        <v>168</v>
      </c>
      <c r="G1" s="136" t="s">
        <v>164</v>
      </c>
      <c r="H1" s="136" t="s">
        <v>165</v>
      </c>
      <c r="I1" s="136" t="s">
        <v>16</v>
      </c>
      <c r="J1" s="136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163</v>
      </c>
      <c r="P1" s="141" t="s">
        <v>55</v>
      </c>
      <c r="Q1" s="141" t="s">
        <v>20</v>
      </c>
      <c r="R1" s="141" t="s">
        <v>55</v>
      </c>
      <c r="S1" s="140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9" t="s">
        <v>157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7" t="s">
        <v>179</v>
      </c>
      <c r="CE1" s="137"/>
      <c r="CF1" s="137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42" t="s">
        <v>21</v>
      </c>
      <c r="DI1" s="142"/>
      <c r="DJ1" s="142"/>
      <c r="DK1" s="142"/>
      <c r="DL1" s="137" t="s">
        <v>143</v>
      </c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7"/>
      <c r="FE1" s="137"/>
      <c r="FF1" s="137"/>
      <c r="FG1" s="137"/>
      <c r="FH1" s="137"/>
      <c r="FI1" s="137"/>
      <c r="FJ1" s="137"/>
      <c r="FK1" s="137"/>
      <c r="FL1" s="137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7"/>
      <c r="GW1" s="137"/>
      <c r="GX1" s="137"/>
      <c r="GY1" s="137"/>
      <c r="GZ1" s="137"/>
      <c r="HA1" s="137"/>
      <c r="HB1" s="137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7"/>
      <c r="KG1" s="137"/>
      <c r="KH1" s="137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7"/>
      <c r="LY1" s="137"/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7" t="s">
        <v>110</v>
      </c>
      <c r="NQ1" s="137"/>
      <c r="NR1" s="137"/>
      <c r="NS1" s="137"/>
      <c r="NT1" s="137"/>
      <c r="NU1" s="137"/>
      <c r="NV1" s="137"/>
      <c r="NW1" s="137"/>
      <c r="NX1" s="137"/>
      <c r="NY1" s="137"/>
      <c r="NZ1" s="137"/>
      <c r="OA1" s="137"/>
      <c r="OB1" s="137"/>
      <c r="OC1" s="137"/>
      <c r="OD1" s="137"/>
      <c r="OE1" s="137"/>
      <c r="OF1" s="137"/>
      <c r="OG1" s="137"/>
      <c r="OH1" s="137"/>
      <c r="OI1" s="137"/>
      <c r="OJ1" s="137"/>
      <c r="OK1" s="137"/>
      <c r="OL1" s="137"/>
      <c r="OM1" s="137"/>
      <c r="ON1" s="137"/>
      <c r="OO1" s="137"/>
      <c r="OP1" s="137"/>
      <c r="OQ1" s="137"/>
    </row>
    <row r="2" spans="1:409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159</v>
      </c>
      <c r="AG2" s="135"/>
      <c r="AH2" s="135"/>
      <c r="AI2" s="135"/>
      <c r="AJ2" s="135"/>
      <c r="AK2" s="135" t="s">
        <v>30</v>
      </c>
      <c r="AL2" s="135"/>
      <c r="AM2" s="135"/>
      <c r="AN2" s="135"/>
      <c r="AO2" s="135"/>
      <c r="AP2" s="112"/>
      <c r="AQ2" s="9" t="s">
        <v>28</v>
      </c>
      <c r="AR2" s="9" t="s">
        <v>161</v>
      </c>
      <c r="AS2" s="9" t="s">
        <v>29</v>
      </c>
      <c r="AT2" s="9" t="s">
        <v>162</v>
      </c>
      <c r="AU2" s="9" t="s">
        <v>160</v>
      </c>
      <c r="AV2" s="9" t="s">
        <v>31</v>
      </c>
      <c r="AW2" s="9" t="s">
        <v>123</v>
      </c>
      <c r="AX2" s="9" t="s">
        <v>30</v>
      </c>
      <c r="AY2" s="9" t="s">
        <v>25</v>
      </c>
      <c r="AZ2" s="138" t="s">
        <v>26</v>
      </c>
      <c r="BA2" s="138"/>
      <c r="BB2" s="138"/>
      <c r="BC2" s="138"/>
      <c r="BD2" s="138"/>
      <c r="BE2" s="138" t="s">
        <v>27</v>
      </c>
      <c r="BF2" s="138"/>
      <c r="BG2" s="138"/>
      <c r="BH2" s="138"/>
      <c r="BI2" s="138"/>
      <c r="BJ2" s="138" t="s">
        <v>159</v>
      </c>
      <c r="BK2" s="138"/>
      <c r="BL2" s="138"/>
      <c r="BM2" s="138"/>
      <c r="BN2" s="138"/>
      <c r="BO2" s="138" t="s">
        <v>30</v>
      </c>
      <c r="BP2" s="138"/>
      <c r="BQ2" s="138"/>
      <c r="BR2" s="138"/>
      <c r="BS2" s="138"/>
      <c r="BT2" s="113"/>
      <c r="BU2" s="12" t="s">
        <v>28</v>
      </c>
      <c r="BV2" s="12" t="s">
        <v>161</v>
      </c>
      <c r="BW2" s="12" t="s">
        <v>29</v>
      </c>
      <c r="BX2" s="12" t="s">
        <v>162</v>
      </c>
      <c r="BY2" s="12" t="s">
        <v>160</v>
      </c>
      <c r="BZ2" s="12" t="s">
        <v>31</v>
      </c>
      <c r="CA2" s="12" t="s">
        <v>123</v>
      </c>
      <c r="CB2" s="12" t="s">
        <v>30</v>
      </c>
      <c r="CC2" s="12" t="s">
        <v>25</v>
      </c>
      <c r="CD2" s="135" t="s">
        <v>26</v>
      </c>
      <c r="CE2" s="135"/>
      <c r="CF2" s="135"/>
      <c r="CG2" s="135"/>
      <c r="CH2" s="135"/>
      <c r="CI2" s="135" t="s">
        <v>27</v>
      </c>
      <c r="CJ2" s="135"/>
      <c r="CK2" s="135"/>
      <c r="CL2" s="135"/>
      <c r="CM2" s="135"/>
      <c r="CN2" s="135" t="s">
        <v>159</v>
      </c>
      <c r="CO2" s="135"/>
      <c r="CP2" s="135"/>
      <c r="CQ2" s="135"/>
      <c r="CR2" s="135"/>
      <c r="CS2" s="135" t="s">
        <v>30</v>
      </c>
      <c r="CT2" s="135"/>
      <c r="CU2" s="135"/>
      <c r="CV2" s="135"/>
      <c r="CW2" s="135"/>
      <c r="CX2" s="112"/>
      <c r="CY2" s="9" t="s">
        <v>28</v>
      </c>
      <c r="CZ2" s="9" t="s">
        <v>161</v>
      </c>
      <c r="DA2" s="9" t="s">
        <v>29</v>
      </c>
      <c r="DB2" s="9" t="s">
        <v>162</v>
      </c>
      <c r="DC2" s="9" t="s">
        <v>160</v>
      </c>
      <c r="DD2" s="9" t="s">
        <v>31</v>
      </c>
      <c r="DE2" s="9" t="s">
        <v>123</v>
      </c>
      <c r="DF2" s="9" t="s">
        <v>30</v>
      </c>
      <c r="DG2" s="9" t="s">
        <v>25</v>
      </c>
      <c r="DH2" s="22" t="s">
        <v>28</v>
      </c>
      <c r="DI2" s="22" t="s">
        <v>29</v>
      </c>
      <c r="DJ2" s="22" t="s">
        <v>31</v>
      </c>
      <c r="DK2" s="22" t="s">
        <v>30</v>
      </c>
      <c r="DL2" s="135" t="s">
        <v>26</v>
      </c>
      <c r="DM2" s="135"/>
      <c r="DN2" s="135"/>
      <c r="DO2" s="135"/>
      <c r="DP2" s="135"/>
      <c r="DQ2" s="135" t="s">
        <v>27</v>
      </c>
      <c r="DR2" s="135"/>
      <c r="DS2" s="135"/>
      <c r="DT2" s="135"/>
      <c r="DU2" s="135"/>
      <c r="DV2" s="135" t="s">
        <v>30</v>
      </c>
      <c r="DW2" s="135"/>
      <c r="DX2" s="135"/>
      <c r="DY2" s="135"/>
      <c r="DZ2" s="135"/>
      <c r="EA2" s="112" t="s">
        <v>104</v>
      </c>
      <c r="EB2" s="9" t="s">
        <v>28</v>
      </c>
      <c r="EC2" s="9" t="s">
        <v>29</v>
      </c>
      <c r="ED2" s="9" t="s">
        <v>31</v>
      </c>
      <c r="EE2" s="9" t="s">
        <v>123</v>
      </c>
      <c r="EF2" s="9" t="s">
        <v>30</v>
      </c>
      <c r="EG2" s="9" t="s">
        <v>25</v>
      </c>
      <c r="EH2" s="138" t="s">
        <v>26</v>
      </c>
      <c r="EI2" s="138"/>
      <c r="EJ2" s="138"/>
      <c r="EK2" s="138"/>
      <c r="EL2" s="138"/>
      <c r="EM2" s="138" t="s">
        <v>27</v>
      </c>
      <c r="EN2" s="138"/>
      <c r="EO2" s="138"/>
      <c r="EP2" s="138"/>
      <c r="EQ2" s="138"/>
      <c r="ER2" s="138" t="s">
        <v>30</v>
      </c>
      <c r="ES2" s="138"/>
      <c r="ET2" s="138"/>
      <c r="EU2" s="138"/>
      <c r="EV2" s="138"/>
      <c r="EW2" s="113" t="s">
        <v>104</v>
      </c>
      <c r="EX2" s="12" t="s">
        <v>28</v>
      </c>
      <c r="EY2" s="12" t="s">
        <v>29</v>
      </c>
      <c r="EZ2" s="12" t="s">
        <v>31</v>
      </c>
      <c r="FA2" s="12" t="s">
        <v>123</v>
      </c>
      <c r="FB2" s="12" t="s">
        <v>30</v>
      </c>
      <c r="FC2" s="12" t="s">
        <v>25</v>
      </c>
      <c r="FD2" s="135" t="s">
        <v>26</v>
      </c>
      <c r="FE2" s="135"/>
      <c r="FF2" s="135"/>
      <c r="FG2" s="135"/>
      <c r="FH2" s="135"/>
      <c r="FI2" s="135" t="s">
        <v>27</v>
      </c>
      <c r="FJ2" s="135"/>
      <c r="FK2" s="135"/>
      <c r="FL2" s="135"/>
      <c r="FM2" s="135"/>
      <c r="FN2" s="135" t="s">
        <v>30</v>
      </c>
      <c r="FO2" s="135"/>
      <c r="FP2" s="135"/>
      <c r="FQ2" s="135"/>
      <c r="FR2" s="135"/>
      <c r="FS2" s="112" t="s">
        <v>104</v>
      </c>
      <c r="FT2" s="9" t="s">
        <v>28</v>
      </c>
      <c r="FU2" s="9" t="s">
        <v>29</v>
      </c>
      <c r="FV2" s="9" t="s">
        <v>31</v>
      </c>
      <c r="FW2" s="9" t="s">
        <v>123</v>
      </c>
      <c r="FX2" s="9" t="s">
        <v>30</v>
      </c>
      <c r="FY2" s="9" t="s">
        <v>25</v>
      </c>
      <c r="FZ2" s="138" t="s">
        <v>26</v>
      </c>
      <c r="GA2" s="138"/>
      <c r="GB2" s="138"/>
      <c r="GC2" s="138"/>
      <c r="GD2" s="138"/>
      <c r="GE2" s="138" t="s">
        <v>27</v>
      </c>
      <c r="GF2" s="138"/>
      <c r="GG2" s="138"/>
      <c r="GH2" s="138"/>
      <c r="GI2" s="138"/>
      <c r="GJ2" s="138" t="s">
        <v>30</v>
      </c>
      <c r="GK2" s="138"/>
      <c r="GL2" s="138"/>
      <c r="GM2" s="138"/>
      <c r="GN2" s="138"/>
      <c r="GO2" s="113" t="s">
        <v>104</v>
      </c>
      <c r="GP2" s="12" t="s">
        <v>28</v>
      </c>
      <c r="GQ2" s="12" t="s">
        <v>29</v>
      </c>
      <c r="GR2" s="12" t="s">
        <v>31</v>
      </c>
      <c r="GS2" s="12" t="s">
        <v>123</v>
      </c>
      <c r="GT2" s="12" t="s">
        <v>30</v>
      </c>
      <c r="GU2" s="12" t="s">
        <v>25</v>
      </c>
      <c r="GV2" s="135" t="s">
        <v>26</v>
      </c>
      <c r="GW2" s="135"/>
      <c r="GX2" s="135"/>
      <c r="GY2" s="135"/>
      <c r="GZ2" s="135"/>
      <c r="HA2" s="135" t="s">
        <v>27</v>
      </c>
      <c r="HB2" s="135"/>
      <c r="HC2" s="135"/>
      <c r="HD2" s="135"/>
      <c r="HE2" s="135"/>
      <c r="HF2" s="135" t="s">
        <v>30</v>
      </c>
      <c r="HG2" s="135"/>
      <c r="HH2" s="135"/>
      <c r="HI2" s="135"/>
      <c r="HJ2" s="135"/>
      <c r="HK2" s="112" t="s">
        <v>104</v>
      </c>
      <c r="HL2" s="9" t="s">
        <v>28</v>
      </c>
      <c r="HM2" s="9" t="s">
        <v>29</v>
      </c>
      <c r="HN2" s="9" t="s">
        <v>31</v>
      </c>
      <c r="HO2" s="9" t="s">
        <v>123</v>
      </c>
      <c r="HP2" s="9" t="s">
        <v>30</v>
      </c>
      <c r="HQ2" s="9" t="s">
        <v>25</v>
      </c>
      <c r="HR2" s="138" t="s">
        <v>26</v>
      </c>
      <c r="HS2" s="138"/>
      <c r="HT2" s="138"/>
      <c r="HU2" s="138"/>
      <c r="HV2" s="138"/>
      <c r="HW2" s="138" t="s">
        <v>27</v>
      </c>
      <c r="HX2" s="138"/>
      <c r="HY2" s="138"/>
      <c r="HZ2" s="138"/>
      <c r="IA2" s="138"/>
      <c r="IB2" s="138" t="s">
        <v>30</v>
      </c>
      <c r="IC2" s="138"/>
      <c r="ID2" s="138"/>
      <c r="IE2" s="138"/>
      <c r="IF2" s="138"/>
      <c r="IG2" s="113" t="s">
        <v>104</v>
      </c>
      <c r="IH2" s="12" t="s">
        <v>28</v>
      </c>
      <c r="II2" s="12" t="s">
        <v>29</v>
      </c>
      <c r="IJ2" s="12" t="s">
        <v>31</v>
      </c>
      <c r="IK2" s="12" t="s">
        <v>123</v>
      </c>
      <c r="IL2" s="12" t="s">
        <v>30</v>
      </c>
      <c r="IM2" s="12" t="s">
        <v>25</v>
      </c>
      <c r="IN2" s="135" t="s">
        <v>26</v>
      </c>
      <c r="IO2" s="135"/>
      <c r="IP2" s="135"/>
      <c r="IQ2" s="135"/>
      <c r="IR2" s="135"/>
      <c r="IS2" s="135" t="s">
        <v>27</v>
      </c>
      <c r="IT2" s="135"/>
      <c r="IU2" s="135"/>
      <c r="IV2" s="135"/>
      <c r="IW2" s="135"/>
      <c r="IX2" s="135" t="s">
        <v>30</v>
      </c>
      <c r="IY2" s="135"/>
      <c r="IZ2" s="135"/>
      <c r="JA2" s="135"/>
      <c r="JB2" s="135"/>
      <c r="JC2" s="112" t="s">
        <v>104</v>
      </c>
      <c r="JD2" s="9" t="s">
        <v>28</v>
      </c>
      <c r="JE2" s="9" t="s">
        <v>29</v>
      </c>
      <c r="JF2" s="9" t="s">
        <v>31</v>
      </c>
      <c r="JG2" s="9" t="s">
        <v>123</v>
      </c>
      <c r="JH2" s="9" t="s">
        <v>30</v>
      </c>
      <c r="JI2" s="9" t="s">
        <v>25</v>
      </c>
      <c r="JJ2" s="138" t="s">
        <v>26</v>
      </c>
      <c r="JK2" s="138"/>
      <c r="JL2" s="138"/>
      <c r="JM2" s="138"/>
      <c r="JN2" s="138"/>
      <c r="JO2" s="138" t="s">
        <v>27</v>
      </c>
      <c r="JP2" s="138"/>
      <c r="JQ2" s="138"/>
      <c r="JR2" s="138"/>
      <c r="JS2" s="138"/>
      <c r="JT2" s="138" t="s">
        <v>30</v>
      </c>
      <c r="JU2" s="138"/>
      <c r="JV2" s="138"/>
      <c r="JW2" s="138"/>
      <c r="JX2" s="138"/>
      <c r="JY2" s="113" t="s">
        <v>104</v>
      </c>
      <c r="JZ2" s="12" t="s">
        <v>28</v>
      </c>
      <c r="KA2" s="12" t="s">
        <v>29</v>
      </c>
      <c r="KB2" s="12" t="s">
        <v>31</v>
      </c>
      <c r="KC2" s="12" t="s">
        <v>123</v>
      </c>
      <c r="KD2" s="12" t="s">
        <v>30</v>
      </c>
      <c r="KE2" s="12" t="s">
        <v>25</v>
      </c>
      <c r="KF2" s="135" t="s">
        <v>26</v>
      </c>
      <c r="KG2" s="135"/>
      <c r="KH2" s="135"/>
      <c r="KI2" s="135"/>
      <c r="KJ2" s="135"/>
      <c r="KK2" s="135" t="s">
        <v>27</v>
      </c>
      <c r="KL2" s="135"/>
      <c r="KM2" s="135"/>
      <c r="KN2" s="135"/>
      <c r="KO2" s="135"/>
      <c r="KP2" s="135" t="s">
        <v>30</v>
      </c>
      <c r="KQ2" s="135"/>
      <c r="KR2" s="135"/>
      <c r="KS2" s="135"/>
      <c r="KT2" s="135"/>
      <c r="KU2" s="112" t="s">
        <v>104</v>
      </c>
      <c r="KV2" s="9" t="s">
        <v>28</v>
      </c>
      <c r="KW2" s="9" t="s">
        <v>29</v>
      </c>
      <c r="KX2" s="9" t="s">
        <v>31</v>
      </c>
      <c r="KY2" s="9" t="s">
        <v>123</v>
      </c>
      <c r="KZ2" s="9" t="s">
        <v>30</v>
      </c>
      <c r="LA2" s="9" t="s">
        <v>25</v>
      </c>
      <c r="LB2" s="138" t="s">
        <v>26</v>
      </c>
      <c r="LC2" s="138"/>
      <c r="LD2" s="138"/>
      <c r="LE2" s="138"/>
      <c r="LF2" s="138"/>
      <c r="LG2" s="138" t="s">
        <v>27</v>
      </c>
      <c r="LH2" s="138"/>
      <c r="LI2" s="138"/>
      <c r="LJ2" s="138"/>
      <c r="LK2" s="138"/>
      <c r="LL2" s="138" t="s">
        <v>30</v>
      </c>
      <c r="LM2" s="138"/>
      <c r="LN2" s="138"/>
      <c r="LO2" s="138"/>
      <c r="LP2" s="138"/>
      <c r="LQ2" s="113" t="s">
        <v>104</v>
      </c>
      <c r="LR2" s="12" t="s">
        <v>28</v>
      </c>
      <c r="LS2" s="12" t="s">
        <v>29</v>
      </c>
      <c r="LT2" s="12" t="s">
        <v>31</v>
      </c>
      <c r="LU2" s="12" t="s">
        <v>123</v>
      </c>
      <c r="LV2" s="12" t="s">
        <v>30</v>
      </c>
      <c r="LW2" s="12" t="s">
        <v>25</v>
      </c>
      <c r="LX2" s="135" t="s">
        <v>26</v>
      </c>
      <c r="LY2" s="135"/>
      <c r="LZ2" s="135"/>
      <c r="MA2" s="135"/>
      <c r="MB2" s="135"/>
      <c r="MC2" s="135" t="s">
        <v>27</v>
      </c>
      <c r="MD2" s="135"/>
      <c r="ME2" s="135"/>
      <c r="MF2" s="135"/>
      <c r="MG2" s="135"/>
      <c r="MH2" s="135" t="s">
        <v>30</v>
      </c>
      <c r="MI2" s="135"/>
      <c r="MJ2" s="135"/>
      <c r="MK2" s="135"/>
      <c r="ML2" s="135"/>
      <c r="MM2" s="112" t="s">
        <v>104</v>
      </c>
      <c r="MN2" s="9" t="s">
        <v>28</v>
      </c>
      <c r="MO2" s="9" t="s">
        <v>29</v>
      </c>
      <c r="MP2" s="9" t="s">
        <v>31</v>
      </c>
      <c r="MQ2" s="9" t="s">
        <v>123</v>
      </c>
      <c r="MR2" s="9" t="s">
        <v>30</v>
      </c>
      <c r="MS2" s="9" t="s">
        <v>25</v>
      </c>
      <c r="MT2" s="138" t="s">
        <v>26</v>
      </c>
      <c r="MU2" s="138"/>
      <c r="MV2" s="138"/>
      <c r="MW2" s="138"/>
      <c r="MX2" s="138"/>
      <c r="MY2" s="138" t="s">
        <v>27</v>
      </c>
      <c r="MZ2" s="138"/>
      <c r="NA2" s="138"/>
      <c r="NB2" s="138"/>
      <c r="NC2" s="138"/>
      <c r="ND2" s="138" t="s">
        <v>30</v>
      </c>
      <c r="NE2" s="138"/>
      <c r="NF2" s="138"/>
      <c r="NG2" s="138"/>
      <c r="NH2" s="138"/>
      <c r="NI2" s="113" t="s">
        <v>104</v>
      </c>
      <c r="NJ2" s="12" t="s">
        <v>28</v>
      </c>
      <c r="NK2" s="12" t="s">
        <v>29</v>
      </c>
      <c r="NL2" s="12" t="s">
        <v>31</v>
      </c>
      <c r="NM2" s="12" t="s">
        <v>123</v>
      </c>
      <c r="NN2" s="12" t="s">
        <v>30</v>
      </c>
      <c r="NO2" s="12" t="s">
        <v>25</v>
      </c>
      <c r="NP2" s="135" t="s">
        <v>26</v>
      </c>
      <c r="NQ2" s="135"/>
      <c r="NR2" s="135"/>
      <c r="NS2" s="135"/>
      <c r="NT2" s="135"/>
      <c r="NU2" s="135" t="s">
        <v>27</v>
      </c>
      <c r="NV2" s="135"/>
      <c r="NW2" s="135"/>
      <c r="NX2" s="135"/>
      <c r="NY2" s="135"/>
      <c r="NZ2" s="135" t="s">
        <v>159</v>
      </c>
      <c r="OA2" s="135"/>
      <c r="OB2" s="135"/>
      <c r="OC2" s="135"/>
      <c r="OD2" s="135"/>
      <c r="OE2" s="135" t="s">
        <v>30</v>
      </c>
      <c r="OF2" s="135"/>
      <c r="OG2" s="135"/>
      <c r="OH2" s="135"/>
      <c r="OI2" s="135"/>
      <c r="OJ2" s="112"/>
      <c r="OK2" s="9" t="s">
        <v>28</v>
      </c>
      <c r="OL2" s="9" t="s">
        <v>161</v>
      </c>
      <c r="OM2" s="9" t="s">
        <v>29</v>
      </c>
      <c r="ON2" s="9" t="s">
        <v>162</v>
      </c>
      <c r="OO2" s="9" t="s">
        <v>160</v>
      </c>
      <c r="OP2" s="9" t="s">
        <v>31</v>
      </c>
      <c r="OQ2" s="9" t="s">
        <v>123</v>
      </c>
      <c r="OR2" s="9" t="s">
        <v>30</v>
      </c>
      <c r="OS2" s="9" t="s">
        <v>25</v>
      </c>
    </row>
    <row r="3" spans="1:409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112" t="s">
        <v>22</v>
      </c>
      <c r="W3" s="112" t="s">
        <v>23</v>
      </c>
      <c r="X3" s="112" t="s">
        <v>14</v>
      </c>
      <c r="Y3" s="112" t="s">
        <v>24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24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24</v>
      </c>
      <c r="AJ3" s="112" t="s">
        <v>44</v>
      </c>
      <c r="AK3" s="112" t="s">
        <v>22</v>
      </c>
      <c r="AL3" s="112" t="s">
        <v>23</v>
      </c>
      <c r="AM3" s="112" t="s">
        <v>14</v>
      </c>
      <c r="AN3" s="112" t="s">
        <v>24</v>
      </c>
      <c r="AO3" s="112" t="s">
        <v>44</v>
      </c>
      <c r="AP3" s="112" t="s">
        <v>87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22</v>
      </c>
      <c r="BA3" s="113" t="s">
        <v>23</v>
      </c>
      <c r="BB3" s="113" t="s">
        <v>14</v>
      </c>
      <c r="BC3" s="113" t="s">
        <v>24</v>
      </c>
      <c r="BD3" s="113" t="s">
        <v>44</v>
      </c>
      <c r="BE3" s="113" t="s">
        <v>22</v>
      </c>
      <c r="BF3" s="113" t="s">
        <v>23</v>
      </c>
      <c r="BG3" s="113" t="s">
        <v>14</v>
      </c>
      <c r="BH3" s="113" t="s">
        <v>24</v>
      </c>
      <c r="BI3" s="113" t="s">
        <v>44</v>
      </c>
      <c r="BJ3" s="113" t="s">
        <v>22</v>
      </c>
      <c r="BK3" s="113" t="s">
        <v>23</v>
      </c>
      <c r="BL3" s="113" t="s">
        <v>14</v>
      </c>
      <c r="BM3" s="113" t="s">
        <v>24</v>
      </c>
      <c r="BN3" s="113" t="s">
        <v>44</v>
      </c>
      <c r="BO3" s="113" t="s">
        <v>22</v>
      </c>
      <c r="BP3" s="113" t="s">
        <v>23</v>
      </c>
      <c r="BQ3" s="113" t="s">
        <v>14</v>
      </c>
      <c r="BR3" s="113" t="s">
        <v>24</v>
      </c>
      <c r="BS3" s="113" t="s">
        <v>44</v>
      </c>
      <c r="BT3" s="113" t="s">
        <v>87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22</v>
      </c>
      <c r="CE3" s="112" t="s">
        <v>23</v>
      </c>
      <c r="CF3" s="112" t="s">
        <v>14</v>
      </c>
      <c r="CG3" s="112" t="s">
        <v>24</v>
      </c>
      <c r="CH3" s="112" t="s">
        <v>44</v>
      </c>
      <c r="CI3" s="112" t="s">
        <v>22</v>
      </c>
      <c r="CJ3" s="112" t="s">
        <v>23</v>
      </c>
      <c r="CK3" s="112" t="s">
        <v>14</v>
      </c>
      <c r="CL3" s="112" t="s">
        <v>24</v>
      </c>
      <c r="CM3" s="112" t="s">
        <v>44</v>
      </c>
      <c r="CN3" s="112" t="s">
        <v>22</v>
      </c>
      <c r="CO3" s="112" t="s">
        <v>23</v>
      </c>
      <c r="CP3" s="112" t="s">
        <v>14</v>
      </c>
      <c r="CQ3" s="112" t="s">
        <v>24</v>
      </c>
      <c r="CR3" s="112" t="s">
        <v>44</v>
      </c>
      <c r="CS3" s="112" t="s">
        <v>22</v>
      </c>
      <c r="CT3" s="112" t="s">
        <v>23</v>
      </c>
      <c r="CU3" s="112" t="s">
        <v>14</v>
      </c>
      <c r="CV3" s="112" t="s">
        <v>24</v>
      </c>
      <c r="CW3" s="112" t="s">
        <v>44</v>
      </c>
      <c r="CX3" s="112" t="s">
        <v>87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22</v>
      </c>
      <c r="DM3" s="112" t="s">
        <v>23</v>
      </c>
      <c r="DN3" s="112" t="s">
        <v>14</v>
      </c>
      <c r="DO3" s="112" t="s">
        <v>24</v>
      </c>
      <c r="DP3" s="112" t="s">
        <v>44</v>
      </c>
      <c r="DQ3" s="112" t="s">
        <v>22</v>
      </c>
      <c r="DR3" s="112" t="s">
        <v>23</v>
      </c>
      <c r="DS3" s="112" t="s">
        <v>14</v>
      </c>
      <c r="DT3" s="112" t="s">
        <v>24</v>
      </c>
      <c r="DU3" s="112" t="s">
        <v>44</v>
      </c>
      <c r="DV3" s="112" t="s">
        <v>22</v>
      </c>
      <c r="DW3" s="112" t="s">
        <v>23</v>
      </c>
      <c r="DX3" s="112" t="s">
        <v>14</v>
      </c>
      <c r="DY3" s="112" t="s">
        <v>24</v>
      </c>
      <c r="DZ3" s="112" t="s">
        <v>44</v>
      </c>
      <c r="EA3" s="10"/>
      <c r="EB3" s="9"/>
      <c r="EC3" s="9"/>
      <c r="ED3" s="9"/>
      <c r="EE3" s="9"/>
      <c r="EF3" s="10"/>
      <c r="EG3" s="10"/>
      <c r="EH3" s="113" t="s">
        <v>22</v>
      </c>
      <c r="EI3" s="113" t="s">
        <v>23</v>
      </c>
      <c r="EJ3" s="113" t="s">
        <v>14</v>
      </c>
      <c r="EK3" s="113" t="s">
        <v>24</v>
      </c>
      <c r="EL3" s="113" t="s">
        <v>44</v>
      </c>
      <c r="EM3" s="113" t="s">
        <v>22</v>
      </c>
      <c r="EN3" s="113" t="s">
        <v>23</v>
      </c>
      <c r="EO3" s="113" t="s">
        <v>14</v>
      </c>
      <c r="EP3" s="113" t="s">
        <v>24</v>
      </c>
      <c r="EQ3" s="113" t="s">
        <v>44</v>
      </c>
      <c r="ER3" s="113" t="s">
        <v>22</v>
      </c>
      <c r="ES3" s="113" t="s">
        <v>23</v>
      </c>
      <c r="ET3" s="113" t="s">
        <v>14</v>
      </c>
      <c r="EU3" s="113" t="s">
        <v>24</v>
      </c>
      <c r="EV3" s="51" t="s">
        <v>44</v>
      </c>
      <c r="EW3" s="13"/>
      <c r="EX3" s="12"/>
      <c r="EY3" s="12"/>
      <c r="EZ3" s="12"/>
      <c r="FA3" s="12"/>
      <c r="FB3" s="13"/>
      <c r="FC3" s="13"/>
      <c r="FD3" s="112" t="s">
        <v>22</v>
      </c>
      <c r="FE3" s="112" t="s">
        <v>23</v>
      </c>
      <c r="FF3" s="112" t="s">
        <v>14</v>
      </c>
      <c r="FG3" s="112" t="s">
        <v>24</v>
      </c>
      <c r="FH3" s="112" t="s">
        <v>44</v>
      </c>
      <c r="FI3" s="112" t="s">
        <v>22</v>
      </c>
      <c r="FJ3" s="112" t="s">
        <v>23</v>
      </c>
      <c r="FK3" s="112" t="s">
        <v>14</v>
      </c>
      <c r="FL3" s="112" t="s">
        <v>24</v>
      </c>
      <c r="FM3" s="112" t="s">
        <v>44</v>
      </c>
      <c r="FN3" s="112" t="s">
        <v>22</v>
      </c>
      <c r="FO3" s="112" t="s">
        <v>23</v>
      </c>
      <c r="FP3" s="112" t="s">
        <v>14</v>
      </c>
      <c r="FQ3" s="112" t="s">
        <v>24</v>
      </c>
      <c r="FR3" s="112" t="s">
        <v>44</v>
      </c>
      <c r="FS3" s="10"/>
      <c r="FT3" s="9"/>
      <c r="FU3" s="9"/>
      <c r="FV3" s="9"/>
      <c r="FW3" s="9"/>
      <c r="FX3" s="10"/>
      <c r="FY3" s="10"/>
      <c r="FZ3" s="113" t="s">
        <v>22</v>
      </c>
      <c r="GA3" s="113" t="s">
        <v>23</v>
      </c>
      <c r="GB3" s="113" t="s">
        <v>14</v>
      </c>
      <c r="GC3" s="113" t="s">
        <v>24</v>
      </c>
      <c r="GD3" s="113" t="s">
        <v>44</v>
      </c>
      <c r="GE3" s="113" t="s">
        <v>22</v>
      </c>
      <c r="GF3" s="113" t="s">
        <v>23</v>
      </c>
      <c r="GG3" s="113" t="s">
        <v>14</v>
      </c>
      <c r="GH3" s="113" t="s">
        <v>24</v>
      </c>
      <c r="GI3" s="113" t="s">
        <v>44</v>
      </c>
      <c r="GJ3" s="113" t="s">
        <v>22</v>
      </c>
      <c r="GK3" s="113" t="s">
        <v>23</v>
      </c>
      <c r="GL3" s="113" t="s">
        <v>14</v>
      </c>
      <c r="GM3" s="113" t="s">
        <v>24</v>
      </c>
      <c r="GN3" s="113" t="s">
        <v>44</v>
      </c>
      <c r="GO3" s="13"/>
      <c r="GP3" s="12"/>
      <c r="GQ3" s="12"/>
      <c r="GR3" s="12"/>
      <c r="GS3" s="12"/>
      <c r="GT3" s="13"/>
      <c r="GU3" s="13"/>
      <c r="GV3" s="112" t="s">
        <v>22</v>
      </c>
      <c r="GW3" s="112" t="s">
        <v>23</v>
      </c>
      <c r="GX3" s="112" t="s">
        <v>14</v>
      </c>
      <c r="GY3" s="112" t="s">
        <v>24</v>
      </c>
      <c r="GZ3" s="112" t="s">
        <v>44</v>
      </c>
      <c r="HA3" s="112" t="s">
        <v>22</v>
      </c>
      <c r="HB3" s="112" t="s">
        <v>23</v>
      </c>
      <c r="HC3" s="112" t="s">
        <v>14</v>
      </c>
      <c r="HD3" s="112" t="s">
        <v>24</v>
      </c>
      <c r="HE3" s="112" t="s">
        <v>44</v>
      </c>
      <c r="HF3" s="112" t="s">
        <v>22</v>
      </c>
      <c r="HG3" s="112" t="s">
        <v>23</v>
      </c>
      <c r="HH3" s="112" t="s">
        <v>14</v>
      </c>
      <c r="HI3" s="112" t="s">
        <v>24</v>
      </c>
      <c r="HJ3" s="112" t="s">
        <v>44</v>
      </c>
      <c r="HK3" s="10"/>
      <c r="HL3" s="9"/>
      <c r="HM3" s="9"/>
      <c r="HN3" s="9"/>
      <c r="HO3" s="9"/>
      <c r="HP3" s="10"/>
      <c r="HQ3" s="10"/>
      <c r="HR3" s="113" t="s">
        <v>22</v>
      </c>
      <c r="HS3" s="113" t="s">
        <v>23</v>
      </c>
      <c r="HT3" s="113" t="s">
        <v>14</v>
      </c>
      <c r="HU3" s="113" t="s">
        <v>24</v>
      </c>
      <c r="HV3" s="113" t="s">
        <v>44</v>
      </c>
      <c r="HW3" s="113" t="s">
        <v>22</v>
      </c>
      <c r="HX3" s="113" t="s">
        <v>23</v>
      </c>
      <c r="HY3" s="113" t="s">
        <v>14</v>
      </c>
      <c r="HZ3" s="113" t="s">
        <v>24</v>
      </c>
      <c r="IA3" s="113" t="s">
        <v>44</v>
      </c>
      <c r="IB3" s="113" t="s">
        <v>22</v>
      </c>
      <c r="IC3" s="113" t="s">
        <v>23</v>
      </c>
      <c r="ID3" s="113" t="s">
        <v>14</v>
      </c>
      <c r="IE3" s="113" t="s">
        <v>24</v>
      </c>
      <c r="IF3" s="113" t="s">
        <v>44</v>
      </c>
      <c r="IG3" s="13"/>
      <c r="IH3" s="12"/>
      <c r="II3" s="12"/>
      <c r="IJ3" s="12"/>
      <c r="IK3" s="12"/>
      <c r="IL3" s="13"/>
      <c r="IM3" s="13"/>
      <c r="IN3" s="112" t="s">
        <v>22</v>
      </c>
      <c r="IO3" s="112" t="s">
        <v>23</v>
      </c>
      <c r="IP3" s="112" t="s">
        <v>14</v>
      </c>
      <c r="IQ3" s="112" t="s">
        <v>24</v>
      </c>
      <c r="IR3" s="112" t="s">
        <v>44</v>
      </c>
      <c r="IS3" s="112" t="s">
        <v>22</v>
      </c>
      <c r="IT3" s="112" t="s">
        <v>23</v>
      </c>
      <c r="IU3" s="112" t="s">
        <v>14</v>
      </c>
      <c r="IV3" s="112" t="s">
        <v>24</v>
      </c>
      <c r="IW3" s="112" t="s">
        <v>44</v>
      </c>
      <c r="IX3" s="112" t="s">
        <v>22</v>
      </c>
      <c r="IY3" s="112" t="s">
        <v>23</v>
      </c>
      <c r="IZ3" s="112" t="s">
        <v>14</v>
      </c>
      <c r="JA3" s="112" t="s">
        <v>24</v>
      </c>
      <c r="JB3" s="112" t="s">
        <v>44</v>
      </c>
      <c r="JC3" s="10"/>
      <c r="JD3" s="9"/>
      <c r="JE3" s="9"/>
      <c r="JF3" s="9"/>
      <c r="JG3" s="9"/>
      <c r="JH3" s="10"/>
      <c r="JI3" s="10"/>
      <c r="JJ3" s="113" t="s">
        <v>22</v>
      </c>
      <c r="JK3" s="113" t="s">
        <v>23</v>
      </c>
      <c r="JL3" s="113" t="s">
        <v>14</v>
      </c>
      <c r="JM3" s="113" t="s">
        <v>24</v>
      </c>
      <c r="JN3" s="113" t="s">
        <v>44</v>
      </c>
      <c r="JO3" s="113" t="s">
        <v>22</v>
      </c>
      <c r="JP3" s="113" t="s">
        <v>23</v>
      </c>
      <c r="JQ3" s="113" t="s">
        <v>14</v>
      </c>
      <c r="JR3" s="113" t="s">
        <v>24</v>
      </c>
      <c r="JS3" s="113" t="s">
        <v>44</v>
      </c>
      <c r="JT3" s="113" t="s">
        <v>22</v>
      </c>
      <c r="JU3" s="113" t="s">
        <v>23</v>
      </c>
      <c r="JV3" s="113" t="s">
        <v>14</v>
      </c>
      <c r="JW3" s="113" t="s">
        <v>24</v>
      </c>
      <c r="JX3" s="113" t="s">
        <v>44</v>
      </c>
      <c r="JY3" s="13"/>
      <c r="JZ3" s="12"/>
      <c r="KA3" s="12"/>
      <c r="KB3" s="12"/>
      <c r="KC3" s="12"/>
      <c r="KD3" s="13"/>
      <c r="KE3" s="13"/>
      <c r="KF3" s="112" t="s">
        <v>22</v>
      </c>
      <c r="KG3" s="112" t="s">
        <v>23</v>
      </c>
      <c r="KH3" s="112" t="s">
        <v>14</v>
      </c>
      <c r="KI3" s="112" t="s">
        <v>24</v>
      </c>
      <c r="KJ3" s="112" t="s">
        <v>44</v>
      </c>
      <c r="KK3" s="112" t="s">
        <v>22</v>
      </c>
      <c r="KL3" s="112" t="s">
        <v>23</v>
      </c>
      <c r="KM3" s="112" t="s">
        <v>14</v>
      </c>
      <c r="KN3" s="112" t="s">
        <v>24</v>
      </c>
      <c r="KO3" s="112" t="s">
        <v>44</v>
      </c>
      <c r="KP3" s="112" t="s">
        <v>22</v>
      </c>
      <c r="KQ3" s="112" t="s">
        <v>23</v>
      </c>
      <c r="KR3" s="112" t="s">
        <v>14</v>
      </c>
      <c r="KS3" s="112" t="s">
        <v>24</v>
      </c>
      <c r="KT3" s="112" t="s">
        <v>44</v>
      </c>
      <c r="KU3" s="10"/>
      <c r="KV3" s="9"/>
      <c r="KW3" s="9"/>
      <c r="KX3" s="9"/>
      <c r="KY3" s="9"/>
      <c r="KZ3" s="10"/>
      <c r="LA3" s="10"/>
      <c r="LB3" s="113" t="s">
        <v>22</v>
      </c>
      <c r="LC3" s="113" t="s">
        <v>23</v>
      </c>
      <c r="LD3" s="113" t="s">
        <v>14</v>
      </c>
      <c r="LE3" s="113" t="s">
        <v>24</v>
      </c>
      <c r="LF3" s="113" t="s">
        <v>44</v>
      </c>
      <c r="LG3" s="113" t="s">
        <v>22</v>
      </c>
      <c r="LH3" s="113" t="s">
        <v>23</v>
      </c>
      <c r="LI3" s="113" t="s">
        <v>14</v>
      </c>
      <c r="LJ3" s="113" t="s">
        <v>24</v>
      </c>
      <c r="LK3" s="113" t="s">
        <v>44</v>
      </c>
      <c r="LL3" s="113" t="s">
        <v>22</v>
      </c>
      <c r="LM3" s="113" t="s">
        <v>23</v>
      </c>
      <c r="LN3" s="113" t="s">
        <v>14</v>
      </c>
      <c r="LO3" s="113" t="s">
        <v>24</v>
      </c>
      <c r="LP3" s="113" t="s">
        <v>44</v>
      </c>
      <c r="LQ3" s="13"/>
      <c r="LR3" s="12"/>
      <c r="LS3" s="12"/>
      <c r="LT3" s="12"/>
      <c r="LU3" s="12"/>
      <c r="LV3" s="13"/>
      <c r="LW3" s="13"/>
      <c r="LX3" s="112" t="s">
        <v>22</v>
      </c>
      <c r="LY3" s="112" t="s">
        <v>23</v>
      </c>
      <c r="LZ3" s="112" t="s">
        <v>14</v>
      </c>
      <c r="MA3" s="112" t="s">
        <v>24</v>
      </c>
      <c r="MB3" s="112" t="s">
        <v>44</v>
      </c>
      <c r="MC3" s="112" t="s">
        <v>22</v>
      </c>
      <c r="MD3" s="112" t="s">
        <v>23</v>
      </c>
      <c r="ME3" s="112" t="s">
        <v>14</v>
      </c>
      <c r="MF3" s="112" t="s">
        <v>24</v>
      </c>
      <c r="MG3" s="112" t="s">
        <v>44</v>
      </c>
      <c r="MH3" s="112" t="s">
        <v>22</v>
      </c>
      <c r="MI3" s="112" t="s">
        <v>23</v>
      </c>
      <c r="MJ3" s="112" t="s">
        <v>14</v>
      </c>
      <c r="MK3" s="112" t="s">
        <v>24</v>
      </c>
      <c r="ML3" s="112" t="s">
        <v>44</v>
      </c>
      <c r="MM3" s="10"/>
      <c r="MN3" s="9"/>
      <c r="MO3" s="9"/>
      <c r="MP3" s="9"/>
      <c r="MQ3" s="9"/>
      <c r="MR3" s="10"/>
      <c r="MS3" s="10"/>
      <c r="MT3" s="113" t="s">
        <v>22</v>
      </c>
      <c r="MU3" s="113" t="s">
        <v>23</v>
      </c>
      <c r="MV3" s="113" t="s">
        <v>14</v>
      </c>
      <c r="MW3" s="113" t="s">
        <v>24</v>
      </c>
      <c r="MX3" s="113" t="s">
        <v>44</v>
      </c>
      <c r="MY3" s="113" t="s">
        <v>22</v>
      </c>
      <c r="MZ3" s="113" t="s">
        <v>23</v>
      </c>
      <c r="NA3" s="113" t="s">
        <v>14</v>
      </c>
      <c r="NB3" s="113" t="s">
        <v>24</v>
      </c>
      <c r="NC3" s="113" t="s">
        <v>44</v>
      </c>
      <c r="ND3" s="113" t="s">
        <v>22</v>
      </c>
      <c r="NE3" s="113" t="s">
        <v>23</v>
      </c>
      <c r="NF3" s="113" t="s">
        <v>14</v>
      </c>
      <c r="NG3" s="113" t="s">
        <v>24</v>
      </c>
      <c r="NH3" s="113" t="s">
        <v>44</v>
      </c>
      <c r="NI3" s="13"/>
      <c r="NJ3" s="12"/>
      <c r="NK3" s="12"/>
      <c r="NL3" s="12"/>
      <c r="NM3" s="12"/>
      <c r="NN3" s="13"/>
      <c r="NO3" s="13"/>
      <c r="NP3" s="112" t="s">
        <v>22</v>
      </c>
      <c r="NQ3" s="112" t="s">
        <v>23</v>
      </c>
      <c r="NR3" s="112" t="s">
        <v>14</v>
      </c>
      <c r="NS3" s="112" t="s">
        <v>24</v>
      </c>
      <c r="NT3" s="112" t="s">
        <v>44</v>
      </c>
      <c r="NU3" s="112" t="s">
        <v>22</v>
      </c>
      <c r="NV3" s="112" t="s">
        <v>23</v>
      </c>
      <c r="NW3" s="112" t="s">
        <v>14</v>
      </c>
      <c r="NX3" s="112" t="s">
        <v>24</v>
      </c>
      <c r="NY3" s="112" t="s">
        <v>44</v>
      </c>
      <c r="NZ3" s="112" t="s">
        <v>22</v>
      </c>
      <c r="OA3" s="112" t="s">
        <v>23</v>
      </c>
      <c r="OB3" s="112" t="s">
        <v>14</v>
      </c>
      <c r="OC3" s="112" t="s">
        <v>24</v>
      </c>
      <c r="OD3" s="112" t="s">
        <v>44</v>
      </c>
      <c r="OE3" s="112" t="s">
        <v>22</v>
      </c>
      <c r="OF3" s="112" t="s">
        <v>23</v>
      </c>
      <c r="OG3" s="112" t="s">
        <v>14</v>
      </c>
      <c r="OH3" s="112" t="s">
        <v>24</v>
      </c>
      <c r="OI3" s="112" t="s">
        <v>44</v>
      </c>
      <c r="OJ3" s="112" t="s">
        <v>87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IF(AND(G4&lt;&gt;"",H4&lt;&gt;""),SUMPRODUCT((G$4:G$18&lt;&gt;"")*(H$4:H$18&lt;&gt;"")*(E$4:E$18&gt;E4))+1,IF(H4&lt;&gt;"",SUMPRODUCT((I$4:I$18="No DD")*(E$4:E$18&gt;E4))+1+SUMPRODUCT((G$4:G$18&lt;&gt;"")*(H$4:H$18&lt;&gt;"")),""))</f>
        <v>1</v>
      </c>
      <c r="B4" s="127" t="s">
        <v>38</v>
      </c>
      <c r="C4" s="5" t="s">
        <v>3</v>
      </c>
      <c r="D4" s="5">
        <v>1988</v>
      </c>
      <c r="E4" s="15">
        <f>SUM(K4:S4)</f>
        <v>268.66500000000002</v>
      </c>
      <c r="F4" s="3" t="str">
        <f>IF(G4&lt;&gt;"","P","")</f>
        <v>P</v>
      </c>
      <c r="G4" s="125" t="str">
        <f>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Merit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Excellence",IF(OR(AND(AR4&gt;=AY$21,AR4&lt;&gt;"",AP4=""),AND(AT4&gt;=AY$21,AT4&lt;&gt;"",AP4=""),AND(AW4&gt;=AY$21,AW4&lt;&gt;"",AP4=""),AND(BV4&gt;=CC$21,BV4&lt;&gt;"",BT4=""),AND(BX4&gt;=CC$21,BX4&lt;&gt;"",BT4=""),AND(CA4&gt;=CC$21,CA4&lt;&gt;"",BT4=""),AND(CZ4&gt;=DG$21,CZ4&lt;&gt;"",CX4=""),AND(DB4&gt;=DG$21,DB4&lt;&gt;"",CX4=""),AND(DE4&gt;=DG$21,DE4&lt;&gt;"",CX4=""),AND(EA4&gt;=EG$21,EA4&lt;&gt;""),AND(EE4&gt;=EG$21,EE4&lt;&gt;""),AND(EW4&gt;=FC$21,EW4&lt;&gt;""),AND(FA4&gt;=FC$21,FA4&lt;&gt;""),AND(FS4&gt;=FY$21,FS4&lt;&gt;""),AND(FW4&gt;=FY$21,FW4&lt;&gt;""),AND(GO4&gt;=GU$21,GO4&lt;&gt;""),AND(GS4&gt;=GU$21,GS4&lt;&gt;""),AND(HK4&gt;=HQ$21,HK4&lt;&gt;""),AND(HO4&gt;=HQ$21,HO4&lt;&gt;""),AND(IG4&gt;=IM$21,IG4&lt;&gt;""),AND(IK4&gt;=IM$21,IK4&lt;&gt;""),AND(JC4&gt;=JI$21,JC4&lt;&gt;""),AND(JG4&gt;=JI$21,JG4&lt;&gt;""),AND(JY4&gt;=KE$21,JY4&lt;&gt;""),AND(KC4&gt;=KE$21,KC4&lt;&gt;""),AND(KU4&gt;=LA$21,KU4&lt;&gt;""),AND(KY4&gt;=LA$21,KY4&lt;&gt;""),AND(LQ4&gt;=LW$21,LQ4&lt;&gt;""),AND(LU4&gt;=LW$21,LU4&lt;&gt;""),AND(MM4&gt;=MS$21,MM4&lt;&gt;""),AND(MQ4&gt;=MS$21,MQ4&lt;&gt;""),AND(NI4&gt;=NO$21,NI4&lt;&gt;""),AND(NM4&gt;=NO$21,NM4&lt;&gt;"")),"Worlds Team",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National Team",""))))</f>
        <v>Merit</v>
      </c>
      <c r="H4" s="125" t="str">
        <f>IF(OR(AND(AS4&gt;=AY$27,AS4&lt;&gt;"",AP4=""),AND(AU4&gt;=AY$27,AU4&lt;&gt;"",AP4=""),AND(AX4&gt;=AY$27,AX4&lt;&gt;"",AP4=""),AND(BW4&gt;=CC$27,BW4&lt;&gt;"",BT4=""),AND(BY4&gt;=CC$27,BY4&lt;&gt;"",BT4=""),AND(CB4&gt;=CC$27,CB4&lt;&gt;"",BT4=""),AND(DA4&gt;=DG$27,DA4&lt;&gt;"",CX4=""),AND(DC4&gt;=DG$27,DC4&lt;&gt;"",CX4=""),AND(DF4&gt;=DG$27,DF4&lt;&gt;"",CX4=""),AND(EC4&gt;=EG$27,EC4&lt;&gt;""),AND(EF4&gt;=EG$27,EF4&lt;&gt;""),AND(EY4&gt;=FC$27,EY4&lt;&gt;""),AND(FB4&gt;=FC$27,FB4&lt;&gt;""),AND(FU4&gt;=FY$27,FU4&lt;&gt;""),AND(FX4&gt;=FY$27,FX4&lt;&gt;""),AND(GQ4&gt;=GU$27,GQ4&lt;&gt;""),AND(GT4&gt;=GU$27,GT4&lt;&gt;""),AND(HM4&gt;=HQ$27,HM4&lt;&gt;""),AND(HP4&gt;=HQ$27,HP4&lt;&gt;""),AND(II4&gt;=IM$27,II4&lt;&gt;""),AND(IL4&gt;=IM$27,IL4&lt;&gt;""),AND(JE4&gt;=JI$27,JE4&lt;&gt;""),AND(JH4&gt;=JI$27,JH4&lt;&gt;""),AND(KA4&gt;=KE$27,KA4&lt;&gt;""),AND(KD4&gt;=KE$27,KD4&lt;&gt;""),AND(KW4&gt;=LA$27,KW4&lt;&gt;""),AND(KZ4&gt;=LA$27,KZ4&lt;&gt;""),AND(LS4&gt;=LW$27,LS4&lt;&gt;""),AND(LV4&gt;=LW$27,LV4&lt;&gt;""),AND(MO4&gt;=MS$27,MO4&lt;&gt;""),AND(MR4&gt;=MS$27,MR4&lt;&gt;""),AND(NK4&gt;=NO$27,NK4&lt;&gt;""),AND(NN4&gt;=NO$27,NN4&lt;&gt;"")),"Merit",IF(OR(AND(AS4&gt;=AY$26,AS4&lt;&gt;"",AP4=""),AND(AU4&gt;=AY$26,AU4&lt;&gt;"",AP4=""),AND(AX4&gt;=AY$26,AX4&lt;&gt;"",AP4=""),AND(BW4&gt;=CC$26,BW4&lt;&gt;"",BT4=""),AND(BY4&gt;=CC$26,BY4&lt;&gt;"",BT4=""),AND(CB4&gt;=CC$26,CB4&lt;&gt;"",BT4=""),AND(DA4&gt;=DG$26,DA4&lt;&gt;"",CX4=""),AND(DC4&gt;=DG$26,DC4&lt;&gt;"",CX4=""),AND(DF4&gt;=DG$26,DF4&lt;&gt;"",CX4=""),AND(EC4&gt;=EG$26,EC4&lt;&gt;""),AND(EF4&gt;=EG$26,EF4&lt;&gt;""),AND(EY4&gt;=FC$26,EY4&lt;&gt;""),AND(FB4&gt;=FC$26,FB4&lt;&gt;""),AND(FU4&gt;=FY$26,FU4&lt;&gt;""),AND(FX4&gt;=FY$26,FX4&lt;&gt;""),AND(GQ4&gt;=GU$26,GQ4&lt;&gt;""),AND(GT4&gt;=GU$26,GT4&lt;&gt;""),AND(HM4&gt;=HQ$26,HM4&lt;&gt;""),AND(HP4&gt;=HQ$26,HP4&lt;&gt;""),AND(II4&gt;=IM$26,II4&lt;&gt;""),AND(IL4&gt;=IM$26,IL4&lt;&gt;""),AND(JE4&gt;=JI$26,JE4&lt;&gt;""),AND(JH4&gt;=JI$26,JH4&lt;&gt;""),AND(KA4&gt;=KE$26,KA4&lt;&gt;""),AND(KD4&gt;=KE$26,KD4&lt;&gt;""),AND(KW4&gt;=LA$26,KW4&lt;&gt;""),AND(KZ4&gt;=LA$26,KZ4&lt;&gt;""),AND(LS4&gt;=LW$26,LS4&lt;&gt;""),AND(LV4&gt;=LW$26,LV4&lt;&gt;""),AND(MO4&gt;=MS$26,MO4&lt;&gt;""),AND(MR4&gt;=MS$26,MR4&lt;&gt;""),AND(NK4&gt;=NO$26,NK4&lt;&gt;""),AND(NN4&gt;=NO$26,NN4&lt;&gt;"")),"Excellence",IF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"Worlds Team",IF(OR(AND(AV4&gt;=AY$24,AV4&lt;&gt;"",AP4=""),AND(BZ4&gt;=CC$24,BZ4&lt;&gt;"",BT4=""),AND(DD4&gt;=DG$24,DD4&lt;&gt;"",CX4=""),AND(ED4&gt;=EG$24,ED4&lt;&gt;""),AND(EZ4&gt;=FC$24,EZ4&lt;&gt;""),AND(FV4&gt;=FY$24,FV4&lt;&gt;""),AND(GR4&gt;=GU$24,GR4&lt;&gt;""),AND(HN4&gt;=HQ$24,HN4&lt;&gt;""),AND(IJ4&gt;=IM$24,IJ4&lt;&gt;""),AND(JF4&gt;=JI$24,JF4&lt;&gt;""),AND(KB4&gt;=KE$24,KB4&lt;&gt;""),AND(KX4&gt;=LA$24,KX4&lt;&gt;""),AND(LT4&gt;=LW$24,LT4&lt;&gt;""),AND(MP4&gt;=MS$24,MP4&lt;&gt;""),AND(NL4&gt;=NO$24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$25,AV4&lt;&gt;"",AP4=""),AND(BZ4&gt;=CC$25,BZ4&lt;&gt;"",BT4=""),AND(DD4&gt;=DG$25,DD4&lt;&gt;"",CX4=""),AND(ED4&gt;=EG$25,ED4&lt;&gt;""),AND(EZ4&gt;=FC$25,EZ4&lt;&gt;""),AND(FV4&gt;=FY$25,FV4&lt;&gt;""),AND(GR4&gt;=GU$25,GR4&lt;&gt;""),AND(HN4&gt;=HQ$25,HN4&lt;&gt;""),AND(IJ4&gt;=IM$25,IJ4&lt;&gt;""),AND(JF4&gt;=JI$25,JF4&lt;&gt;""),AND(KB4&gt;=KE$25,KB4&lt;&gt;""),AND(KX4&gt;=LA$25,KX4&lt;&gt;""),AND(LT4&gt;=LW$25,LT4&lt;&gt;""),AND(MP4&gt;=MS$25,MP4&lt;&gt;""),AND(NL4&gt;=NO$25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49.48</v>
      </c>
      <c r="N4" s="14" t="str">
        <f>IF(M4=0,"",IF(AND(M4=CY4,$L4&lt;&gt;$CD$1),$CD$1,IF(AND(M4=BU4,$L4&lt;&gt;$AZ$1),$AZ$1,IF(AND(M4=AQ4,$L4&lt;&gt;$V$1),$V$1,""))))</f>
        <v>2021 1st Virtual Technical Trial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56.774999999999999</v>
      </c>
      <c r="P4" s="14" t="str">
        <f>IF(O4=0,"",IF(OR(O4=DC4,O4=DA4),$CD$1,IF(OR(O4=BY4,O4=BW4),$AZ$1,IF(OR(O4=AU4,O4=AS4),$V$1,""))))</f>
        <v>2021 1st Virtual Technical Trial</v>
      </c>
      <c r="Q4" s="14">
        <f>MAX(AX4,CB4,DF4)</f>
        <v>55.760000000000005</v>
      </c>
      <c r="R4" s="14" t="str">
        <f>IF(Q4=0,"",IF(Q4=DF4,$CD$1,IF(Q4=CB4,$AZ$1,IF(Q4=AX4,$V$1,""))))</f>
        <v>2021 1st Virtual Technical Trial</v>
      </c>
      <c r="S4" s="14" t="str">
        <f>IF(MAX(DH4,DI4,DJ4,DK4)&gt;0,MAX(DH4,DI4,DJ4,DK4),"")</f>
        <v/>
      </c>
      <c r="T4" s="25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9">
        <v>18.8</v>
      </c>
      <c r="W4" s="69">
        <v>9.4499999999999993</v>
      </c>
      <c r="X4" s="69">
        <v>4.4000000000000004</v>
      </c>
      <c r="Y4" s="69">
        <v>16.634999999999998</v>
      </c>
      <c r="Z4" s="69">
        <v>0</v>
      </c>
      <c r="AA4" s="69">
        <v>16.8</v>
      </c>
      <c r="AB4" s="69">
        <v>9.2750000000000004</v>
      </c>
      <c r="AC4" s="69">
        <v>14.15</v>
      </c>
      <c r="AD4" s="69">
        <v>15.73</v>
      </c>
      <c r="AE4" s="69">
        <v>0</v>
      </c>
      <c r="AF4" s="69"/>
      <c r="AG4" s="69"/>
      <c r="AH4" s="69"/>
      <c r="AI4" s="69"/>
      <c r="AJ4" s="69"/>
      <c r="AK4" s="69">
        <v>9.85</v>
      </c>
      <c r="AL4" s="69">
        <v>5.35</v>
      </c>
      <c r="AM4" s="69">
        <v>8.5500000000000007</v>
      </c>
      <c r="AN4" s="69">
        <v>9.6425000000000001</v>
      </c>
      <c r="AO4" s="69">
        <v>0</v>
      </c>
      <c r="AP4" s="80" t="s">
        <v>88</v>
      </c>
      <c r="AQ4" s="11">
        <f>IF(SUM(V4:Y4)-Z4&gt;0,SUM(V4:Y4)-Z4,"")</f>
        <v>49.284999999999997</v>
      </c>
      <c r="AR4" s="11">
        <f>IF(AC4&gt;0,AC4,"")</f>
        <v>14.15</v>
      </c>
      <c r="AS4" s="11">
        <f>IF(SUM(AA4:AD4)-AE4&gt;0,SUM(AA4:AD4)-AE4,"")</f>
        <v>55.954999999999998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105.24</v>
      </c>
      <c r="AW4" s="11">
        <f>IF(AM4&gt;0,AM4,"")</f>
        <v>8.5500000000000007</v>
      </c>
      <c r="AX4" s="11">
        <f>IF(SUM(AK4:AN4)-AO4&gt;0,SUM(AK4:AN4)-AO4,"")</f>
        <v>33.392499999999998</v>
      </c>
      <c r="AY4" s="11">
        <f>IF(SUM(AV4,AX4)&gt;0,SUM(AV4,AX4),"")</f>
        <v>138.63249999999999</v>
      </c>
      <c r="AZ4" s="75">
        <v>18.399999999999999</v>
      </c>
      <c r="BA4" s="75">
        <v>9.6</v>
      </c>
      <c r="BB4" s="75">
        <v>4.9000000000000004</v>
      </c>
      <c r="BC4" s="75">
        <v>16.579999999999998</v>
      </c>
      <c r="BD4" s="75">
        <v>0</v>
      </c>
      <c r="BE4" s="75">
        <v>5.6</v>
      </c>
      <c r="BF4" s="75">
        <v>3.3</v>
      </c>
      <c r="BG4" s="75">
        <v>4.7</v>
      </c>
      <c r="BH4" s="75">
        <v>3.38</v>
      </c>
      <c r="BI4" s="75">
        <v>0</v>
      </c>
      <c r="BJ4" s="75">
        <v>16.399999999999999</v>
      </c>
      <c r="BK4" s="75">
        <v>9.85</v>
      </c>
      <c r="BL4" s="75">
        <v>14.8</v>
      </c>
      <c r="BM4" s="75">
        <v>15.725</v>
      </c>
      <c r="BN4" s="75">
        <v>0</v>
      </c>
      <c r="BO4" s="75">
        <v>16</v>
      </c>
      <c r="BP4" s="75">
        <v>9.35</v>
      </c>
      <c r="BQ4" s="75">
        <v>14.8</v>
      </c>
      <c r="BR4" s="75">
        <v>15.61</v>
      </c>
      <c r="BS4" s="75">
        <v>0</v>
      </c>
      <c r="BT4" s="81"/>
      <c r="BU4" s="14">
        <f>IF(SUM(AZ4:BC4)-BD4&gt;0,SUM(AZ4:BC4)-BD4,"")</f>
        <v>49.48</v>
      </c>
      <c r="BV4" s="14">
        <f>IF(BG4&gt;0,BG4,"")</f>
        <v>4.7</v>
      </c>
      <c r="BW4" s="14">
        <f>IF(SUM(BE4:BH4)-BI4&gt;0,SUM(BE4:BH4)-BI4,"")</f>
        <v>16.979999999999997</v>
      </c>
      <c r="BX4" s="14">
        <f>IF(BL4&gt;0,BL4,"")</f>
        <v>14.8</v>
      </c>
      <c r="BY4" s="14">
        <f>IF(SUM(BJ4:BM4)-BN4&gt;0,SUM(BJ4:BM4)-BN4,"")</f>
        <v>56.774999999999999</v>
      </c>
      <c r="BZ4" s="14">
        <f>IF(BU4="",IF(MAX(BW4,BY4)&gt;0,MAX(BW4,BY4),""),MAX(BW4,BY4)+BU4)</f>
        <v>106.255</v>
      </c>
      <c r="CA4" s="14">
        <f>IF(BQ4&gt;0,BQ4,"")</f>
        <v>14.8</v>
      </c>
      <c r="CB4" s="14">
        <f>IF(SUM(BO4:BR4)-BS4&gt;0,SUM(BO4:BR4)-BS4,"")</f>
        <v>55.760000000000005</v>
      </c>
      <c r="CC4" s="14">
        <f>IF(SUM(BZ4,CB4)&gt;0,SUM(BZ4,CB4),"")</f>
        <v>162.01499999999999</v>
      </c>
      <c r="CD4" s="69">
        <v>18.5</v>
      </c>
      <c r="CE4" s="69">
        <v>9.8000000000000007</v>
      </c>
      <c r="CF4" s="69">
        <v>4.8</v>
      </c>
      <c r="CG4" s="69">
        <v>16.895</v>
      </c>
      <c r="CH4" s="69">
        <v>0</v>
      </c>
      <c r="CI4" s="69">
        <v>15.6</v>
      </c>
      <c r="CJ4" s="69">
        <v>9.5</v>
      </c>
      <c r="CK4" s="69">
        <v>14.9</v>
      </c>
      <c r="CL4" s="69">
        <v>15.84</v>
      </c>
      <c r="CM4" s="69">
        <v>0</v>
      </c>
      <c r="CN4" s="69">
        <v>16.399999999999999</v>
      </c>
      <c r="CO4" s="69">
        <v>9.6</v>
      </c>
      <c r="CP4" s="69">
        <v>14.9</v>
      </c>
      <c r="CQ4" s="69">
        <v>15.755000000000001</v>
      </c>
      <c r="CR4" s="69">
        <v>0</v>
      </c>
      <c r="CS4" s="69">
        <v>16.100000000000001</v>
      </c>
      <c r="CT4" s="69">
        <v>9.4</v>
      </c>
      <c r="CU4" s="69">
        <v>13.8</v>
      </c>
      <c r="CV4" s="69">
        <v>15.545</v>
      </c>
      <c r="CW4" s="69">
        <v>0</v>
      </c>
      <c r="CX4" s="80"/>
      <c r="CY4" s="11">
        <f>IF(SUM(CD4:CG4)-CH4&gt;0,SUM(CD4:CG4)-CH4,"")</f>
        <v>49.995000000000005</v>
      </c>
      <c r="CZ4" s="11">
        <f>IF(CK4&gt;0,CK4,"")</f>
        <v>14.9</v>
      </c>
      <c r="DA4" s="11">
        <f>IF(SUM(CI4:CL4)-CM4&gt;0,SUM(CI4:CL4)-CM4,"")</f>
        <v>55.84</v>
      </c>
      <c r="DB4" s="11">
        <f>IF(CP4&gt;0,CP4,"")</f>
        <v>14.9</v>
      </c>
      <c r="DC4" s="11">
        <f>IF(SUM(CN4:CQ4)-CR4&gt;0,SUM(CN4:CQ4)-CR4,"")</f>
        <v>56.655000000000001</v>
      </c>
      <c r="DD4" s="11">
        <f>IF(CY4="",IF(MAX(DA4,DC4)&gt;0,MAX(DA4,DC4),""),MAX(DA4,DC4)+CY4)</f>
        <v>106.65</v>
      </c>
      <c r="DE4" s="11">
        <f>IF(CU4&gt;0,CU4,"")</f>
        <v>13.8</v>
      </c>
      <c r="DF4" s="11">
        <f>IF(SUM(CS4:CV4)-CW4&gt;0,SUM(CS4:CV4)-CW4,"")</f>
        <v>54.844999999999999</v>
      </c>
      <c r="DG4" s="11">
        <f>IF(SUM(DD4,DF4)&gt;0,SUM(DD4,DF4),"")</f>
        <v>161.495</v>
      </c>
      <c r="DH4" s="24" t="str">
        <f>IF(MAX(EB4,EX4,FT4,GP4,HL4,IH4,JD4,JZ4,KV4,LR4,MN4,NJ4)-IF(M4="",0,M4)&gt;0.001,MAX(EB4,EX4,FT4,GP4,HL4,IH4,JD4,JZ4,KV4,LR4,MN4,NJ4)-IF(M4="",0,M4),"")</f>
        <v/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18.100000000000001</v>
      </c>
      <c r="DM4" s="37">
        <v>9.3000000000000007</v>
      </c>
      <c r="DN4" s="37">
        <v>4.4000000000000004</v>
      </c>
      <c r="DO4" s="37">
        <v>16.07</v>
      </c>
      <c r="DP4" s="37">
        <v>0</v>
      </c>
      <c r="DQ4" s="37">
        <v>15.8</v>
      </c>
      <c r="DR4" s="37">
        <v>9.1999999999999993</v>
      </c>
      <c r="DS4" s="37">
        <v>15</v>
      </c>
      <c r="DT4" s="37">
        <v>14.84</v>
      </c>
      <c r="DU4" s="37">
        <v>0</v>
      </c>
      <c r="DV4" s="37"/>
      <c r="DW4" s="37"/>
      <c r="DX4" s="37"/>
      <c r="DY4" s="37"/>
      <c r="DZ4" s="37"/>
      <c r="EA4" s="11">
        <f>IF(DS4&gt;0,DS4,"")</f>
        <v>15</v>
      </c>
      <c r="EB4" s="11">
        <f>IF(SUM(DL4:DO4)-DP4&gt;0,SUM(DL4:DO4)-DP4,"")</f>
        <v>47.870000000000005</v>
      </c>
      <c r="EC4" s="11">
        <f>IF(SUM(DQ4:DT4)-DU4&gt;0,SUM(DQ4:DT4)-DU4,"")</f>
        <v>54.84</v>
      </c>
      <c r="ED4" s="11">
        <f>IF(SUM(EB4:EC4)&gt;0,SUM(EB4:EC4),"")</f>
        <v>102.71000000000001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102.71000000000001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18.45</v>
      </c>
      <c r="NQ4" s="69">
        <f>IF($CX4="P",CE4,(CE4+BA4)/2)</f>
        <v>9.6999999999999993</v>
      </c>
      <c r="NR4" s="69">
        <f>IF($CX4="P",CF4,(CF4+BB4)/2)</f>
        <v>4.8499999999999996</v>
      </c>
      <c r="NS4" s="69">
        <f>IF($CX4="P",CG4,(CG4+BC4)/2)</f>
        <v>16.737499999999997</v>
      </c>
      <c r="NT4" s="69">
        <f>IF($CX4="P",CH4,(CH4+BD4)/2)</f>
        <v>0</v>
      </c>
      <c r="NU4" s="69">
        <f>IF($CX4="P",CI4,(CI4+BE4)/2)</f>
        <v>10.6</v>
      </c>
      <c r="NV4" s="69">
        <f>IF($CX4="P",CJ4,(CJ4+BF4)/2)</f>
        <v>6.4</v>
      </c>
      <c r="NW4" s="69">
        <f>IF($CX4="P",CK4,(CK4+BG4)/2)</f>
        <v>9.8000000000000007</v>
      </c>
      <c r="NX4" s="69">
        <f>IF($CX4="P",CL4,(CL4+BH4)/2)</f>
        <v>9.61</v>
      </c>
      <c r="NY4" s="69">
        <f>IF($CX4="P",CM4,(CM4+BI4)/2)</f>
        <v>0</v>
      </c>
      <c r="NZ4" s="69">
        <f>IF($CX4="P",CN4,(CN4+BJ4)/2)</f>
        <v>16.399999999999999</v>
      </c>
      <c r="OA4" s="69">
        <f>IF($CX4="P",CO4,(CO4+BK4)/2)</f>
        <v>9.7249999999999996</v>
      </c>
      <c r="OB4" s="69">
        <f>IF($CX4="P",CP4,(CP4+BL4)/2)</f>
        <v>14.850000000000001</v>
      </c>
      <c r="OC4" s="69">
        <f>IF($CX4="P",CQ4,(CQ4+BM4)/2)</f>
        <v>15.74</v>
      </c>
      <c r="OD4" s="69">
        <f>IF($CX4="P",CR4,(CR4+BN4)/2)</f>
        <v>0</v>
      </c>
      <c r="OE4" s="69">
        <f>IF($CX4="P",CS4,(CS4+BO4)/2)</f>
        <v>16.05</v>
      </c>
      <c r="OF4" s="69">
        <f>IF($CX4="P",CT4,(CT4+BP4)/2)</f>
        <v>9.375</v>
      </c>
      <c r="OG4" s="69">
        <f>IF($CX4="P",CU4,(CU4+BQ4)/2)</f>
        <v>14.3</v>
      </c>
      <c r="OH4" s="69">
        <f>IF($CX4="P",CV4,(CV4+BR4)/2)</f>
        <v>15.577500000000001</v>
      </c>
      <c r="OI4" s="69">
        <f>IF($CX4="P",CW4,(CW4+BS4)/2)</f>
        <v>0</v>
      </c>
      <c r="OJ4" s="80" t="s">
        <v>88</v>
      </c>
      <c r="OK4" s="11">
        <f>IF(SUM(NP4:NS4)-NT4&gt;0,SUM(NP4:NS4)-NT4,"")</f>
        <v>49.737499999999997</v>
      </c>
      <c r="OL4" s="11">
        <f>IF(NW4&gt;0,NW4,"")</f>
        <v>9.8000000000000007</v>
      </c>
      <c r="OM4" s="11">
        <f>IF(SUM(NU4:NX4)-NY4&gt;0,SUM(NU4:NX4)-NY4,"")</f>
        <v>36.409999999999997</v>
      </c>
      <c r="ON4" s="11">
        <f>IF(OB4&gt;0,OB4,"")</f>
        <v>14.850000000000001</v>
      </c>
      <c r="OO4" s="11">
        <f>IF(SUM(NZ4:OC4)-OD4&gt;0,SUM(NZ4:OC4)-OD4,"")</f>
        <v>56.715000000000003</v>
      </c>
      <c r="OP4" s="11">
        <f>IF(OR(OK4&lt;&gt;"",OM4&lt;&gt;"",OO4&lt;&gt;""),OK4+MAX(OM4,OO4),"")</f>
        <v>106.4525</v>
      </c>
      <c r="OQ4" s="11">
        <f>IF(OG4&gt;0,OG4,"")</f>
        <v>14.3</v>
      </c>
      <c r="OR4" s="11">
        <f t="shared" ref="OR4:OR16" si="0">IF(SUM(OE4:OH4)-OI4&gt;0,SUM(OE4:OH4)-OI4,"")</f>
        <v>55.302500000000002</v>
      </c>
      <c r="OS4" s="11">
        <f>IF(SUM(OP4,OR4)&gt;0,SUM(OP4,OR4),"")</f>
        <v>161.755</v>
      </c>
    </row>
    <row r="5" spans="1:409" x14ac:dyDescent="0.2">
      <c r="A5" s="5" cm="1">
        <f t="array" ref="A5">IF(AND(G5&lt;&gt;"",H5&lt;&gt;""),SUMPRODUCT((G$4:G$18&lt;&gt;"")*(H$4:H$18&lt;&gt;"")*(E$4:E$18&gt;E5))+1,IF(H5&lt;&gt;"",SUMPRODUCT((I$4:I$18="No DD")*(E$4:E$18&gt;E5))+1+SUMPRODUCT((G$4:G$18&lt;&gt;"")*(H$4:H$18&lt;&gt;"")),""))</f>
        <v>2</v>
      </c>
      <c r="B5" s="127" t="s">
        <v>34</v>
      </c>
      <c r="C5" s="5" t="s">
        <v>10</v>
      </c>
      <c r="D5" s="5">
        <v>1997</v>
      </c>
      <c r="E5" s="15">
        <f>SUM(K5:S5)</f>
        <v>262.745</v>
      </c>
      <c r="F5" s="3" t="str">
        <f>IF(G5&lt;&gt;"","P","")</f>
        <v>P</v>
      </c>
      <c r="G5" s="125" t="str">
        <f>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Merit",IF(OR(AND(AR5&gt;=AY$22,AR5&lt;&gt;"",AP5=""),AND(AT5&gt;=AY$22,AT5&lt;&gt;"",AP5=""),AND(AW5&gt;=AY$22,AW5&lt;&gt;"",AP5=""),AND(BV5&gt;=CC$22,BV5&lt;&gt;"",BT5=""),AND(BX5&gt;=CC$22,BX5&lt;&gt;"",BT5=""),AND(CA5&gt;=CC$22,CA5&lt;&gt;"",BT5=""),AND(CZ5&gt;=DG$22,CZ5&lt;&gt;"",CX5=""),AND(DB5&gt;=DG$22,DB5&lt;&gt;"",CX5=""),AND(DE5&gt;=DG$22,DE5&lt;&gt;"",CX5=""),AND(EA5&gt;=EG$22,EA5&lt;&gt;""),AND(EE5&gt;=EG$22,EE5&lt;&gt;""),AND(EW5&gt;=FC$22,EW5&lt;&gt;""),AND(FA5&gt;=FC$22,FA5&lt;&gt;""),AND(FS5&gt;=FY$22,FS5&lt;&gt;""),AND(FW5&gt;=FY$22,FW5&lt;&gt;""),AND(GO5&gt;=GU$22,GO5&lt;&gt;""),AND(GS5&gt;=GU$22,GS5&lt;&gt;""),AND(HK5&gt;=HQ$22,HK5&lt;&gt;""),AND(HO5&gt;=HQ$22,HO5&lt;&gt;""),AND(IG5&gt;=IM$22,IG5&lt;&gt;""),AND(IK5&gt;=IM$22,IK5&lt;&gt;""),AND(JC5&gt;=JI$22,JC5&lt;&gt;""),AND(JG5&gt;=JI$22,JG5&lt;&gt;""),AND(JY5&gt;=KE$22,JY5&lt;&gt;""),AND(KC5&gt;=KE$22,KC5&lt;&gt;""),AND(KU5&gt;=LA$22,KU5&lt;&gt;""),AND(KY5&gt;=LA$22,KY5&lt;&gt;""),AND(LQ5&gt;=LW$22,LQ5&lt;&gt;""),AND(LU5&gt;=LW$22,LU5&lt;&gt;""),AND(MM5&gt;=MS$22,MM5&lt;&gt;""),AND(MQ5&gt;=MS$22,MQ5&lt;&gt;""),AND(NI5&gt;=NO$22,NI5&lt;&gt;""),AND(NM5&gt;=NO$22,NM5&lt;&gt;"")),"Excellence",IF(OR(AND(AR5&gt;=AY$21,AR5&lt;&gt;"",AP5=""),AND(AT5&gt;=AY$21,AT5&lt;&gt;"",AP5=""),AND(AW5&gt;=AY$21,AW5&lt;&gt;"",AP5=""),AND(BV5&gt;=CC$21,BV5&lt;&gt;"",BT5=""),AND(BX5&gt;=CC$21,BX5&lt;&gt;"",BT5=""),AND(CA5&gt;=CC$21,CA5&lt;&gt;"",BT5=""),AND(CZ5&gt;=DG$21,CZ5&lt;&gt;"",CX5=""),AND(DB5&gt;=DG$21,DB5&lt;&gt;"",CX5=""),AND(DE5&gt;=DG$21,DE5&lt;&gt;"",CX5=""),AND(EA5&gt;=EG$21,EA5&lt;&gt;""),AND(EE5&gt;=EG$21,EE5&lt;&gt;""),AND(EW5&gt;=FC$21,EW5&lt;&gt;""),AND(FA5&gt;=FC$21,FA5&lt;&gt;""),AND(FS5&gt;=FY$21,FS5&lt;&gt;""),AND(FW5&gt;=FY$21,FW5&lt;&gt;""),AND(GO5&gt;=GU$21,GO5&lt;&gt;""),AND(GS5&gt;=GU$21,GS5&lt;&gt;""),AND(HK5&gt;=HQ$21,HK5&lt;&gt;""),AND(HO5&gt;=HQ$21,HO5&lt;&gt;""),AND(IG5&gt;=IM$21,IG5&lt;&gt;""),AND(IK5&gt;=IM$21,IK5&lt;&gt;""),AND(JC5&gt;=JI$21,JC5&lt;&gt;""),AND(JG5&gt;=JI$21,JG5&lt;&gt;""),AND(JY5&gt;=KE$21,JY5&lt;&gt;""),AND(KC5&gt;=KE$21,KC5&lt;&gt;""),AND(KU5&gt;=LA$21,KU5&lt;&gt;""),AND(KY5&gt;=LA$21,KY5&lt;&gt;""),AND(LQ5&gt;=LW$21,LQ5&lt;&gt;""),AND(LU5&gt;=LW$21,LU5&lt;&gt;""),AND(MM5&gt;=MS$21,MM5&lt;&gt;""),AND(MQ5&gt;=MS$21,MQ5&lt;&gt;""),AND(NI5&gt;=NO$21,NI5&lt;&gt;""),AND(NM5&gt;=NO$21,NM5&lt;&gt;"")),"Worlds Team",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National Team",""))))</f>
        <v>Merit</v>
      </c>
      <c r="H5" s="125" t="str">
        <f>IF(OR(AND(AS5&gt;=AY$27,AS5&lt;&gt;"",AP5=""),AND(AU5&gt;=AY$27,AU5&lt;&gt;"",AP5=""),AND(AX5&gt;=AY$27,AX5&lt;&gt;"",AP5=""),AND(BW5&gt;=CC$27,BW5&lt;&gt;"",BT5=""),AND(BY5&gt;=CC$27,BY5&lt;&gt;"",BT5=""),AND(CB5&gt;=CC$27,CB5&lt;&gt;"",BT5=""),AND(DA5&gt;=DG$27,DA5&lt;&gt;"",CX5=""),AND(DC5&gt;=DG$27,DC5&lt;&gt;"",CX5=""),AND(DF5&gt;=DG$27,DF5&lt;&gt;"",CX5=""),AND(EC5&gt;=EG$27,EC5&lt;&gt;""),AND(EF5&gt;=EG$27,EF5&lt;&gt;""),AND(EY5&gt;=FC$27,EY5&lt;&gt;""),AND(FB5&gt;=FC$27,FB5&lt;&gt;""),AND(FU5&gt;=FY$27,FU5&lt;&gt;""),AND(FX5&gt;=FY$27,FX5&lt;&gt;""),AND(GQ5&gt;=GU$27,GQ5&lt;&gt;""),AND(GT5&gt;=GU$27,GT5&lt;&gt;""),AND(HM5&gt;=HQ$27,HM5&lt;&gt;""),AND(HP5&gt;=HQ$27,HP5&lt;&gt;""),AND(II5&gt;=IM$27,II5&lt;&gt;""),AND(IL5&gt;=IM$27,IL5&lt;&gt;""),AND(JE5&gt;=JI$27,JE5&lt;&gt;""),AND(JH5&gt;=JI$27,JH5&lt;&gt;""),AND(KA5&gt;=KE$27,KA5&lt;&gt;""),AND(KD5&gt;=KE$27,KD5&lt;&gt;""),AND(KW5&gt;=LA$27,KW5&lt;&gt;""),AND(KZ5&gt;=LA$27,KZ5&lt;&gt;""),AND(LS5&gt;=LW$27,LS5&lt;&gt;""),AND(LV5&gt;=LW$27,LV5&lt;&gt;""),AND(MO5&gt;=MS$27,MO5&lt;&gt;""),AND(MR5&gt;=MS$27,MR5&lt;&gt;""),AND(NK5&gt;=NO$27,NK5&lt;&gt;""),AND(NN5&gt;=NO$27,NN5&lt;&gt;"")),"Merit",IF(OR(AND(AS5&gt;=AY$26,AS5&lt;&gt;"",AP5=""),AND(AU5&gt;=AY$26,AU5&lt;&gt;"",AP5=""),AND(AX5&gt;=AY$26,AX5&lt;&gt;"",AP5=""),AND(BW5&gt;=CC$26,BW5&lt;&gt;"",BT5=""),AND(BY5&gt;=CC$26,BY5&lt;&gt;"",BT5=""),AND(CB5&gt;=CC$26,CB5&lt;&gt;"",BT5=""),AND(DA5&gt;=DG$26,DA5&lt;&gt;"",CX5=""),AND(DC5&gt;=DG$26,DC5&lt;&gt;"",CX5=""),AND(DF5&gt;=DG$26,DF5&lt;&gt;"",CX5=""),AND(EC5&gt;=EG$26,EC5&lt;&gt;""),AND(EF5&gt;=EG$26,EF5&lt;&gt;""),AND(EY5&gt;=FC$26,EY5&lt;&gt;""),AND(FB5&gt;=FC$26,FB5&lt;&gt;""),AND(FU5&gt;=FY$26,FU5&lt;&gt;""),AND(FX5&gt;=FY$26,FX5&lt;&gt;""),AND(GQ5&gt;=GU$26,GQ5&lt;&gt;""),AND(GT5&gt;=GU$26,GT5&lt;&gt;""),AND(HM5&gt;=HQ$26,HM5&lt;&gt;""),AND(HP5&gt;=HQ$26,HP5&lt;&gt;""),AND(II5&gt;=IM$26,II5&lt;&gt;""),AND(IL5&gt;=IM$26,IL5&lt;&gt;""),AND(JE5&gt;=JI$26,JE5&lt;&gt;""),AND(JH5&gt;=JI$26,JH5&lt;&gt;""),AND(KA5&gt;=KE$26,KA5&lt;&gt;""),AND(KD5&gt;=KE$26,KD5&lt;&gt;""),AND(KW5&gt;=LA$26,KW5&lt;&gt;""),AND(KZ5&gt;=LA$26,KZ5&lt;&gt;""),AND(LS5&gt;=LW$26,LS5&lt;&gt;""),AND(LV5&gt;=LW$26,LV5&lt;&gt;""),AND(MO5&gt;=MS$26,MO5&lt;&gt;""),AND(MR5&gt;=MS$26,MR5&lt;&gt;""),AND(NK5&gt;=NO$26,NK5&lt;&gt;""),AND(NN5&gt;=NO$26,NN5&lt;&gt;"")),"Excellence",IF(OR(AND(AV5&gt;=AY$25,AV5&lt;&gt;"",AP5=""),AND(BZ5&gt;=CC$25,BZ5&lt;&gt;"",BT5=""),AND(DD5&gt;=DG$25,DD5&lt;&gt;"",CX5=""),AND(ED5&gt;=EG$25,ED5&lt;&gt;""),AND(EZ5&gt;=FC$25,EZ5&lt;&gt;""),AND(FV5&gt;=FY$25,FV5&lt;&gt;""),AND(GR5&gt;=GU$25,GR5&lt;&gt;""),AND(HN5&gt;=HQ$25,HN5&lt;&gt;""),AND(IJ5&gt;=IM$25,IJ5&lt;&gt;""),AND(JF5&gt;=JI$25,JF5&lt;&gt;""),AND(KB5&gt;=KE$25,KB5&lt;&gt;""),AND(KX5&gt;=LA$25,KX5&lt;&gt;""),AND(LT5&gt;=LW$25,LT5&lt;&gt;""),AND(MP5&gt;=MS$25,MP5&lt;&gt;""),AND(NL5&gt;=NO$25,NL5&lt;&gt;"")),"Worlds Team",IF(OR(AND(AV5&gt;=AY$24,AV5&lt;&gt;"",AP5=""),AND(BZ5&gt;=CC$24,BZ5&lt;&gt;"",BT5=""),AND(DD5&gt;=DG$24,DD5&lt;&gt;"",CX5=""),AND(ED5&gt;=EG$24,ED5&lt;&gt;""),AND(EZ5&gt;=FC$24,EZ5&lt;&gt;""),AND(FV5&gt;=FY$24,FV5&lt;&gt;""),AND(GR5&gt;=GU$24,GR5&lt;&gt;""),AND(HN5&gt;=HQ$24,HN5&lt;&gt;""),AND(IJ5&gt;=IM$24,IJ5&lt;&gt;""),AND(JF5&gt;=JI$24,JF5&lt;&gt;""),AND(KB5&gt;=KE$24,KB5&lt;&gt;""),AND(KX5&gt;=LA$24,KX5&lt;&gt;""),AND(LT5&gt;=LW$24,LT5&lt;&gt;""),AND(MP5&gt;=MS$24,MP5&lt;&gt;""),AND(NL5&gt;=NO$24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$25,AV5&lt;&gt;"",AP5=""),AND(BZ5&gt;=CC$25,BZ5&lt;&gt;"",BT5=""),AND(DD5&gt;=DG$25,DD5&lt;&gt;"",CX5=""),AND(ED5&gt;=EG$25,ED5&lt;&gt;""),AND(EZ5&gt;=FC$25,EZ5&lt;&gt;""),AND(FV5&gt;=FY$25,FV5&lt;&gt;""),AND(GR5&gt;=GU$25,GR5&lt;&gt;""),AND(HN5&gt;=HQ$25,HN5&lt;&gt;""),AND(IJ5&gt;=IM$25,IJ5&lt;&gt;""),AND(JF5&gt;=JI$25,JF5&lt;&gt;""),AND(KB5&gt;=KE$25,KB5&lt;&gt;""),AND(KX5&gt;=LA$25,KX5&lt;&gt;""),AND(LT5&gt;=LW$25,LT5&lt;&gt;""),AND(MP5&gt;=MS$25,MP5&lt;&gt;""),AND(NL5&gt;=NO$25,NL5&lt;&gt;"")),OR(G5="Worlds Team",G5="Excellence",G5="Merit")),"P","")</f>
        <v>P</v>
      </c>
      <c r="K5" s="14">
        <f>IF(MAX(AV5,BZ5,DD5)&gt;0,MAX(AV5,BZ5,DD5),0)</f>
        <v>103.75</v>
      </c>
      <c r="L5" s="14" t="str">
        <f>IF(K5=0,"",IF(K5=DD5,$CD$1,IF(K5=BZ5,$AZ$1,IF(K5=AV5,$V$1,""))))</f>
        <v>2021 1st Virtual Technical Trial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54.395000000000003</v>
      </c>
      <c r="P5" s="14" t="str">
        <f>IF(O5=0,"",IF(OR(O5=DC5,O5=DA5),$CD$1,IF(OR(O5=BY5,O5=BW5),$AZ$1,IF(OR(O5=AU5,O5=AS5),$V$1,""))))</f>
        <v>2021 2nd Virtual Technical Trial</v>
      </c>
      <c r="Q5" s="14">
        <f>MAX(AX5,CB5,DF5)</f>
        <v>55.254999999999995</v>
      </c>
      <c r="R5" s="14" t="str">
        <f>IF(Q5=0,"",IF(Q5=DF5,$CD$1,IF(Q5=CB5,$AZ$1,IF(Q5=AX5,$V$1,""))))</f>
        <v>2019 Nationals</v>
      </c>
      <c r="S5" s="14" t="str">
        <f>IF(MAX(DH5,DI5,DJ5,DK5)&gt;0,MAX(DH5,DI5,DJ5,DK5),"")</f>
        <v/>
      </c>
      <c r="T5" s="25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9">
        <v>18</v>
      </c>
      <c r="W5" s="69">
        <v>9.1999999999999993</v>
      </c>
      <c r="X5" s="69">
        <v>4.8</v>
      </c>
      <c r="Y5" s="69">
        <v>16.57</v>
      </c>
      <c r="Z5" s="69">
        <v>0</v>
      </c>
      <c r="AA5" s="69">
        <v>16.5</v>
      </c>
      <c r="AB5" s="69">
        <v>9.1</v>
      </c>
      <c r="AC5" s="69">
        <v>13</v>
      </c>
      <c r="AD5" s="69">
        <v>15.56</v>
      </c>
      <c r="AE5" s="69">
        <v>0</v>
      </c>
      <c r="AF5" s="69"/>
      <c r="AG5" s="69"/>
      <c r="AH5" s="69"/>
      <c r="AI5" s="69"/>
      <c r="AJ5" s="69"/>
      <c r="AK5" s="69">
        <v>16.82</v>
      </c>
      <c r="AL5" s="69">
        <v>9.1</v>
      </c>
      <c r="AM5" s="69">
        <v>13.8</v>
      </c>
      <c r="AN5" s="69">
        <v>15.535</v>
      </c>
      <c r="AO5" s="69"/>
      <c r="AP5" s="80"/>
      <c r="AQ5" s="11">
        <f>IF(SUM(V5:Y5)-Z5&gt;0,SUM(V5:Y5)-Z5,"")</f>
        <v>48.57</v>
      </c>
      <c r="AR5" s="11">
        <f>IF(AC5&gt;0,AC5,"")</f>
        <v>13</v>
      </c>
      <c r="AS5" s="11">
        <f>IF(SUM(AA5:AD5)-AE5&gt;0,SUM(AA5:AD5)-AE5,"")</f>
        <v>54.160000000000004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102.73</v>
      </c>
      <c r="AW5" s="11">
        <f>IF(AM5&gt;0,AM5,"")</f>
        <v>13.8</v>
      </c>
      <c r="AX5" s="11">
        <f>IF(SUM(AK5:AN5)-AO5&gt;0,SUM(AK5:AN5)-AO5,"")</f>
        <v>55.254999999999995</v>
      </c>
      <c r="AY5" s="11">
        <f>IF(SUM(AV5,AX5)&gt;0,SUM(AV5,AX5),"")</f>
        <v>157.98500000000001</v>
      </c>
      <c r="AZ5" s="75">
        <v>18.2</v>
      </c>
      <c r="BA5" s="75">
        <v>9.4</v>
      </c>
      <c r="BB5" s="75">
        <v>4.5999999999999996</v>
      </c>
      <c r="BC5" s="75">
        <v>16.88</v>
      </c>
      <c r="BD5" s="75">
        <v>0</v>
      </c>
      <c r="BE5" s="75">
        <v>16.600000000000001</v>
      </c>
      <c r="BF5" s="75">
        <v>9.15</v>
      </c>
      <c r="BG5" s="75">
        <v>13.4</v>
      </c>
      <c r="BH5" s="75">
        <v>15.52</v>
      </c>
      <c r="BI5" s="75">
        <v>0</v>
      </c>
      <c r="BJ5" s="75">
        <v>8</v>
      </c>
      <c r="BK5" s="75">
        <v>4.5999999999999996</v>
      </c>
      <c r="BL5" s="75">
        <v>7.6</v>
      </c>
      <c r="BM5" s="75">
        <v>8.16</v>
      </c>
      <c r="BN5" s="75">
        <v>0</v>
      </c>
      <c r="BO5" s="75">
        <v>14.2</v>
      </c>
      <c r="BP5" s="75">
        <v>9.5</v>
      </c>
      <c r="BQ5" s="75">
        <v>13.1</v>
      </c>
      <c r="BR5" s="75">
        <v>15.28</v>
      </c>
      <c r="BS5" s="75">
        <v>0</v>
      </c>
      <c r="BT5" s="81"/>
      <c r="BU5" s="14">
        <f>IF(SUM(AZ5:BC5)-BD5&gt;0,SUM(AZ5:BC5)-BD5,"")</f>
        <v>49.08</v>
      </c>
      <c r="BV5" s="14">
        <f>IF(BG5&gt;0,BG5,"")</f>
        <v>13.4</v>
      </c>
      <c r="BW5" s="14">
        <f>IF(SUM(BE5:BH5)-BI5&gt;0,SUM(BE5:BH5)-BI5,"")</f>
        <v>54.67</v>
      </c>
      <c r="BX5" s="14">
        <f>IF(BL5&gt;0,BL5,"")</f>
        <v>7.6</v>
      </c>
      <c r="BY5" s="14">
        <f>IF(SUM(BJ5:BM5)-BN5&gt;0,SUM(BJ5:BM5)-BN5,"")</f>
        <v>28.36</v>
      </c>
      <c r="BZ5" s="14">
        <f>IF(BU5="",IF(MAX(BW5,BY5)&gt;0,MAX(BW5,BY5),""),MAX(BW5,BY5)+BU5)</f>
        <v>103.75</v>
      </c>
      <c r="CA5" s="14">
        <f>IF(BQ5&gt;0,BQ5,"")</f>
        <v>13.1</v>
      </c>
      <c r="CB5" s="14">
        <f>IF(SUM(BO5:BR5)-BS5&gt;0,SUM(BO5:BR5)-BS5,"")</f>
        <v>52.08</v>
      </c>
      <c r="CC5" s="14">
        <f>IF(SUM(BZ5,CB5)&gt;0,SUM(BZ5,CB5),"")</f>
        <v>155.82999999999998</v>
      </c>
      <c r="CD5" s="69">
        <v>18.399999999999999</v>
      </c>
      <c r="CE5" s="69">
        <v>9.5</v>
      </c>
      <c r="CF5" s="69">
        <v>4.5999999999999996</v>
      </c>
      <c r="CG5" s="69">
        <v>16.844999999999999</v>
      </c>
      <c r="CH5" s="69">
        <v>0</v>
      </c>
      <c r="CI5" s="69">
        <v>16.2</v>
      </c>
      <c r="CJ5" s="69">
        <v>8.8000000000000007</v>
      </c>
      <c r="CK5" s="69">
        <v>13.2</v>
      </c>
      <c r="CL5" s="69">
        <v>15.795</v>
      </c>
      <c r="CM5" s="69">
        <v>0</v>
      </c>
      <c r="CN5" s="69">
        <v>16.100000000000001</v>
      </c>
      <c r="CO5" s="69">
        <v>9</v>
      </c>
      <c r="CP5" s="69">
        <v>14</v>
      </c>
      <c r="CQ5" s="69">
        <v>15.295</v>
      </c>
      <c r="CR5" s="69">
        <v>0</v>
      </c>
      <c r="CS5" s="69">
        <v>16.100000000000001</v>
      </c>
      <c r="CT5" s="69">
        <v>8.9</v>
      </c>
      <c r="CU5" s="69">
        <v>13.8</v>
      </c>
      <c r="CV5" s="69">
        <v>15.08</v>
      </c>
      <c r="CW5" s="69">
        <v>0</v>
      </c>
      <c r="CX5" s="80"/>
      <c r="CY5" s="11">
        <f>IF(SUM(CD5:CG5)-CH5&gt;0,SUM(CD5:CG5)-CH5,"")</f>
        <v>49.344999999999999</v>
      </c>
      <c r="CZ5" s="11">
        <f>IF(CK5&gt;0,CK5,"")</f>
        <v>13.2</v>
      </c>
      <c r="DA5" s="11">
        <f>IF(SUM(CI5:CL5)-CM5&gt;0,SUM(CI5:CL5)-CM5,"")</f>
        <v>53.995000000000005</v>
      </c>
      <c r="DB5" s="11">
        <f>IF(CP5&gt;0,CP5,"")</f>
        <v>14</v>
      </c>
      <c r="DC5" s="11">
        <f>IF(SUM(CN5:CQ5)-CR5&gt;0,SUM(CN5:CQ5)-CR5,"")</f>
        <v>54.395000000000003</v>
      </c>
      <c r="DD5" s="11">
        <f>IF(CY5="",IF(MAX(DA5,DC5)&gt;0,MAX(DA5,DC5),""),MAX(DA5,DC5)+CY5)</f>
        <v>103.74000000000001</v>
      </c>
      <c r="DE5" s="11">
        <f>IF(CU5&gt;0,CU5,"")</f>
        <v>13.8</v>
      </c>
      <c r="DF5" s="11">
        <f>IF(SUM(CS5:CV5)-CW5&gt;0,SUM(CS5:CV5)-CW5,"")</f>
        <v>53.879999999999995</v>
      </c>
      <c r="DG5" s="11">
        <f>IF(SUM(DD5,DF5)&gt;0,SUM(DD5,DF5),"")</f>
        <v>157.62</v>
      </c>
      <c r="DH5" s="24" t="str">
        <f>IF(MAX(EB5,EX5,FT5,GP5,HL5,IH5,JD5,JZ5,KV5,LR5,MN5,NJ5)-IF(M5="",0,M5)&gt;0.001,MAX(EB5,EX5,FT5,GP5,HL5,IH5,JD5,JZ5,KV5,LR5,MN5,NJ5)-IF(M5="",0,M5),"")</f>
        <v/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18.5</v>
      </c>
      <c r="DM5" s="37">
        <v>9.1</v>
      </c>
      <c r="DN5" s="37">
        <v>4.8</v>
      </c>
      <c r="DO5" s="37">
        <v>16.234999999999999</v>
      </c>
      <c r="DP5" s="37">
        <v>0.2</v>
      </c>
      <c r="DQ5" s="37">
        <v>15.9</v>
      </c>
      <c r="DR5" s="37">
        <v>9</v>
      </c>
      <c r="DS5" s="37">
        <v>13.8</v>
      </c>
      <c r="DT5" s="37">
        <v>15.18</v>
      </c>
      <c r="DU5" s="37">
        <v>0</v>
      </c>
      <c r="DV5" s="37"/>
      <c r="DW5" s="37"/>
      <c r="DX5" s="37"/>
      <c r="DY5" s="37"/>
      <c r="DZ5" s="37"/>
      <c r="EA5" s="11">
        <f>IF(DS5&gt;0,DS5,"")</f>
        <v>13.8</v>
      </c>
      <c r="EB5" s="11">
        <f>IF(SUM(DL5:DO5)-DP5&gt;0,SUM(DL5:DO5)-DP5,"")</f>
        <v>48.434999999999995</v>
      </c>
      <c r="EC5" s="11">
        <f>IF(SUM(DQ5:DT5)-DU5&gt;0,SUM(DQ5:DT5)-DU5,"")</f>
        <v>53.88</v>
      </c>
      <c r="ED5" s="11">
        <f>IF(SUM(EB5:EC5)&gt;0,SUM(EB5:EC5),"")</f>
        <v>102.315</v>
      </c>
      <c r="EE5" s="11" t="str">
        <f>IF(DX5&gt;0,DX5,"")</f>
        <v/>
      </c>
      <c r="EF5" s="11" t="str">
        <f>IF(SUM(DV5:DY5)-DZ5&gt;0,SUM(DV5:DY5)-DZ5,"")</f>
        <v/>
      </c>
      <c r="EG5" s="11">
        <f>IF(SUM(ED5,EF5)&gt;0,SUM(ED5,EF5),"")</f>
        <v>102.315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18.299999999999997</v>
      </c>
      <c r="NQ5" s="69">
        <f>IF($CX5="P",CE5,(CE5+BA5)/2)</f>
        <v>9.4499999999999993</v>
      </c>
      <c r="NR5" s="69">
        <f>IF($CX5="P",CF5,(CF5+BB5)/2)</f>
        <v>4.5999999999999996</v>
      </c>
      <c r="NS5" s="69">
        <f>IF($CX5="P",CG5,(CG5+BC5)/2)</f>
        <v>16.862499999999997</v>
      </c>
      <c r="NT5" s="69">
        <f>IF($CX5="P",CH5,(CH5+BD5)/2)</f>
        <v>0</v>
      </c>
      <c r="NU5" s="69">
        <f>IF($CX5="P",CI5,(CI5+BE5)/2)</f>
        <v>16.399999999999999</v>
      </c>
      <c r="NV5" s="69">
        <f>IF($CX5="P",CJ5,(CJ5+BF5)/2)</f>
        <v>8.9750000000000014</v>
      </c>
      <c r="NW5" s="69">
        <f>IF($CX5="P",CK5,(CK5+BG5)/2)</f>
        <v>13.3</v>
      </c>
      <c r="NX5" s="69">
        <f>IF($CX5="P",CL5,(CL5+BH5)/2)</f>
        <v>15.657499999999999</v>
      </c>
      <c r="NY5" s="69">
        <f>IF($CX5="P",CM5,(CM5+BI5)/2)</f>
        <v>0</v>
      </c>
      <c r="NZ5" s="69">
        <f>IF($CX5="P",CN5,(CN5+BJ5)/2)</f>
        <v>12.05</v>
      </c>
      <c r="OA5" s="69">
        <f>IF($CX5="P",CO5,(CO5+BK5)/2)</f>
        <v>6.8</v>
      </c>
      <c r="OB5" s="69">
        <f>IF($CX5="P",CP5,(CP5+BL5)/2)</f>
        <v>10.8</v>
      </c>
      <c r="OC5" s="69">
        <f>IF($CX5="P",CQ5,(CQ5+BM5)/2)</f>
        <v>11.727499999999999</v>
      </c>
      <c r="OD5" s="69">
        <f>IF($CX5="P",CR5,(CR5+BN5)/2)</f>
        <v>0</v>
      </c>
      <c r="OE5" s="69">
        <f>IF($CX5="P",CS5,(CS5+BO5)/2)</f>
        <v>15.15</v>
      </c>
      <c r="OF5" s="69">
        <f>IF($CX5="P",CT5,(CT5+BP5)/2)</f>
        <v>9.1999999999999993</v>
      </c>
      <c r="OG5" s="69">
        <f>IF($CX5="P",CU5,(CU5+BQ5)/2)</f>
        <v>13.45</v>
      </c>
      <c r="OH5" s="69">
        <f>IF($CX5="P",CV5,(CV5+BR5)/2)</f>
        <v>15.18</v>
      </c>
      <c r="OI5" s="69">
        <f>IF($CX5="P",CW5,(CW5+BS5)/2)</f>
        <v>0</v>
      </c>
      <c r="OJ5" s="80" t="s">
        <v>88</v>
      </c>
      <c r="OK5" s="11">
        <f>IF(SUM(NP5:NS5)-NT5&gt;0,SUM(NP5:NS5)-NT5,"")</f>
        <v>49.212499999999991</v>
      </c>
      <c r="OL5" s="11">
        <f>IF(NW5&gt;0,NW5,"")</f>
        <v>13.3</v>
      </c>
      <c r="OM5" s="11">
        <f>IF(SUM(NU5:NX5)-NY5&gt;0,SUM(NU5:NX5)-NY5,"")</f>
        <v>54.332499999999996</v>
      </c>
      <c r="ON5" s="11">
        <f>IF(OB5&gt;0,OB5,"")</f>
        <v>10.8</v>
      </c>
      <c r="OO5" s="11">
        <f>IF(SUM(NZ5:OC5)-OD5&gt;0,SUM(NZ5:OC5)-OD5,"")</f>
        <v>41.377499999999998</v>
      </c>
      <c r="OP5" s="11">
        <f>IF(OR(OK5&lt;&gt;"",OM5&lt;&gt;"",OO5&lt;&gt;""),OK5+MAX(OM5,OO5),"")</f>
        <v>103.54499999999999</v>
      </c>
      <c r="OQ5" s="11">
        <f>IF(OG5&gt;0,OG5,"")</f>
        <v>13.45</v>
      </c>
      <c r="OR5" s="11">
        <f t="shared" si="0"/>
        <v>52.98</v>
      </c>
      <c r="OS5" s="11">
        <f t="shared" ref="OS5:OS16" si="1">IF(SUM(OP5,OR5)&gt;0,SUM(OP5,OR5),"")</f>
        <v>156.52499999999998</v>
      </c>
    </row>
    <row r="6" spans="1:409" x14ac:dyDescent="0.2">
      <c r="A6" s="5" cm="1">
        <f t="array" ref="A6">IF(AND(G6&lt;&gt;"",H6&lt;&gt;""),SUMPRODUCT((G$4:G$18&lt;&gt;"")*(H$4:H$18&lt;&gt;"")*(E$4:E$18&gt;E6))+1,IF(H6&lt;&gt;"",SUMPRODUCT((I$4:I$18="No DD")*(E$4:E$18&gt;E6))+1+SUMPRODUCT((G$4:G$18&lt;&gt;"")*(H$4:H$18&lt;&gt;"")),""))</f>
        <v>3</v>
      </c>
      <c r="B6" s="127" t="s">
        <v>35</v>
      </c>
      <c r="C6" s="5" t="s">
        <v>6</v>
      </c>
      <c r="D6" s="5">
        <v>1992</v>
      </c>
      <c r="E6" s="15">
        <f>SUM(K6:S6)</f>
        <v>261.86</v>
      </c>
      <c r="F6" s="3" t="str">
        <f>IF(G6&lt;&gt;"","P","")</f>
        <v>P</v>
      </c>
      <c r="G6" s="125" t="str">
        <f>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Merit",IF(OR(AND(AR6&gt;=AY$22,AR6&lt;&gt;"",AP6=""),AND(AT6&gt;=AY$22,AT6&lt;&gt;"",AP6=""),AND(AW6&gt;=AY$22,AW6&lt;&gt;"",AP6=""),AND(BV6&gt;=CC$22,BV6&lt;&gt;"",BT6=""),AND(BX6&gt;=CC$22,BX6&lt;&gt;"",BT6=""),AND(CA6&gt;=CC$22,CA6&lt;&gt;"",BT6=""),AND(CZ6&gt;=DG$22,CZ6&lt;&gt;"",CX6=""),AND(DB6&gt;=DG$22,DB6&lt;&gt;"",CX6=""),AND(DE6&gt;=DG$22,DE6&lt;&gt;"",CX6=""),AND(EA6&gt;=EG$22,EA6&lt;&gt;""),AND(EE6&gt;=EG$22,EE6&lt;&gt;""),AND(EW6&gt;=FC$22,EW6&lt;&gt;""),AND(FA6&gt;=FC$22,FA6&lt;&gt;""),AND(FS6&gt;=FY$22,FS6&lt;&gt;""),AND(FW6&gt;=FY$22,FW6&lt;&gt;""),AND(GO6&gt;=GU$22,GO6&lt;&gt;""),AND(GS6&gt;=GU$22,GS6&lt;&gt;""),AND(HK6&gt;=HQ$22,HK6&lt;&gt;""),AND(HO6&gt;=HQ$22,HO6&lt;&gt;""),AND(IG6&gt;=IM$22,IG6&lt;&gt;""),AND(IK6&gt;=IM$22,IK6&lt;&gt;""),AND(JC6&gt;=JI$22,JC6&lt;&gt;""),AND(JG6&gt;=JI$22,JG6&lt;&gt;""),AND(JY6&gt;=KE$22,JY6&lt;&gt;""),AND(KC6&gt;=KE$22,KC6&lt;&gt;""),AND(KU6&gt;=LA$22,KU6&lt;&gt;""),AND(KY6&gt;=LA$22,KY6&lt;&gt;""),AND(LQ6&gt;=LW$22,LQ6&lt;&gt;""),AND(LU6&gt;=LW$22,LU6&lt;&gt;""),AND(MM6&gt;=MS$22,MM6&lt;&gt;""),AND(MQ6&gt;=MS$22,MQ6&lt;&gt;""),AND(NI6&gt;=NO$22,NI6&lt;&gt;""),AND(NM6&gt;=NO$22,NM6&lt;&gt;"")),"Excellence",IF(OR(AND(AR6&gt;=AY$21,AR6&lt;&gt;"",AP6=""),AND(AT6&gt;=AY$21,AT6&lt;&gt;"",AP6=""),AND(AW6&gt;=AY$21,AW6&lt;&gt;"",AP6=""),AND(BV6&gt;=CC$21,BV6&lt;&gt;"",BT6=""),AND(BX6&gt;=CC$21,BX6&lt;&gt;"",BT6=""),AND(CA6&gt;=CC$21,CA6&lt;&gt;"",BT6=""),AND(CZ6&gt;=DG$21,CZ6&lt;&gt;"",CX6=""),AND(DB6&gt;=DG$21,DB6&lt;&gt;"",CX6=""),AND(DE6&gt;=DG$21,DE6&lt;&gt;"",CX6=""),AND(EA6&gt;=EG$21,EA6&lt;&gt;""),AND(EE6&gt;=EG$21,EE6&lt;&gt;""),AND(EW6&gt;=FC$21,EW6&lt;&gt;""),AND(FA6&gt;=FC$21,FA6&lt;&gt;""),AND(FS6&gt;=FY$21,FS6&lt;&gt;""),AND(FW6&gt;=FY$21,FW6&lt;&gt;""),AND(GO6&gt;=GU$21,GO6&lt;&gt;""),AND(GS6&gt;=GU$21,GS6&lt;&gt;""),AND(HK6&gt;=HQ$21,HK6&lt;&gt;""),AND(HO6&gt;=HQ$21,HO6&lt;&gt;""),AND(IG6&gt;=IM$21,IG6&lt;&gt;""),AND(IK6&gt;=IM$21,IK6&lt;&gt;""),AND(JC6&gt;=JI$21,JC6&lt;&gt;""),AND(JG6&gt;=JI$21,JG6&lt;&gt;""),AND(JY6&gt;=KE$21,JY6&lt;&gt;""),AND(KC6&gt;=KE$21,KC6&lt;&gt;""),AND(KU6&gt;=LA$21,KU6&lt;&gt;""),AND(KY6&gt;=LA$21,KY6&lt;&gt;""),AND(LQ6&gt;=LW$21,LQ6&lt;&gt;""),AND(LU6&gt;=LW$21,LU6&lt;&gt;""),AND(MM6&gt;=MS$21,MM6&lt;&gt;""),AND(MQ6&gt;=MS$21,MQ6&lt;&gt;""),AND(NI6&gt;=NO$21,NI6&lt;&gt;""),AND(NM6&gt;=NO$21,NM6&lt;&gt;"")),"Worlds Team",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National Team",""))))</f>
        <v>Merit</v>
      </c>
      <c r="H6" s="125" t="str">
        <f>IF(OR(AND(AS6&gt;=AY$27,AS6&lt;&gt;"",AP6=""),AND(AU6&gt;=AY$27,AU6&lt;&gt;"",AP6=""),AND(AX6&gt;=AY$27,AX6&lt;&gt;"",AP6=""),AND(BW6&gt;=CC$27,BW6&lt;&gt;"",BT6=""),AND(BY6&gt;=CC$27,BY6&lt;&gt;"",BT6=""),AND(CB6&gt;=CC$27,CB6&lt;&gt;"",BT6=""),AND(DA6&gt;=DG$27,DA6&lt;&gt;"",CX6=""),AND(DC6&gt;=DG$27,DC6&lt;&gt;"",CX6=""),AND(DF6&gt;=DG$27,DF6&lt;&gt;"",CX6=""),AND(EC6&gt;=EG$27,EC6&lt;&gt;""),AND(EF6&gt;=EG$27,EF6&lt;&gt;""),AND(EY6&gt;=FC$27,EY6&lt;&gt;""),AND(FB6&gt;=FC$27,FB6&lt;&gt;""),AND(FU6&gt;=FY$27,FU6&lt;&gt;""),AND(FX6&gt;=FY$27,FX6&lt;&gt;""),AND(GQ6&gt;=GU$27,GQ6&lt;&gt;""),AND(GT6&gt;=GU$27,GT6&lt;&gt;""),AND(HM6&gt;=HQ$27,HM6&lt;&gt;""),AND(HP6&gt;=HQ$27,HP6&lt;&gt;""),AND(II6&gt;=IM$27,II6&lt;&gt;""),AND(IL6&gt;=IM$27,IL6&lt;&gt;""),AND(JE6&gt;=JI$27,JE6&lt;&gt;""),AND(JH6&gt;=JI$27,JH6&lt;&gt;""),AND(KA6&gt;=KE$27,KA6&lt;&gt;""),AND(KD6&gt;=KE$27,KD6&lt;&gt;""),AND(KW6&gt;=LA$27,KW6&lt;&gt;""),AND(KZ6&gt;=LA$27,KZ6&lt;&gt;""),AND(LS6&gt;=LW$27,LS6&lt;&gt;""),AND(LV6&gt;=LW$27,LV6&lt;&gt;""),AND(MO6&gt;=MS$27,MO6&lt;&gt;""),AND(MR6&gt;=MS$27,MR6&lt;&gt;""),AND(NK6&gt;=NO$27,NK6&lt;&gt;""),AND(NN6&gt;=NO$27,NN6&lt;&gt;"")),"Merit",IF(OR(AND(AS6&gt;=AY$26,AS6&lt;&gt;"",AP6=""),AND(AU6&gt;=AY$26,AU6&lt;&gt;"",AP6=""),AND(AX6&gt;=AY$26,AX6&lt;&gt;"",AP6=""),AND(BW6&gt;=CC$26,BW6&lt;&gt;"",BT6=""),AND(BY6&gt;=CC$26,BY6&lt;&gt;"",BT6=""),AND(CB6&gt;=CC$26,CB6&lt;&gt;"",BT6=""),AND(DA6&gt;=DG$26,DA6&lt;&gt;"",CX6=""),AND(DC6&gt;=DG$26,DC6&lt;&gt;"",CX6=""),AND(DF6&gt;=DG$26,DF6&lt;&gt;"",CX6=""),AND(EC6&gt;=EG$26,EC6&lt;&gt;""),AND(EF6&gt;=EG$26,EF6&lt;&gt;""),AND(EY6&gt;=FC$26,EY6&lt;&gt;""),AND(FB6&gt;=FC$26,FB6&lt;&gt;""),AND(FU6&gt;=FY$26,FU6&lt;&gt;""),AND(FX6&gt;=FY$26,FX6&lt;&gt;""),AND(GQ6&gt;=GU$26,GQ6&lt;&gt;""),AND(GT6&gt;=GU$26,GT6&lt;&gt;""),AND(HM6&gt;=HQ$26,HM6&lt;&gt;""),AND(HP6&gt;=HQ$26,HP6&lt;&gt;""),AND(II6&gt;=IM$26,II6&lt;&gt;""),AND(IL6&gt;=IM$26,IL6&lt;&gt;""),AND(JE6&gt;=JI$26,JE6&lt;&gt;""),AND(JH6&gt;=JI$26,JH6&lt;&gt;""),AND(KA6&gt;=KE$26,KA6&lt;&gt;""),AND(KD6&gt;=KE$26,KD6&lt;&gt;""),AND(KW6&gt;=LA$26,KW6&lt;&gt;""),AND(KZ6&gt;=LA$26,KZ6&lt;&gt;""),AND(LS6&gt;=LW$26,LS6&lt;&gt;""),AND(LV6&gt;=LW$26,LV6&lt;&gt;""),AND(MO6&gt;=MS$26,MO6&lt;&gt;""),AND(MR6&gt;=MS$26,MR6&lt;&gt;""),AND(NK6&gt;=NO$26,NK6&lt;&gt;""),AND(NN6&gt;=NO$26,NN6&lt;&gt;"")),"Excellence",IF(OR(AND(AV6&gt;=AY$25,AV6&lt;&gt;"",AP6=""),AND(BZ6&gt;=CC$25,BZ6&lt;&gt;"",BT6=""),AND(DD6&gt;=DG$25,DD6&lt;&gt;"",CX6=""),AND(ED6&gt;=EG$25,ED6&lt;&gt;""),AND(EZ6&gt;=FC$25,EZ6&lt;&gt;""),AND(FV6&gt;=FY$25,FV6&lt;&gt;""),AND(GR6&gt;=GU$25,GR6&lt;&gt;""),AND(HN6&gt;=HQ$25,HN6&lt;&gt;""),AND(IJ6&gt;=IM$25,IJ6&lt;&gt;""),AND(JF6&gt;=JI$25,JF6&lt;&gt;""),AND(KB6&gt;=KE$25,KB6&lt;&gt;""),AND(KX6&gt;=LA$25,KX6&lt;&gt;""),AND(LT6&gt;=LW$25,LT6&lt;&gt;""),AND(MP6&gt;=MS$25,MP6&lt;&gt;""),AND(NL6&gt;=NO$25,NL6&lt;&gt;"")),"Worlds Team",IF(OR(AND(AV6&gt;=AY$24,AV6&lt;&gt;"",AP6=""),AND(BZ6&gt;=CC$24,BZ6&lt;&gt;"",BT6=""),AND(DD6&gt;=DG$24,DD6&lt;&gt;"",CX6=""),AND(ED6&gt;=EG$24,ED6&lt;&gt;""),AND(EZ6&gt;=FC$24,EZ6&lt;&gt;""),AND(FV6&gt;=FY$24,FV6&lt;&gt;""),AND(GR6&gt;=GU$24,GR6&lt;&gt;""),AND(HN6&gt;=HQ$24,HN6&lt;&gt;""),AND(IJ6&gt;=IM$24,IJ6&lt;&gt;""),AND(JF6&gt;=JI$24,JF6&lt;&gt;""),AND(KB6&gt;=KE$24,KB6&lt;&gt;""),AND(KX6&gt;=LA$24,KX6&lt;&gt;""),AND(LT6&gt;=LW$24,LT6&lt;&gt;""),AND(MP6&gt;=MS$24,MP6&lt;&gt;""),AND(NL6&gt;=NO$24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$25,AV6&lt;&gt;"",AP6=""),AND(BZ6&gt;=CC$25,BZ6&lt;&gt;"",BT6=""),AND(DD6&gt;=DG$25,DD6&lt;&gt;"",CX6=""),AND(ED6&gt;=EG$25,ED6&lt;&gt;""),AND(EZ6&gt;=FC$25,EZ6&lt;&gt;""),AND(FV6&gt;=FY$25,FV6&lt;&gt;""),AND(GR6&gt;=GU$25,GR6&lt;&gt;""),AND(HN6&gt;=HQ$25,HN6&lt;&gt;""),AND(IJ6&gt;=IM$25,IJ6&lt;&gt;""),AND(JF6&gt;=JI$25,JF6&lt;&gt;""),AND(KB6&gt;=KE$25,KB6&lt;&gt;""),AND(KX6&gt;=LA$25,KX6&lt;&gt;""),AND(LT6&gt;=LW$25,LT6&lt;&gt;""),AND(MP6&gt;=MS$25,MP6&lt;&gt;""),AND(NL6&gt;=NO$25,NL6&lt;&gt;"")),OR(G6="Worlds Team",G6="Excellence",G6="Merit")),"P","")</f>
        <v>P</v>
      </c>
      <c r="K6" s="14">
        <f>IF(MAX(AV6,BZ6,DD6)&gt;0,MAX(AV6,BZ6,DD6),0)</f>
        <v>103.66500000000001</v>
      </c>
      <c r="L6" s="14" t="str">
        <f>IF(K6=0,"",IF(K6=DD6,$CD$1,IF(K6=BZ6,$AZ$1,IF(K6=AV6,$V$1,""))))</f>
        <v>2021 2nd Virtual Technical Trial</v>
      </c>
      <c r="M6" s="14">
        <f>IF($K6=$AV6,MAX(BU6,CY6),IF($K6=$BZ6,MAX(AQ6,CY6),IF($K6=$DD6,MAX(AQ6,BU6),MAX(AQ6,BU6,CY6))))</f>
        <v>48.414999999999999</v>
      </c>
      <c r="N6" s="14" t="str">
        <f>IF(M6=0,"",IF(AND(M6=CY6,$L6&lt;&gt;$CD$1),$CD$1,IF(AND(M6=BU6,$L6&lt;&gt;$AZ$1),$AZ$1,IF(AND(M6=AQ6,$L6&lt;&gt;$V$1),$V$1,""))))</f>
        <v>2019 Nationals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55.185000000000002</v>
      </c>
      <c r="P6" s="14" t="str">
        <f>IF(O6=0,"",IF(OR(O6=DC6,O6=DA6),$CD$1,IF(OR(O6=BY6,O6=BW6),$AZ$1,IF(OR(O6=AU6,O6=AS6),$V$1,""))))</f>
        <v>2019 Nationals</v>
      </c>
      <c r="Q6" s="14">
        <f>MAX(AX6,CB6,DF6)</f>
        <v>54.594999999999999</v>
      </c>
      <c r="R6" s="14" t="str">
        <f>IF(Q6=0,"",IF(Q6=DF6,$CD$1,IF(Q6=CB6,$AZ$1,IF(Q6=AX6,$V$1,""))))</f>
        <v>2019 Nationals</v>
      </c>
      <c r="S6" s="14" t="str">
        <f>IF(MAX(DH6,DI6,DJ6,DK6)&gt;0,MAX(DH6,DI6,DJ6,DK6),"")</f>
        <v/>
      </c>
      <c r="T6" s="25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9">
        <v>17.600000000000001</v>
      </c>
      <c r="W6" s="69">
        <v>9.4</v>
      </c>
      <c r="X6" s="69">
        <v>5.6</v>
      </c>
      <c r="Y6" s="69">
        <v>15.815</v>
      </c>
      <c r="Z6" s="69">
        <v>0</v>
      </c>
      <c r="AA6" s="69">
        <v>16.5</v>
      </c>
      <c r="AB6" s="69">
        <v>9.1</v>
      </c>
      <c r="AC6" s="69">
        <v>14.4</v>
      </c>
      <c r="AD6" s="69">
        <v>15.185</v>
      </c>
      <c r="AE6" s="69">
        <v>0</v>
      </c>
      <c r="AF6" s="69"/>
      <c r="AG6" s="69"/>
      <c r="AH6" s="69"/>
      <c r="AI6" s="69"/>
      <c r="AJ6" s="69"/>
      <c r="AK6" s="69">
        <v>16.16</v>
      </c>
      <c r="AL6" s="69">
        <v>8.9</v>
      </c>
      <c r="AM6" s="69">
        <v>14.4</v>
      </c>
      <c r="AN6" s="69">
        <v>15.135</v>
      </c>
      <c r="AO6" s="69"/>
      <c r="AP6" s="80"/>
      <c r="AQ6" s="11">
        <f>IF(SUM(V6:Y6)-Z6&gt;0,SUM(V6:Y6)-Z6,"")</f>
        <v>48.414999999999999</v>
      </c>
      <c r="AR6" s="11">
        <f>IF(AC6&gt;0,AC6,"")</f>
        <v>14.4</v>
      </c>
      <c r="AS6" s="11">
        <f>IF(SUM(AA6:AD6)-AE6&gt;0,SUM(AA6:AD6)-AE6,"")</f>
        <v>55.185000000000002</v>
      </c>
      <c r="AT6" s="11" t="str">
        <f>IF(AH6&gt;0,AH6,"")</f>
        <v/>
      </c>
      <c r="AU6" s="11" t="str">
        <f>IF(SUM(AF6:AI6)-AJ6&gt;0,SUM(AF6:AI6)-AJ6,"")</f>
        <v/>
      </c>
      <c r="AV6" s="11">
        <f>IF(AQ6="",IF(MAX(AS6,AU6)&gt;0,MAX(AS6,AU6),""),MAX(AS6,AU6)+AQ6)</f>
        <v>103.6</v>
      </c>
      <c r="AW6" s="11">
        <f>IF(AM6&gt;0,AM6,"")</f>
        <v>14.4</v>
      </c>
      <c r="AX6" s="11">
        <f>IF(SUM(AK6:AN6)-AO6&gt;0,SUM(AK6:AN6)-AO6,"")</f>
        <v>54.594999999999999</v>
      </c>
      <c r="AY6" s="11">
        <f>IF(SUM(AV6,AX6)&gt;0,SUM(AV6,AX6),"")</f>
        <v>158.19499999999999</v>
      </c>
      <c r="AZ6" s="75">
        <v>17.100000000000001</v>
      </c>
      <c r="BA6" s="75">
        <v>9.5</v>
      </c>
      <c r="BB6" s="75">
        <v>5</v>
      </c>
      <c r="BC6" s="75">
        <v>16.105</v>
      </c>
      <c r="BD6" s="75">
        <v>0</v>
      </c>
      <c r="BE6" s="75">
        <v>15.3</v>
      </c>
      <c r="BF6" s="75">
        <v>9.65</v>
      </c>
      <c r="BG6" s="75">
        <v>14.2</v>
      </c>
      <c r="BH6" s="75">
        <v>15.29</v>
      </c>
      <c r="BI6" s="75">
        <v>0</v>
      </c>
      <c r="BJ6" s="75">
        <v>0</v>
      </c>
      <c r="BK6" s="75">
        <v>0</v>
      </c>
      <c r="BL6" s="75">
        <v>0</v>
      </c>
      <c r="BM6" s="75">
        <v>0</v>
      </c>
      <c r="BN6" s="75">
        <v>0</v>
      </c>
      <c r="BO6" s="75">
        <v>15.2</v>
      </c>
      <c r="BP6" s="75">
        <v>9.25</v>
      </c>
      <c r="BQ6" s="75">
        <v>14.2</v>
      </c>
      <c r="BR6" s="75">
        <v>14.97</v>
      </c>
      <c r="BS6" s="75">
        <v>0</v>
      </c>
      <c r="BT6" s="81"/>
      <c r="BU6" s="14">
        <f>IF(SUM(AZ6:BC6)-BD6&gt;0,SUM(AZ6:BC6)-BD6,"")</f>
        <v>47.704999999999998</v>
      </c>
      <c r="BV6" s="14">
        <f>IF(BG6&gt;0,BG6,"")</f>
        <v>14.2</v>
      </c>
      <c r="BW6" s="14">
        <f>IF(SUM(BE6:BH6)-BI6&gt;0,SUM(BE6:BH6)-BI6,"")</f>
        <v>54.440000000000005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102.14500000000001</v>
      </c>
      <c r="CA6" s="14">
        <f>IF(BQ6&gt;0,BQ6,"")</f>
        <v>14.2</v>
      </c>
      <c r="CB6" s="14">
        <f>IF(SUM(BO6:BR6)-BS6&gt;0,SUM(BO6:BR6)-BS6,"")</f>
        <v>53.62</v>
      </c>
      <c r="CC6" s="14">
        <f>IF(SUM(BZ6,CB6)&gt;0,SUM(BZ6,CB6),"")</f>
        <v>155.76500000000001</v>
      </c>
      <c r="CD6" s="69">
        <v>18.100000000000001</v>
      </c>
      <c r="CE6" s="69">
        <v>9.1999999999999993</v>
      </c>
      <c r="CF6" s="69">
        <v>5</v>
      </c>
      <c r="CG6" s="69">
        <v>16.324999999999999</v>
      </c>
      <c r="CH6" s="69">
        <v>0</v>
      </c>
      <c r="CI6" s="69">
        <v>15.7</v>
      </c>
      <c r="CJ6" s="69">
        <v>8.6999999999999993</v>
      </c>
      <c r="CK6" s="69">
        <v>14.2</v>
      </c>
      <c r="CL6" s="69">
        <v>15.39</v>
      </c>
      <c r="CM6" s="69">
        <v>0</v>
      </c>
      <c r="CN6" s="69">
        <v>15.4</v>
      </c>
      <c r="CO6" s="69">
        <v>9.5</v>
      </c>
      <c r="CP6" s="69">
        <v>14.8</v>
      </c>
      <c r="CQ6" s="69">
        <v>15.34</v>
      </c>
      <c r="CR6" s="69">
        <v>0</v>
      </c>
      <c r="CS6" s="69">
        <v>10.4</v>
      </c>
      <c r="CT6" s="69">
        <v>6.7</v>
      </c>
      <c r="CU6" s="69">
        <v>11.1</v>
      </c>
      <c r="CV6" s="69">
        <v>10.91</v>
      </c>
      <c r="CW6" s="69">
        <v>0</v>
      </c>
      <c r="CX6" s="80"/>
      <c r="CY6" s="11">
        <f>IF(SUM(CD6:CG6)-CH6&gt;0,SUM(CD6:CG6)-CH6,"")</f>
        <v>48.625</v>
      </c>
      <c r="CZ6" s="11">
        <f>IF(CK6&gt;0,CK6,"")</f>
        <v>14.2</v>
      </c>
      <c r="DA6" s="11">
        <f>IF(SUM(CI6:CL6)-CM6&gt;0,SUM(CI6:CL6)-CM6,"")</f>
        <v>53.989999999999995</v>
      </c>
      <c r="DB6" s="11">
        <f>IF(CP6&gt;0,CP6,"")</f>
        <v>14.8</v>
      </c>
      <c r="DC6" s="11">
        <f>IF(SUM(CN6:CQ6)-CR6&gt;0,SUM(CN6:CQ6)-CR6,"")</f>
        <v>55.040000000000006</v>
      </c>
      <c r="DD6" s="11">
        <f>IF(CY6="",IF(MAX(DA6,DC6)&gt;0,MAX(DA6,DC6),""),MAX(DA6,DC6)+CY6)</f>
        <v>103.66500000000001</v>
      </c>
      <c r="DE6" s="11">
        <f>IF(CU6&gt;0,CU6,"")</f>
        <v>11.1</v>
      </c>
      <c r="DF6" s="11">
        <f>IF(SUM(CS6:CV6)-CW6&gt;0,SUM(CS6:CV6)-CW6,"")</f>
        <v>39.11</v>
      </c>
      <c r="DG6" s="11">
        <f>IF(SUM(DD6,DF6)&gt;0,SUM(DD6,DF6),"")</f>
        <v>142.77500000000001</v>
      </c>
      <c r="DH6" s="24" t="str">
        <f>IF(MAX(EB6,EX6,FT6,GP6,HL6,IH6,JD6,JZ6,KV6,LR6,MN6,NJ6)-IF(M6="",0,M6)&gt;0.001,MAX(EB6,EX6,FT6,GP6,HL6,IH6,JD6,JZ6,KV6,LR6,MN6,NJ6)-IF(M6="",0,M6),"")</f>
        <v/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17.600000000000001</v>
      </c>
      <c r="DM6" s="37">
        <v>9.6</v>
      </c>
      <c r="DN6" s="37">
        <v>5.2</v>
      </c>
      <c r="DO6" s="37">
        <v>16.004999999999999</v>
      </c>
      <c r="DP6" s="37">
        <v>0</v>
      </c>
      <c r="DQ6" s="37">
        <v>15.4</v>
      </c>
      <c r="DR6" s="37">
        <v>9.5</v>
      </c>
      <c r="DS6" s="37">
        <v>14.8</v>
      </c>
      <c r="DT6" s="37">
        <v>15.24</v>
      </c>
      <c r="DU6" s="37">
        <v>0</v>
      </c>
      <c r="DV6" s="37">
        <v>15.1</v>
      </c>
      <c r="DW6" s="37">
        <v>9.5</v>
      </c>
      <c r="DX6" s="37">
        <v>14.8</v>
      </c>
      <c r="DY6" s="37">
        <v>15.185</v>
      </c>
      <c r="DZ6" s="37">
        <v>0</v>
      </c>
      <c r="EA6" s="11">
        <f>IF(DS6&gt;0,DS6,"")</f>
        <v>14.8</v>
      </c>
      <c r="EB6" s="11">
        <f>IF(SUM(DL6:DO6)-DP6&gt;0,SUM(DL6:DO6)-DP6,"")</f>
        <v>48.405000000000001</v>
      </c>
      <c r="EC6" s="11">
        <f>IF(SUM(DQ6:DT6)-DU6&gt;0,SUM(DQ6:DT6)-DU6,"")</f>
        <v>54.940000000000005</v>
      </c>
      <c r="ED6" s="11">
        <f>IF(SUM(EB6:EC6)&gt;0,SUM(EB6:EC6),"")</f>
        <v>103.345</v>
      </c>
      <c r="EE6" s="11">
        <f>IF(DX6&gt;0,DX6,"")</f>
        <v>14.8</v>
      </c>
      <c r="EF6" s="11">
        <f>IF(SUM(DV6:DY6)-DZ6&gt;0,SUM(DV6:DY6)-DZ6,"")</f>
        <v>54.585000000000008</v>
      </c>
      <c r="EG6" s="11">
        <f>IF(SUM(ED6,EF6)&gt;0,SUM(ED6,EF6),"")</f>
        <v>157.93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17.600000000000001</v>
      </c>
      <c r="NQ6" s="69">
        <f>IF($CX6="P",CE6,(CE6+BA6)/2)</f>
        <v>9.35</v>
      </c>
      <c r="NR6" s="69">
        <f>IF($CX6="P",CF6,(CF6+BB6)/2)</f>
        <v>5</v>
      </c>
      <c r="NS6" s="69">
        <f>IF($CX6="P",CG6,(CG6+BC6)/2)</f>
        <v>16.215</v>
      </c>
      <c r="NT6" s="69">
        <f>IF($CX6="P",CH6,(CH6+BD6)/2)</f>
        <v>0</v>
      </c>
      <c r="NU6" s="69">
        <f>IF($CX6="P",CI6,(CI6+BE6)/2)</f>
        <v>15.5</v>
      </c>
      <c r="NV6" s="69">
        <f>IF($CX6="P",CJ6,(CJ6+BF6)/2)</f>
        <v>9.1750000000000007</v>
      </c>
      <c r="NW6" s="69">
        <f>IF($CX6="P",CK6,(CK6+BG6)/2)</f>
        <v>14.2</v>
      </c>
      <c r="NX6" s="69">
        <f>IF($CX6="P",CL6,(CL6+BH6)/2)</f>
        <v>15.34</v>
      </c>
      <c r="NY6" s="69">
        <f>IF($CX6="P",CM6,(CM6+BI6)/2)</f>
        <v>0</v>
      </c>
      <c r="NZ6" s="69">
        <f>IF($CX6="P",CN6,(CN6+BJ6)/2)</f>
        <v>7.7</v>
      </c>
      <c r="OA6" s="69">
        <f>IF($CX6="P",CO6,(CO6+BK6)/2)</f>
        <v>4.75</v>
      </c>
      <c r="OB6" s="69">
        <f>IF($CX6="P",CP6,(CP6+BL6)/2)</f>
        <v>7.4</v>
      </c>
      <c r="OC6" s="69">
        <f>IF($CX6="P",CQ6,(CQ6+BM6)/2)</f>
        <v>7.67</v>
      </c>
      <c r="OD6" s="69">
        <f>IF($CX6="P",CR6,(CR6+BN6)/2)</f>
        <v>0</v>
      </c>
      <c r="OE6" s="69">
        <f>IF($CX6="P",CS6,(CS6+BO6)/2)</f>
        <v>12.8</v>
      </c>
      <c r="OF6" s="69">
        <f>IF($CX6="P",CT6,(CT6+BP6)/2)</f>
        <v>7.9749999999999996</v>
      </c>
      <c r="OG6" s="69">
        <f>IF($CX6="P",CU6,(CU6+BQ6)/2)</f>
        <v>12.649999999999999</v>
      </c>
      <c r="OH6" s="69">
        <f>IF($CX6="P",CV6,(CV6+BR6)/2)</f>
        <v>12.940000000000001</v>
      </c>
      <c r="OI6" s="69">
        <f>IF($CX6="P",CW6,(CW6+BS6)/2)</f>
        <v>0</v>
      </c>
      <c r="OJ6" s="80" t="s">
        <v>88</v>
      </c>
      <c r="OK6" s="11">
        <f>IF(SUM(NP6:NS6)-NT6&gt;0,SUM(NP6:NS6)-NT6,"")</f>
        <v>48.165000000000006</v>
      </c>
      <c r="OL6" s="11">
        <f>IF(NW6&gt;0,NW6,"")</f>
        <v>14.2</v>
      </c>
      <c r="OM6" s="11">
        <f>IF(SUM(NU6:NX6)-NY6&gt;0,SUM(NU6:NX6)-NY6,"")</f>
        <v>54.215000000000003</v>
      </c>
      <c r="ON6" s="11">
        <f>IF(OB6&gt;0,OB6,"")</f>
        <v>7.4</v>
      </c>
      <c r="OO6" s="11">
        <f>IF(SUM(NZ6:OC6)-OD6&gt;0,SUM(NZ6:OC6)-OD6,"")</f>
        <v>27.520000000000003</v>
      </c>
      <c r="OP6" s="11">
        <f>IF(OR(OK6&lt;&gt;"",OM6&lt;&gt;"",OO6&lt;&gt;""),OK6+MAX(OM6,OO6),"")</f>
        <v>102.38000000000001</v>
      </c>
      <c r="OQ6" s="11">
        <f>IF(OG6&gt;0,OG6,"")</f>
        <v>12.649999999999999</v>
      </c>
      <c r="OR6" s="11">
        <f t="shared" si="0"/>
        <v>46.364999999999995</v>
      </c>
      <c r="OS6" s="11">
        <f t="shared" si="1"/>
        <v>148.745</v>
      </c>
    </row>
    <row r="7" spans="1:409" x14ac:dyDescent="0.2">
      <c r="A7" s="5" cm="1">
        <f t="array" ref="A7">IF(AND(G7&lt;&gt;"",H7&lt;&gt;""),SUMPRODUCT((G$4:G$18&lt;&gt;"")*(H$4:H$18&lt;&gt;"")*(E$4:E$18&gt;E7))+1,IF(H7&lt;&gt;"",SUMPRODUCT((I$4:I$18="No DD")*(E$4:E$18&gt;E7))+1+SUMPRODUCT((G$4:G$18&lt;&gt;"")*(H$4:H$18&lt;&gt;"")),""))</f>
        <v>4</v>
      </c>
      <c r="B7" s="127" t="s">
        <v>33</v>
      </c>
      <c r="C7" s="5" t="s">
        <v>10</v>
      </c>
      <c r="D7" s="5">
        <v>1998</v>
      </c>
      <c r="E7" s="15">
        <f>SUM(K7:S7)</f>
        <v>260.64000000000004</v>
      </c>
      <c r="F7" s="3" t="str">
        <f>IF(G7&lt;&gt;"","P","")</f>
        <v>P</v>
      </c>
      <c r="G7" s="125" t="str">
        <f>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Merit",IF(OR(AND(AR7&gt;=AY$22,AR7&lt;&gt;"",AP7=""),AND(AT7&gt;=AY$22,AT7&lt;&gt;"",AP7=""),AND(AW7&gt;=AY$22,AW7&lt;&gt;"",AP7=""),AND(BV7&gt;=CC$22,BV7&lt;&gt;"",BT7=""),AND(BX7&gt;=CC$22,BX7&lt;&gt;"",BT7=""),AND(CA7&gt;=CC$22,CA7&lt;&gt;"",BT7=""),AND(CZ7&gt;=DG$22,CZ7&lt;&gt;"",CX7=""),AND(DB7&gt;=DG$22,DB7&lt;&gt;"",CX7=""),AND(DE7&gt;=DG$22,DE7&lt;&gt;"",CX7=""),AND(EA7&gt;=EG$22,EA7&lt;&gt;""),AND(EE7&gt;=EG$22,EE7&lt;&gt;""),AND(EW7&gt;=FC$22,EW7&lt;&gt;""),AND(FA7&gt;=FC$22,FA7&lt;&gt;""),AND(FS7&gt;=FY$22,FS7&lt;&gt;""),AND(FW7&gt;=FY$22,FW7&lt;&gt;""),AND(GO7&gt;=GU$22,GO7&lt;&gt;""),AND(GS7&gt;=GU$22,GS7&lt;&gt;""),AND(HK7&gt;=HQ$22,HK7&lt;&gt;""),AND(HO7&gt;=HQ$22,HO7&lt;&gt;""),AND(IG7&gt;=IM$22,IG7&lt;&gt;""),AND(IK7&gt;=IM$22,IK7&lt;&gt;""),AND(JC7&gt;=JI$22,JC7&lt;&gt;""),AND(JG7&gt;=JI$22,JG7&lt;&gt;""),AND(JY7&gt;=KE$22,JY7&lt;&gt;""),AND(KC7&gt;=KE$22,KC7&lt;&gt;""),AND(KU7&gt;=LA$22,KU7&lt;&gt;""),AND(KY7&gt;=LA$22,KY7&lt;&gt;""),AND(LQ7&gt;=LW$22,LQ7&lt;&gt;""),AND(LU7&gt;=LW$22,LU7&lt;&gt;""),AND(MM7&gt;=MS$22,MM7&lt;&gt;""),AND(MQ7&gt;=MS$22,MQ7&lt;&gt;""),AND(NI7&gt;=NO$22,NI7&lt;&gt;""),AND(NM7&gt;=NO$22,NM7&lt;&gt;"")),"Excellence",IF(OR(AND(AR7&gt;=AY$21,AR7&lt;&gt;"",AP7=""),AND(AT7&gt;=AY$21,AT7&lt;&gt;"",AP7=""),AND(AW7&gt;=AY$21,AW7&lt;&gt;"",AP7=""),AND(BV7&gt;=CC$21,BV7&lt;&gt;"",BT7=""),AND(BX7&gt;=CC$21,BX7&lt;&gt;"",BT7=""),AND(CA7&gt;=CC$21,CA7&lt;&gt;"",BT7=""),AND(CZ7&gt;=DG$21,CZ7&lt;&gt;"",CX7=""),AND(DB7&gt;=DG$21,DB7&lt;&gt;"",CX7=""),AND(DE7&gt;=DG$21,DE7&lt;&gt;"",CX7=""),AND(EA7&gt;=EG$21,EA7&lt;&gt;""),AND(EE7&gt;=EG$21,EE7&lt;&gt;""),AND(EW7&gt;=FC$21,EW7&lt;&gt;""),AND(FA7&gt;=FC$21,FA7&lt;&gt;""),AND(FS7&gt;=FY$21,FS7&lt;&gt;""),AND(FW7&gt;=FY$21,FW7&lt;&gt;""),AND(GO7&gt;=GU$21,GO7&lt;&gt;""),AND(GS7&gt;=GU$21,GS7&lt;&gt;""),AND(HK7&gt;=HQ$21,HK7&lt;&gt;""),AND(HO7&gt;=HQ$21,HO7&lt;&gt;""),AND(IG7&gt;=IM$21,IG7&lt;&gt;""),AND(IK7&gt;=IM$21,IK7&lt;&gt;""),AND(JC7&gt;=JI$21,JC7&lt;&gt;""),AND(JG7&gt;=JI$21,JG7&lt;&gt;""),AND(JY7&gt;=KE$21,JY7&lt;&gt;""),AND(KC7&gt;=KE$21,KC7&lt;&gt;""),AND(KU7&gt;=LA$21,KU7&lt;&gt;""),AND(KY7&gt;=LA$21,KY7&lt;&gt;""),AND(LQ7&gt;=LW$21,LQ7&lt;&gt;""),AND(LU7&gt;=LW$21,LU7&lt;&gt;""),AND(MM7&gt;=MS$21,MM7&lt;&gt;""),AND(MQ7&gt;=MS$21,MQ7&lt;&gt;""),AND(NI7&gt;=NO$21,NI7&lt;&gt;""),AND(NM7&gt;=NO$21,NM7&lt;&gt;"")),"Worlds Team",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National Team",""))))</f>
        <v>Merit</v>
      </c>
      <c r="H7" s="125" t="str">
        <f>IF(OR(AND(AS7&gt;=AY$27,AS7&lt;&gt;"",AP7=""),AND(AU7&gt;=AY$27,AU7&lt;&gt;"",AP7=""),AND(AX7&gt;=AY$27,AX7&lt;&gt;"",AP7=""),AND(BW7&gt;=CC$27,BW7&lt;&gt;"",BT7=""),AND(BY7&gt;=CC$27,BY7&lt;&gt;"",BT7=""),AND(CB7&gt;=CC$27,CB7&lt;&gt;"",BT7=""),AND(DA7&gt;=DG$27,DA7&lt;&gt;"",CX7=""),AND(DC7&gt;=DG$27,DC7&lt;&gt;"",CX7=""),AND(DF7&gt;=DG$27,DF7&lt;&gt;"",CX7=""),AND(EC7&gt;=EG$27,EC7&lt;&gt;""),AND(EF7&gt;=EG$27,EF7&lt;&gt;""),AND(EY7&gt;=FC$27,EY7&lt;&gt;""),AND(FB7&gt;=FC$27,FB7&lt;&gt;""),AND(FU7&gt;=FY$27,FU7&lt;&gt;""),AND(FX7&gt;=FY$27,FX7&lt;&gt;""),AND(GQ7&gt;=GU$27,GQ7&lt;&gt;""),AND(GT7&gt;=GU$27,GT7&lt;&gt;""),AND(HM7&gt;=HQ$27,HM7&lt;&gt;""),AND(HP7&gt;=HQ$27,HP7&lt;&gt;""),AND(II7&gt;=IM$27,II7&lt;&gt;""),AND(IL7&gt;=IM$27,IL7&lt;&gt;""),AND(JE7&gt;=JI$27,JE7&lt;&gt;""),AND(JH7&gt;=JI$27,JH7&lt;&gt;""),AND(KA7&gt;=KE$27,KA7&lt;&gt;""),AND(KD7&gt;=KE$27,KD7&lt;&gt;""),AND(KW7&gt;=LA$27,KW7&lt;&gt;""),AND(KZ7&gt;=LA$27,KZ7&lt;&gt;""),AND(LS7&gt;=LW$27,LS7&lt;&gt;""),AND(LV7&gt;=LW$27,LV7&lt;&gt;""),AND(MO7&gt;=MS$27,MO7&lt;&gt;""),AND(MR7&gt;=MS$27,MR7&lt;&gt;""),AND(NK7&gt;=NO$27,NK7&lt;&gt;""),AND(NN7&gt;=NO$27,NN7&lt;&gt;"")),"Merit",IF(OR(AND(AS7&gt;=AY$26,AS7&lt;&gt;"",AP7=""),AND(AU7&gt;=AY$26,AU7&lt;&gt;"",AP7=""),AND(AX7&gt;=AY$26,AX7&lt;&gt;"",AP7=""),AND(BW7&gt;=CC$26,BW7&lt;&gt;"",BT7=""),AND(BY7&gt;=CC$26,BY7&lt;&gt;"",BT7=""),AND(CB7&gt;=CC$26,CB7&lt;&gt;"",BT7=""),AND(DA7&gt;=DG$26,DA7&lt;&gt;"",CX7=""),AND(DC7&gt;=DG$26,DC7&lt;&gt;"",CX7=""),AND(DF7&gt;=DG$26,DF7&lt;&gt;"",CX7=""),AND(EC7&gt;=EG$26,EC7&lt;&gt;""),AND(EF7&gt;=EG$26,EF7&lt;&gt;""),AND(EY7&gt;=FC$26,EY7&lt;&gt;""),AND(FB7&gt;=FC$26,FB7&lt;&gt;""),AND(FU7&gt;=FY$26,FU7&lt;&gt;""),AND(FX7&gt;=FY$26,FX7&lt;&gt;""),AND(GQ7&gt;=GU$26,GQ7&lt;&gt;""),AND(GT7&gt;=GU$26,GT7&lt;&gt;""),AND(HM7&gt;=HQ$26,HM7&lt;&gt;""),AND(HP7&gt;=HQ$26,HP7&lt;&gt;""),AND(II7&gt;=IM$26,II7&lt;&gt;""),AND(IL7&gt;=IM$26,IL7&lt;&gt;""),AND(JE7&gt;=JI$26,JE7&lt;&gt;""),AND(JH7&gt;=JI$26,JH7&lt;&gt;""),AND(KA7&gt;=KE$26,KA7&lt;&gt;""),AND(KD7&gt;=KE$26,KD7&lt;&gt;""),AND(KW7&gt;=LA$26,KW7&lt;&gt;""),AND(KZ7&gt;=LA$26,KZ7&lt;&gt;""),AND(LS7&gt;=LW$26,LS7&lt;&gt;""),AND(LV7&gt;=LW$26,LV7&lt;&gt;""),AND(MO7&gt;=MS$26,MO7&lt;&gt;""),AND(MR7&gt;=MS$26,MR7&lt;&gt;""),AND(NK7&gt;=NO$26,NK7&lt;&gt;""),AND(NN7&gt;=NO$26,NN7&lt;&gt;"")),"Excellence",IF(OR(AND(AV7&gt;=AY$25,AV7&lt;&gt;"",AP7=""),AND(BZ7&gt;=CC$25,BZ7&lt;&gt;"",BT7=""),AND(DD7&gt;=DG$25,DD7&lt;&gt;"",CX7=""),AND(ED7&gt;=EG$25,ED7&lt;&gt;""),AND(EZ7&gt;=FC$25,EZ7&lt;&gt;""),AND(FV7&gt;=FY$25,FV7&lt;&gt;""),AND(GR7&gt;=GU$25,GR7&lt;&gt;""),AND(HN7&gt;=HQ$25,HN7&lt;&gt;""),AND(IJ7&gt;=IM$25,IJ7&lt;&gt;""),AND(JF7&gt;=JI$25,JF7&lt;&gt;""),AND(KB7&gt;=KE$25,KB7&lt;&gt;""),AND(KX7&gt;=LA$25,KX7&lt;&gt;""),AND(LT7&gt;=LW$25,LT7&lt;&gt;""),AND(MP7&gt;=MS$25,MP7&lt;&gt;""),AND(NL7&gt;=NO$25,NL7&lt;&gt;"")),"Worlds Team",IF(OR(AND(AV7&gt;=AY$24,AV7&lt;&gt;"",AP7=""),AND(BZ7&gt;=CC$24,BZ7&lt;&gt;"",BT7=""),AND(DD7&gt;=DG$24,DD7&lt;&gt;"",CX7=""),AND(ED7&gt;=EG$24,ED7&lt;&gt;""),AND(EZ7&gt;=FC$24,EZ7&lt;&gt;""),AND(FV7&gt;=FY$24,FV7&lt;&gt;""),AND(GR7&gt;=GU$24,GR7&lt;&gt;""),AND(HN7&gt;=HQ$24,HN7&lt;&gt;""),AND(IJ7&gt;=IM$24,IJ7&lt;&gt;""),AND(JF7&gt;=JI$24,JF7&lt;&gt;""),AND(KB7&gt;=KE$24,KB7&lt;&gt;""),AND(KX7&gt;=LA$24,KX7&lt;&gt;""),AND(LT7&gt;=LW$24,LT7&lt;&gt;""),AND(MP7&gt;=MS$24,MP7&lt;&gt;""),AND(NL7&gt;=NO$24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$25,AV7&lt;&gt;"",AP7=""),AND(BZ7&gt;=CC$25,BZ7&lt;&gt;"",BT7=""),AND(DD7&gt;=DG$25,DD7&lt;&gt;"",CX7=""),AND(ED7&gt;=EG$25,ED7&lt;&gt;""),AND(EZ7&gt;=FC$25,EZ7&lt;&gt;""),AND(FV7&gt;=FY$25,FV7&lt;&gt;""),AND(GR7&gt;=GU$25,GR7&lt;&gt;""),AND(HN7&gt;=HQ$25,HN7&lt;&gt;""),AND(IJ7&gt;=IM$25,IJ7&lt;&gt;""),AND(JF7&gt;=JI$25,JF7&lt;&gt;""),AND(KB7&gt;=KE$25,KB7&lt;&gt;""),AND(KX7&gt;=LA$25,KX7&lt;&gt;""),AND(LT7&gt;=LW$25,LT7&lt;&gt;""),AND(MP7&gt;=MS$25,MP7&lt;&gt;""),AND(NL7&gt;=NO$25,NL7&lt;&gt;"")),OR(G7="Worlds Team",G7="Excellence",G7="Merit")),"P","")</f>
        <v>P</v>
      </c>
      <c r="K7" s="14">
        <f>IF(MAX(AV7,BZ7,DD7)&gt;0,MAX(AV7,BZ7,DD7),0)</f>
        <v>102.77500000000001</v>
      </c>
      <c r="L7" s="14" t="str">
        <f>IF(K7=0,"",IF(K7=DD7,$CD$1,IF(K7=BZ7,$AZ$1,IF(K7=AV7,$V$1,""))))</f>
        <v>2019 Nationals</v>
      </c>
      <c r="M7" s="14">
        <f>IF($K7=$AV7,MAX(BU7,CY7),IF($K7=$BZ7,MAX(AQ7,CY7),IF($K7=$DD7,MAX(AQ7,BU7),MAX(AQ7,BU7,CY7))))</f>
        <v>47.56</v>
      </c>
      <c r="N7" s="14" t="str">
        <f>IF(M7=0,"",IF(AND(M7=CY7,$L7&lt;&gt;$CD$1),$CD$1,IF(AND(M7=BU7,$L7&lt;&gt;$AZ$1),$AZ$1,IF(AND(M7=AQ7,$L7&lt;&gt;$V$1),$V$1,""))))</f>
        <v>2021 1st Virtual Technical Trial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54.64</v>
      </c>
      <c r="P7" s="14" t="str">
        <f>IF(O7=0,"",IF(OR(O7=DC7,O7=DA7),$CD$1,IF(OR(O7=BY7,O7=BW7),$AZ$1,IF(OR(O7=AU7,O7=AS7),$V$1,""))))</f>
        <v>2021 1st Virtual Technical Trial</v>
      </c>
      <c r="Q7" s="14">
        <f>MAX(AX7,CB7,DF7)</f>
        <v>55.62</v>
      </c>
      <c r="R7" s="14" t="str">
        <f>IF(Q7=0,"",IF(Q7=DF7,$CD$1,IF(Q7=CB7,$AZ$1,IF(Q7=AX7,$V$1,""))))</f>
        <v>2021 1st Virtual Technical Trial</v>
      </c>
      <c r="S7" s="14">
        <f>IF(MAX(DH7,DI7,DJ7,DK7)&gt;0,MAX(DH7,DI7,DJ7,DK7),"")</f>
        <v>4.5000000000001705E-2</v>
      </c>
      <c r="T7" s="25" t="str">
        <f>IF(S7="","",IF(S7=DH7,"(Vol 1)",IF(S7=DI7,"(Vol 2)",IF(S7=DJ7,"(Prelim)",IF(S7=DK7,"(Final)")))))</f>
        <v>(Vol 1)</v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>2020 World Cup AZE (Feb 16)</v>
      </c>
      <c r="V7" s="69">
        <v>18</v>
      </c>
      <c r="W7" s="69">
        <v>9.0749999999999993</v>
      </c>
      <c r="X7" s="69">
        <v>4.75</v>
      </c>
      <c r="Y7" s="69">
        <v>15.7475</v>
      </c>
      <c r="Z7" s="69">
        <v>0.1</v>
      </c>
      <c r="AA7" s="69">
        <v>17.100000000000001</v>
      </c>
      <c r="AB7" s="69">
        <v>9.65</v>
      </c>
      <c r="AC7" s="69">
        <v>13.45</v>
      </c>
      <c r="AD7" s="69">
        <v>15.102499999999999</v>
      </c>
      <c r="AE7" s="69">
        <v>0</v>
      </c>
      <c r="AF7" s="69"/>
      <c r="AG7" s="69"/>
      <c r="AH7" s="69"/>
      <c r="AI7" s="69"/>
      <c r="AJ7" s="69"/>
      <c r="AK7" s="69">
        <v>16.799999999999997</v>
      </c>
      <c r="AL7" s="69">
        <v>8.8000000000000007</v>
      </c>
      <c r="AM7" s="69">
        <v>13.45</v>
      </c>
      <c r="AN7" s="69">
        <v>15.067499999999999</v>
      </c>
      <c r="AO7" s="69">
        <v>0</v>
      </c>
      <c r="AP7" s="80" t="s">
        <v>88</v>
      </c>
      <c r="AQ7" s="11">
        <f>IF(SUM(V7:Y7)-Z7&gt;0,SUM(V7:Y7)-Z7,"")</f>
        <v>47.472499999999997</v>
      </c>
      <c r="AR7" s="11">
        <f>IF(AC7&gt;0,AC7,"")</f>
        <v>13.45</v>
      </c>
      <c r="AS7" s="11">
        <f>IF(SUM(AA7:AD7)-AE7&gt;0,SUM(AA7:AD7)-AE7,"")</f>
        <v>55.302500000000002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102.77500000000001</v>
      </c>
      <c r="AW7" s="11">
        <f>IF(AM7&gt;0,AM7,"")</f>
        <v>13.45</v>
      </c>
      <c r="AX7" s="11">
        <f>IF(SUM(AK7:AN7)-AO7&gt;0,SUM(AK7:AN7)-AO7,"")</f>
        <v>54.117499999999993</v>
      </c>
      <c r="AY7" s="11">
        <f>IF(SUM(AV7,AX7)&gt;0,SUM(AV7,AX7),"")</f>
        <v>156.89249999999998</v>
      </c>
      <c r="AZ7" s="75">
        <v>17.7</v>
      </c>
      <c r="BA7" s="75">
        <v>9.3000000000000007</v>
      </c>
      <c r="BB7" s="75">
        <v>4.4000000000000004</v>
      </c>
      <c r="BC7" s="75">
        <v>16.16</v>
      </c>
      <c r="BD7" s="75">
        <v>0</v>
      </c>
      <c r="BE7" s="75">
        <v>16.3</v>
      </c>
      <c r="BF7" s="75">
        <v>9.4</v>
      </c>
      <c r="BG7" s="75">
        <v>12.7</v>
      </c>
      <c r="BH7" s="75">
        <v>15.44</v>
      </c>
      <c r="BI7" s="75">
        <v>0</v>
      </c>
      <c r="BJ7" s="75">
        <v>16.8</v>
      </c>
      <c r="BK7" s="75">
        <v>9.5</v>
      </c>
      <c r="BL7" s="75">
        <v>13.3</v>
      </c>
      <c r="BM7" s="75">
        <v>15.04</v>
      </c>
      <c r="BN7" s="75">
        <v>0</v>
      </c>
      <c r="BO7" s="75">
        <v>17.399999999999999</v>
      </c>
      <c r="BP7" s="75">
        <v>9.8000000000000007</v>
      </c>
      <c r="BQ7" s="75">
        <v>13.3</v>
      </c>
      <c r="BR7" s="75">
        <v>15.12</v>
      </c>
      <c r="BS7" s="75">
        <v>0</v>
      </c>
      <c r="BT7" s="81"/>
      <c r="BU7" s="14">
        <f>IF(SUM(AZ7:BC7)-BD7&gt;0,SUM(AZ7:BC7)-BD7,"")</f>
        <v>47.56</v>
      </c>
      <c r="BV7" s="14">
        <f>IF(BG7&gt;0,BG7,"")</f>
        <v>12.7</v>
      </c>
      <c r="BW7" s="14">
        <f>IF(SUM(BE7:BH7)-BI7&gt;0,SUM(BE7:BH7)-BI7,"")</f>
        <v>53.84</v>
      </c>
      <c r="BX7" s="14">
        <f>IF(BL7&gt;0,BL7,"")</f>
        <v>13.3</v>
      </c>
      <c r="BY7" s="14">
        <f>IF(SUM(BJ7:BM7)-BN7&gt;0,SUM(BJ7:BM7)-BN7,"")</f>
        <v>54.64</v>
      </c>
      <c r="BZ7" s="14">
        <f>IF(BU7="",IF(MAX(BW7,BY7)&gt;0,MAX(BW7,BY7),""),MAX(BW7,BY7)+BU7)</f>
        <v>102.2</v>
      </c>
      <c r="CA7" s="14">
        <f>IF(BQ7&gt;0,BQ7,"")</f>
        <v>13.3</v>
      </c>
      <c r="CB7" s="14">
        <f>IF(SUM(BO7:BR7)-BS7&gt;0,SUM(BO7:BR7)-BS7,"")</f>
        <v>55.62</v>
      </c>
      <c r="CC7" s="14">
        <f>IF(SUM(BZ7,CB7)&gt;0,SUM(BZ7,CB7),"")</f>
        <v>157.82</v>
      </c>
      <c r="CD7" s="69">
        <v>16.399999999999999</v>
      </c>
      <c r="CE7" s="69">
        <v>9.5</v>
      </c>
      <c r="CF7" s="69">
        <v>4.4000000000000004</v>
      </c>
      <c r="CG7" s="69">
        <v>16.145</v>
      </c>
      <c r="CH7" s="69">
        <v>0</v>
      </c>
      <c r="CI7" s="69">
        <v>16</v>
      </c>
      <c r="CJ7" s="69">
        <v>9</v>
      </c>
      <c r="CK7" s="69">
        <v>12.5</v>
      </c>
      <c r="CL7" s="69">
        <v>14.89</v>
      </c>
      <c r="CM7" s="69">
        <v>0.6</v>
      </c>
      <c r="CN7" s="69">
        <v>16.899999999999999</v>
      </c>
      <c r="CO7" s="69">
        <v>9</v>
      </c>
      <c r="CP7" s="69">
        <v>13.3</v>
      </c>
      <c r="CQ7" s="69">
        <v>14.96</v>
      </c>
      <c r="CR7" s="69">
        <v>0</v>
      </c>
      <c r="CS7" s="69">
        <v>16.600000000000001</v>
      </c>
      <c r="CT7" s="69">
        <v>9</v>
      </c>
      <c r="CU7" s="69">
        <v>13.3</v>
      </c>
      <c r="CV7" s="69">
        <v>14.91</v>
      </c>
      <c r="CW7" s="69">
        <v>0</v>
      </c>
      <c r="CX7" s="80"/>
      <c r="CY7" s="11">
        <f>IF(SUM(CD7:CG7)-CH7&gt;0,SUM(CD7:CG7)-CH7,"")</f>
        <v>46.444999999999993</v>
      </c>
      <c r="CZ7" s="11">
        <f>IF(CK7&gt;0,CK7,"")</f>
        <v>12.5</v>
      </c>
      <c r="DA7" s="11">
        <f>IF(SUM(CI7:CL7)-CM7&gt;0,SUM(CI7:CL7)-CM7,"")</f>
        <v>51.79</v>
      </c>
      <c r="DB7" s="11">
        <f>IF(CP7&gt;0,CP7,"")</f>
        <v>13.3</v>
      </c>
      <c r="DC7" s="11">
        <f>IF(SUM(CN7:CQ7)-CR7&gt;0,SUM(CN7:CQ7)-CR7,"")</f>
        <v>54.160000000000004</v>
      </c>
      <c r="DD7" s="11">
        <f>IF(CY7="",IF(MAX(DA7,DC7)&gt;0,MAX(DA7,DC7),""),MAX(DA7,DC7)+CY7)</f>
        <v>100.60499999999999</v>
      </c>
      <c r="DE7" s="11">
        <f>IF(CU7&gt;0,CU7,"")</f>
        <v>13.3</v>
      </c>
      <c r="DF7" s="11">
        <f>IF(SUM(CS7:CV7)-CW7&gt;0,SUM(CS7:CV7)-CW7,"")</f>
        <v>53.81</v>
      </c>
      <c r="DG7" s="11">
        <f>IF(SUM(DD7,DF7)&gt;0,SUM(DD7,DF7),"")</f>
        <v>154.41499999999999</v>
      </c>
      <c r="DH7" s="24">
        <f>IF(MAX(EB7,EX7,FT7,GP7,HL7,IH7,JD7,JZ7,KV7,LR7,MN7,NJ7)-IF(M7="",0,M7)&gt;0.001,MAX(EB7,EX7,FT7,GP7,HL7,IH7,JD7,JZ7,KV7,LR7,MN7,NJ7)-IF(M7="",0,M7),"")</f>
        <v>4.5000000000001705E-2</v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>
        <v>18</v>
      </c>
      <c r="DM7" s="37">
        <v>9.3000000000000007</v>
      </c>
      <c r="DN7" s="37">
        <v>4.4000000000000004</v>
      </c>
      <c r="DO7" s="37">
        <v>15.904999999999999</v>
      </c>
      <c r="DP7" s="37">
        <v>0</v>
      </c>
      <c r="DQ7" s="37">
        <v>15.7</v>
      </c>
      <c r="DR7" s="37">
        <v>9.3000000000000007</v>
      </c>
      <c r="DS7" s="37">
        <v>13.3</v>
      </c>
      <c r="DT7" s="37">
        <v>14.77</v>
      </c>
      <c r="DU7" s="37">
        <v>0</v>
      </c>
      <c r="DV7" s="37"/>
      <c r="DW7" s="37"/>
      <c r="DX7" s="37"/>
      <c r="DY7" s="37"/>
      <c r="DZ7" s="37"/>
      <c r="EA7" s="11">
        <f>IF(DS7&gt;0,DS7,"")</f>
        <v>13.3</v>
      </c>
      <c r="EB7" s="11">
        <f>IF(SUM(DL7:DO7)-DP7&gt;0,SUM(DL7:DO7)-DP7,"")</f>
        <v>47.605000000000004</v>
      </c>
      <c r="EC7" s="11">
        <f>IF(SUM(DQ7:DT7)-DU7&gt;0,SUM(DQ7:DT7)-DU7,"")</f>
        <v>53.069999999999993</v>
      </c>
      <c r="ED7" s="11">
        <f>IF(SUM(EB7:EC7)&gt;0,SUM(EB7:EC7),"")</f>
        <v>100.675</v>
      </c>
      <c r="EE7" s="11" t="str">
        <f>IF(DX7&gt;0,DX7,"")</f>
        <v/>
      </c>
      <c r="EF7" s="11" t="str">
        <f>IF(SUM(DV7:DY7)-DZ7&gt;0,SUM(DV7:DY7)-DZ7,"")</f>
        <v/>
      </c>
      <c r="EG7" s="11">
        <f>IF(SUM(ED7,EF7)&gt;0,SUM(ED7,EF7),"")</f>
        <v>100.675</v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17.049999999999997</v>
      </c>
      <c r="NQ7" s="69">
        <f>IF($CX7="P",CE7,(CE7+BA7)/2)</f>
        <v>9.4</v>
      </c>
      <c r="NR7" s="69">
        <f>IF($CX7="P",CF7,(CF7+BB7)/2)</f>
        <v>4.4000000000000004</v>
      </c>
      <c r="NS7" s="69">
        <f>IF($CX7="P",CG7,(CG7+BC7)/2)</f>
        <v>16.1525</v>
      </c>
      <c r="NT7" s="69">
        <f>IF($CX7="P",CH7,(CH7+BD7)/2)</f>
        <v>0</v>
      </c>
      <c r="NU7" s="69">
        <f>IF($CX7="P",CI7,(CI7+BE7)/2)</f>
        <v>16.149999999999999</v>
      </c>
      <c r="NV7" s="69">
        <f>IF($CX7="P",CJ7,(CJ7+BF7)/2)</f>
        <v>9.1999999999999993</v>
      </c>
      <c r="NW7" s="69">
        <f>IF($CX7="P",CK7,(CK7+BG7)/2)</f>
        <v>12.6</v>
      </c>
      <c r="NX7" s="69">
        <f>IF($CX7="P",CL7,(CL7+BH7)/2)</f>
        <v>15.164999999999999</v>
      </c>
      <c r="NY7" s="69">
        <f>IF($CX7="P",CM7,(CM7+BI7)/2)</f>
        <v>0.3</v>
      </c>
      <c r="NZ7" s="69">
        <f>IF($CX7="P",CN7,(CN7+BJ7)/2)</f>
        <v>16.850000000000001</v>
      </c>
      <c r="OA7" s="69">
        <f>IF($CX7="P",CO7,(CO7+BK7)/2)</f>
        <v>9.25</v>
      </c>
      <c r="OB7" s="69">
        <f>IF($CX7="P",CP7,(CP7+BL7)/2)</f>
        <v>13.3</v>
      </c>
      <c r="OC7" s="69">
        <f>IF($CX7="P",CQ7,(CQ7+BM7)/2)</f>
        <v>15</v>
      </c>
      <c r="OD7" s="69">
        <f>IF($CX7="P",CR7,(CR7+BN7)/2)</f>
        <v>0</v>
      </c>
      <c r="OE7" s="69">
        <f>IF($CX7="P",CS7,(CS7+BO7)/2)</f>
        <v>17</v>
      </c>
      <c r="OF7" s="69">
        <f>IF($CX7="P",CT7,(CT7+BP7)/2)</f>
        <v>9.4</v>
      </c>
      <c r="OG7" s="69">
        <f>IF($CX7="P",CU7,(CU7+BQ7)/2)</f>
        <v>13.3</v>
      </c>
      <c r="OH7" s="69">
        <f>IF($CX7="P",CV7,(CV7+BR7)/2)</f>
        <v>15.015000000000001</v>
      </c>
      <c r="OI7" s="69">
        <f>IF($CX7="P",CW7,(CW7+BS7)/2)</f>
        <v>0</v>
      </c>
      <c r="OJ7" s="80" t="s">
        <v>88</v>
      </c>
      <c r="OK7" s="11">
        <f>IF(SUM(NP7:NS7)-NT7&gt;0,SUM(NP7:NS7)-NT7,"")</f>
        <v>47.002499999999998</v>
      </c>
      <c r="OL7" s="11">
        <f>IF(NW7&gt;0,NW7,"")</f>
        <v>12.6</v>
      </c>
      <c r="OM7" s="11">
        <f>IF(SUM(NU7:NX7)-NY7&gt;0,SUM(NU7:NX7)-NY7,"")</f>
        <v>52.814999999999998</v>
      </c>
      <c r="ON7" s="11">
        <f>IF(OB7&gt;0,OB7,"")</f>
        <v>13.3</v>
      </c>
      <c r="OO7" s="11">
        <f>IF(SUM(NZ7:OC7)-OD7&gt;0,SUM(NZ7:OC7)-OD7,"")</f>
        <v>54.400000000000006</v>
      </c>
      <c r="OP7" s="11">
        <f>IF(OR(OK7&lt;&gt;"",OM7&lt;&gt;"",OO7&lt;&gt;""),OK7+MAX(OM7,OO7),"")</f>
        <v>101.4025</v>
      </c>
      <c r="OQ7" s="11">
        <f>IF(OG7&gt;0,OG7,"")</f>
        <v>13.3</v>
      </c>
      <c r="OR7" s="11">
        <f t="shared" si="0"/>
        <v>54.715000000000003</v>
      </c>
      <c r="OS7" s="11">
        <f t="shared" si="1"/>
        <v>156.11750000000001</v>
      </c>
    </row>
    <row r="8" spans="1:409" x14ac:dyDescent="0.2">
      <c r="A8" s="5" cm="1">
        <f t="array" ref="A8">IF(AND(G8&lt;&gt;"",H8&lt;&gt;""),SUMPRODUCT((G$4:G$18&lt;&gt;"")*(H$4:H$18&lt;&gt;"")*(E$4:E$18&gt;E8))+1,IF(H8&lt;&gt;"",SUMPRODUCT((I$4:I$18="No DD")*(E$4:E$18&gt;E8))+1+SUMPRODUCT((G$4:G$18&lt;&gt;"")*(H$4:H$18&lt;&gt;"")),""))</f>
        <v>5</v>
      </c>
      <c r="B8" s="127" t="s">
        <v>37</v>
      </c>
      <c r="C8" s="5" t="s">
        <v>3</v>
      </c>
      <c r="D8" s="5">
        <v>1998</v>
      </c>
      <c r="E8" s="15">
        <f>SUM(K8:S8)</f>
        <v>257.95</v>
      </c>
      <c r="F8" s="3" t="str">
        <f>IF(G8&lt;&gt;"","P","")</f>
        <v>P</v>
      </c>
      <c r="G8" s="125" t="str">
        <f>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Merit",IF(OR(AND(AR8&gt;=AY$22,AR8&lt;&gt;"",AP8=""),AND(AT8&gt;=AY$22,AT8&lt;&gt;"",AP8=""),AND(AW8&gt;=AY$22,AW8&lt;&gt;"",AP8=""),AND(BV8&gt;=CC$22,BV8&lt;&gt;"",BT8=""),AND(BX8&gt;=CC$22,BX8&lt;&gt;"",BT8=""),AND(CA8&gt;=CC$22,CA8&lt;&gt;"",BT8=""),AND(CZ8&gt;=DG$22,CZ8&lt;&gt;"",CX8=""),AND(DB8&gt;=DG$22,DB8&lt;&gt;"",CX8=""),AND(DE8&gt;=DG$22,DE8&lt;&gt;"",CX8=""),AND(EA8&gt;=EG$22,EA8&lt;&gt;""),AND(EE8&gt;=EG$22,EE8&lt;&gt;""),AND(EW8&gt;=FC$22,EW8&lt;&gt;""),AND(FA8&gt;=FC$22,FA8&lt;&gt;""),AND(FS8&gt;=FY$22,FS8&lt;&gt;""),AND(FW8&gt;=FY$22,FW8&lt;&gt;""),AND(GO8&gt;=GU$22,GO8&lt;&gt;""),AND(GS8&gt;=GU$22,GS8&lt;&gt;""),AND(HK8&gt;=HQ$22,HK8&lt;&gt;""),AND(HO8&gt;=HQ$22,HO8&lt;&gt;""),AND(IG8&gt;=IM$22,IG8&lt;&gt;""),AND(IK8&gt;=IM$22,IK8&lt;&gt;""),AND(JC8&gt;=JI$22,JC8&lt;&gt;""),AND(JG8&gt;=JI$22,JG8&lt;&gt;""),AND(JY8&gt;=KE$22,JY8&lt;&gt;""),AND(KC8&gt;=KE$22,KC8&lt;&gt;""),AND(KU8&gt;=LA$22,KU8&lt;&gt;""),AND(KY8&gt;=LA$22,KY8&lt;&gt;""),AND(LQ8&gt;=LW$22,LQ8&lt;&gt;""),AND(LU8&gt;=LW$22,LU8&lt;&gt;""),AND(MM8&gt;=MS$22,MM8&lt;&gt;""),AND(MQ8&gt;=MS$22,MQ8&lt;&gt;""),AND(NI8&gt;=NO$22,NI8&lt;&gt;""),AND(NM8&gt;=NO$22,NM8&lt;&gt;"")),"Excellence",IF(OR(AND(AR8&gt;=AY$21,AR8&lt;&gt;"",AP8=""),AND(AT8&gt;=AY$21,AT8&lt;&gt;"",AP8=""),AND(AW8&gt;=AY$21,AW8&lt;&gt;"",AP8=""),AND(BV8&gt;=CC$21,BV8&lt;&gt;"",BT8=""),AND(BX8&gt;=CC$21,BX8&lt;&gt;"",BT8=""),AND(CA8&gt;=CC$21,CA8&lt;&gt;"",BT8=""),AND(CZ8&gt;=DG$21,CZ8&lt;&gt;"",CX8=""),AND(DB8&gt;=DG$21,DB8&lt;&gt;"",CX8=""),AND(DE8&gt;=DG$21,DE8&lt;&gt;"",CX8=""),AND(EA8&gt;=EG$21,EA8&lt;&gt;""),AND(EE8&gt;=EG$21,EE8&lt;&gt;""),AND(EW8&gt;=FC$21,EW8&lt;&gt;""),AND(FA8&gt;=FC$21,FA8&lt;&gt;""),AND(FS8&gt;=FY$21,FS8&lt;&gt;""),AND(FW8&gt;=FY$21,FW8&lt;&gt;""),AND(GO8&gt;=GU$21,GO8&lt;&gt;""),AND(GS8&gt;=GU$21,GS8&lt;&gt;""),AND(HK8&gt;=HQ$21,HK8&lt;&gt;""),AND(HO8&gt;=HQ$21,HO8&lt;&gt;""),AND(IG8&gt;=IM$21,IG8&lt;&gt;""),AND(IK8&gt;=IM$21,IK8&lt;&gt;""),AND(JC8&gt;=JI$21,JC8&lt;&gt;""),AND(JG8&gt;=JI$21,JG8&lt;&gt;""),AND(JY8&gt;=KE$21,JY8&lt;&gt;""),AND(KC8&gt;=KE$21,KC8&lt;&gt;""),AND(KU8&gt;=LA$21,KU8&lt;&gt;""),AND(KY8&gt;=LA$21,KY8&lt;&gt;""),AND(LQ8&gt;=LW$21,LQ8&lt;&gt;""),AND(LU8&gt;=LW$21,LU8&lt;&gt;""),AND(MM8&gt;=MS$21,MM8&lt;&gt;""),AND(MQ8&gt;=MS$21,MQ8&lt;&gt;""),AND(NI8&gt;=NO$21,NI8&lt;&gt;""),AND(NM8&gt;=NO$21,NM8&lt;&gt;"")),"Worlds Team",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National Team",""))))</f>
        <v>Merit</v>
      </c>
      <c r="H8" s="125" t="str">
        <f>IF(OR(AND(AS8&gt;=AY$27,AS8&lt;&gt;"",AP8=""),AND(AU8&gt;=AY$27,AU8&lt;&gt;"",AP8=""),AND(AX8&gt;=AY$27,AX8&lt;&gt;"",AP8=""),AND(BW8&gt;=CC$27,BW8&lt;&gt;"",BT8=""),AND(BY8&gt;=CC$27,BY8&lt;&gt;"",BT8=""),AND(CB8&gt;=CC$27,CB8&lt;&gt;"",BT8=""),AND(DA8&gt;=DG$27,DA8&lt;&gt;"",CX8=""),AND(DC8&gt;=DG$27,DC8&lt;&gt;"",CX8=""),AND(DF8&gt;=DG$27,DF8&lt;&gt;"",CX8=""),AND(EC8&gt;=EG$27,EC8&lt;&gt;""),AND(EF8&gt;=EG$27,EF8&lt;&gt;""),AND(EY8&gt;=FC$27,EY8&lt;&gt;""),AND(FB8&gt;=FC$27,FB8&lt;&gt;""),AND(FU8&gt;=FY$27,FU8&lt;&gt;""),AND(FX8&gt;=FY$27,FX8&lt;&gt;""),AND(GQ8&gt;=GU$27,GQ8&lt;&gt;""),AND(GT8&gt;=GU$27,GT8&lt;&gt;""),AND(HM8&gt;=HQ$27,HM8&lt;&gt;""),AND(HP8&gt;=HQ$27,HP8&lt;&gt;""),AND(II8&gt;=IM$27,II8&lt;&gt;""),AND(IL8&gt;=IM$27,IL8&lt;&gt;""),AND(JE8&gt;=JI$27,JE8&lt;&gt;""),AND(JH8&gt;=JI$27,JH8&lt;&gt;""),AND(KA8&gt;=KE$27,KA8&lt;&gt;""),AND(KD8&gt;=KE$27,KD8&lt;&gt;""),AND(KW8&gt;=LA$27,KW8&lt;&gt;""),AND(KZ8&gt;=LA$27,KZ8&lt;&gt;""),AND(LS8&gt;=LW$27,LS8&lt;&gt;""),AND(LV8&gt;=LW$27,LV8&lt;&gt;""),AND(MO8&gt;=MS$27,MO8&lt;&gt;""),AND(MR8&gt;=MS$27,MR8&lt;&gt;""),AND(NK8&gt;=NO$27,NK8&lt;&gt;""),AND(NN8&gt;=NO$27,NN8&lt;&gt;"")),"Merit",IF(OR(AND(AS8&gt;=AY$26,AS8&lt;&gt;"",AP8=""),AND(AU8&gt;=AY$26,AU8&lt;&gt;"",AP8=""),AND(AX8&gt;=AY$26,AX8&lt;&gt;"",AP8=""),AND(BW8&gt;=CC$26,BW8&lt;&gt;"",BT8=""),AND(BY8&gt;=CC$26,BY8&lt;&gt;"",BT8=""),AND(CB8&gt;=CC$26,CB8&lt;&gt;"",BT8=""),AND(DA8&gt;=DG$26,DA8&lt;&gt;"",CX8=""),AND(DC8&gt;=DG$26,DC8&lt;&gt;"",CX8=""),AND(DF8&gt;=DG$26,DF8&lt;&gt;"",CX8=""),AND(EC8&gt;=EG$26,EC8&lt;&gt;""),AND(EF8&gt;=EG$26,EF8&lt;&gt;""),AND(EY8&gt;=FC$26,EY8&lt;&gt;""),AND(FB8&gt;=FC$26,FB8&lt;&gt;""),AND(FU8&gt;=FY$26,FU8&lt;&gt;""),AND(FX8&gt;=FY$26,FX8&lt;&gt;""),AND(GQ8&gt;=GU$26,GQ8&lt;&gt;""),AND(GT8&gt;=GU$26,GT8&lt;&gt;""),AND(HM8&gt;=HQ$26,HM8&lt;&gt;""),AND(HP8&gt;=HQ$26,HP8&lt;&gt;""),AND(II8&gt;=IM$26,II8&lt;&gt;""),AND(IL8&gt;=IM$26,IL8&lt;&gt;""),AND(JE8&gt;=JI$26,JE8&lt;&gt;""),AND(JH8&gt;=JI$26,JH8&lt;&gt;""),AND(KA8&gt;=KE$26,KA8&lt;&gt;""),AND(KD8&gt;=KE$26,KD8&lt;&gt;""),AND(KW8&gt;=LA$26,KW8&lt;&gt;""),AND(KZ8&gt;=LA$26,KZ8&lt;&gt;""),AND(LS8&gt;=LW$26,LS8&lt;&gt;""),AND(LV8&gt;=LW$26,LV8&lt;&gt;""),AND(MO8&gt;=MS$26,MO8&lt;&gt;""),AND(MR8&gt;=MS$26,MR8&lt;&gt;""),AND(NK8&gt;=NO$26,NK8&lt;&gt;""),AND(NN8&gt;=NO$26,NN8&lt;&gt;"")),"Excellence",IF(OR(AND(AV8&gt;=AY$25,AV8&lt;&gt;"",AP8=""),AND(BZ8&gt;=CC$25,BZ8&lt;&gt;"",BT8=""),AND(DD8&gt;=DG$25,DD8&lt;&gt;"",CX8=""),AND(ED8&gt;=EG$25,ED8&lt;&gt;""),AND(EZ8&gt;=FC$25,EZ8&lt;&gt;""),AND(FV8&gt;=FY$25,FV8&lt;&gt;""),AND(GR8&gt;=GU$25,GR8&lt;&gt;""),AND(HN8&gt;=HQ$25,HN8&lt;&gt;""),AND(IJ8&gt;=IM$25,IJ8&lt;&gt;""),AND(JF8&gt;=JI$25,JF8&lt;&gt;""),AND(KB8&gt;=KE$25,KB8&lt;&gt;""),AND(KX8&gt;=LA$25,KX8&lt;&gt;""),AND(LT8&gt;=LW$25,LT8&lt;&gt;""),AND(MP8&gt;=MS$25,MP8&lt;&gt;""),AND(NL8&gt;=NO$25,NL8&lt;&gt;"")),"Worlds Team",IF(OR(AND(AV8&gt;=AY$24,AV8&lt;&gt;"",AP8=""),AND(BZ8&gt;=CC$24,BZ8&lt;&gt;"",BT8=""),AND(DD8&gt;=DG$24,DD8&lt;&gt;"",CX8=""),AND(ED8&gt;=EG$24,ED8&lt;&gt;""),AND(EZ8&gt;=FC$24,EZ8&lt;&gt;""),AND(FV8&gt;=FY$24,FV8&lt;&gt;""),AND(GR8&gt;=GU$24,GR8&lt;&gt;""),AND(HN8&gt;=HQ$24,HN8&lt;&gt;""),AND(IJ8&gt;=IM$24,IJ8&lt;&gt;""),AND(JF8&gt;=JI$24,JF8&lt;&gt;""),AND(KB8&gt;=KE$24,KB8&lt;&gt;""),AND(KX8&gt;=LA$24,KX8&lt;&gt;""),AND(LT8&gt;=LW$24,LT8&lt;&gt;""),AND(MP8&gt;=MS$24,MP8&lt;&gt;""),AND(NL8&gt;=NO$24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$25,AV8&lt;&gt;"",AP8=""),AND(BZ8&gt;=CC$25,BZ8&lt;&gt;"",BT8=""),AND(DD8&gt;=DG$25,DD8&lt;&gt;"",CX8=""),AND(ED8&gt;=EG$25,ED8&lt;&gt;""),AND(EZ8&gt;=FC$25,EZ8&lt;&gt;""),AND(FV8&gt;=FY$25,FV8&lt;&gt;""),AND(GR8&gt;=GU$25,GR8&lt;&gt;""),AND(HN8&gt;=HQ$25,HN8&lt;&gt;""),AND(IJ8&gt;=IM$25,IJ8&lt;&gt;""),AND(JF8&gt;=JI$25,JF8&lt;&gt;""),AND(KB8&gt;=KE$25,KB8&lt;&gt;""),AND(KX8&gt;=LA$25,KX8&lt;&gt;""),AND(LT8&gt;=LW$25,LT8&lt;&gt;""),AND(MP8&gt;=MS$25,MP8&lt;&gt;""),AND(NL8&gt;=NO$25,NL8&lt;&gt;"")),OR(G8="Worlds Team",G8="Excellence",G8="Merit")),"P","")</f>
        <v>P</v>
      </c>
      <c r="K8" s="14">
        <f>IF(MAX(AV8,BZ8,DD8)&gt;0,MAX(AV8,BZ8,DD8),0)</f>
        <v>101.38499999999999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47.432500000000005</v>
      </c>
      <c r="N8" s="14" t="str">
        <f>IF(M8=0,"",IF(AND(M8=CY8,$L8&lt;&gt;$CD$1),$CD$1,IF(AND(M8=BU8,$L8&lt;&gt;$AZ$1),$AZ$1,IF(AND(M8=AQ8,$L8&lt;&gt;$V$1),$V$1,""))))</f>
        <v>2021 1st Virtual Technical Trial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53.7425</v>
      </c>
      <c r="P8" s="14" t="str">
        <f>IF(O8=0,"",IF(OR(O8=DC8,O8=DA8),$CD$1,IF(OR(O8=BY8,O8=BW8),$AZ$1,IF(OR(O8=AU8,O8=AS8),$V$1,""))))</f>
        <v>2021 1st Virtual Technical Trial</v>
      </c>
      <c r="Q8" s="14">
        <f>MAX(AX8,CB8,DF8)</f>
        <v>55.389999999999993</v>
      </c>
      <c r="R8" s="14" t="str">
        <f>IF(Q8=0,"",IF(Q8=DF8,$CD$1,IF(Q8=CB8,$AZ$1,IF(Q8=AX8,$V$1,""))))</f>
        <v>2021 2nd Virtual Technical Trial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18.100000000000001</v>
      </c>
      <c r="W8" s="69">
        <v>9.3000000000000007</v>
      </c>
      <c r="X8" s="69">
        <v>4.2</v>
      </c>
      <c r="Y8" s="69">
        <v>15.72</v>
      </c>
      <c r="Z8" s="69">
        <v>0</v>
      </c>
      <c r="AA8" s="69">
        <v>16.399999999999999</v>
      </c>
      <c r="AB8" s="69">
        <v>9</v>
      </c>
      <c r="AC8" s="69">
        <v>13.1</v>
      </c>
      <c r="AD8" s="69">
        <v>14.67</v>
      </c>
      <c r="AE8" s="69">
        <v>0.2</v>
      </c>
      <c r="AF8" s="69"/>
      <c r="AG8" s="69"/>
      <c r="AH8" s="69"/>
      <c r="AI8" s="69"/>
      <c r="AJ8" s="69"/>
      <c r="AK8" s="69">
        <v>15</v>
      </c>
      <c r="AL8" s="69">
        <v>8.9</v>
      </c>
      <c r="AM8" s="69">
        <v>13.8</v>
      </c>
      <c r="AN8" s="69">
        <v>14.805</v>
      </c>
      <c r="AO8" s="69"/>
      <c r="AP8" s="80"/>
      <c r="AQ8" s="11">
        <f>IF(SUM(V8:Y8)-Z8&gt;0,SUM(V8:Y8)-Z8,"")</f>
        <v>47.32</v>
      </c>
      <c r="AR8" s="11">
        <f>IF(AC8&gt;0,AC8,"")</f>
        <v>13.1</v>
      </c>
      <c r="AS8" s="11">
        <f>IF(SUM(AA8:AD8)-AE8&gt;0,SUM(AA8:AD8)-AE8,"")</f>
        <v>52.97</v>
      </c>
      <c r="AT8" s="11" t="str">
        <f>IF(AH8&gt;0,AH8,"")</f>
        <v/>
      </c>
      <c r="AU8" s="11" t="str">
        <f>IF(SUM(AF8:AI8)-AJ8&gt;0,SUM(AF8:AI8)-AJ8,"")</f>
        <v/>
      </c>
      <c r="AV8" s="11">
        <f>IF(AQ8="",IF(MAX(AS8,AU8)&gt;0,MAX(AS8,AU8),""),MAX(AS8,AU8)+AQ8)</f>
        <v>100.28999999999999</v>
      </c>
      <c r="AW8" s="11">
        <f>IF(AM8&gt;0,AM8,"")</f>
        <v>13.8</v>
      </c>
      <c r="AX8" s="11">
        <f>IF(SUM(AK8:AN8)-AO8&gt;0,SUM(AK8:AN8)-AO8,"")</f>
        <v>52.505000000000003</v>
      </c>
      <c r="AY8" s="11">
        <f>IF(SUM(AV8,AX8)&gt;0,SUM(AV8,AX8),"")</f>
        <v>152.79499999999999</v>
      </c>
      <c r="AZ8" s="75">
        <v>17.450000000000003</v>
      </c>
      <c r="BA8" s="75">
        <v>9.1999999999999993</v>
      </c>
      <c r="BB8" s="75">
        <v>5.2</v>
      </c>
      <c r="BC8" s="75">
        <v>15.5825</v>
      </c>
      <c r="BD8" s="75">
        <v>0</v>
      </c>
      <c r="BE8" s="75">
        <v>16.25</v>
      </c>
      <c r="BF8" s="75">
        <v>9.2249999999999996</v>
      </c>
      <c r="BG8" s="75">
        <v>13.45</v>
      </c>
      <c r="BH8" s="75">
        <v>14.9175</v>
      </c>
      <c r="BI8" s="75">
        <v>0.1</v>
      </c>
      <c r="BJ8" s="75"/>
      <c r="BK8" s="75"/>
      <c r="BL8" s="75"/>
      <c r="BM8" s="75"/>
      <c r="BN8" s="75"/>
      <c r="BO8" s="75">
        <v>15.55</v>
      </c>
      <c r="BP8" s="75">
        <v>8.8000000000000007</v>
      </c>
      <c r="BQ8" s="75">
        <v>14.3025</v>
      </c>
      <c r="BR8" s="75">
        <v>14.36</v>
      </c>
      <c r="BS8" s="75">
        <v>0</v>
      </c>
      <c r="BT8" s="81" t="s">
        <v>88</v>
      </c>
      <c r="BU8" s="14">
        <f>IF(SUM(AZ8:BC8)-BD8&gt;0,SUM(AZ8:BC8)-BD8,"")</f>
        <v>47.432500000000005</v>
      </c>
      <c r="BV8" s="14">
        <f>IF(BG8&gt;0,BG8,"")</f>
        <v>13.45</v>
      </c>
      <c r="BW8" s="14">
        <f>IF(SUM(BE8:BH8)-BI8&gt;0,SUM(BE8:BH8)-BI8,"")</f>
        <v>53.7425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101.17500000000001</v>
      </c>
      <c r="CA8" s="14">
        <f>IF(BQ8&gt;0,BQ8,"")</f>
        <v>14.3025</v>
      </c>
      <c r="CB8" s="14">
        <f>IF(SUM(BO8:BR8)-BS8&gt;0,SUM(BO8:BR8)-BS8,"")</f>
        <v>53.012500000000003</v>
      </c>
      <c r="CC8" s="14">
        <f>IF(SUM(BZ8,CB8)&gt;0,SUM(BZ8,CB8),"")</f>
        <v>154.1875</v>
      </c>
      <c r="CD8" s="69">
        <v>16.5</v>
      </c>
      <c r="CE8" s="69">
        <v>9.1</v>
      </c>
      <c r="CF8" s="69">
        <v>5.8</v>
      </c>
      <c r="CG8" s="69">
        <v>15.81</v>
      </c>
      <c r="CH8" s="69">
        <v>0</v>
      </c>
      <c r="CI8" s="69">
        <v>1.4</v>
      </c>
      <c r="CJ8" s="69">
        <v>0.9</v>
      </c>
      <c r="CK8" s="69">
        <v>2</v>
      </c>
      <c r="CL8" s="69">
        <v>1.665</v>
      </c>
      <c r="CM8" s="69">
        <v>0</v>
      </c>
      <c r="CN8" s="69">
        <v>15.9</v>
      </c>
      <c r="CO8" s="69">
        <v>9.4</v>
      </c>
      <c r="CP8" s="69">
        <v>13.8</v>
      </c>
      <c r="CQ8" s="69">
        <v>15.074999999999999</v>
      </c>
      <c r="CR8" s="69">
        <v>0</v>
      </c>
      <c r="CS8" s="69">
        <v>16.899999999999999</v>
      </c>
      <c r="CT8" s="69">
        <v>9.4</v>
      </c>
      <c r="CU8" s="69">
        <v>13.8</v>
      </c>
      <c r="CV8" s="69">
        <v>15.29</v>
      </c>
      <c r="CW8" s="69">
        <v>0</v>
      </c>
      <c r="CX8" s="80"/>
      <c r="CY8" s="11">
        <f>IF(SUM(CD8:CG8)-CH8&gt;0,SUM(CD8:CG8)-CH8,"")</f>
        <v>47.21</v>
      </c>
      <c r="CZ8" s="11">
        <f>IF(CK8&gt;0,CK8,"")</f>
        <v>2</v>
      </c>
      <c r="DA8" s="11">
        <f>IF(SUM(CI8:CL8)-CM8&gt;0,SUM(CI8:CL8)-CM8,"")</f>
        <v>5.9649999999999999</v>
      </c>
      <c r="DB8" s="11">
        <f>IF(CP8&gt;0,CP8,"")</f>
        <v>13.8</v>
      </c>
      <c r="DC8" s="11">
        <f>IF(SUM(CN8:CQ8)-CR8&gt;0,SUM(CN8:CQ8)-CR8,"")</f>
        <v>54.174999999999997</v>
      </c>
      <c r="DD8" s="11">
        <f>IF(CY8="",IF(MAX(DA8,DC8)&gt;0,MAX(DA8,DC8),""),MAX(DA8,DC8)+CY8)</f>
        <v>101.38499999999999</v>
      </c>
      <c r="DE8" s="11">
        <f>IF(CU8&gt;0,CU8,"")</f>
        <v>13.8</v>
      </c>
      <c r="DF8" s="11">
        <f>IF(SUM(CS8:CV8)-CW8&gt;0,SUM(CS8:CV8)-CW8,"")</f>
        <v>55.389999999999993</v>
      </c>
      <c r="DG8" s="11">
        <f>IF(SUM(DD8,DF8)&gt;0,SUM(DD8,DF8),"")</f>
        <v>156.77499999999998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16.975000000000001</v>
      </c>
      <c r="NQ8" s="69">
        <f>IF($CX8="P",CE8,(CE8+BA8)/2)</f>
        <v>9.1499999999999986</v>
      </c>
      <c r="NR8" s="69">
        <f>IF($CX8="P",CF8,(CF8+BB8)/2)</f>
        <v>5.5</v>
      </c>
      <c r="NS8" s="69">
        <f>IF($CX8="P",CG8,(CG8+BC8)/2)</f>
        <v>15.696249999999999</v>
      </c>
      <c r="NT8" s="69">
        <f>IF($CX8="P",CH8,(CH8+BD8)/2)</f>
        <v>0</v>
      </c>
      <c r="NU8" s="69">
        <f>IF($CX8="P",CI8,(CI8+BE8)/2)</f>
        <v>8.8249999999999993</v>
      </c>
      <c r="NV8" s="69">
        <f>IF($CX8="P",CJ8,(CJ8+BF8)/2)</f>
        <v>5.0625</v>
      </c>
      <c r="NW8" s="69">
        <f>IF($CX8="P",CK8,(CK8+BG8)/2)</f>
        <v>7.7249999999999996</v>
      </c>
      <c r="NX8" s="69">
        <f>IF($CX8="P",CL8,(CL8+BH8)/2)</f>
        <v>8.2912499999999998</v>
      </c>
      <c r="NY8" s="69">
        <f>IF($CX8="P",CM8,(CM8+BI8)/2)</f>
        <v>0.05</v>
      </c>
      <c r="NZ8" s="69">
        <f>IF($CX8="P",CN8,(CN8+BJ8)/2)</f>
        <v>7.95</v>
      </c>
      <c r="OA8" s="69">
        <f>IF($CX8="P",CO8,(CO8+BK8)/2)</f>
        <v>4.7</v>
      </c>
      <c r="OB8" s="69">
        <f>IF($CX8="P",CP8,(CP8+BL8)/2)</f>
        <v>6.9</v>
      </c>
      <c r="OC8" s="69">
        <f>IF($CX8="P",CQ8,(CQ8+BM8)/2)</f>
        <v>7.5374999999999996</v>
      </c>
      <c r="OD8" s="69">
        <f>IF($CX8="P",CR8,(CR8+BN8)/2)</f>
        <v>0</v>
      </c>
      <c r="OE8" s="69">
        <f>IF($CX8="P",CS8,(CS8+BO8)/2)</f>
        <v>16.225000000000001</v>
      </c>
      <c r="OF8" s="69">
        <f>IF($CX8="P",CT8,(CT8+BP8)/2)</f>
        <v>9.1000000000000014</v>
      </c>
      <c r="OG8" s="69">
        <f>IF($CX8="P",CU8,(CU8+BQ8)/2)</f>
        <v>14.05125</v>
      </c>
      <c r="OH8" s="69">
        <f>IF($CX8="P",CV8,(CV8+BR8)/2)</f>
        <v>14.824999999999999</v>
      </c>
      <c r="OI8" s="69">
        <f>IF($CX8="P",CW8,(CW8+BS8)/2)</f>
        <v>0</v>
      </c>
      <c r="OJ8" s="80" t="s">
        <v>88</v>
      </c>
      <c r="OK8" s="11">
        <f>IF(SUM(NP8:NS8)-NT8&gt;0,SUM(NP8:NS8)-NT8,"")</f>
        <v>47.321249999999999</v>
      </c>
      <c r="OL8" s="11">
        <f>IF(NW8&gt;0,NW8,"")</f>
        <v>7.7249999999999996</v>
      </c>
      <c r="OM8" s="11">
        <f>IF(SUM(NU8:NX8)-NY8&gt;0,SUM(NU8:NX8)-NY8,"")</f>
        <v>29.853749999999994</v>
      </c>
      <c r="ON8" s="11">
        <f>IF(OB8&gt;0,OB8,"")</f>
        <v>6.9</v>
      </c>
      <c r="OO8" s="11">
        <f>IF(SUM(NZ8:OC8)-OD8&gt;0,SUM(NZ8:OC8)-OD8,"")</f>
        <v>27.087499999999999</v>
      </c>
      <c r="OP8" s="11">
        <f>IF(OR(OK8&lt;&gt;"",OM8&lt;&gt;"",OO8&lt;&gt;""),OK8+MAX(OM8,OO8),"")</f>
        <v>77.174999999999997</v>
      </c>
      <c r="OQ8" s="11">
        <f>IF(OG8&gt;0,OG8,"")</f>
        <v>14.05125</v>
      </c>
      <c r="OR8" s="11">
        <f t="shared" si="0"/>
        <v>54.201250000000002</v>
      </c>
      <c r="OS8" s="11">
        <f t="shared" si="1"/>
        <v>131.37625</v>
      </c>
    </row>
    <row r="9" spans="1:409" x14ac:dyDescent="0.2">
      <c r="A9" s="5" cm="1">
        <f t="array" ref="A9">IF(AND(G9&lt;&gt;"",H9&lt;&gt;""),SUMPRODUCT((G$4:G$18&lt;&gt;"")*(H$4:H$18&lt;&gt;"")*(E$4:E$18&gt;E9))+1,IF(H9&lt;&gt;"",SUMPRODUCT((I$4:I$18="No DD")*(E$4:E$18&gt;E9))+1+SUMPRODUCT((G$4:G$18&lt;&gt;"")*(H$4:H$18&lt;&gt;"")),""))</f>
        <v>6</v>
      </c>
      <c r="B9" s="127" t="s">
        <v>114</v>
      </c>
      <c r="C9" s="5" t="s">
        <v>3</v>
      </c>
      <c r="D9" s="5">
        <v>1993</v>
      </c>
      <c r="E9" s="15">
        <f>SUM(K9:S9)</f>
        <v>251.28000000000003</v>
      </c>
      <c r="F9" s="3" t="str">
        <f>IF(G9&lt;&gt;"","P","")</f>
        <v>P</v>
      </c>
      <c r="G9" s="125" t="str">
        <f>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Merit",IF(OR(AND(AR9&gt;=AY$22,AR9&lt;&gt;"",AP9=""),AND(AT9&gt;=AY$22,AT9&lt;&gt;"",AP9=""),AND(AW9&gt;=AY$22,AW9&lt;&gt;"",AP9=""),AND(BV9&gt;=CC$22,BV9&lt;&gt;"",BT9=""),AND(BX9&gt;=CC$22,BX9&lt;&gt;"",BT9=""),AND(CA9&gt;=CC$22,CA9&lt;&gt;"",BT9=""),AND(CZ9&gt;=DG$22,CZ9&lt;&gt;"",CX9=""),AND(DB9&gt;=DG$22,DB9&lt;&gt;"",CX9=""),AND(DE9&gt;=DG$22,DE9&lt;&gt;"",CX9=""),AND(EA9&gt;=EG$22,EA9&lt;&gt;""),AND(EE9&gt;=EG$22,EE9&lt;&gt;""),AND(EW9&gt;=FC$22,EW9&lt;&gt;""),AND(FA9&gt;=FC$22,FA9&lt;&gt;""),AND(FS9&gt;=FY$22,FS9&lt;&gt;""),AND(FW9&gt;=FY$22,FW9&lt;&gt;""),AND(GO9&gt;=GU$22,GO9&lt;&gt;""),AND(GS9&gt;=GU$22,GS9&lt;&gt;""),AND(HK9&gt;=HQ$22,HK9&lt;&gt;""),AND(HO9&gt;=HQ$22,HO9&lt;&gt;""),AND(IG9&gt;=IM$22,IG9&lt;&gt;""),AND(IK9&gt;=IM$22,IK9&lt;&gt;""),AND(JC9&gt;=JI$22,JC9&lt;&gt;""),AND(JG9&gt;=JI$22,JG9&lt;&gt;""),AND(JY9&gt;=KE$22,JY9&lt;&gt;""),AND(KC9&gt;=KE$22,KC9&lt;&gt;""),AND(KU9&gt;=LA$22,KU9&lt;&gt;""),AND(KY9&gt;=LA$22,KY9&lt;&gt;""),AND(LQ9&gt;=LW$22,LQ9&lt;&gt;""),AND(LU9&gt;=LW$22,LU9&lt;&gt;""),AND(MM9&gt;=MS$22,MM9&lt;&gt;""),AND(MQ9&gt;=MS$22,MQ9&lt;&gt;""),AND(NI9&gt;=NO$22,NI9&lt;&gt;""),AND(NM9&gt;=NO$22,NM9&lt;&gt;"")),"Excellence",IF(OR(AND(AR9&gt;=AY$21,AR9&lt;&gt;"",AP9=""),AND(AT9&gt;=AY$21,AT9&lt;&gt;"",AP9=""),AND(AW9&gt;=AY$21,AW9&lt;&gt;"",AP9=""),AND(BV9&gt;=CC$21,BV9&lt;&gt;"",BT9=""),AND(BX9&gt;=CC$21,BX9&lt;&gt;"",BT9=""),AND(CA9&gt;=CC$21,CA9&lt;&gt;"",BT9=""),AND(CZ9&gt;=DG$21,CZ9&lt;&gt;"",CX9=""),AND(DB9&gt;=DG$21,DB9&lt;&gt;"",CX9=""),AND(DE9&gt;=DG$21,DE9&lt;&gt;"",CX9=""),AND(EA9&gt;=EG$21,EA9&lt;&gt;""),AND(EE9&gt;=EG$21,EE9&lt;&gt;""),AND(EW9&gt;=FC$21,EW9&lt;&gt;""),AND(FA9&gt;=FC$21,FA9&lt;&gt;""),AND(FS9&gt;=FY$21,FS9&lt;&gt;""),AND(FW9&gt;=FY$21,FW9&lt;&gt;""),AND(GO9&gt;=GU$21,GO9&lt;&gt;""),AND(GS9&gt;=GU$21,GS9&lt;&gt;""),AND(HK9&gt;=HQ$21,HK9&lt;&gt;""),AND(HO9&gt;=HQ$21,HO9&lt;&gt;""),AND(IG9&gt;=IM$21,IG9&lt;&gt;""),AND(IK9&gt;=IM$21,IK9&lt;&gt;""),AND(JC9&gt;=JI$21,JC9&lt;&gt;""),AND(JG9&gt;=JI$21,JG9&lt;&gt;""),AND(JY9&gt;=KE$21,JY9&lt;&gt;""),AND(KC9&gt;=KE$21,KC9&lt;&gt;""),AND(KU9&gt;=LA$21,KU9&lt;&gt;""),AND(KY9&gt;=LA$21,KY9&lt;&gt;""),AND(LQ9&gt;=LW$21,LQ9&lt;&gt;""),AND(LU9&gt;=LW$21,LU9&lt;&gt;""),AND(MM9&gt;=MS$21,MM9&lt;&gt;""),AND(MQ9&gt;=MS$21,MQ9&lt;&gt;""),AND(NI9&gt;=NO$21,NI9&lt;&gt;""),AND(NM9&gt;=NO$21,NM9&lt;&gt;"")),"Worlds Team",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National Team",""))))</f>
        <v>Merit</v>
      </c>
      <c r="H9" s="125" t="str">
        <f>IF(OR(AND(AS9&gt;=AY$27,AS9&lt;&gt;"",AP9=""),AND(AU9&gt;=AY$27,AU9&lt;&gt;"",AP9=""),AND(AX9&gt;=AY$27,AX9&lt;&gt;"",AP9=""),AND(BW9&gt;=CC$27,BW9&lt;&gt;"",BT9=""),AND(BY9&gt;=CC$27,BY9&lt;&gt;"",BT9=""),AND(CB9&gt;=CC$27,CB9&lt;&gt;"",BT9=""),AND(DA9&gt;=DG$27,DA9&lt;&gt;"",CX9=""),AND(DC9&gt;=DG$27,DC9&lt;&gt;"",CX9=""),AND(DF9&gt;=DG$27,DF9&lt;&gt;"",CX9=""),AND(EC9&gt;=EG$27,EC9&lt;&gt;""),AND(EF9&gt;=EG$27,EF9&lt;&gt;""),AND(EY9&gt;=FC$27,EY9&lt;&gt;""),AND(FB9&gt;=FC$27,FB9&lt;&gt;""),AND(FU9&gt;=FY$27,FU9&lt;&gt;""),AND(FX9&gt;=FY$27,FX9&lt;&gt;""),AND(GQ9&gt;=GU$27,GQ9&lt;&gt;""),AND(GT9&gt;=GU$27,GT9&lt;&gt;""),AND(HM9&gt;=HQ$27,HM9&lt;&gt;""),AND(HP9&gt;=HQ$27,HP9&lt;&gt;""),AND(II9&gt;=IM$27,II9&lt;&gt;""),AND(IL9&gt;=IM$27,IL9&lt;&gt;""),AND(JE9&gt;=JI$27,JE9&lt;&gt;""),AND(JH9&gt;=JI$27,JH9&lt;&gt;""),AND(KA9&gt;=KE$27,KA9&lt;&gt;""),AND(KD9&gt;=KE$27,KD9&lt;&gt;""),AND(KW9&gt;=LA$27,KW9&lt;&gt;""),AND(KZ9&gt;=LA$27,KZ9&lt;&gt;""),AND(LS9&gt;=LW$27,LS9&lt;&gt;""),AND(LV9&gt;=LW$27,LV9&lt;&gt;""),AND(MO9&gt;=MS$27,MO9&lt;&gt;""),AND(MR9&gt;=MS$27,MR9&lt;&gt;""),AND(NK9&gt;=NO$27,NK9&lt;&gt;""),AND(NN9&gt;=NO$27,NN9&lt;&gt;"")),"Merit",IF(OR(AND(AS9&gt;=AY$26,AS9&lt;&gt;"",AP9=""),AND(AU9&gt;=AY$26,AU9&lt;&gt;"",AP9=""),AND(AX9&gt;=AY$26,AX9&lt;&gt;"",AP9=""),AND(BW9&gt;=CC$26,BW9&lt;&gt;"",BT9=""),AND(BY9&gt;=CC$26,BY9&lt;&gt;"",BT9=""),AND(CB9&gt;=CC$26,CB9&lt;&gt;"",BT9=""),AND(DA9&gt;=DG$26,DA9&lt;&gt;"",CX9=""),AND(DC9&gt;=DG$26,DC9&lt;&gt;"",CX9=""),AND(DF9&gt;=DG$26,DF9&lt;&gt;"",CX9=""),AND(EC9&gt;=EG$26,EC9&lt;&gt;""),AND(EF9&gt;=EG$26,EF9&lt;&gt;""),AND(EY9&gt;=FC$26,EY9&lt;&gt;""),AND(FB9&gt;=FC$26,FB9&lt;&gt;""),AND(FU9&gt;=FY$26,FU9&lt;&gt;""),AND(FX9&gt;=FY$26,FX9&lt;&gt;""),AND(GQ9&gt;=GU$26,GQ9&lt;&gt;""),AND(GT9&gt;=GU$26,GT9&lt;&gt;""),AND(HM9&gt;=HQ$26,HM9&lt;&gt;""),AND(HP9&gt;=HQ$26,HP9&lt;&gt;""),AND(II9&gt;=IM$26,II9&lt;&gt;""),AND(IL9&gt;=IM$26,IL9&lt;&gt;""),AND(JE9&gt;=JI$26,JE9&lt;&gt;""),AND(JH9&gt;=JI$26,JH9&lt;&gt;""),AND(KA9&gt;=KE$26,KA9&lt;&gt;""),AND(KD9&gt;=KE$26,KD9&lt;&gt;""),AND(KW9&gt;=LA$26,KW9&lt;&gt;""),AND(KZ9&gt;=LA$26,KZ9&lt;&gt;""),AND(LS9&gt;=LW$26,LS9&lt;&gt;""),AND(LV9&gt;=LW$26,LV9&lt;&gt;""),AND(MO9&gt;=MS$26,MO9&lt;&gt;""),AND(MR9&gt;=MS$26,MR9&lt;&gt;""),AND(NK9&gt;=NO$26,NK9&lt;&gt;""),AND(NN9&gt;=NO$26,NN9&lt;&gt;"")),"Excellence",IF(OR(AND(AV9&gt;=AY$25,AV9&lt;&gt;"",AP9=""),AND(BZ9&gt;=CC$25,BZ9&lt;&gt;"",BT9=""),AND(DD9&gt;=DG$25,DD9&lt;&gt;"",CX9=""),AND(ED9&gt;=EG$25,ED9&lt;&gt;""),AND(EZ9&gt;=FC$25,EZ9&lt;&gt;""),AND(FV9&gt;=FY$25,FV9&lt;&gt;""),AND(GR9&gt;=GU$25,GR9&lt;&gt;""),AND(HN9&gt;=HQ$25,HN9&lt;&gt;""),AND(IJ9&gt;=IM$25,IJ9&lt;&gt;""),AND(JF9&gt;=JI$25,JF9&lt;&gt;""),AND(KB9&gt;=KE$25,KB9&lt;&gt;""),AND(KX9&gt;=LA$25,KX9&lt;&gt;""),AND(LT9&gt;=LW$25,LT9&lt;&gt;""),AND(MP9&gt;=MS$25,MP9&lt;&gt;""),AND(NL9&gt;=NO$25,NL9&lt;&gt;"")),"Worlds Team",IF(OR(AND(AV9&gt;=AY$24,AV9&lt;&gt;"",AP9=""),AND(BZ9&gt;=CC$24,BZ9&lt;&gt;"",BT9=""),AND(DD9&gt;=DG$24,DD9&lt;&gt;"",CX9=""),AND(ED9&gt;=EG$24,ED9&lt;&gt;""),AND(EZ9&gt;=FC$24,EZ9&lt;&gt;""),AND(FV9&gt;=FY$24,FV9&lt;&gt;""),AND(GR9&gt;=GU$24,GR9&lt;&gt;""),AND(HN9&gt;=HQ$24,HN9&lt;&gt;""),AND(IJ9&gt;=IM$24,IJ9&lt;&gt;""),AND(JF9&gt;=JI$24,JF9&lt;&gt;""),AND(KB9&gt;=KE$24,KB9&lt;&gt;""),AND(KX9&gt;=LA$24,KX9&lt;&gt;""),AND(LT9&gt;=LW$24,LT9&lt;&gt;""),AND(MP9&gt;=MS$24,MP9&lt;&gt;""),AND(NL9&gt;=NO$24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$25,AV9&lt;&gt;"",AP9=""),AND(BZ9&gt;=CC$25,BZ9&lt;&gt;"",BT9=""),AND(DD9&gt;=DG$25,DD9&lt;&gt;"",CX9=""),AND(ED9&gt;=EG$25,ED9&lt;&gt;""),AND(EZ9&gt;=FC$25,EZ9&lt;&gt;""),AND(FV9&gt;=FY$25,FV9&lt;&gt;""),AND(GR9&gt;=GU$25,GR9&lt;&gt;""),AND(HN9&gt;=HQ$25,HN9&lt;&gt;""),AND(IJ9&gt;=IM$25,IJ9&lt;&gt;""),AND(JF9&gt;=JI$25,JF9&lt;&gt;""),AND(KB9&gt;=KE$25,KB9&lt;&gt;""),AND(KX9&gt;=LA$25,KX9&lt;&gt;""),AND(LT9&gt;=LW$25,LT9&lt;&gt;""),AND(MP9&gt;=MS$25,MP9&lt;&gt;""),AND(NL9&gt;=NO$25,NL9&lt;&gt;"")),OR(G9="Worlds Team",G9="Excellence",G9="Merit")),"P","")</f>
        <v>P</v>
      </c>
      <c r="K9" s="14">
        <f>IF(MAX(AV9,BZ9,DD9)&gt;0,MAX(AV9,BZ9,DD9),0)</f>
        <v>99.93</v>
      </c>
      <c r="L9" s="14" t="str">
        <f>IF(K9=0,"",IF(K9=DD9,$CD$1,IF(K9=BZ9,$AZ$1,IF(K9=AV9,$V$1,""))))</f>
        <v>2019 Nationals</v>
      </c>
      <c r="M9" s="14">
        <f>IF($K9=$AV9,MAX(BU9,CY9),IF($K9=$BZ9,MAX(AQ9,CY9),IF($K9=$DD9,MAX(AQ9,BU9),MAX(AQ9,BU9,CY9))))</f>
        <v>47.194999999999993</v>
      </c>
      <c r="N9" s="14" t="str">
        <f>IF(M9=0,"",IF(AND(M9=CY9,$L9&lt;&gt;$CD$1),$CD$1,IF(AND(M9=BU9,$L9&lt;&gt;$AZ$1),$AZ$1,IF(AND(M9=AQ9,$L9&lt;&gt;$V$1),$V$1,""))))</f>
        <v>2021 1st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52.74</v>
      </c>
      <c r="P9" s="14" t="str">
        <f>IF(O9=0,"",IF(OR(O9=DC9,O9=DA9),$CD$1,IF(OR(O9=BY9,O9=BW9),$AZ$1,IF(OR(O9=AU9,O9=AS9),$V$1,""))))</f>
        <v>2021 2nd Virtual Technical Trial</v>
      </c>
      <c r="Q9" s="14">
        <f>MAX(AX9,CB9,DF9)</f>
        <v>51.415000000000006</v>
      </c>
      <c r="R9" s="14" t="str">
        <f>IF(Q9=0,"",IF(Q9=DF9,$CD$1,IF(Q9=CB9,$AZ$1,IF(Q9=AX9,$V$1,""))))</f>
        <v>2019 Nationals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18.3</v>
      </c>
      <c r="W9" s="69">
        <v>9.4</v>
      </c>
      <c r="X9" s="69">
        <v>5.0999999999999996</v>
      </c>
      <c r="Y9" s="69">
        <v>15.494999999999999</v>
      </c>
      <c r="Z9" s="69">
        <v>0</v>
      </c>
      <c r="AA9" s="69">
        <v>14.9</v>
      </c>
      <c r="AB9" s="69">
        <v>9.5</v>
      </c>
      <c r="AC9" s="69">
        <v>13.1</v>
      </c>
      <c r="AD9" s="69">
        <v>14.135</v>
      </c>
      <c r="AE9" s="69">
        <v>0</v>
      </c>
      <c r="AF9" s="69"/>
      <c r="AG9" s="69"/>
      <c r="AH9" s="69"/>
      <c r="AI9" s="69"/>
      <c r="AJ9" s="69"/>
      <c r="AK9" s="69">
        <v>14.58</v>
      </c>
      <c r="AL9" s="69">
        <v>9.1</v>
      </c>
      <c r="AM9" s="69">
        <v>13.3</v>
      </c>
      <c r="AN9" s="69">
        <v>14.435</v>
      </c>
      <c r="AO9" s="69"/>
      <c r="AP9" s="80"/>
      <c r="AQ9" s="11">
        <f>IF(SUM(V9:Y9)-Z9&gt;0,SUM(V9:Y9)-Z9,"")</f>
        <v>48.295000000000002</v>
      </c>
      <c r="AR9" s="11">
        <f>IF(AC9&gt;0,AC9,"")</f>
        <v>13.1</v>
      </c>
      <c r="AS9" s="11">
        <f>IF(SUM(AA9:AD9)-AE9&gt;0,SUM(AA9:AD9)-AE9,"")</f>
        <v>51.634999999999998</v>
      </c>
      <c r="AT9" s="11" t="str">
        <f>IF(AH9&gt;0,AH9,"")</f>
        <v/>
      </c>
      <c r="AU9" s="11" t="str">
        <f>IF(SUM(AF9:AI9)-AJ9&gt;0,SUM(AF9:AI9)-AJ9,"")</f>
        <v/>
      </c>
      <c r="AV9" s="11">
        <f>IF(AQ9="",IF(MAX(AS9,AU9)&gt;0,MAX(AS9,AU9),""),MAX(AS9,AU9)+AQ9)</f>
        <v>99.93</v>
      </c>
      <c r="AW9" s="11">
        <f>IF(AM9&gt;0,AM9,"")</f>
        <v>13.3</v>
      </c>
      <c r="AX9" s="11">
        <f>IF(SUM(AK9:AN9)-AO9&gt;0,SUM(AK9:AN9)-AO9,"")</f>
        <v>51.415000000000006</v>
      </c>
      <c r="AY9" s="11">
        <f>IF(SUM(AV9,AX9)&gt;0,SUM(AV9,AX9),"")</f>
        <v>151.34500000000003</v>
      </c>
      <c r="AZ9" s="75">
        <v>17.899999999999999</v>
      </c>
      <c r="BA9" s="75">
        <v>9.65</v>
      </c>
      <c r="BB9" s="75">
        <v>3.9</v>
      </c>
      <c r="BC9" s="75">
        <v>15.744999999999999</v>
      </c>
      <c r="BD9" s="75">
        <v>0</v>
      </c>
      <c r="BE9" s="75">
        <v>15.6</v>
      </c>
      <c r="BF9" s="75">
        <v>9.6999999999999993</v>
      </c>
      <c r="BG9" s="75">
        <v>11.5</v>
      </c>
      <c r="BH9" s="75">
        <v>14.64</v>
      </c>
      <c r="BI9" s="75">
        <v>0</v>
      </c>
      <c r="BJ9" s="75">
        <v>15.9</v>
      </c>
      <c r="BK9" s="75">
        <v>9.15</v>
      </c>
      <c r="BL9" s="75">
        <v>11.5</v>
      </c>
      <c r="BM9" s="75">
        <v>14.59</v>
      </c>
      <c r="BN9" s="75">
        <v>0</v>
      </c>
      <c r="BO9" s="75">
        <v>15.5</v>
      </c>
      <c r="BP9" s="75">
        <v>9.15</v>
      </c>
      <c r="BQ9" s="75">
        <v>11.5</v>
      </c>
      <c r="BR9" s="75">
        <v>14.555</v>
      </c>
      <c r="BS9" s="75">
        <v>0</v>
      </c>
      <c r="BT9" s="81"/>
      <c r="BU9" s="14">
        <f>IF(SUM(AZ9:BC9)-BD9&gt;0,SUM(AZ9:BC9)-BD9,"")</f>
        <v>47.194999999999993</v>
      </c>
      <c r="BV9" s="14">
        <f>IF(BG9&gt;0,BG9,"")</f>
        <v>11.5</v>
      </c>
      <c r="BW9" s="14">
        <f>IF(SUM(BE9:BH9)-BI9&gt;0,SUM(BE9:BH9)-BI9,"")</f>
        <v>51.44</v>
      </c>
      <c r="BX9" s="14">
        <f>IF(BL9&gt;0,BL9,"")</f>
        <v>11.5</v>
      </c>
      <c r="BY9" s="14">
        <f>IF(SUM(BJ9:BM9)-BN9&gt;0,SUM(BJ9:BM9)-BN9,"")</f>
        <v>51.14</v>
      </c>
      <c r="BZ9" s="14">
        <f>IF(BU9="",IF(MAX(BW9,BY9)&gt;0,MAX(BW9,BY9),""),MAX(BW9,BY9)+BU9)</f>
        <v>98.634999999999991</v>
      </c>
      <c r="CA9" s="14">
        <f>IF(BQ9&gt;0,BQ9,"")</f>
        <v>11.5</v>
      </c>
      <c r="CB9" s="14">
        <f>IF(SUM(BO9:BR9)-BS9&gt;0,SUM(BO9:BR9)-BS9,"")</f>
        <v>50.704999999999998</v>
      </c>
      <c r="CC9" s="14">
        <f>IF(SUM(BZ9,CB9)&gt;0,SUM(BZ9,CB9),"")</f>
        <v>149.33999999999997</v>
      </c>
      <c r="CD9" s="69">
        <v>18.399999999999999</v>
      </c>
      <c r="CE9" s="69">
        <v>9.3000000000000007</v>
      </c>
      <c r="CF9" s="69">
        <v>3.2</v>
      </c>
      <c r="CG9" s="69">
        <v>16.21</v>
      </c>
      <c r="CH9" s="69">
        <v>0</v>
      </c>
      <c r="CI9" s="69">
        <v>15.3</v>
      </c>
      <c r="CJ9" s="69">
        <v>9.1999999999999993</v>
      </c>
      <c r="CK9" s="69">
        <v>12.4</v>
      </c>
      <c r="CL9" s="69">
        <v>14.79</v>
      </c>
      <c r="CM9" s="69">
        <v>0</v>
      </c>
      <c r="CN9" s="69">
        <v>16.100000000000001</v>
      </c>
      <c r="CO9" s="69">
        <v>9.3000000000000007</v>
      </c>
      <c r="CP9" s="69">
        <v>12.4</v>
      </c>
      <c r="CQ9" s="69">
        <v>14.94</v>
      </c>
      <c r="CR9" s="69">
        <v>0</v>
      </c>
      <c r="CS9" s="69">
        <v>13.9</v>
      </c>
      <c r="CT9" s="69">
        <v>9.4</v>
      </c>
      <c r="CU9" s="69">
        <v>12.4</v>
      </c>
      <c r="CV9" s="69">
        <v>14.895</v>
      </c>
      <c r="CW9" s="69">
        <v>0</v>
      </c>
      <c r="CX9" s="80"/>
      <c r="CY9" s="11">
        <f>IF(SUM(CD9:CG9)-CH9&gt;0,SUM(CD9:CG9)-CH9,"")</f>
        <v>47.11</v>
      </c>
      <c r="CZ9" s="11">
        <f>IF(CK9&gt;0,CK9,"")</f>
        <v>12.4</v>
      </c>
      <c r="DA9" s="11">
        <f>IF(SUM(CI9:CL9)-CM9&gt;0,SUM(CI9:CL9)-CM9,"")</f>
        <v>51.69</v>
      </c>
      <c r="DB9" s="11">
        <f>IF(CP9&gt;0,CP9,"")</f>
        <v>12.4</v>
      </c>
      <c r="DC9" s="11">
        <f>IF(SUM(CN9:CQ9)-CR9&gt;0,SUM(CN9:CQ9)-CR9,"")</f>
        <v>52.74</v>
      </c>
      <c r="DD9" s="11">
        <f>IF(CY9="",IF(MAX(DA9,DC9)&gt;0,MAX(DA9,DC9),""),MAX(DA9,DC9)+CY9)</f>
        <v>99.85</v>
      </c>
      <c r="DE9" s="11">
        <f>IF(CU9&gt;0,CU9,"")</f>
        <v>12.4</v>
      </c>
      <c r="DF9" s="11">
        <f>IF(SUM(CS9:CV9)-CW9&gt;0,SUM(CS9:CV9)-CW9,"")</f>
        <v>50.594999999999999</v>
      </c>
      <c r="DG9" s="11">
        <f>IF(SUM(DD9,DF9)&gt;0,SUM(DD9,DF9),"")</f>
        <v>150.44499999999999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18.149999999999999</v>
      </c>
      <c r="NQ9" s="69">
        <f>IF($CX9="P",CE9,(CE9+BA9)/2)</f>
        <v>9.4750000000000014</v>
      </c>
      <c r="NR9" s="69">
        <f>IF($CX9="P",CF9,(CF9+BB9)/2)</f>
        <v>3.55</v>
      </c>
      <c r="NS9" s="69">
        <f>IF($CX9="P",CG9,(CG9+BC9)/2)</f>
        <v>15.977499999999999</v>
      </c>
      <c r="NT9" s="69">
        <f>IF($CX9="P",CH9,(CH9+BD9)/2)</f>
        <v>0</v>
      </c>
      <c r="NU9" s="69">
        <f>IF($CX9="P",CI9,(CI9+BE9)/2)</f>
        <v>15.45</v>
      </c>
      <c r="NV9" s="69">
        <f>IF($CX9="P",CJ9,(CJ9+BF9)/2)</f>
        <v>9.4499999999999993</v>
      </c>
      <c r="NW9" s="69">
        <f>IF($CX9="P",CK9,(CK9+BG9)/2)</f>
        <v>11.95</v>
      </c>
      <c r="NX9" s="69">
        <f>IF($CX9="P",CL9,(CL9+BH9)/2)</f>
        <v>14.715</v>
      </c>
      <c r="NY9" s="69">
        <f>IF($CX9="P",CM9,(CM9+BI9)/2)</f>
        <v>0</v>
      </c>
      <c r="NZ9" s="69">
        <f>IF($CX9="P",CN9,(CN9+BJ9)/2)</f>
        <v>16</v>
      </c>
      <c r="OA9" s="69">
        <f>IF($CX9="P",CO9,(CO9+BK9)/2)</f>
        <v>9.2250000000000014</v>
      </c>
      <c r="OB9" s="69">
        <f>IF($CX9="P",CP9,(CP9+BL9)/2)</f>
        <v>11.95</v>
      </c>
      <c r="OC9" s="69">
        <f>IF($CX9="P",CQ9,(CQ9+BM9)/2)</f>
        <v>14.765000000000001</v>
      </c>
      <c r="OD9" s="69">
        <f>IF($CX9="P",CR9,(CR9+BN9)/2)</f>
        <v>0</v>
      </c>
      <c r="OE9" s="69">
        <f>IF($CX9="P",CS9,(CS9+BO9)/2)</f>
        <v>14.7</v>
      </c>
      <c r="OF9" s="69">
        <f>IF($CX9="P",CT9,(CT9+BP9)/2)</f>
        <v>9.2750000000000004</v>
      </c>
      <c r="OG9" s="69">
        <f>IF($CX9="P",CU9,(CU9+BQ9)/2)</f>
        <v>11.95</v>
      </c>
      <c r="OH9" s="69">
        <f>IF($CX9="P",CV9,(CV9+BR9)/2)</f>
        <v>14.725</v>
      </c>
      <c r="OI9" s="69">
        <f>IF($CX9="P",CW9,(CW9+BS9)/2)</f>
        <v>0</v>
      </c>
      <c r="OJ9" s="80" t="s">
        <v>88</v>
      </c>
      <c r="OK9" s="11">
        <f>IF(SUM(NP9:NS9)-NT9&gt;0,SUM(NP9:NS9)-NT9,"")</f>
        <v>47.152500000000003</v>
      </c>
      <c r="OL9" s="11">
        <f>IF(NW9&gt;0,NW9,"")</f>
        <v>11.95</v>
      </c>
      <c r="OM9" s="11">
        <f>IF(SUM(NU9:NX9)-NY9&gt;0,SUM(NU9:NX9)-NY9,"")</f>
        <v>51.564999999999998</v>
      </c>
      <c r="ON9" s="11">
        <f>IF(OB9&gt;0,OB9,"")</f>
        <v>11.95</v>
      </c>
      <c r="OO9" s="11">
        <f>IF(SUM(NZ9:OC9)-OD9&gt;0,SUM(NZ9:OC9)-OD9,"")</f>
        <v>51.94</v>
      </c>
      <c r="OP9" s="11">
        <f>IF(OR(OK9&lt;&gt;"",OM9&lt;&gt;"",OO9&lt;&gt;""),OK9+MAX(OM9,OO9),"")</f>
        <v>99.092500000000001</v>
      </c>
      <c r="OQ9" s="11">
        <f>IF(OG9&gt;0,OG9,"")</f>
        <v>11.95</v>
      </c>
      <c r="OR9" s="11">
        <f t="shared" si="0"/>
        <v>50.65</v>
      </c>
      <c r="OS9" s="11">
        <f t="shared" si="1"/>
        <v>149.74250000000001</v>
      </c>
    </row>
    <row r="10" spans="1:409" x14ac:dyDescent="0.2">
      <c r="A10" s="5" cm="1">
        <f t="array" ref="A10">IF(AND(G10&lt;&gt;"",H10&lt;&gt;""),SUMPRODUCT((G$4:G$18&lt;&gt;"")*(H$4:H$18&lt;&gt;"")*(E$4:E$18&gt;E10))+1,IF(H10&lt;&gt;"",SUMPRODUCT((I$4:I$18="No DD")*(E$4:E$18&gt;E10))+1+SUMPRODUCT((G$4:G$18&lt;&gt;"")*(H$4:H$18&lt;&gt;"")),""))</f>
        <v>7</v>
      </c>
      <c r="B10" s="127" t="s">
        <v>115</v>
      </c>
      <c r="C10" s="5" t="s">
        <v>10</v>
      </c>
      <c r="D10" s="5">
        <v>2000</v>
      </c>
      <c r="E10" s="15">
        <f>SUM(K10:S10)</f>
        <v>245.74499999999998</v>
      </c>
      <c r="F10" s="3" t="str">
        <f>IF(G10&lt;&gt;"","P","")</f>
        <v>P</v>
      </c>
      <c r="G10" s="125" t="str">
        <f>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Merit",IF(OR(AND(AR10&gt;=AY$22,AR10&lt;&gt;"",AP10=""),AND(AT10&gt;=AY$22,AT10&lt;&gt;"",AP10=""),AND(AW10&gt;=AY$22,AW10&lt;&gt;"",AP10=""),AND(BV10&gt;=CC$22,BV10&lt;&gt;"",BT10=""),AND(BX10&gt;=CC$22,BX10&lt;&gt;"",BT10=""),AND(CA10&gt;=CC$22,CA10&lt;&gt;"",BT10=""),AND(CZ10&gt;=DG$22,CZ10&lt;&gt;"",CX10=""),AND(DB10&gt;=DG$22,DB10&lt;&gt;"",CX10=""),AND(DE10&gt;=DG$22,DE10&lt;&gt;"",CX10=""),AND(EA10&gt;=EG$22,EA10&lt;&gt;""),AND(EE10&gt;=EG$22,EE10&lt;&gt;""),AND(EW10&gt;=FC$22,EW10&lt;&gt;""),AND(FA10&gt;=FC$22,FA10&lt;&gt;""),AND(FS10&gt;=FY$22,FS10&lt;&gt;""),AND(FW10&gt;=FY$22,FW10&lt;&gt;""),AND(GO10&gt;=GU$22,GO10&lt;&gt;""),AND(GS10&gt;=GU$22,GS10&lt;&gt;""),AND(HK10&gt;=HQ$22,HK10&lt;&gt;""),AND(HO10&gt;=HQ$22,HO10&lt;&gt;""),AND(IG10&gt;=IM$22,IG10&lt;&gt;""),AND(IK10&gt;=IM$22,IK10&lt;&gt;""),AND(JC10&gt;=JI$22,JC10&lt;&gt;""),AND(JG10&gt;=JI$22,JG10&lt;&gt;""),AND(JY10&gt;=KE$22,JY10&lt;&gt;""),AND(KC10&gt;=KE$22,KC10&lt;&gt;""),AND(KU10&gt;=LA$22,KU10&lt;&gt;""),AND(KY10&gt;=LA$22,KY10&lt;&gt;""),AND(LQ10&gt;=LW$22,LQ10&lt;&gt;""),AND(LU10&gt;=LW$22,LU10&lt;&gt;""),AND(MM10&gt;=MS$22,MM10&lt;&gt;""),AND(MQ10&gt;=MS$22,MQ10&lt;&gt;""),AND(NI10&gt;=NO$22,NI10&lt;&gt;""),AND(NM10&gt;=NO$22,NM10&lt;&gt;"")),"Excellence",IF(OR(AND(AR10&gt;=AY$21,AR10&lt;&gt;"",AP10=""),AND(AT10&gt;=AY$21,AT10&lt;&gt;"",AP10=""),AND(AW10&gt;=AY$21,AW10&lt;&gt;"",AP10=""),AND(BV10&gt;=CC$21,BV10&lt;&gt;"",BT10=""),AND(BX10&gt;=CC$21,BX10&lt;&gt;"",BT10=""),AND(CA10&gt;=CC$21,CA10&lt;&gt;"",BT10=""),AND(CZ10&gt;=DG$21,CZ10&lt;&gt;"",CX10=""),AND(DB10&gt;=DG$21,DB10&lt;&gt;"",CX10=""),AND(DE10&gt;=DG$21,DE10&lt;&gt;"",CX10=""),AND(EA10&gt;=EG$21,EA10&lt;&gt;""),AND(EE10&gt;=EG$21,EE10&lt;&gt;""),AND(EW10&gt;=FC$21,EW10&lt;&gt;""),AND(FA10&gt;=FC$21,FA10&lt;&gt;""),AND(FS10&gt;=FY$21,FS10&lt;&gt;""),AND(FW10&gt;=FY$21,FW10&lt;&gt;""),AND(GO10&gt;=GU$21,GO10&lt;&gt;""),AND(GS10&gt;=GU$21,GS10&lt;&gt;""),AND(HK10&gt;=HQ$21,HK10&lt;&gt;""),AND(HO10&gt;=HQ$21,HO10&lt;&gt;""),AND(IG10&gt;=IM$21,IG10&lt;&gt;""),AND(IK10&gt;=IM$21,IK10&lt;&gt;""),AND(JC10&gt;=JI$21,JC10&lt;&gt;""),AND(JG10&gt;=JI$21,JG10&lt;&gt;""),AND(JY10&gt;=KE$21,JY10&lt;&gt;""),AND(KC10&gt;=KE$21,KC10&lt;&gt;""),AND(KU10&gt;=LA$21,KU10&lt;&gt;""),AND(KY10&gt;=LA$21,KY10&lt;&gt;""),AND(LQ10&gt;=LW$21,LQ10&lt;&gt;""),AND(LU10&gt;=LW$21,LU10&lt;&gt;""),AND(MM10&gt;=MS$21,MM10&lt;&gt;""),AND(MQ10&gt;=MS$21,MQ10&lt;&gt;""),AND(NI10&gt;=NO$21,NI10&lt;&gt;""),AND(NM10&gt;=NO$21,NM10&lt;&gt;"")),"Worlds Team",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National Team",""))))</f>
        <v>National Team</v>
      </c>
      <c r="H10" s="125" t="str">
        <f>IF(OR(AND(AS10&gt;=AY$27,AS10&lt;&gt;"",AP10=""),AND(AU10&gt;=AY$27,AU10&lt;&gt;"",AP10=""),AND(AX10&gt;=AY$27,AX10&lt;&gt;"",AP10=""),AND(BW10&gt;=CC$27,BW10&lt;&gt;"",BT10=""),AND(BY10&gt;=CC$27,BY10&lt;&gt;"",BT10=""),AND(CB10&gt;=CC$27,CB10&lt;&gt;"",BT10=""),AND(DA10&gt;=DG$27,DA10&lt;&gt;"",CX10=""),AND(DC10&gt;=DG$27,DC10&lt;&gt;"",CX10=""),AND(DF10&gt;=DG$27,DF10&lt;&gt;"",CX10=""),AND(EC10&gt;=EG$27,EC10&lt;&gt;""),AND(EF10&gt;=EG$27,EF10&lt;&gt;""),AND(EY10&gt;=FC$27,EY10&lt;&gt;""),AND(FB10&gt;=FC$27,FB10&lt;&gt;""),AND(FU10&gt;=FY$27,FU10&lt;&gt;""),AND(FX10&gt;=FY$27,FX10&lt;&gt;""),AND(GQ10&gt;=GU$27,GQ10&lt;&gt;""),AND(GT10&gt;=GU$27,GT10&lt;&gt;""),AND(HM10&gt;=HQ$27,HM10&lt;&gt;""),AND(HP10&gt;=HQ$27,HP10&lt;&gt;""),AND(II10&gt;=IM$27,II10&lt;&gt;""),AND(IL10&gt;=IM$27,IL10&lt;&gt;""),AND(JE10&gt;=JI$27,JE10&lt;&gt;""),AND(JH10&gt;=JI$27,JH10&lt;&gt;""),AND(KA10&gt;=KE$27,KA10&lt;&gt;""),AND(KD10&gt;=KE$27,KD10&lt;&gt;""),AND(KW10&gt;=LA$27,KW10&lt;&gt;""),AND(KZ10&gt;=LA$27,KZ10&lt;&gt;""),AND(LS10&gt;=LW$27,LS10&lt;&gt;""),AND(LV10&gt;=LW$27,LV10&lt;&gt;""),AND(MO10&gt;=MS$27,MO10&lt;&gt;""),AND(MR10&gt;=MS$27,MR10&lt;&gt;""),AND(NK10&gt;=NO$27,NK10&lt;&gt;""),AND(NN10&gt;=NO$27,NN10&lt;&gt;"")),"Merit",IF(OR(AND(AS10&gt;=AY$26,AS10&lt;&gt;"",AP10=""),AND(AU10&gt;=AY$26,AU10&lt;&gt;"",AP10=""),AND(AX10&gt;=AY$26,AX10&lt;&gt;"",AP10=""),AND(BW10&gt;=CC$26,BW10&lt;&gt;"",BT10=""),AND(BY10&gt;=CC$26,BY10&lt;&gt;"",BT10=""),AND(CB10&gt;=CC$26,CB10&lt;&gt;"",BT10=""),AND(DA10&gt;=DG$26,DA10&lt;&gt;"",CX10=""),AND(DC10&gt;=DG$26,DC10&lt;&gt;"",CX10=""),AND(DF10&gt;=DG$26,DF10&lt;&gt;"",CX10=""),AND(EC10&gt;=EG$26,EC10&lt;&gt;""),AND(EF10&gt;=EG$26,EF10&lt;&gt;""),AND(EY10&gt;=FC$26,EY10&lt;&gt;""),AND(FB10&gt;=FC$26,FB10&lt;&gt;""),AND(FU10&gt;=FY$26,FU10&lt;&gt;""),AND(FX10&gt;=FY$26,FX10&lt;&gt;""),AND(GQ10&gt;=GU$26,GQ10&lt;&gt;""),AND(GT10&gt;=GU$26,GT10&lt;&gt;""),AND(HM10&gt;=HQ$26,HM10&lt;&gt;""),AND(HP10&gt;=HQ$26,HP10&lt;&gt;""),AND(II10&gt;=IM$26,II10&lt;&gt;""),AND(IL10&gt;=IM$26,IL10&lt;&gt;""),AND(JE10&gt;=JI$26,JE10&lt;&gt;""),AND(JH10&gt;=JI$26,JH10&lt;&gt;""),AND(KA10&gt;=KE$26,KA10&lt;&gt;""),AND(KD10&gt;=KE$26,KD10&lt;&gt;""),AND(KW10&gt;=LA$26,KW10&lt;&gt;""),AND(KZ10&gt;=LA$26,KZ10&lt;&gt;""),AND(LS10&gt;=LW$26,LS10&lt;&gt;""),AND(LV10&gt;=LW$26,LV10&lt;&gt;""),AND(MO10&gt;=MS$26,MO10&lt;&gt;""),AND(MR10&gt;=MS$26,MR10&lt;&gt;""),AND(NK10&gt;=NO$26,NK10&lt;&gt;""),AND(NN10&gt;=NO$26,NN10&lt;&gt;"")),"Excellence",IF(OR(AND(AV10&gt;=AY$25,AV10&lt;&gt;"",AP10=""),AND(BZ10&gt;=CC$25,BZ10&lt;&gt;"",BT10=""),AND(DD10&gt;=DG$25,DD10&lt;&gt;"",CX10=""),AND(ED10&gt;=EG$25,ED10&lt;&gt;""),AND(EZ10&gt;=FC$25,EZ10&lt;&gt;""),AND(FV10&gt;=FY$25,FV10&lt;&gt;""),AND(GR10&gt;=GU$25,GR10&lt;&gt;""),AND(HN10&gt;=HQ$25,HN10&lt;&gt;""),AND(IJ10&gt;=IM$25,IJ10&lt;&gt;""),AND(JF10&gt;=JI$25,JF10&lt;&gt;""),AND(KB10&gt;=KE$25,KB10&lt;&gt;""),AND(KX10&gt;=LA$25,KX10&lt;&gt;""),AND(LT10&gt;=LW$25,LT10&lt;&gt;""),AND(MP10&gt;=MS$25,MP10&lt;&gt;""),AND(NL10&gt;=NO$25,NL10&lt;&gt;"")),"Worlds Team",IF(OR(AND(AV10&gt;=AY$24,AV10&lt;&gt;"",AP10=""),AND(BZ10&gt;=CC$24,BZ10&lt;&gt;"",BT10=""),AND(DD10&gt;=DG$24,DD10&lt;&gt;"",CX10=""),AND(ED10&gt;=EG$24,ED10&lt;&gt;""),AND(EZ10&gt;=FC$24,EZ10&lt;&gt;""),AND(FV10&gt;=FY$24,FV10&lt;&gt;""),AND(GR10&gt;=GU$24,GR10&lt;&gt;""),AND(HN10&gt;=HQ$24,HN10&lt;&gt;""),AND(IJ10&gt;=IM$24,IJ10&lt;&gt;""),AND(JF10&gt;=JI$24,JF10&lt;&gt;""),AND(KB10&gt;=KE$24,KB10&lt;&gt;""),AND(KX10&gt;=LA$24,KX10&lt;&gt;""),AND(LT10&gt;=LW$24,LT10&lt;&gt;""),AND(MP10&gt;=MS$24,MP10&lt;&gt;""),AND(NL10&gt;=NO$24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$25,AV10&lt;&gt;"",AP10=""),AND(BZ10&gt;=CC$25,BZ10&lt;&gt;"",BT10=""),AND(DD10&gt;=DG$25,DD10&lt;&gt;"",CX10=""),AND(ED10&gt;=EG$25,ED10&lt;&gt;""),AND(EZ10&gt;=FC$25,EZ10&lt;&gt;""),AND(FV10&gt;=FY$25,FV10&lt;&gt;""),AND(GR10&gt;=GU$25,GR10&lt;&gt;""),AND(HN10&gt;=HQ$25,HN10&lt;&gt;""),AND(IJ10&gt;=IM$25,IJ10&lt;&gt;""),AND(JF10&gt;=JI$25,JF10&lt;&gt;""),AND(KB10&gt;=KE$25,KB10&lt;&gt;""),AND(KX10&gt;=LA$25,KX10&lt;&gt;""),AND(LT10&gt;=LW$25,LT10&lt;&gt;""),AND(MP10&gt;=MS$25,MP10&lt;&gt;""),AND(NL10&gt;=NO$25,NL10&lt;&gt;"")),OR(G10="Worlds Team",G10="Excellence",G10="Merit")),"P","")</f>
        <v/>
      </c>
      <c r="K10" s="14">
        <f>IF(MAX(AV10,BZ10,DD10)&gt;0,MAX(AV10,BZ10,DD10),0)</f>
        <v>98.289999999999992</v>
      </c>
      <c r="L10" s="14" t="str">
        <f>IF(K10=0,"",IF(K10=DD10,$CD$1,IF(K10=BZ10,$AZ$1,IF(K10=AV10,$V$1,""))))</f>
        <v>2021 1st Virtual Technical Trial</v>
      </c>
      <c r="M10" s="14">
        <f>IF($K10=$AV10,MAX(BU10,CY10),IF($K10=$BZ10,MAX(AQ10,CY10),IF($K10=$DD10,MAX(AQ10,BU10),MAX(AQ10,BU10,CY10))))</f>
        <v>45.424999999999997</v>
      </c>
      <c r="N10" s="14" t="str">
        <f>IF(M10=0,"",IF(AND(M10=CY10,$L10&lt;&gt;$CD$1),$CD$1,IF(AND(M10=BU10,$L10&lt;&gt;$AZ$1),$AZ$1,IF(AND(M10=AQ10,$L10&lt;&gt;$V$1),$V$1,""))))</f>
        <v>2021 2nd Virtual Technical Trial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50.49</v>
      </c>
      <c r="P10" s="14" t="str">
        <f>IF(O10=0,"",IF(OR(O10=DC10,O10=DA10),$CD$1,IF(OR(O10=BY10,O10=BW10),$AZ$1,IF(OR(O10=AU10,O10=AS10),$V$1,""))))</f>
        <v>2021 1st Virtual Technical Trial</v>
      </c>
      <c r="Q10" s="14">
        <f>MAX(AX10,CB10,DF10)</f>
        <v>51.54</v>
      </c>
      <c r="R10" s="14" t="str">
        <f>IF(Q10=0,"",IF(Q10=DF10,$CD$1,IF(Q10=CB10,$AZ$1,IF(Q10=AX10,$V$1,""))))</f>
        <v>2021 1st Virtual Technical Trial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16.399999999999999</v>
      </c>
      <c r="W10" s="69">
        <v>8.9</v>
      </c>
      <c r="X10" s="69">
        <v>1.9</v>
      </c>
      <c r="Y10" s="69">
        <v>14.125</v>
      </c>
      <c r="Z10" s="69">
        <v>0</v>
      </c>
      <c r="AA10" s="69">
        <v>14.2</v>
      </c>
      <c r="AB10" s="69">
        <v>9.3000000000000007</v>
      </c>
      <c r="AC10" s="69">
        <v>10</v>
      </c>
      <c r="AD10" s="69">
        <v>13.775</v>
      </c>
      <c r="AE10" s="69">
        <v>1.2</v>
      </c>
      <c r="AF10" s="69"/>
      <c r="AG10" s="69"/>
      <c r="AH10" s="69"/>
      <c r="AI10" s="69"/>
      <c r="AJ10" s="69"/>
      <c r="AK10" s="69">
        <v>6.36</v>
      </c>
      <c r="AL10" s="69">
        <v>3.8</v>
      </c>
      <c r="AM10" s="69">
        <v>5</v>
      </c>
      <c r="AN10" s="69">
        <v>6.08</v>
      </c>
      <c r="AO10" s="69"/>
      <c r="AP10" s="80"/>
      <c r="AQ10" s="11">
        <f>IF(SUM(V10:Y10)-Z10&gt;0,SUM(V10:Y10)-Z10,"")</f>
        <v>41.324999999999996</v>
      </c>
      <c r="AR10" s="11">
        <f>IF(AC10&gt;0,AC10,"")</f>
        <v>10</v>
      </c>
      <c r="AS10" s="11">
        <f>IF(SUM(AA10:AD10)-AE10&gt;0,SUM(AA10:AD10)-AE10,"")</f>
        <v>46.074999999999996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87.399999999999991</v>
      </c>
      <c r="AW10" s="11">
        <f>IF(AM10&gt;0,AM10,"")</f>
        <v>5</v>
      </c>
      <c r="AX10" s="11">
        <f>IF(SUM(AK10:AN10)-AO10&gt;0,SUM(AK10:AN10)-AO10,"")</f>
        <v>21.240000000000002</v>
      </c>
      <c r="AY10" s="11">
        <f>IF(SUM(AV10,AX10)&gt;0,SUM(AV10,AX10),"")</f>
        <v>108.63999999999999</v>
      </c>
      <c r="AZ10" s="75">
        <v>17.5</v>
      </c>
      <c r="BA10" s="75">
        <v>9.5</v>
      </c>
      <c r="BB10" s="75">
        <v>3.4</v>
      </c>
      <c r="BC10" s="75">
        <v>16.079999999999998</v>
      </c>
      <c r="BD10" s="75">
        <v>0</v>
      </c>
      <c r="BE10" s="75">
        <v>14.1</v>
      </c>
      <c r="BF10" s="75">
        <v>9.65</v>
      </c>
      <c r="BG10" s="75">
        <v>11.5</v>
      </c>
      <c r="BH10" s="75">
        <v>15.24</v>
      </c>
      <c r="BI10" s="75">
        <v>0</v>
      </c>
      <c r="BJ10" s="75">
        <v>15.8</v>
      </c>
      <c r="BK10" s="75">
        <v>9.35</v>
      </c>
      <c r="BL10" s="75">
        <v>11.5</v>
      </c>
      <c r="BM10" s="75">
        <v>15.16</v>
      </c>
      <c r="BN10" s="75">
        <v>0</v>
      </c>
      <c r="BO10" s="75">
        <v>15.3</v>
      </c>
      <c r="BP10" s="75">
        <v>9</v>
      </c>
      <c r="BQ10" s="75">
        <v>12.2</v>
      </c>
      <c r="BR10" s="75">
        <v>15.04</v>
      </c>
      <c r="BS10" s="75">
        <v>0</v>
      </c>
      <c r="BT10" s="81"/>
      <c r="BU10" s="14">
        <f>IF(SUM(AZ10:BC10)-BD10&gt;0,SUM(AZ10:BC10)-BD10,"")</f>
        <v>46.48</v>
      </c>
      <c r="BV10" s="14">
        <f>IF(BG10&gt;0,BG10,"")</f>
        <v>11.5</v>
      </c>
      <c r="BW10" s="14">
        <f>IF(SUM(BE10:BH10)-BI10&gt;0,SUM(BE10:BH10)-BI10,"")</f>
        <v>50.49</v>
      </c>
      <c r="BX10" s="14">
        <f>IF(BL10&gt;0,BL10,"")</f>
        <v>11.5</v>
      </c>
      <c r="BY10" s="14">
        <f>IF(SUM(BJ10:BM10)-BN10&gt;0,SUM(BJ10:BM10)-BN10,"")</f>
        <v>51.81</v>
      </c>
      <c r="BZ10" s="14">
        <f>IF(BU10="",IF(MAX(BW10,BY10)&gt;0,MAX(BW10,BY10),""),MAX(BW10,BY10)+BU10)</f>
        <v>98.289999999999992</v>
      </c>
      <c r="CA10" s="14">
        <f>IF(BQ10&gt;0,BQ10,"")</f>
        <v>12.2</v>
      </c>
      <c r="CB10" s="14">
        <f>IF(SUM(BO10:BR10)-BS10&gt;0,SUM(BO10:BR10)-BS10,"")</f>
        <v>51.54</v>
      </c>
      <c r="CC10" s="14">
        <f>IF(SUM(BZ10,CB10)&gt;0,SUM(BZ10,CB10),"")</f>
        <v>149.82999999999998</v>
      </c>
      <c r="CD10" s="69">
        <v>17.3</v>
      </c>
      <c r="CE10" s="69">
        <v>9.1999999999999993</v>
      </c>
      <c r="CF10" s="69">
        <v>3.2</v>
      </c>
      <c r="CG10" s="69">
        <v>15.725</v>
      </c>
      <c r="CH10" s="69">
        <v>0</v>
      </c>
      <c r="CI10" s="69">
        <v>15.2</v>
      </c>
      <c r="CJ10" s="69">
        <v>9.1</v>
      </c>
      <c r="CK10" s="69">
        <v>11.5</v>
      </c>
      <c r="CL10" s="69">
        <v>14.595000000000001</v>
      </c>
      <c r="CM10" s="69">
        <v>0</v>
      </c>
      <c r="CN10" s="69">
        <v>14.9</v>
      </c>
      <c r="CO10" s="69">
        <v>9</v>
      </c>
      <c r="CP10" s="69">
        <v>11.3</v>
      </c>
      <c r="CQ10" s="69">
        <v>14.61</v>
      </c>
      <c r="CR10" s="69">
        <v>0.6</v>
      </c>
      <c r="CS10" s="69">
        <v>9.4</v>
      </c>
      <c r="CT10" s="69">
        <v>4.8</v>
      </c>
      <c r="CU10" s="69">
        <v>7.9</v>
      </c>
      <c r="CV10" s="69">
        <v>9.0150000000000006</v>
      </c>
      <c r="CW10" s="69">
        <v>0</v>
      </c>
      <c r="CX10" s="80"/>
      <c r="CY10" s="11">
        <f>IF(SUM(CD10:CG10)-CH10&gt;0,SUM(CD10:CG10)-CH10,"")</f>
        <v>45.424999999999997</v>
      </c>
      <c r="CZ10" s="11">
        <f>IF(CK10&gt;0,CK10,"")</f>
        <v>11.5</v>
      </c>
      <c r="DA10" s="11">
        <f>IF(SUM(CI10:CL10)-CM10&gt;0,SUM(CI10:CL10)-CM10,"")</f>
        <v>50.394999999999996</v>
      </c>
      <c r="DB10" s="11">
        <f>IF(CP10&gt;0,CP10,"")</f>
        <v>11.3</v>
      </c>
      <c r="DC10" s="11">
        <f>IF(SUM(CN10:CQ10)-CR10&gt;0,SUM(CN10:CQ10)-CR10,"")</f>
        <v>49.21</v>
      </c>
      <c r="DD10" s="11">
        <f>IF(CY10="",IF(MAX(DA10,DC10)&gt;0,MAX(DA10,DC10),""),MAX(DA10,DC10)+CY10)</f>
        <v>95.82</v>
      </c>
      <c r="DE10" s="11">
        <f>IF(CU10&gt;0,CU10,"")</f>
        <v>7.9</v>
      </c>
      <c r="DF10" s="11">
        <f>IF(SUM(CS10:CV10)-CW10&gt;0,SUM(CS10:CV10)-CW10,"")</f>
        <v>31.115000000000002</v>
      </c>
      <c r="DG10" s="11">
        <f>IF(SUM(DD10,DF10)&gt;0,SUM(DD10,DF10),"")</f>
        <v>126.935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17.399999999999999</v>
      </c>
      <c r="NQ10" s="69">
        <f>IF($CX10="P",CE10,(CE10+BA10)/2)</f>
        <v>9.35</v>
      </c>
      <c r="NR10" s="69">
        <f>IF($CX10="P",CF10,(CF10+BB10)/2)</f>
        <v>3.3</v>
      </c>
      <c r="NS10" s="69">
        <f>IF($CX10="P",CG10,(CG10+BC10)/2)</f>
        <v>15.9025</v>
      </c>
      <c r="NT10" s="69">
        <f>IF($CX10="P",CH10,(CH10+BD10)/2)</f>
        <v>0</v>
      </c>
      <c r="NU10" s="69">
        <f>IF($CX10="P",CI10,(CI10+BE10)/2)</f>
        <v>14.649999999999999</v>
      </c>
      <c r="NV10" s="69">
        <f>IF($CX10="P",CJ10,(CJ10+BF10)/2)</f>
        <v>9.375</v>
      </c>
      <c r="NW10" s="69">
        <f>IF($CX10="P",CK10,(CK10+BG10)/2)</f>
        <v>11.5</v>
      </c>
      <c r="NX10" s="69">
        <f>IF($CX10="P",CL10,(CL10+BH10)/2)</f>
        <v>14.9175</v>
      </c>
      <c r="NY10" s="69">
        <f>IF($CX10="P",CM10,(CM10+BI10)/2)</f>
        <v>0</v>
      </c>
      <c r="NZ10" s="69">
        <f>IF($CX10="P",CN10,(CN10+BJ10)/2)</f>
        <v>15.350000000000001</v>
      </c>
      <c r="OA10" s="69">
        <f>IF($CX10="P",CO10,(CO10+BK10)/2)</f>
        <v>9.1750000000000007</v>
      </c>
      <c r="OB10" s="69">
        <f>IF($CX10="P",CP10,(CP10+BL10)/2)</f>
        <v>11.4</v>
      </c>
      <c r="OC10" s="69">
        <f>IF($CX10="P",CQ10,(CQ10+BM10)/2)</f>
        <v>14.885</v>
      </c>
      <c r="OD10" s="69">
        <f>IF($CX10="P",CR10,(CR10+BN10)/2)</f>
        <v>0.3</v>
      </c>
      <c r="OE10" s="69">
        <f>IF($CX10="P",CS10,(CS10+BO10)/2)</f>
        <v>12.350000000000001</v>
      </c>
      <c r="OF10" s="69">
        <f>IF($CX10="P",CT10,(CT10+BP10)/2)</f>
        <v>6.9</v>
      </c>
      <c r="OG10" s="69">
        <f>IF($CX10="P",CU10,(CU10+BQ10)/2)</f>
        <v>10.050000000000001</v>
      </c>
      <c r="OH10" s="69">
        <f>IF($CX10="P",CV10,(CV10+BR10)/2)</f>
        <v>12.0275</v>
      </c>
      <c r="OI10" s="69">
        <f>IF($CX10="P",CW10,(CW10+BS10)/2)</f>
        <v>0</v>
      </c>
      <c r="OJ10" s="80" t="s">
        <v>88</v>
      </c>
      <c r="OK10" s="11">
        <f>IF(SUM(NP10:NS10)-NT10&gt;0,SUM(NP10:NS10)-NT10,"")</f>
        <v>45.952500000000001</v>
      </c>
      <c r="OL10" s="11">
        <f>IF(NW10&gt;0,NW10,"")</f>
        <v>11.5</v>
      </c>
      <c r="OM10" s="11">
        <f>IF(SUM(NU10:NX10)-NY10&gt;0,SUM(NU10:NX10)-NY10,"")</f>
        <v>50.442499999999995</v>
      </c>
      <c r="ON10" s="11">
        <f>IF(OB10&gt;0,OB10,"")</f>
        <v>11.4</v>
      </c>
      <c r="OO10" s="11">
        <f>IF(SUM(NZ10:OC10)-OD10&gt;0,SUM(NZ10:OC10)-OD10,"")</f>
        <v>50.510000000000005</v>
      </c>
      <c r="OP10" s="11">
        <f>IF(OR(OK10&lt;&gt;"",OM10&lt;&gt;"",OO10&lt;&gt;""),OK10+MAX(OM10,OO10),"")</f>
        <v>96.462500000000006</v>
      </c>
      <c r="OQ10" s="11">
        <f>IF(OG10&gt;0,OG10,"")</f>
        <v>10.050000000000001</v>
      </c>
      <c r="OR10" s="11">
        <f t="shared" si="0"/>
        <v>41.327500000000001</v>
      </c>
      <c r="OS10" s="11">
        <f t="shared" si="1"/>
        <v>137.79000000000002</v>
      </c>
    </row>
    <row r="11" spans="1:409" x14ac:dyDescent="0.2">
      <c r="A11" s="5" t="str" cm="1">
        <f t="array" ref="A11">IF(AND(G11&lt;&gt;"",H11&lt;&gt;""),SUMPRODUCT((G$4:G$18&lt;&gt;"")*(H$4:H$18&lt;&gt;"")*(E$4:E$18&gt;E11))+1,IF(H11&lt;&gt;"",SUMPRODUCT((I$4:I$18="No DD")*(E$4:E$18&gt;E11))+1+SUMPRODUCT((G$4:G$18&lt;&gt;"")*(H$4:H$18&lt;&gt;"")),""))</f>
        <v/>
      </c>
      <c r="B11" s="127" t="s">
        <v>171</v>
      </c>
      <c r="C11" s="5" t="s">
        <v>6</v>
      </c>
      <c r="D11" s="5">
        <v>2002</v>
      </c>
      <c r="E11" s="15">
        <f>SUM(K11:S11)</f>
        <v>237.83499999999998</v>
      </c>
      <c r="F11" s="3" t="str">
        <f>IF(G11&lt;&gt;"","P","")</f>
        <v>P</v>
      </c>
      <c r="G11" s="125" t="str">
        <f>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Merit",IF(OR(AND(AR11&gt;=AY$22,AR11&lt;&gt;"",AP11=""),AND(AT11&gt;=AY$22,AT11&lt;&gt;"",AP11=""),AND(AW11&gt;=AY$22,AW11&lt;&gt;"",AP11=""),AND(BV11&gt;=CC$22,BV11&lt;&gt;"",BT11=""),AND(BX11&gt;=CC$22,BX11&lt;&gt;"",BT11=""),AND(CA11&gt;=CC$22,CA11&lt;&gt;"",BT11=""),AND(CZ11&gt;=DG$22,CZ11&lt;&gt;"",CX11=""),AND(DB11&gt;=DG$22,DB11&lt;&gt;"",CX11=""),AND(DE11&gt;=DG$22,DE11&lt;&gt;"",CX11=""),AND(EA11&gt;=EG$22,EA11&lt;&gt;""),AND(EE11&gt;=EG$22,EE11&lt;&gt;""),AND(EW11&gt;=FC$22,EW11&lt;&gt;""),AND(FA11&gt;=FC$22,FA11&lt;&gt;""),AND(FS11&gt;=FY$22,FS11&lt;&gt;""),AND(FW11&gt;=FY$22,FW11&lt;&gt;""),AND(GO11&gt;=GU$22,GO11&lt;&gt;""),AND(GS11&gt;=GU$22,GS11&lt;&gt;""),AND(HK11&gt;=HQ$22,HK11&lt;&gt;""),AND(HO11&gt;=HQ$22,HO11&lt;&gt;""),AND(IG11&gt;=IM$22,IG11&lt;&gt;""),AND(IK11&gt;=IM$22,IK11&lt;&gt;""),AND(JC11&gt;=JI$22,JC11&lt;&gt;""),AND(JG11&gt;=JI$22,JG11&lt;&gt;""),AND(JY11&gt;=KE$22,JY11&lt;&gt;""),AND(KC11&gt;=KE$22,KC11&lt;&gt;""),AND(KU11&gt;=LA$22,KU11&lt;&gt;""),AND(KY11&gt;=LA$22,KY11&lt;&gt;""),AND(LQ11&gt;=LW$22,LQ11&lt;&gt;""),AND(LU11&gt;=LW$22,LU11&lt;&gt;""),AND(MM11&gt;=MS$22,MM11&lt;&gt;""),AND(MQ11&gt;=MS$22,MQ11&lt;&gt;""),AND(NI11&gt;=NO$22,NI11&lt;&gt;""),AND(NM11&gt;=NO$22,NM11&lt;&gt;"")),"Excellence",IF(OR(AND(AR11&gt;=AY$21,AR11&lt;&gt;"",AP11=""),AND(AT11&gt;=AY$21,AT11&lt;&gt;"",AP11=""),AND(AW11&gt;=AY$21,AW11&lt;&gt;"",AP11=""),AND(BV11&gt;=CC$21,BV11&lt;&gt;"",BT11=""),AND(BX11&gt;=CC$21,BX11&lt;&gt;"",BT11=""),AND(CA11&gt;=CC$21,CA11&lt;&gt;"",BT11=""),AND(CZ11&gt;=DG$21,CZ11&lt;&gt;"",CX11=""),AND(DB11&gt;=DG$21,DB11&lt;&gt;"",CX11=""),AND(DE11&gt;=DG$21,DE11&lt;&gt;"",CX11=""),AND(EA11&gt;=EG$21,EA11&lt;&gt;""),AND(EE11&gt;=EG$21,EE11&lt;&gt;""),AND(EW11&gt;=FC$21,EW11&lt;&gt;""),AND(FA11&gt;=FC$21,FA11&lt;&gt;""),AND(FS11&gt;=FY$21,FS11&lt;&gt;""),AND(FW11&gt;=FY$21,FW11&lt;&gt;""),AND(GO11&gt;=GU$21,GO11&lt;&gt;""),AND(GS11&gt;=GU$21,GS11&lt;&gt;""),AND(HK11&gt;=HQ$21,HK11&lt;&gt;""),AND(HO11&gt;=HQ$21,HO11&lt;&gt;""),AND(IG11&gt;=IM$21,IG11&lt;&gt;""),AND(IK11&gt;=IM$21,IK11&lt;&gt;""),AND(JC11&gt;=JI$21,JC11&lt;&gt;""),AND(JG11&gt;=JI$21,JG11&lt;&gt;""),AND(JY11&gt;=KE$21,JY11&lt;&gt;""),AND(KC11&gt;=KE$21,KC11&lt;&gt;""),AND(KU11&gt;=LA$21,KU11&lt;&gt;""),AND(KY11&gt;=LA$21,KY11&lt;&gt;""),AND(LQ11&gt;=LW$21,LQ11&lt;&gt;""),AND(LU11&gt;=LW$21,LU11&lt;&gt;""),AND(MM11&gt;=MS$21,MM11&lt;&gt;""),AND(MQ11&gt;=MS$21,MQ11&lt;&gt;""),AND(NI11&gt;=NO$21,NI11&lt;&gt;""),AND(NM11&gt;=NO$21,NM11&lt;&gt;"")),"Worlds Team",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National Team",""))))</f>
        <v>National Team</v>
      </c>
      <c r="H11" s="125" t="str">
        <f>IF(OR(AND(AS11&gt;=AY$27,AS11&lt;&gt;"",AP11=""),AND(AU11&gt;=AY$27,AU11&lt;&gt;"",AP11=""),AND(AX11&gt;=AY$27,AX11&lt;&gt;"",AP11=""),AND(BW11&gt;=CC$27,BW11&lt;&gt;"",BT11=""),AND(BY11&gt;=CC$27,BY11&lt;&gt;"",BT11=""),AND(CB11&gt;=CC$27,CB11&lt;&gt;"",BT11=""),AND(DA11&gt;=DG$27,DA11&lt;&gt;"",CX11=""),AND(DC11&gt;=DG$27,DC11&lt;&gt;"",CX11=""),AND(DF11&gt;=DG$27,DF11&lt;&gt;"",CX11=""),AND(EC11&gt;=EG$27,EC11&lt;&gt;""),AND(EF11&gt;=EG$27,EF11&lt;&gt;""),AND(EY11&gt;=FC$27,EY11&lt;&gt;""),AND(FB11&gt;=FC$27,FB11&lt;&gt;""),AND(FU11&gt;=FY$27,FU11&lt;&gt;""),AND(FX11&gt;=FY$27,FX11&lt;&gt;""),AND(GQ11&gt;=GU$27,GQ11&lt;&gt;""),AND(GT11&gt;=GU$27,GT11&lt;&gt;""),AND(HM11&gt;=HQ$27,HM11&lt;&gt;""),AND(HP11&gt;=HQ$27,HP11&lt;&gt;""),AND(II11&gt;=IM$27,II11&lt;&gt;""),AND(IL11&gt;=IM$27,IL11&lt;&gt;""),AND(JE11&gt;=JI$27,JE11&lt;&gt;""),AND(JH11&gt;=JI$27,JH11&lt;&gt;""),AND(KA11&gt;=KE$27,KA11&lt;&gt;""),AND(KD11&gt;=KE$27,KD11&lt;&gt;""),AND(KW11&gt;=LA$27,KW11&lt;&gt;""),AND(KZ11&gt;=LA$27,KZ11&lt;&gt;""),AND(LS11&gt;=LW$27,LS11&lt;&gt;""),AND(LV11&gt;=LW$27,LV11&lt;&gt;""),AND(MO11&gt;=MS$27,MO11&lt;&gt;""),AND(MR11&gt;=MS$27,MR11&lt;&gt;""),AND(NK11&gt;=NO$27,NK11&lt;&gt;""),AND(NN11&gt;=NO$27,NN11&lt;&gt;"")),"Merit",IF(OR(AND(AS11&gt;=AY$26,AS11&lt;&gt;"",AP11=""),AND(AU11&gt;=AY$26,AU11&lt;&gt;"",AP11=""),AND(AX11&gt;=AY$26,AX11&lt;&gt;"",AP11=""),AND(BW11&gt;=CC$26,BW11&lt;&gt;"",BT11=""),AND(BY11&gt;=CC$26,BY11&lt;&gt;"",BT11=""),AND(CB11&gt;=CC$26,CB11&lt;&gt;"",BT11=""),AND(DA11&gt;=DG$26,DA11&lt;&gt;"",CX11=""),AND(DC11&gt;=DG$26,DC11&lt;&gt;"",CX11=""),AND(DF11&gt;=DG$26,DF11&lt;&gt;"",CX11=""),AND(EC11&gt;=EG$26,EC11&lt;&gt;""),AND(EF11&gt;=EG$26,EF11&lt;&gt;""),AND(EY11&gt;=FC$26,EY11&lt;&gt;""),AND(FB11&gt;=FC$26,FB11&lt;&gt;""),AND(FU11&gt;=FY$26,FU11&lt;&gt;""),AND(FX11&gt;=FY$26,FX11&lt;&gt;""),AND(GQ11&gt;=GU$26,GQ11&lt;&gt;""),AND(GT11&gt;=GU$26,GT11&lt;&gt;""),AND(HM11&gt;=HQ$26,HM11&lt;&gt;""),AND(HP11&gt;=HQ$26,HP11&lt;&gt;""),AND(II11&gt;=IM$26,II11&lt;&gt;""),AND(IL11&gt;=IM$26,IL11&lt;&gt;""),AND(JE11&gt;=JI$26,JE11&lt;&gt;""),AND(JH11&gt;=JI$26,JH11&lt;&gt;""),AND(KA11&gt;=KE$26,KA11&lt;&gt;""),AND(KD11&gt;=KE$26,KD11&lt;&gt;""),AND(KW11&gt;=LA$26,KW11&lt;&gt;""),AND(KZ11&gt;=LA$26,KZ11&lt;&gt;""),AND(LS11&gt;=LW$26,LS11&lt;&gt;""),AND(LV11&gt;=LW$26,LV11&lt;&gt;""),AND(MO11&gt;=MS$26,MO11&lt;&gt;""),AND(MR11&gt;=MS$26,MR11&lt;&gt;""),AND(NK11&gt;=NO$26,NK11&lt;&gt;""),AND(NN11&gt;=NO$26,NN11&lt;&gt;"")),"Excellence",IF(OR(AND(AV11&gt;=AY$25,AV11&lt;&gt;"",AP11=""),AND(BZ11&gt;=CC$25,BZ11&lt;&gt;"",BT11=""),AND(DD11&gt;=DG$25,DD11&lt;&gt;"",CX11=""),AND(ED11&gt;=EG$25,ED11&lt;&gt;""),AND(EZ11&gt;=FC$25,EZ11&lt;&gt;""),AND(FV11&gt;=FY$25,FV11&lt;&gt;""),AND(GR11&gt;=GU$25,GR11&lt;&gt;""),AND(HN11&gt;=HQ$25,HN11&lt;&gt;""),AND(IJ11&gt;=IM$25,IJ11&lt;&gt;""),AND(JF11&gt;=JI$25,JF11&lt;&gt;""),AND(KB11&gt;=KE$25,KB11&lt;&gt;""),AND(KX11&gt;=LA$25,KX11&lt;&gt;""),AND(LT11&gt;=LW$25,LT11&lt;&gt;""),AND(MP11&gt;=MS$25,MP11&lt;&gt;""),AND(NL11&gt;=NO$25,NL11&lt;&gt;"")),"Worlds Team",IF(OR(AND(AV11&gt;=AY$24,AV11&lt;&gt;"",AP11=""),AND(BZ11&gt;=CC$24,BZ11&lt;&gt;"",BT11=""),AND(DD11&gt;=DG$24,DD11&lt;&gt;"",CX11=""),AND(ED11&gt;=EG$24,ED11&lt;&gt;""),AND(EZ11&gt;=FC$24,EZ11&lt;&gt;""),AND(FV11&gt;=FY$24,FV11&lt;&gt;""),AND(GR11&gt;=GU$24,GR11&lt;&gt;""),AND(HN11&gt;=HQ$24,HN11&lt;&gt;""),AND(IJ11&gt;=IM$24,IJ11&lt;&gt;""),AND(JF11&gt;=JI$24,JF11&lt;&gt;""),AND(KB11&gt;=KE$24,KB11&lt;&gt;""),AND(KX11&gt;=LA$24,KX11&lt;&gt;""),AND(LT11&gt;=LW$24,LT11&lt;&gt;""),AND(MP11&gt;=MS$24,MP11&lt;&gt;""),AND(NL11&gt;=NO$24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$25,AV11&lt;&gt;"",AP11=""),AND(BZ11&gt;=CC$25,BZ11&lt;&gt;"",BT11=""),AND(DD11&gt;=DG$25,DD11&lt;&gt;"",CX11=""),AND(ED11&gt;=EG$25,ED11&lt;&gt;""),AND(EZ11&gt;=FC$25,EZ11&lt;&gt;""),AND(FV11&gt;=FY$25,FV11&lt;&gt;""),AND(GR11&gt;=GU$25,GR11&lt;&gt;""),AND(HN11&gt;=HQ$25,HN11&lt;&gt;""),AND(IJ11&gt;=IM$25,IJ11&lt;&gt;""),AND(JF11&gt;=JI$25,JF11&lt;&gt;""),AND(KB11&gt;=KE$25,KB11&lt;&gt;""),AND(KX11&gt;=LA$25,KX11&lt;&gt;""),AND(LT11&gt;=LW$25,LT11&lt;&gt;""),AND(MP11&gt;=MS$25,MP11&lt;&gt;""),AND(NL11&gt;=NO$25,NL11&lt;&gt;"")),OR(G11="Worlds Team",G11="Excellence",G11="Merit")),"P","")</f>
        <v/>
      </c>
      <c r="K11" s="14">
        <f>IF(MAX(AV11,BZ11,DD11)&gt;0,MAX(AV11,BZ11,DD11),0)</f>
        <v>94.58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45.364999999999995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49.08</v>
      </c>
      <c r="P11" s="14" t="str">
        <f>IF(O11=0,"",IF(OR(O11=DC11,O11=DA11),$CD$1,IF(OR(O11=BY11,O11=BW11),$AZ$1,IF(OR(O11=AU11,O11=AS11),$V$1,""))))</f>
        <v>2019 Nationals</v>
      </c>
      <c r="Q11" s="14">
        <f>MAX(AX11,CB11,DF11)</f>
        <v>48.81</v>
      </c>
      <c r="R11" s="14" t="str">
        <f>IF(Q11=0,"",IF(Q11=DF11,$CD$1,IF(Q11=CB11,$AZ$1,IF(Q11=AX11,$V$1,""))))</f>
        <v>2021 1st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17.5</v>
      </c>
      <c r="W11" s="69">
        <v>9.6999999999999993</v>
      </c>
      <c r="X11" s="69">
        <v>3.2</v>
      </c>
      <c r="Y11" s="69">
        <v>14.965</v>
      </c>
      <c r="Z11" s="69">
        <v>0</v>
      </c>
      <c r="AA11" s="69">
        <v>14.5</v>
      </c>
      <c r="AB11" s="69">
        <v>9</v>
      </c>
      <c r="AC11" s="69">
        <v>11.3</v>
      </c>
      <c r="AD11" s="69">
        <v>14.28</v>
      </c>
      <c r="AE11" s="69">
        <v>0</v>
      </c>
      <c r="AF11" s="69"/>
      <c r="AG11" s="69"/>
      <c r="AH11" s="69"/>
      <c r="AI11" s="69"/>
      <c r="AJ11" s="69"/>
      <c r="AK11" s="69">
        <v>4.5599999999999996</v>
      </c>
      <c r="AL11" s="69">
        <v>2.7</v>
      </c>
      <c r="AM11" s="69">
        <v>3.5</v>
      </c>
      <c r="AN11" s="69">
        <v>4.53</v>
      </c>
      <c r="AO11" s="69">
        <v>0</v>
      </c>
      <c r="AP11" s="80"/>
      <c r="AQ11" s="11">
        <f>IF(SUM(V11:Y11)-Z11&gt;0,SUM(V11:Y11)-Z11,"")</f>
        <v>45.364999999999995</v>
      </c>
      <c r="AR11" s="11">
        <f>IF(AC11&gt;0,AC11,"")</f>
        <v>11.3</v>
      </c>
      <c r="AS11" s="11">
        <f>IF(SUM(AA11:AD11)-AE11&gt;0,SUM(AA11:AD11)-AE11,"")</f>
        <v>49.08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94.444999999999993</v>
      </c>
      <c r="AW11" s="11">
        <f>IF(AM11&gt;0,AM11,"")</f>
        <v>3.5</v>
      </c>
      <c r="AX11" s="11">
        <f>IF(SUM(AK11:AN11)-AO11&gt;0,SUM(AK11:AN11)-AO11,"")</f>
        <v>15.29</v>
      </c>
      <c r="AY11" s="11">
        <f>IF(SUM(AV11,AX11)&gt;0,SUM(AV11,AX11),"")</f>
        <v>109.73499999999999</v>
      </c>
      <c r="AZ11" s="75">
        <v>16.7</v>
      </c>
      <c r="BA11" s="75">
        <v>9.1999999999999993</v>
      </c>
      <c r="BB11" s="75">
        <v>3.7</v>
      </c>
      <c r="BC11" s="75">
        <v>14.74</v>
      </c>
      <c r="BD11" s="75">
        <v>0</v>
      </c>
      <c r="BE11" s="75">
        <v>13.8</v>
      </c>
      <c r="BF11" s="75">
        <v>9.0500000000000007</v>
      </c>
      <c r="BG11" s="75">
        <v>12</v>
      </c>
      <c r="BH11" s="75">
        <v>14.105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14.3</v>
      </c>
      <c r="BP11" s="75">
        <v>9</v>
      </c>
      <c r="BQ11" s="75">
        <v>11.3</v>
      </c>
      <c r="BR11" s="75">
        <v>14.21</v>
      </c>
      <c r="BS11" s="75">
        <v>0</v>
      </c>
      <c r="BT11" s="81"/>
      <c r="BU11" s="14">
        <f>IF(SUM(AZ11:BC11)-BD11&gt;0,SUM(AZ11:BC11)-BD11,"")</f>
        <v>44.339999999999996</v>
      </c>
      <c r="BV11" s="14">
        <f>IF(BG11&gt;0,BG11,"")</f>
        <v>12</v>
      </c>
      <c r="BW11" s="14">
        <f>IF(SUM(BE11:BH11)-BI11&gt;0,SUM(BE11:BH11)-BI11,"")</f>
        <v>48.954999999999998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93.294999999999987</v>
      </c>
      <c r="CA11" s="14">
        <f>IF(BQ11&gt;0,BQ11,"")</f>
        <v>11.3</v>
      </c>
      <c r="CB11" s="14">
        <f>IF(SUM(BO11:BR11)-BS11&gt;0,SUM(BO11:BR11)-BS11,"")</f>
        <v>48.81</v>
      </c>
      <c r="CC11" s="14">
        <f>IF(SUM(BZ11,CB11)&gt;0,SUM(BZ11,CB11),"")</f>
        <v>142.10499999999999</v>
      </c>
      <c r="CD11" s="69">
        <v>16.3</v>
      </c>
      <c r="CE11" s="69">
        <v>9.6</v>
      </c>
      <c r="CF11" s="69">
        <v>4.7</v>
      </c>
      <c r="CG11" s="69">
        <v>14.69</v>
      </c>
      <c r="CH11" s="69">
        <v>0</v>
      </c>
      <c r="CI11" s="69">
        <v>13</v>
      </c>
      <c r="CJ11" s="69">
        <v>9.1</v>
      </c>
      <c r="CK11" s="69">
        <v>12</v>
      </c>
      <c r="CL11" s="69">
        <v>13.96</v>
      </c>
      <c r="CM11" s="69">
        <v>0</v>
      </c>
      <c r="CN11" s="69">
        <v>14.1</v>
      </c>
      <c r="CO11" s="69">
        <v>9</v>
      </c>
      <c r="CP11" s="69">
        <v>12</v>
      </c>
      <c r="CQ11" s="69">
        <v>14.19</v>
      </c>
      <c r="CR11" s="69">
        <v>0</v>
      </c>
      <c r="CS11" s="69">
        <v>13.1</v>
      </c>
      <c r="CT11" s="69">
        <v>9</v>
      </c>
      <c r="CU11" s="69">
        <v>12.7</v>
      </c>
      <c r="CV11" s="69">
        <v>13.89</v>
      </c>
      <c r="CW11" s="69">
        <v>0</v>
      </c>
      <c r="CX11" s="80"/>
      <c r="CY11" s="11">
        <f>IF(SUM(CD11:CG11)-CH11&gt;0,SUM(CD11:CG11)-CH11,"")</f>
        <v>45.29</v>
      </c>
      <c r="CZ11" s="11">
        <f>IF(CK11&gt;0,CK11,"")</f>
        <v>12</v>
      </c>
      <c r="DA11" s="11">
        <f>IF(SUM(CI11:CL11)-CM11&gt;0,SUM(CI11:CL11)-CM11,"")</f>
        <v>48.06</v>
      </c>
      <c r="DB11" s="11">
        <f>IF(CP11&gt;0,CP11,"")</f>
        <v>12</v>
      </c>
      <c r="DC11" s="11">
        <f>IF(SUM(CN11:CQ11)-CR11&gt;0,SUM(CN11:CQ11)-CR11,"")</f>
        <v>49.29</v>
      </c>
      <c r="DD11" s="11">
        <f>IF(CY11="",IF(MAX(DA11,DC11)&gt;0,MAX(DA11,DC11),""),MAX(DA11,DC11)+CY11)</f>
        <v>94.58</v>
      </c>
      <c r="DE11" s="11">
        <f>IF(CU11&gt;0,CU11,"")</f>
        <v>12.7</v>
      </c>
      <c r="DF11" s="11">
        <f>IF(SUM(CS11:CV11)-CW11&gt;0,SUM(CS11:CV11)-CW11,"")</f>
        <v>48.69</v>
      </c>
      <c r="DG11" s="11">
        <f>IF(SUM(DD11,DF11)&gt;0,SUM(DD11,DF11),"")</f>
        <v>143.26999999999998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16.5</v>
      </c>
      <c r="NQ11" s="69">
        <f>IF($CX11="P",CE11,(CE11+BA11)/2)</f>
        <v>9.3999999999999986</v>
      </c>
      <c r="NR11" s="69">
        <f>IF($CX11="P",CF11,(CF11+BB11)/2)</f>
        <v>4.2</v>
      </c>
      <c r="NS11" s="69">
        <f>IF($CX11="P",CG11,(CG11+BC11)/2)</f>
        <v>14.715</v>
      </c>
      <c r="NT11" s="69">
        <f>IF($CX11="P",CH11,(CH11+BD11)/2)</f>
        <v>0</v>
      </c>
      <c r="NU11" s="69">
        <f>IF($CX11="P",CI11,(CI11+BE11)/2)</f>
        <v>13.4</v>
      </c>
      <c r="NV11" s="69">
        <f>IF($CX11="P",CJ11,(CJ11+BF11)/2)</f>
        <v>9.0749999999999993</v>
      </c>
      <c r="NW11" s="69">
        <f>IF($CX11="P",CK11,(CK11+BG11)/2)</f>
        <v>12</v>
      </c>
      <c r="NX11" s="69">
        <f>IF($CX11="P",CL11,(CL11+BH11)/2)</f>
        <v>14.032500000000001</v>
      </c>
      <c r="NY11" s="69">
        <f>IF($CX11="P",CM11,(CM11+BI11)/2)</f>
        <v>0</v>
      </c>
      <c r="NZ11" s="69">
        <f>IF($CX11="P",CN11,(CN11+BJ11)/2)</f>
        <v>7.05</v>
      </c>
      <c r="OA11" s="69">
        <f>IF($CX11="P",CO11,(CO11+BK11)/2)</f>
        <v>4.5</v>
      </c>
      <c r="OB11" s="69">
        <f>IF($CX11="P",CP11,(CP11+BL11)/2)</f>
        <v>6</v>
      </c>
      <c r="OC11" s="69">
        <f>IF($CX11="P",CQ11,(CQ11+BM11)/2)</f>
        <v>7.0949999999999998</v>
      </c>
      <c r="OD11" s="69">
        <f>IF($CX11="P",CR11,(CR11+BN11)/2)</f>
        <v>0</v>
      </c>
      <c r="OE11" s="69">
        <f>IF($CX11="P",CS11,(CS11+BO11)/2)</f>
        <v>13.7</v>
      </c>
      <c r="OF11" s="69">
        <f>IF($CX11="P",CT11,(CT11+BP11)/2)</f>
        <v>9</v>
      </c>
      <c r="OG11" s="69">
        <f>IF($CX11="P",CU11,(CU11+BQ11)/2)</f>
        <v>12</v>
      </c>
      <c r="OH11" s="69">
        <f>IF($CX11="P",CV11,(CV11+BR11)/2)</f>
        <v>14.05</v>
      </c>
      <c r="OI11" s="69">
        <f>IF($CX11="P",CW11,(CW11+BS11)/2)</f>
        <v>0</v>
      </c>
      <c r="OJ11" s="80" t="s">
        <v>88</v>
      </c>
      <c r="OK11" s="11">
        <f>IF(SUM(NP11:NS11)-NT11&gt;0,SUM(NP11:NS11)-NT11,"")</f>
        <v>44.814999999999998</v>
      </c>
      <c r="OL11" s="11">
        <f>IF(NW11&gt;0,NW11,"")</f>
        <v>12</v>
      </c>
      <c r="OM11" s="11">
        <f>IF(SUM(NU11:NX11)-NY11&gt;0,SUM(NU11:NX11)-NY11,"")</f>
        <v>48.5075</v>
      </c>
      <c r="ON11" s="11">
        <f>IF(OB11&gt;0,OB11,"")</f>
        <v>6</v>
      </c>
      <c r="OO11" s="11">
        <f>IF(SUM(NZ11:OC11)-OD11&gt;0,SUM(NZ11:OC11)-OD11,"")</f>
        <v>24.645</v>
      </c>
      <c r="OP11" s="11">
        <f>IF(OR(OK11&lt;&gt;"",OM11&lt;&gt;"",OO11&lt;&gt;""),OK11+MAX(OM11,OO11),"")</f>
        <v>93.322499999999991</v>
      </c>
      <c r="OQ11" s="11">
        <f>IF(OG11&gt;0,OG11,"")</f>
        <v>12</v>
      </c>
      <c r="OR11" s="11">
        <f t="shared" si="0"/>
        <v>48.75</v>
      </c>
      <c r="OS11" s="11">
        <f t="shared" si="1"/>
        <v>142.07249999999999</v>
      </c>
    </row>
    <row r="12" spans="1:409" x14ac:dyDescent="0.2">
      <c r="A12" s="5" t="str" cm="1">
        <f t="array" ref="A12">IF(AND(G12&lt;&gt;"",H12&lt;&gt;""),SUMPRODUCT((G$4:G$18&lt;&gt;"")*(H$4:H$18&lt;&gt;"")*(E$4:E$18&gt;E12))+1,IF(H12&lt;&gt;"",SUMPRODUCT((I$4:I$18="No DD")*(E$4:E$18&gt;E12))+1+SUMPRODUCT((G$4:G$18&lt;&gt;"")*(H$4:H$18&lt;&gt;"")),""))</f>
        <v/>
      </c>
      <c r="B12" s="127" t="s">
        <v>150</v>
      </c>
      <c r="C12" s="5" t="s">
        <v>6</v>
      </c>
      <c r="D12" s="5">
        <v>2001</v>
      </c>
      <c r="E12" s="15">
        <f>SUM(K12:S12)</f>
        <v>230.63499999999999</v>
      </c>
      <c r="F12" s="3" t="str">
        <f>IF(G12&lt;&gt;"","P","")</f>
        <v>P</v>
      </c>
      <c r="G12" s="125" t="str">
        <f>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Merit",IF(OR(AND(AR12&gt;=AY$22,AR12&lt;&gt;"",AP12=""),AND(AT12&gt;=AY$22,AT12&lt;&gt;"",AP12=""),AND(AW12&gt;=AY$22,AW12&lt;&gt;"",AP12=""),AND(BV12&gt;=CC$22,BV12&lt;&gt;"",BT12=""),AND(BX12&gt;=CC$22,BX12&lt;&gt;"",BT12=""),AND(CA12&gt;=CC$22,CA12&lt;&gt;"",BT12=""),AND(CZ12&gt;=DG$22,CZ12&lt;&gt;"",CX12=""),AND(DB12&gt;=DG$22,DB12&lt;&gt;"",CX12=""),AND(DE12&gt;=DG$22,DE12&lt;&gt;"",CX12=""),AND(EA12&gt;=EG$22,EA12&lt;&gt;""),AND(EE12&gt;=EG$22,EE12&lt;&gt;""),AND(EW12&gt;=FC$22,EW12&lt;&gt;""),AND(FA12&gt;=FC$22,FA12&lt;&gt;""),AND(FS12&gt;=FY$22,FS12&lt;&gt;""),AND(FW12&gt;=FY$22,FW12&lt;&gt;""),AND(GO12&gt;=GU$22,GO12&lt;&gt;""),AND(GS12&gt;=GU$22,GS12&lt;&gt;""),AND(HK12&gt;=HQ$22,HK12&lt;&gt;""),AND(HO12&gt;=HQ$22,HO12&lt;&gt;""),AND(IG12&gt;=IM$22,IG12&lt;&gt;""),AND(IK12&gt;=IM$22,IK12&lt;&gt;""),AND(JC12&gt;=JI$22,JC12&lt;&gt;""),AND(JG12&gt;=JI$22,JG12&lt;&gt;""),AND(JY12&gt;=KE$22,JY12&lt;&gt;""),AND(KC12&gt;=KE$22,KC12&lt;&gt;""),AND(KU12&gt;=LA$22,KU12&lt;&gt;""),AND(KY12&gt;=LA$22,KY12&lt;&gt;""),AND(LQ12&gt;=LW$22,LQ12&lt;&gt;""),AND(LU12&gt;=LW$22,LU12&lt;&gt;""),AND(MM12&gt;=MS$22,MM12&lt;&gt;""),AND(MQ12&gt;=MS$22,MQ12&lt;&gt;""),AND(NI12&gt;=NO$22,NI12&lt;&gt;""),AND(NM12&gt;=NO$22,NM12&lt;&gt;"")),"Excellence",IF(OR(AND(AR12&gt;=AY$21,AR12&lt;&gt;"",AP12=""),AND(AT12&gt;=AY$21,AT12&lt;&gt;"",AP12=""),AND(AW12&gt;=AY$21,AW12&lt;&gt;"",AP12=""),AND(BV12&gt;=CC$21,BV12&lt;&gt;"",BT12=""),AND(BX12&gt;=CC$21,BX12&lt;&gt;"",BT12=""),AND(CA12&gt;=CC$21,CA12&lt;&gt;"",BT12=""),AND(CZ12&gt;=DG$21,CZ12&lt;&gt;"",CX12=""),AND(DB12&gt;=DG$21,DB12&lt;&gt;"",CX12=""),AND(DE12&gt;=DG$21,DE12&lt;&gt;"",CX12=""),AND(EA12&gt;=EG$21,EA12&lt;&gt;""),AND(EE12&gt;=EG$21,EE12&lt;&gt;""),AND(EW12&gt;=FC$21,EW12&lt;&gt;""),AND(FA12&gt;=FC$21,FA12&lt;&gt;""),AND(FS12&gt;=FY$21,FS12&lt;&gt;""),AND(FW12&gt;=FY$21,FW12&lt;&gt;""),AND(GO12&gt;=GU$21,GO12&lt;&gt;""),AND(GS12&gt;=GU$21,GS12&lt;&gt;""),AND(HK12&gt;=HQ$21,HK12&lt;&gt;""),AND(HO12&gt;=HQ$21,HO12&lt;&gt;""),AND(IG12&gt;=IM$21,IG12&lt;&gt;""),AND(IK12&gt;=IM$21,IK12&lt;&gt;""),AND(JC12&gt;=JI$21,JC12&lt;&gt;""),AND(JG12&gt;=JI$21,JG12&lt;&gt;""),AND(JY12&gt;=KE$21,JY12&lt;&gt;""),AND(KC12&gt;=KE$21,KC12&lt;&gt;""),AND(KU12&gt;=LA$21,KU12&lt;&gt;""),AND(KY12&gt;=LA$21,KY12&lt;&gt;""),AND(LQ12&gt;=LW$21,LQ12&lt;&gt;""),AND(LU12&gt;=LW$21,LU12&lt;&gt;""),AND(MM12&gt;=MS$21,MM12&lt;&gt;""),AND(MQ12&gt;=MS$21,MQ12&lt;&gt;""),AND(NI12&gt;=NO$21,NI12&lt;&gt;""),AND(NM12&gt;=NO$21,NM12&lt;&gt;"")),"Worlds Team",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National Team",""))))</f>
        <v>Merit</v>
      </c>
      <c r="H12" s="125" t="str">
        <f>IF(OR(AND(AS12&gt;=AY$27,AS12&lt;&gt;"",AP12=""),AND(AU12&gt;=AY$27,AU12&lt;&gt;"",AP12=""),AND(AX12&gt;=AY$27,AX12&lt;&gt;"",AP12=""),AND(BW12&gt;=CC$27,BW12&lt;&gt;"",BT12=""),AND(BY12&gt;=CC$27,BY12&lt;&gt;"",BT12=""),AND(CB12&gt;=CC$27,CB12&lt;&gt;"",BT12=""),AND(DA12&gt;=DG$27,DA12&lt;&gt;"",CX12=""),AND(DC12&gt;=DG$27,DC12&lt;&gt;"",CX12=""),AND(DF12&gt;=DG$27,DF12&lt;&gt;"",CX12=""),AND(EC12&gt;=EG$27,EC12&lt;&gt;""),AND(EF12&gt;=EG$27,EF12&lt;&gt;""),AND(EY12&gt;=FC$27,EY12&lt;&gt;""),AND(FB12&gt;=FC$27,FB12&lt;&gt;""),AND(FU12&gt;=FY$27,FU12&lt;&gt;""),AND(FX12&gt;=FY$27,FX12&lt;&gt;""),AND(GQ12&gt;=GU$27,GQ12&lt;&gt;""),AND(GT12&gt;=GU$27,GT12&lt;&gt;""),AND(HM12&gt;=HQ$27,HM12&lt;&gt;""),AND(HP12&gt;=HQ$27,HP12&lt;&gt;""),AND(II12&gt;=IM$27,II12&lt;&gt;""),AND(IL12&gt;=IM$27,IL12&lt;&gt;""),AND(JE12&gt;=JI$27,JE12&lt;&gt;""),AND(JH12&gt;=JI$27,JH12&lt;&gt;""),AND(KA12&gt;=KE$27,KA12&lt;&gt;""),AND(KD12&gt;=KE$27,KD12&lt;&gt;""),AND(KW12&gt;=LA$27,KW12&lt;&gt;""),AND(KZ12&gt;=LA$27,KZ12&lt;&gt;""),AND(LS12&gt;=LW$27,LS12&lt;&gt;""),AND(LV12&gt;=LW$27,LV12&lt;&gt;""),AND(MO12&gt;=MS$27,MO12&lt;&gt;""),AND(MR12&gt;=MS$27,MR12&lt;&gt;""),AND(NK12&gt;=NO$27,NK12&lt;&gt;""),AND(NN12&gt;=NO$27,NN12&lt;&gt;"")),"Merit",IF(OR(AND(AS12&gt;=AY$26,AS12&lt;&gt;"",AP12=""),AND(AU12&gt;=AY$26,AU12&lt;&gt;"",AP12=""),AND(AX12&gt;=AY$26,AX12&lt;&gt;"",AP12=""),AND(BW12&gt;=CC$26,BW12&lt;&gt;"",BT12=""),AND(BY12&gt;=CC$26,BY12&lt;&gt;"",BT12=""),AND(CB12&gt;=CC$26,CB12&lt;&gt;"",BT12=""),AND(DA12&gt;=DG$26,DA12&lt;&gt;"",CX12=""),AND(DC12&gt;=DG$26,DC12&lt;&gt;"",CX12=""),AND(DF12&gt;=DG$26,DF12&lt;&gt;"",CX12=""),AND(EC12&gt;=EG$26,EC12&lt;&gt;""),AND(EF12&gt;=EG$26,EF12&lt;&gt;""),AND(EY12&gt;=FC$26,EY12&lt;&gt;""),AND(FB12&gt;=FC$26,FB12&lt;&gt;""),AND(FU12&gt;=FY$26,FU12&lt;&gt;""),AND(FX12&gt;=FY$26,FX12&lt;&gt;""),AND(GQ12&gt;=GU$26,GQ12&lt;&gt;""),AND(GT12&gt;=GU$26,GT12&lt;&gt;""),AND(HM12&gt;=HQ$26,HM12&lt;&gt;""),AND(HP12&gt;=HQ$26,HP12&lt;&gt;""),AND(II12&gt;=IM$26,II12&lt;&gt;""),AND(IL12&gt;=IM$26,IL12&lt;&gt;""),AND(JE12&gt;=JI$26,JE12&lt;&gt;""),AND(JH12&gt;=JI$26,JH12&lt;&gt;""),AND(KA12&gt;=KE$26,KA12&lt;&gt;""),AND(KD12&gt;=KE$26,KD12&lt;&gt;""),AND(KW12&gt;=LA$26,KW12&lt;&gt;""),AND(KZ12&gt;=LA$26,KZ12&lt;&gt;""),AND(LS12&gt;=LW$26,LS12&lt;&gt;""),AND(LV12&gt;=LW$26,LV12&lt;&gt;""),AND(MO12&gt;=MS$26,MO12&lt;&gt;""),AND(MR12&gt;=MS$26,MR12&lt;&gt;""),AND(NK12&gt;=NO$26,NK12&lt;&gt;""),AND(NN12&gt;=NO$26,NN12&lt;&gt;"")),"Excellence",IF(OR(AND(AV12&gt;=AY$25,AV12&lt;&gt;"",AP12=""),AND(BZ12&gt;=CC$25,BZ12&lt;&gt;"",BT12=""),AND(DD12&gt;=DG$25,DD12&lt;&gt;"",CX12=""),AND(ED12&gt;=EG$25,ED12&lt;&gt;""),AND(EZ12&gt;=FC$25,EZ12&lt;&gt;""),AND(FV12&gt;=FY$25,FV12&lt;&gt;""),AND(GR12&gt;=GU$25,GR12&lt;&gt;""),AND(HN12&gt;=HQ$25,HN12&lt;&gt;""),AND(IJ12&gt;=IM$25,IJ12&lt;&gt;""),AND(JF12&gt;=JI$25,JF12&lt;&gt;""),AND(KB12&gt;=KE$25,KB12&lt;&gt;""),AND(KX12&gt;=LA$25,KX12&lt;&gt;""),AND(LT12&gt;=LW$25,LT12&lt;&gt;""),AND(MP12&gt;=MS$25,MP12&lt;&gt;""),AND(NL12&gt;=NO$25,NL12&lt;&gt;"")),"Worlds Team",IF(OR(AND(AV12&gt;=AY$24,AV12&lt;&gt;"",AP12=""),AND(BZ12&gt;=CC$24,BZ12&lt;&gt;"",BT12=""),AND(DD12&gt;=DG$24,DD12&lt;&gt;"",CX12=""),AND(ED12&gt;=EG$24,ED12&lt;&gt;""),AND(EZ12&gt;=FC$24,EZ12&lt;&gt;""),AND(FV12&gt;=FY$24,FV12&lt;&gt;""),AND(GR12&gt;=GU$24,GR12&lt;&gt;""),AND(HN12&gt;=HQ$24,HN12&lt;&gt;""),AND(IJ12&gt;=IM$24,IJ12&lt;&gt;""),AND(JF12&gt;=JI$24,JF12&lt;&gt;""),AND(KB12&gt;=KE$24,KB12&lt;&gt;""),AND(KX12&gt;=LA$24,KX12&lt;&gt;""),AND(LT12&gt;=LW$24,LT12&lt;&gt;""),AND(MP12&gt;=MS$24,MP12&lt;&gt;""),AND(NL12&gt;=NO$24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$25,AV12&lt;&gt;"",AP12=""),AND(BZ12&gt;=CC$25,BZ12&lt;&gt;"",BT12=""),AND(DD12&gt;=DG$25,DD12&lt;&gt;"",CX12=""),AND(ED12&gt;=EG$25,ED12&lt;&gt;""),AND(EZ12&gt;=FC$25,EZ12&lt;&gt;""),AND(FV12&gt;=FY$25,FV12&lt;&gt;""),AND(GR12&gt;=GU$25,GR12&lt;&gt;""),AND(HN12&gt;=HQ$25,HN12&lt;&gt;""),AND(IJ12&gt;=IM$25,IJ12&lt;&gt;""),AND(JF12&gt;=JI$25,JF12&lt;&gt;""),AND(KB12&gt;=KE$25,KB12&lt;&gt;""),AND(KX12&gt;=LA$25,KX12&lt;&gt;""),AND(LT12&gt;=LW$25,LT12&lt;&gt;""),AND(MP12&gt;=MS$25,MP12&lt;&gt;""),AND(NL12&gt;=NO$25,NL12&lt;&gt;"")),OR(G12="Worlds Team",G12="Excellence",G12="Merit")),"P","")</f>
        <v/>
      </c>
      <c r="K12" s="14">
        <f>IF(MAX(AV12,BZ12,DD12)&gt;0,MAX(AV12,BZ12,DD12),0)</f>
        <v>93.775000000000006</v>
      </c>
      <c r="L12" s="14" t="str">
        <f>IF(K12=0,"",IF(K12=DD12,$CD$1,IF(K12=BZ12,$AZ$1,IF(K12=AV12,$V$1,""))))</f>
        <v>2019 Nationals</v>
      </c>
      <c r="M12" s="14">
        <f>IF($K12=$AV12,MAX(BU12,CY12),IF($K12=$BZ12,MAX(AQ12,CY12),IF($K12=$DD12,MAX(AQ12,BU12),MAX(AQ12,BU12,CY12))))</f>
        <v>45.625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48.559999999999995</v>
      </c>
      <c r="P12" s="14" t="str">
        <f>IF(O12=0,"",IF(OR(O12=DC12,O12=DA12),$CD$1,IF(OR(O12=BY12,O12=BW12),$AZ$1,IF(OR(O12=AU12,O12=AS12),$V$1,""))))</f>
        <v>2021 1st Virtual Technical Trial</v>
      </c>
      <c r="Q12" s="14">
        <f>MAX(AX12,CB12,DF12)</f>
        <v>42.674999999999997</v>
      </c>
      <c r="R12" s="14" t="str">
        <f>IF(Q12=0,"",IF(Q12=DF12,$CD$1,IF(Q12=CB12,$AZ$1,IF(Q12=AX12,$V$1,""))))</f>
        <v>2021 1st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17.2</v>
      </c>
      <c r="W12" s="69">
        <v>9.6</v>
      </c>
      <c r="X12" s="69">
        <v>3.5</v>
      </c>
      <c r="Y12" s="69">
        <v>15.015000000000001</v>
      </c>
      <c r="Z12" s="69">
        <v>0</v>
      </c>
      <c r="AA12" s="69">
        <v>13.2</v>
      </c>
      <c r="AB12" s="69">
        <v>8.3000000000000007</v>
      </c>
      <c r="AC12" s="69">
        <v>13.1</v>
      </c>
      <c r="AD12" s="69">
        <v>14.06</v>
      </c>
      <c r="AE12" s="69">
        <v>0.2</v>
      </c>
      <c r="AF12" s="69"/>
      <c r="AG12" s="69"/>
      <c r="AH12" s="69"/>
      <c r="AI12" s="69"/>
      <c r="AJ12" s="69"/>
      <c r="AK12" s="69">
        <v>2.44</v>
      </c>
      <c r="AL12" s="69">
        <v>1.6</v>
      </c>
      <c r="AM12" s="69">
        <v>3.1</v>
      </c>
      <c r="AN12" s="69">
        <v>2.9449999999999998</v>
      </c>
      <c r="AO12" s="69">
        <v>0</v>
      </c>
      <c r="AP12" s="80"/>
      <c r="AQ12" s="11">
        <f>IF(SUM(V12:Y12)-Z12&gt;0,SUM(V12:Y12)-Z12,"")</f>
        <v>45.314999999999998</v>
      </c>
      <c r="AR12" s="11">
        <f>IF(AC12&gt;0,AC12,"")</f>
        <v>13.1</v>
      </c>
      <c r="AS12" s="11">
        <f>IF(SUM(AA12:AD12)-AE12&gt;0,SUM(AA12:AD12)-AE12,"")</f>
        <v>48.46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93.775000000000006</v>
      </c>
      <c r="AW12" s="11">
        <f>IF(AM12&gt;0,AM12,"")</f>
        <v>3.1</v>
      </c>
      <c r="AX12" s="11">
        <f>IF(SUM(AK12:AN12)-AO12&gt;0,SUM(AK12:AN12)-AO12,"")</f>
        <v>10.085000000000001</v>
      </c>
      <c r="AY12" s="11">
        <f>IF(SUM(AV12,AX12)&gt;0,SUM(AV12,AX12),"")</f>
        <v>103.86000000000001</v>
      </c>
      <c r="AZ12" s="75">
        <v>16.100000000000001</v>
      </c>
      <c r="BA12" s="75">
        <v>9.4</v>
      </c>
      <c r="BB12" s="75">
        <v>3.4</v>
      </c>
      <c r="BC12" s="75">
        <v>15.005000000000001</v>
      </c>
      <c r="BD12" s="75">
        <v>0</v>
      </c>
      <c r="BE12" s="75">
        <v>13.9</v>
      </c>
      <c r="BF12" s="75">
        <v>8.9499999999999993</v>
      </c>
      <c r="BG12" s="75">
        <v>11.2</v>
      </c>
      <c r="BH12" s="75">
        <v>14.51</v>
      </c>
      <c r="BI12" s="75">
        <v>0</v>
      </c>
      <c r="BJ12" s="75">
        <v>12.8</v>
      </c>
      <c r="BK12" s="75">
        <v>8.6999999999999993</v>
      </c>
      <c r="BL12" s="75">
        <v>12</v>
      </c>
      <c r="BM12" s="75">
        <v>14.39</v>
      </c>
      <c r="BN12" s="75">
        <v>0</v>
      </c>
      <c r="BO12" s="75">
        <v>10.6</v>
      </c>
      <c r="BP12" s="75">
        <v>8.5500000000000007</v>
      </c>
      <c r="BQ12" s="75">
        <v>11</v>
      </c>
      <c r="BR12" s="75">
        <v>12.725</v>
      </c>
      <c r="BS12" s="75">
        <v>0.2</v>
      </c>
      <c r="BT12" s="81"/>
      <c r="BU12" s="14">
        <f>IF(SUM(AZ12:BC12)-BD12&gt;0,SUM(AZ12:BC12)-BD12,"")</f>
        <v>43.905000000000001</v>
      </c>
      <c r="BV12" s="14">
        <f>IF(BG12&gt;0,BG12,"")</f>
        <v>11.2</v>
      </c>
      <c r="BW12" s="14">
        <f>IF(SUM(BE12:BH12)-BI12&gt;0,SUM(BE12:BH12)-BI12,"")</f>
        <v>48.559999999999995</v>
      </c>
      <c r="BX12" s="14">
        <f>IF(BL12&gt;0,BL12,"")</f>
        <v>12</v>
      </c>
      <c r="BY12" s="14">
        <f>IF(SUM(BJ12:BM12)-BN12&gt;0,SUM(BJ12:BM12)-BN12,"")</f>
        <v>47.89</v>
      </c>
      <c r="BZ12" s="14">
        <f>IF(BU12="",IF(MAX(BW12,BY12)&gt;0,MAX(BW12,BY12),""),MAX(BW12,BY12)+BU12)</f>
        <v>92.465000000000003</v>
      </c>
      <c r="CA12" s="14">
        <f>IF(BQ12&gt;0,BQ12,"")</f>
        <v>11</v>
      </c>
      <c r="CB12" s="14">
        <f>IF(SUM(BO12:BR12)-BS12&gt;0,SUM(BO12:BR12)-BS12,"")</f>
        <v>42.674999999999997</v>
      </c>
      <c r="CC12" s="14">
        <f>IF(SUM(BZ12,CB12)&gt;0,SUM(BZ12,CB12),"")</f>
        <v>135.13999999999999</v>
      </c>
      <c r="CD12" s="69">
        <v>17.2</v>
      </c>
      <c r="CE12" s="69">
        <v>9.1999999999999993</v>
      </c>
      <c r="CF12" s="69">
        <v>3.9</v>
      </c>
      <c r="CG12" s="69">
        <v>15.324999999999999</v>
      </c>
      <c r="CH12" s="69">
        <v>0</v>
      </c>
      <c r="CI12" s="69">
        <v>2.5</v>
      </c>
      <c r="CJ12" s="69">
        <v>1.9</v>
      </c>
      <c r="CK12" s="69">
        <v>3.1</v>
      </c>
      <c r="CL12" s="69">
        <v>3.18</v>
      </c>
      <c r="CM12" s="69">
        <v>0</v>
      </c>
      <c r="CN12" s="69">
        <v>9</v>
      </c>
      <c r="CO12" s="69">
        <v>6.4</v>
      </c>
      <c r="CP12" s="69">
        <v>8.3000000000000007</v>
      </c>
      <c r="CQ12" s="69">
        <v>10.46</v>
      </c>
      <c r="CR12" s="69">
        <v>0</v>
      </c>
      <c r="CS12" s="69">
        <v>5.8</v>
      </c>
      <c r="CT12" s="69">
        <v>4.4000000000000004</v>
      </c>
      <c r="CU12" s="69">
        <v>6.7</v>
      </c>
      <c r="CV12" s="69">
        <v>7.2249999999999996</v>
      </c>
      <c r="CW12" s="69">
        <v>0</v>
      </c>
      <c r="CX12" s="80"/>
      <c r="CY12" s="11">
        <f>IF(SUM(CD12:CG12)-CH12&gt;0,SUM(CD12:CG12)-CH12,"")</f>
        <v>45.625</v>
      </c>
      <c r="CZ12" s="11">
        <f>IF(CK12&gt;0,CK12,"")</f>
        <v>3.1</v>
      </c>
      <c r="DA12" s="11">
        <f>IF(SUM(CI12:CL12)-CM12&gt;0,SUM(CI12:CL12)-CM12,"")</f>
        <v>10.68</v>
      </c>
      <c r="DB12" s="11">
        <f>IF(CP12&gt;0,CP12,"")</f>
        <v>8.3000000000000007</v>
      </c>
      <c r="DC12" s="11">
        <f>IF(SUM(CN12:CQ12)-CR12&gt;0,SUM(CN12:CQ12)-CR12,"")</f>
        <v>34.160000000000004</v>
      </c>
      <c r="DD12" s="11">
        <f>IF(CY12="",IF(MAX(DA12,DC12)&gt;0,MAX(DA12,DC12),""),MAX(DA12,DC12)+CY12)</f>
        <v>79.784999999999997</v>
      </c>
      <c r="DE12" s="11">
        <f>IF(CU12&gt;0,CU12,"")</f>
        <v>6.7</v>
      </c>
      <c r="DF12" s="11">
        <f>IF(SUM(CS12:CV12)-CW12&gt;0,SUM(CS12:CV12)-CW12,"")</f>
        <v>24.125</v>
      </c>
      <c r="DG12" s="11">
        <f>IF(SUM(DD12,DF12)&gt;0,SUM(DD12,DF12),"")</f>
        <v>103.91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16.649999999999999</v>
      </c>
      <c r="NQ12" s="69">
        <f>IF($CX12="P",CE12,(CE12+BA12)/2)</f>
        <v>9.3000000000000007</v>
      </c>
      <c r="NR12" s="69">
        <f>IF($CX12="P",CF12,(CF12+BB12)/2)</f>
        <v>3.65</v>
      </c>
      <c r="NS12" s="69">
        <f>IF($CX12="P",CG12,(CG12+BC12)/2)</f>
        <v>15.164999999999999</v>
      </c>
      <c r="NT12" s="69">
        <f>IF($CX12="P",CH12,(CH12+BD12)/2)</f>
        <v>0</v>
      </c>
      <c r="NU12" s="69">
        <f>IF($CX12="P",CI12,(CI12+BE12)/2)</f>
        <v>8.1999999999999993</v>
      </c>
      <c r="NV12" s="69">
        <f>IF($CX12="P",CJ12,(CJ12+BF12)/2)</f>
        <v>5.4249999999999998</v>
      </c>
      <c r="NW12" s="69">
        <f>IF($CX12="P",CK12,(CK12+BG12)/2)</f>
        <v>7.1499999999999995</v>
      </c>
      <c r="NX12" s="69">
        <f>IF($CX12="P",CL12,(CL12+BH12)/2)</f>
        <v>8.8450000000000006</v>
      </c>
      <c r="NY12" s="69">
        <f>IF($CX12="P",CM12,(CM12+BI12)/2)</f>
        <v>0</v>
      </c>
      <c r="NZ12" s="69">
        <f>IF($CX12="P",CN12,(CN12+BJ12)/2)</f>
        <v>10.9</v>
      </c>
      <c r="OA12" s="69">
        <f>IF($CX12="P",CO12,(CO12+BK12)/2)</f>
        <v>7.55</v>
      </c>
      <c r="OB12" s="69">
        <f>IF($CX12="P",CP12,(CP12+BL12)/2)</f>
        <v>10.15</v>
      </c>
      <c r="OC12" s="69">
        <f>IF($CX12="P",CQ12,(CQ12+BM12)/2)</f>
        <v>12.425000000000001</v>
      </c>
      <c r="OD12" s="69">
        <f>IF($CX12="P",CR12,(CR12+BN12)/2)</f>
        <v>0</v>
      </c>
      <c r="OE12" s="69">
        <f>IF($CX12="P",CS12,(CS12+BO12)/2)</f>
        <v>8.1999999999999993</v>
      </c>
      <c r="OF12" s="69">
        <f>IF($CX12="P",CT12,(CT12+BP12)/2)</f>
        <v>6.4750000000000005</v>
      </c>
      <c r="OG12" s="69">
        <f>IF($CX12="P",CU12,(CU12+BQ12)/2)</f>
        <v>8.85</v>
      </c>
      <c r="OH12" s="69">
        <f>IF($CX12="P",CV12,(CV12+BR12)/2)</f>
        <v>9.9749999999999996</v>
      </c>
      <c r="OI12" s="69">
        <f>IF($CX12="P",CW12,(CW12+BS12)/2)</f>
        <v>0.1</v>
      </c>
      <c r="OJ12" s="80" t="s">
        <v>88</v>
      </c>
      <c r="OK12" s="11">
        <f>IF(SUM(NP12:NS12)-NT12&gt;0,SUM(NP12:NS12)-NT12,"")</f>
        <v>44.765000000000001</v>
      </c>
      <c r="OL12" s="11">
        <f>IF(NW12&gt;0,NW12,"")</f>
        <v>7.1499999999999995</v>
      </c>
      <c r="OM12" s="11">
        <f>IF(SUM(NU12:NX12)-NY12&gt;0,SUM(NU12:NX12)-NY12,"")</f>
        <v>29.619999999999997</v>
      </c>
      <c r="ON12" s="11">
        <f>IF(OB12&gt;0,OB12,"")</f>
        <v>10.15</v>
      </c>
      <c r="OO12" s="11">
        <f>IF(SUM(NZ12:OC12)-OD12&gt;0,SUM(NZ12:OC12)-OD12,"")</f>
        <v>41.025000000000006</v>
      </c>
      <c r="OP12" s="11">
        <f>IF(OR(OK12&lt;&gt;"",OM12&lt;&gt;"",OO12&lt;&gt;""),OK12+MAX(OM12,OO12),"")</f>
        <v>85.79</v>
      </c>
      <c r="OQ12" s="11">
        <f>IF(OG12&gt;0,OG12,"")</f>
        <v>8.85</v>
      </c>
      <c r="OR12" s="11">
        <f t="shared" si="0"/>
        <v>33.4</v>
      </c>
      <c r="OS12" s="11">
        <f t="shared" si="1"/>
        <v>119.19</v>
      </c>
    </row>
    <row r="13" spans="1:409" x14ac:dyDescent="0.2">
      <c r="A13" s="5" cm="1">
        <f t="array" ref="A13">IF(AND(G13&lt;&gt;"",H13&lt;&gt;""),SUMPRODUCT((G$4:G$18&lt;&gt;"")*(H$4:H$18&lt;&gt;"")*(E$4:E$18&gt;E13))+1,IF(H13&lt;&gt;"",SUMPRODUCT((I$4:I$18="No DD")*(E$4:E$18&gt;E13))+1+SUMPRODUCT((G$4:G$18&lt;&gt;"")*(H$4:H$18&lt;&gt;"")),""))</f>
        <v>8</v>
      </c>
      <c r="B13" s="127" t="s">
        <v>79</v>
      </c>
      <c r="C13" s="5" t="s">
        <v>3</v>
      </c>
      <c r="D13" s="5">
        <v>1998</v>
      </c>
      <c r="E13" s="15">
        <f>SUM(K13:S13)</f>
        <v>151.07499999999999</v>
      </c>
      <c r="F13" s="3" t="str">
        <f>IF(G13&lt;&gt;"","P","")</f>
        <v>P</v>
      </c>
      <c r="G13" s="125" t="str">
        <f>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Merit",IF(OR(AND(AR13&gt;=AY$22,AR13&lt;&gt;"",AP13=""),AND(AT13&gt;=AY$22,AT13&lt;&gt;"",AP13=""),AND(AW13&gt;=AY$22,AW13&lt;&gt;"",AP13=""),AND(BV13&gt;=CC$22,BV13&lt;&gt;"",BT13=""),AND(BX13&gt;=CC$22,BX13&lt;&gt;"",BT13=""),AND(CA13&gt;=CC$22,CA13&lt;&gt;"",BT13=""),AND(CZ13&gt;=DG$22,CZ13&lt;&gt;"",CX13=""),AND(DB13&gt;=DG$22,DB13&lt;&gt;"",CX13=""),AND(DE13&gt;=DG$22,DE13&lt;&gt;"",CX13=""),AND(EA13&gt;=EG$22,EA13&lt;&gt;""),AND(EE13&gt;=EG$22,EE13&lt;&gt;""),AND(EW13&gt;=FC$22,EW13&lt;&gt;""),AND(FA13&gt;=FC$22,FA13&lt;&gt;""),AND(FS13&gt;=FY$22,FS13&lt;&gt;""),AND(FW13&gt;=FY$22,FW13&lt;&gt;""),AND(GO13&gt;=GU$22,GO13&lt;&gt;""),AND(GS13&gt;=GU$22,GS13&lt;&gt;""),AND(HK13&gt;=HQ$22,HK13&lt;&gt;""),AND(HO13&gt;=HQ$22,HO13&lt;&gt;""),AND(IG13&gt;=IM$22,IG13&lt;&gt;""),AND(IK13&gt;=IM$22,IK13&lt;&gt;""),AND(JC13&gt;=JI$22,JC13&lt;&gt;""),AND(JG13&gt;=JI$22,JG13&lt;&gt;""),AND(JY13&gt;=KE$22,JY13&lt;&gt;""),AND(KC13&gt;=KE$22,KC13&lt;&gt;""),AND(KU13&gt;=LA$22,KU13&lt;&gt;""),AND(KY13&gt;=LA$22,KY13&lt;&gt;""),AND(LQ13&gt;=LW$22,LQ13&lt;&gt;""),AND(LU13&gt;=LW$22,LU13&lt;&gt;""),AND(MM13&gt;=MS$22,MM13&lt;&gt;""),AND(MQ13&gt;=MS$22,MQ13&lt;&gt;""),AND(NI13&gt;=NO$22,NI13&lt;&gt;""),AND(NM13&gt;=NO$22,NM13&lt;&gt;"")),"Excellence",IF(OR(AND(AR13&gt;=AY$21,AR13&lt;&gt;"",AP13=""),AND(AT13&gt;=AY$21,AT13&lt;&gt;"",AP13=""),AND(AW13&gt;=AY$21,AW13&lt;&gt;"",AP13=""),AND(BV13&gt;=CC$21,BV13&lt;&gt;"",BT13=""),AND(BX13&gt;=CC$21,BX13&lt;&gt;"",BT13=""),AND(CA13&gt;=CC$21,CA13&lt;&gt;"",BT13=""),AND(CZ13&gt;=DG$21,CZ13&lt;&gt;"",CX13=""),AND(DB13&gt;=DG$21,DB13&lt;&gt;"",CX13=""),AND(DE13&gt;=DG$21,DE13&lt;&gt;"",CX13=""),AND(EA13&gt;=EG$21,EA13&lt;&gt;""),AND(EE13&gt;=EG$21,EE13&lt;&gt;""),AND(EW13&gt;=FC$21,EW13&lt;&gt;""),AND(FA13&gt;=FC$21,FA13&lt;&gt;""),AND(FS13&gt;=FY$21,FS13&lt;&gt;""),AND(FW13&gt;=FY$21,FW13&lt;&gt;""),AND(GO13&gt;=GU$21,GO13&lt;&gt;""),AND(GS13&gt;=GU$21,GS13&lt;&gt;""),AND(HK13&gt;=HQ$21,HK13&lt;&gt;""),AND(HO13&gt;=HQ$21,HO13&lt;&gt;""),AND(IG13&gt;=IM$21,IG13&lt;&gt;""),AND(IK13&gt;=IM$21,IK13&lt;&gt;""),AND(JC13&gt;=JI$21,JC13&lt;&gt;""),AND(JG13&gt;=JI$21,JG13&lt;&gt;""),AND(JY13&gt;=KE$21,JY13&lt;&gt;""),AND(KC13&gt;=KE$21,KC13&lt;&gt;""),AND(KU13&gt;=LA$21,KU13&lt;&gt;""),AND(KY13&gt;=LA$21,KY13&lt;&gt;""),AND(LQ13&gt;=LW$21,LQ13&lt;&gt;""),AND(LU13&gt;=LW$21,LU13&lt;&gt;""),AND(MM13&gt;=MS$21,MM13&lt;&gt;""),AND(MQ13&gt;=MS$21,MQ13&lt;&gt;""),AND(NI13&gt;=NO$21,NI13&lt;&gt;""),AND(NM13&gt;=NO$21,NM13&lt;&gt;"")),"Worlds Team",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National Team",""))))</f>
        <v>National Team</v>
      </c>
      <c r="H13" s="125" t="str">
        <f>IF(OR(AND(AS13&gt;=AY$27,AS13&lt;&gt;"",AP13=""),AND(AU13&gt;=AY$27,AU13&lt;&gt;"",AP13=""),AND(AX13&gt;=AY$27,AX13&lt;&gt;"",AP13=""),AND(BW13&gt;=CC$27,BW13&lt;&gt;"",BT13=""),AND(BY13&gt;=CC$27,BY13&lt;&gt;"",BT13=""),AND(CB13&gt;=CC$27,CB13&lt;&gt;"",BT13=""),AND(DA13&gt;=DG$27,DA13&lt;&gt;"",CX13=""),AND(DC13&gt;=DG$27,DC13&lt;&gt;"",CX13=""),AND(DF13&gt;=DG$27,DF13&lt;&gt;"",CX13=""),AND(EC13&gt;=EG$27,EC13&lt;&gt;""),AND(EF13&gt;=EG$27,EF13&lt;&gt;""),AND(EY13&gt;=FC$27,EY13&lt;&gt;""),AND(FB13&gt;=FC$27,FB13&lt;&gt;""),AND(FU13&gt;=FY$27,FU13&lt;&gt;""),AND(FX13&gt;=FY$27,FX13&lt;&gt;""),AND(GQ13&gt;=GU$27,GQ13&lt;&gt;""),AND(GT13&gt;=GU$27,GT13&lt;&gt;""),AND(HM13&gt;=HQ$27,HM13&lt;&gt;""),AND(HP13&gt;=HQ$27,HP13&lt;&gt;""),AND(II13&gt;=IM$27,II13&lt;&gt;""),AND(IL13&gt;=IM$27,IL13&lt;&gt;""),AND(JE13&gt;=JI$27,JE13&lt;&gt;""),AND(JH13&gt;=JI$27,JH13&lt;&gt;""),AND(KA13&gt;=KE$27,KA13&lt;&gt;""),AND(KD13&gt;=KE$27,KD13&lt;&gt;""),AND(KW13&gt;=LA$27,KW13&lt;&gt;""),AND(KZ13&gt;=LA$27,KZ13&lt;&gt;""),AND(LS13&gt;=LW$27,LS13&lt;&gt;""),AND(LV13&gt;=LW$27,LV13&lt;&gt;""),AND(MO13&gt;=MS$27,MO13&lt;&gt;""),AND(MR13&gt;=MS$27,MR13&lt;&gt;""),AND(NK13&gt;=NO$27,NK13&lt;&gt;""),AND(NN13&gt;=NO$27,NN13&lt;&gt;"")),"Merit",IF(OR(AND(AS13&gt;=AY$26,AS13&lt;&gt;"",AP13=""),AND(AU13&gt;=AY$26,AU13&lt;&gt;"",AP13=""),AND(AX13&gt;=AY$26,AX13&lt;&gt;"",AP13=""),AND(BW13&gt;=CC$26,BW13&lt;&gt;"",BT13=""),AND(BY13&gt;=CC$26,BY13&lt;&gt;"",BT13=""),AND(CB13&gt;=CC$26,CB13&lt;&gt;"",BT13=""),AND(DA13&gt;=DG$26,DA13&lt;&gt;"",CX13=""),AND(DC13&gt;=DG$26,DC13&lt;&gt;"",CX13=""),AND(DF13&gt;=DG$26,DF13&lt;&gt;"",CX13=""),AND(EC13&gt;=EG$26,EC13&lt;&gt;""),AND(EF13&gt;=EG$26,EF13&lt;&gt;""),AND(EY13&gt;=FC$26,EY13&lt;&gt;""),AND(FB13&gt;=FC$26,FB13&lt;&gt;""),AND(FU13&gt;=FY$26,FU13&lt;&gt;""),AND(FX13&gt;=FY$26,FX13&lt;&gt;""),AND(GQ13&gt;=GU$26,GQ13&lt;&gt;""),AND(GT13&gt;=GU$26,GT13&lt;&gt;""),AND(HM13&gt;=HQ$26,HM13&lt;&gt;""),AND(HP13&gt;=HQ$26,HP13&lt;&gt;""),AND(II13&gt;=IM$26,II13&lt;&gt;""),AND(IL13&gt;=IM$26,IL13&lt;&gt;""),AND(JE13&gt;=JI$26,JE13&lt;&gt;""),AND(JH13&gt;=JI$26,JH13&lt;&gt;""),AND(KA13&gt;=KE$26,KA13&lt;&gt;""),AND(KD13&gt;=KE$26,KD13&lt;&gt;""),AND(KW13&gt;=LA$26,KW13&lt;&gt;""),AND(KZ13&gt;=LA$26,KZ13&lt;&gt;""),AND(LS13&gt;=LW$26,LS13&lt;&gt;""),AND(LV13&gt;=LW$26,LV13&lt;&gt;""),AND(MO13&gt;=MS$26,MO13&lt;&gt;""),AND(MR13&gt;=MS$26,MR13&lt;&gt;""),AND(NK13&gt;=NO$26,NK13&lt;&gt;""),AND(NN13&gt;=NO$26,NN13&lt;&gt;"")),"Excellence",IF(OR(AND(AV13&gt;=AY$25,AV13&lt;&gt;"",AP13=""),AND(BZ13&gt;=CC$25,BZ13&lt;&gt;"",BT13=""),AND(DD13&gt;=DG$25,DD13&lt;&gt;"",CX13=""),AND(ED13&gt;=EG$25,ED13&lt;&gt;""),AND(EZ13&gt;=FC$25,EZ13&lt;&gt;""),AND(FV13&gt;=FY$25,FV13&lt;&gt;""),AND(GR13&gt;=GU$25,GR13&lt;&gt;""),AND(HN13&gt;=HQ$25,HN13&lt;&gt;""),AND(IJ13&gt;=IM$25,IJ13&lt;&gt;""),AND(JF13&gt;=JI$25,JF13&lt;&gt;""),AND(KB13&gt;=KE$25,KB13&lt;&gt;""),AND(KX13&gt;=LA$25,KX13&lt;&gt;""),AND(LT13&gt;=LW$25,LT13&lt;&gt;""),AND(MP13&gt;=MS$25,MP13&lt;&gt;""),AND(NL13&gt;=NO$25,NL13&lt;&gt;"")),"Worlds Team",IF(OR(AND(AV13&gt;=AY$24,AV13&lt;&gt;"",AP13=""),AND(BZ13&gt;=CC$24,BZ13&lt;&gt;"",BT13=""),AND(DD13&gt;=DG$24,DD13&lt;&gt;"",CX13=""),AND(ED13&gt;=EG$24,ED13&lt;&gt;""),AND(EZ13&gt;=FC$24,EZ13&lt;&gt;""),AND(FV13&gt;=FY$24,FV13&lt;&gt;""),AND(GR13&gt;=GU$24,GR13&lt;&gt;""),AND(HN13&gt;=HQ$24,HN13&lt;&gt;""),AND(IJ13&gt;=IM$24,IJ13&lt;&gt;""),AND(JF13&gt;=JI$24,JF13&lt;&gt;""),AND(KB13&gt;=KE$24,KB13&lt;&gt;""),AND(KX13&gt;=LA$24,KX13&lt;&gt;""),AND(LT13&gt;=LW$24,LT13&lt;&gt;""),AND(MP13&gt;=MS$24,MP13&lt;&gt;""),AND(NL13&gt;=NO$24,NL13&lt;&gt;"")),"National Team",""))))</f>
        <v>Worlds Team</v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>National Team</v>
      </c>
      <c r="J13" s="3" t="str">
        <f>IF(AND(OR(AND(AV13&gt;=AY$25,AV13&lt;&gt;"",AP13=""),AND(BZ13&gt;=CC$25,BZ13&lt;&gt;"",BT13=""),AND(DD13&gt;=DG$25,DD13&lt;&gt;"",CX13=""),AND(ED13&gt;=EG$25,ED13&lt;&gt;""),AND(EZ13&gt;=FC$25,EZ13&lt;&gt;""),AND(FV13&gt;=FY$25,FV13&lt;&gt;""),AND(GR13&gt;=GU$25,GR13&lt;&gt;""),AND(HN13&gt;=HQ$25,HN13&lt;&gt;""),AND(IJ13&gt;=IM$25,IJ13&lt;&gt;""),AND(JF13&gt;=JI$25,JF13&lt;&gt;""),AND(KB13&gt;=KE$25,KB13&lt;&gt;""),AND(KX13&gt;=LA$25,KX13&lt;&gt;""),AND(LT13&gt;=LW$25,LT13&lt;&gt;""),AND(MP13&gt;=MS$25,MP13&lt;&gt;""),AND(NL13&gt;=NO$25,NL13&lt;&gt;"")),OR(G13="Worlds Team",G13="Excellence",G13="Merit")),"P","")</f>
        <v/>
      </c>
      <c r="K13" s="14">
        <f>IF(MAX(AV13,BZ13,DD13)&gt;0,MAX(AV13,BZ13,DD13),0)</f>
        <v>99.074999999999989</v>
      </c>
      <c r="L13" s="14" t="str">
        <f>IF(K13=0,"",IF(K13=DD13,$CD$1,IF(K13=BZ13,$AZ$1,IF(K13=AV13,$V$1,""))))</f>
        <v>2019 Nationals</v>
      </c>
      <c r="M13" s="14">
        <f>IF($K13=$AV13,MAX(BU13,CY13),IF($K13=$BZ13,MAX(AQ13,CY13),IF($K13=$DD13,MAX(AQ13,BU13),MAX(AQ13,BU13,CY13))))</f>
        <v>0</v>
      </c>
      <c r="N13" s="14" t="str">
        <f>IF(M13=0,"",IF(AND(M13=CY13,$L13&lt;&gt;$CD$1),$CD$1,IF(AND(M13=BU13,$L13&lt;&gt;$AZ$1),$AZ$1,IF(AND(M13=AQ13,$L13&lt;&gt;$V$1),$V$1,""))))</f>
        <v/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0</v>
      </c>
      <c r="P13" s="14" t="str">
        <f>IF(O13=0,"",IF(OR(O13=DC13,O13=DA13),$CD$1,IF(OR(O13=BY13,O13=BW13),$AZ$1,IF(OR(O13=AU13,O13=AS13),$V$1,""))))</f>
        <v/>
      </c>
      <c r="Q13" s="14">
        <f>MAX(AX13,CB13,DF13)</f>
        <v>52</v>
      </c>
      <c r="R13" s="14" t="str">
        <f>IF(Q13=0,"",IF(Q13=DF13,$CD$1,IF(Q13=CB13,$AZ$1,IF(Q13=AX13,$V$1,""))))</f>
        <v>2019 Nationals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17.600000000000001</v>
      </c>
      <c r="W13" s="69">
        <v>9.1999999999999993</v>
      </c>
      <c r="X13" s="69">
        <v>4.8</v>
      </c>
      <c r="Y13" s="69">
        <v>15.72</v>
      </c>
      <c r="Z13" s="69">
        <v>0.2</v>
      </c>
      <c r="AA13" s="69">
        <v>16.100000000000001</v>
      </c>
      <c r="AB13" s="69">
        <v>9.3000000000000007</v>
      </c>
      <c r="AC13" s="69">
        <v>12.1</v>
      </c>
      <c r="AD13" s="69">
        <v>14.455</v>
      </c>
      <c r="AE13" s="69">
        <v>0</v>
      </c>
      <c r="AF13" s="69"/>
      <c r="AG13" s="69"/>
      <c r="AH13" s="69"/>
      <c r="AI13" s="69"/>
      <c r="AJ13" s="69"/>
      <c r="AK13" s="69">
        <v>15.36</v>
      </c>
      <c r="AL13" s="69">
        <v>9.1999999999999993</v>
      </c>
      <c r="AM13" s="69">
        <v>12.6</v>
      </c>
      <c r="AN13" s="69">
        <v>14.84</v>
      </c>
      <c r="AO13" s="69"/>
      <c r="AP13" s="80"/>
      <c r="AQ13" s="11">
        <f>IF(SUM(V13:Y13)-Z13&gt;0,SUM(V13:Y13)-Z13,"")</f>
        <v>47.12</v>
      </c>
      <c r="AR13" s="11">
        <f>IF(AC13&gt;0,AC13,"")</f>
        <v>12.1</v>
      </c>
      <c r="AS13" s="11">
        <f>IF(SUM(AA13:AD13)-AE13&gt;0,SUM(AA13:AD13)-AE13,"")</f>
        <v>51.954999999999998</v>
      </c>
      <c r="AT13" s="11" t="str">
        <f>IF(AH13&gt;0,AH13,"")</f>
        <v/>
      </c>
      <c r="AU13" s="11" t="str">
        <f>IF(SUM(AF13:AI13)-AJ13&gt;0,SUM(AF13:AI13)-AJ13,"")</f>
        <v/>
      </c>
      <c r="AV13" s="11">
        <f>IF(AQ13="",IF(MAX(AS13,AU13)&gt;0,MAX(AS13,AU13),""),MAX(AS13,AU13)+AQ13)</f>
        <v>99.074999999999989</v>
      </c>
      <c r="AW13" s="11">
        <f>IF(AM13&gt;0,AM13,"")</f>
        <v>12.6</v>
      </c>
      <c r="AX13" s="11">
        <f>IF(SUM(AK13:AN13)-AO13&gt;0,SUM(AK13:AN13)-AO13,"")</f>
        <v>52</v>
      </c>
      <c r="AY13" s="11">
        <f>IF(SUM(AV13,AX13)&gt;0,SUM(AV13,AX13),"")</f>
        <v>151.07499999999999</v>
      </c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81"/>
      <c r="BU13" s="14" t="str">
        <f>IF(SUM(AZ13:BC13)-BD13&gt;0,SUM(AZ13:BC13)-BD13,"")</f>
        <v/>
      </c>
      <c r="BV13" s="14" t="str">
        <f>IF(BG13&gt;0,BG13,"")</f>
        <v/>
      </c>
      <c r="BW13" s="14" t="str">
        <f>IF(SUM(BE13:BH13)-BI13&gt;0,SUM(BE13:BH13)-BI13,"")</f>
        <v/>
      </c>
      <c r="BX13" s="14" t="str">
        <f>IF(BL13&gt;0,BL13,"")</f>
        <v/>
      </c>
      <c r="BY13" s="14" t="str">
        <f>IF(SUM(BJ13:BM13)-BN13&gt;0,SUM(BJ13:BM13)-BN13,"")</f>
        <v/>
      </c>
      <c r="BZ13" s="14" t="str">
        <f>IF(BU13="",IF(MAX(BW13,BY13)&gt;0,MAX(BW13,BY13),""),MAX(BW13,BY13)+BU13)</f>
        <v/>
      </c>
      <c r="CA13" s="14" t="str">
        <f>IF(BQ13&gt;0,BQ13,"")</f>
        <v/>
      </c>
      <c r="CB13" s="14" t="str">
        <f>IF(SUM(BO13:BR13)-BS13&gt;0,SUM(BO13:BR13)-BS13,"")</f>
        <v/>
      </c>
      <c r="CC13" s="14" t="str">
        <f>IF(SUM(BZ13,CB13)&gt;0,SUM(BZ13,CB13),"")</f>
        <v/>
      </c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80"/>
      <c r="CY13" s="11" t="str">
        <f>IF(SUM(CD13:CG13)-CH13&gt;0,SUM(CD13:CG13)-CH13,"")</f>
        <v/>
      </c>
      <c r="CZ13" s="11" t="str">
        <f>IF(CK13&gt;0,CK13,"")</f>
        <v/>
      </c>
      <c r="DA13" s="11" t="str">
        <f>IF(SUM(CI13:CL13)-CM13&gt;0,SUM(CI13:CL13)-CM13,"")</f>
        <v/>
      </c>
      <c r="DB13" s="11" t="str">
        <f>IF(CP13&gt;0,CP13,"")</f>
        <v/>
      </c>
      <c r="DC13" s="11" t="str">
        <f>IF(SUM(CN13:CQ13)-CR13&gt;0,SUM(CN13:CQ13)-CR13,"")</f>
        <v/>
      </c>
      <c r="DD13" s="11" t="str">
        <f>IF(CY13="",IF(MAX(DA13,DC13)&gt;0,MAX(DA13,DC13),""),MAX(DA13,DC13)+CY13)</f>
        <v/>
      </c>
      <c r="DE13" s="11" t="str">
        <f>IF(CU13&gt;0,CU13,"")</f>
        <v/>
      </c>
      <c r="DF13" s="11" t="str">
        <f>IF(SUM(CS13:CV13)-CW13&gt;0,SUM(CS13:CV13)-CW13,"")</f>
        <v/>
      </c>
      <c r="DG13" s="11" t="str">
        <f>IF(SUM(DD13,DF13)&gt;0,SUM(DD13,DF13),"")</f>
        <v/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0</v>
      </c>
      <c r="NQ13" s="69">
        <f>IF($CX13="P",CE13,(CE13+BA13)/2)</f>
        <v>0</v>
      </c>
      <c r="NR13" s="69">
        <f>IF($CX13="P",CF13,(CF13+BB13)/2)</f>
        <v>0</v>
      </c>
      <c r="NS13" s="69">
        <f>IF($CX13="P",CG13,(CG13+BC13)/2)</f>
        <v>0</v>
      </c>
      <c r="NT13" s="69">
        <f>IF($CX13="P",CH13,(CH13+BD13)/2)</f>
        <v>0</v>
      </c>
      <c r="NU13" s="69">
        <f>IF($CX13="P",CI13,(CI13+BE13)/2)</f>
        <v>0</v>
      </c>
      <c r="NV13" s="69">
        <f>IF($CX13="P",CJ13,(CJ13+BF13)/2)</f>
        <v>0</v>
      </c>
      <c r="NW13" s="69">
        <f>IF($CX13="P",CK13,(CK13+BG13)/2)</f>
        <v>0</v>
      </c>
      <c r="NX13" s="69">
        <f>IF($CX13="P",CL13,(CL13+BH13)/2)</f>
        <v>0</v>
      </c>
      <c r="NY13" s="69">
        <f>IF($CX13="P",CM13,(CM13+BI13)/2)</f>
        <v>0</v>
      </c>
      <c r="NZ13" s="69">
        <f>IF($CX13="P",CN13,(CN13+BJ13)/2)</f>
        <v>0</v>
      </c>
      <c r="OA13" s="69">
        <f>IF($CX13="P",CO13,(CO13+BK13)/2)</f>
        <v>0</v>
      </c>
      <c r="OB13" s="69">
        <f>IF($CX13="P",CP13,(CP13+BL13)/2)</f>
        <v>0</v>
      </c>
      <c r="OC13" s="69">
        <f>IF($CX13="P",CQ13,(CQ13+BM13)/2)</f>
        <v>0</v>
      </c>
      <c r="OD13" s="69">
        <f>IF($CX13="P",CR13,(CR13+BN13)/2)</f>
        <v>0</v>
      </c>
      <c r="OE13" s="69">
        <f>IF($CX13="P",CS13,(CS13+BO13)/2)</f>
        <v>0</v>
      </c>
      <c r="OF13" s="69">
        <f>IF($CX13="P",CT13,(CT13+BP13)/2)</f>
        <v>0</v>
      </c>
      <c r="OG13" s="69">
        <f>IF($CX13="P",CU13,(CU13+BQ13)/2)</f>
        <v>0</v>
      </c>
      <c r="OH13" s="69">
        <f>IF($CX13="P",CV13,(CV13+BR13)/2)</f>
        <v>0</v>
      </c>
      <c r="OI13" s="69">
        <f>IF($CX13="P",CW13,(CW13+BS13)/2)</f>
        <v>0</v>
      </c>
      <c r="OJ13" s="80" t="s">
        <v>88</v>
      </c>
      <c r="OK13" s="11" t="str">
        <f>IF(SUM(NP13:NS13)-NT13&gt;0,SUM(NP13:NS13)-NT13,"")</f>
        <v/>
      </c>
      <c r="OL13" s="11" t="str">
        <f>IF(NW13&gt;0,NW13,"")</f>
        <v/>
      </c>
      <c r="OM13" s="11" t="str">
        <f>IF(SUM(NU13:NX13)-NY13&gt;0,SUM(NU13:NX13)-NY13,"")</f>
        <v/>
      </c>
      <c r="ON13" s="11" t="str">
        <f>IF(OB13&gt;0,OB13,"")</f>
        <v/>
      </c>
      <c r="OO13" s="11" t="str">
        <f>IF(SUM(NZ13:OC13)-OD13&gt;0,SUM(NZ13:OC13)-OD13,"")</f>
        <v/>
      </c>
      <c r="OP13" s="11" t="str">
        <f>IF(OR(OK13&lt;&gt;"",OM13&lt;&gt;"",OO13&lt;&gt;""),OK13+MAX(OM13,OO13),"")</f>
        <v/>
      </c>
      <c r="OQ13" s="11" t="str">
        <f>IF(OG13&gt;0,OG13,"")</f>
        <v/>
      </c>
      <c r="OR13" s="11" t="str">
        <f t="shared" si="0"/>
        <v/>
      </c>
      <c r="OS13" s="11" t="str">
        <f t="shared" si="1"/>
        <v/>
      </c>
    </row>
    <row r="14" spans="1:409" x14ac:dyDescent="0.2">
      <c r="A14" s="5" t="str" cm="1">
        <f t="array" ref="A14">IF(AND(G14&lt;&gt;"",H14&lt;&gt;""),SUMPRODUCT((G$4:G$18&lt;&gt;"")*(H$4:H$18&lt;&gt;"")*(E$4:E$18&gt;E14))+1,IF(H14&lt;&gt;"",SUMPRODUCT((I$4:I$18="No DD")*(E$4:E$18&gt;E14))+1+SUMPRODUCT((G$4:G$18&lt;&gt;"")*(H$4:H$18&lt;&gt;"")),""))</f>
        <v/>
      </c>
      <c r="B14" s="127" t="s">
        <v>80</v>
      </c>
      <c r="C14" s="5" t="s">
        <v>5</v>
      </c>
      <c r="D14" s="5">
        <v>1999</v>
      </c>
      <c r="E14" s="15">
        <f>SUM(K14:S14)</f>
        <v>141.625</v>
      </c>
      <c r="F14" s="3" t="str">
        <f>IF(G14&lt;&gt;"","P","")</f>
        <v>P</v>
      </c>
      <c r="G14" s="125" t="str">
        <f>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Merit",IF(OR(AND(AR14&gt;=AY$22,AR14&lt;&gt;"",AP14=""),AND(AT14&gt;=AY$22,AT14&lt;&gt;"",AP14=""),AND(AW14&gt;=AY$22,AW14&lt;&gt;"",AP14=""),AND(BV14&gt;=CC$22,BV14&lt;&gt;"",BT14=""),AND(BX14&gt;=CC$22,BX14&lt;&gt;"",BT14=""),AND(CA14&gt;=CC$22,CA14&lt;&gt;"",BT14=""),AND(CZ14&gt;=DG$22,CZ14&lt;&gt;"",CX14=""),AND(DB14&gt;=DG$22,DB14&lt;&gt;"",CX14=""),AND(DE14&gt;=DG$22,DE14&lt;&gt;"",CX14=""),AND(EA14&gt;=EG$22,EA14&lt;&gt;""),AND(EE14&gt;=EG$22,EE14&lt;&gt;""),AND(EW14&gt;=FC$22,EW14&lt;&gt;""),AND(FA14&gt;=FC$22,FA14&lt;&gt;""),AND(FS14&gt;=FY$22,FS14&lt;&gt;""),AND(FW14&gt;=FY$22,FW14&lt;&gt;""),AND(GO14&gt;=GU$22,GO14&lt;&gt;""),AND(GS14&gt;=GU$22,GS14&lt;&gt;""),AND(HK14&gt;=HQ$22,HK14&lt;&gt;""),AND(HO14&gt;=HQ$22,HO14&lt;&gt;""),AND(IG14&gt;=IM$22,IG14&lt;&gt;""),AND(IK14&gt;=IM$22,IK14&lt;&gt;""),AND(JC14&gt;=JI$22,JC14&lt;&gt;""),AND(JG14&gt;=JI$22,JG14&lt;&gt;""),AND(JY14&gt;=KE$22,JY14&lt;&gt;""),AND(KC14&gt;=KE$22,KC14&lt;&gt;""),AND(KU14&gt;=LA$22,KU14&lt;&gt;""),AND(KY14&gt;=LA$22,KY14&lt;&gt;""),AND(LQ14&gt;=LW$22,LQ14&lt;&gt;""),AND(LU14&gt;=LW$22,LU14&lt;&gt;""),AND(MM14&gt;=MS$22,MM14&lt;&gt;""),AND(MQ14&gt;=MS$22,MQ14&lt;&gt;""),AND(NI14&gt;=NO$22,NI14&lt;&gt;""),AND(NM14&gt;=NO$22,NM14&lt;&gt;"")),"Excellence",IF(OR(AND(AR14&gt;=AY$21,AR14&lt;&gt;"",AP14=""),AND(AT14&gt;=AY$21,AT14&lt;&gt;"",AP14=""),AND(AW14&gt;=AY$21,AW14&lt;&gt;"",AP14=""),AND(BV14&gt;=CC$21,BV14&lt;&gt;"",BT14=""),AND(BX14&gt;=CC$21,BX14&lt;&gt;"",BT14=""),AND(CA14&gt;=CC$21,CA14&lt;&gt;"",BT14=""),AND(CZ14&gt;=DG$21,CZ14&lt;&gt;"",CX14=""),AND(DB14&gt;=DG$21,DB14&lt;&gt;"",CX14=""),AND(DE14&gt;=DG$21,DE14&lt;&gt;"",CX14=""),AND(EA14&gt;=EG$21,EA14&lt;&gt;""),AND(EE14&gt;=EG$21,EE14&lt;&gt;""),AND(EW14&gt;=FC$21,EW14&lt;&gt;""),AND(FA14&gt;=FC$21,FA14&lt;&gt;""),AND(FS14&gt;=FY$21,FS14&lt;&gt;""),AND(FW14&gt;=FY$21,FW14&lt;&gt;""),AND(GO14&gt;=GU$21,GO14&lt;&gt;""),AND(GS14&gt;=GU$21,GS14&lt;&gt;""),AND(HK14&gt;=HQ$21,HK14&lt;&gt;""),AND(HO14&gt;=HQ$21,HO14&lt;&gt;""),AND(IG14&gt;=IM$21,IG14&lt;&gt;""),AND(IK14&gt;=IM$21,IK14&lt;&gt;""),AND(JC14&gt;=JI$21,JC14&lt;&gt;""),AND(JG14&gt;=JI$21,JG14&lt;&gt;""),AND(JY14&gt;=KE$21,JY14&lt;&gt;""),AND(KC14&gt;=KE$21,KC14&lt;&gt;""),AND(KU14&gt;=LA$21,KU14&lt;&gt;""),AND(KY14&gt;=LA$21,KY14&lt;&gt;""),AND(LQ14&gt;=LW$21,LQ14&lt;&gt;""),AND(LU14&gt;=LW$21,LU14&lt;&gt;""),AND(MM14&gt;=MS$21,MM14&lt;&gt;""),AND(MQ14&gt;=MS$21,MQ14&lt;&gt;""),AND(NI14&gt;=NO$21,NI14&lt;&gt;""),AND(NM14&gt;=NO$21,NM14&lt;&gt;"")),"Worlds Team",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National Team",""))))</f>
        <v>National Team</v>
      </c>
      <c r="H14" s="125" t="str">
        <f>IF(OR(AND(AS14&gt;=AY$27,AS14&lt;&gt;"",AP14=""),AND(AU14&gt;=AY$27,AU14&lt;&gt;"",AP14=""),AND(AX14&gt;=AY$27,AX14&lt;&gt;"",AP14=""),AND(BW14&gt;=CC$27,BW14&lt;&gt;"",BT14=""),AND(BY14&gt;=CC$27,BY14&lt;&gt;"",BT14=""),AND(CB14&gt;=CC$27,CB14&lt;&gt;"",BT14=""),AND(DA14&gt;=DG$27,DA14&lt;&gt;"",CX14=""),AND(DC14&gt;=DG$27,DC14&lt;&gt;"",CX14=""),AND(DF14&gt;=DG$27,DF14&lt;&gt;"",CX14=""),AND(EC14&gt;=EG$27,EC14&lt;&gt;""),AND(EF14&gt;=EG$27,EF14&lt;&gt;""),AND(EY14&gt;=FC$27,EY14&lt;&gt;""),AND(FB14&gt;=FC$27,FB14&lt;&gt;""),AND(FU14&gt;=FY$27,FU14&lt;&gt;""),AND(FX14&gt;=FY$27,FX14&lt;&gt;""),AND(GQ14&gt;=GU$27,GQ14&lt;&gt;""),AND(GT14&gt;=GU$27,GT14&lt;&gt;""),AND(HM14&gt;=HQ$27,HM14&lt;&gt;""),AND(HP14&gt;=HQ$27,HP14&lt;&gt;""),AND(II14&gt;=IM$27,II14&lt;&gt;""),AND(IL14&gt;=IM$27,IL14&lt;&gt;""),AND(JE14&gt;=JI$27,JE14&lt;&gt;""),AND(JH14&gt;=JI$27,JH14&lt;&gt;""),AND(KA14&gt;=KE$27,KA14&lt;&gt;""),AND(KD14&gt;=KE$27,KD14&lt;&gt;""),AND(KW14&gt;=LA$27,KW14&lt;&gt;""),AND(KZ14&gt;=LA$27,KZ14&lt;&gt;""),AND(LS14&gt;=LW$27,LS14&lt;&gt;""),AND(LV14&gt;=LW$27,LV14&lt;&gt;""),AND(MO14&gt;=MS$27,MO14&lt;&gt;""),AND(MR14&gt;=MS$27,MR14&lt;&gt;""),AND(NK14&gt;=NO$27,NK14&lt;&gt;""),AND(NN14&gt;=NO$27,NN14&lt;&gt;"")),"Merit",IF(OR(AND(AS14&gt;=AY$26,AS14&lt;&gt;"",AP14=""),AND(AU14&gt;=AY$26,AU14&lt;&gt;"",AP14=""),AND(AX14&gt;=AY$26,AX14&lt;&gt;"",AP14=""),AND(BW14&gt;=CC$26,BW14&lt;&gt;"",BT14=""),AND(BY14&gt;=CC$26,BY14&lt;&gt;"",BT14=""),AND(CB14&gt;=CC$26,CB14&lt;&gt;"",BT14=""),AND(DA14&gt;=DG$26,DA14&lt;&gt;"",CX14=""),AND(DC14&gt;=DG$26,DC14&lt;&gt;"",CX14=""),AND(DF14&gt;=DG$26,DF14&lt;&gt;"",CX14=""),AND(EC14&gt;=EG$26,EC14&lt;&gt;""),AND(EF14&gt;=EG$26,EF14&lt;&gt;""),AND(EY14&gt;=FC$26,EY14&lt;&gt;""),AND(FB14&gt;=FC$26,FB14&lt;&gt;""),AND(FU14&gt;=FY$26,FU14&lt;&gt;""),AND(FX14&gt;=FY$26,FX14&lt;&gt;""),AND(GQ14&gt;=GU$26,GQ14&lt;&gt;""),AND(GT14&gt;=GU$26,GT14&lt;&gt;""),AND(HM14&gt;=HQ$26,HM14&lt;&gt;""),AND(HP14&gt;=HQ$26,HP14&lt;&gt;""),AND(II14&gt;=IM$26,II14&lt;&gt;""),AND(IL14&gt;=IM$26,IL14&lt;&gt;""),AND(JE14&gt;=JI$26,JE14&lt;&gt;""),AND(JH14&gt;=JI$26,JH14&lt;&gt;""),AND(KA14&gt;=KE$26,KA14&lt;&gt;""),AND(KD14&gt;=KE$26,KD14&lt;&gt;""),AND(KW14&gt;=LA$26,KW14&lt;&gt;""),AND(KZ14&gt;=LA$26,KZ14&lt;&gt;""),AND(LS14&gt;=LW$26,LS14&lt;&gt;""),AND(LV14&gt;=LW$26,LV14&lt;&gt;""),AND(MO14&gt;=MS$26,MO14&lt;&gt;""),AND(MR14&gt;=MS$26,MR14&lt;&gt;""),AND(NK14&gt;=NO$26,NK14&lt;&gt;""),AND(NN14&gt;=NO$26,NN14&lt;&gt;"")),"Excellence",IF(OR(AND(AV14&gt;=AY$25,AV14&lt;&gt;"",AP14=""),AND(BZ14&gt;=CC$25,BZ14&lt;&gt;"",BT14=""),AND(DD14&gt;=DG$25,DD14&lt;&gt;"",CX14=""),AND(ED14&gt;=EG$25,ED14&lt;&gt;""),AND(EZ14&gt;=FC$25,EZ14&lt;&gt;""),AND(FV14&gt;=FY$25,FV14&lt;&gt;""),AND(GR14&gt;=GU$25,GR14&lt;&gt;""),AND(HN14&gt;=HQ$25,HN14&lt;&gt;""),AND(IJ14&gt;=IM$25,IJ14&lt;&gt;""),AND(JF14&gt;=JI$25,JF14&lt;&gt;""),AND(KB14&gt;=KE$25,KB14&lt;&gt;""),AND(KX14&gt;=LA$25,KX14&lt;&gt;""),AND(LT14&gt;=LW$25,LT14&lt;&gt;""),AND(MP14&gt;=MS$25,MP14&lt;&gt;""),AND(NL14&gt;=NO$25,NL14&lt;&gt;"")),"Worlds Team",IF(OR(AND(AV14&gt;=AY$24,AV14&lt;&gt;"",AP14=""),AND(BZ14&gt;=CC$24,BZ14&lt;&gt;"",BT14=""),AND(DD14&gt;=DG$24,DD14&lt;&gt;"",CX14=""),AND(ED14&gt;=EG$24,ED14&lt;&gt;""),AND(EZ14&gt;=FC$24,EZ14&lt;&gt;""),AND(FV14&gt;=FY$24,FV14&lt;&gt;""),AND(GR14&gt;=GU$24,GR14&lt;&gt;""),AND(HN14&gt;=HQ$24,HN14&lt;&gt;""),AND(IJ14&gt;=IM$24,IJ14&lt;&gt;""),AND(JF14&gt;=JI$24,JF14&lt;&gt;""),AND(KB14&gt;=KE$24,KB14&lt;&gt;""),AND(KX14&gt;=LA$24,KX14&lt;&gt;""),AND(LT14&gt;=LW$24,LT14&lt;&gt;""),AND(MP14&gt;=MS$24,MP14&lt;&gt;""),AND(NL14&gt;=NO$24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$25,AV14&lt;&gt;"",AP14=""),AND(BZ14&gt;=CC$25,BZ14&lt;&gt;"",BT14=""),AND(DD14&gt;=DG$25,DD14&lt;&gt;"",CX14=""),AND(ED14&gt;=EG$25,ED14&lt;&gt;""),AND(EZ14&gt;=FC$25,EZ14&lt;&gt;""),AND(FV14&gt;=FY$25,FV14&lt;&gt;""),AND(GR14&gt;=GU$25,GR14&lt;&gt;""),AND(HN14&gt;=HQ$25,HN14&lt;&gt;""),AND(IJ14&gt;=IM$25,IJ14&lt;&gt;""),AND(JF14&gt;=JI$25,JF14&lt;&gt;""),AND(KB14&gt;=KE$25,KB14&lt;&gt;""),AND(KX14&gt;=LA$25,KX14&lt;&gt;""),AND(LT14&gt;=LW$25,LT14&lt;&gt;""),AND(MP14&gt;=MS$25,MP14&lt;&gt;""),AND(NL14&gt;=NO$25,NL14&lt;&gt;"")),OR(G14="Worlds Team",G14="Excellence",G14="Merit")),"P","")</f>
        <v/>
      </c>
      <c r="K14" s="14">
        <f>IF(MAX(AV14,BZ14,DD14)&gt;0,MAX(AV14,BZ14,DD14),0)</f>
        <v>91.205000000000013</v>
      </c>
      <c r="L14" s="14" t="str">
        <f>IF(K14=0,"",IF(K14=DD14,$CD$1,IF(K14=BZ14,$AZ$1,IF(K14=AV14,$V$1,""))))</f>
        <v>2019 Nationals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0</v>
      </c>
      <c r="P14" s="14" t="str">
        <f>IF(O14=0,"",IF(OR(O14=DC14,O14=DA14),$CD$1,IF(OR(O14=BY14,O14=BW14),$AZ$1,IF(OR(O14=AU14,O14=AS14),$V$1,""))))</f>
        <v/>
      </c>
      <c r="Q14" s="14">
        <f>MAX(AX14,CB14,DF14)</f>
        <v>50.42</v>
      </c>
      <c r="R14" s="14" t="str">
        <f>IF(Q14=0,"",IF(Q14=DF14,$CD$1,IF(Q14=CB14,$AZ$1,IF(Q14=AX14,$V$1,""))))</f>
        <v>2019 Nationals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16.5</v>
      </c>
      <c r="W14" s="69">
        <v>9.6</v>
      </c>
      <c r="X14" s="69">
        <v>4.9000000000000004</v>
      </c>
      <c r="Y14" s="69">
        <v>15.255000000000001</v>
      </c>
      <c r="Z14" s="69">
        <v>0</v>
      </c>
      <c r="AA14" s="69">
        <v>12.1</v>
      </c>
      <c r="AB14" s="69">
        <v>7.9</v>
      </c>
      <c r="AC14" s="69">
        <v>11.7</v>
      </c>
      <c r="AD14" s="69">
        <v>13.25</v>
      </c>
      <c r="AE14" s="69">
        <v>0</v>
      </c>
      <c r="AF14" s="69"/>
      <c r="AG14" s="69"/>
      <c r="AH14" s="69"/>
      <c r="AI14" s="69"/>
      <c r="AJ14" s="69"/>
      <c r="AK14" s="69">
        <v>13.6</v>
      </c>
      <c r="AL14" s="69">
        <v>9.5</v>
      </c>
      <c r="AM14" s="69">
        <v>12.9</v>
      </c>
      <c r="AN14" s="69">
        <v>14.42</v>
      </c>
      <c r="AO14" s="69"/>
      <c r="AP14" s="80"/>
      <c r="AQ14" s="11">
        <f>IF(SUM(V14:Y14)-Z14&gt;0,SUM(V14:Y14)-Z14,"")</f>
        <v>46.255000000000003</v>
      </c>
      <c r="AR14" s="11">
        <f>IF(AC14&gt;0,AC14,"")</f>
        <v>11.7</v>
      </c>
      <c r="AS14" s="11">
        <f>IF(SUM(AA14:AD14)-AE14&gt;0,SUM(AA14:AD14)-AE14,"")</f>
        <v>44.95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91.205000000000013</v>
      </c>
      <c r="AW14" s="11">
        <f>IF(AM14&gt;0,AM14,"")</f>
        <v>12.9</v>
      </c>
      <c r="AX14" s="11">
        <f>IF(SUM(AK14:AN14)-AO14&gt;0,SUM(AK14:AN14)-AO14,"")</f>
        <v>50.42</v>
      </c>
      <c r="AY14" s="11">
        <f>IF(SUM(AV14,AX14)&gt;0,SUM(AV14,AX14),"")</f>
        <v>141.625</v>
      </c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88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A15" s="5" t="str" cm="1">
        <f t="array" ref="A15">IF(AND(G15&lt;&gt;"",H15&lt;&gt;""),SUMPRODUCT((G$4:G$18&lt;&gt;"")*(H$4:H$18&lt;&gt;"")*(E$4:E$18&gt;E15))+1,IF(H15&lt;&gt;"",SUMPRODUCT((I$4:I$18="No DD")*(E$4:E$18&gt;E15))+1+SUMPRODUCT((G$4:G$18&lt;&gt;"")*(H$4:H$18&lt;&gt;"")),""))</f>
        <v/>
      </c>
      <c r="B15" s="127" t="s">
        <v>36</v>
      </c>
      <c r="C15" s="5" t="s">
        <v>3</v>
      </c>
      <c r="D15" s="5">
        <v>1995</v>
      </c>
      <c r="E15" s="15">
        <f>SUM(K15:S15)</f>
        <v>233.23500000000001</v>
      </c>
      <c r="F15" s="3" t="str">
        <f>IF(G15&lt;&gt;"","P","")</f>
        <v/>
      </c>
      <c r="G15" s="125" t="str">
        <f>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Merit",IF(OR(AND(AR15&gt;=AY$22,AR15&lt;&gt;"",AP15=""),AND(AT15&gt;=AY$22,AT15&lt;&gt;"",AP15=""),AND(AW15&gt;=AY$22,AW15&lt;&gt;"",AP15=""),AND(BV15&gt;=CC$22,BV15&lt;&gt;"",BT15=""),AND(BX15&gt;=CC$22,BX15&lt;&gt;"",BT15=""),AND(CA15&gt;=CC$22,CA15&lt;&gt;"",BT15=""),AND(CZ15&gt;=DG$22,CZ15&lt;&gt;"",CX15=""),AND(DB15&gt;=DG$22,DB15&lt;&gt;"",CX15=""),AND(DE15&gt;=DG$22,DE15&lt;&gt;"",CX15=""),AND(EA15&gt;=EG$22,EA15&lt;&gt;""),AND(EE15&gt;=EG$22,EE15&lt;&gt;""),AND(EW15&gt;=FC$22,EW15&lt;&gt;""),AND(FA15&gt;=FC$22,FA15&lt;&gt;""),AND(FS15&gt;=FY$22,FS15&lt;&gt;""),AND(FW15&gt;=FY$22,FW15&lt;&gt;""),AND(GO15&gt;=GU$22,GO15&lt;&gt;""),AND(GS15&gt;=GU$22,GS15&lt;&gt;""),AND(HK15&gt;=HQ$22,HK15&lt;&gt;""),AND(HO15&gt;=HQ$22,HO15&lt;&gt;""),AND(IG15&gt;=IM$22,IG15&lt;&gt;""),AND(IK15&gt;=IM$22,IK15&lt;&gt;""),AND(JC15&gt;=JI$22,JC15&lt;&gt;""),AND(JG15&gt;=JI$22,JG15&lt;&gt;""),AND(JY15&gt;=KE$22,JY15&lt;&gt;""),AND(KC15&gt;=KE$22,KC15&lt;&gt;""),AND(KU15&gt;=LA$22,KU15&lt;&gt;""),AND(KY15&gt;=LA$22,KY15&lt;&gt;""),AND(LQ15&gt;=LW$22,LQ15&lt;&gt;""),AND(LU15&gt;=LW$22,LU15&lt;&gt;""),AND(MM15&gt;=MS$22,MM15&lt;&gt;""),AND(MQ15&gt;=MS$22,MQ15&lt;&gt;""),AND(NI15&gt;=NO$22,NI15&lt;&gt;""),AND(NM15&gt;=NO$22,NM15&lt;&gt;"")),"Excellence",IF(OR(AND(AR15&gt;=AY$21,AR15&lt;&gt;"",AP15=""),AND(AT15&gt;=AY$21,AT15&lt;&gt;"",AP15=""),AND(AW15&gt;=AY$21,AW15&lt;&gt;"",AP15=""),AND(BV15&gt;=CC$21,BV15&lt;&gt;"",BT15=""),AND(BX15&gt;=CC$21,BX15&lt;&gt;"",BT15=""),AND(CA15&gt;=CC$21,CA15&lt;&gt;"",BT15=""),AND(CZ15&gt;=DG$21,CZ15&lt;&gt;"",CX15=""),AND(DB15&gt;=DG$21,DB15&lt;&gt;"",CX15=""),AND(DE15&gt;=DG$21,DE15&lt;&gt;"",CX15=""),AND(EA15&gt;=EG$21,EA15&lt;&gt;""),AND(EE15&gt;=EG$21,EE15&lt;&gt;""),AND(EW15&gt;=FC$21,EW15&lt;&gt;""),AND(FA15&gt;=FC$21,FA15&lt;&gt;""),AND(FS15&gt;=FY$21,FS15&lt;&gt;""),AND(FW15&gt;=FY$21,FW15&lt;&gt;""),AND(GO15&gt;=GU$21,GO15&lt;&gt;""),AND(GS15&gt;=GU$21,GS15&lt;&gt;""),AND(HK15&gt;=HQ$21,HK15&lt;&gt;""),AND(HO15&gt;=HQ$21,HO15&lt;&gt;""),AND(IG15&gt;=IM$21,IG15&lt;&gt;""),AND(IK15&gt;=IM$21,IK15&lt;&gt;""),AND(JC15&gt;=JI$21,JC15&lt;&gt;""),AND(JG15&gt;=JI$21,JG15&lt;&gt;""),AND(JY15&gt;=KE$21,JY15&lt;&gt;""),AND(KC15&gt;=KE$21,KC15&lt;&gt;""),AND(KU15&gt;=LA$21,KU15&lt;&gt;""),AND(KY15&gt;=LA$21,KY15&lt;&gt;""),AND(LQ15&gt;=LW$21,LQ15&lt;&gt;""),AND(LU15&gt;=LW$21,LU15&lt;&gt;""),AND(MM15&gt;=MS$21,MM15&lt;&gt;""),AND(MQ15&gt;=MS$21,MQ15&lt;&gt;""),AND(NI15&gt;=NO$21,NI15&lt;&gt;""),AND(NM15&gt;=NO$21,NM15&lt;&gt;"")),"Worlds Team",IF(OR(AND(AR15&gt;=AY$20,AR15&lt;&gt;"",AP15=""),AND(AT15&gt;=AY$20,AT15&lt;&gt;"",AP15=""),AND(AW15&gt;=AY$20,AW15&lt;&gt;"",AP15=""),AND(BV15&gt;=CC$20,BV15&lt;&gt;"",BT15=""),AND(BX15&gt;=CC$20,BX15&lt;&gt;"",BT15=""),AND(CA15&gt;=CC$20,CA15&lt;&gt;"",BT15=""),AND(CZ15&gt;=DG$20,CZ15&lt;&gt;"",CX15=""),AND(DB15&gt;=DG$20,DB15&lt;&gt;"",CX15=""),AND(DE15&gt;=DG$20,DE15&lt;&gt;"",CX15=""),AND(EA15&gt;=EG$20,EA15&lt;&gt;""),AND(EE15&gt;=EG$20,EE15&lt;&gt;""),AND(EW15&gt;=FC$20,EW15&lt;&gt;""),AND(FA15&gt;=FC$20,FA15&lt;&gt;""),AND(FS15&gt;=FY$20,FS15&lt;&gt;""),AND(FW15&gt;=FY$20,FW15&lt;&gt;""),AND(GO15&gt;=GU$20,GO15&lt;&gt;""),AND(GS15&gt;=GU$20,GS15&lt;&gt;""),AND(HK15&gt;=HQ$20,HK15&lt;&gt;""),AND(HO15&gt;=HQ$20,HO15&lt;&gt;""),AND(IG15&gt;=IM$20,IG15&lt;&gt;""),AND(IK15&gt;=IM$20,IK15&lt;&gt;""),AND(JC15&gt;=JI$20,JC15&lt;&gt;""),AND(JG15&gt;=JI$20,JG15&lt;&gt;""),AND(JY15&gt;=KE$20,JY15&lt;&gt;""),AND(KC15&gt;=KE$20,KC15&lt;&gt;""),AND(KU15&gt;=LA$20,KU15&lt;&gt;""),AND(KY15&gt;=LA$20,KY15&lt;&gt;""),AND(LQ15&gt;=LW$20,LQ15&lt;&gt;""),AND(LU15&gt;=LW$20,LU15&lt;&gt;""),AND(MM15&gt;=MS$20,MM15&lt;&gt;""),AND(MQ15&gt;=MS$20,MQ15&lt;&gt;""),AND(NI15&gt;=NO$20,NI15&lt;&gt;""),AND(NM15&gt;=NO$20,NM15&lt;&gt;"")),"National Team",""))))</f>
        <v/>
      </c>
      <c r="H15" s="125" t="str">
        <f>IF(OR(AND(AS15&gt;=AY$27,AS15&lt;&gt;"",AP15=""),AND(AU15&gt;=AY$27,AU15&lt;&gt;"",AP15=""),AND(AX15&gt;=AY$27,AX15&lt;&gt;"",AP15=""),AND(BW15&gt;=CC$27,BW15&lt;&gt;"",BT15=""),AND(BY15&gt;=CC$27,BY15&lt;&gt;"",BT15=""),AND(CB15&gt;=CC$27,CB15&lt;&gt;"",BT15=""),AND(DA15&gt;=DG$27,DA15&lt;&gt;"",CX15=""),AND(DC15&gt;=DG$27,DC15&lt;&gt;"",CX15=""),AND(DF15&gt;=DG$27,DF15&lt;&gt;"",CX15=""),AND(EC15&gt;=EG$27,EC15&lt;&gt;""),AND(EF15&gt;=EG$27,EF15&lt;&gt;""),AND(EY15&gt;=FC$27,EY15&lt;&gt;""),AND(FB15&gt;=FC$27,FB15&lt;&gt;""),AND(FU15&gt;=FY$27,FU15&lt;&gt;""),AND(FX15&gt;=FY$27,FX15&lt;&gt;""),AND(GQ15&gt;=GU$27,GQ15&lt;&gt;""),AND(GT15&gt;=GU$27,GT15&lt;&gt;""),AND(HM15&gt;=HQ$27,HM15&lt;&gt;""),AND(HP15&gt;=HQ$27,HP15&lt;&gt;""),AND(II15&gt;=IM$27,II15&lt;&gt;""),AND(IL15&gt;=IM$27,IL15&lt;&gt;""),AND(JE15&gt;=JI$27,JE15&lt;&gt;""),AND(JH15&gt;=JI$27,JH15&lt;&gt;""),AND(KA15&gt;=KE$27,KA15&lt;&gt;""),AND(KD15&gt;=KE$27,KD15&lt;&gt;""),AND(KW15&gt;=LA$27,KW15&lt;&gt;""),AND(KZ15&gt;=LA$27,KZ15&lt;&gt;""),AND(LS15&gt;=LW$27,LS15&lt;&gt;""),AND(LV15&gt;=LW$27,LV15&lt;&gt;""),AND(MO15&gt;=MS$27,MO15&lt;&gt;""),AND(MR15&gt;=MS$27,MR15&lt;&gt;""),AND(NK15&gt;=NO$27,NK15&lt;&gt;""),AND(NN15&gt;=NO$27,NN15&lt;&gt;"")),"Merit",IF(OR(AND(AS15&gt;=AY$26,AS15&lt;&gt;"",AP15=""),AND(AU15&gt;=AY$26,AU15&lt;&gt;"",AP15=""),AND(AX15&gt;=AY$26,AX15&lt;&gt;"",AP15=""),AND(BW15&gt;=CC$26,BW15&lt;&gt;"",BT15=""),AND(BY15&gt;=CC$26,BY15&lt;&gt;"",BT15=""),AND(CB15&gt;=CC$26,CB15&lt;&gt;"",BT15=""),AND(DA15&gt;=DG$26,DA15&lt;&gt;"",CX15=""),AND(DC15&gt;=DG$26,DC15&lt;&gt;"",CX15=""),AND(DF15&gt;=DG$26,DF15&lt;&gt;"",CX15=""),AND(EC15&gt;=EG$26,EC15&lt;&gt;""),AND(EF15&gt;=EG$26,EF15&lt;&gt;""),AND(EY15&gt;=FC$26,EY15&lt;&gt;""),AND(FB15&gt;=FC$26,FB15&lt;&gt;""),AND(FU15&gt;=FY$26,FU15&lt;&gt;""),AND(FX15&gt;=FY$26,FX15&lt;&gt;""),AND(GQ15&gt;=GU$26,GQ15&lt;&gt;""),AND(GT15&gt;=GU$26,GT15&lt;&gt;""),AND(HM15&gt;=HQ$26,HM15&lt;&gt;""),AND(HP15&gt;=HQ$26,HP15&lt;&gt;""),AND(II15&gt;=IM$26,II15&lt;&gt;""),AND(IL15&gt;=IM$26,IL15&lt;&gt;""),AND(JE15&gt;=JI$26,JE15&lt;&gt;""),AND(JH15&gt;=JI$26,JH15&lt;&gt;""),AND(KA15&gt;=KE$26,KA15&lt;&gt;""),AND(KD15&gt;=KE$26,KD15&lt;&gt;""),AND(KW15&gt;=LA$26,KW15&lt;&gt;""),AND(KZ15&gt;=LA$26,KZ15&lt;&gt;""),AND(LS15&gt;=LW$26,LS15&lt;&gt;""),AND(LV15&gt;=LW$26,LV15&lt;&gt;""),AND(MO15&gt;=MS$26,MO15&lt;&gt;""),AND(MR15&gt;=MS$26,MR15&lt;&gt;""),AND(NK15&gt;=NO$26,NK15&lt;&gt;""),AND(NN15&gt;=NO$26,NN15&lt;&gt;"")),"Excellence",IF(OR(AND(AV15&gt;=AY$25,AV15&lt;&gt;"",AP15=""),AND(BZ15&gt;=CC$25,BZ15&lt;&gt;"",BT15=""),AND(DD15&gt;=DG$25,DD15&lt;&gt;"",CX15=""),AND(ED15&gt;=EG$25,ED15&lt;&gt;""),AND(EZ15&gt;=FC$25,EZ15&lt;&gt;""),AND(FV15&gt;=FY$25,FV15&lt;&gt;""),AND(GR15&gt;=GU$25,GR15&lt;&gt;""),AND(HN15&gt;=HQ$25,HN15&lt;&gt;""),AND(IJ15&gt;=IM$25,IJ15&lt;&gt;""),AND(JF15&gt;=JI$25,JF15&lt;&gt;""),AND(KB15&gt;=KE$25,KB15&lt;&gt;""),AND(KX15&gt;=LA$25,KX15&lt;&gt;""),AND(LT15&gt;=LW$25,LT15&lt;&gt;""),AND(MP15&gt;=MS$25,MP15&lt;&gt;""),AND(NL15&gt;=NO$25,NL15&lt;&gt;"")),"Worlds Team",IF(OR(AND(AV15&gt;=AY$24,AV15&lt;&gt;"",AP15=""),AND(BZ15&gt;=CC$24,BZ15&lt;&gt;"",BT15=""),AND(DD15&gt;=DG$24,DD15&lt;&gt;"",CX15=""),AND(ED15&gt;=EG$24,ED15&lt;&gt;""),AND(EZ15&gt;=FC$24,EZ15&lt;&gt;""),AND(FV15&gt;=FY$24,FV15&lt;&gt;""),AND(GR15&gt;=GU$24,GR15&lt;&gt;""),AND(HN15&gt;=HQ$24,HN15&lt;&gt;""),AND(IJ15&gt;=IM$24,IJ15&lt;&gt;""),AND(JF15&gt;=JI$24,JF15&lt;&gt;""),AND(KB15&gt;=KE$24,KB15&lt;&gt;""),AND(KX15&gt;=LA$24,KX15&lt;&gt;""),AND(LT15&gt;=LW$24,LT15&lt;&gt;""),AND(MP15&gt;=MS$24,MP15&lt;&gt;""),AND(NL15&gt;=NO$24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$25,AV15&lt;&gt;"",AP15=""),AND(BZ15&gt;=CC$25,BZ15&lt;&gt;"",BT15=""),AND(DD15&gt;=DG$25,DD15&lt;&gt;"",CX15=""),AND(ED15&gt;=EG$25,ED15&lt;&gt;""),AND(EZ15&gt;=FC$25,EZ15&lt;&gt;""),AND(FV15&gt;=FY$25,FV15&lt;&gt;""),AND(GR15&gt;=GU$25,GR15&lt;&gt;""),AND(HN15&gt;=HQ$25,HN15&lt;&gt;""),AND(IJ15&gt;=IM$25,IJ15&lt;&gt;""),AND(JF15&gt;=JI$25,JF15&lt;&gt;""),AND(KB15&gt;=KE$25,KB15&lt;&gt;""),AND(KX15&gt;=LA$25,KX15&lt;&gt;""),AND(LT15&gt;=LW$25,LT15&lt;&gt;""),AND(MP15&gt;=MS$25,MP15&lt;&gt;""),AND(NL15&gt;=NO$25,NL15&lt;&gt;"")),OR(G15="Worlds Team",G15="Excellence",G15="Merit")),"P","")</f>
        <v/>
      </c>
      <c r="K15" s="14">
        <f>IF(MAX(AV15,BZ15,DD15)&gt;0,MAX(AV15,BZ15,DD15),0)</f>
        <v>97.867500000000007</v>
      </c>
      <c r="L15" s="14" t="str">
        <f>IF(K15=0,"",IF(K15=DD15,$CD$1,IF(K15=BZ15,$AZ$1,IF(K15=AV15,$V$1,""))))</f>
        <v>2019 Nationals</v>
      </c>
      <c r="M15" s="14">
        <f>IF($K15=$AV15,MAX(BU15,CY15),IF($K15=$BZ15,MAX(AQ15,CY15),IF($K15=$DD15,MAX(AQ15,BU15),MAX(AQ15,BU15,CY15))))</f>
        <v>35.71</v>
      </c>
      <c r="N15" s="14" t="str">
        <f>IF(M15=0,"",IF(AND(M15=CY15,$L15&lt;&gt;$CD$1),$CD$1,IF(AND(M15=BU15,$L15&lt;&gt;$AZ$1),$AZ$1,IF(AND(M15=AQ15,$L15&lt;&gt;$V$1),$V$1,""))))</f>
        <v>2021 2nd Virtual Technical Trial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48.005000000000003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51.652500000000003</v>
      </c>
      <c r="R15" s="14" t="str">
        <f>IF(Q15=0,"",IF(Q15=DF15,$CD$1,IF(Q15=CB15,$AZ$1,IF(Q15=AX15,$V$1,""))))</f>
        <v>2019 Nationals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16.399999999999999</v>
      </c>
      <c r="W15" s="69">
        <v>9.25</v>
      </c>
      <c r="X15" s="69">
        <v>5.4499999999999993</v>
      </c>
      <c r="Y15" s="69">
        <v>16.1325</v>
      </c>
      <c r="Z15" s="69">
        <v>0</v>
      </c>
      <c r="AA15" s="69">
        <v>14.05</v>
      </c>
      <c r="AB15" s="69">
        <v>9.1</v>
      </c>
      <c r="AC15" s="69">
        <v>12.25</v>
      </c>
      <c r="AD15" s="69">
        <v>15.335000000000001</v>
      </c>
      <c r="AE15" s="69">
        <v>0.1</v>
      </c>
      <c r="AF15" s="69"/>
      <c r="AG15" s="69"/>
      <c r="AH15" s="69"/>
      <c r="AI15" s="69"/>
      <c r="AJ15" s="69"/>
      <c r="AK15" s="69">
        <v>14.75</v>
      </c>
      <c r="AL15" s="69">
        <v>9.1999999999999993</v>
      </c>
      <c r="AM15" s="69">
        <v>12</v>
      </c>
      <c r="AN15" s="69">
        <v>15.702500000000001</v>
      </c>
      <c r="AO15" s="69">
        <v>0</v>
      </c>
      <c r="AP15" s="80" t="s">
        <v>88</v>
      </c>
      <c r="AQ15" s="11">
        <f>IF(SUM(V15:Y15)-Z15&gt;0,SUM(V15:Y15)-Z15,"")</f>
        <v>47.232500000000002</v>
      </c>
      <c r="AR15" s="11">
        <f>IF(AC15&gt;0,AC15,"")</f>
        <v>12.25</v>
      </c>
      <c r="AS15" s="11">
        <f>IF(SUM(AA15:AD15)-AE15&gt;0,SUM(AA15:AD15)-AE15,"")</f>
        <v>50.634999999999998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97.867500000000007</v>
      </c>
      <c r="AW15" s="11">
        <f>IF(AM15&gt;0,AM15,"")</f>
        <v>12</v>
      </c>
      <c r="AX15" s="11">
        <f>IF(SUM(AK15:AN15)-AO15&gt;0,SUM(AK15:AN15)-AO15,"")</f>
        <v>51.652500000000003</v>
      </c>
      <c r="AY15" s="11">
        <f>IF(SUM(AV15,AX15)&gt;0,SUM(AV15,AX15),"")</f>
        <v>149.52000000000001</v>
      </c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81"/>
      <c r="BU15" s="14" t="str">
        <f>IF(SUM(AZ15:BC15)-BD15&gt;0,SUM(AZ15:BC15)-BD15,"")</f>
        <v/>
      </c>
      <c r="BV15" s="14" t="str">
        <f>IF(BG15&gt;0,BG15,"")</f>
        <v/>
      </c>
      <c r="BW15" s="14" t="str">
        <f>IF(SUM(BE15:BH15)-BI15&gt;0,SUM(BE15:BH15)-BI15,"")</f>
        <v/>
      </c>
      <c r="BX15" s="14" t="str">
        <f>IF(BL15&gt;0,BL15,"")</f>
        <v/>
      </c>
      <c r="BY15" s="14" t="str">
        <f>IF(SUM(BJ15:BM15)-BN15&gt;0,SUM(BJ15:BM15)-BN15,"")</f>
        <v/>
      </c>
      <c r="BZ15" s="14" t="str">
        <f>IF(BU15="",IF(MAX(BW15,BY15)&gt;0,MAX(BW15,BY15),""),MAX(BW15,BY15)+BU15)</f>
        <v/>
      </c>
      <c r="CA15" s="14" t="str">
        <f>IF(BQ15&gt;0,BQ15,"")</f>
        <v/>
      </c>
      <c r="CB15" s="14" t="str">
        <f>IF(SUM(BO15:BR15)-BS15&gt;0,SUM(BO15:BR15)-BS15,"")</f>
        <v/>
      </c>
      <c r="CC15" s="14" t="str">
        <f>IF(SUM(BZ15,CB15)&gt;0,SUM(BZ15,CB15),"")</f>
        <v/>
      </c>
      <c r="CD15" s="69">
        <v>13.9</v>
      </c>
      <c r="CE15" s="69">
        <v>7.4</v>
      </c>
      <c r="CF15" s="69">
        <v>1.3</v>
      </c>
      <c r="CG15" s="69">
        <v>13.11</v>
      </c>
      <c r="CH15" s="69">
        <v>0</v>
      </c>
      <c r="CI15" s="69">
        <v>14.3</v>
      </c>
      <c r="CJ15" s="69">
        <v>9.1999999999999993</v>
      </c>
      <c r="CK15" s="69">
        <v>10.3</v>
      </c>
      <c r="CL15" s="69">
        <v>15.105</v>
      </c>
      <c r="CM15" s="69">
        <v>0.9</v>
      </c>
      <c r="CN15" s="69">
        <v>14.1</v>
      </c>
      <c r="CO15" s="69">
        <v>8.8000000000000007</v>
      </c>
      <c r="CP15" s="69">
        <v>9.1999999999999993</v>
      </c>
      <c r="CQ15" s="69">
        <v>14.975</v>
      </c>
      <c r="CR15" s="69">
        <v>2</v>
      </c>
      <c r="CS15" s="69">
        <v>2.6</v>
      </c>
      <c r="CT15" s="69">
        <v>1.6</v>
      </c>
      <c r="CU15" s="69">
        <v>2</v>
      </c>
      <c r="CV15" s="69">
        <v>3.05</v>
      </c>
      <c r="CW15" s="69">
        <v>0</v>
      </c>
      <c r="CX15" s="80"/>
      <c r="CY15" s="11">
        <f>IF(SUM(CD15:CG15)-CH15&gt;0,SUM(CD15:CG15)-CH15,"")</f>
        <v>35.71</v>
      </c>
      <c r="CZ15" s="11">
        <f>IF(CK15&gt;0,CK15,"")</f>
        <v>10.3</v>
      </c>
      <c r="DA15" s="11">
        <f>IF(SUM(CI15:CL15)-CM15&gt;0,SUM(CI15:CL15)-CM15,"")</f>
        <v>48.005000000000003</v>
      </c>
      <c r="DB15" s="11">
        <f>IF(CP15&gt;0,CP15,"")</f>
        <v>9.1999999999999993</v>
      </c>
      <c r="DC15" s="11">
        <f>IF(SUM(CN15:CQ15)-CR15&gt;0,SUM(CN15:CQ15)-CR15,"")</f>
        <v>45.074999999999996</v>
      </c>
      <c r="DD15" s="11">
        <f>IF(CY15="",IF(MAX(DA15,DC15)&gt;0,MAX(DA15,DC15),""),MAX(DA15,DC15)+CY15)</f>
        <v>83.715000000000003</v>
      </c>
      <c r="DE15" s="11">
        <f>IF(CU15&gt;0,CU15,"")</f>
        <v>2</v>
      </c>
      <c r="DF15" s="11">
        <f>IF(SUM(CS15:CV15)-CW15&gt;0,SUM(CS15:CV15)-CW15,"")</f>
        <v>9.25</v>
      </c>
      <c r="DG15" s="11">
        <f>IF(SUM(DD15,DF15)&gt;0,SUM(DD15,DF15),"")</f>
        <v>92.965000000000003</v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6.95</v>
      </c>
      <c r="NQ15" s="69">
        <f>IF($CX15="P",CE15,(CE15+BA15)/2)</f>
        <v>3.7</v>
      </c>
      <c r="NR15" s="69">
        <f>IF($CX15="P",CF15,(CF15+BB15)/2)</f>
        <v>0.65</v>
      </c>
      <c r="NS15" s="69">
        <f>IF($CX15="P",CG15,(CG15+BC15)/2)</f>
        <v>6.5549999999999997</v>
      </c>
      <c r="NT15" s="69">
        <f>IF($CX15="P",CH15,(CH15+BD15)/2)</f>
        <v>0</v>
      </c>
      <c r="NU15" s="69">
        <f>IF($CX15="P",CI15,(CI15+BE15)/2)</f>
        <v>7.15</v>
      </c>
      <c r="NV15" s="69">
        <f>IF($CX15="P",CJ15,(CJ15+BF15)/2)</f>
        <v>4.5999999999999996</v>
      </c>
      <c r="NW15" s="69">
        <f>IF($CX15="P",CK15,(CK15+BG15)/2)</f>
        <v>5.15</v>
      </c>
      <c r="NX15" s="69">
        <f>IF($CX15="P",CL15,(CL15+BH15)/2)</f>
        <v>7.5525000000000002</v>
      </c>
      <c r="NY15" s="69">
        <f>IF($CX15="P",CM15,(CM15+BI15)/2)</f>
        <v>0.45</v>
      </c>
      <c r="NZ15" s="69">
        <f>IF($CX15="P",CN15,(CN15+BJ15)/2)</f>
        <v>7.05</v>
      </c>
      <c r="OA15" s="69">
        <f>IF($CX15="P",CO15,(CO15+BK15)/2)</f>
        <v>4.4000000000000004</v>
      </c>
      <c r="OB15" s="69">
        <f>IF($CX15="P",CP15,(CP15+BL15)/2)</f>
        <v>4.5999999999999996</v>
      </c>
      <c r="OC15" s="69">
        <f>IF($CX15="P",CQ15,(CQ15+BM15)/2)</f>
        <v>7.4874999999999998</v>
      </c>
      <c r="OD15" s="69">
        <f>IF($CX15="P",CR15,(CR15+BN15)/2)</f>
        <v>1</v>
      </c>
      <c r="OE15" s="69">
        <f>IF($CX15="P",CS15,(CS15+BO15)/2)</f>
        <v>1.3</v>
      </c>
      <c r="OF15" s="69">
        <f>IF($CX15="P",CT15,(CT15+BP15)/2)</f>
        <v>0.8</v>
      </c>
      <c r="OG15" s="69">
        <f>IF($CX15="P",CU15,(CU15+BQ15)/2)</f>
        <v>1</v>
      </c>
      <c r="OH15" s="69">
        <f>IF($CX15="P",CV15,(CV15+BR15)/2)</f>
        <v>1.5249999999999999</v>
      </c>
      <c r="OI15" s="69">
        <f>IF($CX15="P",CW15,(CW15+BS15)/2)</f>
        <v>0</v>
      </c>
      <c r="OJ15" s="80" t="s">
        <v>88</v>
      </c>
      <c r="OK15" s="11">
        <f>IF(SUM(NP15:NS15)-NT15&gt;0,SUM(NP15:NS15)-NT15,"")</f>
        <v>17.855</v>
      </c>
      <c r="OL15" s="11">
        <f>IF(NW15&gt;0,NW15,"")</f>
        <v>5.15</v>
      </c>
      <c r="OM15" s="11">
        <f>IF(SUM(NU15:NX15)-NY15&gt;0,SUM(NU15:NX15)-NY15,"")</f>
        <v>24.002500000000001</v>
      </c>
      <c r="ON15" s="11">
        <f>IF(OB15&gt;0,OB15,"")</f>
        <v>4.5999999999999996</v>
      </c>
      <c r="OO15" s="11">
        <f>IF(SUM(NZ15:OC15)-OD15&gt;0,SUM(NZ15:OC15)-OD15,"")</f>
        <v>22.537499999999998</v>
      </c>
      <c r="OP15" s="11">
        <f>IF(OR(OK15&lt;&gt;"",OM15&lt;&gt;"",OO15&lt;&gt;""),OK15+MAX(OM15,OO15),"")</f>
        <v>41.857500000000002</v>
      </c>
      <c r="OQ15" s="11">
        <f>IF(OG15&gt;0,OG15,"")</f>
        <v>1</v>
      </c>
      <c r="OR15" s="11">
        <f t="shared" si="0"/>
        <v>4.625</v>
      </c>
      <c r="OS15" s="11">
        <f t="shared" si="1"/>
        <v>46.482500000000002</v>
      </c>
    </row>
    <row r="16" spans="1:409" x14ac:dyDescent="0.2">
      <c r="A16" s="5" t="str" cm="1">
        <f t="array" ref="A16">IF(AND(G16&lt;&gt;"",H16&lt;&gt;""),SUMPRODUCT((G$4:G$18&lt;&gt;"")*(H$4:H$18&lt;&gt;"")*(E$4:E$18&gt;E16))+1,IF(H16&lt;&gt;"",SUMPRODUCT((I$4:I$18="No DD")*(E$4:E$18&gt;E16))+1+SUMPRODUCT((G$4:G$18&lt;&gt;"")*(H$4:H$18&lt;&gt;"")),""))</f>
        <v/>
      </c>
      <c r="B16" s="127" t="s">
        <v>170</v>
      </c>
      <c r="C16" s="5" t="s">
        <v>3</v>
      </c>
      <c r="D16" s="5">
        <v>2002</v>
      </c>
      <c r="E16" s="15">
        <f>SUM(K16:S16)</f>
        <v>230.17999999999998</v>
      </c>
      <c r="F16" s="3" t="str">
        <f>IF(G16&lt;&gt;"","P","")</f>
        <v/>
      </c>
      <c r="G16" s="125" t="str">
        <f>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Merit",IF(OR(AND(AR16&gt;=AY$22,AR16&lt;&gt;"",AP16=""),AND(AT16&gt;=AY$22,AT16&lt;&gt;"",AP16=""),AND(AW16&gt;=AY$22,AW16&lt;&gt;"",AP16=""),AND(BV16&gt;=CC$22,BV16&lt;&gt;"",BT16=""),AND(BX16&gt;=CC$22,BX16&lt;&gt;"",BT16=""),AND(CA16&gt;=CC$22,CA16&lt;&gt;"",BT16=""),AND(CZ16&gt;=DG$22,CZ16&lt;&gt;"",CX16=""),AND(DB16&gt;=DG$22,DB16&lt;&gt;"",CX16=""),AND(DE16&gt;=DG$22,DE16&lt;&gt;"",CX16=""),AND(EA16&gt;=EG$22,EA16&lt;&gt;""),AND(EE16&gt;=EG$22,EE16&lt;&gt;""),AND(EW16&gt;=FC$22,EW16&lt;&gt;""),AND(FA16&gt;=FC$22,FA16&lt;&gt;""),AND(FS16&gt;=FY$22,FS16&lt;&gt;""),AND(FW16&gt;=FY$22,FW16&lt;&gt;""),AND(GO16&gt;=GU$22,GO16&lt;&gt;""),AND(GS16&gt;=GU$22,GS16&lt;&gt;""),AND(HK16&gt;=HQ$22,HK16&lt;&gt;""),AND(HO16&gt;=HQ$22,HO16&lt;&gt;""),AND(IG16&gt;=IM$22,IG16&lt;&gt;""),AND(IK16&gt;=IM$22,IK16&lt;&gt;""),AND(JC16&gt;=JI$22,JC16&lt;&gt;""),AND(JG16&gt;=JI$22,JG16&lt;&gt;""),AND(JY16&gt;=KE$22,JY16&lt;&gt;""),AND(KC16&gt;=KE$22,KC16&lt;&gt;""),AND(KU16&gt;=LA$22,KU16&lt;&gt;""),AND(KY16&gt;=LA$22,KY16&lt;&gt;""),AND(LQ16&gt;=LW$22,LQ16&lt;&gt;""),AND(LU16&gt;=LW$22,LU16&lt;&gt;""),AND(MM16&gt;=MS$22,MM16&lt;&gt;""),AND(MQ16&gt;=MS$22,MQ16&lt;&gt;""),AND(NI16&gt;=NO$22,NI16&lt;&gt;""),AND(NM16&gt;=NO$22,NM16&lt;&gt;"")),"Excellence",IF(OR(AND(AR16&gt;=AY$21,AR16&lt;&gt;"",AP16=""),AND(AT16&gt;=AY$21,AT16&lt;&gt;"",AP16=""),AND(AW16&gt;=AY$21,AW16&lt;&gt;"",AP16=""),AND(BV16&gt;=CC$21,BV16&lt;&gt;"",BT16=""),AND(BX16&gt;=CC$21,BX16&lt;&gt;"",BT16=""),AND(CA16&gt;=CC$21,CA16&lt;&gt;"",BT16=""),AND(CZ16&gt;=DG$21,CZ16&lt;&gt;"",CX16=""),AND(DB16&gt;=DG$21,DB16&lt;&gt;"",CX16=""),AND(DE16&gt;=DG$21,DE16&lt;&gt;"",CX16=""),AND(EA16&gt;=EG$21,EA16&lt;&gt;""),AND(EE16&gt;=EG$21,EE16&lt;&gt;""),AND(EW16&gt;=FC$21,EW16&lt;&gt;""),AND(FA16&gt;=FC$21,FA16&lt;&gt;""),AND(FS16&gt;=FY$21,FS16&lt;&gt;""),AND(FW16&gt;=FY$21,FW16&lt;&gt;""),AND(GO16&gt;=GU$21,GO16&lt;&gt;""),AND(GS16&gt;=GU$21,GS16&lt;&gt;""),AND(HK16&gt;=HQ$21,HK16&lt;&gt;""),AND(HO16&gt;=HQ$21,HO16&lt;&gt;""),AND(IG16&gt;=IM$21,IG16&lt;&gt;""),AND(IK16&gt;=IM$21,IK16&lt;&gt;""),AND(JC16&gt;=JI$21,JC16&lt;&gt;""),AND(JG16&gt;=JI$21,JG16&lt;&gt;""),AND(JY16&gt;=KE$21,JY16&lt;&gt;""),AND(KC16&gt;=KE$21,KC16&lt;&gt;""),AND(KU16&gt;=LA$21,KU16&lt;&gt;""),AND(KY16&gt;=LA$21,KY16&lt;&gt;""),AND(LQ16&gt;=LW$21,LQ16&lt;&gt;""),AND(LU16&gt;=LW$21,LU16&lt;&gt;""),AND(MM16&gt;=MS$21,MM16&lt;&gt;""),AND(MQ16&gt;=MS$21,MQ16&lt;&gt;""),AND(NI16&gt;=NO$21,NI16&lt;&gt;""),AND(NM16&gt;=NO$21,NM16&lt;&gt;"")),"Worlds Team",IF(OR(AND(AR16&gt;=AY$20,AR16&lt;&gt;"",AP16=""),AND(AT16&gt;=AY$20,AT16&lt;&gt;"",AP16=""),AND(AW16&gt;=AY$20,AW16&lt;&gt;"",AP16=""),AND(BV16&gt;=CC$20,BV16&lt;&gt;"",BT16=""),AND(BX16&gt;=CC$20,BX16&lt;&gt;"",BT16=""),AND(CA16&gt;=CC$20,CA16&lt;&gt;"",BT16=""),AND(CZ16&gt;=DG$20,CZ16&lt;&gt;"",CX16=""),AND(DB16&gt;=DG$20,DB16&lt;&gt;"",CX16=""),AND(DE16&gt;=DG$20,DE16&lt;&gt;"",CX16=""),AND(EA16&gt;=EG$20,EA16&lt;&gt;""),AND(EE16&gt;=EG$20,EE16&lt;&gt;""),AND(EW16&gt;=FC$20,EW16&lt;&gt;""),AND(FA16&gt;=FC$20,FA16&lt;&gt;""),AND(FS16&gt;=FY$20,FS16&lt;&gt;""),AND(FW16&gt;=FY$20,FW16&lt;&gt;""),AND(GO16&gt;=GU$20,GO16&lt;&gt;""),AND(GS16&gt;=GU$20,GS16&lt;&gt;""),AND(HK16&gt;=HQ$20,HK16&lt;&gt;""),AND(HO16&gt;=HQ$20,HO16&lt;&gt;""),AND(IG16&gt;=IM$20,IG16&lt;&gt;""),AND(IK16&gt;=IM$20,IK16&lt;&gt;""),AND(JC16&gt;=JI$20,JC16&lt;&gt;""),AND(JG16&gt;=JI$20,JG16&lt;&gt;""),AND(JY16&gt;=KE$20,JY16&lt;&gt;""),AND(KC16&gt;=KE$20,KC16&lt;&gt;""),AND(KU16&gt;=LA$20,KU16&lt;&gt;""),AND(KY16&gt;=LA$20,KY16&lt;&gt;""),AND(LQ16&gt;=LW$20,LQ16&lt;&gt;""),AND(LU16&gt;=LW$20,LU16&lt;&gt;""),AND(MM16&gt;=MS$20,MM16&lt;&gt;""),AND(MQ16&gt;=MS$20,MQ16&lt;&gt;""),AND(NI16&gt;=NO$20,NI16&lt;&gt;""),AND(NM16&gt;=NO$20,NM16&lt;&gt;"")),"National Team",""))))</f>
        <v/>
      </c>
      <c r="H16" s="125" t="str">
        <f>IF(OR(AND(AS16&gt;=AY$27,AS16&lt;&gt;"",AP16=""),AND(AU16&gt;=AY$27,AU16&lt;&gt;"",AP16=""),AND(AX16&gt;=AY$27,AX16&lt;&gt;"",AP16=""),AND(BW16&gt;=CC$27,BW16&lt;&gt;"",BT16=""),AND(BY16&gt;=CC$27,BY16&lt;&gt;"",BT16=""),AND(CB16&gt;=CC$27,CB16&lt;&gt;"",BT16=""),AND(DA16&gt;=DG$27,DA16&lt;&gt;"",CX16=""),AND(DC16&gt;=DG$27,DC16&lt;&gt;"",CX16=""),AND(DF16&gt;=DG$27,DF16&lt;&gt;"",CX16=""),AND(EC16&gt;=EG$27,EC16&lt;&gt;""),AND(EF16&gt;=EG$27,EF16&lt;&gt;""),AND(EY16&gt;=FC$27,EY16&lt;&gt;""),AND(FB16&gt;=FC$27,FB16&lt;&gt;""),AND(FU16&gt;=FY$27,FU16&lt;&gt;""),AND(FX16&gt;=FY$27,FX16&lt;&gt;""),AND(GQ16&gt;=GU$27,GQ16&lt;&gt;""),AND(GT16&gt;=GU$27,GT16&lt;&gt;""),AND(HM16&gt;=HQ$27,HM16&lt;&gt;""),AND(HP16&gt;=HQ$27,HP16&lt;&gt;""),AND(II16&gt;=IM$27,II16&lt;&gt;""),AND(IL16&gt;=IM$27,IL16&lt;&gt;""),AND(JE16&gt;=JI$27,JE16&lt;&gt;""),AND(JH16&gt;=JI$27,JH16&lt;&gt;""),AND(KA16&gt;=KE$27,KA16&lt;&gt;""),AND(KD16&gt;=KE$27,KD16&lt;&gt;""),AND(KW16&gt;=LA$27,KW16&lt;&gt;""),AND(KZ16&gt;=LA$27,KZ16&lt;&gt;""),AND(LS16&gt;=LW$27,LS16&lt;&gt;""),AND(LV16&gt;=LW$27,LV16&lt;&gt;""),AND(MO16&gt;=MS$27,MO16&lt;&gt;""),AND(MR16&gt;=MS$27,MR16&lt;&gt;""),AND(NK16&gt;=NO$27,NK16&lt;&gt;""),AND(NN16&gt;=NO$27,NN16&lt;&gt;"")),"Merit",IF(OR(AND(AS16&gt;=AY$26,AS16&lt;&gt;"",AP16=""),AND(AU16&gt;=AY$26,AU16&lt;&gt;"",AP16=""),AND(AX16&gt;=AY$26,AX16&lt;&gt;"",AP16=""),AND(BW16&gt;=CC$26,BW16&lt;&gt;"",BT16=""),AND(BY16&gt;=CC$26,BY16&lt;&gt;"",BT16=""),AND(CB16&gt;=CC$26,CB16&lt;&gt;"",BT16=""),AND(DA16&gt;=DG$26,DA16&lt;&gt;"",CX16=""),AND(DC16&gt;=DG$26,DC16&lt;&gt;"",CX16=""),AND(DF16&gt;=DG$26,DF16&lt;&gt;"",CX16=""),AND(EC16&gt;=EG$26,EC16&lt;&gt;""),AND(EF16&gt;=EG$26,EF16&lt;&gt;""),AND(EY16&gt;=FC$26,EY16&lt;&gt;""),AND(FB16&gt;=FC$26,FB16&lt;&gt;""),AND(FU16&gt;=FY$26,FU16&lt;&gt;""),AND(FX16&gt;=FY$26,FX16&lt;&gt;""),AND(GQ16&gt;=GU$26,GQ16&lt;&gt;""),AND(GT16&gt;=GU$26,GT16&lt;&gt;""),AND(HM16&gt;=HQ$26,HM16&lt;&gt;""),AND(HP16&gt;=HQ$26,HP16&lt;&gt;""),AND(II16&gt;=IM$26,II16&lt;&gt;""),AND(IL16&gt;=IM$26,IL16&lt;&gt;""),AND(JE16&gt;=JI$26,JE16&lt;&gt;""),AND(JH16&gt;=JI$26,JH16&lt;&gt;""),AND(KA16&gt;=KE$26,KA16&lt;&gt;""),AND(KD16&gt;=KE$26,KD16&lt;&gt;""),AND(KW16&gt;=LA$26,KW16&lt;&gt;""),AND(KZ16&gt;=LA$26,KZ16&lt;&gt;""),AND(LS16&gt;=LW$26,LS16&lt;&gt;""),AND(LV16&gt;=LW$26,LV16&lt;&gt;""),AND(MO16&gt;=MS$26,MO16&lt;&gt;""),AND(MR16&gt;=MS$26,MR16&lt;&gt;""),AND(NK16&gt;=NO$26,NK16&lt;&gt;""),AND(NN16&gt;=NO$26,NN16&lt;&gt;"")),"Excellence",IF(OR(AND(AV16&gt;=AY$25,AV16&lt;&gt;"",AP16=""),AND(BZ16&gt;=CC$25,BZ16&lt;&gt;"",BT16=""),AND(DD16&gt;=DG$25,DD16&lt;&gt;"",CX16=""),AND(ED16&gt;=EG$25,ED16&lt;&gt;""),AND(EZ16&gt;=FC$25,EZ16&lt;&gt;""),AND(FV16&gt;=FY$25,FV16&lt;&gt;""),AND(GR16&gt;=GU$25,GR16&lt;&gt;""),AND(HN16&gt;=HQ$25,HN16&lt;&gt;""),AND(IJ16&gt;=IM$25,IJ16&lt;&gt;""),AND(JF16&gt;=JI$25,JF16&lt;&gt;""),AND(KB16&gt;=KE$25,KB16&lt;&gt;""),AND(KX16&gt;=LA$25,KX16&lt;&gt;""),AND(LT16&gt;=LW$25,LT16&lt;&gt;""),AND(MP16&gt;=MS$25,MP16&lt;&gt;""),AND(NL16&gt;=NO$25,NL16&lt;&gt;"")),"Worlds Team",IF(OR(AND(AV16&gt;=AY$24,AV16&lt;&gt;"",AP16=""),AND(BZ16&gt;=CC$24,BZ16&lt;&gt;"",BT16=""),AND(DD16&gt;=DG$24,DD16&lt;&gt;"",CX16=""),AND(ED16&gt;=EG$24,ED16&lt;&gt;""),AND(EZ16&gt;=FC$24,EZ16&lt;&gt;""),AND(FV16&gt;=FY$24,FV16&lt;&gt;""),AND(GR16&gt;=GU$24,GR16&lt;&gt;""),AND(HN16&gt;=HQ$24,HN16&lt;&gt;""),AND(IJ16&gt;=IM$24,IJ16&lt;&gt;""),AND(JF16&gt;=JI$24,JF16&lt;&gt;""),AND(KB16&gt;=KE$24,KB16&lt;&gt;""),AND(KX16&gt;=LA$24,KX16&lt;&gt;""),AND(LT16&gt;=LW$24,LT16&lt;&gt;""),AND(MP16&gt;=MS$24,MP16&lt;&gt;""),AND(NL16&gt;=NO$24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$25,AV16&lt;&gt;"",AP16=""),AND(BZ16&gt;=CC$25,BZ16&lt;&gt;"",BT16=""),AND(DD16&gt;=DG$25,DD16&lt;&gt;"",CX16=""),AND(ED16&gt;=EG$25,ED16&lt;&gt;""),AND(EZ16&gt;=FC$25,EZ16&lt;&gt;""),AND(FV16&gt;=FY$25,FV16&lt;&gt;""),AND(GR16&gt;=GU$25,GR16&lt;&gt;""),AND(HN16&gt;=HQ$25,HN16&lt;&gt;""),AND(IJ16&gt;=IM$25,IJ16&lt;&gt;""),AND(JF16&gt;=JI$25,JF16&lt;&gt;""),AND(KB16&gt;=KE$25,KB16&lt;&gt;""),AND(KX16&gt;=LA$25,KX16&lt;&gt;""),AND(LT16&gt;=LW$25,LT16&lt;&gt;""),AND(MP16&gt;=MS$25,MP16&lt;&gt;""),AND(NL16&gt;=NO$25,NL16&lt;&gt;"")),OR(G16="Worlds Team",G16="Excellence",G16="Merit")),"P","")</f>
        <v/>
      </c>
      <c r="K16" s="14">
        <f>IF(MAX(AV16,BZ16,DD16)&gt;0,MAX(AV16,BZ16,DD16),0)</f>
        <v>93.284999999999997</v>
      </c>
      <c r="L16" s="14" t="str">
        <f>IF(K16=0,"",IF(K16=DD16,$CD$1,IF(K16=BZ16,$AZ$1,IF(K16=AV16,$V$1,""))))</f>
        <v>2019 Nationals</v>
      </c>
      <c r="M16" s="14">
        <f>IF($K16=$AV16,MAX(BU16,CY16),IF($K16=$BZ16,MAX(AQ16,CY16),IF($K16=$DD16,MAX(AQ16,BU16),MAX(AQ16,BU16,CY16))))</f>
        <v>41.974999999999994</v>
      </c>
      <c r="N16" s="14" t="str">
        <f>IF(M16=0,"",IF(AND(M16=CY16,$L16&lt;&gt;$CD$1),$CD$1,IF(AND(M16=BU16,$L16&lt;&gt;$AZ$1),$AZ$1,IF(AND(M16=AQ16,$L16&lt;&gt;$V$1),$V$1,""))))</f>
        <v>2021 1st Virtual Technical Trial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46.389999999999993</v>
      </c>
      <c r="P16" s="14" t="str">
        <f>IF(O16=0,"",IF(OR(O16=DC16,O16=DA16),$CD$1,IF(OR(O16=BY16,O16=BW16),$AZ$1,IF(OR(O16=AU16,O16=AS16),$V$1,""))))</f>
        <v>2021 2nd Virtual Technical Trial</v>
      </c>
      <c r="Q16" s="14">
        <f>MAX(AX16,CB16,DF16)</f>
        <v>48.53</v>
      </c>
      <c r="R16" s="14" t="str">
        <f>IF(Q16=0,"",IF(Q16=DF16,$CD$1,IF(Q16=CB16,$AZ$1,IF(Q16=AX16,$V$1,""))))</f>
        <v>2019 Nationals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17.100000000000001</v>
      </c>
      <c r="W16" s="69">
        <v>9.6</v>
      </c>
      <c r="X16" s="69">
        <v>3.9</v>
      </c>
      <c r="Y16" s="69">
        <v>14.8</v>
      </c>
      <c r="Z16" s="69">
        <v>0</v>
      </c>
      <c r="AA16" s="69">
        <v>12.6</v>
      </c>
      <c r="AB16" s="69">
        <v>9.5</v>
      </c>
      <c r="AC16" s="69">
        <v>11.4</v>
      </c>
      <c r="AD16" s="69">
        <v>14.385</v>
      </c>
      <c r="AE16" s="69">
        <v>0</v>
      </c>
      <c r="AF16" s="69"/>
      <c r="AG16" s="69"/>
      <c r="AH16" s="69"/>
      <c r="AI16" s="69"/>
      <c r="AJ16" s="69"/>
      <c r="AK16" s="69">
        <v>14.9</v>
      </c>
      <c r="AL16" s="69">
        <v>9.1</v>
      </c>
      <c r="AM16" s="69">
        <v>10.5</v>
      </c>
      <c r="AN16" s="69">
        <v>14.03</v>
      </c>
      <c r="AO16" s="69">
        <v>0</v>
      </c>
      <c r="AP16" s="80"/>
      <c r="AQ16" s="11">
        <f>IF(SUM(V16:Y16)-Z16&gt;0,SUM(V16:Y16)-Z16,"")</f>
        <v>45.400000000000006</v>
      </c>
      <c r="AR16" s="11">
        <f>IF(AC16&gt;0,AC16,"")</f>
        <v>11.4</v>
      </c>
      <c r="AS16" s="11">
        <f>IF(SUM(AA16:AD16)-AE16&gt;0,SUM(AA16:AD16)-AE16,"")</f>
        <v>47.884999999999998</v>
      </c>
      <c r="AT16" s="11" t="str">
        <f>IF(AH16&gt;0,AH16,"")</f>
        <v/>
      </c>
      <c r="AU16" s="11" t="str">
        <f>IF(SUM(AF16:AI16)-AJ16&gt;0,SUM(AF16:AI16)-AJ16,"")</f>
        <v/>
      </c>
      <c r="AV16" s="11">
        <f>IF(AQ16="",IF(MAX(AS16,AU16)&gt;0,MAX(AS16,AU16),""),MAX(AS16,AU16)+AQ16)</f>
        <v>93.284999999999997</v>
      </c>
      <c r="AW16" s="11">
        <f>IF(AM16&gt;0,AM16,"")</f>
        <v>10.5</v>
      </c>
      <c r="AX16" s="11">
        <f>IF(SUM(AK16:AN16)-AO16&gt;0,SUM(AK16:AN16)-AO16,"")</f>
        <v>48.53</v>
      </c>
      <c r="AY16" s="11">
        <f>IF(SUM(AV16,AX16)&gt;0,SUM(AV16,AX16),"")</f>
        <v>141.815</v>
      </c>
      <c r="AZ16" s="75">
        <v>15</v>
      </c>
      <c r="BA16" s="75">
        <v>8.9499999999999993</v>
      </c>
      <c r="BB16" s="75">
        <v>3.9</v>
      </c>
      <c r="BC16" s="75">
        <v>14.125</v>
      </c>
      <c r="BD16" s="75">
        <v>0</v>
      </c>
      <c r="BE16" s="75">
        <v>8.1</v>
      </c>
      <c r="BF16" s="75">
        <v>5.4</v>
      </c>
      <c r="BG16" s="75">
        <v>5.9</v>
      </c>
      <c r="BH16" s="75">
        <v>8.6349999999999998</v>
      </c>
      <c r="BI16" s="75">
        <v>0</v>
      </c>
      <c r="BJ16" s="75">
        <v>9.8000000000000007</v>
      </c>
      <c r="BK16" s="75">
        <v>6.8</v>
      </c>
      <c r="BL16" s="75">
        <v>7.2</v>
      </c>
      <c r="BM16" s="75">
        <v>10.19</v>
      </c>
      <c r="BN16" s="75">
        <v>0</v>
      </c>
      <c r="BO16" s="75">
        <v>3.3</v>
      </c>
      <c r="BP16" s="75">
        <v>2.5</v>
      </c>
      <c r="BQ16" s="75">
        <v>2.6</v>
      </c>
      <c r="BR16" s="75">
        <v>4.335</v>
      </c>
      <c r="BS16" s="75">
        <v>0</v>
      </c>
      <c r="BT16" s="81"/>
      <c r="BU16" s="14">
        <f>IF(SUM(AZ16:BC16)-BD16&gt;0,SUM(AZ16:BC16)-BD16,"")</f>
        <v>41.974999999999994</v>
      </c>
      <c r="BV16" s="14">
        <f>IF(BG16&gt;0,BG16,"")</f>
        <v>5.9</v>
      </c>
      <c r="BW16" s="14">
        <f>IF(SUM(BE16:BH16)-BI16&gt;0,SUM(BE16:BH16)-BI16,"")</f>
        <v>28.034999999999997</v>
      </c>
      <c r="BX16" s="14">
        <f>IF(BL16&gt;0,BL16,"")</f>
        <v>7.2</v>
      </c>
      <c r="BY16" s="14">
        <f>IF(SUM(BJ16:BM16)-BN16&gt;0,SUM(BJ16:BM16)-BN16,"")</f>
        <v>33.99</v>
      </c>
      <c r="BZ16" s="14">
        <f>IF(BU16="",IF(MAX(BW16,BY16)&gt;0,MAX(BW16,BY16),""),MAX(BW16,BY16)+BU16)</f>
        <v>75.965000000000003</v>
      </c>
      <c r="CA16" s="14">
        <f>IF(BQ16&gt;0,BQ16,"")</f>
        <v>2.6</v>
      </c>
      <c r="CB16" s="14">
        <f>IF(SUM(BO16:BR16)-BS16&gt;0,SUM(BO16:BR16)-BS16,"")</f>
        <v>12.734999999999999</v>
      </c>
      <c r="CC16" s="14">
        <f>IF(SUM(BZ16,CB16)&gt;0,SUM(BZ16,CB16),"")</f>
        <v>88.7</v>
      </c>
      <c r="CD16" s="69">
        <v>2.9</v>
      </c>
      <c r="CE16" s="69">
        <v>1.6</v>
      </c>
      <c r="CF16" s="69">
        <v>1.5</v>
      </c>
      <c r="CG16" s="69">
        <v>2.85</v>
      </c>
      <c r="CH16" s="69">
        <v>0</v>
      </c>
      <c r="CI16" s="69">
        <v>11.8</v>
      </c>
      <c r="CJ16" s="69">
        <v>7.9</v>
      </c>
      <c r="CK16" s="69">
        <v>9.1</v>
      </c>
      <c r="CL16" s="69">
        <v>12.605</v>
      </c>
      <c r="CM16" s="69">
        <v>0</v>
      </c>
      <c r="CN16" s="69">
        <v>13.7</v>
      </c>
      <c r="CO16" s="69">
        <v>9.1</v>
      </c>
      <c r="CP16" s="69">
        <v>10.5</v>
      </c>
      <c r="CQ16" s="69">
        <v>13.79</v>
      </c>
      <c r="CR16" s="69">
        <v>0.7</v>
      </c>
      <c r="CS16" s="69">
        <v>13.4</v>
      </c>
      <c r="CT16" s="69">
        <v>8.8000000000000007</v>
      </c>
      <c r="CU16" s="69">
        <v>9.8000000000000007</v>
      </c>
      <c r="CV16" s="69">
        <v>13.975</v>
      </c>
      <c r="CW16" s="69">
        <v>1.4</v>
      </c>
      <c r="CX16" s="80"/>
      <c r="CY16" s="11">
        <f>IF(SUM(CD16:CG16)-CH16&gt;0,SUM(CD16:CG16)-CH16,"")</f>
        <v>8.85</v>
      </c>
      <c r="CZ16" s="11">
        <f>IF(CK16&gt;0,CK16,"")</f>
        <v>9.1</v>
      </c>
      <c r="DA16" s="11">
        <f>IF(SUM(CI16:CL16)-CM16&gt;0,SUM(CI16:CL16)-CM16,"")</f>
        <v>41.405000000000001</v>
      </c>
      <c r="DB16" s="11">
        <f>IF(CP16&gt;0,CP16,"")</f>
        <v>10.5</v>
      </c>
      <c r="DC16" s="11">
        <f>IF(SUM(CN16:CQ16)-CR16&gt;0,SUM(CN16:CQ16)-CR16,"")</f>
        <v>46.389999999999993</v>
      </c>
      <c r="DD16" s="11">
        <f>IF(CY16="",IF(MAX(DA16,DC16)&gt;0,MAX(DA16,DC16),""),MAX(DA16,DC16)+CY16)</f>
        <v>55.239999999999995</v>
      </c>
      <c r="DE16" s="11">
        <f>IF(CU16&gt;0,CU16,"")</f>
        <v>9.8000000000000007</v>
      </c>
      <c r="DF16" s="11">
        <f>IF(SUM(CS16:CV16)-CW16&gt;0,SUM(CS16:CV16)-CW16,"")</f>
        <v>44.575000000000003</v>
      </c>
      <c r="DG16" s="11">
        <f>IF(SUM(DD16,DF16)&gt;0,SUM(DD16,DF16),"")</f>
        <v>99.814999999999998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8.9499999999999993</v>
      </c>
      <c r="NQ16" s="69">
        <f>IF($CX16="P",CE16,(CE16+BA16)/2)</f>
        <v>5.2749999999999995</v>
      </c>
      <c r="NR16" s="69">
        <f>IF($CX16="P",CF16,(CF16+BB16)/2)</f>
        <v>2.7</v>
      </c>
      <c r="NS16" s="69">
        <f>IF($CX16="P",CG16,(CG16+BC16)/2)</f>
        <v>8.4875000000000007</v>
      </c>
      <c r="NT16" s="69">
        <f>IF($CX16="P",CH16,(CH16+BD16)/2)</f>
        <v>0</v>
      </c>
      <c r="NU16" s="69">
        <f>IF($CX16="P",CI16,(CI16+BE16)/2)</f>
        <v>9.9499999999999993</v>
      </c>
      <c r="NV16" s="69">
        <f>IF($CX16="P",CJ16,(CJ16+BF16)/2)</f>
        <v>6.65</v>
      </c>
      <c r="NW16" s="69">
        <f>IF($CX16="P",CK16,(CK16+BG16)/2)</f>
        <v>7.5</v>
      </c>
      <c r="NX16" s="69">
        <f>IF($CX16="P",CL16,(CL16+BH16)/2)</f>
        <v>10.620000000000001</v>
      </c>
      <c r="NY16" s="69">
        <f>IF($CX16="P",CM16,(CM16+BI16)/2)</f>
        <v>0</v>
      </c>
      <c r="NZ16" s="69">
        <f>IF($CX16="P",CN16,(CN16+BJ16)/2)</f>
        <v>11.75</v>
      </c>
      <c r="OA16" s="69">
        <f>IF($CX16="P",CO16,(CO16+BK16)/2)</f>
        <v>7.9499999999999993</v>
      </c>
      <c r="OB16" s="69">
        <f>IF($CX16="P",CP16,(CP16+BL16)/2)</f>
        <v>8.85</v>
      </c>
      <c r="OC16" s="69">
        <f>IF($CX16="P",CQ16,(CQ16+BM16)/2)</f>
        <v>11.989999999999998</v>
      </c>
      <c r="OD16" s="69">
        <f>IF($CX16="P",CR16,(CR16+BN16)/2)</f>
        <v>0.35</v>
      </c>
      <c r="OE16" s="69">
        <f>IF($CX16="P",CS16,(CS16+BO16)/2)</f>
        <v>8.35</v>
      </c>
      <c r="OF16" s="69">
        <f>IF($CX16="P",CT16,(CT16+BP16)/2)</f>
        <v>5.65</v>
      </c>
      <c r="OG16" s="69">
        <f>IF($CX16="P",CU16,(CU16+BQ16)/2)</f>
        <v>6.2</v>
      </c>
      <c r="OH16" s="69">
        <f>IF($CX16="P",CV16,(CV16+BR16)/2)</f>
        <v>9.1549999999999994</v>
      </c>
      <c r="OI16" s="69">
        <f>IF($CX16="P",CW16,(CW16+BS16)/2)</f>
        <v>0.7</v>
      </c>
      <c r="OJ16" s="80" t="s">
        <v>88</v>
      </c>
      <c r="OK16" s="11">
        <f>IF(SUM(NP16:NS16)-NT16&gt;0,SUM(NP16:NS16)-NT16,"")</f>
        <v>25.412499999999998</v>
      </c>
      <c r="OL16" s="11">
        <f>IF(NW16&gt;0,NW16,"")</f>
        <v>7.5</v>
      </c>
      <c r="OM16" s="11">
        <f>IF(SUM(NU16:NX16)-NY16&gt;0,SUM(NU16:NX16)-NY16,"")</f>
        <v>34.72</v>
      </c>
      <c r="ON16" s="11">
        <f>IF(OB16&gt;0,OB16,"")</f>
        <v>8.85</v>
      </c>
      <c r="OO16" s="11">
        <f>IF(SUM(NZ16:OC16)-OD16&gt;0,SUM(NZ16:OC16)-OD16,"")</f>
        <v>40.189999999999991</v>
      </c>
      <c r="OP16" s="11">
        <f>IF(OR(OK16&lt;&gt;"",OM16&lt;&gt;"",OO16&lt;&gt;""),OK16+MAX(OM16,OO16),"")</f>
        <v>65.602499999999992</v>
      </c>
      <c r="OQ16" s="11">
        <f>IF(OG16&gt;0,OG16,"")</f>
        <v>6.2</v>
      </c>
      <c r="OR16" s="11">
        <f t="shared" si="0"/>
        <v>28.654999999999998</v>
      </c>
      <c r="OS16" s="11">
        <f t="shared" si="1"/>
        <v>94.257499999999993</v>
      </c>
    </row>
    <row r="17" spans="1:409" x14ac:dyDescent="0.2">
      <c r="A17" s="5" t="str" cm="1">
        <f t="array" ref="A17">IF(AND(G17&lt;&gt;"",H17&lt;&gt;""),SUMPRODUCT((G$4:G$18&lt;&gt;"")*(H$4:H$18&lt;&gt;"")*(E$4:E$18&gt;E17))+1,IF(H17&lt;&gt;"",SUMPRODUCT((I$4:I$18="No DD")*(E$4:E$18&gt;E17))+1+SUMPRODUCT((G$4:G$18&lt;&gt;"")*(H$4:H$18&lt;&gt;"")),""))</f>
        <v/>
      </c>
      <c r="B17" s="127" t="s">
        <v>40</v>
      </c>
      <c r="C17" s="5" t="s">
        <v>10</v>
      </c>
      <c r="D17" s="5">
        <v>1995</v>
      </c>
      <c r="E17" s="15">
        <f>SUM(K17:S17)</f>
        <v>139.18</v>
      </c>
      <c r="F17" s="3" t="str">
        <f>IF(G17&lt;&gt;"","P","")</f>
        <v/>
      </c>
      <c r="G17" s="125" t="str">
        <f>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Merit",IF(OR(AND(AR17&gt;=AY$22,AR17&lt;&gt;"",AP17=""),AND(AT17&gt;=AY$22,AT17&lt;&gt;"",AP17=""),AND(AW17&gt;=AY$22,AW17&lt;&gt;"",AP17=""),AND(BV17&gt;=CC$22,BV17&lt;&gt;"",BT17=""),AND(BX17&gt;=CC$22,BX17&lt;&gt;"",BT17=""),AND(CA17&gt;=CC$22,CA17&lt;&gt;"",BT17=""),AND(CZ17&gt;=DG$22,CZ17&lt;&gt;"",CX17=""),AND(DB17&gt;=DG$22,DB17&lt;&gt;"",CX17=""),AND(DE17&gt;=DG$22,DE17&lt;&gt;"",CX17=""),AND(EA17&gt;=EG$22,EA17&lt;&gt;""),AND(EE17&gt;=EG$22,EE17&lt;&gt;""),AND(EW17&gt;=FC$22,EW17&lt;&gt;""),AND(FA17&gt;=FC$22,FA17&lt;&gt;""),AND(FS17&gt;=FY$22,FS17&lt;&gt;""),AND(FW17&gt;=FY$22,FW17&lt;&gt;""),AND(GO17&gt;=GU$22,GO17&lt;&gt;""),AND(GS17&gt;=GU$22,GS17&lt;&gt;""),AND(HK17&gt;=HQ$22,HK17&lt;&gt;""),AND(HO17&gt;=HQ$22,HO17&lt;&gt;""),AND(IG17&gt;=IM$22,IG17&lt;&gt;""),AND(IK17&gt;=IM$22,IK17&lt;&gt;""),AND(JC17&gt;=JI$22,JC17&lt;&gt;""),AND(JG17&gt;=JI$22,JG17&lt;&gt;""),AND(JY17&gt;=KE$22,JY17&lt;&gt;""),AND(KC17&gt;=KE$22,KC17&lt;&gt;""),AND(KU17&gt;=LA$22,KU17&lt;&gt;""),AND(KY17&gt;=LA$22,KY17&lt;&gt;""),AND(LQ17&gt;=LW$22,LQ17&lt;&gt;""),AND(LU17&gt;=LW$22,LU17&lt;&gt;""),AND(MM17&gt;=MS$22,MM17&lt;&gt;""),AND(MQ17&gt;=MS$22,MQ17&lt;&gt;""),AND(NI17&gt;=NO$22,NI17&lt;&gt;""),AND(NM17&gt;=NO$22,NM17&lt;&gt;"")),"Excellence",IF(OR(AND(AR17&gt;=AY$21,AR17&lt;&gt;"",AP17=""),AND(AT17&gt;=AY$21,AT17&lt;&gt;"",AP17=""),AND(AW17&gt;=AY$21,AW17&lt;&gt;"",AP17=""),AND(BV17&gt;=CC$21,BV17&lt;&gt;"",BT17=""),AND(BX17&gt;=CC$21,BX17&lt;&gt;"",BT17=""),AND(CA17&gt;=CC$21,CA17&lt;&gt;"",BT17=""),AND(CZ17&gt;=DG$21,CZ17&lt;&gt;"",CX17=""),AND(DB17&gt;=DG$21,DB17&lt;&gt;"",CX17=""),AND(DE17&gt;=DG$21,DE17&lt;&gt;"",CX17=""),AND(EA17&gt;=EG$21,EA17&lt;&gt;""),AND(EE17&gt;=EG$21,EE17&lt;&gt;""),AND(EW17&gt;=FC$21,EW17&lt;&gt;""),AND(FA17&gt;=FC$21,FA17&lt;&gt;""),AND(FS17&gt;=FY$21,FS17&lt;&gt;""),AND(FW17&gt;=FY$21,FW17&lt;&gt;""),AND(GO17&gt;=GU$21,GO17&lt;&gt;""),AND(GS17&gt;=GU$21,GS17&lt;&gt;""),AND(HK17&gt;=HQ$21,HK17&lt;&gt;""),AND(HO17&gt;=HQ$21,HO17&lt;&gt;""),AND(IG17&gt;=IM$21,IG17&lt;&gt;""),AND(IK17&gt;=IM$21,IK17&lt;&gt;""),AND(JC17&gt;=JI$21,JC17&lt;&gt;""),AND(JG17&gt;=JI$21,JG17&lt;&gt;""),AND(JY17&gt;=KE$21,JY17&lt;&gt;""),AND(KC17&gt;=KE$21,KC17&lt;&gt;""),AND(KU17&gt;=LA$21,KU17&lt;&gt;""),AND(KY17&gt;=LA$21,KY17&lt;&gt;""),AND(LQ17&gt;=LW$21,LQ17&lt;&gt;""),AND(LU17&gt;=LW$21,LU17&lt;&gt;""),AND(MM17&gt;=MS$21,MM17&lt;&gt;""),AND(MQ17&gt;=MS$21,MQ17&lt;&gt;""),AND(NI17&gt;=NO$21,NI17&lt;&gt;""),AND(NM17&gt;=NO$21,NM17&lt;&gt;"")),"Worlds Team",IF(OR(AND(AR17&gt;=AY$20,AR17&lt;&gt;"",AP17=""),AND(AT17&gt;=AY$20,AT17&lt;&gt;"",AP17=""),AND(AW17&gt;=AY$20,AW17&lt;&gt;"",AP17=""),AND(BV17&gt;=CC$20,BV17&lt;&gt;"",BT17=""),AND(BX17&gt;=CC$20,BX17&lt;&gt;"",BT17=""),AND(CA17&gt;=CC$20,CA17&lt;&gt;"",BT17=""),AND(CZ17&gt;=DG$20,CZ17&lt;&gt;"",CX17=""),AND(DB17&gt;=DG$20,DB17&lt;&gt;"",CX17=""),AND(DE17&gt;=DG$20,DE17&lt;&gt;"",CX17=""),AND(EA17&gt;=EG$20,EA17&lt;&gt;""),AND(EE17&gt;=EG$20,EE17&lt;&gt;""),AND(EW17&gt;=FC$20,EW17&lt;&gt;""),AND(FA17&gt;=FC$20,FA17&lt;&gt;""),AND(FS17&gt;=FY$20,FS17&lt;&gt;""),AND(FW17&gt;=FY$20,FW17&lt;&gt;""),AND(GO17&gt;=GU$20,GO17&lt;&gt;""),AND(GS17&gt;=GU$20,GS17&lt;&gt;""),AND(HK17&gt;=HQ$20,HK17&lt;&gt;""),AND(HO17&gt;=HQ$20,HO17&lt;&gt;""),AND(IG17&gt;=IM$20,IG17&lt;&gt;""),AND(IK17&gt;=IM$20,IK17&lt;&gt;""),AND(JC17&gt;=JI$20,JC17&lt;&gt;""),AND(JG17&gt;=JI$20,JG17&lt;&gt;""),AND(JY17&gt;=KE$20,JY17&lt;&gt;""),AND(KC17&gt;=KE$20,KC17&lt;&gt;""),AND(KU17&gt;=LA$20,KU17&lt;&gt;""),AND(KY17&gt;=LA$20,KY17&lt;&gt;""),AND(LQ17&gt;=LW$20,LQ17&lt;&gt;""),AND(LU17&gt;=LW$20,LU17&lt;&gt;""),AND(MM17&gt;=MS$20,MM17&lt;&gt;""),AND(MQ17&gt;=MS$20,MQ17&lt;&gt;""),AND(NI17&gt;=NO$20,NI17&lt;&gt;""),AND(NM17&gt;=NO$20,NM17&lt;&gt;"")),"National Team",""))))</f>
        <v/>
      </c>
      <c r="H17" s="125" t="str">
        <f>IF(OR(AND(AS17&gt;=AY$27,AS17&lt;&gt;"",AP17=""),AND(AU17&gt;=AY$27,AU17&lt;&gt;"",AP17=""),AND(AX17&gt;=AY$27,AX17&lt;&gt;"",AP17=""),AND(BW17&gt;=CC$27,BW17&lt;&gt;"",BT17=""),AND(BY17&gt;=CC$27,BY17&lt;&gt;"",BT17=""),AND(CB17&gt;=CC$27,CB17&lt;&gt;"",BT17=""),AND(DA17&gt;=DG$27,DA17&lt;&gt;"",CX17=""),AND(DC17&gt;=DG$27,DC17&lt;&gt;"",CX17=""),AND(DF17&gt;=DG$27,DF17&lt;&gt;"",CX17=""),AND(EC17&gt;=EG$27,EC17&lt;&gt;""),AND(EF17&gt;=EG$27,EF17&lt;&gt;""),AND(EY17&gt;=FC$27,EY17&lt;&gt;""),AND(FB17&gt;=FC$27,FB17&lt;&gt;""),AND(FU17&gt;=FY$27,FU17&lt;&gt;""),AND(FX17&gt;=FY$27,FX17&lt;&gt;""),AND(GQ17&gt;=GU$27,GQ17&lt;&gt;""),AND(GT17&gt;=GU$27,GT17&lt;&gt;""),AND(HM17&gt;=HQ$27,HM17&lt;&gt;""),AND(HP17&gt;=HQ$27,HP17&lt;&gt;""),AND(II17&gt;=IM$27,II17&lt;&gt;""),AND(IL17&gt;=IM$27,IL17&lt;&gt;""),AND(JE17&gt;=JI$27,JE17&lt;&gt;""),AND(JH17&gt;=JI$27,JH17&lt;&gt;""),AND(KA17&gt;=KE$27,KA17&lt;&gt;""),AND(KD17&gt;=KE$27,KD17&lt;&gt;""),AND(KW17&gt;=LA$27,KW17&lt;&gt;""),AND(KZ17&gt;=LA$27,KZ17&lt;&gt;""),AND(LS17&gt;=LW$27,LS17&lt;&gt;""),AND(LV17&gt;=LW$27,LV17&lt;&gt;""),AND(MO17&gt;=MS$27,MO17&lt;&gt;""),AND(MR17&gt;=MS$27,MR17&lt;&gt;""),AND(NK17&gt;=NO$27,NK17&lt;&gt;""),AND(NN17&gt;=NO$27,NN17&lt;&gt;"")),"Merit",IF(OR(AND(AS17&gt;=AY$26,AS17&lt;&gt;"",AP17=""),AND(AU17&gt;=AY$26,AU17&lt;&gt;"",AP17=""),AND(AX17&gt;=AY$26,AX17&lt;&gt;"",AP17=""),AND(BW17&gt;=CC$26,BW17&lt;&gt;"",BT17=""),AND(BY17&gt;=CC$26,BY17&lt;&gt;"",BT17=""),AND(CB17&gt;=CC$26,CB17&lt;&gt;"",BT17=""),AND(DA17&gt;=DG$26,DA17&lt;&gt;"",CX17=""),AND(DC17&gt;=DG$26,DC17&lt;&gt;"",CX17=""),AND(DF17&gt;=DG$26,DF17&lt;&gt;"",CX17=""),AND(EC17&gt;=EG$26,EC17&lt;&gt;""),AND(EF17&gt;=EG$26,EF17&lt;&gt;""),AND(EY17&gt;=FC$26,EY17&lt;&gt;""),AND(FB17&gt;=FC$26,FB17&lt;&gt;""),AND(FU17&gt;=FY$26,FU17&lt;&gt;""),AND(FX17&gt;=FY$26,FX17&lt;&gt;""),AND(GQ17&gt;=GU$26,GQ17&lt;&gt;""),AND(GT17&gt;=GU$26,GT17&lt;&gt;""),AND(HM17&gt;=HQ$26,HM17&lt;&gt;""),AND(HP17&gt;=HQ$26,HP17&lt;&gt;""),AND(II17&gt;=IM$26,II17&lt;&gt;""),AND(IL17&gt;=IM$26,IL17&lt;&gt;""),AND(JE17&gt;=JI$26,JE17&lt;&gt;""),AND(JH17&gt;=JI$26,JH17&lt;&gt;""),AND(KA17&gt;=KE$26,KA17&lt;&gt;""),AND(KD17&gt;=KE$26,KD17&lt;&gt;""),AND(KW17&gt;=LA$26,KW17&lt;&gt;""),AND(KZ17&gt;=LA$26,KZ17&lt;&gt;""),AND(LS17&gt;=LW$26,LS17&lt;&gt;""),AND(LV17&gt;=LW$26,LV17&lt;&gt;""),AND(MO17&gt;=MS$26,MO17&lt;&gt;""),AND(MR17&gt;=MS$26,MR17&lt;&gt;""),AND(NK17&gt;=NO$26,NK17&lt;&gt;""),AND(NN17&gt;=NO$26,NN17&lt;&gt;"")),"Excellence",IF(OR(AND(AV17&gt;=AY$25,AV17&lt;&gt;"",AP17=""),AND(BZ17&gt;=CC$25,BZ17&lt;&gt;"",BT17=""),AND(DD17&gt;=DG$25,DD17&lt;&gt;"",CX17=""),AND(ED17&gt;=EG$25,ED17&lt;&gt;""),AND(EZ17&gt;=FC$25,EZ17&lt;&gt;""),AND(FV17&gt;=FY$25,FV17&lt;&gt;""),AND(GR17&gt;=GU$25,GR17&lt;&gt;""),AND(HN17&gt;=HQ$25,HN17&lt;&gt;""),AND(IJ17&gt;=IM$25,IJ17&lt;&gt;""),AND(JF17&gt;=JI$25,JF17&lt;&gt;""),AND(KB17&gt;=KE$25,KB17&lt;&gt;""),AND(KX17&gt;=LA$25,KX17&lt;&gt;""),AND(LT17&gt;=LW$25,LT17&lt;&gt;""),AND(MP17&gt;=MS$25,MP17&lt;&gt;""),AND(NL17&gt;=NO$25,NL17&lt;&gt;"")),"Worlds Team",IF(OR(AND(AV17&gt;=AY$24,AV17&lt;&gt;"",AP17=""),AND(BZ17&gt;=CC$24,BZ17&lt;&gt;"",BT17=""),AND(DD17&gt;=DG$24,DD17&lt;&gt;"",CX17=""),AND(ED17&gt;=EG$24,ED17&lt;&gt;""),AND(EZ17&gt;=FC$24,EZ17&lt;&gt;""),AND(FV17&gt;=FY$24,FV17&lt;&gt;""),AND(GR17&gt;=GU$24,GR17&lt;&gt;""),AND(HN17&gt;=HQ$24,HN17&lt;&gt;""),AND(IJ17&gt;=IM$24,IJ17&lt;&gt;""),AND(JF17&gt;=JI$24,JF17&lt;&gt;""),AND(KB17&gt;=KE$24,KB17&lt;&gt;""),AND(KX17&gt;=LA$24,KX17&lt;&gt;""),AND(LT17&gt;=LW$24,LT17&lt;&gt;""),AND(MP17&gt;=MS$24,MP17&lt;&gt;""),AND(NL17&gt;=NO$24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$25,AV17&lt;&gt;"",AP17=""),AND(BZ17&gt;=CC$25,BZ17&lt;&gt;"",BT17=""),AND(DD17&gt;=DG$25,DD17&lt;&gt;"",CX17=""),AND(ED17&gt;=EG$25,ED17&lt;&gt;""),AND(EZ17&gt;=FC$25,EZ17&lt;&gt;""),AND(FV17&gt;=FY$25,FV17&lt;&gt;""),AND(GR17&gt;=GU$25,GR17&lt;&gt;""),AND(HN17&gt;=HQ$25,HN17&lt;&gt;""),AND(IJ17&gt;=IM$25,IJ17&lt;&gt;""),AND(JF17&gt;=JI$25,JF17&lt;&gt;""),AND(KB17&gt;=KE$25,KB17&lt;&gt;""),AND(KX17&gt;=LA$25,KX17&lt;&gt;""),AND(LT17&gt;=LW$25,LT17&lt;&gt;""),AND(MP17&gt;=MS$25,MP17&lt;&gt;""),AND(NL17&gt;=NO$25,NL17&lt;&gt;"")),OR(G17="Worlds Team",G17="Excellence",G17="Merit")),"P","")</f>
        <v/>
      </c>
      <c r="K17" s="14">
        <f>IF(MAX(AV17,BZ17,DD17)&gt;0,MAX(AV17,BZ17,DD17),0)</f>
        <v>90.935000000000002</v>
      </c>
      <c r="L17" s="14" t="str">
        <f>IF(K17=0,"",IF(K17=DD17,$CD$1,IF(K17=BZ17,$AZ$1,IF(K17=AV17,$V$1,""))))</f>
        <v>2019 Nationals</v>
      </c>
      <c r="M17" s="14">
        <f>IF($K17=$AV17,MAX(BU17,CY17),IF($K17=$BZ17,MAX(AQ17,CY17),IF($K17=$DD17,MAX(AQ17,BU17),MAX(AQ17,BU17,CY17))))</f>
        <v>0</v>
      </c>
      <c r="N17" s="14" t="str">
        <f>IF(M17=0,"",IF(AND(M17=CY17,$L17&lt;&gt;$CD$1),$CD$1,IF(AND(M17=BU17,$L17&lt;&gt;$AZ$1),$AZ$1,IF(AND(M17=AQ17,$L17&lt;&gt;$V$1),$V$1,""))))</f>
        <v/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0</v>
      </c>
      <c r="P17" s="14" t="str">
        <f>IF(O17=0,"",IF(OR(O17=DC17,O17=DA17),$CD$1,IF(OR(O17=BY17,O17=BW17),$AZ$1,IF(OR(O17=AU17,O17=AS17),$V$1,""))))</f>
        <v/>
      </c>
      <c r="Q17" s="14">
        <f>MAX(AX17,CB17,DF17)</f>
        <v>48.245000000000005</v>
      </c>
      <c r="R17" s="14" t="str">
        <f>IF(Q17=0,"",IF(Q17=DF17,$CD$1,IF(Q17=CB17,$AZ$1,IF(Q17=AX17,$V$1,""))))</f>
        <v>2019 Nationals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15.9</v>
      </c>
      <c r="W17" s="69">
        <v>9.3000000000000007</v>
      </c>
      <c r="X17" s="69">
        <v>4</v>
      </c>
      <c r="Y17" s="69">
        <v>14</v>
      </c>
      <c r="Z17" s="69">
        <v>0</v>
      </c>
      <c r="AA17" s="69">
        <v>13.1</v>
      </c>
      <c r="AB17" s="69">
        <v>9.5</v>
      </c>
      <c r="AC17" s="69">
        <v>11.4</v>
      </c>
      <c r="AD17" s="69">
        <v>13.734999999999999</v>
      </c>
      <c r="AE17" s="69">
        <v>0</v>
      </c>
      <c r="AF17" s="69"/>
      <c r="AG17" s="69"/>
      <c r="AH17" s="69"/>
      <c r="AI17" s="69"/>
      <c r="AJ17" s="69"/>
      <c r="AK17" s="69">
        <v>13.78</v>
      </c>
      <c r="AL17" s="69">
        <v>9.3000000000000007</v>
      </c>
      <c r="AM17" s="69">
        <v>11.2</v>
      </c>
      <c r="AN17" s="69">
        <v>13.965</v>
      </c>
      <c r="AO17" s="69"/>
      <c r="AP17" s="80"/>
      <c r="AQ17" s="11">
        <f>IF(SUM(V17:Y17)-Z17&gt;0,SUM(V17:Y17)-Z17,"")</f>
        <v>43.2</v>
      </c>
      <c r="AR17" s="11">
        <f>IF(AC17&gt;0,AC17,"")</f>
        <v>11.4</v>
      </c>
      <c r="AS17" s="11">
        <f>IF(SUM(AA17:AD17)-AE17&gt;0,SUM(AA17:AD17)-AE17,"")</f>
        <v>47.734999999999999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90.935000000000002</v>
      </c>
      <c r="AW17" s="11">
        <f>IF(AM17&gt;0,AM17,"")</f>
        <v>11.2</v>
      </c>
      <c r="AX17" s="11">
        <f>IF(SUM(AK17:AN17)-AO17&gt;0,SUM(AK17:AN17)-AO17,"")</f>
        <v>48.245000000000005</v>
      </c>
      <c r="AY17" s="11">
        <f>IF(SUM(AV17,AX17)&gt;0,SUM(AV17,AX17),"")</f>
        <v>139.18</v>
      </c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81"/>
      <c r="BU17" s="14" t="str">
        <f>IF(SUM(AZ17:BC17)-BD17&gt;0,SUM(AZ17:BC17)-BD17,"")</f>
        <v/>
      </c>
      <c r="BV17" s="14" t="str">
        <f>IF(BG17&gt;0,BG17,"")</f>
        <v/>
      </c>
      <c r="BW17" s="14" t="str">
        <f>IF(SUM(BE17:BH17)-BI17&gt;0,SUM(BE17:BH17)-BI17,"")</f>
        <v/>
      </c>
      <c r="BX17" s="14" t="str">
        <f>IF(BL17&gt;0,BL17,"")</f>
        <v/>
      </c>
      <c r="BY17" s="14" t="str">
        <f>IF(SUM(BJ17:BM17)-BN17&gt;0,SUM(BJ17:BM17)-BN17,"")</f>
        <v/>
      </c>
      <c r="BZ17" s="14" t="str">
        <f>IF(BU17="",IF(MAX(BW17,BY17)&gt;0,MAX(BW17,BY17),""),MAX(BW17,BY17)+BU17)</f>
        <v/>
      </c>
      <c r="CA17" s="14" t="str">
        <f>IF(BQ17&gt;0,BQ17,"")</f>
        <v/>
      </c>
      <c r="CB17" s="14" t="str">
        <f>IF(SUM(BO17:BR17)-BS17&gt;0,SUM(BO17:BR17)-BS17,"")</f>
        <v/>
      </c>
      <c r="CC17" s="14" t="str">
        <f>IF(SUM(BZ17,CB17)&gt;0,SUM(BZ17,CB17),"")</f>
        <v/>
      </c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80"/>
      <c r="CY17" s="11" t="str">
        <f>IF(SUM(CD17:CG17)-CH17&gt;0,SUM(CD17:CG17)-CH17,"")</f>
        <v/>
      </c>
      <c r="CZ17" s="11" t="str">
        <f>IF(CK17&gt;0,CK17,"")</f>
        <v/>
      </c>
      <c r="DA17" s="11" t="str">
        <f>IF(SUM(CI17:CL17)-CM17&gt;0,SUM(CI17:CL17)-CM17,"")</f>
        <v/>
      </c>
      <c r="DB17" s="11" t="str">
        <f>IF(CP17&gt;0,CP17,"")</f>
        <v/>
      </c>
      <c r="DC17" s="11" t="str">
        <f>IF(SUM(CN17:CQ17)-CR17&gt;0,SUM(CN17:CQ17)-CR17,"")</f>
        <v/>
      </c>
      <c r="DD17" s="11" t="str">
        <f>IF(CY17="",IF(MAX(DA17,DC17)&gt;0,MAX(DA17,DC17),""),MAX(DA17,DC17)+CY17)</f>
        <v/>
      </c>
      <c r="DE17" s="11" t="str">
        <f>IF(CU17&gt;0,CU17,"")</f>
        <v/>
      </c>
      <c r="DF17" s="11" t="str">
        <f>IF(SUM(CS17:CV17)-CW17&gt;0,SUM(CS17:CV17)-CW17,"")</f>
        <v/>
      </c>
      <c r="DG17" s="11" t="str">
        <f>IF(SUM(DD17,DF17)&gt;0,SUM(DD17,DF17),"")</f>
        <v/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0</v>
      </c>
      <c r="NQ17" s="69">
        <f>IF($CX17="P",CE17,(CE17+BA17)/2)</f>
        <v>0</v>
      </c>
      <c r="NR17" s="69">
        <f>IF($CX17="P",CF17,(CF17+BB17)/2)</f>
        <v>0</v>
      </c>
      <c r="NS17" s="69">
        <f>IF($CX17="P",CG17,(CG17+BC17)/2)</f>
        <v>0</v>
      </c>
      <c r="NT17" s="69">
        <f>IF($CX17="P",CH17,(CH17+BD17)/2)</f>
        <v>0</v>
      </c>
      <c r="NU17" s="69">
        <f>IF($CX17="P",CI17,(CI17+BE17)/2)</f>
        <v>0</v>
      </c>
      <c r="NV17" s="69">
        <f>IF($CX17="P",CJ17,(CJ17+BF17)/2)</f>
        <v>0</v>
      </c>
      <c r="NW17" s="69">
        <f>IF($CX17="P",CK17,(CK17+BG17)/2)</f>
        <v>0</v>
      </c>
      <c r="NX17" s="69">
        <f>IF($CX17="P",CL17,(CL17+BH17)/2)</f>
        <v>0</v>
      </c>
      <c r="NY17" s="69">
        <f>IF($CX17="P",CM17,(CM17+BI17)/2)</f>
        <v>0</v>
      </c>
      <c r="NZ17" s="69">
        <f>IF($CX17="P",CN17,(CN17+BJ17)/2)</f>
        <v>0</v>
      </c>
      <c r="OA17" s="69">
        <f>IF($CX17="P",CO17,(CO17+BK17)/2)</f>
        <v>0</v>
      </c>
      <c r="OB17" s="69">
        <f>IF($CX17="P",CP17,(CP17+BL17)/2)</f>
        <v>0</v>
      </c>
      <c r="OC17" s="69">
        <f>IF($CX17="P",CQ17,(CQ17+BM17)/2)</f>
        <v>0</v>
      </c>
      <c r="OD17" s="69">
        <f>IF($CX17="P",CR17,(CR17+BN17)/2)</f>
        <v>0</v>
      </c>
      <c r="OE17" s="69">
        <f>IF($CX17="P",CS17,(CS17+BO17)/2)</f>
        <v>0</v>
      </c>
      <c r="OF17" s="69">
        <f>IF($CX17="P",CT17,(CT17+BP17)/2)</f>
        <v>0</v>
      </c>
      <c r="OG17" s="69">
        <f>IF($CX17="P",CU17,(CU17+BQ17)/2)</f>
        <v>0</v>
      </c>
      <c r="OH17" s="69">
        <f>IF($CX17="P",CV17,(CV17+BR17)/2)</f>
        <v>0</v>
      </c>
      <c r="OI17" s="69">
        <f>IF($CX17="P",CW17,(CW17+BS17)/2)</f>
        <v>0</v>
      </c>
      <c r="OJ17" s="80" t="s">
        <v>88</v>
      </c>
      <c r="OK17" s="11" t="str">
        <f>IF(SUM(NP17:NS17)-NT17&gt;0,SUM(NP17:NS17)-NT17,"")</f>
        <v/>
      </c>
      <c r="OL17" s="11" t="str">
        <f>IF(NW17&gt;0,NW17,"")</f>
        <v/>
      </c>
      <c r="OM17" s="11" t="str">
        <f>IF(SUM(NU17:NX17)-NY17&gt;0,SUM(NU17:NX17)-NY17,"")</f>
        <v/>
      </c>
      <c r="ON17" s="11" t="str">
        <f>IF(OB17&gt;0,OB17,"")</f>
        <v/>
      </c>
      <c r="OO17" s="11" t="str">
        <f>IF(SUM(NZ17:OC17)-OD17&gt;0,SUM(NZ17:OC17)-OD17,"")</f>
        <v/>
      </c>
      <c r="OP17" s="11" t="str">
        <f>IF(OR(OK17&lt;&gt;"",OM17&lt;&gt;"",OO17&lt;&gt;""),OK17+MAX(OM17,OO17),"")</f>
        <v/>
      </c>
      <c r="OQ17" s="11" t="str">
        <f>IF(OG17&gt;0,OG17,"")</f>
        <v/>
      </c>
      <c r="OR17" s="11" t="str">
        <f t="shared" ref="OR17" si="2">IF(SUM(OE17:OH17)-OI17&gt;0,SUM(OE17:OH17)-OI17,"")</f>
        <v/>
      </c>
      <c r="OS17" s="11" t="str">
        <f t="shared" ref="OS17" si="3">IF(SUM(OP17,OR17)&gt;0,SUM(OP17,OR17),"")</f>
        <v/>
      </c>
    </row>
    <row r="18" spans="1:409" x14ac:dyDescent="0.2">
      <c r="B18" s="6"/>
      <c r="D18" s="1"/>
    </row>
    <row r="19" spans="1:409" x14ac:dyDescent="0.2">
      <c r="H19" s="125"/>
      <c r="J19" s="125"/>
    </row>
    <row r="20" spans="1:409" x14ac:dyDescent="0.2">
      <c r="B20" s="70" t="s">
        <v>78</v>
      </c>
      <c r="C20" s="56"/>
      <c r="H20" s="3"/>
      <c r="AR20" s="124"/>
      <c r="AS20" s="124"/>
      <c r="AT20" s="124"/>
      <c r="AW20" s="54"/>
      <c r="AY20" s="64">
        <v>12.2</v>
      </c>
      <c r="BV20" s="124"/>
      <c r="BW20" s="124"/>
      <c r="BX20" s="124"/>
      <c r="CA20" s="54"/>
      <c r="CC20" s="64">
        <v>12.2</v>
      </c>
      <c r="CZ20" s="124"/>
      <c r="DA20" s="124"/>
      <c r="DB20" s="124"/>
      <c r="DE20" s="54"/>
      <c r="DG20" s="64">
        <v>12.2</v>
      </c>
      <c r="EA20" s="56"/>
      <c r="EE20" s="54"/>
      <c r="EG20" s="64">
        <v>12.2</v>
      </c>
      <c r="EW20" s="56"/>
      <c r="FA20" s="54"/>
      <c r="FC20" s="64">
        <v>12.2</v>
      </c>
      <c r="FS20" s="56"/>
      <c r="FW20" s="54"/>
      <c r="FY20" s="64">
        <v>12.2</v>
      </c>
      <c r="GO20" s="56"/>
      <c r="GS20" s="54"/>
      <c r="GU20" s="64">
        <v>12.2</v>
      </c>
      <c r="HK20" s="56"/>
      <c r="HO20" s="54"/>
      <c r="HQ20" s="64">
        <v>12.2</v>
      </c>
      <c r="IG20" s="56"/>
      <c r="IK20" s="54"/>
      <c r="IM20" s="64">
        <v>12.2</v>
      </c>
      <c r="JC20" s="56"/>
      <c r="JG20" s="54"/>
      <c r="JI20" s="64">
        <v>12.2</v>
      </c>
      <c r="JY20" s="56"/>
      <c r="KC20" s="54"/>
      <c r="KE20" s="64">
        <v>12.2</v>
      </c>
      <c r="KU20" s="56"/>
      <c r="KY20" s="54"/>
      <c r="LA20" s="64">
        <v>12.2</v>
      </c>
      <c r="LQ20" s="56"/>
      <c r="LU20" s="54"/>
      <c r="LW20" s="64">
        <v>12.2</v>
      </c>
      <c r="MM20" s="56"/>
      <c r="MQ20" s="54"/>
      <c r="MS20" s="64">
        <v>12.2</v>
      </c>
      <c r="NI20" s="56"/>
      <c r="NM20" s="54"/>
      <c r="NO20" s="64">
        <v>12.2</v>
      </c>
    </row>
    <row r="21" spans="1:409" x14ac:dyDescent="0.2">
      <c r="B21" s="91" t="s">
        <v>77</v>
      </c>
      <c r="C21" s="56"/>
      <c r="AR21" s="124"/>
      <c r="AS21" s="124"/>
      <c r="AT21" s="124"/>
      <c r="AW21" s="54"/>
      <c r="AY21" s="93">
        <v>13.1</v>
      </c>
      <c r="BV21" s="124"/>
      <c r="BW21" s="124"/>
      <c r="BX21" s="124"/>
      <c r="CA21" s="54"/>
      <c r="CC21" s="93">
        <v>13.1</v>
      </c>
      <c r="CZ21" s="124"/>
      <c r="DA21" s="124"/>
      <c r="DB21" s="124"/>
      <c r="DE21" s="54"/>
      <c r="DG21" s="93">
        <v>13.1</v>
      </c>
      <c r="EA21" s="56"/>
      <c r="EE21" s="54"/>
      <c r="EG21" s="93">
        <v>13.1</v>
      </c>
      <c r="EW21" s="56"/>
      <c r="FA21" s="54"/>
      <c r="FC21" s="93">
        <v>13.1</v>
      </c>
      <c r="FS21" s="56"/>
      <c r="FW21" s="54"/>
      <c r="FY21" s="93">
        <v>13.1</v>
      </c>
      <c r="GO21" s="56"/>
      <c r="GS21" s="54"/>
      <c r="GU21" s="93">
        <v>13.1</v>
      </c>
      <c r="HK21" s="56"/>
      <c r="HO21" s="54"/>
      <c r="HQ21" s="93">
        <v>13.1</v>
      </c>
      <c r="IG21" s="56"/>
      <c r="IK21" s="54"/>
      <c r="IM21" s="93">
        <v>13.1</v>
      </c>
      <c r="JC21" s="56"/>
      <c r="JG21" s="54"/>
      <c r="JI21" s="93">
        <v>13.1</v>
      </c>
      <c r="JY21" s="56"/>
      <c r="KC21" s="54"/>
      <c r="KE21" s="93">
        <v>13.1</v>
      </c>
      <c r="KU21" s="56"/>
      <c r="KY21" s="54"/>
      <c r="LA21" s="93">
        <v>13.1</v>
      </c>
      <c r="LQ21" s="56"/>
      <c r="LU21" s="54"/>
      <c r="LW21" s="93">
        <v>13.1</v>
      </c>
      <c r="MM21" s="56"/>
      <c r="MQ21" s="54"/>
      <c r="MS21" s="93">
        <v>13.1</v>
      </c>
      <c r="NI21" s="56"/>
      <c r="NM21" s="54"/>
      <c r="NO21" s="93">
        <v>13.1</v>
      </c>
    </row>
    <row r="22" spans="1:409" x14ac:dyDescent="0.2">
      <c r="A22" s="56"/>
      <c r="B22" s="92" t="s">
        <v>109</v>
      </c>
      <c r="C22" s="56"/>
      <c r="AR22" s="124"/>
      <c r="AS22" s="124"/>
      <c r="AT22" s="124"/>
      <c r="AV22" s="54"/>
      <c r="AW22" s="54"/>
      <c r="AX22" s="54"/>
      <c r="AY22" s="94">
        <v>13.1</v>
      </c>
      <c r="BV22" s="124"/>
      <c r="BW22" s="124"/>
      <c r="BX22" s="124"/>
      <c r="CA22" s="54"/>
      <c r="CC22" s="94">
        <v>13.1</v>
      </c>
      <c r="CZ22" s="124"/>
      <c r="DA22" s="124"/>
      <c r="DB22" s="124"/>
      <c r="DD22" s="54"/>
      <c r="DE22" s="54"/>
      <c r="DF22" s="54"/>
      <c r="DG22" s="94">
        <v>13.1</v>
      </c>
      <c r="EA22" s="56"/>
      <c r="EE22" s="54"/>
      <c r="EG22" s="94">
        <v>13.1</v>
      </c>
      <c r="EW22" s="56"/>
      <c r="FA22" s="54"/>
      <c r="FC22" s="94">
        <v>13.1</v>
      </c>
      <c r="FS22" s="56"/>
      <c r="FW22" s="54"/>
      <c r="FY22" s="94">
        <v>13.1</v>
      </c>
      <c r="GO22" s="56"/>
      <c r="GS22" s="54"/>
      <c r="GU22" s="94">
        <v>13.1</v>
      </c>
      <c r="HK22" s="56"/>
      <c r="HO22" s="54"/>
      <c r="HQ22" s="94">
        <v>13.1</v>
      </c>
      <c r="IG22" s="56"/>
      <c r="IK22" s="54"/>
      <c r="IM22" s="94">
        <v>13.1</v>
      </c>
      <c r="JC22" s="56"/>
      <c r="JG22" s="54"/>
      <c r="JI22" s="94">
        <v>13.1</v>
      </c>
      <c r="JY22" s="56"/>
      <c r="KC22" s="54"/>
      <c r="KE22" s="94">
        <v>13.1</v>
      </c>
      <c r="KU22" s="56"/>
      <c r="KY22" s="54"/>
      <c r="LA22" s="94">
        <v>13.1</v>
      </c>
      <c r="LQ22" s="56"/>
      <c r="LU22" s="54"/>
      <c r="LW22" s="94">
        <v>13.1</v>
      </c>
      <c r="MM22" s="56"/>
      <c r="MQ22" s="54"/>
      <c r="MS22" s="94">
        <v>13.1</v>
      </c>
      <c r="NI22" s="56"/>
      <c r="NM22" s="54"/>
      <c r="NO22" s="94">
        <v>13.1</v>
      </c>
    </row>
    <row r="23" spans="1:409" x14ac:dyDescent="0.2">
      <c r="A23" s="56"/>
      <c r="B23" s="120" t="s">
        <v>158</v>
      </c>
      <c r="C23" s="56"/>
      <c r="AR23" s="124"/>
      <c r="AS23" s="124"/>
      <c r="AT23" s="124"/>
      <c r="AV23" s="54"/>
      <c r="AW23" s="54"/>
      <c r="AX23" s="54"/>
      <c r="AY23" s="121">
        <v>13.1</v>
      </c>
      <c r="BV23" s="124"/>
      <c r="BW23" s="124"/>
      <c r="BX23" s="124"/>
      <c r="CA23" s="54"/>
      <c r="CC23" s="121">
        <v>13.1</v>
      </c>
      <c r="CZ23" s="124"/>
      <c r="DA23" s="124"/>
      <c r="DB23" s="124"/>
      <c r="DD23" s="54"/>
      <c r="DE23" s="54"/>
      <c r="DF23" s="54"/>
      <c r="DG23" s="121">
        <v>13.1</v>
      </c>
      <c r="EA23" s="56"/>
      <c r="EE23" s="54"/>
      <c r="EG23" s="121">
        <v>13.1</v>
      </c>
      <c r="EW23" s="56"/>
      <c r="FA23" s="54"/>
      <c r="FC23" s="121">
        <v>13.1</v>
      </c>
      <c r="FS23" s="56"/>
      <c r="FW23" s="54"/>
      <c r="FY23" s="121">
        <v>13.1</v>
      </c>
      <c r="GO23" s="56"/>
      <c r="GS23" s="54"/>
      <c r="GU23" s="121">
        <v>13.1</v>
      </c>
      <c r="HK23" s="56"/>
      <c r="HO23" s="54"/>
      <c r="HQ23" s="121">
        <v>13.1</v>
      </c>
      <c r="IG23" s="56"/>
      <c r="IK23" s="54"/>
      <c r="IM23" s="121">
        <v>13.1</v>
      </c>
      <c r="JC23" s="56"/>
      <c r="JG23" s="54"/>
      <c r="JI23" s="121">
        <v>13.1</v>
      </c>
      <c r="JY23" s="56"/>
      <c r="KC23" s="54"/>
      <c r="KE23" s="121">
        <v>13.1</v>
      </c>
      <c r="KU23" s="56"/>
      <c r="KY23" s="54"/>
      <c r="LA23" s="121">
        <v>13.1</v>
      </c>
      <c r="LQ23" s="56"/>
      <c r="LU23" s="54"/>
      <c r="LW23" s="121">
        <v>13.1</v>
      </c>
      <c r="MM23" s="56"/>
      <c r="MQ23" s="54"/>
      <c r="MS23" s="121">
        <v>13.1</v>
      </c>
      <c r="NI23" s="56"/>
      <c r="NM23" s="54"/>
      <c r="NO23" s="121">
        <v>13.1</v>
      </c>
    </row>
    <row r="24" spans="1:409" x14ac:dyDescent="0.2">
      <c r="A24" s="56"/>
      <c r="B24" s="118" t="s">
        <v>75</v>
      </c>
      <c r="C24" s="56"/>
      <c r="O24" s="2"/>
      <c r="AR24" s="124"/>
      <c r="AS24" s="124"/>
      <c r="AT24" s="124"/>
      <c r="AV24" s="54"/>
      <c r="AW24" s="54"/>
      <c r="AX24" s="54"/>
      <c r="AY24" s="119">
        <v>96.8</v>
      </c>
      <c r="BV24" s="124"/>
      <c r="BW24" s="124"/>
      <c r="BX24" s="124"/>
      <c r="CA24" s="54"/>
      <c r="CC24" s="119">
        <v>95.5</v>
      </c>
      <c r="CZ24" s="124"/>
      <c r="DA24" s="124"/>
      <c r="DB24" s="124"/>
      <c r="DD24" s="54"/>
      <c r="DE24" s="54"/>
      <c r="DF24" s="54"/>
      <c r="DG24" s="119">
        <v>95.5</v>
      </c>
      <c r="EA24" s="56"/>
      <c r="EE24" s="54"/>
      <c r="EG24" s="119">
        <v>96.8</v>
      </c>
      <c r="EW24" s="56"/>
      <c r="FA24" s="54"/>
      <c r="FC24" s="119">
        <v>95.5</v>
      </c>
      <c r="FS24" s="56"/>
      <c r="FW24" s="54"/>
      <c r="FY24" s="119">
        <v>95.5</v>
      </c>
      <c r="GO24" s="56"/>
      <c r="GS24" s="54"/>
      <c r="GU24" s="119">
        <v>95.5</v>
      </c>
      <c r="HK24" s="56"/>
      <c r="HO24" s="54"/>
      <c r="HQ24" s="119">
        <v>95.5</v>
      </c>
      <c r="IG24" s="56"/>
      <c r="IK24" s="54"/>
      <c r="IM24" s="119">
        <v>95.5</v>
      </c>
      <c r="JC24" s="56"/>
      <c r="JG24" s="54"/>
      <c r="JI24" s="119">
        <v>95.5</v>
      </c>
      <c r="JY24" s="56"/>
      <c r="KC24" s="54"/>
      <c r="KE24" s="119">
        <v>95.5</v>
      </c>
      <c r="KU24" s="56"/>
      <c r="KY24" s="54"/>
      <c r="LA24" s="119">
        <v>95.5</v>
      </c>
      <c r="LQ24" s="56"/>
      <c r="LU24" s="54"/>
      <c r="LW24" s="119">
        <v>95.5</v>
      </c>
      <c r="MM24" s="56"/>
      <c r="MQ24" s="54"/>
      <c r="MS24" s="119">
        <v>95.5</v>
      </c>
      <c r="NI24" s="56"/>
      <c r="NM24" s="54"/>
      <c r="NO24" s="119">
        <v>95.5</v>
      </c>
    </row>
    <row r="25" spans="1:409" x14ac:dyDescent="0.2">
      <c r="A25" s="56"/>
      <c r="B25" s="72" t="s">
        <v>76</v>
      </c>
      <c r="C25" s="56"/>
      <c r="O25" s="2"/>
      <c r="AR25" s="124"/>
      <c r="AS25" s="124"/>
      <c r="AT25" s="124"/>
      <c r="AV25" s="54"/>
      <c r="AW25" s="54"/>
      <c r="AX25" s="54"/>
      <c r="AY25" s="66">
        <v>98.8</v>
      </c>
      <c r="BV25" s="124"/>
      <c r="BW25" s="124"/>
      <c r="BX25" s="124"/>
      <c r="CA25" s="54"/>
      <c r="CC25" s="66">
        <v>97.5</v>
      </c>
      <c r="CZ25" s="124"/>
      <c r="DA25" s="124"/>
      <c r="DB25" s="124"/>
      <c r="DD25" s="54"/>
      <c r="DE25" s="54"/>
      <c r="DF25" s="54"/>
      <c r="DG25" s="66">
        <v>97.5</v>
      </c>
      <c r="EA25" s="56"/>
      <c r="EE25" s="54"/>
      <c r="EG25" s="66">
        <v>98.8</v>
      </c>
      <c r="EW25" s="56"/>
      <c r="FA25" s="54"/>
      <c r="FC25" s="66">
        <v>97.5</v>
      </c>
      <c r="FS25" s="56"/>
      <c r="FW25" s="54"/>
      <c r="FY25" s="66">
        <v>97.5</v>
      </c>
      <c r="GO25" s="56"/>
      <c r="GS25" s="54"/>
      <c r="GU25" s="66">
        <v>97.5</v>
      </c>
      <c r="HK25" s="56"/>
      <c r="HO25" s="54"/>
      <c r="HQ25" s="66">
        <v>97.5</v>
      </c>
      <c r="IG25" s="56"/>
      <c r="IK25" s="54"/>
      <c r="IM25" s="66">
        <v>97.5</v>
      </c>
      <c r="JC25" s="56"/>
      <c r="JG25" s="54"/>
      <c r="JI25" s="66">
        <v>97.5</v>
      </c>
      <c r="JY25" s="56"/>
      <c r="KC25" s="54"/>
      <c r="KE25" s="66">
        <v>97.5</v>
      </c>
      <c r="KU25" s="56"/>
      <c r="KY25" s="54"/>
      <c r="LA25" s="66">
        <v>97.5</v>
      </c>
      <c r="LQ25" s="56"/>
      <c r="LU25" s="54"/>
      <c r="LW25" s="66">
        <v>97.5</v>
      </c>
      <c r="MM25" s="56"/>
      <c r="MQ25" s="54"/>
      <c r="MS25" s="66">
        <v>97.5</v>
      </c>
      <c r="NI25" s="56"/>
      <c r="NM25" s="54"/>
      <c r="NO25" s="66">
        <v>97.5</v>
      </c>
    </row>
    <row r="26" spans="1:409" x14ac:dyDescent="0.2">
      <c r="A26" s="56"/>
      <c r="B26" s="116" t="s">
        <v>107</v>
      </c>
      <c r="C26" s="56"/>
      <c r="AR26" s="124"/>
      <c r="AS26" s="124"/>
      <c r="AT26" s="124"/>
      <c r="AV26" s="54"/>
      <c r="AW26" s="54"/>
      <c r="AX26" s="130" t="s">
        <v>166</v>
      </c>
      <c r="AY26" s="117">
        <v>54</v>
      </c>
      <c r="BV26" s="124"/>
      <c r="BW26" s="124"/>
      <c r="BX26" s="124"/>
      <c r="CA26" s="54"/>
      <c r="CB26" s="129"/>
      <c r="CC26" s="117">
        <v>53</v>
      </c>
      <c r="CZ26" s="124"/>
      <c r="DA26" s="124"/>
      <c r="DB26" s="124"/>
      <c r="DD26" s="54"/>
      <c r="DE26" s="54"/>
      <c r="DF26" s="54"/>
      <c r="DG26" s="117">
        <v>53</v>
      </c>
      <c r="EA26" s="56"/>
      <c r="EE26" s="54"/>
      <c r="EF26" t="s">
        <v>166</v>
      </c>
      <c r="EG26" s="117">
        <v>53.8</v>
      </c>
      <c r="EW26" s="56"/>
      <c r="FA26" s="54"/>
      <c r="FC26" s="117">
        <v>53</v>
      </c>
      <c r="FS26" s="56"/>
      <c r="FW26" s="54"/>
      <c r="FY26" s="117">
        <v>53</v>
      </c>
      <c r="GO26" s="56"/>
      <c r="GS26" s="54"/>
      <c r="GT26" s="129"/>
      <c r="GU26" s="117">
        <v>53</v>
      </c>
      <c r="HK26" s="56"/>
      <c r="HO26" s="54"/>
      <c r="HP26" s="129"/>
      <c r="HQ26" s="117">
        <v>53</v>
      </c>
      <c r="IG26" s="56"/>
      <c r="IK26" s="54"/>
      <c r="IM26" s="117">
        <v>53</v>
      </c>
      <c r="JC26" s="56"/>
      <c r="JG26" s="54"/>
      <c r="JI26" s="117">
        <v>53</v>
      </c>
      <c r="JY26" s="56"/>
      <c r="KC26" s="54"/>
      <c r="KD26" s="131"/>
      <c r="KE26" s="117">
        <v>53</v>
      </c>
      <c r="KU26" s="56"/>
      <c r="KY26" s="54"/>
      <c r="LA26" s="117">
        <v>53</v>
      </c>
      <c r="LQ26" s="56"/>
      <c r="LU26" s="54"/>
      <c r="LW26" s="117">
        <v>53</v>
      </c>
      <c r="MM26" s="56"/>
      <c r="MQ26" s="54"/>
      <c r="MR26" s="131"/>
      <c r="MS26" s="117">
        <v>53</v>
      </c>
      <c r="NI26" s="56"/>
      <c r="NM26" s="54"/>
      <c r="NO26" s="117">
        <v>53</v>
      </c>
    </row>
    <row r="27" spans="1:409" x14ac:dyDescent="0.2">
      <c r="A27" s="56"/>
      <c r="B27" s="74" t="s">
        <v>57</v>
      </c>
      <c r="C27" s="56"/>
      <c r="O27" s="2"/>
      <c r="AR27" s="124"/>
      <c r="AS27" s="124"/>
      <c r="AT27" s="124"/>
      <c r="AV27" s="54"/>
      <c r="AW27" s="54"/>
      <c r="AX27" s="54"/>
      <c r="AY27" s="68">
        <v>55</v>
      </c>
      <c r="BV27" s="124"/>
      <c r="BW27" s="124"/>
      <c r="BX27" s="124"/>
      <c r="CA27" s="54"/>
      <c r="CC27" s="68">
        <v>54.5</v>
      </c>
      <c r="CZ27" s="124"/>
      <c r="DA27" s="124"/>
      <c r="DB27" s="124"/>
      <c r="DD27" s="54"/>
      <c r="DE27" s="54"/>
      <c r="DF27" s="54"/>
      <c r="DG27" s="68">
        <v>54.5</v>
      </c>
      <c r="EA27" s="56"/>
      <c r="EE27" s="54"/>
      <c r="EG27" s="68">
        <v>55</v>
      </c>
      <c r="EW27" s="56"/>
      <c r="FA27" s="54"/>
      <c r="FC27" s="68">
        <v>54.5</v>
      </c>
      <c r="FS27" s="56"/>
      <c r="FW27" s="54"/>
      <c r="FY27" s="68">
        <v>54.5</v>
      </c>
      <c r="GO27" s="56"/>
      <c r="GS27" s="54"/>
      <c r="GT27" s="129"/>
      <c r="GU27" s="68">
        <v>54.5</v>
      </c>
      <c r="HK27" s="56"/>
      <c r="HO27" s="54"/>
      <c r="HQ27" s="68">
        <v>54.5</v>
      </c>
      <c r="IG27" s="56"/>
      <c r="IK27" s="54"/>
      <c r="IM27" s="68">
        <v>54.5</v>
      </c>
      <c r="JC27" s="56"/>
      <c r="JG27" s="54"/>
      <c r="JI27" s="68">
        <v>54.5</v>
      </c>
      <c r="JY27" s="56"/>
      <c r="KC27" s="54"/>
      <c r="KE27" s="68">
        <v>54.5</v>
      </c>
      <c r="KU27" s="56"/>
      <c r="KY27" s="54"/>
      <c r="LA27" s="68">
        <v>54.5</v>
      </c>
      <c r="LQ27" s="56"/>
      <c r="LU27" s="54"/>
      <c r="LW27" s="68">
        <v>54.5</v>
      </c>
      <c r="MM27" s="56"/>
      <c r="MQ27" s="54"/>
      <c r="MS27" s="68">
        <v>54.5</v>
      </c>
      <c r="NI27" s="56"/>
      <c r="NM27" s="54"/>
      <c r="NO27" s="68">
        <v>54.5</v>
      </c>
    </row>
    <row r="28" spans="1:409" x14ac:dyDescent="0.2">
      <c r="B28" s="82" t="s">
        <v>89</v>
      </c>
      <c r="C28" s="2"/>
      <c r="AU28" s="54"/>
      <c r="AV28" s="54"/>
      <c r="AX28" s="54"/>
      <c r="DC28" s="54"/>
      <c r="DD28" s="54"/>
      <c r="DF28" s="54"/>
      <c r="EX28" s="54"/>
    </row>
    <row r="29" spans="1:409" x14ac:dyDescent="0.2">
      <c r="A29" s="56"/>
      <c r="B29" s="56"/>
      <c r="C29" s="55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409" ht="17" x14ac:dyDescent="0.2">
      <c r="A30" s="56"/>
      <c r="B30" s="56"/>
      <c r="C30" s="55"/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409" ht="17" x14ac:dyDescent="0.2">
      <c r="A31" s="56"/>
      <c r="B31" s="56"/>
      <c r="C31" s="55"/>
      <c r="S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409" ht="17" x14ac:dyDescent="0.2">
      <c r="S32" s="19"/>
      <c r="T32" s="19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9:110" ht="17" x14ac:dyDescent="0.2"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9:110" ht="17" x14ac:dyDescent="0.2">
      <c r="S34" s="19"/>
      <c r="T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9:110" ht="17" x14ac:dyDescent="0.2">
      <c r="S35" s="19"/>
      <c r="T35" s="19"/>
      <c r="U35" s="19"/>
    </row>
    <row r="36" spans="19:110" ht="17" x14ac:dyDescent="0.2">
      <c r="S36" s="19"/>
      <c r="T36" s="19"/>
      <c r="U36" s="19"/>
    </row>
    <row r="37" spans="19:110" ht="17" x14ac:dyDescent="0.2">
      <c r="S37" s="19"/>
      <c r="T37" s="19"/>
      <c r="U37" s="19"/>
    </row>
    <row r="38" spans="19:110" ht="17" x14ac:dyDescent="0.2">
      <c r="S38" s="19"/>
      <c r="T38" s="19"/>
      <c r="U38" s="19"/>
    </row>
    <row r="39" spans="19:110" ht="17" x14ac:dyDescent="0.2">
      <c r="S39" s="19"/>
      <c r="T39" s="19"/>
      <c r="U39" s="19"/>
    </row>
    <row r="40" spans="19:110" ht="17" x14ac:dyDescent="0.2">
      <c r="S40" s="19"/>
      <c r="T40" s="19"/>
      <c r="U40" s="19"/>
    </row>
    <row r="41" spans="19:110" ht="17" x14ac:dyDescent="0.2">
      <c r="S41" s="19"/>
      <c r="T41" s="19"/>
      <c r="U41" s="19"/>
    </row>
    <row r="42" spans="19:110" ht="17" x14ac:dyDescent="0.2">
      <c r="S42" s="19"/>
      <c r="T42" s="19"/>
      <c r="U42" s="19"/>
    </row>
    <row r="43" spans="19:110" ht="17" x14ac:dyDescent="0.2">
      <c r="S43" s="19"/>
      <c r="T43" s="19"/>
      <c r="U43" s="19"/>
    </row>
    <row r="44" spans="19:110" ht="17" x14ac:dyDescent="0.2">
      <c r="S44" s="19"/>
      <c r="T44" s="19"/>
      <c r="U44" s="19"/>
    </row>
    <row r="45" spans="19:110" ht="17" x14ac:dyDescent="0.2">
      <c r="S45" s="19"/>
      <c r="T45" s="19"/>
      <c r="U45" s="19"/>
    </row>
    <row r="46" spans="19:110" ht="17" x14ac:dyDescent="0.2">
      <c r="S46" s="19"/>
      <c r="T46" s="19"/>
      <c r="U46" s="19"/>
    </row>
    <row r="47" spans="19:110" ht="17" x14ac:dyDescent="0.2">
      <c r="S47" s="19"/>
      <c r="T47" s="19"/>
      <c r="U47" s="19"/>
    </row>
    <row r="48" spans="19:110" ht="17" x14ac:dyDescent="0.2">
      <c r="S48" s="19"/>
      <c r="T48" s="19"/>
      <c r="U48" s="19"/>
    </row>
    <row r="49" spans="19:21" ht="17" x14ac:dyDescent="0.2">
      <c r="S49" s="19"/>
      <c r="T49" s="19"/>
      <c r="U49" s="19"/>
    </row>
  </sheetData>
  <sheetProtection sheet="1" formatCells="0" formatColumns="0" formatRows="0"/>
  <autoFilter ref="A1:OQ16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7">
      <sortCondition descending="1" ref="F1:F18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7">
    <cfRule type="expression" dxfId="168" priority="7" stopIfTrue="1">
      <formula>IF($AP4&lt;&gt;"",1,0)</formula>
    </cfRule>
  </conditionalFormatting>
  <conditionalFormatting sqref="AZ4:CC17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7">
    <cfRule type="expression" dxfId="162" priority="9" stopIfTrue="1">
      <formula>IF($CX4&lt;&gt;"",1,0)</formula>
    </cfRule>
  </conditionalFormatting>
  <conditionalFormatting sqref="GT28:GT1048576 HP27:HP1048576 KD27:KD1048576 MR27:MR1048576 AX1:AX1048576 CB1:CB1048576 DF1:DF1048576 EF1:EF1048576 FB1:FB1048576 FX1:FX1048576 GT1:GT25 HP1:HP25 IL1:IL1048576 JH1:JH1048576 KD1:KD25 KZ1:KZ1048576 LV1:LV1048576 MR1:MR25 NN1:NN1048576">
    <cfRule type="cellIs" dxfId="161" priority="37578" operator="between">
      <formula>AY$27</formula>
      <formula>1000</formula>
    </cfRule>
    <cfRule type="cellIs" dxfId="160" priority="37579" operator="between">
      <formula>AY$26</formula>
      <formula>AY$27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38909" operator="between">
      <formula>AY$27</formula>
      <formula>1000</formula>
    </cfRule>
    <cfRule type="cellIs" dxfId="158" priority="38910" operator="between">
      <formula>AY$26</formula>
      <formula>AY$27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38999" operator="between">
      <formula>AY$25</formula>
      <formula>1000</formula>
    </cfRule>
    <cfRule type="cellIs" dxfId="156" priority="39000" operator="between">
      <formula>AY$24</formula>
      <formula>AY$25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39177" operator="between">
      <formula>EG$23</formula>
      <formula>1000</formula>
    </cfRule>
    <cfRule type="cellIs" dxfId="154" priority="39178" operator="between">
      <formula>EG$22</formula>
      <formula>EG$23</formula>
    </cfRule>
    <cfRule type="cellIs" dxfId="153" priority="39179" operator="between">
      <formula>EG$21</formula>
      <formula>EG$22</formula>
    </cfRule>
    <cfRule type="cellIs" dxfId="152" priority="39180" operator="between">
      <formula>EG$20</formula>
      <formula>EG$21</formula>
    </cfRule>
  </conditionalFormatting>
  <conditionalFormatting sqref="AR1:AR1048576 BV1:BV1048576 CZ1:CZ1048576">
    <cfRule type="cellIs" dxfId="151" priority="39321" operator="between">
      <formula>AY$23</formula>
      <formula>1000</formula>
    </cfRule>
    <cfRule type="cellIs" dxfId="150" priority="39322" operator="between">
      <formula>AY$22</formula>
      <formula>AY$23</formula>
    </cfRule>
    <cfRule type="cellIs" dxfId="149" priority="39323" operator="between">
      <formula>AY$21</formula>
      <formula>AY$22</formula>
    </cfRule>
    <cfRule type="cellIs" dxfId="148" priority="39324" operator="between">
      <formula>AY$20</formula>
      <formula>AY$21</formula>
    </cfRule>
  </conditionalFormatting>
  <conditionalFormatting sqref="AS1:AS1048576 BW1:BW1048576 DA1:DA1048576">
    <cfRule type="cellIs" dxfId="147" priority="39357" operator="between">
      <formula>AY$27</formula>
      <formula>1000</formula>
    </cfRule>
    <cfRule type="cellIs" dxfId="146" priority="39358" operator="between">
      <formula>AY$26</formula>
      <formula>AY$27</formula>
    </cfRule>
  </conditionalFormatting>
  <conditionalFormatting sqref="AT1:AT1048576 BX1:BX1048576 DB1:DB1048576">
    <cfRule type="cellIs" dxfId="145" priority="39375" operator="between">
      <formula>AY$23</formula>
      <formula>1000</formula>
    </cfRule>
    <cfRule type="cellIs" dxfId="144" priority="39376" operator="between">
      <formula>AY$22</formula>
      <formula>AY$23</formula>
    </cfRule>
    <cfRule type="cellIs" dxfId="143" priority="39377" operator="between">
      <formula>AY$21</formula>
      <formula>AY$22</formula>
    </cfRule>
    <cfRule type="cellIs" dxfId="142" priority="39378" operator="between">
      <formula>AY$20</formula>
      <formula>AY$21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39411" operator="between">
      <formula>AY$23</formula>
      <formula>1000</formula>
    </cfRule>
    <cfRule type="cellIs" dxfId="140" priority="39412" operator="between">
      <formula>AY$22</formula>
      <formula>AY$23</formula>
    </cfRule>
    <cfRule type="cellIs" dxfId="139" priority="39413" operator="between">
      <formula>AY$21</formula>
      <formula>AY$22</formula>
    </cfRule>
    <cfRule type="cellIs" dxfId="138" priority="39414" operator="between">
      <formula>AY$20</formula>
      <formula>AY$21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36" t="s">
        <v>168</v>
      </c>
      <c r="G1" s="136" t="s">
        <v>164</v>
      </c>
      <c r="H1" s="136" t="s">
        <v>165</v>
      </c>
      <c r="I1" s="136" t="s">
        <v>16</v>
      </c>
      <c r="J1" s="136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0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9" t="s">
        <v>157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7" t="s">
        <v>179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42" t="s">
        <v>21</v>
      </c>
      <c r="CN1" s="142"/>
      <c r="CO1" s="142"/>
      <c r="CP1" s="142"/>
      <c r="CQ1" s="137" t="s">
        <v>190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7" t="s">
        <v>110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30</v>
      </c>
      <c r="AG2" s="135"/>
      <c r="AH2" s="135"/>
      <c r="AI2" s="135"/>
      <c r="AJ2" s="135"/>
      <c r="AK2" s="78"/>
      <c r="AL2" s="58" t="s">
        <v>104</v>
      </c>
      <c r="AM2" s="9" t="s">
        <v>28</v>
      </c>
      <c r="AN2" s="9" t="s">
        <v>29</v>
      </c>
      <c r="AO2" s="9" t="s">
        <v>31</v>
      </c>
      <c r="AP2" s="9" t="s">
        <v>123</v>
      </c>
      <c r="AQ2" s="9" t="s">
        <v>30</v>
      </c>
      <c r="AR2" s="9" t="s">
        <v>25</v>
      </c>
      <c r="AS2" s="138" t="s">
        <v>26</v>
      </c>
      <c r="AT2" s="138"/>
      <c r="AU2" s="138"/>
      <c r="AV2" s="138"/>
      <c r="AW2" s="138"/>
      <c r="AX2" s="138" t="s">
        <v>27</v>
      </c>
      <c r="AY2" s="138"/>
      <c r="AZ2" s="138"/>
      <c r="BA2" s="138"/>
      <c r="BB2" s="138"/>
      <c r="BC2" s="138" t="s">
        <v>30</v>
      </c>
      <c r="BD2" s="138"/>
      <c r="BE2" s="138"/>
      <c r="BF2" s="138"/>
      <c r="BG2" s="138"/>
      <c r="BH2" s="79"/>
      <c r="BI2" s="57" t="s">
        <v>104</v>
      </c>
      <c r="BJ2" s="12" t="s">
        <v>28</v>
      </c>
      <c r="BK2" s="12" t="s">
        <v>29</v>
      </c>
      <c r="BL2" s="12" t="s">
        <v>31</v>
      </c>
      <c r="BM2" s="12" t="s">
        <v>123</v>
      </c>
      <c r="BN2" s="12" t="s">
        <v>30</v>
      </c>
      <c r="BO2" s="12" t="s">
        <v>25</v>
      </c>
      <c r="BP2" s="135" t="s">
        <v>26</v>
      </c>
      <c r="BQ2" s="135"/>
      <c r="BR2" s="135"/>
      <c r="BS2" s="135"/>
      <c r="BT2" s="135"/>
      <c r="BU2" s="135" t="s">
        <v>27</v>
      </c>
      <c r="BV2" s="135"/>
      <c r="BW2" s="135"/>
      <c r="BX2" s="135"/>
      <c r="BY2" s="135"/>
      <c r="BZ2" s="135" t="s">
        <v>30</v>
      </c>
      <c r="CA2" s="135"/>
      <c r="CB2" s="135"/>
      <c r="CC2" s="135"/>
      <c r="CD2" s="135"/>
      <c r="CE2" s="109"/>
      <c r="CF2" s="109" t="s">
        <v>104</v>
      </c>
      <c r="CG2" s="9" t="s">
        <v>28</v>
      </c>
      <c r="CH2" s="9" t="s">
        <v>29</v>
      </c>
      <c r="CI2" s="9" t="s">
        <v>31</v>
      </c>
      <c r="CJ2" s="9" t="s">
        <v>123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5" t="s">
        <v>26</v>
      </c>
      <c r="CR2" s="135"/>
      <c r="CS2" s="135"/>
      <c r="CT2" s="135"/>
      <c r="CU2" s="135"/>
      <c r="CV2" s="135" t="s">
        <v>27</v>
      </c>
      <c r="CW2" s="135"/>
      <c r="CX2" s="135"/>
      <c r="CY2" s="135"/>
      <c r="CZ2" s="135"/>
      <c r="DA2" s="135" t="s">
        <v>30</v>
      </c>
      <c r="DB2" s="135"/>
      <c r="DC2" s="135"/>
      <c r="DD2" s="135"/>
      <c r="DE2" s="135"/>
      <c r="DF2" s="18" t="s">
        <v>104</v>
      </c>
      <c r="DG2" s="9" t="s">
        <v>28</v>
      </c>
      <c r="DH2" s="9" t="s">
        <v>29</v>
      </c>
      <c r="DI2" s="9" t="s">
        <v>31</v>
      </c>
      <c r="DJ2" s="9" t="s">
        <v>123</v>
      </c>
      <c r="DK2" s="9" t="s">
        <v>30</v>
      </c>
      <c r="DL2" s="9" t="s">
        <v>25</v>
      </c>
      <c r="DM2" s="138" t="s">
        <v>26</v>
      </c>
      <c r="DN2" s="138"/>
      <c r="DO2" s="138"/>
      <c r="DP2" s="138"/>
      <c r="DQ2" s="138"/>
      <c r="DR2" s="138" t="s">
        <v>27</v>
      </c>
      <c r="DS2" s="138"/>
      <c r="DT2" s="138"/>
      <c r="DU2" s="138"/>
      <c r="DV2" s="138"/>
      <c r="DW2" s="138" t="s">
        <v>30</v>
      </c>
      <c r="DX2" s="138"/>
      <c r="DY2" s="138"/>
      <c r="DZ2" s="138"/>
      <c r="EA2" s="138"/>
      <c r="EB2" s="20" t="s">
        <v>104</v>
      </c>
      <c r="EC2" s="12" t="s">
        <v>28</v>
      </c>
      <c r="ED2" s="12" t="s">
        <v>29</v>
      </c>
      <c r="EE2" s="12" t="s">
        <v>31</v>
      </c>
      <c r="EF2" s="12" t="s">
        <v>123</v>
      </c>
      <c r="EG2" s="12" t="s">
        <v>30</v>
      </c>
      <c r="EH2" s="12" t="s">
        <v>25</v>
      </c>
      <c r="EI2" s="135" t="s">
        <v>26</v>
      </c>
      <c r="EJ2" s="135"/>
      <c r="EK2" s="135"/>
      <c r="EL2" s="135"/>
      <c r="EM2" s="135"/>
      <c r="EN2" s="135" t="s">
        <v>27</v>
      </c>
      <c r="EO2" s="135"/>
      <c r="EP2" s="135"/>
      <c r="EQ2" s="135"/>
      <c r="ER2" s="135"/>
      <c r="ES2" s="135" t="s">
        <v>30</v>
      </c>
      <c r="ET2" s="135"/>
      <c r="EU2" s="135"/>
      <c r="EV2" s="135"/>
      <c r="EW2" s="135"/>
      <c r="EX2" s="21" t="s">
        <v>104</v>
      </c>
      <c r="EY2" s="9" t="s">
        <v>28</v>
      </c>
      <c r="EZ2" s="9" t="s">
        <v>29</v>
      </c>
      <c r="FA2" s="9" t="s">
        <v>31</v>
      </c>
      <c r="FB2" s="9" t="s">
        <v>123</v>
      </c>
      <c r="FC2" s="9" t="s">
        <v>30</v>
      </c>
      <c r="FD2" s="9" t="s">
        <v>25</v>
      </c>
      <c r="FE2" s="138" t="s">
        <v>26</v>
      </c>
      <c r="FF2" s="138"/>
      <c r="FG2" s="138"/>
      <c r="FH2" s="138"/>
      <c r="FI2" s="138"/>
      <c r="FJ2" s="138" t="s">
        <v>27</v>
      </c>
      <c r="FK2" s="138"/>
      <c r="FL2" s="138"/>
      <c r="FM2" s="138"/>
      <c r="FN2" s="138"/>
      <c r="FO2" s="138" t="s">
        <v>30</v>
      </c>
      <c r="FP2" s="138"/>
      <c r="FQ2" s="138"/>
      <c r="FR2" s="138"/>
      <c r="FS2" s="138"/>
      <c r="FT2" s="20" t="s">
        <v>104</v>
      </c>
      <c r="FU2" s="12" t="s">
        <v>28</v>
      </c>
      <c r="FV2" s="12" t="s">
        <v>29</v>
      </c>
      <c r="FW2" s="12" t="s">
        <v>31</v>
      </c>
      <c r="FX2" s="12" t="s">
        <v>123</v>
      </c>
      <c r="FY2" s="12" t="s">
        <v>30</v>
      </c>
      <c r="FZ2" s="12" t="s">
        <v>25</v>
      </c>
      <c r="GA2" s="135" t="s">
        <v>26</v>
      </c>
      <c r="GB2" s="135"/>
      <c r="GC2" s="135"/>
      <c r="GD2" s="135"/>
      <c r="GE2" s="135"/>
      <c r="GF2" s="135" t="s">
        <v>27</v>
      </c>
      <c r="GG2" s="135"/>
      <c r="GH2" s="135"/>
      <c r="GI2" s="135"/>
      <c r="GJ2" s="135"/>
      <c r="GK2" s="135" t="s">
        <v>30</v>
      </c>
      <c r="GL2" s="135"/>
      <c r="GM2" s="135"/>
      <c r="GN2" s="135"/>
      <c r="GO2" s="135"/>
      <c r="GP2" s="21" t="s">
        <v>104</v>
      </c>
      <c r="GQ2" s="9" t="s">
        <v>28</v>
      </c>
      <c r="GR2" s="9" t="s">
        <v>29</v>
      </c>
      <c r="GS2" s="9" t="s">
        <v>31</v>
      </c>
      <c r="GT2" s="9" t="s">
        <v>123</v>
      </c>
      <c r="GU2" s="9" t="s">
        <v>30</v>
      </c>
      <c r="GV2" s="9" t="s">
        <v>25</v>
      </c>
      <c r="GW2" s="138" t="s">
        <v>26</v>
      </c>
      <c r="GX2" s="138"/>
      <c r="GY2" s="138"/>
      <c r="GZ2" s="138"/>
      <c r="HA2" s="138"/>
      <c r="HB2" s="138" t="s">
        <v>27</v>
      </c>
      <c r="HC2" s="138"/>
      <c r="HD2" s="138"/>
      <c r="HE2" s="138"/>
      <c r="HF2" s="138"/>
      <c r="HG2" s="138" t="s">
        <v>30</v>
      </c>
      <c r="HH2" s="138"/>
      <c r="HI2" s="138"/>
      <c r="HJ2" s="138"/>
      <c r="HK2" s="138"/>
      <c r="HL2" s="20" t="s">
        <v>104</v>
      </c>
      <c r="HM2" s="12" t="s">
        <v>28</v>
      </c>
      <c r="HN2" s="12" t="s">
        <v>29</v>
      </c>
      <c r="HO2" s="12" t="s">
        <v>31</v>
      </c>
      <c r="HP2" s="12" t="s">
        <v>123</v>
      </c>
      <c r="HQ2" s="12" t="s">
        <v>30</v>
      </c>
      <c r="HR2" s="12" t="s">
        <v>25</v>
      </c>
      <c r="HS2" s="135" t="s">
        <v>26</v>
      </c>
      <c r="HT2" s="135"/>
      <c r="HU2" s="135"/>
      <c r="HV2" s="135"/>
      <c r="HW2" s="135"/>
      <c r="HX2" s="135" t="s">
        <v>27</v>
      </c>
      <c r="HY2" s="135"/>
      <c r="HZ2" s="135"/>
      <c r="IA2" s="135"/>
      <c r="IB2" s="135"/>
      <c r="IC2" s="135" t="s">
        <v>30</v>
      </c>
      <c r="ID2" s="135"/>
      <c r="IE2" s="135"/>
      <c r="IF2" s="135"/>
      <c r="IG2" s="135"/>
      <c r="IH2" s="21" t="s">
        <v>104</v>
      </c>
      <c r="II2" s="9" t="s">
        <v>28</v>
      </c>
      <c r="IJ2" s="9" t="s">
        <v>29</v>
      </c>
      <c r="IK2" s="9" t="s">
        <v>31</v>
      </c>
      <c r="IL2" s="9" t="s">
        <v>123</v>
      </c>
      <c r="IM2" s="9" t="s">
        <v>30</v>
      </c>
      <c r="IN2" s="9" t="s">
        <v>25</v>
      </c>
      <c r="IO2" s="138" t="s">
        <v>26</v>
      </c>
      <c r="IP2" s="138"/>
      <c r="IQ2" s="138"/>
      <c r="IR2" s="138"/>
      <c r="IS2" s="138"/>
      <c r="IT2" s="138" t="s">
        <v>27</v>
      </c>
      <c r="IU2" s="138"/>
      <c r="IV2" s="138"/>
      <c r="IW2" s="138"/>
      <c r="IX2" s="138"/>
      <c r="IY2" s="138" t="s">
        <v>30</v>
      </c>
      <c r="IZ2" s="138"/>
      <c r="JA2" s="138"/>
      <c r="JB2" s="138"/>
      <c r="JC2" s="138"/>
      <c r="JD2" s="20" t="s">
        <v>104</v>
      </c>
      <c r="JE2" s="12" t="s">
        <v>28</v>
      </c>
      <c r="JF2" s="12" t="s">
        <v>29</v>
      </c>
      <c r="JG2" s="12" t="s">
        <v>31</v>
      </c>
      <c r="JH2" s="12" t="s">
        <v>123</v>
      </c>
      <c r="JI2" s="12" t="s">
        <v>30</v>
      </c>
      <c r="JJ2" s="12" t="s">
        <v>25</v>
      </c>
      <c r="JK2" s="135" t="s">
        <v>26</v>
      </c>
      <c r="JL2" s="135"/>
      <c r="JM2" s="135"/>
      <c r="JN2" s="135"/>
      <c r="JO2" s="135"/>
      <c r="JP2" s="135" t="s">
        <v>27</v>
      </c>
      <c r="JQ2" s="135"/>
      <c r="JR2" s="135"/>
      <c r="JS2" s="135"/>
      <c r="JT2" s="135"/>
      <c r="JU2" s="135" t="s">
        <v>30</v>
      </c>
      <c r="JV2" s="135"/>
      <c r="JW2" s="135"/>
      <c r="JX2" s="135"/>
      <c r="JY2" s="135"/>
      <c r="JZ2" s="21" t="s">
        <v>104</v>
      </c>
      <c r="KA2" s="9" t="s">
        <v>28</v>
      </c>
      <c r="KB2" s="9" t="s">
        <v>29</v>
      </c>
      <c r="KC2" s="9" t="s">
        <v>31</v>
      </c>
      <c r="KD2" s="9" t="s">
        <v>123</v>
      </c>
      <c r="KE2" s="9" t="s">
        <v>30</v>
      </c>
      <c r="KF2" s="9" t="s">
        <v>25</v>
      </c>
      <c r="KG2" s="138" t="s">
        <v>26</v>
      </c>
      <c r="KH2" s="138"/>
      <c r="KI2" s="138"/>
      <c r="KJ2" s="138"/>
      <c r="KK2" s="138"/>
      <c r="KL2" s="138" t="s">
        <v>27</v>
      </c>
      <c r="KM2" s="138"/>
      <c r="KN2" s="138"/>
      <c r="KO2" s="138"/>
      <c r="KP2" s="138"/>
      <c r="KQ2" s="138" t="s">
        <v>30</v>
      </c>
      <c r="KR2" s="138"/>
      <c r="KS2" s="138"/>
      <c r="KT2" s="138"/>
      <c r="KU2" s="138"/>
      <c r="KV2" s="20" t="s">
        <v>104</v>
      </c>
      <c r="KW2" s="12" t="s">
        <v>28</v>
      </c>
      <c r="KX2" s="12" t="s">
        <v>29</v>
      </c>
      <c r="KY2" s="12" t="s">
        <v>31</v>
      </c>
      <c r="KZ2" s="12" t="s">
        <v>123</v>
      </c>
      <c r="LA2" s="12" t="s">
        <v>30</v>
      </c>
      <c r="LB2" s="12" t="s">
        <v>25</v>
      </c>
      <c r="LC2" s="135" t="s">
        <v>26</v>
      </c>
      <c r="LD2" s="135"/>
      <c r="LE2" s="135"/>
      <c r="LF2" s="135"/>
      <c r="LG2" s="135"/>
      <c r="LH2" s="135" t="s">
        <v>27</v>
      </c>
      <c r="LI2" s="135"/>
      <c r="LJ2" s="135"/>
      <c r="LK2" s="135"/>
      <c r="LL2" s="135"/>
      <c r="LM2" s="135" t="s">
        <v>30</v>
      </c>
      <c r="LN2" s="135"/>
      <c r="LO2" s="135"/>
      <c r="LP2" s="135"/>
      <c r="LQ2" s="135"/>
      <c r="LR2" s="21" t="s">
        <v>104</v>
      </c>
      <c r="LS2" s="9" t="s">
        <v>28</v>
      </c>
      <c r="LT2" s="9" t="s">
        <v>29</v>
      </c>
      <c r="LU2" s="9" t="s">
        <v>31</v>
      </c>
      <c r="LV2" s="9" t="s">
        <v>123</v>
      </c>
      <c r="LW2" s="9" t="s">
        <v>30</v>
      </c>
      <c r="LX2" s="9" t="s">
        <v>25</v>
      </c>
      <c r="LY2" s="138" t="s">
        <v>26</v>
      </c>
      <c r="LZ2" s="138"/>
      <c r="MA2" s="138"/>
      <c r="MB2" s="138"/>
      <c r="MC2" s="138"/>
      <c r="MD2" s="138" t="s">
        <v>27</v>
      </c>
      <c r="ME2" s="138"/>
      <c r="MF2" s="138"/>
      <c r="MG2" s="138"/>
      <c r="MH2" s="138"/>
      <c r="MI2" s="138" t="s">
        <v>30</v>
      </c>
      <c r="MJ2" s="138"/>
      <c r="MK2" s="138"/>
      <c r="ML2" s="138"/>
      <c r="MM2" s="138"/>
      <c r="MN2" s="20" t="s">
        <v>104</v>
      </c>
      <c r="MO2" s="12" t="s">
        <v>28</v>
      </c>
      <c r="MP2" s="12" t="s">
        <v>29</v>
      </c>
      <c r="MQ2" s="12" t="s">
        <v>31</v>
      </c>
      <c r="MR2" s="12" t="s">
        <v>123</v>
      </c>
      <c r="MS2" s="12" t="s">
        <v>30</v>
      </c>
      <c r="MT2" s="12" t="s">
        <v>25</v>
      </c>
      <c r="MU2" s="135" t="s">
        <v>26</v>
      </c>
      <c r="MV2" s="135"/>
      <c r="MW2" s="135"/>
      <c r="MX2" s="135"/>
      <c r="MY2" s="135"/>
      <c r="MZ2" s="135" t="s">
        <v>27</v>
      </c>
      <c r="NA2" s="135"/>
      <c r="NB2" s="135"/>
      <c r="NC2" s="135"/>
      <c r="ND2" s="135"/>
      <c r="NE2" s="135" t="s">
        <v>30</v>
      </c>
      <c r="NF2" s="135"/>
      <c r="NG2" s="135"/>
      <c r="NH2" s="135"/>
      <c r="NI2" s="135"/>
      <c r="NJ2" s="102"/>
      <c r="NK2" s="102" t="s">
        <v>104</v>
      </c>
      <c r="NL2" s="9" t="s">
        <v>28</v>
      </c>
      <c r="NM2" s="9" t="s">
        <v>29</v>
      </c>
      <c r="NN2" s="9" t="s">
        <v>31</v>
      </c>
      <c r="NO2" s="9" t="s">
        <v>123</v>
      </c>
      <c r="NP2" s="9" t="s">
        <v>30</v>
      </c>
      <c r="NQ2" s="9" t="s">
        <v>25</v>
      </c>
    </row>
    <row r="3" spans="1:381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58" t="s">
        <v>22</v>
      </c>
      <c r="W3" s="58" t="s">
        <v>23</v>
      </c>
      <c r="X3" s="58" t="s">
        <v>14</v>
      </c>
      <c r="Y3" s="58" t="s">
        <v>54</v>
      </c>
      <c r="Z3" s="58" t="s">
        <v>44</v>
      </c>
      <c r="AA3" s="58" t="s">
        <v>22</v>
      </c>
      <c r="AB3" s="58" t="s">
        <v>23</v>
      </c>
      <c r="AC3" s="58" t="s">
        <v>14</v>
      </c>
      <c r="AD3" s="58" t="s">
        <v>54</v>
      </c>
      <c r="AE3" s="58" t="s">
        <v>44</v>
      </c>
      <c r="AF3" s="58" t="s">
        <v>22</v>
      </c>
      <c r="AG3" s="58" t="s">
        <v>23</v>
      </c>
      <c r="AH3" s="58" t="s">
        <v>14</v>
      </c>
      <c r="AI3" s="58" t="s">
        <v>54</v>
      </c>
      <c r="AJ3" s="58" t="s">
        <v>44</v>
      </c>
      <c r="AK3" s="78" t="s">
        <v>87</v>
      </c>
      <c r="AL3" s="10"/>
      <c r="AM3" s="9"/>
      <c r="AN3" s="9"/>
      <c r="AO3" s="9"/>
      <c r="AP3" s="9"/>
      <c r="AQ3" s="10"/>
      <c r="AR3" s="10"/>
      <c r="AS3" s="57" t="s">
        <v>22</v>
      </c>
      <c r="AT3" s="57" t="s">
        <v>23</v>
      </c>
      <c r="AU3" s="57" t="s">
        <v>14</v>
      </c>
      <c r="AV3" s="57" t="s">
        <v>54</v>
      </c>
      <c r="AW3" s="57" t="s">
        <v>44</v>
      </c>
      <c r="AX3" s="57" t="s">
        <v>22</v>
      </c>
      <c r="AY3" s="57" t="s">
        <v>23</v>
      </c>
      <c r="AZ3" s="57" t="s">
        <v>14</v>
      </c>
      <c r="BA3" s="57" t="s">
        <v>54</v>
      </c>
      <c r="BB3" s="57" t="s">
        <v>44</v>
      </c>
      <c r="BC3" s="57" t="s">
        <v>22</v>
      </c>
      <c r="BD3" s="57" t="s">
        <v>23</v>
      </c>
      <c r="BE3" s="57" t="s">
        <v>14</v>
      </c>
      <c r="BF3" s="57" t="s">
        <v>54</v>
      </c>
      <c r="BG3" s="57" t="s">
        <v>44</v>
      </c>
      <c r="BH3" s="79" t="s">
        <v>87</v>
      </c>
      <c r="BI3" s="13"/>
      <c r="BJ3" s="12"/>
      <c r="BK3" s="12"/>
      <c r="BL3" s="12"/>
      <c r="BM3" s="12"/>
      <c r="BN3" s="13"/>
      <c r="BO3" s="13"/>
      <c r="BP3" s="109" t="s">
        <v>22</v>
      </c>
      <c r="BQ3" s="109" t="s">
        <v>23</v>
      </c>
      <c r="BR3" s="109" t="s">
        <v>14</v>
      </c>
      <c r="BS3" s="109" t="s">
        <v>54</v>
      </c>
      <c r="BT3" s="109" t="s">
        <v>44</v>
      </c>
      <c r="BU3" s="109" t="s">
        <v>22</v>
      </c>
      <c r="BV3" s="109" t="s">
        <v>23</v>
      </c>
      <c r="BW3" s="109" t="s">
        <v>14</v>
      </c>
      <c r="BX3" s="109" t="s">
        <v>54</v>
      </c>
      <c r="BY3" s="109" t="s">
        <v>44</v>
      </c>
      <c r="BZ3" s="109" t="s">
        <v>22</v>
      </c>
      <c r="CA3" s="109" t="s">
        <v>23</v>
      </c>
      <c r="CB3" s="109" t="s">
        <v>14</v>
      </c>
      <c r="CC3" s="109" t="s">
        <v>54</v>
      </c>
      <c r="CD3" s="109" t="s">
        <v>44</v>
      </c>
      <c r="CE3" s="109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22</v>
      </c>
      <c r="CR3" s="29" t="s">
        <v>23</v>
      </c>
      <c r="CS3" s="29" t="s">
        <v>14</v>
      </c>
      <c r="CT3" s="32" t="s">
        <v>54</v>
      </c>
      <c r="CU3" s="48" t="s">
        <v>44</v>
      </c>
      <c r="CV3" s="29" t="s">
        <v>22</v>
      </c>
      <c r="CW3" s="29" t="s">
        <v>23</v>
      </c>
      <c r="CX3" s="29" t="s">
        <v>14</v>
      </c>
      <c r="CY3" s="32" t="s">
        <v>54</v>
      </c>
      <c r="CZ3" s="48" t="s">
        <v>44</v>
      </c>
      <c r="DA3" s="29" t="s">
        <v>22</v>
      </c>
      <c r="DB3" s="29" t="s">
        <v>23</v>
      </c>
      <c r="DC3" s="29" t="s">
        <v>14</v>
      </c>
      <c r="DD3" s="32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28" t="s">
        <v>22</v>
      </c>
      <c r="DN3" s="28" t="s">
        <v>23</v>
      </c>
      <c r="DO3" s="28" t="s">
        <v>14</v>
      </c>
      <c r="DP3" s="33" t="s">
        <v>54</v>
      </c>
      <c r="DQ3" s="50" t="s">
        <v>44</v>
      </c>
      <c r="DR3" s="28" t="s">
        <v>22</v>
      </c>
      <c r="DS3" s="28" t="s">
        <v>23</v>
      </c>
      <c r="DT3" s="28" t="s">
        <v>14</v>
      </c>
      <c r="DU3" s="33" t="s">
        <v>54</v>
      </c>
      <c r="DV3" s="50" t="s">
        <v>44</v>
      </c>
      <c r="DW3" s="28" t="s">
        <v>22</v>
      </c>
      <c r="DX3" s="28" t="s">
        <v>23</v>
      </c>
      <c r="DY3" s="28" t="s">
        <v>14</v>
      </c>
      <c r="DZ3" s="33" t="s">
        <v>54</v>
      </c>
      <c r="EA3" s="50" t="s">
        <v>44</v>
      </c>
      <c r="EB3" s="13"/>
      <c r="EC3" s="12"/>
      <c r="ED3" s="12"/>
      <c r="EE3" s="12"/>
      <c r="EF3" s="12"/>
      <c r="EG3" s="13"/>
      <c r="EH3" s="13"/>
      <c r="EI3" s="29" t="s">
        <v>22</v>
      </c>
      <c r="EJ3" s="29" t="s">
        <v>23</v>
      </c>
      <c r="EK3" s="29" t="s">
        <v>14</v>
      </c>
      <c r="EL3" s="34" t="s">
        <v>54</v>
      </c>
      <c r="EM3" s="49" t="s">
        <v>44</v>
      </c>
      <c r="EN3" s="29" t="s">
        <v>22</v>
      </c>
      <c r="EO3" s="29" t="s">
        <v>23</v>
      </c>
      <c r="EP3" s="29" t="s">
        <v>14</v>
      </c>
      <c r="EQ3" s="34" t="s">
        <v>54</v>
      </c>
      <c r="ER3" s="49" t="s">
        <v>44</v>
      </c>
      <c r="ES3" s="29" t="s">
        <v>22</v>
      </c>
      <c r="ET3" s="29" t="s">
        <v>23</v>
      </c>
      <c r="EU3" s="29" t="s">
        <v>14</v>
      </c>
      <c r="EV3" s="34" t="s">
        <v>54</v>
      </c>
      <c r="EW3" s="49" t="s">
        <v>44</v>
      </c>
      <c r="EX3" s="10"/>
      <c r="EY3" s="9"/>
      <c r="EZ3" s="9"/>
      <c r="FA3" s="9"/>
      <c r="FB3" s="9"/>
      <c r="FC3" s="10"/>
      <c r="FD3" s="10"/>
      <c r="FE3" s="28" t="s">
        <v>22</v>
      </c>
      <c r="FF3" s="28" t="s">
        <v>23</v>
      </c>
      <c r="FG3" s="28" t="s">
        <v>14</v>
      </c>
      <c r="FH3" s="33" t="s">
        <v>54</v>
      </c>
      <c r="FI3" s="50" t="s">
        <v>44</v>
      </c>
      <c r="FJ3" s="28" t="s">
        <v>22</v>
      </c>
      <c r="FK3" s="28" t="s">
        <v>23</v>
      </c>
      <c r="FL3" s="28" t="s">
        <v>14</v>
      </c>
      <c r="FM3" s="33" t="s">
        <v>54</v>
      </c>
      <c r="FN3" s="50" t="s">
        <v>44</v>
      </c>
      <c r="FO3" s="28" t="s">
        <v>22</v>
      </c>
      <c r="FP3" s="28" t="s">
        <v>23</v>
      </c>
      <c r="FQ3" s="28" t="s">
        <v>14</v>
      </c>
      <c r="FR3" s="33" t="s">
        <v>54</v>
      </c>
      <c r="FS3" s="50" t="s">
        <v>44</v>
      </c>
      <c r="FT3" s="13"/>
      <c r="FU3" s="12"/>
      <c r="FV3" s="12"/>
      <c r="FW3" s="12"/>
      <c r="FX3" s="12"/>
      <c r="FY3" s="13"/>
      <c r="FZ3" s="13"/>
      <c r="GA3" s="29" t="s">
        <v>22</v>
      </c>
      <c r="GB3" s="29" t="s">
        <v>23</v>
      </c>
      <c r="GC3" s="29" t="s">
        <v>14</v>
      </c>
      <c r="GD3" s="34" t="s">
        <v>54</v>
      </c>
      <c r="GE3" s="49" t="s">
        <v>44</v>
      </c>
      <c r="GF3" s="29" t="s">
        <v>22</v>
      </c>
      <c r="GG3" s="29" t="s">
        <v>23</v>
      </c>
      <c r="GH3" s="29" t="s">
        <v>14</v>
      </c>
      <c r="GI3" s="34" t="s">
        <v>54</v>
      </c>
      <c r="GJ3" s="49" t="s">
        <v>44</v>
      </c>
      <c r="GK3" s="29" t="s">
        <v>22</v>
      </c>
      <c r="GL3" s="29" t="s">
        <v>23</v>
      </c>
      <c r="GM3" s="29" t="s">
        <v>14</v>
      </c>
      <c r="GN3" s="34" t="s">
        <v>54</v>
      </c>
      <c r="GO3" s="49" t="s">
        <v>44</v>
      </c>
      <c r="GP3" s="10"/>
      <c r="GQ3" s="9"/>
      <c r="GR3" s="9"/>
      <c r="GS3" s="9"/>
      <c r="GT3" s="9"/>
      <c r="GU3" s="10"/>
      <c r="GV3" s="10"/>
      <c r="GW3" s="28" t="s">
        <v>22</v>
      </c>
      <c r="GX3" s="28" t="s">
        <v>23</v>
      </c>
      <c r="GY3" s="28" t="s">
        <v>14</v>
      </c>
      <c r="GZ3" s="33" t="s">
        <v>54</v>
      </c>
      <c r="HA3" s="50" t="s">
        <v>44</v>
      </c>
      <c r="HB3" s="28" t="s">
        <v>22</v>
      </c>
      <c r="HC3" s="28" t="s">
        <v>23</v>
      </c>
      <c r="HD3" s="28" t="s">
        <v>14</v>
      </c>
      <c r="HE3" s="33" t="s">
        <v>54</v>
      </c>
      <c r="HF3" s="50" t="s">
        <v>44</v>
      </c>
      <c r="HG3" s="28" t="s">
        <v>22</v>
      </c>
      <c r="HH3" s="28" t="s">
        <v>23</v>
      </c>
      <c r="HI3" s="28" t="s">
        <v>14</v>
      </c>
      <c r="HJ3" s="33" t="s">
        <v>54</v>
      </c>
      <c r="HK3" s="50" t="s">
        <v>44</v>
      </c>
      <c r="HL3" s="13"/>
      <c r="HM3" s="12"/>
      <c r="HN3" s="12"/>
      <c r="HO3" s="12"/>
      <c r="HP3" s="12"/>
      <c r="HQ3" s="13"/>
      <c r="HR3" s="13"/>
      <c r="HS3" s="29" t="s">
        <v>22</v>
      </c>
      <c r="HT3" s="29" t="s">
        <v>23</v>
      </c>
      <c r="HU3" s="29" t="s">
        <v>14</v>
      </c>
      <c r="HV3" s="34" t="s">
        <v>54</v>
      </c>
      <c r="HW3" s="49" t="s">
        <v>44</v>
      </c>
      <c r="HX3" s="29" t="s">
        <v>22</v>
      </c>
      <c r="HY3" s="29" t="s">
        <v>23</v>
      </c>
      <c r="HZ3" s="29" t="s">
        <v>14</v>
      </c>
      <c r="IA3" s="34" t="s">
        <v>54</v>
      </c>
      <c r="IB3" s="49" t="s">
        <v>44</v>
      </c>
      <c r="IC3" s="29" t="s">
        <v>22</v>
      </c>
      <c r="ID3" s="29" t="s">
        <v>23</v>
      </c>
      <c r="IE3" s="29" t="s">
        <v>14</v>
      </c>
      <c r="IF3" s="34" t="s">
        <v>54</v>
      </c>
      <c r="IG3" s="49" t="s">
        <v>44</v>
      </c>
      <c r="IH3" s="10"/>
      <c r="II3" s="9"/>
      <c r="IJ3" s="9"/>
      <c r="IK3" s="9"/>
      <c r="IL3" s="9"/>
      <c r="IM3" s="10"/>
      <c r="IN3" s="10"/>
      <c r="IO3" s="28" t="s">
        <v>22</v>
      </c>
      <c r="IP3" s="28" t="s">
        <v>23</v>
      </c>
      <c r="IQ3" s="28" t="s">
        <v>14</v>
      </c>
      <c r="IR3" s="33" t="s">
        <v>54</v>
      </c>
      <c r="IS3" s="50" t="s">
        <v>44</v>
      </c>
      <c r="IT3" s="28" t="s">
        <v>22</v>
      </c>
      <c r="IU3" s="28" t="s">
        <v>23</v>
      </c>
      <c r="IV3" s="28" t="s">
        <v>14</v>
      </c>
      <c r="IW3" s="33" t="s">
        <v>54</v>
      </c>
      <c r="IX3" s="50" t="s">
        <v>44</v>
      </c>
      <c r="IY3" s="28" t="s">
        <v>22</v>
      </c>
      <c r="IZ3" s="28" t="s">
        <v>23</v>
      </c>
      <c r="JA3" s="28" t="s">
        <v>14</v>
      </c>
      <c r="JB3" s="33" t="s">
        <v>54</v>
      </c>
      <c r="JC3" s="50" t="s">
        <v>44</v>
      </c>
      <c r="JD3" s="13"/>
      <c r="JE3" s="12"/>
      <c r="JF3" s="12"/>
      <c r="JG3" s="12"/>
      <c r="JH3" s="12"/>
      <c r="JI3" s="13"/>
      <c r="JJ3" s="13"/>
      <c r="JK3" s="29" t="s">
        <v>22</v>
      </c>
      <c r="JL3" s="29" t="s">
        <v>23</v>
      </c>
      <c r="JM3" s="29" t="s">
        <v>14</v>
      </c>
      <c r="JN3" s="34" t="s">
        <v>54</v>
      </c>
      <c r="JO3" s="49" t="s">
        <v>44</v>
      </c>
      <c r="JP3" s="29" t="s">
        <v>22</v>
      </c>
      <c r="JQ3" s="29" t="s">
        <v>23</v>
      </c>
      <c r="JR3" s="29" t="s">
        <v>14</v>
      </c>
      <c r="JS3" s="34" t="s">
        <v>54</v>
      </c>
      <c r="JT3" s="49" t="s">
        <v>44</v>
      </c>
      <c r="JU3" s="29" t="s">
        <v>22</v>
      </c>
      <c r="JV3" s="29" t="s">
        <v>23</v>
      </c>
      <c r="JW3" s="29" t="s">
        <v>14</v>
      </c>
      <c r="JX3" s="34" t="s">
        <v>54</v>
      </c>
      <c r="JY3" s="49" t="s">
        <v>44</v>
      </c>
      <c r="JZ3" s="10"/>
      <c r="KA3" s="9"/>
      <c r="KB3" s="9"/>
      <c r="KC3" s="9"/>
      <c r="KD3" s="9"/>
      <c r="KE3" s="10"/>
      <c r="KF3" s="10"/>
      <c r="KG3" s="28" t="s">
        <v>22</v>
      </c>
      <c r="KH3" s="28" t="s">
        <v>23</v>
      </c>
      <c r="KI3" s="28" t="s">
        <v>14</v>
      </c>
      <c r="KJ3" s="33" t="s">
        <v>54</v>
      </c>
      <c r="KK3" s="50" t="s">
        <v>44</v>
      </c>
      <c r="KL3" s="28" t="s">
        <v>22</v>
      </c>
      <c r="KM3" s="28" t="s">
        <v>23</v>
      </c>
      <c r="KN3" s="28" t="s">
        <v>14</v>
      </c>
      <c r="KO3" s="33" t="s">
        <v>54</v>
      </c>
      <c r="KP3" s="50" t="s">
        <v>44</v>
      </c>
      <c r="KQ3" s="28" t="s">
        <v>22</v>
      </c>
      <c r="KR3" s="28" t="s">
        <v>23</v>
      </c>
      <c r="KS3" s="28" t="s">
        <v>14</v>
      </c>
      <c r="KT3" s="33" t="s">
        <v>54</v>
      </c>
      <c r="KU3" s="50" t="s">
        <v>44</v>
      </c>
      <c r="KV3" s="13"/>
      <c r="KW3" s="12"/>
      <c r="KX3" s="12"/>
      <c r="KY3" s="12"/>
      <c r="KZ3" s="12"/>
      <c r="LA3" s="13"/>
      <c r="LB3" s="13"/>
      <c r="LC3" s="29" t="s">
        <v>22</v>
      </c>
      <c r="LD3" s="29" t="s">
        <v>23</v>
      </c>
      <c r="LE3" s="29" t="s">
        <v>14</v>
      </c>
      <c r="LF3" s="34" t="s">
        <v>54</v>
      </c>
      <c r="LG3" s="49" t="s">
        <v>44</v>
      </c>
      <c r="LH3" s="29" t="s">
        <v>22</v>
      </c>
      <c r="LI3" s="29" t="s">
        <v>23</v>
      </c>
      <c r="LJ3" s="29" t="s">
        <v>14</v>
      </c>
      <c r="LK3" s="34" t="s">
        <v>54</v>
      </c>
      <c r="LL3" s="49" t="s">
        <v>44</v>
      </c>
      <c r="LM3" s="29" t="s">
        <v>22</v>
      </c>
      <c r="LN3" s="29" t="s">
        <v>23</v>
      </c>
      <c r="LO3" s="29" t="s">
        <v>14</v>
      </c>
      <c r="LP3" s="34" t="s">
        <v>54</v>
      </c>
      <c r="LQ3" s="49" t="s">
        <v>44</v>
      </c>
      <c r="LR3" s="10"/>
      <c r="LS3" s="9"/>
      <c r="LT3" s="9"/>
      <c r="LU3" s="9"/>
      <c r="LV3" s="9"/>
      <c r="LW3" s="10"/>
      <c r="LX3" s="10"/>
      <c r="LY3" s="28" t="s">
        <v>22</v>
      </c>
      <c r="LZ3" s="28" t="s">
        <v>23</v>
      </c>
      <c r="MA3" s="28" t="s">
        <v>14</v>
      </c>
      <c r="MB3" s="33" t="s">
        <v>54</v>
      </c>
      <c r="MC3" s="50" t="s">
        <v>44</v>
      </c>
      <c r="MD3" s="47" t="s">
        <v>22</v>
      </c>
      <c r="ME3" s="28" t="s">
        <v>23</v>
      </c>
      <c r="MF3" s="28" t="s">
        <v>14</v>
      </c>
      <c r="MG3" s="33" t="s">
        <v>54</v>
      </c>
      <c r="MH3" s="50" t="s">
        <v>44</v>
      </c>
      <c r="MI3" s="28" t="s">
        <v>22</v>
      </c>
      <c r="MJ3" s="28" t="s">
        <v>23</v>
      </c>
      <c r="MK3" s="28" t="s">
        <v>14</v>
      </c>
      <c r="ML3" s="33" t="s">
        <v>54</v>
      </c>
      <c r="MM3" s="50" t="s">
        <v>44</v>
      </c>
      <c r="MN3" s="13"/>
      <c r="MO3" s="12"/>
      <c r="MP3" s="12"/>
      <c r="MQ3" s="12"/>
      <c r="MR3" s="12"/>
      <c r="MS3" s="13"/>
      <c r="MT3" s="13"/>
      <c r="MU3" s="102" t="s">
        <v>22</v>
      </c>
      <c r="MV3" s="102" t="s">
        <v>23</v>
      </c>
      <c r="MW3" s="102" t="s">
        <v>14</v>
      </c>
      <c r="MX3" s="102" t="s">
        <v>24</v>
      </c>
      <c r="MY3" s="102" t="s">
        <v>44</v>
      </c>
      <c r="MZ3" s="102" t="s">
        <v>22</v>
      </c>
      <c r="NA3" s="102" t="s">
        <v>23</v>
      </c>
      <c r="NB3" s="102" t="s">
        <v>14</v>
      </c>
      <c r="NC3" s="102" t="s">
        <v>24</v>
      </c>
      <c r="ND3" s="102" t="s">
        <v>44</v>
      </c>
      <c r="NE3" s="102" t="s">
        <v>22</v>
      </c>
      <c r="NF3" s="102" t="s">
        <v>23</v>
      </c>
      <c r="NG3" s="102" t="s">
        <v>14</v>
      </c>
      <c r="NH3" s="102" t="s">
        <v>24</v>
      </c>
      <c r="NI3" s="102" t="s">
        <v>44</v>
      </c>
      <c r="NJ3" s="10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IF(AND(G4&lt;&gt;"",H4&lt;&gt;""),SUMPRODUCT((G$4:G$11&lt;&gt;"")*(H$4:H$11&lt;&gt;"")*(E$4:E$11&gt;E4))+1,IF(H4&lt;&gt;"",SUMPRODUCT((I$4:I$11="No DD")*(E$4:E$11&gt;E4))+1+SUMPRODUCT((G$4:G$11&lt;&gt;"")*(H$4:H$11&lt;&gt;"")),""))</f>
        <v/>
      </c>
      <c r="B4" s="8" t="s">
        <v>140</v>
      </c>
      <c r="C4" s="4" t="s">
        <v>102</v>
      </c>
      <c r="D4" s="27" t="s">
        <v>101</v>
      </c>
      <c r="E4" s="15">
        <f>SUM(K4:S4)</f>
        <v>168.34</v>
      </c>
      <c r="F4" s="3" t="str">
        <f>IF(G4&lt;&gt;"","P","")</f>
        <v>P</v>
      </c>
      <c r="G4" s="125" t="str">
        <f>IF(OR(AND(AL4&gt;=AR$16,AL4&lt;&gt;"",AK4=""),AND(AP4&gt;=AR$16,AP4&lt;&gt;"",AK4=""),AND(BI4&gt;=BO$16,BI4&lt;&gt;"",BH4=""),AND(BM4&gt;=BO$16,BM4&lt;&gt;"",BH4=""),AND(CF4&gt;=CL$16,CF4&lt;&gt;"",CE4=""),AND(CJ4&gt;=CL$16,CJ4&lt;&gt;"",CE4=""),AND(DF4&gt;=DL$16,DF4&lt;&gt;""),AND(DJ4&gt;=DL$16,DJ4&lt;&gt;""),AND(EB4&gt;=EH$16,EB4&lt;&gt;""),AND(EF4&gt;=EH$16,EF4&lt;&gt;""),AND(EX4&gt;=FD$16,EX4&lt;&gt;""),AND(FB4&gt;=FD$16,FB4&lt;&gt;""),AND(FT4&gt;=FZ$16,FT4&lt;&gt;""),AND(FX4&gt;=FZ$16,FX4&lt;&gt;""),AND(GP4&gt;=GV$16,GP4&lt;&gt;""),AND(GT4&gt;=GV$16,GT4&lt;&gt;""),AND(HL4&gt;=HR$16,HL4&lt;&gt;""),AND(HP4&gt;=HR$16,HP4&lt;&gt;""),AND(IH4&gt;=IN$16,IH4&lt;&gt;""),AND(IL4&gt;=IN$16,IL4&lt;&gt;""),AND(JD4&gt;=JJ$16,JD4&lt;&gt;""),AND(JH4&gt;=JJ$16,JH4&lt;&gt;""),AND(JZ4&gt;=KF$16,JZ4&lt;&gt;""),AND(KD4&gt;=KF$16,KD4&lt;&gt;""),AND(KV4&gt;=LB$16,KV4&lt;&gt;""),AND(KZ4&gt;=LB$16,KZ4&lt;&gt;""),AND(LR4&gt;=LX$16,LR4&lt;&gt;""),AND(LV4&gt;=LX$16,LV4&lt;&gt;""),AND(MN4&gt;=MT$16,MN4&lt;&gt;""),AND(MR4&gt;=MT$16,MR4&lt;&gt;"")),"Merit",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Excellence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Worlds Team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National Team",""))))</f>
        <v>National Team</v>
      </c>
      <c r="H4" s="125" t="str">
        <f>IF(OR(AND(AN4&gt;=AR$20,AN4&lt;&gt;"",AK4=""),AND(AQ4&gt;=AR$20,AQ4&lt;&gt;"",AK4=""),AND(BK4&gt;=BO$20,BK4&lt;&gt;"",BH4=""),AND(BN4&gt;=BO$20,BN4&lt;&gt;"",BH4=""),AND(CH4&gt;=CL$20,CH4&lt;&gt;"",CE4=""),AND(CK4&gt;=CL$20,CE4&lt;&gt;"",CE4=""),AND(DH4&gt;=DL$20,DH4&lt;&gt;""),AND(DK4&gt;=DL$20,DK4&lt;&gt;""),AND(ED4&gt;=EH$20,ED4&lt;&gt;""),AND(EG4&gt;=EH$20,EG4&lt;&gt;""),AND(EZ4&gt;=FD$20,EZ4&lt;&gt;""),AND(FC4&gt;=FD$20,FC4&lt;&gt;""),AND(FV4&gt;=FZ$20,FV4&lt;&gt;""),AND(FY4&gt;=FZ$20,FY4&lt;&gt;""),AND(GR4&gt;=GV$20,GR4&lt;&gt;""),AND(GU4&gt;=GV$20,GU4&lt;&gt;""),AND(HN4&gt;=HR$20,HN4&lt;&gt;""),AND(HQ4&gt;=HR$20,HQ4&lt;&gt;""),AND(IJ4&gt;=IN$20,IJ4&lt;&gt;""),AND(IM4&gt;=IN$20,IM4&lt;&gt;""),AND(JF4&gt;=JJ$20,JF4&lt;&gt;""),AND(JI4&gt;=JJ$20,JI4&lt;&gt;""),AND(KB4&gt;=KF$20,KB4&lt;&gt;""),AND(KE4&gt;=KF$20,KE4&lt;&gt;""),AND(KX4&gt;=LB$20,KX4&lt;&gt;""),AND(LA4&gt;=LB$20,LA4&lt;&gt;""),AND(LT4&gt;=LX$20,LT4&lt;&gt;""),AND(LW4&gt;=LX$20,LW4&lt;&gt;""),AND(MP4&gt;=MT$20,MP4&lt;&gt;""),AND(MS4&gt;=MT$20,MS4&lt;&gt;"")),"Merit",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Excellence",IF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"Worlds Team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$18,AO4&lt;&gt;"",AK4=""),AND(BL4&gt;=BO$18,BL4&lt;&gt;"",BH4=""),AND(CI4&gt;=CL$18,CI4&lt;&gt;"",CE4=""),AND(DI4&gt;=DL$18,DI4&lt;&gt;""),AND(EE4&gt;=EH$18,EE4&lt;&gt;""),AND(FA4&gt;=FD$18,FA4&lt;&gt;""),AND(FW4&gt;=FZ$18,FW4&lt;&gt;""),AND(GS4&gt;=GV$18,GS4&lt;&gt;""),AND(HO4&gt;=HR$18,HO4&lt;&gt;""),AND(IK4&gt;=IN$18,IK4&lt;&gt;""),AND(JG4&gt;=JJ$18,JG4&lt;&gt;""),AND(KC4&gt;=KF$18,KC4&lt;&gt;""),AND(KY4&gt;=LB$18,KY4&lt;&gt;""),AND(LU4&gt;=LX$18,LU4&lt;&gt;""),AND(MQ4&gt;=MT$18,MQ4&lt;&gt;"")),OR(G4="Worlds Team",G4="Excellence",G4="Merit")),"P","")</f>
        <v/>
      </c>
      <c r="K4" s="14">
        <f>MAX(AO4,BL4,CI4)</f>
        <v>76.45</v>
      </c>
      <c r="L4" s="14" t="str">
        <f>IF(K4=0,"",IF(K4=CI4,$BP$1,IF(K4=BL4,$AS$1,IF(K4=AO4,$V$1,""))))</f>
        <v>2019 Nationals</v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50.349999999999994</v>
      </c>
      <c r="R4" s="14" t="str">
        <f>IF(Q4=0,"",IF(Q4=CK4,$BP$1,IF(Q4=BN4,$AS$1,IF(Q4=AQ4,$V$1,""))))</f>
        <v>2019 Nationals</v>
      </c>
      <c r="S4" s="14">
        <f>IF(MAX(CM4,CN4,CO4,CP4)&gt;0,MAX(CM4,CN4,CO4,CP4),"")</f>
        <v>41.540000000000006</v>
      </c>
      <c r="T4" s="25" t="str">
        <f>IF(S4="","",IF(S4=CM4,"(Vol 1)",IF(S4=CN4,"(Vol 2)",IF(S4=CO4,"(Prelim)",IF(S4=CP4,"(Final)")))))</f>
        <v>(Vol 1)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2020 World Cup AZE</v>
      </c>
      <c r="V4" s="39">
        <v>7.65</v>
      </c>
      <c r="W4" s="39">
        <v>7.35</v>
      </c>
      <c r="X4" s="39">
        <v>2.9</v>
      </c>
      <c r="Y4" s="39">
        <v>14.16</v>
      </c>
      <c r="Z4" s="39">
        <v>0</v>
      </c>
      <c r="AA4" s="39">
        <v>7.9</v>
      </c>
      <c r="AB4" s="39">
        <v>8.15</v>
      </c>
      <c r="AC4" s="39">
        <v>12.4</v>
      </c>
      <c r="AD4" s="39">
        <v>15.94</v>
      </c>
      <c r="AE4" s="39">
        <v>0</v>
      </c>
      <c r="AF4" s="39">
        <v>8.9499999999999993</v>
      </c>
      <c r="AG4" s="39">
        <v>9.4</v>
      </c>
      <c r="AH4" s="39">
        <v>14.2</v>
      </c>
      <c r="AI4" s="39">
        <v>17.8</v>
      </c>
      <c r="AJ4" s="39">
        <v>0</v>
      </c>
      <c r="AK4" s="80"/>
      <c r="AL4" s="11">
        <f>IF(AC4&gt;0,AC4,"")</f>
        <v>12.4</v>
      </c>
      <c r="AM4" s="11">
        <f>IF(SUM(V4:Y4)-Z4&gt;0,SUM(V4:Y4)-Z4,"")</f>
        <v>32.06</v>
      </c>
      <c r="AN4" s="11">
        <f>IF(SUM(AA4:AD4)-AE4&gt;0,SUM(AA4:AD4)-AE4,"")</f>
        <v>44.39</v>
      </c>
      <c r="AO4" s="11">
        <f>IF(SUM(AM4:AN4)&gt;0,SUM(AM4:AN4),"")</f>
        <v>76.45</v>
      </c>
      <c r="AP4" s="11">
        <f>IF(AH4&gt;0,AH4,"")</f>
        <v>14.2</v>
      </c>
      <c r="AQ4" s="11">
        <f>IF(SUM(AF4:AI4)-AJ4&gt;0,SUM(AF4:AI4)-AJ4,"")</f>
        <v>50.349999999999994</v>
      </c>
      <c r="AR4" s="11">
        <f>IF(SUM(AO4,AQ4)&gt;0,SUM(AO4,AQ4),"")</f>
        <v>126.8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41.540000000000006</v>
      </c>
      <c r="CN4" s="24">
        <f>IF(MAX(DH4,ED4,EZ4,FV4,GR4,HN4,IJ4,JF4,KB4,KX4,LT4,MP4)-IF(O4="",0,O4)&gt;0.001,MAX(DH4,ED4,EZ4,FV4,GR4,HN4,IJ4,JF4,KB4,KX4,LT4,MP4)-IF(O4="",0,O4),"")</f>
        <v>24.97</v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>
        <v>8.9</v>
      </c>
      <c r="CR4" s="37">
        <v>9.3000000000000007</v>
      </c>
      <c r="CS4" s="37">
        <v>4.8</v>
      </c>
      <c r="CT4" s="37">
        <v>18.54</v>
      </c>
      <c r="CU4" s="37">
        <v>0</v>
      </c>
      <c r="CV4" s="37">
        <v>3.95</v>
      </c>
      <c r="CW4" s="37">
        <v>4.5</v>
      </c>
      <c r="CX4" s="37">
        <v>8.1999999999999993</v>
      </c>
      <c r="CY4" s="37">
        <v>8.32</v>
      </c>
      <c r="CZ4" s="37">
        <v>0</v>
      </c>
      <c r="DA4" s="37">
        <v>5.95</v>
      </c>
      <c r="DB4" s="37">
        <v>6.7</v>
      </c>
      <c r="DC4" s="37">
        <v>10.3</v>
      </c>
      <c r="DD4" s="37">
        <v>13.16</v>
      </c>
      <c r="DE4" s="37">
        <v>0</v>
      </c>
      <c r="DF4" s="11">
        <f>IF(CX4&gt;0,CX4,"")</f>
        <v>8.1999999999999993</v>
      </c>
      <c r="DG4" s="11">
        <f>IF(SUM(CQ4:CT4)-CU4&gt;0,SUM(CQ4:CT4)-CU4,"")</f>
        <v>41.540000000000006</v>
      </c>
      <c r="DH4" s="11">
        <f>IF(SUM(CV4:CY4)-CZ4&gt;0,SUM(CV4:CY4)-CZ4,"")</f>
        <v>24.97</v>
      </c>
      <c r="DI4" s="11">
        <f>IF(SUM(DG4:DH4)&gt;0,SUM(DG4:DH4),"")</f>
        <v>66.510000000000005</v>
      </c>
      <c r="DJ4" s="11">
        <f>IF(DC4&gt;0,DC4,"")</f>
        <v>10.3</v>
      </c>
      <c r="DK4" s="11">
        <f>IF(SUM(DA4:DD4)-DE4&gt;0,SUM(DA4:DD4)-DE4,"")</f>
        <v>36.11</v>
      </c>
      <c r="DL4" s="11">
        <f>IF(SUM(DI4,DK4)&gt;0,SUM(DI4,DK4),"")</f>
        <v>102.62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88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IF(AND(G5&lt;&gt;"",H5&lt;&gt;""),SUMPRODUCT((G$4:G$11&lt;&gt;"")*(H$4:H$11&lt;&gt;"")*(E$4:E$11&gt;E5))+1,IF(H5&lt;&gt;"",SUMPRODUCT((I$4:I$11="No DD")*(E$4:E$11&gt;E5))+1+SUMPRODUCT((G$4:G$11&lt;&gt;"")*(H$4:H$11&lt;&gt;"")),""))</f>
        <v/>
      </c>
      <c r="B5" s="8" t="s">
        <v>126</v>
      </c>
      <c r="C5" s="4" t="s">
        <v>6</v>
      </c>
      <c r="D5" s="27" t="s">
        <v>127</v>
      </c>
      <c r="E5" s="15">
        <f>SUM(K5:S5)</f>
        <v>120.57</v>
      </c>
      <c r="F5" s="3" t="str">
        <f>IF(G5&lt;&gt;"","P","")</f>
        <v/>
      </c>
      <c r="G5" s="125" t="str">
        <f>IF(OR(AND(AL5&gt;=AR$16,AL5&lt;&gt;"",AK5=""),AND(AP5&gt;=AR$16,AP5&lt;&gt;"",AK5=""),AND(BI5&gt;=BO$16,BI5&lt;&gt;"",BH5=""),AND(BM5&gt;=BO$16,BM5&lt;&gt;"",BH5=""),AND(CF5&gt;=CL$16,CF5&lt;&gt;"",CE5=""),AND(CJ5&gt;=CL$16,CJ5&lt;&gt;"",CE5=""),AND(DF5&gt;=DL$16,DF5&lt;&gt;""),AND(DJ5&gt;=DL$16,DJ5&lt;&gt;""),AND(EB5&gt;=EH$16,EB5&lt;&gt;""),AND(EF5&gt;=EH$16,EF5&lt;&gt;""),AND(EX5&gt;=FD$16,EX5&lt;&gt;""),AND(FB5&gt;=FD$16,FB5&lt;&gt;""),AND(FT5&gt;=FZ$16,FT5&lt;&gt;""),AND(FX5&gt;=FZ$16,FX5&lt;&gt;""),AND(GP5&gt;=GV$16,GP5&lt;&gt;""),AND(GT5&gt;=GV$16,GT5&lt;&gt;""),AND(HL5&gt;=HR$16,HL5&lt;&gt;""),AND(HP5&gt;=HR$16,HP5&lt;&gt;""),AND(IH5&gt;=IN$16,IH5&lt;&gt;""),AND(IL5&gt;=IN$16,IL5&lt;&gt;""),AND(JD5&gt;=JJ$16,JD5&lt;&gt;""),AND(JH5&gt;=JJ$16,JH5&lt;&gt;""),AND(JZ5&gt;=KF$16,JZ5&lt;&gt;""),AND(KD5&gt;=KF$16,KD5&lt;&gt;""),AND(KV5&gt;=LB$16,KV5&lt;&gt;""),AND(KZ5&gt;=LB$16,KZ5&lt;&gt;""),AND(LR5&gt;=LX$16,LR5&lt;&gt;""),AND(LV5&gt;=LX$16,LV5&lt;&gt;""),AND(MN5&gt;=MT$16,MN5&lt;&gt;""),AND(MR5&gt;=MT$16,MR5&lt;&gt;"")),"Merit",IF(OR(AND(AL5&gt;=AR$15,AL5&lt;&gt;"",AK5=""),AND(AP5&gt;=AR$15,AP5&lt;&gt;"",AK5=""),AND(BI5&gt;=BO$15,BI5&lt;&gt;"",BH5=""),AND(BM5&gt;=BO$15,BM5&lt;&gt;"",BH5=""),AND(CF5&gt;=CL$15,CF5&lt;&gt;"",CE5=""),AND(CJ5&gt;=CL$15,CJ5&lt;&gt;"",CE5=""),AND(DF5&gt;=DL$15,DF5&lt;&gt;""),AND(DJ5&gt;=DL$15,DJ5&lt;&gt;""),AND(EB5&gt;=EH$15,EB5&lt;&gt;""),AND(EF5&gt;=EH$15,EF5&lt;&gt;""),AND(EX5&gt;=FD$15,EX5&lt;&gt;""),AND(FB5&gt;=FD$15,FB5&lt;&gt;""),AND(FT5&gt;=FZ$15,FT5&lt;&gt;""),AND(FX5&gt;=FZ$15,FX5&lt;&gt;""),AND(GP5&gt;=GV$15,GP5&lt;&gt;""),AND(GT5&gt;=GV$15,GT5&lt;&gt;""),AND(HL5&gt;=HR$15,HL5&lt;&gt;""),AND(HP5&gt;=HR$15,HP5&lt;&gt;""),AND(IH5&gt;=IN$15,IH5&lt;&gt;""),AND(IL5&gt;=IN$15,IL5&lt;&gt;""),AND(JD5&gt;=JJ$15,JD5&lt;&gt;""),AND(JH5&gt;=JJ$15,JH5&lt;&gt;""),AND(JZ5&gt;=KF$15,JZ5&lt;&gt;""),AND(KD5&gt;=KF$15,KD5&lt;&gt;""),AND(KV5&gt;=LB$15,KV5&lt;&gt;""),AND(KZ5&gt;=LB$15,KZ5&lt;&gt;""),AND(LR5&gt;=LX$15,LR5&lt;&gt;""),AND(LV5&gt;=LX$15,LV5&lt;&gt;""),AND(MN5&gt;=MT$15,MN5&lt;&gt;""),AND(MR5&gt;=MT$15,MR5&lt;&gt;"")),"Excellence",IF(OR(AND(AL5&gt;=AR$14,AL5&lt;&gt;"",AK5=""),AND(AP5&gt;=AR$14,AP5&lt;&gt;"",AK5=""),AND(BI5&gt;=BO$14,BI5&lt;&gt;"",BH5=""),AND(BM5&gt;=BO$14,BM5&lt;&gt;"",BH5=""),AND(CF5&gt;=CL$14,CF5&lt;&gt;"",CE5=""),AND(CJ5&gt;=CL$14,CJ5&lt;&gt;"",CE5=""),AND(DF5&gt;=DL$14,DF5&lt;&gt;""),AND(DJ5&gt;=DL$14,DJ5&lt;&gt;""),AND(EB5&gt;=EH$14,EB5&lt;&gt;""),AND(EF5&gt;=EH$14,EF5&lt;&gt;""),AND(EX5&gt;=FD$14,EX5&lt;&gt;""),AND(FB5&gt;=FD$14,FB5&lt;&gt;""),AND(FT5&gt;=FZ$14,FT5&lt;&gt;""),AND(FX5&gt;=FZ$14,FX5&lt;&gt;""),AND(GP5&gt;=GV$14,GP5&lt;&gt;""),AND(GT5&gt;=GV$14,GT5&lt;&gt;""),AND(HL5&gt;=HR$14,HL5&lt;&gt;""),AND(HP5&gt;=HR$14,HP5&lt;&gt;""),AND(IH5&gt;=IN$14,IH5&lt;&gt;""),AND(IL5&gt;=IN$14,IL5&lt;&gt;""),AND(JD5&gt;=JJ$14,JD5&lt;&gt;""),AND(JH5&gt;=JJ$14,JH5&lt;&gt;""),AND(JZ5&gt;=KF$14,JZ5&lt;&gt;""),AND(KD5&gt;=KF$14,KD5&lt;&gt;""),AND(KV5&gt;=LB$14,KV5&lt;&gt;""),AND(KZ5&gt;=LB$14,KZ5&lt;&gt;""),AND(LR5&gt;=LX$14,LR5&lt;&gt;""),AND(LV5&gt;=LX$14,LV5&lt;&gt;""),AND(MN5&gt;=MT$14,MN5&lt;&gt;""),AND(MR5&gt;=MT$14,MR5&lt;&gt;"")),"Worlds Team",IF(OR(AND(AL5&gt;=AR$13,AL5&lt;&gt;"",AK5=""),AND(AP5&gt;=AR$13,AP5&lt;&gt;"",AK5=""),AND(BI5&gt;=BO$13,BI5&lt;&gt;"",BH5=""),AND(BM5&gt;=BO$13,BM5&lt;&gt;"",BH5=""),AND(CF5&gt;=CL$13,CF5&lt;&gt;"",CE5=""),AND(CJ5&gt;=CL$13,CJ5&lt;&gt;"",CE5=""),AND(DF5&gt;=DL$13,DF5&lt;&gt;""),AND(DJ5&gt;=DL$13,DJ5&lt;&gt;""),AND(EB5&gt;=EH$13,EB5&lt;&gt;""),AND(EF5&gt;=EH$13,EF5&lt;&gt;""),AND(EX5&gt;=FD$13,EX5&lt;&gt;""),AND(FB5&gt;=FD$13,FB5&lt;&gt;""),AND(FT5&gt;=FZ$13,FT5&lt;&gt;""),AND(FX5&gt;=FZ$13,FX5&lt;&gt;""),AND(GP5&gt;=GV$13,GP5&lt;&gt;""),AND(GT5&gt;=GV$13,GT5&lt;&gt;""),AND(HL5&gt;=HR$13,HL5&lt;&gt;""),AND(HP5&gt;=HR$13,HP5&lt;&gt;""),AND(IH5&gt;=IN$13,IH5&lt;&gt;""),AND(IL5&gt;=IN$13,IL5&lt;&gt;""),AND(JD5&gt;=JJ$13,JD5&lt;&gt;""),AND(JH5&gt;=JJ$13,JH5&lt;&gt;""),AND(JZ5&gt;=KF$13,JZ5&lt;&gt;""),AND(KD5&gt;=KF$13,KD5&lt;&gt;""),AND(KV5&gt;=LB$13,KV5&lt;&gt;""),AND(KZ5&gt;=LB$13,KZ5&lt;&gt;""),AND(LR5&gt;=LX$13,LR5&lt;&gt;""),AND(LV5&gt;=LX$13,LV5&lt;&gt;""),AND(MN5&gt;=MT$13,MN5&lt;&gt;""),AND(MR5&gt;=MT$13,MR5&lt;&gt;"")),"National Team",""))))</f>
        <v/>
      </c>
      <c r="H5" s="125" t="str">
        <f>IF(OR(AND(AN5&gt;=AR$20,AN5&lt;&gt;"",AK5=""),AND(AQ5&gt;=AR$20,AQ5&lt;&gt;"",AK5=""),AND(BK5&gt;=BO$20,BK5&lt;&gt;"",BH5=""),AND(BN5&gt;=BO$20,BN5&lt;&gt;"",BH5=""),AND(CH5&gt;=CL$20,CH5&lt;&gt;"",CE5=""),AND(CK5&gt;=CL$20,CE5&lt;&gt;"",CE5=""),AND(DH5&gt;=DL$20,DH5&lt;&gt;""),AND(DK5&gt;=DL$20,DK5&lt;&gt;""),AND(ED5&gt;=EH$20,ED5&lt;&gt;""),AND(EG5&gt;=EH$20,EG5&lt;&gt;""),AND(EZ5&gt;=FD$20,EZ5&lt;&gt;""),AND(FC5&gt;=FD$20,FC5&lt;&gt;""),AND(FV5&gt;=FZ$20,FV5&lt;&gt;""),AND(FY5&gt;=FZ$20,FY5&lt;&gt;""),AND(GR5&gt;=GV$20,GR5&lt;&gt;""),AND(GU5&gt;=GV$20,GU5&lt;&gt;""),AND(HN5&gt;=HR$20,HN5&lt;&gt;""),AND(HQ5&gt;=HR$20,HQ5&lt;&gt;""),AND(IJ5&gt;=IN$20,IJ5&lt;&gt;""),AND(IM5&gt;=IN$20,IM5&lt;&gt;""),AND(JF5&gt;=JJ$20,JF5&lt;&gt;""),AND(JI5&gt;=JJ$20,JI5&lt;&gt;""),AND(KB5&gt;=KF$20,KB5&lt;&gt;""),AND(KE5&gt;=KF$20,KE5&lt;&gt;""),AND(KX5&gt;=LB$20,KX5&lt;&gt;""),AND(LA5&gt;=LB$20,LA5&lt;&gt;""),AND(LT5&gt;=LX$20,LT5&lt;&gt;""),AND(LW5&gt;=LX$20,LW5&lt;&gt;""),AND(MP5&gt;=MT$20,MP5&lt;&gt;""),AND(MS5&gt;=MT$20,MS5&lt;&gt;"")),"Merit",IF(OR(AND(AN5&gt;=AR$19,AN5&lt;&gt;"",AK5=""),AND(AQ5&gt;=AR$19,AQ5&lt;&gt;"",AK5=""),AND(BK5&gt;=BO$19,BK5&lt;&gt;"",BH5=""),AND(BN5&gt;=BO$19,BN5&lt;&gt;"",BH5=""),AND(CH5&gt;=CL$19,CH5&lt;&gt;"",CE5=""),AND(CK5&gt;=CL$19,CE5&lt;&gt;"",CE5=""),AND(DH5&gt;=DL$19,DH5&lt;&gt;""),AND(DK5&gt;=DL$19,DK5&lt;&gt;""),AND(ED5&gt;=EH$19,ED5&lt;&gt;""),AND(EG5&gt;=EH$19,EG5&lt;&gt;""),AND(EZ5&gt;=FD$19,EZ5&lt;&gt;""),AND(FC5&gt;=FD$19,FC5&lt;&gt;""),AND(FV5&gt;=FZ$19,FV5&lt;&gt;""),AND(FY5&gt;=FZ$19,FY5&lt;&gt;""),AND(GR5&gt;=GV$19,GR5&lt;&gt;""),AND(GU5&gt;=GV$19,GU5&lt;&gt;""),AND(HN5&gt;=HR$19,HN5&lt;&gt;""),AND(HQ5&gt;=HR$19,HQ5&lt;&gt;""),AND(IJ5&gt;=IN$19,IJ5&lt;&gt;""),AND(IM5&gt;=IN$19,IM5&lt;&gt;""),AND(JF5&gt;=JJ$19,JF5&lt;&gt;""),AND(JI5&gt;=JJ$19,JI5&lt;&gt;""),AND(KB5&gt;=KF$19,KB5&lt;&gt;""),AND(KE5&gt;=KF$19,KE5&lt;&gt;""),AND(KX5&gt;=LB$19,KX5&lt;&gt;""),AND(LA5&gt;=LB$19,LA5&lt;&gt;""),AND(LT5&gt;=LX$19,LT5&lt;&gt;""),AND(LW5&gt;=LX$19,LW5&lt;&gt;""),AND(MP5&gt;=MT$19,MP5&lt;&gt;""),AND(MS5&gt;=MT$19,MS5&lt;&gt;"")),"Excellence",IF(OR(AND(AO5&gt;=AR$18,AO5&lt;&gt;"",AK5=""),AND(BL5&gt;=BO$18,BL5&lt;&gt;"",BH5=""),AND(CI5&gt;=CL$18,CI5&lt;&gt;"",CE5=""),AND(DI5&gt;=DL$18,DI5&lt;&gt;""),AND(EE5&gt;=EH$18,EE5&lt;&gt;""),AND(FA5&gt;=FD$18,FA5&lt;&gt;""),AND(FW5&gt;=FZ$18,FW5&lt;&gt;""),AND(GS5&gt;=GV$18,GS5&lt;&gt;""),AND(HO5&gt;=HR$18,HO5&lt;&gt;""),AND(IK5&gt;=IN$18,IK5&lt;&gt;""),AND(JG5&gt;=JJ$18,JG5&lt;&gt;""),AND(KC5&gt;=KF$18,KC5&lt;&gt;""),AND(KY5&gt;=LB$18,KY5&lt;&gt;""),AND(LU5&gt;=LX$18,LU5&lt;&gt;""),AND(MQ5&gt;=MT$18,MQ5&lt;&gt;"")),"Worlds Team",IF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$18,AO5&lt;&gt;"",AK5=""),AND(BL5&gt;=BO$18,BL5&lt;&gt;"",BH5=""),AND(CI5&gt;=CL$18,CI5&lt;&gt;"",CE5=""),AND(DI5&gt;=DL$18,DI5&lt;&gt;""),AND(EE5&gt;=EH$18,EE5&lt;&gt;""),AND(FA5&gt;=FD$18,FA5&lt;&gt;""),AND(FW5&gt;=FZ$18,FW5&lt;&gt;""),AND(GS5&gt;=GV$18,GS5&lt;&gt;""),AND(HO5&gt;=HR$18,HO5&lt;&gt;""),AND(IK5&gt;=IN$18,IK5&lt;&gt;""),AND(JG5&gt;=JJ$18,JG5&lt;&gt;""),AND(KC5&gt;=KF$18,KC5&lt;&gt;""),AND(KY5&gt;=LB$18,KY5&lt;&gt;""),AND(LU5&gt;=LX$18,LU5&lt;&gt;""),AND(MQ5&gt;=MT$18,MQ5&lt;&gt;"")),OR(G5="Worlds Team",G5="Excellence",G5="Merit")),"P","")</f>
        <v/>
      </c>
      <c r="K5" s="14">
        <f>MAX(AO5,BL5,CI5)</f>
        <v>77.55</v>
      </c>
      <c r="L5" s="14" t="str">
        <f>IF(K5=0,"",IF(K5=CI5,$BP$1,IF(K5=BL5,$AS$1,IF(K5=AO5,$V$1,""))))</f>
        <v>2019 Nationals</v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43.02</v>
      </c>
      <c r="R5" s="14" t="str">
        <f>IF(Q5=0,"",IF(Q5=CK5,$BP$1,IF(Q5=BN5,$AS$1,IF(Q5=AQ5,$V$1,""))))</f>
        <v>2019 Nationals</v>
      </c>
      <c r="S5" s="14" t="str">
        <f>IF(MAX(CM5,CN5,CO5,CP5)&gt;0,MAX(CM5,CN5,CO5,CP5),"")</f>
        <v/>
      </c>
      <c r="T5" s="25" t="str">
        <f>IF(S5="","",IF(S5=CM5,"(Vol 1)",IF(S5=CN5,"(Vol 2)",IF(S5=CO5,"(Prelim)",IF(S5=CP5,"(Final)")))))</f>
        <v/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/>
      </c>
      <c r="V5" s="39">
        <v>8.1999999999999993</v>
      </c>
      <c r="W5" s="39">
        <v>9.1999999999999993</v>
      </c>
      <c r="X5" s="39">
        <v>4.3</v>
      </c>
      <c r="Y5" s="39">
        <v>14.16</v>
      </c>
      <c r="Z5" s="39">
        <v>0</v>
      </c>
      <c r="AA5" s="39">
        <v>7.65</v>
      </c>
      <c r="AB5" s="39">
        <v>9.1999999999999993</v>
      </c>
      <c r="AC5" s="39">
        <v>10.4</v>
      </c>
      <c r="AD5" s="39">
        <v>14.44</v>
      </c>
      <c r="AE5" s="39">
        <v>0</v>
      </c>
      <c r="AF5" s="39">
        <v>8.4</v>
      </c>
      <c r="AG5" s="39">
        <v>9.3000000000000007</v>
      </c>
      <c r="AH5" s="39">
        <v>10.6</v>
      </c>
      <c r="AI5" s="39">
        <v>14.72</v>
      </c>
      <c r="AJ5" s="39">
        <v>0</v>
      </c>
      <c r="AK5" s="80"/>
      <c r="AL5" s="11">
        <f>IF(AC5&gt;0,AC5,"")</f>
        <v>10.4</v>
      </c>
      <c r="AM5" s="11">
        <f>IF(SUM(V5:Y5)-Z5&gt;0,SUM(V5:Y5)-Z5,"")</f>
        <v>35.86</v>
      </c>
      <c r="AN5" s="11">
        <f>IF(SUM(AA5:AD5)-AE5&gt;0,SUM(AA5:AD5)-AE5,"")</f>
        <v>41.69</v>
      </c>
      <c r="AO5" s="11">
        <f>IF(SUM(AM5:AN5)&gt;0,SUM(AM5:AN5),"")</f>
        <v>77.55</v>
      </c>
      <c r="AP5" s="11">
        <f>IF(AH5&gt;0,AH5,"")</f>
        <v>10.6</v>
      </c>
      <c r="AQ5" s="11">
        <f>IF(SUM(AF5:AI5)-AJ5&gt;0,SUM(AF5:AI5)-AJ5,"")</f>
        <v>43.02</v>
      </c>
      <c r="AR5" s="11">
        <f>IF(SUM(AO5,AQ5)&gt;0,SUM(AO5,AQ5),"")</f>
        <v>120.57</v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 t="str">
        <f>IF(MAX(DG5,EC5,EY5,FU5,GQ5,HM5,II5,JE5,KA5,KW5,LS5,MO5)-IF(M5="",0,M5)&gt;0.001,MAX(DG5,EC5,EY5,FU5,GQ5,HM5,II5,JE5,KA5,KW5,LS5,MO5)-IF(M5="",0,M5),"")</f>
        <v/>
      </c>
      <c r="CN5" s="24" t="str">
        <f>IF(MAX(DH5,ED5,EZ5,FV5,GR5,HN5,IJ5,JF5,KB5,KX5,LT5,MP5)-IF(O5="",0,O5)&gt;0.001,MAX(DH5,ED5,EZ5,FV5,GR5,HN5,IJ5,JF5,KB5,KX5,LT5,MP5)-IF(O5="",0,O5),"")</f>
        <v/>
      </c>
      <c r="CO5" s="24" t="str">
        <f>IF(MAX(DI5,EE5,FA5,FW5,GS5,HO5,IK5,JG5,KC5,KY5,LU5,MQ5)-IF(K5="",0,K5)&gt;0.001,MAX(DI5,EE5,FA5,FW5,GS5,HO5,IK5,JG5,KC5,KY5,LU5,MQ5)-IF(K5="",0,K5),"")</f>
        <v/>
      </c>
      <c r="CP5" s="24" t="str">
        <f>IF(MAX(DK5,EG5,FC5,FY5,GU5,HQ5,IM5,JI5,KE5,LA5,LW5,MS5)-IF(Q5="",0,Q5)&gt;0.001,MAX(DK5,EG5,FC5,FY5,GU5,HQ5,IM5,JI5,KE5,LA5,LW5,MS5)-IF(Q5="",0,Q5),"")</f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>IF(CX5&gt;0,CX5,"")</f>
        <v/>
      </c>
      <c r="DG5" s="11" t="str">
        <f>IF(SUM(CQ5:CT5)-CU5&gt;0,SUM(CQ5:CT5)-CU5,"")</f>
        <v/>
      </c>
      <c r="DH5" s="11" t="str">
        <f>IF(SUM(CV5:CY5)-CZ5&gt;0,SUM(CV5:CY5)-CZ5,"")</f>
        <v/>
      </c>
      <c r="DI5" s="11" t="str">
        <f>IF(SUM(DG5:DH5)&gt;0,SUM(DG5:DH5),"")</f>
        <v/>
      </c>
      <c r="DJ5" s="11" t="str">
        <f>IF(DC5&gt;0,DC5,"")</f>
        <v/>
      </c>
      <c r="DK5" s="11" t="str">
        <f>IF(SUM(DA5:DD5)-DE5&gt;0,SUM(DA5:DD5)-DE5,"")</f>
        <v/>
      </c>
      <c r="DL5" s="11" t="str">
        <f>IF(SUM(DI5,DK5)&gt;0,SUM(DI5,DK5),"")</f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88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A6" s="5" t="str" cm="1">
        <f t="array" ref="A6">IF(AND(G6&lt;&gt;"",H6&lt;&gt;""),SUMPRODUCT((G$4:G$11&lt;&gt;"")*(H$4:H$11&lt;&gt;"")*(E$4:E$11&gt;E6))+1,IF(H6&lt;&gt;"",SUMPRODUCT((I$4:I$11="No DD")*(E$4:E$11&gt;E6))+1+SUMPRODUCT((G$4:G$11&lt;&gt;"")*(H$4:H$11&lt;&gt;"")),""))</f>
        <v/>
      </c>
      <c r="B6" s="8" t="s">
        <v>118</v>
      </c>
      <c r="C6" s="4" t="s">
        <v>3</v>
      </c>
      <c r="D6" s="27" t="s">
        <v>103</v>
      </c>
      <c r="E6" s="15">
        <f>SUM(K6:S6)</f>
        <v>108.6</v>
      </c>
      <c r="F6" s="3" t="str">
        <f>IF(G6&lt;&gt;"","P","")</f>
        <v/>
      </c>
      <c r="G6" s="125" t="str">
        <f>IF(OR(AND(AL6&gt;=AR$16,AL6&lt;&gt;"",AK6=""),AND(AP6&gt;=AR$16,AP6&lt;&gt;"",AK6=""),AND(BI6&gt;=BO$16,BI6&lt;&gt;"",BH6=""),AND(BM6&gt;=BO$16,BM6&lt;&gt;"",BH6=""),AND(CF6&gt;=CL$16,CF6&lt;&gt;"",CE6=""),AND(CJ6&gt;=CL$16,CJ6&lt;&gt;"",CE6=""),AND(DF6&gt;=DL$16,DF6&lt;&gt;""),AND(DJ6&gt;=DL$16,DJ6&lt;&gt;""),AND(EB6&gt;=EH$16,EB6&lt;&gt;""),AND(EF6&gt;=EH$16,EF6&lt;&gt;""),AND(EX6&gt;=FD$16,EX6&lt;&gt;""),AND(FB6&gt;=FD$16,FB6&lt;&gt;""),AND(FT6&gt;=FZ$16,FT6&lt;&gt;""),AND(FX6&gt;=FZ$16,FX6&lt;&gt;""),AND(GP6&gt;=GV$16,GP6&lt;&gt;""),AND(GT6&gt;=GV$16,GT6&lt;&gt;""),AND(HL6&gt;=HR$16,HL6&lt;&gt;""),AND(HP6&gt;=HR$16,HP6&lt;&gt;""),AND(IH6&gt;=IN$16,IH6&lt;&gt;""),AND(IL6&gt;=IN$16,IL6&lt;&gt;""),AND(JD6&gt;=JJ$16,JD6&lt;&gt;""),AND(JH6&gt;=JJ$16,JH6&lt;&gt;""),AND(JZ6&gt;=KF$16,JZ6&lt;&gt;""),AND(KD6&gt;=KF$16,KD6&lt;&gt;""),AND(KV6&gt;=LB$16,KV6&lt;&gt;""),AND(KZ6&gt;=LB$16,KZ6&lt;&gt;""),AND(LR6&gt;=LX$16,LR6&lt;&gt;""),AND(LV6&gt;=LX$16,LV6&lt;&gt;""),AND(MN6&gt;=MT$16,MN6&lt;&gt;""),AND(MR6&gt;=MT$16,MR6&lt;&gt;"")),"Merit",IF(OR(AND(AL6&gt;=AR$15,AL6&lt;&gt;"",AK6=""),AND(AP6&gt;=AR$15,AP6&lt;&gt;"",AK6=""),AND(BI6&gt;=BO$15,BI6&lt;&gt;"",BH6=""),AND(BM6&gt;=BO$15,BM6&lt;&gt;"",BH6=""),AND(CF6&gt;=CL$15,CF6&lt;&gt;"",CE6=""),AND(CJ6&gt;=CL$15,CJ6&lt;&gt;"",CE6=""),AND(DF6&gt;=DL$15,DF6&lt;&gt;""),AND(DJ6&gt;=DL$15,DJ6&lt;&gt;""),AND(EB6&gt;=EH$15,EB6&lt;&gt;""),AND(EF6&gt;=EH$15,EF6&lt;&gt;""),AND(EX6&gt;=FD$15,EX6&lt;&gt;""),AND(FB6&gt;=FD$15,FB6&lt;&gt;""),AND(FT6&gt;=FZ$15,FT6&lt;&gt;""),AND(FX6&gt;=FZ$15,FX6&lt;&gt;""),AND(GP6&gt;=GV$15,GP6&lt;&gt;""),AND(GT6&gt;=GV$15,GT6&lt;&gt;""),AND(HL6&gt;=HR$15,HL6&lt;&gt;""),AND(HP6&gt;=HR$15,HP6&lt;&gt;""),AND(IH6&gt;=IN$15,IH6&lt;&gt;""),AND(IL6&gt;=IN$15,IL6&lt;&gt;""),AND(JD6&gt;=JJ$15,JD6&lt;&gt;""),AND(JH6&gt;=JJ$15,JH6&lt;&gt;""),AND(JZ6&gt;=KF$15,JZ6&lt;&gt;""),AND(KD6&gt;=KF$15,KD6&lt;&gt;""),AND(KV6&gt;=LB$15,KV6&lt;&gt;""),AND(KZ6&gt;=LB$15,KZ6&lt;&gt;""),AND(LR6&gt;=LX$15,LR6&lt;&gt;""),AND(LV6&gt;=LX$15,LV6&lt;&gt;""),AND(MN6&gt;=MT$15,MN6&lt;&gt;""),AND(MR6&gt;=MT$15,MR6&lt;&gt;"")),"Excellence",IF(OR(AND(AL6&gt;=AR$14,AL6&lt;&gt;"",AK6=""),AND(AP6&gt;=AR$14,AP6&lt;&gt;"",AK6=""),AND(BI6&gt;=BO$14,BI6&lt;&gt;"",BH6=""),AND(BM6&gt;=BO$14,BM6&lt;&gt;"",BH6=""),AND(CF6&gt;=CL$14,CF6&lt;&gt;"",CE6=""),AND(CJ6&gt;=CL$14,CJ6&lt;&gt;"",CE6=""),AND(DF6&gt;=DL$14,DF6&lt;&gt;""),AND(DJ6&gt;=DL$14,DJ6&lt;&gt;""),AND(EB6&gt;=EH$14,EB6&lt;&gt;""),AND(EF6&gt;=EH$14,EF6&lt;&gt;""),AND(EX6&gt;=FD$14,EX6&lt;&gt;""),AND(FB6&gt;=FD$14,FB6&lt;&gt;""),AND(FT6&gt;=FZ$14,FT6&lt;&gt;""),AND(FX6&gt;=FZ$14,FX6&lt;&gt;""),AND(GP6&gt;=GV$14,GP6&lt;&gt;""),AND(GT6&gt;=GV$14,GT6&lt;&gt;""),AND(HL6&gt;=HR$14,HL6&lt;&gt;""),AND(HP6&gt;=HR$14,HP6&lt;&gt;""),AND(IH6&gt;=IN$14,IH6&lt;&gt;""),AND(IL6&gt;=IN$14,IL6&lt;&gt;""),AND(JD6&gt;=JJ$14,JD6&lt;&gt;""),AND(JH6&gt;=JJ$14,JH6&lt;&gt;""),AND(JZ6&gt;=KF$14,JZ6&lt;&gt;""),AND(KD6&gt;=KF$14,KD6&lt;&gt;""),AND(KV6&gt;=LB$14,KV6&lt;&gt;""),AND(KZ6&gt;=LB$14,KZ6&lt;&gt;""),AND(LR6&gt;=LX$14,LR6&lt;&gt;""),AND(LV6&gt;=LX$14,LV6&lt;&gt;""),AND(MN6&gt;=MT$14,MN6&lt;&gt;""),AND(MR6&gt;=MT$14,MR6&lt;&gt;"")),"Worlds Team",IF(OR(AND(AL6&gt;=AR$13,AL6&lt;&gt;"",AK6=""),AND(AP6&gt;=AR$13,AP6&lt;&gt;"",AK6=""),AND(BI6&gt;=BO$13,BI6&lt;&gt;"",BH6=""),AND(BM6&gt;=BO$13,BM6&lt;&gt;"",BH6=""),AND(CF6&gt;=CL$13,CF6&lt;&gt;"",CE6=""),AND(CJ6&gt;=CL$13,CJ6&lt;&gt;"",CE6=""),AND(DF6&gt;=DL$13,DF6&lt;&gt;""),AND(DJ6&gt;=DL$13,DJ6&lt;&gt;""),AND(EB6&gt;=EH$13,EB6&lt;&gt;""),AND(EF6&gt;=EH$13,EF6&lt;&gt;""),AND(EX6&gt;=FD$13,EX6&lt;&gt;""),AND(FB6&gt;=FD$13,FB6&lt;&gt;""),AND(FT6&gt;=FZ$13,FT6&lt;&gt;""),AND(FX6&gt;=FZ$13,FX6&lt;&gt;""),AND(GP6&gt;=GV$13,GP6&lt;&gt;""),AND(GT6&gt;=GV$13,GT6&lt;&gt;""),AND(HL6&gt;=HR$13,HL6&lt;&gt;""),AND(HP6&gt;=HR$13,HP6&lt;&gt;""),AND(IH6&gt;=IN$13,IH6&lt;&gt;""),AND(IL6&gt;=IN$13,IL6&lt;&gt;""),AND(JD6&gt;=JJ$13,JD6&lt;&gt;""),AND(JH6&gt;=JJ$13,JH6&lt;&gt;""),AND(JZ6&gt;=KF$13,JZ6&lt;&gt;""),AND(KD6&gt;=KF$13,KD6&lt;&gt;""),AND(KV6&gt;=LB$13,KV6&lt;&gt;""),AND(KZ6&gt;=LB$13,KZ6&lt;&gt;""),AND(LR6&gt;=LX$13,LR6&lt;&gt;""),AND(LV6&gt;=LX$13,LV6&lt;&gt;""),AND(MN6&gt;=MT$13,MN6&lt;&gt;""),AND(MR6&gt;=MT$13,MR6&lt;&gt;"")),"National Team",""))))</f>
        <v/>
      </c>
      <c r="H6" s="125" t="str">
        <f>IF(OR(AND(AN6&gt;=AR$20,AN6&lt;&gt;"",AK6=""),AND(AQ6&gt;=AR$20,AQ6&lt;&gt;"",AK6=""),AND(BK6&gt;=BO$20,BK6&lt;&gt;"",BH6=""),AND(BN6&gt;=BO$20,BN6&lt;&gt;"",BH6=""),AND(CH6&gt;=CL$20,CH6&lt;&gt;"",CE6=""),AND(CK6&gt;=CL$20,CE6&lt;&gt;"",CE6=""),AND(DH6&gt;=DL$20,DH6&lt;&gt;""),AND(DK6&gt;=DL$20,DK6&lt;&gt;""),AND(ED6&gt;=EH$20,ED6&lt;&gt;""),AND(EG6&gt;=EH$20,EG6&lt;&gt;""),AND(EZ6&gt;=FD$20,EZ6&lt;&gt;""),AND(FC6&gt;=FD$20,FC6&lt;&gt;""),AND(FV6&gt;=FZ$20,FV6&lt;&gt;""),AND(FY6&gt;=FZ$20,FY6&lt;&gt;""),AND(GR6&gt;=GV$20,GR6&lt;&gt;""),AND(GU6&gt;=GV$20,GU6&lt;&gt;""),AND(HN6&gt;=HR$20,HN6&lt;&gt;""),AND(HQ6&gt;=HR$20,HQ6&lt;&gt;""),AND(IJ6&gt;=IN$20,IJ6&lt;&gt;""),AND(IM6&gt;=IN$20,IM6&lt;&gt;""),AND(JF6&gt;=JJ$20,JF6&lt;&gt;""),AND(JI6&gt;=JJ$20,JI6&lt;&gt;""),AND(KB6&gt;=KF$20,KB6&lt;&gt;""),AND(KE6&gt;=KF$20,KE6&lt;&gt;""),AND(KX6&gt;=LB$20,KX6&lt;&gt;""),AND(LA6&gt;=LB$20,LA6&lt;&gt;""),AND(LT6&gt;=LX$20,LT6&lt;&gt;""),AND(LW6&gt;=LX$20,LW6&lt;&gt;""),AND(MP6&gt;=MT$20,MP6&lt;&gt;""),AND(MS6&gt;=MT$20,MS6&lt;&gt;"")),"Merit",IF(OR(AND(AN6&gt;=AR$19,AN6&lt;&gt;"",AK6=""),AND(AQ6&gt;=AR$19,AQ6&lt;&gt;"",AK6=""),AND(BK6&gt;=BO$19,BK6&lt;&gt;"",BH6=""),AND(BN6&gt;=BO$19,BN6&lt;&gt;"",BH6=""),AND(CH6&gt;=CL$19,CH6&lt;&gt;"",CE6=""),AND(CK6&gt;=CL$19,CE6&lt;&gt;"",CE6=""),AND(DH6&gt;=DL$19,DH6&lt;&gt;""),AND(DK6&gt;=DL$19,DK6&lt;&gt;""),AND(ED6&gt;=EH$19,ED6&lt;&gt;""),AND(EG6&gt;=EH$19,EG6&lt;&gt;""),AND(EZ6&gt;=FD$19,EZ6&lt;&gt;""),AND(FC6&gt;=FD$19,FC6&lt;&gt;""),AND(FV6&gt;=FZ$19,FV6&lt;&gt;""),AND(FY6&gt;=FZ$19,FY6&lt;&gt;""),AND(GR6&gt;=GV$19,GR6&lt;&gt;""),AND(GU6&gt;=GV$19,GU6&lt;&gt;""),AND(HN6&gt;=HR$19,HN6&lt;&gt;""),AND(HQ6&gt;=HR$19,HQ6&lt;&gt;""),AND(IJ6&gt;=IN$19,IJ6&lt;&gt;""),AND(IM6&gt;=IN$19,IM6&lt;&gt;""),AND(JF6&gt;=JJ$19,JF6&lt;&gt;""),AND(JI6&gt;=JJ$19,JI6&lt;&gt;""),AND(KB6&gt;=KF$19,KB6&lt;&gt;""),AND(KE6&gt;=KF$19,KE6&lt;&gt;""),AND(KX6&gt;=LB$19,KX6&lt;&gt;""),AND(LA6&gt;=LB$19,LA6&lt;&gt;""),AND(LT6&gt;=LX$19,LT6&lt;&gt;""),AND(LW6&gt;=LX$19,LW6&lt;&gt;""),AND(MP6&gt;=MT$19,MP6&lt;&gt;""),AND(MS6&gt;=MT$19,MS6&lt;&gt;"")),"Excellence",IF(OR(AND(AO6&gt;=AR$18,AO6&lt;&gt;"",AK6=""),AND(BL6&gt;=BO$18,BL6&lt;&gt;"",BH6=""),AND(CI6&gt;=CL$18,CI6&lt;&gt;"",CE6=""),AND(DI6&gt;=DL$18,DI6&lt;&gt;""),AND(EE6&gt;=EH$18,EE6&lt;&gt;""),AND(FA6&gt;=FD$18,FA6&lt;&gt;""),AND(FW6&gt;=FZ$18,FW6&lt;&gt;""),AND(GS6&gt;=GV$18,GS6&lt;&gt;""),AND(HO6&gt;=HR$18,HO6&lt;&gt;""),AND(IK6&gt;=IN$18,IK6&lt;&gt;""),AND(JG6&gt;=JJ$18,JG6&lt;&gt;""),AND(KC6&gt;=KF$18,KC6&lt;&gt;""),AND(KY6&gt;=LB$18,KY6&lt;&gt;""),AND(LU6&gt;=LX$18,LU6&lt;&gt;""),AND(MQ6&gt;=MT$18,MQ6&lt;&gt;"")),"Worlds Team",IF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"National Team",""))))</f>
        <v/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/>
      </c>
      <c r="J6" s="3" t="str">
        <f>IF(AND(OR(AND(AO6&gt;=AR$18,AO6&lt;&gt;"",AK6=""),AND(BL6&gt;=BO$18,BL6&lt;&gt;"",BH6=""),AND(CI6&gt;=CL$18,CI6&lt;&gt;"",CE6=""),AND(DI6&gt;=DL$18,DI6&lt;&gt;""),AND(EE6&gt;=EH$18,EE6&lt;&gt;""),AND(FA6&gt;=FD$18,FA6&lt;&gt;""),AND(FW6&gt;=FZ$18,FW6&lt;&gt;""),AND(GS6&gt;=GV$18,GS6&lt;&gt;""),AND(HO6&gt;=HR$18,HO6&lt;&gt;""),AND(IK6&gt;=IN$18,IK6&lt;&gt;""),AND(JG6&gt;=JJ$18,JG6&lt;&gt;""),AND(KC6&gt;=KF$18,KC6&lt;&gt;""),AND(KY6&gt;=LB$18,KY6&lt;&gt;""),AND(LU6&gt;=LX$18,LU6&lt;&gt;""),AND(MQ6&gt;=MT$18,MQ6&lt;&gt;"")),OR(G6="Worlds Team",G6="Excellence",G6="Merit")),"P","")</f>
        <v/>
      </c>
      <c r="K6" s="14">
        <f>MAX(AO6,BL6,CI6)</f>
        <v>64.41</v>
      </c>
      <c r="L6" s="14" t="str">
        <f>IF(K6=0,"",IF(K6=CI6,$BP$1,IF(K6=BL6,$AS$1,IF(K6=AO6,$V$1,""))))</f>
        <v>2019 Nationals</v>
      </c>
      <c r="M6" s="14">
        <f>IF($K6=$AO6,MAX(BJ6,CG6),IF($K6=$BL6,MAX(AM6,CG6),IF($K6=$CI6,MAX(AM6,BJ6),MAX(AM6,BJ6,CG6))))</f>
        <v>0</v>
      </c>
      <c r="N6" s="14" t="str">
        <f>IF(M6=0,"",IF(AND(M6=CG6,$L6&lt;&gt;$BP$1),$BP$1,IF(AND(M6=BJ6,$L6&lt;&gt;$AS$1),$AS$1,IF(AND(M6=AM6,$L6&lt;&gt;$V$1),$V$1,""))))</f>
        <v/>
      </c>
      <c r="O6" s="14">
        <f>IF($K6=$AO6,MAX(CH6,BK6),IF($K6=$BL6,MAX(AN6,CH6),IF($K6=$CI6,MAX(AN6,BK6),MAX(AN6,BK6,CH6))))</f>
        <v>0</v>
      </c>
      <c r="P6" s="14" t="str">
        <f>IF(O6=0,"",IF(AND(O6=CH6,$L6&lt;&gt;$BP$1),$BP$1,IF(AND(O6=BK6,$L6&lt;&gt;$AS$1),$AS$1,IF(AND(O6=AN6,$L6&lt;&gt;$V$1),$V$1,""))))</f>
        <v/>
      </c>
      <c r="Q6" s="14">
        <f>MAX(AQ6,BN6,CK6)</f>
        <v>44.19</v>
      </c>
      <c r="R6" s="14" t="str">
        <f>IF(Q6=0,"",IF(Q6=CK6,$BP$1,IF(Q6=BN6,$AS$1,IF(Q6=AQ6,$V$1,""))))</f>
        <v>2019 Nationals</v>
      </c>
      <c r="S6" s="14" t="str">
        <f>IF(MAX(CM6,CN6,CO6,CP6)&gt;0,MAX(CM6,CN6,CO6,CP6),"")</f>
        <v/>
      </c>
      <c r="T6" s="25" t="str">
        <f>IF(S6="","",IF(S6=CM6,"(Vol 1)",IF(S6=CN6,"(Vol 2)",IF(S6=CO6,"(Prelim)",IF(S6=CP6,"(Final)")))))</f>
        <v/>
      </c>
      <c r="U6" s="14" t="str">
        <f>IF(S6="","",IF(S6=CM6,IF(S6+IF(M6="",0,M6)=MO6,$LY$1,IF(S6+IF(M6="",0,M6)=LS6,$LC$1,IF(S6+IF(M6="",0,M6)=KW6,$KG$1,IF(S6+IF(M6="",0,M6)=KA6,$JK$1,IF(S6+IF(M6="",0,M6)=JE6,$IO$1,IF(S6+IF(M6="",0,M6)=II6,$HS$1,IF(S6+IF(M6="",0,M6)=HM6,$GW$1,IF(S6+IF(M6="",0,M6)=GQ6,$GA$1,IF(S6+IF(M6="",0,M6)=FU6,$FE$1,IF(S6+IF(M6="",0,M6)=EY6,$EI$1,IF(S6+IF(M6="",0,M6)=EC6,$DM$1,IF(S6+IF(M6="",0,M6)=DG6,$CQ$1)))))))))))),IF(S6=CN6,IF(S6+IF(O6="",0,O6)=MP6,$LY$1,IF(S6+IF(O6="",0,O6)=LT6,$LC$1,IF(S6+IF(O6="",0,O6)=KX6,$KG$1,IF(S6+IF(O6="",0,O6)=KB6,$JK$1,IF(S6+IF(O6="",0,O6)=JF6,$IO$1,IF(S6+IF(O6="",0,O6)=IJ6,$HS$1,IF(S6+IF(O6="",0,O6)=HN6,$GW$1,IF(S6+IF(O6="",0,O6)=GR6,$GA$1,IF(S6+IF(O6="",0,O6)=FV6,$FE$1,IF(S6+IF(O6="",0,O6)=EZ6,$EI$1,IF(S6+IF(O6="",0,O6)=ED6,$DM$1,IF(S6+IF(O6="",0,O6)=DH6,$CQ$1)))))))))))),IF(S6=CO6,IF(S6+IF(K6="",0,K6)=MQ6,$LY$1,IF(S6+IF(K6="",0,K6)=LU6,$LC$1,IF(S6+IF(K6="",0,K6)=KY6,$KG$1,IF(S6+IF(K6="",0,K6)=KC6,$JK$1,IF(S6+IF(K6="",0,K6)=JG6,$IO$1,IF(S6+IF(K6="",0,K6)=IK6,$HS$1,IF(S6+IF(K6="",0,K6)=HO6,$GW$1,IF(S6+IF(K6="",0,K6)=GS6,$GA$1,IF(S6+IF(K6="",0,K6)=FW6,$FE$1,IF(S6+IF(K6="",0,K6)=FA6,$EI$1,IF(S6+IF(K6="",0,K6)=EE6,$DM$1,IF(S6+IF(K6="",0,K6)=DI6,$CQ$1)))))))))))),IF(S6=CP6,IF(S6+IF(Q6="",0,Q6)=MS6,$LY$1,IF(S6+IF(Q6="",0,Q6)=LW6,$LC$1,IF(S6+IF(Q6="",0,Q6)=LA6,$KG$1,IF(S6+IF(Q6="",0,Q6)=KE6,$JK$1,IF(S6+IF(Q6="",0,Q6)=JI6,$IO$1,IF(S6+IF(Q6="",0,Q6)=IM6,$HS$1,IF(S6+IF(Q6="",0,Q6)=HQ6,$GW$1,IF(S6+IF(Q6="",0,Q6)=GU6,$GA$1,IF(S6+IF(Q6="",0,Q6)=FY6,$FE$1,IF(S6+IF(Q6="",0,Q6)=FC6,$EI$1,IF(S6+IF(Q6="",0,Q6)=EG6,$DM$1,IF(S6+IF(Q6="",0,Q6)=DK6,$CQ$1)))))))))))))))))</f>
        <v/>
      </c>
      <c r="V6" s="39">
        <v>4.5</v>
      </c>
      <c r="W6" s="39">
        <v>4.6500000000000004</v>
      </c>
      <c r="X6" s="39">
        <v>1.2</v>
      </c>
      <c r="Y6" s="39">
        <v>8.8000000000000007</v>
      </c>
      <c r="Z6" s="39">
        <v>0</v>
      </c>
      <c r="AA6" s="39">
        <v>7.45</v>
      </c>
      <c r="AB6" s="39">
        <v>9.25</v>
      </c>
      <c r="AC6" s="39">
        <v>11.6</v>
      </c>
      <c r="AD6" s="39">
        <v>16.96</v>
      </c>
      <c r="AE6" s="39">
        <v>0</v>
      </c>
      <c r="AF6" s="39">
        <v>7.9</v>
      </c>
      <c r="AG6" s="39">
        <v>9.15</v>
      </c>
      <c r="AH6" s="39">
        <v>10.6</v>
      </c>
      <c r="AI6" s="39">
        <v>16.54</v>
      </c>
      <c r="AJ6" s="39">
        <v>0</v>
      </c>
      <c r="AK6" s="80"/>
      <c r="AL6" s="11">
        <f>IF(AC6&gt;0,AC6,"")</f>
        <v>11.6</v>
      </c>
      <c r="AM6" s="11">
        <f>IF(SUM(V6:Y6)-Z6&gt;0,SUM(V6:Y6)-Z6,"")</f>
        <v>19.149999999999999</v>
      </c>
      <c r="AN6" s="11">
        <f>IF(SUM(AA6:AD6)-AE6&gt;0,SUM(AA6:AD6)-AE6,"")</f>
        <v>45.26</v>
      </c>
      <c r="AO6" s="11">
        <f>IF(SUM(AM6:AN6)&gt;0,SUM(AM6:AN6),"")</f>
        <v>64.41</v>
      </c>
      <c r="AP6" s="11">
        <f>IF(AH6&gt;0,AH6,"")</f>
        <v>10.6</v>
      </c>
      <c r="AQ6" s="11">
        <f>IF(SUM(AF6:AI6)-AJ6&gt;0,SUM(AF6:AI6)-AJ6,"")</f>
        <v>44.19</v>
      </c>
      <c r="AR6" s="11">
        <f>IF(SUM(AO6,AQ6)&gt;0,SUM(AO6,AQ6),"")</f>
        <v>108.6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>IF(AZ6&gt;0,AZ6,"")</f>
        <v/>
      </c>
      <c r="BJ6" s="14" t="str">
        <f>IF(SUM(AS6:AV6)-AW6&gt;0,SUM(AS6:AV6)-AW6,"")</f>
        <v/>
      </c>
      <c r="BK6" s="14" t="str">
        <f>IF(SUM(AX6:BA6)-BB6&gt;0,SUM(AX6:BA6)-BB6,"")</f>
        <v/>
      </c>
      <c r="BL6" s="14" t="str">
        <f>IF(SUM(BJ6:BK6)&gt;0,SUM(BJ6:BK6),"")</f>
        <v/>
      </c>
      <c r="BM6" s="14" t="str">
        <f>IF(BE6&gt;0,BE6,"")</f>
        <v/>
      </c>
      <c r="BN6" s="14" t="str">
        <f>IF(SUM(BC6:BF6)-BG6&gt;0,SUM(BC6:BF6)-BG6,"")</f>
        <v/>
      </c>
      <c r="BO6" s="14" t="str">
        <f>IF(SUM(BL6,BN6)&gt;0,SUM(BL6,BN6),"")</f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>IF(BW6&gt;0,BW6,"")</f>
        <v/>
      </c>
      <c r="CG6" s="11" t="str">
        <f>IF(SUM(BP6:BS6)-BT6&gt;0,SUM(BP6:BS6)-BT6,"")</f>
        <v/>
      </c>
      <c r="CH6" s="11" t="str">
        <f>IF(SUM(BU6:BX6)-BY6&gt;0,SUM(BU6:BX6)-BY6,"")</f>
        <v/>
      </c>
      <c r="CI6" s="11" t="str">
        <f>IF(SUM(CG6:CH6)&gt;0,SUM(CG6:CH6),"")</f>
        <v/>
      </c>
      <c r="CJ6" s="11" t="str">
        <f>IF(CB6&gt;0,CB6,"")</f>
        <v/>
      </c>
      <c r="CK6" s="11" t="str">
        <f>IF(SUM(BZ6:CC6)-CD6&gt;0,SUM(BZ6:CC6)-CD6,"")</f>
        <v/>
      </c>
      <c r="CL6" s="11" t="str">
        <f>IF(SUM(CI6,CK6)&gt;0,SUM(CI6,CK6),"")</f>
        <v/>
      </c>
      <c r="CM6" s="24" t="str">
        <f>IF(MAX(DG6,EC6,EY6,FU6,GQ6,HM6,II6,JE6,KA6,KW6,LS6,MO6)-IF(M6="",0,M6)&gt;0.001,MAX(DG6,EC6,EY6,FU6,GQ6,HM6,II6,JE6,KA6,KW6,LS6,MO6)-IF(M6="",0,M6),"")</f>
        <v/>
      </c>
      <c r="CN6" s="24" t="str">
        <f>IF(MAX(DH6,ED6,EZ6,FV6,GR6,HN6,IJ6,JF6,KB6,KX6,LT6,MP6)-IF(O6="",0,O6)&gt;0.001,MAX(DH6,ED6,EZ6,FV6,GR6,HN6,IJ6,JF6,KB6,KX6,LT6,MP6)-IF(O6="",0,O6),"")</f>
        <v/>
      </c>
      <c r="CO6" s="24" t="str">
        <f>IF(MAX(DI6,EE6,FA6,FW6,GS6,HO6,IK6,JG6,KC6,KY6,LU6,MQ6)-IF(K6="",0,K6)&gt;0.001,MAX(DI6,EE6,FA6,FW6,GS6,HO6,IK6,JG6,KC6,KY6,LU6,MQ6)-IF(K6="",0,K6),"")</f>
        <v/>
      </c>
      <c r="CP6" s="24" t="str">
        <f>IF(MAX(DK6,EG6,FC6,FY6,GU6,HQ6,IM6,JI6,KE6,LA6,LW6,MS6)-IF(Q6="",0,Q6)&gt;0.001,MAX(DK6,EG6,FC6,FY6,GU6,HQ6,IM6,JI6,KE6,LA6,LW6,MS6)-IF(Q6="",0,Q6),"")</f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>IF(CX6&gt;0,CX6,"")</f>
        <v/>
      </c>
      <c r="DG6" s="11" t="str">
        <f>IF(SUM(CQ6:CT6)-CU6&gt;0,SUM(CQ6:CT6)-CU6,"")</f>
        <v/>
      </c>
      <c r="DH6" s="11" t="str">
        <f>IF(SUM(CV6:CY6)-CZ6&gt;0,SUM(CV6:CY6)-CZ6,"")</f>
        <v/>
      </c>
      <c r="DI6" s="11" t="str">
        <f>IF(SUM(DG6:DH6)&gt;0,SUM(DG6:DH6),"")</f>
        <v/>
      </c>
      <c r="DJ6" s="11" t="str">
        <f>IF(DC6&gt;0,DC6,"")</f>
        <v/>
      </c>
      <c r="DK6" s="11" t="str">
        <f>IF(SUM(DA6:DD6)-DE6&gt;0,SUM(DA6:DD6)-DE6,"")</f>
        <v/>
      </c>
      <c r="DL6" s="11" t="str">
        <f>IF(SUM(DI6,DK6)&gt;0,SUM(DI6,DK6),"")</f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>IF(DT6&gt;0,DT6,"")</f>
        <v/>
      </c>
      <c r="EC6" s="14" t="str">
        <f>IF(SUM(DM6:DP6)-DQ6&gt;0,SUM(DM6:DP6)-DQ6,"")</f>
        <v/>
      </c>
      <c r="ED6" s="14" t="str">
        <f>IF(SUM(DR6:DU6)-DV6&gt;0,SUM(DR6:DU6)-DV6,"")</f>
        <v/>
      </c>
      <c r="EE6" s="14" t="str">
        <f>IF(SUM(EC6:ED6)&gt;0,SUM(EC6:ED6),"")</f>
        <v/>
      </c>
      <c r="EF6" s="14" t="str">
        <f>IF(DY6&gt;0,DY6,"")</f>
        <v/>
      </c>
      <c r="EG6" s="14" t="str">
        <f>IF(SUM(DW6:DZ6)-EA6&gt;0,SUM(DW6:DZ6)-EA6,"")</f>
        <v/>
      </c>
      <c r="EH6" s="14" t="str">
        <f>IF(SUM(EE6,EG6)&gt;0,SUM(EE6,EG6),"")</f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>IF(EP6&gt;0,EP6,"")</f>
        <v/>
      </c>
      <c r="EY6" s="11" t="str">
        <f>IF(SUM(EI6:EL6)-EM6&gt;0,SUM(EI6:EL6)-EM6,"")</f>
        <v/>
      </c>
      <c r="EZ6" s="11" t="str">
        <f>IF(SUM(EN6:EQ6)-ER6&gt;0,SUM(EN6:EQ6)-ER6,"")</f>
        <v/>
      </c>
      <c r="FA6" s="11" t="str">
        <f>IF(SUM(EY6:EZ6)&gt;0,SUM(EY6:EZ6),"")</f>
        <v/>
      </c>
      <c r="FB6" s="11" t="str">
        <f>IF(EU6&gt;0,EU6,"")</f>
        <v/>
      </c>
      <c r="FC6" s="11" t="str">
        <f>IF(SUM(ES6:EV6)-EW6&gt;0,SUM(ES6:EV6)-EW6,"")</f>
        <v/>
      </c>
      <c r="FD6" s="11" t="str">
        <f>IF(SUM(FA6,FC6)&gt;0,SUM(FA6,FC6),"")</f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>IF(FL6&gt;0,FL6,"")</f>
        <v/>
      </c>
      <c r="FU6" s="14" t="str">
        <f>IF(SUM(FE6:FH6)-FI6&gt;0,SUM(FE6:FH6)-FI6,"")</f>
        <v/>
      </c>
      <c r="FV6" s="14" t="str">
        <f>IF(SUM(FJ6:FM6)-FN6&gt;0,SUM(FJ6:FM6)-FN6,"")</f>
        <v/>
      </c>
      <c r="FW6" s="14" t="str">
        <f>IF(SUM(FU6:FV6)&gt;0,SUM(FU6:FV6),"")</f>
        <v/>
      </c>
      <c r="FX6" s="14" t="str">
        <f>IF(FQ6&gt;0,FQ6,"")</f>
        <v/>
      </c>
      <c r="FY6" s="14" t="str">
        <f>IF(SUM(FO6:FR6)-FS6&gt;0,SUM(FO6:FR6)-FS6,"")</f>
        <v/>
      </c>
      <c r="FZ6" s="14" t="str">
        <f>IF(SUM(FW6,FY6)&gt;0,SUM(FW6,FY6),"")</f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>IF(GH6&gt;0,GH6,"")</f>
        <v/>
      </c>
      <c r="GQ6" s="11" t="str">
        <f>IF(SUM(GA6:GD6)-GE6&gt;0,SUM(GA6:GD6)-GE6,"")</f>
        <v/>
      </c>
      <c r="GR6" s="11" t="str">
        <f>IF(SUM(GF6:GI6)-GJ6&gt;0,SUM(GF6:GI6)-GJ6,"")</f>
        <v/>
      </c>
      <c r="GS6" s="11" t="str">
        <f>IF(SUM(GQ6:GR6)&gt;0,SUM(GQ6:GR6),"")</f>
        <v/>
      </c>
      <c r="GT6" s="11" t="str">
        <f>IF(GM6&gt;0,GM6,"")</f>
        <v/>
      </c>
      <c r="GU6" s="11" t="str">
        <f>IF(SUM(GK6:GN6)-GO6&gt;0,SUM(GK6:GN6)-GO6,"")</f>
        <v/>
      </c>
      <c r="GV6" s="11" t="str">
        <f>IF(SUM(GS6,GU6)&gt;0,SUM(GS6,GU6),"")</f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>IF(HD6&gt;0,HD6,"")</f>
        <v/>
      </c>
      <c r="HM6" s="14" t="str">
        <f>IF(SUM(GW6:GZ6)-HA6&gt;0,SUM(GW6:GZ6)-HA6,"")</f>
        <v/>
      </c>
      <c r="HN6" s="14" t="str">
        <f>IF(SUM(HB6:HE6)-HF6&gt;0,SUM(HB6:HE6)-HF6,"")</f>
        <v/>
      </c>
      <c r="HO6" s="14" t="str">
        <f>IF(SUM(HM6:HN6)&gt;0,SUM(HM6:HN6),"")</f>
        <v/>
      </c>
      <c r="HP6" s="14" t="str">
        <f>IF(HI6&gt;0,HI6,"")</f>
        <v/>
      </c>
      <c r="HQ6" s="14" t="str">
        <f>IF(SUM(HG6:HJ6)-HK6&gt;0,SUM(HG6:HJ6)-HK6,"")</f>
        <v/>
      </c>
      <c r="HR6" s="14" t="str">
        <f>IF(SUM(HO6,HQ6)&gt;0,SUM(HO6,HQ6),"")</f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>IF(HZ6&gt;0,HZ6,"")</f>
        <v/>
      </c>
      <c r="II6" s="11" t="str">
        <f>IF(SUM(HS6:HV6)-HW6&gt;0,SUM(HS6:HV6)-HW6,"")</f>
        <v/>
      </c>
      <c r="IJ6" s="11" t="str">
        <f>IF(SUM(HX6:IA6)-IB6&gt;0,SUM(HX6:IA6)-IB6,"")</f>
        <v/>
      </c>
      <c r="IK6" s="11" t="str">
        <f>IF(SUM(II6:IJ6)&gt;0,SUM(II6:IJ6),"")</f>
        <v/>
      </c>
      <c r="IL6" s="11" t="str">
        <f>IF(IE6&gt;0,IE6,"")</f>
        <v/>
      </c>
      <c r="IM6" s="11" t="str">
        <f>IF(SUM(IC6:IF6)-IG6&gt;0,SUM(IC6:IF6)-IG6,"")</f>
        <v/>
      </c>
      <c r="IN6" s="11" t="str">
        <f>IF(SUM(IK6,IM6)&gt;0,SUM(IK6,IM6),"")</f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>IF(IV6&gt;0,IV6,"")</f>
        <v/>
      </c>
      <c r="JE6" s="14" t="str">
        <f>IF(SUM(IO6:IR6)-IS6&gt;0,SUM(IO6:IR6)-IS6,"")</f>
        <v/>
      </c>
      <c r="JF6" s="14" t="str">
        <f>IF(SUM(IT6:IW6)-IX6&gt;0,SUM(IT6:IW6)-IX6,"")</f>
        <v/>
      </c>
      <c r="JG6" s="14" t="str">
        <f>IF(SUM(JE6:JF6)&gt;0,SUM(JE6:JF6),"")</f>
        <v/>
      </c>
      <c r="JH6" s="14" t="str">
        <f>IF(JA6&gt;0,JA6,"")</f>
        <v/>
      </c>
      <c r="JI6" s="14" t="str">
        <f>IF(SUM(IY6:JB6)-JC6&gt;0,SUM(IY6:JB6)-JC6,"")</f>
        <v/>
      </c>
      <c r="JJ6" s="14" t="str">
        <f>IF(SUM(JG6,JI6)&gt;0,SUM(JG6,JI6),"")</f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>IF(JR6&gt;0,JR6,"")</f>
        <v/>
      </c>
      <c r="KA6" s="11" t="str">
        <f>IF(SUM(JK6:JN6)-JO6&gt;0,SUM(JK6:JN6)-JO6,"")</f>
        <v/>
      </c>
      <c r="KB6" s="11" t="str">
        <f>IF(SUM(JP6:JS6)-JT6&gt;0,SUM(JP6:JS6)-JT6,"")</f>
        <v/>
      </c>
      <c r="KC6" s="11" t="str">
        <f>IF(SUM(KA6:KB6)&gt;0,SUM(KA6:KB6),"")</f>
        <v/>
      </c>
      <c r="KD6" s="11" t="str">
        <f>IF(JW6&gt;0,JW6,"")</f>
        <v/>
      </c>
      <c r="KE6" s="11" t="str">
        <f>IF(SUM(JU6:JX6)-JY6&gt;0,SUM(JU6:JX6)-JY6,"")</f>
        <v/>
      </c>
      <c r="KF6" s="11" t="str">
        <f>IF(SUM(KC6,KE6)&gt;0,SUM(KC6,KE6),"")</f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>IF(KN6&gt;0,KN6,"")</f>
        <v/>
      </c>
      <c r="KW6" s="14" t="str">
        <f>IF(SUM(KG6:KJ6)-KK6&gt;0,SUM(KG6:KJ6)-KK6,"")</f>
        <v/>
      </c>
      <c r="KX6" s="14" t="str">
        <f>IF(SUM(KL6:KO6)-KP6&gt;0,SUM(KL6:KO6)-KP6,"")</f>
        <v/>
      </c>
      <c r="KY6" s="14" t="str">
        <f>IF(SUM(KW6:KX6)&gt;0,SUM(KW6:KX6),"")</f>
        <v/>
      </c>
      <c r="KZ6" s="14" t="str">
        <f>IF(KS6&gt;0,KS6,"")</f>
        <v/>
      </c>
      <c r="LA6" s="14" t="str">
        <f>IF(SUM(KQ6:KT6)-KU6&gt;0,SUM(KQ6:KT6)-KU6,"")</f>
        <v/>
      </c>
      <c r="LB6" s="14" t="str">
        <f>IF(SUM(KY6,LA6)&gt;0,SUM(KY6,LA6),"")</f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>IF(LJ6&gt;0,LJ6,"")</f>
        <v/>
      </c>
      <c r="LS6" s="11" t="str">
        <f>IF(SUM(LC6:LF6)-LG6&gt;0,SUM(LC6:LF6)-LG6,"")</f>
        <v/>
      </c>
      <c r="LT6" s="11" t="str">
        <f>IF(SUM(LH6:LK6)-LL6&gt;0,SUM(LH6:LK6)-LL6,"")</f>
        <v/>
      </c>
      <c r="LU6" s="11" t="str">
        <f>IF(SUM(LS6:LT6)&gt;0,SUM(LS6:LT6),"")</f>
        <v/>
      </c>
      <c r="LV6" s="11" t="str">
        <f>IF(LO6&gt;0,LO6,"")</f>
        <v/>
      </c>
      <c r="LW6" s="11" t="str">
        <f>IF(SUM(LM6:LP6)-LQ6&gt;0,SUM(LM6:LP6)-LQ6,"")</f>
        <v/>
      </c>
      <c r="LX6" s="11" t="str">
        <f>IF(SUM(LU6,LW6)&gt;0,SUM(LU6,LW6),"")</f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>IF(MF6&gt;0,MF6,"")</f>
        <v/>
      </c>
      <c r="MO6" s="14" t="str">
        <f>IF(SUM(LY6:MB6)-MC6&gt;0,SUM(LY6:MB6)-MC6,"")</f>
        <v/>
      </c>
      <c r="MP6" s="14" t="str">
        <f>IF(SUM(MD6:MG6)-MH6&gt;0,SUM(MD6:MG6)-MH6,"")</f>
        <v/>
      </c>
      <c r="MQ6" s="14" t="str">
        <f>IF(SUM(MO6:MP6)&gt;0,SUM(MO6:MP6),"")</f>
        <v/>
      </c>
      <c r="MR6" s="14" t="str">
        <f>IF(MK6&gt;0,MK6,"")</f>
        <v/>
      </c>
      <c r="MS6" s="14" t="str">
        <f>IF(SUM(MI6:ML6)-MM6&gt;0,SUM(MI6:ML6)-MM6,"")</f>
        <v/>
      </c>
      <c r="MT6" s="14" t="str">
        <f>IF(SUM(MQ6,MS6)&gt;0,SUM(MQ6,MS6),"")</f>
        <v/>
      </c>
      <c r="MU6" s="69">
        <f>IF($CE6="P",BP6,(BP6+AS6)/2)</f>
        <v>0</v>
      </c>
      <c r="MV6" s="69">
        <f>IF($CE6="P",BQ6,(BQ6+AT6)/2)</f>
        <v>0</v>
      </c>
      <c r="MW6" s="69">
        <f>IF($CE6="P",BR6,(BR6+AU6)/2)</f>
        <v>0</v>
      </c>
      <c r="MX6" s="69">
        <f>IF($CE6="P",BS6,(BS6+AV6)/2)</f>
        <v>0</v>
      </c>
      <c r="MY6" s="69">
        <f>IF($CE6="P",BT6,(BT6+AW6)/2)</f>
        <v>0</v>
      </c>
      <c r="MZ6" s="69">
        <f>IF($CE6="P",BU6,(BU6+AX6)/2)</f>
        <v>0</v>
      </c>
      <c r="NA6" s="69">
        <f>IF($CE6="P",BV6,(BV6+AY6)/2)</f>
        <v>0</v>
      </c>
      <c r="NB6" s="69">
        <f>IF($CE6="P",BW6,(BW6+AZ6)/2)</f>
        <v>0</v>
      </c>
      <c r="NC6" s="69">
        <f>IF($CE6="P",BX6,(BX6+BA6)/2)</f>
        <v>0</v>
      </c>
      <c r="ND6" s="69">
        <f>IF($CE6="P",BY6,(BY6+BB6)/2)</f>
        <v>0</v>
      </c>
      <c r="NE6" s="69">
        <f>IF($CE6="P",BZ6,(BZ6+BC6)/2)</f>
        <v>0</v>
      </c>
      <c r="NF6" s="69">
        <f>IF($CE6="P",CA6,(CA6+BD6)/2)</f>
        <v>0</v>
      </c>
      <c r="NG6" s="69">
        <f>IF($CE6="P",CB6,(CB6+BE6)/2)</f>
        <v>0</v>
      </c>
      <c r="NH6" s="69">
        <f>IF($CE6="P",CC6,(CC6+BF6)/2)</f>
        <v>0</v>
      </c>
      <c r="NI6" s="69">
        <f>IF($CE6="P",CD6,(CD6+BG6)/2)</f>
        <v>0</v>
      </c>
      <c r="NJ6" s="80" t="s">
        <v>88</v>
      </c>
      <c r="NK6" s="11" t="str">
        <f>IF(NB6&gt;0,NB6,"")</f>
        <v/>
      </c>
      <c r="NL6" s="11" t="str">
        <f>IF(SUM(MU6:MX6)-MY6&gt;0,SUM(MU6:MX6)-MY6,"")</f>
        <v/>
      </c>
      <c r="NM6" s="11" t="str">
        <f>IF(SUM(MZ6:NC6)-ND6&gt;0,SUM(MZ6:NC6)-ND6,"")</f>
        <v/>
      </c>
      <c r="NN6" s="11" t="str">
        <f>IF(SUM(NL6:NM6)&gt;0,SUM(NL6:NM6),"")</f>
        <v/>
      </c>
      <c r="NO6" s="11" t="str">
        <f>IF(NG6&gt;0,NG6,"")</f>
        <v/>
      </c>
      <c r="NP6" s="11" t="str">
        <f>IF(SUM(NE6:NH6)-NI6&gt;0,SUM(NE6:NH6)-NI6,"")</f>
        <v/>
      </c>
      <c r="NQ6" s="11" t="str">
        <f>IF(SUM(NN6,NP6)&gt;0,SUM(NN6,NP6),"")</f>
        <v/>
      </c>
    </row>
    <row r="7" spans="1:381" x14ac:dyDescent="0.2">
      <c r="A7" s="5" t="str" cm="1">
        <f t="array" ref="A7">IF(AND(G7&lt;&gt;"",H7&lt;&gt;""),SUMPRODUCT((G$4:G$11&lt;&gt;"")*(H$4:H$11&lt;&gt;"")*(E$4:E$11&gt;E7))+1,IF(H7&lt;&gt;"",SUMPRODUCT((I$4:I$11="No DD")*(E$4:E$11&gt;E7))+1+SUMPRODUCT((G$4:G$11&lt;&gt;"")*(H$4:H$11&lt;&gt;"")),""))</f>
        <v/>
      </c>
      <c r="B7" s="8" t="s">
        <v>99</v>
      </c>
      <c r="C7" s="4" t="s">
        <v>98</v>
      </c>
      <c r="D7" s="27" t="s">
        <v>100</v>
      </c>
      <c r="E7" s="15">
        <f>SUM(K7:S7)</f>
        <v>97.72</v>
      </c>
      <c r="F7" s="3" t="str">
        <f>IF(G7&lt;&gt;"","P","")</f>
        <v/>
      </c>
      <c r="G7" s="125" t="str">
        <f>IF(OR(AND(AL7&gt;=AR$16,AL7&lt;&gt;"",AK7=""),AND(AP7&gt;=AR$16,AP7&lt;&gt;"",AK7=""),AND(BI7&gt;=BO$16,BI7&lt;&gt;"",BH7=""),AND(BM7&gt;=BO$16,BM7&lt;&gt;"",BH7=""),AND(CF7&gt;=CL$16,CF7&lt;&gt;"",CE7=""),AND(CJ7&gt;=CL$16,CJ7&lt;&gt;"",CE7=""),AND(DF7&gt;=DL$16,DF7&lt;&gt;""),AND(DJ7&gt;=DL$16,DJ7&lt;&gt;""),AND(EB7&gt;=EH$16,EB7&lt;&gt;""),AND(EF7&gt;=EH$16,EF7&lt;&gt;""),AND(EX7&gt;=FD$16,EX7&lt;&gt;""),AND(FB7&gt;=FD$16,FB7&lt;&gt;""),AND(FT7&gt;=FZ$16,FT7&lt;&gt;""),AND(FX7&gt;=FZ$16,FX7&lt;&gt;""),AND(GP7&gt;=GV$16,GP7&lt;&gt;""),AND(GT7&gt;=GV$16,GT7&lt;&gt;""),AND(HL7&gt;=HR$16,HL7&lt;&gt;""),AND(HP7&gt;=HR$16,HP7&lt;&gt;""),AND(IH7&gt;=IN$16,IH7&lt;&gt;""),AND(IL7&gt;=IN$16,IL7&lt;&gt;""),AND(JD7&gt;=JJ$16,JD7&lt;&gt;""),AND(JH7&gt;=JJ$16,JH7&lt;&gt;""),AND(JZ7&gt;=KF$16,JZ7&lt;&gt;""),AND(KD7&gt;=KF$16,KD7&lt;&gt;""),AND(KV7&gt;=LB$16,KV7&lt;&gt;""),AND(KZ7&gt;=LB$16,KZ7&lt;&gt;""),AND(LR7&gt;=LX$16,LR7&lt;&gt;""),AND(LV7&gt;=LX$16,LV7&lt;&gt;""),AND(MN7&gt;=MT$16,MN7&lt;&gt;""),AND(MR7&gt;=MT$16,MR7&lt;&gt;"")),"Merit",IF(OR(AND(AL7&gt;=AR$15,AL7&lt;&gt;"",AK7=""),AND(AP7&gt;=AR$15,AP7&lt;&gt;"",AK7=""),AND(BI7&gt;=BO$15,BI7&lt;&gt;"",BH7=""),AND(BM7&gt;=BO$15,BM7&lt;&gt;"",BH7=""),AND(CF7&gt;=CL$15,CF7&lt;&gt;"",CE7=""),AND(CJ7&gt;=CL$15,CJ7&lt;&gt;"",CE7=""),AND(DF7&gt;=DL$15,DF7&lt;&gt;""),AND(DJ7&gt;=DL$15,DJ7&lt;&gt;""),AND(EB7&gt;=EH$15,EB7&lt;&gt;""),AND(EF7&gt;=EH$15,EF7&lt;&gt;""),AND(EX7&gt;=FD$15,EX7&lt;&gt;""),AND(FB7&gt;=FD$15,FB7&lt;&gt;""),AND(FT7&gt;=FZ$15,FT7&lt;&gt;""),AND(FX7&gt;=FZ$15,FX7&lt;&gt;""),AND(GP7&gt;=GV$15,GP7&lt;&gt;""),AND(GT7&gt;=GV$15,GT7&lt;&gt;""),AND(HL7&gt;=HR$15,HL7&lt;&gt;""),AND(HP7&gt;=HR$15,HP7&lt;&gt;""),AND(IH7&gt;=IN$15,IH7&lt;&gt;""),AND(IL7&gt;=IN$15,IL7&lt;&gt;""),AND(JD7&gt;=JJ$15,JD7&lt;&gt;""),AND(JH7&gt;=JJ$15,JH7&lt;&gt;""),AND(JZ7&gt;=KF$15,JZ7&lt;&gt;""),AND(KD7&gt;=KF$15,KD7&lt;&gt;""),AND(KV7&gt;=LB$15,KV7&lt;&gt;""),AND(KZ7&gt;=LB$15,KZ7&lt;&gt;""),AND(LR7&gt;=LX$15,LR7&lt;&gt;""),AND(LV7&gt;=LX$15,LV7&lt;&gt;""),AND(MN7&gt;=MT$15,MN7&lt;&gt;""),AND(MR7&gt;=MT$15,MR7&lt;&gt;"")),"Excellence",IF(OR(AND(AL7&gt;=AR$14,AL7&lt;&gt;"",AK7=""),AND(AP7&gt;=AR$14,AP7&lt;&gt;"",AK7=""),AND(BI7&gt;=BO$14,BI7&lt;&gt;"",BH7=""),AND(BM7&gt;=BO$14,BM7&lt;&gt;"",BH7=""),AND(CF7&gt;=CL$14,CF7&lt;&gt;"",CE7=""),AND(CJ7&gt;=CL$14,CJ7&lt;&gt;"",CE7=""),AND(DF7&gt;=DL$14,DF7&lt;&gt;""),AND(DJ7&gt;=DL$14,DJ7&lt;&gt;""),AND(EB7&gt;=EH$14,EB7&lt;&gt;""),AND(EF7&gt;=EH$14,EF7&lt;&gt;""),AND(EX7&gt;=FD$14,EX7&lt;&gt;""),AND(FB7&gt;=FD$14,FB7&lt;&gt;""),AND(FT7&gt;=FZ$14,FT7&lt;&gt;""),AND(FX7&gt;=FZ$14,FX7&lt;&gt;""),AND(GP7&gt;=GV$14,GP7&lt;&gt;""),AND(GT7&gt;=GV$14,GT7&lt;&gt;""),AND(HL7&gt;=HR$14,HL7&lt;&gt;""),AND(HP7&gt;=HR$14,HP7&lt;&gt;""),AND(IH7&gt;=IN$14,IH7&lt;&gt;""),AND(IL7&gt;=IN$14,IL7&lt;&gt;""),AND(JD7&gt;=JJ$14,JD7&lt;&gt;""),AND(JH7&gt;=JJ$14,JH7&lt;&gt;""),AND(JZ7&gt;=KF$14,JZ7&lt;&gt;""),AND(KD7&gt;=KF$14,KD7&lt;&gt;""),AND(KV7&gt;=LB$14,KV7&lt;&gt;""),AND(KZ7&gt;=LB$14,KZ7&lt;&gt;""),AND(LR7&gt;=LX$14,LR7&lt;&gt;""),AND(LV7&gt;=LX$14,LV7&lt;&gt;""),AND(MN7&gt;=MT$14,MN7&lt;&gt;""),AND(MR7&gt;=MT$14,MR7&lt;&gt;"")),"Worlds Team",IF(OR(AND(AL7&gt;=AR$13,AL7&lt;&gt;"",AK7=""),AND(AP7&gt;=AR$13,AP7&lt;&gt;"",AK7=""),AND(BI7&gt;=BO$13,BI7&lt;&gt;"",BH7=""),AND(BM7&gt;=BO$13,BM7&lt;&gt;"",BH7=""),AND(CF7&gt;=CL$13,CF7&lt;&gt;"",CE7=""),AND(CJ7&gt;=CL$13,CJ7&lt;&gt;"",CE7=""),AND(DF7&gt;=DL$13,DF7&lt;&gt;""),AND(DJ7&gt;=DL$13,DJ7&lt;&gt;""),AND(EB7&gt;=EH$13,EB7&lt;&gt;""),AND(EF7&gt;=EH$13,EF7&lt;&gt;""),AND(EX7&gt;=FD$13,EX7&lt;&gt;""),AND(FB7&gt;=FD$13,FB7&lt;&gt;""),AND(FT7&gt;=FZ$13,FT7&lt;&gt;""),AND(FX7&gt;=FZ$13,FX7&lt;&gt;""),AND(GP7&gt;=GV$13,GP7&lt;&gt;""),AND(GT7&gt;=GV$13,GT7&lt;&gt;""),AND(HL7&gt;=HR$13,HL7&lt;&gt;""),AND(HP7&gt;=HR$13,HP7&lt;&gt;""),AND(IH7&gt;=IN$13,IH7&lt;&gt;""),AND(IL7&gt;=IN$13,IL7&lt;&gt;""),AND(JD7&gt;=JJ$13,JD7&lt;&gt;""),AND(JH7&gt;=JJ$13,JH7&lt;&gt;""),AND(JZ7&gt;=KF$13,JZ7&lt;&gt;""),AND(KD7&gt;=KF$13,KD7&lt;&gt;""),AND(KV7&gt;=LB$13,KV7&lt;&gt;""),AND(KZ7&gt;=LB$13,KZ7&lt;&gt;""),AND(LR7&gt;=LX$13,LR7&lt;&gt;""),AND(LV7&gt;=LX$13,LV7&lt;&gt;""),AND(MN7&gt;=MT$13,MN7&lt;&gt;""),AND(MR7&gt;=MT$13,MR7&lt;&gt;"")),"National Team",""))))</f>
        <v/>
      </c>
      <c r="H7" s="125" t="str">
        <f>IF(OR(AND(AN7&gt;=AR$20,AN7&lt;&gt;"",AK7=""),AND(AQ7&gt;=AR$20,AQ7&lt;&gt;"",AK7=""),AND(BK7&gt;=BO$20,BK7&lt;&gt;"",BH7=""),AND(BN7&gt;=BO$20,BN7&lt;&gt;"",BH7=""),AND(CH7&gt;=CL$20,CH7&lt;&gt;"",CE7=""),AND(CK7&gt;=CL$20,CE7&lt;&gt;"",CE7=""),AND(DH7&gt;=DL$20,DH7&lt;&gt;""),AND(DK7&gt;=DL$20,DK7&lt;&gt;""),AND(ED7&gt;=EH$20,ED7&lt;&gt;""),AND(EG7&gt;=EH$20,EG7&lt;&gt;""),AND(EZ7&gt;=FD$20,EZ7&lt;&gt;""),AND(FC7&gt;=FD$20,FC7&lt;&gt;""),AND(FV7&gt;=FZ$20,FV7&lt;&gt;""),AND(FY7&gt;=FZ$20,FY7&lt;&gt;""),AND(GR7&gt;=GV$20,GR7&lt;&gt;""),AND(GU7&gt;=GV$20,GU7&lt;&gt;""),AND(HN7&gt;=HR$20,HN7&lt;&gt;""),AND(HQ7&gt;=HR$20,HQ7&lt;&gt;""),AND(IJ7&gt;=IN$20,IJ7&lt;&gt;""),AND(IM7&gt;=IN$20,IM7&lt;&gt;""),AND(JF7&gt;=JJ$20,JF7&lt;&gt;""),AND(JI7&gt;=JJ$20,JI7&lt;&gt;""),AND(KB7&gt;=KF$20,KB7&lt;&gt;""),AND(KE7&gt;=KF$20,KE7&lt;&gt;""),AND(KX7&gt;=LB$20,KX7&lt;&gt;""),AND(LA7&gt;=LB$20,LA7&lt;&gt;""),AND(LT7&gt;=LX$20,LT7&lt;&gt;""),AND(LW7&gt;=LX$20,LW7&lt;&gt;""),AND(MP7&gt;=MT$20,MP7&lt;&gt;""),AND(MS7&gt;=MT$20,MS7&lt;&gt;"")),"Merit",IF(OR(AND(AN7&gt;=AR$19,AN7&lt;&gt;"",AK7=""),AND(AQ7&gt;=AR$19,AQ7&lt;&gt;"",AK7=""),AND(BK7&gt;=BO$19,BK7&lt;&gt;"",BH7=""),AND(BN7&gt;=BO$19,BN7&lt;&gt;"",BH7=""),AND(CH7&gt;=CL$19,CH7&lt;&gt;"",CE7=""),AND(CK7&gt;=CL$19,CE7&lt;&gt;"",CE7=""),AND(DH7&gt;=DL$19,DH7&lt;&gt;""),AND(DK7&gt;=DL$19,DK7&lt;&gt;""),AND(ED7&gt;=EH$19,ED7&lt;&gt;""),AND(EG7&gt;=EH$19,EG7&lt;&gt;""),AND(EZ7&gt;=FD$19,EZ7&lt;&gt;""),AND(FC7&gt;=FD$19,FC7&lt;&gt;""),AND(FV7&gt;=FZ$19,FV7&lt;&gt;""),AND(FY7&gt;=FZ$19,FY7&lt;&gt;""),AND(GR7&gt;=GV$19,GR7&lt;&gt;""),AND(GU7&gt;=GV$19,GU7&lt;&gt;""),AND(HN7&gt;=HR$19,HN7&lt;&gt;""),AND(HQ7&gt;=HR$19,HQ7&lt;&gt;""),AND(IJ7&gt;=IN$19,IJ7&lt;&gt;""),AND(IM7&gt;=IN$19,IM7&lt;&gt;""),AND(JF7&gt;=JJ$19,JF7&lt;&gt;""),AND(JI7&gt;=JJ$19,JI7&lt;&gt;""),AND(KB7&gt;=KF$19,KB7&lt;&gt;""),AND(KE7&gt;=KF$19,KE7&lt;&gt;""),AND(KX7&gt;=LB$19,KX7&lt;&gt;""),AND(LA7&gt;=LB$19,LA7&lt;&gt;""),AND(LT7&gt;=LX$19,LT7&lt;&gt;""),AND(LW7&gt;=LX$19,LW7&lt;&gt;""),AND(MP7&gt;=MT$19,MP7&lt;&gt;""),AND(MS7&gt;=MT$19,MS7&lt;&gt;"")),"Excellence",IF(OR(AND(AO7&gt;=AR$18,AO7&lt;&gt;"",AK7=""),AND(BL7&gt;=BO$18,BL7&lt;&gt;"",BH7=""),AND(CI7&gt;=CL$18,CI7&lt;&gt;"",CE7=""),AND(DI7&gt;=DL$18,DI7&lt;&gt;""),AND(EE7&gt;=EH$18,EE7&lt;&gt;""),AND(FA7&gt;=FD$18,FA7&lt;&gt;""),AND(FW7&gt;=FZ$18,FW7&lt;&gt;""),AND(GS7&gt;=GV$18,GS7&lt;&gt;""),AND(HO7&gt;=HR$18,HO7&lt;&gt;""),AND(IK7&gt;=IN$18,IK7&lt;&gt;""),AND(JG7&gt;=JJ$18,JG7&lt;&gt;""),AND(KC7&gt;=KF$18,KC7&lt;&gt;""),AND(KY7&gt;=LB$18,KY7&lt;&gt;""),AND(LU7&gt;=LX$18,LU7&lt;&gt;""),AND(MQ7&gt;=MT$18,MQ7&lt;&gt;"")),"Worlds Team",IF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"National Team",""))))</f>
        <v/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/>
      </c>
      <c r="J7" s="3" t="str">
        <f>IF(AND(OR(AND(AO7&gt;=AR$18,AO7&lt;&gt;"",AK7=""),AND(BL7&gt;=BO$18,BL7&lt;&gt;"",BH7=""),AND(CI7&gt;=CL$18,CI7&lt;&gt;"",CE7=""),AND(DI7&gt;=DL$18,DI7&lt;&gt;""),AND(EE7&gt;=EH$18,EE7&lt;&gt;""),AND(FA7&gt;=FD$18,FA7&lt;&gt;""),AND(FW7&gt;=FZ$18,FW7&lt;&gt;""),AND(GS7&gt;=GV$18,GS7&lt;&gt;""),AND(HO7&gt;=HR$18,HO7&lt;&gt;""),AND(IK7&gt;=IN$18,IK7&lt;&gt;""),AND(JG7&gt;=JJ$18,JG7&lt;&gt;""),AND(KC7&gt;=KF$18,KC7&lt;&gt;""),AND(KY7&gt;=LB$18,KY7&lt;&gt;""),AND(LU7&gt;=LX$18,LU7&lt;&gt;""),AND(MQ7&gt;=MT$18,MQ7&lt;&gt;"")),OR(G7="Worlds Team",G7="Excellence",G7="Merit")),"P","")</f>
        <v/>
      </c>
      <c r="K7" s="14">
        <f>MAX(AO7,BL7,CI7)</f>
        <v>54.53</v>
      </c>
      <c r="L7" s="14" t="str">
        <f>IF(K7=0,"",IF(K7=CI7,$BP$1,IF(K7=BL7,$AS$1,IF(K7=AO7,$V$1,""))))</f>
        <v>2019 Nationals</v>
      </c>
      <c r="M7" s="14">
        <f>IF($K7=$AO7,MAX(BJ7,CG7),IF($K7=$BL7,MAX(AM7,CG7),IF($K7=$CI7,MAX(AM7,BJ7),MAX(AM7,BJ7,CG7))))</f>
        <v>0</v>
      </c>
      <c r="N7" s="14" t="str">
        <f>IF(M7=0,"",IF(AND(M7=CG7,$L7&lt;&gt;$BP$1),$BP$1,IF(AND(M7=BJ7,$L7&lt;&gt;$AS$1),$AS$1,IF(AND(M7=AM7,$L7&lt;&gt;$V$1),$V$1,""))))</f>
        <v/>
      </c>
      <c r="O7" s="14">
        <f>IF($K7=$AO7,MAX(CH7,BK7),IF($K7=$BL7,MAX(AN7,CH7),IF($K7=$CI7,MAX(AN7,BK7),MAX(AN7,BK7,CH7))))</f>
        <v>0</v>
      </c>
      <c r="P7" s="14" t="str">
        <f>IF(O7=0,"",IF(AND(O7=CH7,$L7&lt;&gt;$BP$1),$BP$1,IF(AND(O7=BK7,$L7&lt;&gt;$AS$1),$AS$1,IF(AND(O7=AN7,$L7&lt;&gt;$V$1),$V$1,""))))</f>
        <v/>
      </c>
      <c r="Q7" s="14">
        <f>MAX(AQ7,BN7,CK7)</f>
        <v>43.190000000000005</v>
      </c>
      <c r="R7" s="14" t="str">
        <f>IF(Q7=0,"",IF(Q7=CK7,$BP$1,IF(Q7=BN7,$AS$1,IF(Q7=AQ7,$V$1,""))))</f>
        <v>2019 Nationals</v>
      </c>
      <c r="S7" s="14" t="str">
        <f>IF(MAX(CM7,CN7,CO7,CP7)&gt;0,MAX(CM7,CN7,CO7,CP7),"")</f>
        <v/>
      </c>
      <c r="T7" s="25" t="str">
        <f>IF(S7="","",IF(S7=CM7,"(Vol 1)",IF(S7=CN7,"(Vol 2)",IF(S7=CO7,"(Prelim)",IF(S7=CP7,"(Final)")))))</f>
        <v/>
      </c>
      <c r="U7" s="14" t="str">
        <f>IF(S7="","",IF(S7=CM7,IF(S7+IF(M7="",0,M7)=MO7,$LY$1,IF(S7+IF(M7="",0,M7)=LS7,$LC$1,IF(S7+IF(M7="",0,M7)=KW7,$KG$1,IF(S7+IF(M7="",0,M7)=KA7,$JK$1,IF(S7+IF(M7="",0,M7)=JE7,$IO$1,IF(S7+IF(M7="",0,M7)=II7,$HS$1,IF(S7+IF(M7="",0,M7)=HM7,$GW$1,IF(S7+IF(M7="",0,M7)=GQ7,$GA$1,IF(S7+IF(M7="",0,M7)=FU7,$FE$1,IF(S7+IF(M7="",0,M7)=EY7,$EI$1,IF(S7+IF(M7="",0,M7)=EC7,$DM$1,IF(S7+IF(M7="",0,M7)=DG7,$CQ$1)))))))))))),IF(S7=CN7,IF(S7+IF(O7="",0,O7)=MP7,$LY$1,IF(S7+IF(O7="",0,O7)=LT7,$LC$1,IF(S7+IF(O7="",0,O7)=KX7,$KG$1,IF(S7+IF(O7="",0,O7)=KB7,$JK$1,IF(S7+IF(O7="",0,O7)=JF7,$IO$1,IF(S7+IF(O7="",0,O7)=IJ7,$HS$1,IF(S7+IF(O7="",0,O7)=HN7,$GW$1,IF(S7+IF(O7="",0,O7)=GR7,$GA$1,IF(S7+IF(O7="",0,O7)=FV7,$FE$1,IF(S7+IF(O7="",0,O7)=EZ7,$EI$1,IF(S7+IF(O7="",0,O7)=ED7,$DM$1,IF(S7+IF(O7="",0,O7)=DH7,$CQ$1)))))))))))),IF(S7=CO7,IF(S7+IF(K7="",0,K7)=MQ7,$LY$1,IF(S7+IF(K7="",0,K7)=LU7,$LC$1,IF(S7+IF(K7="",0,K7)=KY7,$KG$1,IF(S7+IF(K7="",0,K7)=KC7,$JK$1,IF(S7+IF(K7="",0,K7)=JG7,$IO$1,IF(S7+IF(K7="",0,K7)=IK7,$HS$1,IF(S7+IF(K7="",0,K7)=HO7,$GW$1,IF(S7+IF(K7="",0,K7)=GS7,$GA$1,IF(S7+IF(K7="",0,K7)=FW7,$FE$1,IF(S7+IF(K7="",0,K7)=FA7,$EI$1,IF(S7+IF(K7="",0,K7)=EE7,$DM$1,IF(S7+IF(K7="",0,K7)=DI7,$CQ$1)))))))))))),IF(S7=CP7,IF(S7+IF(Q7="",0,Q7)=MS7,$LY$1,IF(S7+IF(Q7="",0,Q7)=LW7,$LC$1,IF(S7+IF(Q7="",0,Q7)=LA7,$KG$1,IF(S7+IF(Q7="",0,Q7)=KE7,$JK$1,IF(S7+IF(Q7="",0,Q7)=JI7,$IO$1,IF(S7+IF(Q7="",0,Q7)=IM7,$HS$1,IF(S7+IF(Q7="",0,Q7)=HQ7,$GW$1,IF(S7+IF(Q7="",0,Q7)=GU7,$GA$1,IF(S7+IF(Q7="",0,Q7)=FY7,$FE$1,IF(S7+IF(Q7="",0,Q7)=FC7,$EI$1,IF(S7+IF(Q7="",0,Q7)=EG7,$DM$1,IF(S7+IF(Q7="",0,Q7)=DK7,$CQ$1)))))))))))))))))</f>
        <v/>
      </c>
      <c r="V7" s="39">
        <v>9.1</v>
      </c>
      <c r="W7" s="39">
        <v>9.5500000000000007</v>
      </c>
      <c r="X7" s="39">
        <v>3.5</v>
      </c>
      <c r="Y7" s="39">
        <v>17.54</v>
      </c>
      <c r="Z7" s="39">
        <v>0</v>
      </c>
      <c r="AA7" s="39">
        <v>2.25</v>
      </c>
      <c r="AB7" s="39">
        <v>2.5499999999999998</v>
      </c>
      <c r="AC7" s="39">
        <v>4.9000000000000004</v>
      </c>
      <c r="AD7" s="39">
        <v>5.14</v>
      </c>
      <c r="AE7" s="39">
        <v>0</v>
      </c>
      <c r="AF7" s="39">
        <v>7.65</v>
      </c>
      <c r="AG7" s="39">
        <v>8.9</v>
      </c>
      <c r="AH7" s="39">
        <v>13.4</v>
      </c>
      <c r="AI7" s="39">
        <v>13.24</v>
      </c>
      <c r="AJ7" s="39">
        <v>0</v>
      </c>
      <c r="AK7" s="80"/>
      <c r="AL7" s="11">
        <f>IF(AC7&gt;0,AC7,"")</f>
        <v>4.9000000000000004</v>
      </c>
      <c r="AM7" s="11">
        <f>IF(SUM(V7:Y7)-Z7&gt;0,SUM(V7:Y7)-Z7,"")</f>
        <v>39.69</v>
      </c>
      <c r="AN7" s="11">
        <f>IF(SUM(AA7:AD7)-AE7&gt;0,SUM(AA7:AD7)-AE7,"")</f>
        <v>14.84</v>
      </c>
      <c r="AO7" s="11">
        <f>IF(SUM(AM7:AN7)&gt;0,SUM(AM7:AN7),"")</f>
        <v>54.53</v>
      </c>
      <c r="AP7" s="11">
        <f>IF(AH7&gt;0,AH7,"")</f>
        <v>13.4</v>
      </c>
      <c r="AQ7" s="11">
        <f>IF(SUM(AF7:AI7)-AJ7&gt;0,SUM(AF7:AI7)-AJ7,"")</f>
        <v>43.190000000000005</v>
      </c>
      <c r="AR7" s="11">
        <f>IF(SUM(AO7,AQ7)&gt;0,SUM(AO7,AQ7),"")</f>
        <v>97.72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>IF(AZ7&gt;0,AZ7,"")</f>
        <v/>
      </c>
      <c r="BJ7" s="14" t="str">
        <f>IF(SUM(AS7:AV7)-AW7&gt;0,SUM(AS7:AV7)-AW7,"")</f>
        <v/>
      </c>
      <c r="BK7" s="14" t="str">
        <f>IF(SUM(AX7:BA7)-BB7&gt;0,SUM(AX7:BA7)-BB7,"")</f>
        <v/>
      </c>
      <c r="BL7" s="14" t="str">
        <f>IF(SUM(BJ7:BK7)&gt;0,SUM(BJ7:BK7),"")</f>
        <v/>
      </c>
      <c r="BM7" s="14" t="str">
        <f>IF(BE7&gt;0,BE7,"")</f>
        <v/>
      </c>
      <c r="BN7" s="14" t="str">
        <f>IF(SUM(BC7:BF7)-BG7&gt;0,SUM(BC7:BF7)-BG7,"")</f>
        <v/>
      </c>
      <c r="BO7" s="14" t="str">
        <f>IF(SUM(BL7,BN7)&gt;0,SUM(BL7,BN7),"")</f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>IF(BW7&gt;0,BW7,"")</f>
        <v/>
      </c>
      <c r="CG7" s="11" t="str">
        <f>IF(SUM(BP7:BS7)-BT7&gt;0,SUM(BP7:BS7)-BT7,"")</f>
        <v/>
      </c>
      <c r="CH7" s="11" t="str">
        <f>IF(SUM(BU7:BX7)-BY7&gt;0,SUM(BU7:BX7)-BY7,"")</f>
        <v/>
      </c>
      <c r="CI7" s="11" t="str">
        <f>IF(SUM(CG7:CH7)&gt;0,SUM(CG7:CH7),"")</f>
        <v/>
      </c>
      <c r="CJ7" s="11" t="str">
        <f>IF(CB7&gt;0,CB7,"")</f>
        <v/>
      </c>
      <c r="CK7" s="11" t="str">
        <f>IF(SUM(BZ7:CC7)-CD7&gt;0,SUM(BZ7:CC7)-CD7,"")</f>
        <v/>
      </c>
      <c r="CL7" s="11" t="str">
        <f>IF(SUM(CI7,CK7)&gt;0,SUM(CI7,CK7),"")</f>
        <v/>
      </c>
      <c r="CM7" s="24" t="str">
        <f>IF(MAX(DG7,EC7,EY7,FU7,GQ7,HM7,II7,JE7,KA7,KW7,LS7,MO7)-IF(M7="",0,M7)&gt;0.001,MAX(DG7,EC7,EY7,FU7,GQ7,HM7,II7,JE7,KA7,KW7,LS7,MO7)-IF(M7="",0,M7),"")</f>
        <v/>
      </c>
      <c r="CN7" s="24" t="str">
        <f>IF(MAX(DH7,ED7,EZ7,FV7,GR7,HN7,IJ7,JF7,KB7,KX7,LT7,MP7)-IF(O7="",0,O7)&gt;0.001,MAX(DH7,ED7,EZ7,FV7,GR7,HN7,IJ7,JF7,KB7,KX7,LT7,MP7)-IF(O7="",0,O7),"")</f>
        <v/>
      </c>
      <c r="CO7" s="24" t="str">
        <f>IF(MAX(DI7,EE7,FA7,FW7,GS7,HO7,IK7,JG7,KC7,KY7,LU7,MQ7)-IF(K7="",0,K7)&gt;0.001,MAX(DI7,EE7,FA7,FW7,GS7,HO7,IK7,JG7,KC7,KY7,LU7,MQ7)-IF(K7="",0,K7),"")</f>
        <v/>
      </c>
      <c r="CP7" s="24" t="str">
        <f>IF(MAX(DK7,EG7,FC7,FY7,GU7,HQ7,IM7,JI7,KE7,LA7,LW7,MS7)-IF(Q7="",0,Q7)&gt;0.001,MAX(DK7,EG7,FC7,FY7,GU7,HQ7,IM7,JI7,KE7,LA7,LW7,MS7)-IF(Q7="",0,Q7),"")</f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>IF(CX7&gt;0,CX7,"")</f>
        <v/>
      </c>
      <c r="DG7" s="11" t="str">
        <f>IF(SUM(CQ7:CT7)-CU7&gt;0,SUM(CQ7:CT7)-CU7,"")</f>
        <v/>
      </c>
      <c r="DH7" s="11" t="str">
        <f>IF(SUM(CV7:CY7)-CZ7&gt;0,SUM(CV7:CY7)-CZ7,"")</f>
        <v/>
      </c>
      <c r="DI7" s="11" t="str">
        <f>IF(SUM(DG7:DH7)&gt;0,SUM(DG7:DH7),"")</f>
        <v/>
      </c>
      <c r="DJ7" s="11" t="str">
        <f>IF(DC7&gt;0,DC7,"")</f>
        <v/>
      </c>
      <c r="DK7" s="11" t="str">
        <f>IF(SUM(DA7:DD7)-DE7&gt;0,SUM(DA7:DD7)-DE7,"")</f>
        <v/>
      </c>
      <c r="DL7" s="11" t="str">
        <f>IF(SUM(DI7,DK7)&gt;0,SUM(DI7,DK7),"")</f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>IF(DT7&gt;0,DT7,"")</f>
        <v/>
      </c>
      <c r="EC7" s="14" t="str">
        <f>IF(SUM(DM7:DP7)-DQ7&gt;0,SUM(DM7:DP7)-DQ7,"")</f>
        <v/>
      </c>
      <c r="ED7" s="14" t="str">
        <f>IF(SUM(DR7:DU7)-DV7&gt;0,SUM(DR7:DU7)-DV7,"")</f>
        <v/>
      </c>
      <c r="EE7" s="14" t="str">
        <f>IF(SUM(EC7:ED7)&gt;0,SUM(EC7:ED7),"")</f>
        <v/>
      </c>
      <c r="EF7" s="14" t="str">
        <f>IF(DY7&gt;0,DY7,"")</f>
        <v/>
      </c>
      <c r="EG7" s="14" t="str">
        <f>IF(SUM(DW7:DZ7)-EA7&gt;0,SUM(DW7:DZ7)-EA7,"")</f>
        <v/>
      </c>
      <c r="EH7" s="14" t="str">
        <f>IF(SUM(EE7,EG7)&gt;0,SUM(EE7,EG7),"")</f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>IF(EP7&gt;0,EP7,"")</f>
        <v/>
      </c>
      <c r="EY7" s="11" t="str">
        <f>IF(SUM(EI7:EL7)-EM7&gt;0,SUM(EI7:EL7)-EM7,"")</f>
        <v/>
      </c>
      <c r="EZ7" s="11" t="str">
        <f>IF(SUM(EN7:EQ7)-ER7&gt;0,SUM(EN7:EQ7)-ER7,"")</f>
        <v/>
      </c>
      <c r="FA7" s="11" t="str">
        <f>IF(SUM(EY7:EZ7)&gt;0,SUM(EY7:EZ7),"")</f>
        <v/>
      </c>
      <c r="FB7" s="11" t="str">
        <f>IF(EU7&gt;0,EU7,"")</f>
        <v/>
      </c>
      <c r="FC7" s="11" t="str">
        <f>IF(SUM(ES7:EV7)-EW7&gt;0,SUM(ES7:EV7)-EW7,"")</f>
        <v/>
      </c>
      <c r="FD7" s="11" t="str">
        <f>IF(SUM(FA7,FC7)&gt;0,SUM(FA7,FC7),"")</f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>IF(FL7&gt;0,FL7,"")</f>
        <v/>
      </c>
      <c r="FU7" s="14" t="str">
        <f>IF(SUM(FE7:FH7)-FI7&gt;0,SUM(FE7:FH7)-FI7,"")</f>
        <v/>
      </c>
      <c r="FV7" s="14" t="str">
        <f>IF(SUM(FJ7:FM7)-FN7&gt;0,SUM(FJ7:FM7)-FN7,"")</f>
        <v/>
      </c>
      <c r="FW7" s="14" t="str">
        <f>IF(SUM(FU7:FV7)&gt;0,SUM(FU7:FV7),"")</f>
        <v/>
      </c>
      <c r="FX7" s="14" t="str">
        <f>IF(FQ7&gt;0,FQ7,"")</f>
        <v/>
      </c>
      <c r="FY7" s="14" t="str">
        <f>IF(SUM(FO7:FR7)-FS7&gt;0,SUM(FO7:FR7)-FS7,"")</f>
        <v/>
      </c>
      <c r="FZ7" s="14" t="str">
        <f>IF(SUM(FW7,FY7)&gt;0,SUM(FW7,FY7),"")</f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>IF(GH7&gt;0,GH7,"")</f>
        <v/>
      </c>
      <c r="GQ7" s="11" t="str">
        <f>IF(SUM(GA7:GD7)-GE7&gt;0,SUM(GA7:GD7)-GE7,"")</f>
        <v/>
      </c>
      <c r="GR7" s="11" t="str">
        <f>IF(SUM(GF7:GI7)-GJ7&gt;0,SUM(GF7:GI7)-GJ7,"")</f>
        <v/>
      </c>
      <c r="GS7" s="11" t="str">
        <f>IF(SUM(GQ7:GR7)&gt;0,SUM(GQ7:GR7),"")</f>
        <v/>
      </c>
      <c r="GT7" s="11" t="str">
        <f>IF(GM7&gt;0,GM7,"")</f>
        <v/>
      </c>
      <c r="GU7" s="11" t="str">
        <f>IF(SUM(GK7:GN7)-GO7&gt;0,SUM(GK7:GN7)-GO7,"")</f>
        <v/>
      </c>
      <c r="GV7" s="11" t="str">
        <f>IF(SUM(GS7,GU7)&gt;0,SUM(GS7,GU7),"")</f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>IF(HD7&gt;0,HD7,"")</f>
        <v/>
      </c>
      <c r="HM7" s="14" t="str">
        <f>IF(SUM(GW7:GZ7)-HA7&gt;0,SUM(GW7:GZ7)-HA7,"")</f>
        <v/>
      </c>
      <c r="HN7" s="14" t="str">
        <f>IF(SUM(HB7:HE7)-HF7&gt;0,SUM(HB7:HE7)-HF7,"")</f>
        <v/>
      </c>
      <c r="HO7" s="14" t="str">
        <f>IF(SUM(HM7:HN7)&gt;0,SUM(HM7:HN7),"")</f>
        <v/>
      </c>
      <c r="HP7" s="14" t="str">
        <f>IF(HI7&gt;0,HI7,"")</f>
        <v/>
      </c>
      <c r="HQ7" s="14" t="str">
        <f>IF(SUM(HG7:HJ7)-HK7&gt;0,SUM(HG7:HJ7)-HK7,"")</f>
        <v/>
      </c>
      <c r="HR7" s="14" t="str">
        <f>IF(SUM(HO7,HQ7)&gt;0,SUM(HO7,HQ7),"")</f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>IF(HZ7&gt;0,HZ7,"")</f>
        <v/>
      </c>
      <c r="II7" s="11" t="str">
        <f>IF(SUM(HS7:HV7)-HW7&gt;0,SUM(HS7:HV7)-HW7,"")</f>
        <v/>
      </c>
      <c r="IJ7" s="11" t="str">
        <f>IF(SUM(HX7:IA7)-IB7&gt;0,SUM(HX7:IA7)-IB7,"")</f>
        <v/>
      </c>
      <c r="IK7" s="11" t="str">
        <f>IF(SUM(II7:IJ7)&gt;0,SUM(II7:IJ7),"")</f>
        <v/>
      </c>
      <c r="IL7" s="11" t="str">
        <f>IF(IE7&gt;0,IE7,"")</f>
        <v/>
      </c>
      <c r="IM7" s="11" t="str">
        <f>IF(SUM(IC7:IF7)-IG7&gt;0,SUM(IC7:IF7)-IG7,"")</f>
        <v/>
      </c>
      <c r="IN7" s="11" t="str">
        <f>IF(SUM(IK7,IM7)&gt;0,SUM(IK7,IM7),"")</f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>IF(IV7&gt;0,IV7,"")</f>
        <v/>
      </c>
      <c r="JE7" s="14" t="str">
        <f>IF(SUM(IO7:IR7)-IS7&gt;0,SUM(IO7:IR7)-IS7,"")</f>
        <v/>
      </c>
      <c r="JF7" s="14" t="str">
        <f>IF(SUM(IT7:IW7)-IX7&gt;0,SUM(IT7:IW7)-IX7,"")</f>
        <v/>
      </c>
      <c r="JG7" s="14" t="str">
        <f>IF(SUM(JE7:JF7)&gt;0,SUM(JE7:JF7),"")</f>
        <v/>
      </c>
      <c r="JH7" s="14" t="str">
        <f>IF(JA7&gt;0,JA7,"")</f>
        <v/>
      </c>
      <c r="JI7" s="14" t="str">
        <f>IF(SUM(IY7:JB7)-JC7&gt;0,SUM(IY7:JB7)-JC7,"")</f>
        <v/>
      </c>
      <c r="JJ7" s="14" t="str">
        <f>IF(SUM(JG7,JI7)&gt;0,SUM(JG7,JI7),"")</f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>IF(JR7&gt;0,JR7,"")</f>
        <v/>
      </c>
      <c r="KA7" s="11" t="str">
        <f>IF(SUM(JK7:JN7)-JO7&gt;0,SUM(JK7:JN7)-JO7,"")</f>
        <v/>
      </c>
      <c r="KB7" s="11" t="str">
        <f>IF(SUM(JP7:JS7)-JT7&gt;0,SUM(JP7:JS7)-JT7,"")</f>
        <v/>
      </c>
      <c r="KC7" s="11" t="str">
        <f>IF(SUM(KA7:KB7)&gt;0,SUM(KA7:KB7),"")</f>
        <v/>
      </c>
      <c r="KD7" s="11" t="str">
        <f>IF(JW7&gt;0,JW7,"")</f>
        <v/>
      </c>
      <c r="KE7" s="11" t="str">
        <f>IF(SUM(JU7:JX7)-JY7&gt;0,SUM(JU7:JX7)-JY7,"")</f>
        <v/>
      </c>
      <c r="KF7" s="11" t="str">
        <f>IF(SUM(KC7,KE7)&gt;0,SUM(KC7,KE7),"")</f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>IF(KN7&gt;0,KN7,"")</f>
        <v/>
      </c>
      <c r="KW7" s="14" t="str">
        <f>IF(SUM(KG7:KJ7)-KK7&gt;0,SUM(KG7:KJ7)-KK7,"")</f>
        <v/>
      </c>
      <c r="KX7" s="14" t="str">
        <f>IF(SUM(KL7:KO7)-KP7&gt;0,SUM(KL7:KO7)-KP7,"")</f>
        <v/>
      </c>
      <c r="KY7" s="14" t="str">
        <f>IF(SUM(KW7:KX7)&gt;0,SUM(KW7:KX7),"")</f>
        <v/>
      </c>
      <c r="KZ7" s="14" t="str">
        <f>IF(KS7&gt;0,KS7,"")</f>
        <v/>
      </c>
      <c r="LA7" s="14" t="str">
        <f>IF(SUM(KQ7:KT7)-KU7&gt;0,SUM(KQ7:KT7)-KU7,"")</f>
        <v/>
      </c>
      <c r="LB7" s="14" t="str">
        <f>IF(SUM(KY7,LA7)&gt;0,SUM(KY7,LA7),"")</f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>IF(LJ7&gt;0,LJ7,"")</f>
        <v/>
      </c>
      <c r="LS7" s="11" t="str">
        <f>IF(SUM(LC7:LF7)-LG7&gt;0,SUM(LC7:LF7)-LG7,"")</f>
        <v/>
      </c>
      <c r="LT7" s="11" t="str">
        <f>IF(SUM(LH7:LK7)-LL7&gt;0,SUM(LH7:LK7)-LL7,"")</f>
        <v/>
      </c>
      <c r="LU7" s="11" t="str">
        <f>IF(SUM(LS7:LT7)&gt;0,SUM(LS7:LT7),"")</f>
        <v/>
      </c>
      <c r="LV7" s="11" t="str">
        <f>IF(LO7&gt;0,LO7,"")</f>
        <v/>
      </c>
      <c r="LW7" s="11" t="str">
        <f>IF(SUM(LM7:LP7)-LQ7&gt;0,SUM(LM7:LP7)-LQ7,"")</f>
        <v/>
      </c>
      <c r="LX7" s="11" t="str">
        <f>IF(SUM(LU7,LW7)&gt;0,SUM(LU7,LW7),"")</f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>IF(MF7&gt;0,MF7,"")</f>
        <v/>
      </c>
      <c r="MO7" s="14" t="str">
        <f>IF(SUM(LY7:MB7)-MC7&gt;0,SUM(LY7:MB7)-MC7,"")</f>
        <v/>
      </c>
      <c r="MP7" s="14" t="str">
        <f>IF(SUM(MD7:MG7)-MH7&gt;0,SUM(MD7:MG7)-MH7,"")</f>
        <v/>
      </c>
      <c r="MQ7" s="14" t="str">
        <f>IF(SUM(MO7:MP7)&gt;0,SUM(MO7:MP7),"")</f>
        <v/>
      </c>
      <c r="MR7" s="14" t="str">
        <f>IF(MK7&gt;0,MK7,"")</f>
        <v/>
      </c>
      <c r="MS7" s="14" t="str">
        <f>IF(SUM(MI7:ML7)-MM7&gt;0,SUM(MI7:ML7)-MM7,"")</f>
        <v/>
      </c>
      <c r="MT7" s="14" t="str">
        <f>IF(SUM(MQ7,MS7)&gt;0,SUM(MQ7,MS7),"")</f>
        <v/>
      </c>
      <c r="MU7" s="69">
        <f>IF($CE7="P",BP7,(BP7+AS7)/2)</f>
        <v>0</v>
      </c>
      <c r="MV7" s="69">
        <f>IF($CE7="P",BQ7,(BQ7+AT7)/2)</f>
        <v>0</v>
      </c>
      <c r="MW7" s="69">
        <f>IF($CE7="P",BR7,(BR7+AU7)/2)</f>
        <v>0</v>
      </c>
      <c r="MX7" s="69">
        <f>IF($CE7="P",BS7,(BS7+AV7)/2)</f>
        <v>0</v>
      </c>
      <c r="MY7" s="69">
        <f>IF($CE7="P",BT7,(BT7+AW7)/2)</f>
        <v>0</v>
      </c>
      <c r="MZ7" s="69">
        <f>IF($CE7="P",BU7,(BU7+AX7)/2)</f>
        <v>0</v>
      </c>
      <c r="NA7" s="69">
        <f>IF($CE7="P",BV7,(BV7+AY7)/2)</f>
        <v>0</v>
      </c>
      <c r="NB7" s="69">
        <f>IF($CE7="P",BW7,(BW7+AZ7)/2)</f>
        <v>0</v>
      </c>
      <c r="NC7" s="69">
        <f>IF($CE7="P",BX7,(BX7+BA7)/2)</f>
        <v>0</v>
      </c>
      <c r="ND7" s="69">
        <f>IF($CE7="P",BY7,(BY7+BB7)/2)</f>
        <v>0</v>
      </c>
      <c r="NE7" s="69">
        <f>IF($CE7="P",BZ7,(BZ7+BC7)/2)</f>
        <v>0</v>
      </c>
      <c r="NF7" s="69">
        <f>IF($CE7="P",CA7,(CA7+BD7)/2)</f>
        <v>0</v>
      </c>
      <c r="NG7" s="69">
        <f>IF($CE7="P",CB7,(CB7+BE7)/2)</f>
        <v>0</v>
      </c>
      <c r="NH7" s="69">
        <f>IF($CE7="P",CC7,(CC7+BF7)/2)</f>
        <v>0</v>
      </c>
      <c r="NI7" s="69">
        <f>IF($CE7="P",CD7,(CD7+BG7)/2)</f>
        <v>0</v>
      </c>
      <c r="NJ7" s="80" t="s">
        <v>88</v>
      </c>
      <c r="NK7" s="11" t="str">
        <f>IF(NB7&gt;0,NB7,"")</f>
        <v/>
      </c>
      <c r="NL7" s="11" t="str">
        <f>IF(SUM(MU7:MX7)-MY7&gt;0,SUM(MU7:MX7)-MY7,"")</f>
        <v/>
      </c>
      <c r="NM7" s="11" t="str">
        <f>IF(SUM(MZ7:NC7)-ND7&gt;0,SUM(MZ7:NC7)-ND7,"")</f>
        <v/>
      </c>
      <c r="NN7" s="11" t="str">
        <f>IF(SUM(NL7:NM7)&gt;0,SUM(NL7:NM7),"")</f>
        <v/>
      </c>
      <c r="NO7" s="11" t="str">
        <f>IF(NG7&gt;0,NG7,"")</f>
        <v/>
      </c>
      <c r="NP7" s="11" t="str">
        <f>IF(SUM(NE7:NH7)-NI7&gt;0,SUM(NE7:NH7)-NI7,"")</f>
        <v/>
      </c>
      <c r="NQ7" s="11" t="str">
        <f>IF(SUM(NN7,NP7)&gt;0,SUM(NN7,NP7),"")</f>
        <v/>
      </c>
    </row>
    <row r="8" spans="1:381" x14ac:dyDescent="0.2">
      <c r="A8" s="5" t="str" cm="1">
        <f t="array" ref="A8">IF(AND(G8&lt;&gt;"",H8&lt;&gt;""),SUMPRODUCT((G$4:G$11&lt;&gt;"")*(H$4:H$11&lt;&gt;"")*(E$4:E$11&gt;E8))+1,IF(H8&lt;&gt;"",SUMPRODUCT((I$4:I$11="No DD")*(E$4:E$11&gt;E8))+1+SUMPRODUCT((G$4:G$11&lt;&gt;"")*(H$4:H$11&lt;&gt;"")),""))</f>
        <v/>
      </c>
      <c r="B8" s="8" t="s">
        <v>129</v>
      </c>
      <c r="C8" s="4" t="s">
        <v>5</v>
      </c>
      <c r="D8" s="27" t="s">
        <v>130</v>
      </c>
      <c r="E8" s="15">
        <f>SUM(K8:S8)</f>
        <v>91.009999999999991</v>
      </c>
      <c r="F8" s="3" t="str">
        <f>IF(G8&lt;&gt;"","P","")</f>
        <v/>
      </c>
      <c r="G8" s="125" t="str">
        <f>IF(OR(AND(AL8&gt;=AR$16,AL8&lt;&gt;"",AK8=""),AND(AP8&gt;=AR$16,AP8&lt;&gt;"",AK8=""),AND(BI8&gt;=BO$16,BI8&lt;&gt;"",BH8=""),AND(BM8&gt;=BO$16,BM8&lt;&gt;"",BH8=""),AND(CF8&gt;=CL$16,CF8&lt;&gt;"",CE8=""),AND(CJ8&gt;=CL$16,CJ8&lt;&gt;"",CE8=""),AND(DF8&gt;=DL$16,DF8&lt;&gt;""),AND(DJ8&gt;=DL$16,DJ8&lt;&gt;""),AND(EB8&gt;=EH$16,EB8&lt;&gt;""),AND(EF8&gt;=EH$16,EF8&lt;&gt;""),AND(EX8&gt;=FD$16,EX8&lt;&gt;""),AND(FB8&gt;=FD$16,FB8&lt;&gt;""),AND(FT8&gt;=FZ$16,FT8&lt;&gt;""),AND(FX8&gt;=FZ$16,FX8&lt;&gt;""),AND(GP8&gt;=GV$16,GP8&lt;&gt;""),AND(GT8&gt;=GV$16,GT8&lt;&gt;""),AND(HL8&gt;=HR$16,HL8&lt;&gt;""),AND(HP8&gt;=HR$16,HP8&lt;&gt;""),AND(IH8&gt;=IN$16,IH8&lt;&gt;""),AND(IL8&gt;=IN$16,IL8&lt;&gt;""),AND(JD8&gt;=JJ$16,JD8&lt;&gt;""),AND(JH8&gt;=JJ$16,JH8&lt;&gt;""),AND(JZ8&gt;=KF$16,JZ8&lt;&gt;""),AND(KD8&gt;=KF$16,KD8&lt;&gt;""),AND(KV8&gt;=LB$16,KV8&lt;&gt;""),AND(KZ8&gt;=LB$16,KZ8&lt;&gt;""),AND(LR8&gt;=LX$16,LR8&lt;&gt;""),AND(LV8&gt;=LX$16,LV8&lt;&gt;""),AND(MN8&gt;=MT$16,MN8&lt;&gt;""),AND(MR8&gt;=MT$16,MR8&lt;&gt;"")),"Merit",IF(OR(AND(AL8&gt;=AR$15,AL8&lt;&gt;"",AK8=""),AND(AP8&gt;=AR$15,AP8&lt;&gt;"",AK8=""),AND(BI8&gt;=BO$15,BI8&lt;&gt;"",BH8=""),AND(BM8&gt;=BO$15,BM8&lt;&gt;"",BH8=""),AND(CF8&gt;=CL$15,CF8&lt;&gt;"",CE8=""),AND(CJ8&gt;=CL$15,CJ8&lt;&gt;"",CE8=""),AND(DF8&gt;=DL$15,DF8&lt;&gt;""),AND(DJ8&gt;=DL$15,DJ8&lt;&gt;""),AND(EB8&gt;=EH$15,EB8&lt;&gt;""),AND(EF8&gt;=EH$15,EF8&lt;&gt;""),AND(EX8&gt;=FD$15,EX8&lt;&gt;""),AND(FB8&gt;=FD$15,FB8&lt;&gt;""),AND(FT8&gt;=FZ$15,FT8&lt;&gt;""),AND(FX8&gt;=FZ$15,FX8&lt;&gt;""),AND(GP8&gt;=GV$15,GP8&lt;&gt;""),AND(GT8&gt;=GV$15,GT8&lt;&gt;""),AND(HL8&gt;=HR$15,HL8&lt;&gt;""),AND(HP8&gt;=HR$15,HP8&lt;&gt;""),AND(IH8&gt;=IN$15,IH8&lt;&gt;""),AND(IL8&gt;=IN$15,IL8&lt;&gt;""),AND(JD8&gt;=JJ$15,JD8&lt;&gt;""),AND(JH8&gt;=JJ$15,JH8&lt;&gt;""),AND(JZ8&gt;=KF$15,JZ8&lt;&gt;""),AND(KD8&gt;=KF$15,KD8&lt;&gt;""),AND(KV8&gt;=LB$15,KV8&lt;&gt;""),AND(KZ8&gt;=LB$15,KZ8&lt;&gt;""),AND(LR8&gt;=LX$15,LR8&lt;&gt;""),AND(LV8&gt;=LX$15,LV8&lt;&gt;""),AND(MN8&gt;=MT$15,MN8&lt;&gt;""),AND(MR8&gt;=MT$15,MR8&lt;&gt;"")),"Excellence",IF(OR(AND(AL8&gt;=AR$14,AL8&lt;&gt;"",AK8=""),AND(AP8&gt;=AR$14,AP8&lt;&gt;"",AK8=""),AND(BI8&gt;=BO$14,BI8&lt;&gt;"",BH8=""),AND(BM8&gt;=BO$14,BM8&lt;&gt;"",BH8=""),AND(CF8&gt;=CL$14,CF8&lt;&gt;"",CE8=""),AND(CJ8&gt;=CL$14,CJ8&lt;&gt;"",CE8=""),AND(DF8&gt;=DL$14,DF8&lt;&gt;""),AND(DJ8&gt;=DL$14,DJ8&lt;&gt;""),AND(EB8&gt;=EH$14,EB8&lt;&gt;""),AND(EF8&gt;=EH$14,EF8&lt;&gt;""),AND(EX8&gt;=FD$14,EX8&lt;&gt;""),AND(FB8&gt;=FD$14,FB8&lt;&gt;""),AND(FT8&gt;=FZ$14,FT8&lt;&gt;""),AND(FX8&gt;=FZ$14,FX8&lt;&gt;""),AND(GP8&gt;=GV$14,GP8&lt;&gt;""),AND(GT8&gt;=GV$14,GT8&lt;&gt;""),AND(HL8&gt;=HR$14,HL8&lt;&gt;""),AND(HP8&gt;=HR$14,HP8&lt;&gt;""),AND(IH8&gt;=IN$14,IH8&lt;&gt;""),AND(IL8&gt;=IN$14,IL8&lt;&gt;""),AND(JD8&gt;=JJ$14,JD8&lt;&gt;""),AND(JH8&gt;=JJ$14,JH8&lt;&gt;""),AND(JZ8&gt;=KF$14,JZ8&lt;&gt;""),AND(KD8&gt;=KF$14,KD8&lt;&gt;""),AND(KV8&gt;=LB$14,KV8&lt;&gt;""),AND(KZ8&gt;=LB$14,KZ8&lt;&gt;""),AND(LR8&gt;=LX$14,LR8&lt;&gt;""),AND(LV8&gt;=LX$14,LV8&lt;&gt;""),AND(MN8&gt;=MT$14,MN8&lt;&gt;""),AND(MR8&gt;=MT$14,MR8&lt;&gt;"")),"Worlds Team",IF(OR(AND(AL8&gt;=AR$13,AL8&lt;&gt;"",AK8=""),AND(AP8&gt;=AR$13,AP8&lt;&gt;"",AK8=""),AND(BI8&gt;=BO$13,BI8&lt;&gt;"",BH8=""),AND(BM8&gt;=BO$13,BM8&lt;&gt;"",BH8=""),AND(CF8&gt;=CL$13,CF8&lt;&gt;"",CE8=""),AND(CJ8&gt;=CL$13,CJ8&lt;&gt;"",CE8=""),AND(DF8&gt;=DL$13,DF8&lt;&gt;""),AND(DJ8&gt;=DL$13,DJ8&lt;&gt;""),AND(EB8&gt;=EH$13,EB8&lt;&gt;""),AND(EF8&gt;=EH$13,EF8&lt;&gt;""),AND(EX8&gt;=FD$13,EX8&lt;&gt;""),AND(FB8&gt;=FD$13,FB8&lt;&gt;""),AND(FT8&gt;=FZ$13,FT8&lt;&gt;""),AND(FX8&gt;=FZ$13,FX8&lt;&gt;""),AND(GP8&gt;=GV$13,GP8&lt;&gt;""),AND(GT8&gt;=GV$13,GT8&lt;&gt;""),AND(HL8&gt;=HR$13,HL8&lt;&gt;""),AND(HP8&gt;=HR$13,HP8&lt;&gt;""),AND(IH8&gt;=IN$13,IH8&lt;&gt;""),AND(IL8&gt;=IN$13,IL8&lt;&gt;""),AND(JD8&gt;=JJ$13,JD8&lt;&gt;""),AND(JH8&gt;=JJ$13,JH8&lt;&gt;""),AND(JZ8&gt;=KF$13,JZ8&lt;&gt;""),AND(KD8&gt;=KF$13,KD8&lt;&gt;""),AND(KV8&gt;=LB$13,KV8&lt;&gt;""),AND(KZ8&gt;=LB$13,KZ8&lt;&gt;""),AND(LR8&gt;=LX$13,LR8&lt;&gt;""),AND(LV8&gt;=LX$13,LV8&lt;&gt;""),AND(MN8&gt;=MT$13,MN8&lt;&gt;""),AND(MR8&gt;=MT$13,MR8&lt;&gt;"")),"National Team",""))))</f>
        <v/>
      </c>
      <c r="H8" s="125" t="str">
        <f>IF(OR(AND(AN8&gt;=AR$20,AN8&lt;&gt;"",AK8=""),AND(AQ8&gt;=AR$20,AQ8&lt;&gt;"",AK8=""),AND(BK8&gt;=BO$20,BK8&lt;&gt;"",BH8=""),AND(BN8&gt;=BO$20,BN8&lt;&gt;"",BH8=""),AND(CH8&gt;=CL$20,CH8&lt;&gt;"",CE8=""),AND(CK8&gt;=CL$20,CE8&lt;&gt;"",CE8=""),AND(DH8&gt;=DL$20,DH8&lt;&gt;""),AND(DK8&gt;=DL$20,DK8&lt;&gt;""),AND(ED8&gt;=EH$20,ED8&lt;&gt;""),AND(EG8&gt;=EH$20,EG8&lt;&gt;""),AND(EZ8&gt;=FD$20,EZ8&lt;&gt;""),AND(FC8&gt;=FD$20,FC8&lt;&gt;""),AND(FV8&gt;=FZ$20,FV8&lt;&gt;""),AND(FY8&gt;=FZ$20,FY8&lt;&gt;""),AND(GR8&gt;=GV$20,GR8&lt;&gt;""),AND(GU8&gt;=GV$20,GU8&lt;&gt;""),AND(HN8&gt;=HR$20,HN8&lt;&gt;""),AND(HQ8&gt;=HR$20,HQ8&lt;&gt;""),AND(IJ8&gt;=IN$20,IJ8&lt;&gt;""),AND(IM8&gt;=IN$20,IM8&lt;&gt;""),AND(JF8&gt;=JJ$20,JF8&lt;&gt;""),AND(JI8&gt;=JJ$20,JI8&lt;&gt;""),AND(KB8&gt;=KF$20,KB8&lt;&gt;""),AND(KE8&gt;=KF$20,KE8&lt;&gt;""),AND(KX8&gt;=LB$20,KX8&lt;&gt;""),AND(LA8&gt;=LB$20,LA8&lt;&gt;""),AND(LT8&gt;=LX$20,LT8&lt;&gt;""),AND(LW8&gt;=LX$20,LW8&lt;&gt;""),AND(MP8&gt;=MT$20,MP8&lt;&gt;""),AND(MS8&gt;=MT$20,MS8&lt;&gt;"")),"Merit",IF(OR(AND(AN8&gt;=AR$19,AN8&lt;&gt;"",AK8=""),AND(AQ8&gt;=AR$19,AQ8&lt;&gt;"",AK8=""),AND(BK8&gt;=BO$19,BK8&lt;&gt;"",BH8=""),AND(BN8&gt;=BO$19,BN8&lt;&gt;"",BH8=""),AND(CH8&gt;=CL$19,CH8&lt;&gt;"",CE8=""),AND(CK8&gt;=CL$19,CE8&lt;&gt;"",CE8=""),AND(DH8&gt;=DL$19,DH8&lt;&gt;""),AND(DK8&gt;=DL$19,DK8&lt;&gt;""),AND(ED8&gt;=EH$19,ED8&lt;&gt;""),AND(EG8&gt;=EH$19,EG8&lt;&gt;""),AND(EZ8&gt;=FD$19,EZ8&lt;&gt;""),AND(FC8&gt;=FD$19,FC8&lt;&gt;""),AND(FV8&gt;=FZ$19,FV8&lt;&gt;""),AND(FY8&gt;=FZ$19,FY8&lt;&gt;""),AND(GR8&gt;=GV$19,GR8&lt;&gt;""),AND(GU8&gt;=GV$19,GU8&lt;&gt;""),AND(HN8&gt;=HR$19,HN8&lt;&gt;""),AND(HQ8&gt;=HR$19,HQ8&lt;&gt;""),AND(IJ8&gt;=IN$19,IJ8&lt;&gt;""),AND(IM8&gt;=IN$19,IM8&lt;&gt;""),AND(JF8&gt;=JJ$19,JF8&lt;&gt;""),AND(JI8&gt;=JJ$19,JI8&lt;&gt;""),AND(KB8&gt;=KF$19,KB8&lt;&gt;""),AND(KE8&gt;=KF$19,KE8&lt;&gt;""),AND(KX8&gt;=LB$19,KX8&lt;&gt;""),AND(LA8&gt;=LB$19,LA8&lt;&gt;""),AND(LT8&gt;=LX$19,LT8&lt;&gt;""),AND(LW8&gt;=LX$19,LW8&lt;&gt;""),AND(MP8&gt;=MT$19,MP8&lt;&gt;""),AND(MS8&gt;=MT$19,MS8&lt;&gt;"")),"Excellence",IF(OR(AND(AO8&gt;=AR$18,AO8&lt;&gt;"",AK8=""),AND(BL8&gt;=BO$18,BL8&lt;&gt;"",BH8=""),AND(CI8&gt;=CL$18,CI8&lt;&gt;"",CE8=""),AND(DI8&gt;=DL$18,DI8&lt;&gt;""),AND(EE8&gt;=EH$18,EE8&lt;&gt;""),AND(FA8&gt;=FD$18,FA8&lt;&gt;""),AND(FW8&gt;=FZ$18,FW8&lt;&gt;""),AND(GS8&gt;=GV$18,GS8&lt;&gt;""),AND(HO8&gt;=HR$18,HO8&lt;&gt;""),AND(IK8&gt;=IN$18,IK8&lt;&gt;""),AND(JG8&gt;=JJ$18,JG8&lt;&gt;""),AND(KC8&gt;=KF$18,KC8&lt;&gt;""),AND(KY8&gt;=LB$18,KY8&lt;&gt;""),AND(LU8&gt;=LX$18,LU8&lt;&gt;""),AND(MQ8&gt;=MT$18,MQ8&lt;&gt;"")),"Worlds Team",IF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"National Team",""))))</f>
        <v/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/>
      </c>
      <c r="J8" s="3" t="str">
        <f>IF(AND(OR(AND(AO8&gt;=AR$18,AO8&lt;&gt;"",AK8=""),AND(BL8&gt;=BO$18,BL8&lt;&gt;"",BH8=""),AND(CI8&gt;=CL$18,CI8&lt;&gt;"",CE8=""),AND(DI8&gt;=DL$18,DI8&lt;&gt;""),AND(EE8&gt;=EH$18,EE8&lt;&gt;""),AND(FA8&gt;=FD$18,FA8&lt;&gt;""),AND(FW8&gt;=FZ$18,FW8&lt;&gt;""),AND(GS8&gt;=GV$18,GS8&lt;&gt;""),AND(HO8&gt;=HR$18,HO8&lt;&gt;""),AND(IK8&gt;=IN$18,IK8&lt;&gt;""),AND(JG8&gt;=JJ$18,JG8&lt;&gt;""),AND(KC8&gt;=KF$18,KC8&lt;&gt;""),AND(KY8&gt;=LB$18,KY8&lt;&gt;""),AND(LU8&gt;=LX$18,LU8&lt;&gt;""),AND(MQ8&gt;=MT$18,MQ8&lt;&gt;"")),OR(G8="Worlds Team",G8="Excellence",G8="Merit")),"P","")</f>
        <v/>
      </c>
      <c r="K8" s="14">
        <f>MAX(AO8,BL8,CI8)</f>
        <v>62.18</v>
      </c>
      <c r="L8" s="14" t="str">
        <f>IF(K8=0,"",IF(K8=CI8,$BP$1,IF(K8=BL8,$AS$1,IF(K8=AO8,$V$1,""))))</f>
        <v>2019 Nationals</v>
      </c>
      <c r="M8" s="14">
        <f>IF($K8=$AO8,MAX(BJ8,CG8),IF($K8=$BL8,MAX(AM8,CG8),IF($K8=$CI8,MAX(AM8,BJ8),MAX(AM8,BJ8,CG8))))</f>
        <v>0</v>
      </c>
      <c r="N8" s="14" t="str">
        <f>IF(M8=0,"",IF(AND(M8=CG8,$L8&lt;&gt;$BP$1),$BP$1,IF(AND(M8=BJ8,$L8&lt;&gt;$AS$1),$AS$1,IF(AND(M8=AM8,$L8&lt;&gt;$V$1),$V$1,""))))</f>
        <v/>
      </c>
      <c r="O8" s="14">
        <f>IF($K8=$AO8,MAX(CH8,BK8),IF($K8=$BL8,MAX(AN8,CH8),IF($K8=$CI8,MAX(AN8,BK8),MAX(AN8,BK8,CH8))))</f>
        <v>0</v>
      </c>
      <c r="P8" s="14" t="str">
        <f>IF(O8=0,"",IF(AND(O8=CH8,$L8&lt;&gt;$BP$1),$BP$1,IF(AND(O8=BK8,$L8&lt;&gt;$AS$1),$AS$1,IF(AND(O8=AN8,$L8&lt;&gt;$V$1),$V$1,""))))</f>
        <v/>
      </c>
      <c r="Q8" s="14">
        <f>MAX(AQ8,BN8,CK8)</f>
        <v>28.83</v>
      </c>
      <c r="R8" s="14" t="str">
        <f>IF(Q8=0,"",IF(Q8=CK8,$BP$1,IF(Q8=BN8,$AS$1,IF(Q8=AQ8,$V$1,""))))</f>
        <v>2019 Nationals</v>
      </c>
      <c r="S8" s="14" t="str">
        <f>IF(MAX(CM8,CN8,CO8,CP8)&gt;0,MAX(CM8,CN8,CO8,CP8),"")</f>
        <v/>
      </c>
      <c r="T8" s="25" t="str">
        <f>IF(S8="","",IF(S8=CM8,"(Vol 1)",IF(S8=CN8,"(Vol 2)",IF(S8=CO8,"(Prelim)",IF(S8=CP8,"(Final)")))))</f>
        <v/>
      </c>
      <c r="U8" s="14" t="str">
        <f>IF(S8="","",IF(S8=CM8,IF(S8+IF(M8="",0,M8)=MO8,$LY$1,IF(S8+IF(M8="",0,M8)=LS8,$LC$1,IF(S8+IF(M8="",0,M8)=KW8,$KG$1,IF(S8+IF(M8="",0,M8)=KA8,$JK$1,IF(S8+IF(M8="",0,M8)=JE8,$IO$1,IF(S8+IF(M8="",0,M8)=II8,$HS$1,IF(S8+IF(M8="",0,M8)=HM8,$GW$1,IF(S8+IF(M8="",0,M8)=GQ8,$GA$1,IF(S8+IF(M8="",0,M8)=FU8,$FE$1,IF(S8+IF(M8="",0,M8)=EY8,$EI$1,IF(S8+IF(M8="",0,M8)=EC8,$DM$1,IF(S8+IF(M8="",0,M8)=DG8,$CQ$1)))))))))))),IF(S8=CN8,IF(S8+IF(O8="",0,O8)=MP8,$LY$1,IF(S8+IF(O8="",0,O8)=LT8,$LC$1,IF(S8+IF(O8="",0,O8)=KX8,$KG$1,IF(S8+IF(O8="",0,O8)=KB8,$JK$1,IF(S8+IF(O8="",0,O8)=JF8,$IO$1,IF(S8+IF(O8="",0,O8)=IJ8,$HS$1,IF(S8+IF(O8="",0,O8)=HN8,$GW$1,IF(S8+IF(O8="",0,O8)=GR8,$GA$1,IF(S8+IF(O8="",0,O8)=FV8,$FE$1,IF(S8+IF(O8="",0,O8)=EZ8,$EI$1,IF(S8+IF(O8="",0,O8)=ED8,$DM$1,IF(S8+IF(O8="",0,O8)=DH8,$CQ$1)))))))))))),IF(S8=CO8,IF(S8+IF(K8="",0,K8)=MQ8,$LY$1,IF(S8+IF(K8="",0,K8)=LU8,$LC$1,IF(S8+IF(K8="",0,K8)=KY8,$KG$1,IF(S8+IF(K8="",0,K8)=KC8,$JK$1,IF(S8+IF(K8="",0,K8)=JG8,$IO$1,IF(S8+IF(K8="",0,K8)=IK8,$HS$1,IF(S8+IF(K8="",0,K8)=HO8,$GW$1,IF(S8+IF(K8="",0,K8)=GS8,$GA$1,IF(S8+IF(K8="",0,K8)=FW8,$FE$1,IF(S8+IF(K8="",0,K8)=FA8,$EI$1,IF(S8+IF(K8="",0,K8)=EE8,$DM$1,IF(S8+IF(K8="",0,K8)=DI8,$CQ$1)))))))))))),IF(S8=CP8,IF(S8+IF(Q8="",0,Q8)=MS8,$LY$1,IF(S8+IF(Q8="",0,Q8)=LW8,$LC$1,IF(S8+IF(Q8="",0,Q8)=LA8,$KG$1,IF(S8+IF(Q8="",0,Q8)=KE8,$JK$1,IF(S8+IF(Q8="",0,Q8)=JI8,$IO$1,IF(S8+IF(Q8="",0,Q8)=IM8,$HS$1,IF(S8+IF(Q8="",0,Q8)=HQ8,$GW$1,IF(S8+IF(Q8="",0,Q8)=GU8,$GA$1,IF(S8+IF(Q8="",0,Q8)=FY8,$FE$1,IF(S8+IF(Q8="",0,Q8)=FC8,$EI$1,IF(S8+IF(Q8="",0,Q8)=EG8,$DM$1,IF(S8+IF(Q8="",0,Q8)=DK8,$CQ$1)))))))))))))))))</f>
        <v/>
      </c>
      <c r="V8" s="39">
        <v>8.75</v>
      </c>
      <c r="W8" s="39">
        <v>9.1</v>
      </c>
      <c r="X8" s="39">
        <v>4</v>
      </c>
      <c r="Y8" s="39">
        <v>17.2</v>
      </c>
      <c r="Z8" s="39">
        <v>0</v>
      </c>
      <c r="AA8" s="39">
        <v>4.2</v>
      </c>
      <c r="AB8" s="39">
        <v>4.6500000000000004</v>
      </c>
      <c r="AC8" s="39">
        <v>5.9</v>
      </c>
      <c r="AD8" s="39">
        <v>8.3800000000000008</v>
      </c>
      <c r="AE8" s="39">
        <v>0</v>
      </c>
      <c r="AF8" s="39">
        <v>4.95</v>
      </c>
      <c r="AG8" s="39">
        <v>5.5</v>
      </c>
      <c r="AH8" s="39">
        <v>7.3</v>
      </c>
      <c r="AI8" s="39">
        <v>11.08</v>
      </c>
      <c r="AJ8" s="39">
        <v>0</v>
      </c>
      <c r="AK8" s="80"/>
      <c r="AL8" s="11">
        <f>IF(AC8&gt;0,AC8,"")</f>
        <v>5.9</v>
      </c>
      <c r="AM8" s="11">
        <f>IF(SUM(V8:Y8)-Z8&gt;0,SUM(V8:Y8)-Z8,"")</f>
        <v>39.049999999999997</v>
      </c>
      <c r="AN8" s="11">
        <f>IF(SUM(AA8:AD8)-AE8&gt;0,SUM(AA8:AD8)-AE8,"")</f>
        <v>23.130000000000003</v>
      </c>
      <c r="AO8" s="11">
        <f>IF(SUM(AM8:AN8)&gt;0,SUM(AM8:AN8),"")</f>
        <v>62.18</v>
      </c>
      <c r="AP8" s="11">
        <f>IF(AH8&gt;0,AH8,"")</f>
        <v>7.3</v>
      </c>
      <c r="AQ8" s="11">
        <f>IF(SUM(AF8:AI8)-AJ8&gt;0,SUM(AF8:AI8)-AJ8,"")</f>
        <v>28.83</v>
      </c>
      <c r="AR8" s="11">
        <f>IF(SUM(AO8,AQ8)&gt;0,SUM(AO8,AQ8),"")</f>
        <v>91.009999999999991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>IF(AZ8&gt;0,AZ8,"")</f>
        <v/>
      </c>
      <c r="BJ8" s="14" t="str">
        <f>IF(SUM(AS8:AV8)-AW8&gt;0,SUM(AS8:AV8)-AW8,"")</f>
        <v/>
      </c>
      <c r="BK8" s="14" t="str">
        <f>IF(SUM(AX8:BA8)-BB8&gt;0,SUM(AX8:BA8)-BB8,"")</f>
        <v/>
      </c>
      <c r="BL8" s="14" t="str">
        <f>IF(SUM(BJ8:BK8)&gt;0,SUM(BJ8:BK8),"")</f>
        <v/>
      </c>
      <c r="BM8" s="14" t="str">
        <f>IF(BE8&gt;0,BE8,"")</f>
        <v/>
      </c>
      <c r="BN8" s="14" t="str">
        <f>IF(SUM(BC8:BF8)-BG8&gt;0,SUM(BC8:BF8)-BG8,"")</f>
        <v/>
      </c>
      <c r="BO8" s="14" t="str">
        <f>IF(SUM(BL8,BN8)&gt;0,SUM(BL8,BN8),"")</f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>IF(BW8&gt;0,BW8,"")</f>
        <v/>
      </c>
      <c r="CG8" s="11" t="str">
        <f>IF(SUM(BP8:BS8)-BT8&gt;0,SUM(BP8:BS8)-BT8,"")</f>
        <v/>
      </c>
      <c r="CH8" s="11" t="str">
        <f>IF(SUM(BU8:BX8)-BY8&gt;0,SUM(BU8:BX8)-BY8,"")</f>
        <v/>
      </c>
      <c r="CI8" s="11" t="str">
        <f>IF(SUM(CG8:CH8)&gt;0,SUM(CG8:CH8),"")</f>
        <v/>
      </c>
      <c r="CJ8" s="11" t="str">
        <f>IF(CB8&gt;0,CB8,"")</f>
        <v/>
      </c>
      <c r="CK8" s="11" t="str">
        <f>IF(SUM(BZ8:CC8)-CD8&gt;0,SUM(BZ8:CC8)-CD8,"")</f>
        <v/>
      </c>
      <c r="CL8" s="11" t="str">
        <f>IF(SUM(CI8,CK8)&gt;0,SUM(CI8,CK8),"")</f>
        <v/>
      </c>
      <c r="CM8" s="24" t="str">
        <f>IF(MAX(DG8,EC8,EY8,FU8,GQ8,HM8,II8,JE8,KA8,KW8,LS8,MO8)-IF(M8="",0,M8)&gt;0.001,MAX(DG8,EC8,EY8,FU8,GQ8,HM8,II8,JE8,KA8,KW8,LS8,MO8)-IF(M8="",0,M8),"")</f>
        <v/>
      </c>
      <c r="CN8" s="24" t="str">
        <f>IF(MAX(DH8,ED8,EZ8,FV8,GR8,HN8,IJ8,JF8,KB8,KX8,LT8,MP8)-IF(O8="",0,O8)&gt;0.001,MAX(DH8,ED8,EZ8,FV8,GR8,HN8,IJ8,JF8,KB8,KX8,LT8,MP8)-IF(O8="",0,O8),"")</f>
        <v/>
      </c>
      <c r="CO8" s="24" t="str">
        <f>IF(MAX(DI8,EE8,FA8,FW8,GS8,HO8,IK8,JG8,KC8,KY8,LU8,MQ8)-IF(K8="",0,K8)&gt;0.001,MAX(DI8,EE8,FA8,FW8,GS8,HO8,IK8,JG8,KC8,KY8,LU8,MQ8)-IF(K8="",0,K8),"")</f>
        <v/>
      </c>
      <c r="CP8" s="24" t="str">
        <f>IF(MAX(DK8,EG8,FC8,FY8,GU8,HQ8,IM8,JI8,KE8,LA8,LW8,MS8)-IF(Q8="",0,Q8)&gt;0.001,MAX(DK8,EG8,FC8,FY8,GU8,HQ8,IM8,JI8,KE8,LA8,LW8,MS8)-IF(Q8="",0,Q8),"")</f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>IF(CX8&gt;0,CX8,"")</f>
        <v/>
      </c>
      <c r="DG8" s="11" t="str">
        <f>IF(SUM(CQ8:CT8)-CU8&gt;0,SUM(CQ8:CT8)-CU8,"")</f>
        <v/>
      </c>
      <c r="DH8" s="11" t="str">
        <f>IF(SUM(CV8:CY8)-CZ8&gt;0,SUM(CV8:CY8)-CZ8,"")</f>
        <v/>
      </c>
      <c r="DI8" s="11" t="str">
        <f>IF(SUM(DG8:DH8)&gt;0,SUM(DG8:DH8),"")</f>
        <v/>
      </c>
      <c r="DJ8" s="11" t="str">
        <f>IF(DC8&gt;0,DC8,"")</f>
        <v/>
      </c>
      <c r="DK8" s="11" t="str">
        <f>IF(SUM(DA8:DD8)-DE8&gt;0,SUM(DA8:DD8)-DE8,"")</f>
        <v/>
      </c>
      <c r="DL8" s="11" t="str">
        <f>IF(SUM(DI8,DK8)&gt;0,SUM(DI8,DK8),"")</f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>IF(DT8&gt;0,DT8,"")</f>
        <v/>
      </c>
      <c r="EC8" s="14" t="str">
        <f>IF(SUM(DM8:DP8)-DQ8&gt;0,SUM(DM8:DP8)-DQ8,"")</f>
        <v/>
      </c>
      <c r="ED8" s="14" t="str">
        <f>IF(SUM(DR8:DU8)-DV8&gt;0,SUM(DR8:DU8)-DV8,"")</f>
        <v/>
      </c>
      <c r="EE8" s="14" t="str">
        <f>IF(SUM(EC8:ED8)&gt;0,SUM(EC8:ED8),"")</f>
        <v/>
      </c>
      <c r="EF8" s="14" t="str">
        <f>IF(DY8&gt;0,DY8,"")</f>
        <v/>
      </c>
      <c r="EG8" s="14" t="str">
        <f>IF(SUM(DW8:DZ8)-EA8&gt;0,SUM(DW8:DZ8)-EA8,"")</f>
        <v/>
      </c>
      <c r="EH8" s="14" t="str">
        <f>IF(SUM(EE8,EG8)&gt;0,SUM(EE8,EG8),"")</f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>IF(EP8&gt;0,EP8,"")</f>
        <v/>
      </c>
      <c r="EY8" s="11" t="str">
        <f>IF(SUM(EI8:EL8)-EM8&gt;0,SUM(EI8:EL8)-EM8,"")</f>
        <v/>
      </c>
      <c r="EZ8" s="11" t="str">
        <f>IF(SUM(EN8:EQ8)-ER8&gt;0,SUM(EN8:EQ8)-ER8,"")</f>
        <v/>
      </c>
      <c r="FA8" s="11" t="str">
        <f>IF(SUM(EY8:EZ8)&gt;0,SUM(EY8:EZ8),"")</f>
        <v/>
      </c>
      <c r="FB8" s="11" t="str">
        <f>IF(EU8&gt;0,EU8,"")</f>
        <v/>
      </c>
      <c r="FC8" s="11" t="str">
        <f>IF(SUM(ES8:EV8)-EW8&gt;0,SUM(ES8:EV8)-EW8,"")</f>
        <v/>
      </c>
      <c r="FD8" s="11" t="str">
        <f>IF(SUM(FA8,FC8)&gt;0,SUM(FA8,FC8),"")</f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>IF(FL8&gt;0,FL8,"")</f>
        <v/>
      </c>
      <c r="FU8" s="14" t="str">
        <f>IF(SUM(FE8:FH8)-FI8&gt;0,SUM(FE8:FH8)-FI8,"")</f>
        <v/>
      </c>
      <c r="FV8" s="14" t="str">
        <f>IF(SUM(FJ8:FM8)-FN8&gt;0,SUM(FJ8:FM8)-FN8,"")</f>
        <v/>
      </c>
      <c r="FW8" s="14" t="str">
        <f>IF(SUM(FU8:FV8)&gt;0,SUM(FU8:FV8),"")</f>
        <v/>
      </c>
      <c r="FX8" s="14" t="str">
        <f>IF(FQ8&gt;0,FQ8,"")</f>
        <v/>
      </c>
      <c r="FY8" s="14" t="str">
        <f>IF(SUM(FO8:FR8)-FS8&gt;0,SUM(FO8:FR8)-FS8,"")</f>
        <v/>
      </c>
      <c r="FZ8" s="14" t="str">
        <f>IF(SUM(FW8,FY8)&gt;0,SUM(FW8,FY8),"")</f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>IF(GH8&gt;0,GH8,"")</f>
        <v/>
      </c>
      <c r="GQ8" s="11" t="str">
        <f>IF(SUM(GA8:GD8)-GE8&gt;0,SUM(GA8:GD8)-GE8,"")</f>
        <v/>
      </c>
      <c r="GR8" s="11" t="str">
        <f>IF(SUM(GF8:GI8)-GJ8&gt;0,SUM(GF8:GI8)-GJ8,"")</f>
        <v/>
      </c>
      <c r="GS8" s="11" t="str">
        <f>IF(SUM(GQ8:GR8)&gt;0,SUM(GQ8:GR8),"")</f>
        <v/>
      </c>
      <c r="GT8" s="11" t="str">
        <f>IF(GM8&gt;0,GM8,"")</f>
        <v/>
      </c>
      <c r="GU8" s="11" t="str">
        <f>IF(SUM(GK8:GN8)-GO8&gt;0,SUM(GK8:GN8)-GO8,"")</f>
        <v/>
      </c>
      <c r="GV8" s="11" t="str">
        <f>IF(SUM(GS8,GU8)&gt;0,SUM(GS8,GU8),"")</f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>IF(HD8&gt;0,HD8,"")</f>
        <v/>
      </c>
      <c r="HM8" s="14" t="str">
        <f>IF(SUM(GW8:GZ8)-HA8&gt;0,SUM(GW8:GZ8)-HA8,"")</f>
        <v/>
      </c>
      <c r="HN8" s="14" t="str">
        <f>IF(SUM(HB8:HE8)-HF8&gt;0,SUM(HB8:HE8)-HF8,"")</f>
        <v/>
      </c>
      <c r="HO8" s="14" t="str">
        <f>IF(SUM(HM8:HN8)&gt;0,SUM(HM8:HN8),"")</f>
        <v/>
      </c>
      <c r="HP8" s="14" t="str">
        <f>IF(HI8&gt;0,HI8,"")</f>
        <v/>
      </c>
      <c r="HQ8" s="14" t="str">
        <f>IF(SUM(HG8:HJ8)-HK8&gt;0,SUM(HG8:HJ8)-HK8,"")</f>
        <v/>
      </c>
      <c r="HR8" s="14" t="str">
        <f>IF(SUM(HO8,HQ8)&gt;0,SUM(HO8,HQ8),"")</f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>IF(HZ8&gt;0,HZ8,"")</f>
        <v/>
      </c>
      <c r="II8" s="11" t="str">
        <f>IF(SUM(HS8:HV8)-HW8&gt;0,SUM(HS8:HV8)-HW8,"")</f>
        <v/>
      </c>
      <c r="IJ8" s="11" t="str">
        <f>IF(SUM(HX8:IA8)-IB8&gt;0,SUM(HX8:IA8)-IB8,"")</f>
        <v/>
      </c>
      <c r="IK8" s="11" t="str">
        <f>IF(SUM(II8:IJ8)&gt;0,SUM(II8:IJ8),"")</f>
        <v/>
      </c>
      <c r="IL8" s="11" t="str">
        <f>IF(IE8&gt;0,IE8,"")</f>
        <v/>
      </c>
      <c r="IM8" s="11" t="str">
        <f>IF(SUM(IC8:IF8)-IG8&gt;0,SUM(IC8:IF8)-IG8,"")</f>
        <v/>
      </c>
      <c r="IN8" s="11" t="str">
        <f>IF(SUM(IK8,IM8)&gt;0,SUM(IK8,IM8),"")</f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>IF(IV8&gt;0,IV8,"")</f>
        <v/>
      </c>
      <c r="JE8" s="14" t="str">
        <f>IF(SUM(IO8:IR8)-IS8&gt;0,SUM(IO8:IR8)-IS8,"")</f>
        <v/>
      </c>
      <c r="JF8" s="14" t="str">
        <f>IF(SUM(IT8:IW8)-IX8&gt;0,SUM(IT8:IW8)-IX8,"")</f>
        <v/>
      </c>
      <c r="JG8" s="14" t="str">
        <f>IF(SUM(JE8:JF8)&gt;0,SUM(JE8:JF8),"")</f>
        <v/>
      </c>
      <c r="JH8" s="14" t="str">
        <f>IF(JA8&gt;0,JA8,"")</f>
        <v/>
      </c>
      <c r="JI8" s="14" t="str">
        <f>IF(SUM(IY8:JB8)-JC8&gt;0,SUM(IY8:JB8)-JC8,"")</f>
        <v/>
      </c>
      <c r="JJ8" s="14" t="str">
        <f>IF(SUM(JG8,JI8)&gt;0,SUM(JG8,JI8),"")</f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>IF(JR8&gt;0,JR8,"")</f>
        <v/>
      </c>
      <c r="KA8" s="11" t="str">
        <f>IF(SUM(JK8:JN8)-JO8&gt;0,SUM(JK8:JN8)-JO8,"")</f>
        <v/>
      </c>
      <c r="KB8" s="11" t="str">
        <f>IF(SUM(JP8:JS8)-JT8&gt;0,SUM(JP8:JS8)-JT8,"")</f>
        <v/>
      </c>
      <c r="KC8" s="11" t="str">
        <f>IF(SUM(KA8:KB8)&gt;0,SUM(KA8:KB8),"")</f>
        <v/>
      </c>
      <c r="KD8" s="11" t="str">
        <f>IF(JW8&gt;0,JW8,"")</f>
        <v/>
      </c>
      <c r="KE8" s="11" t="str">
        <f>IF(SUM(JU8:JX8)-JY8&gt;0,SUM(JU8:JX8)-JY8,"")</f>
        <v/>
      </c>
      <c r="KF8" s="11" t="str">
        <f>IF(SUM(KC8,KE8)&gt;0,SUM(KC8,KE8),"")</f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>IF(KN8&gt;0,KN8,"")</f>
        <v/>
      </c>
      <c r="KW8" s="14" t="str">
        <f>IF(SUM(KG8:KJ8)-KK8&gt;0,SUM(KG8:KJ8)-KK8,"")</f>
        <v/>
      </c>
      <c r="KX8" s="14" t="str">
        <f>IF(SUM(KL8:KO8)-KP8&gt;0,SUM(KL8:KO8)-KP8,"")</f>
        <v/>
      </c>
      <c r="KY8" s="14" t="str">
        <f>IF(SUM(KW8:KX8)&gt;0,SUM(KW8:KX8),"")</f>
        <v/>
      </c>
      <c r="KZ8" s="14" t="str">
        <f>IF(KS8&gt;0,KS8,"")</f>
        <v/>
      </c>
      <c r="LA8" s="14" t="str">
        <f>IF(SUM(KQ8:KT8)-KU8&gt;0,SUM(KQ8:KT8)-KU8,"")</f>
        <v/>
      </c>
      <c r="LB8" s="14" t="str">
        <f>IF(SUM(KY8,LA8)&gt;0,SUM(KY8,LA8),"")</f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>IF(LJ8&gt;0,LJ8,"")</f>
        <v/>
      </c>
      <c r="LS8" s="11" t="str">
        <f>IF(SUM(LC8:LF8)-LG8&gt;0,SUM(LC8:LF8)-LG8,"")</f>
        <v/>
      </c>
      <c r="LT8" s="11" t="str">
        <f>IF(SUM(LH8:LK8)-LL8&gt;0,SUM(LH8:LK8)-LL8,"")</f>
        <v/>
      </c>
      <c r="LU8" s="11" t="str">
        <f>IF(SUM(LS8:LT8)&gt;0,SUM(LS8:LT8),"")</f>
        <v/>
      </c>
      <c r="LV8" s="11" t="str">
        <f>IF(LO8&gt;0,LO8,"")</f>
        <v/>
      </c>
      <c r="LW8" s="11" t="str">
        <f>IF(SUM(LM8:LP8)-LQ8&gt;0,SUM(LM8:LP8)-LQ8,"")</f>
        <v/>
      </c>
      <c r="LX8" s="11" t="str">
        <f>IF(SUM(LU8,LW8)&gt;0,SUM(LU8,LW8),"")</f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>IF(MF8&gt;0,MF8,"")</f>
        <v/>
      </c>
      <c r="MO8" s="14" t="str">
        <f>IF(SUM(LY8:MB8)-MC8&gt;0,SUM(LY8:MB8)-MC8,"")</f>
        <v/>
      </c>
      <c r="MP8" s="14" t="str">
        <f>IF(SUM(MD8:MG8)-MH8&gt;0,SUM(MD8:MG8)-MH8,"")</f>
        <v/>
      </c>
      <c r="MQ8" s="14" t="str">
        <f>IF(SUM(MO8:MP8)&gt;0,SUM(MO8:MP8),"")</f>
        <v/>
      </c>
      <c r="MR8" s="14" t="str">
        <f>IF(MK8&gt;0,MK8,"")</f>
        <v/>
      </c>
      <c r="MS8" s="14" t="str">
        <f>IF(SUM(MI8:ML8)-MM8&gt;0,SUM(MI8:ML8)-MM8,"")</f>
        <v/>
      </c>
      <c r="MT8" s="14" t="str">
        <f>IF(SUM(MQ8,MS8)&gt;0,SUM(MQ8,MS8),"")</f>
        <v/>
      </c>
      <c r="MU8" s="69">
        <f>IF($CE8="P",BP8,(BP8+AS8)/2)</f>
        <v>0</v>
      </c>
      <c r="MV8" s="69">
        <f>IF($CE8="P",BQ8,(BQ8+AT8)/2)</f>
        <v>0</v>
      </c>
      <c r="MW8" s="69">
        <f>IF($CE8="P",BR8,(BR8+AU8)/2)</f>
        <v>0</v>
      </c>
      <c r="MX8" s="69">
        <f>IF($CE8="P",BS8,(BS8+AV8)/2)</f>
        <v>0</v>
      </c>
      <c r="MY8" s="69">
        <f>IF($CE8="P",BT8,(BT8+AW8)/2)</f>
        <v>0</v>
      </c>
      <c r="MZ8" s="69">
        <f>IF($CE8="P",BU8,(BU8+AX8)/2)</f>
        <v>0</v>
      </c>
      <c r="NA8" s="69">
        <f>IF($CE8="P",BV8,(BV8+AY8)/2)</f>
        <v>0</v>
      </c>
      <c r="NB8" s="69">
        <f>IF($CE8="P",BW8,(BW8+AZ8)/2)</f>
        <v>0</v>
      </c>
      <c r="NC8" s="69">
        <f>IF($CE8="P",BX8,(BX8+BA8)/2)</f>
        <v>0</v>
      </c>
      <c r="ND8" s="69">
        <f>IF($CE8="P",BY8,(BY8+BB8)/2)</f>
        <v>0</v>
      </c>
      <c r="NE8" s="69">
        <f>IF($CE8="P",BZ8,(BZ8+BC8)/2)</f>
        <v>0</v>
      </c>
      <c r="NF8" s="69">
        <f>IF($CE8="P",CA8,(CA8+BD8)/2)</f>
        <v>0</v>
      </c>
      <c r="NG8" s="69">
        <f>IF($CE8="P",CB8,(CB8+BE8)/2)</f>
        <v>0</v>
      </c>
      <c r="NH8" s="69">
        <f>IF($CE8="P",CC8,(CC8+BF8)/2)</f>
        <v>0</v>
      </c>
      <c r="NI8" s="69">
        <f>IF($CE8="P",CD8,(CD8+BG8)/2)</f>
        <v>0</v>
      </c>
      <c r="NJ8" s="80" t="s">
        <v>88</v>
      </c>
      <c r="NK8" s="11" t="str">
        <f>IF(NB8&gt;0,NB8,"")</f>
        <v/>
      </c>
      <c r="NL8" s="11" t="str">
        <f>IF(SUM(MU8:MX8)-MY8&gt;0,SUM(MU8:MX8)-MY8,"")</f>
        <v/>
      </c>
      <c r="NM8" s="11" t="str">
        <f>IF(SUM(MZ8:NC8)-ND8&gt;0,SUM(MZ8:NC8)-ND8,"")</f>
        <v/>
      </c>
      <c r="NN8" s="11" t="str">
        <f>IF(SUM(NL8:NM8)&gt;0,SUM(NL8:NM8),"")</f>
        <v/>
      </c>
      <c r="NO8" s="11" t="str">
        <f>IF(NG8&gt;0,NG8,"")</f>
        <v/>
      </c>
      <c r="NP8" s="11" t="str">
        <f>IF(SUM(NE8:NH8)-NI8&gt;0,SUM(NE8:NH8)-NI8,"")</f>
        <v/>
      </c>
      <c r="NQ8" s="11" t="str">
        <f>IF(SUM(NN8,NP8)&gt;0,SUM(NN8,NP8),"")</f>
        <v/>
      </c>
    </row>
    <row r="9" spans="1:381" x14ac:dyDescent="0.2">
      <c r="A9" s="5" t="str" cm="1">
        <f t="array" ref="A9">IF(AND(G9&lt;&gt;"",H9&lt;&gt;""),SUMPRODUCT((G$4:G$11&lt;&gt;"")*(H$4:H$11&lt;&gt;"")*(E$4:E$11&gt;E9))+1,IF(H9&lt;&gt;"",SUMPRODUCT((I$4:I$11="No DD")*(E$4:E$11&gt;E9))+1+SUMPRODUCT((G$4:G$11&lt;&gt;"")*(H$4:H$11&lt;&gt;"")),""))</f>
        <v/>
      </c>
      <c r="B9" s="6" t="s">
        <v>128</v>
      </c>
      <c r="C9" s="7" t="s">
        <v>10</v>
      </c>
      <c r="D9" s="5" t="s">
        <v>91</v>
      </c>
      <c r="E9" s="15">
        <f>SUM(K9:S9)</f>
        <v>79.649999999999991</v>
      </c>
      <c r="F9" s="3" t="str">
        <f>IF(G9&lt;&gt;"","P","")</f>
        <v/>
      </c>
      <c r="G9" s="125" t="str">
        <f>IF(OR(AND(AL9&gt;=AR$16,AL9&lt;&gt;"",AK9=""),AND(AP9&gt;=AR$16,AP9&lt;&gt;"",AK9=""),AND(BI9&gt;=BO$16,BI9&lt;&gt;"",BH9=""),AND(BM9&gt;=BO$16,BM9&lt;&gt;"",BH9=""),AND(CF9&gt;=CL$16,CF9&lt;&gt;"",CE9=""),AND(CJ9&gt;=CL$16,CJ9&lt;&gt;"",CE9=""),AND(DF9&gt;=DL$16,DF9&lt;&gt;""),AND(DJ9&gt;=DL$16,DJ9&lt;&gt;""),AND(EB9&gt;=EH$16,EB9&lt;&gt;""),AND(EF9&gt;=EH$16,EF9&lt;&gt;""),AND(EX9&gt;=FD$16,EX9&lt;&gt;""),AND(FB9&gt;=FD$16,FB9&lt;&gt;""),AND(FT9&gt;=FZ$16,FT9&lt;&gt;""),AND(FX9&gt;=FZ$16,FX9&lt;&gt;""),AND(GP9&gt;=GV$16,GP9&lt;&gt;""),AND(GT9&gt;=GV$16,GT9&lt;&gt;""),AND(HL9&gt;=HR$16,HL9&lt;&gt;""),AND(HP9&gt;=HR$16,HP9&lt;&gt;""),AND(IH9&gt;=IN$16,IH9&lt;&gt;""),AND(IL9&gt;=IN$16,IL9&lt;&gt;""),AND(JD9&gt;=JJ$16,JD9&lt;&gt;""),AND(JH9&gt;=JJ$16,JH9&lt;&gt;""),AND(JZ9&gt;=KF$16,JZ9&lt;&gt;""),AND(KD9&gt;=KF$16,KD9&lt;&gt;""),AND(KV9&gt;=LB$16,KV9&lt;&gt;""),AND(KZ9&gt;=LB$16,KZ9&lt;&gt;""),AND(LR9&gt;=LX$16,LR9&lt;&gt;""),AND(LV9&gt;=LX$16,LV9&lt;&gt;""),AND(MN9&gt;=MT$16,MN9&lt;&gt;""),AND(MR9&gt;=MT$16,MR9&lt;&gt;"")),"Merit",IF(OR(AND(AL9&gt;=AR$15,AL9&lt;&gt;"",AK9=""),AND(AP9&gt;=AR$15,AP9&lt;&gt;"",AK9=""),AND(BI9&gt;=BO$15,BI9&lt;&gt;"",BH9=""),AND(BM9&gt;=BO$15,BM9&lt;&gt;"",BH9=""),AND(CF9&gt;=CL$15,CF9&lt;&gt;"",CE9=""),AND(CJ9&gt;=CL$15,CJ9&lt;&gt;"",CE9=""),AND(DF9&gt;=DL$15,DF9&lt;&gt;""),AND(DJ9&gt;=DL$15,DJ9&lt;&gt;""),AND(EB9&gt;=EH$15,EB9&lt;&gt;""),AND(EF9&gt;=EH$15,EF9&lt;&gt;""),AND(EX9&gt;=FD$15,EX9&lt;&gt;""),AND(FB9&gt;=FD$15,FB9&lt;&gt;""),AND(FT9&gt;=FZ$15,FT9&lt;&gt;""),AND(FX9&gt;=FZ$15,FX9&lt;&gt;""),AND(GP9&gt;=GV$15,GP9&lt;&gt;""),AND(GT9&gt;=GV$15,GT9&lt;&gt;""),AND(HL9&gt;=HR$15,HL9&lt;&gt;""),AND(HP9&gt;=HR$15,HP9&lt;&gt;""),AND(IH9&gt;=IN$15,IH9&lt;&gt;""),AND(IL9&gt;=IN$15,IL9&lt;&gt;""),AND(JD9&gt;=JJ$15,JD9&lt;&gt;""),AND(JH9&gt;=JJ$15,JH9&lt;&gt;""),AND(JZ9&gt;=KF$15,JZ9&lt;&gt;""),AND(KD9&gt;=KF$15,KD9&lt;&gt;""),AND(KV9&gt;=LB$15,KV9&lt;&gt;""),AND(KZ9&gt;=LB$15,KZ9&lt;&gt;""),AND(LR9&gt;=LX$15,LR9&lt;&gt;""),AND(LV9&gt;=LX$15,LV9&lt;&gt;""),AND(MN9&gt;=MT$15,MN9&lt;&gt;""),AND(MR9&gt;=MT$15,MR9&lt;&gt;"")),"Excellence",IF(OR(AND(AL9&gt;=AR$14,AL9&lt;&gt;"",AK9=""),AND(AP9&gt;=AR$14,AP9&lt;&gt;"",AK9=""),AND(BI9&gt;=BO$14,BI9&lt;&gt;"",BH9=""),AND(BM9&gt;=BO$14,BM9&lt;&gt;"",BH9=""),AND(CF9&gt;=CL$14,CF9&lt;&gt;"",CE9=""),AND(CJ9&gt;=CL$14,CJ9&lt;&gt;"",CE9=""),AND(DF9&gt;=DL$14,DF9&lt;&gt;""),AND(DJ9&gt;=DL$14,DJ9&lt;&gt;""),AND(EB9&gt;=EH$14,EB9&lt;&gt;""),AND(EF9&gt;=EH$14,EF9&lt;&gt;""),AND(EX9&gt;=FD$14,EX9&lt;&gt;""),AND(FB9&gt;=FD$14,FB9&lt;&gt;""),AND(FT9&gt;=FZ$14,FT9&lt;&gt;""),AND(FX9&gt;=FZ$14,FX9&lt;&gt;""),AND(GP9&gt;=GV$14,GP9&lt;&gt;""),AND(GT9&gt;=GV$14,GT9&lt;&gt;""),AND(HL9&gt;=HR$14,HL9&lt;&gt;""),AND(HP9&gt;=HR$14,HP9&lt;&gt;""),AND(IH9&gt;=IN$14,IH9&lt;&gt;""),AND(IL9&gt;=IN$14,IL9&lt;&gt;""),AND(JD9&gt;=JJ$14,JD9&lt;&gt;""),AND(JH9&gt;=JJ$14,JH9&lt;&gt;""),AND(JZ9&gt;=KF$14,JZ9&lt;&gt;""),AND(KD9&gt;=KF$14,KD9&lt;&gt;""),AND(KV9&gt;=LB$14,KV9&lt;&gt;""),AND(KZ9&gt;=LB$14,KZ9&lt;&gt;""),AND(LR9&gt;=LX$14,LR9&lt;&gt;""),AND(LV9&gt;=LX$14,LV9&lt;&gt;""),AND(MN9&gt;=MT$14,MN9&lt;&gt;""),AND(MR9&gt;=MT$14,MR9&lt;&gt;"")),"Worlds Team",IF(OR(AND(AL9&gt;=AR$13,AL9&lt;&gt;"",AK9=""),AND(AP9&gt;=AR$13,AP9&lt;&gt;"",AK9=""),AND(BI9&gt;=BO$13,BI9&lt;&gt;"",BH9=""),AND(BM9&gt;=BO$13,BM9&lt;&gt;"",BH9=""),AND(CF9&gt;=CL$13,CF9&lt;&gt;"",CE9=""),AND(CJ9&gt;=CL$13,CJ9&lt;&gt;"",CE9=""),AND(DF9&gt;=DL$13,DF9&lt;&gt;""),AND(DJ9&gt;=DL$13,DJ9&lt;&gt;""),AND(EB9&gt;=EH$13,EB9&lt;&gt;""),AND(EF9&gt;=EH$13,EF9&lt;&gt;""),AND(EX9&gt;=FD$13,EX9&lt;&gt;""),AND(FB9&gt;=FD$13,FB9&lt;&gt;""),AND(FT9&gt;=FZ$13,FT9&lt;&gt;""),AND(FX9&gt;=FZ$13,FX9&lt;&gt;""),AND(GP9&gt;=GV$13,GP9&lt;&gt;""),AND(GT9&gt;=GV$13,GT9&lt;&gt;""),AND(HL9&gt;=HR$13,HL9&lt;&gt;""),AND(HP9&gt;=HR$13,HP9&lt;&gt;""),AND(IH9&gt;=IN$13,IH9&lt;&gt;""),AND(IL9&gt;=IN$13,IL9&lt;&gt;""),AND(JD9&gt;=JJ$13,JD9&lt;&gt;""),AND(JH9&gt;=JJ$13,JH9&lt;&gt;""),AND(JZ9&gt;=KF$13,JZ9&lt;&gt;""),AND(KD9&gt;=KF$13,KD9&lt;&gt;""),AND(KV9&gt;=LB$13,KV9&lt;&gt;""),AND(KZ9&gt;=LB$13,KZ9&lt;&gt;""),AND(LR9&gt;=LX$13,LR9&lt;&gt;""),AND(LV9&gt;=LX$13,LV9&lt;&gt;""),AND(MN9&gt;=MT$13,MN9&lt;&gt;""),AND(MR9&gt;=MT$13,MR9&lt;&gt;"")),"National Team",""))))</f>
        <v/>
      </c>
      <c r="H9" s="125" t="str">
        <f>IF(OR(AND(AN9&gt;=AR$20,AN9&lt;&gt;"",AK9=""),AND(AQ9&gt;=AR$20,AQ9&lt;&gt;"",AK9=""),AND(BK9&gt;=BO$20,BK9&lt;&gt;"",BH9=""),AND(BN9&gt;=BO$20,BN9&lt;&gt;"",BH9=""),AND(CH9&gt;=CL$20,CH9&lt;&gt;"",CE9=""),AND(CK9&gt;=CL$20,CE9&lt;&gt;"",CE9=""),AND(DH9&gt;=DL$20,DH9&lt;&gt;""),AND(DK9&gt;=DL$20,DK9&lt;&gt;""),AND(ED9&gt;=EH$20,ED9&lt;&gt;""),AND(EG9&gt;=EH$20,EG9&lt;&gt;""),AND(EZ9&gt;=FD$20,EZ9&lt;&gt;""),AND(FC9&gt;=FD$20,FC9&lt;&gt;""),AND(FV9&gt;=FZ$20,FV9&lt;&gt;""),AND(FY9&gt;=FZ$20,FY9&lt;&gt;""),AND(GR9&gt;=GV$20,GR9&lt;&gt;""),AND(GU9&gt;=GV$20,GU9&lt;&gt;""),AND(HN9&gt;=HR$20,HN9&lt;&gt;""),AND(HQ9&gt;=HR$20,HQ9&lt;&gt;""),AND(IJ9&gt;=IN$20,IJ9&lt;&gt;""),AND(IM9&gt;=IN$20,IM9&lt;&gt;""),AND(JF9&gt;=JJ$20,JF9&lt;&gt;""),AND(JI9&gt;=JJ$20,JI9&lt;&gt;""),AND(KB9&gt;=KF$20,KB9&lt;&gt;""),AND(KE9&gt;=KF$20,KE9&lt;&gt;""),AND(KX9&gt;=LB$20,KX9&lt;&gt;""),AND(LA9&gt;=LB$20,LA9&lt;&gt;""),AND(LT9&gt;=LX$20,LT9&lt;&gt;""),AND(LW9&gt;=LX$20,LW9&lt;&gt;""),AND(MP9&gt;=MT$20,MP9&lt;&gt;""),AND(MS9&gt;=MT$20,MS9&lt;&gt;"")),"Merit",IF(OR(AND(AN9&gt;=AR$19,AN9&lt;&gt;"",AK9=""),AND(AQ9&gt;=AR$19,AQ9&lt;&gt;"",AK9=""),AND(BK9&gt;=BO$19,BK9&lt;&gt;"",BH9=""),AND(BN9&gt;=BO$19,BN9&lt;&gt;"",BH9=""),AND(CH9&gt;=CL$19,CH9&lt;&gt;"",CE9=""),AND(CK9&gt;=CL$19,CE9&lt;&gt;"",CE9=""),AND(DH9&gt;=DL$19,DH9&lt;&gt;""),AND(DK9&gt;=DL$19,DK9&lt;&gt;""),AND(ED9&gt;=EH$19,ED9&lt;&gt;""),AND(EG9&gt;=EH$19,EG9&lt;&gt;""),AND(EZ9&gt;=FD$19,EZ9&lt;&gt;""),AND(FC9&gt;=FD$19,FC9&lt;&gt;""),AND(FV9&gt;=FZ$19,FV9&lt;&gt;""),AND(FY9&gt;=FZ$19,FY9&lt;&gt;""),AND(GR9&gt;=GV$19,GR9&lt;&gt;""),AND(GU9&gt;=GV$19,GU9&lt;&gt;""),AND(HN9&gt;=HR$19,HN9&lt;&gt;""),AND(HQ9&gt;=HR$19,HQ9&lt;&gt;""),AND(IJ9&gt;=IN$19,IJ9&lt;&gt;""),AND(IM9&gt;=IN$19,IM9&lt;&gt;""),AND(JF9&gt;=JJ$19,JF9&lt;&gt;""),AND(JI9&gt;=JJ$19,JI9&lt;&gt;""),AND(KB9&gt;=KF$19,KB9&lt;&gt;""),AND(KE9&gt;=KF$19,KE9&lt;&gt;""),AND(KX9&gt;=LB$19,KX9&lt;&gt;""),AND(LA9&gt;=LB$19,LA9&lt;&gt;""),AND(LT9&gt;=LX$19,LT9&lt;&gt;""),AND(LW9&gt;=LX$19,LW9&lt;&gt;""),AND(MP9&gt;=MT$19,MP9&lt;&gt;""),AND(MS9&gt;=MT$19,MS9&lt;&gt;"")),"Excellence",IF(OR(AND(AO9&gt;=AR$18,AO9&lt;&gt;"",AK9=""),AND(BL9&gt;=BO$18,BL9&lt;&gt;"",BH9=""),AND(CI9&gt;=CL$18,CI9&lt;&gt;"",CE9=""),AND(DI9&gt;=DL$18,DI9&lt;&gt;""),AND(EE9&gt;=EH$18,EE9&lt;&gt;""),AND(FA9&gt;=FD$18,FA9&lt;&gt;""),AND(FW9&gt;=FZ$18,FW9&lt;&gt;""),AND(GS9&gt;=GV$18,GS9&lt;&gt;""),AND(HO9&gt;=HR$18,HO9&lt;&gt;""),AND(IK9&gt;=IN$18,IK9&lt;&gt;""),AND(JG9&gt;=JJ$18,JG9&lt;&gt;""),AND(KC9&gt;=KF$18,KC9&lt;&gt;""),AND(KY9&gt;=LB$18,KY9&lt;&gt;""),AND(LU9&gt;=LX$18,LU9&lt;&gt;""),AND(MQ9&gt;=MT$18,MQ9&lt;&gt;"")),"Worlds Team",IF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"National Team",""))))</f>
        <v/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/>
      </c>
      <c r="J9" s="3" t="str">
        <f>IF(AND(OR(AND(AO9&gt;=AR$18,AO9&lt;&gt;"",AK9=""),AND(BL9&gt;=BO$18,BL9&lt;&gt;"",BH9=""),AND(CI9&gt;=CL$18,CI9&lt;&gt;"",CE9=""),AND(DI9&gt;=DL$18,DI9&lt;&gt;""),AND(EE9&gt;=EH$18,EE9&lt;&gt;""),AND(FA9&gt;=FD$18,FA9&lt;&gt;""),AND(FW9&gt;=FZ$18,FW9&lt;&gt;""),AND(GS9&gt;=GV$18,GS9&lt;&gt;""),AND(HO9&gt;=HR$18,HO9&lt;&gt;""),AND(IK9&gt;=IN$18,IK9&lt;&gt;""),AND(JG9&gt;=JJ$18,JG9&lt;&gt;""),AND(KC9&gt;=KF$18,KC9&lt;&gt;""),AND(KY9&gt;=LB$18,KY9&lt;&gt;""),AND(LU9&gt;=LX$18,LU9&lt;&gt;""),AND(MQ9&gt;=MT$18,MQ9&lt;&gt;"")),OR(G9="Worlds Team",G9="Excellence",G9="Merit")),"P","")</f>
        <v/>
      </c>
      <c r="K9" s="14">
        <f>MAX(AO9,BL9,CI9)</f>
        <v>74.509999999999991</v>
      </c>
      <c r="L9" s="14" t="str">
        <f>IF(K9=0,"",IF(K9=CI9,$BP$1,IF(K9=BL9,$AS$1,IF(K9=AO9,$V$1,""))))</f>
        <v>2019 Nationals</v>
      </c>
      <c r="M9" s="14">
        <f>IF($K9=$AO9,MAX(BJ9,CG9),IF($K9=$BL9,MAX(AM9,CG9),IF($K9=$CI9,MAX(AM9,BJ9),MAX(AM9,BJ9,CG9))))</f>
        <v>0</v>
      </c>
      <c r="N9" s="14" t="str">
        <f>IF(M9=0,"",IF(AND(M9=CG9,$L9&lt;&gt;$BP$1),$BP$1,IF(AND(M9=BJ9,$L9&lt;&gt;$AS$1),$AS$1,IF(AND(M9=AM9,$L9&lt;&gt;$V$1),$V$1,""))))</f>
        <v/>
      </c>
      <c r="O9" s="14">
        <f>IF($K9=$AO9,MAX(CH9,BK9),IF($K9=$BL9,MAX(AN9,CH9),IF($K9=$CI9,MAX(AN9,BK9),MAX(AN9,BK9,CH9))))</f>
        <v>0</v>
      </c>
      <c r="P9" s="14" t="str">
        <f>IF(O9=0,"",IF(AND(O9=CH9,$L9&lt;&gt;$BP$1),$BP$1,IF(AND(O9=BK9,$L9&lt;&gt;$AS$1),$AS$1,IF(AND(O9=AN9,$L9&lt;&gt;$V$1),$V$1,""))))</f>
        <v/>
      </c>
      <c r="Q9" s="14">
        <f>MAX(AQ9,BN9,CK9)</f>
        <v>5.1400000000000006</v>
      </c>
      <c r="R9" s="14" t="str">
        <f>IF(Q9=0,"",IF(Q9=CK9,$BP$1,IF(Q9=BN9,$AS$1,IF(Q9=AQ9,$V$1,""))))</f>
        <v>2019 Nationals</v>
      </c>
      <c r="S9" s="14" t="str">
        <f>IF(MAX(CM9,CN9,CO9,CP9)&gt;0,MAX(CM9,CN9,CO9,CP9),"")</f>
        <v/>
      </c>
      <c r="T9" s="25" t="str">
        <f>IF(S9="","",IF(S9=CM9,"(Vol 1)",IF(S9=CN9,"(Vol 2)",IF(S9=CO9,"(Prelim)",IF(S9=CP9,"(Final)")))))</f>
        <v/>
      </c>
      <c r="U9" s="14" t="str">
        <f>IF(S9="","",IF(S9=CM9,IF(S9+IF(M9="",0,M9)=MO9,$LY$1,IF(S9+IF(M9="",0,M9)=LS9,$LC$1,IF(S9+IF(M9="",0,M9)=KW9,$KG$1,IF(S9+IF(M9="",0,M9)=KA9,$JK$1,IF(S9+IF(M9="",0,M9)=JE9,$IO$1,IF(S9+IF(M9="",0,M9)=II9,$HS$1,IF(S9+IF(M9="",0,M9)=HM9,$GW$1,IF(S9+IF(M9="",0,M9)=GQ9,$GA$1,IF(S9+IF(M9="",0,M9)=FU9,$FE$1,IF(S9+IF(M9="",0,M9)=EY9,$EI$1,IF(S9+IF(M9="",0,M9)=EC9,$DM$1,IF(S9+IF(M9="",0,M9)=DG9,$CQ$1)))))))))))),IF(S9=CN9,IF(S9+IF(O9="",0,O9)=MP9,$LY$1,IF(S9+IF(O9="",0,O9)=LT9,$LC$1,IF(S9+IF(O9="",0,O9)=KX9,$KG$1,IF(S9+IF(O9="",0,O9)=KB9,$JK$1,IF(S9+IF(O9="",0,O9)=JF9,$IO$1,IF(S9+IF(O9="",0,O9)=IJ9,$HS$1,IF(S9+IF(O9="",0,O9)=HN9,$GW$1,IF(S9+IF(O9="",0,O9)=GR9,$GA$1,IF(S9+IF(O9="",0,O9)=FV9,$FE$1,IF(S9+IF(O9="",0,O9)=EZ9,$EI$1,IF(S9+IF(O9="",0,O9)=ED9,$DM$1,IF(S9+IF(O9="",0,O9)=DH9,$CQ$1)))))))))))),IF(S9=CO9,IF(S9+IF(K9="",0,K9)=MQ9,$LY$1,IF(S9+IF(K9="",0,K9)=LU9,$LC$1,IF(S9+IF(K9="",0,K9)=KY9,$KG$1,IF(S9+IF(K9="",0,K9)=KC9,$JK$1,IF(S9+IF(K9="",0,K9)=JG9,$IO$1,IF(S9+IF(K9="",0,K9)=IK9,$HS$1,IF(S9+IF(K9="",0,K9)=HO9,$GW$1,IF(S9+IF(K9="",0,K9)=GS9,$GA$1,IF(S9+IF(K9="",0,K9)=FW9,$FE$1,IF(S9+IF(K9="",0,K9)=FA9,$EI$1,IF(S9+IF(K9="",0,K9)=EE9,$DM$1,IF(S9+IF(K9="",0,K9)=DI9,$CQ$1)))))))))))),IF(S9=CP9,IF(S9+IF(Q9="",0,Q9)=MS9,$LY$1,IF(S9+IF(Q9="",0,Q9)=LW9,$LC$1,IF(S9+IF(Q9="",0,Q9)=LA9,$KG$1,IF(S9+IF(Q9="",0,Q9)=KE9,$JK$1,IF(S9+IF(Q9="",0,Q9)=JI9,$IO$1,IF(S9+IF(Q9="",0,Q9)=IM9,$HS$1,IF(S9+IF(Q9="",0,Q9)=HQ9,$GW$1,IF(S9+IF(Q9="",0,Q9)=GU9,$GA$1,IF(S9+IF(Q9="",0,Q9)=FY9,$FE$1,IF(S9+IF(Q9="",0,Q9)=FC9,$EI$1,IF(S9+IF(Q9="",0,Q9)=EG9,$DM$1,IF(S9+IF(Q9="",0,Q9)=DK9,$CQ$1)))))))))))))))))</f>
        <v/>
      </c>
      <c r="V9" s="39">
        <v>6.55</v>
      </c>
      <c r="W9" s="39">
        <v>6.4</v>
      </c>
      <c r="X9" s="39">
        <v>1.3</v>
      </c>
      <c r="Y9" s="39">
        <v>11.72</v>
      </c>
      <c r="Z9" s="39">
        <v>0</v>
      </c>
      <c r="AA9" s="39">
        <v>8.15</v>
      </c>
      <c r="AB9" s="39">
        <v>8.9499999999999993</v>
      </c>
      <c r="AC9" s="39">
        <v>13.4</v>
      </c>
      <c r="AD9" s="39">
        <v>18.04</v>
      </c>
      <c r="AE9" s="39">
        <v>0</v>
      </c>
      <c r="AF9" s="39">
        <v>0.85</v>
      </c>
      <c r="AG9" s="39">
        <v>0.95</v>
      </c>
      <c r="AH9" s="39">
        <v>2</v>
      </c>
      <c r="AI9" s="39">
        <v>1.94</v>
      </c>
      <c r="AJ9" s="39">
        <v>0.6</v>
      </c>
      <c r="AK9" s="80"/>
      <c r="AL9" s="11">
        <f>IF(AC9&gt;0,AC9,"")</f>
        <v>13.4</v>
      </c>
      <c r="AM9" s="11">
        <f>IF(SUM(V9:Y9)-Z9&gt;0,SUM(V9:Y9)-Z9,"")</f>
        <v>25.97</v>
      </c>
      <c r="AN9" s="11">
        <f>IF(SUM(AA9:AD9)-AE9&gt;0,SUM(AA9:AD9)-AE9,"")</f>
        <v>48.54</v>
      </c>
      <c r="AO9" s="11">
        <f>IF(SUM(AM9:AN9)&gt;0,SUM(AM9:AN9),"")</f>
        <v>74.509999999999991</v>
      </c>
      <c r="AP9" s="11">
        <f>IF(AH9&gt;0,AH9,"")</f>
        <v>2</v>
      </c>
      <c r="AQ9" s="11">
        <f>IF(SUM(AF9:AI9)-AJ9&gt;0,SUM(AF9:AI9)-AJ9,"")</f>
        <v>5.1400000000000006</v>
      </c>
      <c r="AR9" s="11">
        <f>IF(SUM(AO9,AQ9)&gt;0,SUM(AO9,AQ9),"")</f>
        <v>79.649999999999991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>IF(AZ9&gt;0,AZ9,"")</f>
        <v/>
      </c>
      <c r="BJ9" s="14" t="str">
        <f>IF(SUM(AS9:AV9)-AW9&gt;0,SUM(AS9:AV9)-AW9,"")</f>
        <v/>
      </c>
      <c r="BK9" s="14" t="str">
        <f>IF(SUM(AX9:BA9)-BB9&gt;0,SUM(AX9:BA9)-BB9,"")</f>
        <v/>
      </c>
      <c r="BL9" s="14" t="str">
        <f>IF(SUM(BJ9:BK9)&gt;0,SUM(BJ9:BK9),"")</f>
        <v/>
      </c>
      <c r="BM9" s="14" t="str">
        <f>IF(BE9&gt;0,BE9,"")</f>
        <v/>
      </c>
      <c r="BN9" s="14" t="str">
        <f>IF(SUM(BC9:BF9)-BG9&gt;0,SUM(BC9:BF9)-BG9,"")</f>
        <v/>
      </c>
      <c r="BO9" s="14" t="str">
        <f>IF(SUM(BL9,BN9)&gt;0,SUM(BL9,BN9),"")</f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>IF(BW9&gt;0,BW9,"")</f>
        <v/>
      </c>
      <c r="CG9" s="11" t="str">
        <f>IF(SUM(BP9:BS9)-BT9&gt;0,SUM(BP9:BS9)-BT9,"")</f>
        <v/>
      </c>
      <c r="CH9" s="11" t="str">
        <f>IF(SUM(BU9:BX9)-BY9&gt;0,SUM(BU9:BX9)-BY9,"")</f>
        <v/>
      </c>
      <c r="CI9" s="11" t="str">
        <f>IF(SUM(CG9:CH9)&gt;0,SUM(CG9:CH9),"")</f>
        <v/>
      </c>
      <c r="CJ9" s="11" t="str">
        <f>IF(CB9&gt;0,CB9,"")</f>
        <v/>
      </c>
      <c r="CK9" s="11" t="str">
        <f>IF(SUM(BZ9:CC9)-CD9&gt;0,SUM(BZ9:CC9)-CD9,"")</f>
        <v/>
      </c>
      <c r="CL9" s="11" t="str">
        <f>IF(SUM(CI9,CK9)&gt;0,SUM(CI9,CK9),"")</f>
        <v/>
      </c>
      <c r="CM9" s="24" t="str">
        <f>IF(MAX(DG9,EC9,EY9,FU9,GQ9,HM9,II9,JE9,KA9,KW9,LS9,MO9)-IF(M9="",0,M9)&gt;0.001,MAX(DG9,EC9,EY9,FU9,GQ9,HM9,II9,JE9,KA9,KW9,LS9,MO9)-IF(M9="",0,M9),"")</f>
        <v/>
      </c>
      <c r="CN9" s="24" t="str">
        <f>IF(MAX(DH9,ED9,EZ9,FV9,GR9,HN9,IJ9,JF9,KB9,KX9,LT9,MP9)-IF(O9="",0,O9)&gt;0.001,MAX(DH9,ED9,EZ9,FV9,GR9,HN9,IJ9,JF9,KB9,KX9,LT9,MP9)-IF(O9="",0,O9),"")</f>
        <v/>
      </c>
      <c r="CO9" s="24" t="str">
        <f>IF(MAX(DI9,EE9,FA9,FW9,GS9,HO9,IK9,JG9,KC9,KY9,LU9,MQ9)-IF(K9="",0,K9)&gt;0.001,MAX(DI9,EE9,FA9,FW9,GS9,HO9,IK9,JG9,KC9,KY9,LU9,MQ9)-IF(K9="",0,K9),"")</f>
        <v/>
      </c>
      <c r="CP9" s="24" t="str">
        <f>IF(MAX(DK9,EG9,FC9,FY9,GU9,HQ9,IM9,JI9,KE9,LA9,LW9,MS9)-IF(Q9="",0,Q9)&gt;0.001,MAX(DK9,EG9,FC9,FY9,GU9,HQ9,IM9,JI9,KE9,LA9,LW9,MS9)-IF(Q9="",0,Q9),"")</f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>IF(CX9&gt;0,CX9,"")</f>
        <v/>
      </c>
      <c r="DG9" s="11" t="str">
        <f>IF(SUM(CQ9:CT9)-CU9&gt;0,SUM(CQ9:CT9)-CU9,"")</f>
        <v/>
      </c>
      <c r="DH9" s="11" t="str">
        <f>IF(SUM(CV9:CY9)-CZ9&gt;0,SUM(CV9:CY9)-CZ9,"")</f>
        <v/>
      </c>
      <c r="DI9" s="11" t="str">
        <f>IF(SUM(DG9:DH9)&gt;0,SUM(DG9:DH9),"")</f>
        <v/>
      </c>
      <c r="DJ9" s="11" t="str">
        <f>IF(DC9&gt;0,DC9,"")</f>
        <v/>
      </c>
      <c r="DK9" s="11" t="str">
        <f>IF(SUM(DA9:DD9)-DE9&gt;0,SUM(DA9:DD9)-DE9,"")</f>
        <v/>
      </c>
      <c r="DL9" s="11" t="str">
        <f>IF(SUM(DI9,DK9)&gt;0,SUM(DI9,DK9),"")</f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>IF(DT9&gt;0,DT9,"")</f>
        <v/>
      </c>
      <c r="EC9" s="14" t="str">
        <f>IF(SUM(DM9:DP9)-DQ9&gt;0,SUM(DM9:DP9)-DQ9,"")</f>
        <v/>
      </c>
      <c r="ED9" s="14" t="str">
        <f>IF(SUM(DR9:DU9)-DV9&gt;0,SUM(DR9:DU9)-DV9,"")</f>
        <v/>
      </c>
      <c r="EE9" s="14" t="str">
        <f>IF(SUM(EC9:ED9)&gt;0,SUM(EC9:ED9),"")</f>
        <v/>
      </c>
      <c r="EF9" s="14" t="str">
        <f>IF(DY9&gt;0,DY9,"")</f>
        <v/>
      </c>
      <c r="EG9" s="14" t="str">
        <f>IF(SUM(DW9:DZ9)-EA9&gt;0,SUM(DW9:DZ9)-EA9,"")</f>
        <v/>
      </c>
      <c r="EH9" s="14" t="str">
        <f>IF(SUM(EE9,EG9)&gt;0,SUM(EE9,EG9),"")</f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>IF(EP9&gt;0,EP9,"")</f>
        <v/>
      </c>
      <c r="EY9" s="11" t="str">
        <f>IF(SUM(EI9:EL9)-EM9&gt;0,SUM(EI9:EL9)-EM9,"")</f>
        <v/>
      </c>
      <c r="EZ9" s="11" t="str">
        <f>IF(SUM(EN9:EQ9)-ER9&gt;0,SUM(EN9:EQ9)-ER9,"")</f>
        <v/>
      </c>
      <c r="FA9" s="11" t="str">
        <f>IF(SUM(EY9:EZ9)&gt;0,SUM(EY9:EZ9),"")</f>
        <v/>
      </c>
      <c r="FB9" s="11" t="str">
        <f>IF(EU9&gt;0,EU9,"")</f>
        <v/>
      </c>
      <c r="FC9" s="11" t="str">
        <f>IF(SUM(ES9:EV9)-EW9&gt;0,SUM(ES9:EV9)-EW9,"")</f>
        <v/>
      </c>
      <c r="FD9" s="11" t="str">
        <f>IF(SUM(FA9,FC9)&gt;0,SUM(FA9,FC9),"")</f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>IF(FL9&gt;0,FL9,"")</f>
        <v/>
      </c>
      <c r="FU9" s="14" t="str">
        <f>IF(SUM(FE9:FH9)-FI9&gt;0,SUM(FE9:FH9)-FI9,"")</f>
        <v/>
      </c>
      <c r="FV9" s="14" t="str">
        <f>IF(SUM(FJ9:FM9)-FN9&gt;0,SUM(FJ9:FM9)-FN9,"")</f>
        <v/>
      </c>
      <c r="FW9" s="14" t="str">
        <f>IF(SUM(FU9:FV9)&gt;0,SUM(FU9:FV9),"")</f>
        <v/>
      </c>
      <c r="FX9" s="14" t="str">
        <f>IF(FQ9&gt;0,FQ9,"")</f>
        <v/>
      </c>
      <c r="FY9" s="14" t="str">
        <f>IF(SUM(FO9:FR9)-FS9&gt;0,SUM(FO9:FR9)-FS9,"")</f>
        <v/>
      </c>
      <c r="FZ9" s="14" t="str">
        <f>IF(SUM(FW9,FY9)&gt;0,SUM(FW9,FY9),"")</f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>IF(GH9&gt;0,GH9,"")</f>
        <v/>
      </c>
      <c r="GQ9" s="11" t="str">
        <f>IF(SUM(GA9:GD9)-GE9&gt;0,SUM(GA9:GD9)-GE9,"")</f>
        <v/>
      </c>
      <c r="GR9" s="11" t="str">
        <f>IF(SUM(GF9:GI9)-GJ9&gt;0,SUM(GF9:GI9)-GJ9,"")</f>
        <v/>
      </c>
      <c r="GS9" s="11" t="str">
        <f>IF(SUM(GQ9:GR9)&gt;0,SUM(GQ9:GR9),"")</f>
        <v/>
      </c>
      <c r="GT9" s="11" t="str">
        <f>IF(GM9&gt;0,GM9,"")</f>
        <v/>
      </c>
      <c r="GU9" s="11" t="str">
        <f>IF(SUM(GK9:GN9)-GO9&gt;0,SUM(GK9:GN9)-GO9,"")</f>
        <v/>
      </c>
      <c r="GV9" s="11" t="str">
        <f>IF(SUM(GS9,GU9)&gt;0,SUM(GS9,GU9),"")</f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>IF(HD9&gt;0,HD9,"")</f>
        <v/>
      </c>
      <c r="HM9" s="14" t="str">
        <f>IF(SUM(GW9:GZ9)-HA9&gt;0,SUM(GW9:GZ9)-HA9,"")</f>
        <v/>
      </c>
      <c r="HN9" s="14" t="str">
        <f>IF(SUM(HB9:HE9)-HF9&gt;0,SUM(HB9:HE9)-HF9,"")</f>
        <v/>
      </c>
      <c r="HO9" s="14" t="str">
        <f>IF(SUM(HM9:HN9)&gt;0,SUM(HM9:HN9),"")</f>
        <v/>
      </c>
      <c r="HP9" s="14" t="str">
        <f>IF(HI9&gt;0,HI9,"")</f>
        <v/>
      </c>
      <c r="HQ9" s="14" t="str">
        <f>IF(SUM(HG9:HJ9)-HK9&gt;0,SUM(HG9:HJ9)-HK9,"")</f>
        <v/>
      </c>
      <c r="HR9" s="14" t="str">
        <f>IF(SUM(HO9,HQ9)&gt;0,SUM(HO9,HQ9),"")</f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>IF(HZ9&gt;0,HZ9,"")</f>
        <v/>
      </c>
      <c r="II9" s="11" t="str">
        <f>IF(SUM(HS9:HV9)-HW9&gt;0,SUM(HS9:HV9)-HW9,"")</f>
        <v/>
      </c>
      <c r="IJ9" s="11" t="str">
        <f>IF(SUM(HX9:IA9)-IB9&gt;0,SUM(HX9:IA9)-IB9,"")</f>
        <v/>
      </c>
      <c r="IK9" s="11" t="str">
        <f>IF(SUM(II9:IJ9)&gt;0,SUM(II9:IJ9),"")</f>
        <v/>
      </c>
      <c r="IL9" s="11" t="str">
        <f>IF(IE9&gt;0,IE9,"")</f>
        <v/>
      </c>
      <c r="IM9" s="11" t="str">
        <f>IF(SUM(IC9:IF9)-IG9&gt;0,SUM(IC9:IF9)-IG9,"")</f>
        <v/>
      </c>
      <c r="IN9" s="11" t="str">
        <f>IF(SUM(IK9,IM9)&gt;0,SUM(IK9,IM9),"")</f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>IF(IV9&gt;0,IV9,"")</f>
        <v/>
      </c>
      <c r="JE9" s="14" t="str">
        <f>IF(SUM(IO9:IR9)-IS9&gt;0,SUM(IO9:IR9)-IS9,"")</f>
        <v/>
      </c>
      <c r="JF9" s="14" t="str">
        <f>IF(SUM(IT9:IW9)-IX9&gt;0,SUM(IT9:IW9)-IX9,"")</f>
        <v/>
      </c>
      <c r="JG9" s="14" t="str">
        <f>IF(SUM(JE9:JF9)&gt;0,SUM(JE9:JF9),"")</f>
        <v/>
      </c>
      <c r="JH9" s="14" t="str">
        <f>IF(JA9&gt;0,JA9,"")</f>
        <v/>
      </c>
      <c r="JI9" s="14" t="str">
        <f>IF(SUM(IY9:JB9)-JC9&gt;0,SUM(IY9:JB9)-JC9,"")</f>
        <v/>
      </c>
      <c r="JJ9" s="14" t="str">
        <f>IF(SUM(JG9,JI9)&gt;0,SUM(JG9,JI9),"")</f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>IF(JR9&gt;0,JR9,"")</f>
        <v/>
      </c>
      <c r="KA9" s="11" t="str">
        <f>IF(SUM(JK9:JN9)-JO9&gt;0,SUM(JK9:JN9)-JO9,"")</f>
        <v/>
      </c>
      <c r="KB9" s="11" t="str">
        <f>IF(SUM(JP9:JS9)-JT9&gt;0,SUM(JP9:JS9)-JT9,"")</f>
        <v/>
      </c>
      <c r="KC9" s="11" t="str">
        <f>IF(SUM(KA9:KB9)&gt;0,SUM(KA9:KB9),"")</f>
        <v/>
      </c>
      <c r="KD9" s="11" t="str">
        <f>IF(JW9&gt;0,JW9,"")</f>
        <v/>
      </c>
      <c r="KE9" s="11" t="str">
        <f>IF(SUM(JU9:JX9)-JY9&gt;0,SUM(JU9:JX9)-JY9,"")</f>
        <v/>
      </c>
      <c r="KF9" s="11" t="str">
        <f>IF(SUM(KC9,KE9)&gt;0,SUM(KC9,KE9),"")</f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>IF(KN9&gt;0,KN9,"")</f>
        <v/>
      </c>
      <c r="KW9" s="14" t="str">
        <f>IF(SUM(KG9:KJ9)-KK9&gt;0,SUM(KG9:KJ9)-KK9,"")</f>
        <v/>
      </c>
      <c r="KX9" s="14" t="str">
        <f>IF(SUM(KL9:KO9)-KP9&gt;0,SUM(KL9:KO9)-KP9,"")</f>
        <v/>
      </c>
      <c r="KY9" s="14" t="str">
        <f>IF(SUM(KW9:KX9)&gt;0,SUM(KW9:KX9),"")</f>
        <v/>
      </c>
      <c r="KZ9" s="14" t="str">
        <f>IF(KS9&gt;0,KS9,"")</f>
        <v/>
      </c>
      <c r="LA9" s="14" t="str">
        <f>IF(SUM(KQ9:KT9)-KU9&gt;0,SUM(KQ9:KT9)-KU9,"")</f>
        <v/>
      </c>
      <c r="LB9" s="14" t="str">
        <f>IF(SUM(KY9,LA9)&gt;0,SUM(KY9,LA9),"")</f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>IF(LJ9&gt;0,LJ9,"")</f>
        <v/>
      </c>
      <c r="LS9" s="11" t="str">
        <f>IF(SUM(LC9:LF9)-LG9&gt;0,SUM(LC9:LF9)-LG9,"")</f>
        <v/>
      </c>
      <c r="LT9" s="11" t="str">
        <f>IF(SUM(LH9:LK9)-LL9&gt;0,SUM(LH9:LK9)-LL9,"")</f>
        <v/>
      </c>
      <c r="LU9" s="11" t="str">
        <f>IF(SUM(LS9:LT9)&gt;0,SUM(LS9:LT9),"")</f>
        <v/>
      </c>
      <c r="LV9" s="11" t="str">
        <f>IF(LO9&gt;0,LO9,"")</f>
        <v/>
      </c>
      <c r="LW9" s="11" t="str">
        <f>IF(SUM(LM9:LP9)-LQ9&gt;0,SUM(LM9:LP9)-LQ9,"")</f>
        <v/>
      </c>
      <c r="LX9" s="11" t="str">
        <f>IF(SUM(LU9,LW9)&gt;0,SUM(LU9,LW9),"")</f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>IF(MF9&gt;0,MF9,"")</f>
        <v/>
      </c>
      <c r="MO9" s="14" t="str">
        <f>IF(SUM(LY9:MB9)-MC9&gt;0,SUM(LY9:MB9)-MC9,"")</f>
        <v/>
      </c>
      <c r="MP9" s="14" t="str">
        <f>IF(SUM(MD9:MG9)-MH9&gt;0,SUM(MD9:MG9)-MH9,"")</f>
        <v/>
      </c>
      <c r="MQ9" s="14" t="str">
        <f>IF(SUM(MO9:MP9)&gt;0,SUM(MO9:MP9),"")</f>
        <v/>
      </c>
      <c r="MR9" s="14" t="str">
        <f>IF(MK9&gt;0,MK9,"")</f>
        <v/>
      </c>
      <c r="MS9" s="14" t="str">
        <f>IF(SUM(MI9:ML9)-MM9&gt;0,SUM(MI9:ML9)-MM9,"")</f>
        <v/>
      </c>
      <c r="MT9" s="14" t="str">
        <f>IF(SUM(MQ9,MS9)&gt;0,SUM(MQ9,MS9),"")</f>
        <v/>
      </c>
      <c r="MU9" s="69">
        <f>IF($CE9="P",BP9,(BP9+AS9)/2)</f>
        <v>0</v>
      </c>
      <c r="MV9" s="69">
        <f>IF($CE9="P",BQ9,(BQ9+AT9)/2)</f>
        <v>0</v>
      </c>
      <c r="MW9" s="69">
        <f>IF($CE9="P",BR9,(BR9+AU9)/2)</f>
        <v>0</v>
      </c>
      <c r="MX9" s="69">
        <f>IF($CE9="P",BS9,(BS9+AV9)/2)</f>
        <v>0</v>
      </c>
      <c r="MY9" s="69">
        <f>IF($CE9="P",BT9,(BT9+AW9)/2)</f>
        <v>0</v>
      </c>
      <c r="MZ9" s="69">
        <f>IF($CE9="P",BU9,(BU9+AX9)/2)</f>
        <v>0</v>
      </c>
      <c r="NA9" s="69">
        <f>IF($CE9="P",BV9,(BV9+AY9)/2)</f>
        <v>0</v>
      </c>
      <c r="NB9" s="69">
        <f>IF($CE9="P",BW9,(BW9+AZ9)/2)</f>
        <v>0</v>
      </c>
      <c r="NC9" s="69">
        <f>IF($CE9="P",BX9,(BX9+BA9)/2)</f>
        <v>0</v>
      </c>
      <c r="ND9" s="69">
        <f>IF($CE9="P",BY9,(BY9+BB9)/2)</f>
        <v>0</v>
      </c>
      <c r="NE9" s="69">
        <f>IF($CE9="P",BZ9,(BZ9+BC9)/2)</f>
        <v>0</v>
      </c>
      <c r="NF9" s="69">
        <f>IF($CE9="P",CA9,(CA9+BD9)/2)</f>
        <v>0</v>
      </c>
      <c r="NG9" s="69">
        <f>IF($CE9="P",CB9,(CB9+BE9)/2)</f>
        <v>0</v>
      </c>
      <c r="NH9" s="69">
        <f>IF($CE9="P",CC9,(CC9+BF9)/2)</f>
        <v>0</v>
      </c>
      <c r="NI9" s="69">
        <f>IF($CE9="P",CD9,(CD9+BG9)/2)</f>
        <v>0</v>
      </c>
      <c r="NJ9" s="80" t="s">
        <v>88</v>
      </c>
      <c r="NK9" s="11" t="str">
        <f>IF(NB9&gt;0,NB9,"")</f>
        <v/>
      </c>
      <c r="NL9" s="11" t="str">
        <f>IF(SUM(MU9:MX9)-MY9&gt;0,SUM(MU9:MX9)-MY9,"")</f>
        <v/>
      </c>
      <c r="NM9" s="11" t="str">
        <f>IF(SUM(MZ9:NC9)-ND9&gt;0,SUM(MZ9:NC9)-ND9,"")</f>
        <v/>
      </c>
      <c r="NN9" s="11" t="str">
        <f>IF(SUM(NL9:NM9)&gt;0,SUM(NL9:NM9),"")</f>
        <v/>
      </c>
      <c r="NO9" s="11" t="str">
        <f>IF(NG9&gt;0,NG9,"")</f>
        <v/>
      </c>
      <c r="NP9" s="11" t="str">
        <f>IF(SUM(NE9:NH9)-NI9&gt;0,SUM(NE9:NH9)-NI9,"")</f>
        <v/>
      </c>
      <c r="NQ9" s="11" t="str">
        <f>IF(SUM(NN9,NP9)&gt;0,SUM(NN9,NP9),"")</f>
        <v/>
      </c>
    </row>
    <row r="10" spans="1:381" x14ac:dyDescent="0.2">
      <c r="A10" s="5" t="str" cm="1">
        <f t="array" ref="A10">IF(AND(G10&lt;&gt;"",H10&lt;&gt;""),SUMPRODUCT((G$4:G$11&lt;&gt;"")*(H$4:H$11&lt;&gt;"")*(E$4:E$11&gt;E10))+1,IF(H10&lt;&gt;"",SUMPRODUCT((I$4:I$11="No DD")*(E$4:E$11&gt;E10))+1+SUMPRODUCT((G$4:G$11&lt;&gt;"")*(H$4:H$11&lt;&gt;"")),""))</f>
        <v/>
      </c>
      <c r="B10" s="8" t="s">
        <v>120</v>
      </c>
      <c r="C10" s="4" t="s">
        <v>10</v>
      </c>
      <c r="D10" s="27" t="s">
        <v>119</v>
      </c>
      <c r="E10" s="15">
        <f>SUM(K10:S10)</f>
        <v>45.620000000000005</v>
      </c>
      <c r="F10" s="3" t="str">
        <f>IF(G10&lt;&gt;"","P","")</f>
        <v/>
      </c>
      <c r="G10" s="125" t="str">
        <f>IF(OR(AND(AL10&gt;=AR$16,AL10&lt;&gt;"",AK10=""),AND(AP10&gt;=AR$16,AP10&lt;&gt;"",AK10=""),AND(BI10&gt;=BO$16,BI10&lt;&gt;"",BH10=""),AND(BM10&gt;=BO$16,BM10&lt;&gt;"",BH10=""),AND(CF10&gt;=CL$16,CF10&lt;&gt;"",CE10=""),AND(CJ10&gt;=CL$16,CJ10&lt;&gt;"",CE10=""),AND(DF10&gt;=DL$16,DF10&lt;&gt;""),AND(DJ10&gt;=DL$16,DJ10&lt;&gt;""),AND(EB10&gt;=EH$16,EB10&lt;&gt;""),AND(EF10&gt;=EH$16,EF10&lt;&gt;""),AND(EX10&gt;=FD$16,EX10&lt;&gt;""),AND(FB10&gt;=FD$16,FB10&lt;&gt;""),AND(FT10&gt;=FZ$16,FT10&lt;&gt;""),AND(FX10&gt;=FZ$16,FX10&lt;&gt;""),AND(GP10&gt;=GV$16,GP10&lt;&gt;""),AND(GT10&gt;=GV$16,GT10&lt;&gt;""),AND(HL10&gt;=HR$16,HL10&lt;&gt;""),AND(HP10&gt;=HR$16,HP10&lt;&gt;""),AND(IH10&gt;=IN$16,IH10&lt;&gt;""),AND(IL10&gt;=IN$16,IL10&lt;&gt;""),AND(JD10&gt;=JJ$16,JD10&lt;&gt;""),AND(JH10&gt;=JJ$16,JH10&lt;&gt;""),AND(JZ10&gt;=KF$16,JZ10&lt;&gt;""),AND(KD10&gt;=KF$16,KD10&lt;&gt;""),AND(KV10&gt;=LB$16,KV10&lt;&gt;""),AND(KZ10&gt;=LB$16,KZ10&lt;&gt;""),AND(LR10&gt;=LX$16,LR10&lt;&gt;""),AND(LV10&gt;=LX$16,LV10&lt;&gt;""),AND(MN10&gt;=MT$16,MN10&lt;&gt;""),AND(MR10&gt;=MT$16,MR10&lt;&gt;"")),"Merit",IF(OR(AND(AL10&gt;=AR$15,AL10&lt;&gt;"",AK10=""),AND(AP10&gt;=AR$15,AP10&lt;&gt;"",AK10=""),AND(BI10&gt;=BO$15,BI10&lt;&gt;"",BH10=""),AND(BM10&gt;=BO$15,BM10&lt;&gt;"",BH10=""),AND(CF10&gt;=CL$15,CF10&lt;&gt;"",CE10=""),AND(CJ10&gt;=CL$15,CJ10&lt;&gt;"",CE10=""),AND(DF10&gt;=DL$15,DF10&lt;&gt;""),AND(DJ10&gt;=DL$15,DJ10&lt;&gt;""),AND(EB10&gt;=EH$15,EB10&lt;&gt;""),AND(EF10&gt;=EH$15,EF10&lt;&gt;""),AND(EX10&gt;=FD$15,EX10&lt;&gt;""),AND(FB10&gt;=FD$15,FB10&lt;&gt;""),AND(FT10&gt;=FZ$15,FT10&lt;&gt;""),AND(FX10&gt;=FZ$15,FX10&lt;&gt;""),AND(GP10&gt;=GV$15,GP10&lt;&gt;""),AND(GT10&gt;=GV$15,GT10&lt;&gt;""),AND(HL10&gt;=HR$15,HL10&lt;&gt;""),AND(HP10&gt;=HR$15,HP10&lt;&gt;""),AND(IH10&gt;=IN$15,IH10&lt;&gt;""),AND(IL10&gt;=IN$15,IL10&lt;&gt;""),AND(JD10&gt;=JJ$15,JD10&lt;&gt;""),AND(JH10&gt;=JJ$15,JH10&lt;&gt;""),AND(JZ10&gt;=KF$15,JZ10&lt;&gt;""),AND(KD10&gt;=KF$15,KD10&lt;&gt;""),AND(KV10&gt;=LB$15,KV10&lt;&gt;""),AND(KZ10&gt;=LB$15,KZ10&lt;&gt;""),AND(LR10&gt;=LX$15,LR10&lt;&gt;""),AND(LV10&gt;=LX$15,LV10&lt;&gt;""),AND(MN10&gt;=MT$15,MN10&lt;&gt;""),AND(MR10&gt;=MT$15,MR10&lt;&gt;"")),"Excellence",IF(OR(AND(AL10&gt;=AR$14,AL10&lt;&gt;"",AK10=""),AND(AP10&gt;=AR$14,AP10&lt;&gt;"",AK10=""),AND(BI10&gt;=BO$14,BI10&lt;&gt;"",BH10=""),AND(BM10&gt;=BO$14,BM10&lt;&gt;"",BH10=""),AND(CF10&gt;=CL$14,CF10&lt;&gt;"",CE10=""),AND(CJ10&gt;=CL$14,CJ10&lt;&gt;"",CE10=""),AND(DF10&gt;=DL$14,DF10&lt;&gt;""),AND(DJ10&gt;=DL$14,DJ10&lt;&gt;""),AND(EB10&gt;=EH$14,EB10&lt;&gt;""),AND(EF10&gt;=EH$14,EF10&lt;&gt;""),AND(EX10&gt;=FD$14,EX10&lt;&gt;""),AND(FB10&gt;=FD$14,FB10&lt;&gt;""),AND(FT10&gt;=FZ$14,FT10&lt;&gt;""),AND(FX10&gt;=FZ$14,FX10&lt;&gt;""),AND(GP10&gt;=GV$14,GP10&lt;&gt;""),AND(GT10&gt;=GV$14,GT10&lt;&gt;""),AND(HL10&gt;=HR$14,HL10&lt;&gt;""),AND(HP10&gt;=HR$14,HP10&lt;&gt;""),AND(IH10&gt;=IN$14,IH10&lt;&gt;""),AND(IL10&gt;=IN$14,IL10&lt;&gt;""),AND(JD10&gt;=JJ$14,JD10&lt;&gt;""),AND(JH10&gt;=JJ$14,JH10&lt;&gt;""),AND(JZ10&gt;=KF$14,JZ10&lt;&gt;""),AND(KD10&gt;=KF$14,KD10&lt;&gt;""),AND(KV10&gt;=LB$14,KV10&lt;&gt;""),AND(KZ10&gt;=LB$14,KZ10&lt;&gt;""),AND(LR10&gt;=LX$14,LR10&lt;&gt;""),AND(LV10&gt;=LX$14,LV10&lt;&gt;""),AND(MN10&gt;=MT$14,MN10&lt;&gt;""),AND(MR10&gt;=MT$14,MR10&lt;&gt;"")),"Worlds Team",IF(OR(AND(AL10&gt;=AR$13,AL10&lt;&gt;"",AK10=""),AND(AP10&gt;=AR$13,AP10&lt;&gt;"",AK10=""),AND(BI10&gt;=BO$13,BI10&lt;&gt;"",BH10=""),AND(BM10&gt;=BO$13,BM10&lt;&gt;"",BH10=""),AND(CF10&gt;=CL$13,CF10&lt;&gt;"",CE10=""),AND(CJ10&gt;=CL$13,CJ10&lt;&gt;"",CE10=""),AND(DF10&gt;=DL$13,DF10&lt;&gt;""),AND(DJ10&gt;=DL$13,DJ10&lt;&gt;""),AND(EB10&gt;=EH$13,EB10&lt;&gt;""),AND(EF10&gt;=EH$13,EF10&lt;&gt;""),AND(EX10&gt;=FD$13,EX10&lt;&gt;""),AND(FB10&gt;=FD$13,FB10&lt;&gt;""),AND(FT10&gt;=FZ$13,FT10&lt;&gt;""),AND(FX10&gt;=FZ$13,FX10&lt;&gt;""),AND(GP10&gt;=GV$13,GP10&lt;&gt;""),AND(GT10&gt;=GV$13,GT10&lt;&gt;""),AND(HL10&gt;=HR$13,HL10&lt;&gt;""),AND(HP10&gt;=HR$13,HP10&lt;&gt;""),AND(IH10&gt;=IN$13,IH10&lt;&gt;""),AND(IL10&gt;=IN$13,IL10&lt;&gt;""),AND(JD10&gt;=JJ$13,JD10&lt;&gt;""),AND(JH10&gt;=JJ$13,JH10&lt;&gt;""),AND(JZ10&gt;=KF$13,JZ10&lt;&gt;""),AND(KD10&gt;=KF$13,KD10&lt;&gt;""),AND(KV10&gt;=LB$13,KV10&lt;&gt;""),AND(KZ10&gt;=LB$13,KZ10&lt;&gt;""),AND(LR10&gt;=LX$13,LR10&lt;&gt;""),AND(LV10&gt;=LX$13,LV10&lt;&gt;""),AND(MN10&gt;=MT$13,MN10&lt;&gt;""),AND(MR10&gt;=MT$13,MR10&lt;&gt;"")),"National Team",""))))</f>
        <v/>
      </c>
      <c r="H10" s="125" t="str">
        <f>IF(OR(AND(AN10&gt;=AR$20,AN10&lt;&gt;"",AK10=""),AND(AQ10&gt;=AR$20,AQ10&lt;&gt;"",AK10=""),AND(BK10&gt;=BO$20,BK10&lt;&gt;"",BH10=""),AND(BN10&gt;=BO$20,BN10&lt;&gt;"",BH10=""),AND(CH10&gt;=CL$20,CH10&lt;&gt;"",CE10=""),AND(CK10&gt;=CL$20,CE10&lt;&gt;"",CE10=""),AND(DH10&gt;=DL$20,DH10&lt;&gt;""),AND(DK10&gt;=DL$20,DK10&lt;&gt;""),AND(ED10&gt;=EH$20,ED10&lt;&gt;""),AND(EG10&gt;=EH$20,EG10&lt;&gt;""),AND(EZ10&gt;=FD$20,EZ10&lt;&gt;""),AND(FC10&gt;=FD$20,FC10&lt;&gt;""),AND(FV10&gt;=FZ$20,FV10&lt;&gt;""),AND(FY10&gt;=FZ$20,FY10&lt;&gt;""),AND(GR10&gt;=GV$20,GR10&lt;&gt;""),AND(GU10&gt;=GV$20,GU10&lt;&gt;""),AND(HN10&gt;=HR$20,HN10&lt;&gt;""),AND(HQ10&gt;=HR$20,HQ10&lt;&gt;""),AND(IJ10&gt;=IN$20,IJ10&lt;&gt;""),AND(IM10&gt;=IN$20,IM10&lt;&gt;""),AND(JF10&gt;=JJ$20,JF10&lt;&gt;""),AND(JI10&gt;=JJ$20,JI10&lt;&gt;""),AND(KB10&gt;=KF$20,KB10&lt;&gt;""),AND(KE10&gt;=KF$20,KE10&lt;&gt;""),AND(KX10&gt;=LB$20,KX10&lt;&gt;""),AND(LA10&gt;=LB$20,LA10&lt;&gt;""),AND(LT10&gt;=LX$20,LT10&lt;&gt;""),AND(LW10&gt;=LX$20,LW10&lt;&gt;""),AND(MP10&gt;=MT$20,MP10&lt;&gt;""),AND(MS10&gt;=MT$20,MS10&lt;&gt;"")),"Merit",IF(OR(AND(AN10&gt;=AR$19,AN10&lt;&gt;"",AK10=""),AND(AQ10&gt;=AR$19,AQ10&lt;&gt;"",AK10=""),AND(BK10&gt;=BO$19,BK10&lt;&gt;"",BH10=""),AND(BN10&gt;=BO$19,BN10&lt;&gt;"",BH10=""),AND(CH10&gt;=CL$19,CH10&lt;&gt;"",CE10=""),AND(CK10&gt;=CL$19,CE10&lt;&gt;"",CE10=""),AND(DH10&gt;=DL$19,DH10&lt;&gt;""),AND(DK10&gt;=DL$19,DK10&lt;&gt;""),AND(ED10&gt;=EH$19,ED10&lt;&gt;""),AND(EG10&gt;=EH$19,EG10&lt;&gt;""),AND(EZ10&gt;=FD$19,EZ10&lt;&gt;""),AND(FC10&gt;=FD$19,FC10&lt;&gt;""),AND(FV10&gt;=FZ$19,FV10&lt;&gt;""),AND(FY10&gt;=FZ$19,FY10&lt;&gt;""),AND(GR10&gt;=GV$19,GR10&lt;&gt;""),AND(GU10&gt;=GV$19,GU10&lt;&gt;""),AND(HN10&gt;=HR$19,HN10&lt;&gt;""),AND(HQ10&gt;=HR$19,HQ10&lt;&gt;""),AND(IJ10&gt;=IN$19,IJ10&lt;&gt;""),AND(IM10&gt;=IN$19,IM10&lt;&gt;""),AND(JF10&gt;=JJ$19,JF10&lt;&gt;""),AND(JI10&gt;=JJ$19,JI10&lt;&gt;""),AND(KB10&gt;=KF$19,KB10&lt;&gt;""),AND(KE10&gt;=KF$19,KE10&lt;&gt;""),AND(KX10&gt;=LB$19,KX10&lt;&gt;""),AND(LA10&gt;=LB$19,LA10&lt;&gt;""),AND(LT10&gt;=LX$19,LT10&lt;&gt;""),AND(LW10&gt;=LX$19,LW10&lt;&gt;""),AND(MP10&gt;=MT$19,MP10&lt;&gt;""),AND(MS10&gt;=MT$19,MS10&lt;&gt;"")),"Excellence",IF(OR(AND(AO10&gt;=AR$18,AO10&lt;&gt;"",AK10=""),AND(BL10&gt;=BO$18,BL10&lt;&gt;"",BH10=""),AND(CI10&gt;=CL$18,CI10&lt;&gt;"",CE10=""),AND(DI10&gt;=DL$18,DI10&lt;&gt;""),AND(EE10&gt;=EH$18,EE10&lt;&gt;""),AND(FA10&gt;=FD$18,FA10&lt;&gt;""),AND(FW10&gt;=FZ$18,FW10&lt;&gt;""),AND(GS10&gt;=GV$18,GS10&lt;&gt;""),AND(HO10&gt;=HR$18,HO10&lt;&gt;""),AND(IK10&gt;=IN$18,IK10&lt;&gt;""),AND(JG10&gt;=JJ$18,JG10&lt;&gt;""),AND(KC10&gt;=KF$18,KC10&lt;&gt;""),AND(KY10&gt;=LB$18,KY10&lt;&gt;""),AND(LU10&gt;=LX$18,LU10&lt;&gt;""),AND(MQ10&gt;=MT$18,MQ10&lt;&gt;"")),"Worlds Team",IF(OR(AND(AO10&gt;=AR$17,AO10&lt;&gt;"",AK10=""),AND(BL10&gt;=BO$17,BL10&lt;&gt;"",BH10=""),AND(CI10&gt;=CL$17,CI10&lt;&gt;"",CE10=""),AND(DI10&gt;=DL$17,DI10&lt;&gt;""),AND(EE10&gt;=EH$17,EE10&lt;&gt;""),AND(FA10&gt;=FD$17,FA10&lt;&gt;""),AND(FW10&gt;=FZ$17,FW10&lt;&gt;""),AND(GS10&gt;=GV$17,GS10&lt;&gt;""),AND(HO10&gt;=HR$17,HO10&lt;&gt;""),AND(IK10&gt;=IN$17,IK10&lt;&gt;""),AND(JG10&gt;=JJ$17,JG10&lt;&gt;""),AND(KC10&gt;=KF$17,KC10&lt;&gt;""),AND(KY10&gt;=LB$17,KY10&lt;&gt;""),AND(LU10&gt;=LX$17,LU10&lt;&gt;""),AND(MQ10&gt;=MT$17,MQ10&lt;&gt;"")),"National Team",""))))</f>
        <v/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O10&gt;=AR$18,AO10&lt;&gt;"",AK10=""),AND(BL10&gt;=BO$18,BL10&lt;&gt;"",BH10=""),AND(CI10&gt;=CL$18,CI10&lt;&gt;"",CE10=""),AND(DI10&gt;=DL$18,DI10&lt;&gt;""),AND(EE10&gt;=EH$18,EE10&lt;&gt;""),AND(FA10&gt;=FD$18,FA10&lt;&gt;""),AND(FW10&gt;=FZ$18,FW10&lt;&gt;""),AND(GS10&gt;=GV$18,GS10&lt;&gt;""),AND(HO10&gt;=HR$18,HO10&lt;&gt;""),AND(IK10&gt;=IN$18,IK10&lt;&gt;""),AND(JG10&gt;=JJ$18,JG10&lt;&gt;""),AND(KC10&gt;=KF$18,KC10&lt;&gt;""),AND(KY10&gt;=LB$18,KY10&lt;&gt;""),AND(LU10&gt;=LX$18,LU10&lt;&gt;""),AND(MQ10&gt;=MT$18,MQ10&lt;&gt;"")),OR(G10="Worlds Team",G10="Excellence",G10="Merit")),"P","")</f>
        <v/>
      </c>
      <c r="K10" s="14">
        <f>MAX(AO10,BL10,CI10)</f>
        <v>45.620000000000005</v>
      </c>
      <c r="L10" s="14" t="str">
        <f>IF(K10=0,"",IF(K10=CI10,$BP$1,IF(K10=BL10,$AS$1,IF(K10=AO10,$V$1,""))))</f>
        <v>2019 Nationals</v>
      </c>
      <c r="M10" s="14">
        <f>IF($K10=$AO10,MAX(BJ10,CG10),IF($K10=$BL10,MAX(AM10,CG10),IF($K10=$CI10,MAX(AM10,BJ10),MAX(AM10,BJ10,CG10))))</f>
        <v>0</v>
      </c>
      <c r="N10" s="14" t="str">
        <f>IF(M10=0,"",IF(AND(M10=CG10,$L10&lt;&gt;$BP$1),$BP$1,IF(AND(M10=BJ10,$L10&lt;&gt;$AS$1),$AS$1,IF(AND(M10=AM10,$L10&lt;&gt;$V$1),$V$1,""))))</f>
        <v/>
      </c>
      <c r="O10" s="14">
        <f>IF($K10=$AO10,MAX(CH10,BK10),IF($K10=$BL10,MAX(AN10,CH10),IF($K10=$CI10,MAX(AN10,BK10),MAX(AN10,BK10,CH10))))</f>
        <v>0</v>
      </c>
      <c r="P10" s="14" t="str">
        <f>IF(O10=0,"",IF(AND(O10=CH10,$L10&lt;&gt;$BP$1),$BP$1,IF(AND(O10=BK10,$L10&lt;&gt;$AS$1),$AS$1,IF(AND(O10=AN10,$L10&lt;&gt;$V$1),$V$1,""))))</f>
        <v/>
      </c>
      <c r="Q10" s="14">
        <f>MAX(AQ10,BN10,CK10)</f>
        <v>0</v>
      </c>
      <c r="R10" s="14" t="str">
        <f>IF(Q10=0,"",IF(Q10=CK10,$BP$1,IF(Q10=BN10,$AS$1,IF(Q10=AQ10,$V$1,""))))</f>
        <v/>
      </c>
      <c r="S10" s="14" t="str">
        <f>IF(MAX(CM10,CN10,CO10,CP10)&gt;0,MAX(CM10,CN10,CO10,CP10),"")</f>
        <v/>
      </c>
      <c r="T10" s="25" t="str">
        <f>IF(S10="","",IF(S10=CM10,"(Vol 1)",IF(S10=CN10,"(Vol 2)",IF(S10=CO10,"(Prelim)",IF(S10=CP10,"(Final)")))))</f>
        <v/>
      </c>
      <c r="U10" s="14" t="str">
        <f>IF(S10="","",IF(S10=CM10,IF(S10+IF(M10="",0,M10)=MO10,$LY$1,IF(S10+IF(M10="",0,M10)=LS10,$LC$1,IF(S10+IF(M10="",0,M10)=KW10,$KG$1,IF(S10+IF(M10="",0,M10)=KA10,$JK$1,IF(S10+IF(M10="",0,M10)=JE10,$IO$1,IF(S10+IF(M10="",0,M10)=II10,$HS$1,IF(S10+IF(M10="",0,M10)=HM10,$GW$1,IF(S10+IF(M10="",0,M10)=GQ10,$GA$1,IF(S10+IF(M10="",0,M10)=FU10,$FE$1,IF(S10+IF(M10="",0,M10)=EY10,$EI$1,IF(S10+IF(M10="",0,M10)=EC10,$DM$1,IF(S10+IF(M10="",0,M10)=DG10,$CQ$1)))))))))))),IF(S10=CN10,IF(S10+IF(O10="",0,O10)=MP10,$LY$1,IF(S10+IF(O10="",0,O10)=LT10,$LC$1,IF(S10+IF(O10="",0,O10)=KX10,$KG$1,IF(S10+IF(O10="",0,O10)=KB10,$JK$1,IF(S10+IF(O10="",0,O10)=JF10,$IO$1,IF(S10+IF(O10="",0,O10)=IJ10,$HS$1,IF(S10+IF(O10="",0,O10)=HN10,$GW$1,IF(S10+IF(O10="",0,O10)=GR10,$GA$1,IF(S10+IF(O10="",0,O10)=FV10,$FE$1,IF(S10+IF(O10="",0,O10)=EZ10,$EI$1,IF(S10+IF(O10="",0,O10)=ED10,$DM$1,IF(S10+IF(O10="",0,O10)=DH10,$CQ$1)))))))))))),IF(S10=CO10,IF(S10+IF(K10="",0,K10)=MQ10,$LY$1,IF(S10+IF(K10="",0,K10)=LU10,$LC$1,IF(S10+IF(K10="",0,K10)=KY10,$KG$1,IF(S10+IF(K10="",0,K10)=KC10,$JK$1,IF(S10+IF(K10="",0,K10)=JG10,$IO$1,IF(S10+IF(K10="",0,K10)=IK10,$HS$1,IF(S10+IF(K10="",0,K10)=HO10,$GW$1,IF(S10+IF(K10="",0,K10)=GS10,$GA$1,IF(S10+IF(K10="",0,K10)=FW10,$FE$1,IF(S10+IF(K10="",0,K10)=FA10,$EI$1,IF(S10+IF(K10="",0,K10)=EE10,$DM$1,IF(S10+IF(K10="",0,K10)=DI10,$CQ$1)))))))))))),IF(S10=CP10,IF(S10+IF(Q10="",0,Q10)=MS10,$LY$1,IF(S10+IF(Q10="",0,Q10)=LW10,$LC$1,IF(S10+IF(Q10="",0,Q10)=LA10,$KG$1,IF(S10+IF(Q10="",0,Q10)=KE10,$JK$1,IF(S10+IF(Q10="",0,Q10)=JI10,$IO$1,IF(S10+IF(Q10="",0,Q10)=IM10,$HS$1,IF(S10+IF(Q10="",0,Q10)=HQ10,$GW$1,IF(S10+IF(Q10="",0,Q10)=GU10,$GA$1,IF(S10+IF(Q10="",0,Q10)=FY10,$FE$1,IF(S10+IF(Q10="",0,Q10)=FC10,$EI$1,IF(S10+IF(Q10="",0,Q10)=EG10,$DM$1,IF(S10+IF(Q10="",0,Q10)=DK10,$CQ$1)))))))))))))))))</f>
        <v/>
      </c>
      <c r="V10" s="39">
        <v>8.6999999999999993</v>
      </c>
      <c r="W10" s="39">
        <v>9.1999999999999993</v>
      </c>
      <c r="X10" s="39">
        <v>3.2</v>
      </c>
      <c r="Y10" s="39">
        <v>15.26</v>
      </c>
      <c r="Z10" s="39">
        <v>0</v>
      </c>
      <c r="AA10" s="39">
        <v>1.6</v>
      </c>
      <c r="AB10" s="39">
        <v>1.8</v>
      </c>
      <c r="AC10" s="39">
        <v>2.7</v>
      </c>
      <c r="AD10" s="39">
        <v>3.16</v>
      </c>
      <c r="AE10" s="39">
        <v>0</v>
      </c>
      <c r="AF10" s="39"/>
      <c r="AG10" s="39"/>
      <c r="AH10" s="39"/>
      <c r="AI10" s="39"/>
      <c r="AJ10" s="39">
        <v>0</v>
      </c>
      <c r="AK10" s="80"/>
      <c r="AL10" s="11">
        <f>IF(AC10&gt;0,AC10,"")</f>
        <v>2.7</v>
      </c>
      <c r="AM10" s="11">
        <f>IF(SUM(V10:Y10)-Z10&gt;0,SUM(V10:Y10)-Z10,"")</f>
        <v>36.36</v>
      </c>
      <c r="AN10" s="11">
        <f>IF(SUM(AA10:AD10)-AE10&gt;0,SUM(AA10:AD10)-AE10,"")</f>
        <v>9.2600000000000016</v>
      </c>
      <c r="AO10" s="11">
        <f>IF(SUM(AM10:AN10)&gt;0,SUM(AM10:AN10),"")</f>
        <v>45.620000000000005</v>
      </c>
      <c r="AP10" s="11" t="str">
        <f>IF(AH10&gt;0,AH10,"")</f>
        <v/>
      </c>
      <c r="AQ10" s="11" t="str">
        <f>IF(SUM(AF10:AI10)-AJ10&gt;0,SUM(AF10:AI10)-AJ10,"")</f>
        <v/>
      </c>
      <c r="AR10" s="11">
        <f>IF(SUM(AO10,AQ10)&gt;0,SUM(AO10,AQ10),"")</f>
        <v>45.620000000000005</v>
      </c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81"/>
      <c r="BI10" s="14" t="str">
        <f>IF(AZ10&gt;0,AZ10,"")</f>
        <v/>
      </c>
      <c r="BJ10" s="14" t="str">
        <f>IF(SUM(AS10:AV10)-AW10&gt;0,SUM(AS10:AV10)-AW10,"")</f>
        <v/>
      </c>
      <c r="BK10" s="14" t="str">
        <f>IF(SUM(AX10:BA10)-BB10&gt;0,SUM(AX10:BA10)-BB10,"")</f>
        <v/>
      </c>
      <c r="BL10" s="14" t="str">
        <f>IF(SUM(BJ10:BK10)&gt;0,SUM(BJ10:BK10),"")</f>
        <v/>
      </c>
      <c r="BM10" s="14" t="str">
        <f>IF(BE10&gt;0,BE10,"")</f>
        <v/>
      </c>
      <c r="BN10" s="14" t="str">
        <f>IF(SUM(BC10:BF10)-BG10&gt;0,SUM(BC10:BF10)-BG10,"")</f>
        <v/>
      </c>
      <c r="BO10" s="14" t="str">
        <f>IF(SUM(BL10,BN10)&gt;0,SUM(BL10,BN10),"")</f>
        <v/>
      </c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80"/>
      <c r="CF10" s="11" t="str">
        <f>IF(BW10&gt;0,BW10,"")</f>
        <v/>
      </c>
      <c r="CG10" s="11" t="str">
        <f>IF(SUM(BP10:BS10)-BT10&gt;0,SUM(BP10:BS10)-BT10,"")</f>
        <v/>
      </c>
      <c r="CH10" s="11" t="str">
        <f>IF(SUM(BU10:BX10)-BY10&gt;0,SUM(BU10:BX10)-BY10,"")</f>
        <v/>
      </c>
      <c r="CI10" s="11" t="str">
        <f>IF(SUM(CG10:CH10)&gt;0,SUM(CG10:CH10),"")</f>
        <v/>
      </c>
      <c r="CJ10" s="11" t="str">
        <f>IF(CB10&gt;0,CB10,"")</f>
        <v/>
      </c>
      <c r="CK10" s="11" t="str">
        <f>IF(SUM(BZ10:CC10)-CD10&gt;0,SUM(BZ10:CC10)-CD10,"")</f>
        <v/>
      </c>
      <c r="CL10" s="11" t="str">
        <f>IF(SUM(CI10,CK10)&gt;0,SUM(CI10,CK10),"")</f>
        <v/>
      </c>
      <c r="CM10" s="24" t="str">
        <f>IF(MAX(DG10,EC10,EY10,FU10,GQ10,HM10,II10,JE10,KA10,KW10,LS10,MO10)-IF(M10="",0,M10)&gt;0.001,MAX(DG10,EC10,EY10,FU10,GQ10,HM10,II10,JE10,KA10,KW10,LS10,MO10)-IF(M10="",0,M10),"")</f>
        <v/>
      </c>
      <c r="CN10" s="24" t="str">
        <f>IF(MAX(DH10,ED10,EZ10,FV10,GR10,HN10,IJ10,JF10,KB10,KX10,LT10,MP10)-IF(O10="",0,O10)&gt;0.001,MAX(DH10,ED10,EZ10,FV10,GR10,HN10,IJ10,JF10,KB10,KX10,LT10,MP10)-IF(O10="",0,O10),"")</f>
        <v/>
      </c>
      <c r="CO10" s="24" t="str">
        <f>IF(MAX(DI10,EE10,FA10,FW10,GS10,HO10,IK10,JG10,KC10,KY10,LU10,MQ10)-IF(K10="",0,K10)&gt;0.001,MAX(DI10,EE10,FA10,FW10,GS10,HO10,IK10,JG10,KC10,KY10,LU10,MQ10)-IF(K10="",0,K10),"")</f>
        <v/>
      </c>
      <c r="CP10" s="24" t="str">
        <f>IF(MAX(DK10,EG10,FC10,FY10,GU10,HQ10,IM10,JI10,KE10,LA10,LW10,MS10)-IF(Q10="",0,Q10)&gt;0.001,MAX(DK10,EG10,FC10,FY10,GU10,HQ10,IM10,JI10,KE10,LA10,LW10,MS10)-IF(Q10="",0,Q10),"")</f>
        <v/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11" t="str">
        <f>IF(CX10&gt;0,CX10,"")</f>
        <v/>
      </c>
      <c r="DG10" s="11" t="str">
        <f>IF(SUM(CQ10:CT10)-CU10&gt;0,SUM(CQ10:CT10)-CU10,"")</f>
        <v/>
      </c>
      <c r="DH10" s="11" t="str">
        <f>IF(SUM(CV10:CY10)-CZ10&gt;0,SUM(CV10:CY10)-CZ10,"")</f>
        <v/>
      </c>
      <c r="DI10" s="11" t="str">
        <f>IF(SUM(DG10:DH10)&gt;0,SUM(DG10:DH10),"")</f>
        <v/>
      </c>
      <c r="DJ10" s="11" t="str">
        <f>IF(DC10&gt;0,DC10,"")</f>
        <v/>
      </c>
      <c r="DK10" s="11" t="str">
        <f>IF(SUM(DA10:DD10)-DE10&gt;0,SUM(DA10:DD10)-DE10,"")</f>
        <v/>
      </c>
      <c r="DL10" s="11" t="str">
        <f>IF(SUM(DI10,DK10)&gt;0,SUM(DI10,DK10),"")</f>
        <v/>
      </c>
      <c r="DM10" s="38"/>
      <c r="DN10" s="38"/>
      <c r="DO10" s="38"/>
      <c r="DP10" s="38"/>
      <c r="DQ10" s="38"/>
      <c r="DR10" s="38"/>
      <c r="DS10" s="38"/>
      <c r="DT10" s="38"/>
      <c r="DU10" s="38"/>
      <c r="DV10" s="38"/>
      <c r="DW10" s="38"/>
      <c r="DX10" s="38"/>
      <c r="DY10" s="38"/>
      <c r="DZ10" s="38"/>
      <c r="EA10" s="38"/>
      <c r="EB10" s="14" t="str">
        <f>IF(DT10&gt;0,DT10,"")</f>
        <v/>
      </c>
      <c r="EC10" s="14" t="str">
        <f>IF(SUM(DM10:DP10)-DQ10&gt;0,SUM(DM10:DP10)-DQ10,"")</f>
        <v/>
      </c>
      <c r="ED10" s="14" t="str">
        <f>IF(SUM(DR10:DU10)-DV10&gt;0,SUM(DR10:DU10)-DV10,"")</f>
        <v/>
      </c>
      <c r="EE10" s="14" t="str">
        <f>IF(SUM(EC10:ED10)&gt;0,SUM(EC10:ED10),"")</f>
        <v/>
      </c>
      <c r="EF10" s="14" t="str">
        <f>IF(DY10&gt;0,DY10,"")</f>
        <v/>
      </c>
      <c r="EG10" s="14" t="str">
        <f>IF(SUM(DW10:DZ10)-EA10&gt;0,SUM(DW10:DZ10)-EA10,"")</f>
        <v/>
      </c>
      <c r="EH10" s="14" t="str">
        <f>IF(SUM(EE10,EG10)&gt;0,SUM(EE10,EG10),"")</f>
        <v/>
      </c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11" t="str">
        <f>IF(EP10&gt;0,EP10,"")</f>
        <v/>
      </c>
      <c r="EY10" s="11" t="str">
        <f>IF(SUM(EI10:EL10)-EM10&gt;0,SUM(EI10:EL10)-EM10,"")</f>
        <v/>
      </c>
      <c r="EZ10" s="11" t="str">
        <f>IF(SUM(EN10:EQ10)-ER10&gt;0,SUM(EN10:EQ10)-ER10,"")</f>
        <v/>
      </c>
      <c r="FA10" s="11" t="str">
        <f>IF(SUM(EY10:EZ10)&gt;0,SUM(EY10:EZ10),"")</f>
        <v/>
      </c>
      <c r="FB10" s="11" t="str">
        <f>IF(EU10&gt;0,EU10,"")</f>
        <v/>
      </c>
      <c r="FC10" s="11" t="str">
        <f>IF(SUM(ES10:EV10)-EW10&gt;0,SUM(ES10:EV10)-EW10,"")</f>
        <v/>
      </c>
      <c r="FD10" s="11" t="str">
        <f>IF(SUM(FA10,FC10)&gt;0,SUM(FA10,FC10),"")</f>
        <v/>
      </c>
      <c r="FE10" s="38"/>
      <c r="FF10" s="38"/>
      <c r="FG10" s="38"/>
      <c r="FH10" s="38"/>
      <c r="FI10" s="38"/>
      <c r="FJ10" s="38"/>
      <c r="FK10" s="38"/>
      <c r="FL10" s="38"/>
      <c r="FM10" s="38"/>
      <c r="FN10" s="38"/>
      <c r="FO10" s="38"/>
      <c r="FP10" s="38"/>
      <c r="FQ10" s="38"/>
      <c r="FR10" s="38"/>
      <c r="FS10" s="38"/>
      <c r="FT10" s="14" t="str">
        <f>IF(FL10&gt;0,FL10,"")</f>
        <v/>
      </c>
      <c r="FU10" s="14" t="str">
        <f>IF(SUM(FE10:FH10)-FI10&gt;0,SUM(FE10:FH10)-FI10,"")</f>
        <v/>
      </c>
      <c r="FV10" s="14" t="str">
        <f>IF(SUM(FJ10:FM10)-FN10&gt;0,SUM(FJ10:FM10)-FN10,"")</f>
        <v/>
      </c>
      <c r="FW10" s="14" t="str">
        <f>IF(SUM(FU10:FV10)&gt;0,SUM(FU10:FV10),"")</f>
        <v/>
      </c>
      <c r="FX10" s="14" t="str">
        <f>IF(FQ10&gt;0,FQ10,"")</f>
        <v/>
      </c>
      <c r="FY10" s="14" t="str">
        <f>IF(SUM(FO10:FR10)-FS10&gt;0,SUM(FO10:FR10)-FS10,"")</f>
        <v/>
      </c>
      <c r="FZ10" s="14" t="str">
        <f>IF(SUM(FW10,FY10)&gt;0,SUM(FW10,FY10),"")</f>
        <v/>
      </c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11" t="str">
        <f>IF(GH10&gt;0,GH10,"")</f>
        <v/>
      </c>
      <c r="GQ10" s="11" t="str">
        <f>IF(SUM(GA10:GD10)-GE10&gt;0,SUM(GA10:GD10)-GE10,"")</f>
        <v/>
      </c>
      <c r="GR10" s="11" t="str">
        <f>IF(SUM(GF10:GI10)-GJ10&gt;0,SUM(GF10:GI10)-GJ10,"")</f>
        <v/>
      </c>
      <c r="GS10" s="11" t="str">
        <f>IF(SUM(GQ10:GR10)&gt;0,SUM(GQ10:GR10),"")</f>
        <v/>
      </c>
      <c r="GT10" s="11" t="str">
        <f>IF(GM10&gt;0,GM10,"")</f>
        <v/>
      </c>
      <c r="GU10" s="11" t="str">
        <f>IF(SUM(GK10:GN10)-GO10&gt;0,SUM(GK10:GN10)-GO10,"")</f>
        <v/>
      </c>
      <c r="GV10" s="11" t="str">
        <f>IF(SUM(GS10,GU10)&gt;0,SUM(GS10,GU10),"")</f>
        <v/>
      </c>
      <c r="GW10" s="38"/>
      <c r="GX10" s="38"/>
      <c r="GY10" s="38"/>
      <c r="GZ10" s="38"/>
      <c r="HA10" s="38"/>
      <c r="HB10" s="38"/>
      <c r="HC10" s="38"/>
      <c r="HD10" s="38"/>
      <c r="HE10" s="38"/>
      <c r="HF10" s="38"/>
      <c r="HG10" s="38"/>
      <c r="HH10" s="38"/>
      <c r="HI10" s="38"/>
      <c r="HJ10" s="38"/>
      <c r="HK10" s="38"/>
      <c r="HL10" s="14" t="str">
        <f>IF(HD10&gt;0,HD10,"")</f>
        <v/>
      </c>
      <c r="HM10" s="14" t="str">
        <f>IF(SUM(GW10:GZ10)-HA10&gt;0,SUM(GW10:GZ10)-HA10,"")</f>
        <v/>
      </c>
      <c r="HN10" s="14" t="str">
        <f>IF(SUM(HB10:HE10)-HF10&gt;0,SUM(HB10:HE10)-HF10,"")</f>
        <v/>
      </c>
      <c r="HO10" s="14" t="str">
        <f>IF(SUM(HM10:HN10)&gt;0,SUM(HM10:HN10),"")</f>
        <v/>
      </c>
      <c r="HP10" s="14" t="str">
        <f>IF(HI10&gt;0,HI10,"")</f>
        <v/>
      </c>
      <c r="HQ10" s="14" t="str">
        <f>IF(SUM(HG10:HJ10)-HK10&gt;0,SUM(HG10:HJ10)-HK10,"")</f>
        <v/>
      </c>
      <c r="HR10" s="14" t="str">
        <f>IF(SUM(HO10,HQ10)&gt;0,SUM(HO10,HQ10),"")</f>
        <v/>
      </c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11" t="str">
        <f>IF(HZ10&gt;0,HZ10,"")</f>
        <v/>
      </c>
      <c r="II10" s="11" t="str">
        <f>IF(SUM(HS10:HV10)-HW10&gt;0,SUM(HS10:HV10)-HW10,"")</f>
        <v/>
      </c>
      <c r="IJ10" s="11" t="str">
        <f>IF(SUM(HX10:IA10)-IB10&gt;0,SUM(HX10:IA10)-IB10,"")</f>
        <v/>
      </c>
      <c r="IK10" s="11" t="str">
        <f>IF(SUM(II10:IJ10)&gt;0,SUM(II10:IJ10),"")</f>
        <v/>
      </c>
      <c r="IL10" s="11" t="str">
        <f>IF(IE10&gt;0,IE10,"")</f>
        <v/>
      </c>
      <c r="IM10" s="11" t="str">
        <f>IF(SUM(IC10:IF10)-IG10&gt;0,SUM(IC10:IF10)-IG10,"")</f>
        <v/>
      </c>
      <c r="IN10" s="11" t="str">
        <f>IF(SUM(IK10,IM10)&gt;0,SUM(IK10,IM10),"")</f>
        <v/>
      </c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14" t="str">
        <f>IF(IV10&gt;0,IV10,"")</f>
        <v/>
      </c>
      <c r="JE10" s="14" t="str">
        <f>IF(SUM(IO10:IR10)-IS10&gt;0,SUM(IO10:IR10)-IS10,"")</f>
        <v/>
      </c>
      <c r="JF10" s="14" t="str">
        <f>IF(SUM(IT10:IW10)-IX10&gt;0,SUM(IT10:IW10)-IX10,"")</f>
        <v/>
      </c>
      <c r="JG10" s="14" t="str">
        <f>IF(SUM(JE10:JF10)&gt;0,SUM(JE10:JF10),"")</f>
        <v/>
      </c>
      <c r="JH10" s="14" t="str">
        <f>IF(JA10&gt;0,JA10,"")</f>
        <v/>
      </c>
      <c r="JI10" s="14" t="str">
        <f>IF(SUM(IY10:JB10)-JC10&gt;0,SUM(IY10:JB10)-JC10,"")</f>
        <v/>
      </c>
      <c r="JJ10" s="14" t="str">
        <f>IF(SUM(JG10,JI10)&gt;0,SUM(JG10,JI10),"")</f>
        <v/>
      </c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11" t="str">
        <f>IF(JR10&gt;0,JR10,"")</f>
        <v/>
      </c>
      <c r="KA10" s="11" t="str">
        <f>IF(SUM(JK10:JN10)-JO10&gt;0,SUM(JK10:JN10)-JO10,"")</f>
        <v/>
      </c>
      <c r="KB10" s="11" t="str">
        <f>IF(SUM(JP10:JS10)-JT10&gt;0,SUM(JP10:JS10)-JT10,"")</f>
        <v/>
      </c>
      <c r="KC10" s="11" t="str">
        <f>IF(SUM(KA10:KB10)&gt;0,SUM(KA10:KB10),"")</f>
        <v/>
      </c>
      <c r="KD10" s="11" t="str">
        <f>IF(JW10&gt;0,JW10,"")</f>
        <v/>
      </c>
      <c r="KE10" s="11" t="str">
        <f>IF(SUM(JU10:JX10)-JY10&gt;0,SUM(JU10:JX10)-JY10,"")</f>
        <v/>
      </c>
      <c r="KF10" s="11" t="str">
        <f>IF(SUM(KC10,KE10)&gt;0,SUM(KC10,KE10),"")</f>
        <v/>
      </c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14" t="str">
        <f>IF(KN10&gt;0,KN10,"")</f>
        <v/>
      </c>
      <c r="KW10" s="14" t="str">
        <f>IF(SUM(KG10:KJ10)-KK10&gt;0,SUM(KG10:KJ10)-KK10,"")</f>
        <v/>
      </c>
      <c r="KX10" s="14" t="str">
        <f>IF(SUM(KL10:KO10)-KP10&gt;0,SUM(KL10:KO10)-KP10,"")</f>
        <v/>
      </c>
      <c r="KY10" s="14" t="str">
        <f>IF(SUM(KW10:KX10)&gt;0,SUM(KW10:KX10),"")</f>
        <v/>
      </c>
      <c r="KZ10" s="14" t="str">
        <f>IF(KS10&gt;0,KS10,"")</f>
        <v/>
      </c>
      <c r="LA10" s="14" t="str">
        <f>IF(SUM(KQ10:KT10)-KU10&gt;0,SUM(KQ10:KT10)-KU10,"")</f>
        <v/>
      </c>
      <c r="LB10" s="14" t="str">
        <f>IF(SUM(KY10,LA10)&gt;0,SUM(KY10,LA10),"")</f>
        <v/>
      </c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11" t="str">
        <f>IF(LJ10&gt;0,LJ10,"")</f>
        <v/>
      </c>
      <c r="LS10" s="11" t="str">
        <f>IF(SUM(LC10:LF10)-LG10&gt;0,SUM(LC10:LF10)-LG10,"")</f>
        <v/>
      </c>
      <c r="LT10" s="11" t="str">
        <f>IF(SUM(LH10:LK10)-LL10&gt;0,SUM(LH10:LK10)-LL10,"")</f>
        <v/>
      </c>
      <c r="LU10" s="11" t="str">
        <f>IF(SUM(LS10:LT10)&gt;0,SUM(LS10:LT10),"")</f>
        <v/>
      </c>
      <c r="LV10" s="11" t="str">
        <f>IF(LO10&gt;0,LO10,"")</f>
        <v/>
      </c>
      <c r="LW10" s="11" t="str">
        <f>IF(SUM(LM10:LP10)-LQ10&gt;0,SUM(LM10:LP10)-LQ10,"")</f>
        <v/>
      </c>
      <c r="LX10" s="11" t="str">
        <f>IF(SUM(LU10,LW10)&gt;0,SUM(LU10,LW10),"")</f>
        <v/>
      </c>
      <c r="LY10" s="38"/>
      <c r="LZ10" s="38"/>
      <c r="MA10" s="38"/>
      <c r="MB10" s="38"/>
      <c r="MC10" s="38"/>
      <c r="MD10" s="38"/>
      <c r="ME10" s="38"/>
      <c r="MF10" s="38"/>
      <c r="MG10" s="38"/>
      <c r="MH10" s="38"/>
      <c r="MI10" s="38"/>
      <c r="MJ10" s="38"/>
      <c r="MK10" s="38"/>
      <c r="ML10" s="38"/>
      <c r="MM10" s="38"/>
      <c r="MN10" s="14" t="str">
        <f>IF(MF10&gt;0,MF10,"")</f>
        <v/>
      </c>
      <c r="MO10" s="14" t="str">
        <f>IF(SUM(LY10:MB10)-MC10&gt;0,SUM(LY10:MB10)-MC10,"")</f>
        <v/>
      </c>
      <c r="MP10" s="14" t="str">
        <f>IF(SUM(MD10:MG10)-MH10&gt;0,SUM(MD10:MG10)-MH10,"")</f>
        <v/>
      </c>
      <c r="MQ10" s="14" t="str">
        <f>IF(SUM(MO10:MP10)&gt;0,SUM(MO10:MP10),"")</f>
        <v/>
      </c>
      <c r="MR10" s="14" t="str">
        <f>IF(MK10&gt;0,MK10,"")</f>
        <v/>
      </c>
      <c r="MS10" s="14" t="str">
        <f>IF(SUM(MI10:ML10)-MM10&gt;0,SUM(MI10:ML10)-MM10,"")</f>
        <v/>
      </c>
      <c r="MT10" s="14" t="str">
        <f>IF(SUM(MQ10,MS10)&gt;0,SUM(MQ10,MS10),"")</f>
        <v/>
      </c>
      <c r="MU10" s="69">
        <f>IF($CE10="P",BP10,(BP10+AS10)/2)</f>
        <v>0</v>
      </c>
      <c r="MV10" s="69">
        <f>IF($CE10="P",BQ10,(BQ10+AT10)/2)</f>
        <v>0</v>
      </c>
      <c r="MW10" s="69">
        <f>IF($CE10="P",BR10,(BR10+AU10)/2)</f>
        <v>0</v>
      </c>
      <c r="MX10" s="69">
        <f>IF($CE10="P",BS10,(BS10+AV10)/2)</f>
        <v>0</v>
      </c>
      <c r="MY10" s="69">
        <f>IF($CE10="P",BT10,(BT10+AW10)/2)</f>
        <v>0</v>
      </c>
      <c r="MZ10" s="69">
        <f>IF($CE10="P",BU10,(BU10+AX10)/2)</f>
        <v>0</v>
      </c>
      <c r="NA10" s="69">
        <f>IF($CE10="P",BV10,(BV10+AY10)/2)</f>
        <v>0</v>
      </c>
      <c r="NB10" s="69">
        <f>IF($CE10="P",BW10,(BW10+AZ10)/2)</f>
        <v>0</v>
      </c>
      <c r="NC10" s="69">
        <f>IF($CE10="P",BX10,(BX10+BA10)/2)</f>
        <v>0</v>
      </c>
      <c r="ND10" s="69">
        <f>IF($CE10="P",BY10,(BY10+BB10)/2)</f>
        <v>0</v>
      </c>
      <c r="NE10" s="69">
        <f>IF($CE10="P",BZ10,(BZ10+BC10)/2)</f>
        <v>0</v>
      </c>
      <c r="NF10" s="69">
        <f>IF($CE10="P",CA10,(CA10+BD10)/2)</f>
        <v>0</v>
      </c>
      <c r="NG10" s="69">
        <f>IF($CE10="P",CB10,(CB10+BE10)/2)</f>
        <v>0</v>
      </c>
      <c r="NH10" s="69">
        <f>IF($CE10="P",CC10,(CC10+BF10)/2)</f>
        <v>0</v>
      </c>
      <c r="NI10" s="69">
        <f>IF($CE10="P",CD10,(CD10+BG10)/2)</f>
        <v>0</v>
      </c>
      <c r="NJ10" s="80" t="s">
        <v>88</v>
      </c>
      <c r="NK10" s="11" t="str">
        <f>IF(NB10&gt;0,NB10,"")</f>
        <v/>
      </c>
      <c r="NL10" s="11" t="str">
        <f>IF(SUM(MU10:MX10)-MY10&gt;0,SUM(MU10:MX10)-MY10,"")</f>
        <v/>
      </c>
      <c r="NM10" s="11" t="str">
        <f>IF(SUM(MZ10:NC10)-ND10&gt;0,SUM(MZ10:NC10)-ND10,"")</f>
        <v/>
      </c>
      <c r="NN10" s="11" t="str">
        <f>IF(SUM(NL10:NM10)&gt;0,SUM(NL10:NM10),"")</f>
        <v/>
      </c>
      <c r="NO10" s="11" t="str">
        <f>IF(NG10&gt;0,NG10,"")</f>
        <v/>
      </c>
      <c r="NP10" s="11" t="str">
        <f>IF(SUM(NE10:NH10)-NI10&gt;0,SUM(NE10:NH10)-NI10,"")</f>
        <v/>
      </c>
      <c r="NQ10" s="11" t="str">
        <f>IF(SUM(NN10,NP10)&gt;0,SUM(NN10,NP10),"")</f>
        <v/>
      </c>
    </row>
    <row r="11" spans="1:381" x14ac:dyDescent="0.2">
      <c r="D11" s="1"/>
      <c r="T11" s="26"/>
    </row>
    <row r="13" spans="1:381" x14ac:dyDescent="0.2">
      <c r="B13" s="70" t="s">
        <v>78</v>
      </c>
      <c r="AL13" s="56"/>
      <c r="AR13" s="64">
        <v>13.5</v>
      </c>
      <c r="BI13" s="56"/>
      <c r="BO13" s="64">
        <v>13.5</v>
      </c>
      <c r="CF13" s="56"/>
      <c r="CL13" s="64">
        <v>13.5</v>
      </c>
      <c r="DF13" s="56"/>
      <c r="DL13" s="64">
        <v>13.5</v>
      </c>
      <c r="EB13" s="56"/>
      <c r="EH13" s="64">
        <v>13.5</v>
      </c>
      <c r="EX13" s="56"/>
      <c r="FD13" s="64">
        <v>13.5</v>
      </c>
      <c r="FT13" s="56"/>
      <c r="FZ13" s="64">
        <v>13.5</v>
      </c>
      <c r="GP13" s="56"/>
      <c r="GV13" s="64">
        <v>13.5</v>
      </c>
      <c r="HL13" s="56"/>
      <c r="HR13" s="64">
        <v>13.5</v>
      </c>
      <c r="IH13" s="56"/>
      <c r="IN13" s="64">
        <v>13.5</v>
      </c>
      <c r="JD13" s="56"/>
      <c r="JJ13" s="64">
        <v>13.5</v>
      </c>
      <c r="JZ13" s="56"/>
      <c r="KF13" s="64">
        <v>13.5</v>
      </c>
      <c r="KV13" s="56"/>
      <c r="LB13" s="64">
        <v>13.5</v>
      </c>
      <c r="LR13" s="56"/>
      <c r="LX13" s="64">
        <v>13.5</v>
      </c>
      <c r="MN13" s="56"/>
      <c r="MT13" s="64">
        <v>13.5</v>
      </c>
    </row>
    <row r="14" spans="1:381" x14ac:dyDescent="0.2">
      <c r="B14" s="91" t="s">
        <v>77</v>
      </c>
      <c r="AL14" s="56"/>
      <c r="AR14" s="93">
        <v>14.4</v>
      </c>
      <c r="BI14" s="56"/>
      <c r="BO14" s="93">
        <v>14.4</v>
      </c>
      <c r="CF14" s="56"/>
      <c r="CL14" s="93">
        <v>14.4</v>
      </c>
      <c r="DF14" s="56"/>
      <c r="DL14" s="93">
        <v>14.4</v>
      </c>
      <c r="EB14" s="56"/>
      <c r="EH14" s="93">
        <v>14.4</v>
      </c>
      <c r="EX14" s="56"/>
      <c r="FD14" s="93">
        <v>14.4</v>
      </c>
      <c r="FT14" s="56"/>
      <c r="FZ14" s="93">
        <v>14.4</v>
      </c>
      <c r="GP14" s="56"/>
      <c r="GV14" s="93">
        <v>14.4</v>
      </c>
      <c r="HL14" s="56"/>
      <c r="HR14" s="93">
        <v>14.4</v>
      </c>
      <c r="IH14" s="56"/>
      <c r="IN14" s="93">
        <v>14.4</v>
      </c>
      <c r="JD14" s="56"/>
      <c r="JJ14" s="93">
        <v>14.4</v>
      </c>
      <c r="JZ14" s="56"/>
      <c r="KF14" s="93">
        <v>14.4</v>
      </c>
      <c r="KV14" s="56"/>
      <c r="LB14" s="93">
        <v>14.4</v>
      </c>
      <c r="LR14" s="56"/>
      <c r="LX14" s="93">
        <v>14.4</v>
      </c>
      <c r="MN14" s="56"/>
      <c r="MT14" s="93">
        <v>14.4</v>
      </c>
    </row>
    <row r="15" spans="1:381" x14ac:dyDescent="0.2">
      <c r="A15" s="56"/>
      <c r="B15" s="92" t="s">
        <v>109</v>
      </c>
      <c r="C15" s="55"/>
      <c r="AL15" s="56"/>
      <c r="AR15" s="94">
        <v>14.4</v>
      </c>
      <c r="BI15" s="56"/>
      <c r="BO15" s="94">
        <v>15.4</v>
      </c>
      <c r="CF15" s="56"/>
      <c r="CL15" s="94">
        <v>15.4</v>
      </c>
      <c r="DF15" s="56"/>
      <c r="DL15" s="94">
        <v>15.4</v>
      </c>
      <c r="EB15" s="56"/>
      <c r="EH15" s="94">
        <v>15.4</v>
      </c>
      <c r="EX15" s="56"/>
      <c r="FD15" s="94">
        <v>15.4</v>
      </c>
      <c r="FT15" s="56"/>
      <c r="FZ15" s="94">
        <v>15.4</v>
      </c>
      <c r="GP15" s="56"/>
      <c r="GV15" s="94">
        <v>15.4</v>
      </c>
      <c r="HL15" s="56"/>
      <c r="HR15" s="94">
        <v>15.4</v>
      </c>
      <c r="IH15" s="56"/>
      <c r="IN15" s="94">
        <v>15.4</v>
      </c>
      <c r="JD15" s="56"/>
      <c r="JJ15" s="94">
        <v>15.4</v>
      </c>
      <c r="JZ15" s="56"/>
      <c r="KF15" s="94">
        <v>15.4</v>
      </c>
      <c r="KV15" s="56"/>
      <c r="LB15" s="94">
        <v>15.4</v>
      </c>
      <c r="LR15" s="56"/>
      <c r="LX15" s="94">
        <v>15.4</v>
      </c>
      <c r="MN15" s="56"/>
      <c r="MT15" s="94">
        <v>15.4</v>
      </c>
    </row>
    <row r="16" spans="1:381" x14ac:dyDescent="0.2">
      <c r="A16" s="56"/>
      <c r="B16" s="120" t="s">
        <v>158</v>
      </c>
      <c r="C16" s="55"/>
      <c r="AL16" s="56"/>
      <c r="AR16" s="121">
        <v>14.4</v>
      </c>
      <c r="BI16" s="56"/>
      <c r="BO16" s="121">
        <v>15.4</v>
      </c>
      <c r="CF16" s="56"/>
      <c r="CL16" s="121">
        <v>15.4</v>
      </c>
      <c r="DF16" s="56"/>
      <c r="DL16" s="121">
        <v>15.4</v>
      </c>
      <c r="EB16" s="56"/>
      <c r="EH16" s="121">
        <v>15.4</v>
      </c>
      <c r="EX16" s="56"/>
      <c r="FD16" s="121">
        <v>15.4</v>
      </c>
      <c r="FT16" s="56"/>
      <c r="FZ16" s="121">
        <v>15.4</v>
      </c>
      <c r="GP16" s="56"/>
      <c r="GV16" s="121">
        <v>15.4</v>
      </c>
      <c r="HL16" s="56"/>
      <c r="HR16" s="121">
        <v>15.4</v>
      </c>
      <c r="IH16" s="56"/>
      <c r="IN16" s="121">
        <v>15.4</v>
      </c>
      <c r="JD16" s="56"/>
      <c r="JJ16" s="121">
        <v>15.4</v>
      </c>
      <c r="JZ16" s="56"/>
      <c r="KF16" s="121">
        <v>15.4</v>
      </c>
      <c r="KV16" s="56"/>
      <c r="LB16" s="121">
        <v>15.4</v>
      </c>
      <c r="LR16" s="56"/>
      <c r="LX16" s="121">
        <v>15.4</v>
      </c>
      <c r="MN16" s="56"/>
      <c r="MT16" s="121">
        <v>15.4</v>
      </c>
    </row>
    <row r="17" spans="1:358" x14ac:dyDescent="0.2">
      <c r="A17" s="56"/>
      <c r="B17" s="118" t="s">
        <v>75</v>
      </c>
      <c r="C17" s="55"/>
      <c r="AL17" s="56"/>
      <c r="AR17" s="119">
        <v>87</v>
      </c>
      <c r="BI17" s="56"/>
      <c r="BO17" s="119">
        <v>87.7</v>
      </c>
      <c r="CF17" s="56"/>
      <c r="CL17" s="119">
        <v>87.7</v>
      </c>
      <c r="DF17" s="56"/>
      <c r="DL17" s="119">
        <v>87.7</v>
      </c>
      <c r="EB17" s="56"/>
      <c r="EH17" s="119">
        <v>87.7</v>
      </c>
      <c r="EX17" s="56"/>
      <c r="FD17" s="119">
        <v>87.7</v>
      </c>
      <c r="FT17" s="56"/>
      <c r="FZ17" s="119">
        <v>87.7</v>
      </c>
      <c r="GP17" s="56"/>
      <c r="GV17" s="119">
        <v>87.7</v>
      </c>
      <c r="HL17" s="56"/>
      <c r="HR17" s="119">
        <v>87.7</v>
      </c>
      <c r="IH17" s="56"/>
      <c r="IN17" s="119">
        <v>87.7</v>
      </c>
      <c r="JD17" s="56"/>
      <c r="JJ17" s="119">
        <v>87.7</v>
      </c>
      <c r="JZ17" s="56"/>
      <c r="KF17" s="119">
        <v>87.7</v>
      </c>
      <c r="KV17" s="56"/>
      <c r="LB17" s="119">
        <v>87.7</v>
      </c>
      <c r="LR17" s="56"/>
      <c r="LX17" s="119">
        <v>87.7</v>
      </c>
      <c r="MN17" s="56"/>
      <c r="MT17" s="119">
        <v>87.7</v>
      </c>
    </row>
    <row r="18" spans="1:358" x14ac:dyDescent="0.2">
      <c r="A18" s="56"/>
      <c r="B18" s="72" t="s">
        <v>76</v>
      </c>
      <c r="C18" s="55"/>
      <c r="AL18" s="56"/>
      <c r="AR18" s="66">
        <v>89</v>
      </c>
      <c r="BI18" s="56"/>
      <c r="BO18" s="66">
        <v>89.7</v>
      </c>
      <c r="CF18" s="56"/>
      <c r="CL18" s="66">
        <v>89.7</v>
      </c>
      <c r="DF18" s="56"/>
      <c r="DL18" s="66">
        <v>89.7</v>
      </c>
      <c r="EB18" s="56"/>
      <c r="EH18" s="66">
        <v>89.7</v>
      </c>
      <c r="EX18" s="56"/>
      <c r="FD18" s="66">
        <v>89.7</v>
      </c>
      <c r="FT18" s="56"/>
      <c r="FZ18" s="66">
        <v>89.7</v>
      </c>
      <c r="GP18" s="56"/>
      <c r="GV18" s="66">
        <v>89.7</v>
      </c>
      <c r="HL18" s="56"/>
      <c r="HR18" s="66">
        <v>89.7</v>
      </c>
      <c r="IH18" s="56"/>
      <c r="IN18" s="66">
        <v>89.7</v>
      </c>
      <c r="JD18" s="56"/>
      <c r="JJ18" s="66">
        <v>89.7</v>
      </c>
      <c r="JZ18" s="56"/>
      <c r="KF18" s="66">
        <v>89.7</v>
      </c>
      <c r="KV18" s="56"/>
      <c r="LB18" s="66">
        <v>89.7</v>
      </c>
      <c r="LR18" s="56"/>
      <c r="LX18" s="66">
        <v>89.7</v>
      </c>
      <c r="MN18" s="56"/>
      <c r="MT18" s="66">
        <v>89.7</v>
      </c>
    </row>
    <row r="19" spans="1:358" x14ac:dyDescent="0.2">
      <c r="A19" s="56"/>
      <c r="B19" s="116" t="s">
        <v>107</v>
      </c>
      <c r="C19" s="55"/>
      <c r="AL19" s="56"/>
      <c r="AQ19" s="130"/>
      <c r="AR19" s="117">
        <v>90</v>
      </c>
      <c r="BI19" s="56"/>
      <c r="BO19" s="117">
        <v>49</v>
      </c>
      <c r="CF19" s="56"/>
      <c r="CL19" s="117">
        <v>49</v>
      </c>
      <c r="DF19" s="56"/>
      <c r="DL19" s="117">
        <v>49</v>
      </c>
      <c r="EB19" s="56"/>
      <c r="EH19" s="117">
        <v>49</v>
      </c>
      <c r="EX19" s="56"/>
      <c r="FD19" s="117">
        <v>49</v>
      </c>
      <c r="FT19" s="56"/>
      <c r="FZ19" s="117">
        <v>49</v>
      </c>
      <c r="GP19" s="56"/>
      <c r="GV19" s="117">
        <v>49</v>
      </c>
      <c r="HL19" s="56"/>
      <c r="HR19" s="117">
        <v>49</v>
      </c>
      <c r="IH19" s="56"/>
      <c r="IN19" s="117">
        <v>49</v>
      </c>
      <c r="JD19" s="56"/>
      <c r="JJ19" s="117">
        <v>49</v>
      </c>
      <c r="JZ19" s="56"/>
      <c r="KF19" s="117">
        <v>49</v>
      </c>
      <c r="KV19" s="56"/>
      <c r="LB19" s="117">
        <v>49</v>
      </c>
      <c r="LR19" s="56"/>
      <c r="LX19" s="117">
        <v>49</v>
      </c>
      <c r="MN19" s="56"/>
      <c r="MT19" s="117">
        <v>49</v>
      </c>
    </row>
    <row r="20" spans="1:358" x14ac:dyDescent="0.2">
      <c r="A20" s="56"/>
      <c r="B20" s="74" t="s">
        <v>57</v>
      </c>
      <c r="C20" s="55"/>
      <c r="AL20" s="56"/>
      <c r="AR20" s="68">
        <v>91</v>
      </c>
      <c r="BI20" s="56"/>
      <c r="BO20" s="68">
        <v>50.2</v>
      </c>
      <c r="CF20" s="56"/>
      <c r="CL20" s="68">
        <v>50.2</v>
      </c>
      <c r="DF20" s="56"/>
      <c r="DL20" s="68">
        <v>50.2</v>
      </c>
      <c r="EB20" s="56"/>
      <c r="EH20" s="68">
        <v>50.2</v>
      </c>
      <c r="EX20" s="56"/>
      <c r="FD20" s="68">
        <v>50.2</v>
      </c>
      <c r="FT20" s="56"/>
      <c r="FZ20" s="68">
        <v>50.2</v>
      </c>
      <c r="GP20" s="56"/>
      <c r="GV20" s="68">
        <v>50.2</v>
      </c>
      <c r="HL20" s="56"/>
      <c r="HR20" s="68">
        <v>50.2</v>
      </c>
      <c r="IH20" s="56"/>
      <c r="IN20" s="68">
        <v>50.2</v>
      </c>
      <c r="JD20" s="56"/>
      <c r="JJ20" s="68">
        <v>50.2</v>
      </c>
      <c r="JZ20" s="56"/>
      <c r="KF20" s="68">
        <v>50.2</v>
      </c>
      <c r="KV20" s="56"/>
      <c r="LB20" s="68">
        <v>50.2</v>
      </c>
      <c r="LR20" s="56"/>
      <c r="LX20" s="68">
        <v>50.2</v>
      </c>
      <c r="MN20" s="56"/>
      <c r="MT20" s="68">
        <v>50.2</v>
      </c>
    </row>
    <row r="21" spans="1:358" x14ac:dyDescent="0.2">
      <c r="B21" s="82" t="s">
        <v>89</v>
      </c>
      <c r="C21" s="2"/>
      <c r="DG21" s="54"/>
    </row>
    <row r="22" spans="1:358" x14ac:dyDescent="0.2">
      <c r="A22" s="56"/>
      <c r="B22" s="56"/>
      <c r="C22" s="55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A24" s="56"/>
      <c r="B24" s="56"/>
      <c r="C24" s="55"/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</sheetData>
  <sheetProtection sheet="1" formatCells="0" formatColumns="0" formatRows="0"/>
  <autoFilter ref="A1:NQ10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10">
      <sortCondition descending="1" ref="F1:F11"/>
    </sortState>
  </autoFilter>
  <mergeCells count="86"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  <mergeCell ref="LY1:MT1"/>
    <mergeCell ref="MI2:MM2"/>
    <mergeCell ref="MD2:MH2"/>
    <mergeCell ref="LY2:MC2"/>
    <mergeCell ref="LM2:LQ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GF2:GJ2"/>
    <mergeCell ref="GA2:GE2"/>
    <mergeCell ref="BP1:CL1"/>
    <mergeCell ref="BP2:BT2"/>
    <mergeCell ref="BU2:BY2"/>
    <mergeCell ref="BZ2:CD2"/>
    <mergeCell ref="EI2:EM2"/>
    <mergeCell ref="A1:A3"/>
    <mergeCell ref="B1:B3"/>
    <mergeCell ref="C1:C3"/>
    <mergeCell ref="D1:D3"/>
    <mergeCell ref="E1:E3"/>
    <mergeCell ref="G1:G3"/>
    <mergeCell ref="H1:H3"/>
    <mergeCell ref="I1:I3"/>
    <mergeCell ref="K1:K3"/>
    <mergeCell ref="J1:J3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</mergeCells>
  <phoneticPr fontId="22" type="noConversion"/>
  <conditionalFormatting sqref="V4:AR10">
    <cfRule type="expression" dxfId="137" priority="3" stopIfTrue="1">
      <formula>IF($AK4&lt;&gt;"",1,0)</formula>
    </cfRule>
  </conditionalFormatting>
  <conditionalFormatting sqref="AS4:BO10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10">
    <cfRule type="expression" dxfId="127" priority="5" stopIfTrue="1">
      <formula>IF($CE4&lt;&gt;"",1,0)</formula>
    </cfRule>
  </conditionalFormatting>
  <conditionalFormatting sqref="AQ20:AQ1048576 AQ1:AQ18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AR$20</formula>
      <formula>1000</formula>
    </cfRule>
    <cfRule type="cellIs" dxfId="125" priority="37913" operator="between">
      <formula>AR$19</formula>
      <formula>AR$20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9">
    <cfRule type="cellIs" dxfId="123" priority="1" operator="between">
      <formula>AR$25</formula>
      <formula>1000</formula>
    </cfRule>
    <cfRule type="cellIs" dxfId="122" priority="2" operator="between">
      <formula>AR$24</formula>
      <formula>AR$25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39469" operator="between">
      <formula>AR$16</formula>
      <formula>1000</formula>
    </cfRule>
    <cfRule type="cellIs" dxfId="120" priority="39470" operator="between">
      <formula>AR$15</formula>
      <formula>AR$16</formula>
    </cfRule>
    <cfRule type="cellIs" dxfId="119" priority="39471" operator="between">
      <formula>AR$14</formula>
      <formula>AR$15</formula>
    </cfRule>
    <cfRule type="cellIs" dxfId="118" priority="39472" operator="between">
      <formula>AR$13</formula>
      <formula>AR$14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39649" operator="between">
      <formula>AR$20</formula>
      <formula>1000</formula>
    </cfRule>
    <cfRule type="cellIs" dxfId="116" priority="39650" operator="between">
      <formula>AR$19</formula>
      <formula>AR$20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39827" operator="between">
      <formula>AR$18</formula>
      <formula>1000</formula>
    </cfRule>
    <cfRule type="cellIs" dxfId="114" priority="39828" operator="between">
      <formula>AR$17</formula>
      <formula>AR$18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39917" operator="between">
      <formula>AR$16</formula>
      <formula>1000</formula>
    </cfRule>
    <cfRule type="cellIs" dxfId="112" priority="39918" operator="between">
      <formula>AR$15</formula>
      <formula>AR$16</formula>
    </cfRule>
    <cfRule type="cellIs" dxfId="111" priority="39919" operator="between">
      <formula>AR$14</formula>
      <formula>AR$15</formula>
    </cfRule>
    <cfRule type="cellIs" dxfId="110" priority="39920" operator="between">
      <formula>AR$13</formula>
      <formula>AR$14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381" width="10.83203125" hidden="1" customWidth="1"/>
  </cols>
  <sheetData>
    <row r="1" spans="1:38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36" t="s">
        <v>168</v>
      </c>
      <c r="G1" s="136" t="s">
        <v>164</v>
      </c>
      <c r="H1" s="136" t="s">
        <v>165</v>
      </c>
      <c r="I1" s="136" t="s">
        <v>16</v>
      </c>
      <c r="J1" s="136" t="s">
        <v>177</v>
      </c>
      <c r="K1" s="141" t="s">
        <v>17</v>
      </c>
      <c r="L1" s="141" t="s">
        <v>55</v>
      </c>
      <c r="M1" s="141" t="s">
        <v>18</v>
      </c>
      <c r="N1" s="141" t="s">
        <v>55</v>
      </c>
      <c r="O1" s="141" t="s">
        <v>19</v>
      </c>
      <c r="P1" s="141" t="s">
        <v>55</v>
      </c>
      <c r="Q1" s="141" t="s">
        <v>20</v>
      </c>
      <c r="R1" s="141" t="s">
        <v>55</v>
      </c>
      <c r="S1" s="140" t="s">
        <v>21</v>
      </c>
      <c r="T1" s="141" t="s">
        <v>56</v>
      </c>
      <c r="U1" s="141" t="s">
        <v>55</v>
      </c>
      <c r="V1" s="137" t="s">
        <v>125</v>
      </c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9" t="s">
        <v>157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7" t="s">
        <v>179</v>
      </c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  <c r="CK1" s="137"/>
      <c r="CL1" s="137"/>
      <c r="CM1" s="142" t="s">
        <v>21</v>
      </c>
      <c r="CN1" s="142"/>
      <c r="CO1" s="142"/>
      <c r="CP1" s="142"/>
      <c r="CQ1" s="137" t="s">
        <v>143</v>
      </c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7"/>
      <c r="EJ1" s="137"/>
      <c r="EK1" s="137"/>
      <c r="EL1" s="137"/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7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7" t="s">
        <v>110</v>
      </c>
      <c r="MV1" s="137"/>
      <c r="MW1" s="137"/>
      <c r="MX1" s="137"/>
      <c r="MY1" s="137"/>
      <c r="MZ1" s="137"/>
      <c r="NA1" s="137"/>
      <c r="NB1" s="137"/>
      <c r="NC1" s="137"/>
      <c r="ND1" s="137"/>
      <c r="NE1" s="137"/>
      <c r="NF1" s="137"/>
      <c r="NG1" s="137"/>
      <c r="NH1" s="137"/>
      <c r="NI1" s="137"/>
      <c r="NJ1" s="137"/>
      <c r="NK1" s="137"/>
      <c r="NL1" s="137"/>
      <c r="NM1" s="137"/>
      <c r="NN1" s="137"/>
      <c r="NO1" s="137"/>
      <c r="NP1" s="137"/>
      <c r="NQ1" s="137"/>
    </row>
    <row r="2" spans="1:381" x14ac:dyDescent="0.2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41"/>
      <c r="L2" s="141"/>
      <c r="M2" s="141"/>
      <c r="N2" s="141"/>
      <c r="O2" s="141"/>
      <c r="P2" s="141"/>
      <c r="Q2" s="141"/>
      <c r="R2" s="141"/>
      <c r="S2" s="140"/>
      <c r="T2" s="141"/>
      <c r="U2" s="141"/>
      <c r="V2" s="135" t="s">
        <v>26</v>
      </c>
      <c r="W2" s="135"/>
      <c r="X2" s="135"/>
      <c r="Y2" s="135"/>
      <c r="Z2" s="135"/>
      <c r="AA2" s="135" t="s">
        <v>27</v>
      </c>
      <c r="AB2" s="135"/>
      <c r="AC2" s="135"/>
      <c r="AD2" s="135"/>
      <c r="AE2" s="135"/>
      <c r="AF2" s="135" t="s">
        <v>30</v>
      </c>
      <c r="AG2" s="135"/>
      <c r="AH2" s="135"/>
      <c r="AI2" s="135"/>
      <c r="AJ2" s="135"/>
      <c r="AK2" s="112"/>
      <c r="AL2" s="112" t="s">
        <v>104</v>
      </c>
      <c r="AM2" s="9" t="s">
        <v>28</v>
      </c>
      <c r="AN2" s="9" t="s">
        <v>29</v>
      </c>
      <c r="AO2" s="9" t="s">
        <v>31</v>
      </c>
      <c r="AP2" s="9" t="s">
        <v>123</v>
      </c>
      <c r="AQ2" s="9" t="s">
        <v>30</v>
      </c>
      <c r="AR2" s="9" t="s">
        <v>25</v>
      </c>
      <c r="AS2" s="138" t="s">
        <v>26</v>
      </c>
      <c r="AT2" s="138"/>
      <c r="AU2" s="138"/>
      <c r="AV2" s="138"/>
      <c r="AW2" s="138"/>
      <c r="AX2" s="138" t="s">
        <v>27</v>
      </c>
      <c r="AY2" s="138"/>
      <c r="AZ2" s="138"/>
      <c r="BA2" s="138"/>
      <c r="BB2" s="138"/>
      <c r="BC2" s="138" t="s">
        <v>30</v>
      </c>
      <c r="BD2" s="138"/>
      <c r="BE2" s="138"/>
      <c r="BF2" s="138"/>
      <c r="BG2" s="138"/>
      <c r="BH2" s="113"/>
      <c r="BI2" s="113" t="s">
        <v>104</v>
      </c>
      <c r="BJ2" s="12" t="s">
        <v>28</v>
      </c>
      <c r="BK2" s="12" t="s">
        <v>29</v>
      </c>
      <c r="BL2" s="12" t="s">
        <v>31</v>
      </c>
      <c r="BM2" s="12" t="s">
        <v>123</v>
      </c>
      <c r="BN2" s="12" t="s">
        <v>30</v>
      </c>
      <c r="BO2" s="12" t="s">
        <v>25</v>
      </c>
      <c r="BP2" s="135" t="s">
        <v>26</v>
      </c>
      <c r="BQ2" s="135"/>
      <c r="BR2" s="135"/>
      <c r="BS2" s="135"/>
      <c r="BT2" s="135"/>
      <c r="BU2" s="135" t="s">
        <v>27</v>
      </c>
      <c r="BV2" s="135"/>
      <c r="BW2" s="135"/>
      <c r="BX2" s="135"/>
      <c r="BY2" s="135"/>
      <c r="BZ2" s="135" t="s">
        <v>30</v>
      </c>
      <c r="CA2" s="135"/>
      <c r="CB2" s="135"/>
      <c r="CC2" s="135"/>
      <c r="CD2" s="135"/>
      <c r="CE2" s="112"/>
      <c r="CF2" s="112" t="s">
        <v>104</v>
      </c>
      <c r="CG2" s="9" t="s">
        <v>28</v>
      </c>
      <c r="CH2" s="9" t="s">
        <v>29</v>
      </c>
      <c r="CI2" s="9" t="s">
        <v>31</v>
      </c>
      <c r="CJ2" s="9" t="s">
        <v>123</v>
      </c>
      <c r="CK2" s="9" t="s">
        <v>30</v>
      </c>
      <c r="CL2" s="9" t="s">
        <v>25</v>
      </c>
      <c r="CM2" s="22" t="s">
        <v>28</v>
      </c>
      <c r="CN2" s="22" t="s">
        <v>29</v>
      </c>
      <c r="CO2" s="22" t="s">
        <v>31</v>
      </c>
      <c r="CP2" s="22" t="s">
        <v>30</v>
      </c>
      <c r="CQ2" s="135" t="s">
        <v>26</v>
      </c>
      <c r="CR2" s="135"/>
      <c r="CS2" s="135"/>
      <c r="CT2" s="135"/>
      <c r="CU2" s="135"/>
      <c r="CV2" s="135" t="s">
        <v>27</v>
      </c>
      <c r="CW2" s="135"/>
      <c r="CX2" s="135"/>
      <c r="CY2" s="135"/>
      <c r="CZ2" s="135"/>
      <c r="DA2" s="135" t="s">
        <v>30</v>
      </c>
      <c r="DB2" s="135"/>
      <c r="DC2" s="135"/>
      <c r="DD2" s="135"/>
      <c r="DE2" s="135"/>
      <c r="DF2" s="112" t="s">
        <v>104</v>
      </c>
      <c r="DG2" s="9" t="s">
        <v>28</v>
      </c>
      <c r="DH2" s="9" t="s">
        <v>29</v>
      </c>
      <c r="DI2" s="9" t="s">
        <v>31</v>
      </c>
      <c r="DJ2" s="9" t="s">
        <v>123</v>
      </c>
      <c r="DK2" s="9" t="s">
        <v>30</v>
      </c>
      <c r="DL2" s="9" t="s">
        <v>25</v>
      </c>
      <c r="DM2" s="138" t="s">
        <v>26</v>
      </c>
      <c r="DN2" s="138"/>
      <c r="DO2" s="138"/>
      <c r="DP2" s="138"/>
      <c r="DQ2" s="138"/>
      <c r="DR2" s="138" t="s">
        <v>27</v>
      </c>
      <c r="DS2" s="138"/>
      <c r="DT2" s="138"/>
      <c r="DU2" s="138"/>
      <c r="DV2" s="138"/>
      <c r="DW2" s="138" t="s">
        <v>30</v>
      </c>
      <c r="DX2" s="138"/>
      <c r="DY2" s="138"/>
      <c r="DZ2" s="138"/>
      <c r="EA2" s="138"/>
      <c r="EB2" s="113" t="s">
        <v>104</v>
      </c>
      <c r="EC2" s="12" t="s">
        <v>28</v>
      </c>
      <c r="ED2" s="12" t="s">
        <v>29</v>
      </c>
      <c r="EE2" s="12" t="s">
        <v>31</v>
      </c>
      <c r="EF2" s="12" t="s">
        <v>123</v>
      </c>
      <c r="EG2" s="12" t="s">
        <v>30</v>
      </c>
      <c r="EH2" s="12" t="s">
        <v>25</v>
      </c>
      <c r="EI2" s="135" t="s">
        <v>26</v>
      </c>
      <c r="EJ2" s="135"/>
      <c r="EK2" s="135"/>
      <c r="EL2" s="135"/>
      <c r="EM2" s="135"/>
      <c r="EN2" s="135" t="s">
        <v>27</v>
      </c>
      <c r="EO2" s="135"/>
      <c r="EP2" s="135"/>
      <c r="EQ2" s="135"/>
      <c r="ER2" s="135"/>
      <c r="ES2" s="135" t="s">
        <v>30</v>
      </c>
      <c r="ET2" s="135"/>
      <c r="EU2" s="135"/>
      <c r="EV2" s="135"/>
      <c r="EW2" s="135"/>
      <c r="EX2" s="112" t="s">
        <v>104</v>
      </c>
      <c r="EY2" s="9" t="s">
        <v>28</v>
      </c>
      <c r="EZ2" s="9" t="s">
        <v>29</v>
      </c>
      <c r="FA2" s="9" t="s">
        <v>31</v>
      </c>
      <c r="FB2" s="9" t="s">
        <v>123</v>
      </c>
      <c r="FC2" s="9" t="s">
        <v>30</v>
      </c>
      <c r="FD2" s="9" t="s">
        <v>25</v>
      </c>
      <c r="FE2" s="138" t="s">
        <v>26</v>
      </c>
      <c r="FF2" s="138"/>
      <c r="FG2" s="138"/>
      <c r="FH2" s="138"/>
      <c r="FI2" s="138"/>
      <c r="FJ2" s="138" t="s">
        <v>27</v>
      </c>
      <c r="FK2" s="138"/>
      <c r="FL2" s="138"/>
      <c r="FM2" s="138"/>
      <c r="FN2" s="138"/>
      <c r="FO2" s="138" t="s">
        <v>30</v>
      </c>
      <c r="FP2" s="138"/>
      <c r="FQ2" s="138"/>
      <c r="FR2" s="138"/>
      <c r="FS2" s="138"/>
      <c r="FT2" s="113" t="s">
        <v>104</v>
      </c>
      <c r="FU2" s="12" t="s">
        <v>28</v>
      </c>
      <c r="FV2" s="12" t="s">
        <v>29</v>
      </c>
      <c r="FW2" s="12" t="s">
        <v>31</v>
      </c>
      <c r="FX2" s="12" t="s">
        <v>123</v>
      </c>
      <c r="FY2" s="12" t="s">
        <v>30</v>
      </c>
      <c r="FZ2" s="12" t="s">
        <v>25</v>
      </c>
      <c r="GA2" s="135" t="s">
        <v>26</v>
      </c>
      <c r="GB2" s="135"/>
      <c r="GC2" s="135"/>
      <c r="GD2" s="135"/>
      <c r="GE2" s="135"/>
      <c r="GF2" s="135" t="s">
        <v>27</v>
      </c>
      <c r="GG2" s="135"/>
      <c r="GH2" s="135"/>
      <c r="GI2" s="135"/>
      <c r="GJ2" s="135"/>
      <c r="GK2" s="135" t="s">
        <v>30</v>
      </c>
      <c r="GL2" s="135"/>
      <c r="GM2" s="135"/>
      <c r="GN2" s="135"/>
      <c r="GO2" s="135"/>
      <c r="GP2" s="112" t="s">
        <v>104</v>
      </c>
      <c r="GQ2" s="9" t="s">
        <v>28</v>
      </c>
      <c r="GR2" s="9" t="s">
        <v>29</v>
      </c>
      <c r="GS2" s="9" t="s">
        <v>31</v>
      </c>
      <c r="GT2" s="9" t="s">
        <v>123</v>
      </c>
      <c r="GU2" s="9" t="s">
        <v>30</v>
      </c>
      <c r="GV2" s="9" t="s">
        <v>25</v>
      </c>
      <c r="GW2" s="138" t="s">
        <v>26</v>
      </c>
      <c r="GX2" s="138"/>
      <c r="GY2" s="138"/>
      <c r="GZ2" s="138"/>
      <c r="HA2" s="138"/>
      <c r="HB2" s="138" t="s">
        <v>27</v>
      </c>
      <c r="HC2" s="138"/>
      <c r="HD2" s="138"/>
      <c r="HE2" s="138"/>
      <c r="HF2" s="138"/>
      <c r="HG2" s="138" t="s">
        <v>30</v>
      </c>
      <c r="HH2" s="138"/>
      <c r="HI2" s="138"/>
      <c r="HJ2" s="138"/>
      <c r="HK2" s="138"/>
      <c r="HL2" s="113" t="s">
        <v>104</v>
      </c>
      <c r="HM2" s="12" t="s">
        <v>28</v>
      </c>
      <c r="HN2" s="12" t="s">
        <v>29</v>
      </c>
      <c r="HO2" s="12" t="s">
        <v>31</v>
      </c>
      <c r="HP2" s="12" t="s">
        <v>123</v>
      </c>
      <c r="HQ2" s="12" t="s">
        <v>30</v>
      </c>
      <c r="HR2" s="12" t="s">
        <v>25</v>
      </c>
      <c r="HS2" s="135" t="s">
        <v>26</v>
      </c>
      <c r="HT2" s="135"/>
      <c r="HU2" s="135"/>
      <c r="HV2" s="135"/>
      <c r="HW2" s="135"/>
      <c r="HX2" s="135" t="s">
        <v>27</v>
      </c>
      <c r="HY2" s="135"/>
      <c r="HZ2" s="135"/>
      <c r="IA2" s="135"/>
      <c r="IB2" s="135"/>
      <c r="IC2" s="135" t="s">
        <v>30</v>
      </c>
      <c r="ID2" s="135"/>
      <c r="IE2" s="135"/>
      <c r="IF2" s="135"/>
      <c r="IG2" s="135"/>
      <c r="IH2" s="112" t="s">
        <v>104</v>
      </c>
      <c r="II2" s="9" t="s">
        <v>28</v>
      </c>
      <c r="IJ2" s="9" t="s">
        <v>29</v>
      </c>
      <c r="IK2" s="9" t="s">
        <v>31</v>
      </c>
      <c r="IL2" s="9" t="s">
        <v>123</v>
      </c>
      <c r="IM2" s="9" t="s">
        <v>30</v>
      </c>
      <c r="IN2" s="9" t="s">
        <v>25</v>
      </c>
      <c r="IO2" s="138" t="s">
        <v>26</v>
      </c>
      <c r="IP2" s="138"/>
      <c r="IQ2" s="138"/>
      <c r="IR2" s="138"/>
      <c r="IS2" s="138"/>
      <c r="IT2" s="138" t="s">
        <v>27</v>
      </c>
      <c r="IU2" s="138"/>
      <c r="IV2" s="138"/>
      <c r="IW2" s="138"/>
      <c r="IX2" s="138"/>
      <c r="IY2" s="138" t="s">
        <v>30</v>
      </c>
      <c r="IZ2" s="138"/>
      <c r="JA2" s="138"/>
      <c r="JB2" s="138"/>
      <c r="JC2" s="138"/>
      <c r="JD2" s="113" t="s">
        <v>104</v>
      </c>
      <c r="JE2" s="12" t="s">
        <v>28</v>
      </c>
      <c r="JF2" s="12" t="s">
        <v>29</v>
      </c>
      <c r="JG2" s="12" t="s">
        <v>31</v>
      </c>
      <c r="JH2" s="12" t="s">
        <v>123</v>
      </c>
      <c r="JI2" s="12" t="s">
        <v>30</v>
      </c>
      <c r="JJ2" s="12" t="s">
        <v>25</v>
      </c>
      <c r="JK2" s="135" t="s">
        <v>26</v>
      </c>
      <c r="JL2" s="135"/>
      <c r="JM2" s="135"/>
      <c r="JN2" s="135"/>
      <c r="JO2" s="135"/>
      <c r="JP2" s="135" t="s">
        <v>27</v>
      </c>
      <c r="JQ2" s="135"/>
      <c r="JR2" s="135"/>
      <c r="JS2" s="135"/>
      <c r="JT2" s="135"/>
      <c r="JU2" s="135" t="s">
        <v>30</v>
      </c>
      <c r="JV2" s="135"/>
      <c r="JW2" s="135"/>
      <c r="JX2" s="135"/>
      <c r="JY2" s="135"/>
      <c r="JZ2" s="112" t="s">
        <v>104</v>
      </c>
      <c r="KA2" s="9" t="s">
        <v>28</v>
      </c>
      <c r="KB2" s="9" t="s">
        <v>29</v>
      </c>
      <c r="KC2" s="9" t="s">
        <v>31</v>
      </c>
      <c r="KD2" s="9" t="s">
        <v>123</v>
      </c>
      <c r="KE2" s="9" t="s">
        <v>30</v>
      </c>
      <c r="KF2" s="9" t="s">
        <v>25</v>
      </c>
      <c r="KG2" s="138" t="s">
        <v>26</v>
      </c>
      <c r="KH2" s="138"/>
      <c r="KI2" s="138"/>
      <c r="KJ2" s="138"/>
      <c r="KK2" s="138"/>
      <c r="KL2" s="138" t="s">
        <v>27</v>
      </c>
      <c r="KM2" s="138"/>
      <c r="KN2" s="138"/>
      <c r="KO2" s="138"/>
      <c r="KP2" s="138"/>
      <c r="KQ2" s="138" t="s">
        <v>30</v>
      </c>
      <c r="KR2" s="138"/>
      <c r="KS2" s="138"/>
      <c r="KT2" s="138"/>
      <c r="KU2" s="138"/>
      <c r="KV2" s="113" t="s">
        <v>104</v>
      </c>
      <c r="KW2" s="12" t="s">
        <v>28</v>
      </c>
      <c r="KX2" s="12" t="s">
        <v>29</v>
      </c>
      <c r="KY2" s="12" t="s">
        <v>31</v>
      </c>
      <c r="KZ2" s="12" t="s">
        <v>123</v>
      </c>
      <c r="LA2" s="12" t="s">
        <v>30</v>
      </c>
      <c r="LB2" s="12" t="s">
        <v>25</v>
      </c>
      <c r="LC2" s="135" t="s">
        <v>26</v>
      </c>
      <c r="LD2" s="135"/>
      <c r="LE2" s="135"/>
      <c r="LF2" s="135"/>
      <c r="LG2" s="135"/>
      <c r="LH2" s="135" t="s">
        <v>27</v>
      </c>
      <c r="LI2" s="135"/>
      <c r="LJ2" s="135"/>
      <c r="LK2" s="135"/>
      <c r="LL2" s="135"/>
      <c r="LM2" s="135" t="s">
        <v>30</v>
      </c>
      <c r="LN2" s="135"/>
      <c r="LO2" s="135"/>
      <c r="LP2" s="135"/>
      <c r="LQ2" s="135"/>
      <c r="LR2" s="112" t="s">
        <v>104</v>
      </c>
      <c r="LS2" s="9" t="s">
        <v>28</v>
      </c>
      <c r="LT2" s="9" t="s">
        <v>29</v>
      </c>
      <c r="LU2" s="9" t="s">
        <v>31</v>
      </c>
      <c r="LV2" s="9" t="s">
        <v>123</v>
      </c>
      <c r="LW2" s="9" t="s">
        <v>30</v>
      </c>
      <c r="LX2" s="9" t="s">
        <v>25</v>
      </c>
      <c r="LY2" s="138" t="s">
        <v>26</v>
      </c>
      <c r="LZ2" s="138"/>
      <c r="MA2" s="138"/>
      <c r="MB2" s="138"/>
      <c r="MC2" s="138"/>
      <c r="MD2" s="138" t="s">
        <v>27</v>
      </c>
      <c r="ME2" s="138"/>
      <c r="MF2" s="138"/>
      <c r="MG2" s="138"/>
      <c r="MH2" s="138"/>
      <c r="MI2" s="138" t="s">
        <v>30</v>
      </c>
      <c r="MJ2" s="138"/>
      <c r="MK2" s="138"/>
      <c r="ML2" s="138"/>
      <c r="MM2" s="138"/>
      <c r="MN2" s="113" t="s">
        <v>104</v>
      </c>
      <c r="MO2" s="12" t="s">
        <v>28</v>
      </c>
      <c r="MP2" s="12" t="s">
        <v>29</v>
      </c>
      <c r="MQ2" s="12" t="s">
        <v>31</v>
      </c>
      <c r="MR2" s="12" t="s">
        <v>123</v>
      </c>
      <c r="MS2" s="12" t="s">
        <v>30</v>
      </c>
      <c r="MT2" s="12" t="s">
        <v>25</v>
      </c>
      <c r="MU2" s="135" t="s">
        <v>26</v>
      </c>
      <c r="MV2" s="135"/>
      <c r="MW2" s="135"/>
      <c r="MX2" s="135"/>
      <c r="MY2" s="135"/>
      <c r="MZ2" s="135" t="s">
        <v>27</v>
      </c>
      <c r="NA2" s="135"/>
      <c r="NB2" s="135"/>
      <c r="NC2" s="135"/>
      <c r="ND2" s="135"/>
      <c r="NE2" s="135" t="s">
        <v>30</v>
      </c>
      <c r="NF2" s="135"/>
      <c r="NG2" s="135"/>
      <c r="NH2" s="135"/>
      <c r="NI2" s="135"/>
      <c r="NJ2" s="112"/>
      <c r="NK2" s="112" t="s">
        <v>104</v>
      </c>
      <c r="NL2" s="9" t="s">
        <v>28</v>
      </c>
      <c r="NM2" s="9" t="s">
        <v>29</v>
      </c>
      <c r="NN2" s="9" t="s">
        <v>31</v>
      </c>
      <c r="NO2" s="9" t="s">
        <v>123</v>
      </c>
      <c r="NP2" s="9" t="s">
        <v>30</v>
      </c>
      <c r="NQ2" s="9" t="s">
        <v>25</v>
      </c>
    </row>
    <row r="3" spans="1:381" x14ac:dyDescent="0.2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41"/>
      <c r="L3" s="141"/>
      <c r="M3" s="141"/>
      <c r="N3" s="141"/>
      <c r="O3" s="141"/>
      <c r="P3" s="141"/>
      <c r="Q3" s="141"/>
      <c r="R3" s="141"/>
      <c r="S3" s="140"/>
      <c r="T3" s="141"/>
      <c r="U3" s="141"/>
      <c r="V3" s="112" t="s">
        <v>22</v>
      </c>
      <c r="W3" s="112" t="s">
        <v>23</v>
      </c>
      <c r="X3" s="112" t="s">
        <v>14</v>
      </c>
      <c r="Y3" s="112" t="s">
        <v>54</v>
      </c>
      <c r="Z3" s="112" t="s">
        <v>44</v>
      </c>
      <c r="AA3" s="112" t="s">
        <v>22</v>
      </c>
      <c r="AB3" s="112" t="s">
        <v>23</v>
      </c>
      <c r="AC3" s="112" t="s">
        <v>14</v>
      </c>
      <c r="AD3" s="112" t="s">
        <v>54</v>
      </c>
      <c r="AE3" s="112" t="s">
        <v>44</v>
      </c>
      <c r="AF3" s="112" t="s">
        <v>22</v>
      </c>
      <c r="AG3" s="112" t="s">
        <v>23</v>
      </c>
      <c r="AH3" s="112" t="s">
        <v>14</v>
      </c>
      <c r="AI3" s="112" t="s">
        <v>54</v>
      </c>
      <c r="AJ3" s="112" t="s">
        <v>44</v>
      </c>
      <c r="AK3" s="112" t="s">
        <v>87</v>
      </c>
      <c r="AL3" s="10"/>
      <c r="AM3" s="9"/>
      <c r="AN3" s="9"/>
      <c r="AO3" s="9"/>
      <c r="AP3" s="9"/>
      <c r="AQ3" s="10"/>
      <c r="AR3" s="10"/>
      <c r="AS3" s="113" t="s">
        <v>22</v>
      </c>
      <c r="AT3" s="113" t="s">
        <v>23</v>
      </c>
      <c r="AU3" s="113" t="s">
        <v>14</v>
      </c>
      <c r="AV3" s="113" t="s">
        <v>54</v>
      </c>
      <c r="AW3" s="113" t="s">
        <v>44</v>
      </c>
      <c r="AX3" s="113" t="s">
        <v>22</v>
      </c>
      <c r="AY3" s="113" t="s">
        <v>23</v>
      </c>
      <c r="AZ3" s="113" t="s">
        <v>14</v>
      </c>
      <c r="BA3" s="113" t="s">
        <v>54</v>
      </c>
      <c r="BB3" s="113" t="s">
        <v>44</v>
      </c>
      <c r="BC3" s="113" t="s">
        <v>22</v>
      </c>
      <c r="BD3" s="113" t="s">
        <v>23</v>
      </c>
      <c r="BE3" s="113" t="s">
        <v>14</v>
      </c>
      <c r="BF3" s="113" t="s">
        <v>54</v>
      </c>
      <c r="BG3" s="113" t="s">
        <v>44</v>
      </c>
      <c r="BH3" s="113" t="s">
        <v>87</v>
      </c>
      <c r="BI3" s="13"/>
      <c r="BJ3" s="12"/>
      <c r="BK3" s="12"/>
      <c r="BL3" s="12"/>
      <c r="BM3" s="12"/>
      <c r="BN3" s="13"/>
      <c r="BO3" s="13"/>
      <c r="BP3" s="112" t="s">
        <v>22</v>
      </c>
      <c r="BQ3" s="112" t="s">
        <v>23</v>
      </c>
      <c r="BR3" s="112" t="s">
        <v>14</v>
      </c>
      <c r="BS3" s="112" t="s">
        <v>54</v>
      </c>
      <c r="BT3" s="112" t="s">
        <v>44</v>
      </c>
      <c r="BU3" s="112" t="s">
        <v>22</v>
      </c>
      <c r="BV3" s="112" t="s">
        <v>23</v>
      </c>
      <c r="BW3" s="112" t="s">
        <v>14</v>
      </c>
      <c r="BX3" s="112" t="s">
        <v>54</v>
      </c>
      <c r="BY3" s="112" t="s">
        <v>44</v>
      </c>
      <c r="BZ3" s="112" t="s">
        <v>22</v>
      </c>
      <c r="CA3" s="112" t="s">
        <v>23</v>
      </c>
      <c r="CB3" s="112" t="s">
        <v>14</v>
      </c>
      <c r="CC3" s="112" t="s">
        <v>54</v>
      </c>
      <c r="CD3" s="112" t="s">
        <v>44</v>
      </c>
      <c r="CE3" s="112" t="s">
        <v>87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22</v>
      </c>
      <c r="CR3" s="112" t="s">
        <v>23</v>
      </c>
      <c r="CS3" s="112" t="s">
        <v>14</v>
      </c>
      <c r="CT3" s="48" t="s">
        <v>54</v>
      </c>
      <c r="CU3" s="48" t="s">
        <v>44</v>
      </c>
      <c r="CV3" s="112" t="s">
        <v>22</v>
      </c>
      <c r="CW3" s="112" t="s">
        <v>23</v>
      </c>
      <c r="CX3" s="112" t="s">
        <v>14</v>
      </c>
      <c r="CY3" s="48" t="s">
        <v>54</v>
      </c>
      <c r="CZ3" s="48" t="s">
        <v>44</v>
      </c>
      <c r="DA3" s="112" t="s">
        <v>22</v>
      </c>
      <c r="DB3" s="112" t="s">
        <v>23</v>
      </c>
      <c r="DC3" s="112" t="s">
        <v>14</v>
      </c>
      <c r="DD3" s="48" t="s">
        <v>54</v>
      </c>
      <c r="DE3" s="48" t="s">
        <v>44</v>
      </c>
      <c r="DF3" s="10"/>
      <c r="DG3" s="9"/>
      <c r="DH3" s="9"/>
      <c r="DI3" s="9"/>
      <c r="DJ3" s="9"/>
      <c r="DK3" s="10"/>
      <c r="DL3" s="10"/>
      <c r="DM3" s="113" t="s">
        <v>22</v>
      </c>
      <c r="DN3" s="113" t="s">
        <v>23</v>
      </c>
      <c r="DO3" s="113" t="s">
        <v>14</v>
      </c>
      <c r="DP3" s="115" t="s">
        <v>54</v>
      </c>
      <c r="DQ3" s="115" t="s">
        <v>44</v>
      </c>
      <c r="DR3" s="113" t="s">
        <v>22</v>
      </c>
      <c r="DS3" s="113" t="s">
        <v>23</v>
      </c>
      <c r="DT3" s="113" t="s">
        <v>14</v>
      </c>
      <c r="DU3" s="115" t="s">
        <v>54</v>
      </c>
      <c r="DV3" s="115" t="s">
        <v>44</v>
      </c>
      <c r="DW3" s="113" t="s">
        <v>22</v>
      </c>
      <c r="DX3" s="113" t="s">
        <v>23</v>
      </c>
      <c r="DY3" s="113" t="s">
        <v>14</v>
      </c>
      <c r="DZ3" s="115" t="s">
        <v>54</v>
      </c>
      <c r="EA3" s="115" t="s">
        <v>44</v>
      </c>
      <c r="EB3" s="13"/>
      <c r="EC3" s="12"/>
      <c r="ED3" s="12"/>
      <c r="EE3" s="12"/>
      <c r="EF3" s="12"/>
      <c r="EG3" s="13"/>
      <c r="EH3" s="13"/>
      <c r="EI3" s="112" t="s">
        <v>22</v>
      </c>
      <c r="EJ3" s="112" t="s">
        <v>23</v>
      </c>
      <c r="EK3" s="112" t="s">
        <v>14</v>
      </c>
      <c r="EL3" s="114" t="s">
        <v>54</v>
      </c>
      <c r="EM3" s="114" t="s">
        <v>44</v>
      </c>
      <c r="EN3" s="112" t="s">
        <v>22</v>
      </c>
      <c r="EO3" s="112" t="s">
        <v>23</v>
      </c>
      <c r="EP3" s="112" t="s">
        <v>14</v>
      </c>
      <c r="EQ3" s="114" t="s">
        <v>54</v>
      </c>
      <c r="ER3" s="114" t="s">
        <v>44</v>
      </c>
      <c r="ES3" s="112" t="s">
        <v>22</v>
      </c>
      <c r="ET3" s="112" t="s">
        <v>23</v>
      </c>
      <c r="EU3" s="112" t="s">
        <v>14</v>
      </c>
      <c r="EV3" s="114" t="s">
        <v>54</v>
      </c>
      <c r="EW3" s="114" t="s">
        <v>44</v>
      </c>
      <c r="EX3" s="10"/>
      <c r="EY3" s="9"/>
      <c r="EZ3" s="9"/>
      <c r="FA3" s="9"/>
      <c r="FB3" s="9"/>
      <c r="FC3" s="10"/>
      <c r="FD3" s="10"/>
      <c r="FE3" s="113" t="s">
        <v>22</v>
      </c>
      <c r="FF3" s="113" t="s">
        <v>23</v>
      </c>
      <c r="FG3" s="113" t="s">
        <v>14</v>
      </c>
      <c r="FH3" s="115" t="s">
        <v>54</v>
      </c>
      <c r="FI3" s="115" t="s">
        <v>44</v>
      </c>
      <c r="FJ3" s="113" t="s">
        <v>22</v>
      </c>
      <c r="FK3" s="113" t="s">
        <v>23</v>
      </c>
      <c r="FL3" s="113" t="s">
        <v>14</v>
      </c>
      <c r="FM3" s="115" t="s">
        <v>54</v>
      </c>
      <c r="FN3" s="115" t="s">
        <v>44</v>
      </c>
      <c r="FO3" s="113" t="s">
        <v>22</v>
      </c>
      <c r="FP3" s="113" t="s">
        <v>23</v>
      </c>
      <c r="FQ3" s="113" t="s">
        <v>14</v>
      </c>
      <c r="FR3" s="115" t="s">
        <v>54</v>
      </c>
      <c r="FS3" s="115" t="s">
        <v>44</v>
      </c>
      <c r="FT3" s="13"/>
      <c r="FU3" s="12"/>
      <c r="FV3" s="12"/>
      <c r="FW3" s="12"/>
      <c r="FX3" s="12"/>
      <c r="FY3" s="13"/>
      <c r="FZ3" s="13"/>
      <c r="GA3" s="112" t="s">
        <v>22</v>
      </c>
      <c r="GB3" s="112" t="s">
        <v>23</v>
      </c>
      <c r="GC3" s="112" t="s">
        <v>14</v>
      </c>
      <c r="GD3" s="114" t="s">
        <v>54</v>
      </c>
      <c r="GE3" s="114" t="s">
        <v>44</v>
      </c>
      <c r="GF3" s="112" t="s">
        <v>22</v>
      </c>
      <c r="GG3" s="112" t="s">
        <v>23</v>
      </c>
      <c r="GH3" s="112" t="s">
        <v>14</v>
      </c>
      <c r="GI3" s="114" t="s">
        <v>54</v>
      </c>
      <c r="GJ3" s="114" t="s">
        <v>44</v>
      </c>
      <c r="GK3" s="112" t="s">
        <v>22</v>
      </c>
      <c r="GL3" s="112" t="s">
        <v>23</v>
      </c>
      <c r="GM3" s="112" t="s">
        <v>14</v>
      </c>
      <c r="GN3" s="114" t="s">
        <v>54</v>
      </c>
      <c r="GO3" s="114" t="s">
        <v>44</v>
      </c>
      <c r="GP3" s="10"/>
      <c r="GQ3" s="9"/>
      <c r="GR3" s="9"/>
      <c r="GS3" s="9"/>
      <c r="GT3" s="9"/>
      <c r="GU3" s="10"/>
      <c r="GV3" s="10"/>
      <c r="GW3" s="113" t="s">
        <v>22</v>
      </c>
      <c r="GX3" s="113" t="s">
        <v>23</v>
      </c>
      <c r="GY3" s="113" t="s">
        <v>14</v>
      </c>
      <c r="GZ3" s="115" t="s">
        <v>54</v>
      </c>
      <c r="HA3" s="115" t="s">
        <v>44</v>
      </c>
      <c r="HB3" s="113" t="s">
        <v>22</v>
      </c>
      <c r="HC3" s="113" t="s">
        <v>23</v>
      </c>
      <c r="HD3" s="113" t="s">
        <v>14</v>
      </c>
      <c r="HE3" s="115" t="s">
        <v>54</v>
      </c>
      <c r="HF3" s="115" t="s">
        <v>44</v>
      </c>
      <c r="HG3" s="113" t="s">
        <v>22</v>
      </c>
      <c r="HH3" s="113" t="s">
        <v>23</v>
      </c>
      <c r="HI3" s="113" t="s">
        <v>14</v>
      </c>
      <c r="HJ3" s="115" t="s">
        <v>54</v>
      </c>
      <c r="HK3" s="115" t="s">
        <v>44</v>
      </c>
      <c r="HL3" s="13"/>
      <c r="HM3" s="12"/>
      <c r="HN3" s="12"/>
      <c r="HO3" s="12"/>
      <c r="HP3" s="12"/>
      <c r="HQ3" s="13"/>
      <c r="HR3" s="13"/>
      <c r="HS3" s="112" t="s">
        <v>22</v>
      </c>
      <c r="HT3" s="112" t="s">
        <v>23</v>
      </c>
      <c r="HU3" s="112" t="s">
        <v>14</v>
      </c>
      <c r="HV3" s="114" t="s">
        <v>54</v>
      </c>
      <c r="HW3" s="114" t="s">
        <v>44</v>
      </c>
      <c r="HX3" s="112" t="s">
        <v>22</v>
      </c>
      <c r="HY3" s="112" t="s">
        <v>23</v>
      </c>
      <c r="HZ3" s="112" t="s">
        <v>14</v>
      </c>
      <c r="IA3" s="114" t="s">
        <v>54</v>
      </c>
      <c r="IB3" s="114" t="s">
        <v>44</v>
      </c>
      <c r="IC3" s="112" t="s">
        <v>22</v>
      </c>
      <c r="ID3" s="112" t="s">
        <v>23</v>
      </c>
      <c r="IE3" s="112" t="s">
        <v>14</v>
      </c>
      <c r="IF3" s="114" t="s">
        <v>54</v>
      </c>
      <c r="IG3" s="114" t="s">
        <v>44</v>
      </c>
      <c r="IH3" s="10"/>
      <c r="II3" s="9"/>
      <c r="IJ3" s="9"/>
      <c r="IK3" s="9"/>
      <c r="IL3" s="9"/>
      <c r="IM3" s="10"/>
      <c r="IN3" s="10"/>
      <c r="IO3" s="113" t="s">
        <v>22</v>
      </c>
      <c r="IP3" s="113" t="s">
        <v>23</v>
      </c>
      <c r="IQ3" s="113" t="s">
        <v>14</v>
      </c>
      <c r="IR3" s="115" t="s">
        <v>54</v>
      </c>
      <c r="IS3" s="115" t="s">
        <v>44</v>
      </c>
      <c r="IT3" s="113" t="s">
        <v>22</v>
      </c>
      <c r="IU3" s="113" t="s">
        <v>23</v>
      </c>
      <c r="IV3" s="113" t="s">
        <v>14</v>
      </c>
      <c r="IW3" s="115" t="s">
        <v>54</v>
      </c>
      <c r="IX3" s="115" t="s">
        <v>44</v>
      </c>
      <c r="IY3" s="113" t="s">
        <v>22</v>
      </c>
      <c r="IZ3" s="113" t="s">
        <v>23</v>
      </c>
      <c r="JA3" s="113" t="s">
        <v>14</v>
      </c>
      <c r="JB3" s="115" t="s">
        <v>54</v>
      </c>
      <c r="JC3" s="115" t="s">
        <v>44</v>
      </c>
      <c r="JD3" s="13"/>
      <c r="JE3" s="12"/>
      <c r="JF3" s="12"/>
      <c r="JG3" s="12"/>
      <c r="JH3" s="12"/>
      <c r="JI3" s="13"/>
      <c r="JJ3" s="13"/>
      <c r="JK3" s="112" t="s">
        <v>22</v>
      </c>
      <c r="JL3" s="112" t="s">
        <v>23</v>
      </c>
      <c r="JM3" s="112" t="s">
        <v>14</v>
      </c>
      <c r="JN3" s="114" t="s">
        <v>54</v>
      </c>
      <c r="JO3" s="114" t="s">
        <v>44</v>
      </c>
      <c r="JP3" s="112" t="s">
        <v>22</v>
      </c>
      <c r="JQ3" s="112" t="s">
        <v>23</v>
      </c>
      <c r="JR3" s="112" t="s">
        <v>14</v>
      </c>
      <c r="JS3" s="114" t="s">
        <v>54</v>
      </c>
      <c r="JT3" s="114" t="s">
        <v>44</v>
      </c>
      <c r="JU3" s="112" t="s">
        <v>22</v>
      </c>
      <c r="JV3" s="112" t="s">
        <v>23</v>
      </c>
      <c r="JW3" s="112" t="s">
        <v>14</v>
      </c>
      <c r="JX3" s="114" t="s">
        <v>54</v>
      </c>
      <c r="JY3" s="114" t="s">
        <v>44</v>
      </c>
      <c r="JZ3" s="10"/>
      <c r="KA3" s="9"/>
      <c r="KB3" s="9"/>
      <c r="KC3" s="9"/>
      <c r="KD3" s="9"/>
      <c r="KE3" s="10"/>
      <c r="KF3" s="10"/>
      <c r="KG3" s="113" t="s">
        <v>22</v>
      </c>
      <c r="KH3" s="113" t="s">
        <v>23</v>
      </c>
      <c r="KI3" s="113" t="s">
        <v>14</v>
      </c>
      <c r="KJ3" s="115" t="s">
        <v>54</v>
      </c>
      <c r="KK3" s="115" t="s">
        <v>44</v>
      </c>
      <c r="KL3" s="113" t="s">
        <v>22</v>
      </c>
      <c r="KM3" s="113" t="s">
        <v>23</v>
      </c>
      <c r="KN3" s="113" t="s">
        <v>14</v>
      </c>
      <c r="KO3" s="115" t="s">
        <v>54</v>
      </c>
      <c r="KP3" s="115" t="s">
        <v>44</v>
      </c>
      <c r="KQ3" s="113" t="s">
        <v>22</v>
      </c>
      <c r="KR3" s="113" t="s">
        <v>23</v>
      </c>
      <c r="KS3" s="113" t="s">
        <v>14</v>
      </c>
      <c r="KT3" s="115" t="s">
        <v>54</v>
      </c>
      <c r="KU3" s="115" t="s">
        <v>44</v>
      </c>
      <c r="KV3" s="13"/>
      <c r="KW3" s="12"/>
      <c r="KX3" s="12"/>
      <c r="KY3" s="12"/>
      <c r="KZ3" s="12"/>
      <c r="LA3" s="13"/>
      <c r="LB3" s="13"/>
      <c r="LC3" s="112" t="s">
        <v>22</v>
      </c>
      <c r="LD3" s="112" t="s">
        <v>23</v>
      </c>
      <c r="LE3" s="112" t="s">
        <v>14</v>
      </c>
      <c r="LF3" s="114" t="s">
        <v>54</v>
      </c>
      <c r="LG3" s="114" t="s">
        <v>44</v>
      </c>
      <c r="LH3" s="112" t="s">
        <v>22</v>
      </c>
      <c r="LI3" s="112" t="s">
        <v>23</v>
      </c>
      <c r="LJ3" s="112" t="s">
        <v>14</v>
      </c>
      <c r="LK3" s="114" t="s">
        <v>54</v>
      </c>
      <c r="LL3" s="114" t="s">
        <v>44</v>
      </c>
      <c r="LM3" s="112" t="s">
        <v>22</v>
      </c>
      <c r="LN3" s="112" t="s">
        <v>23</v>
      </c>
      <c r="LO3" s="112" t="s">
        <v>14</v>
      </c>
      <c r="LP3" s="114" t="s">
        <v>54</v>
      </c>
      <c r="LQ3" s="114" t="s">
        <v>44</v>
      </c>
      <c r="LR3" s="10"/>
      <c r="LS3" s="9"/>
      <c r="LT3" s="9"/>
      <c r="LU3" s="9"/>
      <c r="LV3" s="9"/>
      <c r="LW3" s="10"/>
      <c r="LX3" s="10"/>
      <c r="LY3" s="113" t="s">
        <v>22</v>
      </c>
      <c r="LZ3" s="113" t="s">
        <v>23</v>
      </c>
      <c r="MA3" s="113" t="s">
        <v>14</v>
      </c>
      <c r="MB3" s="115" t="s">
        <v>54</v>
      </c>
      <c r="MC3" s="115" t="s">
        <v>44</v>
      </c>
      <c r="MD3" s="113" t="s">
        <v>22</v>
      </c>
      <c r="ME3" s="113" t="s">
        <v>23</v>
      </c>
      <c r="MF3" s="113" t="s">
        <v>14</v>
      </c>
      <c r="MG3" s="115" t="s">
        <v>54</v>
      </c>
      <c r="MH3" s="115" t="s">
        <v>44</v>
      </c>
      <c r="MI3" s="113" t="s">
        <v>22</v>
      </c>
      <c r="MJ3" s="113" t="s">
        <v>23</v>
      </c>
      <c r="MK3" s="113" t="s">
        <v>14</v>
      </c>
      <c r="ML3" s="115" t="s">
        <v>54</v>
      </c>
      <c r="MM3" s="115" t="s">
        <v>44</v>
      </c>
      <c r="MN3" s="13"/>
      <c r="MO3" s="12"/>
      <c r="MP3" s="12"/>
      <c r="MQ3" s="12"/>
      <c r="MR3" s="12"/>
      <c r="MS3" s="13"/>
      <c r="MT3" s="13"/>
      <c r="MU3" s="112" t="s">
        <v>22</v>
      </c>
      <c r="MV3" s="112" t="s">
        <v>23</v>
      </c>
      <c r="MW3" s="112" t="s">
        <v>14</v>
      </c>
      <c r="MX3" s="112" t="s">
        <v>24</v>
      </c>
      <c r="MY3" s="112" t="s">
        <v>44</v>
      </c>
      <c r="MZ3" s="112" t="s">
        <v>22</v>
      </c>
      <c r="NA3" s="112" t="s">
        <v>23</v>
      </c>
      <c r="NB3" s="112" t="s">
        <v>14</v>
      </c>
      <c r="NC3" s="112" t="s">
        <v>24</v>
      </c>
      <c r="ND3" s="112" t="s">
        <v>44</v>
      </c>
      <c r="NE3" s="112" t="s">
        <v>22</v>
      </c>
      <c r="NF3" s="112" t="s">
        <v>23</v>
      </c>
      <c r="NG3" s="112" t="s">
        <v>14</v>
      </c>
      <c r="NH3" s="112" t="s">
        <v>24</v>
      </c>
      <c r="NI3" s="112" t="s">
        <v>44</v>
      </c>
      <c r="NJ3" s="112" t="s">
        <v>87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IF(AND(G4&lt;&gt;"",H4&lt;&gt;""),SUMPRODUCT((G$4:G$10&lt;&gt;"")*(H$4:H$10&lt;&gt;"")*(E$4:E$10&gt;E4))+1,IF(H4&lt;&gt;"",SUMPRODUCT((I$4:I$10="No DD")*(E$4:E$10&gt;E4))+1+SUMPRODUCT((G$4:G$10&lt;&gt;"")*(H$4:H$10&lt;&gt;"")),""))</f>
        <v>1</v>
      </c>
      <c r="B4" s="127" t="s">
        <v>131</v>
      </c>
      <c r="C4" s="5" t="s">
        <v>97</v>
      </c>
      <c r="D4" s="5" t="s">
        <v>132</v>
      </c>
      <c r="E4" s="15">
        <f>SUM(K4:S4)</f>
        <v>91.580000000000013</v>
      </c>
      <c r="F4" s="3" t="str">
        <f>IF(G4&lt;&gt;"","P","")</f>
        <v>P</v>
      </c>
      <c r="G4" s="125" t="str">
        <f>IF(OR(AND(AL4&gt;=AR$15,AL4&lt;&gt;"",AK4=""),AND(AP4&gt;=AR$15,AP4&lt;&gt;"",AK4=""),AND(BI4&gt;=BO$15,BI4&lt;&gt;"",BH4=""),AND(BM4&gt;=BO$15,BM4&lt;&gt;"",BH4=""),AND(CF4&gt;=CL$15,CF4&lt;&gt;"",CE4=""),AND(CJ4&gt;=CL$15,CJ4&lt;&gt;"",CE4=""),AND(DF4&gt;=DL$15,DF4&lt;&gt;""),AND(DJ4&gt;=DL$15,DJ4&lt;&gt;""),AND(EB4&gt;=EH$15,EB4&lt;&gt;""),AND(EF4&gt;=EH$15,EF4&lt;&gt;""),AND(EX4&gt;=FD$15,EX4&lt;&gt;""),AND(FB4&gt;=FD$15,FB4&lt;&gt;""),AND(FT4&gt;=FZ$15,FT4&lt;&gt;""),AND(FX4&gt;=FZ$15,FX4&lt;&gt;""),AND(GP4&gt;=GV$15,GP4&lt;&gt;""),AND(GT4&gt;=GV$15,GT4&lt;&gt;""),AND(HL4&gt;=HR$15,HL4&lt;&gt;""),AND(HP4&gt;=HR$15,HP4&lt;&gt;""),AND(IH4&gt;=IN$15,IH4&lt;&gt;""),AND(IL4&gt;=IN$15,IL4&lt;&gt;""),AND(JD4&gt;=JJ$15,JD4&lt;&gt;""),AND(JH4&gt;=JJ$15,JH4&lt;&gt;""),AND(JZ4&gt;=KF$15,JZ4&lt;&gt;""),AND(KD4&gt;=KF$15,KD4&lt;&gt;""),AND(KV4&gt;=LB$15,KV4&lt;&gt;""),AND(KZ4&gt;=LB$15,KZ4&lt;&gt;""),AND(LR4&gt;=LX$15,LR4&lt;&gt;""),AND(LV4&gt;=LX$15,LV4&lt;&gt;""),AND(MN4&gt;=MT$15,MN4&lt;&gt;""),AND(MR4&gt;=MT$15,MR4&lt;&gt;"")),"Merit",IF(OR(AND(AL4&gt;=AR$14,AL4&lt;&gt;"",AK4=""),AND(AP4&gt;=AR$14,AP4&lt;&gt;"",AK4=""),AND(BI4&gt;=BO$14,BI4&lt;&gt;"",BH4=""),AND(BM4&gt;=BO$14,BM4&lt;&gt;"",BH4=""),AND(CF4&gt;=CL$14,CF4&lt;&gt;"",CE4=""),AND(CJ4&gt;=CL$14,CJ4&lt;&gt;"",CE4=""),AND(DF4&gt;=DL$14,DF4&lt;&gt;""),AND(DJ4&gt;=DL$14,DJ4&lt;&gt;""),AND(EB4&gt;=EH$14,EB4&lt;&gt;""),AND(EF4&gt;=EH$14,EF4&lt;&gt;""),AND(EX4&gt;=FD$14,EX4&lt;&gt;""),AND(FB4&gt;=FD$14,FB4&lt;&gt;""),AND(FT4&gt;=FZ$14,FT4&lt;&gt;""),AND(FX4&gt;=FZ$14,FX4&lt;&gt;""),AND(GP4&gt;=GV$14,GP4&lt;&gt;""),AND(GT4&gt;=GV$14,GT4&lt;&gt;""),AND(HL4&gt;=HR$14,HL4&lt;&gt;""),AND(HP4&gt;=HR$14,HP4&lt;&gt;""),AND(IH4&gt;=IN$14,IH4&lt;&gt;""),AND(IL4&gt;=IN$14,IL4&lt;&gt;""),AND(JD4&gt;=JJ$14,JD4&lt;&gt;""),AND(JH4&gt;=JJ$14,JH4&lt;&gt;""),AND(JZ4&gt;=KF$14,JZ4&lt;&gt;""),AND(KD4&gt;=KF$14,KD4&lt;&gt;""),AND(KV4&gt;=LB$14,KV4&lt;&gt;""),AND(KZ4&gt;=LB$14,KZ4&lt;&gt;""),AND(LR4&gt;=LX$14,LR4&lt;&gt;""),AND(LV4&gt;=LX$14,LV4&lt;&gt;""),AND(MN4&gt;=MT$14,MN4&lt;&gt;""),AND(MR4&gt;=MT$14,MR4&lt;&gt;"")),"Excellence",IF(OR(AND(AL4&gt;=AR$13,AL4&lt;&gt;"",AK4=""),AND(AP4&gt;=AR$13,AP4&lt;&gt;"",AK4=""),AND(BI4&gt;=BO$13,BI4&lt;&gt;"",BH4=""),AND(BM4&gt;=BO$13,BM4&lt;&gt;"",BH4=""),AND(CF4&gt;=CL$13,CF4&lt;&gt;"",CE4=""),AND(CJ4&gt;=CL$13,CJ4&lt;&gt;"",CE4=""),AND(DF4&gt;=DL$13,DF4&lt;&gt;""),AND(DJ4&gt;=DL$13,DJ4&lt;&gt;""),AND(EB4&gt;=EH$13,EB4&lt;&gt;""),AND(EF4&gt;=EH$13,EF4&lt;&gt;""),AND(EX4&gt;=FD$13,EX4&lt;&gt;""),AND(FB4&gt;=FD$13,FB4&lt;&gt;""),AND(FT4&gt;=FZ$13,FT4&lt;&gt;""),AND(FX4&gt;=FZ$13,FX4&lt;&gt;""),AND(GP4&gt;=GV$13,GP4&lt;&gt;""),AND(GT4&gt;=GV$13,GT4&lt;&gt;""),AND(HL4&gt;=HR$13,HL4&lt;&gt;""),AND(HP4&gt;=HR$13,HP4&lt;&gt;""),AND(IH4&gt;=IN$13,IH4&lt;&gt;""),AND(IL4&gt;=IN$13,IL4&lt;&gt;""),AND(JD4&gt;=JJ$13,JD4&lt;&gt;""),AND(JH4&gt;=JJ$13,JH4&lt;&gt;""),AND(JZ4&gt;=KF$13,JZ4&lt;&gt;""),AND(KD4&gt;=KF$13,KD4&lt;&gt;""),AND(KV4&gt;=LB$13,KV4&lt;&gt;""),AND(KZ4&gt;=LB$13,KZ4&lt;&gt;""),AND(LR4&gt;=LX$13,LR4&lt;&gt;""),AND(LV4&gt;=LX$13,LV4&lt;&gt;""),AND(MN4&gt;=MT$13,MN4&lt;&gt;""),AND(MR4&gt;=MT$13,MR4&lt;&gt;"")),"Worlds Team",IF(OR(AND(AL4&gt;=AR$12,AL4&lt;&gt;"",AK4=""),AND(AP4&gt;=AR$12,AP4&lt;&gt;"",AK4=""),AND(BI4&gt;=BO$12,BI4&lt;&gt;"",BH4=""),AND(BM4&gt;=BO$12,BM4&lt;&gt;"",BH4=""),AND(CF4&gt;=CL$12,CF4&lt;&gt;"",CE4=""),AND(CJ4&gt;=CL$12,CJ4&lt;&gt;"",CE4=""),AND(DF4&gt;=DL$12,DF4&lt;&gt;""),AND(DJ4&gt;=DL$12,DJ4&lt;&gt;""),AND(EB4&gt;=EH$12,EB4&lt;&gt;""),AND(EF4&gt;=EH$12,EF4&lt;&gt;""),AND(EX4&gt;=FD$12,EX4&lt;&gt;""),AND(FB4&gt;=FD$12,FB4&lt;&gt;""),AND(FT4&gt;=FZ$12,FT4&lt;&gt;""),AND(FX4&gt;=FZ$12,FX4&lt;&gt;""),AND(GP4&gt;=GV$12,GP4&lt;&gt;""),AND(GT4&gt;=GV$12,GT4&lt;&gt;""),AND(HL4&gt;=HR$12,HL4&lt;&gt;""),AND(HP4&gt;=HR$12,HP4&lt;&gt;""),AND(IH4&gt;=IN$12,IH4&lt;&gt;""),AND(IL4&gt;=IN$12,IL4&lt;&gt;""),AND(JD4&gt;=JJ$12,JD4&lt;&gt;""),AND(JH4&gt;=JJ$12,JH4&lt;&gt;""),AND(JZ4&gt;=KF$12,JZ4&lt;&gt;""),AND(KD4&gt;=KF$12,KD4&lt;&gt;""),AND(KV4&gt;=LB$12,KV4&lt;&gt;""),AND(KZ4&gt;=LB$12,KZ4&lt;&gt;""),AND(LR4&gt;=LX$12,LR4&lt;&gt;""),AND(LV4&gt;=LX$12,LV4&lt;&gt;""),AND(MN4&gt;=MT$12,MN4&lt;&gt;""),AND(MR4&gt;=MT$12,MR4&lt;&gt;"")),"National Team",""))))</f>
        <v>National Team</v>
      </c>
      <c r="H4" s="125" t="str">
        <f>IF(OR(AND(AN4&gt;=AR$19,AN4&lt;&gt;"",AK4=""),AND(AQ4&gt;=AR$19,AQ4&lt;&gt;"",AK4=""),AND(BK4&gt;=BO$19,BK4&lt;&gt;"",BH4=""),AND(BN4&gt;=BO$19,BN4&lt;&gt;"",BH4=""),AND(CH4&gt;=CL$19,CH4&lt;&gt;"",CE4=""),AND(CK4&gt;=CL$19,CE4&lt;&gt;"",CE4=""),AND(DH4&gt;=DL$19,DH4&lt;&gt;""),AND(DK4&gt;=DL$19,DK4&lt;&gt;""),AND(ED4&gt;=EH$19,ED4&lt;&gt;""),AND(EG4&gt;=EH$19,EG4&lt;&gt;""),AND(EZ4&gt;=FD$19,EZ4&lt;&gt;""),AND(FC4&gt;=FD$19,FC4&lt;&gt;""),AND(FV4&gt;=FZ$19,FV4&lt;&gt;""),AND(FY4&gt;=FZ$19,FY4&lt;&gt;""),AND(GR4&gt;=GV$19,GR4&lt;&gt;""),AND(GU4&gt;=GV$19,GU4&lt;&gt;""),AND(HN4&gt;=HR$19,HN4&lt;&gt;""),AND(HQ4&gt;=HR$19,HQ4&lt;&gt;""),AND(IJ4&gt;=IN$19,IJ4&lt;&gt;""),AND(IM4&gt;=IN$19,IM4&lt;&gt;""),AND(JF4&gt;=JJ$19,JF4&lt;&gt;""),AND(JI4&gt;=JJ$19,JI4&lt;&gt;""),AND(KB4&gt;=KF$19,KB4&lt;&gt;""),AND(KE4&gt;=KF$19,KE4&lt;&gt;""),AND(KX4&gt;=LB$19,KX4&lt;&gt;""),AND(LA4&gt;=LB$19,LA4&lt;&gt;""),AND(LT4&gt;=LX$19,LT4&lt;&gt;""),AND(LW4&gt;=LX$19,LW4&lt;&gt;""),AND(MP4&gt;=MT$19,MP4&lt;&gt;""),AND(MS4&gt;=MT$19,MS4&lt;&gt;"")),"Merit",IF(OR(AND(AN4&gt;=AR$18,AN4&lt;&gt;"",AK4=""),AND(AQ4&gt;=AR$18,AQ4&lt;&gt;"",AK4=""),AND(BK4&gt;=BO$18,BK4&lt;&gt;"",BH4=""),AND(BN4&gt;=BO$18,BN4&lt;&gt;"",BH4=""),AND(CH4&gt;=CL$18,CH4&lt;&gt;"",CE4=""),AND(CK4&gt;=CL$18,CE4&lt;&gt;"",CE4=""),AND(DH4&gt;=DL$18,DH4&lt;&gt;""),AND(DK4&gt;=DL$18,DK4&lt;&gt;""),AND(ED4&gt;=EH$18,ED4&lt;&gt;""),AND(EG4&gt;=EH$18,EG4&lt;&gt;""),AND(EZ4&gt;=FD$18,EZ4&lt;&gt;""),AND(FC4&gt;=FD$18,FC4&lt;&gt;""),AND(FV4&gt;=FZ$18,FV4&lt;&gt;""),AND(FY4&gt;=FZ$18,FY4&lt;&gt;""),AND(GR4&gt;=GV$18,GR4&lt;&gt;""),AND(GU4&gt;=GV$18,GU4&lt;&gt;""),AND(HN4&gt;=HR$18,HN4&lt;&gt;""),AND(HQ4&gt;=HR$18,HQ4&lt;&gt;""),AND(IJ4&gt;=IN$18,IJ4&lt;&gt;""),AND(IM4&gt;=IN$18,IM4&lt;&gt;""),AND(JF4&gt;=JJ$18,JF4&lt;&gt;""),AND(JI4&gt;=JJ$18,JI4&lt;&gt;""),AND(KB4&gt;=KF$18,KB4&lt;&gt;""),AND(KE4&gt;=KF$18,KE4&lt;&gt;""),AND(KX4&gt;=LB$18,KX4&lt;&gt;""),AND(LA4&gt;=LB$18,LA4&lt;&gt;""),AND(LT4&gt;=LX$18,LT4&lt;&gt;""),AND(LW4&gt;=LX$18,LW4&lt;&gt;""),AND(MP4&gt;=MT$18,MP4&lt;&gt;""),AND(MS4&gt;=MT$18,MS4&lt;&gt;"")),"Excellence",IF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"Worlds Team",IF(OR(AND(AO4&gt;=AR$16,AO4&lt;&gt;"",AK4=""),AND(BL4&gt;=BO$16,BL4&lt;&gt;"",BH4=""),AND(CI4&gt;=CL$16,CI4&lt;&gt;"",CE4=""),AND(DI4&gt;=DL$16,DI4&lt;&gt;""),AND(EE4&gt;=EH$16,EE4&lt;&gt;""),AND(FA4&gt;=FD$16,FA4&lt;&gt;""),AND(FW4&gt;=FZ$16,FW4&lt;&gt;""),AND(GS4&gt;=GV$16,GS4&lt;&gt;""),AND(HO4&gt;=HR$16,HO4&lt;&gt;""),AND(IK4&gt;=IN$16,IK4&lt;&gt;""),AND(JG4&gt;=JJ$16,JG4&lt;&gt;""),AND(KC4&gt;=KF$16,KC4&lt;&gt;""),AND(KY4&gt;=LB$16,KY4&lt;&gt;""),AND(LU4&gt;=LX$16,LU4&lt;&gt;""),AND(MQ4&gt;=MT$16,MQ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$17,AO4&lt;&gt;"",AK4=""),AND(BL4&gt;=BO$17,BL4&lt;&gt;"",BH4=""),AND(CI4&gt;=CL$17,CI4&lt;&gt;"",CE4=""),AND(DI4&gt;=DL$17,DI4&lt;&gt;""),AND(EE4&gt;=EH$17,EE4&lt;&gt;""),AND(FA4&gt;=FD$17,FA4&lt;&gt;""),AND(FW4&gt;=FZ$17,FW4&lt;&gt;""),AND(GS4&gt;=GV$17,GS4&lt;&gt;""),AND(HO4&gt;=HR$17,HO4&lt;&gt;""),AND(IK4&gt;=IN$17,IK4&lt;&gt;""),AND(JG4&gt;=JJ$17,JG4&lt;&gt;""),AND(KC4&gt;=KF$17,KC4&lt;&gt;""),AND(KY4&gt;=LB$17,KY4&lt;&gt;""),AND(LU4&gt;=LX$17,LU4&lt;&gt;""),AND(MQ4&gt;=MT$17,MQ4&lt;&gt;"")),OR(G4="Worlds Team",G4="Excellence",G4="Merit")),"P","")</f>
        <v/>
      </c>
      <c r="K4" s="14">
        <f>MAX(AO4,BL4,CI4)</f>
        <v>86.330000000000013</v>
      </c>
      <c r="L4" s="14" t="str">
        <f>IF(K4=0,"",IF(K4=CI4,$BP$1,IF(K4=BL4,$AS$1,IF(K4=AO4,$V$1,""))))</f>
        <v>2019 Nationals</v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5.25</v>
      </c>
      <c r="R4" s="14" t="str">
        <f>IF(Q4=0,"",IF(Q4=CK4,$BP$1,IF(Q4=BN4,$AS$1,IF(Q4=AQ4,$V$1,""))))</f>
        <v>2019 Nationals</v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>
        <v>9.1</v>
      </c>
      <c r="W4" s="39">
        <v>9.25</v>
      </c>
      <c r="X4" s="39">
        <v>4.0999999999999996</v>
      </c>
      <c r="Y4" s="39">
        <v>18.18</v>
      </c>
      <c r="Z4" s="39">
        <v>0</v>
      </c>
      <c r="AA4" s="39">
        <v>8.5500000000000007</v>
      </c>
      <c r="AB4" s="39">
        <v>8.85</v>
      </c>
      <c r="AC4" s="39">
        <v>11.8</v>
      </c>
      <c r="AD4" s="39">
        <v>16.5</v>
      </c>
      <c r="AE4" s="39">
        <v>0</v>
      </c>
      <c r="AF4" s="39">
        <v>0.85</v>
      </c>
      <c r="AG4" s="39">
        <v>0.9</v>
      </c>
      <c r="AH4" s="39">
        <v>1.5</v>
      </c>
      <c r="AI4" s="39">
        <v>2</v>
      </c>
      <c r="AJ4" s="39">
        <v>0</v>
      </c>
      <c r="AK4" s="80"/>
      <c r="AL4" s="11">
        <f>IF(AC4&gt;0,AC4,"")</f>
        <v>11.8</v>
      </c>
      <c r="AM4" s="11">
        <f>IF(SUM(V4:Y4)-Z4&gt;0,SUM(V4:Y4)-Z4,"")</f>
        <v>40.630000000000003</v>
      </c>
      <c r="AN4" s="11">
        <f>IF(SUM(AA4:AD4)-AE4&gt;0,SUM(AA4:AD4)-AE4,"")</f>
        <v>45.7</v>
      </c>
      <c r="AO4" s="11">
        <f>IF(SUM(AM4:AN4)&gt;0,SUM(AM4:AN4),"")</f>
        <v>86.330000000000013</v>
      </c>
      <c r="AP4" s="11">
        <f>IF(AH4&gt;0,AH4,"")</f>
        <v>1.5</v>
      </c>
      <c r="AQ4" s="11">
        <f>IF(SUM(AF4:AI4)-AJ4&gt;0,SUM(AF4:AI4)-AJ4,"")</f>
        <v>5.25</v>
      </c>
      <c r="AR4" s="11">
        <f>IF(SUM(AO4,AQ4)&gt;0,SUM(AO4,AQ4),"")</f>
        <v>91.580000000000013</v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88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IF(AND(G5&lt;&gt;"",H5&lt;&gt;""),SUMPRODUCT((G$4:G$10&lt;&gt;"")*(H$4:H$10&lt;&gt;"")*(E$4:E$10&gt;E5))+1,IF(H5&lt;&gt;"",SUMPRODUCT((I$4:I$10="No DD")*(E$4:E$10&gt;E5))+1+SUMPRODUCT((G$4:G$10&lt;&gt;"")*(H$4:H$10&lt;&gt;"")),""))</f>
        <v/>
      </c>
      <c r="B5" s="127" t="s">
        <v>146</v>
      </c>
      <c r="C5" s="5" t="s">
        <v>145</v>
      </c>
      <c r="D5" s="5" t="s">
        <v>144</v>
      </c>
      <c r="E5" s="15">
        <f>SUM(K5:S5)</f>
        <v>79.48</v>
      </c>
      <c r="F5" s="3" t="str">
        <f>IF(G5&lt;&gt;"","P","")</f>
        <v>P</v>
      </c>
      <c r="G5" s="125" t="str">
        <f>IF(OR(AND(AL5&gt;=AR$15,AL5&lt;&gt;"",AK5=""),AND(AP5&gt;=AR$15,AP5&lt;&gt;"",AK5=""),AND(BI5&gt;=BO$15,BI5&lt;&gt;"",BH5=""),AND(BM5&gt;=BO$15,BM5&lt;&gt;"",BH5=""),AND(CF5&gt;=CL$15,CF5&lt;&gt;"",CE5=""),AND(CJ5&gt;=CL$15,CJ5&lt;&gt;"",CE5=""),AND(DF5&gt;=DL$15,DF5&lt;&gt;""),AND(DJ5&gt;=DL$15,DJ5&lt;&gt;""),AND(EB5&gt;=EH$15,EB5&lt;&gt;""),AND(EF5&gt;=EH$15,EF5&lt;&gt;""),AND(EX5&gt;=FD$15,EX5&lt;&gt;""),AND(FB5&gt;=FD$15,FB5&lt;&gt;""),AND(FT5&gt;=FZ$15,FT5&lt;&gt;""),AND(FX5&gt;=FZ$15,FX5&lt;&gt;""),AND(GP5&gt;=GV$15,GP5&lt;&gt;""),AND(GT5&gt;=GV$15,GT5&lt;&gt;""),AND(HL5&gt;=HR$15,HL5&lt;&gt;""),AND(HP5&gt;=HR$15,HP5&lt;&gt;""),AND(IH5&gt;=IN$15,IH5&lt;&gt;""),AND(IL5&gt;=IN$15,IL5&lt;&gt;""),AND(JD5&gt;=JJ$15,JD5&lt;&gt;""),AND(JH5&gt;=JJ$15,JH5&lt;&gt;""),AND(JZ5&gt;=KF$15,JZ5&lt;&gt;""),AND(KD5&gt;=KF$15,KD5&lt;&gt;""),AND(KV5&gt;=LB$15,KV5&lt;&gt;""),AND(KZ5&gt;=LB$15,KZ5&lt;&gt;""),AND(LR5&gt;=LX$15,LR5&lt;&gt;""),AND(LV5&gt;=LX$15,LV5&lt;&gt;""),AND(MN5&gt;=MT$15,MN5&lt;&gt;""),AND(MR5&gt;=MT$15,MR5&lt;&gt;"")),"Merit",IF(OR(AND(AL5&gt;=AR$14,AL5&lt;&gt;"",AK5=""),AND(AP5&gt;=AR$14,AP5&lt;&gt;"",AK5=""),AND(BI5&gt;=BO$14,BI5&lt;&gt;"",BH5=""),AND(BM5&gt;=BO$14,BM5&lt;&gt;"",BH5=""),AND(CF5&gt;=CL$14,CF5&lt;&gt;"",CE5=""),AND(CJ5&gt;=CL$14,CJ5&lt;&gt;"",CE5=""),AND(DF5&gt;=DL$14,DF5&lt;&gt;""),AND(DJ5&gt;=DL$14,DJ5&lt;&gt;""),AND(EB5&gt;=EH$14,EB5&lt;&gt;""),AND(EF5&gt;=EH$14,EF5&lt;&gt;""),AND(EX5&gt;=FD$14,EX5&lt;&gt;""),AND(FB5&gt;=FD$14,FB5&lt;&gt;""),AND(FT5&gt;=FZ$14,FT5&lt;&gt;""),AND(FX5&gt;=FZ$14,FX5&lt;&gt;""),AND(GP5&gt;=GV$14,GP5&lt;&gt;""),AND(GT5&gt;=GV$14,GT5&lt;&gt;""),AND(HL5&gt;=HR$14,HL5&lt;&gt;""),AND(HP5&gt;=HR$14,HP5&lt;&gt;""),AND(IH5&gt;=IN$14,IH5&lt;&gt;""),AND(IL5&gt;=IN$14,IL5&lt;&gt;""),AND(JD5&gt;=JJ$14,JD5&lt;&gt;""),AND(JH5&gt;=JJ$14,JH5&lt;&gt;""),AND(JZ5&gt;=KF$14,JZ5&lt;&gt;""),AND(KD5&gt;=KF$14,KD5&lt;&gt;""),AND(KV5&gt;=LB$14,KV5&lt;&gt;""),AND(KZ5&gt;=LB$14,KZ5&lt;&gt;""),AND(LR5&gt;=LX$14,LR5&lt;&gt;""),AND(LV5&gt;=LX$14,LV5&lt;&gt;""),AND(MN5&gt;=MT$14,MN5&lt;&gt;""),AND(MR5&gt;=MT$14,MR5&lt;&gt;"")),"Excellence",IF(OR(AND(AL5&gt;=AR$13,AL5&lt;&gt;"",AK5=""),AND(AP5&gt;=AR$13,AP5&lt;&gt;"",AK5=""),AND(BI5&gt;=BO$13,BI5&lt;&gt;"",BH5=""),AND(BM5&gt;=BO$13,BM5&lt;&gt;"",BH5=""),AND(CF5&gt;=CL$13,CF5&lt;&gt;"",CE5=""),AND(CJ5&gt;=CL$13,CJ5&lt;&gt;"",CE5=""),AND(DF5&gt;=DL$13,DF5&lt;&gt;""),AND(DJ5&gt;=DL$13,DJ5&lt;&gt;""),AND(EB5&gt;=EH$13,EB5&lt;&gt;""),AND(EF5&gt;=EH$13,EF5&lt;&gt;""),AND(EX5&gt;=FD$13,EX5&lt;&gt;""),AND(FB5&gt;=FD$13,FB5&lt;&gt;""),AND(FT5&gt;=FZ$13,FT5&lt;&gt;""),AND(FX5&gt;=FZ$13,FX5&lt;&gt;""),AND(GP5&gt;=GV$13,GP5&lt;&gt;""),AND(GT5&gt;=GV$13,GT5&lt;&gt;""),AND(HL5&gt;=HR$13,HL5&lt;&gt;""),AND(HP5&gt;=HR$13,HP5&lt;&gt;""),AND(IH5&gt;=IN$13,IH5&lt;&gt;""),AND(IL5&gt;=IN$13,IL5&lt;&gt;""),AND(JD5&gt;=JJ$13,JD5&lt;&gt;""),AND(JH5&gt;=JJ$13,JH5&lt;&gt;""),AND(JZ5&gt;=KF$13,JZ5&lt;&gt;""),AND(KD5&gt;=KF$13,KD5&lt;&gt;""),AND(KV5&gt;=LB$13,KV5&lt;&gt;""),AND(KZ5&gt;=LB$13,KZ5&lt;&gt;""),AND(LR5&gt;=LX$13,LR5&lt;&gt;""),AND(LV5&gt;=LX$13,LV5&lt;&gt;""),AND(MN5&gt;=MT$13,MN5&lt;&gt;""),AND(MR5&gt;=MT$13,MR5&lt;&gt;"")),"Worlds Team",IF(OR(AND(AL5&gt;=AR$12,AL5&lt;&gt;"",AK5=""),AND(AP5&gt;=AR$12,AP5&lt;&gt;"",AK5=""),AND(BI5&gt;=BO$12,BI5&lt;&gt;"",BH5=""),AND(BM5&gt;=BO$12,BM5&lt;&gt;"",BH5=""),AND(CF5&gt;=CL$12,CF5&lt;&gt;"",CE5=""),AND(CJ5&gt;=CL$12,CJ5&lt;&gt;"",CE5=""),AND(DF5&gt;=DL$12,DF5&lt;&gt;""),AND(DJ5&gt;=DL$12,DJ5&lt;&gt;""),AND(EB5&gt;=EH$12,EB5&lt;&gt;""),AND(EF5&gt;=EH$12,EF5&lt;&gt;""),AND(EX5&gt;=FD$12,EX5&lt;&gt;""),AND(FB5&gt;=FD$12,FB5&lt;&gt;""),AND(FT5&gt;=FZ$12,FT5&lt;&gt;""),AND(FX5&gt;=FZ$12,FX5&lt;&gt;""),AND(GP5&gt;=GV$12,GP5&lt;&gt;""),AND(GT5&gt;=GV$12,GT5&lt;&gt;""),AND(HL5&gt;=HR$12,HL5&lt;&gt;""),AND(HP5&gt;=HR$12,HP5&lt;&gt;""),AND(IH5&gt;=IN$12,IH5&lt;&gt;""),AND(IL5&gt;=IN$12,IL5&lt;&gt;""),AND(JD5&gt;=JJ$12,JD5&lt;&gt;""),AND(JH5&gt;=JJ$12,JH5&lt;&gt;""),AND(JZ5&gt;=KF$12,JZ5&lt;&gt;""),AND(KD5&gt;=KF$12,KD5&lt;&gt;""),AND(KV5&gt;=LB$12,KV5&lt;&gt;""),AND(KZ5&gt;=LB$12,KZ5&lt;&gt;""),AND(LR5&gt;=LX$12,LR5&lt;&gt;""),AND(LV5&gt;=LX$12,LV5&lt;&gt;""),AND(MN5&gt;=MT$12,MN5&lt;&gt;""),AND(MR5&gt;=MT$12,MR5&lt;&gt;"")),"National Team",""))))</f>
        <v>National Team</v>
      </c>
      <c r="H5" s="125" t="str">
        <f>IF(OR(AND(AN5&gt;=AR$19,AN5&lt;&gt;"",AK5=""),AND(AQ5&gt;=AR$19,AQ5&lt;&gt;"",AK5=""),AND(BK5&gt;=BO$19,BK5&lt;&gt;"",BH5=""),AND(BN5&gt;=BO$19,BN5&lt;&gt;"",BH5=""),AND(CH5&gt;=CL$19,CH5&lt;&gt;"",CE5=""),AND(CK5&gt;=CL$19,CE5&lt;&gt;"",CE5=""),AND(DH5&gt;=DL$19,DH5&lt;&gt;""),AND(DK5&gt;=DL$19,DK5&lt;&gt;""),AND(ED5&gt;=EH$19,ED5&lt;&gt;""),AND(EG5&gt;=EH$19,EG5&lt;&gt;""),AND(EZ5&gt;=FD$19,EZ5&lt;&gt;""),AND(FC5&gt;=FD$19,FC5&lt;&gt;""),AND(FV5&gt;=FZ$19,FV5&lt;&gt;""),AND(FY5&gt;=FZ$19,FY5&lt;&gt;""),AND(GR5&gt;=GV$19,GR5&lt;&gt;""),AND(GU5&gt;=GV$19,GU5&lt;&gt;""),AND(HN5&gt;=HR$19,HN5&lt;&gt;""),AND(HQ5&gt;=HR$19,HQ5&lt;&gt;""),AND(IJ5&gt;=IN$19,IJ5&lt;&gt;""),AND(IM5&gt;=IN$19,IM5&lt;&gt;""),AND(JF5&gt;=JJ$19,JF5&lt;&gt;""),AND(JI5&gt;=JJ$19,JI5&lt;&gt;""),AND(KB5&gt;=KF$19,KB5&lt;&gt;""),AND(KE5&gt;=KF$19,KE5&lt;&gt;""),AND(KX5&gt;=LB$19,KX5&lt;&gt;""),AND(LA5&gt;=LB$19,LA5&lt;&gt;""),AND(LT5&gt;=LX$19,LT5&lt;&gt;""),AND(LW5&gt;=LX$19,LW5&lt;&gt;""),AND(MP5&gt;=MT$19,MP5&lt;&gt;""),AND(MS5&gt;=MT$19,MS5&lt;&gt;"")),"Merit",IF(OR(AND(AN5&gt;=AR$18,AN5&lt;&gt;"",AK5=""),AND(AQ5&gt;=AR$18,AQ5&lt;&gt;"",AK5=""),AND(BK5&gt;=BO$18,BK5&lt;&gt;"",BH5=""),AND(BN5&gt;=BO$18,BN5&lt;&gt;"",BH5=""),AND(CH5&gt;=CL$18,CH5&lt;&gt;"",CE5=""),AND(CK5&gt;=CL$18,CE5&lt;&gt;"",CE5=""),AND(DH5&gt;=DL$18,DH5&lt;&gt;""),AND(DK5&gt;=DL$18,DK5&lt;&gt;""),AND(ED5&gt;=EH$18,ED5&lt;&gt;""),AND(EG5&gt;=EH$18,EG5&lt;&gt;""),AND(EZ5&gt;=FD$18,EZ5&lt;&gt;""),AND(FC5&gt;=FD$18,FC5&lt;&gt;""),AND(FV5&gt;=FZ$18,FV5&lt;&gt;""),AND(FY5&gt;=FZ$18,FY5&lt;&gt;""),AND(GR5&gt;=GV$18,GR5&lt;&gt;""),AND(GU5&gt;=GV$18,GU5&lt;&gt;""),AND(HN5&gt;=HR$18,HN5&lt;&gt;""),AND(HQ5&gt;=HR$18,HQ5&lt;&gt;""),AND(IJ5&gt;=IN$18,IJ5&lt;&gt;""),AND(IM5&gt;=IN$18,IM5&lt;&gt;""),AND(JF5&gt;=JJ$18,JF5&lt;&gt;""),AND(JI5&gt;=JJ$18,JI5&lt;&gt;""),AND(KB5&gt;=KF$18,KB5&lt;&gt;""),AND(KE5&gt;=KF$18,KE5&lt;&gt;""),AND(KX5&gt;=LB$18,KX5&lt;&gt;""),AND(LA5&gt;=LB$18,LA5&lt;&gt;""),AND(LT5&gt;=LX$18,LT5&lt;&gt;""),AND(LW5&gt;=LX$18,LW5&lt;&gt;""),AND(MP5&gt;=MT$18,MP5&lt;&gt;""),AND(MS5&gt;=MT$18,MS5&lt;&gt;"")),"Excellence",IF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"Worlds Team",IF(OR(AND(AO5&gt;=AR$16,AO5&lt;&gt;"",AK5=""),AND(BL5&gt;=BO$16,BL5&lt;&gt;"",BH5=""),AND(CI5&gt;=CL$16,CI5&lt;&gt;"",CE5=""),AND(DI5&gt;=DL$16,DI5&lt;&gt;""),AND(EE5&gt;=EH$16,EE5&lt;&gt;""),AND(FA5&gt;=FD$16,FA5&lt;&gt;""),AND(FW5&gt;=FZ$16,FW5&lt;&gt;""),AND(GS5&gt;=GV$16,GS5&lt;&gt;""),AND(HO5&gt;=HR$16,HO5&lt;&gt;""),AND(IK5&gt;=IN$16,IK5&lt;&gt;""),AND(JG5&gt;=JJ$16,JG5&lt;&gt;""),AND(KC5&gt;=KF$16,KC5&lt;&gt;""),AND(KY5&gt;=LB$16,KY5&lt;&gt;""),AND(LU5&gt;=LX$16,LU5&lt;&gt;""),AND(MQ5&gt;=MT$16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$17,AO5&lt;&gt;"",AK5=""),AND(BL5&gt;=BO$17,BL5&lt;&gt;"",BH5=""),AND(CI5&gt;=CL$17,CI5&lt;&gt;"",CE5=""),AND(DI5&gt;=DL$17,DI5&lt;&gt;""),AND(EE5&gt;=EH$17,EE5&lt;&gt;""),AND(FA5&gt;=FD$17,FA5&lt;&gt;""),AND(FW5&gt;=FZ$17,FW5&lt;&gt;""),AND(GS5&gt;=GV$17,GS5&lt;&gt;""),AND(HO5&gt;=HR$17,HO5&lt;&gt;""),AND(IK5&gt;=IN$17,IK5&lt;&gt;""),AND(JG5&gt;=JJ$17,JG5&lt;&gt;""),AND(KC5&gt;=KF$17,KC5&lt;&gt;""),AND(KY5&gt;=LB$17,KY5&lt;&gt;""),AND(LU5&gt;=LX$17,LU5&lt;&gt;""),AND(MQ5&gt;=MT$17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79.48</v>
      </c>
      <c r="T5" s="25" t="str">
        <f>IF(S5="","",IF(S5=CM5,"(Vol 1)",IF(S5=CN5,"(Vol 2)",IF(S5=CO5,"(Prelim)",IF(S5=CP5,"(Final)")))))</f>
        <v>(Prelim)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2020 World Cup AZE (Feb 16)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>
        <f>IF(MAX(DG5,EC5,EY5,FU5,GQ5,HM5,II5,JE5,KA5,KW5,LS5,MO5)-IF(M5="",0,M5)&gt;0.001,MAX(DG5,EC5,EY5,FU5,GQ5,HM5,II5,JE5,KA5,KW5,LS5,MO5)-IF(M5="",0,M5),"")</f>
        <v>39.200000000000003</v>
      </c>
      <c r="CN5" s="24">
        <f>IF(MAX(DH5,ED5,EZ5,FV5,GR5,HN5,IJ5,JF5,KB5,KX5,LT5,MP5)-IF(O5="",0,O5)&gt;0.001,MAX(DH5,ED5,EZ5,FV5,GR5,HN5,IJ5,JF5,KB5,KX5,LT5,MP5)-IF(O5="",0,O5),"")</f>
        <v>40.28</v>
      </c>
      <c r="CO5" s="24">
        <f>IF(MAX(DI5,EE5,FA5,FW5,GS5,HO5,IK5,JG5,KC5,KY5,LU5,MQ5)-IF(K5="",0,K5)&gt;0.001,MAX(DI5,EE5,FA5,FW5,GS5,HO5,IK5,JG5,KC5,KY5,LU5,MQ5)-IF(K5="",0,K5),"")</f>
        <v>79.48</v>
      </c>
      <c r="CP5" s="24" t="str">
        <f>IF(MAX(DK5,EG5,FC5,FY5,GU5,HQ5,IM5,JI5,KE5,LA5,LW5,MS5)-IF(Q5="",0,Q5)&gt;0.001,MAX(DK5,EG5,FC5,FY5,GU5,HQ5,IM5,JI5,KE5,LA5,LW5,MS5)-IF(Q5="",0,Q5),"")</f>
        <v/>
      </c>
      <c r="CQ5" s="37">
        <v>8.85</v>
      </c>
      <c r="CR5" s="37">
        <v>9.65</v>
      </c>
      <c r="CS5" s="37">
        <v>3.8</v>
      </c>
      <c r="CT5" s="37">
        <v>16.899999999999999</v>
      </c>
      <c r="CU5" s="37">
        <v>0</v>
      </c>
      <c r="CV5" s="37">
        <v>7.85</v>
      </c>
      <c r="CW5" s="37">
        <v>9.35</v>
      </c>
      <c r="CX5" s="37">
        <v>11.6</v>
      </c>
      <c r="CY5" s="37">
        <v>11.48</v>
      </c>
      <c r="CZ5" s="37">
        <v>0</v>
      </c>
      <c r="DA5" s="37"/>
      <c r="DB5" s="37"/>
      <c r="DC5" s="37"/>
      <c r="DD5" s="37"/>
      <c r="DE5" s="37"/>
      <c r="DF5" s="11">
        <f>IF(CX5&gt;0,CX5,"")</f>
        <v>11.6</v>
      </c>
      <c r="DG5" s="11">
        <f>IF(SUM(CQ5:CT5)-CU5&gt;0,SUM(CQ5:CT5)-CU5,"")</f>
        <v>39.200000000000003</v>
      </c>
      <c r="DH5" s="11">
        <f>IF(SUM(CV5:CY5)-CZ5&gt;0,SUM(CV5:CY5)-CZ5,"")</f>
        <v>40.28</v>
      </c>
      <c r="DI5" s="11">
        <f>IF(SUM(DG5:DH5)&gt;0,SUM(DG5:DH5),"")</f>
        <v>79.48</v>
      </c>
      <c r="DJ5" s="11" t="str">
        <f>IF(DC5&gt;0,DC5,"")</f>
        <v/>
      </c>
      <c r="DK5" s="11" t="str">
        <f>IF(SUM(DA5:DD5)-DE5&gt;0,SUM(DA5:DD5)-DE5,"")</f>
        <v/>
      </c>
      <c r="DL5" s="11">
        <f>IF(SUM(DI5,DK5)&gt;0,SUM(DI5,DK5),"")</f>
        <v>79.48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88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A6" s="5" t="str" cm="1">
        <f t="array" ref="A6">IF(AND(G6&lt;&gt;"",H6&lt;&gt;""),SUMPRODUCT((G$4:G$10&lt;&gt;"")*(H$4:H$10&lt;&gt;"")*(E$4:E$10&gt;E6))+1,IF(H6&lt;&gt;"",SUMPRODUCT((I$4:I$10="No DD")*(E$4:E$10&gt;E6))+1+SUMPRODUCT((G$4:G$10&lt;&gt;"")*(H$4:H$10&lt;&gt;"")),""))</f>
        <v/>
      </c>
      <c r="B6" s="127" t="s">
        <v>138</v>
      </c>
      <c r="C6" s="5" t="s">
        <v>10</v>
      </c>
      <c r="D6" s="5" t="s">
        <v>135</v>
      </c>
      <c r="E6" s="15">
        <f>SUM(K6:S6)</f>
        <v>124.94999999999999</v>
      </c>
      <c r="F6" s="3" t="str">
        <f>IF(G6&lt;&gt;"","P","")</f>
        <v/>
      </c>
      <c r="G6" s="125" t="str">
        <f>IF(OR(AND(AL6&gt;=AR$15,AL6&lt;&gt;"",AK6=""),AND(AP6&gt;=AR$15,AP6&lt;&gt;"",AK6=""),AND(BI6&gt;=BO$15,BI6&lt;&gt;"",BH6=""),AND(BM6&gt;=BO$15,BM6&lt;&gt;"",BH6=""),AND(CF6&gt;=CL$15,CF6&lt;&gt;"",CE6=""),AND(CJ6&gt;=CL$15,CJ6&lt;&gt;"",CE6=""),AND(DF6&gt;=DL$15,DF6&lt;&gt;""),AND(DJ6&gt;=DL$15,DJ6&lt;&gt;""),AND(EB6&gt;=EH$15,EB6&lt;&gt;""),AND(EF6&gt;=EH$15,EF6&lt;&gt;""),AND(EX6&gt;=FD$15,EX6&lt;&gt;""),AND(FB6&gt;=FD$15,FB6&lt;&gt;""),AND(FT6&gt;=FZ$15,FT6&lt;&gt;""),AND(FX6&gt;=FZ$15,FX6&lt;&gt;""),AND(GP6&gt;=GV$15,GP6&lt;&gt;""),AND(GT6&gt;=GV$15,GT6&lt;&gt;""),AND(HL6&gt;=HR$15,HL6&lt;&gt;""),AND(HP6&gt;=HR$15,HP6&lt;&gt;""),AND(IH6&gt;=IN$15,IH6&lt;&gt;""),AND(IL6&gt;=IN$15,IL6&lt;&gt;""),AND(JD6&gt;=JJ$15,JD6&lt;&gt;""),AND(JH6&gt;=JJ$15,JH6&lt;&gt;""),AND(JZ6&gt;=KF$15,JZ6&lt;&gt;""),AND(KD6&gt;=KF$15,KD6&lt;&gt;""),AND(KV6&gt;=LB$15,KV6&lt;&gt;""),AND(KZ6&gt;=LB$15,KZ6&lt;&gt;""),AND(LR6&gt;=LX$15,LR6&lt;&gt;""),AND(LV6&gt;=LX$15,LV6&lt;&gt;""),AND(MN6&gt;=MT$15,MN6&lt;&gt;""),AND(MR6&gt;=MT$15,MR6&lt;&gt;"")),"Merit",IF(OR(AND(AL6&gt;=AR$14,AL6&lt;&gt;"",AK6=""),AND(AP6&gt;=AR$14,AP6&lt;&gt;"",AK6=""),AND(BI6&gt;=BO$14,BI6&lt;&gt;"",BH6=""),AND(BM6&gt;=BO$14,BM6&lt;&gt;"",BH6=""),AND(CF6&gt;=CL$14,CF6&lt;&gt;"",CE6=""),AND(CJ6&gt;=CL$14,CJ6&lt;&gt;"",CE6=""),AND(DF6&gt;=DL$14,DF6&lt;&gt;""),AND(DJ6&gt;=DL$14,DJ6&lt;&gt;""),AND(EB6&gt;=EH$14,EB6&lt;&gt;""),AND(EF6&gt;=EH$14,EF6&lt;&gt;""),AND(EX6&gt;=FD$14,EX6&lt;&gt;""),AND(FB6&gt;=FD$14,FB6&lt;&gt;""),AND(FT6&gt;=FZ$14,FT6&lt;&gt;""),AND(FX6&gt;=FZ$14,FX6&lt;&gt;""),AND(GP6&gt;=GV$14,GP6&lt;&gt;""),AND(GT6&gt;=GV$14,GT6&lt;&gt;""),AND(HL6&gt;=HR$14,HL6&lt;&gt;""),AND(HP6&gt;=HR$14,HP6&lt;&gt;""),AND(IH6&gt;=IN$14,IH6&lt;&gt;""),AND(IL6&gt;=IN$14,IL6&lt;&gt;""),AND(JD6&gt;=JJ$14,JD6&lt;&gt;""),AND(JH6&gt;=JJ$14,JH6&lt;&gt;""),AND(JZ6&gt;=KF$14,JZ6&lt;&gt;""),AND(KD6&gt;=KF$14,KD6&lt;&gt;""),AND(KV6&gt;=LB$14,KV6&lt;&gt;""),AND(KZ6&gt;=LB$14,KZ6&lt;&gt;""),AND(LR6&gt;=LX$14,LR6&lt;&gt;""),AND(LV6&gt;=LX$14,LV6&lt;&gt;""),AND(MN6&gt;=MT$14,MN6&lt;&gt;""),AND(MR6&gt;=MT$14,MR6&lt;&gt;"")),"Excellence",IF(OR(AND(AL6&gt;=AR$13,AL6&lt;&gt;"",AK6=""),AND(AP6&gt;=AR$13,AP6&lt;&gt;"",AK6=""),AND(BI6&gt;=BO$13,BI6&lt;&gt;"",BH6=""),AND(BM6&gt;=BO$13,BM6&lt;&gt;"",BH6=""),AND(CF6&gt;=CL$13,CF6&lt;&gt;"",CE6=""),AND(CJ6&gt;=CL$13,CJ6&lt;&gt;"",CE6=""),AND(DF6&gt;=DL$13,DF6&lt;&gt;""),AND(DJ6&gt;=DL$13,DJ6&lt;&gt;""),AND(EB6&gt;=EH$13,EB6&lt;&gt;""),AND(EF6&gt;=EH$13,EF6&lt;&gt;""),AND(EX6&gt;=FD$13,EX6&lt;&gt;""),AND(FB6&gt;=FD$13,FB6&lt;&gt;""),AND(FT6&gt;=FZ$13,FT6&lt;&gt;""),AND(FX6&gt;=FZ$13,FX6&lt;&gt;""),AND(GP6&gt;=GV$13,GP6&lt;&gt;""),AND(GT6&gt;=GV$13,GT6&lt;&gt;""),AND(HL6&gt;=HR$13,HL6&lt;&gt;""),AND(HP6&gt;=HR$13,HP6&lt;&gt;""),AND(IH6&gt;=IN$13,IH6&lt;&gt;""),AND(IL6&gt;=IN$13,IL6&lt;&gt;""),AND(JD6&gt;=JJ$13,JD6&lt;&gt;""),AND(JH6&gt;=JJ$13,JH6&lt;&gt;""),AND(JZ6&gt;=KF$13,JZ6&lt;&gt;""),AND(KD6&gt;=KF$13,KD6&lt;&gt;""),AND(KV6&gt;=LB$13,KV6&lt;&gt;""),AND(KZ6&gt;=LB$13,KZ6&lt;&gt;""),AND(LR6&gt;=LX$13,LR6&lt;&gt;""),AND(LV6&gt;=LX$13,LV6&lt;&gt;""),AND(MN6&gt;=MT$13,MN6&lt;&gt;""),AND(MR6&gt;=MT$13,MR6&lt;&gt;"")),"Worlds Team",IF(OR(AND(AL6&gt;=AR$12,AL6&lt;&gt;"",AK6=""),AND(AP6&gt;=AR$12,AP6&lt;&gt;"",AK6=""),AND(BI6&gt;=BO$12,BI6&lt;&gt;"",BH6=""),AND(BM6&gt;=BO$12,BM6&lt;&gt;"",BH6=""),AND(CF6&gt;=CL$12,CF6&lt;&gt;"",CE6=""),AND(CJ6&gt;=CL$12,CJ6&lt;&gt;"",CE6=""),AND(DF6&gt;=DL$12,DF6&lt;&gt;""),AND(DJ6&gt;=DL$12,DJ6&lt;&gt;""),AND(EB6&gt;=EH$12,EB6&lt;&gt;""),AND(EF6&gt;=EH$12,EF6&lt;&gt;""),AND(EX6&gt;=FD$12,EX6&lt;&gt;""),AND(FB6&gt;=FD$12,FB6&lt;&gt;""),AND(FT6&gt;=FZ$12,FT6&lt;&gt;""),AND(FX6&gt;=FZ$12,FX6&lt;&gt;""),AND(GP6&gt;=GV$12,GP6&lt;&gt;""),AND(GT6&gt;=GV$12,GT6&lt;&gt;""),AND(HL6&gt;=HR$12,HL6&lt;&gt;""),AND(HP6&gt;=HR$12,HP6&lt;&gt;""),AND(IH6&gt;=IN$12,IH6&lt;&gt;""),AND(IL6&gt;=IN$12,IL6&lt;&gt;""),AND(JD6&gt;=JJ$12,JD6&lt;&gt;""),AND(JH6&gt;=JJ$12,JH6&lt;&gt;""),AND(JZ6&gt;=KF$12,JZ6&lt;&gt;""),AND(KD6&gt;=KF$12,KD6&lt;&gt;""),AND(KV6&gt;=LB$12,KV6&lt;&gt;""),AND(KZ6&gt;=LB$12,KZ6&lt;&gt;""),AND(LR6&gt;=LX$12,LR6&lt;&gt;""),AND(LV6&gt;=LX$12,LV6&lt;&gt;""),AND(MN6&gt;=MT$12,MN6&lt;&gt;""),AND(MR6&gt;=MT$12,MR6&lt;&gt;"")),"National Team",""))))</f>
        <v/>
      </c>
      <c r="H6" s="125" t="str">
        <f>IF(OR(AND(AN6&gt;=AR$19,AN6&lt;&gt;"",AK6=""),AND(AQ6&gt;=AR$19,AQ6&lt;&gt;"",AK6=""),AND(BK6&gt;=BO$19,BK6&lt;&gt;"",BH6=""),AND(BN6&gt;=BO$19,BN6&lt;&gt;"",BH6=""),AND(CH6&gt;=CL$19,CH6&lt;&gt;"",CE6=""),AND(CK6&gt;=CL$19,CE6&lt;&gt;"",CE6=""),AND(DH6&gt;=DL$19,DH6&lt;&gt;""),AND(DK6&gt;=DL$19,DK6&lt;&gt;""),AND(ED6&gt;=EH$19,ED6&lt;&gt;""),AND(EG6&gt;=EH$19,EG6&lt;&gt;""),AND(EZ6&gt;=FD$19,EZ6&lt;&gt;""),AND(FC6&gt;=FD$19,FC6&lt;&gt;""),AND(FV6&gt;=FZ$19,FV6&lt;&gt;""),AND(FY6&gt;=FZ$19,FY6&lt;&gt;""),AND(GR6&gt;=GV$19,GR6&lt;&gt;""),AND(GU6&gt;=GV$19,GU6&lt;&gt;""),AND(HN6&gt;=HR$19,HN6&lt;&gt;""),AND(HQ6&gt;=HR$19,HQ6&lt;&gt;""),AND(IJ6&gt;=IN$19,IJ6&lt;&gt;""),AND(IM6&gt;=IN$19,IM6&lt;&gt;""),AND(JF6&gt;=JJ$19,JF6&lt;&gt;""),AND(JI6&gt;=JJ$19,JI6&lt;&gt;""),AND(KB6&gt;=KF$19,KB6&lt;&gt;""),AND(KE6&gt;=KF$19,KE6&lt;&gt;""),AND(KX6&gt;=LB$19,KX6&lt;&gt;""),AND(LA6&gt;=LB$19,LA6&lt;&gt;""),AND(LT6&gt;=LX$19,LT6&lt;&gt;""),AND(LW6&gt;=LX$19,LW6&lt;&gt;""),AND(MP6&gt;=MT$19,MP6&lt;&gt;""),AND(MS6&gt;=MT$19,MS6&lt;&gt;"")),"Merit",IF(OR(AND(AN6&gt;=AR$18,AN6&lt;&gt;"",AK6=""),AND(AQ6&gt;=AR$18,AQ6&lt;&gt;"",AK6=""),AND(BK6&gt;=BO$18,BK6&lt;&gt;"",BH6=""),AND(BN6&gt;=BO$18,BN6&lt;&gt;"",BH6=""),AND(CH6&gt;=CL$18,CH6&lt;&gt;"",CE6=""),AND(CK6&gt;=CL$18,CE6&lt;&gt;"",CE6=""),AND(DH6&gt;=DL$18,DH6&lt;&gt;""),AND(DK6&gt;=DL$18,DK6&lt;&gt;""),AND(ED6&gt;=EH$18,ED6&lt;&gt;""),AND(EG6&gt;=EH$18,EG6&lt;&gt;""),AND(EZ6&gt;=FD$18,EZ6&lt;&gt;""),AND(FC6&gt;=FD$18,FC6&lt;&gt;""),AND(FV6&gt;=FZ$18,FV6&lt;&gt;""),AND(FY6&gt;=FZ$18,FY6&lt;&gt;""),AND(GR6&gt;=GV$18,GR6&lt;&gt;""),AND(GU6&gt;=GV$18,GU6&lt;&gt;""),AND(HN6&gt;=HR$18,HN6&lt;&gt;""),AND(HQ6&gt;=HR$18,HQ6&lt;&gt;""),AND(IJ6&gt;=IN$18,IJ6&lt;&gt;""),AND(IM6&gt;=IN$18,IM6&lt;&gt;""),AND(JF6&gt;=JJ$18,JF6&lt;&gt;""),AND(JI6&gt;=JJ$18,JI6&lt;&gt;""),AND(KB6&gt;=KF$18,KB6&lt;&gt;""),AND(KE6&gt;=KF$18,KE6&lt;&gt;""),AND(KX6&gt;=LB$18,KX6&lt;&gt;""),AND(LA6&gt;=LB$18,LA6&lt;&gt;""),AND(LT6&gt;=LX$18,LT6&lt;&gt;""),AND(LW6&gt;=LX$18,LW6&lt;&gt;""),AND(MP6&gt;=MT$18,MP6&lt;&gt;""),AND(MS6&gt;=MT$18,MS6&lt;&gt;"")),"Excellence",IF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"Worlds Team",IF(OR(AND(AO6&gt;=AR$16,AO6&lt;&gt;"",AK6=""),AND(BL6&gt;=BO$16,BL6&lt;&gt;"",BH6=""),AND(CI6&gt;=CL$16,CI6&lt;&gt;"",CE6=""),AND(DI6&gt;=DL$16,DI6&lt;&gt;""),AND(EE6&gt;=EH$16,EE6&lt;&gt;""),AND(FA6&gt;=FD$16,FA6&lt;&gt;""),AND(FW6&gt;=FZ$16,FW6&lt;&gt;""),AND(GS6&gt;=GV$16,GS6&lt;&gt;""),AND(HO6&gt;=HR$16,HO6&lt;&gt;""),AND(IK6&gt;=IN$16,IK6&lt;&gt;""),AND(JG6&gt;=JJ$16,JG6&lt;&gt;""),AND(KC6&gt;=KF$16,KC6&lt;&gt;""),AND(KY6&gt;=LB$16,KY6&lt;&gt;""),AND(LU6&gt;=LX$16,LU6&lt;&gt;""),AND(MQ6&gt;=MT$16,MQ6&lt;&gt;"")),"National Team",""))))</f>
        <v/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/>
      </c>
      <c r="J6" s="3" t="str">
        <f>IF(AND(OR(AND(AO6&gt;=AR$17,AO6&lt;&gt;"",AK6=""),AND(BL6&gt;=BO$17,BL6&lt;&gt;"",BH6=""),AND(CI6&gt;=CL$17,CI6&lt;&gt;"",CE6=""),AND(DI6&gt;=DL$17,DI6&lt;&gt;""),AND(EE6&gt;=EH$17,EE6&lt;&gt;""),AND(FA6&gt;=FD$17,FA6&lt;&gt;""),AND(FW6&gt;=FZ$17,FW6&lt;&gt;""),AND(GS6&gt;=GV$17,GS6&lt;&gt;""),AND(HO6&gt;=HR$17,HO6&lt;&gt;""),AND(IK6&gt;=IN$17,IK6&lt;&gt;""),AND(JG6&gt;=JJ$17,JG6&lt;&gt;""),AND(KC6&gt;=KF$17,KC6&lt;&gt;""),AND(KY6&gt;=LB$17,KY6&lt;&gt;""),AND(LU6&gt;=LX$17,LU6&lt;&gt;""),AND(MQ6&gt;=MT$17,MQ6&lt;&gt;"")),OR(G6="Worlds Team",G6="Excellence",G6="Merit")),"P","")</f>
        <v/>
      </c>
      <c r="K6" s="14">
        <f>MAX(AO6,BL6,CI6)</f>
        <v>81.919999999999987</v>
      </c>
      <c r="L6" s="14" t="str">
        <f>IF(K6=0,"",IF(K6=CI6,$BP$1,IF(K6=BL6,$AS$1,IF(K6=AO6,$V$1,""))))</f>
        <v>2019 Nationals</v>
      </c>
      <c r="M6" s="14">
        <f>IF($K6=$AO6,MAX(BJ6,CG6),IF($K6=$BL6,MAX(AM6,CG6),IF($K6=$CI6,MAX(AM6,BJ6),MAX(AM6,BJ6,CG6))))</f>
        <v>0</v>
      </c>
      <c r="N6" s="14" t="str">
        <f>IF(M6=0,"",IF(AND(M6=CG6,$L6&lt;&gt;$BP$1),$BP$1,IF(AND(M6=BJ6,$L6&lt;&gt;$AS$1),$AS$1,IF(AND(M6=AM6,$L6&lt;&gt;$V$1),$V$1,""))))</f>
        <v/>
      </c>
      <c r="O6" s="14">
        <f>IF($K6=$AO6,MAX(CH6,BK6),IF($K6=$BL6,MAX(AN6,CH6),IF($K6=$CI6,MAX(AN6,BK6),MAX(AN6,BK6,CH6))))</f>
        <v>0</v>
      </c>
      <c r="P6" s="14" t="str">
        <f>IF(O6=0,"",IF(AND(O6=CH6,$L6&lt;&gt;$BP$1),$BP$1,IF(AND(O6=BK6,$L6&lt;&gt;$AS$1),$AS$1,IF(AND(O6=AN6,$L6&lt;&gt;$V$1),$V$1,""))))</f>
        <v/>
      </c>
      <c r="Q6" s="14">
        <f>MAX(AQ6,BN6,CK6)</f>
        <v>43.03</v>
      </c>
      <c r="R6" s="14" t="str">
        <f>IF(Q6=0,"",IF(Q6=CK6,$BP$1,IF(Q6=BN6,$AS$1,IF(Q6=AQ6,$V$1,""))))</f>
        <v>2019 Nationals</v>
      </c>
      <c r="S6" s="14" t="str">
        <f>IF(MAX(CM6,CN6,CO6,CP6)&gt;0,MAX(CM6,CN6,CO6,CP6),"")</f>
        <v/>
      </c>
      <c r="T6" s="25" t="str">
        <f>IF(S6="","",IF(S6=CM6,"(Vol 1)",IF(S6=CN6,"(Vol 2)",IF(S6=CO6,"(Prelim)",IF(S6=CP6,"(Final)")))))</f>
        <v/>
      </c>
      <c r="U6" s="14" t="str">
        <f>IF(S6="","",IF(S6=CM6,IF(S6+IF(M6="",0,M6)=MO6,$LY$1,IF(S6+IF(M6="",0,M6)=LS6,$LC$1,IF(S6+IF(M6="",0,M6)=KW6,$KG$1,IF(S6+IF(M6="",0,M6)=KA6,$JK$1,IF(S6+IF(M6="",0,M6)=JE6,$IO$1,IF(S6+IF(M6="",0,M6)=II6,$HS$1,IF(S6+IF(M6="",0,M6)=HM6,$GW$1,IF(S6+IF(M6="",0,M6)=GQ6,$GA$1,IF(S6+IF(M6="",0,M6)=FU6,$FE$1,IF(S6+IF(M6="",0,M6)=EY6,$EI$1,IF(S6+IF(M6="",0,M6)=EC6,$DM$1,IF(S6+IF(M6="",0,M6)=DG6,$CQ$1)))))))))))),IF(S6=CN6,IF(S6+IF(O6="",0,O6)=MP6,$LY$1,IF(S6+IF(O6="",0,O6)=LT6,$LC$1,IF(S6+IF(O6="",0,O6)=KX6,$KG$1,IF(S6+IF(O6="",0,O6)=KB6,$JK$1,IF(S6+IF(O6="",0,O6)=JF6,$IO$1,IF(S6+IF(O6="",0,O6)=IJ6,$HS$1,IF(S6+IF(O6="",0,O6)=HN6,$GW$1,IF(S6+IF(O6="",0,O6)=GR6,$GA$1,IF(S6+IF(O6="",0,O6)=FV6,$FE$1,IF(S6+IF(O6="",0,O6)=EZ6,$EI$1,IF(S6+IF(O6="",0,O6)=ED6,$DM$1,IF(S6+IF(O6="",0,O6)=DH6,$CQ$1)))))))))))),IF(S6=CO6,IF(S6+IF(K6="",0,K6)=MQ6,$LY$1,IF(S6+IF(K6="",0,K6)=LU6,$LC$1,IF(S6+IF(K6="",0,K6)=KY6,$KG$1,IF(S6+IF(K6="",0,K6)=KC6,$JK$1,IF(S6+IF(K6="",0,K6)=JG6,$IO$1,IF(S6+IF(K6="",0,K6)=IK6,$HS$1,IF(S6+IF(K6="",0,K6)=HO6,$GW$1,IF(S6+IF(K6="",0,K6)=GS6,$GA$1,IF(S6+IF(K6="",0,K6)=FW6,$FE$1,IF(S6+IF(K6="",0,K6)=FA6,$EI$1,IF(S6+IF(K6="",0,K6)=EE6,$DM$1,IF(S6+IF(K6="",0,K6)=DI6,$CQ$1)))))))))))),IF(S6=CP6,IF(S6+IF(Q6="",0,Q6)=MS6,$LY$1,IF(S6+IF(Q6="",0,Q6)=LW6,$LC$1,IF(S6+IF(Q6="",0,Q6)=LA6,$KG$1,IF(S6+IF(Q6="",0,Q6)=KE6,$JK$1,IF(S6+IF(Q6="",0,Q6)=JI6,$IO$1,IF(S6+IF(Q6="",0,Q6)=IM6,$HS$1,IF(S6+IF(Q6="",0,Q6)=HQ6,$GW$1,IF(S6+IF(Q6="",0,Q6)=GU6,$GA$1,IF(S6+IF(Q6="",0,Q6)=FY6,$FE$1,IF(S6+IF(Q6="",0,Q6)=FC6,$EI$1,IF(S6+IF(Q6="",0,Q6)=EG6,$DM$1,IF(S6+IF(Q6="",0,Q6)=DK6,$CQ$1)))))))))))))))))</f>
        <v/>
      </c>
      <c r="V6" s="39">
        <v>8.75</v>
      </c>
      <c r="W6" s="39">
        <v>9.3000000000000007</v>
      </c>
      <c r="X6" s="39">
        <v>2.9</v>
      </c>
      <c r="Y6" s="39">
        <v>16.62</v>
      </c>
      <c r="Z6" s="39">
        <v>0</v>
      </c>
      <c r="AA6" s="39">
        <v>8.1</v>
      </c>
      <c r="AB6" s="39">
        <v>9.0500000000000007</v>
      </c>
      <c r="AC6" s="39">
        <v>9.1999999999999993</v>
      </c>
      <c r="AD6" s="39">
        <v>18</v>
      </c>
      <c r="AE6" s="39">
        <v>0</v>
      </c>
      <c r="AF6" s="39">
        <v>7.4</v>
      </c>
      <c r="AG6" s="39">
        <v>9.15</v>
      </c>
      <c r="AH6" s="39">
        <v>9.1999999999999993</v>
      </c>
      <c r="AI6" s="39">
        <v>17.28</v>
      </c>
      <c r="AJ6" s="39">
        <v>0</v>
      </c>
      <c r="AK6" s="80"/>
      <c r="AL6" s="11">
        <f>IF(AC6&gt;0,AC6,"")</f>
        <v>9.1999999999999993</v>
      </c>
      <c r="AM6" s="11">
        <f>IF(SUM(V6:Y6)-Z6&gt;0,SUM(V6:Y6)-Z6,"")</f>
        <v>37.57</v>
      </c>
      <c r="AN6" s="11">
        <f>IF(SUM(AA6:AD6)-AE6&gt;0,SUM(AA6:AD6)-AE6,"")</f>
        <v>44.349999999999994</v>
      </c>
      <c r="AO6" s="11">
        <f>IF(SUM(AM6:AN6)&gt;0,SUM(AM6:AN6),"")</f>
        <v>81.919999999999987</v>
      </c>
      <c r="AP6" s="11">
        <f>IF(AH6&gt;0,AH6,"")</f>
        <v>9.1999999999999993</v>
      </c>
      <c r="AQ6" s="11">
        <f>IF(SUM(AF6:AI6)-AJ6&gt;0,SUM(AF6:AI6)-AJ6,"")</f>
        <v>43.03</v>
      </c>
      <c r="AR6" s="11">
        <f>IF(SUM(AO6,AQ6)&gt;0,SUM(AO6,AQ6),"")</f>
        <v>124.94999999999999</v>
      </c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81"/>
      <c r="BI6" s="14" t="str">
        <f>IF(AZ6&gt;0,AZ6,"")</f>
        <v/>
      </c>
      <c r="BJ6" s="14" t="str">
        <f>IF(SUM(AS6:AV6)-AW6&gt;0,SUM(AS6:AV6)-AW6,"")</f>
        <v/>
      </c>
      <c r="BK6" s="14" t="str">
        <f>IF(SUM(AX6:BA6)-BB6&gt;0,SUM(AX6:BA6)-BB6,"")</f>
        <v/>
      </c>
      <c r="BL6" s="14" t="str">
        <f>IF(SUM(BJ6:BK6)&gt;0,SUM(BJ6:BK6),"")</f>
        <v/>
      </c>
      <c r="BM6" s="14" t="str">
        <f>IF(BE6&gt;0,BE6,"")</f>
        <v/>
      </c>
      <c r="BN6" s="14" t="str">
        <f>IF(SUM(BC6:BF6)-BG6&gt;0,SUM(BC6:BF6)-BG6,"")</f>
        <v/>
      </c>
      <c r="BO6" s="14" t="str">
        <f>IF(SUM(BL6,BN6)&gt;0,SUM(BL6,BN6),"")</f>
        <v/>
      </c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80"/>
      <c r="CF6" s="11" t="str">
        <f>IF(BW6&gt;0,BW6,"")</f>
        <v/>
      </c>
      <c r="CG6" s="11" t="str">
        <f>IF(SUM(BP6:BS6)-BT6&gt;0,SUM(BP6:BS6)-BT6,"")</f>
        <v/>
      </c>
      <c r="CH6" s="11" t="str">
        <f>IF(SUM(BU6:BX6)-BY6&gt;0,SUM(BU6:BX6)-BY6,"")</f>
        <v/>
      </c>
      <c r="CI6" s="11" t="str">
        <f>IF(SUM(CG6:CH6)&gt;0,SUM(CG6:CH6),"")</f>
        <v/>
      </c>
      <c r="CJ6" s="11" t="str">
        <f>IF(CB6&gt;0,CB6,"")</f>
        <v/>
      </c>
      <c r="CK6" s="11" t="str">
        <f>IF(SUM(BZ6:CC6)-CD6&gt;0,SUM(BZ6:CC6)-CD6,"")</f>
        <v/>
      </c>
      <c r="CL6" s="11" t="str">
        <f>IF(SUM(CI6,CK6)&gt;0,SUM(CI6,CK6),"")</f>
        <v/>
      </c>
      <c r="CM6" s="24" t="str">
        <f>IF(MAX(DG6,EC6,EY6,FU6,GQ6,HM6,II6,JE6,KA6,KW6,LS6,MO6)-IF(M6="",0,M6)&gt;0.001,MAX(DG6,EC6,EY6,FU6,GQ6,HM6,II6,JE6,KA6,KW6,LS6,MO6)-IF(M6="",0,M6),"")</f>
        <v/>
      </c>
      <c r="CN6" s="24" t="str">
        <f>IF(MAX(DH6,ED6,EZ6,FV6,GR6,HN6,IJ6,JF6,KB6,KX6,LT6,MP6)-IF(O6="",0,O6)&gt;0.001,MAX(DH6,ED6,EZ6,FV6,GR6,HN6,IJ6,JF6,KB6,KX6,LT6,MP6)-IF(O6="",0,O6),"")</f>
        <v/>
      </c>
      <c r="CO6" s="24" t="str">
        <f>IF(MAX(DI6,EE6,FA6,FW6,GS6,HO6,IK6,JG6,KC6,KY6,LU6,MQ6)-IF(K6="",0,K6)&gt;0.001,MAX(DI6,EE6,FA6,FW6,GS6,HO6,IK6,JG6,KC6,KY6,LU6,MQ6)-IF(K6="",0,K6),"")</f>
        <v/>
      </c>
      <c r="CP6" s="24" t="str">
        <f>IF(MAX(DK6,EG6,FC6,FY6,GU6,HQ6,IM6,JI6,KE6,LA6,LW6,MS6)-IF(Q6="",0,Q6)&gt;0.001,MAX(DK6,EG6,FC6,FY6,GU6,HQ6,IM6,JI6,KE6,LA6,LW6,MS6)-IF(Q6="",0,Q6),"")</f>
        <v/>
      </c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11" t="str">
        <f>IF(CX6&gt;0,CX6,"")</f>
        <v/>
      </c>
      <c r="DG6" s="11" t="str">
        <f>IF(SUM(CQ6:CT6)-CU6&gt;0,SUM(CQ6:CT6)-CU6,"")</f>
        <v/>
      </c>
      <c r="DH6" s="11" t="str">
        <f>IF(SUM(CV6:CY6)-CZ6&gt;0,SUM(CV6:CY6)-CZ6,"")</f>
        <v/>
      </c>
      <c r="DI6" s="11" t="str">
        <f>IF(SUM(DG6:DH6)&gt;0,SUM(DG6:DH6),"")</f>
        <v/>
      </c>
      <c r="DJ6" s="11" t="str">
        <f>IF(DC6&gt;0,DC6,"")</f>
        <v/>
      </c>
      <c r="DK6" s="11" t="str">
        <f>IF(SUM(DA6:DD6)-DE6&gt;0,SUM(DA6:DD6)-DE6,"")</f>
        <v/>
      </c>
      <c r="DL6" s="11" t="str">
        <f>IF(SUM(DI6,DK6)&gt;0,SUM(DI6,DK6),"")</f>
        <v/>
      </c>
      <c r="DM6" s="38"/>
      <c r="DN6" s="38"/>
      <c r="DO6" s="38"/>
      <c r="DP6" s="38"/>
      <c r="DQ6" s="38"/>
      <c r="DR6" s="38"/>
      <c r="DS6" s="38"/>
      <c r="DT6" s="38"/>
      <c r="DU6" s="38"/>
      <c r="DV6" s="38"/>
      <c r="DW6" s="38"/>
      <c r="DX6" s="38"/>
      <c r="DY6" s="38"/>
      <c r="DZ6" s="38"/>
      <c r="EA6" s="38"/>
      <c r="EB6" s="14" t="str">
        <f>IF(DT6&gt;0,DT6,"")</f>
        <v/>
      </c>
      <c r="EC6" s="14" t="str">
        <f>IF(SUM(DM6:DP6)-DQ6&gt;0,SUM(DM6:DP6)-DQ6,"")</f>
        <v/>
      </c>
      <c r="ED6" s="14" t="str">
        <f>IF(SUM(DR6:DU6)-DV6&gt;0,SUM(DR6:DU6)-DV6,"")</f>
        <v/>
      </c>
      <c r="EE6" s="14" t="str">
        <f>IF(SUM(EC6:ED6)&gt;0,SUM(EC6:ED6),"")</f>
        <v/>
      </c>
      <c r="EF6" s="14" t="str">
        <f>IF(DY6&gt;0,DY6,"")</f>
        <v/>
      </c>
      <c r="EG6" s="14" t="str">
        <f>IF(SUM(DW6:DZ6)-EA6&gt;0,SUM(DW6:DZ6)-EA6,"")</f>
        <v/>
      </c>
      <c r="EH6" s="14" t="str">
        <f>IF(SUM(EE6,EG6)&gt;0,SUM(EE6,EG6),"")</f>
        <v/>
      </c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11" t="str">
        <f>IF(EP6&gt;0,EP6,"")</f>
        <v/>
      </c>
      <c r="EY6" s="11" t="str">
        <f>IF(SUM(EI6:EL6)-EM6&gt;0,SUM(EI6:EL6)-EM6,"")</f>
        <v/>
      </c>
      <c r="EZ6" s="11" t="str">
        <f>IF(SUM(EN6:EQ6)-ER6&gt;0,SUM(EN6:EQ6)-ER6,"")</f>
        <v/>
      </c>
      <c r="FA6" s="11" t="str">
        <f>IF(SUM(EY6:EZ6)&gt;0,SUM(EY6:EZ6),"")</f>
        <v/>
      </c>
      <c r="FB6" s="11" t="str">
        <f>IF(EU6&gt;0,EU6,"")</f>
        <v/>
      </c>
      <c r="FC6" s="11" t="str">
        <f>IF(SUM(ES6:EV6)-EW6&gt;0,SUM(ES6:EV6)-EW6,"")</f>
        <v/>
      </c>
      <c r="FD6" s="11" t="str">
        <f>IF(SUM(FA6,FC6)&gt;0,SUM(FA6,FC6),"")</f>
        <v/>
      </c>
      <c r="FE6" s="38"/>
      <c r="FF6" s="38"/>
      <c r="FG6" s="38"/>
      <c r="FH6" s="38"/>
      <c r="FI6" s="38"/>
      <c r="FJ6" s="38"/>
      <c r="FK6" s="38"/>
      <c r="FL6" s="38"/>
      <c r="FM6" s="38"/>
      <c r="FN6" s="38"/>
      <c r="FO6" s="38"/>
      <c r="FP6" s="38"/>
      <c r="FQ6" s="38"/>
      <c r="FR6" s="38"/>
      <c r="FS6" s="38"/>
      <c r="FT6" s="14" t="str">
        <f>IF(FL6&gt;0,FL6,"")</f>
        <v/>
      </c>
      <c r="FU6" s="14" t="str">
        <f>IF(SUM(FE6:FH6)-FI6&gt;0,SUM(FE6:FH6)-FI6,"")</f>
        <v/>
      </c>
      <c r="FV6" s="14" t="str">
        <f>IF(SUM(FJ6:FM6)-FN6&gt;0,SUM(FJ6:FM6)-FN6,"")</f>
        <v/>
      </c>
      <c r="FW6" s="14" t="str">
        <f>IF(SUM(FU6:FV6)&gt;0,SUM(FU6:FV6),"")</f>
        <v/>
      </c>
      <c r="FX6" s="14" t="str">
        <f>IF(FQ6&gt;0,FQ6,"")</f>
        <v/>
      </c>
      <c r="FY6" s="14" t="str">
        <f>IF(SUM(FO6:FR6)-FS6&gt;0,SUM(FO6:FR6)-FS6,"")</f>
        <v/>
      </c>
      <c r="FZ6" s="14" t="str">
        <f>IF(SUM(FW6,FY6)&gt;0,SUM(FW6,FY6),"")</f>
        <v/>
      </c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11" t="str">
        <f>IF(GH6&gt;0,GH6,"")</f>
        <v/>
      </c>
      <c r="GQ6" s="11" t="str">
        <f>IF(SUM(GA6:GD6)-GE6&gt;0,SUM(GA6:GD6)-GE6,"")</f>
        <v/>
      </c>
      <c r="GR6" s="11" t="str">
        <f>IF(SUM(GF6:GI6)-GJ6&gt;0,SUM(GF6:GI6)-GJ6,"")</f>
        <v/>
      </c>
      <c r="GS6" s="11" t="str">
        <f>IF(SUM(GQ6:GR6)&gt;0,SUM(GQ6:GR6),"")</f>
        <v/>
      </c>
      <c r="GT6" s="11" t="str">
        <f>IF(GM6&gt;0,GM6,"")</f>
        <v/>
      </c>
      <c r="GU6" s="11" t="str">
        <f>IF(SUM(GK6:GN6)-GO6&gt;0,SUM(GK6:GN6)-GO6,"")</f>
        <v/>
      </c>
      <c r="GV6" s="11" t="str">
        <f>IF(SUM(GS6,GU6)&gt;0,SUM(GS6,GU6),"")</f>
        <v/>
      </c>
      <c r="GW6" s="38"/>
      <c r="GX6" s="38"/>
      <c r="GY6" s="38"/>
      <c r="GZ6" s="38"/>
      <c r="HA6" s="38"/>
      <c r="HB6" s="38"/>
      <c r="HC6" s="38"/>
      <c r="HD6" s="38"/>
      <c r="HE6" s="38"/>
      <c r="HF6" s="38"/>
      <c r="HG6" s="38"/>
      <c r="HH6" s="38"/>
      <c r="HI6" s="38"/>
      <c r="HJ6" s="38"/>
      <c r="HK6" s="38"/>
      <c r="HL6" s="14" t="str">
        <f>IF(HD6&gt;0,HD6,"")</f>
        <v/>
      </c>
      <c r="HM6" s="14" t="str">
        <f>IF(SUM(GW6:GZ6)-HA6&gt;0,SUM(GW6:GZ6)-HA6,"")</f>
        <v/>
      </c>
      <c r="HN6" s="14" t="str">
        <f>IF(SUM(HB6:HE6)-HF6&gt;0,SUM(HB6:HE6)-HF6,"")</f>
        <v/>
      </c>
      <c r="HO6" s="14" t="str">
        <f>IF(SUM(HM6:HN6)&gt;0,SUM(HM6:HN6),"")</f>
        <v/>
      </c>
      <c r="HP6" s="14" t="str">
        <f>IF(HI6&gt;0,HI6,"")</f>
        <v/>
      </c>
      <c r="HQ6" s="14" t="str">
        <f>IF(SUM(HG6:HJ6)-HK6&gt;0,SUM(HG6:HJ6)-HK6,"")</f>
        <v/>
      </c>
      <c r="HR6" s="14" t="str">
        <f>IF(SUM(HO6,HQ6)&gt;0,SUM(HO6,HQ6),"")</f>
        <v/>
      </c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11" t="str">
        <f>IF(HZ6&gt;0,HZ6,"")</f>
        <v/>
      </c>
      <c r="II6" s="11" t="str">
        <f>IF(SUM(HS6:HV6)-HW6&gt;0,SUM(HS6:HV6)-HW6,"")</f>
        <v/>
      </c>
      <c r="IJ6" s="11" t="str">
        <f>IF(SUM(HX6:IA6)-IB6&gt;0,SUM(HX6:IA6)-IB6,"")</f>
        <v/>
      </c>
      <c r="IK6" s="11" t="str">
        <f>IF(SUM(II6:IJ6)&gt;0,SUM(II6:IJ6),"")</f>
        <v/>
      </c>
      <c r="IL6" s="11" t="str">
        <f>IF(IE6&gt;0,IE6,"")</f>
        <v/>
      </c>
      <c r="IM6" s="11" t="str">
        <f>IF(SUM(IC6:IF6)-IG6&gt;0,SUM(IC6:IF6)-IG6,"")</f>
        <v/>
      </c>
      <c r="IN6" s="11" t="str">
        <f>IF(SUM(IK6,IM6)&gt;0,SUM(IK6,IM6),"")</f>
        <v/>
      </c>
      <c r="IO6" s="38"/>
      <c r="IP6" s="38"/>
      <c r="IQ6" s="38"/>
      <c r="IR6" s="38"/>
      <c r="IS6" s="38"/>
      <c r="IT6" s="38"/>
      <c r="IU6" s="38"/>
      <c r="IV6" s="38"/>
      <c r="IW6" s="38"/>
      <c r="IX6" s="38"/>
      <c r="IY6" s="38"/>
      <c r="IZ6" s="38"/>
      <c r="JA6" s="38"/>
      <c r="JB6" s="38"/>
      <c r="JC6" s="38"/>
      <c r="JD6" s="14" t="str">
        <f>IF(IV6&gt;0,IV6,"")</f>
        <v/>
      </c>
      <c r="JE6" s="14" t="str">
        <f>IF(SUM(IO6:IR6)-IS6&gt;0,SUM(IO6:IR6)-IS6,"")</f>
        <v/>
      </c>
      <c r="JF6" s="14" t="str">
        <f>IF(SUM(IT6:IW6)-IX6&gt;0,SUM(IT6:IW6)-IX6,"")</f>
        <v/>
      </c>
      <c r="JG6" s="14" t="str">
        <f>IF(SUM(JE6:JF6)&gt;0,SUM(JE6:JF6),"")</f>
        <v/>
      </c>
      <c r="JH6" s="14" t="str">
        <f>IF(JA6&gt;0,JA6,"")</f>
        <v/>
      </c>
      <c r="JI6" s="14" t="str">
        <f>IF(SUM(IY6:JB6)-JC6&gt;0,SUM(IY6:JB6)-JC6,"")</f>
        <v/>
      </c>
      <c r="JJ6" s="14" t="str">
        <f>IF(SUM(JG6,JI6)&gt;0,SUM(JG6,JI6),"")</f>
        <v/>
      </c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11" t="str">
        <f>IF(JR6&gt;0,JR6,"")</f>
        <v/>
      </c>
      <c r="KA6" s="11" t="str">
        <f>IF(SUM(JK6:JN6)-JO6&gt;0,SUM(JK6:JN6)-JO6,"")</f>
        <v/>
      </c>
      <c r="KB6" s="11" t="str">
        <f>IF(SUM(JP6:JS6)-JT6&gt;0,SUM(JP6:JS6)-JT6,"")</f>
        <v/>
      </c>
      <c r="KC6" s="11" t="str">
        <f>IF(SUM(KA6:KB6)&gt;0,SUM(KA6:KB6),"")</f>
        <v/>
      </c>
      <c r="KD6" s="11" t="str">
        <f>IF(JW6&gt;0,JW6,"")</f>
        <v/>
      </c>
      <c r="KE6" s="11" t="str">
        <f>IF(SUM(JU6:JX6)-JY6&gt;0,SUM(JU6:JX6)-JY6,"")</f>
        <v/>
      </c>
      <c r="KF6" s="11" t="str">
        <f>IF(SUM(KC6,KE6)&gt;0,SUM(KC6,KE6),"")</f>
        <v/>
      </c>
      <c r="KG6" s="38"/>
      <c r="KH6" s="38"/>
      <c r="KI6" s="38"/>
      <c r="KJ6" s="38"/>
      <c r="KK6" s="38"/>
      <c r="KL6" s="38"/>
      <c r="KM6" s="38"/>
      <c r="KN6" s="38"/>
      <c r="KO6" s="38"/>
      <c r="KP6" s="38"/>
      <c r="KQ6" s="38"/>
      <c r="KR6" s="38"/>
      <c r="KS6" s="38"/>
      <c r="KT6" s="38"/>
      <c r="KU6" s="38"/>
      <c r="KV6" s="14" t="str">
        <f>IF(KN6&gt;0,KN6,"")</f>
        <v/>
      </c>
      <c r="KW6" s="14" t="str">
        <f>IF(SUM(KG6:KJ6)-KK6&gt;0,SUM(KG6:KJ6)-KK6,"")</f>
        <v/>
      </c>
      <c r="KX6" s="14" t="str">
        <f>IF(SUM(KL6:KO6)-KP6&gt;0,SUM(KL6:KO6)-KP6,"")</f>
        <v/>
      </c>
      <c r="KY6" s="14" t="str">
        <f>IF(SUM(KW6:KX6)&gt;0,SUM(KW6:KX6),"")</f>
        <v/>
      </c>
      <c r="KZ6" s="14" t="str">
        <f>IF(KS6&gt;0,KS6,"")</f>
        <v/>
      </c>
      <c r="LA6" s="14" t="str">
        <f>IF(SUM(KQ6:KT6)-KU6&gt;0,SUM(KQ6:KT6)-KU6,"")</f>
        <v/>
      </c>
      <c r="LB6" s="14" t="str">
        <f>IF(SUM(KY6,LA6)&gt;0,SUM(KY6,LA6),"")</f>
        <v/>
      </c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11" t="str">
        <f>IF(LJ6&gt;0,LJ6,"")</f>
        <v/>
      </c>
      <c r="LS6" s="11" t="str">
        <f>IF(SUM(LC6:LF6)-LG6&gt;0,SUM(LC6:LF6)-LG6,"")</f>
        <v/>
      </c>
      <c r="LT6" s="11" t="str">
        <f>IF(SUM(LH6:LK6)-LL6&gt;0,SUM(LH6:LK6)-LL6,"")</f>
        <v/>
      </c>
      <c r="LU6" s="11" t="str">
        <f>IF(SUM(LS6:LT6)&gt;0,SUM(LS6:LT6),"")</f>
        <v/>
      </c>
      <c r="LV6" s="11" t="str">
        <f>IF(LO6&gt;0,LO6,"")</f>
        <v/>
      </c>
      <c r="LW6" s="11" t="str">
        <f>IF(SUM(LM6:LP6)-LQ6&gt;0,SUM(LM6:LP6)-LQ6,"")</f>
        <v/>
      </c>
      <c r="LX6" s="11" t="str">
        <f>IF(SUM(LU6,LW6)&gt;0,SUM(LU6,LW6),"")</f>
        <v/>
      </c>
      <c r="LY6" s="38"/>
      <c r="LZ6" s="38"/>
      <c r="MA6" s="38"/>
      <c r="MB6" s="38"/>
      <c r="MC6" s="38"/>
      <c r="MD6" s="38"/>
      <c r="ME6" s="38"/>
      <c r="MF6" s="38"/>
      <c r="MG6" s="38"/>
      <c r="MH6" s="38"/>
      <c r="MI6" s="38"/>
      <c r="MJ6" s="38"/>
      <c r="MK6" s="38"/>
      <c r="ML6" s="38"/>
      <c r="MM6" s="38"/>
      <c r="MN6" s="14" t="str">
        <f>IF(MF6&gt;0,MF6,"")</f>
        <v/>
      </c>
      <c r="MO6" s="14" t="str">
        <f>IF(SUM(LY6:MB6)-MC6&gt;0,SUM(LY6:MB6)-MC6,"")</f>
        <v/>
      </c>
      <c r="MP6" s="14" t="str">
        <f>IF(SUM(MD6:MG6)-MH6&gt;0,SUM(MD6:MG6)-MH6,"")</f>
        <v/>
      </c>
      <c r="MQ6" s="14" t="str">
        <f>IF(SUM(MO6:MP6)&gt;0,SUM(MO6:MP6),"")</f>
        <v/>
      </c>
      <c r="MR6" s="14" t="str">
        <f>IF(MK6&gt;0,MK6,"")</f>
        <v/>
      </c>
      <c r="MS6" s="14" t="str">
        <f>IF(SUM(MI6:ML6)-MM6&gt;0,SUM(MI6:ML6)-MM6,"")</f>
        <v/>
      </c>
      <c r="MT6" s="14" t="str">
        <f>IF(SUM(MQ6,MS6)&gt;0,SUM(MQ6,MS6),"")</f>
        <v/>
      </c>
      <c r="MU6" s="69">
        <f>IF($CE6="P",BP6,(BP6+AS6)/2)</f>
        <v>0</v>
      </c>
      <c r="MV6" s="69">
        <f>IF($CE6="P",BQ6,(BQ6+AT6)/2)</f>
        <v>0</v>
      </c>
      <c r="MW6" s="69">
        <f>IF($CE6="P",BR6,(BR6+AU6)/2)</f>
        <v>0</v>
      </c>
      <c r="MX6" s="69">
        <f>IF($CE6="P",BS6,(BS6+AV6)/2)</f>
        <v>0</v>
      </c>
      <c r="MY6" s="69">
        <f>IF($CE6="P",BT6,(BT6+AW6)/2)</f>
        <v>0</v>
      </c>
      <c r="MZ6" s="69">
        <f>IF($CE6="P",BU6,(BU6+AX6)/2)</f>
        <v>0</v>
      </c>
      <c r="NA6" s="69">
        <f>IF($CE6="P",BV6,(BV6+AY6)/2)</f>
        <v>0</v>
      </c>
      <c r="NB6" s="69">
        <f>IF($CE6="P",BW6,(BW6+AZ6)/2)</f>
        <v>0</v>
      </c>
      <c r="NC6" s="69">
        <f>IF($CE6="P",BX6,(BX6+BA6)/2)</f>
        <v>0</v>
      </c>
      <c r="ND6" s="69">
        <f>IF($CE6="P",BY6,(BY6+BB6)/2)</f>
        <v>0</v>
      </c>
      <c r="NE6" s="69">
        <f>IF($CE6="P",BZ6,(BZ6+BC6)/2)</f>
        <v>0</v>
      </c>
      <c r="NF6" s="69">
        <f>IF($CE6="P",CA6,(CA6+BD6)/2)</f>
        <v>0</v>
      </c>
      <c r="NG6" s="69">
        <f>IF($CE6="P",CB6,(CB6+BE6)/2)</f>
        <v>0</v>
      </c>
      <c r="NH6" s="69">
        <f>IF($CE6="P",CC6,(CC6+BF6)/2)</f>
        <v>0</v>
      </c>
      <c r="NI6" s="69">
        <f>IF($CE6="P",CD6,(CD6+BG6)/2)</f>
        <v>0</v>
      </c>
      <c r="NJ6" s="80" t="s">
        <v>88</v>
      </c>
      <c r="NK6" s="11" t="str">
        <f>IF(NB6&gt;0,NB6,"")</f>
        <v/>
      </c>
      <c r="NL6" s="11" t="str">
        <f>IF(SUM(MU6:MX6)-MY6&gt;0,SUM(MU6:MX6)-MY6,"")</f>
        <v/>
      </c>
      <c r="NM6" s="11" t="str">
        <f>IF(SUM(MZ6:NC6)-ND6&gt;0,SUM(MZ6:NC6)-ND6,"")</f>
        <v/>
      </c>
      <c r="NN6" s="11" t="str">
        <f>IF(SUM(NL6:NM6)&gt;0,SUM(NL6:NM6),"")</f>
        <v/>
      </c>
      <c r="NO6" s="11" t="str">
        <f>IF(NG6&gt;0,NG6,"")</f>
        <v/>
      </c>
      <c r="NP6" s="11" t="str">
        <f>IF(SUM(NE6:NH6)-NI6&gt;0,SUM(NE6:NH6)-NI6,"")</f>
        <v/>
      </c>
      <c r="NQ6" s="11" t="str">
        <f>IF(SUM(NN6,NP6)&gt;0,SUM(NN6,NP6),"")</f>
        <v/>
      </c>
    </row>
    <row r="7" spans="1:381" x14ac:dyDescent="0.2">
      <c r="A7" s="5" cm="1">
        <f t="array" ref="A7">IF(AND(G7&lt;&gt;"",H7&lt;&gt;""),SUMPRODUCT((G$4:G$10&lt;&gt;"")*(H$4:H$10&lt;&gt;"")*(E$4:E$10&gt;E7))+1,IF(H7&lt;&gt;"",SUMPRODUCT((I$4:I$10="No DD")*(E$4:E$10&gt;E7))+1+SUMPRODUCT((G$4:G$10&lt;&gt;"")*(H$4:H$10&lt;&gt;"")),""))</f>
        <v>2</v>
      </c>
      <c r="B7" s="127" t="s">
        <v>134</v>
      </c>
      <c r="C7" s="5" t="s">
        <v>3</v>
      </c>
      <c r="D7" s="5" t="s">
        <v>133</v>
      </c>
      <c r="E7" s="15">
        <f>SUM(K7:S7)</f>
        <v>109.48999999999998</v>
      </c>
      <c r="F7" s="3" t="str">
        <f>IF(G7&lt;&gt;"","P","")</f>
        <v/>
      </c>
      <c r="G7" s="125" t="str">
        <f>IF(OR(AND(AL7&gt;=AR$15,AL7&lt;&gt;"",AK7=""),AND(AP7&gt;=AR$15,AP7&lt;&gt;"",AK7=""),AND(BI7&gt;=BO$15,BI7&lt;&gt;"",BH7=""),AND(BM7&gt;=BO$15,BM7&lt;&gt;"",BH7=""),AND(CF7&gt;=CL$15,CF7&lt;&gt;"",CE7=""),AND(CJ7&gt;=CL$15,CJ7&lt;&gt;"",CE7=""),AND(DF7&gt;=DL$15,DF7&lt;&gt;""),AND(DJ7&gt;=DL$15,DJ7&lt;&gt;""),AND(EB7&gt;=EH$15,EB7&lt;&gt;""),AND(EF7&gt;=EH$15,EF7&lt;&gt;""),AND(EX7&gt;=FD$15,EX7&lt;&gt;""),AND(FB7&gt;=FD$15,FB7&lt;&gt;""),AND(FT7&gt;=FZ$15,FT7&lt;&gt;""),AND(FX7&gt;=FZ$15,FX7&lt;&gt;""),AND(GP7&gt;=GV$15,GP7&lt;&gt;""),AND(GT7&gt;=GV$15,GT7&lt;&gt;""),AND(HL7&gt;=HR$15,HL7&lt;&gt;""),AND(HP7&gt;=HR$15,HP7&lt;&gt;""),AND(IH7&gt;=IN$15,IH7&lt;&gt;""),AND(IL7&gt;=IN$15,IL7&lt;&gt;""),AND(JD7&gt;=JJ$15,JD7&lt;&gt;""),AND(JH7&gt;=JJ$15,JH7&lt;&gt;""),AND(JZ7&gt;=KF$15,JZ7&lt;&gt;""),AND(KD7&gt;=KF$15,KD7&lt;&gt;""),AND(KV7&gt;=LB$15,KV7&lt;&gt;""),AND(KZ7&gt;=LB$15,KZ7&lt;&gt;""),AND(LR7&gt;=LX$15,LR7&lt;&gt;""),AND(LV7&gt;=LX$15,LV7&lt;&gt;""),AND(MN7&gt;=MT$15,MN7&lt;&gt;""),AND(MR7&gt;=MT$15,MR7&lt;&gt;"")),"Merit",IF(OR(AND(AL7&gt;=AR$14,AL7&lt;&gt;"",AK7=""),AND(AP7&gt;=AR$14,AP7&lt;&gt;"",AK7=""),AND(BI7&gt;=BO$14,BI7&lt;&gt;"",BH7=""),AND(BM7&gt;=BO$14,BM7&lt;&gt;"",BH7=""),AND(CF7&gt;=CL$14,CF7&lt;&gt;"",CE7=""),AND(CJ7&gt;=CL$14,CJ7&lt;&gt;"",CE7=""),AND(DF7&gt;=DL$14,DF7&lt;&gt;""),AND(DJ7&gt;=DL$14,DJ7&lt;&gt;""),AND(EB7&gt;=EH$14,EB7&lt;&gt;""),AND(EF7&gt;=EH$14,EF7&lt;&gt;""),AND(EX7&gt;=FD$14,EX7&lt;&gt;""),AND(FB7&gt;=FD$14,FB7&lt;&gt;""),AND(FT7&gt;=FZ$14,FT7&lt;&gt;""),AND(FX7&gt;=FZ$14,FX7&lt;&gt;""),AND(GP7&gt;=GV$14,GP7&lt;&gt;""),AND(GT7&gt;=GV$14,GT7&lt;&gt;""),AND(HL7&gt;=HR$14,HL7&lt;&gt;""),AND(HP7&gt;=HR$14,HP7&lt;&gt;""),AND(IH7&gt;=IN$14,IH7&lt;&gt;""),AND(IL7&gt;=IN$14,IL7&lt;&gt;""),AND(JD7&gt;=JJ$14,JD7&lt;&gt;""),AND(JH7&gt;=JJ$14,JH7&lt;&gt;""),AND(JZ7&gt;=KF$14,JZ7&lt;&gt;""),AND(KD7&gt;=KF$14,KD7&lt;&gt;""),AND(KV7&gt;=LB$14,KV7&lt;&gt;""),AND(KZ7&gt;=LB$14,KZ7&lt;&gt;""),AND(LR7&gt;=LX$14,LR7&lt;&gt;""),AND(LV7&gt;=LX$14,LV7&lt;&gt;""),AND(MN7&gt;=MT$14,MN7&lt;&gt;""),AND(MR7&gt;=MT$14,MR7&lt;&gt;"")),"Excellence",IF(OR(AND(AL7&gt;=AR$13,AL7&lt;&gt;"",AK7=""),AND(AP7&gt;=AR$13,AP7&lt;&gt;"",AK7=""),AND(BI7&gt;=BO$13,BI7&lt;&gt;"",BH7=""),AND(BM7&gt;=BO$13,BM7&lt;&gt;"",BH7=""),AND(CF7&gt;=CL$13,CF7&lt;&gt;"",CE7=""),AND(CJ7&gt;=CL$13,CJ7&lt;&gt;"",CE7=""),AND(DF7&gt;=DL$13,DF7&lt;&gt;""),AND(DJ7&gt;=DL$13,DJ7&lt;&gt;""),AND(EB7&gt;=EH$13,EB7&lt;&gt;""),AND(EF7&gt;=EH$13,EF7&lt;&gt;""),AND(EX7&gt;=FD$13,EX7&lt;&gt;""),AND(FB7&gt;=FD$13,FB7&lt;&gt;""),AND(FT7&gt;=FZ$13,FT7&lt;&gt;""),AND(FX7&gt;=FZ$13,FX7&lt;&gt;""),AND(GP7&gt;=GV$13,GP7&lt;&gt;""),AND(GT7&gt;=GV$13,GT7&lt;&gt;""),AND(HL7&gt;=HR$13,HL7&lt;&gt;""),AND(HP7&gt;=HR$13,HP7&lt;&gt;""),AND(IH7&gt;=IN$13,IH7&lt;&gt;""),AND(IL7&gt;=IN$13,IL7&lt;&gt;""),AND(JD7&gt;=JJ$13,JD7&lt;&gt;""),AND(JH7&gt;=JJ$13,JH7&lt;&gt;""),AND(JZ7&gt;=KF$13,JZ7&lt;&gt;""),AND(KD7&gt;=KF$13,KD7&lt;&gt;""),AND(KV7&gt;=LB$13,KV7&lt;&gt;""),AND(KZ7&gt;=LB$13,KZ7&lt;&gt;""),AND(LR7&gt;=LX$13,LR7&lt;&gt;""),AND(LV7&gt;=LX$13,LV7&lt;&gt;""),AND(MN7&gt;=MT$13,MN7&lt;&gt;""),AND(MR7&gt;=MT$13,MR7&lt;&gt;"")),"Worlds Team",IF(OR(AND(AL7&gt;=AR$12,AL7&lt;&gt;"",AK7=""),AND(AP7&gt;=AR$12,AP7&lt;&gt;"",AK7=""),AND(BI7&gt;=BO$12,BI7&lt;&gt;"",BH7=""),AND(BM7&gt;=BO$12,BM7&lt;&gt;"",BH7=""),AND(CF7&gt;=CL$12,CF7&lt;&gt;"",CE7=""),AND(CJ7&gt;=CL$12,CJ7&lt;&gt;"",CE7=""),AND(DF7&gt;=DL$12,DF7&lt;&gt;""),AND(DJ7&gt;=DL$12,DJ7&lt;&gt;""),AND(EB7&gt;=EH$12,EB7&lt;&gt;""),AND(EF7&gt;=EH$12,EF7&lt;&gt;""),AND(EX7&gt;=FD$12,EX7&lt;&gt;""),AND(FB7&gt;=FD$12,FB7&lt;&gt;""),AND(FT7&gt;=FZ$12,FT7&lt;&gt;""),AND(FX7&gt;=FZ$12,FX7&lt;&gt;""),AND(GP7&gt;=GV$12,GP7&lt;&gt;""),AND(GT7&gt;=GV$12,GT7&lt;&gt;""),AND(HL7&gt;=HR$12,HL7&lt;&gt;""),AND(HP7&gt;=HR$12,HP7&lt;&gt;""),AND(IH7&gt;=IN$12,IH7&lt;&gt;""),AND(IL7&gt;=IN$12,IL7&lt;&gt;""),AND(JD7&gt;=JJ$12,JD7&lt;&gt;""),AND(JH7&gt;=JJ$12,JH7&lt;&gt;""),AND(JZ7&gt;=KF$12,JZ7&lt;&gt;""),AND(KD7&gt;=KF$12,KD7&lt;&gt;""),AND(KV7&gt;=LB$12,KV7&lt;&gt;""),AND(KZ7&gt;=LB$12,KZ7&lt;&gt;""),AND(LR7&gt;=LX$12,LR7&lt;&gt;""),AND(LV7&gt;=LX$12,LV7&lt;&gt;""),AND(MN7&gt;=MT$12,MN7&lt;&gt;""),AND(MR7&gt;=MT$12,MR7&lt;&gt;"")),"National Team",""))))</f>
        <v/>
      </c>
      <c r="H7" s="125" t="str">
        <f>IF(OR(AND(AN7&gt;=AR$19,AN7&lt;&gt;"",AK7=""),AND(AQ7&gt;=AR$19,AQ7&lt;&gt;"",AK7=""),AND(BK7&gt;=BO$19,BK7&lt;&gt;"",BH7=""),AND(BN7&gt;=BO$19,BN7&lt;&gt;"",BH7=""),AND(CH7&gt;=CL$19,CH7&lt;&gt;"",CE7=""),AND(CK7&gt;=CL$19,CE7&lt;&gt;"",CE7=""),AND(DH7&gt;=DL$19,DH7&lt;&gt;""),AND(DK7&gt;=DL$19,DK7&lt;&gt;""),AND(ED7&gt;=EH$19,ED7&lt;&gt;""),AND(EG7&gt;=EH$19,EG7&lt;&gt;""),AND(EZ7&gt;=FD$19,EZ7&lt;&gt;""),AND(FC7&gt;=FD$19,FC7&lt;&gt;""),AND(FV7&gt;=FZ$19,FV7&lt;&gt;""),AND(FY7&gt;=FZ$19,FY7&lt;&gt;""),AND(GR7&gt;=GV$19,GR7&lt;&gt;""),AND(GU7&gt;=GV$19,GU7&lt;&gt;""),AND(HN7&gt;=HR$19,HN7&lt;&gt;""),AND(HQ7&gt;=HR$19,HQ7&lt;&gt;""),AND(IJ7&gt;=IN$19,IJ7&lt;&gt;""),AND(IM7&gt;=IN$19,IM7&lt;&gt;""),AND(JF7&gt;=JJ$19,JF7&lt;&gt;""),AND(JI7&gt;=JJ$19,JI7&lt;&gt;""),AND(KB7&gt;=KF$19,KB7&lt;&gt;""),AND(KE7&gt;=KF$19,KE7&lt;&gt;""),AND(KX7&gt;=LB$19,KX7&lt;&gt;""),AND(LA7&gt;=LB$19,LA7&lt;&gt;""),AND(LT7&gt;=LX$19,LT7&lt;&gt;""),AND(LW7&gt;=LX$19,LW7&lt;&gt;""),AND(MP7&gt;=MT$19,MP7&lt;&gt;""),AND(MS7&gt;=MT$19,MS7&lt;&gt;"")),"Merit",IF(OR(AND(AN7&gt;=AR$18,AN7&lt;&gt;"",AK7=""),AND(AQ7&gt;=AR$18,AQ7&lt;&gt;"",AK7=""),AND(BK7&gt;=BO$18,BK7&lt;&gt;"",BH7=""),AND(BN7&gt;=BO$18,BN7&lt;&gt;"",BH7=""),AND(CH7&gt;=CL$18,CH7&lt;&gt;"",CE7=""),AND(CK7&gt;=CL$18,CE7&lt;&gt;"",CE7=""),AND(DH7&gt;=DL$18,DH7&lt;&gt;""),AND(DK7&gt;=DL$18,DK7&lt;&gt;""),AND(ED7&gt;=EH$18,ED7&lt;&gt;""),AND(EG7&gt;=EH$18,EG7&lt;&gt;""),AND(EZ7&gt;=FD$18,EZ7&lt;&gt;""),AND(FC7&gt;=FD$18,FC7&lt;&gt;""),AND(FV7&gt;=FZ$18,FV7&lt;&gt;""),AND(FY7&gt;=FZ$18,FY7&lt;&gt;""),AND(GR7&gt;=GV$18,GR7&lt;&gt;""),AND(GU7&gt;=GV$18,GU7&lt;&gt;""),AND(HN7&gt;=HR$18,HN7&lt;&gt;""),AND(HQ7&gt;=HR$18,HQ7&lt;&gt;""),AND(IJ7&gt;=IN$18,IJ7&lt;&gt;""),AND(IM7&gt;=IN$18,IM7&lt;&gt;""),AND(JF7&gt;=JJ$18,JF7&lt;&gt;""),AND(JI7&gt;=JJ$18,JI7&lt;&gt;""),AND(KB7&gt;=KF$18,KB7&lt;&gt;""),AND(KE7&gt;=KF$18,KE7&lt;&gt;""),AND(KX7&gt;=LB$18,KX7&lt;&gt;""),AND(LA7&gt;=LB$18,LA7&lt;&gt;""),AND(LT7&gt;=LX$18,LT7&lt;&gt;""),AND(LW7&gt;=LX$18,LW7&lt;&gt;""),AND(MP7&gt;=MT$18,MP7&lt;&gt;""),AND(MS7&gt;=MT$18,MS7&lt;&gt;"")),"Excellence",IF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"Worlds Team",IF(OR(AND(AO7&gt;=AR$16,AO7&lt;&gt;"",AK7=""),AND(BL7&gt;=BO$16,BL7&lt;&gt;"",BH7=""),AND(CI7&gt;=CL$16,CI7&lt;&gt;"",CE7=""),AND(DI7&gt;=DL$16,DI7&lt;&gt;""),AND(EE7&gt;=EH$16,EE7&lt;&gt;""),AND(FA7&gt;=FD$16,FA7&lt;&gt;""),AND(FW7&gt;=FZ$16,FW7&lt;&gt;""),AND(GS7&gt;=GV$16,GS7&lt;&gt;""),AND(HO7&gt;=HR$16,HO7&lt;&gt;""),AND(IK7&gt;=IN$16,IK7&lt;&gt;""),AND(JG7&gt;=JJ$16,JG7&lt;&gt;""),AND(KC7&gt;=KF$16,KC7&lt;&gt;""),AND(KY7&gt;=LB$16,KY7&lt;&gt;""),AND(LU7&gt;=LX$16,LU7&lt;&gt;""),AND(MQ7&gt;=MT$16,MQ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No DD</v>
      </c>
      <c r="J7" s="3" t="str">
        <f>IF(AND(OR(AND(AO7&gt;=AR$17,AO7&lt;&gt;"",AK7=""),AND(BL7&gt;=BO$17,BL7&lt;&gt;"",BH7=""),AND(CI7&gt;=CL$17,CI7&lt;&gt;"",CE7=""),AND(DI7&gt;=DL$17,DI7&lt;&gt;""),AND(EE7&gt;=EH$17,EE7&lt;&gt;""),AND(FA7&gt;=FD$17,FA7&lt;&gt;""),AND(FW7&gt;=FZ$17,FW7&lt;&gt;""),AND(GS7&gt;=GV$17,GS7&lt;&gt;""),AND(HO7&gt;=HR$17,HO7&lt;&gt;""),AND(IK7&gt;=IN$17,IK7&lt;&gt;""),AND(JG7&gt;=JJ$17,JG7&lt;&gt;""),AND(KC7&gt;=KF$17,KC7&lt;&gt;""),AND(KY7&gt;=LB$17,KY7&lt;&gt;""),AND(LU7&gt;=LX$17,LU7&lt;&gt;""),AND(MQ7&gt;=MT$17,MQ7&lt;&gt;"")),OR(G7="Worlds Team",G7="Excellence",G7="Merit")),"P","")</f>
        <v/>
      </c>
      <c r="K7" s="14">
        <f>MAX(AO7,BL7,CI7)</f>
        <v>86.169999999999987</v>
      </c>
      <c r="L7" s="14" t="str">
        <f>IF(K7=0,"",IF(K7=CI7,$BP$1,IF(K7=BL7,$AS$1,IF(K7=AO7,$V$1,""))))</f>
        <v>2019 Nationals</v>
      </c>
      <c r="M7" s="14">
        <f>IF($K7=$AO7,MAX(BJ7,CG7),IF($K7=$BL7,MAX(AM7,CG7),IF($K7=$CI7,MAX(AM7,BJ7),MAX(AM7,BJ7,CG7))))</f>
        <v>0</v>
      </c>
      <c r="N7" s="14" t="str">
        <f>IF(M7=0,"",IF(AND(M7=CG7,$L7&lt;&gt;$BP$1),$BP$1,IF(AND(M7=BJ7,$L7&lt;&gt;$AS$1),$AS$1,IF(AND(M7=AM7,$L7&lt;&gt;$V$1),$V$1,""))))</f>
        <v/>
      </c>
      <c r="O7" s="14">
        <f>IF($K7=$AO7,MAX(CH7,BK7),IF($K7=$BL7,MAX(AN7,CH7),IF($K7=$CI7,MAX(AN7,BK7),MAX(AN7,BK7,CH7))))</f>
        <v>0</v>
      </c>
      <c r="P7" s="14" t="str">
        <f>IF(O7=0,"",IF(AND(O7=CH7,$L7&lt;&gt;$BP$1),$BP$1,IF(AND(O7=BK7,$L7&lt;&gt;$AS$1),$AS$1,IF(AND(O7=AN7,$L7&lt;&gt;$V$1),$V$1,""))))</f>
        <v/>
      </c>
      <c r="Q7" s="14">
        <f>MAX(AQ7,BN7,CK7)</f>
        <v>23.32</v>
      </c>
      <c r="R7" s="14" t="str">
        <f>IF(Q7=0,"",IF(Q7=CK7,$BP$1,IF(Q7=BN7,$AS$1,IF(Q7=AQ7,$V$1,""))))</f>
        <v>2019 Nationals</v>
      </c>
      <c r="S7" s="14" t="str">
        <f>IF(MAX(CM7,CN7,CO7,CP7)&gt;0,MAX(CM7,CN7,CO7,CP7),"")</f>
        <v/>
      </c>
      <c r="T7" s="25" t="str">
        <f>IF(S7="","",IF(S7=CM7,"(Vol 1)",IF(S7=CN7,"(Vol 2)",IF(S7=CO7,"(Prelim)",IF(S7=CP7,"(Final)")))))</f>
        <v/>
      </c>
      <c r="U7" s="14" t="str">
        <f>IF(S7="","",IF(S7=CM7,IF(S7+IF(M7="",0,M7)=MO7,$LY$1,IF(S7+IF(M7="",0,M7)=LS7,$LC$1,IF(S7+IF(M7="",0,M7)=KW7,$KG$1,IF(S7+IF(M7="",0,M7)=KA7,$JK$1,IF(S7+IF(M7="",0,M7)=JE7,$IO$1,IF(S7+IF(M7="",0,M7)=II7,$HS$1,IF(S7+IF(M7="",0,M7)=HM7,$GW$1,IF(S7+IF(M7="",0,M7)=GQ7,$GA$1,IF(S7+IF(M7="",0,M7)=FU7,$FE$1,IF(S7+IF(M7="",0,M7)=EY7,$EI$1,IF(S7+IF(M7="",0,M7)=EC7,$DM$1,IF(S7+IF(M7="",0,M7)=DG7,$CQ$1)))))))))))),IF(S7=CN7,IF(S7+IF(O7="",0,O7)=MP7,$LY$1,IF(S7+IF(O7="",0,O7)=LT7,$LC$1,IF(S7+IF(O7="",0,O7)=KX7,$KG$1,IF(S7+IF(O7="",0,O7)=KB7,$JK$1,IF(S7+IF(O7="",0,O7)=JF7,$IO$1,IF(S7+IF(O7="",0,O7)=IJ7,$HS$1,IF(S7+IF(O7="",0,O7)=HN7,$GW$1,IF(S7+IF(O7="",0,O7)=GR7,$GA$1,IF(S7+IF(O7="",0,O7)=FV7,$FE$1,IF(S7+IF(O7="",0,O7)=EZ7,$EI$1,IF(S7+IF(O7="",0,O7)=ED7,$DM$1,IF(S7+IF(O7="",0,O7)=DH7,$CQ$1)))))))))))),IF(S7=CO7,IF(S7+IF(K7="",0,K7)=MQ7,$LY$1,IF(S7+IF(K7="",0,K7)=LU7,$LC$1,IF(S7+IF(K7="",0,K7)=KY7,$KG$1,IF(S7+IF(K7="",0,K7)=KC7,$JK$1,IF(S7+IF(K7="",0,K7)=JG7,$IO$1,IF(S7+IF(K7="",0,K7)=IK7,$HS$1,IF(S7+IF(K7="",0,K7)=HO7,$GW$1,IF(S7+IF(K7="",0,K7)=GS7,$GA$1,IF(S7+IF(K7="",0,K7)=FW7,$FE$1,IF(S7+IF(K7="",0,K7)=FA7,$EI$1,IF(S7+IF(K7="",0,K7)=EE7,$DM$1,IF(S7+IF(K7="",0,K7)=DI7,$CQ$1)))))))))))),IF(S7=CP7,IF(S7+IF(Q7="",0,Q7)=MS7,$LY$1,IF(S7+IF(Q7="",0,Q7)=LW7,$LC$1,IF(S7+IF(Q7="",0,Q7)=LA7,$KG$1,IF(S7+IF(Q7="",0,Q7)=KE7,$JK$1,IF(S7+IF(Q7="",0,Q7)=JI7,$IO$1,IF(S7+IF(Q7="",0,Q7)=IM7,$HS$1,IF(S7+IF(Q7="",0,Q7)=HQ7,$GW$1,IF(S7+IF(Q7="",0,Q7)=GU7,$GA$1,IF(S7+IF(Q7="",0,Q7)=FY7,$FE$1,IF(S7+IF(Q7="",0,Q7)=FC7,$EI$1,IF(S7+IF(Q7="",0,Q7)=EG7,$DM$1,IF(S7+IF(Q7="",0,Q7)=DK7,$CQ$1)))))))))))))))))</f>
        <v/>
      </c>
      <c r="V7" s="39">
        <v>8.85</v>
      </c>
      <c r="W7" s="39">
        <v>9.4499999999999993</v>
      </c>
      <c r="X7" s="39">
        <v>3.3</v>
      </c>
      <c r="Y7" s="39">
        <v>18.66</v>
      </c>
      <c r="Z7" s="39">
        <v>0</v>
      </c>
      <c r="AA7" s="39">
        <v>8</v>
      </c>
      <c r="AB7" s="39">
        <v>9.15</v>
      </c>
      <c r="AC7" s="39">
        <v>10.5</v>
      </c>
      <c r="AD7" s="39">
        <v>18.260000000000002</v>
      </c>
      <c r="AE7" s="39">
        <v>0</v>
      </c>
      <c r="AF7" s="39">
        <v>4</v>
      </c>
      <c r="AG7" s="39">
        <v>4.8</v>
      </c>
      <c r="AH7" s="39">
        <v>5.7</v>
      </c>
      <c r="AI7" s="39">
        <v>8.82</v>
      </c>
      <c r="AJ7" s="39">
        <v>0</v>
      </c>
      <c r="AK7" s="80"/>
      <c r="AL7" s="11">
        <f>IF(AC7&gt;0,AC7,"")</f>
        <v>10.5</v>
      </c>
      <c r="AM7" s="11">
        <f>IF(SUM(V7:Y7)-Z7&gt;0,SUM(V7:Y7)-Z7,"")</f>
        <v>40.26</v>
      </c>
      <c r="AN7" s="11">
        <f>IF(SUM(AA7:AD7)-AE7&gt;0,SUM(AA7:AD7)-AE7,"")</f>
        <v>45.91</v>
      </c>
      <c r="AO7" s="11">
        <f>IF(SUM(AM7:AN7)&gt;0,SUM(AM7:AN7),"")</f>
        <v>86.169999999999987</v>
      </c>
      <c r="AP7" s="11">
        <f>IF(AH7&gt;0,AH7,"")</f>
        <v>5.7</v>
      </c>
      <c r="AQ7" s="11">
        <f>IF(SUM(AF7:AI7)-AJ7&gt;0,SUM(AF7:AI7)-AJ7,"")</f>
        <v>23.32</v>
      </c>
      <c r="AR7" s="11">
        <f>IF(SUM(AO7,AQ7)&gt;0,SUM(AO7,AQ7),"")</f>
        <v>109.48999999999998</v>
      </c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81"/>
      <c r="BI7" s="14" t="str">
        <f>IF(AZ7&gt;0,AZ7,"")</f>
        <v/>
      </c>
      <c r="BJ7" s="14" t="str">
        <f>IF(SUM(AS7:AV7)-AW7&gt;0,SUM(AS7:AV7)-AW7,"")</f>
        <v/>
      </c>
      <c r="BK7" s="14" t="str">
        <f>IF(SUM(AX7:BA7)-BB7&gt;0,SUM(AX7:BA7)-BB7,"")</f>
        <v/>
      </c>
      <c r="BL7" s="14" t="str">
        <f>IF(SUM(BJ7:BK7)&gt;0,SUM(BJ7:BK7),"")</f>
        <v/>
      </c>
      <c r="BM7" s="14" t="str">
        <f>IF(BE7&gt;0,BE7,"")</f>
        <v/>
      </c>
      <c r="BN7" s="14" t="str">
        <f>IF(SUM(BC7:BF7)-BG7&gt;0,SUM(BC7:BF7)-BG7,"")</f>
        <v/>
      </c>
      <c r="BO7" s="14" t="str">
        <f>IF(SUM(BL7,BN7)&gt;0,SUM(BL7,BN7),"")</f>
        <v/>
      </c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80"/>
      <c r="CF7" s="11" t="str">
        <f>IF(BW7&gt;0,BW7,"")</f>
        <v/>
      </c>
      <c r="CG7" s="11" t="str">
        <f>IF(SUM(BP7:BS7)-BT7&gt;0,SUM(BP7:BS7)-BT7,"")</f>
        <v/>
      </c>
      <c r="CH7" s="11" t="str">
        <f>IF(SUM(BU7:BX7)-BY7&gt;0,SUM(BU7:BX7)-BY7,"")</f>
        <v/>
      </c>
      <c r="CI7" s="11" t="str">
        <f>IF(SUM(CG7:CH7)&gt;0,SUM(CG7:CH7),"")</f>
        <v/>
      </c>
      <c r="CJ7" s="11" t="str">
        <f>IF(CB7&gt;0,CB7,"")</f>
        <v/>
      </c>
      <c r="CK7" s="11" t="str">
        <f>IF(SUM(BZ7:CC7)-CD7&gt;0,SUM(BZ7:CC7)-CD7,"")</f>
        <v/>
      </c>
      <c r="CL7" s="11" t="str">
        <f>IF(SUM(CI7,CK7)&gt;0,SUM(CI7,CK7),"")</f>
        <v/>
      </c>
      <c r="CM7" s="24" t="str">
        <f>IF(MAX(DG7,EC7,EY7,FU7,GQ7,HM7,II7,JE7,KA7,KW7,LS7,MO7)-IF(M7="",0,M7)&gt;0.001,MAX(DG7,EC7,EY7,FU7,GQ7,HM7,II7,JE7,KA7,KW7,LS7,MO7)-IF(M7="",0,M7),"")</f>
        <v/>
      </c>
      <c r="CN7" s="24" t="str">
        <f>IF(MAX(DH7,ED7,EZ7,FV7,GR7,HN7,IJ7,JF7,KB7,KX7,LT7,MP7)-IF(O7="",0,O7)&gt;0.001,MAX(DH7,ED7,EZ7,FV7,GR7,HN7,IJ7,JF7,KB7,KX7,LT7,MP7)-IF(O7="",0,O7),"")</f>
        <v/>
      </c>
      <c r="CO7" s="24" t="str">
        <f>IF(MAX(DI7,EE7,FA7,FW7,GS7,HO7,IK7,JG7,KC7,KY7,LU7,MQ7)-IF(K7="",0,K7)&gt;0.001,MAX(DI7,EE7,FA7,FW7,GS7,HO7,IK7,JG7,KC7,KY7,LU7,MQ7)-IF(K7="",0,K7),"")</f>
        <v/>
      </c>
      <c r="CP7" s="24" t="str">
        <f>IF(MAX(DK7,EG7,FC7,FY7,GU7,HQ7,IM7,JI7,KE7,LA7,LW7,MS7)-IF(Q7="",0,Q7)&gt;0.001,MAX(DK7,EG7,FC7,FY7,GU7,HQ7,IM7,JI7,KE7,LA7,LW7,MS7)-IF(Q7="",0,Q7),"")</f>
        <v/>
      </c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11" t="str">
        <f>IF(CX7&gt;0,CX7,"")</f>
        <v/>
      </c>
      <c r="DG7" s="11" t="str">
        <f>IF(SUM(CQ7:CT7)-CU7&gt;0,SUM(CQ7:CT7)-CU7,"")</f>
        <v/>
      </c>
      <c r="DH7" s="11" t="str">
        <f>IF(SUM(CV7:CY7)-CZ7&gt;0,SUM(CV7:CY7)-CZ7,"")</f>
        <v/>
      </c>
      <c r="DI7" s="11" t="str">
        <f>IF(SUM(DG7:DH7)&gt;0,SUM(DG7:DH7),"")</f>
        <v/>
      </c>
      <c r="DJ7" s="11" t="str">
        <f>IF(DC7&gt;0,DC7,"")</f>
        <v/>
      </c>
      <c r="DK7" s="11" t="str">
        <f>IF(SUM(DA7:DD7)-DE7&gt;0,SUM(DA7:DD7)-DE7,"")</f>
        <v/>
      </c>
      <c r="DL7" s="11" t="str">
        <f>IF(SUM(DI7,DK7)&gt;0,SUM(DI7,DK7),"")</f>
        <v/>
      </c>
      <c r="DM7" s="38"/>
      <c r="DN7" s="38"/>
      <c r="DO7" s="38"/>
      <c r="DP7" s="38"/>
      <c r="DQ7" s="38"/>
      <c r="DR7" s="38"/>
      <c r="DS7" s="38"/>
      <c r="DT7" s="38"/>
      <c r="DU7" s="38"/>
      <c r="DV7" s="38"/>
      <c r="DW7" s="38"/>
      <c r="DX7" s="38"/>
      <c r="DY7" s="38"/>
      <c r="DZ7" s="38"/>
      <c r="EA7" s="38"/>
      <c r="EB7" s="14" t="str">
        <f>IF(DT7&gt;0,DT7,"")</f>
        <v/>
      </c>
      <c r="EC7" s="14" t="str">
        <f>IF(SUM(DM7:DP7)-DQ7&gt;0,SUM(DM7:DP7)-DQ7,"")</f>
        <v/>
      </c>
      <c r="ED7" s="14" t="str">
        <f>IF(SUM(DR7:DU7)-DV7&gt;0,SUM(DR7:DU7)-DV7,"")</f>
        <v/>
      </c>
      <c r="EE7" s="14" t="str">
        <f>IF(SUM(EC7:ED7)&gt;0,SUM(EC7:ED7),"")</f>
        <v/>
      </c>
      <c r="EF7" s="14" t="str">
        <f>IF(DY7&gt;0,DY7,"")</f>
        <v/>
      </c>
      <c r="EG7" s="14" t="str">
        <f>IF(SUM(DW7:DZ7)-EA7&gt;0,SUM(DW7:DZ7)-EA7,"")</f>
        <v/>
      </c>
      <c r="EH7" s="14" t="str">
        <f>IF(SUM(EE7,EG7)&gt;0,SUM(EE7,EG7),"")</f>
        <v/>
      </c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11" t="str">
        <f>IF(EP7&gt;0,EP7,"")</f>
        <v/>
      </c>
      <c r="EY7" s="11" t="str">
        <f>IF(SUM(EI7:EL7)-EM7&gt;0,SUM(EI7:EL7)-EM7,"")</f>
        <v/>
      </c>
      <c r="EZ7" s="11" t="str">
        <f>IF(SUM(EN7:EQ7)-ER7&gt;0,SUM(EN7:EQ7)-ER7,"")</f>
        <v/>
      </c>
      <c r="FA7" s="11" t="str">
        <f>IF(SUM(EY7:EZ7)&gt;0,SUM(EY7:EZ7),"")</f>
        <v/>
      </c>
      <c r="FB7" s="11" t="str">
        <f>IF(EU7&gt;0,EU7,"")</f>
        <v/>
      </c>
      <c r="FC7" s="11" t="str">
        <f>IF(SUM(ES7:EV7)-EW7&gt;0,SUM(ES7:EV7)-EW7,"")</f>
        <v/>
      </c>
      <c r="FD7" s="11" t="str">
        <f>IF(SUM(FA7,FC7)&gt;0,SUM(FA7,FC7),"")</f>
        <v/>
      </c>
      <c r="FE7" s="38"/>
      <c r="FF7" s="38"/>
      <c r="FG7" s="38"/>
      <c r="FH7" s="38"/>
      <c r="FI7" s="38"/>
      <c r="FJ7" s="38"/>
      <c r="FK7" s="38"/>
      <c r="FL7" s="38"/>
      <c r="FM7" s="38"/>
      <c r="FN7" s="38"/>
      <c r="FO7" s="38"/>
      <c r="FP7" s="38"/>
      <c r="FQ7" s="38"/>
      <c r="FR7" s="38"/>
      <c r="FS7" s="38"/>
      <c r="FT7" s="14" t="str">
        <f>IF(FL7&gt;0,FL7,"")</f>
        <v/>
      </c>
      <c r="FU7" s="14" t="str">
        <f>IF(SUM(FE7:FH7)-FI7&gt;0,SUM(FE7:FH7)-FI7,"")</f>
        <v/>
      </c>
      <c r="FV7" s="14" t="str">
        <f>IF(SUM(FJ7:FM7)-FN7&gt;0,SUM(FJ7:FM7)-FN7,"")</f>
        <v/>
      </c>
      <c r="FW7" s="14" t="str">
        <f>IF(SUM(FU7:FV7)&gt;0,SUM(FU7:FV7),"")</f>
        <v/>
      </c>
      <c r="FX7" s="14" t="str">
        <f>IF(FQ7&gt;0,FQ7,"")</f>
        <v/>
      </c>
      <c r="FY7" s="14" t="str">
        <f>IF(SUM(FO7:FR7)-FS7&gt;0,SUM(FO7:FR7)-FS7,"")</f>
        <v/>
      </c>
      <c r="FZ7" s="14" t="str">
        <f>IF(SUM(FW7,FY7)&gt;0,SUM(FW7,FY7),"")</f>
        <v/>
      </c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11" t="str">
        <f>IF(GH7&gt;0,GH7,"")</f>
        <v/>
      </c>
      <c r="GQ7" s="11" t="str">
        <f>IF(SUM(GA7:GD7)-GE7&gt;0,SUM(GA7:GD7)-GE7,"")</f>
        <v/>
      </c>
      <c r="GR7" s="11" t="str">
        <f>IF(SUM(GF7:GI7)-GJ7&gt;0,SUM(GF7:GI7)-GJ7,"")</f>
        <v/>
      </c>
      <c r="GS7" s="11" t="str">
        <f>IF(SUM(GQ7:GR7)&gt;0,SUM(GQ7:GR7),"")</f>
        <v/>
      </c>
      <c r="GT7" s="11" t="str">
        <f>IF(GM7&gt;0,GM7,"")</f>
        <v/>
      </c>
      <c r="GU7" s="11" t="str">
        <f>IF(SUM(GK7:GN7)-GO7&gt;0,SUM(GK7:GN7)-GO7,"")</f>
        <v/>
      </c>
      <c r="GV7" s="11" t="str">
        <f>IF(SUM(GS7,GU7)&gt;0,SUM(GS7,GU7),"")</f>
        <v/>
      </c>
      <c r="GW7" s="38"/>
      <c r="GX7" s="38"/>
      <c r="GY7" s="38"/>
      <c r="GZ7" s="38"/>
      <c r="HA7" s="38"/>
      <c r="HB7" s="38"/>
      <c r="HC7" s="38"/>
      <c r="HD7" s="38"/>
      <c r="HE7" s="38"/>
      <c r="HF7" s="38"/>
      <c r="HG7" s="38"/>
      <c r="HH7" s="38"/>
      <c r="HI7" s="38"/>
      <c r="HJ7" s="38"/>
      <c r="HK7" s="38"/>
      <c r="HL7" s="14" t="str">
        <f>IF(HD7&gt;0,HD7,"")</f>
        <v/>
      </c>
      <c r="HM7" s="14" t="str">
        <f>IF(SUM(GW7:GZ7)-HA7&gt;0,SUM(GW7:GZ7)-HA7,"")</f>
        <v/>
      </c>
      <c r="HN7" s="14" t="str">
        <f>IF(SUM(HB7:HE7)-HF7&gt;0,SUM(HB7:HE7)-HF7,"")</f>
        <v/>
      </c>
      <c r="HO7" s="14" t="str">
        <f>IF(SUM(HM7:HN7)&gt;0,SUM(HM7:HN7),"")</f>
        <v/>
      </c>
      <c r="HP7" s="14" t="str">
        <f>IF(HI7&gt;0,HI7,"")</f>
        <v/>
      </c>
      <c r="HQ7" s="14" t="str">
        <f>IF(SUM(HG7:HJ7)-HK7&gt;0,SUM(HG7:HJ7)-HK7,"")</f>
        <v/>
      </c>
      <c r="HR7" s="14" t="str">
        <f>IF(SUM(HO7,HQ7)&gt;0,SUM(HO7,HQ7),"")</f>
        <v/>
      </c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11" t="str">
        <f>IF(HZ7&gt;0,HZ7,"")</f>
        <v/>
      </c>
      <c r="II7" s="11" t="str">
        <f>IF(SUM(HS7:HV7)-HW7&gt;0,SUM(HS7:HV7)-HW7,"")</f>
        <v/>
      </c>
      <c r="IJ7" s="11" t="str">
        <f>IF(SUM(HX7:IA7)-IB7&gt;0,SUM(HX7:IA7)-IB7,"")</f>
        <v/>
      </c>
      <c r="IK7" s="11" t="str">
        <f>IF(SUM(II7:IJ7)&gt;0,SUM(II7:IJ7),"")</f>
        <v/>
      </c>
      <c r="IL7" s="11" t="str">
        <f>IF(IE7&gt;0,IE7,"")</f>
        <v/>
      </c>
      <c r="IM7" s="11" t="str">
        <f>IF(SUM(IC7:IF7)-IG7&gt;0,SUM(IC7:IF7)-IG7,"")</f>
        <v/>
      </c>
      <c r="IN7" s="11" t="str">
        <f>IF(SUM(IK7,IM7)&gt;0,SUM(IK7,IM7),"")</f>
        <v/>
      </c>
      <c r="IO7" s="38"/>
      <c r="IP7" s="38"/>
      <c r="IQ7" s="38"/>
      <c r="IR7" s="38"/>
      <c r="IS7" s="38"/>
      <c r="IT7" s="38"/>
      <c r="IU7" s="38"/>
      <c r="IV7" s="38"/>
      <c r="IW7" s="38"/>
      <c r="IX7" s="38"/>
      <c r="IY7" s="38"/>
      <c r="IZ7" s="38"/>
      <c r="JA7" s="38"/>
      <c r="JB7" s="38"/>
      <c r="JC7" s="38"/>
      <c r="JD7" s="14" t="str">
        <f>IF(IV7&gt;0,IV7,"")</f>
        <v/>
      </c>
      <c r="JE7" s="14" t="str">
        <f>IF(SUM(IO7:IR7)-IS7&gt;0,SUM(IO7:IR7)-IS7,"")</f>
        <v/>
      </c>
      <c r="JF7" s="14" t="str">
        <f>IF(SUM(IT7:IW7)-IX7&gt;0,SUM(IT7:IW7)-IX7,"")</f>
        <v/>
      </c>
      <c r="JG7" s="14" t="str">
        <f>IF(SUM(JE7:JF7)&gt;0,SUM(JE7:JF7),"")</f>
        <v/>
      </c>
      <c r="JH7" s="14" t="str">
        <f>IF(JA7&gt;0,JA7,"")</f>
        <v/>
      </c>
      <c r="JI7" s="14" t="str">
        <f>IF(SUM(IY7:JB7)-JC7&gt;0,SUM(IY7:JB7)-JC7,"")</f>
        <v/>
      </c>
      <c r="JJ7" s="14" t="str">
        <f>IF(SUM(JG7,JI7)&gt;0,SUM(JG7,JI7),"")</f>
        <v/>
      </c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11" t="str">
        <f>IF(JR7&gt;0,JR7,"")</f>
        <v/>
      </c>
      <c r="KA7" s="11" t="str">
        <f>IF(SUM(JK7:JN7)-JO7&gt;0,SUM(JK7:JN7)-JO7,"")</f>
        <v/>
      </c>
      <c r="KB7" s="11" t="str">
        <f>IF(SUM(JP7:JS7)-JT7&gt;0,SUM(JP7:JS7)-JT7,"")</f>
        <v/>
      </c>
      <c r="KC7" s="11" t="str">
        <f>IF(SUM(KA7:KB7)&gt;0,SUM(KA7:KB7),"")</f>
        <v/>
      </c>
      <c r="KD7" s="11" t="str">
        <f>IF(JW7&gt;0,JW7,"")</f>
        <v/>
      </c>
      <c r="KE7" s="11" t="str">
        <f>IF(SUM(JU7:JX7)-JY7&gt;0,SUM(JU7:JX7)-JY7,"")</f>
        <v/>
      </c>
      <c r="KF7" s="11" t="str">
        <f>IF(SUM(KC7,KE7)&gt;0,SUM(KC7,KE7),"")</f>
        <v/>
      </c>
      <c r="KG7" s="38"/>
      <c r="KH7" s="38"/>
      <c r="KI7" s="38"/>
      <c r="KJ7" s="38"/>
      <c r="KK7" s="38"/>
      <c r="KL7" s="38"/>
      <c r="KM7" s="38"/>
      <c r="KN7" s="38"/>
      <c r="KO7" s="38"/>
      <c r="KP7" s="38"/>
      <c r="KQ7" s="38"/>
      <c r="KR7" s="38"/>
      <c r="KS7" s="38"/>
      <c r="KT7" s="38"/>
      <c r="KU7" s="38"/>
      <c r="KV7" s="14" t="str">
        <f>IF(KN7&gt;0,KN7,"")</f>
        <v/>
      </c>
      <c r="KW7" s="14" t="str">
        <f>IF(SUM(KG7:KJ7)-KK7&gt;0,SUM(KG7:KJ7)-KK7,"")</f>
        <v/>
      </c>
      <c r="KX7" s="14" t="str">
        <f>IF(SUM(KL7:KO7)-KP7&gt;0,SUM(KL7:KO7)-KP7,"")</f>
        <v/>
      </c>
      <c r="KY7" s="14" t="str">
        <f>IF(SUM(KW7:KX7)&gt;0,SUM(KW7:KX7),"")</f>
        <v/>
      </c>
      <c r="KZ7" s="14" t="str">
        <f>IF(KS7&gt;0,KS7,"")</f>
        <v/>
      </c>
      <c r="LA7" s="14" t="str">
        <f>IF(SUM(KQ7:KT7)-KU7&gt;0,SUM(KQ7:KT7)-KU7,"")</f>
        <v/>
      </c>
      <c r="LB7" s="14" t="str">
        <f>IF(SUM(KY7,LA7)&gt;0,SUM(KY7,LA7),"")</f>
        <v/>
      </c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11" t="str">
        <f>IF(LJ7&gt;0,LJ7,"")</f>
        <v/>
      </c>
      <c r="LS7" s="11" t="str">
        <f>IF(SUM(LC7:LF7)-LG7&gt;0,SUM(LC7:LF7)-LG7,"")</f>
        <v/>
      </c>
      <c r="LT7" s="11" t="str">
        <f>IF(SUM(LH7:LK7)-LL7&gt;0,SUM(LH7:LK7)-LL7,"")</f>
        <v/>
      </c>
      <c r="LU7" s="11" t="str">
        <f>IF(SUM(LS7:LT7)&gt;0,SUM(LS7:LT7),"")</f>
        <v/>
      </c>
      <c r="LV7" s="11" t="str">
        <f>IF(LO7&gt;0,LO7,"")</f>
        <v/>
      </c>
      <c r="LW7" s="11" t="str">
        <f>IF(SUM(LM7:LP7)-LQ7&gt;0,SUM(LM7:LP7)-LQ7,"")</f>
        <v/>
      </c>
      <c r="LX7" s="11" t="str">
        <f>IF(SUM(LU7,LW7)&gt;0,SUM(LU7,LW7),"")</f>
        <v/>
      </c>
      <c r="LY7" s="38"/>
      <c r="LZ7" s="38"/>
      <c r="MA7" s="38"/>
      <c r="MB7" s="38"/>
      <c r="MC7" s="38"/>
      <c r="MD7" s="38"/>
      <c r="ME7" s="38"/>
      <c r="MF7" s="38"/>
      <c r="MG7" s="38"/>
      <c r="MH7" s="38"/>
      <c r="MI7" s="38"/>
      <c r="MJ7" s="38"/>
      <c r="MK7" s="38"/>
      <c r="ML7" s="38"/>
      <c r="MM7" s="38"/>
      <c r="MN7" s="14" t="str">
        <f>IF(MF7&gt;0,MF7,"")</f>
        <v/>
      </c>
      <c r="MO7" s="14" t="str">
        <f>IF(SUM(LY7:MB7)-MC7&gt;0,SUM(LY7:MB7)-MC7,"")</f>
        <v/>
      </c>
      <c r="MP7" s="14" t="str">
        <f>IF(SUM(MD7:MG7)-MH7&gt;0,SUM(MD7:MG7)-MH7,"")</f>
        <v/>
      </c>
      <c r="MQ7" s="14" t="str">
        <f>IF(SUM(MO7:MP7)&gt;0,SUM(MO7:MP7),"")</f>
        <v/>
      </c>
      <c r="MR7" s="14" t="str">
        <f>IF(MK7&gt;0,MK7,"")</f>
        <v/>
      </c>
      <c r="MS7" s="14" t="str">
        <f>IF(SUM(MI7:ML7)-MM7&gt;0,SUM(MI7:ML7)-MM7,"")</f>
        <v/>
      </c>
      <c r="MT7" s="14" t="str">
        <f>IF(SUM(MQ7,MS7)&gt;0,SUM(MQ7,MS7),"")</f>
        <v/>
      </c>
      <c r="MU7" s="69">
        <f>IF($CE7="P",BP7,(BP7+AS7)/2)</f>
        <v>0</v>
      </c>
      <c r="MV7" s="69">
        <f>IF($CE7="P",BQ7,(BQ7+AT7)/2)</f>
        <v>0</v>
      </c>
      <c r="MW7" s="69">
        <f>IF($CE7="P",BR7,(BR7+AU7)/2)</f>
        <v>0</v>
      </c>
      <c r="MX7" s="69">
        <f>IF($CE7="P",BS7,(BS7+AV7)/2)</f>
        <v>0</v>
      </c>
      <c r="MY7" s="69">
        <f>IF($CE7="P",BT7,(BT7+AW7)/2)</f>
        <v>0</v>
      </c>
      <c r="MZ7" s="69">
        <f>IF($CE7="P",BU7,(BU7+AX7)/2)</f>
        <v>0</v>
      </c>
      <c r="NA7" s="69">
        <f>IF($CE7="P",BV7,(BV7+AY7)/2)</f>
        <v>0</v>
      </c>
      <c r="NB7" s="69">
        <f>IF($CE7="P",BW7,(BW7+AZ7)/2)</f>
        <v>0</v>
      </c>
      <c r="NC7" s="69">
        <f>IF($CE7="P",BX7,(BX7+BA7)/2)</f>
        <v>0</v>
      </c>
      <c r="ND7" s="69">
        <f>IF($CE7="P",BY7,(BY7+BB7)/2)</f>
        <v>0</v>
      </c>
      <c r="NE7" s="69">
        <f>IF($CE7="P",BZ7,(BZ7+BC7)/2)</f>
        <v>0</v>
      </c>
      <c r="NF7" s="69">
        <f>IF($CE7="P",CA7,(CA7+BD7)/2)</f>
        <v>0</v>
      </c>
      <c r="NG7" s="69">
        <f>IF($CE7="P",CB7,(CB7+BE7)/2)</f>
        <v>0</v>
      </c>
      <c r="NH7" s="69">
        <f>IF($CE7="P",CC7,(CC7+BF7)/2)</f>
        <v>0</v>
      </c>
      <c r="NI7" s="69">
        <f>IF($CE7="P",CD7,(CD7+BG7)/2)</f>
        <v>0</v>
      </c>
      <c r="NJ7" s="80" t="s">
        <v>88</v>
      </c>
      <c r="NK7" s="11" t="str">
        <f>IF(NB7&gt;0,NB7,"")</f>
        <v/>
      </c>
      <c r="NL7" s="11" t="str">
        <f>IF(SUM(MU7:MX7)-MY7&gt;0,SUM(MU7:MX7)-MY7,"")</f>
        <v/>
      </c>
      <c r="NM7" s="11" t="str">
        <f>IF(SUM(MZ7:NC7)-ND7&gt;0,SUM(MZ7:NC7)-ND7,"")</f>
        <v/>
      </c>
      <c r="NN7" s="11" t="str">
        <f>IF(SUM(NL7:NM7)&gt;0,SUM(NL7:NM7),"")</f>
        <v/>
      </c>
      <c r="NO7" s="11" t="str">
        <f>IF(NG7&gt;0,NG7,"")</f>
        <v/>
      </c>
      <c r="NP7" s="11" t="str">
        <f>IF(SUM(NE7:NH7)-NI7&gt;0,SUM(NE7:NH7)-NI7,"")</f>
        <v/>
      </c>
      <c r="NQ7" s="11" t="str">
        <f>IF(SUM(NN7,NP7)&gt;0,SUM(NN7,NP7),"")</f>
        <v/>
      </c>
    </row>
    <row r="8" spans="1:381" x14ac:dyDescent="0.2">
      <c r="A8" s="5" t="str" cm="1">
        <f t="array" ref="A8">IF(AND(G8&lt;&gt;"",H8&lt;&gt;""),SUMPRODUCT((G$4:G$10&lt;&gt;"")*(H$4:H$10&lt;&gt;"")*(E$4:E$10&gt;E8))+1,IF(H8&lt;&gt;"",SUMPRODUCT((I$4:I$10="No DD")*(E$4:E$10&gt;E8))+1+SUMPRODUCT((G$4:G$10&lt;&gt;"")*(H$4:H$10&lt;&gt;"")),""))</f>
        <v/>
      </c>
      <c r="B8" s="127" t="s">
        <v>137</v>
      </c>
      <c r="C8" s="5" t="s">
        <v>102</v>
      </c>
      <c r="D8" s="5" t="s">
        <v>136</v>
      </c>
      <c r="E8" s="15">
        <f>SUM(K8:S8)</f>
        <v>98.980000000000018</v>
      </c>
      <c r="F8" s="3" t="str">
        <f>IF(G8&lt;&gt;"","P","")</f>
        <v/>
      </c>
      <c r="G8" s="125" t="str">
        <f>IF(OR(AND(AL8&gt;=AR$15,AL8&lt;&gt;"",AK8=""),AND(AP8&gt;=AR$15,AP8&lt;&gt;"",AK8=""),AND(BI8&gt;=BO$15,BI8&lt;&gt;"",BH8=""),AND(BM8&gt;=BO$15,BM8&lt;&gt;"",BH8=""),AND(CF8&gt;=CL$15,CF8&lt;&gt;"",CE8=""),AND(CJ8&gt;=CL$15,CJ8&lt;&gt;"",CE8=""),AND(DF8&gt;=DL$15,DF8&lt;&gt;""),AND(DJ8&gt;=DL$15,DJ8&lt;&gt;""),AND(EB8&gt;=EH$15,EB8&lt;&gt;""),AND(EF8&gt;=EH$15,EF8&lt;&gt;""),AND(EX8&gt;=FD$15,EX8&lt;&gt;""),AND(FB8&gt;=FD$15,FB8&lt;&gt;""),AND(FT8&gt;=FZ$15,FT8&lt;&gt;""),AND(FX8&gt;=FZ$15,FX8&lt;&gt;""),AND(GP8&gt;=GV$15,GP8&lt;&gt;""),AND(GT8&gt;=GV$15,GT8&lt;&gt;""),AND(HL8&gt;=HR$15,HL8&lt;&gt;""),AND(HP8&gt;=HR$15,HP8&lt;&gt;""),AND(IH8&gt;=IN$15,IH8&lt;&gt;""),AND(IL8&gt;=IN$15,IL8&lt;&gt;""),AND(JD8&gt;=JJ$15,JD8&lt;&gt;""),AND(JH8&gt;=JJ$15,JH8&lt;&gt;""),AND(JZ8&gt;=KF$15,JZ8&lt;&gt;""),AND(KD8&gt;=KF$15,KD8&lt;&gt;""),AND(KV8&gt;=LB$15,KV8&lt;&gt;""),AND(KZ8&gt;=LB$15,KZ8&lt;&gt;""),AND(LR8&gt;=LX$15,LR8&lt;&gt;""),AND(LV8&gt;=LX$15,LV8&lt;&gt;""),AND(MN8&gt;=MT$15,MN8&lt;&gt;""),AND(MR8&gt;=MT$15,MR8&lt;&gt;"")),"Merit",IF(OR(AND(AL8&gt;=AR$14,AL8&lt;&gt;"",AK8=""),AND(AP8&gt;=AR$14,AP8&lt;&gt;"",AK8=""),AND(BI8&gt;=BO$14,BI8&lt;&gt;"",BH8=""),AND(BM8&gt;=BO$14,BM8&lt;&gt;"",BH8=""),AND(CF8&gt;=CL$14,CF8&lt;&gt;"",CE8=""),AND(CJ8&gt;=CL$14,CJ8&lt;&gt;"",CE8=""),AND(DF8&gt;=DL$14,DF8&lt;&gt;""),AND(DJ8&gt;=DL$14,DJ8&lt;&gt;""),AND(EB8&gt;=EH$14,EB8&lt;&gt;""),AND(EF8&gt;=EH$14,EF8&lt;&gt;""),AND(EX8&gt;=FD$14,EX8&lt;&gt;""),AND(FB8&gt;=FD$14,FB8&lt;&gt;""),AND(FT8&gt;=FZ$14,FT8&lt;&gt;""),AND(FX8&gt;=FZ$14,FX8&lt;&gt;""),AND(GP8&gt;=GV$14,GP8&lt;&gt;""),AND(GT8&gt;=GV$14,GT8&lt;&gt;""),AND(HL8&gt;=HR$14,HL8&lt;&gt;""),AND(HP8&gt;=HR$14,HP8&lt;&gt;""),AND(IH8&gt;=IN$14,IH8&lt;&gt;""),AND(IL8&gt;=IN$14,IL8&lt;&gt;""),AND(JD8&gt;=JJ$14,JD8&lt;&gt;""),AND(JH8&gt;=JJ$14,JH8&lt;&gt;""),AND(JZ8&gt;=KF$14,JZ8&lt;&gt;""),AND(KD8&gt;=KF$14,KD8&lt;&gt;""),AND(KV8&gt;=LB$14,KV8&lt;&gt;""),AND(KZ8&gt;=LB$14,KZ8&lt;&gt;""),AND(LR8&gt;=LX$14,LR8&lt;&gt;""),AND(LV8&gt;=LX$14,LV8&lt;&gt;""),AND(MN8&gt;=MT$14,MN8&lt;&gt;""),AND(MR8&gt;=MT$14,MR8&lt;&gt;"")),"Excellence",IF(OR(AND(AL8&gt;=AR$13,AL8&lt;&gt;"",AK8=""),AND(AP8&gt;=AR$13,AP8&lt;&gt;"",AK8=""),AND(BI8&gt;=BO$13,BI8&lt;&gt;"",BH8=""),AND(BM8&gt;=BO$13,BM8&lt;&gt;"",BH8=""),AND(CF8&gt;=CL$13,CF8&lt;&gt;"",CE8=""),AND(CJ8&gt;=CL$13,CJ8&lt;&gt;"",CE8=""),AND(DF8&gt;=DL$13,DF8&lt;&gt;""),AND(DJ8&gt;=DL$13,DJ8&lt;&gt;""),AND(EB8&gt;=EH$13,EB8&lt;&gt;""),AND(EF8&gt;=EH$13,EF8&lt;&gt;""),AND(EX8&gt;=FD$13,EX8&lt;&gt;""),AND(FB8&gt;=FD$13,FB8&lt;&gt;""),AND(FT8&gt;=FZ$13,FT8&lt;&gt;""),AND(FX8&gt;=FZ$13,FX8&lt;&gt;""),AND(GP8&gt;=GV$13,GP8&lt;&gt;""),AND(GT8&gt;=GV$13,GT8&lt;&gt;""),AND(HL8&gt;=HR$13,HL8&lt;&gt;""),AND(HP8&gt;=HR$13,HP8&lt;&gt;""),AND(IH8&gt;=IN$13,IH8&lt;&gt;""),AND(IL8&gt;=IN$13,IL8&lt;&gt;""),AND(JD8&gt;=JJ$13,JD8&lt;&gt;""),AND(JH8&gt;=JJ$13,JH8&lt;&gt;""),AND(JZ8&gt;=KF$13,JZ8&lt;&gt;""),AND(KD8&gt;=KF$13,KD8&lt;&gt;""),AND(KV8&gt;=LB$13,KV8&lt;&gt;""),AND(KZ8&gt;=LB$13,KZ8&lt;&gt;""),AND(LR8&gt;=LX$13,LR8&lt;&gt;""),AND(LV8&gt;=LX$13,LV8&lt;&gt;""),AND(MN8&gt;=MT$13,MN8&lt;&gt;""),AND(MR8&gt;=MT$13,MR8&lt;&gt;"")),"Worlds Team",IF(OR(AND(AL8&gt;=AR$12,AL8&lt;&gt;"",AK8=""),AND(AP8&gt;=AR$12,AP8&lt;&gt;"",AK8=""),AND(BI8&gt;=BO$12,BI8&lt;&gt;"",BH8=""),AND(BM8&gt;=BO$12,BM8&lt;&gt;"",BH8=""),AND(CF8&gt;=CL$12,CF8&lt;&gt;"",CE8=""),AND(CJ8&gt;=CL$12,CJ8&lt;&gt;"",CE8=""),AND(DF8&gt;=DL$12,DF8&lt;&gt;""),AND(DJ8&gt;=DL$12,DJ8&lt;&gt;""),AND(EB8&gt;=EH$12,EB8&lt;&gt;""),AND(EF8&gt;=EH$12,EF8&lt;&gt;""),AND(EX8&gt;=FD$12,EX8&lt;&gt;""),AND(FB8&gt;=FD$12,FB8&lt;&gt;""),AND(FT8&gt;=FZ$12,FT8&lt;&gt;""),AND(FX8&gt;=FZ$12,FX8&lt;&gt;""),AND(GP8&gt;=GV$12,GP8&lt;&gt;""),AND(GT8&gt;=GV$12,GT8&lt;&gt;""),AND(HL8&gt;=HR$12,HL8&lt;&gt;""),AND(HP8&gt;=HR$12,HP8&lt;&gt;""),AND(IH8&gt;=IN$12,IH8&lt;&gt;""),AND(IL8&gt;=IN$12,IL8&lt;&gt;""),AND(JD8&gt;=JJ$12,JD8&lt;&gt;""),AND(JH8&gt;=JJ$12,JH8&lt;&gt;""),AND(JZ8&gt;=KF$12,JZ8&lt;&gt;""),AND(KD8&gt;=KF$12,KD8&lt;&gt;""),AND(KV8&gt;=LB$12,KV8&lt;&gt;""),AND(KZ8&gt;=LB$12,KZ8&lt;&gt;""),AND(LR8&gt;=LX$12,LR8&lt;&gt;""),AND(LV8&gt;=LX$12,LV8&lt;&gt;""),AND(MN8&gt;=MT$12,MN8&lt;&gt;""),AND(MR8&gt;=MT$12,MR8&lt;&gt;"")),"National Team",""))))</f>
        <v/>
      </c>
      <c r="H8" s="125" t="str">
        <f>IF(OR(AND(AN8&gt;=AR$19,AN8&lt;&gt;"",AK8=""),AND(AQ8&gt;=AR$19,AQ8&lt;&gt;"",AK8=""),AND(BK8&gt;=BO$19,BK8&lt;&gt;"",BH8=""),AND(BN8&gt;=BO$19,BN8&lt;&gt;"",BH8=""),AND(CH8&gt;=CL$19,CH8&lt;&gt;"",CE8=""),AND(CK8&gt;=CL$19,CE8&lt;&gt;"",CE8=""),AND(DH8&gt;=DL$19,DH8&lt;&gt;""),AND(DK8&gt;=DL$19,DK8&lt;&gt;""),AND(ED8&gt;=EH$19,ED8&lt;&gt;""),AND(EG8&gt;=EH$19,EG8&lt;&gt;""),AND(EZ8&gt;=FD$19,EZ8&lt;&gt;""),AND(FC8&gt;=FD$19,FC8&lt;&gt;""),AND(FV8&gt;=FZ$19,FV8&lt;&gt;""),AND(FY8&gt;=FZ$19,FY8&lt;&gt;""),AND(GR8&gt;=GV$19,GR8&lt;&gt;""),AND(GU8&gt;=GV$19,GU8&lt;&gt;""),AND(HN8&gt;=HR$19,HN8&lt;&gt;""),AND(HQ8&gt;=HR$19,HQ8&lt;&gt;""),AND(IJ8&gt;=IN$19,IJ8&lt;&gt;""),AND(IM8&gt;=IN$19,IM8&lt;&gt;""),AND(JF8&gt;=JJ$19,JF8&lt;&gt;""),AND(JI8&gt;=JJ$19,JI8&lt;&gt;""),AND(KB8&gt;=KF$19,KB8&lt;&gt;""),AND(KE8&gt;=KF$19,KE8&lt;&gt;""),AND(KX8&gt;=LB$19,KX8&lt;&gt;""),AND(LA8&gt;=LB$19,LA8&lt;&gt;""),AND(LT8&gt;=LX$19,LT8&lt;&gt;""),AND(LW8&gt;=LX$19,LW8&lt;&gt;""),AND(MP8&gt;=MT$19,MP8&lt;&gt;""),AND(MS8&gt;=MT$19,MS8&lt;&gt;"")),"Merit",IF(OR(AND(AN8&gt;=AR$18,AN8&lt;&gt;"",AK8=""),AND(AQ8&gt;=AR$18,AQ8&lt;&gt;"",AK8=""),AND(BK8&gt;=BO$18,BK8&lt;&gt;"",BH8=""),AND(BN8&gt;=BO$18,BN8&lt;&gt;"",BH8=""),AND(CH8&gt;=CL$18,CH8&lt;&gt;"",CE8=""),AND(CK8&gt;=CL$18,CE8&lt;&gt;"",CE8=""),AND(DH8&gt;=DL$18,DH8&lt;&gt;""),AND(DK8&gt;=DL$18,DK8&lt;&gt;""),AND(ED8&gt;=EH$18,ED8&lt;&gt;""),AND(EG8&gt;=EH$18,EG8&lt;&gt;""),AND(EZ8&gt;=FD$18,EZ8&lt;&gt;""),AND(FC8&gt;=FD$18,FC8&lt;&gt;""),AND(FV8&gt;=FZ$18,FV8&lt;&gt;""),AND(FY8&gt;=FZ$18,FY8&lt;&gt;""),AND(GR8&gt;=GV$18,GR8&lt;&gt;""),AND(GU8&gt;=GV$18,GU8&lt;&gt;""),AND(HN8&gt;=HR$18,HN8&lt;&gt;""),AND(HQ8&gt;=HR$18,HQ8&lt;&gt;""),AND(IJ8&gt;=IN$18,IJ8&lt;&gt;""),AND(IM8&gt;=IN$18,IM8&lt;&gt;""),AND(JF8&gt;=JJ$18,JF8&lt;&gt;""),AND(JI8&gt;=JJ$18,JI8&lt;&gt;""),AND(KB8&gt;=KF$18,KB8&lt;&gt;""),AND(KE8&gt;=KF$18,KE8&lt;&gt;""),AND(KX8&gt;=LB$18,KX8&lt;&gt;""),AND(LA8&gt;=LB$18,LA8&lt;&gt;""),AND(LT8&gt;=LX$18,LT8&lt;&gt;""),AND(LW8&gt;=LX$18,LW8&lt;&gt;""),AND(MP8&gt;=MT$18,MP8&lt;&gt;""),AND(MS8&gt;=MT$18,MS8&lt;&gt;"")),"Excellence",IF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"Worlds Team",IF(OR(AND(AO8&gt;=AR$16,AO8&lt;&gt;"",AK8=""),AND(BL8&gt;=BO$16,BL8&lt;&gt;"",BH8=""),AND(CI8&gt;=CL$16,CI8&lt;&gt;"",CE8=""),AND(DI8&gt;=DL$16,DI8&lt;&gt;""),AND(EE8&gt;=EH$16,EE8&lt;&gt;""),AND(FA8&gt;=FD$16,FA8&lt;&gt;""),AND(FW8&gt;=FZ$16,FW8&lt;&gt;""),AND(GS8&gt;=GV$16,GS8&lt;&gt;""),AND(HO8&gt;=HR$16,HO8&lt;&gt;""),AND(IK8&gt;=IN$16,IK8&lt;&gt;""),AND(JG8&gt;=JJ$16,JG8&lt;&gt;""),AND(KC8&gt;=KF$16,KC8&lt;&gt;""),AND(KY8&gt;=LB$16,KY8&lt;&gt;""),AND(LU8&gt;=LX$16,LU8&lt;&gt;""),AND(MQ8&gt;=MT$16,MQ8&lt;&gt;"")),"National Team",""))))</f>
        <v/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/>
      </c>
      <c r="J8" s="3" t="str">
        <f>IF(AND(OR(AND(AO8&gt;=AR$17,AO8&lt;&gt;"",AK8=""),AND(BL8&gt;=BO$17,BL8&lt;&gt;"",BH8=""),AND(CI8&gt;=CL$17,CI8&lt;&gt;"",CE8=""),AND(DI8&gt;=DL$17,DI8&lt;&gt;""),AND(EE8&gt;=EH$17,EE8&lt;&gt;""),AND(FA8&gt;=FD$17,FA8&lt;&gt;""),AND(FW8&gt;=FZ$17,FW8&lt;&gt;""),AND(GS8&gt;=GV$17,GS8&lt;&gt;""),AND(HO8&gt;=HR$17,HO8&lt;&gt;""),AND(IK8&gt;=IN$17,IK8&lt;&gt;""),AND(JG8&gt;=JJ$17,JG8&lt;&gt;""),AND(KC8&gt;=KF$17,KC8&lt;&gt;""),AND(KY8&gt;=LB$17,KY8&lt;&gt;""),AND(LU8&gt;=LX$17,LU8&lt;&gt;""),AND(MQ8&gt;=MT$17,MQ8&lt;&gt;"")),OR(G8="Worlds Team",G8="Excellence",G8="Merit")),"P","")</f>
        <v/>
      </c>
      <c r="K8" s="14">
        <f>MAX(AO8,BL8,CI8)</f>
        <v>53.95</v>
      </c>
      <c r="L8" s="14" t="str">
        <f>IF(K8=0,"",IF(K8=CI8,$BP$1,IF(K8=BL8,$AS$1,IF(K8=AO8,$V$1,""))))</f>
        <v>2019 Nationals</v>
      </c>
      <c r="M8" s="14">
        <f>IF($K8=$AO8,MAX(BJ8,CG8),IF($K8=$BL8,MAX(AM8,CG8),IF($K8=$CI8,MAX(AM8,BJ8),MAX(AM8,BJ8,CG8))))</f>
        <v>0</v>
      </c>
      <c r="N8" s="14" t="str">
        <f>IF(M8=0,"",IF(AND(M8=CG8,$L8&lt;&gt;$BP$1),$BP$1,IF(AND(M8=BJ8,$L8&lt;&gt;$AS$1),$AS$1,IF(AND(M8=AM8,$L8&lt;&gt;$V$1),$V$1,""))))</f>
        <v/>
      </c>
      <c r="O8" s="14">
        <f>IF($K8=$AO8,MAX(CH8,BK8),IF($K8=$BL8,MAX(AN8,CH8),IF($K8=$CI8,MAX(AN8,BK8),MAX(AN8,BK8,CH8))))</f>
        <v>0</v>
      </c>
      <c r="P8" s="14" t="str">
        <f>IF(O8=0,"",IF(AND(O8=CH8,$L8&lt;&gt;$BP$1),$BP$1,IF(AND(O8=BK8,$L8&lt;&gt;$AS$1),$AS$1,IF(AND(O8=AN8,$L8&lt;&gt;$V$1),$V$1,""))))</f>
        <v/>
      </c>
      <c r="Q8" s="14">
        <f>MAX(AQ8,BN8,CK8)</f>
        <v>45.030000000000008</v>
      </c>
      <c r="R8" s="14" t="str">
        <f>IF(Q8=0,"",IF(Q8=CK8,$BP$1,IF(Q8=BN8,$AS$1,IF(Q8=AQ8,$V$1,""))))</f>
        <v>2019 Nationals</v>
      </c>
      <c r="S8" s="14" t="str">
        <f>IF(MAX(CM8,CN8,CO8,CP8)&gt;0,MAX(CM8,CN8,CO8,CP8),"")</f>
        <v/>
      </c>
      <c r="T8" s="25" t="str">
        <f>IF(S8="","",IF(S8=CM8,"(Vol 1)",IF(S8=CN8,"(Vol 2)",IF(S8=CO8,"(Prelim)",IF(S8=CP8,"(Final)")))))</f>
        <v/>
      </c>
      <c r="U8" s="14" t="str">
        <f>IF(S8="","",IF(S8=CM8,IF(S8+IF(M8="",0,M8)=MO8,$LY$1,IF(S8+IF(M8="",0,M8)=LS8,$LC$1,IF(S8+IF(M8="",0,M8)=KW8,$KG$1,IF(S8+IF(M8="",0,M8)=KA8,$JK$1,IF(S8+IF(M8="",0,M8)=JE8,$IO$1,IF(S8+IF(M8="",0,M8)=II8,$HS$1,IF(S8+IF(M8="",0,M8)=HM8,$GW$1,IF(S8+IF(M8="",0,M8)=GQ8,$GA$1,IF(S8+IF(M8="",0,M8)=FU8,$FE$1,IF(S8+IF(M8="",0,M8)=EY8,$EI$1,IF(S8+IF(M8="",0,M8)=EC8,$DM$1,IF(S8+IF(M8="",0,M8)=DG8,$CQ$1)))))))))))),IF(S8=CN8,IF(S8+IF(O8="",0,O8)=MP8,$LY$1,IF(S8+IF(O8="",0,O8)=LT8,$LC$1,IF(S8+IF(O8="",0,O8)=KX8,$KG$1,IF(S8+IF(O8="",0,O8)=KB8,$JK$1,IF(S8+IF(O8="",0,O8)=JF8,$IO$1,IF(S8+IF(O8="",0,O8)=IJ8,$HS$1,IF(S8+IF(O8="",0,O8)=HN8,$GW$1,IF(S8+IF(O8="",0,O8)=GR8,$GA$1,IF(S8+IF(O8="",0,O8)=FV8,$FE$1,IF(S8+IF(O8="",0,O8)=EZ8,$EI$1,IF(S8+IF(O8="",0,O8)=ED8,$DM$1,IF(S8+IF(O8="",0,O8)=DH8,$CQ$1)))))))))))),IF(S8=CO8,IF(S8+IF(K8="",0,K8)=MQ8,$LY$1,IF(S8+IF(K8="",0,K8)=LU8,$LC$1,IF(S8+IF(K8="",0,K8)=KY8,$KG$1,IF(S8+IF(K8="",0,K8)=KC8,$JK$1,IF(S8+IF(K8="",0,K8)=JG8,$IO$1,IF(S8+IF(K8="",0,K8)=IK8,$HS$1,IF(S8+IF(K8="",0,K8)=HO8,$GW$1,IF(S8+IF(K8="",0,K8)=GS8,$GA$1,IF(S8+IF(K8="",0,K8)=FW8,$FE$1,IF(S8+IF(K8="",0,K8)=FA8,$EI$1,IF(S8+IF(K8="",0,K8)=EE8,$DM$1,IF(S8+IF(K8="",0,K8)=DI8,$CQ$1)))))))))))),IF(S8=CP8,IF(S8+IF(Q8="",0,Q8)=MS8,$LY$1,IF(S8+IF(Q8="",0,Q8)=LW8,$LC$1,IF(S8+IF(Q8="",0,Q8)=LA8,$KG$1,IF(S8+IF(Q8="",0,Q8)=KE8,$JK$1,IF(S8+IF(Q8="",0,Q8)=JI8,$IO$1,IF(S8+IF(Q8="",0,Q8)=IM8,$HS$1,IF(S8+IF(Q8="",0,Q8)=HQ8,$GW$1,IF(S8+IF(Q8="",0,Q8)=GU8,$GA$1,IF(S8+IF(Q8="",0,Q8)=FY8,$FE$1,IF(S8+IF(Q8="",0,Q8)=FC8,$EI$1,IF(S8+IF(Q8="",0,Q8)=EG8,$DM$1,IF(S8+IF(Q8="",0,Q8)=DK8,$CQ$1)))))))))))))))))</f>
        <v/>
      </c>
      <c r="V8" s="39">
        <v>9.35</v>
      </c>
      <c r="W8" s="39">
        <v>9.5500000000000007</v>
      </c>
      <c r="X8" s="39">
        <v>3.2</v>
      </c>
      <c r="Y8" s="39">
        <v>18.600000000000001</v>
      </c>
      <c r="Z8" s="39">
        <v>0</v>
      </c>
      <c r="AA8" s="39">
        <v>2.2999999999999998</v>
      </c>
      <c r="AB8" s="39">
        <v>2.65</v>
      </c>
      <c r="AC8" s="39">
        <v>3.4</v>
      </c>
      <c r="AD8" s="39">
        <v>4.9000000000000004</v>
      </c>
      <c r="AE8" s="39">
        <v>0</v>
      </c>
      <c r="AF8" s="39">
        <v>8.0500000000000007</v>
      </c>
      <c r="AG8" s="39">
        <v>9.4</v>
      </c>
      <c r="AH8" s="39">
        <v>10.5</v>
      </c>
      <c r="AI8" s="39">
        <v>17.48</v>
      </c>
      <c r="AJ8" s="39">
        <v>0.4</v>
      </c>
      <c r="AK8" s="80"/>
      <c r="AL8" s="11">
        <f>IF(AC8&gt;0,AC8,"")</f>
        <v>3.4</v>
      </c>
      <c r="AM8" s="11">
        <f>IF(SUM(V8:Y8)-Z8&gt;0,SUM(V8:Y8)-Z8,"")</f>
        <v>40.700000000000003</v>
      </c>
      <c r="AN8" s="11">
        <f>IF(SUM(AA8:AD8)-AE8&gt;0,SUM(AA8:AD8)-AE8,"")</f>
        <v>13.25</v>
      </c>
      <c r="AO8" s="11">
        <f>IF(SUM(AM8:AN8)&gt;0,SUM(AM8:AN8),"")</f>
        <v>53.95</v>
      </c>
      <c r="AP8" s="11">
        <f>IF(AH8&gt;0,AH8,"")</f>
        <v>10.5</v>
      </c>
      <c r="AQ8" s="11">
        <f>IF(SUM(AF8:AI8)-AJ8&gt;0,SUM(AF8:AI8)-AJ8,"")</f>
        <v>45.030000000000008</v>
      </c>
      <c r="AR8" s="11">
        <f>IF(SUM(AO8,AQ8)&gt;0,SUM(AO8,AQ8),"")</f>
        <v>98.980000000000018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81"/>
      <c r="BI8" s="14" t="str">
        <f>IF(AZ8&gt;0,AZ8,"")</f>
        <v/>
      </c>
      <c r="BJ8" s="14" t="str">
        <f>IF(SUM(AS8:AV8)-AW8&gt;0,SUM(AS8:AV8)-AW8,"")</f>
        <v/>
      </c>
      <c r="BK8" s="14" t="str">
        <f>IF(SUM(AX8:BA8)-BB8&gt;0,SUM(AX8:BA8)-BB8,"")</f>
        <v/>
      </c>
      <c r="BL8" s="14" t="str">
        <f>IF(SUM(BJ8:BK8)&gt;0,SUM(BJ8:BK8),"")</f>
        <v/>
      </c>
      <c r="BM8" s="14" t="str">
        <f>IF(BE8&gt;0,BE8,"")</f>
        <v/>
      </c>
      <c r="BN8" s="14" t="str">
        <f>IF(SUM(BC8:BF8)-BG8&gt;0,SUM(BC8:BF8)-BG8,"")</f>
        <v/>
      </c>
      <c r="BO8" s="14" t="str">
        <f>IF(SUM(BL8,BN8)&gt;0,SUM(BL8,BN8),"")</f>
        <v/>
      </c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80"/>
      <c r="CF8" s="11" t="str">
        <f>IF(BW8&gt;0,BW8,"")</f>
        <v/>
      </c>
      <c r="CG8" s="11" t="str">
        <f>IF(SUM(BP8:BS8)-BT8&gt;0,SUM(BP8:BS8)-BT8,"")</f>
        <v/>
      </c>
      <c r="CH8" s="11" t="str">
        <f>IF(SUM(BU8:BX8)-BY8&gt;0,SUM(BU8:BX8)-BY8,"")</f>
        <v/>
      </c>
      <c r="CI8" s="11" t="str">
        <f>IF(SUM(CG8:CH8)&gt;0,SUM(CG8:CH8),"")</f>
        <v/>
      </c>
      <c r="CJ8" s="11" t="str">
        <f>IF(CB8&gt;0,CB8,"")</f>
        <v/>
      </c>
      <c r="CK8" s="11" t="str">
        <f>IF(SUM(BZ8:CC8)-CD8&gt;0,SUM(BZ8:CC8)-CD8,"")</f>
        <v/>
      </c>
      <c r="CL8" s="11" t="str">
        <f>IF(SUM(CI8,CK8)&gt;0,SUM(CI8,CK8),"")</f>
        <v/>
      </c>
      <c r="CM8" s="24" t="str">
        <f>IF(MAX(DG8,EC8,EY8,FU8,GQ8,HM8,II8,JE8,KA8,KW8,LS8,MO8)-IF(M8="",0,M8)&gt;0.001,MAX(DG8,EC8,EY8,FU8,GQ8,HM8,II8,JE8,KA8,KW8,LS8,MO8)-IF(M8="",0,M8),"")</f>
        <v/>
      </c>
      <c r="CN8" s="24" t="str">
        <f>IF(MAX(DH8,ED8,EZ8,FV8,GR8,HN8,IJ8,JF8,KB8,KX8,LT8,MP8)-IF(O8="",0,O8)&gt;0.001,MAX(DH8,ED8,EZ8,FV8,GR8,HN8,IJ8,JF8,KB8,KX8,LT8,MP8)-IF(O8="",0,O8),"")</f>
        <v/>
      </c>
      <c r="CO8" s="24" t="str">
        <f>IF(MAX(DI8,EE8,FA8,FW8,GS8,HO8,IK8,JG8,KC8,KY8,LU8,MQ8)-IF(K8="",0,K8)&gt;0.001,MAX(DI8,EE8,FA8,FW8,GS8,HO8,IK8,JG8,KC8,KY8,LU8,MQ8)-IF(K8="",0,K8),"")</f>
        <v/>
      </c>
      <c r="CP8" s="24" t="str">
        <f>IF(MAX(DK8,EG8,FC8,FY8,GU8,HQ8,IM8,JI8,KE8,LA8,LW8,MS8)-IF(Q8="",0,Q8)&gt;0.001,MAX(DK8,EG8,FC8,FY8,GU8,HQ8,IM8,JI8,KE8,LA8,LW8,MS8)-IF(Q8="",0,Q8),"")</f>
        <v/>
      </c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11" t="str">
        <f>IF(CX8&gt;0,CX8,"")</f>
        <v/>
      </c>
      <c r="DG8" s="11" t="str">
        <f>IF(SUM(CQ8:CT8)-CU8&gt;0,SUM(CQ8:CT8)-CU8,"")</f>
        <v/>
      </c>
      <c r="DH8" s="11" t="str">
        <f>IF(SUM(CV8:CY8)-CZ8&gt;0,SUM(CV8:CY8)-CZ8,"")</f>
        <v/>
      </c>
      <c r="DI8" s="11" t="str">
        <f>IF(SUM(DG8:DH8)&gt;0,SUM(DG8:DH8),"")</f>
        <v/>
      </c>
      <c r="DJ8" s="11" t="str">
        <f>IF(DC8&gt;0,DC8,"")</f>
        <v/>
      </c>
      <c r="DK8" s="11" t="str">
        <f>IF(SUM(DA8:DD8)-DE8&gt;0,SUM(DA8:DD8)-DE8,"")</f>
        <v/>
      </c>
      <c r="DL8" s="11" t="str">
        <f>IF(SUM(DI8,DK8)&gt;0,SUM(DI8,DK8),"")</f>
        <v/>
      </c>
      <c r="DM8" s="38"/>
      <c r="DN8" s="38"/>
      <c r="DO8" s="38"/>
      <c r="DP8" s="38"/>
      <c r="DQ8" s="38"/>
      <c r="DR8" s="38"/>
      <c r="DS8" s="38"/>
      <c r="DT8" s="38"/>
      <c r="DU8" s="38"/>
      <c r="DV8" s="38"/>
      <c r="DW8" s="38"/>
      <c r="DX8" s="38"/>
      <c r="DY8" s="38"/>
      <c r="DZ8" s="38"/>
      <c r="EA8" s="38"/>
      <c r="EB8" s="14" t="str">
        <f>IF(DT8&gt;0,DT8,"")</f>
        <v/>
      </c>
      <c r="EC8" s="14" t="str">
        <f>IF(SUM(DM8:DP8)-DQ8&gt;0,SUM(DM8:DP8)-DQ8,"")</f>
        <v/>
      </c>
      <c r="ED8" s="14" t="str">
        <f>IF(SUM(DR8:DU8)-DV8&gt;0,SUM(DR8:DU8)-DV8,"")</f>
        <v/>
      </c>
      <c r="EE8" s="14" t="str">
        <f>IF(SUM(EC8:ED8)&gt;0,SUM(EC8:ED8),"")</f>
        <v/>
      </c>
      <c r="EF8" s="14" t="str">
        <f>IF(DY8&gt;0,DY8,"")</f>
        <v/>
      </c>
      <c r="EG8" s="14" t="str">
        <f>IF(SUM(DW8:DZ8)-EA8&gt;0,SUM(DW8:DZ8)-EA8,"")</f>
        <v/>
      </c>
      <c r="EH8" s="14" t="str">
        <f>IF(SUM(EE8,EG8)&gt;0,SUM(EE8,EG8),"")</f>
        <v/>
      </c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11" t="str">
        <f>IF(EP8&gt;0,EP8,"")</f>
        <v/>
      </c>
      <c r="EY8" s="11" t="str">
        <f>IF(SUM(EI8:EL8)-EM8&gt;0,SUM(EI8:EL8)-EM8,"")</f>
        <v/>
      </c>
      <c r="EZ8" s="11" t="str">
        <f>IF(SUM(EN8:EQ8)-ER8&gt;0,SUM(EN8:EQ8)-ER8,"")</f>
        <v/>
      </c>
      <c r="FA8" s="11" t="str">
        <f>IF(SUM(EY8:EZ8)&gt;0,SUM(EY8:EZ8),"")</f>
        <v/>
      </c>
      <c r="FB8" s="11" t="str">
        <f>IF(EU8&gt;0,EU8,"")</f>
        <v/>
      </c>
      <c r="FC8" s="11" t="str">
        <f>IF(SUM(ES8:EV8)-EW8&gt;0,SUM(ES8:EV8)-EW8,"")</f>
        <v/>
      </c>
      <c r="FD8" s="11" t="str">
        <f>IF(SUM(FA8,FC8)&gt;0,SUM(FA8,FC8),"")</f>
        <v/>
      </c>
      <c r="FE8" s="38"/>
      <c r="FF8" s="38"/>
      <c r="FG8" s="38"/>
      <c r="FH8" s="38"/>
      <c r="FI8" s="38"/>
      <c r="FJ8" s="38"/>
      <c r="FK8" s="38"/>
      <c r="FL8" s="38"/>
      <c r="FM8" s="38"/>
      <c r="FN8" s="38"/>
      <c r="FO8" s="38"/>
      <c r="FP8" s="38"/>
      <c r="FQ8" s="38"/>
      <c r="FR8" s="38"/>
      <c r="FS8" s="38"/>
      <c r="FT8" s="14" t="str">
        <f>IF(FL8&gt;0,FL8,"")</f>
        <v/>
      </c>
      <c r="FU8" s="14" t="str">
        <f>IF(SUM(FE8:FH8)-FI8&gt;0,SUM(FE8:FH8)-FI8,"")</f>
        <v/>
      </c>
      <c r="FV8" s="14" t="str">
        <f>IF(SUM(FJ8:FM8)-FN8&gt;0,SUM(FJ8:FM8)-FN8,"")</f>
        <v/>
      </c>
      <c r="FW8" s="14" t="str">
        <f>IF(SUM(FU8:FV8)&gt;0,SUM(FU8:FV8),"")</f>
        <v/>
      </c>
      <c r="FX8" s="14" t="str">
        <f>IF(FQ8&gt;0,FQ8,"")</f>
        <v/>
      </c>
      <c r="FY8" s="14" t="str">
        <f>IF(SUM(FO8:FR8)-FS8&gt;0,SUM(FO8:FR8)-FS8,"")</f>
        <v/>
      </c>
      <c r="FZ8" s="14" t="str">
        <f>IF(SUM(FW8,FY8)&gt;0,SUM(FW8,FY8),"")</f>
        <v/>
      </c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11" t="str">
        <f>IF(GH8&gt;0,GH8,"")</f>
        <v/>
      </c>
      <c r="GQ8" s="11" t="str">
        <f>IF(SUM(GA8:GD8)-GE8&gt;0,SUM(GA8:GD8)-GE8,"")</f>
        <v/>
      </c>
      <c r="GR8" s="11" t="str">
        <f>IF(SUM(GF8:GI8)-GJ8&gt;0,SUM(GF8:GI8)-GJ8,"")</f>
        <v/>
      </c>
      <c r="GS8" s="11" t="str">
        <f>IF(SUM(GQ8:GR8)&gt;0,SUM(GQ8:GR8),"")</f>
        <v/>
      </c>
      <c r="GT8" s="11" t="str">
        <f>IF(GM8&gt;0,GM8,"")</f>
        <v/>
      </c>
      <c r="GU8" s="11" t="str">
        <f>IF(SUM(GK8:GN8)-GO8&gt;0,SUM(GK8:GN8)-GO8,"")</f>
        <v/>
      </c>
      <c r="GV8" s="11" t="str">
        <f>IF(SUM(GS8,GU8)&gt;0,SUM(GS8,GU8),"")</f>
        <v/>
      </c>
      <c r="GW8" s="38"/>
      <c r="GX8" s="38"/>
      <c r="GY8" s="38"/>
      <c r="GZ8" s="38"/>
      <c r="HA8" s="38"/>
      <c r="HB8" s="38"/>
      <c r="HC8" s="38"/>
      <c r="HD8" s="38"/>
      <c r="HE8" s="38"/>
      <c r="HF8" s="38"/>
      <c r="HG8" s="38"/>
      <c r="HH8" s="38"/>
      <c r="HI8" s="38"/>
      <c r="HJ8" s="38"/>
      <c r="HK8" s="38"/>
      <c r="HL8" s="14" t="str">
        <f>IF(HD8&gt;0,HD8,"")</f>
        <v/>
      </c>
      <c r="HM8" s="14" t="str">
        <f>IF(SUM(GW8:GZ8)-HA8&gt;0,SUM(GW8:GZ8)-HA8,"")</f>
        <v/>
      </c>
      <c r="HN8" s="14" t="str">
        <f>IF(SUM(HB8:HE8)-HF8&gt;0,SUM(HB8:HE8)-HF8,"")</f>
        <v/>
      </c>
      <c r="HO8" s="14" t="str">
        <f>IF(SUM(HM8:HN8)&gt;0,SUM(HM8:HN8),"")</f>
        <v/>
      </c>
      <c r="HP8" s="14" t="str">
        <f>IF(HI8&gt;0,HI8,"")</f>
        <v/>
      </c>
      <c r="HQ8" s="14" t="str">
        <f>IF(SUM(HG8:HJ8)-HK8&gt;0,SUM(HG8:HJ8)-HK8,"")</f>
        <v/>
      </c>
      <c r="HR8" s="14" t="str">
        <f>IF(SUM(HO8,HQ8)&gt;0,SUM(HO8,HQ8),"")</f>
        <v/>
      </c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11" t="str">
        <f>IF(HZ8&gt;0,HZ8,"")</f>
        <v/>
      </c>
      <c r="II8" s="11" t="str">
        <f>IF(SUM(HS8:HV8)-HW8&gt;0,SUM(HS8:HV8)-HW8,"")</f>
        <v/>
      </c>
      <c r="IJ8" s="11" t="str">
        <f>IF(SUM(HX8:IA8)-IB8&gt;0,SUM(HX8:IA8)-IB8,"")</f>
        <v/>
      </c>
      <c r="IK8" s="11" t="str">
        <f>IF(SUM(II8:IJ8)&gt;0,SUM(II8:IJ8),"")</f>
        <v/>
      </c>
      <c r="IL8" s="11" t="str">
        <f>IF(IE8&gt;0,IE8,"")</f>
        <v/>
      </c>
      <c r="IM8" s="11" t="str">
        <f>IF(SUM(IC8:IF8)-IG8&gt;0,SUM(IC8:IF8)-IG8,"")</f>
        <v/>
      </c>
      <c r="IN8" s="11" t="str">
        <f>IF(SUM(IK8,IM8)&gt;0,SUM(IK8,IM8),"")</f>
        <v/>
      </c>
      <c r="IO8" s="38"/>
      <c r="IP8" s="38"/>
      <c r="IQ8" s="38"/>
      <c r="IR8" s="38"/>
      <c r="IS8" s="38"/>
      <c r="IT8" s="38"/>
      <c r="IU8" s="38"/>
      <c r="IV8" s="38"/>
      <c r="IW8" s="38"/>
      <c r="IX8" s="38"/>
      <c r="IY8" s="38"/>
      <c r="IZ8" s="38"/>
      <c r="JA8" s="38"/>
      <c r="JB8" s="38"/>
      <c r="JC8" s="38"/>
      <c r="JD8" s="14" t="str">
        <f>IF(IV8&gt;0,IV8,"")</f>
        <v/>
      </c>
      <c r="JE8" s="14" t="str">
        <f>IF(SUM(IO8:IR8)-IS8&gt;0,SUM(IO8:IR8)-IS8,"")</f>
        <v/>
      </c>
      <c r="JF8" s="14" t="str">
        <f>IF(SUM(IT8:IW8)-IX8&gt;0,SUM(IT8:IW8)-IX8,"")</f>
        <v/>
      </c>
      <c r="JG8" s="14" t="str">
        <f>IF(SUM(JE8:JF8)&gt;0,SUM(JE8:JF8),"")</f>
        <v/>
      </c>
      <c r="JH8" s="14" t="str">
        <f>IF(JA8&gt;0,JA8,"")</f>
        <v/>
      </c>
      <c r="JI8" s="14" t="str">
        <f>IF(SUM(IY8:JB8)-JC8&gt;0,SUM(IY8:JB8)-JC8,"")</f>
        <v/>
      </c>
      <c r="JJ8" s="14" t="str">
        <f>IF(SUM(JG8,JI8)&gt;0,SUM(JG8,JI8),"")</f>
        <v/>
      </c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11" t="str">
        <f>IF(JR8&gt;0,JR8,"")</f>
        <v/>
      </c>
      <c r="KA8" s="11" t="str">
        <f>IF(SUM(JK8:JN8)-JO8&gt;0,SUM(JK8:JN8)-JO8,"")</f>
        <v/>
      </c>
      <c r="KB8" s="11" t="str">
        <f>IF(SUM(JP8:JS8)-JT8&gt;0,SUM(JP8:JS8)-JT8,"")</f>
        <v/>
      </c>
      <c r="KC8" s="11" t="str">
        <f>IF(SUM(KA8:KB8)&gt;0,SUM(KA8:KB8),"")</f>
        <v/>
      </c>
      <c r="KD8" s="11" t="str">
        <f>IF(JW8&gt;0,JW8,"")</f>
        <v/>
      </c>
      <c r="KE8" s="11" t="str">
        <f>IF(SUM(JU8:JX8)-JY8&gt;0,SUM(JU8:JX8)-JY8,"")</f>
        <v/>
      </c>
      <c r="KF8" s="11" t="str">
        <f>IF(SUM(KC8,KE8)&gt;0,SUM(KC8,KE8),"")</f>
        <v/>
      </c>
      <c r="KG8" s="38"/>
      <c r="KH8" s="38"/>
      <c r="KI8" s="38"/>
      <c r="KJ8" s="38"/>
      <c r="KK8" s="38"/>
      <c r="KL8" s="38"/>
      <c r="KM8" s="38"/>
      <c r="KN8" s="38"/>
      <c r="KO8" s="38"/>
      <c r="KP8" s="38"/>
      <c r="KQ8" s="38"/>
      <c r="KR8" s="38"/>
      <c r="KS8" s="38"/>
      <c r="KT8" s="38"/>
      <c r="KU8" s="38"/>
      <c r="KV8" s="14" t="str">
        <f>IF(KN8&gt;0,KN8,"")</f>
        <v/>
      </c>
      <c r="KW8" s="14" t="str">
        <f>IF(SUM(KG8:KJ8)-KK8&gt;0,SUM(KG8:KJ8)-KK8,"")</f>
        <v/>
      </c>
      <c r="KX8" s="14" t="str">
        <f>IF(SUM(KL8:KO8)-KP8&gt;0,SUM(KL8:KO8)-KP8,"")</f>
        <v/>
      </c>
      <c r="KY8" s="14" t="str">
        <f>IF(SUM(KW8:KX8)&gt;0,SUM(KW8:KX8),"")</f>
        <v/>
      </c>
      <c r="KZ8" s="14" t="str">
        <f>IF(KS8&gt;0,KS8,"")</f>
        <v/>
      </c>
      <c r="LA8" s="14" t="str">
        <f>IF(SUM(KQ8:KT8)-KU8&gt;0,SUM(KQ8:KT8)-KU8,"")</f>
        <v/>
      </c>
      <c r="LB8" s="14" t="str">
        <f>IF(SUM(KY8,LA8)&gt;0,SUM(KY8,LA8),"")</f>
        <v/>
      </c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11" t="str">
        <f>IF(LJ8&gt;0,LJ8,"")</f>
        <v/>
      </c>
      <c r="LS8" s="11" t="str">
        <f>IF(SUM(LC8:LF8)-LG8&gt;0,SUM(LC8:LF8)-LG8,"")</f>
        <v/>
      </c>
      <c r="LT8" s="11" t="str">
        <f>IF(SUM(LH8:LK8)-LL8&gt;0,SUM(LH8:LK8)-LL8,"")</f>
        <v/>
      </c>
      <c r="LU8" s="11" t="str">
        <f>IF(SUM(LS8:LT8)&gt;0,SUM(LS8:LT8),"")</f>
        <v/>
      </c>
      <c r="LV8" s="11" t="str">
        <f>IF(LO8&gt;0,LO8,"")</f>
        <v/>
      </c>
      <c r="LW8" s="11" t="str">
        <f>IF(SUM(LM8:LP8)-LQ8&gt;0,SUM(LM8:LP8)-LQ8,"")</f>
        <v/>
      </c>
      <c r="LX8" s="11" t="str">
        <f>IF(SUM(LU8,LW8)&gt;0,SUM(LU8,LW8),"")</f>
        <v/>
      </c>
      <c r="LY8" s="38"/>
      <c r="LZ8" s="38"/>
      <c r="MA8" s="38"/>
      <c r="MB8" s="38"/>
      <c r="MC8" s="38"/>
      <c r="MD8" s="38"/>
      <c r="ME8" s="38"/>
      <c r="MF8" s="38"/>
      <c r="MG8" s="38"/>
      <c r="MH8" s="38"/>
      <c r="MI8" s="38"/>
      <c r="MJ8" s="38"/>
      <c r="MK8" s="38"/>
      <c r="ML8" s="38"/>
      <c r="MM8" s="38"/>
      <c r="MN8" s="14" t="str">
        <f>IF(MF8&gt;0,MF8,"")</f>
        <v/>
      </c>
      <c r="MO8" s="14" t="str">
        <f>IF(SUM(LY8:MB8)-MC8&gt;0,SUM(LY8:MB8)-MC8,"")</f>
        <v/>
      </c>
      <c r="MP8" s="14" t="str">
        <f>IF(SUM(MD8:MG8)-MH8&gt;0,SUM(MD8:MG8)-MH8,"")</f>
        <v/>
      </c>
      <c r="MQ8" s="14" t="str">
        <f>IF(SUM(MO8:MP8)&gt;0,SUM(MO8:MP8),"")</f>
        <v/>
      </c>
      <c r="MR8" s="14" t="str">
        <f>IF(MK8&gt;0,MK8,"")</f>
        <v/>
      </c>
      <c r="MS8" s="14" t="str">
        <f>IF(SUM(MI8:ML8)-MM8&gt;0,SUM(MI8:ML8)-MM8,"")</f>
        <v/>
      </c>
      <c r="MT8" s="14" t="str">
        <f>IF(SUM(MQ8,MS8)&gt;0,SUM(MQ8,MS8),"")</f>
        <v/>
      </c>
      <c r="MU8" s="69">
        <f>IF($CE8="P",BP8,(BP8+AS8)/2)</f>
        <v>0</v>
      </c>
      <c r="MV8" s="69">
        <f>IF($CE8="P",BQ8,(BQ8+AT8)/2)</f>
        <v>0</v>
      </c>
      <c r="MW8" s="69">
        <f>IF($CE8="P",BR8,(BR8+AU8)/2)</f>
        <v>0</v>
      </c>
      <c r="MX8" s="69">
        <f>IF($CE8="P",BS8,(BS8+AV8)/2)</f>
        <v>0</v>
      </c>
      <c r="MY8" s="69">
        <f>IF($CE8="P",BT8,(BT8+AW8)/2)</f>
        <v>0</v>
      </c>
      <c r="MZ8" s="69">
        <f>IF($CE8="P",BU8,(BU8+AX8)/2)</f>
        <v>0</v>
      </c>
      <c r="NA8" s="69">
        <f>IF($CE8="P",BV8,(BV8+AY8)/2)</f>
        <v>0</v>
      </c>
      <c r="NB8" s="69">
        <f>IF($CE8="P",BW8,(BW8+AZ8)/2)</f>
        <v>0</v>
      </c>
      <c r="NC8" s="69">
        <f>IF($CE8="P",BX8,(BX8+BA8)/2)</f>
        <v>0</v>
      </c>
      <c r="ND8" s="69">
        <f>IF($CE8="P",BY8,(BY8+BB8)/2)</f>
        <v>0</v>
      </c>
      <c r="NE8" s="69">
        <f>IF($CE8="P",BZ8,(BZ8+BC8)/2)</f>
        <v>0</v>
      </c>
      <c r="NF8" s="69">
        <f>IF($CE8="P",CA8,(CA8+BD8)/2)</f>
        <v>0</v>
      </c>
      <c r="NG8" s="69">
        <f>IF($CE8="P",CB8,(CB8+BE8)/2)</f>
        <v>0</v>
      </c>
      <c r="NH8" s="69">
        <f>IF($CE8="P",CC8,(CC8+BF8)/2)</f>
        <v>0</v>
      </c>
      <c r="NI8" s="69">
        <f>IF($CE8="P",CD8,(CD8+BG8)/2)</f>
        <v>0</v>
      </c>
      <c r="NJ8" s="80" t="s">
        <v>88</v>
      </c>
      <c r="NK8" s="11" t="str">
        <f>IF(NB8&gt;0,NB8,"")</f>
        <v/>
      </c>
      <c r="NL8" s="11" t="str">
        <f>IF(SUM(MU8:MX8)-MY8&gt;0,SUM(MU8:MX8)-MY8,"")</f>
        <v/>
      </c>
      <c r="NM8" s="11" t="str">
        <f>IF(SUM(MZ8:NC8)-ND8&gt;0,SUM(MZ8:NC8)-ND8,"")</f>
        <v/>
      </c>
      <c r="NN8" s="11" t="str">
        <f>IF(SUM(NL8:NM8)&gt;0,SUM(NL8:NM8),"")</f>
        <v/>
      </c>
      <c r="NO8" s="11" t="str">
        <f>IF(NG8&gt;0,NG8,"")</f>
        <v/>
      </c>
      <c r="NP8" s="11" t="str">
        <f>IF(SUM(NE8:NH8)-NI8&gt;0,SUM(NE8:NH8)-NI8,"")</f>
        <v/>
      </c>
      <c r="NQ8" s="11" t="str">
        <f>IF(SUM(NN8,NP8)&gt;0,SUM(NN8,NP8),"")</f>
        <v/>
      </c>
    </row>
    <row r="9" spans="1:381" x14ac:dyDescent="0.2">
      <c r="A9" s="5" cm="1">
        <f t="array" ref="A9">IF(AND(G9&lt;&gt;"",H9&lt;&gt;""),SUMPRODUCT((G$4:G$10&lt;&gt;"")*(H$4:H$10&lt;&gt;"")*(E$4:E$10&gt;E9))+1,IF(H9&lt;&gt;"",SUMPRODUCT((I$4:I$10="No DD")*(E$4:E$10&gt;E9))+1+SUMPRODUCT((G$4:G$10&lt;&gt;"")*(H$4:H$10&lt;&gt;"")),""))</f>
        <v>3</v>
      </c>
      <c r="B9" s="127" t="s">
        <v>122</v>
      </c>
      <c r="C9" s="5" t="s">
        <v>6</v>
      </c>
      <c r="D9" s="5" t="s">
        <v>121</v>
      </c>
      <c r="E9" s="15">
        <f>SUM(K9:S9)</f>
        <v>92.72999999999999</v>
      </c>
      <c r="F9" s="3" t="str">
        <f>IF(G9&lt;&gt;"","P","")</f>
        <v/>
      </c>
      <c r="G9" s="125" t="str">
        <f>IF(OR(AND(AL9&gt;=AR$15,AL9&lt;&gt;"",AK9=""),AND(AP9&gt;=AR$15,AP9&lt;&gt;"",AK9=""),AND(BI9&gt;=BO$15,BI9&lt;&gt;"",BH9=""),AND(BM9&gt;=BO$15,BM9&lt;&gt;"",BH9=""),AND(CF9&gt;=CL$15,CF9&lt;&gt;"",CE9=""),AND(CJ9&gt;=CL$15,CJ9&lt;&gt;"",CE9=""),AND(DF9&gt;=DL$15,DF9&lt;&gt;""),AND(DJ9&gt;=DL$15,DJ9&lt;&gt;""),AND(EB9&gt;=EH$15,EB9&lt;&gt;""),AND(EF9&gt;=EH$15,EF9&lt;&gt;""),AND(EX9&gt;=FD$15,EX9&lt;&gt;""),AND(FB9&gt;=FD$15,FB9&lt;&gt;""),AND(FT9&gt;=FZ$15,FT9&lt;&gt;""),AND(FX9&gt;=FZ$15,FX9&lt;&gt;""),AND(GP9&gt;=GV$15,GP9&lt;&gt;""),AND(GT9&gt;=GV$15,GT9&lt;&gt;""),AND(HL9&gt;=HR$15,HL9&lt;&gt;""),AND(HP9&gt;=HR$15,HP9&lt;&gt;""),AND(IH9&gt;=IN$15,IH9&lt;&gt;""),AND(IL9&gt;=IN$15,IL9&lt;&gt;""),AND(JD9&gt;=JJ$15,JD9&lt;&gt;""),AND(JH9&gt;=JJ$15,JH9&lt;&gt;""),AND(JZ9&gt;=KF$15,JZ9&lt;&gt;""),AND(KD9&gt;=KF$15,KD9&lt;&gt;""),AND(KV9&gt;=LB$15,KV9&lt;&gt;""),AND(KZ9&gt;=LB$15,KZ9&lt;&gt;""),AND(LR9&gt;=LX$15,LR9&lt;&gt;""),AND(LV9&gt;=LX$15,LV9&lt;&gt;""),AND(MN9&gt;=MT$15,MN9&lt;&gt;""),AND(MR9&gt;=MT$15,MR9&lt;&gt;"")),"Merit",IF(OR(AND(AL9&gt;=AR$14,AL9&lt;&gt;"",AK9=""),AND(AP9&gt;=AR$14,AP9&lt;&gt;"",AK9=""),AND(BI9&gt;=BO$14,BI9&lt;&gt;"",BH9=""),AND(BM9&gt;=BO$14,BM9&lt;&gt;"",BH9=""),AND(CF9&gt;=CL$14,CF9&lt;&gt;"",CE9=""),AND(CJ9&gt;=CL$14,CJ9&lt;&gt;"",CE9=""),AND(DF9&gt;=DL$14,DF9&lt;&gt;""),AND(DJ9&gt;=DL$14,DJ9&lt;&gt;""),AND(EB9&gt;=EH$14,EB9&lt;&gt;""),AND(EF9&gt;=EH$14,EF9&lt;&gt;""),AND(EX9&gt;=FD$14,EX9&lt;&gt;""),AND(FB9&gt;=FD$14,FB9&lt;&gt;""),AND(FT9&gt;=FZ$14,FT9&lt;&gt;""),AND(FX9&gt;=FZ$14,FX9&lt;&gt;""),AND(GP9&gt;=GV$14,GP9&lt;&gt;""),AND(GT9&gt;=GV$14,GT9&lt;&gt;""),AND(HL9&gt;=HR$14,HL9&lt;&gt;""),AND(HP9&gt;=HR$14,HP9&lt;&gt;""),AND(IH9&gt;=IN$14,IH9&lt;&gt;""),AND(IL9&gt;=IN$14,IL9&lt;&gt;""),AND(JD9&gt;=JJ$14,JD9&lt;&gt;""),AND(JH9&gt;=JJ$14,JH9&lt;&gt;""),AND(JZ9&gt;=KF$14,JZ9&lt;&gt;""),AND(KD9&gt;=KF$14,KD9&lt;&gt;""),AND(KV9&gt;=LB$14,KV9&lt;&gt;""),AND(KZ9&gt;=LB$14,KZ9&lt;&gt;""),AND(LR9&gt;=LX$14,LR9&lt;&gt;""),AND(LV9&gt;=LX$14,LV9&lt;&gt;""),AND(MN9&gt;=MT$14,MN9&lt;&gt;""),AND(MR9&gt;=MT$14,MR9&lt;&gt;"")),"Excellence",IF(OR(AND(AL9&gt;=AR$13,AL9&lt;&gt;"",AK9=""),AND(AP9&gt;=AR$13,AP9&lt;&gt;"",AK9=""),AND(BI9&gt;=BO$13,BI9&lt;&gt;"",BH9=""),AND(BM9&gt;=BO$13,BM9&lt;&gt;"",BH9=""),AND(CF9&gt;=CL$13,CF9&lt;&gt;"",CE9=""),AND(CJ9&gt;=CL$13,CJ9&lt;&gt;"",CE9=""),AND(DF9&gt;=DL$13,DF9&lt;&gt;""),AND(DJ9&gt;=DL$13,DJ9&lt;&gt;""),AND(EB9&gt;=EH$13,EB9&lt;&gt;""),AND(EF9&gt;=EH$13,EF9&lt;&gt;""),AND(EX9&gt;=FD$13,EX9&lt;&gt;""),AND(FB9&gt;=FD$13,FB9&lt;&gt;""),AND(FT9&gt;=FZ$13,FT9&lt;&gt;""),AND(FX9&gt;=FZ$13,FX9&lt;&gt;""),AND(GP9&gt;=GV$13,GP9&lt;&gt;""),AND(GT9&gt;=GV$13,GT9&lt;&gt;""),AND(HL9&gt;=HR$13,HL9&lt;&gt;""),AND(HP9&gt;=HR$13,HP9&lt;&gt;""),AND(IH9&gt;=IN$13,IH9&lt;&gt;""),AND(IL9&gt;=IN$13,IL9&lt;&gt;""),AND(JD9&gt;=JJ$13,JD9&lt;&gt;""),AND(JH9&gt;=JJ$13,JH9&lt;&gt;""),AND(JZ9&gt;=KF$13,JZ9&lt;&gt;""),AND(KD9&gt;=KF$13,KD9&lt;&gt;""),AND(KV9&gt;=LB$13,KV9&lt;&gt;""),AND(KZ9&gt;=LB$13,KZ9&lt;&gt;""),AND(LR9&gt;=LX$13,LR9&lt;&gt;""),AND(LV9&gt;=LX$13,LV9&lt;&gt;""),AND(MN9&gt;=MT$13,MN9&lt;&gt;""),AND(MR9&gt;=MT$13,MR9&lt;&gt;"")),"Worlds Team",IF(OR(AND(AL9&gt;=AR$12,AL9&lt;&gt;"",AK9=""),AND(AP9&gt;=AR$12,AP9&lt;&gt;"",AK9=""),AND(BI9&gt;=BO$12,BI9&lt;&gt;"",BH9=""),AND(BM9&gt;=BO$12,BM9&lt;&gt;"",BH9=""),AND(CF9&gt;=CL$12,CF9&lt;&gt;"",CE9=""),AND(CJ9&gt;=CL$12,CJ9&lt;&gt;"",CE9=""),AND(DF9&gt;=DL$12,DF9&lt;&gt;""),AND(DJ9&gt;=DL$12,DJ9&lt;&gt;""),AND(EB9&gt;=EH$12,EB9&lt;&gt;""),AND(EF9&gt;=EH$12,EF9&lt;&gt;""),AND(EX9&gt;=FD$12,EX9&lt;&gt;""),AND(FB9&gt;=FD$12,FB9&lt;&gt;""),AND(FT9&gt;=FZ$12,FT9&lt;&gt;""),AND(FX9&gt;=FZ$12,FX9&lt;&gt;""),AND(GP9&gt;=GV$12,GP9&lt;&gt;""),AND(GT9&gt;=GV$12,GT9&lt;&gt;""),AND(HL9&gt;=HR$12,HL9&lt;&gt;""),AND(HP9&gt;=HR$12,HP9&lt;&gt;""),AND(IH9&gt;=IN$12,IH9&lt;&gt;""),AND(IL9&gt;=IN$12,IL9&lt;&gt;""),AND(JD9&gt;=JJ$12,JD9&lt;&gt;""),AND(JH9&gt;=JJ$12,JH9&lt;&gt;""),AND(JZ9&gt;=KF$12,JZ9&lt;&gt;""),AND(KD9&gt;=KF$12,KD9&lt;&gt;""),AND(KV9&gt;=LB$12,KV9&lt;&gt;""),AND(KZ9&gt;=LB$12,KZ9&lt;&gt;""),AND(LR9&gt;=LX$12,LR9&lt;&gt;""),AND(LV9&gt;=LX$12,LV9&lt;&gt;""),AND(MN9&gt;=MT$12,MN9&lt;&gt;""),AND(MR9&gt;=MT$12,MR9&lt;&gt;"")),"National Team",""))))</f>
        <v/>
      </c>
      <c r="H9" s="125" t="str">
        <f>IF(OR(AND(AN9&gt;=AR$19,AN9&lt;&gt;"",AK9=""),AND(AQ9&gt;=AR$19,AQ9&lt;&gt;"",AK9=""),AND(BK9&gt;=BO$19,BK9&lt;&gt;"",BH9=""),AND(BN9&gt;=BO$19,BN9&lt;&gt;"",BH9=""),AND(CH9&gt;=CL$19,CH9&lt;&gt;"",CE9=""),AND(CK9&gt;=CL$19,CE9&lt;&gt;"",CE9=""),AND(DH9&gt;=DL$19,DH9&lt;&gt;""),AND(DK9&gt;=DL$19,DK9&lt;&gt;""),AND(ED9&gt;=EH$19,ED9&lt;&gt;""),AND(EG9&gt;=EH$19,EG9&lt;&gt;""),AND(EZ9&gt;=FD$19,EZ9&lt;&gt;""),AND(FC9&gt;=FD$19,FC9&lt;&gt;""),AND(FV9&gt;=FZ$19,FV9&lt;&gt;""),AND(FY9&gt;=FZ$19,FY9&lt;&gt;""),AND(GR9&gt;=GV$19,GR9&lt;&gt;""),AND(GU9&gt;=GV$19,GU9&lt;&gt;""),AND(HN9&gt;=HR$19,HN9&lt;&gt;""),AND(HQ9&gt;=HR$19,HQ9&lt;&gt;""),AND(IJ9&gt;=IN$19,IJ9&lt;&gt;""),AND(IM9&gt;=IN$19,IM9&lt;&gt;""),AND(JF9&gt;=JJ$19,JF9&lt;&gt;""),AND(JI9&gt;=JJ$19,JI9&lt;&gt;""),AND(KB9&gt;=KF$19,KB9&lt;&gt;""),AND(KE9&gt;=KF$19,KE9&lt;&gt;""),AND(KX9&gt;=LB$19,KX9&lt;&gt;""),AND(LA9&gt;=LB$19,LA9&lt;&gt;""),AND(LT9&gt;=LX$19,LT9&lt;&gt;""),AND(LW9&gt;=LX$19,LW9&lt;&gt;""),AND(MP9&gt;=MT$19,MP9&lt;&gt;""),AND(MS9&gt;=MT$19,MS9&lt;&gt;"")),"Merit",IF(OR(AND(AN9&gt;=AR$18,AN9&lt;&gt;"",AK9=""),AND(AQ9&gt;=AR$18,AQ9&lt;&gt;"",AK9=""),AND(BK9&gt;=BO$18,BK9&lt;&gt;"",BH9=""),AND(BN9&gt;=BO$18,BN9&lt;&gt;"",BH9=""),AND(CH9&gt;=CL$18,CH9&lt;&gt;"",CE9=""),AND(CK9&gt;=CL$18,CE9&lt;&gt;"",CE9=""),AND(DH9&gt;=DL$18,DH9&lt;&gt;""),AND(DK9&gt;=DL$18,DK9&lt;&gt;""),AND(ED9&gt;=EH$18,ED9&lt;&gt;""),AND(EG9&gt;=EH$18,EG9&lt;&gt;""),AND(EZ9&gt;=FD$18,EZ9&lt;&gt;""),AND(FC9&gt;=FD$18,FC9&lt;&gt;""),AND(FV9&gt;=FZ$18,FV9&lt;&gt;""),AND(FY9&gt;=FZ$18,FY9&lt;&gt;""),AND(GR9&gt;=GV$18,GR9&lt;&gt;""),AND(GU9&gt;=GV$18,GU9&lt;&gt;""),AND(HN9&gt;=HR$18,HN9&lt;&gt;""),AND(HQ9&gt;=HR$18,HQ9&lt;&gt;""),AND(IJ9&gt;=IN$18,IJ9&lt;&gt;""),AND(IM9&gt;=IN$18,IM9&lt;&gt;""),AND(JF9&gt;=JJ$18,JF9&lt;&gt;""),AND(JI9&gt;=JJ$18,JI9&lt;&gt;""),AND(KB9&gt;=KF$18,KB9&lt;&gt;""),AND(KE9&gt;=KF$18,KE9&lt;&gt;""),AND(KX9&gt;=LB$18,KX9&lt;&gt;""),AND(LA9&gt;=LB$18,LA9&lt;&gt;""),AND(LT9&gt;=LX$18,LT9&lt;&gt;""),AND(LW9&gt;=LX$18,LW9&lt;&gt;""),AND(MP9&gt;=MT$18,MP9&lt;&gt;""),AND(MS9&gt;=MT$18,MS9&lt;&gt;"")),"Excellence",IF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"Worlds Team",IF(OR(AND(AO9&gt;=AR$16,AO9&lt;&gt;"",AK9=""),AND(BL9&gt;=BO$16,BL9&lt;&gt;"",BH9=""),AND(CI9&gt;=CL$16,CI9&lt;&gt;"",CE9=""),AND(DI9&gt;=DL$16,DI9&lt;&gt;""),AND(EE9&gt;=EH$16,EE9&lt;&gt;""),AND(FA9&gt;=FD$16,FA9&lt;&gt;""),AND(FW9&gt;=FZ$16,FW9&lt;&gt;""),AND(GS9&gt;=GV$16,GS9&lt;&gt;""),AND(HO9&gt;=HR$16,HO9&lt;&gt;""),AND(IK9&gt;=IN$16,IK9&lt;&gt;""),AND(JG9&gt;=JJ$16,JG9&lt;&gt;""),AND(KC9&gt;=KF$16,KC9&lt;&gt;""),AND(KY9&gt;=LB$16,KY9&lt;&gt;""),AND(LU9&gt;=LX$16,LU9&lt;&gt;""),AND(MQ9&gt;=MT$16,MQ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O9&gt;=AR$17,AO9&lt;&gt;"",AK9=""),AND(BL9&gt;=BO$17,BL9&lt;&gt;"",BH9=""),AND(CI9&gt;=CL$17,CI9&lt;&gt;"",CE9=""),AND(DI9&gt;=DL$17,DI9&lt;&gt;""),AND(EE9&gt;=EH$17,EE9&lt;&gt;""),AND(FA9&gt;=FD$17,FA9&lt;&gt;""),AND(FW9&gt;=FZ$17,FW9&lt;&gt;""),AND(GS9&gt;=GV$17,GS9&lt;&gt;""),AND(HO9&gt;=HR$17,HO9&lt;&gt;""),AND(IK9&gt;=IN$17,IK9&lt;&gt;""),AND(JG9&gt;=JJ$17,JG9&lt;&gt;""),AND(KC9&gt;=KF$17,KC9&lt;&gt;""),AND(KY9&gt;=LB$17,KY9&lt;&gt;""),AND(LU9&gt;=LX$17,LU9&lt;&gt;""),AND(MQ9&gt;=MT$17,MQ9&lt;&gt;"")),OR(G9="Worlds Team",G9="Excellence",G9="Merit")),"P","")</f>
        <v/>
      </c>
      <c r="K9" s="14">
        <f>MAX(AO9,BL9,CI9)</f>
        <v>85.41</v>
      </c>
      <c r="L9" s="14" t="str">
        <f>IF(K9=0,"",IF(K9=CI9,$BP$1,IF(K9=BL9,$AS$1,IF(K9=AO9,$V$1,""))))</f>
        <v>2019 Nationals</v>
      </c>
      <c r="M9" s="14">
        <f>IF($K9=$AO9,MAX(BJ9,CG9),IF($K9=$BL9,MAX(AM9,CG9),IF($K9=$CI9,MAX(AM9,BJ9),MAX(AM9,BJ9,CG9))))</f>
        <v>0</v>
      </c>
      <c r="N9" s="14" t="str">
        <f>IF(M9=0,"",IF(AND(M9=CG9,$L9&lt;&gt;$BP$1),$BP$1,IF(AND(M9=BJ9,$L9&lt;&gt;$AS$1),$AS$1,IF(AND(M9=AM9,$L9&lt;&gt;$V$1),$V$1,""))))</f>
        <v/>
      </c>
      <c r="O9" s="14">
        <f>IF($K9=$AO9,MAX(CH9,BK9),IF($K9=$BL9,MAX(AN9,CH9),IF($K9=$CI9,MAX(AN9,BK9),MAX(AN9,BK9,CH9))))</f>
        <v>0</v>
      </c>
      <c r="P9" s="14" t="str">
        <f>IF(O9=0,"",IF(AND(O9=CH9,$L9&lt;&gt;$BP$1),$BP$1,IF(AND(O9=BK9,$L9&lt;&gt;$AS$1),$AS$1,IF(AND(O9=AN9,$L9&lt;&gt;$V$1),$V$1,""))))</f>
        <v/>
      </c>
      <c r="Q9" s="14">
        <f>MAX(AQ9,BN9,CK9)</f>
        <v>7.32</v>
      </c>
      <c r="R9" s="14" t="str">
        <f>IF(Q9=0,"",IF(Q9=CK9,$BP$1,IF(Q9=BN9,$AS$1,IF(Q9=AQ9,$V$1,""))))</f>
        <v>2019 Nationals</v>
      </c>
      <c r="S9" s="14" t="str">
        <f>IF(MAX(CM9,CN9,CO9,CP9)&gt;0,MAX(CM9,CN9,CO9,CP9),"")</f>
        <v/>
      </c>
      <c r="T9" s="25" t="str">
        <f>IF(S9="","",IF(S9=CM9,"(Vol 1)",IF(S9=CN9,"(Vol 2)",IF(S9=CO9,"(Prelim)",IF(S9=CP9,"(Final)")))))</f>
        <v/>
      </c>
      <c r="U9" s="14" t="str">
        <f>IF(S9="","",IF(S9=CM9,IF(S9+IF(M9="",0,M9)=MO9,$LY$1,IF(S9+IF(M9="",0,M9)=LS9,$LC$1,IF(S9+IF(M9="",0,M9)=KW9,$KG$1,IF(S9+IF(M9="",0,M9)=KA9,$JK$1,IF(S9+IF(M9="",0,M9)=JE9,$IO$1,IF(S9+IF(M9="",0,M9)=II9,$HS$1,IF(S9+IF(M9="",0,M9)=HM9,$GW$1,IF(S9+IF(M9="",0,M9)=GQ9,$GA$1,IF(S9+IF(M9="",0,M9)=FU9,$FE$1,IF(S9+IF(M9="",0,M9)=EY9,$EI$1,IF(S9+IF(M9="",0,M9)=EC9,$DM$1,IF(S9+IF(M9="",0,M9)=DG9,$CQ$1)))))))))))),IF(S9=CN9,IF(S9+IF(O9="",0,O9)=MP9,$LY$1,IF(S9+IF(O9="",0,O9)=LT9,$LC$1,IF(S9+IF(O9="",0,O9)=KX9,$KG$1,IF(S9+IF(O9="",0,O9)=KB9,$JK$1,IF(S9+IF(O9="",0,O9)=JF9,$IO$1,IF(S9+IF(O9="",0,O9)=IJ9,$HS$1,IF(S9+IF(O9="",0,O9)=HN9,$GW$1,IF(S9+IF(O9="",0,O9)=GR9,$GA$1,IF(S9+IF(O9="",0,O9)=FV9,$FE$1,IF(S9+IF(O9="",0,O9)=EZ9,$EI$1,IF(S9+IF(O9="",0,O9)=ED9,$DM$1,IF(S9+IF(O9="",0,O9)=DH9,$CQ$1)))))))))))),IF(S9=CO9,IF(S9+IF(K9="",0,K9)=MQ9,$LY$1,IF(S9+IF(K9="",0,K9)=LU9,$LC$1,IF(S9+IF(K9="",0,K9)=KY9,$KG$1,IF(S9+IF(K9="",0,K9)=KC9,$JK$1,IF(S9+IF(K9="",0,K9)=JG9,$IO$1,IF(S9+IF(K9="",0,K9)=IK9,$HS$1,IF(S9+IF(K9="",0,K9)=HO9,$GW$1,IF(S9+IF(K9="",0,K9)=GS9,$GA$1,IF(S9+IF(K9="",0,K9)=FW9,$FE$1,IF(S9+IF(K9="",0,K9)=FA9,$EI$1,IF(S9+IF(K9="",0,K9)=EE9,$DM$1,IF(S9+IF(K9="",0,K9)=DI9,$CQ$1)))))))))))),IF(S9=CP9,IF(S9+IF(Q9="",0,Q9)=MS9,$LY$1,IF(S9+IF(Q9="",0,Q9)=LW9,$LC$1,IF(S9+IF(Q9="",0,Q9)=LA9,$KG$1,IF(S9+IF(Q9="",0,Q9)=KE9,$JK$1,IF(S9+IF(Q9="",0,Q9)=JI9,$IO$1,IF(S9+IF(Q9="",0,Q9)=IM9,$HS$1,IF(S9+IF(Q9="",0,Q9)=HQ9,$GW$1,IF(S9+IF(Q9="",0,Q9)=GU9,$GA$1,IF(S9+IF(Q9="",0,Q9)=FY9,$FE$1,IF(S9+IF(Q9="",0,Q9)=FC9,$EI$1,IF(S9+IF(Q9="",0,Q9)=EG9,$DM$1,IF(S9+IF(Q9="",0,Q9)=DK9,$CQ$1)))))))))))))))))</f>
        <v/>
      </c>
      <c r="V9" s="39">
        <v>8.85</v>
      </c>
      <c r="W9" s="39">
        <v>9.35</v>
      </c>
      <c r="X9" s="39">
        <v>3.2</v>
      </c>
      <c r="Y9" s="39">
        <v>19.12</v>
      </c>
      <c r="Z9" s="39">
        <v>0</v>
      </c>
      <c r="AA9" s="39">
        <v>7.8</v>
      </c>
      <c r="AB9" s="39">
        <v>9.0500000000000007</v>
      </c>
      <c r="AC9" s="39">
        <v>10.5</v>
      </c>
      <c r="AD9" s="39">
        <v>17.54</v>
      </c>
      <c r="AE9" s="39">
        <v>0</v>
      </c>
      <c r="AF9" s="39">
        <v>1.3</v>
      </c>
      <c r="AG9" s="39">
        <v>1.9</v>
      </c>
      <c r="AH9" s="39">
        <v>2.2999999999999998</v>
      </c>
      <c r="AI9" s="39">
        <v>1.82</v>
      </c>
      <c r="AJ9" s="39">
        <v>0</v>
      </c>
      <c r="AK9" s="80"/>
      <c r="AL9" s="11">
        <f>IF(AC9&gt;0,AC9,"")</f>
        <v>10.5</v>
      </c>
      <c r="AM9" s="11">
        <f>IF(SUM(V9:Y9)-Z9&gt;0,SUM(V9:Y9)-Z9,"")</f>
        <v>40.519999999999996</v>
      </c>
      <c r="AN9" s="11">
        <f>IF(SUM(AA9:AD9)-AE9&gt;0,SUM(AA9:AD9)-AE9,"")</f>
        <v>44.89</v>
      </c>
      <c r="AO9" s="11">
        <f>IF(SUM(AM9:AN9)&gt;0,SUM(AM9:AN9),"")</f>
        <v>85.41</v>
      </c>
      <c r="AP9" s="11">
        <f>IF(AH9&gt;0,AH9,"")</f>
        <v>2.2999999999999998</v>
      </c>
      <c r="AQ9" s="11">
        <f>IF(SUM(AF9:AI9)-AJ9&gt;0,SUM(AF9:AI9)-AJ9,"")</f>
        <v>7.32</v>
      </c>
      <c r="AR9" s="11">
        <f>IF(SUM(AO9,AQ9)&gt;0,SUM(AO9,AQ9),"")</f>
        <v>92.72999999999999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81"/>
      <c r="BI9" s="14" t="str">
        <f>IF(AZ9&gt;0,AZ9,"")</f>
        <v/>
      </c>
      <c r="BJ9" s="14" t="str">
        <f>IF(SUM(AS9:AV9)-AW9&gt;0,SUM(AS9:AV9)-AW9,"")</f>
        <v/>
      </c>
      <c r="BK9" s="14" t="str">
        <f>IF(SUM(AX9:BA9)-BB9&gt;0,SUM(AX9:BA9)-BB9,"")</f>
        <v/>
      </c>
      <c r="BL9" s="14" t="str">
        <f>IF(SUM(BJ9:BK9)&gt;0,SUM(BJ9:BK9),"")</f>
        <v/>
      </c>
      <c r="BM9" s="14" t="str">
        <f>IF(BE9&gt;0,BE9,"")</f>
        <v/>
      </c>
      <c r="BN9" s="14" t="str">
        <f>IF(SUM(BC9:BF9)-BG9&gt;0,SUM(BC9:BF9)-BG9,"")</f>
        <v/>
      </c>
      <c r="BO9" s="14" t="str">
        <f>IF(SUM(BL9,BN9)&gt;0,SUM(BL9,BN9),"")</f>
        <v/>
      </c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80"/>
      <c r="CF9" s="11" t="str">
        <f>IF(BW9&gt;0,BW9,"")</f>
        <v/>
      </c>
      <c r="CG9" s="11" t="str">
        <f>IF(SUM(BP9:BS9)-BT9&gt;0,SUM(BP9:BS9)-BT9,"")</f>
        <v/>
      </c>
      <c r="CH9" s="11" t="str">
        <f>IF(SUM(BU9:BX9)-BY9&gt;0,SUM(BU9:BX9)-BY9,"")</f>
        <v/>
      </c>
      <c r="CI9" s="11" t="str">
        <f>IF(SUM(CG9:CH9)&gt;0,SUM(CG9:CH9),"")</f>
        <v/>
      </c>
      <c r="CJ9" s="11" t="str">
        <f>IF(CB9&gt;0,CB9,"")</f>
        <v/>
      </c>
      <c r="CK9" s="11" t="str">
        <f>IF(SUM(BZ9:CC9)-CD9&gt;0,SUM(BZ9:CC9)-CD9,"")</f>
        <v/>
      </c>
      <c r="CL9" s="11" t="str">
        <f>IF(SUM(CI9,CK9)&gt;0,SUM(CI9,CK9),"")</f>
        <v/>
      </c>
      <c r="CM9" s="24" t="str">
        <f>IF(MAX(DG9,EC9,EY9,FU9,GQ9,HM9,II9,JE9,KA9,KW9,LS9,MO9)-IF(M9="",0,M9)&gt;0.001,MAX(DG9,EC9,EY9,FU9,GQ9,HM9,II9,JE9,KA9,KW9,LS9,MO9)-IF(M9="",0,M9),"")</f>
        <v/>
      </c>
      <c r="CN9" s="24" t="str">
        <f>IF(MAX(DH9,ED9,EZ9,FV9,GR9,HN9,IJ9,JF9,KB9,KX9,LT9,MP9)-IF(O9="",0,O9)&gt;0.001,MAX(DH9,ED9,EZ9,FV9,GR9,HN9,IJ9,JF9,KB9,KX9,LT9,MP9)-IF(O9="",0,O9),"")</f>
        <v/>
      </c>
      <c r="CO9" s="24" t="str">
        <f>IF(MAX(DI9,EE9,FA9,FW9,GS9,HO9,IK9,JG9,KC9,KY9,LU9,MQ9)-IF(K9="",0,K9)&gt;0.001,MAX(DI9,EE9,FA9,FW9,GS9,HO9,IK9,JG9,KC9,KY9,LU9,MQ9)-IF(K9="",0,K9),"")</f>
        <v/>
      </c>
      <c r="CP9" s="24" t="str">
        <f>IF(MAX(DK9,EG9,FC9,FY9,GU9,HQ9,IM9,JI9,KE9,LA9,LW9,MS9)-IF(Q9="",0,Q9)&gt;0.001,MAX(DK9,EG9,FC9,FY9,GU9,HQ9,IM9,JI9,KE9,LA9,LW9,MS9)-IF(Q9="",0,Q9),"")</f>
        <v/>
      </c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11" t="str">
        <f>IF(CX9&gt;0,CX9,"")</f>
        <v/>
      </c>
      <c r="DG9" s="11" t="str">
        <f>IF(SUM(CQ9:CT9)-CU9&gt;0,SUM(CQ9:CT9)-CU9,"")</f>
        <v/>
      </c>
      <c r="DH9" s="11" t="str">
        <f>IF(SUM(CV9:CY9)-CZ9&gt;0,SUM(CV9:CY9)-CZ9,"")</f>
        <v/>
      </c>
      <c r="DI9" s="11" t="str">
        <f>IF(SUM(DG9:DH9)&gt;0,SUM(DG9:DH9),"")</f>
        <v/>
      </c>
      <c r="DJ9" s="11" t="str">
        <f>IF(DC9&gt;0,DC9,"")</f>
        <v/>
      </c>
      <c r="DK9" s="11" t="str">
        <f>IF(SUM(DA9:DD9)-DE9&gt;0,SUM(DA9:DD9)-DE9,"")</f>
        <v/>
      </c>
      <c r="DL9" s="11" t="str">
        <f>IF(SUM(DI9,DK9)&gt;0,SUM(DI9,DK9),"")</f>
        <v/>
      </c>
      <c r="DM9" s="38"/>
      <c r="DN9" s="38"/>
      <c r="DO9" s="38"/>
      <c r="DP9" s="38"/>
      <c r="DQ9" s="38"/>
      <c r="DR9" s="38"/>
      <c r="DS9" s="38"/>
      <c r="DT9" s="38"/>
      <c r="DU9" s="38"/>
      <c r="DV9" s="38"/>
      <c r="DW9" s="38"/>
      <c r="DX9" s="38"/>
      <c r="DY9" s="38"/>
      <c r="DZ9" s="38"/>
      <c r="EA9" s="38"/>
      <c r="EB9" s="14" t="str">
        <f>IF(DT9&gt;0,DT9,"")</f>
        <v/>
      </c>
      <c r="EC9" s="14" t="str">
        <f>IF(SUM(DM9:DP9)-DQ9&gt;0,SUM(DM9:DP9)-DQ9,"")</f>
        <v/>
      </c>
      <c r="ED9" s="14" t="str">
        <f>IF(SUM(DR9:DU9)-DV9&gt;0,SUM(DR9:DU9)-DV9,"")</f>
        <v/>
      </c>
      <c r="EE9" s="14" t="str">
        <f>IF(SUM(EC9:ED9)&gt;0,SUM(EC9:ED9),"")</f>
        <v/>
      </c>
      <c r="EF9" s="14" t="str">
        <f>IF(DY9&gt;0,DY9,"")</f>
        <v/>
      </c>
      <c r="EG9" s="14" t="str">
        <f>IF(SUM(DW9:DZ9)-EA9&gt;0,SUM(DW9:DZ9)-EA9,"")</f>
        <v/>
      </c>
      <c r="EH9" s="14" t="str">
        <f>IF(SUM(EE9,EG9)&gt;0,SUM(EE9,EG9),"")</f>
        <v/>
      </c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11" t="str">
        <f>IF(EP9&gt;0,EP9,"")</f>
        <v/>
      </c>
      <c r="EY9" s="11" t="str">
        <f>IF(SUM(EI9:EL9)-EM9&gt;0,SUM(EI9:EL9)-EM9,"")</f>
        <v/>
      </c>
      <c r="EZ9" s="11" t="str">
        <f>IF(SUM(EN9:EQ9)-ER9&gt;0,SUM(EN9:EQ9)-ER9,"")</f>
        <v/>
      </c>
      <c r="FA9" s="11" t="str">
        <f>IF(SUM(EY9:EZ9)&gt;0,SUM(EY9:EZ9),"")</f>
        <v/>
      </c>
      <c r="FB9" s="11" t="str">
        <f>IF(EU9&gt;0,EU9,"")</f>
        <v/>
      </c>
      <c r="FC9" s="11" t="str">
        <f>IF(SUM(ES9:EV9)-EW9&gt;0,SUM(ES9:EV9)-EW9,"")</f>
        <v/>
      </c>
      <c r="FD9" s="11" t="str">
        <f>IF(SUM(FA9,FC9)&gt;0,SUM(FA9,FC9),"")</f>
        <v/>
      </c>
      <c r="FE9" s="38"/>
      <c r="FF9" s="38"/>
      <c r="FG9" s="38"/>
      <c r="FH9" s="38"/>
      <c r="FI9" s="38"/>
      <c r="FJ9" s="38"/>
      <c r="FK9" s="38"/>
      <c r="FL9" s="38"/>
      <c r="FM9" s="38"/>
      <c r="FN9" s="38"/>
      <c r="FO9" s="38"/>
      <c r="FP9" s="38"/>
      <c r="FQ9" s="38"/>
      <c r="FR9" s="38"/>
      <c r="FS9" s="38"/>
      <c r="FT9" s="14" t="str">
        <f>IF(FL9&gt;0,FL9,"")</f>
        <v/>
      </c>
      <c r="FU9" s="14" t="str">
        <f>IF(SUM(FE9:FH9)-FI9&gt;0,SUM(FE9:FH9)-FI9,"")</f>
        <v/>
      </c>
      <c r="FV9" s="14" t="str">
        <f>IF(SUM(FJ9:FM9)-FN9&gt;0,SUM(FJ9:FM9)-FN9,"")</f>
        <v/>
      </c>
      <c r="FW9" s="14" t="str">
        <f>IF(SUM(FU9:FV9)&gt;0,SUM(FU9:FV9),"")</f>
        <v/>
      </c>
      <c r="FX9" s="14" t="str">
        <f>IF(FQ9&gt;0,FQ9,"")</f>
        <v/>
      </c>
      <c r="FY9" s="14" t="str">
        <f>IF(SUM(FO9:FR9)-FS9&gt;0,SUM(FO9:FR9)-FS9,"")</f>
        <v/>
      </c>
      <c r="FZ9" s="14" t="str">
        <f>IF(SUM(FW9,FY9)&gt;0,SUM(FW9,FY9),"")</f>
        <v/>
      </c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11" t="str">
        <f>IF(GH9&gt;0,GH9,"")</f>
        <v/>
      </c>
      <c r="GQ9" s="11" t="str">
        <f>IF(SUM(GA9:GD9)-GE9&gt;0,SUM(GA9:GD9)-GE9,"")</f>
        <v/>
      </c>
      <c r="GR9" s="11" t="str">
        <f>IF(SUM(GF9:GI9)-GJ9&gt;0,SUM(GF9:GI9)-GJ9,"")</f>
        <v/>
      </c>
      <c r="GS9" s="11" t="str">
        <f>IF(SUM(GQ9:GR9)&gt;0,SUM(GQ9:GR9),"")</f>
        <v/>
      </c>
      <c r="GT9" s="11" t="str">
        <f>IF(GM9&gt;0,GM9,"")</f>
        <v/>
      </c>
      <c r="GU9" s="11" t="str">
        <f>IF(SUM(GK9:GN9)-GO9&gt;0,SUM(GK9:GN9)-GO9,"")</f>
        <v/>
      </c>
      <c r="GV9" s="11" t="str">
        <f>IF(SUM(GS9,GU9)&gt;0,SUM(GS9,GU9),"")</f>
        <v/>
      </c>
      <c r="GW9" s="38"/>
      <c r="GX9" s="38"/>
      <c r="GY9" s="38"/>
      <c r="GZ9" s="38"/>
      <c r="HA9" s="38"/>
      <c r="HB9" s="38"/>
      <c r="HC9" s="38"/>
      <c r="HD9" s="38"/>
      <c r="HE9" s="38"/>
      <c r="HF9" s="38"/>
      <c r="HG9" s="38"/>
      <c r="HH9" s="38"/>
      <c r="HI9" s="38"/>
      <c r="HJ9" s="38"/>
      <c r="HK9" s="38"/>
      <c r="HL9" s="14" t="str">
        <f>IF(HD9&gt;0,HD9,"")</f>
        <v/>
      </c>
      <c r="HM9" s="14" t="str">
        <f>IF(SUM(GW9:GZ9)-HA9&gt;0,SUM(GW9:GZ9)-HA9,"")</f>
        <v/>
      </c>
      <c r="HN9" s="14" t="str">
        <f>IF(SUM(HB9:HE9)-HF9&gt;0,SUM(HB9:HE9)-HF9,"")</f>
        <v/>
      </c>
      <c r="HO9" s="14" t="str">
        <f>IF(SUM(HM9:HN9)&gt;0,SUM(HM9:HN9),"")</f>
        <v/>
      </c>
      <c r="HP9" s="14" t="str">
        <f>IF(HI9&gt;0,HI9,"")</f>
        <v/>
      </c>
      <c r="HQ9" s="14" t="str">
        <f>IF(SUM(HG9:HJ9)-HK9&gt;0,SUM(HG9:HJ9)-HK9,"")</f>
        <v/>
      </c>
      <c r="HR9" s="14" t="str">
        <f>IF(SUM(HO9,HQ9)&gt;0,SUM(HO9,HQ9),"")</f>
        <v/>
      </c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11" t="str">
        <f>IF(HZ9&gt;0,HZ9,"")</f>
        <v/>
      </c>
      <c r="II9" s="11" t="str">
        <f>IF(SUM(HS9:HV9)-HW9&gt;0,SUM(HS9:HV9)-HW9,"")</f>
        <v/>
      </c>
      <c r="IJ9" s="11" t="str">
        <f>IF(SUM(HX9:IA9)-IB9&gt;0,SUM(HX9:IA9)-IB9,"")</f>
        <v/>
      </c>
      <c r="IK9" s="11" t="str">
        <f>IF(SUM(II9:IJ9)&gt;0,SUM(II9:IJ9),"")</f>
        <v/>
      </c>
      <c r="IL9" s="11" t="str">
        <f>IF(IE9&gt;0,IE9,"")</f>
        <v/>
      </c>
      <c r="IM9" s="11" t="str">
        <f>IF(SUM(IC9:IF9)-IG9&gt;0,SUM(IC9:IF9)-IG9,"")</f>
        <v/>
      </c>
      <c r="IN9" s="11" t="str">
        <f>IF(SUM(IK9,IM9)&gt;0,SUM(IK9,IM9),"")</f>
        <v/>
      </c>
      <c r="IO9" s="38"/>
      <c r="IP9" s="38"/>
      <c r="IQ9" s="38"/>
      <c r="IR9" s="38"/>
      <c r="IS9" s="38"/>
      <c r="IT9" s="38"/>
      <c r="IU9" s="38"/>
      <c r="IV9" s="38"/>
      <c r="IW9" s="38"/>
      <c r="IX9" s="38"/>
      <c r="IY9" s="38"/>
      <c r="IZ9" s="38"/>
      <c r="JA9" s="38"/>
      <c r="JB9" s="38"/>
      <c r="JC9" s="38"/>
      <c r="JD9" s="14" t="str">
        <f>IF(IV9&gt;0,IV9,"")</f>
        <v/>
      </c>
      <c r="JE9" s="14" t="str">
        <f>IF(SUM(IO9:IR9)-IS9&gt;0,SUM(IO9:IR9)-IS9,"")</f>
        <v/>
      </c>
      <c r="JF9" s="14" t="str">
        <f>IF(SUM(IT9:IW9)-IX9&gt;0,SUM(IT9:IW9)-IX9,"")</f>
        <v/>
      </c>
      <c r="JG9" s="14" t="str">
        <f>IF(SUM(JE9:JF9)&gt;0,SUM(JE9:JF9),"")</f>
        <v/>
      </c>
      <c r="JH9" s="14" t="str">
        <f>IF(JA9&gt;0,JA9,"")</f>
        <v/>
      </c>
      <c r="JI9" s="14" t="str">
        <f>IF(SUM(IY9:JB9)-JC9&gt;0,SUM(IY9:JB9)-JC9,"")</f>
        <v/>
      </c>
      <c r="JJ9" s="14" t="str">
        <f>IF(SUM(JG9,JI9)&gt;0,SUM(JG9,JI9),"")</f>
        <v/>
      </c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11" t="str">
        <f>IF(JR9&gt;0,JR9,"")</f>
        <v/>
      </c>
      <c r="KA9" s="11" t="str">
        <f>IF(SUM(JK9:JN9)-JO9&gt;0,SUM(JK9:JN9)-JO9,"")</f>
        <v/>
      </c>
      <c r="KB9" s="11" t="str">
        <f>IF(SUM(JP9:JS9)-JT9&gt;0,SUM(JP9:JS9)-JT9,"")</f>
        <v/>
      </c>
      <c r="KC9" s="11" t="str">
        <f>IF(SUM(KA9:KB9)&gt;0,SUM(KA9:KB9),"")</f>
        <v/>
      </c>
      <c r="KD9" s="11" t="str">
        <f>IF(JW9&gt;0,JW9,"")</f>
        <v/>
      </c>
      <c r="KE9" s="11" t="str">
        <f>IF(SUM(JU9:JX9)-JY9&gt;0,SUM(JU9:JX9)-JY9,"")</f>
        <v/>
      </c>
      <c r="KF9" s="11" t="str">
        <f>IF(SUM(KC9,KE9)&gt;0,SUM(KC9,KE9),"")</f>
        <v/>
      </c>
      <c r="KG9" s="38"/>
      <c r="KH9" s="38"/>
      <c r="KI9" s="38"/>
      <c r="KJ9" s="38"/>
      <c r="KK9" s="38"/>
      <c r="KL9" s="38"/>
      <c r="KM9" s="38"/>
      <c r="KN9" s="38"/>
      <c r="KO9" s="38"/>
      <c r="KP9" s="38"/>
      <c r="KQ9" s="38"/>
      <c r="KR9" s="38"/>
      <c r="KS9" s="38"/>
      <c r="KT9" s="38"/>
      <c r="KU9" s="38"/>
      <c r="KV9" s="14" t="str">
        <f>IF(KN9&gt;0,KN9,"")</f>
        <v/>
      </c>
      <c r="KW9" s="14" t="str">
        <f>IF(SUM(KG9:KJ9)-KK9&gt;0,SUM(KG9:KJ9)-KK9,"")</f>
        <v/>
      </c>
      <c r="KX9" s="14" t="str">
        <f>IF(SUM(KL9:KO9)-KP9&gt;0,SUM(KL9:KO9)-KP9,"")</f>
        <v/>
      </c>
      <c r="KY9" s="14" t="str">
        <f>IF(SUM(KW9:KX9)&gt;0,SUM(KW9:KX9),"")</f>
        <v/>
      </c>
      <c r="KZ9" s="14" t="str">
        <f>IF(KS9&gt;0,KS9,"")</f>
        <v/>
      </c>
      <c r="LA9" s="14" t="str">
        <f>IF(SUM(KQ9:KT9)-KU9&gt;0,SUM(KQ9:KT9)-KU9,"")</f>
        <v/>
      </c>
      <c r="LB9" s="14" t="str">
        <f>IF(SUM(KY9,LA9)&gt;0,SUM(KY9,LA9),"")</f>
        <v/>
      </c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11" t="str">
        <f>IF(LJ9&gt;0,LJ9,"")</f>
        <v/>
      </c>
      <c r="LS9" s="11" t="str">
        <f>IF(SUM(LC9:LF9)-LG9&gt;0,SUM(LC9:LF9)-LG9,"")</f>
        <v/>
      </c>
      <c r="LT9" s="11" t="str">
        <f>IF(SUM(LH9:LK9)-LL9&gt;0,SUM(LH9:LK9)-LL9,"")</f>
        <v/>
      </c>
      <c r="LU9" s="11" t="str">
        <f>IF(SUM(LS9:LT9)&gt;0,SUM(LS9:LT9),"")</f>
        <v/>
      </c>
      <c r="LV9" s="11" t="str">
        <f>IF(LO9&gt;0,LO9,"")</f>
        <v/>
      </c>
      <c r="LW9" s="11" t="str">
        <f>IF(SUM(LM9:LP9)-LQ9&gt;0,SUM(LM9:LP9)-LQ9,"")</f>
        <v/>
      </c>
      <c r="LX9" s="11" t="str">
        <f>IF(SUM(LU9,LW9)&gt;0,SUM(LU9,LW9),"")</f>
        <v/>
      </c>
      <c r="LY9" s="38"/>
      <c r="LZ9" s="38"/>
      <c r="MA9" s="38"/>
      <c r="MB9" s="38"/>
      <c r="MC9" s="38"/>
      <c r="MD9" s="38"/>
      <c r="ME9" s="38"/>
      <c r="MF9" s="38"/>
      <c r="MG9" s="38"/>
      <c r="MH9" s="38"/>
      <c r="MI9" s="38"/>
      <c r="MJ9" s="38"/>
      <c r="MK9" s="38"/>
      <c r="ML9" s="38"/>
      <c r="MM9" s="38"/>
      <c r="MN9" s="14" t="str">
        <f>IF(MF9&gt;0,MF9,"")</f>
        <v/>
      </c>
      <c r="MO9" s="14" t="str">
        <f>IF(SUM(LY9:MB9)-MC9&gt;0,SUM(LY9:MB9)-MC9,"")</f>
        <v/>
      </c>
      <c r="MP9" s="14" t="str">
        <f>IF(SUM(MD9:MG9)-MH9&gt;0,SUM(MD9:MG9)-MH9,"")</f>
        <v/>
      </c>
      <c r="MQ9" s="14" t="str">
        <f>IF(SUM(MO9:MP9)&gt;0,SUM(MO9:MP9),"")</f>
        <v/>
      </c>
      <c r="MR9" s="14" t="str">
        <f>IF(MK9&gt;0,MK9,"")</f>
        <v/>
      </c>
      <c r="MS9" s="14" t="str">
        <f>IF(SUM(MI9:ML9)-MM9&gt;0,SUM(MI9:ML9)-MM9,"")</f>
        <v/>
      </c>
      <c r="MT9" s="14" t="str">
        <f>IF(SUM(MQ9,MS9)&gt;0,SUM(MQ9,MS9),"")</f>
        <v/>
      </c>
      <c r="MU9" s="69">
        <f>IF($CE9="P",BP9,(BP9+AS9)/2)</f>
        <v>0</v>
      </c>
      <c r="MV9" s="69">
        <f>IF($CE9="P",BQ9,(BQ9+AT9)/2)</f>
        <v>0</v>
      </c>
      <c r="MW9" s="69">
        <f>IF($CE9="P",BR9,(BR9+AU9)/2)</f>
        <v>0</v>
      </c>
      <c r="MX9" s="69">
        <f>IF($CE9="P",BS9,(BS9+AV9)/2)</f>
        <v>0</v>
      </c>
      <c r="MY9" s="69">
        <f>IF($CE9="P",BT9,(BT9+AW9)/2)</f>
        <v>0</v>
      </c>
      <c r="MZ9" s="69">
        <f>IF($CE9="P",BU9,(BU9+AX9)/2)</f>
        <v>0</v>
      </c>
      <c r="NA9" s="69">
        <f>IF($CE9="P",BV9,(BV9+AY9)/2)</f>
        <v>0</v>
      </c>
      <c r="NB9" s="69">
        <f>IF($CE9="P",BW9,(BW9+AZ9)/2)</f>
        <v>0</v>
      </c>
      <c r="NC9" s="69">
        <f>IF($CE9="P",BX9,(BX9+BA9)/2)</f>
        <v>0</v>
      </c>
      <c r="ND9" s="69">
        <f>IF($CE9="P",BY9,(BY9+BB9)/2)</f>
        <v>0</v>
      </c>
      <c r="NE9" s="69">
        <f>IF($CE9="P",BZ9,(BZ9+BC9)/2)</f>
        <v>0</v>
      </c>
      <c r="NF9" s="69">
        <f>IF($CE9="P",CA9,(CA9+BD9)/2)</f>
        <v>0</v>
      </c>
      <c r="NG9" s="69">
        <f>IF($CE9="P",CB9,(CB9+BE9)/2)</f>
        <v>0</v>
      </c>
      <c r="NH9" s="69">
        <f>IF($CE9="P",CC9,(CC9+BF9)/2)</f>
        <v>0</v>
      </c>
      <c r="NI9" s="69">
        <f>IF($CE9="P",CD9,(CD9+BG9)/2)</f>
        <v>0</v>
      </c>
      <c r="NJ9" s="80" t="s">
        <v>88</v>
      </c>
      <c r="NK9" s="11" t="str">
        <f>IF(NB9&gt;0,NB9,"")</f>
        <v/>
      </c>
      <c r="NL9" s="11" t="str">
        <f>IF(SUM(MU9:MX9)-MY9&gt;0,SUM(MU9:MX9)-MY9,"")</f>
        <v/>
      </c>
      <c r="NM9" s="11" t="str">
        <f>IF(SUM(MZ9:NC9)-ND9&gt;0,SUM(MZ9:NC9)-ND9,"")</f>
        <v/>
      </c>
      <c r="NN9" s="11" t="str">
        <f>IF(SUM(NL9:NM9)&gt;0,SUM(NL9:NM9),"")</f>
        <v/>
      </c>
      <c r="NO9" s="11" t="str">
        <f>IF(NG9&gt;0,NG9,"")</f>
        <v/>
      </c>
      <c r="NP9" s="11" t="str">
        <f>IF(SUM(NE9:NH9)-NI9&gt;0,SUM(NE9:NH9)-NI9,"")</f>
        <v/>
      </c>
      <c r="NQ9" s="11" t="str">
        <f>IF(SUM(NN9,NP9)&gt;0,SUM(NN9,NP9),"")</f>
        <v/>
      </c>
    </row>
    <row r="10" spans="1:381" x14ac:dyDescent="0.2">
      <c r="D10" s="1"/>
      <c r="T10" s="26"/>
    </row>
    <row r="12" spans="1:381" x14ac:dyDescent="0.2">
      <c r="B12" s="70" t="s">
        <v>78</v>
      </c>
      <c r="AL12" s="56"/>
      <c r="AR12" s="64">
        <v>11.2</v>
      </c>
      <c r="BI12" s="56"/>
      <c r="BO12" s="64">
        <v>11.2</v>
      </c>
      <c r="CF12" s="56"/>
      <c r="CL12" s="64">
        <v>11.2</v>
      </c>
      <c r="DF12" s="56"/>
      <c r="DL12" s="64">
        <v>11.2</v>
      </c>
      <c r="EB12" s="56"/>
      <c r="EH12" s="64">
        <v>11.2</v>
      </c>
      <c r="EX12" s="56"/>
      <c r="FD12" s="64">
        <v>11.2</v>
      </c>
      <c r="FT12" s="56"/>
      <c r="FZ12" s="64">
        <v>11.2</v>
      </c>
      <c r="GP12" s="56"/>
      <c r="GV12" s="64">
        <v>11.2</v>
      </c>
      <c r="HL12" s="56"/>
      <c r="HR12" s="64">
        <v>11.2</v>
      </c>
      <c r="IH12" s="56"/>
      <c r="IN12" s="64">
        <v>11.2</v>
      </c>
      <c r="JD12" s="56"/>
      <c r="JJ12" s="64">
        <v>11.2</v>
      </c>
      <c r="JZ12" s="56"/>
      <c r="KF12" s="64">
        <v>11.2</v>
      </c>
      <c r="KV12" s="56"/>
      <c r="LB12" s="64">
        <v>11.2</v>
      </c>
      <c r="LR12" s="56"/>
      <c r="LX12" s="64">
        <v>11.2</v>
      </c>
      <c r="MN12" s="56"/>
      <c r="MT12" s="64">
        <v>11.2</v>
      </c>
    </row>
    <row r="13" spans="1:381" x14ac:dyDescent="0.2">
      <c r="B13" s="91" t="s">
        <v>77</v>
      </c>
      <c r="AL13" s="56"/>
      <c r="AR13" s="93">
        <v>12.5</v>
      </c>
      <c r="BI13" s="56"/>
      <c r="BO13" s="93">
        <v>12</v>
      </c>
      <c r="CF13" s="56"/>
      <c r="CL13" s="93">
        <v>12</v>
      </c>
      <c r="DF13" s="56"/>
      <c r="DL13" s="93">
        <v>12.5</v>
      </c>
      <c r="EB13" s="56"/>
      <c r="EH13" s="93">
        <v>12</v>
      </c>
      <c r="EX13" s="56"/>
      <c r="FD13" s="93">
        <v>12</v>
      </c>
      <c r="FT13" s="56"/>
      <c r="FZ13" s="93">
        <v>12</v>
      </c>
      <c r="GP13" s="56"/>
      <c r="GV13" s="93">
        <v>12</v>
      </c>
      <c r="HL13" s="56"/>
      <c r="HR13" s="93">
        <v>12</v>
      </c>
      <c r="IH13" s="56"/>
      <c r="IN13" s="93">
        <v>12</v>
      </c>
      <c r="JD13" s="56"/>
      <c r="JJ13" s="93">
        <v>12</v>
      </c>
      <c r="JZ13" s="56"/>
      <c r="KF13" s="93">
        <v>12</v>
      </c>
      <c r="KV13" s="56"/>
      <c r="LB13" s="93">
        <v>12</v>
      </c>
      <c r="LR13" s="56"/>
      <c r="LX13" s="93">
        <v>12</v>
      </c>
      <c r="MN13" s="56"/>
      <c r="MT13" s="93">
        <v>12</v>
      </c>
    </row>
    <row r="14" spans="1:381" x14ac:dyDescent="0.2">
      <c r="A14" s="56"/>
      <c r="B14" s="92" t="s">
        <v>109</v>
      </c>
      <c r="C14" s="55"/>
      <c r="AL14" s="56"/>
      <c r="AR14" s="94">
        <v>12.5</v>
      </c>
      <c r="BI14" s="56"/>
      <c r="BO14" s="94">
        <v>12</v>
      </c>
      <c r="CF14" s="56"/>
      <c r="CL14" s="94">
        <v>12</v>
      </c>
      <c r="DF14" s="56"/>
      <c r="DL14" s="94">
        <v>12.5</v>
      </c>
      <c r="EB14" s="56"/>
      <c r="EH14" s="94">
        <v>12</v>
      </c>
      <c r="EX14" s="56"/>
      <c r="FD14" s="94">
        <v>12</v>
      </c>
      <c r="FT14" s="56"/>
      <c r="FZ14" s="94">
        <v>12</v>
      </c>
      <c r="GP14" s="56"/>
      <c r="GV14" s="94">
        <v>12</v>
      </c>
      <c r="HL14" s="56"/>
      <c r="HR14" s="94">
        <v>12</v>
      </c>
      <c r="IH14" s="56"/>
      <c r="IN14" s="94">
        <v>12</v>
      </c>
      <c r="JD14" s="56"/>
      <c r="JJ14" s="94">
        <v>12</v>
      </c>
      <c r="JZ14" s="56"/>
      <c r="KF14" s="94">
        <v>12</v>
      </c>
      <c r="KV14" s="56"/>
      <c r="LB14" s="94">
        <v>12</v>
      </c>
      <c r="LR14" s="56"/>
      <c r="LX14" s="94">
        <v>12</v>
      </c>
      <c r="MN14" s="56"/>
      <c r="MT14" s="94">
        <v>12</v>
      </c>
    </row>
    <row r="15" spans="1:381" x14ac:dyDescent="0.2">
      <c r="A15" s="56"/>
      <c r="B15" s="120" t="s">
        <v>158</v>
      </c>
      <c r="C15" s="55"/>
      <c r="AL15" s="56"/>
      <c r="AR15" s="121">
        <v>12.5</v>
      </c>
      <c r="BI15" s="56"/>
      <c r="BO15" s="121">
        <v>12</v>
      </c>
      <c r="CF15" s="56"/>
      <c r="CL15" s="121">
        <v>12</v>
      </c>
      <c r="DF15" s="56"/>
      <c r="DL15" s="121">
        <v>12.5</v>
      </c>
      <c r="EB15" s="56"/>
      <c r="EH15" s="121">
        <v>12</v>
      </c>
      <c r="EX15" s="56"/>
      <c r="FD15" s="121">
        <v>12</v>
      </c>
      <c r="FT15" s="56"/>
      <c r="FZ15" s="121">
        <v>12</v>
      </c>
      <c r="GP15" s="56"/>
      <c r="GV15" s="121">
        <v>12</v>
      </c>
      <c r="HL15" s="56"/>
      <c r="HR15" s="121">
        <v>12</v>
      </c>
      <c r="IH15" s="56"/>
      <c r="IN15" s="121">
        <v>12</v>
      </c>
      <c r="JD15" s="56"/>
      <c r="JJ15" s="121">
        <v>12</v>
      </c>
      <c r="JZ15" s="56"/>
      <c r="KF15" s="121">
        <v>12</v>
      </c>
      <c r="KV15" s="56"/>
      <c r="LB15" s="121">
        <v>12</v>
      </c>
      <c r="LR15" s="56"/>
      <c r="LX15" s="121">
        <v>12</v>
      </c>
      <c r="MN15" s="56"/>
      <c r="MT15" s="121">
        <v>12</v>
      </c>
    </row>
    <row r="16" spans="1:381" x14ac:dyDescent="0.2">
      <c r="A16" s="56"/>
      <c r="B16" s="118" t="s">
        <v>75</v>
      </c>
      <c r="C16" s="55"/>
      <c r="AL16" s="56"/>
      <c r="AR16" s="119">
        <v>82</v>
      </c>
      <c r="BI16" s="56"/>
      <c r="BO16" s="119">
        <v>81.400000000000006</v>
      </c>
      <c r="CF16" s="56"/>
      <c r="CL16" s="119">
        <v>81.400000000000006</v>
      </c>
      <c r="DF16" s="56"/>
      <c r="DL16" s="119">
        <v>82</v>
      </c>
      <c r="EB16" s="56"/>
      <c r="EH16" s="119">
        <v>81.400000000000006</v>
      </c>
      <c r="EX16" s="56"/>
      <c r="FD16" s="119">
        <v>81.400000000000006</v>
      </c>
      <c r="FT16" s="56"/>
      <c r="FZ16" s="119">
        <v>81.400000000000006</v>
      </c>
      <c r="GP16" s="56"/>
      <c r="GV16" s="119">
        <v>81.400000000000006</v>
      </c>
      <c r="HL16" s="56"/>
      <c r="HR16" s="119">
        <v>81.400000000000006</v>
      </c>
      <c r="IH16" s="56"/>
      <c r="IN16" s="119">
        <v>81.400000000000006</v>
      </c>
      <c r="JD16" s="56"/>
      <c r="JJ16" s="119">
        <v>81.400000000000006</v>
      </c>
      <c r="JZ16" s="56"/>
      <c r="KF16" s="119">
        <v>81.400000000000006</v>
      </c>
      <c r="KV16" s="56"/>
      <c r="LB16" s="119">
        <v>81.400000000000006</v>
      </c>
      <c r="LR16" s="56"/>
      <c r="LX16" s="119">
        <v>81.400000000000006</v>
      </c>
      <c r="MN16" s="56"/>
      <c r="MT16" s="119">
        <v>81.400000000000006</v>
      </c>
    </row>
    <row r="17" spans="1:358" x14ac:dyDescent="0.2">
      <c r="A17" s="56"/>
      <c r="B17" s="72" t="s">
        <v>76</v>
      </c>
      <c r="C17" s="55"/>
      <c r="AL17" s="56"/>
      <c r="AR17" s="66">
        <v>84</v>
      </c>
      <c r="BI17" s="56"/>
      <c r="BO17" s="66">
        <v>83.4</v>
      </c>
      <c r="CF17" s="56"/>
      <c r="CL17" s="66">
        <v>83.4</v>
      </c>
      <c r="DF17" s="56"/>
      <c r="DL17" s="66">
        <v>84</v>
      </c>
      <c r="EB17" s="56"/>
      <c r="EH17" s="66">
        <v>83.4</v>
      </c>
      <c r="EX17" s="56"/>
      <c r="FD17" s="66">
        <v>83.4</v>
      </c>
      <c r="FT17" s="56"/>
      <c r="FZ17" s="66">
        <v>83.4</v>
      </c>
      <c r="GP17" s="56"/>
      <c r="GV17" s="66">
        <v>83.4</v>
      </c>
      <c r="HL17" s="56"/>
      <c r="HR17" s="66">
        <v>83.4</v>
      </c>
      <c r="IH17" s="56"/>
      <c r="IN17" s="66">
        <v>83.4</v>
      </c>
      <c r="JD17" s="56"/>
      <c r="JJ17" s="66">
        <v>83.4</v>
      </c>
      <c r="JZ17" s="56"/>
      <c r="KF17" s="66">
        <v>83.4</v>
      </c>
      <c r="KV17" s="56"/>
      <c r="LB17" s="66">
        <v>83.4</v>
      </c>
      <c r="LR17" s="56"/>
      <c r="LX17" s="66">
        <v>83.4</v>
      </c>
      <c r="MN17" s="56"/>
      <c r="MT17" s="66">
        <v>83.4</v>
      </c>
    </row>
    <row r="18" spans="1:358" x14ac:dyDescent="0.2">
      <c r="A18" s="56"/>
      <c r="B18" s="116" t="s">
        <v>107</v>
      </c>
      <c r="C18" s="55"/>
      <c r="AL18" s="56"/>
      <c r="AQ18" t="s">
        <v>167</v>
      </c>
      <c r="AR18" s="117">
        <v>85</v>
      </c>
      <c r="BI18" s="56"/>
      <c r="BN18" s="129"/>
      <c r="BO18" s="117">
        <v>45.7</v>
      </c>
      <c r="CF18" s="56"/>
      <c r="CL18" s="117">
        <v>45.7</v>
      </c>
      <c r="DF18" s="56"/>
      <c r="DL18" s="117">
        <v>85</v>
      </c>
      <c r="EB18" s="56"/>
      <c r="EH18" s="117">
        <v>45.7</v>
      </c>
      <c r="EX18" s="56"/>
      <c r="FC18" s="130"/>
      <c r="FD18" s="117">
        <v>45.7</v>
      </c>
      <c r="FT18" s="56"/>
      <c r="FZ18" s="117">
        <v>45.7</v>
      </c>
      <c r="GP18" s="56"/>
      <c r="GV18" s="117">
        <v>45.7</v>
      </c>
      <c r="HL18" s="56"/>
      <c r="HR18" s="117">
        <v>45.7</v>
      </c>
      <c r="IH18" s="56"/>
      <c r="IN18" s="117">
        <v>45.7</v>
      </c>
      <c r="JD18" s="56"/>
      <c r="JJ18" s="117">
        <v>45.7</v>
      </c>
      <c r="JZ18" s="56"/>
      <c r="KF18" s="117">
        <v>45.7</v>
      </c>
      <c r="KV18" s="56"/>
      <c r="LB18" s="117">
        <v>45.7</v>
      </c>
      <c r="LR18" s="56"/>
      <c r="LX18" s="117">
        <v>45.7</v>
      </c>
      <c r="MN18" s="56"/>
      <c r="MT18" s="117">
        <v>45.7</v>
      </c>
    </row>
    <row r="19" spans="1:358" x14ac:dyDescent="0.2">
      <c r="A19" s="56"/>
      <c r="B19" s="74" t="s">
        <v>57</v>
      </c>
      <c r="C19" s="55"/>
      <c r="AL19" s="56"/>
      <c r="AQ19" t="s">
        <v>166</v>
      </c>
      <c r="AR19" s="68">
        <v>45.1</v>
      </c>
      <c r="BI19" s="56"/>
      <c r="BN19" s="130"/>
      <c r="BO19" s="68">
        <v>46.8</v>
      </c>
      <c r="CF19" s="56"/>
      <c r="CL19" s="68">
        <v>46.8</v>
      </c>
      <c r="DF19" s="56"/>
      <c r="DL19" s="68">
        <v>86</v>
      </c>
      <c r="EB19" s="56"/>
      <c r="EG19" s="130"/>
      <c r="EH19" s="68">
        <v>46.8</v>
      </c>
      <c r="EX19" s="56"/>
      <c r="FD19" s="68">
        <v>46.8</v>
      </c>
      <c r="FT19" s="56"/>
      <c r="FY19" s="133"/>
      <c r="FZ19" s="68">
        <v>46.8</v>
      </c>
      <c r="GP19" s="56"/>
      <c r="GV19" s="68">
        <v>46.8</v>
      </c>
      <c r="HL19" s="56"/>
      <c r="HR19" s="68">
        <v>46.8</v>
      </c>
      <c r="IH19" s="56"/>
      <c r="IN19" s="68">
        <v>46.8</v>
      </c>
      <c r="JD19" s="56"/>
      <c r="JJ19" s="68">
        <v>46.8</v>
      </c>
      <c r="JZ19" s="56"/>
      <c r="KF19" s="68">
        <v>46.8</v>
      </c>
      <c r="KV19" s="56"/>
      <c r="LB19" s="68">
        <v>46.8</v>
      </c>
      <c r="LR19" s="56"/>
      <c r="LX19" s="68">
        <v>46.8</v>
      </c>
      <c r="MN19" s="56"/>
      <c r="MT19" s="68">
        <v>46.8</v>
      </c>
    </row>
    <row r="20" spans="1:358" x14ac:dyDescent="0.2">
      <c r="B20" s="82" t="s">
        <v>89</v>
      </c>
      <c r="C20" s="2"/>
      <c r="DG20" s="54"/>
    </row>
    <row r="21" spans="1:358" x14ac:dyDescent="0.2">
      <c r="A21" s="56"/>
      <c r="B21" s="56"/>
      <c r="C21" s="55"/>
    </row>
    <row r="22" spans="1:358" ht="17" x14ac:dyDescent="0.2">
      <c r="A22" s="56"/>
      <c r="B22" s="56"/>
      <c r="C22" s="55"/>
      <c r="S22" s="19"/>
      <c r="T22" s="19"/>
      <c r="U22" s="19"/>
    </row>
    <row r="23" spans="1:358" ht="17" x14ac:dyDescent="0.2">
      <c r="A23" s="56"/>
      <c r="B23" s="56"/>
      <c r="C23" s="55"/>
      <c r="S23" s="19"/>
      <c r="T23" s="19"/>
      <c r="U23" s="19"/>
    </row>
    <row r="24" spans="1:358" ht="17" x14ac:dyDescent="0.2">
      <c r="S24" s="19"/>
      <c r="T24" s="19"/>
      <c r="U24" s="19"/>
    </row>
    <row r="25" spans="1:358" ht="17" x14ac:dyDescent="0.2">
      <c r="S25" s="19"/>
      <c r="T25" s="19"/>
      <c r="U25" s="19"/>
    </row>
    <row r="26" spans="1:358" ht="17" x14ac:dyDescent="0.2">
      <c r="S26" s="19"/>
      <c r="T26" s="19"/>
      <c r="U26" s="19"/>
    </row>
    <row r="27" spans="1:358" ht="17" x14ac:dyDescent="0.2">
      <c r="S27" s="19"/>
      <c r="T27" s="19"/>
      <c r="U27" s="19"/>
    </row>
    <row r="28" spans="1:358" ht="17" x14ac:dyDescent="0.2">
      <c r="S28" s="19"/>
      <c r="T28" s="19"/>
      <c r="U28" s="19"/>
    </row>
    <row r="29" spans="1:358" ht="17" x14ac:dyDescent="0.2">
      <c r="S29" s="19"/>
      <c r="T29" s="19"/>
      <c r="U29" s="19"/>
    </row>
    <row r="30" spans="1:358" ht="17" x14ac:dyDescent="0.2">
      <c r="S30" s="19"/>
      <c r="T30" s="19"/>
      <c r="U30" s="19"/>
    </row>
    <row r="31" spans="1:358" ht="17" x14ac:dyDescent="0.2">
      <c r="S31" s="19"/>
      <c r="T31" s="19"/>
      <c r="U31" s="19"/>
    </row>
    <row r="32" spans="1:358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</sheetData>
  <sheetProtection sheet="1" formatCells="0" formatColumns="0" formatRows="0"/>
  <autoFilter ref="A1:NQ9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9">
      <sortCondition descending="1" ref="F1:F10"/>
    </sortState>
  </autoFilter>
  <mergeCells count="86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LY1:MT1"/>
    <mergeCell ref="CQ1:DL1"/>
    <mergeCell ref="DM1:EH1"/>
    <mergeCell ref="EI1:FD1"/>
    <mergeCell ref="FE1:FZ1"/>
    <mergeCell ref="GA1:GV1"/>
    <mergeCell ref="GW1:HR1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CQ2:CU2"/>
    <mergeCell ref="CV2:CZ2"/>
    <mergeCell ref="DA2:DE2"/>
    <mergeCell ref="DM2:DQ2"/>
    <mergeCell ref="DR2:DV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</mergeCells>
  <phoneticPr fontId="22" type="noConversion"/>
  <conditionalFormatting sqref="V4:AR9">
    <cfRule type="expression" dxfId="109" priority="7" stopIfTrue="1">
      <formula>IF($AK4&lt;&gt;"",1,0)</formula>
    </cfRule>
  </conditionalFormatting>
  <conditionalFormatting sqref="AS4:BO9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9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20:BN1048576 AQ1:AQ1048576 BN1:BN18 CK1:CK1048576 DK1:DK1048576 EG1:EG18 FC1:FC17 FY1:FY18 GU1:GU1048576 HQ1:HQ1048576 IM1:IM1048576 JI1:JI1048576 KE1:KE1048576 LA1:LA1048576 LW1:LW1048576 MS1:MS1048576 EG20:EG1048576 FC19:FC1048576 FY20:FY1048576">
    <cfRule type="cellIs" dxfId="97" priority="38252" operator="between">
      <formula>AR$19</formula>
      <formula>1000</formula>
    </cfRule>
    <cfRule type="cellIs" dxfId="96" priority="38253" operator="between">
      <formula>AR$18</formula>
      <formula>AR$19</formula>
    </cfRule>
  </conditionalFormatting>
  <conditionalFormatting sqref="EG19">
    <cfRule type="cellIs" dxfId="95" priority="3" operator="between">
      <formula>EH$21</formula>
      <formula>1000</formula>
    </cfRule>
    <cfRule type="cellIs" dxfId="94" priority="4" operator="between">
      <formula>EH$20</formula>
      <formula>EH$21</formula>
    </cfRule>
  </conditionalFormatting>
  <conditionalFormatting sqref="FC18">
    <cfRule type="cellIs" dxfId="93" priority="1" operator="between">
      <formula>FD$21</formula>
      <formula>1000</formula>
    </cfRule>
    <cfRule type="cellIs" dxfId="92" priority="2" operator="between">
      <formula>FD$20</formula>
      <formula>FD$21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2114" operator="between">
      <formula>AR$15</formula>
      <formula>1000</formula>
    </cfRule>
    <cfRule type="cellIs" dxfId="90" priority="42115" operator="between">
      <formula>AR$14</formula>
      <formula>AR$15</formula>
    </cfRule>
    <cfRule type="cellIs" dxfId="89" priority="42116" operator="between">
      <formula>AR$13</formula>
      <formula>AR$14</formula>
    </cfRule>
    <cfRule type="cellIs" dxfId="88" priority="42117" operator="between">
      <formula>AR$12</formula>
      <formula>AR$13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2294" operator="between">
      <formula>AR$19</formula>
      <formula>1000</formula>
    </cfRule>
    <cfRule type="cellIs" dxfId="86" priority="42295" operator="between">
      <formula>AR$18</formula>
      <formula>AR$19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2384" operator="between">
      <formula>AR$17</formula>
      <formula>1000</formula>
    </cfRule>
    <cfRule type="cellIs" dxfId="84" priority="42385" operator="between">
      <formula>AR$16</formula>
      <formula>AR$17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2474" operator="between">
      <formula>AR$15</formula>
      <formula>1000</formula>
    </cfRule>
    <cfRule type="cellIs" dxfId="82" priority="42475" operator="between">
      <formula>AR$14</formula>
      <formula>AR$15</formula>
    </cfRule>
    <cfRule type="cellIs" dxfId="81" priority="42476" operator="between">
      <formula>AR$13</formula>
      <formula>AR$14</formula>
    </cfRule>
    <cfRule type="cellIs" dxfId="80" priority="42477" operator="between">
      <formula>AR$12</formula>
      <formula>AR$13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44" t="s">
        <v>106</v>
      </c>
      <c r="G1" s="144" t="s">
        <v>15</v>
      </c>
      <c r="H1" s="136" t="s">
        <v>16</v>
      </c>
      <c r="I1" s="144" t="s">
        <v>177</v>
      </c>
      <c r="J1" s="141" t="s">
        <v>17</v>
      </c>
      <c r="K1" s="141" t="s">
        <v>55</v>
      </c>
      <c r="L1" s="141" t="s">
        <v>20</v>
      </c>
      <c r="M1" s="141" t="s">
        <v>55</v>
      </c>
      <c r="N1" s="140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157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105</v>
      </c>
      <c r="CF1" s="142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41"/>
      <c r="K2" s="141"/>
      <c r="L2" s="141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123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123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123</v>
      </c>
      <c r="CC2" s="9" t="s">
        <v>30</v>
      </c>
      <c r="CD2" s="9" t="s">
        <v>25</v>
      </c>
      <c r="CE2" s="22" t="s">
        <v>31</v>
      </c>
      <c r="CF2" s="22" t="s">
        <v>30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6" t="s">
        <v>48</v>
      </c>
      <c r="CT2" s="146"/>
      <c r="CU2" s="146"/>
      <c r="CV2" s="146"/>
      <c r="CW2" s="58" t="s">
        <v>32</v>
      </c>
      <c r="CX2" s="9" t="s">
        <v>31</v>
      </c>
      <c r="CY2" s="9" t="s">
        <v>123</v>
      </c>
      <c r="CZ2" s="9" t="s">
        <v>30</v>
      </c>
      <c r="DA2" s="9" t="s">
        <v>25</v>
      </c>
      <c r="DB2" s="138" t="s">
        <v>43</v>
      </c>
      <c r="DC2" s="138"/>
      <c r="DD2" s="138"/>
      <c r="DE2" s="138"/>
      <c r="DF2" s="138" t="s">
        <v>46</v>
      </c>
      <c r="DG2" s="138"/>
      <c r="DH2" s="138"/>
      <c r="DI2" s="138"/>
      <c r="DJ2" s="138" t="s">
        <v>47</v>
      </c>
      <c r="DK2" s="138"/>
      <c r="DL2" s="138"/>
      <c r="DM2" s="138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123</v>
      </c>
      <c r="DU2" s="12" t="s">
        <v>30</v>
      </c>
      <c r="DV2" s="12" t="s">
        <v>25</v>
      </c>
      <c r="DW2" s="135" t="s">
        <v>43</v>
      </c>
      <c r="DX2" s="135"/>
      <c r="DY2" s="135"/>
      <c r="DZ2" s="135"/>
      <c r="EA2" s="135" t="s">
        <v>46</v>
      </c>
      <c r="EB2" s="135"/>
      <c r="EC2" s="135"/>
      <c r="ED2" s="135"/>
      <c r="EE2" s="135" t="s">
        <v>47</v>
      </c>
      <c r="EF2" s="135"/>
      <c r="EG2" s="135"/>
      <c r="EH2" s="135"/>
      <c r="EI2" s="146" t="s">
        <v>48</v>
      </c>
      <c r="EJ2" s="146"/>
      <c r="EK2" s="146"/>
      <c r="EL2" s="146"/>
      <c r="EM2" s="58" t="s">
        <v>32</v>
      </c>
      <c r="EN2" s="9" t="s">
        <v>31</v>
      </c>
      <c r="EO2" s="9" t="s">
        <v>123</v>
      </c>
      <c r="EP2" s="9" t="s">
        <v>30</v>
      </c>
      <c r="EQ2" s="9" t="s">
        <v>25</v>
      </c>
      <c r="ER2" s="138" t="s">
        <v>43</v>
      </c>
      <c r="ES2" s="138"/>
      <c r="ET2" s="138"/>
      <c r="EU2" s="138"/>
      <c r="EV2" s="138" t="s">
        <v>46</v>
      </c>
      <c r="EW2" s="138"/>
      <c r="EX2" s="138"/>
      <c r="EY2" s="138"/>
      <c r="EZ2" s="138" t="s">
        <v>47</v>
      </c>
      <c r="FA2" s="138"/>
      <c r="FB2" s="138"/>
      <c r="FC2" s="138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123</v>
      </c>
      <c r="FK2" s="12" t="s">
        <v>30</v>
      </c>
      <c r="FL2" s="12" t="s">
        <v>25</v>
      </c>
      <c r="FM2" s="135" t="s">
        <v>43</v>
      </c>
      <c r="FN2" s="135"/>
      <c r="FO2" s="135"/>
      <c r="FP2" s="135"/>
      <c r="FQ2" s="135" t="s">
        <v>46</v>
      </c>
      <c r="FR2" s="135"/>
      <c r="FS2" s="135"/>
      <c r="FT2" s="135"/>
      <c r="FU2" s="135" t="s">
        <v>47</v>
      </c>
      <c r="FV2" s="135"/>
      <c r="FW2" s="135"/>
      <c r="FX2" s="135"/>
      <c r="FY2" s="146" t="s">
        <v>48</v>
      </c>
      <c r="FZ2" s="146"/>
      <c r="GA2" s="146"/>
      <c r="GB2" s="146"/>
      <c r="GC2" s="21" t="s">
        <v>32</v>
      </c>
      <c r="GD2" s="9" t="s">
        <v>31</v>
      </c>
      <c r="GE2" s="9" t="s">
        <v>123</v>
      </c>
      <c r="GF2" s="9" t="s">
        <v>30</v>
      </c>
      <c r="GG2" s="9" t="s">
        <v>25</v>
      </c>
      <c r="GH2" s="138" t="s">
        <v>43</v>
      </c>
      <c r="GI2" s="138"/>
      <c r="GJ2" s="138"/>
      <c r="GK2" s="138"/>
      <c r="GL2" s="138" t="s">
        <v>46</v>
      </c>
      <c r="GM2" s="138"/>
      <c r="GN2" s="138"/>
      <c r="GO2" s="138"/>
      <c r="GP2" s="138" t="s">
        <v>47</v>
      </c>
      <c r="GQ2" s="138"/>
      <c r="GR2" s="138"/>
      <c r="GS2" s="138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123</v>
      </c>
      <c r="HA2" s="12" t="s">
        <v>30</v>
      </c>
      <c r="HB2" s="12" t="s">
        <v>25</v>
      </c>
      <c r="HC2" s="135" t="s">
        <v>43</v>
      </c>
      <c r="HD2" s="135"/>
      <c r="HE2" s="135"/>
      <c r="HF2" s="135"/>
      <c r="HG2" s="135" t="s">
        <v>46</v>
      </c>
      <c r="HH2" s="135"/>
      <c r="HI2" s="135"/>
      <c r="HJ2" s="135"/>
      <c r="HK2" s="135" t="s">
        <v>47</v>
      </c>
      <c r="HL2" s="135"/>
      <c r="HM2" s="135"/>
      <c r="HN2" s="135"/>
      <c r="HO2" s="146" t="s">
        <v>48</v>
      </c>
      <c r="HP2" s="146"/>
      <c r="HQ2" s="146"/>
      <c r="HR2" s="146"/>
      <c r="HS2" s="21" t="s">
        <v>32</v>
      </c>
      <c r="HT2" s="9" t="s">
        <v>31</v>
      </c>
      <c r="HU2" s="9" t="s">
        <v>123</v>
      </c>
      <c r="HV2" s="9" t="s">
        <v>30</v>
      </c>
      <c r="HW2" s="9" t="s">
        <v>25</v>
      </c>
      <c r="HX2" s="138" t="s">
        <v>43</v>
      </c>
      <c r="HY2" s="138"/>
      <c r="HZ2" s="138"/>
      <c r="IA2" s="138"/>
      <c r="IB2" s="138" t="s">
        <v>46</v>
      </c>
      <c r="IC2" s="138"/>
      <c r="ID2" s="138"/>
      <c r="IE2" s="138"/>
      <c r="IF2" s="138" t="s">
        <v>47</v>
      </c>
      <c r="IG2" s="138"/>
      <c r="IH2" s="138"/>
      <c r="II2" s="138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123</v>
      </c>
      <c r="IQ2" s="12" t="s">
        <v>30</v>
      </c>
      <c r="IR2" s="12" t="s">
        <v>25</v>
      </c>
      <c r="IS2" s="135" t="s">
        <v>43</v>
      </c>
      <c r="IT2" s="135"/>
      <c r="IU2" s="135"/>
      <c r="IV2" s="135"/>
      <c r="IW2" s="135" t="s">
        <v>46</v>
      </c>
      <c r="IX2" s="135"/>
      <c r="IY2" s="135"/>
      <c r="IZ2" s="135"/>
      <c r="JA2" s="135" t="s">
        <v>47</v>
      </c>
      <c r="JB2" s="135"/>
      <c r="JC2" s="135"/>
      <c r="JD2" s="135"/>
      <c r="JE2" s="146" t="s">
        <v>48</v>
      </c>
      <c r="JF2" s="146"/>
      <c r="JG2" s="146"/>
      <c r="JH2" s="146"/>
      <c r="JI2" s="21" t="s">
        <v>32</v>
      </c>
      <c r="JJ2" s="9" t="s">
        <v>31</v>
      </c>
      <c r="JK2" s="9" t="s">
        <v>123</v>
      </c>
      <c r="JL2" s="9" t="s">
        <v>30</v>
      </c>
      <c r="JM2" s="9" t="s">
        <v>25</v>
      </c>
      <c r="JN2" s="138" t="s">
        <v>43</v>
      </c>
      <c r="JO2" s="138"/>
      <c r="JP2" s="138"/>
      <c r="JQ2" s="138"/>
      <c r="JR2" s="138" t="s">
        <v>46</v>
      </c>
      <c r="JS2" s="138"/>
      <c r="JT2" s="138"/>
      <c r="JU2" s="138"/>
      <c r="JV2" s="138" t="s">
        <v>47</v>
      </c>
      <c r="JW2" s="138"/>
      <c r="JX2" s="138"/>
      <c r="JY2" s="138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123</v>
      </c>
      <c r="KG2" s="12" t="s">
        <v>30</v>
      </c>
      <c r="KH2" s="12" t="s">
        <v>25</v>
      </c>
      <c r="KI2" s="135" t="s">
        <v>43</v>
      </c>
      <c r="KJ2" s="135"/>
      <c r="KK2" s="135"/>
      <c r="KL2" s="135"/>
      <c r="KM2" s="135" t="s">
        <v>46</v>
      </c>
      <c r="KN2" s="135"/>
      <c r="KO2" s="135"/>
      <c r="KP2" s="135"/>
      <c r="KQ2" s="135" t="s">
        <v>47</v>
      </c>
      <c r="KR2" s="135"/>
      <c r="KS2" s="135"/>
      <c r="KT2" s="135"/>
      <c r="KU2" s="146" t="s">
        <v>48</v>
      </c>
      <c r="KV2" s="146"/>
      <c r="KW2" s="146"/>
      <c r="KX2" s="146"/>
      <c r="KY2" s="21" t="s">
        <v>32</v>
      </c>
      <c r="KZ2" s="9" t="s">
        <v>31</v>
      </c>
      <c r="LA2" s="9" t="s">
        <v>123</v>
      </c>
      <c r="LB2" s="9" t="s">
        <v>30</v>
      </c>
      <c r="LC2" s="9" t="s">
        <v>25</v>
      </c>
      <c r="LD2" s="138" t="s">
        <v>43</v>
      </c>
      <c r="LE2" s="138"/>
      <c r="LF2" s="138"/>
      <c r="LG2" s="138"/>
      <c r="LH2" s="138" t="s">
        <v>46</v>
      </c>
      <c r="LI2" s="138"/>
      <c r="LJ2" s="138"/>
      <c r="LK2" s="138"/>
      <c r="LL2" s="138" t="s">
        <v>47</v>
      </c>
      <c r="LM2" s="138"/>
      <c r="LN2" s="138"/>
      <c r="LO2" s="138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123</v>
      </c>
      <c r="LW2" s="12" t="s">
        <v>30</v>
      </c>
      <c r="LX2" s="12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123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41"/>
      <c r="K3" s="141"/>
      <c r="L3" s="141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139</v>
      </c>
      <c r="C4" s="7" t="s">
        <v>5</v>
      </c>
      <c r="D4" s="27">
        <v>2001</v>
      </c>
      <c r="E4" s="15">
        <f>SUM(J4:N4)</f>
        <v>133.80000000000001</v>
      </c>
      <c r="F4" s="3" t="str">
        <f>IF(OR(AND(AH4&gt;=AL$11,AI4&gt;=AL$15,AI4&lt;&gt;"",AG4=""),AND(BD4&gt;=BH$11,BE4&gt;=BH$15,BE4&lt;&gt;"",BC4=""),AND(BZ4&gt;=CD$11,CA4&gt;=CD$15,CA4&lt;&gt;"",BY4=""),AND(CW4&gt;=DA$11,CX4&gt;=DA$15,CX4&lt;&gt;""),AND(DR4&gt;=DV$11,DS4&gt;=DV$15,DS4&lt;&gt;""),AND(EM4&gt;=EQ$11,EN4&gt;=EQ$15,EN4&lt;&gt;""),AND(FH4&gt;=FL$11,FI4&gt;=FL$15,FI4&lt;&gt;""),AND(GC4&gt;=GG$11,GD4&gt;=GG$15,GD4&lt;&gt;""),AND(GX4&gt;=HB$11,GY4&gt;=HB$15,GY4&lt;&gt;""),AND(HS4&gt;=HW$11,HT4&gt;=HW$15,HT4&lt;&gt;""),AND(IN4&gt;=IR$11,IO4&gt;=IR$15,IO4&lt;&gt;""),AND(JI4&gt;=JM$11,JJ4&gt;=JM$15,JJ4&lt;&gt;""),AND(KD4&gt;=KH$11,KE4&gt;=KH$15,KE4&lt;&gt;""),AND(KY4&gt;=LC$11,KZ4&gt;=LC$15,KZ4&lt;&gt;""),AND(LT4&gt;=LX$11,LU4&gt;=LX$15,LU4&lt;&gt;"")),"P","")</f>
        <v>P</v>
      </c>
      <c r="G4" s="3" t="str">
        <f>IF(OR(AND(AI4&gt;=AL$15,AI4&lt;&gt;"",AG4=""),AND(BE4&gt;=BH$15,BE4&lt;&gt;"",BC4=""),AND(CA4&gt;=CD$15,CA4&lt;&gt;"",BY4=""),AND(CX4&gt;=DA$15,CX4&lt;&gt;""),AND(DS4&gt;=DV$15,DS4&lt;&gt;""),AND(EN4&gt;=EQ$15,EN4&lt;&gt;""),AND(FI4&gt;=FL$15,FI4&lt;&gt;""),AND(GD4&gt;=GG$15,GD4&lt;&gt;""),AND(GY4&gt;=HB$15,GY4&lt;&gt;""),AND(HT4&gt;=HW$15,HT4&lt;&gt;""),AND(IO4&gt;=IR$15,IO4&lt;&gt;""),AND(JJ4&gt;=JM$15,JJ4&lt;&gt;""),AND(KE4&gt;=KH$15,KE4&lt;&gt;""),AND(KZ4&gt;=LC$15,KZ4&lt;&gt;""),AND(LU4&gt;=LX$15,LU4&lt;&gt;"")),"P","")</f>
        <v>P</v>
      </c>
      <c r="H4" s="126" t="str">
        <f>IF(AND(G4="P",F4=""),"No DD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Merit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Excellence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Worlds Team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66.3</v>
      </c>
      <c r="K4" s="14" t="str">
        <f>IF(J4=0,"",IF(J4=CA4,$BI$1,IF(J4=BE4,$AM$1,IF(J4=AI4,$Q$1,""))))</f>
        <v>2019 Nationals</v>
      </c>
      <c r="L4" s="14">
        <f>MAX(AK4,BG4,CC4)</f>
        <v>67.5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25.9</v>
      </c>
      <c r="R4" s="45">
        <v>5.7</v>
      </c>
      <c r="S4" s="45">
        <v>0.3</v>
      </c>
      <c r="T4" s="45">
        <v>1</v>
      </c>
      <c r="U4" s="45">
        <v>27.9</v>
      </c>
      <c r="V4" s="45">
        <v>6.1</v>
      </c>
      <c r="W4" s="45">
        <v>0</v>
      </c>
      <c r="X4" s="45">
        <v>0</v>
      </c>
      <c r="Y4" s="45">
        <v>26.1</v>
      </c>
      <c r="Z4" s="45">
        <v>7.3</v>
      </c>
      <c r="AA4" s="45">
        <v>0</v>
      </c>
      <c r="AB4" s="45">
        <v>1</v>
      </c>
      <c r="AC4" s="45">
        <v>27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</v>
      </c>
      <c r="AI4" s="11">
        <f>IF(SUM(Q4:R4,T4:V4,X4)-S4-W4&gt;0,SUM(Q4:R4,T4:V4,X4)-S4-W4,"")</f>
        <v>66.3</v>
      </c>
      <c r="AJ4" s="11">
        <f>IF(SUM(Z4,AD4)&gt;0,SUM(R4,V4),"")</f>
        <v>11.8</v>
      </c>
      <c r="AK4" s="11">
        <f>IF(SUM(Y4:Z4,AB4:AD4,AF4)-SUM(AA4,AE4)&gt;0,SUM(Y4:Z4,AB4:AD4,AF4)-SUM(AA4,AE4),"")</f>
        <v>67.5</v>
      </c>
      <c r="AL4" s="11">
        <f>IF(SUM(AI4,AK4)&gt;0,SUM(AI4,AK4),"")</f>
        <v>133.80000000000001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88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172</v>
      </c>
      <c r="C5" s="7" t="s">
        <v>5</v>
      </c>
      <c r="D5" s="27">
        <v>2002</v>
      </c>
      <c r="E5" s="15">
        <f>SUM(J5:N5)</f>
        <v>127.10000000000001</v>
      </c>
      <c r="F5" s="3" t="str">
        <f>IF(OR(AND(AH5&gt;=AL$11,AI5&gt;=AL$15,AI5&lt;&gt;"",AG5=""),AND(BD5&gt;=BH$11,BE5&gt;=BH$15,BE5&lt;&gt;"",BC5=""),AND(BZ5&gt;=CD$11,CA5&gt;=CD$15,CA5&lt;&gt;"",BY5=""),AND(CW5&gt;=DA$11,CX5&gt;=DA$15,CX5&lt;&gt;""),AND(DR5&gt;=DV$11,DS5&gt;=DV$15,DS5&lt;&gt;""),AND(EM5&gt;=EQ$11,EN5&gt;=EQ$15,EN5&lt;&gt;""),AND(FH5&gt;=FL$11,FI5&gt;=FL$15,FI5&lt;&gt;""),AND(GC5&gt;=GG$11,GD5&gt;=GG$15,GD5&lt;&gt;""),AND(GX5&gt;=HB$11,GY5&gt;=HB$15,GY5&lt;&gt;""),AND(HS5&gt;=HW$11,HT5&gt;=HW$15,HT5&lt;&gt;""),AND(IN5&gt;=IR$11,IO5&gt;=IR$15,IO5&lt;&gt;""),AND(JI5&gt;=JM$11,JJ5&gt;=JM$15,JJ5&lt;&gt;""),AND(KD5&gt;=KH$11,KE5&gt;=KH$15,KE5&lt;&gt;""),AND(KY5&gt;=LC$11,KZ5&gt;=LC$15,KZ5&lt;&gt;""),AND(LT5&gt;=LX$11,LU5&gt;=LX$15,LU5&lt;&gt;"")),"P","")</f>
        <v>P</v>
      </c>
      <c r="G5" s="3" t="str">
        <f>IF(OR(AND(AI5&gt;=AL$15,AI5&lt;&gt;"",AG5=""),AND(BE5&gt;=BH$15,BE5&lt;&gt;"",BC5=""),AND(CA5&gt;=CD$15,CA5&lt;&gt;"",BY5=""),AND(CX5&gt;=DA$15,CX5&lt;&gt;""),AND(DS5&gt;=DV$15,DS5&lt;&gt;""),AND(EN5&gt;=EQ$15,EN5&lt;&gt;""),AND(FI5&gt;=FL$15,FI5&lt;&gt;""),AND(GD5&gt;=GG$15,GD5&lt;&gt;""),AND(GY5&gt;=HB$15,GY5&lt;&gt;""),AND(HT5&gt;=HW$15,HT5&lt;&gt;""),AND(IO5&gt;=IR$15,IO5&lt;&gt;""),AND(JJ5&gt;=JM$15,JJ5&lt;&gt;""),AND(KE5&gt;=KH$15,KE5&lt;&gt;""),AND(KZ5&gt;=LC$15,KZ5&lt;&gt;""),AND(LU5&gt;=LX$15,LU5&lt;&gt;"")),"P","")</f>
        <v>P</v>
      </c>
      <c r="H5" s="126" t="str">
        <f>IF(AND(G5="P",F5=""),"No DD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Merit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Excellence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Worlds Team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63.500000000000007</v>
      </c>
      <c r="K5" s="14" t="str">
        <f>IF(J5=0,"",IF(J5=CA5,$BI$1,IF(J5=BE5,$AM$1,IF(J5=AI5,$Q$1,""))))</f>
        <v>2021 2nd Virtual Technical Trial</v>
      </c>
      <c r="L5" s="14">
        <f>MAX(AK5,BG5,CC5)</f>
        <v>63.6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25.8</v>
      </c>
      <c r="R5" s="45">
        <v>5.5</v>
      </c>
      <c r="S5" s="45">
        <v>0</v>
      </c>
      <c r="T5" s="45">
        <v>0</v>
      </c>
      <c r="U5" s="45">
        <v>25.5</v>
      </c>
      <c r="V5" s="45">
        <v>5.4</v>
      </c>
      <c r="W5" s="45">
        <v>0</v>
      </c>
      <c r="X5" s="45">
        <v>1</v>
      </c>
      <c r="Y5" s="45">
        <v>25.7</v>
      </c>
      <c r="Z5" s="45">
        <v>5.3</v>
      </c>
      <c r="AA5" s="45">
        <v>0.3</v>
      </c>
      <c r="AB5" s="45">
        <v>0</v>
      </c>
      <c r="AC5" s="45">
        <v>25.5</v>
      </c>
      <c r="AD5" s="45">
        <v>6.1</v>
      </c>
      <c r="AE5" s="45">
        <v>0</v>
      </c>
      <c r="AF5" s="45">
        <v>1</v>
      </c>
      <c r="AG5" s="80"/>
      <c r="AH5" s="11">
        <f>IF(SUM(R5,V5)&gt;0,SUM(R5,V5),"")</f>
        <v>10.9</v>
      </c>
      <c r="AI5" s="11">
        <f>IF(SUM(Q5:R5,T5:V5,X5)-S5-W5&gt;0,SUM(Q5:R5,T5:V5,X5)-S5-W5,"")</f>
        <v>63.199999999999996</v>
      </c>
      <c r="AJ5" s="11">
        <f>IF(SUM(Z5,AD5)&gt;0,SUM(R5,V5),"")</f>
        <v>10.9</v>
      </c>
      <c r="AK5" s="11">
        <f>IF(SUM(Y5:Z5,AB5:AD5,AF5)-SUM(AA5,AE5)&gt;0,SUM(Y5:Z5,AB5:AD5,AF5)-SUM(AA5,AE5),"")</f>
        <v>63.300000000000004</v>
      </c>
      <c r="AL5" s="11">
        <f>IF(SUM(AI5,AK5)&gt;0,SUM(AI5,AK5),"")</f>
        <v>126.5</v>
      </c>
      <c r="AM5" s="38">
        <v>23.1</v>
      </c>
      <c r="AN5" s="38">
        <v>4.4000000000000004</v>
      </c>
      <c r="AO5" s="38">
        <v>0.6</v>
      </c>
      <c r="AP5" s="38">
        <v>0</v>
      </c>
      <c r="AQ5" s="38">
        <v>26.2</v>
      </c>
      <c r="AR5" s="38">
        <v>6.1</v>
      </c>
      <c r="AS5" s="38">
        <v>0</v>
      </c>
      <c r="AT5" s="38">
        <v>0</v>
      </c>
      <c r="AU5" s="38">
        <v>22.6</v>
      </c>
      <c r="AV5" s="38">
        <v>5.6</v>
      </c>
      <c r="AW5" s="38">
        <v>0.3</v>
      </c>
      <c r="AX5" s="38">
        <v>0</v>
      </c>
      <c r="AY5" s="38">
        <v>24.8</v>
      </c>
      <c r="AZ5" s="38">
        <v>5.9</v>
      </c>
      <c r="BA5" s="38">
        <v>0</v>
      </c>
      <c r="BB5" s="38">
        <v>0</v>
      </c>
      <c r="BC5" s="81"/>
      <c r="BD5" s="14">
        <f>IF(SUM(AN5,AR5)&gt;0,SUM(AN5,AR5),"")</f>
        <v>10.5</v>
      </c>
      <c r="BE5" s="14">
        <f>IF(SUM(AM5:AN5,AP5:AR5,AT5)-AO5-AS5&gt;0,SUM(AM5:AN5,AP5:AR5,AT5)-AO5-AS5,"")</f>
        <v>59.2</v>
      </c>
      <c r="BF5" s="14">
        <f>IF(SUM(AV5,AZ5)&gt;0,SUM(AV5,AZ5),"")</f>
        <v>11.5</v>
      </c>
      <c r="BG5" s="14">
        <f>IF(SUM(AU5:AV5,AX5:AZ5,BB5)-SUM(AW5,BA5)&gt;0,SUM(AU5:AV5,AX5:AZ5,BB5)-SUM(AW5,BA5),"")</f>
        <v>58.6</v>
      </c>
      <c r="BH5" s="14">
        <f>IF(SUM(BE5,BG5)&gt;0,SUM(BE5,BG5),"")</f>
        <v>117.80000000000001</v>
      </c>
      <c r="BI5" s="45">
        <v>27.2</v>
      </c>
      <c r="BJ5" s="45">
        <v>5.8</v>
      </c>
      <c r="BK5" s="45">
        <v>0</v>
      </c>
      <c r="BL5" s="45">
        <v>0</v>
      </c>
      <c r="BM5" s="45">
        <v>24.7</v>
      </c>
      <c r="BN5" s="45">
        <v>6.1</v>
      </c>
      <c r="BO5" s="45">
        <v>0.3</v>
      </c>
      <c r="BP5" s="45">
        <v>0</v>
      </c>
      <c r="BQ5" s="45">
        <v>25.8</v>
      </c>
      <c r="BR5" s="45">
        <v>5.4</v>
      </c>
      <c r="BS5" s="45">
        <v>0.1</v>
      </c>
      <c r="BT5" s="45">
        <v>0</v>
      </c>
      <c r="BU5" s="45">
        <v>26.4</v>
      </c>
      <c r="BV5" s="45">
        <v>6.1</v>
      </c>
      <c r="BW5" s="45">
        <v>0</v>
      </c>
      <c r="BX5" s="45">
        <v>0</v>
      </c>
      <c r="BY5" s="80"/>
      <c r="BZ5" s="11">
        <f>IF(SUM(BJ5,BN5)&gt;0,SUM(BJ5,BN5),"")</f>
        <v>11.899999999999999</v>
      </c>
      <c r="CA5" s="11">
        <f>IF(SUM(BI5:BJ5,BL5:BN5,BP5)-BK5-BO5&gt;0,SUM(BI5:BJ5,BL5:BN5,BP5)-BK5-BO5,"")</f>
        <v>63.500000000000007</v>
      </c>
      <c r="CB5" s="11">
        <f>IF(SUM(BR5,BV5)&gt;0,SUM(BR5,BV5),"")</f>
        <v>11.5</v>
      </c>
      <c r="CC5" s="11">
        <f>IF(SUM(BQ5:BR5,BT5:BV5,BX5)-SUM(BS5,BW5)&gt;0,SUM(BQ5:BR5,BT5:BV5,BX5)-SUM(BS5,BW5),"")</f>
        <v>63.6</v>
      </c>
      <c r="CD5" s="11">
        <f>IF(SUM(CA5,CC5)&gt;0,SUM(CA5,CC5),"")</f>
        <v>127.10000000000001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25.15</v>
      </c>
      <c r="LZ5" s="69">
        <f>IF($BY5="P",BJ5,(BJ5+AN5)/2)</f>
        <v>5.0999999999999996</v>
      </c>
      <c r="MA5" s="69">
        <f>IF($BY5="P",BK5,(BK5+AO5)/2)</f>
        <v>0.3</v>
      </c>
      <c r="MB5" s="69">
        <f>IF($BY5="P",BL5,(BL5+AP5)/2)</f>
        <v>0</v>
      </c>
      <c r="MC5" s="69">
        <f>IF($BY5="P",BM5,(BM5+AQ5)/2)</f>
        <v>25.45</v>
      </c>
      <c r="MD5" s="69">
        <f>IF($BY5="P",BN5,(BN5+AR5)/2)</f>
        <v>6.1</v>
      </c>
      <c r="ME5" s="69">
        <f>IF($BY5="P",BO5,(BO5+AS5)/2)</f>
        <v>0.15</v>
      </c>
      <c r="MF5" s="69">
        <f>IF($BY5="P",BP5,(BP5+AT5)/2)</f>
        <v>0</v>
      </c>
      <c r="MG5" s="69">
        <f>IF($BY5="P",BQ5,(BQ5+AU5)/2)</f>
        <v>24.200000000000003</v>
      </c>
      <c r="MH5" s="69">
        <f>IF($BY5="P",BR5,(BR5+AV5)/2)</f>
        <v>5.5</v>
      </c>
      <c r="MI5" s="69">
        <f>IF($BY5="P",BS5,(BS5+AW5)/2)</f>
        <v>0.2</v>
      </c>
      <c r="MJ5" s="69">
        <f>IF($BY5="P",BT5,(BT5+AX5)/2)</f>
        <v>0</v>
      </c>
      <c r="MK5" s="69">
        <f>IF($BY5="P",BU5,(BU5+AY5)/2)</f>
        <v>25.6</v>
      </c>
      <c r="ML5" s="69">
        <f>IF($BY5="P",BV5,(BV5+AZ5)/2)</f>
        <v>6</v>
      </c>
      <c r="MM5" s="69">
        <f>IF($BY5="P",BW5,(BW5+BA5)/2)</f>
        <v>0</v>
      </c>
      <c r="MN5" s="69">
        <f>IF($BY5="P",BX5,(BX5+BB5)/2)</f>
        <v>0</v>
      </c>
      <c r="MO5" s="80" t="s">
        <v>88</v>
      </c>
      <c r="MP5" s="11">
        <f>IF(SUM(LZ5,MD5)&gt;0,SUM(LZ5,MD5),"")</f>
        <v>11.2</v>
      </c>
      <c r="MQ5" s="11">
        <f>IF(SUM(LY5:LZ5,MB5:MD5,MF5)-MA5-ME5&gt;0,SUM(LY5:LZ5,MB5:MD5,MF5)-MA5-ME5,"")</f>
        <v>61.350000000000009</v>
      </c>
      <c r="MR5" s="11">
        <f>IF(SUM(MH5,ML5)&gt;0,SUM(MH5,ML5),"")</f>
        <v>11.5</v>
      </c>
      <c r="MS5" s="11">
        <f>IF(SUM(MG5:MH5,MJ5:ML5,MN5)-SUM(MI5,MM5)&gt;0,SUM(MG5:MH5,MJ5:ML5,MN5)-SUM(MI5,MM5),"")</f>
        <v>61.1</v>
      </c>
      <c r="MT5" s="11">
        <f>IF(SUM(MQ5,MS5)&gt;0,SUM(MQ5,MS5),"")</f>
        <v>122.45000000000002</v>
      </c>
    </row>
    <row r="6" spans="1:358" x14ac:dyDescent="0.2">
      <c r="A6" s="5" t="str">
        <f>IF(AND(F6="P",G6="P"),SUMPRODUCT((F$4:F$9="P")*(G$4:G$9="P")*(E$4:E$9&gt;E6))+1,IF(G6="P",SUMPRODUCT((F$4:F$9="")*(G$4:G$9="P")*(E$4:E$9&gt;E6))+1+SUMPRODUCT((F$4:F$9="P")*(G$4:G$9="P")),""))</f>
        <v/>
      </c>
      <c r="B6" s="8" t="s">
        <v>86</v>
      </c>
      <c r="C6" s="4" t="s">
        <v>3</v>
      </c>
      <c r="D6" s="27">
        <v>1996</v>
      </c>
      <c r="E6" s="15">
        <f>SUM(J6:N6)</f>
        <v>123.79999999999998</v>
      </c>
      <c r="F6" s="3" t="str">
        <f>IF(OR(AND(AH6&gt;=AL$11,AI6&gt;=AL$15,AI6&lt;&gt;"",AG6=""),AND(BD6&gt;=BH$11,BE6&gt;=BH$15,BE6&lt;&gt;"",BC6=""),AND(BZ6&gt;=CD$11,CA6&gt;=CD$15,CA6&lt;&gt;"",BY6=""),AND(CW6&gt;=DA$11,CX6&gt;=DA$15,CX6&lt;&gt;""),AND(DR6&gt;=DV$11,DS6&gt;=DV$15,DS6&lt;&gt;""),AND(EM6&gt;=EQ$11,EN6&gt;=EQ$15,EN6&lt;&gt;""),AND(FH6&gt;=FL$11,FI6&gt;=FL$15,FI6&lt;&gt;""),AND(GC6&gt;=GG$11,GD6&gt;=GG$15,GD6&lt;&gt;""),AND(GX6&gt;=HB$11,GY6&gt;=HB$15,GY6&lt;&gt;""),AND(HS6&gt;=HW$11,HT6&gt;=HW$15,HT6&lt;&gt;""),AND(IN6&gt;=IR$11,IO6&gt;=IR$15,IO6&lt;&gt;""),AND(JI6&gt;=JM$11,JJ6&gt;=JM$15,JJ6&lt;&gt;""),AND(KD6&gt;=KH$11,KE6&gt;=KH$15,KE6&lt;&gt;""),AND(KY6&gt;=LC$11,KZ6&gt;=LC$15,KZ6&lt;&gt;""),AND(LT6&gt;=LX$11,LU6&gt;=LX$15,LU6&lt;&gt;"")),"P","")</f>
        <v/>
      </c>
      <c r="G6" s="3" t="str">
        <f>IF(OR(AND(AI6&gt;=AL$15,AI6&lt;&gt;"",AG6=""),AND(BE6&gt;=BH$15,BE6&lt;&gt;"",BC6=""),AND(CA6&gt;=CD$15,CA6&lt;&gt;"",BY6=""),AND(CX6&gt;=DA$15,CX6&lt;&gt;""),AND(DS6&gt;=DV$15,DS6&lt;&gt;""),AND(EN6&gt;=EQ$15,EN6&lt;&gt;""),AND(FI6&gt;=FL$15,FI6&lt;&gt;""),AND(GD6&gt;=GG$15,GD6&lt;&gt;""),AND(GY6&gt;=HB$15,GY6&lt;&gt;""),AND(HT6&gt;=HW$15,HT6&lt;&gt;""),AND(IO6&gt;=IR$15,IO6&lt;&gt;""),AND(JJ6&gt;=JM$15,JJ6&lt;&gt;""),AND(KE6&gt;=KH$15,KE6&lt;&gt;""),AND(KZ6&gt;=LC$15,KZ6&lt;&gt;""),AND(LU6&gt;=LX$15,LU6&lt;&gt;"")),"P","")</f>
        <v/>
      </c>
      <c r="H6" s="126" t="str">
        <f>IF(AND(G6="P",F6=""),"No DD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Merit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Excellence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Worlds Team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National Team","")))))</f>
        <v/>
      </c>
      <c r="I6" s="3" t="str">
        <f>IF(OR(H6="Worlds Team",H6="Excellence",H6="Merit"),"P","")</f>
        <v/>
      </c>
      <c r="J6" s="14">
        <f>MAX(AI6,BE6,CA6)</f>
        <v>61.899999999999991</v>
      </c>
      <c r="K6" s="14" t="str">
        <f>IF(J6=0,"",IF(J6=CA6,$BI$1,IF(J6=BE6,$AM$1,IF(J6=AI6,$Q$1,""))))</f>
        <v>2019 Nationals</v>
      </c>
      <c r="L6" s="14">
        <f>MAX(AK6,BG6,CC6)</f>
        <v>61.9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9">
        <v>25.9</v>
      </c>
      <c r="R6" s="69">
        <v>5.4</v>
      </c>
      <c r="S6" s="69">
        <v>0.1</v>
      </c>
      <c r="T6" s="69">
        <v>0</v>
      </c>
      <c r="U6" s="69">
        <v>24.8</v>
      </c>
      <c r="V6" s="69">
        <v>5.9</v>
      </c>
      <c r="W6" s="69">
        <v>0</v>
      </c>
      <c r="X6" s="69">
        <v>0</v>
      </c>
      <c r="Y6" s="69">
        <v>25.3</v>
      </c>
      <c r="Z6" s="69">
        <v>6.2</v>
      </c>
      <c r="AA6" s="69">
        <v>0</v>
      </c>
      <c r="AB6" s="69">
        <v>0</v>
      </c>
      <c r="AC6" s="69">
        <v>24.5</v>
      </c>
      <c r="AD6" s="69">
        <v>5.9</v>
      </c>
      <c r="AE6" s="69">
        <v>0</v>
      </c>
      <c r="AF6" s="69">
        <v>0</v>
      </c>
      <c r="AG6" s="80"/>
      <c r="AH6" s="11">
        <f>IF(SUM(R6,V6)&gt;0,SUM(R6,V6),"")</f>
        <v>11.3</v>
      </c>
      <c r="AI6" s="11">
        <f>IF(SUM(Q6:R6,T6:V6,X6)-S6-W6&gt;0,SUM(Q6:R6,T6:V6,X6)-S6-W6,"")</f>
        <v>61.899999999999991</v>
      </c>
      <c r="AJ6" s="11">
        <f>IF(SUM(Z6,AD6)&gt;0,SUM(R6,V6),"")</f>
        <v>11.3</v>
      </c>
      <c r="AK6" s="11">
        <f>IF(SUM(Y6:Z6,AB6:AD6,AF6)-SUM(AA6,AE6)&gt;0,SUM(Y6:Z6,AB6:AD6,AF6)-SUM(AA6,AE6),"")</f>
        <v>61.9</v>
      </c>
      <c r="AL6" s="11">
        <f>IF(SUM(AI6,AK6)&gt;0,SUM(AI6,AK6),"")</f>
        <v>123.79999999999998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/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0</v>
      </c>
      <c r="LZ6" s="69">
        <f>IF($BY6="P",BJ6,(BJ6+AN6)/2)</f>
        <v>0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0</v>
      </c>
      <c r="MD6" s="69">
        <f>IF($BY6="P",BN6,(BN6+AR6)/2)</f>
        <v>0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0</v>
      </c>
      <c r="MH6" s="69">
        <f>IF($BY6="P",BR6,(BR6+AV6)/2)</f>
        <v>0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53</v>
      </c>
      <c r="C7" s="7" t="s">
        <v>5</v>
      </c>
      <c r="D7" s="27">
        <v>1997</v>
      </c>
      <c r="E7" s="15">
        <f>SUM(J7:N7)</f>
        <v>123.4</v>
      </c>
      <c r="F7" s="3" t="str">
        <f>IF(OR(AND(AH7&gt;=AL$11,AI7&gt;=AL$15,AI7&lt;&gt;"",AG7=""),AND(BD7&gt;=BH$11,BE7&gt;=BH$15,BE7&lt;&gt;"",BC7=""),AND(BZ7&gt;=CD$11,CA7&gt;=CD$15,CA7&lt;&gt;"",BY7=""),AND(CW7&gt;=DA$11,CX7&gt;=DA$15,CX7&lt;&gt;""),AND(DR7&gt;=DV$11,DS7&gt;=DV$15,DS7&lt;&gt;""),AND(EM7&gt;=EQ$11,EN7&gt;=EQ$15,EN7&lt;&gt;""),AND(FH7&gt;=FL$11,FI7&gt;=FL$15,FI7&lt;&gt;""),AND(GC7&gt;=GG$11,GD7&gt;=GG$15,GD7&lt;&gt;""),AND(GX7&gt;=HB$11,GY7&gt;=HB$15,GY7&lt;&gt;""),AND(HS7&gt;=HW$11,HT7&gt;=HW$15,HT7&lt;&gt;""),AND(IN7&gt;=IR$11,IO7&gt;=IR$15,IO7&lt;&gt;""),AND(JI7&gt;=JM$11,JJ7&gt;=JM$15,JJ7&lt;&gt;""),AND(KD7&gt;=KH$11,KE7&gt;=KH$15,KE7&lt;&gt;""),AND(KY7&gt;=LC$11,KZ7&gt;=LC$15,KZ7&lt;&gt;""),AND(LT7&gt;=LX$11,LU7&gt;=LX$15,LU7&lt;&gt;"")),"P","")</f>
        <v/>
      </c>
      <c r="G7" s="3" t="str">
        <f>IF(OR(AND(AI7&gt;=AL$15,AI7&lt;&gt;"",AG7=""),AND(BE7&gt;=BH$15,BE7&lt;&gt;"",BC7=""),AND(CA7&gt;=CD$15,CA7&lt;&gt;"",BY7=""),AND(CX7&gt;=DA$15,CX7&lt;&gt;""),AND(DS7&gt;=DV$15,DS7&lt;&gt;""),AND(EN7&gt;=EQ$15,EN7&lt;&gt;""),AND(FI7&gt;=FL$15,FI7&lt;&gt;""),AND(GD7&gt;=GG$15,GD7&lt;&gt;""),AND(GY7&gt;=HB$15,GY7&lt;&gt;""),AND(HT7&gt;=HW$15,HT7&lt;&gt;""),AND(IO7&gt;=IR$15,IO7&lt;&gt;""),AND(JJ7&gt;=JM$15,JJ7&lt;&gt;""),AND(KE7&gt;=KH$15,KE7&lt;&gt;""),AND(KZ7&gt;=LC$15,KZ7&lt;&gt;""),AND(LU7&gt;=LX$15,LU7&lt;&gt;"")),"P","")</f>
        <v/>
      </c>
      <c r="H7" s="126" t="str">
        <f>IF(AND(G7="P",F7=""),"No DD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Merit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Excellence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Worlds Team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National Team","")))))</f>
        <v/>
      </c>
      <c r="I7" s="3" t="str">
        <f>IF(OR(H7="Worlds Team",H7="Excellence",H7="Merit"),"P","")</f>
        <v/>
      </c>
      <c r="J7" s="14">
        <f>MAX(AI7,BE7,CA7)</f>
        <v>61.5</v>
      </c>
      <c r="K7" s="14" t="str">
        <f>IF(J7=0,"",IF(J7=CA7,$BI$1,IF(J7=BE7,$AM$1,IF(J7=AI7,$Q$1,""))))</f>
        <v>2021 2nd Virtual Technical Trial</v>
      </c>
      <c r="L7" s="14">
        <f>MAX(AK7,BG7,CC7)</f>
        <v>61.900000000000006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5">
        <v>22.6</v>
      </c>
      <c r="R7" s="45">
        <v>5.4</v>
      </c>
      <c r="S7" s="45">
        <v>0.1</v>
      </c>
      <c r="T7" s="45">
        <v>0</v>
      </c>
      <c r="U7" s="45">
        <v>23.7</v>
      </c>
      <c r="V7" s="45">
        <v>3.7</v>
      </c>
      <c r="W7" s="45">
        <v>0</v>
      </c>
      <c r="X7" s="45">
        <v>0</v>
      </c>
      <c r="Y7" s="45">
        <v>26.2</v>
      </c>
      <c r="Z7" s="45">
        <v>5.5</v>
      </c>
      <c r="AA7" s="45">
        <v>0</v>
      </c>
      <c r="AB7" s="45">
        <v>0</v>
      </c>
      <c r="AC7" s="45">
        <v>24.5</v>
      </c>
      <c r="AD7" s="45">
        <v>5.7</v>
      </c>
      <c r="AE7" s="45">
        <v>0</v>
      </c>
      <c r="AF7" s="45">
        <v>0</v>
      </c>
      <c r="AG7" s="80"/>
      <c r="AH7" s="11">
        <f>IF(SUM(R7,V7)&gt;0,SUM(R7,V7),"")</f>
        <v>9.1000000000000014</v>
      </c>
      <c r="AI7" s="11">
        <f>IF(SUM(Q7:R7,T7:V7,X7)-S7-W7&gt;0,SUM(Q7:R7,T7:V7,X7)-S7-W7,"")</f>
        <v>55.300000000000004</v>
      </c>
      <c r="AJ7" s="11">
        <f>IF(SUM(Z7,AD7)&gt;0,SUM(R7,V7),"")</f>
        <v>9.1000000000000014</v>
      </c>
      <c r="AK7" s="11">
        <f>IF(SUM(Y7:Z7,AB7:AD7,AF7)-SUM(AA7,AE7)&gt;0,SUM(Y7:Z7,AB7:AD7,AF7)-SUM(AA7,AE7),"")</f>
        <v>61.900000000000006</v>
      </c>
      <c r="AL7" s="11">
        <f>IF(SUM(AI7,AK7)&gt;0,SUM(AI7,AK7),"")</f>
        <v>117.20000000000002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5">
        <v>25.3</v>
      </c>
      <c r="BJ7" s="45">
        <v>5.8</v>
      </c>
      <c r="BK7" s="45">
        <v>0</v>
      </c>
      <c r="BL7" s="45">
        <v>0</v>
      </c>
      <c r="BM7" s="45">
        <v>24.5</v>
      </c>
      <c r="BN7" s="45">
        <v>5.9</v>
      </c>
      <c r="BO7" s="45">
        <v>0</v>
      </c>
      <c r="BP7" s="45">
        <v>0</v>
      </c>
      <c r="BQ7" s="45">
        <v>25.1</v>
      </c>
      <c r="BR7" s="45">
        <v>5.8</v>
      </c>
      <c r="BS7" s="45">
        <v>0</v>
      </c>
      <c r="BT7" s="45">
        <v>0</v>
      </c>
      <c r="BU7" s="45">
        <v>24.3</v>
      </c>
      <c r="BV7" s="45">
        <v>5.9</v>
      </c>
      <c r="BW7" s="45">
        <v>0</v>
      </c>
      <c r="BX7" s="45">
        <v>0</v>
      </c>
      <c r="BY7" s="80"/>
      <c r="BZ7" s="11">
        <f>IF(SUM(BJ7,BN7)&gt;0,SUM(BJ7,BN7),"")</f>
        <v>11.7</v>
      </c>
      <c r="CA7" s="11">
        <f>IF(SUM(BI7:BJ7,BL7:BN7,BP7)-BK7-BO7&gt;0,SUM(BI7:BJ7,BL7:BN7,BP7)-BK7-BO7,"")</f>
        <v>61.5</v>
      </c>
      <c r="CB7" s="11">
        <f>IF(SUM(BR7,BV7)&gt;0,SUM(BR7,BV7),"")</f>
        <v>11.7</v>
      </c>
      <c r="CC7" s="11">
        <f>IF(SUM(BQ7:BR7,BT7:BV7,BX7)-SUM(BS7,BW7)&gt;0,SUM(BQ7:BR7,BT7:BV7,BX7)-SUM(BS7,BW7),"")</f>
        <v>61.1</v>
      </c>
      <c r="CD7" s="11">
        <f>IF(SUM(CA7,CC7)&gt;0,SUM(CA7,CC7),"")</f>
        <v>122.6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/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12.65</v>
      </c>
      <c r="LZ7" s="69">
        <f>IF($BY7="P",BJ7,(BJ7+AN7)/2)</f>
        <v>2.9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12.25</v>
      </c>
      <c r="MD7" s="69">
        <f>IF($BY7="P",BN7,(BN7+AR7)/2)</f>
        <v>2.95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12.55</v>
      </c>
      <c r="MH7" s="69">
        <f>IF($BY7="P",BR7,(BR7+AV7)/2)</f>
        <v>2.9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12.15</v>
      </c>
      <c r="ML7" s="69">
        <f>IF($BY7="P",BV7,(BV7+AZ7)/2)</f>
        <v>2.95</v>
      </c>
      <c r="MM7" s="69">
        <f>IF($BY7="P",BW7,(BW7+BA7)/2)</f>
        <v>0</v>
      </c>
      <c r="MN7" s="69">
        <f>IF($BY7="P",BX7,(BX7+BB7)/2)</f>
        <v>0</v>
      </c>
      <c r="MO7" s="80" t="s">
        <v>88</v>
      </c>
      <c r="MP7" s="11">
        <f>IF(SUM(LZ7,MD7)&gt;0,SUM(LZ7,MD7),"")</f>
        <v>5.85</v>
      </c>
      <c r="MQ7" s="11">
        <f>IF(SUM(LY7:LZ7,MB7:MD7,MF7)-MA7-ME7&gt;0,SUM(LY7:LZ7,MB7:MD7,MF7)-MA7-ME7,"")</f>
        <v>30.75</v>
      </c>
      <c r="MR7" s="11">
        <f>IF(SUM(MH7,ML7)&gt;0,SUM(MH7,ML7),"")</f>
        <v>5.85</v>
      </c>
      <c r="MS7" s="11">
        <f>IF(SUM(MG7:MH7,MJ7:ML7,MN7)-SUM(MI7,MM7)&gt;0,SUM(MG7:MH7,MJ7:ML7,MN7)-SUM(MI7,MM7),"")</f>
        <v>30.55</v>
      </c>
      <c r="MT7" s="11">
        <f>IF(SUM(MQ7,MS7)&gt;0,SUM(MQ7,MS7),"")</f>
        <v>61.3</v>
      </c>
    </row>
    <row r="8" spans="1:358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8" t="s">
        <v>50</v>
      </c>
      <c r="C8" s="4" t="s">
        <v>5</v>
      </c>
      <c r="D8" s="27">
        <v>1998</v>
      </c>
      <c r="E8" s="15">
        <f>SUM(J8:N8)</f>
        <v>119.44999999999999</v>
      </c>
      <c r="F8" s="3" t="str">
        <f>IF(OR(AND(AH8&gt;=AL$11,AI8&gt;=AL$15,AI8&lt;&gt;"",AG8=""),AND(BD8&gt;=BH$11,BE8&gt;=BH$15,BE8&lt;&gt;"",BC8=""),AND(BZ8&gt;=CD$11,CA8&gt;=CD$15,CA8&lt;&gt;"",BY8=""),AND(CW8&gt;=DA$11,CX8&gt;=DA$15,CX8&lt;&gt;""),AND(DR8&gt;=DV$11,DS8&gt;=DV$15,DS8&lt;&gt;""),AND(EM8&gt;=EQ$11,EN8&gt;=EQ$15,EN8&lt;&gt;""),AND(FH8&gt;=FL$11,FI8&gt;=FL$15,FI8&lt;&gt;""),AND(GC8&gt;=GG$11,GD8&gt;=GG$15,GD8&lt;&gt;""),AND(GX8&gt;=HB$11,GY8&gt;=HB$15,GY8&lt;&gt;""),AND(HS8&gt;=HW$11,HT8&gt;=HW$15,HT8&lt;&gt;""),AND(IN8&gt;=IR$11,IO8&gt;=IR$15,IO8&lt;&gt;""),AND(JI8&gt;=JM$11,JJ8&gt;=JM$15,JJ8&lt;&gt;""),AND(KD8&gt;=KH$11,KE8&gt;=KH$15,KE8&lt;&gt;""),AND(KY8&gt;=LC$11,KZ8&gt;=LC$15,KZ8&lt;&gt;""),AND(LT8&gt;=LX$11,LU8&gt;=LX$15,LU8&lt;&gt;"")),"P","")</f>
        <v/>
      </c>
      <c r="G8" s="3" t="str">
        <f>IF(OR(AND(AI8&gt;=AL$15,AI8&lt;&gt;"",AG8=""),AND(BE8&gt;=BH$15,BE8&lt;&gt;"",BC8=""),AND(CA8&gt;=CD$15,CA8&lt;&gt;"",BY8=""),AND(CX8&gt;=DA$15,CX8&lt;&gt;""),AND(DS8&gt;=DV$15,DS8&lt;&gt;""),AND(EN8&gt;=EQ$15,EN8&lt;&gt;""),AND(FI8&gt;=FL$15,FI8&lt;&gt;""),AND(GD8&gt;=GG$15,GD8&lt;&gt;""),AND(GY8&gt;=HB$15,GY8&lt;&gt;""),AND(HT8&gt;=HW$15,HT8&lt;&gt;""),AND(IO8&gt;=IR$15,IO8&lt;&gt;""),AND(JJ8&gt;=JM$15,JJ8&lt;&gt;""),AND(KE8&gt;=KH$15,KE8&lt;&gt;""),AND(KZ8&gt;=LC$15,KZ8&lt;&gt;""),AND(LU8&gt;=LX$15,LU8&lt;&gt;"")),"P","")</f>
        <v/>
      </c>
      <c r="H8" s="126" t="str">
        <f>IF(AND(G8="P",F8=""),"No DD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Merit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Excellence",IF(OR(AND(AI8&gt;=AL$16,AI8&lt;&gt;"",AH8&gt;=AL$12,AH8&lt;&gt;"",AG8=""),AND(BE8&gt;=BH$16,BE8&lt;&gt;"",BD8&gt;=BH$12,BD8&lt;&gt;"",BC8=""),AND(CA8&gt;=CD$16,CA8&lt;&gt;"",BZ8&gt;=CD$12,BZ8&lt;&gt;"",BY8=""),AND(CX8&gt;=DA$16,CX8&lt;&gt;"",CW8&gt;=DA$12,CW8&lt;&gt;""),AND(DS8&gt;=DV$16,DS8&lt;&gt;"",DR8&gt;=DV$12,DR8&lt;&gt;""),AND(EN8&gt;=EQ$16,EN8&lt;&gt;"",EM8&gt;=EQ$12,EM8&lt;&gt;""),AND(FI8&gt;=FL$16,FI8&lt;&gt;"",FH8&gt;=FL$12,FH8&lt;&gt;""),AND(GD8&gt;=GG$16,GD8&lt;&gt;"",GC8&gt;=GG$12,GC8&lt;&gt;""),AND(GY8&gt;=HB$16,GY8&lt;&gt;"",GX8&gt;=HB$12,GX8&lt;&gt;""),AND(HT8&gt;=HW$16,HT8&lt;&gt;"",HS8&gt;=HW$12,HS8&lt;&gt;""),AND(IO8&gt;=IR$16,IO8&lt;&gt;"",IN8&gt;=IR$12,IN8&lt;&gt;""),AND(JJ8&gt;=JM$16,JJ8&lt;&gt;"",JI8&gt;=JM$12,JI8&lt;&gt;""),AND(KE8&gt;=KH$16,KE8&lt;&gt;"",KD8&gt;=KH$12,KD8&lt;&gt;""),AND(KZ8&gt;=LC$16,KZ8&lt;&gt;"",KY8&gt;=LC$12,KY8&lt;&gt;""),AND(LU8&gt;=LX$16,LU8&lt;&gt;"",LT8&gt;=LX$12,LT8&lt;&gt;"")),"Worlds Team",IF(OR(AND(AI8&gt;=AL$15,AI8&lt;&gt;"",AH8&gt;=AL$11,AH8&lt;&gt;"",AG8=""),AND(BE8&gt;=BH$15,BE8&lt;&gt;"",BD8&gt;=BH$11,BD8&lt;&gt;"",BC8=""),AND(CA8&gt;=CD$15,CA8&lt;&gt;"",BZ8&gt;=CD$11,BZ8&lt;&gt;"",BY8=""),AND(CX8&gt;=DA$15,CX8&lt;&gt;"",CW8&gt;=DA$11,CW8&lt;&gt;""),AND(DS8&gt;=DV$15,DS8&lt;&gt;"",DR8&gt;=DV$11,DR8&lt;&gt;""),AND(EN8&gt;=EQ$15,EN8&lt;&gt;"",EM8&gt;=EQ$11,EM8&lt;&gt;""),AND(FI8&gt;=FL$15,FI8&lt;&gt;"",FH8&gt;=FL$11,FH8&lt;&gt;""),AND(GD8&gt;=GG$15,GD8&lt;&gt;"",GC8&gt;=GG$11,GC8&lt;&gt;""),AND(GY8&gt;=HB$15,GY8&lt;&gt;"",GX8&gt;=HB$11,GX8&lt;&gt;""),AND(HT8&gt;=HW$15,HT8&lt;&gt;"",HS8&gt;=HW$11,HS8&lt;&gt;""),AND(IO8&gt;=IR$15,IO8&lt;&gt;"",IN8&gt;=IR$11,IN8&lt;&gt;""),AND(JJ8&gt;=JM$15,JJ8&lt;&gt;"",JI8&gt;=JM$11,JI8&lt;&gt;""),AND(KE8&gt;=KH$15,KE8&lt;&gt;"",KD8&gt;=KH$11,KD8&lt;&gt;""),AND(KZ8&gt;=LC$15,KZ8&lt;&gt;"",KY8&gt;=LC$11,KY8&lt;&gt;""),AND(LU8&gt;=LX$15,LU8&lt;&gt;"",LT8&gt;=LX$11,LT8&lt;&gt;"")),"National Team","")))))</f>
        <v/>
      </c>
      <c r="I8" s="3" t="str">
        <f>IF(OR(H8="Worlds Team",H8="Excellence",H8="Merit"),"P","")</f>
        <v/>
      </c>
      <c r="J8" s="14">
        <f>MAX(AI8,BE8,CA8)</f>
        <v>60.699999999999996</v>
      </c>
      <c r="K8" s="14" t="str">
        <f>IF(J8=0,"",IF(J8=CA8,$BI$1,IF(J8=BE8,$AM$1,IF(J8=AI8,$Q$1,""))))</f>
        <v>2019 Nationals</v>
      </c>
      <c r="L8" s="14">
        <f>MAX(AK8,BG8,CC8)</f>
        <v>58.75</v>
      </c>
      <c r="M8" s="14" t="str">
        <f>IF(L8=0,"",IF(J8=CC8,$BI$1,IF(L8=BG8,$AM$1,IF(L8=AK8,$Q$1,""))))</f>
        <v>2019 Nationals</v>
      </c>
      <c r="N8" s="14" t="str">
        <f>IF(MAX(CE8:CF8)&gt;0,MAX(CE8:CF8),"")</f>
        <v/>
      </c>
      <c r="O8" s="25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9">
        <v>24.75</v>
      </c>
      <c r="R8" s="69">
        <v>5.8000000000000007</v>
      </c>
      <c r="S8" s="69">
        <v>0</v>
      </c>
      <c r="T8" s="69">
        <v>1</v>
      </c>
      <c r="U8" s="69">
        <v>25.5</v>
      </c>
      <c r="V8" s="69">
        <v>5.3000000000000007</v>
      </c>
      <c r="W8" s="69">
        <v>1.65</v>
      </c>
      <c r="X8" s="69">
        <v>0</v>
      </c>
      <c r="Y8" s="69">
        <v>25.799999999999997</v>
      </c>
      <c r="Z8" s="69">
        <v>4.3</v>
      </c>
      <c r="AA8" s="69">
        <v>0</v>
      </c>
      <c r="AB8" s="69">
        <v>0.5</v>
      </c>
      <c r="AC8" s="69">
        <v>23.45</v>
      </c>
      <c r="AD8" s="69">
        <v>4.2</v>
      </c>
      <c r="AE8" s="69">
        <v>0</v>
      </c>
      <c r="AF8" s="69">
        <v>0.5</v>
      </c>
      <c r="AG8" s="80" t="s">
        <v>88</v>
      </c>
      <c r="AH8" s="11">
        <f>IF(SUM(R8,V8)&gt;0,SUM(R8,V8),"")</f>
        <v>11.100000000000001</v>
      </c>
      <c r="AI8" s="11">
        <f>IF(SUM(Q8:R8,T8:V8,X8)-S8-W8&gt;0,SUM(Q8:R8,T8:V8,X8)-S8-W8,"")</f>
        <v>60.699999999999996</v>
      </c>
      <c r="AJ8" s="11">
        <f>IF(SUM(Z8,AD8)&gt;0,SUM(R8,V8),"")</f>
        <v>11.100000000000001</v>
      </c>
      <c r="AK8" s="11">
        <f>IF(SUM(Y8:Z8,AB8:AD8,AF8)-SUM(AA8,AE8)&gt;0,SUM(Y8:Z8,AB8:AD8,AF8)-SUM(AA8,AE8),"")</f>
        <v>58.75</v>
      </c>
      <c r="AL8" s="11">
        <f>IF(SUM(AI8,AK8)&gt;0,SUM(AI8,AK8),"")</f>
        <v>119.44999999999999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>IF(SUM(AN8,AR8)&gt;0,SUM(AN8,AR8),"")</f>
        <v/>
      </c>
      <c r="BE8" s="14" t="str">
        <f>IF(SUM(AM8:AN8,AP8:AR8,AT8)-AO8-AS8&gt;0,SUM(AM8:AN8,AP8:AR8,AT8)-AO8-AS8,"")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IF(SUM(BI8:BJ8,BL8:BN8,BP8)-BK8-BO8&gt;0,SUM(BI8:BJ8,BL8:BN8,BP8)-BK8-BO8,"")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IF(MAX(CZ8,DU8,EP8,FK8,GF8,HA8,HV8,IQ8,JL8,KG8,LB8,LW8)-IF(L8="",0,L8)&gt;0.001,MAX(CZ8,DU8,EP8,FK8,GF8,HA8,HV8,IQ8,JL8,KG8,LB8,LW8)-IF(L8="",0,L8),"")</f>
        <v/>
      </c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38"/>
      <c r="DM8" s="38"/>
      <c r="DN8" s="38"/>
      <c r="DO8" s="38"/>
      <c r="DP8" s="38"/>
      <c r="DQ8" s="38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8"/>
      <c r="ES8" s="38"/>
      <c r="ET8" s="38"/>
      <c r="EU8" s="38"/>
      <c r="EV8" s="38"/>
      <c r="EW8" s="38"/>
      <c r="EX8" s="38"/>
      <c r="EY8" s="38"/>
      <c r="EZ8" s="38"/>
      <c r="FA8" s="38"/>
      <c r="FB8" s="38"/>
      <c r="FC8" s="38"/>
      <c r="FD8" s="38"/>
      <c r="FE8" s="38"/>
      <c r="FF8" s="38"/>
      <c r="FG8" s="38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8"/>
      <c r="GI8" s="38"/>
      <c r="GJ8" s="38"/>
      <c r="GK8" s="38"/>
      <c r="GL8" s="38"/>
      <c r="GM8" s="38"/>
      <c r="GN8" s="38"/>
      <c r="GO8" s="38"/>
      <c r="GP8" s="38"/>
      <c r="GQ8" s="38"/>
      <c r="GR8" s="38"/>
      <c r="GS8" s="38"/>
      <c r="GT8" s="38"/>
      <c r="GU8" s="38"/>
      <c r="GV8" s="38"/>
      <c r="GW8" s="38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/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8"/>
      <c r="HY8" s="38"/>
      <c r="HZ8" s="38"/>
      <c r="IA8" s="38"/>
      <c r="IB8" s="38"/>
      <c r="IC8" s="38"/>
      <c r="ID8" s="38"/>
      <c r="IE8" s="38"/>
      <c r="IF8" s="38"/>
      <c r="IG8" s="38"/>
      <c r="IH8" s="38"/>
      <c r="II8" s="38"/>
      <c r="IJ8" s="38"/>
      <c r="IK8" s="38"/>
      <c r="IL8" s="38"/>
      <c r="IM8" s="38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38"/>
      <c r="JZ8" s="38"/>
      <c r="KA8" s="38"/>
      <c r="KB8" s="38"/>
      <c r="KC8" s="38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38"/>
      <c r="LR8" s="38"/>
      <c r="LS8" s="38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0</v>
      </c>
      <c r="LZ8" s="69">
        <f>IF($BY8="P",BJ8,(BJ8+AN8)/2)</f>
        <v>0</v>
      </c>
      <c r="MA8" s="69">
        <f>IF($BY8="P",BK8,(BK8+AO8)/2)</f>
        <v>0</v>
      </c>
      <c r="MB8" s="69">
        <f>IF($BY8="P",BL8,(BL8+AP8)/2)</f>
        <v>0</v>
      </c>
      <c r="MC8" s="69">
        <f>IF($BY8="P",BM8,(BM8+AQ8)/2)</f>
        <v>0</v>
      </c>
      <c r="MD8" s="69">
        <f>IF($BY8="P",BN8,(BN8+AR8)/2)</f>
        <v>0</v>
      </c>
      <c r="ME8" s="69">
        <f>IF($BY8="P",BO8,(BO8+AS8)/2)</f>
        <v>0</v>
      </c>
      <c r="MF8" s="69">
        <f>IF($BY8="P",BP8,(BP8+AT8)/2)</f>
        <v>0</v>
      </c>
      <c r="MG8" s="69">
        <f>IF($BY8="P",BQ8,(BQ8+AU8)/2)</f>
        <v>0</v>
      </c>
      <c r="MH8" s="69">
        <f>IF($BY8="P",BR8,(BR8+AV8)/2)</f>
        <v>0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0</v>
      </c>
      <c r="ML8" s="69">
        <f>IF($BY8="P",BV8,(BV8+AZ8)/2)</f>
        <v>0</v>
      </c>
      <c r="MM8" s="69">
        <f>IF($BY8="P",BW8,(BW8+BA8)/2)</f>
        <v>0</v>
      </c>
      <c r="MN8" s="69">
        <f>IF($BY8="P",BX8,(BX8+BB8)/2)</f>
        <v>0</v>
      </c>
      <c r="MO8" s="80" t="s">
        <v>88</v>
      </c>
      <c r="MP8" s="11" t="str">
        <f>IF(SUM(LZ8,MD8)&gt;0,SUM(LZ8,MD8),"")</f>
        <v/>
      </c>
      <c r="MQ8" s="11" t="str">
        <f>IF(SUM(LY8:LZ8,MB8:MD8,MF8)-MA8-ME8&gt;0,SUM(LY8:LZ8,MB8:MD8,MF8)-MA8-ME8,"")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D9" s="1"/>
    </row>
    <row r="11" spans="1:358" x14ac:dyDescent="0.2">
      <c r="B11" s="70" t="s">
        <v>78</v>
      </c>
      <c r="AH11" s="56"/>
      <c r="AL11" s="64">
        <v>11.8</v>
      </c>
      <c r="BD11" s="56"/>
      <c r="BH11" s="64">
        <v>10.3</v>
      </c>
      <c r="BZ11" s="56"/>
      <c r="CD11" s="64">
        <v>10.3</v>
      </c>
      <c r="CW11" s="56"/>
      <c r="DA11" s="64">
        <v>10.3</v>
      </c>
      <c r="DR11" s="56"/>
      <c r="DV11" s="64">
        <v>10.3</v>
      </c>
      <c r="EM11" s="56"/>
      <c r="EQ11" s="64">
        <v>10.3</v>
      </c>
      <c r="FH11" s="56"/>
      <c r="FL11" s="64">
        <v>10.3</v>
      </c>
      <c r="GC11" s="56"/>
      <c r="GG11" s="64">
        <v>10.3</v>
      </c>
      <c r="GX11" s="56"/>
      <c r="HB11" s="64">
        <v>10.3</v>
      </c>
      <c r="HS11" s="56"/>
      <c r="HW11" s="64">
        <v>10.3</v>
      </c>
      <c r="IN11" s="56"/>
      <c r="IR11" s="64">
        <v>10.3</v>
      </c>
      <c r="JI11" s="56"/>
      <c r="JM11" s="64">
        <v>10.3</v>
      </c>
      <c r="KD11" s="56"/>
      <c r="KH11" s="64">
        <v>10.3</v>
      </c>
      <c r="KY11" s="56"/>
      <c r="LC11" s="64">
        <v>10.3</v>
      </c>
      <c r="LT11" s="56"/>
      <c r="LX11" s="64">
        <v>10.3</v>
      </c>
    </row>
    <row r="12" spans="1:358" x14ac:dyDescent="0.2">
      <c r="B12" s="91" t="s">
        <v>77</v>
      </c>
      <c r="AH12" s="56"/>
      <c r="AL12" s="93">
        <v>11.8</v>
      </c>
      <c r="BD12" s="56"/>
      <c r="BH12" s="93">
        <v>11</v>
      </c>
      <c r="BZ12" s="56"/>
      <c r="CD12" s="93">
        <v>11</v>
      </c>
      <c r="CW12" s="56"/>
      <c r="DA12" s="93">
        <v>11</v>
      </c>
      <c r="DR12" s="56"/>
      <c r="DV12" s="93">
        <v>11</v>
      </c>
      <c r="EM12" s="56"/>
      <c r="EQ12" s="93">
        <v>11</v>
      </c>
      <c r="FH12" s="56"/>
      <c r="FL12" s="93">
        <v>11</v>
      </c>
      <c r="GC12" s="56"/>
      <c r="GG12" s="93">
        <v>11</v>
      </c>
      <c r="GX12" s="56"/>
      <c r="HB12" s="93">
        <v>11</v>
      </c>
      <c r="HS12" s="56"/>
      <c r="HW12" s="93">
        <v>11</v>
      </c>
      <c r="IN12" s="56"/>
      <c r="IR12" s="93">
        <v>11</v>
      </c>
      <c r="JI12" s="56"/>
      <c r="JM12" s="93">
        <v>11</v>
      </c>
      <c r="KD12" s="56"/>
      <c r="KH12" s="93">
        <v>11</v>
      </c>
      <c r="KY12" s="56"/>
      <c r="LC12" s="93">
        <v>11</v>
      </c>
      <c r="LT12" s="56"/>
      <c r="LX12" s="93">
        <v>11</v>
      </c>
    </row>
    <row r="13" spans="1:358" x14ac:dyDescent="0.2">
      <c r="A13" s="56"/>
      <c r="B13" s="92" t="s">
        <v>109</v>
      </c>
      <c r="C13" s="55"/>
      <c r="AH13" s="56"/>
      <c r="AL13" s="94">
        <v>11.8</v>
      </c>
      <c r="BD13" s="56"/>
      <c r="BH13" s="94">
        <v>12.7</v>
      </c>
      <c r="BZ13" s="56"/>
      <c r="CD13" s="94">
        <v>12.7</v>
      </c>
      <c r="CW13" s="56"/>
      <c r="DA13" s="94">
        <v>12.7</v>
      </c>
      <c r="DR13" s="56"/>
      <c r="DV13" s="94">
        <v>12.7</v>
      </c>
      <c r="EM13" s="56"/>
      <c r="EQ13" s="94">
        <v>12.7</v>
      </c>
      <c r="FH13" s="56"/>
      <c r="FL13" s="94">
        <v>12.7</v>
      </c>
      <c r="GC13" s="56"/>
      <c r="GG13" s="94">
        <v>12.7</v>
      </c>
      <c r="GX13" s="56"/>
      <c r="HB13" s="94">
        <v>12.7</v>
      </c>
      <c r="HS13" s="56"/>
      <c r="HW13" s="94">
        <v>12.7</v>
      </c>
      <c r="IN13" s="56"/>
      <c r="IR13" s="94">
        <v>12.7</v>
      </c>
      <c r="JI13" s="56"/>
      <c r="JM13" s="94">
        <v>12.7</v>
      </c>
      <c r="KD13" s="56"/>
      <c r="KH13" s="94">
        <v>12.7</v>
      </c>
      <c r="KY13" s="56"/>
      <c r="LC13" s="94">
        <v>12.7</v>
      </c>
      <c r="LT13" s="56"/>
      <c r="LX13" s="94">
        <v>12.7</v>
      </c>
    </row>
    <row r="14" spans="1:358" x14ac:dyDescent="0.2">
      <c r="A14" s="56"/>
      <c r="B14" s="120" t="s">
        <v>158</v>
      </c>
      <c r="C14" s="55"/>
      <c r="AH14" s="56"/>
      <c r="AL14" s="121">
        <v>11.8</v>
      </c>
      <c r="BD14" s="56"/>
      <c r="BH14" s="121">
        <v>15.2</v>
      </c>
      <c r="BZ14" s="56"/>
      <c r="CD14" s="121">
        <v>15.2</v>
      </c>
      <c r="CW14" s="56"/>
      <c r="DA14" s="121">
        <v>15.2</v>
      </c>
      <c r="DR14" s="56"/>
      <c r="DV14" s="121">
        <v>15.2</v>
      </c>
      <c r="EM14" s="56"/>
      <c r="EQ14" s="121">
        <v>15.2</v>
      </c>
      <c r="FH14" s="56"/>
      <c r="FL14" s="121">
        <v>15.2</v>
      </c>
      <c r="GC14" s="56"/>
      <c r="GG14" s="121">
        <v>15.2</v>
      </c>
      <c r="GX14" s="56"/>
      <c r="HB14" s="121">
        <v>15.2</v>
      </c>
      <c r="HS14" s="56"/>
      <c r="HW14" s="121">
        <v>15.2</v>
      </c>
      <c r="IN14" s="56"/>
      <c r="IR14" s="121">
        <v>15.2</v>
      </c>
      <c r="JI14" s="56"/>
      <c r="JM14" s="121">
        <v>15.2</v>
      </c>
      <c r="KD14" s="56"/>
      <c r="KH14" s="121">
        <v>15.2</v>
      </c>
      <c r="KY14" s="56"/>
      <c r="LC14" s="121">
        <v>15.2</v>
      </c>
      <c r="LT14" s="56"/>
      <c r="LX14" s="121">
        <v>15.2</v>
      </c>
    </row>
    <row r="15" spans="1:358" x14ac:dyDescent="0.2">
      <c r="A15" s="56"/>
      <c r="B15" s="118" t="s">
        <v>75</v>
      </c>
      <c r="C15" s="55"/>
      <c r="AH15" s="56"/>
      <c r="AL15" s="119">
        <v>62.8</v>
      </c>
      <c r="BD15" s="56"/>
      <c r="BH15" s="119">
        <v>62.8</v>
      </c>
      <c r="BZ15" s="56"/>
      <c r="CD15" s="119">
        <v>62.8</v>
      </c>
      <c r="CW15" s="56"/>
      <c r="DA15" s="119">
        <v>62.8</v>
      </c>
      <c r="DR15" s="56"/>
      <c r="DV15" s="119">
        <v>62.8</v>
      </c>
      <c r="EM15" s="56"/>
      <c r="EQ15" s="119">
        <v>62.8</v>
      </c>
      <c r="FH15" s="56"/>
      <c r="FL15" s="119">
        <v>62.8</v>
      </c>
      <c r="GC15" s="56"/>
      <c r="GG15" s="119">
        <v>62.8</v>
      </c>
      <c r="GX15" s="56"/>
      <c r="HB15" s="119">
        <v>62.8</v>
      </c>
      <c r="HS15" s="56"/>
      <c r="HW15" s="119">
        <v>62.8</v>
      </c>
      <c r="IN15" s="56"/>
      <c r="IR15" s="119">
        <v>62.8</v>
      </c>
      <c r="JI15" s="56"/>
      <c r="JM15" s="119">
        <v>62.8</v>
      </c>
      <c r="KD15" s="56"/>
      <c r="KH15" s="119">
        <v>62.8</v>
      </c>
      <c r="KY15" s="56"/>
      <c r="LC15" s="119">
        <v>62.8</v>
      </c>
      <c r="LT15" s="56"/>
      <c r="LX15" s="119">
        <v>62.8</v>
      </c>
    </row>
    <row r="16" spans="1:358" x14ac:dyDescent="0.2">
      <c r="A16" s="56"/>
      <c r="B16" s="72" t="s">
        <v>76</v>
      </c>
      <c r="C16" s="55"/>
      <c r="AH16" s="56"/>
      <c r="AL16" s="66">
        <v>65.900000000000006</v>
      </c>
      <c r="BD16" s="56"/>
      <c r="BH16" s="66">
        <v>65.599999999999994</v>
      </c>
      <c r="BZ16" s="56"/>
      <c r="CD16" s="66">
        <v>65.599999999999994</v>
      </c>
      <c r="CW16" s="56"/>
      <c r="DA16" s="66">
        <v>65.599999999999994</v>
      </c>
      <c r="DR16" s="56"/>
      <c r="DV16" s="66">
        <v>65.599999999999994</v>
      </c>
      <c r="EM16" s="56"/>
      <c r="EQ16" s="66">
        <v>65.599999999999994</v>
      </c>
      <c r="FH16" s="56"/>
      <c r="FL16" s="66">
        <v>65.599999999999994</v>
      </c>
      <c r="GC16" s="56"/>
      <c r="GG16" s="66">
        <v>65.599999999999994</v>
      </c>
      <c r="GX16" s="56"/>
      <c r="HB16" s="66">
        <v>65.599999999999994</v>
      </c>
      <c r="HS16" s="56"/>
      <c r="HW16" s="66">
        <v>65.599999999999994</v>
      </c>
      <c r="IN16" s="56"/>
      <c r="IR16" s="66">
        <v>65.599999999999994</v>
      </c>
      <c r="JI16" s="56"/>
      <c r="JM16" s="66">
        <v>65.599999999999994</v>
      </c>
      <c r="KD16" s="56"/>
      <c r="KH16" s="66">
        <v>65.599999999999994</v>
      </c>
      <c r="KY16" s="56"/>
      <c r="LC16" s="66">
        <v>65.599999999999994</v>
      </c>
      <c r="LT16" s="56"/>
      <c r="LX16" s="66">
        <v>65.599999999999994</v>
      </c>
    </row>
    <row r="17" spans="1:336" x14ac:dyDescent="0.2">
      <c r="A17" s="56"/>
      <c r="B17" s="116" t="s">
        <v>107</v>
      </c>
      <c r="C17" s="55"/>
      <c r="AH17" s="56"/>
      <c r="AL17" s="117">
        <v>69.7</v>
      </c>
      <c r="BD17" s="56"/>
      <c r="BH17" s="117">
        <v>67.900000000000006</v>
      </c>
      <c r="BZ17" s="56"/>
      <c r="CD17" s="117">
        <v>67.900000000000006</v>
      </c>
      <c r="CW17" s="56"/>
      <c r="DA17" s="117">
        <v>67.900000000000006</v>
      </c>
      <c r="DR17" s="56"/>
      <c r="DV17" s="117">
        <v>67.900000000000006</v>
      </c>
      <c r="EM17" s="56"/>
      <c r="EQ17" s="117">
        <v>67.900000000000006</v>
      </c>
      <c r="FH17" s="56"/>
      <c r="FL17" s="117">
        <v>67.900000000000006</v>
      </c>
      <c r="GC17" s="56"/>
      <c r="GG17" s="117">
        <v>67.900000000000006</v>
      </c>
      <c r="GX17" s="56"/>
      <c r="HB17" s="117">
        <v>67.900000000000006</v>
      </c>
      <c r="HS17" s="56"/>
      <c r="HW17" s="117">
        <v>67.900000000000006</v>
      </c>
      <c r="IN17" s="56"/>
      <c r="IR17" s="117">
        <v>67.900000000000006</v>
      </c>
      <c r="JI17" s="56"/>
      <c r="JM17" s="117">
        <v>67.900000000000006</v>
      </c>
      <c r="KD17" s="56"/>
      <c r="KH17" s="117">
        <v>67.900000000000006</v>
      </c>
      <c r="KY17" s="56"/>
      <c r="LC17" s="117">
        <v>67.900000000000006</v>
      </c>
      <c r="LT17" s="56"/>
      <c r="LX17" s="117">
        <v>67.900000000000006</v>
      </c>
    </row>
    <row r="18" spans="1:336" x14ac:dyDescent="0.2">
      <c r="A18" s="56"/>
      <c r="B18" s="74" t="s">
        <v>57</v>
      </c>
      <c r="C18" s="55"/>
      <c r="AH18" s="56"/>
      <c r="AL18" s="68">
        <v>72.2</v>
      </c>
      <c r="BD18" s="56"/>
      <c r="BH18" s="68">
        <v>71.599999999999994</v>
      </c>
      <c r="BZ18" s="56"/>
      <c r="CD18" s="68">
        <v>71.599999999999994</v>
      </c>
      <c r="CW18" s="56"/>
      <c r="DA18" s="68">
        <v>71.599999999999994</v>
      </c>
      <c r="DR18" s="56"/>
      <c r="DV18" s="68">
        <v>71.599999999999994</v>
      </c>
      <c r="EM18" s="56"/>
      <c r="EQ18" s="68">
        <v>71.599999999999994</v>
      </c>
      <c r="FH18" s="56"/>
      <c r="FL18" s="68">
        <v>71.599999999999994</v>
      </c>
      <c r="GC18" s="56"/>
      <c r="GG18" s="68">
        <v>71.599999999999994</v>
      </c>
      <c r="GX18" s="56"/>
      <c r="HB18" s="68">
        <v>71.599999999999994</v>
      </c>
      <c r="HS18" s="56"/>
      <c r="HW18" s="68">
        <v>71.599999999999994</v>
      </c>
      <c r="IN18" s="56"/>
      <c r="IR18" s="68">
        <v>71.599999999999994</v>
      </c>
      <c r="JI18" s="56"/>
      <c r="JM18" s="68">
        <v>71.599999999999994</v>
      </c>
      <c r="KD18" s="56"/>
      <c r="KH18" s="68">
        <v>71.599999999999994</v>
      </c>
      <c r="KY18" s="56"/>
      <c r="LC18" s="68">
        <v>71.599999999999994</v>
      </c>
      <c r="LT18" s="56"/>
      <c r="LX18" s="68">
        <v>71.599999999999994</v>
      </c>
    </row>
    <row r="19" spans="1:336" x14ac:dyDescent="0.2">
      <c r="B19" s="82" t="s">
        <v>89</v>
      </c>
      <c r="C19" s="2"/>
    </row>
    <row r="20" spans="1:336" x14ac:dyDescent="0.2">
      <c r="A20" s="56"/>
      <c r="B20" s="56"/>
      <c r="C20" s="55"/>
    </row>
    <row r="21" spans="1:336" ht="17" x14ac:dyDescent="0.2">
      <c r="A21" s="56"/>
      <c r="B21" s="56"/>
      <c r="C21" s="55"/>
      <c r="N21" s="19"/>
      <c r="O21" s="19"/>
      <c r="P21" s="19"/>
    </row>
    <row r="22" spans="1:336" ht="17" x14ac:dyDescent="0.2">
      <c r="A22" s="56"/>
      <c r="B22" s="56"/>
      <c r="C22" s="55"/>
      <c r="N22" s="19"/>
      <c r="O22" s="19"/>
      <c r="P22" s="19"/>
    </row>
    <row r="23" spans="1:336" ht="17" x14ac:dyDescent="0.2">
      <c r="N23" s="19"/>
      <c r="O23" s="19"/>
      <c r="P23" s="19"/>
    </row>
    <row r="24" spans="1:336" ht="17" x14ac:dyDescent="0.2">
      <c r="N24" s="19"/>
      <c r="O24" s="19"/>
      <c r="P24" s="19"/>
    </row>
    <row r="25" spans="1:336" ht="17" x14ac:dyDescent="0.2">
      <c r="N25" s="19"/>
      <c r="O25" s="19"/>
      <c r="P25" s="19"/>
    </row>
    <row r="26" spans="1:336" ht="17" x14ac:dyDescent="0.2">
      <c r="N26" s="19"/>
      <c r="O26" s="19"/>
      <c r="P26" s="19"/>
    </row>
    <row r="27" spans="1:336" ht="17" x14ac:dyDescent="0.2">
      <c r="N27" s="19"/>
      <c r="O27" s="19"/>
      <c r="P27" s="19"/>
    </row>
    <row r="28" spans="1:336" ht="17" x14ac:dyDescent="0.2">
      <c r="N28" s="19"/>
      <c r="O28" s="19"/>
      <c r="P28" s="19"/>
    </row>
    <row r="29" spans="1:336" ht="17" x14ac:dyDescent="0.2">
      <c r="N29" s="19"/>
      <c r="O29" s="19"/>
      <c r="P29" s="19"/>
    </row>
    <row r="30" spans="1:336" ht="17" x14ac:dyDescent="0.2">
      <c r="N30" s="19"/>
      <c r="O30" s="19"/>
      <c r="P30" s="19"/>
    </row>
    <row r="31" spans="1:336" ht="17" x14ac:dyDescent="0.2">
      <c r="N31" s="19"/>
      <c r="O31" s="19"/>
      <c r="P31" s="19"/>
    </row>
    <row r="32" spans="1:33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  <row r="40" spans="14:16" ht="17" x14ac:dyDescent="0.2">
      <c r="N40" s="19"/>
      <c r="O40" s="19"/>
      <c r="P40" s="19"/>
    </row>
  </sheetData>
  <sheetProtection sheet="1" formatCells="0" formatColumns="0" formatRows="0"/>
  <autoFilter ref="A1:MT7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8">
      <sortCondition descending="1" ref="F1:F9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8">
    <cfRule type="expression" dxfId="79" priority="1" stopIfTrue="1">
      <formula>IF($AG4&lt;&gt;"",1,0)</formula>
    </cfRule>
  </conditionalFormatting>
  <conditionalFormatting sqref="AM4:BH8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8">
    <cfRule type="expression" dxfId="74" priority="3" stopIfTrue="1">
      <formula>IF($AG4&lt;&gt;"",1,0)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3" priority="89" operator="between">
      <formula>AL$14</formula>
      <formula>1000</formula>
    </cfRule>
    <cfRule type="cellIs" dxfId="72" priority="90" operator="between">
      <formula>AL$13</formula>
      <formula>AL$14</formula>
    </cfRule>
    <cfRule type="cellIs" dxfId="71" priority="91" operator="between">
      <formula>AL$12</formula>
      <formula>AL$13</formula>
    </cfRule>
    <cfRule type="cellIs" dxfId="70" priority="92" operator="between">
      <formula>AL$11</formula>
      <formula>AL$12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9" priority="210" operator="between">
      <formula>AL$18</formula>
      <formula>1000</formula>
    </cfRule>
    <cfRule type="cellIs" dxfId="68" priority="9028" operator="between">
      <formula>AL$17</formula>
      <formula>AL$18</formula>
    </cfRule>
    <cfRule type="cellIs" dxfId="67" priority="9029" operator="between">
      <formula>AL$16</formula>
      <formula>AL$17</formula>
    </cfRule>
    <cfRule type="cellIs" dxfId="66" priority="36222" operator="between">
      <formula>AL$15</formula>
      <formula>AL$16</formula>
    </cfRule>
  </conditionalFormatting>
  <conditionalFormatting sqref="A1:A1048576">
    <cfRule type="expression" dxfId="65" priority="38430">
      <formula>AND(G1="P",F1="")</formula>
    </cfRule>
  </conditionalFormatting>
  <conditionalFormatting sqref="H1:H1048576">
    <cfRule type="containsText" dxfId="64" priority="5" operator="containsText" text="No DD">
      <formula>NOT(ISERROR(SEARCH("No DD",H1)))</formula>
    </cfRule>
    <cfRule type="containsText" dxfId="63" priority="6" operator="containsText" text="Merit">
      <formula>NOT(ISERROR(SEARCH("Merit",H1)))</formula>
    </cfRule>
    <cfRule type="containsText" dxfId="62" priority="20" operator="containsText" text="Excellence">
      <formula>NOT(ISERROR(SEARCH("Excellence",H1)))</formula>
    </cfRule>
    <cfRule type="containsText" dxfId="61" priority="29" operator="containsText" text="Worlds Team">
      <formula>NOT(ISERROR(SEARCH("Worlds Team",H1)))</formula>
    </cfRule>
    <cfRule type="containsText" dxfId="60" priority="32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44" t="s">
        <v>106</v>
      </c>
      <c r="G1" s="144" t="s">
        <v>15</v>
      </c>
      <c r="H1" s="136" t="s">
        <v>16</v>
      </c>
      <c r="I1" s="144" t="s">
        <v>177</v>
      </c>
      <c r="J1" s="141" t="s">
        <v>17</v>
      </c>
      <c r="K1" s="141" t="s">
        <v>55</v>
      </c>
      <c r="L1" s="141" t="s">
        <v>20</v>
      </c>
      <c r="M1" s="141" t="s">
        <v>55</v>
      </c>
      <c r="N1" s="140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157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105</v>
      </c>
      <c r="CF1" s="142"/>
      <c r="CG1" s="137"/>
      <c r="CH1" s="137"/>
      <c r="CI1" s="137"/>
      <c r="CJ1" s="137"/>
      <c r="CK1" s="137"/>
      <c r="CL1" s="137"/>
      <c r="CM1" s="137"/>
      <c r="CN1" s="137"/>
      <c r="CO1" s="137"/>
      <c r="CP1" s="137"/>
      <c r="CQ1" s="137"/>
      <c r="CR1" s="137"/>
      <c r="CS1" s="137"/>
      <c r="CT1" s="137"/>
      <c r="CU1" s="137"/>
      <c r="CV1" s="137"/>
      <c r="CW1" s="137"/>
      <c r="CX1" s="137"/>
      <c r="CY1" s="137"/>
      <c r="CZ1" s="137"/>
      <c r="DA1" s="137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7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7"/>
      <c r="FN1" s="137"/>
      <c r="FO1" s="137"/>
      <c r="FP1" s="137"/>
      <c r="FQ1" s="137"/>
      <c r="FR1" s="137"/>
      <c r="FS1" s="137"/>
      <c r="FT1" s="137"/>
      <c r="FU1" s="137"/>
      <c r="FV1" s="137"/>
      <c r="FW1" s="137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7"/>
      <c r="HN1" s="137"/>
      <c r="HO1" s="137"/>
      <c r="HP1" s="137"/>
      <c r="HQ1" s="137"/>
      <c r="HR1" s="137"/>
      <c r="HS1" s="137"/>
      <c r="HT1" s="137"/>
      <c r="HU1" s="137"/>
      <c r="HV1" s="137"/>
      <c r="HW1" s="137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7"/>
      <c r="KJ1" s="137"/>
      <c r="KK1" s="137"/>
      <c r="KL1" s="137"/>
      <c r="KM1" s="137"/>
      <c r="KN1" s="137"/>
      <c r="KO1" s="137"/>
      <c r="KP1" s="137"/>
      <c r="KQ1" s="137"/>
      <c r="KR1" s="137"/>
      <c r="KS1" s="137"/>
      <c r="KT1" s="137"/>
      <c r="KU1" s="137"/>
      <c r="KV1" s="137"/>
      <c r="KW1" s="137"/>
      <c r="KX1" s="137"/>
      <c r="KY1" s="137"/>
      <c r="KZ1" s="137"/>
      <c r="LA1" s="137"/>
      <c r="LB1" s="137"/>
      <c r="LC1" s="137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41"/>
      <c r="K2" s="141"/>
      <c r="L2" s="141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58" t="s">
        <v>32</v>
      </c>
      <c r="AI2" s="9" t="s">
        <v>31</v>
      </c>
      <c r="AJ2" s="9" t="s">
        <v>123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5" t="s">
        <v>48</v>
      </c>
      <c r="AZ2" s="145"/>
      <c r="BA2" s="145"/>
      <c r="BB2" s="145"/>
      <c r="BC2" s="79"/>
      <c r="BD2" s="57" t="s">
        <v>32</v>
      </c>
      <c r="BE2" s="12" t="s">
        <v>31</v>
      </c>
      <c r="BF2" s="12" t="s">
        <v>123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9" t="s">
        <v>123</v>
      </c>
      <c r="CC2" s="9" t="s">
        <v>30</v>
      </c>
      <c r="CD2" s="9" t="s">
        <v>25</v>
      </c>
      <c r="CE2" s="22" t="s">
        <v>31</v>
      </c>
      <c r="CF2" s="22" t="s">
        <v>30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6" t="s">
        <v>48</v>
      </c>
      <c r="CT2" s="146"/>
      <c r="CU2" s="146"/>
      <c r="CV2" s="146"/>
      <c r="CW2" s="58" t="s">
        <v>32</v>
      </c>
      <c r="CX2" s="9" t="s">
        <v>31</v>
      </c>
      <c r="CY2" s="9" t="s">
        <v>123</v>
      </c>
      <c r="CZ2" s="9" t="s">
        <v>30</v>
      </c>
      <c r="DA2" s="9" t="s">
        <v>25</v>
      </c>
      <c r="DB2" s="138" t="s">
        <v>43</v>
      </c>
      <c r="DC2" s="138"/>
      <c r="DD2" s="138"/>
      <c r="DE2" s="138"/>
      <c r="DF2" s="138" t="s">
        <v>46</v>
      </c>
      <c r="DG2" s="138"/>
      <c r="DH2" s="138"/>
      <c r="DI2" s="138"/>
      <c r="DJ2" s="138" t="s">
        <v>47</v>
      </c>
      <c r="DK2" s="138"/>
      <c r="DL2" s="138"/>
      <c r="DM2" s="138"/>
      <c r="DN2" s="145" t="s">
        <v>48</v>
      </c>
      <c r="DO2" s="145"/>
      <c r="DP2" s="145"/>
      <c r="DQ2" s="145"/>
      <c r="DR2" s="57" t="s">
        <v>32</v>
      </c>
      <c r="DS2" s="12" t="s">
        <v>31</v>
      </c>
      <c r="DT2" s="12" t="s">
        <v>123</v>
      </c>
      <c r="DU2" s="12" t="s">
        <v>30</v>
      </c>
      <c r="DV2" s="12" t="s">
        <v>25</v>
      </c>
      <c r="DW2" s="135" t="s">
        <v>43</v>
      </c>
      <c r="DX2" s="135"/>
      <c r="DY2" s="135"/>
      <c r="DZ2" s="135"/>
      <c r="EA2" s="135" t="s">
        <v>46</v>
      </c>
      <c r="EB2" s="135"/>
      <c r="EC2" s="135"/>
      <c r="ED2" s="135"/>
      <c r="EE2" s="135" t="s">
        <v>47</v>
      </c>
      <c r="EF2" s="135"/>
      <c r="EG2" s="135"/>
      <c r="EH2" s="135"/>
      <c r="EI2" s="146" t="s">
        <v>48</v>
      </c>
      <c r="EJ2" s="146"/>
      <c r="EK2" s="146"/>
      <c r="EL2" s="146"/>
      <c r="EM2" s="58" t="s">
        <v>32</v>
      </c>
      <c r="EN2" s="9" t="s">
        <v>31</v>
      </c>
      <c r="EO2" s="9" t="s">
        <v>123</v>
      </c>
      <c r="EP2" s="9" t="s">
        <v>30</v>
      </c>
      <c r="EQ2" s="9" t="s">
        <v>25</v>
      </c>
      <c r="ER2" s="138" t="s">
        <v>43</v>
      </c>
      <c r="ES2" s="138"/>
      <c r="ET2" s="138"/>
      <c r="EU2" s="138"/>
      <c r="EV2" s="138" t="s">
        <v>46</v>
      </c>
      <c r="EW2" s="138"/>
      <c r="EX2" s="138"/>
      <c r="EY2" s="138"/>
      <c r="EZ2" s="138" t="s">
        <v>47</v>
      </c>
      <c r="FA2" s="138"/>
      <c r="FB2" s="138"/>
      <c r="FC2" s="138"/>
      <c r="FD2" s="145" t="s">
        <v>48</v>
      </c>
      <c r="FE2" s="145"/>
      <c r="FF2" s="145"/>
      <c r="FG2" s="145"/>
      <c r="FH2" s="20" t="s">
        <v>32</v>
      </c>
      <c r="FI2" s="12" t="s">
        <v>31</v>
      </c>
      <c r="FJ2" s="12" t="s">
        <v>123</v>
      </c>
      <c r="FK2" s="12" t="s">
        <v>30</v>
      </c>
      <c r="FL2" s="12" t="s">
        <v>25</v>
      </c>
      <c r="FM2" s="135" t="s">
        <v>43</v>
      </c>
      <c r="FN2" s="135"/>
      <c r="FO2" s="135"/>
      <c r="FP2" s="135"/>
      <c r="FQ2" s="135" t="s">
        <v>46</v>
      </c>
      <c r="FR2" s="135"/>
      <c r="FS2" s="135"/>
      <c r="FT2" s="135"/>
      <c r="FU2" s="135" t="s">
        <v>47</v>
      </c>
      <c r="FV2" s="135"/>
      <c r="FW2" s="135"/>
      <c r="FX2" s="135"/>
      <c r="FY2" s="146" t="s">
        <v>48</v>
      </c>
      <c r="FZ2" s="146"/>
      <c r="GA2" s="146"/>
      <c r="GB2" s="146"/>
      <c r="GC2" s="21" t="s">
        <v>32</v>
      </c>
      <c r="GD2" s="9" t="s">
        <v>31</v>
      </c>
      <c r="GE2" s="9" t="s">
        <v>123</v>
      </c>
      <c r="GF2" s="9" t="s">
        <v>30</v>
      </c>
      <c r="GG2" s="9" t="s">
        <v>25</v>
      </c>
      <c r="GH2" s="138" t="s">
        <v>43</v>
      </c>
      <c r="GI2" s="138"/>
      <c r="GJ2" s="138"/>
      <c r="GK2" s="138"/>
      <c r="GL2" s="138" t="s">
        <v>46</v>
      </c>
      <c r="GM2" s="138"/>
      <c r="GN2" s="138"/>
      <c r="GO2" s="138"/>
      <c r="GP2" s="138" t="s">
        <v>47</v>
      </c>
      <c r="GQ2" s="138"/>
      <c r="GR2" s="138"/>
      <c r="GS2" s="138"/>
      <c r="GT2" s="145" t="s">
        <v>48</v>
      </c>
      <c r="GU2" s="145"/>
      <c r="GV2" s="145"/>
      <c r="GW2" s="145"/>
      <c r="GX2" s="20" t="s">
        <v>32</v>
      </c>
      <c r="GY2" s="12" t="s">
        <v>31</v>
      </c>
      <c r="GZ2" s="12" t="s">
        <v>123</v>
      </c>
      <c r="HA2" s="12" t="s">
        <v>30</v>
      </c>
      <c r="HB2" s="12" t="s">
        <v>25</v>
      </c>
      <c r="HC2" s="135" t="s">
        <v>43</v>
      </c>
      <c r="HD2" s="135"/>
      <c r="HE2" s="135"/>
      <c r="HF2" s="135"/>
      <c r="HG2" s="135" t="s">
        <v>46</v>
      </c>
      <c r="HH2" s="135"/>
      <c r="HI2" s="135"/>
      <c r="HJ2" s="135"/>
      <c r="HK2" s="135" t="s">
        <v>47</v>
      </c>
      <c r="HL2" s="135"/>
      <c r="HM2" s="135"/>
      <c r="HN2" s="135"/>
      <c r="HO2" s="146" t="s">
        <v>48</v>
      </c>
      <c r="HP2" s="146"/>
      <c r="HQ2" s="146"/>
      <c r="HR2" s="146"/>
      <c r="HS2" s="21" t="s">
        <v>32</v>
      </c>
      <c r="HT2" s="9" t="s">
        <v>31</v>
      </c>
      <c r="HU2" s="9" t="s">
        <v>123</v>
      </c>
      <c r="HV2" s="9" t="s">
        <v>30</v>
      </c>
      <c r="HW2" s="9" t="s">
        <v>25</v>
      </c>
      <c r="HX2" s="138" t="s">
        <v>43</v>
      </c>
      <c r="HY2" s="138"/>
      <c r="HZ2" s="138"/>
      <c r="IA2" s="138"/>
      <c r="IB2" s="138" t="s">
        <v>46</v>
      </c>
      <c r="IC2" s="138"/>
      <c r="ID2" s="138"/>
      <c r="IE2" s="138"/>
      <c r="IF2" s="138" t="s">
        <v>47</v>
      </c>
      <c r="IG2" s="138"/>
      <c r="IH2" s="138"/>
      <c r="II2" s="138"/>
      <c r="IJ2" s="145" t="s">
        <v>48</v>
      </c>
      <c r="IK2" s="145"/>
      <c r="IL2" s="145"/>
      <c r="IM2" s="145"/>
      <c r="IN2" s="20" t="s">
        <v>32</v>
      </c>
      <c r="IO2" s="12" t="s">
        <v>31</v>
      </c>
      <c r="IP2" s="12" t="s">
        <v>123</v>
      </c>
      <c r="IQ2" s="12" t="s">
        <v>30</v>
      </c>
      <c r="IR2" s="12" t="s">
        <v>25</v>
      </c>
      <c r="IS2" s="135" t="s">
        <v>43</v>
      </c>
      <c r="IT2" s="135"/>
      <c r="IU2" s="135"/>
      <c r="IV2" s="135"/>
      <c r="IW2" s="135" t="s">
        <v>46</v>
      </c>
      <c r="IX2" s="135"/>
      <c r="IY2" s="135"/>
      <c r="IZ2" s="135"/>
      <c r="JA2" s="135" t="s">
        <v>47</v>
      </c>
      <c r="JB2" s="135"/>
      <c r="JC2" s="135"/>
      <c r="JD2" s="135"/>
      <c r="JE2" s="146" t="s">
        <v>48</v>
      </c>
      <c r="JF2" s="146"/>
      <c r="JG2" s="146"/>
      <c r="JH2" s="146"/>
      <c r="JI2" s="21" t="s">
        <v>32</v>
      </c>
      <c r="JJ2" s="9" t="s">
        <v>31</v>
      </c>
      <c r="JK2" s="9" t="s">
        <v>123</v>
      </c>
      <c r="JL2" s="9" t="s">
        <v>30</v>
      </c>
      <c r="JM2" s="9" t="s">
        <v>25</v>
      </c>
      <c r="JN2" s="138" t="s">
        <v>43</v>
      </c>
      <c r="JO2" s="138"/>
      <c r="JP2" s="138"/>
      <c r="JQ2" s="138"/>
      <c r="JR2" s="138" t="s">
        <v>46</v>
      </c>
      <c r="JS2" s="138"/>
      <c r="JT2" s="138"/>
      <c r="JU2" s="138"/>
      <c r="JV2" s="138" t="s">
        <v>47</v>
      </c>
      <c r="JW2" s="138"/>
      <c r="JX2" s="138"/>
      <c r="JY2" s="138"/>
      <c r="JZ2" s="145" t="s">
        <v>48</v>
      </c>
      <c r="KA2" s="145"/>
      <c r="KB2" s="145"/>
      <c r="KC2" s="145"/>
      <c r="KD2" s="20" t="s">
        <v>32</v>
      </c>
      <c r="KE2" s="12" t="s">
        <v>31</v>
      </c>
      <c r="KF2" s="12" t="s">
        <v>123</v>
      </c>
      <c r="KG2" s="12" t="s">
        <v>30</v>
      </c>
      <c r="KH2" s="12" t="s">
        <v>25</v>
      </c>
      <c r="KI2" s="135" t="s">
        <v>43</v>
      </c>
      <c r="KJ2" s="135"/>
      <c r="KK2" s="135"/>
      <c r="KL2" s="135"/>
      <c r="KM2" s="135" t="s">
        <v>46</v>
      </c>
      <c r="KN2" s="135"/>
      <c r="KO2" s="135"/>
      <c r="KP2" s="135"/>
      <c r="KQ2" s="135" t="s">
        <v>47</v>
      </c>
      <c r="KR2" s="135"/>
      <c r="KS2" s="135"/>
      <c r="KT2" s="135"/>
      <c r="KU2" s="146" t="s">
        <v>48</v>
      </c>
      <c r="KV2" s="146"/>
      <c r="KW2" s="146"/>
      <c r="KX2" s="146"/>
      <c r="KY2" s="21" t="s">
        <v>32</v>
      </c>
      <c r="KZ2" s="9" t="s">
        <v>31</v>
      </c>
      <c r="LA2" s="9" t="s">
        <v>123</v>
      </c>
      <c r="LB2" s="9" t="s">
        <v>30</v>
      </c>
      <c r="LC2" s="9" t="s">
        <v>25</v>
      </c>
      <c r="LD2" s="138" t="s">
        <v>43</v>
      </c>
      <c r="LE2" s="138"/>
      <c r="LF2" s="138"/>
      <c r="LG2" s="138"/>
      <c r="LH2" s="138" t="s">
        <v>46</v>
      </c>
      <c r="LI2" s="138"/>
      <c r="LJ2" s="138"/>
      <c r="LK2" s="138"/>
      <c r="LL2" s="138" t="s">
        <v>47</v>
      </c>
      <c r="LM2" s="138"/>
      <c r="LN2" s="138"/>
      <c r="LO2" s="138"/>
      <c r="LP2" s="145" t="s">
        <v>48</v>
      </c>
      <c r="LQ2" s="145"/>
      <c r="LR2" s="145"/>
      <c r="LS2" s="145"/>
      <c r="LT2" s="20" t="s">
        <v>32</v>
      </c>
      <c r="LU2" s="12" t="s">
        <v>31</v>
      </c>
      <c r="LV2" s="12" t="s">
        <v>123</v>
      </c>
      <c r="LW2" s="12" t="s">
        <v>30</v>
      </c>
      <c r="LX2" s="12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9" t="s">
        <v>123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41"/>
      <c r="K3" s="141"/>
      <c r="L3" s="141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9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59" t="s">
        <v>22</v>
      </c>
      <c r="AZ3" s="59" t="s">
        <v>14</v>
      </c>
      <c r="BA3" s="59" t="s">
        <v>44</v>
      </c>
      <c r="BB3" s="59" t="s">
        <v>45</v>
      </c>
      <c r="BC3" s="79" t="s">
        <v>87</v>
      </c>
      <c r="BD3" s="13"/>
      <c r="BE3" s="12"/>
      <c r="BF3" s="12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9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0" t="s">
        <v>22</v>
      </c>
      <c r="CT3" s="60" t="s">
        <v>14</v>
      </c>
      <c r="CU3" s="60" t="s">
        <v>44</v>
      </c>
      <c r="CV3" s="60" t="s">
        <v>45</v>
      </c>
      <c r="CW3" s="10"/>
      <c r="CX3" s="9"/>
      <c r="CY3" s="9"/>
      <c r="CZ3" s="10"/>
      <c r="DA3" s="10"/>
      <c r="DB3" s="57" t="s">
        <v>22</v>
      </c>
      <c r="DC3" s="57" t="s">
        <v>14</v>
      </c>
      <c r="DD3" s="57" t="s">
        <v>44</v>
      </c>
      <c r="DE3" s="57" t="s">
        <v>45</v>
      </c>
      <c r="DF3" s="57" t="s">
        <v>22</v>
      </c>
      <c r="DG3" s="57" t="s">
        <v>14</v>
      </c>
      <c r="DH3" s="57" t="s">
        <v>44</v>
      </c>
      <c r="DI3" s="57" t="s">
        <v>45</v>
      </c>
      <c r="DJ3" s="57" t="s">
        <v>22</v>
      </c>
      <c r="DK3" s="57" t="s">
        <v>14</v>
      </c>
      <c r="DL3" s="57" t="s">
        <v>44</v>
      </c>
      <c r="DM3" s="57" t="s">
        <v>45</v>
      </c>
      <c r="DN3" s="59" t="s">
        <v>22</v>
      </c>
      <c r="DO3" s="59" t="s">
        <v>14</v>
      </c>
      <c r="DP3" s="59" t="s">
        <v>44</v>
      </c>
      <c r="DQ3" s="59" t="s">
        <v>45</v>
      </c>
      <c r="DR3" s="13"/>
      <c r="DS3" s="12"/>
      <c r="DT3" s="12"/>
      <c r="DU3" s="13"/>
      <c r="DV3" s="13"/>
      <c r="DW3" s="58" t="s">
        <v>22</v>
      </c>
      <c r="DX3" s="58" t="s">
        <v>14</v>
      </c>
      <c r="DY3" s="58" t="s">
        <v>44</v>
      </c>
      <c r="DZ3" s="58" t="s">
        <v>45</v>
      </c>
      <c r="EA3" s="58" t="s">
        <v>22</v>
      </c>
      <c r="EB3" s="58" t="s">
        <v>14</v>
      </c>
      <c r="EC3" s="58" t="s">
        <v>44</v>
      </c>
      <c r="ED3" s="58" t="s">
        <v>45</v>
      </c>
      <c r="EE3" s="58" t="s">
        <v>22</v>
      </c>
      <c r="EF3" s="58" t="s">
        <v>14</v>
      </c>
      <c r="EG3" s="58" t="s">
        <v>44</v>
      </c>
      <c r="EH3" s="58" t="s">
        <v>45</v>
      </c>
      <c r="EI3" s="60" t="s">
        <v>22</v>
      </c>
      <c r="EJ3" s="60" t="s">
        <v>14</v>
      </c>
      <c r="EK3" s="60" t="s">
        <v>44</v>
      </c>
      <c r="EL3" s="60" t="s">
        <v>45</v>
      </c>
      <c r="EM3" s="10"/>
      <c r="EN3" s="9"/>
      <c r="EO3" s="9"/>
      <c r="EP3" s="10"/>
      <c r="EQ3" s="10"/>
      <c r="ER3" s="28" t="s">
        <v>22</v>
      </c>
      <c r="ES3" s="28" t="s">
        <v>14</v>
      </c>
      <c r="ET3" s="28" t="s">
        <v>44</v>
      </c>
      <c r="EU3" s="28" t="s">
        <v>45</v>
      </c>
      <c r="EV3" s="28" t="s">
        <v>22</v>
      </c>
      <c r="EW3" s="28" t="s">
        <v>14</v>
      </c>
      <c r="EX3" s="28" t="s">
        <v>44</v>
      </c>
      <c r="EY3" s="28" t="s">
        <v>45</v>
      </c>
      <c r="EZ3" s="28" t="s">
        <v>22</v>
      </c>
      <c r="FA3" s="28" t="s">
        <v>14</v>
      </c>
      <c r="FB3" s="28" t="s">
        <v>44</v>
      </c>
      <c r="FC3" s="28" t="s">
        <v>45</v>
      </c>
      <c r="FD3" s="31" t="s">
        <v>22</v>
      </c>
      <c r="FE3" s="31" t="s">
        <v>14</v>
      </c>
      <c r="FF3" s="31" t="s">
        <v>44</v>
      </c>
      <c r="FG3" s="31" t="s">
        <v>45</v>
      </c>
      <c r="FH3" s="13"/>
      <c r="FI3" s="12"/>
      <c r="FJ3" s="12"/>
      <c r="FK3" s="13"/>
      <c r="FL3" s="13"/>
      <c r="FM3" s="29" t="s">
        <v>22</v>
      </c>
      <c r="FN3" s="29" t="s">
        <v>14</v>
      </c>
      <c r="FO3" s="29" t="s">
        <v>44</v>
      </c>
      <c r="FP3" s="29" t="s">
        <v>45</v>
      </c>
      <c r="FQ3" s="29" t="s">
        <v>22</v>
      </c>
      <c r="FR3" s="29" t="s">
        <v>14</v>
      </c>
      <c r="FS3" s="29" t="s">
        <v>44</v>
      </c>
      <c r="FT3" s="29" t="s">
        <v>45</v>
      </c>
      <c r="FU3" s="29" t="s">
        <v>22</v>
      </c>
      <c r="FV3" s="29" t="s">
        <v>14</v>
      </c>
      <c r="FW3" s="29" t="s">
        <v>44</v>
      </c>
      <c r="FX3" s="29" t="s">
        <v>45</v>
      </c>
      <c r="FY3" s="30" t="s">
        <v>22</v>
      </c>
      <c r="FZ3" s="30" t="s">
        <v>14</v>
      </c>
      <c r="GA3" s="30" t="s">
        <v>44</v>
      </c>
      <c r="GB3" s="30" t="s">
        <v>45</v>
      </c>
      <c r="GC3" s="10"/>
      <c r="GD3" s="9"/>
      <c r="GE3" s="9"/>
      <c r="GF3" s="10"/>
      <c r="GG3" s="10"/>
      <c r="GH3" s="28" t="s">
        <v>22</v>
      </c>
      <c r="GI3" s="28" t="s">
        <v>14</v>
      </c>
      <c r="GJ3" s="28" t="s">
        <v>44</v>
      </c>
      <c r="GK3" s="28" t="s">
        <v>45</v>
      </c>
      <c r="GL3" s="28" t="s">
        <v>22</v>
      </c>
      <c r="GM3" s="28" t="s">
        <v>14</v>
      </c>
      <c r="GN3" s="28" t="s">
        <v>44</v>
      </c>
      <c r="GO3" s="28" t="s">
        <v>45</v>
      </c>
      <c r="GP3" s="28" t="s">
        <v>22</v>
      </c>
      <c r="GQ3" s="28" t="s">
        <v>14</v>
      </c>
      <c r="GR3" s="28" t="s">
        <v>44</v>
      </c>
      <c r="GS3" s="28" t="s">
        <v>45</v>
      </c>
      <c r="GT3" s="31" t="s">
        <v>22</v>
      </c>
      <c r="GU3" s="31" t="s">
        <v>14</v>
      </c>
      <c r="GV3" s="31" t="s">
        <v>44</v>
      </c>
      <c r="GW3" s="31" t="s">
        <v>45</v>
      </c>
      <c r="GX3" s="13"/>
      <c r="GY3" s="12"/>
      <c r="GZ3" s="12"/>
      <c r="HA3" s="13"/>
      <c r="HB3" s="13"/>
      <c r="HC3" s="29" t="s">
        <v>22</v>
      </c>
      <c r="HD3" s="29" t="s">
        <v>14</v>
      </c>
      <c r="HE3" s="29" t="s">
        <v>44</v>
      </c>
      <c r="HF3" s="29" t="s">
        <v>45</v>
      </c>
      <c r="HG3" s="29" t="s">
        <v>22</v>
      </c>
      <c r="HH3" s="29" t="s">
        <v>14</v>
      </c>
      <c r="HI3" s="29" t="s">
        <v>44</v>
      </c>
      <c r="HJ3" s="29" t="s">
        <v>45</v>
      </c>
      <c r="HK3" s="29" t="s">
        <v>22</v>
      </c>
      <c r="HL3" s="29" t="s">
        <v>14</v>
      </c>
      <c r="HM3" s="29" t="s">
        <v>44</v>
      </c>
      <c r="HN3" s="29" t="s">
        <v>45</v>
      </c>
      <c r="HO3" s="30" t="s">
        <v>22</v>
      </c>
      <c r="HP3" s="30" t="s">
        <v>14</v>
      </c>
      <c r="HQ3" s="30" t="s">
        <v>44</v>
      </c>
      <c r="HR3" s="30" t="s">
        <v>45</v>
      </c>
      <c r="HS3" s="10"/>
      <c r="HT3" s="9"/>
      <c r="HU3" s="9"/>
      <c r="HV3" s="10"/>
      <c r="HW3" s="10"/>
      <c r="HX3" s="28" t="s">
        <v>22</v>
      </c>
      <c r="HY3" s="28" t="s">
        <v>14</v>
      </c>
      <c r="HZ3" s="28" t="s">
        <v>44</v>
      </c>
      <c r="IA3" s="28" t="s">
        <v>45</v>
      </c>
      <c r="IB3" s="28" t="s">
        <v>22</v>
      </c>
      <c r="IC3" s="28" t="s">
        <v>14</v>
      </c>
      <c r="ID3" s="28" t="s">
        <v>44</v>
      </c>
      <c r="IE3" s="28" t="s">
        <v>45</v>
      </c>
      <c r="IF3" s="28" t="s">
        <v>22</v>
      </c>
      <c r="IG3" s="28" t="s">
        <v>14</v>
      </c>
      <c r="IH3" s="28" t="s">
        <v>44</v>
      </c>
      <c r="II3" s="28" t="s">
        <v>45</v>
      </c>
      <c r="IJ3" s="31" t="s">
        <v>22</v>
      </c>
      <c r="IK3" s="31" t="s">
        <v>14</v>
      </c>
      <c r="IL3" s="31" t="s">
        <v>44</v>
      </c>
      <c r="IM3" s="31" t="s">
        <v>45</v>
      </c>
      <c r="IN3" s="13"/>
      <c r="IO3" s="12"/>
      <c r="IP3" s="12"/>
      <c r="IQ3" s="13"/>
      <c r="IR3" s="13"/>
      <c r="IS3" s="29" t="s">
        <v>22</v>
      </c>
      <c r="IT3" s="29" t="s">
        <v>14</v>
      </c>
      <c r="IU3" s="29" t="s">
        <v>44</v>
      </c>
      <c r="IV3" s="29" t="s">
        <v>45</v>
      </c>
      <c r="IW3" s="29" t="s">
        <v>22</v>
      </c>
      <c r="IX3" s="29" t="s">
        <v>14</v>
      </c>
      <c r="IY3" s="29" t="s">
        <v>44</v>
      </c>
      <c r="IZ3" s="29" t="s">
        <v>45</v>
      </c>
      <c r="JA3" s="29" t="s">
        <v>22</v>
      </c>
      <c r="JB3" s="29" t="s">
        <v>14</v>
      </c>
      <c r="JC3" s="29" t="s">
        <v>44</v>
      </c>
      <c r="JD3" s="29" t="s">
        <v>45</v>
      </c>
      <c r="JE3" s="30" t="s">
        <v>22</v>
      </c>
      <c r="JF3" s="30" t="s">
        <v>14</v>
      </c>
      <c r="JG3" s="30" t="s">
        <v>44</v>
      </c>
      <c r="JH3" s="30" t="s">
        <v>45</v>
      </c>
      <c r="JI3" s="10"/>
      <c r="JJ3" s="9"/>
      <c r="JK3" s="9"/>
      <c r="JL3" s="10"/>
      <c r="JM3" s="10"/>
      <c r="JN3" s="28" t="s">
        <v>22</v>
      </c>
      <c r="JO3" s="28" t="s">
        <v>14</v>
      </c>
      <c r="JP3" s="28" t="s">
        <v>44</v>
      </c>
      <c r="JQ3" s="28" t="s">
        <v>45</v>
      </c>
      <c r="JR3" s="28" t="s">
        <v>22</v>
      </c>
      <c r="JS3" s="28" t="s">
        <v>14</v>
      </c>
      <c r="JT3" s="28" t="s">
        <v>44</v>
      </c>
      <c r="JU3" s="28" t="s">
        <v>45</v>
      </c>
      <c r="JV3" s="28" t="s">
        <v>22</v>
      </c>
      <c r="JW3" s="28" t="s">
        <v>14</v>
      </c>
      <c r="JX3" s="28" t="s">
        <v>44</v>
      </c>
      <c r="JY3" s="28" t="s">
        <v>45</v>
      </c>
      <c r="JZ3" s="31" t="s">
        <v>22</v>
      </c>
      <c r="KA3" s="31" t="s">
        <v>14</v>
      </c>
      <c r="KB3" s="31" t="s">
        <v>44</v>
      </c>
      <c r="KC3" s="31" t="s">
        <v>45</v>
      </c>
      <c r="KD3" s="13"/>
      <c r="KE3" s="12"/>
      <c r="KF3" s="12"/>
      <c r="KG3" s="13"/>
      <c r="KH3" s="13"/>
      <c r="KI3" s="29" t="s">
        <v>22</v>
      </c>
      <c r="KJ3" s="29" t="s">
        <v>14</v>
      </c>
      <c r="KK3" s="29" t="s">
        <v>44</v>
      </c>
      <c r="KL3" s="29" t="s">
        <v>45</v>
      </c>
      <c r="KM3" s="29" t="s">
        <v>22</v>
      </c>
      <c r="KN3" s="29" t="s">
        <v>14</v>
      </c>
      <c r="KO3" s="29" t="s">
        <v>44</v>
      </c>
      <c r="KP3" s="29" t="s">
        <v>45</v>
      </c>
      <c r="KQ3" s="29" t="s">
        <v>22</v>
      </c>
      <c r="KR3" s="29" t="s">
        <v>14</v>
      </c>
      <c r="KS3" s="29" t="s">
        <v>44</v>
      </c>
      <c r="KT3" s="29" t="s">
        <v>45</v>
      </c>
      <c r="KU3" s="30" t="s">
        <v>22</v>
      </c>
      <c r="KV3" s="30" t="s">
        <v>14</v>
      </c>
      <c r="KW3" s="30" t="s">
        <v>44</v>
      </c>
      <c r="KX3" s="30" t="s">
        <v>45</v>
      </c>
      <c r="KY3" s="10"/>
      <c r="KZ3" s="9"/>
      <c r="LA3" s="9"/>
      <c r="LB3" s="10"/>
      <c r="LC3" s="10"/>
      <c r="LD3" s="28" t="s">
        <v>22</v>
      </c>
      <c r="LE3" s="28" t="s">
        <v>14</v>
      </c>
      <c r="LF3" s="28" t="s">
        <v>44</v>
      </c>
      <c r="LG3" s="28" t="s">
        <v>45</v>
      </c>
      <c r="LH3" s="28" t="s">
        <v>22</v>
      </c>
      <c r="LI3" s="28" t="s">
        <v>14</v>
      </c>
      <c r="LJ3" s="28" t="s">
        <v>44</v>
      </c>
      <c r="LK3" s="28" t="s">
        <v>45</v>
      </c>
      <c r="LL3" s="28" t="s">
        <v>22</v>
      </c>
      <c r="LM3" s="28" t="s">
        <v>14</v>
      </c>
      <c r="LN3" s="28" t="s">
        <v>44</v>
      </c>
      <c r="LO3" s="28" t="s">
        <v>45</v>
      </c>
      <c r="LP3" s="31" t="s">
        <v>22</v>
      </c>
      <c r="LQ3" s="31" t="s">
        <v>14</v>
      </c>
      <c r="LR3" s="31" t="s">
        <v>44</v>
      </c>
      <c r="LS3" s="31" t="s">
        <v>45</v>
      </c>
      <c r="LT3" s="13"/>
      <c r="LU3" s="12"/>
      <c r="LV3" s="12"/>
      <c r="LW3" s="13"/>
      <c r="LX3" s="13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85</v>
      </c>
      <c r="C4" s="7" t="s">
        <v>3</v>
      </c>
      <c r="D4" s="27">
        <v>2000</v>
      </c>
      <c r="E4" s="15">
        <f>SUM(J4:N4)</f>
        <v>125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65.099999999999994</v>
      </c>
      <c r="K4" s="14" t="str">
        <f>IF(J4=0,"",IF(J4=CA4,$BI$1,IF(J4=BE4,$AM$1,IF(J4=AI4,$Q$1,""))))</f>
        <v>2019 Nationals</v>
      </c>
      <c r="L4" s="14">
        <f>MAX(AK4,BG4,CC4)</f>
        <v>59.9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26.5</v>
      </c>
      <c r="R4" s="41">
        <v>6.1</v>
      </c>
      <c r="S4" s="41">
        <v>0</v>
      </c>
      <c r="T4" s="41">
        <v>0</v>
      </c>
      <c r="U4" s="41">
        <v>28</v>
      </c>
      <c r="V4" s="41">
        <v>4.5</v>
      </c>
      <c r="W4" s="41">
        <v>0</v>
      </c>
      <c r="X4" s="41">
        <v>0</v>
      </c>
      <c r="Y4" s="41">
        <v>16.899999999999999</v>
      </c>
      <c r="Z4" s="41">
        <v>2.8</v>
      </c>
      <c r="AA4" s="41">
        <v>0</v>
      </c>
      <c r="AB4" s="41">
        <v>0</v>
      </c>
      <c r="AC4" s="41">
        <v>26.4</v>
      </c>
      <c r="AD4" s="41">
        <v>6.1</v>
      </c>
      <c r="AE4" s="41">
        <v>0</v>
      </c>
      <c r="AF4" s="41">
        <v>0</v>
      </c>
      <c r="AG4" s="80"/>
      <c r="AH4" s="11">
        <f>IF(SUM(R4,V4)&gt;0,SUM(R4,V4),"")</f>
        <v>10.6</v>
      </c>
      <c r="AI4" s="11">
        <f>IF(SUM(Q4:R4,T4:V4,X4)-S4-W4&gt;0,SUM(Q4:R4,T4:V4,X4)-S4-W4,"")</f>
        <v>65.099999999999994</v>
      </c>
      <c r="AJ4" s="11">
        <f>IF(SUM(Z4,AD4)&gt;0,SUM(Z4,AD4),"")</f>
        <v>8.8999999999999986</v>
      </c>
      <c r="AK4" s="11">
        <f>IF(SUM(Y4:Z4,AB4:AD4,AF4)-SUM(AA4,AE4)&gt;0,SUM(Y4:Z4,AB4:AD4,AF4)-SUM(AA4,AE4),"")</f>
        <v>52.199999999999996</v>
      </c>
      <c r="AL4" s="11">
        <f>IF(SUM(AI4,AK4)&gt;0,SUM(AI4,AK4),"")</f>
        <v>117.29999999999998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>
        <v>26.3</v>
      </c>
      <c r="BJ4" s="41">
        <v>3.6</v>
      </c>
      <c r="BK4" s="41">
        <v>0</v>
      </c>
      <c r="BL4" s="41">
        <v>0</v>
      </c>
      <c r="BM4" s="41">
        <v>26.2</v>
      </c>
      <c r="BN4" s="41">
        <v>4.5</v>
      </c>
      <c r="BO4" s="41">
        <v>0</v>
      </c>
      <c r="BP4" s="41">
        <v>0.3</v>
      </c>
      <c r="BQ4" s="41">
        <v>26.7</v>
      </c>
      <c r="BR4" s="41">
        <v>3.2</v>
      </c>
      <c r="BS4" s="41">
        <v>0.4</v>
      </c>
      <c r="BT4" s="41">
        <v>0</v>
      </c>
      <c r="BU4" s="41">
        <v>25.6</v>
      </c>
      <c r="BV4" s="41">
        <v>4.5</v>
      </c>
      <c r="BW4" s="41">
        <v>0</v>
      </c>
      <c r="BX4" s="41">
        <v>0.3</v>
      </c>
      <c r="BY4" s="80"/>
      <c r="BZ4" s="11">
        <f>IF(SUM(BJ4,BN4)&gt;0,SUM(BJ4,BN4),"")</f>
        <v>8.1</v>
      </c>
      <c r="CA4" s="11">
        <f>IF(SUM(BI4:BJ4,BL4:BN4,BP4)-BK4-BO4&gt;0,SUM(BI4:BJ4,BL4:BN4,BP4)-BK4-BO4,"")</f>
        <v>60.9</v>
      </c>
      <c r="CB4" s="11">
        <f>IF(SUM(BR4,BV4)&gt;0,SUM(BR4,BV4),"")</f>
        <v>7.7</v>
      </c>
      <c r="CC4" s="11">
        <f>IF(SUM(BQ4:BR4,BT4:BV4,BX4)-SUM(BS4,BW4)&gt;0,SUM(BQ4:BR4,BT4:BV4,BX4)-SUM(BS4,BW4),"")</f>
        <v>59.9</v>
      </c>
      <c r="CD4" s="11">
        <f>IF(SUM(CA4,CC4)&gt;0,SUM(CA4,CC4),"")</f>
        <v>120.8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13.15</v>
      </c>
      <c r="LZ4" s="69">
        <f>IF($BY4="P",BJ4,(BJ4+AN4)/2)</f>
        <v>1.8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13.1</v>
      </c>
      <c r="MD4" s="69">
        <f>IF($BY4="P",BN4,(BN4+AR4)/2)</f>
        <v>2.25</v>
      </c>
      <c r="ME4" s="69">
        <f>IF($BY4="P",BO4,(BO4+AS4)/2)</f>
        <v>0</v>
      </c>
      <c r="MF4" s="69">
        <f>IF($BY4="P",BP4,(BP4+AT4)/2)</f>
        <v>0.15</v>
      </c>
      <c r="MG4" s="69">
        <f>IF($BY4="P",BQ4,(BQ4+AU4)/2)</f>
        <v>13.35</v>
      </c>
      <c r="MH4" s="69">
        <f>IF($BY4="P",BR4,(BR4+AV4)/2)</f>
        <v>1.6</v>
      </c>
      <c r="MI4" s="69">
        <f>IF($BY4="P",BS4,(BS4+AW4)/2)</f>
        <v>0.2</v>
      </c>
      <c r="MJ4" s="69">
        <f>IF($BY4="P",BT4,(BT4+AX4)/2)</f>
        <v>0</v>
      </c>
      <c r="MK4" s="69">
        <f>IF($BY4="P",BU4,(BU4+AY4)/2)</f>
        <v>12.8</v>
      </c>
      <c r="ML4" s="69">
        <f>IF($BY4="P",BV4,(BV4+AZ4)/2)</f>
        <v>2.25</v>
      </c>
      <c r="MM4" s="69">
        <f>IF($BY4="P",BW4,(BW4+BA4)/2)</f>
        <v>0</v>
      </c>
      <c r="MN4" s="69">
        <f>IF($BY4="P",BX4,(BX4+BB4)/2)</f>
        <v>0.15</v>
      </c>
      <c r="MO4" s="80" t="s">
        <v>88</v>
      </c>
      <c r="MP4" s="11">
        <f>IF(SUM(LZ4,MD4)&gt;0,SUM(LZ4,MD4),"")</f>
        <v>4.05</v>
      </c>
      <c r="MQ4" s="11">
        <f>IF(SUM(LY4:LZ4,MB4:MD4,MF4)-MA4-ME4&gt;0,SUM(LY4:LZ4,MB4:MD4,MF4)-MA4-ME4,"")</f>
        <v>30.45</v>
      </c>
      <c r="MR4" s="11">
        <f>IF(SUM(MH4,ML4)&gt;0,SUM(MH4,ML4),"")</f>
        <v>3.85</v>
      </c>
      <c r="MS4" s="11">
        <f>IF(SUM(MG4:MH4,MJ4:ML4,MN4)-SUM(MI4,MM4)&gt;0,SUM(MG4:MH4,MJ4:ML4,MN4)-SUM(MI4,MM4),"")</f>
        <v>29.95</v>
      </c>
      <c r="MT4" s="11">
        <f>IF(SUM(MQ4,MS4)&gt;0,SUM(MQ4,MS4),"")</f>
        <v>60.4</v>
      </c>
    </row>
    <row r="5" spans="1:358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189</v>
      </c>
      <c r="C5" s="7" t="s">
        <v>3</v>
      </c>
      <c r="D5" s="27">
        <v>2004</v>
      </c>
      <c r="E5" s="15">
        <f>SUM(J5:N5)</f>
        <v>123.79999999999998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>P</v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>P</v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62.199999999999996</v>
      </c>
      <c r="K5" s="14" t="str">
        <f>IF(J5=0,"",IF(J5=CA5,$BI$1,IF(J5=BE5,$AM$1,IF(J5=AI5,$Q$1,""))))</f>
        <v>2019 Nationals</v>
      </c>
      <c r="L5" s="14">
        <f>MAX(AK5,BG5,CC5)</f>
        <v>61.599999999999994</v>
      </c>
      <c r="M5" s="14" t="str">
        <f>IF(L5=0,"",IF(J5=CC5,$BI$1,IF(L5=BG5,$AM$1,IF(L5=AK5,$Q$1,""))))</f>
        <v>2019 Nationals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26.7</v>
      </c>
      <c r="R5" s="41">
        <v>3.8</v>
      </c>
      <c r="S5" s="41">
        <v>0</v>
      </c>
      <c r="T5" s="41">
        <v>0</v>
      </c>
      <c r="U5" s="41">
        <v>26.4</v>
      </c>
      <c r="V5" s="41">
        <v>4.3</v>
      </c>
      <c r="W5" s="41">
        <v>0</v>
      </c>
      <c r="X5" s="41">
        <v>1</v>
      </c>
      <c r="Y5" s="41">
        <v>27</v>
      </c>
      <c r="Z5" s="41">
        <v>3.6</v>
      </c>
      <c r="AA5" s="41">
        <v>0</v>
      </c>
      <c r="AB5" s="41">
        <v>0</v>
      </c>
      <c r="AC5" s="41">
        <v>25.7</v>
      </c>
      <c r="AD5" s="41">
        <v>4.3</v>
      </c>
      <c r="AE5" s="41">
        <v>0</v>
      </c>
      <c r="AF5" s="41">
        <v>1</v>
      </c>
      <c r="AG5" s="80"/>
      <c r="AH5" s="11">
        <f>IF(SUM(R5,V5)&gt;0,SUM(R5,V5),"")</f>
        <v>8.1</v>
      </c>
      <c r="AI5" s="11">
        <f>IF(SUM(Q5:R5,T5:V5,X5)-S5-W5&gt;0,SUM(Q5:R5,T5:V5,X5)-S5-W5,"")</f>
        <v>62.199999999999996</v>
      </c>
      <c r="AJ5" s="11">
        <f>IF(SUM(Z5,AD5)&gt;0,SUM(Z5,AD5),"")</f>
        <v>7.9</v>
      </c>
      <c r="AK5" s="11">
        <f>IF(SUM(Y5:Z5,AB5:AD5,AF5)-SUM(AA5,AE5)&gt;0,SUM(Y5:Z5,AB5:AD5,AF5)-SUM(AA5,AE5),"")</f>
        <v>61.599999999999994</v>
      </c>
      <c r="AL5" s="11">
        <f>IF(SUM(AI5,AK5)&gt;0,SUM(AI5,AK5),"")</f>
        <v>123.79999999999998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/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1">
        <v>25.6</v>
      </c>
      <c r="BJ5" s="41">
        <v>3.6</v>
      </c>
      <c r="BK5" s="41">
        <v>0</v>
      </c>
      <c r="BL5" s="41">
        <v>0</v>
      </c>
      <c r="BM5" s="41">
        <v>23.9</v>
      </c>
      <c r="BN5" s="41">
        <v>4.3</v>
      </c>
      <c r="BO5" s="41">
        <v>0</v>
      </c>
      <c r="BP5" s="41">
        <v>0.3</v>
      </c>
      <c r="BQ5" s="41">
        <v>25.6</v>
      </c>
      <c r="BR5" s="41">
        <v>3.2</v>
      </c>
      <c r="BS5" s="41">
        <v>0.4</v>
      </c>
      <c r="BT5" s="41">
        <v>0</v>
      </c>
      <c r="BU5" s="41">
        <v>24.9</v>
      </c>
      <c r="BV5" s="41">
        <v>4.3</v>
      </c>
      <c r="BW5" s="41">
        <v>0</v>
      </c>
      <c r="BX5" s="41">
        <v>0.3</v>
      </c>
      <c r="BY5" s="80"/>
      <c r="BZ5" s="11">
        <f>IF(SUM(BJ5,BN5)&gt;0,SUM(BJ5,BN5),"")</f>
        <v>7.9</v>
      </c>
      <c r="CA5" s="11">
        <f>IF(SUM(BI5:BJ5,BL5:BN5,BP5)-BK5-BO5&gt;0,SUM(BI5:BJ5,BL5:BN5,BP5)-BK5-BO5,"")</f>
        <v>57.699999999999996</v>
      </c>
      <c r="CB5" s="11"/>
      <c r="CC5" s="11">
        <f>IF(SUM(BQ5:BR5,BT5:BV5,BX5)-SUM(BS5,BW5)&gt;0,SUM(BQ5:BR5,BT5:BV5,BX5)-SUM(BS5,BW5),"")</f>
        <v>57.9</v>
      </c>
      <c r="CD5" s="11">
        <f>IF(SUM(CA5,CC5)&gt;0,SUM(CA5,CC5),"")</f>
        <v>115.6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12.8</v>
      </c>
      <c r="LZ5" s="69">
        <f>IF($BY5="P",BJ5,(BJ5+AN5)/2)</f>
        <v>1.8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11.95</v>
      </c>
      <c r="MD5" s="69">
        <f>IF($BY5="P",BN5,(BN5+AR5)/2)</f>
        <v>2.15</v>
      </c>
      <c r="ME5" s="69">
        <f>IF($BY5="P",BO5,(BO5+AS5)/2)</f>
        <v>0</v>
      </c>
      <c r="MF5" s="69">
        <f>IF($BY5="P",BP5,(BP5+AT5)/2)</f>
        <v>0.15</v>
      </c>
      <c r="MG5" s="69">
        <f>IF($BY5="P",BQ5,(BQ5+AU5)/2)</f>
        <v>12.8</v>
      </c>
      <c r="MH5" s="69">
        <f>IF($BY5="P",BR5,(BR5+AV5)/2)</f>
        <v>1.6</v>
      </c>
      <c r="MI5" s="69">
        <f>IF($BY5="P",BS5,(BS5+AW5)/2)</f>
        <v>0.2</v>
      </c>
      <c r="MJ5" s="69">
        <f>IF($BY5="P",BT5,(BT5+AX5)/2)</f>
        <v>0</v>
      </c>
      <c r="MK5" s="69">
        <f>IF($BY5="P",BU5,(BU5+AY5)/2)</f>
        <v>12.45</v>
      </c>
      <c r="ML5" s="69">
        <f>IF($BY5="P",BV5,(BV5+AZ5)/2)</f>
        <v>2.15</v>
      </c>
      <c r="MM5" s="69">
        <f>IF($BY5="P",BW5,(BW5+BA5)/2)</f>
        <v>0</v>
      </c>
      <c r="MN5" s="69">
        <f>IF($BY5="P",BX5,(BX5+BB5)/2)</f>
        <v>0.15</v>
      </c>
      <c r="MO5" s="80" t="s">
        <v>88</v>
      </c>
      <c r="MP5" s="11">
        <f>IF(SUM(LZ5,MD5)&gt;0,SUM(LZ5,MD5),"")</f>
        <v>3.95</v>
      </c>
      <c r="MQ5" s="11">
        <f>IF(SUM(LY5:LZ5,MB5:MD5,MF5)-MA5-ME5&gt;0,SUM(LY5:LZ5,MB5:MD5,MF5)-MA5-ME5,"")</f>
        <v>28.849999999999998</v>
      </c>
      <c r="MR5" s="11">
        <f>IF(SUM(MH5,ML5)&gt;0,SUM(MH5,ML5),"")</f>
        <v>3.75</v>
      </c>
      <c r="MS5" s="11">
        <f>IF(SUM(MG5:MH5,MJ5:ML5,MN5)-SUM(MI5,MM5)&gt;0,SUM(MG5:MH5,MJ5:ML5,MN5)-SUM(MI5,MM5),"")</f>
        <v>28.95</v>
      </c>
      <c r="MT5" s="11">
        <f>IF(SUM(MQ5,MS5)&gt;0,SUM(MQ5,MS5),"")</f>
        <v>57.8</v>
      </c>
    </row>
    <row r="6" spans="1:358" x14ac:dyDescent="0.2">
      <c r="A6" s="5">
        <f>IF(AND(F6="P",G6="P"),SUMPRODUCT((F$4:F$8="P")*(G$4:G$8="P")*(E$4:E$8&gt;E6))+1,IF(G6="P",SUMPRODUCT((F$4:F$8="")*(G$4:G$8="P")*(E$4:E$8&gt;E6))+1+SUMPRODUCT((F$4:F$8="P")*(G$4:G$8="P")),""))</f>
        <v>3</v>
      </c>
      <c r="B6" s="6" t="s">
        <v>155</v>
      </c>
      <c r="C6" s="7" t="s">
        <v>3</v>
      </c>
      <c r="D6" s="27">
        <v>2003</v>
      </c>
      <c r="E6" s="15">
        <f>SUM(J6:N6)</f>
        <v>89.8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>P</v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>P</v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63.599999999999994</v>
      </c>
      <c r="K6" s="14" t="str">
        <f>IF(J6=0,"",IF(J6=CA6,$BI$1,IF(J6=BE6,$AM$1,IF(J6=AI6,$Q$1,""))))</f>
        <v>2019 Nationals</v>
      </c>
      <c r="L6" s="14">
        <f>MAX(AK6,BG6,CC6)</f>
        <v>26.2</v>
      </c>
      <c r="M6" s="14" t="str">
        <f>IF(L6=0,"",IF(J6=CC6,$BI$1,IF(L6=BG6,$AM$1,IF(L6=AK6,$Q$1,""))))</f>
        <v>2019 Nationals</v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25</v>
      </c>
      <c r="R6" s="41">
        <v>6.1</v>
      </c>
      <c r="S6" s="41">
        <v>0</v>
      </c>
      <c r="T6" s="41">
        <v>1</v>
      </c>
      <c r="U6" s="41">
        <v>26.2</v>
      </c>
      <c r="V6" s="41">
        <v>4.3</v>
      </c>
      <c r="W6" s="41">
        <v>0</v>
      </c>
      <c r="X6" s="41">
        <v>1</v>
      </c>
      <c r="Y6" s="41">
        <v>23.3</v>
      </c>
      <c r="Z6" s="41">
        <v>2.9</v>
      </c>
      <c r="AA6" s="41">
        <v>0</v>
      </c>
      <c r="AB6" s="41">
        <v>0</v>
      </c>
      <c r="AC6" s="41"/>
      <c r="AD6" s="41"/>
      <c r="AE6" s="41"/>
      <c r="AF6" s="41"/>
      <c r="AG6" s="80"/>
      <c r="AH6" s="11">
        <f>IF(SUM(R6,V6)&gt;0,SUM(R6,V6),"")</f>
        <v>10.399999999999999</v>
      </c>
      <c r="AI6" s="11">
        <f>IF(SUM(Q6:R6,T6:V6,X6)-S6-W6&gt;0,SUM(Q6:R6,T6:V6,X6)-S6-W6,"")</f>
        <v>63.599999999999994</v>
      </c>
      <c r="AJ6" s="11">
        <f>IF(SUM(Z6,AD6)&gt;0,SUM(Z6,AD6),"")</f>
        <v>2.9</v>
      </c>
      <c r="AK6" s="11">
        <f>IF(SUM(Y6:Z6,AB6:AD6,AF6)-SUM(AA6,AE6)&gt;0,SUM(Y6:Z6,AB6:AD6,AF6)-SUM(AA6,AE6),"")</f>
        <v>26.2</v>
      </c>
      <c r="AL6" s="11">
        <f>IF(SUM(AI6,AK6)&gt;0,SUM(AI6,AK6),"")</f>
        <v>89.8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/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80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/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0</v>
      </c>
      <c r="LZ6" s="69">
        <f>IF($BY6="P",BJ6,(BJ6+AN6)/2)</f>
        <v>0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0</v>
      </c>
      <c r="MD6" s="69">
        <f>IF($BY6="P",BN6,(BN6+AR6)/2)</f>
        <v>0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0</v>
      </c>
      <c r="MH6" s="69">
        <f>IF($BY6="P",BR6,(BR6+AV6)/2)</f>
        <v>0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88</v>
      </c>
      <c r="MP6" s="11" t="str">
        <f>IF(SUM(LZ6,MD6)&gt;0,SUM(LZ6,MD6),"")</f>
        <v/>
      </c>
      <c r="MQ6" s="11" t="str">
        <f>IF(SUM(LY6:LZ6,MB6:MD6,MF6)-MA6-ME6&gt;0,SUM(LY6:LZ6,MB6:MD6,MF6)-MA6-ME6,"")</f>
        <v/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 t="str">
        <f>IF(SUM(MQ6,MS6)&gt;0,SUM(MQ6,MS6),"")</f>
        <v/>
      </c>
    </row>
    <row r="7" spans="1:358" x14ac:dyDescent="0.2">
      <c r="A7" s="5">
        <f>IF(AND(F7="P",G7="P"),SUMPRODUCT((F$4:F$8="P")*(G$4:G$8="P")*(E$4:E$8&gt;E7))+1,IF(G7="P",SUMPRODUCT((F$4:F$8="")*(G$4:G$8="P")*(E$4:E$8&gt;E7))+1+SUMPRODUCT((F$4:F$8="P")*(G$4:G$8="P")),""))</f>
        <v>4</v>
      </c>
      <c r="B7" s="6" t="s">
        <v>154</v>
      </c>
      <c r="C7" s="7" t="s">
        <v>3</v>
      </c>
      <c r="D7" s="27">
        <v>2003</v>
      </c>
      <c r="E7" s="15">
        <f>SUM(J7:N7)</f>
        <v>124.8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>P</v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>No DD</v>
      </c>
      <c r="I7" s="3" t="str">
        <f>IF(OR(H7="Worlds Team",H7="Excellence",H7="Merit"),"P","")</f>
        <v/>
      </c>
      <c r="J7" s="14">
        <f>MAX(AI7,BE7,CA7)</f>
        <v>62.5</v>
      </c>
      <c r="K7" s="14" t="str">
        <f>IF(J7=0,"",IF(J7=CA7,$BI$1,IF(J7=BE7,$AM$1,IF(J7=AI7,$Q$1,""))))</f>
        <v>2019 Nationals</v>
      </c>
      <c r="L7" s="14">
        <f>MAX(AK7,BG7,CC7)</f>
        <v>62.3</v>
      </c>
      <c r="M7" s="14" t="str">
        <f>IF(L7=0,"",IF(J7=CC7,$BI$1,IF(L7=BG7,$AM$1,IF(L7=AK7,$Q$1,""))))</f>
        <v>2019 Nationals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26.7</v>
      </c>
      <c r="R7" s="41">
        <v>3.6</v>
      </c>
      <c r="S7" s="41">
        <v>0</v>
      </c>
      <c r="T7" s="41">
        <v>0</v>
      </c>
      <c r="U7" s="41">
        <v>26.9</v>
      </c>
      <c r="V7" s="41">
        <v>4.3</v>
      </c>
      <c r="W7" s="41">
        <v>0</v>
      </c>
      <c r="X7" s="41">
        <v>1</v>
      </c>
      <c r="Y7" s="41">
        <v>27.2</v>
      </c>
      <c r="Z7" s="41">
        <v>3.6</v>
      </c>
      <c r="AA7" s="41">
        <v>0</v>
      </c>
      <c r="AB7" s="41">
        <v>0</v>
      </c>
      <c r="AC7" s="41">
        <v>26.2</v>
      </c>
      <c r="AD7" s="41">
        <v>4.3</v>
      </c>
      <c r="AE7" s="41">
        <v>0</v>
      </c>
      <c r="AF7" s="41">
        <v>1</v>
      </c>
      <c r="AG7" s="80"/>
      <c r="AH7" s="11">
        <f>IF(SUM(R7,V7)&gt;0,SUM(R7,V7),"")</f>
        <v>7.9</v>
      </c>
      <c r="AI7" s="11">
        <f>IF(SUM(Q7:R7,T7:V7,X7)-S7-W7&gt;0,SUM(Q7:R7,T7:V7,X7)-S7-W7,"")</f>
        <v>62.5</v>
      </c>
      <c r="AJ7" s="11">
        <f>IF(SUM(Z7,AD7)&gt;0,SUM(Z7,AD7),"")</f>
        <v>7.9</v>
      </c>
      <c r="AK7" s="11">
        <f>IF(SUM(Y7:Z7,AB7:AD7,AF7)-SUM(AA7,AE7)&gt;0,SUM(Y7:Z7,AB7:AD7,AF7)-SUM(AA7,AE7),"")</f>
        <v>62.3</v>
      </c>
      <c r="AL7" s="11">
        <f>IF(SUM(AI7,AK7)&gt;0,SUM(AI7,AK7),"")</f>
        <v>124.8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/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>
        <v>26</v>
      </c>
      <c r="BJ7" s="41">
        <v>3.6</v>
      </c>
      <c r="BK7" s="41">
        <v>0</v>
      </c>
      <c r="BL7" s="41">
        <v>0</v>
      </c>
      <c r="BM7" s="41">
        <v>24.2</v>
      </c>
      <c r="BN7" s="41">
        <v>4.5</v>
      </c>
      <c r="BO7" s="41">
        <v>0</v>
      </c>
      <c r="BP7" s="41">
        <v>0.3</v>
      </c>
      <c r="BQ7" s="41">
        <v>25.6</v>
      </c>
      <c r="BR7" s="41">
        <v>3.6</v>
      </c>
      <c r="BS7" s="41">
        <v>0</v>
      </c>
      <c r="BT7" s="41">
        <v>0</v>
      </c>
      <c r="BU7" s="41">
        <v>24.4</v>
      </c>
      <c r="BV7" s="41">
        <v>4.3</v>
      </c>
      <c r="BW7" s="41">
        <v>0</v>
      </c>
      <c r="BX7" s="41">
        <v>0.3</v>
      </c>
      <c r="BY7" s="80"/>
      <c r="BZ7" s="11">
        <f>IF(SUM(BJ7,BN7)&gt;0,SUM(BJ7,BN7),"")</f>
        <v>8.1</v>
      </c>
      <c r="CA7" s="11">
        <f>IF(SUM(BI7:BJ7,BL7:BN7,BP7)-BK7-BO7&gt;0,SUM(BI7:BJ7,BL7:BN7,BP7)-BK7-BO7,"")</f>
        <v>58.599999999999994</v>
      </c>
      <c r="CB7" s="11"/>
      <c r="CC7" s="11">
        <f>IF(SUM(BQ7:BR7,BT7:BV7,BX7)-SUM(BS7,BW7)&gt;0,SUM(BQ7:BR7,BT7:BV7,BX7)-SUM(BS7,BW7),"")</f>
        <v>58.199999999999996</v>
      </c>
      <c r="CD7" s="11">
        <f>IF(SUM(CA7,CC7)&gt;0,SUM(CA7,CC7),"")</f>
        <v>116.79999999999998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13</v>
      </c>
      <c r="LZ7" s="69">
        <f>IF($BY7="P",BJ7,(BJ7+AN7)/2)</f>
        <v>1.8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12.1</v>
      </c>
      <c r="MD7" s="69">
        <f>IF($BY7="P",BN7,(BN7+AR7)/2)</f>
        <v>2.25</v>
      </c>
      <c r="ME7" s="69">
        <f>IF($BY7="P",BO7,(BO7+AS7)/2)</f>
        <v>0</v>
      </c>
      <c r="MF7" s="69">
        <f>IF($BY7="P",BP7,(BP7+AT7)/2)</f>
        <v>0.15</v>
      </c>
      <c r="MG7" s="69">
        <f>IF($BY7="P",BQ7,(BQ7+AU7)/2)</f>
        <v>12.8</v>
      </c>
      <c r="MH7" s="69">
        <f>IF($BY7="P",BR7,(BR7+AV7)/2)</f>
        <v>1.8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12.2</v>
      </c>
      <c r="ML7" s="69">
        <f>IF($BY7="P",BV7,(BV7+AZ7)/2)</f>
        <v>2.15</v>
      </c>
      <c r="MM7" s="69">
        <f>IF($BY7="P",BW7,(BW7+BA7)/2)</f>
        <v>0</v>
      </c>
      <c r="MN7" s="69">
        <f>IF($BY7="P",BX7,(BX7+BB7)/2)</f>
        <v>0.15</v>
      </c>
      <c r="MO7" s="80" t="s">
        <v>88</v>
      </c>
      <c r="MP7" s="11">
        <f>IF(SUM(LZ7,MD7)&gt;0,SUM(LZ7,MD7),"")</f>
        <v>4.05</v>
      </c>
      <c r="MQ7" s="11">
        <f>IF(SUM(LY7:LZ7,MB7:MD7,MF7)-MA7-ME7&gt;0,SUM(LY7:LZ7,MB7:MD7,MF7)-MA7-ME7,"")</f>
        <v>29.299999999999997</v>
      </c>
      <c r="MR7" s="11">
        <f>IF(SUM(MH7,ML7)&gt;0,SUM(MH7,ML7),"")</f>
        <v>3.95</v>
      </c>
      <c r="MS7" s="11">
        <f>IF(SUM(MG7:MH7,MJ7:ML7,MN7)-SUM(MI7,MM7)&gt;0,SUM(MG7:MH7,MJ7:ML7,MN7)-SUM(MI7,MM7),"")</f>
        <v>29.099999999999998</v>
      </c>
      <c r="MT7" s="11">
        <f>IF(SUM(MQ7,MS7)&gt;0,SUM(MQ7,MS7),"")</f>
        <v>58.399999999999991</v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78</v>
      </c>
      <c r="N10" s="19"/>
      <c r="O10" s="19"/>
      <c r="P10" s="19"/>
      <c r="AH10" s="56"/>
      <c r="AL10" s="64">
        <v>8.1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77</v>
      </c>
      <c r="N11" s="19"/>
      <c r="O11" s="19"/>
      <c r="P11" s="19"/>
      <c r="AH11" s="56"/>
      <c r="AL11" s="93">
        <v>9.5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109</v>
      </c>
      <c r="C12" s="55"/>
      <c r="N12" s="19"/>
      <c r="O12" s="19"/>
      <c r="P12" s="19"/>
      <c r="AH12" s="56"/>
      <c r="AL12" s="94">
        <v>9.5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158</v>
      </c>
      <c r="C13" s="55"/>
      <c r="N13" s="19"/>
      <c r="O13" s="19"/>
      <c r="P13" s="19"/>
      <c r="AH13" s="56"/>
      <c r="AL13" s="121">
        <v>9.5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75</v>
      </c>
      <c r="C14" s="55"/>
      <c r="N14" s="19"/>
      <c r="O14" s="19"/>
      <c r="P14" s="19"/>
      <c r="AH14" s="56"/>
      <c r="AL14" s="119">
        <v>60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76</v>
      </c>
      <c r="C15" s="55"/>
      <c r="N15" s="19"/>
      <c r="O15" s="19"/>
      <c r="P15" s="19"/>
      <c r="AH15" s="56"/>
      <c r="AL15" s="66">
        <v>61.5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107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57</v>
      </c>
      <c r="C17" s="55"/>
      <c r="N17" s="19"/>
      <c r="O17" s="19"/>
      <c r="P17" s="19"/>
      <c r="AH17" s="56"/>
      <c r="AL17" s="68">
        <v>65.400000000000006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89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38666" operator="between">
      <formula>AL$13</formula>
      <formula>1000</formula>
    </cfRule>
    <cfRule type="cellIs" dxfId="46" priority="38667" operator="between">
      <formula>AL$12</formula>
      <formula>AL$13</formula>
    </cfRule>
    <cfRule type="cellIs" dxfId="45" priority="38668" operator="between">
      <formula>AL$11</formula>
      <formula>AL$12</formula>
    </cfRule>
    <cfRule type="cellIs" dxfId="44" priority="38669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38848" operator="between">
      <formula>AL$17</formula>
      <formula>1000</formula>
    </cfRule>
    <cfRule type="cellIs" dxfId="42" priority="38849" operator="between">
      <formula>AL$16</formula>
      <formula>AL$17</formula>
    </cfRule>
    <cfRule type="cellIs" dxfId="41" priority="38850" operator="between">
      <formula>AL$15</formula>
      <formula>AL$16</formula>
    </cfRule>
    <cfRule type="cellIs" dxfId="40" priority="3885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44" t="s">
        <v>106</v>
      </c>
      <c r="G1" s="144" t="s">
        <v>15</v>
      </c>
      <c r="H1" s="136" t="s">
        <v>16</v>
      </c>
      <c r="I1" s="144" t="s">
        <v>177</v>
      </c>
      <c r="J1" s="150" t="s">
        <v>17</v>
      </c>
      <c r="K1" s="141" t="s">
        <v>55</v>
      </c>
      <c r="L1" s="150" t="s">
        <v>192</v>
      </c>
      <c r="M1" s="141" t="s">
        <v>55</v>
      </c>
      <c r="N1" s="140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157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105</v>
      </c>
      <c r="CF1" s="142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8"/>
      <c r="DX1" s="148"/>
      <c r="DY1" s="148"/>
      <c r="DZ1" s="148"/>
      <c r="EA1" s="148"/>
      <c r="EB1" s="148"/>
      <c r="EC1" s="148"/>
      <c r="ED1" s="148"/>
      <c r="EE1" s="148"/>
      <c r="EF1" s="148"/>
      <c r="EG1" s="148"/>
      <c r="EH1" s="148"/>
      <c r="EI1" s="148"/>
      <c r="EJ1" s="148"/>
      <c r="EK1" s="148"/>
      <c r="EL1" s="148"/>
      <c r="EM1" s="148"/>
      <c r="EN1" s="148"/>
      <c r="EO1" s="148"/>
      <c r="EP1" s="148"/>
      <c r="EQ1" s="148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48"/>
      <c r="FN1" s="148"/>
      <c r="FO1" s="148"/>
      <c r="FP1" s="148"/>
      <c r="FQ1" s="148"/>
      <c r="FR1" s="148"/>
      <c r="FS1" s="148"/>
      <c r="FT1" s="148"/>
      <c r="FU1" s="148"/>
      <c r="FV1" s="148"/>
      <c r="FW1" s="148"/>
      <c r="FX1" s="148"/>
      <c r="FY1" s="148"/>
      <c r="FZ1" s="148"/>
      <c r="GA1" s="148"/>
      <c r="GB1" s="148"/>
      <c r="GC1" s="148"/>
      <c r="GD1" s="148"/>
      <c r="GE1" s="148"/>
      <c r="GF1" s="148"/>
      <c r="GG1" s="148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8"/>
      <c r="HD1" s="148"/>
      <c r="HE1" s="148"/>
      <c r="HF1" s="148"/>
      <c r="HG1" s="148"/>
      <c r="HH1" s="148"/>
      <c r="HI1" s="148"/>
      <c r="HJ1" s="148"/>
      <c r="HK1" s="148"/>
      <c r="HL1" s="148"/>
      <c r="HM1" s="148"/>
      <c r="HN1" s="148"/>
      <c r="HO1" s="148"/>
      <c r="HP1" s="148"/>
      <c r="HQ1" s="148"/>
      <c r="HR1" s="148"/>
      <c r="HS1" s="148"/>
      <c r="HT1" s="148"/>
      <c r="HU1" s="148"/>
      <c r="HV1" s="148"/>
      <c r="HW1" s="148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8"/>
      <c r="JM1" s="148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8"/>
      <c r="KJ1" s="148"/>
      <c r="KK1" s="148"/>
      <c r="KL1" s="148"/>
      <c r="KM1" s="148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8"/>
      <c r="KZ1" s="148"/>
      <c r="LA1" s="148"/>
      <c r="LB1" s="148"/>
      <c r="LC1" s="148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50"/>
      <c r="K2" s="141"/>
      <c r="L2" s="150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78"/>
      <c r="AH2" s="87" t="s">
        <v>32</v>
      </c>
      <c r="AI2" s="9" t="s">
        <v>31</v>
      </c>
      <c r="AJ2" s="58" t="s">
        <v>123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7" t="s">
        <v>48</v>
      </c>
      <c r="AZ2" s="147"/>
      <c r="BA2" s="147"/>
      <c r="BB2" s="147"/>
      <c r="BC2" s="79"/>
      <c r="BD2" s="88" t="s">
        <v>32</v>
      </c>
      <c r="BE2" s="12" t="s">
        <v>31</v>
      </c>
      <c r="BF2" s="88" t="s">
        <v>123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123</v>
      </c>
      <c r="CC2" s="9" t="s">
        <v>30</v>
      </c>
      <c r="CD2" s="9" t="s">
        <v>25</v>
      </c>
      <c r="CE2" s="22" t="s">
        <v>31</v>
      </c>
      <c r="CF2" s="22" t="s">
        <v>108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87" t="s">
        <v>123</v>
      </c>
      <c r="CZ2" s="9" t="s">
        <v>30</v>
      </c>
      <c r="DA2" s="9" t="s">
        <v>25</v>
      </c>
      <c r="DB2" s="147" t="s">
        <v>43</v>
      </c>
      <c r="DC2" s="147"/>
      <c r="DD2" s="147"/>
      <c r="DE2" s="147"/>
      <c r="DF2" s="147" t="s">
        <v>46</v>
      </c>
      <c r="DG2" s="147"/>
      <c r="DH2" s="147"/>
      <c r="DI2" s="147"/>
      <c r="DJ2" s="147" t="s">
        <v>47</v>
      </c>
      <c r="DK2" s="147"/>
      <c r="DL2" s="147"/>
      <c r="DM2" s="147"/>
      <c r="DN2" s="147" t="s">
        <v>48</v>
      </c>
      <c r="DO2" s="147"/>
      <c r="DP2" s="147"/>
      <c r="DQ2" s="147"/>
      <c r="DR2" s="88" t="s">
        <v>32</v>
      </c>
      <c r="DS2" s="16" t="s">
        <v>31</v>
      </c>
      <c r="DT2" s="88" t="s">
        <v>123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87" t="s">
        <v>123</v>
      </c>
      <c r="EP2" s="17" t="s">
        <v>30</v>
      </c>
      <c r="EQ2" s="17" t="s">
        <v>25</v>
      </c>
      <c r="ER2" s="147" t="s">
        <v>43</v>
      </c>
      <c r="ES2" s="147"/>
      <c r="ET2" s="147"/>
      <c r="EU2" s="147"/>
      <c r="EV2" s="147" t="s">
        <v>46</v>
      </c>
      <c r="EW2" s="147"/>
      <c r="EX2" s="147"/>
      <c r="EY2" s="147"/>
      <c r="EZ2" s="147" t="s">
        <v>47</v>
      </c>
      <c r="FA2" s="147"/>
      <c r="FB2" s="147"/>
      <c r="FC2" s="147"/>
      <c r="FD2" s="147" t="s">
        <v>48</v>
      </c>
      <c r="FE2" s="147"/>
      <c r="FF2" s="147"/>
      <c r="FG2" s="147"/>
      <c r="FH2" s="88" t="s">
        <v>32</v>
      </c>
      <c r="FI2" s="16" t="s">
        <v>31</v>
      </c>
      <c r="FJ2" s="88" t="s">
        <v>123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87" t="s">
        <v>123</v>
      </c>
      <c r="GF2" s="17" t="s">
        <v>30</v>
      </c>
      <c r="GG2" s="17" t="s">
        <v>25</v>
      </c>
      <c r="GH2" s="147" t="s">
        <v>43</v>
      </c>
      <c r="GI2" s="147"/>
      <c r="GJ2" s="147"/>
      <c r="GK2" s="147"/>
      <c r="GL2" s="147" t="s">
        <v>46</v>
      </c>
      <c r="GM2" s="147"/>
      <c r="GN2" s="147"/>
      <c r="GO2" s="147"/>
      <c r="GP2" s="147" t="s">
        <v>47</v>
      </c>
      <c r="GQ2" s="147"/>
      <c r="GR2" s="147"/>
      <c r="GS2" s="147"/>
      <c r="GT2" s="147" t="s">
        <v>48</v>
      </c>
      <c r="GU2" s="147"/>
      <c r="GV2" s="147"/>
      <c r="GW2" s="147"/>
      <c r="GX2" s="89" t="s">
        <v>32</v>
      </c>
      <c r="GY2" s="16" t="s">
        <v>31</v>
      </c>
      <c r="GZ2" s="89" t="s">
        <v>123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90" t="s">
        <v>32</v>
      </c>
      <c r="HT2" s="17" t="s">
        <v>31</v>
      </c>
      <c r="HU2" s="90" t="s">
        <v>123</v>
      </c>
      <c r="HV2" s="17" t="s">
        <v>30</v>
      </c>
      <c r="HW2" s="17" t="s">
        <v>25</v>
      </c>
      <c r="HX2" s="147" t="s">
        <v>43</v>
      </c>
      <c r="HY2" s="147"/>
      <c r="HZ2" s="147"/>
      <c r="IA2" s="147"/>
      <c r="IB2" s="147" t="s">
        <v>46</v>
      </c>
      <c r="IC2" s="147"/>
      <c r="ID2" s="147"/>
      <c r="IE2" s="147"/>
      <c r="IF2" s="147" t="s">
        <v>47</v>
      </c>
      <c r="IG2" s="147"/>
      <c r="IH2" s="147"/>
      <c r="II2" s="147"/>
      <c r="IJ2" s="147" t="s">
        <v>48</v>
      </c>
      <c r="IK2" s="147"/>
      <c r="IL2" s="147"/>
      <c r="IM2" s="147"/>
      <c r="IN2" s="89" t="s">
        <v>32</v>
      </c>
      <c r="IO2" s="16" t="s">
        <v>31</v>
      </c>
      <c r="IP2" s="89" t="s">
        <v>123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90" t="s">
        <v>32</v>
      </c>
      <c r="JJ2" s="17" t="s">
        <v>31</v>
      </c>
      <c r="JK2" s="90" t="s">
        <v>123</v>
      </c>
      <c r="JL2" s="17" t="s">
        <v>30</v>
      </c>
      <c r="JM2" s="17" t="s">
        <v>25</v>
      </c>
      <c r="JN2" s="147" t="s">
        <v>43</v>
      </c>
      <c r="JO2" s="147"/>
      <c r="JP2" s="147"/>
      <c r="JQ2" s="147"/>
      <c r="JR2" s="147" t="s">
        <v>46</v>
      </c>
      <c r="JS2" s="147"/>
      <c r="JT2" s="147"/>
      <c r="JU2" s="147"/>
      <c r="JV2" s="147" t="s">
        <v>47</v>
      </c>
      <c r="JW2" s="147"/>
      <c r="JX2" s="147"/>
      <c r="JY2" s="147"/>
      <c r="JZ2" s="147" t="s">
        <v>48</v>
      </c>
      <c r="KA2" s="147"/>
      <c r="KB2" s="147"/>
      <c r="KC2" s="147"/>
      <c r="KD2" s="89" t="s">
        <v>32</v>
      </c>
      <c r="KE2" s="16" t="s">
        <v>31</v>
      </c>
      <c r="KF2" s="89" t="s">
        <v>123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90" t="s">
        <v>32</v>
      </c>
      <c r="KZ2" s="17" t="s">
        <v>31</v>
      </c>
      <c r="LA2" s="90" t="s">
        <v>123</v>
      </c>
      <c r="LB2" s="17" t="s">
        <v>30</v>
      </c>
      <c r="LC2" s="17" t="s">
        <v>25</v>
      </c>
      <c r="LD2" s="147" t="s">
        <v>43</v>
      </c>
      <c r="LE2" s="147"/>
      <c r="LF2" s="147"/>
      <c r="LG2" s="147"/>
      <c r="LH2" s="147" t="s">
        <v>46</v>
      </c>
      <c r="LI2" s="147"/>
      <c r="LJ2" s="147"/>
      <c r="LK2" s="147"/>
      <c r="LL2" s="147" t="s">
        <v>47</v>
      </c>
      <c r="LM2" s="147"/>
      <c r="LN2" s="147"/>
      <c r="LO2" s="147"/>
      <c r="LP2" s="147" t="s">
        <v>48</v>
      </c>
      <c r="LQ2" s="147"/>
      <c r="LR2" s="147"/>
      <c r="LS2" s="147"/>
      <c r="LT2" s="89" t="s">
        <v>32</v>
      </c>
      <c r="LU2" s="16" t="s">
        <v>31</v>
      </c>
      <c r="LV2" s="89" t="s">
        <v>123</v>
      </c>
      <c r="LW2" s="16" t="s">
        <v>30</v>
      </c>
      <c r="LX2" s="16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123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50"/>
      <c r="K3" s="141"/>
      <c r="L3" s="150"/>
      <c r="M3" s="141"/>
      <c r="N3" s="140"/>
      <c r="O3" s="141"/>
      <c r="P3" s="141"/>
      <c r="Q3" s="58" t="s">
        <v>22</v>
      </c>
      <c r="R3" s="58" t="s">
        <v>14</v>
      </c>
      <c r="S3" s="58" t="s">
        <v>44</v>
      </c>
      <c r="T3" s="58" t="s">
        <v>45</v>
      </c>
      <c r="U3" s="58" t="s">
        <v>22</v>
      </c>
      <c r="V3" s="58" t="s">
        <v>14</v>
      </c>
      <c r="W3" s="58" t="s">
        <v>44</v>
      </c>
      <c r="X3" s="58" t="s">
        <v>45</v>
      </c>
      <c r="Y3" s="58" t="s">
        <v>22</v>
      </c>
      <c r="Z3" s="58" t="s">
        <v>14</v>
      </c>
      <c r="AA3" s="58" t="s">
        <v>44</v>
      </c>
      <c r="AB3" s="58" t="s">
        <v>45</v>
      </c>
      <c r="AC3" s="61" t="s">
        <v>22</v>
      </c>
      <c r="AD3" s="61" t="s">
        <v>14</v>
      </c>
      <c r="AE3" s="61" t="s">
        <v>44</v>
      </c>
      <c r="AF3" s="61" t="s">
        <v>45</v>
      </c>
      <c r="AG3" s="78" t="s">
        <v>87</v>
      </c>
      <c r="AH3" s="10"/>
      <c r="AI3" s="9"/>
      <c r="AJ3" s="10"/>
      <c r="AK3" s="10"/>
      <c r="AL3" s="10"/>
      <c r="AM3" s="57" t="s">
        <v>22</v>
      </c>
      <c r="AN3" s="57" t="s">
        <v>14</v>
      </c>
      <c r="AO3" s="57" t="s">
        <v>44</v>
      </c>
      <c r="AP3" s="57" t="s">
        <v>45</v>
      </c>
      <c r="AQ3" s="57" t="s">
        <v>22</v>
      </c>
      <c r="AR3" s="57" t="s">
        <v>14</v>
      </c>
      <c r="AS3" s="57" t="s">
        <v>44</v>
      </c>
      <c r="AT3" s="57" t="s">
        <v>45</v>
      </c>
      <c r="AU3" s="57" t="s">
        <v>22</v>
      </c>
      <c r="AV3" s="57" t="s">
        <v>14</v>
      </c>
      <c r="AW3" s="57" t="s">
        <v>44</v>
      </c>
      <c r="AX3" s="57" t="s">
        <v>45</v>
      </c>
      <c r="AY3" s="62" t="s">
        <v>22</v>
      </c>
      <c r="AZ3" s="62" t="s">
        <v>14</v>
      </c>
      <c r="BA3" s="62" t="s">
        <v>44</v>
      </c>
      <c r="BB3" s="62" t="s">
        <v>45</v>
      </c>
      <c r="BC3" s="79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58" t="s">
        <v>22</v>
      </c>
      <c r="CH3" s="58" t="s">
        <v>14</v>
      </c>
      <c r="CI3" s="58" t="s">
        <v>44</v>
      </c>
      <c r="CJ3" s="58" t="s">
        <v>45</v>
      </c>
      <c r="CK3" s="58" t="s">
        <v>22</v>
      </c>
      <c r="CL3" s="58" t="s">
        <v>14</v>
      </c>
      <c r="CM3" s="58" t="s">
        <v>44</v>
      </c>
      <c r="CN3" s="58" t="s">
        <v>45</v>
      </c>
      <c r="CO3" s="58" t="s">
        <v>22</v>
      </c>
      <c r="CP3" s="58" t="s">
        <v>14</v>
      </c>
      <c r="CQ3" s="58" t="s">
        <v>44</v>
      </c>
      <c r="CR3" s="58" t="s">
        <v>45</v>
      </c>
      <c r="CS3" s="61" t="s">
        <v>22</v>
      </c>
      <c r="CT3" s="61" t="s">
        <v>14</v>
      </c>
      <c r="CU3" s="61" t="s">
        <v>44</v>
      </c>
      <c r="CV3" s="61" t="s">
        <v>45</v>
      </c>
      <c r="CW3" s="10"/>
      <c r="CX3" s="9"/>
      <c r="CY3" s="10"/>
      <c r="CZ3" s="10"/>
      <c r="DA3" s="10"/>
      <c r="DB3" s="62" t="s">
        <v>22</v>
      </c>
      <c r="DC3" s="62" t="s">
        <v>14</v>
      </c>
      <c r="DD3" s="62" t="s">
        <v>44</v>
      </c>
      <c r="DE3" s="62" t="s">
        <v>45</v>
      </c>
      <c r="DF3" s="62" t="s">
        <v>22</v>
      </c>
      <c r="DG3" s="62" t="s">
        <v>14</v>
      </c>
      <c r="DH3" s="62" t="s">
        <v>44</v>
      </c>
      <c r="DI3" s="62" t="s">
        <v>45</v>
      </c>
      <c r="DJ3" s="62" t="s">
        <v>22</v>
      </c>
      <c r="DK3" s="62" t="s">
        <v>14</v>
      </c>
      <c r="DL3" s="62" t="s">
        <v>44</v>
      </c>
      <c r="DM3" s="62" t="s">
        <v>45</v>
      </c>
      <c r="DN3" s="62" t="s">
        <v>22</v>
      </c>
      <c r="DO3" s="62" t="s">
        <v>14</v>
      </c>
      <c r="DP3" s="62" t="s">
        <v>44</v>
      </c>
      <c r="DQ3" s="62" t="s">
        <v>45</v>
      </c>
      <c r="DR3" s="13"/>
      <c r="DS3" s="16"/>
      <c r="DT3" s="13"/>
      <c r="DU3" s="16"/>
      <c r="DV3" s="16"/>
      <c r="DW3" s="61" t="s">
        <v>22</v>
      </c>
      <c r="DX3" s="61" t="s">
        <v>14</v>
      </c>
      <c r="DY3" s="61" t="s">
        <v>44</v>
      </c>
      <c r="DZ3" s="61" t="s">
        <v>45</v>
      </c>
      <c r="EA3" s="61" t="s">
        <v>22</v>
      </c>
      <c r="EB3" s="61" t="s">
        <v>14</v>
      </c>
      <c r="EC3" s="61" t="s">
        <v>44</v>
      </c>
      <c r="ED3" s="61" t="s">
        <v>45</v>
      </c>
      <c r="EE3" s="61" t="s">
        <v>22</v>
      </c>
      <c r="EF3" s="61" t="s">
        <v>14</v>
      </c>
      <c r="EG3" s="61" t="s">
        <v>44</v>
      </c>
      <c r="EH3" s="61" t="s">
        <v>45</v>
      </c>
      <c r="EI3" s="61" t="s">
        <v>22</v>
      </c>
      <c r="EJ3" s="61" t="s">
        <v>14</v>
      </c>
      <c r="EK3" s="61" t="s">
        <v>44</v>
      </c>
      <c r="EL3" s="61" t="s">
        <v>45</v>
      </c>
      <c r="EM3" s="10"/>
      <c r="EN3" s="17"/>
      <c r="EO3" s="10"/>
      <c r="EP3" s="17"/>
      <c r="EQ3" s="17"/>
      <c r="ER3" s="62" t="s">
        <v>22</v>
      </c>
      <c r="ES3" s="62" t="s">
        <v>14</v>
      </c>
      <c r="ET3" s="62" t="s">
        <v>44</v>
      </c>
      <c r="EU3" s="62" t="s">
        <v>45</v>
      </c>
      <c r="EV3" s="62" t="s">
        <v>22</v>
      </c>
      <c r="EW3" s="62" t="s">
        <v>14</v>
      </c>
      <c r="EX3" s="62" t="s">
        <v>44</v>
      </c>
      <c r="EY3" s="62" t="s">
        <v>45</v>
      </c>
      <c r="EZ3" s="62" t="s">
        <v>22</v>
      </c>
      <c r="FA3" s="62" t="s">
        <v>14</v>
      </c>
      <c r="FB3" s="62" t="s">
        <v>44</v>
      </c>
      <c r="FC3" s="62" t="s">
        <v>45</v>
      </c>
      <c r="FD3" s="62" t="s">
        <v>22</v>
      </c>
      <c r="FE3" s="62" t="s">
        <v>14</v>
      </c>
      <c r="FF3" s="62" t="s">
        <v>44</v>
      </c>
      <c r="FG3" s="62" t="s">
        <v>45</v>
      </c>
      <c r="FH3" s="13"/>
      <c r="FI3" s="16"/>
      <c r="FJ3" s="13"/>
      <c r="FK3" s="16"/>
      <c r="FL3" s="16"/>
      <c r="FM3" s="34" t="s">
        <v>22</v>
      </c>
      <c r="FN3" s="34" t="s">
        <v>14</v>
      </c>
      <c r="FO3" s="34" t="s">
        <v>44</v>
      </c>
      <c r="FP3" s="34" t="s">
        <v>45</v>
      </c>
      <c r="FQ3" s="34" t="s">
        <v>22</v>
      </c>
      <c r="FR3" s="34" t="s">
        <v>14</v>
      </c>
      <c r="FS3" s="34" t="s">
        <v>44</v>
      </c>
      <c r="FT3" s="34" t="s">
        <v>45</v>
      </c>
      <c r="FU3" s="34" t="s">
        <v>22</v>
      </c>
      <c r="FV3" s="34" t="s">
        <v>14</v>
      </c>
      <c r="FW3" s="34" t="s">
        <v>44</v>
      </c>
      <c r="FX3" s="34" t="s">
        <v>45</v>
      </c>
      <c r="FY3" s="34" t="s">
        <v>22</v>
      </c>
      <c r="FZ3" s="34" t="s">
        <v>14</v>
      </c>
      <c r="GA3" s="34" t="s">
        <v>44</v>
      </c>
      <c r="GB3" s="34" t="s">
        <v>45</v>
      </c>
      <c r="GC3" s="10"/>
      <c r="GD3" s="17"/>
      <c r="GE3" s="10"/>
      <c r="GF3" s="17"/>
      <c r="GG3" s="17"/>
      <c r="GH3" s="33" t="s">
        <v>22</v>
      </c>
      <c r="GI3" s="33" t="s">
        <v>14</v>
      </c>
      <c r="GJ3" s="33" t="s">
        <v>44</v>
      </c>
      <c r="GK3" s="33" t="s">
        <v>45</v>
      </c>
      <c r="GL3" s="33" t="s">
        <v>22</v>
      </c>
      <c r="GM3" s="33" t="s">
        <v>14</v>
      </c>
      <c r="GN3" s="33" t="s">
        <v>44</v>
      </c>
      <c r="GO3" s="33" t="s">
        <v>45</v>
      </c>
      <c r="GP3" s="33" t="s">
        <v>22</v>
      </c>
      <c r="GQ3" s="33" t="s">
        <v>14</v>
      </c>
      <c r="GR3" s="33" t="s">
        <v>44</v>
      </c>
      <c r="GS3" s="33" t="s">
        <v>45</v>
      </c>
      <c r="GT3" s="33" t="s">
        <v>22</v>
      </c>
      <c r="GU3" s="33" t="s">
        <v>14</v>
      </c>
      <c r="GV3" s="33" t="s">
        <v>44</v>
      </c>
      <c r="GW3" s="33" t="s">
        <v>45</v>
      </c>
      <c r="GX3" s="13"/>
      <c r="GY3" s="16"/>
      <c r="GZ3" s="13"/>
      <c r="HA3" s="16"/>
      <c r="HB3" s="16"/>
      <c r="HC3" s="34" t="s">
        <v>22</v>
      </c>
      <c r="HD3" s="34" t="s">
        <v>14</v>
      </c>
      <c r="HE3" s="34" t="s">
        <v>44</v>
      </c>
      <c r="HF3" s="34" t="s">
        <v>45</v>
      </c>
      <c r="HG3" s="34" t="s">
        <v>22</v>
      </c>
      <c r="HH3" s="34" t="s">
        <v>14</v>
      </c>
      <c r="HI3" s="34" t="s">
        <v>44</v>
      </c>
      <c r="HJ3" s="34" t="s">
        <v>45</v>
      </c>
      <c r="HK3" s="34" t="s">
        <v>22</v>
      </c>
      <c r="HL3" s="34" t="s">
        <v>14</v>
      </c>
      <c r="HM3" s="34" t="s">
        <v>44</v>
      </c>
      <c r="HN3" s="34" t="s">
        <v>45</v>
      </c>
      <c r="HO3" s="34" t="s">
        <v>22</v>
      </c>
      <c r="HP3" s="34" t="s">
        <v>14</v>
      </c>
      <c r="HQ3" s="34" t="s">
        <v>44</v>
      </c>
      <c r="HR3" s="34" t="s">
        <v>45</v>
      </c>
      <c r="HS3" s="10"/>
      <c r="HT3" s="17"/>
      <c r="HU3" s="10"/>
      <c r="HV3" s="17"/>
      <c r="HW3" s="17"/>
      <c r="HX3" s="33" t="s">
        <v>22</v>
      </c>
      <c r="HY3" s="33" t="s">
        <v>14</v>
      </c>
      <c r="HZ3" s="33" t="s">
        <v>44</v>
      </c>
      <c r="IA3" s="33" t="s">
        <v>45</v>
      </c>
      <c r="IB3" s="33" t="s">
        <v>22</v>
      </c>
      <c r="IC3" s="33" t="s">
        <v>14</v>
      </c>
      <c r="ID3" s="33" t="s">
        <v>44</v>
      </c>
      <c r="IE3" s="33" t="s">
        <v>45</v>
      </c>
      <c r="IF3" s="33" t="s">
        <v>22</v>
      </c>
      <c r="IG3" s="33" t="s">
        <v>14</v>
      </c>
      <c r="IH3" s="33" t="s">
        <v>44</v>
      </c>
      <c r="II3" s="33" t="s">
        <v>45</v>
      </c>
      <c r="IJ3" s="33" t="s">
        <v>22</v>
      </c>
      <c r="IK3" s="33" t="s">
        <v>14</v>
      </c>
      <c r="IL3" s="33" t="s">
        <v>44</v>
      </c>
      <c r="IM3" s="33" t="s">
        <v>45</v>
      </c>
      <c r="IN3" s="13"/>
      <c r="IO3" s="16"/>
      <c r="IP3" s="13"/>
      <c r="IQ3" s="16"/>
      <c r="IR3" s="16"/>
      <c r="IS3" s="34" t="s">
        <v>22</v>
      </c>
      <c r="IT3" s="34" t="s">
        <v>14</v>
      </c>
      <c r="IU3" s="34" t="s">
        <v>44</v>
      </c>
      <c r="IV3" s="34" t="s">
        <v>45</v>
      </c>
      <c r="IW3" s="34" t="s">
        <v>22</v>
      </c>
      <c r="IX3" s="34" t="s">
        <v>14</v>
      </c>
      <c r="IY3" s="34" t="s">
        <v>44</v>
      </c>
      <c r="IZ3" s="34" t="s">
        <v>45</v>
      </c>
      <c r="JA3" s="34" t="s">
        <v>22</v>
      </c>
      <c r="JB3" s="34" t="s">
        <v>14</v>
      </c>
      <c r="JC3" s="34" t="s">
        <v>44</v>
      </c>
      <c r="JD3" s="34" t="s">
        <v>45</v>
      </c>
      <c r="JE3" s="34" t="s">
        <v>22</v>
      </c>
      <c r="JF3" s="34" t="s">
        <v>14</v>
      </c>
      <c r="JG3" s="34" t="s">
        <v>44</v>
      </c>
      <c r="JH3" s="34" t="s">
        <v>45</v>
      </c>
      <c r="JI3" s="10"/>
      <c r="JJ3" s="17"/>
      <c r="JK3" s="10"/>
      <c r="JL3" s="17"/>
      <c r="JM3" s="17"/>
      <c r="JN3" s="33" t="s">
        <v>22</v>
      </c>
      <c r="JO3" s="33" t="s">
        <v>14</v>
      </c>
      <c r="JP3" s="33" t="s">
        <v>44</v>
      </c>
      <c r="JQ3" s="33" t="s">
        <v>45</v>
      </c>
      <c r="JR3" s="33" t="s">
        <v>22</v>
      </c>
      <c r="JS3" s="33" t="s">
        <v>14</v>
      </c>
      <c r="JT3" s="33" t="s">
        <v>44</v>
      </c>
      <c r="JU3" s="33" t="s">
        <v>45</v>
      </c>
      <c r="JV3" s="33" t="s">
        <v>22</v>
      </c>
      <c r="JW3" s="33" t="s">
        <v>14</v>
      </c>
      <c r="JX3" s="33" t="s">
        <v>44</v>
      </c>
      <c r="JY3" s="33" t="s">
        <v>45</v>
      </c>
      <c r="JZ3" s="33" t="s">
        <v>22</v>
      </c>
      <c r="KA3" s="33" t="s">
        <v>14</v>
      </c>
      <c r="KB3" s="33" t="s">
        <v>44</v>
      </c>
      <c r="KC3" s="33" t="s">
        <v>45</v>
      </c>
      <c r="KD3" s="13"/>
      <c r="KE3" s="16"/>
      <c r="KF3" s="13"/>
      <c r="KG3" s="16"/>
      <c r="KH3" s="16"/>
      <c r="KI3" s="34" t="s">
        <v>22</v>
      </c>
      <c r="KJ3" s="34" t="s">
        <v>14</v>
      </c>
      <c r="KK3" s="34" t="s">
        <v>44</v>
      </c>
      <c r="KL3" s="34" t="s">
        <v>45</v>
      </c>
      <c r="KM3" s="34" t="s">
        <v>22</v>
      </c>
      <c r="KN3" s="34" t="s">
        <v>14</v>
      </c>
      <c r="KO3" s="34" t="s">
        <v>44</v>
      </c>
      <c r="KP3" s="34" t="s">
        <v>45</v>
      </c>
      <c r="KQ3" s="34" t="s">
        <v>22</v>
      </c>
      <c r="KR3" s="34" t="s">
        <v>14</v>
      </c>
      <c r="KS3" s="34" t="s">
        <v>44</v>
      </c>
      <c r="KT3" s="34" t="s">
        <v>45</v>
      </c>
      <c r="KU3" s="34" t="s">
        <v>22</v>
      </c>
      <c r="KV3" s="34" t="s">
        <v>14</v>
      </c>
      <c r="KW3" s="34" t="s">
        <v>44</v>
      </c>
      <c r="KX3" s="34" t="s">
        <v>45</v>
      </c>
      <c r="KY3" s="10"/>
      <c r="KZ3" s="17"/>
      <c r="LA3" s="10"/>
      <c r="LB3" s="17"/>
      <c r="LC3" s="17"/>
      <c r="LD3" s="33" t="s">
        <v>22</v>
      </c>
      <c r="LE3" s="33" t="s">
        <v>14</v>
      </c>
      <c r="LF3" s="33" t="s">
        <v>44</v>
      </c>
      <c r="LG3" s="33" t="s">
        <v>45</v>
      </c>
      <c r="LH3" s="33" t="s">
        <v>22</v>
      </c>
      <c r="LI3" s="33" t="s">
        <v>14</v>
      </c>
      <c r="LJ3" s="33" t="s">
        <v>44</v>
      </c>
      <c r="LK3" s="33" t="s">
        <v>45</v>
      </c>
      <c r="LL3" s="33" t="s">
        <v>22</v>
      </c>
      <c r="LM3" s="33" t="s">
        <v>14</v>
      </c>
      <c r="LN3" s="33" t="s">
        <v>44</v>
      </c>
      <c r="LO3" s="33" t="s">
        <v>45</v>
      </c>
      <c r="LP3" s="33" t="s">
        <v>22</v>
      </c>
      <c r="LQ3" s="33" t="s">
        <v>14</v>
      </c>
      <c r="LR3" s="33" t="s">
        <v>44</v>
      </c>
      <c r="LS3" s="33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156</v>
      </c>
      <c r="C4" s="4" t="s">
        <v>3</v>
      </c>
      <c r="D4" s="5">
        <v>2003</v>
      </c>
      <c r="E4" s="15">
        <f>SUM(J4:N4)</f>
        <v>212.82499999999999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2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Excellence</v>
      </c>
      <c r="I4" s="3" t="str">
        <f>IF(OR(H4="Worlds Team",H4="Excellence",H4="Merit"),"P","")</f>
        <v>P</v>
      </c>
      <c r="J4" s="14">
        <f>MAX(AI4,BE4,CA4)</f>
        <v>73.725000000000009</v>
      </c>
      <c r="K4" s="14" t="str">
        <f>IF(J4=0,"",IF(J4=CA4,$BI$1,IF(J4=BE4,$AM$1,IF(J4=AI4,$Q$1,""))))</f>
        <v>2021 1st Virtual Technical Trial</v>
      </c>
      <c r="L4" s="14">
        <f>IF(J4=AI4,MAX(BH4,CD4),IF(J4=BE4,MAX(AL4,CD4),MAX(AL4,BH4)))</f>
        <v>139.1</v>
      </c>
      <c r="M4" s="14" t="str">
        <f>IF(L4=0,"",IF(AND(J4&lt;&gt;CA4,L4=CD4),$BI$1,IF(AND(J4&lt;&gt;BE4,L4=BH4),$AM$1,IF(L4=AL4,$Q$1,""))))</f>
        <v>2021 2nd Virtual Technical Trial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8.4</v>
      </c>
      <c r="S4" s="69">
        <v>1.2</v>
      </c>
      <c r="T4" s="69">
        <v>0</v>
      </c>
      <c r="U4" s="69">
        <v>27.8</v>
      </c>
      <c r="V4" s="69">
        <v>7.3</v>
      </c>
      <c r="W4" s="69">
        <v>0.9</v>
      </c>
      <c r="X4" s="69">
        <v>0</v>
      </c>
      <c r="Y4" s="69">
        <v>28.6</v>
      </c>
      <c r="Z4" s="69">
        <v>7.6</v>
      </c>
      <c r="AA4" s="69">
        <v>0.9</v>
      </c>
      <c r="AB4" s="69">
        <v>0</v>
      </c>
      <c r="AC4" s="69">
        <v>28.7</v>
      </c>
      <c r="AD4" s="69">
        <v>8</v>
      </c>
      <c r="AE4" s="69">
        <v>0</v>
      </c>
      <c r="AF4" s="69">
        <v>0</v>
      </c>
      <c r="AG4" s="80"/>
      <c r="AH4" s="11">
        <f>IF(SUM(R4,V4)&gt;0,SUM(R4,V4),"")</f>
        <v>15.7</v>
      </c>
      <c r="AI4" s="11">
        <f>IF(SUM(Q4:R4,T4:V4,X4)-SUM(S4,W4)&gt;0,SUM(Q4:R4,T4:V4,X4)-SUM(S4,W4),"")</f>
        <v>66.600000000000009</v>
      </c>
      <c r="AJ4" s="11">
        <f>IF(SUM(Z4,AD4)&gt;0,SUM(Z4,AD4),"")</f>
        <v>15.6</v>
      </c>
      <c r="AK4" s="11">
        <f>IF(SUM(Y4:Z4,AB4:AD4,AF4)-SUM(AA4,AE4)&gt;0,SUM(Y4:Z4,AB4:AD4,AF4)-SUM(AA4,AE4),"")</f>
        <v>72</v>
      </c>
      <c r="AL4" s="11">
        <f>IF(SUM(AI4,AK4)&gt;0,SUM(AI4,AK4),"")</f>
        <v>138.60000000000002</v>
      </c>
      <c r="AM4" s="38">
        <v>28.8</v>
      </c>
      <c r="AN4" s="38">
        <v>8</v>
      </c>
      <c r="AO4" s="38">
        <v>0.3</v>
      </c>
      <c r="AP4" s="38">
        <v>0.3</v>
      </c>
      <c r="AQ4" s="38">
        <v>28.824999999999999</v>
      </c>
      <c r="AR4" s="38">
        <v>8.4</v>
      </c>
      <c r="AS4" s="38">
        <v>0.3</v>
      </c>
      <c r="AT4" s="38">
        <v>0</v>
      </c>
      <c r="AU4" s="38">
        <v>26.774999999999999</v>
      </c>
      <c r="AV4" s="38">
        <v>5.6</v>
      </c>
      <c r="AW4" s="38">
        <v>0.7</v>
      </c>
      <c r="AX4" s="38">
        <v>0</v>
      </c>
      <c r="AY4" s="38">
        <v>28.225000000000001</v>
      </c>
      <c r="AZ4" s="38">
        <v>7.3</v>
      </c>
      <c r="BA4" s="38">
        <v>0.3</v>
      </c>
      <c r="BB4" s="38">
        <v>0</v>
      </c>
      <c r="BC4" s="81"/>
      <c r="BD4" s="14">
        <f>IF(SUM(AN4,AR4)&gt;0,SUM(AN4,AR4),"")</f>
        <v>16.399999999999999</v>
      </c>
      <c r="BE4" s="14">
        <f>IF(SUM(AM4:AN4,AP4:AR4,AT4)-SUM(AO4,AS4)&gt;0,SUM(AM4:AN4,AP4:AR4,AT4)-SUM(AO4,AS4),"")</f>
        <v>73.725000000000009</v>
      </c>
      <c r="BF4" s="14">
        <f>IF(SUM(AV4,AZ4)&gt;0,SUM(AV4,AZ4),"")</f>
        <v>12.899999999999999</v>
      </c>
      <c r="BG4" s="14">
        <f>IF(SUM(AU4:AV4,AX4:AZ4,BB4)-SUM(AW4,BA4)&gt;0,SUM(AU4:AV4,AX4:AZ4,BB4)-SUM(AW4,BA4),"")</f>
        <v>66.900000000000006</v>
      </c>
      <c r="BH4" s="14">
        <f>IF(SUM(BE4,BG4)&gt;0,SUM(BE4,BG4),"")</f>
        <v>140.625</v>
      </c>
      <c r="BI4" s="69">
        <v>25.2</v>
      </c>
      <c r="BJ4" s="69">
        <v>9.1999999999999993</v>
      </c>
      <c r="BK4" s="69">
        <v>1.2</v>
      </c>
      <c r="BL4" s="69">
        <v>0.3</v>
      </c>
      <c r="BM4" s="69">
        <v>27.8</v>
      </c>
      <c r="BN4" s="69">
        <v>9.1999999999999993</v>
      </c>
      <c r="BO4" s="69">
        <v>1.2</v>
      </c>
      <c r="BP4" s="69">
        <v>0.3</v>
      </c>
      <c r="BQ4" s="69">
        <v>25.6</v>
      </c>
      <c r="BR4" s="69">
        <v>8.1</v>
      </c>
      <c r="BS4" s="69">
        <v>0.3</v>
      </c>
      <c r="BT4" s="69">
        <v>0.3</v>
      </c>
      <c r="BU4" s="69">
        <v>27.7</v>
      </c>
      <c r="BV4" s="69">
        <v>8.1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69.599999999999994</v>
      </c>
      <c r="CB4" s="11">
        <f>IF(SUM(BR4,BV4)&gt;0,SUM(BR4,BV4),"")</f>
        <v>16.2</v>
      </c>
      <c r="CC4" s="11">
        <f>IF(SUM(BQ4:BR4,BT4:BV4,BX4)-SUM(BS4,BW4)&gt;0,SUM(BQ4:BR4,BT4:BV4,BX4)-SUM(BS4,BW4),"")</f>
        <v>69.5</v>
      </c>
      <c r="CD4" s="11">
        <f>IF(SUM(CA4,CC4)&gt;0,SUM(CA4,CC4),"")</f>
        <v>139.1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</v>
      </c>
      <c r="LZ4" s="69">
        <f>IF($BY4="P",BJ4,(BJ4+AN4)/2)</f>
        <v>8.6</v>
      </c>
      <c r="MA4" s="69">
        <f>IF($BY4="P",BK4,(BK4+AO4)/2)</f>
        <v>0.75</v>
      </c>
      <c r="MB4" s="69">
        <f>IF($BY4="P",BL4,(BL4+AP4)/2)</f>
        <v>0.3</v>
      </c>
      <c r="MC4" s="69">
        <f>IF($BY4="P",BM4,(BM4+AQ4)/2)</f>
        <v>28.3125</v>
      </c>
      <c r="MD4" s="69">
        <f>IF($BY4="P",BN4,(BN4+AR4)/2)</f>
        <v>8.8000000000000007</v>
      </c>
      <c r="ME4" s="69">
        <f>IF($BY4="P",BO4,(BO4+AS4)/2)</f>
        <v>0.75</v>
      </c>
      <c r="MF4" s="69">
        <f>IF($BY4="P",BP4,(BP4+AT4)/2)</f>
        <v>0.15</v>
      </c>
      <c r="MG4" s="69">
        <f>IF($BY4="P",BQ4,(BQ4+AU4)/2)</f>
        <v>26.1875</v>
      </c>
      <c r="MH4" s="69">
        <f>IF($BY4="P",BR4,(BR4+AV4)/2)</f>
        <v>6.85</v>
      </c>
      <c r="MI4" s="69">
        <f>IF($BY4="P",BS4,(BS4+AW4)/2)</f>
        <v>0.5</v>
      </c>
      <c r="MJ4" s="69">
        <f>IF($BY4="P",BT4,(BT4+AX4)/2)</f>
        <v>0.15</v>
      </c>
      <c r="MK4" s="69">
        <f>IF($BY4="P",BU4,(BU4+AY4)/2)</f>
        <v>27.962499999999999</v>
      </c>
      <c r="ML4" s="69">
        <f>IF($BY4="P",BV4,(BV4+AZ4)/2)</f>
        <v>7.6999999999999993</v>
      </c>
      <c r="MM4" s="69">
        <f>IF($BY4="P",BW4,(BW4+BA4)/2)</f>
        <v>0.15</v>
      </c>
      <c r="MN4" s="69">
        <f>IF($BY4="P",BX4,(BX4+BB4)/2)</f>
        <v>0</v>
      </c>
      <c r="MO4" s="80" t="s">
        <v>88</v>
      </c>
      <c r="MP4" s="11">
        <f>IF(SUM(LZ4,MD4)&gt;0,SUM(LZ4,MD4),"")</f>
        <v>17.399999999999999</v>
      </c>
      <c r="MQ4" s="11">
        <f>IF(SUM(LY4:LZ4,MB4:MD4,MF4)-SUM(MA4,ME4)&gt;0,SUM(LY4:LZ4,MB4:MD4,MF4)-SUM(MA4,ME4),"")</f>
        <v>71.662500000000009</v>
      </c>
      <c r="MR4" s="11">
        <f>IF(SUM(MH4,ML4)&gt;0,SUM(MH4,ML4),"")</f>
        <v>14.549999999999999</v>
      </c>
      <c r="MS4" s="11">
        <f>IF(SUM(MG4:MH4,MJ4:ML4,MN4)-SUM(MI4,MM4)&gt;0,SUM(MG4:MH4,MJ4:ML4,MN4)-SUM(MI4,MM4),"")</f>
        <v>68.199999999999989</v>
      </c>
      <c r="MT4" s="11">
        <f>IF(SUM(MQ4,MS4)&gt;0,SUM(MQ4,MS4),"")</f>
        <v>139.86250000000001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180</v>
      </c>
      <c r="C5" s="4" t="s">
        <v>6</v>
      </c>
      <c r="D5" s="5">
        <v>2003</v>
      </c>
      <c r="E5" s="15">
        <f>SUM(J5:N5)</f>
        <v>211.2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2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73.199999999999989</v>
      </c>
      <c r="K5" s="14" t="str">
        <f>IF(J5=0,"",IF(J5=CA5,$BI$1,IF(J5=BE5,$AM$1,IF(J5=AI5,$Q$1,""))))</f>
        <v>2021 2nd Virtual Technical Trial</v>
      </c>
      <c r="L5" s="14">
        <f>IF(J5=AI5,MAX(BH5,CD5),IF(J5=BE5,MAX(AL5,CD5),MAX(AL5,BH5)))</f>
        <v>138</v>
      </c>
      <c r="M5" s="14" t="str">
        <f>IF(L5=0,"",IF(AND(J5&lt;&gt;CA5,L5=CD5),$BI$1,IF(AND(J5&lt;&gt;BE5,L5=BH5),$AM$1,IF(L5=AL5,$Q$1,""))))</f>
        <v>2019 Nationals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27.6</v>
      </c>
      <c r="R5" s="69">
        <v>7.2</v>
      </c>
      <c r="S5" s="69">
        <v>0.9</v>
      </c>
      <c r="T5" s="69">
        <v>0</v>
      </c>
      <c r="U5" s="69">
        <v>28</v>
      </c>
      <c r="V5" s="69">
        <v>7.2</v>
      </c>
      <c r="W5" s="69">
        <v>0</v>
      </c>
      <c r="X5" s="69">
        <v>0</v>
      </c>
      <c r="Y5" s="69">
        <v>27.9</v>
      </c>
      <c r="Z5" s="69">
        <v>7.6</v>
      </c>
      <c r="AA5" s="69">
        <v>0.9</v>
      </c>
      <c r="AB5" s="69">
        <v>0</v>
      </c>
      <c r="AC5" s="69">
        <v>27.6</v>
      </c>
      <c r="AD5" s="69">
        <v>7.6</v>
      </c>
      <c r="AE5" s="69">
        <v>0.9</v>
      </c>
      <c r="AF5" s="69">
        <v>0</v>
      </c>
      <c r="AG5" s="80"/>
      <c r="AH5" s="11">
        <f>IF(SUM(R5,V5)&gt;0,SUM(R5,V5),"")</f>
        <v>14.4</v>
      </c>
      <c r="AI5" s="11">
        <f>IF(SUM(Q5:R5,T5:V5,X5)-SUM(S5,W5)&gt;0,SUM(Q5:R5,T5:V5,X5)-SUM(S5,W5),"")</f>
        <v>69.099999999999994</v>
      </c>
      <c r="AJ5" s="11">
        <f>IF(SUM(Z5,AD5)&gt;0,SUM(Z5,AD5),"")</f>
        <v>15.2</v>
      </c>
      <c r="AK5" s="11">
        <f>IF(SUM(Y5:Z5,AB5:AD5,AF5)-SUM(AA5,AE5)&gt;0,SUM(Y5:Z5,AB5:AD5,AF5)-SUM(AA5,AE5),"")</f>
        <v>68.900000000000006</v>
      </c>
      <c r="AL5" s="11">
        <f>IF(SUM(AI5,AK5)&gt;0,SUM(AI5,AK5),"")</f>
        <v>138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IF(SUM(AM5:AN5,AP5:AR5,AT5)-SUM(AO5,AS5)&gt;0,SUM(AM5:AN5,AP5:AR5,AT5)-SUM(AO5,AS5),"")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69">
        <v>28.8</v>
      </c>
      <c r="BJ5" s="69">
        <v>8</v>
      </c>
      <c r="BK5" s="69">
        <v>0</v>
      </c>
      <c r="BL5" s="69">
        <v>0.3</v>
      </c>
      <c r="BM5" s="69">
        <v>28.6</v>
      </c>
      <c r="BN5" s="69">
        <v>8.4</v>
      </c>
      <c r="BO5" s="69">
        <v>0.9</v>
      </c>
      <c r="BP5" s="69">
        <v>0</v>
      </c>
      <c r="BQ5" s="69">
        <v>27.8</v>
      </c>
      <c r="BR5" s="69">
        <v>8.1</v>
      </c>
      <c r="BS5" s="69">
        <v>0</v>
      </c>
      <c r="BT5" s="69">
        <v>0</v>
      </c>
      <c r="BU5" s="69">
        <v>28</v>
      </c>
      <c r="BV5" s="69">
        <v>8.4</v>
      </c>
      <c r="BW5" s="69">
        <v>0.3</v>
      </c>
      <c r="BX5" s="69">
        <v>0.3</v>
      </c>
      <c r="BY5" s="80"/>
      <c r="BZ5" s="11">
        <f>IF(SUM(BJ5,BN5)&gt;0,SUM(BJ5,BN5),"")</f>
        <v>16.399999999999999</v>
      </c>
      <c r="CA5" s="11">
        <f>IF(SUM(BI5:BJ5,BL5:BN5,BP5)-SUM(BK5,BO5)&gt;0,SUM(BI5:BJ5,BL5:BN5,BP5)-SUM(BK5,BO5),"")</f>
        <v>73.199999999999989</v>
      </c>
      <c r="CB5" s="11">
        <f>IF(SUM(BR5,BV5)&gt;0,SUM(BR5,BV5),"")</f>
        <v>16.5</v>
      </c>
      <c r="CC5" s="11">
        <f>IF(SUM(BQ5:BR5,BT5:BV5,BX5)-SUM(BS5,BW5)&gt;0,SUM(BQ5:BR5,BT5:BV5,BX5)-SUM(BS5,BW5),"")</f>
        <v>72.3</v>
      </c>
      <c r="CD5" s="11">
        <f>IF(SUM(CA5,CC5)&gt;0,SUM(CA5,CC5),"")</f>
        <v>145.5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14.4</v>
      </c>
      <c r="LZ5" s="69">
        <f>IF($BY5="P",BJ5,(BJ5+AN5)/2)</f>
        <v>4</v>
      </c>
      <c r="MA5" s="69">
        <f>IF($BY5="P",BK5,(BK5+AO5)/2)</f>
        <v>0</v>
      </c>
      <c r="MB5" s="69">
        <f>IF($BY5="P",BL5,(BL5+AP5)/2)</f>
        <v>0.15</v>
      </c>
      <c r="MC5" s="69">
        <f>IF($BY5="P",BM5,(BM5+AQ5)/2)</f>
        <v>14.3</v>
      </c>
      <c r="MD5" s="69">
        <f>IF($BY5="P",BN5,(BN5+AR5)/2)</f>
        <v>4.2</v>
      </c>
      <c r="ME5" s="69">
        <f>IF($BY5="P",BO5,(BO5+AS5)/2)</f>
        <v>0.45</v>
      </c>
      <c r="MF5" s="69">
        <f>IF($BY5="P",BP5,(BP5+AT5)/2)</f>
        <v>0</v>
      </c>
      <c r="MG5" s="69">
        <f>IF($BY5="P",BQ5,(BQ5+AU5)/2)</f>
        <v>13.9</v>
      </c>
      <c r="MH5" s="69">
        <f>IF($BY5="P",BR5,(BR5+AV5)/2)</f>
        <v>4.05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14</v>
      </c>
      <c r="ML5" s="69">
        <f>IF($BY5="P",BV5,(BV5+AZ5)/2)</f>
        <v>4.2</v>
      </c>
      <c r="MM5" s="69">
        <f>IF($BY5="P",BW5,(BW5+BA5)/2)</f>
        <v>0.15</v>
      </c>
      <c r="MN5" s="69">
        <f>IF($BY5="P",BX5,(BX5+BB5)/2)</f>
        <v>0.15</v>
      </c>
      <c r="MO5" s="80" t="s">
        <v>88</v>
      </c>
      <c r="MP5" s="11">
        <f>IF(SUM(LZ5,MD5)&gt;0,SUM(LZ5,MD5),"")</f>
        <v>8.1999999999999993</v>
      </c>
      <c r="MQ5" s="11">
        <f>IF(SUM(LY5:LZ5,MB5:MD5,MF5)-SUM(MA5,ME5)&gt;0,SUM(LY5:LZ5,MB5:MD5,MF5)-SUM(MA5,ME5),"")</f>
        <v>36.599999999999994</v>
      </c>
      <c r="MR5" s="11">
        <f>IF(SUM(MH5,ML5)&gt;0,SUM(MH5,ML5),"")</f>
        <v>8.25</v>
      </c>
      <c r="MS5" s="11">
        <f>IF(SUM(MG5:MH5,MJ5:ML5,MN5)-SUM(MI5,MM5)&gt;0,SUM(MG5:MH5,MJ5:ML5,MN5)-SUM(MI5,MM5),"")</f>
        <v>36.15</v>
      </c>
      <c r="MT5" s="11">
        <f>IF(SUM(MQ5,MS5)&gt;0,SUM(MQ5,MS5),"")</f>
        <v>72.75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11</v>
      </c>
      <c r="C6" s="4" t="s">
        <v>5</v>
      </c>
      <c r="D6" s="5">
        <v>1994</v>
      </c>
      <c r="E6" s="15">
        <f>SUM(J6:N6)</f>
        <v>210.5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2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71.7</v>
      </c>
      <c r="K6" s="14" t="str">
        <f>IF(J6=0,"",IF(J6=CA6,$BI$1,IF(J6=BE6,$AM$1,IF(J6=AI6,$Q$1,""))))</f>
        <v>2019 Nationals</v>
      </c>
      <c r="L6" s="14">
        <f>IF(J6=AI6,MAX(BH6,CD6),IF(J6=BE6,MAX(AL6,CD6),MAX(AL6,BH6)))</f>
        <v>138.80000000000001</v>
      </c>
      <c r="M6" s="14" t="str">
        <f>IF(L6=0,"",IF(AND(J6&lt;&gt;CA6,L6=CD6),$BI$1,IF(AND(J6&lt;&gt;BE6,L6=BH6),$AM$1,IF(L6=AL6,$Q$1,""))))</f>
        <v>2021 1st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28.6</v>
      </c>
      <c r="R6" s="69">
        <v>7.3</v>
      </c>
      <c r="S6" s="69">
        <v>0</v>
      </c>
      <c r="T6" s="69">
        <v>0</v>
      </c>
      <c r="U6" s="69">
        <v>28.3</v>
      </c>
      <c r="V6" s="69">
        <v>8.4</v>
      </c>
      <c r="W6" s="69">
        <v>0.9</v>
      </c>
      <c r="X6" s="69">
        <v>0</v>
      </c>
      <c r="Y6" s="69">
        <v>28.2</v>
      </c>
      <c r="Z6" s="69">
        <v>7.2</v>
      </c>
      <c r="AA6" s="69">
        <v>0</v>
      </c>
      <c r="AB6" s="69">
        <v>0</v>
      </c>
      <c r="AC6" s="69">
        <v>28</v>
      </c>
      <c r="AD6" s="69">
        <v>6.8</v>
      </c>
      <c r="AE6" s="69">
        <v>1.2</v>
      </c>
      <c r="AF6" s="69">
        <v>0</v>
      </c>
      <c r="AG6" s="80"/>
      <c r="AH6" s="11">
        <f>IF(SUM(R6,V6)&gt;0,SUM(R6,V6),"")</f>
        <v>15.7</v>
      </c>
      <c r="AI6" s="11">
        <f>IF(SUM(Q6:R6,T6:V6,X6)-SUM(S6,W6)&gt;0,SUM(Q6:R6,T6:V6,X6)-SUM(S6,W6),"")</f>
        <v>71.7</v>
      </c>
      <c r="AJ6" s="11">
        <f>IF(SUM(Z6,AD6)&gt;0,SUM(Z6,AD6),"")</f>
        <v>14</v>
      </c>
      <c r="AK6" s="11">
        <f>IF(SUM(Y6:Z6,AB6:AD6,AF6)-SUM(AA6,AE6)&gt;0,SUM(Y6:Z6,AB6:AD6,AF6)-SUM(AA6,AE6),"")</f>
        <v>69</v>
      </c>
      <c r="AL6" s="11">
        <f>IF(SUM(AI6,AK6)&gt;0,SUM(AI6,AK6),"")</f>
        <v>140.69999999999999</v>
      </c>
      <c r="AM6" s="38">
        <v>27.9</v>
      </c>
      <c r="AN6" s="38">
        <v>7.6</v>
      </c>
      <c r="AO6" s="38">
        <v>0.3</v>
      </c>
      <c r="AP6" s="38">
        <v>0</v>
      </c>
      <c r="AQ6" s="38">
        <v>27.6</v>
      </c>
      <c r="AR6" s="38">
        <v>7.2</v>
      </c>
      <c r="AS6" s="38">
        <v>0</v>
      </c>
      <c r="AT6" s="38">
        <v>0</v>
      </c>
      <c r="AU6" s="38">
        <v>28</v>
      </c>
      <c r="AV6" s="38">
        <v>6.9</v>
      </c>
      <c r="AW6" s="38">
        <v>0</v>
      </c>
      <c r="AX6" s="38">
        <v>0</v>
      </c>
      <c r="AY6" s="38">
        <v>27</v>
      </c>
      <c r="AZ6" s="38">
        <v>7.2</v>
      </c>
      <c r="BA6" s="38">
        <v>0.3</v>
      </c>
      <c r="BB6" s="38">
        <v>0</v>
      </c>
      <c r="BC6" s="81"/>
      <c r="BD6" s="14">
        <f>IF(SUM(AN6,AR6)&gt;0,SUM(AN6,AR6),"")</f>
        <v>14.8</v>
      </c>
      <c r="BE6" s="14">
        <f>IF(SUM(AM6:AN6,AP6:AR6,AT6)-SUM(AO6,AS6)&gt;0,SUM(AM6:AN6,AP6:AR6,AT6)-SUM(AO6,AS6),"")</f>
        <v>70</v>
      </c>
      <c r="BF6" s="14">
        <f>IF(SUM(AV6,AZ6)&gt;0,SUM(AV6,AZ6),"")</f>
        <v>14.100000000000001</v>
      </c>
      <c r="BG6" s="14">
        <f>IF(SUM(AU6:AV6,AX6:AZ6,BB6)-SUM(AW6,BA6)&gt;0,SUM(AU6:AV6,AX6:AZ6,BB6)-SUM(AW6,BA6),"")</f>
        <v>68.8</v>
      </c>
      <c r="BH6" s="14">
        <f>IF(SUM(BE6,BG6)&gt;0,SUM(BE6,BG6),"")</f>
        <v>138.80000000000001</v>
      </c>
      <c r="BI6" s="69">
        <v>20.3</v>
      </c>
      <c r="BJ6" s="69">
        <v>4</v>
      </c>
      <c r="BK6" s="69">
        <v>0</v>
      </c>
      <c r="BL6" s="69">
        <v>0</v>
      </c>
      <c r="BM6" s="69">
        <v>28.2</v>
      </c>
      <c r="BN6" s="69">
        <v>7.2</v>
      </c>
      <c r="BO6" s="69">
        <v>0.3</v>
      </c>
      <c r="BP6" s="69">
        <v>0</v>
      </c>
      <c r="BQ6" s="69">
        <v>20.399999999999999</v>
      </c>
      <c r="BR6" s="69">
        <v>2.8</v>
      </c>
      <c r="BS6" s="69">
        <v>0</v>
      </c>
      <c r="BT6" s="69">
        <v>0</v>
      </c>
      <c r="BU6" s="69">
        <v>27.3</v>
      </c>
      <c r="BV6" s="69">
        <v>6.8</v>
      </c>
      <c r="BW6" s="69">
        <v>0.3</v>
      </c>
      <c r="BX6" s="69">
        <v>0</v>
      </c>
      <c r="BY6" s="80"/>
      <c r="BZ6" s="11">
        <f>IF(SUM(BJ6,BN6)&gt;0,SUM(BJ6,BN6),"")</f>
        <v>11.2</v>
      </c>
      <c r="CA6" s="11">
        <f>IF(SUM(BI6:BJ6,BL6:BN6,BP6)-SUM(BK6,BO6)&gt;0,SUM(BI6:BJ6,BL6:BN6,BP6)-SUM(BK6,BO6),"")</f>
        <v>59.400000000000006</v>
      </c>
      <c r="CB6" s="11">
        <f>IF(SUM(BR6,BV6)&gt;0,SUM(BR6,BV6),"")</f>
        <v>9.6</v>
      </c>
      <c r="CC6" s="11">
        <f>IF(SUM(BQ6:BR6,BT6:BV6,BX6)-SUM(BS6,BW6)&gt;0,SUM(BQ6:BR6,BT6:BV6,BX6)-SUM(BS6,BW6),"")</f>
        <v>57</v>
      </c>
      <c r="CD6" s="11">
        <f>IF(SUM(CA6,CC6)&gt;0,SUM(CA6,CC6),"")</f>
        <v>116.4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24.1</v>
      </c>
      <c r="LZ6" s="69">
        <f>IF($BY6="P",BJ6,(BJ6+AN6)/2)</f>
        <v>5.8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27.9</v>
      </c>
      <c r="MD6" s="69">
        <f>IF($BY6="P",BN6,(BN6+AR6)/2)</f>
        <v>7.2</v>
      </c>
      <c r="ME6" s="69">
        <f>IF($BY6="P",BO6,(BO6+AS6)/2)</f>
        <v>0.15</v>
      </c>
      <c r="MF6" s="69">
        <f>IF($BY6="P",BP6,(BP6+AT6)/2)</f>
        <v>0</v>
      </c>
      <c r="MG6" s="69">
        <f>IF($BY6="P",BQ6,(BQ6+AU6)/2)</f>
        <v>24.2</v>
      </c>
      <c r="MH6" s="69">
        <f>IF($BY6="P",BR6,(BR6+AV6)/2)</f>
        <v>4.8499999999999996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27.15</v>
      </c>
      <c r="ML6" s="69">
        <f>IF($BY6="P",BV6,(BV6+AZ6)/2)</f>
        <v>7</v>
      </c>
      <c r="MM6" s="69">
        <f>IF($BY6="P",BW6,(BW6+BA6)/2)</f>
        <v>0.3</v>
      </c>
      <c r="MN6" s="69">
        <f>IF($BY6="P",BX6,(BX6+BB6)/2)</f>
        <v>0</v>
      </c>
      <c r="MO6" s="80" t="s">
        <v>88</v>
      </c>
      <c r="MP6" s="11">
        <f>IF(SUM(LZ6,MD6)&gt;0,SUM(LZ6,MD6),"")</f>
        <v>13</v>
      </c>
      <c r="MQ6" s="11">
        <f>IF(SUM(LY6:LZ6,MB6:MD6,MF6)-SUM(MA6,ME6)&gt;0,SUM(LY6:LZ6,MB6:MD6,MF6)-SUM(MA6,ME6),"")</f>
        <v>64.7</v>
      </c>
      <c r="MR6" s="11">
        <f>IF(SUM(MH6,ML6)&gt;0,SUM(MH6,ML6),"")</f>
        <v>11.85</v>
      </c>
      <c r="MS6" s="11">
        <f>IF(SUM(MG6:MH6,MJ6:ML6,MN6)-SUM(MI6,MM6)&gt;0,SUM(MG6:MH6,MJ6:ML6,MN6)-SUM(MI6,MM6),"")</f>
        <v>62.9</v>
      </c>
      <c r="MT6" s="11">
        <f>IF(SUM(MQ6,MS6)&gt;0,SUM(MQ6,MS6),"")</f>
        <v>127.6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175</v>
      </c>
      <c r="C7" s="4" t="s">
        <v>5</v>
      </c>
      <c r="D7" s="5">
        <v>2003</v>
      </c>
      <c r="E7" s="15">
        <f>SUM(J7:N7)</f>
        <v>206.4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2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135.9</v>
      </c>
      <c r="M7" s="14" t="str">
        <f>IF(L7=0,"",IF(AND(J7&lt;&gt;CA7,L7=CD7),$BI$1,IF(AND(J7&lt;&gt;BE7,L7=BH7),$AM$1,IF(L7=AL7,$Q$1,""))))</f>
        <v>2019 Nationals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6.4</v>
      </c>
      <c r="S7" s="69">
        <v>0</v>
      </c>
      <c r="T7" s="69">
        <v>0</v>
      </c>
      <c r="U7" s="69">
        <v>27.9</v>
      </c>
      <c r="V7" s="69">
        <v>6.8</v>
      </c>
      <c r="W7" s="69">
        <v>0</v>
      </c>
      <c r="X7" s="69">
        <v>0</v>
      </c>
      <c r="Y7" s="69">
        <v>27.8</v>
      </c>
      <c r="Z7" s="69">
        <v>6.8</v>
      </c>
      <c r="AA7" s="69">
        <v>0.9</v>
      </c>
      <c r="AB7" s="69">
        <v>0</v>
      </c>
      <c r="AC7" s="69">
        <v>27.9</v>
      </c>
      <c r="AD7" s="69">
        <v>6</v>
      </c>
      <c r="AE7" s="69">
        <v>0.9</v>
      </c>
      <c r="AF7" s="69">
        <v>0</v>
      </c>
      <c r="AG7" s="80"/>
      <c r="AH7" s="11">
        <f>IF(SUM(R7,V7)&gt;0,SUM(R7,V7),"")</f>
        <v>13.2</v>
      </c>
      <c r="AI7" s="11">
        <f>IF(SUM(Q7:R7,T7:V7,X7)-SUM(S7,W7)&gt;0,SUM(Q7:R7,T7:V7,X7)-SUM(S7,W7),"")</f>
        <v>69.2</v>
      </c>
      <c r="AJ7" s="11">
        <f>IF(SUM(Z7,AD7)&gt;0,SUM(Z7,AD7),"")</f>
        <v>12.8</v>
      </c>
      <c r="AK7" s="11">
        <f>IF(SUM(Y7:Z7,AB7:AD7,AF7)-SUM(AA7,AE7)&gt;0,SUM(Y7:Z7,AB7:AD7,AF7)-SUM(AA7,AE7),"")</f>
        <v>66.7</v>
      </c>
      <c r="AL7" s="11">
        <f>IF(SUM(AI7,AK7)&gt;0,SUM(AI7,AK7),"")</f>
        <v>135.9</v>
      </c>
      <c r="AM7" s="38">
        <v>28</v>
      </c>
      <c r="AN7" s="38">
        <v>6.8</v>
      </c>
      <c r="AO7" s="38">
        <v>1.2</v>
      </c>
      <c r="AP7" s="38">
        <v>0</v>
      </c>
      <c r="AQ7" s="38">
        <v>28.1</v>
      </c>
      <c r="AR7" s="38">
        <v>7.2</v>
      </c>
      <c r="AS7" s="38">
        <v>1.2</v>
      </c>
      <c r="AT7" s="38">
        <v>0</v>
      </c>
      <c r="AU7" s="38">
        <v>28.4</v>
      </c>
      <c r="AV7" s="38">
        <v>2.8</v>
      </c>
      <c r="AW7" s="38">
        <v>4.0999999999999996</v>
      </c>
      <c r="AX7" s="38">
        <v>0</v>
      </c>
      <c r="AY7" s="38">
        <v>27.8</v>
      </c>
      <c r="AZ7" s="38">
        <v>6</v>
      </c>
      <c r="BA7" s="38">
        <v>1.5</v>
      </c>
      <c r="BB7" s="38">
        <v>0</v>
      </c>
      <c r="BC7" s="81"/>
      <c r="BD7" s="14">
        <f>IF(SUM(AN7,AR7)&gt;0,SUM(AN7,AR7),"")</f>
        <v>14</v>
      </c>
      <c r="BE7" s="14">
        <f>IF(SUM(AM7:AN7,AP7:AR7,AT7)-SUM(AO7,AS7)&gt;0,SUM(AM7:AN7,AP7:AR7,AT7)-SUM(AO7,AS7),"")</f>
        <v>67.699999999999989</v>
      </c>
      <c r="BF7" s="14">
        <f>IF(SUM(AV7,AZ7)&gt;0,SUM(AV7,AZ7),"")</f>
        <v>8.8000000000000007</v>
      </c>
      <c r="BG7" s="14">
        <f>IF(SUM(AU7:AV7,AX7:AZ7,BB7)-SUM(AW7,BA7)&gt;0,SUM(AU7:AV7,AX7:AZ7,BB7)-SUM(AW7,BA7),"")</f>
        <v>59.4</v>
      </c>
      <c r="BH7" s="14">
        <f>IF(SUM(BE7,BG7)&gt;0,SUM(BE7,BG7),"")</f>
        <v>127.1</v>
      </c>
      <c r="BI7" s="69">
        <v>28.2</v>
      </c>
      <c r="BJ7" s="69">
        <v>7.6</v>
      </c>
      <c r="BK7" s="69">
        <v>1.2</v>
      </c>
      <c r="BL7" s="69">
        <v>0</v>
      </c>
      <c r="BM7" s="69">
        <v>28.7</v>
      </c>
      <c r="BN7" s="69">
        <v>7.2</v>
      </c>
      <c r="BO7" s="69">
        <v>0</v>
      </c>
      <c r="BP7" s="69">
        <v>0</v>
      </c>
      <c r="BQ7" s="69">
        <v>28.4</v>
      </c>
      <c r="BR7" s="69">
        <v>6</v>
      </c>
      <c r="BS7" s="69">
        <v>1.2</v>
      </c>
      <c r="BT7" s="69">
        <v>0</v>
      </c>
      <c r="BU7" s="69">
        <v>27.7</v>
      </c>
      <c r="BV7" s="69">
        <v>6.8</v>
      </c>
      <c r="BW7" s="69">
        <v>0.3</v>
      </c>
      <c r="BX7" s="69">
        <v>0</v>
      </c>
      <c r="BY7" s="80"/>
      <c r="BZ7" s="11">
        <f>IF(SUM(BJ7,BN7)&gt;0,SUM(BJ7,BN7),"")</f>
        <v>14.8</v>
      </c>
      <c r="CA7" s="11">
        <f>IF(SUM(BI7:BJ7,BL7:BN7,BP7)-SUM(BK7,BO7)&gt;0,SUM(BI7:BJ7,BL7:BN7,BP7)-SUM(BK7,BO7),"")</f>
        <v>70.5</v>
      </c>
      <c r="CB7" s="11">
        <f>IF(SUM(BR7,BV7)&gt;0,SUM(BR7,BV7),"")</f>
        <v>12.8</v>
      </c>
      <c r="CC7" s="11">
        <f>IF(SUM(BQ7:BR7,BT7:BV7,BX7)-SUM(BS7,BW7)&gt;0,SUM(BQ7:BR7,BT7:BV7,BX7)-SUM(BS7,BW7),"")</f>
        <v>67.399999999999991</v>
      </c>
      <c r="CD7" s="11">
        <f>IF(SUM(CA7,CC7)&gt;0,SUM(CA7,CC7),"")</f>
        <v>137.89999999999998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28.1</v>
      </c>
      <c r="LZ7" s="69">
        <f>IF($BY7="P",BJ7,(BJ7+AN7)/2)</f>
        <v>7.1999999999999993</v>
      </c>
      <c r="MA7" s="69">
        <f>IF($BY7="P",BK7,(BK7+AO7)/2)</f>
        <v>1.2</v>
      </c>
      <c r="MB7" s="69">
        <f>IF($BY7="P",BL7,(BL7+AP7)/2)</f>
        <v>0</v>
      </c>
      <c r="MC7" s="69">
        <f>IF($BY7="P",BM7,(BM7+AQ7)/2)</f>
        <v>28.4</v>
      </c>
      <c r="MD7" s="69">
        <f>IF($BY7="P",BN7,(BN7+AR7)/2)</f>
        <v>7.2</v>
      </c>
      <c r="ME7" s="69">
        <f>IF($BY7="P",BO7,(BO7+AS7)/2)</f>
        <v>0.6</v>
      </c>
      <c r="MF7" s="69">
        <f>IF($BY7="P",BP7,(BP7+AT7)/2)</f>
        <v>0</v>
      </c>
      <c r="MG7" s="69">
        <f>IF($BY7="P",BQ7,(BQ7+AU7)/2)</f>
        <v>28.4</v>
      </c>
      <c r="MH7" s="69">
        <f>IF($BY7="P",BR7,(BR7+AV7)/2)</f>
        <v>4.4000000000000004</v>
      </c>
      <c r="MI7" s="69">
        <f>IF($BY7="P",BS7,(BS7+AW7)/2)</f>
        <v>2.65</v>
      </c>
      <c r="MJ7" s="69">
        <f>IF($BY7="P",BT7,(BT7+AX7)/2)</f>
        <v>0</v>
      </c>
      <c r="MK7" s="69">
        <f>IF($BY7="P",BU7,(BU7+AY7)/2)</f>
        <v>27.75</v>
      </c>
      <c r="ML7" s="69">
        <f>IF($BY7="P",BV7,(BV7+AZ7)/2)</f>
        <v>6.4</v>
      </c>
      <c r="MM7" s="69">
        <f>IF($BY7="P",BW7,(BW7+BA7)/2)</f>
        <v>0.9</v>
      </c>
      <c r="MN7" s="69">
        <f>IF($BY7="P",BX7,(BX7+BB7)/2)</f>
        <v>0</v>
      </c>
      <c r="MO7" s="80" t="s">
        <v>88</v>
      </c>
      <c r="MP7" s="11">
        <f>IF(SUM(LZ7,MD7)&gt;0,SUM(LZ7,MD7),"")</f>
        <v>14.399999999999999</v>
      </c>
      <c r="MQ7" s="11">
        <f>IF(SUM(LY7:LZ7,MB7:MD7,MF7)-SUM(MA7,ME7)&gt;0,SUM(LY7:LZ7,MB7:MD7,MF7)-SUM(MA7,ME7),"")</f>
        <v>69.099999999999994</v>
      </c>
      <c r="MR7" s="11">
        <f>IF(SUM(MH7,ML7)&gt;0,SUM(MH7,ML7),"")</f>
        <v>10.8</v>
      </c>
      <c r="MS7" s="11">
        <f>IF(SUM(MG7:MH7,MJ7:ML7,MN7)-SUM(MI7,MM7)&gt;0,SUM(MG7:MH7,MJ7:ML7,MN7)-SUM(MI7,MM7),"")</f>
        <v>63.400000000000006</v>
      </c>
      <c r="MT7" s="11">
        <f>IF(SUM(MQ7,MS7)&gt;0,SUM(MQ7,MS7),"")</f>
        <v>132.5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172</v>
      </c>
      <c r="C8" s="4" t="s">
        <v>5</v>
      </c>
      <c r="D8" s="5">
        <v>2002</v>
      </c>
      <c r="E8" s="15">
        <f>SUM(J8:N8)</f>
        <v>185.60000000000002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2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Worlds Team</v>
      </c>
      <c r="I8" s="3" t="str">
        <f>IF(OR(H8="Worlds Team",H8="Excellence",H8="Merit"),"P","")</f>
        <v>P</v>
      </c>
      <c r="J8" s="14">
        <f>MAX(AI8,BE8,CA8)</f>
        <v>71.400000000000006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114.20000000000002</v>
      </c>
      <c r="M8" s="14" t="str">
        <f>IF(L8=0,"",IF(AND(J8&lt;&gt;CA8,L8=CD8),$BI$1,IF(AND(J8&lt;&gt;BE8,L8=BH8),$AM$1,IF(L8=AL8,$Q$1,""))))</f>
        <v>2019 Nationals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27.4</v>
      </c>
      <c r="R8" s="69">
        <v>7.2</v>
      </c>
      <c r="S8" s="69">
        <v>0.3</v>
      </c>
      <c r="T8" s="69">
        <v>0</v>
      </c>
      <c r="U8" s="69">
        <v>19.8</v>
      </c>
      <c r="V8" s="69">
        <v>3.2</v>
      </c>
      <c r="W8" s="69">
        <v>0.9</v>
      </c>
      <c r="X8" s="69">
        <v>0</v>
      </c>
      <c r="Y8" s="69">
        <v>27.9</v>
      </c>
      <c r="Z8" s="69">
        <v>7.6</v>
      </c>
      <c r="AA8" s="69">
        <v>0.3</v>
      </c>
      <c r="AB8" s="69">
        <v>0</v>
      </c>
      <c r="AC8" s="69">
        <v>20.2</v>
      </c>
      <c r="AD8" s="69">
        <v>2.4</v>
      </c>
      <c r="AE8" s="69">
        <v>0</v>
      </c>
      <c r="AF8" s="69">
        <v>0</v>
      </c>
      <c r="AG8" s="80"/>
      <c r="AH8" s="11">
        <f>IF(SUM(R8,V8)&gt;0,SUM(R8,V8),"")</f>
        <v>10.4</v>
      </c>
      <c r="AI8" s="11">
        <f>IF(SUM(Q8:R8,T8:V8,X8)-SUM(S8,W8)&gt;0,SUM(Q8:R8,T8:V8,X8)-SUM(S8,W8),"")</f>
        <v>56.400000000000006</v>
      </c>
      <c r="AJ8" s="11">
        <f>IF(SUM(Z8,AD8)&gt;0,SUM(Z8,AD8),"")</f>
        <v>10</v>
      </c>
      <c r="AK8" s="11">
        <f>IF(SUM(Y8:Z8,AB8:AD8,AF8)-SUM(AA8,AE8)&gt;0,SUM(Y8:Z8,AB8:AD8,AF8)-SUM(AA8,AE8),"")</f>
        <v>57.800000000000004</v>
      </c>
      <c r="AL8" s="11">
        <f>IF(SUM(AI8,AK8)&gt;0,SUM(AI8,AK8),"")</f>
        <v>114.20000000000002</v>
      </c>
      <c r="AM8" s="38">
        <v>28</v>
      </c>
      <c r="AN8" s="38">
        <v>6.8</v>
      </c>
      <c r="AO8" s="38">
        <v>0</v>
      </c>
      <c r="AP8" s="38">
        <v>0</v>
      </c>
      <c r="AQ8" s="38">
        <v>24.6</v>
      </c>
      <c r="AR8" s="38">
        <v>7.3</v>
      </c>
      <c r="AS8" s="38">
        <v>0.3</v>
      </c>
      <c r="AT8" s="38">
        <v>0</v>
      </c>
      <c r="AU8" s="38">
        <v>0</v>
      </c>
      <c r="AV8" s="38">
        <v>0</v>
      </c>
      <c r="AW8" s="38">
        <v>0</v>
      </c>
      <c r="AX8" s="38">
        <v>0</v>
      </c>
      <c r="AY8" s="38">
        <v>0</v>
      </c>
      <c r="AZ8" s="38">
        <v>0</v>
      </c>
      <c r="BA8" s="38">
        <v>0</v>
      </c>
      <c r="BB8" s="38">
        <v>0</v>
      </c>
      <c r="BC8" s="81"/>
      <c r="BD8" s="14">
        <f>IF(SUM(AN8,AR8)&gt;0,SUM(AN8,AR8),"")</f>
        <v>14.1</v>
      </c>
      <c r="BE8" s="14">
        <f>IF(SUM(AM8:AN8,AP8:AR8,AT8)-SUM(AO8,AS8)&gt;0,SUM(AM8:AN8,AP8:AR8,AT8)-SUM(AO8,AS8),"")</f>
        <v>66.400000000000006</v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>
        <f>IF(SUM(BE8,BG8)&gt;0,SUM(BE8,BG8),"")</f>
        <v>66.400000000000006</v>
      </c>
      <c r="BI8" s="69">
        <v>28.5</v>
      </c>
      <c r="BJ8" s="69">
        <v>7.2</v>
      </c>
      <c r="BK8" s="69">
        <v>0</v>
      </c>
      <c r="BL8" s="69">
        <v>0</v>
      </c>
      <c r="BM8" s="69">
        <v>28</v>
      </c>
      <c r="BN8" s="69">
        <v>7.7</v>
      </c>
      <c r="BO8" s="69">
        <v>0.3</v>
      </c>
      <c r="BP8" s="69">
        <v>0.3</v>
      </c>
      <c r="BQ8" s="69">
        <v>0</v>
      </c>
      <c r="BR8" s="69">
        <v>0</v>
      </c>
      <c r="BS8" s="69">
        <v>0</v>
      </c>
      <c r="BT8" s="69">
        <v>0</v>
      </c>
      <c r="BU8" s="69">
        <v>27.9</v>
      </c>
      <c r="BV8" s="69">
        <v>8.1</v>
      </c>
      <c r="BW8" s="69">
        <v>0.9</v>
      </c>
      <c r="BX8" s="69">
        <v>0</v>
      </c>
      <c r="BY8" s="80"/>
      <c r="BZ8" s="11">
        <f>IF(SUM(BJ8,BN8)&gt;0,SUM(BJ8,BN8),"")</f>
        <v>14.9</v>
      </c>
      <c r="CA8" s="11">
        <f>IF(SUM(BI8:BJ8,BL8:BN8,BP8)-SUM(BK8,BO8)&gt;0,SUM(BI8:BJ8,BL8:BN8,BP8)-SUM(BK8,BO8),"")</f>
        <v>71.400000000000006</v>
      </c>
      <c r="CB8" s="11">
        <f>IF(SUM(BR8,BV8)&gt;0,SUM(BR8,BV8),"")</f>
        <v>8.1</v>
      </c>
      <c r="CC8" s="11">
        <f>IF(SUM(BQ8:BR8,BT8:BV8,BX8)-SUM(BS8,BW8)&gt;0,SUM(BQ8:BR8,BT8:BV8,BX8)-SUM(BS8,BW8),"")</f>
        <v>35.1</v>
      </c>
      <c r="CD8" s="11">
        <f>IF(SUM(CA8,CC8)&gt;0,SUM(CA8,CC8),"")</f>
        <v>106.5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7</v>
      </c>
      <c r="MA8" s="69">
        <f>IF($BY8="P",BK8,(BK8+AO8)/2)</f>
        <v>0</v>
      </c>
      <c r="MB8" s="69">
        <f>IF($BY8="P",BL8,(BL8+AP8)/2)</f>
        <v>0</v>
      </c>
      <c r="MC8" s="69">
        <f>IF($BY8="P",BM8,(BM8+AQ8)/2)</f>
        <v>26.3</v>
      </c>
      <c r="MD8" s="69">
        <f>IF($BY8="P",BN8,(BN8+AR8)/2)</f>
        <v>7.5</v>
      </c>
      <c r="ME8" s="69">
        <f>IF($BY8="P",BO8,(BO8+AS8)/2)</f>
        <v>0.3</v>
      </c>
      <c r="MF8" s="69">
        <f>IF($BY8="P",BP8,(BP8+AT8)/2)</f>
        <v>0.15</v>
      </c>
      <c r="MG8" s="69">
        <f>IF($BY8="P",BQ8,(BQ8+AU8)/2)</f>
        <v>0</v>
      </c>
      <c r="MH8" s="69">
        <f>IF($BY8="P",BR8,(BR8+AV8)/2)</f>
        <v>0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13.95</v>
      </c>
      <c r="ML8" s="69">
        <f>IF($BY8="P",BV8,(BV8+AZ8)/2)</f>
        <v>4.05</v>
      </c>
      <c r="MM8" s="69">
        <f>IF($BY8="P",BW8,(BW8+BA8)/2)</f>
        <v>0.45</v>
      </c>
      <c r="MN8" s="69">
        <f>IF($BY8="P",BX8,(BX8+BB8)/2)</f>
        <v>0</v>
      </c>
      <c r="MO8" s="80" t="s">
        <v>88</v>
      </c>
      <c r="MP8" s="11">
        <f>IF(SUM(LZ8,MD8)&gt;0,SUM(LZ8,MD8),"")</f>
        <v>14.5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4.05</v>
      </c>
      <c r="MS8" s="11">
        <f>IF(SUM(MG8:MH8,MJ8:ML8,MN8)-SUM(MI8,MM8)&gt;0,SUM(MG8:MH8,MJ8:ML8,MN8)-SUM(MI8,MM8),"")</f>
        <v>17.55</v>
      </c>
      <c r="MT8" s="11">
        <f>IF(SUM(MQ8,MS8)&gt;0,SUM(MQ8,MS8),"")</f>
        <v>86.45</v>
      </c>
    </row>
    <row r="9" spans="1:358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8" t="s">
        <v>12</v>
      </c>
      <c r="C9" s="4" t="s">
        <v>6</v>
      </c>
      <c r="D9" s="5">
        <v>1996</v>
      </c>
      <c r="E9" s="15">
        <f>SUM(J9:N9)</f>
        <v>73.7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>P</v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>P</v>
      </c>
      <c r="H9" s="12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>Excellence</v>
      </c>
      <c r="I9" s="3" t="str">
        <f>IF(OR(H9="Worlds Team",H9="Excellence",H9="Merit"),"P","")</f>
        <v>P</v>
      </c>
      <c r="J9" s="14">
        <f>MAX(AI9,BE9,CA9)</f>
        <v>73.7</v>
      </c>
      <c r="K9" s="14" t="str">
        <f>IF(J9=0,"",IF(J9=CA9,$BI$1,IF(J9=BE9,$AM$1,IF(J9=AI9,$Q$1,""))))</f>
        <v>2019 Nationals</v>
      </c>
      <c r="L9" s="14">
        <f>IF(J9=AI9,MAX(BH9,CD9),IF(J9=BE9,MAX(AL9,CD9),MAX(AL9,BH9)))</f>
        <v>0</v>
      </c>
      <c r="M9" s="14" t="str">
        <f>IF(L9=0,"",IF(AND(J9&lt;&gt;CA9,L9=CD9),$BI$1,IF(AND(J9&lt;&gt;BE9,L9=BH9),$AM$1,IF(L9=AL9,$Q$1,""))))</f>
        <v/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28.8</v>
      </c>
      <c r="R9" s="69">
        <v>8.8000000000000007</v>
      </c>
      <c r="S9" s="69">
        <v>0</v>
      </c>
      <c r="T9" s="69">
        <v>0</v>
      </c>
      <c r="U9" s="69">
        <v>28.6</v>
      </c>
      <c r="V9" s="69">
        <v>8.4</v>
      </c>
      <c r="W9" s="69">
        <v>0.9</v>
      </c>
      <c r="X9" s="69">
        <v>0</v>
      </c>
      <c r="Y9" s="69">
        <v>28.5</v>
      </c>
      <c r="Z9" s="69">
        <v>7.3</v>
      </c>
      <c r="AA9" s="69">
        <v>0</v>
      </c>
      <c r="AB9" s="69">
        <v>0</v>
      </c>
      <c r="AC9" s="69">
        <v>27.4</v>
      </c>
      <c r="AD9" s="69">
        <v>7.9</v>
      </c>
      <c r="AE9" s="69">
        <v>1.5</v>
      </c>
      <c r="AF9" s="69">
        <v>0</v>
      </c>
      <c r="AG9" s="80"/>
      <c r="AH9" s="11">
        <f>IF(SUM(R9,V9)&gt;0,SUM(R9,V9),"")</f>
        <v>17.200000000000003</v>
      </c>
      <c r="AI9" s="11">
        <f>IF(SUM(Q9:R9,T9:V9,X9)-SUM(S9,W9)&gt;0,SUM(Q9:R9,T9:V9,X9)-SUM(S9,W9),"")</f>
        <v>73.7</v>
      </c>
      <c r="AJ9" s="11">
        <f>IF(SUM(Z9,AD9)&gt;0,SUM(Z9,AD9),"")</f>
        <v>15.2</v>
      </c>
      <c r="AK9" s="11">
        <f>IF(SUM(Y9:Z9,AB9:AD9,AF9)-SUM(AA9,AE9)&gt;0,SUM(Y9:Z9,AB9:AD9,AF9)-SUM(AA9,AE9),"")</f>
        <v>69.599999999999994</v>
      </c>
      <c r="AL9" s="11">
        <f>IF(SUM(AI9,AK9)&gt;0,SUM(AI9,AK9),"")</f>
        <v>143.30000000000001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>IF(SUM(AN9,AR9)&gt;0,SUM(AN9,AR9),"")</f>
        <v/>
      </c>
      <c r="BE9" s="14" t="str">
        <f>IF(SUM(AM9:AN9,AP9:AR9,AT9)-SUM(AO9,AS9)&gt;0,SUM(AM9:AN9,AP9:AR9,AT9)-SUM(AO9,AS9),"")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80"/>
      <c r="BZ9" s="11" t="str">
        <f>IF(SUM(BJ9,BN9)&gt;0,SUM(BJ9,BN9),"")</f>
        <v/>
      </c>
      <c r="CA9" s="11" t="str">
        <f>IF(SUM(BI9:BJ9,BL9:BN9,BP9)-SUM(BK9,BO9)&gt;0,SUM(BI9:BJ9,BL9:BN9,BP9)-SUM(BK9,BO9),"")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0</v>
      </c>
      <c r="LZ9" s="69">
        <f>IF($BY9="P",BJ9,(BJ9+AN9)/2)</f>
        <v>0</v>
      </c>
      <c r="MA9" s="69">
        <f>IF($BY9="P",BK9,(BK9+AO9)/2)</f>
        <v>0</v>
      </c>
      <c r="MB9" s="69">
        <f>IF($BY9="P",BL9,(BL9+AP9)/2)</f>
        <v>0</v>
      </c>
      <c r="MC9" s="69">
        <f>IF($BY9="P",BM9,(BM9+AQ9)/2)</f>
        <v>0</v>
      </c>
      <c r="MD9" s="69">
        <f>IF($BY9="P",BN9,(BN9+AR9)/2)</f>
        <v>0</v>
      </c>
      <c r="ME9" s="69">
        <f>IF($BY9="P",BO9,(BO9+AS9)/2)</f>
        <v>0</v>
      </c>
      <c r="MF9" s="69">
        <f>IF($BY9="P",BP9,(BP9+AT9)/2)</f>
        <v>0</v>
      </c>
      <c r="MG9" s="69">
        <f>IF($BY9="P",BQ9,(BQ9+AU9)/2)</f>
        <v>0</v>
      </c>
      <c r="MH9" s="69">
        <f>IF($BY9="P",BR9,(BR9+AV9)/2)</f>
        <v>0</v>
      </c>
      <c r="MI9" s="69">
        <f>IF($BY9="P",BS9,(BS9+AW9)/2)</f>
        <v>0</v>
      </c>
      <c r="MJ9" s="69">
        <f>IF($BY9="P",BT9,(BT9+AX9)/2)</f>
        <v>0</v>
      </c>
      <c r="MK9" s="69">
        <f>IF($BY9="P",BU9,(BU9+AY9)/2)</f>
        <v>0</v>
      </c>
      <c r="ML9" s="69">
        <f>IF($BY9="P",BV9,(BV9+AZ9)/2)</f>
        <v>0</v>
      </c>
      <c r="MM9" s="69">
        <f>IF($BY9="P",BW9,(BW9+BA9)/2)</f>
        <v>0</v>
      </c>
      <c r="MN9" s="69">
        <f>IF($BY9="P",BX9,(BX9+BB9)/2)</f>
        <v>0</v>
      </c>
      <c r="MO9" s="80" t="s">
        <v>88</v>
      </c>
      <c r="MP9" s="11" t="str">
        <f>IF(SUM(LZ9,MD9)&gt;0,SUM(LZ9,MD9),"")</f>
        <v/>
      </c>
      <c r="MQ9" s="11" t="str">
        <f>IF(SUM(LY9:LZ9,MB9:MD9,MF9)-SUM(MA9,ME9)&gt;0,SUM(LY9:LZ9,MB9:MD9,MF9)-SUM(MA9,ME9),"")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8" t="s">
        <v>139</v>
      </c>
      <c r="C10" s="4" t="s">
        <v>5</v>
      </c>
      <c r="D10" s="5">
        <v>2001</v>
      </c>
      <c r="E10" s="15">
        <f>SUM(J10:N10)</f>
        <v>72.3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>P</v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>P</v>
      </c>
      <c r="H10" s="12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>Worlds Team</v>
      </c>
      <c r="I10" s="3" t="str">
        <f>IF(OR(H10="Worlds Team",H10="Excellence",H10="Merit"),"P","")</f>
        <v>P</v>
      </c>
      <c r="J10" s="14">
        <f>MAX(AI10,BE10,CA10)</f>
        <v>72.3</v>
      </c>
      <c r="K10" s="14" t="str">
        <f>IF(J10=0,"",IF(J10=CA10,$BI$1,IF(J10=BE10,$AM$1,IF(J10=AI10,$Q$1,""))))</f>
        <v>2019 Nationals</v>
      </c>
      <c r="L10" s="14">
        <f>IF(J10=AI10,MAX(BH10,CD10),IF(J10=BE10,MAX(AL10,CD10),MAX(AL10,BH10)))</f>
        <v>0</v>
      </c>
      <c r="M10" s="14" t="str">
        <f>IF(L10=0,"",IF(AND(J10&lt;&gt;CA10,L10=CD10),$BI$1,IF(AND(J10&lt;&gt;BE10,L10=BH10),$AM$1,IF(L10=AL10,$Q$1,""))))</f>
        <v/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28.5</v>
      </c>
      <c r="R10" s="69">
        <v>8</v>
      </c>
      <c r="S10" s="69">
        <v>0</v>
      </c>
      <c r="T10" s="69">
        <v>0</v>
      </c>
      <c r="U10" s="69">
        <v>28.3</v>
      </c>
      <c r="V10" s="69">
        <v>8.4</v>
      </c>
      <c r="W10" s="69">
        <v>0.9</v>
      </c>
      <c r="X10" s="69">
        <v>0</v>
      </c>
      <c r="Y10" s="69">
        <v>27.9</v>
      </c>
      <c r="Z10" s="69">
        <v>7.2</v>
      </c>
      <c r="AA10" s="69">
        <v>0</v>
      </c>
      <c r="AB10" s="69">
        <v>0</v>
      </c>
      <c r="AC10" s="69">
        <v>28.7</v>
      </c>
      <c r="AD10" s="69">
        <v>7.6</v>
      </c>
      <c r="AE10" s="69">
        <v>0.9</v>
      </c>
      <c r="AF10" s="69">
        <v>0</v>
      </c>
      <c r="AG10" s="80"/>
      <c r="AH10" s="11">
        <f>IF(SUM(R10,V10)&gt;0,SUM(R10,V10),"")</f>
        <v>16.399999999999999</v>
      </c>
      <c r="AI10" s="11">
        <f>IF(SUM(Q10:R10,T10:V10,X10)-SUM(S10,W10)&gt;0,SUM(Q10:R10,T10:V10,X10)-SUM(S10,W10),"")</f>
        <v>72.3</v>
      </c>
      <c r="AJ10" s="11">
        <f>IF(SUM(Z10,AD10)&gt;0,SUM(Z10,AD10),"")</f>
        <v>14.8</v>
      </c>
      <c r="AK10" s="11">
        <f>IF(SUM(Y10:Z10,AB10:AD10,AF10)-SUM(AA10,AE10)&gt;0,SUM(Y10:Z10,AB10:AD10,AF10)-SUM(AA10,AE10),"")</f>
        <v>70.499999999999986</v>
      </c>
      <c r="AL10" s="11">
        <f>IF(SUM(AI10,AK10)&gt;0,SUM(AI10,AK10),"")</f>
        <v>142.79999999999998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80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0</v>
      </c>
      <c r="LZ10" s="69">
        <f>IF($BY10="P",BJ10,(BJ10+AN10)/2)</f>
        <v>0</v>
      </c>
      <c r="MA10" s="69">
        <f>IF($BY10="P",BK10,(BK10+AO10)/2)</f>
        <v>0</v>
      </c>
      <c r="MB10" s="69">
        <f>IF($BY10="P",BL10,(BL10+AP10)/2)</f>
        <v>0</v>
      </c>
      <c r="MC10" s="69">
        <f>IF($BY10="P",BM10,(BM10+AQ10)/2)</f>
        <v>0</v>
      </c>
      <c r="MD10" s="69">
        <f>IF($BY10="P",BN10,(BN10+AR10)/2)</f>
        <v>0</v>
      </c>
      <c r="ME10" s="69">
        <f>IF($BY10="P",BO10,(BO10+AS10)/2)</f>
        <v>0</v>
      </c>
      <c r="MF10" s="69">
        <f>IF($BY10="P",BP10,(BP10+AT10)/2)</f>
        <v>0</v>
      </c>
      <c r="MG10" s="69">
        <f>IF($BY10="P",BQ10,(BQ10+AU10)/2)</f>
        <v>0</v>
      </c>
      <c r="MH10" s="69">
        <f>IF($BY10="P",BR10,(BR10+AV10)/2)</f>
        <v>0</v>
      </c>
      <c r="MI10" s="69">
        <f>IF($BY10="P",BS10,(BS10+AW10)/2)</f>
        <v>0</v>
      </c>
      <c r="MJ10" s="69">
        <f>IF($BY10="P",BT10,(BT10+AX10)/2)</f>
        <v>0</v>
      </c>
      <c r="MK10" s="69">
        <f>IF($BY10="P",BU10,(BU10+AY10)/2)</f>
        <v>0</v>
      </c>
      <c r="ML10" s="69">
        <f>IF($BY10="P",BV10,(BV10+AZ10)/2)</f>
        <v>0</v>
      </c>
      <c r="MM10" s="69">
        <f>IF($BY10="P",BW10,(BW10+BA10)/2)</f>
        <v>0</v>
      </c>
      <c r="MN10" s="69">
        <f>IF($BY10="P",BX10,(BX10+BB10)/2)</f>
        <v>0</v>
      </c>
      <c r="MO10" s="80" t="s">
        <v>88</v>
      </c>
      <c r="MP10" s="11" t="str">
        <f>IF(SUM(LZ10,MD10)&gt;0,SUM(LZ10,MD10),"")</f>
        <v/>
      </c>
      <c r="MQ10" s="11" t="str">
        <f>IF(SUM(LY10:LZ10,MB10:MD10,MF10)-SUM(MA10,ME10)&gt;0,SUM(LY10:LZ10,MB10:MD10,MF10)-SUM(MA10,ME10),"")</f>
        <v/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 t="str">
        <f>IF(SUM(MQ10,MS10)&gt;0,SUM(MQ10,MS10),"")</f>
        <v/>
      </c>
    </row>
    <row r="11" spans="1:358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8" t="s">
        <v>112</v>
      </c>
      <c r="C11" s="4" t="s">
        <v>10</v>
      </c>
      <c r="D11" s="5">
        <v>2000</v>
      </c>
      <c r="E11" s="15">
        <f>SUM(J11:N11)</f>
        <v>70.999999999999986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>P</v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>P</v>
      </c>
      <c r="H11" s="12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>National Team</v>
      </c>
      <c r="I11" s="3" t="str">
        <f>IF(OR(H11="Worlds Team",H11="Excellence",H11="Merit"),"P","")</f>
        <v/>
      </c>
      <c r="J11" s="14">
        <f>MAX(AI11,BE11,CA11)</f>
        <v>70.999999999999986</v>
      </c>
      <c r="K11" s="14" t="str">
        <f>IF(J11=0,"",IF(J11=CA11,$BI$1,IF(J11=BE11,$AM$1,IF(J11=AI11,$Q$1,""))))</f>
        <v>2019 Nationals</v>
      </c>
      <c r="L11" s="14">
        <f>IF(J11=AI11,MAX(BH11,CD11),IF(J11=BE11,MAX(AL11,CD11),MAX(AL11,BH11)))</f>
        <v>0</v>
      </c>
      <c r="M11" s="14" t="str">
        <f>IF(L11=0,"",IF(AND(J11&lt;&gt;CA11,L11=CD11),$BI$1,IF(AND(J11&lt;&gt;BE11,L11=BH11),$AM$1,IF(L11=AL11,$Q$1,""))))</f>
        <v/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28.7</v>
      </c>
      <c r="R11" s="69">
        <v>8</v>
      </c>
      <c r="S11" s="69">
        <v>0</v>
      </c>
      <c r="T11" s="69">
        <v>0</v>
      </c>
      <c r="U11" s="69">
        <v>27.9</v>
      </c>
      <c r="V11" s="69">
        <v>7.6</v>
      </c>
      <c r="W11" s="69">
        <v>1.2</v>
      </c>
      <c r="X11" s="69">
        <v>0</v>
      </c>
      <c r="Y11" s="69">
        <v>28.5</v>
      </c>
      <c r="Z11" s="69">
        <v>8</v>
      </c>
      <c r="AA11" s="69">
        <v>0.9</v>
      </c>
      <c r="AB11" s="69">
        <v>0</v>
      </c>
      <c r="AC11" s="69">
        <v>24.4</v>
      </c>
      <c r="AD11" s="69">
        <v>7.4</v>
      </c>
      <c r="AE11" s="69">
        <v>1.5</v>
      </c>
      <c r="AF11" s="69">
        <v>0</v>
      </c>
      <c r="AG11" s="80"/>
      <c r="AH11" s="11">
        <f>IF(SUM(R11,V11)&gt;0,SUM(R11,V11),"")</f>
        <v>15.6</v>
      </c>
      <c r="AI11" s="11">
        <f>IF(SUM(Q11:R11,T11:V11,X11)-SUM(S11,W11)&gt;0,SUM(Q11:R11,T11:V11,X11)-SUM(S11,W11),"")</f>
        <v>70.999999999999986</v>
      </c>
      <c r="AJ11" s="11">
        <f>IF(SUM(Z11,AD11)&gt;0,SUM(Z11,AD11),"")</f>
        <v>15.4</v>
      </c>
      <c r="AK11" s="11">
        <f>IF(SUM(Y11:Z11,AB11:AD11,AF11)-SUM(AA11,AE11)&gt;0,SUM(Y11:Z11,AB11:AD11,AF11)-SUM(AA11,AE11),"")</f>
        <v>65.899999999999991</v>
      </c>
      <c r="AL11" s="11">
        <f>IF(SUM(AI11,AK11)&gt;0,SUM(AI11,AK11),"")</f>
        <v>136.89999999999998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80"/>
      <c r="BZ11" s="11" t="str">
        <f>IF(SUM(BJ11,BN11)&gt;0,SUM(BJ11,BN11),"")</f>
        <v/>
      </c>
      <c r="CA11" s="11" t="str">
        <f>IF(SUM(BI11:BJ11,BL11:BN11,BP11)-SUM(BK11,BO11)&gt;0,SUM(BI11:BJ11,BL11:BN11,BP11)-SUM(BK11,BO11),"")</f>
        <v/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 t="str">
        <f>IF(SUM(CA11,CC11)&gt;0,SUM(CA11,CC11),"")</f>
        <v/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0</v>
      </c>
      <c r="LZ11" s="69">
        <f>IF($BY11="P",BJ11,(BJ11+AN11)/2)</f>
        <v>0</v>
      </c>
      <c r="MA11" s="69">
        <f>IF($BY11="P",BK11,(BK11+AO11)/2)</f>
        <v>0</v>
      </c>
      <c r="MB11" s="69">
        <f>IF($BY11="P",BL11,(BL11+AP11)/2)</f>
        <v>0</v>
      </c>
      <c r="MC11" s="69">
        <f>IF($BY11="P",BM11,(BM11+AQ11)/2)</f>
        <v>0</v>
      </c>
      <c r="MD11" s="69">
        <f>IF($BY11="P",BN11,(BN11+AR11)/2)</f>
        <v>0</v>
      </c>
      <c r="ME11" s="69">
        <f>IF($BY11="P",BO11,(BO11+AS11)/2)</f>
        <v>0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88</v>
      </c>
      <c r="MP11" s="11" t="str">
        <f>IF(SUM(LZ11,MD11)&gt;0,SUM(LZ11,MD11),"")</f>
        <v/>
      </c>
      <c r="MQ11" s="11" t="str">
        <f>IF(SUM(LY11:LZ11,MB11:MD11,MF11)-SUM(MA11,ME11)&gt;0,SUM(LY11:LZ11,MB11:MD11,MF11)-SUM(MA11,ME11),"")</f>
        <v/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 t="str">
        <f>IF(SUM(MQ11,MS11)&gt;0,SUM(MQ11,MS11),"")</f>
        <v/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181</v>
      </c>
      <c r="C12" s="4" t="s">
        <v>152</v>
      </c>
      <c r="D12" s="5">
        <v>2000</v>
      </c>
      <c r="E12" s="15">
        <f>SUM(J12:N12)</f>
        <v>198.7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2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68.599999999999994</v>
      </c>
      <c r="K12" s="14" t="str">
        <f>IF(J12=0,"",IF(J12=CA12,$BI$1,IF(J12=BE12,$AM$1,IF(J12=AI12,$Q$1,""))))</f>
        <v>2019 Nationals</v>
      </c>
      <c r="L12" s="14">
        <f>IF(J12=AI12,MAX(BH12,CD12),IF(J12=BE12,MAX(AL12,CD12),MAX(AL12,BH12)))</f>
        <v>130.1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28.5</v>
      </c>
      <c r="R12" s="69">
        <v>6.4</v>
      </c>
      <c r="S12" s="69">
        <v>0.9</v>
      </c>
      <c r="T12" s="69">
        <v>0</v>
      </c>
      <c r="U12" s="69">
        <v>28.2</v>
      </c>
      <c r="V12" s="69">
        <v>6.4</v>
      </c>
      <c r="W12" s="69">
        <v>0</v>
      </c>
      <c r="X12" s="69">
        <v>0</v>
      </c>
      <c r="Y12" s="69">
        <v>27.7</v>
      </c>
      <c r="Z12" s="69">
        <v>6</v>
      </c>
      <c r="AA12" s="69">
        <v>0.9</v>
      </c>
      <c r="AB12" s="69">
        <v>0</v>
      </c>
      <c r="AC12" s="69">
        <v>28.5</v>
      </c>
      <c r="AD12" s="69">
        <v>6</v>
      </c>
      <c r="AE12" s="69">
        <v>0</v>
      </c>
      <c r="AF12" s="69">
        <v>0</v>
      </c>
      <c r="AG12" s="80"/>
      <c r="AH12" s="11">
        <f>IF(SUM(R12,V12)&gt;0,SUM(R12,V12),"")</f>
        <v>12.8</v>
      </c>
      <c r="AI12" s="11">
        <f>IF(SUM(Q12:R12,T12:V12,X12)-SUM(S12,W12)&gt;0,SUM(Q12:R12,T12:V12,X12)-SUM(S12,W12),"")</f>
        <v>68.599999999999994</v>
      </c>
      <c r="AJ12" s="11">
        <f>IF(SUM(Z12,AD12)&gt;0,SUM(Z12,AD12),"")</f>
        <v>12</v>
      </c>
      <c r="AK12" s="11">
        <f>IF(SUM(Y12:Z12,AB12:AD12,AF12)-SUM(AA12,AE12)&gt;0,SUM(Y12:Z12,AB12:AD12,AF12)-SUM(AA12,AE12),"")</f>
        <v>67.3</v>
      </c>
      <c r="AL12" s="11">
        <f>IF(SUM(AI12,AK12)&gt;0,SUM(AI12,AK12),"")</f>
        <v>135.89999999999998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</v>
      </c>
      <c r="BJ12" s="69">
        <v>5.6</v>
      </c>
      <c r="BK12" s="69">
        <v>1.9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>
        <v>28.4</v>
      </c>
      <c r="BR12" s="69">
        <v>7.2</v>
      </c>
      <c r="BS12" s="69">
        <v>0.3</v>
      </c>
      <c r="BT12" s="69">
        <v>0</v>
      </c>
      <c r="BU12" s="69">
        <v>24.5</v>
      </c>
      <c r="BV12" s="69">
        <v>7.2</v>
      </c>
      <c r="BW12" s="69">
        <v>1.2</v>
      </c>
      <c r="BX12" s="69">
        <v>0</v>
      </c>
      <c r="BY12" s="80"/>
      <c r="BZ12" s="11">
        <f>IF(SUM(BJ12,BN12)&gt;0,SUM(BJ12,BN12),"")</f>
        <v>11.6</v>
      </c>
      <c r="CA12" s="11">
        <f>IF(SUM(BI12:BJ12,BL12:BN12,BP12)-SUM(BK12,BO12)&gt;0,SUM(BI12:BJ12,BL12:BN12,BP12)-SUM(BK12,BO12),"")</f>
        <v>64.3</v>
      </c>
      <c r="CB12" s="11">
        <f>IF(SUM(BR12,BV12)&gt;0,SUM(BR12,BV12),"")</f>
        <v>14.4</v>
      </c>
      <c r="CC12" s="11">
        <f>IF(SUM(BQ12:BR12,BT12:BV12,BX12)-SUM(BS12,BW12)&gt;0,SUM(BQ12:BR12,BT12:BV12,BX12)-SUM(BS12,BW12),"")</f>
        <v>65.8</v>
      </c>
      <c r="CD12" s="11">
        <f>IF(SUM(CA12,CC12)&gt;0,SUM(CA12,CC12),"")</f>
        <v>130.1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13.5</v>
      </c>
      <c r="LZ12" s="69">
        <f>IF($BY12="P",BJ12,(BJ12+AN12)/2)</f>
        <v>2.8</v>
      </c>
      <c r="MA12" s="69">
        <f>IF($BY12="P",BK12,(BK12+AO12)/2)</f>
        <v>0.95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14.2</v>
      </c>
      <c r="MH12" s="69">
        <f>IF($BY12="P",BR12,(BR12+AV12)/2)</f>
        <v>3.6</v>
      </c>
      <c r="MI12" s="69">
        <f>IF($BY12="P",BS12,(BS12+AW12)/2)</f>
        <v>0.15</v>
      </c>
      <c r="MJ12" s="69">
        <f>IF($BY12="P",BT12,(BT12+AX12)/2)</f>
        <v>0</v>
      </c>
      <c r="MK12" s="69">
        <f>IF($BY12="P",BU12,(BU12+AY12)/2)</f>
        <v>12.25</v>
      </c>
      <c r="ML12" s="69">
        <f>IF($BY12="P",BV12,(BV12+AZ12)/2)</f>
        <v>3.6</v>
      </c>
      <c r="MM12" s="69">
        <f>IF($BY12="P",BW12,(BW12+BA12)/2)</f>
        <v>0.6</v>
      </c>
      <c r="MN12" s="69">
        <f>IF($BY12="P",BX12,(BX12+BB12)/2)</f>
        <v>0</v>
      </c>
      <c r="MO12" s="80" t="s">
        <v>88</v>
      </c>
      <c r="MP12" s="11">
        <f>IF(SUM(LZ12,MD12)&gt;0,SUM(LZ12,MD12),"")</f>
        <v>5.8</v>
      </c>
      <c r="MQ12" s="11">
        <f>IF(SUM(LY12:LZ12,MB12:MD12,MF12)-SUM(MA12,ME12)&gt;0,SUM(LY12:LZ12,MB12:MD12,MF12)-SUM(MA12,ME12),"")</f>
        <v>32.15</v>
      </c>
      <c r="MR12" s="11">
        <f>IF(SUM(MH12,ML12)&gt;0,SUM(MH12,ML12),"")</f>
        <v>7.2</v>
      </c>
      <c r="MS12" s="11">
        <f>IF(SUM(MG12:MH12,MJ12:ML12,MN12)-SUM(MI12,MM12)&gt;0,SUM(MG12:MH12,MJ12:ML12,MN12)-SUM(MI12,MM12),"")</f>
        <v>32.9</v>
      </c>
      <c r="MT12" s="11">
        <f>IF(SUM(MQ12,MS12)&gt;0,SUM(MQ12,MS12),"")</f>
        <v>65.05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182</v>
      </c>
      <c r="C13" s="4" t="s">
        <v>10</v>
      </c>
      <c r="D13" s="5">
        <v>2000</v>
      </c>
      <c r="E13" s="15">
        <f>SUM(J13:N13)</f>
        <v>196.70000000000005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2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65.500000000000014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131.20000000000002</v>
      </c>
      <c r="M13" s="14" t="str">
        <f>IF(L13=0,"",IF(AND(J13&lt;&gt;CA13,L13=CD13),$BI$1,IF(AND(J13&lt;&gt;BE13,L13=BH13),$AM$1,IF(L13=AL13,$Q$1,""))))</f>
        <v>2021 1st Virtual Technical Trial</v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27.9</v>
      </c>
      <c r="R13" s="69">
        <v>4.4000000000000004</v>
      </c>
      <c r="S13" s="69">
        <v>0</v>
      </c>
      <c r="T13" s="69">
        <v>0</v>
      </c>
      <c r="U13" s="69">
        <v>27.3</v>
      </c>
      <c r="V13" s="69">
        <v>5.2</v>
      </c>
      <c r="W13" s="69">
        <v>0</v>
      </c>
      <c r="X13" s="69">
        <v>0</v>
      </c>
      <c r="Y13" s="69">
        <v>28.3</v>
      </c>
      <c r="Z13" s="69">
        <v>3.5</v>
      </c>
      <c r="AA13" s="69">
        <v>0.3</v>
      </c>
      <c r="AB13" s="69">
        <v>0</v>
      </c>
      <c r="AC13" s="69">
        <v>29</v>
      </c>
      <c r="AD13" s="69">
        <v>3.7</v>
      </c>
      <c r="AE13" s="69">
        <v>0.9</v>
      </c>
      <c r="AF13" s="69">
        <v>0</v>
      </c>
      <c r="AG13" s="80"/>
      <c r="AH13" s="11">
        <f>IF(SUM(R13,V13)&gt;0,SUM(R13,V13),"")</f>
        <v>9.6000000000000014</v>
      </c>
      <c r="AI13" s="11">
        <f>IF(SUM(Q13:R13,T13:V13,X13)-SUM(S13,W13)&gt;0,SUM(Q13:R13,T13:V13,X13)-SUM(S13,W13),"")</f>
        <v>64.8</v>
      </c>
      <c r="AJ13" s="11">
        <f>IF(SUM(Z13,AD13)&gt;0,SUM(Z13,AD13),"")</f>
        <v>7.2</v>
      </c>
      <c r="AK13" s="11">
        <f>IF(SUM(Y13:Z13,AB13:AD13,AF13)-SUM(AA13,AE13)&gt;0,SUM(Y13:Z13,AB13:AD13,AF13)-SUM(AA13,AE13),"")</f>
        <v>63.3</v>
      </c>
      <c r="AL13" s="11">
        <f>IF(SUM(AI13,AK13)&gt;0,SUM(AI13,AK13),"")</f>
        <v>128.1</v>
      </c>
      <c r="AM13" s="38">
        <v>28</v>
      </c>
      <c r="AN13" s="38">
        <v>3</v>
      </c>
      <c r="AO13" s="38">
        <v>0.6</v>
      </c>
      <c r="AP13" s="38">
        <v>0</v>
      </c>
      <c r="AQ13" s="38">
        <v>27.2</v>
      </c>
      <c r="AR13" s="38">
        <v>6.4</v>
      </c>
      <c r="AS13" s="38">
        <v>0.3</v>
      </c>
      <c r="AT13" s="38">
        <v>0</v>
      </c>
      <c r="AU13" s="38">
        <v>28.1</v>
      </c>
      <c r="AV13" s="38">
        <v>6.4</v>
      </c>
      <c r="AW13" s="38">
        <v>0.3</v>
      </c>
      <c r="AX13" s="38">
        <v>0</v>
      </c>
      <c r="AY13" s="38">
        <v>28.1</v>
      </c>
      <c r="AZ13" s="38">
        <v>6.4</v>
      </c>
      <c r="BA13" s="38">
        <v>1.2</v>
      </c>
      <c r="BB13" s="38">
        <v>0</v>
      </c>
      <c r="BC13" s="81"/>
      <c r="BD13" s="14">
        <f>IF(SUM(AN13,AR13)&gt;0,SUM(AN13,AR13),"")</f>
        <v>9.4</v>
      </c>
      <c r="BE13" s="14">
        <f>IF(SUM(AM13:AN13,AP13:AR13,AT13)-SUM(AO13,AS13)&gt;0,SUM(AM13:AN13,AP13:AR13,AT13)-SUM(AO13,AS13),"")</f>
        <v>63.70000000000001</v>
      </c>
      <c r="BF13" s="14">
        <f>IF(SUM(AV13,AZ13)&gt;0,SUM(AV13,AZ13),"")</f>
        <v>12.8</v>
      </c>
      <c r="BG13" s="14">
        <f>IF(SUM(AU13:AV13,AX13:AZ13,BB13)-SUM(AW13,BA13)&gt;0,SUM(AU13:AV13,AX13:AZ13,BB13)-SUM(AW13,BA13),"")</f>
        <v>67.5</v>
      </c>
      <c r="BH13" s="14">
        <f>IF(SUM(BE13,BG13)&gt;0,SUM(BE13,BG13),"")</f>
        <v>131.20000000000002</v>
      </c>
      <c r="BI13" s="69">
        <v>25.6</v>
      </c>
      <c r="BJ13" s="69">
        <v>7.6</v>
      </c>
      <c r="BK13" s="69">
        <v>1.5</v>
      </c>
      <c r="BL13" s="69">
        <v>0</v>
      </c>
      <c r="BM13" s="69">
        <v>27.7</v>
      </c>
      <c r="BN13" s="69">
        <v>6.4</v>
      </c>
      <c r="BO13" s="69">
        <v>0.3</v>
      </c>
      <c r="BP13" s="69">
        <v>0</v>
      </c>
      <c r="BQ13" s="69">
        <v>26.8</v>
      </c>
      <c r="BR13" s="69">
        <v>6.4</v>
      </c>
      <c r="BS13" s="69">
        <v>0.3</v>
      </c>
      <c r="BT13" s="69">
        <v>0</v>
      </c>
      <c r="BU13" s="69">
        <v>28</v>
      </c>
      <c r="BV13" s="69">
        <v>2.4</v>
      </c>
      <c r="BW13" s="69">
        <v>3.9</v>
      </c>
      <c r="BX13" s="69">
        <v>0</v>
      </c>
      <c r="BY13" s="80"/>
      <c r="BZ13" s="11">
        <f>IF(SUM(BJ13,BN13)&gt;0,SUM(BJ13,BN13),"")</f>
        <v>14</v>
      </c>
      <c r="CA13" s="11">
        <f>IF(SUM(BI13:BJ13,BL13:BN13,BP13)-SUM(BK13,BO13)&gt;0,SUM(BI13:BJ13,BL13:BN13,BP13)-SUM(BK13,BO13),"")</f>
        <v>65.500000000000014</v>
      </c>
      <c r="CB13" s="11">
        <f>IF(SUM(BR13,BV13)&gt;0,SUM(BR13,BV13),"")</f>
        <v>8.8000000000000007</v>
      </c>
      <c r="CC13" s="11">
        <f>IF(SUM(BQ13:BR13,BT13:BV13,BX13)-SUM(BS13,BW13)&gt;0,SUM(BQ13:BR13,BT13:BV13,BX13)-SUM(BS13,BW13),"")</f>
        <v>59.4</v>
      </c>
      <c r="CD13" s="11">
        <f>IF(SUM(CA13,CC13)&gt;0,SUM(CA13,CC13),"")</f>
        <v>124.9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26.8</v>
      </c>
      <c r="LZ13" s="69">
        <f>IF($BY13="P",BJ13,(BJ13+AN13)/2)</f>
        <v>5.3</v>
      </c>
      <c r="MA13" s="69">
        <f>IF($BY13="P",BK13,(BK13+AO13)/2)</f>
        <v>1.05</v>
      </c>
      <c r="MB13" s="69">
        <f>IF($BY13="P",BL13,(BL13+AP13)/2)</f>
        <v>0</v>
      </c>
      <c r="MC13" s="69">
        <f>IF($BY13="P",BM13,(BM13+AQ13)/2)</f>
        <v>27.45</v>
      </c>
      <c r="MD13" s="69">
        <f>IF($BY13="P",BN13,(BN13+AR13)/2)</f>
        <v>6.4</v>
      </c>
      <c r="ME13" s="69">
        <f>IF($BY13="P",BO13,(BO13+AS13)/2)</f>
        <v>0.3</v>
      </c>
      <c r="MF13" s="69">
        <f>IF($BY13="P",BP13,(BP13+AT13)/2)</f>
        <v>0</v>
      </c>
      <c r="MG13" s="69">
        <f>IF($BY13="P",BQ13,(BQ13+AU13)/2)</f>
        <v>27.450000000000003</v>
      </c>
      <c r="MH13" s="69">
        <f>IF($BY13="P",BR13,(BR13+AV13)/2)</f>
        <v>6.4</v>
      </c>
      <c r="MI13" s="69">
        <f>IF($BY13="P",BS13,(BS13+AW13)/2)</f>
        <v>0.3</v>
      </c>
      <c r="MJ13" s="69">
        <f>IF($BY13="P",BT13,(BT13+AX13)/2)</f>
        <v>0</v>
      </c>
      <c r="MK13" s="69">
        <f>IF($BY13="P",BU13,(BU13+AY13)/2)</f>
        <v>28.05</v>
      </c>
      <c r="ML13" s="69">
        <f>IF($BY13="P",BV13,(BV13+AZ13)/2)</f>
        <v>4.4000000000000004</v>
      </c>
      <c r="MM13" s="69">
        <f>IF($BY13="P",BW13,(BW13+BA13)/2)</f>
        <v>2.5499999999999998</v>
      </c>
      <c r="MN13" s="69">
        <f>IF($BY13="P",BX13,(BX13+BB13)/2)</f>
        <v>0</v>
      </c>
      <c r="MO13" s="80" t="s">
        <v>88</v>
      </c>
      <c r="MP13" s="11">
        <f>IF(SUM(LZ13,MD13)&gt;0,SUM(LZ13,MD13),"")</f>
        <v>11.7</v>
      </c>
      <c r="MQ13" s="11">
        <f>IF(SUM(LY13:LZ13,MB13:MD13,MF13)-SUM(MA13,ME13)&gt;0,SUM(LY13:LZ13,MB13:MD13,MF13)-SUM(MA13,ME13),"")</f>
        <v>64.600000000000009</v>
      </c>
      <c r="MR13" s="11">
        <f>IF(SUM(MH13,ML13)&gt;0,SUM(MH13,ML13),"")</f>
        <v>10.8</v>
      </c>
      <c r="MS13" s="11">
        <f>IF(SUM(MG13:MH13,MJ13:ML13,MN13)-SUM(MI13,MM13)&gt;0,SUM(MG13:MH13,MJ13:ML13,MN13)-SUM(MI13,MM13),"")</f>
        <v>63.45000000000001</v>
      </c>
      <c r="MT13" s="11">
        <f>IF(SUM(MQ13,MS13)&gt;0,SUM(MQ13,MS13),"")</f>
        <v>128.05000000000001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183</v>
      </c>
      <c r="C14" s="4" t="s">
        <v>6</v>
      </c>
      <c r="D14" s="5">
        <v>2003</v>
      </c>
      <c r="E14" s="15">
        <f>SUM(J14:N14)</f>
        <v>191.2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2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67.3</v>
      </c>
      <c r="K14" s="14" t="str">
        <f>IF(J14=0,"",IF(J14=CA14,$BI$1,IF(J14=BE14,$AM$1,IF(J14=AI14,$Q$1,""))))</f>
        <v>2019 Nationals</v>
      </c>
      <c r="L14" s="14">
        <f>IF(J14=AI14,MAX(BH14,CD14),IF(J14=BE14,MAX(AL14,CD14),MAX(AL14,BH14)))</f>
        <v>123.9</v>
      </c>
      <c r="M14" s="14" t="str">
        <f>IF(L14=0,"",IF(AND(J14&lt;&gt;CA14,L14=CD14),$BI$1,IF(AND(J14&lt;&gt;BE14,L14=BH14),$AM$1,IF(L14=AL14,$Q$1,""))))</f>
        <v>2021 2nd Virtual Technical Trial</v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28</v>
      </c>
      <c r="R14" s="69">
        <v>6.4</v>
      </c>
      <c r="S14" s="69">
        <v>0</v>
      </c>
      <c r="T14" s="69">
        <v>0</v>
      </c>
      <c r="U14" s="69">
        <v>27.2</v>
      </c>
      <c r="V14" s="69">
        <v>6</v>
      </c>
      <c r="W14" s="69">
        <v>0.3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24.9</v>
      </c>
      <c r="AD14" s="69">
        <v>6.9</v>
      </c>
      <c r="AE14" s="69">
        <v>0.3</v>
      </c>
      <c r="AF14" s="69">
        <v>0</v>
      </c>
      <c r="AG14" s="80"/>
      <c r="AH14" s="11">
        <f>IF(SUM(R14,V14)&gt;0,SUM(R14,V14),"")</f>
        <v>12.4</v>
      </c>
      <c r="AI14" s="11">
        <f>IF(SUM(Q14:R14,T14:V14,X14)-SUM(S14,W14)&gt;0,SUM(Q14:R14,T14:V14,X14)-SUM(S14,W14),"")</f>
        <v>67.3</v>
      </c>
      <c r="AJ14" s="11">
        <f>IF(SUM(Z14,AD14)&gt;0,SUM(Z14,AD14),"")</f>
        <v>6.9</v>
      </c>
      <c r="AK14" s="11">
        <f>IF(SUM(Y14:Z14,AB14:AD14,AF14)-SUM(AA14,AE14)&gt;0,SUM(Y14:Z14,AB14:AD14,AF14)-SUM(AA14,AE14),"")</f>
        <v>31.499999999999996</v>
      </c>
      <c r="AL14" s="11">
        <f>IF(SUM(AI14,AK14)&gt;0,SUM(AI14,AK14),"")</f>
        <v>98.8</v>
      </c>
      <c r="AM14" s="38">
        <v>25.4</v>
      </c>
      <c r="AN14" s="38">
        <v>4.4000000000000004</v>
      </c>
      <c r="AO14" s="38">
        <v>0.9</v>
      </c>
      <c r="AP14" s="38">
        <v>0</v>
      </c>
      <c r="AQ14" s="38">
        <v>28.5</v>
      </c>
      <c r="AR14" s="38">
        <v>3.1</v>
      </c>
      <c r="AS14" s="38">
        <v>0.3</v>
      </c>
      <c r="AT14" s="38">
        <v>0</v>
      </c>
      <c r="AU14" s="38">
        <v>0</v>
      </c>
      <c r="AV14" s="38">
        <v>0</v>
      </c>
      <c r="AW14" s="38">
        <v>0</v>
      </c>
      <c r="AX14" s="38">
        <v>0</v>
      </c>
      <c r="AY14" s="38">
        <v>0</v>
      </c>
      <c r="AZ14" s="38">
        <v>0</v>
      </c>
      <c r="BA14" s="38">
        <v>0</v>
      </c>
      <c r="BB14" s="38">
        <v>0</v>
      </c>
      <c r="BC14" s="81"/>
      <c r="BD14" s="14">
        <f>IF(SUM(AN14,AR14)&gt;0,SUM(AN14,AR14),"")</f>
        <v>7.5</v>
      </c>
      <c r="BE14" s="14">
        <f>IF(SUM(AM14:AN14,AP14:AR14,AT14)-SUM(AO14,AS14)&gt;0,SUM(AM14:AN14,AP14:AR14,AT14)-SUM(AO14,AS14),"")</f>
        <v>60.199999999999996</v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>
        <f>IF(SUM(BE14,BG14)&gt;0,SUM(BE14,BG14),"")</f>
        <v>60.199999999999996</v>
      </c>
      <c r="BI14" s="69">
        <v>28.2</v>
      </c>
      <c r="BJ14" s="69">
        <v>7.2</v>
      </c>
      <c r="BK14" s="69">
        <v>0.9</v>
      </c>
      <c r="BL14" s="69">
        <v>0</v>
      </c>
      <c r="BM14" s="69">
        <v>20.100000000000001</v>
      </c>
      <c r="BN14" s="69">
        <v>3.2</v>
      </c>
      <c r="BO14" s="69">
        <v>0</v>
      </c>
      <c r="BP14" s="69">
        <v>0</v>
      </c>
      <c r="BQ14" s="69">
        <v>28</v>
      </c>
      <c r="BR14" s="69">
        <v>6.9</v>
      </c>
      <c r="BS14" s="69">
        <v>0</v>
      </c>
      <c r="BT14" s="69">
        <v>0</v>
      </c>
      <c r="BU14" s="69">
        <v>28.6</v>
      </c>
      <c r="BV14" s="69">
        <v>4.3</v>
      </c>
      <c r="BW14" s="69">
        <v>1.7</v>
      </c>
      <c r="BX14" s="69">
        <v>0</v>
      </c>
      <c r="BY14" s="80"/>
      <c r="BZ14" s="11">
        <f>IF(SUM(BJ14,BN14)&gt;0,SUM(BJ14,BN14),"")</f>
        <v>10.4</v>
      </c>
      <c r="CA14" s="11">
        <f>IF(SUM(BI14:BJ14,BL14:BN14,BP14)-SUM(BK14,BO14)&gt;0,SUM(BI14:BJ14,BL14:BN14,BP14)-SUM(BK14,BO14),"")</f>
        <v>57.800000000000004</v>
      </c>
      <c r="CB14" s="11">
        <f>IF(SUM(BR14,BV14)&gt;0,SUM(BR14,BV14),"")</f>
        <v>11.2</v>
      </c>
      <c r="CC14" s="11">
        <f>IF(SUM(BQ14:BR14,BT14:BV14,BX14)-SUM(BS14,BW14)&gt;0,SUM(BQ14:BR14,BT14:BV14,BX14)-SUM(BS14,BW14),"")</f>
        <v>66.099999999999994</v>
      </c>
      <c r="CD14" s="11">
        <f>IF(SUM(CA14,CC14)&gt;0,SUM(CA14,CC14),"")</f>
        <v>123.9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26.799999999999997</v>
      </c>
      <c r="LZ14" s="69">
        <f>IF($BY14="P",BJ14,(BJ14+AN14)/2)</f>
        <v>5.8000000000000007</v>
      </c>
      <c r="MA14" s="69">
        <f>IF($BY14="P",BK14,(BK14+AO14)/2)</f>
        <v>0.9</v>
      </c>
      <c r="MB14" s="69">
        <f>IF($BY14="P",BL14,(BL14+AP14)/2)</f>
        <v>0</v>
      </c>
      <c r="MC14" s="69">
        <f>IF($BY14="P",BM14,(BM14+AQ14)/2)</f>
        <v>24.3</v>
      </c>
      <c r="MD14" s="69">
        <f>IF($BY14="P",BN14,(BN14+AR14)/2)</f>
        <v>3.1500000000000004</v>
      </c>
      <c r="ME14" s="69">
        <f>IF($BY14="P",BO14,(BO14+AS14)/2)</f>
        <v>0.15</v>
      </c>
      <c r="MF14" s="69">
        <f>IF($BY14="P",BP14,(BP14+AT14)/2)</f>
        <v>0</v>
      </c>
      <c r="MG14" s="69">
        <f>IF($BY14="P",BQ14,(BQ14+AU14)/2)</f>
        <v>14</v>
      </c>
      <c r="MH14" s="69">
        <f>IF($BY14="P",BR14,(BR14+AV14)/2)</f>
        <v>3.45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14.3</v>
      </c>
      <c r="ML14" s="69">
        <f>IF($BY14="P",BV14,(BV14+AZ14)/2)</f>
        <v>2.15</v>
      </c>
      <c r="MM14" s="69">
        <f>IF($BY14="P",BW14,(BW14+BA14)/2)</f>
        <v>0.85</v>
      </c>
      <c r="MN14" s="69">
        <f>IF($BY14="P",BX14,(BX14+BB14)/2)</f>
        <v>0</v>
      </c>
      <c r="MO14" s="80" t="s">
        <v>88</v>
      </c>
      <c r="MP14" s="11">
        <f>IF(SUM(LZ14,MD14)&gt;0,SUM(LZ14,MD14),"")</f>
        <v>8.9500000000000011</v>
      </c>
      <c r="MQ14" s="11">
        <f>IF(SUM(LY14:LZ14,MB14:MD14,MF14)-SUM(MA14,ME14)&gt;0,SUM(LY14:LZ14,MB14:MD14,MF14)-SUM(MA14,ME14),"")</f>
        <v>58.999999999999993</v>
      </c>
      <c r="MR14" s="11">
        <f>IF(SUM(MH14,ML14)&gt;0,SUM(MH14,ML14),"")</f>
        <v>5.6</v>
      </c>
      <c r="MS14" s="11">
        <f>IF(SUM(MG14:MH14,MJ14:ML14,MN14)-SUM(MI14,MM14)&gt;0,SUM(MG14:MH14,MJ14:ML14,MN14)-SUM(MI14,MM14),"")</f>
        <v>33.049999999999997</v>
      </c>
      <c r="MT14" s="11">
        <f>IF(SUM(MQ14,MS14)&gt;0,SUM(MQ14,MS14),"")</f>
        <v>92.049999999999983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51</v>
      </c>
      <c r="C15" s="4" t="s">
        <v>10</v>
      </c>
      <c r="D15" s="5">
        <v>1998</v>
      </c>
      <c r="E15" s="15">
        <f>SUM(J15:N15)</f>
        <v>171.3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2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67.3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104</v>
      </c>
      <c r="M15" s="14" t="str">
        <f>IF(L15=0,"",IF(AND(J15&lt;&gt;CA15,L15=CD15),$BI$1,IF(AND(J15&lt;&gt;BE15,L15=BH15),$AM$1,IF(L15=AL15,$Q$1,""))))</f>
        <v>2021 1st Virtual Technical Trial</v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27.5</v>
      </c>
      <c r="R15" s="69">
        <v>3.7</v>
      </c>
      <c r="S15" s="69">
        <v>2.6</v>
      </c>
      <c r="T15" s="69">
        <v>0</v>
      </c>
      <c r="U15" s="69">
        <v>20.2</v>
      </c>
      <c r="V15" s="69">
        <v>2.8</v>
      </c>
      <c r="W15" s="69">
        <v>0</v>
      </c>
      <c r="X15" s="69">
        <v>0</v>
      </c>
      <c r="Y15" s="69"/>
      <c r="Z15" s="69"/>
      <c r="AA15" s="69"/>
      <c r="AB15" s="69"/>
      <c r="AC15" s="69"/>
      <c r="AD15" s="69"/>
      <c r="AE15" s="69"/>
      <c r="AF15" s="69"/>
      <c r="AG15" s="80"/>
      <c r="AH15" s="11">
        <f>IF(SUM(R15,V15)&gt;0,SUM(R15,V15),"")</f>
        <v>6.5</v>
      </c>
      <c r="AI15" s="11">
        <f>IF(SUM(Q15:R15,T15:V15,X15)-SUM(S15,W15)&gt;0,SUM(Q15:R15,T15:V15,X15)-SUM(S15,W15),"")</f>
        <v>51.599999999999994</v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>
        <f>IF(SUM(AI15,AK15)&gt;0,SUM(AI15,AK15),"")</f>
        <v>51.599999999999994</v>
      </c>
      <c r="AM15" s="38">
        <v>27.4</v>
      </c>
      <c r="AN15" s="38">
        <v>7.6</v>
      </c>
      <c r="AO15" s="38">
        <v>0.9</v>
      </c>
      <c r="AP15" s="38">
        <v>0</v>
      </c>
      <c r="AQ15" s="38">
        <v>0</v>
      </c>
      <c r="AR15" s="38">
        <v>0</v>
      </c>
      <c r="AS15" s="38">
        <v>0</v>
      </c>
      <c r="AT15" s="38">
        <v>0</v>
      </c>
      <c r="AU15" s="38">
        <v>27.4</v>
      </c>
      <c r="AV15" s="38">
        <v>6.4</v>
      </c>
      <c r="AW15" s="38">
        <v>0</v>
      </c>
      <c r="AX15" s="38">
        <v>0</v>
      </c>
      <c r="AY15" s="38">
        <v>28.9</v>
      </c>
      <c r="AZ15" s="38">
        <v>7.2</v>
      </c>
      <c r="BA15" s="38">
        <v>0</v>
      </c>
      <c r="BB15" s="38">
        <v>0</v>
      </c>
      <c r="BC15" s="81"/>
      <c r="BD15" s="14">
        <f>IF(SUM(AN15,AR15)&gt;0,SUM(AN15,AR15),"")</f>
        <v>7.6</v>
      </c>
      <c r="BE15" s="14">
        <f>IF(SUM(AM15:AN15,AP15:AR15,AT15)-SUM(AO15,AS15)&gt;0,SUM(AM15:AN15,AP15:AR15,AT15)-SUM(AO15,AS15),"")</f>
        <v>34.1</v>
      </c>
      <c r="BF15" s="14">
        <f>IF(SUM(AV15,AZ15)&gt;0,SUM(AV15,AZ15),"")</f>
        <v>13.600000000000001</v>
      </c>
      <c r="BG15" s="14">
        <f>IF(SUM(AU15:AV15,AX15:AZ15,BB15)-SUM(AW15,BA15)&gt;0,SUM(AU15:AV15,AX15:AZ15,BB15)-SUM(AW15,BA15),"")</f>
        <v>69.899999999999991</v>
      </c>
      <c r="BH15" s="14">
        <f>IF(SUM(BE15,BG15)&gt;0,SUM(BE15,BG15),"")</f>
        <v>104</v>
      </c>
      <c r="BI15" s="69">
        <v>25.2</v>
      </c>
      <c r="BJ15" s="69">
        <v>8.4</v>
      </c>
      <c r="BK15" s="69">
        <v>1.2</v>
      </c>
      <c r="BL15" s="69">
        <v>0</v>
      </c>
      <c r="BM15" s="69">
        <v>28.1</v>
      </c>
      <c r="BN15" s="69">
        <v>6.8</v>
      </c>
      <c r="BO15" s="69">
        <v>0</v>
      </c>
      <c r="BP15" s="69">
        <v>0</v>
      </c>
      <c r="BQ15" s="69">
        <v>28.1</v>
      </c>
      <c r="BR15" s="69">
        <v>5.2</v>
      </c>
      <c r="BS15" s="69">
        <v>0.8</v>
      </c>
      <c r="BT15" s="69">
        <v>0</v>
      </c>
      <c r="BU15" s="69">
        <v>27.4</v>
      </c>
      <c r="BV15" s="69">
        <v>7.2</v>
      </c>
      <c r="BW15" s="69">
        <v>0.3</v>
      </c>
      <c r="BX15" s="69">
        <v>0</v>
      </c>
      <c r="BY15" s="80"/>
      <c r="BZ15" s="11">
        <f>IF(SUM(BJ15,BN15)&gt;0,SUM(BJ15,BN15),"")</f>
        <v>15.2</v>
      </c>
      <c r="CA15" s="11">
        <f>IF(SUM(BI15:BJ15,BL15:BN15,BP15)-SUM(BK15,BO15)&gt;0,SUM(BI15:BJ15,BL15:BN15,BP15)-SUM(BK15,BO15),"")</f>
        <v>67.3</v>
      </c>
      <c r="CB15" s="11">
        <f>IF(SUM(BR15,BV15)&gt;0,SUM(BR15,BV15),"")</f>
        <v>12.4</v>
      </c>
      <c r="CC15" s="11">
        <f>IF(SUM(BQ15:BR15,BT15:BV15,BX15)-SUM(BS15,BW15)&gt;0,SUM(BQ15:BR15,BT15:BV15,BX15)-SUM(BS15,BW15),"")</f>
        <v>66.800000000000011</v>
      </c>
      <c r="CD15" s="11">
        <f>IF(SUM(CA15,CC15)&gt;0,SUM(CA15,CC15),"")</f>
        <v>134.10000000000002</v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26.299999999999997</v>
      </c>
      <c r="LZ15" s="69">
        <f>IF($BY15="P",BJ15,(BJ15+AN15)/2)</f>
        <v>8</v>
      </c>
      <c r="MA15" s="69">
        <f>IF($BY15="P",BK15,(BK15+AO15)/2)</f>
        <v>1.05</v>
      </c>
      <c r="MB15" s="69">
        <f>IF($BY15="P",BL15,(BL15+AP15)/2)</f>
        <v>0</v>
      </c>
      <c r="MC15" s="69">
        <f>IF($BY15="P",BM15,(BM15+AQ15)/2)</f>
        <v>14.05</v>
      </c>
      <c r="MD15" s="69">
        <f>IF($BY15="P",BN15,(BN15+AR15)/2)</f>
        <v>3.4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27.75</v>
      </c>
      <c r="MH15" s="69">
        <f>IF($BY15="P",BR15,(BR15+AV15)/2)</f>
        <v>5.8000000000000007</v>
      </c>
      <c r="MI15" s="69">
        <f>IF($BY15="P",BS15,(BS15+AW15)/2)</f>
        <v>0.4</v>
      </c>
      <c r="MJ15" s="69">
        <f>IF($BY15="P",BT15,(BT15+AX15)/2)</f>
        <v>0</v>
      </c>
      <c r="MK15" s="69">
        <f>IF($BY15="P",BU15,(BU15+AY15)/2)</f>
        <v>28.15</v>
      </c>
      <c r="ML15" s="69">
        <f>IF($BY15="P",BV15,(BV15+AZ15)/2)</f>
        <v>7.2</v>
      </c>
      <c r="MM15" s="69">
        <f>IF($BY15="P",BW15,(BW15+BA15)/2)</f>
        <v>0.15</v>
      </c>
      <c r="MN15" s="69">
        <f>IF($BY15="P",BX15,(BX15+BB15)/2)</f>
        <v>0</v>
      </c>
      <c r="MO15" s="80" t="s">
        <v>88</v>
      </c>
      <c r="MP15" s="11">
        <f>IF(SUM(LZ15,MD15)&gt;0,SUM(LZ15,MD15),"")</f>
        <v>11.4</v>
      </c>
      <c r="MQ15" s="11">
        <f>IF(SUM(LY15:LZ15,MB15:MD15,MF15)-SUM(MA15,ME15)&gt;0,SUM(LY15:LZ15,MB15:MD15,MF15)-SUM(MA15,ME15),"")</f>
        <v>50.699999999999996</v>
      </c>
      <c r="MR15" s="11">
        <f>IF(SUM(MH15,ML15)&gt;0,SUM(MH15,ML15),"")</f>
        <v>13</v>
      </c>
      <c r="MS15" s="11">
        <f>IF(SUM(MG15:MH15,MJ15:ML15,MN15)-SUM(MI15,MM15)&gt;0,SUM(MG15:MH15,MJ15:ML15,MN15)-SUM(MI15,MM15),"")</f>
        <v>68.349999999999994</v>
      </c>
      <c r="MT15" s="11">
        <f>IF(SUM(MQ15,MS15)&gt;0,SUM(MQ15,MS15),"")</f>
        <v>119.04999999999998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83</v>
      </c>
      <c r="C16" s="4" t="s">
        <v>5</v>
      </c>
      <c r="D16" s="5">
        <v>1999</v>
      </c>
      <c r="E16" s="15">
        <f>SUM(J16:N16)</f>
        <v>112.89999999999999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2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58.199999999999996</v>
      </c>
      <c r="K16" s="14" t="str">
        <f>IF(J16=0,"",IF(J16=CA16,$BI$1,IF(J16=BE16,$AM$1,IF(J16=AI16,$Q$1,""))))</f>
        <v>2019 Nationals</v>
      </c>
      <c r="L16" s="14">
        <f>IF(J16=AI16,MAX(BH16,CD16),IF(J16=BE16,MAX(AL16,CD16),MAX(AL16,BH16)))</f>
        <v>54.699999999999996</v>
      </c>
      <c r="M16" s="14" t="str">
        <f>IF(L16=0,"",IF(AND(J16&lt;&gt;CA16,L16=CD16),$BI$1,IF(AND(J16&lt;&gt;BE16,L16=BH16),$AM$1,IF(L16=AL16,$Q$1,""))))</f>
        <v>2021 1st Virtual Technical Trial</v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28.2</v>
      </c>
      <c r="R16" s="69">
        <v>8</v>
      </c>
      <c r="S16" s="69">
        <v>1.2</v>
      </c>
      <c r="T16" s="69">
        <v>0</v>
      </c>
      <c r="U16" s="69">
        <v>20.399999999999999</v>
      </c>
      <c r="V16" s="69">
        <v>2.8</v>
      </c>
      <c r="W16" s="69">
        <v>0</v>
      </c>
      <c r="X16" s="69">
        <v>0</v>
      </c>
      <c r="Y16" s="69">
        <v>28.2</v>
      </c>
      <c r="Z16" s="69">
        <v>6.8</v>
      </c>
      <c r="AA16" s="69">
        <v>0.3</v>
      </c>
      <c r="AB16" s="69">
        <v>0</v>
      </c>
      <c r="AC16" s="69">
        <v>28.4</v>
      </c>
      <c r="AD16" s="69">
        <v>7.6</v>
      </c>
      <c r="AE16" s="69">
        <v>0.9</v>
      </c>
      <c r="AF16" s="69">
        <v>0</v>
      </c>
      <c r="AG16" s="80"/>
      <c r="AH16" s="11">
        <f>IF(SUM(R16,V16)&gt;0,SUM(R16,V16),"")</f>
        <v>10.8</v>
      </c>
      <c r="AI16" s="11">
        <f>IF(SUM(Q16:R16,T16:V16,X16)-SUM(S16,W16)&gt;0,SUM(Q16:R16,T16:V16,X16)-SUM(S16,W16),"")</f>
        <v>58.199999999999996</v>
      </c>
      <c r="AJ16" s="11">
        <f>IF(SUM(Z16,AD16)&gt;0,SUM(Z16,AD16),"")</f>
        <v>14.399999999999999</v>
      </c>
      <c r="AK16" s="11">
        <f>IF(SUM(Y16:Z16,AB16:AD16,AF16)-SUM(AA16,AE16)&gt;0,SUM(Y16:Z16,AB16:AD16,AF16)-SUM(AA16,AE16),"")</f>
        <v>69.8</v>
      </c>
      <c r="AL16" s="11">
        <f>IF(SUM(AI16,AK16)&gt;0,SUM(AI16,AK16),"")</f>
        <v>128</v>
      </c>
      <c r="AM16" s="38">
        <v>20.399999999999999</v>
      </c>
      <c r="AN16" s="38">
        <v>2.8</v>
      </c>
      <c r="AO16" s="38">
        <v>0.2</v>
      </c>
      <c r="AP16" s="38">
        <v>0</v>
      </c>
      <c r="AQ16" s="38">
        <v>27.6</v>
      </c>
      <c r="AR16" s="38">
        <v>5.6</v>
      </c>
      <c r="AS16" s="38">
        <v>1.5</v>
      </c>
      <c r="AT16" s="38">
        <v>0</v>
      </c>
      <c r="AU16" s="38">
        <v>0</v>
      </c>
      <c r="AV16" s="38">
        <v>0</v>
      </c>
      <c r="AW16" s="38">
        <v>0</v>
      </c>
      <c r="AX16" s="38">
        <v>0</v>
      </c>
      <c r="AY16" s="38">
        <v>0</v>
      </c>
      <c r="AZ16" s="38">
        <v>0</v>
      </c>
      <c r="BA16" s="38">
        <v>0</v>
      </c>
      <c r="BB16" s="38">
        <v>0</v>
      </c>
      <c r="BC16" s="81"/>
      <c r="BD16" s="14">
        <f>IF(SUM(AN16,AR16)&gt;0,SUM(AN16,AR16),"")</f>
        <v>8.3999999999999986</v>
      </c>
      <c r="BE16" s="14">
        <f>IF(SUM(AM16:AN16,AP16:AR16,AT16)-SUM(AO16,AS16)&gt;0,SUM(AM16:AN16,AP16:AR16,AT16)-SUM(AO16,AS16),"")</f>
        <v>54.699999999999996</v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>
        <f>IF(SUM(BE16,BG16)&gt;0,SUM(BE16,BG16),"")</f>
        <v>54.699999999999996</v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10.199999999999999</v>
      </c>
      <c r="LZ16" s="69">
        <f>IF($BY16="P",BJ16,(BJ16+AN16)/2)</f>
        <v>1.4</v>
      </c>
      <c r="MA16" s="69">
        <f>IF($BY16="P",BK16,(BK16+AO16)/2)</f>
        <v>0.1</v>
      </c>
      <c r="MB16" s="69">
        <f>IF($BY16="P",BL16,(BL16+AP16)/2)</f>
        <v>0</v>
      </c>
      <c r="MC16" s="69">
        <f>IF($BY16="P",BM16,(BM16+AQ16)/2)</f>
        <v>13.8</v>
      </c>
      <c r="MD16" s="69">
        <f>IF($BY16="P",BN16,(BN16+AR16)/2)</f>
        <v>2.8</v>
      </c>
      <c r="ME16" s="69">
        <f>IF($BY16="P",BO16,(BO16+AS16)/2)</f>
        <v>0.75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88</v>
      </c>
      <c r="MP16" s="11">
        <f>IF(SUM(LZ16,MD16)&gt;0,SUM(LZ16,MD16),"")</f>
        <v>4.1999999999999993</v>
      </c>
      <c r="MQ16" s="11">
        <f>IF(SUM(LY16:LZ16,MB16:MD16,MF16)-SUM(MA16,ME16)&gt;0,SUM(LY16:LZ16,MB16:MD16,MF16)-SUM(MA16,ME16),"")</f>
        <v>27.349999999999998</v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>
        <f>IF(SUM(MQ16,MS16)&gt;0,SUM(MQ16,MS16),"")</f>
        <v>27.349999999999998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176</v>
      </c>
      <c r="C17" s="4" t="s">
        <v>6</v>
      </c>
      <c r="D17" s="5">
        <v>2002</v>
      </c>
      <c r="E17" s="15">
        <f>SUM(J17:N17)</f>
        <v>94.4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2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61.400000000000006</v>
      </c>
      <c r="K17" s="14" t="str">
        <f>IF(J17=0,"",IF(J17=CA17,$BI$1,IF(J17=BE17,$AM$1,IF(J17=AI17,$Q$1,""))))</f>
        <v>2021 1st Virtual Technical Trial</v>
      </c>
      <c r="L17" s="14">
        <f>IF(J17=AI17,MAX(BH17,CD17),IF(J17=BE17,MAX(AL17,CD17),MAX(AL17,BH17)))</f>
        <v>33</v>
      </c>
      <c r="M17" s="14" t="str">
        <f>IF(L17=0,"",IF(AND(J17&lt;&gt;CA17,L17=CD17),$BI$1,IF(AND(J17&lt;&gt;BE17,L17=BH17),$AM$1,IF(L17=AL17,$Q$1,""))))</f>
        <v>2019 Nationals</v>
      </c>
      <c r="N17" s="14" t="str">
        <f>IF(MAX(CE17:CF17)&gt;0,MAX(CE17:CF17),"")</f>
        <v/>
      </c>
      <c r="O17" s="25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9">
        <v>0</v>
      </c>
      <c r="R17" s="69">
        <v>0</v>
      </c>
      <c r="S17" s="69">
        <v>0</v>
      </c>
      <c r="T17" s="69">
        <v>0</v>
      </c>
      <c r="U17" s="69">
        <v>28.2</v>
      </c>
      <c r="V17" s="69">
        <v>6</v>
      </c>
      <c r="W17" s="69">
        <v>1.2</v>
      </c>
      <c r="X17" s="69">
        <v>0</v>
      </c>
      <c r="Y17" s="69"/>
      <c r="Z17" s="69"/>
      <c r="AA17" s="69"/>
      <c r="AB17" s="69"/>
      <c r="AC17" s="69"/>
      <c r="AD17" s="69"/>
      <c r="AE17" s="69"/>
      <c r="AF17" s="69"/>
      <c r="AG17" s="80"/>
      <c r="AH17" s="11">
        <f>IF(SUM(R17,V17)&gt;0,SUM(R17,V17),"")</f>
        <v>6</v>
      </c>
      <c r="AI17" s="11">
        <f>IF(SUM(Q17:R17,T17:V17,X17)-SUM(S17,W17)&gt;0,SUM(Q17:R17,T17:V17,X17)-SUM(S17,W17),"")</f>
        <v>33</v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>
        <f>IF(SUM(AI17,AK17)&gt;0,SUM(AI17,AK17),"")</f>
        <v>33</v>
      </c>
      <c r="AM17" s="38">
        <v>27.5</v>
      </c>
      <c r="AN17" s="38">
        <v>6</v>
      </c>
      <c r="AO17" s="38">
        <v>0</v>
      </c>
      <c r="AP17" s="38">
        <v>0</v>
      </c>
      <c r="AQ17" s="38">
        <v>28</v>
      </c>
      <c r="AR17" s="38">
        <v>3.4</v>
      </c>
      <c r="AS17" s="38">
        <v>3.5</v>
      </c>
      <c r="AT17" s="38">
        <v>0</v>
      </c>
      <c r="AU17" s="38">
        <v>0</v>
      </c>
      <c r="AV17" s="38">
        <v>0</v>
      </c>
      <c r="AW17" s="38">
        <v>0</v>
      </c>
      <c r="AX17" s="38">
        <v>0</v>
      </c>
      <c r="AY17" s="38">
        <v>0</v>
      </c>
      <c r="AZ17" s="38">
        <v>0</v>
      </c>
      <c r="BA17" s="38">
        <v>0</v>
      </c>
      <c r="BB17" s="38">
        <v>0</v>
      </c>
      <c r="BC17" s="81"/>
      <c r="BD17" s="14">
        <f>IF(SUM(AN17,AR17)&gt;0,SUM(AN17,AR17),"")</f>
        <v>9.4</v>
      </c>
      <c r="BE17" s="14">
        <f>IF(SUM(AM17:AN17,AP17:AR17,AT17)-SUM(AO17,AS17)&gt;0,SUM(AM17:AN17,AP17:AR17,AT17)-SUM(AO17,AS17),"")</f>
        <v>61.400000000000006</v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>
        <f>IF(SUM(BE17,BG17)&gt;0,SUM(BE17,BG17),"")</f>
        <v>61.400000000000006</v>
      </c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80"/>
      <c r="BZ17" s="11" t="str">
        <f>IF(SUM(BJ17,BN17)&gt;0,SUM(BJ17,BN17),"")</f>
        <v/>
      </c>
      <c r="CA17" s="11" t="str">
        <f>IF(SUM(BI17:BJ17,BL17:BN17,BP17)-SUM(BK17,BO17)&gt;0,SUM(BI17:BJ17,BL17:BN17,BP17)-SUM(BK17,BO17),"")</f>
        <v/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 t="str">
        <f>IF(SUM(CA17,CC17)&gt;0,SUM(CA17,CC17),"")</f>
        <v/>
      </c>
      <c r="CE17" s="24" t="str">
        <f>IF(MAX(CX17,DS17,EN17,FI17,GD17,GY17,HT17,IO17,JJ17,KE17,KZ17,LU17)-IF(J17="",0,J17)&gt;0.001,MAX(CX17,DS17,EN17,FI17,GD17,GY17,HT17,IO17,JJ17,KE17,KZ17,LU17)-IF(J17="",0,J17),"")</f>
        <v/>
      </c>
      <c r="CF17" s="24" t="str">
        <f>IF(MAX(DA17,DV17,EQ17,FL17,GG17,HB17,HW17,IR17,JM17,KH17,LC17,LX17)-IF(L17="",0,L17)&gt;0.001,MAX(DA17,DV17,EQ17,FL17,GG17,HB17,HW17,IR17,JM17,KH17,LC17,LX17)-IF(L17="",0,L17),"")</f>
        <v/>
      </c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9">
        <f>IF($BY17="P",BI17,(BI17+AM17)/2)</f>
        <v>13.75</v>
      </c>
      <c r="LZ17" s="69">
        <f>IF($BY17="P",BJ17,(BJ17+AN17)/2)</f>
        <v>3</v>
      </c>
      <c r="MA17" s="69">
        <f>IF($BY17="P",BK17,(BK17+AO17)/2)</f>
        <v>0</v>
      </c>
      <c r="MB17" s="69">
        <f>IF($BY17="P",BL17,(BL17+AP17)/2)</f>
        <v>0</v>
      </c>
      <c r="MC17" s="69">
        <f>IF($BY17="P",BM17,(BM17+AQ17)/2)</f>
        <v>14</v>
      </c>
      <c r="MD17" s="69">
        <f>IF($BY17="P",BN17,(BN17+AR17)/2)</f>
        <v>1.7</v>
      </c>
      <c r="ME17" s="69">
        <f>IF($BY17="P",BO17,(BO17+AS17)/2)</f>
        <v>1.75</v>
      </c>
      <c r="MF17" s="69">
        <f>IF($BY17="P",BP17,(BP17+AT17)/2)</f>
        <v>0</v>
      </c>
      <c r="MG17" s="69">
        <f>IF($BY17="P",BQ17,(BQ17+AU17)/2)</f>
        <v>0</v>
      </c>
      <c r="MH17" s="69">
        <f>IF($BY17="P",BR17,(BR17+AV17)/2)</f>
        <v>0</v>
      </c>
      <c r="MI17" s="69">
        <f>IF($BY17="P",BS17,(BS17+AW17)/2)</f>
        <v>0</v>
      </c>
      <c r="MJ17" s="69">
        <f>IF($BY17="P",BT17,(BT17+AX17)/2)</f>
        <v>0</v>
      </c>
      <c r="MK17" s="69">
        <f>IF($BY17="P",BU17,(BU17+AY17)/2)</f>
        <v>0</v>
      </c>
      <c r="ML17" s="69">
        <f>IF($BY17="P",BV17,(BV17+AZ17)/2)</f>
        <v>0</v>
      </c>
      <c r="MM17" s="69">
        <f>IF($BY17="P",BW17,(BW17+BA17)/2)</f>
        <v>0</v>
      </c>
      <c r="MN17" s="69">
        <f>IF($BY17="P",BX17,(BX17+BB17)/2)</f>
        <v>0</v>
      </c>
      <c r="MO17" s="80" t="s">
        <v>88</v>
      </c>
      <c r="MP17" s="11">
        <f>IF(SUM(LZ17,MD17)&gt;0,SUM(LZ17,MD17),"")</f>
        <v>4.7</v>
      </c>
      <c r="MQ17" s="11">
        <f>IF(SUM(LY17:LZ17,MB17:MD17,MF17)-SUM(MA17,ME17)&gt;0,SUM(LY17:LZ17,MB17:MD17,MF17)-SUM(MA17,ME17),"")</f>
        <v>30.700000000000003</v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>
        <f>IF(SUM(MQ17,MS17)&gt;0,SUM(MQ17,MS17),"")</f>
        <v>30.700000000000003</v>
      </c>
    </row>
    <row r="18" spans="1:358" x14ac:dyDescent="0.2">
      <c r="A18" s="5">
        <f>IF(AND(F18="P",G18="P"),SUMPRODUCT((F$4:F$24="P")*(G$4:G$24="P")*(E$4:E$24&gt;E18))+1,IF(G18="P",SUMPRODUCT((F$4:F$24="")*(G$4:G$24="P")*(E$4:E$24&gt;E18))+1+SUMPRODUCT((F$4:F$24="P")*(G$4:G$24="P")),""))</f>
        <v>9</v>
      </c>
      <c r="B18" s="8" t="s">
        <v>81</v>
      </c>
      <c r="C18" s="4" t="s">
        <v>5</v>
      </c>
      <c r="D18" s="5">
        <v>1999</v>
      </c>
      <c r="E18" s="15">
        <f>SUM(J18:N18)</f>
        <v>70.8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>P</v>
      </c>
      <c r="H18" s="12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>No DD</v>
      </c>
      <c r="I18" s="3" t="str">
        <f>IF(OR(H18="Worlds Team",H18="Excellence",H18="Merit"),"P","")</f>
        <v/>
      </c>
      <c r="J18" s="14">
        <f>MAX(AI18,BE18,CA18)</f>
        <v>70.8</v>
      </c>
      <c r="K18" s="14" t="str">
        <f>IF(J18=0,"",IF(J18=CA18,$BI$1,IF(J18=BE18,$AM$1,IF(J18=AI18,$Q$1,""))))</f>
        <v>2019 Nationals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5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9">
        <v>28.2</v>
      </c>
      <c r="R18" s="69">
        <v>7.2</v>
      </c>
      <c r="S18" s="69">
        <v>0.3</v>
      </c>
      <c r="T18" s="69">
        <v>0</v>
      </c>
      <c r="U18" s="69">
        <v>28.1</v>
      </c>
      <c r="V18" s="69">
        <v>7.6</v>
      </c>
      <c r="W18" s="69">
        <v>0</v>
      </c>
      <c r="X18" s="69">
        <v>0</v>
      </c>
      <c r="Y18" s="69">
        <v>20.3</v>
      </c>
      <c r="Z18" s="69">
        <v>2.8</v>
      </c>
      <c r="AA18" s="69">
        <v>0</v>
      </c>
      <c r="AB18" s="69">
        <v>0</v>
      </c>
      <c r="AC18" s="69">
        <v>28.4</v>
      </c>
      <c r="AD18" s="69">
        <v>6</v>
      </c>
      <c r="AE18" s="69"/>
      <c r="AF18" s="69"/>
      <c r="AG18" s="80"/>
      <c r="AH18" s="11">
        <f>IF(SUM(R18,V18)&gt;0,SUM(R18,V18),"")</f>
        <v>14.8</v>
      </c>
      <c r="AI18" s="11">
        <f>IF(SUM(Q18:R18,T18:V18,X18)-SUM(S18,W18)&gt;0,SUM(Q18:R18,T18:V18,X18)-SUM(S18,W18),"")</f>
        <v>70.8</v>
      </c>
      <c r="AJ18" s="11">
        <f>IF(SUM(Z18,AD18)&gt;0,SUM(Z18,AD18),"")</f>
        <v>8.8000000000000007</v>
      </c>
      <c r="AK18" s="11">
        <f>IF(SUM(Y18:Z18,AB18:AD18,AF18)-SUM(AA18,AE18)&gt;0,SUM(Y18:Z18,AB18:AD18,AF18)-SUM(AA18,AE18),"")</f>
        <v>57.5</v>
      </c>
      <c r="AL18" s="11">
        <f>IF(SUM(AI18,AK18)&gt;0,SUM(AI18,AK18),"")</f>
        <v>128.30000000000001</v>
      </c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81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80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4" t="str">
        <f>IF(MAX(CX18,DS18,EN18,FI18,GD18,GY18,HT18,IO18,JJ18,KE18,KZ18,LU18)-IF(J18="",0,J18)&gt;0.001,MAX(CX18,DS18,EN18,FI18,GD18,GY18,HT18,IO18,JJ18,KE18,KZ18,LU18)-IF(J18="",0,J18),"")</f>
        <v/>
      </c>
      <c r="CF18" s="24" t="str">
        <f>IF(MAX(DA18,DV18,EQ18,FL18,GG18,HB18,HW18,IR18,JM18,KH18,LC18,LX18)-IF(L18="",0,L18)&gt;0.001,MAX(DA18,DV18,EQ18,FL18,GG18,HB18,HW18,IR18,JM18,KH18,LC18,LX18)-IF(L18="",0,L18),"")</f>
        <v/>
      </c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4"/>
      <c r="DX18" s="44"/>
      <c r="DY18" s="44"/>
      <c r="DZ18" s="44"/>
      <c r="EA18" s="44"/>
      <c r="EB18" s="44"/>
      <c r="EC18" s="44"/>
      <c r="ED18" s="44"/>
      <c r="EE18" s="44"/>
      <c r="EF18" s="44"/>
      <c r="EG18" s="44"/>
      <c r="EH18" s="44"/>
      <c r="EI18" s="44"/>
      <c r="EJ18" s="44"/>
      <c r="EK18" s="44"/>
      <c r="EL18" s="44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4"/>
      <c r="IT18" s="44"/>
      <c r="IU18" s="44"/>
      <c r="IV18" s="44"/>
      <c r="IW18" s="44"/>
      <c r="IX18" s="44"/>
      <c r="IY18" s="44"/>
      <c r="IZ18" s="44"/>
      <c r="JA18" s="44"/>
      <c r="JB18" s="44"/>
      <c r="JC18" s="44"/>
      <c r="JD18" s="44"/>
      <c r="JE18" s="44"/>
      <c r="JF18" s="44"/>
      <c r="JG18" s="44"/>
      <c r="JH18" s="44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4"/>
      <c r="KJ18" s="44"/>
      <c r="KK18" s="44"/>
      <c r="KL18" s="44"/>
      <c r="KM18" s="44"/>
      <c r="KN18" s="44"/>
      <c r="KO18" s="44"/>
      <c r="KP18" s="44"/>
      <c r="KQ18" s="44"/>
      <c r="KR18" s="44"/>
      <c r="KS18" s="44"/>
      <c r="KT18" s="44"/>
      <c r="KU18" s="44"/>
      <c r="KV18" s="44"/>
      <c r="KW18" s="44"/>
      <c r="KX18" s="44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9">
        <f>IF($BY18="P",BI18,(BI18+AM18)/2)</f>
        <v>0</v>
      </c>
      <c r="LZ18" s="69">
        <f>IF($BY18="P",BJ18,(BJ18+AN18)/2)</f>
        <v>0</v>
      </c>
      <c r="MA18" s="69">
        <f>IF($BY18="P",BK18,(BK18+AO18)/2)</f>
        <v>0</v>
      </c>
      <c r="MB18" s="69">
        <f>IF($BY18="P",BL18,(BL18+AP18)/2)</f>
        <v>0</v>
      </c>
      <c r="MC18" s="69">
        <f>IF($BY18="P",BM18,(BM18+AQ18)/2)</f>
        <v>0</v>
      </c>
      <c r="MD18" s="69">
        <f>IF($BY18="P",BN18,(BN18+AR18)/2)</f>
        <v>0</v>
      </c>
      <c r="ME18" s="69">
        <f>IF($BY18="P",BO18,(BO18+AS18)/2)</f>
        <v>0</v>
      </c>
      <c r="MF18" s="69">
        <f>IF($BY18="P",BP18,(BP18+AT18)/2)</f>
        <v>0</v>
      </c>
      <c r="MG18" s="69">
        <f>IF($BY18="P",BQ18,(BQ18+AU18)/2)</f>
        <v>0</v>
      </c>
      <c r="MH18" s="69">
        <f>IF($BY18="P",BR18,(BR18+AV18)/2)</f>
        <v>0</v>
      </c>
      <c r="MI18" s="69">
        <f>IF($BY18="P",BS18,(BS18+AW18)/2)</f>
        <v>0</v>
      </c>
      <c r="MJ18" s="69">
        <f>IF($BY18="P",BT18,(BT18+AX18)/2)</f>
        <v>0</v>
      </c>
      <c r="MK18" s="69">
        <f>IF($BY18="P",BU18,(BU18+AY18)/2)</f>
        <v>0</v>
      </c>
      <c r="ML18" s="69">
        <f>IF($BY18="P",BV18,(BV18+AZ18)/2)</f>
        <v>0</v>
      </c>
      <c r="MM18" s="69">
        <f>IF($BY18="P",BW18,(BW18+BA18)/2)</f>
        <v>0</v>
      </c>
      <c r="MN18" s="69">
        <f>IF($BY18="P",BX18,(BX18+BB18)/2)</f>
        <v>0</v>
      </c>
      <c r="MO18" s="80" t="s">
        <v>88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50</v>
      </c>
      <c r="C19" s="4" t="s">
        <v>5</v>
      </c>
      <c r="D19" s="5">
        <v>1998</v>
      </c>
      <c r="E19" s="15">
        <f>SUM(J19:N19)</f>
        <v>70.650000000000006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2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70.650000000000006</v>
      </c>
      <c r="K19" s="14" t="str">
        <f>IF(J19=0,"",IF(J19=CA19,$BI$1,IF(J19=BE19,$AM$1,IF(J19=AI19,$Q$1,""))))</f>
        <v>2019 Nationals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5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9">
        <v>27.65</v>
      </c>
      <c r="R19" s="69">
        <v>8.4</v>
      </c>
      <c r="S19" s="69">
        <v>0.3</v>
      </c>
      <c r="T19" s="69">
        <v>0</v>
      </c>
      <c r="U19" s="69">
        <v>27.1</v>
      </c>
      <c r="V19" s="69">
        <v>8.1</v>
      </c>
      <c r="W19" s="69">
        <v>0.3</v>
      </c>
      <c r="X19" s="69">
        <v>0</v>
      </c>
      <c r="Y19" s="69">
        <v>14.25</v>
      </c>
      <c r="Z19" s="69">
        <v>3.4</v>
      </c>
      <c r="AA19" s="69">
        <v>0.15</v>
      </c>
      <c r="AB19" s="69">
        <v>0</v>
      </c>
      <c r="AC19" s="69">
        <v>28.5</v>
      </c>
      <c r="AD19" s="69">
        <v>7.6</v>
      </c>
      <c r="AE19" s="69">
        <v>0.15</v>
      </c>
      <c r="AF19" s="69">
        <v>0</v>
      </c>
      <c r="AG19" s="80" t="s">
        <v>88</v>
      </c>
      <c r="AH19" s="11">
        <f>IF(SUM(R19,V19)&gt;0,SUM(R19,V19),"")</f>
        <v>16.5</v>
      </c>
      <c r="AI19" s="11">
        <f>IF(SUM(Q19:R19,T19:V19,X19)-SUM(S19,W19)&gt;0,SUM(Q19:R19,T19:V19,X19)-SUM(S19,W19),"")</f>
        <v>70.650000000000006</v>
      </c>
      <c r="AJ19" s="11">
        <f>IF(SUM(Z19,AD19)&gt;0,SUM(Z19,AD19),"")</f>
        <v>11</v>
      </c>
      <c r="AK19" s="11">
        <f>IF(SUM(Y19:Z19,AB19:AD19,AF19)-SUM(AA19,AE19)&gt;0,SUM(Y19:Z19,AB19:AD19,AF19)-SUM(AA19,AE19),"")</f>
        <v>53.45</v>
      </c>
      <c r="AL19" s="11">
        <f>IF(SUM(AI19,AK19)&gt;0,SUM(AI19,AK19),"")</f>
        <v>124.10000000000001</v>
      </c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81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80"/>
      <c r="BZ19" s="11" t="str">
        <f>IF(SUM(BJ19,BN19)&gt;0,SUM(BJ19,BN19),"")</f>
        <v/>
      </c>
      <c r="CA19" s="11" t="str">
        <f>IF(SUM(BI19:BJ19,BL19:BN19,BP19)-SUM(BK19,BO19)&gt;0,SUM(BI19:BJ19,BL19:BN19,BP19)-SUM(BK19,BO19),"")</f>
        <v/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 t="str">
        <f>IF(SUM(CA19,CC19)&gt;0,SUM(CA19,CC19),"")</f>
        <v/>
      </c>
      <c r="CE19" s="24" t="str">
        <f>IF(MAX(CX19,DS19,EN19,FI19,GD19,GY19,HT19,IO19,JJ19,KE19,KZ19,LU19)-IF(J19="",0,J19)&gt;0.001,MAX(CX19,DS19,EN19,FI19,GD19,GY19,HT19,IO19,JJ19,KE19,KZ19,LU19)-IF(J19="",0,J19),"")</f>
        <v/>
      </c>
      <c r="CF19" s="24" t="str">
        <f>IF(MAX(DA19,DV19,EQ19,FL19,GG19,HB19,HW19,IR19,JM19,KH19,LC19,LX19)-IF(L19="",0,L19)&gt;0.001,MAX(DA19,DV19,EQ19,FL19,GG19,HB19,HW19,IR19,JM19,KH19,LC19,LX19)-IF(L19="",0,L19),"")</f>
        <v/>
      </c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4"/>
      <c r="DX19" s="44"/>
      <c r="DY19" s="44"/>
      <c r="DZ19" s="44"/>
      <c r="EA19" s="44"/>
      <c r="EB19" s="44"/>
      <c r="EC19" s="44"/>
      <c r="ED19" s="44"/>
      <c r="EE19" s="44"/>
      <c r="EF19" s="44"/>
      <c r="EG19" s="44"/>
      <c r="EH19" s="44"/>
      <c r="EI19" s="44"/>
      <c r="EJ19" s="44"/>
      <c r="EK19" s="44"/>
      <c r="EL19" s="44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4"/>
      <c r="IT19" s="44"/>
      <c r="IU19" s="44"/>
      <c r="IV19" s="44"/>
      <c r="IW19" s="44"/>
      <c r="IX19" s="44"/>
      <c r="IY19" s="44"/>
      <c r="IZ19" s="44"/>
      <c r="JA19" s="44"/>
      <c r="JB19" s="44"/>
      <c r="JC19" s="44"/>
      <c r="JD19" s="44"/>
      <c r="JE19" s="44"/>
      <c r="JF19" s="44"/>
      <c r="JG19" s="44"/>
      <c r="JH19" s="44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4"/>
      <c r="KJ19" s="44"/>
      <c r="KK19" s="44"/>
      <c r="KL19" s="44"/>
      <c r="KM19" s="44"/>
      <c r="KN19" s="44"/>
      <c r="KO19" s="44"/>
      <c r="KP19" s="44"/>
      <c r="KQ19" s="44"/>
      <c r="KR19" s="44"/>
      <c r="KS19" s="44"/>
      <c r="KT19" s="44"/>
      <c r="KU19" s="44"/>
      <c r="KV19" s="44"/>
      <c r="KW19" s="44"/>
      <c r="KX19" s="44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9">
        <f>IF($BY19="P",BI19,(BI19+AM19)/2)</f>
        <v>0</v>
      </c>
      <c r="LZ19" s="69">
        <f>IF($BY19="P",BJ19,(BJ19+AN19)/2)</f>
        <v>0</v>
      </c>
      <c r="MA19" s="69">
        <f>IF($BY19="P",BK19,(BK19+AO19)/2)</f>
        <v>0</v>
      </c>
      <c r="MB19" s="69">
        <f>IF($BY19="P",BL19,(BL19+AP19)/2)</f>
        <v>0</v>
      </c>
      <c r="MC19" s="69">
        <f>IF($BY19="P",BM19,(BM19+AQ19)/2)</f>
        <v>0</v>
      </c>
      <c r="MD19" s="69">
        <f>IF($BY19="P",BN19,(BN19+AR19)/2)</f>
        <v>0</v>
      </c>
      <c r="ME19" s="69">
        <f>IF($BY19="P",BO19,(BO19+AS19)/2)</f>
        <v>0</v>
      </c>
      <c r="MF19" s="69">
        <f>IF($BY19="P",BP19,(BP19+AT19)/2)</f>
        <v>0</v>
      </c>
      <c r="MG19" s="69">
        <f>IF($BY19="P",BQ19,(BQ19+AU19)/2)</f>
        <v>0</v>
      </c>
      <c r="MH19" s="69">
        <f>IF($BY19="P",BR19,(BR19+AV19)/2)</f>
        <v>0</v>
      </c>
      <c r="MI19" s="69">
        <f>IF($BY19="P",BS19,(BS19+AW19)/2)</f>
        <v>0</v>
      </c>
      <c r="MJ19" s="69">
        <f>IF($BY19="P",BT19,(BT19+AX19)/2)</f>
        <v>0</v>
      </c>
      <c r="MK19" s="69">
        <f>IF($BY19="P",BU19,(BU19+AY19)/2)</f>
        <v>0</v>
      </c>
      <c r="ML19" s="69">
        <f>IF($BY19="P",BV19,(BV19+AZ19)/2)</f>
        <v>0</v>
      </c>
      <c r="MM19" s="69">
        <f>IF($BY19="P",BW19,(BW19+BA19)/2)</f>
        <v>0</v>
      </c>
      <c r="MN19" s="69">
        <f>IF($BY19="P",BX19,(BX19+BB19)/2)</f>
        <v>0</v>
      </c>
      <c r="MO19" s="80" t="s">
        <v>88</v>
      </c>
      <c r="MP19" s="11" t="str">
        <f>IF(SUM(LZ19,MD19)&gt;0,SUM(LZ19,MD19),"")</f>
        <v/>
      </c>
      <c r="MQ19" s="11" t="str">
        <f>IF(SUM(LY19:LZ19,MB19:MD19,MF19)-SUM(MA19,ME19)&gt;0,SUM(LY19:LZ19,MB19:MD19,MF19)-SUM(MA19,ME19),"")</f>
        <v/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 t="str">
        <f>IF(SUM(MQ19,MS19)&gt;0,SUM(MQ19,MS19),"")</f>
        <v/>
      </c>
    </row>
    <row r="20" spans="1:358" x14ac:dyDescent="0.2">
      <c r="A20" s="5">
        <f>IF(AND(F20="P",G20="P"),SUMPRODUCT((F$4:F$24="P")*(G$4:G$24="P")*(E$4:E$24&gt;E20))+1,IF(G20="P",SUMPRODUCT((F$4:F$24="")*(G$4:G$24="P")*(E$4:E$24&gt;E20))+1+SUMPRODUCT((F$4:F$24="P")*(G$4:G$24="P")),""))</f>
        <v>10</v>
      </c>
      <c r="B20" s="8" t="s">
        <v>116</v>
      </c>
      <c r="C20" s="4" t="s">
        <v>3</v>
      </c>
      <c r="D20" s="5">
        <v>2000</v>
      </c>
      <c r="E20" s="15">
        <f>SUM(J20:N20)</f>
        <v>69.900000000000006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>P</v>
      </c>
      <c r="H20" s="12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>No DD</v>
      </c>
      <c r="I20" s="3" t="str">
        <f>IF(OR(H20="Worlds Team",H20="Excellence",H20="Merit"),"P","")</f>
        <v/>
      </c>
      <c r="J20" s="14">
        <f>MAX(AI20,BE20,CA20)</f>
        <v>69.900000000000006</v>
      </c>
      <c r="K20" s="14" t="str">
        <f>IF(J20=0,"",IF(J20=CA20,$BI$1,IF(J20=BE20,$AM$1,IF(J20=AI20,$Q$1,""))))</f>
        <v>2019 Nationals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5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9">
        <v>28</v>
      </c>
      <c r="R20" s="69">
        <v>7.2</v>
      </c>
      <c r="S20" s="69">
        <v>0.3</v>
      </c>
      <c r="T20" s="69">
        <v>0</v>
      </c>
      <c r="U20" s="69">
        <v>28.1</v>
      </c>
      <c r="V20" s="69">
        <v>7.2</v>
      </c>
      <c r="W20" s="69">
        <v>0.3</v>
      </c>
      <c r="X20" s="69">
        <v>0</v>
      </c>
      <c r="Y20" s="69">
        <v>28.2</v>
      </c>
      <c r="Z20" s="69">
        <v>7.6</v>
      </c>
      <c r="AA20" s="69">
        <v>1.2</v>
      </c>
      <c r="AB20" s="69">
        <v>0</v>
      </c>
      <c r="AC20" s="69">
        <v>27.4</v>
      </c>
      <c r="AD20" s="69">
        <v>6.8</v>
      </c>
      <c r="AE20" s="69">
        <v>0.3</v>
      </c>
      <c r="AF20" s="69">
        <v>0</v>
      </c>
      <c r="AG20" s="80"/>
      <c r="AH20" s="11">
        <f>IF(SUM(R20,V20)&gt;0,SUM(R20,V20),"")</f>
        <v>14.4</v>
      </c>
      <c r="AI20" s="11">
        <f>IF(SUM(Q20:R20,T20:V20,X20)-SUM(S20,W20)&gt;0,SUM(Q20:R20,T20:V20,X20)-SUM(S20,W20),"")</f>
        <v>69.900000000000006</v>
      </c>
      <c r="AJ20" s="11">
        <f>IF(SUM(Z20,AD20)&gt;0,SUM(Z20,AD20),"")</f>
        <v>14.399999999999999</v>
      </c>
      <c r="AK20" s="11">
        <f>IF(SUM(Y20:Z20,AB20:AD20,AF20)-SUM(AA20,AE20)&gt;0,SUM(Y20:Z20,AB20:AD20,AF20)-SUM(AA20,AE20),"")</f>
        <v>68.5</v>
      </c>
      <c r="AL20" s="11">
        <f>IF(SUM(AI20,AK20)&gt;0,SUM(AI20,AK20),"")</f>
        <v>138.4</v>
      </c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81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80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4" t="str">
        <f>IF(MAX(CX20,DS20,EN20,FI20,GD20,GY20,HT20,IO20,JJ20,KE20,KZ20,LU20)-IF(J20="",0,J20)&gt;0.001,MAX(CX20,DS20,EN20,FI20,GD20,GY20,HT20,IO20,JJ20,KE20,KZ20,LU20)-IF(J20="",0,J20),"")</f>
        <v/>
      </c>
      <c r="CF20" s="24" t="str">
        <f>IF(MAX(DA20,DV20,EQ20,FL20,GG20,HB20,HW20,IR20,JM20,KH20,LC20,LX20)-IF(L20="",0,L20)&gt;0.001,MAX(DA20,DV20,EQ20,FL20,GG20,HB20,HW20,IR20,JM20,KH20,LC20,LX20)-IF(L20="",0,L20),"")</f>
        <v/>
      </c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4"/>
      <c r="IT20" s="44"/>
      <c r="IU20" s="44"/>
      <c r="IV20" s="44"/>
      <c r="IW20" s="44"/>
      <c r="IX20" s="44"/>
      <c r="IY20" s="44"/>
      <c r="IZ20" s="44"/>
      <c r="JA20" s="44"/>
      <c r="JB20" s="44"/>
      <c r="JC20" s="44"/>
      <c r="JD20" s="44"/>
      <c r="JE20" s="44"/>
      <c r="JF20" s="44"/>
      <c r="JG20" s="44"/>
      <c r="JH20" s="44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4"/>
      <c r="KJ20" s="44"/>
      <c r="KK20" s="44"/>
      <c r="KL20" s="44"/>
      <c r="KM20" s="44"/>
      <c r="KN20" s="44"/>
      <c r="KO20" s="44"/>
      <c r="KP20" s="44"/>
      <c r="KQ20" s="44"/>
      <c r="KR20" s="44"/>
      <c r="KS20" s="44"/>
      <c r="KT20" s="44"/>
      <c r="KU20" s="44"/>
      <c r="KV20" s="44"/>
      <c r="KW20" s="44"/>
      <c r="KX20" s="44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43"/>
      <c r="LE20" s="43"/>
      <c r="LF20" s="43"/>
      <c r="LG20" s="43"/>
      <c r="LH20" s="43"/>
      <c r="LI20" s="43"/>
      <c r="LJ20" s="43"/>
      <c r="LK20" s="43"/>
      <c r="LL20" s="43"/>
      <c r="LM20" s="43"/>
      <c r="LN20" s="43"/>
      <c r="LO20" s="43"/>
      <c r="LP20" s="43"/>
      <c r="LQ20" s="43"/>
      <c r="LR20" s="43"/>
      <c r="LS20" s="43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9">
        <f>IF($BY20="P",BI20,(BI20+AM20)/2)</f>
        <v>0</v>
      </c>
      <c r="LZ20" s="69">
        <f>IF($BY20="P",BJ20,(BJ20+AN20)/2)</f>
        <v>0</v>
      </c>
      <c r="MA20" s="69">
        <f>IF($BY20="P",BK20,(BK20+AO20)/2)</f>
        <v>0</v>
      </c>
      <c r="MB20" s="69">
        <f>IF($BY20="P",BL20,(BL20+AP20)/2)</f>
        <v>0</v>
      </c>
      <c r="MC20" s="69">
        <f>IF($BY20="P",BM20,(BM20+AQ20)/2)</f>
        <v>0</v>
      </c>
      <c r="MD20" s="69">
        <f>IF($BY20="P",BN20,(BN20+AR20)/2)</f>
        <v>0</v>
      </c>
      <c r="ME20" s="69">
        <f>IF($BY20="P",BO20,(BO20+AS20)/2)</f>
        <v>0</v>
      </c>
      <c r="MF20" s="69">
        <f>IF($BY20="P",BP20,(BP20+AT20)/2)</f>
        <v>0</v>
      </c>
      <c r="MG20" s="69">
        <f>IF($BY20="P",BQ20,(BQ20+AU20)/2)</f>
        <v>0</v>
      </c>
      <c r="MH20" s="69">
        <f>IF($BY20="P",BR20,(BR20+AV20)/2)</f>
        <v>0</v>
      </c>
      <c r="MI20" s="69">
        <f>IF($BY20="P",BS20,(BS20+AW20)/2)</f>
        <v>0</v>
      </c>
      <c r="MJ20" s="69">
        <f>IF($BY20="P",BT20,(BT20+AX20)/2)</f>
        <v>0</v>
      </c>
      <c r="MK20" s="69">
        <f>IF($BY20="P",BU20,(BU20+AY20)/2)</f>
        <v>0</v>
      </c>
      <c r="ML20" s="69">
        <f>IF($BY20="P",BV20,(BV20+AZ20)/2)</f>
        <v>0</v>
      </c>
      <c r="MM20" s="69">
        <f>IF($BY20="P",BW20,(BW20+BA20)/2)</f>
        <v>0</v>
      </c>
      <c r="MN20" s="69">
        <f>IF($BY20="P",BX20,(BX20+BB20)/2)</f>
        <v>0</v>
      </c>
      <c r="MO20" s="80" t="s">
        <v>88</v>
      </c>
      <c r="MP20" s="11" t="str">
        <f>IF(SUM(LZ20,MD20)&gt;0,SUM(LZ20,MD20),"")</f>
        <v/>
      </c>
      <c r="MQ20" s="11" t="str">
        <f>IF(SUM(LY20:LZ20,MB20:MD20,MF20)-SUM(MA20,ME20)&gt;0,SUM(LY20:LZ20,MB20:MD20,MF20)-SUM(MA20,ME20),"")</f>
        <v/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 t="str">
        <f>IF(SUM(MQ20,MS20)&gt;0,SUM(MQ20,MS20),"")</f>
        <v/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96</v>
      </c>
      <c r="C21" s="4" t="s">
        <v>6</v>
      </c>
      <c r="D21" s="5">
        <v>2001</v>
      </c>
      <c r="E21" s="15">
        <f>SUM(J21:N21)</f>
        <v>67.300000000000011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2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67.300000000000011</v>
      </c>
      <c r="K21" s="14" t="str">
        <f>IF(J21=0,"",IF(J21=CA21,$BI$1,IF(J21=BE21,$AM$1,IF(J21=AI21,$Q$1,""))))</f>
        <v>2019 Nationals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5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9">
        <v>25.2</v>
      </c>
      <c r="R21" s="69">
        <v>8</v>
      </c>
      <c r="S21" s="69">
        <v>0.9</v>
      </c>
      <c r="T21" s="69">
        <v>0</v>
      </c>
      <c r="U21" s="69">
        <v>27.8</v>
      </c>
      <c r="V21" s="69">
        <v>8.4</v>
      </c>
      <c r="W21" s="69">
        <v>1.2</v>
      </c>
      <c r="X21" s="69">
        <v>0</v>
      </c>
      <c r="Y21" s="69">
        <v>20.6</v>
      </c>
      <c r="Z21" s="69">
        <v>2.4</v>
      </c>
      <c r="AA21" s="69">
        <v>0</v>
      </c>
      <c r="AB21" s="69">
        <v>0</v>
      </c>
      <c r="AC21" s="69">
        <v>24.5</v>
      </c>
      <c r="AD21" s="69">
        <v>7.7</v>
      </c>
      <c r="AE21" s="69">
        <v>1.2</v>
      </c>
      <c r="AF21" s="69">
        <v>0</v>
      </c>
      <c r="AG21" s="80"/>
      <c r="AH21" s="11">
        <f>IF(SUM(R21,V21)&gt;0,SUM(R21,V21),"")</f>
        <v>16.399999999999999</v>
      </c>
      <c r="AI21" s="11">
        <f>IF(SUM(Q21:R21,T21:V21,X21)-SUM(S21,W21)&gt;0,SUM(Q21:R21,T21:V21,X21)-SUM(S21,W21),"")</f>
        <v>67.300000000000011</v>
      </c>
      <c r="AJ21" s="11">
        <f>IF(SUM(Z21,AD21)&gt;0,SUM(Z21,AD21),"")</f>
        <v>10.1</v>
      </c>
      <c r="AK21" s="11">
        <f>IF(SUM(Y21:Z21,AB21:AD21,AF21)-SUM(AA21,AE21)&gt;0,SUM(Y21:Z21,AB21:AD21,AF21)-SUM(AA21,AE21),"")</f>
        <v>54</v>
      </c>
      <c r="AL21" s="11">
        <f>IF(SUM(AI21,AK21)&gt;0,SUM(AI21,AK21),"")</f>
        <v>121.30000000000001</v>
      </c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81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80"/>
      <c r="BZ21" s="11" t="str">
        <f>IF(SUM(BJ21,BN21)&gt;0,SUM(BJ21,BN21),"")</f>
        <v/>
      </c>
      <c r="CA21" s="11" t="str">
        <f>IF(SUM(BI21:BJ21,BL21:BN21,BP21)-SUM(BK21,BO21)&gt;0,SUM(BI21:BJ21,BL21:BN21,BP21)-SUM(BK21,BO21),"")</f>
        <v/>
      </c>
      <c r="CB21" s="11" t="str">
        <f>IF(SUM(BR21,BV21)&gt;0,SUM(BR21,BV21),"")</f>
        <v/>
      </c>
      <c r="CC21" s="11" t="str">
        <f>IF(SUM(BQ21:BR21,BT21:BV21,BX21)-SUM(BS21,BW21)&gt;0,SUM(BQ21:BR21,BT21:BV21,BX21)-SUM(BS21,BW21),"")</f>
        <v/>
      </c>
      <c r="CD21" s="11" t="str">
        <f>IF(SUM(CA21,CC21)&gt;0,SUM(CA21,CC21),"")</f>
        <v/>
      </c>
      <c r="CE21" s="24" t="str">
        <f>IF(MAX(CX21,DS21,EN21,FI21,GD21,GY21,HT21,IO21,JJ21,KE21,KZ21,LU21)-IF(J21="",0,J21)&gt;0.001,MAX(CX21,DS21,EN21,FI21,GD21,GY21,HT21,IO21,JJ21,KE21,KZ21,LU21)-IF(J21="",0,J21),"")</f>
        <v/>
      </c>
      <c r="CF21" s="24" t="str">
        <f>IF(MAX(DA21,DV21,EQ21,FL21,GG21,HB21,HW21,IR21,JM21,KH21,LC21,LX21)-IF(L21="",0,L21)&gt;0.001,MAX(DA21,DV21,EQ21,FL21,GG21,HB21,HW21,IR21,JM21,KH21,LC21,LX21)-IF(L21="",0,L21),"")</f>
        <v/>
      </c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4"/>
      <c r="DX21" s="44"/>
      <c r="DY21" s="44"/>
      <c r="DZ21" s="44"/>
      <c r="EA21" s="44"/>
      <c r="EB21" s="44"/>
      <c r="EC21" s="44"/>
      <c r="ED21" s="44"/>
      <c r="EE21" s="44"/>
      <c r="EF21" s="44"/>
      <c r="EG21" s="44"/>
      <c r="EH21" s="44"/>
      <c r="EI21" s="44"/>
      <c r="EJ21" s="44"/>
      <c r="EK21" s="44"/>
      <c r="EL21" s="44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4"/>
      <c r="IT21" s="44"/>
      <c r="IU21" s="44"/>
      <c r="IV21" s="44"/>
      <c r="IW21" s="44"/>
      <c r="IX21" s="44"/>
      <c r="IY21" s="44"/>
      <c r="IZ21" s="44"/>
      <c r="JA21" s="44"/>
      <c r="JB21" s="44"/>
      <c r="JC21" s="44"/>
      <c r="JD21" s="44"/>
      <c r="JE21" s="44"/>
      <c r="JF21" s="44"/>
      <c r="JG21" s="44"/>
      <c r="JH21" s="44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43"/>
      <c r="JO21" s="43"/>
      <c r="JP21" s="43"/>
      <c r="JQ21" s="43"/>
      <c r="JR21" s="43"/>
      <c r="JS21" s="43"/>
      <c r="JT21" s="43"/>
      <c r="JU21" s="43"/>
      <c r="JV21" s="43"/>
      <c r="JW21" s="43"/>
      <c r="JX21" s="43"/>
      <c r="JY21" s="43"/>
      <c r="JZ21" s="43"/>
      <c r="KA21" s="43"/>
      <c r="KB21" s="43"/>
      <c r="KC21" s="43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4"/>
      <c r="KJ21" s="44"/>
      <c r="KK21" s="44"/>
      <c r="KL21" s="44"/>
      <c r="KM21" s="44"/>
      <c r="KN21" s="44"/>
      <c r="KO21" s="44"/>
      <c r="KP21" s="44"/>
      <c r="KQ21" s="44"/>
      <c r="KR21" s="44"/>
      <c r="KS21" s="44"/>
      <c r="KT21" s="44"/>
      <c r="KU21" s="44"/>
      <c r="KV21" s="44"/>
      <c r="KW21" s="44"/>
      <c r="KX21" s="44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43"/>
      <c r="LE21" s="43"/>
      <c r="LF21" s="43"/>
      <c r="LG21" s="43"/>
      <c r="LH21" s="43"/>
      <c r="LI21" s="43"/>
      <c r="LJ21" s="43"/>
      <c r="LK21" s="43"/>
      <c r="LL21" s="43"/>
      <c r="LM21" s="43"/>
      <c r="LN21" s="43"/>
      <c r="LO21" s="43"/>
      <c r="LP21" s="43"/>
      <c r="LQ21" s="43"/>
      <c r="LR21" s="43"/>
      <c r="LS21" s="43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9">
        <f>IF($BY21="P",BI21,(BI21+AM21)/2)</f>
        <v>0</v>
      </c>
      <c r="LZ21" s="69">
        <f>IF($BY21="P",BJ21,(BJ21+AN21)/2)</f>
        <v>0</v>
      </c>
      <c r="MA21" s="69">
        <f>IF($BY21="P",BK21,(BK21+AO21)/2)</f>
        <v>0</v>
      </c>
      <c r="MB21" s="69">
        <f>IF($BY21="P",BL21,(BL21+AP21)/2)</f>
        <v>0</v>
      </c>
      <c r="MC21" s="69">
        <f>IF($BY21="P",BM21,(BM21+AQ21)/2)</f>
        <v>0</v>
      </c>
      <c r="MD21" s="69">
        <f>IF($BY21="P",BN21,(BN21+AR21)/2)</f>
        <v>0</v>
      </c>
      <c r="ME21" s="69">
        <f>IF($BY21="P",BO21,(BO21+AS21)/2)</f>
        <v>0</v>
      </c>
      <c r="MF21" s="69">
        <f>IF($BY21="P",BP21,(BP21+AT21)/2)</f>
        <v>0</v>
      </c>
      <c r="MG21" s="69">
        <f>IF($BY21="P",BQ21,(BQ21+AU21)/2)</f>
        <v>0</v>
      </c>
      <c r="MH21" s="69">
        <f>IF($BY21="P",BR21,(BR21+AV21)/2)</f>
        <v>0</v>
      </c>
      <c r="MI21" s="69">
        <f>IF($BY21="P",BS21,(BS21+AW21)/2)</f>
        <v>0</v>
      </c>
      <c r="MJ21" s="69">
        <f>IF($BY21="P",BT21,(BT21+AX21)/2)</f>
        <v>0</v>
      </c>
      <c r="MK21" s="69">
        <f>IF($BY21="P",BU21,(BU21+AY21)/2)</f>
        <v>0</v>
      </c>
      <c r="ML21" s="69">
        <f>IF($BY21="P",BV21,(BV21+AZ21)/2)</f>
        <v>0</v>
      </c>
      <c r="MM21" s="69">
        <f>IF($BY21="P",BW21,(BW21+BA21)/2)</f>
        <v>0</v>
      </c>
      <c r="MN21" s="69">
        <f>IF($BY21="P",BX21,(BX21+BB21)/2)</f>
        <v>0</v>
      </c>
      <c r="MO21" s="80" t="s">
        <v>88</v>
      </c>
      <c r="MP21" s="11" t="str">
        <f>IF(SUM(LZ21,MD21)&gt;0,SUM(LZ21,MD21),"")</f>
        <v/>
      </c>
      <c r="MQ21" s="11" t="str">
        <f>IF(SUM(LY21:LZ21,MB21:MD21,MF21)-SUM(MA21,ME21)&gt;0,SUM(LY21:LZ21,MB21:MD21,MF21)-SUM(MA21,ME21),"")</f>
        <v/>
      </c>
      <c r="MR21" s="11" t="str">
        <f>IF(SUM(MH21,ML21)&gt;0,SUM(MH21,ML21),"")</f>
        <v/>
      </c>
      <c r="MS21" s="11" t="str">
        <f>IF(SUM(MG21:MH21,MJ21:ML21,MN21)-SUM(MI21,MM21)&gt;0,SUM(MG21:MH21,MJ21:ML21,MN21)-SUM(MI21,MM21),"")</f>
        <v/>
      </c>
      <c r="MT21" s="11" t="str">
        <f>IF(SUM(MQ21,MS21)&gt;0,SUM(MQ21,MS21),"")</f>
        <v/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184</v>
      </c>
      <c r="C22" s="4" t="s">
        <v>6</v>
      </c>
      <c r="D22" s="5">
        <v>2001</v>
      </c>
      <c r="E22" s="15">
        <f>SUM(J22:N22)</f>
        <v>57.9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2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57.9</v>
      </c>
      <c r="K22" s="14" t="str">
        <f>IF(J22=0,"",IF(J22=CA22,$BI$1,IF(J22=BE22,$AM$1,IF(J22=AI22,$Q$1,""))))</f>
        <v>2021 2nd Virtual Technical Trial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5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80"/>
      <c r="AH22" s="11" t="str">
        <f>IF(SUM(R22,V22)&gt;0,SUM(R22,V22),"")</f>
        <v/>
      </c>
      <c r="AI22" s="11" t="str">
        <f>IF(SUM(Q22:R22,T22:V22,X22)-SUM(S22,W22)&gt;0,SUM(Q22:R22,T22:V22,X22)-SUM(S22,W22),"")</f>
        <v/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 t="str">
        <f>IF(SUM(AI22,AK22)&gt;0,SUM(AI22,AK22),"")</f>
        <v/>
      </c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81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9">
        <v>28.1</v>
      </c>
      <c r="BJ22" s="69">
        <v>4.8</v>
      </c>
      <c r="BK22" s="69">
        <v>2.7</v>
      </c>
      <c r="BL22" s="69">
        <v>0</v>
      </c>
      <c r="BM22" s="69">
        <v>27.6</v>
      </c>
      <c r="BN22" s="69">
        <v>3.8</v>
      </c>
      <c r="BO22" s="69">
        <v>3.7</v>
      </c>
      <c r="BP22" s="69">
        <v>0</v>
      </c>
      <c r="BQ22" s="69">
        <v>20.399999999999999</v>
      </c>
      <c r="BR22" s="69">
        <v>2.4</v>
      </c>
      <c r="BS22" s="69">
        <v>0</v>
      </c>
      <c r="BT22" s="69">
        <v>0</v>
      </c>
      <c r="BU22" s="69">
        <v>20.2</v>
      </c>
      <c r="BV22" s="69">
        <v>4</v>
      </c>
      <c r="BW22" s="69">
        <v>0</v>
      </c>
      <c r="BX22" s="69">
        <v>0</v>
      </c>
      <c r="BY22" s="80"/>
      <c r="BZ22" s="11">
        <f>IF(SUM(BJ22,BN22)&gt;0,SUM(BJ22,BN22),"")</f>
        <v>8.6</v>
      </c>
      <c r="CA22" s="11">
        <f>IF(SUM(BI22:BJ22,BL22:BN22,BP22)-SUM(BK22,BO22)&gt;0,SUM(BI22:BJ22,BL22:BN22,BP22)-SUM(BK22,BO22),"")</f>
        <v>57.9</v>
      </c>
      <c r="CB22" s="11">
        <f>IF(SUM(BR22,BV22)&gt;0,SUM(BR22,BV22),"")</f>
        <v>6.4</v>
      </c>
      <c r="CC22" s="11">
        <f>IF(SUM(BQ22:BR22,BT22:BV22,BX22)-SUM(BS22,BW22)&gt;0,SUM(BQ22:BR22,BT22:BV22,BX22)-SUM(BS22,BW22),"")</f>
        <v>47</v>
      </c>
      <c r="CD22" s="11">
        <f>IF(SUM(CA22,CC22)&gt;0,SUM(CA22,CC22),"")</f>
        <v>104.9</v>
      </c>
      <c r="CE22" s="24" t="str">
        <f>IF(MAX(CX22,DS22,EN22,FI22,GD22,GY22,HT22,IO22,JJ22,KE22,KZ22,LU22)-IF(J22="",0,J22)&gt;0.001,MAX(CX22,DS22,EN22,FI22,GD22,GY22,HT22,IO22,JJ22,KE22,KZ22,LU22)-IF(J22="",0,J22),"")</f>
        <v/>
      </c>
      <c r="CF22" s="24" t="str">
        <f>IF(MAX(DA22,DV22,EQ22,FL22,GG22,HB22,HW22,IR22,JM22,KH22,LC22,LX22)-IF(L22="",0,L22)&gt;0.001,MAX(DA22,DV22,EQ22,FL22,GG22,HB22,HW22,IR22,JM22,KH22,LC22,LX22)-IF(L22="",0,L22),"")</f>
        <v/>
      </c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4"/>
      <c r="IT22" s="44"/>
      <c r="IU22" s="44"/>
      <c r="IV22" s="44"/>
      <c r="IW22" s="44"/>
      <c r="IX22" s="44"/>
      <c r="IY22" s="44"/>
      <c r="IZ22" s="44"/>
      <c r="JA22" s="44"/>
      <c r="JB22" s="44"/>
      <c r="JC22" s="44"/>
      <c r="JD22" s="44"/>
      <c r="JE22" s="44"/>
      <c r="JF22" s="44"/>
      <c r="JG22" s="44"/>
      <c r="JH22" s="44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4"/>
      <c r="KJ22" s="44"/>
      <c r="KK22" s="44"/>
      <c r="KL22" s="44"/>
      <c r="KM22" s="44"/>
      <c r="KN22" s="44"/>
      <c r="KO22" s="44"/>
      <c r="KP22" s="44"/>
      <c r="KQ22" s="44"/>
      <c r="KR22" s="44"/>
      <c r="KS22" s="44"/>
      <c r="KT22" s="44"/>
      <c r="KU22" s="44"/>
      <c r="KV22" s="44"/>
      <c r="KW22" s="44"/>
      <c r="KX22" s="44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9">
        <f>IF($BY22="P",BI22,(BI22+AM22)/2)</f>
        <v>14.05</v>
      </c>
      <c r="LZ22" s="69">
        <f>IF($BY22="P",BJ22,(BJ22+AN22)/2)</f>
        <v>2.4</v>
      </c>
      <c r="MA22" s="69">
        <f>IF($BY22="P",BK22,(BK22+AO22)/2)</f>
        <v>1.35</v>
      </c>
      <c r="MB22" s="69">
        <f>IF($BY22="P",BL22,(BL22+AP22)/2)</f>
        <v>0</v>
      </c>
      <c r="MC22" s="69">
        <f>IF($BY22="P",BM22,(BM22+AQ22)/2)</f>
        <v>13.8</v>
      </c>
      <c r="MD22" s="69">
        <f>IF($BY22="P",BN22,(BN22+AR22)/2)</f>
        <v>1.9</v>
      </c>
      <c r="ME22" s="69">
        <f>IF($BY22="P",BO22,(BO22+AS22)/2)</f>
        <v>1.85</v>
      </c>
      <c r="MF22" s="69">
        <f>IF($BY22="P",BP22,(BP22+AT22)/2)</f>
        <v>0</v>
      </c>
      <c r="MG22" s="69">
        <f>IF($BY22="P",BQ22,(BQ22+AU22)/2)</f>
        <v>10.199999999999999</v>
      </c>
      <c r="MH22" s="69">
        <f>IF($BY22="P",BR22,(BR22+AV22)/2)</f>
        <v>1.2</v>
      </c>
      <c r="MI22" s="69">
        <f>IF($BY22="P",BS22,(BS22+AW22)/2)</f>
        <v>0</v>
      </c>
      <c r="MJ22" s="69">
        <f>IF($BY22="P",BT22,(BT22+AX22)/2)</f>
        <v>0</v>
      </c>
      <c r="MK22" s="69">
        <f>IF($BY22="P",BU22,(BU22+AY22)/2)</f>
        <v>10.1</v>
      </c>
      <c r="ML22" s="69">
        <f>IF($BY22="P",BV22,(BV22+AZ22)/2)</f>
        <v>2</v>
      </c>
      <c r="MM22" s="69">
        <f>IF($BY22="P",BW22,(BW22+BA22)/2)</f>
        <v>0</v>
      </c>
      <c r="MN22" s="69">
        <f>IF($BY22="P",BX22,(BX22+BB22)/2)</f>
        <v>0</v>
      </c>
      <c r="MO22" s="80" t="s">
        <v>88</v>
      </c>
      <c r="MP22" s="11">
        <f>IF(SUM(LZ22,MD22)&gt;0,SUM(LZ22,MD22),"")</f>
        <v>4.3</v>
      </c>
      <c r="MQ22" s="11">
        <f>IF(SUM(LY22:LZ22,MB22:MD22,MF22)-SUM(MA22,ME22)&gt;0,SUM(LY22:LZ22,MB22:MD22,MF22)-SUM(MA22,ME22),"")</f>
        <v>28.95</v>
      </c>
      <c r="MR22" s="11">
        <f>IF(SUM(MH22,ML22)&gt;0,SUM(MH22,ML22),"")</f>
        <v>3.2</v>
      </c>
      <c r="MS22" s="11">
        <f>IF(SUM(MG22:MH22,MJ22:ML22,MN22)-SUM(MI22,MM22)&gt;0,SUM(MG22:MH22,MJ22:ML22,MN22)-SUM(MI22,MM22),"")</f>
        <v>23.5</v>
      </c>
      <c r="MT22" s="11">
        <f>IF(SUM(MQ22,MS22)&gt;0,SUM(MQ22,MS22),"")</f>
        <v>52.45</v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52</v>
      </c>
      <c r="C23" s="4" t="s">
        <v>5</v>
      </c>
      <c r="D23" s="5">
        <v>1993</v>
      </c>
      <c r="E23" s="15">
        <f>SUM(J23:N23)</f>
        <v>31.9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2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31.9</v>
      </c>
      <c r="K23" s="14" t="str">
        <f>IF(J23=0,"",IF(J23=CA23,$BI$1,IF(J23=BE23,$AM$1,IF(J23=AI23,$Q$1,""))))</f>
        <v>2019 Nationals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5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9">
        <v>0</v>
      </c>
      <c r="R23" s="69">
        <v>0</v>
      </c>
      <c r="S23" s="69">
        <v>0</v>
      </c>
      <c r="T23" s="69">
        <v>0</v>
      </c>
      <c r="U23" s="69">
        <v>25.2</v>
      </c>
      <c r="V23" s="69">
        <v>7.6</v>
      </c>
      <c r="W23" s="69">
        <v>0.9</v>
      </c>
      <c r="X23" s="69">
        <v>0</v>
      </c>
      <c r="Y23" s="69"/>
      <c r="Z23" s="69"/>
      <c r="AA23" s="69"/>
      <c r="AB23" s="69"/>
      <c r="AC23" s="69"/>
      <c r="AD23" s="69"/>
      <c r="AE23" s="69"/>
      <c r="AF23" s="69"/>
      <c r="AG23" s="80"/>
      <c r="AH23" s="11">
        <f>IF(SUM(R23,V23)&gt;0,SUM(R23,V23),"")</f>
        <v>7.6</v>
      </c>
      <c r="AI23" s="11">
        <f>IF(SUM(Q23:R23,T23:V23,X23)-SUM(S23,W23)&gt;0,SUM(Q23:R23,T23:V23,X23)-SUM(S23,W23),"")</f>
        <v>31.9</v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>
        <f>IF(SUM(AI23,AK23)&gt;0,SUM(AI23,AK23),"")</f>
        <v>31.9</v>
      </c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81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80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4" t="str">
        <f>IF(MAX(CX23,DS23,EN23,FI23,GD23,GY23,HT23,IO23,JJ23,KE23,KZ23,LU23)-IF(J23="",0,J23)&gt;0.001,MAX(CX23,DS23,EN23,FI23,GD23,GY23,HT23,IO23,JJ23,KE23,KZ23,LU23)-IF(J23="",0,J23),"")</f>
        <v/>
      </c>
      <c r="CF23" s="24" t="str">
        <f>IF(MAX(DA23,DV23,EQ23,FL23,GG23,HB23,HW23,IR23,JM23,KH23,LC23,LX23)-IF(L23="",0,L23)&gt;0.001,MAX(DA23,DV23,EQ23,FL23,GG23,HB23,HW23,IR23,JM23,KH23,LC23,LX23)-IF(L23="",0,L23),"")</f>
        <v/>
      </c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4"/>
      <c r="DX23" s="44"/>
      <c r="DY23" s="44"/>
      <c r="DZ23" s="44"/>
      <c r="EA23" s="44"/>
      <c r="EB23" s="44"/>
      <c r="EC23" s="44"/>
      <c r="ED23" s="44"/>
      <c r="EE23" s="44"/>
      <c r="EF23" s="44"/>
      <c r="EG23" s="44"/>
      <c r="EH23" s="44"/>
      <c r="EI23" s="44"/>
      <c r="EJ23" s="44"/>
      <c r="EK23" s="44"/>
      <c r="EL23" s="44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4"/>
      <c r="IT23" s="44"/>
      <c r="IU23" s="44"/>
      <c r="IV23" s="44"/>
      <c r="IW23" s="44"/>
      <c r="IX23" s="44"/>
      <c r="IY23" s="44"/>
      <c r="IZ23" s="44"/>
      <c r="JA23" s="44"/>
      <c r="JB23" s="44"/>
      <c r="JC23" s="44"/>
      <c r="JD23" s="44"/>
      <c r="JE23" s="44"/>
      <c r="JF23" s="44"/>
      <c r="JG23" s="44"/>
      <c r="JH23" s="44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4"/>
      <c r="KJ23" s="44"/>
      <c r="KK23" s="44"/>
      <c r="KL23" s="44"/>
      <c r="KM23" s="44"/>
      <c r="KN23" s="44"/>
      <c r="KO23" s="44"/>
      <c r="KP23" s="44"/>
      <c r="KQ23" s="44"/>
      <c r="KR23" s="44"/>
      <c r="KS23" s="44"/>
      <c r="KT23" s="44"/>
      <c r="KU23" s="44"/>
      <c r="KV23" s="44"/>
      <c r="KW23" s="44"/>
      <c r="KX23" s="44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9">
        <f>IF($BY23="P",BI23,(BI23+AM23)/2)</f>
        <v>0</v>
      </c>
      <c r="LZ23" s="69">
        <f>IF($BY23="P",BJ23,(BJ23+AN23)/2)</f>
        <v>0</v>
      </c>
      <c r="MA23" s="69">
        <f>IF($BY23="P",BK23,(BK23+AO23)/2)</f>
        <v>0</v>
      </c>
      <c r="MB23" s="69">
        <f>IF($BY23="P",BL23,(BL23+AP23)/2)</f>
        <v>0</v>
      </c>
      <c r="MC23" s="69">
        <f>IF($BY23="P",BM23,(BM23+AQ23)/2)</f>
        <v>0</v>
      </c>
      <c r="MD23" s="69">
        <f>IF($BY23="P",BN23,(BN23+AR23)/2)</f>
        <v>0</v>
      </c>
      <c r="ME23" s="69">
        <f>IF($BY23="P",BO23,(BO23+AS23)/2)</f>
        <v>0</v>
      </c>
      <c r="MF23" s="69">
        <f>IF($BY23="P",BP23,(BP23+AT23)/2)</f>
        <v>0</v>
      </c>
      <c r="MG23" s="69">
        <f>IF($BY23="P",BQ23,(BQ23+AU23)/2)</f>
        <v>0</v>
      </c>
      <c r="MH23" s="69">
        <f>IF($BY23="P",BR23,(BR23+AV23)/2)</f>
        <v>0</v>
      </c>
      <c r="MI23" s="69">
        <f>IF($BY23="P",BS23,(BS23+AW23)/2)</f>
        <v>0</v>
      </c>
      <c r="MJ23" s="69">
        <f>IF($BY23="P",BT23,(BT23+AX23)/2)</f>
        <v>0</v>
      </c>
      <c r="MK23" s="69">
        <f>IF($BY23="P",BU23,(BU23+AY23)/2)</f>
        <v>0</v>
      </c>
      <c r="ML23" s="69">
        <f>IF($BY23="P",BV23,(BV23+AZ23)/2)</f>
        <v>0</v>
      </c>
      <c r="MM23" s="69">
        <f>IF($BY23="P",BW23,(BW23+BA23)/2)</f>
        <v>0</v>
      </c>
      <c r="MN23" s="69">
        <f>IF($BY23="P",BX23,(BX23+BB23)/2)</f>
        <v>0</v>
      </c>
      <c r="MO23" s="80" t="s">
        <v>88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6" spans="1:358" x14ac:dyDescent="0.2">
      <c r="B26" s="70" t="s">
        <v>78</v>
      </c>
      <c r="AH26" s="56"/>
      <c r="AJ26" s="56"/>
      <c r="AL26" s="64">
        <v>15.6</v>
      </c>
      <c r="BD26" s="56"/>
      <c r="BF26" s="56"/>
      <c r="BH26" s="64">
        <v>14.4</v>
      </c>
      <c r="BZ26" s="56"/>
      <c r="CB26" s="56"/>
      <c r="CD26" s="64">
        <v>14.4</v>
      </c>
      <c r="CW26" s="56"/>
      <c r="CY26" s="56"/>
      <c r="DA26" s="64">
        <v>14.4</v>
      </c>
      <c r="DR26" s="56"/>
      <c r="DT26" s="56"/>
      <c r="DV26" s="64">
        <v>14.4</v>
      </c>
      <c r="EM26" s="56"/>
      <c r="EO26" s="56"/>
      <c r="EQ26" s="64">
        <v>14.4</v>
      </c>
      <c r="FH26" s="56"/>
      <c r="FJ26" s="56"/>
      <c r="FL26" s="64">
        <v>14.4</v>
      </c>
      <c r="GC26" s="56"/>
      <c r="GE26" s="56"/>
      <c r="GG26" s="64">
        <v>14.4</v>
      </c>
      <c r="GX26" s="56"/>
      <c r="GZ26" s="56"/>
      <c r="HB26" s="64">
        <v>14.4</v>
      </c>
      <c r="HS26" s="56"/>
      <c r="HU26" s="56"/>
      <c r="HW26" s="64">
        <v>14.4</v>
      </c>
      <c r="IN26" s="56"/>
      <c r="IP26" s="56"/>
      <c r="IR26" s="64">
        <v>14.4</v>
      </c>
      <c r="JI26" s="56"/>
      <c r="JK26" s="56"/>
      <c r="JM26" s="64">
        <v>14.4</v>
      </c>
      <c r="KD26" s="56"/>
      <c r="KF26" s="56"/>
      <c r="KH26" s="64">
        <v>14.4</v>
      </c>
      <c r="KY26" s="56"/>
      <c r="LA26" s="56"/>
      <c r="LC26" s="64">
        <v>14.4</v>
      </c>
      <c r="LT26" s="56"/>
      <c r="LV26" s="56"/>
      <c r="LX26" s="64">
        <v>14.4</v>
      </c>
    </row>
    <row r="27" spans="1:358" x14ac:dyDescent="0.2">
      <c r="B27" s="91" t="s">
        <v>77</v>
      </c>
      <c r="AH27" s="56"/>
      <c r="AJ27" s="56"/>
      <c r="AL27" s="104">
        <v>16</v>
      </c>
      <c r="BD27" s="56"/>
      <c r="BF27" s="56"/>
      <c r="BH27" s="104">
        <v>14.8</v>
      </c>
      <c r="BZ27" s="56"/>
      <c r="CB27" s="56"/>
      <c r="CD27" s="104">
        <v>14.8</v>
      </c>
      <c r="CW27" s="56"/>
      <c r="CY27" s="56"/>
      <c r="DA27" s="104">
        <v>14.8</v>
      </c>
      <c r="DR27" s="56"/>
      <c r="DT27" s="56"/>
      <c r="DV27" s="104">
        <v>14.8</v>
      </c>
      <c r="EM27" s="56"/>
      <c r="EO27" s="56"/>
      <c r="EQ27" s="104">
        <v>14.8</v>
      </c>
      <c r="FH27" s="56"/>
      <c r="FJ27" s="56"/>
      <c r="FL27" s="104">
        <v>14.8</v>
      </c>
      <c r="GC27" s="56"/>
      <c r="GE27" s="56"/>
      <c r="GG27" s="104">
        <v>14.8</v>
      </c>
      <c r="GX27" s="56"/>
      <c r="GZ27" s="56"/>
      <c r="HB27" s="104">
        <v>14.8</v>
      </c>
      <c r="HS27" s="56"/>
      <c r="HU27" s="56"/>
      <c r="HW27" s="104">
        <v>14.8</v>
      </c>
      <c r="IN27" s="56"/>
      <c r="IP27" s="56"/>
      <c r="IR27" s="104">
        <v>14.8</v>
      </c>
      <c r="JI27" s="56"/>
      <c r="JK27" s="56"/>
      <c r="JM27" s="104">
        <v>14.8</v>
      </c>
      <c r="KD27" s="56"/>
      <c r="KF27" s="56"/>
      <c r="KH27" s="104">
        <v>14.8</v>
      </c>
      <c r="KY27" s="56"/>
      <c r="LA27" s="56"/>
      <c r="LC27" s="104">
        <v>14.8</v>
      </c>
      <c r="LT27" s="56"/>
      <c r="LV27" s="56"/>
      <c r="LX27" s="104">
        <v>14.8</v>
      </c>
    </row>
    <row r="28" spans="1:358" x14ac:dyDescent="0.2">
      <c r="A28" s="56"/>
      <c r="B28" s="92" t="s">
        <v>109</v>
      </c>
      <c r="C28" s="55"/>
      <c r="AH28" s="56"/>
      <c r="AJ28" s="56"/>
      <c r="AK28" s="129" t="s">
        <v>166</v>
      </c>
      <c r="AL28" s="105">
        <v>17</v>
      </c>
      <c r="BD28" s="56"/>
      <c r="BF28" s="56"/>
      <c r="BG28" s="129"/>
      <c r="BH28" s="105">
        <v>15.6</v>
      </c>
      <c r="BZ28" s="56"/>
      <c r="CB28" s="56"/>
      <c r="CD28" s="105">
        <v>15.6</v>
      </c>
      <c r="CW28" s="56"/>
      <c r="CY28" s="56"/>
      <c r="DA28" s="105">
        <v>15.6</v>
      </c>
      <c r="DR28" s="56"/>
      <c r="DT28" s="56"/>
      <c r="DV28" s="105">
        <v>15.6</v>
      </c>
      <c r="EM28" s="56"/>
      <c r="EO28" s="56"/>
      <c r="EQ28" s="105">
        <v>15.6</v>
      </c>
      <c r="FH28" s="56"/>
      <c r="FJ28" s="56"/>
      <c r="FL28" s="105">
        <v>15.6</v>
      </c>
      <c r="GC28" s="56"/>
      <c r="GE28" s="56"/>
      <c r="GG28" s="105">
        <v>15.6</v>
      </c>
      <c r="GX28" s="56"/>
      <c r="GZ28" s="56"/>
      <c r="HB28" s="105">
        <v>15.6</v>
      </c>
      <c r="HS28" s="56"/>
      <c r="HU28" s="56"/>
      <c r="HW28" s="105">
        <v>15.6</v>
      </c>
      <c r="IN28" s="56"/>
      <c r="IP28" s="56"/>
      <c r="IR28" s="105">
        <v>15.6</v>
      </c>
      <c r="JI28" s="56"/>
      <c r="JK28" s="56"/>
      <c r="JM28" s="105">
        <v>15.6</v>
      </c>
      <c r="KD28" s="56"/>
      <c r="KF28" s="56"/>
      <c r="KH28" s="105">
        <v>15.6</v>
      </c>
      <c r="KY28" s="56"/>
      <c r="LA28" s="56"/>
      <c r="LC28" s="105">
        <v>15.6</v>
      </c>
      <c r="LT28" s="56"/>
      <c r="LV28" s="56"/>
      <c r="LX28" s="105">
        <v>15.6</v>
      </c>
    </row>
    <row r="29" spans="1:358" x14ac:dyDescent="0.2">
      <c r="A29" s="56"/>
      <c r="B29" s="71" t="s">
        <v>158</v>
      </c>
      <c r="C29" s="55"/>
      <c r="AH29" s="56"/>
      <c r="AJ29" s="56"/>
      <c r="AL29" s="65">
        <v>31.2</v>
      </c>
      <c r="BD29" s="56"/>
      <c r="BF29" s="56"/>
      <c r="BH29" s="65">
        <v>17.600000000000001</v>
      </c>
      <c r="BZ29" s="56"/>
      <c r="CB29" s="56"/>
      <c r="CD29" s="65">
        <v>17.600000000000001</v>
      </c>
      <c r="CW29" s="56"/>
      <c r="CY29" s="56"/>
      <c r="DA29" s="65">
        <v>17.600000000000001</v>
      </c>
      <c r="DR29" s="56"/>
      <c r="DT29" s="56"/>
      <c r="DV29" s="65">
        <v>17.600000000000001</v>
      </c>
      <c r="EM29" s="56"/>
      <c r="EO29" s="56"/>
      <c r="EP29" s="129"/>
      <c r="EQ29" s="65">
        <v>17.600000000000001</v>
      </c>
      <c r="FH29" s="56"/>
      <c r="FJ29" s="56"/>
      <c r="FL29" s="65">
        <v>17.600000000000001</v>
      </c>
      <c r="GC29" s="56"/>
      <c r="GE29" s="56"/>
      <c r="GG29" s="65">
        <v>17.600000000000001</v>
      </c>
      <c r="GX29" s="56"/>
      <c r="GZ29" s="56"/>
      <c r="HB29" s="65">
        <v>17.600000000000001</v>
      </c>
      <c r="HS29" s="56"/>
      <c r="HU29" s="56"/>
      <c r="HW29" s="65">
        <v>17.600000000000001</v>
      </c>
      <c r="IN29" s="56"/>
      <c r="IP29" s="56"/>
      <c r="IR29" s="65">
        <v>17.600000000000001</v>
      </c>
      <c r="JI29" s="56"/>
      <c r="JK29" s="56"/>
      <c r="JM29" s="65">
        <v>17.600000000000001</v>
      </c>
      <c r="KD29" s="56"/>
      <c r="KF29" s="56"/>
      <c r="KH29" s="65">
        <v>17.600000000000001</v>
      </c>
      <c r="KY29" s="56"/>
      <c r="LA29" s="56"/>
      <c r="LC29" s="65">
        <v>17.600000000000001</v>
      </c>
      <c r="LT29" s="56"/>
      <c r="LV29" s="56"/>
      <c r="LX29" s="65">
        <v>17.600000000000001</v>
      </c>
    </row>
    <row r="30" spans="1:358" x14ac:dyDescent="0.2">
      <c r="A30" s="56"/>
      <c r="B30" s="73" t="s">
        <v>75</v>
      </c>
      <c r="C30" s="55"/>
      <c r="AH30" s="56"/>
      <c r="AJ30" s="56"/>
      <c r="AL30" s="67">
        <v>69.5</v>
      </c>
      <c r="BD30" s="56"/>
      <c r="BF30" s="56"/>
      <c r="BH30" s="67">
        <v>69.599999999999994</v>
      </c>
      <c r="BZ30" s="56"/>
      <c r="CB30" s="56"/>
      <c r="CD30" s="67">
        <v>69.599999999999994</v>
      </c>
      <c r="CW30" s="56"/>
      <c r="CY30" s="56"/>
      <c r="DA30" s="67">
        <v>69.599999999999994</v>
      </c>
      <c r="DR30" s="56"/>
      <c r="DT30" s="56"/>
      <c r="DV30" s="67">
        <v>69.599999999999994</v>
      </c>
      <c r="EM30" s="56"/>
      <c r="EO30" s="56"/>
      <c r="EQ30" s="67">
        <v>69.599999999999994</v>
      </c>
      <c r="FH30" s="56"/>
      <c r="FJ30" s="56"/>
      <c r="FL30" s="67">
        <v>69.599999999999994</v>
      </c>
      <c r="GC30" s="56"/>
      <c r="GE30" s="56"/>
      <c r="GG30" s="67">
        <v>69.599999999999994</v>
      </c>
      <c r="GX30" s="56"/>
      <c r="GZ30" s="56"/>
      <c r="HB30" s="67">
        <v>69.599999999999994</v>
      </c>
      <c r="HS30" s="56"/>
      <c r="HU30" s="56"/>
      <c r="HW30" s="67">
        <v>69.599999999999994</v>
      </c>
      <c r="IN30" s="56"/>
      <c r="IP30" s="56"/>
      <c r="IR30" s="67">
        <v>69.599999999999994</v>
      </c>
      <c r="JI30" s="56"/>
      <c r="JK30" s="56"/>
      <c r="JM30" s="67">
        <v>69.599999999999994</v>
      </c>
      <c r="KD30" s="56"/>
      <c r="KF30" s="56"/>
      <c r="KH30" s="67">
        <v>69.599999999999994</v>
      </c>
      <c r="KY30" s="56"/>
      <c r="LA30" s="56"/>
      <c r="LC30" s="67">
        <v>69.599999999999994</v>
      </c>
      <c r="LT30" s="56"/>
      <c r="LV30" s="56"/>
      <c r="LX30" s="67">
        <v>69.599999999999994</v>
      </c>
    </row>
    <row r="31" spans="1:358" x14ac:dyDescent="0.2">
      <c r="A31" s="56"/>
      <c r="B31" s="72" t="s">
        <v>76</v>
      </c>
      <c r="C31" s="55"/>
      <c r="AH31" s="56"/>
      <c r="AJ31" s="56"/>
      <c r="AL31" s="66">
        <v>71</v>
      </c>
      <c r="BD31" s="56"/>
      <c r="BF31" s="56"/>
      <c r="BH31" s="66">
        <v>70.599999999999994</v>
      </c>
      <c r="BZ31" s="56"/>
      <c r="CB31" s="56"/>
      <c r="CD31" s="66">
        <v>70.599999999999994</v>
      </c>
      <c r="CW31" s="56"/>
      <c r="CY31" s="56"/>
      <c r="DA31" s="66">
        <v>70.599999999999994</v>
      </c>
      <c r="DR31" s="56"/>
      <c r="DT31" s="56"/>
      <c r="DV31" s="66">
        <v>70.599999999999994</v>
      </c>
      <c r="EM31" s="56"/>
      <c r="EO31" s="56"/>
      <c r="EQ31" s="66">
        <v>70.599999999999994</v>
      </c>
      <c r="FH31" s="56"/>
      <c r="FJ31" s="56"/>
      <c r="FL31" s="66">
        <v>70.599999999999994</v>
      </c>
      <c r="GC31" s="56"/>
      <c r="GE31" s="56"/>
      <c r="GG31" s="66">
        <v>70.599999999999994</v>
      </c>
      <c r="GX31" s="56"/>
      <c r="GZ31" s="56"/>
      <c r="HB31" s="66">
        <v>70.599999999999994</v>
      </c>
      <c r="HS31" s="56"/>
      <c r="HU31" s="56"/>
      <c r="HW31" s="66">
        <v>70.599999999999994</v>
      </c>
      <c r="IN31" s="56"/>
      <c r="IP31" s="56"/>
      <c r="IR31" s="66">
        <v>70.599999999999994</v>
      </c>
      <c r="JI31" s="56"/>
      <c r="JK31" s="56"/>
      <c r="JM31" s="66">
        <v>70.599999999999994</v>
      </c>
      <c r="KD31" s="56"/>
      <c r="KF31" s="56"/>
      <c r="KH31" s="66">
        <v>70.599999999999994</v>
      </c>
      <c r="KY31" s="56"/>
      <c r="LA31" s="56"/>
      <c r="LC31" s="66">
        <v>70.599999999999994</v>
      </c>
      <c r="LT31" s="56"/>
      <c r="LV31" s="56"/>
      <c r="LX31" s="66">
        <v>70.599999999999994</v>
      </c>
    </row>
    <row r="32" spans="1:358" x14ac:dyDescent="0.2">
      <c r="A32" s="56"/>
      <c r="B32" s="116" t="s">
        <v>107</v>
      </c>
      <c r="C32" s="55"/>
      <c r="AH32" s="56"/>
      <c r="AJ32" s="56"/>
      <c r="AK32" s="129" t="s">
        <v>166</v>
      </c>
      <c r="AL32" s="117">
        <v>73</v>
      </c>
      <c r="BD32" s="56"/>
      <c r="BF32" s="56"/>
      <c r="BG32" s="129"/>
      <c r="BH32" s="117">
        <v>72.599999999999994</v>
      </c>
      <c r="BZ32" s="56"/>
      <c r="CB32" s="56"/>
      <c r="CD32" s="117">
        <v>72.599999999999994</v>
      </c>
      <c r="CW32" s="56"/>
      <c r="CY32" s="56"/>
      <c r="DA32" s="117">
        <v>72.599999999999994</v>
      </c>
      <c r="DR32" s="56"/>
      <c r="DT32" s="56"/>
      <c r="DV32" s="117">
        <v>72.599999999999994</v>
      </c>
      <c r="EM32" s="56"/>
      <c r="EO32" s="56"/>
      <c r="EQ32" s="117">
        <v>72.599999999999994</v>
      </c>
      <c r="FH32" s="56"/>
      <c r="FJ32" s="56"/>
      <c r="FK32" s="129"/>
      <c r="FL32" s="117">
        <v>72.599999999999994</v>
      </c>
      <c r="GC32" s="56"/>
      <c r="GE32" s="56"/>
      <c r="GG32" s="117">
        <v>72.599999999999994</v>
      </c>
      <c r="GX32" s="56"/>
      <c r="GZ32" s="56"/>
      <c r="HB32" s="117">
        <v>72.599999999999994</v>
      </c>
      <c r="HS32" s="56"/>
      <c r="HU32" s="56"/>
      <c r="HW32" s="117">
        <v>72.599999999999994</v>
      </c>
      <c r="IN32" s="56"/>
      <c r="IP32" s="56"/>
      <c r="IR32" s="117">
        <v>72.599999999999994</v>
      </c>
      <c r="JI32" s="56"/>
      <c r="JK32" s="56"/>
      <c r="JM32" s="117">
        <v>72.599999999999994</v>
      </c>
      <c r="KD32" s="56"/>
      <c r="KF32" s="56"/>
      <c r="KH32" s="117">
        <v>72.599999999999994</v>
      </c>
      <c r="KY32" s="56"/>
      <c r="LA32" s="56"/>
      <c r="LC32" s="117">
        <v>72.599999999999994</v>
      </c>
      <c r="LT32" s="56"/>
      <c r="LV32" s="56"/>
      <c r="LX32" s="117">
        <v>72.599999999999994</v>
      </c>
    </row>
    <row r="33" spans="1:336" x14ac:dyDescent="0.2">
      <c r="A33" s="56"/>
      <c r="B33" s="74" t="s">
        <v>57</v>
      </c>
      <c r="C33" s="55"/>
      <c r="AH33" s="56"/>
      <c r="AJ33" s="56"/>
      <c r="AL33" s="68">
        <v>145</v>
      </c>
      <c r="BD33" s="56"/>
      <c r="BF33" s="56"/>
      <c r="BH33" s="68">
        <v>74.3</v>
      </c>
      <c r="BZ33" s="56"/>
      <c r="CB33" s="56"/>
      <c r="CD33" s="68">
        <v>74.3</v>
      </c>
      <c r="CW33" s="56"/>
      <c r="CY33" s="56"/>
      <c r="DA33" s="68">
        <v>74.3</v>
      </c>
      <c r="DR33" s="56"/>
      <c r="DT33" s="56"/>
      <c r="DV33" s="68">
        <v>74.3</v>
      </c>
      <c r="EM33" s="56"/>
      <c r="EO33" s="56"/>
      <c r="EP33" s="129"/>
      <c r="EQ33" s="68">
        <v>74.3</v>
      </c>
      <c r="FH33" s="56"/>
      <c r="FJ33" s="56"/>
      <c r="FL33" s="68">
        <v>74.3</v>
      </c>
      <c r="GC33" s="56"/>
      <c r="GE33" s="56"/>
      <c r="GG33" s="68">
        <v>74.3</v>
      </c>
      <c r="GX33" s="56"/>
      <c r="GZ33" s="56"/>
      <c r="HB33" s="68">
        <v>74.3</v>
      </c>
      <c r="HS33" s="56"/>
      <c r="HU33" s="56"/>
      <c r="HW33" s="68">
        <v>74.3</v>
      </c>
      <c r="IN33" s="56"/>
      <c r="IP33" s="56"/>
      <c r="IR33" s="68">
        <v>74.3</v>
      </c>
      <c r="JI33" s="56"/>
      <c r="JK33" s="56"/>
      <c r="JM33" s="68">
        <v>74.3</v>
      </c>
      <c r="KD33" s="56"/>
      <c r="KF33" s="56"/>
      <c r="KH33" s="68">
        <v>74.3</v>
      </c>
      <c r="KY33" s="56"/>
      <c r="LA33" s="56"/>
      <c r="LC33" s="68">
        <v>74.3</v>
      </c>
      <c r="LT33" s="56"/>
      <c r="LV33" s="56"/>
      <c r="LX33" s="68">
        <v>74.3</v>
      </c>
    </row>
    <row r="34" spans="1:336" x14ac:dyDescent="0.2">
      <c r="B34" s="82" t="s">
        <v>89</v>
      </c>
      <c r="C34" s="2"/>
      <c r="CX34" s="6"/>
      <c r="KE34" s="6"/>
    </row>
    <row r="35" spans="1:336" x14ac:dyDescent="0.2">
      <c r="A35" s="56"/>
      <c r="B35" s="56"/>
      <c r="C35" s="55"/>
    </row>
    <row r="36" spans="1:336" x14ac:dyDescent="0.2">
      <c r="A36" s="56"/>
      <c r="B36" s="56"/>
      <c r="C36" s="55"/>
    </row>
    <row r="37" spans="1:336" x14ac:dyDescent="0.2">
      <c r="A37" s="56"/>
      <c r="B37" s="56"/>
      <c r="C37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3">
    <cfRule type="expression" dxfId="39" priority="3" stopIfTrue="1">
      <formula>IF($BC4&lt;&gt;"",1,0)</formula>
    </cfRule>
  </conditionalFormatting>
  <conditionalFormatting sqref="Q4:AL23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34" priority="29" operator="between">
      <formula>AL$29</formula>
      <formula>1000</formula>
    </cfRule>
    <cfRule type="cellIs" dxfId="33" priority="30" operator="between">
      <formula>AL$28</formula>
      <formula>AL$29</formula>
    </cfRule>
    <cfRule type="cellIs" dxfId="32" priority="137" operator="between">
      <formula>AL$27</formula>
      <formula>AL$28</formula>
    </cfRule>
    <cfRule type="cellIs" dxfId="31" priority="205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0" priority="8882" operator="between">
      <formula>AL$33</formula>
      <formula>1000</formula>
    </cfRule>
    <cfRule type="cellIs" dxfId="29" priority="36249" operator="between">
      <formula>AL$32</formula>
      <formula>AL$33</formula>
    </cfRule>
    <cfRule type="cellIs" dxfId="28" priority="36250" operator="between">
      <formula>AL$31</formula>
      <formula>AL$32</formula>
    </cfRule>
    <cfRule type="cellIs" dxfId="27" priority="36253" operator="between">
      <formula>AL$30</formula>
      <formula>AL$31</formula>
    </cfRule>
  </conditionalFormatting>
  <conditionalFormatting sqref="BI4:CD23">
    <cfRule type="expression" dxfId="26" priority="2" stopIfTrue="1">
      <formula>IF($BY4&lt;&gt;"",1,0)</formula>
    </cfRule>
  </conditionalFormatting>
  <conditionalFormatting sqref="A1:A1048576">
    <cfRule type="expression" dxfId="25" priority="38432">
      <formula>AND(G1="P",F1="")</formula>
    </cfRule>
  </conditionalFormatting>
  <conditionalFormatting sqref="H1:H1048576">
    <cfRule type="containsText" dxfId="24" priority="5" operator="containsText" text="No DD">
      <formula>NOT(ISERROR(SEARCH("No DD",H1)))</formula>
    </cfRule>
    <cfRule type="containsText" dxfId="23" priority="6" operator="containsText" text="Merit">
      <formula>NOT(ISERROR(SEARCH("Merit",H1)))</formula>
    </cfRule>
    <cfRule type="containsText" dxfId="22" priority="26" operator="containsText" text="Excellence">
      <formula>NOT(ISERROR(SEARCH("Excellence",H1)))</formula>
    </cfRule>
    <cfRule type="containsText" dxfId="21" priority="27" operator="containsText" text="Worlds Team">
      <formula>NOT(ISERROR(SEARCH("Worlds Team",H1)))</formula>
    </cfRule>
    <cfRule type="containsText" dxfId="20" priority="28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36" t="s">
        <v>1</v>
      </c>
      <c r="B1" s="136" t="s">
        <v>41</v>
      </c>
      <c r="C1" s="136" t="s">
        <v>0</v>
      </c>
      <c r="D1" s="136" t="s">
        <v>90</v>
      </c>
      <c r="E1" s="136" t="s">
        <v>2</v>
      </c>
      <c r="F1" s="144" t="s">
        <v>106</v>
      </c>
      <c r="G1" s="144" t="s">
        <v>15</v>
      </c>
      <c r="H1" s="136" t="s">
        <v>16</v>
      </c>
      <c r="I1" s="144" t="s">
        <v>177</v>
      </c>
      <c r="J1" s="150" t="s">
        <v>17</v>
      </c>
      <c r="K1" s="141" t="s">
        <v>55</v>
      </c>
      <c r="L1" s="150" t="s">
        <v>192</v>
      </c>
      <c r="M1" s="141" t="s">
        <v>55</v>
      </c>
      <c r="N1" s="140" t="s">
        <v>21</v>
      </c>
      <c r="O1" s="141" t="s">
        <v>56</v>
      </c>
      <c r="P1" s="141" t="s">
        <v>55</v>
      </c>
      <c r="Q1" s="137" t="s">
        <v>125</v>
      </c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9" t="s">
        <v>157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7" t="s">
        <v>179</v>
      </c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42" t="s">
        <v>105</v>
      </c>
      <c r="CF1" s="142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8"/>
      <c r="DX1" s="148"/>
      <c r="DY1" s="148"/>
      <c r="DZ1" s="148"/>
      <c r="EA1" s="148"/>
      <c r="EB1" s="148"/>
      <c r="EC1" s="148"/>
      <c r="ED1" s="148"/>
      <c r="EE1" s="148"/>
      <c r="EF1" s="148"/>
      <c r="EG1" s="148"/>
      <c r="EH1" s="148"/>
      <c r="EI1" s="148"/>
      <c r="EJ1" s="148"/>
      <c r="EK1" s="148"/>
      <c r="EL1" s="148"/>
      <c r="EM1" s="148"/>
      <c r="EN1" s="148"/>
      <c r="EO1" s="148"/>
      <c r="EP1" s="148"/>
      <c r="EQ1" s="148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48"/>
      <c r="FN1" s="148"/>
      <c r="FO1" s="148"/>
      <c r="FP1" s="148"/>
      <c r="FQ1" s="148"/>
      <c r="FR1" s="148"/>
      <c r="FS1" s="148"/>
      <c r="FT1" s="148"/>
      <c r="FU1" s="148"/>
      <c r="FV1" s="148"/>
      <c r="FW1" s="148"/>
      <c r="FX1" s="148"/>
      <c r="FY1" s="148"/>
      <c r="FZ1" s="148"/>
      <c r="GA1" s="148"/>
      <c r="GB1" s="148"/>
      <c r="GC1" s="148"/>
      <c r="GD1" s="148"/>
      <c r="GE1" s="148"/>
      <c r="GF1" s="148"/>
      <c r="GG1" s="148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48"/>
      <c r="HD1" s="148"/>
      <c r="HE1" s="148"/>
      <c r="HF1" s="148"/>
      <c r="HG1" s="148"/>
      <c r="HH1" s="148"/>
      <c r="HI1" s="148"/>
      <c r="HJ1" s="148"/>
      <c r="HK1" s="148"/>
      <c r="HL1" s="148"/>
      <c r="HM1" s="148"/>
      <c r="HN1" s="148"/>
      <c r="HO1" s="148"/>
      <c r="HP1" s="148"/>
      <c r="HQ1" s="148"/>
      <c r="HR1" s="148"/>
      <c r="HS1" s="148"/>
      <c r="HT1" s="148"/>
      <c r="HU1" s="148"/>
      <c r="HV1" s="148"/>
      <c r="HW1" s="148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8"/>
      <c r="JM1" s="148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48"/>
      <c r="KJ1" s="148"/>
      <c r="KK1" s="148"/>
      <c r="KL1" s="148"/>
      <c r="KM1" s="148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8"/>
      <c r="KZ1" s="148"/>
      <c r="LA1" s="148"/>
      <c r="LB1" s="148"/>
      <c r="LC1" s="148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7" t="s">
        <v>110</v>
      </c>
      <c r="LZ1" s="137"/>
      <c r="MA1" s="137"/>
      <c r="MB1" s="137"/>
      <c r="MC1" s="137"/>
      <c r="MD1" s="137"/>
      <c r="ME1" s="137"/>
      <c r="MF1" s="137"/>
      <c r="MG1" s="137"/>
      <c r="MH1" s="137"/>
      <c r="MI1" s="137"/>
      <c r="MJ1" s="137"/>
      <c r="MK1" s="137"/>
      <c r="ML1" s="137"/>
      <c r="MM1" s="137"/>
      <c r="MN1" s="137"/>
      <c r="MO1" s="137"/>
      <c r="MP1" s="137"/>
      <c r="MQ1" s="137"/>
      <c r="MR1" s="137"/>
      <c r="MS1" s="137"/>
      <c r="MT1" s="137"/>
    </row>
    <row r="2" spans="1:358" x14ac:dyDescent="0.2">
      <c r="A2" s="136"/>
      <c r="B2" s="136"/>
      <c r="C2" s="136"/>
      <c r="D2" s="136"/>
      <c r="E2" s="136"/>
      <c r="F2" s="144"/>
      <c r="G2" s="144"/>
      <c r="H2" s="136"/>
      <c r="I2" s="144"/>
      <c r="J2" s="150"/>
      <c r="K2" s="141"/>
      <c r="L2" s="150"/>
      <c r="M2" s="141"/>
      <c r="N2" s="140"/>
      <c r="O2" s="141"/>
      <c r="P2" s="141"/>
      <c r="Q2" s="135" t="s">
        <v>43</v>
      </c>
      <c r="R2" s="135"/>
      <c r="S2" s="135"/>
      <c r="T2" s="135"/>
      <c r="U2" s="135" t="s">
        <v>46</v>
      </c>
      <c r="V2" s="135"/>
      <c r="W2" s="135"/>
      <c r="X2" s="135"/>
      <c r="Y2" s="135" t="s">
        <v>47</v>
      </c>
      <c r="Z2" s="135"/>
      <c r="AA2" s="135"/>
      <c r="AB2" s="135"/>
      <c r="AC2" s="143" t="s">
        <v>48</v>
      </c>
      <c r="AD2" s="143"/>
      <c r="AE2" s="143"/>
      <c r="AF2" s="143"/>
      <c r="AG2" s="84"/>
      <c r="AH2" s="87" t="s">
        <v>32</v>
      </c>
      <c r="AI2" s="9" t="s">
        <v>31</v>
      </c>
      <c r="AJ2" s="109" t="s">
        <v>123</v>
      </c>
      <c r="AK2" s="9" t="s">
        <v>30</v>
      </c>
      <c r="AL2" s="9" t="s">
        <v>25</v>
      </c>
      <c r="AM2" s="138" t="s">
        <v>43</v>
      </c>
      <c r="AN2" s="138"/>
      <c r="AO2" s="138"/>
      <c r="AP2" s="138"/>
      <c r="AQ2" s="138" t="s">
        <v>46</v>
      </c>
      <c r="AR2" s="138"/>
      <c r="AS2" s="138"/>
      <c r="AT2" s="138"/>
      <c r="AU2" s="138" t="s">
        <v>47</v>
      </c>
      <c r="AV2" s="138"/>
      <c r="AW2" s="138"/>
      <c r="AX2" s="138"/>
      <c r="AY2" s="147" t="s">
        <v>48</v>
      </c>
      <c r="AZ2" s="147"/>
      <c r="BA2" s="147"/>
      <c r="BB2" s="147"/>
      <c r="BC2" s="83"/>
      <c r="BD2" s="88" t="s">
        <v>32</v>
      </c>
      <c r="BE2" s="12" t="s">
        <v>31</v>
      </c>
      <c r="BF2" s="110" t="s">
        <v>123</v>
      </c>
      <c r="BG2" s="12" t="s">
        <v>30</v>
      </c>
      <c r="BH2" s="12" t="s">
        <v>25</v>
      </c>
      <c r="BI2" s="135" t="s">
        <v>43</v>
      </c>
      <c r="BJ2" s="135"/>
      <c r="BK2" s="135"/>
      <c r="BL2" s="135"/>
      <c r="BM2" s="135" t="s">
        <v>46</v>
      </c>
      <c r="BN2" s="135"/>
      <c r="BO2" s="135"/>
      <c r="BP2" s="135"/>
      <c r="BQ2" s="135" t="s">
        <v>47</v>
      </c>
      <c r="BR2" s="135"/>
      <c r="BS2" s="135"/>
      <c r="BT2" s="135"/>
      <c r="BU2" s="143" t="s">
        <v>48</v>
      </c>
      <c r="BV2" s="143"/>
      <c r="BW2" s="143"/>
      <c r="BX2" s="143"/>
      <c r="BY2" s="109"/>
      <c r="BZ2" s="109" t="s">
        <v>32</v>
      </c>
      <c r="CA2" s="9" t="s">
        <v>31</v>
      </c>
      <c r="CB2" s="109" t="s">
        <v>123</v>
      </c>
      <c r="CC2" s="9" t="s">
        <v>30</v>
      </c>
      <c r="CD2" s="9" t="s">
        <v>25</v>
      </c>
      <c r="CE2" s="22" t="s">
        <v>31</v>
      </c>
      <c r="CF2" s="22" t="s">
        <v>108</v>
      </c>
      <c r="CG2" s="135" t="s">
        <v>43</v>
      </c>
      <c r="CH2" s="135"/>
      <c r="CI2" s="135"/>
      <c r="CJ2" s="135"/>
      <c r="CK2" s="135" t="s">
        <v>46</v>
      </c>
      <c r="CL2" s="135"/>
      <c r="CM2" s="135"/>
      <c r="CN2" s="135"/>
      <c r="CO2" s="135" t="s">
        <v>47</v>
      </c>
      <c r="CP2" s="135"/>
      <c r="CQ2" s="135"/>
      <c r="CR2" s="135"/>
      <c r="CS2" s="143" t="s">
        <v>48</v>
      </c>
      <c r="CT2" s="143"/>
      <c r="CU2" s="143"/>
      <c r="CV2" s="143"/>
      <c r="CW2" s="87" t="s">
        <v>32</v>
      </c>
      <c r="CX2" s="9" t="s">
        <v>31</v>
      </c>
      <c r="CY2" s="109" t="s">
        <v>123</v>
      </c>
      <c r="CZ2" s="9" t="s">
        <v>30</v>
      </c>
      <c r="DA2" s="9" t="s">
        <v>25</v>
      </c>
      <c r="DB2" s="147" t="s">
        <v>43</v>
      </c>
      <c r="DC2" s="147"/>
      <c r="DD2" s="147"/>
      <c r="DE2" s="147"/>
      <c r="DF2" s="147" t="s">
        <v>46</v>
      </c>
      <c r="DG2" s="147"/>
      <c r="DH2" s="147"/>
      <c r="DI2" s="147"/>
      <c r="DJ2" s="147" t="s">
        <v>47</v>
      </c>
      <c r="DK2" s="147"/>
      <c r="DL2" s="147"/>
      <c r="DM2" s="147"/>
      <c r="DN2" s="147" t="s">
        <v>48</v>
      </c>
      <c r="DO2" s="147"/>
      <c r="DP2" s="147"/>
      <c r="DQ2" s="147"/>
      <c r="DR2" s="88" t="s">
        <v>32</v>
      </c>
      <c r="DS2" s="16" t="s">
        <v>31</v>
      </c>
      <c r="DT2" s="110" t="s">
        <v>123</v>
      </c>
      <c r="DU2" s="16" t="s">
        <v>30</v>
      </c>
      <c r="DV2" s="16" t="s">
        <v>25</v>
      </c>
      <c r="DW2" s="143" t="s">
        <v>43</v>
      </c>
      <c r="DX2" s="143"/>
      <c r="DY2" s="143"/>
      <c r="DZ2" s="143"/>
      <c r="EA2" s="143" t="s">
        <v>46</v>
      </c>
      <c r="EB2" s="143"/>
      <c r="EC2" s="143"/>
      <c r="ED2" s="143"/>
      <c r="EE2" s="143" t="s">
        <v>47</v>
      </c>
      <c r="EF2" s="143"/>
      <c r="EG2" s="143"/>
      <c r="EH2" s="143"/>
      <c r="EI2" s="143" t="s">
        <v>48</v>
      </c>
      <c r="EJ2" s="143"/>
      <c r="EK2" s="143"/>
      <c r="EL2" s="143"/>
      <c r="EM2" s="87" t="s">
        <v>32</v>
      </c>
      <c r="EN2" s="17" t="s">
        <v>31</v>
      </c>
      <c r="EO2" s="109" t="s">
        <v>123</v>
      </c>
      <c r="EP2" s="17" t="s">
        <v>30</v>
      </c>
      <c r="EQ2" s="17" t="s">
        <v>25</v>
      </c>
      <c r="ER2" s="147" t="s">
        <v>43</v>
      </c>
      <c r="ES2" s="147"/>
      <c r="ET2" s="147"/>
      <c r="EU2" s="147"/>
      <c r="EV2" s="147" t="s">
        <v>46</v>
      </c>
      <c r="EW2" s="147"/>
      <c r="EX2" s="147"/>
      <c r="EY2" s="147"/>
      <c r="EZ2" s="147" t="s">
        <v>47</v>
      </c>
      <c r="FA2" s="147"/>
      <c r="FB2" s="147"/>
      <c r="FC2" s="147"/>
      <c r="FD2" s="147" t="s">
        <v>48</v>
      </c>
      <c r="FE2" s="147"/>
      <c r="FF2" s="147"/>
      <c r="FG2" s="147"/>
      <c r="FH2" s="88" t="s">
        <v>32</v>
      </c>
      <c r="FI2" s="16" t="s">
        <v>31</v>
      </c>
      <c r="FJ2" s="110" t="s">
        <v>123</v>
      </c>
      <c r="FK2" s="16" t="s">
        <v>30</v>
      </c>
      <c r="FL2" s="16" t="s">
        <v>25</v>
      </c>
      <c r="FM2" s="143" t="s">
        <v>43</v>
      </c>
      <c r="FN2" s="143"/>
      <c r="FO2" s="143"/>
      <c r="FP2" s="143"/>
      <c r="FQ2" s="143" t="s">
        <v>46</v>
      </c>
      <c r="FR2" s="143"/>
      <c r="FS2" s="143"/>
      <c r="FT2" s="143"/>
      <c r="FU2" s="143" t="s">
        <v>47</v>
      </c>
      <c r="FV2" s="143"/>
      <c r="FW2" s="143"/>
      <c r="FX2" s="143"/>
      <c r="FY2" s="143" t="s">
        <v>48</v>
      </c>
      <c r="FZ2" s="143"/>
      <c r="GA2" s="143"/>
      <c r="GB2" s="143"/>
      <c r="GC2" s="87" t="s">
        <v>32</v>
      </c>
      <c r="GD2" s="17" t="s">
        <v>31</v>
      </c>
      <c r="GE2" s="109" t="s">
        <v>123</v>
      </c>
      <c r="GF2" s="17" t="s">
        <v>30</v>
      </c>
      <c r="GG2" s="17" t="s">
        <v>25</v>
      </c>
      <c r="GH2" s="147" t="s">
        <v>43</v>
      </c>
      <c r="GI2" s="147"/>
      <c r="GJ2" s="147"/>
      <c r="GK2" s="147"/>
      <c r="GL2" s="147" t="s">
        <v>46</v>
      </c>
      <c r="GM2" s="147"/>
      <c r="GN2" s="147"/>
      <c r="GO2" s="147"/>
      <c r="GP2" s="147" t="s">
        <v>47</v>
      </c>
      <c r="GQ2" s="147"/>
      <c r="GR2" s="147"/>
      <c r="GS2" s="147"/>
      <c r="GT2" s="147" t="s">
        <v>48</v>
      </c>
      <c r="GU2" s="147"/>
      <c r="GV2" s="147"/>
      <c r="GW2" s="147"/>
      <c r="GX2" s="88" t="s">
        <v>32</v>
      </c>
      <c r="GY2" s="16" t="s">
        <v>31</v>
      </c>
      <c r="GZ2" s="110" t="s">
        <v>123</v>
      </c>
      <c r="HA2" s="16" t="s">
        <v>30</v>
      </c>
      <c r="HB2" s="16" t="s">
        <v>25</v>
      </c>
      <c r="HC2" s="143" t="s">
        <v>43</v>
      </c>
      <c r="HD2" s="143"/>
      <c r="HE2" s="143"/>
      <c r="HF2" s="143"/>
      <c r="HG2" s="143" t="s">
        <v>46</v>
      </c>
      <c r="HH2" s="143"/>
      <c r="HI2" s="143"/>
      <c r="HJ2" s="143"/>
      <c r="HK2" s="143" t="s">
        <v>47</v>
      </c>
      <c r="HL2" s="143"/>
      <c r="HM2" s="143"/>
      <c r="HN2" s="143"/>
      <c r="HO2" s="143" t="s">
        <v>48</v>
      </c>
      <c r="HP2" s="143"/>
      <c r="HQ2" s="143"/>
      <c r="HR2" s="143"/>
      <c r="HS2" s="87" t="s">
        <v>32</v>
      </c>
      <c r="HT2" s="17" t="s">
        <v>31</v>
      </c>
      <c r="HU2" s="109" t="s">
        <v>123</v>
      </c>
      <c r="HV2" s="17" t="s">
        <v>30</v>
      </c>
      <c r="HW2" s="17" t="s">
        <v>25</v>
      </c>
      <c r="HX2" s="147" t="s">
        <v>43</v>
      </c>
      <c r="HY2" s="147"/>
      <c r="HZ2" s="147"/>
      <c r="IA2" s="147"/>
      <c r="IB2" s="147" t="s">
        <v>46</v>
      </c>
      <c r="IC2" s="147"/>
      <c r="ID2" s="147"/>
      <c r="IE2" s="147"/>
      <c r="IF2" s="147" t="s">
        <v>47</v>
      </c>
      <c r="IG2" s="147"/>
      <c r="IH2" s="147"/>
      <c r="II2" s="147"/>
      <c r="IJ2" s="147" t="s">
        <v>48</v>
      </c>
      <c r="IK2" s="147"/>
      <c r="IL2" s="147"/>
      <c r="IM2" s="147"/>
      <c r="IN2" s="88" t="s">
        <v>32</v>
      </c>
      <c r="IO2" s="16" t="s">
        <v>31</v>
      </c>
      <c r="IP2" s="110" t="s">
        <v>123</v>
      </c>
      <c r="IQ2" s="16" t="s">
        <v>30</v>
      </c>
      <c r="IR2" s="16" t="s">
        <v>25</v>
      </c>
      <c r="IS2" s="143" t="s">
        <v>43</v>
      </c>
      <c r="IT2" s="143"/>
      <c r="IU2" s="143"/>
      <c r="IV2" s="143"/>
      <c r="IW2" s="143" t="s">
        <v>46</v>
      </c>
      <c r="IX2" s="143"/>
      <c r="IY2" s="143"/>
      <c r="IZ2" s="143"/>
      <c r="JA2" s="143" t="s">
        <v>47</v>
      </c>
      <c r="JB2" s="143"/>
      <c r="JC2" s="143"/>
      <c r="JD2" s="143"/>
      <c r="JE2" s="143" t="s">
        <v>48</v>
      </c>
      <c r="JF2" s="143"/>
      <c r="JG2" s="143"/>
      <c r="JH2" s="143"/>
      <c r="JI2" s="87" t="s">
        <v>32</v>
      </c>
      <c r="JJ2" s="17" t="s">
        <v>31</v>
      </c>
      <c r="JK2" s="109" t="s">
        <v>123</v>
      </c>
      <c r="JL2" s="17" t="s">
        <v>30</v>
      </c>
      <c r="JM2" s="17" t="s">
        <v>25</v>
      </c>
      <c r="JN2" s="147" t="s">
        <v>43</v>
      </c>
      <c r="JO2" s="147"/>
      <c r="JP2" s="147"/>
      <c r="JQ2" s="147"/>
      <c r="JR2" s="147" t="s">
        <v>46</v>
      </c>
      <c r="JS2" s="147"/>
      <c r="JT2" s="147"/>
      <c r="JU2" s="147"/>
      <c r="JV2" s="147" t="s">
        <v>47</v>
      </c>
      <c r="JW2" s="147"/>
      <c r="JX2" s="147"/>
      <c r="JY2" s="147"/>
      <c r="JZ2" s="147" t="s">
        <v>48</v>
      </c>
      <c r="KA2" s="147"/>
      <c r="KB2" s="147"/>
      <c r="KC2" s="147"/>
      <c r="KD2" s="88" t="s">
        <v>32</v>
      </c>
      <c r="KE2" s="16" t="s">
        <v>31</v>
      </c>
      <c r="KF2" s="110" t="s">
        <v>123</v>
      </c>
      <c r="KG2" s="16" t="s">
        <v>30</v>
      </c>
      <c r="KH2" s="16" t="s">
        <v>25</v>
      </c>
      <c r="KI2" s="143" t="s">
        <v>43</v>
      </c>
      <c r="KJ2" s="143"/>
      <c r="KK2" s="143"/>
      <c r="KL2" s="143"/>
      <c r="KM2" s="143" t="s">
        <v>46</v>
      </c>
      <c r="KN2" s="143"/>
      <c r="KO2" s="143"/>
      <c r="KP2" s="143"/>
      <c r="KQ2" s="143" t="s">
        <v>47</v>
      </c>
      <c r="KR2" s="143"/>
      <c r="KS2" s="143"/>
      <c r="KT2" s="143"/>
      <c r="KU2" s="143" t="s">
        <v>48</v>
      </c>
      <c r="KV2" s="143"/>
      <c r="KW2" s="143"/>
      <c r="KX2" s="143"/>
      <c r="KY2" s="87" t="s">
        <v>32</v>
      </c>
      <c r="KZ2" s="17" t="s">
        <v>31</v>
      </c>
      <c r="LA2" s="109" t="s">
        <v>123</v>
      </c>
      <c r="LB2" s="17" t="s">
        <v>30</v>
      </c>
      <c r="LC2" s="17" t="s">
        <v>25</v>
      </c>
      <c r="LD2" s="147" t="s">
        <v>43</v>
      </c>
      <c r="LE2" s="147"/>
      <c r="LF2" s="147"/>
      <c r="LG2" s="147"/>
      <c r="LH2" s="147" t="s">
        <v>46</v>
      </c>
      <c r="LI2" s="147"/>
      <c r="LJ2" s="147"/>
      <c r="LK2" s="147"/>
      <c r="LL2" s="147" t="s">
        <v>47</v>
      </c>
      <c r="LM2" s="147"/>
      <c r="LN2" s="147"/>
      <c r="LO2" s="147"/>
      <c r="LP2" s="147" t="s">
        <v>48</v>
      </c>
      <c r="LQ2" s="147"/>
      <c r="LR2" s="147"/>
      <c r="LS2" s="147"/>
      <c r="LT2" s="88" t="s">
        <v>32</v>
      </c>
      <c r="LU2" s="16" t="s">
        <v>31</v>
      </c>
      <c r="LV2" s="110" t="s">
        <v>123</v>
      </c>
      <c r="LW2" s="16" t="s">
        <v>30</v>
      </c>
      <c r="LX2" s="16" t="s">
        <v>25</v>
      </c>
      <c r="LY2" s="135" t="s">
        <v>43</v>
      </c>
      <c r="LZ2" s="135"/>
      <c r="MA2" s="135"/>
      <c r="MB2" s="135"/>
      <c r="MC2" s="135" t="s">
        <v>46</v>
      </c>
      <c r="MD2" s="135"/>
      <c r="ME2" s="135"/>
      <c r="MF2" s="135"/>
      <c r="MG2" s="135" t="s">
        <v>47</v>
      </c>
      <c r="MH2" s="135"/>
      <c r="MI2" s="135"/>
      <c r="MJ2" s="135"/>
      <c r="MK2" s="143" t="s">
        <v>48</v>
      </c>
      <c r="ML2" s="143"/>
      <c r="MM2" s="143"/>
      <c r="MN2" s="143"/>
      <c r="MO2" s="102"/>
      <c r="MP2" s="102" t="s">
        <v>32</v>
      </c>
      <c r="MQ2" s="9" t="s">
        <v>31</v>
      </c>
      <c r="MR2" s="102" t="s">
        <v>123</v>
      </c>
      <c r="MS2" s="9" t="s">
        <v>30</v>
      </c>
      <c r="MT2" s="9" t="s">
        <v>25</v>
      </c>
    </row>
    <row r="3" spans="1:358" x14ac:dyDescent="0.2">
      <c r="A3" s="136"/>
      <c r="B3" s="136"/>
      <c r="C3" s="136"/>
      <c r="D3" s="136"/>
      <c r="E3" s="136"/>
      <c r="F3" s="144"/>
      <c r="G3" s="144"/>
      <c r="H3" s="136"/>
      <c r="I3" s="144"/>
      <c r="J3" s="150"/>
      <c r="K3" s="141"/>
      <c r="L3" s="150"/>
      <c r="M3" s="141"/>
      <c r="N3" s="140"/>
      <c r="O3" s="141"/>
      <c r="P3" s="141"/>
      <c r="Q3" s="84" t="s">
        <v>22</v>
      </c>
      <c r="R3" s="84" t="s">
        <v>14</v>
      </c>
      <c r="S3" s="84" t="s">
        <v>44</v>
      </c>
      <c r="T3" s="84" t="s">
        <v>45</v>
      </c>
      <c r="U3" s="84" t="s">
        <v>22</v>
      </c>
      <c r="V3" s="84" t="s">
        <v>14</v>
      </c>
      <c r="W3" s="84" t="s">
        <v>44</v>
      </c>
      <c r="X3" s="84" t="s">
        <v>45</v>
      </c>
      <c r="Y3" s="84" t="s">
        <v>22</v>
      </c>
      <c r="Z3" s="84" t="s">
        <v>14</v>
      </c>
      <c r="AA3" s="84" t="s">
        <v>44</v>
      </c>
      <c r="AB3" s="84" t="s">
        <v>45</v>
      </c>
      <c r="AC3" s="85" t="s">
        <v>22</v>
      </c>
      <c r="AD3" s="85" t="s">
        <v>14</v>
      </c>
      <c r="AE3" s="85" t="s">
        <v>44</v>
      </c>
      <c r="AF3" s="85" t="s">
        <v>45</v>
      </c>
      <c r="AG3" s="84" t="s">
        <v>87</v>
      </c>
      <c r="AH3" s="10"/>
      <c r="AI3" s="9"/>
      <c r="AJ3" s="10"/>
      <c r="AK3" s="10"/>
      <c r="AL3" s="10"/>
      <c r="AM3" s="83" t="s">
        <v>22</v>
      </c>
      <c r="AN3" s="83" t="s">
        <v>14</v>
      </c>
      <c r="AO3" s="83" t="s">
        <v>44</v>
      </c>
      <c r="AP3" s="83" t="s">
        <v>45</v>
      </c>
      <c r="AQ3" s="83" t="s">
        <v>22</v>
      </c>
      <c r="AR3" s="83" t="s">
        <v>14</v>
      </c>
      <c r="AS3" s="83" t="s">
        <v>44</v>
      </c>
      <c r="AT3" s="83" t="s">
        <v>45</v>
      </c>
      <c r="AU3" s="83" t="s">
        <v>22</v>
      </c>
      <c r="AV3" s="83" t="s">
        <v>14</v>
      </c>
      <c r="AW3" s="83" t="s">
        <v>44</v>
      </c>
      <c r="AX3" s="83" t="s">
        <v>45</v>
      </c>
      <c r="AY3" s="86" t="s">
        <v>22</v>
      </c>
      <c r="AZ3" s="86" t="s">
        <v>14</v>
      </c>
      <c r="BA3" s="86" t="s">
        <v>44</v>
      </c>
      <c r="BB3" s="86" t="s">
        <v>45</v>
      </c>
      <c r="BC3" s="83" t="s">
        <v>87</v>
      </c>
      <c r="BD3" s="13"/>
      <c r="BE3" s="12"/>
      <c r="BF3" s="13"/>
      <c r="BG3" s="13"/>
      <c r="BH3" s="13"/>
      <c r="BI3" s="109" t="s">
        <v>22</v>
      </c>
      <c r="BJ3" s="109" t="s">
        <v>14</v>
      </c>
      <c r="BK3" s="109" t="s">
        <v>44</v>
      </c>
      <c r="BL3" s="109" t="s">
        <v>45</v>
      </c>
      <c r="BM3" s="109" t="s">
        <v>22</v>
      </c>
      <c r="BN3" s="109" t="s">
        <v>14</v>
      </c>
      <c r="BO3" s="109" t="s">
        <v>44</v>
      </c>
      <c r="BP3" s="109" t="s">
        <v>45</v>
      </c>
      <c r="BQ3" s="109" t="s">
        <v>22</v>
      </c>
      <c r="BR3" s="109" t="s">
        <v>14</v>
      </c>
      <c r="BS3" s="109" t="s">
        <v>44</v>
      </c>
      <c r="BT3" s="109" t="s">
        <v>45</v>
      </c>
      <c r="BU3" s="111" t="s">
        <v>22</v>
      </c>
      <c r="BV3" s="111" t="s">
        <v>14</v>
      </c>
      <c r="BW3" s="111" t="s">
        <v>44</v>
      </c>
      <c r="BX3" s="111" t="s">
        <v>45</v>
      </c>
      <c r="BY3" s="109" t="s">
        <v>87</v>
      </c>
      <c r="BZ3" s="10"/>
      <c r="CA3" s="9"/>
      <c r="CB3" s="10"/>
      <c r="CC3" s="10"/>
      <c r="CD3" s="10"/>
      <c r="CE3" s="23"/>
      <c r="CF3" s="23"/>
      <c r="CG3" s="84" t="s">
        <v>22</v>
      </c>
      <c r="CH3" s="84" t="s">
        <v>14</v>
      </c>
      <c r="CI3" s="84" t="s">
        <v>44</v>
      </c>
      <c r="CJ3" s="84" t="s">
        <v>45</v>
      </c>
      <c r="CK3" s="84" t="s">
        <v>22</v>
      </c>
      <c r="CL3" s="84" t="s">
        <v>14</v>
      </c>
      <c r="CM3" s="84" t="s">
        <v>44</v>
      </c>
      <c r="CN3" s="84" t="s">
        <v>45</v>
      </c>
      <c r="CO3" s="84" t="s">
        <v>22</v>
      </c>
      <c r="CP3" s="84" t="s">
        <v>14</v>
      </c>
      <c r="CQ3" s="84" t="s">
        <v>44</v>
      </c>
      <c r="CR3" s="84" t="s">
        <v>45</v>
      </c>
      <c r="CS3" s="85" t="s">
        <v>22</v>
      </c>
      <c r="CT3" s="85" t="s">
        <v>14</v>
      </c>
      <c r="CU3" s="85" t="s">
        <v>44</v>
      </c>
      <c r="CV3" s="85" t="s">
        <v>45</v>
      </c>
      <c r="CW3" s="10"/>
      <c r="CX3" s="9"/>
      <c r="CY3" s="10"/>
      <c r="CZ3" s="10"/>
      <c r="DA3" s="10"/>
      <c r="DB3" s="86" t="s">
        <v>22</v>
      </c>
      <c r="DC3" s="86" t="s">
        <v>14</v>
      </c>
      <c r="DD3" s="86" t="s">
        <v>44</v>
      </c>
      <c r="DE3" s="86" t="s">
        <v>45</v>
      </c>
      <c r="DF3" s="86" t="s">
        <v>22</v>
      </c>
      <c r="DG3" s="86" t="s">
        <v>14</v>
      </c>
      <c r="DH3" s="86" t="s">
        <v>44</v>
      </c>
      <c r="DI3" s="86" t="s">
        <v>45</v>
      </c>
      <c r="DJ3" s="86" t="s">
        <v>22</v>
      </c>
      <c r="DK3" s="86" t="s">
        <v>14</v>
      </c>
      <c r="DL3" s="86" t="s">
        <v>44</v>
      </c>
      <c r="DM3" s="86" t="s">
        <v>45</v>
      </c>
      <c r="DN3" s="86" t="s">
        <v>22</v>
      </c>
      <c r="DO3" s="86" t="s">
        <v>14</v>
      </c>
      <c r="DP3" s="86" t="s">
        <v>44</v>
      </c>
      <c r="DQ3" s="86" t="s">
        <v>45</v>
      </c>
      <c r="DR3" s="13"/>
      <c r="DS3" s="16"/>
      <c r="DT3" s="13"/>
      <c r="DU3" s="16"/>
      <c r="DV3" s="16"/>
      <c r="DW3" s="85" t="s">
        <v>22</v>
      </c>
      <c r="DX3" s="85" t="s">
        <v>14</v>
      </c>
      <c r="DY3" s="85" t="s">
        <v>44</v>
      </c>
      <c r="DZ3" s="85" t="s">
        <v>45</v>
      </c>
      <c r="EA3" s="85" t="s">
        <v>22</v>
      </c>
      <c r="EB3" s="85" t="s">
        <v>14</v>
      </c>
      <c r="EC3" s="85" t="s">
        <v>44</v>
      </c>
      <c r="ED3" s="85" t="s">
        <v>45</v>
      </c>
      <c r="EE3" s="85" t="s">
        <v>22</v>
      </c>
      <c r="EF3" s="85" t="s">
        <v>14</v>
      </c>
      <c r="EG3" s="85" t="s">
        <v>44</v>
      </c>
      <c r="EH3" s="85" t="s">
        <v>45</v>
      </c>
      <c r="EI3" s="85" t="s">
        <v>22</v>
      </c>
      <c r="EJ3" s="85" t="s">
        <v>14</v>
      </c>
      <c r="EK3" s="85" t="s">
        <v>44</v>
      </c>
      <c r="EL3" s="85" t="s">
        <v>45</v>
      </c>
      <c r="EM3" s="10"/>
      <c r="EN3" s="17"/>
      <c r="EO3" s="10"/>
      <c r="EP3" s="17"/>
      <c r="EQ3" s="17"/>
      <c r="ER3" s="86" t="s">
        <v>22</v>
      </c>
      <c r="ES3" s="86" t="s">
        <v>14</v>
      </c>
      <c r="ET3" s="86" t="s">
        <v>44</v>
      </c>
      <c r="EU3" s="86" t="s">
        <v>45</v>
      </c>
      <c r="EV3" s="86" t="s">
        <v>22</v>
      </c>
      <c r="EW3" s="86" t="s">
        <v>14</v>
      </c>
      <c r="EX3" s="86" t="s">
        <v>44</v>
      </c>
      <c r="EY3" s="86" t="s">
        <v>45</v>
      </c>
      <c r="EZ3" s="86" t="s">
        <v>22</v>
      </c>
      <c r="FA3" s="86" t="s">
        <v>14</v>
      </c>
      <c r="FB3" s="86" t="s">
        <v>44</v>
      </c>
      <c r="FC3" s="86" t="s">
        <v>45</v>
      </c>
      <c r="FD3" s="86" t="s">
        <v>22</v>
      </c>
      <c r="FE3" s="86" t="s">
        <v>14</v>
      </c>
      <c r="FF3" s="86" t="s">
        <v>44</v>
      </c>
      <c r="FG3" s="86" t="s">
        <v>45</v>
      </c>
      <c r="FH3" s="13"/>
      <c r="FI3" s="16"/>
      <c r="FJ3" s="13"/>
      <c r="FK3" s="16"/>
      <c r="FL3" s="16"/>
      <c r="FM3" s="85" t="s">
        <v>22</v>
      </c>
      <c r="FN3" s="85" t="s">
        <v>14</v>
      </c>
      <c r="FO3" s="85" t="s">
        <v>44</v>
      </c>
      <c r="FP3" s="85" t="s">
        <v>45</v>
      </c>
      <c r="FQ3" s="85" t="s">
        <v>22</v>
      </c>
      <c r="FR3" s="85" t="s">
        <v>14</v>
      </c>
      <c r="FS3" s="85" t="s">
        <v>44</v>
      </c>
      <c r="FT3" s="85" t="s">
        <v>45</v>
      </c>
      <c r="FU3" s="85" t="s">
        <v>22</v>
      </c>
      <c r="FV3" s="85" t="s">
        <v>14</v>
      </c>
      <c r="FW3" s="85" t="s">
        <v>44</v>
      </c>
      <c r="FX3" s="85" t="s">
        <v>45</v>
      </c>
      <c r="FY3" s="85" t="s">
        <v>22</v>
      </c>
      <c r="FZ3" s="85" t="s">
        <v>14</v>
      </c>
      <c r="GA3" s="85" t="s">
        <v>44</v>
      </c>
      <c r="GB3" s="85" t="s">
        <v>45</v>
      </c>
      <c r="GC3" s="10"/>
      <c r="GD3" s="17"/>
      <c r="GE3" s="10"/>
      <c r="GF3" s="17"/>
      <c r="GG3" s="17"/>
      <c r="GH3" s="86" t="s">
        <v>22</v>
      </c>
      <c r="GI3" s="86" t="s">
        <v>14</v>
      </c>
      <c r="GJ3" s="86" t="s">
        <v>44</v>
      </c>
      <c r="GK3" s="86" t="s">
        <v>45</v>
      </c>
      <c r="GL3" s="86" t="s">
        <v>22</v>
      </c>
      <c r="GM3" s="86" t="s">
        <v>14</v>
      </c>
      <c r="GN3" s="86" t="s">
        <v>44</v>
      </c>
      <c r="GO3" s="86" t="s">
        <v>45</v>
      </c>
      <c r="GP3" s="86" t="s">
        <v>22</v>
      </c>
      <c r="GQ3" s="86" t="s">
        <v>14</v>
      </c>
      <c r="GR3" s="86" t="s">
        <v>44</v>
      </c>
      <c r="GS3" s="86" t="s">
        <v>45</v>
      </c>
      <c r="GT3" s="86" t="s">
        <v>22</v>
      </c>
      <c r="GU3" s="86" t="s">
        <v>14</v>
      </c>
      <c r="GV3" s="86" t="s">
        <v>44</v>
      </c>
      <c r="GW3" s="86" t="s">
        <v>45</v>
      </c>
      <c r="GX3" s="13"/>
      <c r="GY3" s="16"/>
      <c r="GZ3" s="13"/>
      <c r="HA3" s="16"/>
      <c r="HB3" s="16"/>
      <c r="HC3" s="85" t="s">
        <v>22</v>
      </c>
      <c r="HD3" s="85" t="s">
        <v>14</v>
      </c>
      <c r="HE3" s="85" t="s">
        <v>44</v>
      </c>
      <c r="HF3" s="85" t="s">
        <v>45</v>
      </c>
      <c r="HG3" s="85" t="s">
        <v>22</v>
      </c>
      <c r="HH3" s="85" t="s">
        <v>14</v>
      </c>
      <c r="HI3" s="85" t="s">
        <v>44</v>
      </c>
      <c r="HJ3" s="85" t="s">
        <v>45</v>
      </c>
      <c r="HK3" s="85" t="s">
        <v>22</v>
      </c>
      <c r="HL3" s="85" t="s">
        <v>14</v>
      </c>
      <c r="HM3" s="85" t="s">
        <v>44</v>
      </c>
      <c r="HN3" s="85" t="s">
        <v>45</v>
      </c>
      <c r="HO3" s="85" t="s">
        <v>22</v>
      </c>
      <c r="HP3" s="85" t="s">
        <v>14</v>
      </c>
      <c r="HQ3" s="85" t="s">
        <v>44</v>
      </c>
      <c r="HR3" s="85" t="s">
        <v>45</v>
      </c>
      <c r="HS3" s="10"/>
      <c r="HT3" s="17"/>
      <c r="HU3" s="10"/>
      <c r="HV3" s="17"/>
      <c r="HW3" s="17"/>
      <c r="HX3" s="86" t="s">
        <v>22</v>
      </c>
      <c r="HY3" s="86" t="s">
        <v>14</v>
      </c>
      <c r="HZ3" s="86" t="s">
        <v>44</v>
      </c>
      <c r="IA3" s="86" t="s">
        <v>45</v>
      </c>
      <c r="IB3" s="86" t="s">
        <v>22</v>
      </c>
      <c r="IC3" s="86" t="s">
        <v>14</v>
      </c>
      <c r="ID3" s="86" t="s">
        <v>44</v>
      </c>
      <c r="IE3" s="86" t="s">
        <v>45</v>
      </c>
      <c r="IF3" s="86" t="s">
        <v>22</v>
      </c>
      <c r="IG3" s="86" t="s">
        <v>14</v>
      </c>
      <c r="IH3" s="86" t="s">
        <v>44</v>
      </c>
      <c r="II3" s="86" t="s">
        <v>45</v>
      </c>
      <c r="IJ3" s="86" t="s">
        <v>22</v>
      </c>
      <c r="IK3" s="86" t="s">
        <v>14</v>
      </c>
      <c r="IL3" s="86" t="s">
        <v>44</v>
      </c>
      <c r="IM3" s="86" t="s">
        <v>45</v>
      </c>
      <c r="IN3" s="13"/>
      <c r="IO3" s="16"/>
      <c r="IP3" s="13"/>
      <c r="IQ3" s="16"/>
      <c r="IR3" s="16"/>
      <c r="IS3" s="85" t="s">
        <v>22</v>
      </c>
      <c r="IT3" s="85" t="s">
        <v>14</v>
      </c>
      <c r="IU3" s="85" t="s">
        <v>44</v>
      </c>
      <c r="IV3" s="85" t="s">
        <v>45</v>
      </c>
      <c r="IW3" s="85" t="s">
        <v>22</v>
      </c>
      <c r="IX3" s="85" t="s">
        <v>14</v>
      </c>
      <c r="IY3" s="85" t="s">
        <v>44</v>
      </c>
      <c r="IZ3" s="85" t="s">
        <v>45</v>
      </c>
      <c r="JA3" s="85" t="s">
        <v>22</v>
      </c>
      <c r="JB3" s="85" t="s">
        <v>14</v>
      </c>
      <c r="JC3" s="85" t="s">
        <v>44</v>
      </c>
      <c r="JD3" s="85" t="s">
        <v>45</v>
      </c>
      <c r="JE3" s="85" t="s">
        <v>22</v>
      </c>
      <c r="JF3" s="85" t="s">
        <v>14</v>
      </c>
      <c r="JG3" s="85" t="s">
        <v>44</v>
      </c>
      <c r="JH3" s="85" t="s">
        <v>45</v>
      </c>
      <c r="JI3" s="10"/>
      <c r="JJ3" s="17"/>
      <c r="JK3" s="10"/>
      <c r="JL3" s="17"/>
      <c r="JM3" s="17"/>
      <c r="JN3" s="86" t="s">
        <v>22</v>
      </c>
      <c r="JO3" s="86" t="s">
        <v>14</v>
      </c>
      <c r="JP3" s="86" t="s">
        <v>44</v>
      </c>
      <c r="JQ3" s="86" t="s">
        <v>45</v>
      </c>
      <c r="JR3" s="86" t="s">
        <v>22</v>
      </c>
      <c r="JS3" s="86" t="s">
        <v>14</v>
      </c>
      <c r="JT3" s="86" t="s">
        <v>44</v>
      </c>
      <c r="JU3" s="86" t="s">
        <v>45</v>
      </c>
      <c r="JV3" s="86" t="s">
        <v>22</v>
      </c>
      <c r="JW3" s="86" t="s">
        <v>14</v>
      </c>
      <c r="JX3" s="86" t="s">
        <v>44</v>
      </c>
      <c r="JY3" s="86" t="s">
        <v>45</v>
      </c>
      <c r="JZ3" s="86" t="s">
        <v>22</v>
      </c>
      <c r="KA3" s="86" t="s">
        <v>14</v>
      </c>
      <c r="KB3" s="86" t="s">
        <v>44</v>
      </c>
      <c r="KC3" s="86" t="s">
        <v>45</v>
      </c>
      <c r="KD3" s="13"/>
      <c r="KE3" s="16"/>
      <c r="KF3" s="13"/>
      <c r="KG3" s="16"/>
      <c r="KH3" s="16"/>
      <c r="KI3" s="85" t="s">
        <v>22</v>
      </c>
      <c r="KJ3" s="85" t="s">
        <v>14</v>
      </c>
      <c r="KK3" s="85" t="s">
        <v>44</v>
      </c>
      <c r="KL3" s="85" t="s">
        <v>45</v>
      </c>
      <c r="KM3" s="85" t="s">
        <v>22</v>
      </c>
      <c r="KN3" s="85" t="s">
        <v>14</v>
      </c>
      <c r="KO3" s="85" t="s">
        <v>44</v>
      </c>
      <c r="KP3" s="85" t="s">
        <v>45</v>
      </c>
      <c r="KQ3" s="85" t="s">
        <v>22</v>
      </c>
      <c r="KR3" s="85" t="s">
        <v>14</v>
      </c>
      <c r="KS3" s="85" t="s">
        <v>44</v>
      </c>
      <c r="KT3" s="85" t="s">
        <v>45</v>
      </c>
      <c r="KU3" s="85" t="s">
        <v>22</v>
      </c>
      <c r="KV3" s="85" t="s">
        <v>14</v>
      </c>
      <c r="KW3" s="85" t="s">
        <v>44</v>
      </c>
      <c r="KX3" s="85" t="s">
        <v>45</v>
      </c>
      <c r="KY3" s="10"/>
      <c r="KZ3" s="17"/>
      <c r="LA3" s="10"/>
      <c r="LB3" s="17"/>
      <c r="LC3" s="17"/>
      <c r="LD3" s="86" t="s">
        <v>22</v>
      </c>
      <c r="LE3" s="86" t="s">
        <v>14</v>
      </c>
      <c r="LF3" s="86" t="s">
        <v>44</v>
      </c>
      <c r="LG3" s="86" t="s">
        <v>45</v>
      </c>
      <c r="LH3" s="86" t="s">
        <v>22</v>
      </c>
      <c r="LI3" s="86" t="s">
        <v>14</v>
      </c>
      <c r="LJ3" s="86" t="s">
        <v>44</v>
      </c>
      <c r="LK3" s="86" t="s">
        <v>45</v>
      </c>
      <c r="LL3" s="86" t="s">
        <v>22</v>
      </c>
      <c r="LM3" s="86" t="s">
        <v>14</v>
      </c>
      <c r="LN3" s="86" t="s">
        <v>44</v>
      </c>
      <c r="LO3" s="86" t="s">
        <v>45</v>
      </c>
      <c r="LP3" s="86" t="s">
        <v>22</v>
      </c>
      <c r="LQ3" s="86" t="s">
        <v>14</v>
      </c>
      <c r="LR3" s="86" t="s">
        <v>44</v>
      </c>
      <c r="LS3" s="86" t="s">
        <v>45</v>
      </c>
      <c r="LT3" s="13"/>
      <c r="LU3" s="16"/>
      <c r="LV3" s="13"/>
      <c r="LW3" s="16"/>
      <c r="LX3" s="16"/>
      <c r="LY3" s="102" t="s">
        <v>22</v>
      </c>
      <c r="LZ3" s="102" t="s">
        <v>14</v>
      </c>
      <c r="MA3" s="102" t="s">
        <v>44</v>
      </c>
      <c r="MB3" s="102" t="s">
        <v>45</v>
      </c>
      <c r="MC3" s="102" t="s">
        <v>22</v>
      </c>
      <c r="MD3" s="102" t="s">
        <v>14</v>
      </c>
      <c r="ME3" s="102" t="s">
        <v>44</v>
      </c>
      <c r="MF3" s="102" t="s">
        <v>45</v>
      </c>
      <c r="MG3" s="102" t="s">
        <v>22</v>
      </c>
      <c r="MH3" s="102" t="s">
        <v>14</v>
      </c>
      <c r="MI3" s="102" t="s">
        <v>44</v>
      </c>
      <c r="MJ3" s="102" t="s">
        <v>45</v>
      </c>
      <c r="MK3" s="103" t="s">
        <v>22</v>
      </c>
      <c r="ML3" s="103" t="s">
        <v>14</v>
      </c>
      <c r="MM3" s="103" t="s">
        <v>44</v>
      </c>
      <c r="MN3" s="103" t="s">
        <v>45</v>
      </c>
      <c r="MO3" s="102" t="s">
        <v>87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173</v>
      </c>
      <c r="C4" s="4" t="s">
        <v>5</v>
      </c>
      <c r="D4" s="5">
        <v>2003</v>
      </c>
      <c r="E4" s="15">
        <f>SUM(J4:N4)</f>
        <v>197.70000000000002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66.900000000000006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130.80000000000001</v>
      </c>
      <c r="M4" s="14" t="str">
        <f>IF(L4=0,"",IF(AND(J4&lt;&gt;CA4,L4=CD4),$BI$1,IF(AND(J4&lt;&gt;BE4,L4=BH4),$AM$1,IF(L4=AL4,$Q$1,""))))</f>
        <v>2021 1st Virtual Technical Trial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19.8</v>
      </c>
      <c r="R4" s="69">
        <v>2.4</v>
      </c>
      <c r="S4" s="69">
        <v>0</v>
      </c>
      <c r="T4" s="69">
        <v>0</v>
      </c>
      <c r="U4" s="69">
        <v>27.9</v>
      </c>
      <c r="V4" s="69">
        <v>5.6</v>
      </c>
      <c r="W4" s="69">
        <v>0</v>
      </c>
      <c r="X4" s="69">
        <v>0</v>
      </c>
      <c r="Y4" s="69">
        <v>27.6</v>
      </c>
      <c r="Z4" s="69">
        <v>5.6</v>
      </c>
      <c r="AA4" s="69">
        <v>0.9</v>
      </c>
      <c r="AB4" s="69">
        <v>0</v>
      </c>
      <c r="AC4" s="69">
        <v>27.9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8</v>
      </c>
      <c r="AI4" s="11">
        <f>IF(SUM(Q4:R4,T4:V4,X4)-SUM(S4,W4)&gt;0,SUM(Q4:R4,T4:V4,X4)-SUM(S4,W4),"")</f>
        <v>55.699999999999996</v>
      </c>
      <c r="AJ4" s="11">
        <f>IF(SUM(Z4,AD4)&gt;0,SUM(Z4,AD4),"")</f>
        <v>10.399999999999999</v>
      </c>
      <c r="AK4" s="11">
        <f>IF(SUM(Y4:Z4,AB4:AD4,AF4)-SUM(AA4,AE4)&gt;0,SUM(Y4:Z4,AB4:AD4,AF4)-SUM(AA4,AE4),"")</f>
        <v>65</v>
      </c>
      <c r="AL4" s="11">
        <f>IF(SUM(AI4,AK4)&gt;0,SUM(AI4,AK4),"")</f>
        <v>120.69999999999999</v>
      </c>
      <c r="AM4" s="38">
        <v>27.7</v>
      </c>
      <c r="AN4" s="38">
        <v>5.6</v>
      </c>
      <c r="AO4" s="38">
        <v>0</v>
      </c>
      <c r="AP4" s="38">
        <v>0</v>
      </c>
      <c r="AQ4" s="38">
        <v>27.1</v>
      </c>
      <c r="AR4" s="38">
        <v>6</v>
      </c>
      <c r="AS4" s="38">
        <v>0.9</v>
      </c>
      <c r="AT4" s="38">
        <v>0</v>
      </c>
      <c r="AU4" s="38">
        <v>27.3</v>
      </c>
      <c r="AV4" s="38">
        <v>5.6</v>
      </c>
      <c r="AW4" s="38">
        <v>0</v>
      </c>
      <c r="AX4" s="38">
        <v>0</v>
      </c>
      <c r="AY4" s="38">
        <v>27.6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65.5</v>
      </c>
      <c r="BF4" s="14">
        <f>IF(SUM(AV4,AZ4)&gt;0,SUM(AV4,AZ4),"")</f>
        <v>10.399999999999999</v>
      </c>
      <c r="BG4" s="14">
        <f>IF(SUM(AU4:AV4,AX4:AZ4,BB4)-SUM(AW4,BA4)&gt;0,SUM(AU4:AV4,AX4:AZ4,BB4)-SUM(AW4,BA4),"")</f>
        <v>65.3</v>
      </c>
      <c r="BH4" s="14">
        <f>IF(SUM(BE4,BG4)&gt;0,SUM(BE4,BG4),"")</f>
        <v>130.80000000000001</v>
      </c>
      <c r="BI4" s="69">
        <v>28.1</v>
      </c>
      <c r="BJ4" s="69">
        <v>5.6</v>
      </c>
      <c r="BK4" s="69">
        <v>0</v>
      </c>
      <c r="BL4" s="69">
        <v>0</v>
      </c>
      <c r="BM4" s="69">
        <v>27.5</v>
      </c>
      <c r="BN4" s="69">
        <v>6</v>
      </c>
      <c r="BO4" s="69">
        <v>0.3</v>
      </c>
      <c r="BP4" s="69">
        <v>0</v>
      </c>
      <c r="BQ4" s="69">
        <v>27</v>
      </c>
      <c r="BR4" s="69">
        <v>5.6</v>
      </c>
      <c r="BS4" s="69">
        <v>0.9</v>
      </c>
      <c r="BT4" s="69">
        <v>0</v>
      </c>
      <c r="BU4" s="69">
        <v>26.5</v>
      </c>
      <c r="BV4" s="69">
        <v>4.4000000000000004</v>
      </c>
      <c r="BW4" s="69">
        <v>0</v>
      </c>
      <c r="BX4" s="69">
        <v>0</v>
      </c>
      <c r="BY4" s="80"/>
      <c r="BZ4" s="11">
        <f>IF(SUM(BJ4,BN4)&gt;0,SUM(BJ4,BN4),"")</f>
        <v>11.6</v>
      </c>
      <c r="CA4" s="11">
        <f>IF(SUM(BI4:BJ4,BL4:BN4,BP4)-SUM(BK4,BO4)&gt;0,SUM(BI4:BJ4,BL4:BN4,BP4)-SUM(BK4,BO4),"")</f>
        <v>66.900000000000006</v>
      </c>
      <c r="CB4" s="11">
        <f>IF(SUM(BR4,BV4)&gt;0,SUM(BR4,BV4),"")</f>
        <v>10</v>
      </c>
      <c r="CC4" s="11">
        <f>IF(SUM(BQ4:BR4,BT4:BV4,BX4)-SUM(BS4,BW4)&gt;0,SUM(BQ4:BR4,BT4:BV4,BX4)-SUM(BS4,BW4),"")</f>
        <v>62.6</v>
      </c>
      <c r="CD4" s="11">
        <f>IF(SUM(CA4,CC4)&gt;0,SUM(CA4,CC4),"")</f>
        <v>129.5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5.6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27.3</v>
      </c>
      <c r="MD4" s="69">
        <f>IF($BY4="P",BN4,(BN4+AR4)/2)</f>
        <v>6</v>
      </c>
      <c r="ME4" s="69">
        <f>IF($BY4="P",BO4,(BO4+AS4)/2)</f>
        <v>0.6</v>
      </c>
      <c r="MF4" s="69">
        <f>IF($BY4="P",BP4,(BP4+AT4)/2)</f>
        <v>0</v>
      </c>
      <c r="MG4" s="69">
        <f>IF($BY4="P",BQ4,(BQ4+AU4)/2)</f>
        <v>27.15</v>
      </c>
      <c r="MH4" s="69">
        <f>IF($BY4="P",BR4,(BR4+AV4)/2)</f>
        <v>5.6</v>
      </c>
      <c r="MI4" s="69">
        <f>IF($BY4="P",BS4,(BS4+AW4)/2)</f>
        <v>0.45</v>
      </c>
      <c r="MJ4" s="69">
        <f>IF($BY4="P",BT4,(BT4+AX4)/2)</f>
        <v>0</v>
      </c>
      <c r="MK4" s="69">
        <f>IF($BY4="P",BU4,(BU4+AY4)/2)</f>
        <v>27.05</v>
      </c>
      <c r="ML4" s="69">
        <f>IF($BY4="P",BV4,(BV4+AZ4)/2)</f>
        <v>4.5999999999999996</v>
      </c>
      <c r="MM4" s="69">
        <f>IF($BY4="P",BW4,(BW4+BA4)/2)</f>
        <v>0</v>
      </c>
      <c r="MN4" s="69">
        <f>IF($BY4="P",BX4,(BX4+BB4)/2)</f>
        <v>0</v>
      </c>
      <c r="MO4" s="80" t="s">
        <v>88</v>
      </c>
      <c r="MP4" s="11">
        <f>IF(SUM(LZ4,MD4)&gt;0,SUM(LZ4,MD4),"")</f>
        <v>11.6</v>
      </c>
      <c r="MQ4" s="11">
        <f>IF(SUM(LY4:LZ4,MB4:MD4,MF4)-SUM(MA4,ME4)&gt;0,SUM(LY4:LZ4,MB4:MD4,MF4)-SUM(MA4,ME4),"")</f>
        <v>66.2</v>
      </c>
      <c r="MR4" s="11">
        <f>IF(SUM(MH4,ML4)&gt;0,SUM(MH4,ML4),"")</f>
        <v>10.199999999999999</v>
      </c>
      <c r="MS4" s="11">
        <f>IF(SUM(MG4:MH4,MJ4:ML4,MN4)-SUM(MI4,MM4)&gt;0,SUM(MG4:MH4,MJ4:ML4,MN4)-SUM(MI4,MM4),"")</f>
        <v>63.949999999999989</v>
      </c>
      <c r="MT4" s="11">
        <f>IF(SUM(MQ4,MS4)&gt;0,SUM(MQ4,MS4),"")</f>
        <v>130.14999999999998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174</v>
      </c>
      <c r="C5" s="4" t="s">
        <v>6</v>
      </c>
      <c r="D5" s="5">
        <v>1996</v>
      </c>
      <c r="E5" s="15">
        <f>SUM(J5:N5)</f>
        <v>196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66.8</v>
      </c>
      <c r="K5" s="14" t="str">
        <f>IF(J5=0,"",IF(J5=CA5,$BI$1,IF(J5=BE5,$AM$1,IF(J5=AI5,$Q$1,""))))</f>
        <v>2021 2nd Virtual Technical Trial</v>
      </c>
      <c r="L5" s="14">
        <f>IF(J5=AI5,MAX(BH5,CD5),IF(J5=BE5,MAX(AL5,CD5),MAX(AL5,BH5)))</f>
        <v>129.19999999999999</v>
      </c>
      <c r="M5" s="14" t="str">
        <f>IF(L5=0,"",IF(AND(J5&lt;&gt;CA5,L5=CD5),$BI$1,IF(AND(J5&lt;&gt;BE5,L5=BH5),$AM$1,IF(L5=AL5,$Q$1,""))))</f>
        <v>2021 1st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28.1</v>
      </c>
      <c r="R5" s="69">
        <v>5.2</v>
      </c>
      <c r="S5" s="69">
        <v>0.9</v>
      </c>
      <c r="T5" s="69">
        <v>0</v>
      </c>
      <c r="U5" s="69">
        <v>27.7</v>
      </c>
      <c r="V5" s="69">
        <v>5.2</v>
      </c>
      <c r="W5" s="69">
        <v>0</v>
      </c>
      <c r="X5" s="69">
        <v>0.5</v>
      </c>
      <c r="Y5" s="69">
        <v>28.1</v>
      </c>
      <c r="Z5" s="69">
        <v>4.8</v>
      </c>
      <c r="AA5" s="69">
        <v>0</v>
      </c>
      <c r="AB5" s="69">
        <v>0</v>
      </c>
      <c r="AC5" s="69">
        <v>20</v>
      </c>
      <c r="AD5" s="69">
        <v>2.8</v>
      </c>
      <c r="AE5" s="69">
        <v>0</v>
      </c>
      <c r="AF5" s="69">
        <v>0</v>
      </c>
      <c r="AG5" s="80"/>
      <c r="AH5" s="11">
        <f>IF(SUM(R5,V5)&gt;0,SUM(R5,V5),"")</f>
        <v>10.4</v>
      </c>
      <c r="AI5" s="11">
        <f>IF(SUM(Q5:R5,T5:V5,X5)-SUM(S5,W5)&gt;0,SUM(Q5:R5,T5:V5,X5)-SUM(S5,W5),"")</f>
        <v>65.8</v>
      </c>
      <c r="AJ5" s="11">
        <f>IF(SUM(Z5,AD5)&gt;0,SUM(Z5,AD5),"")</f>
        <v>7.6</v>
      </c>
      <c r="AK5" s="11">
        <f>IF(SUM(Y5:Z5,AB5:AD5,AF5)-SUM(AA5,AE5)&gt;0,SUM(Y5:Z5,AB5:AD5,AF5)-SUM(AA5,AE5),"")</f>
        <v>55.699999999999996</v>
      </c>
      <c r="AL5" s="11">
        <f>IF(SUM(AI5,AK5)&gt;0,SUM(AI5,AK5),"")</f>
        <v>121.5</v>
      </c>
      <c r="AM5" s="38">
        <v>27.8</v>
      </c>
      <c r="AN5" s="38">
        <v>5.2</v>
      </c>
      <c r="AO5" s="38">
        <v>0</v>
      </c>
      <c r="AP5" s="38">
        <v>0</v>
      </c>
      <c r="AQ5" s="38">
        <v>27.5</v>
      </c>
      <c r="AR5" s="38">
        <v>5.6</v>
      </c>
      <c r="AS5" s="38">
        <v>0</v>
      </c>
      <c r="AT5" s="38">
        <v>0</v>
      </c>
      <c r="AU5" s="38">
        <v>27.5</v>
      </c>
      <c r="AV5" s="38">
        <v>4.4000000000000004</v>
      </c>
      <c r="AW5" s="38">
        <v>1.5</v>
      </c>
      <c r="AX5" s="38">
        <v>0</v>
      </c>
      <c r="AY5" s="38">
        <v>27.5</v>
      </c>
      <c r="AZ5" s="38">
        <v>5.2</v>
      </c>
      <c r="BA5" s="38">
        <v>0</v>
      </c>
      <c r="BB5" s="38">
        <v>0</v>
      </c>
      <c r="BC5" s="81"/>
      <c r="BD5" s="14">
        <f>IF(SUM(AN5,AR5)&gt;0,SUM(AN5,AR5),"")</f>
        <v>10.8</v>
      </c>
      <c r="BE5" s="14">
        <f>IF(SUM(AM5:AN5,AP5:AR5,AT5)-SUM(AO5,AS5)&gt;0,SUM(AM5:AN5,AP5:AR5,AT5)-SUM(AO5,AS5),"")</f>
        <v>66.099999999999994</v>
      </c>
      <c r="BF5" s="14">
        <f>IF(SUM(AV5,AZ5)&gt;0,SUM(AV5,AZ5),"")</f>
        <v>9.6000000000000014</v>
      </c>
      <c r="BG5" s="14">
        <f>IF(SUM(AU5:AV5,AX5:AZ5,BB5)-SUM(AW5,BA5)&gt;0,SUM(AU5:AV5,AX5:AZ5,BB5)-SUM(AW5,BA5),"")</f>
        <v>63.099999999999994</v>
      </c>
      <c r="BH5" s="14">
        <f>IF(SUM(BE5,BG5)&gt;0,SUM(BE5,BG5),"")</f>
        <v>129.19999999999999</v>
      </c>
      <c r="BI5" s="69">
        <v>27.4</v>
      </c>
      <c r="BJ5" s="69">
        <v>6</v>
      </c>
      <c r="BK5" s="69">
        <v>0.3</v>
      </c>
      <c r="BL5" s="69">
        <v>0</v>
      </c>
      <c r="BM5" s="69">
        <v>28.1</v>
      </c>
      <c r="BN5" s="69">
        <v>5.6</v>
      </c>
      <c r="BO5" s="69">
        <v>0</v>
      </c>
      <c r="BP5" s="69">
        <v>0</v>
      </c>
      <c r="BQ5" s="69">
        <v>27.4</v>
      </c>
      <c r="BR5" s="69">
        <v>4.8</v>
      </c>
      <c r="BS5" s="69">
        <v>0.3</v>
      </c>
      <c r="BT5" s="69">
        <v>0</v>
      </c>
      <c r="BU5" s="69">
        <v>27.6</v>
      </c>
      <c r="BV5" s="69">
        <v>4.8</v>
      </c>
      <c r="BW5" s="69">
        <v>0</v>
      </c>
      <c r="BX5" s="69">
        <v>0</v>
      </c>
      <c r="BY5" s="80"/>
      <c r="BZ5" s="11">
        <f>IF(SUM(BJ5,BN5)&gt;0,SUM(BJ5,BN5),"")</f>
        <v>11.6</v>
      </c>
      <c r="CA5" s="11">
        <f>IF(SUM(BI5:BJ5,BL5:BN5,BP5)-SUM(BK5,BO5)&gt;0,SUM(BI5:BJ5,BL5:BN5,BP5)-SUM(BK5,BO5),"")</f>
        <v>66.8</v>
      </c>
      <c r="CB5" s="11">
        <f>IF(SUM(BR5,BV5)&gt;0,SUM(BR5,BV5),"")</f>
        <v>9.6</v>
      </c>
      <c r="CC5" s="11">
        <f>IF(SUM(BQ5:BR5,BT5:BV5,BX5)-SUM(BS5,BW5)&gt;0,SUM(BQ5:BR5,BT5:BV5,BX5)-SUM(BS5,BW5),"")</f>
        <v>64.3</v>
      </c>
      <c r="CD5" s="11">
        <f>IF(SUM(CA5,CC5)&gt;0,SUM(CA5,CC5),"")</f>
        <v>131.1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27.6</v>
      </c>
      <c r="LZ5" s="69">
        <f>IF($BY5="P",BJ5,(BJ5+AN5)/2)</f>
        <v>5.6</v>
      </c>
      <c r="MA5" s="69">
        <f>IF($BY5="P",BK5,(BK5+AO5)/2)</f>
        <v>0.15</v>
      </c>
      <c r="MB5" s="69">
        <f>IF($BY5="P",BL5,(BL5+AP5)/2)</f>
        <v>0</v>
      </c>
      <c r="MC5" s="69">
        <f>IF($BY5="P",BM5,(BM5+AQ5)/2)</f>
        <v>27.8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27.45</v>
      </c>
      <c r="MH5" s="69">
        <f>IF($BY5="P",BR5,(BR5+AV5)/2)</f>
        <v>4.5999999999999996</v>
      </c>
      <c r="MI5" s="69">
        <f>IF($BY5="P",BS5,(BS5+AW5)/2)</f>
        <v>0.9</v>
      </c>
      <c r="MJ5" s="69">
        <f>IF($BY5="P",BT5,(BT5+AX5)/2)</f>
        <v>0</v>
      </c>
      <c r="MK5" s="69">
        <f>IF($BY5="P",BU5,(BU5+AY5)/2)</f>
        <v>27.55</v>
      </c>
      <c r="ML5" s="69">
        <f>IF($BY5="P",BV5,(BV5+AZ5)/2)</f>
        <v>5</v>
      </c>
      <c r="MM5" s="69">
        <f>IF($BY5="P",BW5,(BW5+BA5)/2)</f>
        <v>0</v>
      </c>
      <c r="MN5" s="69">
        <f>IF($BY5="P",BX5,(BX5+BB5)/2)</f>
        <v>0</v>
      </c>
      <c r="MO5" s="80" t="s">
        <v>88</v>
      </c>
      <c r="MP5" s="11">
        <f>IF(SUM(LZ5,MD5)&gt;0,SUM(LZ5,MD5),"")</f>
        <v>11.2</v>
      </c>
      <c r="MQ5" s="11">
        <f>IF(SUM(LY5:LZ5,MB5:MD5,MF5)-SUM(MA5,ME5)&gt;0,SUM(LY5:LZ5,MB5:MD5,MF5)-SUM(MA5,ME5),"")</f>
        <v>66.449999999999989</v>
      </c>
      <c r="MR5" s="11">
        <f>IF(SUM(MH5,ML5)&gt;0,SUM(MH5,ML5),"")</f>
        <v>9.6</v>
      </c>
      <c r="MS5" s="11">
        <f>IF(SUM(MG5:MH5,MJ5:ML5,MN5)-SUM(MI5,MM5)&gt;0,SUM(MG5:MH5,MJ5:ML5,MN5)-SUM(MI5,MM5),"")</f>
        <v>63.699999999999996</v>
      </c>
      <c r="MT5" s="11">
        <f>IF(SUM(MQ5,MS5)&gt;0,SUM(MQ5,MS5),"")</f>
        <v>130.14999999999998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150</v>
      </c>
      <c r="C6" s="4" t="s">
        <v>6</v>
      </c>
      <c r="D6" s="5">
        <v>2001</v>
      </c>
      <c r="E6" s="15">
        <f>SUM(J6:N6)</f>
        <v>176.5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68.100000000000009</v>
      </c>
      <c r="K6" s="14" t="str">
        <f>IF(J6=0,"",IF(J6=CA6,$BI$1,IF(J6=BE6,$AM$1,IF(J6=AI6,$Q$1,""))))</f>
        <v>2019 Nationals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28.2</v>
      </c>
      <c r="R6" s="69">
        <v>6.8</v>
      </c>
      <c r="S6" s="69">
        <v>0.9</v>
      </c>
      <c r="T6" s="69">
        <v>0</v>
      </c>
      <c r="U6" s="69">
        <v>28.5</v>
      </c>
      <c r="V6" s="69">
        <v>6.4</v>
      </c>
      <c r="W6" s="69">
        <v>0.9</v>
      </c>
      <c r="X6" s="69">
        <v>0</v>
      </c>
      <c r="Y6" s="69">
        <v>26.4</v>
      </c>
      <c r="Z6" s="69">
        <v>4.8</v>
      </c>
      <c r="AA6" s="69">
        <v>0.3</v>
      </c>
      <c r="AB6" s="69">
        <v>0</v>
      </c>
      <c r="AC6" s="69">
        <v>28.1</v>
      </c>
      <c r="AD6" s="69">
        <v>6</v>
      </c>
      <c r="AE6" s="69">
        <v>0.9</v>
      </c>
      <c r="AF6" s="69">
        <v>0</v>
      </c>
      <c r="AG6" s="80"/>
      <c r="AH6" s="11">
        <f>IF(SUM(R6,V6)&gt;0,SUM(R6,V6),"")</f>
        <v>13.2</v>
      </c>
      <c r="AI6" s="11">
        <f>IF(SUM(Q6:R6,T6:V6,X6)-SUM(S6,W6)&gt;0,SUM(Q6:R6,T6:V6,X6)-SUM(S6,W6),"")</f>
        <v>68.100000000000009</v>
      </c>
      <c r="AJ6" s="11">
        <f>IF(SUM(Z6,AD6)&gt;0,SUM(Z6,AD6),"")</f>
        <v>10.8</v>
      </c>
      <c r="AK6" s="11">
        <f>IF(SUM(Y6:Z6,AB6:AD6,AF6)-SUM(AA6,AE6)&gt;0,SUM(Y6:Z6,AB6:AD6,AF6)-SUM(AA6,AE6),"")</f>
        <v>64.099999999999994</v>
      </c>
      <c r="AL6" s="11">
        <f>IF(SUM(AI6,AK6)&gt;0,SUM(AI6,AK6),"")</f>
        <v>132.19999999999999</v>
      </c>
      <c r="AM6" s="38">
        <v>27.8</v>
      </c>
      <c r="AN6" s="38">
        <v>6.4</v>
      </c>
      <c r="AO6" s="38">
        <v>0.3</v>
      </c>
      <c r="AP6" s="38">
        <v>0</v>
      </c>
      <c r="AQ6" s="38">
        <v>27.9</v>
      </c>
      <c r="AR6" s="38">
        <v>5.2</v>
      </c>
      <c r="AS6" s="38">
        <v>0.3</v>
      </c>
      <c r="AT6" s="38">
        <v>0</v>
      </c>
      <c r="AU6" s="38">
        <v>0</v>
      </c>
      <c r="AV6" s="38">
        <v>0</v>
      </c>
      <c r="AW6" s="38">
        <v>0</v>
      </c>
      <c r="AX6" s="38">
        <v>0</v>
      </c>
      <c r="AY6" s="38">
        <v>0</v>
      </c>
      <c r="AZ6" s="38">
        <v>0</v>
      </c>
      <c r="BA6" s="38">
        <v>0</v>
      </c>
      <c r="BB6" s="38">
        <v>0</v>
      </c>
      <c r="BC6" s="81"/>
      <c r="BD6" s="14">
        <f>IF(SUM(AN6,AR6)&gt;0,SUM(AN6,AR6),"")</f>
        <v>11.600000000000001</v>
      </c>
      <c r="BE6" s="14">
        <f>IF(SUM(AM6:AN6,AP6:AR6,AT6)-SUM(AO6,AS6)&gt;0,SUM(AM6:AN6,AP6:AR6,AT6)-SUM(AO6,AS6),"")</f>
        <v>66.7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66.7</v>
      </c>
      <c r="BI6" s="69">
        <v>19.8</v>
      </c>
      <c r="BJ6" s="69">
        <v>2.4</v>
      </c>
      <c r="BK6" s="69">
        <v>0</v>
      </c>
      <c r="BL6" s="69">
        <v>0</v>
      </c>
      <c r="BM6" s="69">
        <v>19.600000000000001</v>
      </c>
      <c r="BN6" s="69">
        <v>2.8</v>
      </c>
      <c r="BO6" s="69">
        <v>0</v>
      </c>
      <c r="BP6" s="69">
        <v>0</v>
      </c>
      <c r="BQ6" s="69">
        <v>27.9</v>
      </c>
      <c r="BR6" s="69">
        <v>4.3</v>
      </c>
      <c r="BS6" s="69">
        <v>0.4</v>
      </c>
      <c r="BT6" s="69">
        <v>0.3</v>
      </c>
      <c r="BU6" s="69">
        <v>27.1</v>
      </c>
      <c r="BV6" s="69">
        <v>5.2</v>
      </c>
      <c r="BW6" s="69">
        <v>0.9</v>
      </c>
      <c r="BX6" s="69">
        <v>0.3</v>
      </c>
      <c r="BY6" s="80"/>
      <c r="BZ6" s="11">
        <f>IF(SUM(BJ6,BN6)&gt;0,SUM(BJ6,BN6),"")</f>
        <v>5.1999999999999993</v>
      </c>
      <c r="CA6" s="11">
        <f>IF(SUM(BI6:BJ6,BL6:BN6,BP6)-SUM(BK6,BO6)&gt;0,SUM(BI6:BJ6,BL6:BN6,BP6)-SUM(BK6,BO6),"")</f>
        <v>44.599999999999994</v>
      </c>
      <c r="CB6" s="11">
        <f>IF(SUM(BR6,BV6)&gt;0,SUM(BR6,BV6),"")</f>
        <v>9.5</v>
      </c>
      <c r="CC6" s="11">
        <f>IF(SUM(BQ6:BR6,BT6:BV6,BX6)-SUM(BS6,BW6)&gt;0,SUM(BQ6:BR6,BT6:BV6,BX6)-SUM(BS6,BW6),"")</f>
        <v>63.8</v>
      </c>
      <c r="CD6" s="11">
        <f>IF(SUM(CA6,CC6)&gt;0,SUM(CA6,CC6),"")</f>
        <v>108.39999999999999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23.8</v>
      </c>
      <c r="LZ6" s="69">
        <f>IF($BY6="P",BJ6,(BJ6+AN6)/2)</f>
        <v>4.4000000000000004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23.75</v>
      </c>
      <c r="MD6" s="69">
        <f>IF($BY6="P",BN6,(BN6+AR6)/2)</f>
        <v>4</v>
      </c>
      <c r="ME6" s="69">
        <f>IF($BY6="P",BO6,(BO6+AS6)/2)</f>
        <v>0.15</v>
      </c>
      <c r="MF6" s="69">
        <f>IF($BY6="P",BP6,(BP6+AT6)/2)</f>
        <v>0</v>
      </c>
      <c r="MG6" s="69">
        <f>IF($BY6="P",BQ6,(BQ6+AU6)/2)</f>
        <v>13.95</v>
      </c>
      <c r="MH6" s="69">
        <f>IF($BY6="P",BR6,(BR6+AV6)/2)</f>
        <v>2.15</v>
      </c>
      <c r="MI6" s="69">
        <f>IF($BY6="P",BS6,(BS6+AW6)/2)</f>
        <v>0.2</v>
      </c>
      <c r="MJ6" s="69">
        <f>IF($BY6="P",BT6,(BT6+AX6)/2)</f>
        <v>0.15</v>
      </c>
      <c r="MK6" s="69">
        <f>IF($BY6="P",BU6,(BU6+AY6)/2)</f>
        <v>13.55</v>
      </c>
      <c r="ML6" s="69">
        <f>IF($BY6="P",BV6,(BV6+AZ6)/2)</f>
        <v>2.6</v>
      </c>
      <c r="MM6" s="69">
        <f>IF($BY6="P",BW6,(BW6+BA6)/2)</f>
        <v>0.45</v>
      </c>
      <c r="MN6" s="69">
        <f>IF($BY6="P",BX6,(BX6+BB6)/2)</f>
        <v>0.15</v>
      </c>
      <c r="MO6" s="80" t="s">
        <v>88</v>
      </c>
      <c r="MP6" s="11">
        <f>IF(SUM(LZ6,MD6)&gt;0,SUM(LZ6,MD6),"")</f>
        <v>8.4</v>
      </c>
      <c r="MQ6" s="11">
        <f>IF(SUM(LY6:LZ6,MB6:MD6,MF6)-SUM(MA6,ME6)&gt;0,SUM(LY6:LZ6,MB6:MD6,MF6)-SUM(MA6,ME6),"")</f>
        <v>55.650000000000006</v>
      </c>
      <c r="MR6" s="11">
        <f>IF(SUM(MH6,ML6)&gt;0,SUM(MH6,ML6),"")</f>
        <v>4.75</v>
      </c>
      <c r="MS6" s="11">
        <f>IF(SUM(MG6:MH6,MJ6:ML6,MN6)-SUM(MI6,MM6)&gt;0,SUM(MG6:MH6,MJ6:ML6,MN6)-SUM(MI6,MM6),"")</f>
        <v>31.9</v>
      </c>
      <c r="MT6" s="11">
        <f>IF(SUM(MQ6,MS6)&gt;0,SUM(MQ6,MS6),"")</f>
        <v>87.550000000000011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39</v>
      </c>
      <c r="C7" s="4" t="s">
        <v>10</v>
      </c>
      <c r="D7" s="5">
        <v>1998</v>
      </c>
      <c r="E7" s="15">
        <f>SUM(J7:N7)</f>
        <v>156.80009999999999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Excellence</v>
      </c>
      <c r="I7" s="3" t="str">
        <f>IF(OR(H7="Worlds Team",H7="Excellence",H7="Merit"),"P","")</f>
        <v>P</v>
      </c>
      <c r="J7" s="14">
        <f>MAX(AI7,BE7,CA7)</f>
        <v>67.200099999999992</v>
      </c>
      <c r="K7" s="14" t="str">
        <f>IF(J7=0,"",IF(J7=CA7,$BI$1,IF(J7=BE7,$AM$1,IF(J7=AI7,$Q$1,""))))</f>
        <v>2019 Nationals</v>
      </c>
      <c r="L7" s="14">
        <f>IF(J7=AI7,MAX(BH7,CD7),IF(J7=BE7,MAX(AL7,CD7),MAX(AL7,BH7)))</f>
        <v>89.6</v>
      </c>
      <c r="M7" s="14" t="str">
        <f>IF(L7=0,"",IF(AND(J7&lt;&gt;CA7,L7=CD7),$BI$1,IF(AND(J7&lt;&gt;BE7,L7=BH7),$AM$1,IF(L7=AL7,$Q$1,""))))</f>
        <v>2021 1st Virtual Technical Trial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28.4</v>
      </c>
      <c r="R7" s="69">
        <v>6.8</v>
      </c>
      <c r="S7" s="69">
        <v>0</v>
      </c>
      <c r="T7" s="69">
        <v>0.3</v>
      </c>
      <c r="U7" s="69">
        <v>25</v>
      </c>
      <c r="V7" s="69">
        <v>6.4001000000000001</v>
      </c>
      <c r="W7" s="69">
        <v>0</v>
      </c>
      <c r="X7" s="69">
        <v>0.3</v>
      </c>
      <c r="Y7" s="69">
        <v>28.1</v>
      </c>
      <c r="Z7" s="69">
        <v>6</v>
      </c>
      <c r="AA7" s="69">
        <v>0.9</v>
      </c>
      <c r="AB7" s="69">
        <v>0.5</v>
      </c>
      <c r="AC7" s="69">
        <v>28.8</v>
      </c>
      <c r="AD7" s="69">
        <v>6</v>
      </c>
      <c r="AE7" s="69">
        <v>0</v>
      </c>
      <c r="AF7" s="69">
        <v>0.5</v>
      </c>
      <c r="AG7" s="80"/>
      <c r="AH7" s="11">
        <f>IF(SUM(R7,V7)&gt;0,SUM(R7,V7),"")</f>
        <v>13.200099999999999</v>
      </c>
      <c r="AI7" s="11">
        <f>IF(SUM(Q7:R7,T7:V7,X7)-SUM(S7,W7)&gt;0,SUM(Q7:R7,T7:V7,X7)-SUM(S7,W7),"")</f>
        <v>67.200099999999992</v>
      </c>
      <c r="AJ7" s="11">
        <f>IF(SUM(Z7,AD7)&gt;0,SUM(Z7,AD7),"")</f>
        <v>12</v>
      </c>
      <c r="AK7" s="11">
        <f>IF(SUM(Y7:Z7,AB7:AD7,AF7)-SUM(AA7,AE7)&gt;0,SUM(Y7:Z7,AB7:AD7,AF7)-SUM(AA7,AE7),"")</f>
        <v>69</v>
      </c>
      <c r="AL7" s="11">
        <f>IF(SUM(AI7,AK7)&gt;0,SUM(AI7,AK7),"")</f>
        <v>136.20009999999999</v>
      </c>
      <c r="AM7" s="38">
        <v>28.3</v>
      </c>
      <c r="AN7" s="38">
        <v>5.2</v>
      </c>
      <c r="AO7" s="38">
        <v>0</v>
      </c>
      <c r="AP7" s="38">
        <v>0</v>
      </c>
      <c r="AQ7" s="38">
        <v>27.6</v>
      </c>
      <c r="AR7" s="38">
        <v>6</v>
      </c>
      <c r="AS7" s="38">
        <v>0</v>
      </c>
      <c r="AT7" s="38">
        <v>0</v>
      </c>
      <c r="AU7" s="38">
        <v>20.100000000000001</v>
      </c>
      <c r="AV7" s="38">
        <v>2.4</v>
      </c>
      <c r="AW7" s="38">
        <v>0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11.2</v>
      </c>
      <c r="BE7" s="14">
        <f>IF(SUM(AM7:AN7,AP7:AR7,AT7)-SUM(AO7,AS7)&gt;0,SUM(AM7:AN7,AP7:AR7,AT7)-SUM(AO7,AS7),"")</f>
        <v>67.099999999999994</v>
      </c>
      <c r="BF7" s="14">
        <f>IF(SUM(AV7,AZ7)&gt;0,SUM(AV7,AZ7),"")</f>
        <v>2.4</v>
      </c>
      <c r="BG7" s="14">
        <f>IF(SUM(AU7:AV7,AX7:AZ7,BB7)-SUM(AW7,BA7)&gt;0,SUM(AU7:AV7,AX7:AZ7,BB7)-SUM(AW7,BA7),"")</f>
        <v>22.5</v>
      </c>
      <c r="BH7" s="14">
        <f>IF(SUM(BE7,BG7)&gt;0,SUM(BE7,BG7),"")</f>
        <v>89.6</v>
      </c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80"/>
      <c r="BZ7" s="11" t="str">
        <f>IF(SUM(BJ7,BN7)&gt;0,SUM(BJ7,BN7),"")</f>
        <v/>
      </c>
      <c r="CA7" s="11" t="str">
        <f>IF(SUM(BI7:BJ7,BL7:BN7,BP7)-SUM(BK7,BO7)&gt;0,SUM(BI7:BJ7,BL7:BN7,BP7)-SUM(BK7,BO7),"")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14.15</v>
      </c>
      <c r="LZ7" s="69">
        <f>IF($BY7="P",BJ7,(BJ7+AN7)/2)</f>
        <v>2.6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13.8</v>
      </c>
      <c r="MD7" s="69">
        <f>IF($BY7="P",BN7,(BN7+AR7)/2)</f>
        <v>3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10.050000000000001</v>
      </c>
      <c r="MH7" s="69">
        <f>IF($BY7="P",BR7,(BR7+AV7)/2)</f>
        <v>1.2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88</v>
      </c>
      <c r="MP7" s="11">
        <f>IF(SUM(LZ7,MD7)&gt;0,SUM(LZ7,MD7),"")</f>
        <v>5.6</v>
      </c>
      <c r="MQ7" s="11">
        <f>IF(SUM(LY7:LZ7,MB7:MD7,MF7)-SUM(MA7,ME7)&gt;0,SUM(LY7:LZ7,MB7:MD7,MF7)-SUM(MA7,ME7),"")</f>
        <v>33.549999999999997</v>
      </c>
      <c r="MR7" s="11">
        <f>IF(SUM(MH7,ML7)&gt;0,SUM(MH7,ML7),"")</f>
        <v>1.2</v>
      </c>
      <c r="MS7" s="11">
        <f>IF(SUM(MG7:MH7,MJ7:ML7,MN7)-SUM(MI7,MM7)&gt;0,SUM(MG7:MH7,MJ7:ML7,MN7)-SUM(MI7,MM7),"")</f>
        <v>11.25</v>
      </c>
      <c r="MT7" s="11">
        <f>IF(SUM(MQ7,MS7)&gt;0,SUM(MQ7,MS7),"")</f>
        <v>44.8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49</v>
      </c>
      <c r="C8" s="4" t="s">
        <v>3</v>
      </c>
      <c r="D8" s="5">
        <v>1994</v>
      </c>
      <c r="E8" s="15">
        <f>SUM(J8:N8)</f>
        <v>141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Merit</v>
      </c>
      <c r="I8" s="3" t="str">
        <f>IF(OR(H8="Worlds Team",H8="Excellence",H8="Merit"),"P","")</f>
        <v>P</v>
      </c>
      <c r="J8" s="14">
        <f>MAX(AI8,BE8,CA8)</f>
        <v>71.2</v>
      </c>
      <c r="K8" s="14" t="str">
        <f>IF(J8=0,"",IF(J8=CA8,$BI$1,IF(J8=BE8,$AM$1,IF(J8=AI8,$Q$1,""))))</f>
        <v>2019 Nationals</v>
      </c>
      <c r="L8" s="14">
        <f>IF(J8=AI8,MAX(BH8,CD8),IF(J8=BE8,MAX(AL8,CD8),MAX(AL8,BH8)))</f>
        <v>69.800000000000011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28.3</v>
      </c>
      <c r="R8" s="69">
        <v>7.2</v>
      </c>
      <c r="S8" s="69">
        <v>0</v>
      </c>
      <c r="T8" s="69">
        <v>0.3</v>
      </c>
      <c r="U8" s="69">
        <v>28.1</v>
      </c>
      <c r="V8" s="69">
        <v>6.8</v>
      </c>
      <c r="W8" s="69">
        <v>0</v>
      </c>
      <c r="X8" s="69">
        <v>0.5</v>
      </c>
      <c r="Y8" s="69">
        <v>28.8</v>
      </c>
      <c r="Z8" s="69">
        <v>6</v>
      </c>
      <c r="AA8" s="69">
        <v>0.3</v>
      </c>
      <c r="AB8" s="69">
        <v>0.3</v>
      </c>
      <c r="AC8" s="69">
        <v>27.4</v>
      </c>
      <c r="AD8" s="69">
        <v>6</v>
      </c>
      <c r="AE8" s="69">
        <v>0.3</v>
      </c>
      <c r="AF8" s="69">
        <v>0.5</v>
      </c>
      <c r="AG8" s="80"/>
      <c r="AH8" s="11">
        <f>IF(SUM(R8,V8)&gt;0,SUM(R8,V8),"")</f>
        <v>14</v>
      </c>
      <c r="AI8" s="11">
        <f>IF(SUM(Q8:R8,T8:V8,X8)-SUM(S8,W8)&gt;0,SUM(Q8:R8,T8:V8,X8)-SUM(S8,W8),"")</f>
        <v>71.2</v>
      </c>
      <c r="AJ8" s="11">
        <f>IF(SUM(Z8,AD8)&gt;0,SUM(Z8,AD8),"")</f>
        <v>12</v>
      </c>
      <c r="AK8" s="11">
        <f>IF(SUM(Y8:Z8,AB8:AD8,AF8)-SUM(AA8,AE8)&gt;0,SUM(Y8:Z8,AB8:AD8,AF8)-SUM(AA8,AE8),"")</f>
        <v>68.400000000000006</v>
      </c>
      <c r="AL8" s="11">
        <f>IF(SUM(AI8,AK8)&gt;0,SUM(AI8,AK8),"")</f>
        <v>139.60000000000002</v>
      </c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81"/>
      <c r="BD8" s="14" t="str">
        <f>IF(SUM(AN8,AR8)&gt;0,SUM(AN8,AR8),"")</f>
        <v/>
      </c>
      <c r="BE8" s="14" t="str">
        <f>IF(SUM(AM8:AN8,AP8:AR8,AT8)-SUM(AO8,AS8)&gt;0,SUM(AM8:AN8,AP8:AR8,AT8)-SUM(AO8,AS8),"")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9">
        <v>14.15</v>
      </c>
      <c r="BJ8" s="69">
        <v>3.6</v>
      </c>
      <c r="BK8" s="69">
        <v>0</v>
      </c>
      <c r="BL8" s="69">
        <v>0.15</v>
      </c>
      <c r="BM8" s="69">
        <v>14.05</v>
      </c>
      <c r="BN8" s="69">
        <v>3.4</v>
      </c>
      <c r="BO8" s="69">
        <v>0</v>
      </c>
      <c r="BP8" s="69">
        <v>0.25</v>
      </c>
      <c r="BQ8" s="69">
        <v>14.4</v>
      </c>
      <c r="BR8" s="69">
        <v>3</v>
      </c>
      <c r="BS8" s="69">
        <v>0.15</v>
      </c>
      <c r="BT8" s="69">
        <v>0.15</v>
      </c>
      <c r="BU8" s="69">
        <v>13.7</v>
      </c>
      <c r="BV8" s="69">
        <v>3</v>
      </c>
      <c r="BW8" s="69">
        <v>0.15</v>
      </c>
      <c r="BX8" s="69">
        <v>0.25</v>
      </c>
      <c r="BY8" s="80" t="s">
        <v>88</v>
      </c>
      <c r="BZ8" s="11">
        <f>IF(SUM(BJ8,BN8)&gt;0,SUM(BJ8,BN8),"")</f>
        <v>7</v>
      </c>
      <c r="CA8" s="11">
        <f>IF(SUM(BI8:BJ8,BL8:BN8,BP8)-SUM(BK8,BO8)&gt;0,SUM(BI8:BJ8,BL8:BN8,BP8)-SUM(BK8,BO8),"")</f>
        <v>35.6</v>
      </c>
      <c r="CB8" s="11">
        <f>IF(SUM(BR8,BV8)&gt;0,SUM(BR8,BV8),"")</f>
        <v>6</v>
      </c>
      <c r="CC8" s="11">
        <f>IF(SUM(BQ8:BR8,BT8:BV8,BX8)-SUM(BS8,BW8)&gt;0,SUM(BQ8:BR8,BT8:BV8,BX8)-SUM(BS8,BW8),"")</f>
        <v>34.200000000000003</v>
      </c>
      <c r="CD8" s="11">
        <f>IF(SUM(CA8,CC8)&gt;0,SUM(CA8,CC8),"")</f>
        <v>69.800000000000011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3.6</v>
      </c>
      <c r="MA8" s="69">
        <f>IF($BY8="P",BK8,(BK8+AO8)/2)</f>
        <v>0</v>
      </c>
      <c r="MB8" s="69">
        <f>IF($BY8="P",BL8,(BL8+AP8)/2)</f>
        <v>0.15</v>
      </c>
      <c r="MC8" s="69">
        <f>IF($BY8="P",BM8,(BM8+AQ8)/2)</f>
        <v>14.05</v>
      </c>
      <c r="MD8" s="69">
        <f>IF($BY8="P",BN8,(BN8+AR8)/2)</f>
        <v>3.4</v>
      </c>
      <c r="ME8" s="69">
        <f>IF($BY8="P",BO8,(BO8+AS8)/2)</f>
        <v>0</v>
      </c>
      <c r="MF8" s="69">
        <f>IF($BY8="P",BP8,(BP8+AT8)/2)</f>
        <v>0.25</v>
      </c>
      <c r="MG8" s="69">
        <f>IF($BY8="P",BQ8,(BQ8+AU8)/2)</f>
        <v>14.4</v>
      </c>
      <c r="MH8" s="69">
        <f>IF($BY8="P",BR8,(BR8+AV8)/2)</f>
        <v>3</v>
      </c>
      <c r="MI8" s="69">
        <f>IF($BY8="P",BS8,(BS8+AW8)/2)</f>
        <v>0.15</v>
      </c>
      <c r="MJ8" s="69">
        <f>IF($BY8="P",BT8,(BT8+AX8)/2)</f>
        <v>0.15</v>
      </c>
      <c r="MK8" s="69">
        <f>IF($BY8="P",BU8,(BU8+AY8)/2)</f>
        <v>13.7</v>
      </c>
      <c r="ML8" s="69">
        <f>IF($BY8="P",BV8,(BV8+AZ8)/2)</f>
        <v>3</v>
      </c>
      <c r="MM8" s="69">
        <f>IF($BY8="P",BW8,(BW8+BA8)/2)</f>
        <v>0.15</v>
      </c>
      <c r="MN8" s="69">
        <f>IF($BY8="P",BX8,(BX8+BB8)/2)</f>
        <v>0.25</v>
      </c>
      <c r="MO8" s="80" t="s">
        <v>88</v>
      </c>
      <c r="MP8" s="11">
        <f>IF(SUM(LZ8,MD8)&gt;0,SUM(LZ8,MD8),"")</f>
        <v>7</v>
      </c>
      <c r="MQ8" s="11">
        <f>IF(SUM(LY8:LZ8,MB8:MD8,MF8)-SUM(MA8,ME8)&gt;0,SUM(LY8:LZ8,MB8:MD8,MF8)-SUM(MA8,ME8),"")</f>
        <v>35.6</v>
      </c>
      <c r="MR8" s="11">
        <f>IF(SUM(MH8,ML8)&gt;0,SUM(MH8,ML8),"")</f>
        <v>6</v>
      </c>
      <c r="MS8" s="11">
        <f>IF(SUM(MG8:MH8,MJ8:ML8,MN8)-SUM(MI8,MM8)&gt;0,SUM(MG8:MH8,MJ8:ML8,MN8)-SUM(MI8,MM8),"")</f>
        <v>34.200000000000003</v>
      </c>
      <c r="MT8" s="11">
        <f>IF(SUM(MQ8,MS8)&gt;0,SUM(MQ8,MS8),"")</f>
        <v>69.800000000000011</v>
      </c>
    </row>
    <row r="9" spans="1:358" x14ac:dyDescent="0.2">
      <c r="A9" s="5" t="str">
        <f>IF(AND(F9="P",G9="P"),SUMPRODUCT((F$4:F$17="P")*(G$4:G$17="P")*(E$4:E$17&gt;E9))+1,IF(G9="P",SUMPRODUCT((F$4:F$17="")*(G$4:G$17="P")*(E$4:E$17&gt;E9))+1+SUMPRODUCT((F$4:F$17="P")*(G$4:G$17="P")),""))</f>
        <v/>
      </c>
      <c r="B9" s="8" t="s">
        <v>151</v>
      </c>
      <c r="C9" s="4" t="s">
        <v>6</v>
      </c>
      <c r="D9" s="5">
        <v>2001</v>
      </c>
      <c r="E9" s="15">
        <f>SUM(J9:N9)</f>
        <v>194.89999999999998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/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/>
      </c>
      <c r="I9" s="3" t="str">
        <f>IF(OR(H9="Worlds Team",H9="Excellence",H9="Merit"),"P","")</f>
        <v/>
      </c>
      <c r="J9" s="14">
        <f>MAX(AI9,BE9,CA9)</f>
        <v>66.199999999999989</v>
      </c>
      <c r="K9" s="14" t="str">
        <f>IF(J9=0,"",IF(J9=CA9,$BI$1,IF(J9=BE9,$AM$1,IF(J9=AI9,$Q$1,""))))</f>
        <v>2019 Nationals</v>
      </c>
      <c r="L9" s="14">
        <f>IF(J9=AI9,MAX(BH9,CD9),IF(J9=BE9,MAX(AL9,CD9),MAX(AL9,BH9)))</f>
        <v>128.69999999999999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27.4</v>
      </c>
      <c r="R9" s="69">
        <v>4.8</v>
      </c>
      <c r="S9" s="69">
        <v>0</v>
      </c>
      <c r="T9" s="69">
        <v>0</v>
      </c>
      <c r="U9" s="69">
        <v>28.4</v>
      </c>
      <c r="V9" s="69">
        <v>5.6</v>
      </c>
      <c r="W9" s="69">
        <v>0</v>
      </c>
      <c r="X9" s="69">
        <v>0</v>
      </c>
      <c r="Y9" s="69">
        <v>27.3</v>
      </c>
      <c r="Z9" s="69">
        <v>4.8</v>
      </c>
      <c r="AA9" s="69">
        <v>0.9</v>
      </c>
      <c r="AB9" s="69">
        <v>0</v>
      </c>
      <c r="AC9" s="69">
        <v>27</v>
      </c>
      <c r="AD9" s="69">
        <v>5.2</v>
      </c>
      <c r="AE9" s="69">
        <v>0.3</v>
      </c>
      <c r="AF9" s="69">
        <v>0</v>
      </c>
      <c r="AG9" s="80"/>
      <c r="AH9" s="11">
        <f>IF(SUM(R9,V9)&gt;0,SUM(R9,V9),"")</f>
        <v>10.399999999999999</v>
      </c>
      <c r="AI9" s="11">
        <f>IF(SUM(Q9:R9,T9:V9,X9)-SUM(S9,W9)&gt;0,SUM(Q9:R9,T9:V9,X9)-SUM(S9,W9),"")</f>
        <v>66.199999999999989</v>
      </c>
      <c r="AJ9" s="11">
        <f>IF(SUM(Z9,AD9)&gt;0,SUM(Z9,AD9),"")</f>
        <v>10</v>
      </c>
      <c r="AK9" s="11">
        <f>IF(SUM(Y9:Z9,AB9:AD9,AF9)-SUM(AA9,AE9)&gt;0,SUM(Y9:Z9,AB9:AD9,AF9)-SUM(AA9,AE9),"")</f>
        <v>63.099999999999994</v>
      </c>
      <c r="AL9" s="11">
        <f>IF(SUM(AI9,AK9)&gt;0,SUM(AI9,AK9),"")</f>
        <v>129.29999999999998</v>
      </c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1"/>
      <c r="BD9" s="14" t="str">
        <f>IF(SUM(AN9,AR9)&gt;0,SUM(AN9,AR9),"")</f>
        <v/>
      </c>
      <c r="BE9" s="14" t="str">
        <f>IF(SUM(AM9:AN9,AP9:AR9,AT9)-SUM(AO9,AS9)&gt;0,SUM(AM9:AN9,AP9:AR9,AT9)-SUM(AO9,AS9),"")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9">
        <v>27.9</v>
      </c>
      <c r="BJ9" s="69">
        <v>5.6</v>
      </c>
      <c r="BK9" s="69">
        <v>0.9</v>
      </c>
      <c r="BL9" s="69">
        <v>0</v>
      </c>
      <c r="BM9" s="69">
        <v>27.4</v>
      </c>
      <c r="BN9" s="69">
        <v>5.2</v>
      </c>
      <c r="BO9" s="69">
        <v>0.9</v>
      </c>
      <c r="BP9" s="69">
        <v>0</v>
      </c>
      <c r="BQ9" s="69">
        <v>27.8</v>
      </c>
      <c r="BR9" s="69">
        <v>4.8</v>
      </c>
      <c r="BS9" s="69">
        <v>0.9</v>
      </c>
      <c r="BT9" s="69">
        <v>0</v>
      </c>
      <c r="BU9" s="69">
        <v>27.9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10.8</v>
      </c>
      <c r="CA9" s="11">
        <f>IF(SUM(BI9:BJ9,BL9:BN9,BP9)-SUM(BK9,BO9)&gt;0,SUM(BI9:BJ9,BL9:BN9,BP9)-SUM(BK9,BO9),"")</f>
        <v>64.3</v>
      </c>
      <c r="CB9" s="11">
        <f>IF(SUM(BR9,BV9)&gt;0,SUM(BR9,BV9),"")</f>
        <v>9.6</v>
      </c>
      <c r="CC9" s="11">
        <f>IF(SUM(BQ9:BR9,BT9:BV9,BX9)-SUM(BS9,BW9)&gt;0,SUM(BQ9:BR9,BT9:BV9,BX9)-SUM(BS9,BW9),"")</f>
        <v>64.399999999999991</v>
      </c>
      <c r="CD9" s="11">
        <f>IF(SUM(CA9,CC9)&gt;0,SUM(CA9,CC9),"")</f>
        <v>128.69999999999999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13.95</v>
      </c>
      <c r="LZ9" s="69">
        <f>IF($BY9="P",BJ9,(BJ9+AN9)/2)</f>
        <v>2.8</v>
      </c>
      <c r="MA9" s="69">
        <f>IF($BY9="P",BK9,(BK9+AO9)/2)</f>
        <v>0.45</v>
      </c>
      <c r="MB9" s="69">
        <f>IF($BY9="P",BL9,(BL9+AP9)/2)</f>
        <v>0</v>
      </c>
      <c r="MC9" s="69">
        <f>IF($BY9="P",BM9,(BM9+AQ9)/2)</f>
        <v>13.7</v>
      </c>
      <c r="MD9" s="69">
        <f>IF($BY9="P",BN9,(BN9+AR9)/2)</f>
        <v>2.6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13.9</v>
      </c>
      <c r="MH9" s="69">
        <f>IF($BY9="P",BR9,(BR9+AV9)/2)</f>
        <v>2.4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13.95</v>
      </c>
      <c r="ML9" s="69">
        <f>IF($BY9="P",BV9,(BV9+AZ9)/2)</f>
        <v>2.4</v>
      </c>
      <c r="MM9" s="69">
        <f>IF($BY9="P",BW9,(BW9+BA9)/2)</f>
        <v>0</v>
      </c>
      <c r="MN9" s="69">
        <f>IF($BY9="P",BX9,(BX9+BB9)/2)</f>
        <v>0</v>
      </c>
      <c r="MO9" s="80" t="s">
        <v>88</v>
      </c>
      <c r="MP9" s="11">
        <f>IF(SUM(LZ9,MD9)&gt;0,SUM(LZ9,MD9),"")</f>
        <v>5.4</v>
      </c>
      <c r="MQ9" s="11">
        <f>IF(SUM(LY9:LZ9,MB9:MD9,MF9)-SUM(MA9,ME9)&gt;0,SUM(LY9:LZ9,MB9:MD9,MF9)-SUM(MA9,ME9),"")</f>
        <v>32.15</v>
      </c>
      <c r="MR9" s="11">
        <f>IF(SUM(MH9,ML9)&gt;0,SUM(MH9,ML9),"")</f>
        <v>4.8</v>
      </c>
      <c r="MS9" s="11">
        <f>IF(SUM(MG9:MH9,MJ9:ML9,MN9)-SUM(MI9,MM9)&gt;0,SUM(MG9:MH9,MJ9:ML9,MN9)-SUM(MI9,MM9),"")</f>
        <v>32.199999999999996</v>
      </c>
      <c r="MT9" s="11">
        <f>IF(SUM(MQ9,MS9)&gt;0,SUM(MQ9,MS9),"")</f>
        <v>64.349999999999994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117</v>
      </c>
      <c r="C10" s="4" t="s">
        <v>5</v>
      </c>
      <c r="D10" s="5">
        <v>2000</v>
      </c>
      <c r="E10" s="15">
        <f>SUM(J10:N10)</f>
        <v>193.39999999999998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66.7</v>
      </c>
      <c r="K10" s="14" t="str">
        <f>IF(J10=0,"",IF(J10=CA10,$BI$1,IF(J10=BE10,$AM$1,IF(J10=AI10,$Q$1,""))))</f>
        <v>2019 Nationals</v>
      </c>
      <c r="L10" s="14">
        <f>IF(J10=AI10,MAX(BH10,CD10),IF(J10=BE10,MAX(AL10,CD10),MAX(AL10,BH10)))</f>
        <v>126.69999999999999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28.4</v>
      </c>
      <c r="R10" s="69">
        <v>6</v>
      </c>
      <c r="S10" s="69">
        <v>0</v>
      </c>
      <c r="T10" s="69">
        <v>0</v>
      </c>
      <c r="U10" s="69">
        <v>27</v>
      </c>
      <c r="V10" s="69">
        <v>5.6</v>
      </c>
      <c r="W10" s="69">
        <v>0.3</v>
      </c>
      <c r="X10" s="69">
        <v>0</v>
      </c>
      <c r="Y10" s="69">
        <v>19.8</v>
      </c>
      <c r="Z10" s="69">
        <v>2.4</v>
      </c>
      <c r="AA10" s="69">
        <v>0</v>
      </c>
      <c r="AB10" s="69">
        <v>0</v>
      </c>
      <c r="AC10" s="69">
        <v>27</v>
      </c>
      <c r="AD10" s="69">
        <v>2</v>
      </c>
      <c r="AE10" s="69">
        <v>4</v>
      </c>
      <c r="AF10" s="69">
        <v>0</v>
      </c>
      <c r="AG10" s="80"/>
      <c r="AH10" s="11">
        <f>IF(SUM(R10,V10)&gt;0,SUM(R10,V10),"")</f>
        <v>11.6</v>
      </c>
      <c r="AI10" s="11">
        <f>IF(SUM(Q10:R10,T10:V10,X10)-SUM(S10,W10)&gt;0,SUM(Q10:R10,T10:V10,X10)-SUM(S10,W10),"")</f>
        <v>66.7</v>
      </c>
      <c r="AJ10" s="11">
        <f>IF(SUM(Z10,AD10)&gt;0,SUM(Z10,AD10),"")</f>
        <v>4.4000000000000004</v>
      </c>
      <c r="AK10" s="11">
        <f>IF(SUM(Y10:Z10,AB10:AD10,AF10)-SUM(AA10,AE10)&gt;0,SUM(Y10:Z10,AB10:AD10,AF10)-SUM(AA10,AE10),"")</f>
        <v>47.2</v>
      </c>
      <c r="AL10" s="11">
        <f>IF(SUM(AI10,AK10)&gt;0,SUM(AI10,AK10),"")</f>
        <v>113.9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27.3</v>
      </c>
      <c r="BJ10" s="69">
        <v>6</v>
      </c>
      <c r="BK10" s="69">
        <v>0.3</v>
      </c>
      <c r="BL10" s="69">
        <v>0</v>
      </c>
      <c r="BM10" s="69">
        <v>27.8</v>
      </c>
      <c r="BN10" s="69">
        <v>5.6</v>
      </c>
      <c r="BO10" s="69">
        <v>0</v>
      </c>
      <c r="BP10" s="69">
        <v>0</v>
      </c>
      <c r="BQ10" s="69">
        <v>28</v>
      </c>
      <c r="BR10" s="69">
        <v>5.2</v>
      </c>
      <c r="BS10" s="69">
        <v>0</v>
      </c>
      <c r="BT10" s="69">
        <v>0</v>
      </c>
      <c r="BU10" s="69">
        <v>27.5</v>
      </c>
      <c r="BV10" s="69">
        <v>2</v>
      </c>
      <c r="BW10" s="69">
        <v>2.4</v>
      </c>
      <c r="BX10" s="69">
        <v>0</v>
      </c>
      <c r="BY10" s="80"/>
      <c r="BZ10" s="11">
        <f>IF(SUM(BJ10,BN10)&gt;0,SUM(BJ10,BN10),"")</f>
        <v>11.6</v>
      </c>
      <c r="CA10" s="11">
        <f>IF(SUM(BI10:BJ10,BL10:BN10,BP10)-SUM(BK10,BO10)&gt;0,SUM(BI10:BJ10,BL10:BN10,BP10)-SUM(BK10,BO10),"")</f>
        <v>66.399999999999991</v>
      </c>
      <c r="CB10" s="11">
        <f>IF(SUM(BR10,BV10)&gt;0,SUM(BR10,BV10),"")</f>
        <v>7.2</v>
      </c>
      <c r="CC10" s="11">
        <f>IF(SUM(BQ10:BR10,BT10:BV10,BX10)-SUM(BS10,BW10)&gt;0,SUM(BQ10:BR10,BT10:BV10,BX10)-SUM(BS10,BW10),"")</f>
        <v>60.300000000000004</v>
      </c>
      <c r="CD10" s="11">
        <f>IF(SUM(CA10,CC10)&gt;0,SUM(CA10,CC10),"")</f>
        <v>126.69999999999999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13.65</v>
      </c>
      <c r="LZ10" s="69">
        <f>IF($BY10="P",BJ10,(BJ10+AN10)/2)</f>
        <v>3</v>
      </c>
      <c r="MA10" s="69">
        <f>IF($BY10="P",BK10,(BK10+AO10)/2)</f>
        <v>0.15</v>
      </c>
      <c r="MB10" s="69">
        <f>IF($BY10="P",BL10,(BL10+AP10)/2)</f>
        <v>0</v>
      </c>
      <c r="MC10" s="69">
        <f>IF($BY10="P",BM10,(BM10+AQ10)/2)</f>
        <v>13.9</v>
      </c>
      <c r="MD10" s="69">
        <f>IF($BY10="P",BN10,(BN10+AR10)/2)</f>
        <v>2.8</v>
      </c>
      <c r="ME10" s="69">
        <f>IF($BY10="P",BO10,(BO10+AS10)/2)</f>
        <v>0</v>
      </c>
      <c r="MF10" s="69">
        <f>IF($BY10="P",BP10,(BP10+AT10)/2)</f>
        <v>0</v>
      </c>
      <c r="MG10" s="69">
        <f>IF($BY10="P",BQ10,(BQ10+AU10)/2)</f>
        <v>14</v>
      </c>
      <c r="MH10" s="69">
        <f>IF($BY10="P",BR10,(BR10+AV10)/2)</f>
        <v>2.6</v>
      </c>
      <c r="MI10" s="69">
        <f>IF($BY10="P",BS10,(BS10+AW10)/2)</f>
        <v>0</v>
      </c>
      <c r="MJ10" s="69">
        <f>IF($BY10="P",BT10,(BT10+AX10)/2)</f>
        <v>0</v>
      </c>
      <c r="MK10" s="69">
        <f>IF($BY10="P",BU10,(BU10+AY10)/2)</f>
        <v>13.75</v>
      </c>
      <c r="ML10" s="69">
        <f>IF($BY10="P",BV10,(BV10+AZ10)/2)</f>
        <v>1</v>
      </c>
      <c r="MM10" s="69">
        <f>IF($BY10="P",BW10,(BW10+BA10)/2)</f>
        <v>1.2</v>
      </c>
      <c r="MN10" s="69">
        <f>IF($BY10="P",BX10,(BX10+BB10)/2)</f>
        <v>0</v>
      </c>
      <c r="MO10" s="80" t="s">
        <v>88</v>
      </c>
      <c r="MP10" s="11">
        <f>IF(SUM(LZ10,MD10)&gt;0,SUM(LZ10,MD10),"")</f>
        <v>5.8</v>
      </c>
      <c r="MQ10" s="11">
        <f>IF(SUM(LY10:LZ10,MB10:MD10,MF10)-SUM(MA10,ME10)&gt;0,SUM(LY10:LZ10,MB10:MD10,MF10)-SUM(MA10,ME10),"")</f>
        <v>33.199999999999996</v>
      </c>
      <c r="MR10" s="11">
        <f>IF(SUM(MH10,ML10)&gt;0,SUM(MH10,ML10),"")</f>
        <v>3.6</v>
      </c>
      <c r="MS10" s="11">
        <f>IF(SUM(MG10:MH10,MJ10:ML10,MN10)-SUM(MI10,MM10)&gt;0,SUM(MG10:MH10,MJ10:ML10,MN10)-SUM(MI10,MM10),"")</f>
        <v>30.150000000000002</v>
      </c>
      <c r="MT10" s="11">
        <f>IF(SUM(MQ10,MS10)&gt;0,SUM(MQ10,MS10),"")</f>
        <v>63.349999999999994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186</v>
      </c>
      <c r="C11" s="4" t="s">
        <v>6</v>
      </c>
      <c r="D11" s="5">
        <v>2003</v>
      </c>
      <c r="E11" s="15">
        <f>SUM(J11:N11)</f>
        <v>190.5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2019 Nationals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27.8</v>
      </c>
      <c r="R11" s="69">
        <v>3.4</v>
      </c>
      <c r="S11" s="69">
        <v>0.3</v>
      </c>
      <c r="T11" s="69">
        <v>0</v>
      </c>
      <c r="U11" s="69">
        <v>28.2</v>
      </c>
      <c r="V11" s="69">
        <v>3.3</v>
      </c>
      <c r="W11" s="69">
        <v>0</v>
      </c>
      <c r="X11" s="69">
        <v>0</v>
      </c>
      <c r="Y11" s="69">
        <v>28.6</v>
      </c>
      <c r="Z11" s="69">
        <v>3.1</v>
      </c>
      <c r="AA11" s="69">
        <v>0</v>
      </c>
      <c r="AB11" s="69">
        <v>0</v>
      </c>
      <c r="AC11" s="69">
        <v>28.3</v>
      </c>
      <c r="AD11" s="69">
        <v>5.2</v>
      </c>
      <c r="AE11" s="69">
        <v>0</v>
      </c>
      <c r="AF11" s="69">
        <v>0</v>
      </c>
      <c r="AG11" s="80"/>
      <c r="AH11" s="11">
        <f>IF(SUM(R11,V11)&gt;0,SUM(R11,V11),"")</f>
        <v>6.6999999999999993</v>
      </c>
      <c r="AI11" s="11">
        <f>IF(SUM(Q11:R11,T11:V11,X11)-SUM(S11,W11)&gt;0,SUM(Q11:R11,T11:V11,X11)-SUM(S11,W11),"")</f>
        <v>62.4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65.2</v>
      </c>
      <c r="AL11" s="11">
        <f>IF(SUM(AI11,AK11)&gt;0,SUM(AI11,AK11),"")</f>
        <v>127.6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1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9">
        <v>27.3</v>
      </c>
      <c r="BJ11" s="69">
        <v>6</v>
      </c>
      <c r="BK11" s="69">
        <v>0.9</v>
      </c>
      <c r="BL11" s="69">
        <v>0</v>
      </c>
      <c r="BM11" s="69">
        <v>25.2</v>
      </c>
      <c r="BN11" s="69">
        <v>5.6</v>
      </c>
      <c r="BO11" s="69">
        <v>0.3</v>
      </c>
      <c r="BP11" s="69">
        <v>0</v>
      </c>
      <c r="BQ11" s="69">
        <v>27.1</v>
      </c>
      <c r="BR11" s="69">
        <v>4.8</v>
      </c>
      <c r="BS11" s="69">
        <v>0.3</v>
      </c>
      <c r="BT11" s="69">
        <v>0</v>
      </c>
      <c r="BU11" s="69">
        <v>27.4</v>
      </c>
      <c r="BV11" s="69">
        <v>4.8</v>
      </c>
      <c r="BW11" s="69">
        <v>0</v>
      </c>
      <c r="BX11" s="69">
        <v>0</v>
      </c>
      <c r="BY11" s="80"/>
      <c r="BZ11" s="11">
        <f>IF(SUM(BJ11,BN11)&gt;0,SUM(BJ11,BN11),"")</f>
        <v>11.6</v>
      </c>
      <c r="CA11" s="11">
        <f>IF(SUM(BI11:BJ11,BL11:BN11,BP11)-SUM(BK11,BO11)&gt;0,SUM(BI11:BJ11,BL11:BN11,BP11)-SUM(BK11,BO11),"")</f>
        <v>62.899999999999991</v>
      </c>
      <c r="CB11" s="11">
        <f>IF(SUM(BR11,BV11)&gt;0,SUM(BR11,BV11),"")</f>
        <v>9.6</v>
      </c>
      <c r="CC11" s="11">
        <f>IF(SUM(BQ11:BR11,BT11:BV11,BX11)-SUM(BS11,BW11)&gt;0,SUM(BQ11:BR11,BT11:BV11,BX11)-SUM(BS11,BW11),"")</f>
        <v>63.8</v>
      </c>
      <c r="CD11" s="11">
        <f>IF(SUM(CA11,CC11)&gt;0,SUM(CA11,CC11),"")</f>
        <v>126.69999999999999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13.65</v>
      </c>
      <c r="LZ11" s="69">
        <f>IF($BY11="P",BJ11,(BJ11+AN11)/2)</f>
        <v>3</v>
      </c>
      <c r="MA11" s="69">
        <f>IF($BY11="P",BK11,(BK11+AO11)/2)</f>
        <v>0.45</v>
      </c>
      <c r="MB11" s="69">
        <f>IF($BY11="P",BL11,(BL11+AP11)/2)</f>
        <v>0</v>
      </c>
      <c r="MC11" s="69">
        <f>IF($BY11="P",BM11,(BM11+AQ11)/2)</f>
        <v>12.6</v>
      </c>
      <c r="MD11" s="69">
        <f>IF($BY11="P",BN11,(BN11+AR11)/2)</f>
        <v>2.8</v>
      </c>
      <c r="ME11" s="69">
        <f>IF($BY11="P",BO11,(BO11+AS11)/2)</f>
        <v>0.15</v>
      </c>
      <c r="MF11" s="69">
        <f>IF($BY11="P",BP11,(BP11+AT11)/2)</f>
        <v>0</v>
      </c>
      <c r="MG11" s="69">
        <f>IF($BY11="P",BQ11,(BQ11+AU11)/2)</f>
        <v>13.55</v>
      </c>
      <c r="MH11" s="69">
        <f>IF($BY11="P",BR11,(BR11+AV11)/2)</f>
        <v>2.4</v>
      </c>
      <c r="MI11" s="69">
        <f>IF($BY11="P",BS11,(BS11+AW11)/2)</f>
        <v>0.15</v>
      </c>
      <c r="MJ11" s="69">
        <f>IF($BY11="P",BT11,(BT11+AX11)/2)</f>
        <v>0</v>
      </c>
      <c r="MK11" s="69">
        <f>IF($BY11="P",BU11,(BU11+AY11)/2)</f>
        <v>13.7</v>
      </c>
      <c r="ML11" s="69">
        <f>IF($BY11="P",BV11,(BV11+AZ11)/2)</f>
        <v>2.4</v>
      </c>
      <c r="MM11" s="69">
        <f>IF($BY11="P",BW11,(BW11+BA11)/2)</f>
        <v>0</v>
      </c>
      <c r="MN11" s="69">
        <f>IF($BY11="P",BX11,(BX11+BB11)/2)</f>
        <v>0</v>
      </c>
      <c r="MO11" s="80" t="s">
        <v>88</v>
      </c>
      <c r="MP11" s="11">
        <f>IF(SUM(LZ11,MD11)&gt;0,SUM(LZ11,MD11),"")</f>
        <v>5.8</v>
      </c>
      <c r="MQ11" s="11">
        <f>IF(SUM(LY11:LZ11,MB11:MD11,MF11)-SUM(MA11,ME11)&gt;0,SUM(LY11:LZ11,MB11:MD11,MF11)-SUM(MA11,ME11),"")</f>
        <v>31.449999999999996</v>
      </c>
      <c r="MR11" s="11">
        <f>IF(SUM(MH11,ML11)&gt;0,SUM(MH11,ML11),"")</f>
        <v>4.8</v>
      </c>
      <c r="MS11" s="11">
        <f>IF(SUM(MG11:MH11,MJ11:ML11,MN11)-SUM(MI11,MM11)&gt;0,SUM(MG11:MH11,MJ11:ML11,MN11)-SUM(MI11,MM11),"")</f>
        <v>31.9</v>
      </c>
      <c r="MT11" s="11">
        <f>IF(SUM(MQ11,MS11)&gt;0,SUM(MQ11,MS11),"")</f>
        <v>63.349999999999994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185</v>
      </c>
      <c r="C12" s="4" t="s">
        <v>6</v>
      </c>
      <c r="D12" s="5">
        <v>2003</v>
      </c>
      <c r="E12" s="15">
        <f>SUM(J12:N12)</f>
        <v>181.7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64</v>
      </c>
      <c r="K12" s="14" t="str">
        <f>IF(J12=0,"",IF(J12=CA12,$BI$1,IF(J12=BE12,$AM$1,IF(J12=AI12,$Q$1,""))))</f>
        <v>2019 Nationals</v>
      </c>
      <c r="L12" s="14">
        <f>IF(J12=AI12,MAX(BH12,CD12),IF(J12=BE12,MAX(AL12,CD12),MAX(AL12,BH12)))</f>
        <v>117.69999999999999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27.9</v>
      </c>
      <c r="R12" s="69">
        <v>5.2</v>
      </c>
      <c r="S12" s="69">
        <v>0</v>
      </c>
      <c r="T12" s="69">
        <v>0</v>
      </c>
      <c r="U12" s="69">
        <v>27</v>
      </c>
      <c r="V12" s="69">
        <v>5.2</v>
      </c>
      <c r="W12" s="69">
        <v>1.8</v>
      </c>
      <c r="X12" s="69">
        <v>0.5</v>
      </c>
      <c r="Y12" s="69">
        <v>27.6</v>
      </c>
      <c r="Z12" s="69">
        <v>4</v>
      </c>
      <c r="AA12" s="69">
        <v>0.3</v>
      </c>
      <c r="AB12" s="69">
        <v>0</v>
      </c>
      <c r="AC12" s="69">
        <v>27.5</v>
      </c>
      <c r="AD12" s="69">
        <v>3.9</v>
      </c>
      <c r="AE12" s="69">
        <v>0.3</v>
      </c>
      <c r="AF12" s="69">
        <v>0</v>
      </c>
      <c r="AG12" s="80"/>
      <c r="AH12" s="11">
        <f>IF(SUM(R12,V12)&gt;0,SUM(R12,V12),"")</f>
        <v>10.4</v>
      </c>
      <c r="AI12" s="11">
        <f>IF(SUM(Q12:R12,T12:V12,X12)-SUM(S12,W12)&gt;0,SUM(Q12:R12,T12:V12,X12)-SUM(S12,W12),"")</f>
        <v>64</v>
      </c>
      <c r="AJ12" s="11">
        <f>IF(SUM(Z12,AD12)&gt;0,SUM(Z12,AD12),"")</f>
        <v>7.9</v>
      </c>
      <c r="AK12" s="11">
        <f>IF(SUM(Y12:Z12,AB12:AD12,AF12)-SUM(AA12,AE12)&gt;0,SUM(Y12:Z12,AB12:AD12,AF12)-SUM(AA12,AE12),"")</f>
        <v>62.4</v>
      </c>
      <c r="AL12" s="11">
        <f>IF(SUM(AI12,AK12)&gt;0,SUM(AI12,AK12),"")</f>
        <v>126.4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24.9</v>
      </c>
      <c r="BJ12" s="69">
        <v>6</v>
      </c>
      <c r="BK12" s="69">
        <v>1.8</v>
      </c>
      <c r="BL12" s="69">
        <v>0</v>
      </c>
      <c r="BM12" s="69">
        <v>27.9</v>
      </c>
      <c r="BN12" s="69">
        <v>5.6</v>
      </c>
      <c r="BO12" s="69">
        <v>0</v>
      </c>
      <c r="BP12" s="69">
        <v>0</v>
      </c>
      <c r="BQ12" s="69">
        <v>19.8</v>
      </c>
      <c r="BR12" s="69">
        <v>2.4</v>
      </c>
      <c r="BS12" s="69">
        <v>0</v>
      </c>
      <c r="BT12" s="69">
        <v>0</v>
      </c>
      <c r="BU12" s="69">
        <v>27.7</v>
      </c>
      <c r="BV12" s="69">
        <v>5.2</v>
      </c>
      <c r="BW12" s="69">
        <v>0</v>
      </c>
      <c r="BX12" s="69">
        <v>0</v>
      </c>
      <c r="BY12" s="80"/>
      <c r="BZ12" s="11">
        <f>IF(SUM(BJ12,BN12)&gt;0,SUM(BJ12,BN12),"")</f>
        <v>11.6</v>
      </c>
      <c r="CA12" s="11">
        <f>IF(SUM(BI12:BJ12,BL12:BN12,BP12)-SUM(BK12,BO12)&gt;0,SUM(BI12:BJ12,BL12:BN12,BP12)-SUM(BK12,BO12),"")</f>
        <v>62.599999999999994</v>
      </c>
      <c r="CB12" s="11">
        <f>IF(SUM(BR12,BV12)&gt;0,SUM(BR12,BV12),"")</f>
        <v>7.6</v>
      </c>
      <c r="CC12" s="11">
        <f>IF(SUM(BQ12:BR12,BT12:BV12,BX12)-SUM(BS12,BW12)&gt;0,SUM(BQ12:BR12,BT12:BV12,BX12)-SUM(BS12,BW12),"")</f>
        <v>55.1</v>
      </c>
      <c r="CD12" s="11">
        <f>IF(SUM(CA12,CC12)&gt;0,SUM(CA12,CC12),"")</f>
        <v>117.69999999999999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12.45</v>
      </c>
      <c r="LZ12" s="69">
        <f>IF($BY12="P",BJ12,(BJ12+AN12)/2)</f>
        <v>3</v>
      </c>
      <c r="MA12" s="69">
        <f>IF($BY12="P",BK12,(BK12+AO12)/2)</f>
        <v>0.9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9.9</v>
      </c>
      <c r="MH12" s="69">
        <f>IF($BY12="P",BR12,(BR12+AV12)/2)</f>
        <v>1.2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13.85</v>
      </c>
      <c r="ML12" s="69">
        <f>IF($BY12="P",BV12,(BV12+AZ12)/2)</f>
        <v>2.6</v>
      </c>
      <c r="MM12" s="69">
        <f>IF($BY12="P",BW12,(BW12+BA12)/2)</f>
        <v>0</v>
      </c>
      <c r="MN12" s="69">
        <f>IF($BY12="P",BX12,(BX12+BB12)/2)</f>
        <v>0</v>
      </c>
      <c r="MO12" s="80" t="s">
        <v>88</v>
      </c>
      <c r="MP12" s="11">
        <f>IF(SUM(LZ12,MD12)&gt;0,SUM(LZ12,MD12),"")</f>
        <v>5.8</v>
      </c>
      <c r="MQ12" s="11">
        <f>IF(SUM(LY12:LZ12,MB12:MD12,MF12)-SUM(MA12,ME12)&gt;0,SUM(LY12:LZ12,MB12:MD12,MF12)-SUM(MA12,ME12),"")</f>
        <v>31.299999999999997</v>
      </c>
      <c r="MR12" s="11">
        <f>IF(SUM(MH12,ML12)&gt;0,SUM(MH12,ML12),"")</f>
        <v>3.8</v>
      </c>
      <c r="MS12" s="11">
        <f>IF(SUM(MG12:MH12,MJ12:ML12,MN12)-SUM(MI12,MM12)&gt;0,SUM(MG12:MH12,MJ12:ML12,MN12)-SUM(MI12,MM12),"")</f>
        <v>27.55</v>
      </c>
      <c r="MT12" s="11">
        <f>IF(SUM(MQ12,MS12)&gt;0,SUM(MQ12,MS12),"")</f>
        <v>58.849999999999994</v>
      </c>
    </row>
    <row r="13" spans="1:358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6</v>
      </c>
      <c r="B13" s="8" t="s">
        <v>80</v>
      </c>
      <c r="C13" s="4" t="s">
        <v>5</v>
      </c>
      <c r="D13" s="5">
        <v>1999</v>
      </c>
      <c r="E13" s="15">
        <f>SUM(J13:N13)</f>
        <v>67.899999999999991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>P</v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>No DD</v>
      </c>
      <c r="I13" s="3" t="str">
        <f>IF(OR(H13="Worlds Team",H13="Excellence",H13="Merit"),"P","")</f>
        <v/>
      </c>
      <c r="J13" s="14">
        <f>MAX(AI13,BE13,CA13)</f>
        <v>67.899999999999991</v>
      </c>
      <c r="K13" s="14" t="str">
        <f>IF(J13=0,"",IF(J13=CA13,$BI$1,IF(J13=BE13,$AM$1,IF(J13=AI13,$Q$1,""))))</f>
        <v>2019 Nationals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28.5</v>
      </c>
      <c r="R13" s="69">
        <v>5.6</v>
      </c>
      <c r="S13" s="69">
        <v>0</v>
      </c>
      <c r="T13" s="69">
        <v>0</v>
      </c>
      <c r="U13" s="69">
        <v>28.2</v>
      </c>
      <c r="V13" s="69">
        <v>5.6</v>
      </c>
      <c r="W13" s="69">
        <v>0</v>
      </c>
      <c r="X13" s="69">
        <v>0</v>
      </c>
      <c r="Y13" s="69">
        <v>19.600000000000001</v>
      </c>
      <c r="Z13" s="69">
        <v>3.6</v>
      </c>
      <c r="AA13" s="69">
        <v>0</v>
      </c>
      <c r="AB13" s="69">
        <v>0.5</v>
      </c>
      <c r="AC13" s="69">
        <v>27.5</v>
      </c>
      <c r="AD13" s="69">
        <v>5.2</v>
      </c>
      <c r="AE13" s="69">
        <v>0</v>
      </c>
      <c r="AF13" s="69">
        <v>0</v>
      </c>
      <c r="AG13" s="80"/>
      <c r="AH13" s="11">
        <f>IF(SUM(R13,V13)&gt;0,SUM(R13,V13),"")</f>
        <v>11.2</v>
      </c>
      <c r="AI13" s="11">
        <f>IF(SUM(Q13:R13,T13:V13,X13)-SUM(S13,W13)&gt;0,SUM(Q13:R13,T13:V13,X13)-SUM(S13,W13),"")</f>
        <v>67.899999999999991</v>
      </c>
      <c r="AJ13" s="11">
        <f>IF(SUM(Z13,AD13)&gt;0,SUM(Z13,AD13),"")</f>
        <v>8.8000000000000007</v>
      </c>
      <c r="AK13" s="11">
        <f>IF(SUM(Y13:Z13,AB13:AD13,AF13)-SUM(AA13,AE13)&gt;0,SUM(Y13:Z13,AB13:AD13,AF13)-SUM(AA13,AE13),"")</f>
        <v>56.400000000000006</v>
      </c>
      <c r="AL13" s="11">
        <f>IF(SUM(AI13,AK13)&gt;0,SUM(AI13,AK13),"")</f>
        <v>124.3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88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84</v>
      </c>
      <c r="C14" s="4" t="s">
        <v>5</v>
      </c>
      <c r="D14" s="5">
        <v>2000</v>
      </c>
      <c r="E14" s="15">
        <f>SUM(J14:N14)</f>
        <v>67.599999999999994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67.599999999999994</v>
      </c>
      <c r="K14" s="14" t="str">
        <f>IF(J14=0,"",IF(J14=CA14,$BI$1,IF(J14=BE14,$AM$1,IF(J14=AI14,$Q$1,""))))</f>
        <v>2019 Nationals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27.85</v>
      </c>
      <c r="R14" s="69">
        <v>6</v>
      </c>
      <c r="S14" s="69">
        <v>0</v>
      </c>
      <c r="T14" s="69">
        <v>0</v>
      </c>
      <c r="U14" s="69">
        <v>28.6</v>
      </c>
      <c r="V14" s="69">
        <v>5.6</v>
      </c>
      <c r="W14" s="69">
        <v>0.45</v>
      </c>
      <c r="X14" s="69">
        <v>0</v>
      </c>
      <c r="Y14" s="69">
        <v>23.950000000000003</v>
      </c>
      <c r="Z14" s="69">
        <v>4</v>
      </c>
      <c r="AA14" s="69">
        <v>0</v>
      </c>
      <c r="AB14" s="69">
        <v>0</v>
      </c>
      <c r="AC14" s="69">
        <v>28.5</v>
      </c>
      <c r="AD14" s="69">
        <v>5.2</v>
      </c>
      <c r="AE14" s="69">
        <v>0</v>
      </c>
      <c r="AF14" s="69">
        <v>0</v>
      </c>
      <c r="AG14" s="80" t="s">
        <v>88</v>
      </c>
      <c r="AH14" s="11">
        <f>IF(SUM(R14,V14)&gt;0,SUM(R14,V14),"")</f>
        <v>11.6</v>
      </c>
      <c r="AI14" s="11">
        <f>IF(SUM(Q14:R14,T14:V14,X14)-SUM(S14,W14)&gt;0,SUM(Q14:R14,T14:V14,X14)-SUM(S14,W14),"")</f>
        <v>67.599999999999994</v>
      </c>
      <c r="AJ14" s="11">
        <f>IF(SUM(Z14,AD14)&gt;0,SUM(Z14,AD14),"")</f>
        <v>9.1999999999999993</v>
      </c>
      <c r="AK14" s="11">
        <f>IF(SUM(Y14:Z14,AB14:AD14,AF14)-SUM(AA14,AE14)&gt;0,SUM(Y14:Z14,AB14:AD14,AF14)-SUM(AA14,AE14),"")</f>
        <v>61.650000000000006</v>
      </c>
      <c r="AL14" s="11">
        <f>IF(SUM(AI14,AK14)&gt;0,SUM(AI14,AK14),"")</f>
        <v>129.25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88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61</v>
      </c>
      <c r="C15" s="4" t="s">
        <v>62</v>
      </c>
      <c r="D15" s="5">
        <v>1998</v>
      </c>
      <c r="E15" s="15">
        <f>SUM(J15:N15)</f>
        <v>66.5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66.5</v>
      </c>
      <c r="K15" s="14" t="str">
        <f>IF(J15=0,"",IF(J15=CA15,$BI$1,IF(J15=BE15,$AM$1,IF(J15=AI15,$Q$1,""))))</f>
        <v>2019 Nationals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28.2</v>
      </c>
      <c r="R15" s="69">
        <v>6.4</v>
      </c>
      <c r="S15" s="69">
        <v>0.3</v>
      </c>
      <c r="T15" s="69">
        <v>0</v>
      </c>
      <c r="U15" s="69">
        <v>28.2</v>
      </c>
      <c r="V15" s="69">
        <v>5.2</v>
      </c>
      <c r="W15" s="69">
        <v>1.2</v>
      </c>
      <c r="X15" s="69">
        <v>0</v>
      </c>
      <c r="Y15" s="69">
        <v>28.3</v>
      </c>
      <c r="Z15" s="69">
        <v>4.8</v>
      </c>
      <c r="AA15" s="69">
        <v>0</v>
      </c>
      <c r="AB15" s="69">
        <v>0</v>
      </c>
      <c r="AC15" s="69">
        <v>28.7</v>
      </c>
      <c r="AD15" s="69">
        <v>4.8</v>
      </c>
      <c r="AE15" s="69">
        <v>0</v>
      </c>
      <c r="AF15" s="69">
        <v>0</v>
      </c>
      <c r="AG15" s="80"/>
      <c r="AH15" s="11">
        <f>IF(SUM(R15,V15)&gt;0,SUM(R15,V15),"")</f>
        <v>11.600000000000001</v>
      </c>
      <c r="AI15" s="11">
        <f>IF(SUM(Q15:R15,T15:V15,X15)-SUM(S15,W15)&gt;0,SUM(Q15:R15,T15:V15,X15)-SUM(S15,W15),"")</f>
        <v>66.5</v>
      </c>
      <c r="AJ15" s="11">
        <f>IF(SUM(Z15,AD15)&gt;0,SUM(Z15,AD15),"")</f>
        <v>9.6</v>
      </c>
      <c r="AK15" s="11">
        <f>IF(SUM(Y15:Z15,AB15:AD15,AF15)-SUM(AA15,AE15)&gt;0,SUM(Y15:Z15,AB15:AD15,AF15)-SUM(AA15,AE15),"")</f>
        <v>66.599999999999994</v>
      </c>
      <c r="AL15" s="11">
        <f>IF(SUM(AI15,AK15)&gt;0,SUM(AI15,AK15),"")</f>
        <v>133.1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88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63</v>
      </c>
      <c r="C16" s="4" t="s">
        <v>62</v>
      </c>
      <c r="D16" s="5">
        <v>1999</v>
      </c>
      <c r="E16" s="15">
        <f>SUM(J16:N16)</f>
        <v>65.7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65.7</v>
      </c>
      <c r="K16" s="14" t="str">
        <f>IF(J16=0,"",IF(J16=CA16,$BI$1,IF(J16=BE16,$AM$1,IF(J16=AI16,$Q$1,""))))</f>
        <v>2019 Nationals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28.3</v>
      </c>
      <c r="R16" s="69">
        <v>6</v>
      </c>
      <c r="S16" s="69">
        <v>0.3</v>
      </c>
      <c r="T16" s="69">
        <v>0</v>
      </c>
      <c r="U16" s="69">
        <v>25.6</v>
      </c>
      <c r="V16" s="69">
        <v>6.4</v>
      </c>
      <c r="W16" s="69">
        <v>0.3</v>
      </c>
      <c r="X16" s="69">
        <v>0</v>
      </c>
      <c r="Y16" s="69">
        <v>27</v>
      </c>
      <c r="Z16" s="69">
        <v>5.2</v>
      </c>
      <c r="AA16" s="69">
        <v>1.2</v>
      </c>
      <c r="AB16" s="69">
        <v>0.5</v>
      </c>
      <c r="AC16" s="69">
        <v>28.2</v>
      </c>
      <c r="AD16" s="69">
        <v>5.2</v>
      </c>
      <c r="AE16" s="69">
        <v>0</v>
      </c>
      <c r="AF16" s="69">
        <v>0</v>
      </c>
      <c r="AG16" s="80"/>
      <c r="AH16" s="11">
        <f>IF(SUM(R16,V16)&gt;0,SUM(R16,V16),"")</f>
        <v>12.4</v>
      </c>
      <c r="AI16" s="11">
        <f>IF(SUM(Q16:R16,T16:V16,X16)-SUM(S16,W16)&gt;0,SUM(Q16:R16,T16:V16,X16)-SUM(S16,W16),"")</f>
        <v>65.7</v>
      </c>
      <c r="AJ16" s="11">
        <f>IF(SUM(Z16,AD16)&gt;0,SUM(Z16,AD16),"")</f>
        <v>10.4</v>
      </c>
      <c r="AK16" s="11">
        <f>IF(SUM(Y16:Z16,AB16:AD16,AF16)-SUM(AA16,AE16)&gt;0,SUM(Y16:Z16,AB16:AD16,AF16)-SUM(AA16,AE16),"")</f>
        <v>64.900000000000006</v>
      </c>
      <c r="AL16" s="11">
        <f>IF(SUM(AI16,AK16)&gt;0,SUM(AI16,AK16),"")</f>
        <v>130.60000000000002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88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78</v>
      </c>
      <c r="AH19" s="54"/>
      <c r="AJ19" s="54"/>
      <c r="AL19" s="64">
        <v>11.6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77</v>
      </c>
      <c r="AH20" s="54"/>
      <c r="AJ20" s="54"/>
      <c r="AL20" s="93">
        <v>13.200100000000001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109</v>
      </c>
      <c r="C21" s="55"/>
      <c r="AK21" t="s">
        <v>166</v>
      </c>
      <c r="AL21" s="94">
        <v>13.200100000000001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158</v>
      </c>
      <c r="C22" s="55"/>
      <c r="AK22" s="129" t="s">
        <v>166</v>
      </c>
      <c r="AL22" s="65">
        <v>13.200100000000001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75</v>
      </c>
      <c r="C23" s="55"/>
      <c r="AH23" s="56"/>
      <c r="AJ23" s="56"/>
      <c r="AL23" s="67">
        <v>67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76</v>
      </c>
      <c r="C24" s="55"/>
      <c r="AH24" s="56"/>
      <c r="AJ24" s="56"/>
      <c r="AL24" s="66">
        <v>67.2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107</v>
      </c>
      <c r="C25" s="55"/>
      <c r="AH25" s="56"/>
      <c r="AJ25" s="56"/>
      <c r="AK25" t="s">
        <v>166</v>
      </c>
      <c r="AL25" s="117">
        <v>67.2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57</v>
      </c>
      <c r="C26" s="55"/>
      <c r="AH26" s="56"/>
      <c r="AJ26" s="56"/>
      <c r="AK26" s="129" t="s">
        <v>166</v>
      </c>
      <c r="AL26" s="68">
        <v>71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89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38460" operator="between">
      <formula>AL$22</formula>
      <formula>1000</formula>
    </cfRule>
    <cfRule type="cellIs" dxfId="6" priority="38461" operator="between">
      <formula>AL$21</formula>
      <formula>AL$22</formula>
    </cfRule>
    <cfRule type="cellIs" dxfId="5" priority="38462" operator="between">
      <formula>AL$20</formula>
      <formula>AL$21</formula>
    </cfRule>
    <cfRule type="cellIs" dxfId="4" priority="38463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38640" operator="between">
      <formula>AL$26</formula>
      <formula>1000</formula>
    </cfRule>
    <cfRule type="cellIs" dxfId="2" priority="38641" operator="between">
      <formula>AL$25</formula>
      <formula>AL$26</formula>
    </cfRule>
    <cfRule type="cellIs" dxfId="1" priority="38642" operator="between">
      <formula>AL$24</formula>
      <formula>AL$25</formula>
    </cfRule>
    <cfRule type="cellIs" dxfId="0" priority="38643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2021-05-02T05:13:22Z</dcterms:modified>
</cp:coreProperties>
</file>