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2" codeName="{D272C609-87CA-5A14-B04D-65DF03BDDAF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Dropbox/Documents/Trampoline/Websites/Trampoline Canada Website/Ranking Lists/"/>
    </mc:Choice>
  </mc:AlternateContent>
  <xr:revisionPtr revIDLastSave="0" documentId="13_ncr:1_{A78CAE82-5E27-1E40-88CC-5CA5555DD418}" xr6:coauthVersionLast="47" xr6:coauthVersionMax="47" xr10:uidLastSave="{00000000-0000-0000-0000-000000000000}"/>
  <bookViews>
    <workbookView xWindow="0" yWindow="460" windowWidth="33600" windowHeight="20540" tabRatio="500" xr2:uid="{00000000-000D-0000-FFFF-FFFF00000000}"/>
  </bookViews>
  <sheets>
    <sheet name="Info" sheetId="11" r:id="rId1"/>
    <sheet name="TRA-M" sheetId="4" r:id="rId2"/>
    <sheet name="TRA-W" sheetId="13" r:id="rId3"/>
    <sheet name="SYN-M" sheetId="9" r:id="rId4"/>
    <sheet name="SYN-W" sheetId="14" r:id="rId5"/>
    <sheet name="TUM-M" sheetId="7" r:id="rId6"/>
    <sheet name="TUM-W" sheetId="8" r:id="rId7"/>
    <sheet name="DMT-M" sheetId="6" r:id="rId8"/>
    <sheet name="DMT-W" sheetId="12" r:id="rId9"/>
  </sheets>
  <definedNames>
    <definedName name="_xlnm._FilterDatabase" localSheetId="7" hidden="1">'DMT-M'!$A$1:$MT$15</definedName>
    <definedName name="_xlnm._FilterDatabase" localSheetId="8" hidden="1">'DMT-W'!$A$1:$MT$12</definedName>
    <definedName name="_xlnm._FilterDatabase" localSheetId="3" hidden="1">'SYN-M'!$A$1:$NQ$4</definedName>
    <definedName name="_xlnm._FilterDatabase" localSheetId="4" hidden="1">'SYN-W'!$A$1:$NQ$4</definedName>
    <definedName name="_xlnm._FilterDatabase" localSheetId="1" hidden="1">'TRA-M'!$A$1:$OQ$19</definedName>
    <definedName name="_xlnm._FilterDatabase" localSheetId="2" hidden="1">'TRA-W'!$A$1:$OQ$14</definedName>
    <definedName name="_xlnm._FilterDatabase" localSheetId="5" hidden="1">'TUM-M'!$A$1:$MT$5</definedName>
    <definedName name="_xlnm._FilterDatabase" localSheetId="6" hidden="1">'TUM-W'!$A$1:$MT$6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H14" i="12" l="1"/>
  <c r="AI14" i="12"/>
  <c r="AJ14" i="12"/>
  <c r="AK14" i="12"/>
  <c r="BD14" i="12"/>
  <c r="BE14" i="12"/>
  <c r="BF14" i="12"/>
  <c r="BG14" i="12"/>
  <c r="BZ14" i="12"/>
  <c r="CA14" i="12"/>
  <c r="CB14" i="12"/>
  <c r="CC14" i="12"/>
  <c r="CW14" i="12"/>
  <c r="CX14" i="12"/>
  <c r="CY14" i="12"/>
  <c r="CZ14" i="12"/>
  <c r="DR14" i="12"/>
  <c r="DS14" i="12"/>
  <c r="DT14" i="12"/>
  <c r="DU14" i="12"/>
  <c r="EM14" i="12"/>
  <c r="EN14" i="12"/>
  <c r="EO14" i="12"/>
  <c r="EP14" i="12"/>
  <c r="FH14" i="12"/>
  <c r="FI14" i="12"/>
  <c r="FJ14" i="12"/>
  <c r="FK14" i="12"/>
  <c r="GC14" i="12"/>
  <c r="GD14" i="12"/>
  <c r="GE14" i="12"/>
  <c r="GF14" i="12"/>
  <c r="GX14" i="12"/>
  <c r="GY14" i="12"/>
  <c r="GZ14" i="12"/>
  <c r="HA14" i="12"/>
  <c r="HS14" i="12"/>
  <c r="HT14" i="12"/>
  <c r="HU14" i="12"/>
  <c r="HV14" i="12"/>
  <c r="IN14" i="12"/>
  <c r="IO14" i="12"/>
  <c r="IP14" i="12"/>
  <c r="IQ14" i="12"/>
  <c r="JI14" i="12"/>
  <c r="JJ14" i="12"/>
  <c r="JK14" i="12"/>
  <c r="JL14" i="12"/>
  <c r="KD14" i="12"/>
  <c r="KE14" i="12"/>
  <c r="KF14" i="12"/>
  <c r="KG14" i="12"/>
  <c r="KY14" i="12"/>
  <c r="KZ14" i="12"/>
  <c r="LA14" i="12"/>
  <c r="LB14" i="12"/>
  <c r="LT14" i="12"/>
  <c r="LU14" i="12"/>
  <c r="LV14" i="12"/>
  <c r="LW14" i="12"/>
  <c r="LY14" i="12"/>
  <c r="LZ14" i="12"/>
  <c r="MA14" i="12"/>
  <c r="MB14" i="12"/>
  <c r="MC14" i="12"/>
  <c r="MD14" i="12"/>
  <c r="ME14" i="12"/>
  <c r="MF14" i="12"/>
  <c r="MG14" i="12"/>
  <c r="MH14" i="12"/>
  <c r="MI14" i="12"/>
  <c r="MJ14" i="12"/>
  <c r="MK14" i="12"/>
  <c r="ML14" i="12"/>
  <c r="MM14" i="12"/>
  <c r="MN14" i="12"/>
  <c r="KH14" i="12" l="1"/>
  <c r="LC14" i="12"/>
  <c r="JM14" i="12"/>
  <c r="HW14" i="12"/>
  <c r="GG14" i="12"/>
  <c r="EQ14" i="12"/>
  <c r="IR14" i="12"/>
  <c r="DA14" i="12"/>
  <c r="FL14" i="12"/>
  <c r="DV14" i="12"/>
  <c r="AL14" i="12"/>
  <c r="BH14" i="12"/>
  <c r="LX14" i="12"/>
  <c r="MR14" i="12"/>
  <c r="CD14" i="12"/>
  <c r="MP14" i="12"/>
  <c r="HB14" i="12"/>
  <c r="MQ14" i="12"/>
  <c r="MS14" i="12"/>
  <c r="F14" i="12"/>
  <c r="G14" i="12"/>
  <c r="J14" i="12"/>
  <c r="AH5" i="8"/>
  <c r="AI5" i="8"/>
  <c r="AJ5" i="8"/>
  <c r="AK5" i="8"/>
  <c r="BD5" i="8"/>
  <c r="BE5" i="8"/>
  <c r="BF5" i="8"/>
  <c r="BG5" i="8"/>
  <c r="BZ5" i="8"/>
  <c r="CA5" i="8"/>
  <c r="CB5" i="8"/>
  <c r="CC5" i="8"/>
  <c r="CW5" i="8"/>
  <c r="CX5" i="8"/>
  <c r="CY5" i="8"/>
  <c r="CZ5" i="8"/>
  <c r="DR5" i="8"/>
  <c r="DS5" i="8"/>
  <c r="DT5" i="8"/>
  <c r="DU5" i="8"/>
  <c r="EM5" i="8"/>
  <c r="EN5" i="8"/>
  <c r="EO5" i="8"/>
  <c r="EP5" i="8"/>
  <c r="FH5" i="8"/>
  <c r="FI5" i="8"/>
  <c r="FJ5" i="8"/>
  <c r="FK5" i="8"/>
  <c r="GC5" i="8"/>
  <c r="GD5" i="8"/>
  <c r="GE5" i="8"/>
  <c r="GF5" i="8"/>
  <c r="GX5" i="8"/>
  <c r="GY5" i="8"/>
  <c r="GZ5" i="8"/>
  <c r="HA5" i="8"/>
  <c r="HS5" i="8"/>
  <c r="HT5" i="8"/>
  <c r="HU5" i="8"/>
  <c r="HV5" i="8"/>
  <c r="IN5" i="8"/>
  <c r="IO5" i="8"/>
  <c r="IP5" i="8"/>
  <c r="IQ5" i="8"/>
  <c r="JI5" i="8"/>
  <c r="JJ5" i="8"/>
  <c r="JK5" i="8"/>
  <c r="JL5" i="8"/>
  <c r="KD5" i="8"/>
  <c r="KE5" i="8"/>
  <c r="KF5" i="8"/>
  <c r="KG5" i="8"/>
  <c r="KY5" i="8"/>
  <c r="KZ5" i="8"/>
  <c r="LA5" i="8"/>
  <c r="LB5" i="8"/>
  <c r="LT5" i="8"/>
  <c r="LU5" i="8"/>
  <c r="LV5" i="8"/>
  <c r="LW5" i="8"/>
  <c r="LY5" i="8"/>
  <c r="LZ5" i="8"/>
  <c r="MA5" i="8"/>
  <c r="MB5" i="8"/>
  <c r="MC5" i="8"/>
  <c r="MD5" i="8"/>
  <c r="ME5" i="8"/>
  <c r="MF5" i="8"/>
  <c r="MG5" i="8"/>
  <c r="MH5" i="8"/>
  <c r="MI5" i="8"/>
  <c r="MJ5" i="8"/>
  <c r="MK5" i="8"/>
  <c r="ML5" i="8"/>
  <c r="MM5" i="8"/>
  <c r="MN5" i="8"/>
  <c r="LC5" i="8" l="1"/>
  <c r="HW5" i="8"/>
  <c r="DA5" i="8"/>
  <c r="JM5" i="8"/>
  <c r="FL5" i="8"/>
  <c r="IR5" i="8"/>
  <c r="DV5" i="8"/>
  <c r="KH5" i="8"/>
  <c r="HB5" i="8"/>
  <c r="MT14" i="12"/>
  <c r="H14" i="12"/>
  <c r="I14" i="12" s="1"/>
  <c r="L14" i="12"/>
  <c r="CE14" i="12"/>
  <c r="K14" i="12"/>
  <c r="A14" i="12"/>
  <c r="CD5" i="8"/>
  <c r="BH5" i="8"/>
  <c r="MR5" i="8"/>
  <c r="MP5" i="8"/>
  <c r="LX5" i="8"/>
  <c r="GG5" i="8"/>
  <c r="EQ5" i="8"/>
  <c r="MS5" i="8"/>
  <c r="MQ5" i="8"/>
  <c r="L5" i="8"/>
  <c r="CF5" i="8" s="1"/>
  <c r="G5" i="8"/>
  <c r="F5" i="8"/>
  <c r="J5" i="8"/>
  <c r="AL5" i="8"/>
  <c r="A5" i="8" l="1"/>
  <c r="M14" i="12"/>
  <c r="CF14" i="12"/>
  <c r="N14" i="12" s="1"/>
  <c r="MT5" i="8"/>
  <c r="H5" i="8"/>
  <c r="I5" i="8" s="1"/>
  <c r="CE5" i="8"/>
  <c r="N5" i="8" s="1"/>
  <c r="K5" i="8"/>
  <c r="M5" i="8"/>
  <c r="E14" i="12" l="1"/>
  <c r="P14" i="12"/>
  <c r="O14" i="12"/>
  <c r="E5" i="8"/>
  <c r="O5" i="8"/>
  <c r="P5" i="8"/>
  <c r="BG16" i="12" l="1"/>
  <c r="BF16" i="12"/>
  <c r="BE16" i="12"/>
  <c r="BD16" i="12"/>
  <c r="BG15" i="12"/>
  <c r="BF15" i="12"/>
  <c r="BE15" i="12"/>
  <c r="BD15" i="12"/>
  <c r="BG12" i="12"/>
  <c r="BF12" i="12"/>
  <c r="BE12" i="12"/>
  <c r="BD12" i="12"/>
  <c r="BG13" i="12"/>
  <c r="BF13" i="12"/>
  <c r="BE13" i="12"/>
  <c r="BD13" i="12"/>
  <c r="BG11" i="12"/>
  <c r="BF11" i="12"/>
  <c r="BE11" i="12"/>
  <c r="BD11" i="12"/>
  <c r="BG10" i="12"/>
  <c r="BF10" i="12"/>
  <c r="BE10" i="12"/>
  <c r="BD10" i="12"/>
  <c r="BG9" i="12"/>
  <c r="BF9" i="12"/>
  <c r="BE9" i="12"/>
  <c r="BD9" i="12"/>
  <c r="BG6" i="12"/>
  <c r="BF6" i="12"/>
  <c r="BE6" i="12"/>
  <c r="BD6" i="12"/>
  <c r="BG7" i="12"/>
  <c r="BF7" i="12"/>
  <c r="BE7" i="12"/>
  <c r="BD7" i="12"/>
  <c r="BG8" i="12"/>
  <c r="BF8" i="12"/>
  <c r="BE8" i="12"/>
  <c r="BD8" i="12"/>
  <c r="BG5" i="12"/>
  <c r="BF5" i="12"/>
  <c r="BE5" i="12"/>
  <c r="BD5" i="12"/>
  <c r="BG4" i="12"/>
  <c r="BF4" i="12"/>
  <c r="BE4" i="12"/>
  <c r="BD4" i="12"/>
  <c r="AK16" i="12"/>
  <c r="AJ16" i="12"/>
  <c r="AI16" i="12"/>
  <c r="AH16" i="12"/>
  <c r="AK15" i="12"/>
  <c r="AJ15" i="12"/>
  <c r="AI15" i="12"/>
  <c r="AH15" i="12"/>
  <c r="AK12" i="12"/>
  <c r="AJ12" i="12"/>
  <c r="AI12" i="12"/>
  <c r="AH12" i="12"/>
  <c r="AK13" i="12"/>
  <c r="AJ13" i="12"/>
  <c r="AI13" i="12"/>
  <c r="AL13" i="12" s="1"/>
  <c r="AH13" i="12"/>
  <c r="AK11" i="12"/>
  <c r="AJ11" i="12"/>
  <c r="AI11" i="12"/>
  <c r="AH11" i="12"/>
  <c r="AK10" i="12"/>
  <c r="AJ10" i="12"/>
  <c r="AI10" i="12"/>
  <c r="AL10" i="12" s="1"/>
  <c r="AH10" i="12"/>
  <c r="AK9" i="12"/>
  <c r="AJ9" i="12"/>
  <c r="AI9" i="12"/>
  <c r="AH9" i="12"/>
  <c r="AK6" i="12"/>
  <c r="AJ6" i="12"/>
  <c r="AI6" i="12"/>
  <c r="AL6" i="12" s="1"/>
  <c r="AH6" i="12"/>
  <c r="AK7" i="12"/>
  <c r="AJ7" i="12"/>
  <c r="AI7" i="12"/>
  <c r="AH7" i="12"/>
  <c r="AK8" i="12"/>
  <c r="AJ8" i="12"/>
  <c r="AI8" i="12"/>
  <c r="AH8" i="12"/>
  <c r="AK5" i="12"/>
  <c r="AJ5" i="12"/>
  <c r="AI5" i="12"/>
  <c r="AH5" i="12"/>
  <c r="AK4" i="12"/>
  <c r="AJ4" i="12"/>
  <c r="AI4" i="12"/>
  <c r="AL4" i="12" s="1"/>
  <c r="AH4" i="12"/>
  <c r="BG13" i="6"/>
  <c r="BF13" i="6"/>
  <c r="BE13" i="6"/>
  <c r="BD13" i="6"/>
  <c r="BG15" i="6"/>
  <c r="BF15" i="6"/>
  <c r="BE15" i="6"/>
  <c r="BD15" i="6"/>
  <c r="BG12" i="6"/>
  <c r="BF12" i="6"/>
  <c r="BE12" i="6"/>
  <c r="BD12" i="6"/>
  <c r="BG14" i="6"/>
  <c r="BF14" i="6"/>
  <c r="BE14" i="6"/>
  <c r="BD14" i="6"/>
  <c r="BG9" i="6"/>
  <c r="BF9" i="6"/>
  <c r="BE9" i="6"/>
  <c r="BD9" i="6"/>
  <c r="BG10" i="6"/>
  <c r="BF10" i="6"/>
  <c r="BE10" i="6"/>
  <c r="BD10" i="6"/>
  <c r="BG8" i="6"/>
  <c r="BF8" i="6"/>
  <c r="BE8" i="6"/>
  <c r="BD8" i="6"/>
  <c r="BG11" i="6"/>
  <c r="BF11" i="6"/>
  <c r="BE11" i="6"/>
  <c r="BD11" i="6"/>
  <c r="BG7" i="6"/>
  <c r="BF7" i="6"/>
  <c r="BE7" i="6"/>
  <c r="BD7" i="6"/>
  <c r="BG6" i="6"/>
  <c r="BF6" i="6"/>
  <c r="BE6" i="6"/>
  <c r="BD6" i="6"/>
  <c r="BG4" i="6"/>
  <c r="BF4" i="6"/>
  <c r="BE4" i="6"/>
  <c r="BD4" i="6"/>
  <c r="BG5" i="6"/>
  <c r="BF5" i="6"/>
  <c r="BE5" i="6"/>
  <c r="BD5" i="6"/>
  <c r="AK13" i="6"/>
  <c r="AJ13" i="6"/>
  <c r="AI13" i="6"/>
  <c r="AH13" i="6"/>
  <c r="AK15" i="6"/>
  <c r="AJ15" i="6"/>
  <c r="AI15" i="6"/>
  <c r="AH15" i="6"/>
  <c r="AK12" i="6"/>
  <c r="AJ12" i="6"/>
  <c r="AI12" i="6"/>
  <c r="AH12" i="6"/>
  <c r="AK14" i="6"/>
  <c r="AJ14" i="6"/>
  <c r="AI14" i="6"/>
  <c r="AH14" i="6"/>
  <c r="AK9" i="6"/>
  <c r="AJ9" i="6"/>
  <c r="AI9" i="6"/>
  <c r="AH9" i="6"/>
  <c r="AK10" i="6"/>
  <c r="AJ10" i="6"/>
  <c r="AI10" i="6"/>
  <c r="AH10" i="6"/>
  <c r="AK8" i="6"/>
  <c r="AJ8" i="6"/>
  <c r="AI8" i="6"/>
  <c r="AH8" i="6"/>
  <c r="AK11" i="6"/>
  <c r="AJ11" i="6"/>
  <c r="AI11" i="6"/>
  <c r="AH11" i="6"/>
  <c r="AK7" i="6"/>
  <c r="AJ7" i="6"/>
  <c r="AI7" i="6"/>
  <c r="AH7" i="6"/>
  <c r="AK6" i="6"/>
  <c r="AJ6" i="6"/>
  <c r="AI6" i="6"/>
  <c r="AH6" i="6"/>
  <c r="AK4" i="6"/>
  <c r="AJ4" i="6"/>
  <c r="AI4" i="6"/>
  <c r="AH4" i="6"/>
  <c r="AK5" i="6"/>
  <c r="AJ5" i="6"/>
  <c r="AI5" i="6"/>
  <c r="AH5" i="6"/>
  <c r="BG7" i="8"/>
  <c r="BF7" i="8"/>
  <c r="BE7" i="8"/>
  <c r="BD7" i="8"/>
  <c r="BG6" i="8"/>
  <c r="BF6" i="8"/>
  <c r="BE6" i="8"/>
  <c r="BD6" i="8"/>
  <c r="BG4" i="8"/>
  <c r="BF4" i="8"/>
  <c r="BE4" i="8"/>
  <c r="BD4" i="8"/>
  <c r="AK7" i="8"/>
  <c r="AJ7" i="8"/>
  <c r="AI7" i="8"/>
  <c r="AH7" i="8"/>
  <c r="AK6" i="8"/>
  <c r="AJ6" i="8"/>
  <c r="AI6" i="8"/>
  <c r="AH6" i="8"/>
  <c r="AK4" i="8"/>
  <c r="AJ4" i="8"/>
  <c r="AI4" i="8"/>
  <c r="AH4" i="8"/>
  <c r="BG5" i="7"/>
  <c r="BF5" i="7"/>
  <c r="BE5" i="7"/>
  <c r="BD5" i="7"/>
  <c r="BG4" i="7"/>
  <c r="BF4" i="7"/>
  <c r="BE4" i="7"/>
  <c r="BD4" i="7"/>
  <c r="AK5" i="7"/>
  <c r="AJ5" i="7"/>
  <c r="AI5" i="7"/>
  <c r="AH5" i="7"/>
  <c r="AK4" i="7"/>
  <c r="AJ4" i="7"/>
  <c r="AI4" i="7"/>
  <c r="AH4" i="7"/>
  <c r="BN4" i="14"/>
  <c r="BM4" i="14"/>
  <c r="BL4" i="14"/>
  <c r="BO4" i="14" s="1"/>
  <c r="BK4" i="14"/>
  <c r="BJ4" i="14"/>
  <c r="BI4" i="14"/>
  <c r="AQ4" i="14"/>
  <c r="AP4" i="14"/>
  <c r="AN4" i="14"/>
  <c r="AM4" i="14"/>
  <c r="AO4" i="14" s="1"/>
  <c r="AR4" i="14" s="1"/>
  <c r="AL4" i="14"/>
  <c r="BN4" i="9"/>
  <c r="BM4" i="9"/>
  <c r="BL4" i="9"/>
  <c r="BO4" i="9" s="1"/>
  <c r="BK4" i="9"/>
  <c r="BJ4" i="9"/>
  <c r="BI4" i="9"/>
  <c r="AQ4" i="9"/>
  <c r="AP4" i="9"/>
  <c r="AN4" i="9"/>
  <c r="AM4" i="9"/>
  <c r="AO4" i="9" s="1"/>
  <c r="AR4" i="9" s="1"/>
  <c r="AL4" i="9"/>
  <c r="CB14" i="13"/>
  <c r="CA14" i="13"/>
  <c r="BY14" i="13"/>
  <c r="BX14" i="13"/>
  <c r="BW14" i="13"/>
  <c r="BV14" i="13"/>
  <c r="BU14" i="13"/>
  <c r="CB13" i="13"/>
  <c r="CA13" i="13"/>
  <c r="BY13" i="13"/>
  <c r="BX13" i="13"/>
  <c r="BW13" i="13"/>
  <c r="BV13" i="13"/>
  <c r="BU13" i="13"/>
  <c r="CB11" i="13"/>
  <c r="CA11" i="13"/>
  <c r="BY11" i="13"/>
  <c r="BX11" i="13"/>
  <c r="BW11" i="13"/>
  <c r="BV11" i="13"/>
  <c r="BU11" i="13"/>
  <c r="CB10" i="13"/>
  <c r="CA10" i="13"/>
  <c r="BY10" i="13"/>
  <c r="BX10" i="13"/>
  <c r="BW10" i="13"/>
  <c r="BV10" i="13"/>
  <c r="BU10" i="13"/>
  <c r="CB9" i="13"/>
  <c r="CA9" i="13"/>
  <c r="BY9" i="13"/>
  <c r="BX9" i="13"/>
  <c r="BW9" i="13"/>
  <c r="BV9" i="13"/>
  <c r="BU9" i="13"/>
  <c r="CB12" i="13"/>
  <c r="CA12" i="13"/>
  <c r="BY12" i="13"/>
  <c r="BX12" i="13"/>
  <c r="BW12" i="13"/>
  <c r="BV12" i="13"/>
  <c r="BU12" i="13"/>
  <c r="CB7" i="13"/>
  <c r="CA7" i="13"/>
  <c r="BY7" i="13"/>
  <c r="BX7" i="13"/>
  <c r="BW7" i="13"/>
  <c r="BV7" i="13"/>
  <c r="BU7" i="13"/>
  <c r="CB6" i="13"/>
  <c r="CA6" i="13"/>
  <c r="BY6" i="13"/>
  <c r="BX6" i="13"/>
  <c r="BW6" i="13"/>
  <c r="BV6" i="13"/>
  <c r="BU6" i="13"/>
  <c r="CB8" i="13"/>
  <c r="CA8" i="13"/>
  <c r="BY8" i="13"/>
  <c r="BX8" i="13"/>
  <c r="BW8" i="13"/>
  <c r="BV8" i="13"/>
  <c r="BU8" i="13"/>
  <c r="CB5" i="13"/>
  <c r="CA5" i="13"/>
  <c r="BY5" i="13"/>
  <c r="BX5" i="13"/>
  <c r="BW5" i="13"/>
  <c r="BV5" i="13"/>
  <c r="BU5" i="13"/>
  <c r="CB4" i="13"/>
  <c r="CA4" i="13"/>
  <c r="BY4" i="13"/>
  <c r="BX4" i="13"/>
  <c r="BW4" i="13"/>
  <c r="BV4" i="13"/>
  <c r="BU4" i="13"/>
  <c r="AX14" i="13"/>
  <c r="AW14" i="13"/>
  <c r="AU14" i="13"/>
  <c r="AT14" i="13"/>
  <c r="AS14" i="13"/>
  <c r="AR14" i="13"/>
  <c r="AQ14" i="13"/>
  <c r="AX13" i="13"/>
  <c r="AW13" i="13"/>
  <c r="AU13" i="13"/>
  <c r="AT13" i="13"/>
  <c r="AS13" i="13"/>
  <c r="AR13" i="13"/>
  <c r="AQ13" i="13"/>
  <c r="AX11" i="13"/>
  <c r="AW11" i="13"/>
  <c r="AU11" i="13"/>
  <c r="AT11" i="13"/>
  <c r="AS11" i="13"/>
  <c r="AR11" i="13"/>
  <c r="AQ11" i="13"/>
  <c r="AX10" i="13"/>
  <c r="AW10" i="13"/>
  <c r="AU10" i="13"/>
  <c r="AT10" i="13"/>
  <c r="AS10" i="13"/>
  <c r="AR10" i="13"/>
  <c r="AQ10" i="13"/>
  <c r="AX9" i="13"/>
  <c r="AW9" i="13"/>
  <c r="AU9" i="13"/>
  <c r="AT9" i="13"/>
  <c r="AS9" i="13"/>
  <c r="AR9" i="13"/>
  <c r="AQ9" i="13"/>
  <c r="AX12" i="13"/>
  <c r="AW12" i="13"/>
  <c r="AU12" i="13"/>
  <c r="AT12" i="13"/>
  <c r="AS12" i="13"/>
  <c r="AR12" i="13"/>
  <c r="AQ12" i="13"/>
  <c r="AX7" i="13"/>
  <c r="AW7" i="13"/>
  <c r="AU7" i="13"/>
  <c r="AT7" i="13"/>
  <c r="AS7" i="13"/>
  <c r="AR7" i="13"/>
  <c r="AQ7" i="13"/>
  <c r="AX6" i="13"/>
  <c r="AW6" i="13"/>
  <c r="AU6" i="13"/>
  <c r="AT6" i="13"/>
  <c r="AS6" i="13"/>
  <c r="AR6" i="13"/>
  <c r="AQ6" i="13"/>
  <c r="AX8" i="13"/>
  <c r="AW8" i="13"/>
  <c r="AU8" i="13"/>
  <c r="AT8" i="13"/>
  <c r="AS8" i="13"/>
  <c r="AR8" i="13"/>
  <c r="AQ8" i="13"/>
  <c r="AX5" i="13"/>
  <c r="AW5" i="13"/>
  <c r="AU5" i="13"/>
  <c r="AT5" i="13"/>
  <c r="AS5" i="13"/>
  <c r="AR5" i="13"/>
  <c r="AQ5" i="13"/>
  <c r="AX4" i="13"/>
  <c r="AW4" i="13"/>
  <c r="AU4" i="13"/>
  <c r="AT4" i="13"/>
  <c r="AS4" i="13"/>
  <c r="AR4" i="13"/>
  <c r="AQ4" i="13"/>
  <c r="CB18" i="4"/>
  <c r="CA18" i="4"/>
  <c r="BY18" i="4"/>
  <c r="BX18" i="4"/>
  <c r="BW18" i="4"/>
  <c r="BV18" i="4"/>
  <c r="BU18" i="4"/>
  <c r="CB20" i="4"/>
  <c r="CA20" i="4"/>
  <c r="BY20" i="4"/>
  <c r="BX20" i="4"/>
  <c r="BW20" i="4"/>
  <c r="BV20" i="4"/>
  <c r="BU20" i="4"/>
  <c r="CB17" i="4"/>
  <c r="CA17" i="4"/>
  <c r="BY17" i="4"/>
  <c r="BX17" i="4"/>
  <c r="BW17" i="4"/>
  <c r="BV17" i="4"/>
  <c r="BU17" i="4"/>
  <c r="CB16" i="4"/>
  <c r="CA16" i="4"/>
  <c r="BY16" i="4"/>
  <c r="BX16" i="4"/>
  <c r="BW16" i="4"/>
  <c r="BV16" i="4"/>
  <c r="BU16" i="4"/>
  <c r="CB19" i="4"/>
  <c r="CA19" i="4"/>
  <c r="BY19" i="4"/>
  <c r="BX19" i="4"/>
  <c r="BW19" i="4"/>
  <c r="BV19" i="4"/>
  <c r="BU19" i="4"/>
  <c r="CB10" i="4"/>
  <c r="CA10" i="4"/>
  <c r="BY10" i="4"/>
  <c r="BX10" i="4"/>
  <c r="BW10" i="4"/>
  <c r="BV10" i="4"/>
  <c r="BU10" i="4"/>
  <c r="CB12" i="4"/>
  <c r="CA12" i="4"/>
  <c r="BY12" i="4"/>
  <c r="BX12" i="4"/>
  <c r="BW12" i="4"/>
  <c r="BV12" i="4"/>
  <c r="BU12" i="4"/>
  <c r="CB13" i="4"/>
  <c r="CA13" i="4"/>
  <c r="BY13" i="4"/>
  <c r="BX13" i="4"/>
  <c r="BW13" i="4"/>
  <c r="BV13" i="4"/>
  <c r="BU13" i="4"/>
  <c r="CB15" i="4"/>
  <c r="CA15" i="4"/>
  <c r="BY15" i="4"/>
  <c r="BX15" i="4"/>
  <c r="BW15" i="4"/>
  <c r="BV15" i="4"/>
  <c r="BU15" i="4"/>
  <c r="CB14" i="4"/>
  <c r="CA14" i="4"/>
  <c r="BY14" i="4"/>
  <c r="BX14" i="4"/>
  <c r="BW14" i="4"/>
  <c r="BV14" i="4"/>
  <c r="BU14" i="4"/>
  <c r="CB11" i="4"/>
  <c r="CA11" i="4"/>
  <c r="BY11" i="4"/>
  <c r="BX11" i="4"/>
  <c r="BW11" i="4"/>
  <c r="BV11" i="4"/>
  <c r="BU11" i="4"/>
  <c r="CB8" i="4"/>
  <c r="CA8" i="4"/>
  <c r="BY8" i="4"/>
  <c r="BX8" i="4"/>
  <c r="BW8" i="4"/>
  <c r="BV8" i="4"/>
  <c r="BU8" i="4"/>
  <c r="CB9" i="4"/>
  <c r="CA9" i="4"/>
  <c r="BY9" i="4"/>
  <c r="BX9" i="4"/>
  <c r="BW9" i="4"/>
  <c r="BV9" i="4"/>
  <c r="BU9" i="4"/>
  <c r="CB6" i="4"/>
  <c r="CA6" i="4"/>
  <c r="BY6" i="4"/>
  <c r="BX6" i="4"/>
  <c r="BW6" i="4"/>
  <c r="BV6" i="4"/>
  <c r="BU6" i="4"/>
  <c r="CB7" i="4"/>
  <c r="CA7" i="4"/>
  <c r="BY7" i="4"/>
  <c r="BX7" i="4"/>
  <c r="BW7" i="4"/>
  <c r="BV7" i="4"/>
  <c r="BU7" i="4"/>
  <c r="CB5" i="4"/>
  <c r="CA5" i="4"/>
  <c r="BY5" i="4"/>
  <c r="BX5" i="4"/>
  <c r="BW5" i="4"/>
  <c r="BV5" i="4"/>
  <c r="BU5" i="4"/>
  <c r="CB4" i="4"/>
  <c r="CA4" i="4"/>
  <c r="BY4" i="4"/>
  <c r="BX4" i="4"/>
  <c r="BW4" i="4"/>
  <c r="BV4" i="4"/>
  <c r="BU4" i="4"/>
  <c r="AX18" i="4"/>
  <c r="AW18" i="4"/>
  <c r="AU18" i="4"/>
  <c r="AT18" i="4"/>
  <c r="AS18" i="4"/>
  <c r="AR18" i="4"/>
  <c r="AQ18" i="4"/>
  <c r="AX20" i="4"/>
  <c r="AW20" i="4"/>
  <c r="AU20" i="4"/>
  <c r="AT20" i="4"/>
  <c r="AS20" i="4"/>
  <c r="AR20" i="4"/>
  <c r="AQ20" i="4"/>
  <c r="AX17" i="4"/>
  <c r="AW17" i="4"/>
  <c r="AU17" i="4"/>
  <c r="AT17" i="4"/>
  <c r="AS17" i="4"/>
  <c r="AR17" i="4"/>
  <c r="AQ17" i="4"/>
  <c r="AX16" i="4"/>
  <c r="AW16" i="4"/>
  <c r="AU16" i="4"/>
  <c r="AT16" i="4"/>
  <c r="AS16" i="4"/>
  <c r="AR16" i="4"/>
  <c r="AQ16" i="4"/>
  <c r="AX19" i="4"/>
  <c r="AW19" i="4"/>
  <c r="AU19" i="4"/>
  <c r="AT19" i="4"/>
  <c r="AS19" i="4"/>
  <c r="AR19" i="4"/>
  <c r="AQ19" i="4"/>
  <c r="AX10" i="4"/>
  <c r="AW10" i="4"/>
  <c r="AU10" i="4"/>
  <c r="AT10" i="4"/>
  <c r="AS10" i="4"/>
  <c r="AR10" i="4"/>
  <c r="AQ10" i="4"/>
  <c r="AX12" i="4"/>
  <c r="AW12" i="4"/>
  <c r="AU12" i="4"/>
  <c r="AT12" i="4"/>
  <c r="AS12" i="4"/>
  <c r="AR12" i="4"/>
  <c r="AQ12" i="4"/>
  <c r="AX13" i="4"/>
  <c r="AW13" i="4"/>
  <c r="AU13" i="4"/>
  <c r="AT13" i="4"/>
  <c r="AS13" i="4"/>
  <c r="AR13" i="4"/>
  <c r="AQ13" i="4"/>
  <c r="AX15" i="4"/>
  <c r="AW15" i="4"/>
  <c r="AU15" i="4"/>
  <c r="AT15" i="4"/>
  <c r="AS15" i="4"/>
  <c r="AR15" i="4"/>
  <c r="AQ15" i="4"/>
  <c r="AX14" i="4"/>
  <c r="AW14" i="4"/>
  <c r="AU14" i="4"/>
  <c r="AT14" i="4"/>
  <c r="AS14" i="4"/>
  <c r="AR14" i="4"/>
  <c r="AQ14" i="4"/>
  <c r="AX11" i="4"/>
  <c r="AW11" i="4"/>
  <c r="AU11" i="4"/>
  <c r="AT11" i="4"/>
  <c r="AS11" i="4"/>
  <c r="AR11" i="4"/>
  <c r="AQ11" i="4"/>
  <c r="AX8" i="4"/>
  <c r="AW8" i="4"/>
  <c r="AU8" i="4"/>
  <c r="AT8" i="4"/>
  <c r="AS8" i="4"/>
  <c r="AR8" i="4"/>
  <c r="AQ8" i="4"/>
  <c r="AX9" i="4"/>
  <c r="AW9" i="4"/>
  <c r="AU9" i="4"/>
  <c r="AT9" i="4"/>
  <c r="AS9" i="4"/>
  <c r="AR9" i="4"/>
  <c r="AQ9" i="4"/>
  <c r="AX6" i="4"/>
  <c r="AW6" i="4"/>
  <c r="AU6" i="4"/>
  <c r="AT6" i="4"/>
  <c r="AS6" i="4"/>
  <c r="AR6" i="4"/>
  <c r="AQ6" i="4"/>
  <c r="AX7" i="4"/>
  <c r="AW7" i="4"/>
  <c r="AU7" i="4"/>
  <c r="AT7" i="4"/>
  <c r="AS7" i="4"/>
  <c r="AR7" i="4"/>
  <c r="AQ7" i="4"/>
  <c r="AX5" i="4"/>
  <c r="AW5" i="4"/>
  <c r="AU5" i="4"/>
  <c r="AT5" i="4"/>
  <c r="AS5" i="4"/>
  <c r="AR5" i="4"/>
  <c r="AQ5" i="4"/>
  <c r="AX4" i="4"/>
  <c r="AW4" i="4"/>
  <c r="AU4" i="4"/>
  <c r="AT4" i="4"/>
  <c r="AS4" i="4"/>
  <c r="AR4" i="4"/>
  <c r="AQ4" i="4"/>
  <c r="CY20" i="4"/>
  <c r="CZ20" i="4"/>
  <c r="DA20" i="4"/>
  <c r="DB20" i="4"/>
  <c r="DC20" i="4"/>
  <c r="DE20" i="4"/>
  <c r="DF20" i="4"/>
  <c r="EA20" i="4"/>
  <c r="EB20" i="4"/>
  <c r="EC20" i="4"/>
  <c r="EE20" i="4"/>
  <c r="EF20" i="4"/>
  <c r="EW20" i="4"/>
  <c r="EX20" i="4"/>
  <c r="EY20" i="4"/>
  <c r="FA20" i="4"/>
  <c r="FB20" i="4"/>
  <c r="FS20" i="4"/>
  <c r="FT20" i="4"/>
  <c r="FU20" i="4"/>
  <c r="FW20" i="4"/>
  <c r="FX20" i="4"/>
  <c r="GO20" i="4"/>
  <c r="GP20" i="4"/>
  <c r="GQ20" i="4"/>
  <c r="GS20" i="4"/>
  <c r="GT20" i="4"/>
  <c r="HK20" i="4"/>
  <c r="HL20" i="4"/>
  <c r="HM20" i="4"/>
  <c r="HO20" i="4"/>
  <c r="HP20" i="4"/>
  <c r="IG20" i="4"/>
  <c r="IH20" i="4"/>
  <c r="II20" i="4"/>
  <c r="IK20" i="4"/>
  <c r="IL20" i="4"/>
  <c r="JC20" i="4"/>
  <c r="JD20" i="4"/>
  <c r="JE20" i="4"/>
  <c r="JG20" i="4"/>
  <c r="JH20" i="4"/>
  <c r="JY20" i="4"/>
  <c r="JZ20" i="4"/>
  <c r="KA20" i="4"/>
  <c r="KC20" i="4"/>
  <c r="KD20" i="4"/>
  <c r="KU20" i="4"/>
  <c r="KV20" i="4"/>
  <c r="KW20" i="4"/>
  <c r="KY20" i="4"/>
  <c r="KZ20" i="4"/>
  <c r="LQ20" i="4"/>
  <c r="LR20" i="4"/>
  <c r="LS20" i="4"/>
  <c r="LU20" i="4"/>
  <c r="LV20" i="4"/>
  <c r="MM20" i="4"/>
  <c r="MN20" i="4"/>
  <c r="MO20" i="4"/>
  <c r="MQ20" i="4"/>
  <c r="MR20" i="4"/>
  <c r="NI20" i="4"/>
  <c r="NJ20" i="4"/>
  <c r="NK20" i="4"/>
  <c r="NM20" i="4"/>
  <c r="NN20" i="4"/>
  <c r="NP20" i="4"/>
  <c r="NQ20" i="4"/>
  <c r="NR20" i="4"/>
  <c r="NS20" i="4"/>
  <c r="NT20" i="4"/>
  <c r="NU20" i="4"/>
  <c r="NV20" i="4"/>
  <c r="NW20" i="4"/>
  <c r="OL20" i="4" s="1"/>
  <c r="NX20" i="4"/>
  <c r="NY20" i="4"/>
  <c r="NZ20" i="4"/>
  <c r="OA20" i="4"/>
  <c r="OB20" i="4"/>
  <c r="ON20" i="4" s="1"/>
  <c r="OC20" i="4"/>
  <c r="OD20" i="4"/>
  <c r="OE20" i="4"/>
  <c r="OF20" i="4"/>
  <c r="OG20" i="4"/>
  <c r="OQ20" i="4" s="1"/>
  <c r="OH20" i="4"/>
  <c r="OI20" i="4"/>
  <c r="BH4" i="12" l="1"/>
  <c r="BH8" i="12"/>
  <c r="AL5" i="7"/>
  <c r="BH5" i="7"/>
  <c r="AV9" i="4"/>
  <c r="AV19" i="4"/>
  <c r="AL7" i="12"/>
  <c r="AL12" i="12"/>
  <c r="AL16" i="12"/>
  <c r="BH5" i="12"/>
  <c r="BH7" i="12"/>
  <c r="BH11" i="12"/>
  <c r="AL5" i="6"/>
  <c r="BH5" i="6"/>
  <c r="BH6" i="6"/>
  <c r="BH11" i="6"/>
  <c r="BH10" i="6"/>
  <c r="BH14" i="6"/>
  <c r="AY9" i="4"/>
  <c r="AY19" i="4"/>
  <c r="BH4" i="6"/>
  <c r="BH6" i="8"/>
  <c r="AV6" i="13"/>
  <c r="BH12" i="12"/>
  <c r="BH15" i="6"/>
  <c r="BH4" i="8"/>
  <c r="BH7" i="8"/>
  <c r="BZ9" i="13"/>
  <c r="CC9" i="13" s="1"/>
  <c r="BZ14" i="13"/>
  <c r="CC14" i="13" s="1"/>
  <c r="AV8" i="13"/>
  <c r="AY8" i="13" s="1"/>
  <c r="BZ13" i="13"/>
  <c r="CC13" i="13" s="1"/>
  <c r="BZ12" i="13"/>
  <c r="CC12" i="13" s="1"/>
  <c r="AV5" i="4"/>
  <c r="AY5" i="4" s="1"/>
  <c r="BZ11" i="4"/>
  <c r="CC11" i="4" s="1"/>
  <c r="BZ17" i="4"/>
  <c r="CC17" i="4" s="1"/>
  <c r="BZ19" i="4"/>
  <c r="CC19" i="4" s="1"/>
  <c r="BH6" i="12"/>
  <c r="BH10" i="12"/>
  <c r="BH13" i="12"/>
  <c r="AL15" i="12"/>
  <c r="BH16" i="12"/>
  <c r="AL11" i="12"/>
  <c r="AL5" i="12"/>
  <c r="AL9" i="12"/>
  <c r="BH15" i="12"/>
  <c r="AL8" i="12"/>
  <c r="BH9" i="12"/>
  <c r="AL6" i="6"/>
  <c r="AL14" i="6"/>
  <c r="AL15" i="6"/>
  <c r="AL4" i="6"/>
  <c r="AL7" i="6"/>
  <c r="AL9" i="6"/>
  <c r="BH9" i="6"/>
  <c r="BH12" i="6"/>
  <c r="BH13" i="6"/>
  <c r="AL12" i="6"/>
  <c r="AL13" i="6"/>
  <c r="AL8" i="6"/>
  <c r="BH7" i="6"/>
  <c r="AL11" i="6"/>
  <c r="AL10" i="6"/>
  <c r="BH8" i="6"/>
  <c r="AL6" i="8"/>
  <c r="AL4" i="8"/>
  <c r="AL7" i="8"/>
  <c r="BH4" i="7"/>
  <c r="AL4" i="7"/>
  <c r="BZ11" i="13"/>
  <c r="CC11" i="13" s="1"/>
  <c r="AV10" i="13"/>
  <c r="AY10" i="13" s="1"/>
  <c r="AV13" i="13"/>
  <c r="AY13" i="13" s="1"/>
  <c r="BZ4" i="13"/>
  <c r="CC4" i="13" s="1"/>
  <c r="AV9" i="13"/>
  <c r="AY9" i="13" s="1"/>
  <c r="AV11" i="13"/>
  <c r="AY11" i="13" s="1"/>
  <c r="BZ6" i="13"/>
  <c r="CC6" i="13" s="1"/>
  <c r="AV4" i="13"/>
  <c r="AY4" i="13" s="1"/>
  <c r="AV12" i="13"/>
  <c r="AY12" i="13" s="1"/>
  <c r="AV7" i="13"/>
  <c r="AY7" i="13" s="1"/>
  <c r="BZ7" i="13"/>
  <c r="CC7" i="13" s="1"/>
  <c r="AY6" i="13"/>
  <c r="BZ10" i="13"/>
  <c r="CC10" i="13" s="1"/>
  <c r="AV5" i="13"/>
  <c r="AY5" i="13" s="1"/>
  <c r="AV14" i="13"/>
  <c r="AY14" i="13" s="1"/>
  <c r="BZ8" i="13"/>
  <c r="CC8" i="13" s="1"/>
  <c r="BZ5" i="13"/>
  <c r="CC5" i="13" s="1"/>
  <c r="AV7" i="4"/>
  <c r="AY7" i="4" s="1"/>
  <c r="AV4" i="4"/>
  <c r="AY4" i="4" s="1"/>
  <c r="BZ16" i="4"/>
  <c r="CC16" i="4" s="1"/>
  <c r="AV11" i="4"/>
  <c r="AY11" i="4" s="1"/>
  <c r="AV17" i="4"/>
  <c r="AY17" i="4" s="1"/>
  <c r="BZ6" i="4"/>
  <c r="CC6" i="4" s="1"/>
  <c r="BZ14" i="4"/>
  <c r="CC14" i="4" s="1"/>
  <c r="BZ10" i="4"/>
  <c r="CC10" i="4" s="1"/>
  <c r="AV8" i="4"/>
  <c r="AY8" i="4" s="1"/>
  <c r="AV16" i="4"/>
  <c r="AY16" i="4" s="1"/>
  <c r="BZ7" i="4"/>
  <c r="CC7" i="4" s="1"/>
  <c r="AV10" i="4"/>
  <c r="AY10" i="4" s="1"/>
  <c r="AV6" i="4"/>
  <c r="AY6" i="4" s="1"/>
  <c r="AV20" i="4"/>
  <c r="AY20" i="4" s="1"/>
  <c r="BZ8" i="4"/>
  <c r="CC8" i="4" s="1"/>
  <c r="BZ9" i="4"/>
  <c r="CC9" i="4" s="1"/>
  <c r="AV12" i="4"/>
  <c r="AY12" i="4" s="1"/>
  <c r="BZ5" i="4"/>
  <c r="CC5" i="4" s="1"/>
  <c r="BZ12" i="4"/>
  <c r="CC12" i="4" s="1"/>
  <c r="AV13" i="4"/>
  <c r="AY13" i="4" s="1"/>
  <c r="BZ4" i="4"/>
  <c r="CC4" i="4" s="1"/>
  <c r="BZ13" i="4"/>
  <c r="CC13" i="4" s="1"/>
  <c r="AV15" i="4"/>
  <c r="AY15" i="4" s="1"/>
  <c r="BZ15" i="4"/>
  <c r="CC15" i="4" s="1"/>
  <c r="BZ18" i="4"/>
  <c r="CC18" i="4" s="1"/>
  <c r="AV14" i="4"/>
  <c r="AY14" i="4" s="1"/>
  <c r="AV18" i="4"/>
  <c r="AY18" i="4" s="1"/>
  <c r="BZ20" i="4"/>
  <c r="CC20" i="4" s="1"/>
  <c r="FV20" i="4"/>
  <c r="FY20" i="4" s="1"/>
  <c r="JF20" i="4"/>
  <c r="JI20" i="4" s="1"/>
  <c r="Q20" i="4"/>
  <c r="R20" i="4" s="1"/>
  <c r="DD20" i="4"/>
  <c r="DG20" i="4" s="1"/>
  <c r="NL20" i="4"/>
  <c r="NO20" i="4" s="1"/>
  <c r="EZ20" i="4"/>
  <c r="FC20" i="4" s="1"/>
  <c r="KX20" i="4"/>
  <c r="LA20" i="4" s="1"/>
  <c r="ED20" i="4"/>
  <c r="EG20" i="4" s="1"/>
  <c r="KB20" i="4"/>
  <c r="KE20" i="4" s="1"/>
  <c r="OO20" i="4"/>
  <c r="MP20" i="4"/>
  <c r="MS20" i="4" s="1"/>
  <c r="LT20" i="4"/>
  <c r="LW20" i="4" s="1"/>
  <c r="IJ20" i="4"/>
  <c r="IM20" i="4" s="1"/>
  <c r="HN20" i="4"/>
  <c r="HQ20" i="4" s="1"/>
  <c r="GR20" i="4"/>
  <c r="GU20" i="4" s="1"/>
  <c r="OM20" i="4"/>
  <c r="OK20" i="4"/>
  <c r="G20" i="4"/>
  <c r="CY17" i="4"/>
  <c r="CZ17" i="4"/>
  <c r="DA17" i="4"/>
  <c r="DB17" i="4"/>
  <c r="DC17" i="4"/>
  <c r="DE17" i="4"/>
  <c r="DF17" i="4"/>
  <c r="EA17" i="4"/>
  <c r="EB17" i="4"/>
  <c r="EC17" i="4"/>
  <c r="EE17" i="4"/>
  <c r="EF17" i="4"/>
  <c r="EW17" i="4"/>
  <c r="EX17" i="4"/>
  <c r="EY17" i="4"/>
  <c r="FA17" i="4"/>
  <c r="FB17" i="4"/>
  <c r="FS17" i="4"/>
  <c r="FT17" i="4"/>
  <c r="FU17" i="4"/>
  <c r="FW17" i="4"/>
  <c r="FX17" i="4"/>
  <c r="GO17" i="4"/>
  <c r="GP17" i="4"/>
  <c r="GQ17" i="4"/>
  <c r="GS17" i="4"/>
  <c r="GT17" i="4"/>
  <c r="HK17" i="4"/>
  <c r="HL17" i="4"/>
  <c r="HM17" i="4"/>
  <c r="HO17" i="4"/>
  <c r="HP17" i="4"/>
  <c r="IG17" i="4"/>
  <c r="IH17" i="4"/>
  <c r="II17" i="4"/>
  <c r="IK17" i="4"/>
  <c r="IL17" i="4"/>
  <c r="JC17" i="4"/>
  <c r="JD17" i="4"/>
  <c r="JE17" i="4"/>
  <c r="JG17" i="4"/>
  <c r="JH17" i="4"/>
  <c r="JY17" i="4"/>
  <c r="JZ17" i="4"/>
  <c r="KA17" i="4"/>
  <c r="KC17" i="4"/>
  <c r="KD17" i="4"/>
  <c r="KU17" i="4"/>
  <c r="KV17" i="4"/>
  <c r="KW17" i="4"/>
  <c r="KY17" i="4"/>
  <c r="KZ17" i="4"/>
  <c r="LQ17" i="4"/>
  <c r="LR17" i="4"/>
  <c r="LS17" i="4"/>
  <c r="LU17" i="4"/>
  <c r="LV17" i="4"/>
  <c r="MM17" i="4"/>
  <c r="MN17" i="4"/>
  <c r="MO17" i="4"/>
  <c r="MQ17" i="4"/>
  <c r="MR17" i="4"/>
  <c r="NI17" i="4"/>
  <c r="NJ17" i="4"/>
  <c r="NK17" i="4"/>
  <c r="NM17" i="4"/>
  <c r="NN17" i="4"/>
  <c r="NP17" i="4"/>
  <c r="NQ17" i="4"/>
  <c r="NR17" i="4"/>
  <c r="NS17" i="4"/>
  <c r="NT17" i="4"/>
  <c r="NU17" i="4"/>
  <c r="NV17" i="4"/>
  <c r="NW17" i="4"/>
  <c r="OL17" i="4" s="1"/>
  <c r="NX17" i="4"/>
  <c r="NY17" i="4"/>
  <c r="NZ17" i="4"/>
  <c r="OA17" i="4"/>
  <c r="OB17" i="4"/>
  <c r="ON17" i="4" s="1"/>
  <c r="OC17" i="4"/>
  <c r="OD17" i="4"/>
  <c r="OE17" i="4"/>
  <c r="OF17" i="4"/>
  <c r="OG17" i="4"/>
  <c r="OQ17" i="4" s="1"/>
  <c r="OH17" i="4"/>
  <c r="OI17" i="4"/>
  <c r="CY10" i="4"/>
  <c r="CZ10" i="4"/>
  <c r="DA10" i="4"/>
  <c r="DB10" i="4"/>
  <c r="DC10" i="4"/>
  <c r="DE10" i="4"/>
  <c r="DF10" i="4"/>
  <c r="EA10" i="4"/>
  <c r="EB10" i="4"/>
  <c r="EC10" i="4"/>
  <c r="EE10" i="4"/>
  <c r="EF10" i="4"/>
  <c r="EW10" i="4"/>
  <c r="EX10" i="4"/>
  <c r="EY10" i="4"/>
  <c r="FA10" i="4"/>
  <c r="FB10" i="4"/>
  <c r="FS10" i="4"/>
  <c r="FT10" i="4"/>
  <c r="FU10" i="4"/>
  <c r="FW10" i="4"/>
  <c r="FX10" i="4"/>
  <c r="GO10" i="4"/>
  <c r="GP10" i="4"/>
  <c r="GQ10" i="4"/>
  <c r="GS10" i="4"/>
  <c r="GT10" i="4"/>
  <c r="HK10" i="4"/>
  <c r="HL10" i="4"/>
  <c r="HM10" i="4"/>
  <c r="HO10" i="4"/>
  <c r="HP10" i="4"/>
  <c r="IG10" i="4"/>
  <c r="IH10" i="4"/>
  <c r="II10" i="4"/>
  <c r="IK10" i="4"/>
  <c r="IL10" i="4"/>
  <c r="JC10" i="4"/>
  <c r="JD10" i="4"/>
  <c r="JE10" i="4"/>
  <c r="JG10" i="4"/>
  <c r="JH10" i="4"/>
  <c r="JY10" i="4"/>
  <c r="JZ10" i="4"/>
  <c r="KA10" i="4"/>
  <c r="KC10" i="4"/>
  <c r="KD10" i="4"/>
  <c r="KU10" i="4"/>
  <c r="KV10" i="4"/>
  <c r="KW10" i="4"/>
  <c r="KY10" i="4"/>
  <c r="KZ10" i="4"/>
  <c r="LQ10" i="4"/>
  <c r="LR10" i="4"/>
  <c r="LS10" i="4"/>
  <c r="LU10" i="4"/>
  <c r="LV10" i="4"/>
  <c r="MM10" i="4"/>
  <c r="MN10" i="4"/>
  <c r="MO10" i="4"/>
  <c r="MQ10" i="4"/>
  <c r="MR10" i="4"/>
  <c r="NI10" i="4"/>
  <c r="NJ10" i="4"/>
  <c r="NK10" i="4"/>
  <c r="NM10" i="4"/>
  <c r="NN10" i="4"/>
  <c r="NP10" i="4"/>
  <c r="NQ10" i="4"/>
  <c r="NR10" i="4"/>
  <c r="NS10" i="4"/>
  <c r="NT10" i="4"/>
  <c r="NU10" i="4"/>
  <c r="NV10" i="4"/>
  <c r="NW10" i="4"/>
  <c r="OL10" i="4" s="1"/>
  <c r="NX10" i="4"/>
  <c r="NY10" i="4"/>
  <c r="NZ10" i="4"/>
  <c r="OA10" i="4"/>
  <c r="OB10" i="4"/>
  <c r="OC10" i="4"/>
  <c r="OD10" i="4"/>
  <c r="OE10" i="4"/>
  <c r="OF10" i="4"/>
  <c r="OG10" i="4"/>
  <c r="OQ10" i="4" s="1"/>
  <c r="OH10" i="4"/>
  <c r="OI10" i="4"/>
  <c r="ON10" i="4"/>
  <c r="LW4" i="14"/>
  <c r="LV4" i="14"/>
  <c r="LT4" i="14"/>
  <c r="LS4" i="14"/>
  <c r="LR4" i="14"/>
  <c r="LA4" i="14"/>
  <c r="KZ4" i="14"/>
  <c r="KX4" i="14"/>
  <c r="KW4" i="14"/>
  <c r="KV4" i="14"/>
  <c r="KE4" i="14"/>
  <c r="KD4" i="14"/>
  <c r="KB4" i="14"/>
  <c r="KA4" i="14"/>
  <c r="JZ4" i="14"/>
  <c r="JI4" i="14"/>
  <c r="JH4" i="14"/>
  <c r="JF4" i="14"/>
  <c r="JE4" i="14"/>
  <c r="JD4" i="14"/>
  <c r="IM4" i="14"/>
  <c r="IL4" i="14"/>
  <c r="IJ4" i="14"/>
  <c r="II4" i="14"/>
  <c r="IH4" i="14"/>
  <c r="HQ4" i="14"/>
  <c r="HP4" i="14"/>
  <c r="HN4" i="14"/>
  <c r="HM4" i="14"/>
  <c r="HL4" i="14"/>
  <c r="GU4" i="14"/>
  <c r="GT4" i="14"/>
  <c r="GR4" i="14"/>
  <c r="GQ4" i="14"/>
  <c r="GP4" i="14"/>
  <c r="FY4" i="14"/>
  <c r="FX4" i="14"/>
  <c r="FV4" i="14"/>
  <c r="FU4" i="14"/>
  <c r="FT4" i="14"/>
  <c r="FC4" i="14"/>
  <c r="FB4" i="14"/>
  <c r="EZ4" i="14"/>
  <c r="EY4" i="14"/>
  <c r="EX4" i="14"/>
  <c r="EG4" i="14"/>
  <c r="EF4" i="14"/>
  <c r="ED4" i="14"/>
  <c r="EC4" i="14"/>
  <c r="EB4" i="14"/>
  <c r="DK4" i="14"/>
  <c r="DJ4" i="14"/>
  <c r="DH4" i="14"/>
  <c r="DG4" i="14"/>
  <c r="DF4" i="14"/>
  <c r="LW4" i="9"/>
  <c r="LV4" i="9"/>
  <c r="LT4" i="9"/>
  <c r="LS4" i="9"/>
  <c r="LR4" i="9"/>
  <c r="LA4" i="9"/>
  <c r="KZ4" i="9"/>
  <c r="KX4" i="9"/>
  <c r="KW4" i="9"/>
  <c r="KV4" i="9"/>
  <c r="KE4" i="9"/>
  <c r="KD4" i="9"/>
  <c r="KB4" i="9"/>
  <c r="KA4" i="9"/>
  <c r="JZ4" i="9"/>
  <c r="JI4" i="9"/>
  <c r="JH4" i="9"/>
  <c r="JF4" i="9"/>
  <c r="JE4" i="9"/>
  <c r="JD4" i="9"/>
  <c r="IM4" i="9"/>
  <c r="IL4" i="9"/>
  <c r="IJ4" i="9"/>
  <c r="II4" i="9"/>
  <c r="IH4" i="9"/>
  <c r="HQ4" i="9"/>
  <c r="HP4" i="9"/>
  <c r="HN4" i="9"/>
  <c r="HM4" i="9"/>
  <c r="HL4" i="9"/>
  <c r="GU4" i="9"/>
  <c r="GT4" i="9"/>
  <c r="GR4" i="9"/>
  <c r="GQ4" i="9"/>
  <c r="GP4" i="9"/>
  <c r="FY4" i="9"/>
  <c r="FX4" i="9"/>
  <c r="FV4" i="9"/>
  <c r="FU4" i="9"/>
  <c r="FT4" i="9"/>
  <c r="FC4" i="9"/>
  <c r="FB4" i="9"/>
  <c r="EZ4" i="9"/>
  <c r="EY4" i="9"/>
  <c r="EX4" i="9"/>
  <c r="EG4" i="9"/>
  <c r="EF4" i="9"/>
  <c r="ED4" i="9"/>
  <c r="EC4" i="9"/>
  <c r="EB4" i="9"/>
  <c r="DK4" i="9"/>
  <c r="DJ4" i="9"/>
  <c r="DH4" i="9"/>
  <c r="DG4" i="9"/>
  <c r="DF4" i="9"/>
  <c r="MR13" i="13"/>
  <c r="MQ13" i="13"/>
  <c r="MO13" i="13"/>
  <c r="MN13" i="13"/>
  <c r="MM13" i="13"/>
  <c r="MR14" i="13"/>
  <c r="MQ14" i="13"/>
  <c r="MO14" i="13"/>
  <c r="MN14" i="13"/>
  <c r="MM14" i="13"/>
  <c r="MR11" i="13"/>
  <c r="MQ11" i="13"/>
  <c r="MO11" i="13"/>
  <c r="MN11" i="13"/>
  <c r="MM11" i="13"/>
  <c r="MR10" i="13"/>
  <c r="MQ10" i="13"/>
  <c r="MO10" i="13"/>
  <c r="MN10" i="13"/>
  <c r="MM10" i="13"/>
  <c r="MR9" i="13"/>
  <c r="MQ9" i="13"/>
  <c r="MO9" i="13"/>
  <c r="MN9" i="13"/>
  <c r="MM9" i="13"/>
  <c r="MR12" i="13"/>
  <c r="MQ12" i="13"/>
  <c r="MO12" i="13"/>
  <c r="MN12" i="13"/>
  <c r="MM12" i="13"/>
  <c r="MR7" i="13"/>
  <c r="MQ7" i="13"/>
  <c r="MO7" i="13"/>
  <c r="MN7" i="13"/>
  <c r="MM7" i="13"/>
  <c r="MR6" i="13"/>
  <c r="MQ6" i="13"/>
  <c r="MO6" i="13"/>
  <c r="MN6" i="13"/>
  <c r="MM6" i="13"/>
  <c r="MR8" i="13"/>
  <c r="MQ8" i="13"/>
  <c r="MO8" i="13"/>
  <c r="MN8" i="13"/>
  <c r="MM8" i="13"/>
  <c r="MR5" i="13"/>
  <c r="MQ5" i="13"/>
  <c r="MO5" i="13"/>
  <c r="MN5" i="13"/>
  <c r="MM5" i="13"/>
  <c r="MR4" i="13"/>
  <c r="MQ4" i="13"/>
  <c r="MO4" i="13"/>
  <c r="MN4" i="13"/>
  <c r="MM4" i="13"/>
  <c r="LV13" i="13"/>
  <c r="LU13" i="13"/>
  <c r="LS13" i="13"/>
  <c r="LR13" i="13"/>
  <c r="LQ13" i="13"/>
  <c r="LV14" i="13"/>
  <c r="LU14" i="13"/>
  <c r="LS14" i="13"/>
  <c r="LR14" i="13"/>
  <c r="LQ14" i="13"/>
  <c r="LV11" i="13"/>
  <c r="LU11" i="13"/>
  <c r="LS11" i="13"/>
  <c r="LR11" i="13"/>
  <c r="LQ11" i="13"/>
  <c r="LV10" i="13"/>
  <c r="LU10" i="13"/>
  <c r="LS10" i="13"/>
  <c r="LR10" i="13"/>
  <c r="LQ10" i="13"/>
  <c r="LV9" i="13"/>
  <c r="LU9" i="13"/>
  <c r="LS9" i="13"/>
  <c r="LR9" i="13"/>
  <c r="LQ9" i="13"/>
  <c r="LV12" i="13"/>
  <c r="LU12" i="13"/>
  <c r="LS12" i="13"/>
  <c r="LR12" i="13"/>
  <c r="LQ12" i="13"/>
  <c r="LV7" i="13"/>
  <c r="LU7" i="13"/>
  <c r="LS7" i="13"/>
  <c r="LR7" i="13"/>
  <c r="LQ7" i="13"/>
  <c r="LV6" i="13"/>
  <c r="LU6" i="13"/>
  <c r="LS6" i="13"/>
  <c r="LR6" i="13"/>
  <c r="LQ6" i="13"/>
  <c r="LV8" i="13"/>
  <c r="LU8" i="13"/>
  <c r="LS8" i="13"/>
  <c r="LR8" i="13"/>
  <c r="LQ8" i="13"/>
  <c r="LV5" i="13"/>
  <c r="LU5" i="13"/>
  <c r="LS5" i="13"/>
  <c r="LR5" i="13"/>
  <c r="LQ5" i="13"/>
  <c r="LV4" i="13"/>
  <c r="LU4" i="13"/>
  <c r="LS4" i="13"/>
  <c r="LR4" i="13"/>
  <c r="LQ4" i="13"/>
  <c r="KZ13" i="13"/>
  <c r="KY13" i="13"/>
  <c r="KW13" i="13"/>
  <c r="KV13" i="13"/>
  <c r="KU13" i="13"/>
  <c r="KZ14" i="13"/>
  <c r="KY14" i="13"/>
  <c r="KW14" i="13"/>
  <c r="KV14" i="13"/>
  <c r="KU14" i="13"/>
  <c r="KZ11" i="13"/>
  <c r="KY11" i="13"/>
  <c r="KW11" i="13"/>
  <c r="KV11" i="13"/>
  <c r="KU11" i="13"/>
  <c r="KZ10" i="13"/>
  <c r="KY10" i="13"/>
  <c r="KW10" i="13"/>
  <c r="KV10" i="13"/>
  <c r="KU10" i="13"/>
  <c r="KZ9" i="13"/>
  <c r="KY9" i="13"/>
  <c r="KW9" i="13"/>
  <c r="KV9" i="13"/>
  <c r="KU9" i="13"/>
  <c r="KZ12" i="13"/>
  <c r="KY12" i="13"/>
  <c r="KW12" i="13"/>
  <c r="KV12" i="13"/>
  <c r="KU12" i="13"/>
  <c r="KZ7" i="13"/>
  <c r="KY7" i="13"/>
  <c r="KW7" i="13"/>
  <c r="KV7" i="13"/>
  <c r="KU7" i="13"/>
  <c r="KZ6" i="13"/>
  <c r="KY6" i="13"/>
  <c r="KW6" i="13"/>
  <c r="KV6" i="13"/>
  <c r="KU6" i="13"/>
  <c r="KZ8" i="13"/>
  <c r="KY8" i="13"/>
  <c r="KW8" i="13"/>
  <c r="KV8" i="13"/>
  <c r="KU8" i="13"/>
  <c r="KZ5" i="13"/>
  <c r="KY5" i="13"/>
  <c r="KW5" i="13"/>
  <c r="KV5" i="13"/>
  <c r="KU5" i="13"/>
  <c r="KZ4" i="13"/>
  <c r="KY4" i="13"/>
  <c r="KW4" i="13"/>
  <c r="KV4" i="13"/>
  <c r="KU4" i="13"/>
  <c r="KD13" i="13"/>
  <c r="KC13" i="13"/>
  <c r="KA13" i="13"/>
  <c r="JZ13" i="13"/>
  <c r="JY13" i="13"/>
  <c r="KD14" i="13"/>
  <c r="KC14" i="13"/>
  <c r="KA14" i="13"/>
  <c r="JZ14" i="13"/>
  <c r="JY14" i="13"/>
  <c r="KD11" i="13"/>
  <c r="KC11" i="13"/>
  <c r="KA11" i="13"/>
  <c r="JZ11" i="13"/>
  <c r="JY11" i="13"/>
  <c r="KD10" i="13"/>
  <c r="KC10" i="13"/>
  <c r="KA10" i="13"/>
  <c r="JZ10" i="13"/>
  <c r="JY10" i="13"/>
  <c r="KD9" i="13"/>
  <c r="KC9" i="13"/>
  <c r="KA9" i="13"/>
  <c r="JZ9" i="13"/>
  <c r="JY9" i="13"/>
  <c r="KD12" i="13"/>
  <c r="KC12" i="13"/>
  <c r="KA12" i="13"/>
  <c r="JZ12" i="13"/>
  <c r="JY12" i="13"/>
  <c r="KD7" i="13"/>
  <c r="KC7" i="13"/>
  <c r="KA7" i="13"/>
  <c r="JZ7" i="13"/>
  <c r="JY7" i="13"/>
  <c r="KD6" i="13"/>
  <c r="KC6" i="13"/>
  <c r="KA6" i="13"/>
  <c r="JZ6" i="13"/>
  <c r="JY6" i="13"/>
  <c r="KD8" i="13"/>
  <c r="KC8" i="13"/>
  <c r="KA8" i="13"/>
  <c r="JZ8" i="13"/>
  <c r="JY8" i="13"/>
  <c r="KD5" i="13"/>
  <c r="KC5" i="13"/>
  <c r="KA5" i="13"/>
  <c r="JZ5" i="13"/>
  <c r="JY5" i="13"/>
  <c r="KD4" i="13"/>
  <c r="KC4" i="13"/>
  <c r="KA4" i="13"/>
  <c r="JZ4" i="13"/>
  <c r="JY4" i="13"/>
  <c r="JH13" i="13"/>
  <c r="JG13" i="13"/>
  <c r="JE13" i="13"/>
  <c r="JD13" i="13"/>
  <c r="JC13" i="13"/>
  <c r="JH14" i="13"/>
  <c r="JG14" i="13"/>
  <c r="JE14" i="13"/>
  <c r="JD14" i="13"/>
  <c r="JC14" i="13"/>
  <c r="JH11" i="13"/>
  <c r="JG11" i="13"/>
  <c r="JE11" i="13"/>
  <c r="JD11" i="13"/>
  <c r="JC11" i="13"/>
  <c r="JH10" i="13"/>
  <c r="JG10" i="13"/>
  <c r="JE10" i="13"/>
  <c r="JD10" i="13"/>
  <c r="JC10" i="13"/>
  <c r="JH9" i="13"/>
  <c r="JG9" i="13"/>
  <c r="JE9" i="13"/>
  <c r="JD9" i="13"/>
  <c r="JC9" i="13"/>
  <c r="JH12" i="13"/>
  <c r="JG12" i="13"/>
  <c r="JE12" i="13"/>
  <c r="JD12" i="13"/>
  <c r="JC12" i="13"/>
  <c r="JH7" i="13"/>
  <c r="JG7" i="13"/>
  <c r="JE7" i="13"/>
  <c r="JD7" i="13"/>
  <c r="JC7" i="13"/>
  <c r="JH6" i="13"/>
  <c r="JG6" i="13"/>
  <c r="JE6" i="13"/>
  <c r="JD6" i="13"/>
  <c r="JC6" i="13"/>
  <c r="JH8" i="13"/>
  <c r="JG8" i="13"/>
  <c r="JE8" i="13"/>
  <c r="JD8" i="13"/>
  <c r="JC8" i="13"/>
  <c r="JH5" i="13"/>
  <c r="JG5" i="13"/>
  <c r="JE5" i="13"/>
  <c r="JD5" i="13"/>
  <c r="JC5" i="13"/>
  <c r="JH4" i="13"/>
  <c r="JG4" i="13"/>
  <c r="JE4" i="13"/>
  <c r="JD4" i="13"/>
  <c r="JC4" i="13"/>
  <c r="IL13" i="13"/>
  <c r="IK13" i="13"/>
  <c r="II13" i="13"/>
  <c r="IH13" i="13"/>
  <c r="IG13" i="13"/>
  <c r="IL14" i="13"/>
  <c r="IK14" i="13"/>
  <c r="II14" i="13"/>
  <c r="IH14" i="13"/>
  <c r="IG14" i="13"/>
  <c r="IL11" i="13"/>
  <c r="IK11" i="13"/>
  <c r="II11" i="13"/>
  <c r="IH11" i="13"/>
  <c r="IG11" i="13"/>
  <c r="IL10" i="13"/>
  <c r="IK10" i="13"/>
  <c r="II10" i="13"/>
  <c r="IH10" i="13"/>
  <c r="IG10" i="13"/>
  <c r="IL9" i="13"/>
  <c r="IK9" i="13"/>
  <c r="II9" i="13"/>
  <c r="IH9" i="13"/>
  <c r="IG9" i="13"/>
  <c r="IL12" i="13"/>
  <c r="IK12" i="13"/>
  <c r="II12" i="13"/>
  <c r="IH12" i="13"/>
  <c r="IG12" i="13"/>
  <c r="IL7" i="13"/>
  <c r="IK7" i="13"/>
  <c r="II7" i="13"/>
  <c r="IH7" i="13"/>
  <c r="IG7" i="13"/>
  <c r="IL6" i="13"/>
  <c r="IK6" i="13"/>
  <c r="II6" i="13"/>
  <c r="IH6" i="13"/>
  <c r="IG6" i="13"/>
  <c r="IL8" i="13"/>
  <c r="IK8" i="13"/>
  <c r="II8" i="13"/>
  <c r="IH8" i="13"/>
  <c r="IG8" i="13"/>
  <c r="IL5" i="13"/>
  <c r="IK5" i="13"/>
  <c r="II5" i="13"/>
  <c r="IH5" i="13"/>
  <c r="IG5" i="13"/>
  <c r="IL4" i="13"/>
  <c r="IK4" i="13"/>
  <c r="II4" i="13"/>
  <c r="IH4" i="13"/>
  <c r="IG4" i="13"/>
  <c r="HP13" i="13"/>
  <c r="HO13" i="13"/>
  <c r="HM13" i="13"/>
  <c r="HL13" i="13"/>
  <c r="HK13" i="13"/>
  <c r="HP14" i="13"/>
  <c r="HO14" i="13"/>
  <c r="HM14" i="13"/>
  <c r="HL14" i="13"/>
  <c r="HK14" i="13"/>
  <c r="HP11" i="13"/>
  <c r="HO11" i="13"/>
  <c r="HM11" i="13"/>
  <c r="HL11" i="13"/>
  <c r="HK11" i="13"/>
  <c r="HP10" i="13"/>
  <c r="HO10" i="13"/>
  <c r="HM10" i="13"/>
  <c r="HL10" i="13"/>
  <c r="HK10" i="13"/>
  <c r="HP9" i="13"/>
  <c r="HO9" i="13"/>
  <c r="HM9" i="13"/>
  <c r="HL9" i="13"/>
  <c r="HK9" i="13"/>
  <c r="HP12" i="13"/>
  <c r="HO12" i="13"/>
  <c r="HM12" i="13"/>
  <c r="HL12" i="13"/>
  <c r="HK12" i="13"/>
  <c r="HP7" i="13"/>
  <c r="HO7" i="13"/>
  <c r="HM7" i="13"/>
  <c r="HL7" i="13"/>
  <c r="HK7" i="13"/>
  <c r="HP6" i="13"/>
  <c r="HO6" i="13"/>
  <c r="HM6" i="13"/>
  <c r="HL6" i="13"/>
  <c r="HK6" i="13"/>
  <c r="HP8" i="13"/>
  <c r="HO8" i="13"/>
  <c r="HM8" i="13"/>
  <c r="HL8" i="13"/>
  <c r="HK8" i="13"/>
  <c r="HP5" i="13"/>
  <c r="HO5" i="13"/>
  <c r="HM5" i="13"/>
  <c r="HL5" i="13"/>
  <c r="HK5" i="13"/>
  <c r="HP4" i="13"/>
  <c r="HO4" i="13"/>
  <c r="HM4" i="13"/>
  <c r="HL4" i="13"/>
  <c r="HK4" i="13"/>
  <c r="GT13" i="13"/>
  <c r="GS13" i="13"/>
  <c r="GQ13" i="13"/>
  <c r="GP13" i="13"/>
  <c r="GO13" i="13"/>
  <c r="GT14" i="13"/>
  <c r="GS14" i="13"/>
  <c r="GQ14" i="13"/>
  <c r="GP14" i="13"/>
  <c r="GO14" i="13"/>
  <c r="GT11" i="13"/>
  <c r="GS11" i="13"/>
  <c r="GQ11" i="13"/>
  <c r="GP11" i="13"/>
  <c r="GO11" i="13"/>
  <c r="GT10" i="13"/>
  <c r="GS10" i="13"/>
  <c r="GQ10" i="13"/>
  <c r="GP10" i="13"/>
  <c r="GO10" i="13"/>
  <c r="GT9" i="13"/>
  <c r="GS9" i="13"/>
  <c r="GQ9" i="13"/>
  <c r="GP9" i="13"/>
  <c r="GO9" i="13"/>
  <c r="GT12" i="13"/>
  <c r="GS12" i="13"/>
  <c r="GQ12" i="13"/>
  <c r="GP12" i="13"/>
  <c r="GO12" i="13"/>
  <c r="GT7" i="13"/>
  <c r="GS7" i="13"/>
  <c r="GQ7" i="13"/>
  <c r="GP7" i="13"/>
  <c r="GO7" i="13"/>
  <c r="GT6" i="13"/>
  <c r="GS6" i="13"/>
  <c r="GQ6" i="13"/>
  <c r="GP6" i="13"/>
  <c r="GO6" i="13"/>
  <c r="GT8" i="13"/>
  <c r="GS8" i="13"/>
  <c r="GQ8" i="13"/>
  <c r="GP8" i="13"/>
  <c r="GO8" i="13"/>
  <c r="GT5" i="13"/>
  <c r="GS5" i="13"/>
  <c r="GQ5" i="13"/>
  <c r="GP5" i="13"/>
  <c r="GO5" i="13"/>
  <c r="GT4" i="13"/>
  <c r="GS4" i="13"/>
  <c r="GQ4" i="13"/>
  <c r="GP4" i="13"/>
  <c r="GO4" i="13"/>
  <c r="FX13" i="13"/>
  <c r="FW13" i="13"/>
  <c r="FU13" i="13"/>
  <c r="FT13" i="13"/>
  <c r="FS13" i="13"/>
  <c r="FX14" i="13"/>
  <c r="FW14" i="13"/>
  <c r="FU14" i="13"/>
  <c r="FT14" i="13"/>
  <c r="FS14" i="13"/>
  <c r="FX11" i="13"/>
  <c r="FW11" i="13"/>
  <c r="FU11" i="13"/>
  <c r="FT11" i="13"/>
  <c r="FS11" i="13"/>
  <c r="FX10" i="13"/>
  <c r="FW10" i="13"/>
  <c r="FU10" i="13"/>
  <c r="FT10" i="13"/>
  <c r="FS10" i="13"/>
  <c r="FX9" i="13"/>
  <c r="FW9" i="13"/>
  <c r="FU9" i="13"/>
  <c r="FT9" i="13"/>
  <c r="FS9" i="13"/>
  <c r="FX12" i="13"/>
  <c r="FW12" i="13"/>
  <c r="FU12" i="13"/>
  <c r="FT12" i="13"/>
  <c r="FS12" i="13"/>
  <c r="FX7" i="13"/>
  <c r="FW7" i="13"/>
  <c r="FU7" i="13"/>
  <c r="FT7" i="13"/>
  <c r="FS7" i="13"/>
  <c r="FX6" i="13"/>
  <c r="FW6" i="13"/>
  <c r="FU6" i="13"/>
  <c r="FT6" i="13"/>
  <c r="FS6" i="13"/>
  <c r="FX8" i="13"/>
  <c r="FW8" i="13"/>
  <c r="FU8" i="13"/>
  <c r="FT8" i="13"/>
  <c r="FS8" i="13"/>
  <c r="FX5" i="13"/>
  <c r="FW5" i="13"/>
  <c r="FU5" i="13"/>
  <c r="FT5" i="13"/>
  <c r="FS5" i="13"/>
  <c r="FX4" i="13"/>
  <c r="FW4" i="13"/>
  <c r="FU4" i="13"/>
  <c r="FT4" i="13"/>
  <c r="FS4" i="13"/>
  <c r="FB13" i="13"/>
  <c r="FA13" i="13"/>
  <c r="EY13" i="13"/>
  <c r="EX13" i="13"/>
  <c r="EW13" i="13"/>
  <c r="FB14" i="13"/>
  <c r="FA14" i="13"/>
  <c r="EY14" i="13"/>
  <c r="EX14" i="13"/>
  <c r="EW14" i="13"/>
  <c r="FB11" i="13"/>
  <c r="FA11" i="13"/>
  <c r="EY11" i="13"/>
  <c r="EX11" i="13"/>
  <c r="EW11" i="13"/>
  <c r="FB10" i="13"/>
  <c r="FA10" i="13"/>
  <c r="EY10" i="13"/>
  <c r="EX10" i="13"/>
  <c r="EW10" i="13"/>
  <c r="FB9" i="13"/>
  <c r="FA9" i="13"/>
  <c r="EY9" i="13"/>
  <c r="EX9" i="13"/>
  <c r="EW9" i="13"/>
  <c r="FB12" i="13"/>
  <c r="FA12" i="13"/>
  <c r="EY12" i="13"/>
  <c r="EX12" i="13"/>
  <c r="EW12" i="13"/>
  <c r="FB7" i="13"/>
  <c r="FA7" i="13"/>
  <c r="EY7" i="13"/>
  <c r="EX7" i="13"/>
  <c r="EW7" i="13"/>
  <c r="FB6" i="13"/>
  <c r="FA6" i="13"/>
  <c r="EY6" i="13"/>
  <c r="EX6" i="13"/>
  <c r="EW6" i="13"/>
  <c r="FB8" i="13"/>
  <c r="FA8" i="13"/>
  <c r="EY8" i="13"/>
  <c r="EX8" i="13"/>
  <c r="EW8" i="13"/>
  <c r="FB5" i="13"/>
  <c r="FA5" i="13"/>
  <c r="EY5" i="13"/>
  <c r="EX5" i="13"/>
  <c r="EW5" i="13"/>
  <c r="FB4" i="13"/>
  <c r="FA4" i="13"/>
  <c r="EY4" i="13"/>
  <c r="EX4" i="13"/>
  <c r="EW4" i="13"/>
  <c r="EF13" i="13"/>
  <c r="EE13" i="13"/>
  <c r="EC13" i="13"/>
  <c r="EB13" i="13"/>
  <c r="EA13" i="13"/>
  <c r="EF14" i="13"/>
  <c r="EE14" i="13"/>
  <c r="EC14" i="13"/>
  <c r="EB14" i="13"/>
  <c r="EA14" i="13"/>
  <c r="EF11" i="13"/>
  <c r="EE11" i="13"/>
  <c r="EC11" i="13"/>
  <c r="EB11" i="13"/>
  <c r="EA11" i="13"/>
  <c r="EF10" i="13"/>
  <c r="EE10" i="13"/>
  <c r="EC10" i="13"/>
  <c r="EB10" i="13"/>
  <c r="EA10" i="13"/>
  <c r="EF9" i="13"/>
  <c r="EE9" i="13"/>
  <c r="EC9" i="13"/>
  <c r="EB9" i="13"/>
  <c r="EA9" i="13"/>
  <c r="EF12" i="13"/>
  <c r="EE12" i="13"/>
  <c r="EC12" i="13"/>
  <c r="EB12" i="13"/>
  <c r="EA12" i="13"/>
  <c r="EF7" i="13"/>
  <c r="EE7" i="13"/>
  <c r="EC7" i="13"/>
  <c r="EB7" i="13"/>
  <c r="EA7" i="13"/>
  <c r="EF6" i="13"/>
  <c r="EE6" i="13"/>
  <c r="EC6" i="13"/>
  <c r="EB6" i="13"/>
  <c r="EA6" i="13"/>
  <c r="EF8" i="13"/>
  <c r="EE8" i="13"/>
  <c r="EC8" i="13"/>
  <c r="EB8" i="13"/>
  <c r="EA8" i="13"/>
  <c r="EF5" i="13"/>
  <c r="EE5" i="13"/>
  <c r="EC5" i="13"/>
  <c r="EB5" i="13"/>
  <c r="EA5" i="13"/>
  <c r="EF4" i="13"/>
  <c r="EE4" i="13"/>
  <c r="EC4" i="13"/>
  <c r="EB4" i="13"/>
  <c r="EA4" i="13"/>
  <c r="MR12" i="4"/>
  <c r="MQ12" i="4"/>
  <c r="MO12" i="4"/>
  <c r="MN12" i="4"/>
  <c r="MM12" i="4"/>
  <c r="MR18" i="4"/>
  <c r="MQ18" i="4"/>
  <c r="MO18" i="4"/>
  <c r="MN18" i="4"/>
  <c r="MM18" i="4"/>
  <c r="MR16" i="4"/>
  <c r="MQ16" i="4"/>
  <c r="MO16" i="4"/>
  <c r="MN16" i="4"/>
  <c r="MM16" i="4"/>
  <c r="MR13" i="4"/>
  <c r="MQ13" i="4"/>
  <c r="MO13" i="4"/>
  <c r="MN13" i="4"/>
  <c r="MM13" i="4"/>
  <c r="MR15" i="4"/>
  <c r="MQ15" i="4"/>
  <c r="MO15" i="4"/>
  <c r="MN15" i="4"/>
  <c r="MM15" i="4"/>
  <c r="MR14" i="4"/>
  <c r="MQ14" i="4"/>
  <c r="MO14" i="4"/>
  <c r="MN14" i="4"/>
  <c r="MM14" i="4"/>
  <c r="MR8" i="4"/>
  <c r="MQ8" i="4"/>
  <c r="MO8" i="4"/>
  <c r="MN8" i="4"/>
  <c r="MM8" i="4"/>
  <c r="MR11" i="4"/>
  <c r="MQ11" i="4"/>
  <c r="MO11" i="4"/>
  <c r="MN11" i="4"/>
  <c r="MM11" i="4"/>
  <c r="MR19" i="4"/>
  <c r="MQ19" i="4"/>
  <c r="MO19" i="4"/>
  <c r="MN19" i="4"/>
  <c r="MM19" i="4"/>
  <c r="MR9" i="4"/>
  <c r="MQ9" i="4"/>
  <c r="MO9" i="4"/>
  <c r="MN9" i="4"/>
  <c r="MM9" i="4"/>
  <c r="MR5" i="4"/>
  <c r="MQ5" i="4"/>
  <c r="MO5" i="4"/>
  <c r="MN5" i="4"/>
  <c r="MM5" i="4"/>
  <c r="MR6" i="4"/>
  <c r="MQ6" i="4"/>
  <c r="MO6" i="4"/>
  <c r="MN6" i="4"/>
  <c r="MM6" i="4"/>
  <c r="MR7" i="4"/>
  <c r="MQ7" i="4"/>
  <c r="MO7" i="4"/>
  <c r="MN7" i="4"/>
  <c r="MM7" i="4"/>
  <c r="MR4" i="4"/>
  <c r="MQ4" i="4"/>
  <c r="MO4" i="4"/>
  <c r="MN4" i="4"/>
  <c r="MM4" i="4"/>
  <c r="LV12" i="4"/>
  <c r="LU12" i="4"/>
  <c r="LS12" i="4"/>
  <c r="LR12" i="4"/>
  <c r="LQ12" i="4"/>
  <c r="LV18" i="4"/>
  <c r="LU18" i="4"/>
  <c r="LS18" i="4"/>
  <c r="LR18" i="4"/>
  <c r="LQ18" i="4"/>
  <c r="LV16" i="4"/>
  <c r="LU16" i="4"/>
  <c r="LS16" i="4"/>
  <c r="LR16" i="4"/>
  <c r="LQ16" i="4"/>
  <c r="LV13" i="4"/>
  <c r="LU13" i="4"/>
  <c r="LS13" i="4"/>
  <c r="LR13" i="4"/>
  <c r="LQ13" i="4"/>
  <c r="LV15" i="4"/>
  <c r="LU15" i="4"/>
  <c r="LS15" i="4"/>
  <c r="LR15" i="4"/>
  <c r="LQ15" i="4"/>
  <c r="LV14" i="4"/>
  <c r="LU14" i="4"/>
  <c r="LS14" i="4"/>
  <c r="LR14" i="4"/>
  <c r="LQ14" i="4"/>
  <c r="LV8" i="4"/>
  <c r="LU8" i="4"/>
  <c r="LS8" i="4"/>
  <c r="LR8" i="4"/>
  <c r="LQ8" i="4"/>
  <c r="LV11" i="4"/>
  <c r="LU11" i="4"/>
  <c r="LS11" i="4"/>
  <c r="LR11" i="4"/>
  <c r="LQ11" i="4"/>
  <c r="LV19" i="4"/>
  <c r="LU19" i="4"/>
  <c r="LS19" i="4"/>
  <c r="LR19" i="4"/>
  <c r="LQ19" i="4"/>
  <c r="LV9" i="4"/>
  <c r="LU9" i="4"/>
  <c r="LS9" i="4"/>
  <c r="LR9" i="4"/>
  <c r="LQ9" i="4"/>
  <c r="LV5" i="4"/>
  <c r="LU5" i="4"/>
  <c r="LS5" i="4"/>
  <c r="LR5" i="4"/>
  <c r="LQ5" i="4"/>
  <c r="LV6" i="4"/>
  <c r="LU6" i="4"/>
  <c r="LS6" i="4"/>
  <c r="LR6" i="4"/>
  <c r="LQ6" i="4"/>
  <c r="LV7" i="4"/>
  <c r="LU7" i="4"/>
  <c r="LS7" i="4"/>
  <c r="LR7" i="4"/>
  <c r="LQ7" i="4"/>
  <c r="LV4" i="4"/>
  <c r="LU4" i="4"/>
  <c r="LS4" i="4"/>
  <c r="LR4" i="4"/>
  <c r="LQ4" i="4"/>
  <c r="KZ12" i="4"/>
  <c r="KY12" i="4"/>
  <c r="KW12" i="4"/>
  <c r="KV12" i="4"/>
  <c r="KU12" i="4"/>
  <c r="KZ18" i="4"/>
  <c r="KY18" i="4"/>
  <c r="KW18" i="4"/>
  <c r="KV18" i="4"/>
  <c r="KU18" i="4"/>
  <c r="KZ16" i="4"/>
  <c r="KY16" i="4"/>
  <c r="KW16" i="4"/>
  <c r="KV16" i="4"/>
  <c r="KU16" i="4"/>
  <c r="KZ13" i="4"/>
  <c r="KY13" i="4"/>
  <c r="KW13" i="4"/>
  <c r="KV13" i="4"/>
  <c r="KU13" i="4"/>
  <c r="KZ15" i="4"/>
  <c r="KY15" i="4"/>
  <c r="KW15" i="4"/>
  <c r="KV15" i="4"/>
  <c r="KU15" i="4"/>
  <c r="KZ14" i="4"/>
  <c r="KY14" i="4"/>
  <c r="KW14" i="4"/>
  <c r="KV14" i="4"/>
  <c r="KU14" i="4"/>
  <c r="KZ8" i="4"/>
  <c r="KY8" i="4"/>
  <c r="KW8" i="4"/>
  <c r="KV8" i="4"/>
  <c r="KU8" i="4"/>
  <c r="KZ11" i="4"/>
  <c r="KY11" i="4"/>
  <c r="KW11" i="4"/>
  <c r="KV11" i="4"/>
  <c r="KU11" i="4"/>
  <c r="KZ19" i="4"/>
  <c r="KY19" i="4"/>
  <c r="KW19" i="4"/>
  <c r="KV19" i="4"/>
  <c r="KU19" i="4"/>
  <c r="KZ9" i="4"/>
  <c r="KY9" i="4"/>
  <c r="KW9" i="4"/>
  <c r="KV9" i="4"/>
  <c r="KU9" i="4"/>
  <c r="KZ5" i="4"/>
  <c r="KY5" i="4"/>
  <c r="KW5" i="4"/>
  <c r="KV5" i="4"/>
  <c r="KU5" i="4"/>
  <c r="KZ6" i="4"/>
  <c r="KY6" i="4"/>
  <c r="KW6" i="4"/>
  <c r="KV6" i="4"/>
  <c r="KU6" i="4"/>
  <c r="KZ7" i="4"/>
  <c r="KY7" i="4"/>
  <c r="KW7" i="4"/>
  <c r="KV7" i="4"/>
  <c r="KU7" i="4"/>
  <c r="KZ4" i="4"/>
  <c r="KY4" i="4"/>
  <c r="KW4" i="4"/>
  <c r="KV4" i="4"/>
  <c r="KU4" i="4"/>
  <c r="KD12" i="4"/>
  <c r="KC12" i="4"/>
  <c r="KA12" i="4"/>
  <c r="JZ12" i="4"/>
  <c r="JY12" i="4"/>
  <c r="KD18" i="4"/>
  <c r="KC18" i="4"/>
  <c r="KA18" i="4"/>
  <c r="JZ18" i="4"/>
  <c r="JY18" i="4"/>
  <c r="KD16" i="4"/>
  <c r="KC16" i="4"/>
  <c r="KA16" i="4"/>
  <c r="JZ16" i="4"/>
  <c r="JY16" i="4"/>
  <c r="KD13" i="4"/>
  <c r="KC13" i="4"/>
  <c r="KA13" i="4"/>
  <c r="JZ13" i="4"/>
  <c r="JY13" i="4"/>
  <c r="KD15" i="4"/>
  <c r="KC15" i="4"/>
  <c r="KA15" i="4"/>
  <c r="JZ15" i="4"/>
  <c r="JY15" i="4"/>
  <c r="KD14" i="4"/>
  <c r="KC14" i="4"/>
  <c r="KA14" i="4"/>
  <c r="JZ14" i="4"/>
  <c r="JY14" i="4"/>
  <c r="KD8" i="4"/>
  <c r="KC8" i="4"/>
  <c r="KA8" i="4"/>
  <c r="JZ8" i="4"/>
  <c r="JY8" i="4"/>
  <c r="KD11" i="4"/>
  <c r="KC11" i="4"/>
  <c r="KA11" i="4"/>
  <c r="JZ11" i="4"/>
  <c r="JY11" i="4"/>
  <c r="KD19" i="4"/>
  <c r="KC19" i="4"/>
  <c r="KA19" i="4"/>
  <c r="JZ19" i="4"/>
  <c r="JY19" i="4"/>
  <c r="KD9" i="4"/>
  <c r="KC9" i="4"/>
  <c r="KA9" i="4"/>
  <c r="JZ9" i="4"/>
  <c r="JY9" i="4"/>
  <c r="KD5" i="4"/>
  <c r="KC5" i="4"/>
  <c r="KA5" i="4"/>
  <c r="JZ5" i="4"/>
  <c r="JY5" i="4"/>
  <c r="KD6" i="4"/>
  <c r="KC6" i="4"/>
  <c r="KA6" i="4"/>
  <c r="JZ6" i="4"/>
  <c r="JY6" i="4"/>
  <c r="KD7" i="4"/>
  <c r="KC7" i="4"/>
  <c r="KA7" i="4"/>
  <c r="JZ7" i="4"/>
  <c r="JY7" i="4"/>
  <c r="KD4" i="4"/>
  <c r="KC4" i="4"/>
  <c r="KA4" i="4"/>
  <c r="JZ4" i="4"/>
  <c r="JY4" i="4"/>
  <c r="JH12" i="4"/>
  <c r="JG12" i="4"/>
  <c r="JE12" i="4"/>
  <c r="JD12" i="4"/>
  <c r="JC12" i="4"/>
  <c r="JH18" i="4"/>
  <c r="JG18" i="4"/>
  <c r="JE18" i="4"/>
  <c r="JD18" i="4"/>
  <c r="JC18" i="4"/>
  <c r="JH16" i="4"/>
  <c r="JG16" i="4"/>
  <c r="JE16" i="4"/>
  <c r="JD16" i="4"/>
  <c r="JC16" i="4"/>
  <c r="JH13" i="4"/>
  <c r="JG13" i="4"/>
  <c r="JE13" i="4"/>
  <c r="JD13" i="4"/>
  <c r="JC13" i="4"/>
  <c r="JH15" i="4"/>
  <c r="JG15" i="4"/>
  <c r="JE15" i="4"/>
  <c r="JD15" i="4"/>
  <c r="JC15" i="4"/>
  <c r="JH14" i="4"/>
  <c r="JG14" i="4"/>
  <c r="JE14" i="4"/>
  <c r="JD14" i="4"/>
  <c r="JC14" i="4"/>
  <c r="JH8" i="4"/>
  <c r="JG8" i="4"/>
  <c r="JE8" i="4"/>
  <c r="JD8" i="4"/>
  <c r="JC8" i="4"/>
  <c r="JH11" i="4"/>
  <c r="JG11" i="4"/>
  <c r="JE11" i="4"/>
  <c r="JD11" i="4"/>
  <c r="JC11" i="4"/>
  <c r="JH19" i="4"/>
  <c r="JG19" i="4"/>
  <c r="JE19" i="4"/>
  <c r="JD19" i="4"/>
  <c r="JC19" i="4"/>
  <c r="JH9" i="4"/>
  <c r="JG9" i="4"/>
  <c r="JE9" i="4"/>
  <c r="JD9" i="4"/>
  <c r="JC9" i="4"/>
  <c r="JH5" i="4"/>
  <c r="JG5" i="4"/>
  <c r="JE5" i="4"/>
  <c r="JD5" i="4"/>
  <c r="JC5" i="4"/>
  <c r="JH6" i="4"/>
  <c r="JG6" i="4"/>
  <c r="JE6" i="4"/>
  <c r="JD6" i="4"/>
  <c r="JC6" i="4"/>
  <c r="JH7" i="4"/>
  <c r="JG7" i="4"/>
  <c r="JE7" i="4"/>
  <c r="JD7" i="4"/>
  <c r="JC7" i="4"/>
  <c r="JH4" i="4"/>
  <c r="JG4" i="4"/>
  <c r="JE4" i="4"/>
  <c r="JD4" i="4"/>
  <c r="JC4" i="4"/>
  <c r="IL12" i="4"/>
  <c r="IK12" i="4"/>
  <c r="II12" i="4"/>
  <c r="IH12" i="4"/>
  <c r="IG12" i="4"/>
  <c r="IL18" i="4"/>
  <c r="IK18" i="4"/>
  <c r="II18" i="4"/>
  <c r="IH18" i="4"/>
  <c r="IG18" i="4"/>
  <c r="IL16" i="4"/>
  <c r="IK16" i="4"/>
  <c r="II16" i="4"/>
  <c r="IH16" i="4"/>
  <c r="IG16" i="4"/>
  <c r="IL13" i="4"/>
  <c r="IK13" i="4"/>
  <c r="II13" i="4"/>
  <c r="IH13" i="4"/>
  <c r="IG13" i="4"/>
  <c r="IL15" i="4"/>
  <c r="IK15" i="4"/>
  <c r="II15" i="4"/>
  <c r="IH15" i="4"/>
  <c r="IG15" i="4"/>
  <c r="IL14" i="4"/>
  <c r="IK14" i="4"/>
  <c r="II14" i="4"/>
  <c r="IH14" i="4"/>
  <c r="IG14" i="4"/>
  <c r="IL8" i="4"/>
  <c r="IK8" i="4"/>
  <c r="II8" i="4"/>
  <c r="IH8" i="4"/>
  <c r="IG8" i="4"/>
  <c r="IL11" i="4"/>
  <c r="IK11" i="4"/>
  <c r="II11" i="4"/>
  <c r="IH11" i="4"/>
  <c r="IG11" i="4"/>
  <c r="IL19" i="4"/>
  <c r="IK19" i="4"/>
  <c r="II19" i="4"/>
  <c r="IH19" i="4"/>
  <c r="IG19" i="4"/>
  <c r="IL9" i="4"/>
  <c r="IK9" i="4"/>
  <c r="II9" i="4"/>
  <c r="IH9" i="4"/>
  <c r="IG9" i="4"/>
  <c r="IL5" i="4"/>
  <c r="IK5" i="4"/>
  <c r="II5" i="4"/>
  <c r="IH5" i="4"/>
  <c r="IG5" i="4"/>
  <c r="IL6" i="4"/>
  <c r="IK6" i="4"/>
  <c r="II6" i="4"/>
  <c r="IH6" i="4"/>
  <c r="IG6" i="4"/>
  <c r="IL7" i="4"/>
  <c r="IK7" i="4"/>
  <c r="II7" i="4"/>
  <c r="IH7" i="4"/>
  <c r="IG7" i="4"/>
  <c r="IL4" i="4"/>
  <c r="IK4" i="4"/>
  <c r="II4" i="4"/>
  <c r="IH4" i="4"/>
  <c r="IG4" i="4"/>
  <c r="HP12" i="4"/>
  <c r="HO12" i="4"/>
  <c r="HM12" i="4"/>
  <c r="HL12" i="4"/>
  <c r="HK12" i="4"/>
  <c r="HP18" i="4"/>
  <c r="HO18" i="4"/>
  <c r="HM18" i="4"/>
  <c r="HL18" i="4"/>
  <c r="HK18" i="4"/>
  <c r="HP16" i="4"/>
  <c r="HO16" i="4"/>
  <c r="HM16" i="4"/>
  <c r="HL16" i="4"/>
  <c r="HK16" i="4"/>
  <c r="HP13" i="4"/>
  <c r="HO13" i="4"/>
  <c r="HM13" i="4"/>
  <c r="HL13" i="4"/>
  <c r="HK13" i="4"/>
  <c r="HP15" i="4"/>
  <c r="HO15" i="4"/>
  <c r="HM15" i="4"/>
  <c r="HL15" i="4"/>
  <c r="HK15" i="4"/>
  <c r="HP14" i="4"/>
  <c r="HO14" i="4"/>
  <c r="HM14" i="4"/>
  <c r="HL14" i="4"/>
  <c r="HK14" i="4"/>
  <c r="HP8" i="4"/>
  <c r="HO8" i="4"/>
  <c r="HM8" i="4"/>
  <c r="HL8" i="4"/>
  <c r="HK8" i="4"/>
  <c r="HP11" i="4"/>
  <c r="HO11" i="4"/>
  <c r="HM11" i="4"/>
  <c r="HL11" i="4"/>
  <c r="HK11" i="4"/>
  <c r="HP19" i="4"/>
  <c r="HO19" i="4"/>
  <c r="HM19" i="4"/>
  <c r="HL19" i="4"/>
  <c r="HK19" i="4"/>
  <c r="HP9" i="4"/>
  <c r="HO9" i="4"/>
  <c r="HM9" i="4"/>
  <c r="HL9" i="4"/>
  <c r="HK9" i="4"/>
  <c r="HP5" i="4"/>
  <c r="HO5" i="4"/>
  <c r="HM5" i="4"/>
  <c r="HL5" i="4"/>
  <c r="HK5" i="4"/>
  <c r="HP6" i="4"/>
  <c r="HO6" i="4"/>
  <c r="HM6" i="4"/>
  <c r="HL6" i="4"/>
  <c r="HK6" i="4"/>
  <c r="HP7" i="4"/>
  <c r="HO7" i="4"/>
  <c r="HM7" i="4"/>
  <c r="HL7" i="4"/>
  <c r="HK7" i="4"/>
  <c r="HP4" i="4"/>
  <c r="HO4" i="4"/>
  <c r="HM4" i="4"/>
  <c r="HL4" i="4"/>
  <c r="HK4" i="4"/>
  <c r="GT12" i="4"/>
  <c r="GS12" i="4"/>
  <c r="GQ12" i="4"/>
  <c r="GP12" i="4"/>
  <c r="GO12" i="4"/>
  <c r="GT18" i="4"/>
  <c r="GS18" i="4"/>
  <c r="GQ18" i="4"/>
  <c r="GP18" i="4"/>
  <c r="GO18" i="4"/>
  <c r="GT16" i="4"/>
  <c r="GS16" i="4"/>
  <c r="GQ16" i="4"/>
  <c r="GP16" i="4"/>
  <c r="GO16" i="4"/>
  <c r="GT13" i="4"/>
  <c r="GS13" i="4"/>
  <c r="GQ13" i="4"/>
  <c r="GP13" i="4"/>
  <c r="GO13" i="4"/>
  <c r="GT15" i="4"/>
  <c r="GS15" i="4"/>
  <c r="GQ15" i="4"/>
  <c r="GP15" i="4"/>
  <c r="GO15" i="4"/>
  <c r="GT14" i="4"/>
  <c r="GS14" i="4"/>
  <c r="GQ14" i="4"/>
  <c r="GP14" i="4"/>
  <c r="GO14" i="4"/>
  <c r="GT8" i="4"/>
  <c r="GS8" i="4"/>
  <c r="GQ8" i="4"/>
  <c r="GP8" i="4"/>
  <c r="GO8" i="4"/>
  <c r="GT11" i="4"/>
  <c r="GS11" i="4"/>
  <c r="GQ11" i="4"/>
  <c r="GP11" i="4"/>
  <c r="GO11" i="4"/>
  <c r="GT19" i="4"/>
  <c r="GS19" i="4"/>
  <c r="GQ19" i="4"/>
  <c r="GP19" i="4"/>
  <c r="GO19" i="4"/>
  <c r="GT9" i="4"/>
  <c r="GS9" i="4"/>
  <c r="GQ9" i="4"/>
  <c r="GP9" i="4"/>
  <c r="GO9" i="4"/>
  <c r="GT5" i="4"/>
  <c r="GS5" i="4"/>
  <c r="GQ5" i="4"/>
  <c r="GP5" i="4"/>
  <c r="GO5" i="4"/>
  <c r="GT6" i="4"/>
  <c r="GS6" i="4"/>
  <c r="GQ6" i="4"/>
  <c r="GP6" i="4"/>
  <c r="GO6" i="4"/>
  <c r="GT7" i="4"/>
  <c r="GS7" i="4"/>
  <c r="GQ7" i="4"/>
  <c r="GP7" i="4"/>
  <c r="GO7" i="4"/>
  <c r="GT4" i="4"/>
  <c r="GS4" i="4"/>
  <c r="GQ4" i="4"/>
  <c r="GP4" i="4"/>
  <c r="GO4" i="4"/>
  <c r="FX12" i="4"/>
  <c r="FW12" i="4"/>
  <c r="FU12" i="4"/>
  <c r="FT12" i="4"/>
  <c r="FS12" i="4"/>
  <c r="FX18" i="4"/>
  <c r="FW18" i="4"/>
  <c r="FU18" i="4"/>
  <c r="FT18" i="4"/>
  <c r="FS18" i="4"/>
  <c r="FX16" i="4"/>
  <c r="FW16" i="4"/>
  <c r="FU16" i="4"/>
  <c r="FT16" i="4"/>
  <c r="FS16" i="4"/>
  <c r="FX13" i="4"/>
  <c r="FW13" i="4"/>
  <c r="FU13" i="4"/>
  <c r="FT13" i="4"/>
  <c r="FS13" i="4"/>
  <c r="FX15" i="4"/>
  <c r="FW15" i="4"/>
  <c r="FU15" i="4"/>
  <c r="FT15" i="4"/>
  <c r="FS15" i="4"/>
  <c r="FX14" i="4"/>
  <c r="FW14" i="4"/>
  <c r="FU14" i="4"/>
  <c r="FT14" i="4"/>
  <c r="FS14" i="4"/>
  <c r="FX8" i="4"/>
  <c r="FW8" i="4"/>
  <c r="FU8" i="4"/>
  <c r="FT8" i="4"/>
  <c r="FS8" i="4"/>
  <c r="FX11" i="4"/>
  <c r="FW11" i="4"/>
  <c r="FU11" i="4"/>
  <c r="FT11" i="4"/>
  <c r="FS11" i="4"/>
  <c r="FX19" i="4"/>
  <c r="FW19" i="4"/>
  <c r="FU19" i="4"/>
  <c r="FT19" i="4"/>
  <c r="FS19" i="4"/>
  <c r="FX9" i="4"/>
  <c r="FW9" i="4"/>
  <c r="FU9" i="4"/>
  <c r="FT9" i="4"/>
  <c r="FS9" i="4"/>
  <c r="FX5" i="4"/>
  <c r="FW5" i="4"/>
  <c r="FU5" i="4"/>
  <c r="FT5" i="4"/>
  <c r="FS5" i="4"/>
  <c r="FX6" i="4"/>
  <c r="FW6" i="4"/>
  <c r="FU6" i="4"/>
  <c r="FT6" i="4"/>
  <c r="FS6" i="4"/>
  <c r="FX7" i="4"/>
  <c r="FW7" i="4"/>
  <c r="FU7" i="4"/>
  <c r="FT7" i="4"/>
  <c r="FS7" i="4"/>
  <c r="FX4" i="4"/>
  <c r="FW4" i="4"/>
  <c r="FU4" i="4"/>
  <c r="FT4" i="4"/>
  <c r="FS4" i="4"/>
  <c r="FB12" i="4"/>
  <c r="FA12" i="4"/>
  <c r="EY12" i="4"/>
  <c r="EX12" i="4"/>
  <c r="EW12" i="4"/>
  <c r="FB18" i="4"/>
  <c r="FA18" i="4"/>
  <c r="EY18" i="4"/>
  <c r="EX18" i="4"/>
  <c r="EW18" i="4"/>
  <c r="FB16" i="4"/>
  <c r="FA16" i="4"/>
  <c r="EY16" i="4"/>
  <c r="EX16" i="4"/>
  <c r="EW16" i="4"/>
  <c r="FB13" i="4"/>
  <c r="FA13" i="4"/>
  <c r="EY13" i="4"/>
  <c r="EX13" i="4"/>
  <c r="EW13" i="4"/>
  <c r="FB15" i="4"/>
  <c r="FA15" i="4"/>
  <c r="EY15" i="4"/>
  <c r="EX15" i="4"/>
  <c r="EW15" i="4"/>
  <c r="FB14" i="4"/>
  <c r="FA14" i="4"/>
  <c r="EY14" i="4"/>
  <c r="EX14" i="4"/>
  <c r="EW14" i="4"/>
  <c r="FB8" i="4"/>
  <c r="FA8" i="4"/>
  <c r="EY8" i="4"/>
  <c r="EX8" i="4"/>
  <c r="EW8" i="4"/>
  <c r="FB11" i="4"/>
  <c r="FA11" i="4"/>
  <c r="EY11" i="4"/>
  <c r="EX11" i="4"/>
  <c r="EW11" i="4"/>
  <c r="FB19" i="4"/>
  <c r="FA19" i="4"/>
  <c r="EY19" i="4"/>
  <c r="EX19" i="4"/>
  <c r="EW19" i="4"/>
  <c r="FB9" i="4"/>
  <c r="FA9" i="4"/>
  <c r="EY9" i="4"/>
  <c r="EX9" i="4"/>
  <c r="EW9" i="4"/>
  <c r="FB5" i="4"/>
  <c r="FA5" i="4"/>
  <c r="EY5" i="4"/>
  <c r="EX5" i="4"/>
  <c r="EW5" i="4"/>
  <c r="FB6" i="4"/>
  <c r="FA6" i="4"/>
  <c r="EY6" i="4"/>
  <c r="EX6" i="4"/>
  <c r="EW6" i="4"/>
  <c r="FB7" i="4"/>
  <c r="FA7" i="4"/>
  <c r="EY7" i="4"/>
  <c r="EX7" i="4"/>
  <c r="EW7" i="4"/>
  <c r="FB4" i="4"/>
  <c r="FA4" i="4"/>
  <c r="EY4" i="4"/>
  <c r="EX4" i="4"/>
  <c r="EW4" i="4"/>
  <c r="EF12" i="4"/>
  <c r="EE12" i="4"/>
  <c r="EC12" i="4"/>
  <c r="EB12" i="4"/>
  <c r="EA12" i="4"/>
  <c r="EF18" i="4"/>
  <c r="EE18" i="4"/>
  <c r="EC18" i="4"/>
  <c r="EB18" i="4"/>
  <c r="EA18" i="4"/>
  <c r="EF16" i="4"/>
  <c r="EE16" i="4"/>
  <c r="EC16" i="4"/>
  <c r="EB16" i="4"/>
  <c r="EA16" i="4"/>
  <c r="EF13" i="4"/>
  <c r="EE13" i="4"/>
  <c r="EC13" i="4"/>
  <c r="EB13" i="4"/>
  <c r="EA13" i="4"/>
  <c r="EF15" i="4"/>
  <c r="EE15" i="4"/>
  <c r="EC15" i="4"/>
  <c r="EB15" i="4"/>
  <c r="EA15" i="4"/>
  <c r="EF14" i="4"/>
  <c r="EE14" i="4"/>
  <c r="EC14" i="4"/>
  <c r="EB14" i="4"/>
  <c r="EA14" i="4"/>
  <c r="EF8" i="4"/>
  <c r="EE8" i="4"/>
  <c r="EC8" i="4"/>
  <c r="EB8" i="4"/>
  <c r="EA8" i="4"/>
  <c r="EF11" i="4"/>
  <c r="EE11" i="4"/>
  <c r="EC11" i="4"/>
  <c r="EB11" i="4"/>
  <c r="EA11" i="4"/>
  <c r="EF19" i="4"/>
  <c r="EE19" i="4"/>
  <c r="EC19" i="4"/>
  <c r="EB19" i="4"/>
  <c r="EA19" i="4"/>
  <c r="EF9" i="4"/>
  <c r="EE9" i="4"/>
  <c r="EC9" i="4"/>
  <c r="EB9" i="4"/>
  <c r="EA9" i="4"/>
  <c r="EF5" i="4"/>
  <c r="EE5" i="4"/>
  <c r="EC5" i="4"/>
  <c r="EB5" i="4"/>
  <c r="EA5" i="4"/>
  <c r="EF6" i="4"/>
  <c r="EE6" i="4"/>
  <c r="EC6" i="4"/>
  <c r="EB6" i="4"/>
  <c r="EA6" i="4"/>
  <c r="EF7" i="4"/>
  <c r="EE7" i="4"/>
  <c r="EC7" i="4"/>
  <c r="EB7" i="4"/>
  <c r="EA7" i="4"/>
  <c r="EF4" i="4"/>
  <c r="EE4" i="4"/>
  <c r="EC4" i="4"/>
  <c r="EB4" i="4"/>
  <c r="EA4" i="4"/>
  <c r="CB7" i="8"/>
  <c r="CB6" i="8"/>
  <c r="LB9" i="12"/>
  <c r="LA9" i="12"/>
  <c r="KZ9" i="12"/>
  <c r="KY9" i="12"/>
  <c r="LB12" i="12"/>
  <c r="LA12" i="12"/>
  <c r="KZ12" i="12"/>
  <c r="KY12" i="12"/>
  <c r="LB11" i="12"/>
  <c r="LA11" i="12"/>
  <c r="KZ11" i="12"/>
  <c r="KY11" i="12"/>
  <c r="LB5" i="12"/>
  <c r="LA5" i="12"/>
  <c r="KZ5" i="12"/>
  <c r="KY5" i="12"/>
  <c r="LB13" i="12"/>
  <c r="LA13" i="12"/>
  <c r="KZ13" i="12"/>
  <c r="KY13" i="12"/>
  <c r="LB10" i="12"/>
  <c r="LA10" i="12"/>
  <c r="KZ10" i="12"/>
  <c r="KY10" i="12"/>
  <c r="LB15" i="12"/>
  <c r="LA15" i="12"/>
  <c r="KZ15" i="12"/>
  <c r="KY15" i="12"/>
  <c r="LB4" i="12"/>
  <c r="LA4" i="12"/>
  <c r="KZ4" i="12"/>
  <c r="KY4" i="12"/>
  <c r="LB7" i="12"/>
  <c r="LA7" i="12"/>
  <c r="KZ7" i="12"/>
  <c r="KY7" i="12"/>
  <c r="LB6" i="12"/>
  <c r="LA6" i="12"/>
  <c r="KZ6" i="12"/>
  <c r="KY6" i="12"/>
  <c r="LB8" i="12"/>
  <c r="LA8" i="12"/>
  <c r="KZ8" i="12"/>
  <c r="KY8" i="12"/>
  <c r="LB16" i="12"/>
  <c r="LA16" i="12"/>
  <c r="KZ16" i="12"/>
  <c r="KY16" i="12"/>
  <c r="KG9" i="12"/>
  <c r="KF9" i="12"/>
  <c r="KE9" i="12"/>
  <c r="KD9" i="12"/>
  <c r="KG12" i="12"/>
  <c r="KF12" i="12"/>
  <c r="KE12" i="12"/>
  <c r="KD12" i="12"/>
  <c r="KG11" i="12"/>
  <c r="KF11" i="12"/>
  <c r="KE11" i="12"/>
  <c r="KD11" i="12"/>
  <c r="KG5" i="12"/>
  <c r="KF5" i="12"/>
  <c r="KE5" i="12"/>
  <c r="KD5" i="12"/>
  <c r="KG13" i="12"/>
  <c r="KF13" i="12"/>
  <c r="KE13" i="12"/>
  <c r="KD13" i="12"/>
  <c r="KG10" i="12"/>
  <c r="KF10" i="12"/>
  <c r="KE10" i="12"/>
  <c r="KD10" i="12"/>
  <c r="KG15" i="12"/>
  <c r="KF15" i="12"/>
  <c r="KE15" i="12"/>
  <c r="KD15" i="12"/>
  <c r="KG4" i="12"/>
  <c r="KF4" i="12"/>
  <c r="KE4" i="12"/>
  <c r="KD4" i="12"/>
  <c r="KG7" i="12"/>
  <c r="KF7" i="12"/>
  <c r="KE7" i="12"/>
  <c r="KD7" i="12"/>
  <c r="KG6" i="12"/>
  <c r="KF6" i="12"/>
  <c r="KE6" i="12"/>
  <c r="KD6" i="12"/>
  <c r="KG8" i="12"/>
  <c r="KF8" i="12"/>
  <c r="KE8" i="12"/>
  <c r="KD8" i="12"/>
  <c r="KG16" i="12"/>
  <c r="KF16" i="12"/>
  <c r="KE16" i="12"/>
  <c r="KD16" i="12"/>
  <c r="JL9" i="12"/>
  <c r="JK9" i="12"/>
  <c r="JJ9" i="12"/>
  <c r="JI9" i="12"/>
  <c r="JL12" i="12"/>
  <c r="JK12" i="12"/>
  <c r="JJ12" i="12"/>
  <c r="JI12" i="12"/>
  <c r="JL11" i="12"/>
  <c r="JK11" i="12"/>
  <c r="JJ11" i="12"/>
  <c r="JI11" i="12"/>
  <c r="JL5" i="12"/>
  <c r="JK5" i="12"/>
  <c r="JJ5" i="12"/>
  <c r="JI5" i="12"/>
  <c r="JL13" i="12"/>
  <c r="JK13" i="12"/>
  <c r="JJ13" i="12"/>
  <c r="JI13" i="12"/>
  <c r="JL10" i="12"/>
  <c r="JK10" i="12"/>
  <c r="JJ10" i="12"/>
  <c r="JI10" i="12"/>
  <c r="JL15" i="12"/>
  <c r="JK15" i="12"/>
  <c r="JJ15" i="12"/>
  <c r="JI15" i="12"/>
  <c r="JL4" i="12"/>
  <c r="JK4" i="12"/>
  <c r="JJ4" i="12"/>
  <c r="JI4" i="12"/>
  <c r="JL7" i="12"/>
  <c r="JK7" i="12"/>
  <c r="JJ7" i="12"/>
  <c r="JI7" i="12"/>
  <c r="JL6" i="12"/>
  <c r="JK6" i="12"/>
  <c r="JJ6" i="12"/>
  <c r="JI6" i="12"/>
  <c r="JL8" i="12"/>
  <c r="JK8" i="12"/>
  <c r="JJ8" i="12"/>
  <c r="JI8" i="12"/>
  <c r="JL16" i="12"/>
  <c r="JK16" i="12"/>
  <c r="JJ16" i="12"/>
  <c r="JI16" i="12"/>
  <c r="IQ9" i="12"/>
  <c r="IP9" i="12"/>
  <c r="IO9" i="12"/>
  <c r="IN9" i="12"/>
  <c r="IQ12" i="12"/>
  <c r="IP12" i="12"/>
  <c r="IO12" i="12"/>
  <c r="IN12" i="12"/>
  <c r="IQ11" i="12"/>
  <c r="IP11" i="12"/>
  <c r="IO11" i="12"/>
  <c r="IN11" i="12"/>
  <c r="IQ5" i="12"/>
  <c r="IP5" i="12"/>
  <c r="IO5" i="12"/>
  <c r="IN5" i="12"/>
  <c r="IQ13" i="12"/>
  <c r="IP13" i="12"/>
  <c r="IO13" i="12"/>
  <c r="IN13" i="12"/>
  <c r="IQ10" i="12"/>
  <c r="IP10" i="12"/>
  <c r="IO10" i="12"/>
  <c r="IN10" i="12"/>
  <c r="IQ15" i="12"/>
  <c r="IP15" i="12"/>
  <c r="IO15" i="12"/>
  <c r="IN15" i="12"/>
  <c r="IQ4" i="12"/>
  <c r="IP4" i="12"/>
  <c r="IO4" i="12"/>
  <c r="IN4" i="12"/>
  <c r="IQ7" i="12"/>
  <c r="IP7" i="12"/>
  <c r="IO7" i="12"/>
  <c r="IN7" i="12"/>
  <c r="IQ6" i="12"/>
  <c r="IP6" i="12"/>
  <c r="IO6" i="12"/>
  <c r="IN6" i="12"/>
  <c r="IQ8" i="12"/>
  <c r="IP8" i="12"/>
  <c r="IO8" i="12"/>
  <c r="IN8" i="12"/>
  <c r="IQ16" i="12"/>
  <c r="IP16" i="12"/>
  <c r="IO16" i="12"/>
  <c r="IN16" i="12"/>
  <c r="HV9" i="12"/>
  <c r="HU9" i="12"/>
  <c r="HT9" i="12"/>
  <c r="HS9" i="12"/>
  <c r="HV12" i="12"/>
  <c r="HU12" i="12"/>
  <c r="HT12" i="12"/>
  <c r="HS12" i="12"/>
  <c r="HV11" i="12"/>
  <c r="HU11" i="12"/>
  <c r="HT11" i="12"/>
  <c r="HS11" i="12"/>
  <c r="HV5" i="12"/>
  <c r="HU5" i="12"/>
  <c r="HT5" i="12"/>
  <c r="HS5" i="12"/>
  <c r="HV13" i="12"/>
  <c r="HU13" i="12"/>
  <c r="HT13" i="12"/>
  <c r="HS13" i="12"/>
  <c r="HV10" i="12"/>
  <c r="HU10" i="12"/>
  <c r="HT10" i="12"/>
  <c r="HS10" i="12"/>
  <c r="HV15" i="12"/>
  <c r="HU15" i="12"/>
  <c r="HT15" i="12"/>
  <c r="HS15" i="12"/>
  <c r="HV4" i="12"/>
  <c r="HU4" i="12"/>
  <c r="HT4" i="12"/>
  <c r="HS4" i="12"/>
  <c r="HV7" i="12"/>
  <c r="HU7" i="12"/>
  <c r="HT7" i="12"/>
  <c r="HS7" i="12"/>
  <c r="HV6" i="12"/>
  <c r="HU6" i="12"/>
  <c r="HT6" i="12"/>
  <c r="HS6" i="12"/>
  <c r="HV8" i="12"/>
  <c r="HU8" i="12"/>
  <c r="HT8" i="12"/>
  <c r="HS8" i="12"/>
  <c r="HV16" i="12"/>
  <c r="HU16" i="12"/>
  <c r="HT16" i="12"/>
  <c r="HS16" i="12"/>
  <c r="HA9" i="12"/>
  <c r="GZ9" i="12"/>
  <c r="GY9" i="12"/>
  <c r="GX9" i="12"/>
  <c r="HA12" i="12"/>
  <c r="GZ12" i="12"/>
  <c r="GY12" i="12"/>
  <c r="GX12" i="12"/>
  <c r="HA11" i="12"/>
  <c r="GZ11" i="12"/>
  <c r="GY11" i="12"/>
  <c r="GX11" i="12"/>
  <c r="HA5" i="12"/>
  <c r="GZ5" i="12"/>
  <c r="GY5" i="12"/>
  <c r="GX5" i="12"/>
  <c r="HA13" i="12"/>
  <c r="GZ13" i="12"/>
  <c r="GY13" i="12"/>
  <c r="GX13" i="12"/>
  <c r="HA10" i="12"/>
  <c r="GZ10" i="12"/>
  <c r="GY10" i="12"/>
  <c r="GX10" i="12"/>
  <c r="HA15" i="12"/>
  <c r="GZ15" i="12"/>
  <c r="GY15" i="12"/>
  <c r="GX15" i="12"/>
  <c r="HA4" i="12"/>
  <c r="GZ4" i="12"/>
  <c r="GY4" i="12"/>
  <c r="GX4" i="12"/>
  <c r="HA7" i="12"/>
  <c r="GZ7" i="12"/>
  <c r="GY7" i="12"/>
  <c r="GX7" i="12"/>
  <c r="HA6" i="12"/>
  <c r="GZ6" i="12"/>
  <c r="GY6" i="12"/>
  <c r="GX6" i="12"/>
  <c r="HA8" i="12"/>
  <c r="GZ8" i="12"/>
  <c r="GY8" i="12"/>
  <c r="GX8" i="12"/>
  <c r="HA16" i="12"/>
  <c r="GZ16" i="12"/>
  <c r="GY16" i="12"/>
  <c r="GX16" i="12"/>
  <c r="GF9" i="12"/>
  <c r="GE9" i="12"/>
  <c r="GD9" i="12"/>
  <c r="GC9" i="12"/>
  <c r="GF12" i="12"/>
  <c r="GE12" i="12"/>
  <c r="GD12" i="12"/>
  <c r="GC12" i="12"/>
  <c r="GF11" i="12"/>
  <c r="GE11" i="12"/>
  <c r="GD11" i="12"/>
  <c r="GC11" i="12"/>
  <c r="GF5" i="12"/>
  <c r="GE5" i="12"/>
  <c r="GD5" i="12"/>
  <c r="GC5" i="12"/>
  <c r="GF13" i="12"/>
  <c r="GE13" i="12"/>
  <c r="GD13" i="12"/>
  <c r="GC13" i="12"/>
  <c r="GF10" i="12"/>
  <c r="GE10" i="12"/>
  <c r="GD10" i="12"/>
  <c r="GC10" i="12"/>
  <c r="GF15" i="12"/>
  <c r="GE15" i="12"/>
  <c r="GD15" i="12"/>
  <c r="GC15" i="12"/>
  <c r="GF4" i="12"/>
  <c r="GE4" i="12"/>
  <c r="GD4" i="12"/>
  <c r="GC4" i="12"/>
  <c r="GF7" i="12"/>
  <c r="GE7" i="12"/>
  <c r="GD7" i="12"/>
  <c r="GC7" i="12"/>
  <c r="GF6" i="12"/>
  <c r="GE6" i="12"/>
  <c r="GD6" i="12"/>
  <c r="GC6" i="12"/>
  <c r="GF8" i="12"/>
  <c r="GE8" i="12"/>
  <c r="GD8" i="12"/>
  <c r="GC8" i="12"/>
  <c r="GF16" i="12"/>
  <c r="GE16" i="12"/>
  <c r="GD16" i="12"/>
  <c r="GC16" i="12"/>
  <c r="FK9" i="12"/>
  <c r="FJ9" i="12"/>
  <c r="FI9" i="12"/>
  <c r="FH9" i="12"/>
  <c r="FK12" i="12"/>
  <c r="FJ12" i="12"/>
  <c r="FI12" i="12"/>
  <c r="FH12" i="12"/>
  <c r="FK11" i="12"/>
  <c r="FJ11" i="12"/>
  <c r="FI11" i="12"/>
  <c r="FH11" i="12"/>
  <c r="FK5" i="12"/>
  <c r="FJ5" i="12"/>
  <c r="FI5" i="12"/>
  <c r="FH5" i="12"/>
  <c r="FK13" i="12"/>
  <c r="FJ13" i="12"/>
  <c r="FI13" i="12"/>
  <c r="FH13" i="12"/>
  <c r="FK10" i="12"/>
  <c r="FJ10" i="12"/>
  <c r="FI10" i="12"/>
  <c r="FH10" i="12"/>
  <c r="FK15" i="12"/>
  <c r="FJ15" i="12"/>
  <c r="FI15" i="12"/>
  <c r="FH15" i="12"/>
  <c r="FK4" i="12"/>
  <c r="FJ4" i="12"/>
  <c r="FI4" i="12"/>
  <c r="FH4" i="12"/>
  <c r="FK7" i="12"/>
  <c r="FJ7" i="12"/>
  <c r="FI7" i="12"/>
  <c r="FH7" i="12"/>
  <c r="FK6" i="12"/>
  <c r="FJ6" i="12"/>
  <c r="FI6" i="12"/>
  <c r="FH6" i="12"/>
  <c r="FK8" i="12"/>
  <c r="FJ8" i="12"/>
  <c r="FI8" i="12"/>
  <c r="FH8" i="12"/>
  <c r="FK16" i="12"/>
  <c r="FJ16" i="12"/>
  <c r="FI16" i="12"/>
  <c r="FH16" i="12"/>
  <c r="EP9" i="12"/>
  <c r="EO9" i="12"/>
  <c r="EN9" i="12"/>
  <c r="EM9" i="12"/>
  <c r="EP12" i="12"/>
  <c r="EO12" i="12"/>
  <c r="EN12" i="12"/>
  <c r="EM12" i="12"/>
  <c r="EP11" i="12"/>
  <c r="EO11" i="12"/>
  <c r="EN11" i="12"/>
  <c r="EM11" i="12"/>
  <c r="EP5" i="12"/>
  <c r="EO5" i="12"/>
  <c r="EN5" i="12"/>
  <c r="EM5" i="12"/>
  <c r="EP13" i="12"/>
  <c r="EO13" i="12"/>
  <c r="EN13" i="12"/>
  <c r="EM13" i="12"/>
  <c r="EP10" i="12"/>
  <c r="EO10" i="12"/>
  <c r="EN10" i="12"/>
  <c r="EM10" i="12"/>
  <c r="EP15" i="12"/>
  <c r="EO15" i="12"/>
  <c r="EN15" i="12"/>
  <c r="EM15" i="12"/>
  <c r="EP4" i="12"/>
  <c r="EO4" i="12"/>
  <c r="EN4" i="12"/>
  <c r="EM4" i="12"/>
  <c r="EP7" i="12"/>
  <c r="EO7" i="12"/>
  <c r="EN7" i="12"/>
  <c r="EM7" i="12"/>
  <c r="EP6" i="12"/>
  <c r="EO6" i="12"/>
  <c r="EN6" i="12"/>
  <c r="EM6" i="12"/>
  <c r="EP8" i="12"/>
  <c r="EO8" i="12"/>
  <c r="EN8" i="12"/>
  <c r="EM8" i="12"/>
  <c r="EP16" i="12"/>
  <c r="EO16" i="12"/>
  <c r="EN16" i="12"/>
  <c r="EM16" i="12"/>
  <c r="DU9" i="12"/>
  <c r="DT9" i="12"/>
  <c r="DS9" i="12"/>
  <c r="DR9" i="12"/>
  <c r="DU12" i="12"/>
  <c r="DT12" i="12"/>
  <c r="DS12" i="12"/>
  <c r="DR12" i="12"/>
  <c r="DU11" i="12"/>
  <c r="DT11" i="12"/>
  <c r="DS11" i="12"/>
  <c r="DR11" i="12"/>
  <c r="DU5" i="12"/>
  <c r="DT5" i="12"/>
  <c r="DS5" i="12"/>
  <c r="DR5" i="12"/>
  <c r="DU13" i="12"/>
  <c r="DT13" i="12"/>
  <c r="DS13" i="12"/>
  <c r="DR13" i="12"/>
  <c r="DU10" i="12"/>
  <c r="DT10" i="12"/>
  <c r="DS10" i="12"/>
  <c r="DR10" i="12"/>
  <c r="DU15" i="12"/>
  <c r="DT15" i="12"/>
  <c r="DS15" i="12"/>
  <c r="DR15" i="12"/>
  <c r="DU4" i="12"/>
  <c r="DT4" i="12"/>
  <c r="DS4" i="12"/>
  <c r="DR4" i="12"/>
  <c r="DU7" i="12"/>
  <c r="DT7" i="12"/>
  <c r="DS7" i="12"/>
  <c r="DR7" i="12"/>
  <c r="DU6" i="12"/>
  <c r="DT6" i="12"/>
  <c r="DS6" i="12"/>
  <c r="DR6" i="12"/>
  <c r="DU8" i="12"/>
  <c r="DT8" i="12"/>
  <c r="DS8" i="12"/>
  <c r="DR8" i="12"/>
  <c r="DU16" i="12"/>
  <c r="DT16" i="12"/>
  <c r="DS16" i="12"/>
  <c r="DR16" i="12"/>
  <c r="CZ9" i="12"/>
  <c r="CY9" i="12"/>
  <c r="CX9" i="12"/>
  <c r="CW9" i="12"/>
  <c r="CZ12" i="12"/>
  <c r="CY12" i="12"/>
  <c r="CX12" i="12"/>
  <c r="CW12" i="12"/>
  <c r="CZ11" i="12"/>
  <c r="CY11" i="12"/>
  <c r="CX11" i="12"/>
  <c r="CW11" i="12"/>
  <c r="CZ5" i="12"/>
  <c r="CY5" i="12"/>
  <c r="CX5" i="12"/>
  <c r="CW5" i="12"/>
  <c r="CZ13" i="12"/>
  <c r="CY13" i="12"/>
  <c r="CX13" i="12"/>
  <c r="CW13" i="12"/>
  <c r="CZ10" i="12"/>
  <c r="CY10" i="12"/>
  <c r="CX10" i="12"/>
  <c r="CW10" i="12"/>
  <c r="CZ15" i="12"/>
  <c r="CY15" i="12"/>
  <c r="CX15" i="12"/>
  <c r="CW15" i="12"/>
  <c r="CZ4" i="12"/>
  <c r="CY4" i="12"/>
  <c r="CX4" i="12"/>
  <c r="CW4" i="12"/>
  <c r="CZ7" i="12"/>
  <c r="CY7" i="12"/>
  <c r="CX7" i="12"/>
  <c r="CW7" i="12"/>
  <c r="CZ6" i="12"/>
  <c r="CY6" i="12"/>
  <c r="CX6" i="12"/>
  <c r="CW6" i="12"/>
  <c r="CZ8" i="12"/>
  <c r="CY8" i="12"/>
  <c r="CX8" i="12"/>
  <c r="CW8" i="12"/>
  <c r="CZ16" i="12"/>
  <c r="CY16" i="12"/>
  <c r="CX16" i="12"/>
  <c r="CW16" i="12"/>
  <c r="LB12" i="6"/>
  <c r="LA12" i="6"/>
  <c r="KZ12" i="6"/>
  <c r="KY12" i="6"/>
  <c r="LB15" i="6"/>
  <c r="LA15" i="6"/>
  <c r="KZ15" i="6"/>
  <c r="KY15" i="6"/>
  <c r="LB9" i="6"/>
  <c r="LA9" i="6"/>
  <c r="KZ9" i="6"/>
  <c r="KY9" i="6"/>
  <c r="LB10" i="6"/>
  <c r="LA10" i="6"/>
  <c r="KZ10" i="6"/>
  <c r="KY10" i="6"/>
  <c r="LB13" i="6"/>
  <c r="LA13" i="6"/>
  <c r="KZ13" i="6"/>
  <c r="KY13" i="6"/>
  <c r="LB14" i="6"/>
  <c r="LA14" i="6"/>
  <c r="KZ14" i="6"/>
  <c r="KY14" i="6"/>
  <c r="LB8" i="6"/>
  <c r="LA8" i="6"/>
  <c r="KZ8" i="6"/>
  <c r="KY8" i="6"/>
  <c r="LB6" i="6"/>
  <c r="LA6" i="6"/>
  <c r="KZ6" i="6"/>
  <c r="KY6" i="6"/>
  <c r="LB7" i="6"/>
  <c r="LA7" i="6"/>
  <c r="KZ7" i="6"/>
  <c r="KY7" i="6"/>
  <c r="LB11" i="6"/>
  <c r="LA11" i="6"/>
  <c r="KZ11" i="6"/>
  <c r="KY11" i="6"/>
  <c r="LB5" i="6"/>
  <c r="LA5" i="6"/>
  <c r="KZ5" i="6"/>
  <c r="KY5" i="6"/>
  <c r="LB4" i="6"/>
  <c r="LA4" i="6"/>
  <c r="KZ4" i="6"/>
  <c r="KY4" i="6"/>
  <c r="KG12" i="6"/>
  <c r="KF12" i="6"/>
  <c r="KE12" i="6"/>
  <c r="KD12" i="6"/>
  <c r="KG15" i="6"/>
  <c r="KF15" i="6"/>
  <c r="KE15" i="6"/>
  <c r="KD15" i="6"/>
  <c r="KG9" i="6"/>
  <c r="KF9" i="6"/>
  <c r="KE9" i="6"/>
  <c r="KD9" i="6"/>
  <c r="KG10" i="6"/>
  <c r="KF10" i="6"/>
  <c r="KE10" i="6"/>
  <c r="KD10" i="6"/>
  <c r="KG13" i="6"/>
  <c r="KF13" i="6"/>
  <c r="KE13" i="6"/>
  <c r="KD13" i="6"/>
  <c r="KG14" i="6"/>
  <c r="KF14" i="6"/>
  <c r="KE14" i="6"/>
  <c r="KD14" i="6"/>
  <c r="KG8" i="6"/>
  <c r="KF8" i="6"/>
  <c r="KE8" i="6"/>
  <c r="KD8" i="6"/>
  <c r="KG6" i="6"/>
  <c r="KF6" i="6"/>
  <c r="KE6" i="6"/>
  <c r="KD6" i="6"/>
  <c r="KG7" i="6"/>
  <c r="KF7" i="6"/>
  <c r="KE7" i="6"/>
  <c r="KD7" i="6"/>
  <c r="KG11" i="6"/>
  <c r="KF11" i="6"/>
  <c r="KE11" i="6"/>
  <c r="KD11" i="6"/>
  <c r="KG5" i="6"/>
  <c r="KF5" i="6"/>
  <c r="KE5" i="6"/>
  <c r="KD5" i="6"/>
  <c r="KG4" i="6"/>
  <c r="KF4" i="6"/>
  <c r="KE4" i="6"/>
  <c r="KD4" i="6"/>
  <c r="JL12" i="6"/>
  <c r="JK12" i="6"/>
  <c r="JJ12" i="6"/>
  <c r="JI12" i="6"/>
  <c r="JL15" i="6"/>
  <c r="JK15" i="6"/>
  <c r="JJ15" i="6"/>
  <c r="JI15" i="6"/>
  <c r="JL9" i="6"/>
  <c r="JK9" i="6"/>
  <c r="JJ9" i="6"/>
  <c r="JI9" i="6"/>
  <c r="JL10" i="6"/>
  <c r="JK10" i="6"/>
  <c r="JJ10" i="6"/>
  <c r="JI10" i="6"/>
  <c r="JL13" i="6"/>
  <c r="JK13" i="6"/>
  <c r="JJ13" i="6"/>
  <c r="JI13" i="6"/>
  <c r="JL14" i="6"/>
  <c r="JK14" i="6"/>
  <c r="JJ14" i="6"/>
  <c r="JI14" i="6"/>
  <c r="JL8" i="6"/>
  <c r="JK8" i="6"/>
  <c r="JJ8" i="6"/>
  <c r="JI8" i="6"/>
  <c r="JL6" i="6"/>
  <c r="JK6" i="6"/>
  <c r="JJ6" i="6"/>
  <c r="JI6" i="6"/>
  <c r="JL7" i="6"/>
  <c r="JK7" i="6"/>
  <c r="JJ7" i="6"/>
  <c r="JI7" i="6"/>
  <c r="JL11" i="6"/>
  <c r="JK11" i="6"/>
  <c r="JJ11" i="6"/>
  <c r="JI11" i="6"/>
  <c r="JL5" i="6"/>
  <c r="JK5" i="6"/>
  <c r="JJ5" i="6"/>
  <c r="JI5" i="6"/>
  <c r="JL4" i="6"/>
  <c r="JK4" i="6"/>
  <c r="JJ4" i="6"/>
  <c r="JI4" i="6"/>
  <c r="IQ12" i="6"/>
  <c r="IP12" i="6"/>
  <c r="IO12" i="6"/>
  <c r="IN12" i="6"/>
  <c r="IQ15" i="6"/>
  <c r="IP15" i="6"/>
  <c r="IO15" i="6"/>
  <c r="IN15" i="6"/>
  <c r="IQ9" i="6"/>
  <c r="IP9" i="6"/>
  <c r="IO9" i="6"/>
  <c r="IN9" i="6"/>
  <c r="IQ10" i="6"/>
  <c r="IP10" i="6"/>
  <c r="IO10" i="6"/>
  <c r="IN10" i="6"/>
  <c r="IQ13" i="6"/>
  <c r="IP13" i="6"/>
  <c r="IO13" i="6"/>
  <c r="IN13" i="6"/>
  <c r="IQ14" i="6"/>
  <c r="IP14" i="6"/>
  <c r="IO14" i="6"/>
  <c r="IN14" i="6"/>
  <c r="IQ8" i="6"/>
  <c r="IP8" i="6"/>
  <c r="IO8" i="6"/>
  <c r="IN8" i="6"/>
  <c r="IQ6" i="6"/>
  <c r="IP6" i="6"/>
  <c r="IO6" i="6"/>
  <c r="IN6" i="6"/>
  <c r="IQ7" i="6"/>
  <c r="IP7" i="6"/>
  <c r="IO7" i="6"/>
  <c r="IN7" i="6"/>
  <c r="IQ11" i="6"/>
  <c r="IP11" i="6"/>
  <c r="IO11" i="6"/>
  <c r="IN11" i="6"/>
  <c r="IQ5" i="6"/>
  <c r="IP5" i="6"/>
  <c r="IO5" i="6"/>
  <c r="IN5" i="6"/>
  <c r="IQ4" i="6"/>
  <c r="IP4" i="6"/>
  <c r="IO4" i="6"/>
  <c r="IN4" i="6"/>
  <c r="HV12" i="6"/>
  <c r="HU12" i="6"/>
  <c r="HT12" i="6"/>
  <c r="HS12" i="6"/>
  <c r="HV15" i="6"/>
  <c r="HU15" i="6"/>
  <c r="HT15" i="6"/>
  <c r="HS15" i="6"/>
  <c r="HV9" i="6"/>
  <c r="HU9" i="6"/>
  <c r="HT9" i="6"/>
  <c r="HS9" i="6"/>
  <c r="HV10" i="6"/>
  <c r="HU10" i="6"/>
  <c r="HT10" i="6"/>
  <c r="HS10" i="6"/>
  <c r="HV13" i="6"/>
  <c r="HU13" i="6"/>
  <c r="HT13" i="6"/>
  <c r="HS13" i="6"/>
  <c r="HV14" i="6"/>
  <c r="HU14" i="6"/>
  <c r="HT14" i="6"/>
  <c r="HS14" i="6"/>
  <c r="HV8" i="6"/>
  <c r="HU8" i="6"/>
  <c r="HT8" i="6"/>
  <c r="HS8" i="6"/>
  <c r="HV6" i="6"/>
  <c r="HU6" i="6"/>
  <c r="HT6" i="6"/>
  <c r="HS6" i="6"/>
  <c r="HV7" i="6"/>
  <c r="HU7" i="6"/>
  <c r="HT7" i="6"/>
  <c r="HS7" i="6"/>
  <c r="HV11" i="6"/>
  <c r="HU11" i="6"/>
  <c r="HT11" i="6"/>
  <c r="HS11" i="6"/>
  <c r="HV5" i="6"/>
  <c r="HU5" i="6"/>
  <c r="HT5" i="6"/>
  <c r="HS5" i="6"/>
  <c r="HV4" i="6"/>
  <c r="HU4" i="6"/>
  <c r="HT4" i="6"/>
  <c r="HS4" i="6"/>
  <c r="HA12" i="6"/>
  <c r="GZ12" i="6"/>
  <c r="GY12" i="6"/>
  <c r="GX12" i="6"/>
  <c r="HA15" i="6"/>
  <c r="GZ15" i="6"/>
  <c r="GY15" i="6"/>
  <c r="GX15" i="6"/>
  <c r="HA9" i="6"/>
  <c r="GZ9" i="6"/>
  <c r="GY9" i="6"/>
  <c r="GX9" i="6"/>
  <c r="HA10" i="6"/>
  <c r="GZ10" i="6"/>
  <c r="GY10" i="6"/>
  <c r="GX10" i="6"/>
  <c r="HA13" i="6"/>
  <c r="GZ13" i="6"/>
  <c r="GY13" i="6"/>
  <c r="GX13" i="6"/>
  <c r="HA14" i="6"/>
  <c r="GZ14" i="6"/>
  <c r="GY14" i="6"/>
  <c r="GX14" i="6"/>
  <c r="HA8" i="6"/>
  <c r="GZ8" i="6"/>
  <c r="GY8" i="6"/>
  <c r="GX8" i="6"/>
  <c r="HA6" i="6"/>
  <c r="GZ6" i="6"/>
  <c r="GY6" i="6"/>
  <c r="GX6" i="6"/>
  <c r="HA7" i="6"/>
  <c r="GZ7" i="6"/>
  <c r="GY7" i="6"/>
  <c r="GX7" i="6"/>
  <c r="HA11" i="6"/>
  <c r="GZ11" i="6"/>
  <c r="GY11" i="6"/>
  <c r="GX11" i="6"/>
  <c r="HA5" i="6"/>
  <c r="GZ5" i="6"/>
  <c r="GY5" i="6"/>
  <c r="GX5" i="6"/>
  <c r="HA4" i="6"/>
  <c r="GZ4" i="6"/>
  <c r="GY4" i="6"/>
  <c r="GX4" i="6"/>
  <c r="GF12" i="6"/>
  <c r="GE12" i="6"/>
  <c r="GD12" i="6"/>
  <c r="GC12" i="6"/>
  <c r="GF15" i="6"/>
  <c r="GE15" i="6"/>
  <c r="GD15" i="6"/>
  <c r="GC15" i="6"/>
  <c r="GF9" i="6"/>
  <c r="GE9" i="6"/>
  <c r="GD9" i="6"/>
  <c r="GC9" i="6"/>
  <c r="GF10" i="6"/>
  <c r="GE10" i="6"/>
  <c r="GD10" i="6"/>
  <c r="GC10" i="6"/>
  <c r="GF13" i="6"/>
  <c r="GE13" i="6"/>
  <c r="GD13" i="6"/>
  <c r="GC13" i="6"/>
  <c r="GF14" i="6"/>
  <c r="GE14" i="6"/>
  <c r="GD14" i="6"/>
  <c r="GC14" i="6"/>
  <c r="GF8" i="6"/>
  <c r="GE8" i="6"/>
  <c r="GD8" i="6"/>
  <c r="GC8" i="6"/>
  <c r="GF6" i="6"/>
  <c r="GE6" i="6"/>
  <c r="GD6" i="6"/>
  <c r="GC6" i="6"/>
  <c r="GF7" i="6"/>
  <c r="GE7" i="6"/>
  <c r="GD7" i="6"/>
  <c r="GC7" i="6"/>
  <c r="GF11" i="6"/>
  <c r="GE11" i="6"/>
  <c r="GD11" i="6"/>
  <c r="GC11" i="6"/>
  <c r="GF5" i="6"/>
  <c r="GE5" i="6"/>
  <c r="GD5" i="6"/>
  <c r="GC5" i="6"/>
  <c r="GF4" i="6"/>
  <c r="GE4" i="6"/>
  <c r="GD4" i="6"/>
  <c r="GC4" i="6"/>
  <c r="FK12" i="6"/>
  <c r="FJ12" i="6"/>
  <c r="FI12" i="6"/>
  <c r="FH12" i="6"/>
  <c r="FK15" i="6"/>
  <c r="FJ15" i="6"/>
  <c r="FI15" i="6"/>
  <c r="FH15" i="6"/>
  <c r="FK9" i="6"/>
  <c r="FJ9" i="6"/>
  <c r="FI9" i="6"/>
  <c r="FH9" i="6"/>
  <c r="FK10" i="6"/>
  <c r="FJ10" i="6"/>
  <c r="FI10" i="6"/>
  <c r="FH10" i="6"/>
  <c r="FK13" i="6"/>
  <c r="FJ13" i="6"/>
  <c r="FI13" i="6"/>
  <c r="FH13" i="6"/>
  <c r="FK14" i="6"/>
  <c r="FJ14" i="6"/>
  <c r="FI14" i="6"/>
  <c r="FH14" i="6"/>
  <c r="FK8" i="6"/>
  <c r="FJ8" i="6"/>
  <c r="FI8" i="6"/>
  <c r="FH8" i="6"/>
  <c r="FK6" i="6"/>
  <c r="FJ6" i="6"/>
  <c r="FI6" i="6"/>
  <c r="FH6" i="6"/>
  <c r="FK7" i="6"/>
  <c r="FJ7" i="6"/>
  <c r="FI7" i="6"/>
  <c r="FH7" i="6"/>
  <c r="FK11" i="6"/>
  <c r="FJ11" i="6"/>
  <c r="FI11" i="6"/>
  <c r="FH11" i="6"/>
  <c r="FK5" i="6"/>
  <c r="FJ5" i="6"/>
  <c r="FI5" i="6"/>
  <c r="FH5" i="6"/>
  <c r="FK4" i="6"/>
  <c r="FJ4" i="6"/>
  <c r="FI4" i="6"/>
  <c r="FH4" i="6"/>
  <c r="EP12" i="6"/>
  <c r="EO12" i="6"/>
  <c r="EN12" i="6"/>
  <c r="EM12" i="6"/>
  <c r="EP15" i="6"/>
  <c r="EO15" i="6"/>
  <c r="EN15" i="6"/>
  <c r="EM15" i="6"/>
  <c r="EP9" i="6"/>
  <c r="EO9" i="6"/>
  <c r="EN9" i="6"/>
  <c r="EM9" i="6"/>
  <c r="EP10" i="6"/>
  <c r="EO10" i="6"/>
  <c r="EN10" i="6"/>
  <c r="EM10" i="6"/>
  <c r="EP13" i="6"/>
  <c r="EO13" i="6"/>
  <c r="EN13" i="6"/>
  <c r="EM13" i="6"/>
  <c r="EP14" i="6"/>
  <c r="EO14" i="6"/>
  <c r="EN14" i="6"/>
  <c r="EM14" i="6"/>
  <c r="EP8" i="6"/>
  <c r="EO8" i="6"/>
  <c r="EN8" i="6"/>
  <c r="EM8" i="6"/>
  <c r="EP6" i="6"/>
  <c r="EO6" i="6"/>
  <c r="EN6" i="6"/>
  <c r="EM6" i="6"/>
  <c r="EP7" i="6"/>
  <c r="EO7" i="6"/>
  <c r="EN7" i="6"/>
  <c r="EM7" i="6"/>
  <c r="EP11" i="6"/>
  <c r="EO11" i="6"/>
  <c r="EN11" i="6"/>
  <c r="EM11" i="6"/>
  <c r="EP5" i="6"/>
  <c r="EO5" i="6"/>
  <c r="EN5" i="6"/>
  <c r="EM5" i="6"/>
  <c r="EP4" i="6"/>
  <c r="EO4" i="6"/>
  <c r="EN4" i="6"/>
  <c r="EM4" i="6"/>
  <c r="DU12" i="6"/>
  <c r="DT12" i="6"/>
  <c r="DS12" i="6"/>
  <c r="DR12" i="6"/>
  <c r="DU15" i="6"/>
  <c r="DT15" i="6"/>
  <c r="DS15" i="6"/>
  <c r="DR15" i="6"/>
  <c r="DU9" i="6"/>
  <c r="DT9" i="6"/>
  <c r="DS9" i="6"/>
  <c r="DR9" i="6"/>
  <c r="DU10" i="6"/>
  <c r="DT10" i="6"/>
  <c r="DS10" i="6"/>
  <c r="DR10" i="6"/>
  <c r="DU13" i="6"/>
  <c r="DT13" i="6"/>
  <c r="DS13" i="6"/>
  <c r="DR13" i="6"/>
  <c r="DU14" i="6"/>
  <c r="DT14" i="6"/>
  <c r="DS14" i="6"/>
  <c r="DR14" i="6"/>
  <c r="DU8" i="6"/>
  <c r="DT8" i="6"/>
  <c r="DS8" i="6"/>
  <c r="DR8" i="6"/>
  <c r="DU6" i="6"/>
  <c r="DT6" i="6"/>
  <c r="DS6" i="6"/>
  <c r="DR6" i="6"/>
  <c r="DU7" i="6"/>
  <c r="DT7" i="6"/>
  <c r="DS7" i="6"/>
  <c r="DR7" i="6"/>
  <c r="DU11" i="6"/>
  <c r="DT11" i="6"/>
  <c r="DS11" i="6"/>
  <c r="DR11" i="6"/>
  <c r="DU5" i="6"/>
  <c r="DT5" i="6"/>
  <c r="DS5" i="6"/>
  <c r="DR5" i="6"/>
  <c r="DU4" i="6"/>
  <c r="DT4" i="6"/>
  <c r="DS4" i="6"/>
  <c r="DR4" i="6"/>
  <c r="CZ12" i="6"/>
  <c r="CY12" i="6"/>
  <c r="CX12" i="6"/>
  <c r="CW12" i="6"/>
  <c r="CZ15" i="6"/>
  <c r="CY15" i="6"/>
  <c r="CX15" i="6"/>
  <c r="CW15" i="6"/>
  <c r="CZ9" i="6"/>
  <c r="CY9" i="6"/>
  <c r="CX9" i="6"/>
  <c r="CW9" i="6"/>
  <c r="CZ10" i="6"/>
  <c r="CY10" i="6"/>
  <c r="CX10" i="6"/>
  <c r="CW10" i="6"/>
  <c r="CZ13" i="6"/>
  <c r="CY13" i="6"/>
  <c r="CX13" i="6"/>
  <c r="CW13" i="6"/>
  <c r="CZ14" i="6"/>
  <c r="CY14" i="6"/>
  <c r="CX14" i="6"/>
  <c r="CW14" i="6"/>
  <c r="CZ8" i="6"/>
  <c r="CY8" i="6"/>
  <c r="CX8" i="6"/>
  <c r="CW8" i="6"/>
  <c r="CZ6" i="6"/>
  <c r="CY6" i="6"/>
  <c r="CX6" i="6"/>
  <c r="CW6" i="6"/>
  <c r="CZ7" i="6"/>
  <c r="CY7" i="6"/>
  <c r="CX7" i="6"/>
  <c r="CW7" i="6"/>
  <c r="CZ11" i="6"/>
  <c r="CY11" i="6"/>
  <c r="CX11" i="6"/>
  <c r="CW11" i="6"/>
  <c r="CZ5" i="6"/>
  <c r="CY5" i="6"/>
  <c r="CX5" i="6"/>
  <c r="CW5" i="6"/>
  <c r="CZ4" i="6"/>
  <c r="CY4" i="6"/>
  <c r="CX4" i="6"/>
  <c r="CW4" i="6"/>
  <c r="LB6" i="8"/>
  <c r="LA6" i="8"/>
  <c r="KZ6" i="8"/>
  <c r="KY6" i="8"/>
  <c r="LB7" i="8"/>
  <c r="LA7" i="8"/>
  <c r="KZ7" i="8"/>
  <c r="KY7" i="8"/>
  <c r="LB4" i="8"/>
  <c r="LA4" i="8"/>
  <c r="KZ4" i="8"/>
  <c r="KY4" i="8"/>
  <c r="KG6" i="8"/>
  <c r="KF6" i="8"/>
  <c r="KE6" i="8"/>
  <c r="KD6" i="8"/>
  <c r="KG7" i="8"/>
  <c r="KF7" i="8"/>
  <c r="KE7" i="8"/>
  <c r="KD7" i="8"/>
  <c r="KG4" i="8"/>
  <c r="KF4" i="8"/>
  <c r="KE4" i="8"/>
  <c r="KD4" i="8"/>
  <c r="JL6" i="8"/>
  <c r="JK6" i="8"/>
  <c r="JJ6" i="8"/>
  <c r="JI6" i="8"/>
  <c r="JL7" i="8"/>
  <c r="JK7" i="8"/>
  <c r="JJ7" i="8"/>
  <c r="JI7" i="8"/>
  <c r="JL4" i="8"/>
  <c r="JK4" i="8"/>
  <c r="JJ4" i="8"/>
  <c r="JI4" i="8"/>
  <c r="IQ6" i="8"/>
  <c r="IP6" i="8"/>
  <c r="IO6" i="8"/>
  <c r="IN6" i="8"/>
  <c r="IQ7" i="8"/>
  <c r="IP7" i="8"/>
  <c r="IO7" i="8"/>
  <c r="IN7" i="8"/>
  <c r="IQ4" i="8"/>
  <c r="IP4" i="8"/>
  <c r="IO4" i="8"/>
  <c r="IN4" i="8"/>
  <c r="HV6" i="8"/>
  <c r="HU6" i="8"/>
  <c r="HT6" i="8"/>
  <c r="HS6" i="8"/>
  <c r="HV7" i="8"/>
  <c r="HU7" i="8"/>
  <c r="HT7" i="8"/>
  <c r="HS7" i="8"/>
  <c r="HV4" i="8"/>
  <c r="HU4" i="8"/>
  <c r="HT4" i="8"/>
  <c r="HS4" i="8"/>
  <c r="HA6" i="8"/>
  <c r="GZ6" i="8"/>
  <c r="GY6" i="8"/>
  <c r="GX6" i="8"/>
  <c r="HA7" i="8"/>
  <c r="GZ7" i="8"/>
  <c r="GY7" i="8"/>
  <c r="GX7" i="8"/>
  <c r="HA4" i="8"/>
  <c r="GZ4" i="8"/>
  <c r="GY4" i="8"/>
  <c r="GX4" i="8"/>
  <c r="GF6" i="8"/>
  <c r="GE6" i="8"/>
  <c r="GD6" i="8"/>
  <c r="GC6" i="8"/>
  <c r="GF7" i="8"/>
  <c r="GE7" i="8"/>
  <c r="GD7" i="8"/>
  <c r="GC7" i="8"/>
  <c r="GF4" i="8"/>
  <c r="GE4" i="8"/>
  <c r="GD4" i="8"/>
  <c r="GC4" i="8"/>
  <c r="FK6" i="8"/>
  <c r="FJ6" i="8"/>
  <c r="FI6" i="8"/>
  <c r="FH6" i="8"/>
  <c r="FK7" i="8"/>
  <c r="FJ7" i="8"/>
  <c r="FI7" i="8"/>
  <c r="FH7" i="8"/>
  <c r="FK4" i="8"/>
  <c r="FJ4" i="8"/>
  <c r="FI4" i="8"/>
  <c r="FH4" i="8"/>
  <c r="EP6" i="8"/>
  <c r="EO6" i="8"/>
  <c r="EN6" i="8"/>
  <c r="EM6" i="8"/>
  <c r="EP7" i="8"/>
  <c r="EO7" i="8"/>
  <c r="EN7" i="8"/>
  <c r="EM7" i="8"/>
  <c r="EP4" i="8"/>
  <c r="EO4" i="8"/>
  <c r="EN4" i="8"/>
  <c r="EM4" i="8"/>
  <c r="DU6" i="8"/>
  <c r="DT6" i="8"/>
  <c r="DS6" i="8"/>
  <c r="DR6" i="8"/>
  <c r="DU7" i="8"/>
  <c r="DT7" i="8"/>
  <c r="DS7" i="8"/>
  <c r="DR7" i="8"/>
  <c r="DU4" i="8"/>
  <c r="DT4" i="8"/>
  <c r="DS4" i="8"/>
  <c r="DR4" i="8"/>
  <c r="CZ6" i="8"/>
  <c r="CY6" i="8"/>
  <c r="CX6" i="8"/>
  <c r="CW6" i="8"/>
  <c r="CZ7" i="8"/>
  <c r="CY7" i="8"/>
  <c r="CX7" i="8"/>
  <c r="CW7" i="8"/>
  <c r="CZ4" i="8"/>
  <c r="CY4" i="8"/>
  <c r="CX4" i="8"/>
  <c r="CW4" i="8"/>
  <c r="LB5" i="7"/>
  <c r="LA5" i="7"/>
  <c r="KZ5" i="7"/>
  <c r="KY5" i="7"/>
  <c r="LB4" i="7"/>
  <c r="LA4" i="7"/>
  <c r="KZ4" i="7"/>
  <c r="KY4" i="7"/>
  <c r="KG5" i="7"/>
  <c r="KF5" i="7"/>
  <c r="KE5" i="7"/>
  <c r="KD5" i="7"/>
  <c r="KG4" i="7"/>
  <c r="KF4" i="7"/>
  <c r="KE4" i="7"/>
  <c r="KD4" i="7"/>
  <c r="JL5" i="7"/>
  <c r="JK5" i="7"/>
  <c r="JJ5" i="7"/>
  <c r="JI5" i="7"/>
  <c r="JL4" i="7"/>
  <c r="JK4" i="7"/>
  <c r="JJ4" i="7"/>
  <c r="JI4" i="7"/>
  <c r="IQ5" i="7"/>
  <c r="IP5" i="7"/>
  <c r="IO5" i="7"/>
  <c r="IN5" i="7"/>
  <c r="IQ4" i="7"/>
  <c r="IP4" i="7"/>
  <c r="IO4" i="7"/>
  <c r="IN4" i="7"/>
  <c r="HV5" i="7"/>
  <c r="HU5" i="7"/>
  <c r="HT5" i="7"/>
  <c r="HS5" i="7"/>
  <c r="HV4" i="7"/>
  <c r="HU4" i="7"/>
  <c r="HT4" i="7"/>
  <c r="HS4" i="7"/>
  <c r="HA5" i="7"/>
  <c r="GY5" i="7"/>
  <c r="GX5" i="7"/>
  <c r="HA4" i="7"/>
  <c r="GY4" i="7"/>
  <c r="GX4" i="7"/>
  <c r="GF5" i="7"/>
  <c r="GE5" i="7"/>
  <c r="GD5" i="7"/>
  <c r="GC5" i="7"/>
  <c r="GF4" i="7"/>
  <c r="GE4" i="7"/>
  <c r="GD4" i="7"/>
  <c r="GC4" i="7"/>
  <c r="FK5" i="7"/>
  <c r="FJ5" i="7"/>
  <c r="FI5" i="7"/>
  <c r="FH5" i="7"/>
  <c r="FK4" i="7"/>
  <c r="FJ4" i="7"/>
  <c r="FI4" i="7"/>
  <c r="FH4" i="7"/>
  <c r="EP5" i="7"/>
  <c r="EO5" i="7"/>
  <c r="EN5" i="7"/>
  <c r="EM5" i="7"/>
  <c r="EP4" i="7"/>
  <c r="EO4" i="7"/>
  <c r="EN4" i="7"/>
  <c r="EM4" i="7"/>
  <c r="DU5" i="7"/>
  <c r="DT5" i="7"/>
  <c r="DS5" i="7"/>
  <c r="DR5" i="7"/>
  <c r="DU4" i="7"/>
  <c r="DT4" i="7"/>
  <c r="DS4" i="7"/>
  <c r="DR4" i="7"/>
  <c r="CZ5" i="7"/>
  <c r="CY5" i="7"/>
  <c r="CX5" i="7"/>
  <c r="CW5" i="7"/>
  <c r="CZ4" i="7"/>
  <c r="CY4" i="7"/>
  <c r="CX4" i="7"/>
  <c r="CW4" i="7"/>
  <c r="BZ7" i="8"/>
  <c r="CA7" i="8"/>
  <c r="CC7" i="8"/>
  <c r="LT7" i="8"/>
  <c r="LU7" i="8"/>
  <c r="LV7" i="8"/>
  <c r="LW7" i="8"/>
  <c r="LY7" i="8"/>
  <c r="LZ7" i="8"/>
  <c r="MA7" i="8"/>
  <c r="MB7" i="8"/>
  <c r="MC7" i="8"/>
  <c r="MD7" i="8"/>
  <c r="ME7" i="8"/>
  <c r="MF7" i="8"/>
  <c r="MG7" i="8"/>
  <c r="MH7" i="8"/>
  <c r="MI7" i="8"/>
  <c r="MJ7" i="8"/>
  <c r="MK7" i="8"/>
  <c r="ML7" i="8"/>
  <c r="MM7" i="8"/>
  <c r="MN7" i="8"/>
  <c r="CY18" i="4"/>
  <c r="CZ18" i="4"/>
  <c r="DA18" i="4"/>
  <c r="DB18" i="4"/>
  <c r="DC18" i="4"/>
  <c r="DE18" i="4"/>
  <c r="DF18" i="4"/>
  <c r="NI18" i="4"/>
  <c r="NJ18" i="4"/>
  <c r="NK18" i="4"/>
  <c r="NM18" i="4"/>
  <c r="NN18" i="4"/>
  <c r="NP18" i="4"/>
  <c r="NQ18" i="4"/>
  <c r="NR18" i="4"/>
  <c r="NS18" i="4"/>
  <c r="NT18" i="4"/>
  <c r="NU18" i="4"/>
  <c r="NV18" i="4"/>
  <c r="NW18" i="4"/>
  <c r="OL18" i="4" s="1"/>
  <c r="NX18" i="4"/>
  <c r="NY18" i="4"/>
  <c r="NZ18" i="4"/>
  <c r="OA18" i="4"/>
  <c r="OB18" i="4"/>
  <c r="ON18" i="4" s="1"/>
  <c r="OC18" i="4"/>
  <c r="OD18" i="4"/>
  <c r="OE18" i="4"/>
  <c r="OF18" i="4"/>
  <c r="OG18" i="4"/>
  <c r="OQ18" i="4" s="1"/>
  <c r="OH18" i="4"/>
  <c r="OI18" i="4"/>
  <c r="CY12" i="4"/>
  <c r="CZ12" i="4"/>
  <c r="DA12" i="4"/>
  <c r="DB12" i="4"/>
  <c r="DC12" i="4"/>
  <c r="DE12" i="4"/>
  <c r="DF12" i="4"/>
  <c r="NI12" i="4"/>
  <c r="NJ12" i="4"/>
  <c r="NK12" i="4"/>
  <c r="NM12" i="4"/>
  <c r="NN12" i="4"/>
  <c r="NP12" i="4"/>
  <c r="NQ12" i="4"/>
  <c r="NR12" i="4"/>
  <c r="NS12" i="4"/>
  <c r="NT12" i="4"/>
  <c r="NU12" i="4"/>
  <c r="NV12" i="4"/>
  <c r="NW12" i="4"/>
  <c r="OL12" i="4" s="1"/>
  <c r="NX12" i="4"/>
  <c r="NY12" i="4"/>
  <c r="NZ12" i="4"/>
  <c r="OA12" i="4"/>
  <c r="OB12" i="4"/>
  <c r="ON12" i="4" s="1"/>
  <c r="OC12" i="4"/>
  <c r="OD12" i="4"/>
  <c r="OE12" i="4"/>
  <c r="OF12" i="4"/>
  <c r="OG12" i="4"/>
  <c r="OQ12" i="4" s="1"/>
  <c r="OH12" i="4"/>
  <c r="OI12" i="4"/>
  <c r="BZ11" i="12"/>
  <c r="CA11" i="12"/>
  <c r="CB11" i="12"/>
  <c r="CC11" i="12"/>
  <c r="LT11" i="12"/>
  <c r="LU11" i="12"/>
  <c r="LV11" i="12"/>
  <c r="LW11" i="12"/>
  <c r="LY11" i="12"/>
  <c r="LZ11" i="12"/>
  <c r="MA11" i="12"/>
  <c r="MB11" i="12"/>
  <c r="MC11" i="12"/>
  <c r="MD11" i="12"/>
  <c r="ME11" i="12"/>
  <c r="MF11" i="12"/>
  <c r="MG11" i="12"/>
  <c r="MH11" i="12"/>
  <c r="MI11" i="12"/>
  <c r="MJ11" i="12"/>
  <c r="MK11" i="12"/>
  <c r="ML11" i="12"/>
  <c r="MM11" i="12"/>
  <c r="MN11" i="12"/>
  <c r="BZ12" i="12"/>
  <c r="CA12" i="12"/>
  <c r="CB12" i="12"/>
  <c r="CC12" i="12"/>
  <c r="LT12" i="12"/>
  <c r="LU12" i="12"/>
  <c r="LV12" i="12"/>
  <c r="LW12" i="12"/>
  <c r="LY12" i="12"/>
  <c r="LZ12" i="12"/>
  <c r="MA12" i="12"/>
  <c r="MB12" i="12"/>
  <c r="MC12" i="12"/>
  <c r="MD12" i="12"/>
  <c r="ME12" i="12"/>
  <c r="MF12" i="12"/>
  <c r="MG12" i="12"/>
  <c r="MH12" i="12"/>
  <c r="MI12" i="12"/>
  <c r="MJ12" i="12"/>
  <c r="MK12" i="12"/>
  <c r="ML12" i="12"/>
  <c r="MM12" i="12"/>
  <c r="MN12" i="12"/>
  <c r="BZ15" i="6"/>
  <c r="CA15" i="6"/>
  <c r="CB15" i="6"/>
  <c r="CC15" i="6"/>
  <c r="LT15" i="6"/>
  <c r="LU15" i="6"/>
  <c r="LV15" i="6"/>
  <c r="LW15" i="6"/>
  <c r="LY15" i="6"/>
  <c r="LZ15" i="6"/>
  <c r="MA15" i="6"/>
  <c r="MB15" i="6"/>
  <c r="MC15" i="6"/>
  <c r="MD15" i="6"/>
  <c r="ME15" i="6"/>
  <c r="MF15" i="6"/>
  <c r="MG15" i="6"/>
  <c r="MH15" i="6"/>
  <c r="MI15" i="6"/>
  <c r="MJ15" i="6"/>
  <c r="MK15" i="6"/>
  <c r="ML15" i="6"/>
  <c r="MM15" i="6"/>
  <c r="MN15" i="6"/>
  <c r="BZ6" i="6"/>
  <c r="CA6" i="6"/>
  <c r="CB6" i="6"/>
  <c r="CC6" i="6"/>
  <c r="LT6" i="6"/>
  <c r="LU6" i="6"/>
  <c r="LV6" i="6"/>
  <c r="LW6" i="6"/>
  <c r="LY6" i="6"/>
  <c r="LZ6" i="6"/>
  <c r="MA6" i="6"/>
  <c r="MB6" i="6"/>
  <c r="MC6" i="6"/>
  <c r="MD6" i="6"/>
  <c r="ME6" i="6"/>
  <c r="MF6" i="6"/>
  <c r="MG6" i="6"/>
  <c r="MH6" i="6"/>
  <c r="MI6" i="6"/>
  <c r="MJ6" i="6"/>
  <c r="MK6" i="6"/>
  <c r="ML6" i="6"/>
  <c r="MM6" i="6"/>
  <c r="MN6" i="6"/>
  <c r="BZ9" i="6"/>
  <c r="CA9" i="6"/>
  <c r="CB9" i="6"/>
  <c r="CC9" i="6"/>
  <c r="LT9" i="6"/>
  <c r="LU9" i="6"/>
  <c r="LV9" i="6"/>
  <c r="LW9" i="6"/>
  <c r="LY9" i="6"/>
  <c r="LZ9" i="6"/>
  <c r="MA9" i="6"/>
  <c r="MB9" i="6"/>
  <c r="MC9" i="6"/>
  <c r="MD9" i="6"/>
  <c r="ME9" i="6"/>
  <c r="MF9" i="6"/>
  <c r="MG9" i="6"/>
  <c r="MH9" i="6"/>
  <c r="MI9" i="6"/>
  <c r="MJ9" i="6"/>
  <c r="MK9" i="6"/>
  <c r="ML9" i="6"/>
  <c r="MM9" i="6"/>
  <c r="MN9" i="6"/>
  <c r="BZ10" i="6"/>
  <c r="CA10" i="6"/>
  <c r="CB10" i="6"/>
  <c r="CC10" i="6"/>
  <c r="LT10" i="6"/>
  <c r="LU10" i="6"/>
  <c r="LV10" i="6"/>
  <c r="LW10" i="6"/>
  <c r="LY10" i="6"/>
  <c r="LZ10" i="6"/>
  <c r="MA10" i="6"/>
  <c r="MB10" i="6"/>
  <c r="MC10" i="6"/>
  <c r="MD10" i="6"/>
  <c r="ME10" i="6"/>
  <c r="MF10" i="6"/>
  <c r="MG10" i="6"/>
  <c r="MH10" i="6"/>
  <c r="MI10" i="6"/>
  <c r="MJ10" i="6"/>
  <c r="MK10" i="6"/>
  <c r="ML10" i="6"/>
  <c r="MM10" i="6"/>
  <c r="MN10" i="6"/>
  <c r="BZ14" i="6"/>
  <c r="CA14" i="6"/>
  <c r="CB14" i="6"/>
  <c r="CC14" i="6"/>
  <c r="LT14" i="6"/>
  <c r="LU14" i="6"/>
  <c r="LV14" i="6"/>
  <c r="LW14" i="6"/>
  <c r="LY14" i="6"/>
  <c r="LZ14" i="6"/>
  <c r="MA14" i="6"/>
  <c r="MB14" i="6"/>
  <c r="MC14" i="6"/>
  <c r="MD14" i="6"/>
  <c r="ME14" i="6"/>
  <c r="MF14" i="6"/>
  <c r="MG14" i="6"/>
  <c r="MH14" i="6"/>
  <c r="MI14" i="6"/>
  <c r="MJ14" i="6"/>
  <c r="MK14" i="6"/>
  <c r="ML14" i="6"/>
  <c r="MM14" i="6"/>
  <c r="MN14" i="6"/>
  <c r="BZ5" i="6"/>
  <c r="CA5" i="6"/>
  <c r="CB5" i="6"/>
  <c r="CC5" i="6"/>
  <c r="LT5" i="6"/>
  <c r="LU5" i="6"/>
  <c r="LV5" i="6"/>
  <c r="LW5" i="6"/>
  <c r="LY5" i="6"/>
  <c r="LZ5" i="6"/>
  <c r="MA5" i="6"/>
  <c r="MB5" i="6"/>
  <c r="MC5" i="6"/>
  <c r="MD5" i="6"/>
  <c r="ME5" i="6"/>
  <c r="MF5" i="6"/>
  <c r="MG5" i="6"/>
  <c r="MH5" i="6"/>
  <c r="MI5" i="6"/>
  <c r="MJ5" i="6"/>
  <c r="MK5" i="6"/>
  <c r="ML5" i="6"/>
  <c r="MM5" i="6"/>
  <c r="MN5" i="6"/>
  <c r="HW5" i="7" l="1"/>
  <c r="JM5" i="7"/>
  <c r="DV6" i="6"/>
  <c r="LC6" i="6"/>
  <c r="LC8" i="6"/>
  <c r="DK20" i="4"/>
  <c r="LC13" i="6"/>
  <c r="KX14" i="13"/>
  <c r="LA14" i="13" s="1"/>
  <c r="EQ4" i="6"/>
  <c r="LT9" i="13"/>
  <c r="LW9" i="13" s="1"/>
  <c r="EZ11" i="13"/>
  <c r="IJ7" i="13"/>
  <c r="IM7" i="13" s="1"/>
  <c r="JF5" i="13"/>
  <c r="JI5" i="13" s="1"/>
  <c r="JF14" i="13"/>
  <c r="JI14" i="13" s="1"/>
  <c r="FV14" i="13"/>
  <c r="FY14" i="13" s="1"/>
  <c r="GR9" i="13"/>
  <c r="GU9" i="13" s="1"/>
  <c r="JF12" i="13"/>
  <c r="JI12" i="13" s="1"/>
  <c r="EZ7" i="13"/>
  <c r="FC7" i="13" s="1"/>
  <c r="LC15" i="6"/>
  <c r="HN14" i="13"/>
  <c r="HQ14" i="13" s="1"/>
  <c r="JF6" i="13"/>
  <c r="JI6" i="13" s="1"/>
  <c r="KB4" i="13"/>
  <c r="KE4" i="13" s="1"/>
  <c r="K20" i="4"/>
  <c r="L20" i="4" s="1"/>
  <c r="DV6" i="8"/>
  <c r="JM6" i="8"/>
  <c r="JM7" i="8"/>
  <c r="IR4" i="7"/>
  <c r="KH4" i="7"/>
  <c r="MP12" i="13"/>
  <c r="MS12" i="13" s="1"/>
  <c r="DV7" i="8"/>
  <c r="GG4" i="7"/>
  <c r="FL5" i="7"/>
  <c r="DI4" i="14"/>
  <c r="DL4" i="14" s="1"/>
  <c r="EE4" i="9"/>
  <c r="EH4" i="9" s="1"/>
  <c r="LC5" i="7"/>
  <c r="KC4" i="14"/>
  <c r="KF4" i="14" s="1"/>
  <c r="FW4" i="9"/>
  <c r="FZ4" i="9" s="1"/>
  <c r="ED9" i="13"/>
  <c r="EG9" i="13" s="1"/>
  <c r="HN8" i="13"/>
  <c r="HQ8" i="13" s="1"/>
  <c r="JF7" i="13"/>
  <c r="JI7" i="13" s="1"/>
  <c r="KB5" i="13"/>
  <c r="KE5" i="13" s="1"/>
  <c r="JG4" i="14"/>
  <c r="JJ4" i="14" s="1"/>
  <c r="LU4" i="14"/>
  <c r="LX4" i="14" s="1"/>
  <c r="KY4" i="14"/>
  <c r="LB4" i="14" s="1"/>
  <c r="GS4" i="14"/>
  <c r="GV4" i="14" s="1"/>
  <c r="HO4" i="14"/>
  <c r="HR4" i="14" s="1"/>
  <c r="IK4" i="14"/>
  <c r="IN4" i="14" s="1"/>
  <c r="EE4" i="14"/>
  <c r="EH4" i="14" s="1"/>
  <c r="FA4" i="14"/>
  <c r="FD4" i="14" s="1"/>
  <c r="FW4" i="14"/>
  <c r="FZ4" i="14" s="1"/>
  <c r="KC4" i="9"/>
  <c r="KF4" i="9" s="1"/>
  <c r="DI4" i="9"/>
  <c r="HO4" i="9"/>
  <c r="HR4" i="9" s="1"/>
  <c r="JG4" i="9"/>
  <c r="DL4" i="9"/>
  <c r="JJ4" i="9"/>
  <c r="LU4" i="9"/>
  <c r="LX4" i="9" s="1"/>
  <c r="KY4" i="9"/>
  <c r="LB4" i="9" s="1"/>
  <c r="FA4" i="9"/>
  <c r="FD4" i="9" s="1"/>
  <c r="GS4" i="9"/>
  <c r="GV4" i="9" s="1"/>
  <c r="IK4" i="9"/>
  <c r="IN4" i="9" s="1"/>
  <c r="GR14" i="13"/>
  <c r="GU14" i="13" s="1"/>
  <c r="GR11" i="13"/>
  <c r="GU11" i="13" s="1"/>
  <c r="KB8" i="13"/>
  <c r="KE8" i="13" s="1"/>
  <c r="EZ5" i="13"/>
  <c r="FC5" i="13" s="1"/>
  <c r="KX5" i="13"/>
  <c r="LA5" i="13" s="1"/>
  <c r="FC11" i="13"/>
  <c r="FV11" i="13"/>
  <c r="FY11" i="13" s="1"/>
  <c r="ED11" i="13"/>
  <c r="EG11" i="13" s="1"/>
  <c r="IJ5" i="13"/>
  <c r="IM5" i="13" s="1"/>
  <c r="IJ14" i="13"/>
  <c r="IM14" i="13" s="1"/>
  <c r="LT16" i="4"/>
  <c r="LW16" i="4" s="1"/>
  <c r="FV6" i="13"/>
  <c r="FY6" i="13" s="1"/>
  <c r="HN12" i="13"/>
  <c r="HQ12" i="13" s="1"/>
  <c r="IJ8" i="13"/>
  <c r="IM8" i="13" s="1"/>
  <c r="KB7" i="13"/>
  <c r="KE7" i="13" s="1"/>
  <c r="EZ6" i="13"/>
  <c r="FC6" i="13" s="1"/>
  <c r="HN13" i="13"/>
  <c r="HQ13" i="13" s="1"/>
  <c r="KX9" i="13"/>
  <c r="LA9" i="13" s="1"/>
  <c r="GR8" i="13"/>
  <c r="GU8" i="13" s="1"/>
  <c r="MP11" i="13"/>
  <c r="MS11" i="13" s="1"/>
  <c r="EZ8" i="13"/>
  <c r="FC8" i="13" s="1"/>
  <c r="EZ13" i="13"/>
  <c r="FC13" i="13" s="1"/>
  <c r="FV10" i="13"/>
  <c r="FY10" i="13" s="1"/>
  <c r="KB11" i="13"/>
  <c r="KE11" i="13" s="1"/>
  <c r="HN5" i="13"/>
  <c r="HQ5" i="13" s="1"/>
  <c r="HN9" i="13"/>
  <c r="HQ9" i="13" s="1"/>
  <c r="MP10" i="13"/>
  <c r="MS10" i="13" s="1"/>
  <c r="EZ10" i="13"/>
  <c r="FC10" i="13" s="1"/>
  <c r="GR5" i="13"/>
  <c r="GU5" i="13" s="1"/>
  <c r="KX8" i="13"/>
  <c r="LA8" i="13" s="1"/>
  <c r="KX13" i="13"/>
  <c r="LA13" i="13" s="1"/>
  <c r="MP7" i="13"/>
  <c r="MS7" i="13" s="1"/>
  <c r="ED7" i="13"/>
  <c r="EG7" i="13" s="1"/>
  <c r="GR6" i="13"/>
  <c r="GU6" i="13" s="1"/>
  <c r="HN11" i="13"/>
  <c r="HQ11" i="13" s="1"/>
  <c r="IJ4" i="13"/>
  <c r="IM4" i="13" s="1"/>
  <c r="IJ12" i="13"/>
  <c r="IM12" i="13" s="1"/>
  <c r="LT7" i="13"/>
  <c r="LW7" i="13" s="1"/>
  <c r="MP5" i="13"/>
  <c r="MS5" i="13" s="1"/>
  <c r="MP14" i="13"/>
  <c r="MS14" i="13" s="1"/>
  <c r="EZ9" i="13"/>
  <c r="FC9" i="13" s="1"/>
  <c r="FV12" i="13"/>
  <c r="FY12" i="13" s="1"/>
  <c r="HN4" i="13"/>
  <c r="HQ4" i="13" s="1"/>
  <c r="LT4" i="13"/>
  <c r="LW4" i="13" s="1"/>
  <c r="ED5" i="13"/>
  <c r="EG5" i="13" s="1"/>
  <c r="ED14" i="13"/>
  <c r="EG14" i="13" s="1"/>
  <c r="EZ4" i="13"/>
  <c r="FC4" i="13" s="1"/>
  <c r="EZ12" i="13"/>
  <c r="FC12" i="13" s="1"/>
  <c r="FV5" i="13"/>
  <c r="FY5" i="13" s="1"/>
  <c r="FV7" i="13"/>
  <c r="FY7" i="13" s="1"/>
  <c r="GR4" i="13"/>
  <c r="GU4" i="13" s="1"/>
  <c r="JF8" i="13"/>
  <c r="JI8" i="13" s="1"/>
  <c r="JF13" i="13"/>
  <c r="JI13" i="13" s="1"/>
  <c r="KB9" i="13"/>
  <c r="KE9" i="13" s="1"/>
  <c r="KB14" i="13"/>
  <c r="KE14" i="13" s="1"/>
  <c r="KX6" i="13"/>
  <c r="LA6" i="13" s="1"/>
  <c r="LT10" i="13"/>
  <c r="LW10" i="13" s="1"/>
  <c r="HN7" i="13"/>
  <c r="HQ7" i="13" s="1"/>
  <c r="IJ11" i="13"/>
  <c r="IM11" i="13" s="1"/>
  <c r="KX12" i="13"/>
  <c r="LA12" i="13" s="1"/>
  <c r="LT5" i="13"/>
  <c r="LW5" i="13" s="1"/>
  <c r="MP4" i="13"/>
  <c r="MS4" i="13" s="1"/>
  <c r="ED12" i="13"/>
  <c r="EG12" i="13" s="1"/>
  <c r="EZ14" i="13"/>
  <c r="FC14" i="13" s="1"/>
  <c r="FV4" i="13"/>
  <c r="FY4" i="13" s="1"/>
  <c r="GR7" i="13"/>
  <c r="GU7" i="13" s="1"/>
  <c r="HN6" i="13"/>
  <c r="HQ6" i="13" s="1"/>
  <c r="IJ10" i="13"/>
  <c r="IM10" i="13" s="1"/>
  <c r="JF9" i="13"/>
  <c r="JI9" i="13" s="1"/>
  <c r="KX10" i="13"/>
  <c r="LA10" i="13" s="1"/>
  <c r="MP8" i="13"/>
  <c r="MS8" i="13" s="1"/>
  <c r="LT8" i="13"/>
  <c r="LW8" i="13" s="1"/>
  <c r="LT14" i="13"/>
  <c r="LW14" i="13" s="1"/>
  <c r="ED10" i="13"/>
  <c r="EG10" i="13" s="1"/>
  <c r="FV8" i="13"/>
  <c r="FY8" i="13" s="1"/>
  <c r="JF4" i="13"/>
  <c r="JI4" i="13" s="1"/>
  <c r="KB10" i="13"/>
  <c r="KE10" i="13" s="1"/>
  <c r="KX4" i="13"/>
  <c r="LA4" i="13" s="1"/>
  <c r="JF11" i="13"/>
  <c r="JI11" i="13" s="1"/>
  <c r="ED6" i="13"/>
  <c r="EG6" i="13" s="1"/>
  <c r="KX11" i="13"/>
  <c r="LA11" i="13" s="1"/>
  <c r="ED13" i="13"/>
  <c r="EG13" i="13" s="1"/>
  <c r="FV9" i="13"/>
  <c r="FY9" i="13" s="1"/>
  <c r="GR12" i="13"/>
  <c r="GU12" i="13" s="1"/>
  <c r="GR13" i="13"/>
  <c r="GU13" i="13" s="1"/>
  <c r="HN10" i="13"/>
  <c r="HQ10" i="13" s="1"/>
  <c r="IJ9" i="13"/>
  <c r="IM9" i="13" s="1"/>
  <c r="JF10" i="13"/>
  <c r="JI10" i="13" s="1"/>
  <c r="KB6" i="13"/>
  <c r="KE6" i="13" s="1"/>
  <c r="LT6" i="13"/>
  <c r="LW6" i="13" s="1"/>
  <c r="LT13" i="13"/>
  <c r="LW13" i="13" s="1"/>
  <c r="IJ6" i="13"/>
  <c r="IM6" i="13" s="1"/>
  <c r="MP9" i="13"/>
  <c r="MS9" i="13" s="1"/>
  <c r="FV13" i="13"/>
  <c r="FY13" i="13" s="1"/>
  <c r="GR10" i="13"/>
  <c r="GU10" i="13" s="1"/>
  <c r="IJ13" i="13"/>
  <c r="IM13" i="13" s="1"/>
  <c r="KB12" i="13"/>
  <c r="KE12" i="13" s="1"/>
  <c r="KB13" i="13"/>
  <c r="KE13" i="13" s="1"/>
  <c r="KX7" i="13"/>
  <c r="LA7" i="13" s="1"/>
  <c r="LT12" i="13"/>
  <c r="LW12" i="13" s="1"/>
  <c r="LT11" i="13"/>
  <c r="LW11" i="13" s="1"/>
  <c r="MP6" i="13"/>
  <c r="MS6" i="13" s="1"/>
  <c r="MP13" i="13"/>
  <c r="MS13" i="13" s="1"/>
  <c r="H20" i="4"/>
  <c r="A20" i="4" s="1" a="1"/>
  <c r="A20" i="4" s="1"/>
  <c r="OP20" i="4"/>
  <c r="J20" i="4"/>
  <c r="F20" i="4"/>
  <c r="LT17" i="4"/>
  <c r="LW17" i="4" s="1"/>
  <c r="FV10" i="4"/>
  <c r="LT4" i="4"/>
  <c r="LW4" i="4" s="1"/>
  <c r="EZ17" i="4"/>
  <c r="FC17" i="4" s="1"/>
  <c r="JF9" i="4"/>
  <c r="JI9" i="4" s="1"/>
  <c r="KX6" i="4"/>
  <c r="LA6" i="4" s="1"/>
  <c r="FV17" i="4"/>
  <c r="FY17" i="4" s="1"/>
  <c r="ED5" i="4"/>
  <c r="FV6" i="4"/>
  <c r="FY6" i="4" s="1"/>
  <c r="GR11" i="4"/>
  <c r="GU11" i="4" s="1"/>
  <c r="IJ18" i="4"/>
  <c r="IM18" i="4" s="1"/>
  <c r="Q17" i="4"/>
  <c r="R17" i="4" s="1"/>
  <c r="EZ5" i="4"/>
  <c r="FC5" i="4" s="1"/>
  <c r="FV12" i="4"/>
  <c r="FY12" i="4" s="1"/>
  <c r="ED7" i="4"/>
  <c r="EG7" i="4" s="1"/>
  <c r="LT19" i="4"/>
  <c r="LW19" i="4" s="1"/>
  <c r="Q10" i="4"/>
  <c r="DK10" i="4" s="1"/>
  <c r="FV5" i="4"/>
  <c r="FY5" i="4" s="1"/>
  <c r="IJ8" i="4"/>
  <c r="IM8" i="4" s="1"/>
  <c r="JF16" i="4"/>
  <c r="JI16" i="4" s="1"/>
  <c r="HN14" i="4"/>
  <c r="HQ14" i="4" s="1"/>
  <c r="LT9" i="4"/>
  <c r="LW9" i="4" s="1"/>
  <c r="KX19" i="4"/>
  <c r="LA19" i="4" s="1"/>
  <c r="ED13" i="4"/>
  <c r="EG13" i="4" s="1"/>
  <c r="EZ13" i="4"/>
  <c r="FC13" i="4" s="1"/>
  <c r="IJ16" i="4"/>
  <c r="IM16" i="4" s="1"/>
  <c r="JF18" i="4"/>
  <c r="JI18" i="4" s="1"/>
  <c r="ED15" i="4"/>
  <c r="EG15" i="4" s="1"/>
  <c r="EZ9" i="4"/>
  <c r="FC9" i="4" s="1"/>
  <c r="HN12" i="4"/>
  <c r="HQ12" i="4" s="1"/>
  <c r="GR8" i="4"/>
  <c r="GU8" i="4" s="1"/>
  <c r="HN6" i="4"/>
  <c r="HQ6" i="4" s="1"/>
  <c r="JF14" i="4"/>
  <c r="JI14" i="4" s="1"/>
  <c r="MP9" i="4"/>
  <c r="MS9" i="4" s="1"/>
  <c r="IJ6" i="4"/>
  <c r="IM6" i="4" s="1"/>
  <c r="KB14" i="4"/>
  <c r="KE14" i="4" s="1"/>
  <c r="KB12" i="4"/>
  <c r="KE12" i="4" s="1"/>
  <c r="KX5" i="4"/>
  <c r="LA5" i="4" s="1"/>
  <c r="LT18" i="4"/>
  <c r="LW18" i="4" s="1"/>
  <c r="KB10" i="4"/>
  <c r="KE10" i="4" s="1"/>
  <c r="EZ7" i="4"/>
  <c r="FC7" i="4" s="1"/>
  <c r="FV15" i="4"/>
  <c r="FY15" i="4" s="1"/>
  <c r="LT8" i="4"/>
  <c r="LW8" i="4" s="1"/>
  <c r="IJ10" i="4"/>
  <c r="IM10" i="4" s="1"/>
  <c r="JF17" i="4"/>
  <c r="JI17" i="4" s="1"/>
  <c r="ED12" i="4"/>
  <c r="EG12" i="4" s="1"/>
  <c r="EZ4" i="4"/>
  <c r="FC4" i="4" s="1"/>
  <c r="FV4" i="4"/>
  <c r="FY4" i="4" s="1"/>
  <c r="DD10" i="4"/>
  <c r="DG10" i="4" s="1"/>
  <c r="HN17" i="4"/>
  <c r="HQ17" i="4" s="1"/>
  <c r="ED19" i="4"/>
  <c r="EG19" i="4" s="1"/>
  <c r="EZ6" i="4"/>
  <c r="FC6" i="4" s="1"/>
  <c r="EZ19" i="4"/>
  <c r="FC19" i="4" s="1"/>
  <c r="FV13" i="4"/>
  <c r="FY13" i="4" s="1"/>
  <c r="GR9" i="4"/>
  <c r="GU9" i="4" s="1"/>
  <c r="GR16" i="4"/>
  <c r="GU16" i="4" s="1"/>
  <c r="JF19" i="4"/>
  <c r="JI19" i="4" s="1"/>
  <c r="KB18" i="4"/>
  <c r="KE18" i="4" s="1"/>
  <c r="KX12" i="4"/>
  <c r="LA12" i="4" s="1"/>
  <c r="MP19" i="4"/>
  <c r="MS19" i="4" s="1"/>
  <c r="EZ10" i="4"/>
  <c r="FC10" i="4" s="1"/>
  <c r="KB17" i="4"/>
  <c r="KE17" i="4" s="1"/>
  <c r="FV8" i="4"/>
  <c r="FY8" i="4" s="1"/>
  <c r="FV18" i="4"/>
  <c r="FY18" i="4" s="1"/>
  <c r="GR15" i="4"/>
  <c r="GU15" i="4" s="1"/>
  <c r="HN11" i="4"/>
  <c r="HQ11" i="4" s="1"/>
  <c r="KX11" i="4"/>
  <c r="LA11" i="4" s="1"/>
  <c r="LT14" i="4"/>
  <c r="LW14" i="4" s="1"/>
  <c r="DD17" i="4"/>
  <c r="DG17" i="4" s="1"/>
  <c r="NL17" i="4"/>
  <c r="NO17" i="4" s="1"/>
  <c r="MP17" i="4"/>
  <c r="MS17" i="4" s="1"/>
  <c r="KX17" i="4"/>
  <c r="LA17" i="4" s="1"/>
  <c r="IJ17" i="4"/>
  <c r="IM17" i="4" s="1"/>
  <c r="GR17" i="4"/>
  <c r="GU17" i="4" s="1"/>
  <c r="ED17" i="4"/>
  <c r="EG17" i="4" s="1"/>
  <c r="OM17" i="4"/>
  <c r="OO17" i="4"/>
  <c r="OK17" i="4"/>
  <c r="G17" i="4"/>
  <c r="KX7" i="4"/>
  <c r="LA7" i="4" s="1"/>
  <c r="KX10" i="4"/>
  <c r="LA10" i="4" s="1"/>
  <c r="ED10" i="4"/>
  <c r="EG10" i="4" s="1"/>
  <c r="GR13" i="4"/>
  <c r="GU13" i="4" s="1"/>
  <c r="KB19" i="4"/>
  <c r="KE19" i="4" s="1"/>
  <c r="KB16" i="4"/>
  <c r="KE16" i="4" s="1"/>
  <c r="GR10" i="4"/>
  <c r="GU10" i="4" s="1"/>
  <c r="EZ11" i="4"/>
  <c r="FC11" i="4" s="1"/>
  <c r="ED4" i="4"/>
  <c r="EG4" i="4" s="1"/>
  <c r="FV19" i="4"/>
  <c r="FY19" i="4" s="1"/>
  <c r="GR12" i="4"/>
  <c r="GU12" i="4" s="1"/>
  <c r="HN4" i="4"/>
  <c r="HQ4" i="4" s="1"/>
  <c r="HN5" i="4"/>
  <c r="HQ5" i="4" s="1"/>
  <c r="IJ13" i="4"/>
  <c r="IM13" i="4" s="1"/>
  <c r="IJ12" i="4"/>
  <c r="IM12" i="4" s="1"/>
  <c r="JF5" i="4"/>
  <c r="JI5" i="4" s="1"/>
  <c r="KB6" i="4"/>
  <c r="KE6" i="4" s="1"/>
  <c r="KB8" i="4"/>
  <c r="KE8" i="4" s="1"/>
  <c r="KB13" i="4"/>
  <c r="KE13" i="4" s="1"/>
  <c r="KX4" i="4"/>
  <c r="LA4" i="4" s="1"/>
  <c r="MP7" i="4"/>
  <c r="MS7" i="4" s="1"/>
  <c r="JF10" i="4"/>
  <c r="JI10" i="4" s="1"/>
  <c r="ED14" i="4"/>
  <c r="EG14" i="4" s="1"/>
  <c r="GR5" i="4"/>
  <c r="GU5" i="4" s="1"/>
  <c r="KB9" i="4"/>
  <c r="KE9" i="4" s="1"/>
  <c r="MP5" i="4"/>
  <c r="MS5" i="4" s="1"/>
  <c r="MP18" i="4"/>
  <c r="MS18" i="4" s="1"/>
  <c r="ED6" i="4"/>
  <c r="EG6" i="4" s="1"/>
  <c r="ED18" i="4"/>
  <c r="EG18" i="4" s="1"/>
  <c r="FV9" i="4"/>
  <c r="FY9" i="4" s="1"/>
  <c r="GR4" i="4"/>
  <c r="GU4" i="4" s="1"/>
  <c r="HN13" i="4"/>
  <c r="HQ13" i="4" s="1"/>
  <c r="HN16" i="4"/>
  <c r="HQ16" i="4" s="1"/>
  <c r="IJ9" i="4"/>
  <c r="IM9" i="4" s="1"/>
  <c r="IJ15" i="4"/>
  <c r="IM15" i="4" s="1"/>
  <c r="JF6" i="4"/>
  <c r="JI6" i="4" s="1"/>
  <c r="JF13" i="4"/>
  <c r="JI13" i="4" s="1"/>
  <c r="KB7" i="4"/>
  <c r="KE7" i="4" s="1"/>
  <c r="KB11" i="4"/>
  <c r="KE11" i="4" s="1"/>
  <c r="KB15" i="4"/>
  <c r="KE15" i="4" s="1"/>
  <c r="KX8" i="4"/>
  <c r="LA8" i="4" s="1"/>
  <c r="LT11" i="4"/>
  <c r="LW11" i="4" s="1"/>
  <c r="FY10" i="4"/>
  <c r="EZ12" i="4"/>
  <c r="FC12" i="4" s="1"/>
  <c r="GR19" i="4"/>
  <c r="GU19" i="4" s="1"/>
  <c r="GR14" i="4"/>
  <c r="GU14" i="4" s="1"/>
  <c r="HN8" i="4"/>
  <c r="HQ8" i="4" s="1"/>
  <c r="IJ11" i="4"/>
  <c r="IM11" i="4" s="1"/>
  <c r="JF8" i="4"/>
  <c r="JI8" i="4" s="1"/>
  <c r="KX9" i="4"/>
  <c r="LA9" i="4" s="1"/>
  <c r="MP6" i="4"/>
  <c r="MS6" i="4" s="1"/>
  <c r="MP13" i="4"/>
  <c r="MS13" i="4" s="1"/>
  <c r="MP12" i="4"/>
  <c r="MS12" i="4" s="1"/>
  <c r="MP10" i="4"/>
  <c r="MS10" i="4" s="1"/>
  <c r="NL10" i="4"/>
  <c r="NO10" i="4" s="1"/>
  <c r="LT10" i="4"/>
  <c r="LW10" i="4" s="1"/>
  <c r="HN10" i="4"/>
  <c r="HQ10" i="4" s="1"/>
  <c r="OO10" i="4"/>
  <c r="OM10" i="4"/>
  <c r="OK10" i="4"/>
  <c r="G10" i="4"/>
  <c r="F10" i="4" s="1"/>
  <c r="OR20" i="4"/>
  <c r="ED8" i="4"/>
  <c r="EG8" i="4" s="1"/>
  <c r="FV7" i="4"/>
  <c r="FY7" i="4" s="1"/>
  <c r="GR7" i="4"/>
  <c r="GU7" i="4" s="1"/>
  <c r="HN19" i="4"/>
  <c r="HQ19" i="4" s="1"/>
  <c r="IJ19" i="4"/>
  <c r="IM19" i="4" s="1"/>
  <c r="IJ14" i="4"/>
  <c r="IM14" i="4" s="1"/>
  <c r="JF4" i="4"/>
  <c r="JI4" i="4" s="1"/>
  <c r="JF11" i="4"/>
  <c r="JI11" i="4" s="1"/>
  <c r="JF15" i="4"/>
  <c r="JI15" i="4" s="1"/>
  <c r="KX14" i="4"/>
  <c r="LA14" i="4" s="1"/>
  <c r="LT5" i="4"/>
  <c r="LW5" i="4" s="1"/>
  <c r="MP14" i="4"/>
  <c r="MS14" i="4" s="1"/>
  <c r="ED9" i="4"/>
  <c r="EG9" i="4" s="1"/>
  <c r="ED16" i="4"/>
  <c r="EG16" i="4" s="1"/>
  <c r="EZ14" i="4"/>
  <c r="FC14" i="4" s="1"/>
  <c r="FV11" i="4"/>
  <c r="FY11" i="4" s="1"/>
  <c r="GR18" i="4"/>
  <c r="GU18" i="4" s="1"/>
  <c r="HN18" i="4"/>
  <c r="HQ18" i="4" s="1"/>
  <c r="KB4" i="4"/>
  <c r="KE4" i="4" s="1"/>
  <c r="KB5" i="4"/>
  <c r="KE5" i="4" s="1"/>
  <c r="KX13" i="4"/>
  <c r="LA13" i="4" s="1"/>
  <c r="KX16" i="4"/>
  <c r="LA16" i="4" s="1"/>
  <c r="LT15" i="4"/>
  <c r="LW15" i="4" s="1"/>
  <c r="ED11" i="4"/>
  <c r="EG11" i="4" s="1"/>
  <c r="FV14" i="4"/>
  <c r="FY14" i="4" s="1"/>
  <c r="HN7" i="4"/>
  <c r="HQ7" i="4" s="1"/>
  <c r="HN9" i="4"/>
  <c r="HQ9" i="4" s="1"/>
  <c r="IJ7" i="4"/>
  <c r="IM7" i="4" s="1"/>
  <c r="KX18" i="4"/>
  <c r="LA18" i="4" s="1"/>
  <c r="LT6" i="4"/>
  <c r="LW6" i="4" s="1"/>
  <c r="LT12" i="4"/>
  <c r="LW12" i="4" s="1"/>
  <c r="MP8" i="4"/>
  <c r="MS8" i="4" s="1"/>
  <c r="MP16" i="4"/>
  <c r="MS16" i="4" s="1"/>
  <c r="EZ8" i="4"/>
  <c r="FC8" i="4" s="1"/>
  <c r="EZ18" i="4"/>
  <c r="FC18" i="4" s="1"/>
  <c r="EZ16" i="4"/>
  <c r="FC16" i="4" s="1"/>
  <c r="FV16" i="4"/>
  <c r="FY16" i="4" s="1"/>
  <c r="HN15" i="4"/>
  <c r="HQ15" i="4" s="1"/>
  <c r="GR6" i="4"/>
  <c r="GU6" i="4" s="1"/>
  <c r="IJ4" i="4"/>
  <c r="IM4" i="4" s="1"/>
  <c r="IJ5" i="4"/>
  <c r="IM5" i="4" s="1"/>
  <c r="JF7" i="4"/>
  <c r="JI7" i="4" s="1"/>
  <c r="JF12" i="4"/>
  <c r="JI12" i="4" s="1"/>
  <c r="KX15" i="4"/>
  <c r="LA15" i="4" s="1"/>
  <c r="LT7" i="4"/>
  <c r="LW7" i="4" s="1"/>
  <c r="MP4" i="4"/>
  <c r="MS4" i="4" s="1"/>
  <c r="MP11" i="4"/>
  <c r="MS11" i="4" s="1"/>
  <c r="MP15" i="4"/>
  <c r="MS15" i="4" s="1"/>
  <c r="EG5" i="4"/>
  <c r="EZ15" i="4"/>
  <c r="FC15" i="4" s="1"/>
  <c r="LT13" i="4"/>
  <c r="LW13" i="4" s="1"/>
  <c r="ED8" i="13"/>
  <c r="EG8" i="13" s="1"/>
  <c r="ED4" i="13"/>
  <c r="EG4" i="13" s="1"/>
  <c r="J5" i="6"/>
  <c r="K5" i="6" s="1"/>
  <c r="EQ6" i="6"/>
  <c r="FL4" i="6"/>
  <c r="KH7" i="8"/>
  <c r="LC10" i="6"/>
  <c r="JM4" i="8"/>
  <c r="KH4" i="8"/>
  <c r="LC4" i="8"/>
  <c r="EQ5" i="7"/>
  <c r="HB4" i="7"/>
  <c r="KH8" i="12"/>
  <c r="KH7" i="12"/>
  <c r="KH12" i="12"/>
  <c r="LC4" i="12"/>
  <c r="FL8" i="12"/>
  <c r="FL7" i="12"/>
  <c r="HW11" i="12"/>
  <c r="IR8" i="12"/>
  <c r="IR5" i="12"/>
  <c r="EQ8" i="12"/>
  <c r="JM8" i="12"/>
  <c r="JM15" i="12"/>
  <c r="JM5" i="12"/>
  <c r="LC8" i="12"/>
  <c r="LC7" i="12"/>
  <c r="LC15" i="12"/>
  <c r="J14" i="6"/>
  <c r="CE14" i="6" s="1"/>
  <c r="DV4" i="8"/>
  <c r="FL4" i="8"/>
  <c r="DA8" i="12"/>
  <c r="DA15" i="12"/>
  <c r="DA10" i="12"/>
  <c r="DA5" i="12"/>
  <c r="J12" i="12"/>
  <c r="CE12" i="12" s="1"/>
  <c r="J11" i="12"/>
  <c r="K11" i="12" s="1"/>
  <c r="EQ7" i="12"/>
  <c r="DA11" i="12"/>
  <c r="DA9" i="12"/>
  <c r="DV8" i="12"/>
  <c r="DV7" i="12"/>
  <c r="DV15" i="12"/>
  <c r="DV10" i="12"/>
  <c r="DV5" i="12"/>
  <c r="EQ16" i="12"/>
  <c r="JM4" i="12"/>
  <c r="JM13" i="12"/>
  <c r="LX11" i="12"/>
  <c r="FL5" i="12"/>
  <c r="GG16" i="12"/>
  <c r="GG11" i="12"/>
  <c r="GG9" i="12"/>
  <c r="HB8" i="12"/>
  <c r="HB15" i="12"/>
  <c r="HB10" i="12"/>
  <c r="HB5" i="12"/>
  <c r="HW16" i="12"/>
  <c r="JM12" i="12"/>
  <c r="LC13" i="12"/>
  <c r="LC11" i="12"/>
  <c r="LC9" i="12"/>
  <c r="FL11" i="12"/>
  <c r="FL9" i="12"/>
  <c r="GG8" i="12"/>
  <c r="GG15" i="12"/>
  <c r="GG5" i="12"/>
  <c r="HB11" i="12"/>
  <c r="HB9" i="12"/>
  <c r="HW8" i="12"/>
  <c r="HW10" i="12"/>
  <c r="HW5" i="12"/>
  <c r="HW12" i="12"/>
  <c r="IR16" i="12"/>
  <c r="IR11" i="12"/>
  <c r="IR9" i="12"/>
  <c r="CD11" i="12"/>
  <c r="FL6" i="6"/>
  <c r="FL8" i="6"/>
  <c r="FL13" i="6"/>
  <c r="JM8" i="6"/>
  <c r="JM9" i="6"/>
  <c r="LC7" i="6"/>
  <c r="J10" i="6"/>
  <c r="K10" i="6" s="1"/>
  <c r="J9" i="6"/>
  <c r="K9" i="6" s="1"/>
  <c r="J6" i="6"/>
  <c r="CE6" i="6" s="1"/>
  <c r="J15" i="6"/>
  <c r="K15" i="6" s="1"/>
  <c r="GG10" i="6"/>
  <c r="HB11" i="6"/>
  <c r="HB10" i="6"/>
  <c r="HW10" i="6"/>
  <c r="IR10" i="6"/>
  <c r="LC11" i="6"/>
  <c r="DV11" i="6"/>
  <c r="DV10" i="6"/>
  <c r="DV12" i="6"/>
  <c r="EQ11" i="6"/>
  <c r="FL11" i="6"/>
  <c r="FL10" i="6"/>
  <c r="KH8" i="6"/>
  <c r="KH13" i="6"/>
  <c r="JM5" i="6"/>
  <c r="JM11" i="6"/>
  <c r="JM14" i="6"/>
  <c r="JM10" i="6"/>
  <c r="KH11" i="6"/>
  <c r="DA4" i="6"/>
  <c r="DA9" i="6"/>
  <c r="HW15" i="6"/>
  <c r="IR4" i="6"/>
  <c r="GG4" i="6"/>
  <c r="GG7" i="6"/>
  <c r="GG9" i="6"/>
  <c r="HW7" i="6"/>
  <c r="HW9" i="6"/>
  <c r="DA4" i="8"/>
  <c r="FL7" i="8"/>
  <c r="EQ4" i="8"/>
  <c r="DA4" i="7"/>
  <c r="GG5" i="7"/>
  <c r="HW4" i="7"/>
  <c r="KH5" i="7"/>
  <c r="LC4" i="7"/>
  <c r="DA5" i="6"/>
  <c r="GG10" i="12"/>
  <c r="IR12" i="12"/>
  <c r="EQ6" i="12"/>
  <c r="EQ4" i="12"/>
  <c r="EQ13" i="12"/>
  <c r="GG12" i="12"/>
  <c r="IR6" i="12"/>
  <c r="IR4" i="12"/>
  <c r="IR13" i="12"/>
  <c r="KH5" i="12"/>
  <c r="LC5" i="12"/>
  <c r="LC12" i="12"/>
  <c r="HW7" i="12"/>
  <c r="HW15" i="12"/>
  <c r="JM11" i="12"/>
  <c r="DV6" i="12"/>
  <c r="DV11" i="12"/>
  <c r="DV9" i="12"/>
  <c r="HW4" i="12"/>
  <c r="DA12" i="12"/>
  <c r="EQ5" i="12"/>
  <c r="FL16" i="12"/>
  <c r="FL6" i="12"/>
  <c r="FL4" i="12"/>
  <c r="FL13" i="12"/>
  <c r="IR15" i="12"/>
  <c r="JM7" i="12"/>
  <c r="KH4" i="12"/>
  <c r="KH13" i="12"/>
  <c r="KH11" i="12"/>
  <c r="DA16" i="12"/>
  <c r="DV4" i="12"/>
  <c r="DV12" i="12"/>
  <c r="EQ11" i="12"/>
  <c r="EQ9" i="12"/>
  <c r="HB16" i="12"/>
  <c r="HB12" i="12"/>
  <c r="HW13" i="12"/>
  <c r="KH15" i="12"/>
  <c r="KH10" i="12"/>
  <c r="LC10" i="12"/>
  <c r="DA6" i="12"/>
  <c r="DA4" i="12"/>
  <c r="DA13" i="12"/>
  <c r="DV13" i="12"/>
  <c r="FL15" i="12"/>
  <c r="FL10" i="12"/>
  <c r="GG7" i="12"/>
  <c r="HB6" i="12"/>
  <c r="HB4" i="12"/>
  <c r="HB13" i="12"/>
  <c r="HW6" i="12"/>
  <c r="HW9" i="12"/>
  <c r="JM10" i="12"/>
  <c r="IR10" i="12"/>
  <c r="KH16" i="12"/>
  <c r="LC16" i="12"/>
  <c r="EQ15" i="12"/>
  <c r="EQ10" i="12"/>
  <c r="GG6" i="12"/>
  <c r="GG4" i="12"/>
  <c r="GG13" i="12"/>
  <c r="JM16" i="12"/>
  <c r="KH6" i="12"/>
  <c r="LC6" i="12"/>
  <c r="FL12" i="12"/>
  <c r="IR7" i="12"/>
  <c r="DV16" i="12"/>
  <c r="EQ12" i="12"/>
  <c r="JM6" i="12"/>
  <c r="JM9" i="12"/>
  <c r="KH9" i="12"/>
  <c r="DA7" i="12"/>
  <c r="HB7" i="12"/>
  <c r="IR15" i="6"/>
  <c r="JM6" i="6"/>
  <c r="DA12" i="6"/>
  <c r="DV14" i="6"/>
  <c r="IR9" i="6"/>
  <c r="KH15" i="6"/>
  <c r="LC12" i="6"/>
  <c r="DA6" i="6"/>
  <c r="DA13" i="6"/>
  <c r="EQ14" i="6"/>
  <c r="EQ12" i="6"/>
  <c r="FL12" i="6"/>
  <c r="IR11" i="6"/>
  <c r="KH7" i="6"/>
  <c r="GG5" i="6"/>
  <c r="HW5" i="6"/>
  <c r="DA15" i="6"/>
  <c r="DV8" i="6"/>
  <c r="GG8" i="6"/>
  <c r="GG15" i="6"/>
  <c r="HB4" i="6"/>
  <c r="HB7" i="6"/>
  <c r="HB6" i="6"/>
  <c r="HB8" i="6"/>
  <c r="HB13" i="6"/>
  <c r="HB9" i="6"/>
  <c r="HB15" i="6"/>
  <c r="KH10" i="6"/>
  <c r="DA11" i="6"/>
  <c r="DA10" i="6"/>
  <c r="DV9" i="6"/>
  <c r="EQ9" i="6"/>
  <c r="IR6" i="6"/>
  <c r="IR12" i="6"/>
  <c r="DV4" i="6"/>
  <c r="DV13" i="6"/>
  <c r="EQ10" i="6"/>
  <c r="FL7" i="6"/>
  <c r="FL15" i="6"/>
  <c r="GG14" i="6"/>
  <c r="HW11" i="6"/>
  <c r="IR8" i="6"/>
  <c r="IR13" i="6"/>
  <c r="JM12" i="6"/>
  <c r="KH9" i="6"/>
  <c r="LC4" i="6"/>
  <c r="LC14" i="6"/>
  <c r="DA14" i="6"/>
  <c r="DV7" i="6"/>
  <c r="EQ5" i="6"/>
  <c r="FL9" i="6"/>
  <c r="GG6" i="6"/>
  <c r="GG12" i="6"/>
  <c r="HB5" i="6"/>
  <c r="HB14" i="6"/>
  <c r="HB12" i="6"/>
  <c r="IR7" i="6"/>
  <c r="GG13" i="6"/>
  <c r="HW14" i="6"/>
  <c r="JM13" i="6"/>
  <c r="KH5" i="6"/>
  <c r="DA7" i="6"/>
  <c r="DV5" i="6"/>
  <c r="DV15" i="6"/>
  <c r="EQ8" i="6"/>
  <c r="EQ13" i="6"/>
  <c r="FL5" i="6"/>
  <c r="HW4" i="6"/>
  <c r="HW6" i="6"/>
  <c r="HW12" i="6"/>
  <c r="JM4" i="6"/>
  <c r="JM7" i="6"/>
  <c r="JM15" i="6"/>
  <c r="KH14" i="6"/>
  <c r="LC9" i="6"/>
  <c r="DA8" i="6"/>
  <c r="EQ7" i="6"/>
  <c r="EQ15" i="6"/>
  <c r="FL14" i="6"/>
  <c r="GG11" i="6"/>
  <c r="HW8" i="6"/>
  <c r="HW13" i="6"/>
  <c r="IR5" i="6"/>
  <c r="KH4" i="6"/>
  <c r="KH6" i="6"/>
  <c r="KH12" i="6"/>
  <c r="IR14" i="6"/>
  <c r="LC5" i="6"/>
  <c r="GG4" i="8"/>
  <c r="HB4" i="8"/>
  <c r="HW4" i="8"/>
  <c r="IR4" i="8"/>
  <c r="EQ7" i="8"/>
  <c r="EQ6" i="8"/>
  <c r="IR7" i="8"/>
  <c r="IR6" i="8"/>
  <c r="DA7" i="8"/>
  <c r="DA6" i="8"/>
  <c r="HW7" i="8"/>
  <c r="HW6" i="8"/>
  <c r="LC7" i="8"/>
  <c r="LC6" i="8"/>
  <c r="FL6" i="8"/>
  <c r="GG7" i="8"/>
  <c r="GG6" i="8"/>
  <c r="HB7" i="8"/>
  <c r="HB6" i="8"/>
  <c r="KH6" i="8"/>
  <c r="DA5" i="7"/>
  <c r="DV4" i="7"/>
  <c r="FL4" i="7"/>
  <c r="DV5" i="7"/>
  <c r="EQ4" i="7"/>
  <c r="JM4" i="7"/>
  <c r="HB5" i="7"/>
  <c r="IR5" i="7"/>
  <c r="OO12" i="4"/>
  <c r="CD12" i="12"/>
  <c r="CD15" i="6"/>
  <c r="LX7" i="8"/>
  <c r="NL12" i="4"/>
  <c r="NO12" i="4" s="1"/>
  <c r="DD18" i="4"/>
  <c r="DG18" i="4" s="1"/>
  <c r="NL18" i="4"/>
  <c r="NO18" i="4" s="1"/>
  <c r="MR7" i="8"/>
  <c r="MP7" i="8"/>
  <c r="CD7" i="8"/>
  <c r="L7" i="8"/>
  <c r="CF7" i="8" s="1"/>
  <c r="MQ7" i="8"/>
  <c r="F7" i="8"/>
  <c r="J7" i="8"/>
  <c r="MS7" i="8"/>
  <c r="G7" i="8"/>
  <c r="OO18" i="4"/>
  <c r="OM18" i="4"/>
  <c r="OK18" i="4"/>
  <c r="Q18" i="4"/>
  <c r="DK18" i="4" s="1"/>
  <c r="G18" i="4"/>
  <c r="F18" i="4" s="1"/>
  <c r="DD12" i="4"/>
  <c r="DG12" i="4" s="1"/>
  <c r="OM12" i="4"/>
  <c r="OK12" i="4"/>
  <c r="Q12" i="4"/>
  <c r="DK12" i="4" s="1"/>
  <c r="G12" i="4"/>
  <c r="MP11" i="12"/>
  <c r="MR11" i="12"/>
  <c r="MS11" i="12"/>
  <c r="MQ11" i="12"/>
  <c r="F11" i="12"/>
  <c r="G11" i="12"/>
  <c r="LX12" i="12"/>
  <c r="MR12" i="12"/>
  <c r="MQ12" i="12"/>
  <c r="F12" i="12"/>
  <c r="MP12" i="12"/>
  <c r="MS12" i="12"/>
  <c r="G12" i="12"/>
  <c r="MR15" i="6"/>
  <c r="MP15" i="6"/>
  <c r="LX15" i="6"/>
  <c r="MS15" i="6"/>
  <c r="MQ15" i="6"/>
  <c r="G15" i="6"/>
  <c r="F15" i="6"/>
  <c r="MR6" i="6"/>
  <c r="MP6" i="6"/>
  <c r="LX6" i="6"/>
  <c r="MS6" i="6"/>
  <c r="CD6" i="6"/>
  <c r="MQ6" i="6"/>
  <c r="F6" i="6"/>
  <c r="G6" i="6"/>
  <c r="MP9" i="6"/>
  <c r="LX9" i="6"/>
  <c r="CD9" i="6"/>
  <c r="MS9" i="6"/>
  <c r="MQ9" i="6"/>
  <c r="MR9" i="6"/>
  <c r="F9" i="6"/>
  <c r="G9" i="6"/>
  <c r="CD14" i="6"/>
  <c r="CD10" i="6"/>
  <c r="MR10" i="6"/>
  <c r="MP10" i="6"/>
  <c r="LX10" i="6"/>
  <c r="MQ10" i="6"/>
  <c r="F10" i="6"/>
  <c r="MS10" i="6"/>
  <c r="G10" i="6"/>
  <c r="MR5" i="6"/>
  <c r="MR14" i="6"/>
  <c r="LX14" i="6"/>
  <c r="MQ14" i="6"/>
  <c r="MP14" i="6"/>
  <c r="F14" i="6"/>
  <c r="MS14" i="6"/>
  <c r="G14" i="6"/>
  <c r="CD5" i="6"/>
  <c r="LX5" i="6"/>
  <c r="MS5" i="6"/>
  <c r="MQ5" i="6"/>
  <c r="MP5" i="6"/>
  <c r="F5" i="6"/>
  <c r="G5" i="6"/>
  <c r="L15" i="6" l="1"/>
  <c r="M15" i="6" s="1"/>
  <c r="DJ20" i="4"/>
  <c r="O20" i="4"/>
  <c r="DI20" i="4" s="1"/>
  <c r="M20" i="4"/>
  <c r="N20" i="4" s="1"/>
  <c r="CE9" i="6"/>
  <c r="CE5" i="6"/>
  <c r="I20" i="4"/>
  <c r="J17" i="4"/>
  <c r="R10" i="4"/>
  <c r="DK17" i="4"/>
  <c r="H17" i="4"/>
  <c r="I17" i="4" s="1"/>
  <c r="K17" i="4"/>
  <c r="L17" i="4" s="1"/>
  <c r="OP17" i="4"/>
  <c r="F17" i="4"/>
  <c r="J12" i="4"/>
  <c r="K10" i="4"/>
  <c r="DJ10" i="4" s="1"/>
  <c r="H10" i="4"/>
  <c r="OP10" i="4"/>
  <c r="J10" i="4"/>
  <c r="CE11" i="12"/>
  <c r="K14" i="6"/>
  <c r="H18" i="4"/>
  <c r="I18" i="4" s="1"/>
  <c r="K12" i="12"/>
  <c r="L11" i="12"/>
  <c r="M11" i="12" s="1"/>
  <c r="CE10" i="6"/>
  <c r="L9" i="6"/>
  <c r="CF9" i="6" s="1"/>
  <c r="CE15" i="6"/>
  <c r="L6" i="6"/>
  <c r="M6" i="6" s="1"/>
  <c r="L14" i="6"/>
  <c r="M14" i="6" s="1"/>
  <c r="K6" i="6"/>
  <c r="L12" i="12"/>
  <c r="L5" i="6"/>
  <c r="M5" i="6" s="1"/>
  <c r="L10" i="6"/>
  <c r="M10" i="6" s="1"/>
  <c r="MT11" i="12"/>
  <c r="R18" i="4"/>
  <c r="OP12" i="4"/>
  <c r="K18" i="4"/>
  <c r="DJ18" i="4" s="1"/>
  <c r="MT7" i="8"/>
  <c r="H7" i="8"/>
  <c r="I7" i="8" s="1"/>
  <c r="CE7" i="8"/>
  <c r="N7" i="8" s="1"/>
  <c r="K7" i="8"/>
  <c r="M7" i="8"/>
  <c r="OP18" i="4"/>
  <c r="H12" i="4"/>
  <c r="A12" i="4" s="1" a="1"/>
  <c r="A12" i="4" s="1"/>
  <c r="J18" i="4"/>
  <c r="R12" i="4"/>
  <c r="K12" i="4"/>
  <c r="L12" i="4" s="1"/>
  <c r="F12" i="4"/>
  <c r="H11" i="12"/>
  <c r="I11" i="12" s="1"/>
  <c r="A11" i="12"/>
  <c r="H12" i="12"/>
  <c r="I12" i="12" s="1"/>
  <c r="MT12" i="12"/>
  <c r="A12" i="12"/>
  <c r="MT15" i="6"/>
  <c r="H15" i="6"/>
  <c r="I15" i="6" s="1"/>
  <c r="MT6" i="6"/>
  <c r="H6" i="6"/>
  <c r="I6" i="6" s="1"/>
  <c r="MT10" i="6"/>
  <c r="MT5" i="6"/>
  <c r="MT9" i="6"/>
  <c r="H9" i="6"/>
  <c r="I9" i="6" s="1"/>
  <c r="A9" i="6"/>
  <c r="H10" i="6"/>
  <c r="I10" i="6" s="1"/>
  <c r="A10" i="6"/>
  <c r="MT14" i="6"/>
  <c r="H14" i="6"/>
  <c r="I14" i="6" s="1"/>
  <c r="H5" i="6"/>
  <c r="I5" i="6" s="1"/>
  <c r="CF15" i="6" l="1"/>
  <c r="N15" i="6" s="1"/>
  <c r="P20" i="4"/>
  <c r="DH20" i="4"/>
  <c r="S20" i="4" s="1"/>
  <c r="CF14" i="6"/>
  <c r="N14" i="6" s="1"/>
  <c r="OS20" i="4"/>
  <c r="A17" i="4" a="1"/>
  <c r="A17" i="4" s="1"/>
  <c r="O10" i="4"/>
  <c r="P10" i="4" s="1"/>
  <c r="M10" i="4"/>
  <c r="L10" i="4"/>
  <c r="O17" i="4"/>
  <c r="P17" i="4" s="1"/>
  <c r="M17" i="4"/>
  <c r="N17" i="4" s="1"/>
  <c r="DJ17" i="4"/>
  <c r="I10" i="4"/>
  <c r="CF6" i="6"/>
  <c r="CF11" i="12"/>
  <c r="N11" i="12" s="1"/>
  <c r="P11" i="12" s="1"/>
  <c r="CF10" i="6"/>
  <c r="M9" i="6"/>
  <c r="A18" i="4" a="1"/>
  <c r="A18" i="4" s="1"/>
  <c r="M12" i="12"/>
  <c r="CF12" i="12"/>
  <c r="N12" i="12" s="1"/>
  <c r="CF5" i="6"/>
  <c r="O18" i="4"/>
  <c r="DI18" i="4" s="1"/>
  <c r="O12" i="4"/>
  <c r="P12" i="4" s="1"/>
  <c r="M18" i="4"/>
  <c r="DH18" i="4" s="1"/>
  <c r="M12" i="4"/>
  <c r="N12" i="4" s="1"/>
  <c r="L18" i="4"/>
  <c r="DJ12" i="4"/>
  <c r="E7" i="8"/>
  <c r="O7" i="8"/>
  <c r="P7" i="8"/>
  <c r="I12" i="4"/>
  <c r="N9" i="6"/>
  <c r="E20" i="4" l="1"/>
  <c r="N10" i="4"/>
  <c r="DI17" i="4"/>
  <c r="U20" i="4"/>
  <c r="T20" i="4"/>
  <c r="DH10" i="4"/>
  <c r="DI10" i="4"/>
  <c r="DH17" i="4"/>
  <c r="DH12" i="4"/>
  <c r="E11" i="12"/>
  <c r="O11" i="12"/>
  <c r="E12" i="12"/>
  <c r="N18" i="4"/>
  <c r="O12" i="12"/>
  <c r="P12" i="12"/>
  <c r="O14" i="6"/>
  <c r="P14" i="6"/>
  <c r="O15" i="6"/>
  <c r="P15" i="6"/>
  <c r="O9" i="6"/>
  <c r="P9" i="6"/>
  <c r="DI12" i="4"/>
  <c r="P18" i="4"/>
  <c r="N10" i="6"/>
  <c r="N5" i="6"/>
  <c r="P5" i="6" s="1"/>
  <c r="E9" i="6"/>
  <c r="N6" i="6"/>
  <c r="P6" i="6" s="1"/>
  <c r="S18" i="4"/>
  <c r="U18" i="4" s="1"/>
  <c r="E15" i="6"/>
  <c r="A15" i="6" s="1"/>
  <c r="E14" i="6"/>
  <c r="A14" i="6" s="1"/>
  <c r="S17" i="4" l="1"/>
  <c r="T17" i="4" s="1"/>
  <c r="S10" i="4"/>
  <c r="E10" i="4" s="1"/>
  <c r="S12" i="4"/>
  <c r="E12" i="4" s="1"/>
  <c r="O10" i="6"/>
  <c r="P10" i="6"/>
  <c r="O5" i="6"/>
  <c r="E6" i="6"/>
  <c r="O6" i="6"/>
  <c r="E10" i="6"/>
  <c r="E5" i="6"/>
  <c r="T18" i="4"/>
  <c r="E18" i="4"/>
  <c r="E17" i="4" l="1"/>
  <c r="U17" i="4"/>
  <c r="U10" i="4"/>
  <c r="T10" i="4"/>
  <c r="U12" i="4"/>
  <c r="T12" i="4"/>
  <c r="BZ12" i="6"/>
  <c r="CA12" i="6"/>
  <c r="CB12" i="6"/>
  <c r="CC12" i="6"/>
  <c r="LT12" i="6"/>
  <c r="LU12" i="6"/>
  <c r="LV12" i="6"/>
  <c r="LW12" i="6"/>
  <c r="LY12" i="6"/>
  <c r="LZ12" i="6"/>
  <c r="MA12" i="6"/>
  <c r="MB12" i="6"/>
  <c r="MC12" i="6"/>
  <c r="MD12" i="6"/>
  <c r="ME12" i="6"/>
  <c r="MF12" i="6"/>
  <c r="MG12" i="6"/>
  <c r="MH12" i="6"/>
  <c r="MI12" i="6"/>
  <c r="MJ12" i="6"/>
  <c r="MK12" i="6"/>
  <c r="ML12" i="6"/>
  <c r="MM12" i="6"/>
  <c r="MN12" i="6"/>
  <c r="BZ7" i="6"/>
  <c r="CA7" i="6"/>
  <c r="CB7" i="6"/>
  <c r="CC7" i="6"/>
  <c r="LT7" i="6"/>
  <c r="LU7" i="6"/>
  <c r="LV7" i="6"/>
  <c r="LW7" i="6"/>
  <c r="LY7" i="6"/>
  <c r="LZ7" i="6"/>
  <c r="MA7" i="6"/>
  <c r="MB7" i="6"/>
  <c r="MC7" i="6"/>
  <c r="MD7" i="6"/>
  <c r="ME7" i="6"/>
  <c r="MF7" i="6"/>
  <c r="MG7" i="6"/>
  <c r="MH7" i="6"/>
  <c r="MI7" i="6"/>
  <c r="MJ7" i="6"/>
  <c r="MK7" i="6"/>
  <c r="ML7" i="6"/>
  <c r="MM7" i="6"/>
  <c r="MN7" i="6"/>
  <c r="BZ4" i="12"/>
  <c r="CA4" i="12"/>
  <c r="CB4" i="12"/>
  <c r="CC4" i="12"/>
  <c r="LT4" i="12"/>
  <c r="LU4" i="12"/>
  <c r="LV4" i="12"/>
  <c r="LW4" i="12"/>
  <c r="LY4" i="12"/>
  <c r="LZ4" i="12"/>
  <c r="MA4" i="12"/>
  <c r="MB4" i="12"/>
  <c r="MC4" i="12"/>
  <c r="MD4" i="12"/>
  <c r="ME4" i="12"/>
  <c r="MF4" i="12"/>
  <c r="MG4" i="12"/>
  <c r="MH4" i="12"/>
  <c r="MI4" i="12"/>
  <c r="MJ4" i="12"/>
  <c r="MK4" i="12"/>
  <c r="ML4" i="12"/>
  <c r="MM4" i="12"/>
  <c r="MN4" i="12"/>
  <c r="BZ7" i="12"/>
  <c r="CA7" i="12"/>
  <c r="CB7" i="12"/>
  <c r="CC7" i="12"/>
  <c r="LT7" i="12"/>
  <c r="LU7" i="12"/>
  <c r="LV7" i="12"/>
  <c r="LW7" i="12"/>
  <c r="LY7" i="12"/>
  <c r="LZ7" i="12"/>
  <c r="MA7" i="12"/>
  <c r="MB7" i="12"/>
  <c r="MC7" i="12"/>
  <c r="MD7" i="12"/>
  <c r="ME7" i="12"/>
  <c r="MF7" i="12"/>
  <c r="MG7" i="12"/>
  <c r="MH7" i="12"/>
  <c r="MI7" i="12"/>
  <c r="MJ7" i="12"/>
  <c r="MK7" i="12"/>
  <c r="ML7" i="12"/>
  <c r="MM7" i="12"/>
  <c r="MN7" i="12"/>
  <c r="BZ4" i="7"/>
  <c r="CA4" i="7"/>
  <c r="CB4" i="7"/>
  <c r="CC4" i="7"/>
  <c r="LT4" i="7"/>
  <c r="LU4" i="7"/>
  <c r="LV4" i="7"/>
  <c r="LW4" i="7"/>
  <c r="LY4" i="7"/>
  <c r="LZ4" i="7"/>
  <c r="MA4" i="7"/>
  <c r="MB4" i="7"/>
  <c r="MC4" i="7"/>
  <c r="MD4" i="7"/>
  <c r="ME4" i="7"/>
  <c r="MF4" i="7"/>
  <c r="MG4" i="7"/>
  <c r="MH4" i="7"/>
  <c r="MI4" i="7"/>
  <c r="MJ4" i="7"/>
  <c r="MK4" i="7"/>
  <c r="ML4" i="7"/>
  <c r="MM4" i="7"/>
  <c r="MN4" i="7"/>
  <c r="CY10" i="13"/>
  <c r="CZ10" i="13"/>
  <c r="DA10" i="13"/>
  <c r="DB10" i="13"/>
  <c r="DC10" i="13"/>
  <c r="DE10" i="13"/>
  <c r="DF10" i="13"/>
  <c r="NI10" i="13"/>
  <c r="NJ10" i="13"/>
  <c r="NK10" i="13"/>
  <c r="NM10" i="13"/>
  <c r="NN10" i="13"/>
  <c r="NP10" i="13"/>
  <c r="NQ10" i="13"/>
  <c r="NR10" i="13"/>
  <c r="NS10" i="13"/>
  <c r="NT10" i="13"/>
  <c r="NU10" i="13"/>
  <c r="NV10" i="13"/>
  <c r="NW10" i="13"/>
  <c r="OL10" i="13" s="1"/>
  <c r="NX10" i="13"/>
  <c r="NY10" i="13"/>
  <c r="NZ10" i="13"/>
  <c r="OA10" i="13"/>
  <c r="OB10" i="13"/>
  <c r="ON10" i="13" s="1"/>
  <c r="OC10" i="13"/>
  <c r="OD10" i="13"/>
  <c r="OE10" i="13"/>
  <c r="OF10" i="13"/>
  <c r="OG10" i="13"/>
  <c r="OQ10" i="13" s="1"/>
  <c r="OH10" i="13"/>
  <c r="OI10" i="13"/>
  <c r="CY13" i="13"/>
  <c r="CZ13" i="13"/>
  <c r="DA13" i="13"/>
  <c r="DB13" i="13"/>
  <c r="DC13" i="13"/>
  <c r="DE13" i="13"/>
  <c r="DF13" i="13"/>
  <c r="NI13" i="13"/>
  <c r="NJ13" i="13"/>
  <c r="NK13" i="13"/>
  <c r="NM13" i="13"/>
  <c r="NN13" i="13"/>
  <c r="NP13" i="13"/>
  <c r="NQ13" i="13"/>
  <c r="NR13" i="13"/>
  <c r="NS13" i="13"/>
  <c r="NT13" i="13"/>
  <c r="NU13" i="13"/>
  <c r="NV13" i="13"/>
  <c r="NW13" i="13"/>
  <c r="OL13" i="13" s="1"/>
  <c r="NX13" i="13"/>
  <c r="NY13" i="13"/>
  <c r="NZ13" i="13"/>
  <c r="OA13" i="13"/>
  <c r="OB13" i="13"/>
  <c r="ON13" i="13" s="1"/>
  <c r="OC13" i="13"/>
  <c r="OD13" i="13"/>
  <c r="OE13" i="13"/>
  <c r="OF13" i="13"/>
  <c r="OG13" i="13"/>
  <c r="OQ13" i="13" s="1"/>
  <c r="OH13" i="13"/>
  <c r="OI13" i="13"/>
  <c r="CY13" i="4"/>
  <c r="CZ13" i="4"/>
  <c r="DA13" i="4"/>
  <c r="DB13" i="4"/>
  <c r="DC13" i="4"/>
  <c r="DE13" i="4"/>
  <c r="DF13" i="4"/>
  <c r="NI13" i="4"/>
  <c r="NJ13" i="4"/>
  <c r="NK13" i="4"/>
  <c r="NM13" i="4"/>
  <c r="NN13" i="4"/>
  <c r="NP13" i="4"/>
  <c r="NQ13" i="4"/>
  <c r="NR13" i="4"/>
  <c r="NS13" i="4"/>
  <c r="NT13" i="4"/>
  <c r="NU13" i="4"/>
  <c r="NV13" i="4"/>
  <c r="NW13" i="4"/>
  <c r="OL13" i="4" s="1"/>
  <c r="NX13" i="4"/>
  <c r="NY13" i="4"/>
  <c r="NZ13" i="4"/>
  <c r="OA13" i="4"/>
  <c r="OB13" i="4"/>
  <c r="ON13" i="4" s="1"/>
  <c r="OC13" i="4"/>
  <c r="OD13" i="4"/>
  <c r="OE13" i="4"/>
  <c r="OF13" i="4"/>
  <c r="OG13" i="4"/>
  <c r="OQ13" i="4" s="1"/>
  <c r="OH13" i="4"/>
  <c r="OI13" i="4"/>
  <c r="NI4" i="14"/>
  <c r="NH4" i="14"/>
  <c r="NG4" i="14"/>
  <c r="NO4" i="14" s="1"/>
  <c r="NF4" i="14"/>
  <c r="NE4" i="14"/>
  <c r="ND4" i="14"/>
  <c r="NC4" i="14"/>
  <c r="NB4" i="14"/>
  <c r="NK4" i="14" s="1"/>
  <c r="NA4" i="14"/>
  <c r="MZ4" i="14"/>
  <c r="MY4" i="14"/>
  <c r="MX4" i="14"/>
  <c r="MW4" i="14"/>
  <c r="MV4" i="14"/>
  <c r="MU4" i="14"/>
  <c r="MS4" i="14"/>
  <c r="MR4" i="14"/>
  <c r="MP4" i="14"/>
  <c r="MO4" i="14"/>
  <c r="MN4" i="14"/>
  <c r="CK4" i="14"/>
  <c r="CJ4" i="14"/>
  <c r="CH4" i="14"/>
  <c r="CG4" i="14"/>
  <c r="CF4" i="14"/>
  <c r="OI9" i="13"/>
  <c r="OH9" i="13"/>
  <c r="OG9" i="13"/>
  <c r="OQ9" i="13" s="1"/>
  <c r="OF9" i="13"/>
  <c r="OE9" i="13"/>
  <c r="OD9" i="13"/>
  <c r="OC9" i="13"/>
  <c r="OB9" i="13"/>
  <c r="ON9" i="13" s="1"/>
  <c r="OA9" i="13"/>
  <c r="NZ9" i="13"/>
  <c r="NY9" i="13"/>
  <c r="NX9" i="13"/>
  <c r="NW9" i="13"/>
  <c r="OL9" i="13" s="1"/>
  <c r="NV9" i="13"/>
  <c r="NU9" i="13"/>
  <c r="NT9" i="13"/>
  <c r="NS9" i="13"/>
  <c r="NR9" i="13"/>
  <c r="NQ9" i="13"/>
  <c r="NP9" i="13"/>
  <c r="NN9" i="13"/>
  <c r="NM9" i="13"/>
  <c r="NK9" i="13"/>
  <c r="NJ9" i="13"/>
  <c r="NI9" i="13"/>
  <c r="DF9" i="13"/>
  <c r="DE9" i="13"/>
  <c r="DC9" i="13"/>
  <c r="DB9" i="13"/>
  <c r="DA9" i="13"/>
  <c r="CZ9" i="13"/>
  <c r="CY9" i="13"/>
  <c r="OI14" i="13"/>
  <c r="OH14" i="13"/>
  <c r="OG14" i="13"/>
  <c r="OQ14" i="13" s="1"/>
  <c r="OF14" i="13"/>
  <c r="OE14" i="13"/>
  <c r="OD14" i="13"/>
  <c r="OC14" i="13"/>
  <c r="OB14" i="13"/>
  <c r="ON14" i="13" s="1"/>
  <c r="OA14" i="13"/>
  <c r="NZ14" i="13"/>
  <c r="NY14" i="13"/>
  <c r="NX14" i="13"/>
  <c r="NW14" i="13"/>
  <c r="OL14" i="13" s="1"/>
  <c r="NV14" i="13"/>
  <c r="NU14" i="13"/>
  <c r="NT14" i="13"/>
  <c r="NS14" i="13"/>
  <c r="NR14" i="13"/>
  <c r="NQ14" i="13"/>
  <c r="NP14" i="13"/>
  <c r="NN14" i="13"/>
  <c r="NM14" i="13"/>
  <c r="NK14" i="13"/>
  <c r="NJ14" i="13"/>
  <c r="NI14" i="13"/>
  <c r="DF14" i="13"/>
  <c r="DE14" i="13"/>
  <c r="DC14" i="13"/>
  <c r="DB14" i="13"/>
  <c r="DA14" i="13"/>
  <c r="CZ14" i="13"/>
  <c r="CY14" i="13"/>
  <c r="OI11" i="13"/>
  <c r="OH11" i="13"/>
  <c r="OG11" i="13"/>
  <c r="OQ11" i="13" s="1"/>
  <c r="OF11" i="13"/>
  <c r="OE11" i="13"/>
  <c r="OD11" i="13"/>
  <c r="OC11" i="13"/>
  <c r="OB11" i="13"/>
  <c r="ON11" i="13" s="1"/>
  <c r="OA11" i="13"/>
  <c r="NZ11" i="13"/>
  <c r="NY11" i="13"/>
  <c r="NX11" i="13"/>
  <c r="NW11" i="13"/>
  <c r="OL11" i="13" s="1"/>
  <c r="NV11" i="13"/>
  <c r="NU11" i="13"/>
  <c r="NT11" i="13"/>
  <c r="NS11" i="13"/>
  <c r="NR11" i="13"/>
  <c r="NQ11" i="13"/>
  <c r="NP11" i="13"/>
  <c r="NN11" i="13"/>
  <c r="NM11" i="13"/>
  <c r="NK11" i="13"/>
  <c r="NJ11" i="13"/>
  <c r="NI11" i="13"/>
  <c r="DF11" i="13"/>
  <c r="DE11" i="13"/>
  <c r="DC11" i="13"/>
  <c r="DB11" i="13"/>
  <c r="DA11" i="13"/>
  <c r="CZ11" i="13"/>
  <c r="CY11" i="13"/>
  <c r="OI12" i="13"/>
  <c r="OH12" i="13"/>
  <c r="OG12" i="13"/>
  <c r="OQ12" i="13" s="1"/>
  <c r="OF12" i="13"/>
  <c r="OE12" i="13"/>
  <c r="OD12" i="13"/>
  <c r="OC12" i="13"/>
  <c r="OB12" i="13"/>
  <c r="ON12" i="13" s="1"/>
  <c r="OA12" i="13"/>
  <c r="NZ12" i="13"/>
  <c r="NY12" i="13"/>
  <c r="NX12" i="13"/>
  <c r="NW12" i="13"/>
  <c r="OL12" i="13" s="1"/>
  <c r="NV12" i="13"/>
  <c r="NU12" i="13"/>
  <c r="NT12" i="13"/>
  <c r="NS12" i="13"/>
  <c r="NR12" i="13"/>
  <c r="NQ12" i="13"/>
  <c r="NP12" i="13"/>
  <c r="NN12" i="13"/>
  <c r="NM12" i="13"/>
  <c r="NK12" i="13"/>
  <c r="NJ12" i="13"/>
  <c r="NI12" i="13"/>
  <c r="DF12" i="13"/>
  <c r="DE12" i="13"/>
  <c r="DC12" i="13"/>
  <c r="DB12" i="13"/>
  <c r="DA12" i="13"/>
  <c r="CZ12" i="13"/>
  <c r="CY12" i="13"/>
  <c r="OI7" i="13"/>
  <c r="OH7" i="13"/>
  <c r="OG7" i="13"/>
  <c r="OQ7" i="13" s="1"/>
  <c r="OF7" i="13"/>
  <c r="OE7" i="13"/>
  <c r="OD7" i="13"/>
  <c r="OC7" i="13"/>
  <c r="OB7" i="13"/>
  <c r="ON7" i="13" s="1"/>
  <c r="OA7" i="13"/>
  <c r="NZ7" i="13"/>
  <c r="NY7" i="13"/>
  <c r="NX7" i="13"/>
  <c r="NW7" i="13"/>
  <c r="OL7" i="13" s="1"/>
  <c r="NV7" i="13"/>
  <c r="NU7" i="13"/>
  <c r="NT7" i="13"/>
  <c r="NS7" i="13"/>
  <c r="NR7" i="13"/>
  <c r="NQ7" i="13"/>
  <c r="NP7" i="13"/>
  <c r="NN7" i="13"/>
  <c r="NM7" i="13"/>
  <c r="NK7" i="13"/>
  <c r="NJ7" i="13"/>
  <c r="NI7" i="13"/>
  <c r="DF7" i="13"/>
  <c r="DE7" i="13"/>
  <c r="DC7" i="13"/>
  <c r="DB7" i="13"/>
  <c r="DA7" i="13"/>
  <c r="CZ7" i="13"/>
  <c r="CY7" i="13"/>
  <c r="OI6" i="13"/>
  <c r="OH6" i="13"/>
  <c r="OG6" i="13"/>
  <c r="OQ6" i="13" s="1"/>
  <c r="OF6" i="13"/>
  <c r="OE6" i="13"/>
  <c r="OD6" i="13"/>
  <c r="OC6" i="13"/>
  <c r="OB6" i="13"/>
  <c r="OA6" i="13"/>
  <c r="NZ6" i="13"/>
  <c r="NY6" i="13"/>
  <c r="NX6" i="13"/>
  <c r="NW6" i="13"/>
  <c r="OL6" i="13" s="1"/>
  <c r="NV6" i="13"/>
  <c r="NU6" i="13"/>
  <c r="NT6" i="13"/>
  <c r="NS6" i="13"/>
  <c r="NR6" i="13"/>
  <c r="NQ6" i="13"/>
  <c r="NP6" i="13"/>
  <c r="NN6" i="13"/>
  <c r="NM6" i="13"/>
  <c r="NK6" i="13"/>
  <c r="NJ6" i="13"/>
  <c r="NI6" i="13"/>
  <c r="DF6" i="13"/>
  <c r="DE6" i="13"/>
  <c r="DC6" i="13"/>
  <c r="DB6" i="13"/>
  <c r="DA6" i="13"/>
  <c r="CZ6" i="13"/>
  <c r="CY6" i="13"/>
  <c r="OI8" i="13"/>
  <c r="OH8" i="13"/>
  <c r="OG8" i="13"/>
  <c r="OQ8" i="13" s="1"/>
  <c r="OF8" i="13"/>
  <c r="OE8" i="13"/>
  <c r="OD8" i="13"/>
  <c r="OC8" i="13"/>
  <c r="OB8" i="13"/>
  <c r="ON8" i="13" s="1"/>
  <c r="OA8" i="13"/>
  <c r="NZ8" i="13"/>
  <c r="NY8" i="13"/>
  <c r="NX8" i="13"/>
  <c r="NW8" i="13"/>
  <c r="OL8" i="13" s="1"/>
  <c r="NV8" i="13"/>
  <c r="NU8" i="13"/>
  <c r="NT8" i="13"/>
  <c r="NS8" i="13"/>
  <c r="NR8" i="13"/>
  <c r="NQ8" i="13"/>
  <c r="NP8" i="13"/>
  <c r="NN8" i="13"/>
  <c r="NM8" i="13"/>
  <c r="NK8" i="13"/>
  <c r="NJ8" i="13"/>
  <c r="NI8" i="13"/>
  <c r="DF8" i="13"/>
  <c r="DE8" i="13"/>
  <c r="DC8" i="13"/>
  <c r="DB8" i="13"/>
  <c r="DA8" i="13"/>
  <c r="CZ8" i="13"/>
  <c r="CY8" i="13"/>
  <c r="OI5" i="13"/>
  <c r="OH5" i="13"/>
  <c r="OG5" i="13"/>
  <c r="OQ5" i="13" s="1"/>
  <c r="OF5" i="13"/>
  <c r="OE5" i="13"/>
  <c r="OD5" i="13"/>
  <c r="OC5" i="13"/>
  <c r="OB5" i="13"/>
  <c r="ON5" i="13" s="1"/>
  <c r="OA5" i="13"/>
  <c r="NZ5" i="13"/>
  <c r="NY5" i="13"/>
  <c r="NX5" i="13"/>
  <c r="NW5" i="13"/>
  <c r="OL5" i="13" s="1"/>
  <c r="NV5" i="13"/>
  <c r="NU5" i="13"/>
  <c r="NT5" i="13"/>
  <c r="NS5" i="13"/>
  <c r="NR5" i="13"/>
  <c r="NQ5" i="13"/>
  <c r="NP5" i="13"/>
  <c r="NN5" i="13"/>
  <c r="NM5" i="13"/>
  <c r="NK5" i="13"/>
  <c r="NJ5" i="13"/>
  <c r="NI5" i="13"/>
  <c r="DF5" i="13"/>
  <c r="DE5" i="13"/>
  <c r="DC5" i="13"/>
  <c r="DB5" i="13"/>
  <c r="DA5" i="13"/>
  <c r="CZ5" i="13"/>
  <c r="CY5" i="13"/>
  <c r="OI4" i="13"/>
  <c r="OH4" i="13"/>
  <c r="OG4" i="13"/>
  <c r="OQ4" i="13" s="1"/>
  <c r="OF4" i="13"/>
  <c r="OE4" i="13"/>
  <c r="OD4" i="13"/>
  <c r="OC4" i="13"/>
  <c r="OB4" i="13"/>
  <c r="ON4" i="13" s="1"/>
  <c r="OA4" i="13"/>
  <c r="NZ4" i="13"/>
  <c r="NY4" i="13"/>
  <c r="NX4" i="13"/>
  <c r="NW4" i="13"/>
  <c r="OL4" i="13" s="1"/>
  <c r="NV4" i="13"/>
  <c r="NU4" i="13"/>
  <c r="NT4" i="13"/>
  <c r="NS4" i="13"/>
  <c r="NR4" i="13"/>
  <c r="NQ4" i="13"/>
  <c r="NP4" i="13"/>
  <c r="NN4" i="13"/>
  <c r="NM4" i="13"/>
  <c r="NK4" i="13"/>
  <c r="NJ4" i="13"/>
  <c r="NI4" i="13"/>
  <c r="DF4" i="13"/>
  <c r="DE4" i="13"/>
  <c r="DC4" i="13"/>
  <c r="DB4" i="13"/>
  <c r="DA4" i="13"/>
  <c r="CZ4" i="13"/>
  <c r="CY4" i="13"/>
  <c r="NZ4" i="4"/>
  <c r="NT6" i="4"/>
  <c r="NU6" i="4"/>
  <c r="NV6" i="4"/>
  <c r="NW6" i="4"/>
  <c r="OL6" i="4" s="1"/>
  <c r="NX6" i="4"/>
  <c r="NY6" i="4"/>
  <c r="NZ6" i="4"/>
  <c r="OA6" i="4"/>
  <c r="OB6" i="4"/>
  <c r="ON6" i="4" s="1"/>
  <c r="OC6" i="4"/>
  <c r="OD6" i="4"/>
  <c r="OE6" i="4"/>
  <c r="OF6" i="4"/>
  <c r="OG6" i="4"/>
  <c r="OQ6" i="4" s="1"/>
  <c r="OH6" i="4"/>
  <c r="OI6" i="4"/>
  <c r="NT9" i="4"/>
  <c r="NU9" i="4"/>
  <c r="NV9" i="4"/>
  <c r="NW9" i="4"/>
  <c r="OL9" i="4" s="1"/>
  <c r="NX9" i="4"/>
  <c r="NY9" i="4"/>
  <c r="NZ9" i="4"/>
  <c r="OA9" i="4"/>
  <c r="OB9" i="4"/>
  <c r="ON9" i="4" s="1"/>
  <c r="OC9" i="4"/>
  <c r="OD9" i="4"/>
  <c r="OE9" i="4"/>
  <c r="OF9" i="4"/>
  <c r="OG9" i="4"/>
  <c r="OQ9" i="4" s="1"/>
  <c r="OH9" i="4"/>
  <c r="OI9" i="4"/>
  <c r="NT7" i="4"/>
  <c r="NU7" i="4"/>
  <c r="NV7" i="4"/>
  <c r="NW7" i="4"/>
  <c r="OL7" i="4" s="1"/>
  <c r="NX7" i="4"/>
  <c r="NY7" i="4"/>
  <c r="NZ7" i="4"/>
  <c r="OA7" i="4"/>
  <c r="OB7" i="4"/>
  <c r="ON7" i="4" s="1"/>
  <c r="OC7" i="4"/>
  <c r="OD7" i="4"/>
  <c r="OE7" i="4"/>
  <c r="OF7" i="4"/>
  <c r="OG7" i="4"/>
  <c r="OQ7" i="4" s="1"/>
  <c r="OH7" i="4"/>
  <c r="OI7" i="4"/>
  <c r="NT11" i="4"/>
  <c r="NU11" i="4"/>
  <c r="NV11" i="4"/>
  <c r="NW11" i="4"/>
  <c r="OL11" i="4" s="1"/>
  <c r="NX11" i="4"/>
  <c r="NY11" i="4"/>
  <c r="NZ11" i="4"/>
  <c r="OA11" i="4"/>
  <c r="OB11" i="4"/>
  <c r="ON11" i="4" s="1"/>
  <c r="OC11" i="4"/>
  <c r="OD11" i="4"/>
  <c r="OE11" i="4"/>
  <c r="OF11" i="4"/>
  <c r="OG11" i="4"/>
  <c r="OQ11" i="4" s="1"/>
  <c r="OH11" i="4"/>
  <c r="OI11" i="4"/>
  <c r="NT19" i="4"/>
  <c r="NU19" i="4"/>
  <c r="NV19" i="4"/>
  <c r="NW19" i="4"/>
  <c r="OL19" i="4" s="1"/>
  <c r="NX19" i="4"/>
  <c r="NY19" i="4"/>
  <c r="NZ19" i="4"/>
  <c r="OA19" i="4"/>
  <c r="OB19" i="4"/>
  <c r="ON19" i="4" s="1"/>
  <c r="OC19" i="4"/>
  <c r="OD19" i="4"/>
  <c r="OE19" i="4"/>
  <c r="OF19" i="4"/>
  <c r="OG19" i="4"/>
  <c r="OQ19" i="4" s="1"/>
  <c r="OH19" i="4"/>
  <c r="OI19" i="4"/>
  <c r="NT8" i="4"/>
  <c r="NU8" i="4"/>
  <c r="NV8" i="4"/>
  <c r="NW8" i="4"/>
  <c r="OL8" i="4" s="1"/>
  <c r="NX8" i="4"/>
  <c r="NY8" i="4"/>
  <c r="NZ8" i="4"/>
  <c r="OA8" i="4"/>
  <c r="OB8" i="4"/>
  <c r="ON8" i="4" s="1"/>
  <c r="OC8" i="4"/>
  <c r="OD8" i="4"/>
  <c r="OE8" i="4"/>
  <c r="OF8" i="4"/>
  <c r="OG8" i="4"/>
  <c r="OQ8" i="4" s="1"/>
  <c r="OH8" i="4"/>
  <c r="OI8" i="4"/>
  <c r="NT5" i="4"/>
  <c r="NU5" i="4"/>
  <c r="NV5" i="4"/>
  <c r="NW5" i="4"/>
  <c r="OL5" i="4" s="1"/>
  <c r="NX5" i="4"/>
  <c r="NY5" i="4"/>
  <c r="NZ5" i="4"/>
  <c r="OA5" i="4"/>
  <c r="OB5" i="4"/>
  <c r="ON5" i="4" s="1"/>
  <c r="OC5" i="4"/>
  <c r="OD5" i="4"/>
  <c r="OE5" i="4"/>
  <c r="OF5" i="4"/>
  <c r="OG5" i="4"/>
  <c r="OQ5" i="4" s="1"/>
  <c r="OH5" i="4"/>
  <c r="OI5" i="4"/>
  <c r="NT14" i="4"/>
  <c r="NU14" i="4"/>
  <c r="NV14" i="4"/>
  <c r="NW14" i="4"/>
  <c r="OL14" i="4" s="1"/>
  <c r="NX14" i="4"/>
  <c r="NY14" i="4"/>
  <c r="NZ14" i="4"/>
  <c r="OA14" i="4"/>
  <c r="OB14" i="4"/>
  <c r="ON14" i="4" s="1"/>
  <c r="OC14" i="4"/>
  <c r="OD14" i="4"/>
  <c r="OE14" i="4"/>
  <c r="OF14" i="4"/>
  <c r="OG14" i="4"/>
  <c r="OQ14" i="4" s="1"/>
  <c r="OH14" i="4"/>
  <c r="OI14" i="4"/>
  <c r="NT16" i="4"/>
  <c r="NU16" i="4"/>
  <c r="NV16" i="4"/>
  <c r="NW16" i="4"/>
  <c r="OL16" i="4" s="1"/>
  <c r="NX16" i="4"/>
  <c r="NY16" i="4"/>
  <c r="NZ16" i="4"/>
  <c r="OA16" i="4"/>
  <c r="OB16" i="4"/>
  <c r="ON16" i="4" s="1"/>
  <c r="OC16" i="4"/>
  <c r="OD16" i="4"/>
  <c r="OE16" i="4"/>
  <c r="OF16" i="4"/>
  <c r="OG16" i="4"/>
  <c r="OQ16" i="4" s="1"/>
  <c r="OH16" i="4"/>
  <c r="OI16" i="4"/>
  <c r="NT15" i="4"/>
  <c r="NU15" i="4"/>
  <c r="NV15" i="4"/>
  <c r="NW15" i="4"/>
  <c r="OL15" i="4" s="1"/>
  <c r="NX15" i="4"/>
  <c r="NY15" i="4"/>
  <c r="NZ15" i="4"/>
  <c r="OA15" i="4"/>
  <c r="OB15" i="4"/>
  <c r="ON15" i="4" s="1"/>
  <c r="OC15" i="4"/>
  <c r="OD15" i="4"/>
  <c r="OE15" i="4"/>
  <c r="OF15" i="4"/>
  <c r="OG15" i="4"/>
  <c r="OQ15" i="4" s="1"/>
  <c r="OH15" i="4"/>
  <c r="OI15" i="4"/>
  <c r="NU4" i="4"/>
  <c r="NV4" i="4"/>
  <c r="NW4" i="4"/>
  <c r="OL4" i="4" s="1"/>
  <c r="NX4" i="4"/>
  <c r="NY4" i="4"/>
  <c r="OA4" i="4"/>
  <c r="OB4" i="4"/>
  <c r="ON4" i="4" s="1"/>
  <c r="OC4" i="4"/>
  <c r="OD4" i="4"/>
  <c r="OE4" i="4"/>
  <c r="OF4" i="4"/>
  <c r="OG4" i="4"/>
  <c r="OQ4" i="4" s="1"/>
  <c r="OH4" i="4"/>
  <c r="OI4" i="4"/>
  <c r="CY6" i="4"/>
  <c r="CZ6" i="4"/>
  <c r="DA6" i="4"/>
  <c r="DB6" i="4"/>
  <c r="DC6" i="4"/>
  <c r="DE6" i="4"/>
  <c r="DF6" i="4"/>
  <c r="CY9" i="4"/>
  <c r="CZ9" i="4"/>
  <c r="DA9" i="4"/>
  <c r="DB9" i="4"/>
  <c r="DC9" i="4"/>
  <c r="DE9" i="4"/>
  <c r="DF9" i="4"/>
  <c r="CY7" i="4"/>
  <c r="CZ7" i="4"/>
  <c r="DA7" i="4"/>
  <c r="DB7" i="4"/>
  <c r="DC7" i="4"/>
  <c r="DE7" i="4"/>
  <c r="DF7" i="4"/>
  <c r="CY11" i="4"/>
  <c r="CZ11" i="4"/>
  <c r="DA11" i="4"/>
  <c r="DB11" i="4"/>
  <c r="DC11" i="4"/>
  <c r="DE11" i="4"/>
  <c r="DF11" i="4"/>
  <c r="CY19" i="4"/>
  <c r="CZ19" i="4"/>
  <c r="DA19" i="4"/>
  <c r="DB19" i="4"/>
  <c r="DC19" i="4"/>
  <c r="DE19" i="4"/>
  <c r="DF19" i="4"/>
  <c r="CY8" i="4"/>
  <c r="CZ8" i="4"/>
  <c r="DA8" i="4"/>
  <c r="DB8" i="4"/>
  <c r="DC8" i="4"/>
  <c r="DE8" i="4"/>
  <c r="DF8" i="4"/>
  <c r="CY5" i="4"/>
  <c r="CZ5" i="4"/>
  <c r="DA5" i="4"/>
  <c r="DB5" i="4"/>
  <c r="DC5" i="4"/>
  <c r="DE5" i="4"/>
  <c r="DF5" i="4"/>
  <c r="CY14" i="4"/>
  <c r="CZ14" i="4"/>
  <c r="DA14" i="4"/>
  <c r="DB14" i="4"/>
  <c r="DC14" i="4"/>
  <c r="DE14" i="4"/>
  <c r="DF14" i="4"/>
  <c r="CY16" i="4"/>
  <c r="CZ16" i="4"/>
  <c r="DA16" i="4"/>
  <c r="DB16" i="4"/>
  <c r="DC16" i="4"/>
  <c r="DE16" i="4"/>
  <c r="DF16" i="4"/>
  <c r="CY15" i="4"/>
  <c r="CZ15" i="4"/>
  <c r="DA15" i="4"/>
  <c r="DB15" i="4"/>
  <c r="DC15" i="4"/>
  <c r="DE15" i="4"/>
  <c r="DF15" i="4"/>
  <c r="DC4" i="4"/>
  <c r="DB4" i="4"/>
  <c r="CZ4" i="4"/>
  <c r="DA4" i="4"/>
  <c r="CY4" i="4"/>
  <c r="LT8" i="12"/>
  <c r="LU8" i="12"/>
  <c r="LV8" i="12"/>
  <c r="LW8" i="12"/>
  <c r="LT5" i="12"/>
  <c r="LU5" i="12"/>
  <c r="LV5" i="12"/>
  <c r="LW5" i="12"/>
  <c r="LT15" i="12"/>
  <c r="LU15" i="12"/>
  <c r="LV15" i="12"/>
  <c r="LW15" i="12"/>
  <c r="LT6" i="12"/>
  <c r="LU6" i="12"/>
  <c r="LV6" i="12"/>
  <c r="LW6" i="12"/>
  <c r="LT9" i="12"/>
  <c r="LU9" i="12"/>
  <c r="LV9" i="12"/>
  <c r="LW9" i="12"/>
  <c r="LT10" i="12"/>
  <c r="LU10" i="12"/>
  <c r="LV10" i="12"/>
  <c r="LW10" i="12"/>
  <c r="LT13" i="12"/>
  <c r="LU13" i="12"/>
  <c r="LV13" i="12"/>
  <c r="LW13" i="12"/>
  <c r="LV16" i="12"/>
  <c r="CB8" i="12"/>
  <c r="CB5" i="12"/>
  <c r="CB15" i="12"/>
  <c r="CB6" i="12"/>
  <c r="CB9" i="12"/>
  <c r="CB10" i="12"/>
  <c r="CB13" i="12"/>
  <c r="CB16" i="12"/>
  <c r="LV11" i="6"/>
  <c r="LV13" i="6"/>
  <c r="LV4" i="6"/>
  <c r="LV8" i="6"/>
  <c r="CB11" i="6"/>
  <c r="CB13" i="6"/>
  <c r="CB4" i="6"/>
  <c r="CB8" i="6"/>
  <c r="LV6" i="8"/>
  <c r="LV4" i="8"/>
  <c r="CB4" i="8"/>
  <c r="LV5" i="7"/>
  <c r="CB5" i="7"/>
  <c r="J4" i="12" l="1"/>
  <c r="CE4" i="12" s="1"/>
  <c r="J7" i="12"/>
  <c r="CE7" i="12" s="1"/>
  <c r="J7" i="6"/>
  <c r="J12" i="6"/>
  <c r="CD7" i="12"/>
  <c r="LX4" i="7"/>
  <c r="CD4" i="7"/>
  <c r="DD13" i="4"/>
  <c r="DG13" i="4" s="1"/>
  <c r="DD13" i="13"/>
  <c r="DG13" i="13" s="1"/>
  <c r="DD10" i="13"/>
  <c r="DG10" i="13" s="1"/>
  <c r="LX7" i="12"/>
  <c r="CD7" i="6"/>
  <c r="LX7" i="6"/>
  <c r="MR12" i="6"/>
  <c r="NL13" i="13"/>
  <c r="NO13" i="13" s="1"/>
  <c r="NL13" i="4"/>
  <c r="NO13" i="4" s="1"/>
  <c r="MP12" i="6"/>
  <c r="MR7" i="6"/>
  <c r="MP7" i="6"/>
  <c r="LX12" i="6"/>
  <c r="CD12" i="6"/>
  <c r="MQ12" i="6"/>
  <c r="F12" i="6"/>
  <c r="MS12" i="6"/>
  <c r="G12" i="6"/>
  <c r="MS7" i="6"/>
  <c r="MQ7" i="6"/>
  <c r="G7" i="6"/>
  <c r="F7" i="6"/>
  <c r="OO13" i="4"/>
  <c r="LX4" i="12"/>
  <c r="CD4" i="12"/>
  <c r="MQ4" i="12"/>
  <c r="MR4" i="12"/>
  <c r="MP4" i="12"/>
  <c r="F4" i="12"/>
  <c r="MS4" i="12"/>
  <c r="G4" i="12"/>
  <c r="MR7" i="12"/>
  <c r="MP7" i="12"/>
  <c r="MS7" i="12"/>
  <c r="F7" i="12"/>
  <c r="MQ7" i="12"/>
  <c r="G7" i="12"/>
  <c r="MR4" i="7"/>
  <c r="MP4" i="7"/>
  <c r="MQ4" i="7"/>
  <c r="MS4" i="7"/>
  <c r="L4" i="7"/>
  <c r="CF4" i="7" s="1"/>
  <c r="F4" i="7"/>
  <c r="J4" i="7"/>
  <c r="G4" i="7"/>
  <c r="NL10" i="13"/>
  <c r="NO10" i="13" s="1"/>
  <c r="OM10" i="13"/>
  <c r="Q10" i="13"/>
  <c r="DK10" i="13" s="1"/>
  <c r="OO10" i="13"/>
  <c r="OK10" i="13"/>
  <c r="G10" i="13"/>
  <c r="OK13" i="13"/>
  <c r="OM13" i="13"/>
  <c r="Q13" i="13"/>
  <c r="DK13" i="13" s="1"/>
  <c r="OO13" i="13"/>
  <c r="G13" i="13"/>
  <c r="F13" i="13" s="1"/>
  <c r="Q13" i="4"/>
  <c r="R13" i="4" s="1"/>
  <c r="OM13" i="4"/>
  <c r="OK13" i="4"/>
  <c r="G13" i="4"/>
  <c r="NL6" i="13"/>
  <c r="NO6" i="13" s="1"/>
  <c r="OO9" i="13"/>
  <c r="OR11" i="13"/>
  <c r="DD8" i="13"/>
  <c r="DG8" i="13" s="1"/>
  <c r="NL5" i="13"/>
  <c r="NO5" i="13" s="1"/>
  <c r="DD7" i="13"/>
  <c r="DG7" i="13" s="1"/>
  <c r="DD5" i="13"/>
  <c r="DG5" i="13" s="1"/>
  <c r="DD11" i="13"/>
  <c r="DG11" i="13" s="1"/>
  <c r="OO5" i="13"/>
  <c r="NL12" i="13"/>
  <c r="NO12" i="13" s="1"/>
  <c r="OO7" i="13"/>
  <c r="OO14" i="13"/>
  <c r="DD9" i="13"/>
  <c r="DG9" i="13" s="1"/>
  <c r="NL8" i="13"/>
  <c r="NO8" i="13" s="1"/>
  <c r="NL14" i="13"/>
  <c r="NO14" i="13" s="1"/>
  <c r="CI4" i="14"/>
  <c r="CL4" i="14" s="1"/>
  <c r="MQ4" i="14"/>
  <c r="MT4" i="14" s="1"/>
  <c r="Q4" i="14"/>
  <c r="CP4" i="14" s="1"/>
  <c r="NL4" i="14"/>
  <c r="NP4" i="14"/>
  <c r="G4" i="14"/>
  <c r="F4" i="14" s="1"/>
  <c r="NM4" i="14"/>
  <c r="OR14" i="13"/>
  <c r="OR4" i="13"/>
  <c r="Q8" i="13"/>
  <c r="DK8" i="13" s="1"/>
  <c r="OR7" i="13"/>
  <c r="OR10" i="13"/>
  <c r="OK5" i="13"/>
  <c r="OK12" i="13"/>
  <c r="OM12" i="13"/>
  <c r="OM9" i="13"/>
  <c r="Q14" i="13"/>
  <c r="R14" i="13" s="1"/>
  <c r="Q5" i="13"/>
  <c r="R5" i="13" s="1"/>
  <c r="Q4" i="13"/>
  <c r="DK4" i="13" s="1"/>
  <c r="OM7" i="13"/>
  <c r="OR12" i="13"/>
  <c r="Q9" i="13"/>
  <c r="DK9" i="13" s="1"/>
  <c r="NL4" i="13"/>
  <c r="NO4" i="13" s="1"/>
  <c r="OK4" i="13"/>
  <c r="G8" i="13"/>
  <c r="F8" i="13" s="1"/>
  <c r="G6" i="13"/>
  <c r="F6" i="13" s="1"/>
  <c r="OK6" i="13"/>
  <c r="OO6" i="13"/>
  <c r="G7" i="13"/>
  <c r="F7" i="13" s="1"/>
  <c r="OK14" i="13"/>
  <c r="OR9" i="13"/>
  <c r="G12" i="13"/>
  <c r="F12" i="13" s="1"/>
  <c r="OO12" i="13"/>
  <c r="DD4" i="13"/>
  <c r="DG4" i="13" s="1"/>
  <c r="OM4" i="13"/>
  <c r="OO4" i="13"/>
  <c r="OR6" i="13"/>
  <c r="Q12" i="13"/>
  <c r="DK12" i="13" s="1"/>
  <c r="OR13" i="13"/>
  <c r="H4" i="13"/>
  <c r="OM5" i="13"/>
  <c r="OK8" i="13"/>
  <c r="Q6" i="13"/>
  <c r="R6" i="13" s="1"/>
  <c r="OR8" i="13"/>
  <c r="DD12" i="13"/>
  <c r="DG12" i="13" s="1"/>
  <c r="G11" i="13"/>
  <c r="F11" i="13" s="1"/>
  <c r="G9" i="13"/>
  <c r="F9" i="13" s="1"/>
  <c r="G4" i="13"/>
  <c r="F4" i="13" s="1"/>
  <c r="NL7" i="13"/>
  <c r="NO7" i="13" s="1"/>
  <c r="OK7" i="13"/>
  <c r="Q11" i="13"/>
  <c r="R11" i="13" s="1"/>
  <c r="G5" i="13"/>
  <c r="F5" i="13" s="1"/>
  <c r="OR5" i="13"/>
  <c r="OM8" i="13"/>
  <c r="OO8" i="13"/>
  <c r="DD6" i="13"/>
  <c r="DG6" i="13" s="1"/>
  <c r="OM6" i="13"/>
  <c r="Q7" i="13"/>
  <c r="R7" i="13" s="1"/>
  <c r="OM11" i="13"/>
  <c r="NL9" i="13"/>
  <c r="NO9" i="13" s="1"/>
  <c r="OK9" i="13"/>
  <c r="H5" i="13"/>
  <c r="ON6" i="13"/>
  <c r="DD14" i="13"/>
  <c r="DG14" i="13" s="1"/>
  <c r="NL11" i="13"/>
  <c r="NO11" i="13" s="1"/>
  <c r="OK11" i="13"/>
  <c r="G14" i="13"/>
  <c r="F14" i="13" s="1"/>
  <c r="OO11" i="13"/>
  <c r="OM14" i="13"/>
  <c r="OO15" i="4"/>
  <c r="OO16" i="4"/>
  <c r="OO14" i="4"/>
  <c r="OO5" i="4"/>
  <c r="OO11" i="4"/>
  <c r="OO7" i="4"/>
  <c r="OO9" i="4"/>
  <c r="OO6" i="4"/>
  <c r="OR19" i="4"/>
  <c r="OR18" i="4"/>
  <c r="OR17" i="4"/>
  <c r="OR16" i="4"/>
  <c r="OR15" i="4"/>
  <c r="OR14" i="4"/>
  <c r="OR13" i="4"/>
  <c r="OR12" i="4"/>
  <c r="OR11" i="4"/>
  <c r="OR10" i="4"/>
  <c r="OR9" i="4"/>
  <c r="OR8" i="4"/>
  <c r="OR7" i="4"/>
  <c r="OR6" i="4"/>
  <c r="OR5" i="4"/>
  <c r="OR4" i="4"/>
  <c r="OM16" i="4"/>
  <c r="OM14" i="4"/>
  <c r="OM5" i="4"/>
  <c r="OM8" i="4"/>
  <c r="OM19" i="4"/>
  <c r="OM11" i="4"/>
  <c r="OM7" i="4"/>
  <c r="OM9" i="4"/>
  <c r="OM6" i="4"/>
  <c r="OM4" i="4"/>
  <c r="DD4" i="4"/>
  <c r="OO8" i="4"/>
  <c r="OO19" i="4"/>
  <c r="OM15" i="4"/>
  <c r="OO4" i="4"/>
  <c r="DD6" i="4"/>
  <c r="DG6" i="4" s="1"/>
  <c r="DD5" i="4"/>
  <c r="DG5" i="4" s="1"/>
  <c r="DD14" i="4"/>
  <c r="DG14" i="4" s="1"/>
  <c r="DD7" i="4"/>
  <c r="DG7" i="4" s="1"/>
  <c r="DD15" i="4"/>
  <c r="DG15" i="4" s="1"/>
  <c r="DD11" i="4"/>
  <c r="DG11" i="4" s="1"/>
  <c r="DD16" i="4"/>
  <c r="DG16" i="4" s="1"/>
  <c r="DD19" i="4"/>
  <c r="DG19" i="4" s="1"/>
  <c r="DD8" i="4"/>
  <c r="DG8" i="4" s="1"/>
  <c r="DD9" i="4"/>
  <c r="DG9" i="4" s="1"/>
  <c r="LX15" i="12"/>
  <c r="LX8" i="12"/>
  <c r="LX13" i="12"/>
  <c r="LX9" i="12"/>
  <c r="LX10" i="12"/>
  <c r="LX6" i="12"/>
  <c r="LX5" i="12"/>
  <c r="LZ16" i="12"/>
  <c r="MA16" i="12"/>
  <c r="MB16" i="12"/>
  <c r="MC16" i="12"/>
  <c r="MD16" i="12"/>
  <c r="ME16" i="12"/>
  <c r="MF16" i="12"/>
  <c r="MG16" i="12"/>
  <c r="MH16" i="12"/>
  <c r="MI16" i="12"/>
  <c r="MJ16" i="12"/>
  <c r="MK16" i="12"/>
  <c r="ML16" i="12"/>
  <c r="MM16" i="12"/>
  <c r="MN16" i="12"/>
  <c r="LZ8" i="12"/>
  <c r="MA8" i="12"/>
  <c r="MB8" i="12"/>
  <c r="MC8" i="12"/>
  <c r="MD8" i="12"/>
  <c r="ME8" i="12"/>
  <c r="MF8" i="12"/>
  <c r="MG8" i="12"/>
  <c r="MH8" i="12"/>
  <c r="MI8" i="12"/>
  <c r="MJ8" i="12"/>
  <c r="MK8" i="12"/>
  <c r="ML8" i="12"/>
  <c r="MM8" i="12"/>
  <c r="MN8" i="12"/>
  <c r="LZ5" i="12"/>
  <c r="MA5" i="12"/>
  <c r="MB5" i="12"/>
  <c r="MC5" i="12"/>
  <c r="MD5" i="12"/>
  <c r="ME5" i="12"/>
  <c r="MF5" i="12"/>
  <c r="MG5" i="12"/>
  <c r="MH5" i="12"/>
  <c r="MI5" i="12"/>
  <c r="MJ5" i="12"/>
  <c r="MK5" i="12"/>
  <c r="ML5" i="12"/>
  <c r="MM5" i="12"/>
  <c r="MN5" i="12"/>
  <c r="LZ15" i="12"/>
  <c r="MA15" i="12"/>
  <c r="MB15" i="12"/>
  <c r="MC15" i="12"/>
  <c r="MD15" i="12"/>
  <c r="ME15" i="12"/>
  <c r="MF15" i="12"/>
  <c r="MG15" i="12"/>
  <c r="MH15" i="12"/>
  <c r="MI15" i="12"/>
  <c r="MJ15" i="12"/>
  <c r="MK15" i="12"/>
  <c r="ML15" i="12"/>
  <c r="MM15" i="12"/>
  <c r="MN15" i="12"/>
  <c r="LZ6" i="12"/>
  <c r="MA6" i="12"/>
  <c r="MB6" i="12"/>
  <c r="MC6" i="12"/>
  <c r="MD6" i="12"/>
  <c r="ME6" i="12"/>
  <c r="MF6" i="12"/>
  <c r="MG6" i="12"/>
  <c r="MH6" i="12"/>
  <c r="MI6" i="12"/>
  <c r="MJ6" i="12"/>
  <c r="MK6" i="12"/>
  <c r="ML6" i="12"/>
  <c r="MM6" i="12"/>
  <c r="MN6" i="12"/>
  <c r="LZ9" i="12"/>
  <c r="MA9" i="12"/>
  <c r="MB9" i="12"/>
  <c r="MC9" i="12"/>
  <c r="MD9" i="12"/>
  <c r="ME9" i="12"/>
  <c r="MF9" i="12"/>
  <c r="MG9" i="12"/>
  <c r="MH9" i="12"/>
  <c r="MI9" i="12"/>
  <c r="MJ9" i="12"/>
  <c r="MK9" i="12"/>
  <c r="ML9" i="12"/>
  <c r="MM9" i="12"/>
  <c r="MN9" i="12"/>
  <c r="LZ10" i="12"/>
  <c r="MA10" i="12"/>
  <c r="MB10" i="12"/>
  <c r="MC10" i="12"/>
  <c r="MD10" i="12"/>
  <c r="ME10" i="12"/>
  <c r="MF10" i="12"/>
  <c r="MG10" i="12"/>
  <c r="MH10" i="12"/>
  <c r="MI10" i="12"/>
  <c r="MJ10" i="12"/>
  <c r="MK10" i="12"/>
  <c r="ML10" i="12"/>
  <c r="MM10" i="12"/>
  <c r="MN10" i="12"/>
  <c r="LZ13" i="12"/>
  <c r="MA13" i="12"/>
  <c r="MB13" i="12"/>
  <c r="MC13" i="12"/>
  <c r="MD13" i="12"/>
  <c r="ME13" i="12"/>
  <c r="MF13" i="12"/>
  <c r="MG13" i="12"/>
  <c r="MH13" i="12"/>
  <c r="MI13" i="12"/>
  <c r="MJ13" i="12"/>
  <c r="MK13" i="12"/>
  <c r="ML13" i="12"/>
  <c r="MM13" i="12"/>
  <c r="MN13" i="12"/>
  <c r="LY8" i="12"/>
  <c r="LY5" i="12"/>
  <c r="LY15" i="12"/>
  <c r="LY6" i="12"/>
  <c r="LY9" i="12"/>
  <c r="LY10" i="12"/>
  <c r="LY13" i="12"/>
  <c r="LY16" i="12"/>
  <c r="LY11" i="6"/>
  <c r="LZ11" i="6"/>
  <c r="MA11" i="6"/>
  <c r="MB11" i="6"/>
  <c r="MC11" i="6"/>
  <c r="MD11" i="6"/>
  <c r="ME11" i="6"/>
  <c r="MF11" i="6"/>
  <c r="MG11" i="6"/>
  <c r="MH11" i="6"/>
  <c r="MI11" i="6"/>
  <c r="MJ11" i="6"/>
  <c r="MK11" i="6"/>
  <c r="ML11" i="6"/>
  <c r="MM11" i="6"/>
  <c r="MN11" i="6"/>
  <c r="LY13" i="6"/>
  <c r="LZ13" i="6"/>
  <c r="MA13" i="6"/>
  <c r="MB13" i="6"/>
  <c r="MC13" i="6"/>
  <c r="MD13" i="6"/>
  <c r="ME13" i="6"/>
  <c r="MF13" i="6"/>
  <c r="MG13" i="6"/>
  <c r="MH13" i="6"/>
  <c r="MI13" i="6"/>
  <c r="MJ13" i="6"/>
  <c r="MK13" i="6"/>
  <c r="ML13" i="6"/>
  <c r="MM13" i="6"/>
  <c r="MN13" i="6"/>
  <c r="LY4" i="6"/>
  <c r="LZ4" i="6"/>
  <c r="MA4" i="6"/>
  <c r="MB4" i="6"/>
  <c r="MC4" i="6"/>
  <c r="MD4" i="6"/>
  <c r="ME4" i="6"/>
  <c r="MF4" i="6"/>
  <c r="MG4" i="6"/>
  <c r="MH4" i="6"/>
  <c r="MI4" i="6"/>
  <c r="MJ4" i="6"/>
  <c r="MK4" i="6"/>
  <c r="ML4" i="6"/>
  <c r="MM4" i="6"/>
  <c r="MN4" i="6"/>
  <c r="LY8" i="6"/>
  <c r="LZ8" i="6"/>
  <c r="MA8" i="6"/>
  <c r="MB8" i="6"/>
  <c r="MC8" i="6"/>
  <c r="MD8" i="6"/>
  <c r="ME8" i="6"/>
  <c r="MF8" i="6"/>
  <c r="MG8" i="6"/>
  <c r="MH8" i="6"/>
  <c r="MI8" i="6"/>
  <c r="MJ8" i="6"/>
  <c r="MK8" i="6"/>
  <c r="ML8" i="6"/>
  <c r="MM8" i="6"/>
  <c r="MN8" i="6"/>
  <c r="LY6" i="8"/>
  <c r="LZ6" i="8"/>
  <c r="MA6" i="8"/>
  <c r="MB6" i="8"/>
  <c r="MC6" i="8"/>
  <c r="MD6" i="8"/>
  <c r="ME6" i="8"/>
  <c r="MF6" i="8"/>
  <c r="MG6" i="8"/>
  <c r="MH6" i="8"/>
  <c r="MI6" i="8"/>
  <c r="MJ6" i="8"/>
  <c r="MK6" i="8"/>
  <c r="ML6" i="8"/>
  <c r="MM6" i="8"/>
  <c r="MN6" i="8"/>
  <c r="LZ4" i="8"/>
  <c r="MA4" i="8"/>
  <c r="MB4" i="8"/>
  <c r="MC4" i="8"/>
  <c r="MD4" i="8"/>
  <c r="ME4" i="8"/>
  <c r="MF4" i="8"/>
  <c r="MG4" i="8"/>
  <c r="MH4" i="8"/>
  <c r="MI4" i="8"/>
  <c r="MJ4" i="8"/>
  <c r="MK4" i="8"/>
  <c r="ML4" i="8"/>
  <c r="MM4" i="8"/>
  <c r="MN4" i="8"/>
  <c r="LY4" i="8"/>
  <c r="LY5" i="7"/>
  <c r="LZ5" i="7"/>
  <c r="MA5" i="7"/>
  <c r="MB5" i="7"/>
  <c r="MC5" i="7"/>
  <c r="MD5" i="7"/>
  <c r="ME5" i="7"/>
  <c r="MF5" i="7"/>
  <c r="MG5" i="7"/>
  <c r="MH5" i="7"/>
  <c r="MI5" i="7"/>
  <c r="MJ5" i="7"/>
  <c r="MK5" i="7"/>
  <c r="ML5" i="7"/>
  <c r="MM5" i="7"/>
  <c r="MN5" i="7"/>
  <c r="MV4" i="9"/>
  <c r="MW4" i="9"/>
  <c r="MX4" i="9"/>
  <c r="MY4" i="9"/>
  <c r="MZ4" i="9"/>
  <c r="NA4" i="9"/>
  <c r="NB4" i="9"/>
  <c r="NC4" i="9"/>
  <c r="ND4" i="9"/>
  <c r="NE4" i="9"/>
  <c r="NF4" i="9"/>
  <c r="NG4" i="9"/>
  <c r="NH4" i="9"/>
  <c r="NI4" i="9"/>
  <c r="MU4" i="9"/>
  <c r="NP4" i="4"/>
  <c r="CC13" i="12"/>
  <c r="CA13" i="12"/>
  <c r="J13" i="12" s="1"/>
  <c r="CE13" i="12" s="1"/>
  <c r="BZ13" i="12"/>
  <c r="CC10" i="12"/>
  <c r="CA10" i="12"/>
  <c r="J10" i="12" s="1"/>
  <c r="CE10" i="12" s="1"/>
  <c r="BZ10" i="12"/>
  <c r="CC9" i="12"/>
  <c r="CA9" i="12"/>
  <c r="J9" i="12" s="1"/>
  <c r="CE9" i="12" s="1"/>
  <c r="BZ9" i="12"/>
  <c r="CC6" i="12"/>
  <c r="CA6" i="12"/>
  <c r="J6" i="12" s="1"/>
  <c r="CE6" i="12" s="1"/>
  <c r="BZ6" i="12"/>
  <c r="CC15" i="12"/>
  <c r="CA15" i="12"/>
  <c r="J15" i="12" s="1"/>
  <c r="CE15" i="12" s="1"/>
  <c r="BZ15" i="12"/>
  <c r="CC5" i="12"/>
  <c r="CA5" i="12"/>
  <c r="J5" i="12" s="1"/>
  <c r="CE5" i="12" s="1"/>
  <c r="BZ5" i="12"/>
  <c r="CC8" i="12"/>
  <c r="CA8" i="12"/>
  <c r="J8" i="12" s="1"/>
  <c r="CE8" i="12" s="1"/>
  <c r="BZ8" i="12"/>
  <c r="CC16" i="12"/>
  <c r="CA16" i="12"/>
  <c r="J16" i="12" s="1"/>
  <c r="BZ16" i="12"/>
  <c r="CC8" i="6"/>
  <c r="CA8" i="6"/>
  <c r="J8" i="6" s="1"/>
  <c r="BZ8" i="6"/>
  <c r="CC4" i="6"/>
  <c r="CA4" i="6"/>
  <c r="J4" i="6" s="1"/>
  <c r="BZ4" i="6"/>
  <c r="CC13" i="6"/>
  <c r="CA13" i="6"/>
  <c r="J13" i="6" s="1"/>
  <c r="BZ13" i="6"/>
  <c r="CC11" i="6"/>
  <c r="CA11" i="6"/>
  <c r="J11" i="6" s="1"/>
  <c r="BZ11" i="6"/>
  <c r="CC6" i="8"/>
  <c r="CA6" i="8"/>
  <c r="BZ6" i="8"/>
  <c r="CC4" i="8"/>
  <c r="CA4" i="8"/>
  <c r="BZ4" i="8"/>
  <c r="CC5" i="7"/>
  <c r="CA5" i="7"/>
  <c r="BZ5" i="7"/>
  <c r="CK4" i="9"/>
  <c r="CJ4" i="9"/>
  <c r="CH4" i="9"/>
  <c r="CG4" i="9"/>
  <c r="CF4" i="9"/>
  <c r="NQ4" i="4"/>
  <c r="NR4" i="4"/>
  <c r="NS4" i="4"/>
  <c r="NT4" i="4"/>
  <c r="NQ6" i="4"/>
  <c r="NR6" i="4"/>
  <c r="NS6" i="4"/>
  <c r="NQ9" i="4"/>
  <c r="NR9" i="4"/>
  <c r="NS9" i="4"/>
  <c r="NQ7" i="4"/>
  <c r="NR7" i="4"/>
  <c r="NS7" i="4"/>
  <c r="NQ11" i="4"/>
  <c r="NR11" i="4"/>
  <c r="NS11" i="4"/>
  <c r="NQ19" i="4"/>
  <c r="NR19" i="4"/>
  <c r="NS19" i="4"/>
  <c r="NQ8" i="4"/>
  <c r="NR8" i="4"/>
  <c r="NS8" i="4"/>
  <c r="NQ5" i="4"/>
  <c r="NR5" i="4"/>
  <c r="NS5" i="4"/>
  <c r="NQ14" i="4"/>
  <c r="NR14" i="4"/>
  <c r="NS14" i="4"/>
  <c r="NQ16" i="4"/>
  <c r="NR16" i="4"/>
  <c r="NS16" i="4"/>
  <c r="NQ15" i="4"/>
  <c r="NR15" i="4"/>
  <c r="NS15" i="4"/>
  <c r="NP6" i="4"/>
  <c r="NP9" i="4"/>
  <c r="NP7" i="4"/>
  <c r="NP11" i="4"/>
  <c r="NP19" i="4"/>
  <c r="NP8" i="4"/>
  <c r="NP5" i="4"/>
  <c r="NP14" i="4"/>
  <c r="NP16" i="4"/>
  <c r="NP15" i="4"/>
  <c r="K4" i="6" l="1"/>
  <c r="K10" i="12"/>
  <c r="K5" i="12"/>
  <c r="K6" i="12"/>
  <c r="K13" i="12"/>
  <c r="K15" i="12"/>
  <c r="K9" i="12"/>
  <c r="K16" i="12"/>
  <c r="K8" i="12"/>
  <c r="K7" i="12"/>
  <c r="L7" i="12"/>
  <c r="M7" i="12" s="1"/>
  <c r="L4" i="12"/>
  <c r="M4" i="12" s="1"/>
  <c r="K4" i="12"/>
  <c r="K11" i="6"/>
  <c r="K13" i="6"/>
  <c r="K8" i="6"/>
  <c r="K12" i="6"/>
  <c r="L12" i="6"/>
  <c r="CE12" i="6"/>
  <c r="CE7" i="6"/>
  <c r="K7" i="6"/>
  <c r="L7" i="6"/>
  <c r="H10" i="13"/>
  <c r="R4" i="13"/>
  <c r="DK5" i="13"/>
  <c r="J13" i="4"/>
  <c r="R8" i="13"/>
  <c r="DK7" i="13"/>
  <c r="OP14" i="13"/>
  <c r="K13" i="4"/>
  <c r="DJ13" i="4" s="1"/>
  <c r="K13" i="13"/>
  <c r="M13" i="13" s="1"/>
  <c r="K10" i="13"/>
  <c r="DJ10" i="13" s="1"/>
  <c r="H12" i="13"/>
  <c r="I12" i="13" s="1"/>
  <c r="R9" i="13"/>
  <c r="OP9" i="13"/>
  <c r="MT4" i="12"/>
  <c r="MT12" i="6"/>
  <c r="H13" i="13"/>
  <c r="A13" i="13" s="1" a="1"/>
  <c r="A13" i="13" s="1"/>
  <c r="K7" i="13"/>
  <c r="OP13" i="4"/>
  <c r="H13" i="4"/>
  <c r="I13" i="4" s="1"/>
  <c r="DK13" i="4"/>
  <c r="MT7" i="6"/>
  <c r="H12" i="6"/>
  <c r="I12" i="6" s="1"/>
  <c r="A12" i="6"/>
  <c r="H7" i="6"/>
  <c r="I7" i="6" s="1"/>
  <c r="MT7" i="12"/>
  <c r="OP13" i="13"/>
  <c r="R10" i="13"/>
  <c r="H4" i="12"/>
  <c r="I4" i="12" s="1"/>
  <c r="H7" i="12"/>
  <c r="I7" i="12" s="1"/>
  <c r="MT4" i="7"/>
  <c r="H4" i="7"/>
  <c r="I4" i="7" s="1"/>
  <c r="CE4" i="7"/>
  <c r="N4" i="7" s="1"/>
  <c r="K4" i="7"/>
  <c r="M4" i="7"/>
  <c r="OP10" i="13"/>
  <c r="J10" i="13"/>
  <c r="F10" i="13"/>
  <c r="R13" i="13"/>
  <c r="K8" i="13"/>
  <c r="O8" i="13" s="1"/>
  <c r="P8" i="13" s="1"/>
  <c r="J13" i="13"/>
  <c r="DK14" i="13"/>
  <c r="OP5" i="13"/>
  <c r="OS5" i="13" s="1"/>
  <c r="F13" i="4"/>
  <c r="DK6" i="13"/>
  <c r="OP12" i="13"/>
  <c r="OK8" i="4"/>
  <c r="OP8" i="4" s="1"/>
  <c r="OK19" i="4"/>
  <c r="OP19" i="4" s="1"/>
  <c r="K12" i="13"/>
  <c r="O12" i="13" s="1"/>
  <c r="P12" i="13" s="1"/>
  <c r="K5" i="13"/>
  <c r="O5" i="13" s="1"/>
  <c r="P5" i="13" s="1"/>
  <c r="K11" i="13"/>
  <c r="M11" i="13" s="1"/>
  <c r="H14" i="13"/>
  <c r="I14" i="13" s="1"/>
  <c r="K14" i="13"/>
  <c r="K9" i="13"/>
  <c r="DJ9" i="13" s="1"/>
  <c r="K4" i="13"/>
  <c r="L4" i="13" s="1"/>
  <c r="K6" i="13"/>
  <c r="DJ6" i="13" s="1"/>
  <c r="OP7" i="13"/>
  <c r="J12" i="13"/>
  <c r="OK16" i="4"/>
  <c r="OP16" i="4" s="1"/>
  <c r="MR13" i="12"/>
  <c r="MR16" i="12"/>
  <c r="K4" i="14"/>
  <c r="M4" i="14" s="1"/>
  <c r="R4" i="14"/>
  <c r="J4" i="14"/>
  <c r="H4" i="14"/>
  <c r="I4" i="14" s="1"/>
  <c r="NN4" i="14"/>
  <c r="NQ4" i="14" s="1"/>
  <c r="J4" i="13"/>
  <c r="I4" i="13"/>
  <c r="I5" i="13"/>
  <c r="R12" i="13"/>
  <c r="J6" i="13"/>
  <c r="OP4" i="13"/>
  <c r="OS4" i="13" s="1"/>
  <c r="J8" i="13"/>
  <c r="H6" i="13"/>
  <c r="I6" i="13" s="1"/>
  <c r="OP6" i="13"/>
  <c r="OP8" i="13"/>
  <c r="J5" i="13"/>
  <c r="H8" i="13"/>
  <c r="I8" i="13" s="1"/>
  <c r="DK11" i="13"/>
  <c r="OP11" i="13"/>
  <c r="H9" i="13"/>
  <c r="J7" i="13"/>
  <c r="H7" i="13"/>
  <c r="H11" i="13"/>
  <c r="J11" i="13"/>
  <c r="J14" i="13"/>
  <c r="J9" i="13"/>
  <c r="OK5" i="4"/>
  <c r="OP5" i="4" s="1"/>
  <c r="OK7" i="4"/>
  <c r="OP7" i="4" s="1"/>
  <c r="OK14" i="4"/>
  <c r="OP14" i="4" s="1"/>
  <c r="OK4" i="4"/>
  <c r="OP4" i="4" s="1"/>
  <c r="OS4" i="4" s="1"/>
  <c r="OK15" i="4"/>
  <c r="OP15" i="4" s="1"/>
  <c r="OK9" i="4"/>
  <c r="OP9" i="4" s="1"/>
  <c r="OK11" i="4"/>
  <c r="OP11" i="4" s="1"/>
  <c r="OK6" i="4"/>
  <c r="OP6" i="4" s="1"/>
  <c r="MR6" i="8"/>
  <c r="MR4" i="8"/>
  <c r="MR5" i="7"/>
  <c r="CD13" i="6"/>
  <c r="L13" i="6" s="1"/>
  <c r="MR8" i="6"/>
  <c r="MR4" i="6"/>
  <c r="MR13" i="6"/>
  <c r="MR11" i="6"/>
  <c r="MQ5" i="12"/>
  <c r="MQ15" i="12"/>
  <c r="MQ8" i="12"/>
  <c r="MR8" i="12"/>
  <c r="MP8" i="12"/>
  <c r="MQ13" i="12"/>
  <c r="MR5" i="12"/>
  <c r="MP5" i="12"/>
  <c r="MQ10" i="12"/>
  <c r="MR15" i="12"/>
  <c r="MP15" i="12"/>
  <c r="MQ9" i="12"/>
  <c r="MP13" i="12"/>
  <c r="MS10" i="12"/>
  <c r="MS13" i="12"/>
  <c r="MS8" i="12"/>
  <c r="MS5" i="12"/>
  <c r="MS15" i="12"/>
  <c r="MQ6" i="12"/>
  <c r="MR6" i="12"/>
  <c r="MP6" i="12"/>
  <c r="MR9" i="12"/>
  <c r="MP9" i="12"/>
  <c r="MS6" i="12"/>
  <c r="MR10" i="12"/>
  <c r="MP10" i="12"/>
  <c r="MS9" i="12"/>
  <c r="CD8" i="12"/>
  <c r="L8" i="12" s="1"/>
  <c r="CD15" i="12"/>
  <c r="L15" i="12" s="1"/>
  <c r="CD6" i="12"/>
  <c r="L6" i="12" s="1"/>
  <c r="CD10" i="12"/>
  <c r="L10" i="12" s="1"/>
  <c r="CD11" i="6"/>
  <c r="L11" i="6" s="1"/>
  <c r="CD8" i="6"/>
  <c r="L8" i="6" s="1"/>
  <c r="CD6" i="8"/>
  <c r="CD4" i="8"/>
  <c r="CD9" i="12"/>
  <c r="L9" i="12" s="1"/>
  <c r="CD13" i="12"/>
  <c r="L13" i="12" s="1"/>
  <c r="CD16" i="12"/>
  <c r="L16" i="12" s="1"/>
  <c r="CD5" i="12"/>
  <c r="L5" i="12" s="1"/>
  <c r="CD4" i="6"/>
  <c r="L4" i="6" s="1"/>
  <c r="M4" i="6" s="1"/>
  <c r="CD5" i="7"/>
  <c r="CI4" i="9"/>
  <c r="CL4" i="9" s="1"/>
  <c r="DF4" i="4"/>
  <c r="DE4" i="4"/>
  <c r="LT4" i="6"/>
  <c r="LU4" i="6"/>
  <c r="CE4" i="6" s="1"/>
  <c r="LW4" i="6"/>
  <c r="LT6" i="8"/>
  <c r="LU6" i="8"/>
  <c r="LW6" i="8"/>
  <c r="NI15" i="4"/>
  <c r="NJ15" i="4"/>
  <c r="NK15" i="4"/>
  <c r="NM15" i="4"/>
  <c r="NN15" i="4"/>
  <c r="I10" i="13" l="1"/>
  <c r="M15" i="12"/>
  <c r="CF15" i="12"/>
  <c r="M8" i="12"/>
  <c r="CF8" i="12"/>
  <c r="M6" i="12"/>
  <c r="CF6" i="12"/>
  <c r="CF4" i="12"/>
  <c r="N4" i="12" s="1"/>
  <c r="E4" i="12" s="1"/>
  <c r="M10" i="12"/>
  <c r="CF10" i="12"/>
  <c r="M9" i="12"/>
  <c r="CF9" i="12"/>
  <c r="M5" i="12"/>
  <c r="CF5" i="12"/>
  <c r="CF7" i="12"/>
  <c r="N7" i="12" s="1"/>
  <c r="M13" i="12"/>
  <c r="CF13" i="12"/>
  <c r="N13" i="12" s="1"/>
  <c r="M16" i="12"/>
  <c r="M13" i="6"/>
  <c r="M11" i="6"/>
  <c r="M8" i="6"/>
  <c r="M12" i="6"/>
  <c r="CF12" i="6"/>
  <c r="M7" i="6"/>
  <c r="CF7" i="6"/>
  <c r="OS5" i="4"/>
  <c r="O4" i="14"/>
  <c r="P4" i="14" s="1"/>
  <c r="L4" i="14"/>
  <c r="CO4" i="14"/>
  <c r="DJ12" i="13"/>
  <c r="L13" i="13"/>
  <c r="N13" i="13" s="1"/>
  <c r="M13" i="4"/>
  <c r="DH13" i="4" s="1"/>
  <c r="OS6" i="4"/>
  <c r="O13" i="4"/>
  <c r="P13" i="4" s="1"/>
  <c r="L13" i="4"/>
  <c r="DJ13" i="13"/>
  <c r="OS6" i="13"/>
  <c r="OS7" i="13"/>
  <c r="OS11" i="13"/>
  <c r="OS13" i="4"/>
  <c r="O13" i="13"/>
  <c r="O10" i="13"/>
  <c r="M10" i="13"/>
  <c r="L10" i="13"/>
  <c r="OS13" i="13"/>
  <c r="L12" i="13"/>
  <c r="M12" i="13"/>
  <c r="DH12" i="13" s="1"/>
  <c r="OS14" i="13"/>
  <c r="M9" i="13"/>
  <c r="DH9" i="13" s="1"/>
  <c r="L9" i="13"/>
  <c r="DJ8" i="13"/>
  <c r="M8" i="13"/>
  <c r="DH8" i="13" s="1"/>
  <c r="L8" i="13"/>
  <c r="M5" i="13"/>
  <c r="DH5" i="13" s="1"/>
  <c r="L6" i="13"/>
  <c r="M6" i="13"/>
  <c r="DH6" i="13" s="1"/>
  <c r="M4" i="13"/>
  <c r="DH4" i="13" s="1"/>
  <c r="DJ4" i="13"/>
  <c r="I13" i="13"/>
  <c r="A13" i="4" a="1"/>
  <c r="A13" i="4" s="1"/>
  <c r="OS14" i="4"/>
  <c r="O11" i="13"/>
  <c r="P11" i="13" s="1"/>
  <c r="E4" i="7"/>
  <c r="O4" i="7"/>
  <c r="P4" i="7"/>
  <c r="DH13" i="13"/>
  <c r="DJ11" i="13"/>
  <c r="O4" i="13"/>
  <c r="L5" i="13"/>
  <c r="L11" i="13"/>
  <c r="N11" i="13" s="1"/>
  <c r="O9" i="13"/>
  <c r="P9" i="13" s="1"/>
  <c r="OS16" i="4"/>
  <c r="MT13" i="12"/>
  <c r="MT15" i="12"/>
  <c r="MT5" i="12"/>
  <c r="DJ5" i="13"/>
  <c r="O6" i="13"/>
  <c r="OS12" i="13"/>
  <c r="OS15" i="4"/>
  <c r="MT9" i="12"/>
  <c r="G4" i="6"/>
  <c r="F4" i="6"/>
  <c r="OS8" i="13"/>
  <c r="OS9" i="13"/>
  <c r="OS10" i="13"/>
  <c r="OS7" i="4"/>
  <c r="OS8" i="4"/>
  <c r="OS9" i="4"/>
  <c r="OS10" i="4"/>
  <c r="OS11" i="4"/>
  <c r="OS12" i="4"/>
  <c r="OS17" i="4"/>
  <c r="OS19" i="4"/>
  <c r="OS18" i="4"/>
  <c r="N4" i="14"/>
  <c r="CM4" i="14"/>
  <c r="DH11" i="13"/>
  <c r="DI8" i="13"/>
  <c r="DI5" i="13"/>
  <c r="O14" i="13"/>
  <c r="P14" i="13" s="1"/>
  <c r="M14" i="13"/>
  <c r="L14" i="13"/>
  <c r="DJ14" i="13"/>
  <c r="I7" i="13"/>
  <c r="M7" i="13"/>
  <c r="L7" i="13"/>
  <c r="DJ7" i="13"/>
  <c r="O7" i="13"/>
  <c r="P7" i="13" s="1"/>
  <c r="I9" i="13"/>
  <c r="DI12" i="13"/>
  <c r="I11" i="13"/>
  <c r="G15" i="4"/>
  <c r="F15" i="4" s="1"/>
  <c r="Q15" i="4"/>
  <c r="R15" i="4" s="1"/>
  <c r="DG4" i="4"/>
  <c r="MT8" i="12"/>
  <c r="MT10" i="12"/>
  <c r="MT6" i="12"/>
  <c r="G6" i="8"/>
  <c r="J6" i="8"/>
  <c r="K6" i="8" s="1"/>
  <c r="L6" i="8"/>
  <c r="F6" i="8"/>
  <c r="LX4" i="6"/>
  <c r="CF4" i="6" s="1"/>
  <c r="LX6" i="8"/>
  <c r="MP6" i="8"/>
  <c r="MQ6" i="8"/>
  <c r="MS6" i="8"/>
  <c r="NL15" i="4"/>
  <c r="NO15" i="4" s="1"/>
  <c r="CN4" i="14" l="1"/>
  <c r="S4" i="14" s="1"/>
  <c r="O7" i="12"/>
  <c r="P7" i="12"/>
  <c r="O13" i="12"/>
  <c r="P13" i="12"/>
  <c r="E7" i="12"/>
  <c r="P4" i="12"/>
  <c r="O4" i="12"/>
  <c r="N4" i="13"/>
  <c r="DI13" i="4"/>
  <c r="S13" i="4" s="1"/>
  <c r="N13" i="4"/>
  <c r="N10" i="13"/>
  <c r="DI4" i="13"/>
  <c r="S4" i="13" s="1"/>
  <c r="U4" i="13" s="1"/>
  <c r="P4" i="13"/>
  <c r="DI10" i="13"/>
  <c r="P10" i="13"/>
  <c r="DI13" i="13"/>
  <c r="S13" i="13" s="1"/>
  <c r="P13" i="13"/>
  <c r="DI6" i="13"/>
  <c r="S6" i="13" s="1"/>
  <c r="P6" i="13"/>
  <c r="N12" i="6"/>
  <c r="N7" i="6"/>
  <c r="DH10" i="13"/>
  <c r="N12" i="13"/>
  <c r="N9" i="13"/>
  <c r="DI9" i="13"/>
  <c r="S9" i="13" s="1"/>
  <c r="T9" i="13" s="1"/>
  <c r="N8" i="13"/>
  <c r="N5" i="13"/>
  <c r="N6" i="13"/>
  <c r="H6" i="8"/>
  <c r="I6" i="8" s="1"/>
  <c r="DI11" i="13"/>
  <c r="S11" i="13" s="1"/>
  <c r="H4" i="6"/>
  <c r="I4" i="6" s="1"/>
  <c r="DK15" i="4"/>
  <c r="K15" i="4"/>
  <c r="O15" i="4" s="1"/>
  <c r="P15" i="4" s="1"/>
  <c r="J15" i="4"/>
  <c r="S8" i="13"/>
  <c r="N14" i="13"/>
  <c r="DH14" i="13"/>
  <c r="S12" i="13"/>
  <c r="DI14" i="13"/>
  <c r="S5" i="13"/>
  <c r="DI7" i="13"/>
  <c r="DH7" i="13"/>
  <c r="N7" i="13"/>
  <c r="H15" i="4"/>
  <c r="A15" i="4" s="1" a="1"/>
  <c r="A15" i="4" s="1"/>
  <c r="M6" i="8"/>
  <c r="MT6" i="8"/>
  <c r="CF6" i="8"/>
  <c r="CE6" i="8"/>
  <c r="O7" i="6" l="1"/>
  <c r="P7" i="6"/>
  <c r="O12" i="6"/>
  <c r="P12" i="6"/>
  <c r="S10" i="13"/>
  <c r="T10" i="13" s="1"/>
  <c r="E12" i="6"/>
  <c r="E7" i="6"/>
  <c r="E11" i="13"/>
  <c r="E9" i="13"/>
  <c r="E8" i="13"/>
  <c r="E5" i="13"/>
  <c r="E6" i="13"/>
  <c r="T13" i="13"/>
  <c r="U13" i="13"/>
  <c r="E13" i="13"/>
  <c r="T13" i="4"/>
  <c r="U13" i="4"/>
  <c r="E13" i="4"/>
  <c r="U9" i="13"/>
  <c r="U4" i="14"/>
  <c r="T4" i="14"/>
  <c r="E4" i="14"/>
  <c r="T8" i="13"/>
  <c r="U8" i="13"/>
  <c r="U6" i="13"/>
  <c r="U11" i="13"/>
  <c r="T6" i="13"/>
  <c r="T4" i="13"/>
  <c r="E4" i="13"/>
  <c r="T11" i="13"/>
  <c r="T12" i="13"/>
  <c r="U12" i="13"/>
  <c r="S14" i="13"/>
  <c r="U5" i="13"/>
  <c r="T5" i="13"/>
  <c r="E12" i="13"/>
  <c r="S7" i="13"/>
  <c r="I15" i="4"/>
  <c r="M15" i="4"/>
  <c r="L15" i="4"/>
  <c r="DJ15" i="4"/>
  <c r="N6" i="8"/>
  <c r="E6" i="8" s="1"/>
  <c r="E10" i="13" l="1"/>
  <c r="U10" i="13"/>
  <c r="N15" i="4"/>
  <c r="U7" i="13"/>
  <c r="T7" i="13"/>
  <c r="U14" i="13"/>
  <c r="T14" i="13"/>
  <c r="E7" i="13"/>
  <c r="E14" i="13"/>
  <c r="DH15" i="4"/>
  <c r="DI15" i="4"/>
  <c r="N4" i="6"/>
  <c r="P4" i="6" s="1"/>
  <c r="O6" i="8"/>
  <c r="P6" i="8"/>
  <c r="A10" i="13" l="1" a="1"/>
  <c r="A10" i="13" s="1"/>
  <c r="E4" i="6"/>
  <c r="O4" i="6"/>
  <c r="A9" i="13" a="1"/>
  <c r="A9" i="13" s="1"/>
  <c r="A4" i="14" a="1"/>
  <c r="A4" i="14" s="1"/>
  <c r="A12" i="13" a="1"/>
  <c r="A12" i="13" s="1"/>
  <c r="A7" i="13" a="1"/>
  <c r="A7" i="13" s="1"/>
  <c r="A8" i="13" a="1"/>
  <c r="A8" i="13" s="1"/>
  <c r="A4" i="13" a="1"/>
  <c r="A4" i="13" s="1"/>
  <c r="A5" i="13" a="1"/>
  <c r="A5" i="13" s="1"/>
  <c r="A6" i="13" a="1"/>
  <c r="A6" i="13" s="1"/>
  <c r="A14" i="13" a="1"/>
  <c r="A14" i="13" s="1"/>
  <c r="A11" i="13" a="1"/>
  <c r="A11" i="13" s="1"/>
  <c r="S15" i="4"/>
  <c r="E15" i="4" s="1"/>
  <c r="C25" i="11" l="1"/>
  <c r="D23" i="11"/>
  <c r="C23" i="11"/>
  <c r="C24" i="11"/>
  <c r="D22" i="11"/>
  <c r="D25" i="11"/>
  <c r="D24" i="11"/>
  <c r="C22" i="11"/>
  <c r="C11" i="11"/>
  <c r="D15" i="11"/>
  <c r="D16" i="11"/>
  <c r="C12" i="11"/>
  <c r="C13" i="11"/>
  <c r="D17" i="11"/>
  <c r="C14" i="11"/>
  <c r="C10" i="11"/>
  <c r="D10" i="11"/>
  <c r="D14" i="11"/>
  <c r="C15" i="11"/>
  <c r="D11" i="11"/>
  <c r="C16" i="11"/>
  <c r="D12" i="11"/>
  <c r="C17" i="11"/>
  <c r="D13" i="11"/>
  <c r="U15" i="4"/>
  <c r="T15" i="4"/>
  <c r="NI5" i="4"/>
  <c r="NJ5" i="4"/>
  <c r="NK5" i="4"/>
  <c r="NM5" i="4"/>
  <c r="NN5" i="4"/>
  <c r="G5" i="4" l="1"/>
  <c r="F5" i="4" s="1"/>
  <c r="G10" i="12"/>
  <c r="F10" i="12"/>
  <c r="F6" i="12"/>
  <c r="G6" i="12"/>
  <c r="Q5" i="4"/>
  <c r="R5" i="4" s="1"/>
  <c r="NL5" i="4"/>
  <c r="NO5" i="4" s="1"/>
  <c r="H10" i="12" l="1"/>
  <c r="I10" i="12" s="1"/>
  <c r="H6" i="12"/>
  <c r="I6" i="12" s="1"/>
  <c r="K5" i="4"/>
  <c r="O5" i="4" s="1"/>
  <c r="P5" i="4" s="1"/>
  <c r="J5" i="4"/>
  <c r="H5" i="4"/>
  <c r="DK5" i="4"/>
  <c r="DJ5" i="4" l="1"/>
  <c r="I5" i="4"/>
  <c r="M5" i="4"/>
  <c r="L5" i="4"/>
  <c r="N5" i="4" l="1"/>
  <c r="DH5" i="4"/>
  <c r="DI5" i="4"/>
  <c r="N10" i="12"/>
  <c r="O10" i="12" l="1"/>
  <c r="P10" i="12"/>
  <c r="N6" i="12"/>
  <c r="S5" i="4"/>
  <c r="T5" i="4" s="1"/>
  <c r="E10" i="12"/>
  <c r="O6" i="12" l="1"/>
  <c r="P6" i="12"/>
  <c r="E6" i="12"/>
  <c r="E5" i="4"/>
  <c r="U5" i="4"/>
  <c r="K4" i="4" l="1"/>
  <c r="O4" i="4" s="1"/>
  <c r="P4" i="4" s="1"/>
  <c r="K11" i="4"/>
  <c r="K19" i="4" l="1"/>
  <c r="O19" i="4" s="1"/>
  <c r="P19" i="4" s="1"/>
  <c r="K7" i="4"/>
  <c r="O7" i="4" s="1"/>
  <c r="P7" i="4" s="1"/>
  <c r="K9" i="4"/>
  <c r="O9" i="4" s="1"/>
  <c r="P9" i="4" s="1"/>
  <c r="K14" i="4"/>
  <c r="O14" i="4" s="1"/>
  <c r="P14" i="4" s="1"/>
  <c r="K16" i="4"/>
  <c r="O16" i="4" s="1"/>
  <c r="P16" i="4" s="1"/>
  <c r="K8" i="4"/>
  <c r="O8" i="4" s="1"/>
  <c r="P8" i="4" s="1"/>
  <c r="K6" i="4"/>
  <c r="O6" i="4" s="1"/>
  <c r="P6" i="4" s="1"/>
  <c r="O11" i="4"/>
  <c r="P11" i="4" s="1"/>
  <c r="M4" i="4"/>
  <c r="NO4" i="9"/>
  <c r="MR4" i="9" l="1"/>
  <c r="NM14" i="4"/>
  <c r="NM16" i="4"/>
  <c r="NM19" i="4"/>
  <c r="NM8" i="4"/>
  <c r="NM7" i="4"/>
  <c r="NM11" i="4"/>
  <c r="NM9" i="4"/>
  <c r="NM6" i="4"/>
  <c r="NM4" i="4"/>
  <c r="G13" i="12" l="1"/>
  <c r="F13" i="12" l="1"/>
  <c r="NI14" i="4"/>
  <c r="G14" i="4" s="1"/>
  <c r="F14" i="4" s="1"/>
  <c r="NJ14" i="4"/>
  <c r="NK14" i="4"/>
  <c r="NN14" i="4"/>
  <c r="H13" i="12" l="1"/>
  <c r="I13" i="12" s="1"/>
  <c r="Q14" i="4"/>
  <c r="R14" i="4" s="1"/>
  <c r="H14" i="4"/>
  <c r="I14" i="4" s="1"/>
  <c r="NL14" i="4"/>
  <c r="NO14" i="4" l="1"/>
  <c r="J14" i="4"/>
  <c r="A14" i="4" a="1"/>
  <c r="A14" i="4" s="1"/>
  <c r="DK14" i="4"/>
  <c r="E13" i="12"/>
  <c r="NK4" i="9"/>
  <c r="M14" i="4" l="1"/>
  <c r="L14" i="4"/>
  <c r="DJ14" i="4"/>
  <c r="MP8" i="6"/>
  <c r="MP11" i="6"/>
  <c r="MP4" i="8"/>
  <c r="MQ16" i="12"/>
  <c r="MS16" i="12"/>
  <c r="MS13" i="6"/>
  <c r="MP4" i="6"/>
  <c r="MP13" i="6"/>
  <c r="MQ8" i="6"/>
  <c r="MS11" i="6"/>
  <c r="MQ11" i="6"/>
  <c r="MS8" i="6"/>
  <c r="MS4" i="6"/>
  <c r="MQ13" i="6"/>
  <c r="MQ4" i="8"/>
  <c r="MS4" i="8"/>
  <c r="MS5" i="7"/>
  <c r="MQ5" i="7"/>
  <c r="MP5" i="7"/>
  <c r="NM4" i="9"/>
  <c r="NP4" i="9"/>
  <c r="NL4" i="9"/>
  <c r="MP16" i="12"/>
  <c r="MQ4" i="6"/>
  <c r="N14" i="4" l="1"/>
  <c r="DI14" i="4"/>
  <c r="DH14" i="4"/>
  <c r="MT5" i="7"/>
  <c r="MT8" i="6"/>
  <c r="MT16" i="12"/>
  <c r="MT11" i="6"/>
  <c r="MT13" i="6"/>
  <c r="MT4" i="8"/>
  <c r="NN4" i="9"/>
  <c r="NQ4" i="9" s="1"/>
  <c r="MT4" i="6"/>
  <c r="LT8" i="6"/>
  <c r="LT13" i="6"/>
  <c r="LT11" i="6"/>
  <c r="S14" i="4" l="1"/>
  <c r="E14" i="4" s="1"/>
  <c r="LT16" i="12"/>
  <c r="U14" i="4" l="1"/>
  <c r="T14" i="4"/>
  <c r="LU4" i="8"/>
  <c r="G4" i="8" s="1"/>
  <c r="LU5" i="7"/>
  <c r="G15" i="12"/>
  <c r="G8" i="12"/>
  <c r="LW16" i="12"/>
  <c r="LU16" i="12"/>
  <c r="CE16" i="12" s="1"/>
  <c r="G9" i="12"/>
  <c r="G5" i="12"/>
  <c r="G16" i="12" l="1"/>
  <c r="F15" i="12"/>
  <c r="F16" i="12"/>
  <c r="F9" i="12"/>
  <c r="F8" i="12"/>
  <c r="F5" i="12"/>
  <c r="G5" i="7"/>
  <c r="J5" i="7"/>
  <c r="K5" i="7" s="1"/>
  <c r="J4" i="8"/>
  <c r="K4" i="8" s="1"/>
  <c r="LX16" i="12"/>
  <c r="CF16" i="12" s="1"/>
  <c r="H16" i="12" l="1"/>
  <c r="I16" i="12" s="1"/>
  <c r="H15" i="12"/>
  <c r="I15" i="12" s="1"/>
  <c r="H9" i="12"/>
  <c r="I9" i="12" s="1"/>
  <c r="H8" i="12"/>
  <c r="I8" i="12" s="1"/>
  <c r="H5" i="12"/>
  <c r="I5" i="12" s="1"/>
  <c r="N5" i="12" l="1"/>
  <c r="O5" i="12" l="1"/>
  <c r="P5" i="12"/>
  <c r="E5" i="12"/>
  <c r="N8" i="12"/>
  <c r="N16" i="12"/>
  <c r="N9" i="12"/>
  <c r="P8" i="12" l="1"/>
  <c r="O8" i="12"/>
  <c r="N15" i="12"/>
  <c r="O9" i="12"/>
  <c r="P9" i="12"/>
  <c r="O16" i="12"/>
  <c r="P16" i="12"/>
  <c r="E8" i="12"/>
  <c r="E9" i="12"/>
  <c r="E16" i="12"/>
  <c r="O15" i="12" l="1"/>
  <c r="P15" i="12"/>
  <c r="E15" i="12"/>
  <c r="A4" i="12"/>
  <c r="A7" i="12"/>
  <c r="A6" i="12"/>
  <c r="A10" i="12"/>
  <c r="A13" i="12"/>
  <c r="A16" i="12"/>
  <c r="A5" i="12"/>
  <c r="A8" i="12"/>
  <c r="A15" i="12"/>
  <c r="A9" i="12"/>
  <c r="LW8" i="6"/>
  <c r="LU8" i="6"/>
  <c r="CE8" i="6" s="1"/>
  <c r="LW11" i="6"/>
  <c r="LU11" i="6"/>
  <c r="CE11" i="6" s="1"/>
  <c r="LW13" i="6"/>
  <c r="LU13" i="6"/>
  <c r="CE13" i="6" s="1"/>
  <c r="D54" i="11" l="1"/>
  <c r="C50" i="11"/>
  <c r="C57" i="11"/>
  <c r="C51" i="11"/>
  <c r="C52" i="11"/>
  <c r="C53" i="11"/>
  <c r="C54" i="11"/>
  <c r="C55" i="11"/>
  <c r="C56" i="11"/>
  <c r="G13" i="6"/>
  <c r="F13" i="6"/>
  <c r="G8" i="6"/>
  <c r="F8" i="6"/>
  <c r="G11" i="6"/>
  <c r="F11" i="6"/>
  <c r="D51" i="11"/>
  <c r="D56" i="11"/>
  <c r="D57" i="11"/>
  <c r="D50" i="11"/>
  <c r="D52" i="11"/>
  <c r="D53" i="11"/>
  <c r="D55" i="11"/>
  <c r="LX8" i="6"/>
  <c r="CF8" i="6" s="1"/>
  <c r="LX13" i="6"/>
  <c r="CF13" i="6" s="1"/>
  <c r="LX11" i="6"/>
  <c r="CF11" i="6" s="1"/>
  <c r="H11" i="6" l="1"/>
  <c r="I11" i="6" s="1"/>
  <c r="H8" i="6"/>
  <c r="I8" i="6" s="1"/>
  <c r="H13" i="6"/>
  <c r="I13" i="6" s="1"/>
  <c r="MN4" i="9"/>
  <c r="NI4" i="4"/>
  <c r="G4" i="4" s="1"/>
  <c r="F4" i="4" s="1"/>
  <c r="NI6" i="4"/>
  <c r="G6" i="4" s="1"/>
  <c r="F6" i="4" s="1"/>
  <c r="NI9" i="4"/>
  <c r="G9" i="4" s="1"/>
  <c r="F9" i="4" s="1"/>
  <c r="NI11" i="4"/>
  <c r="G11" i="4" s="1"/>
  <c r="NI8" i="4"/>
  <c r="G8" i="4" s="1"/>
  <c r="F8" i="4" s="1"/>
  <c r="NI7" i="4"/>
  <c r="G7" i="4" s="1"/>
  <c r="F7" i="4" s="1"/>
  <c r="NI19" i="4"/>
  <c r="G19" i="4" s="1"/>
  <c r="F19" i="4" s="1"/>
  <c r="NI16" i="4"/>
  <c r="G16" i="4" s="1"/>
  <c r="F16" i="4" s="1"/>
  <c r="F11" i="4" l="1"/>
  <c r="G4" i="9"/>
  <c r="F4" i="9" s="1"/>
  <c r="L4" i="8"/>
  <c r="M4" i="8" s="1"/>
  <c r="L5" i="7"/>
  <c r="M5" i="7" s="1"/>
  <c r="Q4" i="9"/>
  <c r="R4" i="9" s="1"/>
  <c r="Q6" i="4" l="1"/>
  <c r="R6" i="4" s="1"/>
  <c r="Q4" i="4"/>
  <c r="R4" i="4" s="1"/>
  <c r="Q9" i="4"/>
  <c r="R9" i="4" s="1"/>
  <c r="Q16" i="4"/>
  <c r="R16" i="4" s="1"/>
  <c r="Q11" i="4"/>
  <c r="R11" i="4" s="1"/>
  <c r="Q7" i="4"/>
  <c r="R7" i="4" s="1"/>
  <c r="Q8" i="4"/>
  <c r="R8" i="4" s="1"/>
  <c r="Q19" i="4"/>
  <c r="R19" i="4" s="1"/>
  <c r="K4" i="9" l="1"/>
  <c r="L4" i="9" s="1"/>
  <c r="CE5" i="7"/>
  <c r="CE4" i="8"/>
  <c r="M7" i="4" l="1"/>
  <c r="L7" i="4"/>
  <c r="L8" i="4"/>
  <c r="M8" i="4"/>
  <c r="L11" i="4"/>
  <c r="M11" i="4"/>
  <c r="M16" i="4"/>
  <c r="L16" i="4"/>
  <c r="L4" i="4"/>
  <c r="M9" i="4"/>
  <c r="L9" i="4"/>
  <c r="M19" i="4"/>
  <c r="L19" i="4"/>
  <c r="L6" i="4"/>
  <c r="M6" i="4"/>
  <c r="M4" i="9"/>
  <c r="O4" i="9"/>
  <c r="N11" i="4" l="1"/>
  <c r="N6" i="4"/>
  <c r="N16" i="4"/>
  <c r="N8" i="4"/>
  <c r="N9" i="4"/>
  <c r="N4" i="4"/>
  <c r="N19" i="4"/>
  <c r="N7" i="4"/>
  <c r="P4" i="9"/>
  <c r="N4" i="9"/>
  <c r="MO4" i="9"/>
  <c r="MP4" i="9"/>
  <c r="MS4" i="9"/>
  <c r="H4" i="9" l="1"/>
  <c r="I4" i="9" s="1"/>
  <c r="CP4" i="9"/>
  <c r="CN4" i="9"/>
  <c r="CM4" i="9"/>
  <c r="MQ4" i="9"/>
  <c r="J4" i="9" s="1"/>
  <c r="MT4" i="9" l="1"/>
  <c r="CO4" i="9"/>
  <c r="S4" i="9" l="1"/>
  <c r="U4" i="9" s="1"/>
  <c r="E4" i="9" l="1"/>
  <c r="T4" i="9"/>
  <c r="NJ4" i="4" l="1"/>
  <c r="NK4" i="4"/>
  <c r="NN4" i="4"/>
  <c r="DI4" i="4" l="1"/>
  <c r="H4" i="4"/>
  <c r="DH4" i="4"/>
  <c r="DK4" i="4"/>
  <c r="NL4" i="4"/>
  <c r="J4" i="4" s="1"/>
  <c r="I4" i="4" l="1"/>
  <c r="NO4" i="4"/>
  <c r="DJ4" i="4"/>
  <c r="S4" i="4" l="1"/>
  <c r="U4" i="4" s="1"/>
  <c r="T4" i="4" l="1"/>
  <c r="E4" i="4"/>
  <c r="LW4" i="8" l="1"/>
  <c r="LT4" i="8"/>
  <c r="F4" i="8" l="1"/>
  <c r="CF4" i="8"/>
  <c r="LX4" i="8"/>
  <c r="NN11" i="4"/>
  <c r="NK11" i="4"/>
  <c r="NJ11" i="4"/>
  <c r="NN16" i="4"/>
  <c r="NK16" i="4"/>
  <c r="NJ16" i="4"/>
  <c r="H4" i="8" l="1"/>
  <c r="I4" i="8" s="1"/>
  <c r="DI16" i="4"/>
  <c r="DI11" i="4"/>
  <c r="DH16" i="4"/>
  <c r="DK16" i="4"/>
  <c r="DH11" i="4"/>
  <c r="DK11" i="4"/>
  <c r="NL16" i="4"/>
  <c r="NL11" i="4"/>
  <c r="H16" i="4" l="1"/>
  <c r="J16" i="4"/>
  <c r="H11" i="4"/>
  <c r="J11" i="4"/>
  <c r="NO11" i="4"/>
  <c r="NO16" i="4"/>
  <c r="DJ11" i="4"/>
  <c r="DJ16" i="4"/>
  <c r="I11" i="4" l="1"/>
  <c r="I16" i="4"/>
  <c r="A16" i="4" a="1"/>
  <c r="A16" i="4" s="1"/>
  <c r="S16" i="4"/>
  <c r="U16" i="4" s="1"/>
  <c r="N13" i="6"/>
  <c r="P13" i="6" s="1"/>
  <c r="O13" i="6" l="1"/>
  <c r="T16" i="4"/>
  <c r="E16" i="4"/>
  <c r="N4" i="8"/>
  <c r="P4" i="8" s="1"/>
  <c r="E13" i="6"/>
  <c r="NJ8" i="4"/>
  <c r="NK8" i="4"/>
  <c r="NN8" i="4"/>
  <c r="NJ6" i="4"/>
  <c r="NK6" i="4"/>
  <c r="NN6" i="4"/>
  <c r="NJ9" i="4"/>
  <c r="NK9" i="4"/>
  <c r="NN9" i="4"/>
  <c r="NJ7" i="4"/>
  <c r="NK7" i="4"/>
  <c r="NN7" i="4"/>
  <c r="NJ19" i="4"/>
  <c r="NK19" i="4"/>
  <c r="NN19" i="4"/>
  <c r="LW5" i="7"/>
  <c r="LT5" i="7"/>
  <c r="F5" i="7" l="1"/>
  <c r="O4" i="8"/>
  <c r="DI7" i="4"/>
  <c r="DK9" i="4"/>
  <c r="DH9" i="4"/>
  <c r="CF5" i="7"/>
  <c r="DK6" i="4"/>
  <c r="DH6" i="4"/>
  <c r="DH8" i="4"/>
  <c r="DK19" i="4"/>
  <c r="DH19" i="4"/>
  <c r="DK7" i="4"/>
  <c r="DH7" i="4"/>
  <c r="DI9" i="4"/>
  <c r="DI6" i="4"/>
  <c r="DK8" i="4"/>
  <c r="DI19" i="4"/>
  <c r="DI8" i="4"/>
  <c r="S11" i="4"/>
  <c r="U11" i="4" s="1"/>
  <c r="E4" i="8"/>
  <c r="A7" i="8" s="1"/>
  <c r="NL8" i="4"/>
  <c r="NL19" i="4"/>
  <c r="NL9" i="4"/>
  <c r="LX5" i="7"/>
  <c r="NL7" i="4"/>
  <c r="NL6" i="4"/>
  <c r="H5" i="7" l="1"/>
  <c r="I5" i="7" s="1"/>
  <c r="H7" i="4"/>
  <c r="I7" i="4" s="1"/>
  <c r="J7" i="4"/>
  <c r="H19" i="4"/>
  <c r="I19" i="4" s="1"/>
  <c r="J19" i="4"/>
  <c r="H9" i="4"/>
  <c r="I9" i="4" s="1"/>
  <c r="J9" i="4"/>
  <c r="H8" i="4"/>
  <c r="I8" i="4" s="1"/>
  <c r="J8" i="4"/>
  <c r="H6" i="4"/>
  <c r="J6" i="4"/>
  <c r="NO8" i="4"/>
  <c r="NO7" i="4"/>
  <c r="NO9" i="4"/>
  <c r="NO6" i="4"/>
  <c r="NO19" i="4"/>
  <c r="A5" i="7"/>
  <c r="N5" i="7"/>
  <c r="P5" i="7" s="1"/>
  <c r="DJ9" i="4"/>
  <c r="DJ8" i="4"/>
  <c r="DJ19" i="4"/>
  <c r="DJ6" i="4"/>
  <c r="DJ7" i="4"/>
  <c r="T11" i="4"/>
  <c r="E11" i="4"/>
  <c r="I6" i="4" l="1"/>
  <c r="O5" i="7"/>
  <c r="E5" i="7"/>
  <c r="A4" i="7" s="1"/>
  <c r="N11" i="6"/>
  <c r="P11" i="6" s="1"/>
  <c r="O11" i="6" l="1"/>
  <c r="N8" i="6"/>
  <c r="P8" i="6" s="1"/>
  <c r="S9" i="4"/>
  <c r="U9" i="4" s="1"/>
  <c r="E11" i="6"/>
  <c r="S19" i="4"/>
  <c r="U19" i="4" s="1"/>
  <c r="S7" i="4"/>
  <c r="U7" i="4" s="1"/>
  <c r="O8" i="6" l="1"/>
  <c r="T9" i="4"/>
  <c r="E9" i="4"/>
  <c r="S6" i="4"/>
  <c r="U6" i="4" s="1"/>
  <c r="S8" i="4"/>
  <c r="U8" i="4" s="1"/>
  <c r="T7" i="4"/>
  <c r="E7" i="4"/>
  <c r="T19" i="4"/>
  <c r="E19" i="4"/>
  <c r="E8" i="6"/>
  <c r="A7" i="6" s="1"/>
  <c r="A5" i="6" l="1"/>
  <c r="A6" i="6"/>
  <c r="A4" i="6"/>
  <c r="A6" i="8"/>
  <c r="A8" i="6"/>
  <c r="A11" i="6"/>
  <c r="A13" i="6"/>
  <c r="T8" i="4"/>
  <c r="E8" i="4"/>
  <c r="T6" i="4"/>
  <c r="E6" i="4"/>
  <c r="A4" i="9" a="1"/>
  <c r="A4" i="9" s="1"/>
  <c r="A8" i="4" l="1" a="1"/>
  <c r="A8" i="4" s="1"/>
  <c r="A5" i="4" a="1"/>
  <c r="A5" i="4" s="1"/>
  <c r="A10" i="4" a="1"/>
  <c r="A10" i="4" s="1"/>
  <c r="C19" i="11"/>
  <c r="A19" i="4" a="1"/>
  <c r="A19" i="4" s="1"/>
  <c r="A9" i="4" a="1"/>
  <c r="A9" i="4" s="1"/>
  <c r="A4" i="4" a="1"/>
  <c r="A4" i="4" s="1"/>
  <c r="A7" i="4" a="1"/>
  <c r="A7" i="4" s="1"/>
  <c r="C42" i="11"/>
  <c r="C43" i="11"/>
  <c r="C44" i="11"/>
  <c r="C45" i="11"/>
  <c r="C46" i="11"/>
  <c r="C47" i="11"/>
  <c r="C48" i="11"/>
  <c r="C49" i="11"/>
  <c r="A6" i="4" a="1"/>
  <c r="A6" i="4" s="1"/>
  <c r="A11" i="4" a="1"/>
  <c r="A11" i="4" s="1"/>
  <c r="D43" i="11"/>
  <c r="D44" i="11"/>
  <c r="D45" i="11"/>
  <c r="D49" i="11"/>
  <c r="D42" i="11"/>
  <c r="D46" i="11"/>
  <c r="D47" i="11"/>
  <c r="D48" i="11"/>
  <c r="A4" i="8"/>
  <c r="C26" i="11"/>
  <c r="C18" i="11" l="1"/>
  <c r="C21" i="11"/>
  <c r="C20" i="11"/>
  <c r="C34" i="11"/>
  <c r="C35" i="11"/>
  <c r="C36" i="11"/>
  <c r="C37" i="11"/>
  <c r="C38" i="11"/>
  <c r="C39" i="11"/>
  <c r="C40" i="11"/>
  <c r="C41" i="11"/>
  <c r="C28" i="11"/>
  <c r="C30" i="11"/>
  <c r="C32" i="11"/>
  <c r="C29" i="11"/>
  <c r="C33" i="11"/>
  <c r="C31" i="11"/>
  <c r="C27" i="11"/>
  <c r="D35" i="11"/>
  <c r="D34" i="11"/>
  <c r="D37" i="11"/>
  <c r="D36" i="11"/>
  <c r="D39" i="11"/>
  <c r="D41" i="11"/>
  <c r="D40" i="11"/>
  <c r="D38" i="11"/>
  <c r="D27" i="11"/>
  <c r="D28" i="11"/>
  <c r="D29" i="11"/>
  <c r="D26" i="11"/>
  <c r="D30" i="11"/>
  <c r="D31" i="11"/>
  <c r="D32" i="11"/>
  <c r="D33" i="11"/>
  <c r="D19" i="11"/>
  <c r="D18" i="11"/>
  <c r="D21" i="11"/>
  <c r="D20" i="11"/>
  <c r="D3" i="11"/>
  <c r="D4" i="11"/>
  <c r="C4" i="11"/>
  <c r="D5" i="11"/>
  <c r="C5" i="11"/>
  <c r="C7" i="11"/>
  <c r="C8" i="11"/>
  <c r="C9" i="11"/>
  <c r="D6" i="11"/>
  <c r="C6" i="11"/>
  <c r="C3" i="11"/>
  <c r="D7" i="11"/>
  <c r="D8" i="11"/>
  <c r="D9" i="11"/>
  <c r="D2" i="11"/>
  <c r="C2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<sst xmlns="http://schemas.openxmlformats.org/spreadsheetml/2006/main" count="3794" uniqueCount="147">
  <si>
    <t>Province</t>
  </si>
  <si>
    <t>Rank</t>
  </si>
  <si>
    <t>Total Points</t>
  </si>
  <si>
    <t>ON</t>
  </si>
  <si>
    <t>SOEHN, Keegan</t>
  </si>
  <si>
    <t>AB</t>
  </si>
  <si>
    <t>BC</t>
  </si>
  <si>
    <t>CRANHAM, Jacob</t>
  </si>
  <si>
    <t>SHUH, Nathan</t>
  </si>
  <si>
    <t>QC</t>
  </si>
  <si>
    <t>ARMSTRONG, Mark</t>
  </si>
  <si>
    <t>DD</t>
  </si>
  <si>
    <t>Team Score</t>
  </si>
  <si>
    <t>Standing</t>
  </si>
  <si>
    <t>Best Prelim</t>
  </si>
  <si>
    <t>Best Vol 1</t>
  </si>
  <si>
    <t>Best Vol 2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</si>
  <si>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</si>
  <si>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</si>
  <si>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</si>
  <si>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</si>
  <si>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</si>
  <si>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</si>
  <si>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</si>
  <si>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</si>
  <si>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</si>
  <si>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</si>
  <si>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</si>
  <si>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</si>
  <si>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Prelim DD</t>
  </si>
  <si>
    <t>MÉTHOT, Sophiane</t>
  </si>
  <si>
    <t>MILETTE, Sarah</t>
  </si>
  <si>
    <t>SMITH, Samantha</t>
  </si>
  <si>
    <t>DUNDAS, Bronte</t>
  </si>
  <si>
    <t>TAM, Rachel</t>
  </si>
  <si>
    <t>MacLENNAN, Rosannagh</t>
  </si>
  <si>
    <t>ROUX, Laurence</t>
  </si>
  <si>
    <t>Athlete</t>
  </si>
  <si>
    <t>STIRLING, Trevor</t>
  </si>
  <si>
    <t>Pass 1</t>
  </si>
  <si>
    <t>Penalty</t>
  </si>
  <si>
    <t>Bonus</t>
  </si>
  <si>
    <t>Pass 2</t>
  </si>
  <si>
    <t>Pass 3</t>
  </si>
  <si>
    <t>Pass 4</t>
  </si>
  <si>
    <t>MILLER-BURKO, Jordyn</t>
  </si>
  <si>
    <t>LEFAIVRE, Justin</t>
  </si>
  <si>
    <t>RYANE, Casey</t>
  </si>
  <si>
    <t>Synchro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</si>
  <si>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</si>
  <si>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</si>
  <si>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</si>
  <si>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</si>
  <si>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</si>
  <si>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</si>
  <si>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</si>
  <si>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</si>
  <si>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</si>
  <si>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</si>
  <si>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</si>
  <si>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</si>
  <si>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SYN-M</t>
  </si>
  <si>
    <t>SYN-W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</si>
  <si>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</si>
  <si>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</si>
  <si>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</si>
  <si>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</si>
  <si>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</si>
  <si>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</si>
  <si>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</si>
  <si>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</si>
  <si>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BLAKELY, Zachary</t>
  </si>
  <si>
    <t>HIPEL, Zoe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</si>
  <si>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</si>
  <si>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</si>
  <si>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</si>
  <si>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</si>
  <si>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</si>
  <si>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</si>
  <si>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</si>
  <si>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CHARTIER, Jérémy</t>
  </si>
  <si>
    <t>Optional DD</t>
  </si>
  <si>
    <t>Best International Diff</t>
  </si>
  <si>
    <t>National Team DD and Score</t>
  </si>
  <si>
    <t>Excellence Score</t>
  </si>
  <si>
    <t>4 Pass</t>
  </si>
  <si>
    <t>Excellence DD</t>
  </si>
  <si>
    <t>Potential Injury Score</t>
  </si>
  <si>
    <t>THEODORE, Craig</t>
  </si>
  <si>
    <t>MADIGAN, Mariah</t>
  </si>
  <si>
    <t>BERTHIAUME, Sara-Jade</t>
  </si>
  <si>
    <t>KYFIUK, MacKenzie</t>
  </si>
  <si>
    <t>Finals DD</t>
  </si>
  <si>
    <t>Remove athlete:</t>
  </si>
  <si>
    <t>Delete oldest international competitions</t>
  </si>
  <si>
    <t>AUBIN, Rémi</t>
  </si>
  <si>
    <t>FLYNN, Gabby</t>
  </si>
  <si>
    <t>DODD, Kristina</t>
  </si>
  <si>
    <t>NB</t>
  </si>
  <si>
    <t>RICHARD, Dexter</t>
  </si>
  <si>
    <t>PILLINGER, Taylor</t>
  </si>
  <si>
    <t>LUPISH, Kieran</t>
  </si>
  <si>
    <t>Merit DD</t>
  </si>
  <si>
    <t>Voluntary 3</t>
  </si>
  <si>
    <t>Vol 3</t>
  </si>
  <si>
    <t>Vol 2 DD</t>
  </si>
  <si>
    <t>Vol 3 DD</t>
  </si>
  <si>
    <t>Best Vol 2/3</t>
  </si>
  <si>
    <t>DD Standard</t>
  </si>
  <si>
    <t>Score Standard</t>
  </si>
  <si>
    <t>DD Met</t>
  </si>
  <si>
    <t>LOVE, Ethan</t>
  </si>
  <si>
    <t>NAGANO, Mariko</t>
  </si>
  <si>
    <t>BONHAM, Maja</t>
  </si>
  <si>
    <t>PEDERSEN, Mitchel</t>
  </si>
  <si>
    <t>PHANEUF, Zoe</t>
  </si>
  <si>
    <t>BROWN, Hannah</t>
  </si>
  <si>
    <t>ZUREK, Nolan</t>
  </si>
  <si>
    <t>KARWACKI, Jordan</t>
  </si>
  <si>
    <t>Worlds Eligible</t>
  </si>
  <si>
    <t>SÉROUART, Guillaume</t>
  </si>
  <si>
    <t>2021 2nd Virtual Technical Trial</t>
  </si>
  <si>
    <t>DODD, Gavin</t>
  </si>
  <si>
    <t>POLEGATO, Andrew</t>
  </si>
  <si>
    <t>MASSON, Félix</t>
  </si>
  <si>
    <t>DYKMAN, Matthew</t>
  </si>
  <si>
    <t>BRENNER, Adin</t>
  </si>
  <si>
    <t>BODNAR, Cassidy</t>
  </si>
  <si>
    <t>PARHAR, Jasmine</t>
  </si>
  <si>
    <t>MCLEAN, Declan</t>
  </si>
  <si>
    <t>LEVASSEUR, Nathan</t>
  </si>
  <si>
    <t>SPENCE, Abby</t>
  </si>
  <si>
    <t>Best 4 Pass</t>
  </si>
  <si>
    <t>2021 Elite Canada</t>
  </si>
  <si>
    <t>2020 Olympic Games (July 30, 2021)</t>
  </si>
  <si>
    <t>CARISSE, Jesse</t>
  </si>
  <si>
    <t>DON, Alexander</t>
  </si>
  <si>
    <t>METHERAL, Hannah</t>
  </si>
  <si>
    <t>HOWELL, Kayla</t>
  </si>
  <si>
    <t>DUFOUR, Karine</t>
  </si>
  <si>
    <t>Level Empty</t>
  </si>
  <si>
    <t>2021 World Cup ITA/Olympic Technical Trial (June 4/9)</t>
  </si>
  <si>
    <t>2021 Canadian Championships</t>
  </si>
  <si>
    <t>Canadian Championships</t>
  </si>
  <si>
    <t>DONG, Helen</t>
  </si>
  <si>
    <t>DAWSON, David</t>
  </si>
  <si>
    <t>SOEHN, Kalena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</si>
</sst>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7" x14ac:knownFonts="1">
    <font>
      <sz val="12"/>
      <color theme="1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8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rgb="FFE7E6E6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BFFF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50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0" applyNumberFormat="0" applyFill="0" applyBorder="0" applyAlignment="0" applyProtection="0"/>
  </cellStyleXfs>
  <cellXfs count="152">
    <xf numFmtId="0" fontId="0" fillId="0" borderId="0" xfId="0"/>
    <xf numFmtId="0" fontId="4" fillId="0" borderId="0" xfId="0" applyFont="1" applyBorder="1" applyAlignment="1">
      <alignment horizontal="center"/>
    </xf>
    <xf numFmtId="164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Fill="1"/>
    <xf numFmtId="0" fontId="6" fillId="0" borderId="0" xfId="0" applyFont="1" applyFill="1" applyAlignment="1">
      <alignment horizontal="center"/>
    </xf>
    <xf numFmtId="0" fontId="6" fillId="0" borderId="0" xfId="0" applyFont="1" applyFill="1" applyBorder="1"/>
    <xf numFmtId="0" fontId="0" fillId="3" borderId="0" xfId="0" applyFill="1" applyAlignment="1"/>
    <xf numFmtId="0" fontId="0" fillId="3" borderId="0" xfId="0" applyFill="1"/>
    <xf numFmtId="164" fontId="0" fillId="3" borderId="0" xfId="0" applyNumberFormat="1" applyFill="1"/>
    <xf numFmtId="0" fontId="0" fillId="4" borderId="0" xfId="0" applyFill="1" applyAlignment="1"/>
    <xf numFmtId="0" fontId="0" fillId="4" borderId="0" xfId="0" applyFill="1"/>
    <xf numFmtId="164" fontId="0" fillId="4" borderId="0" xfId="0" applyNumberFormat="1" applyFill="1"/>
    <xf numFmtId="164" fontId="3" fillId="0" borderId="0" xfId="0" applyNumberFormat="1" applyFont="1"/>
    <xf numFmtId="0" fontId="12" fillId="10" borderId="0" xfId="0" applyFont="1" applyFill="1"/>
    <xf numFmtId="0" fontId="12" fillId="11" borderId="0" xfId="0" applyFont="1" applyFill="1"/>
    <xf numFmtId="0" fontId="0" fillId="3" borderId="0" xfId="0" applyFill="1" applyAlignment="1">
      <alignment horizontal="center"/>
    </xf>
    <xf numFmtId="0" fontId="14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12" borderId="0" xfId="0" applyFill="1" applyAlignment="1"/>
    <xf numFmtId="0" fontId="0" fillId="12" borderId="0" xfId="0" applyFill="1"/>
    <xf numFmtId="164" fontId="0" fillId="12" borderId="0" xfId="0" applyNumberFormat="1" applyFill="1"/>
    <xf numFmtId="164" fontId="0" fillId="4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6" fillId="0" borderId="0" xfId="0" applyFont="1" applyBorder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0" fillId="3" borderId="1" xfId="0" applyNumberFormat="1" applyFill="1" applyBorder="1" applyProtection="1">
      <protection locked="0"/>
    </xf>
    <xf numFmtId="164" fontId="0" fillId="4" borderId="1" xfId="0" applyNumberFormat="1" applyFill="1" applyBorder="1" applyProtection="1">
      <protection locked="0"/>
    </xf>
    <xf numFmtId="164" fontId="0" fillId="3" borderId="1" xfId="0" applyNumberFormat="1" applyFont="1" applyFill="1" applyBorder="1" applyProtection="1">
      <protection locked="0"/>
    </xf>
    <xf numFmtId="164" fontId="0" fillId="4" borderId="1" xfId="0" applyNumberFormat="1" applyFont="1" applyFill="1" applyBorder="1" applyProtection="1">
      <protection locked="0"/>
    </xf>
    <xf numFmtId="164" fontId="0" fillId="3" borderId="1" xfId="0" applyNumberFormat="1" applyFill="1" applyBorder="1" applyAlignment="1" applyProtection="1">
      <alignment horizontal="left"/>
      <protection locked="0"/>
    </xf>
    <xf numFmtId="0" fontId="0" fillId="0" borderId="0" xfId="0" applyProtection="1"/>
    <xf numFmtId="164" fontId="12" fillId="10" borderId="1" xfId="0" applyNumberFormat="1" applyFont="1" applyFill="1" applyBorder="1" applyProtection="1">
      <protection locked="0"/>
    </xf>
    <xf numFmtId="164" fontId="12" fillId="11" borderId="1" xfId="0" applyNumberFormat="1" applyFont="1" applyFill="1" applyBorder="1" applyProtection="1">
      <protection locked="0"/>
    </xf>
    <xf numFmtId="164" fontId="6" fillId="3" borderId="1" xfId="1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9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0" fillId="0" borderId="0" xfId="0" applyAlignment="1"/>
    <xf numFmtId="0" fontId="0" fillId="0" borderId="0" xfId="0" applyFill="1"/>
    <xf numFmtId="164" fontId="0" fillId="0" borderId="0" xfId="0" applyNumberFormat="1" applyFill="1"/>
    <xf numFmtId="164" fontId="6" fillId="0" borderId="0" xfId="0" applyNumberFormat="1" applyFont="1" applyFill="1"/>
    <xf numFmtId="0" fontId="6" fillId="0" borderId="0" xfId="0" applyFont="1" applyFill="1" applyAlignme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4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164" fontId="6" fillId="4" borderId="1" xfId="1" applyNumberFormat="1" applyFont="1" applyFill="1" applyBorder="1" applyProtection="1">
      <protection locked="0"/>
    </xf>
    <xf numFmtId="164" fontId="18" fillId="6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10" fillId="7" borderId="0" xfId="0" applyNumberFormat="1" applyFont="1" applyFill="1" applyProtection="1">
      <protection locked="0"/>
    </xf>
    <xf numFmtId="164" fontId="9" fillId="5" borderId="0" xfId="0" applyNumberFormat="1" applyFont="1" applyFill="1" applyProtection="1">
      <protection locked="0"/>
    </xf>
    <xf numFmtId="164" fontId="11" fillId="8" borderId="0" xfId="0" applyNumberFormat="1" applyFont="1" applyFill="1" applyProtection="1">
      <protection locked="0"/>
    </xf>
    <xf numFmtId="164" fontId="6" fillId="3" borderId="1" xfId="0" applyNumberFormat="1" applyFont="1" applyFill="1" applyBorder="1" applyProtection="1">
      <protection locked="0"/>
    </xf>
    <xf numFmtId="0" fontId="18" fillId="6" borderId="0" xfId="0" applyFont="1" applyFill="1" applyAlignment="1"/>
    <xf numFmtId="0" fontId="19" fillId="14" borderId="0" xfId="0" applyFont="1" applyFill="1" applyAlignment="1"/>
    <xf numFmtId="0" fontId="10" fillId="7" borderId="0" xfId="0" applyFont="1" applyFill="1" applyAlignment="1"/>
    <xf numFmtId="0" fontId="9" fillId="5" borderId="0" xfId="0" applyFont="1" applyFill="1" applyAlignment="1"/>
    <xf numFmtId="0" fontId="11" fillId="8" borderId="0" xfId="0" applyFont="1" applyFill="1" applyAlignment="1"/>
    <xf numFmtId="164" fontId="6" fillId="4" borderId="1" xfId="0" applyNumberFormat="1" applyFont="1" applyFill="1" applyBorder="1" applyProtection="1">
      <protection locked="0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20" fillId="3" borderId="1" xfId="0" applyNumberFormat="1" applyFont="1" applyFill="1" applyBorder="1" applyAlignment="1" applyProtection="1">
      <alignment horizontal="center"/>
      <protection locked="0"/>
    </xf>
    <xf numFmtId="164" fontId="20" fillId="4" borderId="1" xfId="0" applyNumberFormat="1" applyFont="1" applyFill="1" applyBorder="1" applyAlignment="1" applyProtection="1">
      <alignment horizontal="center"/>
      <protection locked="0"/>
    </xf>
    <xf numFmtId="0" fontId="17" fillId="0" borderId="0" xfId="0" applyFont="1"/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21" fillId="15" borderId="0" xfId="0" applyFont="1" applyFill="1" applyAlignment="1"/>
    <xf numFmtId="0" fontId="2" fillId="16" borderId="0" xfId="0" applyFont="1" applyFill="1" applyAlignment="1"/>
    <xf numFmtId="164" fontId="21" fillId="15" borderId="0" xfId="0" applyNumberFormat="1" applyFont="1" applyFill="1" applyProtection="1">
      <protection locked="0"/>
    </xf>
    <xf numFmtId="164" fontId="2" fillId="16" borderId="0" xfId="0" applyNumberFormat="1" applyFont="1" applyFill="1" applyProtection="1">
      <protection locked="0"/>
    </xf>
    <xf numFmtId="164" fontId="3" fillId="0" borderId="0" xfId="0" applyNumberFormat="1" applyFont="1" applyFill="1"/>
    <xf numFmtId="0" fontId="5" fillId="0" borderId="0" xfId="0" applyFont="1" applyFill="1" applyAlignment="1">
      <alignment horizontal="center"/>
    </xf>
    <xf numFmtId="164" fontId="0" fillId="0" borderId="0" xfId="0" applyNumberFormat="1" applyFill="1" applyAlignment="1">
      <alignment horizontal="center"/>
    </xf>
    <xf numFmtId="164" fontId="6" fillId="0" borderId="0" xfId="0" applyNumberFormat="1" applyFont="1" applyFill="1" applyBorder="1" applyProtection="1">
      <protection locked="0"/>
    </xf>
    <xf numFmtId="164" fontId="20" fillId="0" borderId="0" xfId="0" applyNumberFormat="1" applyFont="1" applyFill="1" applyBorder="1" applyAlignment="1" applyProtection="1">
      <alignment horizontal="center"/>
      <protection locked="0"/>
    </xf>
    <xf numFmtId="164" fontId="0" fillId="0" borderId="0" xfId="0" applyNumberFormat="1" applyFill="1" applyBorder="1" applyProtection="1">
      <protection locked="0"/>
    </xf>
    <xf numFmtId="164" fontId="12" fillId="0" borderId="0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164" fontId="21" fillId="15" borderId="0" xfId="0" applyNumberFormat="1" applyFont="1" applyFill="1" applyAlignment="1" applyProtection="1">
      <protection locked="0"/>
    </xf>
    <xf numFmtId="164" fontId="2" fillId="16" borderId="0" xfId="0" applyNumberFormat="1" applyFont="1" applyFill="1" applyAlignment="1" applyProtection="1">
      <protection locked="0"/>
    </xf>
    <xf numFmtId="164" fontId="21" fillId="17" borderId="0" xfId="0" applyNumberFormat="1" applyFont="1" applyFill="1" applyProtection="1">
      <protection locked="0"/>
    </xf>
    <xf numFmtId="0" fontId="0" fillId="0" borderId="0" xfId="0" applyFill="1" applyBorder="1" applyAlignment="1"/>
    <xf numFmtId="164" fontId="23" fillId="3" borderId="1" xfId="0" applyNumberFormat="1" applyFont="1" applyFill="1" applyBorder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2" fillId="11" borderId="0" xfId="0" applyFont="1" applyFill="1" applyAlignment="1">
      <alignment horizontal="center"/>
    </xf>
    <xf numFmtId="0" fontId="12" fillId="10" borderId="0" xfId="0" applyFont="1" applyFill="1" applyAlignment="1">
      <alignment horizontal="center"/>
    </xf>
    <xf numFmtId="0" fontId="24" fillId="18" borderId="0" xfId="0" applyFont="1" applyFill="1" applyAlignment="1"/>
    <xf numFmtId="164" fontId="24" fillId="18" borderId="0" xfId="0" applyNumberFormat="1" applyFont="1" applyFill="1" applyProtection="1">
      <protection locked="0"/>
    </xf>
    <xf numFmtId="0" fontId="26" fillId="5" borderId="0" xfId="0" applyFont="1" applyFill="1" applyAlignment="1"/>
    <xf numFmtId="164" fontId="26" fillId="5" borderId="0" xfId="0" applyNumberFormat="1" applyFont="1" applyFill="1" applyProtection="1">
      <protection locked="0"/>
    </xf>
    <xf numFmtId="0" fontId="25" fillId="19" borderId="0" xfId="0" applyFont="1" applyFill="1" applyAlignment="1"/>
    <xf numFmtId="164" fontId="25" fillId="19" borderId="0" xfId="0" applyNumberFormat="1" applyFont="1" applyFill="1" applyProtection="1">
      <protection locked="0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164" fontId="6" fillId="0" borderId="0" xfId="0" applyNumberFormat="1" applyFont="1" applyFill="1" applyProtection="1">
      <protection locked="0"/>
    </xf>
    <xf numFmtId="0" fontId="0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/>
    <xf numFmtId="0" fontId="0" fillId="4" borderId="0" xfId="0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 applyFill="1" applyAlignment="1">
      <alignment horizontal="right"/>
    </xf>
    <xf numFmtId="0" fontId="12" fillId="0" borderId="0" xfId="0" applyFont="1" applyAlignment="1">
      <alignment horizontal="right"/>
    </xf>
    <xf numFmtId="0" fontId="0" fillId="0" borderId="0" xfId="0" applyFill="1" applyAlignment="1">
      <alignment horizontal="center"/>
    </xf>
    <xf numFmtId="164" fontId="12" fillId="0" borderId="0" xfId="0" applyNumberFormat="1" applyFont="1" applyAlignment="1">
      <alignment horizontal="right"/>
    </xf>
    <xf numFmtId="0" fontId="0" fillId="4" borderId="0" xfId="0" applyFill="1" applyAlignment="1">
      <alignment horizontal="center"/>
    </xf>
    <xf numFmtId="165" fontId="0" fillId="0" borderId="0" xfId="0" applyNumberFormat="1" applyAlignment="1">
      <alignment horizontal="left"/>
    </xf>
    <xf numFmtId="0" fontId="0" fillId="4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3" fillId="3" borderId="0" xfId="0" applyFont="1" applyFill="1" applyAlignment="1" applyProtection="1">
      <alignment horizontal="center"/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3" fillId="12" borderId="0" xfId="0" applyFont="1" applyFill="1" applyAlignment="1" applyProtection="1">
      <alignment horizontal="center"/>
      <protection locked="0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4" borderId="0" xfId="0" applyFont="1" applyFill="1" applyAlignment="1">
      <alignment vertical="center"/>
    </xf>
    <xf numFmtId="0" fontId="12" fillId="11" borderId="0" xfId="0" applyFont="1" applyFill="1" applyAlignment="1">
      <alignment horizontal="center"/>
    </xf>
    <xf numFmtId="0" fontId="12" fillId="3" borderId="0" xfId="0" applyFont="1" applyFill="1" applyAlignment="1">
      <alignment horizontal="center"/>
    </xf>
    <xf numFmtId="0" fontId="12" fillId="4" borderId="0" xfId="0" applyFont="1" applyFill="1" applyAlignment="1">
      <alignment horizontal="center"/>
    </xf>
    <xf numFmtId="0" fontId="3" fillId="0" borderId="0" xfId="0" applyFont="1" applyAlignment="1">
      <alignment horizontal="center" vertical="center" wrapText="1"/>
    </xf>
    <xf numFmtId="0" fontId="3" fillId="4" borderId="0" xfId="0" applyFont="1" applyFill="1" applyAlignment="1">
      <alignment horizontal="center" vertical="center" wrapText="1"/>
    </xf>
    <xf numFmtId="0" fontId="13" fillId="10" borderId="0" xfId="0" applyFont="1" applyFill="1" applyAlignment="1" applyProtection="1">
      <alignment horizontal="center"/>
      <protection locked="0"/>
    </xf>
    <xf numFmtId="0" fontId="12" fillId="10" borderId="0" xfId="0" applyFont="1" applyFill="1" applyAlignment="1">
      <alignment horizontal="center"/>
    </xf>
    <xf numFmtId="0" fontId="13" fillId="11" borderId="0" xfId="0" applyFont="1" applyFill="1" applyAlignment="1" applyProtection="1">
      <alignment horizontal="center"/>
      <protection locked="0"/>
    </xf>
  </cellXfs>
  <cellStyles count="50">
    <cellStyle name="Bad" xfId="1" builtinId="27"/>
    <cellStyle name="Followed Hyperlink" xfId="3" builtinId="9" hidden="1"/>
    <cellStyle name="Followed Hyperlink" xfId="5" builtinId="9" hidden="1"/>
    <cellStyle name="Followed Hyperlink" xfId="7" builtinId="9" hidden="1"/>
    <cellStyle name="Followed Hyperlink" xfId="9" builtinId="9" hidden="1"/>
    <cellStyle name="Followed Hyperlink" xfId="11" builtinId="9" hidden="1"/>
    <cellStyle name="Followed Hyperlink" xfId="13" builtinId="9" hidden="1"/>
    <cellStyle name="Followed Hyperlink" xfId="15" builtinId="9" hidden="1"/>
    <cellStyle name="Followed Hyperlink" xfId="17" builtinId="9" hidden="1"/>
    <cellStyle name="Followed Hyperlink" xfId="19" builtinId="9" hidden="1"/>
    <cellStyle name="Followed Hyperlink" xfId="21" builtinId="9" hidden="1"/>
    <cellStyle name="Followed Hyperlink" xfId="23" builtinId="9" hidden="1"/>
    <cellStyle name="Followed Hyperlink" xfId="25" builtinId="9" hidden="1"/>
    <cellStyle name="Followed Hyperlink" xfId="27" builtinId="9" hidden="1"/>
    <cellStyle name="Followed Hyperlink" xfId="29" builtinId="9" hidden="1"/>
    <cellStyle name="Followed Hyperlink" xfId="31" builtinId="9" hidden="1"/>
    <cellStyle name="Followed Hyperlink" xfId="33" builtinId="9" hidden="1"/>
    <cellStyle name="Followed Hyperlink" xfId="35" builtinId="9" hidden="1"/>
    <cellStyle name="Followed Hyperlink" xfId="37" builtinId="9" hidden="1"/>
    <cellStyle name="Followed Hyperlink" xfId="39" builtinId="9" hidden="1"/>
    <cellStyle name="Followed Hyperlink" xfId="41" builtinId="9" hidden="1"/>
    <cellStyle name="Followed Hyperlink" xfId="43" builtinId="9" hidden="1"/>
    <cellStyle name="Followed Hyperlink" xfId="45" builtinId="9" hidden="1"/>
    <cellStyle name="Followed Hyperlink" xfId="47" builtinId="9" hidden="1"/>
    <cellStyle name="Followed Hyperlink" xfId="49" builtinId="9" hidden="1"/>
    <cellStyle name="Hyperlink" xfId="2" builtinId="8" hidden="1"/>
    <cellStyle name="Hyperlink" xfId="4" builtinId="8" hidden="1"/>
    <cellStyle name="Hyperlink" xfId="6" builtinId="8" hidden="1"/>
    <cellStyle name="Hyperlink" xfId="8" builtinId="8" hidden="1"/>
    <cellStyle name="Hyperlink" xfId="10" builtinId="8" hidden="1"/>
    <cellStyle name="Hyperlink" xfId="12" builtinId="8" hidden="1"/>
    <cellStyle name="Hyperlink" xfId="14" builtinId="8" hidden="1"/>
    <cellStyle name="Hyperlink" xfId="16" builtinId="8" hidden="1"/>
    <cellStyle name="Hyperlink" xfId="18" builtinId="8" hidden="1"/>
    <cellStyle name="Hyperlink" xfId="20" builtinId="8" hidden="1"/>
    <cellStyle name="Hyperlink" xfId="22" builtinId="8" hidden="1"/>
    <cellStyle name="Hyperlink" xfId="24" builtinId="8" hidden="1"/>
    <cellStyle name="Hyperlink" xfId="26" builtinId="8" hidden="1"/>
    <cellStyle name="Hyperlink" xfId="28" builtinId="8" hidden="1"/>
    <cellStyle name="Hyperlink" xfId="30" builtinId="8" hidden="1"/>
    <cellStyle name="Hyperlink" xfId="32" builtinId="8" hidden="1"/>
    <cellStyle name="Hyperlink" xfId="34" builtinId="8" hidden="1"/>
    <cellStyle name="Hyperlink" xfId="36" builtinId="8" hidden="1"/>
    <cellStyle name="Hyperlink" xfId="38" builtinId="8" hidden="1"/>
    <cellStyle name="Hyperlink" xfId="40" builtinId="8" hidden="1"/>
    <cellStyle name="Hyperlink" xfId="42" builtinId="8" hidden="1"/>
    <cellStyle name="Hyperlink" xfId="44" builtinId="8" hidden="1"/>
    <cellStyle name="Hyperlink" xfId="46" builtinId="8" hidden="1"/>
    <cellStyle name="Hyperlink" xfId="48" builtinId="8" hidden="1"/>
    <cellStyle name="Normal" xfId="0" builtinId="0"/>
  </cellStyles>
  <dxfs count="215">
    <dxf>
      <font>
        <color rgb="FF07B459"/>
      </font>
      <fill>
        <patternFill>
          <bgColor rgb="FFE3EFD9"/>
        </patternFill>
      </fill>
    </dxf>
    <dxf>
      <font>
        <color rgb="FF14B3F0"/>
      </font>
      <fill>
        <patternFill>
          <bgColor rgb="FFDDEBF8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strike val="0"/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B000"/>
      </font>
      <fill>
        <patternFill>
          <bgColor theme="7" tint="0.79998168889431442"/>
        </patternFill>
      </fill>
    </dxf>
    <dxf>
      <font>
        <u val="none"/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C000"/>
      </font>
      <fill>
        <patternFill>
          <bgColor theme="7" tint="0.79998168889431442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9C0006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AF00"/>
      <color rgb="FFFF7000"/>
      <color rgb="FFFFD1AD"/>
      <color rgb="FFFFB5B7"/>
      <color rgb="FFFF03FD"/>
      <color rgb="FFFFBFFE"/>
      <color rgb="FFFFF3CC"/>
      <color rgb="FFFF0E0D"/>
      <color rgb="FFE6C6FB"/>
      <color rgb="FFB4C6E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58</xdr:row>
          <xdr:rowOff>25400</xdr:rowOff>
        </xdr:from>
        <xdr:to>
          <xdr:col>0</xdr:col>
          <xdr:colOff>965200</xdr:colOff>
          <xdr:row>58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59</xdr:row>
          <xdr:rowOff>25400</xdr:rowOff>
        </xdr:from>
        <xdr:to>
          <xdr:col>0</xdr:col>
          <xdr:colOff>965200</xdr:colOff>
          <xdr:row>59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60</xdr:row>
          <xdr:rowOff>38100</xdr:rowOff>
        </xdr:from>
        <xdr:to>
          <xdr:col>0</xdr:col>
          <xdr:colOff>965200</xdr:colOff>
          <xdr:row>60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61</xdr:row>
          <xdr:rowOff>25400</xdr:rowOff>
        </xdr:from>
        <xdr:to>
          <xdr:col>0</xdr:col>
          <xdr:colOff>977900</xdr:colOff>
          <xdr:row>61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63</xdr:row>
          <xdr:rowOff>25400</xdr:rowOff>
        </xdr:from>
        <xdr:to>
          <xdr:col>0</xdr:col>
          <xdr:colOff>977900</xdr:colOff>
          <xdr:row>63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64</xdr:row>
          <xdr:rowOff>25400</xdr:rowOff>
        </xdr:from>
        <xdr:to>
          <xdr:col>0</xdr:col>
          <xdr:colOff>965200</xdr:colOff>
          <xdr:row>64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62</xdr:row>
          <xdr:rowOff>25400</xdr:rowOff>
        </xdr:from>
        <xdr:to>
          <xdr:col>0</xdr:col>
          <xdr:colOff>977900</xdr:colOff>
          <xdr:row>62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L71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bestFit="1" customWidth="1"/>
    <col min="7" max="7" width="25.1640625" bestFit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12" x14ac:dyDescent="0.2">
      <c r="A1" t="s">
        <v>56</v>
      </c>
      <c r="B1" t="s">
        <v>1</v>
      </c>
      <c r="C1" t="s">
        <v>58</v>
      </c>
      <c r="D1" s="126" t="s">
        <v>13</v>
      </c>
      <c r="E1" s="52"/>
      <c r="F1" s="52"/>
      <c r="J1" s="52"/>
      <c r="K1" s="52"/>
      <c r="L1" s="52"/>
    </row>
    <row r="2" spans="1:12" x14ac:dyDescent="0.2">
      <c r="A2" s="10" t="s">
        <v>57</v>
      </c>
      <c r="B2" s="10">
        <v>1</v>
      </c>
      <c r="C2" s="10" t="str">
        <f>IF(B2&gt;MAX('TRA-M'!A:A),"",INDEX('TRA-M'!B:B,MATCH(B2,'TRA-M'!A:A,0)))</f>
        <v>CHARTIER, Jérémy</v>
      </c>
      <c r="D2" s="122" t="str">
        <f>IF(B2&gt;MAX('TRA-M'!A:A),"",INDEX('TRA-M'!I:I,MATCH(B2,'TRA-M'!A:A,0)))</f>
        <v>Excellence</v>
      </c>
      <c r="E2" s="26"/>
      <c r="F2" s="26"/>
    </row>
    <row r="3" spans="1:12" x14ac:dyDescent="0.2">
      <c r="A3" s="10"/>
      <c r="B3" s="10">
        <v>2</v>
      </c>
      <c r="C3" s="10" t="str">
        <f>IF(B3&gt;MAX('TRA-M'!A:A),"",INDEX('TRA-M'!B:B,MATCH(B3,'TRA-M'!A:A,0)))</f>
        <v>AUBIN, Rémi</v>
      </c>
      <c r="D3" s="122" t="str">
        <f>IF(B3&gt;MAX('TRA-M'!A:A),"",INDEX('TRA-M'!I:I,MATCH(B3,'TRA-M'!A:A,0)))</f>
        <v>Excellence</v>
      </c>
      <c r="E3" s="26"/>
      <c r="F3" s="26"/>
    </row>
    <row r="4" spans="1:12" x14ac:dyDescent="0.2">
      <c r="A4" s="10"/>
      <c r="B4" s="10">
        <v>3</v>
      </c>
      <c r="C4" s="10" t="str">
        <f>IF(B4&gt;MAX('TRA-M'!A:A),"",INDEX('TRA-M'!B:B,MATCH(B4,'TRA-M'!A:A,0)))</f>
        <v>SOEHN, Keegan</v>
      </c>
      <c r="D4" s="122" t="str">
        <f>IF(B4&gt;MAX('TRA-M'!A:A),"",INDEX('TRA-M'!I:I,MATCH(B4,'TRA-M'!A:A,0)))</f>
        <v>Worlds Team</v>
      </c>
      <c r="E4" s="26"/>
      <c r="F4" s="26"/>
    </row>
    <row r="5" spans="1:12" x14ac:dyDescent="0.2">
      <c r="A5" s="10"/>
      <c r="B5" s="10">
        <v>4</v>
      </c>
      <c r="C5" s="10" t="str">
        <f>IF(B5&gt;MAX('TRA-M'!A:A),"",INDEX('TRA-M'!B:B,MATCH(B5,'TRA-M'!A:A,0)))</f>
        <v>SHUH, Nathan</v>
      </c>
      <c r="D5" s="122" t="str">
        <f>IF(B5&gt;MAX('TRA-M'!A:A),"",INDEX('TRA-M'!I:I,MATCH(B5,'TRA-M'!A:A,0)))</f>
        <v>Worlds Team</v>
      </c>
    </row>
    <row r="6" spans="1:12" x14ac:dyDescent="0.2">
      <c r="A6" s="10"/>
      <c r="B6" s="10">
        <v>5</v>
      </c>
      <c r="C6" s="10" t="str">
        <f>IF(B6&gt;MAX('TRA-M'!A:A),"",INDEX('TRA-M'!B:B,MATCH(B6,'TRA-M'!A:A,0)))</f>
        <v>STIRLING, Trevor</v>
      </c>
      <c r="D6" s="122" t="str">
        <f>IF(B6&gt;MAX('TRA-M'!A:A),"",INDEX('TRA-M'!I:I,MATCH(B6,'TRA-M'!A:A,0)))</f>
        <v>Worlds Team</v>
      </c>
    </row>
    <row r="7" spans="1:12" x14ac:dyDescent="0.2">
      <c r="A7" s="10"/>
      <c r="B7" s="10">
        <v>6</v>
      </c>
      <c r="C7" s="10" t="str">
        <f>IF(B7&gt;MAX('TRA-M'!A:A),"",INDEX('TRA-M'!B:B,MATCH(B7,'TRA-M'!A:A,0)))</f>
        <v>CRANHAM, Jacob</v>
      </c>
      <c r="D7" s="122" t="str">
        <f>IF(B7&gt;MAX('TRA-M'!A:A),"",INDEX('TRA-M'!I:I,MATCH(B7,'TRA-M'!A:A,0)))</f>
        <v>Worlds Team</v>
      </c>
      <c r="G7" s="53"/>
    </row>
    <row r="8" spans="1:12" x14ac:dyDescent="0.2">
      <c r="A8" s="10"/>
      <c r="B8" s="10">
        <v>7</v>
      </c>
      <c r="C8" s="10" t="str">
        <f>IF(B8&gt;MAX('TRA-M'!A:A),"",INDEX('TRA-M'!B:B,MATCH(B8,'TRA-M'!A:A,0)))</f>
        <v>CARISSE, Jesse</v>
      </c>
      <c r="D8" s="122" t="str">
        <f>IF(B8&gt;MAX('TRA-M'!A:A),"",INDEX('TRA-M'!I:I,MATCH(B8,'TRA-M'!A:A,0)))</f>
        <v>National Team</v>
      </c>
      <c r="G8" s="53"/>
    </row>
    <row r="9" spans="1:12" hidden="1" x14ac:dyDescent="0.2">
      <c r="A9" s="10"/>
      <c r="B9" s="10">
        <v>8</v>
      </c>
      <c r="C9" s="10" t="str">
        <f>IF(B9&gt;MAX('TRA-M'!A:A),"",INDEX('TRA-M'!B:B,MATCH(B9,'TRA-M'!A:A,0)))</f>
        <v/>
      </c>
      <c r="D9" s="122" t="str">
        <f>IF(B9&gt;MAX('TRA-M'!A:A),"",INDEX('TRA-M'!I:I,MATCH(B9,'TRA-M'!A:A,0)))</f>
        <v/>
      </c>
    </row>
    <row r="10" spans="1:12" x14ac:dyDescent="0.2">
      <c r="A10" s="13" t="s">
        <v>60</v>
      </c>
      <c r="B10" s="13">
        <v>1</v>
      </c>
      <c r="C10" s="13" t="str">
        <f>IF(B2&gt;MAX('TRA-W'!A:A),"",INDEX('TRA-W'!B:B,MATCH(B2,'TRA-W'!A:A,0)))</f>
        <v>MacLENNAN, Rosannagh</v>
      </c>
      <c r="D10" s="123" t="str">
        <f>IF(B2&gt;MAX('TRA-W'!A:A),"",INDEX('TRA-W'!I:I,MATCH(B2,'TRA-W'!A:A,0)))</f>
        <v>Merit</v>
      </c>
    </row>
    <row r="11" spans="1:12" x14ac:dyDescent="0.2">
      <c r="A11" s="13"/>
      <c r="B11" s="13">
        <v>2</v>
      </c>
      <c r="C11" s="13" t="str">
        <f>IF(B3&gt;MAX('TRA-W'!A:A),"",INDEX('TRA-W'!B:B,MATCH(B3,'TRA-W'!A:A,0)))</f>
        <v>MILETTE, Sarah</v>
      </c>
      <c r="D11" s="128" t="str">
        <f>IF(B3&gt;MAX('TRA-W'!A:A),"",INDEX('TRA-W'!I:I,MATCH(B3,'TRA-W'!A:A,0)))</f>
        <v>Merit</v>
      </c>
    </row>
    <row r="12" spans="1:12" x14ac:dyDescent="0.2">
      <c r="A12" s="13"/>
      <c r="B12" s="13">
        <v>3</v>
      </c>
      <c r="C12" s="13" t="str">
        <f>IF(B4&gt;MAX('TRA-W'!A:A),"",INDEX('TRA-W'!B:B,MATCH(B4,'TRA-W'!A:A,0)))</f>
        <v>MÉTHOT, Sophiane</v>
      </c>
      <c r="D12" s="128" t="str">
        <f>IF(B4&gt;MAX('TRA-W'!A:A),"",INDEX('TRA-W'!I:I,MATCH(B4,'TRA-W'!A:A,0)))</f>
        <v>Merit</v>
      </c>
    </row>
    <row r="13" spans="1:12" x14ac:dyDescent="0.2">
      <c r="A13" s="13"/>
      <c r="B13" s="13">
        <v>4</v>
      </c>
      <c r="C13" s="13" t="str">
        <f>IF(B5&gt;MAX('TRA-W'!A:A),"",INDEX('TRA-W'!B:B,MATCH(B5,'TRA-W'!A:A,0)))</f>
        <v>TAM, Rachel</v>
      </c>
      <c r="D13" s="128" t="str">
        <f>IF(B5&gt;MAX('TRA-W'!A:A),"",INDEX('TRA-W'!I:I,MATCH(B5,'TRA-W'!A:A,0)))</f>
        <v>Merit</v>
      </c>
    </row>
    <row r="14" spans="1:12" x14ac:dyDescent="0.2">
      <c r="A14" s="13"/>
      <c r="B14" s="13">
        <v>5</v>
      </c>
      <c r="C14" s="13" t="str">
        <f>IF(B6&gt;MAX('TRA-W'!A:A),"",INDEX('TRA-W'!B:B,MATCH(B6,'TRA-W'!A:A,0)))</f>
        <v>SMITH, Samantha</v>
      </c>
      <c r="D14" s="128" t="str">
        <f>IF(B6&gt;MAX('TRA-W'!A:A),"",INDEX('TRA-W'!I:I,MATCH(B6,'TRA-W'!A:A,0)))</f>
        <v>Merit</v>
      </c>
    </row>
    <row r="15" spans="1:12" x14ac:dyDescent="0.2">
      <c r="A15" s="13"/>
      <c r="B15" s="13">
        <v>6</v>
      </c>
      <c r="C15" s="13" t="str">
        <f>IF(B7&gt;MAX('TRA-W'!A:A),"",INDEX('TRA-W'!B:B,MATCH(B7,'TRA-W'!A:A,0)))</f>
        <v>BERTHIAUME, Sara-Jade</v>
      </c>
      <c r="D15" s="128" t="str">
        <f>IF(B7&gt;MAX('TRA-W'!A:A),"",INDEX('TRA-W'!I:I,MATCH(B7,'TRA-W'!A:A,0)))</f>
        <v>National Team</v>
      </c>
    </row>
    <row r="16" spans="1:12" x14ac:dyDescent="0.2">
      <c r="A16" s="13"/>
      <c r="B16" s="13">
        <v>7</v>
      </c>
      <c r="C16" s="13" t="str">
        <f>IF(B8&gt;MAX('TRA-W'!A:A),"",INDEX('TRA-W'!B:B,MATCH(B8,'TRA-W'!A:A,0)))</f>
        <v>BONHAM, Maja</v>
      </c>
      <c r="D16" s="128" t="str">
        <f>IF(B8&gt;MAX('TRA-W'!A:A),"",INDEX('TRA-W'!I:I,MATCH(B8,'TRA-W'!A:A,0)))</f>
        <v>National Team</v>
      </c>
      <c r="J16" s="52"/>
    </row>
    <row r="17" spans="1:10" x14ac:dyDescent="0.2">
      <c r="A17" s="13"/>
      <c r="B17" s="13">
        <v>8</v>
      </c>
      <c r="C17" s="13" t="str">
        <f>IF(B9&gt;MAX('TRA-W'!A:A),"",INDEX('TRA-W'!B:B,MATCH(B9,'TRA-W'!A:A,0)))</f>
        <v>MADIGAN, Mariah</v>
      </c>
      <c r="D17" s="128" t="str">
        <f>IF(B9&gt;MAX('TRA-W'!A:A),"",INDEX('TRA-W'!I:I,MATCH(B9,'TRA-W'!A:A,0)))</f>
        <v>National Team</v>
      </c>
      <c r="J17" s="52"/>
    </row>
    <row r="18" spans="1:10" hidden="1" x14ac:dyDescent="0.2">
      <c r="A18" s="10" t="s">
        <v>61</v>
      </c>
      <c r="B18" s="10">
        <v>1</v>
      </c>
      <c r="C18" s="10" t="str">
        <f>IF(B2&gt;MAX('SYN-M'!A:A),"",INDEX('SYN-M'!B:B,MATCH(B2,'SYN-M'!A:A,0)))</f>
        <v/>
      </c>
      <c r="D18" s="122" t="str">
        <f>IF(B2&gt;MAX('SYN-M'!A:A),"",INDEX('SYN-M'!I:I,MATCH(B2,'SYN-M'!A:A,0)))</f>
        <v/>
      </c>
      <c r="J18" s="52"/>
    </row>
    <row r="19" spans="1:10" hidden="1" x14ac:dyDescent="0.2">
      <c r="A19" s="10"/>
      <c r="B19" s="10">
        <v>2</v>
      </c>
      <c r="C19" s="10" t="str">
        <f>IF(B3&gt;MAX('SYN-M'!A:A),"",INDEX('SYN-M'!B:B,MATCH(B3,'SYN-M'!A:A,0)))</f>
        <v/>
      </c>
      <c r="D19" s="122" t="str">
        <f>IF(B3&gt;MAX('SYN-M'!A:A),"",INDEX('SYN-M'!I:I,MATCH(B3,'SYN-M'!A:A,0)))</f>
        <v/>
      </c>
      <c r="J19" s="52"/>
    </row>
    <row r="20" spans="1:10" hidden="1" x14ac:dyDescent="0.2">
      <c r="A20" s="10"/>
      <c r="B20" s="10">
        <v>3</v>
      </c>
      <c r="C20" s="10" t="str">
        <f>IF(B4&gt;MAX('SYN-M'!A:A),"",INDEX('SYN-M'!B:B,MATCH(B4,'SYN-M'!A:A,0)))</f>
        <v/>
      </c>
      <c r="D20" s="122" t="str">
        <f>IF(B4&gt;MAX('SYN-M'!A:A),"",INDEX('SYN-M'!I:I,MATCH(B4,'SYN-M'!A:A,0)))</f>
        <v/>
      </c>
    </row>
    <row r="21" spans="1:10" hidden="1" x14ac:dyDescent="0.2">
      <c r="A21" s="10"/>
      <c r="B21" s="10">
        <v>4</v>
      </c>
      <c r="C21" s="10" t="str">
        <f>IF(B5&gt;MAX('SYN-M'!A:A),"",INDEX('SYN-M'!B:B,MATCH(B5,'SYN-M'!A:A,0)))</f>
        <v/>
      </c>
      <c r="D21" s="122" t="str">
        <f>IF(B5&gt;MAX('SYN-M'!A:A),"",INDEX('SYN-M'!I:I,MATCH(B5,'SYN-M'!A:A,0)))</f>
        <v/>
      </c>
    </row>
    <row r="22" spans="1:10" hidden="1" x14ac:dyDescent="0.2">
      <c r="A22" s="13" t="s">
        <v>62</v>
      </c>
      <c r="B22" s="13">
        <v>1</v>
      </c>
      <c r="C22" s="13" t="str">
        <f>IF(B2&gt;MAX('SYN-W'!A:A),"",INDEX('SYN-W'!B:B,MATCH(B2,'SYN-W'!A:A,0)))</f>
        <v/>
      </c>
      <c r="D22" s="123" t="str">
        <f>IF(B2&gt;MAX('SYN-W'!A:A),"",INDEX('SYN-W'!I:I,MATCH(B2,'SYN-W'!A:A,0)))</f>
        <v/>
      </c>
    </row>
    <row r="23" spans="1:10" hidden="1" x14ac:dyDescent="0.2">
      <c r="A23" s="13"/>
      <c r="B23" s="13">
        <v>2</v>
      </c>
      <c r="C23" s="13" t="str">
        <f>IF(B3&gt;MAX('SYN-W'!A:A),"",INDEX('SYN-W'!B:B,MATCH(B3,'SYN-W'!A:A,0)))</f>
        <v/>
      </c>
      <c r="D23" s="128" t="str">
        <f>IF(B3&gt;MAX('SYN-W'!A:A),"",INDEX('SYN-W'!I:I,MATCH(B3,'SYN-W'!A:A,0)))</f>
        <v/>
      </c>
    </row>
    <row r="24" spans="1:10" hidden="1" x14ac:dyDescent="0.2">
      <c r="A24" s="13"/>
      <c r="B24" s="13">
        <v>3</v>
      </c>
      <c r="C24" s="13" t="str">
        <f>IF(B4&gt;MAX('SYN-W'!A:A),"",INDEX('SYN-W'!B:B,MATCH(B4,'SYN-W'!A:A,0)))</f>
        <v/>
      </c>
      <c r="D24" s="128" t="str">
        <f>IF(B4&gt;MAX('SYN-W'!A:A),"",INDEX('SYN-W'!I:I,MATCH(B4,'SYN-W'!A:A,0)))</f>
        <v/>
      </c>
    </row>
    <row r="25" spans="1:10" hidden="1" x14ac:dyDescent="0.2">
      <c r="A25" s="13"/>
      <c r="B25" s="13">
        <v>4</v>
      </c>
      <c r="C25" s="13" t="str">
        <f>IF(B5&gt;MAX('SYN-W'!A:A),"",INDEX('SYN-W'!B:B,MATCH(B5,'SYN-W'!A:A,0)))</f>
        <v/>
      </c>
      <c r="D25" s="128" t="str">
        <f>IF(B5&gt;MAX('SYN-W'!A:A),"",INDEX('SYN-W'!I:I,MATCH(B5,'SYN-W'!A:A,0)))</f>
        <v/>
      </c>
    </row>
    <row r="26" spans="1:10" x14ac:dyDescent="0.2">
      <c r="A26" s="10" t="s">
        <v>63</v>
      </c>
      <c r="B26" s="10">
        <v>1</v>
      </c>
      <c r="C26" s="10" t="str">
        <f>IF(B2&gt;MAX('TUM-M'!A:A),"",INDEX('TUM-M'!B:B,MATCH(B2,'TUM-M'!A:A,0)))</f>
        <v>PEDERSEN, Mitchel</v>
      </c>
      <c r="D26" s="122" t="str">
        <f>IF(B2&gt;MAX('TUM-M'!A:A),"",INDEX('TUM-M'!H:H,MATCH(B2,'TUM-M'!A:A,0)))</f>
        <v>National Team</v>
      </c>
    </row>
    <row r="27" spans="1:10" hidden="1" x14ac:dyDescent="0.2">
      <c r="A27" s="10"/>
      <c r="B27" s="10">
        <v>2</v>
      </c>
      <c r="C27" s="10" t="str">
        <f>IF(B3&gt;MAX('TUM-M'!A:A),"",INDEX('TUM-M'!B:B,MATCH(B3,'TUM-M'!A:A,0)))</f>
        <v/>
      </c>
      <c r="D27" s="122" t="str">
        <f>IF(B3&gt;MAX('TUM-M'!A:A),"",INDEX('TUM-M'!H:H,MATCH(B3,'TUM-M'!A:A,0)))</f>
        <v/>
      </c>
    </row>
    <row r="28" spans="1:10" hidden="1" x14ac:dyDescent="0.2">
      <c r="A28" s="10"/>
      <c r="B28" s="10">
        <v>3</v>
      </c>
      <c r="C28" s="10" t="str">
        <f>IF(B4&gt;MAX('TUM-M'!A:A),"",INDEX('TUM-M'!B:B,MATCH(B4,'TUM-M'!A:A,0)))</f>
        <v/>
      </c>
      <c r="D28" s="122" t="str">
        <f>IF(B4&gt;MAX('TUM-M'!A:A),"",INDEX('TUM-M'!H:H,MATCH(B4,'TUM-M'!A:A,0)))</f>
        <v/>
      </c>
    </row>
    <row r="29" spans="1:10" hidden="1" x14ac:dyDescent="0.2">
      <c r="A29" s="10"/>
      <c r="B29" s="10">
        <v>4</v>
      </c>
      <c r="C29" s="10" t="str">
        <f>IF(B5&gt;MAX('TUM-M'!A:A),"",INDEX('TUM-M'!B:B,MATCH(B5,'TUM-M'!A:A,0)))</f>
        <v/>
      </c>
      <c r="D29" s="122" t="str">
        <f>IF(B5&gt;MAX('TUM-M'!A:A),"",INDEX('TUM-M'!H:H,MATCH(B5,'TUM-M'!A:A,0)))</f>
        <v/>
      </c>
    </row>
    <row r="30" spans="1:10" hidden="1" x14ac:dyDescent="0.2">
      <c r="A30" s="10"/>
      <c r="B30" s="10">
        <v>5</v>
      </c>
      <c r="C30" s="10" t="str">
        <f>IF(B6&gt;MAX('TUM-M'!A:A),"",INDEX('TUM-M'!B:B,MATCH(B6,'TUM-M'!A:A,0)))</f>
        <v/>
      </c>
      <c r="D30" s="122" t="str">
        <f>IF(B6&gt;MAX('TUM-M'!A:A),"",INDEX('TUM-M'!H:H,MATCH(B6,'TUM-M'!A:A,0)))</f>
        <v/>
      </c>
    </row>
    <row r="31" spans="1:10" hidden="1" x14ac:dyDescent="0.2">
      <c r="A31" s="10"/>
      <c r="B31" s="10">
        <v>6</v>
      </c>
      <c r="C31" s="10" t="str">
        <f>IF(B7&gt;MAX('TUM-M'!A:A),"",INDEX('TUM-M'!B:B,MATCH(B7,'TUM-M'!A:A,0)))</f>
        <v/>
      </c>
      <c r="D31" s="122" t="str">
        <f>IF(B7&gt;MAX('TUM-M'!A:A),"",INDEX('TUM-M'!H:H,MATCH(B7,'TUM-M'!A:A,0)))</f>
        <v/>
      </c>
    </row>
    <row r="32" spans="1:10" hidden="1" x14ac:dyDescent="0.2">
      <c r="A32" s="10"/>
      <c r="B32" s="10">
        <v>7</v>
      </c>
      <c r="C32" s="10" t="str">
        <f>IF(B8&gt;MAX('TUM-M'!A:A),"",INDEX('TUM-M'!B:B,MATCH(B8,'TUM-M'!A:A,0)))</f>
        <v/>
      </c>
      <c r="D32" s="122" t="str">
        <f>IF(B8&gt;MAX('TUM-M'!A:A),"",INDEX('TUM-M'!H:H,MATCH(B8,'TUM-M'!A:A,0)))</f>
        <v/>
      </c>
    </row>
    <row r="33" spans="1:4" hidden="1" x14ac:dyDescent="0.2">
      <c r="A33" s="10"/>
      <c r="B33" s="10">
        <v>8</v>
      </c>
      <c r="C33" s="10" t="str">
        <f>IF(B9&gt;MAX('TUM-M'!A:A),"",INDEX('TUM-M'!B:B,MATCH(B9,'TUM-M'!A:A,0)))</f>
        <v/>
      </c>
      <c r="D33" s="122" t="str">
        <f>IF(B9&gt;MAX('TUM-M'!A:A),"",INDEX('TUM-M'!H:H,MATCH(B9,'TUM-M'!A:A,0)))</f>
        <v/>
      </c>
    </row>
    <row r="34" spans="1:4" x14ac:dyDescent="0.2">
      <c r="A34" s="13" t="s">
        <v>64</v>
      </c>
      <c r="B34" s="13">
        <v>1</v>
      </c>
      <c r="C34" s="13" t="str">
        <f>IF(B2&gt;MAX('TUM-W'!A:A),"",INDEX('TUM-W'!B:B,MATCH(B2,'TUM-W'!A:A,0)))</f>
        <v>HIPEL, Zoe</v>
      </c>
      <c r="D34" s="123" t="str">
        <f>IF(B2&gt;MAX('TUM-W'!A:A),"",INDEX('TUM-W'!H:H,MATCH(B2,'TUM-W'!A:A,0)))</f>
        <v>National Team</v>
      </c>
    </row>
    <row r="35" spans="1:4" hidden="1" x14ac:dyDescent="0.2">
      <c r="A35" s="13"/>
      <c r="B35" s="13">
        <v>2</v>
      </c>
      <c r="C35" s="13" t="str">
        <f>IF(B3&gt;MAX('TUM-W'!A:A),"",INDEX('TUM-W'!B:B,MATCH(B3,'TUM-W'!A:A,0)))</f>
        <v/>
      </c>
      <c r="D35" s="123" t="str">
        <f>IF(B3&gt;MAX('TUM-W'!A:A),"",INDEX('TUM-W'!H:H,MATCH(B3,'TUM-W'!A:A,0)))</f>
        <v/>
      </c>
    </row>
    <row r="36" spans="1:4" hidden="1" x14ac:dyDescent="0.2">
      <c r="A36" s="13"/>
      <c r="B36" s="13">
        <v>3</v>
      </c>
      <c r="C36" s="13" t="str">
        <f>IF(B4&gt;MAX('TUM-W'!A:A),"",INDEX('TUM-W'!B:B,MATCH(B4,'TUM-W'!A:A,0)))</f>
        <v/>
      </c>
      <c r="D36" s="123" t="str">
        <f>IF(B4&gt;MAX('TUM-W'!A:A),"",INDEX('TUM-W'!H:H,MATCH(B4,'TUM-W'!A:A,0)))</f>
        <v/>
      </c>
    </row>
    <row r="37" spans="1:4" hidden="1" x14ac:dyDescent="0.2">
      <c r="A37" s="13"/>
      <c r="B37" s="13">
        <v>4</v>
      </c>
      <c r="C37" s="13" t="str">
        <f>IF(B5&gt;MAX('TUM-W'!A:A),"",INDEX('TUM-W'!B:B,MATCH(B5,'TUM-W'!A:A,0)))</f>
        <v/>
      </c>
      <c r="D37" s="123" t="str">
        <f>IF(B5&gt;MAX('TUM-W'!A:A),"",INDEX('TUM-W'!H:H,MATCH(B5,'TUM-W'!A:A,0)))</f>
        <v/>
      </c>
    </row>
    <row r="38" spans="1:4" hidden="1" x14ac:dyDescent="0.2">
      <c r="A38" s="13"/>
      <c r="B38" s="13">
        <v>5</v>
      </c>
      <c r="C38" s="13" t="str">
        <f>IF(B6&gt;MAX('TUM-W'!A:A),"",INDEX('TUM-W'!B:B,MATCH(B6,'TUM-W'!A:A,0)))</f>
        <v/>
      </c>
      <c r="D38" s="123" t="str">
        <f>IF(B6&gt;MAX('TUM-W'!A:A),"",INDEX('TUM-W'!H:H,MATCH(B6,'TUM-W'!A:A,0)))</f>
        <v/>
      </c>
    </row>
    <row r="39" spans="1:4" hidden="1" x14ac:dyDescent="0.2">
      <c r="A39" s="13"/>
      <c r="B39" s="13">
        <v>6</v>
      </c>
      <c r="C39" s="13" t="str">
        <f>IF(B7&gt;MAX('TUM-W'!A:A),"",INDEX('TUM-W'!B:B,MATCH(B7,'TUM-W'!A:A,0)))</f>
        <v/>
      </c>
      <c r="D39" s="123" t="str">
        <f>IF(B7&gt;MAX('TUM-W'!A:A),"",INDEX('TUM-W'!H:H,MATCH(B7,'TUM-W'!A:A,0)))</f>
        <v/>
      </c>
    </row>
    <row r="40" spans="1:4" hidden="1" x14ac:dyDescent="0.2">
      <c r="A40" s="13"/>
      <c r="B40" s="13">
        <v>7</v>
      </c>
      <c r="C40" s="13" t="str">
        <f>IF(B8&gt;MAX('TUM-W'!A:A),"",INDEX('TUM-W'!B:B,MATCH(B8,'TUM-W'!A:A,0)))</f>
        <v/>
      </c>
      <c r="D40" s="123" t="str">
        <f>IF(B8&gt;MAX('TUM-W'!A:A),"",INDEX('TUM-W'!H:H,MATCH(B8,'TUM-W'!A:A,0)))</f>
        <v/>
      </c>
    </row>
    <row r="41" spans="1:4" hidden="1" x14ac:dyDescent="0.2">
      <c r="A41" s="13"/>
      <c r="B41" s="13">
        <v>8</v>
      </c>
      <c r="C41" s="13" t="str">
        <f>IF(B9&gt;MAX('TUM-W'!A:A),"",INDEX('TUM-W'!B:B,MATCH(B9,'TUM-W'!A:A,0)))</f>
        <v/>
      </c>
      <c r="D41" s="123" t="str">
        <f>IF(B9&gt;MAX('TUM-W'!A:A),"",INDEX('TUM-W'!H:H,MATCH(B9,'TUM-W'!A:A,0)))</f>
        <v/>
      </c>
    </row>
    <row r="42" spans="1:4" x14ac:dyDescent="0.2">
      <c r="A42" s="10" t="s">
        <v>65</v>
      </c>
      <c r="B42" s="10">
        <v>1</v>
      </c>
      <c r="C42" s="10" t="str">
        <f>IF(B2&gt;MAX('DMT-M'!A:A),"",INDEX('DMT-M'!B:B,MATCH(B2,'DMT-M'!A:A,0)))</f>
        <v>LUPISH, Kieran</v>
      </c>
      <c r="D42" s="122" t="str">
        <f>IF(B2&gt;MAX('DMT-M'!A:A),"",INDEX('DMT-M'!H:H,MATCH(B2,'DMT-M'!A:A,0)))</f>
        <v>Merit</v>
      </c>
    </row>
    <row r="43" spans="1:4" x14ac:dyDescent="0.2">
      <c r="A43" s="10"/>
      <c r="B43" s="10">
        <v>2</v>
      </c>
      <c r="C43" s="10" t="str">
        <f>IF(B3&gt;MAX('DMT-M'!A:A),"",INDEX('DMT-M'!B:B,MATCH(B3,'DMT-M'!A:A,0)))</f>
        <v>DODD, Gavin</v>
      </c>
      <c r="D43" s="122" t="str">
        <f>IF(B3&gt;MAX('DMT-M'!A:A),"",INDEX('DMT-M'!H:H,MATCH(B3,'DMT-M'!A:A,0)))</f>
        <v>Excellence</v>
      </c>
    </row>
    <row r="44" spans="1:4" x14ac:dyDescent="0.2">
      <c r="A44" s="10"/>
      <c r="B44" s="10">
        <v>3</v>
      </c>
      <c r="C44" s="10" t="str">
        <f>IF(B4&gt;MAX('DMT-M'!A:A),"",INDEX('DMT-M'!B:B,MATCH(B4,'DMT-M'!A:A,0)))</f>
        <v>PEDERSEN, Mitchel</v>
      </c>
      <c r="D44" s="122" t="str">
        <f>IF(B4&gt;MAX('DMT-M'!A:A),"",INDEX('DMT-M'!H:H,MATCH(B4,'DMT-M'!A:A,0)))</f>
        <v>Worlds Team</v>
      </c>
    </row>
    <row r="45" spans="1:4" x14ac:dyDescent="0.2">
      <c r="A45" s="10"/>
      <c r="B45" s="10">
        <v>4</v>
      </c>
      <c r="C45" s="10" t="str">
        <f>IF(B5&gt;MAX('DMT-M'!A:A),"",INDEX('DMT-M'!B:B,MATCH(B5,'DMT-M'!A:A,0)))</f>
        <v>ZUREK, Nolan</v>
      </c>
      <c r="D45" s="122" t="str">
        <f>IF(B5&gt;MAX('DMT-M'!A:A),"",INDEX('DMT-M'!H:H,MATCH(B5,'DMT-M'!A:A,0)))</f>
        <v>National Team</v>
      </c>
    </row>
    <row r="46" spans="1:4" hidden="1" x14ac:dyDescent="0.2">
      <c r="A46" s="10"/>
      <c r="B46" s="10">
        <v>5</v>
      </c>
      <c r="C46" s="10" t="str">
        <f>IF(B6&gt;MAX('DMT-M'!A:A),"",INDEX('DMT-M'!B:B,MATCH(B6,'DMT-M'!A:A,0)))</f>
        <v/>
      </c>
      <c r="D46" s="122" t="str">
        <f>IF(B6&gt;MAX('DMT-M'!A:A),"",INDEX('DMT-M'!H:H,MATCH(B6,'DMT-M'!A:A,0)))</f>
        <v/>
      </c>
    </row>
    <row r="47" spans="1:4" hidden="1" x14ac:dyDescent="0.2">
      <c r="A47" s="10"/>
      <c r="B47" s="10">
        <v>6</v>
      </c>
      <c r="C47" s="10" t="str">
        <f>IF(B7&gt;MAX('DMT-M'!A:A),"",INDEX('DMT-M'!B:B,MATCH(B7,'DMT-M'!A:A,0)))</f>
        <v/>
      </c>
      <c r="D47" s="122" t="str">
        <f>IF(B7&gt;MAX('DMT-M'!A:A),"",INDEX('DMT-M'!H:H,MATCH(B7,'DMT-M'!A:A,0)))</f>
        <v/>
      </c>
    </row>
    <row r="48" spans="1:4" hidden="1" x14ac:dyDescent="0.2">
      <c r="A48" s="10"/>
      <c r="B48" s="10">
        <v>7</v>
      </c>
      <c r="C48" s="10" t="str">
        <f>IF(B8&gt;MAX('DMT-M'!A:A),"",INDEX('DMT-M'!B:B,MATCH(B8,'DMT-M'!A:A,0)))</f>
        <v/>
      </c>
      <c r="D48" s="122" t="str">
        <f>IF(B8&gt;MAX('DMT-M'!A:A),"",INDEX('DMT-M'!H:H,MATCH(B8,'DMT-M'!A:A,0)))</f>
        <v/>
      </c>
    </row>
    <row r="49" spans="1:5" hidden="1" x14ac:dyDescent="0.2">
      <c r="A49" s="10"/>
      <c r="B49" s="10">
        <v>8</v>
      </c>
      <c r="C49" s="10" t="str">
        <f>IF(B9&gt;MAX('DMT-M'!A:A),"",INDEX('DMT-M'!B:B,MATCH(B9,'DMT-M'!A:A,0)))</f>
        <v/>
      </c>
      <c r="D49" s="122" t="str">
        <f>IF(B9&gt;MAX('DMT-M'!A:A),"",INDEX('DMT-M'!H:H,MATCH(B9,'DMT-M'!A:A,0)))</f>
        <v/>
      </c>
    </row>
    <row r="50" spans="1:5" x14ac:dyDescent="0.2">
      <c r="A50" s="13" t="s">
        <v>66</v>
      </c>
      <c r="B50" s="13">
        <v>1</v>
      </c>
      <c r="C50" s="13" t="str">
        <f>IF(B2&gt;MAX('DMT-W'!A:A),"",INDEX('DMT-W'!B:B,MATCH(B2,'DMT-W'!A:A,0)))</f>
        <v>BROWN, Hannah</v>
      </c>
      <c r="D50" s="123" t="str">
        <f>IF(B2&gt;MAX('DMT-W'!A:A),"",INDEX('DMT-W'!H:H,MATCH(B2,'DMT-W'!A:A,0)))</f>
        <v>Worlds Team</v>
      </c>
    </row>
    <row r="51" spans="1:5" x14ac:dyDescent="0.2">
      <c r="A51" s="13"/>
      <c r="B51" s="13">
        <v>2</v>
      </c>
      <c r="C51" s="13" t="str">
        <f>IF(B3&gt;MAX('DMT-W'!A:A),"",INDEX('DMT-W'!B:B,MATCH(B3,'DMT-W'!A:A,0)))</f>
        <v>METHERAL, Hannah</v>
      </c>
      <c r="D51" s="123" t="str">
        <f>IF(B3&gt;MAX('DMT-W'!A:A),"",INDEX('DMT-W'!H:H,MATCH(B3,'DMT-W'!A:A,0)))</f>
        <v>National Team</v>
      </c>
    </row>
    <row r="52" spans="1:5" x14ac:dyDescent="0.2">
      <c r="A52" s="13"/>
      <c r="B52" s="13">
        <v>3</v>
      </c>
      <c r="C52" s="13" t="str">
        <f>IF(B4&gt;MAX('DMT-W'!A:A),"",INDEX('DMT-W'!B:B,MATCH(B4,'DMT-W'!A:A,0)))</f>
        <v>FLYNN, Gabby</v>
      </c>
      <c r="D52" s="123" t="str">
        <f>IF(B4&gt;MAX('DMT-W'!A:A),"",INDEX('DMT-W'!H:H,MATCH(B4,'DMT-W'!A:A,0)))</f>
        <v>Worlds Team</v>
      </c>
    </row>
    <row r="53" spans="1:5" x14ac:dyDescent="0.2">
      <c r="A53" s="13"/>
      <c r="B53" s="13">
        <v>4</v>
      </c>
      <c r="C53" s="13" t="str">
        <f>IF(B5&gt;MAX('DMT-W'!A:A),"",INDEX('DMT-W'!B:B,MATCH(B5,'DMT-W'!A:A,0)))</f>
        <v>PHANEUF, Zoe</v>
      </c>
      <c r="D53" s="123" t="str">
        <f>IF(B5&gt;MAX('DMT-W'!A:A),"",INDEX('DMT-W'!H:H,MATCH(B5,'DMT-W'!A:A,0)))</f>
        <v>National Team</v>
      </c>
    </row>
    <row r="54" spans="1:5" x14ac:dyDescent="0.2">
      <c r="A54" s="13"/>
      <c r="B54" s="13">
        <v>5</v>
      </c>
      <c r="C54" s="13" t="str">
        <f>IF(B6&gt;MAX('DMT-W'!A:A),"",INDEX('DMT-W'!B:B,MATCH(B6,'DMT-W'!A:A,0)))</f>
        <v>ROUX, Laurence</v>
      </c>
      <c r="D54" s="134" t="str">
        <f>IF(B6&gt;MAX('DMT-W'!A:A),"",INDEX('DMT-W'!H:H,MATCH(B6,'DMT-W'!A:A,0)))</f>
        <v>National Team</v>
      </c>
    </row>
    <row r="55" spans="1:5" x14ac:dyDescent="0.2">
      <c r="A55" s="13"/>
      <c r="B55" s="13">
        <v>6</v>
      </c>
      <c r="C55" s="13" t="str">
        <f>IF(B7&gt;MAX('DMT-W'!A:A),"",INDEX('DMT-W'!B:B,MATCH(B7,'DMT-W'!A:A,0)))</f>
        <v>HOWELL, Kayla</v>
      </c>
      <c r="D55" s="123" t="str">
        <f>IF(B7&gt;MAX('DMT-W'!A:A),"",INDEX('DMT-W'!H:H,MATCH(B7,'DMT-W'!A:A,0)))</f>
        <v>No DD</v>
      </c>
    </row>
    <row r="56" spans="1:5" hidden="1" x14ac:dyDescent="0.2">
      <c r="A56" s="13"/>
      <c r="B56" s="13">
        <v>7</v>
      </c>
      <c r="C56" s="13" t="str">
        <f>IF(B8&gt;MAX('DMT-W'!A:A),"",INDEX('DMT-W'!B:B,MATCH(B8,'DMT-W'!A:A,0)))</f>
        <v/>
      </c>
      <c r="D56" s="123" t="str">
        <f>IF(B8&gt;MAX('DMT-W'!A:A),"",INDEX('DMT-W'!H:H,MATCH(B8,'DMT-W'!A:A,0)))</f>
        <v/>
      </c>
    </row>
    <row r="57" spans="1:5" hidden="1" x14ac:dyDescent="0.2">
      <c r="A57" s="13"/>
      <c r="B57" s="13">
        <v>8</v>
      </c>
      <c r="C57" s="13" t="str">
        <f>IF(B9&gt;MAX('DMT-W'!A:A),"",INDEX('DMT-W'!B:B,MATCH(B9,'DMT-W'!A:A,0)))</f>
        <v/>
      </c>
      <c r="D57" s="123" t="str">
        <f>IF(B9&gt;MAX('DMT-W'!A:A),"",INDEX('DMT-W'!H:H,MATCH(B9,'DMT-W'!A:A,0)))</f>
        <v/>
      </c>
    </row>
    <row r="58" spans="1:5" x14ac:dyDescent="0.2">
      <c r="D58" s="126"/>
    </row>
    <row r="59" spans="1:5" x14ac:dyDescent="0.2">
      <c r="B59" s="52" t="s">
        <v>54</v>
      </c>
    </row>
    <row r="60" spans="1:5" x14ac:dyDescent="0.2">
      <c r="B60" s="52" t="s">
        <v>52</v>
      </c>
    </row>
    <row r="61" spans="1:5" x14ac:dyDescent="0.2">
      <c r="B61" s="52" t="s">
        <v>53</v>
      </c>
    </row>
    <row r="62" spans="1:5" x14ac:dyDescent="0.2">
      <c r="B62" s="26" t="s">
        <v>79</v>
      </c>
      <c r="D62" s="52" t="s">
        <v>77</v>
      </c>
    </row>
    <row r="63" spans="1:5" x14ac:dyDescent="0.2">
      <c r="B63" s="26" t="s">
        <v>93</v>
      </c>
      <c r="D63" s="52" t="s">
        <v>77</v>
      </c>
      <c r="E63" t="s">
        <v>77</v>
      </c>
    </row>
    <row r="64" spans="1:5" x14ac:dyDescent="0.2">
      <c r="B64" s="52" t="s">
        <v>78</v>
      </c>
      <c r="D64" s="52"/>
    </row>
    <row r="65" spans="1:4" x14ac:dyDescent="0.2">
      <c r="B65" s="52" t="s">
        <v>94</v>
      </c>
      <c r="D65" s="52"/>
    </row>
    <row r="66" spans="1:4" x14ac:dyDescent="0.2">
      <c r="A66" t="s">
        <v>59</v>
      </c>
      <c r="B66" s="135">
        <v>44478</v>
      </c>
      <c r="C66" s="135"/>
    </row>
    <row r="67" spans="1:4" x14ac:dyDescent="0.2">
      <c r="B67" s="107" t="s">
        <v>143</v>
      </c>
    </row>
    <row r="68" spans="1:4" x14ac:dyDescent="0.2">
      <c r="B68" s="107"/>
    </row>
    <row r="69" spans="1:4" x14ac:dyDescent="0.2">
      <c r="B69" s="52"/>
    </row>
    <row r="70" spans="1:4" x14ac:dyDescent="0.2">
      <c r="B70" s="52"/>
    </row>
    <row r="71" spans="1:4" x14ac:dyDescent="0.2">
      <c r="B71" s="52"/>
    </row>
  </sheetData>
  <sheetProtection formatCells="0" formatColumns="0" formatRows="0"/>
  <mergeCells count="1">
    <mergeCell ref="B66:C66"/>
  </mergeCells>
  <conditionalFormatting sqref="D2:D57">
    <cfRule type="containsText" dxfId="214" priority="1" operator="containsText" text="No DD">
      <formula>NOT(ISERROR(SEARCH("No DD",D2)))</formula>
    </cfRule>
    <cfRule type="containsText" dxfId="213" priority="4" operator="containsText" text="Merit">
      <formula>NOT(ISERROR(SEARCH("Merit",D2)))</formula>
    </cfRule>
    <cfRule type="containsText" dxfId="212" priority="5" operator="containsText" text="Excellence">
      <formula>NOT(ISERROR(SEARCH("Excellence",D2)))</formula>
    </cfRule>
    <cfRule type="containsText" dxfId="211" priority="6" operator="containsText" text="Worlds Team">
      <formula>NOT(ISERROR(SEARCH("Worlds Team",D2)))</formula>
    </cfRule>
    <cfRule type="containsText" dxfId="210" priority="7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62:D63" xr:uid="{D08F591B-E1ED-7A40-99FD-CEC4A428C792}">
      <formula1>"Select,TRA-M,TRA-W,SYN-M,SYN-W,TUM-M,TUM-W,DMT-M,DMT-W"</formula1>
    </dataValidation>
    <dataValidation type="list" allowBlank="1" showInputMessage="1" showErrorMessage="1" sqref="E63" xr:uid="{34EE6C87-AAA8-A345-8399-C87931D9699B}">
      <formula1>IF($D$63="Select",D63,INDIRECT("'"&amp;$D$63&amp;"'!"&amp;"B4:B"&amp;MATCH(TRUE,INDEX(INDIRECT("'"&amp;$D$63&amp;"'!"&amp;"B4:B100")="",0),0)+2))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58</xdr:row>
                    <xdr:rowOff>25400</xdr:rowOff>
                  </from>
                  <to>
                    <xdr:col>0</xdr:col>
                    <xdr:colOff>965200</xdr:colOff>
                    <xdr:row>58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59</xdr:row>
                    <xdr:rowOff>25400</xdr:rowOff>
                  </from>
                  <to>
                    <xdr:col>0</xdr:col>
                    <xdr:colOff>965200</xdr:colOff>
                    <xdr:row>59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60</xdr:row>
                    <xdr:rowOff>38100</xdr:rowOff>
                  </from>
                  <to>
                    <xdr:col>0</xdr:col>
                    <xdr:colOff>965200</xdr:colOff>
                    <xdr:row>60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61</xdr:row>
                    <xdr:rowOff>25400</xdr:rowOff>
                  </from>
                  <to>
                    <xdr:col>0</xdr:col>
                    <xdr:colOff>977900</xdr:colOff>
                    <xdr:row>61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63</xdr:row>
                    <xdr:rowOff>25400</xdr:rowOff>
                  </from>
                  <to>
                    <xdr:col>0</xdr:col>
                    <xdr:colOff>977900</xdr:colOff>
                    <xdr:row>63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64</xdr:row>
                    <xdr:rowOff>25400</xdr:rowOff>
                  </from>
                  <to>
                    <xdr:col>0</xdr:col>
                    <xdr:colOff>965200</xdr:colOff>
                    <xdr:row>64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62</xdr:row>
                    <xdr:rowOff>25400</xdr:rowOff>
                  </from>
                  <to>
                    <xdr:col>0</xdr:col>
                    <xdr:colOff>977900</xdr:colOff>
                    <xdr:row>62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OS5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142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141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/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77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76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09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35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36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35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36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35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36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35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36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35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36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35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36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0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35" t="s">
        <v>19</v>
      </c>
      <c r="W3" s="35" t="s">
        <v>20</v>
      </c>
      <c r="X3" s="35" t="s">
        <v>11</v>
      </c>
      <c r="Y3" s="35" t="s">
        <v>21</v>
      </c>
      <c r="Z3" s="46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35" t="s">
        <v>19</v>
      </c>
      <c r="AG3" s="35" t="s">
        <v>20</v>
      </c>
      <c r="AH3" s="35" t="s">
        <v>11</v>
      </c>
      <c r="AI3" s="35" t="s">
        <v>21</v>
      </c>
      <c r="AJ3" s="46" t="s">
        <v>40</v>
      </c>
      <c r="AK3" s="35" t="s">
        <v>19</v>
      </c>
      <c r="AL3" s="35" t="s">
        <v>20</v>
      </c>
      <c r="AM3" s="35" t="s">
        <v>11</v>
      </c>
      <c r="AN3" s="35" t="s">
        <v>21</v>
      </c>
      <c r="AO3" s="46" t="s">
        <v>40</v>
      </c>
      <c r="AP3" s="77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36" t="s">
        <v>19</v>
      </c>
      <c r="BA3" s="36" t="s">
        <v>20</v>
      </c>
      <c r="BB3" s="36" t="s">
        <v>11</v>
      </c>
      <c r="BC3" s="36" t="s">
        <v>21</v>
      </c>
      <c r="BD3" s="47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36" t="s">
        <v>19</v>
      </c>
      <c r="BK3" s="36" t="s">
        <v>20</v>
      </c>
      <c r="BL3" s="36" t="s">
        <v>11</v>
      </c>
      <c r="BM3" s="36" t="s">
        <v>21</v>
      </c>
      <c r="BN3" s="47" t="s">
        <v>40</v>
      </c>
      <c r="BO3" s="36" t="s">
        <v>19</v>
      </c>
      <c r="BP3" s="36" t="s">
        <v>20</v>
      </c>
      <c r="BQ3" s="36" t="s">
        <v>11</v>
      </c>
      <c r="BR3" s="47" t="s">
        <v>21</v>
      </c>
      <c r="BS3" s="36" t="s">
        <v>40</v>
      </c>
      <c r="BT3" s="76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09" t="s">
        <v>19</v>
      </c>
      <c r="CE3" s="109" t="s">
        <v>20</v>
      </c>
      <c r="CF3" s="109" t="s">
        <v>11</v>
      </c>
      <c r="CG3" s="109" t="s">
        <v>21</v>
      </c>
      <c r="CH3" s="109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09" t="s">
        <v>19</v>
      </c>
      <c r="CO3" s="109" t="s">
        <v>20</v>
      </c>
      <c r="CP3" s="109" t="s">
        <v>11</v>
      </c>
      <c r="CQ3" s="109" t="s">
        <v>21</v>
      </c>
      <c r="CR3" s="109" t="s">
        <v>40</v>
      </c>
      <c r="CS3" s="109" t="s">
        <v>19</v>
      </c>
      <c r="CT3" s="109" t="s">
        <v>20</v>
      </c>
      <c r="CU3" s="109" t="s">
        <v>11</v>
      </c>
      <c r="CV3" s="109" t="s">
        <v>21</v>
      </c>
      <c r="CW3" s="109" t="s">
        <v>40</v>
      </c>
      <c r="CX3" s="109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35" t="s">
        <v>19</v>
      </c>
      <c r="DM3" s="35" t="s">
        <v>20</v>
      </c>
      <c r="DN3" s="35" t="s">
        <v>11</v>
      </c>
      <c r="DO3" s="35" t="s">
        <v>21</v>
      </c>
      <c r="DP3" s="46" t="s">
        <v>40</v>
      </c>
      <c r="DQ3" s="35" t="s">
        <v>19</v>
      </c>
      <c r="DR3" s="35" t="s">
        <v>20</v>
      </c>
      <c r="DS3" s="35" t="s">
        <v>11</v>
      </c>
      <c r="DT3" s="35" t="s">
        <v>21</v>
      </c>
      <c r="DU3" s="46" t="s">
        <v>40</v>
      </c>
      <c r="DV3" s="35" t="s">
        <v>19</v>
      </c>
      <c r="DW3" s="35" t="s">
        <v>20</v>
      </c>
      <c r="DX3" s="35" t="s">
        <v>11</v>
      </c>
      <c r="DY3" s="35" t="s">
        <v>21</v>
      </c>
      <c r="DZ3" s="46" t="s">
        <v>40</v>
      </c>
      <c r="EA3" s="10"/>
      <c r="EB3" s="9"/>
      <c r="EC3" s="9"/>
      <c r="ED3" s="9"/>
      <c r="EE3" s="9"/>
      <c r="EF3" s="10"/>
      <c r="EG3" s="10"/>
      <c r="EH3" s="36" t="s">
        <v>19</v>
      </c>
      <c r="EI3" s="36" t="s">
        <v>20</v>
      </c>
      <c r="EJ3" s="36" t="s">
        <v>11</v>
      </c>
      <c r="EK3" s="36" t="s">
        <v>21</v>
      </c>
      <c r="EL3" s="47" t="s">
        <v>40</v>
      </c>
      <c r="EM3" s="36" t="s">
        <v>19</v>
      </c>
      <c r="EN3" s="36" t="s">
        <v>20</v>
      </c>
      <c r="EO3" s="36" t="s">
        <v>11</v>
      </c>
      <c r="EP3" s="36" t="s">
        <v>21</v>
      </c>
      <c r="EQ3" s="47" t="s">
        <v>40</v>
      </c>
      <c r="ER3" s="36" t="s">
        <v>19</v>
      </c>
      <c r="ES3" s="36" t="s">
        <v>20</v>
      </c>
      <c r="ET3" s="36" t="s">
        <v>11</v>
      </c>
      <c r="EU3" s="36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35" t="s">
        <v>19</v>
      </c>
      <c r="FE3" s="35" t="s">
        <v>20</v>
      </c>
      <c r="FF3" s="35" t="s">
        <v>11</v>
      </c>
      <c r="FG3" s="35" t="s">
        <v>21</v>
      </c>
      <c r="FH3" s="46" t="s">
        <v>40</v>
      </c>
      <c r="FI3" s="35" t="s">
        <v>19</v>
      </c>
      <c r="FJ3" s="35" t="s">
        <v>20</v>
      </c>
      <c r="FK3" s="35" t="s">
        <v>11</v>
      </c>
      <c r="FL3" s="35" t="s">
        <v>21</v>
      </c>
      <c r="FM3" s="46" t="s">
        <v>40</v>
      </c>
      <c r="FN3" s="35" t="s">
        <v>19</v>
      </c>
      <c r="FO3" s="35" t="s">
        <v>20</v>
      </c>
      <c r="FP3" s="35" t="s">
        <v>11</v>
      </c>
      <c r="FQ3" s="35" t="s">
        <v>21</v>
      </c>
      <c r="FR3" s="46" t="s">
        <v>40</v>
      </c>
      <c r="FS3" s="10"/>
      <c r="FT3" s="9"/>
      <c r="FU3" s="9"/>
      <c r="FV3" s="9"/>
      <c r="FW3" s="9"/>
      <c r="FX3" s="10"/>
      <c r="FY3" s="10"/>
      <c r="FZ3" s="36" t="s">
        <v>19</v>
      </c>
      <c r="GA3" s="36" t="s">
        <v>20</v>
      </c>
      <c r="GB3" s="36" t="s">
        <v>11</v>
      </c>
      <c r="GC3" s="36" t="s">
        <v>21</v>
      </c>
      <c r="GD3" s="47" t="s">
        <v>40</v>
      </c>
      <c r="GE3" s="36" t="s">
        <v>19</v>
      </c>
      <c r="GF3" s="36" t="s">
        <v>20</v>
      </c>
      <c r="GG3" s="36" t="s">
        <v>11</v>
      </c>
      <c r="GH3" s="36" t="s">
        <v>21</v>
      </c>
      <c r="GI3" s="47" t="s">
        <v>40</v>
      </c>
      <c r="GJ3" s="36" t="s">
        <v>19</v>
      </c>
      <c r="GK3" s="36" t="s">
        <v>20</v>
      </c>
      <c r="GL3" s="36" t="s">
        <v>11</v>
      </c>
      <c r="GM3" s="36" t="s">
        <v>21</v>
      </c>
      <c r="GN3" s="47" t="s">
        <v>40</v>
      </c>
      <c r="GO3" s="13"/>
      <c r="GP3" s="12"/>
      <c r="GQ3" s="12"/>
      <c r="GR3" s="12"/>
      <c r="GS3" s="12"/>
      <c r="GT3" s="13"/>
      <c r="GU3" s="13"/>
      <c r="GV3" s="35" t="s">
        <v>19</v>
      </c>
      <c r="GW3" s="35" t="s">
        <v>20</v>
      </c>
      <c r="GX3" s="35" t="s">
        <v>11</v>
      </c>
      <c r="GY3" s="35" t="s">
        <v>21</v>
      </c>
      <c r="GZ3" s="46" t="s">
        <v>40</v>
      </c>
      <c r="HA3" s="35" t="s">
        <v>19</v>
      </c>
      <c r="HB3" s="35" t="s">
        <v>20</v>
      </c>
      <c r="HC3" s="35" t="s">
        <v>11</v>
      </c>
      <c r="HD3" s="35" t="s">
        <v>21</v>
      </c>
      <c r="HE3" s="46" t="s">
        <v>40</v>
      </c>
      <c r="HF3" s="35" t="s">
        <v>19</v>
      </c>
      <c r="HG3" s="35" t="s">
        <v>20</v>
      </c>
      <c r="HH3" s="35" t="s">
        <v>11</v>
      </c>
      <c r="HI3" s="35" t="s">
        <v>21</v>
      </c>
      <c r="HJ3" s="46" t="s">
        <v>40</v>
      </c>
      <c r="HK3" s="10"/>
      <c r="HL3" s="9"/>
      <c r="HM3" s="9"/>
      <c r="HN3" s="9"/>
      <c r="HO3" s="9"/>
      <c r="HP3" s="10"/>
      <c r="HQ3" s="10"/>
      <c r="HR3" s="36" t="s">
        <v>19</v>
      </c>
      <c r="HS3" s="36" t="s">
        <v>20</v>
      </c>
      <c r="HT3" s="36" t="s">
        <v>11</v>
      </c>
      <c r="HU3" s="36" t="s">
        <v>21</v>
      </c>
      <c r="HV3" s="47" t="s">
        <v>40</v>
      </c>
      <c r="HW3" s="36" t="s">
        <v>19</v>
      </c>
      <c r="HX3" s="36" t="s">
        <v>20</v>
      </c>
      <c r="HY3" s="36" t="s">
        <v>11</v>
      </c>
      <c r="HZ3" s="36" t="s">
        <v>21</v>
      </c>
      <c r="IA3" s="47" t="s">
        <v>40</v>
      </c>
      <c r="IB3" s="36" t="s">
        <v>19</v>
      </c>
      <c r="IC3" s="36" t="s">
        <v>20</v>
      </c>
      <c r="ID3" s="36" t="s">
        <v>11</v>
      </c>
      <c r="IE3" s="36" t="s">
        <v>21</v>
      </c>
      <c r="IF3" s="47" t="s">
        <v>40</v>
      </c>
      <c r="IG3" s="13"/>
      <c r="IH3" s="12"/>
      <c r="II3" s="12"/>
      <c r="IJ3" s="12"/>
      <c r="IK3" s="12"/>
      <c r="IL3" s="13"/>
      <c r="IM3" s="13"/>
      <c r="IN3" s="35" t="s">
        <v>19</v>
      </c>
      <c r="IO3" s="35" t="s">
        <v>20</v>
      </c>
      <c r="IP3" s="35" t="s">
        <v>11</v>
      </c>
      <c r="IQ3" s="35" t="s">
        <v>21</v>
      </c>
      <c r="IR3" s="46" t="s">
        <v>40</v>
      </c>
      <c r="IS3" s="35" t="s">
        <v>19</v>
      </c>
      <c r="IT3" s="35" t="s">
        <v>20</v>
      </c>
      <c r="IU3" s="35" t="s">
        <v>11</v>
      </c>
      <c r="IV3" s="35" t="s">
        <v>21</v>
      </c>
      <c r="IW3" s="46" t="s">
        <v>40</v>
      </c>
      <c r="IX3" s="35" t="s">
        <v>19</v>
      </c>
      <c r="IY3" s="35" t="s">
        <v>20</v>
      </c>
      <c r="IZ3" s="35" t="s">
        <v>11</v>
      </c>
      <c r="JA3" s="35" t="s">
        <v>21</v>
      </c>
      <c r="JB3" s="46" t="s">
        <v>40</v>
      </c>
      <c r="JC3" s="10"/>
      <c r="JD3" s="9"/>
      <c r="JE3" s="9"/>
      <c r="JF3" s="9"/>
      <c r="JG3" s="9"/>
      <c r="JH3" s="10"/>
      <c r="JI3" s="10"/>
      <c r="JJ3" s="36" t="s">
        <v>19</v>
      </c>
      <c r="JK3" s="36" t="s">
        <v>20</v>
      </c>
      <c r="JL3" s="36" t="s">
        <v>11</v>
      </c>
      <c r="JM3" s="36" t="s">
        <v>21</v>
      </c>
      <c r="JN3" s="47" t="s">
        <v>40</v>
      </c>
      <c r="JO3" s="36" t="s">
        <v>19</v>
      </c>
      <c r="JP3" s="36" t="s">
        <v>20</v>
      </c>
      <c r="JQ3" s="36" t="s">
        <v>11</v>
      </c>
      <c r="JR3" s="36" t="s">
        <v>21</v>
      </c>
      <c r="JS3" s="47" t="s">
        <v>40</v>
      </c>
      <c r="JT3" s="36" t="s">
        <v>19</v>
      </c>
      <c r="JU3" s="36" t="s">
        <v>20</v>
      </c>
      <c r="JV3" s="36" t="s">
        <v>11</v>
      </c>
      <c r="JW3" s="36" t="s">
        <v>21</v>
      </c>
      <c r="JX3" s="47" t="s">
        <v>40</v>
      </c>
      <c r="JY3" s="13"/>
      <c r="JZ3" s="12"/>
      <c r="KA3" s="12"/>
      <c r="KB3" s="12"/>
      <c r="KC3" s="12"/>
      <c r="KD3" s="13"/>
      <c r="KE3" s="13"/>
      <c r="KF3" s="35" t="s">
        <v>19</v>
      </c>
      <c r="KG3" s="35" t="s">
        <v>20</v>
      </c>
      <c r="KH3" s="35" t="s">
        <v>11</v>
      </c>
      <c r="KI3" s="35" t="s">
        <v>21</v>
      </c>
      <c r="KJ3" s="46" t="s">
        <v>40</v>
      </c>
      <c r="KK3" s="35" t="s">
        <v>19</v>
      </c>
      <c r="KL3" s="35" t="s">
        <v>20</v>
      </c>
      <c r="KM3" s="35" t="s">
        <v>11</v>
      </c>
      <c r="KN3" s="35" t="s">
        <v>21</v>
      </c>
      <c r="KO3" s="46" t="s">
        <v>40</v>
      </c>
      <c r="KP3" s="35" t="s">
        <v>19</v>
      </c>
      <c r="KQ3" s="35" t="s">
        <v>20</v>
      </c>
      <c r="KR3" s="35" t="s">
        <v>11</v>
      </c>
      <c r="KS3" s="35" t="s">
        <v>21</v>
      </c>
      <c r="KT3" s="46" t="s">
        <v>40</v>
      </c>
      <c r="KU3" s="10"/>
      <c r="KV3" s="9"/>
      <c r="KW3" s="9"/>
      <c r="KX3" s="9"/>
      <c r="KY3" s="9"/>
      <c r="KZ3" s="10"/>
      <c r="LA3" s="10"/>
      <c r="LB3" s="36" t="s">
        <v>19</v>
      </c>
      <c r="LC3" s="36" t="s">
        <v>20</v>
      </c>
      <c r="LD3" s="36" t="s">
        <v>11</v>
      </c>
      <c r="LE3" s="36" t="s">
        <v>21</v>
      </c>
      <c r="LF3" s="47" t="s">
        <v>40</v>
      </c>
      <c r="LG3" s="36" t="s">
        <v>19</v>
      </c>
      <c r="LH3" s="36" t="s">
        <v>20</v>
      </c>
      <c r="LI3" s="36" t="s">
        <v>11</v>
      </c>
      <c r="LJ3" s="36" t="s">
        <v>21</v>
      </c>
      <c r="LK3" s="47" t="s">
        <v>40</v>
      </c>
      <c r="LL3" s="36" t="s">
        <v>19</v>
      </c>
      <c r="LM3" s="36" t="s">
        <v>20</v>
      </c>
      <c r="LN3" s="36" t="s">
        <v>11</v>
      </c>
      <c r="LO3" s="36" t="s">
        <v>21</v>
      </c>
      <c r="LP3" s="47" t="s">
        <v>40</v>
      </c>
      <c r="LQ3" s="13"/>
      <c r="LR3" s="12"/>
      <c r="LS3" s="12"/>
      <c r="LT3" s="12"/>
      <c r="LU3" s="12"/>
      <c r="LV3" s="13"/>
      <c r="LW3" s="13"/>
      <c r="LX3" s="35" t="s">
        <v>19</v>
      </c>
      <c r="LY3" s="35" t="s">
        <v>20</v>
      </c>
      <c r="LZ3" s="35" t="s">
        <v>11</v>
      </c>
      <c r="MA3" s="35" t="s">
        <v>21</v>
      </c>
      <c r="MB3" s="46" t="s">
        <v>40</v>
      </c>
      <c r="MC3" s="35" t="s">
        <v>19</v>
      </c>
      <c r="MD3" s="35" t="s">
        <v>20</v>
      </c>
      <c r="ME3" s="35" t="s">
        <v>11</v>
      </c>
      <c r="MF3" s="35" t="s">
        <v>21</v>
      </c>
      <c r="MG3" s="46" t="s">
        <v>40</v>
      </c>
      <c r="MH3" s="35" t="s">
        <v>19</v>
      </c>
      <c r="MI3" s="35" t="s">
        <v>20</v>
      </c>
      <c r="MJ3" s="35" t="s">
        <v>11</v>
      </c>
      <c r="MK3" s="35" t="s">
        <v>21</v>
      </c>
      <c r="ML3" s="46" t="s">
        <v>40</v>
      </c>
      <c r="MM3" s="10"/>
      <c r="MN3" s="9"/>
      <c r="MO3" s="9"/>
      <c r="MP3" s="9"/>
      <c r="MQ3" s="9"/>
      <c r="MR3" s="10"/>
      <c r="MS3" s="10"/>
      <c r="MT3" s="36" t="s">
        <v>19</v>
      </c>
      <c r="MU3" s="36" t="s">
        <v>20</v>
      </c>
      <c r="MV3" s="36" t="s">
        <v>11</v>
      </c>
      <c r="MW3" s="36" t="s">
        <v>21</v>
      </c>
      <c r="MX3" s="47" t="s">
        <v>40</v>
      </c>
      <c r="MY3" s="36" t="s">
        <v>19</v>
      </c>
      <c r="MZ3" s="36" t="s">
        <v>20</v>
      </c>
      <c r="NA3" s="36" t="s">
        <v>11</v>
      </c>
      <c r="NB3" s="36" t="s">
        <v>21</v>
      </c>
      <c r="NC3" s="47" t="s">
        <v>40</v>
      </c>
      <c r="ND3" s="36" t="s">
        <v>19</v>
      </c>
      <c r="NE3" s="36" t="s">
        <v>20</v>
      </c>
      <c r="NF3" s="36" t="s">
        <v>11</v>
      </c>
      <c r="NG3" s="36" t="s">
        <v>21</v>
      </c>
      <c r="NH3" s="47" t="s">
        <v>40</v>
      </c>
      <c r="NI3" s="13"/>
      <c r="NJ3" s="12"/>
      <c r="NK3" s="12"/>
      <c r="NL3" s="12"/>
      <c r="NM3" s="12"/>
      <c r="NN3" s="13"/>
      <c r="NO3" s="13"/>
      <c r="NP3" s="102" t="s">
        <v>19</v>
      </c>
      <c r="NQ3" s="102" t="s">
        <v>20</v>
      </c>
      <c r="NR3" s="102" t="s">
        <v>11</v>
      </c>
      <c r="NS3" s="102" t="s">
        <v>21</v>
      </c>
      <c r="NT3" s="10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02" t="s">
        <v>19</v>
      </c>
      <c r="OA3" s="102" t="s">
        <v>20</v>
      </c>
      <c r="OB3" s="102" t="s">
        <v>11</v>
      </c>
      <c r="OC3" s="102" t="s">
        <v>21</v>
      </c>
      <c r="OD3" s="102" t="s">
        <v>40</v>
      </c>
      <c r="OE3" s="102" t="s">
        <v>19</v>
      </c>
      <c r="OF3" s="102" t="s">
        <v>20</v>
      </c>
      <c r="OG3" s="102" t="s">
        <v>11</v>
      </c>
      <c r="OH3" s="102" t="s">
        <v>21</v>
      </c>
      <c r="OI3" s="102" t="s">
        <v>40</v>
      </c>
      <c r="OJ3" s="10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IF(AND(G4&lt;&gt;"",H4&lt;&gt;""),SUMPRODUCT((G$4:G$21&lt;&gt;"")*(H$4:H$21&lt;&gt;"")*(E$4:E$21&gt;E4))+1,IF(H4&lt;&gt;"",SUMPRODUCT((I$4:I$21="No DD")*(E$4:E$21&gt;E4))+1+SUMPRODUCT((G$4:G$21&lt;&gt;"")*(H$4:H$21&lt;&gt;"")),""))</f>
        <v>1</v>
      </c>
      <c r="B4" s="6" t="s">
        <v>80</v>
      </c>
      <c r="C4" s="7" t="s">
        <v>9</v>
      </c>
      <c r="D4" s="7">
        <v>2001</v>
      </c>
      <c r="E4" s="15">
        <f>SUM(K4:S4)</f>
        <v>280.08499999999998</v>
      </c>
      <c r="F4" s="3" t="str">
        <f>IF(G4&lt;&gt;"","P","")</f>
        <v>P</v>
      </c>
      <c r="G4" s="125" t="str">
        <f>IF(OR(AND(AR4&gt;=AY$26,AR4&lt;&gt;"",AP4=""),AND(AT4&gt;=AY$26,AT4&lt;&gt;"",AP4=""),AND(AW4&gt;=AY$26,AW4&lt;&gt;"",AP4=""),AND(BV4&gt;=CC$26,BV4&lt;&gt;"",BT4=""),AND(BX4&gt;=CC$26,BX4&lt;&gt;"",BT4=""),AND(CA4&gt;=CC$26,CA4&lt;&gt;"",BT4=""),AND(CZ4&gt;=DG$26,CZ4&lt;&gt;"",CX4=""),AND(DB4&gt;=DG$26,DB4&lt;&gt;"",CX4=""),AND(DE4&gt;=DG$26,DE4&lt;&gt;"",CX4=""),AND(EA4&gt;=EG$26,EA4&lt;&gt;""),AND(EE4&gt;=EG$26,EE4&lt;&gt;""),AND(EW4&gt;=FC$26,EW4&lt;&gt;""),AND(FA4&gt;=FC$26,FA4&lt;&gt;""),AND(FS4&gt;=FY$26,FS4&lt;&gt;""),AND(FW4&gt;=FY$26,FW4&lt;&gt;""),AND(GO4&gt;=GU$26,GO4&lt;&gt;""),AND(GS4&gt;=GU$26,GS4&lt;&gt;""),AND(HK4&gt;=HQ$26,HK4&lt;&gt;""),AND(HO4&gt;=HQ$26,HO4&lt;&gt;""),AND(IG4&gt;=IM$26,IG4&lt;&gt;""),AND(IK4&gt;=IM$26,IK4&lt;&gt;""),AND(JC4&gt;=JI$26,JC4&lt;&gt;""),AND(JG4&gt;=JI$26,JG4&lt;&gt;""),AND(JY4&gt;=KE$26,JY4&lt;&gt;""),AND(KC4&gt;=KE$26,KC4&lt;&gt;""),AND(KU4&gt;=LA$26,KU4&lt;&gt;""),AND(KY4&gt;=LA$26,KY4&lt;&gt;""),AND(LQ4&gt;=LW$26,LQ4&lt;&gt;""),AND(LU4&gt;=LW$26,LU4&lt;&gt;""),AND(MM4&gt;=MS$26,MM4&lt;&gt;""),AND(MQ4&gt;=MS$26,MQ4&lt;&gt;""),AND(NI4&gt;=NO$26,NI4&lt;&gt;""),AND(NM4&gt;=NO$26,NM4&lt;&gt;"")),"Merit",IF(OR(AND(AR4&gt;=AY$25,AR4&lt;&gt;"",AP4=""),AND(AT4&gt;=AY$25,AT4&lt;&gt;"",AP4=""),AND(AW4&gt;=AY$25,AW4&lt;&gt;"",AP4=""),AND(BV4&gt;=CC$25,BV4&lt;&gt;"",BT4=""),AND(BX4&gt;=CC$25,BX4&lt;&gt;"",BT4=""),AND(CA4&gt;=CC$25,CA4&lt;&gt;"",BT4=""),AND(CZ4&gt;=DG$25,CZ4&lt;&gt;"",CX4=""),AND(DB4&gt;=DG$25,DB4&lt;&gt;"",CX4=""),AND(DE4&gt;=DG$25,DE4&lt;&gt;"",CX4=""),AND(EA4&gt;=EG$25,EA4&lt;&gt;""),AND(EE4&gt;=EG$25,EE4&lt;&gt;""),AND(EW4&gt;=FC$25,EW4&lt;&gt;""),AND(FA4&gt;=FC$25,FA4&lt;&gt;""),AND(FS4&gt;=FY$25,FS4&lt;&gt;""),AND(FW4&gt;=FY$25,FW4&lt;&gt;""),AND(GO4&gt;=GU$25,GO4&lt;&gt;""),AND(GS4&gt;=GU$25,GS4&lt;&gt;""),AND(HK4&gt;=HQ$25,HK4&lt;&gt;""),AND(HO4&gt;=HQ$25,HO4&lt;&gt;""),AND(IG4&gt;=IM$25,IG4&lt;&gt;""),AND(IK4&gt;=IM$25,IK4&lt;&gt;""),AND(JC4&gt;=JI$25,JC4&lt;&gt;""),AND(JG4&gt;=JI$25,JG4&lt;&gt;""),AND(JY4&gt;=KE$25,JY4&lt;&gt;""),AND(KC4&gt;=KE$25,KC4&lt;&gt;""),AND(KU4&gt;=LA$25,KU4&lt;&gt;""),AND(KY4&gt;=LA$25,KY4&lt;&gt;""),AND(LQ4&gt;=LW$25,LQ4&lt;&gt;""),AND(LU4&gt;=LW$25,LU4&lt;&gt;""),AND(MM4&gt;=MS$25,MM4&lt;&gt;""),AND(MQ4&gt;=MS$25,MQ4&lt;&gt;""),AND(NI4&gt;=NO$25,NI4&lt;&gt;""),AND(NM4&gt;=NO$25,NM4&lt;&gt;"")),"Excellence",IF(OR(AND(AR4&gt;=AY$24,AR4&lt;&gt;"",AP4=""),AND(AT4&gt;=AY$24,AT4&lt;&gt;"",AP4=""),AND(AW4&gt;=AY$24,AW4&lt;&gt;"",AP4=""),AND(BV4&gt;=CC$24,BV4&lt;&gt;"",BT4=""),AND(BX4&gt;=CC$24,BX4&lt;&gt;"",BT4=""),AND(CA4&gt;=CC$24,CA4&lt;&gt;"",BT4=""),AND(CZ4&gt;=DG$24,CZ4&lt;&gt;"",CX4=""),AND(DB4&gt;=DG$24,DB4&lt;&gt;"",CX4=""),AND(DE4&gt;=DG$24,DE4&lt;&gt;"",CX4=""),AND(EA4&gt;=EG$24,EA4&lt;&gt;""),AND(EE4&gt;=EG$24,EE4&lt;&gt;""),AND(EW4&gt;=FC$24,EW4&lt;&gt;""),AND(FA4&gt;=FC$24,FA4&lt;&gt;""),AND(FS4&gt;=FY$24,FS4&lt;&gt;""),AND(FW4&gt;=FY$24,FW4&lt;&gt;""),AND(GO4&gt;=GU$24,GO4&lt;&gt;""),AND(GS4&gt;=GU$24,GS4&lt;&gt;""),AND(HK4&gt;=HQ$24,HK4&lt;&gt;""),AND(HO4&gt;=HQ$24,HO4&lt;&gt;""),AND(IG4&gt;=IM$24,IG4&lt;&gt;""),AND(IK4&gt;=IM$24,IK4&lt;&gt;""),AND(JC4&gt;=JI$24,JC4&lt;&gt;""),AND(JG4&gt;=JI$24,JG4&lt;&gt;""),AND(JY4&gt;=KE$24,JY4&lt;&gt;""),AND(KC4&gt;=KE$24,KC4&lt;&gt;""),AND(KU4&gt;=LA$24,KU4&lt;&gt;""),AND(KY4&gt;=LA$24,KY4&lt;&gt;""),AND(LQ4&gt;=LW$24,LQ4&lt;&gt;""),AND(LU4&gt;=LW$24,LU4&lt;&gt;""),AND(MM4&gt;=MS$24,MM4&lt;&gt;""),AND(MQ4&gt;=MS$24,MQ4&lt;&gt;""),AND(NI4&gt;=NO$24,NI4&lt;&gt;""),AND(NM4&gt;=NO$24,NM4&lt;&gt;"")),"Worlds Team",IF(OR(AND(AR4&gt;=AY$23,AR4&lt;&gt;"",AP4=""),AND(AT4&gt;=AY$23,AT4&lt;&gt;"",AP4=""),AND(AW4&gt;=AY$23,AW4&lt;&gt;"",AP4=""),AND(BV4&gt;=CC$23,BV4&lt;&gt;"",BT4=""),AND(BX4&gt;=CC$23,BX4&lt;&gt;"",BT4=""),AND(CA4&gt;=CC$23,CA4&lt;&gt;"",BT4=""),AND(CZ4&gt;=DG$23,CZ4&lt;&gt;"",CX4=""),AND(DB4&gt;=DG$23,DB4&lt;&gt;"",CX4=""),AND(DE4&gt;=DG$23,DE4&lt;&gt;"",CX4=""),AND(EA4&gt;=EG$23,EA4&lt;&gt;""),AND(EE4&gt;=EG$23,EE4&lt;&gt;""),AND(EW4&gt;=FC$23,EW4&lt;&gt;""),AND(FA4&gt;=FC$23,FA4&lt;&gt;""),AND(FS4&gt;=FY$23,FS4&lt;&gt;""),AND(FW4&gt;=FY$23,FW4&lt;&gt;""),AND(GO4&gt;=GU$23,GO4&lt;&gt;""),AND(GS4&gt;=GU$23,GS4&lt;&gt;""),AND(HK4&gt;=HQ$23,HK4&lt;&gt;""),AND(HO4&gt;=HQ$23,HO4&lt;&gt;""),AND(IG4&gt;=IM$23,IG4&lt;&gt;""),AND(IK4&gt;=IM$23,IK4&lt;&gt;""),AND(JC4&gt;=JI$23,JC4&lt;&gt;""),AND(JG4&gt;=JI$23,JG4&lt;&gt;""),AND(JY4&gt;=KE$23,JY4&lt;&gt;""),AND(KC4&gt;=KE$23,KC4&lt;&gt;""),AND(KU4&gt;=LA$23,KU4&lt;&gt;""),AND(KY4&gt;=LA$23,KY4&lt;&gt;""),AND(LQ4&gt;=LW$23,LQ4&lt;&gt;""),AND(LU4&gt;=LW$23,LU4&lt;&gt;""),AND(MM4&gt;=MS$23,MM4&lt;&gt;""),AND(MQ4&gt;=MS$23,MQ4&lt;&gt;""),AND(NI4&gt;=NO$23,NI4&lt;&gt;""),AND(NM4&gt;=NO$23,NM4&lt;&gt;"")),"National Team",""))))</f>
        <v>Merit</v>
      </c>
      <c r="H4" s="125" t="str">
        <f>IF(OR(AND(AS4&gt;=AY$30,AS4&lt;&gt;"",AP4=""),AND(AU4&gt;=AY$30,AU4&lt;&gt;"",AP4=""),AND(AX4&gt;=AY$30,AX4&lt;&gt;"",AP4=""),AND(BW4&gt;=CC$30,BW4&lt;&gt;"",BT4=""),AND(BY4&gt;=CC$30,BY4&lt;&gt;"",BT4=""),AND(CB4&gt;=CC$30,CB4&lt;&gt;"",BT4=""),AND(DA4&gt;=DG$30,DA4&lt;&gt;"",CX4=""),AND(DC4&gt;=DG$30,DC4&lt;&gt;"",CX4=""),AND(DF4&gt;=DG$30,DF4&lt;&gt;"",CX4=""),AND(EC4&gt;=EG$30,EC4&lt;&gt;""),AND(EF4&gt;=EG$30,EF4&lt;&gt;""),AND(EY4&gt;=FC$30,EY4&lt;&gt;""),AND(FB4&gt;=FC$30,FB4&lt;&gt;""),AND(FU4&gt;=FY$30,FU4&lt;&gt;""),AND(FX4&gt;=FY$30,FX4&lt;&gt;""),AND(GQ4&gt;=GU$30,GQ4&lt;&gt;""),AND(GT4&gt;=GU$30,GT4&lt;&gt;""),AND(HM4&gt;=HQ$30,HM4&lt;&gt;""),AND(HP4&gt;=HQ$30,HP4&lt;&gt;""),AND(II4&gt;=IM$30,II4&lt;&gt;""),AND(IL4&gt;=IM$30,IL4&lt;&gt;""),AND(JE4&gt;=JI$30,JE4&lt;&gt;""),AND(JH4&gt;=JI$30,JH4&lt;&gt;""),AND(KA4&gt;=KE$30,KA4&lt;&gt;""),AND(KD4&gt;=KE$30,KD4&lt;&gt;""),AND(KW4&gt;=LA$30,KW4&lt;&gt;""),AND(KZ4&gt;=LA$30,KZ4&lt;&gt;""),AND(LS4&gt;=LW$30,LS4&lt;&gt;""),AND(LV4&gt;=LW$30,LV4&lt;&gt;""),AND(MO4&gt;=MS$30,MO4&lt;&gt;""),AND(MR4&gt;=MS$30,MR4&lt;&gt;""),AND(NK4&gt;=NO$30,NK4&lt;&gt;""),AND(NN4&gt;=NO$30,NN4&lt;&gt;"")),"Merit",IF(OR(AND(AS4&gt;=AY$29,AS4&lt;&gt;"",AP4=""),AND(AU4&gt;=AY$29,AU4&lt;&gt;"",AP4=""),AND(AX4&gt;=AY$29,AX4&lt;&gt;"",AP4=""),AND(BW4&gt;=CC$29,BW4&lt;&gt;"",BT4=""),AND(BY4&gt;=CC$29,BY4&lt;&gt;"",BT4=""),AND(CB4&gt;=CC$29,CB4&lt;&gt;"",BT4=""),AND(DA4&gt;=DG$29,DA4&lt;&gt;"",CX4=""),AND(DC4&gt;=DG$29,DC4&lt;&gt;"",CX4=""),AND(DF4&gt;=DG$29,DF4&lt;&gt;"",CX4=""),AND(EC4&gt;=EG$29,EC4&lt;&gt;""),AND(EF4&gt;=EG$29,EF4&lt;&gt;""),AND(EY4&gt;=FC$29,EY4&lt;&gt;""),AND(FB4&gt;=FC$29,FB4&lt;&gt;""),AND(FU4&gt;=FY$29,FU4&lt;&gt;""),AND(FX4&gt;=FY$29,FX4&lt;&gt;""),AND(GQ4&gt;=GU$29,GQ4&lt;&gt;""),AND(GT4&gt;=GU$29,GT4&lt;&gt;""),AND(HM4&gt;=HQ$29,HM4&lt;&gt;""),AND(HP4&gt;=HQ$29,HP4&lt;&gt;""),AND(II4&gt;=IM$29,II4&lt;&gt;""),AND(IL4&gt;=IM$29,IL4&lt;&gt;""),AND(JE4&gt;=JI$29,JE4&lt;&gt;""),AND(JH4&gt;=JI$29,JH4&lt;&gt;""),AND(KA4&gt;=KE$29,KA4&lt;&gt;""),AND(KD4&gt;=KE$29,KD4&lt;&gt;""),AND(KW4&gt;=LA$29,KW4&lt;&gt;""),AND(KZ4&gt;=LA$29,KZ4&lt;&gt;""),AND(LS4&gt;=LW$29,LS4&lt;&gt;""),AND(LV4&gt;=LW$29,LV4&lt;&gt;""),AND(MO4&gt;=MS$29,MO4&lt;&gt;""),AND(MR4&gt;=MS$29,MR4&lt;&gt;""),AND(NK4&gt;=NO$29,NK4&lt;&gt;""),AND(NN4&gt;=NO$29,NN4&lt;&gt;"")),"Excellence",IF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"Worlds Team",IF(OR(AND(AV4&gt;=AY$27,AV4&lt;&gt;"",AP4=""),AND(BZ4&gt;=CC$27,BZ4&lt;&gt;"",BT4=""),AND(DD4&gt;=DG$27,DD4&lt;&gt;"",CX4=""),AND(ED4&gt;=EG$27,ED4&lt;&gt;""),AND(EZ4&gt;=FC$27,EZ4&lt;&gt;""),AND(FV4&gt;=FY$27,FV4&lt;&gt;""),AND(GR4&gt;=GU$27,GR4&lt;&gt;""),AND(HN4&gt;=HQ$27,HN4&lt;&gt;""),AND(IJ4&gt;=IM$27,IJ4&lt;&gt;""),AND(JF4&gt;=JI$27,JF4&lt;&gt;""),AND(KB4&gt;=KE$27,KB4&lt;&gt;""),AND(KX4&gt;=LA$27,KX4&lt;&gt;""),AND(LT4&gt;=LW$27,LT4&lt;&gt;""),AND(MP4&gt;=MS$27,MP4&lt;&gt;""),AND(NL4&gt;=NO$27,NL4&lt;&gt;"")),"National Team",""))))</f>
        <v>Excellence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Excellence</v>
      </c>
      <c r="J4" s="3" t="str">
        <f>IF(AND(OR(AND(AV4&gt;=AY$28,AV4&lt;&gt;"",AP4=""),AND(BZ4&gt;=CC$28,BZ4&lt;&gt;"",BT4=""),AND(DD4&gt;=DG$28,DD4&lt;&gt;"",CX4=""),AND(ED4&gt;=EG$28,ED4&lt;&gt;""),AND(EZ4&gt;=FC$28,EZ4&lt;&gt;""),AND(FV4&gt;=FY$28,FV4&lt;&gt;""),AND(GR4&gt;=GU$28,GR4&lt;&gt;""),AND(HN4&gt;=HQ$28,HN4&lt;&gt;""),AND(IJ4&gt;=IM$28,IJ4&lt;&gt;""),AND(JF4&gt;=JI$28,JF4&lt;&gt;""),AND(KB4&gt;=KE$28,KB4&lt;&gt;""),AND(KX4&gt;=LA$28,KX4&lt;&gt;""),AND(LT4&gt;=LW$28,LT4&lt;&gt;""),AND(MP4&gt;=MS$28,MP4&lt;&gt;""),AND(NL4&gt;=NO$28,NL4&lt;&gt;"")),OR(G4="Worlds Team",G4="Excellence",G4="Merit")),"P","")</f>
        <v>P</v>
      </c>
      <c r="K4" s="14">
        <f>IF(MAX(AV4,BZ4,DD4)&gt;0,MAX(AV4,BZ4,DD4),0)</f>
        <v>110.75999999999999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52.155000000000001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56.745000000000005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59.36</v>
      </c>
      <c r="R4" s="14" t="str">
        <f>IF(Q4=0,"",IF(Q4=DF4,$CD$1,IF(Q4=CB4,$AZ$1,IF(Q4=AX4,$V$1,""))))</f>
        <v>2021 2nd Virtual Technical Trial</v>
      </c>
      <c r="S4" s="14">
        <f>IF(MAX(DH4,DI4,DJ4,DK4)&gt;0,MAX(DH4,DI4,DJ4,DK4),"")</f>
        <v>1.0649999999999977</v>
      </c>
      <c r="T4" s="25" t="str">
        <f>IF(S4="","",IF(S4=DH4,"(Vol 1)",IF(S4=DI4,"(Vol 2)",IF(S4=DJ4,"(Prelim)",IF(S4=DK4,"(Final)")))))</f>
        <v>(Vol 2)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2021 World Cup ITA/Olympic Technical Trial (June 4/9)</v>
      </c>
      <c r="V4" s="69">
        <v>18.8</v>
      </c>
      <c r="W4" s="69">
        <v>8.5</v>
      </c>
      <c r="X4" s="69">
        <v>6.1</v>
      </c>
      <c r="Y4" s="69">
        <v>18.329999999999998</v>
      </c>
      <c r="Z4" s="69">
        <v>0</v>
      </c>
      <c r="AA4" s="69">
        <v>16.3</v>
      </c>
      <c r="AB4" s="69">
        <v>8.4</v>
      </c>
      <c r="AC4" s="69">
        <v>15.2</v>
      </c>
      <c r="AD4" s="69">
        <v>16.844999999999999</v>
      </c>
      <c r="AE4" s="69">
        <v>0</v>
      </c>
      <c r="AF4" s="69">
        <v>16.600000000000001</v>
      </c>
      <c r="AG4" s="69">
        <v>9.1</v>
      </c>
      <c r="AH4" s="69">
        <v>16.2</v>
      </c>
      <c r="AI4" s="69">
        <v>17.13</v>
      </c>
      <c r="AJ4" s="69">
        <v>0</v>
      </c>
      <c r="AK4" s="69">
        <v>16.8</v>
      </c>
      <c r="AL4" s="69">
        <v>9.1</v>
      </c>
      <c r="AM4" s="69">
        <v>16.2</v>
      </c>
      <c r="AN4" s="69">
        <v>17.260000000000002</v>
      </c>
      <c r="AO4" s="69">
        <v>0</v>
      </c>
      <c r="AP4" s="80"/>
      <c r="AQ4" s="11">
        <f>IF(SUM(V4:Y4)-Z4&gt;0,SUM(V4:Y4)-Z4,"")</f>
        <v>51.73</v>
      </c>
      <c r="AR4" s="11">
        <f>IF(AC4&gt;0,AC4,"")</f>
        <v>15.2</v>
      </c>
      <c r="AS4" s="11">
        <f>IF(SUM(AA4:AD4)-AE4&gt;0,SUM(AA4:AD4)-AE4,"")</f>
        <v>56.745000000000005</v>
      </c>
      <c r="AT4" s="11">
        <f>IF(AH4&gt;0,AH4,"")</f>
        <v>16.2</v>
      </c>
      <c r="AU4" s="11">
        <f>IF(SUM(AF4:AI4)-AJ4&gt;0,SUM(AF4:AI4)-AJ4,"")</f>
        <v>59.03</v>
      </c>
      <c r="AV4" s="11">
        <f>IF(AQ4="",IF(MAX(AS4,AU4)&gt;0,MAX(AS4,AU4),""),MAX(AS4,AU4)+AQ4)</f>
        <v>110.75999999999999</v>
      </c>
      <c r="AW4" s="11">
        <f>IF(AM4&gt;0,AM4,"")</f>
        <v>16.2</v>
      </c>
      <c r="AX4" s="11">
        <f>IF(SUM(AK4:AN4)-AO4&gt;0,SUM(AK4:AN4)-AO4,"")</f>
        <v>59.36</v>
      </c>
      <c r="AY4" s="11">
        <f>IF(SUM(AV4,AX4)&gt;0,SUM(AV4,AX4),"")</f>
        <v>170.12</v>
      </c>
      <c r="AZ4" s="75">
        <v>18.850000000000001</v>
      </c>
      <c r="BA4" s="75">
        <v>9</v>
      </c>
      <c r="BB4" s="75">
        <v>5.9</v>
      </c>
      <c r="BC4" s="75">
        <v>18.405000000000001</v>
      </c>
      <c r="BD4" s="75">
        <v>0</v>
      </c>
      <c r="BE4" s="75">
        <v>15</v>
      </c>
      <c r="BF4" s="75">
        <v>7.7750000000000004</v>
      </c>
      <c r="BG4" s="75">
        <v>13.75</v>
      </c>
      <c r="BH4" s="75">
        <v>15.302499999999998</v>
      </c>
      <c r="BI4" s="75">
        <v>0</v>
      </c>
      <c r="BJ4" s="75">
        <v>10</v>
      </c>
      <c r="BK4" s="75">
        <v>5.3999999999999995</v>
      </c>
      <c r="BL4" s="75">
        <v>9.7999999999999989</v>
      </c>
      <c r="BM4" s="75">
        <v>10.385</v>
      </c>
      <c r="BN4" s="75">
        <v>0</v>
      </c>
      <c r="BO4" s="75">
        <v>12</v>
      </c>
      <c r="BP4" s="75">
        <v>6.3</v>
      </c>
      <c r="BQ4" s="75">
        <v>11.45</v>
      </c>
      <c r="BR4" s="75">
        <v>12.270000000000001</v>
      </c>
      <c r="BS4" s="75">
        <v>0</v>
      </c>
      <c r="BT4" s="81" t="s">
        <v>74</v>
      </c>
      <c r="BU4" s="14">
        <f>IF(SUM(AZ4:BC4)-BD4&gt;0,SUM(AZ4:BC4)-BD4,"")</f>
        <v>52.155000000000001</v>
      </c>
      <c r="BV4" s="14">
        <f>IF(BG4&gt;0,BG4,"")</f>
        <v>13.75</v>
      </c>
      <c r="BW4" s="14">
        <f>IF(SUM(BE4:BH4)-BI4&gt;0,SUM(BE4:BH4)-BI4,"")</f>
        <v>51.827500000000001</v>
      </c>
      <c r="BX4" s="14">
        <f>IF(BL4&gt;0,BL4,"")</f>
        <v>9.7999999999999989</v>
      </c>
      <c r="BY4" s="14">
        <f>IF(SUM(BJ4:BM4)-BN4&gt;0,SUM(BJ4:BM4)-BN4,"")</f>
        <v>35.584999999999994</v>
      </c>
      <c r="BZ4" s="14">
        <f>IF(BU4="",IF(MAX(BW4,BY4)&gt;0,MAX(BW4,BY4),""),MAX(BW4,BY4)+BU4)</f>
        <v>103.9825</v>
      </c>
      <c r="CA4" s="14">
        <f>IF(BQ4&gt;0,BQ4,"")</f>
        <v>11.45</v>
      </c>
      <c r="CB4" s="14">
        <f>IF(SUM(BO4:BR4)-BS4&gt;0,SUM(BO4:BR4)-BS4,"")</f>
        <v>42.02</v>
      </c>
      <c r="CC4" s="14">
        <f>IF(SUM(BZ4,CB4)&gt;0,SUM(BZ4,CB4),"")</f>
        <v>146.0025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 t="str">
        <f>IF(MAX(EB4,EX4,FT4,GP4,HL4,IH4,JD4,JZ4,KV4,LR4,MN4,NJ4)-IF(M4="",0,M4)&gt;0.001,MAX(EB4,EX4,FT4,GP4,HL4,IH4,JD4,JZ4,KV4,LR4,MN4,NJ4)-IF(M4="",0,M4),"")</f>
        <v/>
      </c>
      <c r="DI4" s="24">
        <f>IF(MAX(EC4,EY4,FU4,GQ4,HM4,II4,JE4,KA4,KW4,LS4,MO4,NK4)-IF(O4="",0,O4)&gt;0.001,MAX(EC4,EY4,FU4,GQ4,HM4,II4,JE4,KA4,KW4,LS4,MO4,NK4)-IF(O4="",0,O4),"")</f>
        <v>1.0649999999999977</v>
      </c>
      <c r="DJ4" s="24" t="str">
        <f>IF(MAX(ED4,EZ4,FV4,GR4,HN4,IJ4,JF4,KB4,KX4,LT4,MP4,NL4)-IF(K4="",0,K4)&gt;0.001,MAX(ED4,EZ4,FV4,GR4,HN4,IJ4,JF4,KB4,KX4,LT4,MP4,NL4)-IF(K4="",0,K4),"")</f>
        <v/>
      </c>
      <c r="DK4" s="24" t="str">
        <f>IF(MAX(EF4,FB4,FX4,GT4,HP4,IL4,JH4,KD4,KZ4,LV4,MR4,NN4)-IF(Q4="",0,Q4)&gt;0.001,MAX(EF4,FB4,FX4,GT4,HP4,IL4,JH4,KD4,KZ4,LV4,MR4,NN4)-IF(Q4="",0,Q4),"")</f>
        <v/>
      </c>
      <c r="DL4" s="37">
        <v>18.3</v>
      </c>
      <c r="DM4" s="37">
        <v>8.6999999999999993</v>
      </c>
      <c r="DN4" s="37">
        <v>5.9</v>
      </c>
      <c r="DO4" s="37">
        <v>17.84</v>
      </c>
      <c r="DP4" s="37">
        <v>0</v>
      </c>
      <c r="DQ4" s="37">
        <v>15.5</v>
      </c>
      <c r="DR4" s="37">
        <v>8.6999999999999993</v>
      </c>
      <c r="DS4" s="37">
        <v>17.100000000000001</v>
      </c>
      <c r="DT4" s="37">
        <v>16.510000000000002</v>
      </c>
      <c r="DU4" s="37">
        <v>0</v>
      </c>
      <c r="DV4" s="37"/>
      <c r="DW4" s="37"/>
      <c r="DX4" s="37"/>
      <c r="DY4" s="37"/>
      <c r="DZ4" s="37"/>
      <c r="EA4" s="11">
        <f>IF(DS4&gt;0,DS4,"")</f>
        <v>17.100000000000001</v>
      </c>
      <c r="EB4" s="11">
        <f>IF(SUM(DL4:DO4)-DP4&gt;0,SUM(DL4:DO4)-DP4,"")</f>
        <v>50.739999999999995</v>
      </c>
      <c r="EC4" s="11">
        <f>IF(SUM(DQ4:DT4)-DU4&gt;0,SUM(DQ4:DT4)-DU4,"")</f>
        <v>57.81</v>
      </c>
      <c r="ED4" s="11">
        <f>IF(SUM(EB4:EC4)&gt;0,SUM(EB4:EC4),"")</f>
        <v>108.55</v>
      </c>
      <c r="EE4" s="11" t="str">
        <f>IF(DX4&gt;0,DX4,"")</f>
        <v/>
      </c>
      <c r="EF4" s="11" t="str">
        <f>IF(SUM(DV4:DY4)-DZ4&gt;0,SUM(DV4:DY4)-DZ4,"")</f>
        <v/>
      </c>
      <c r="EG4" s="11">
        <f>IF(SUM(ED4,EF4)&gt;0,SUM(ED4,EF4),"")</f>
        <v>108.55</v>
      </c>
      <c r="EH4" s="38"/>
      <c r="EI4" s="38"/>
      <c r="EJ4" s="38"/>
      <c r="EK4" s="38"/>
      <c r="EL4" s="38"/>
      <c r="EM4" s="38"/>
      <c r="EN4" s="38"/>
      <c r="EO4" s="38"/>
      <c r="EP4" s="38"/>
      <c r="EQ4" s="38"/>
      <c r="ER4" s="38"/>
      <c r="ES4" s="38"/>
      <c r="ET4" s="38"/>
      <c r="EU4" s="38"/>
      <c r="EV4" s="38"/>
      <c r="EW4" s="14" t="str">
        <f>IF(EO4&gt;0,EO4,"")</f>
        <v/>
      </c>
      <c r="EX4" s="14" t="str">
        <f>IF(SUM(EH4:EK4)-EL4&gt;0,SUM(EH4:EK4)-EL4,"")</f>
        <v/>
      </c>
      <c r="EY4" s="14" t="str">
        <f>IF(SUM(EM4:EP4)-EQ4&gt;0,SUM(EM4:EP4)-EQ4,"")</f>
        <v/>
      </c>
      <c r="EZ4" s="14" t="str">
        <f>IF(SUM(EX4:EY4)&gt;0,SUM(EX4:EY4),"")</f>
        <v/>
      </c>
      <c r="FA4" s="14" t="str">
        <f>IF(ET4&gt;0,ET4,"")</f>
        <v/>
      </c>
      <c r="FB4" s="14" t="str">
        <f>IF(SUM(ER4:EU4)-EV4&gt;0,SUM(ER4:EU4)-EV4,"")</f>
        <v/>
      </c>
      <c r="FC4" s="14" t="str">
        <f>IF(SUM(EZ4,FB4)&gt;0,SUM(EZ4,FB4),"")</f>
        <v/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9.4250000000000007</v>
      </c>
      <c r="NQ4" s="69">
        <f>IF($CX4="P",CE4,(CE4+BA4)/2)</f>
        <v>4.5</v>
      </c>
      <c r="NR4" s="69">
        <f>IF($CX4="P",CF4,(CF4+BB4)/2)</f>
        <v>2.95</v>
      </c>
      <c r="NS4" s="69">
        <f>IF($CX4="P",CG4,(CG4+BC4)/2)</f>
        <v>9.2025000000000006</v>
      </c>
      <c r="NT4" s="69">
        <f>IF($CX4="P",CH4,(CH4+BD4)/2)</f>
        <v>0</v>
      </c>
      <c r="NU4" s="69">
        <f>IF($CX4="P",CI4,(CI4+BE4)/2)</f>
        <v>7.5</v>
      </c>
      <c r="NV4" s="69">
        <f>IF($CX4="P",CJ4,(CJ4+BF4)/2)</f>
        <v>3.8875000000000002</v>
      </c>
      <c r="NW4" s="69">
        <f>IF($CX4="P",CK4,(CK4+BG4)/2)</f>
        <v>6.875</v>
      </c>
      <c r="NX4" s="69">
        <f>IF($CX4="P",CL4,(CL4+BH4)/2)</f>
        <v>7.6512499999999992</v>
      </c>
      <c r="NY4" s="69">
        <f>IF($CX4="P",CM4,(CM4+BI4)/2)</f>
        <v>0</v>
      </c>
      <c r="NZ4" s="69">
        <f>IF($CX4="P",CN4,(CN4+BJ4)/2)</f>
        <v>5</v>
      </c>
      <c r="OA4" s="69">
        <f>IF($CX4="P",CO4,(CO4+BK4)/2)</f>
        <v>2.6999999999999997</v>
      </c>
      <c r="OB4" s="69">
        <f>IF($CX4="P",CP4,(CP4+BL4)/2)</f>
        <v>4.8999999999999995</v>
      </c>
      <c r="OC4" s="69">
        <f>IF($CX4="P",CQ4,(CQ4+BM4)/2)</f>
        <v>5.1924999999999999</v>
      </c>
      <c r="OD4" s="69">
        <f>IF($CX4="P",CR4,(CR4+BN4)/2)</f>
        <v>0</v>
      </c>
      <c r="OE4" s="69">
        <f>IF($CX4="P",CS4,(CS4+BO4)/2)</f>
        <v>6</v>
      </c>
      <c r="OF4" s="69">
        <f>IF($CX4="P",CT4,(CT4+BP4)/2)</f>
        <v>3.15</v>
      </c>
      <c r="OG4" s="69">
        <f>IF($CX4="P",CU4,(CU4+BQ4)/2)</f>
        <v>5.7249999999999996</v>
      </c>
      <c r="OH4" s="69">
        <f>IF($CX4="P",CV4,(CV4+BR4)/2)</f>
        <v>6.1350000000000007</v>
      </c>
      <c r="OI4" s="69">
        <f>IF($CX4="P",CW4,(CW4+BS4)/2)</f>
        <v>0</v>
      </c>
      <c r="OJ4" s="80" t="s">
        <v>74</v>
      </c>
      <c r="OK4" s="11">
        <f>IF(SUM(NP4:NS4)-NT4&gt;0,SUM(NP4:NS4)-NT4,"")</f>
        <v>26.077500000000001</v>
      </c>
      <c r="OL4" s="11">
        <f>IF(NW4&gt;0,NW4,"")</f>
        <v>6.875</v>
      </c>
      <c r="OM4" s="11">
        <f>IF(SUM(NU4:NX4)-NY4&gt;0,SUM(NU4:NX4)-NY4,"")</f>
        <v>25.91375</v>
      </c>
      <c r="ON4" s="11">
        <f>IF(OB4&gt;0,OB4,"")</f>
        <v>4.8999999999999995</v>
      </c>
      <c r="OO4" s="11">
        <f>IF(SUM(NZ4:OC4)-OD4&gt;0,SUM(NZ4:OC4)-OD4,"")</f>
        <v>17.792499999999997</v>
      </c>
      <c r="OP4" s="11">
        <f>IF(OR(OK4&lt;&gt;"",OM4&lt;&gt;"",OO4&lt;&gt;""),OK4+MAX(OM4,OO4),"")</f>
        <v>51.991250000000001</v>
      </c>
      <c r="OQ4" s="11">
        <f>IF(OG4&gt;0,OG4,"")</f>
        <v>5.7249999999999996</v>
      </c>
      <c r="OR4" s="11">
        <f t="shared" ref="OR4:OR19" si="0">IF(SUM(OE4:OH4)-OI4&gt;0,SUM(OE4:OH4)-OI4,"")</f>
        <v>21.01</v>
      </c>
      <c r="OS4" s="11">
        <f>IF(SUM(OP4,OR4)&gt;0,SUM(OP4,OR4),"")</f>
        <v>73.001249999999999</v>
      </c>
    </row>
    <row r="5" spans="1:409" x14ac:dyDescent="0.2">
      <c r="A5" s="5" cm="1">
        <f t="array" ref="A5">IF(AND(G5&lt;&gt;"",H5&lt;&gt;""),SUMPRODUCT((G$4:G$21&lt;&gt;"")*(H$4:H$21&lt;&gt;"")*(E$4:E$21&gt;E5))+1,IF(H5&lt;&gt;"",SUMPRODUCT((I$4:I$21="No DD")*(E$4:E$21&gt;E5))+1+SUMPRODUCT((G$4:G$21&lt;&gt;"")*(H$4:H$21&lt;&gt;"")),""))</f>
        <v>2</v>
      </c>
      <c r="B5" s="6" t="s">
        <v>95</v>
      </c>
      <c r="C5" s="7" t="s">
        <v>9</v>
      </c>
      <c r="D5" s="27">
        <v>2001</v>
      </c>
      <c r="E5" s="15">
        <f>SUM(K5:S5)</f>
        <v>277.29000000000002</v>
      </c>
      <c r="F5" s="3" t="str">
        <f>IF(G5&lt;&gt;"","P","")</f>
        <v>P</v>
      </c>
      <c r="G5" s="125" t="str">
        <f>IF(OR(AND(AR5&gt;=AY$26,AR5&lt;&gt;"",AP5=""),AND(AT5&gt;=AY$26,AT5&lt;&gt;"",AP5=""),AND(AW5&gt;=AY$26,AW5&lt;&gt;"",AP5=""),AND(BV5&gt;=CC$26,BV5&lt;&gt;"",BT5=""),AND(BX5&gt;=CC$26,BX5&lt;&gt;"",BT5=""),AND(CA5&gt;=CC$26,CA5&lt;&gt;"",BT5=""),AND(CZ5&gt;=DG$26,CZ5&lt;&gt;"",CX5=""),AND(DB5&gt;=DG$26,DB5&lt;&gt;"",CX5=""),AND(DE5&gt;=DG$26,DE5&lt;&gt;"",CX5=""),AND(EA5&gt;=EG$26,EA5&lt;&gt;""),AND(EE5&gt;=EG$26,EE5&lt;&gt;""),AND(EW5&gt;=FC$26,EW5&lt;&gt;""),AND(FA5&gt;=FC$26,FA5&lt;&gt;""),AND(FS5&gt;=FY$26,FS5&lt;&gt;""),AND(FW5&gt;=FY$26,FW5&lt;&gt;""),AND(GO5&gt;=GU$26,GO5&lt;&gt;""),AND(GS5&gt;=GU$26,GS5&lt;&gt;""),AND(HK5&gt;=HQ$26,HK5&lt;&gt;""),AND(HO5&gt;=HQ$26,HO5&lt;&gt;""),AND(IG5&gt;=IM$26,IG5&lt;&gt;""),AND(IK5&gt;=IM$26,IK5&lt;&gt;""),AND(JC5&gt;=JI$26,JC5&lt;&gt;""),AND(JG5&gt;=JI$26,JG5&lt;&gt;""),AND(JY5&gt;=KE$26,JY5&lt;&gt;""),AND(KC5&gt;=KE$26,KC5&lt;&gt;""),AND(KU5&gt;=LA$26,KU5&lt;&gt;""),AND(KY5&gt;=LA$26,KY5&lt;&gt;""),AND(LQ5&gt;=LW$26,LQ5&lt;&gt;""),AND(LU5&gt;=LW$26,LU5&lt;&gt;""),AND(MM5&gt;=MS$26,MM5&lt;&gt;""),AND(MQ5&gt;=MS$26,MQ5&lt;&gt;""),AND(NI5&gt;=NO$26,NI5&lt;&gt;""),AND(NM5&gt;=NO$26,NM5&lt;&gt;"")),"Merit",IF(OR(AND(AR5&gt;=AY$25,AR5&lt;&gt;"",AP5=""),AND(AT5&gt;=AY$25,AT5&lt;&gt;"",AP5=""),AND(AW5&gt;=AY$25,AW5&lt;&gt;"",AP5=""),AND(BV5&gt;=CC$25,BV5&lt;&gt;"",BT5=""),AND(BX5&gt;=CC$25,BX5&lt;&gt;"",BT5=""),AND(CA5&gt;=CC$25,CA5&lt;&gt;"",BT5=""),AND(CZ5&gt;=DG$25,CZ5&lt;&gt;"",CX5=""),AND(DB5&gt;=DG$25,DB5&lt;&gt;"",CX5=""),AND(DE5&gt;=DG$25,DE5&lt;&gt;"",CX5=""),AND(EA5&gt;=EG$25,EA5&lt;&gt;""),AND(EE5&gt;=EG$25,EE5&lt;&gt;""),AND(EW5&gt;=FC$25,EW5&lt;&gt;""),AND(FA5&gt;=FC$25,FA5&lt;&gt;""),AND(FS5&gt;=FY$25,FS5&lt;&gt;""),AND(FW5&gt;=FY$25,FW5&lt;&gt;""),AND(GO5&gt;=GU$25,GO5&lt;&gt;""),AND(GS5&gt;=GU$25,GS5&lt;&gt;""),AND(HK5&gt;=HQ$25,HK5&lt;&gt;""),AND(HO5&gt;=HQ$25,HO5&lt;&gt;""),AND(IG5&gt;=IM$25,IG5&lt;&gt;""),AND(IK5&gt;=IM$25,IK5&lt;&gt;""),AND(JC5&gt;=JI$25,JC5&lt;&gt;""),AND(JG5&gt;=JI$25,JG5&lt;&gt;""),AND(JY5&gt;=KE$25,JY5&lt;&gt;""),AND(KC5&gt;=KE$25,KC5&lt;&gt;""),AND(KU5&gt;=LA$25,KU5&lt;&gt;""),AND(KY5&gt;=LA$25,KY5&lt;&gt;""),AND(LQ5&gt;=LW$25,LQ5&lt;&gt;""),AND(LU5&gt;=LW$25,LU5&lt;&gt;""),AND(MM5&gt;=MS$25,MM5&lt;&gt;""),AND(MQ5&gt;=MS$25,MQ5&lt;&gt;""),AND(NI5&gt;=NO$25,NI5&lt;&gt;""),AND(NM5&gt;=NO$25,NM5&lt;&gt;"")),"Excellence",IF(OR(AND(AR5&gt;=AY$24,AR5&lt;&gt;"",AP5=""),AND(AT5&gt;=AY$24,AT5&lt;&gt;"",AP5=""),AND(AW5&gt;=AY$24,AW5&lt;&gt;"",AP5=""),AND(BV5&gt;=CC$24,BV5&lt;&gt;"",BT5=""),AND(BX5&gt;=CC$24,BX5&lt;&gt;"",BT5=""),AND(CA5&gt;=CC$24,CA5&lt;&gt;"",BT5=""),AND(CZ5&gt;=DG$24,CZ5&lt;&gt;"",CX5=""),AND(DB5&gt;=DG$24,DB5&lt;&gt;"",CX5=""),AND(DE5&gt;=DG$24,DE5&lt;&gt;"",CX5=""),AND(EA5&gt;=EG$24,EA5&lt;&gt;""),AND(EE5&gt;=EG$24,EE5&lt;&gt;""),AND(EW5&gt;=FC$24,EW5&lt;&gt;""),AND(FA5&gt;=FC$24,FA5&lt;&gt;""),AND(FS5&gt;=FY$24,FS5&lt;&gt;""),AND(FW5&gt;=FY$24,FW5&lt;&gt;""),AND(GO5&gt;=GU$24,GO5&lt;&gt;""),AND(GS5&gt;=GU$24,GS5&lt;&gt;""),AND(HK5&gt;=HQ$24,HK5&lt;&gt;""),AND(HO5&gt;=HQ$24,HO5&lt;&gt;""),AND(IG5&gt;=IM$24,IG5&lt;&gt;""),AND(IK5&gt;=IM$24,IK5&lt;&gt;""),AND(JC5&gt;=JI$24,JC5&lt;&gt;""),AND(JG5&gt;=JI$24,JG5&lt;&gt;""),AND(JY5&gt;=KE$24,JY5&lt;&gt;""),AND(KC5&gt;=KE$24,KC5&lt;&gt;""),AND(KU5&gt;=LA$24,KU5&lt;&gt;""),AND(KY5&gt;=LA$24,KY5&lt;&gt;""),AND(LQ5&gt;=LW$24,LQ5&lt;&gt;""),AND(LU5&gt;=LW$24,LU5&lt;&gt;""),AND(MM5&gt;=MS$24,MM5&lt;&gt;""),AND(MQ5&gt;=MS$24,MQ5&lt;&gt;""),AND(NI5&gt;=NO$24,NI5&lt;&gt;""),AND(NM5&gt;=NO$24,NM5&lt;&gt;"")),"Worlds Team",IF(OR(AND(AR5&gt;=AY$23,AR5&lt;&gt;"",AP5=""),AND(AT5&gt;=AY$23,AT5&lt;&gt;"",AP5=""),AND(AW5&gt;=AY$23,AW5&lt;&gt;"",AP5=""),AND(BV5&gt;=CC$23,BV5&lt;&gt;"",BT5=""),AND(BX5&gt;=CC$23,BX5&lt;&gt;"",BT5=""),AND(CA5&gt;=CC$23,CA5&lt;&gt;"",BT5=""),AND(CZ5&gt;=DG$23,CZ5&lt;&gt;"",CX5=""),AND(DB5&gt;=DG$23,DB5&lt;&gt;"",CX5=""),AND(DE5&gt;=DG$23,DE5&lt;&gt;"",CX5=""),AND(EA5&gt;=EG$23,EA5&lt;&gt;""),AND(EE5&gt;=EG$23,EE5&lt;&gt;""),AND(EW5&gt;=FC$23,EW5&lt;&gt;""),AND(FA5&gt;=FC$23,FA5&lt;&gt;""),AND(FS5&gt;=FY$23,FS5&lt;&gt;""),AND(FW5&gt;=FY$23,FW5&lt;&gt;""),AND(GO5&gt;=GU$23,GO5&lt;&gt;""),AND(GS5&gt;=GU$23,GS5&lt;&gt;""),AND(HK5&gt;=HQ$23,HK5&lt;&gt;""),AND(HO5&gt;=HQ$23,HO5&lt;&gt;""),AND(IG5&gt;=IM$23,IG5&lt;&gt;""),AND(IK5&gt;=IM$23,IK5&lt;&gt;""),AND(JC5&gt;=JI$23,JC5&lt;&gt;""),AND(JG5&gt;=JI$23,JG5&lt;&gt;""),AND(JY5&gt;=KE$23,JY5&lt;&gt;""),AND(KC5&gt;=KE$23,KC5&lt;&gt;""),AND(KU5&gt;=LA$23,KU5&lt;&gt;""),AND(KY5&gt;=LA$23,KY5&lt;&gt;""),AND(LQ5&gt;=LW$23,LQ5&lt;&gt;""),AND(LU5&gt;=LW$23,LU5&lt;&gt;""),AND(MM5&gt;=MS$23,MM5&lt;&gt;""),AND(MQ5&gt;=MS$23,MQ5&lt;&gt;""),AND(NI5&gt;=NO$23,NI5&lt;&gt;""),AND(NM5&gt;=NO$23,NM5&lt;&gt;"")),"National Team",""))))</f>
        <v>Merit</v>
      </c>
      <c r="H5" s="125" t="str">
        <f>IF(OR(AND(AS5&gt;=AY$30,AS5&lt;&gt;"",AP5=""),AND(AU5&gt;=AY$30,AU5&lt;&gt;"",AP5=""),AND(AX5&gt;=AY$30,AX5&lt;&gt;"",AP5=""),AND(BW5&gt;=CC$30,BW5&lt;&gt;"",BT5=""),AND(BY5&gt;=CC$30,BY5&lt;&gt;"",BT5=""),AND(CB5&gt;=CC$30,CB5&lt;&gt;"",BT5=""),AND(DA5&gt;=DG$30,DA5&lt;&gt;"",CX5=""),AND(DC5&gt;=DG$30,DC5&lt;&gt;"",CX5=""),AND(DF5&gt;=DG$30,DF5&lt;&gt;"",CX5=""),AND(EC5&gt;=EG$30,EC5&lt;&gt;""),AND(EF5&gt;=EG$30,EF5&lt;&gt;""),AND(EY5&gt;=FC$30,EY5&lt;&gt;""),AND(FB5&gt;=FC$30,FB5&lt;&gt;""),AND(FU5&gt;=FY$30,FU5&lt;&gt;""),AND(FX5&gt;=FY$30,FX5&lt;&gt;""),AND(GQ5&gt;=GU$30,GQ5&lt;&gt;""),AND(GT5&gt;=GU$30,GT5&lt;&gt;""),AND(HM5&gt;=HQ$30,HM5&lt;&gt;""),AND(HP5&gt;=HQ$30,HP5&lt;&gt;""),AND(II5&gt;=IM$30,II5&lt;&gt;""),AND(IL5&gt;=IM$30,IL5&lt;&gt;""),AND(JE5&gt;=JI$30,JE5&lt;&gt;""),AND(JH5&gt;=JI$30,JH5&lt;&gt;""),AND(KA5&gt;=KE$30,KA5&lt;&gt;""),AND(KD5&gt;=KE$30,KD5&lt;&gt;""),AND(KW5&gt;=LA$30,KW5&lt;&gt;""),AND(KZ5&gt;=LA$30,KZ5&lt;&gt;""),AND(LS5&gt;=LW$30,LS5&lt;&gt;""),AND(LV5&gt;=LW$30,LV5&lt;&gt;""),AND(MO5&gt;=MS$30,MO5&lt;&gt;""),AND(MR5&gt;=MS$30,MR5&lt;&gt;""),AND(NK5&gt;=NO$30,NK5&lt;&gt;""),AND(NN5&gt;=NO$30,NN5&lt;&gt;"")),"Merit",IF(OR(AND(AS5&gt;=AY$29,AS5&lt;&gt;"",AP5=""),AND(AU5&gt;=AY$29,AU5&lt;&gt;"",AP5=""),AND(AX5&gt;=AY$29,AX5&lt;&gt;"",AP5=""),AND(BW5&gt;=CC$29,BW5&lt;&gt;"",BT5=""),AND(BY5&gt;=CC$29,BY5&lt;&gt;"",BT5=""),AND(CB5&gt;=CC$29,CB5&lt;&gt;"",BT5=""),AND(DA5&gt;=DG$29,DA5&lt;&gt;"",CX5=""),AND(DC5&gt;=DG$29,DC5&lt;&gt;"",CX5=""),AND(DF5&gt;=DG$29,DF5&lt;&gt;"",CX5=""),AND(EC5&gt;=EG$29,EC5&lt;&gt;""),AND(EF5&gt;=EG$29,EF5&lt;&gt;""),AND(EY5&gt;=FC$29,EY5&lt;&gt;""),AND(FB5&gt;=FC$29,FB5&lt;&gt;""),AND(FU5&gt;=FY$29,FU5&lt;&gt;""),AND(FX5&gt;=FY$29,FX5&lt;&gt;""),AND(GQ5&gt;=GU$29,GQ5&lt;&gt;""),AND(GT5&gt;=GU$29,GT5&lt;&gt;""),AND(HM5&gt;=HQ$29,HM5&lt;&gt;""),AND(HP5&gt;=HQ$29,HP5&lt;&gt;""),AND(II5&gt;=IM$29,II5&lt;&gt;""),AND(IL5&gt;=IM$29,IL5&lt;&gt;""),AND(JE5&gt;=JI$29,JE5&lt;&gt;""),AND(JH5&gt;=JI$29,JH5&lt;&gt;""),AND(KA5&gt;=KE$29,KA5&lt;&gt;""),AND(KD5&gt;=KE$29,KD5&lt;&gt;""),AND(KW5&gt;=LA$29,KW5&lt;&gt;""),AND(KZ5&gt;=LA$29,KZ5&lt;&gt;""),AND(LS5&gt;=LW$29,LS5&lt;&gt;""),AND(LV5&gt;=LW$29,LV5&lt;&gt;""),AND(MO5&gt;=MS$29,MO5&lt;&gt;""),AND(MR5&gt;=MS$29,MR5&lt;&gt;""),AND(NK5&gt;=NO$29,NK5&lt;&gt;""),AND(NN5&gt;=NO$29,NN5&lt;&gt;"")),"Excellence",IF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"Worlds Team",IF(OR(AND(AV5&gt;=AY$27,AV5&lt;&gt;"",AP5=""),AND(BZ5&gt;=CC$27,BZ5&lt;&gt;"",BT5=""),AND(DD5&gt;=DG$27,DD5&lt;&gt;"",CX5=""),AND(ED5&gt;=EG$27,ED5&lt;&gt;""),AND(EZ5&gt;=FC$27,EZ5&lt;&gt;""),AND(FV5&gt;=FY$27,FV5&lt;&gt;""),AND(GR5&gt;=GU$27,GR5&lt;&gt;""),AND(HN5&gt;=HQ$27,HN5&lt;&gt;""),AND(IJ5&gt;=IM$27,IJ5&lt;&gt;""),AND(JF5&gt;=JI$27,JF5&lt;&gt;""),AND(KB5&gt;=KE$27,KB5&lt;&gt;""),AND(KX5&gt;=LA$27,KX5&lt;&gt;""),AND(LT5&gt;=LW$27,LT5&lt;&gt;""),AND(MP5&gt;=MS$27,MP5&lt;&gt;""),AND(NL5&gt;=NO$27,NL5&lt;&gt;"")),"National Team",""))))</f>
        <v>Excellence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Excellence</v>
      </c>
      <c r="J5" s="3" t="str">
        <f>IF(AND(OR(AND(AV5&gt;=AY$28,AV5&lt;&gt;"",AP5=""),AND(BZ5&gt;=CC$28,BZ5&lt;&gt;"",BT5=""),AND(DD5&gt;=DG$28,DD5&lt;&gt;"",CX5=""),AND(ED5&gt;=EG$28,ED5&lt;&gt;""),AND(EZ5&gt;=FC$28,EZ5&lt;&gt;""),AND(FV5&gt;=FY$28,FV5&lt;&gt;""),AND(GR5&gt;=GU$28,GR5&lt;&gt;""),AND(HN5&gt;=HQ$28,HN5&lt;&gt;""),AND(IJ5&gt;=IM$28,IJ5&lt;&gt;""),AND(JF5&gt;=JI$28,JF5&lt;&gt;""),AND(KB5&gt;=KE$28,KB5&lt;&gt;""),AND(KX5&gt;=LA$28,KX5&lt;&gt;""),AND(LT5&gt;=LW$28,LT5&lt;&gt;""),AND(MP5&gt;=MS$28,MP5&lt;&gt;""),AND(NL5&gt;=NO$28,NL5&lt;&gt;"")),OR(G5="Worlds Team",G5="Excellence",G5="Merit")),"P","")</f>
        <v>P</v>
      </c>
      <c r="K5" s="14">
        <f>IF(MAX(AV5,BZ5,DD5)&gt;0,MAX(AV5,BZ5,DD5),0)</f>
        <v>109.22499999999999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48.36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58.6</v>
      </c>
      <c r="P5" s="14" t="str">
        <f>IF(O5=0,"",IF(OR(O5=DC5,O5=DA5),$CD$1,IF(OR(O5=BY5,O5=BW5),$AZ$1,IF(OR(O5=AU5,O5=AS5),$V$1,""))))</f>
        <v>2021 Elite Canada</v>
      </c>
      <c r="Q5" s="14">
        <f>MAX(AX5,CB5,DF5)</f>
        <v>58.885000000000005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2.220000000000006</v>
      </c>
      <c r="T5" s="25" t="str">
        <f>IF(S5="","",IF(S5=DH5,"(Vol 1)",IF(S5=DI5,"(Vol 2)",IF(S5=DJ5,"(Prelim)",IF(S5=DK5,"(Final)")))))</f>
        <v>(Vol 1)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17.7</v>
      </c>
      <c r="W5" s="69">
        <v>8.9</v>
      </c>
      <c r="X5" s="69">
        <v>4.4000000000000004</v>
      </c>
      <c r="Y5" s="69">
        <v>17.36</v>
      </c>
      <c r="Z5" s="69">
        <v>0</v>
      </c>
      <c r="AA5" s="69">
        <v>15.5</v>
      </c>
      <c r="AB5" s="69">
        <v>8.5</v>
      </c>
      <c r="AC5" s="69">
        <v>14.8</v>
      </c>
      <c r="AD5" s="69">
        <v>17.079999999999998</v>
      </c>
      <c r="AE5" s="69">
        <v>0</v>
      </c>
      <c r="AF5" s="69">
        <v>15.7</v>
      </c>
      <c r="AG5" s="69">
        <v>9.4</v>
      </c>
      <c r="AH5" s="69">
        <v>15</v>
      </c>
      <c r="AI5" s="69">
        <v>17.11</v>
      </c>
      <c r="AJ5" s="69">
        <v>0</v>
      </c>
      <c r="AK5" s="69">
        <v>16.2</v>
      </c>
      <c r="AL5" s="69">
        <v>9.4</v>
      </c>
      <c r="AM5" s="69">
        <v>14.6</v>
      </c>
      <c r="AN5" s="69">
        <v>17.38</v>
      </c>
      <c r="AO5" s="69">
        <v>0</v>
      </c>
      <c r="AP5" s="80"/>
      <c r="AQ5" s="11">
        <f>IF(SUM(V5:Y5)-Z5&gt;0,SUM(V5:Y5)-Z5,"")</f>
        <v>48.36</v>
      </c>
      <c r="AR5" s="11">
        <f>IF(AC5&gt;0,AC5,"")</f>
        <v>14.8</v>
      </c>
      <c r="AS5" s="11">
        <f>IF(SUM(AA5:AD5)-AE5&gt;0,SUM(AA5:AD5)-AE5,"")</f>
        <v>55.879999999999995</v>
      </c>
      <c r="AT5" s="11">
        <f>IF(AH5&gt;0,AH5,"")</f>
        <v>15</v>
      </c>
      <c r="AU5" s="11">
        <f>IF(SUM(AF5:AI5)-AJ5&gt;0,SUM(AF5:AI5)-AJ5,"")</f>
        <v>57.21</v>
      </c>
      <c r="AV5" s="11">
        <f>IF(AQ5="",IF(MAX(AS5,AU5)&gt;0,MAX(AS5,AU5),""),MAX(AS5,AU5)+AQ5)</f>
        <v>105.57</v>
      </c>
      <c r="AW5" s="11">
        <f>IF(AM5&gt;0,AM5,"")</f>
        <v>14.6</v>
      </c>
      <c r="AX5" s="11">
        <f>IF(SUM(AK5:AN5)-AO5&gt;0,SUM(AK5:AN5)-AO5,"")</f>
        <v>57.58</v>
      </c>
      <c r="AY5" s="11">
        <f>IF(SUM(AV5,AX5)&gt;0,SUM(AV5,AX5),"")</f>
        <v>163.14999999999998</v>
      </c>
      <c r="AZ5" s="75">
        <v>6</v>
      </c>
      <c r="BA5" s="75">
        <v>2.8</v>
      </c>
      <c r="BB5" s="75">
        <v>0</v>
      </c>
      <c r="BC5" s="75">
        <v>5.83</v>
      </c>
      <c r="BD5" s="75">
        <v>0.2</v>
      </c>
      <c r="BE5" s="75">
        <v>16.2</v>
      </c>
      <c r="BF5" s="75">
        <v>9.1</v>
      </c>
      <c r="BG5" s="75">
        <v>15.6</v>
      </c>
      <c r="BH5" s="75">
        <v>17.25</v>
      </c>
      <c r="BI5" s="75">
        <v>0</v>
      </c>
      <c r="BJ5" s="75">
        <v>16.5</v>
      </c>
      <c r="BK5" s="75">
        <v>9.1</v>
      </c>
      <c r="BL5" s="75">
        <v>15.6</v>
      </c>
      <c r="BM5" s="75">
        <v>17.399999999999999</v>
      </c>
      <c r="BN5" s="75">
        <v>0</v>
      </c>
      <c r="BO5" s="75"/>
      <c r="BP5" s="75"/>
      <c r="BQ5" s="75"/>
      <c r="BR5" s="75"/>
      <c r="BS5" s="75"/>
      <c r="BT5" s="81"/>
      <c r="BU5" s="14">
        <f>IF(SUM(AZ5:BC5)-BD5&gt;0,SUM(AZ5:BC5)-BD5,"")</f>
        <v>14.430000000000001</v>
      </c>
      <c r="BV5" s="14">
        <f>IF(BG5&gt;0,BG5,"")</f>
        <v>15.6</v>
      </c>
      <c r="BW5" s="14">
        <f>IF(SUM(BE5:BH5)-BI5&gt;0,SUM(BE5:BH5)-BI5,"")</f>
        <v>58.15</v>
      </c>
      <c r="BX5" s="14">
        <f>IF(BL5&gt;0,BL5,"")</f>
        <v>15.6</v>
      </c>
      <c r="BY5" s="14">
        <f>IF(SUM(BJ5:BM5)-BN5&gt;0,SUM(BJ5:BM5)-BN5,"")</f>
        <v>58.6</v>
      </c>
      <c r="BZ5" s="14">
        <f>IF(BU5="",IF(MAX(BW5,BY5)&gt;0,MAX(BW5,BY5),""),MAX(BW5,BY5)+BU5)</f>
        <v>73.03</v>
      </c>
      <c r="CA5" s="14" t="str">
        <f>IF(BQ5&gt;0,BQ5,"")</f>
        <v/>
      </c>
      <c r="CB5" s="14" t="str">
        <f>IF(SUM(BO5:BR5)-BS5&gt;0,SUM(BO5:BR5)-BS5,"")</f>
        <v/>
      </c>
      <c r="CC5" s="14">
        <f>IF(SUM(BZ5,CB5)&gt;0,SUM(BZ5,CB5),"")</f>
        <v>73.03</v>
      </c>
      <c r="CD5" s="69">
        <v>18.5</v>
      </c>
      <c r="CE5" s="69">
        <v>9.4</v>
      </c>
      <c r="CF5" s="69">
        <v>5</v>
      </c>
      <c r="CG5" s="69">
        <v>18.405000000000001</v>
      </c>
      <c r="CH5" s="69">
        <v>0</v>
      </c>
      <c r="CI5" s="69">
        <v>15.8</v>
      </c>
      <c r="CJ5" s="69">
        <v>9.1</v>
      </c>
      <c r="CK5" s="69">
        <v>15</v>
      </c>
      <c r="CL5" s="69">
        <v>16.75</v>
      </c>
      <c r="CM5" s="69">
        <v>0</v>
      </c>
      <c r="CN5" s="69">
        <v>16.100000000000001</v>
      </c>
      <c r="CO5" s="69">
        <v>9</v>
      </c>
      <c r="CP5" s="69">
        <v>15.6</v>
      </c>
      <c r="CQ5" s="69">
        <v>17.22</v>
      </c>
      <c r="CR5" s="69">
        <v>0</v>
      </c>
      <c r="CS5" s="69">
        <v>16.7</v>
      </c>
      <c r="CT5" s="69">
        <v>9.4</v>
      </c>
      <c r="CU5" s="69">
        <v>15.6</v>
      </c>
      <c r="CV5" s="69">
        <v>17.184999999999999</v>
      </c>
      <c r="CW5" s="69">
        <v>0</v>
      </c>
      <c r="CX5" s="80"/>
      <c r="CY5" s="11">
        <f>IF(SUM(CD5:CG5)-CH5&gt;0,SUM(CD5:CG5)-CH5,"")</f>
        <v>51.305</v>
      </c>
      <c r="CZ5" s="11">
        <f>IF(CK5&gt;0,CK5,"")</f>
        <v>15</v>
      </c>
      <c r="DA5" s="11">
        <f>IF(SUM(CI5:CL5)-CM5&gt;0,SUM(CI5:CL5)-CM5,"")</f>
        <v>56.65</v>
      </c>
      <c r="DB5" s="11">
        <f>IF(CP5&gt;0,CP5,"")</f>
        <v>15.6</v>
      </c>
      <c r="DC5" s="11">
        <f>IF(SUM(CN5:CQ5)-CR5&gt;0,SUM(CN5:CQ5)-CR5,"")</f>
        <v>57.92</v>
      </c>
      <c r="DD5" s="11">
        <f>IF(CY5="",IF(MAX(DA5,DC5)&gt;0,MAX(DA5,DC5),""),MAX(DA5,DC5)+CY5)</f>
        <v>109.22499999999999</v>
      </c>
      <c r="DE5" s="11">
        <f>IF(CU5&gt;0,CU5,"")</f>
        <v>15.6</v>
      </c>
      <c r="DF5" s="11">
        <f>IF(SUM(CS5:CV5)-CW5&gt;0,SUM(CS5:CV5)-CW5,"")</f>
        <v>58.885000000000005</v>
      </c>
      <c r="DG5" s="11">
        <f>IF(SUM(DD5,DF5)&gt;0,SUM(DD5,DF5),"")</f>
        <v>168.11</v>
      </c>
      <c r="DH5" s="24">
        <f>IF(MAX(EB5,EX5,FT5,GP5,HL5,IH5,JD5,JZ5,KV5,LR5,MN5,NJ5)-IF(M5="",0,M5)&gt;0.001,MAX(EB5,EX5,FT5,GP5,HL5,IH5,JD5,JZ5,KV5,LR5,MN5,NJ5)-IF(M5="",0,M5),"")</f>
        <v>2.220000000000006</v>
      </c>
      <c r="DI5" s="24" t="str">
        <f>IF(MAX(EC5,EY5,FU5,GQ5,HM5,II5,JE5,KA5,KW5,LS5,MO5,NK5)-IF(O5="",0,O5)&gt;0.001,MAX(EC5,EY5,FU5,GQ5,HM5,II5,JE5,KA5,KW5,LS5,MO5,NK5)-IF(O5="",0,O5),"")</f>
        <v/>
      </c>
      <c r="DJ5" s="24" t="str">
        <f>IF(MAX(ED5,EZ5,FV5,GR5,HN5,IJ5,JF5,KB5,KX5,LT5,MP5,NL5)-IF(K5="",0,K5)&gt;0.001,MAX(ED5,EZ5,FV5,GR5,HN5,IJ5,JF5,KB5,KX5,LT5,MP5,NL5)-IF(K5="",0,K5),"")</f>
        <v/>
      </c>
      <c r="DK5" s="24" t="str">
        <f>IF(MAX(EF5,FB5,FX5,GT5,HP5,IL5,JH5,KD5,KZ5,LV5,MR5,NN5)-IF(Q5="",0,Q5)&gt;0.001,MAX(EF5,FB5,FX5,GT5,HP5,IL5,JH5,KD5,KZ5,LV5,MR5,NN5)-IF(Q5="",0,Q5),"")</f>
        <v/>
      </c>
      <c r="DL5" s="37">
        <v>17.600000000000001</v>
      </c>
      <c r="DM5" s="37">
        <v>9.3000000000000007</v>
      </c>
      <c r="DN5" s="37">
        <v>5.4</v>
      </c>
      <c r="DO5" s="37">
        <v>18.28</v>
      </c>
      <c r="DP5" s="37">
        <v>0</v>
      </c>
      <c r="DQ5" s="37">
        <v>15.8</v>
      </c>
      <c r="DR5" s="37">
        <v>9.4</v>
      </c>
      <c r="DS5" s="37">
        <v>15.6</v>
      </c>
      <c r="DT5" s="37">
        <v>17.399999999999999</v>
      </c>
      <c r="DU5" s="37">
        <v>0.6</v>
      </c>
      <c r="DV5" s="37">
        <v>14.8</v>
      </c>
      <c r="DW5" s="37">
        <v>8.9</v>
      </c>
      <c r="DX5" s="37">
        <v>15.6</v>
      </c>
      <c r="DY5" s="37">
        <v>17.079999999999998</v>
      </c>
      <c r="DZ5" s="37">
        <v>0</v>
      </c>
      <c r="EA5" s="11">
        <f>IF(DS5&gt;0,DS5,"")</f>
        <v>15.6</v>
      </c>
      <c r="EB5" s="11">
        <f>IF(SUM(DL5:DO5)-DP5&gt;0,SUM(DL5:DO5)-DP5,"")</f>
        <v>50.580000000000005</v>
      </c>
      <c r="EC5" s="11">
        <f>IF(SUM(DQ5:DT5)-DU5&gt;0,SUM(DQ5:DT5)-DU5,"")</f>
        <v>57.6</v>
      </c>
      <c r="ED5" s="11">
        <f>IF(SUM(EB5:EC5)&gt;0,SUM(EB5:EC5),"")</f>
        <v>108.18</v>
      </c>
      <c r="EE5" s="11">
        <f>IF(DX5&gt;0,DX5,"")</f>
        <v>15.6</v>
      </c>
      <c r="EF5" s="11">
        <f>IF(SUM(DV5:DY5)-DZ5&gt;0,SUM(DV5:DY5)-DZ5,"")</f>
        <v>56.38</v>
      </c>
      <c r="EG5" s="11">
        <f>IF(SUM(ED5,EF5)&gt;0,SUM(ED5,EF5),"")</f>
        <v>164.56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12.25</v>
      </c>
      <c r="NQ5" s="69">
        <f>IF($CX5="P",CE5,(CE5+BA5)/2)</f>
        <v>6.1</v>
      </c>
      <c r="NR5" s="69">
        <f>IF($CX5="P",CF5,(CF5+BB5)/2)</f>
        <v>2.5</v>
      </c>
      <c r="NS5" s="69">
        <f>IF($CX5="P",CG5,(CG5+BC5)/2)</f>
        <v>12.1175</v>
      </c>
      <c r="NT5" s="69">
        <f>IF($CX5="P",CH5,(CH5+BD5)/2)</f>
        <v>0.1</v>
      </c>
      <c r="NU5" s="69">
        <f>IF($CX5="P",CI5,(CI5+BE5)/2)</f>
        <v>16</v>
      </c>
      <c r="NV5" s="69">
        <f>IF($CX5="P",CJ5,(CJ5+BF5)/2)</f>
        <v>9.1</v>
      </c>
      <c r="NW5" s="69">
        <f>IF($CX5="P",CK5,(CK5+BG5)/2)</f>
        <v>15.3</v>
      </c>
      <c r="NX5" s="69">
        <f>IF($CX5="P",CL5,(CL5+BH5)/2)</f>
        <v>17</v>
      </c>
      <c r="NY5" s="69">
        <f>IF($CX5="P",CM5,(CM5+BI5)/2)</f>
        <v>0</v>
      </c>
      <c r="NZ5" s="69">
        <f>IF($CX5="P",CN5,(CN5+BJ5)/2)</f>
        <v>16.3</v>
      </c>
      <c r="OA5" s="69">
        <f>IF($CX5="P",CO5,(CO5+BK5)/2)</f>
        <v>9.0500000000000007</v>
      </c>
      <c r="OB5" s="69">
        <f>IF($CX5="P",CP5,(CP5+BL5)/2)</f>
        <v>15.6</v>
      </c>
      <c r="OC5" s="69">
        <f>IF($CX5="P",CQ5,(CQ5+BM5)/2)</f>
        <v>17.309999999999999</v>
      </c>
      <c r="OD5" s="69">
        <f>IF($CX5="P",CR5,(CR5+BN5)/2)</f>
        <v>0</v>
      </c>
      <c r="OE5" s="69">
        <f>IF($CX5="P",CS5,(CS5+BO5)/2)</f>
        <v>8.35</v>
      </c>
      <c r="OF5" s="69">
        <f>IF($CX5="P",CT5,(CT5+BP5)/2)</f>
        <v>4.7</v>
      </c>
      <c r="OG5" s="69">
        <f>IF($CX5="P",CU5,(CU5+BQ5)/2)</f>
        <v>7.8</v>
      </c>
      <c r="OH5" s="69">
        <f>IF($CX5="P",CV5,(CV5+BR5)/2)</f>
        <v>8.5924999999999994</v>
      </c>
      <c r="OI5" s="69">
        <f>IF($CX5="P",CW5,(CW5+BS5)/2)</f>
        <v>0</v>
      </c>
      <c r="OJ5" s="80" t="s">
        <v>74</v>
      </c>
      <c r="OK5" s="11">
        <f>IF(SUM(NP5:NS5)-NT5&gt;0,SUM(NP5:NS5)-NT5,"")</f>
        <v>32.8675</v>
      </c>
      <c r="OL5" s="11">
        <f>IF(NW5&gt;0,NW5,"")</f>
        <v>15.3</v>
      </c>
      <c r="OM5" s="11">
        <f>IF(SUM(NU5:NX5)-NY5&gt;0,SUM(NU5:NX5)-NY5,"")</f>
        <v>57.400000000000006</v>
      </c>
      <c r="ON5" s="11">
        <f>IF(OB5&gt;0,OB5,"")</f>
        <v>15.6</v>
      </c>
      <c r="OO5" s="11">
        <f>IF(SUM(NZ5:OC5)-OD5&gt;0,SUM(NZ5:OC5)-OD5,"")</f>
        <v>58.260000000000005</v>
      </c>
      <c r="OP5" s="11">
        <f>IF(OR(OK5&lt;&gt;"",OM5&lt;&gt;"",OO5&lt;&gt;""),OK5+MAX(OM5,OO5),"")</f>
        <v>91.127499999999998</v>
      </c>
      <c r="OQ5" s="11">
        <f>IF(OG5&gt;0,OG5,"")</f>
        <v>7.8</v>
      </c>
      <c r="OR5" s="11">
        <f t="shared" si="0"/>
        <v>29.442500000000003</v>
      </c>
      <c r="OS5" s="11">
        <f t="shared" ref="OS5:OS19" si="1">IF(SUM(OP5,OR5)&gt;0,SUM(OP5,OR5),"")</f>
        <v>120.57</v>
      </c>
    </row>
    <row r="6" spans="1:409" x14ac:dyDescent="0.2">
      <c r="A6" s="5" cm="1">
        <f t="array" ref="A6">IF(AND(G6&lt;&gt;"",H6&lt;&gt;""),SUMPRODUCT((G$4:G$21&lt;&gt;"")*(H$4:H$21&lt;&gt;"")*(E$4:E$21&gt;E6))+1,IF(H6&lt;&gt;"",SUMPRODUCT((I$4:I$21="No DD")*(E$4:E$21&gt;E6))+1+SUMPRODUCT((G$4:G$21&lt;&gt;"")*(H$4:H$21&lt;&gt;"")),""))</f>
        <v>3</v>
      </c>
      <c r="B6" s="8" t="s">
        <v>4</v>
      </c>
      <c r="C6" s="4" t="s">
        <v>5</v>
      </c>
      <c r="D6" s="5">
        <v>1992</v>
      </c>
      <c r="E6" s="15">
        <f>SUM(K6:S6)</f>
        <v>274.63499999999999</v>
      </c>
      <c r="F6" s="3" t="str">
        <f>IF(G6&lt;&gt;"","P","")</f>
        <v>P</v>
      </c>
      <c r="G6" s="125" t="str">
        <f>IF(OR(AND(AR6&gt;=AY$26,AR6&lt;&gt;"",AP6=""),AND(AT6&gt;=AY$26,AT6&lt;&gt;"",AP6=""),AND(AW6&gt;=AY$26,AW6&lt;&gt;"",AP6=""),AND(BV6&gt;=CC$26,BV6&lt;&gt;"",BT6=""),AND(BX6&gt;=CC$26,BX6&lt;&gt;"",BT6=""),AND(CA6&gt;=CC$26,CA6&lt;&gt;"",BT6=""),AND(CZ6&gt;=DG$26,CZ6&lt;&gt;"",CX6=""),AND(DB6&gt;=DG$26,DB6&lt;&gt;"",CX6=""),AND(DE6&gt;=DG$26,DE6&lt;&gt;"",CX6=""),AND(EA6&gt;=EG$26,EA6&lt;&gt;""),AND(EE6&gt;=EG$26,EE6&lt;&gt;""),AND(EW6&gt;=FC$26,EW6&lt;&gt;""),AND(FA6&gt;=FC$26,FA6&lt;&gt;""),AND(FS6&gt;=FY$26,FS6&lt;&gt;""),AND(FW6&gt;=FY$26,FW6&lt;&gt;""),AND(GO6&gt;=GU$26,GO6&lt;&gt;""),AND(GS6&gt;=GU$26,GS6&lt;&gt;""),AND(HK6&gt;=HQ$26,HK6&lt;&gt;""),AND(HO6&gt;=HQ$26,HO6&lt;&gt;""),AND(IG6&gt;=IM$26,IG6&lt;&gt;""),AND(IK6&gt;=IM$26,IK6&lt;&gt;""),AND(JC6&gt;=JI$26,JC6&lt;&gt;""),AND(JG6&gt;=JI$26,JG6&lt;&gt;""),AND(JY6&gt;=KE$26,JY6&lt;&gt;""),AND(KC6&gt;=KE$26,KC6&lt;&gt;""),AND(KU6&gt;=LA$26,KU6&lt;&gt;""),AND(KY6&gt;=LA$26,KY6&lt;&gt;""),AND(LQ6&gt;=LW$26,LQ6&lt;&gt;""),AND(LU6&gt;=LW$26,LU6&lt;&gt;""),AND(MM6&gt;=MS$26,MM6&lt;&gt;""),AND(MQ6&gt;=MS$26,MQ6&lt;&gt;""),AND(NI6&gt;=NO$26,NI6&lt;&gt;""),AND(NM6&gt;=NO$26,NM6&lt;&gt;"")),"Merit",IF(OR(AND(AR6&gt;=AY$25,AR6&lt;&gt;"",AP6=""),AND(AT6&gt;=AY$25,AT6&lt;&gt;"",AP6=""),AND(AW6&gt;=AY$25,AW6&lt;&gt;"",AP6=""),AND(BV6&gt;=CC$25,BV6&lt;&gt;"",BT6=""),AND(BX6&gt;=CC$25,BX6&lt;&gt;"",BT6=""),AND(CA6&gt;=CC$25,CA6&lt;&gt;"",BT6=""),AND(CZ6&gt;=DG$25,CZ6&lt;&gt;"",CX6=""),AND(DB6&gt;=DG$25,DB6&lt;&gt;"",CX6=""),AND(DE6&gt;=DG$25,DE6&lt;&gt;"",CX6=""),AND(EA6&gt;=EG$25,EA6&lt;&gt;""),AND(EE6&gt;=EG$25,EE6&lt;&gt;""),AND(EW6&gt;=FC$25,EW6&lt;&gt;""),AND(FA6&gt;=FC$25,FA6&lt;&gt;""),AND(FS6&gt;=FY$25,FS6&lt;&gt;""),AND(FW6&gt;=FY$25,FW6&lt;&gt;""),AND(GO6&gt;=GU$25,GO6&lt;&gt;""),AND(GS6&gt;=GU$25,GS6&lt;&gt;""),AND(HK6&gt;=HQ$25,HK6&lt;&gt;""),AND(HO6&gt;=HQ$25,HO6&lt;&gt;""),AND(IG6&gt;=IM$25,IG6&lt;&gt;""),AND(IK6&gt;=IM$25,IK6&lt;&gt;""),AND(JC6&gt;=JI$25,JC6&lt;&gt;""),AND(JG6&gt;=JI$25,JG6&lt;&gt;""),AND(JY6&gt;=KE$25,JY6&lt;&gt;""),AND(KC6&gt;=KE$25,KC6&lt;&gt;""),AND(KU6&gt;=LA$25,KU6&lt;&gt;""),AND(KY6&gt;=LA$25,KY6&lt;&gt;""),AND(LQ6&gt;=LW$25,LQ6&lt;&gt;""),AND(LU6&gt;=LW$25,LU6&lt;&gt;""),AND(MM6&gt;=MS$25,MM6&lt;&gt;""),AND(MQ6&gt;=MS$25,MQ6&lt;&gt;""),AND(NI6&gt;=NO$25,NI6&lt;&gt;""),AND(NM6&gt;=NO$25,NM6&lt;&gt;"")),"Excellence",IF(OR(AND(AR6&gt;=AY$24,AR6&lt;&gt;"",AP6=""),AND(AT6&gt;=AY$24,AT6&lt;&gt;"",AP6=""),AND(AW6&gt;=AY$24,AW6&lt;&gt;"",AP6=""),AND(BV6&gt;=CC$24,BV6&lt;&gt;"",BT6=""),AND(BX6&gt;=CC$24,BX6&lt;&gt;"",BT6=""),AND(CA6&gt;=CC$24,CA6&lt;&gt;"",BT6=""),AND(CZ6&gt;=DG$24,CZ6&lt;&gt;"",CX6=""),AND(DB6&gt;=DG$24,DB6&lt;&gt;"",CX6=""),AND(DE6&gt;=DG$24,DE6&lt;&gt;"",CX6=""),AND(EA6&gt;=EG$24,EA6&lt;&gt;""),AND(EE6&gt;=EG$24,EE6&lt;&gt;""),AND(EW6&gt;=FC$24,EW6&lt;&gt;""),AND(FA6&gt;=FC$24,FA6&lt;&gt;""),AND(FS6&gt;=FY$24,FS6&lt;&gt;""),AND(FW6&gt;=FY$24,FW6&lt;&gt;""),AND(GO6&gt;=GU$24,GO6&lt;&gt;""),AND(GS6&gt;=GU$24,GS6&lt;&gt;""),AND(HK6&gt;=HQ$24,HK6&lt;&gt;""),AND(HO6&gt;=HQ$24,HO6&lt;&gt;""),AND(IG6&gt;=IM$24,IG6&lt;&gt;""),AND(IK6&gt;=IM$24,IK6&lt;&gt;""),AND(JC6&gt;=JI$24,JC6&lt;&gt;""),AND(JG6&gt;=JI$24,JG6&lt;&gt;""),AND(JY6&gt;=KE$24,JY6&lt;&gt;""),AND(KC6&gt;=KE$24,KC6&lt;&gt;""),AND(KU6&gt;=LA$24,KU6&lt;&gt;""),AND(KY6&gt;=LA$24,KY6&lt;&gt;""),AND(LQ6&gt;=LW$24,LQ6&lt;&gt;""),AND(LU6&gt;=LW$24,LU6&lt;&gt;""),AND(MM6&gt;=MS$24,MM6&lt;&gt;""),AND(MQ6&gt;=MS$24,MQ6&lt;&gt;""),AND(NI6&gt;=NO$24,NI6&lt;&gt;""),AND(NM6&gt;=NO$24,NM6&lt;&gt;"")),"Worlds Team",IF(OR(AND(AR6&gt;=AY$23,AR6&lt;&gt;"",AP6=""),AND(AT6&gt;=AY$23,AT6&lt;&gt;"",AP6=""),AND(AW6&gt;=AY$23,AW6&lt;&gt;"",AP6=""),AND(BV6&gt;=CC$23,BV6&lt;&gt;"",BT6=""),AND(BX6&gt;=CC$23,BX6&lt;&gt;"",BT6=""),AND(CA6&gt;=CC$23,CA6&lt;&gt;"",BT6=""),AND(CZ6&gt;=DG$23,CZ6&lt;&gt;"",CX6=""),AND(DB6&gt;=DG$23,DB6&lt;&gt;"",CX6=""),AND(DE6&gt;=DG$23,DE6&lt;&gt;"",CX6=""),AND(EA6&gt;=EG$23,EA6&lt;&gt;""),AND(EE6&gt;=EG$23,EE6&lt;&gt;""),AND(EW6&gt;=FC$23,EW6&lt;&gt;""),AND(FA6&gt;=FC$23,FA6&lt;&gt;""),AND(FS6&gt;=FY$23,FS6&lt;&gt;""),AND(FW6&gt;=FY$23,FW6&lt;&gt;""),AND(GO6&gt;=GU$23,GO6&lt;&gt;""),AND(GS6&gt;=GU$23,GS6&lt;&gt;""),AND(HK6&gt;=HQ$23,HK6&lt;&gt;""),AND(HO6&gt;=HQ$23,HO6&lt;&gt;""),AND(IG6&gt;=IM$23,IG6&lt;&gt;""),AND(IK6&gt;=IM$23,IK6&lt;&gt;""),AND(JC6&gt;=JI$23,JC6&lt;&gt;""),AND(JG6&gt;=JI$23,JG6&lt;&gt;""),AND(JY6&gt;=KE$23,JY6&lt;&gt;""),AND(KC6&gt;=KE$23,KC6&lt;&gt;""),AND(KU6&gt;=LA$23,KU6&lt;&gt;""),AND(KY6&gt;=LA$23,KY6&lt;&gt;""),AND(LQ6&gt;=LW$23,LQ6&lt;&gt;""),AND(LU6&gt;=LW$23,LU6&lt;&gt;""),AND(MM6&gt;=MS$23,MM6&lt;&gt;""),AND(MQ6&gt;=MS$23,MQ6&lt;&gt;""),AND(NI6&gt;=NO$23,NI6&lt;&gt;""),AND(NM6&gt;=NO$23,NM6&lt;&gt;"")),"National Team",""))))</f>
        <v>Merit</v>
      </c>
      <c r="H6" s="125" t="str">
        <f>IF(OR(AND(AS6&gt;=AY$30,AS6&lt;&gt;"",AP6=""),AND(AU6&gt;=AY$30,AU6&lt;&gt;"",AP6=""),AND(AX6&gt;=AY$30,AX6&lt;&gt;"",AP6=""),AND(BW6&gt;=CC$30,BW6&lt;&gt;"",BT6=""),AND(BY6&gt;=CC$30,BY6&lt;&gt;"",BT6=""),AND(CB6&gt;=CC$30,CB6&lt;&gt;"",BT6=""),AND(DA6&gt;=DG$30,DA6&lt;&gt;"",CX6=""),AND(DC6&gt;=DG$30,DC6&lt;&gt;"",CX6=""),AND(DF6&gt;=DG$30,DF6&lt;&gt;"",CX6=""),AND(EC6&gt;=EG$30,EC6&lt;&gt;""),AND(EF6&gt;=EG$30,EF6&lt;&gt;""),AND(EY6&gt;=FC$30,EY6&lt;&gt;""),AND(FB6&gt;=FC$30,FB6&lt;&gt;""),AND(FU6&gt;=FY$30,FU6&lt;&gt;""),AND(FX6&gt;=FY$30,FX6&lt;&gt;""),AND(GQ6&gt;=GU$30,GQ6&lt;&gt;""),AND(GT6&gt;=GU$30,GT6&lt;&gt;""),AND(HM6&gt;=HQ$30,HM6&lt;&gt;""),AND(HP6&gt;=HQ$30,HP6&lt;&gt;""),AND(II6&gt;=IM$30,II6&lt;&gt;""),AND(IL6&gt;=IM$30,IL6&lt;&gt;""),AND(JE6&gt;=JI$30,JE6&lt;&gt;""),AND(JH6&gt;=JI$30,JH6&lt;&gt;""),AND(KA6&gt;=KE$30,KA6&lt;&gt;""),AND(KD6&gt;=KE$30,KD6&lt;&gt;""),AND(KW6&gt;=LA$30,KW6&lt;&gt;""),AND(KZ6&gt;=LA$30,KZ6&lt;&gt;""),AND(LS6&gt;=LW$30,LS6&lt;&gt;""),AND(LV6&gt;=LW$30,LV6&lt;&gt;""),AND(MO6&gt;=MS$30,MO6&lt;&gt;""),AND(MR6&gt;=MS$30,MR6&lt;&gt;""),AND(NK6&gt;=NO$30,NK6&lt;&gt;""),AND(NN6&gt;=NO$30,NN6&lt;&gt;"")),"Merit",IF(OR(AND(AS6&gt;=AY$29,AS6&lt;&gt;"",AP6=""),AND(AU6&gt;=AY$29,AU6&lt;&gt;"",AP6=""),AND(AX6&gt;=AY$29,AX6&lt;&gt;"",AP6=""),AND(BW6&gt;=CC$29,BW6&lt;&gt;"",BT6=""),AND(BY6&gt;=CC$29,BY6&lt;&gt;"",BT6=""),AND(CB6&gt;=CC$29,CB6&lt;&gt;"",BT6=""),AND(DA6&gt;=DG$29,DA6&lt;&gt;"",CX6=""),AND(DC6&gt;=DG$29,DC6&lt;&gt;"",CX6=""),AND(DF6&gt;=DG$29,DF6&lt;&gt;"",CX6=""),AND(EC6&gt;=EG$29,EC6&lt;&gt;""),AND(EF6&gt;=EG$29,EF6&lt;&gt;""),AND(EY6&gt;=FC$29,EY6&lt;&gt;""),AND(FB6&gt;=FC$29,FB6&lt;&gt;""),AND(FU6&gt;=FY$29,FU6&lt;&gt;""),AND(FX6&gt;=FY$29,FX6&lt;&gt;""),AND(GQ6&gt;=GU$29,GQ6&lt;&gt;""),AND(GT6&gt;=GU$29,GT6&lt;&gt;""),AND(HM6&gt;=HQ$29,HM6&lt;&gt;""),AND(HP6&gt;=HQ$29,HP6&lt;&gt;""),AND(II6&gt;=IM$29,II6&lt;&gt;""),AND(IL6&gt;=IM$29,IL6&lt;&gt;""),AND(JE6&gt;=JI$29,JE6&lt;&gt;""),AND(JH6&gt;=JI$29,JH6&lt;&gt;""),AND(KA6&gt;=KE$29,KA6&lt;&gt;""),AND(KD6&gt;=KE$29,KD6&lt;&gt;""),AND(KW6&gt;=LA$29,KW6&lt;&gt;""),AND(KZ6&gt;=LA$29,KZ6&lt;&gt;""),AND(LS6&gt;=LW$29,LS6&lt;&gt;""),AND(LV6&gt;=LW$29,LV6&lt;&gt;""),AND(MO6&gt;=MS$29,MO6&lt;&gt;""),AND(MR6&gt;=MS$29,MR6&lt;&gt;""),AND(NK6&gt;=NO$29,NK6&lt;&gt;""),AND(NN6&gt;=NO$29,NN6&lt;&gt;"")),"Excellence",IF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"Worlds Team",IF(OR(AND(AV6&gt;=AY$27,AV6&lt;&gt;"",AP6=""),AND(BZ6&gt;=CC$27,BZ6&lt;&gt;"",BT6=""),AND(DD6&gt;=DG$27,DD6&lt;&gt;"",CX6=""),AND(ED6&gt;=EG$27,ED6&lt;&gt;""),AND(EZ6&gt;=FC$27,EZ6&lt;&gt;""),AND(FV6&gt;=FY$27,FV6&lt;&gt;""),AND(GR6&gt;=GU$27,GR6&lt;&gt;""),AND(HN6&gt;=HQ$27,HN6&lt;&gt;""),AND(IJ6&gt;=IM$27,IJ6&lt;&gt;""),AND(JF6&gt;=JI$27,JF6&lt;&gt;""),AND(KB6&gt;=KE$27,KB6&lt;&gt;""),AND(KX6&gt;=LA$27,KX6&lt;&gt;""),AND(LT6&gt;=LW$27,LT6&lt;&gt;""),AND(MP6&gt;=MS$27,MP6&lt;&gt;""),AND(NL6&gt;=NO$27,NL6&lt;&gt;"")),"National Team",""))))</f>
        <v>Worlds Team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Worlds Team</v>
      </c>
      <c r="J6" s="3" t="str">
        <f>IF(AND(OR(AND(AV6&gt;=AY$28,AV6&lt;&gt;"",AP6=""),AND(BZ6&gt;=CC$28,BZ6&lt;&gt;"",BT6=""),AND(DD6&gt;=DG$28,DD6&lt;&gt;"",CX6=""),AND(ED6&gt;=EG$28,ED6&lt;&gt;""),AND(EZ6&gt;=FC$28,EZ6&lt;&gt;""),AND(FV6&gt;=FY$28,FV6&lt;&gt;""),AND(GR6&gt;=GU$28,GR6&lt;&gt;""),AND(HN6&gt;=HQ$28,HN6&lt;&gt;""),AND(IJ6&gt;=IM$28,IJ6&lt;&gt;""),AND(JF6&gt;=JI$28,JF6&lt;&gt;""),AND(KB6&gt;=KE$28,KB6&lt;&gt;""),AND(KX6&gt;=LA$28,KX6&lt;&gt;""),AND(LT6&gt;=LW$28,LT6&lt;&gt;""),AND(MP6&gt;=MS$28,MP6&lt;&gt;""),AND(NL6&gt;=NO$28,NL6&lt;&gt;"")),OR(G6="Worlds Team",G6="Excellence",G6="Merit")),"P","")</f>
        <v>P</v>
      </c>
      <c r="K6" s="14">
        <f>IF(MAX(AV6,BZ6,DD6)&gt;0,MAX(AV6,BZ6,DD6),0)</f>
        <v>108.41999999999999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49.875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57.89500000000001</v>
      </c>
      <c r="P6" s="14" t="str">
        <f>IF(O6=0,"",IF(OR(O6=DC6,O6=DA6),$CD$1,IF(OR(O6=BY6,O6=BW6),$AZ$1,IF(OR(O6=AU6,O6=AS6),$V$1,""))))</f>
        <v>2021 Canadian Championships</v>
      </c>
      <c r="Q6" s="14">
        <f>MAX(AX6,CB6,DF6)</f>
        <v>57.510000000000005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0.93500000000000227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9"/>
      <c r="AL6" s="69"/>
      <c r="AM6" s="69"/>
      <c r="AN6" s="69"/>
      <c r="AO6" s="69"/>
      <c r="AP6" s="80"/>
      <c r="AQ6" s="11" t="str">
        <f>IF(SUM(V6:Y6)-Z6&gt;0,SUM(V6:Y6)-Z6,"")</f>
        <v/>
      </c>
      <c r="AR6" s="11" t="str">
        <f>IF(AC6&gt;0,AC6,"")</f>
        <v/>
      </c>
      <c r="AS6" s="11" t="str">
        <f>IF(SUM(AA6:AD6)-AE6&gt;0,SUM(AA6:AD6)-AE6,"")</f>
        <v/>
      </c>
      <c r="AT6" s="11" t="str">
        <f>IF(AH6&gt;0,AH6,"")</f>
        <v/>
      </c>
      <c r="AU6" s="11" t="str">
        <f>IF(SUM(AF6:AI6)-AJ6&gt;0,SUM(AF6:AI6)-AJ6,"")</f>
        <v/>
      </c>
      <c r="AV6" s="11" t="str">
        <f>IF(AQ6="",IF(MAX(AS6,AU6)&gt;0,MAX(AS6,AU6),""),MAX(AS6,AU6)+AQ6)</f>
        <v/>
      </c>
      <c r="AW6" s="11" t="str">
        <f>IF(AM6&gt;0,AM6,"")</f>
        <v/>
      </c>
      <c r="AX6" s="11" t="str">
        <f>IF(SUM(AK6:AN6)-AO6&gt;0,SUM(AK6:AN6)-AO6,"")</f>
        <v/>
      </c>
      <c r="AY6" s="11" t="str">
        <f>IF(SUM(AV6,AX6)&gt;0,SUM(AV6,AX6),"")</f>
        <v/>
      </c>
      <c r="AZ6" s="75">
        <v>17.7</v>
      </c>
      <c r="BA6" s="75">
        <v>9.4</v>
      </c>
      <c r="BB6" s="75">
        <v>5.8</v>
      </c>
      <c r="BC6" s="75">
        <v>16.975000000000001</v>
      </c>
      <c r="BD6" s="75">
        <v>0</v>
      </c>
      <c r="BE6" s="75">
        <v>16.899999999999999</v>
      </c>
      <c r="BF6" s="75">
        <v>9.1999999999999993</v>
      </c>
      <c r="BG6" s="75">
        <v>15.2</v>
      </c>
      <c r="BH6" s="75">
        <v>16.225000000000001</v>
      </c>
      <c r="BI6" s="75">
        <v>0</v>
      </c>
      <c r="BJ6" s="75">
        <v>17</v>
      </c>
      <c r="BK6" s="75">
        <v>9.3000000000000007</v>
      </c>
      <c r="BL6" s="75">
        <v>15.2</v>
      </c>
      <c r="BM6" s="75">
        <v>16.11</v>
      </c>
      <c r="BN6" s="75">
        <v>0</v>
      </c>
      <c r="BO6" s="75">
        <v>14.9</v>
      </c>
      <c r="BP6" s="75">
        <v>9.3000000000000007</v>
      </c>
      <c r="BQ6" s="75">
        <v>15.6</v>
      </c>
      <c r="BR6" s="75">
        <v>16.04</v>
      </c>
      <c r="BS6" s="75">
        <v>0</v>
      </c>
      <c r="BT6" s="81"/>
      <c r="BU6" s="14">
        <f>IF(SUM(AZ6:BC6)-BD6&gt;0,SUM(AZ6:BC6)-BD6,"")</f>
        <v>49.875</v>
      </c>
      <c r="BV6" s="14">
        <f>IF(BG6&gt;0,BG6,"")</f>
        <v>15.2</v>
      </c>
      <c r="BW6" s="14">
        <f>IF(SUM(BE6:BH6)-BI6&gt;0,SUM(BE6:BH6)-BI6,"")</f>
        <v>57.524999999999999</v>
      </c>
      <c r="BX6" s="14">
        <f>IF(BL6&gt;0,BL6,"")</f>
        <v>15.2</v>
      </c>
      <c r="BY6" s="14">
        <f>IF(SUM(BJ6:BM6)-BN6&gt;0,SUM(BJ6:BM6)-BN6,"")</f>
        <v>57.61</v>
      </c>
      <c r="BZ6" s="14">
        <f>IF(BU6="",IF(MAX(BW6,BY6)&gt;0,MAX(BW6,BY6),""),MAX(BW6,BY6)+BU6)</f>
        <v>107.485</v>
      </c>
      <c r="CA6" s="14">
        <f>IF(BQ6&gt;0,BQ6,"")</f>
        <v>15.6</v>
      </c>
      <c r="CB6" s="14">
        <f>IF(SUM(BO6:BR6)-BS6&gt;0,SUM(BO6:BR6)-BS6,"")</f>
        <v>55.84</v>
      </c>
      <c r="CC6" s="14">
        <f>IF(SUM(BZ6,CB6)&gt;0,SUM(BZ6,CB6),"")</f>
        <v>163.32499999999999</v>
      </c>
      <c r="CD6" s="69">
        <v>18.399999999999999</v>
      </c>
      <c r="CE6" s="69">
        <v>9</v>
      </c>
      <c r="CF6" s="69">
        <v>5.8</v>
      </c>
      <c r="CG6" s="69">
        <v>17.309999999999999</v>
      </c>
      <c r="CH6" s="69">
        <v>0</v>
      </c>
      <c r="CI6" s="69">
        <v>16.8</v>
      </c>
      <c r="CJ6" s="69">
        <v>9.1999999999999993</v>
      </c>
      <c r="CK6" s="69">
        <v>15</v>
      </c>
      <c r="CL6" s="69">
        <v>16.91</v>
      </c>
      <c r="CM6" s="69">
        <v>0</v>
      </c>
      <c r="CN6" s="69">
        <v>17.100000000000001</v>
      </c>
      <c r="CO6" s="69">
        <v>9.3000000000000007</v>
      </c>
      <c r="CP6" s="69">
        <v>15</v>
      </c>
      <c r="CQ6" s="69">
        <v>16.495000000000001</v>
      </c>
      <c r="CR6" s="69">
        <v>0</v>
      </c>
      <c r="CS6" s="69">
        <v>17.100000000000001</v>
      </c>
      <c r="CT6" s="69">
        <v>9</v>
      </c>
      <c r="CU6" s="69">
        <v>15</v>
      </c>
      <c r="CV6" s="69">
        <v>16.41</v>
      </c>
      <c r="CW6" s="69">
        <v>0</v>
      </c>
      <c r="CX6" s="80"/>
      <c r="CY6" s="11">
        <f>IF(SUM(CD6:CG6)-CH6&gt;0,SUM(CD6:CG6)-CH6,"")</f>
        <v>50.509999999999991</v>
      </c>
      <c r="CZ6" s="11">
        <f>IF(CK6&gt;0,CK6,"")</f>
        <v>15</v>
      </c>
      <c r="DA6" s="11">
        <f>IF(SUM(CI6:CL6)-CM6&gt;0,SUM(CI6:CL6)-CM6,"")</f>
        <v>57.91</v>
      </c>
      <c r="DB6" s="11">
        <f>IF(CP6&gt;0,CP6,"")</f>
        <v>15</v>
      </c>
      <c r="DC6" s="11">
        <f>IF(SUM(CN6:CQ6)-CR6&gt;0,SUM(CN6:CQ6)-CR6,"")</f>
        <v>57.89500000000001</v>
      </c>
      <c r="DD6" s="11">
        <f>IF(CY6="",IF(MAX(DA6,DC6)&gt;0,MAX(DA6,DC6),""),MAX(DA6,DC6)+CY6)</f>
        <v>108.41999999999999</v>
      </c>
      <c r="DE6" s="11">
        <f>IF(CU6&gt;0,CU6,"")</f>
        <v>15</v>
      </c>
      <c r="DF6" s="11">
        <f>IF(SUM(CS6:CV6)-CW6&gt;0,SUM(CS6:CV6)-CW6,"")</f>
        <v>57.510000000000005</v>
      </c>
      <c r="DG6" s="11">
        <f>IF(SUM(DD6,DF6)&gt;0,SUM(DD6,DF6),"")</f>
        <v>165.93</v>
      </c>
      <c r="DH6" s="24">
        <f>IF(MAX(EB6,EX6,FT6,GP6,HL6,IH6,JD6,JZ6,KV6,LR6,MN6,NJ6)-IF(M6="",0,M6)&gt;0.001,MAX(EB6,EX6,FT6,GP6,HL6,IH6,JD6,JZ6,KV6,LR6,MN6,NJ6)-IF(M6="",0,M6),"")</f>
        <v>0.93500000000000227</v>
      </c>
      <c r="DI6" s="24" t="str">
        <f>IF(MAX(EC6,EY6,FU6,GQ6,HM6,II6,JE6,KA6,KW6,LS6,MO6,NK6)-IF(O6="",0,O6)&gt;0.001,MAX(EC6,EY6,FU6,GQ6,HM6,II6,JE6,KA6,KW6,LS6,MO6,NK6)-IF(O6="",0,O6),"")</f>
        <v/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18.8</v>
      </c>
      <c r="DM6" s="37">
        <v>9.4</v>
      </c>
      <c r="DN6" s="37">
        <v>5.8</v>
      </c>
      <c r="DO6" s="37">
        <v>16.809999999999999</v>
      </c>
      <c r="DP6" s="37">
        <v>0</v>
      </c>
      <c r="DQ6" s="37">
        <v>17</v>
      </c>
      <c r="DR6" s="37">
        <v>9.6</v>
      </c>
      <c r="DS6" s="37">
        <v>15</v>
      </c>
      <c r="DT6" s="37">
        <v>15.76</v>
      </c>
      <c r="DU6" s="37">
        <v>0</v>
      </c>
      <c r="DV6" s="37">
        <v>16.600000000000001</v>
      </c>
      <c r="DW6" s="37">
        <v>9.4</v>
      </c>
      <c r="DX6" s="37">
        <v>15</v>
      </c>
      <c r="DY6" s="37">
        <v>15.994999999999999</v>
      </c>
      <c r="DZ6" s="37">
        <v>0</v>
      </c>
      <c r="EA6" s="11">
        <f>IF(DS6&gt;0,DS6,"")</f>
        <v>15</v>
      </c>
      <c r="EB6" s="11">
        <f>IF(SUM(DL6:DO6)-DP6&gt;0,SUM(DL6:DO6)-DP6,"")</f>
        <v>50.81</v>
      </c>
      <c r="EC6" s="11">
        <f>IF(SUM(DQ6:DT6)-DU6&gt;0,SUM(DQ6:DT6)-DU6,"")</f>
        <v>57.36</v>
      </c>
      <c r="ED6" s="11">
        <f>IF(SUM(EB6:EC6)&gt;0,SUM(EB6:EC6),"")</f>
        <v>108.17</v>
      </c>
      <c r="EE6" s="11">
        <f>IF(DX6&gt;0,DX6,"")</f>
        <v>15</v>
      </c>
      <c r="EF6" s="11">
        <f>IF(SUM(DV6:DY6)-DZ6&gt;0,SUM(DV6:DY6)-DZ6,"")</f>
        <v>56.994999999999997</v>
      </c>
      <c r="EG6" s="11">
        <f>IF(SUM(ED6,EF6)&gt;0,SUM(ED6,EF6),"")</f>
        <v>165.16499999999999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108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18.049999999999997</v>
      </c>
      <c r="NQ6" s="69">
        <f>IF($CX6="P",CE6,(CE6+BA6)/2)</f>
        <v>9.1999999999999993</v>
      </c>
      <c r="NR6" s="69">
        <f>IF($CX6="P",CF6,(CF6+BB6)/2)</f>
        <v>5.8</v>
      </c>
      <c r="NS6" s="69">
        <f>IF($CX6="P",CG6,(CG6+BC6)/2)</f>
        <v>17.142499999999998</v>
      </c>
      <c r="NT6" s="69">
        <f>IF($CX6="P",CH6,(CH6+BD6)/2)</f>
        <v>0</v>
      </c>
      <c r="NU6" s="69">
        <f>IF($CX6="P",CI6,(CI6+BE6)/2)</f>
        <v>16.850000000000001</v>
      </c>
      <c r="NV6" s="69">
        <f>IF($CX6="P",CJ6,(CJ6+BF6)/2)</f>
        <v>9.1999999999999993</v>
      </c>
      <c r="NW6" s="69">
        <f>IF($CX6="P",CK6,(CK6+BG6)/2)</f>
        <v>15.1</v>
      </c>
      <c r="NX6" s="69">
        <f>IF($CX6="P",CL6,(CL6+BH6)/2)</f>
        <v>16.567500000000003</v>
      </c>
      <c r="NY6" s="69">
        <f>IF($CX6="P",CM6,(CM6+BI6)/2)</f>
        <v>0</v>
      </c>
      <c r="NZ6" s="69">
        <f>IF($CX6="P",CN6,(CN6+BJ6)/2)</f>
        <v>17.05</v>
      </c>
      <c r="OA6" s="69">
        <f>IF($CX6="P",CO6,(CO6+BK6)/2)</f>
        <v>9.3000000000000007</v>
      </c>
      <c r="OB6" s="69">
        <f>IF($CX6="P",CP6,(CP6+BL6)/2)</f>
        <v>15.1</v>
      </c>
      <c r="OC6" s="69">
        <f>IF($CX6="P",CQ6,(CQ6+BM6)/2)</f>
        <v>16.302500000000002</v>
      </c>
      <c r="OD6" s="69">
        <f>IF($CX6="P",CR6,(CR6+BN6)/2)</f>
        <v>0</v>
      </c>
      <c r="OE6" s="69">
        <f>IF($CX6="P",CS6,(CS6+BO6)/2)</f>
        <v>16</v>
      </c>
      <c r="OF6" s="69">
        <f>IF($CX6="P",CT6,(CT6+BP6)/2)</f>
        <v>9.15</v>
      </c>
      <c r="OG6" s="69">
        <f>IF($CX6="P",CU6,(CU6+BQ6)/2)</f>
        <v>15.3</v>
      </c>
      <c r="OH6" s="69">
        <f>IF($CX6="P",CV6,(CV6+BR6)/2)</f>
        <v>16.225000000000001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50.192499999999995</v>
      </c>
      <c r="OL6" s="11">
        <f>IF(NW6&gt;0,NW6,"")</f>
        <v>15.1</v>
      </c>
      <c r="OM6" s="11">
        <f>IF(SUM(NU6:NX6)-NY6&gt;0,SUM(NU6:NX6)-NY6,"")</f>
        <v>57.717500000000001</v>
      </c>
      <c r="ON6" s="11">
        <f>IF(OB6&gt;0,OB6,"")</f>
        <v>15.1</v>
      </c>
      <c r="OO6" s="11">
        <f>IF(SUM(NZ6:OC6)-OD6&gt;0,SUM(NZ6:OC6)-OD6,"")</f>
        <v>57.752500000000005</v>
      </c>
      <c r="OP6" s="11">
        <f>IF(OR(OK6&lt;&gt;"",OM6&lt;&gt;"",OO6&lt;&gt;""),OK6+MAX(OM6,OO6),"")</f>
        <v>107.94499999999999</v>
      </c>
      <c r="OQ6" s="11">
        <f>IF(OG6&gt;0,OG6,"")</f>
        <v>15.3</v>
      </c>
      <c r="OR6" s="11">
        <f t="shared" si="0"/>
        <v>56.675000000000004</v>
      </c>
      <c r="OS6" s="11">
        <f t="shared" si="1"/>
        <v>164.62</v>
      </c>
    </row>
    <row r="7" spans="1:409" x14ac:dyDescent="0.2">
      <c r="A7" s="5" cm="1">
        <f t="array" ref="A7">IF(AND(G7&lt;&gt;"",H7&lt;&gt;""),SUMPRODUCT((G$4:G$21&lt;&gt;"")*(H$4:H$21&lt;&gt;"")*(E$4:E$21&gt;E7))+1,IF(H7&lt;&gt;"",SUMPRODUCT((I$4:I$21="No DD")*(E$4:E$21&gt;E7))+1+SUMPRODUCT((G$4:G$21&lt;&gt;"")*(H$4:H$21&lt;&gt;"")),""))</f>
        <v>4</v>
      </c>
      <c r="B7" s="6" t="s">
        <v>8</v>
      </c>
      <c r="C7" s="7" t="s">
        <v>3</v>
      </c>
      <c r="D7" s="27">
        <v>1997</v>
      </c>
      <c r="E7" s="15">
        <f>SUM(K7:S7)</f>
        <v>273.77999999999997</v>
      </c>
      <c r="F7" s="3" t="str">
        <f>IF(G7&lt;&gt;"","P","")</f>
        <v>P</v>
      </c>
      <c r="G7" s="125" t="str">
        <f>IF(OR(AND(AR7&gt;=AY$26,AR7&lt;&gt;"",AP7=""),AND(AT7&gt;=AY$26,AT7&lt;&gt;"",AP7=""),AND(AW7&gt;=AY$26,AW7&lt;&gt;"",AP7=""),AND(BV7&gt;=CC$26,BV7&lt;&gt;"",BT7=""),AND(BX7&gt;=CC$26,BX7&lt;&gt;"",BT7=""),AND(CA7&gt;=CC$26,CA7&lt;&gt;"",BT7=""),AND(CZ7&gt;=DG$26,CZ7&lt;&gt;"",CX7=""),AND(DB7&gt;=DG$26,DB7&lt;&gt;"",CX7=""),AND(DE7&gt;=DG$26,DE7&lt;&gt;"",CX7=""),AND(EA7&gt;=EG$26,EA7&lt;&gt;""),AND(EE7&gt;=EG$26,EE7&lt;&gt;""),AND(EW7&gt;=FC$26,EW7&lt;&gt;""),AND(FA7&gt;=FC$26,FA7&lt;&gt;""),AND(FS7&gt;=FY$26,FS7&lt;&gt;""),AND(FW7&gt;=FY$26,FW7&lt;&gt;""),AND(GO7&gt;=GU$26,GO7&lt;&gt;""),AND(GS7&gt;=GU$26,GS7&lt;&gt;""),AND(HK7&gt;=HQ$26,HK7&lt;&gt;""),AND(HO7&gt;=HQ$26,HO7&lt;&gt;""),AND(IG7&gt;=IM$26,IG7&lt;&gt;""),AND(IK7&gt;=IM$26,IK7&lt;&gt;""),AND(JC7&gt;=JI$26,JC7&lt;&gt;""),AND(JG7&gt;=JI$26,JG7&lt;&gt;""),AND(JY7&gt;=KE$26,JY7&lt;&gt;""),AND(KC7&gt;=KE$26,KC7&lt;&gt;""),AND(KU7&gt;=LA$26,KU7&lt;&gt;""),AND(KY7&gt;=LA$26,KY7&lt;&gt;""),AND(LQ7&gt;=LW$26,LQ7&lt;&gt;""),AND(LU7&gt;=LW$26,LU7&lt;&gt;""),AND(MM7&gt;=MS$26,MM7&lt;&gt;""),AND(MQ7&gt;=MS$26,MQ7&lt;&gt;""),AND(NI7&gt;=NO$26,NI7&lt;&gt;""),AND(NM7&gt;=NO$26,NM7&lt;&gt;"")),"Merit",IF(OR(AND(AR7&gt;=AY$25,AR7&lt;&gt;"",AP7=""),AND(AT7&gt;=AY$25,AT7&lt;&gt;"",AP7=""),AND(AW7&gt;=AY$25,AW7&lt;&gt;"",AP7=""),AND(BV7&gt;=CC$25,BV7&lt;&gt;"",BT7=""),AND(BX7&gt;=CC$25,BX7&lt;&gt;"",BT7=""),AND(CA7&gt;=CC$25,CA7&lt;&gt;"",BT7=""),AND(CZ7&gt;=DG$25,CZ7&lt;&gt;"",CX7=""),AND(DB7&gt;=DG$25,DB7&lt;&gt;"",CX7=""),AND(DE7&gt;=DG$25,DE7&lt;&gt;"",CX7=""),AND(EA7&gt;=EG$25,EA7&lt;&gt;""),AND(EE7&gt;=EG$25,EE7&lt;&gt;""),AND(EW7&gt;=FC$25,EW7&lt;&gt;""),AND(FA7&gt;=FC$25,FA7&lt;&gt;""),AND(FS7&gt;=FY$25,FS7&lt;&gt;""),AND(FW7&gt;=FY$25,FW7&lt;&gt;""),AND(GO7&gt;=GU$25,GO7&lt;&gt;""),AND(GS7&gt;=GU$25,GS7&lt;&gt;""),AND(HK7&gt;=HQ$25,HK7&lt;&gt;""),AND(HO7&gt;=HQ$25,HO7&lt;&gt;""),AND(IG7&gt;=IM$25,IG7&lt;&gt;""),AND(IK7&gt;=IM$25,IK7&lt;&gt;""),AND(JC7&gt;=JI$25,JC7&lt;&gt;""),AND(JG7&gt;=JI$25,JG7&lt;&gt;""),AND(JY7&gt;=KE$25,JY7&lt;&gt;""),AND(KC7&gt;=KE$25,KC7&lt;&gt;""),AND(KU7&gt;=LA$25,KU7&lt;&gt;""),AND(KY7&gt;=LA$25,KY7&lt;&gt;""),AND(LQ7&gt;=LW$25,LQ7&lt;&gt;""),AND(LU7&gt;=LW$25,LU7&lt;&gt;""),AND(MM7&gt;=MS$25,MM7&lt;&gt;""),AND(MQ7&gt;=MS$25,MQ7&lt;&gt;""),AND(NI7&gt;=NO$25,NI7&lt;&gt;""),AND(NM7&gt;=NO$25,NM7&lt;&gt;"")),"Excellence",IF(OR(AND(AR7&gt;=AY$24,AR7&lt;&gt;"",AP7=""),AND(AT7&gt;=AY$24,AT7&lt;&gt;"",AP7=""),AND(AW7&gt;=AY$24,AW7&lt;&gt;"",AP7=""),AND(BV7&gt;=CC$24,BV7&lt;&gt;"",BT7=""),AND(BX7&gt;=CC$24,BX7&lt;&gt;"",BT7=""),AND(CA7&gt;=CC$24,CA7&lt;&gt;"",BT7=""),AND(CZ7&gt;=DG$24,CZ7&lt;&gt;"",CX7=""),AND(DB7&gt;=DG$24,DB7&lt;&gt;"",CX7=""),AND(DE7&gt;=DG$24,DE7&lt;&gt;"",CX7=""),AND(EA7&gt;=EG$24,EA7&lt;&gt;""),AND(EE7&gt;=EG$24,EE7&lt;&gt;""),AND(EW7&gt;=FC$24,EW7&lt;&gt;""),AND(FA7&gt;=FC$24,FA7&lt;&gt;""),AND(FS7&gt;=FY$24,FS7&lt;&gt;""),AND(FW7&gt;=FY$24,FW7&lt;&gt;""),AND(GO7&gt;=GU$24,GO7&lt;&gt;""),AND(GS7&gt;=GU$24,GS7&lt;&gt;""),AND(HK7&gt;=HQ$24,HK7&lt;&gt;""),AND(HO7&gt;=HQ$24,HO7&lt;&gt;""),AND(IG7&gt;=IM$24,IG7&lt;&gt;""),AND(IK7&gt;=IM$24,IK7&lt;&gt;""),AND(JC7&gt;=JI$24,JC7&lt;&gt;""),AND(JG7&gt;=JI$24,JG7&lt;&gt;""),AND(JY7&gt;=KE$24,JY7&lt;&gt;""),AND(KC7&gt;=KE$24,KC7&lt;&gt;""),AND(KU7&gt;=LA$24,KU7&lt;&gt;""),AND(KY7&gt;=LA$24,KY7&lt;&gt;""),AND(LQ7&gt;=LW$24,LQ7&lt;&gt;""),AND(LU7&gt;=LW$24,LU7&lt;&gt;""),AND(MM7&gt;=MS$24,MM7&lt;&gt;""),AND(MQ7&gt;=MS$24,MQ7&lt;&gt;""),AND(NI7&gt;=NO$24,NI7&lt;&gt;""),AND(NM7&gt;=NO$24,NM7&lt;&gt;"")),"Worlds Team",IF(OR(AND(AR7&gt;=AY$23,AR7&lt;&gt;"",AP7=""),AND(AT7&gt;=AY$23,AT7&lt;&gt;"",AP7=""),AND(AW7&gt;=AY$23,AW7&lt;&gt;"",AP7=""),AND(BV7&gt;=CC$23,BV7&lt;&gt;"",BT7=""),AND(BX7&gt;=CC$23,BX7&lt;&gt;"",BT7=""),AND(CA7&gt;=CC$23,CA7&lt;&gt;"",BT7=""),AND(CZ7&gt;=DG$23,CZ7&lt;&gt;"",CX7=""),AND(DB7&gt;=DG$23,DB7&lt;&gt;"",CX7=""),AND(DE7&gt;=DG$23,DE7&lt;&gt;"",CX7=""),AND(EA7&gt;=EG$23,EA7&lt;&gt;""),AND(EE7&gt;=EG$23,EE7&lt;&gt;""),AND(EW7&gt;=FC$23,EW7&lt;&gt;""),AND(FA7&gt;=FC$23,FA7&lt;&gt;""),AND(FS7&gt;=FY$23,FS7&lt;&gt;""),AND(FW7&gt;=FY$23,FW7&lt;&gt;""),AND(GO7&gt;=GU$23,GO7&lt;&gt;""),AND(GS7&gt;=GU$23,GS7&lt;&gt;""),AND(HK7&gt;=HQ$23,HK7&lt;&gt;""),AND(HO7&gt;=HQ$23,HO7&lt;&gt;""),AND(IG7&gt;=IM$23,IG7&lt;&gt;""),AND(IK7&gt;=IM$23,IK7&lt;&gt;""),AND(JC7&gt;=JI$23,JC7&lt;&gt;""),AND(JG7&gt;=JI$23,JG7&lt;&gt;""),AND(JY7&gt;=KE$23,JY7&lt;&gt;""),AND(KC7&gt;=KE$23,KC7&lt;&gt;""),AND(KU7&gt;=LA$23,KU7&lt;&gt;""),AND(KY7&gt;=LA$23,KY7&lt;&gt;""),AND(LQ7&gt;=LW$23,LQ7&lt;&gt;""),AND(LU7&gt;=LW$23,LU7&lt;&gt;""),AND(MM7&gt;=MS$23,MM7&lt;&gt;""),AND(MQ7&gt;=MS$23,MQ7&lt;&gt;""),AND(NI7&gt;=NO$23,NI7&lt;&gt;""),AND(NM7&gt;=NO$23,NM7&lt;&gt;"")),"National Team",""))))</f>
        <v>Merit</v>
      </c>
      <c r="H7" s="125" t="str">
        <f>IF(OR(AND(AS7&gt;=AY$30,AS7&lt;&gt;"",AP7=""),AND(AU7&gt;=AY$30,AU7&lt;&gt;"",AP7=""),AND(AX7&gt;=AY$30,AX7&lt;&gt;"",AP7=""),AND(BW7&gt;=CC$30,BW7&lt;&gt;"",BT7=""),AND(BY7&gt;=CC$30,BY7&lt;&gt;"",BT7=""),AND(CB7&gt;=CC$30,CB7&lt;&gt;"",BT7=""),AND(DA7&gt;=DG$30,DA7&lt;&gt;"",CX7=""),AND(DC7&gt;=DG$30,DC7&lt;&gt;"",CX7=""),AND(DF7&gt;=DG$30,DF7&lt;&gt;"",CX7=""),AND(EC7&gt;=EG$30,EC7&lt;&gt;""),AND(EF7&gt;=EG$30,EF7&lt;&gt;""),AND(EY7&gt;=FC$30,EY7&lt;&gt;""),AND(FB7&gt;=FC$30,FB7&lt;&gt;""),AND(FU7&gt;=FY$30,FU7&lt;&gt;""),AND(FX7&gt;=FY$30,FX7&lt;&gt;""),AND(GQ7&gt;=GU$30,GQ7&lt;&gt;""),AND(GT7&gt;=GU$30,GT7&lt;&gt;""),AND(HM7&gt;=HQ$30,HM7&lt;&gt;""),AND(HP7&gt;=HQ$30,HP7&lt;&gt;""),AND(II7&gt;=IM$30,II7&lt;&gt;""),AND(IL7&gt;=IM$30,IL7&lt;&gt;""),AND(JE7&gt;=JI$30,JE7&lt;&gt;""),AND(JH7&gt;=JI$30,JH7&lt;&gt;""),AND(KA7&gt;=KE$30,KA7&lt;&gt;""),AND(KD7&gt;=KE$30,KD7&lt;&gt;""),AND(KW7&gt;=LA$30,KW7&lt;&gt;""),AND(KZ7&gt;=LA$30,KZ7&lt;&gt;""),AND(LS7&gt;=LW$30,LS7&lt;&gt;""),AND(LV7&gt;=LW$30,LV7&lt;&gt;""),AND(MO7&gt;=MS$30,MO7&lt;&gt;""),AND(MR7&gt;=MS$30,MR7&lt;&gt;""),AND(NK7&gt;=NO$30,NK7&lt;&gt;""),AND(NN7&gt;=NO$30,NN7&lt;&gt;"")),"Merit",IF(OR(AND(AS7&gt;=AY$29,AS7&lt;&gt;"",AP7=""),AND(AU7&gt;=AY$29,AU7&lt;&gt;"",AP7=""),AND(AX7&gt;=AY$29,AX7&lt;&gt;"",AP7=""),AND(BW7&gt;=CC$29,BW7&lt;&gt;"",BT7=""),AND(BY7&gt;=CC$29,BY7&lt;&gt;"",BT7=""),AND(CB7&gt;=CC$29,CB7&lt;&gt;"",BT7=""),AND(DA7&gt;=DG$29,DA7&lt;&gt;"",CX7=""),AND(DC7&gt;=DG$29,DC7&lt;&gt;"",CX7=""),AND(DF7&gt;=DG$29,DF7&lt;&gt;"",CX7=""),AND(EC7&gt;=EG$29,EC7&lt;&gt;""),AND(EF7&gt;=EG$29,EF7&lt;&gt;""),AND(EY7&gt;=FC$29,EY7&lt;&gt;""),AND(FB7&gt;=FC$29,FB7&lt;&gt;""),AND(FU7&gt;=FY$29,FU7&lt;&gt;""),AND(FX7&gt;=FY$29,FX7&lt;&gt;""),AND(GQ7&gt;=GU$29,GQ7&lt;&gt;""),AND(GT7&gt;=GU$29,GT7&lt;&gt;""),AND(HM7&gt;=HQ$29,HM7&lt;&gt;""),AND(HP7&gt;=HQ$29,HP7&lt;&gt;""),AND(II7&gt;=IM$29,II7&lt;&gt;""),AND(IL7&gt;=IM$29,IL7&lt;&gt;""),AND(JE7&gt;=JI$29,JE7&lt;&gt;""),AND(JH7&gt;=JI$29,JH7&lt;&gt;""),AND(KA7&gt;=KE$29,KA7&lt;&gt;""),AND(KD7&gt;=KE$29,KD7&lt;&gt;""),AND(KW7&gt;=LA$29,KW7&lt;&gt;""),AND(KZ7&gt;=LA$29,KZ7&lt;&gt;""),AND(LS7&gt;=LW$29,LS7&lt;&gt;""),AND(LV7&gt;=LW$29,LV7&lt;&gt;""),AND(MO7&gt;=MS$29,MO7&lt;&gt;""),AND(MR7&gt;=MS$29,MR7&lt;&gt;""),AND(NK7&gt;=NO$29,NK7&lt;&gt;""),AND(NN7&gt;=NO$29,NN7&lt;&gt;"")),"Excellence",IF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"Worlds Team",IF(OR(AND(AV7&gt;=AY$27,AV7&lt;&gt;"",AP7=""),AND(BZ7&gt;=CC$27,BZ7&lt;&gt;"",BT7=""),AND(DD7&gt;=DG$27,DD7&lt;&gt;"",CX7=""),AND(ED7&gt;=EG$27,ED7&lt;&gt;""),AND(EZ7&gt;=FC$27,EZ7&lt;&gt;""),AND(FV7&gt;=FY$27,FV7&lt;&gt;""),AND(GR7&gt;=GU$27,GR7&lt;&gt;""),AND(HN7&gt;=HQ$27,HN7&lt;&gt;""),AND(IJ7&gt;=IM$27,IJ7&lt;&gt;""),AND(JF7&gt;=JI$27,JF7&lt;&gt;""),AND(KB7&gt;=KE$27,KB7&lt;&gt;""),AND(KX7&gt;=LA$27,KX7&lt;&gt;""),AND(LT7&gt;=LW$27,LT7&lt;&gt;""),AND(MP7&gt;=MS$27,MP7&lt;&gt;""),AND(NL7&gt;=NO$27,NL7&lt;&gt;"")),"National Team",""))))</f>
        <v>Worlds Team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Worlds Team</v>
      </c>
      <c r="J7" s="3" t="str">
        <f>IF(AND(OR(AND(AV7&gt;=AY$28,AV7&lt;&gt;"",AP7=""),AND(BZ7&gt;=CC$28,BZ7&lt;&gt;"",BT7=""),AND(DD7&gt;=DG$28,DD7&lt;&gt;"",CX7=""),AND(ED7&gt;=EG$28,ED7&lt;&gt;""),AND(EZ7&gt;=FC$28,EZ7&lt;&gt;""),AND(FV7&gt;=FY$28,FV7&lt;&gt;""),AND(GR7&gt;=GU$28,GR7&lt;&gt;""),AND(HN7&gt;=HQ$28,HN7&lt;&gt;""),AND(IJ7&gt;=IM$28,IJ7&lt;&gt;""),AND(JF7&gt;=JI$28,JF7&lt;&gt;""),AND(KB7&gt;=KE$28,KB7&lt;&gt;""),AND(KX7&gt;=LA$28,KX7&lt;&gt;""),AND(LT7&gt;=LW$28,LT7&lt;&gt;""),AND(MP7&gt;=MS$28,MP7&lt;&gt;""),AND(NL7&gt;=NO$28,NL7&lt;&gt;"")),OR(G7="Worlds Team",G7="Excellence",G7="Merit")),"P","")</f>
        <v>P</v>
      </c>
      <c r="K7" s="14">
        <f>IF(MAX(AV7,BZ7,DD7)&gt;0,MAX(AV7,BZ7,DD7),0)</f>
        <v>107.795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50.730000000000004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57.36</v>
      </c>
      <c r="P7" s="14" t="str">
        <f>IF(O7=0,"",IF(OR(O7=DC7,O7=DA7),$CD$1,IF(OR(O7=BY7,O7=BW7),$AZ$1,IF(OR(O7=AU7,O7=AS7),$V$1,""))))</f>
        <v>2021 2nd Virtual Technical Trial</v>
      </c>
      <c r="Q7" s="14">
        <f>MAX(AX7,CB7,DF7)</f>
        <v>57.894999999999996</v>
      </c>
      <c r="R7" s="14" t="str">
        <f>IF(Q7=0,"",IF(Q7=DF7,$CD$1,IF(Q7=CB7,$AZ$1,IF(Q7=AX7,$V$1,""))))</f>
        <v>2021 Elite Canada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17.8</v>
      </c>
      <c r="W7" s="69">
        <v>9.1999999999999993</v>
      </c>
      <c r="X7" s="69">
        <v>5.2</v>
      </c>
      <c r="Y7" s="69">
        <v>17.579999999999998</v>
      </c>
      <c r="Z7" s="69">
        <v>0</v>
      </c>
      <c r="AA7" s="69">
        <v>9.1</v>
      </c>
      <c r="AB7" s="69">
        <v>5.7</v>
      </c>
      <c r="AC7" s="69">
        <v>10</v>
      </c>
      <c r="AD7" s="69">
        <v>10.07</v>
      </c>
      <c r="AE7" s="69">
        <v>0</v>
      </c>
      <c r="AF7" s="69">
        <v>15.2</v>
      </c>
      <c r="AG7" s="69">
        <v>9.1999999999999993</v>
      </c>
      <c r="AH7" s="69">
        <v>16.2</v>
      </c>
      <c r="AI7" s="69">
        <v>16.760000000000002</v>
      </c>
      <c r="AJ7" s="69">
        <v>0</v>
      </c>
      <c r="AK7" s="69">
        <v>4.5999999999999996</v>
      </c>
      <c r="AL7" s="69">
        <v>2.5</v>
      </c>
      <c r="AM7" s="69">
        <v>5.5</v>
      </c>
      <c r="AN7" s="69">
        <v>5.2850000000000001</v>
      </c>
      <c r="AO7" s="69">
        <v>0</v>
      </c>
      <c r="AP7" s="80"/>
      <c r="AQ7" s="11">
        <f>IF(SUM(V7:Y7)-Z7&gt;0,SUM(V7:Y7)-Z7,"")</f>
        <v>49.78</v>
      </c>
      <c r="AR7" s="11">
        <f>IF(AC7&gt;0,AC7,"")</f>
        <v>10</v>
      </c>
      <c r="AS7" s="11">
        <f>IF(SUM(AA7:AD7)-AE7&gt;0,SUM(AA7:AD7)-AE7,"")</f>
        <v>34.870000000000005</v>
      </c>
      <c r="AT7" s="11">
        <f>IF(AH7&gt;0,AH7,"")</f>
        <v>16.2</v>
      </c>
      <c r="AU7" s="11">
        <f>IF(SUM(AF7:AI7)-AJ7&gt;0,SUM(AF7:AI7)-AJ7,"")</f>
        <v>57.36</v>
      </c>
      <c r="AV7" s="11">
        <f>IF(AQ7="",IF(MAX(AS7,AU7)&gt;0,MAX(AS7,AU7),""),MAX(AS7,AU7)+AQ7)</f>
        <v>107.14</v>
      </c>
      <c r="AW7" s="11">
        <f>IF(AM7&gt;0,AM7,"")</f>
        <v>5.5</v>
      </c>
      <c r="AX7" s="11">
        <f>IF(SUM(AK7:AN7)-AO7&gt;0,SUM(AK7:AN7)-AO7,"")</f>
        <v>17.884999999999998</v>
      </c>
      <c r="AY7" s="11">
        <f>IF(SUM(AV7,AX7)&gt;0,SUM(AV7,AX7),"")</f>
        <v>125.02500000000001</v>
      </c>
      <c r="AZ7" s="75">
        <v>18.2</v>
      </c>
      <c r="BA7" s="75">
        <v>9.6</v>
      </c>
      <c r="BB7" s="75">
        <v>5.2</v>
      </c>
      <c r="BC7" s="75">
        <v>17.73</v>
      </c>
      <c r="BD7" s="75">
        <v>0</v>
      </c>
      <c r="BE7" s="75">
        <v>3.3</v>
      </c>
      <c r="BF7" s="75">
        <v>1.7</v>
      </c>
      <c r="BG7" s="75">
        <v>3.8</v>
      </c>
      <c r="BH7" s="75">
        <v>3.63</v>
      </c>
      <c r="BI7" s="75">
        <v>0</v>
      </c>
      <c r="BJ7" s="75">
        <v>6.5</v>
      </c>
      <c r="BK7" s="75">
        <v>3.8</v>
      </c>
      <c r="BL7" s="75">
        <v>7.1</v>
      </c>
      <c r="BM7" s="75">
        <v>7.08</v>
      </c>
      <c r="BN7" s="75">
        <v>0</v>
      </c>
      <c r="BO7" s="75">
        <v>15.9</v>
      </c>
      <c r="BP7" s="75">
        <v>9.3000000000000007</v>
      </c>
      <c r="BQ7" s="75">
        <v>15.8</v>
      </c>
      <c r="BR7" s="75">
        <v>16.895</v>
      </c>
      <c r="BS7" s="75">
        <v>0</v>
      </c>
      <c r="BT7" s="81"/>
      <c r="BU7" s="14">
        <f>IF(SUM(AZ7:BC7)-BD7&gt;0,SUM(AZ7:BC7)-BD7,"")</f>
        <v>50.730000000000004</v>
      </c>
      <c r="BV7" s="14">
        <f>IF(BG7&gt;0,BG7,"")</f>
        <v>3.8</v>
      </c>
      <c r="BW7" s="14">
        <f>IF(SUM(BE7:BH7)-BI7&gt;0,SUM(BE7:BH7)-BI7,"")</f>
        <v>12.43</v>
      </c>
      <c r="BX7" s="14">
        <f>IF(BL7&gt;0,BL7,"")</f>
        <v>7.1</v>
      </c>
      <c r="BY7" s="14">
        <f>IF(SUM(BJ7:BM7)-BN7&gt;0,SUM(BJ7:BM7)-BN7,"")</f>
        <v>24.479999999999997</v>
      </c>
      <c r="BZ7" s="14">
        <f>IF(BU7="",IF(MAX(BW7,BY7)&gt;0,MAX(BW7,BY7),""),MAX(BW7,BY7)+BU7)</f>
        <v>75.210000000000008</v>
      </c>
      <c r="CA7" s="14">
        <f>IF(BQ7&gt;0,BQ7,"")</f>
        <v>15.8</v>
      </c>
      <c r="CB7" s="14">
        <f>IF(SUM(BO7:BR7)-BS7&gt;0,SUM(BO7:BR7)-BS7,"")</f>
        <v>57.894999999999996</v>
      </c>
      <c r="CC7" s="14">
        <f>IF(SUM(BZ7,CB7)&gt;0,SUM(BZ7,CB7),"")</f>
        <v>133.10500000000002</v>
      </c>
      <c r="CD7" s="69">
        <v>18.2</v>
      </c>
      <c r="CE7" s="69">
        <v>9.6</v>
      </c>
      <c r="CF7" s="69">
        <v>5.2</v>
      </c>
      <c r="CG7" s="69">
        <v>17.864999999999998</v>
      </c>
      <c r="CH7" s="69">
        <v>0</v>
      </c>
      <c r="CI7" s="69">
        <v>14.6</v>
      </c>
      <c r="CJ7" s="69">
        <v>9.3000000000000007</v>
      </c>
      <c r="CK7" s="69">
        <v>16.2</v>
      </c>
      <c r="CL7" s="69">
        <v>16.63</v>
      </c>
      <c r="CM7" s="69">
        <v>0</v>
      </c>
      <c r="CN7" s="69">
        <v>14.8</v>
      </c>
      <c r="CO7" s="69">
        <v>9.1999999999999993</v>
      </c>
      <c r="CP7" s="69">
        <v>16.2</v>
      </c>
      <c r="CQ7" s="69">
        <v>16.73</v>
      </c>
      <c r="CR7" s="69">
        <v>0</v>
      </c>
      <c r="CS7" s="69">
        <v>1.7</v>
      </c>
      <c r="CT7" s="69">
        <v>1</v>
      </c>
      <c r="CU7" s="69">
        <v>2</v>
      </c>
      <c r="CV7" s="69">
        <v>1.8</v>
      </c>
      <c r="CW7" s="69">
        <v>0.2</v>
      </c>
      <c r="CX7" s="80"/>
      <c r="CY7" s="11">
        <f>IF(SUM(CD7:CG7)-CH7&gt;0,SUM(CD7:CG7)-CH7,"")</f>
        <v>50.864999999999995</v>
      </c>
      <c r="CZ7" s="11">
        <f>IF(CK7&gt;0,CK7,"")</f>
        <v>16.2</v>
      </c>
      <c r="DA7" s="11">
        <f>IF(SUM(CI7:CL7)-CM7&gt;0,SUM(CI7:CL7)-CM7,"")</f>
        <v>56.72999999999999</v>
      </c>
      <c r="DB7" s="11">
        <f>IF(CP7&gt;0,CP7,"")</f>
        <v>16.2</v>
      </c>
      <c r="DC7" s="11">
        <f>IF(SUM(CN7:CQ7)-CR7&gt;0,SUM(CN7:CQ7)-CR7,"")</f>
        <v>56.930000000000007</v>
      </c>
      <c r="DD7" s="11">
        <f>IF(CY7="",IF(MAX(DA7,DC7)&gt;0,MAX(DA7,DC7),""),MAX(DA7,DC7)+CY7)</f>
        <v>107.795</v>
      </c>
      <c r="DE7" s="11">
        <f>IF(CU7&gt;0,CU7,"")</f>
        <v>2</v>
      </c>
      <c r="DF7" s="11">
        <f>IF(SUM(CS7:CV7)-CW7&gt;0,SUM(CS7:CV7)-CW7,"")</f>
        <v>6.3</v>
      </c>
      <c r="DG7" s="11">
        <f>IF(SUM(DD7,DF7)&gt;0,SUM(DD7,DF7),"")</f>
        <v>114.095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18.2</v>
      </c>
      <c r="NQ7" s="69">
        <f>IF($CX7="P",CE7,(CE7+BA7)/2)</f>
        <v>9.6</v>
      </c>
      <c r="NR7" s="69">
        <f>IF($CX7="P",CF7,(CF7+BB7)/2)</f>
        <v>5.2</v>
      </c>
      <c r="NS7" s="69">
        <f>IF($CX7="P",CG7,(CG7+BC7)/2)</f>
        <v>17.797499999999999</v>
      </c>
      <c r="NT7" s="69">
        <f>IF($CX7="P",CH7,(CH7+BD7)/2)</f>
        <v>0</v>
      </c>
      <c r="NU7" s="69">
        <f>IF($CX7="P",CI7,(CI7+BE7)/2)</f>
        <v>8.9499999999999993</v>
      </c>
      <c r="NV7" s="69">
        <f>IF($CX7="P",CJ7,(CJ7+BF7)/2)</f>
        <v>5.5</v>
      </c>
      <c r="NW7" s="69">
        <f>IF($CX7="P",CK7,(CK7+BG7)/2)</f>
        <v>10</v>
      </c>
      <c r="NX7" s="69">
        <f>IF($CX7="P",CL7,(CL7+BH7)/2)</f>
        <v>10.129999999999999</v>
      </c>
      <c r="NY7" s="69">
        <f>IF($CX7="P",CM7,(CM7+BI7)/2)</f>
        <v>0</v>
      </c>
      <c r="NZ7" s="69">
        <f>IF($CX7="P",CN7,(CN7+BJ7)/2)</f>
        <v>10.65</v>
      </c>
      <c r="OA7" s="69">
        <f>IF($CX7="P",CO7,(CO7+BK7)/2)</f>
        <v>6.5</v>
      </c>
      <c r="OB7" s="69">
        <f>IF($CX7="P",CP7,(CP7+BL7)/2)</f>
        <v>11.649999999999999</v>
      </c>
      <c r="OC7" s="69">
        <f>IF($CX7="P",CQ7,(CQ7+BM7)/2)</f>
        <v>11.905000000000001</v>
      </c>
      <c r="OD7" s="69">
        <f>IF($CX7="P",CR7,(CR7+BN7)/2)</f>
        <v>0</v>
      </c>
      <c r="OE7" s="69">
        <f>IF($CX7="P",CS7,(CS7+BO7)/2)</f>
        <v>8.8000000000000007</v>
      </c>
      <c r="OF7" s="69">
        <f>IF($CX7="P",CT7,(CT7+BP7)/2)</f>
        <v>5.15</v>
      </c>
      <c r="OG7" s="69">
        <f>IF($CX7="P",CU7,(CU7+BQ7)/2)</f>
        <v>8.9</v>
      </c>
      <c r="OH7" s="69">
        <f>IF($CX7="P",CV7,(CV7+BR7)/2)</f>
        <v>9.3475000000000001</v>
      </c>
      <c r="OI7" s="69">
        <f>IF($CX7="P",CW7,(CW7+BS7)/2)</f>
        <v>0.1</v>
      </c>
      <c r="OJ7" s="80" t="s">
        <v>74</v>
      </c>
      <c r="OK7" s="11">
        <f>IF(SUM(NP7:NS7)-NT7&gt;0,SUM(NP7:NS7)-NT7,"")</f>
        <v>50.797499999999999</v>
      </c>
      <c r="OL7" s="11">
        <f>IF(NW7&gt;0,NW7,"")</f>
        <v>10</v>
      </c>
      <c r="OM7" s="11">
        <f>IF(SUM(NU7:NX7)-NY7&gt;0,SUM(NU7:NX7)-NY7,"")</f>
        <v>34.58</v>
      </c>
      <c r="ON7" s="11">
        <f>IF(OB7&gt;0,OB7,"")</f>
        <v>11.649999999999999</v>
      </c>
      <c r="OO7" s="11">
        <f>IF(SUM(NZ7:OC7)-OD7&gt;0,SUM(NZ7:OC7)-OD7,"")</f>
        <v>40.704999999999998</v>
      </c>
      <c r="OP7" s="11">
        <f>IF(OR(OK7&lt;&gt;"",OM7&lt;&gt;"",OO7&lt;&gt;""),OK7+MAX(OM7,OO7),"")</f>
        <v>91.502499999999998</v>
      </c>
      <c r="OQ7" s="11">
        <f>IF(OG7&gt;0,OG7,"")</f>
        <v>8.9</v>
      </c>
      <c r="OR7" s="11">
        <f t="shared" si="0"/>
        <v>32.097500000000004</v>
      </c>
      <c r="OS7" s="11">
        <f t="shared" si="1"/>
        <v>123.6</v>
      </c>
    </row>
    <row r="8" spans="1:409" x14ac:dyDescent="0.2">
      <c r="A8" s="5" cm="1">
        <f t="array" ref="A8">IF(AND(G8&lt;&gt;"",H8&lt;&gt;""),SUMPRODUCT((G$4:G$21&lt;&gt;"")*(H$4:H$21&lt;&gt;"")*(E$4:E$21&gt;E8))+1,IF(H8&lt;&gt;"",SUMPRODUCT((I$4:I$21="No DD")*(E$4:E$21&gt;E8))+1+SUMPRODUCT((G$4:G$21&lt;&gt;"")*(H$4:H$21&lt;&gt;"")),""))</f>
        <v>5</v>
      </c>
      <c r="B8" s="8" t="s">
        <v>38</v>
      </c>
      <c r="C8" s="4" t="s">
        <v>6</v>
      </c>
      <c r="D8" s="7">
        <v>1995</v>
      </c>
      <c r="E8" s="15">
        <f>SUM(K8:S8)</f>
        <v>269.79500000000002</v>
      </c>
      <c r="F8" s="3" t="str">
        <f>IF(G8&lt;&gt;"","P","")</f>
        <v>P</v>
      </c>
      <c r="G8" s="125" t="str">
        <f>IF(OR(AND(AR8&gt;=AY$26,AR8&lt;&gt;"",AP8=""),AND(AT8&gt;=AY$26,AT8&lt;&gt;"",AP8=""),AND(AW8&gt;=AY$26,AW8&lt;&gt;"",AP8=""),AND(BV8&gt;=CC$26,BV8&lt;&gt;"",BT8=""),AND(BX8&gt;=CC$26,BX8&lt;&gt;"",BT8=""),AND(CA8&gt;=CC$26,CA8&lt;&gt;"",BT8=""),AND(CZ8&gt;=DG$26,CZ8&lt;&gt;"",CX8=""),AND(DB8&gt;=DG$26,DB8&lt;&gt;"",CX8=""),AND(DE8&gt;=DG$26,DE8&lt;&gt;"",CX8=""),AND(EA8&gt;=EG$26,EA8&lt;&gt;""),AND(EE8&gt;=EG$26,EE8&lt;&gt;""),AND(EW8&gt;=FC$26,EW8&lt;&gt;""),AND(FA8&gt;=FC$26,FA8&lt;&gt;""),AND(FS8&gt;=FY$26,FS8&lt;&gt;""),AND(FW8&gt;=FY$26,FW8&lt;&gt;""),AND(GO8&gt;=GU$26,GO8&lt;&gt;""),AND(GS8&gt;=GU$26,GS8&lt;&gt;""),AND(HK8&gt;=HQ$26,HK8&lt;&gt;""),AND(HO8&gt;=HQ$26,HO8&lt;&gt;""),AND(IG8&gt;=IM$26,IG8&lt;&gt;""),AND(IK8&gt;=IM$26,IK8&lt;&gt;""),AND(JC8&gt;=JI$26,JC8&lt;&gt;""),AND(JG8&gt;=JI$26,JG8&lt;&gt;""),AND(JY8&gt;=KE$26,JY8&lt;&gt;""),AND(KC8&gt;=KE$26,KC8&lt;&gt;""),AND(KU8&gt;=LA$26,KU8&lt;&gt;""),AND(KY8&gt;=LA$26,KY8&lt;&gt;""),AND(LQ8&gt;=LW$26,LQ8&lt;&gt;""),AND(LU8&gt;=LW$26,LU8&lt;&gt;""),AND(MM8&gt;=MS$26,MM8&lt;&gt;""),AND(MQ8&gt;=MS$26,MQ8&lt;&gt;""),AND(NI8&gt;=NO$26,NI8&lt;&gt;""),AND(NM8&gt;=NO$26,NM8&lt;&gt;"")),"Merit",IF(OR(AND(AR8&gt;=AY$25,AR8&lt;&gt;"",AP8=""),AND(AT8&gt;=AY$25,AT8&lt;&gt;"",AP8=""),AND(AW8&gt;=AY$25,AW8&lt;&gt;"",AP8=""),AND(BV8&gt;=CC$25,BV8&lt;&gt;"",BT8=""),AND(BX8&gt;=CC$25,BX8&lt;&gt;"",BT8=""),AND(CA8&gt;=CC$25,CA8&lt;&gt;"",BT8=""),AND(CZ8&gt;=DG$25,CZ8&lt;&gt;"",CX8=""),AND(DB8&gt;=DG$25,DB8&lt;&gt;"",CX8=""),AND(DE8&gt;=DG$25,DE8&lt;&gt;"",CX8=""),AND(EA8&gt;=EG$25,EA8&lt;&gt;""),AND(EE8&gt;=EG$25,EE8&lt;&gt;""),AND(EW8&gt;=FC$25,EW8&lt;&gt;""),AND(FA8&gt;=FC$25,FA8&lt;&gt;""),AND(FS8&gt;=FY$25,FS8&lt;&gt;""),AND(FW8&gt;=FY$25,FW8&lt;&gt;""),AND(GO8&gt;=GU$25,GO8&lt;&gt;""),AND(GS8&gt;=GU$25,GS8&lt;&gt;""),AND(HK8&gt;=HQ$25,HK8&lt;&gt;""),AND(HO8&gt;=HQ$25,HO8&lt;&gt;""),AND(IG8&gt;=IM$25,IG8&lt;&gt;""),AND(IK8&gt;=IM$25,IK8&lt;&gt;""),AND(JC8&gt;=JI$25,JC8&lt;&gt;""),AND(JG8&gt;=JI$25,JG8&lt;&gt;""),AND(JY8&gt;=KE$25,JY8&lt;&gt;""),AND(KC8&gt;=KE$25,KC8&lt;&gt;""),AND(KU8&gt;=LA$25,KU8&lt;&gt;""),AND(KY8&gt;=LA$25,KY8&lt;&gt;""),AND(LQ8&gt;=LW$25,LQ8&lt;&gt;""),AND(LU8&gt;=LW$25,LU8&lt;&gt;""),AND(MM8&gt;=MS$25,MM8&lt;&gt;""),AND(MQ8&gt;=MS$25,MQ8&lt;&gt;""),AND(NI8&gt;=NO$25,NI8&lt;&gt;""),AND(NM8&gt;=NO$25,NM8&lt;&gt;"")),"Excellence",IF(OR(AND(AR8&gt;=AY$24,AR8&lt;&gt;"",AP8=""),AND(AT8&gt;=AY$24,AT8&lt;&gt;"",AP8=""),AND(AW8&gt;=AY$24,AW8&lt;&gt;"",AP8=""),AND(BV8&gt;=CC$24,BV8&lt;&gt;"",BT8=""),AND(BX8&gt;=CC$24,BX8&lt;&gt;"",BT8=""),AND(CA8&gt;=CC$24,CA8&lt;&gt;"",BT8=""),AND(CZ8&gt;=DG$24,CZ8&lt;&gt;"",CX8=""),AND(DB8&gt;=DG$24,DB8&lt;&gt;"",CX8=""),AND(DE8&gt;=DG$24,DE8&lt;&gt;"",CX8=""),AND(EA8&gt;=EG$24,EA8&lt;&gt;""),AND(EE8&gt;=EG$24,EE8&lt;&gt;""),AND(EW8&gt;=FC$24,EW8&lt;&gt;""),AND(FA8&gt;=FC$24,FA8&lt;&gt;""),AND(FS8&gt;=FY$24,FS8&lt;&gt;""),AND(FW8&gt;=FY$24,FW8&lt;&gt;""),AND(GO8&gt;=GU$24,GO8&lt;&gt;""),AND(GS8&gt;=GU$24,GS8&lt;&gt;""),AND(HK8&gt;=HQ$24,HK8&lt;&gt;""),AND(HO8&gt;=HQ$24,HO8&lt;&gt;""),AND(IG8&gt;=IM$24,IG8&lt;&gt;""),AND(IK8&gt;=IM$24,IK8&lt;&gt;""),AND(JC8&gt;=JI$24,JC8&lt;&gt;""),AND(JG8&gt;=JI$24,JG8&lt;&gt;""),AND(JY8&gt;=KE$24,JY8&lt;&gt;""),AND(KC8&gt;=KE$24,KC8&lt;&gt;""),AND(KU8&gt;=LA$24,KU8&lt;&gt;""),AND(KY8&gt;=LA$24,KY8&lt;&gt;""),AND(LQ8&gt;=LW$24,LQ8&lt;&gt;""),AND(LU8&gt;=LW$24,LU8&lt;&gt;""),AND(MM8&gt;=MS$24,MM8&lt;&gt;""),AND(MQ8&gt;=MS$24,MQ8&lt;&gt;""),AND(NI8&gt;=NO$24,NI8&lt;&gt;""),AND(NM8&gt;=NO$24,NM8&lt;&gt;"")),"Worlds Team",IF(OR(AND(AR8&gt;=AY$23,AR8&lt;&gt;"",AP8=""),AND(AT8&gt;=AY$23,AT8&lt;&gt;"",AP8=""),AND(AW8&gt;=AY$23,AW8&lt;&gt;"",AP8=""),AND(BV8&gt;=CC$23,BV8&lt;&gt;"",BT8=""),AND(BX8&gt;=CC$23,BX8&lt;&gt;"",BT8=""),AND(CA8&gt;=CC$23,CA8&lt;&gt;"",BT8=""),AND(CZ8&gt;=DG$23,CZ8&lt;&gt;"",CX8=""),AND(DB8&gt;=DG$23,DB8&lt;&gt;"",CX8=""),AND(DE8&gt;=DG$23,DE8&lt;&gt;"",CX8=""),AND(EA8&gt;=EG$23,EA8&lt;&gt;""),AND(EE8&gt;=EG$23,EE8&lt;&gt;""),AND(EW8&gt;=FC$23,EW8&lt;&gt;""),AND(FA8&gt;=FC$23,FA8&lt;&gt;""),AND(FS8&gt;=FY$23,FS8&lt;&gt;""),AND(FW8&gt;=FY$23,FW8&lt;&gt;""),AND(GO8&gt;=GU$23,GO8&lt;&gt;""),AND(GS8&gt;=GU$23,GS8&lt;&gt;""),AND(HK8&gt;=HQ$23,HK8&lt;&gt;""),AND(HO8&gt;=HQ$23,HO8&lt;&gt;""),AND(IG8&gt;=IM$23,IG8&lt;&gt;""),AND(IK8&gt;=IM$23,IK8&lt;&gt;""),AND(JC8&gt;=JI$23,JC8&lt;&gt;""),AND(JG8&gt;=JI$23,JG8&lt;&gt;""),AND(JY8&gt;=KE$23,JY8&lt;&gt;""),AND(KC8&gt;=KE$23,KC8&lt;&gt;""),AND(KU8&gt;=LA$23,KU8&lt;&gt;""),AND(KY8&gt;=LA$23,KY8&lt;&gt;""),AND(LQ8&gt;=LW$23,LQ8&lt;&gt;""),AND(LU8&gt;=LW$23,LU8&lt;&gt;""),AND(MM8&gt;=MS$23,MM8&lt;&gt;""),AND(MQ8&gt;=MS$23,MQ8&lt;&gt;""),AND(NI8&gt;=NO$23,NI8&lt;&gt;""),AND(NM8&gt;=NO$23,NM8&lt;&gt;"")),"National Team",""))))</f>
        <v>Merit</v>
      </c>
      <c r="H8" s="125" t="str">
        <f>IF(OR(AND(AS8&gt;=AY$30,AS8&lt;&gt;"",AP8=""),AND(AU8&gt;=AY$30,AU8&lt;&gt;"",AP8=""),AND(AX8&gt;=AY$30,AX8&lt;&gt;"",AP8=""),AND(BW8&gt;=CC$30,BW8&lt;&gt;"",BT8=""),AND(BY8&gt;=CC$30,BY8&lt;&gt;"",BT8=""),AND(CB8&gt;=CC$30,CB8&lt;&gt;"",BT8=""),AND(DA8&gt;=DG$30,DA8&lt;&gt;"",CX8=""),AND(DC8&gt;=DG$30,DC8&lt;&gt;"",CX8=""),AND(DF8&gt;=DG$30,DF8&lt;&gt;"",CX8=""),AND(EC8&gt;=EG$30,EC8&lt;&gt;""),AND(EF8&gt;=EG$30,EF8&lt;&gt;""),AND(EY8&gt;=FC$30,EY8&lt;&gt;""),AND(FB8&gt;=FC$30,FB8&lt;&gt;""),AND(FU8&gt;=FY$30,FU8&lt;&gt;""),AND(FX8&gt;=FY$30,FX8&lt;&gt;""),AND(GQ8&gt;=GU$30,GQ8&lt;&gt;""),AND(GT8&gt;=GU$30,GT8&lt;&gt;""),AND(HM8&gt;=HQ$30,HM8&lt;&gt;""),AND(HP8&gt;=HQ$30,HP8&lt;&gt;""),AND(II8&gt;=IM$30,II8&lt;&gt;""),AND(IL8&gt;=IM$30,IL8&lt;&gt;""),AND(JE8&gt;=JI$30,JE8&lt;&gt;""),AND(JH8&gt;=JI$30,JH8&lt;&gt;""),AND(KA8&gt;=KE$30,KA8&lt;&gt;""),AND(KD8&gt;=KE$30,KD8&lt;&gt;""),AND(KW8&gt;=LA$30,KW8&lt;&gt;""),AND(KZ8&gt;=LA$30,KZ8&lt;&gt;""),AND(LS8&gt;=LW$30,LS8&lt;&gt;""),AND(LV8&gt;=LW$30,LV8&lt;&gt;""),AND(MO8&gt;=MS$30,MO8&lt;&gt;""),AND(MR8&gt;=MS$30,MR8&lt;&gt;""),AND(NK8&gt;=NO$30,NK8&lt;&gt;""),AND(NN8&gt;=NO$30,NN8&lt;&gt;"")),"Merit",IF(OR(AND(AS8&gt;=AY$29,AS8&lt;&gt;"",AP8=""),AND(AU8&gt;=AY$29,AU8&lt;&gt;"",AP8=""),AND(AX8&gt;=AY$29,AX8&lt;&gt;"",AP8=""),AND(BW8&gt;=CC$29,BW8&lt;&gt;"",BT8=""),AND(BY8&gt;=CC$29,BY8&lt;&gt;"",BT8=""),AND(CB8&gt;=CC$29,CB8&lt;&gt;"",BT8=""),AND(DA8&gt;=DG$29,DA8&lt;&gt;"",CX8=""),AND(DC8&gt;=DG$29,DC8&lt;&gt;"",CX8=""),AND(DF8&gt;=DG$29,DF8&lt;&gt;"",CX8=""),AND(EC8&gt;=EG$29,EC8&lt;&gt;""),AND(EF8&gt;=EG$29,EF8&lt;&gt;""),AND(EY8&gt;=FC$29,EY8&lt;&gt;""),AND(FB8&gt;=FC$29,FB8&lt;&gt;""),AND(FU8&gt;=FY$29,FU8&lt;&gt;""),AND(FX8&gt;=FY$29,FX8&lt;&gt;""),AND(GQ8&gt;=GU$29,GQ8&lt;&gt;""),AND(GT8&gt;=GU$29,GT8&lt;&gt;""),AND(HM8&gt;=HQ$29,HM8&lt;&gt;""),AND(HP8&gt;=HQ$29,HP8&lt;&gt;""),AND(II8&gt;=IM$29,II8&lt;&gt;""),AND(IL8&gt;=IM$29,IL8&lt;&gt;""),AND(JE8&gt;=JI$29,JE8&lt;&gt;""),AND(JH8&gt;=JI$29,JH8&lt;&gt;""),AND(KA8&gt;=KE$29,KA8&lt;&gt;""),AND(KD8&gt;=KE$29,KD8&lt;&gt;""),AND(KW8&gt;=LA$29,KW8&lt;&gt;""),AND(KZ8&gt;=LA$29,KZ8&lt;&gt;""),AND(LS8&gt;=LW$29,LS8&lt;&gt;""),AND(LV8&gt;=LW$29,LV8&lt;&gt;""),AND(MO8&gt;=MS$29,MO8&lt;&gt;""),AND(MR8&gt;=MS$29,MR8&lt;&gt;""),AND(NK8&gt;=NO$29,NK8&lt;&gt;""),AND(NN8&gt;=NO$29,NN8&lt;&gt;"")),"Excellence",IF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"Worlds Team",IF(OR(AND(AV8&gt;=AY$27,AV8&lt;&gt;"",AP8=""),AND(BZ8&gt;=CC$27,BZ8&lt;&gt;"",BT8=""),AND(DD8&gt;=DG$27,DD8&lt;&gt;"",CX8=""),AND(ED8&gt;=EG$27,ED8&lt;&gt;""),AND(EZ8&gt;=FC$27,EZ8&lt;&gt;""),AND(FV8&gt;=FY$27,FV8&lt;&gt;""),AND(GR8&gt;=GU$27,GR8&lt;&gt;""),AND(HN8&gt;=HQ$27,HN8&lt;&gt;""),AND(IJ8&gt;=IM$27,IJ8&lt;&gt;""),AND(JF8&gt;=JI$27,JF8&lt;&gt;""),AND(KB8&gt;=KE$27,KB8&lt;&gt;""),AND(KX8&gt;=LA$27,KX8&lt;&gt;""),AND(LT8&gt;=LW$27,LT8&lt;&gt;""),AND(MP8&gt;=MS$27,MP8&lt;&gt;""),AND(NL8&gt;=NO$27,NL8&lt;&gt;"")),"National Team",""))))</f>
        <v>Worlds Team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Worlds Team</v>
      </c>
      <c r="J8" s="3" t="str">
        <f>IF(AND(OR(AND(AV8&gt;=AY$28,AV8&lt;&gt;"",AP8=""),AND(BZ8&gt;=CC$28,BZ8&lt;&gt;"",BT8=""),AND(DD8&gt;=DG$28,DD8&lt;&gt;"",CX8=""),AND(ED8&gt;=EG$28,ED8&lt;&gt;""),AND(EZ8&gt;=FC$28,EZ8&lt;&gt;""),AND(FV8&gt;=FY$28,FV8&lt;&gt;""),AND(GR8&gt;=GU$28,GR8&lt;&gt;""),AND(HN8&gt;=HQ$28,HN8&lt;&gt;""),AND(IJ8&gt;=IM$28,IJ8&lt;&gt;""),AND(JF8&gt;=JI$28,JF8&lt;&gt;""),AND(KB8&gt;=KE$28,KB8&lt;&gt;""),AND(KX8&gt;=LA$28,KX8&lt;&gt;""),AND(LT8&gt;=LW$28,LT8&lt;&gt;""),AND(MP8&gt;=MS$28,MP8&lt;&gt;""),AND(NL8&gt;=NO$28,NL8&lt;&gt;"")),OR(G8="Worlds Team",G8="Excellence",G8="Merit")),"P","")</f>
        <v>P</v>
      </c>
      <c r="K8" s="14">
        <f>IF(MAX(AV8,BZ8,DD8)&gt;0,MAX(AV8,BZ8,DD8),0)</f>
        <v>107.13</v>
      </c>
      <c r="L8" s="14" t="str">
        <f>IF(K8=0,"",IF(K8=DD8,$CD$1,IF(K8=BZ8,$AZ$1,IF(K8=AV8,$V$1,""))))</f>
        <v>2021 Canadian Championships</v>
      </c>
      <c r="M8" s="14">
        <f>IF($K8=$AV8,MAX(BU8,CY8),IF($K8=$BZ8,MAX(AQ8,CY8),IF($K8=$DD8,MAX(AQ8,BU8),MAX(AQ8,BU8,CY8))))</f>
        <v>49.960000000000008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56.4</v>
      </c>
      <c r="P8" s="14" t="str">
        <f>IF(O8=0,"",IF(OR(O8=DC8,O8=DA8),$CD$1,IF(OR(O8=BY8,O8=BW8),$AZ$1,IF(OR(O8=AU8,O8=AS8),$V$1,""))))</f>
        <v>2021 Elite Canada</v>
      </c>
      <c r="Q8" s="14">
        <f>MAX(AX8,CB8,DF8)</f>
        <v>56.304999999999993</v>
      </c>
      <c r="R8" s="14" t="str">
        <f>IF(Q8=0,"",IF(Q8=DF8,$CD$1,IF(Q8=CB8,$AZ$1,IF(Q8=AX8,$V$1,""))))</f>
        <v>2021 Elite Canada</v>
      </c>
      <c r="S8" s="14" t="str">
        <f>IF(MAX(DH8,DI8,DJ8,DK8)&gt;0,MAX(DH8,DI8,DJ8,DK8),"")</f>
        <v/>
      </c>
      <c r="T8" s="25" t="str">
        <f>IF(S8="","",IF(S8=DH8,"(Vol 1)",IF(S8=DI8,"(Vol 2)",IF(S8=DJ8,"(Prelim)",IF(S8=DK8,"(Final)")))))</f>
        <v/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/>
      </c>
      <c r="V8" s="69">
        <v>17.899999999999999</v>
      </c>
      <c r="W8" s="69">
        <v>9.5</v>
      </c>
      <c r="X8" s="69">
        <v>5.4</v>
      </c>
      <c r="Y8" s="69">
        <v>16.920000000000002</v>
      </c>
      <c r="Z8" s="69">
        <v>0</v>
      </c>
      <c r="AA8" s="69">
        <v>5.7</v>
      </c>
      <c r="AB8" s="69">
        <v>3.3</v>
      </c>
      <c r="AC8" s="69">
        <v>6.7</v>
      </c>
      <c r="AD8" s="69">
        <v>6.6849999999999996</v>
      </c>
      <c r="AE8" s="69">
        <v>0</v>
      </c>
      <c r="AF8" s="69">
        <v>13.8</v>
      </c>
      <c r="AG8" s="69">
        <v>8.8000000000000007</v>
      </c>
      <c r="AH8" s="69">
        <v>11</v>
      </c>
      <c r="AI8" s="69">
        <v>15.94</v>
      </c>
      <c r="AJ8" s="69">
        <v>2.5</v>
      </c>
      <c r="AK8" s="69">
        <v>13.4</v>
      </c>
      <c r="AL8" s="69">
        <v>9.6</v>
      </c>
      <c r="AM8" s="69">
        <v>15.6</v>
      </c>
      <c r="AN8" s="69">
        <v>15.725</v>
      </c>
      <c r="AO8" s="69">
        <v>0</v>
      </c>
      <c r="AP8" s="80"/>
      <c r="AQ8" s="11">
        <f>IF(SUM(V8:Y8)-Z8&gt;0,SUM(V8:Y8)-Z8,"")</f>
        <v>49.72</v>
      </c>
      <c r="AR8" s="11">
        <f>IF(AC8&gt;0,AC8,"")</f>
        <v>6.7</v>
      </c>
      <c r="AS8" s="11">
        <f>IF(SUM(AA8:AD8)-AE8&gt;0,SUM(AA8:AD8)-AE8,"")</f>
        <v>22.384999999999998</v>
      </c>
      <c r="AT8" s="11">
        <f>IF(AH8&gt;0,AH8,"")</f>
        <v>11</v>
      </c>
      <c r="AU8" s="11">
        <f>IF(SUM(AF8:AI8)-AJ8&gt;0,SUM(AF8:AI8)-AJ8,"")</f>
        <v>47.04</v>
      </c>
      <c r="AV8" s="11">
        <f>IF(AQ8="",IF(MAX(AS8,AU8)&gt;0,MAX(AS8,AU8),""),MAX(AS8,AU8)+AQ8)</f>
        <v>96.759999999999991</v>
      </c>
      <c r="AW8" s="11">
        <f>IF(AM8&gt;0,AM8,"")</f>
        <v>15.6</v>
      </c>
      <c r="AX8" s="11">
        <f>IF(SUM(AK8:AN8)-AO8&gt;0,SUM(AK8:AN8)-AO8,"")</f>
        <v>54.325000000000003</v>
      </c>
      <c r="AY8" s="11">
        <f>IF(SUM(AV8,AX8)&gt;0,SUM(AV8,AX8),"")</f>
        <v>151.08499999999998</v>
      </c>
      <c r="AZ8" s="63">
        <v>17.8</v>
      </c>
      <c r="BA8" s="63">
        <v>9.3000000000000007</v>
      </c>
      <c r="BB8" s="63">
        <v>5.6</v>
      </c>
      <c r="BC8" s="63">
        <v>17.260000000000002</v>
      </c>
      <c r="BD8" s="63">
        <v>0</v>
      </c>
      <c r="BE8" s="63">
        <v>15</v>
      </c>
      <c r="BF8" s="63">
        <v>9.1999999999999993</v>
      </c>
      <c r="BG8" s="63">
        <v>15</v>
      </c>
      <c r="BH8" s="63">
        <v>15.86</v>
      </c>
      <c r="BI8" s="63">
        <v>0</v>
      </c>
      <c r="BJ8" s="63">
        <v>15.3</v>
      </c>
      <c r="BK8" s="63">
        <v>9.1</v>
      </c>
      <c r="BL8" s="63">
        <v>15.4</v>
      </c>
      <c r="BM8" s="63">
        <v>16.600000000000001</v>
      </c>
      <c r="BN8" s="63">
        <v>0</v>
      </c>
      <c r="BO8" s="63">
        <v>15.7</v>
      </c>
      <c r="BP8" s="63">
        <v>9.1</v>
      </c>
      <c r="BQ8" s="63">
        <v>15</v>
      </c>
      <c r="BR8" s="63">
        <v>16.504999999999999</v>
      </c>
      <c r="BS8" s="63">
        <v>0</v>
      </c>
      <c r="BT8" s="81"/>
      <c r="BU8" s="14">
        <f>IF(SUM(AZ8:BC8)-BD8&gt;0,SUM(AZ8:BC8)-BD8,"")</f>
        <v>49.960000000000008</v>
      </c>
      <c r="BV8" s="14">
        <f>IF(BG8&gt;0,BG8,"")</f>
        <v>15</v>
      </c>
      <c r="BW8" s="14">
        <f>IF(SUM(BE8:BH8)-BI8&gt;0,SUM(BE8:BH8)-BI8,"")</f>
        <v>55.06</v>
      </c>
      <c r="BX8" s="14">
        <f>IF(BL8&gt;0,BL8,"")</f>
        <v>15.4</v>
      </c>
      <c r="BY8" s="14">
        <f>IF(SUM(BJ8:BM8)-BN8&gt;0,SUM(BJ8:BM8)-BN8,"")</f>
        <v>56.4</v>
      </c>
      <c r="BZ8" s="14">
        <f>IF(BU8="",IF(MAX(BW8,BY8)&gt;0,MAX(BW8,BY8),""),MAX(BW8,BY8)+BU8)</f>
        <v>106.36000000000001</v>
      </c>
      <c r="CA8" s="14">
        <f>IF(BQ8&gt;0,BQ8,"")</f>
        <v>15</v>
      </c>
      <c r="CB8" s="14">
        <f>IF(SUM(BO8:BR8)-BS8&gt;0,SUM(BO8:BR8)-BS8,"")</f>
        <v>56.304999999999993</v>
      </c>
      <c r="CC8" s="14">
        <f>IF(SUM(BZ8,CB8)&gt;0,SUM(BZ8,CB8),"")</f>
        <v>162.66500000000002</v>
      </c>
      <c r="CD8" s="69">
        <v>18</v>
      </c>
      <c r="CE8" s="69">
        <v>9.1999999999999993</v>
      </c>
      <c r="CF8" s="69">
        <v>5.6</v>
      </c>
      <c r="CG8" s="69">
        <v>17.5</v>
      </c>
      <c r="CH8" s="69">
        <v>0</v>
      </c>
      <c r="CI8" s="69">
        <v>15.5</v>
      </c>
      <c r="CJ8" s="69">
        <v>9.3000000000000007</v>
      </c>
      <c r="CK8" s="69">
        <v>15</v>
      </c>
      <c r="CL8" s="69">
        <v>16.565000000000001</v>
      </c>
      <c r="CM8" s="69">
        <v>0</v>
      </c>
      <c r="CN8" s="69">
        <v>15.5</v>
      </c>
      <c r="CO8" s="69">
        <v>9.1</v>
      </c>
      <c r="CP8" s="69">
        <v>15.4</v>
      </c>
      <c r="CQ8" s="69">
        <v>16.829999999999998</v>
      </c>
      <c r="CR8" s="69">
        <v>0</v>
      </c>
      <c r="CS8" s="69">
        <v>15.4</v>
      </c>
      <c r="CT8" s="69">
        <v>8.6999999999999993</v>
      </c>
      <c r="CU8" s="69">
        <v>13.4</v>
      </c>
      <c r="CV8" s="69">
        <v>16.350000000000001</v>
      </c>
      <c r="CW8" s="69">
        <v>0.1</v>
      </c>
      <c r="CX8" s="80"/>
      <c r="CY8" s="11">
        <f>IF(SUM(CD8:CG8)-CH8&gt;0,SUM(CD8:CG8)-CH8,"")</f>
        <v>50.3</v>
      </c>
      <c r="CZ8" s="11">
        <f>IF(CK8&gt;0,CK8,"")</f>
        <v>15</v>
      </c>
      <c r="DA8" s="11">
        <f>IF(SUM(CI8:CL8)-CM8&gt;0,SUM(CI8:CL8)-CM8,"")</f>
        <v>56.364999999999995</v>
      </c>
      <c r="DB8" s="11">
        <f>IF(CP8&gt;0,CP8,"")</f>
        <v>15.4</v>
      </c>
      <c r="DC8" s="11">
        <f>IF(SUM(CN8:CQ8)-CR8&gt;0,SUM(CN8:CQ8)-CR8,"")</f>
        <v>56.83</v>
      </c>
      <c r="DD8" s="11">
        <f>IF(CY8="",IF(MAX(DA8,DC8)&gt;0,MAX(DA8,DC8),""),MAX(DA8,DC8)+CY8)</f>
        <v>107.13</v>
      </c>
      <c r="DE8" s="11">
        <f>IF(CU8&gt;0,CU8,"")</f>
        <v>13.4</v>
      </c>
      <c r="DF8" s="11">
        <f>IF(SUM(CS8:CV8)-CW8&gt;0,SUM(CS8:CV8)-CW8,"")</f>
        <v>53.75</v>
      </c>
      <c r="DG8" s="11">
        <f>IF(SUM(DD8,DF8)&gt;0,SUM(DD8,DF8),"")</f>
        <v>160.88</v>
      </c>
      <c r="DH8" s="24" t="str">
        <f>IF(MAX(EB8,EX8,FT8,GP8,HL8,IH8,JD8,JZ8,KV8,LR8,MN8,NJ8)-IF(M8="",0,M8)&gt;0.001,MAX(EB8,EX8,FT8,GP8,HL8,IH8,JD8,JZ8,KV8,LR8,MN8,NJ8)-IF(M8="",0,M8),"")</f>
        <v/>
      </c>
      <c r="DI8" s="24" t="str">
        <f>IF(MAX(EC8,EY8,FU8,GQ8,HM8,II8,JE8,KA8,KW8,LS8,MO8,NK8)-IF(O8="",0,O8)&gt;0.001,MAX(EC8,EY8,FU8,GQ8,HM8,II8,JE8,KA8,KW8,LS8,MO8,NK8)-IF(O8="",0,O8),"")</f>
        <v/>
      </c>
      <c r="DJ8" s="24" t="str">
        <f>IF(MAX(ED8,EZ8,FV8,GR8,HN8,IJ8,JF8,KB8,KX8,LT8,MP8,NL8)-IF(K8="",0,K8)&gt;0.001,MAX(ED8,EZ8,FV8,GR8,HN8,IJ8,JF8,KB8,KX8,LT8,MP8,NL8)-IF(K8="",0,K8),"")</f>
        <v/>
      </c>
      <c r="DK8" s="24" t="str">
        <f>IF(MAX(EF8,FB8,FX8,GT8,HP8,IL8,JH8,KD8,KZ8,LV8,MR8,NN8)-IF(Q8="",0,Q8)&gt;0.001,MAX(EF8,FB8,FX8,GT8,HP8,IL8,JH8,KD8,KZ8,LV8,MR8,NN8)-IF(Q8="",0,Q8),"")</f>
        <v/>
      </c>
      <c r="DL8" s="37"/>
      <c r="DM8" s="37"/>
      <c r="DN8" s="37"/>
      <c r="DO8" s="37"/>
      <c r="DP8" s="37"/>
      <c r="DQ8" s="37"/>
      <c r="DR8" s="37"/>
      <c r="DS8" s="37"/>
      <c r="DT8" s="37"/>
      <c r="DU8" s="37"/>
      <c r="DV8" s="37"/>
      <c r="DW8" s="37"/>
      <c r="DX8" s="37"/>
      <c r="DY8" s="37"/>
      <c r="DZ8" s="37"/>
      <c r="EA8" s="11" t="str">
        <f>IF(DS8&gt;0,DS8,"")</f>
        <v/>
      </c>
      <c r="EB8" s="11" t="str">
        <f>IF(SUM(DL8:DO8)-DP8&gt;0,SUM(DL8:DO8)-DP8,"")</f>
        <v/>
      </c>
      <c r="EC8" s="11" t="str">
        <f>IF(SUM(DQ8:DT8)-DU8&gt;0,SUM(DQ8:DT8)-DU8,"")</f>
        <v/>
      </c>
      <c r="ED8" s="11" t="str">
        <f>IF(SUM(EB8:EC8)&gt;0,SUM(EB8:EC8),"")</f>
        <v/>
      </c>
      <c r="EE8" s="11" t="str">
        <f>IF(DX8&gt;0,DX8,"")</f>
        <v/>
      </c>
      <c r="EF8" s="11" t="str">
        <f>IF(SUM(DV8:DY8)-DZ8&gt;0,SUM(DV8:DY8)-DZ8,"")</f>
        <v/>
      </c>
      <c r="EG8" s="11" t="str">
        <f>IF(SUM(ED8,EF8)&gt;0,SUM(ED8,EF8),"")</f>
        <v/>
      </c>
      <c r="EH8" s="38"/>
      <c r="EI8" s="38"/>
      <c r="EJ8" s="38"/>
      <c r="EK8" s="38"/>
      <c r="EL8" s="38"/>
      <c r="EM8" s="38"/>
      <c r="EN8" s="38"/>
      <c r="EO8" s="38"/>
      <c r="EP8" s="38"/>
      <c r="EQ8" s="38"/>
      <c r="ER8" s="38"/>
      <c r="ES8" s="38"/>
      <c r="ET8" s="38"/>
      <c r="EU8" s="38"/>
      <c r="EV8" s="38"/>
      <c r="EW8" s="14" t="str">
        <f>IF(EO8&gt;0,EO8,"")</f>
        <v/>
      </c>
      <c r="EX8" s="14" t="str">
        <f>IF(SUM(EH8:EK8)-EL8&gt;0,SUM(EH8:EK8)-EL8,"")</f>
        <v/>
      </c>
      <c r="EY8" s="14" t="str">
        <f>IF(SUM(EM8:EP8)-EQ8&gt;0,SUM(EM8:EP8)-EQ8,"")</f>
        <v/>
      </c>
      <c r="EZ8" s="14" t="str">
        <f>IF(SUM(EX8:EY8)&gt;0,SUM(EX8:EY8),"")</f>
        <v/>
      </c>
      <c r="FA8" s="14" t="str">
        <f>IF(ET8&gt;0,ET8,"")</f>
        <v/>
      </c>
      <c r="FB8" s="14" t="str">
        <f>IF(SUM(ER8:EU8)-EV8&gt;0,SUM(ER8:EU8)-EV8,"")</f>
        <v/>
      </c>
      <c r="FC8" s="14" t="str">
        <f>IF(SUM(EZ8,FB8)&gt;0,SUM(EZ8,FB8),"")</f>
        <v/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17.899999999999999</v>
      </c>
      <c r="NQ8" s="69">
        <f>IF($CX8="P",CE8,(CE8+BA8)/2)</f>
        <v>9.25</v>
      </c>
      <c r="NR8" s="69">
        <f>IF($CX8="P",CF8,(CF8+BB8)/2)</f>
        <v>5.6</v>
      </c>
      <c r="NS8" s="69">
        <f>IF($CX8="P",CG8,(CG8+BC8)/2)</f>
        <v>17.380000000000003</v>
      </c>
      <c r="NT8" s="69">
        <f>IF($CX8="P",CH8,(CH8+BD8)/2)</f>
        <v>0</v>
      </c>
      <c r="NU8" s="69">
        <f>IF($CX8="P",CI8,(CI8+BE8)/2)</f>
        <v>15.25</v>
      </c>
      <c r="NV8" s="69">
        <f>IF($CX8="P",CJ8,(CJ8+BF8)/2)</f>
        <v>9.25</v>
      </c>
      <c r="NW8" s="69">
        <f>IF($CX8="P",CK8,(CK8+BG8)/2)</f>
        <v>15</v>
      </c>
      <c r="NX8" s="69">
        <f>IF($CX8="P",CL8,(CL8+BH8)/2)</f>
        <v>16.212499999999999</v>
      </c>
      <c r="NY8" s="69">
        <f>IF($CX8="P",CM8,(CM8+BI8)/2)</f>
        <v>0</v>
      </c>
      <c r="NZ8" s="69">
        <f>IF($CX8="P",CN8,(CN8+BJ8)/2)</f>
        <v>15.4</v>
      </c>
      <c r="OA8" s="69">
        <f>IF($CX8="P",CO8,(CO8+BK8)/2)</f>
        <v>9.1</v>
      </c>
      <c r="OB8" s="69">
        <f>IF($CX8="P",CP8,(CP8+BL8)/2)</f>
        <v>15.4</v>
      </c>
      <c r="OC8" s="69">
        <f>IF($CX8="P",CQ8,(CQ8+BM8)/2)</f>
        <v>16.715</v>
      </c>
      <c r="OD8" s="69">
        <f>IF($CX8="P",CR8,(CR8+BN8)/2)</f>
        <v>0</v>
      </c>
      <c r="OE8" s="69">
        <f>IF($CX8="P",CS8,(CS8+BO8)/2)</f>
        <v>15.55</v>
      </c>
      <c r="OF8" s="69">
        <f>IF($CX8="P",CT8,(CT8+BP8)/2)</f>
        <v>8.8999999999999986</v>
      </c>
      <c r="OG8" s="69">
        <f>IF($CX8="P",CU8,(CU8+BQ8)/2)</f>
        <v>14.2</v>
      </c>
      <c r="OH8" s="69">
        <f>IF($CX8="P",CV8,(CV8+BR8)/2)</f>
        <v>16.427500000000002</v>
      </c>
      <c r="OI8" s="69">
        <f>IF($CX8="P",CW8,(CW8+BS8)/2)</f>
        <v>0.05</v>
      </c>
      <c r="OJ8" s="80" t="s">
        <v>74</v>
      </c>
      <c r="OK8" s="11">
        <f>IF(SUM(NP8:NS8)-NT8&gt;0,SUM(NP8:NS8)-NT8,"")</f>
        <v>50.13</v>
      </c>
      <c r="OL8" s="11">
        <f>IF(NW8&gt;0,NW8,"")</f>
        <v>15</v>
      </c>
      <c r="OM8" s="11">
        <f>IF(SUM(NU8:NX8)-NY8&gt;0,SUM(NU8:NX8)-NY8,"")</f>
        <v>55.712499999999999</v>
      </c>
      <c r="ON8" s="11">
        <f>IF(OB8&gt;0,OB8,"")</f>
        <v>15.4</v>
      </c>
      <c r="OO8" s="11">
        <f>IF(SUM(NZ8:OC8)-OD8&gt;0,SUM(NZ8:OC8)-OD8,"")</f>
        <v>56.614999999999995</v>
      </c>
      <c r="OP8" s="11">
        <f>IF(OR(OK8&lt;&gt;"",OM8&lt;&gt;"",OO8&lt;&gt;""),OK8+MAX(OM8,OO8),"")</f>
        <v>106.745</v>
      </c>
      <c r="OQ8" s="11">
        <f>IF(OG8&gt;0,OG8,"")</f>
        <v>14.2</v>
      </c>
      <c r="OR8" s="11">
        <f t="shared" si="0"/>
        <v>55.027500000000003</v>
      </c>
      <c r="OS8" s="11">
        <f t="shared" si="1"/>
        <v>161.77250000000001</v>
      </c>
    </row>
    <row r="9" spans="1:409" x14ac:dyDescent="0.2">
      <c r="A9" s="5" cm="1">
        <f t="array" ref="A9">IF(AND(G9&lt;&gt;"",H9&lt;&gt;""),SUMPRODUCT((G$4:G$21&lt;&gt;"")*(H$4:H$21&lt;&gt;"")*(E$4:E$21&gt;E9))+1,IF(H9&lt;&gt;"",SUMPRODUCT((I$4:I$21="No DD")*(E$4:E$21&gt;E9))+1+SUMPRODUCT((G$4:G$21&lt;&gt;"")*(H$4:H$21&lt;&gt;"")),""))</f>
        <v>6</v>
      </c>
      <c r="B9" s="6" t="s">
        <v>7</v>
      </c>
      <c r="C9" s="7" t="s">
        <v>3</v>
      </c>
      <c r="D9" s="5">
        <v>1994</v>
      </c>
      <c r="E9" s="15">
        <f>SUM(K9:S9)</f>
        <v>268.94</v>
      </c>
      <c r="F9" s="3" t="str">
        <f>IF(G9&lt;&gt;"","P","")</f>
        <v>P</v>
      </c>
      <c r="G9" s="125" t="str">
        <f>IF(OR(AND(AR9&gt;=AY$26,AR9&lt;&gt;"",AP9=""),AND(AT9&gt;=AY$26,AT9&lt;&gt;"",AP9=""),AND(AW9&gt;=AY$26,AW9&lt;&gt;"",AP9=""),AND(BV9&gt;=CC$26,BV9&lt;&gt;"",BT9=""),AND(BX9&gt;=CC$26,BX9&lt;&gt;"",BT9=""),AND(CA9&gt;=CC$26,CA9&lt;&gt;"",BT9=""),AND(CZ9&gt;=DG$26,CZ9&lt;&gt;"",CX9=""),AND(DB9&gt;=DG$26,DB9&lt;&gt;"",CX9=""),AND(DE9&gt;=DG$26,DE9&lt;&gt;"",CX9=""),AND(EA9&gt;=EG$26,EA9&lt;&gt;""),AND(EE9&gt;=EG$26,EE9&lt;&gt;""),AND(EW9&gt;=FC$26,EW9&lt;&gt;""),AND(FA9&gt;=FC$26,FA9&lt;&gt;""),AND(FS9&gt;=FY$26,FS9&lt;&gt;""),AND(FW9&gt;=FY$26,FW9&lt;&gt;""),AND(GO9&gt;=GU$26,GO9&lt;&gt;""),AND(GS9&gt;=GU$26,GS9&lt;&gt;""),AND(HK9&gt;=HQ$26,HK9&lt;&gt;""),AND(HO9&gt;=HQ$26,HO9&lt;&gt;""),AND(IG9&gt;=IM$26,IG9&lt;&gt;""),AND(IK9&gt;=IM$26,IK9&lt;&gt;""),AND(JC9&gt;=JI$26,JC9&lt;&gt;""),AND(JG9&gt;=JI$26,JG9&lt;&gt;""),AND(JY9&gt;=KE$26,JY9&lt;&gt;""),AND(KC9&gt;=KE$26,KC9&lt;&gt;""),AND(KU9&gt;=LA$26,KU9&lt;&gt;""),AND(KY9&gt;=LA$26,KY9&lt;&gt;""),AND(LQ9&gt;=LW$26,LQ9&lt;&gt;""),AND(LU9&gt;=LW$26,LU9&lt;&gt;""),AND(MM9&gt;=MS$26,MM9&lt;&gt;""),AND(MQ9&gt;=MS$26,MQ9&lt;&gt;""),AND(NI9&gt;=NO$26,NI9&lt;&gt;""),AND(NM9&gt;=NO$26,NM9&lt;&gt;"")),"Merit",IF(OR(AND(AR9&gt;=AY$25,AR9&lt;&gt;"",AP9=""),AND(AT9&gt;=AY$25,AT9&lt;&gt;"",AP9=""),AND(AW9&gt;=AY$25,AW9&lt;&gt;"",AP9=""),AND(BV9&gt;=CC$25,BV9&lt;&gt;"",BT9=""),AND(BX9&gt;=CC$25,BX9&lt;&gt;"",BT9=""),AND(CA9&gt;=CC$25,CA9&lt;&gt;"",BT9=""),AND(CZ9&gt;=DG$25,CZ9&lt;&gt;"",CX9=""),AND(DB9&gt;=DG$25,DB9&lt;&gt;"",CX9=""),AND(DE9&gt;=DG$25,DE9&lt;&gt;"",CX9=""),AND(EA9&gt;=EG$25,EA9&lt;&gt;""),AND(EE9&gt;=EG$25,EE9&lt;&gt;""),AND(EW9&gt;=FC$25,EW9&lt;&gt;""),AND(FA9&gt;=FC$25,FA9&lt;&gt;""),AND(FS9&gt;=FY$25,FS9&lt;&gt;""),AND(FW9&gt;=FY$25,FW9&lt;&gt;""),AND(GO9&gt;=GU$25,GO9&lt;&gt;""),AND(GS9&gt;=GU$25,GS9&lt;&gt;""),AND(HK9&gt;=HQ$25,HK9&lt;&gt;""),AND(HO9&gt;=HQ$25,HO9&lt;&gt;""),AND(IG9&gt;=IM$25,IG9&lt;&gt;""),AND(IK9&gt;=IM$25,IK9&lt;&gt;""),AND(JC9&gt;=JI$25,JC9&lt;&gt;""),AND(JG9&gt;=JI$25,JG9&lt;&gt;""),AND(JY9&gt;=KE$25,JY9&lt;&gt;""),AND(KC9&gt;=KE$25,KC9&lt;&gt;""),AND(KU9&gt;=LA$25,KU9&lt;&gt;""),AND(KY9&gt;=LA$25,KY9&lt;&gt;""),AND(LQ9&gt;=LW$25,LQ9&lt;&gt;""),AND(LU9&gt;=LW$25,LU9&lt;&gt;""),AND(MM9&gt;=MS$25,MM9&lt;&gt;""),AND(MQ9&gt;=MS$25,MQ9&lt;&gt;""),AND(NI9&gt;=NO$25,NI9&lt;&gt;""),AND(NM9&gt;=NO$25,NM9&lt;&gt;"")),"Excellence",IF(OR(AND(AR9&gt;=AY$24,AR9&lt;&gt;"",AP9=""),AND(AT9&gt;=AY$24,AT9&lt;&gt;"",AP9=""),AND(AW9&gt;=AY$24,AW9&lt;&gt;"",AP9=""),AND(BV9&gt;=CC$24,BV9&lt;&gt;"",BT9=""),AND(BX9&gt;=CC$24,BX9&lt;&gt;"",BT9=""),AND(CA9&gt;=CC$24,CA9&lt;&gt;"",BT9=""),AND(CZ9&gt;=DG$24,CZ9&lt;&gt;"",CX9=""),AND(DB9&gt;=DG$24,DB9&lt;&gt;"",CX9=""),AND(DE9&gt;=DG$24,DE9&lt;&gt;"",CX9=""),AND(EA9&gt;=EG$24,EA9&lt;&gt;""),AND(EE9&gt;=EG$24,EE9&lt;&gt;""),AND(EW9&gt;=FC$24,EW9&lt;&gt;""),AND(FA9&gt;=FC$24,FA9&lt;&gt;""),AND(FS9&gt;=FY$24,FS9&lt;&gt;""),AND(FW9&gt;=FY$24,FW9&lt;&gt;""),AND(GO9&gt;=GU$24,GO9&lt;&gt;""),AND(GS9&gt;=GU$24,GS9&lt;&gt;""),AND(HK9&gt;=HQ$24,HK9&lt;&gt;""),AND(HO9&gt;=HQ$24,HO9&lt;&gt;""),AND(IG9&gt;=IM$24,IG9&lt;&gt;""),AND(IK9&gt;=IM$24,IK9&lt;&gt;""),AND(JC9&gt;=JI$24,JC9&lt;&gt;""),AND(JG9&gt;=JI$24,JG9&lt;&gt;""),AND(JY9&gt;=KE$24,JY9&lt;&gt;""),AND(KC9&gt;=KE$24,KC9&lt;&gt;""),AND(KU9&gt;=LA$24,KU9&lt;&gt;""),AND(KY9&gt;=LA$24,KY9&lt;&gt;""),AND(LQ9&gt;=LW$24,LQ9&lt;&gt;""),AND(LU9&gt;=LW$24,LU9&lt;&gt;""),AND(MM9&gt;=MS$24,MM9&lt;&gt;""),AND(MQ9&gt;=MS$24,MQ9&lt;&gt;""),AND(NI9&gt;=NO$24,NI9&lt;&gt;""),AND(NM9&gt;=NO$24,NM9&lt;&gt;"")),"Worlds Team",IF(OR(AND(AR9&gt;=AY$23,AR9&lt;&gt;"",AP9=""),AND(AT9&gt;=AY$23,AT9&lt;&gt;"",AP9=""),AND(AW9&gt;=AY$23,AW9&lt;&gt;"",AP9=""),AND(BV9&gt;=CC$23,BV9&lt;&gt;"",BT9=""),AND(BX9&gt;=CC$23,BX9&lt;&gt;"",BT9=""),AND(CA9&gt;=CC$23,CA9&lt;&gt;"",BT9=""),AND(CZ9&gt;=DG$23,CZ9&lt;&gt;"",CX9=""),AND(DB9&gt;=DG$23,DB9&lt;&gt;"",CX9=""),AND(DE9&gt;=DG$23,DE9&lt;&gt;"",CX9=""),AND(EA9&gt;=EG$23,EA9&lt;&gt;""),AND(EE9&gt;=EG$23,EE9&lt;&gt;""),AND(EW9&gt;=FC$23,EW9&lt;&gt;""),AND(FA9&gt;=FC$23,FA9&lt;&gt;""),AND(FS9&gt;=FY$23,FS9&lt;&gt;""),AND(FW9&gt;=FY$23,FW9&lt;&gt;""),AND(GO9&gt;=GU$23,GO9&lt;&gt;""),AND(GS9&gt;=GU$23,GS9&lt;&gt;""),AND(HK9&gt;=HQ$23,HK9&lt;&gt;""),AND(HO9&gt;=HQ$23,HO9&lt;&gt;""),AND(IG9&gt;=IM$23,IG9&lt;&gt;""),AND(IK9&gt;=IM$23,IK9&lt;&gt;""),AND(JC9&gt;=JI$23,JC9&lt;&gt;""),AND(JG9&gt;=JI$23,JG9&lt;&gt;""),AND(JY9&gt;=KE$23,JY9&lt;&gt;""),AND(KC9&gt;=KE$23,KC9&lt;&gt;""),AND(KU9&gt;=LA$23,KU9&lt;&gt;""),AND(KY9&gt;=LA$23,KY9&lt;&gt;""),AND(LQ9&gt;=LW$23,LQ9&lt;&gt;""),AND(LU9&gt;=LW$23,LU9&lt;&gt;""),AND(MM9&gt;=MS$23,MM9&lt;&gt;""),AND(MQ9&gt;=MS$23,MQ9&lt;&gt;""),AND(NI9&gt;=NO$23,NI9&lt;&gt;""),AND(NM9&gt;=NO$23,NM9&lt;&gt;"")),"National Team",""))))</f>
        <v>Merit</v>
      </c>
      <c r="H9" s="125" t="str">
        <f>IF(OR(AND(AS9&gt;=AY$30,AS9&lt;&gt;"",AP9=""),AND(AU9&gt;=AY$30,AU9&lt;&gt;"",AP9=""),AND(AX9&gt;=AY$30,AX9&lt;&gt;"",AP9=""),AND(BW9&gt;=CC$30,BW9&lt;&gt;"",BT9=""),AND(BY9&gt;=CC$30,BY9&lt;&gt;"",BT9=""),AND(CB9&gt;=CC$30,CB9&lt;&gt;"",BT9=""),AND(DA9&gt;=DG$30,DA9&lt;&gt;"",CX9=""),AND(DC9&gt;=DG$30,DC9&lt;&gt;"",CX9=""),AND(DF9&gt;=DG$30,DF9&lt;&gt;"",CX9=""),AND(EC9&gt;=EG$30,EC9&lt;&gt;""),AND(EF9&gt;=EG$30,EF9&lt;&gt;""),AND(EY9&gt;=FC$30,EY9&lt;&gt;""),AND(FB9&gt;=FC$30,FB9&lt;&gt;""),AND(FU9&gt;=FY$30,FU9&lt;&gt;""),AND(FX9&gt;=FY$30,FX9&lt;&gt;""),AND(GQ9&gt;=GU$30,GQ9&lt;&gt;""),AND(GT9&gt;=GU$30,GT9&lt;&gt;""),AND(HM9&gt;=HQ$30,HM9&lt;&gt;""),AND(HP9&gt;=HQ$30,HP9&lt;&gt;""),AND(II9&gt;=IM$30,II9&lt;&gt;""),AND(IL9&gt;=IM$30,IL9&lt;&gt;""),AND(JE9&gt;=JI$30,JE9&lt;&gt;""),AND(JH9&gt;=JI$30,JH9&lt;&gt;""),AND(KA9&gt;=KE$30,KA9&lt;&gt;""),AND(KD9&gt;=KE$30,KD9&lt;&gt;""),AND(KW9&gt;=LA$30,KW9&lt;&gt;""),AND(KZ9&gt;=LA$30,KZ9&lt;&gt;""),AND(LS9&gt;=LW$30,LS9&lt;&gt;""),AND(LV9&gt;=LW$30,LV9&lt;&gt;""),AND(MO9&gt;=MS$30,MO9&lt;&gt;""),AND(MR9&gt;=MS$30,MR9&lt;&gt;""),AND(NK9&gt;=NO$30,NK9&lt;&gt;""),AND(NN9&gt;=NO$30,NN9&lt;&gt;"")),"Merit",IF(OR(AND(AS9&gt;=AY$29,AS9&lt;&gt;"",AP9=""),AND(AU9&gt;=AY$29,AU9&lt;&gt;"",AP9=""),AND(AX9&gt;=AY$29,AX9&lt;&gt;"",AP9=""),AND(BW9&gt;=CC$29,BW9&lt;&gt;"",BT9=""),AND(BY9&gt;=CC$29,BY9&lt;&gt;"",BT9=""),AND(CB9&gt;=CC$29,CB9&lt;&gt;"",BT9=""),AND(DA9&gt;=DG$29,DA9&lt;&gt;"",CX9=""),AND(DC9&gt;=DG$29,DC9&lt;&gt;"",CX9=""),AND(DF9&gt;=DG$29,DF9&lt;&gt;"",CX9=""),AND(EC9&gt;=EG$29,EC9&lt;&gt;""),AND(EF9&gt;=EG$29,EF9&lt;&gt;""),AND(EY9&gt;=FC$29,EY9&lt;&gt;""),AND(FB9&gt;=FC$29,FB9&lt;&gt;""),AND(FU9&gt;=FY$29,FU9&lt;&gt;""),AND(FX9&gt;=FY$29,FX9&lt;&gt;""),AND(GQ9&gt;=GU$29,GQ9&lt;&gt;""),AND(GT9&gt;=GU$29,GT9&lt;&gt;""),AND(HM9&gt;=HQ$29,HM9&lt;&gt;""),AND(HP9&gt;=HQ$29,HP9&lt;&gt;""),AND(II9&gt;=IM$29,II9&lt;&gt;""),AND(IL9&gt;=IM$29,IL9&lt;&gt;""),AND(JE9&gt;=JI$29,JE9&lt;&gt;""),AND(JH9&gt;=JI$29,JH9&lt;&gt;""),AND(KA9&gt;=KE$29,KA9&lt;&gt;""),AND(KD9&gt;=KE$29,KD9&lt;&gt;""),AND(KW9&gt;=LA$29,KW9&lt;&gt;""),AND(KZ9&gt;=LA$29,KZ9&lt;&gt;""),AND(LS9&gt;=LW$29,LS9&lt;&gt;""),AND(LV9&gt;=LW$29,LV9&lt;&gt;""),AND(MO9&gt;=MS$29,MO9&lt;&gt;""),AND(MR9&gt;=MS$29,MR9&lt;&gt;""),AND(NK9&gt;=NO$29,NK9&lt;&gt;""),AND(NN9&gt;=NO$29,NN9&lt;&gt;"")),"Excellence",IF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"Worlds Team",IF(OR(AND(AV9&gt;=AY$27,AV9&lt;&gt;"",AP9=""),AND(BZ9&gt;=CC$27,BZ9&lt;&gt;"",BT9=""),AND(DD9&gt;=DG$27,DD9&lt;&gt;"",CX9=""),AND(ED9&gt;=EG$27,ED9&lt;&gt;""),AND(EZ9&gt;=FC$27,EZ9&lt;&gt;""),AND(FV9&gt;=FY$27,FV9&lt;&gt;""),AND(GR9&gt;=GU$27,GR9&lt;&gt;""),AND(HN9&gt;=HQ$27,HN9&lt;&gt;""),AND(IJ9&gt;=IM$27,IJ9&lt;&gt;""),AND(JF9&gt;=JI$27,JF9&lt;&gt;""),AND(KB9&gt;=KE$27,KB9&lt;&gt;""),AND(KX9&gt;=LA$27,KX9&lt;&gt;""),AND(LT9&gt;=LW$27,LT9&lt;&gt;""),AND(MP9&gt;=MS$27,MP9&lt;&gt;""),AND(NL9&gt;=NO$27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Worlds Team</v>
      </c>
      <c r="J9" s="3" t="str">
        <f>IF(AND(OR(AND(AV9&gt;=AY$28,AV9&lt;&gt;"",AP9=""),AND(BZ9&gt;=CC$28,BZ9&lt;&gt;"",BT9=""),AND(DD9&gt;=DG$28,DD9&lt;&gt;"",CX9=""),AND(ED9&gt;=EG$28,ED9&lt;&gt;""),AND(EZ9&gt;=FC$28,EZ9&lt;&gt;""),AND(FV9&gt;=FY$28,FV9&lt;&gt;""),AND(GR9&gt;=GU$28,GR9&lt;&gt;""),AND(HN9&gt;=HQ$28,HN9&lt;&gt;""),AND(IJ9&gt;=IM$28,IJ9&lt;&gt;""),AND(JF9&gt;=JI$28,JF9&lt;&gt;""),AND(KB9&gt;=KE$28,KB9&lt;&gt;""),AND(KX9&gt;=LA$28,KX9&lt;&gt;""),AND(LT9&gt;=LW$28,LT9&lt;&gt;""),AND(MP9&gt;=MS$28,MP9&lt;&gt;""),AND(NL9&gt;=NO$28,NL9&lt;&gt;"")),OR(G9="Worlds Team",G9="Excellence",G9="Merit")),"P","")</f>
        <v>P</v>
      </c>
      <c r="K9" s="14">
        <f>IF(MAX(AV9,BZ9,DD9)&gt;0,MAX(AV9,BZ9,DD9),0)</f>
        <v>105.64500000000001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49.43</v>
      </c>
      <c r="N9" s="14" t="str">
        <f>IF(M9=0,"",IF(AND(M9=CY9,$L9&lt;&gt;$CD$1),$CD$1,IF(AND(M9=BU9,$L9&lt;&gt;$AZ$1),$AZ$1,IF(AND(M9=AQ9,$L9&lt;&gt;$V$1),$V$1,""))))</f>
        <v>2021 2nd Virtual Technical Trial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57.125</v>
      </c>
      <c r="P9" s="14" t="str">
        <f>IF(O9=0,"",IF(OR(O9=DC9,O9=DA9),$CD$1,IF(OR(O9=BY9,O9=BW9),$AZ$1,IF(OR(O9=AU9,O9=AS9),$V$1,""))))</f>
        <v>2021 Elite Canada</v>
      </c>
      <c r="Q9" s="14">
        <f>MAX(AX9,CB9,DF9)</f>
        <v>56.74</v>
      </c>
      <c r="R9" s="14" t="str">
        <f>IF(Q9=0,"",IF(Q9=DF9,$CD$1,IF(Q9=CB9,$AZ$1,IF(Q9=AX9,$V$1,""))))</f>
        <v>2021 Canadian Championships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17.399999999999999</v>
      </c>
      <c r="W9" s="69">
        <v>8.9</v>
      </c>
      <c r="X9" s="69">
        <v>5.6</v>
      </c>
      <c r="Y9" s="69">
        <v>17.53</v>
      </c>
      <c r="Z9" s="69">
        <v>0</v>
      </c>
      <c r="AA9" s="69">
        <v>15</v>
      </c>
      <c r="AB9" s="69">
        <v>9</v>
      </c>
      <c r="AC9" s="69">
        <v>15.4</v>
      </c>
      <c r="AD9" s="69">
        <v>15.86</v>
      </c>
      <c r="AE9" s="69">
        <v>0</v>
      </c>
      <c r="AF9" s="69">
        <v>6.3</v>
      </c>
      <c r="AG9" s="69">
        <v>3.4</v>
      </c>
      <c r="AH9" s="69">
        <v>6.5</v>
      </c>
      <c r="AI9" s="69">
        <v>6.93</v>
      </c>
      <c r="AJ9" s="69">
        <v>0</v>
      </c>
      <c r="AK9" s="69">
        <v>15.7</v>
      </c>
      <c r="AL9" s="69">
        <v>8.9</v>
      </c>
      <c r="AM9" s="69">
        <v>15</v>
      </c>
      <c r="AN9" s="69">
        <v>16.190000000000001</v>
      </c>
      <c r="AO9" s="69">
        <v>0</v>
      </c>
      <c r="AP9" s="80"/>
      <c r="AQ9" s="11">
        <f>IF(SUM(V9:Y9)-Z9&gt;0,SUM(V9:Y9)-Z9,"")</f>
        <v>49.43</v>
      </c>
      <c r="AR9" s="11">
        <f>IF(AC9&gt;0,AC9,"")</f>
        <v>15.4</v>
      </c>
      <c r="AS9" s="11">
        <f>IF(SUM(AA9:AD9)-AE9&gt;0,SUM(AA9:AD9)-AE9,"")</f>
        <v>55.26</v>
      </c>
      <c r="AT9" s="11">
        <f>IF(AH9&gt;0,AH9,"")</f>
        <v>6.5</v>
      </c>
      <c r="AU9" s="11">
        <f>IF(SUM(AF9:AI9)-AJ9&gt;0,SUM(AF9:AI9)-AJ9,"")</f>
        <v>23.13</v>
      </c>
      <c r="AV9" s="11">
        <f>IF(AQ9="",IF(MAX(AS9,AU9)&gt;0,MAX(AS9,AU9),""),MAX(AS9,AU9)+AQ9)</f>
        <v>104.69</v>
      </c>
      <c r="AW9" s="11">
        <f>IF(AM9&gt;0,AM9,"")</f>
        <v>15</v>
      </c>
      <c r="AX9" s="11">
        <f>IF(SUM(AK9:AN9)-AO9&gt;0,SUM(AK9:AN9)-AO9,"")</f>
        <v>55.790000000000006</v>
      </c>
      <c r="AY9" s="11">
        <f>IF(SUM(AV9,AX9)&gt;0,SUM(AV9,AX9),"")</f>
        <v>160.48000000000002</v>
      </c>
      <c r="AZ9" s="75">
        <v>7.2</v>
      </c>
      <c r="BA9" s="75">
        <v>3.3</v>
      </c>
      <c r="BB9" s="75">
        <v>0</v>
      </c>
      <c r="BC9" s="75">
        <v>7.08</v>
      </c>
      <c r="BD9" s="75">
        <v>0</v>
      </c>
      <c r="BE9" s="75">
        <v>16</v>
      </c>
      <c r="BF9" s="75">
        <v>9.3000000000000007</v>
      </c>
      <c r="BG9" s="75">
        <v>15.4</v>
      </c>
      <c r="BH9" s="75">
        <v>16.425000000000001</v>
      </c>
      <c r="BI9" s="75">
        <v>0</v>
      </c>
      <c r="BJ9" s="75">
        <v>15.6</v>
      </c>
      <c r="BK9" s="75">
        <v>9</v>
      </c>
      <c r="BL9" s="75">
        <v>14.4</v>
      </c>
      <c r="BM9" s="75">
        <v>16.164999999999999</v>
      </c>
      <c r="BN9" s="75">
        <v>0</v>
      </c>
      <c r="BO9" s="75"/>
      <c r="BP9" s="75"/>
      <c r="BQ9" s="75"/>
      <c r="BR9" s="75"/>
      <c r="BS9" s="75"/>
      <c r="BT9" s="81"/>
      <c r="BU9" s="14">
        <f>IF(SUM(AZ9:BC9)-BD9&gt;0,SUM(AZ9:BC9)-BD9,"")</f>
        <v>17.579999999999998</v>
      </c>
      <c r="BV9" s="14">
        <f>IF(BG9&gt;0,BG9,"")</f>
        <v>15.4</v>
      </c>
      <c r="BW9" s="14">
        <f>IF(SUM(BE9:BH9)-BI9&gt;0,SUM(BE9:BH9)-BI9,"")</f>
        <v>57.125</v>
      </c>
      <c r="BX9" s="14">
        <f>IF(BL9&gt;0,BL9,"")</f>
        <v>14.4</v>
      </c>
      <c r="BY9" s="14">
        <f>IF(SUM(BJ9:BM9)-BN9&gt;0,SUM(BJ9:BM9)-BN9,"")</f>
        <v>55.164999999999999</v>
      </c>
      <c r="BZ9" s="14">
        <f>IF(BU9="",IF(MAX(BW9,BY9)&gt;0,MAX(BW9,BY9),""),MAX(BW9,BY9)+BU9)</f>
        <v>74.704999999999998</v>
      </c>
      <c r="CA9" s="14" t="str">
        <f>IF(BQ9&gt;0,BQ9,"")</f>
        <v/>
      </c>
      <c r="CB9" s="14" t="str">
        <f>IF(SUM(BO9:BR9)-BS9&gt;0,SUM(BO9:BR9)-BS9,"")</f>
        <v/>
      </c>
      <c r="CC9" s="14">
        <f>IF(SUM(BZ9,CB9)&gt;0,SUM(BZ9,CB9),"")</f>
        <v>74.704999999999998</v>
      </c>
      <c r="CD9" s="69">
        <v>17.7</v>
      </c>
      <c r="CE9" s="69">
        <v>8.6999999999999993</v>
      </c>
      <c r="CF9" s="69">
        <v>5.6</v>
      </c>
      <c r="CG9" s="69">
        <v>17.34</v>
      </c>
      <c r="CH9" s="69">
        <v>0</v>
      </c>
      <c r="CI9" s="69">
        <v>4.8</v>
      </c>
      <c r="CJ9" s="69">
        <v>2.6</v>
      </c>
      <c r="CK9" s="69">
        <v>5.0999999999999996</v>
      </c>
      <c r="CL9" s="69">
        <v>5.335</v>
      </c>
      <c r="CM9" s="69">
        <v>0</v>
      </c>
      <c r="CN9" s="69">
        <v>15.8</v>
      </c>
      <c r="CO9" s="69">
        <v>8.6999999999999993</v>
      </c>
      <c r="CP9" s="69">
        <v>15.4</v>
      </c>
      <c r="CQ9" s="69">
        <v>16.405000000000001</v>
      </c>
      <c r="CR9" s="69">
        <v>0</v>
      </c>
      <c r="CS9" s="69">
        <v>15.7</v>
      </c>
      <c r="CT9" s="69">
        <v>9</v>
      </c>
      <c r="CU9" s="69">
        <v>15.5</v>
      </c>
      <c r="CV9" s="69">
        <v>16.54</v>
      </c>
      <c r="CW9" s="69">
        <v>0</v>
      </c>
      <c r="CX9" s="80"/>
      <c r="CY9" s="11">
        <f>IF(SUM(CD9:CG9)-CH9&gt;0,SUM(CD9:CG9)-CH9,"")</f>
        <v>49.34</v>
      </c>
      <c r="CZ9" s="11">
        <f>IF(CK9&gt;0,CK9,"")</f>
        <v>5.0999999999999996</v>
      </c>
      <c r="DA9" s="11">
        <f>IF(SUM(CI9:CL9)-CM9&gt;0,SUM(CI9:CL9)-CM9,"")</f>
        <v>17.835000000000001</v>
      </c>
      <c r="DB9" s="11">
        <f>IF(CP9&gt;0,CP9,"")</f>
        <v>15.4</v>
      </c>
      <c r="DC9" s="11">
        <f>IF(SUM(CN9:CQ9)-CR9&gt;0,SUM(CN9:CQ9)-CR9,"")</f>
        <v>56.305</v>
      </c>
      <c r="DD9" s="11">
        <f>IF(CY9="",IF(MAX(DA9,DC9)&gt;0,MAX(DA9,DC9),""),MAX(DA9,DC9)+CY9)</f>
        <v>105.64500000000001</v>
      </c>
      <c r="DE9" s="11">
        <f>IF(CU9&gt;0,CU9,"")</f>
        <v>15.5</v>
      </c>
      <c r="DF9" s="11">
        <f>IF(SUM(CS9:CV9)-CW9&gt;0,SUM(CS9:CV9)-CW9,"")</f>
        <v>56.74</v>
      </c>
      <c r="DG9" s="11">
        <f>IF(SUM(DD9,DF9)&gt;0,SUM(DD9,DF9),"")</f>
        <v>162.38500000000002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>
        <v>16.2</v>
      </c>
      <c r="DM9" s="37">
        <v>8.9</v>
      </c>
      <c r="DN9" s="37">
        <v>5.6</v>
      </c>
      <c r="DO9" s="37">
        <v>17.114999999999998</v>
      </c>
      <c r="DP9" s="37">
        <v>0</v>
      </c>
      <c r="DQ9" s="37">
        <v>6.4</v>
      </c>
      <c r="DR9" s="37">
        <v>3.4</v>
      </c>
      <c r="DS9" s="37">
        <v>6.5</v>
      </c>
      <c r="DT9" s="37">
        <v>6.89</v>
      </c>
      <c r="DU9" s="37">
        <v>0</v>
      </c>
      <c r="DV9" s="37">
        <v>15.4</v>
      </c>
      <c r="DW9" s="37">
        <v>9.3000000000000007</v>
      </c>
      <c r="DX9" s="37">
        <v>14.8</v>
      </c>
      <c r="DY9" s="37">
        <v>16.21</v>
      </c>
      <c r="DZ9" s="37">
        <v>0</v>
      </c>
      <c r="EA9" s="11">
        <f>IF(DS9&gt;0,DS9,"")</f>
        <v>6.5</v>
      </c>
      <c r="EB9" s="11">
        <f>IF(SUM(DL9:DO9)-DP9&gt;0,SUM(DL9:DO9)-DP9,"")</f>
        <v>47.814999999999998</v>
      </c>
      <c r="EC9" s="11">
        <f>IF(SUM(DQ9:DT9)-DU9&gt;0,SUM(DQ9:DT9)-DU9,"")</f>
        <v>23.19</v>
      </c>
      <c r="ED9" s="11">
        <f>IF(SUM(EB9:EC9)&gt;0,SUM(EB9:EC9),"")</f>
        <v>71.004999999999995</v>
      </c>
      <c r="EE9" s="11">
        <f>IF(DX9&gt;0,DX9,"")</f>
        <v>14.8</v>
      </c>
      <c r="EF9" s="11">
        <f>IF(SUM(DV9:DY9)-DZ9&gt;0,SUM(DV9:DY9)-DZ9,"")</f>
        <v>55.71</v>
      </c>
      <c r="EG9" s="11">
        <f>IF(SUM(ED9,EF9)&gt;0,SUM(ED9,EF9),"")</f>
        <v>126.715</v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12.45</v>
      </c>
      <c r="NQ9" s="69">
        <f>IF($CX9="P",CE9,(CE9+BA9)/2)</f>
        <v>6</v>
      </c>
      <c r="NR9" s="69">
        <f>IF($CX9="P",CF9,(CF9+BB9)/2)</f>
        <v>2.8</v>
      </c>
      <c r="NS9" s="69">
        <f>IF($CX9="P",CG9,(CG9+BC9)/2)</f>
        <v>12.21</v>
      </c>
      <c r="NT9" s="69">
        <f>IF($CX9="P",CH9,(CH9+BD9)/2)</f>
        <v>0</v>
      </c>
      <c r="NU9" s="69">
        <f>IF($CX9="P",CI9,(CI9+BE9)/2)</f>
        <v>10.4</v>
      </c>
      <c r="NV9" s="69">
        <f>IF($CX9="P",CJ9,(CJ9+BF9)/2)</f>
        <v>5.95</v>
      </c>
      <c r="NW9" s="69">
        <f>IF($CX9="P",CK9,(CK9+BG9)/2)</f>
        <v>10.25</v>
      </c>
      <c r="NX9" s="69">
        <f>IF($CX9="P",CL9,(CL9+BH9)/2)</f>
        <v>10.88</v>
      </c>
      <c r="NY9" s="69">
        <f>IF($CX9="P",CM9,(CM9+BI9)/2)</f>
        <v>0</v>
      </c>
      <c r="NZ9" s="69">
        <f>IF($CX9="P",CN9,(CN9+BJ9)/2)</f>
        <v>15.7</v>
      </c>
      <c r="OA9" s="69">
        <f>IF($CX9="P",CO9,(CO9+BK9)/2)</f>
        <v>8.85</v>
      </c>
      <c r="OB9" s="69">
        <f>IF($CX9="P",CP9,(CP9+BL9)/2)</f>
        <v>14.9</v>
      </c>
      <c r="OC9" s="69">
        <f>IF($CX9="P",CQ9,(CQ9+BM9)/2)</f>
        <v>16.285</v>
      </c>
      <c r="OD9" s="69">
        <f>IF($CX9="P",CR9,(CR9+BN9)/2)</f>
        <v>0</v>
      </c>
      <c r="OE9" s="69">
        <f>IF($CX9="P",CS9,(CS9+BO9)/2)</f>
        <v>7.85</v>
      </c>
      <c r="OF9" s="69">
        <f>IF($CX9="P",CT9,(CT9+BP9)/2)</f>
        <v>4.5</v>
      </c>
      <c r="OG9" s="69">
        <f>IF($CX9="P",CU9,(CU9+BQ9)/2)</f>
        <v>7.75</v>
      </c>
      <c r="OH9" s="69">
        <f>IF($CX9="P",CV9,(CV9+BR9)/2)</f>
        <v>8.27</v>
      </c>
      <c r="OI9" s="69">
        <f>IF($CX9="P",CW9,(CW9+BS9)/2)</f>
        <v>0</v>
      </c>
      <c r="OJ9" s="80" t="s">
        <v>74</v>
      </c>
      <c r="OK9" s="11">
        <f>IF(SUM(NP9:NS9)-NT9&gt;0,SUM(NP9:NS9)-NT9,"")</f>
        <v>33.46</v>
      </c>
      <c r="OL9" s="11">
        <f>IF(NW9&gt;0,NW9,"")</f>
        <v>10.25</v>
      </c>
      <c r="OM9" s="11">
        <f>IF(SUM(NU9:NX9)-NY9&gt;0,SUM(NU9:NX9)-NY9,"")</f>
        <v>37.480000000000004</v>
      </c>
      <c r="ON9" s="11">
        <f>IF(OB9&gt;0,OB9,"")</f>
        <v>14.9</v>
      </c>
      <c r="OO9" s="11">
        <f>IF(SUM(NZ9:OC9)-OD9&gt;0,SUM(NZ9:OC9)-OD9,"")</f>
        <v>55.734999999999999</v>
      </c>
      <c r="OP9" s="11">
        <f>IF(OR(OK9&lt;&gt;"",OM9&lt;&gt;"",OO9&lt;&gt;""),OK9+MAX(OM9,OO9),"")</f>
        <v>89.194999999999993</v>
      </c>
      <c r="OQ9" s="11">
        <f>IF(OG9&gt;0,OG9,"")</f>
        <v>7.75</v>
      </c>
      <c r="OR9" s="11">
        <f t="shared" si="0"/>
        <v>28.37</v>
      </c>
      <c r="OS9" s="11">
        <f t="shared" si="1"/>
        <v>117.565</v>
      </c>
    </row>
    <row r="10" spans="1:409" x14ac:dyDescent="0.2">
      <c r="A10" s="5" cm="1">
        <f t="array" ref="A10">IF(AND(G10&lt;&gt;"",H10&lt;&gt;""),SUMPRODUCT((G$4:G$21&lt;&gt;"")*(H$4:H$21&lt;&gt;"")*(E$4:E$21&gt;E10))+1,IF(H10&lt;&gt;"",SUMPRODUCT((I$4:I$21="No DD")*(E$4:E$21&gt;E10))+1+SUMPRODUCT((G$4:G$21&lt;&gt;"")*(H$4:H$21&lt;&gt;"")),""))</f>
        <v>7</v>
      </c>
      <c r="B10" s="6" t="s">
        <v>135</v>
      </c>
      <c r="C10" s="7" t="s">
        <v>3</v>
      </c>
      <c r="D10" s="5">
        <v>1988</v>
      </c>
      <c r="E10" s="15">
        <f>SUM(K10:S10)</f>
        <v>261.51</v>
      </c>
      <c r="F10" s="3" t="str">
        <f>IF(G10&lt;&gt;"","P","")</f>
        <v>P</v>
      </c>
      <c r="G10" s="125" t="str">
        <f>IF(OR(AND(AR10&gt;=AY$26,AR10&lt;&gt;"",AP10=""),AND(AT10&gt;=AY$26,AT10&lt;&gt;"",AP10=""),AND(AW10&gt;=AY$26,AW10&lt;&gt;"",AP10=""),AND(BV10&gt;=CC$26,BV10&lt;&gt;"",BT10=""),AND(BX10&gt;=CC$26,BX10&lt;&gt;"",BT10=""),AND(CA10&gt;=CC$26,CA10&lt;&gt;"",BT10=""),AND(CZ10&gt;=DG$26,CZ10&lt;&gt;"",CX10=""),AND(DB10&gt;=DG$26,DB10&lt;&gt;"",CX10=""),AND(DE10&gt;=DG$26,DE10&lt;&gt;"",CX10=""),AND(EA10&gt;=EG$26,EA10&lt;&gt;""),AND(EE10&gt;=EG$26,EE10&lt;&gt;""),AND(EW10&gt;=FC$26,EW10&lt;&gt;""),AND(FA10&gt;=FC$26,FA10&lt;&gt;""),AND(FS10&gt;=FY$26,FS10&lt;&gt;""),AND(FW10&gt;=FY$26,FW10&lt;&gt;""),AND(GO10&gt;=GU$26,GO10&lt;&gt;""),AND(GS10&gt;=GU$26,GS10&lt;&gt;""),AND(HK10&gt;=HQ$26,HK10&lt;&gt;""),AND(HO10&gt;=HQ$26,HO10&lt;&gt;""),AND(IG10&gt;=IM$26,IG10&lt;&gt;""),AND(IK10&gt;=IM$26,IK10&lt;&gt;""),AND(JC10&gt;=JI$26,JC10&lt;&gt;""),AND(JG10&gt;=JI$26,JG10&lt;&gt;""),AND(JY10&gt;=KE$26,JY10&lt;&gt;""),AND(KC10&gt;=KE$26,KC10&lt;&gt;""),AND(KU10&gt;=LA$26,KU10&lt;&gt;""),AND(KY10&gt;=LA$26,KY10&lt;&gt;""),AND(LQ10&gt;=LW$26,LQ10&lt;&gt;""),AND(LU10&gt;=LW$26,LU10&lt;&gt;""),AND(MM10&gt;=MS$26,MM10&lt;&gt;""),AND(MQ10&gt;=MS$26,MQ10&lt;&gt;""),AND(NI10&gt;=NO$26,NI10&lt;&gt;""),AND(NM10&gt;=NO$26,NM10&lt;&gt;"")),"Merit",IF(OR(AND(AR10&gt;=AY$25,AR10&lt;&gt;"",AP10=""),AND(AT10&gt;=AY$25,AT10&lt;&gt;"",AP10=""),AND(AW10&gt;=AY$25,AW10&lt;&gt;"",AP10=""),AND(BV10&gt;=CC$25,BV10&lt;&gt;"",BT10=""),AND(BX10&gt;=CC$25,BX10&lt;&gt;"",BT10=""),AND(CA10&gt;=CC$25,CA10&lt;&gt;"",BT10=""),AND(CZ10&gt;=DG$25,CZ10&lt;&gt;"",CX10=""),AND(DB10&gt;=DG$25,DB10&lt;&gt;"",CX10=""),AND(DE10&gt;=DG$25,DE10&lt;&gt;"",CX10=""),AND(EA10&gt;=EG$25,EA10&lt;&gt;""),AND(EE10&gt;=EG$25,EE10&lt;&gt;""),AND(EW10&gt;=FC$25,EW10&lt;&gt;""),AND(FA10&gt;=FC$25,FA10&lt;&gt;""),AND(FS10&gt;=FY$25,FS10&lt;&gt;""),AND(FW10&gt;=FY$25,FW10&lt;&gt;""),AND(GO10&gt;=GU$25,GO10&lt;&gt;""),AND(GS10&gt;=GU$25,GS10&lt;&gt;""),AND(HK10&gt;=HQ$25,HK10&lt;&gt;""),AND(HO10&gt;=HQ$25,HO10&lt;&gt;""),AND(IG10&gt;=IM$25,IG10&lt;&gt;""),AND(IK10&gt;=IM$25,IK10&lt;&gt;""),AND(JC10&gt;=JI$25,JC10&lt;&gt;""),AND(JG10&gt;=JI$25,JG10&lt;&gt;""),AND(JY10&gt;=KE$25,JY10&lt;&gt;""),AND(KC10&gt;=KE$25,KC10&lt;&gt;""),AND(KU10&gt;=LA$25,KU10&lt;&gt;""),AND(KY10&gt;=LA$25,KY10&lt;&gt;""),AND(LQ10&gt;=LW$25,LQ10&lt;&gt;""),AND(LU10&gt;=LW$25,LU10&lt;&gt;""),AND(MM10&gt;=MS$25,MM10&lt;&gt;""),AND(MQ10&gt;=MS$25,MQ10&lt;&gt;""),AND(NI10&gt;=NO$25,NI10&lt;&gt;""),AND(NM10&gt;=NO$25,NM10&lt;&gt;"")),"Excellence",IF(OR(AND(AR10&gt;=AY$24,AR10&lt;&gt;"",AP10=""),AND(AT10&gt;=AY$24,AT10&lt;&gt;"",AP10=""),AND(AW10&gt;=AY$24,AW10&lt;&gt;"",AP10=""),AND(BV10&gt;=CC$24,BV10&lt;&gt;"",BT10=""),AND(BX10&gt;=CC$24,BX10&lt;&gt;"",BT10=""),AND(CA10&gt;=CC$24,CA10&lt;&gt;"",BT10=""),AND(CZ10&gt;=DG$24,CZ10&lt;&gt;"",CX10=""),AND(DB10&gt;=DG$24,DB10&lt;&gt;"",CX10=""),AND(DE10&gt;=DG$24,DE10&lt;&gt;"",CX10=""),AND(EA10&gt;=EG$24,EA10&lt;&gt;""),AND(EE10&gt;=EG$24,EE10&lt;&gt;""),AND(EW10&gt;=FC$24,EW10&lt;&gt;""),AND(FA10&gt;=FC$24,FA10&lt;&gt;""),AND(FS10&gt;=FY$24,FS10&lt;&gt;""),AND(FW10&gt;=FY$24,FW10&lt;&gt;""),AND(GO10&gt;=GU$24,GO10&lt;&gt;""),AND(GS10&gt;=GU$24,GS10&lt;&gt;""),AND(HK10&gt;=HQ$24,HK10&lt;&gt;""),AND(HO10&gt;=HQ$24,HO10&lt;&gt;""),AND(IG10&gt;=IM$24,IG10&lt;&gt;""),AND(IK10&gt;=IM$24,IK10&lt;&gt;""),AND(JC10&gt;=JI$24,JC10&lt;&gt;""),AND(JG10&gt;=JI$24,JG10&lt;&gt;""),AND(JY10&gt;=KE$24,JY10&lt;&gt;""),AND(KC10&gt;=KE$24,KC10&lt;&gt;""),AND(KU10&gt;=LA$24,KU10&lt;&gt;""),AND(KY10&gt;=LA$24,KY10&lt;&gt;""),AND(LQ10&gt;=LW$24,LQ10&lt;&gt;""),AND(LU10&gt;=LW$24,LU10&lt;&gt;""),AND(MM10&gt;=MS$24,MM10&lt;&gt;""),AND(MQ10&gt;=MS$24,MQ10&lt;&gt;""),AND(NI10&gt;=NO$24,NI10&lt;&gt;""),AND(NM10&gt;=NO$24,NM10&lt;&gt;"")),"Worlds Team",IF(OR(AND(AR10&gt;=AY$23,AR10&lt;&gt;"",AP10=""),AND(AT10&gt;=AY$23,AT10&lt;&gt;"",AP10=""),AND(AW10&gt;=AY$23,AW10&lt;&gt;"",AP10=""),AND(BV10&gt;=CC$23,BV10&lt;&gt;"",BT10=""),AND(BX10&gt;=CC$23,BX10&lt;&gt;"",BT10=""),AND(CA10&gt;=CC$23,CA10&lt;&gt;"",BT10=""),AND(CZ10&gt;=DG$23,CZ10&lt;&gt;"",CX10=""),AND(DB10&gt;=DG$23,DB10&lt;&gt;"",CX10=""),AND(DE10&gt;=DG$23,DE10&lt;&gt;"",CX10=""),AND(EA10&gt;=EG$23,EA10&lt;&gt;""),AND(EE10&gt;=EG$23,EE10&lt;&gt;""),AND(EW10&gt;=FC$23,EW10&lt;&gt;""),AND(FA10&gt;=FC$23,FA10&lt;&gt;""),AND(FS10&gt;=FY$23,FS10&lt;&gt;""),AND(FW10&gt;=FY$23,FW10&lt;&gt;""),AND(GO10&gt;=GU$23,GO10&lt;&gt;""),AND(GS10&gt;=GU$23,GS10&lt;&gt;""),AND(HK10&gt;=HQ$23,HK10&lt;&gt;""),AND(HO10&gt;=HQ$23,HO10&lt;&gt;""),AND(IG10&gt;=IM$23,IG10&lt;&gt;""),AND(IK10&gt;=IM$23,IK10&lt;&gt;""),AND(JC10&gt;=JI$23,JC10&lt;&gt;""),AND(JG10&gt;=JI$23,JG10&lt;&gt;""),AND(JY10&gt;=KE$23,JY10&lt;&gt;""),AND(KC10&gt;=KE$23,KC10&lt;&gt;""),AND(KU10&gt;=LA$23,KU10&lt;&gt;""),AND(KY10&gt;=LA$23,KY10&lt;&gt;""),AND(LQ10&gt;=LW$23,LQ10&lt;&gt;""),AND(LU10&gt;=LW$23,LU10&lt;&gt;""),AND(MM10&gt;=MS$23,MM10&lt;&gt;""),AND(MQ10&gt;=MS$23,MQ10&lt;&gt;""),AND(NI10&gt;=NO$23,NI10&lt;&gt;""),AND(NM10&gt;=NO$23,NM10&lt;&gt;"")),"National Team",""))))</f>
        <v>National Team</v>
      </c>
      <c r="H10" s="125" t="str">
        <f>IF(OR(AND(AS10&gt;=AY$30,AS10&lt;&gt;"",AP10=""),AND(AU10&gt;=AY$30,AU10&lt;&gt;"",AP10=""),AND(AX10&gt;=AY$30,AX10&lt;&gt;"",AP10=""),AND(BW10&gt;=CC$30,BW10&lt;&gt;"",BT10=""),AND(BY10&gt;=CC$30,BY10&lt;&gt;"",BT10=""),AND(CB10&gt;=CC$30,CB10&lt;&gt;"",BT10=""),AND(DA10&gt;=DG$30,DA10&lt;&gt;"",CX10=""),AND(DC10&gt;=DG$30,DC10&lt;&gt;"",CX10=""),AND(DF10&gt;=DG$30,DF10&lt;&gt;"",CX10=""),AND(EC10&gt;=EG$30,EC10&lt;&gt;""),AND(EF10&gt;=EG$30,EF10&lt;&gt;""),AND(EY10&gt;=FC$30,EY10&lt;&gt;""),AND(FB10&gt;=FC$30,FB10&lt;&gt;""),AND(FU10&gt;=FY$30,FU10&lt;&gt;""),AND(FX10&gt;=FY$30,FX10&lt;&gt;""),AND(GQ10&gt;=GU$30,GQ10&lt;&gt;""),AND(GT10&gt;=GU$30,GT10&lt;&gt;""),AND(HM10&gt;=HQ$30,HM10&lt;&gt;""),AND(HP10&gt;=HQ$30,HP10&lt;&gt;""),AND(II10&gt;=IM$30,II10&lt;&gt;""),AND(IL10&gt;=IM$30,IL10&lt;&gt;""),AND(JE10&gt;=JI$30,JE10&lt;&gt;""),AND(JH10&gt;=JI$30,JH10&lt;&gt;""),AND(KA10&gt;=KE$30,KA10&lt;&gt;""),AND(KD10&gt;=KE$30,KD10&lt;&gt;""),AND(KW10&gt;=LA$30,KW10&lt;&gt;""),AND(KZ10&gt;=LA$30,KZ10&lt;&gt;""),AND(LS10&gt;=LW$30,LS10&lt;&gt;""),AND(LV10&gt;=LW$30,LV10&lt;&gt;""),AND(MO10&gt;=MS$30,MO10&lt;&gt;""),AND(MR10&gt;=MS$30,MR10&lt;&gt;""),AND(NK10&gt;=NO$30,NK10&lt;&gt;""),AND(NN10&gt;=NO$30,NN10&lt;&gt;"")),"Merit",IF(OR(AND(AS10&gt;=AY$29,AS10&lt;&gt;"",AP10=""),AND(AU10&gt;=AY$29,AU10&lt;&gt;"",AP10=""),AND(AX10&gt;=AY$29,AX10&lt;&gt;"",AP10=""),AND(BW10&gt;=CC$29,BW10&lt;&gt;"",BT10=""),AND(BY10&gt;=CC$29,BY10&lt;&gt;"",BT10=""),AND(CB10&gt;=CC$29,CB10&lt;&gt;"",BT10=""),AND(DA10&gt;=DG$29,DA10&lt;&gt;"",CX10=""),AND(DC10&gt;=DG$29,DC10&lt;&gt;"",CX10=""),AND(DF10&gt;=DG$29,DF10&lt;&gt;"",CX10=""),AND(EC10&gt;=EG$29,EC10&lt;&gt;""),AND(EF10&gt;=EG$29,EF10&lt;&gt;""),AND(EY10&gt;=FC$29,EY10&lt;&gt;""),AND(FB10&gt;=FC$29,FB10&lt;&gt;""),AND(FU10&gt;=FY$29,FU10&lt;&gt;""),AND(FX10&gt;=FY$29,FX10&lt;&gt;""),AND(GQ10&gt;=GU$29,GQ10&lt;&gt;""),AND(GT10&gt;=GU$29,GT10&lt;&gt;""),AND(HM10&gt;=HQ$29,HM10&lt;&gt;""),AND(HP10&gt;=HQ$29,HP10&lt;&gt;""),AND(II10&gt;=IM$29,II10&lt;&gt;""),AND(IL10&gt;=IM$29,IL10&lt;&gt;""),AND(JE10&gt;=JI$29,JE10&lt;&gt;""),AND(JH10&gt;=JI$29,JH10&lt;&gt;""),AND(KA10&gt;=KE$29,KA10&lt;&gt;""),AND(KD10&gt;=KE$29,KD10&lt;&gt;""),AND(KW10&gt;=LA$29,KW10&lt;&gt;""),AND(KZ10&gt;=LA$29,KZ10&lt;&gt;""),AND(LS10&gt;=LW$29,LS10&lt;&gt;""),AND(LV10&gt;=LW$29,LV10&lt;&gt;""),AND(MO10&gt;=MS$29,MO10&lt;&gt;""),AND(MR10&gt;=MS$29,MR10&lt;&gt;""),AND(NK10&gt;=NO$29,NK10&lt;&gt;""),AND(NN10&gt;=NO$29,NN10&lt;&gt;"")),"Excellence",IF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"Worlds Team",IF(OR(AND(AV10&gt;=AY$27,AV10&lt;&gt;"",AP10=""),AND(BZ10&gt;=CC$27,BZ10&lt;&gt;"",BT10=""),AND(DD10&gt;=DG$27,DD10&lt;&gt;"",CX10=""),AND(ED10&gt;=EG$27,ED10&lt;&gt;""),AND(EZ10&gt;=FC$27,EZ10&lt;&gt;""),AND(FV10&gt;=FY$27,FV10&lt;&gt;""),AND(GR10&gt;=GU$27,GR10&lt;&gt;""),AND(HN10&gt;=HQ$27,HN10&lt;&gt;""),AND(IJ10&gt;=IM$27,IJ10&lt;&gt;""),AND(JF10&gt;=JI$27,JF10&lt;&gt;""),AND(KB10&gt;=KE$27,KB10&lt;&gt;""),AND(KX10&gt;=LA$27,KX10&lt;&gt;""),AND(LT10&gt;=LW$27,LT10&lt;&gt;""),AND(MP10&gt;=MS$27,MP10&lt;&gt;""),AND(NL10&gt;=NO$27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$28,AV10&lt;&gt;"",AP10=""),AND(BZ10&gt;=CC$28,BZ10&lt;&gt;"",BT10=""),AND(DD10&gt;=DG$28,DD10&lt;&gt;"",CX10=""),AND(ED10&gt;=EG$28,ED10&lt;&gt;""),AND(EZ10&gt;=FC$28,EZ10&lt;&gt;""),AND(FV10&gt;=FY$28,FV10&lt;&gt;""),AND(GR10&gt;=GU$28,GR10&lt;&gt;""),AND(HN10&gt;=HQ$28,HN10&lt;&gt;""),AND(IJ10&gt;=IM$28,IJ10&lt;&gt;""),AND(JF10&gt;=JI$28,JF10&lt;&gt;""),AND(KB10&gt;=KE$28,KB10&lt;&gt;""),AND(KX10&gt;=LA$28,KX10&lt;&gt;""),AND(LT10&gt;=LW$28,LT10&lt;&gt;""),AND(MP10&gt;=MS$28,MP10&lt;&gt;""),AND(NL10&gt;=NO$28,NL10&lt;&gt;"")),OR(G10="Worlds Team",G10="Excellence",G10="Merit")),"P","")</f>
        <v/>
      </c>
      <c r="K10" s="14">
        <f>IF(MAX(AV10,BZ10,DD10)&gt;0,MAX(AV10,BZ10,DD10),0)</f>
        <v>104.33000000000001</v>
      </c>
      <c r="L10" s="14" t="str">
        <f>IF(K10=0,"",IF(K10=DD10,$CD$1,IF(K10=BZ10,$AZ$1,IF(K10=AV10,$V$1,""))))</f>
        <v>2021 Canadian Championships</v>
      </c>
      <c r="M10" s="14">
        <f>IF($K10=$AV10,MAX(BU10,CY10),IF($K10=$BZ10,MAX(AQ10,CY10),IF($K10=$DD10,MAX(AQ10,BU10),MAX(AQ10,BU10,CY10))))</f>
        <v>48.04</v>
      </c>
      <c r="N10" s="14" t="str">
        <f>IF(M10=0,"",IF(AND(M10=CY10,$L10&lt;&gt;$CD$1),$CD$1,IF(AND(M10=BU10,$L10&lt;&gt;$AZ$1),$AZ$1,IF(AND(M10=AQ10,$L10&lt;&gt;$V$1),$V$1,""))))</f>
        <v>2021 Elite Canada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54.8</v>
      </c>
      <c r="P10" s="14" t="str">
        <f>IF(O10=0,"",IF(OR(O10=DC10,O10=DA10),$CD$1,IF(OR(O10=BY10,O10=BW10),$AZ$1,IF(OR(O10=AU10,O10=AS10),$V$1,""))))</f>
        <v>2021 Elite Canada</v>
      </c>
      <c r="Q10" s="14">
        <f>MAX(AX10,CB10,DF10)</f>
        <v>54.34</v>
      </c>
      <c r="R10" s="14" t="str">
        <f>IF(Q10=0,"",IF(Q10=DF10,$CD$1,IF(Q10=CB10,$AZ$1,IF(Q10=AX10,$V$1,""))))</f>
        <v>2021 Canadian Championships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/>
      <c r="W10" s="69"/>
      <c r="X10" s="69"/>
      <c r="Y10" s="69"/>
      <c r="Z10" s="69"/>
      <c r="AA10" s="69"/>
      <c r="AB10" s="69"/>
      <c r="AC10" s="69"/>
      <c r="AD10" s="69"/>
      <c r="AE10" s="69"/>
      <c r="AF10" s="69"/>
      <c r="AG10" s="69"/>
      <c r="AH10" s="69"/>
      <c r="AI10" s="69"/>
      <c r="AJ10" s="69"/>
      <c r="AK10" s="69"/>
      <c r="AL10" s="69"/>
      <c r="AM10" s="69"/>
      <c r="AN10" s="69"/>
      <c r="AO10" s="69"/>
      <c r="AP10" s="80"/>
      <c r="AQ10" s="11" t="str">
        <f>IF(SUM(V10:Y10)-Z10&gt;0,SUM(V10:Y10)-Z10,"")</f>
        <v/>
      </c>
      <c r="AR10" s="11" t="str">
        <f>IF(AC10&gt;0,AC10,"")</f>
        <v/>
      </c>
      <c r="AS10" s="11" t="str">
        <f>IF(SUM(AA10:AD10)-AE10&gt;0,SUM(AA10:AD10)-AE10,"")</f>
        <v/>
      </c>
      <c r="AT10" s="11" t="str">
        <f>IF(AH10&gt;0,AH10,"")</f>
        <v/>
      </c>
      <c r="AU10" s="11" t="str">
        <f>IF(SUM(AF10:AI10)-AJ10&gt;0,SUM(AF10:AI10)-AJ10,"")</f>
        <v/>
      </c>
      <c r="AV10" s="11" t="str">
        <f>IF(AQ10="",IF(MAX(AS10,AU10)&gt;0,MAX(AS10,AU10),""),MAX(AS10,AU10)+AQ10)</f>
        <v/>
      </c>
      <c r="AW10" s="11" t="str">
        <f>IF(AM10&gt;0,AM10,"")</f>
        <v/>
      </c>
      <c r="AX10" s="11" t="str">
        <f>IF(SUM(AK10:AN10)-AO10&gt;0,SUM(AK10:AN10)-AO10,"")</f>
        <v/>
      </c>
      <c r="AY10" s="11" t="str">
        <f>IF(SUM(AV10,AX10)&gt;0,SUM(AV10,AX10),"")</f>
        <v/>
      </c>
      <c r="AZ10" s="75">
        <v>16.600000000000001</v>
      </c>
      <c r="BA10" s="75">
        <v>9.5</v>
      </c>
      <c r="BB10" s="75">
        <v>5.4</v>
      </c>
      <c r="BC10" s="75">
        <v>16.54</v>
      </c>
      <c r="BD10" s="75">
        <v>0</v>
      </c>
      <c r="BE10" s="75">
        <v>9</v>
      </c>
      <c r="BF10" s="75">
        <v>5.5</v>
      </c>
      <c r="BG10" s="75">
        <v>9.1999999999999993</v>
      </c>
      <c r="BH10" s="75">
        <v>9.2850000000000001</v>
      </c>
      <c r="BI10" s="75">
        <v>0</v>
      </c>
      <c r="BJ10" s="75">
        <v>14.8</v>
      </c>
      <c r="BK10" s="75">
        <v>9.6</v>
      </c>
      <c r="BL10" s="75">
        <v>15.2</v>
      </c>
      <c r="BM10" s="75">
        <v>15.2</v>
      </c>
      <c r="BN10" s="75">
        <v>0</v>
      </c>
      <c r="BO10" s="75">
        <v>14.5</v>
      </c>
      <c r="BP10" s="75">
        <v>9</v>
      </c>
      <c r="BQ10" s="75">
        <v>15.2</v>
      </c>
      <c r="BR10" s="75">
        <v>15.07</v>
      </c>
      <c r="BS10" s="75">
        <v>0</v>
      </c>
      <c r="BT10" s="81"/>
      <c r="BU10" s="14">
        <f>IF(SUM(AZ10:BC10)-BD10&gt;0,SUM(AZ10:BC10)-BD10,"")</f>
        <v>48.04</v>
      </c>
      <c r="BV10" s="14">
        <f>IF(BG10&gt;0,BG10,"")</f>
        <v>9.1999999999999993</v>
      </c>
      <c r="BW10" s="14">
        <f>IF(SUM(BE10:BH10)-BI10&gt;0,SUM(BE10:BH10)-BI10,"")</f>
        <v>32.984999999999999</v>
      </c>
      <c r="BX10" s="14">
        <f>IF(BL10&gt;0,BL10,"")</f>
        <v>15.2</v>
      </c>
      <c r="BY10" s="14">
        <f>IF(SUM(BJ10:BM10)-BN10&gt;0,SUM(BJ10:BM10)-BN10,"")</f>
        <v>54.8</v>
      </c>
      <c r="BZ10" s="14">
        <f>IF(BU10="",IF(MAX(BW10,BY10)&gt;0,MAX(BW10,BY10),""),MAX(BW10,BY10)+BU10)</f>
        <v>102.84</v>
      </c>
      <c r="CA10" s="14">
        <f>IF(BQ10&gt;0,BQ10,"")</f>
        <v>15.2</v>
      </c>
      <c r="CB10" s="14">
        <f>IF(SUM(BO10:BR10)-BS10&gt;0,SUM(BO10:BR10)-BS10,"")</f>
        <v>53.77</v>
      </c>
      <c r="CC10" s="14">
        <f>IF(SUM(BZ10,CB10)&gt;0,SUM(BZ10,CB10),"")</f>
        <v>156.61000000000001</v>
      </c>
      <c r="CD10" s="69">
        <v>17.600000000000001</v>
      </c>
      <c r="CE10" s="69">
        <v>9.6</v>
      </c>
      <c r="CF10" s="69">
        <v>5.4</v>
      </c>
      <c r="CG10" s="69">
        <v>16.425000000000001</v>
      </c>
      <c r="CH10" s="69">
        <v>0</v>
      </c>
      <c r="CI10" s="69">
        <v>14.4</v>
      </c>
      <c r="CJ10" s="69">
        <v>9</v>
      </c>
      <c r="CK10" s="69">
        <v>15.2</v>
      </c>
      <c r="CL10" s="69">
        <v>15.025</v>
      </c>
      <c r="CM10" s="69">
        <v>0</v>
      </c>
      <c r="CN10" s="69">
        <v>15.2</v>
      </c>
      <c r="CO10" s="69">
        <v>9.5</v>
      </c>
      <c r="CP10" s="69">
        <v>15.2</v>
      </c>
      <c r="CQ10" s="69">
        <v>15.404999999999999</v>
      </c>
      <c r="CR10" s="69">
        <v>0</v>
      </c>
      <c r="CS10" s="69">
        <v>14.7</v>
      </c>
      <c r="CT10" s="69">
        <v>9.3000000000000007</v>
      </c>
      <c r="CU10" s="69">
        <v>15.2</v>
      </c>
      <c r="CV10" s="69">
        <v>15.14</v>
      </c>
      <c r="CW10" s="69">
        <v>0</v>
      </c>
      <c r="CX10" s="80"/>
      <c r="CY10" s="11">
        <f>IF(SUM(CD10:CG10)-CH10&gt;0,SUM(CD10:CG10)-CH10,"")</f>
        <v>49.025000000000006</v>
      </c>
      <c r="CZ10" s="11">
        <f>IF(CK10&gt;0,CK10,"")</f>
        <v>15.2</v>
      </c>
      <c r="DA10" s="11">
        <f>IF(SUM(CI10:CL10)-CM10&gt;0,SUM(CI10:CL10)-CM10,"")</f>
        <v>53.624999999999993</v>
      </c>
      <c r="DB10" s="11">
        <f>IF(CP10&gt;0,CP10,"")</f>
        <v>15.2</v>
      </c>
      <c r="DC10" s="11">
        <f>IF(SUM(CN10:CQ10)-CR10&gt;0,SUM(CN10:CQ10)-CR10,"")</f>
        <v>55.305</v>
      </c>
      <c r="DD10" s="11">
        <f>IF(CY10="",IF(MAX(DA10,DC10)&gt;0,MAX(DA10,DC10),""),MAX(DA10,DC10)+CY10)</f>
        <v>104.33000000000001</v>
      </c>
      <c r="DE10" s="11">
        <f>IF(CU10&gt;0,CU10,"")</f>
        <v>15.2</v>
      </c>
      <c r="DF10" s="11">
        <f>IF(SUM(CS10:CV10)-CW10&gt;0,SUM(CS10:CV10)-CW10,"")</f>
        <v>54.34</v>
      </c>
      <c r="DG10" s="11">
        <f>IF(SUM(DD10,DF10)&gt;0,SUM(DD10,DF10),"")</f>
        <v>158.67000000000002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17.100000000000001</v>
      </c>
      <c r="NQ10" s="69">
        <f>IF($CX10="P",CE10,(CE10+BA10)/2)</f>
        <v>9.5500000000000007</v>
      </c>
      <c r="NR10" s="69">
        <f>IF($CX10="P",CF10,(CF10+BB10)/2)</f>
        <v>5.4</v>
      </c>
      <c r="NS10" s="69">
        <f>IF($CX10="P",CG10,(CG10+BC10)/2)</f>
        <v>16.482500000000002</v>
      </c>
      <c r="NT10" s="69">
        <f>IF($CX10="P",CH10,(CH10+BD10)/2)</f>
        <v>0</v>
      </c>
      <c r="NU10" s="69">
        <f>IF($CX10="P",CI10,(CI10+BE10)/2)</f>
        <v>11.7</v>
      </c>
      <c r="NV10" s="69">
        <f>IF($CX10="P",CJ10,(CJ10+BF10)/2)</f>
        <v>7.25</v>
      </c>
      <c r="NW10" s="69">
        <f>IF($CX10="P",CK10,(CK10+BG10)/2)</f>
        <v>12.2</v>
      </c>
      <c r="NX10" s="69">
        <f>IF($CX10="P",CL10,(CL10+BH10)/2)</f>
        <v>12.155000000000001</v>
      </c>
      <c r="NY10" s="69">
        <f>IF($CX10="P",CM10,(CM10+BI10)/2)</f>
        <v>0</v>
      </c>
      <c r="NZ10" s="69">
        <f>IF($CX10="P",CN10,(CN10+BJ10)/2)</f>
        <v>15</v>
      </c>
      <c r="OA10" s="69">
        <f>IF($CX10="P",CO10,(CO10+BK10)/2)</f>
        <v>9.5500000000000007</v>
      </c>
      <c r="OB10" s="69">
        <f>IF($CX10="P",CP10,(CP10+BL10)/2)</f>
        <v>15.2</v>
      </c>
      <c r="OC10" s="69">
        <f>IF($CX10="P",CQ10,(CQ10+BM10)/2)</f>
        <v>15.302499999999998</v>
      </c>
      <c r="OD10" s="69">
        <f>IF($CX10="P",CR10,(CR10+BN10)/2)</f>
        <v>0</v>
      </c>
      <c r="OE10" s="69">
        <f>IF($CX10="P",CS10,(CS10+BO10)/2)</f>
        <v>14.6</v>
      </c>
      <c r="OF10" s="69">
        <f>IF($CX10="P",CT10,(CT10+BP10)/2)</f>
        <v>9.15</v>
      </c>
      <c r="OG10" s="69">
        <f>IF($CX10="P",CU10,(CU10+BQ10)/2)</f>
        <v>15.2</v>
      </c>
      <c r="OH10" s="69">
        <f>IF($CX10="P",CV10,(CV10+BR10)/2)</f>
        <v>15.105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48.532500000000006</v>
      </c>
      <c r="OL10" s="11">
        <f>IF(NW10&gt;0,NW10,"")</f>
        <v>12.2</v>
      </c>
      <c r="OM10" s="11">
        <f>IF(SUM(NU10:NX10)-NY10&gt;0,SUM(NU10:NX10)-NY10,"")</f>
        <v>43.305</v>
      </c>
      <c r="ON10" s="11">
        <f>IF(OB10&gt;0,OB10,"")</f>
        <v>15.2</v>
      </c>
      <c r="OO10" s="11">
        <f>IF(SUM(NZ10:OC10)-OD10&gt;0,SUM(NZ10:OC10)-OD10,"")</f>
        <v>55.052499999999995</v>
      </c>
      <c r="OP10" s="11">
        <f>IF(OR(OK10&lt;&gt;"",OM10&lt;&gt;"",OO10&lt;&gt;""),OK10+MAX(OM10,OO10),"")</f>
        <v>103.58500000000001</v>
      </c>
      <c r="OQ10" s="11">
        <f>IF(OG10&gt;0,OG10,"")</f>
        <v>15.2</v>
      </c>
      <c r="OR10" s="11">
        <f t="shared" si="0"/>
        <v>54.055000000000007</v>
      </c>
      <c r="OS10" s="11">
        <f t="shared" si="1"/>
        <v>157.64000000000001</v>
      </c>
    </row>
    <row r="11" spans="1:409" x14ac:dyDescent="0.2">
      <c r="A11" s="5" t="str" cm="1">
        <f t="array" ref="A11">IF(AND(G11&lt;&gt;"",H11&lt;&gt;""),SUMPRODUCT((G$4:G$21&lt;&gt;"")*(H$4:H$21&lt;&gt;"")*(E$4:E$21&gt;E11))+1,IF(H11&lt;&gt;"",SUMPRODUCT((I$4:I$21="No DD")*(E$4:E$21&gt;E11))+1+SUMPRODUCT((G$4:G$21&lt;&gt;"")*(H$4:H$21&lt;&gt;"")),""))</f>
        <v/>
      </c>
      <c r="B11" s="6" t="s">
        <v>71</v>
      </c>
      <c r="C11" s="7" t="s">
        <v>5</v>
      </c>
      <c r="D11" s="27">
        <v>1999</v>
      </c>
      <c r="E11" s="15">
        <f>SUM(K11:S11)</f>
        <v>258.54000000000002</v>
      </c>
      <c r="F11" s="3" t="str">
        <f>IF(G11&lt;&gt;"","P","")</f>
        <v>P</v>
      </c>
      <c r="G11" s="125" t="str">
        <f>IF(OR(AND(AR11&gt;=AY$26,AR11&lt;&gt;"",AP11=""),AND(AT11&gt;=AY$26,AT11&lt;&gt;"",AP11=""),AND(AW11&gt;=AY$26,AW11&lt;&gt;"",AP11=""),AND(BV11&gt;=CC$26,BV11&lt;&gt;"",BT11=""),AND(BX11&gt;=CC$26,BX11&lt;&gt;"",BT11=""),AND(CA11&gt;=CC$26,CA11&lt;&gt;"",BT11=""),AND(CZ11&gt;=DG$26,CZ11&lt;&gt;"",CX11=""),AND(DB11&gt;=DG$26,DB11&lt;&gt;"",CX11=""),AND(DE11&gt;=DG$26,DE11&lt;&gt;"",CX11=""),AND(EA11&gt;=EG$26,EA11&lt;&gt;""),AND(EE11&gt;=EG$26,EE11&lt;&gt;""),AND(EW11&gt;=FC$26,EW11&lt;&gt;""),AND(FA11&gt;=FC$26,FA11&lt;&gt;""),AND(FS11&gt;=FY$26,FS11&lt;&gt;""),AND(FW11&gt;=FY$26,FW11&lt;&gt;""),AND(GO11&gt;=GU$26,GO11&lt;&gt;""),AND(GS11&gt;=GU$26,GS11&lt;&gt;""),AND(HK11&gt;=HQ$26,HK11&lt;&gt;""),AND(HO11&gt;=HQ$26,HO11&lt;&gt;""),AND(IG11&gt;=IM$26,IG11&lt;&gt;""),AND(IK11&gt;=IM$26,IK11&lt;&gt;""),AND(JC11&gt;=JI$26,JC11&lt;&gt;""),AND(JG11&gt;=JI$26,JG11&lt;&gt;""),AND(JY11&gt;=KE$26,JY11&lt;&gt;""),AND(KC11&gt;=KE$26,KC11&lt;&gt;""),AND(KU11&gt;=LA$26,KU11&lt;&gt;""),AND(KY11&gt;=LA$26,KY11&lt;&gt;""),AND(LQ11&gt;=LW$26,LQ11&lt;&gt;""),AND(LU11&gt;=LW$26,LU11&lt;&gt;""),AND(MM11&gt;=MS$26,MM11&lt;&gt;""),AND(MQ11&gt;=MS$26,MQ11&lt;&gt;""),AND(NI11&gt;=NO$26,NI11&lt;&gt;""),AND(NM11&gt;=NO$26,NM11&lt;&gt;"")),"Merit",IF(OR(AND(AR11&gt;=AY$25,AR11&lt;&gt;"",AP11=""),AND(AT11&gt;=AY$25,AT11&lt;&gt;"",AP11=""),AND(AW11&gt;=AY$25,AW11&lt;&gt;"",AP11=""),AND(BV11&gt;=CC$25,BV11&lt;&gt;"",BT11=""),AND(BX11&gt;=CC$25,BX11&lt;&gt;"",BT11=""),AND(CA11&gt;=CC$25,CA11&lt;&gt;"",BT11=""),AND(CZ11&gt;=DG$25,CZ11&lt;&gt;"",CX11=""),AND(DB11&gt;=DG$25,DB11&lt;&gt;"",CX11=""),AND(DE11&gt;=DG$25,DE11&lt;&gt;"",CX11=""),AND(EA11&gt;=EG$25,EA11&lt;&gt;""),AND(EE11&gt;=EG$25,EE11&lt;&gt;""),AND(EW11&gt;=FC$25,EW11&lt;&gt;""),AND(FA11&gt;=FC$25,FA11&lt;&gt;""),AND(FS11&gt;=FY$25,FS11&lt;&gt;""),AND(FW11&gt;=FY$25,FW11&lt;&gt;""),AND(GO11&gt;=GU$25,GO11&lt;&gt;""),AND(GS11&gt;=GU$25,GS11&lt;&gt;""),AND(HK11&gt;=HQ$25,HK11&lt;&gt;""),AND(HO11&gt;=HQ$25,HO11&lt;&gt;""),AND(IG11&gt;=IM$25,IG11&lt;&gt;""),AND(IK11&gt;=IM$25,IK11&lt;&gt;""),AND(JC11&gt;=JI$25,JC11&lt;&gt;""),AND(JG11&gt;=JI$25,JG11&lt;&gt;""),AND(JY11&gt;=KE$25,JY11&lt;&gt;""),AND(KC11&gt;=KE$25,KC11&lt;&gt;""),AND(KU11&gt;=LA$25,KU11&lt;&gt;""),AND(KY11&gt;=LA$25,KY11&lt;&gt;""),AND(LQ11&gt;=LW$25,LQ11&lt;&gt;""),AND(LU11&gt;=LW$25,LU11&lt;&gt;""),AND(MM11&gt;=MS$25,MM11&lt;&gt;""),AND(MQ11&gt;=MS$25,MQ11&lt;&gt;""),AND(NI11&gt;=NO$25,NI11&lt;&gt;""),AND(NM11&gt;=NO$25,NM11&lt;&gt;"")),"Excellence",IF(OR(AND(AR11&gt;=AY$24,AR11&lt;&gt;"",AP11=""),AND(AT11&gt;=AY$24,AT11&lt;&gt;"",AP11=""),AND(AW11&gt;=AY$24,AW11&lt;&gt;"",AP11=""),AND(BV11&gt;=CC$24,BV11&lt;&gt;"",BT11=""),AND(BX11&gt;=CC$24,BX11&lt;&gt;"",BT11=""),AND(CA11&gt;=CC$24,CA11&lt;&gt;"",BT11=""),AND(CZ11&gt;=DG$24,CZ11&lt;&gt;"",CX11=""),AND(DB11&gt;=DG$24,DB11&lt;&gt;"",CX11=""),AND(DE11&gt;=DG$24,DE11&lt;&gt;"",CX11=""),AND(EA11&gt;=EG$24,EA11&lt;&gt;""),AND(EE11&gt;=EG$24,EE11&lt;&gt;""),AND(EW11&gt;=FC$24,EW11&lt;&gt;""),AND(FA11&gt;=FC$24,FA11&lt;&gt;""),AND(FS11&gt;=FY$24,FS11&lt;&gt;""),AND(FW11&gt;=FY$24,FW11&lt;&gt;""),AND(GO11&gt;=GU$24,GO11&lt;&gt;""),AND(GS11&gt;=GU$24,GS11&lt;&gt;""),AND(HK11&gt;=HQ$24,HK11&lt;&gt;""),AND(HO11&gt;=HQ$24,HO11&lt;&gt;""),AND(IG11&gt;=IM$24,IG11&lt;&gt;""),AND(IK11&gt;=IM$24,IK11&lt;&gt;""),AND(JC11&gt;=JI$24,JC11&lt;&gt;""),AND(JG11&gt;=JI$24,JG11&lt;&gt;""),AND(JY11&gt;=KE$24,JY11&lt;&gt;""),AND(KC11&gt;=KE$24,KC11&lt;&gt;""),AND(KU11&gt;=LA$24,KU11&lt;&gt;""),AND(KY11&gt;=LA$24,KY11&lt;&gt;""),AND(LQ11&gt;=LW$24,LQ11&lt;&gt;""),AND(LU11&gt;=LW$24,LU11&lt;&gt;""),AND(MM11&gt;=MS$24,MM11&lt;&gt;""),AND(MQ11&gt;=MS$24,MQ11&lt;&gt;""),AND(NI11&gt;=NO$24,NI11&lt;&gt;""),AND(NM11&gt;=NO$24,NM11&lt;&gt;"")),"Worlds Team",IF(OR(AND(AR11&gt;=AY$23,AR11&lt;&gt;"",AP11=""),AND(AT11&gt;=AY$23,AT11&lt;&gt;"",AP11=""),AND(AW11&gt;=AY$23,AW11&lt;&gt;"",AP11=""),AND(BV11&gt;=CC$23,BV11&lt;&gt;"",BT11=""),AND(BX11&gt;=CC$23,BX11&lt;&gt;"",BT11=""),AND(CA11&gt;=CC$23,CA11&lt;&gt;"",BT11=""),AND(CZ11&gt;=DG$23,CZ11&lt;&gt;"",CX11=""),AND(DB11&gt;=DG$23,DB11&lt;&gt;"",CX11=""),AND(DE11&gt;=DG$23,DE11&lt;&gt;"",CX11=""),AND(EA11&gt;=EG$23,EA11&lt;&gt;""),AND(EE11&gt;=EG$23,EE11&lt;&gt;""),AND(EW11&gt;=FC$23,EW11&lt;&gt;""),AND(FA11&gt;=FC$23,FA11&lt;&gt;""),AND(FS11&gt;=FY$23,FS11&lt;&gt;""),AND(FW11&gt;=FY$23,FW11&lt;&gt;""),AND(GO11&gt;=GU$23,GO11&lt;&gt;""),AND(GS11&gt;=GU$23,GS11&lt;&gt;""),AND(HK11&gt;=HQ$23,HK11&lt;&gt;""),AND(HO11&gt;=HQ$23,HO11&lt;&gt;""),AND(IG11&gt;=IM$23,IG11&lt;&gt;""),AND(IK11&gt;=IM$23,IK11&lt;&gt;""),AND(JC11&gt;=JI$23,JC11&lt;&gt;""),AND(JG11&gt;=JI$23,JG11&lt;&gt;""),AND(JY11&gt;=KE$23,JY11&lt;&gt;""),AND(KC11&gt;=KE$23,KC11&lt;&gt;""),AND(KU11&gt;=LA$23,KU11&lt;&gt;""),AND(KY11&gt;=LA$23,KY11&lt;&gt;""),AND(LQ11&gt;=LW$23,LQ11&lt;&gt;""),AND(LU11&gt;=LW$23,LU11&lt;&gt;""),AND(MM11&gt;=MS$23,MM11&lt;&gt;""),AND(MQ11&gt;=MS$23,MQ11&lt;&gt;""),AND(NI11&gt;=NO$23,NI11&lt;&gt;""),AND(NM11&gt;=NO$23,NM11&lt;&gt;"")),"National Team",""))))</f>
        <v>National Team</v>
      </c>
      <c r="H11" s="125" t="str">
        <f>IF(OR(AND(AS11&gt;=AY$30,AS11&lt;&gt;"",AP11=""),AND(AU11&gt;=AY$30,AU11&lt;&gt;"",AP11=""),AND(AX11&gt;=AY$30,AX11&lt;&gt;"",AP11=""),AND(BW11&gt;=CC$30,BW11&lt;&gt;"",BT11=""),AND(BY11&gt;=CC$30,BY11&lt;&gt;"",BT11=""),AND(CB11&gt;=CC$30,CB11&lt;&gt;"",BT11=""),AND(DA11&gt;=DG$30,DA11&lt;&gt;"",CX11=""),AND(DC11&gt;=DG$30,DC11&lt;&gt;"",CX11=""),AND(DF11&gt;=DG$30,DF11&lt;&gt;"",CX11=""),AND(EC11&gt;=EG$30,EC11&lt;&gt;""),AND(EF11&gt;=EG$30,EF11&lt;&gt;""),AND(EY11&gt;=FC$30,EY11&lt;&gt;""),AND(FB11&gt;=FC$30,FB11&lt;&gt;""),AND(FU11&gt;=FY$30,FU11&lt;&gt;""),AND(FX11&gt;=FY$30,FX11&lt;&gt;""),AND(GQ11&gt;=GU$30,GQ11&lt;&gt;""),AND(GT11&gt;=GU$30,GT11&lt;&gt;""),AND(HM11&gt;=HQ$30,HM11&lt;&gt;""),AND(HP11&gt;=HQ$30,HP11&lt;&gt;""),AND(II11&gt;=IM$30,II11&lt;&gt;""),AND(IL11&gt;=IM$30,IL11&lt;&gt;""),AND(JE11&gt;=JI$30,JE11&lt;&gt;""),AND(JH11&gt;=JI$30,JH11&lt;&gt;""),AND(KA11&gt;=KE$30,KA11&lt;&gt;""),AND(KD11&gt;=KE$30,KD11&lt;&gt;""),AND(KW11&gt;=LA$30,KW11&lt;&gt;""),AND(KZ11&gt;=LA$30,KZ11&lt;&gt;""),AND(LS11&gt;=LW$30,LS11&lt;&gt;""),AND(LV11&gt;=LW$30,LV11&lt;&gt;""),AND(MO11&gt;=MS$30,MO11&lt;&gt;""),AND(MR11&gt;=MS$30,MR11&lt;&gt;""),AND(NK11&gt;=NO$30,NK11&lt;&gt;""),AND(NN11&gt;=NO$30,NN11&lt;&gt;"")),"Merit",IF(OR(AND(AS11&gt;=AY$29,AS11&lt;&gt;"",AP11=""),AND(AU11&gt;=AY$29,AU11&lt;&gt;"",AP11=""),AND(AX11&gt;=AY$29,AX11&lt;&gt;"",AP11=""),AND(BW11&gt;=CC$29,BW11&lt;&gt;"",BT11=""),AND(BY11&gt;=CC$29,BY11&lt;&gt;"",BT11=""),AND(CB11&gt;=CC$29,CB11&lt;&gt;"",BT11=""),AND(DA11&gt;=DG$29,DA11&lt;&gt;"",CX11=""),AND(DC11&gt;=DG$29,DC11&lt;&gt;"",CX11=""),AND(DF11&gt;=DG$29,DF11&lt;&gt;"",CX11=""),AND(EC11&gt;=EG$29,EC11&lt;&gt;""),AND(EF11&gt;=EG$29,EF11&lt;&gt;""),AND(EY11&gt;=FC$29,EY11&lt;&gt;""),AND(FB11&gt;=FC$29,FB11&lt;&gt;""),AND(FU11&gt;=FY$29,FU11&lt;&gt;""),AND(FX11&gt;=FY$29,FX11&lt;&gt;""),AND(GQ11&gt;=GU$29,GQ11&lt;&gt;""),AND(GT11&gt;=GU$29,GT11&lt;&gt;""),AND(HM11&gt;=HQ$29,HM11&lt;&gt;""),AND(HP11&gt;=HQ$29,HP11&lt;&gt;""),AND(II11&gt;=IM$29,II11&lt;&gt;""),AND(IL11&gt;=IM$29,IL11&lt;&gt;""),AND(JE11&gt;=JI$29,JE11&lt;&gt;""),AND(JH11&gt;=JI$29,JH11&lt;&gt;""),AND(KA11&gt;=KE$29,KA11&lt;&gt;""),AND(KD11&gt;=KE$29,KD11&lt;&gt;""),AND(KW11&gt;=LA$29,KW11&lt;&gt;""),AND(KZ11&gt;=LA$29,KZ11&lt;&gt;""),AND(LS11&gt;=LW$29,LS11&lt;&gt;""),AND(LV11&gt;=LW$29,LV11&lt;&gt;""),AND(MO11&gt;=MS$29,MO11&lt;&gt;""),AND(MR11&gt;=MS$29,MR11&lt;&gt;""),AND(NK11&gt;=NO$29,NK11&lt;&gt;""),AND(NN11&gt;=NO$29,NN11&lt;&gt;"")),"Excellence",IF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"Worlds Team",IF(OR(AND(AV11&gt;=AY$27,AV11&lt;&gt;"",AP11=""),AND(BZ11&gt;=CC$27,BZ11&lt;&gt;"",BT11=""),AND(DD11&gt;=DG$27,DD11&lt;&gt;"",CX11=""),AND(ED11&gt;=EG$27,ED11&lt;&gt;""),AND(EZ11&gt;=FC$27,EZ11&lt;&gt;""),AND(FV11&gt;=FY$27,FV11&lt;&gt;""),AND(GR11&gt;=GU$27,GR11&lt;&gt;""),AND(HN11&gt;=HQ$27,HN11&lt;&gt;""),AND(IJ11&gt;=IM$27,IJ11&lt;&gt;""),AND(JF11&gt;=JI$27,JF11&lt;&gt;""),AND(KB11&gt;=KE$27,KB11&lt;&gt;""),AND(KX11&gt;=LA$27,KX11&lt;&gt;""),AND(LT11&gt;=LW$27,LT11&lt;&gt;""),AND(MP11&gt;=MS$27,MP11&lt;&gt;""),AND(NL11&gt;=NO$27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$28,AV11&lt;&gt;"",AP11=""),AND(BZ11&gt;=CC$28,BZ11&lt;&gt;"",BT11=""),AND(DD11&gt;=DG$28,DD11&lt;&gt;"",CX11=""),AND(ED11&gt;=EG$28,ED11&lt;&gt;""),AND(EZ11&gt;=FC$28,EZ11&lt;&gt;""),AND(FV11&gt;=FY$28,FV11&lt;&gt;""),AND(GR11&gt;=GU$28,GR11&lt;&gt;""),AND(HN11&gt;=HQ$28,HN11&lt;&gt;""),AND(IJ11&gt;=IM$28,IJ11&lt;&gt;""),AND(JF11&gt;=JI$28,JF11&lt;&gt;""),AND(KB11&gt;=KE$28,KB11&lt;&gt;""),AND(KX11&gt;=LA$28,KX11&lt;&gt;""),AND(LT11&gt;=LW$28,LT11&lt;&gt;""),AND(MP11&gt;=MS$28,MP11&lt;&gt;""),AND(NL11&gt;=NO$28,NL11&lt;&gt;"")),OR(G11="Worlds Team",G11="Excellence",G11="Merit")),"P","")</f>
        <v/>
      </c>
      <c r="K11" s="14">
        <f>IF(MAX(AV11,BZ11,DD11)&gt;0,MAX(AV11,BZ11,DD11),0)</f>
        <v>102.69</v>
      </c>
      <c r="L11" s="14" t="str">
        <f>IF(K11=0,"",IF(K11=DD11,$CD$1,IF(K11=BZ11,$AZ$1,IF(K11=AV11,$V$1,""))))</f>
        <v>2021 2nd Virtual Technical Trial</v>
      </c>
      <c r="M11" s="14">
        <f>IF($K11=$AV11,MAX(BU11,CY11),IF($K11=$BZ11,MAX(AQ11,CY11),IF($K11=$DD11,MAX(AQ11,BU11),MAX(AQ11,BU11,CY11))))</f>
        <v>47.42</v>
      </c>
      <c r="N11" s="14" t="str">
        <f>IF(M11=0,"",IF(AND(M11=CY11,$L11&lt;&gt;$CD$1),$CD$1,IF(AND(M11=BU11,$L11&lt;&gt;$AZ$1),$AZ$1,IF(AND(M11=AQ11,$L11&lt;&gt;$V$1),$V$1,""))))</f>
        <v>2021 Elite Canada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53.500000000000007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54.930000000000007</v>
      </c>
      <c r="R11" s="14" t="str">
        <f>IF(Q11=0,"",IF(Q11=DF11,$CD$1,IF(Q11=CB11,$AZ$1,IF(Q11=AX11,$V$1,""))))</f>
        <v>2021 2nd Virtual Technical Trial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16.7</v>
      </c>
      <c r="W11" s="69">
        <v>9.5</v>
      </c>
      <c r="X11" s="69">
        <v>5.2</v>
      </c>
      <c r="Y11" s="69">
        <v>16.23</v>
      </c>
      <c r="Z11" s="69">
        <v>0</v>
      </c>
      <c r="AA11" s="69">
        <v>15.2</v>
      </c>
      <c r="AB11" s="69">
        <v>9.3000000000000007</v>
      </c>
      <c r="AC11" s="69">
        <v>14.6</v>
      </c>
      <c r="AD11" s="69">
        <v>15.96</v>
      </c>
      <c r="AE11" s="69">
        <v>0</v>
      </c>
      <c r="AF11" s="69">
        <v>3</v>
      </c>
      <c r="AG11" s="69">
        <v>1.9</v>
      </c>
      <c r="AH11" s="69">
        <v>3</v>
      </c>
      <c r="AI11" s="69">
        <v>3.32</v>
      </c>
      <c r="AJ11" s="69">
        <v>0</v>
      </c>
      <c r="AK11" s="69">
        <v>15.3</v>
      </c>
      <c r="AL11" s="69">
        <v>9.3000000000000007</v>
      </c>
      <c r="AM11" s="69">
        <v>14.6</v>
      </c>
      <c r="AN11" s="69">
        <v>15.73</v>
      </c>
      <c r="AO11" s="69">
        <v>0</v>
      </c>
      <c r="AP11" s="80"/>
      <c r="AQ11" s="11">
        <f>IF(SUM(V11:Y11)-Z11&gt;0,SUM(V11:Y11)-Z11,"")</f>
        <v>47.629999999999995</v>
      </c>
      <c r="AR11" s="11">
        <f>IF(AC11&gt;0,AC11,"")</f>
        <v>14.6</v>
      </c>
      <c r="AS11" s="11">
        <f>IF(SUM(AA11:AD11)-AE11&gt;0,SUM(AA11:AD11)-AE11,"")</f>
        <v>55.06</v>
      </c>
      <c r="AT11" s="11">
        <f>IF(AH11&gt;0,AH11,"")</f>
        <v>3</v>
      </c>
      <c r="AU11" s="11">
        <f>IF(SUM(AF11:AI11)-AJ11&gt;0,SUM(AF11:AI11)-AJ11,"")</f>
        <v>11.22</v>
      </c>
      <c r="AV11" s="11">
        <f>IF(AQ11="",IF(MAX(AS11,AU11)&gt;0,MAX(AS11,AU11),""),MAX(AS11,AU11)+AQ11)</f>
        <v>102.69</v>
      </c>
      <c r="AW11" s="11">
        <f>IF(AM11&gt;0,AM11,"")</f>
        <v>14.6</v>
      </c>
      <c r="AX11" s="11">
        <f>IF(SUM(AK11:AN11)-AO11&gt;0,SUM(AK11:AN11)-AO11,"")</f>
        <v>54.930000000000007</v>
      </c>
      <c r="AY11" s="11">
        <f>IF(SUM(AV11,AX11)&gt;0,SUM(AV11,AX11),"")</f>
        <v>157.62</v>
      </c>
      <c r="AZ11" s="75">
        <v>16.3</v>
      </c>
      <c r="BA11" s="75">
        <v>9.5</v>
      </c>
      <c r="BB11" s="75">
        <v>5.6</v>
      </c>
      <c r="BC11" s="75">
        <v>16.02</v>
      </c>
      <c r="BD11" s="75">
        <v>0</v>
      </c>
      <c r="BE11" s="75">
        <v>14.8</v>
      </c>
      <c r="BF11" s="75">
        <v>9.4</v>
      </c>
      <c r="BG11" s="75">
        <v>14.2</v>
      </c>
      <c r="BH11" s="75">
        <v>15.1</v>
      </c>
      <c r="BI11" s="75">
        <v>0</v>
      </c>
      <c r="BJ11" s="75">
        <v>0</v>
      </c>
      <c r="BK11" s="75">
        <v>0</v>
      </c>
      <c r="BL11" s="75">
        <v>0</v>
      </c>
      <c r="BM11" s="75">
        <v>0</v>
      </c>
      <c r="BN11" s="75">
        <v>0</v>
      </c>
      <c r="BO11" s="75">
        <v>11.3</v>
      </c>
      <c r="BP11" s="75">
        <v>8.4</v>
      </c>
      <c r="BQ11" s="75">
        <v>6.7</v>
      </c>
      <c r="BR11" s="75">
        <v>6.13</v>
      </c>
      <c r="BS11" s="75">
        <v>0</v>
      </c>
      <c r="BT11" s="81"/>
      <c r="BU11" s="14">
        <f>IF(SUM(AZ11:BC11)-BD11&gt;0,SUM(AZ11:BC11)-BD11,"")</f>
        <v>47.42</v>
      </c>
      <c r="BV11" s="14">
        <f>IF(BG11&gt;0,BG11,"")</f>
        <v>14.2</v>
      </c>
      <c r="BW11" s="14">
        <f>IF(SUM(BE11:BH11)-BI11&gt;0,SUM(BE11:BH11)-BI11,"")</f>
        <v>53.500000000000007</v>
      </c>
      <c r="BX11" s="14" t="str">
        <f>IF(BL11&gt;0,BL11,"")</f>
        <v/>
      </c>
      <c r="BY11" s="14" t="str">
        <f>IF(SUM(BJ11:BM11)-BN11&gt;0,SUM(BJ11:BM11)-BN11,"")</f>
        <v/>
      </c>
      <c r="BZ11" s="14">
        <f>IF(BU11="",IF(MAX(BW11,BY11)&gt;0,MAX(BW11,BY11),""),MAX(BW11,BY11)+BU11)</f>
        <v>100.92000000000002</v>
      </c>
      <c r="CA11" s="14">
        <f>IF(BQ11&gt;0,BQ11,"")</f>
        <v>6.7</v>
      </c>
      <c r="CB11" s="14">
        <f>IF(SUM(BO11:BR11)-BS11&gt;0,SUM(BO11:BR11)-BS11,"")</f>
        <v>32.53</v>
      </c>
      <c r="CC11" s="14">
        <f>IF(SUM(BZ11,CB11)&gt;0,SUM(BZ11,CB11),"")</f>
        <v>133.45000000000002</v>
      </c>
      <c r="CD11" s="69">
        <v>14.4</v>
      </c>
      <c r="CE11" s="69">
        <v>8.1999999999999993</v>
      </c>
      <c r="CF11" s="69">
        <v>3.4</v>
      </c>
      <c r="CG11" s="69">
        <v>15.835000000000001</v>
      </c>
      <c r="CH11" s="69">
        <v>0</v>
      </c>
      <c r="CI11" s="69">
        <v>4.5</v>
      </c>
      <c r="CJ11" s="69">
        <v>2.9</v>
      </c>
      <c r="CK11" s="69">
        <v>5.0999999999999996</v>
      </c>
      <c r="CL11" s="69">
        <v>4.8650000000000002</v>
      </c>
      <c r="CM11" s="69">
        <v>0</v>
      </c>
      <c r="CN11" s="69">
        <v>4.3</v>
      </c>
      <c r="CO11" s="69">
        <v>2.9</v>
      </c>
      <c r="CP11" s="69">
        <v>5.0999999999999996</v>
      </c>
      <c r="CQ11" s="69">
        <v>5.05</v>
      </c>
      <c r="CR11" s="69">
        <v>0</v>
      </c>
      <c r="CS11" s="69"/>
      <c r="CT11" s="69"/>
      <c r="CU11" s="69"/>
      <c r="CV11" s="69"/>
      <c r="CW11" s="69"/>
      <c r="CX11" s="80"/>
      <c r="CY11" s="11">
        <f>IF(SUM(CD11:CG11)-CH11&gt;0,SUM(CD11:CG11)-CH11,"")</f>
        <v>41.835000000000001</v>
      </c>
      <c r="CZ11" s="11">
        <f>IF(CK11&gt;0,CK11,"")</f>
        <v>5.0999999999999996</v>
      </c>
      <c r="DA11" s="11">
        <f>IF(SUM(CI11:CL11)-CM11&gt;0,SUM(CI11:CL11)-CM11,"")</f>
        <v>17.365000000000002</v>
      </c>
      <c r="DB11" s="11">
        <f>IF(CP11&gt;0,CP11,"")</f>
        <v>5.0999999999999996</v>
      </c>
      <c r="DC11" s="11">
        <f>IF(SUM(CN11:CQ11)-CR11&gt;0,SUM(CN11:CQ11)-CR11,"")</f>
        <v>17.349999999999998</v>
      </c>
      <c r="DD11" s="11">
        <f>IF(CY11="",IF(MAX(DA11,DC11)&gt;0,MAX(DA11,DC11),""),MAX(DA11,DC11)+CY11)</f>
        <v>59.2</v>
      </c>
      <c r="DE11" s="11" t="str">
        <f>IF(CU11&gt;0,CU11,"")</f>
        <v/>
      </c>
      <c r="DF11" s="11" t="str">
        <f>IF(SUM(CS11:CV11)-CW11&gt;0,SUM(CS11:CV11)-CW11,"")</f>
        <v/>
      </c>
      <c r="DG11" s="11">
        <f>IF(SUM(DD11,DF11)&gt;0,SUM(DD11,DF11),"")</f>
        <v>59.2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15.350000000000001</v>
      </c>
      <c r="NQ11" s="69">
        <f>IF($CX11="P",CE11,(CE11+BA11)/2)</f>
        <v>8.85</v>
      </c>
      <c r="NR11" s="69">
        <f>IF($CX11="P",CF11,(CF11+BB11)/2)</f>
        <v>4.5</v>
      </c>
      <c r="NS11" s="69">
        <f>IF($CX11="P",CG11,(CG11+BC11)/2)</f>
        <v>15.9275</v>
      </c>
      <c r="NT11" s="69">
        <f>IF($CX11="P",CH11,(CH11+BD11)/2)</f>
        <v>0</v>
      </c>
      <c r="NU11" s="69">
        <f>IF($CX11="P",CI11,(CI11+BE11)/2)</f>
        <v>9.65</v>
      </c>
      <c r="NV11" s="69">
        <f>IF($CX11="P",CJ11,(CJ11+BF11)/2)</f>
        <v>6.15</v>
      </c>
      <c r="NW11" s="69">
        <f>IF($CX11="P",CK11,(CK11+BG11)/2)</f>
        <v>9.6499999999999986</v>
      </c>
      <c r="NX11" s="69">
        <f>IF($CX11="P",CL11,(CL11+BH11)/2)</f>
        <v>9.9824999999999999</v>
      </c>
      <c r="NY11" s="69">
        <f>IF($CX11="P",CM11,(CM11+BI11)/2)</f>
        <v>0</v>
      </c>
      <c r="NZ11" s="69">
        <f>IF($CX11="P",CN11,(CN11+BJ11)/2)</f>
        <v>2.15</v>
      </c>
      <c r="OA11" s="69">
        <f>IF($CX11="P",CO11,(CO11+BK11)/2)</f>
        <v>1.45</v>
      </c>
      <c r="OB11" s="69">
        <f>IF($CX11="P",CP11,(CP11+BL11)/2)</f>
        <v>2.5499999999999998</v>
      </c>
      <c r="OC11" s="69">
        <f>IF($CX11="P",CQ11,(CQ11+BM11)/2)</f>
        <v>2.5249999999999999</v>
      </c>
      <c r="OD11" s="69">
        <f>IF($CX11="P",CR11,(CR11+BN11)/2)</f>
        <v>0</v>
      </c>
      <c r="OE11" s="69">
        <f>IF($CX11="P",CS11,(CS11+BO11)/2)</f>
        <v>5.65</v>
      </c>
      <c r="OF11" s="69">
        <f>IF($CX11="P",CT11,(CT11+BP11)/2)</f>
        <v>4.2</v>
      </c>
      <c r="OG11" s="69">
        <f>IF($CX11="P",CU11,(CU11+BQ11)/2)</f>
        <v>3.35</v>
      </c>
      <c r="OH11" s="69">
        <f>IF($CX11="P",CV11,(CV11+BR11)/2)</f>
        <v>3.0649999999999999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44.627500000000005</v>
      </c>
      <c r="OL11" s="11">
        <f>IF(NW11&gt;0,NW11,"")</f>
        <v>9.6499999999999986</v>
      </c>
      <c r="OM11" s="11">
        <f>IF(SUM(NU11:NX11)-NY11&gt;0,SUM(NU11:NX11)-NY11,"")</f>
        <v>35.432499999999997</v>
      </c>
      <c r="ON11" s="11">
        <f>IF(OB11&gt;0,OB11,"")</f>
        <v>2.5499999999999998</v>
      </c>
      <c r="OO11" s="11">
        <f>IF(SUM(NZ11:OC11)-OD11&gt;0,SUM(NZ11:OC11)-OD11,"")</f>
        <v>8.6749999999999989</v>
      </c>
      <c r="OP11" s="11">
        <f>IF(OR(OK11&lt;&gt;"",OM11&lt;&gt;"",OO11&lt;&gt;""),OK11+MAX(OM11,OO11),"")</f>
        <v>80.06</v>
      </c>
      <c r="OQ11" s="11">
        <f>IF(OG11&gt;0,OG11,"")</f>
        <v>3.35</v>
      </c>
      <c r="OR11" s="11">
        <f t="shared" si="0"/>
        <v>16.265000000000001</v>
      </c>
      <c r="OS11" s="11">
        <f t="shared" si="1"/>
        <v>96.325000000000003</v>
      </c>
    </row>
    <row r="12" spans="1:409" x14ac:dyDescent="0.2">
      <c r="A12" s="5" t="str" cm="1">
        <f t="array" ref="A12">IF(AND(G12&lt;&gt;"",H12&lt;&gt;""),SUMPRODUCT((G$4:G$21&lt;&gt;"")*(H$4:H$21&lt;&gt;"")*(E$4:E$21&gt;E12))+1,IF(H12&lt;&gt;"",SUMPRODUCT((I$4:I$21="No DD")*(E$4:E$21&gt;E12))+1+SUMPRODUCT((G$4:G$21&lt;&gt;"")*(H$4:H$21&lt;&gt;"")),""))</f>
        <v/>
      </c>
      <c r="B12" s="6" t="s">
        <v>129</v>
      </c>
      <c r="C12" s="7" t="s">
        <v>6</v>
      </c>
      <c r="D12" s="5">
        <v>2001</v>
      </c>
      <c r="E12" s="15">
        <f>SUM(K12:S12)</f>
        <v>252.04999999999998</v>
      </c>
      <c r="F12" s="3" t="str">
        <f>IF(G12&lt;&gt;"","P","")</f>
        <v>P</v>
      </c>
      <c r="G12" s="125" t="str">
        <f>IF(OR(AND(AR12&gt;=AY$26,AR12&lt;&gt;"",AP12=""),AND(AT12&gt;=AY$26,AT12&lt;&gt;"",AP12=""),AND(AW12&gt;=AY$26,AW12&lt;&gt;"",AP12=""),AND(BV12&gt;=CC$26,BV12&lt;&gt;"",BT12=""),AND(BX12&gt;=CC$26,BX12&lt;&gt;"",BT12=""),AND(CA12&gt;=CC$26,CA12&lt;&gt;"",BT12=""),AND(CZ12&gt;=DG$26,CZ12&lt;&gt;"",CX12=""),AND(DB12&gt;=DG$26,DB12&lt;&gt;"",CX12=""),AND(DE12&gt;=DG$26,DE12&lt;&gt;"",CX12=""),AND(EA12&gt;=EG$26,EA12&lt;&gt;""),AND(EE12&gt;=EG$26,EE12&lt;&gt;""),AND(EW12&gt;=FC$26,EW12&lt;&gt;""),AND(FA12&gt;=FC$26,FA12&lt;&gt;""),AND(FS12&gt;=FY$26,FS12&lt;&gt;""),AND(FW12&gt;=FY$26,FW12&lt;&gt;""),AND(GO12&gt;=GU$26,GO12&lt;&gt;""),AND(GS12&gt;=GU$26,GS12&lt;&gt;""),AND(HK12&gt;=HQ$26,HK12&lt;&gt;""),AND(HO12&gt;=HQ$26,HO12&lt;&gt;""),AND(IG12&gt;=IM$26,IG12&lt;&gt;""),AND(IK12&gt;=IM$26,IK12&lt;&gt;""),AND(JC12&gt;=JI$26,JC12&lt;&gt;""),AND(JG12&gt;=JI$26,JG12&lt;&gt;""),AND(JY12&gt;=KE$26,JY12&lt;&gt;""),AND(KC12&gt;=KE$26,KC12&lt;&gt;""),AND(KU12&gt;=LA$26,KU12&lt;&gt;""),AND(KY12&gt;=LA$26,KY12&lt;&gt;""),AND(LQ12&gt;=LW$26,LQ12&lt;&gt;""),AND(LU12&gt;=LW$26,LU12&lt;&gt;""),AND(MM12&gt;=MS$26,MM12&lt;&gt;""),AND(MQ12&gt;=MS$26,MQ12&lt;&gt;""),AND(NI12&gt;=NO$26,NI12&lt;&gt;""),AND(NM12&gt;=NO$26,NM12&lt;&gt;"")),"Merit",IF(OR(AND(AR12&gt;=AY$25,AR12&lt;&gt;"",AP12=""),AND(AT12&gt;=AY$25,AT12&lt;&gt;"",AP12=""),AND(AW12&gt;=AY$25,AW12&lt;&gt;"",AP12=""),AND(BV12&gt;=CC$25,BV12&lt;&gt;"",BT12=""),AND(BX12&gt;=CC$25,BX12&lt;&gt;"",BT12=""),AND(CA12&gt;=CC$25,CA12&lt;&gt;"",BT12=""),AND(CZ12&gt;=DG$25,CZ12&lt;&gt;"",CX12=""),AND(DB12&gt;=DG$25,DB12&lt;&gt;"",CX12=""),AND(DE12&gt;=DG$25,DE12&lt;&gt;"",CX12=""),AND(EA12&gt;=EG$25,EA12&lt;&gt;""),AND(EE12&gt;=EG$25,EE12&lt;&gt;""),AND(EW12&gt;=FC$25,EW12&lt;&gt;""),AND(FA12&gt;=FC$25,FA12&lt;&gt;""),AND(FS12&gt;=FY$25,FS12&lt;&gt;""),AND(FW12&gt;=FY$25,FW12&lt;&gt;""),AND(GO12&gt;=GU$25,GO12&lt;&gt;""),AND(GS12&gt;=GU$25,GS12&lt;&gt;""),AND(HK12&gt;=HQ$25,HK12&lt;&gt;""),AND(HO12&gt;=HQ$25,HO12&lt;&gt;""),AND(IG12&gt;=IM$25,IG12&lt;&gt;""),AND(IK12&gt;=IM$25,IK12&lt;&gt;""),AND(JC12&gt;=JI$25,JC12&lt;&gt;""),AND(JG12&gt;=JI$25,JG12&lt;&gt;""),AND(JY12&gt;=KE$25,JY12&lt;&gt;""),AND(KC12&gt;=KE$25,KC12&lt;&gt;""),AND(KU12&gt;=LA$25,KU12&lt;&gt;""),AND(KY12&gt;=LA$25,KY12&lt;&gt;""),AND(LQ12&gt;=LW$25,LQ12&lt;&gt;""),AND(LU12&gt;=LW$25,LU12&lt;&gt;""),AND(MM12&gt;=MS$25,MM12&lt;&gt;""),AND(MQ12&gt;=MS$25,MQ12&lt;&gt;""),AND(NI12&gt;=NO$25,NI12&lt;&gt;""),AND(NM12&gt;=NO$25,NM12&lt;&gt;"")),"Excellence",IF(OR(AND(AR12&gt;=AY$24,AR12&lt;&gt;"",AP12=""),AND(AT12&gt;=AY$24,AT12&lt;&gt;"",AP12=""),AND(AW12&gt;=AY$24,AW12&lt;&gt;"",AP12=""),AND(BV12&gt;=CC$24,BV12&lt;&gt;"",BT12=""),AND(BX12&gt;=CC$24,BX12&lt;&gt;"",BT12=""),AND(CA12&gt;=CC$24,CA12&lt;&gt;"",BT12=""),AND(CZ12&gt;=DG$24,CZ12&lt;&gt;"",CX12=""),AND(DB12&gt;=DG$24,DB12&lt;&gt;"",CX12=""),AND(DE12&gt;=DG$24,DE12&lt;&gt;"",CX12=""),AND(EA12&gt;=EG$24,EA12&lt;&gt;""),AND(EE12&gt;=EG$24,EE12&lt;&gt;""),AND(EW12&gt;=FC$24,EW12&lt;&gt;""),AND(FA12&gt;=FC$24,FA12&lt;&gt;""),AND(FS12&gt;=FY$24,FS12&lt;&gt;""),AND(FW12&gt;=FY$24,FW12&lt;&gt;""),AND(GO12&gt;=GU$24,GO12&lt;&gt;""),AND(GS12&gt;=GU$24,GS12&lt;&gt;""),AND(HK12&gt;=HQ$24,HK12&lt;&gt;""),AND(HO12&gt;=HQ$24,HO12&lt;&gt;""),AND(IG12&gt;=IM$24,IG12&lt;&gt;""),AND(IK12&gt;=IM$24,IK12&lt;&gt;""),AND(JC12&gt;=JI$24,JC12&lt;&gt;""),AND(JG12&gt;=JI$24,JG12&lt;&gt;""),AND(JY12&gt;=KE$24,JY12&lt;&gt;""),AND(KC12&gt;=KE$24,KC12&lt;&gt;""),AND(KU12&gt;=LA$24,KU12&lt;&gt;""),AND(KY12&gt;=LA$24,KY12&lt;&gt;""),AND(LQ12&gt;=LW$24,LQ12&lt;&gt;""),AND(LU12&gt;=LW$24,LU12&lt;&gt;""),AND(MM12&gt;=MS$24,MM12&lt;&gt;""),AND(MQ12&gt;=MS$24,MQ12&lt;&gt;""),AND(NI12&gt;=NO$24,NI12&lt;&gt;""),AND(NM12&gt;=NO$24,NM12&lt;&gt;"")),"Worlds Team",IF(OR(AND(AR12&gt;=AY$23,AR12&lt;&gt;"",AP12=""),AND(AT12&gt;=AY$23,AT12&lt;&gt;"",AP12=""),AND(AW12&gt;=AY$23,AW12&lt;&gt;"",AP12=""),AND(BV12&gt;=CC$23,BV12&lt;&gt;"",BT12=""),AND(BX12&gt;=CC$23,BX12&lt;&gt;"",BT12=""),AND(CA12&gt;=CC$23,CA12&lt;&gt;"",BT12=""),AND(CZ12&gt;=DG$23,CZ12&lt;&gt;"",CX12=""),AND(DB12&gt;=DG$23,DB12&lt;&gt;"",CX12=""),AND(DE12&gt;=DG$23,DE12&lt;&gt;"",CX12=""),AND(EA12&gt;=EG$23,EA12&lt;&gt;""),AND(EE12&gt;=EG$23,EE12&lt;&gt;""),AND(EW12&gt;=FC$23,EW12&lt;&gt;""),AND(FA12&gt;=FC$23,FA12&lt;&gt;""),AND(FS12&gt;=FY$23,FS12&lt;&gt;""),AND(FW12&gt;=FY$23,FW12&lt;&gt;""),AND(GO12&gt;=GU$23,GO12&lt;&gt;""),AND(GS12&gt;=GU$23,GS12&lt;&gt;""),AND(HK12&gt;=HQ$23,HK12&lt;&gt;""),AND(HO12&gt;=HQ$23,HO12&lt;&gt;""),AND(IG12&gt;=IM$23,IG12&lt;&gt;""),AND(IK12&gt;=IM$23,IK12&lt;&gt;""),AND(JC12&gt;=JI$23,JC12&lt;&gt;""),AND(JG12&gt;=JI$23,JG12&lt;&gt;""),AND(JY12&gt;=KE$23,JY12&lt;&gt;""),AND(KC12&gt;=KE$23,KC12&lt;&gt;""),AND(KU12&gt;=LA$23,KU12&lt;&gt;""),AND(KY12&gt;=LA$23,KY12&lt;&gt;""),AND(LQ12&gt;=LW$23,LQ12&lt;&gt;""),AND(LU12&gt;=LW$23,LU12&lt;&gt;""),AND(MM12&gt;=MS$23,MM12&lt;&gt;""),AND(MQ12&gt;=MS$23,MQ12&lt;&gt;""),AND(NI12&gt;=NO$23,NI12&lt;&gt;""),AND(NM12&gt;=NO$23,NM12&lt;&gt;"")),"National Team",""))))</f>
        <v>National Team</v>
      </c>
      <c r="H12" s="125" t="str">
        <f>IF(OR(AND(AS12&gt;=AY$30,AS12&lt;&gt;"",AP12=""),AND(AU12&gt;=AY$30,AU12&lt;&gt;"",AP12=""),AND(AX12&gt;=AY$30,AX12&lt;&gt;"",AP12=""),AND(BW12&gt;=CC$30,BW12&lt;&gt;"",BT12=""),AND(BY12&gt;=CC$30,BY12&lt;&gt;"",BT12=""),AND(CB12&gt;=CC$30,CB12&lt;&gt;"",BT12=""),AND(DA12&gt;=DG$30,DA12&lt;&gt;"",CX12=""),AND(DC12&gt;=DG$30,DC12&lt;&gt;"",CX12=""),AND(DF12&gt;=DG$30,DF12&lt;&gt;"",CX12=""),AND(EC12&gt;=EG$30,EC12&lt;&gt;""),AND(EF12&gt;=EG$30,EF12&lt;&gt;""),AND(EY12&gt;=FC$30,EY12&lt;&gt;""),AND(FB12&gt;=FC$30,FB12&lt;&gt;""),AND(FU12&gt;=FY$30,FU12&lt;&gt;""),AND(FX12&gt;=FY$30,FX12&lt;&gt;""),AND(GQ12&gt;=GU$30,GQ12&lt;&gt;""),AND(GT12&gt;=GU$30,GT12&lt;&gt;""),AND(HM12&gt;=HQ$30,HM12&lt;&gt;""),AND(HP12&gt;=HQ$30,HP12&lt;&gt;""),AND(II12&gt;=IM$30,II12&lt;&gt;""),AND(IL12&gt;=IM$30,IL12&lt;&gt;""),AND(JE12&gt;=JI$30,JE12&lt;&gt;""),AND(JH12&gt;=JI$30,JH12&lt;&gt;""),AND(KA12&gt;=KE$30,KA12&lt;&gt;""),AND(KD12&gt;=KE$30,KD12&lt;&gt;""),AND(KW12&gt;=LA$30,KW12&lt;&gt;""),AND(KZ12&gt;=LA$30,KZ12&lt;&gt;""),AND(LS12&gt;=LW$30,LS12&lt;&gt;""),AND(LV12&gt;=LW$30,LV12&lt;&gt;""),AND(MO12&gt;=MS$30,MO12&lt;&gt;""),AND(MR12&gt;=MS$30,MR12&lt;&gt;""),AND(NK12&gt;=NO$30,NK12&lt;&gt;""),AND(NN12&gt;=NO$30,NN12&lt;&gt;"")),"Merit",IF(OR(AND(AS12&gt;=AY$29,AS12&lt;&gt;"",AP12=""),AND(AU12&gt;=AY$29,AU12&lt;&gt;"",AP12=""),AND(AX12&gt;=AY$29,AX12&lt;&gt;"",AP12=""),AND(BW12&gt;=CC$29,BW12&lt;&gt;"",BT12=""),AND(BY12&gt;=CC$29,BY12&lt;&gt;"",BT12=""),AND(CB12&gt;=CC$29,CB12&lt;&gt;"",BT12=""),AND(DA12&gt;=DG$29,DA12&lt;&gt;"",CX12=""),AND(DC12&gt;=DG$29,DC12&lt;&gt;"",CX12=""),AND(DF12&gt;=DG$29,DF12&lt;&gt;"",CX12=""),AND(EC12&gt;=EG$29,EC12&lt;&gt;""),AND(EF12&gt;=EG$29,EF12&lt;&gt;""),AND(EY12&gt;=FC$29,EY12&lt;&gt;""),AND(FB12&gt;=FC$29,FB12&lt;&gt;""),AND(FU12&gt;=FY$29,FU12&lt;&gt;""),AND(FX12&gt;=FY$29,FX12&lt;&gt;""),AND(GQ12&gt;=GU$29,GQ12&lt;&gt;""),AND(GT12&gt;=GU$29,GT12&lt;&gt;""),AND(HM12&gt;=HQ$29,HM12&lt;&gt;""),AND(HP12&gt;=HQ$29,HP12&lt;&gt;""),AND(II12&gt;=IM$29,II12&lt;&gt;""),AND(IL12&gt;=IM$29,IL12&lt;&gt;""),AND(JE12&gt;=JI$29,JE12&lt;&gt;""),AND(JH12&gt;=JI$29,JH12&lt;&gt;""),AND(KA12&gt;=KE$29,KA12&lt;&gt;""),AND(KD12&gt;=KE$29,KD12&lt;&gt;""),AND(KW12&gt;=LA$29,KW12&lt;&gt;""),AND(KZ12&gt;=LA$29,KZ12&lt;&gt;""),AND(LS12&gt;=LW$29,LS12&lt;&gt;""),AND(LV12&gt;=LW$29,LV12&lt;&gt;""),AND(MO12&gt;=MS$29,MO12&lt;&gt;""),AND(MR12&gt;=MS$29,MR12&lt;&gt;""),AND(NK12&gt;=NO$29,NK12&lt;&gt;""),AND(NN12&gt;=NO$29,NN12&lt;&gt;"")),"Excellence",IF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"Worlds Team",IF(OR(AND(AV12&gt;=AY$27,AV12&lt;&gt;"",AP12=""),AND(BZ12&gt;=CC$27,BZ12&lt;&gt;"",BT12=""),AND(DD12&gt;=DG$27,DD12&lt;&gt;"",CX12=""),AND(ED12&gt;=EG$27,ED12&lt;&gt;""),AND(EZ12&gt;=FC$27,EZ12&lt;&gt;""),AND(FV12&gt;=FY$27,FV12&lt;&gt;""),AND(GR12&gt;=GU$27,GR12&lt;&gt;""),AND(HN12&gt;=HQ$27,HN12&lt;&gt;""),AND(IJ12&gt;=IM$27,IJ12&lt;&gt;""),AND(JF12&gt;=JI$27,JF12&lt;&gt;""),AND(KB12&gt;=KE$27,KB12&lt;&gt;""),AND(KX12&gt;=LA$27,KX12&lt;&gt;""),AND(LT12&gt;=LW$27,LT12&lt;&gt;""),AND(MP12&gt;=MS$27,MP12&lt;&gt;""),AND(NL12&gt;=NO$27,NL12&lt;&gt;"")),"National Team",""))))</f>
        <v/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/>
      </c>
      <c r="J12" s="3" t="str">
        <f>IF(AND(OR(AND(AV12&gt;=AY$28,AV12&lt;&gt;"",AP12=""),AND(BZ12&gt;=CC$28,BZ12&lt;&gt;"",BT12=""),AND(DD12&gt;=DG$28,DD12&lt;&gt;"",CX12=""),AND(ED12&gt;=EG$28,ED12&lt;&gt;""),AND(EZ12&gt;=FC$28,EZ12&lt;&gt;""),AND(FV12&gt;=FY$28,FV12&lt;&gt;""),AND(GR12&gt;=GU$28,GR12&lt;&gt;""),AND(HN12&gt;=HQ$28,HN12&lt;&gt;""),AND(IJ12&gt;=IM$28,IJ12&lt;&gt;""),AND(JF12&gt;=JI$28,JF12&lt;&gt;""),AND(KB12&gt;=KE$28,KB12&lt;&gt;""),AND(KX12&gt;=LA$28,KX12&lt;&gt;""),AND(LT12&gt;=LW$28,LT12&lt;&gt;""),AND(MP12&gt;=MS$28,MP12&lt;&gt;""),AND(NL12&gt;=NO$28,NL12&lt;&gt;"")),OR(G12="Worlds Team",G12="Excellence",G12="Merit")),"P","")</f>
        <v/>
      </c>
      <c r="K12" s="14">
        <f>IF(MAX(AV12,BZ12,DD12)&gt;0,MAX(AV12,BZ12,DD12),0)</f>
        <v>100.87</v>
      </c>
      <c r="L12" s="14" t="str">
        <f>IF(K12=0,"",IF(K12=DD12,$CD$1,IF(K12=BZ12,$AZ$1,IF(K12=AV12,$V$1,""))))</f>
        <v>2021 Canadian Championships</v>
      </c>
      <c r="M12" s="14">
        <f>IF($K12=$AV12,MAX(BU12,CY12),IF($K12=$BZ12,MAX(AQ12,CY12),IF($K12=$DD12,MAX(AQ12,BU12),MAX(AQ12,BU12,CY12))))</f>
        <v>44.995000000000005</v>
      </c>
      <c r="N12" s="14" t="str">
        <f>IF(M12=0,"",IF(AND(M12=CY12,$L12&lt;&gt;$CD$1),$CD$1,IF(AND(M12=BU12,$L12&lt;&gt;$AZ$1),$AZ$1,IF(AND(M12=AQ12,$L12&lt;&gt;$V$1),$V$1,""))))</f>
        <v>2021 Elite Canada</v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53.894999999999996</v>
      </c>
      <c r="P12" s="14" t="str">
        <f>IF(O12=0,"",IF(OR(O12=DC12,O12=DA12),$CD$1,IF(OR(O12=BY12,O12=BW12),$AZ$1,IF(OR(O12=AU12,O12=AS12),$V$1,""))))</f>
        <v>2021 Elite Canada</v>
      </c>
      <c r="Q12" s="14">
        <f>MAX(AX12,CB12,DF12)</f>
        <v>52.29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14.6</v>
      </c>
      <c r="W12" s="69">
        <v>8.3000000000000007</v>
      </c>
      <c r="X12" s="69">
        <v>1.7</v>
      </c>
      <c r="Y12" s="69">
        <v>15.17</v>
      </c>
      <c r="Z12" s="69">
        <v>2</v>
      </c>
      <c r="AA12" s="69">
        <v>12.9</v>
      </c>
      <c r="AB12" s="69">
        <v>9.4</v>
      </c>
      <c r="AC12" s="69">
        <v>13.8</v>
      </c>
      <c r="AD12" s="69">
        <v>16.07</v>
      </c>
      <c r="AE12" s="69">
        <v>0</v>
      </c>
      <c r="AF12" s="69">
        <v>2.2999999999999998</v>
      </c>
      <c r="AG12" s="69">
        <v>1.6</v>
      </c>
      <c r="AH12" s="69">
        <v>3.2</v>
      </c>
      <c r="AI12" s="69">
        <v>3.5649999999999999</v>
      </c>
      <c r="AJ12" s="69">
        <v>0</v>
      </c>
      <c r="AK12" s="69">
        <v>13.5</v>
      </c>
      <c r="AL12" s="69">
        <v>9.1999999999999993</v>
      </c>
      <c r="AM12" s="69">
        <v>13.8</v>
      </c>
      <c r="AN12" s="69">
        <v>15.79</v>
      </c>
      <c r="AO12" s="69">
        <v>0</v>
      </c>
      <c r="AP12" s="80"/>
      <c r="AQ12" s="11">
        <f>IF(SUM(V12:Y12)-Z12&gt;0,SUM(V12:Y12)-Z12,"")</f>
        <v>37.769999999999996</v>
      </c>
      <c r="AR12" s="11">
        <f>IF(AC12&gt;0,AC12,"")</f>
        <v>13.8</v>
      </c>
      <c r="AS12" s="11">
        <f>IF(SUM(AA12:AD12)-AE12&gt;0,SUM(AA12:AD12)-AE12,"")</f>
        <v>52.17</v>
      </c>
      <c r="AT12" s="11">
        <f>IF(AH12&gt;0,AH12,"")</f>
        <v>3.2</v>
      </c>
      <c r="AU12" s="11">
        <f>IF(SUM(AF12:AI12)-AJ12&gt;0,SUM(AF12:AI12)-AJ12,"")</f>
        <v>10.664999999999999</v>
      </c>
      <c r="AV12" s="11">
        <f>IF(AQ12="",IF(MAX(AS12,AU12)&gt;0,MAX(AS12,AU12),""),MAX(AS12,AU12)+AQ12)</f>
        <v>89.94</v>
      </c>
      <c r="AW12" s="11">
        <f>IF(AM12&gt;0,AM12,"")</f>
        <v>13.8</v>
      </c>
      <c r="AX12" s="11">
        <f>IF(SUM(AK12:AN12)-AO12&gt;0,SUM(AK12:AN12)-AO12,"")</f>
        <v>52.29</v>
      </c>
      <c r="AY12" s="11">
        <f>IF(SUM(AV12,AX12)&gt;0,SUM(AV12,AX12),"")</f>
        <v>142.22999999999999</v>
      </c>
      <c r="AZ12" s="75">
        <v>14.8</v>
      </c>
      <c r="BA12" s="75">
        <v>9</v>
      </c>
      <c r="BB12" s="75">
        <v>4.5</v>
      </c>
      <c r="BC12" s="75">
        <v>16.695</v>
      </c>
      <c r="BD12" s="75">
        <v>0</v>
      </c>
      <c r="BE12" s="75">
        <v>14</v>
      </c>
      <c r="BF12" s="75">
        <v>9.1</v>
      </c>
      <c r="BG12" s="75">
        <v>14.4</v>
      </c>
      <c r="BH12" s="75">
        <v>16.395</v>
      </c>
      <c r="BI12" s="75">
        <v>0</v>
      </c>
      <c r="BJ12" s="75">
        <v>2.8</v>
      </c>
      <c r="BK12" s="75">
        <v>1.7</v>
      </c>
      <c r="BL12" s="75">
        <v>3.2</v>
      </c>
      <c r="BM12" s="75">
        <v>3.4550000000000001</v>
      </c>
      <c r="BN12" s="75">
        <v>0</v>
      </c>
      <c r="BO12" s="75">
        <v>4.3</v>
      </c>
      <c r="BP12" s="75">
        <v>3</v>
      </c>
      <c r="BQ12" s="75">
        <v>3.8</v>
      </c>
      <c r="BR12" s="75">
        <v>4.95</v>
      </c>
      <c r="BS12" s="75">
        <v>0</v>
      </c>
      <c r="BT12" s="81"/>
      <c r="BU12" s="14">
        <f>IF(SUM(AZ12:BC12)-BD12&gt;0,SUM(AZ12:BC12)-BD12,"")</f>
        <v>44.995000000000005</v>
      </c>
      <c r="BV12" s="14">
        <f>IF(BG12&gt;0,BG12,"")</f>
        <v>14.4</v>
      </c>
      <c r="BW12" s="14">
        <f>IF(SUM(BE12:BH12)-BI12&gt;0,SUM(BE12:BH12)-BI12,"")</f>
        <v>53.894999999999996</v>
      </c>
      <c r="BX12" s="14">
        <f>IF(BL12&gt;0,BL12,"")</f>
        <v>3.2</v>
      </c>
      <c r="BY12" s="14">
        <f>IF(SUM(BJ12:BM12)-BN12&gt;0,SUM(BJ12:BM12)-BN12,"")</f>
        <v>11.155000000000001</v>
      </c>
      <c r="BZ12" s="14">
        <f>IF(BU12="",IF(MAX(BW12,BY12)&gt;0,MAX(BW12,BY12),""),MAX(BW12,BY12)+BU12)</f>
        <v>98.89</v>
      </c>
      <c r="CA12" s="14">
        <f>IF(BQ12&gt;0,BQ12,"")</f>
        <v>3.8</v>
      </c>
      <c r="CB12" s="14">
        <f>IF(SUM(BO12:BR12)-BS12&gt;0,SUM(BO12:BR12)-BS12,"")</f>
        <v>16.05</v>
      </c>
      <c r="CC12" s="14">
        <f>IF(SUM(BZ12,CB12)&gt;0,SUM(BZ12,CB12),"")</f>
        <v>114.94</v>
      </c>
      <c r="CD12" s="69">
        <v>17.899999999999999</v>
      </c>
      <c r="CE12" s="69">
        <v>9.6999999999999993</v>
      </c>
      <c r="CF12" s="69">
        <v>3.7</v>
      </c>
      <c r="CG12" s="69">
        <v>16.79</v>
      </c>
      <c r="CH12" s="69">
        <v>0</v>
      </c>
      <c r="CI12" s="69">
        <v>6.6</v>
      </c>
      <c r="CJ12" s="69">
        <v>4.7</v>
      </c>
      <c r="CK12" s="69">
        <v>6.8</v>
      </c>
      <c r="CL12" s="69">
        <v>8.0250000000000004</v>
      </c>
      <c r="CM12" s="69">
        <v>0</v>
      </c>
      <c r="CN12" s="69">
        <v>13.8</v>
      </c>
      <c r="CO12" s="69">
        <v>8.8000000000000007</v>
      </c>
      <c r="CP12" s="69">
        <v>14.2</v>
      </c>
      <c r="CQ12" s="69">
        <v>15.98</v>
      </c>
      <c r="CR12" s="69">
        <v>0</v>
      </c>
      <c r="CS12" s="69">
        <v>12.2</v>
      </c>
      <c r="CT12" s="69">
        <v>7.9</v>
      </c>
      <c r="CU12" s="69">
        <v>11.9</v>
      </c>
      <c r="CV12" s="69">
        <v>14.44</v>
      </c>
      <c r="CW12" s="69">
        <v>0</v>
      </c>
      <c r="CX12" s="80"/>
      <c r="CY12" s="11">
        <f>IF(SUM(CD12:CG12)-CH12&gt;0,SUM(CD12:CG12)-CH12,"")</f>
        <v>48.089999999999996</v>
      </c>
      <c r="CZ12" s="11">
        <f>IF(CK12&gt;0,CK12,"")</f>
        <v>6.8</v>
      </c>
      <c r="DA12" s="11">
        <f>IF(SUM(CI12:CL12)-CM12&gt;0,SUM(CI12:CL12)-CM12,"")</f>
        <v>26.125</v>
      </c>
      <c r="DB12" s="11">
        <f>IF(CP12&gt;0,CP12,"")</f>
        <v>14.2</v>
      </c>
      <c r="DC12" s="11">
        <f>IF(SUM(CN12:CQ12)-CR12&gt;0,SUM(CN12:CQ12)-CR12,"")</f>
        <v>52.78</v>
      </c>
      <c r="DD12" s="11">
        <f>IF(CY12="",IF(MAX(DA12,DC12)&gt;0,MAX(DA12,DC12),""),MAX(DA12,DC12)+CY12)</f>
        <v>100.87</v>
      </c>
      <c r="DE12" s="11">
        <f>IF(CU12&gt;0,CU12,"")</f>
        <v>11.9</v>
      </c>
      <c r="DF12" s="11">
        <f>IF(SUM(CS12:CV12)-CW12&gt;0,SUM(CS12:CV12)-CW12,"")</f>
        <v>46.44</v>
      </c>
      <c r="DG12" s="11">
        <f>IF(SUM(DD12,DF12)&gt;0,SUM(DD12,DF12),"")</f>
        <v>147.31</v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16.350000000000001</v>
      </c>
      <c r="NQ12" s="69">
        <f>IF($CX12="P",CE12,(CE12+BA12)/2)</f>
        <v>9.35</v>
      </c>
      <c r="NR12" s="69">
        <f>IF($CX12="P",CF12,(CF12+BB12)/2)</f>
        <v>4.0999999999999996</v>
      </c>
      <c r="NS12" s="69">
        <f>IF($CX12="P",CG12,(CG12+BC12)/2)</f>
        <v>16.7425</v>
      </c>
      <c r="NT12" s="69">
        <f>IF($CX12="P",CH12,(CH12+BD12)/2)</f>
        <v>0</v>
      </c>
      <c r="NU12" s="69">
        <f>IF($CX12="P",CI12,(CI12+BE12)/2)</f>
        <v>10.3</v>
      </c>
      <c r="NV12" s="69">
        <f>IF($CX12="P",CJ12,(CJ12+BF12)/2)</f>
        <v>6.9</v>
      </c>
      <c r="NW12" s="69">
        <f>IF($CX12="P",CK12,(CK12+BG12)/2)</f>
        <v>10.6</v>
      </c>
      <c r="NX12" s="69">
        <f>IF($CX12="P",CL12,(CL12+BH12)/2)</f>
        <v>12.21</v>
      </c>
      <c r="NY12" s="69">
        <f>IF($CX12="P",CM12,(CM12+BI12)/2)</f>
        <v>0</v>
      </c>
      <c r="NZ12" s="69">
        <f>IF($CX12="P",CN12,(CN12+BJ12)/2)</f>
        <v>8.3000000000000007</v>
      </c>
      <c r="OA12" s="69">
        <f>IF($CX12="P",CO12,(CO12+BK12)/2)</f>
        <v>5.25</v>
      </c>
      <c r="OB12" s="69">
        <f>IF($CX12="P",CP12,(CP12+BL12)/2)</f>
        <v>8.6999999999999993</v>
      </c>
      <c r="OC12" s="69">
        <f>IF($CX12="P",CQ12,(CQ12+BM12)/2)</f>
        <v>9.7175000000000011</v>
      </c>
      <c r="OD12" s="69">
        <f>IF($CX12="P",CR12,(CR12+BN12)/2)</f>
        <v>0</v>
      </c>
      <c r="OE12" s="69">
        <f>IF($CX12="P",CS12,(CS12+BO12)/2)</f>
        <v>8.25</v>
      </c>
      <c r="OF12" s="69">
        <f>IF($CX12="P",CT12,(CT12+BP12)/2)</f>
        <v>5.45</v>
      </c>
      <c r="OG12" s="69">
        <f>IF($CX12="P",CU12,(CU12+BQ12)/2)</f>
        <v>7.85</v>
      </c>
      <c r="OH12" s="69">
        <f>IF($CX12="P",CV12,(CV12+BR12)/2)</f>
        <v>9.6950000000000003</v>
      </c>
      <c r="OI12" s="69">
        <f>IF($CX12="P",CW12,(CW12+BS12)/2)</f>
        <v>0</v>
      </c>
      <c r="OJ12" s="80" t="s">
        <v>74</v>
      </c>
      <c r="OK12" s="11">
        <f>IF(SUM(NP12:NS12)-NT12&gt;0,SUM(NP12:NS12)-NT12,"")</f>
        <v>46.542500000000004</v>
      </c>
      <c r="OL12" s="11">
        <f>IF(NW12&gt;0,NW12,"")</f>
        <v>10.6</v>
      </c>
      <c r="OM12" s="11">
        <f>IF(SUM(NU12:NX12)-NY12&gt;0,SUM(NU12:NX12)-NY12,"")</f>
        <v>40.010000000000005</v>
      </c>
      <c r="ON12" s="11">
        <f>IF(OB12&gt;0,OB12,"")</f>
        <v>8.6999999999999993</v>
      </c>
      <c r="OO12" s="11">
        <f>IF(SUM(NZ12:OC12)-OD12&gt;0,SUM(NZ12:OC12)-OD12,"")</f>
        <v>31.967500000000001</v>
      </c>
      <c r="OP12" s="11">
        <f>IF(OR(OK12&lt;&gt;"",OM12&lt;&gt;"",OO12&lt;&gt;""),OK12+MAX(OM12,OO12),"")</f>
        <v>86.552500000000009</v>
      </c>
      <c r="OQ12" s="11">
        <f>IF(OG12&gt;0,OG12,"")</f>
        <v>7.85</v>
      </c>
      <c r="OR12" s="11">
        <f t="shared" si="0"/>
        <v>31.244999999999997</v>
      </c>
      <c r="OS12" s="11">
        <f t="shared" si="1"/>
        <v>117.79750000000001</v>
      </c>
    </row>
    <row r="13" spans="1:409" x14ac:dyDescent="0.2">
      <c r="A13" s="5" t="str" cm="1">
        <f t="array" ref="A13">IF(AND(G13&lt;&gt;"",H13&lt;&gt;""),SUMPRODUCT((G$4:G$21&lt;&gt;"")*(H$4:H$21&lt;&gt;"")*(E$4:E$21&gt;E13))+1,IF(H13&lt;&gt;"",SUMPRODUCT((I$4:I$21="No DD")*(E$4:E$21&gt;E13))+1+SUMPRODUCT((G$4:G$21&lt;&gt;"")*(H$4:H$21&lt;&gt;"")),""))</f>
        <v/>
      </c>
      <c r="B13" s="6" t="s">
        <v>111</v>
      </c>
      <c r="C13" s="7" t="s">
        <v>3</v>
      </c>
      <c r="D13" s="27">
        <v>2003</v>
      </c>
      <c r="E13" s="15">
        <f>SUM(K13:S13)</f>
        <v>251.89499999999998</v>
      </c>
      <c r="F13" s="3" t="str">
        <f>IF(G13&lt;&gt;"","P","")</f>
        <v>P</v>
      </c>
      <c r="G13" s="125" t="str">
        <f>IF(OR(AND(AR13&gt;=AY$26,AR13&lt;&gt;"",AP13=""),AND(AT13&gt;=AY$26,AT13&lt;&gt;"",AP13=""),AND(AW13&gt;=AY$26,AW13&lt;&gt;"",AP13=""),AND(BV13&gt;=CC$26,BV13&lt;&gt;"",BT13=""),AND(BX13&gt;=CC$26,BX13&lt;&gt;"",BT13=""),AND(CA13&gt;=CC$26,CA13&lt;&gt;"",BT13=""),AND(CZ13&gt;=DG$26,CZ13&lt;&gt;"",CX13=""),AND(DB13&gt;=DG$26,DB13&lt;&gt;"",CX13=""),AND(DE13&gt;=DG$26,DE13&lt;&gt;"",CX13=""),AND(EA13&gt;=EG$26,EA13&lt;&gt;""),AND(EE13&gt;=EG$26,EE13&lt;&gt;""),AND(EW13&gt;=FC$26,EW13&lt;&gt;""),AND(FA13&gt;=FC$26,FA13&lt;&gt;""),AND(FS13&gt;=FY$26,FS13&lt;&gt;""),AND(FW13&gt;=FY$26,FW13&lt;&gt;""),AND(GO13&gt;=GU$26,GO13&lt;&gt;""),AND(GS13&gt;=GU$26,GS13&lt;&gt;""),AND(HK13&gt;=HQ$26,HK13&lt;&gt;""),AND(HO13&gt;=HQ$26,HO13&lt;&gt;""),AND(IG13&gt;=IM$26,IG13&lt;&gt;""),AND(IK13&gt;=IM$26,IK13&lt;&gt;""),AND(JC13&gt;=JI$26,JC13&lt;&gt;""),AND(JG13&gt;=JI$26,JG13&lt;&gt;""),AND(JY13&gt;=KE$26,JY13&lt;&gt;""),AND(KC13&gt;=KE$26,KC13&lt;&gt;""),AND(KU13&gt;=LA$26,KU13&lt;&gt;""),AND(KY13&gt;=LA$26,KY13&lt;&gt;""),AND(LQ13&gt;=LW$26,LQ13&lt;&gt;""),AND(LU13&gt;=LW$26,LU13&lt;&gt;""),AND(MM13&gt;=MS$26,MM13&lt;&gt;""),AND(MQ13&gt;=MS$26,MQ13&lt;&gt;""),AND(NI13&gt;=NO$26,NI13&lt;&gt;""),AND(NM13&gt;=NO$26,NM13&lt;&gt;"")),"Merit",IF(OR(AND(AR13&gt;=AY$25,AR13&lt;&gt;"",AP13=""),AND(AT13&gt;=AY$25,AT13&lt;&gt;"",AP13=""),AND(AW13&gt;=AY$25,AW13&lt;&gt;"",AP13=""),AND(BV13&gt;=CC$25,BV13&lt;&gt;"",BT13=""),AND(BX13&gt;=CC$25,BX13&lt;&gt;"",BT13=""),AND(CA13&gt;=CC$25,CA13&lt;&gt;"",BT13=""),AND(CZ13&gt;=DG$25,CZ13&lt;&gt;"",CX13=""),AND(DB13&gt;=DG$25,DB13&lt;&gt;"",CX13=""),AND(DE13&gt;=DG$25,DE13&lt;&gt;"",CX13=""),AND(EA13&gt;=EG$25,EA13&lt;&gt;""),AND(EE13&gt;=EG$25,EE13&lt;&gt;""),AND(EW13&gt;=FC$25,EW13&lt;&gt;""),AND(FA13&gt;=FC$25,FA13&lt;&gt;""),AND(FS13&gt;=FY$25,FS13&lt;&gt;""),AND(FW13&gt;=FY$25,FW13&lt;&gt;""),AND(GO13&gt;=GU$25,GO13&lt;&gt;""),AND(GS13&gt;=GU$25,GS13&lt;&gt;""),AND(HK13&gt;=HQ$25,HK13&lt;&gt;""),AND(HO13&gt;=HQ$25,HO13&lt;&gt;""),AND(IG13&gt;=IM$25,IG13&lt;&gt;""),AND(IK13&gt;=IM$25,IK13&lt;&gt;""),AND(JC13&gt;=JI$25,JC13&lt;&gt;""),AND(JG13&gt;=JI$25,JG13&lt;&gt;""),AND(JY13&gt;=KE$25,JY13&lt;&gt;""),AND(KC13&gt;=KE$25,KC13&lt;&gt;""),AND(KU13&gt;=LA$25,KU13&lt;&gt;""),AND(KY13&gt;=LA$25,KY13&lt;&gt;""),AND(LQ13&gt;=LW$25,LQ13&lt;&gt;""),AND(LU13&gt;=LW$25,LU13&lt;&gt;""),AND(MM13&gt;=MS$25,MM13&lt;&gt;""),AND(MQ13&gt;=MS$25,MQ13&lt;&gt;""),AND(NI13&gt;=NO$25,NI13&lt;&gt;""),AND(NM13&gt;=NO$25,NM13&lt;&gt;"")),"Excellence",IF(OR(AND(AR13&gt;=AY$24,AR13&lt;&gt;"",AP13=""),AND(AT13&gt;=AY$24,AT13&lt;&gt;"",AP13=""),AND(AW13&gt;=AY$24,AW13&lt;&gt;"",AP13=""),AND(BV13&gt;=CC$24,BV13&lt;&gt;"",BT13=""),AND(BX13&gt;=CC$24,BX13&lt;&gt;"",BT13=""),AND(CA13&gt;=CC$24,CA13&lt;&gt;"",BT13=""),AND(CZ13&gt;=DG$24,CZ13&lt;&gt;"",CX13=""),AND(DB13&gt;=DG$24,DB13&lt;&gt;"",CX13=""),AND(DE13&gt;=DG$24,DE13&lt;&gt;"",CX13=""),AND(EA13&gt;=EG$24,EA13&lt;&gt;""),AND(EE13&gt;=EG$24,EE13&lt;&gt;""),AND(EW13&gt;=FC$24,EW13&lt;&gt;""),AND(FA13&gt;=FC$24,FA13&lt;&gt;""),AND(FS13&gt;=FY$24,FS13&lt;&gt;""),AND(FW13&gt;=FY$24,FW13&lt;&gt;""),AND(GO13&gt;=GU$24,GO13&lt;&gt;""),AND(GS13&gt;=GU$24,GS13&lt;&gt;""),AND(HK13&gt;=HQ$24,HK13&lt;&gt;""),AND(HO13&gt;=HQ$24,HO13&lt;&gt;""),AND(IG13&gt;=IM$24,IG13&lt;&gt;""),AND(IK13&gt;=IM$24,IK13&lt;&gt;""),AND(JC13&gt;=JI$24,JC13&lt;&gt;""),AND(JG13&gt;=JI$24,JG13&lt;&gt;""),AND(JY13&gt;=KE$24,JY13&lt;&gt;""),AND(KC13&gt;=KE$24,KC13&lt;&gt;""),AND(KU13&gt;=LA$24,KU13&lt;&gt;""),AND(KY13&gt;=LA$24,KY13&lt;&gt;""),AND(LQ13&gt;=LW$24,LQ13&lt;&gt;""),AND(LU13&gt;=LW$24,LU13&lt;&gt;""),AND(MM13&gt;=MS$24,MM13&lt;&gt;""),AND(MQ13&gt;=MS$24,MQ13&lt;&gt;""),AND(NI13&gt;=NO$24,NI13&lt;&gt;""),AND(NM13&gt;=NO$24,NM13&lt;&gt;"")),"Worlds Team",IF(OR(AND(AR13&gt;=AY$23,AR13&lt;&gt;"",AP13=""),AND(AT13&gt;=AY$23,AT13&lt;&gt;"",AP13=""),AND(AW13&gt;=AY$23,AW13&lt;&gt;"",AP13=""),AND(BV13&gt;=CC$23,BV13&lt;&gt;"",BT13=""),AND(BX13&gt;=CC$23,BX13&lt;&gt;"",BT13=""),AND(CA13&gt;=CC$23,CA13&lt;&gt;"",BT13=""),AND(CZ13&gt;=DG$23,CZ13&lt;&gt;"",CX13=""),AND(DB13&gt;=DG$23,DB13&lt;&gt;"",CX13=""),AND(DE13&gt;=DG$23,DE13&lt;&gt;"",CX13=""),AND(EA13&gt;=EG$23,EA13&lt;&gt;""),AND(EE13&gt;=EG$23,EE13&lt;&gt;""),AND(EW13&gt;=FC$23,EW13&lt;&gt;""),AND(FA13&gt;=FC$23,FA13&lt;&gt;""),AND(FS13&gt;=FY$23,FS13&lt;&gt;""),AND(FW13&gt;=FY$23,FW13&lt;&gt;""),AND(GO13&gt;=GU$23,GO13&lt;&gt;""),AND(GS13&gt;=GU$23,GS13&lt;&gt;""),AND(HK13&gt;=HQ$23,HK13&lt;&gt;""),AND(HO13&gt;=HQ$23,HO13&lt;&gt;""),AND(IG13&gt;=IM$23,IG13&lt;&gt;""),AND(IK13&gt;=IM$23,IK13&lt;&gt;""),AND(JC13&gt;=JI$23,JC13&lt;&gt;""),AND(JG13&gt;=JI$23,JG13&lt;&gt;""),AND(JY13&gt;=KE$23,JY13&lt;&gt;""),AND(KC13&gt;=KE$23,KC13&lt;&gt;""),AND(KU13&gt;=LA$23,KU13&lt;&gt;""),AND(KY13&gt;=LA$23,KY13&lt;&gt;""),AND(LQ13&gt;=LW$23,LQ13&lt;&gt;""),AND(LU13&gt;=LW$23,LU13&lt;&gt;""),AND(MM13&gt;=MS$23,MM13&lt;&gt;""),AND(MQ13&gt;=MS$23,MQ13&lt;&gt;""),AND(NI13&gt;=NO$23,NI13&lt;&gt;""),AND(NM13&gt;=NO$23,NM13&lt;&gt;"")),"National Team",""))))</f>
        <v>National Team</v>
      </c>
      <c r="H13" s="125" t="str">
        <f>IF(OR(AND(AS13&gt;=AY$30,AS13&lt;&gt;"",AP13=""),AND(AU13&gt;=AY$30,AU13&lt;&gt;"",AP13=""),AND(AX13&gt;=AY$30,AX13&lt;&gt;"",AP13=""),AND(BW13&gt;=CC$30,BW13&lt;&gt;"",BT13=""),AND(BY13&gt;=CC$30,BY13&lt;&gt;"",BT13=""),AND(CB13&gt;=CC$30,CB13&lt;&gt;"",BT13=""),AND(DA13&gt;=DG$30,DA13&lt;&gt;"",CX13=""),AND(DC13&gt;=DG$30,DC13&lt;&gt;"",CX13=""),AND(DF13&gt;=DG$30,DF13&lt;&gt;"",CX13=""),AND(EC13&gt;=EG$30,EC13&lt;&gt;""),AND(EF13&gt;=EG$30,EF13&lt;&gt;""),AND(EY13&gt;=FC$30,EY13&lt;&gt;""),AND(FB13&gt;=FC$30,FB13&lt;&gt;""),AND(FU13&gt;=FY$30,FU13&lt;&gt;""),AND(FX13&gt;=FY$30,FX13&lt;&gt;""),AND(GQ13&gt;=GU$30,GQ13&lt;&gt;""),AND(GT13&gt;=GU$30,GT13&lt;&gt;""),AND(HM13&gt;=HQ$30,HM13&lt;&gt;""),AND(HP13&gt;=HQ$30,HP13&lt;&gt;""),AND(II13&gt;=IM$30,II13&lt;&gt;""),AND(IL13&gt;=IM$30,IL13&lt;&gt;""),AND(JE13&gt;=JI$30,JE13&lt;&gt;""),AND(JH13&gt;=JI$30,JH13&lt;&gt;""),AND(KA13&gt;=KE$30,KA13&lt;&gt;""),AND(KD13&gt;=KE$30,KD13&lt;&gt;""),AND(KW13&gt;=LA$30,KW13&lt;&gt;""),AND(KZ13&gt;=LA$30,KZ13&lt;&gt;""),AND(LS13&gt;=LW$30,LS13&lt;&gt;""),AND(LV13&gt;=LW$30,LV13&lt;&gt;""),AND(MO13&gt;=MS$30,MO13&lt;&gt;""),AND(MR13&gt;=MS$30,MR13&lt;&gt;""),AND(NK13&gt;=NO$30,NK13&lt;&gt;""),AND(NN13&gt;=NO$30,NN13&lt;&gt;"")),"Merit",IF(OR(AND(AS13&gt;=AY$29,AS13&lt;&gt;"",AP13=""),AND(AU13&gt;=AY$29,AU13&lt;&gt;"",AP13=""),AND(AX13&gt;=AY$29,AX13&lt;&gt;"",AP13=""),AND(BW13&gt;=CC$29,BW13&lt;&gt;"",BT13=""),AND(BY13&gt;=CC$29,BY13&lt;&gt;"",BT13=""),AND(CB13&gt;=CC$29,CB13&lt;&gt;"",BT13=""),AND(DA13&gt;=DG$29,DA13&lt;&gt;"",CX13=""),AND(DC13&gt;=DG$29,DC13&lt;&gt;"",CX13=""),AND(DF13&gt;=DG$29,DF13&lt;&gt;"",CX13=""),AND(EC13&gt;=EG$29,EC13&lt;&gt;""),AND(EF13&gt;=EG$29,EF13&lt;&gt;""),AND(EY13&gt;=FC$29,EY13&lt;&gt;""),AND(FB13&gt;=FC$29,FB13&lt;&gt;""),AND(FU13&gt;=FY$29,FU13&lt;&gt;""),AND(FX13&gt;=FY$29,FX13&lt;&gt;""),AND(GQ13&gt;=GU$29,GQ13&lt;&gt;""),AND(GT13&gt;=GU$29,GT13&lt;&gt;""),AND(HM13&gt;=HQ$29,HM13&lt;&gt;""),AND(HP13&gt;=HQ$29,HP13&lt;&gt;""),AND(II13&gt;=IM$29,II13&lt;&gt;""),AND(IL13&gt;=IM$29,IL13&lt;&gt;""),AND(JE13&gt;=JI$29,JE13&lt;&gt;""),AND(JH13&gt;=JI$29,JH13&lt;&gt;""),AND(KA13&gt;=KE$29,KA13&lt;&gt;""),AND(KD13&gt;=KE$29,KD13&lt;&gt;""),AND(KW13&gt;=LA$29,KW13&lt;&gt;""),AND(KZ13&gt;=LA$29,KZ13&lt;&gt;""),AND(LS13&gt;=LW$29,LS13&lt;&gt;""),AND(LV13&gt;=LW$29,LV13&lt;&gt;""),AND(MO13&gt;=MS$29,MO13&lt;&gt;""),AND(MR13&gt;=MS$29,MR13&lt;&gt;""),AND(NK13&gt;=NO$29,NK13&lt;&gt;""),AND(NN13&gt;=NO$29,NN13&lt;&gt;"")),"Excellence",IF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"Worlds Team",IF(OR(AND(AV13&gt;=AY$27,AV13&lt;&gt;"",AP13=""),AND(BZ13&gt;=CC$27,BZ13&lt;&gt;"",BT13=""),AND(DD13&gt;=DG$27,DD13&lt;&gt;"",CX13=""),AND(ED13&gt;=EG$27,ED13&lt;&gt;""),AND(EZ13&gt;=FC$27,EZ13&lt;&gt;""),AND(FV13&gt;=FY$27,FV13&lt;&gt;""),AND(GR13&gt;=GU$27,GR13&lt;&gt;""),AND(HN13&gt;=HQ$27,HN13&lt;&gt;""),AND(IJ13&gt;=IM$27,IJ13&lt;&gt;""),AND(JF13&gt;=JI$27,JF13&lt;&gt;""),AND(KB13&gt;=KE$27,KB13&lt;&gt;""),AND(KX13&gt;=LA$27,KX13&lt;&gt;""),AND(LT13&gt;=LW$27,LT13&lt;&gt;""),AND(MP13&gt;=MS$27,MP13&lt;&gt;""),AND(NL13&gt;=NO$27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$28,AV13&lt;&gt;"",AP13=""),AND(BZ13&gt;=CC$28,BZ13&lt;&gt;"",BT13=""),AND(DD13&gt;=DG$28,DD13&lt;&gt;"",CX13=""),AND(ED13&gt;=EG$28,ED13&lt;&gt;""),AND(EZ13&gt;=FC$28,EZ13&lt;&gt;""),AND(FV13&gt;=FY$28,FV13&lt;&gt;""),AND(GR13&gt;=GU$28,GR13&lt;&gt;""),AND(HN13&gt;=HQ$28,HN13&lt;&gt;""),AND(IJ13&gt;=IM$28,IJ13&lt;&gt;""),AND(JF13&gt;=JI$28,JF13&lt;&gt;""),AND(KB13&gt;=KE$28,KB13&lt;&gt;""),AND(KX13&gt;=LA$28,KX13&lt;&gt;""),AND(LT13&gt;=LW$28,LT13&lt;&gt;""),AND(MP13&gt;=MS$28,MP13&lt;&gt;""),AND(NL13&gt;=NO$28,NL13&lt;&gt;"")),OR(G13="Worlds Team",G13="Excellence",G13="Merit")),"P","")</f>
        <v/>
      </c>
      <c r="K13" s="14">
        <f>IF(MAX(AV13,BZ13,DD13)&gt;0,MAX(AV13,BZ13,DD13),0)</f>
        <v>100.485</v>
      </c>
      <c r="L13" s="14" t="str">
        <f>IF(K13=0,"",IF(K13=DD13,$CD$1,IF(K13=BZ13,$AZ$1,IF(K13=AV13,$V$1,""))))</f>
        <v>2021 2nd Virtual Technical Trial</v>
      </c>
      <c r="M13" s="14">
        <f>IF($K13=$AV13,MAX(BU13,CY13),IF($K13=$BZ13,MAX(AQ13,CY13),IF($K13=$DD13,MAX(AQ13,BU13),MAX(AQ13,BU13,CY13))))</f>
        <v>45.96</v>
      </c>
      <c r="N13" s="14" t="str">
        <f>IF(M13=0,"",IF(AND(M13=CY13,$L13&lt;&gt;$CD$1),$CD$1,IF(AND(M13=BU13,$L13&lt;&gt;$AZ$1),$AZ$1,IF(AND(M13=AQ13,$L13&lt;&gt;$V$1),$V$1,""))))</f>
        <v>2021 Elite Canada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53.53</v>
      </c>
      <c r="P13" s="14" t="str">
        <f>IF(O13=0,"",IF(OR(O13=DC13,O13=DA13),$CD$1,IF(OR(O13=BY13,O13=BW13),$AZ$1,IF(OR(O13=AU13,O13=AS13),$V$1,""))))</f>
        <v>2021 Canadian Championships</v>
      </c>
      <c r="Q13" s="14">
        <f>MAX(AX13,CB13,DF13)</f>
        <v>51.919999999999995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16.899999999999999</v>
      </c>
      <c r="W13" s="69">
        <v>9.1999999999999993</v>
      </c>
      <c r="X13" s="69">
        <v>5.2</v>
      </c>
      <c r="Y13" s="69">
        <v>16.11</v>
      </c>
      <c r="Z13" s="69">
        <v>0</v>
      </c>
      <c r="AA13" s="69">
        <v>13.8</v>
      </c>
      <c r="AB13" s="69">
        <v>9.1999999999999993</v>
      </c>
      <c r="AC13" s="69">
        <v>14.4</v>
      </c>
      <c r="AD13" s="69">
        <v>15.675000000000001</v>
      </c>
      <c r="AE13" s="69">
        <v>0</v>
      </c>
      <c r="AF13" s="69">
        <v>4</v>
      </c>
      <c r="AG13" s="69">
        <v>2.4</v>
      </c>
      <c r="AH13" s="69">
        <v>5.0999999999999996</v>
      </c>
      <c r="AI13" s="69">
        <v>5</v>
      </c>
      <c r="AJ13" s="69">
        <v>0</v>
      </c>
      <c r="AK13" s="69">
        <v>4</v>
      </c>
      <c r="AL13" s="69">
        <v>2.5</v>
      </c>
      <c r="AM13" s="69">
        <v>5.0999999999999996</v>
      </c>
      <c r="AN13" s="69">
        <v>4.8849999999999998</v>
      </c>
      <c r="AO13" s="69">
        <v>0</v>
      </c>
      <c r="AP13" s="80"/>
      <c r="AQ13" s="11">
        <f>IF(SUM(V13:Y13)-Z13&gt;0,SUM(V13:Y13)-Z13,"")</f>
        <v>47.41</v>
      </c>
      <c r="AR13" s="11">
        <f>IF(AC13&gt;0,AC13,"")</f>
        <v>14.4</v>
      </c>
      <c r="AS13" s="11">
        <f>IF(SUM(AA13:AD13)-AE13&gt;0,SUM(AA13:AD13)-AE13,"")</f>
        <v>53.075000000000003</v>
      </c>
      <c r="AT13" s="11">
        <f>IF(AH13&gt;0,AH13,"")</f>
        <v>5.0999999999999996</v>
      </c>
      <c r="AU13" s="11">
        <f>IF(SUM(AF13:AI13)-AJ13&gt;0,SUM(AF13:AI13)-AJ13,"")</f>
        <v>16.5</v>
      </c>
      <c r="AV13" s="11">
        <f>IF(AQ13="",IF(MAX(AS13,AU13)&gt;0,MAX(AS13,AU13),""),MAX(AS13,AU13)+AQ13)</f>
        <v>100.485</v>
      </c>
      <c r="AW13" s="11">
        <f>IF(AM13&gt;0,AM13,"")</f>
        <v>5.0999999999999996</v>
      </c>
      <c r="AX13" s="11">
        <f>IF(SUM(AK13:AN13)-AO13&gt;0,SUM(AK13:AN13)-AO13,"")</f>
        <v>16.484999999999999</v>
      </c>
      <c r="AY13" s="11">
        <f>IF(SUM(AV13,AX13)&gt;0,SUM(AV13,AX13),"")</f>
        <v>116.97</v>
      </c>
      <c r="AZ13" s="75">
        <v>15.4</v>
      </c>
      <c r="BA13" s="75">
        <v>8.9</v>
      </c>
      <c r="BB13" s="75">
        <v>5.2</v>
      </c>
      <c r="BC13" s="75">
        <v>16.46</v>
      </c>
      <c r="BD13" s="75">
        <v>0</v>
      </c>
      <c r="BE13" s="75">
        <v>14</v>
      </c>
      <c r="BF13" s="75">
        <v>8.8000000000000007</v>
      </c>
      <c r="BG13" s="75">
        <v>14.4</v>
      </c>
      <c r="BH13" s="75">
        <v>15.945</v>
      </c>
      <c r="BI13" s="75">
        <v>0</v>
      </c>
      <c r="BJ13" s="75">
        <v>13.2</v>
      </c>
      <c r="BK13" s="75">
        <v>8.6999999999999993</v>
      </c>
      <c r="BL13" s="75">
        <v>14.4</v>
      </c>
      <c r="BM13" s="75">
        <v>15.88</v>
      </c>
      <c r="BN13" s="75">
        <v>0</v>
      </c>
      <c r="BO13" s="75">
        <v>10.8</v>
      </c>
      <c r="BP13" s="75">
        <v>8.3000000000000007</v>
      </c>
      <c r="BQ13" s="75">
        <v>14.4</v>
      </c>
      <c r="BR13" s="75">
        <v>16.024999999999999</v>
      </c>
      <c r="BS13" s="75">
        <v>0</v>
      </c>
      <c r="BT13" s="81"/>
      <c r="BU13" s="14">
        <f>IF(SUM(AZ13:BC13)-BD13&gt;0,SUM(AZ13:BC13)-BD13,"")</f>
        <v>45.96</v>
      </c>
      <c r="BV13" s="14">
        <f>IF(BG13&gt;0,BG13,"")</f>
        <v>14.4</v>
      </c>
      <c r="BW13" s="14">
        <f>IF(SUM(BE13:BH13)-BI13&gt;0,SUM(BE13:BH13)-BI13,"")</f>
        <v>53.145000000000003</v>
      </c>
      <c r="BX13" s="14">
        <f>IF(BL13&gt;0,BL13,"")</f>
        <v>14.4</v>
      </c>
      <c r="BY13" s="14">
        <f>IF(SUM(BJ13:BM13)-BN13&gt;0,SUM(BJ13:BM13)-BN13,"")</f>
        <v>52.18</v>
      </c>
      <c r="BZ13" s="14">
        <f>IF(BU13="",IF(MAX(BW13,BY13)&gt;0,MAX(BW13,BY13),""),MAX(BW13,BY13)+BU13)</f>
        <v>99.105000000000004</v>
      </c>
      <c r="CA13" s="14">
        <f>IF(BQ13&gt;0,BQ13,"")</f>
        <v>14.4</v>
      </c>
      <c r="CB13" s="14">
        <f>IF(SUM(BO13:BR13)-BS13&gt;0,SUM(BO13:BR13)-BS13,"")</f>
        <v>49.524999999999999</v>
      </c>
      <c r="CC13" s="14">
        <f>IF(SUM(BZ13,CB13)&gt;0,SUM(BZ13,CB13),"")</f>
        <v>148.63</v>
      </c>
      <c r="CD13" s="69">
        <v>15.4</v>
      </c>
      <c r="CE13" s="69">
        <v>8.1999999999999993</v>
      </c>
      <c r="CF13" s="69">
        <v>3.8</v>
      </c>
      <c r="CG13" s="69">
        <v>14.565</v>
      </c>
      <c r="CH13" s="69">
        <v>0</v>
      </c>
      <c r="CI13" s="69">
        <v>14.3</v>
      </c>
      <c r="CJ13" s="69">
        <v>9</v>
      </c>
      <c r="CK13" s="69">
        <v>14.4</v>
      </c>
      <c r="CL13" s="69">
        <v>15.83</v>
      </c>
      <c r="CM13" s="69">
        <v>0</v>
      </c>
      <c r="CN13" s="69">
        <v>2.9</v>
      </c>
      <c r="CO13" s="69">
        <v>1.7</v>
      </c>
      <c r="CP13" s="69">
        <v>3.4</v>
      </c>
      <c r="CQ13" s="69">
        <v>3.4</v>
      </c>
      <c r="CR13" s="69">
        <v>0</v>
      </c>
      <c r="CS13" s="69">
        <v>13.4</v>
      </c>
      <c r="CT13" s="69">
        <v>8.5</v>
      </c>
      <c r="CU13" s="69">
        <v>14.4</v>
      </c>
      <c r="CV13" s="69">
        <v>15.62</v>
      </c>
      <c r="CW13" s="69">
        <v>0</v>
      </c>
      <c r="CX13" s="80"/>
      <c r="CY13" s="11">
        <f>IF(SUM(CD13:CG13)-CH13&gt;0,SUM(CD13:CG13)-CH13,"")</f>
        <v>41.965000000000003</v>
      </c>
      <c r="CZ13" s="11">
        <f>IF(CK13&gt;0,CK13,"")</f>
        <v>14.4</v>
      </c>
      <c r="DA13" s="11">
        <f>IF(SUM(CI13:CL13)-CM13&gt;0,SUM(CI13:CL13)-CM13,"")</f>
        <v>53.53</v>
      </c>
      <c r="DB13" s="11">
        <f>IF(CP13&gt;0,CP13,"")</f>
        <v>3.4</v>
      </c>
      <c r="DC13" s="11">
        <f>IF(SUM(CN13:CQ13)-CR13&gt;0,SUM(CN13:CQ13)-CR13,"")</f>
        <v>11.4</v>
      </c>
      <c r="DD13" s="11">
        <f>IF(CY13="",IF(MAX(DA13,DC13)&gt;0,MAX(DA13,DC13),""),MAX(DA13,DC13)+CY13)</f>
        <v>95.495000000000005</v>
      </c>
      <c r="DE13" s="11">
        <f>IF(CU13&gt;0,CU13,"")</f>
        <v>14.4</v>
      </c>
      <c r="DF13" s="11">
        <f>IF(SUM(CS13:CV13)-CW13&gt;0,SUM(CS13:CV13)-CW13,"")</f>
        <v>51.919999999999995</v>
      </c>
      <c r="DG13" s="11">
        <f>IF(SUM(DD13,DF13)&gt;0,SUM(DD13,DF13),"")</f>
        <v>147.41499999999999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15.4</v>
      </c>
      <c r="NQ13" s="69">
        <f>IF($CX13="P",CE13,(CE13+BA13)/2)</f>
        <v>8.5500000000000007</v>
      </c>
      <c r="NR13" s="69">
        <f>IF($CX13="P",CF13,(CF13+BB13)/2)</f>
        <v>4.5</v>
      </c>
      <c r="NS13" s="69">
        <f>IF($CX13="P",CG13,(CG13+BC13)/2)</f>
        <v>15.512499999999999</v>
      </c>
      <c r="NT13" s="69">
        <f>IF($CX13="P",CH13,(CH13+BD13)/2)</f>
        <v>0</v>
      </c>
      <c r="NU13" s="69">
        <f>IF($CX13="P",CI13,(CI13+BE13)/2)</f>
        <v>14.15</v>
      </c>
      <c r="NV13" s="69">
        <f>IF($CX13="P",CJ13,(CJ13+BF13)/2)</f>
        <v>8.9</v>
      </c>
      <c r="NW13" s="69">
        <f>IF($CX13="P",CK13,(CK13+BG13)/2)</f>
        <v>14.4</v>
      </c>
      <c r="NX13" s="69">
        <f>IF($CX13="P",CL13,(CL13+BH13)/2)</f>
        <v>15.887499999999999</v>
      </c>
      <c r="NY13" s="69">
        <f>IF($CX13="P",CM13,(CM13+BI13)/2)</f>
        <v>0</v>
      </c>
      <c r="NZ13" s="69">
        <f>IF($CX13="P",CN13,(CN13+BJ13)/2)</f>
        <v>8.0499999999999989</v>
      </c>
      <c r="OA13" s="69">
        <f>IF($CX13="P",CO13,(CO13+BK13)/2)</f>
        <v>5.1999999999999993</v>
      </c>
      <c r="OB13" s="69">
        <f>IF($CX13="P",CP13,(CP13+BL13)/2)</f>
        <v>8.9</v>
      </c>
      <c r="OC13" s="69">
        <f>IF($CX13="P",CQ13,(CQ13+BM13)/2)</f>
        <v>9.64</v>
      </c>
      <c r="OD13" s="69">
        <f>IF($CX13="P",CR13,(CR13+BN13)/2)</f>
        <v>0</v>
      </c>
      <c r="OE13" s="69">
        <f>IF($CX13="P",CS13,(CS13+BO13)/2)</f>
        <v>12.100000000000001</v>
      </c>
      <c r="OF13" s="69">
        <f>IF($CX13="P",CT13,(CT13+BP13)/2)</f>
        <v>8.4</v>
      </c>
      <c r="OG13" s="69">
        <f>IF($CX13="P",CU13,(CU13+BQ13)/2)</f>
        <v>14.4</v>
      </c>
      <c r="OH13" s="69">
        <f>IF($CX13="P",CV13,(CV13+BR13)/2)</f>
        <v>15.822499999999998</v>
      </c>
      <c r="OI13" s="69">
        <f>IF($CX13="P",CW13,(CW13+BS13)/2)</f>
        <v>0</v>
      </c>
      <c r="OJ13" s="80" t="s">
        <v>74</v>
      </c>
      <c r="OK13" s="11">
        <f>IF(SUM(NP13:NS13)-NT13&gt;0,SUM(NP13:NS13)-NT13,"")</f>
        <v>43.962500000000006</v>
      </c>
      <c r="OL13" s="11">
        <f>IF(NW13&gt;0,NW13,"")</f>
        <v>14.4</v>
      </c>
      <c r="OM13" s="11">
        <f>IF(SUM(NU13:NX13)-NY13&gt;0,SUM(NU13:NX13)-NY13,"")</f>
        <v>53.337500000000006</v>
      </c>
      <c r="ON13" s="11">
        <f>IF(OB13&gt;0,OB13,"")</f>
        <v>8.9</v>
      </c>
      <c r="OO13" s="11">
        <f>IF(SUM(NZ13:OC13)-OD13&gt;0,SUM(NZ13:OC13)-OD13,"")</f>
        <v>31.79</v>
      </c>
      <c r="OP13" s="11">
        <f>IF(OR(OK13&lt;&gt;"",OM13&lt;&gt;"",OO13&lt;&gt;""),OK13+MAX(OM13,OO13),"")</f>
        <v>97.300000000000011</v>
      </c>
      <c r="OQ13" s="11">
        <f>IF(OG13&gt;0,OG13,"")</f>
        <v>14.4</v>
      </c>
      <c r="OR13" s="11">
        <f t="shared" si="0"/>
        <v>50.722499999999997</v>
      </c>
      <c r="OS13" s="11">
        <f t="shared" si="1"/>
        <v>148.02250000000001</v>
      </c>
    </row>
    <row r="14" spans="1:409" x14ac:dyDescent="0.2">
      <c r="A14" s="5" t="str" cm="1">
        <f t="array" ref="A14">IF(AND(G14&lt;&gt;"",H14&lt;&gt;""),SUMPRODUCT((G$4:G$21&lt;&gt;"")*(H$4:H$21&lt;&gt;"")*(E$4:E$21&gt;E14))+1,IF(H14&lt;&gt;"",SUMPRODUCT((I$4:I$21="No DD")*(E$4:E$21&gt;E14))+1+SUMPRODUCT((G$4:G$21&lt;&gt;"")*(H$4:H$21&lt;&gt;"")),""))</f>
        <v/>
      </c>
      <c r="B14" s="6" t="s">
        <v>88</v>
      </c>
      <c r="C14" s="7" t="s">
        <v>5</v>
      </c>
      <c r="D14" s="27">
        <v>1991</v>
      </c>
      <c r="E14" s="15">
        <f>SUM(K14:S14)</f>
        <v>251.29</v>
      </c>
      <c r="F14" s="3" t="str">
        <f>IF(G14&lt;&gt;"","P","")</f>
        <v>P</v>
      </c>
      <c r="G14" s="125" t="str">
        <f>IF(OR(AND(AR14&gt;=AY$26,AR14&lt;&gt;"",AP14=""),AND(AT14&gt;=AY$26,AT14&lt;&gt;"",AP14=""),AND(AW14&gt;=AY$26,AW14&lt;&gt;"",AP14=""),AND(BV14&gt;=CC$26,BV14&lt;&gt;"",BT14=""),AND(BX14&gt;=CC$26,BX14&lt;&gt;"",BT14=""),AND(CA14&gt;=CC$26,CA14&lt;&gt;"",BT14=""),AND(CZ14&gt;=DG$26,CZ14&lt;&gt;"",CX14=""),AND(DB14&gt;=DG$26,DB14&lt;&gt;"",CX14=""),AND(DE14&gt;=DG$26,DE14&lt;&gt;"",CX14=""),AND(EA14&gt;=EG$26,EA14&lt;&gt;""),AND(EE14&gt;=EG$26,EE14&lt;&gt;""),AND(EW14&gt;=FC$26,EW14&lt;&gt;""),AND(FA14&gt;=FC$26,FA14&lt;&gt;""),AND(FS14&gt;=FY$26,FS14&lt;&gt;""),AND(FW14&gt;=FY$26,FW14&lt;&gt;""),AND(GO14&gt;=GU$26,GO14&lt;&gt;""),AND(GS14&gt;=GU$26,GS14&lt;&gt;""),AND(HK14&gt;=HQ$26,HK14&lt;&gt;""),AND(HO14&gt;=HQ$26,HO14&lt;&gt;""),AND(IG14&gt;=IM$26,IG14&lt;&gt;""),AND(IK14&gt;=IM$26,IK14&lt;&gt;""),AND(JC14&gt;=JI$26,JC14&lt;&gt;""),AND(JG14&gt;=JI$26,JG14&lt;&gt;""),AND(JY14&gt;=KE$26,JY14&lt;&gt;""),AND(KC14&gt;=KE$26,KC14&lt;&gt;""),AND(KU14&gt;=LA$26,KU14&lt;&gt;""),AND(KY14&gt;=LA$26,KY14&lt;&gt;""),AND(LQ14&gt;=LW$26,LQ14&lt;&gt;""),AND(LU14&gt;=LW$26,LU14&lt;&gt;""),AND(MM14&gt;=MS$26,MM14&lt;&gt;""),AND(MQ14&gt;=MS$26,MQ14&lt;&gt;""),AND(NI14&gt;=NO$26,NI14&lt;&gt;""),AND(NM14&gt;=NO$26,NM14&lt;&gt;"")),"Merit",IF(OR(AND(AR14&gt;=AY$25,AR14&lt;&gt;"",AP14=""),AND(AT14&gt;=AY$25,AT14&lt;&gt;"",AP14=""),AND(AW14&gt;=AY$25,AW14&lt;&gt;"",AP14=""),AND(BV14&gt;=CC$25,BV14&lt;&gt;"",BT14=""),AND(BX14&gt;=CC$25,BX14&lt;&gt;"",BT14=""),AND(CA14&gt;=CC$25,CA14&lt;&gt;"",BT14=""),AND(CZ14&gt;=DG$25,CZ14&lt;&gt;"",CX14=""),AND(DB14&gt;=DG$25,DB14&lt;&gt;"",CX14=""),AND(DE14&gt;=DG$25,DE14&lt;&gt;"",CX14=""),AND(EA14&gt;=EG$25,EA14&lt;&gt;""),AND(EE14&gt;=EG$25,EE14&lt;&gt;""),AND(EW14&gt;=FC$25,EW14&lt;&gt;""),AND(FA14&gt;=FC$25,FA14&lt;&gt;""),AND(FS14&gt;=FY$25,FS14&lt;&gt;""),AND(FW14&gt;=FY$25,FW14&lt;&gt;""),AND(GO14&gt;=GU$25,GO14&lt;&gt;""),AND(GS14&gt;=GU$25,GS14&lt;&gt;""),AND(HK14&gt;=HQ$25,HK14&lt;&gt;""),AND(HO14&gt;=HQ$25,HO14&lt;&gt;""),AND(IG14&gt;=IM$25,IG14&lt;&gt;""),AND(IK14&gt;=IM$25,IK14&lt;&gt;""),AND(JC14&gt;=JI$25,JC14&lt;&gt;""),AND(JG14&gt;=JI$25,JG14&lt;&gt;""),AND(JY14&gt;=KE$25,JY14&lt;&gt;""),AND(KC14&gt;=KE$25,KC14&lt;&gt;""),AND(KU14&gt;=LA$25,KU14&lt;&gt;""),AND(KY14&gt;=LA$25,KY14&lt;&gt;""),AND(LQ14&gt;=LW$25,LQ14&lt;&gt;""),AND(LU14&gt;=LW$25,LU14&lt;&gt;""),AND(MM14&gt;=MS$25,MM14&lt;&gt;""),AND(MQ14&gt;=MS$25,MQ14&lt;&gt;""),AND(NI14&gt;=NO$25,NI14&lt;&gt;""),AND(NM14&gt;=NO$25,NM14&lt;&gt;"")),"Excellence",IF(OR(AND(AR14&gt;=AY$24,AR14&lt;&gt;"",AP14=""),AND(AT14&gt;=AY$24,AT14&lt;&gt;"",AP14=""),AND(AW14&gt;=AY$24,AW14&lt;&gt;"",AP14=""),AND(BV14&gt;=CC$24,BV14&lt;&gt;"",BT14=""),AND(BX14&gt;=CC$24,BX14&lt;&gt;"",BT14=""),AND(CA14&gt;=CC$24,CA14&lt;&gt;"",BT14=""),AND(CZ14&gt;=DG$24,CZ14&lt;&gt;"",CX14=""),AND(DB14&gt;=DG$24,DB14&lt;&gt;"",CX14=""),AND(DE14&gt;=DG$24,DE14&lt;&gt;"",CX14=""),AND(EA14&gt;=EG$24,EA14&lt;&gt;""),AND(EE14&gt;=EG$24,EE14&lt;&gt;""),AND(EW14&gt;=FC$24,EW14&lt;&gt;""),AND(FA14&gt;=FC$24,FA14&lt;&gt;""),AND(FS14&gt;=FY$24,FS14&lt;&gt;""),AND(FW14&gt;=FY$24,FW14&lt;&gt;""),AND(GO14&gt;=GU$24,GO14&lt;&gt;""),AND(GS14&gt;=GU$24,GS14&lt;&gt;""),AND(HK14&gt;=HQ$24,HK14&lt;&gt;""),AND(HO14&gt;=HQ$24,HO14&lt;&gt;""),AND(IG14&gt;=IM$24,IG14&lt;&gt;""),AND(IK14&gt;=IM$24,IK14&lt;&gt;""),AND(JC14&gt;=JI$24,JC14&lt;&gt;""),AND(JG14&gt;=JI$24,JG14&lt;&gt;""),AND(JY14&gt;=KE$24,JY14&lt;&gt;""),AND(KC14&gt;=KE$24,KC14&lt;&gt;""),AND(KU14&gt;=LA$24,KU14&lt;&gt;""),AND(KY14&gt;=LA$24,KY14&lt;&gt;""),AND(LQ14&gt;=LW$24,LQ14&lt;&gt;""),AND(LU14&gt;=LW$24,LU14&lt;&gt;""),AND(MM14&gt;=MS$24,MM14&lt;&gt;""),AND(MQ14&gt;=MS$24,MQ14&lt;&gt;""),AND(NI14&gt;=NO$24,NI14&lt;&gt;""),AND(NM14&gt;=NO$24,NM14&lt;&gt;"")),"Worlds Team",IF(OR(AND(AR14&gt;=AY$23,AR14&lt;&gt;"",AP14=""),AND(AT14&gt;=AY$23,AT14&lt;&gt;"",AP14=""),AND(AW14&gt;=AY$23,AW14&lt;&gt;"",AP14=""),AND(BV14&gt;=CC$23,BV14&lt;&gt;"",BT14=""),AND(BX14&gt;=CC$23,BX14&lt;&gt;"",BT14=""),AND(CA14&gt;=CC$23,CA14&lt;&gt;"",BT14=""),AND(CZ14&gt;=DG$23,CZ14&lt;&gt;"",CX14=""),AND(DB14&gt;=DG$23,DB14&lt;&gt;"",CX14=""),AND(DE14&gt;=DG$23,DE14&lt;&gt;"",CX14=""),AND(EA14&gt;=EG$23,EA14&lt;&gt;""),AND(EE14&gt;=EG$23,EE14&lt;&gt;""),AND(EW14&gt;=FC$23,EW14&lt;&gt;""),AND(FA14&gt;=FC$23,FA14&lt;&gt;""),AND(FS14&gt;=FY$23,FS14&lt;&gt;""),AND(FW14&gt;=FY$23,FW14&lt;&gt;""),AND(GO14&gt;=GU$23,GO14&lt;&gt;""),AND(GS14&gt;=GU$23,GS14&lt;&gt;""),AND(HK14&gt;=HQ$23,HK14&lt;&gt;""),AND(HO14&gt;=HQ$23,HO14&lt;&gt;""),AND(IG14&gt;=IM$23,IG14&lt;&gt;""),AND(IK14&gt;=IM$23,IK14&lt;&gt;""),AND(JC14&gt;=JI$23,JC14&lt;&gt;""),AND(JG14&gt;=JI$23,JG14&lt;&gt;""),AND(JY14&gt;=KE$23,JY14&lt;&gt;""),AND(KC14&gt;=KE$23,KC14&lt;&gt;""),AND(KU14&gt;=LA$23,KU14&lt;&gt;""),AND(KY14&gt;=LA$23,KY14&lt;&gt;""),AND(LQ14&gt;=LW$23,LQ14&lt;&gt;""),AND(LU14&gt;=LW$23,LU14&lt;&gt;""),AND(MM14&gt;=MS$23,MM14&lt;&gt;""),AND(MQ14&gt;=MS$23,MQ14&lt;&gt;""),AND(NI14&gt;=NO$23,NI14&lt;&gt;""),AND(NM14&gt;=NO$23,NM14&lt;&gt;"")),"National Team",""))))</f>
        <v>National Team</v>
      </c>
      <c r="H14" s="125" t="str">
        <f>IF(OR(AND(AS14&gt;=AY$30,AS14&lt;&gt;"",AP14=""),AND(AU14&gt;=AY$30,AU14&lt;&gt;"",AP14=""),AND(AX14&gt;=AY$30,AX14&lt;&gt;"",AP14=""),AND(BW14&gt;=CC$30,BW14&lt;&gt;"",BT14=""),AND(BY14&gt;=CC$30,BY14&lt;&gt;"",BT14=""),AND(CB14&gt;=CC$30,CB14&lt;&gt;"",BT14=""),AND(DA14&gt;=DG$30,DA14&lt;&gt;"",CX14=""),AND(DC14&gt;=DG$30,DC14&lt;&gt;"",CX14=""),AND(DF14&gt;=DG$30,DF14&lt;&gt;"",CX14=""),AND(EC14&gt;=EG$30,EC14&lt;&gt;""),AND(EF14&gt;=EG$30,EF14&lt;&gt;""),AND(EY14&gt;=FC$30,EY14&lt;&gt;""),AND(FB14&gt;=FC$30,FB14&lt;&gt;""),AND(FU14&gt;=FY$30,FU14&lt;&gt;""),AND(FX14&gt;=FY$30,FX14&lt;&gt;""),AND(GQ14&gt;=GU$30,GQ14&lt;&gt;""),AND(GT14&gt;=GU$30,GT14&lt;&gt;""),AND(HM14&gt;=HQ$30,HM14&lt;&gt;""),AND(HP14&gt;=HQ$30,HP14&lt;&gt;""),AND(II14&gt;=IM$30,II14&lt;&gt;""),AND(IL14&gt;=IM$30,IL14&lt;&gt;""),AND(JE14&gt;=JI$30,JE14&lt;&gt;""),AND(JH14&gt;=JI$30,JH14&lt;&gt;""),AND(KA14&gt;=KE$30,KA14&lt;&gt;""),AND(KD14&gt;=KE$30,KD14&lt;&gt;""),AND(KW14&gt;=LA$30,KW14&lt;&gt;""),AND(KZ14&gt;=LA$30,KZ14&lt;&gt;""),AND(LS14&gt;=LW$30,LS14&lt;&gt;""),AND(LV14&gt;=LW$30,LV14&lt;&gt;""),AND(MO14&gt;=MS$30,MO14&lt;&gt;""),AND(MR14&gt;=MS$30,MR14&lt;&gt;""),AND(NK14&gt;=NO$30,NK14&lt;&gt;""),AND(NN14&gt;=NO$30,NN14&lt;&gt;"")),"Merit",IF(OR(AND(AS14&gt;=AY$29,AS14&lt;&gt;"",AP14=""),AND(AU14&gt;=AY$29,AU14&lt;&gt;"",AP14=""),AND(AX14&gt;=AY$29,AX14&lt;&gt;"",AP14=""),AND(BW14&gt;=CC$29,BW14&lt;&gt;"",BT14=""),AND(BY14&gt;=CC$29,BY14&lt;&gt;"",BT14=""),AND(CB14&gt;=CC$29,CB14&lt;&gt;"",BT14=""),AND(DA14&gt;=DG$29,DA14&lt;&gt;"",CX14=""),AND(DC14&gt;=DG$29,DC14&lt;&gt;"",CX14=""),AND(DF14&gt;=DG$29,DF14&lt;&gt;"",CX14=""),AND(EC14&gt;=EG$29,EC14&lt;&gt;""),AND(EF14&gt;=EG$29,EF14&lt;&gt;""),AND(EY14&gt;=FC$29,EY14&lt;&gt;""),AND(FB14&gt;=FC$29,FB14&lt;&gt;""),AND(FU14&gt;=FY$29,FU14&lt;&gt;""),AND(FX14&gt;=FY$29,FX14&lt;&gt;""),AND(GQ14&gt;=GU$29,GQ14&lt;&gt;""),AND(GT14&gt;=GU$29,GT14&lt;&gt;""),AND(HM14&gt;=HQ$29,HM14&lt;&gt;""),AND(HP14&gt;=HQ$29,HP14&lt;&gt;""),AND(II14&gt;=IM$29,II14&lt;&gt;""),AND(IL14&gt;=IM$29,IL14&lt;&gt;""),AND(JE14&gt;=JI$29,JE14&lt;&gt;""),AND(JH14&gt;=JI$29,JH14&lt;&gt;""),AND(KA14&gt;=KE$29,KA14&lt;&gt;""),AND(KD14&gt;=KE$29,KD14&lt;&gt;""),AND(KW14&gt;=LA$29,KW14&lt;&gt;""),AND(KZ14&gt;=LA$29,KZ14&lt;&gt;""),AND(LS14&gt;=LW$29,LS14&lt;&gt;""),AND(LV14&gt;=LW$29,LV14&lt;&gt;""),AND(MO14&gt;=MS$29,MO14&lt;&gt;""),AND(MR14&gt;=MS$29,MR14&lt;&gt;""),AND(NK14&gt;=NO$29,NK14&lt;&gt;""),AND(NN14&gt;=NO$29,NN14&lt;&gt;"")),"Excellence",IF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"Worlds Team",IF(OR(AND(AV14&gt;=AY$27,AV14&lt;&gt;"",AP14=""),AND(BZ14&gt;=CC$27,BZ14&lt;&gt;"",BT14=""),AND(DD14&gt;=DG$27,DD14&lt;&gt;"",CX14=""),AND(ED14&gt;=EG$27,ED14&lt;&gt;""),AND(EZ14&gt;=FC$27,EZ14&lt;&gt;""),AND(FV14&gt;=FY$27,FV14&lt;&gt;""),AND(GR14&gt;=GU$27,GR14&lt;&gt;""),AND(HN14&gt;=HQ$27,HN14&lt;&gt;""),AND(IJ14&gt;=IM$27,IJ14&lt;&gt;""),AND(JF14&gt;=JI$27,JF14&lt;&gt;""),AND(KB14&gt;=KE$27,KB14&lt;&gt;""),AND(KX14&gt;=LA$27,KX14&lt;&gt;""),AND(LT14&gt;=LW$27,LT14&lt;&gt;""),AND(MP14&gt;=MS$27,MP14&lt;&gt;""),AND(NL14&gt;=NO$27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$28,AV14&lt;&gt;"",AP14=""),AND(BZ14&gt;=CC$28,BZ14&lt;&gt;"",BT14=""),AND(DD14&gt;=DG$28,DD14&lt;&gt;"",CX14=""),AND(ED14&gt;=EG$28,ED14&lt;&gt;""),AND(EZ14&gt;=FC$28,EZ14&lt;&gt;""),AND(FV14&gt;=FY$28,FV14&lt;&gt;""),AND(GR14&gt;=GU$28,GR14&lt;&gt;""),AND(HN14&gt;=HQ$28,HN14&lt;&gt;""),AND(IJ14&gt;=IM$28,IJ14&lt;&gt;""),AND(JF14&gt;=JI$28,JF14&lt;&gt;""),AND(KB14&gt;=KE$28,KB14&lt;&gt;""),AND(KX14&gt;=LA$28,KX14&lt;&gt;""),AND(LT14&gt;=LW$28,LT14&lt;&gt;""),AND(MP14&gt;=MS$28,MP14&lt;&gt;""),AND(NL14&gt;=NO$28,NL14&lt;&gt;"")),OR(G14="Worlds Team",G14="Excellence",G14="Merit")),"P","")</f>
        <v/>
      </c>
      <c r="K14" s="14">
        <f>IF(MAX(AV14,BZ14,DD14)&gt;0,MAX(AV14,BZ14,DD14),0)</f>
        <v>101.50999999999999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47.265000000000001</v>
      </c>
      <c r="N14" s="14" t="str">
        <f>IF(M14=0,"",IF(AND(M14=CY14,$L14&lt;&gt;$CD$1),$CD$1,IF(AND(M14=BU14,$L14&lt;&gt;$AZ$1),$AZ$1,IF(AND(M14=AQ14,$L14&lt;&gt;$V$1),$V$1,""))))</f>
        <v>2021 Elite Canada</v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47.085000000000001</v>
      </c>
      <c r="P14" s="14" t="str">
        <f>IF(O14=0,"",IF(OR(O14=DC14,O14=DA14),$CD$1,IF(OR(O14=BY14,O14=BW14),$AZ$1,IF(OR(O14=AU14,O14=AS14),$V$1,""))))</f>
        <v>2021 Canadian Championships</v>
      </c>
      <c r="Q14" s="14">
        <f>MAX(AX14,CB14,DF14)</f>
        <v>55.43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15.9</v>
      </c>
      <c r="W14" s="69">
        <v>8.9</v>
      </c>
      <c r="X14" s="69">
        <v>5.2</v>
      </c>
      <c r="Y14" s="69">
        <v>17.68</v>
      </c>
      <c r="Z14" s="69">
        <v>0</v>
      </c>
      <c r="AA14" s="69">
        <v>7.2</v>
      </c>
      <c r="AB14" s="69">
        <v>4.5</v>
      </c>
      <c r="AC14" s="69">
        <v>6.8</v>
      </c>
      <c r="AD14" s="69">
        <v>8.76</v>
      </c>
      <c r="AE14" s="69">
        <v>0</v>
      </c>
      <c r="AF14" s="69">
        <v>13.3</v>
      </c>
      <c r="AG14" s="69">
        <v>9.1999999999999993</v>
      </c>
      <c r="AH14" s="69">
        <v>14.4</v>
      </c>
      <c r="AI14" s="69">
        <v>16.93</v>
      </c>
      <c r="AJ14" s="69">
        <v>0</v>
      </c>
      <c r="AK14" s="69">
        <v>14.9</v>
      </c>
      <c r="AL14" s="69">
        <v>9.1</v>
      </c>
      <c r="AM14" s="69">
        <v>14.4</v>
      </c>
      <c r="AN14" s="69">
        <v>17.03</v>
      </c>
      <c r="AO14" s="69">
        <v>0</v>
      </c>
      <c r="AP14" s="80"/>
      <c r="AQ14" s="11">
        <f>IF(SUM(V14:Y14)-Z14&gt;0,SUM(V14:Y14)-Z14,"")</f>
        <v>47.68</v>
      </c>
      <c r="AR14" s="11">
        <f>IF(AC14&gt;0,AC14,"")</f>
        <v>6.8</v>
      </c>
      <c r="AS14" s="11">
        <f>IF(SUM(AA14:AD14)-AE14&gt;0,SUM(AA14:AD14)-AE14,"")</f>
        <v>27.259999999999998</v>
      </c>
      <c r="AT14" s="11">
        <f>IF(AH14&gt;0,AH14,"")</f>
        <v>14.4</v>
      </c>
      <c r="AU14" s="11">
        <f>IF(SUM(AF14:AI14)-AJ14&gt;0,SUM(AF14:AI14)-AJ14,"")</f>
        <v>53.83</v>
      </c>
      <c r="AV14" s="11">
        <f>IF(AQ14="",IF(MAX(AS14,AU14)&gt;0,MAX(AS14,AU14),""),MAX(AS14,AU14)+AQ14)</f>
        <v>101.50999999999999</v>
      </c>
      <c r="AW14" s="11">
        <f>IF(AM14&gt;0,AM14,"")</f>
        <v>14.4</v>
      </c>
      <c r="AX14" s="11">
        <f>IF(SUM(AK14:AN14)-AO14&gt;0,SUM(AK14:AN14)-AO14,"")</f>
        <v>55.43</v>
      </c>
      <c r="AY14" s="11">
        <f>IF(SUM(AV14,AX14)&gt;0,SUM(AV14,AX14),"")</f>
        <v>156.94</v>
      </c>
      <c r="AZ14" s="75">
        <v>15.3</v>
      </c>
      <c r="BA14" s="75">
        <v>9.3000000000000007</v>
      </c>
      <c r="BB14" s="75">
        <v>5.2</v>
      </c>
      <c r="BC14" s="75">
        <v>17.465</v>
      </c>
      <c r="BD14" s="75">
        <v>0</v>
      </c>
      <c r="BE14" s="75">
        <v>4.2</v>
      </c>
      <c r="BF14" s="75">
        <v>2.9</v>
      </c>
      <c r="BG14" s="75">
        <v>3.7</v>
      </c>
      <c r="BH14" s="75">
        <v>5.33</v>
      </c>
      <c r="BI14" s="75">
        <v>0</v>
      </c>
      <c r="BJ14" s="75">
        <v>1.4</v>
      </c>
      <c r="BK14" s="75">
        <v>1</v>
      </c>
      <c r="BL14" s="75">
        <v>2</v>
      </c>
      <c r="BM14" s="75">
        <v>1.8</v>
      </c>
      <c r="BN14" s="75">
        <v>0</v>
      </c>
      <c r="BO14" s="75"/>
      <c r="BP14" s="75"/>
      <c r="BQ14" s="75"/>
      <c r="BR14" s="75"/>
      <c r="BS14" s="75"/>
      <c r="BT14" s="81"/>
      <c r="BU14" s="14">
        <f>IF(SUM(AZ14:BC14)-BD14&gt;0,SUM(AZ14:BC14)-BD14,"")</f>
        <v>47.265000000000001</v>
      </c>
      <c r="BV14" s="14">
        <f>IF(BG14&gt;0,BG14,"")</f>
        <v>3.7</v>
      </c>
      <c r="BW14" s="14">
        <f>IF(SUM(BE14:BH14)-BI14&gt;0,SUM(BE14:BH14)-BI14,"")</f>
        <v>16.130000000000003</v>
      </c>
      <c r="BX14" s="14">
        <f>IF(BL14&gt;0,BL14,"")</f>
        <v>2</v>
      </c>
      <c r="BY14" s="14">
        <f>IF(SUM(BJ14:BM14)-BN14&gt;0,SUM(BJ14:BM14)-BN14,"")</f>
        <v>6.2</v>
      </c>
      <c r="BZ14" s="14">
        <f>IF(BU14="",IF(MAX(BW14,BY14)&gt;0,MAX(BW14,BY14),""),MAX(BW14,BY14)+BU14)</f>
        <v>63.395000000000003</v>
      </c>
      <c r="CA14" s="14" t="str">
        <f>IF(BQ14&gt;0,BQ14,"")</f>
        <v/>
      </c>
      <c r="CB14" s="14" t="str">
        <f>IF(SUM(BO14:BR14)-BS14&gt;0,SUM(BO14:BR14)-BS14,"")</f>
        <v/>
      </c>
      <c r="CC14" s="14">
        <f>IF(SUM(BZ14,CB14)&gt;0,SUM(BZ14,CB14),"")</f>
        <v>63.395000000000003</v>
      </c>
      <c r="CD14" s="69">
        <v>8.6</v>
      </c>
      <c r="CE14" s="69">
        <v>4.5999999999999996</v>
      </c>
      <c r="CF14" s="69">
        <v>0</v>
      </c>
      <c r="CG14" s="69">
        <v>9.2200000000000006</v>
      </c>
      <c r="CH14" s="69">
        <v>0</v>
      </c>
      <c r="CI14" s="69">
        <v>11.6</v>
      </c>
      <c r="CJ14" s="69">
        <v>8.1</v>
      </c>
      <c r="CK14" s="69">
        <v>12.5</v>
      </c>
      <c r="CL14" s="69">
        <v>14.885</v>
      </c>
      <c r="CM14" s="69">
        <v>0</v>
      </c>
      <c r="CN14" s="69">
        <v>2.4</v>
      </c>
      <c r="CO14" s="69">
        <v>1.8</v>
      </c>
      <c r="CP14" s="69">
        <v>2.5</v>
      </c>
      <c r="CQ14" s="69">
        <v>3.68</v>
      </c>
      <c r="CR14" s="69">
        <v>0</v>
      </c>
      <c r="CS14" s="69"/>
      <c r="CT14" s="69"/>
      <c r="CU14" s="69"/>
      <c r="CV14" s="69"/>
      <c r="CW14" s="69"/>
      <c r="CX14" s="80"/>
      <c r="CY14" s="11">
        <f>IF(SUM(CD14:CG14)-CH14&gt;0,SUM(CD14:CG14)-CH14,"")</f>
        <v>22.42</v>
      </c>
      <c r="CZ14" s="11">
        <f>IF(CK14&gt;0,CK14,"")</f>
        <v>12.5</v>
      </c>
      <c r="DA14" s="11">
        <f>IF(SUM(CI14:CL14)-CM14&gt;0,SUM(CI14:CL14)-CM14,"")</f>
        <v>47.085000000000001</v>
      </c>
      <c r="DB14" s="11">
        <f>IF(CP14&gt;0,CP14,"")</f>
        <v>2.5</v>
      </c>
      <c r="DC14" s="11">
        <f>IF(SUM(CN14:CQ14)-CR14&gt;0,SUM(CN14:CQ14)-CR14,"")</f>
        <v>10.38</v>
      </c>
      <c r="DD14" s="11">
        <f>IF(CY14="",IF(MAX(DA14,DC14)&gt;0,MAX(DA14,DC14),""),MAX(DA14,DC14)+CY14)</f>
        <v>69.504999999999995</v>
      </c>
      <c r="DE14" s="11" t="str">
        <f>IF(CU14&gt;0,CU14,"")</f>
        <v/>
      </c>
      <c r="DF14" s="11" t="str">
        <f>IF(SUM(CS14:CV14)-CW14&gt;0,SUM(CS14:CV14)-CW14,"")</f>
        <v/>
      </c>
      <c r="DG14" s="11">
        <f>IF(SUM(DD14,DF14)&gt;0,SUM(DD14,DF14),"")</f>
        <v>69.504999999999995</v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11.95</v>
      </c>
      <c r="NQ14" s="69">
        <f>IF($CX14="P",CE14,(CE14+BA14)/2)</f>
        <v>6.95</v>
      </c>
      <c r="NR14" s="69">
        <f>IF($CX14="P",CF14,(CF14+BB14)/2)</f>
        <v>2.6</v>
      </c>
      <c r="NS14" s="69">
        <f>IF($CX14="P",CG14,(CG14+BC14)/2)</f>
        <v>13.342500000000001</v>
      </c>
      <c r="NT14" s="69">
        <f>IF($CX14="P",CH14,(CH14+BD14)/2)</f>
        <v>0</v>
      </c>
      <c r="NU14" s="69">
        <f>IF($CX14="P",CI14,(CI14+BE14)/2)</f>
        <v>7.9</v>
      </c>
      <c r="NV14" s="69">
        <f>IF($CX14="P",CJ14,(CJ14+BF14)/2)</f>
        <v>5.5</v>
      </c>
      <c r="NW14" s="69">
        <f>IF($CX14="P",CK14,(CK14+BG14)/2)</f>
        <v>8.1</v>
      </c>
      <c r="NX14" s="69">
        <f>IF($CX14="P",CL14,(CL14+BH14)/2)</f>
        <v>10.1075</v>
      </c>
      <c r="NY14" s="69">
        <f>IF($CX14="P",CM14,(CM14+BI14)/2)</f>
        <v>0</v>
      </c>
      <c r="NZ14" s="69">
        <f>IF($CX14="P",CN14,(CN14+BJ14)/2)</f>
        <v>1.9</v>
      </c>
      <c r="OA14" s="69">
        <f>IF($CX14="P",CO14,(CO14+BK14)/2)</f>
        <v>1.4</v>
      </c>
      <c r="OB14" s="69">
        <f>IF($CX14="P",CP14,(CP14+BL14)/2)</f>
        <v>2.25</v>
      </c>
      <c r="OC14" s="69">
        <f>IF($CX14="P",CQ14,(CQ14+BM14)/2)</f>
        <v>2.74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>
        <f>IF(SUM(NP14:NS14)-NT14&gt;0,SUM(NP14:NS14)-NT14,"")</f>
        <v>34.842500000000001</v>
      </c>
      <c r="OL14" s="11">
        <f>IF(NW14&gt;0,NW14,"")</f>
        <v>8.1</v>
      </c>
      <c r="OM14" s="11">
        <f>IF(SUM(NU14:NX14)-NY14&gt;0,SUM(NU14:NX14)-NY14,"")</f>
        <v>31.607500000000002</v>
      </c>
      <c r="ON14" s="11">
        <f>IF(OB14&gt;0,OB14,"")</f>
        <v>2.25</v>
      </c>
      <c r="OO14" s="11">
        <f>IF(SUM(NZ14:OC14)-OD14&gt;0,SUM(NZ14:OC14)-OD14,"")</f>
        <v>8.2899999999999991</v>
      </c>
      <c r="OP14" s="11">
        <f>IF(OR(OK14&lt;&gt;"",OM14&lt;&gt;"",OO14&lt;&gt;""),OK14+MAX(OM14,OO14),"")</f>
        <v>66.45</v>
      </c>
      <c r="OQ14" s="11" t="str">
        <f>IF(OG14&gt;0,OG14,"")</f>
        <v/>
      </c>
      <c r="OR14" s="11" t="str">
        <f t="shared" si="0"/>
        <v/>
      </c>
      <c r="OS14" s="11">
        <f t="shared" si="1"/>
        <v>66.45</v>
      </c>
    </row>
    <row r="15" spans="1:409" x14ac:dyDescent="0.2">
      <c r="A15" s="5" t="str" cm="1">
        <f t="array" ref="A15">IF(AND(G15&lt;&gt;"",H15&lt;&gt;""),SUMPRODUCT((G$4:G$21&lt;&gt;"")*(H$4:H$21&lt;&gt;"")*(E$4:E$21&gt;E15))+1,IF(H15&lt;&gt;"",SUMPRODUCT((I$4:I$21="No DD")*(E$4:E$21&gt;E15))+1+SUMPRODUCT((G$4:G$21&lt;&gt;"")*(H$4:H$21&lt;&gt;"")),""))</f>
        <v/>
      </c>
      <c r="B15" s="6" t="s">
        <v>99</v>
      </c>
      <c r="C15" s="7" t="s">
        <v>98</v>
      </c>
      <c r="D15" s="27">
        <v>2001</v>
      </c>
      <c r="E15" s="15">
        <f>SUM(K15:S15)</f>
        <v>241.7</v>
      </c>
      <c r="F15" s="3" t="str">
        <f>IF(G15&lt;&gt;"","P","")</f>
        <v>P</v>
      </c>
      <c r="G15" s="125" t="str">
        <f>IF(OR(AND(AR15&gt;=AY$26,AR15&lt;&gt;"",AP15=""),AND(AT15&gt;=AY$26,AT15&lt;&gt;"",AP15=""),AND(AW15&gt;=AY$26,AW15&lt;&gt;"",AP15=""),AND(BV15&gt;=CC$26,BV15&lt;&gt;"",BT15=""),AND(BX15&gt;=CC$26,BX15&lt;&gt;"",BT15=""),AND(CA15&gt;=CC$26,CA15&lt;&gt;"",BT15=""),AND(CZ15&gt;=DG$26,CZ15&lt;&gt;"",CX15=""),AND(DB15&gt;=DG$26,DB15&lt;&gt;"",CX15=""),AND(DE15&gt;=DG$26,DE15&lt;&gt;"",CX15=""),AND(EA15&gt;=EG$26,EA15&lt;&gt;""),AND(EE15&gt;=EG$26,EE15&lt;&gt;""),AND(EW15&gt;=FC$26,EW15&lt;&gt;""),AND(FA15&gt;=FC$26,FA15&lt;&gt;""),AND(FS15&gt;=FY$26,FS15&lt;&gt;""),AND(FW15&gt;=FY$26,FW15&lt;&gt;""),AND(GO15&gt;=GU$26,GO15&lt;&gt;""),AND(GS15&gt;=GU$26,GS15&lt;&gt;""),AND(HK15&gt;=HQ$26,HK15&lt;&gt;""),AND(HO15&gt;=HQ$26,HO15&lt;&gt;""),AND(IG15&gt;=IM$26,IG15&lt;&gt;""),AND(IK15&gt;=IM$26,IK15&lt;&gt;""),AND(JC15&gt;=JI$26,JC15&lt;&gt;""),AND(JG15&gt;=JI$26,JG15&lt;&gt;""),AND(JY15&gt;=KE$26,JY15&lt;&gt;""),AND(KC15&gt;=KE$26,KC15&lt;&gt;""),AND(KU15&gt;=LA$26,KU15&lt;&gt;""),AND(KY15&gt;=LA$26,KY15&lt;&gt;""),AND(LQ15&gt;=LW$26,LQ15&lt;&gt;""),AND(LU15&gt;=LW$26,LU15&lt;&gt;""),AND(MM15&gt;=MS$26,MM15&lt;&gt;""),AND(MQ15&gt;=MS$26,MQ15&lt;&gt;""),AND(NI15&gt;=NO$26,NI15&lt;&gt;""),AND(NM15&gt;=NO$26,NM15&lt;&gt;"")),"Merit",IF(OR(AND(AR15&gt;=AY$25,AR15&lt;&gt;"",AP15=""),AND(AT15&gt;=AY$25,AT15&lt;&gt;"",AP15=""),AND(AW15&gt;=AY$25,AW15&lt;&gt;"",AP15=""),AND(BV15&gt;=CC$25,BV15&lt;&gt;"",BT15=""),AND(BX15&gt;=CC$25,BX15&lt;&gt;"",BT15=""),AND(CA15&gt;=CC$25,CA15&lt;&gt;"",BT15=""),AND(CZ15&gt;=DG$25,CZ15&lt;&gt;"",CX15=""),AND(DB15&gt;=DG$25,DB15&lt;&gt;"",CX15=""),AND(DE15&gt;=DG$25,DE15&lt;&gt;"",CX15=""),AND(EA15&gt;=EG$25,EA15&lt;&gt;""),AND(EE15&gt;=EG$25,EE15&lt;&gt;""),AND(EW15&gt;=FC$25,EW15&lt;&gt;""),AND(FA15&gt;=FC$25,FA15&lt;&gt;""),AND(FS15&gt;=FY$25,FS15&lt;&gt;""),AND(FW15&gt;=FY$25,FW15&lt;&gt;""),AND(GO15&gt;=GU$25,GO15&lt;&gt;""),AND(GS15&gt;=GU$25,GS15&lt;&gt;""),AND(HK15&gt;=HQ$25,HK15&lt;&gt;""),AND(HO15&gt;=HQ$25,HO15&lt;&gt;""),AND(IG15&gt;=IM$25,IG15&lt;&gt;""),AND(IK15&gt;=IM$25,IK15&lt;&gt;""),AND(JC15&gt;=JI$25,JC15&lt;&gt;""),AND(JG15&gt;=JI$25,JG15&lt;&gt;""),AND(JY15&gt;=KE$25,JY15&lt;&gt;""),AND(KC15&gt;=KE$25,KC15&lt;&gt;""),AND(KU15&gt;=LA$25,KU15&lt;&gt;""),AND(KY15&gt;=LA$25,KY15&lt;&gt;""),AND(LQ15&gt;=LW$25,LQ15&lt;&gt;""),AND(LU15&gt;=LW$25,LU15&lt;&gt;""),AND(MM15&gt;=MS$25,MM15&lt;&gt;""),AND(MQ15&gt;=MS$25,MQ15&lt;&gt;""),AND(NI15&gt;=NO$25,NI15&lt;&gt;""),AND(NM15&gt;=NO$25,NM15&lt;&gt;"")),"Excellence",IF(OR(AND(AR15&gt;=AY$24,AR15&lt;&gt;"",AP15=""),AND(AT15&gt;=AY$24,AT15&lt;&gt;"",AP15=""),AND(AW15&gt;=AY$24,AW15&lt;&gt;"",AP15=""),AND(BV15&gt;=CC$24,BV15&lt;&gt;"",BT15=""),AND(BX15&gt;=CC$24,BX15&lt;&gt;"",BT15=""),AND(CA15&gt;=CC$24,CA15&lt;&gt;"",BT15=""),AND(CZ15&gt;=DG$24,CZ15&lt;&gt;"",CX15=""),AND(DB15&gt;=DG$24,DB15&lt;&gt;"",CX15=""),AND(DE15&gt;=DG$24,DE15&lt;&gt;"",CX15=""),AND(EA15&gt;=EG$24,EA15&lt;&gt;""),AND(EE15&gt;=EG$24,EE15&lt;&gt;""),AND(EW15&gt;=FC$24,EW15&lt;&gt;""),AND(FA15&gt;=FC$24,FA15&lt;&gt;""),AND(FS15&gt;=FY$24,FS15&lt;&gt;""),AND(FW15&gt;=FY$24,FW15&lt;&gt;""),AND(GO15&gt;=GU$24,GO15&lt;&gt;""),AND(GS15&gt;=GU$24,GS15&lt;&gt;""),AND(HK15&gt;=HQ$24,HK15&lt;&gt;""),AND(HO15&gt;=HQ$24,HO15&lt;&gt;""),AND(IG15&gt;=IM$24,IG15&lt;&gt;""),AND(IK15&gt;=IM$24,IK15&lt;&gt;""),AND(JC15&gt;=JI$24,JC15&lt;&gt;""),AND(JG15&gt;=JI$24,JG15&lt;&gt;""),AND(JY15&gt;=KE$24,JY15&lt;&gt;""),AND(KC15&gt;=KE$24,KC15&lt;&gt;""),AND(KU15&gt;=LA$24,KU15&lt;&gt;""),AND(KY15&gt;=LA$24,KY15&lt;&gt;""),AND(LQ15&gt;=LW$24,LQ15&lt;&gt;""),AND(LU15&gt;=LW$24,LU15&lt;&gt;""),AND(MM15&gt;=MS$24,MM15&lt;&gt;""),AND(MQ15&gt;=MS$24,MQ15&lt;&gt;""),AND(NI15&gt;=NO$24,NI15&lt;&gt;""),AND(NM15&gt;=NO$24,NM15&lt;&gt;"")),"Worlds Team",IF(OR(AND(AR15&gt;=AY$23,AR15&lt;&gt;"",AP15=""),AND(AT15&gt;=AY$23,AT15&lt;&gt;"",AP15=""),AND(AW15&gt;=AY$23,AW15&lt;&gt;"",AP15=""),AND(BV15&gt;=CC$23,BV15&lt;&gt;"",BT15=""),AND(BX15&gt;=CC$23,BX15&lt;&gt;"",BT15=""),AND(CA15&gt;=CC$23,CA15&lt;&gt;"",BT15=""),AND(CZ15&gt;=DG$23,CZ15&lt;&gt;"",CX15=""),AND(DB15&gt;=DG$23,DB15&lt;&gt;"",CX15=""),AND(DE15&gt;=DG$23,DE15&lt;&gt;"",CX15=""),AND(EA15&gt;=EG$23,EA15&lt;&gt;""),AND(EE15&gt;=EG$23,EE15&lt;&gt;""),AND(EW15&gt;=FC$23,EW15&lt;&gt;""),AND(FA15&gt;=FC$23,FA15&lt;&gt;""),AND(FS15&gt;=FY$23,FS15&lt;&gt;""),AND(FW15&gt;=FY$23,FW15&lt;&gt;""),AND(GO15&gt;=GU$23,GO15&lt;&gt;""),AND(GS15&gt;=GU$23,GS15&lt;&gt;""),AND(HK15&gt;=HQ$23,HK15&lt;&gt;""),AND(HO15&gt;=HQ$23,HO15&lt;&gt;""),AND(IG15&gt;=IM$23,IG15&lt;&gt;""),AND(IK15&gt;=IM$23,IK15&lt;&gt;""),AND(JC15&gt;=JI$23,JC15&lt;&gt;""),AND(JG15&gt;=JI$23,JG15&lt;&gt;""),AND(JY15&gt;=KE$23,JY15&lt;&gt;""),AND(KC15&gt;=KE$23,KC15&lt;&gt;""),AND(KU15&gt;=LA$23,KU15&lt;&gt;""),AND(KY15&gt;=LA$23,KY15&lt;&gt;""),AND(LQ15&gt;=LW$23,LQ15&lt;&gt;""),AND(LU15&gt;=LW$23,LU15&lt;&gt;""),AND(MM15&gt;=MS$23,MM15&lt;&gt;""),AND(MQ15&gt;=MS$23,MQ15&lt;&gt;""),AND(NI15&gt;=NO$23,NI15&lt;&gt;""),AND(NM15&gt;=NO$23,NM15&lt;&gt;"")),"National Team",""))))</f>
        <v>National Team</v>
      </c>
      <c r="H15" s="125" t="str">
        <f>IF(OR(AND(AS15&gt;=AY$30,AS15&lt;&gt;"",AP15=""),AND(AU15&gt;=AY$30,AU15&lt;&gt;"",AP15=""),AND(AX15&gt;=AY$30,AX15&lt;&gt;"",AP15=""),AND(BW15&gt;=CC$30,BW15&lt;&gt;"",BT15=""),AND(BY15&gt;=CC$30,BY15&lt;&gt;"",BT15=""),AND(CB15&gt;=CC$30,CB15&lt;&gt;"",BT15=""),AND(DA15&gt;=DG$30,DA15&lt;&gt;"",CX15=""),AND(DC15&gt;=DG$30,DC15&lt;&gt;"",CX15=""),AND(DF15&gt;=DG$30,DF15&lt;&gt;"",CX15=""),AND(EC15&gt;=EG$30,EC15&lt;&gt;""),AND(EF15&gt;=EG$30,EF15&lt;&gt;""),AND(EY15&gt;=FC$30,EY15&lt;&gt;""),AND(FB15&gt;=FC$30,FB15&lt;&gt;""),AND(FU15&gt;=FY$30,FU15&lt;&gt;""),AND(FX15&gt;=FY$30,FX15&lt;&gt;""),AND(GQ15&gt;=GU$30,GQ15&lt;&gt;""),AND(GT15&gt;=GU$30,GT15&lt;&gt;""),AND(HM15&gt;=HQ$30,HM15&lt;&gt;""),AND(HP15&gt;=HQ$30,HP15&lt;&gt;""),AND(II15&gt;=IM$30,II15&lt;&gt;""),AND(IL15&gt;=IM$30,IL15&lt;&gt;""),AND(JE15&gt;=JI$30,JE15&lt;&gt;""),AND(JH15&gt;=JI$30,JH15&lt;&gt;""),AND(KA15&gt;=KE$30,KA15&lt;&gt;""),AND(KD15&gt;=KE$30,KD15&lt;&gt;""),AND(KW15&gt;=LA$30,KW15&lt;&gt;""),AND(KZ15&gt;=LA$30,KZ15&lt;&gt;""),AND(LS15&gt;=LW$30,LS15&lt;&gt;""),AND(LV15&gt;=LW$30,LV15&lt;&gt;""),AND(MO15&gt;=MS$30,MO15&lt;&gt;""),AND(MR15&gt;=MS$30,MR15&lt;&gt;""),AND(NK15&gt;=NO$30,NK15&lt;&gt;""),AND(NN15&gt;=NO$30,NN15&lt;&gt;"")),"Merit",IF(OR(AND(AS15&gt;=AY$29,AS15&lt;&gt;"",AP15=""),AND(AU15&gt;=AY$29,AU15&lt;&gt;"",AP15=""),AND(AX15&gt;=AY$29,AX15&lt;&gt;"",AP15=""),AND(BW15&gt;=CC$29,BW15&lt;&gt;"",BT15=""),AND(BY15&gt;=CC$29,BY15&lt;&gt;"",BT15=""),AND(CB15&gt;=CC$29,CB15&lt;&gt;"",BT15=""),AND(DA15&gt;=DG$29,DA15&lt;&gt;"",CX15=""),AND(DC15&gt;=DG$29,DC15&lt;&gt;"",CX15=""),AND(DF15&gt;=DG$29,DF15&lt;&gt;"",CX15=""),AND(EC15&gt;=EG$29,EC15&lt;&gt;""),AND(EF15&gt;=EG$29,EF15&lt;&gt;""),AND(EY15&gt;=FC$29,EY15&lt;&gt;""),AND(FB15&gt;=FC$29,FB15&lt;&gt;""),AND(FU15&gt;=FY$29,FU15&lt;&gt;""),AND(FX15&gt;=FY$29,FX15&lt;&gt;""),AND(GQ15&gt;=GU$29,GQ15&lt;&gt;""),AND(GT15&gt;=GU$29,GT15&lt;&gt;""),AND(HM15&gt;=HQ$29,HM15&lt;&gt;""),AND(HP15&gt;=HQ$29,HP15&lt;&gt;""),AND(II15&gt;=IM$29,II15&lt;&gt;""),AND(IL15&gt;=IM$29,IL15&lt;&gt;""),AND(JE15&gt;=JI$29,JE15&lt;&gt;""),AND(JH15&gt;=JI$29,JH15&lt;&gt;""),AND(KA15&gt;=KE$29,KA15&lt;&gt;""),AND(KD15&gt;=KE$29,KD15&lt;&gt;""),AND(KW15&gt;=LA$29,KW15&lt;&gt;""),AND(KZ15&gt;=LA$29,KZ15&lt;&gt;""),AND(LS15&gt;=LW$29,LS15&lt;&gt;""),AND(LV15&gt;=LW$29,LV15&lt;&gt;""),AND(MO15&gt;=MS$29,MO15&lt;&gt;""),AND(MR15&gt;=MS$29,MR15&lt;&gt;""),AND(NK15&gt;=NO$29,NK15&lt;&gt;""),AND(NN15&gt;=NO$29,NN15&lt;&gt;"")),"Excellence",IF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"Worlds Team",IF(OR(AND(AV15&gt;=AY$27,AV15&lt;&gt;"",AP15=""),AND(BZ15&gt;=CC$27,BZ15&lt;&gt;"",BT15=""),AND(DD15&gt;=DG$27,DD15&lt;&gt;"",CX15=""),AND(ED15&gt;=EG$27,ED15&lt;&gt;""),AND(EZ15&gt;=FC$27,EZ15&lt;&gt;""),AND(FV15&gt;=FY$27,FV15&lt;&gt;""),AND(GR15&gt;=GU$27,GR15&lt;&gt;""),AND(HN15&gt;=HQ$27,HN15&lt;&gt;""),AND(IJ15&gt;=IM$27,IJ15&lt;&gt;""),AND(JF15&gt;=JI$27,JF15&lt;&gt;""),AND(KB15&gt;=KE$27,KB15&lt;&gt;""),AND(KX15&gt;=LA$27,KX15&lt;&gt;""),AND(LT15&gt;=LW$27,LT15&lt;&gt;""),AND(MP15&gt;=MS$27,MP15&lt;&gt;""),AND(NL15&gt;=NO$27,NL15&lt;&gt;"")),"National Team",""))))</f>
        <v/>
      </c>
      <c r="I15" s="126" t="str">
        <f>IF(AND(G15="Merit",H15="Merit"),"Merit",IF(AND(OR(G15="Merit",G15="Excellence"),OR(H15="Merit",H15="Excellence")),"Excellence",IF(AND(OR(G15="Merit",G15="Excellence",G15="Worlds Team"),OR(H15="Merit",H15="Excellence",H15="Worlds Team")),"Worlds Team",IF(AND(OR(G15="Merit",G15="Excellence",G15="Worlds Team",G15="National Team"),OR(H15="Merit",H15="Excellence",H15="Worlds Team",H15="National Team")),"National Team",IF(OR(H15="Merit",H15="Excellence",H15="Worlds Team",H15="National Team"),"No DD","")))))</f>
        <v/>
      </c>
      <c r="J15" s="3" t="str">
        <f>IF(AND(OR(AND(AV15&gt;=AY$28,AV15&lt;&gt;"",AP15=""),AND(BZ15&gt;=CC$28,BZ15&lt;&gt;"",BT15=""),AND(DD15&gt;=DG$28,DD15&lt;&gt;"",CX15=""),AND(ED15&gt;=EG$28,ED15&lt;&gt;""),AND(EZ15&gt;=FC$28,EZ15&lt;&gt;""),AND(FV15&gt;=FY$28,FV15&lt;&gt;""),AND(GR15&gt;=GU$28,GR15&lt;&gt;""),AND(HN15&gt;=HQ$28,HN15&lt;&gt;""),AND(IJ15&gt;=IM$28,IJ15&lt;&gt;""),AND(JF15&gt;=JI$28,JF15&lt;&gt;""),AND(KB15&gt;=KE$28,KB15&lt;&gt;""),AND(KX15&gt;=LA$28,KX15&lt;&gt;""),AND(LT15&gt;=LW$28,LT15&lt;&gt;""),AND(MP15&gt;=MS$28,MP15&lt;&gt;""),AND(NL15&gt;=NO$28,NL15&lt;&gt;"")),OR(G15="Worlds Team",G15="Excellence",G15="Merit")),"P","")</f>
        <v/>
      </c>
      <c r="K15" s="14">
        <f>IF(MAX(AV15,BZ15,DD15)&gt;0,MAX(AV15,BZ15,DD15),0)</f>
        <v>88.495000000000005</v>
      </c>
      <c r="L15" s="14" t="str">
        <f>IF(K15=0,"",IF(K15=DD15,$CD$1,IF(K15=BZ15,$AZ$1,IF(K15=AV15,$V$1,""))))</f>
        <v>2021 2nd Virtual Technical Trial</v>
      </c>
      <c r="M15" s="14">
        <f>IF($K15=$AV15,MAX(BU15,CY15),IF($K15=$BZ15,MAX(AQ15,CY15),IF($K15=$DD15,MAX(AQ15,BU15),MAX(AQ15,BU15,CY15))))</f>
        <v>47.025000000000006</v>
      </c>
      <c r="N15" s="14" t="str">
        <f>IF(M15=0,"",IF(AND(M15=CY15,$L15&lt;&gt;$CD$1),$CD$1,IF(AND(M15=BU15,$L15&lt;&gt;$AZ$1),$AZ$1,IF(AND(M15=AQ15,$L15&lt;&gt;$V$1),$V$1,""))))</f>
        <v>2021 Elite Canada</v>
      </c>
      <c r="O15" s="14">
        <f>IF(K15-N(AQ15)=AS15,MAX(AU15,BW15,BY15,DA15,DC15),IF(K15-N(AQ15)=AU15,MAX(AS15,BW15,BY15,DA15,DC15),IF(K15-N(BU15)=BW15,MAX(AS15,AU15,BY15,DA15,DC15),IF(K15-N(BU15)=BY15,MAX(AS15,AU15,BW15,DA15,DC15),IF(K15-N(CY15)=DA15,MAX(AS15,AU15,BW15,BY15,DC15),IF(K15-N(CY15)=DC15,MAX(AS15,AU15,BW15,BY15,DA15),MAX(AS15,AU15,BW15,BY15,DA15,DC15)))))))</f>
        <v>51.854999999999997</v>
      </c>
      <c r="P15" s="14" t="str">
        <f>IF(O15=0,"",IF(OR(O15=DC15,O15=DA15),$CD$1,IF(OR(O15=BY15,O15=BW15),$AZ$1,IF(OR(O15=AU15,O15=AS15),$V$1,""))))</f>
        <v>2021 2nd Virtual Technical Trial</v>
      </c>
      <c r="Q15" s="14">
        <f>MAX(AX15,CB15,DF15)</f>
        <v>54.325000000000003</v>
      </c>
      <c r="R15" s="14" t="str">
        <f>IF(Q15=0,"",IF(Q15=DF15,$CD$1,IF(Q15=CB15,$AZ$1,IF(Q15=AX15,$V$1,""))))</f>
        <v>2021 2nd Virtual Technical Trial</v>
      </c>
      <c r="S15" s="14" t="str">
        <f>IF(MAX(DH15,DI15,DJ15,DK15)&gt;0,MAX(DH15,DI15,DJ15,DK15),"")</f>
        <v/>
      </c>
      <c r="T15" s="25" t="str">
        <f>IF(S15="","",IF(S15=DH15,"(Vol 1)",IF(S15=DI15,"(Vol 2)",IF(S15=DJ15,"(Prelim)",IF(S15=DK15,"(Final)")))))</f>
        <v/>
      </c>
      <c r="U15" s="14" t="str">
        <f>IF(S15="","",IF(S15=DH15,IF(S15+IF(M15="",0,M15)=NJ15,$MT$1,IF(S15+IF(M15="",0,M15)=MN15,$LX$1,IF(S15+IF(M15="",0,M15)=LR15,$LB$1,IF(S15+IF(M15="",0,M15)=KV15,$KF$1,IF(S15+IF(M15="",0,M15)=JZ15,$JJ$1,IF(S15+IF(M15="",0,M15)=JD15,$IN$1,IF(S15+IF(M15="",0,M15)=IH15,$HR$1,IF(S15+IF(M15="",0,M15)=HL15,$GV$1,IF(S15+IF(M15="",0,M15)=GP15,$FZ$1,IF(S15+IF(M15="",0,M15)=FT15,$FD$1,IF(S15+IF(M15="",0,M15)=EX15,$EH$1,IF(S15+IF(M15="",0,M15)=EB15,$DL$1)))))))))))),IF(S15=DI15,IF(S15+IF(O15="",0,O15)=NK15,$MT$1,IF(S15+IF(O15="",0,O15)=MO15,$LX$1,IF(S15+IF(O15="",0,O15)=LS15,$LB$1,IF(S15+IF(O15="",0,O15)=KW15,$KF$1,IF(S15+IF(O15="",0,O15)=KA15,$JJ$1,IF(S15+IF(O15="",0,O15)=JE15,$IN$1,IF(S15+IF(O15="",0,O15)=II15,$HR$1,IF(S15+IF(O15="",0,O15)=HM15,$GV$1,IF(S15+IF(O15="",0,O15)=GQ15,$FZ$1,IF(S15+IF(O15="",0,O15)=FU15,$FD$1,IF(S15+IF(O15="",0,O15)=EY15,$EH$1,IF(S15+IF(O15="",0,O15)=EC15,$DL$1)))))))))))),IF(S15=DJ15,IF(S15+IF(K15="",0,K15)=NL15,$MT$1,IF(S15+IF(K15="",0,K15)=MP15,$LX$1,IF(S15+IF(K15="",0,K15)=LT15,$LB$1,IF(S15+IF(K15="",0,K15)=KX15,$KF$1,IF(S15+IF(K15="",0,K15)=KB15,$JJ$1,IF(S15+IF(K15="",0,K15)=JF15,$IN$1,IF(S15+IF(K15="",0,K15)=IJ15,$HR$1,IF(S15+IF(K15="",0,K15)=HN15,$GV$1,IF(S15+IF(K15="",0,K15)=GR15,$FZ$1,IF(S15+IF(K15="",0,K15)=FV15,$FD$1,IF(S15+IF(K15="",0,K15)=EZ15,$EH$1,IF(S15+IF(K15="",0,K15)=ED15,$DL$1)))))))))))),IF(S15=DK15,IF(S15+IF(Q15="",0,Q15)=NN15,$MT$1,IF(S15+IF(Q15="",0,Q15)=MR15,$LX$1,IF(S15+IF(Q15="",0,Q15)=LV15,$LB$1,IF(S15+IF(Q15="",0,Q15)=KZ15,$KF$1,IF(S15+IF(Q15="",0,Q15)=KD15,$JJ$1,IF(S15+IF(Q15="",0,Q15)=JH15,$IN$1,IF(S15+IF(Q15="",0,Q15)=IL15,$HR$1,IF(S15+IF(Q15="",0,Q15)=HP15,$GV$1,IF(S15+IF(Q15="",0,Q15)=GT15,$FZ$1,IF(S15+IF(Q15="",0,Q15)=FX15,$FD$1,IF(S15+IF(Q15="",0,Q15)=FB15,$EH$1,IF(S15+IF(Q15="",0,Q15)=EF15,$DL$1)))))))))))))))))</f>
        <v/>
      </c>
      <c r="V15" s="69">
        <v>13</v>
      </c>
      <c r="W15" s="69">
        <v>6.8</v>
      </c>
      <c r="X15" s="69">
        <v>2.1</v>
      </c>
      <c r="Y15" s="69">
        <v>13.39</v>
      </c>
      <c r="Z15" s="69">
        <v>0</v>
      </c>
      <c r="AA15" s="69">
        <v>14</v>
      </c>
      <c r="AB15" s="69">
        <v>8.9</v>
      </c>
      <c r="AC15" s="69">
        <v>15</v>
      </c>
      <c r="AD15" s="69">
        <v>15.305</v>
      </c>
      <c r="AE15" s="69">
        <v>0</v>
      </c>
      <c r="AF15" s="69">
        <v>12.2</v>
      </c>
      <c r="AG15" s="69">
        <v>9.1999999999999993</v>
      </c>
      <c r="AH15" s="69">
        <v>15</v>
      </c>
      <c r="AI15" s="69">
        <v>15.455</v>
      </c>
      <c r="AJ15" s="69">
        <v>0</v>
      </c>
      <c r="AK15" s="69">
        <v>15.2</v>
      </c>
      <c r="AL15" s="69">
        <v>9.3000000000000007</v>
      </c>
      <c r="AM15" s="69">
        <v>14.4</v>
      </c>
      <c r="AN15" s="69">
        <v>15.425000000000001</v>
      </c>
      <c r="AO15" s="69">
        <v>0</v>
      </c>
      <c r="AP15" s="80"/>
      <c r="AQ15" s="11">
        <f>IF(SUM(V15:Y15)-Z15&gt;0,SUM(V15:Y15)-Z15,"")</f>
        <v>35.290000000000006</v>
      </c>
      <c r="AR15" s="11">
        <f>IF(AC15&gt;0,AC15,"")</f>
        <v>15</v>
      </c>
      <c r="AS15" s="11">
        <f>IF(SUM(AA15:AD15)-AE15&gt;0,SUM(AA15:AD15)-AE15,"")</f>
        <v>53.204999999999998</v>
      </c>
      <c r="AT15" s="11">
        <f>IF(AH15&gt;0,AH15,"")</f>
        <v>15</v>
      </c>
      <c r="AU15" s="11">
        <f>IF(SUM(AF15:AI15)-AJ15&gt;0,SUM(AF15:AI15)-AJ15,"")</f>
        <v>51.854999999999997</v>
      </c>
      <c r="AV15" s="11">
        <f>IF(AQ15="",IF(MAX(AS15,AU15)&gt;0,MAX(AS15,AU15),""),MAX(AS15,AU15)+AQ15)</f>
        <v>88.495000000000005</v>
      </c>
      <c r="AW15" s="11">
        <f>IF(AM15&gt;0,AM15,"")</f>
        <v>14.4</v>
      </c>
      <c r="AX15" s="11">
        <f>IF(SUM(AK15:AN15)-AO15&gt;0,SUM(AK15:AN15)-AO15,"")</f>
        <v>54.325000000000003</v>
      </c>
      <c r="AY15" s="11">
        <f>IF(SUM(AV15,AX15)&gt;0,SUM(AV15,AX15),"")</f>
        <v>142.82</v>
      </c>
      <c r="AZ15" s="75">
        <v>16.600000000000001</v>
      </c>
      <c r="BA15" s="75">
        <v>9.1999999999999993</v>
      </c>
      <c r="BB15" s="75">
        <v>5</v>
      </c>
      <c r="BC15" s="75">
        <v>16.225000000000001</v>
      </c>
      <c r="BD15" s="75">
        <v>0</v>
      </c>
      <c r="BE15" s="75">
        <v>5.3</v>
      </c>
      <c r="BF15" s="75">
        <v>3.4</v>
      </c>
      <c r="BG15" s="75">
        <v>6.3</v>
      </c>
      <c r="BH15" s="75">
        <v>6.37</v>
      </c>
      <c r="BI15" s="75">
        <v>0</v>
      </c>
      <c r="BJ15" s="75">
        <v>3.9</v>
      </c>
      <c r="BK15" s="75">
        <v>2.6</v>
      </c>
      <c r="BL15" s="75">
        <v>4.9000000000000004</v>
      </c>
      <c r="BM15" s="75">
        <v>4.835</v>
      </c>
      <c r="BN15" s="75">
        <v>0</v>
      </c>
      <c r="BO15" s="75"/>
      <c r="BP15" s="75"/>
      <c r="BQ15" s="75"/>
      <c r="BR15" s="75"/>
      <c r="BS15" s="75"/>
      <c r="BT15" s="81"/>
      <c r="BU15" s="14">
        <f>IF(SUM(AZ15:BC15)-BD15&gt;0,SUM(AZ15:BC15)-BD15,"")</f>
        <v>47.025000000000006</v>
      </c>
      <c r="BV15" s="14">
        <f>IF(BG15&gt;0,BG15,"")</f>
        <v>6.3</v>
      </c>
      <c r="BW15" s="14">
        <f>IF(SUM(BE15:BH15)-BI15&gt;0,SUM(BE15:BH15)-BI15,"")</f>
        <v>21.37</v>
      </c>
      <c r="BX15" s="14">
        <f>IF(BL15&gt;0,BL15,"")</f>
        <v>4.9000000000000004</v>
      </c>
      <c r="BY15" s="14">
        <f>IF(SUM(BJ15:BM15)-BN15&gt;0,SUM(BJ15:BM15)-BN15,"")</f>
        <v>16.234999999999999</v>
      </c>
      <c r="BZ15" s="14">
        <f>IF(BU15="",IF(MAX(BW15,BY15)&gt;0,MAX(BW15,BY15),""),MAX(BW15,BY15)+BU15)</f>
        <v>68.39500000000001</v>
      </c>
      <c r="CA15" s="14" t="str">
        <f>IF(BQ15&gt;0,BQ15,"")</f>
        <v/>
      </c>
      <c r="CB15" s="14" t="str">
        <f>IF(SUM(BO15:BR15)-BS15&gt;0,SUM(BO15:BR15)-BS15,"")</f>
        <v/>
      </c>
      <c r="CC15" s="14">
        <f>IF(SUM(BZ15,CB15)&gt;0,SUM(BZ15,CB15),"")</f>
        <v>68.39500000000001</v>
      </c>
      <c r="CD15" s="69"/>
      <c r="CE15" s="69"/>
      <c r="CF15" s="69"/>
      <c r="CG15" s="69"/>
      <c r="CH15" s="69"/>
      <c r="CI15" s="69"/>
      <c r="CJ15" s="69"/>
      <c r="CK15" s="69"/>
      <c r="CL15" s="69"/>
      <c r="CM15" s="69"/>
      <c r="CN15" s="69"/>
      <c r="CO15" s="69"/>
      <c r="CP15" s="69"/>
      <c r="CQ15" s="69"/>
      <c r="CR15" s="69"/>
      <c r="CS15" s="69"/>
      <c r="CT15" s="69"/>
      <c r="CU15" s="69"/>
      <c r="CV15" s="69"/>
      <c r="CW15" s="69"/>
      <c r="CX15" s="80"/>
      <c r="CY15" s="11" t="str">
        <f>IF(SUM(CD15:CG15)-CH15&gt;0,SUM(CD15:CG15)-CH15,"")</f>
        <v/>
      </c>
      <c r="CZ15" s="11" t="str">
        <f>IF(CK15&gt;0,CK15,"")</f>
        <v/>
      </c>
      <c r="DA15" s="11" t="str">
        <f>IF(SUM(CI15:CL15)-CM15&gt;0,SUM(CI15:CL15)-CM15,"")</f>
        <v/>
      </c>
      <c r="DB15" s="11" t="str">
        <f>IF(CP15&gt;0,CP15,"")</f>
        <v/>
      </c>
      <c r="DC15" s="11" t="str">
        <f>IF(SUM(CN15:CQ15)-CR15&gt;0,SUM(CN15:CQ15)-CR15,"")</f>
        <v/>
      </c>
      <c r="DD15" s="11" t="str">
        <f>IF(CY15="",IF(MAX(DA15,DC15)&gt;0,MAX(DA15,DC15),""),MAX(DA15,DC15)+CY15)</f>
        <v/>
      </c>
      <c r="DE15" s="11" t="str">
        <f>IF(CU15&gt;0,CU15,"")</f>
        <v/>
      </c>
      <c r="DF15" s="11" t="str">
        <f>IF(SUM(CS15:CV15)-CW15&gt;0,SUM(CS15:CV15)-CW15,"")</f>
        <v/>
      </c>
      <c r="DG15" s="11" t="str">
        <f>IF(SUM(DD15,DF15)&gt;0,SUM(DD15,DF15),"")</f>
        <v/>
      </c>
      <c r="DH15" s="24" t="str">
        <f>IF(MAX(EB15,EX15,FT15,GP15,HL15,IH15,JD15,JZ15,KV15,LR15,MN15,NJ15)-IF(M15="",0,M15)&gt;0.001,MAX(EB15,EX15,FT15,GP15,HL15,IH15,JD15,JZ15,KV15,LR15,MN15,NJ15)-IF(M15="",0,M15),"")</f>
        <v/>
      </c>
      <c r="DI15" s="24" t="str">
        <f>IF(MAX(EC15,EY15,FU15,GQ15,HM15,II15,JE15,KA15,KW15,LS15,MO15,NK15)-IF(O15="",0,O15)&gt;0.001,MAX(EC15,EY15,FU15,GQ15,HM15,II15,JE15,KA15,KW15,LS15,MO15,NK15)-IF(O15="",0,O15),"")</f>
        <v/>
      </c>
      <c r="DJ15" s="24" t="str">
        <f>IF(MAX(ED15,EZ15,FV15,GR15,HN15,IJ15,JF15,KB15,KX15,LT15,MP15,NL15)-IF(K15="",0,K15)&gt;0.001,MAX(ED15,EZ15,FV15,GR15,HN15,IJ15,JF15,KB15,KX15,LT15,MP15,NL15)-IF(K15="",0,K15),"")</f>
        <v/>
      </c>
      <c r="DK15" s="24" t="str">
        <f>IF(MAX(EF15,FB15,FX15,GT15,HP15,IL15,JH15,KD15,KZ15,LV15,MR15,NN15)-IF(Q15="",0,Q15)&gt;0.001,MAX(EF15,FB15,FX15,GT15,HP15,IL15,JH15,KD15,KZ15,LV15,MR15,NN15)-IF(Q15="",0,Q15),"")</f>
        <v/>
      </c>
      <c r="DL15" s="37"/>
      <c r="DM15" s="37"/>
      <c r="DN15" s="37"/>
      <c r="DO15" s="37"/>
      <c r="DP15" s="37"/>
      <c r="DQ15" s="37"/>
      <c r="DR15" s="37"/>
      <c r="DS15" s="37"/>
      <c r="DT15" s="37"/>
      <c r="DU15" s="37"/>
      <c r="DV15" s="37"/>
      <c r="DW15" s="37"/>
      <c r="DX15" s="37"/>
      <c r="DY15" s="37"/>
      <c r="DZ15" s="37"/>
      <c r="EA15" s="11" t="str">
        <f>IF(DS15&gt;0,DS15,"")</f>
        <v/>
      </c>
      <c r="EB15" s="11" t="str">
        <f>IF(SUM(DL15:DO15)-DP15&gt;0,SUM(DL15:DO15)-DP15,"")</f>
        <v/>
      </c>
      <c r="EC15" s="11" t="str">
        <f>IF(SUM(DQ15:DT15)-DU15&gt;0,SUM(DQ15:DT15)-DU15,"")</f>
        <v/>
      </c>
      <c r="ED15" s="11" t="str">
        <f>IF(SUM(EB15:EC15)&gt;0,SUM(EB15:EC15),"")</f>
        <v/>
      </c>
      <c r="EE15" s="11" t="str">
        <f>IF(DX15&gt;0,DX15,"")</f>
        <v/>
      </c>
      <c r="EF15" s="11" t="str">
        <f>IF(SUM(DV15:DY15)-DZ15&gt;0,SUM(DV15:DY15)-DZ15,"")</f>
        <v/>
      </c>
      <c r="EG15" s="11" t="str">
        <f>IF(SUM(ED15,EF15)&gt;0,SUM(ED15,EF15),"")</f>
        <v/>
      </c>
      <c r="EH15" s="38"/>
      <c r="EI15" s="38"/>
      <c r="EJ15" s="38"/>
      <c r="EK15" s="38"/>
      <c r="EL15" s="38"/>
      <c r="EM15" s="38"/>
      <c r="EN15" s="38"/>
      <c r="EO15" s="38"/>
      <c r="EP15" s="38"/>
      <c r="EQ15" s="38"/>
      <c r="ER15" s="38"/>
      <c r="ES15" s="38"/>
      <c r="ET15" s="38"/>
      <c r="EU15" s="38"/>
      <c r="EV15" s="38"/>
      <c r="EW15" s="14" t="str">
        <f>IF(EO15&gt;0,EO15,"")</f>
        <v/>
      </c>
      <c r="EX15" s="14" t="str">
        <f>IF(SUM(EH15:EK15)-EL15&gt;0,SUM(EH15:EK15)-EL15,"")</f>
        <v/>
      </c>
      <c r="EY15" s="14" t="str">
        <f>IF(SUM(EM15:EP15)-EQ15&gt;0,SUM(EM15:EP15)-EQ15,"")</f>
        <v/>
      </c>
      <c r="EZ15" s="14" t="str">
        <f>IF(SUM(EX15:EY15)&gt;0,SUM(EX15:EY15),"")</f>
        <v/>
      </c>
      <c r="FA15" s="14" t="str">
        <f>IF(ET15&gt;0,ET15,"")</f>
        <v/>
      </c>
      <c r="FB15" s="14" t="str">
        <f>IF(SUM(ER15:EU15)-EV15&gt;0,SUM(ER15:EU15)-EV15,"")</f>
        <v/>
      </c>
      <c r="FC15" s="14" t="str">
        <f>IF(SUM(EZ15,FB15)&gt;0,SUM(EZ15,FB15),"")</f>
        <v/>
      </c>
      <c r="FD15" s="37"/>
      <c r="FE15" s="37"/>
      <c r="FF15" s="37"/>
      <c r="FG15" s="37"/>
      <c r="FH15" s="37"/>
      <c r="FI15" s="37"/>
      <c r="FJ15" s="37"/>
      <c r="FK15" s="37"/>
      <c r="FL15" s="37"/>
      <c r="FM15" s="37"/>
      <c r="FN15" s="37"/>
      <c r="FO15" s="37"/>
      <c r="FP15" s="37"/>
      <c r="FQ15" s="37"/>
      <c r="FR15" s="37"/>
      <c r="FS15" s="11" t="str">
        <f>IF(FK15&gt;0,FK15,"")</f>
        <v/>
      </c>
      <c r="FT15" s="11" t="str">
        <f>IF(SUM(FD15:FG15)-FH15&gt;0,SUM(FD15:FG15)-FH15,"")</f>
        <v/>
      </c>
      <c r="FU15" s="11" t="str">
        <f>IF(SUM(FI15:FL15)-FM15&gt;0,SUM(FI15:FL15)-FM15,"")</f>
        <v/>
      </c>
      <c r="FV15" s="11" t="str">
        <f>IF(SUM(FT15:FU15)&gt;0,SUM(FT15:FU15),"")</f>
        <v/>
      </c>
      <c r="FW15" s="11" t="str">
        <f>IF(FP15&gt;0,FP15,"")</f>
        <v/>
      </c>
      <c r="FX15" s="11" t="str">
        <f>IF(SUM(FN15:FQ15)-FR15&gt;0,SUM(FN15:FQ15)-FR15,"")</f>
        <v/>
      </c>
      <c r="FY15" s="11" t="str">
        <f>IF(SUM(FV15,FX15)&gt;0,SUM(FV15,FX15),"")</f>
        <v/>
      </c>
      <c r="FZ15" s="38"/>
      <c r="GA15" s="38"/>
      <c r="GB15" s="38"/>
      <c r="GC15" s="38"/>
      <c r="GD15" s="38"/>
      <c r="GE15" s="38"/>
      <c r="GF15" s="38"/>
      <c r="GG15" s="38"/>
      <c r="GH15" s="38"/>
      <c r="GI15" s="38"/>
      <c r="GJ15" s="38"/>
      <c r="GK15" s="38"/>
      <c r="GL15" s="38"/>
      <c r="GM15" s="38"/>
      <c r="GN15" s="38"/>
      <c r="GO15" s="14" t="str">
        <f>IF(GG15&gt;0,GG15,"")</f>
        <v/>
      </c>
      <c r="GP15" s="14" t="str">
        <f>IF(SUM(FZ15:GC15)-GD15&gt;0,SUM(FZ15:GC15)-GD15,"")</f>
        <v/>
      </c>
      <c r="GQ15" s="14" t="str">
        <f>IF(SUM(GE15:GH15)-GI15&gt;0,SUM(GE15:GH15)-GI15,"")</f>
        <v/>
      </c>
      <c r="GR15" s="14" t="str">
        <f>IF(SUM(GP15:GQ15)&gt;0,SUM(GP15:GQ15),"")</f>
        <v/>
      </c>
      <c r="GS15" s="14" t="str">
        <f>IF(GL15&gt;0,GL15,"")</f>
        <v/>
      </c>
      <c r="GT15" s="14" t="str">
        <f>IF(SUM(GJ15:GM15)-GN15&gt;0,SUM(GJ15:GM15)-GN15,"")</f>
        <v/>
      </c>
      <c r="GU15" s="14" t="str">
        <f>IF(SUM(GR15,GT15)&gt;0,SUM(GR15,GT15),"")</f>
        <v/>
      </c>
      <c r="GV15" s="37"/>
      <c r="GW15" s="37"/>
      <c r="GX15" s="37"/>
      <c r="GY15" s="37"/>
      <c r="GZ15" s="37"/>
      <c r="HA15" s="37"/>
      <c r="HB15" s="37"/>
      <c r="HC15" s="37"/>
      <c r="HD15" s="37"/>
      <c r="HE15" s="37"/>
      <c r="HF15" s="37"/>
      <c r="HG15" s="37"/>
      <c r="HH15" s="37"/>
      <c r="HI15" s="37"/>
      <c r="HJ15" s="37"/>
      <c r="HK15" s="11" t="str">
        <f>IF(HC15&gt;0,HC15,"")</f>
        <v/>
      </c>
      <c r="HL15" s="11" t="str">
        <f>IF(SUM(GV15:GY15)-GZ15&gt;0,SUM(GV15:GY15)-GZ15,"")</f>
        <v/>
      </c>
      <c r="HM15" s="11" t="str">
        <f>IF(SUM(HA15:HD15)-HE15&gt;0,SUM(HA15:HD15)-HE15,"")</f>
        <v/>
      </c>
      <c r="HN15" s="11" t="str">
        <f>IF(SUM(HL15:HM15)&gt;0,SUM(HL15:HM15),"")</f>
        <v/>
      </c>
      <c r="HO15" s="11" t="str">
        <f>IF(HH15&gt;0,HH15,"")</f>
        <v/>
      </c>
      <c r="HP15" s="11" t="str">
        <f>IF(SUM(HF15:HI15)-HJ15&gt;0,SUM(HF15:HI15)-HJ15,"")</f>
        <v/>
      </c>
      <c r="HQ15" s="11" t="str">
        <f>IF(SUM(HN15,HP15)&gt;0,SUM(HN15,HP15),"")</f>
        <v/>
      </c>
      <c r="HR15" s="38"/>
      <c r="HS15" s="38"/>
      <c r="HT15" s="38"/>
      <c r="HU15" s="38"/>
      <c r="HV15" s="38"/>
      <c r="HW15" s="38"/>
      <c r="HX15" s="38"/>
      <c r="HY15" s="38"/>
      <c r="HZ15" s="38"/>
      <c r="IA15" s="38"/>
      <c r="IB15" s="38"/>
      <c r="IC15" s="38"/>
      <c r="ID15" s="38"/>
      <c r="IE15" s="38"/>
      <c r="IF15" s="38"/>
      <c r="IG15" s="14" t="str">
        <f>IF(HY15&gt;0,HY15,"")</f>
        <v/>
      </c>
      <c r="IH15" s="14" t="str">
        <f>IF(SUM(HR15:HU15)-HV15&gt;0,SUM(HR15:HU15)-HV15,"")</f>
        <v/>
      </c>
      <c r="II15" s="14" t="str">
        <f>IF(SUM(HW15:HZ15)-IA15&gt;0,SUM(HW15:HZ15)-IA15,"")</f>
        <v/>
      </c>
      <c r="IJ15" s="14" t="str">
        <f>IF(SUM(IH15:II15)&gt;0,SUM(IH15:II15),"")</f>
        <v/>
      </c>
      <c r="IK15" s="14" t="str">
        <f>IF(ID15&gt;0,ID15,"")</f>
        <v/>
      </c>
      <c r="IL15" s="14" t="str">
        <f>IF(SUM(IB15:IE15)-IF15&gt;0,SUM(IB15:IE15)-IF15,"")</f>
        <v/>
      </c>
      <c r="IM15" s="14" t="str">
        <f>IF(SUM(IJ15,IL15)&gt;0,SUM(IJ15,IL15),"")</f>
        <v/>
      </c>
      <c r="IN15" s="37"/>
      <c r="IO15" s="37"/>
      <c r="IP15" s="37"/>
      <c r="IQ15" s="37"/>
      <c r="IR15" s="37"/>
      <c r="IS15" s="37"/>
      <c r="IT15" s="37"/>
      <c r="IU15" s="37"/>
      <c r="IV15" s="37"/>
      <c r="IW15" s="37"/>
      <c r="IX15" s="37"/>
      <c r="IY15" s="37"/>
      <c r="IZ15" s="37"/>
      <c r="JA15" s="37"/>
      <c r="JB15" s="37"/>
      <c r="JC15" s="11" t="str">
        <f>IF(IU15&gt;0,IU15,"")</f>
        <v/>
      </c>
      <c r="JD15" s="11" t="str">
        <f>IF(SUM(IN15:IQ15)-IR15&gt;0,SUM(IN15:IQ15)-IR15,"")</f>
        <v/>
      </c>
      <c r="JE15" s="11" t="str">
        <f>IF(SUM(IS15:IV15)-IW15&gt;0,SUM(IS15:IV15)-IW15,"")</f>
        <v/>
      </c>
      <c r="JF15" s="11" t="str">
        <f>IF(SUM(JD15:JE15)&gt;0,SUM(JD15:JE15),"")</f>
        <v/>
      </c>
      <c r="JG15" s="11" t="str">
        <f>IF(IZ15&gt;0,IZ15,"")</f>
        <v/>
      </c>
      <c r="JH15" s="11" t="str">
        <f>IF(SUM(IX15:JA15)-JB15&gt;0,SUM(IX15:JA15)-JB15,"")</f>
        <v/>
      </c>
      <c r="JI15" s="11" t="str">
        <f>IF(SUM(JF15,JH15)&gt;0,SUM(JF15,JH15),"")</f>
        <v/>
      </c>
      <c r="JJ15" s="38"/>
      <c r="JK15" s="38"/>
      <c r="JL15" s="38"/>
      <c r="JM15" s="38"/>
      <c r="JN15" s="38"/>
      <c r="JO15" s="38"/>
      <c r="JP15" s="38"/>
      <c r="JQ15" s="38"/>
      <c r="JR15" s="38"/>
      <c r="JS15" s="38"/>
      <c r="JT15" s="38"/>
      <c r="JU15" s="38"/>
      <c r="JV15" s="38"/>
      <c r="JW15" s="38"/>
      <c r="JX15" s="38"/>
      <c r="JY15" s="14" t="str">
        <f>IF(JQ15&gt;0,JQ15,"")</f>
        <v/>
      </c>
      <c r="JZ15" s="14" t="str">
        <f>IF(SUM(JJ15:JM15)-JN15&gt;0,SUM(JJ15:JM15)-JN15,"")</f>
        <v/>
      </c>
      <c r="KA15" s="14" t="str">
        <f>IF(SUM(JO15:JR15)-JS15&gt;0,SUM(JO15:JR15)-JS15,"")</f>
        <v/>
      </c>
      <c r="KB15" s="14" t="str">
        <f>IF(SUM(JZ15:KA15)&gt;0,SUM(JZ15:KA15),"")</f>
        <v/>
      </c>
      <c r="KC15" s="14" t="str">
        <f>IF(JV15&gt;0,JV15,"")</f>
        <v/>
      </c>
      <c r="KD15" s="14" t="str">
        <f>IF(SUM(JT15:JW15)-JX15&gt;0,SUM(JT15:JW15)-JX15,"")</f>
        <v/>
      </c>
      <c r="KE15" s="14" t="str">
        <f>IF(SUM(KB15,KD15)&gt;0,SUM(KB15,KD15),"")</f>
        <v/>
      </c>
      <c r="KF15" s="37"/>
      <c r="KG15" s="37"/>
      <c r="KH15" s="37"/>
      <c r="KI15" s="37"/>
      <c r="KJ15" s="37"/>
      <c r="KK15" s="37"/>
      <c r="KL15" s="37"/>
      <c r="KM15" s="37"/>
      <c r="KN15" s="37"/>
      <c r="KO15" s="37"/>
      <c r="KP15" s="37"/>
      <c r="KQ15" s="37"/>
      <c r="KR15" s="37"/>
      <c r="KS15" s="37"/>
      <c r="KT15" s="37"/>
      <c r="KU15" s="11" t="str">
        <f>IF(KM15&gt;0,KM15,"")</f>
        <v/>
      </c>
      <c r="KV15" s="11" t="str">
        <f>IF(SUM(KF15:KI15)-KJ15&gt;0,SUM(KF15:KI15)-KJ15,"")</f>
        <v/>
      </c>
      <c r="KW15" s="11" t="str">
        <f>IF(SUM(KK15:KN15)-KO15&gt;0,SUM(KK15:KN15)-KO15,"")</f>
        <v/>
      </c>
      <c r="KX15" s="11" t="str">
        <f>IF(SUM(KV15:KW15)&gt;0,SUM(KV15:KW15),"")</f>
        <v/>
      </c>
      <c r="KY15" s="11" t="str">
        <f>IF(KR15&gt;0,KR15,"")</f>
        <v/>
      </c>
      <c r="KZ15" s="11" t="str">
        <f>IF(SUM(KP15:KS15)-KT15&gt;0,SUM(KP15:KS15)-KT15,"")</f>
        <v/>
      </c>
      <c r="LA15" s="11" t="str">
        <f>IF(SUM(KX15,KZ15)&gt;0,SUM(KX15,KZ15),"")</f>
        <v/>
      </c>
      <c r="LB15" s="38"/>
      <c r="LC15" s="38"/>
      <c r="LD15" s="38"/>
      <c r="LE15" s="38"/>
      <c r="LF15" s="38"/>
      <c r="LG15" s="38"/>
      <c r="LH15" s="38"/>
      <c r="LI15" s="38"/>
      <c r="LJ15" s="38"/>
      <c r="LK15" s="38"/>
      <c r="LL15" s="38"/>
      <c r="LM15" s="38"/>
      <c r="LN15" s="38"/>
      <c r="LO15" s="38"/>
      <c r="LP15" s="38"/>
      <c r="LQ15" s="14" t="str">
        <f>IF(LI15&gt;0,LI15,"")</f>
        <v/>
      </c>
      <c r="LR15" s="14" t="str">
        <f>IF(SUM(LB15:LE15)-LF15&gt;0,SUM(LB15:LE15)-LF15,"")</f>
        <v/>
      </c>
      <c r="LS15" s="14" t="str">
        <f>IF(SUM(LG15:LJ15)-LK15&gt;0,SUM(LG15:LJ15)-LK15,"")</f>
        <v/>
      </c>
      <c r="LT15" s="14" t="str">
        <f>IF(SUM(LR15:LS15)&gt;0,SUM(LR15:LS15),"")</f>
        <v/>
      </c>
      <c r="LU15" s="14" t="str">
        <f>IF(LN15&gt;0,LN15,"")</f>
        <v/>
      </c>
      <c r="LV15" s="14" t="str">
        <f>IF(SUM(LL15:LO15)-LP15&gt;0,SUM(LL15:LO15)-LP15,"")</f>
        <v/>
      </c>
      <c r="LW15" s="14" t="str">
        <f>IF(SUM(LT15,LV15)&gt;0,SUM(LT15,LV15),"")</f>
        <v/>
      </c>
      <c r="LX15" s="37"/>
      <c r="LY15" s="37"/>
      <c r="LZ15" s="37"/>
      <c r="MA15" s="37"/>
      <c r="MB15" s="37"/>
      <c r="MC15" s="37"/>
      <c r="MD15" s="37"/>
      <c r="ME15" s="37"/>
      <c r="MF15" s="37"/>
      <c r="MG15" s="37"/>
      <c r="MH15" s="37"/>
      <c r="MI15" s="37"/>
      <c r="MJ15" s="37"/>
      <c r="MK15" s="37"/>
      <c r="ML15" s="37"/>
      <c r="MM15" s="11" t="str">
        <f>IF(ME15&gt;0,ME15,"")</f>
        <v/>
      </c>
      <c r="MN15" s="11" t="str">
        <f>IF(SUM(LX15:MA15)-MB15&gt;0,SUM(LX15:MA15)-MB15,"")</f>
        <v/>
      </c>
      <c r="MO15" s="11" t="str">
        <f>IF(SUM(MC15:MF15)-MG15&gt;0,SUM(MC15:MF15)-MG15,"")</f>
        <v/>
      </c>
      <c r="MP15" s="11" t="str">
        <f>IF(SUM(MN15:MO15)&gt;0,SUM(MN15:MO15),"")</f>
        <v/>
      </c>
      <c r="MQ15" s="11" t="str">
        <f>IF(MJ15&gt;0,MJ15,"")</f>
        <v/>
      </c>
      <c r="MR15" s="11" t="str">
        <f>IF(SUM(MH15:MK15)-ML15&gt;0,SUM(MH15:MK15)-ML15,"")</f>
        <v/>
      </c>
      <c r="MS15" s="11" t="str">
        <f>IF(SUM(MP15,MR15)&gt;0,SUM(MP15,MR15),"")</f>
        <v/>
      </c>
      <c r="MT15" s="38"/>
      <c r="MU15" s="38"/>
      <c r="MV15" s="38"/>
      <c r="MW15" s="38"/>
      <c r="MX15" s="38"/>
      <c r="MY15" s="38"/>
      <c r="MZ15" s="38"/>
      <c r="NA15" s="38"/>
      <c r="NB15" s="38"/>
      <c r="NC15" s="38"/>
      <c r="ND15" s="38"/>
      <c r="NE15" s="38"/>
      <c r="NF15" s="38"/>
      <c r="NG15" s="38"/>
      <c r="NH15" s="38"/>
      <c r="NI15" s="14" t="str">
        <f>IF(NA15&gt;0,NA15,"")</f>
        <v/>
      </c>
      <c r="NJ15" s="14" t="str">
        <f>IF(SUM(MT15:MW15)-MX15&gt;0,SUM(MT15:MW15)-MX15,"")</f>
        <v/>
      </c>
      <c r="NK15" s="14" t="str">
        <f>IF(SUM(MY15:NB15)-NC15&gt;0,SUM(MY15:NB15)-NC15,"")</f>
        <v/>
      </c>
      <c r="NL15" s="14" t="str">
        <f>IF(SUM(NJ15:NK15)&gt;0,SUM(NJ15:NK15),"")</f>
        <v/>
      </c>
      <c r="NM15" s="14" t="str">
        <f>IF(NF15&gt;0,NF15,"")</f>
        <v/>
      </c>
      <c r="NN15" s="14" t="str">
        <f>IF(SUM(ND15:NG15)-NH15&gt;0,SUM(ND15:NG15)-NH15,"")</f>
        <v/>
      </c>
      <c r="NO15" s="14" t="str">
        <f>IF(SUM(NL15,NN15)&gt;0,SUM(NL15,NN15),"")</f>
        <v/>
      </c>
      <c r="NP15" s="69">
        <f>IF($CX15="P",CD15,(CD15+AZ15)/2)</f>
        <v>8.3000000000000007</v>
      </c>
      <c r="NQ15" s="69">
        <f>IF($CX15="P",CE15,(CE15+BA15)/2)</f>
        <v>4.5999999999999996</v>
      </c>
      <c r="NR15" s="69">
        <f>IF($CX15="P",CF15,(CF15+BB15)/2)</f>
        <v>2.5</v>
      </c>
      <c r="NS15" s="69">
        <f>IF($CX15="P",CG15,(CG15+BC15)/2)</f>
        <v>8.1125000000000007</v>
      </c>
      <c r="NT15" s="69">
        <f>IF($CX15="P",CH15,(CH15+BD15)/2)</f>
        <v>0</v>
      </c>
      <c r="NU15" s="69">
        <f>IF($CX15="P",CI15,(CI15+BE15)/2)</f>
        <v>2.65</v>
      </c>
      <c r="NV15" s="69">
        <f>IF($CX15="P",CJ15,(CJ15+BF15)/2)</f>
        <v>1.7</v>
      </c>
      <c r="NW15" s="69">
        <f>IF($CX15="P",CK15,(CK15+BG15)/2)</f>
        <v>3.15</v>
      </c>
      <c r="NX15" s="69">
        <f>IF($CX15="P",CL15,(CL15+BH15)/2)</f>
        <v>3.1850000000000001</v>
      </c>
      <c r="NY15" s="69">
        <f>IF($CX15="P",CM15,(CM15+BI15)/2)</f>
        <v>0</v>
      </c>
      <c r="NZ15" s="69">
        <f>IF($CX15="P",CN15,(CN15+BJ15)/2)</f>
        <v>1.95</v>
      </c>
      <c r="OA15" s="69">
        <f>IF($CX15="P",CO15,(CO15+BK15)/2)</f>
        <v>1.3</v>
      </c>
      <c r="OB15" s="69">
        <f>IF($CX15="P",CP15,(CP15+BL15)/2)</f>
        <v>2.4500000000000002</v>
      </c>
      <c r="OC15" s="69">
        <f>IF($CX15="P",CQ15,(CQ15+BM15)/2)</f>
        <v>2.4175</v>
      </c>
      <c r="OD15" s="69">
        <f>IF($CX15="P",CR15,(CR15+BN15)/2)</f>
        <v>0</v>
      </c>
      <c r="OE15" s="69">
        <f>IF($CX15="P",CS15,(CS15+BO15)/2)</f>
        <v>0</v>
      </c>
      <c r="OF15" s="69">
        <f>IF($CX15="P",CT15,(CT15+BP15)/2)</f>
        <v>0</v>
      </c>
      <c r="OG15" s="69">
        <f>IF($CX15="P",CU15,(CU15+BQ15)/2)</f>
        <v>0</v>
      </c>
      <c r="OH15" s="69">
        <f>IF($CX15="P",CV15,(CV15+BR15)/2)</f>
        <v>0</v>
      </c>
      <c r="OI15" s="69">
        <f>IF($CX15="P",CW15,(CW15+BS15)/2)</f>
        <v>0</v>
      </c>
      <c r="OJ15" s="80" t="s">
        <v>74</v>
      </c>
      <c r="OK15" s="11">
        <f>IF(SUM(NP15:NS15)-NT15&gt;0,SUM(NP15:NS15)-NT15,"")</f>
        <v>23.512500000000003</v>
      </c>
      <c r="OL15" s="11">
        <f>IF(NW15&gt;0,NW15,"")</f>
        <v>3.15</v>
      </c>
      <c r="OM15" s="11">
        <f>IF(SUM(NU15:NX15)-NY15&gt;0,SUM(NU15:NX15)-NY15,"")</f>
        <v>10.685</v>
      </c>
      <c r="ON15" s="11">
        <f>IF(OB15&gt;0,OB15,"")</f>
        <v>2.4500000000000002</v>
      </c>
      <c r="OO15" s="11">
        <f>IF(SUM(NZ15:OC15)-OD15&gt;0,SUM(NZ15:OC15)-OD15,"")</f>
        <v>8.1174999999999997</v>
      </c>
      <c r="OP15" s="11">
        <f>IF(OR(OK15&lt;&gt;"",OM15&lt;&gt;"",OO15&lt;&gt;""),OK15+MAX(OM15,OO15),"")</f>
        <v>34.197500000000005</v>
      </c>
      <c r="OQ15" s="11" t="str">
        <f>IF(OG15&gt;0,OG15,"")</f>
        <v/>
      </c>
      <c r="OR15" s="11" t="str">
        <f t="shared" si="0"/>
        <v/>
      </c>
      <c r="OS15" s="11">
        <f t="shared" si="1"/>
        <v>34.197500000000005</v>
      </c>
    </row>
    <row r="16" spans="1:409" x14ac:dyDescent="0.2">
      <c r="A16" s="5" t="str" cm="1">
        <f t="array" ref="A16">IF(AND(G16&lt;&gt;"",H16&lt;&gt;""),SUMPRODUCT((G$4:G$21&lt;&gt;"")*(H$4:H$21&lt;&gt;"")*(E$4:E$21&gt;E16))+1,IF(H16&lt;&gt;"",SUMPRODUCT((I$4:I$21="No DD")*(E$4:E$21&gt;E16))+1+SUMPRODUCT((G$4:G$21&lt;&gt;"")*(H$4:H$21&lt;&gt;"")),""))</f>
        <v/>
      </c>
      <c r="B16" s="6" t="s">
        <v>46</v>
      </c>
      <c r="C16" s="7" t="s">
        <v>9</v>
      </c>
      <c r="D16" s="27">
        <v>1998</v>
      </c>
      <c r="E16" s="15">
        <f>SUM(K16:S16)</f>
        <v>252.02500000000003</v>
      </c>
      <c r="F16" s="3" t="str">
        <f>IF(G16&lt;&gt;"","P","")</f>
        <v/>
      </c>
      <c r="G16" s="125" t="str">
        <f>IF(OR(AND(AR16&gt;=AY$26,AR16&lt;&gt;"",AP16=""),AND(AT16&gt;=AY$26,AT16&lt;&gt;"",AP16=""),AND(AW16&gt;=AY$26,AW16&lt;&gt;"",AP16=""),AND(BV16&gt;=CC$26,BV16&lt;&gt;"",BT16=""),AND(BX16&gt;=CC$26,BX16&lt;&gt;"",BT16=""),AND(CA16&gt;=CC$26,CA16&lt;&gt;"",BT16=""),AND(CZ16&gt;=DG$26,CZ16&lt;&gt;"",CX16=""),AND(DB16&gt;=DG$26,DB16&lt;&gt;"",CX16=""),AND(DE16&gt;=DG$26,DE16&lt;&gt;"",CX16=""),AND(EA16&gt;=EG$26,EA16&lt;&gt;""),AND(EE16&gt;=EG$26,EE16&lt;&gt;""),AND(EW16&gt;=FC$26,EW16&lt;&gt;""),AND(FA16&gt;=FC$26,FA16&lt;&gt;""),AND(FS16&gt;=FY$26,FS16&lt;&gt;""),AND(FW16&gt;=FY$26,FW16&lt;&gt;""),AND(GO16&gt;=GU$26,GO16&lt;&gt;""),AND(GS16&gt;=GU$26,GS16&lt;&gt;""),AND(HK16&gt;=HQ$26,HK16&lt;&gt;""),AND(HO16&gt;=HQ$26,HO16&lt;&gt;""),AND(IG16&gt;=IM$26,IG16&lt;&gt;""),AND(IK16&gt;=IM$26,IK16&lt;&gt;""),AND(JC16&gt;=JI$26,JC16&lt;&gt;""),AND(JG16&gt;=JI$26,JG16&lt;&gt;""),AND(JY16&gt;=KE$26,JY16&lt;&gt;""),AND(KC16&gt;=KE$26,KC16&lt;&gt;""),AND(KU16&gt;=LA$26,KU16&lt;&gt;""),AND(KY16&gt;=LA$26,KY16&lt;&gt;""),AND(LQ16&gt;=LW$26,LQ16&lt;&gt;""),AND(LU16&gt;=LW$26,LU16&lt;&gt;""),AND(MM16&gt;=MS$26,MM16&lt;&gt;""),AND(MQ16&gt;=MS$26,MQ16&lt;&gt;""),AND(NI16&gt;=NO$26,NI16&lt;&gt;""),AND(NM16&gt;=NO$26,NM16&lt;&gt;"")),"Merit",IF(OR(AND(AR16&gt;=AY$25,AR16&lt;&gt;"",AP16=""),AND(AT16&gt;=AY$25,AT16&lt;&gt;"",AP16=""),AND(AW16&gt;=AY$25,AW16&lt;&gt;"",AP16=""),AND(BV16&gt;=CC$25,BV16&lt;&gt;"",BT16=""),AND(BX16&gt;=CC$25,BX16&lt;&gt;"",BT16=""),AND(CA16&gt;=CC$25,CA16&lt;&gt;"",BT16=""),AND(CZ16&gt;=DG$25,CZ16&lt;&gt;"",CX16=""),AND(DB16&gt;=DG$25,DB16&lt;&gt;"",CX16=""),AND(DE16&gt;=DG$25,DE16&lt;&gt;"",CX16=""),AND(EA16&gt;=EG$25,EA16&lt;&gt;""),AND(EE16&gt;=EG$25,EE16&lt;&gt;""),AND(EW16&gt;=FC$25,EW16&lt;&gt;""),AND(FA16&gt;=FC$25,FA16&lt;&gt;""),AND(FS16&gt;=FY$25,FS16&lt;&gt;""),AND(FW16&gt;=FY$25,FW16&lt;&gt;""),AND(GO16&gt;=GU$25,GO16&lt;&gt;""),AND(GS16&gt;=GU$25,GS16&lt;&gt;""),AND(HK16&gt;=HQ$25,HK16&lt;&gt;""),AND(HO16&gt;=HQ$25,HO16&lt;&gt;""),AND(IG16&gt;=IM$25,IG16&lt;&gt;""),AND(IK16&gt;=IM$25,IK16&lt;&gt;""),AND(JC16&gt;=JI$25,JC16&lt;&gt;""),AND(JG16&gt;=JI$25,JG16&lt;&gt;""),AND(JY16&gt;=KE$25,JY16&lt;&gt;""),AND(KC16&gt;=KE$25,KC16&lt;&gt;""),AND(KU16&gt;=LA$25,KU16&lt;&gt;""),AND(KY16&gt;=LA$25,KY16&lt;&gt;""),AND(LQ16&gt;=LW$25,LQ16&lt;&gt;""),AND(LU16&gt;=LW$25,LU16&lt;&gt;""),AND(MM16&gt;=MS$25,MM16&lt;&gt;""),AND(MQ16&gt;=MS$25,MQ16&lt;&gt;""),AND(NI16&gt;=NO$25,NI16&lt;&gt;""),AND(NM16&gt;=NO$25,NM16&lt;&gt;"")),"Excellence",IF(OR(AND(AR16&gt;=AY$24,AR16&lt;&gt;"",AP16=""),AND(AT16&gt;=AY$24,AT16&lt;&gt;"",AP16=""),AND(AW16&gt;=AY$24,AW16&lt;&gt;"",AP16=""),AND(BV16&gt;=CC$24,BV16&lt;&gt;"",BT16=""),AND(BX16&gt;=CC$24,BX16&lt;&gt;"",BT16=""),AND(CA16&gt;=CC$24,CA16&lt;&gt;"",BT16=""),AND(CZ16&gt;=DG$24,CZ16&lt;&gt;"",CX16=""),AND(DB16&gt;=DG$24,DB16&lt;&gt;"",CX16=""),AND(DE16&gt;=DG$24,DE16&lt;&gt;"",CX16=""),AND(EA16&gt;=EG$24,EA16&lt;&gt;""),AND(EE16&gt;=EG$24,EE16&lt;&gt;""),AND(EW16&gt;=FC$24,EW16&lt;&gt;""),AND(FA16&gt;=FC$24,FA16&lt;&gt;""),AND(FS16&gt;=FY$24,FS16&lt;&gt;""),AND(FW16&gt;=FY$24,FW16&lt;&gt;""),AND(GO16&gt;=GU$24,GO16&lt;&gt;""),AND(GS16&gt;=GU$24,GS16&lt;&gt;""),AND(HK16&gt;=HQ$24,HK16&lt;&gt;""),AND(HO16&gt;=HQ$24,HO16&lt;&gt;""),AND(IG16&gt;=IM$24,IG16&lt;&gt;""),AND(IK16&gt;=IM$24,IK16&lt;&gt;""),AND(JC16&gt;=JI$24,JC16&lt;&gt;""),AND(JG16&gt;=JI$24,JG16&lt;&gt;""),AND(JY16&gt;=KE$24,JY16&lt;&gt;""),AND(KC16&gt;=KE$24,KC16&lt;&gt;""),AND(KU16&gt;=LA$24,KU16&lt;&gt;""),AND(KY16&gt;=LA$24,KY16&lt;&gt;""),AND(LQ16&gt;=LW$24,LQ16&lt;&gt;""),AND(LU16&gt;=LW$24,LU16&lt;&gt;""),AND(MM16&gt;=MS$24,MM16&lt;&gt;""),AND(MQ16&gt;=MS$24,MQ16&lt;&gt;""),AND(NI16&gt;=NO$24,NI16&lt;&gt;""),AND(NM16&gt;=NO$24,NM16&lt;&gt;"")),"Worlds Team",IF(OR(AND(AR16&gt;=AY$23,AR16&lt;&gt;"",AP16=""),AND(AT16&gt;=AY$23,AT16&lt;&gt;"",AP16=""),AND(AW16&gt;=AY$23,AW16&lt;&gt;"",AP16=""),AND(BV16&gt;=CC$23,BV16&lt;&gt;"",BT16=""),AND(BX16&gt;=CC$23,BX16&lt;&gt;"",BT16=""),AND(CA16&gt;=CC$23,CA16&lt;&gt;"",BT16=""),AND(CZ16&gt;=DG$23,CZ16&lt;&gt;"",CX16=""),AND(DB16&gt;=DG$23,DB16&lt;&gt;"",CX16=""),AND(DE16&gt;=DG$23,DE16&lt;&gt;"",CX16=""),AND(EA16&gt;=EG$23,EA16&lt;&gt;""),AND(EE16&gt;=EG$23,EE16&lt;&gt;""),AND(EW16&gt;=FC$23,EW16&lt;&gt;""),AND(FA16&gt;=FC$23,FA16&lt;&gt;""),AND(FS16&gt;=FY$23,FS16&lt;&gt;""),AND(FW16&gt;=FY$23,FW16&lt;&gt;""),AND(GO16&gt;=GU$23,GO16&lt;&gt;""),AND(GS16&gt;=GU$23,GS16&lt;&gt;""),AND(HK16&gt;=HQ$23,HK16&lt;&gt;""),AND(HO16&gt;=HQ$23,HO16&lt;&gt;""),AND(IG16&gt;=IM$23,IG16&lt;&gt;""),AND(IK16&gt;=IM$23,IK16&lt;&gt;""),AND(JC16&gt;=JI$23,JC16&lt;&gt;""),AND(JG16&gt;=JI$23,JG16&lt;&gt;""),AND(JY16&gt;=KE$23,JY16&lt;&gt;""),AND(KC16&gt;=KE$23,KC16&lt;&gt;""),AND(KU16&gt;=LA$23,KU16&lt;&gt;""),AND(KY16&gt;=LA$23,KY16&lt;&gt;""),AND(LQ16&gt;=LW$23,LQ16&lt;&gt;""),AND(LU16&gt;=LW$23,LU16&lt;&gt;""),AND(MM16&gt;=MS$23,MM16&lt;&gt;""),AND(MQ16&gt;=MS$23,MQ16&lt;&gt;""),AND(NI16&gt;=NO$23,NI16&lt;&gt;""),AND(NM16&gt;=NO$23,NM16&lt;&gt;"")),"National Team",""))))</f>
        <v/>
      </c>
      <c r="H16" s="125" t="str">
        <f>IF(OR(AND(AS16&gt;=AY$30,AS16&lt;&gt;"",AP16=""),AND(AU16&gt;=AY$30,AU16&lt;&gt;"",AP16=""),AND(AX16&gt;=AY$30,AX16&lt;&gt;"",AP16=""),AND(BW16&gt;=CC$30,BW16&lt;&gt;"",BT16=""),AND(BY16&gt;=CC$30,BY16&lt;&gt;"",BT16=""),AND(CB16&gt;=CC$30,CB16&lt;&gt;"",BT16=""),AND(DA16&gt;=DG$30,DA16&lt;&gt;"",CX16=""),AND(DC16&gt;=DG$30,DC16&lt;&gt;"",CX16=""),AND(DF16&gt;=DG$30,DF16&lt;&gt;"",CX16=""),AND(EC16&gt;=EG$30,EC16&lt;&gt;""),AND(EF16&gt;=EG$30,EF16&lt;&gt;""),AND(EY16&gt;=FC$30,EY16&lt;&gt;""),AND(FB16&gt;=FC$30,FB16&lt;&gt;""),AND(FU16&gt;=FY$30,FU16&lt;&gt;""),AND(FX16&gt;=FY$30,FX16&lt;&gt;""),AND(GQ16&gt;=GU$30,GQ16&lt;&gt;""),AND(GT16&gt;=GU$30,GT16&lt;&gt;""),AND(HM16&gt;=HQ$30,HM16&lt;&gt;""),AND(HP16&gt;=HQ$30,HP16&lt;&gt;""),AND(II16&gt;=IM$30,II16&lt;&gt;""),AND(IL16&gt;=IM$30,IL16&lt;&gt;""),AND(JE16&gt;=JI$30,JE16&lt;&gt;""),AND(JH16&gt;=JI$30,JH16&lt;&gt;""),AND(KA16&gt;=KE$30,KA16&lt;&gt;""),AND(KD16&gt;=KE$30,KD16&lt;&gt;""),AND(KW16&gt;=LA$30,KW16&lt;&gt;""),AND(KZ16&gt;=LA$30,KZ16&lt;&gt;""),AND(LS16&gt;=LW$30,LS16&lt;&gt;""),AND(LV16&gt;=LW$30,LV16&lt;&gt;""),AND(MO16&gt;=MS$30,MO16&lt;&gt;""),AND(MR16&gt;=MS$30,MR16&lt;&gt;""),AND(NK16&gt;=NO$30,NK16&lt;&gt;""),AND(NN16&gt;=NO$30,NN16&lt;&gt;"")),"Merit",IF(OR(AND(AS16&gt;=AY$29,AS16&lt;&gt;"",AP16=""),AND(AU16&gt;=AY$29,AU16&lt;&gt;"",AP16=""),AND(AX16&gt;=AY$29,AX16&lt;&gt;"",AP16=""),AND(BW16&gt;=CC$29,BW16&lt;&gt;"",BT16=""),AND(BY16&gt;=CC$29,BY16&lt;&gt;"",BT16=""),AND(CB16&gt;=CC$29,CB16&lt;&gt;"",BT16=""),AND(DA16&gt;=DG$29,DA16&lt;&gt;"",CX16=""),AND(DC16&gt;=DG$29,DC16&lt;&gt;"",CX16=""),AND(DF16&gt;=DG$29,DF16&lt;&gt;"",CX16=""),AND(EC16&gt;=EG$29,EC16&lt;&gt;""),AND(EF16&gt;=EG$29,EF16&lt;&gt;""),AND(EY16&gt;=FC$29,EY16&lt;&gt;""),AND(FB16&gt;=FC$29,FB16&lt;&gt;""),AND(FU16&gt;=FY$29,FU16&lt;&gt;""),AND(FX16&gt;=FY$29,FX16&lt;&gt;""),AND(GQ16&gt;=GU$29,GQ16&lt;&gt;""),AND(GT16&gt;=GU$29,GT16&lt;&gt;""),AND(HM16&gt;=HQ$29,HM16&lt;&gt;""),AND(HP16&gt;=HQ$29,HP16&lt;&gt;""),AND(II16&gt;=IM$29,II16&lt;&gt;""),AND(IL16&gt;=IM$29,IL16&lt;&gt;""),AND(JE16&gt;=JI$29,JE16&lt;&gt;""),AND(JH16&gt;=JI$29,JH16&lt;&gt;""),AND(KA16&gt;=KE$29,KA16&lt;&gt;""),AND(KD16&gt;=KE$29,KD16&lt;&gt;""),AND(KW16&gt;=LA$29,KW16&lt;&gt;""),AND(KZ16&gt;=LA$29,KZ16&lt;&gt;""),AND(LS16&gt;=LW$29,LS16&lt;&gt;""),AND(LV16&gt;=LW$29,LV16&lt;&gt;""),AND(MO16&gt;=MS$29,MO16&lt;&gt;""),AND(MR16&gt;=MS$29,MR16&lt;&gt;""),AND(NK16&gt;=NO$29,NK16&lt;&gt;""),AND(NN16&gt;=NO$29,NN16&lt;&gt;"")),"Excellence",IF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"Worlds Team",IF(OR(AND(AV16&gt;=AY$27,AV16&lt;&gt;"",AP16=""),AND(BZ16&gt;=CC$27,BZ16&lt;&gt;"",BT16=""),AND(DD16&gt;=DG$27,DD16&lt;&gt;"",CX16=""),AND(ED16&gt;=EG$27,ED16&lt;&gt;""),AND(EZ16&gt;=FC$27,EZ16&lt;&gt;""),AND(FV16&gt;=FY$27,FV16&lt;&gt;""),AND(GR16&gt;=GU$27,GR16&lt;&gt;""),AND(HN16&gt;=HQ$27,HN16&lt;&gt;""),AND(IJ16&gt;=IM$27,IJ16&lt;&gt;""),AND(JF16&gt;=JI$27,JF16&lt;&gt;""),AND(KB16&gt;=KE$27,KB16&lt;&gt;""),AND(KX16&gt;=LA$27,KX16&lt;&gt;""),AND(LT16&gt;=LW$27,LT16&lt;&gt;""),AND(MP16&gt;=MS$27,MP16&lt;&gt;""),AND(NL16&gt;=NO$27,NL16&lt;&gt;"")),"National Team",""))))</f>
        <v/>
      </c>
      <c r="I16" s="126" t="str">
        <f>IF(AND(G16="Merit",H16="Merit"),"Merit",IF(AND(OR(G16="Merit",G16="Excellence"),OR(H16="Merit",H16="Excellence")),"Excellence",IF(AND(OR(G16="Merit",G16="Excellence",G16="Worlds Team"),OR(H16="Merit",H16="Excellence",H16="Worlds Team")),"Worlds Team",IF(AND(OR(G16="Merit",G16="Excellence",G16="Worlds Team",G16="National Team"),OR(H16="Merit",H16="Excellence",H16="Worlds Team",H16="National Team")),"National Team",IF(OR(H16="Merit",H16="Excellence",H16="Worlds Team",H16="National Team"),"No DD","")))))</f>
        <v/>
      </c>
      <c r="J16" s="3" t="str">
        <f>IF(AND(OR(AND(AV16&gt;=AY$28,AV16&lt;&gt;"",AP16=""),AND(BZ16&gt;=CC$28,BZ16&lt;&gt;"",BT16=""),AND(DD16&gt;=DG$28,DD16&lt;&gt;"",CX16=""),AND(ED16&gt;=EG$28,ED16&lt;&gt;""),AND(EZ16&gt;=FC$28,EZ16&lt;&gt;""),AND(FV16&gt;=FY$28,FV16&lt;&gt;""),AND(GR16&gt;=GU$28,GR16&lt;&gt;""),AND(HN16&gt;=HQ$28,HN16&lt;&gt;""),AND(IJ16&gt;=IM$28,IJ16&lt;&gt;""),AND(JF16&gt;=JI$28,JF16&lt;&gt;""),AND(KB16&gt;=KE$28,KB16&lt;&gt;""),AND(KX16&gt;=LA$28,KX16&lt;&gt;""),AND(LT16&gt;=LW$28,LT16&lt;&gt;""),AND(MP16&gt;=MS$28,MP16&lt;&gt;""),AND(NL16&gt;=NO$28,NL16&lt;&gt;"")),OR(G16="Worlds Team",G16="Excellence",G16="Merit")),"P","")</f>
        <v/>
      </c>
      <c r="K16" s="14">
        <f>IF(MAX(AV16,BZ16,DD16)&gt;0,MAX(AV16,BZ16,DD16),0)</f>
        <v>100.62</v>
      </c>
      <c r="L16" s="14" t="str">
        <f>IF(K16=0,"",IF(K16=DD16,$CD$1,IF(K16=BZ16,$AZ$1,IF(K16=AV16,$V$1,""))))</f>
        <v>2021 2nd Virtual Technical Trial</v>
      </c>
      <c r="M16" s="14">
        <f>IF($K16=$AV16,MAX(BU16,CY16),IF($K16=$BZ16,MAX(AQ16,CY16),IF($K16=$DD16,MAX(AQ16,BU16),MAX(AQ16,BU16,CY16))))</f>
        <v>47.895000000000003</v>
      </c>
      <c r="N16" s="14" t="str">
        <f>IF(M16=0,"",IF(AND(M16=CY16,$L16&lt;&gt;$CD$1),$CD$1,IF(AND(M16=BU16,$L16&lt;&gt;$AZ$1),$AZ$1,IF(AND(M16=AQ16,$L16&lt;&gt;$V$1),$V$1,""))))</f>
        <v>2021 Canadian Championships</v>
      </c>
      <c r="O16" s="14">
        <f>IF(K16-N(AQ16)=AS16,MAX(AU16,BW16,BY16,DA16,DC16),IF(K16-N(AQ16)=AU16,MAX(AS16,BW16,BY16,DA16,DC16),IF(K16-N(BU16)=BW16,MAX(AS16,AU16,BY16,DA16,DC16),IF(K16-N(BU16)=BY16,MAX(AS16,AU16,BW16,DA16,DC16),IF(K16-N(CY16)=DA16,MAX(AS16,AU16,BW16,BY16,DC16),IF(K16-N(CY16)=DC16,MAX(AS16,AU16,BW16,BY16,DA16),MAX(AS16,AU16,BW16,BY16,DA16,DC16)))))))</f>
        <v>49.515000000000001</v>
      </c>
      <c r="P16" s="14" t="str">
        <f>IF(O16=0,"",IF(OR(O16=DC16,O16=DA16),$CD$1,IF(OR(O16=BY16,O16=BW16),$AZ$1,IF(OR(O16=AU16,O16=AS16),$V$1,""))))</f>
        <v>2021 Elite Canada</v>
      </c>
      <c r="Q16" s="14">
        <f>MAX(AX16,CB16,DF16)</f>
        <v>53.995000000000005</v>
      </c>
      <c r="R16" s="14" t="str">
        <f>IF(Q16=0,"",IF(Q16=DF16,$CD$1,IF(Q16=CB16,$AZ$1,IF(Q16=AX16,$V$1,""))))</f>
        <v>2021 2nd Virtual Technical Trial</v>
      </c>
      <c r="S16" s="14" t="str">
        <f>IF(MAX(DH16,DI16,DJ16,DK16)&gt;0,MAX(DH16,DI16,DJ16,DK16),"")</f>
        <v/>
      </c>
      <c r="T16" s="25" t="str">
        <f>IF(S16="","",IF(S16=DH16,"(Vol 1)",IF(S16=DI16,"(Vol 2)",IF(S16=DJ16,"(Prelim)",IF(S16=DK16,"(Final)")))))</f>
        <v/>
      </c>
      <c r="U16" s="14" t="str">
        <f>IF(S16="","",IF(S16=DH16,IF(S16+IF(M16="",0,M16)=NJ16,$MT$1,IF(S16+IF(M16="",0,M16)=MN16,$LX$1,IF(S16+IF(M16="",0,M16)=LR16,$LB$1,IF(S16+IF(M16="",0,M16)=KV16,$KF$1,IF(S16+IF(M16="",0,M16)=JZ16,$JJ$1,IF(S16+IF(M16="",0,M16)=JD16,$IN$1,IF(S16+IF(M16="",0,M16)=IH16,$HR$1,IF(S16+IF(M16="",0,M16)=HL16,$GV$1,IF(S16+IF(M16="",0,M16)=GP16,$FZ$1,IF(S16+IF(M16="",0,M16)=FT16,$FD$1,IF(S16+IF(M16="",0,M16)=EX16,$EH$1,IF(S16+IF(M16="",0,M16)=EB16,$DL$1)))))))))))),IF(S16=DI16,IF(S16+IF(O16="",0,O16)=NK16,$MT$1,IF(S16+IF(O16="",0,O16)=MO16,$LX$1,IF(S16+IF(O16="",0,O16)=LS16,$LB$1,IF(S16+IF(O16="",0,O16)=KW16,$KF$1,IF(S16+IF(O16="",0,O16)=KA16,$JJ$1,IF(S16+IF(O16="",0,O16)=JE16,$IN$1,IF(S16+IF(O16="",0,O16)=II16,$HR$1,IF(S16+IF(O16="",0,O16)=HM16,$GV$1,IF(S16+IF(O16="",0,O16)=GQ16,$FZ$1,IF(S16+IF(O16="",0,O16)=FU16,$FD$1,IF(S16+IF(O16="",0,O16)=EY16,$EH$1,IF(S16+IF(O16="",0,O16)=EC16,$DL$1)))))))))))),IF(S16=DJ16,IF(S16+IF(K16="",0,K16)=NL16,$MT$1,IF(S16+IF(K16="",0,K16)=MP16,$LX$1,IF(S16+IF(K16="",0,K16)=LT16,$LB$1,IF(S16+IF(K16="",0,K16)=KX16,$KF$1,IF(S16+IF(K16="",0,K16)=KB16,$JJ$1,IF(S16+IF(K16="",0,K16)=JF16,$IN$1,IF(S16+IF(K16="",0,K16)=IJ16,$HR$1,IF(S16+IF(K16="",0,K16)=HN16,$GV$1,IF(S16+IF(K16="",0,K16)=GR16,$FZ$1,IF(S16+IF(K16="",0,K16)=FV16,$FD$1,IF(S16+IF(K16="",0,K16)=EZ16,$EH$1,IF(S16+IF(K16="",0,K16)=ED16,$DL$1)))))))))))),IF(S16=DK16,IF(S16+IF(Q16="",0,Q16)=NN16,$MT$1,IF(S16+IF(Q16="",0,Q16)=MR16,$LX$1,IF(S16+IF(Q16="",0,Q16)=LV16,$LB$1,IF(S16+IF(Q16="",0,Q16)=KZ16,$KF$1,IF(S16+IF(Q16="",0,Q16)=KD16,$JJ$1,IF(S16+IF(Q16="",0,Q16)=JH16,$IN$1,IF(S16+IF(Q16="",0,Q16)=IL16,$HR$1,IF(S16+IF(Q16="",0,Q16)=HP16,$GV$1,IF(S16+IF(Q16="",0,Q16)=GT16,$FZ$1,IF(S16+IF(Q16="",0,Q16)=FX16,$FD$1,IF(S16+IF(Q16="",0,Q16)=FB16,$EH$1,IF(S16+IF(Q16="",0,Q16)=EF16,$DL$1)))))))))))))))))</f>
        <v/>
      </c>
      <c r="V16" s="69">
        <v>18.100000000000001</v>
      </c>
      <c r="W16" s="69">
        <v>9.1999999999999993</v>
      </c>
      <c r="X16" s="69">
        <v>4.0999999999999996</v>
      </c>
      <c r="Y16" s="69">
        <v>16.690000000000001</v>
      </c>
      <c r="Z16" s="69">
        <v>0</v>
      </c>
      <c r="AA16" s="69">
        <v>14.6</v>
      </c>
      <c r="AB16" s="69">
        <v>8.9</v>
      </c>
      <c r="AC16" s="69">
        <v>13.5</v>
      </c>
      <c r="AD16" s="69">
        <v>15.53</v>
      </c>
      <c r="AE16" s="69">
        <v>0</v>
      </c>
      <c r="AF16" s="69">
        <v>1.2</v>
      </c>
      <c r="AG16" s="69">
        <v>0.8</v>
      </c>
      <c r="AH16" s="69">
        <v>1.7</v>
      </c>
      <c r="AI16" s="69">
        <v>1.7649999999999999</v>
      </c>
      <c r="AJ16" s="69">
        <v>0</v>
      </c>
      <c r="AK16" s="69">
        <v>15.5</v>
      </c>
      <c r="AL16" s="69">
        <v>9.1999999999999993</v>
      </c>
      <c r="AM16" s="69">
        <v>13.5</v>
      </c>
      <c r="AN16" s="69">
        <v>15.795</v>
      </c>
      <c r="AO16" s="69">
        <v>0</v>
      </c>
      <c r="AP16" s="80"/>
      <c r="AQ16" s="11">
        <f>IF(SUM(V16:Y16)-Z16&gt;0,SUM(V16:Y16)-Z16,"")</f>
        <v>48.09</v>
      </c>
      <c r="AR16" s="11">
        <f>IF(AC16&gt;0,AC16,"")</f>
        <v>13.5</v>
      </c>
      <c r="AS16" s="11">
        <f>IF(SUM(AA16:AD16)-AE16&gt;0,SUM(AA16:AD16)-AE16,"")</f>
        <v>52.53</v>
      </c>
      <c r="AT16" s="11">
        <f>IF(AH16&gt;0,AH16,"")</f>
        <v>1.7</v>
      </c>
      <c r="AU16" s="11">
        <f>IF(SUM(AF16:AI16)-AJ16&gt;0,SUM(AF16:AI16)-AJ16,"")</f>
        <v>5.4649999999999999</v>
      </c>
      <c r="AV16" s="11">
        <f>IF(AQ16="",IF(MAX(AS16,AU16)&gt;0,MAX(AS16,AU16),""),MAX(AS16,AU16)+AQ16)</f>
        <v>100.62</v>
      </c>
      <c r="AW16" s="11">
        <f>IF(AM16&gt;0,AM16,"")</f>
        <v>13.5</v>
      </c>
      <c r="AX16" s="11">
        <f>IF(SUM(AK16:AN16)-AO16&gt;0,SUM(AK16:AN16)-AO16,"")</f>
        <v>53.995000000000005</v>
      </c>
      <c r="AY16" s="11">
        <f>IF(SUM(AV16,AX16)&gt;0,SUM(AV16,AX16),"")</f>
        <v>154.61500000000001</v>
      </c>
      <c r="AZ16" s="75">
        <v>16.7</v>
      </c>
      <c r="BA16" s="75">
        <v>9.4</v>
      </c>
      <c r="BB16" s="75">
        <v>4.0999999999999996</v>
      </c>
      <c r="BC16" s="75">
        <v>16.05</v>
      </c>
      <c r="BD16" s="75">
        <v>0</v>
      </c>
      <c r="BE16" s="75">
        <v>13.8</v>
      </c>
      <c r="BF16" s="75">
        <v>8.6999999999999993</v>
      </c>
      <c r="BG16" s="75">
        <v>11.8</v>
      </c>
      <c r="BH16" s="75">
        <v>15.215</v>
      </c>
      <c r="BI16" s="75">
        <v>0</v>
      </c>
      <c r="BJ16" s="75">
        <v>10.6</v>
      </c>
      <c r="BK16" s="75">
        <v>6.5</v>
      </c>
      <c r="BL16" s="75">
        <v>9.1999999999999993</v>
      </c>
      <c r="BM16" s="75">
        <v>10.7</v>
      </c>
      <c r="BN16" s="75">
        <v>0</v>
      </c>
      <c r="BO16" s="75">
        <v>14.5</v>
      </c>
      <c r="BP16" s="75">
        <v>9</v>
      </c>
      <c r="BQ16" s="75">
        <v>13.3</v>
      </c>
      <c r="BR16" s="75">
        <v>15.62</v>
      </c>
      <c r="BS16" s="75">
        <v>0</v>
      </c>
      <c r="BT16" s="81"/>
      <c r="BU16" s="14">
        <f>IF(SUM(AZ16:BC16)-BD16&gt;0,SUM(AZ16:BC16)-BD16,"")</f>
        <v>46.25</v>
      </c>
      <c r="BV16" s="14">
        <f>IF(BG16&gt;0,BG16,"")</f>
        <v>11.8</v>
      </c>
      <c r="BW16" s="14">
        <f>IF(SUM(BE16:BH16)-BI16&gt;0,SUM(BE16:BH16)-BI16,"")</f>
        <v>49.515000000000001</v>
      </c>
      <c r="BX16" s="14">
        <f>IF(BL16&gt;0,BL16,"")</f>
        <v>9.1999999999999993</v>
      </c>
      <c r="BY16" s="14">
        <f>IF(SUM(BJ16:BM16)-BN16&gt;0,SUM(BJ16:BM16)-BN16,"")</f>
        <v>37</v>
      </c>
      <c r="BZ16" s="14">
        <f>IF(BU16="",IF(MAX(BW16,BY16)&gt;0,MAX(BW16,BY16),""),MAX(BW16,BY16)+BU16)</f>
        <v>95.765000000000001</v>
      </c>
      <c r="CA16" s="14">
        <f>IF(BQ16&gt;0,BQ16,"")</f>
        <v>13.3</v>
      </c>
      <c r="CB16" s="14">
        <f>IF(SUM(BO16:BR16)-BS16&gt;0,SUM(BO16:BR16)-BS16,"")</f>
        <v>52.419999999999995</v>
      </c>
      <c r="CC16" s="14">
        <f>IF(SUM(BZ16,CB16)&gt;0,SUM(BZ16,CB16),"")</f>
        <v>148.185</v>
      </c>
      <c r="CD16" s="69">
        <v>18</v>
      </c>
      <c r="CE16" s="69">
        <v>9.5</v>
      </c>
      <c r="CF16" s="69">
        <v>4.0999999999999996</v>
      </c>
      <c r="CG16" s="69">
        <v>16.295000000000002</v>
      </c>
      <c r="CH16" s="69">
        <v>0</v>
      </c>
      <c r="CI16" s="69">
        <v>4.0999999999999996</v>
      </c>
      <c r="CJ16" s="69">
        <v>2.8</v>
      </c>
      <c r="CK16" s="69">
        <v>4.5999999999999996</v>
      </c>
      <c r="CL16" s="69">
        <v>4.8250000000000002</v>
      </c>
      <c r="CM16" s="69">
        <v>0</v>
      </c>
      <c r="CN16" s="69">
        <v>2.7</v>
      </c>
      <c r="CO16" s="69">
        <v>1.9</v>
      </c>
      <c r="CP16" s="69">
        <v>3.1</v>
      </c>
      <c r="CQ16" s="69">
        <v>3.28</v>
      </c>
      <c r="CR16" s="69">
        <v>0</v>
      </c>
      <c r="CS16" s="69"/>
      <c r="CT16" s="69"/>
      <c r="CU16" s="69"/>
      <c r="CV16" s="69"/>
      <c r="CW16" s="69"/>
      <c r="CX16" s="80"/>
      <c r="CY16" s="11">
        <f>IF(SUM(CD16:CG16)-CH16&gt;0,SUM(CD16:CG16)-CH16,"")</f>
        <v>47.895000000000003</v>
      </c>
      <c r="CZ16" s="11">
        <f>IF(CK16&gt;0,CK16,"")</f>
        <v>4.5999999999999996</v>
      </c>
      <c r="DA16" s="11">
        <f>IF(SUM(CI16:CL16)-CM16&gt;0,SUM(CI16:CL16)-CM16,"")</f>
        <v>16.324999999999999</v>
      </c>
      <c r="DB16" s="11">
        <f>IF(CP16&gt;0,CP16,"")</f>
        <v>3.1</v>
      </c>
      <c r="DC16" s="11">
        <f>IF(SUM(CN16:CQ16)-CR16&gt;0,SUM(CN16:CQ16)-CR16,"")</f>
        <v>10.979999999999999</v>
      </c>
      <c r="DD16" s="11">
        <f>IF(CY16="",IF(MAX(DA16,DC16)&gt;0,MAX(DA16,DC16),""),MAX(DA16,DC16)+CY16)</f>
        <v>64.22</v>
      </c>
      <c r="DE16" s="11" t="str">
        <f>IF(CU16&gt;0,CU16,"")</f>
        <v/>
      </c>
      <c r="DF16" s="11" t="str">
        <f>IF(SUM(CS16:CV16)-CW16&gt;0,SUM(CS16:CV16)-CW16,"")</f>
        <v/>
      </c>
      <c r="DG16" s="11">
        <f>IF(SUM(DD16,DF16)&gt;0,SUM(DD16,DF16),"")</f>
        <v>64.22</v>
      </c>
      <c r="DH16" s="24" t="str">
        <f>IF(MAX(EB16,EX16,FT16,GP16,HL16,IH16,JD16,JZ16,KV16,LR16,MN16,NJ16)-IF(M16="",0,M16)&gt;0.001,MAX(EB16,EX16,FT16,GP16,HL16,IH16,JD16,JZ16,KV16,LR16,MN16,NJ16)-IF(M16="",0,M16),"")</f>
        <v/>
      </c>
      <c r="DI16" s="24" t="str">
        <f>IF(MAX(EC16,EY16,FU16,GQ16,HM16,II16,JE16,KA16,KW16,LS16,MO16,NK16)-IF(O16="",0,O16)&gt;0.001,MAX(EC16,EY16,FU16,GQ16,HM16,II16,JE16,KA16,KW16,LS16,MO16,NK16)-IF(O16="",0,O16),"")</f>
        <v/>
      </c>
      <c r="DJ16" s="24" t="str">
        <f>IF(MAX(ED16,EZ16,FV16,GR16,HN16,IJ16,JF16,KB16,KX16,LT16,MP16,NL16)-IF(K16="",0,K16)&gt;0.001,MAX(ED16,EZ16,FV16,GR16,HN16,IJ16,JF16,KB16,KX16,LT16,MP16,NL16)-IF(K16="",0,K16),"")</f>
        <v/>
      </c>
      <c r="DK16" s="24" t="str">
        <f>IF(MAX(EF16,FB16,FX16,GT16,HP16,IL16,JH16,KD16,KZ16,LV16,MR16,NN16)-IF(Q16="",0,Q16)&gt;0.001,MAX(EF16,FB16,FX16,GT16,HP16,IL16,JH16,KD16,KZ16,LV16,MR16,NN16)-IF(Q16="",0,Q16),"")</f>
        <v/>
      </c>
      <c r="DL16" s="37"/>
      <c r="DM16" s="37"/>
      <c r="DN16" s="37"/>
      <c r="DO16" s="37"/>
      <c r="DP16" s="37"/>
      <c r="DQ16" s="37"/>
      <c r="DR16" s="37"/>
      <c r="DS16" s="37"/>
      <c r="DT16" s="37"/>
      <c r="DU16" s="37"/>
      <c r="DV16" s="37"/>
      <c r="DW16" s="37"/>
      <c r="DX16" s="37"/>
      <c r="DY16" s="37"/>
      <c r="DZ16" s="37"/>
      <c r="EA16" s="11" t="str">
        <f>IF(DS16&gt;0,DS16,"")</f>
        <v/>
      </c>
      <c r="EB16" s="11" t="str">
        <f>IF(SUM(DL16:DO16)-DP16&gt;0,SUM(DL16:DO16)-DP16,"")</f>
        <v/>
      </c>
      <c r="EC16" s="11" t="str">
        <f>IF(SUM(DQ16:DT16)-DU16&gt;0,SUM(DQ16:DT16)-DU16,"")</f>
        <v/>
      </c>
      <c r="ED16" s="11" t="str">
        <f>IF(SUM(EB16:EC16)&gt;0,SUM(EB16:EC16),"")</f>
        <v/>
      </c>
      <c r="EE16" s="11" t="str">
        <f>IF(DX16&gt;0,DX16,"")</f>
        <v/>
      </c>
      <c r="EF16" s="11" t="str">
        <f>IF(SUM(DV16:DY16)-DZ16&gt;0,SUM(DV16:DY16)-DZ16,"")</f>
        <v/>
      </c>
      <c r="EG16" s="11" t="str">
        <f>IF(SUM(ED16,EF16)&gt;0,SUM(ED16,EF16),"")</f>
        <v/>
      </c>
      <c r="EH16" s="38"/>
      <c r="EI16" s="38"/>
      <c r="EJ16" s="38"/>
      <c r="EK16" s="38"/>
      <c r="EL16" s="38"/>
      <c r="EM16" s="38"/>
      <c r="EN16" s="38"/>
      <c r="EO16" s="38"/>
      <c r="EP16" s="38"/>
      <c r="EQ16" s="38"/>
      <c r="ER16" s="38"/>
      <c r="ES16" s="38"/>
      <c r="ET16" s="38"/>
      <c r="EU16" s="38"/>
      <c r="EV16" s="38"/>
      <c r="EW16" s="14" t="str">
        <f>IF(EO16&gt;0,EO16,"")</f>
        <v/>
      </c>
      <c r="EX16" s="14" t="str">
        <f>IF(SUM(EH16:EK16)-EL16&gt;0,SUM(EH16:EK16)-EL16,"")</f>
        <v/>
      </c>
      <c r="EY16" s="14" t="str">
        <f>IF(SUM(EM16:EP16)-EQ16&gt;0,SUM(EM16:EP16)-EQ16,"")</f>
        <v/>
      </c>
      <c r="EZ16" s="14" t="str">
        <f>IF(SUM(EX16:EY16)&gt;0,SUM(EX16:EY16),"")</f>
        <v/>
      </c>
      <c r="FA16" s="14" t="str">
        <f>IF(ET16&gt;0,ET16,"")</f>
        <v/>
      </c>
      <c r="FB16" s="14" t="str">
        <f>IF(SUM(ER16:EU16)-EV16&gt;0,SUM(ER16:EU16)-EV16,"")</f>
        <v/>
      </c>
      <c r="FC16" s="14" t="str">
        <f>IF(SUM(EZ16,FB16)&gt;0,SUM(EZ16,FB16),"")</f>
        <v/>
      </c>
      <c r="FD16" s="37"/>
      <c r="FE16" s="37"/>
      <c r="FF16" s="37"/>
      <c r="FG16" s="37"/>
      <c r="FH16" s="37"/>
      <c r="FI16" s="37"/>
      <c r="FJ16" s="37"/>
      <c r="FK16" s="37"/>
      <c r="FL16" s="37"/>
      <c r="FM16" s="37"/>
      <c r="FN16" s="37"/>
      <c r="FO16" s="37"/>
      <c r="FP16" s="37"/>
      <c r="FQ16" s="37"/>
      <c r="FR16" s="37"/>
      <c r="FS16" s="11" t="str">
        <f>IF(FK16&gt;0,FK16,"")</f>
        <v/>
      </c>
      <c r="FT16" s="11" t="str">
        <f>IF(SUM(FD16:FG16)-FH16&gt;0,SUM(FD16:FG16)-FH16,"")</f>
        <v/>
      </c>
      <c r="FU16" s="11" t="str">
        <f>IF(SUM(FI16:FL16)-FM16&gt;0,SUM(FI16:FL16)-FM16,"")</f>
        <v/>
      </c>
      <c r="FV16" s="11" t="str">
        <f>IF(SUM(FT16:FU16)&gt;0,SUM(FT16:FU16),"")</f>
        <v/>
      </c>
      <c r="FW16" s="11" t="str">
        <f>IF(FP16&gt;0,FP16,"")</f>
        <v/>
      </c>
      <c r="FX16" s="11" t="str">
        <f>IF(SUM(FN16:FQ16)-FR16&gt;0,SUM(FN16:FQ16)-FR16,"")</f>
        <v/>
      </c>
      <c r="FY16" s="11" t="str">
        <f>IF(SUM(FV16,FX16)&gt;0,SUM(FV16,FX16),"")</f>
        <v/>
      </c>
      <c r="FZ16" s="38"/>
      <c r="GA16" s="38"/>
      <c r="GB16" s="38"/>
      <c r="GC16" s="38"/>
      <c r="GD16" s="38"/>
      <c r="GE16" s="38"/>
      <c r="GF16" s="38"/>
      <c r="GG16" s="38"/>
      <c r="GH16" s="38"/>
      <c r="GI16" s="38"/>
      <c r="GJ16" s="38"/>
      <c r="GK16" s="38"/>
      <c r="GL16" s="38"/>
      <c r="GM16" s="38"/>
      <c r="GN16" s="38"/>
      <c r="GO16" s="14" t="str">
        <f>IF(GG16&gt;0,GG16,"")</f>
        <v/>
      </c>
      <c r="GP16" s="14" t="str">
        <f>IF(SUM(FZ16:GC16)-GD16&gt;0,SUM(FZ16:GC16)-GD16,"")</f>
        <v/>
      </c>
      <c r="GQ16" s="14" t="str">
        <f>IF(SUM(GE16:GH16)-GI16&gt;0,SUM(GE16:GH16)-GI16,"")</f>
        <v/>
      </c>
      <c r="GR16" s="14" t="str">
        <f>IF(SUM(GP16:GQ16)&gt;0,SUM(GP16:GQ16),"")</f>
        <v/>
      </c>
      <c r="GS16" s="14" t="str">
        <f>IF(GL16&gt;0,GL16,"")</f>
        <v/>
      </c>
      <c r="GT16" s="14" t="str">
        <f>IF(SUM(GJ16:GM16)-GN16&gt;0,SUM(GJ16:GM16)-GN16,"")</f>
        <v/>
      </c>
      <c r="GU16" s="14" t="str">
        <f>IF(SUM(GR16,GT16)&gt;0,SUM(GR16,GT16),"")</f>
        <v/>
      </c>
      <c r="GV16" s="37"/>
      <c r="GW16" s="37"/>
      <c r="GX16" s="37"/>
      <c r="GY16" s="37"/>
      <c r="GZ16" s="37"/>
      <c r="HA16" s="37"/>
      <c r="HB16" s="37"/>
      <c r="HC16" s="37"/>
      <c r="HD16" s="37"/>
      <c r="HE16" s="37"/>
      <c r="HF16" s="37"/>
      <c r="HG16" s="37"/>
      <c r="HH16" s="37"/>
      <c r="HI16" s="37"/>
      <c r="HJ16" s="37"/>
      <c r="HK16" s="11" t="str">
        <f>IF(HC16&gt;0,HC16,"")</f>
        <v/>
      </c>
      <c r="HL16" s="11" t="str">
        <f>IF(SUM(GV16:GY16)-GZ16&gt;0,SUM(GV16:GY16)-GZ16,"")</f>
        <v/>
      </c>
      <c r="HM16" s="11" t="str">
        <f>IF(SUM(HA16:HD16)-HE16&gt;0,SUM(HA16:HD16)-HE16,"")</f>
        <v/>
      </c>
      <c r="HN16" s="11" t="str">
        <f>IF(SUM(HL16:HM16)&gt;0,SUM(HL16:HM16),"")</f>
        <v/>
      </c>
      <c r="HO16" s="11" t="str">
        <f>IF(HH16&gt;0,HH16,"")</f>
        <v/>
      </c>
      <c r="HP16" s="11" t="str">
        <f>IF(SUM(HF16:HI16)-HJ16&gt;0,SUM(HF16:HI16)-HJ16,"")</f>
        <v/>
      </c>
      <c r="HQ16" s="11" t="str">
        <f>IF(SUM(HN16,HP16)&gt;0,SUM(HN16,HP16),"")</f>
        <v/>
      </c>
      <c r="HR16" s="38"/>
      <c r="HS16" s="38"/>
      <c r="HT16" s="38"/>
      <c r="HU16" s="38"/>
      <c r="HV16" s="38"/>
      <c r="HW16" s="38"/>
      <c r="HX16" s="38"/>
      <c r="HY16" s="38"/>
      <c r="HZ16" s="38"/>
      <c r="IA16" s="38"/>
      <c r="IB16" s="38"/>
      <c r="IC16" s="38"/>
      <c r="ID16" s="38"/>
      <c r="IE16" s="38"/>
      <c r="IF16" s="38"/>
      <c r="IG16" s="14" t="str">
        <f>IF(HY16&gt;0,HY16,"")</f>
        <v/>
      </c>
      <c r="IH16" s="14" t="str">
        <f>IF(SUM(HR16:HU16)-HV16&gt;0,SUM(HR16:HU16)-HV16,"")</f>
        <v/>
      </c>
      <c r="II16" s="14" t="str">
        <f>IF(SUM(HW16:HZ16)-IA16&gt;0,SUM(HW16:HZ16)-IA16,"")</f>
        <v/>
      </c>
      <c r="IJ16" s="14" t="str">
        <f>IF(SUM(IH16:II16)&gt;0,SUM(IH16:II16),"")</f>
        <v/>
      </c>
      <c r="IK16" s="14" t="str">
        <f>IF(ID16&gt;0,ID16,"")</f>
        <v/>
      </c>
      <c r="IL16" s="14" t="str">
        <f>IF(SUM(IB16:IE16)-IF16&gt;0,SUM(IB16:IE16)-IF16,"")</f>
        <v/>
      </c>
      <c r="IM16" s="14" t="str">
        <f>IF(SUM(IJ16,IL16)&gt;0,SUM(IJ16,IL16),"")</f>
        <v/>
      </c>
      <c r="IN16" s="37"/>
      <c r="IO16" s="37"/>
      <c r="IP16" s="37"/>
      <c r="IQ16" s="37"/>
      <c r="IR16" s="37"/>
      <c r="IS16" s="37"/>
      <c r="IT16" s="37"/>
      <c r="IU16" s="37"/>
      <c r="IV16" s="37"/>
      <c r="IW16" s="37"/>
      <c r="IX16" s="37"/>
      <c r="IY16" s="37"/>
      <c r="IZ16" s="37"/>
      <c r="JA16" s="37"/>
      <c r="JB16" s="37"/>
      <c r="JC16" s="11" t="str">
        <f>IF(IU16&gt;0,IU16,"")</f>
        <v/>
      </c>
      <c r="JD16" s="11" t="str">
        <f>IF(SUM(IN16:IQ16)-IR16&gt;0,SUM(IN16:IQ16)-IR16,"")</f>
        <v/>
      </c>
      <c r="JE16" s="11" t="str">
        <f>IF(SUM(IS16:IV16)-IW16&gt;0,SUM(IS16:IV16)-IW16,"")</f>
        <v/>
      </c>
      <c r="JF16" s="11" t="str">
        <f>IF(SUM(JD16:JE16)&gt;0,SUM(JD16:JE16),"")</f>
        <v/>
      </c>
      <c r="JG16" s="11" t="str">
        <f>IF(IZ16&gt;0,IZ16,"")</f>
        <v/>
      </c>
      <c r="JH16" s="11" t="str">
        <f>IF(SUM(IX16:JA16)-JB16&gt;0,SUM(IX16:JA16)-JB16,"")</f>
        <v/>
      </c>
      <c r="JI16" s="11" t="str">
        <f>IF(SUM(JF16,JH16)&gt;0,SUM(JF16,JH16),"")</f>
        <v/>
      </c>
      <c r="JJ16" s="38"/>
      <c r="JK16" s="38"/>
      <c r="JL16" s="38"/>
      <c r="JM16" s="38"/>
      <c r="JN16" s="38"/>
      <c r="JO16" s="38"/>
      <c r="JP16" s="38"/>
      <c r="JQ16" s="38"/>
      <c r="JR16" s="38"/>
      <c r="JS16" s="38"/>
      <c r="JT16" s="38"/>
      <c r="JU16" s="38"/>
      <c r="JV16" s="38"/>
      <c r="JW16" s="38"/>
      <c r="JX16" s="38"/>
      <c r="JY16" s="14" t="str">
        <f>IF(JQ16&gt;0,JQ16,"")</f>
        <v/>
      </c>
      <c r="JZ16" s="14" t="str">
        <f>IF(SUM(JJ16:JM16)-JN16&gt;0,SUM(JJ16:JM16)-JN16,"")</f>
        <v/>
      </c>
      <c r="KA16" s="14" t="str">
        <f>IF(SUM(JO16:JR16)-JS16&gt;0,SUM(JO16:JR16)-JS16,"")</f>
        <v/>
      </c>
      <c r="KB16" s="14" t="str">
        <f>IF(SUM(JZ16:KA16)&gt;0,SUM(JZ16:KA16),"")</f>
        <v/>
      </c>
      <c r="KC16" s="14" t="str">
        <f>IF(JV16&gt;0,JV16,"")</f>
        <v/>
      </c>
      <c r="KD16" s="14" t="str">
        <f>IF(SUM(JT16:JW16)-JX16&gt;0,SUM(JT16:JW16)-JX16,"")</f>
        <v/>
      </c>
      <c r="KE16" s="14" t="str">
        <f>IF(SUM(KB16,KD16)&gt;0,SUM(KB16,KD16),"")</f>
        <v/>
      </c>
      <c r="KF16" s="37"/>
      <c r="KG16" s="37"/>
      <c r="KH16" s="37"/>
      <c r="KI16" s="37"/>
      <c r="KJ16" s="37"/>
      <c r="KK16" s="37"/>
      <c r="KL16" s="37"/>
      <c r="KM16" s="37"/>
      <c r="KN16" s="37"/>
      <c r="KO16" s="37"/>
      <c r="KP16" s="37"/>
      <c r="KQ16" s="37"/>
      <c r="KR16" s="37"/>
      <c r="KS16" s="37"/>
      <c r="KT16" s="37"/>
      <c r="KU16" s="11" t="str">
        <f>IF(KM16&gt;0,KM16,"")</f>
        <v/>
      </c>
      <c r="KV16" s="11" t="str">
        <f>IF(SUM(KF16:KI16)-KJ16&gt;0,SUM(KF16:KI16)-KJ16,"")</f>
        <v/>
      </c>
      <c r="KW16" s="11" t="str">
        <f>IF(SUM(KK16:KN16)-KO16&gt;0,SUM(KK16:KN16)-KO16,"")</f>
        <v/>
      </c>
      <c r="KX16" s="11" t="str">
        <f>IF(SUM(KV16:KW16)&gt;0,SUM(KV16:KW16),"")</f>
        <v/>
      </c>
      <c r="KY16" s="11" t="str">
        <f>IF(KR16&gt;0,KR16,"")</f>
        <v/>
      </c>
      <c r="KZ16" s="11" t="str">
        <f>IF(SUM(KP16:KS16)-KT16&gt;0,SUM(KP16:KS16)-KT16,"")</f>
        <v/>
      </c>
      <c r="LA16" s="11" t="str">
        <f>IF(SUM(KX16,KZ16)&gt;0,SUM(KX16,KZ16),"")</f>
        <v/>
      </c>
      <c r="LB16" s="38"/>
      <c r="LC16" s="38"/>
      <c r="LD16" s="38"/>
      <c r="LE16" s="38"/>
      <c r="LF16" s="38"/>
      <c r="LG16" s="38"/>
      <c r="LH16" s="38"/>
      <c r="LI16" s="38"/>
      <c r="LJ16" s="38"/>
      <c r="LK16" s="38"/>
      <c r="LL16" s="38"/>
      <c r="LM16" s="38"/>
      <c r="LN16" s="38"/>
      <c r="LO16" s="38"/>
      <c r="LP16" s="38"/>
      <c r="LQ16" s="14" t="str">
        <f>IF(LI16&gt;0,LI16,"")</f>
        <v/>
      </c>
      <c r="LR16" s="14" t="str">
        <f>IF(SUM(LB16:LE16)-LF16&gt;0,SUM(LB16:LE16)-LF16,"")</f>
        <v/>
      </c>
      <c r="LS16" s="14" t="str">
        <f>IF(SUM(LG16:LJ16)-LK16&gt;0,SUM(LG16:LJ16)-LK16,"")</f>
        <v/>
      </c>
      <c r="LT16" s="14" t="str">
        <f>IF(SUM(LR16:LS16)&gt;0,SUM(LR16:LS16),"")</f>
        <v/>
      </c>
      <c r="LU16" s="14" t="str">
        <f>IF(LN16&gt;0,LN16,"")</f>
        <v/>
      </c>
      <c r="LV16" s="14" t="str">
        <f>IF(SUM(LL16:LO16)-LP16&gt;0,SUM(LL16:LO16)-LP16,"")</f>
        <v/>
      </c>
      <c r="LW16" s="14" t="str">
        <f>IF(SUM(LT16,LV16)&gt;0,SUM(LT16,LV16),"")</f>
        <v/>
      </c>
      <c r="LX16" s="37"/>
      <c r="LY16" s="37"/>
      <c r="LZ16" s="37"/>
      <c r="MA16" s="37"/>
      <c r="MB16" s="37"/>
      <c r="MC16" s="37"/>
      <c r="MD16" s="37"/>
      <c r="ME16" s="37"/>
      <c r="MF16" s="37"/>
      <c r="MG16" s="37"/>
      <c r="MH16" s="37"/>
      <c r="MI16" s="37"/>
      <c r="MJ16" s="37"/>
      <c r="MK16" s="37"/>
      <c r="ML16" s="37"/>
      <c r="MM16" s="11" t="str">
        <f>IF(ME16&gt;0,ME16,"")</f>
        <v/>
      </c>
      <c r="MN16" s="11" t="str">
        <f>IF(SUM(LX16:MA16)-MB16&gt;0,SUM(LX16:MA16)-MB16,"")</f>
        <v/>
      </c>
      <c r="MO16" s="11" t="str">
        <f>IF(SUM(MC16:MF16)-MG16&gt;0,SUM(MC16:MF16)-MG16,"")</f>
        <v/>
      </c>
      <c r="MP16" s="11" t="str">
        <f>IF(SUM(MN16:MO16)&gt;0,SUM(MN16:MO16),"")</f>
        <v/>
      </c>
      <c r="MQ16" s="11" t="str">
        <f>IF(MJ16&gt;0,MJ16,"")</f>
        <v/>
      </c>
      <c r="MR16" s="11" t="str">
        <f>IF(SUM(MH16:MK16)-ML16&gt;0,SUM(MH16:MK16)-ML16,"")</f>
        <v/>
      </c>
      <c r="MS16" s="11" t="str">
        <f>IF(SUM(MP16,MR16)&gt;0,SUM(MP16,MR16),"")</f>
        <v/>
      </c>
      <c r="MT16" s="38"/>
      <c r="MU16" s="38"/>
      <c r="MV16" s="38"/>
      <c r="MW16" s="38"/>
      <c r="MX16" s="38"/>
      <c r="MY16" s="38"/>
      <c r="MZ16" s="38"/>
      <c r="NA16" s="38"/>
      <c r="NB16" s="38"/>
      <c r="NC16" s="38"/>
      <c r="ND16" s="38"/>
      <c r="NE16" s="38"/>
      <c r="NF16" s="38"/>
      <c r="NG16" s="38"/>
      <c r="NH16" s="38"/>
      <c r="NI16" s="14" t="str">
        <f>IF(NA16&gt;0,NA16,"")</f>
        <v/>
      </c>
      <c r="NJ16" s="14" t="str">
        <f>IF(SUM(MT16:MW16)-MX16&gt;0,SUM(MT16:MW16)-MX16,"")</f>
        <v/>
      </c>
      <c r="NK16" s="14" t="str">
        <f>IF(SUM(MY16:NB16)-NC16&gt;0,SUM(MY16:NB16)-NC16,"")</f>
        <v/>
      </c>
      <c r="NL16" s="14" t="str">
        <f>IF(SUM(NJ16:NK16)&gt;0,SUM(NJ16:NK16),"")</f>
        <v/>
      </c>
      <c r="NM16" s="14" t="str">
        <f>IF(NF16&gt;0,NF16,"")</f>
        <v/>
      </c>
      <c r="NN16" s="14" t="str">
        <f>IF(SUM(ND16:NG16)-NH16&gt;0,SUM(ND16:NG16)-NH16,"")</f>
        <v/>
      </c>
      <c r="NO16" s="14" t="str">
        <f>IF(SUM(NL16,NN16)&gt;0,SUM(NL16,NN16),"")</f>
        <v/>
      </c>
      <c r="NP16" s="69">
        <f>IF($CX16="P",CD16,(CD16+AZ16)/2)</f>
        <v>17.350000000000001</v>
      </c>
      <c r="NQ16" s="69">
        <f>IF($CX16="P",CE16,(CE16+BA16)/2)</f>
        <v>9.4499999999999993</v>
      </c>
      <c r="NR16" s="69">
        <f>IF($CX16="P",CF16,(CF16+BB16)/2)</f>
        <v>4.0999999999999996</v>
      </c>
      <c r="NS16" s="69">
        <f>IF($CX16="P",CG16,(CG16+BC16)/2)</f>
        <v>16.172499999999999</v>
      </c>
      <c r="NT16" s="69">
        <f>IF($CX16="P",CH16,(CH16+BD16)/2)</f>
        <v>0</v>
      </c>
      <c r="NU16" s="69">
        <f>IF($CX16="P",CI16,(CI16+BE16)/2)</f>
        <v>8.9499999999999993</v>
      </c>
      <c r="NV16" s="69">
        <f>IF($CX16="P",CJ16,(CJ16+BF16)/2)</f>
        <v>5.75</v>
      </c>
      <c r="NW16" s="69">
        <f>IF($CX16="P",CK16,(CK16+BG16)/2)</f>
        <v>8.1999999999999993</v>
      </c>
      <c r="NX16" s="69">
        <f>IF($CX16="P",CL16,(CL16+BH16)/2)</f>
        <v>10.02</v>
      </c>
      <c r="NY16" s="69">
        <f>IF($CX16="P",CM16,(CM16+BI16)/2)</f>
        <v>0</v>
      </c>
      <c r="NZ16" s="69">
        <f>IF($CX16="P",CN16,(CN16+BJ16)/2)</f>
        <v>6.65</v>
      </c>
      <c r="OA16" s="69">
        <f>IF($CX16="P",CO16,(CO16+BK16)/2)</f>
        <v>4.2</v>
      </c>
      <c r="OB16" s="69">
        <f>IF($CX16="P",CP16,(CP16+BL16)/2)</f>
        <v>6.1499999999999995</v>
      </c>
      <c r="OC16" s="69">
        <f>IF($CX16="P",CQ16,(CQ16+BM16)/2)</f>
        <v>6.9899999999999993</v>
      </c>
      <c r="OD16" s="69">
        <f>IF($CX16="P",CR16,(CR16+BN16)/2)</f>
        <v>0</v>
      </c>
      <c r="OE16" s="69">
        <f>IF($CX16="P",CS16,(CS16+BO16)/2)</f>
        <v>7.25</v>
      </c>
      <c r="OF16" s="69">
        <f>IF($CX16="P",CT16,(CT16+BP16)/2)</f>
        <v>4.5</v>
      </c>
      <c r="OG16" s="69">
        <f>IF($CX16="P",CU16,(CU16+BQ16)/2)</f>
        <v>6.65</v>
      </c>
      <c r="OH16" s="69">
        <f>IF($CX16="P",CV16,(CV16+BR16)/2)</f>
        <v>7.81</v>
      </c>
      <c r="OI16" s="69">
        <f>IF($CX16="P",CW16,(CW16+BS16)/2)</f>
        <v>0</v>
      </c>
      <c r="OJ16" s="80" t="s">
        <v>74</v>
      </c>
      <c r="OK16" s="11">
        <f>IF(SUM(NP16:NS16)-NT16&gt;0,SUM(NP16:NS16)-NT16,"")</f>
        <v>47.072499999999998</v>
      </c>
      <c r="OL16" s="11">
        <f>IF(NW16&gt;0,NW16,"")</f>
        <v>8.1999999999999993</v>
      </c>
      <c r="OM16" s="11">
        <f>IF(SUM(NU16:NX16)-NY16&gt;0,SUM(NU16:NX16)-NY16,"")</f>
        <v>32.92</v>
      </c>
      <c r="ON16" s="11">
        <f>IF(OB16&gt;0,OB16,"")</f>
        <v>6.1499999999999995</v>
      </c>
      <c r="OO16" s="11">
        <f>IF(SUM(NZ16:OC16)-OD16&gt;0,SUM(NZ16:OC16)-OD16,"")</f>
        <v>23.99</v>
      </c>
      <c r="OP16" s="11">
        <f>IF(OR(OK16&lt;&gt;"",OM16&lt;&gt;"",OO16&lt;&gt;""),OK16+MAX(OM16,OO16),"")</f>
        <v>79.992500000000007</v>
      </c>
      <c r="OQ16" s="11">
        <f>IF(OG16&gt;0,OG16,"")</f>
        <v>6.65</v>
      </c>
      <c r="OR16" s="11">
        <f t="shared" si="0"/>
        <v>26.209999999999997</v>
      </c>
      <c r="OS16" s="11">
        <f t="shared" si="1"/>
        <v>106.2025</v>
      </c>
    </row>
    <row r="17" spans="1:409" x14ac:dyDescent="0.2">
      <c r="A17" s="5" t="str" cm="1">
        <f t="array" ref="A17">IF(AND(G17&lt;&gt;"",H17&lt;&gt;""),SUMPRODUCT((G$4:G$21&lt;&gt;"")*(H$4:H$21&lt;&gt;"")*(E$4:E$21&gt;E17))+1,IF(H17&lt;&gt;"",SUMPRODUCT((I$4:I$21="No DD")*(E$4:E$21&gt;E17))+1+SUMPRODUCT((G$4:G$21&lt;&gt;"")*(H$4:H$21&lt;&gt;"")),""))</f>
        <v/>
      </c>
      <c r="B17" s="6" t="s">
        <v>117</v>
      </c>
      <c r="C17" s="7" t="s">
        <v>5</v>
      </c>
      <c r="D17" s="5">
        <v>2003</v>
      </c>
      <c r="E17" s="15">
        <f>SUM(K17:S17)</f>
        <v>241.35499999999999</v>
      </c>
      <c r="F17" s="3" t="str">
        <f>IF(G17&lt;&gt;"","P","")</f>
        <v/>
      </c>
      <c r="G17" s="125" t="str">
        <f>IF(OR(AND(AR17&gt;=AY$26,AR17&lt;&gt;"",AP17=""),AND(AT17&gt;=AY$26,AT17&lt;&gt;"",AP17=""),AND(AW17&gt;=AY$26,AW17&lt;&gt;"",AP17=""),AND(BV17&gt;=CC$26,BV17&lt;&gt;"",BT17=""),AND(BX17&gt;=CC$26,BX17&lt;&gt;"",BT17=""),AND(CA17&gt;=CC$26,CA17&lt;&gt;"",BT17=""),AND(CZ17&gt;=DG$26,CZ17&lt;&gt;"",CX17=""),AND(DB17&gt;=DG$26,DB17&lt;&gt;"",CX17=""),AND(DE17&gt;=DG$26,DE17&lt;&gt;"",CX17=""),AND(EA17&gt;=EG$26,EA17&lt;&gt;""),AND(EE17&gt;=EG$26,EE17&lt;&gt;""),AND(EW17&gt;=FC$26,EW17&lt;&gt;""),AND(FA17&gt;=FC$26,FA17&lt;&gt;""),AND(FS17&gt;=FY$26,FS17&lt;&gt;""),AND(FW17&gt;=FY$26,FW17&lt;&gt;""),AND(GO17&gt;=GU$26,GO17&lt;&gt;""),AND(GS17&gt;=GU$26,GS17&lt;&gt;""),AND(HK17&gt;=HQ$26,HK17&lt;&gt;""),AND(HO17&gt;=HQ$26,HO17&lt;&gt;""),AND(IG17&gt;=IM$26,IG17&lt;&gt;""),AND(IK17&gt;=IM$26,IK17&lt;&gt;""),AND(JC17&gt;=JI$26,JC17&lt;&gt;""),AND(JG17&gt;=JI$26,JG17&lt;&gt;""),AND(JY17&gt;=KE$26,JY17&lt;&gt;""),AND(KC17&gt;=KE$26,KC17&lt;&gt;""),AND(KU17&gt;=LA$26,KU17&lt;&gt;""),AND(KY17&gt;=LA$26,KY17&lt;&gt;""),AND(LQ17&gt;=LW$26,LQ17&lt;&gt;""),AND(LU17&gt;=LW$26,LU17&lt;&gt;""),AND(MM17&gt;=MS$26,MM17&lt;&gt;""),AND(MQ17&gt;=MS$26,MQ17&lt;&gt;""),AND(NI17&gt;=NO$26,NI17&lt;&gt;""),AND(NM17&gt;=NO$26,NM17&lt;&gt;"")),"Merit",IF(OR(AND(AR17&gt;=AY$25,AR17&lt;&gt;"",AP17=""),AND(AT17&gt;=AY$25,AT17&lt;&gt;"",AP17=""),AND(AW17&gt;=AY$25,AW17&lt;&gt;"",AP17=""),AND(BV17&gt;=CC$25,BV17&lt;&gt;"",BT17=""),AND(BX17&gt;=CC$25,BX17&lt;&gt;"",BT17=""),AND(CA17&gt;=CC$25,CA17&lt;&gt;"",BT17=""),AND(CZ17&gt;=DG$25,CZ17&lt;&gt;"",CX17=""),AND(DB17&gt;=DG$25,DB17&lt;&gt;"",CX17=""),AND(DE17&gt;=DG$25,DE17&lt;&gt;"",CX17=""),AND(EA17&gt;=EG$25,EA17&lt;&gt;""),AND(EE17&gt;=EG$25,EE17&lt;&gt;""),AND(EW17&gt;=FC$25,EW17&lt;&gt;""),AND(FA17&gt;=FC$25,FA17&lt;&gt;""),AND(FS17&gt;=FY$25,FS17&lt;&gt;""),AND(FW17&gt;=FY$25,FW17&lt;&gt;""),AND(GO17&gt;=GU$25,GO17&lt;&gt;""),AND(GS17&gt;=GU$25,GS17&lt;&gt;""),AND(HK17&gt;=HQ$25,HK17&lt;&gt;""),AND(HO17&gt;=HQ$25,HO17&lt;&gt;""),AND(IG17&gt;=IM$25,IG17&lt;&gt;""),AND(IK17&gt;=IM$25,IK17&lt;&gt;""),AND(JC17&gt;=JI$25,JC17&lt;&gt;""),AND(JG17&gt;=JI$25,JG17&lt;&gt;""),AND(JY17&gt;=KE$25,JY17&lt;&gt;""),AND(KC17&gt;=KE$25,KC17&lt;&gt;""),AND(KU17&gt;=LA$25,KU17&lt;&gt;""),AND(KY17&gt;=LA$25,KY17&lt;&gt;""),AND(LQ17&gt;=LW$25,LQ17&lt;&gt;""),AND(LU17&gt;=LW$25,LU17&lt;&gt;""),AND(MM17&gt;=MS$25,MM17&lt;&gt;""),AND(MQ17&gt;=MS$25,MQ17&lt;&gt;""),AND(NI17&gt;=NO$25,NI17&lt;&gt;""),AND(NM17&gt;=NO$25,NM17&lt;&gt;"")),"Excellence",IF(OR(AND(AR17&gt;=AY$24,AR17&lt;&gt;"",AP17=""),AND(AT17&gt;=AY$24,AT17&lt;&gt;"",AP17=""),AND(AW17&gt;=AY$24,AW17&lt;&gt;"",AP17=""),AND(BV17&gt;=CC$24,BV17&lt;&gt;"",BT17=""),AND(BX17&gt;=CC$24,BX17&lt;&gt;"",BT17=""),AND(CA17&gt;=CC$24,CA17&lt;&gt;"",BT17=""),AND(CZ17&gt;=DG$24,CZ17&lt;&gt;"",CX17=""),AND(DB17&gt;=DG$24,DB17&lt;&gt;"",CX17=""),AND(DE17&gt;=DG$24,DE17&lt;&gt;"",CX17=""),AND(EA17&gt;=EG$24,EA17&lt;&gt;""),AND(EE17&gt;=EG$24,EE17&lt;&gt;""),AND(EW17&gt;=FC$24,EW17&lt;&gt;""),AND(FA17&gt;=FC$24,FA17&lt;&gt;""),AND(FS17&gt;=FY$24,FS17&lt;&gt;""),AND(FW17&gt;=FY$24,FW17&lt;&gt;""),AND(GO17&gt;=GU$24,GO17&lt;&gt;""),AND(GS17&gt;=GU$24,GS17&lt;&gt;""),AND(HK17&gt;=HQ$24,HK17&lt;&gt;""),AND(HO17&gt;=HQ$24,HO17&lt;&gt;""),AND(IG17&gt;=IM$24,IG17&lt;&gt;""),AND(IK17&gt;=IM$24,IK17&lt;&gt;""),AND(JC17&gt;=JI$24,JC17&lt;&gt;""),AND(JG17&gt;=JI$24,JG17&lt;&gt;""),AND(JY17&gt;=KE$24,JY17&lt;&gt;""),AND(KC17&gt;=KE$24,KC17&lt;&gt;""),AND(KU17&gt;=LA$24,KU17&lt;&gt;""),AND(KY17&gt;=LA$24,KY17&lt;&gt;""),AND(LQ17&gt;=LW$24,LQ17&lt;&gt;""),AND(LU17&gt;=LW$24,LU17&lt;&gt;""),AND(MM17&gt;=MS$24,MM17&lt;&gt;""),AND(MQ17&gt;=MS$24,MQ17&lt;&gt;""),AND(NI17&gt;=NO$24,NI17&lt;&gt;""),AND(NM17&gt;=NO$24,NM17&lt;&gt;"")),"Worlds Team",IF(OR(AND(AR17&gt;=AY$23,AR17&lt;&gt;"",AP17=""),AND(AT17&gt;=AY$23,AT17&lt;&gt;"",AP17=""),AND(AW17&gt;=AY$23,AW17&lt;&gt;"",AP17=""),AND(BV17&gt;=CC$23,BV17&lt;&gt;"",BT17=""),AND(BX17&gt;=CC$23,BX17&lt;&gt;"",BT17=""),AND(CA17&gt;=CC$23,CA17&lt;&gt;"",BT17=""),AND(CZ17&gt;=DG$23,CZ17&lt;&gt;"",CX17=""),AND(DB17&gt;=DG$23,DB17&lt;&gt;"",CX17=""),AND(DE17&gt;=DG$23,DE17&lt;&gt;"",CX17=""),AND(EA17&gt;=EG$23,EA17&lt;&gt;""),AND(EE17&gt;=EG$23,EE17&lt;&gt;""),AND(EW17&gt;=FC$23,EW17&lt;&gt;""),AND(FA17&gt;=FC$23,FA17&lt;&gt;""),AND(FS17&gt;=FY$23,FS17&lt;&gt;""),AND(FW17&gt;=FY$23,FW17&lt;&gt;""),AND(GO17&gt;=GU$23,GO17&lt;&gt;""),AND(GS17&gt;=GU$23,GS17&lt;&gt;""),AND(HK17&gt;=HQ$23,HK17&lt;&gt;""),AND(HO17&gt;=HQ$23,HO17&lt;&gt;""),AND(IG17&gt;=IM$23,IG17&lt;&gt;""),AND(IK17&gt;=IM$23,IK17&lt;&gt;""),AND(JC17&gt;=JI$23,JC17&lt;&gt;""),AND(JG17&gt;=JI$23,JG17&lt;&gt;""),AND(JY17&gt;=KE$23,JY17&lt;&gt;""),AND(KC17&gt;=KE$23,KC17&lt;&gt;""),AND(KU17&gt;=LA$23,KU17&lt;&gt;""),AND(KY17&gt;=LA$23,KY17&lt;&gt;""),AND(LQ17&gt;=LW$23,LQ17&lt;&gt;""),AND(LU17&gt;=LW$23,LU17&lt;&gt;""),AND(MM17&gt;=MS$23,MM17&lt;&gt;""),AND(MQ17&gt;=MS$23,MQ17&lt;&gt;""),AND(NI17&gt;=NO$23,NI17&lt;&gt;""),AND(NM17&gt;=NO$23,NM17&lt;&gt;"")),"National Team",""))))</f>
        <v/>
      </c>
      <c r="H17" s="125" t="str">
        <f>IF(OR(AND(AS17&gt;=AY$30,AS17&lt;&gt;"",AP17=""),AND(AU17&gt;=AY$30,AU17&lt;&gt;"",AP17=""),AND(AX17&gt;=AY$30,AX17&lt;&gt;"",AP17=""),AND(BW17&gt;=CC$30,BW17&lt;&gt;"",BT17=""),AND(BY17&gt;=CC$30,BY17&lt;&gt;"",BT17=""),AND(CB17&gt;=CC$30,CB17&lt;&gt;"",BT17=""),AND(DA17&gt;=DG$30,DA17&lt;&gt;"",CX17=""),AND(DC17&gt;=DG$30,DC17&lt;&gt;"",CX17=""),AND(DF17&gt;=DG$30,DF17&lt;&gt;"",CX17=""),AND(EC17&gt;=EG$30,EC17&lt;&gt;""),AND(EF17&gt;=EG$30,EF17&lt;&gt;""),AND(EY17&gt;=FC$30,EY17&lt;&gt;""),AND(FB17&gt;=FC$30,FB17&lt;&gt;""),AND(FU17&gt;=FY$30,FU17&lt;&gt;""),AND(FX17&gt;=FY$30,FX17&lt;&gt;""),AND(GQ17&gt;=GU$30,GQ17&lt;&gt;""),AND(GT17&gt;=GU$30,GT17&lt;&gt;""),AND(HM17&gt;=HQ$30,HM17&lt;&gt;""),AND(HP17&gt;=HQ$30,HP17&lt;&gt;""),AND(II17&gt;=IM$30,II17&lt;&gt;""),AND(IL17&gt;=IM$30,IL17&lt;&gt;""),AND(JE17&gt;=JI$30,JE17&lt;&gt;""),AND(JH17&gt;=JI$30,JH17&lt;&gt;""),AND(KA17&gt;=KE$30,KA17&lt;&gt;""),AND(KD17&gt;=KE$30,KD17&lt;&gt;""),AND(KW17&gt;=LA$30,KW17&lt;&gt;""),AND(KZ17&gt;=LA$30,KZ17&lt;&gt;""),AND(LS17&gt;=LW$30,LS17&lt;&gt;""),AND(LV17&gt;=LW$30,LV17&lt;&gt;""),AND(MO17&gt;=MS$30,MO17&lt;&gt;""),AND(MR17&gt;=MS$30,MR17&lt;&gt;""),AND(NK17&gt;=NO$30,NK17&lt;&gt;""),AND(NN17&gt;=NO$30,NN17&lt;&gt;"")),"Merit",IF(OR(AND(AS17&gt;=AY$29,AS17&lt;&gt;"",AP17=""),AND(AU17&gt;=AY$29,AU17&lt;&gt;"",AP17=""),AND(AX17&gt;=AY$29,AX17&lt;&gt;"",AP17=""),AND(BW17&gt;=CC$29,BW17&lt;&gt;"",BT17=""),AND(BY17&gt;=CC$29,BY17&lt;&gt;"",BT17=""),AND(CB17&gt;=CC$29,CB17&lt;&gt;"",BT17=""),AND(DA17&gt;=DG$29,DA17&lt;&gt;"",CX17=""),AND(DC17&gt;=DG$29,DC17&lt;&gt;"",CX17=""),AND(DF17&gt;=DG$29,DF17&lt;&gt;"",CX17=""),AND(EC17&gt;=EG$29,EC17&lt;&gt;""),AND(EF17&gt;=EG$29,EF17&lt;&gt;""),AND(EY17&gt;=FC$29,EY17&lt;&gt;""),AND(FB17&gt;=FC$29,FB17&lt;&gt;""),AND(FU17&gt;=FY$29,FU17&lt;&gt;""),AND(FX17&gt;=FY$29,FX17&lt;&gt;""),AND(GQ17&gt;=GU$29,GQ17&lt;&gt;""),AND(GT17&gt;=GU$29,GT17&lt;&gt;""),AND(HM17&gt;=HQ$29,HM17&lt;&gt;""),AND(HP17&gt;=HQ$29,HP17&lt;&gt;""),AND(II17&gt;=IM$29,II17&lt;&gt;""),AND(IL17&gt;=IM$29,IL17&lt;&gt;""),AND(JE17&gt;=JI$29,JE17&lt;&gt;""),AND(JH17&gt;=JI$29,JH17&lt;&gt;""),AND(KA17&gt;=KE$29,KA17&lt;&gt;""),AND(KD17&gt;=KE$29,KD17&lt;&gt;""),AND(KW17&gt;=LA$29,KW17&lt;&gt;""),AND(KZ17&gt;=LA$29,KZ17&lt;&gt;""),AND(LS17&gt;=LW$29,LS17&lt;&gt;""),AND(LV17&gt;=LW$29,LV17&lt;&gt;""),AND(MO17&gt;=MS$29,MO17&lt;&gt;""),AND(MR17&gt;=MS$29,MR17&lt;&gt;""),AND(NK17&gt;=NO$29,NK17&lt;&gt;""),AND(NN17&gt;=NO$29,NN17&lt;&gt;"")),"Excellence",IF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"Worlds Team",IF(OR(AND(AV17&gt;=AY$27,AV17&lt;&gt;"",AP17=""),AND(BZ17&gt;=CC$27,BZ17&lt;&gt;"",BT17=""),AND(DD17&gt;=DG$27,DD17&lt;&gt;"",CX17=""),AND(ED17&gt;=EG$27,ED17&lt;&gt;""),AND(EZ17&gt;=FC$27,EZ17&lt;&gt;""),AND(FV17&gt;=FY$27,FV17&lt;&gt;""),AND(GR17&gt;=GU$27,GR17&lt;&gt;""),AND(HN17&gt;=HQ$27,HN17&lt;&gt;""),AND(IJ17&gt;=IM$27,IJ17&lt;&gt;""),AND(JF17&gt;=JI$27,JF17&lt;&gt;""),AND(KB17&gt;=KE$27,KB17&lt;&gt;""),AND(KX17&gt;=LA$27,KX17&lt;&gt;""),AND(LT17&gt;=LW$27,LT17&lt;&gt;""),AND(MP17&gt;=MS$27,MP17&lt;&gt;""),AND(NL17&gt;=NO$27,NL17&lt;&gt;"")),"National Team",""))))</f>
        <v/>
      </c>
      <c r="I17" s="126" t="str">
        <f>IF(AND(G17="Merit",H17="Merit"),"Merit",IF(AND(OR(G17="Merit",G17="Excellence"),OR(H17="Merit",H17="Excellence")),"Excellence",IF(AND(OR(G17="Merit",G17="Excellence",G17="Worlds Team"),OR(H17="Merit",H17="Excellence",H17="Worlds Team")),"Worlds Team",IF(AND(OR(G17="Merit",G17="Excellence",G17="Worlds Team",G17="National Team"),OR(H17="Merit",H17="Excellence",H17="Worlds Team",H17="National Team")),"National Team",IF(OR(H17="Merit",H17="Excellence",H17="Worlds Team",H17="National Team"),"No DD","")))))</f>
        <v/>
      </c>
      <c r="J17" s="3" t="str">
        <f>IF(AND(OR(AND(AV17&gt;=AY$28,AV17&lt;&gt;"",AP17=""),AND(BZ17&gt;=CC$28,BZ17&lt;&gt;"",BT17=""),AND(DD17&gt;=DG$28,DD17&lt;&gt;"",CX17=""),AND(ED17&gt;=EG$28,ED17&lt;&gt;""),AND(EZ17&gt;=FC$28,EZ17&lt;&gt;""),AND(FV17&gt;=FY$28,FV17&lt;&gt;""),AND(GR17&gt;=GU$28,GR17&lt;&gt;""),AND(HN17&gt;=HQ$28,HN17&lt;&gt;""),AND(IJ17&gt;=IM$28,IJ17&lt;&gt;""),AND(JF17&gt;=JI$28,JF17&lt;&gt;""),AND(KB17&gt;=KE$28,KB17&lt;&gt;""),AND(KX17&gt;=LA$28,KX17&lt;&gt;""),AND(LT17&gt;=LW$28,LT17&lt;&gt;""),AND(MP17&gt;=MS$28,MP17&lt;&gt;""),AND(NL17&gt;=NO$28,NL17&lt;&gt;"")),OR(G17="Worlds Team",G17="Excellence",G17="Merit")),"P","")</f>
        <v/>
      </c>
      <c r="K17" s="14">
        <f>IF(MAX(AV17,BZ17,DD17)&gt;0,MAX(AV17,BZ17,DD17),0)</f>
        <v>96.715000000000003</v>
      </c>
      <c r="L17" s="14" t="str">
        <f>IF(K17=0,"",IF(K17=DD17,$CD$1,IF(K17=BZ17,$AZ$1,IF(K17=AV17,$V$1,""))))</f>
        <v>2021 Elite Canada</v>
      </c>
      <c r="M17" s="14">
        <f>IF($K17=$AV17,MAX(BU17,CY17),IF($K17=$BZ17,MAX(AQ17,CY17),IF($K17=$DD17,MAX(AQ17,BU17),MAX(AQ17,BU17,CY17))))</f>
        <v>44.86</v>
      </c>
      <c r="N17" s="14" t="str">
        <f>IF(M17=0,"",IF(AND(M17=CY17,$L17&lt;&gt;$CD$1),$CD$1,IF(AND(M17=BU17,$L17&lt;&gt;$AZ$1),$AZ$1,IF(AND(M17=AQ17,$L17&lt;&gt;$V$1),$V$1,""))))</f>
        <v>2021 2nd Virtual Technical Trial</v>
      </c>
      <c r="O17" s="14">
        <f>IF(K17-N(AQ17)=AS17,MAX(AU17,BW17,BY17,DA17,DC17),IF(K17-N(AQ17)=AU17,MAX(AS17,BW17,BY17,DA17,DC17),IF(K17-N(BU17)=BW17,MAX(AS17,AU17,BY17,DA17,DC17),IF(K17-N(BU17)=BY17,MAX(AS17,AU17,BW17,DA17,DC17),IF(K17-N(CY17)=DA17,MAX(AS17,AU17,BW17,BY17,DC17),IF(K17-N(CY17)=DC17,MAX(AS17,AU17,BW17,BY17,DA17),MAX(AS17,AU17,BW17,BY17,DA17,DC17)))))))</f>
        <v>50.65</v>
      </c>
      <c r="P17" s="14" t="str">
        <f>IF(O17=0,"",IF(OR(O17=DC17,O17=DA17),$CD$1,IF(OR(O17=BY17,O17=BW17),$AZ$1,IF(OR(O17=AU17,O17=AS17),$V$1,""))))</f>
        <v>2021 Elite Canada</v>
      </c>
      <c r="Q17" s="14">
        <f>MAX(AX17,CB17,DF17)</f>
        <v>49.13</v>
      </c>
      <c r="R17" s="14" t="str">
        <f>IF(Q17=0,"",IF(Q17=DF17,$CD$1,IF(Q17=CB17,$AZ$1,IF(Q17=AX17,$V$1,""))))</f>
        <v>2021 Elite Canada</v>
      </c>
      <c r="S17" s="14" t="str">
        <f>IF(MAX(DH17,DI17,DJ17,DK17)&gt;0,MAX(DH17,DI17,DJ17,DK17),"")</f>
        <v/>
      </c>
      <c r="T17" s="25" t="str">
        <f>IF(S17="","",IF(S17=DH17,"(Vol 1)",IF(S17=DI17,"(Vol 2)",IF(S17=DJ17,"(Prelim)",IF(S17=DK17,"(Final)")))))</f>
        <v/>
      </c>
      <c r="U17" s="14" t="str">
        <f>IF(S17="","",IF(S17=DH17,IF(S17+IF(M17="",0,M17)=NJ17,$MT$1,IF(S17+IF(M17="",0,M17)=MN17,$LX$1,IF(S17+IF(M17="",0,M17)=LR17,$LB$1,IF(S17+IF(M17="",0,M17)=KV17,$KF$1,IF(S17+IF(M17="",0,M17)=JZ17,$JJ$1,IF(S17+IF(M17="",0,M17)=JD17,$IN$1,IF(S17+IF(M17="",0,M17)=IH17,$HR$1,IF(S17+IF(M17="",0,M17)=HL17,$GV$1,IF(S17+IF(M17="",0,M17)=GP17,$FZ$1,IF(S17+IF(M17="",0,M17)=FT17,$FD$1,IF(S17+IF(M17="",0,M17)=EX17,$EH$1,IF(S17+IF(M17="",0,M17)=EB17,$DL$1)))))))))))),IF(S17=DI17,IF(S17+IF(O17="",0,O17)=NK17,$MT$1,IF(S17+IF(O17="",0,O17)=MO17,$LX$1,IF(S17+IF(O17="",0,O17)=LS17,$LB$1,IF(S17+IF(O17="",0,O17)=KW17,$KF$1,IF(S17+IF(O17="",0,O17)=KA17,$JJ$1,IF(S17+IF(O17="",0,O17)=JE17,$IN$1,IF(S17+IF(O17="",0,O17)=II17,$HR$1,IF(S17+IF(O17="",0,O17)=HM17,$GV$1,IF(S17+IF(O17="",0,O17)=GQ17,$FZ$1,IF(S17+IF(O17="",0,O17)=FU17,$FD$1,IF(S17+IF(O17="",0,O17)=EY17,$EH$1,IF(S17+IF(O17="",0,O17)=EC17,$DL$1)))))))))))),IF(S17=DJ17,IF(S17+IF(K17="",0,K17)=NL17,$MT$1,IF(S17+IF(K17="",0,K17)=MP17,$LX$1,IF(S17+IF(K17="",0,K17)=LT17,$LB$1,IF(S17+IF(K17="",0,K17)=KX17,$KF$1,IF(S17+IF(K17="",0,K17)=KB17,$JJ$1,IF(S17+IF(K17="",0,K17)=JF17,$IN$1,IF(S17+IF(K17="",0,K17)=IJ17,$HR$1,IF(S17+IF(K17="",0,K17)=HN17,$GV$1,IF(S17+IF(K17="",0,K17)=GR17,$FZ$1,IF(S17+IF(K17="",0,K17)=FV17,$FD$1,IF(S17+IF(K17="",0,K17)=EZ17,$EH$1,IF(S17+IF(K17="",0,K17)=ED17,$DL$1)))))))))))),IF(S17=DK17,IF(S17+IF(Q17="",0,Q17)=NN17,$MT$1,IF(S17+IF(Q17="",0,Q17)=MR17,$LX$1,IF(S17+IF(Q17="",0,Q17)=LV17,$LB$1,IF(S17+IF(Q17="",0,Q17)=KZ17,$KF$1,IF(S17+IF(Q17="",0,Q17)=KD17,$JJ$1,IF(S17+IF(Q17="",0,Q17)=JH17,$IN$1,IF(S17+IF(Q17="",0,Q17)=IL17,$HR$1,IF(S17+IF(Q17="",0,Q17)=HP17,$GV$1,IF(S17+IF(Q17="",0,Q17)=GT17,$FZ$1,IF(S17+IF(Q17="",0,Q17)=FX17,$FD$1,IF(S17+IF(Q17="",0,Q17)=FB17,$EH$1,IF(S17+IF(Q17="",0,Q17)=EF17,$DL$1)))))))))))))))))</f>
        <v/>
      </c>
      <c r="V17" s="69">
        <v>17.3</v>
      </c>
      <c r="W17" s="69">
        <v>9.6999999999999993</v>
      </c>
      <c r="X17" s="69">
        <v>2.9</v>
      </c>
      <c r="Y17" s="69">
        <v>14.96</v>
      </c>
      <c r="Z17" s="69">
        <v>0</v>
      </c>
      <c r="AA17" s="69">
        <v>8.3000000000000007</v>
      </c>
      <c r="AB17" s="69">
        <v>5.5</v>
      </c>
      <c r="AC17" s="69">
        <v>8.3000000000000007</v>
      </c>
      <c r="AD17" s="69">
        <v>8.68</v>
      </c>
      <c r="AE17" s="69">
        <v>0</v>
      </c>
      <c r="AF17" s="69"/>
      <c r="AG17" s="69"/>
      <c r="AH17" s="69"/>
      <c r="AI17" s="69"/>
      <c r="AJ17" s="69"/>
      <c r="AK17" s="69">
        <v>8.6</v>
      </c>
      <c r="AL17" s="69">
        <v>5.7</v>
      </c>
      <c r="AM17" s="69">
        <v>8.3000000000000007</v>
      </c>
      <c r="AN17" s="69">
        <v>8.76</v>
      </c>
      <c r="AO17" s="69">
        <v>0</v>
      </c>
      <c r="AP17" s="80"/>
      <c r="AQ17" s="11">
        <f>IF(SUM(V17:Y17)-Z17&gt;0,SUM(V17:Y17)-Z17,"")</f>
        <v>44.86</v>
      </c>
      <c r="AR17" s="11">
        <f>IF(AC17&gt;0,AC17,"")</f>
        <v>8.3000000000000007</v>
      </c>
      <c r="AS17" s="11">
        <f>IF(SUM(AA17:AD17)-AE17&gt;0,SUM(AA17:AD17)-AE17,"")</f>
        <v>30.78</v>
      </c>
      <c r="AT17" s="11" t="str">
        <f>IF(AH17&gt;0,AH17,"")</f>
        <v/>
      </c>
      <c r="AU17" s="11" t="str">
        <f>IF(SUM(AF17:AI17)-AJ17&gt;0,SUM(AF17:AI17)-AJ17,"")</f>
        <v/>
      </c>
      <c r="AV17" s="11">
        <f>IF(AQ17="",IF(MAX(AS17,AU17)&gt;0,MAX(AS17,AU17),""),MAX(AS17,AU17)+AQ17)</f>
        <v>75.64</v>
      </c>
      <c r="AW17" s="11">
        <f>IF(AM17&gt;0,AM17,"")</f>
        <v>8.3000000000000007</v>
      </c>
      <c r="AX17" s="11">
        <f>IF(SUM(AK17:AN17)-AO17&gt;0,SUM(AK17:AN17)-AO17,"")</f>
        <v>31.36</v>
      </c>
      <c r="AY17" s="11">
        <f>IF(SUM(AV17,AX17)&gt;0,SUM(AV17,AX17),"")</f>
        <v>107</v>
      </c>
      <c r="AZ17" s="75">
        <v>16</v>
      </c>
      <c r="BA17" s="75">
        <v>9.1999999999999993</v>
      </c>
      <c r="BB17" s="75">
        <v>5.2</v>
      </c>
      <c r="BC17" s="75">
        <v>14.965</v>
      </c>
      <c r="BD17" s="75">
        <v>0</v>
      </c>
      <c r="BE17" s="75">
        <v>13.4</v>
      </c>
      <c r="BF17" s="75">
        <v>9</v>
      </c>
      <c r="BG17" s="75">
        <v>13.5</v>
      </c>
      <c r="BH17" s="75">
        <v>14.75</v>
      </c>
      <c r="BI17" s="75">
        <v>0</v>
      </c>
      <c r="BJ17" s="75">
        <v>14.2</v>
      </c>
      <c r="BK17" s="75">
        <v>9</v>
      </c>
      <c r="BL17" s="75">
        <v>13.5</v>
      </c>
      <c r="BM17" s="75">
        <v>14.65</v>
      </c>
      <c r="BN17" s="75">
        <v>0</v>
      </c>
      <c r="BO17" s="75">
        <v>13.7</v>
      </c>
      <c r="BP17" s="75">
        <v>8.9</v>
      </c>
      <c r="BQ17" s="75">
        <v>12.1</v>
      </c>
      <c r="BR17" s="75">
        <v>14.43</v>
      </c>
      <c r="BS17" s="75">
        <v>0</v>
      </c>
      <c r="BT17" s="81"/>
      <c r="BU17" s="14">
        <f>IF(SUM(AZ17:BC17)-BD17&gt;0,SUM(AZ17:BC17)-BD17,"")</f>
        <v>45.364999999999995</v>
      </c>
      <c r="BV17" s="14">
        <f>IF(BG17&gt;0,BG17,"")</f>
        <v>13.5</v>
      </c>
      <c r="BW17" s="14">
        <f>IF(SUM(BE17:BH17)-BI17&gt;0,SUM(BE17:BH17)-BI17,"")</f>
        <v>50.65</v>
      </c>
      <c r="BX17" s="14">
        <f>IF(BL17&gt;0,BL17,"")</f>
        <v>13.5</v>
      </c>
      <c r="BY17" s="14">
        <f>IF(SUM(BJ17:BM17)-BN17&gt;0,SUM(BJ17:BM17)-BN17,"")</f>
        <v>51.35</v>
      </c>
      <c r="BZ17" s="14">
        <f>IF(BU17="",IF(MAX(BW17,BY17)&gt;0,MAX(BW17,BY17),""),MAX(BW17,BY17)+BU17)</f>
        <v>96.715000000000003</v>
      </c>
      <c r="CA17" s="14">
        <f>IF(BQ17&gt;0,BQ17,"")</f>
        <v>12.1</v>
      </c>
      <c r="CB17" s="14">
        <f>IF(SUM(BO17:BR17)-BS17&gt;0,SUM(BO17:BR17)-BS17,"")</f>
        <v>49.13</v>
      </c>
      <c r="CC17" s="14">
        <f>IF(SUM(BZ17,CB17)&gt;0,SUM(BZ17,CB17),"")</f>
        <v>145.845</v>
      </c>
      <c r="CD17" s="69"/>
      <c r="CE17" s="69"/>
      <c r="CF17" s="69"/>
      <c r="CG17" s="69"/>
      <c r="CH17" s="69"/>
      <c r="CI17" s="69"/>
      <c r="CJ17" s="69"/>
      <c r="CK17" s="69"/>
      <c r="CL17" s="69"/>
      <c r="CM17" s="69"/>
      <c r="CN17" s="69"/>
      <c r="CO17" s="69"/>
      <c r="CP17" s="69"/>
      <c r="CQ17" s="69"/>
      <c r="CR17" s="69"/>
      <c r="CS17" s="69"/>
      <c r="CT17" s="69"/>
      <c r="CU17" s="69"/>
      <c r="CV17" s="69"/>
      <c r="CW17" s="69"/>
      <c r="CX17" s="80"/>
      <c r="CY17" s="11" t="str">
        <f>IF(SUM(CD17:CG17)-CH17&gt;0,SUM(CD17:CG17)-CH17,"")</f>
        <v/>
      </c>
      <c r="CZ17" s="11" t="str">
        <f>IF(CK17&gt;0,CK17,"")</f>
        <v/>
      </c>
      <c r="DA17" s="11" t="str">
        <f>IF(SUM(CI17:CL17)-CM17&gt;0,SUM(CI17:CL17)-CM17,"")</f>
        <v/>
      </c>
      <c r="DB17" s="11" t="str">
        <f>IF(CP17&gt;0,CP17,"")</f>
        <v/>
      </c>
      <c r="DC17" s="11" t="str">
        <f>IF(SUM(CN17:CQ17)-CR17&gt;0,SUM(CN17:CQ17)-CR17,"")</f>
        <v/>
      </c>
      <c r="DD17" s="11" t="str">
        <f>IF(CY17="",IF(MAX(DA17,DC17)&gt;0,MAX(DA17,DC17),""),MAX(DA17,DC17)+CY17)</f>
        <v/>
      </c>
      <c r="DE17" s="11" t="str">
        <f>IF(CU17&gt;0,CU17,"")</f>
        <v/>
      </c>
      <c r="DF17" s="11" t="str">
        <f>IF(SUM(CS17:CV17)-CW17&gt;0,SUM(CS17:CV17)-CW17,"")</f>
        <v/>
      </c>
      <c r="DG17" s="11" t="str">
        <f>IF(SUM(DD17,DF17)&gt;0,SUM(DD17,DF17),"")</f>
        <v/>
      </c>
      <c r="DH17" s="24" t="str">
        <f>IF(MAX(EB17,EX17,FT17,GP17,HL17,IH17,JD17,JZ17,KV17,LR17,MN17,NJ17)-IF(M17="",0,M17)&gt;0.001,MAX(EB17,EX17,FT17,GP17,HL17,IH17,JD17,JZ17,KV17,LR17,MN17,NJ17)-IF(M17="",0,M17),"")</f>
        <v/>
      </c>
      <c r="DI17" s="24" t="str">
        <f>IF(MAX(EC17,EY17,FU17,GQ17,HM17,II17,JE17,KA17,KW17,LS17,MO17,NK17)-IF(O17="",0,O17)&gt;0.001,MAX(EC17,EY17,FU17,GQ17,HM17,II17,JE17,KA17,KW17,LS17,MO17,NK17)-IF(O17="",0,O17),"")</f>
        <v/>
      </c>
      <c r="DJ17" s="24" t="str">
        <f>IF(MAX(ED17,EZ17,FV17,GR17,HN17,IJ17,JF17,KB17,KX17,LT17,MP17,NL17)-IF(K17="",0,K17)&gt;0.001,MAX(ED17,EZ17,FV17,GR17,HN17,IJ17,JF17,KB17,KX17,LT17,MP17,NL17)-IF(K17="",0,K17),"")</f>
        <v/>
      </c>
      <c r="DK17" s="24" t="str">
        <f>IF(MAX(EF17,FB17,FX17,GT17,HP17,IL17,JH17,KD17,KZ17,LV17,MR17,NN17)-IF(Q17="",0,Q17)&gt;0.001,MAX(EF17,FB17,FX17,GT17,HP17,IL17,JH17,KD17,KZ17,LV17,MR17,NN17)-IF(Q17="",0,Q17),"")</f>
        <v/>
      </c>
      <c r="DL17" s="37"/>
      <c r="DM17" s="37"/>
      <c r="DN17" s="37"/>
      <c r="DO17" s="37"/>
      <c r="DP17" s="37"/>
      <c r="DQ17" s="37"/>
      <c r="DR17" s="37"/>
      <c r="DS17" s="37"/>
      <c r="DT17" s="37"/>
      <c r="DU17" s="37"/>
      <c r="DV17" s="37"/>
      <c r="DW17" s="37"/>
      <c r="DX17" s="37"/>
      <c r="DY17" s="37"/>
      <c r="DZ17" s="37"/>
      <c r="EA17" s="11" t="str">
        <f>IF(DS17&gt;0,DS17,"")</f>
        <v/>
      </c>
      <c r="EB17" s="11" t="str">
        <f>IF(SUM(DL17:DO17)-DP17&gt;0,SUM(DL17:DO17)-DP17,"")</f>
        <v/>
      </c>
      <c r="EC17" s="11" t="str">
        <f>IF(SUM(DQ17:DT17)-DU17&gt;0,SUM(DQ17:DT17)-DU17,"")</f>
        <v/>
      </c>
      <c r="ED17" s="11" t="str">
        <f>IF(SUM(EB17:EC17)&gt;0,SUM(EB17:EC17),"")</f>
        <v/>
      </c>
      <c r="EE17" s="11" t="str">
        <f>IF(DX17&gt;0,DX17,"")</f>
        <v/>
      </c>
      <c r="EF17" s="11" t="str">
        <f>IF(SUM(DV17:DY17)-DZ17&gt;0,SUM(DV17:DY17)-DZ17,"")</f>
        <v/>
      </c>
      <c r="EG17" s="11" t="str">
        <f>IF(SUM(ED17,EF17)&gt;0,SUM(ED17,EF17),"")</f>
        <v/>
      </c>
      <c r="EH17" s="38"/>
      <c r="EI17" s="38"/>
      <c r="EJ17" s="38"/>
      <c r="EK17" s="38"/>
      <c r="EL17" s="38"/>
      <c r="EM17" s="38"/>
      <c r="EN17" s="38"/>
      <c r="EO17" s="38"/>
      <c r="EP17" s="38"/>
      <c r="EQ17" s="38"/>
      <c r="ER17" s="38"/>
      <c r="ES17" s="38"/>
      <c r="ET17" s="38"/>
      <c r="EU17" s="38"/>
      <c r="EV17" s="38"/>
      <c r="EW17" s="14" t="str">
        <f>IF(EO17&gt;0,EO17,"")</f>
        <v/>
      </c>
      <c r="EX17" s="14" t="str">
        <f>IF(SUM(EH17:EK17)-EL17&gt;0,SUM(EH17:EK17)-EL17,"")</f>
        <v/>
      </c>
      <c r="EY17" s="14" t="str">
        <f>IF(SUM(EM17:EP17)-EQ17&gt;0,SUM(EM17:EP17)-EQ17,"")</f>
        <v/>
      </c>
      <c r="EZ17" s="14" t="str">
        <f>IF(SUM(EX17:EY17)&gt;0,SUM(EX17:EY17),"")</f>
        <v/>
      </c>
      <c r="FA17" s="14" t="str">
        <f>IF(ET17&gt;0,ET17,"")</f>
        <v/>
      </c>
      <c r="FB17" s="14" t="str">
        <f>IF(SUM(ER17:EU17)-EV17&gt;0,SUM(ER17:EU17)-EV17,"")</f>
        <v/>
      </c>
      <c r="FC17" s="14" t="str">
        <f>IF(SUM(EZ17,FB17)&gt;0,SUM(EZ17,FB17),"")</f>
        <v/>
      </c>
      <c r="FD17" s="37"/>
      <c r="FE17" s="37"/>
      <c r="FF17" s="37"/>
      <c r="FG17" s="37"/>
      <c r="FH17" s="37"/>
      <c r="FI17" s="37"/>
      <c r="FJ17" s="37"/>
      <c r="FK17" s="37"/>
      <c r="FL17" s="37"/>
      <c r="FM17" s="37"/>
      <c r="FN17" s="37"/>
      <c r="FO17" s="37"/>
      <c r="FP17" s="37"/>
      <c r="FQ17" s="37"/>
      <c r="FR17" s="37"/>
      <c r="FS17" s="11" t="str">
        <f>IF(FK17&gt;0,FK17,"")</f>
        <v/>
      </c>
      <c r="FT17" s="11" t="str">
        <f>IF(SUM(FD17:FG17)-FH17&gt;0,SUM(FD17:FG17)-FH17,"")</f>
        <v/>
      </c>
      <c r="FU17" s="11" t="str">
        <f>IF(SUM(FI17:FL17)-FM17&gt;0,SUM(FI17:FL17)-FM17,"")</f>
        <v/>
      </c>
      <c r="FV17" s="11" t="str">
        <f>IF(SUM(FT17:FU17)&gt;0,SUM(FT17:FU17),"")</f>
        <v/>
      </c>
      <c r="FW17" s="11" t="str">
        <f>IF(FP17&gt;0,FP17,"")</f>
        <v/>
      </c>
      <c r="FX17" s="11" t="str">
        <f>IF(SUM(FN17:FQ17)-FR17&gt;0,SUM(FN17:FQ17)-FR17,"")</f>
        <v/>
      </c>
      <c r="FY17" s="11" t="str">
        <f>IF(SUM(FV17,FX17)&gt;0,SUM(FV17,FX17),"")</f>
        <v/>
      </c>
      <c r="FZ17" s="38"/>
      <c r="GA17" s="38"/>
      <c r="GB17" s="38"/>
      <c r="GC17" s="38"/>
      <c r="GD17" s="38"/>
      <c r="GE17" s="38"/>
      <c r="GF17" s="38"/>
      <c r="GG17" s="38"/>
      <c r="GH17" s="38"/>
      <c r="GI17" s="38"/>
      <c r="GJ17" s="38"/>
      <c r="GK17" s="38"/>
      <c r="GL17" s="38"/>
      <c r="GM17" s="38"/>
      <c r="GN17" s="38"/>
      <c r="GO17" s="14" t="str">
        <f>IF(GG17&gt;0,GG17,"")</f>
        <v/>
      </c>
      <c r="GP17" s="14" t="str">
        <f>IF(SUM(FZ17:GC17)-GD17&gt;0,SUM(FZ17:GC17)-GD17,"")</f>
        <v/>
      </c>
      <c r="GQ17" s="14" t="str">
        <f>IF(SUM(GE17:GH17)-GI17&gt;0,SUM(GE17:GH17)-GI17,"")</f>
        <v/>
      </c>
      <c r="GR17" s="14" t="str">
        <f>IF(SUM(GP17:GQ17)&gt;0,SUM(GP17:GQ17),"")</f>
        <v/>
      </c>
      <c r="GS17" s="14" t="str">
        <f>IF(GL17&gt;0,GL17,"")</f>
        <v/>
      </c>
      <c r="GT17" s="14" t="str">
        <f>IF(SUM(GJ17:GM17)-GN17&gt;0,SUM(GJ17:GM17)-GN17,"")</f>
        <v/>
      </c>
      <c r="GU17" s="14" t="str">
        <f>IF(SUM(GR17,GT17)&gt;0,SUM(GR17,GT17),"")</f>
        <v/>
      </c>
      <c r="GV17" s="37"/>
      <c r="GW17" s="37"/>
      <c r="GX17" s="37"/>
      <c r="GY17" s="37"/>
      <c r="GZ17" s="37"/>
      <c r="HA17" s="37"/>
      <c r="HB17" s="37"/>
      <c r="HC17" s="37"/>
      <c r="HD17" s="37"/>
      <c r="HE17" s="37"/>
      <c r="HF17" s="37"/>
      <c r="HG17" s="37"/>
      <c r="HH17" s="37"/>
      <c r="HI17" s="37"/>
      <c r="HJ17" s="37"/>
      <c r="HK17" s="11" t="str">
        <f>IF(HC17&gt;0,HC17,"")</f>
        <v/>
      </c>
      <c r="HL17" s="11" t="str">
        <f>IF(SUM(GV17:GY17)-GZ17&gt;0,SUM(GV17:GY17)-GZ17,"")</f>
        <v/>
      </c>
      <c r="HM17" s="11" t="str">
        <f>IF(SUM(HA17:HD17)-HE17&gt;0,SUM(HA17:HD17)-HE17,"")</f>
        <v/>
      </c>
      <c r="HN17" s="11" t="str">
        <f>IF(SUM(HL17:HM17)&gt;0,SUM(HL17:HM17),"")</f>
        <v/>
      </c>
      <c r="HO17" s="11" t="str">
        <f>IF(HH17&gt;0,HH17,"")</f>
        <v/>
      </c>
      <c r="HP17" s="11" t="str">
        <f>IF(SUM(HF17:HI17)-HJ17&gt;0,SUM(HF17:HI17)-HJ17,"")</f>
        <v/>
      </c>
      <c r="HQ17" s="11" t="str">
        <f>IF(SUM(HN17,HP17)&gt;0,SUM(HN17,HP17),"")</f>
        <v/>
      </c>
      <c r="HR17" s="38"/>
      <c r="HS17" s="38"/>
      <c r="HT17" s="38"/>
      <c r="HU17" s="38"/>
      <c r="HV17" s="38"/>
      <c r="HW17" s="38"/>
      <c r="HX17" s="38"/>
      <c r="HY17" s="38"/>
      <c r="HZ17" s="38"/>
      <c r="IA17" s="38"/>
      <c r="IB17" s="38"/>
      <c r="IC17" s="38"/>
      <c r="ID17" s="38"/>
      <c r="IE17" s="38"/>
      <c r="IF17" s="38"/>
      <c r="IG17" s="14" t="str">
        <f>IF(HY17&gt;0,HY17,"")</f>
        <v/>
      </c>
      <c r="IH17" s="14" t="str">
        <f>IF(SUM(HR17:HU17)-HV17&gt;0,SUM(HR17:HU17)-HV17,"")</f>
        <v/>
      </c>
      <c r="II17" s="14" t="str">
        <f>IF(SUM(HW17:HZ17)-IA17&gt;0,SUM(HW17:HZ17)-IA17,"")</f>
        <v/>
      </c>
      <c r="IJ17" s="14" t="str">
        <f>IF(SUM(IH17:II17)&gt;0,SUM(IH17:II17),"")</f>
        <v/>
      </c>
      <c r="IK17" s="14" t="str">
        <f>IF(ID17&gt;0,ID17,"")</f>
        <v/>
      </c>
      <c r="IL17" s="14" t="str">
        <f>IF(SUM(IB17:IE17)-IF17&gt;0,SUM(IB17:IE17)-IF17,"")</f>
        <v/>
      </c>
      <c r="IM17" s="14" t="str">
        <f>IF(SUM(IJ17,IL17)&gt;0,SUM(IJ17,IL17),"")</f>
        <v/>
      </c>
      <c r="IN17" s="37"/>
      <c r="IO17" s="37"/>
      <c r="IP17" s="37"/>
      <c r="IQ17" s="37"/>
      <c r="IR17" s="37"/>
      <c r="IS17" s="37"/>
      <c r="IT17" s="37"/>
      <c r="IU17" s="37"/>
      <c r="IV17" s="37"/>
      <c r="IW17" s="37"/>
      <c r="IX17" s="37"/>
      <c r="IY17" s="37"/>
      <c r="IZ17" s="37"/>
      <c r="JA17" s="37"/>
      <c r="JB17" s="37"/>
      <c r="JC17" s="11" t="str">
        <f>IF(IU17&gt;0,IU17,"")</f>
        <v/>
      </c>
      <c r="JD17" s="11" t="str">
        <f>IF(SUM(IN17:IQ17)-IR17&gt;0,SUM(IN17:IQ17)-IR17,"")</f>
        <v/>
      </c>
      <c r="JE17" s="11" t="str">
        <f>IF(SUM(IS17:IV17)-IW17&gt;0,SUM(IS17:IV17)-IW17,"")</f>
        <v/>
      </c>
      <c r="JF17" s="11" t="str">
        <f>IF(SUM(JD17:JE17)&gt;0,SUM(JD17:JE17),"")</f>
        <v/>
      </c>
      <c r="JG17" s="11" t="str">
        <f>IF(IZ17&gt;0,IZ17,"")</f>
        <v/>
      </c>
      <c r="JH17" s="11" t="str">
        <f>IF(SUM(IX17:JA17)-JB17&gt;0,SUM(IX17:JA17)-JB17,"")</f>
        <v/>
      </c>
      <c r="JI17" s="11" t="str">
        <f>IF(SUM(JF17,JH17)&gt;0,SUM(JF17,JH17),"")</f>
        <v/>
      </c>
      <c r="JJ17" s="38"/>
      <c r="JK17" s="38"/>
      <c r="JL17" s="38"/>
      <c r="JM17" s="38"/>
      <c r="JN17" s="38"/>
      <c r="JO17" s="38"/>
      <c r="JP17" s="38"/>
      <c r="JQ17" s="38"/>
      <c r="JR17" s="38"/>
      <c r="JS17" s="38"/>
      <c r="JT17" s="38"/>
      <c r="JU17" s="38"/>
      <c r="JV17" s="38"/>
      <c r="JW17" s="38"/>
      <c r="JX17" s="38"/>
      <c r="JY17" s="14" t="str">
        <f>IF(JQ17&gt;0,JQ17,"")</f>
        <v/>
      </c>
      <c r="JZ17" s="14" t="str">
        <f>IF(SUM(JJ17:JM17)-JN17&gt;0,SUM(JJ17:JM17)-JN17,"")</f>
        <v/>
      </c>
      <c r="KA17" s="14" t="str">
        <f>IF(SUM(JO17:JR17)-JS17&gt;0,SUM(JO17:JR17)-JS17,"")</f>
        <v/>
      </c>
      <c r="KB17" s="14" t="str">
        <f>IF(SUM(JZ17:KA17)&gt;0,SUM(JZ17:KA17),"")</f>
        <v/>
      </c>
      <c r="KC17" s="14" t="str">
        <f>IF(JV17&gt;0,JV17,"")</f>
        <v/>
      </c>
      <c r="KD17" s="14" t="str">
        <f>IF(SUM(JT17:JW17)-JX17&gt;0,SUM(JT17:JW17)-JX17,"")</f>
        <v/>
      </c>
      <c r="KE17" s="14" t="str">
        <f>IF(SUM(KB17,KD17)&gt;0,SUM(KB17,KD17),"")</f>
        <v/>
      </c>
      <c r="KF17" s="37"/>
      <c r="KG17" s="37"/>
      <c r="KH17" s="37"/>
      <c r="KI17" s="37"/>
      <c r="KJ17" s="37"/>
      <c r="KK17" s="37"/>
      <c r="KL17" s="37"/>
      <c r="KM17" s="37"/>
      <c r="KN17" s="37"/>
      <c r="KO17" s="37"/>
      <c r="KP17" s="37"/>
      <c r="KQ17" s="37"/>
      <c r="KR17" s="37"/>
      <c r="KS17" s="37"/>
      <c r="KT17" s="37"/>
      <c r="KU17" s="11" t="str">
        <f>IF(KM17&gt;0,KM17,"")</f>
        <v/>
      </c>
      <c r="KV17" s="11" t="str">
        <f>IF(SUM(KF17:KI17)-KJ17&gt;0,SUM(KF17:KI17)-KJ17,"")</f>
        <v/>
      </c>
      <c r="KW17" s="11" t="str">
        <f>IF(SUM(KK17:KN17)-KO17&gt;0,SUM(KK17:KN17)-KO17,"")</f>
        <v/>
      </c>
      <c r="KX17" s="11" t="str">
        <f>IF(SUM(KV17:KW17)&gt;0,SUM(KV17:KW17),"")</f>
        <v/>
      </c>
      <c r="KY17" s="11" t="str">
        <f>IF(KR17&gt;0,KR17,"")</f>
        <v/>
      </c>
      <c r="KZ17" s="11" t="str">
        <f>IF(SUM(KP17:KS17)-KT17&gt;0,SUM(KP17:KS17)-KT17,"")</f>
        <v/>
      </c>
      <c r="LA17" s="11" t="str">
        <f>IF(SUM(KX17,KZ17)&gt;0,SUM(KX17,KZ17),"")</f>
        <v/>
      </c>
      <c r="LB17" s="38"/>
      <c r="LC17" s="38"/>
      <c r="LD17" s="38"/>
      <c r="LE17" s="38"/>
      <c r="LF17" s="38"/>
      <c r="LG17" s="38"/>
      <c r="LH17" s="38"/>
      <c r="LI17" s="38"/>
      <c r="LJ17" s="38"/>
      <c r="LK17" s="38"/>
      <c r="LL17" s="38"/>
      <c r="LM17" s="38"/>
      <c r="LN17" s="38"/>
      <c r="LO17" s="38"/>
      <c r="LP17" s="38"/>
      <c r="LQ17" s="14" t="str">
        <f>IF(LI17&gt;0,LI17,"")</f>
        <v/>
      </c>
      <c r="LR17" s="14" t="str">
        <f>IF(SUM(LB17:LE17)-LF17&gt;0,SUM(LB17:LE17)-LF17,"")</f>
        <v/>
      </c>
      <c r="LS17" s="14" t="str">
        <f>IF(SUM(LG17:LJ17)-LK17&gt;0,SUM(LG17:LJ17)-LK17,"")</f>
        <v/>
      </c>
      <c r="LT17" s="14" t="str">
        <f>IF(SUM(LR17:LS17)&gt;0,SUM(LR17:LS17),"")</f>
        <v/>
      </c>
      <c r="LU17" s="14" t="str">
        <f>IF(LN17&gt;0,LN17,"")</f>
        <v/>
      </c>
      <c r="LV17" s="14" t="str">
        <f>IF(SUM(LL17:LO17)-LP17&gt;0,SUM(LL17:LO17)-LP17,"")</f>
        <v/>
      </c>
      <c r="LW17" s="14" t="str">
        <f>IF(SUM(LT17,LV17)&gt;0,SUM(LT17,LV17),"")</f>
        <v/>
      </c>
      <c r="LX17" s="37"/>
      <c r="LY17" s="37"/>
      <c r="LZ17" s="37"/>
      <c r="MA17" s="37"/>
      <c r="MB17" s="37"/>
      <c r="MC17" s="37"/>
      <c r="MD17" s="37"/>
      <c r="ME17" s="37"/>
      <c r="MF17" s="37"/>
      <c r="MG17" s="37"/>
      <c r="MH17" s="37"/>
      <c r="MI17" s="37"/>
      <c r="MJ17" s="37"/>
      <c r="MK17" s="37"/>
      <c r="ML17" s="37"/>
      <c r="MM17" s="11" t="str">
        <f>IF(ME17&gt;0,ME17,"")</f>
        <v/>
      </c>
      <c r="MN17" s="11" t="str">
        <f>IF(SUM(LX17:MA17)-MB17&gt;0,SUM(LX17:MA17)-MB17,"")</f>
        <v/>
      </c>
      <c r="MO17" s="11" t="str">
        <f>IF(SUM(MC17:MF17)-MG17&gt;0,SUM(MC17:MF17)-MG17,"")</f>
        <v/>
      </c>
      <c r="MP17" s="11" t="str">
        <f>IF(SUM(MN17:MO17)&gt;0,SUM(MN17:MO17),"")</f>
        <v/>
      </c>
      <c r="MQ17" s="11" t="str">
        <f>IF(MJ17&gt;0,MJ17,"")</f>
        <v/>
      </c>
      <c r="MR17" s="11" t="str">
        <f>IF(SUM(MH17:MK17)-ML17&gt;0,SUM(MH17:MK17)-ML17,"")</f>
        <v/>
      </c>
      <c r="MS17" s="11" t="str">
        <f>IF(SUM(MP17,MR17)&gt;0,SUM(MP17,MR17),"")</f>
        <v/>
      </c>
      <c r="MT17" s="38"/>
      <c r="MU17" s="38"/>
      <c r="MV17" s="38"/>
      <c r="MW17" s="38"/>
      <c r="MX17" s="38"/>
      <c r="MY17" s="38"/>
      <c r="MZ17" s="38"/>
      <c r="NA17" s="38"/>
      <c r="NB17" s="38"/>
      <c r="NC17" s="38"/>
      <c r="ND17" s="38"/>
      <c r="NE17" s="38"/>
      <c r="NF17" s="38"/>
      <c r="NG17" s="38"/>
      <c r="NH17" s="38"/>
      <c r="NI17" s="14" t="str">
        <f>IF(NA17&gt;0,NA17,"")</f>
        <v/>
      </c>
      <c r="NJ17" s="14" t="str">
        <f>IF(SUM(MT17:MW17)-MX17&gt;0,SUM(MT17:MW17)-MX17,"")</f>
        <v/>
      </c>
      <c r="NK17" s="14" t="str">
        <f>IF(SUM(MY17:NB17)-NC17&gt;0,SUM(MY17:NB17)-NC17,"")</f>
        <v/>
      </c>
      <c r="NL17" s="14" t="str">
        <f>IF(SUM(NJ17:NK17)&gt;0,SUM(NJ17:NK17),"")</f>
        <v/>
      </c>
      <c r="NM17" s="14" t="str">
        <f>IF(NF17&gt;0,NF17,"")</f>
        <v/>
      </c>
      <c r="NN17" s="14" t="str">
        <f>IF(SUM(ND17:NG17)-NH17&gt;0,SUM(ND17:NG17)-NH17,"")</f>
        <v/>
      </c>
      <c r="NO17" s="14" t="str">
        <f>IF(SUM(NL17,NN17)&gt;0,SUM(NL17,NN17),"")</f>
        <v/>
      </c>
      <c r="NP17" s="69">
        <f>IF($CX17="P",CD17,(CD17+AZ17)/2)</f>
        <v>8</v>
      </c>
      <c r="NQ17" s="69">
        <f>IF($CX17="P",CE17,(CE17+BA17)/2)</f>
        <v>4.5999999999999996</v>
      </c>
      <c r="NR17" s="69">
        <f>IF($CX17="P",CF17,(CF17+BB17)/2)</f>
        <v>2.6</v>
      </c>
      <c r="NS17" s="69">
        <f>IF($CX17="P",CG17,(CG17+BC17)/2)</f>
        <v>7.4824999999999999</v>
      </c>
      <c r="NT17" s="69">
        <f>IF($CX17="P",CH17,(CH17+BD17)/2)</f>
        <v>0</v>
      </c>
      <c r="NU17" s="69">
        <f>IF($CX17="P",CI17,(CI17+BE17)/2)</f>
        <v>6.7</v>
      </c>
      <c r="NV17" s="69">
        <f>IF($CX17="P",CJ17,(CJ17+BF17)/2)</f>
        <v>4.5</v>
      </c>
      <c r="NW17" s="69">
        <f>IF($CX17="P",CK17,(CK17+BG17)/2)</f>
        <v>6.75</v>
      </c>
      <c r="NX17" s="69">
        <f>IF($CX17="P",CL17,(CL17+BH17)/2)</f>
        <v>7.375</v>
      </c>
      <c r="NY17" s="69">
        <f>IF($CX17="P",CM17,(CM17+BI17)/2)</f>
        <v>0</v>
      </c>
      <c r="NZ17" s="69">
        <f>IF($CX17="P",CN17,(CN17+BJ17)/2)</f>
        <v>7.1</v>
      </c>
      <c r="OA17" s="69">
        <f>IF($CX17="P",CO17,(CO17+BK17)/2)</f>
        <v>4.5</v>
      </c>
      <c r="OB17" s="69">
        <f>IF($CX17="P",CP17,(CP17+BL17)/2)</f>
        <v>6.75</v>
      </c>
      <c r="OC17" s="69">
        <f>IF($CX17="P",CQ17,(CQ17+BM17)/2)</f>
        <v>7.3250000000000002</v>
      </c>
      <c r="OD17" s="69">
        <f>IF($CX17="P",CR17,(CR17+BN17)/2)</f>
        <v>0</v>
      </c>
      <c r="OE17" s="69">
        <f>IF($CX17="P",CS17,(CS17+BO17)/2)</f>
        <v>6.85</v>
      </c>
      <c r="OF17" s="69">
        <f>IF($CX17="P",CT17,(CT17+BP17)/2)</f>
        <v>4.45</v>
      </c>
      <c r="OG17" s="69">
        <f>IF($CX17="P",CU17,(CU17+BQ17)/2)</f>
        <v>6.05</v>
      </c>
      <c r="OH17" s="69">
        <f>IF($CX17="P",CV17,(CV17+BR17)/2)</f>
        <v>7.2149999999999999</v>
      </c>
      <c r="OI17" s="69">
        <f>IF($CX17="P",CW17,(CW17+BS17)/2)</f>
        <v>0</v>
      </c>
      <c r="OJ17" s="80" t="s">
        <v>74</v>
      </c>
      <c r="OK17" s="11">
        <f>IF(SUM(NP17:NS17)-NT17&gt;0,SUM(NP17:NS17)-NT17,"")</f>
        <v>22.682499999999997</v>
      </c>
      <c r="OL17" s="11">
        <f>IF(NW17&gt;0,NW17,"")</f>
        <v>6.75</v>
      </c>
      <c r="OM17" s="11">
        <f>IF(SUM(NU17:NX17)-NY17&gt;0,SUM(NU17:NX17)-NY17,"")</f>
        <v>25.324999999999999</v>
      </c>
      <c r="ON17" s="11">
        <f>IF(OB17&gt;0,OB17,"")</f>
        <v>6.75</v>
      </c>
      <c r="OO17" s="11">
        <f>IF(SUM(NZ17:OC17)-OD17&gt;0,SUM(NZ17:OC17)-OD17,"")</f>
        <v>25.675000000000001</v>
      </c>
      <c r="OP17" s="11">
        <f>IF(OR(OK17&lt;&gt;"",OM17&lt;&gt;"",OO17&lt;&gt;""),OK17+MAX(OM17,OO17),"")</f>
        <v>48.357500000000002</v>
      </c>
      <c r="OQ17" s="11">
        <f>IF(OG17&gt;0,OG17,"")</f>
        <v>6.05</v>
      </c>
      <c r="OR17" s="11">
        <f t="shared" si="0"/>
        <v>24.565000000000001</v>
      </c>
      <c r="OS17" s="11">
        <f t="shared" si="1"/>
        <v>72.922499999999999</v>
      </c>
    </row>
    <row r="18" spans="1:409" x14ac:dyDescent="0.2">
      <c r="A18" s="5" t="str" cm="1">
        <f t="array" ref="A18">IF(AND(G18&lt;&gt;"",H18&lt;&gt;""),SUMPRODUCT((G$4:G$21&lt;&gt;"")*(H$4:H$21&lt;&gt;"")*(E$4:E$21&gt;E18))+1,IF(H18&lt;&gt;"",SUMPRODUCT((I$4:I$21="No DD")*(E$4:E$21&gt;E18))+1+SUMPRODUCT((G$4:G$21&lt;&gt;"")*(H$4:H$21&lt;&gt;"")),""))</f>
        <v/>
      </c>
      <c r="B18" s="6" t="s">
        <v>130</v>
      </c>
      <c r="C18" s="7" t="s">
        <v>9</v>
      </c>
      <c r="D18" s="5">
        <v>2004</v>
      </c>
      <c r="E18" s="15">
        <f>SUM(K18:S18)</f>
        <v>217.815</v>
      </c>
      <c r="F18" s="3" t="str">
        <f>IF(G18&lt;&gt;"","P","")</f>
        <v/>
      </c>
      <c r="G18" s="125" t="str">
        <f>IF(OR(AND(AR18&gt;=AY$26,AR18&lt;&gt;"",AP18=""),AND(AT18&gt;=AY$26,AT18&lt;&gt;"",AP18=""),AND(AW18&gt;=AY$26,AW18&lt;&gt;"",AP18=""),AND(BV18&gt;=CC$26,BV18&lt;&gt;"",BT18=""),AND(BX18&gt;=CC$26,BX18&lt;&gt;"",BT18=""),AND(CA18&gt;=CC$26,CA18&lt;&gt;"",BT18=""),AND(CZ18&gt;=DG$26,CZ18&lt;&gt;"",CX18=""),AND(DB18&gt;=DG$26,DB18&lt;&gt;"",CX18=""),AND(DE18&gt;=DG$26,DE18&lt;&gt;"",CX18=""),AND(EA18&gt;=EG$26,EA18&lt;&gt;""),AND(EE18&gt;=EG$26,EE18&lt;&gt;""),AND(EW18&gt;=FC$26,EW18&lt;&gt;""),AND(FA18&gt;=FC$26,FA18&lt;&gt;""),AND(FS18&gt;=FY$26,FS18&lt;&gt;""),AND(FW18&gt;=FY$26,FW18&lt;&gt;""),AND(GO18&gt;=GU$26,GO18&lt;&gt;""),AND(GS18&gt;=GU$26,GS18&lt;&gt;""),AND(HK18&gt;=HQ$26,HK18&lt;&gt;""),AND(HO18&gt;=HQ$26,HO18&lt;&gt;""),AND(IG18&gt;=IM$26,IG18&lt;&gt;""),AND(IK18&gt;=IM$26,IK18&lt;&gt;""),AND(JC18&gt;=JI$26,JC18&lt;&gt;""),AND(JG18&gt;=JI$26,JG18&lt;&gt;""),AND(JY18&gt;=KE$26,JY18&lt;&gt;""),AND(KC18&gt;=KE$26,KC18&lt;&gt;""),AND(KU18&gt;=LA$26,KU18&lt;&gt;""),AND(KY18&gt;=LA$26,KY18&lt;&gt;""),AND(LQ18&gt;=LW$26,LQ18&lt;&gt;""),AND(LU18&gt;=LW$26,LU18&lt;&gt;""),AND(MM18&gt;=MS$26,MM18&lt;&gt;""),AND(MQ18&gt;=MS$26,MQ18&lt;&gt;""),AND(NI18&gt;=NO$26,NI18&lt;&gt;""),AND(NM18&gt;=NO$26,NM18&lt;&gt;"")),"Merit",IF(OR(AND(AR18&gt;=AY$25,AR18&lt;&gt;"",AP18=""),AND(AT18&gt;=AY$25,AT18&lt;&gt;"",AP18=""),AND(AW18&gt;=AY$25,AW18&lt;&gt;"",AP18=""),AND(BV18&gt;=CC$25,BV18&lt;&gt;"",BT18=""),AND(BX18&gt;=CC$25,BX18&lt;&gt;"",BT18=""),AND(CA18&gt;=CC$25,CA18&lt;&gt;"",BT18=""),AND(CZ18&gt;=DG$25,CZ18&lt;&gt;"",CX18=""),AND(DB18&gt;=DG$25,DB18&lt;&gt;"",CX18=""),AND(DE18&gt;=DG$25,DE18&lt;&gt;"",CX18=""),AND(EA18&gt;=EG$25,EA18&lt;&gt;""),AND(EE18&gt;=EG$25,EE18&lt;&gt;""),AND(EW18&gt;=FC$25,EW18&lt;&gt;""),AND(FA18&gt;=FC$25,FA18&lt;&gt;""),AND(FS18&gt;=FY$25,FS18&lt;&gt;""),AND(FW18&gt;=FY$25,FW18&lt;&gt;""),AND(GO18&gt;=GU$25,GO18&lt;&gt;""),AND(GS18&gt;=GU$25,GS18&lt;&gt;""),AND(HK18&gt;=HQ$25,HK18&lt;&gt;""),AND(HO18&gt;=HQ$25,HO18&lt;&gt;""),AND(IG18&gt;=IM$25,IG18&lt;&gt;""),AND(IK18&gt;=IM$25,IK18&lt;&gt;""),AND(JC18&gt;=JI$25,JC18&lt;&gt;""),AND(JG18&gt;=JI$25,JG18&lt;&gt;""),AND(JY18&gt;=KE$25,JY18&lt;&gt;""),AND(KC18&gt;=KE$25,KC18&lt;&gt;""),AND(KU18&gt;=LA$25,KU18&lt;&gt;""),AND(KY18&gt;=LA$25,KY18&lt;&gt;""),AND(LQ18&gt;=LW$25,LQ18&lt;&gt;""),AND(LU18&gt;=LW$25,LU18&lt;&gt;""),AND(MM18&gt;=MS$25,MM18&lt;&gt;""),AND(MQ18&gt;=MS$25,MQ18&lt;&gt;""),AND(NI18&gt;=NO$25,NI18&lt;&gt;""),AND(NM18&gt;=NO$25,NM18&lt;&gt;"")),"Excellence",IF(OR(AND(AR18&gt;=AY$24,AR18&lt;&gt;"",AP18=""),AND(AT18&gt;=AY$24,AT18&lt;&gt;"",AP18=""),AND(AW18&gt;=AY$24,AW18&lt;&gt;"",AP18=""),AND(BV18&gt;=CC$24,BV18&lt;&gt;"",BT18=""),AND(BX18&gt;=CC$24,BX18&lt;&gt;"",BT18=""),AND(CA18&gt;=CC$24,CA18&lt;&gt;"",BT18=""),AND(CZ18&gt;=DG$24,CZ18&lt;&gt;"",CX18=""),AND(DB18&gt;=DG$24,DB18&lt;&gt;"",CX18=""),AND(DE18&gt;=DG$24,DE18&lt;&gt;"",CX18=""),AND(EA18&gt;=EG$24,EA18&lt;&gt;""),AND(EE18&gt;=EG$24,EE18&lt;&gt;""),AND(EW18&gt;=FC$24,EW18&lt;&gt;""),AND(FA18&gt;=FC$24,FA18&lt;&gt;""),AND(FS18&gt;=FY$24,FS18&lt;&gt;""),AND(FW18&gt;=FY$24,FW18&lt;&gt;""),AND(GO18&gt;=GU$24,GO18&lt;&gt;""),AND(GS18&gt;=GU$24,GS18&lt;&gt;""),AND(HK18&gt;=HQ$24,HK18&lt;&gt;""),AND(HO18&gt;=HQ$24,HO18&lt;&gt;""),AND(IG18&gt;=IM$24,IG18&lt;&gt;""),AND(IK18&gt;=IM$24,IK18&lt;&gt;""),AND(JC18&gt;=JI$24,JC18&lt;&gt;""),AND(JG18&gt;=JI$24,JG18&lt;&gt;""),AND(JY18&gt;=KE$24,JY18&lt;&gt;""),AND(KC18&gt;=KE$24,KC18&lt;&gt;""),AND(KU18&gt;=LA$24,KU18&lt;&gt;""),AND(KY18&gt;=LA$24,KY18&lt;&gt;""),AND(LQ18&gt;=LW$24,LQ18&lt;&gt;""),AND(LU18&gt;=LW$24,LU18&lt;&gt;""),AND(MM18&gt;=MS$24,MM18&lt;&gt;""),AND(MQ18&gt;=MS$24,MQ18&lt;&gt;""),AND(NI18&gt;=NO$24,NI18&lt;&gt;""),AND(NM18&gt;=NO$24,NM18&lt;&gt;"")),"Worlds Team",IF(OR(AND(AR18&gt;=AY$23,AR18&lt;&gt;"",AP18=""),AND(AT18&gt;=AY$23,AT18&lt;&gt;"",AP18=""),AND(AW18&gt;=AY$23,AW18&lt;&gt;"",AP18=""),AND(BV18&gt;=CC$23,BV18&lt;&gt;"",BT18=""),AND(BX18&gt;=CC$23,BX18&lt;&gt;"",BT18=""),AND(CA18&gt;=CC$23,CA18&lt;&gt;"",BT18=""),AND(CZ18&gt;=DG$23,CZ18&lt;&gt;"",CX18=""),AND(DB18&gt;=DG$23,DB18&lt;&gt;"",CX18=""),AND(DE18&gt;=DG$23,DE18&lt;&gt;"",CX18=""),AND(EA18&gt;=EG$23,EA18&lt;&gt;""),AND(EE18&gt;=EG$23,EE18&lt;&gt;""),AND(EW18&gt;=FC$23,EW18&lt;&gt;""),AND(FA18&gt;=FC$23,FA18&lt;&gt;""),AND(FS18&gt;=FY$23,FS18&lt;&gt;""),AND(FW18&gt;=FY$23,FW18&lt;&gt;""),AND(GO18&gt;=GU$23,GO18&lt;&gt;""),AND(GS18&gt;=GU$23,GS18&lt;&gt;""),AND(HK18&gt;=HQ$23,HK18&lt;&gt;""),AND(HO18&gt;=HQ$23,HO18&lt;&gt;""),AND(IG18&gt;=IM$23,IG18&lt;&gt;""),AND(IK18&gt;=IM$23,IK18&lt;&gt;""),AND(JC18&gt;=JI$23,JC18&lt;&gt;""),AND(JG18&gt;=JI$23,JG18&lt;&gt;""),AND(JY18&gt;=KE$23,JY18&lt;&gt;""),AND(KC18&gt;=KE$23,KC18&lt;&gt;""),AND(KU18&gt;=LA$23,KU18&lt;&gt;""),AND(KY18&gt;=LA$23,KY18&lt;&gt;""),AND(LQ18&gt;=LW$23,LQ18&lt;&gt;""),AND(LU18&gt;=LW$23,LU18&lt;&gt;""),AND(MM18&gt;=MS$23,MM18&lt;&gt;""),AND(MQ18&gt;=MS$23,MQ18&lt;&gt;""),AND(NI18&gt;=NO$23,NI18&lt;&gt;""),AND(NM18&gt;=NO$23,NM18&lt;&gt;"")),"National Team",""))))</f>
        <v/>
      </c>
      <c r="H18" s="125" t="str">
        <f>IF(OR(AND(AS18&gt;=AY$30,AS18&lt;&gt;"",AP18=""),AND(AU18&gt;=AY$30,AU18&lt;&gt;"",AP18=""),AND(AX18&gt;=AY$30,AX18&lt;&gt;"",AP18=""),AND(BW18&gt;=CC$30,BW18&lt;&gt;"",BT18=""),AND(BY18&gt;=CC$30,BY18&lt;&gt;"",BT18=""),AND(CB18&gt;=CC$30,CB18&lt;&gt;"",BT18=""),AND(DA18&gt;=DG$30,DA18&lt;&gt;"",CX18=""),AND(DC18&gt;=DG$30,DC18&lt;&gt;"",CX18=""),AND(DF18&gt;=DG$30,DF18&lt;&gt;"",CX18=""),AND(EC18&gt;=EG$30,EC18&lt;&gt;""),AND(EF18&gt;=EG$30,EF18&lt;&gt;""),AND(EY18&gt;=FC$30,EY18&lt;&gt;""),AND(FB18&gt;=FC$30,FB18&lt;&gt;""),AND(FU18&gt;=FY$30,FU18&lt;&gt;""),AND(FX18&gt;=FY$30,FX18&lt;&gt;""),AND(GQ18&gt;=GU$30,GQ18&lt;&gt;""),AND(GT18&gt;=GU$30,GT18&lt;&gt;""),AND(HM18&gt;=HQ$30,HM18&lt;&gt;""),AND(HP18&gt;=HQ$30,HP18&lt;&gt;""),AND(II18&gt;=IM$30,II18&lt;&gt;""),AND(IL18&gt;=IM$30,IL18&lt;&gt;""),AND(JE18&gt;=JI$30,JE18&lt;&gt;""),AND(JH18&gt;=JI$30,JH18&lt;&gt;""),AND(KA18&gt;=KE$30,KA18&lt;&gt;""),AND(KD18&gt;=KE$30,KD18&lt;&gt;""),AND(KW18&gt;=LA$30,KW18&lt;&gt;""),AND(KZ18&gt;=LA$30,KZ18&lt;&gt;""),AND(LS18&gt;=LW$30,LS18&lt;&gt;""),AND(LV18&gt;=LW$30,LV18&lt;&gt;""),AND(MO18&gt;=MS$30,MO18&lt;&gt;""),AND(MR18&gt;=MS$30,MR18&lt;&gt;""),AND(NK18&gt;=NO$30,NK18&lt;&gt;""),AND(NN18&gt;=NO$30,NN18&lt;&gt;"")),"Merit",IF(OR(AND(AS18&gt;=AY$29,AS18&lt;&gt;"",AP18=""),AND(AU18&gt;=AY$29,AU18&lt;&gt;"",AP18=""),AND(AX18&gt;=AY$29,AX18&lt;&gt;"",AP18=""),AND(BW18&gt;=CC$29,BW18&lt;&gt;"",BT18=""),AND(BY18&gt;=CC$29,BY18&lt;&gt;"",BT18=""),AND(CB18&gt;=CC$29,CB18&lt;&gt;"",BT18=""),AND(DA18&gt;=DG$29,DA18&lt;&gt;"",CX18=""),AND(DC18&gt;=DG$29,DC18&lt;&gt;"",CX18=""),AND(DF18&gt;=DG$29,DF18&lt;&gt;"",CX18=""),AND(EC18&gt;=EG$29,EC18&lt;&gt;""),AND(EF18&gt;=EG$29,EF18&lt;&gt;""),AND(EY18&gt;=FC$29,EY18&lt;&gt;""),AND(FB18&gt;=FC$29,FB18&lt;&gt;""),AND(FU18&gt;=FY$29,FU18&lt;&gt;""),AND(FX18&gt;=FY$29,FX18&lt;&gt;""),AND(GQ18&gt;=GU$29,GQ18&lt;&gt;""),AND(GT18&gt;=GU$29,GT18&lt;&gt;""),AND(HM18&gt;=HQ$29,HM18&lt;&gt;""),AND(HP18&gt;=HQ$29,HP18&lt;&gt;""),AND(II18&gt;=IM$29,II18&lt;&gt;""),AND(IL18&gt;=IM$29,IL18&lt;&gt;""),AND(JE18&gt;=JI$29,JE18&lt;&gt;""),AND(JH18&gt;=JI$29,JH18&lt;&gt;""),AND(KA18&gt;=KE$29,KA18&lt;&gt;""),AND(KD18&gt;=KE$29,KD18&lt;&gt;""),AND(KW18&gt;=LA$29,KW18&lt;&gt;""),AND(KZ18&gt;=LA$29,KZ18&lt;&gt;""),AND(LS18&gt;=LW$29,LS18&lt;&gt;""),AND(LV18&gt;=LW$29,LV18&lt;&gt;""),AND(MO18&gt;=MS$29,MO18&lt;&gt;""),AND(MR18&gt;=MS$29,MR18&lt;&gt;""),AND(NK18&gt;=NO$29,NK18&lt;&gt;""),AND(NN18&gt;=NO$29,NN18&lt;&gt;"")),"Excellence",IF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"Worlds Team",IF(OR(AND(AV18&gt;=AY$27,AV18&lt;&gt;"",AP18=""),AND(BZ18&gt;=CC$27,BZ18&lt;&gt;"",BT18=""),AND(DD18&gt;=DG$27,DD18&lt;&gt;"",CX18=""),AND(ED18&gt;=EG$27,ED18&lt;&gt;""),AND(EZ18&gt;=FC$27,EZ18&lt;&gt;""),AND(FV18&gt;=FY$27,FV18&lt;&gt;""),AND(GR18&gt;=GU$27,GR18&lt;&gt;""),AND(HN18&gt;=HQ$27,HN18&lt;&gt;""),AND(IJ18&gt;=IM$27,IJ18&lt;&gt;""),AND(JF18&gt;=JI$27,JF18&lt;&gt;""),AND(KB18&gt;=KE$27,KB18&lt;&gt;""),AND(KX18&gt;=LA$27,KX18&lt;&gt;""),AND(LT18&gt;=LW$27,LT18&lt;&gt;""),AND(MP18&gt;=MS$27,MP18&lt;&gt;""),AND(NL18&gt;=NO$27,NL18&lt;&gt;"")),"National Team",""))))</f>
        <v/>
      </c>
      <c r="I18" s="126" t="str">
        <f>IF(AND(G18="Merit",H18="Merit"),"Merit",IF(AND(OR(G18="Merit",G18="Excellence"),OR(H18="Merit",H18="Excellence")),"Excellence",IF(AND(OR(G18="Merit",G18="Excellence",G18="Worlds Team"),OR(H18="Merit",H18="Excellence",H18="Worlds Team")),"Worlds Team",IF(AND(OR(G18="Merit",G18="Excellence",G18="Worlds Team",G18="National Team"),OR(H18="Merit",H18="Excellence",H18="Worlds Team",H18="National Team")),"National Team",IF(OR(H18="Merit",H18="Excellence",H18="Worlds Team",H18="National Team"),"No DD","")))))</f>
        <v/>
      </c>
      <c r="J18" s="3" t="str">
        <f>IF(AND(OR(AND(AV18&gt;=AY$28,AV18&lt;&gt;"",AP18=""),AND(BZ18&gt;=CC$28,BZ18&lt;&gt;"",BT18=""),AND(DD18&gt;=DG$28,DD18&lt;&gt;"",CX18=""),AND(ED18&gt;=EG$28,ED18&lt;&gt;""),AND(EZ18&gt;=FC$28,EZ18&lt;&gt;""),AND(FV18&gt;=FY$28,FV18&lt;&gt;""),AND(GR18&gt;=GU$28,GR18&lt;&gt;""),AND(HN18&gt;=HQ$28,HN18&lt;&gt;""),AND(IJ18&gt;=IM$28,IJ18&lt;&gt;""),AND(JF18&gt;=JI$28,JF18&lt;&gt;""),AND(KB18&gt;=KE$28,KB18&lt;&gt;""),AND(KX18&gt;=LA$28,KX18&lt;&gt;""),AND(LT18&gt;=LW$28,LT18&lt;&gt;""),AND(MP18&gt;=MS$28,MP18&lt;&gt;""),AND(NL18&gt;=NO$28,NL18&lt;&gt;"")),OR(G18="Worlds Team",G18="Excellence",G18="Merit")),"P","")</f>
        <v/>
      </c>
      <c r="K18" s="14">
        <f>IF(MAX(AV18,BZ18,DD18)&gt;0,MAX(AV18,BZ18,DD18),0)</f>
        <v>96.43</v>
      </c>
      <c r="L18" s="14" t="str">
        <f>IF(K18=0,"",IF(K18=DD18,$CD$1,IF(K18=BZ18,$AZ$1,IF(K18=AV18,$V$1,""))))</f>
        <v>2021 Canadian Championships</v>
      </c>
      <c r="M18" s="14">
        <f>IF($K18=$AV18,MAX(BU18,CY18),IF($K18=$BZ18,MAX(AQ18,CY18),IF($K18=$DD18,MAX(AQ18,BU18),MAX(AQ18,BU18,CY18))))</f>
        <v>45.739999999999995</v>
      </c>
      <c r="N18" s="14" t="str">
        <f>IF(M18=0,"",IF(AND(M18=CY18,$L18&lt;&gt;$CD$1),$CD$1,IF(AND(M18=BU18,$L18&lt;&gt;$AZ$1),$AZ$1,IF(AND(M18=AQ18,$L18&lt;&gt;$V$1),$V$1,""))))</f>
        <v>2021 2nd Virtual Technical Trial</v>
      </c>
      <c r="O18" s="14">
        <f>IF(K18-N(AQ18)=AS18,MAX(AU18,BW18,BY18,DA18,DC18),IF(K18-N(AQ18)=AU18,MAX(AS18,BW18,BY18,DA18,DC18),IF(K18-N(BU18)=BW18,MAX(AS18,AU18,BY18,DA18,DC18),IF(K18-N(BU18)=BY18,MAX(AS18,AU18,BW18,DA18,DC18),IF(K18-N(CY18)=DA18,MAX(AS18,AU18,BW18,BY18,DC18),IF(K18-N(CY18)=DC18,MAX(AS18,AU18,BW18,BY18,DA18),MAX(AS18,AU18,BW18,BY18,DA18,DC18)))))))</f>
        <v>38.155000000000001</v>
      </c>
      <c r="P18" s="14" t="str">
        <f>IF(O18=0,"",IF(OR(O18=DC18,O18=DA18),$CD$1,IF(OR(O18=BY18,O18=BW18),$AZ$1,IF(OR(O18=AU18,O18=AS18),$V$1,""))))</f>
        <v>2021 Canadian Championships</v>
      </c>
      <c r="Q18" s="14">
        <f>MAX(AX18,CB18,DF18)</f>
        <v>37.489999999999995</v>
      </c>
      <c r="R18" s="14" t="str">
        <f>IF(Q18=0,"",IF(Q18=DF18,$CD$1,IF(Q18=CB18,$AZ$1,IF(Q18=AX18,$V$1,""))))</f>
        <v>2021 2nd Virtual Technical Trial</v>
      </c>
      <c r="S18" s="14" t="str">
        <f>IF(MAX(DH18,DI18,DJ18,DK18)&gt;0,MAX(DH18,DI18,DJ18,DK18),"")</f>
        <v/>
      </c>
      <c r="T18" s="25" t="str">
        <f>IF(S18="","",IF(S18=DH18,"(Vol 1)",IF(S18=DI18,"(Vol 2)",IF(S18=DJ18,"(Prelim)",IF(S18=DK18,"(Final)")))))</f>
        <v/>
      </c>
      <c r="U18" s="14" t="str">
        <f>IF(S18="","",IF(S18=DH18,IF(S18+IF(M18="",0,M18)=NJ18,$MT$1,IF(S18+IF(M18="",0,M18)=MN18,$LX$1,IF(S18+IF(M18="",0,M18)=LR18,$LB$1,IF(S18+IF(M18="",0,M18)=KV18,$KF$1,IF(S18+IF(M18="",0,M18)=JZ18,$JJ$1,IF(S18+IF(M18="",0,M18)=JD18,$IN$1,IF(S18+IF(M18="",0,M18)=IH18,$HR$1,IF(S18+IF(M18="",0,M18)=HL18,$GV$1,IF(S18+IF(M18="",0,M18)=GP18,$FZ$1,IF(S18+IF(M18="",0,M18)=FT18,$FD$1,IF(S18+IF(M18="",0,M18)=EX18,$EH$1,IF(S18+IF(M18="",0,M18)=EB18,$DL$1)))))))))))),IF(S18=DI18,IF(S18+IF(O18="",0,O18)=NK18,$MT$1,IF(S18+IF(O18="",0,O18)=MO18,$LX$1,IF(S18+IF(O18="",0,O18)=LS18,$LB$1,IF(S18+IF(O18="",0,O18)=KW18,$KF$1,IF(S18+IF(O18="",0,O18)=KA18,$JJ$1,IF(S18+IF(O18="",0,O18)=JE18,$IN$1,IF(S18+IF(O18="",0,O18)=II18,$HR$1,IF(S18+IF(O18="",0,O18)=HM18,$GV$1,IF(S18+IF(O18="",0,O18)=GQ18,$FZ$1,IF(S18+IF(O18="",0,O18)=FU18,$FD$1,IF(S18+IF(O18="",0,O18)=EY18,$EH$1,IF(S18+IF(O18="",0,O18)=EC18,$DL$1)))))))))))),IF(S18=DJ18,IF(S18+IF(K18="",0,K18)=NL18,$MT$1,IF(S18+IF(K18="",0,K18)=MP18,$LX$1,IF(S18+IF(K18="",0,K18)=LT18,$LB$1,IF(S18+IF(K18="",0,K18)=KX18,$KF$1,IF(S18+IF(K18="",0,K18)=KB18,$JJ$1,IF(S18+IF(K18="",0,K18)=JF18,$IN$1,IF(S18+IF(K18="",0,K18)=IJ18,$HR$1,IF(S18+IF(K18="",0,K18)=HN18,$GV$1,IF(S18+IF(K18="",0,K18)=GR18,$FZ$1,IF(S18+IF(K18="",0,K18)=FV18,$FD$1,IF(S18+IF(K18="",0,K18)=EZ18,$EH$1,IF(S18+IF(K18="",0,K18)=ED18,$DL$1)))))))))))),IF(S18=DK18,IF(S18+IF(Q18="",0,Q18)=NN18,$MT$1,IF(S18+IF(Q18="",0,Q18)=MR18,$LX$1,IF(S18+IF(Q18="",0,Q18)=LV18,$LB$1,IF(S18+IF(Q18="",0,Q18)=KZ18,$KF$1,IF(S18+IF(Q18="",0,Q18)=KD18,$JJ$1,IF(S18+IF(Q18="",0,Q18)=JH18,$IN$1,IF(S18+IF(Q18="",0,Q18)=IL18,$HR$1,IF(S18+IF(Q18="",0,Q18)=HP18,$GV$1,IF(S18+IF(Q18="",0,Q18)=GT18,$FZ$1,IF(S18+IF(Q18="",0,Q18)=FX18,$FD$1,IF(S18+IF(Q18="",0,Q18)=FB18,$EH$1,IF(S18+IF(Q18="",0,Q18)=EF18,$DL$1)))))))))))))))))</f>
        <v/>
      </c>
      <c r="V18" s="69">
        <v>16.899999999999999</v>
      </c>
      <c r="W18" s="69">
        <v>9.4</v>
      </c>
      <c r="X18" s="69">
        <v>3.5</v>
      </c>
      <c r="Y18" s="69">
        <v>15.94</v>
      </c>
      <c r="Z18" s="69">
        <v>0</v>
      </c>
      <c r="AA18" s="69">
        <v>1.6</v>
      </c>
      <c r="AB18" s="69">
        <v>0.9</v>
      </c>
      <c r="AC18" s="69">
        <v>1.7</v>
      </c>
      <c r="AD18" s="69">
        <v>1.615</v>
      </c>
      <c r="AE18" s="69">
        <v>0</v>
      </c>
      <c r="AF18" s="69">
        <v>5.8</v>
      </c>
      <c r="AG18" s="69">
        <v>3.4</v>
      </c>
      <c r="AH18" s="69">
        <v>5.4</v>
      </c>
      <c r="AI18" s="69">
        <v>6.03</v>
      </c>
      <c r="AJ18" s="69">
        <v>0</v>
      </c>
      <c r="AK18" s="69">
        <v>10.9</v>
      </c>
      <c r="AL18" s="69">
        <v>6.5</v>
      </c>
      <c r="AM18" s="69">
        <v>9.4</v>
      </c>
      <c r="AN18" s="69">
        <v>10.69</v>
      </c>
      <c r="AO18" s="69">
        <v>0</v>
      </c>
      <c r="AP18" s="80"/>
      <c r="AQ18" s="11">
        <f>IF(SUM(V18:Y18)-Z18&gt;0,SUM(V18:Y18)-Z18,"")</f>
        <v>45.739999999999995</v>
      </c>
      <c r="AR18" s="11">
        <f>IF(AC18&gt;0,AC18,"")</f>
        <v>1.7</v>
      </c>
      <c r="AS18" s="11">
        <f>IF(SUM(AA18:AD18)-AE18&gt;0,SUM(AA18:AD18)-AE18,"")</f>
        <v>5.8150000000000004</v>
      </c>
      <c r="AT18" s="11">
        <f>IF(AH18&gt;0,AH18,"")</f>
        <v>5.4</v>
      </c>
      <c r="AU18" s="11">
        <f>IF(SUM(AF18:AI18)-AJ18&gt;0,SUM(AF18:AI18)-AJ18,"")</f>
        <v>20.63</v>
      </c>
      <c r="AV18" s="11">
        <f>IF(AQ18="",IF(MAX(AS18,AU18)&gt;0,MAX(AS18,AU18),""),MAX(AS18,AU18)+AQ18)</f>
        <v>66.36999999999999</v>
      </c>
      <c r="AW18" s="11">
        <f>IF(AM18&gt;0,AM18,"")</f>
        <v>9.4</v>
      </c>
      <c r="AX18" s="11">
        <f>IF(SUM(AK18:AN18)-AO18&gt;0,SUM(AK18:AN18)-AO18,"")</f>
        <v>37.489999999999995</v>
      </c>
      <c r="AY18" s="11">
        <f>IF(SUM(AV18,AX18)&gt;0,SUM(AV18,AX18),"")</f>
        <v>103.85999999999999</v>
      </c>
      <c r="AZ18" s="75"/>
      <c r="BA18" s="75"/>
      <c r="BB18" s="75"/>
      <c r="BC18" s="75"/>
      <c r="BD18" s="75"/>
      <c r="BE18" s="75"/>
      <c r="BF18" s="75"/>
      <c r="BG18" s="75"/>
      <c r="BH18" s="75"/>
      <c r="BI18" s="75"/>
      <c r="BJ18" s="75"/>
      <c r="BK18" s="75"/>
      <c r="BL18" s="75"/>
      <c r="BM18" s="75"/>
      <c r="BN18" s="75"/>
      <c r="BO18" s="75"/>
      <c r="BP18" s="75"/>
      <c r="BQ18" s="75"/>
      <c r="BR18" s="75"/>
      <c r="BS18" s="75"/>
      <c r="BT18" s="81"/>
      <c r="BU18" s="14" t="str">
        <f>IF(SUM(AZ18:BC18)-BD18&gt;0,SUM(AZ18:BC18)-BD18,"")</f>
        <v/>
      </c>
      <c r="BV18" s="14" t="str">
        <f>IF(BG18&gt;0,BG18,"")</f>
        <v/>
      </c>
      <c r="BW18" s="14" t="str">
        <f>IF(SUM(BE18:BH18)-BI18&gt;0,SUM(BE18:BH18)-BI18,"")</f>
        <v/>
      </c>
      <c r="BX18" s="14" t="str">
        <f>IF(BL18&gt;0,BL18,"")</f>
        <v/>
      </c>
      <c r="BY18" s="14" t="str">
        <f>IF(SUM(BJ18:BM18)-BN18&gt;0,SUM(BJ18:BM18)-BN18,"")</f>
        <v/>
      </c>
      <c r="BZ18" s="14" t="str">
        <f>IF(BU18="",IF(MAX(BW18,BY18)&gt;0,MAX(BW18,BY18),""),MAX(BW18,BY18)+BU18)</f>
        <v/>
      </c>
      <c r="CA18" s="14" t="str">
        <f>IF(BQ18&gt;0,BQ18,"")</f>
        <v/>
      </c>
      <c r="CB18" s="14" t="str">
        <f>IF(SUM(BO18:BR18)-BS18&gt;0,SUM(BO18:BR18)-BS18,"")</f>
        <v/>
      </c>
      <c r="CC18" s="14" t="str">
        <f>IF(SUM(BZ18,CB18)&gt;0,SUM(BZ18,CB18),"")</f>
        <v/>
      </c>
      <c r="CD18" s="69">
        <v>16</v>
      </c>
      <c r="CE18" s="69">
        <v>9.3000000000000007</v>
      </c>
      <c r="CF18" s="69">
        <v>3.3</v>
      </c>
      <c r="CG18" s="69">
        <v>15.77</v>
      </c>
      <c r="CH18" s="69">
        <v>0</v>
      </c>
      <c r="CI18" s="69">
        <v>10.9</v>
      </c>
      <c r="CJ18" s="69">
        <v>7.3</v>
      </c>
      <c r="CK18" s="69">
        <v>8.3000000000000007</v>
      </c>
      <c r="CL18" s="69">
        <v>11.654999999999999</v>
      </c>
      <c r="CM18" s="69">
        <v>0</v>
      </c>
      <c r="CN18" s="69">
        <v>15</v>
      </c>
      <c r="CO18" s="69">
        <v>9.3000000000000007</v>
      </c>
      <c r="CP18" s="69">
        <v>13.1</v>
      </c>
      <c r="CQ18" s="69">
        <v>15.06</v>
      </c>
      <c r="CR18" s="69">
        <v>0.4</v>
      </c>
      <c r="CS18" s="69">
        <v>5.9</v>
      </c>
      <c r="CT18" s="69">
        <v>3.9</v>
      </c>
      <c r="CU18" s="69">
        <v>5.4</v>
      </c>
      <c r="CV18" s="69">
        <v>6.085</v>
      </c>
      <c r="CW18" s="69">
        <v>0</v>
      </c>
      <c r="CX18" s="80"/>
      <c r="CY18" s="11">
        <f>IF(SUM(CD18:CG18)-CH18&gt;0,SUM(CD18:CG18)-CH18,"")</f>
        <v>44.370000000000005</v>
      </c>
      <c r="CZ18" s="11">
        <f>IF(CK18&gt;0,CK18,"")</f>
        <v>8.3000000000000007</v>
      </c>
      <c r="DA18" s="11">
        <f>IF(SUM(CI18:CL18)-CM18&gt;0,SUM(CI18:CL18)-CM18,"")</f>
        <v>38.155000000000001</v>
      </c>
      <c r="DB18" s="11">
        <f>IF(CP18&gt;0,CP18,"")</f>
        <v>13.1</v>
      </c>
      <c r="DC18" s="11">
        <f>IF(SUM(CN18:CQ18)-CR18&gt;0,SUM(CN18:CQ18)-CR18,"")</f>
        <v>52.06</v>
      </c>
      <c r="DD18" s="11">
        <f>IF(CY18="",IF(MAX(DA18,DC18)&gt;0,MAX(DA18,DC18),""),MAX(DA18,DC18)+CY18)</f>
        <v>96.43</v>
      </c>
      <c r="DE18" s="11">
        <f>IF(CU18&gt;0,CU18,"")</f>
        <v>5.4</v>
      </c>
      <c r="DF18" s="11">
        <f>IF(SUM(CS18:CV18)-CW18&gt;0,SUM(CS18:CV18)-CW18,"")</f>
        <v>21.285</v>
      </c>
      <c r="DG18" s="11">
        <f>IF(SUM(DD18,DF18)&gt;0,SUM(DD18,DF18),"")</f>
        <v>117.715</v>
      </c>
      <c r="DH18" s="24" t="str">
        <f>IF(MAX(EB18,EX18,FT18,GP18,HL18,IH18,JD18,JZ18,KV18,LR18,MN18,NJ18)-IF(M18="",0,M18)&gt;0.001,MAX(EB18,EX18,FT18,GP18,HL18,IH18,JD18,JZ18,KV18,LR18,MN18,NJ18)-IF(M18="",0,M18),"")</f>
        <v/>
      </c>
      <c r="DI18" s="24" t="str">
        <f>IF(MAX(EC18,EY18,FU18,GQ18,HM18,II18,JE18,KA18,KW18,LS18,MO18,NK18)-IF(O18="",0,O18)&gt;0.001,MAX(EC18,EY18,FU18,GQ18,HM18,II18,JE18,KA18,KW18,LS18,MO18,NK18)-IF(O18="",0,O18),"")</f>
        <v/>
      </c>
      <c r="DJ18" s="24" t="str">
        <f>IF(MAX(ED18,EZ18,FV18,GR18,HN18,IJ18,JF18,KB18,KX18,LT18,MP18,NL18)-IF(K18="",0,K18)&gt;0.001,MAX(ED18,EZ18,FV18,GR18,HN18,IJ18,JF18,KB18,KX18,LT18,MP18,NL18)-IF(K18="",0,K18),"")</f>
        <v/>
      </c>
      <c r="DK18" s="24" t="str">
        <f>IF(MAX(EF18,FB18,FX18,GT18,HP18,IL18,JH18,KD18,KZ18,LV18,MR18,NN18)-IF(Q18="",0,Q18)&gt;0.001,MAX(EF18,FB18,FX18,GT18,HP18,IL18,JH18,KD18,KZ18,LV18,MR18,NN18)-IF(Q18="",0,Q18),"")</f>
        <v/>
      </c>
      <c r="DL18" s="37"/>
      <c r="DM18" s="37"/>
      <c r="DN18" s="37"/>
      <c r="DO18" s="37"/>
      <c r="DP18" s="37"/>
      <c r="DQ18" s="37"/>
      <c r="DR18" s="37"/>
      <c r="DS18" s="37"/>
      <c r="DT18" s="37"/>
      <c r="DU18" s="37"/>
      <c r="DV18" s="37"/>
      <c r="DW18" s="37"/>
      <c r="DX18" s="37"/>
      <c r="DY18" s="37"/>
      <c r="DZ18" s="37"/>
      <c r="EA18" s="11" t="str">
        <f>IF(DS18&gt;0,DS18,"")</f>
        <v/>
      </c>
      <c r="EB18" s="11" t="str">
        <f>IF(SUM(DL18:DO18)-DP18&gt;0,SUM(DL18:DO18)-DP18,"")</f>
        <v/>
      </c>
      <c r="EC18" s="11" t="str">
        <f>IF(SUM(DQ18:DT18)-DU18&gt;0,SUM(DQ18:DT18)-DU18,"")</f>
        <v/>
      </c>
      <c r="ED18" s="11" t="str">
        <f>IF(SUM(EB18:EC18)&gt;0,SUM(EB18:EC18),"")</f>
        <v/>
      </c>
      <c r="EE18" s="11" t="str">
        <f>IF(DX18&gt;0,DX18,"")</f>
        <v/>
      </c>
      <c r="EF18" s="11" t="str">
        <f>IF(SUM(DV18:DY18)-DZ18&gt;0,SUM(DV18:DY18)-DZ18,"")</f>
        <v/>
      </c>
      <c r="EG18" s="11" t="str">
        <f>IF(SUM(ED18,EF18)&gt;0,SUM(ED18,EF18),"")</f>
        <v/>
      </c>
      <c r="EH18" s="38"/>
      <c r="EI18" s="38"/>
      <c r="EJ18" s="38"/>
      <c r="EK18" s="38"/>
      <c r="EL18" s="38"/>
      <c r="EM18" s="38"/>
      <c r="EN18" s="38"/>
      <c r="EO18" s="38"/>
      <c r="EP18" s="38"/>
      <c r="EQ18" s="38"/>
      <c r="ER18" s="38"/>
      <c r="ES18" s="38"/>
      <c r="ET18" s="38"/>
      <c r="EU18" s="38"/>
      <c r="EV18" s="38"/>
      <c r="EW18" s="14" t="str">
        <f>IF(EO18&gt;0,EO18,"")</f>
        <v/>
      </c>
      <c r="EX18" s="14" t="str">
        <f>IF(SUM(EH18:EK18)-EL18&gt;0,SUM(EH18:EK18)-EL18,"")</f>
        <v/>
      </c>
      <c r="EY18" s="14" t="str">
        <f>IF(SUM(EM18:EP18)-EQ18&gt;0,SUM(EM18:EP18)-EQ18,"")</f>
        <v/>
      </c>
      <c r="EZ18" s="14" t="str">
        <f>IF(SUM(EX18:EY18)&gt;0,SUM(EX18:EY18),"")</f>
        <v/>
      </c>
      <c r="FA18" s="14" t="str">
        <f>IF(ET18&gt;0,ET18,"")</f>
        <v/>
      </c>
      <c r="FB18" s="14" t="str">
        <f>IF(SUM(ER18:EU18)-EV18&gt;0,SUM(ER18:EU18)-EV18,"")</f>
        <v/>
      </c>
      <c r="FC18" s="14" t="str">
        <f>IF(SUM(EZ18,FB18)&gt;0,SUM(EZ18,FB18),"")</f>
        <v/>
      </c>
      <c r="FD18" s="37"/>
      <c r="FE18" s="37"/>
      <c r="FF18" s="37"/>
      <c r="FG18" s="37"/>
      <c r="FH18" s="37"/>
      <c r="FI18" s="37"/>
      <c r="FJ18" s="37"/>
      <c r="FK18" s="37"/>
      <c r="FL18" s="37"/>
      <c r="FM18" s="37"/>
      <c r="FN18" s="37"/>
      <c r="FO18" s="37"/>
      <c r="FP18" s="37"/>
      <c r="FQ18" s="37"/>
      <c r="FR18" s="37"/>
      <c r="FS18" s="11" t="str">
        <f>IF(FK18&gt;0,FK18,"")</f>
        <v/>
      </c>
      <c r="FT18" s="11" t="str">
        <f>IF(SUM(FD18:FG18)-FH18&gt;0,SUM(FD18:FG18)-FH18,"")</f>
        <v/>
      </c>
      <c r="FU18" s="11" t="str">
        <f>IF(SUM(FI18:FL18)-FM18&gt;0,SUM(FI18:FL18)-FM18,"")</f>
        <v/>
      </c>
      <c r="FV18" s="11" t="str">
        <f>IF(SUM(FT18:FU18)&gt;0,SUM(FT18:FU18),"")</f>
        <v/>
      </c>
      <c r="FW18" s="11" t="str">
        <f>IF(FP18&gt;0,FP18,"")</f>
        <v/>
      </c>
      <c r="FX18" s="11" t="str">
        <f>IF(SUM(FN18:FQ18)-FR18&gt;0,SUM(FN18:FQ18)-FR18,"")</f>
        <v/>
      </c>
      <c r="FY18" s="11" t="str">
        <f>IF(SUM(FV18,FX18)&gt;0,SUM(FV18,FX18),"")</f>
        <v/>
      </c>
      <c r="FZ18" s="38"/>
      <c r="GA18" s="38"/>
      <c r="GB18" s="38"/>
      <c r="GC18" s="38"/>
      <c r="GD18" s="38"/>
      <c r="GE18" s="38"/>
      <c r="GF18" s="38"/>
      <c r="GG18" s="38"/>
      <c r="GH18" s="38"/>
      <c r="GI18" s="38"/>
      <c r="GJ18" s="38"/>
      <c r="GK18" s="38"/>
      <c r="GL18" s="38"/>
      <c r="GM18" s="38"/>
      <c r="GN18" s="38"/>
      <c r="GO18" s="14" t="str">
        <f>IF(GG18&gt;0,GG18,"")</f>
        <v/>
      </c>
      <c r="GP18" s="14" t="str">
        <f>IF(SUM(FZ18:GC18)-GD18&gt;0,SUM(FZ18:GC18)-GD18,"")</f>
        <v/>
      </c>
      <c r="GQ18" s="14" t="str">
        <f>IF(SUM(GE18:GH18)-GI18&gt;0,SUM(GE18:GH18)-GI18,"")</f>
        <v/>
      </c>
      <c r="GR18" s="14" t="str">
        <f>IF(SUM(GP18:GQ18)&gt;0,SUM(GP18:GQ18),"")</f>
        <v/>
      </c>
      <c r="GS18" s="14" t="str">
        <f>IF(GL18&gt;0,GL18,"")</f>
        <v/>
      </c>
      <c r="GT18" s="14" t="str">
        <f>IF(SUM(GJ18:GM18)-GN18&gt;0,SUM(GJ18:GM18)-GN18,"")</f>
        <v/>
      </c>
      <c r="GU18" s="14" t="str">
        <f>IF(SUM(GR18,GT18)&gt;0,SUM(GR18,GT18),"")</f>
        <v/>
      </c>
      <c r="GV18" s="37"/>
      <c r="GW18" s="37"/>
      <c r="GX18" s="37"/>
      <c r="GY18" s="37"/>
      <c r="GZ18" s="37"/>
      <c r="HA18" s="37"/>
      <c r="HB18" s="37"/>
      <c r="HC18" s="37"/>
      <c r="HD18" s="37"/>
      <c r="HE18" s="37"/>
      <c r="HF18" s="37"/>
      <c r="HG18" s="37"/>
      <c r="HH18" s="37"/>
      <c r="HI18" s="37"/>
      <c r="HJ18" s="37"/>
      <c r="HK18" s="11" t="str">
        <f>IF(HC18&gt;0,HC18,"")</f>
        <v/>
      </c>
      <c r="HL18" s="11" t="str">
        <f>IF(SUM(GV18:GY18)-GZ18&gt;0,SUM(GV18:GY18)-GZ18,"")</f>
        <v/>
      </c>
      <c r="HM18" s="11" t="str">
        <f>IF(SUM(HA18:HD18)-HE18&gt;0,SUM(HA18:HD18)-HE18,"")</f>
        <v/>
      </c>
      <c r="HN18" s="11" t="str">
        <f>IF(SUM(HL18:HM18)&gt;0,SUM(HL18:HM18),"")</f>
        <v/>
      </c>
      <c r="HO18" s="11" t="str">
        <f>IF(HH18&gt;0,HH18,"")</f>
        <v/>
      </c>
      <c r="HP18" s="11" t="str">
        <f>IF(SUM(HF18:HI18)-HJ18&gt;0,SUM(HF18:HI18)-HJ18,"")</f>
        <v/>
      </c>
      <c r="HQ18" s="11" t="str">
        <f>IF(SUM(HN18,HP18)&gt;0,SUM(HN18,HP18),"")</f>
        <v/>
      </c>
      <c r="HR18" s="38"/>
      <c r="HS18" s="38"/>
      <c r="HT18" s="38"/>
      <c r="HU18" s="38"/>
      <c r="HV18" s="38"/>
      <c r="HW18" s="38"/>
      <c r="HX18" s="38"/>
      <c r="HY18" s="38"/>
      <c r="HZ18" s="38"/>
      <c r="IA18" s="38"/>
      <c r="IB18" s="38"/>
      <c r="IC18" s="38"/>
      <c r="ID18" s="38"/>
      <c r="IE18" s="38"/>
      <c r="IF18" s="38"/>
      <c r="IG18" s="14" t="str">
        <f>IF(HY18&gt;0,HY18,"")</f>
        <v/>
      </c>
      <c r="IH18" s="14" t="str">
        <f>IF(SUM(HR18:HU18)-HV18&gt;0,SUM(HR18:HU18)-HV18,"")</f>
        <v/>
      </c>
      <c r="II18" s="14" t="str">
        <f>IF(SUM(HW18:HZ18)-IA18&gt;0,SUM(HW18:HZ18)-IA18,"")</f>
        <v/>
      </c>
      <c r="IJ18" s="14" t="str">
        <f>IF(SUM(IH18:II18)&gt;0,SUM(IH18:II18),"")</f>
        <v/>
      </c>
      <c r="IK18" s="14" t="str">
        <f>IF(ID18&gt;0,ID18,"")</f>
        <v/>
      </c>
      <c r="IL18" s="14" t="str">
        <f>IF(SUM(IB18:IE18)-IF18&gt;0,SUM(IB18:IE18)-IF18,"")</f>
        <v/>
      </c>
      <c r="IM18" s="14" t="str">
        <f>IF(SUM(IJ18,IL18)&gt;0,SUM(IJ18,IL18),"")</f>
        <v/>
      </c>
      <c r="IN18" s="37"/>
      <c r="IO18" s="37"/>
      <c r="IP18" s="37"/>
      <c r="IQ18" s="37"/>
      <c r="IR18" s="37"/>
      <c r="IS18" s="37"/>
      <c r="IT18" s="37"/>
      <c r="IU18" s="37"/>
      <c r="IV18" s="37"/>
      <c r="IW18" s="37"/>
      <c r="IX18" s="37"/>
      <c r="IY18" s="37"/>
      <c r="IZ18" s="37"/>
      <c r="JA18" s="37"/>
      <c r="JB18" s="37"/>
      <c r="JC18" s="11" t="str">
        <f>IF(IU18&gt;0,IU18,"")</f>
        <v/>
      </c>
      <c r="JD18" s="11" t="str">
        <f>IF(SUM(IN18:IQ18)-IR18&gt;0,SUM(IN18:IQ18)-IR18,"")</f>
        <v/>
      </c>
      <c r="JE18" s="11" t="str">
        <f>IF(SUM(IS18:IV18)-IW18&gt;0,SUM(IS18:IV18)-IW18,"")</f>
        <v/>
      </c>
      <c r="JF18" s="11" t="str">
        <f>IF(SUM(JD18:JE18)&gt;0,SUM(JD18:JE18),"")</f>
        <v/>
      </c>
      <c r="JG18" s="11" t="str">
        <f>IF(IZ18&gt;0,IZ18,"")</f>
        <v/>
      </c>
      <c r="JH18" s="11" t="str">
        <f>IF(SUM(IX18:JA18)-JB18&gt;0,SUM(IX18:JA18)-JB18,"")</f>
        <v/>
      </c>
      <c r="JI18" s="11" t="str">
        <f>IF(SUM(JF18,JH18)&gt;0,SUM(JF18,JH18),"")</f>
        <v/>
      </c>
      <c r="JJ18" s="38"/>
      <c r="JK18" s="38"/>
      <c r="JL18" s="38"/>
      <c r="JM18" s="38"/>
      <c r="JN18" s="38"/>
      <c r="JO18" s="38"/>
      <c r="JP18" s="38"/>
      <c r="JQ18" s="38"/>
      <c r="JR18" s="38"/>
      <c r="JS18" s="38"/>
      <c r="JT18" s="38"/>
      <c r="JU18" s="38"/>
      <c r="JV18" s="38"/>
      <c r="JW18" s="38"/>
      <c r="JX18" s="38"/>
      <c r="JY18" s="14" t="str">
        <f>IF(JQ18&gt;0,JQ18,"")</f>
        <v/>
      </c>
      <c r="JZ18" s="14" t="str">
        <f>IF(SUM(JJ18:JM18)-JN18&gt;0,SUM(JJ18:JM18)-JN18,"")</f>
        <v/>
      </c>
      <c r="KA18" s="14" t="str">
        <f>IF(SUM(JO18:JR18)-JS18&gt;0,SUM(JO18:JR18)-JS18,"")</f>
        <v/>
      </c>
      <c r="KB18" s="14" t="str">
        <f>IF(SUM(JZ18:KA18)&gt;0,SUM(JZ18:KA18),"")</f>
        <v/>
      </c>
      <c r="KC18" s="14" t="str">
        <f>IF(JV18&gt;0,JV18,"")</f>
        <v/>
      </c>
      <c r="KD18" s="14" t="str">
        <f>IF(SUM(JT18:JW18)-JX18&gt;0,SUM(JT18:JW18)-JX18,"")</f>
        <v/>
      </c>
      <c r="KE18" s="14" t="str">
        <f>IF(SUM(KB18,KD18)&gt;0,SUM(KB18,KD18),"")</f>
        <v/>
      </c>
      <c r="KF18" s="37"/>
      <c r="KG18" s="37"/>
      <c r="KH18" s="37"/>
      <c r="KI18" s="37"/>
      <c r="KJ18" s="37"/>
      <c r="KK18" s="37"/>
      <c r="KL18" s="37"/>
      <c r="KM18" s="37"/>
      <c r="KN18" s="37"/>
      <c r="KO18" s="37"/>
      <c r="KP18" s="37"/>
      <c r="KQ18" s="37"/>
      <c r="KR18" s="37"/>
      <c r="KS18" s="37"/>
      <c r="KT18" s="37"/>
      <c r="KU18" s="11" t="str">
        <f>IF(KM18&gt;0,KM18,"")</f>
        <v/>
      </c>
      <c r="KV18" s="11" t="str">
        <f>IF(SUM(KF18:KI18)-KJ18&gt;0,SUM(KF18:KI18)-KJ18,"")</f>
        <v/>
      </c>
      <c r="KW18" s="11" t="str">
        <f>IF(SUM(KK18:KN18)-KO18&gt;0,SUM(KK18:KN18)-KO18,"")</f>
        <v/>
      </c>
      <c r="KX18" s="11" t="str">
        <f>IF(SUM(KV18:KW18)&gt;0,SUM(KV18:KW18),"")</f>
        <v/>
      </c>
      <c r="KY18" s="11" t="str">
        <f>IF(KR18&gt;0,KR18,"")</f>
        <v/>
      </c>
      <c r="KZ18" s="11" t="str">
        <f>IF(SUM(KP18:KS18)-KT18&gt;0,SUM(KP18:KS18)-KT18,"")</f>
        <v/>
      </c>
      <c r="LA18" s="11" t="str">
        <f>IF(SUM(KX18,KZ18)&gt;0,SUM(KX18,KZ18),"")</f>
        <v/>
      </c>
      <c r="LB18" s="38"/>
      <c r="LC18" s="38"/>
      <c r="LD18" s="38"/>
      <c r="LE18" s="38"/>
      <c r="LF18" s="38"/>
      <c r="LG18" s="38"/>
      <c r="LH18" s="38"/>
      <c r="LI18" s="38"/>
      <c r="LJ18" s="38"/>
      <c r="LK18" s="38"/>
      <c r="LL18" s="38"/>
      <c r="LM18" s="38"/>
      <c r="LN18" s="38"/>
      <c r="LO18" s="38"/>
      <c r="LP18" s="38"/>
      <c r="LQ18" s="14" t="str">
        <f>IF(LI18&gt;0,LI18,"")</f>
        <v/>
      </c>
      <c r="LR18" s="14" t="str">
        <f>IF(SUM(LB18:LE18)-LF18&gt;0,SUM(LB18:LE18)-LF18,"")</f>
        <v/>
      </c>
      <c r="LS18" s="14" t="str">
        <f>IF(SUM(LG18:LJ18)-LK18&gt;0,SUM(LG18:LJ18)-LK18,"")</f>
        <v/>
      </c>
      <c r="LT18" s="14" t="str">
        <f>IF(SUM(LR18:LS18)&gt;0,SUM(LR18:LS18),"")</f>
        <v/>
      </c>
      <c r="LU18" s="14" t="str">
        <f>IF(LN18&gt;0,LN18,"")</f>
        <v/>
      </c>
      <c r="LV18" s="14" t="str">
        <f>IF(SUM(LL18:LO18)-LP18&gt;0,SUM(LL18:LO18)-LP18,"")</f>
        <v/>
      </c>
      <c r="LW18" s="14" t="str">
        <f>IF(SUM(LT18,LV18)&gt;0,SUM(LT18,LV18),"")</f>
        <v/>
      </c>
      <c r="LX18" s="37"/>
      <c r="LY18" s="37"/>
      <c r="LZ18" s="37"/>
      <c r="MA18" s="37"/>
      <c r="MB18" s="37"/>
      <c r="MC18" s="37"/>
      <c r="MD18" s="37"/>
      <c r="ME18" s="37"/>
      <c r="MF18" s="37"/>
      <c r="MG18" s="37"/>
      <c r="MH18" s="37"/>
      <c r="MI18" s="37"/>
      <c r="MJ18" s="37"/>
      <c r="MK18" s="37"/>
      <c r="ML18" s="37"/>
      <c r="MM18" s="11" t="str">
        <f>IF(ME18&gt;0,ME18,"")</f>
        <v/>
      </c>
      <c r="MN18" s="11" t="str">
        <f>IF(SUM(LX18:MA18)-MB18&gt;0,SUM(LX18:MA18)-MB18,"")</f>
        <v/>
      </c>
      <c r="MO18" s="11" t="str">
        <f>IF(SUM(MC18:MF18)-MG18&gt;0,SUM(MC18:MF18)-MG18,"")</f>
        <v/>
      </c>
      <c r="MP18" s="11" t="str">
        <f>IF(SUM(MN18:MO18)&gt;0,SUM(MN18:MO18),"")</f>
        <v/>
      </c>
      <c r="MQ18" s="11" t="str">
        <f>IF(MJ18&gt;0,MJ18,"")</f>
        <v/>
      </c>
      <c r="MR18" s="11" t="str">
        <f>IF(SUM(MH18:MK18)-ML18&gt;0,SUM(MH18:MK18)-ML18,"")</f>
        <v/>
      </c>
      <c r="MS18" s="11" t="str">
        <f>IF(SUM(MP18,MR18)&gt;0,SUM(MP18,MR18),"")</f>
        <v/>
      </c>
      <c r="MT18" s="38"/>
      <c r="MU18" s="38"/>
      <c r="MV18" s="38"/>
      <c r="MW18" s="38"/>
      <c r="MX18" s="38"/>
      <c r="MY18" s="38"/>
      <c r="MZ18" s="38"/>
      <c r="NA18" s="38"/>
      <c r="NB18" s="38"/>
      <c r="NC18" s="38"/>
      <c r="ND18" s="38"/>
      <c r="NE18" s="38"/>
      <c r="NF18" s="38"/>
      <c r="NG18" s="38"/>
      <c r="NH18" s="38"/>
      <c r="NI18" s="14" t="str">
        <f>IF(NA18&gt;0,NA18,"")</f>
        <v/>
      </c>
      <c r="NJ18" s="14" t="str">
        <f>IF(SUM(MT18:MW18)-MX18&gt;0,SUM(MT18:MW18)-MX18,"")</f>
        <v/>
      </c>
      <c r="NK18" s="14" t="str">
        <f>IF(SUM(MY18:NB18)-NC18&gt;0,SUM(MY18:NB18)-NC18,"")</f>
        <v/>
      </c>
      <c r="NL18" s="14" t="str">
        <f>IF(SUM(NJ18:NK18)&gt;0,SUM(NJ18:NK18),"")</f>
        <v/>
      </c>
      <c r="NM18" s="14" t="str">
        <f>IF(NF18&gt;0,NF18,"")</f>
        <v/>
      </c>
      <c r="NN18" s="14" t="str">
        <f>IF(SUM(ND18:NG18)-NH18&gt;0,SUM(ND18:NG18)-NH18,"")</f>
        <v/>
      </c>
      <c r="NO18" s="14" t="str">
        <f>IF(SUM(NL18,NN18)&gt;0,SUM(NL18,NN18),"")</f>
        <v/>
      </c>
      <c r="NP18" s="69">
        <f>IF($CX18="P",CD18,(CD18+AZ18)/2)</f>
        <v>8</v>
      </c>
      <c r="NQ18" s="69">
        <f>IF($CX18="P",CE18,(CE18+BA18)/2)</f>
        <v>4.6500000000000004</v>
      </c>
      <c r="NR18" s="69">
        <f>IF($CX18="P",CF18,(CF18+BB18)/2)</f>
        <v>1.65</v>
      </c>
      <c r="NS18" s="69">
        <f>IF($CX18="P",CG18,(CG18+BC18)/2)</f>
        <v>7.8849999999999998</v>
      </c>
      <c r="NT18" s="69">
        <f>IF($CX18="P",CH18,(CH18+BD18)/2)</f>
        <v>0</v>
      </c>
      <c r="NU18" s="69">
        <f>IF($CX18="P",CI18,(CI18+BE18)/2)</f>
        <v>5.45</v>
      </c>
      <c r="NV18" s="69">
        <f>IF($CX18="P",CJ18,(CJ18+BF18)/2)</f>
        <v>3.65</v>
      </c>
      <c r="NW18" s="69">
        <f>IF($CX18="P",CK18,(CK18+BG18)/2)</f>
        <v>4.1500000000000004</v>
      </c>
      <c r="NX18" s="69">
        <f>IF($CX18="P",CL18,(CL18+BH18)/2)</f>
        <v>5.8274999999999997</v>
      </c>
      <c r="NY18" s="69">
        <f>IF($CX18="P",CM18,(CM18+BI18)/2)</f>
        <v>0</v>
      </c>
      <c r="NZ18" s="69">
        <f>IF($CX18="P",CN18,(CN18+BJ18)/2)</f>
        <v>7.5</v>
      </c>
      <c r="OA18" s="69">
        <f>IF($CX18="P",CO18,(CO18+BK18)/2)</f>
        <v>4.6500000000000004</v>
      </c>
      <c r="OB18" s="69">
        <f>IF($CX18="P",CP18,(CP18+BL18)/2)</f>
        <v>6.55</v>
      </c>
      <c r="OC18" s="69">
        <f>IF($CX18="P",CQ18,(CQ18+BM18)/2)</f>
        <v>7.53</v>
      </c>
      <c r="OD18" s="69">
        <f>IF($CX18="P",CR18,(CR18+BN18)/2)</f>
        <v>0.2</v>
      </c>
      <c r="OE18" s="69">
        <f>IF($CX18="P",CS18,(CS18+BO18)/2)</f>
        <v>2.95</v>
      </c>
      <c r="OF18" s="69">
        <f>IF($CX18="P",CT18,(CT18+BP18)/2)</f>
        <v>1.95</v>
      </c>
      <c r="OG18" s="69">
        <f>IF($CX18="P",CU18,(CU18+BQ18)/2)</f>
        <v>2.7</v>
      </c>
      <c r="OH18" s="69">
        <f>IF($CX18="P",CV18,(CV18+BR18)/2)</f>
        <v>3.0425</v>
      </c>
      <c r="OI18" s="69">
        <f>IF($CX18="P",CW18,(CW18+BS18)/2)</f>
        <v>0</v>
      </c>
      <c r="OJ18" s="80" t="s">
        <v>74</v>
      </c>
      <c r="OK18" s="11">
        <f>IF(SUM(NP18:NS18)-NT18&gt;0,SUM(NP18:NS18)-NT18,"")</f>
        <v>22.185000000000002</v>
      </c>
      <c r="OL18" s="11">
        <f>IF(NW18&gt;0,NW18,"")</f>
        <v>4.1500000000000004</v>
      </c>
      <c r="OM18" s="11">
        <f>IF(SUM(NU18:NX18)-NY18&gt;0,SUM(NU18:NX18)-NY18,"")</f>
        <v>19.077500000000001</v>
      </c>
      <c r="ON18" s="11">
        <f>IF(OB18&gt;0,OB18,"")</f>
        <v>6.55</v>
      </c>
      <c r="OO18" s="11">
        <f>IF(SUM(NZ18:OC18)-OD18&gt;0,SUM(NZ18:OC18)-OD18,"")</f>
        <v>26.03</v>
      </c>
      <c r="OP18" s="11">
        <f>IF(OR(OK18&lt;&gt;"",OM18&lt;&gt;"",OO18&lt;&gt;""),OK18+MAX(OM18,OO18),"")</f>
        <v>48.215000000000003</v>
      </c>
      <c r="OQ18" s="11">
        <f>IF(OG18&gt;0,OG18,"")</f>
        <v>2.7</v>
      </c>
      <c r="OR18" s="11">
        <f t="shared" si="0"/>
        <v>10.6425</v>
      </c>
      <c r="OS18" s="11">
        <f t="shared" si="1"/>
        <v>58.857500000000002</v>
      </c>
    </row>
    <row r="19" spans="1:409" x14ac:dyDescent="0.2">
      <c r="A19" s="5" t="str" cm="1">
        <f t="array" ref="A19">IF(AND(G19&lt;&gt;"",H19&lt;&gt;""),SUMPRODUCT((G$4:G$21&lt;&gt;"")*(H$4:H$21&lt;&gt;"")*(E$4:E$21&gt;E19))+1,IF(H19&lt;&gt;"",SUMPRODUCT((I$4:I$21="No DD")*(E$4:E$21&gt;E19))+1+SUMPRODUCT((G$4:G$21&lt;&gt;"")*(H$4:H$21&lt;&gt;"")),""))</f>
        <v/>
      </c>
      <c r="B19" s="6" t="s">
        <v>120</v>
      </c>
      <c r="C19" s="7" t="s">
        <v>9</v>
      </c>
      <c r="D19" s="5">
        <v>2000</v>
      </c>
      <c r="E19" s="15">
        <f>SUM(K19:S19)</f>
        <v>208.995</v>
      </c>
      <c r="F19" s="3" t="str">
        <f>IF(G19&lt;&gt;"","P","")</f>
        <v/>
      </c>
      <c r="G19" s="125" t="str">
        <f>IF(OR(AND(AR19&gt;=AY$26,AR19&lt;&gt;"",AP19=""),AND(AT19&gt;=AY$26,AT19&lt;&gt;"",AP19=""),AND(AW19&gt;=AY$26,AW19&lt;&gt;"",AP19=""),AND(BV19&gt;=CC$26,BV19&lt;&gt;"",BT19=""),AND(BX19&gt;=CC$26,BX19&lt;&gt;"",BT19=""),AND(CA19&gt;=CC$26,CA19&lt;&gt;"",BT19=""),AND(CZ19&gt;=DG$26,CZ19&lt;&gt;"",CX19=""),AND(DB19&gt;=DG$26,DB19&lt;&gt;"",CX19=""),AND(DE19&gt;=DG$26,DE19&lt;&gt;"",CX19=""),AND(EA19&gt;=EG$26,EA19&lt;&gt;""),AND(EE19&gt;=EG$26,EE19&lt;&gt;""),AND(EW19&gt;=FC$26,EW19&lt;&gt;""),AND(FA19&gt;=FC$26,FA19&lt;&gt;""),AND(FS19&gt;=FY$26,FS19&lt;&gt;""),AND(FW19&gt;=FY$26,FW19&lt;&gt;""),AND(GO19&gt;=GU$26,GO19&lt;&gt;""),AND(GS19&gt;=GU$26,GS19&lt;&gt;""),AND(HK19&gt;=HQ$26,HK19&lt;&gt;""),AND(HO19&gt;=HQ$26,HO19&lt;&gt;""),AND(IG19&gt;=IM$26,IG19&lt;&gt;""),AND(IK19&gt;=IM$26,IK19&lt;&gt;""),AND(JC19&gt;=JI$26,JC19&lt;&gt;""),AND(JG19&gt;=JI$26,JG19&lt;&gt;""),AND(JY19&gt;=KE$26,JY19&lt;&gt;""),AND(KC19&gt;=KE$26,KC19&lt;&gt;""),AND(KU19&gt;=LA$26,KU19&lt;&gt;""),AND(KY19&gt;=LA$26,KY19&lt;&gt;""),AND(LQ19&gt;=LW$26,LQ19&lt;&gt;""),AND(LU19&gt;=LW$26,LU19&lt;&gt;""),AND(MM19&gt;=MS$26,MM19&lt;&gt;""),AND(MQ19&gt;=MS$26,MQ19&lt;&gt;""),AND(NI19&gt;=NO$26,NI19&lt;&gt;""),AND(NM19&gt;=NO$26,NM19&lt;&gt;"")),"Merit",IF(OR(AND(AR19&gt;=AY$25,AR19&lt;&gt;"",AP19=""),AND(AT19&gt;=AY$25,AT19&lt;&gt;"",AP19=""),AND(AW19&gt;=AY$25,AW19&lt;&gt;"",AP19=""),AND(BV19&gt;=CC$25,BV19&lt;&gt;"",BT19=""),AND(BX19&gt;=CC$25,BX19&lt;&gt;"",BT19=""),AND(CA19&gt;=CC$25,CA19&lt;&gt;"",BT19=""),AND(CZ19&gt;=DG$25,CZ19&lt;&gt;"",CX19=""),AND(DB19&gt;=DG$25,DB19&lt;&gt;"",CX19=""),AND(DE19&gt;=DG$25,DE19&lt;&gt;"",CX19=""),AND(EA19&gt;=EG$25,EA19&lt;&gt;""),AND(EE19&gt;=EG$25,EE19&lt;&gt;""),AND(EW19&gt;=FC$25,EW19&lt;&gt;""),AND(FA19&gt;=FC$25,FA19&lt;&gt;""),AND(FS19&gt;=FY$25,FS19&lt;&gt;""),AND(FW19&gt;=FY$25,FW19&lt;&gt;""),AND(GO19&gt;=GU$25,GO19&lt;&gt;""),AND(GS19&gt;=GU$25,GS19&lt;&gt;""),AND(HK19&gt;=HQ$25,HK19&lt;&gt;""),AND(HO19&gt;=HQ$25,HO19&lt;&gt;""),AND(IG19&gt;=IM$25,IG19&lt;&gt;""),AND(IK19&gt;=IM$25,IK19&lt;&gt;""),AND(JC19&gt;=JI$25,JC19&lt;&gt;""),AND(JG19&gt;=JI$25,JG19&lt;&gt;""),AND(JY19&gt;=KE$25,JY19&lt;&gt;""),AND(KC19&gt;=KE$25,KC19&lt;&gt;""),AND(KU19&gt;=LA$25,KU19&lt;&gt;""),AND(KY19&gt;=LA$25,KY19&lt;&gt;""),AND(LQ19&gt;=LW$25,LQ19&lt;&gt;""),AND(LU19&gt;=LW$25,LU19&lt;&gt;""),AND(MM19&gt;=MS$25,MM19&lt;&gt;""),AND(MQ19&gt;=MS$25,MQ19&lt;&gt;""),AND(NI19&gt;=NO$25,NI19&lt;&gt;""),AND(NM19&gt;=NO$25,NM19&lt;&gt;"")),"Excellence",IF(OR(AND(AR19&gt;=AY$24,AR19&lt;&gt;"",AP19=""),AND(AT19&gt;=AY$24,AT19&lt;&gt;"",AP19=""),AND(AW19&gt;=AY$24,AW19&lt;&gt;"",AP19=""),AND(BV19&gt;=CC$24,BV19&lt;&gt;"",BT19=""),AND(BX19&gt;=CC$24,BX19&lt;&gt;"",BT19=""),AND(CA19&gt;=CC$24,CA19&lt;&gt;"",BT19=""),AND(CZ19&gt;=DG$24,CZ19&lt;&gt;"",CX19=""),AND(DB19&gt;=DG$24,DB19&lt;&gt;"",CX19=""),AND(DE19&gt;=DG$24,DE19&lt;&gt;"",CX19=""),AND(EA19&gt;=EG$24,EA19&lt;&gt;""),AND(EE19&gt;=EG$24,EE19&lt;&gt;""),AND(EW19&gt;=FC$24,EW19&lt;&gt;""),AND(FA19&gt;=FC$24,FA19&lt;&gt;""),AND(FS19&gt;=FY$24,FS19&lt;&gt;""),AND(FW19&gt;=FY$24,FW19&lt;&gt;""),AND(GO19&gt;=GU$24,GO19&lt;&gt;""),AND(GS19&gt;=GU$24,GS19&lt;&gt;""),AND(HK19&gt;=HQ$24,HK19&lt;&gt;""),AND(HO19&gt;=HQ$24,HO19&lt;&gt;""),AND(IG19&gt;=IM$24,IG19&lt;&gt;""),AND(IK19&gt;=IM$24,IK19&lt;&gt;""),AND(JC19&gt;=JI$24,JC19&lt;&gt;""),AND(JG19&gt;=JI$24,JG19&lt;&gt;""),AND(JY19&gt;=KE$24,JY19&lt;&gt;""),AND(KC19&gt;=KE$24,KC19&lt;&gt;""),AND(KU19&gt;=LA$24,KU19&lt;&gt;""),AND(KY19&gt;=LA$24,KY19&lt;&gt;""),AND(LQ19&gt;=LW$24,LQ19&lt;&gt;""),AND(LU19&gt;=LW$24,LU19&lt;&gt;""),AND(MM19&gt;=MS$24,MM19&lt;&gt;""),AND(MQ19&gt;=MS$24,MQ19&lt;&gt;""),AND(NI19&gt;=NO$24,NI19&lt;&gt;""),AND(NM19&gt;=NO$24,NM19&lt;&gt;"")),"Worlds Team",IF(OR(AND(AR19&gt;=AY$23,AR19&lt;&gt;"",AP19=""),AND(AT19&gt;=AY$23,AT19&lt;&gt;"",AP19=""),AND(AW19&gt;=AY$23,AW19&lt;&gt;"",AP19=""),AND(BV19&gt;=CC$23,BV19&lt;&gt;"",BT19=""),AND(BX19&gt;=CC$23,BX19&lt;&gt;"",BT19=""),AND(CA19&gt;=CC$23,CA19&lt;&gt;"",BT19=""),AND(CZ19&gt;=DG$23,CZ19&lt;&gt;"",CX19=""),AND(DB19&gt;=DG$23,DB19&lt;&gt;"",CX19=""),AND(DE19&gt;=DG$23,DE19&lt;&gt;"",CX19=""),AND(EA19&gt;=EG$23,EA19&lt;&gt;""),AND(EE19&gt;=EG$23,EE19&lt;&gt;""),AND(EW19&gt;=FC$23,EW19&lt;&gt;""),AND(FA19&gt;=FC$23,FA19&lt;&gt;""),AND(FS19&gt;=FY$23,FS19&lt;&gt;""),AND(FW19&gt;=FY$23,FW19&lt;&gt;""),AND(GO19&gt;=GU$23,GO19&lt;&gt;""),AND(GS19&gt;=GU$23,GS19&lt;&gt;""),AND(HK19&gt;=HQ$23,HK19&lt;&gt;""),AND(HO19&gt;=HQ$23,HO19&lt;&gt;""),AND(IG19&gt;=IM$23,IG19&lt;&gt;""),AND(IK19&gt;=IM$23,IK19&lt;&gt;""),AND(JC19&gt;=JI$23,JC19&lt;&gt;""),AND(JG19&gt;=JI$23,JG19&lt;&gt;""),AND(JY19&gt;=KE$23,JY19&lt;&gt;""),AND(KC19&gt;=KE$23,KC19&lt;&gt;""),AND(KU19&gt;=LA$23,KU19&lt;&gt;""),AND(KY19&gt;=LA$23,KY19&lt;&gt;""),AND(LQ19&gt;=LW$23,LQ19&lt;&gt;""),AND(LU19&gt;=LW$23,LU19&lt;&gt;""),AND(MM19&gt;=MS$23,MM19&lt;&gt;""),AND(MQ19&gt;=MS$23,MQ19&lt;&gt;""),AND(NI19&gt;=NO$23,NI19&lt;&gt;""),AND(NM19&gt;=NO$23,NM19&lt;&gt;"")),"National Team",""))))</f>
        <v/>
      </c>
      <c r="H19" s="125" t="str">
        <f>IF(OR(AND(AS19&gt;=AY$30,AS19&lt;&gt;"",AP19=""),AND(AU19&gt;=AY$30,AU19&lt;&gt;"",AP19=""),AND(AX19&gt;=AY$30,AX19&lt;&gt;"",AP19=""),AND(BW19&gt;=CC$30,BW19&lt;&gt;"",BT19=""),AND(BY19&gt;=CC$30,BY19&lt;&gt;"",BT19=""),AND(CB19&gt;=CC$30,CB19&lt;&gt;"",BT19=""),AND(DA19&gt;=DG$30,DA19&lt;&gt;"",CX19=""),AND(DC19&gt;=DG$30,DC19&lt;&gt;"",CX19=""),AND(DF19&gt;=DG$30,DF19&lt;&gt;"",CX19=""),AND(EC19&gt;=EG$30,EC19&lt;&gt;""),AND(EF19&gt;=EG$30,EF19&lt;&gt;""),AND(EY19&gt;=FC$30,EY19&lt;&gt;""),AND(FB19&gt;=FC$30,FB19&lt;&gt;""),AND(FU19&gt;=FY$30,FU19&lt;&gt;""),AND(FX19&gt;=FY$30,FX19&lt;&gt;""),AND(GQ19&gt;=GU$30,GQ19&lt;&gt;""),AND(GT19&gt;=GU$30,GT19&lt;&gt;""),AND(HM19&gt;=HQ$30,HM19&lt;&gt;""),AND(HP19&gt;=HQ$30,HP19&lt;&gt;""),AND(II19&gt;=IM$30,II19&lt;&gt;""),AND(IL19&gt;=IM$30,IL19&lt;&gt;""),AND(JE19&gt;=JI$30,JE19&lt;&gt;""),AND(JH19&gt;=JI$30,JH19&lt;&gt;""),AND(KA19&gt;=KE$30,KA19&lt;&gt;""),AND(KD19&gt;=KE$30,KD19&lt;&gt;""),AND(KW19&gt;=LA$30,KW19&lt;&gt;""),AND(KZ19&gt;=LA$30,KZ19&lt;&gt;""),AND(LS19&gt;=LW$30,LS19&lt;&gt;""),AND(LV19&gt;=LW$30,LV19&lt;&gt;""),AND(MO19&gt;=MS$30,MO19&lt;&gt;""),AND(MR19&gt;=MS$30,MR19&lt;&gt;""),AND(NK19&gt;=NO$30,NK19&lt;&gt;""),AND(NN19&gt;=NO$30,NN19&lt;&gt;"")),"Merit",IF(OR(AND(AS19&gt;=AY$29,AS19&lt;&gt;"",AP19=""),AND(AU19&gt;=AY$29,AU19&lt;&gt;"",AP19=""),AND(AX19&gt;=AY$29,AX19&lt;&gt;"",AP19=""),AND(BW19&gt;=CC$29,BW19&lt;&gt;"",BT19=""),AND(BY19&gt;=CC$29,BY19&lt;&gt;"",BT19=""),AND(CB19&gt;=CC$29,CB19&lt;&gt;"",BT19=""),AND(DA19&gt;=DG$29,DA19&lt;&gt;"",CX19=""),AND(DC19&gt;=DG$29,DC19&lt;&gt;"",CX19=""),AND(DF19&gt;=DG$29,DF19&lt;&gt;"",CX19=""),AND(EC19&gt;=EG$29,EC19&lt;&gt;""),AND(EF19&gt;=EG$29,EF19&lt;&gt;""),AND(EY19&gt;=FC$29,EY19&lt;&gt;""),AND(FB19&gt;=FC$29,FB19&lt;&gt;""),AND(FU19&gt;=FY$29,FU19&lt;&gt;""),AND(FX19&gt;=FY$29,FX19&lt;&gt;""),AND(GQ19&gt;=GU$29,GQ19&lt;&gt;""),AND(GT19&gt;=GU$29,GT19&lt;&gt;""),AND(HM19&gt;=HQ$29,HM19&lt;&gt;""),AND(HP19&gt;=HQ$29,HP19&lt;&gt;""),AND(II19&gt;=IM$29,II19&lt;&gt;""),AND(IL19&gt;=IM$29,IL19&lt;&gt;""),AND(JE19&gt;=JI$29,JE19&lt;&gt;""),AND(JH19&gt;=JI$29,JH19&lt;&gt;""),AND(KA19&gt;=KE$29,KA19&lt;&gt;""),AND(KD19&gt;=KE$29,KD19&lt;&gt;""),AND(KW19&gt;=LA$29,KW19&lt;&gt;""),AND(KZ19&gt;=LA$29,KZ19&lt;&gt;""),AND(LS19&gt;=LW$29,LS19&lt;&gt;""),AND(LV19&gt;=LW$29,LV19&lt;&gt;""),AND(MO19&gt;=MS$29,MO19&lt;&gt;""),AND(MR19&gt;=MS$29,MR19&lt;&gt;""),AND(NK19&gt;=NO$29,NK19&lt;&gt;""),AND(NN19&gt;=NO$29,NN19&lt;&gt;"")),"Excellence",IF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"Worlds Team",IF(OR(AND(AV19&gt;=AY$27,AV19&lt;&gt;"",AP19=""),AND(BZ19&gt;=CC$27,BZ19&lt;&gt;"",BT19=""),AND(DD19&gt;=DG$27,DD19&lt;&gt;"",CX19=""),AND(ED19&gt;=EG$27,ED19&lt;&gt;""),AND(EZ19&gt;=FC$27,EZ19&lt;&gt;""),AND(FV19&gt;=FY$27,FV19&lt;&gt;""),AND(GR19&gt;=GU$27,GR19&lt;&gt;""),AND(HN19&gt;=HQ$27,HN19&lt;&gt;""),AND(IJ19&gt;=IM$27,IJ19&lt;&gt;""),AND(JF19&gt;=JI$27,JF19&lt;&gt;""),AND(KB19&gt;=KE$27,KB19&lt;&gt;""),AND(KX19&gt;=LA$27,KX19&lt;&gt;""),AND(LT19&gt;=LW$27,LT19&lt;&gt;""),AND(MP19&gt;=MS$27,MP19&lt;&gt;""),AND(NL19&gt;=NO$27,NL19&lt;&gt;"")),"National Team",""))))</f>
        <v/>
      </c>
      <c r="I19" s="126" t="str">
        <f>IF(AND(G19="Merit",H19="Merit"),"Merit",IF(AND(OR(G19="Merit",G19="Excellence"),OR(H19="Merit",H19="Excellence")),"Excellence",IF(AND(OR(G19="Merit",G19="Excellence",G19="Worlds Team"),OR(H19="Merit",H19="Excellence",H19="Worlds Team")),"Worlds Team",IF(AND(OR(G19="Merit",G19="Excellence",G19="Worlds Team",G19="National Team"),OR(H19="Merit",H19="Excellence",H19="Worlds Team",H19="National Team")),"National Team",IF(OR(H19="Merit",H19="Excellence",H19="Worlds Team",H19="National Team"),"No DD","")))))</f>
        <v/>
      </c>
      <c r="J19" s="3" t="str">
        <f>IF(AND(OR(AND(AV19&gt;=AY$28,AV19&lt;&gt;"",AP19=""),AND(BZ19&gt;=CC$28,BZ19&lt;&gt;"",BT19=""),AND(DD19&gt;=DG$28,DD19&lt;&gt;"",CX19=""),AND(ED19&gt;=EG$28,ED19&lt;&gt;""),AND(EZ19&gt;=FC$28,EZ19&lt;&gt;""),AND(FV19&gt;=FY$28,FV19&lt;&gt;""),AND(GR19&gt;=GU$28,GR19&lt;&gt;""),AND(HN19&gt;=HQ$28,HN19&lt;&gt;""),AND(IJ19&gt;=IM$28,IJ19&lt;&gt;""),AND(JF19&gt;=JI$28,JF19&lt;&gt;""),AND(KB19&gt;=KE$28,KB19&lt;&gt;""),AND(KX19&gt;=LA$28,KX19&lt;&gt;""),AND(LT19&gt;=LW$28,LT19&lt;&gt;""),AND(MP19&gt;=MS$28,MP19&lt;&gt;""),AND(NL19&gt;=NO$28,NL19&lt;&gt;"")),OR(G19="Worlds Team",G19="Excellence",G19="Merit")),"P","")</f>
        <v/>
      </c>
      <c r="K19" s="14">
        <f>IF(MAX(AV19,BZ19,DD19)&gt;0,MAX(AV19,BZ19,DD19),0)</f>
        <v>100.80500000000001</v>
      </c>
      <c r="L19" s="14" t="str">
        <f>IF(K19=0,"",IF(K19=DD19,$CD$1,IF(K19=BZ19,$AZ$1,IF(K19=AV19,$V$1,""))))</f>
        <v>2021 2nd Virtual Technical Trial</v>
      </c>
      <c r="M19" s="14">
        <f>IF($K19=$AV19,MAX(BU19,CY19),IF($K19=$BZ19,MAX(AQ19,CY19),IF($K19=$DD19,MAX(AQ19,BU19),MAX(AQ19,BU19,CY19))))</f>
        <v>37.185000000000002</v>
      </c>
      <c r="N19" s="14" t="str">
        <f>IF(M19=0,"",IF(AND(M19=CY19,$L19&lt;&gt;$CD$1),$CD$1,IF(AND(M19=BU19,$L19&lt;&gt;$AZ$1),$AZ$1,IF(AND(M19=AQ19,$L19&lt;&gt;$V$1),$V$1,""))))</f>
        <v>2021 Elite Canada</v>
      </c>
      <c r="O19" s="14">
        <f>IF(K19-N(AQ19)=AS19,MAX(AU19,BW19,BY19,DA19,DC19),IF(K19-N(AQ19)=AU19,MAX(AS19,BW19,BY19,DA19,DC19),IF(K19-N(BU19)=BW19,MAX(AS19,AU19,BY19,DA19,DC19),IF(K19-N(BU19)=BY19,MAX(AS19,AU19,BW19,DA19,DC19),IF(K19-N(CY19)=DA19,MAX(AS19,AU19,BW19,BY19,DC19),IF(K19-N(CY19)=DC19,MAX(AS19,AU19,BW19,BY19,DA19),MAX(AS19,AU19,BW19,BY19,DA19,DC19)))))))</f>
        <v>15.795000000000002</v>
      </c>
      <c r="P19" s="14" t="str">
        <f>IF(O19=0,"",IF(OR(O19=DC19,O19=DA19),$CD$1,IF(OR(O19=BY19,O19=BW19),$AZ$1,IF(OR(O19=AU19,O19=AS19),$V$1,""))))</f>
        <v>2021 2nd Virtual Technical Trial</v>
      </c>
      <c r="Q19" s="14">
        <f>MAX(AX19,CB19,DF19)</f>
        <v>55.209999999999994</v>
      </c>
      <c r="R19" s="14" t="str">
        <f>IF(Q19=0,"",IF(Q19=DF19,$CD$1,IF(Q19=CB19,$AZ$1,IF(Q19=AX19,$V$1,""))))</f>
        <v>2021 2nd Virtual Technical Trial</v>
      </c>
      <c r="S19" s="14" t="str">
        <f>IF(MAX(DH19,DI19,DJ19,DK19)&gt;0,MAX(DH19,DI19,DJ19,DK19),"")</f>
        <v/>
      </c>
      <c r="T19" s="25" t="str">
        <f>IF(S19="","",IF(S19=DH19,"(Vol 1)",IF(S19=DI19,"(Vol 2)",IF(S19=DJ19,"(Prelim)",IF(S19=DK19,"(Final)")))))</f>
        <v/>
      </c>
      <c r="U19" s="14" t="str">
        <f>IF(S19="","",IF(S19=DH19,IF(S19+IF(M19="",0,M19)=NJ19,$MT$1,IF(S19+IF(M19="",0,M19)=MN19,$LX$1,IF(S19+IF(M19="",0,M19)=LR19,$LB$1,IF(S19+IF(M19="",0,M19)=KV19,$KF$1,IF(S19+IF(M19="",0,M19)=JZ19,$JJ$1,IF(S19+IF(M19="",0,M19)=JD19,$IN$1,IF(S19+IF(M19="",0,M19)=IH19,$HR$1,IF(S19+IF(M19="",0,M19)=HL19,$GV$1,IF(S19+IF(M19="",0,M19)=GP19,$FZ$1,IF(S19+IF(M19="",0,M19)=FT19,$FD$1,IF(S19+IF(M19="",0,M19)=EX19,$EH$1,IF(S19+IF(M19="",0,M19)=EB19,$DL$1)))))))))))),IF(S19=DI19,IF(S19+IF(O19="",0,O19)=NK19,$MT$1,IF(S19+IF(O19="",0,O19)=MO19,$LX$1,IF(S19+IF(O19="",0,O19)=LS19,$LB$1,IF(S19+IF(O19="",0,O19)=KW19,$KF$1,IF(S19+IF(O19="",0,O19)=KA19,$JJ$1,IF(S19+IF(O19="",0,O19)=JE19,$IN$1,IF(S19+IF(O19="",0,O19)=II19,$HR$1,IF(S19+IF(O19="",0,O19)=HM19,$GV$1,IF(S19+IF(O19="",0,O19)=GQ19,$FZ$1,IF(S19+IF(O19="",0,O19)=FU19,$FD$1,IF(S19+IF(O19="",0,O19)=EY19,$EH$1,IF(S19+IF(O19="",0,O19)=EC19,$DL$1)))))))))))),IF(S19=DJ19,IF(S19+IF(K19="",0,K19)=NL19,$MT$1,IF(S19+IF(K19="",0,K19)=MP19,$LX$1,IF(S19+IF(K19="",0,K19)=LT19,$LB$1,IF(S19+IF(K19="",0,K19)=KX19,$KF$1,IF(S19+IF(K19="",0,K19)=KB19,$JJ$1,IF(S19+IF(K19="",0,K19)=JF19,$IN$1,IF(S19+IF(K19="",0,K19)=IJ19,$HR$1,IF(S19+IF(K19="",0,K19)=HN19,$GV$1,IF(S19+IF(K19="",0,K19)=GR19,$FZ$1,IF(S19+IF(K19="",0,K19)=FV19,$FD$1,IF(S19+IF(K19="",0,K19)=EZ19,$EH$1,IF(S19+IF(K19="",0,K19)=ED19,$DL$1)))))))))))),IF(S19=DK19,IF(S19+IF(Q19="",0,Q19)=NN19,$MT$1,IF(S19+IF(Q19="",0,Q19)=MR19,$LX$1,IF(S19+IF(Q19="",0,Q19)=LV19,$LB$1,IF(S19+IF(Q19="",0,Q19)=KZ19,$KF$1,IF(S19+IF(Q19="",0,Q19)=KD19,$JJ$1,IF(S19+IF(Q19="",0,Q19)=JH19,$IN$1,IF(S19+IF(Q19="",0,Q19)=IL19,$HR$1,IF(S19+IF(Q19="",0,Q19)=HP19,$GV$1,IF(S19+IF(Q19="",0,Q19)=GT19,$FZ$1,IF(S19+IF(Q19="",0,Q19)=FX19,$FD$1,IF(S19+IF(Q19="",0,Q19)=FB19,$EH$1,IF(S19+IF(Q19="",0,Q19)=EF19,$DL$1)))))))))))))))))</f>
        <v/>
      </c>
      <c r="V19" s="69">
        <v>17.7</v>
      </c>
      <c r="W19" s="69">
        <v>9</v>
      </c>
      <c r="X19" s="69">
        <v>4.0999999999999996</v>
      </c>
      <c r="Y19" s="69">
        <v>17.745000000000001</v>
      </c>
      <c r="Z19" s="69">
        <v>0</v>
      </c>
      <c r="AA19" s="69">
        <v>16.2</v>
      </c>
      <c r="AB19" s="69">
        <v>8.6</v>
      </c>
      <c r="AC19" s="69">
        <v>12.2</v>
      </c>
      <c r="AD19" s="69">
        <v>16.559999999999999</v>
      </c>
      <c r="AE19" s="69">
        <v>1.3</v>
      </c>
      <c r="AF19" s="69">
        <v>4.9000000000000004</v>
      </c>
      <c r="AG19" s="69">
        <v>2.2000000000000002</v>
      </c>
      <c r="AH19" s="69">
        <v>3.5</v>
      </c>
      <c r="AI19" s="69">
        <v>5.1950000000000003</v>
      </c>
      <c r="AJ19" s="69">
        <v>0</v>
      </c>
      <c r="AK19" s="69">
        <v>16.2</v>
      </c>
      <c r="AL19" s="69">
        <v>8.6999999999999993</v>
      </c>
      <c r="AM19" s="69">
        <v>13.7</v>
      </c>
      <c r="AN19" s="69">
        <v>16.61</v>
      </c>
      <c r="AO19" s="69">
        <v>0</v>
      </c>
      <c r="AP19" s="80"/>
      <c r="AQ19" s="11">
        <f>IF(SUM(V19:Y19)-Z19&gt;0,SUM(V19:Y19)-Z19,"")</f>
        <v>48.545000000000002</v>
      </c>
      <c r="AR19" s="11">
        <f>IF(AC19&gt;0,AC19,"")</f>
        <v>12.2</v>
      </c>
      <c r="AS19" s="11">
        <f>IF(SUM(AA19:AD19)-AE19&gt;0,SUM(AA19:AD19)-AE19,"")</f>
        <v>52.260000000000005</v>
      </c>
      <c r="AT19" s="11">
        <f>IF(AH19&gt;0,AH19,"")</f>
        <v>3.5</v>
      </c>
      <c r="AU19" s="11">
        <f>IF(SUM(AF19:AI19)-AJ19&gt;0,SUM(AF19:AI19)-AJ19,"")</f>
        <v>15.795000000000002</v>
      </c>
      <c r="AV19" s="11">
        <f>IF(AQ19="",IF(MAX(AS19,AU19)&gt;0,MAX(AS19,AU19),""),MAX(AS19,AU19)+AQ19)</f>
        <v>100.80500000000001</v>
      </c>
      <c r="AW19" s="11">
        <f>IF(AM19&gt;0,AM19,"")</f>
        <v>13.7</v>
      </c>
      <c r="AX19" s="11">
        <f>IF(SUM(AK19:AN19)-AO19&gt;0,SUM(AK19:AN19)-AO19,"")</f>
        <v>55.209999999999994</v>
      </c>
      <c r="AY19" s="11">
        <f>IF(SUM(AV19,AX19)&gt;0,SUM(AV19,AX19),"")</f>
        <v>156.01499999999999</v>
      </c>
      <c r="AZ19" s="75">
        <v>13.5</v>
      </c>
      <c r="BA19" s="75">
        <v>7.3</v>
      </c>
      <c r="BB19" s="75">
        <v>2.2999999999999998</v>
      </c>
      <c r="BC19" s="75">
        <v>14.085000000000001</v>
      </c>
      <c r="BD19" s="75">
        <v>0</v>
      </c>
      <c r="BE19" s="75">
        <v>0</v>
      </c>
      <c r="BF19" s="75">
        <v>0</v>
      </c>
      <c r="BG19" s="75">
        <v>0</v>
      </c>
      <c r="BH19" s="75">
        <v>0</v>
      </c>
      <c r="BI19" s="75">
        <v>0</v>
      </c>
      <c r="BJ19" s="75">
        <v>3.3</v>
      </c>
      <c r="BK19" s="75">
        <v>1.9</v>
      </c>
      <c r="BL19" s="75">
        <v>3.4</v>
      </c>
      <c r="BM19" s="75">
        <v>3.5649999999999999</v>
      </c>
      <c r="BN19" s="75">
        <v>0</v>
      </c>
      <c r="BO19" s="75"/>
      <c r="BP19" s="75"/>
      <c r="BQ19" s="75"/>
      <c r="BR19" s="75"/>
      <c r="BS19" s="75"/>
      <c r="BT19" s="81"/>
      <c r="BU19" s="14">
        <f>IF(SUM(AZ19:BC19)-BD19&gt;0,SUM(AZ19:BC19)-BD19,"")</f>
        <v>37.185000000000002</v>
      </c>
      <c r="BV19" s="14" t="str">
        <f>IF(BG19&gt;0,BG19,"")</f>
        <v/>
      </c>
      <c r="BW19" s="14" t="str">
        <f>IF(SUM(BE19:BH19)-BI19&gt;0,SUM(BE19:BH19)-BI19,"")</f>
        <v/>
      </c>
      <c r="BX19" s="14">
        <f>IF(BL19&gt;0,BL19,"")</f>
        <v>3.4</v>
      </c>
      <c r="BY19" s="14">
        <f>IF(SUM(BJ19:BM19)-BN19&gt;0,SUM(BJ19:BM19)-BN19,"")</f>
        <v>12.164999999999999</v>
      </c>
      <c r="BZ19" s="14">
        <f>IF(BU19="",IF(MAX(BW19,BY19)&gt;0,MAX(BW19,BY19),""),MAX(BW19,BY19)+BU19)</f>
        <v>49.35</v>
      </c>
      <c r="CA19" s="14" t="str">
        <f>IF(BQ19&gt;0,BQ19,"")</f>
        <v/>
      </c>
      <c r="CB19" s="14" t="str">
        <f>IF(SUM(BO19:BR19)-BS19&gt;0,SUM(BO19:BR19)-BS19,"")</f>
        <v/>
      </c>
      <c r="CC19" s="14">
        <f>IF(SUM(BZ19,CB19)&gt;0,SUM(BZ19,CB19),"")</f>
        <v>49.35</v>
      </c>
      <c r="CD19" s="69"/>
      <c r="CE19" s="69"/>
      <c r="CF19" s="69"/>
      <c r="CG19" s="69"/>
      <c r="CH19" s="69"/>
      <c r="CI19" s="69"/>
      <c r="CJ19" s="69"/>
      <c r="CK19" s="69"/>
      <c r="CL19" s="69"/>
      <c r="CM19" s="69"/>
      <c r="CN19" s="69"/>
      <c r="CO19" s="69"/>
      <c r="CP19" s="69"/>
      <c r="CQ19" s="69"/>
      <c r="CR19" s="69"/>
      <c r="CS19" s="69"/>
      <c r="CT19" s="69"/>
      <c r="CU19" s="69"/>
      <c r="CV19" s="69"/>
      <c r="CW19" s="69"/>
      <c r="CX19" s="80"/>
      <c r="CY19" s="11" t="str">
        <f>IF(SUM(CD19:CG19)-CH19&gt;0,SUM(CD19:CG19)-CH19,"")</f>
        <v/>
      </c>
      <c r="CZ19" s="11" t="str">
        <f>IF(CK19&gt;0,CK19,"")</f>
        <v/>
      </c>
      <c r="DA19" s="11" t="str">
        <f>IF(SUM(CI19:CL19)-CM19&gt;0,SUM(CI19:CL19)-CM19,"")</f>
        <v/>
      </c>
      <c r="DB19" s="11" t="str">
        <f>IF(CP19&gt;0,CP19,"")</f>
        <v/>
      </c>
      <c r="DC19" s="11" t="str">
        <f>IF(SUM(CN19:CQ19)-CR19&gt;0,SUM(CN19:CQ19)-CR19,"")</f>
        <v/>
      </c>
      <c r="DD19" s="11" t="str">
        <f>IF(CY19="",IF(MAX(DA19,DC19)&gt;0,MAX(DA19,DC19),""),MAX(DA19,DC19)+CY19)</f>
        <v/>
      </c>
      <c r="DE19" s="11" t="str">
        <f>IF(CU19&gt;0,CU19,"")</f>
        <v/>
      </c>
      <c r="DF19" s="11" t="str">
        <f>IF(SUM(CS19:CV19)-CW19&gt;0,SUM(CS19:CV19)-CW19,"")</f>
        <v/>
      </c>
      <c r="DG19" s="11" t="str">
        <f>IF(SUM(DD19,DF19)&gt;0,SUM(DD19,DF19),"")</f>
        <v/>
      </c>
      <c r="DH19" s="24" t="str">
        <f>IF(MAX(EB19,EX19,FT19,GP19,HL19,IH19,JD19,JZ19,KV19,LR19,MN19,NJ19)-IF(M19="",0,M19)&gt;0.001,MAX(EB19,EX19,FT19,GP19,HL19,IH19,JD19,JZ19,KV19,LR19,MN19,NJ19)-IF(M19="",0,M19),"")</f>
        <v/>
      </c>
      <c r="DI19" s="24" t="str">
        <f>IF(MAX(EC19,EY19,FU19,GQ19,HM19,II19,JE19,KA19,KW19,LS19,MO19,NK19)-IF(O19="",0,O19)&gt;0.001,MAX(EC19,EY19,FU19,GQ19,HM19,II19,JE19,KA19,KW19,LS19,MO19,NK19)-IF(O19="",0,O19),"")</f>
        <v/>
      </c>
      <c r="DJ19" s="24" t="str">
        <f>IF(MAX(ED19,EZ19,FV19,GR19,HN19,IJ19,JF19,KB19,KX19,LT19,MP19,NL19)-IF(K19="",0,K19)&gt;0.001,MAX(ED19,EZ19,FV19,GR19,HN19,IJ19,JF19,KB19,KX19,LT19,MP19,NL19)-IF(K19="",0,K19),"")</f>
        <v/>
      </c>
      <c r="DK19" s="24" t="str">
        <f>IF(MAX(EF19,FB19,FX19,GT19,HP19,IL19,JH19,KD19,KZ19,LV19,MR19,NN19)-IF(Q19="",0,Q19)&gt;0.001,MAX(EF19,FB19,FX19,GT19,HP19,IL19,JH19,KD19,KZ19,LV19,MR19,NN19)-IF(Q19="",0,Q19),"")</f>
        <v/>
      </c>
      <c r="DL19" s="37"/>
      <c r="DM19" s="37"/>
      <c r="DN19" s="37"/>
      <c r="DO19" s="37"/>
      <c r="DP19" s="37"/>
      <c r="DQ19" s="37"/>
      <c r="DR19" s="37"/>
      <c r="DS19" s="37"/>
      <c r="DT19" s="37"/>
      <c r="DU19" s="37"/>
      <c r="DV19" s="37"/>
      <c r="DW19" s="37"/>
      <c r="DX19" s="37"/>
      <c r="DY19" s="37"/>
      <c r="DZ19" s="37"/>
      <c r="EA19" s="11" t="str">
        <f>IF(DS19&gt;0,DS19,"")</f>
        <v/>
      </c>
      <c r="EB19" s="11" t="str">
        <f>IF(SUM(DL19:DO19)-DP19&gt;0,SUM(DL19:DO19)-DP19,"")</f>
        <v/>
      </c>
      <c r="EC19" s="11" t="str">
        <f>IF(SUM(DQ19:DT19)-DU19&gt;0,SUM(DQ19:DT19)-DU19,"")</f>
        <v/>
      </c>
      <c r="ED19" s="11" t="str">
        <f>IF(SUM(EB19:EC19)&gt;0,SUM(EB19:EC19),"")</f>
        <v/>
      </c>
      <c r="EE19" s="11" t="str">
        <f>IF(DX19&gt;0,DX19,"")</f>
        <v/>
      </c>
      <c r="EF19" s="11" t="str">
        <f>IF(SUM(DV19:DY19)-DZ19&gt;0,SUM(DV19:DY19)-DZ19,"")</f>
        <v/>
      </c>
      <c r="EG19" s="11" t="str">
        <f>IF(SUM(ED19,EF19)&gt;0,SUM(ED19,EF19),"")</f>
        <v/>
      </c>
      <c r="EH19" s="38"/>
      <c r="EI19" s="38"/>
      <c r="EJ19" s="38"/>
      <c r="EK19" s="38"/>
      <c r="EL19" s="38"/>
      <c r="EM19" s="38"/>
      <c r="EN19" s="38"/>
      <c r="EO19" s="38"/>
      <c r="EP19" s="38"/>
      <c r="EQ19" s="38"/>
      <c r="ER19" s="38"/>
      <c r="ES19" s="38"/>
      <c r="ET19" s="38"/>
      <c r="EU19" s="38"/>
      <c r="EV19" s="38"/>
      <c r="EW19" s="14" t="str">
        <f>IF(EO19&gt;0,EO19,"")</f>
        <v/>
      </c>
      <c r="EX19" s="14" t="str">
        <f>IF(SUM(EH19:EK19)-EL19&gt;0,SUM(EH19:EK19)-EL19,"")</f>
        <v/>
      </c>
      <c r="EY19" s="14" t="str">
        <f>IF(SUM(EM19:EP19)-EQ19&gt;0,SUM(EM19:EP19)-EQ19,"")</f>
        <v/>
      </c>
      <c r="EZ19" s="14" t="str">
        <f>IF(SUM(EX19:EY19)&gt;0,SUM(EX19:EY19),"")</f>
        <v/>
      </c>
      <c r="FA19" s="14" t="str">
        <f>IF(ET19&gt;0,ET19,"")</f>
        <v/>
      </c>
      <c r="FB19" s="14" t="str">
        <f>IF(SUM(ER19:EU19)-EV19&gt;0,SUM(ER19:EU19)-EV19,"")</f>
        <v/>
      </c>
      <c r="FC19" s="14" t="str">
        <f>IF(SUM(EZ19,FB19)&gt;0,SUM(EZ19,FB19),"")</f>
        <v/>
      </c>
      <c r="FD19" s="37"/>
      <c r="FE19" s="37"/>
      <c r="FF19" s="37"/>
      <c r="FG19" s="37"/>
      <c r="FH19" s="37"/>
      <c r="FI19" s="37"/>
      <c r="FJ19" s="37"/>
      <c r="FK19" s="37"/>
      <c r="FL19" s="37"/>
      <c r="FM19" s="37"/>
      <c r="FN19" s="37"/>
      <c r="FO19" s="37"/>
      <c r="FP19" s="37"/>
      <c r="FQ19" s="37"/>
      <c r="FR19" s="37"/>
      <c r="FS19" s="11" t="str">
        <f>IF(FK19&gt;0,FK19,"")</f>
        <v/>
      </c>
      <c r="FT19" s="11" t="str">
        <f>IF(SUM(FD19:FG19)-FH19&gt;0,SUM(FD19:FG19)-FH19,"")</f>
        <v/>
      </c>
      <c r="FU19" s="11" t="str">
        <f>IF(SUM(FI19:FL19)-FM19&gt;0,SUM(FI19:FL19)-FM19,"")</f>
        <v/>
      </c>
      <c r="FV19" s="11" t="str">
        <f>IF(SUM(FT19:FU19)&gt;0,SUM(FT19:FU19),"")</f>
        <v/>
      </c>
      <c r="FW19" s="11" t="str">
        <f>IF(FP19&gt;0,FP19,"")</f>
        <v/>
      </c>
      <c r="FX19" s="11" t="str">
        <f>IF(SUM(FN19:FQ19)-FR19&gt;0,SUM(FN19:FQ19)-FR19,"")</f>
        <v/>
      </c>
      <c r="FY19" s="11" t="str">
        <f>IF(SUM(FV19,FX19)&gt;0,SUM(FV19,FX19),"")</f>
        <v/>
      </c>
      <c r="FZ19" s="38"/>
      <c r="GA19" s="38"/>
      <c r="GB19" s="38"/>
      <c r="GC19" s="38"/>
      <c r="GD19" s="38"/>
      <c r="GE19" s="38"/>
      <c r="GF19" s="38"/>
      <c r="GG19" s="38"/>
      <c r="GH19" s="38"/>
      <c r="GI19" s="38"/>
      <c r="GJ19" s="38"/>
      <c r="GK19" s="38"/>
      <c r="GL19" s="38"/>
      <c r="GM19" s="38"/>
      <c r="GN19" s="38"/>
      <c r="GO19" s="14" t="str">
        <f>IF(GG19&gt;0,GG19,"")</f>
        <v/>
      </c>
      <c r="GP19" s="14" t="str">
        <f>IF(SUM(FZ19:GC19)-GD19&gt;0,SUM(FZ19:GC19)-GD19,"")</f>
        <v/>
      </c>
      <c r="GQ19" s="14" t="str">
        <f>IF(SUM(GE19:GH19)-GI19&gt;0,SUM(GE19:GH19)-GI19,"")</f>
        <v/>
      </c>
      <c r="GR19" s="14" t="str">
        <f>IF(SUM(GP19:GQ19)&gt;0,SUM(GP19:GQ19),"")</f>
        <v/>
      </c>
      <c r="GS19" s="14" t="str">
        <f>IF(GL19&gt;0,GL19,"")</f>
        <v/>
      </c>
      <c r="GT19" s="14" t="str">
        <f>IF(SUM(GJ19:GM19)-GN19&gt;0,SUM(GJ19:GM19)-GN19,"")</f>
        <v/>
      </c>
      <c r="GU19" s="14" t="str">
        <f>IF(SUM(GR19,GT19)&gt;0,SUM(GR19,GT19),"")</f>
        <v/>
      </c>
      <c r="GV19" s="37"/>
      <c r="GW19" s="37"/>
      <c r="GX19" s="37"/>
      <c r="GY19" s="37"/>
      <c r="GZ19" s="37"/>
      <c r="HA19" s="37"/>
      <c r="HB19" s="37"/>
      <c r="HC19" s="37"/>
      <c r="HD19" s="37"/>
      <c r="HE19" s="37"/>
      <c r="HF19" s="37"/>
      <c r="HG19" s="37"/>
      <c r="HH19" s="37"/>
      <c r="HI19" s="37"/>
      <c r="HJ19" s="37"/>
      <c r="HK19" s="11" t="str">
        <f>IF(HC19&gt;0,HC19,"")</f>
        <v/>
      </c>
      <c r="HL19" s="11" t="str">
        <f>IF(SUM(GV19:GY19)-GZ19&gt;0,SUM(GV19:GY19)-GZ19,"")</f>
        <v/>
      </c>
      <c r="HM19" s="11" t="str">
        <f>IF(SUM(HA19:HD19)-HE19&gt;0,SUM(HA19:HD19)-HE19,"")</f>
        <v/>
      </c>
      <c r="HN19" s="11" t="str">
        <f>IF(SUM(HL19:HM19)&gt;0,SUM(HL19:HM19),"")</f>
        <v/>
      </c>
      <c r="HO19" s="11" t="str">
        <f>IF(HH19&gt;0,HH19,"")</f>
        <v/>
      </c>
      <c r="HP19" s="11" t="str">
        <f>IF(SUM(HF19:HI19)-HJ19&gt;0,SUM(HF19:HI19)-HJ19,"")</f>
        <v/>
      </c>
      <c r="HQ19" s="11" t="str">
        <f>IF(SUM(HN19,HP19)&gt;0,SUM(HN19,HP19),"")</f>
        <v/>
      </c>
      <c r="HR19" s="38"/>
      <c r="HS19" s="38"/>
      <c r="HT19" s="38"/>
      <c r="HU19" s="38"/>
      <c r="HV19" s="38"/>
      <c r="HW19" s="38"/>
      <c r="HX19" s="38"/>
      <c r="HY19" s="38"/>
      <c r="HZ19" s="38"/>
      <c r="IA19" s="38"/>
      <c r="IB19" s="38"/>
      <c r="IC19" s="38"/>
      <c r="ID19" s="38"/>
      <c r="IE19" s="38"/>
      <c r="IF19" s="38"/>
      <c r="IG19" s="14" t="str">
        <f>IF(HY19&gt;0,HY19,"")</f>
        <v/>
      </c>
      <c r="IH19" s="14" t="str">
        <f>IF(SUM(HR19:HU19)-HV19&gt;0,SUM(HR19:HU19)-HV19,"")</f>
        <v/>
      </c>
      <c r="II19" s="14" t="str">
        <f>IF(SUM(HW19:HZ19)-IA19&gt;0,SUM(HW19:HZ19)-IA19,"")</f>
        <v/>
      </c>
      <c r="IJ19" s="14" t="str">
        <f>IF(SUM(IH19:II19)&gt;0,SUM(IH19:II19),"")</f>
        <v/>
      </c>
      <c r="IK19" s="14" t="str">
        <f>IF(ID19&gt;0,ID19,"")</f>
        <v/>
      </c>
      <c r="IL19" s="14" t="str">
        <f>IF(SUM(IB19:IE19)-IF19&gt;0,SUM(IB19:IE19)-IF19,"")</f>
        <v/>
      </c>
      <c r="IM19" s="14" t="str">
        <f>IF(SUM(IJ19,IL19)&gt;0,SUM(IJ19,IL19),"")</f>
        <v/>
      </c>
      <c r="IN19" s="37"/>
      <c r="IO19" s="37"/>
      <c r="IP19" s="37"/>
      <c r="IQ19" s="37"/>
      <c r="IR19" s="37"/>
      <c r="IS19" s="37"/>
      <c r="IT19" s="37"/>
      <c r="IU19" s="37"/>
      <c r="IV19" s="37"/>
      <c r="IW19" s="37"/>
      <c r="IX19" s="37"/>
      <c r="IY19" s="37"/>
      <c r="IZ19" s="37"/>
      <c r="JA19" s="37"/>
      <c r="JB19" s="37"/>
      <c r="JC19" s="11" t="str">
        <f>IF(IU19&gt;0,IU19,"")</f>
        <v/>
      </c>
      <c r="JD19" s="11" t="str">
        <f>IF(SUM(IN19:IQ19)-IR19&gt;0,SUM(IN19:IQ19)-IR19,"")</f>
        <v/>
      </c>
      <c r="JE19" s="11" t="str">
        <f>IF(SUM(IS19:IV19)-IW19&gt;0,SUM(IS19:IV19)-IW19,"")</f>
        <v/>
      </c>
      <c r="JF19" s="11" t="str">
        <f>IF(SUM(JD19:JE19)&gt;0,SUM(JD19:JE19),"")</f>
        <v/>
      </c>
      <c r="JG19" s="11" t="str">
        <f>IF(IZ19&gt;0,IZ19,"")</f>
        <v/>
      </c>
      <c r="JH19" s="11" t="str">
        <f>IF(SUM(IX19:JA19)-JB19&gt;0,SUM(IX19:JA19)-JB19,"")</f>
        <v/>
      </c>
      <c r="JI19" s="11" t="str">
        <f>IF(SUM(JF19,JH19)&gt;0,SUM(JF19,JH19),"")</f>
        <v/>
      </c>
      <c r="JJ19" s="38"/>
      <c r="JK19" s="38"/>
      <c r="JL19" s="38"/>
      <c r="JM19" s="38"/>
      <c r="JN19" s="38"/>
      <c r="JO19" s="38"/>
      <c r="JP19" s="38"/>
      <c r="JQ19" s="38"/>
      <c r="JR19" s="38"/>
      <c r="JS19" s="38"/>
      <c r="JT19" s="38"/>
      <c r="JU19" s="38"/>
      <c r="JV19" s="38"/>
      <c r="JW19" s="38"/>
      <c r="JX19" s="38"/>
      <c r="JY19" s="14" t="str">
        <f>IF(JQ19&gt;0,JQ19,"")</f>
        <v/>
      </c>
      <c r="JZ19" s="14" t="str">
        <f>IF(SUM(JJ19:JM19)-JN19&gt;0,SUM(JJ19:JM19)-JN19,"")</f>
        <v/>
      </c>
      <c r="KA19" s="14" t="str">
        <f>IF(SUM(JO19:JR19)-JS19&gt;0,SUM(JO19:JR19)-JS19,"")</f>
        <v/>
      </c>
      <c r="KB19" s="14" t="str">
        <f>IF(SUM(JZ19:KA19)&gt;0,SUM(JZ19:KA19),"")</f>
        <v/>
      </c>
      <c r="KC19" s="14" t="str">
        <f>IF(JV19&gt;0,JV19,"")</f>
        <v/>
      </c>
      <c r="KD19" s="14" t="str">
        <f>IF(SUM(JT19:JW19)-JX19&gt;0,SUM(JT19:JW19)-JX19,"")</f>
        <v/>
      </c>
      <c r="KE19" s="14" t="str">
        <f>IF(SUM(KB19,KD19)&gt;0,SUM(KB19,KD19),"")</f>
        <v/>
      </c>
      <c r="KF19" s="37"/>
      <c r="KG19" s="37"/>
      <c r="KH19" s="37"/>
      <c r="KI19" s="37"/>
      <c r="KJ19" s="37"/>
      <c r="KK19" s="37"/>
      <c r="KL19" s="37"/>
      <c r="KM19" s="37"/>
      <c r="KN19" s="37"/>
      <c r="KO19" s="37"/>
      <c r="KP19" s="37"/>
      <c r="KQ19" s="37"/>
      <c r="KR19" s="37"/>
      <c r="KS19" s="37"/>
      <c r="KT19" s="37"/>
      <c r="KU19" s="11" t="str">
        <f>IF(KM19&gt;0,KM19,"")</f>
        <v/>
      </c>
      <c r="KV19" s="11" t="str">
        <f>IF(SUM(KF19:KI19)-KJ19&gt;0,SUM(KF19:KI19)-KJ19,"")</f>
        <v/>
      </c>
      <c r="KW19" s="11" t="str">
        <f>IF(SUM(KK19:KN19)-KO19&gt;0,SUM(KK19:KN19)-KO19,"")</f>
        <v/>
      </c>
      <c r="KX19" s="11" t="str">
        <f>IF(SUM(KV19:KW19)&gt;0,SUM(KV19:KW19),"")</f>
        <v/>
      </c>
      <c r="KY19" s="11" t="str">
        <f>IF(KR19&gt;0,KR19,"")</f>
        <v/>
      </c>
      <c r="KZ19" s="11" t="str">
        <f>IF(SUM(KP19:KS19)-KT19&gt;0,SUM(KP19:KS19)-KT19,"")</f>
        <v/>
      </c>
      <c r="LA19" s="11" t="str">
        <f>IF(SUM(KX19,KZ19)&gt;0,SUM(KX19,KZ19),"")</f>
        <v/>
      </c>
      <c r="LB19" s="38"/>
      <c r="LC19" s="38"/>
      <c r="LD19" s="38"/>
      <c r="LE19" s="38"/>
      <c r="LF19" s="38"/>
      <c r="LG19" s="38"/>
      <c r="LH19" s="38"/>
      <c r="LI19" s="38"/>
      <c r="LJ19" s="38"/>
      <c r="LK19" s="38"/>
      <c r="LL19" s="38"/>
      <c r="LM19" s="38"/>
      <c r="LN19" s="38"/>
      <c r="LO19" s="38"/>
      <c r="LP19" s="38"/>
      <c r="LQ19" s="14" t="str">
        <f>IF(LI19&gt;0,LI19,"")</f>
        <v/>
      </c>
      <c r="LR19" s="14" t="str">
        <f>IF(SUM(LB19:LE19)-LF19&gt;0,SUM(LB19:LE19)-LF19,"")</f>
        <v/>
      </c>
      <c r="LS19" s="14" t="str">
        <f>IF(SUM(LG19:LJ19)-LK19&gt;0,SUM(LG19:LJ19)-LK19,"")</f>
        <v/>
      </c>
      <c r="LT19" s="14" t="str">
        <f>IF(SUM(LR19:LS19)&gt;0,SUM(LR19:LS19),"")</f>
        <v/>
      </c>
      <c r="LU19" s="14" t="str">
        <f>IF(LN19&gt;0,LN19,"")</f>
        <v/>
      </c>
      <c r="LV19" s="14" t="str">
        <f>IF(SUM(LL19:LO19)-LP19&gt;0,SUM(LL19:LO19)-LP19,"")</f>
        <v/>
      </c>
      <c r="LW19" s="14" t="str">
        <f>IF(SUM(LT19,LV19)&gt;0,SUM(LT19,LV19),"")</f>
        <v/>
      </c>
      <c r="LX19" s="37"/>
      <c r="LY19" s="37"/>
      <c r="LZ19" s="37"/>
      <c r="MA19" s="37"/>
      <c r="MB19" s="37"/>
      <c r="MC19" s="37"/>
      <c r="MD19" s="37"/>
      <c r="ME19" s="37"/>
      <c r="MF19" s="37"/>
      <c r="MG19" s="37"/>
      <c r="MH19" s="37"/>
      <c r="MI19" s="37"/>
      <c r="MJ19" s="37"/>
      <c r="MK19" s="37"/>
      <c r="ML19" s="37"/>
      <c r="MM19" s="11" t="str">
        <f>IF(ME19&gt;0,ME19,"")</f>
        <v/>
      </c>
      <c r="MN19" s="11" t="str">
        <f>IF(SUM(LX19:MA19)-MB19&gt;0,SUM(LX19:MA19)-MB19,"")</f>
        <v/>
      </c>
      <c r="MO19" s="11" t="str">
        <f>IF(SUM(MC19:MF19)-MG19&gt;0,SUM(MC19:MF19)-MG19,"")</f>
        <v/>
      </c>
      <c r="MP19" s="11" t="str">
        <f>IF(SUM(MN19:MO19)&gt;0,SUM(MN19:MO19),"")</f>
        <v/>
      </c>
      <c r="MQ19" s="11" t="str">
        <f>IF(MJ19&gt;0,MJ19,"")</f>
        <v/>
      </c>
      <c r="MR19" s="11" t="str">
        <f>IF(SUM(MH19:MK19)-ML19&gt;0,SUM(MH19:MK19)-ML19,"")</f>
        <v/>
      </c>
      <c r="MS19" s="11" t="str">
        <f>IF(SUM(MP19,MR19)&gt;0,SUM(MP19,MR19),"")</f>
        <v/>
      </c>
      <c r="MT19" s="38"/>
      <c r="MU19" s="38"/>
      <c r="MV19" s="38"/>
      <c r="MW19" s="38"/>
      <c r="MX19" s="38"/>
      <c r="MY19" s="38"/>
      <c r="MZ19" s="38"/>
      <c r="NA19" s="38"/>
      <c r="NB19" s="38"/>
      <c r="NC19" s="38"/>
      <c r="ND19" s="38"/>
      <c r="NE19" s="38"/>
      <c r="NF19" s="38"/>
      <c r="NG19" s="38"/>
      <c r="NH19" s="38"/>
      <c r="NI19" s="14" t="str">
        <f>IF(NA19&gt;0,NA19,"")</f>
        <v/>
      </c>
      <c r="NJ19" s="14" t="str">
        <f>IF(SUM(MT19:MW19)-MX19&gt;0,SUM(MT19:MW19)-MX19,"")</f>
        <v/>
      </c>
      <c r="NK19" s="14" t="str">
        <f>IF(SUM(MY19:NB19)-NC19&gt;0,SUM(MY19:NB19)-NC19,"")</f>
        <v/>
      </c>
      <c r="NL19" s="14" t="str">
        <f>IF(SUM(NJ19:NK19)&gt;0,SUM(NJ19:NK19),"")</f>
        <v/>
      </c>
      <c r="NM19" s="14" t="str">
        <f>IF(NF19&gt;0,NF19,"")</f>
        <v/>
      </c>
      <c r="NN19" s="14" t="str">
        <f>IF(SUM(ND19:NG19)-NH19&gt;0,SUM(ND19:NG19)-NH19,"")</f>
        <v/>
      </c>
      <c r="NO19" s="14" t="str">
        <f>IF(SUM(NL19,NN19)&gt;0,SUM(NL19,NN19),"")</f>
        <v/>
      </c>
      <c r="NP19" s="69">
        <f>IF($CX19="P",CD19,(CD19+AZ19)/2)</f>
        <v>6.75</v>
      </c>
      <c r="NQ19" s="69">
        <f>IF($CX19="P",CE19,(CE19+BA19)/2)</f>
        <v>3.65</v>
      </c>
      <c r="NR19" s="69">
        <f>IF($CX19="P",CF19,(CF19+BB19)/2)</f>
        <v>1.1499999999999999</v>
      </c>
      <c r="NS19" s="69">
        <f>IF($CX19="P",CG19,(CG19+BC19)/2)</f>
        <v>7.0425000000000004</v>
      </c>
      <c r="NT19" s="69">
        <f>IF($CX19="P",CH19,(CH19+BD19)/2)</f>
        <v>0</v>
      </c>
      <c r="NU19" s="69">
        <f>IF($CX19="P",CI19,(CI19+BE19)/2)</f>
        <v>0</v>
      </c>
      <c r="NV19" s="69">
        <f>IF($CX19="P",CJ19,(CJ19+BF19)/2)</f>
        <v>0</v>
      </c>
      <c r="NW19" s="69">
        <f>IF($CX19="P",CK19,(CK19+BG19)/2)</f>
        <v>0</v>
      </c>
      <c r="NX19" s="69">
        <f>IF($CX19="P",CL19,(CL19+BH19)/2)</f>
        <v>0</v>
      </c>
      <c r="NY19" s="69">
        <f>IF($CX19="P",CM19,(CM19+BI19)/2)</f>
        <v>0</v>
      </c>
      <c r="NZ19" s="69">
        <f>IF($CX19="P",CN19,(CN19+BJ19)/2)</f>
        <v>1.65</v>
      </c>
      <c r="OA19" s="69">
        <f>IF($CX19="P",CO19,(CO19+BK19)/2)</f>
        <v>0.95</v>
      </c>
      <c r="OB19" s="69">
        <f>IF($CX19="P",CP19,(CP19+BL19)/2)</f>
        <v>1.7</v>
      </c>
      <c r="OC19" s="69">
        <f>IF($CX19="P",CQ19,(CQ19+BM19)/2)</f>
        <v>1.7825</v>
      </c>
      <c r="OD19" s="69">
        <f>IF($CX19="P",CR19,(CR19+BN19)/2)</f>
        <v>0</v>
      </c>
      <c r="OE19" s="69">
        <f>IF($CX19="P",CS19,(CS19+BO19)/2)</f>
        <v>0</v>
      </c>
      <c r="OF19" s="69">
        <f>IF($CX19="P",CT19,(CT19+BP19)/2)</f>
        <v>0</v>
      </c>
      <c r="OG19" s="69">
        <f>IF($CX19="P",CU19,(CU19+BQ19)/2)</f>
        <v>0</v>
      </c>
      <c r="OH19" s="69">
        <f>IF($CX19="P",CV19,(CV19+BR19)/2)</f>
        <v>0</v>
      </c>
      <c r="OI19" s="69">
        <f>IF($CX19="P",CW19,(CW19+BS19)/2)</f>
        <v>0</v>
      </c>
      <c r="OJ19" s="80" t="s">
        <v>74</v>
      </c>
      <c r="OK19" s="11">
        <f>IF(SUM(NP19:NS19)-NT19&gt;0,SUM(NP19:NS19)-NT19,"")</f>
        <v>18.592500000000001</v>
      </c>
      <c r="OL19" s="11" t="str">
        <f>IF(NW19&gt;0,NW19,"")</f>
        <v/>
      </c>
      <c r="OM19" s="11" t="str">
        <f>IF(SUM(NU19:NX19)-NY19&gt;0,SUM(NU19:NX19)-NY19,"")</f>
        <v/>
      </c>
      <c r="ON19" s="11">
        <f>IF(OB19&gt;0,OB19,"")</f>
        <v>1.7</v>
      </c>
      <c r="OO19" s="11">
        <f>IF(SUM(NZ19:OC19)-OD19&gt;0,SUM(NZ19:OC19)-OD19,"")</f>
        <v>6.0824999999999996</v>
      </c>
      <c r="OP19" s="11">
        <f>IF(OR(OK19&lt;&gt;"",OM19&lt;&gt;"",OO19&lt;&gt;""),OK19+MAX(OM19,OO19),"")</f>
        <v>24.675000000000001</v>
      </c>
      <c r="OQ19" s="11" t="str">
        <f>IF(OG19&gt;0,OG19,"")</f>
        <v/>
      </c>
      <c r="OR19" s="11" t="str">
        <f t="shared" si="0"/>
        <v/>
      </c>
      <c r="OS19" s="11">
        <f t="shared" si="1"/>
        <v>24.675000000000001</v>
      </c>
    </row>
    <row r="20" spans="1:409" x14ac:dyDescent="0.2">
      <c r="A20" s="5" t="str" cm="1">
        <f t="array" ref="A20">IF(AND(G20&lt;&gt;"",H20&lt;&gt;""),SUMPRODUCT((G$4:G$21&lt;&gt;"")*(H$4:H$21&lt;&gt;"")*(E$4:E$21&gt;E20))+1,IF(H20&lt;&gt;"",SUMPRODUCT((I$4:I$21="No DD")*(E$4:E$21&gt;E20))+1+SUMPRODUCT((G$4:G$21&lt;&gt;"")*(H$4:H$21&lt;&gt;"")),""))</f>
        <v/>
      </c>
      <c r="B20" s="6" t="s">
        <v>136</v>
      </c>
      <c r="C20" s="7" t="s">
        <v>9</v>
      </c>
      <c r="D20" s="5">
        <v>2002</v>
      </c>
      <c r="E20" s="15">
        <f>SUM(K20:S20)</f>
        <v>207.26499999999999</v>
      </c>
      <c r="F20" s="3" t="str">
        <f>IF(G20&lt;&gt;"","P","")</f>
        <v/>
      </c>
      <c r="G20" s="125" t="str">
        <f>IF(OR(AND(AR20&gt;=AY$26,AR20&lt;&gt;"",AP20=""),AND(AT20&gt;=AY$26,AT20&lt;&gt;"",AP20=""),AND(AW20&gt;=AY$26,AW20&lt;&gt;"",AP20=""),AND(BV20&gt;=CC$26,BV20&lt;&gt;"",BT20=""),AND(BX20&gt;=CC$26,BX20&lt;&gt;"",BT20=""),AND(CA20&gt;=CC$26,CA20&lt;&gt;"",BT20=""),AND(CZ20&gt;=DG$26,CZ20&lt;&gt;"",CX20=""),AND(DB20&gt;=DG$26,DB20&lt;&gt;"",CX20=""),AND(DE20&gt;=DG$26,DE20&lt;&gt;"",CX20=""),AND(EA20&gt;=EG$26,EA20&lt;&gt;""),AND(EE20&gt;=EG$26,EE20&lt;&gt;""),AND(EW20&gt;=FC$26,EW20&lt;&gt;""),AND(FA20&gt;=FC$26,FA20&lt;&gt;""),AND(FS20&gt;=FY$26,FS20&lt;&gt;""),AND(FW20&gt;=FY$26,FW20&lt;&gt;""),AND(GO20&gt;=GU$26,GO20&lt;&gt;""),AND(GS20&gt;=GU$26,GS20&lt;&gt;""),AND(HK20&gt;=HQ$26,HK20&lt;&gt;""),AND(HO20&gt;=HQ$26,HO20&lt;&gt;""),AND(IG20&gt;=IM$26,IG20&lt;&gt;""),AND(IK20&gt;=IM$26,IK20&lt;&gt;""),AND(JC20&gt;=JI$26,JC20&lt;&gt;""),AND(JG20&gt;=JI$26,JG20&lt;&gt;""),AND(JY20&gt;=KE$26,JY20&lt;&gt;""),AND(KC20&gt;=KE$26,KC20&lt;&gt;""),AND(KU20&gt;=LA$26,KU20&lt;&gt;""),AND(KY20&gt;=LA$26,KY20&lt;&gt;""),AND(LQ20&gt;=LW$26,LQ20&lt;&gt;""),AND(LU20&gt;=LW$26,LU20&lt;&gt;""),AND(MM20&gt;=MS$26,MM20&lt;&gt;""),AND(MQ20&gt;=MS$26,MQ20&lt;&gt;""),AND(NI20&gt;=NO$26,NI20&lt;&gt;""),AND(NM20&gt;=NO$26,NM20&lt;&gt;"")),"Merit",IF(OR(AND(AR20&gt;=AY$25,AR20&lt;&gt;"",AP20=""),AND(AT20&gt;=AY$25,AT20&lt;&gt;"",AP20=""),AND(AW20&gt;=AY$25,AW20&lt;&gt;"",AP20=""),AND(BV20&gt;=CC$25,BV20&lt;&gt;"",BT20=""),AND(BX20&gt;=CC$25,BX20&lt;&gt;"",BT20=""),AND(CA20&gt;=CC$25,CA20&lt;&gt;"",BT20=""),AND(CZ20&gt;=DG$25,CZ20&lt;&gt;"",CX20=""),AND(DB20&gt;=DG$25,DB20&lt;&gt;"",CX20=""),AND(DE20&gt;=DG$25,DE20&lt;&gt;"",CX20=""),AND(EA20&gt;=EG$25,EA20&lt;&gt;""),AND(EE20&gt;=EG$25,EE20&lt;&gt;""),AND(EW20&gt;=FC$25,EW20&lt;&gt;""),AND(FA20&gt;=FC$25,FA20&lt;&gt;""),AND(FS20&gt;=FY$25,FS20&lt;&gt;""),AND(FW20&gt;=FY$25,FW20&lt;&gt;""),AND(GO20&gt;=GU$25,GO20&lt;&gt;""),AND(GS20&gt;=GU$25,GS20&lt;&gt;""),AND(HK20&gt;=HQ$25,HK20&lt;&gt;""),AND(HO20&gt;=HQ$25,HO20&lt;&gt;""),AND(IG20&gt;=IM$25,IG20&lt;&gt;""),AND(IK20&gt;=IM$25,IK20&lt;&gt;""),AND(JC20&gt;=JI$25,JC20&lt;&gt;""),AND(JG20&gt;=JI$25,JG20&lt;&gt;""),AND(JY20&gt;=KE$25,JY20&lt;&gt;""),AND(KC20&gt;=KE$25,KC20&lt;&gt;""),AND(KU20&gt;=LA$25,KU20&lt;&gt;""),AND(KY20&gt;=LA$25,KY20&lt;&gt;""),AND(LQ20&gt;=LW$25,LQ20&lt;&gt;""),AND(LU20&gt;=LW$25,LU20&lt;&gt;""),AND(MM20&gt;=MS$25,MM20&lt;&gt;""),AND(MQ20&gt;=MS$25,MQ20&lt;&gt;""),AND(NI20&gt;=NO$25,NI20&lt;&gt;""),AND(NM20&gt;=NO$25,NM20&lt;&gt;"")),"Excellence",IF(OR(AND(AR20&gt;=AY$24,AR20&lt;&gt;"",AP20=""),AND(AT20&gt;=AY$24,AT20&lt;&gt;"",AP20=""),AND(AW20&gt;=AY$24,AW20&lt;&gt;"",AP20=""),AND(BV20&gt;=CC$24,BV20&lt;&gt;"",BT20=""),AND(BX20&gt;=CC$24,BX20&lt;&gt;"",BT20=""),AND(CA20&gt;=CC$24,CA20&lt;&gt;"",BT20=""),AND(CZ20&gt;=DG$24,CZ20&lt;&gt;"",CX20=""),AND(DB20&gt;=DG$24,DB20&lt;&gt;"",CX20=""),AND(DE20&gt;=DG$24,DE20&lt;&gt;"",CX20=""),AND(EA20&gt;=EG$24,EA20&lt;&gt;""),AND(EE20&gt;=EG$24,EE20&lt;&gt;""),AND(EW20&gt;=FC$24,EW20&lt;&gt;""),AND(FA20&gt;=FC$24,FA20&lt;&gt;""),AND(FS20&gt;=FY$24,FS20&lt;&gt;""),AND(FW20&gt;=FY$24,FW20&lt;&gt;""),AND(GO20&gt;=GU$24,GO20&lt;&gt;""),AND(GS20&gt;=GU$24,GS20&lt;&gt;""),AND(HK20&gt;=HQ$24,HK20&lt;&gt;""),AND(HO20&gt;=HQ$24,HO20&lt;&gt;""),AND(IG20&gt;=IM$24,IG20&lt;&gt;""),AND(IK20&gt;=IM$24,IK20&lt;&gt;""),AND(JC20&gt;=JI$24,JC20&lt;&gt;""),AND(JG20&gt;=JI$24,JG20&lt;&gt;""),AND(JY20&gt;=KE$24,JY20&lt;&gt;""),AND(KC20&gt;=KE$24,KC20&lt;&gt;""),AND(KU20&gt;=LA$24,KU20&lt;&gt;""),AND(KY20&gt;=LA$24,KY20&lt;&gt;""),AND(LQ20&gt;=LW$24,LQ20&lt;&gt;""),AND(LU20&gt;=LW$24,LU20&lt;&gt;""),AND(MM20&gt;=MS$24,MM20&lt;&gt;""),AND(MQ20&gt;=MS$24,MQ20&lt;&gt;""),AND(NI20&gt;=NO$24,NI20&lt;&gt;""),AND(NM20&gt;=NO$24,NM20&lt;&gt;"")),"Worlds Team",IF(OR(AND(AR20&gt;=AY$23,AR20&lt;&gt;"",AP20=""),AND(AT20&gt;=AY$23,AT20&lt;&gt;"",AP20=""),AND(AW20&gt;=AY$23,AW20&lt;&gt;"",AP20=""),AND(BV20&gt;=CC$23,BV20&lt;&gt;"",BT20=""),AND(BX20&gt;=CC$23,BX20&lt;&gt;"",BT20=""),AND(CA20&gt;=CC$23,CA20&lt;&gt;"",BT20=""),AND(CZ20&gt;=DG$23,CZ20&lt;&gt;"",CX20=""),AND(DB20&gt;=DG$23,DB20&lt;&gt;"",CX20=""),AND(DE20&gt;=DG$23,DE20&lt;&gt;"",CX20=""),AND(EA20&gt;=EG$23,EA20&lt;&gt;""),AND(EE20&gt;=EG$23,EE20&lt;&gt;""),AND(EW20&gt;=FC$23,EW20&lt;&gt;""),AND(FA20&gt;=FC$23,FA20&lt;&gt;""),AND(FS20&gt;=FY$23,FS20&lt;&gt;""),AND(FW20&gt;=FY$23,FW20&lt;&gt;""),AND(GO20&gt;=GU$23,GO20&lt;&gt;""),AND(GS20&gt;=GU$23,GS20&lt;&gt;""),AND(HK20&gt;=HQ$23,HK20&lt;&gt;""),AND(HO20&gt;=HQ$23,HO20&lt;&gt;""),AND(IG20&gt;=IM$23,IG20&lt;&gt;""),AND(IK20&gt;=IM$23,IK20&lt;&gt;""),AND(JC20&gt;=JI$23,JC20&lt;&gt;""),AND(JG20&gt;=JI$23,JG20&lt;&gt;""),AND(JY20&gt;=KE$23,JY20&lt;&gt;""),AND(KC20&gt;=KE$23,KC20&lt;&gt;""),AND(KU20&gt;=LA$23,KU20&lt;&gt;""),AND(KY20&gt;=LA$23,KY20&lt;&gt;""),AND(LQ20&gt;=LW$23,LQ20&lt;&gt;""),AND(LU20&gt;=LW$23,LU20&lt;&gt;""),AND(MM20&gt;=MS$23,MM20&lt;&gt;""),AND(MQ20&gt;=MS$23,MQ20&lt;&gt;""),AND(NI20&gt;=NO$23,NI20&lt;&gt;""),AND(NM20&gt;=NO$23,NM20&lt;&gt;"")),"National Team",""))))</f>
        <v/>
      </c>
      <c r="H20" s="125" t="str">
        <f>IF(OR(AND(AS20&gt;=AY$30,AS20&lt;&gt;"",AP20=""),AND(AU20&gt;=AY$30,AU20&lt;&gt;"",AP20=""),AND(AX20&gt;=AY$30,AX20&lt;&gt;"",AP20=""),AND(BW20&gt;=CC$30,BW20&lt;&gt;"",BT20=""),AND(BY20&gt;=CC$30,BY20&lt;&gt;"",BT20=""),AND(CB20&gt;=CC$30,CB20&lt;&gt;"",BT20=""),AND(DA20&gt;=DG$30,DA20&lt;&gt;"",CX20=""),AND(DC20&gt;=DG$30,DC20&lt;&gt;"",CX20=""),AND(DF20&gt;=DG$30,DF20&lt;&gt;"",CX20=""),AND(EC20&gt;=EG$30,EC20&lt;&gt;""),AND(EF20&gt;=EG$30,EF20&lt;&gt;""),AND(EY20&gt;=FC$30,EY20&lt;&gt;""),AND(FB20&gt;=FC$30,FB20&lt;&gt;""),AND(FU20&gt;=FY$30,FU20&lt;&gt;""),AND(FX20&gt;=FY$30,FX20&lt;&gt;""),AND(GQ20&gt;=GU$30,GQ20&lt;&gt;""),AND(GT20&gt;=GU$30,GT20&lt;&gt;""),AND(HM20&gt;=HQ$30,HM20&lt;&gt;""),AND(HP20&gt;=HQ$30,HP20&lt;&gt;""),AND(II20&gt;=IM$30,II20&lt;&gt;""),AND(IL20&gt;=IM$30,IL20&lt;&gt;""),AND(JE20&gt;=JI$30,JE20&lt;&gt;""),AND(JH20&gt;=JI$30,JH20&lt;&gt;""),AND(KA20&gt;=KE$30,KA20&lt;&gt;""),AND(KD20&gt;=KE$30,KD20&lt;&gt;""),AND(KW20&gt;=LA$30,KW20&lt;&gt;""),AND(KZ20&gt;=LA$30,KZ20&lt;&gt;""),AND(LS20&gt;=LW$30,LS20&lt;&gt;""),AND(LV20&gt;=LW$30,LV20&lt;&gt;""),AND(MO20&gt;=MS$30,MO20&lt;&gt;""),AND(MR20&gt;=MS$30,MR20&lt;&gt;""),AND(NK20&gt;=NO$30,NK20&lt;&gt;""),AND(NN20&gt;=NO$30,NN20&lt;&gt;"")),"Merit",IF(OR(AND(AS20&gt;=AY$29,AS20&lt;&gt;"",AP20=""),AND(AU20&gt;=AY$29,AU20&lt;&gt;"",AP20=""),AND(AX20&gt;=AY$29,AX20&lt;&gt;"",AP20=""),AND(BW20&gt;=CC$29,BW20&lt;&gt;"",BT20=""),AND(BY20&gt;=CC$29,BY20&lt;&gt;"",BT20=""),AND(CB20&gt;=CC$29,CB20&lt;&gt;"",BT20=""),AND(DA20&gt;=DG$29,DA20&lt;&gt;"",CX20=""),AND(DC20&gt;=DG$29,DC20&lt;&gt;"",CX20=""),AND(DF20&gt;=DG$29,DF20&lt;&gt;"",CX20=""),AND(EC20&gt;=EG$29,EC20&lt;&gt;""),AND(EF20&gt;=EG$29,EF20&lt;&gt;""),AND(EY20&gt;=FC$29,EY20&lt;&gt;""),AND(FB20&gt;=FC$29,FB20&lt;&gt;""),AND(FU20&gt;=FY$29,FU20&lt;&gt;""),AND(FX20&gt;=FY$29,FX20&lt;&gt;""),AND(GQ20&gt;=GU$29,GQ20&lt;&gt;""),AND(GT20&gt;=GU$29,GT20&lt;&gt;""),AND(HM20&gt;=HQ$29,HM20&lt;&gt;""),AND(HP20&gt;=HQ$29,HP20&lt;&gt;""),AND(II20&gt;=IM$29,II20&lt;&gt;""),AND(IL20&gt;=IM$29,IL20&lt;&gt;""),AND(JE20&gt;=JI$29,JE20&lt;&gt;""),AND(JH20&gt;=JI$29,JH20&lt;&gt;""),AND(KA20&gt;=KE$29,KA20&lt;&gt;""),AND(KD20&gt;=KE$29,KD20&lt;&gt;""),AND(KW20&gt;=LA$29,KW20&lt;&gt;""),AND(KZ20&gt;=LA$29,KZ20&lt;&gt;""),AND(LS20&gt;=LW$29,LS20&lt;&gt;""),AND(LV20&gt;=LW$29,LV20&lt;&gt;""),AND(MO20&gt;=MS$29,MO20&lt;&gt;""),AND(MR20&gt;=MS$29,MR20&lt;&gt;""),AND(NK20&gt;=NO$29,NK20&lt;&gt;""),AND(NN20&gt;=NO$29,NN20&lt;&gt;"")),"Excellence",IF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"Worlds Team",IF(OR(AND(AV20&gt;=AY$27,AV20&lt;&gt;"",AP20=""),AND(BZ20&gt;=CC$27,BZ20&lt;&gt;"",BT20=""),AND(DD20&gt;=DG$27,DD20&lt;&gt;"",CX20=""),AND(ED20&gt;=EG$27,ED20&lt;&gt;""),AND(EZ20&gt;=FC$27,EZ20&lt;&gt;""),AND(FV20&gt;=FY$27,FV20&lt;&gt;""),AND(GR20&gt;=GU$27,GR20&lt;&gt;""),AND(HN20&gt;=HQ$27,HN20&lt;&gt;""),AND(IJ20&gt;=IM$27,IJ20&lt;&gt;""),AND(JF20&gt;=JI$27,JF20&lt;&gt;""),AND(KB20&gt;=KE$27,KB20&lt;&gt;""),AND(KX20&gt;=LA$27,KX20&lt;&gt;""),AND(LT20&gt;=LW$27,LT20&lt;&gt;""),AND(MP20&gt;=MS$27,MP20&lt;&gt;""),AND(NL20&gt;=NO$27,NL20&lt;&gt;"")),"National Team",""))))</f>
        <v/>
      </c>
      <c r="I20" s="126" t="str">
        <f>IF(AND(G20="Merit",H20="Merit"),"Merit",IF(AND(OR(G20="Merit",G20="Excellence"),OR(H20="Merit",H20="Excellence")),"Excellence",IF(AND(OR(G20="Merit",G20="Excellence",G20="Worlds Team"),OR(H20="Merit",H20="Excellence",H20="Worlds Team")),"Worlds Team",IF(AND(OR(G20="Merit",G20="Excellence",G20="Worlds Team",G20="National Team"),OR(H20="Merit",H20="Excellence",H20="Worlds Team",H20="National Team")),"National Team",IF(OR(H20="Merit",H20="Excellence",H20="Worlds Team",H20="National Team"),"No DD","")))))</f>
        <v/>
      </c>
      <c r="J20" s="3" t="str">
        <f>IF(AND(OR(AND(AV20&gt;=AY$28,AV20&lt;&gt;"",AP20=""),AND(BZ20&gt;=CC$28,BZ20&lt;&gt;"",BT20=""),AND(DD20&gt;=DG$28,DD20&lt;&gt;"",CX20=""),AND(ED20&gt;=EG$28,ED20&lt;&gt;""),AND(EZ20&gt;=FC$28,EZ20&lt;&gt;""),AND(FV20&gt;=FY$28,FV20&lt;&gt;""),AND(GR20&gt;=GU$28,GR20&lt;&gt;""),AND(HN20&gt;=HQ$28,HN20&lt;&gt;""),AND(IJ20&gt;=IM$28,IJ20&lt;&gt;""),AND(JF20&gt;=JI$28,JF20&lt;&gt;""),AND(KB20&gt;=KE$28,KB20&lt;&gt;""),AND(KX20&gt;=LA$28,KX20&lt;&gt;""),AND(LT20&gt;=LW$28,LT20&lt;&gt;""),AND(MP20&gt;=MS$28,MP20&lt;&gt;""),AND(NL20&gt;=NO$28,NL20&lt;&gt;"")),OR(G20="Worlds Team",G20="Excellence",G20="Merit")),"P","")</f>
        <v/>
      </c>
      <c r="K20" s="14">
        <f>IF(MAX(AV20,BZ20,DD20)&gt;0,MAX(AV20,BZ20,DD20),0)</f>
        <v>96.63</v>
      </c>
      <c r="L20" s="14" t="str">
        <f>IF(K20=0,"",IF(K20=DD20,$CD$1,IF(K20=BZ20,$AZ$1,IF(K20=AV20,$V$1,""))))</f>
        <v>2021 Elite Canada</v>
      </c>
      <c r="M20" s="14">
        <f>IF($K20=$AV20,MAX(BU20,CY20),IF($K20=$BZ20,MAX(AQ20,CY20),IF($K20=$DD20,MAX(AQ20,BU20),MAX(AQ20,BU20,CY20))))</f>
        <v>33.974999999999994</v>
      </c>
      <c r="N20" s="14" t="str">
        <f>IF(M20=0,"",IF(AND(M20=CY20,$L20&lt;&gt;$CD$1),$CD$1,IF(AND(M20=BU20,$L20&lt;&gt;$AZ$1),$AZ$1,IF(AND(M20=AQ20,$L20&lt;&gt;$V$1),$V$1,""))))</f>
        <v>2021 Canadian Championships</v>
      </c>
      <c r="O20" s="14">
        <f>IF(K20-N(AQ20)=AS20,MAX(AU20,BW20,BY20,DA20,DC20),IF(K20-N(AQ20)=AU20,MAX(AS20,BW20,BY20,DA20,DC20),IF(K20-N(BU20)=BW20,MAX(AS20,AU20,BY20,DA20,DC20),IF(K20-N(BU20)=BY20,MAX(AS20,AU20,BW20,DA20,DC20),IF(K20-N(CY20)=DA20,MAX(AS20,AU20,BW20,BY20,DC20),IF(K20-N(CY20)=DC20,MAX(AS20,AU20,BW20,BY20,DA20),MAX(AS20,AU20,BW20,BY20,DA20,DC20)))))))</f>
        <v>43.92</v>
      </c>
      <c r="P20" s="14" t="str">
        <f>IF(O20=0,"",IF(OR(O20=DC20,O20=DA20),$CD$1,IF(OR(O20=BY20,O20=BW20),$AZ$1,IF(OR(O20=AU20,O20=AS20),$V$1,""))))</f>
        <v>2021 Canadian Championships</v>
      </c>
      <c r="Q20" s="14">
        <f>MAX(AX20,CB20,DF20)</f>
        <v>32.74</v>
      </c>
      <c r="R20" s="14" t="str">
        <f>IF(Q20=0,"",IF(Q20=DF20,$CD$1,IF(Q20=CB20,$AZ$1,IF(Q20=AX20,$V$1,""))))</f>
        <v>2021 Elite Canada</v>
      </c>
      <c r="S20" s="14" t="str">
        <f>IF(MAX(DH20,DI20,DJ20,DK20)&gt;0,MAX(DH20,DI20,DJ20,DK20),"")</f>
        <v/>
      </c>
      <c r="T20" s="25" t="str">
        <f>IF(S20="","",IF(S20=DH20,"(Vol 1)",IF(S20=DI20,"(Vol 2)",IF(S20=DJ20,"(Prelim)",IF(S20=DK20,"(Final)")))))</f>
        <v/>
      </c>
      <c r="U20" s="14" t="str">
        <f>IF(S20="","",IF(S20=DH20,IF(S20+IF(M20="",0,M20)=NJ20,$MT$1,IF(S20+IF(M20="",0,M20)=MN20,$LX$1,IF(S20+IF(M20="",0,M20)=LR20,$LB$1,IF(S20+IF(M20="",0,M20)=KV20,$KF$1,IF(S20+IF(M20="",0,M20)=JZ20,$JJ$1,IF(S20+IF(M20="",0,M20)=JD20,$IN$1,IF(S20+IF(M20="",0,M20)=IH20,$HR$1,IF(S20+IF(M20="",0,M20)=HL20,$GV$1,IF(S20+IF(M20="",0,M20)=GP20,$FZ$1,IF(S20+IF(M20="",0,M20)=FT20,$FD$1,IF(S20+IF(M20="",0,M20)=EX20,$EH$1,IF(S20+IF(M20="",0,M20)=EB20,$DL$1)))))))))))),IF(S20=DI20,IF(S20+IF(O20="",0,O20)=NK20,$MT$1,IF(S20+IF(O20="",0,O20)=MO20,$LX$1,IF(S20+IF(O20="",0,O20)=LS20,$LB$1,IF(S20+IF(O20="",0,O20)=KW20,$KF$1,IF(S20+IF(O20="",0,O20)=KA20,$JJ$1,IF(S20+IF(O20="",0,O20)=JE20,$IN$1,IF(S20+IF(O20="",0,O20)=II20,$HR$1,IF(S20+IF(O20="",0,O20)=HM20,$GV$1,IF(S20+IF(O20="",0,O20)=GQ20,$FZ$1,IF(S20+IF(O20="",0,O20)=FU20,$FD$1,IF(S20+IF(O20="",0,O20)=EY20,$EH$1,IF(S20+IF(O20="",0,O20)=EC20,$DL$1)))))))))))),IF(S20=DJ20,IF(S20+IF(K20="",0,K20)=NL20,$MT$1,IF(S20+IF(K20="",0,K20)=MP20,$LX$1,IF(S20+IF(K20="",0,K20)=LT20,$LB$1,IF(S20+IF(K20="",0,K20)=KX20,$KF$1,IF(S20+IF(K20="",0,K20)=KB20,$JJ$1,IF(S20+IF(K20="",0,K20)=JF20,$IN$1,IF(S20+IF(K20="",0,K20)=IJ20,$HR$1,IF(S20+IF(K20="",0,K20)=HN20,$GV$1,IF(S20+IF(K20="",0,K20)=GR20,$FZ$1,IF(S20+IF(K20="",0,K20)=FV20,$FD$1,IF(S20+IF(K20="",0,K20)=EZ20,$EH$1,IF(S20+IF(K20="",0,K20)=ED20,$DL$1)))))))))))),IF(S20=DK20,IF(S20+IF(Q20="",0,Q20)=NN20,$MT$1,IF(S20+IF(Q20="",0,Q20)=MR20,$LX$1,IF(S20+IF(Q20="",0,Q20)=LV20,$LB$1,IF(S20+IF(Q20="",0,Q20)=KZ20,$KF$1,IF(S20+IF(Q20="",0,Q20)=KD20,$JJ$1,IF(S20+IF(Q20="",0,Q20)=JH20,$IN$1,IF(S20+IF(Q20="",0,Q20)=IL20,$HR$1,IF(S20+IF(Q20="",0,Q20)=HP20,$GV$1,IF(S20+IF(Q20="",0,Q20)=GT20,$FZ$1,IF(S20+IF(Q20="",0,Q20)=FX20,$FD$1,IF(S20+IF(Q20="",0,Q20)=FB20,$EH$1,IF(S20+IF(Q20="",0,Q20)=EF20,$DL$1)))))))))))))))))</f>
        <v/>
      </c>
      <c r="V20" s="69"/>
      <c r="W20" s="69"/>
      <c r="X20" s="69"/>
      <c r="Y20" s="69"/>
      <c r="Z20" s="69"/>
      <c r="AA20" s="69"/>
      <c r="AB20" s="69"/>
      <c r="AC20" s="69"/>
      <c r="AD20" s="69"/>
      <c r="AE20" s="69"/>
      <c r="AF20" s="69"/>
      <c r="AG20" s="69"/>
      <c r="AH20" s="69"/>
      <c r="AI20" s="69"/>
      <c r="AJ20" s="69"/>
      <c r="AK20" s="69"/>
      <c r="AL20" s="69"/>
      <c r="AM20" s="69"/>
      <c r="AN20" s="69"/>
      <c r="AO20" s="69"/>
      <c r="AP20" s="80"/>
      <c r="AQ20" s="11" t="str">
        <f>IF(SUM(V20:Y20)-Z20&gt;0,SUM(V20:Y20)-Z20,"")</f>
        <v/>
      </c>
      <c r="AR20" s="11" t="str">
        <f>IF(AC20&gt;0,AC20,"")</f>
        <v/>
      </c>
      <c r="AS20" s="11" t="str">
        <f>IF(SUM(AA20:AD20)-AE20&gt;0,SUM(AA20:AD20)-AE20,"")</f>
        <v/>
      </c>
      <c r="AT20" s="11" t="str">
        <f>IF(AH20&gt;0,AH20,"")</f>
        <v/>
      </c>
      <c r="AU20" s="11" t="str">
        <f>IF(SUM(AF20:AI20)-AJ20&gt;0,SUM(AF20:AI20)-AJ20,"")</f>
        <v/>
      </c>
      <c r="AV20" s="11" t="str">
        <f>IF(AQ20="",IF(MAX(AS20,AU20)&gt;0,MAX(AS20,AU20),""),MAX(AS20,AU20)+AQ20)</f>
        <v/>
      </c>
      <c r="AW20" s="11" t="str">
        <f>IF(AM20&gt;0,AM20,"")</f>
        <v/>
      </c>
      <c r="AX20" s="11" t="str">
        <f>IF(SUM(AK20:AN20)-AO20&gt;0,SUM(AK20:AN20)-AO20,"")</f>
        <v/>
      </c>
      <c r="AY20" s="11" t="str">
        <f>IF(SUM(AV20,AX20)&gt;0,SUM(AV20,AX20),"")</f>
        <v/>
      </c>
      <c r="AZ20" s="75">
        <v>16.600000000000001</v>
      </c>
      <c r="BA20" s="75">
        <v>9.1999999999999993</v>
      </c>
      <c r="BB20" s="75">
        <v>2.7</v>
      </c>
      <c r="BC20" s="75">
        <v>16.8</v>
      </c>
      <c r="BD20" s="75">
        <v>0</v>
      </c>
      <c r="BE20" s="75">
        <v>14.1</v>
      </c>
      <c r="BF20" s="75">
        <v>8.9</v>
      </c>
      <c r="BG20" s="75">
        <v>12.6</v>
      </c>
      <c r="BH20" s="75">
        <v>15.73</v>
      </c>
      <c r="BI20" s="75">
        <v>0</v>
      </c>
      <c r="BJ20" s="75">
        <v>1.4</v>
      </c>
      <c r="BK20" s="75">
        <v>0.8</v>
      </c>
      <c r="BL20" s="75">
        <v>2</v>
      </c>
      <c r="BM20" s="75">
        <v>1.7350000000000001</v>
      </c>
      <c r="BN20" s="75">
        <v>0</v>
      </c>
      <c r="BO20" s="75">
        <v>9</v>
      </c>
      <c r="BP20" s="75">
        <v>5.4</v>
      </c>
      <c r="BQ20" s="75">
        <v>8.6</v>
      </c>
      <c r="BR20" s="75">
        <v>9.74</v>
      </c>
      <c r="BS20" s="75">
        <v>0</v>
      </c>
      <c r="BT20" s="81"/>
      <c r="BU20" s="14">
        <f>IF(SUM(AZ20:BC20)-BD20&gt;0,SUM(AZ20:BC20)-BD20,"")</f>
        <v>45.3</v>
      </c>
      <c r="BV20" s="14">
        <f>IF(BG20&gt;0,BG20,"")</f>
        <v>12.6</v>
      </c>
      <c r="BW20" s="14">
        <f>IF(SUM(BE20:BH20)-BI20&gt;0,SUM(BE20:BH20)-BI20,"")</f>
        <v>51.33</v>
      </c>
      <c r="BX20" s="14">
        <f>IF(BL20&gt;0,BL20,"")</f>
        <v>2</v>
      </c>
      <c r="BY20" s="14">
        <f>IF(SUM(BJ20:BM20)-BN20&gt;0,SUM(BJ20:BM20)-BN20,"")</f>
        <v>5.9350000000000005</v>
      </c>
      <c r="BZ20" s="14">
        <f>IF(BU20="",IF(MAX(BW20,BY20)&gt;0,MAX(BW20,BY20),""),MAX(BW20,BY20)+BU20)</f>
        <v>96.63</v>
      </c>
      <c r="CA20" s="14">
        <f>IF(BQ20&gt;0,BQ20,"")</f>
        <v>8.6</v>
      </c>
      <c r="CB20" s="14">
        <f>IF(SUM(BO20:BR20)-BS20&gt;0,SUM(BO20:BR20)-BS20,"")</f>
        <v>32.74</v>
      </c>
      <c r="CC20" s="14">
        <f>IF(SUM(BZ20,CB20)&gt;0,SUM(BZ20,CB20),"")</f>
        <v>129.37</v>
      </c>
      <c r="CD20" s="69">
        <v>12.4</v>
      </c>
      <c r="CE20" s="69">
        <v>7</v>
      </c>
      <c r="CF20" s="69">
        <v>0.9</v>
      </c>
      <c r="CG20" s="69">
        <v>13.675000000000001</v>
      </c>
      <c r="CH20" s="69">
        <v>0</v>
      </c>
      <c r="CI20" s="69">
        <v>1.4</v>
      </c>
      <c r="CJ20" s="69">
        <v>1</v>
      </c>
      <c r="CK20" s="69">
        <v>2</v>
      </c>
      <c r="CL20" s="69">
        <v>1.7150000000000001</v>
      </c>
      <c r="CM20" s="69">
        <v>0</v>
      </c>
      <c r="CN20" s="69">
        <v>12</v>
      </c>
      <c r="CO20" s="69">
        <v>7.7</v>
      </c>
      <c r="CP20" s="69">
        <v>11</v>
      </c>
      <c r="CQ20" s="69">
        <v>13.22</v>
      </c>
      <c r="CR20" s="69">
        <v>0</v>
      </c>
      <c r="CS20" s="69">
        <v>4.4000000000000004</v>
      </c>
      <c r="CT20" s="69">
        <v>2.8</v>
      </c>
      <c r="CU20" s="69">
        <v>4.5</v>
      </c>
      <c r="CV20" s="69">
        <v>5.03</v>
      </c>
      <c r="CW20" s="69">
        <v>0</v>
      </c>
      <c r="CX20" s="80"/>
      <c r="CY20" s="11">
        <f>IF(SUM(CD20:CG20)-CH20&gt;0,SUM(CD20:CG20)-CH20,"")</f>
        <v>33.974999999999994</v>
      </c>
      <c r="CZ20" s="11">
        <f>IF(CK20&gt;0,CK20,"")</f>
        <v>2</v>
      </c>
      <c r="DA20" s="11">
        <f>IF(SUM(CI20:CL20)-CM20&gt;0,SUM(CI20:CL20)-CM20,"")</f>
        <v>6.1150000000000002</v>
      </c>
      <c r="DB20" s="11">
        <f>IF(CP20&gt;0,CP20,"")</f>
        <v>11</v>
      </c>
      <c r="DC20" s="11">
        <f>IF(SUM(CN20:CQ20)-CR20&gt;0,SUM(CN20:CQ20)-CR20,"")</f>
        <v>43.92</v>
      </c>
      <c r="DD20" s="11">
        <f>IF(CY20="",IF(MAX(DA20,DC20)&gt;0,MAX(DA20,DC20),""),MAX(DA20,DC20)+CY20)</f>
        <v>77.894999999999996</v>
      </c>
      <c r="DE20" s="11">
        <f>IF(CU20&gt;0,CU20,"")</f>
        <v>4.5</v>
      </c>
      <c r="DF20" s="11">
        <f>IF(SUM(CS20:CV20)-CW20&gt;0,SUM(CS20:CV20)-CW20,"")</f>
        <v>16.73</v>
      </c>
      <c r="DG20" s="11">
        <f>IF(SUM(DD20,DF20)&gt;0,SUM(DD20,DF20),"")</f>
        <v>94.625</v>
      </c>
      <c r="DH20" s="24" t="str">
        <f>IF(MAX(EB20,EX20,FT20,GP20,HL20,IH20,JD20,JZ20,KV20,LR20,MN20,NJ20)-IF(M20="",0,M20)&gt;0.001,MAX(EB20,EX20,FT20,GP20,HL20,IH20,JD20,JZ20,KV20,LR20,MN20,NJ20)-IF(M20="",0,M20),"")</f>
        <v/>
      </c>
      <c r="DI20" s="24" t="str">
        <f>IF(MAX(EC20,EY20,FU20,GQ20,HM20,II20,JE20,KA20,KW20,LS20,MO20,NK20)-IF(O20="",0,O20)&gt;0.001,MAX(EC20,EY20,FU20,GQ20,HM20,II20,JE20,KA20,KW20,LS20,MO20,NK20)-IF(O20="",0,O20),"")</f>
        <v/>
      </c>
      <c r="DJ20" s="24" t="str">
        <f>IF(MAX(ED20,EZ20,FV20,GR20,HN20,IJ20,JF20,KB20,KX20,LT20,MP20,NL20)-IF(K20="",0,K20)&gt;0.001,MAX(ED20,EZ20,FV20,GR20,HN20,IJ20,JF20,KB20,KX20,LT20,MP20,NL20)-IF(K20="",0,K20),"")</f>
        <v/>
      </c>
      <c r="DK20" s="24" t="str">
        <f>IF(MAX(EF20,FB20,FX20,GT20,HP20,IL20,JH20,KD20,KZ20,LV20,MR20,NN20)-IF(Q20="",0,Q20)&gt;0.001,MAX(EF20,FB20,FX20,GT20,HP20,IL20,JH20,KD20,KZ20,LV20,MR20,NN20)-IF(Q20="",0,Q20),"")</f>
        <v/>
      </c>
      <c r="DL20" s="37"/>
      <c r="DM20" s="37"/>
      <c r="DN20" s="37"/>
      <c r="DO20" s="37"/>
      <c r="DP20" s="37"/>
      <c r="DQ20" s="37"/>
      <c r="DR20" s="37"/>
      <c r="DS20" s="37"/>
      <c r="DT20" s="37"/>
      <c r="DU20" s="37"/>
      <c r="DV20" s="37"/>
      <c r="DW20" s="37"/>
      <c r="DX20" s="37"/>
      <c r="DY20" s="37"/>
      <c r="DZ20" s="37"/>
      <c r="EA20" s="11" t="str">
        <f>IF(DS20&gt;0,DS20,"")</f>
        <v/>
      </c>
      <c r="EB20" s="11" t="str">
        <f>IF(SUM(DL20:DO20)-DP20&gt;0,SUM(DL20:DO20)-DP20,"")</f>
        <v/>
      </c>
      <c r="EC20" s="11" t="str">
        <f>IF(SUM(DQ20:DT20)-DU20&gt;0,SUM(DQ20:DT20)-DU20,"")</f>
        <v/>
      </c>
      <c r="ED20" s="11" t="str">
        <f>IF(SUM(EB20:EC20)&gt;0,SUM(EB20:EC20),"")</f>
        <v/>
      </c>
      <c r="EE20" s="11" t="str">
        <f>IF(DX20&gt;0,DX20,"")</f>
        <v/>
      </c>
      <c r="EF20" s="11" t="str">
        <f>IF(SUM(DV20:DY20)-DZ20&gt;0,SUM(DV20:DY20)-DZ20,"")</f>
        <v/>
      </c>
      <c r="EG20" s="11" t="str">
        <f>IF(SUM(ED20,EF20)&gt;0,SUM(ED20,EF20),"")</f>
        <v/>
      </c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14" t="str">
        <f>IF(EO20&gt;0,EO20,"")</f>
        <v/>
      </c>
      <c r="EX20" s="14" t="str">
        <f>IF(SUM(EH20:EK20)-EL20&gt;0,SUM(EH20:EK20)-EL20,"")</f>
        <v/>
      </c>
      <c r="EY20" s="14" t="str">
        <f>IF(SUM(EM20:EP20)-EQ20&gt;0,SUM(EM20:EP20)-EQ20,"")</f>
        <v/>
      </c>
      <c r="EZ20" s="14" t="str">
        <f>IF(SUM(EX20:EY20)&gt;0,SUM(EX20:EY20),"")</f>
        <v/>
      </c>
      <c r="FA20" s="14" t="str">
        <f>IF(ET20&gt;0,ET20,"")</f>
        <v/>
      </c>
      <c r="FB20" s="14" t="str">
        <f>IF(SUM(ER20:EU20)-EV20&gt;0,SUM(ER20:EU20)-EV20,"")</f>
        <v/>
      </c>
      <c r="FC20" s="14" t="str">
        <f>IF(SUM(EZ20,FB20)&gt;0,SUM(EZ20,FB20),"")</f>
        <v/>
      </c>
      <c r="FD20" s="37"/>
      <c r="FE20" s="37"/>
      <c r="FF20" s="37"/>
      <c r="FG20" s="37"/>
      <c r="FH20" s="37"/>
      <c r="FI20" s="37"/>
      <c r="FJ20" s="37"/>
      <c r="FK20" s="37"/>
      <c r="FL20" s="37"/>
      <c r="FM20" s="37"/>
      <c r="FN20" s="37"/>
      <c r="FO20" s="37"/>
      <c r="FP20" s="37"/>
      <c r="FQ20" s="37"/>
      <c r="FR20" s="37"/>
      <c r="FS20" s="11" t="str">
        <f>IF(FK20&gt;0,FK20,"")</f>
        <v/>
      </c>
      <c r="FT20" s="11" t="str">
        <f>IF(SUM(FD20:FG20)-FH20&gt;0,SUM(FD20:FG20)-FH20,"")</f>
        <v/>
      </c>
      <c r="FU20" s="11" t="str">
        <f>IF(SUM(FI20:FL20)-FM20&gt;0,SUM(FI20:FL20)-FM20,"")</f>
        <v/>
      </c>
      <c r="FV20" s="11" t="str">
        <f>IF(SUM(FT20:FU20)&gt;0,SUM(FT20:FU20),"")</f>
        <v/>
      </c>
      <c r="FW20" s="11" t="str">
        <f>IF(FP20&gt;0,FP20,"")</f>
        <v/>
      </c>
      <c r="FX20" s="11" t="str">
        <f>IF(SUM(FN20:FQ20)-FR20&gt;0,SUM(FN20:FQ20)-FR20,"")</f>
        <v/>
      </c>
      <c r="FY20" s="11" t="str">
        <f>IF(SUM(FV20,FX20)&gt;0,SUM(FV20,FX20),"")</f>
        <v/>
      </c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14" t="str">
        <f>IF(GG20&gt;0,GG20,"")</f>
        <v/>
      </c>
      <c r="GP20" s="14" t="str">
        <f>IF(SUM(FZ20:GC20)-GD20&gt;0,SUM(FZ20:GC20)-GD20,"")</f>
        <v/>
      </c>
      <c r="GQ20" s="14" t="str">
        <f>IF(SUM(GE20:GH20)-GI20&gt;0,SUM(GE20:GH20)-GI20,"")</f>
        <v/>
      </c>
      <c r="GR20" s="14" t="str">
        <f>IF(SUM(GP20:GQ20)&gt;0,SUM(GP20:GQ20),"")</f>
        <v/>
      </c>
      <c r="GS20" s="14" t="str">
        <f>IF(GL20&gt;0,GL20,"")</f>
        <v/>
      </c>
      <c r="GT20" s="14" t="str">
        <f>IF(SUM(GJ20:GM20)-GN20&gt;0,SUM(GJ20:GM20)-GN20,"")</f>
        <v/>
      </c>
      <c r="GU20" s="14" t="str">
        <f>IF(SUM(GR20,GT20)&gt;0,SUM(GR20,GT20),"")</f>
        <v/>
      </c>
      <c r="GV20" s="37"/>
      <c r="GW20" s="37"/>
      <c r="GX20" s="37"/>
      <c r="GY20" s="37"/>
      <c r="GZ20" s="37"/>
      <c r="HA20" s="37"/>
      <c r="HB20" s="37"/>
      <c r="HC20" s="37"/>
      <c r="HD20" s="37"/>
      <c r="HE20" s="37"/>
      <c r="HF20" s="37"/>
      <c r="HG20" s="37"/>
      <c r="HH20" s="37"/>
      <c r="HI20" s="37"/>
      <c r="HJ20" s="37"/>
      <c r="HK20" s="11" t="str">
        <f>IF(HC20&gt;0,HC20,"")</f>
        <v/>
      </c>
      <c r="HL20" s="11" t="str">
        <f>IF(SUM(GV20:GY20)-GZ20&gt;0,SUM(GV20:GY20)-GZ20,"")</f>
        <v/>
      </c>
      <c r="HM20" s="11" t="str">
        <f>IF(SUM(HA20:HD20)-HE20&gt;0,SUM(HA20:HD20)-HE20,"")</f>
        <v/>
      </c>
      <c r="HN20" s="11" t="str">
        <f>IF(SUM(HL20:HM20)&gt;0,SUM(HL20:HM20),"")</f>
        <v/>
      </c>
      <c r="HO20" s="11" t="str">
        <f>IF(HH20&gt;0,HH20,"")</f>
        <v/>
      </c>
      <c r="HP20" s="11" t="str">
        <f>IF(SUM(HF20:HI20)-HJ20&gt;0,SUM(HF20:HI20)-HJ20,"")</f>
        <v/>
      </c>
      <c r="HQ20" s="11" t="str">
        <f>IF(SUM(HN20,HP20)&gt;0,SUM(HN20,HP20),"")</f>
        <v/>
      </c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14" t="str">
        <f>IF(HY20&gt;0,HY20,"")</f>
        <v/>
      </c>
      <c r="IH20" s="14" t="str">
        <f>IF(SUM(HR20:HU20)-HV20&gt;0,SUM(HR20:HU20)-HV20,"")</f>
        <v/>
      </c>
      <c r="II20" s="14" t="str">
        <f>IF(SUM(HW20:HZ20)-IA20&gt;0,SUM(HW20:HZ20)-IA20,"")</f>
        <v/>
      </c>
      <c r="IJ20" s="14" t="str">
        <f>IF(SUM(IH20:II20)&gt;0,SUM(IH20:II20),"")</f>
        <v/>
      </c>
      <c r="IK20" s="14" t="str">
        <f>IF(ID20&gt;0,ID20,"")</f>
        <v/>
      </c>
      <c r="IL20" s="14" t="str">
        <f>IF(SUM(IB20:IE20)-IF20&gt;0,SUM(IB20:IE20)-IF20,"")</f>
        <v/>
      </c>
      <c r="IM20" s="14" t="str">
        <f>IF(SUM(IJ20,IL20)&gt;0,SUM(IJ20,IL20),"")</f>
        <v/>
      </c>
      <c r="IN20" s="37"/>
      <c r="IO20" s="37"/>
      <c r="IP20" s="37"/>
      <c r="IQ20" s="37"/>
      <c r="IR20" s="37"/>
      <c r="IS20" s="37"/>
      <c r="IT20" s="37"/>
      <c r="IU20" s="37"/>
      <c r="IV20" s="37"/>
      <c r="IW20" s="37"/>
      <c r="IX20" s="37"/>
      <c r="IY20" s="37"/>
      <c r="IZ20" s="37"/>
      <c r="JA20" s="37"/>
      <c r="JB20" s="37"/>
      <c r="JC20" s="11" t="str">
        <f>IF(IU20&gt;0,IU20,"")</f>
        <v/>
      </c>
      <c r="JD20" s="11" t="str">
        <f>IF(SUM(IN20:IQ20)-IR20&gt;0,SUM(IN20:IQ20)-IR20,"")</f>
        <v/>
      </c>
      <c r="JE20" s="11" t="str">
        <f>IF(SUM(IS20:IV20)-IW20&gt;0,SUM(IS20:IV20)-IW20,"")</f>
        <v/>
      </c>
      <c r="JF20" s="11" t="str">
        <f>IF(SUM(JD20:JE20)&gt;0,SUM(JD20:JE20),"")</f>
        <v/>
      </c>
      <c r="JG20" s="11" t="str">
        <f>IF(IZ20&gt;0,IZ20,"")</f>
        <v/>
      </c>
      <c r="JH20" s="11" t="str">
        <f>IF(SUM(IX20:JA20)-JB20&gt;0,SUM(IX20:JA20)-JB20,"")</f>
        <v/>
      </c>
      <c r="JI20" s="11" t="str">
        <f>IF(SUM(JF20,JH20)&gt;0,SUM(JF20,JH20),"")</f>
        <v/>
      </c>
      <c r="JJ20" s="38"/>
      <c r="JK20" s="38"/>
      <c r="JL20" s="38"/>
      <c r="JM20" s="38"/>
      <c r="JN20" s="38"/>
      <c r="JO20" s="38"/>
      <c r="JP20" s="38"/>
      <c r="JQ20" s="38"/>
      <c r="JR20" s="38"/>
      <c r="JS20" s="38"/>
      <c r="JT20" s="38"/>
      <c r="JU20" s="38"/>
      <c r="JV20" s="38"/>
      <c r="JW20" s="38"/>
      <c r="JX20" s="38"/>
      <c r="JY20" s="14" t="str">
        <f>IF(JQ20&gt;0,JQ20,"")</f>
        <v/>
      </c>
      <c r="JZ20" s="14" t="str">
        <f>IF(SUM(JJ20:JM20)-JN20&gt;0,SUM(JJ20:JM20)-JN20,"")</f>
        <v/>
      </c>
      <c r="KA20" s="14" t="str">
        <f>IF(SUM(JO20:JR20)-JS20&gt;0,SUM(JO20:JR20)-JS20,"")</f>
        <v/>
      </c>
      <c r="KB20" s="14" t="str">
        <f>IF(SUM(JZ20:KA20)&gt;0,SUM(JZ20:KA20),"")</f>
        <v/>
      </c>
      <c r="KC20" s="14" t="str">
        <f>IF(JV20&gt;0,JV20,"")</f>
        <v/>
      </c>
      <c r="KD20" s="14" t="str">
        <f>IF(SUM(JT20:JW20)-JX20&gt;0,SUM(JT20:JW20)-JX20,"")</f>
        <v/>
      </c>
      <c r="KE20" s="14" t="str">
        <f>IF(SUM(KB20,KD20)&gt;0,SUM(KB20,KD20),"")</f>
        <v/>
      </c>
      <c r="KF20" s="37"/>
      <c r="KG20" s="37"/>
      <c r="KH20" s="37"/>
      <c r="KI20" s="37"/>
      <c r="KJ20" s="37"/>
      <c r="KK20" s="37"/>
      <c r="KL20" s="37"/>
      <c r="KM20" s="37"/>
      <c r="KN20" s="37"/>
      <c r="KO20" s="37"/>
      <c r="KP20" s="37"/>
      <c r="KQ20" s="37"/>
      <c r="KR20" s="37"/>
      <c r="KS20" s="37"/>
      <c r="KT20" s="37"/>
      <c r="KU20" s="11" t="str">
        <f>IF(KM20&gt;0,KM20,"")</f>
        <v/>
      </c>
      <c r="KV20" s="11" t="str">
        <f>IF(SUM(KF20:KI20)-KJ20&gt;0,SUM(KF20:KI20)-KJ20,"")</f>
        <v/>
      </c>
      <c r="KW20" s="11" t="str">
        <f>IF(SUM(KK20:KN20)-KO20&gt;0,SUM(KK20:KN20)-KO20,"")</f>
        <v/>
      </c>
      <c r="KX20" s="11" t="str">
        <f>IF(SUM(KV20:KW20)&gt;0,SUM(KV20:KW20),"")</f>
        <v/>
      </c>
      <c r="KY20" s="11" t="str">
        <f>IF(KR20&gt;0,KR20,"")</f>
        <v/>
      </c>
      <c r="KZ20" s="11" t="str">
        <f>IF(SUM(KP20:KS20)-KT20&gt;0,SUM(KP20:KS20)-KT20,"")</f>
        <v/>
      </c>
      <c r="LA20" s="11" t="str">
        <f>IF(SUM(KX20,KZ20)&gt;0,SUM(KX20,KZ20),"")</f>
        <v/>
      </c>
      <c r="LB20" s="38"/>
      <c r="LC20" s="38"/>
      <c r="LD20" s="38"/>
      <c r="LE20" s="38"/>
      <c r="LF20" s="38"/>
      <c r="LG20" s="38"/>
      <c r="LH20" s="38"/>
      <c r="LI20" s="38"/>
      <c r="LJ20" s="38"/>
      <c r="LK20" s="38"/>
      <c r="LL20" s="38"/>
      <c r="LM20" s="38"/>
      <c r="LN20" s="38"/>
      <c r="LO20" s="38"/>
      <c r="LP20" s="38"/>
      <c r="LQ20" s="14" t="str">
        <f>IF(LI20&gt;0,LI20,"")</f>
        <v/>
      </c>
      <c r="LR20" s="14" t="str">
        <f>IF(SUM(LB20:LE20)-LF20&gt;0,SUM(LB20:LE20)-LF20,"")</f>
        <v/>
      </c>
      <c r="LS20" s="14" t="str">
        <f>IF(SUM(LG20:LJ20)-LK20&gt;0,SUM(LG20:LJ20)-LK20,"")</f>
        <v/>
      </c>
      <c r="LT20" s="14" t="str">
        <f>IF(SUM(LR20:LS20)&gt;0,SUM(LR20:LS20),"")</f>
        <v/>
      </c>
      <c r="LU20" s="14" t="str">
        <f>IF(LN20&gt;0,LN20,"")</f>
        <v/>
      </c>
      <c r="LV20" s="14" t="str">
        <f>IF(SUM(LL20:LO20)-LP20&gt;0,SUM(LL20:LO20)-LP20,"")</f>
        <v/>
      </c>
      <c r="LW20" s="14" t="str">
        <f>IF(SUM(LT20,LV20)&gt;0,SUM(LT20,LV20),"")</f>
        <v/>
      </c>
      <c r="LX20" s="37"/>
      <c r="LY20" s="37"/>
      <c r="LZ20" s="37"/>
      <c r="MA20" s="37"/>
      <c r="MB20" s="37"/>
      <c r="MC20" s="37"/>
      <c r="MD20" s="37"/>
      <c r="ME20" s="37"/>
      <c r="MF20" s="37"/>
      <c r="MG20" s="37"/>
      <c r="MH20" s="37"/>
      <c r="MI20" s="37"/>
      <c r="MJ20" s="37"/>
      <c r="MK20" s="37"/>
      <c r="ML20" s="37"/>
      <c r="MM20" s="11" t="str">
        <f>IF(ME20&gt;0,ME20,"")</f>
        <v/>
      </c>
      <c r="MN20" s="11" t="str">
        <f>IF(SUM(LX20:MA20)-MB20&gt;0,SUM(LX20:MA20)-MB20,"")</f>
        <v/>
      </c>
      <c r="MO20" s="11" t="str">
        <f>IF(SUM(MC20:MF20)-MG20&gt;0,SUM(MC20:MF20)-MG20,"")</f>
        <v/>
      </c>
      <c r="MP20" s="11" t="str">
        <f>IF(SUM(MN20:MO20)&gt;0,SUM(MN20:MO20),"")</f>
        <v/>
      </c>
      <c r="MQ20" s="11" t="str">
        <f>IF(MJ20&gt;0,MJ20,"")</f>
        <v/>
      </c>
      <c r="MR20" s="11" t="str">
        <f>IF(SUM(MH20:MK20)-ML20&gt;0,SUM(MH20:MK20)-ML20,"")</f>
        <v/>
      </c>
      <c r="MS20" s="11" t="str">
        <f>IF(SUM(MP20,MR20)&gt;0,SUM(MP20,MR20),"")</f>
        <v/>
      </c>
      <c r="MT20" s="38"/>
      <c r="MU20" s="38"/>
      <c r="MV20" s="38"/>
      <c r="MW20" s="38"/>
      <c r="MX20" s="38"/>
      <c r="MY20" s="38"/>
      <c r="MZ20" s="38"/>
      <c r="NA20" s="38"/>
      <c r="NB20" s="38"/>
      <c r="NC20" s="38"/>
      <c r="ND20" s="38"/>
      <c r="NE20" s="38"/>
      <c r="NF20" s="38"/>
      <c r="NG20" s="38"/>
      <c r="NH20" s="38"/>
      <c r="NI20" s="14" t="str">
        <f>IF(NA20&gt;0,NA20,"")</f>
        <v/>
      </c>
      <c r="NJ20" s="14" t="str">
        <f>IF(SUM(MT20:MW20)-MX20&gt;0,SUM(MT20:MW20)-MX20,"")</f>
        <v/>
      </c>
      <c r="NK20" s="14" t="str">
        <f>IF(SUM(MY20:NB20)-NC20&gt;0,SUM(MY20:NB20)-NC20,"")</f>
        <v/>
      </c>
      <c r="NL20" s="14" t="str">
        <f>IF(SUM(NJ20:NK20)&gt;0,SUM(NJ20:NK20),"")</f>
        <v/>
      </c>
      <c r="NM20" s="14" t="str">
        <f>IF(NF20&gt;0,NF20,"")</f>
        <v/>
      </c>
      <c r="NN20" s="14" t="str">
        <f>IF(SUM(ND20:NG20)-NH20&gt;0,SUM(ND20:NG20)-NH20,"")</f>
        <v/>
      </c>
      <c r="NO20" s="14" t="str">
        <f>IF(SUM(NL20,NN20)&gt;0,SUM(NL20,NN20),"")</f>
        <v/>
      </c>
      <c r="NP20" s="69">
        <f>IF($CX20="P",CD20,(CD20+AZ20)/2)</f>
        <v>14.5</v>
      </c>
      <c r="NQ20" s="69">
        <f>IF($CX20="P",CE20,(CE20+BA20)/2)</f>
        <v>8.1</v>
      </c>
      <c r="NR20" s="69">
        <f>IF($CX20="P",CF20,(CF20+BB20)/2)</f>
        <v>1.8</v>
      </c>
      <c r="NS20" s="69">
        <f>IF($CX20="P",CG20,(CG20+BC20)/2)</f>
        <v>15.237500000000001</v>
      </c>
      <c r="NT20" s="69">
        <f>IF($CX20="P",CH20,(CH20+BD20)/2)</f>
        <v>0</v>
      </c>
      <c r="NU20" s="69">
        <f>IF($CX20="P",CI20,(CI20+BE20)/2)</f>
        <v>7.75</v>
      </c>
      <c r="NV20" s="69">
        <f>IF($CX20="P",CJ20,(CJ20+BF20)/2)</f>
        <v>4.95</v>
      </c>
      <c r="NW20" s="69">
        <f>IF($CX20="P",CK20,(CK20+BG20)/2)</f>
        <v>7.3</v>
      </c>
      <c r="NX20" s="69">
        <f>IF($CX20="P",CL20,(CL20+BH20)/2)</f>
        <v>8.7225000000000001</v>
      </c>
      <c r="NY20" s="69">
        <f>IF($CX20="P",CM20,(CM20+BI20)/2)</f>
        <v>0</v>
      </c>
      <c r="NZ20" s="69">
        <f>IF($CX20="P",CN20,(CN20+BJ20)/2)</f>
        <v>6.7</v>
      </c>
      <c r="OA20" s="69">
        <f>IF($CX20="P",CO20,(CO20+BK20)/2)</f>
        <v>4.25</v>
      </c>
      <c r="OB20" s="69">
        <f>IF($CX20="P",CP20,(CP20+BL20)/2)</f>
        <v>6.5</v>
      </c>
      <c r="OC20" s="69">
        <f>IF($CX20="P",CQ20,(CQ20+BM20)/2)</f>
        <v>7.4775</v>
      </c>
      <c r="OD20" s="69">
        <f>IF($CX20="P",CR20,(CR20+BN20)/2)</f>
        <v>0</v>
      </c>
      <c r="OE20" s="69">
        <f>IF($CX20="P",CS20,(CS20+BO20)/2)</f>
        <v>6.7</v>
      </c>
      <c r="OF20" s="69">
        <f>IF($CX20="P",CT20,(CT20+BP20)/2)</f>
        <v>4.0999999999999996</v>
      </c>
      <c r="OG20" s="69">
        <f>IF($CX20="P",CU20,(CU20+BQ20)/2)</f>
        <v>6.55</v>
      </c>
      <c r="OH20" s="69">
        <f>IF($CX20="P",CV20,(CV20+BR20)/2)</f>
        <v>7.3849999999999998</v>
      </c>
      <c r="OI20" s="69">
        <f>IF($CX20="P",CW20,(CW20+BS20)/2)</f>
        <v>0</v>
      </c>
      <c r="OJ20" s="80" t="s">
        <v>74</v>
      </c>
      <c r="OK20" s="11">
        <f>IF(SUM(NP20:NS20)-NT20&gt;0,SUM(NP20:NS20)-NT20,"")</f>
        <v>39.637500000000003</v>
      </c>
      <c r="OL20" s="11">
        <f>IF(NW20&gt;0,NW20,"")</f>
        <v>7.3</v>
      </c>
      <c r="OM20" s="11">
        <f>IF(SUM(NU20:NX20)-NY20&gt;0,SUM(NU20:NX20)-NY20,"")</f>
        <v>28.7225</v>
      </c>
      <c r="ON20" s="11">
        <f>IF(OB20&gt;0,OB20,"")</f>
        <v>6.5</v>
      </c>
      <c r="OO20" s="11">
        <f>IF(SUM(NZ20:OC20)-OD20&gt;0,SUM(NZ20:OC20)-OD20,"")</f>
        <v>24.927499999999998</v>
      </c>
      <c r="OP20" s="11">
        <f>IF(OR(OK20&lt;&gt;"",OM20&lt;&gt;"",OO20&lt;&gt;""),OK20+MAX(OM20,OO20),"")</f>
        <v>68.36</v>
      </c>
      <c r="OQ20" s="11">
        <f>IF(OG20&gt;0,OG20,"")</f>
        <v>6.55</v>
      </c>
      <c r="OR20" s="11">
        <f t="shared" ref="OR20" si="2">IF(SUM(OE20:OH20)-OI20&gt;0,SUM(OE20:OH20)-OI20,"")</f>
        <v>24.734999999999999</v>
      </c>
      <c r="OS20" s="11">
        <f t="shared" ref="OS20" si="3">IF(SUM(OP20,OR20)&gt;0,SUM(OP20,OR20),"")</f>
        <v>93.094999999999999</v>
      </c>
    </row>
    <row r="21" spans="1:409" x14ac:dyDescent="0.2">
      <c r="B21" s="6"/>
      <c r="D21" s="1"/>
    </row>
    <row r="22" spans="1:409" x14ac:dyDescent="0.2">
      <c r="H22" s="125"/>
      <c r="J22" s="125"/>
    </row>
    <row r="23" spans="1:409" x14ac:dyDescent="0.2">
      <c r="B23" s="70" t="s">
        <v>70</v>
      </c>
      <c r="C23" s="56"/>
      <c r="H23" s="3"/>
      <c r="AR23" s="124"/>
      <c r="AS23" s="124"/>
      <c r="AT23" s="124"/>
      <c r="AW23" s="54"/>
      <c r="AY23" s="64">
        <v>14.4</v>
      </c>
      <c r="BV23" s="124"/>
      <c r="BW23" s="124"/>
      <c r="BX23" s="124"/>
      <c r="CA23" s="54"/>
      <c r="CC23" s="64">
        <v>14.4</v>
      </c>
      <c r="CZ23" s="124"/>
      <c r="DA23" s="124"/>
      <c r="DB23" s="124"/>
      <c r="DE23" s="54"/>
      <c r="DG23" s="64">
        <v>14.4</v>
      </c>
      <c r="EA23" s="56"/>
      <c r="EE23" s="54"/>
      <c r="EG23" s="64">
        <v>14.4</v>
      </c>
      <c r="EW23" s="56"/>
      <c r="FA23" s="54"/>
      <c r="FC23" s="64">
        <v>14.4</v>
      </c>
      <c r="FS23" s="56"/>
      <c r="FW23" s="54"/>
      <c r="FY23" s="64">
        <v>14.4</v>
      </c>
      <c r="GO23" s="56"/>
      <c r="GS23" s="54"/>
      <c r="GU23" s="64">
        <v>14.4</v>
      </c>
      <c r="HK23" s="56"/>
      <c r="HO23" s="54"/>
      <c r="HQ23" s="64">
        <v>14.4</v>
      </c>
      <c r="IG23" s="56"/>
      <c r="IK23" s="54"/>
      <c r="IM23" s="64">
        <v>14.4</v>
      </c>
      <c r="JC23" s="56"/>
      <c r="JG23" s="54"/>
      <c r="JI23" s="64">
        <v>14.4</v>
      </c>
      <c r="JY23" s="56"/>
      <c r="KC23" s="54"/>
      <c r="KE23" s="64">
        <v>14.4</v>
      </c>
      <c r="KU23" s="56"/>
      <c r="KY23" s="54"/>
      <c r="LA23" s="64">
        <v>14.4</v>
      </c>
      <c r="LQ23" s="56"/>
      <c r="LU23" s="54"/>
      <c r="LW23" s="64">
        <v>14.4</v>
      </c>
      <c r="MM23" s="56"/>
      <c r="MQ23" s="54"/>
      <c r="MS23" s="64">
        <v>14.4</v>
      </c>
      <c r="NI23" s="56"/>
      <c r="NM23" s="54"/>
      <c r="NO23" s="64">
        <v>14.4</v>
      </c>
    </row>
    <row r="24" spans="1:409" x14ac:dyDescent="0.2">
      <c r="B24" s="91" t="s">
        <v>69</v>
      </c>
      <c r="C24" s="56"/>
      <c r="AR24" s="124"/>
      <c r="AS24" s="124"/>
      <c r="AT24" s="124"/>
      <c r="AW24" s="54"/>
      <c r="AY24" s="106">
        <v>15.4</v>
      </c>
      <c r="BV24" s="124"/>
      <c r="BW24" s="124"/>
      <c r="BX24" s="124"/>
      <c r="CA24" s="54"/>
      <c r="CC24" s="106">
        <v>15.4</v>
      </c>
      <c r="CZ24" s="124"/>
      <c r="DA24" s="124"/>
      <c r="DB24" s="124"/>
      <c r="DE24" s="54"/>
      <c r="DG24" s="106">
        <v>15.4</v>
      </c>
      <c r="EA24" s="56"/>
      <c r="EE24" s="54"/>
      <c r="EG24" s="106">
        <v>15.4</v>
      </c>
      <c r="EW24" s="56"/>
      <c r="FA24" s="54"/>
      <c r="FC24" s="106">
        <v>15.4</v>
      </c>
      <c r="FS24" s="56"/>
      <c r="FW24" s="54"/>
      <c r="FY24" s="106">
        <v>15.4</v>
      </c>
      <c r="GO24" s="56"/>
      <c r="GS24" s="54"/>
      <c r="GU24" s="106">
        <v>15.4</v>
      </c>
      <c r="HK24" s="56"/>
      <c r="HO24" s="54"/>
      <c r="HQ24" s="106">
        <v>15.4</v>
      </c>
      <c r="IG24" s="56"/>
      <c r="IK24" s="54"/>
      <c r="IM24" s="106">
        <v>15.4</v>
      </c>
      <c r="JC24" s="56"/>
      <c r="JG24" s="54"/>
      <c r="JI24" s="106">
        <v>15.4</v>
      </c>
      <c r="JY24" s="56"/>
      <c r="KC24" s="54"/>
      <c r="KE24" s="106">
        <v>15.4</v>
      </c>
      <c r="KU24" s="56"/>
      <c r="KY24" s="54"/>
      <c r="LA24" s="106">
        <v>15.4</v>
      </c>
      <c r="LQ24" s="56"/>
      <c r="LU24" s="54"/>
      <c r="LW24" s="106">
        <v>15.4</v>
      </c>
      <c r="MM24" s="56"/>
      <c r="MQ24" s="54"/>
      <c r="MS24" s="106">
        <v>15.4</v>
      </c>
      <c r="NI24" s="56"/>
      <c r="NM24" s="54"/>
      <c r="NO24" s="106">
        <v>15.4</v>
      </c>
    </row>
    <row r="25" spans="1:409" x14ac:dyDescent="0.2">
      <c r="A25" s="56"/>
      <c r="B25" s="92" t="s">
        <v>86</v>
      </c>
      <c r="C25" s="56"/>
      <c r="AR25" s="124"/>
      <c r="AS25" s="124"/>
      <c r="AT25" s="124"/>
      <c r="AV25" s="54"/>
      <c r="AW25" s="54"/>
      <c r="AX25" s="54"/>
      <c r="AY25" s="94">
        <v>15.4</v>
      </c>
      <c r="BV25" s="124"/>
      <c r="BW25" s="124"/>
      <c r="BX25" s="124"/>
      <c r="CA25" s="54"/>
      <c r="CC25" s="94">
        <v>15.4</v>
      </c>
      <c r="CZ25" s="124"/>
      <c r="DA25" s="124"/>
      <c r="DB25" s="124"/>
      <c r="DD25" s="54"/>
      <c r="DE25" s="54"/>
      <c r="DF25" s="54"/>
      <c r="DG25" s="94">
        <v>15.4</v>
      </c>
      <c r="EA25" s="56"/>
      <c r="EE25" s="54"/>
      <c r="EG25" s="94">
        <v>15.4</v>
      </c>
      <c r="EW25" s="56"/>
      <c r="FA25" s="54"/>
      <c r="FC25" s="94">
        <v>15.4</v>
      </c>
      <c r="FS25" s="56"/>
      <c r="FW25" s="54"/>
      <c r="FY25" s="94">
        <v>15.4</v>
      </c>
      <c r="GO25" s="56"/>
      <c r="GS25" s="54"/>
      <c r="GU25" s="94">
        <v>15.4</v>
      </c>
      <c r="HK25" s="56"/>
      <c r="HO25" s="54"/>
      <c r="HQ25" s="94">
        <v>15.4</v>
      </c>
      <c r="IG25" s="56"/>
      <c r="IK25" s="54"/>
      <c r="IM25" s="94">
        <v>15.4</v>
      </c>
      <c r="JC25" s="56"/>
      <c r="JG25" s="54"/>
      <c r="JI25" s="94">
        <v>15.4</v>
      </c>
      <c r="JY25" s="56"/>
      <c r="KC25" s="54"/>
      <c r="KE25" s="94">
        <v>15.4</v>
      </c>
      <c r="KU25" s="56"/>
      <c r="KY25" s="54"/>
      <c r="LA25" s="94">
        <v>15.4</v>
      </c>
      <c r="LQ25" s="56"/>
      <c r="LU25" s="54"/>
      <c r="LW25" s="94">
        <v>15.4</v>
      </c>
      <c r="MM25" s="56"/>
      <c r="MQ25" s="54"/>
      <c r="MS25" s="94">
        <v>15.4</v>
      </c>
      <c r="NI25" s="56"/>
      <c r="NM25" s="54"/>
      <c r="NO25" s="94">
        <v>15.4</v>
      </c>
    </row>
    <row r="26" spans="1:409" x14ac:dyDescent="0.2">
      <c r="A26" s="56"/>
      <c r="B26" s="120" t="s">
        <v>102</v>
      </c>
      <c r="C26" s="56"/>
      <c r="AR26" s="124"/>
      <c r="AS26" s="124"/>
      <c r="AT26" s="124"/>
      <c r="AV26" s="54"/>
      <c r="AW26" s="54"/>
      <c r="AX26" s="54"/>
      <c r="AY26" s="121">
        <v>15.4</v>
      </c>
      <c r="BV26" s="124"/>
      <c r="BW26" s="124"/>
      <c r="BX26" s="124"/>
      <c r="CA26" s="54"/>
      <c r="CC26" s="121">
        <v>15.4</v>
      </c>
      <c r="CZ26" s="124"/>
      <c r="DA26" s="124"/>
      <c r="DB26" s="124"/>
      <c r="DD26" s="54"/>
      <c r="DE26" s="54"/>
      <c r="DF26" s="54"/>
      <c r="DG26" s="121">
        <v>15.4</v>
      </c>
      <c r="EA26" s="56"/>
      <c r="EE26" s="54"/>
      <c r="EG26" s="121">
        <v>15.4</v>
      </c>
      <c r="EW26" s="56"/>
      <c r="FA26" s="54"/>
      <c r="FC26" s="121">
        <v>15.4</v>
      </c>
      <c r="FS26" s="56"/>
      <c r="FW26" s="54"/>
      <c r="FY26" s="121">
        <v>15.4</v>
      </c>
      <c r="GO26" s="56"/>
      <c r="GS26" s="54"/>
      <c r="GU26" s="121">
        <v>15.4</v>
      </c>
      <c r="HK26" s="56"/>
      <c r="HO26" s="54"/>
      <c r="HQ26" s="121">
        <v>15.4</v>
      </c>
      <c r="IG26" s="56"/>
      <c r="IK26" s="54"/>
      <c r="IM26" s="121">
        <v>15.4</v>
      </c>
      <c r="JC26" s="56"/>
      <c r="JG26" s="54"/>
      <c r="JI26" s="121">
        <v>15.4</v>
      </c>
      <c r="JY26" s="56"/>
      <c r="KC26" s="54"/>
      <c r="KE26" s="121">
        <v>15.4</v>
      </c>
      <c r="KU26" s="56"/>
      <c r="KY26" s="54"/>
      <c r="LA26" s="121">
        <v>15.4</v>
      </c>
      <c r="LQ26" s="56"/>
      <c r="LU26" s="54"/>
      <c r="LW26" s="121">
        <v>15.4</v>
      </c>
      <c r="MM26" s="56"/>
      <c r="MQ26" s="54"/>
      <c r="MS26" s="121">
        <v>15.4</v>
      </c>
      <c r="NI26" s="56"/>
      <c r="NM26" s="54"/>
      <c r="NO26" s="121">
        <v>15.4</v>
      </c>
    </row>
    <row r="27" spans="1:409" x14ac:dyDescent="0.2">
      <c r="A27" s="56"/>
      <c r="B27" s="118" t="s">
        <v>67</v>
      </c>
      <c r="C27" s="56"/>
      <c r="O27" s="2"/>
      <c r="AR27" s="124"/>
      <c r="AS27" s="124"/>
      <c r="AT27" s="124"/>
      <c r="AV27" s="54"/>
      <c r="AW27" s="54"/>
      <c r="AX27" s="54"/>
      <c r="AY27" s="119">
        <v>103</v>
      </c>
      <c r="BV27" s="124"/>
      <c r="BW27" s="124"/>
      <c r="BX27" s="124"/>
      <c r="CA27" s="54"/>
      <c r="CC27" s="119">
        <v>103</v>
      </c>
      <c r="CZ27" s="124"/>
      <c r="DA27" s="124"/>
      <c r="DB27" s="124"/>
      <c r="DD27" s="54"/>
      <c r="DE27" s="54"/>
      <c r="DF27" s="54"/>
      <c r="DG27" s="119">
        <v>103</v>
      </c>
      <c r="EA27" s="56"/>
      <c r="EE27" s="54"/>
      <c r="EG27" s="119">
        <v>103</v>
      </c>
      <c r="EW27" s="56"/>
      <c r="FA27" s="54"/>
      <c r="FC27" s="119">
        <v>103</v>
      </c>
      <c r="FS27" s="56"/>
      <c r="FW27" s="54"/>
      <c r="FY27" s="119">
        <v>103</v>
      </c>
      <c r="GO27" s="56"/>
      <c r="GS27" s="54"/>
      <c r="GU27" s="119">
        <v>103</v>
      </c>
      <c r="HK27" s="56"/>
      <c r="HO27" s="54"/>
      <c r="HQ27" s="119">
        <v>103</v>
      </c>
      <c r="IG27" s="56"/>
      <c r="IK27" s="54"/>
      <c r="IM27" s="119">
        <v>103</v>
      </c>
      <c r="JC27" s="56"/>
      <c r="JG27" s="54"/>
      <c r="JI27" s="119">
        <v>103</v>
      </c>
      <c r="JY27" s="56"/>
      <c r="KC27" s="54"/>
      <c r="KE27" s="119">
        <v>103</v>
      </c>
      <c r="KU27" s="56"/>
      <c r="KY27" s="54"/>
      <c r="LA27" s="119">
        <v>103</v>
      </c>
      <c r="LQ27" s="56"/>
      <c r="LU27" s="54"/>
      <c r="LW27" s="119">
        <v>103</v>
      </c>
      <c r="MM27" s="56"/>
      <c r="MQ27" s="54"/>
      <c r="MS27" s="119">
        <v>103</v>
      </c>
      <c r="NI27" s="56"/>
      <c r="NM27" s="54"/>
      <c r="NO27" s="119">
        <v>103</v>
      </c>
    </row>
    <row r="28" spans="1:409" x14ac:dyDescent="0.2">
      <c r="A28" s="56"/>
      <c r="B28" s="72" t="s">
        <v>68</v>
      </c>
      <c r="C28" s="56"/>
      <c r="O28" s="2"/>
      <c r="AR28" s="124"/>
      <c r="AS28" s="124"/>
      <c r="AT28" s="124"/>
      <c r="AV28" s="54"/>
      <c r="AW28" s="54"/>
      <c r="AX28" s="54"/>
      <c r="AY28" s="66">
        <v>105</v>
      </c>
      <c r="BV28" s="124"/>
      <c r="BW28" s="124"/>
      <c r="BX28" s="124"/>
      <c r="CA28" s="54"/>
      <c r="CC28" s="66">
        <v>105</v>
      </c>
      <c r="CZ28" s="124"/>
      <c r="DA28" s="124"/>
      <c r="DB28" s="124"/>
      <c r="DD28" s="54"/>
      <c r="DE28" s="54"/>
      <c r="DF28" s="54"/>
      <c r="DG28" s="66">
        <v>105</v>
      </c>
      <c r="EA28" s="56"/>
      <c r="EE28" s="54"/>
      <c r="EG28" s="66">
        <v>105</v>
      </c>
      <c r="EW28" s="56"/>
      <c r="FA28" s="54"/>
      <c r="FC28" s="66">
        <v>105</v>
      </c>
      <c r="FS28" s="56"/>
      <c r="FW28" s="54"/>
      <c r="FY28" s="66">
        <v>105</v>
      </c>
      <c r="GO28" s="56"/>
      <c r="GS28" s="54"/>
      <c r="GU28" s="66">
        <v>105</v>
      </c>
      <c r="HK28" s="56"/>
      <c r="HO28" s="54"/>
      <c r="HQ28" s="66">
        <v>105</v>
      </c>
      <c r="IG28" s="56"/>
      <c r="IK28" s="54"/>
      <c r="IM28" s="66">
        <v>105</v>
      </c>
      <c r="JC28" s="56"/>
      <c r="JG28" s="54"/>
      <c r="JI28" s="66">
        <v>105</v>
      </c>
      <c r="JY28" s="56"/>
      <c r="KC28" s="54"/>
      <c r="KE28" s="66">
        <v>105</v>
      </c>
      <c r="KU28" s="56"/>
      <c r="KY28" s="54"/>
      <c r="LA28" s="66">
        <v>105</v>
      </c>
      <c r="LQ28" s="56"/>
      <c r="LU28" s="54"/>
      <c r="LW28" s="66">
        <v>105</v>
      </c>
      <c r="MM28" s="56"/>
      <c r="MQ28" s="54"/>
      <c r="MS28" s="66">
        <v>105</v>
      </c>
      <c r="NI28" s="56"/>
      <c r="NM28" s="54"/>
      <c r="NO28" s="66">
        <v>105</v>
      </c>
    </row>
    <row r="29" spans="1:409" x14ac:dyDescent="0.2">
      <c r="A29" s="56"/>
      <c r="B29" s="116" t="s">
        <v>84</v>
      </c>
      <c r="C29" s="56"/>
      <c r="AR29" s="124"/>
      <c r="AS29" s="124"/>
      <c r="AT29" s="124"/>
      <c r="AV29" s="54"/>
      <c r="AW29" s="54"/>
      <c r="AX29" s="130"/>
      <c r="AY29" s="117">
        <v>58</v>
      </c>
      <c r="BV29" s="124"/>
      <c r="BW29" s="124"/>
      <c r="BX29" s="124"/>
      <c r="CA29" s="54"/>
      <c r="CB29" s="129"/>
      <c r="CC29" s="117">
        <v>58</v>
      </c>
      <c r="CZ29" s="124"/>
      <c r="DA29" s="124"/>
      <c r="DB29" s="124"/>
      <c r="DD29" s="54"/>
      <c r="DE29" s="54"/>
      <c r="DF29" s="54"/>
      <c r="DG29" s="117">
        <v>58</v>
      </c>
      <c r="EA29" s="56"/>
      <c r="EE29" s="54"/>
      <c r="EF29" s="129"/>
      <c r="EG29" s="117">
        <v>58</v>
      </c>
      <c r="EW29" s="56"/>
      <c r="FA29" s="54"/>
      <c r="FC29" s="117">
        <v>58</v>
      </c>
      <c r="FS29" s="56"/>
      <c r="FW29" s="54"/>
      <c r="FY29" s="117">
        <v>58</v>
      </c>
      <c r="GO29" s="56"/>
      <c r="GS29" s="54"/>
      <c r="GT29" s="129"/>
      <c r="GU29" s="117">
        <v>58</v>
      </c>
      <c r="HK29" s="56"/>
      <c r="HO29" s="54"/>
      <c r="HP29" s="129"/>
      <c r="HQ29" s="117">
        <v>58</v>
      </c>
      <c r="IG29" s="56"/>
      <c r="IK29" s="54"/>
      <c r="IL29" s="129"/>
      <c r="IM29" s="117">
        <v>58</v>
      </c>
      <c r="JC29" s="56"/>
      <c r="JG29" s="54"/>
      <c r="JI29" s="117">
        <v>58</v>
      </c>
      <c r="JY29" s="56"/>
      <c r="KC29" s="54"/>
      <c r="KE29" s="117">
        <v>58</v>
      </c>
      <c r="KU29" s="56"/>
      <c r="KY29" s="54"/>
      <c r="LA29" s="117">
        <v>58</v>
      </c>
      <c r="LQ29" s="56"/>
      <c r="LU29" s="54"/>
      <c r="LW29" s="117">
        <v>58</v>
      </c>
      <c r="MM29" s="56"/>
      <c r="MQ29" s="54"/>
      <c r="MS29" s="117">
        <v>58</v>
      </c>
      <c r="NI29" s="56"/>
      <c r="NM29" s="54"/>
      <c r="NO29" s="117">
        <v>58</v>
      </c>
    </row>
    <row r="30" spans="1:409" x14ac:dyDescent="0.2">
      <c r="A30" s="56"/>
      <c r="B30" s="74" t="s">
        <v>51</v>
      </c>
      <c r="C30" s="56"/>
      <c r="O30" s="2"/>
      <c r="AR30" s="124"/>
      <c r="AS30" s="124"/>
      <c r="AT30" s="124"/>
      <c r="AV30" s="54"/>
      <c r="AW30" s="54"/>
      <c r="AX30" s="54"/>
      <c r="AY30" s="68">
        <v>59.4</v>
      </c>
      <c r="BV30" s="124"/>
      <c r="BW30" s="124"/>
      <c r="BX30" s="124"/>
      <c r="CA30" s="54"/>
      <c r="CC30" s="68">
        <v>59.4</v>
      </c>
      <c r="CZ30" s="124"/>
      <c r="DA30" s="124"/>
      <c r="DB30" s="124"/>
      <c r="DD30" s="54"/>
      <c r="DE30" s="54"/>
      <c r="DF30" s="54"/>
      <c r="DG30" s="68">
        <v>59.4</v>
      </c>
      <c r="EA30" s="56"/>
      <c r="EE30" s="54"/>
      <c r="EG30" s="68">
        <v>59.4</v>
      </c>
      <c r="EW30" s="56"/>
      <c r="FA30" s="54"/>
      <c r="FC30" s="68">
        <v>59.4</v>
      </c>
      <c r="FS30" s="56"/>
      <c r="FW30" s="54"/>
      <c r="FY30" s="68">
        <v>59.4</v>
      </c>
      <c r="GO30" s="56"/>
      <c r="GS30" s="54"/>
      <c r="GU30" s="68">
        <v>59.4</v>
      </c>
      <c r="HK30" s="56"/>
      <c r="HO30" s="54"/>
      <c r="HQ30" s="68">
        <v>59.4</v>
      </c>
      <c r="IG30" s="56"/>
      <c r="IK30" s="54"/>
      <c r="IL30" s="129"/>
      <c r="IM30" s="68">
        <v>59.4</v>
      </c>
      <c r="JC30" s="56"/>
      <c r="JG30" s="54"/>
      <c r="JI30" s="68">
        <v>59.4</v>
      </c>
      <c r="JY30" s="56"/>
      <c r="KC30" s="54"/>
      <c r="KE30" s="68">
        <v>59.4</v>
      </c>
      <c r="KU30" s="56"/>
      <c r="KY30" s="54"/>
      <c r="LA30" s="68">
        <v>59.4</v>
      </c>
      <c r="LQ30" s="56"/>
      <c r="LU30" s="54"/>
      <c r="LW30" s="68">
        <v>59.4</v>
      </c>
      <c r="MM30" s="56"/>
      <c r="MQ30" s="54"/>
      <c r="MS30" s="68">
        <v>59.4</v>
      </c>
      <c r="NI30" s="56"/>
      <c r="NM30" s="54"/>
      <c r="NO30" s="68">
        <v>59.4</v>
      </c>
    </row>
    <row r="31" spans="1:409" x14ac:dyDescent="0.2">
      <c r="B31" s="82" t="s">
        <v>75</v>
      </c>
      <c r="C31" s="2"/>
      <c r="AU31" s="54"/>
      <c r="AV31" s="54"/>
      <c r="AX31" s="54"/>
      <c r="DC31" s="54"/>
      <c r="DD31" s="54"/>
      <c r="DF31" s="54"/>
      <c r="EX31" s="54"/>
    </row>
    <row r="32" spans="1:409" x14ac:dyDescent="0.2">
      <c r="A32" s="56"/>
      <c r="B32" s="56"/>
      <c r="C32" s="55"/>
      <c r="AQ32" s="54"/>
      <c r="AR32" s="54"/>
      <c r="AS32" s="54"/>
      <c r="AT32" s="54"/>
      <c r="AU32" s="54"/>
      <c r="AV32" s="54"/>
      <c r="AX32" s="54"/>
      <c r="CY32" s="54"/>
      <c r="CZ32" s="54"/>
      <c r="DA32" s="54"/>
      <c r="DB32" s="54"/>
      <c r="DC32" s="54"/>
      <c r="DD32" s="54"/>
      <c r="DF32" s="54"/>
    </row>
    <row r="33" spans="1:110" ht="17" x14ac:dyDescent="0.2">
      <c r="A33" s="56"/>
      <c r="B33" s="56"/>
      <c r="C33" s="55"/>
      <c r="S33" s="19"/>
      <c r="T33" s="19"/>
      <c r="AQ33" s="54"/>
      <c r="AR33" s="54"/>
      <c r="AS33" s="54"/>
      <c r="AT33" s="54"/>
      <c r="AU33" s="54"/>
      <c r="AV33" s="54"/>
      <c r="AX33" s="54"/>
      <c r="CY33" s="54"/>
      <c r="CZ33" s="54"/>
      <c r="DA33" s="54"/>
      <c r="DB33" s="54"/>
      <c r="DC33" s="54"/>
      <c r="DD33" s="54"/>
      <c r="DF33" s="54"/>
    </row>
    <row r="34" spans="1:110" ht="17" x14ac:dyDescent="0.2">
      <c r="A34" s="56"/>
      <c r="B34" s="56"/>
      <c r="C34" s="55"/>
      <c r="S34" s="19"/>
      <c r="AQ34" s="54"/>
      <c r="AR34" s="54"/>
      <c r="AS34" s="54"/>
      <c r="AT34" s="54"/>
      <c r="AU34" s="54"/>
      <c r="AV34" s="54"/>
      <c r="AX34" s="54"/>
      <c r="CY34" s="54"/>
      <c r="CZ34" s="54"/>
      <c r="DA34" s="54"/>
      <c r="DB34" s="54"/>
      <c r="DC34" s="54"/>
      <c r="DD34" s="54"/>
      <c r="DF34" s="54"/>
    </row>
    <row r="35" spans="1:110" ht="17" x14ac:dyDescent="0.2">
      <c r="S35" s="19"/>
      <c r="T35" s="19"/>
      <c r="AQ35" s="54"/>
      <c r="AR35" s="54"/>
      <c r="AS35" s="54"/>
      <c r="AT35" s="54"/>
      <c r="AU35" s="54"/>
      <c r="AV35" s="54"/>
      <c r="AX35" s="54"/>
      <c r="CY35" s="54"/>
      <c r="CZ35" s="54"/>
      <c r="DA35" s="54"/>
      <c r="DB35" s="54"/>
      <c r="DC35" s="54"/>
      <c r="DD35" s="54"/>
      <c r="DF35" s="54"/>
    </row>
    <row r="36" spans="1:110" ht="17" x14ac:dyDescent="0.2">
      <c r="S36" s="19"/>
      <c r="T36" s="19"/>
      <c r="AQ36" s="54"/>
      <c r="AR36" s="54"/>
      <c r="AS36" s="54"/>
      <c r="AT36" s="54"/>
      <c r="AU36" s="54"/>
      <c r="AV36" s="54"/>
      <c r="AX36" s="54"/>
      <c r="CY36" s="54"/>
      <c r="CZ36" s="54"/>
      <c r="DA36" s="54"/>
      <c r="DB36" s="54"/>
      <c r="DC36" s="54"/>
      <c r="DD36" s="54"/>
      <c r="DF36" s="54"/>
    </row>
    <row r="37" spans="1:110" ht="17" x14ac:dyDescent="0.2">
      <c r="S37" s="19"/>
      <c r="T37" s="19"/>
      <c r="AQ37" s="54"/>
      <c r="AR37" s="54"/>
      <c r="AS37" s="54"/>
      <c r="AT37" s="54"/>
      <c r="AU37" s="54"/>
      <c r="AV37" s="54"/>
      <c r="AX37" s="54"/>
      <c r="CY37" s="54"/>
      <c r="CZ37" s="54"/>
      <c r="DA37" s="54"/>
      <c r="DB37" s="54"/>
      <c r="DC37" s="54"/>
      <c r="DD37" s="54"/>
      <c r="DF37" s="54"/>
    </row>
    <row r="38" spans="1:110" ht="17" x14ac:dyDescent="0.2">
      <c r="S38" s="19"/>
      <c r="T38" s="19"/>
      <c r="U38" s="19"/>
    </row>
    <row r="39" spans="1:110" ht="17" x14ac:dyDescent="0.2">
      <c r="S39" s="19"/>
      <c r="T39" s="19"/>
      <c r="U39" s="19"/>
    </row>
    <row r="40" spans="1:110" ht="17" x14ac:dyDescent="0.2">
      <c r="S40" s="19"/>
      <c r="T40" s="19"/>
      <c r="U40" s="19"/>
    </row>
    <row r="41" spans="1:110" ht="17" x14ac:dyDescent="0.2">
      <c r="S41" s="19"/>
      <c r="T41" s="19"/>
      <c r="U41" s="19"/>
    </row>
    <row r="42" spans="1:110" ht="17" x14ac:dyDescent="0.2">
      <c r="S42" s="19"/>
      <c r="T42" s="19"/>
      <c r="U42" s="19"/>
    </row>
    <row r="43" spans="1:110" ht="17" x14ac:dyDescent="0.2">
      <c r="S43" s="19"/>
      <c r="T43" s="19"/>
      <c r="U43" s="19"/>
    </row>
    <row r="44" spans="1:110" ht="17" x14ac:dyDescent="0.2">
      <c r="S44" s="19"/>
      <c r="T44" s="19"/>
      <c r="U44" s="19"/>
    </row>
    <row r="45" spans="1:110" ht="17" x14ac:dyDescent="0.2">
      <c r="S45" s="19"/>
      <c r="T45" s="19"/>
      <c r="U45" s="19"/>
    </row>
    <row r="46" spans="1:110" ht="17" x14ac:dyDescent="0.2">
      <c r="S46" s="19"/>
      <c r="T46" s="19"/>
      <c r="U46" s="19"/>
    </row>
    <row r="47" spans="1:110" ht="17" x14ac:dyDescent="0.2">
      <c r="S47" s="19"/>
      <c r="T47" s="19"/>
      <c r="U47" s="19"/>
    </row>
    <row r="48" spans="1:110" ht="17" x14ac:dyDescent="0.2">
      <c r="S48" s="19"/>
      <c r="T48" s="19"/>
      <c r="U48" s="19"/>
    </row>
    <row r="49" spans="19:21" ht="17" x14ac:dyDescent="0.2">
      <c r="S49" s="19"/>
      <c r="T49" s="19"/>
      <c r="U49" s="19"/>
    </row>
    <row r="50" spans="19:21" ht="17" x14ac:dyDescent="0.2">
      <c r="S50" s="19"/>
      <c r="T50" s="19"/>
      <c r="U50" s="19"/>
    </row>
    <row r="51" spans="19:21" ht="17" x14ac:dyDescent="0.2">
      <c r="S51" s="19"/>
      <c r="T51" s="19"/>
      <c r="U51" s="19"/>
    </row>
    <row r="52" spans="19:21" ht="17" x14ac:dyDescent="0.2">
      <c r="S52" s="19"/>
      <c r="T52" s="19"/>
      <c r="U52" s="19"/>
    </row>
  </sheetData>
  <sheetProtection sheet="1" formatCells="0" formatColumns="0" formatRows="0"/>
  <autoFilter ref="A1:OQ19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20">
      <sortCondition descending="1" ref="F1:F21"/>
    </sortState>
  </autoFilter>
  <sortState xmlns:xlrd2="http://schemas.microsoft.com/office/spreadsheetml/2017/richdata2" ref="A1:P3">
    <sortCondition ref="A1"/>
  </sortState>
  <mergeCells count="90">
    <mergeCell ref="NU2:NY2"/>
    <mergeCell ref="J1:J3"/>
    <mergeCell ref="NP1:OQ1"/>
    <mergeCell ref="NP2:NT2"/>
    <mergeCell ref="NZ2:OD2"/>
    <mergeCell ref="OE2:OI2"/>
    <mergeCell ref="GE2:GI2"/>
    <mergeCell ref="FZ1:GU1"/>
    <mergeCell ref="IN1:JI1"/>
    <mergeCell ref="GV1:HQ1"/>
    <mergeCell ref="HR1:IM1"/>
    <mergeCell ref="GV2:GZ2"/>
    <mergeCell ref="IB2:IF2"/>
    <mergeCell ref="JJ1:KE1"/>
    <mergeCell ref="KF1:LA1"/>
    <mergeCell ref="LX2:MB2"/>
    <mergeCell ref="LL2:LP2"/>
    <mergeCell ref="MT1:NO1"/>
    <mergeCell ref="KF2:KJ2"/>
    <mergeCell ref="JT2:JX2"/>
    <mergeCell ref="JO2:JS2"/>
    <mergeCell ref="LX1:MS1"/>
    <mergeCell ref="ND2:NH2"/>
    <mergeCell ref="MY2:NC2"/>
    <mergeCell ref="MT2:MX2"/>
    <mergeCell ref="MH2:ML2"/>
    <mergeCell ref="MC2:MG2"/>
    <mergeCell ref="KP2:KT2"/>
    <mergeCell ref="KK2:KO2"/>
    <mergeCell ref="LB1:LW1"/>
    <mergeCell ref="LG2:LK2"/>
    <mergeCell ref="LB2:LF2"/>
    <mergeCell ref="JJ2:JN2"/>
    <mergeCell ref="GJ2:GN2"/>
    <mergeCell ref="IX2:JB2"/>
    <mergeCell ref="IS2:IW2"/>
    <mergeCell ref="IN2:IR2"/>
    <mergeCell ref="HW2:IA2"/>
    <mergeCell ref="HR2:HV2"/>
    <mergeCell ref="HF2:HJ2"/>
    <mergeCell ref="HA2:HE2"/>
    <mergeCell ref="A1:A3"/>
    <mergeCell ref="B1:B3"/>
    <mergeCell ref="C1:C3"/>
    <mergeCell ref="E1:E3"/>
    <mergeCell ref="G1:G3"/>
    <mergeCell ref="D1:D3"/>
    <mergeCell ref="F1:F3"/>
    <mergeCell ref="S1:S3"/>
    <mergeCell ref="U1:U3"/>
    <mergeCell ref="T1:T3"/>
    <mergeCell ref="V2:Z2"/>
    <mergeCell ref="AA2:AE2"/>
    <mergeCell ref="CI2:CM2"/>
    <mergeCell ref="CN2:CR2"/>
    <mergeCell ref="CS2:CW2"/>
    <mergeCell ref="H1:H3"/>
    <mergeCell ref="I1:I3"/>
    <mergeCell ref="K1:K3"/>
    <mergeCell ref="M1:M3"/>
    <mergeCell ref="O1:O3"/>
    <mergeCell ref="L1:L3"/>
    <mergeCell ref="N1:N3"/>
    <mergeCell ref="P1:P3"/>
    <mergeCell ref="R1:R3"/>
    <mergeCell ref="V1:AY1"/>
    <mergeCell ref="AF2:AJ2"/>
    <mergeCell ref="AK2:AO2"/>
    <mergeCell ref="Q1:Q3"/>
    <mergeCell ref="EH2:EL2"/>
    <mergeCell ref="EH1:FC1"/>
    <mergeCell ref="ER2:EV2"/>
    <mergeCell ref="FD2:FH2"/>
    <mergeCell ref="AZ1:CC1"/>
    <mergeCell ref="AZ2:BD2"/>
    <mergeCell ref="BJ2:BN2"/>
    <mergeCell ref="DV2:DZ2"/>
    <mergeCell ref="DQ2:DU2"/>
    <mergeCell ref="DL1:EG1"/>
    <mergeCell ref="BO2:BS2"/>
    <mergeCell ref="DL2:DP2"/>
    <mergeCell ref="DH1:DK1"/>
    <mergeCell ref="CD1:DG1"/>
    <mergeCell ref="CD2:CH2"/>
    <mergeCell ref="BE2:BI2"/>
    <mergeCell ref="FZ2:GD2"/>
    <mergeCell ref="FN2:FR2"/>
    <mergeCell ref="FI2:FM2"/>
    <mergeCell ref="EM2:EQ2"/>
    <mergeCell ref="FD1:FY1"/>
  </mergeCells>
  <conditionalFormatting sqref="I1:I1048576">
    <cfRule type="containsText" dxfId="209" priority="4" operator="containsText" text="No DD">
      <formula>NOT(ISERROR(SEARCH("No DD",I1)))</formula>
    </cfRule>
    <cfRule type="containsText" dxfId="208" priority="5" operator="containsText" text="Merit">
      <formula>NOT(ISERROR(SEARCH("Merit",I1)))</formula>
    </cfRule>
    <cfRule type="containsText" dxfId="207" priority="6" operator="containsText" text="Excellence">
      <formula>NOT(ISERROR(SEARCH("Excellence",I1)))</formula>
    </cfRule>
    <cfRule type="containsText" dxfId="206" priority="7" operator="containsText" text="Worlds Team">
      <formula>NOT(ISERROR(SEARCH("Worlds Team",I1)))</formula>
    </cfRule>
    <cfRule type="containsText" dxfId="205" priority="8" operator="containsText" text="National Team">
      <formula>NOT(ISERROR(SEARCH("National Team",I1)))</formula>
    </cfRule>
  </conditionalFormatting>
  <conditionalFormatting sqref="V4:AY20">
    <cfRule type="expression" dxfId="204" priority="1" stopIfTrue="1">
      <formula>IF($AP4&lt;&gt;"",1,0)</formula>
    </cfRule>
  </conditionalFormatting>
  <conditionalFormatting sqref="AZ4:CC20">
    <cfRule type="expression" dxfId="203" priority="2" stopIfTrue="1">
      <formula>IF($BT4&lt;&gt;"",1,0)</formula>
    </cfRule>
  </conditionalFormatting>
  <conditionalFormatting sqref="N1:N1048576 R1:R1048576 L1:L1048576 P1:P1048576">
    <cfRule type="expression" dxfId="202" priority="9">
      <formula>IF(L1=$CD$1,1,0)</formula>
    </cfRule>
    <cfRule type="expression" dxfId="201" priority="10">
      <formula>IF(L1=$AZ$1,1,0)</formula>
    </cfRule>
    <cfRule type="expression" dxfId="200" priority="11">
      <formula>IF(L1=$V$1,1,0)</formula>
    </cfRule>
  </conditionalFormatting>
  <conditionalFormatting sqref="A1:A1048576">
    <cfRule type="expression" dxfId="199" priority="37338">
      <formula>AND(H1&lt;&gt;"",G1="")</formula>
    </cfRule>
  </conditionalFormatting>
  <conditionalFormatting sqref="CD4:DG20">
    <cfRule type="expression" dxfId="198" priority="3" stopIfTrue="1">
      <formula>IF($CX4&lt;&gt;"",1,0)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97" priority="50870" operator="between">
      <formula>AY$30</formula>
      <formula>1000</formula>
    </cfRule>
    <cfRule type="cellIs" dxfId="196" priority="50871" operator="between">
      <formula>AY$29</formula>
      <formula>AY$30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95" priority="50960" operator="between">
      <formula>AY$28</formula>
      <formula>1000</formula>
    </cfRule>
    <cfRule type="cellIs" dxfId="194" priority="50961" operator="between">
      <formula>AY$27</formula>
      <formula>AY$28</formula>
    </cfRule>
  </conditionalFormatting>
  <conditionalFormatting sqref="AX1:AX1048576 CB1:CB1048576 DF1:DF1048576 EF1:EF1048576 FB1:FB1048576 FX1:FX1048576 GT1:GT1048576 HP1:HP1048576 IL1:IL1048576 JH1:JH1048576 KD1:KD1048576 KZ1:KZ1048576 LV1:LV1048576 MR1:MR1048576 NN1:NN1048576">
    <cfRule type="cellIs" dxfId="193" priority="51050" operator="between">
      <formula>AY$30</formula>
      <formula>1000</formula>
    </cfRule>
    <cfRule type="cellIs" dxfId="192" priority="51051" operator="between">
      <formula>AY$29</formula>
      <formula>AY$30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91" priority="51140" operator="between">
      <formula>EG$26</formula>
      <formula>1000</formula>
    </cfRule>
    <cfRule type="cellIs" dxfId="190" priority="51141" operator="between">
      <formula>EG$25</formula>
      <formula>EG$26</formula>
    </cfRule>
    <cfRule type="cellIs" dxfId="189" priority="51142" operator="between">
      <formula>EG$24</formula>
      <formula>EG$25</formula>
    </cfRule>
    <cfRule type="cellIs" dxfId="188" priority="51143" operator="between">
      <formula>EG$23</formula>
      <formula>EG$24</formula>
    </cfRule>
  </conditionalFormatting>
  <conditionalFormatting sqref="AR1:AR1048576 BV1:BV1048576 CZ1:CZ1048576">
    <cfRule type="cellIs" dxfId="187" priority="51284" operator="between">
      <formula>AY$26</formula>
      <formula>1000</formula>
    </cfRule>
    <cfRule type="cellIs" dxfId="186" priority="51285" operator="between">
      <formula>AY$25</formula>
      <formula>AY$26</formula>
    </cfRule>
    <cfRule type="cellIs" dxfId="185" priority="51286" operator="between">
      <formula>AY$24</formula>
      <formula>AY$25</formula>
    </cfRule>
    <cfRule type="cellIs" dxfId="184" priority="51287" operator="between">
      <formula>AY$23</formula>
      <formula>AY$24</formula>
    </cfRule>
  </conditionalFormatting>
  <conditionalFormatting sqref="AS1:AS1048576 BW1:BW1048576 DA1:DA1048576">
    <cfRule type="cellIs" dxfId="183" priority="51320" operator="between">
      <formula>AY$30</formula>
      <formula>1000</formula>
    </cfRule>
    <cfRule type="cellIs" dxfId="182" priority="51321" operator="between">
      <formula>AY$29</formula>
      <formula>AY$30</formula>
    </cfRule>
  </conditionalFormatting>
  <conditionalFormatting sqref="AT1:AT1048576 BX1:BX1048576 DB1:DB1048576">
    <cfRule type="cellIs" dxfId="181" priority="51338" operator="between">
      <formula>AY$26</formula>
      <formula>1000</formula>
    </cfRule>
    <cfRule type="cellIs" dxfId="180" priority="51339" operator="between">
      <formula>AY$25</formula>
      <formula>AY$26</formula>
    </cfRule>
    <cfRule type="cellIs" dxfId="179" priority="51340" operator="between">
      <formula>AY$24</formula>
      <formula>AY$25</formula>
    </cfRule>
    <cfRule type="cellIs" dxfId="178" priority="51341" operator="between">
      <formula>AY$23</formula>
      <formula>AY$24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77" priority="51374" operator="between">
      <formula>AY$26</formula>
      <formula>1000</formula>
    </cfRule>
    <cfRule type="cellIs" dxfId="176" priority="51375" operator="between">
      <formula>AY$25</formula>
      <formula>AY$26</formula>
    </cfRule>
    <cfRule type="cellIs" dxfId="175" priority="51376" operator="between">
      <formula>AY$24</formula>
      <formula>AY$25</formula>
    </cfRule>
    <cfRule type="cellIs" dxfId="174" priority="51377" operator="between">
      <formula>AY$23</formula>
      <formula>AY$24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F9519-A026-7A45-801A-5E36CBEFC065}">
  <sheetPr codeName="Sheet8"/>
  <dimension ref="A1:OS4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bestFit="1" customWidth="1"/>
    <col min="10" max="10" width="19" bestFit="1" customWidth="1"/>
    <col min="11" max="11" width="10.83203125" customWidth="1"/>
    <col min="12" max="12" width="27" bestFit="1" customWidth="1"/>
    <col min="14" max="14" width="27" bestFit="1" customWidth="1"/>
    <col min="16" max="16" width="27" bestFit="1" customWidth="1"/>
    <col min="18" max="18" width="27" bestFit="1" customWidth="1"/>
    <col min="19" max="19" width="24.6640625" bestFit="1" customWidth="1"/>
    <col min="20" max="20" width="13" bestFit="1" customWidth="1"/>
    <col min="21" max="21" width="47" bestFit="1" customWidth="1"/>
    <col min="22" max="42" width="10.83203125" hidden="1" customWidth="1"/>
    <col min="43" max="51" width="10.83203125" customWidth="1"/>
    <col min="52" max="72" width="10.83203125" hidden="1" customWidth="1"/>
    <col min="73" max="81" width="10.83203125" customWidth="1"/>
    <col min="82" max="102" width="10.83203125" hidden="1" customWidth="1"/>
    <col min="103" max="115" width="10.83203125" customWidth="1"/>
    <col min="116" max="130" width="10.83203125" hidden="1" customWidth="1"/>
    <col min="131" max="137" width="10.83203125" customWidth="1"/>
    <col min="138" max="152" width="10.83203125" hidden="1" customWidth="1"/>
    <col min="153" max="159" width="10.83203125" customWidth="1"/>
    <col min="160" max="409" width="10.83203125" hidden="1" customWidth="1"/>
  </cols>
  <sheetData>
    <row r="1" spans="1:409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107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8"/>
      <c r="AT1" s="138"/>
      <c r="AU1" s="138"/>
      <c r="AV1" s="138"/>
      <c r="AW1" s="138"/>
      <c r="AX1" s="138"/>
      <c r="AY1" s="138"/>
      <c r="AZ1" s="139" t="s">
        <v>133</v>
      </c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9"/>
      <c r="BQ1" s="139"/>
      <c r="BR1" s="139"/>
      <c r="BS1" s="139"/>
      <c r="BT1" s="139"/>
      <c r="BU1" s="139"/>
      <c r="BV1" s="139"/>
      <c r="BW1" s="139"/>
      <c r="BX1" s="139"/>
      <c r="BY1" s="139"/>
      <c r="BZ1" s="139"/>
      <c r="CA1" s="139"/>
      <c r="CB1" s="139"/>
      <c r="CC1" s="139"/>
      <c r="CD1" s="138" t="s">
        <v>142</v>
      </c>
      <c r="CE1" s="138"/>
      <c r="CF1" s="138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40" t="s">
        <v>18</v>
      </c>
      <c r="DI1" s="140"/>
      <c r="DJ1" s="140"/>
      <c r="DK1" s="140"/>
      <c r="DL1" s="138" t="s">
        <v>141</v>
      </c>
      <c r="DM1" s="138"/>
      <c r="DN1" s="138"/>
      <c r="DO1" s="138"/>
      <c r="DP1" s="138"/>
      <c r="DQ1" s="138"/>
      <c r="DR1" s="138"/>
      <c r="DS1" s="138"/>
      <c r="DT1" s="138"/>
      <c r="DU1" s="138"/>
      <c r="DV1" s="138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9" t="s">
        <v>134</v>
      </c>
      <c r="EI1" s="139"/>
      <c r="EJ1" s="139"/>
      <c r="EK1" s="139"/>
      <c r="EL1" s="139"/>
      <c r="EM1" s="139"/>
      <c r="EN1" s="139"/>
      <c r="EO1" s="139"/>
      <c r="EP1" s="139"/>
      <c r="EQ1" s="139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8"/>
      <c r="FE1" s="138"/>
      <c r="FF1" s="138"/>
      <c r="FG1" s="138"/>
      <c r="FH1" s="138"/>
      <c r="FI1" s="138"/>
      <c r="FJ1" s="138"/>
      <c r="FK1" s="138"/>
      <c r="FL1" s="138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9"/>
      <c r="GA1" s="139"/>
      <c r="GB1" s="139"/>
      <c r="GC1" s="139"/>
      <c r="GD1" s="139"/>
      <c r="GE1" s="139"/>
      <c r="GF1" s="139"/>
      <c r="GG1" s="139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8"/>
      <c r="GW1" s="138"/>
      <c r="GX1" s="138"/>
      <c r="GY1" s="138"/>
      <c r="GZ1" s="138"/>
      <c r="HA1" s="138"/>
      <c r="HB1" s="138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9"/>
      <c r="HS1" s="139"/>
      <c r="HT1" s="139"/>
      <c r="HU1" s="139"/>
      <c r="HV1" s="139"/>
      <c r="HW1" s="139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8"/>
      <c r="IO1" s="138"/>
      <c r="IP1" s="138"/>
      <c r="IQ1" s="138"/>
      <c r="IR1" s="138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9"/>
      <c r="JK1" s="139"/>
      <c r="JL1" s="139"/>
      <c r="JM1" s="139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8"/>
      <c r="KG1" s="138"/>
      <c r="KH1" s="138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9"/>
      <c r="LC1" s="139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8"/>
      <c r="LY1" s="138"/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9"/>
      <c r="MU1" s="139"/>
      <c r="MV1" s="139"/>
      <c r="MW1" s="139"/>
      <c r="MX1" s="139"/>
      <c r="MY1" s="139"/>
      <c r="MZ1" s="139"/>
      <c r="NA1" s="139"/>
      <c r="NB1" s="139"/>
      <c r="NC1" s="139"/>
      <c r="ND1" s="139"/>
      <c r="NE1" s="139"/>
      <c r="NF1" s="139"/>
      <c r="NG1" s="139"/>
      <c r="NH1" s="139"/>
      <c r="NI1" s="139"/>
      <c r="NJ1" s="139"/>
      <c r="NK1" s="139"/>
      <c r="NL1" s="139"/>
      <c r="NM1" s="139"/>
      <c r="NN1" s="139"/>
      <c r="NO1" s="139"/>
      <c r="NP1" s="138" t="s">
        <v>87</v>
      </c>
      <c r="NQ1" s="138"/>
      <c r="NR1" s="138"/>
      <c r="NS1" s="138"/>
      <c r="NT1" s="138"/>
      <c r="NU1" s="138"/>
      <c r="NV1" s="138"/>
      <c r="NW1" s="138"/>
      <c r="NX1" s="138"/>
      <c r="NY1" s="138"/>
      <c r="NZ1" s="138"/>
      <c r="OA1" s="138"/>
      <c r="OB1" s="138"/>
      <c r="OC1" s="138"/>
      <c r="OD1" s="138"/>
      <c r="OE1" s="138"/>
      <c r="OF1" s="138"/>
      <c r="OG1" s="138"/>
      <c r="OH1" s="138"/>
      <c r="OI1" s="138"/>
      <c r="OJ1" s="138"/>
      <c r="OK1" s="138"/>
      <c r="OL1" s="138"/>
      <c r="OM1" s="138"/>
      <c r="ON1" s="138"/>
      <c r="OO1" s="138"/>
      <c r="OP1" s="138"/>
      <c r="OQ1" s="138"/>
    </row>
    <row r="2" spans="1:409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103</v>
      </c>
      <c r="AG2" s="137"/>
      <c r="AH2" s="137"/>
      <c r="AI2" s="137"/>
      <c r="AJ2" s="137"/>
      <c r="AK2" s="137" t="s">
        <v>27</v>
      </c>
      <c r="AL2" s="137"/>
      <c r="AM2" s="137"/>
      <c r="AN2" s="137"/>
      <c r="AO2" s="137"/>
      <c r="AP2" s="112"/>
      <c r="AQ2" s="9" t="s">
        <v>25</v>
      </c>
      <c r="AR2" s="9" t="s">
        <v>105</v>
      </c>
      <c r="AS2" s="9" t="s">
        <v>26</v>
      </c>
      <c r="AT2" s="9" t="s">
        <v>106</v>
      </c>
      <c r="AU2" s="9" t="s">
        <v>104</v>
      </c>
      <c r="AV2" s="9" t="s">
        <v>28</v>
      </c>
      <c r="AW2" s="9" t="s">
        <v>92</v>
      </c>
      <c r="AX2" s="9" t="s">
        <v>27</v>
      </c>
      <c r="AY2" s="9" t="s">
        <v>22</v>
      </c>
      <c r="AZ2" s="136" t="s">
        <v>23</v>
      </c>
      <c r="BA2" s="136"/>
      <c r="BB2" s="136"/>
      <c r="BC2" s="136"/>
      <c r="BD2" s="136"/>
      <c r="BE2" s="136" t="s">
        <v>24</v>
      </c>
      <c r="BF2" s="136"/>
      <c r="BG2" s="136"/>
      <c r="BH2" s="136"/>
      <c r="BI2" s="136"/>
      <c r="BJ2" s="136" t="s">
        <v>103</v>
      </c>
      <c r="BK2" s="136"/>
      <c r="BL2" s="136"/>
      <c r="BM2" s="136"/>
      <c r="BN2" s="136"/>
      <c r="BO2" s="136" t="s">
        <v>27</v>
      </c>
      <c r="BP2" s="136"/>
      <c r="BQ2" s="136"/>
      <c r="BR2" s="136"/>
      <c r="BS2" s="136"/>
      <c r="BT2" s="113"/>
      <c r="BU2" s="12" t="s">
        <v>25</v>
      </c>
      <c r="BV2" s="12" t="s">
        <v>105</v>
      </c>
      <c r="BW2" s="12" t="s">
        <v>26</v>
      </c>
      <c r="BX2" s="12" t="s">
        <v>106</v>
      </c>
      <c r="BY2" s="12" t="s">
        <v>104</v>
      </c>
      <c r="BZ2" s="12" t="s">
        <v>28</v>
      </c>
      <c r="CA2" s="12" t="s">
        <v>92</v>
      </c>
      <c r="CB2" s="12" t="s">
        <v>27</v>
      </c>
      <c r="CC2" s="12" t="s">
        <v>22</v>
      </c>
      <c r="CD2" s="137" t="s">
        <v>23</v>
      </c>
      <c r="CE2" s="137"/>
      <c r="CF2" s="137"/>
      <c r="CG2" s="137"/>
      <c r="CH2" s="137"/>
      <c r="CI2" s="137" t="s">
        <v>24</v>
      </c>
      <c r="CJ2" s="137"/>
      <c r="CK2" s="137"/>
      <c r="CL2" s="137"/>
      <c r="CM2" s="137"/>
      <c r="CN2" s="137" t="s">
        <v>103</v>
      </c>
      <c r="CO2" s="137"/>
      <c r="CP2" s="137"/>
      <c r="CQ2" s="137"/>
      <c r="CR2" s="137"/>
      <c r="CS2" s="137" t="s">
        <v>27</v>
      </c>
      <c r="CT2" s="137"/>
      <c r="CU2" s="137"/>
      <c r="CV2" s="137"/>
      <c r="CW2" s="137"/>
      <c r="CX2" s="112"/>
      <c r="CY2" s="9" t="s">
        <v>25</v>
      </c>
      <c r="CZ2" s="9" t="s">
        <v>105</v>
      </c>
      <c r="DA2" s="9" t="s">
        <v>26</v>
      </c>
      <c r="DB2" s="9" t="s">
        <v>106</v>
      </c>
      <c r="DC2" s="9" t="s">
        <v>104</v>
      </c>
      <c r="DD2" s="9" t="s">
        <v>28</v>
      </c>
      <c r="DE2" s="9" t="s">
        <v>92</v>
      </c>
      <c r="DF2" s="9" t="s">
        <v>27</v>
      </c>
      <c r="DG2" s="9" t="s">
        <v>22</v>
      </c>
      <c r="DH2" s="22" t="s">
        <v>25</v>
      </c>
      <c r="DI2" s="22" t="s">
        <v>26</v>
      </c>
      <c r="DJ2" s="22" t="s">
        <v>28</v>
      </c>
      <c r="DK2" s="22" t="s">
        <v>27</v>
      </c>
      <c r="DL2" s="137" t="s">
        <v>23</v>
      </c>
      <c r="DM2" s="137"/>
      <c r="DN2" s="137"/>
      <c r="DO2" s="137"/>
      <c r="DP2" s="137"/>
      <c r="DQ2" s="137" t="s">
        <v>24</v>
      </c>
      <c r="DR2" s="137"/>
      <c r="DS2" s="137"/>
      <c r="DT2" s="137"/>
      <c r="DU2" s="137"/>
      <c r="DV2" s="137" t="s">
        <v>27</v>
      </c>
      <c r="DW2" s="137"/>
      <c r="DX2" s="137"/>
      <c r="DY2" s="137"/>
      <c r="DZ2" s="137"/>
      <c r="EA2" s="112" t="s">
        <v>81</v>
      </c>
      <c r="EB2" s="9" t="s">
        <v>25</v>
      </c>
      <c r="EC2" s="9" t="s">
        <v>26</v>
      </c>
      <c r="ED2" s="9" t="s">
        <v>28</v>
      </c>
      <c r="EE2" s="9" t="s">
        <v>92</v>
      </c>
      <c r="EF2" s="9" t="s">
        <v>27</v>
      </c>
      <c r="EG2" s="9" t="s">
        <v>22</v>
      </c>
      <c r="EH2" s="136" t="s">
        <v>23</v>
      </c>
      <c r="EI2" s="136"/>
      <c r="EJ2" s="136"/>
      <c r="EK2" s="136"/>
      <c r="EL2" s="136"/>
      <c r="EM2" s="136" t="s">
        <v>24</v>
      </c>
      <c r="EN2" s="136"/>
      <c r="EO2" s="136"/>
      <c r="EP2" s="136"/>
      <c r="EQ2" s="136"/>
      <c r="ER2" s="136" t="s">
        <v>27</v>
      </c>
      <c r="ES2" s="136"/>
      <c r="ET2" s="136"/>
      <c r="EU2" s="136"/>
      <c r="EV2" s="136"/>
      <c r="EW2" s="113" t="s">
        <v>81</v>
      </c>
      <c r="EX2" s="12" t="s">
        <v>25</v>
      </c>
      <c r="EY2" s="12" t="s">
        <v>26</v>
      </c>
      <c r="EZ2" s="12" t="s">
        <v>28</v>
      </c>
      <c r="FA2" s="12" t="s">
        <v>92</v>
      </c>
      <c r="FB2" s="12" t="s">
        <v>27</v>
      </c>
      <c r="FC2" s="12" t="s">
        <v>22</v>
      </c>
      <c r="FD2" s="137" t="s">
        <v>23</v>
      </c>
      <c r="FE2" s="137"/>
      <c r="FF2" s="137"/>
      <c r="FG2" s="137"/>
      <c r="FH2" s="137"/>
      <c r="FI2" s="137" t="s">
        <v>24</v>
      </c>
      <c r="FJ2" s="137"/>
      <c r="FK2" s="137"/>
      <c r="FL2" s="137"/>
      <c r="FM2" s="137"/>
      <c r="FN2" s="137" t="s">
        <v>27</v>
      </c>
      <c r="FO2" s="137"/>
      <c r="FP2" s="137"/>
      <c r="FQ2" s="137"/>
      <c r="FR2" s="137"/>
      <c r="FS2" s="112" t="s">
        <v>81</v>
      </c>
      <c r="FT2" s="9" t="s">
        <v>25</v>
      </c>
      <c r="FU2" s="9" t="s">
        <v>26</v>
      </c>
      <c r="FV2" s="9" t="s">
        <v>28</v>
      </c>
      <c r="FW2" s="9" t="s">
        <v>92</v>
      </c>
      <c r="FX2" s="9" t="s">
        <v>27</v>
      </c>
      <c r="FY2" s="9" t="s">
        <v>22</v>
      </c>
      <c r="FZ2" s="136" t="s">
        <v>23</v>
      </c>
      <c r="GA2" s="136"/>
      <c r="GB2" s="136"/>
      <c r="GC2" s="136"/>
      <c r="GD2" s="136"/>
      <c r="GE2" s="136" t="s">
        <v>24</v>
      </c>
      <c r="GF2" s="136"/>
      <c r="GG2" s="136"/>
      <c r="GH2" s="136"/>
      <c r="GI2" s="136"/>
      <c r="GJ2" s="136" t="s">
        <v>27</v>
      </c>
      <c r="GK2" s="136"/>
      <c r="GL2" s="136"/>
      <c r="GM2" s="136"/>
      <c r="GN2" s="136"/>
      <c r="GO2" s="113" t="s">
        <v>81</v>
      </c>
      <c r="GP2" s="12" t="s">
        <v>25</v>
      </c>
      <c r="GQ2" s="12" t="s">
        <v>26</v>
      </c>
      <c r="GR2" s="12" t="s">
        <v>28</v>
      </c>
      <c r="GS2" s="12" t="s">
        <v>92</v>
      </c>
      <c r="GT2" s="12" t="s">
        <v>27</v>
      </c>
      <c r="GU2" s="12" t="s">
        <v>22</v>
      </c>
      <c r="GV2" s="137" t="s">
        <v>23</v>
      </c>
      <c r="GW2" s="137"/>
      <c r="GX2" s="137"/>
      <c r="GY2" s="137"/>
      <c r="GZ2" s="137"/>
      <c r="HA2" s="137" t="s">
        <v>24</v>
      </c>
      <c r="HB2" s="137"/>
      <c r="HC2" s="137"/>
      <c r="HD2" s="137"/>
      <c r="HE2" s="137"/>
      <c r="HF2" s="137" t="s">
        <v>27</v>
      </c>
      <c r="HG2" s="137"/>
      <c r="HH2" s="137"/>
      <c r="HI2" s="137"/>
      <c r="HJ2" s="137"/>
      <c r="HK2" s="112" t="s">
        <v>81</v>
      </c>
      <c r="HL2" s="9" t="s">
        <v>25</v>
      </c>
      <c r="HM2" s="9" t="s">
        <v>26</v>
      </c>
      <c r="HN2" s="9" t="s">
        <v>28</v>
      </c>
      <c r="HO2" s="9" t="s">
        <v>92</v>
      </c>
      <c r="HP2" s="9" t="s">
        <v>27</v>
      </c>
      <c r="HQ2" s="9" t="s">
        <v>22</v>
      </c>
      <c r="HR2" s="136" t="s">
        <v>23</v>
      </c>
      <c r="HS2" s="136"/>
      <c r="HT2" s="136"/>
      <c r="HU2" s="136"/>
      <c r="HV2" s="136"/>
      <c r="HW2" s="136" t="s">
        <v>24</v>
      </c>
      <c r="HX2" s="136"/>
      <c r="HY2" s="136"/>
      <c r="HZ2" s="136"/>
      <c r="IA2" s="136"/>
      <c r="IB2" s="136" t="s">
        <v>27</v>
      </c>
      <c r="IC2" s="136"/>
      <c r="ID2" s="136"/>
      <c r="IE2" s="136"/>
      <c r="IF2" s="136"/>
      <c r="IG2" s="113" t="s">
        <v>81</v>
      </c>
      <c r="IH2" s="12" t="s">
        <v>25</v>
      </c>
      <c r="II2" s="12" t="s">
        <v>26</v>
      </c>
      <c r="IJ2" s="12" t="s">
        <v>28</v>
      </c>
      <c r="IK2" s="12" t="s">
        <v>92</v>
      </c>
      <c r="IL2" s="12" t="s">
        <v>27</v>
      </c>
      <c r="IM2" s="12" t="s">
        <v>22</v>
      </c>
      <c r="IN2" s="137" t="s">
        <v>23</v>
      </c>
      <c r="IO2" s="137"/>
      <c r="IP2" s="137"/>
      <c r="IQ2" s="137"/>
      <c r="IR2" s="137"/>
      <c r="IS2" s="137" t="s">
        <v>24</v>
      </c>
      <c r="IT2" s="137"/>
      <c r="IU2" s="137"/>
      <c r="IV2" s="137"/>
      <c r="IW2" s="137"/>
      <c r="IX2" s="137" t="s">
        <v>27</v>
      </c>
      <c r="IY2" s="137"/>
      <c r="IZ2" s="137"/>
      <c r="JA2" s="137"/>
      <c r="JB2" s="137"/>
      <c r="JC2" s="112" t="s">
        <v>81</v>
      </c>
      <c r="JD2" s="9" t="s">
        <v>25</v>
      </c>
      <c r="JE2" s="9" t="s">
        <v>26</v>
      </c>
      <c r="JF2" s="9" t="s">
        <v>28</v>
      </c>
      <c r="JG2" s="9" t="s">
        <v>92</v>
      </c>
      <c r="JH2" s="9" t="s">
        <v>27</v>
      </c>
      <c r="JI2" s="9" t="s">
        <v>22</v>
      </c>
      <c r="JJ2" s="136" t="s">
        <v>23</v>
      </c>
      <c r="JK2" s="136"/>
      <c r="JL2" s="136"/>
      <c r="JM2" s="136"/>
      <c r="JN2" s="136"/>
      <c r="JO2" s="136" t="s">
        <v>24</v>
      </c>
      <c r="JP2" s="136"/>
      <c r="JQ2" s="136"/>
      <c r="JR2" s="136"/>
      <c r="JS2" s="136"/>
      <c r="JT2" s="136" t="s">
        <v>27</v>
      </c>
      <c r="JU2" s="136"/>
      <c r="JV2" s="136"/>
      <c r="JW2" s="136"/>
      <c r="JX2" s="136"/>
      <c r="JY2" s="113" t="s">
        <v>81</v>
      </c>
      <c r="JZ2" s="12" t="s">
        <v>25</v>
      </c>
      <c r="KA2" s="12" t="s">
        <v>26</v>
      </c>
      <c r="KB2" s="12" t="s">
        <v>28</v>
      </c>
      <c r="KC2" s="12" t="s">
        <v>92</v>
      </c>
      <c r="KD2" s="12" t="s">
        <v>27</v>
      </c>
      <c r="KE2" s="12" t="s">
        <v>22</v>
      </c>
      <c r="KF2" s="137" t="s">
        <v>23</v>
      </c>
      <c r="KG2" s="137"/>
      <c r="KH2" s="137"/>
      <c r="KI2" s="137"/>
      <c r="KJ2" s="137"/>
      <c r="KK2" s="137" t="s">
        <v>24</v>
      </c>
      <c r="KL2" s="137"/>
      <c r="KM2" s="137"/>
      <c r="KN2" s="137"/>
      <c r="KO2" s="137"/>
      <c r="KP2" s="137" t="s">
        <v>27</v>
      </c>
      <c r="KQ2" s="137"/>
      <c r="KR2" s="137"/>
      <c r="KS2" s="137"/>
      <c r="KT2" s="137"/>
      <c r="KU2" s="112" t="s">
        <v>81</v>
      </c>
      <c r="KV2" s="9" t="s">
        <v>25</v>
      </c>
      <c r="KW2" s="9" t="s">
        <v>26</v>
      </c>
      <c r="KX2" s="9" t="s">
        <v>28</v>
      </c>
      <c r="KY2" s="9" t="s">
        <v>92</v>
      </c>
      <c r="KZ2" s="9" t="s">
        <v>27</v>
      </c>
      <c r="LA2" s="9" t="s">
        <v>22</v>
      </c>
      <c r="LB2" s="136" t="s">
        <v>23</v>
      </c>
      <c r="LC2" s="136"/>
      <c r="LD2" s="136"/>
      <c r="LE2" s="136"/>
      <c r="LF2" s="136"/>
      <c r="LG2" s="136" t="s">
        <v>24</v>
      </c>
      <c r="LH2" s="136"/>
      <c r="LI2" s="136"/>
      <c r="LJ2" s="136"/>
      <c r="LK2" s="136"/>
      <c r="LL2" s="136" t="s">
        <v>27</v>
      </c>
      <c r="LM2" s="136"/>
      <c r="LN2" s="136"/>
      <c r="LO2" s="136"/>
      <c r="LP2" s="136"/>
      <c r="LQ2" s="113" t="s">
        <v>81</v>
      </c>
      <c r="LR2" s="12" t="s">
        <v>25</v>
      </c>
      <c r="LS2" s="12" t="s">
        <v>26</v>
      </c>
      <c r="LT2" s="12" t="s">
        <v>28</v>
      </c>
      <c r="LU2" s="12" t="s">
        <v>92</v>
      </c>
      <c r="LV2" s="12" t="s">
        <v>27</v>
      </c>
      <c r="LW2" s="12" t="s">
        <v>22</v>
      </c>
      <c r="LX2" s="137" t="s">
        <v>23</v>
      </c>
      <c r="LY2" s="137"/>
      <c r="LZ2" s="137"/>
      <c r="MA2" s="137"/>
      <c r="MB2" s="137"/>
      <c r="MC2" s="137" t="s">
        <v>24</v>
      </c>
      <c r="MD2" s="137"/>
      <c r="ME2" s="137"/>
      <c r="MF2" s="137"/>
      <c r="MG2" s="137"/>
      <c r="MH2" s="137" t="s">
        <v>27</v>
      </c>
      <c r="MI2" s="137"/>
      <c r="MJ2" s="137"/>
      <c r="MK2" s="137"/>
      <c r="ML2" s="137"/>
      <c r="MM2" s="112" t="s">
        <v>81</v>
      </c>
      <c r="MN2" s="9" t="s">
        <v>25</v>
      </c>
      <c r="MO2" s="9" t="s">
        <v>26</v>
      </c>
      <c r="MP2" s="9" t="s">
        <v>28</v>
      </c>
      <c r="MQ2" s="9" t="s">
        <v>92</v>
      </c>
      <c r="MR2" s="9" t="s">
        <v>27</v>
      </c>
      <c r="MS2" s="9" t="s">
        <v>22</v>
      </c>
      <c r="MT2" s="136" t="s">
        <v>23</v>
      </c>
      <c r="MU2" s="136"/>
      <c r="MV2" s="136"/>
      <c r="MW2" s="136"/>
      <c r="MX2" s="136"/>
      <c r="MY2" s="136" t="s">
        <v>24</v>
      </c>
      <c r="MZ2" s="136"/>
      <c r="NA2" s="136"/>
      <c r="NB2" s="136"/>
      <c r="NC2" s="136"/>
      <c r="ND2" s="136" t="s">
        <v>27</v>
      </c>
      <c r="NE2" s="136"/>
      <c r="NF2" s="136"/>
      <c r="NG2" s="136"/>
      <c r="NH2" s="136"/>
      <c r="NI2" s="113" t="s">
        <v>81</v>
      </c>
      <c r="NJ2" s="12" t="s">
        <v>25</v>
      </c>
      <c r="NK2" s="12" t="s">
        <v>26</v>
      </c>
      <c r="NL2" s="12" t="s">
        <v>28</v>
      </c>
      <c r="NM2" s="12" t="s">
        <v>92</v>
      </c>
      <c r="NN2" s="12" t="s">
        <v>27</v>
      </c>
      <c r="NO2" s="12" t="s">
        <v>22</v>
      </c>
      <c r="NP2" s="137" t="s">
        <v>23</v>
      </c>
      <c r="NQ2" s="137"/>
      <c r="NR2" s="137"/>
      <c r="NS2" s="137"/>
      <c r="NT2" s="137"/>
      <c r="NU2" s="137" t="s">
        <v>24</v>
      </c>
      <c r="NV2" s="137"/>
      <c r="NW2" s="137"/>
      <c r="NX2" s="137"/>
      <c r="NY2" s="137"/>
      <c r="NZ2" s="137" t="s">
        <v>103</v>
      </c>
      <c r="OA2" s="137"/>
      <c r="OB2" s="137"/>
      <c r="OC2" s="137"/>
      <c r="OD2" s="137"/>
      <c r="OE2" s="137" t="s">
        <v>27</v>
      </c>
      <c r="OF2" s="137"/>
      <c r="OG2" s="137"/>
      <c r="OH2" s="137"/>
      <c r="OI2" s="137"/>
      <c r="OJ2" s="112"/>
      <c r="OK2" s="9" t="s">
        <v>25</v>
      </c>
      <c r="OL2" s="9" t="s">
        <v>105</v>
      </c>
      <c r="OM2" s="9" t="s">
        <v>26</v>
      </c>
      <c r="ON2" s="9" t="s">
        <v>106</v>
      </c>
      <c r="OO2" s="9" t="s">
        <v>104</v>
      </c>
      <c r="OP2" s="9" t="s">
        <v>28</v>
      </c>
      <c r="OQ2" s="9" t="s">
        <v>92</v>
      </c>
      <c r="OR2" s="9" t="s">
        <v>27</v>
      </c>
      <c r="OS2" s="9" t="s">
        <v>22</v>
      </c>
    </row>
    <row r="3" spans="1:409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21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21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21</v>
      </c>
      <c r="AJ3" s="112" t="s">
        <v>40</v>
      </c>
      <c r="AK3" s="112" t="s">
        <v>19</v>
      </c>
      <c r="AL3" s="112" t="s">
        <v>20</v>
      </c>
      <c r="AM3" s="112" t="s">
        <v>11</v>
      </c>
      <c r="AN3" s="112" t="s">
        <v>21</v>
      </c>
      <c r="AO3" s="112" t="s">
        <v>40</v>
      </c>
      <c r="AP3" s="112" t="s">
        <v>73</v>
      </c>
      <c r="AQ3" s="9"/>
      <c r="AR3" s="9"/>
      <c r="AS3" s="9"/>
      <c r="AT3" s="9"/>
      <c r="AU3" s="9"/>
      <c r="AV3" s="9"/>
      <c r="AW3" s="9"/>
      <c r="AX3" s="10"/>
      <c r="AY3" s="10"/>
      <c r="AZ3" s="113" t="s">
        <v>19</v>
      </c>
      <c r="BA3" s="113" t="s">
        <v>20</v>
      </c>
      <c r="BB3" s="113" t="s">
        <v>11</v>
      </c>
      <c r="BC3" s="113" t="s">
        <v>21</v>
      </c>
      <c r="BD3" s="113" t="s">
        <v>40</v>
      </c>
      <c r="BE3" s="113" t="s">
        <v>19</v>
      </c>
      <c r="BF3" s="113" t="s">
        <v>20</v>
      </c>
      <c r="BG3" s="113" t="s">
        <v>11</v>
      </c>
      <c r="BH3" s="113" t="s">
        <v>21</v>
      </c>
      <c r="BI3" s="113" t="s">
        <v>40</v>
      </c>
      <c r="BJ3" s="113" t="s">
        <v>19</v>
      </c>
      <c r="BK3" s="113" t="s">
        <v>20</v>
      </c>
      <c r="BL3" s="113" t="s">
        <v>11</v>
      </c>
      <c r="BM3" s="113" t="s">
        <v>21</v>
      </c>
      <c r="BN3" s="113" t="s">
        <v>40</v>
      </c>
      <c r="BO3" s="113" t="s">
        <v>19</v>
      </c>
      <c r="BP3" s="113" t="s">
        <v>20</v>
      </c>
      <c r="BQ3" s="113" t="s">
        <v>11</v>
      </c>
      <c r="BR3" s="113" t="s">
        <v>21</v>
      </c>
      <c r="BS3" s="113" t="s">
        <v>40</v>
      </c>
      <c r="BT3" s="113" t="s">
        <v>73</v>
      </c>
      <c r="BU3" s="12"/>
      <c r="BV3" s="12"/>
      <c r="BW3" s="12"/>
      <c r="BX3" s="12"/>
      <c r="BY3" s="12"/>
      <c r="BZ3" s="12"/>
      <c r="CA3" s="12"/>
      <c r="CB3" s="13"/>
      <c r="CC3" s="13"/>
      <c r="CD3" s="112" t="s">
        <v>19</v>
      </c>
      <c r="CE3" s="112" t="s">
        <v>20</v>
      </c>
      <c r="CF3" s="112" t="s">
        <v>11</v>
      </c>
      <c r="CG3" s="112" t="s">
        <v>21</v>
      </c>
      <c r="CH3" s="112" t="s">
        <v>40</v>
      </c>
      <c r="CI3" s="112" t="s">
        <v>19</v>
      </c>
      <c r="CJ3" s="112" t="s">
        <v>20</v>
      </c>
      <c r="CK3" s="112" t="s">
        <v>11</v>
      </c>
      <c r="CL3" s="112" t="s">
        <v>21</v>
      </c>
      <c r="CM3" s="112" t="s">
        <v>40</v>
      </c>
      <c r="CN3" s="112" t="s">
        <v>19</v>
      </c>
      <c r="CO3" s="112" t="s">
        <v>20</v>
      </c>
      <c r="CP3" s="112" t="s">
        <v>11</v>
      </c>
      <c r="CQ3" s="112" t="s">
        <v>21</v>
      </c>
      <c r="CR3" s="112" t="s">
        <v>40</v>
      </c>
      <c r="CS3" s="112" t="s">
        <v>19</v>
      </c>
      <c r="CT3" s="112" t="s">
        <v>20</v>
      </c>
      <c r="CU3" s="112" t="s">
        <v>11</v>
      </c>
      <c r="CV3" s="112" t="s">
        <v>21</v>
      </c>
      <c r="CW3" s="112" t="s">
        <v>40</v>
      </c>
      <c r="CX3" s="112" t="s">
        <v>73</v>
      </c>
      <c r="CY3" s="9"/>
      <c r="CZ3" s="9"/>
      <c r="DA3" s="9"/>
      <c r="DB3" s="9"/>
      <c r="DC3" s="9"/>
      <c r="DD3" s="9"/>
      <c r="DE3" s="9"/>
      <c r="DF3" s="10"/>
      <c r="DG3" s="10"/>
      <c r="DH3" s="23"/>
      <c r="DI3" s="23"/>
      <c r="DJ3" s="23"/>
      <c r="DK3" s="23"/>
      <c r="DL3" s="112" t="s">
        <v>19</v>
      </c>
      <c r="DM3" s="112" t="s">
        <v>20</v>
      </c>
      <c r="DN3" s="112" t="s">
        <v>11</v>
      </c>
      <c r="DO3" s="112" t="s">
        <v>21</v>
      </c>
      <c r="DP3" s="112" t="s">
        <v>40</v>
      </c>
      <c r="DQ3" s="112" t="s">
        <v>19</v>
      </c>
      <c r="DR3" s="112" t="s">
        <v>20</v>
      </c>
      <c r="DS3" s="112" t="s">
        <v>11</v>
      </c>
      <c r="DT3" s="112" t="s">
        <v>21</v>
      </c>
      <c r="DU3" s="112" t="s">
        <v>40</v>
      </c>
      <c r="DV3" s="112" t="s">
        <v>19</v>
      </c>
      <c r="DW3" s="112" t="s">
        <v>20</v>
      </c>
      <c r="DX3" s="112" t="s">
        <v>11</v>
      </c>
      <c r="DY3" s="112" t="s">
        <v>21</v>
      </c>
      <c r="DZ3" s="112" t="s">
        <v>40</v>
      </c>
      <c r="EA3" s="10"/>
      <c r="EB3" s="9"/>
      <c r="EC3" s="9"/>
      <c r="ED3" s="9"/>
      <c r="EE3" s="9"/>
      <c r="EF3" s="10"/>
      <c r="EG3" s="10"/>
      <c r="EH3" s="113" t="s">
        <v>19</v>
      </c>
      <c r="EI3" s="113" t="s">
        <v>20</v>
      </c>
      <c r="EJ3" s="113" t="s">
        <v>11</v>
      </c>
      <c r="EK3" s="113" t="s">
        <v>21</v>
      </c>
      <c r="EL3" s="113" t="s">
        <v>40</v>
      </c>
      <c r="EM3" s="113" t="s">
        <v>19</v>
      </c>
      <c r="EN3" s="113" t="s">
        <v>20</v>
      </c>
      <c r="EO3" s="113" t="s">
        <v>11</v>
      </c>
      <c r="EP3" s="113" t="s">
        <v>21</v>
      </c>
      <c r="EQ3" s="113" t="s">
        <v>40</v>
      </c>
      <c r="ER3" s="113" t="s">
        <v>19</v>
      </c>
      <c r="ES3" s="113" t="s">
        <v>20</v>
      </c>
      <c r="ET3" s="113" t="s">
        <v>11</v>
      </c>
      <c r="EU3" s="113" t="s">
        <v>21</v>
      </c>
      <c r="EV3" s="51" t="s">
        <v>40</v>
      </c>
      <c r="EW3" s="13"/>
      <c r="EX3" s="12"/>
      <c r="EY3" s="12"/>
      <c r="EZ3" s="12"/>
      <c r="FA3" s="12"/>
      <c r="FB3" s="13"/>
      <c r="FC3" s="13"/>
      <c r="FD3" s="112" t="s">
        <v>19</v>
      </c>
      <c r="FE3" s="112" t="s">
        <v>20</v>
      </c>
      <c r="FF3" s="112" t="s">
        <v>11</v>
      </c>
      <c r="FG3" s="112" t="s">
        <v>21</v>
      </c>
      <c r="FH3" s="112" t="s">
        <v>40</v>
      </c>
      <c r="FI3" s="112" t="s">
        <v>19</v>
      </c>
      <c r="FJ3" s="112" t="s">
        <v>20</v>
      </c>
      <c r="FK3" s="112" t="s">
        <v>11</v>
      </c>
      <c r="FL3" s="112" t="s">
        <v>21</v>
      </c>
      <c r="FM3" s="112" t="s">
        <v>40</v>
      </c>
      <c r="FN3" s="112" t="s">
        <v>19</v>
      </c>
      <c r="FO3" s="112" t="s">
        <v>20</v>
      </c>
      <c r="FP3" s="112" t="s">
        <v>11</v>
      </c>
      <c r="FQ3" s="112" t="s">
        <v>21</v>
      </c>
      <c r="FR3" s="112" t="s">
        <v>40</v>
      </c>
      <c r="FS3" s="10"/>
      <c r="FT3" s="9"/>
      <c r="FU3" s="9"/>
      <c r="FV3" s="9"/>
      <c r="FW3" s="9"/>
      <c r="FX3" s="10"/>
      <c r="FY3" s="10"/>
      <c r="FZ3" s="113" t="s">
        <v>19</v>
      </c>
      <c r="GA3" s="113" t="s">
        <v>20</v>
      </c>
      <c r="GB3" s="113" t="s">
        <v>11</v>
      </c>
      <c r="GC3" s="113" t="s">
        <v>21</v>
      </c>
      <c r="GD3" s="113" t="s">
        <v>40</v>
      </c>
      <c r="GE3" s="113" t="s">
        <v>19</v>
      </c>
      <c r="GF3" s="113" t="s">
        <v>20</v>
      </c>
      <c r="GG3" s="113" t="s">
        <v>11</v>
      </c>
      <c r="GH3" s="113" t="s">
        <v>21</v>
      </c>
      <c r="GI3" s="113" t="s">
        <v>40</v>
      </c>
      <c r="GJ3" s="113" t="s">
        <v>19</v>
      </c>
      <c r="GK3" s="113" t="s">
        <v>20</v>
      </c>
      <c r="GL3" s="113" t="s">
        <v>11</v>
      </c>
      <c r="GM3" s="113" t="s">
        <v>21</v>
      </c>
      <c r="GN3" s="113" t="s">
        <v>40</v>
      </c>
      <c r="GO3" s="13"/>
      <c r="GP3" s="12"/>
      <c r="GQ3" s="12"/>
      <c r="GR3" s="12"/>
      <c r="GS3" s="12"/>
      <c r="GT3" s="13"/>
      <c r="GU3" s="13"/>
      <c r="GV3" s="112" t="s">
        <v>19</v>
      </c>
      <c r="GW3" s="112" t="s">
        <v>20</v>
      </c>
      <c r="GX3" s="112" t="s">
        <v>11</v>
      </c>
      <c r="GY3" s="112" t="s">
        <v>21</v>
      </c>
      <c r="GZ3" s="112" t="s">
        <v>40</v>
      </c>
      <c r="HA3" s="112" t="s">
        <v>19</v>
      </c>
      <c r="HB3" s="112" t="s">
        <v>20</v>
      </c>
      <c r="HC3" s="112" t="s">
        <v>11</v>
      </c>
      <c r="HD3" s="112" t="s">
        <v>21</v>
      </c>
      <c r="HE3" s="112" t="s">
        <v>40</v>
      </c>
      <c r="HF3" s="112" t="s">
        <v>19</v>
      </c>
      <c r="HG3" s="112" t="s">
        <v>20</v>
      </c>
      <c r="HH3" s="112" t="s">
        <v>11</v>
      </c>
      <c r="HI3" s="112" t="s">
        <v>21</v>
      </c>
      <c r="HJ3" s="112" t="s">
        <v>40</v>
      </c>
      <c r="HK3" s="10"/>
      <c r="HL3" s="9"/>
      <c r="HM3" s="9"/>
      <c r="HN3" s="9"/>
      <c r="HO3" s="9"/>
      <c r="HP3" s="10"/>
      <c r="HQ3" s="10"/>
      <c r="HR3" s="113" t="s">
        <v>19</v>
      </c>
      <c r="HS3" s="113" t="s">
        <v>20</v>
      </c>
      <c r="HT3" s="113" t="s">
        <v>11</v>
      </c>
      <c r="HU3" s="113" t="s">
        <v>21</v>
      </c>
      <c r="HV3" s="113" t="s">
        <v>40</v>
      </c>
      <c r="HW3" s="113" t="s">
        <v>19</v>
      </c>
      <c r="HX3" s="113" t="s">
        <v>20</v>
      </c>
      <c r="HY3" s="113" t="s">
        <v>11</v>
      </c>
      <c r="HZ3" s="113" t="s">
        <v>21</v>
      </c>
      <c r="IA3" s="113" t="s">
        <v>40</v>
      </c>
      <c r="IB3" s="113" t="s">
        <v>19</v>
      </c>
      <c r="IC3" s="113" t="s">
        <v>20</v>
      </c>
      <c r="ID3" s="113" t="s">
        <v>11</v>
      </c>
      <c r="IE3" s="113" t="s">
        <v>21</v>
      </c>
      <c r="IF3" s="113" t="s">
        <v>40</v>
      </c>
      <c r="IG3" s="13"/>
      <c r="IH3" s="12"/>
      <c r="II3" s="12"/>
      <c r="IJ3" s="12"/>
      <c r="IK3" s="12"/>
      <c r="IL3" s="13"/>
      <c r="IM3" s="13"/>
      <c r="IN3" s="112" t="s">
        <v>19</v>
      </c>
      <c r="IO3" s="112" t="s">
        <v>20</v>
      </c>
      <c r="IP3" s="112" t="s">
        <v>11</v>
      </c>
      <c r="IQ3" s="112" t="s">
        <v>21</v>
      </c>
      <c r="IR3" s="112" t="s">
        <v>40</v>
      </c>
      <c r="IS3" s="112" t="s">
        <v>19</v>
      </c>
      <c r="IT3" s="112" t="s">
        <v>20</v>
      </c>
      <c r="IU3" s="112" t="s">
        <v>11</v>
      </c>
      <c r="IV3" s="112" t="s">
        <v>21</v>
      </c>
      <c r="IW3" s="112" t="s">
        <v>40</v>
      </c>
      <c r="IX3" s="112" t="s">
        <v>19</v>
      </c>
      <c r="IY3" s="112" t="s">
        <v>20</v>
      </c>
      <c r="IZ3" s="112" t="s">
        <v>11</v>
      </c>
      <c r="JA3" s="112" t="s">
        <v>21</v>
      </c>
      <c r="JB3" s="112" t="s">
        <v>40</v>
      </c>
      <c r="JC3" s="10"/>
      <c r="JD3" s="9"/>
      <c r="JE3" s="9"/>
      <c r="JF3" s="9"/>
      <c r="JG3" s="9"/>
      <c r="JH3" s="10"/>
      <c r="JI3" s="10"/>
      <c r="JJ3" s="113" t="s">
        <v>19</v>
      </c>
      <c r="JK3" s="113" t="s">
        <v>20</v>
      </c>
      <c r="JL3" s="113" t="s">
        <v>11</v>
      </c>
      <c r="JM3" s="113" t="s">
        <v>21</v>
      </c>
      <c r="JN3" s="113" t="s">
        <v>40</v>
      </c>
      <c r="JO3" s="113" t="s">
        <v>19</v>
      </c>
      <c r="JP3" s="113" t="s">
        <v>20</v>
      </c>
      <c r="JQ3" s="113" t="s">
        <v>11</v>
      </c>
      <c r="JR3" s="113" t="s">
        <v>21</v>
      </c>
      <c r="JS3" s="113" t="s">
        <v>40</v>
      </c>
      <c r="JT3" s="113" t="s">
        <v>19</v>
      </c>
      <c r="JU3" s="113" t="s">
        <v>20</v>
      </c>
      <c r="JV3" s="113" t="s">
        <v>11</v>
      </c>
      <c r="JW3" s="113" t="s">
        <v>21</v>
      </c>
      <c r="JX3" s="113" t="s">
        <v>40</v>
      </c>
      <c r="JY3" s="13"/>
      <c r="JZ3" s="12"/>
      <c r="KA3" s="12"/>
      <c r="KB3" s="12"/>
      <c r="KC3" s="12"/>
      <c r="KD3" s="13"/>
      <c r="KE3" s="13"/>
      <c r="KF3" s="112" t="s">
        <v>19</v>
      </c>
      <c r="KG3" s="112" t="s">
        <v>20</v>
      </c>
      <c r="KH3" s="112" t="s">
        <v>11</v>
      </c>
      <c r="KI3" s="112" t="s">
        <v>21</v>
      </c>
      <c r="KJ3" s="112" t="s">
        <v>40</v>
      </c>
      <c r="KK3" s="112" t="s">
        <v>19</v>
      </c>
      <c r="KL3" s="112" t="s">
        <v>20</v>
      </c>
      <c r="KM3" s="112" t="s">
        <v>11</v>
      </c>
      <c r="KN3" s="112" t="s">
        <v>21</v>
      </c>
      <c r="KO3" s="112" t="s">
        <v>40</v>
      </c>
      <c r="KP3" s="112" t="s">
        <v>19</v>
      </c>
      <c r="KQ3" s="112" t="s">
        <v>20</v>
      </c>
      <c r="KR3" s="112" t="s">
        <v>11</v>
      </c>
      <c r="KS3" s="112" t="s">
        <v>21</v>
      </c>
      <c r="KT3" s="112" t="s">
        <v>40</v>
      </c>
      <c r="KU3" s="10"/>
      <c r="KV3" s="9"/>
      <c r="KW3" s="9"/>
      <c r="KX3" s="9"/>
      <c r="KY3" s="9"/>
      <c r="KZ3" s="10"/>
      <c r="LA3" s="10"/>
      <c r="LB3" s="113" t="s">
        <v>19</v>
      </c>
      <c r="LC3" s="113" t="s">
        <v>20</v>
      </c>
      <c r="LD3" s="113" t="s">
        <v>11</v>
      </c>
      <c r="LE3" s="113" t="s">
        <v>21</v>
      </c>
      <c r="LF3" s="113" t="s">
        <v>40</v>
      </c>
      <c r="LG3" s="113" t="s">
        <v>19</v>
      </c>
      <c r="LH3" s="113" t="s">
        <v>20</v>
      </c>
      <c r="LI3" s="113" t="s">
        <v>11</v>
      </c>
      <c r="LJ3" s="113" t="s">
        <v>21</v>
      </c>
      <c r="LK3" s="113" t="s">
        <v>40</v>
      </c>
      <c r="LL3" s="113" t="s">
        <v>19</v>
      </c>
      <c r="LM3" s="113" t="s">
        <v>20</v>
      </c>
      <c r="LN3" s="113" t="s">
        <v>11</v>
      </c>
      <c r="LO3" s="113" t="s">
        <v>21</v>
      </c>
      <c r="LP3" s="113" t="s">
        <v>40</v>
      </c>
      <c r="LQ3" s="13"/>
      <c r="LR3" s="12"/>
      <c r="LS3" s="12"/>
      <c r="LT3" s="12"/>
      <c r="LU3" s="12"/>
      <c r="LV3" s="13"/>
      <c r="LW3" s="13"/>
      <c r="LX3" s="112" t="s">
        <v>19</v>
      </c>
      <c r="LY3" s="112" t="s">
        <v>20</v>
      </c>
      <c r="LZ3" s="112" t="s">
        <v>11</v>
      </c>
      <c r="MA3" s="112" t="s">
        <v>21</v>
      </c>
      <c r="MB3" s="112" t="s">
        <v>40</v>
      </c>
      <c r="MC3" s="112" t="s">
        <v>19</v>
      </c>
      <c r="MD3" s="112" t="s">
        <v>20</v>
      </c>
      <c r="ME3" s="112" t="s">
        <v>11</v>
      </c>
      <c r="MF3" s="112" t="s">
        <v>21</v>
      </c>
      <c r="MG3" s="112" t="s">
        <v>40</v>
      </c>
      <c r="MH3" s="112" t="s">
        <v>19</v>
      </c>
      <c r="MI3" s="112" t="s">
        <v>20</v>
      </c>
      <c r="MJ3" s="112" t="s">
        <v>11</v>
      </c>
      <c r="MK3" s="112" t="s">
        <v>21</v>
      </c>
      <c r="ML3" s="112" t="s">
        <v>40</v>
      </c>
      <c r="MM3" s="10"/>
      <c r="MN3" s="9"/>
      <c r="MO3" s="9"/>
      <c r="MP3" s="9"/>
      <c r="MQ3" s="9"/>
      <c r="MR3" s="10"/>
      <c r="MS3" s="10"/>
      <c r="MT3" s="113" t="s">
        <v>19</v>
      </c>
      <c r="MU3" s="113" t="s">
        <v>20</v>
      </c>
      <c r="MV3" s="113" t="s">
        <v>11</v>
      </c>
      <c r="MW3" s="113" t="s">
        <v>21</v>
      </c>
      <c r="MX3" s="113" t="s">
        <v>40</v>
      </c>
      <c r="MY3" s="113" t="s">
        <v>19</v>
      </c>
      <c r="MZ3" s="113" t="s">
        <v>20</v>
      </c>
      <c r="NA3" s="113" t="s">
        <v>11</v>
      </c>
      <c r="NB3" s="113" t="s">
        <v>21</v>
      </c>
      <c r="NC3" s="113" t="s">
        <v>40</v>
      </c>
      <c r="ND3" s="113" t="s">
        <v>19</v>
      </c>
      <c r="NE3" s="113" t="s">
        <v>20</v>
      </c>
      <c r="NF3" s="113" t="s">
        <v>11</v>
      </c>
      <c r="NG3" s="113" t="s">
        <v>21</v>
      </c>
      <c r="NH3" s="113" t="s">
        <v>40</v>
      </c>
      <c r="NI3" s="13"/>
      <c r="NJ3" s="12"/>
      <c r="NK3" s="12"/>
      <c r="NL3" s="12"/>
      <c r="NM3" s="12"/>
      <c r="NN3" s="13"/>
      <c r="NO3" s="13"/>
      <c r="NP3" s="112" t="s">
        <v>19</v>
      </c>
      <c r="NQ3" s="112" t="s">
        <v>20</v>
      </c>
      <c r="NR3" s="112" t="s">
        <v>11</v>
      </c>
      <c r="NS3" s="112" t="s">
        <v>21</v>
      </c>
      <c r="NT3" s="112" t="s">
        <v>40</v>
      </c>
      <c r="NU3" s="112" t="s">
        <v>19</v>
      </c>
      <c r="NV3" s="112" t="s">
        <v>20</v>
      </c>
      <c r="NW3" s="112" t="s">
        <v>11</v>
      </c>
      <c r="NX3" s="112" t="s">
        <v>21</v>
      </c>
      <c r="NY3" s="112" t="s">
        <v>40</v>
      </c>
      <c r="NZ3" s="112" t="s">
        <v>19</v>
      </c>
      <c r="OA3" s="112" t="s">
        <v>20</v>
      </c>
      <c r="OB3" s="112" t="s">
        <v>11</v>
      </c>
      <c r="OC3" s="112" t="s">
        <v>21</v>
      </c>
      <c r="OD3" s="112" t="s">
        <v>40</v>
      </c>
      <c r="OE3" s="112" t="s">
        <v>19</v>
      </c>
      <c r="OF3" s="112" t="s">
        <v>20</v>
      </c>
      <c r="OG3" s="112" t="s">
        <v>11</v>
      </c>
      <c r="OH3" s="112" t="s">
        <v>21</v>
      </c>
      <c r="OI3" s="112" t="s">
        <v>40</v>
      </c>
      <c r="OJ3" s="112" t="s">
        <v>73</v>
      </c>
      <c r="OK3" s="9"/>
      <c r="OL3" s="9"/>
      <c r="OM3" s="9"/>
      <c r="ON3" s="9"/>
      <c r="OO3" s="9"/>
      <c r="OP3" s="9"/>
      <c r="OQ3" s="9"/>
      <c r="OR3" s="10"/>
      <c r="OS3" s="10"/>
    </row>
    <row r="4" spans="1:409" x14ac:dyDescent="0.2">
      <c r="A4" s="5" cm="1">
        <f t="array" ref="A4">IF(AND(G4&lt;&gt;"",H4&lt;&gt;""),SUMPRODUCT((G$4:G$15&lt;&gt;"")*(H$4:H$15&lt;&gt;"")*(E$4:E$15&gt;E4))+1,IF(H4&lt;&gt;"",SUMPRODUCT((I$4:I$15="No DD")*(E$4:E$15&gt;E4))+1+SUMPRODUCT((G$4:G$15&lt;&gt;"")*(H$4:H$15&lt;&gt;"")),""))</f>
        <v>1</v>
      </c>
      <c r="B4" s="127" t="s">
        <v>35</v>
      </c>
      <c r="C4" s="5" t="s">
        <v>3</v>
      </c>
      <c r="D4" s="5">
        <v>1988</v>
      </c>
      <c r="E4" s="15">
        <f>SUM(K4:S4)</f>
        <v>266.74499999999995</v>
      </c>
      <c r="F4" s="3" t="str">
        <f>IF(G4&lt;&gt;"","P","")</f>
        <v>P</v>
      </c>
      <c r="G4" s="125" t="str">
        <f>IF(OR(AND(AR4&gt;=AY$20,AR4&lt;&gt;"",AP4=""),AND(AT4&gt;=AY$20,AT4&lt;&gt;"",AP4=""),AND(AW4&gt;=AY$20,AW4&lt;&gt;"",AP4=""),AND(BV4&gt;=CC$20,BV4&lt;&gt;"",BT4=""),AND(BX4&gt;=CC$20,BX4&lt;&gt;"",BT4=""),AND(CA4&gt;=CC$20,CA4&lt;&gt;"",BT4=""),AND(CZ4&gt;=DG$20,CZ4&lt;&gt;"",CX4=""),AND(DB4&gt;=DG$20,DB4&lt;&gt;"",CX4=""),AND(DE4&gt;=DG$20,DE4&lt;&gt;"",CX4=""),AND(EA4&gt;=EG$20,EA4&lt;&gt;""),AND(EE4&gt;=EG$20,EE4&lt;&gt;""),AND(EW4&gt;=FC$20,EW4&lt;&gt;""),AND(FA4&gt;=FC$20,FA4&lt;&gt;""),AND(FS4&gt;=FY$20,FS4&lt;&gt;""),AND(FW4&gt;=FY$20,FW4&lt;&gt;""),AND(GO4&gt;=GU$20,GO4&lt;&gt;""),AND(GS4&gt;=GU$20,GS4&lt;&gt;""),AND(HK4&gt;=HQ$20,HK4&lt;&gt;""),AND(HO4&gt;=HQ$20,HO4&lt;&gt;""),AND(IG4&gt;=IM$20,IG4&lt;&gt;""),AND(IK4&gt;=IM$20,IK4&lt;&gt;""),AND(JC4&gt;=JI$20,JC4&lt;&gt;""),AND(JG4&gt;=JI$20,JG4&lt;&gt;""),AND(JY4&gt;=KE$20,JY4&lt;&gt;""),AND(KC4&gt;=KE$20,KC4&lt;&gt;""),AND(KU4&gt;=LA$20,KU4&lt;&gt;""),AND(KY4&gt;=LA$20,KY4&lt;&gt;""),AND(LQ4&gt;=LW$20,LQ4&lt;&gt;""),AND(LU4&gt;=LW$20,LU4&lt;&gt;""),AND(MM4&gt;=MS$20,MM4&lt;&gt;""),AND(MQ4&gt;=MS$20,MQ4&lt;&gt;""),AND(NI4&gt;=NO$20,NI4&lt;&gt;""),AND(NM4&gt;=NO$20,NM4&lt;&gt;"")),"Merit",IF(OR(AND(AR4&gt;=AY$19,AR4&lt;&gt;"",AP4=""),AND(AT4&gt;=AY$19,AT4&lt;&gt;"",AP4=""),AND(AW4&gt;=AY$19,AW4&lt;&gt;"",AP4=""),AND(BV4&gt;=CC$19,BV4&lt;&gt;"",BT4=""),AND(BX4&gt;=CC$19,BX4&lt;&gt;"",BT4=""),AND(CA4&gt;=CC$19,CA4&lt;&gt;"",BT4=""),AND(CZ4&gt;=DG$19,CZ4&lt;&gt;"",CX4=""),AND(DB4&gt;=DG$19,DB4&lt;&gt;"",CX4=""),AND(DE4&gt;=DG$19,DE4&lt;&gt;"",CX4=""),AND(EA4&gt;=EG$19,EA4&lt;&gt;""),AND(EE4&gt;=EG$19,EE4&lt;&gt;""),AND(EW4&gt;=FC$19,EW4&lt;&gt;""),AND(FA4&gt;=FC$19,FA4&lt;&gt;""),AND(FS4&gt;=FY$19,FS4&lt;&gt;""),AND(FW4&gt;=FY$19,FW4&lt;&gt;""),AND(GO4&gt;=GU$19,GO4&lt;&gt;""),AND(GS4&gt;=GU$19,GS4&lt;&gt;""),AND(HK4&gt;=HQ$19,HK4&lt;&gt;""),AND(HO4&gt;=HQ$19,HO4&lt;&gt;""),AND(IG4&gt;=IM$19,IG4&lt;&gt;""),AND(IK4&gt;=IM$19,IK4&lt;&gt;""),AND(JC4&gt;=JI$19,JC4&lt;&gt;""),AND(JG4&gt;=JI$19,JG4&lt;&gt;""),AND(JY4&gt;=KE$19,JY4&lt;&gt;""),AND(KC4&gt;=KE$19,KC4&lt;&gt;""),AND(KU4&gt;=LA$19,KU4&lt;&gt;""),AND(KY4&gt;=LA$19,KY4&lt;&gt;""),AND(LQ4&gt;=LW$19,LQ4&lt;&gt;""),AND(LU4&gt;=LW$19,LU4&lt;&gt;""),AND(MM4&gt;=MS$19,MM4&lt;&gt;""),AND(MQ4&gt;=MS$19,MQ4&lt;&gt;""),AND(NI4&gt;=NO$19,NI4&lt;&gt;""),AND(NM4&gt;=NO$19,NM4&lt;&gt;"")),"Excellence",IF(OR(AND(AR4&gt;=AY$18,AR4&lt;&gt;"",AP4=""),AND(AT4&gt;=AY$18,AT4&lt;&gt;"",AP4=""),AND(AW4&gt;=AY$18,AW4&lt;&gt;"",AP4=""),AND(BV4&gt;=CC$18,BV4&lt;&gt;"",BT4=""),AND(BX4&gt;=CC$18,BX4&lt;&gt;"",BT4=""),AND(CA4&gt;=CC$18,CA4&lt;&gt;"",BT4=""),AND(CZ4&gt;=DG$18,CZ4&lt;&gt;"",CX4=""),AND(DB4&gt;=DG$18,DB4&lt;&gt;"",CX4=""),AND(DE4&gt;=DG$18,DE4&lt;&gt;"",CX4=""),AND(EA4&gt;=EG$18,EA4&lt;&gt;""),AND(EE4&gt;=EG$18,EE4&lt;&gt;""),AND(EW4&gt;=FC$18,EW4&lt;&gt;""),AND(FA4&gt;=FC$18,FA4&lt;&gt;""),AND(FS4&gt;=FY$18,FS4&lt;&gt;""),AND(FW4&gt;=FY$18,FW4&lt;&gt;""),AND(GO4&gt;=GU$18,GO4&lt;&gt;""),AND(GS4&gt;=GU$18,GS4&lt;&gt;""),AND(HK4&gt;=HQ$18,HK4&lt;&gt;""),AND(HO4&gt;=HQ$18,HO4&lt;&gt;""),AND(IG4&gt;=IM$18,IG4&lt;&gt;""),AND(IK4&gt;=IM$18,IK4&lt;&gt;""),AND(JC4&gt;=JI$18,JC4&lt;&gt;""),AND(JG4&gt;=JI$18,JG4&lt;&gt;""),AND(JY4&gt;=KE$18,JY4&lt;&gt;""),AND(KC4&gt;=KE$18,KC4&lt;&gt;""),AND(KU4&gt;=LA$18,KU4&lt;&gt;""),AND(KY4&gt;=LA$18,KY4&lt;&gt;""),AND(LQ4&gt;=LW$18,LQ4&lt;&gt;""),AND(LU4&gt;=LW$18,LU4&lt;&gt;""),AND(MM4&gt;=MS$18,MM4&lt;&gt;""),AND(MQ4&gt;=MS$18,MQ4&lt;&gt;""),AND(NI4&gt;=NO$18,NI4&lt;&gt;""),AND(NM4&gt;=NO$18,NM4&lt;&gt;"")),"Worlds Team",IF(OR(AND(AR4&gt;=AY$17,AR4&lt;&gt;"",AP4=""),AND(AT4&gt;=AY$17,AT4&lt;&gt;"",AP4=""),AND(AW4&gt;=AY$17,AW4&lt;&gt;"",AP4=""),AND(BV4&gt;=CC$17,BV4&lt;&gt;"",BT4=""),AND(BX4&gt;=CC$17,BX4&lt;&gt;"",BT4=""),AND(CA4&gt;=CC$17,CA4&lt;&gt;"",BT4=""),AND(CZ4&gt;=DG$17,CZ4&lt;&gt;"",CX4=""),AND(DB4&gt;=DG$17,DB4&lt;&gt;"",CX4=""),AND(DE4&gt;=DG$17,DE4&lt;&gt;"",CX4=""),AND(EA4&gt;=EG$17,EA4&lt;&gt;""),AND(EE4&gt;=EG$17,EE4&lt;&gt;""),AND(EW4&gt;=FC$17,EW4&lt;&gt;""),AND(FA4&gt;=FC$17,FA4&lt;&gt;""),AND(FS4&gt;=FY$17,FS4&lt;&gt;""),AND(FW4&gt;=FY$17,FW4&lt;&gt;""),AND(GO4&gt;=GU$17,GO4&lt;&gt;""),AND(GS4&gt;=GU$17,GS4&lt;&gt;""),AND(HK4&gt;=HQ$17,HK4&lt;&gt;""),AND(HO4&gt;=HQ$17,HO4&lt;&gt;""),AND(IG4&gt;=IM$17,IG4&lt;&gt;""),AND(IK4&gt;=IM$17,IK4&lt;&gt;""),AND(JC4&gt;=JI$17,JC4&lt;&gt;""),AND(JG4&gt;=JI$17,JG4&lt;&gt;""),AND(JY4&gt;=KE$17,JY4&lt;&gt;""),AND(KC4&gt;=KE$17,KC4&lt;&gt;""),AND(KU4&gt;=LA$17,KU4&lt;&gt;""),AND(KY4&gt;=LA$17,KY4&lt;&gt;""),AND(LQ4&gt;=LW$17,LQ4&lt;&gt;""),AND(LU4&gt;=LW$17,LU4&lt;&gt;""),AND(MM4&gt;=MS$17,MM4&lt;&gt;""),AND(MQ4&gt;=MS$17,MQ4&lt;&gt;""),AND(NI4&gt;=NO$17,NI4&lt;&gt;""),AND(NM4&gt;=NO$17,NM4&lt;&gt;"")),"National Team",""))))</f>
        <v>Merit</v>
      </c>
      <c r="H4" s="125" t="str">
        <f>IF(OR(AND(AS4&gt;=AY$24,AS4&lt;&gt;"",AP4=""),AND(AU4&gt;=AY$24,AU4&lt;&gt;"",AP4=""),AND(AX4&gt;=AY$24,AX4&lt;&gt;"",AP4=""),AND(BW4&gt;=CC$24,BW4&lt;&gt;"",BT4=""),AND(BY4&gt;=CC$24,BY4&lt;&gt;"",BT4=""),AND(CB4&gt;=CC$24,CB4&lt;&gt;"",BT4=""),AND(DA4&gt;=DG$24,DA4&lt;&gt;"",CX4=""),AND(DC4&gt;=DG$24,DC4&lt;&gt;"",CX4=""),AND(DF4&gt;=DG$24,DF4&lt;&gt;"",CX4=""),AND(EC4&gt;=EG$24,EC4&lt;&gt;""),AND(EF4&gt;=EG$24,EF4&lt;&gt;""),AND(EY4&gt;=FC$24,EY4&lt;&gt;""),AND(FB4&gt;=FC$24,FB4&lt;&gt;""),AND(FU4&gt;=FY$24,FU4&lt;&gt;""),AND(FX4&gt;=FY$24,FX4&lt;&gt;""),AND(GQ4&gt;=GU$24,GQ4&lt;&gt;""),AND(GT4&gt;=GU$24,GT4&lt;&gt;""),AND(HM4&gt;=HQ$24,HM4&lt;&gt;""),AND(HP4&gt;=HQ$24,HP4&lt;&gt;""),AND(II4&gt;=IM$24,II4&lt;&gt;""),AND(IL4&gt;=IM$24,IL4&lt;&gt;""),AND(JE4&gt;=JI$24,JE4&lt;&gt;""),AND(JH4&gt;=JI$24,JH4&lt;&gt;""),AND(KA4&gt;=KE$24,KA4&lt;&gt;""),AND(KD4&gt;=KE$24,KD4&lt;&gt;""),AND(KW4&gt;=LA$24,KW4&lt;&gt;""),AND(KZ4&gt;=LA$24,KZ4&lt;&gt;""),AND(LS4&gt;=LW$24,LS4&lt;&gt;""),AND(LV4&gt;=LW$24,LV4&lt;&gt;""),AND(MO4&gt;=MS$24,MO4&lt;&gt;""),AND(MR4&gt;=MS$24,MR4&lt;&gt;""),AND(NK4&gt;=NO$24,NK4&lt;&gt;""),AND(NN4&gt;=NO$24,NN4&lt;&gt;"")),"Merit",IF(OR(AND(AS4&gt;=AY$23,AS4&lt;&gt;"",AP4=""),AND(AU4&gt;=AY$23,AU4&lt;&gt;"",AP4=""),AND(AX4&gt;=AY$23,AX4&lt;&gt;"",AP4=""),AND(BW4&gt;=CC$23,BW4&lt;&gt;"",BT4=""),AND(BY4&gt;=CC$23,BY4&lt;&gt;"",BT4=""),AND(CB4&gt;=CC$23,CB4&lt;&gt;"",BT4=""),AND(DA4&gt;=DG$23,DA4&lt;&gt;"",CX4=""),AND(DC4&gt;=DG$23,DC4&lt;&gt;"",CX4=""),AND(DF4&gt;=DG$23,DF4&lt;&gt;"",CX4=""),AND(EC4&gt;=EG$23,EC4&lt;&gt;""),AND(EF4&gt;=EG$23,EF4&lt;&gt;""),AND(EY4&gt;=FC$23,EY4&lt;&gt;""),AND(FB4&gt;=FC$23,FB4&lt;&gt;""),AND(FU4&gt;=FY$23,FU4&lt;&gt;""),AND(FX4&gt;=FY$23,FX4&lt;&gt;""),AND(GQ4&gt;=GU$23,GQ4&lt;&gt;""),AND(GT4&gt;=GU$23,GT4&lt;&gt;""),AND(HM4&gt;=HQ$23,HM4&lt;&gt;""),AND(HP4&gt;=HQ$23,HP4&lt;&gt;""),AND(II4&gt;=IM$23,II4&lt;&gt;""),AND(IL4&gt;=IM$23,IL4&lt;&gt;""),AND(JE4&gt;=JI$23,JE4&lt;&gt;""),AND(JH4&gt;=JI$23,JH4&lt;&gt;""),AND(KA4&gt;=KE$23,KA4&lt;&gt;""),AND(KD4&gt;=KE$23,KD4&lt;&gt;""),AND(KW4&gt;=LA$23,KW4&lt;&gt;""),AND(KZ4&gt;=LA$23,KZ4&lt;&gt;""),AND(LS4&gt;=LW$23,LS4&lt;&gt;""),AND(LV4&gt;=LW$23,LV4&lt;&gt;""),AND(MO4&gt;=MS$23,MO4&lt;&gt;""),AND(MR4&gt;=MS$23,MR4&lt;&gt;""),AND(NK4&gt;=NO$23,NK4&lt;&gt;""),AND(NN4&gt;=NO$23,NN4&lt;&gt;"")),"Excellence",IF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"Worlds Team",IF(OR(AND(AV4&gt;=AY$21,AV4&lt;&gt;"",AP4=""),AND(BZ4&gt;=CC$21,BZ4&lt;&gt;"",BT4=""),AND(DD4&gt;=DG$21,DD4&lt;&gt;"",CX4=""),AND(ED4&gt;=EG$21,ED4&lt;&gt;""),AND(EZ4&gt;=FC$21,EZ4&lt;&gt;""),AND(FV4&gt;=FY$21,FV4&lt;&gt;""),AND(GR4&gt;=GU$21,GR4&lt;&gt;""),AND(HN4&gt;=HQ$21,HN4&lt;&gt;""),AND(IJ4&gt;=IM$21,IJ4&lt;&gt;""),AND(JF4&gt;=JI$21,JF4&lt;&gt;""),AND(KB4&gt;=KE$21,KB4&lt;&gt;""),AND(KX4&gt;=LA$21,KX4&lt;&gt;""),AND(LT4&gt;=LW$21,LT4&lt;&gt;""),AND(MP4&gt;=MS$21,MP4&lt;&gt;""),AND(NL4&gt;=NO$21,NL4&lt;&gt;"")),"National Team",""))))</f>
        <v>Merit</v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>Merit</v>
      </c>
      <c r="J4" s="3" t="str">
        <f>IF(AND(OR(AND(AV4&gt;=AY$22,AV4&lt;&gt;"",AP4=""),AND(BZ4&gt;=CC$22,BZ4&lt;&gt;"",BT4=""),AND(DD4&gt;=DG$22,DD4&lt;&gt;"",CX4=""),AND(ED4&gt;=EG$22,ED4&lt;&gt;""),AND(EZ4&gt;=FC$22,EZ4&lt;&gt;""),AND(FV4&gt;=FY$22,FV4&lt;&gt;""),AND(GR4&gt;=GU$22,GR4&lt;&gt;""),AND(HN4&gt;=HQ$22,HN4&lt;&gt;""),AND(IJ4&gt;=IM$22,IJ4&lt;&gt;""),AND(JF4&gt;=JI$22,JF4&lt;&gt;""),AND(KB4&gt;=KE$22,KB4&lt;&gt;""),AND(KX4&gt;=LA$22,KX4&lt;&gt;""),AND(LT4&gt;=LW$22,LT4&lt;&gt;""),AND(MP4&gt;=MS$22,MP4&lt;&gt;""),AND(NL4&gt;=NO$22,NL4&lt;&gt;"")),OR(G4="Worlds Team",G4="Excellence",G4="Merit")),"P","")</f>
        <v>P</v>
      </c>
      <c r="K4" s="14">
        <f>IF(MAX(AV4,BZ4,DD4)&gt;0,MAX(AV4,BZ4,DD4),0)</f>
        <v>106.65</v>
      </c>
      <c r="L4" s="14" t="str">
        <f>IF(K4=0,"",IF(K4=DD4,$CD$1,IF(K4=BZ4,$AZ$1,IF(K4=AV4,$V$1,""))))</f>
        <v>2021 2nd Virtual Technical Trial</v>
      </c>
      <c r="M4" s="14">
        <f>IF($K4=$AV4,MAX(BU4,CY4),IF($K4=$BZ4,MAX(AQ4,CY4),IF($K4=$DD4,MAX(AQ4,BU4),MAX(AQ4,BU4,CY4))))</f>
        <v>48.795000000000002</v>
      </c>
      <c r="N4" s="14" t="str">
        <f>IF(M4=0,"",IF(AND(M4=CY4,$L4&lt;&gt;$CD$1),$CD$1,IF(AND(M4=BU4,$L4&lt;&gt;$AZ$1),$AZ$1,IF(AND(M4=AQ4,$L4&lt;&gt;$V$1),$V$1,""))))</f>
        <v>2021 Elite Canada</v>
      </c>
      <c r="O4" s="14">
        <f>IF(K4-N(AQ4)=AS4,MAX(AU4,BW4,BY4,DA4,DC4),IF(K4-N(AQ4)=AU4,MAX(AS4,BW4,BY4,DA4,DC4),IF(K4-N(BU4)=BW4,MAX(AS4,AU4,BY4,DA4,DC4),IF(K4-N(BU4)=BY4,MAX(AS4,AU4,BW4,DA4,DC4),IF(K4-N(CY4)=DA4,MAX(AS4,AU4,BW4,BY4,DC4),IF(K4-N(CY4)=DC4,MAX(AS4,AU4,BW4,BY4,DA4),MAX(AS4,AU4,BW4,BY4,DA4,DC4)))))))</f>
        <v>55.84</v>
      </c>
      <c r="P4" s="14" t="str">
        <f>IF(O4=0,"",IF(OR(O4=DC4,O4=DA4),$CD$1,IF(OR(O4=BY4,O4=BW4),$AZ$1,IF(OR(O4=AU4,O4=AS4),$V$1,""))))</f>
        <v>2021 2nd Virtual Technical Trial</v>
      </c>
      <c r="Q4" s="14">
        <f>MAX(AX4,CB4,DF4)</f>
        <v>54.994999999999997</v>
      </c>
      <c r="R4" s="14" t="str">
        <f>IF(Q4=0,"",IF(Q4=DF4,$CD$1,IF(Q4=CB4,$AZ$1,IF(Q4=AX4,$V$1,""))))</f>
        <v>2021 Elite Canada</v>
      </c>
      <c r="S4" s="14">
        <f>IF(MAX(DH4,DI4,DJ4,DK4)&gt;0,MAX(DH4,DI4,DJ4,DK4),"")</f>
        <v>0.46499999999999631</v>
      </c>
      <c r="T4" s="25" t="str">
        <f>IF(S4="","",IF(S4=DH4,"(Vol 1)",IF(S4=DI4,"(Vol 2)",IF(S4=DJ4,"(Prelim)",IF(S4=DK4,"(Final)")))))</f>
        <v>(Final)</v>
      </c>
      <c r="U4" s="14" t="str">
        <f>IF(S4="","",IF(S4=DH4,IF(S4+IF(M4="",0,M4)=NJ4,$MT$1,IF(S4+IF(M4="",0,M4)=MN4,$LX$1,IF(S4+IF(M4="",0,M4)=LR4,$LB$1,IF(S4+IF(M4="",0,M4)=KV4,$KF$1,IF(S4+IF(M4="",0,M4)=JZ4,$JJ$1,IF(S4+IF(M4="",0,M4)=JD4,$IN$1,IF(S4+IF(M4="",0,M4)=IH4,$HR$1,IF(S4+IF(M4="",0,M4)=HL4,$GV$1,IF(S4+IF(M4="",0,M4)=GP4,$FZ$1,IF(S4+IF(M4="",0,M4)=FT4,$FD$1,IF(S4+IF(M4="",0,M4)=EX4,$EH$1,IF(S4+IF(M4="",0,M4)=EB4,$DL$1)))))))))))),IF(S4=DI4,IF(S4+IF(O4="",0,O4)=NK4,$MT$1,IF(S4+IF(O4="",0,O4)=MO4,$LX$1,IF(S4+IF(O4="",0,O4)=LS4,$LB$1,IF(S4+IF(O4="",0,O4)=KW4,$KF$1,IF(S4+IF(O4="",0,O4)=KA4,$JJ$1,IF(S4+IF(O4="",0,O4)=JE4,$IN$1,IF(S4+IF(O4="",0,O4)=II4,$HR$1,IF(S4+IF(O4="",0,O4)=HM4,$GV$1,IF(S4+IF(O4="",0,O4)=GQ4,$FZ$1,IF(S4+IF(O4="",0,O4)=FU4,$FD$1,IF(S4+IF(O4="",0,O4)=EY4,$EH$1,IF(S4+IF(O4="",0,O4)=EC4,$DL$1)))))))))))),IF(S4=DJ4,IF(S4+IF(K4="",0,K4)=NL4,$MT$1,IF(S4+IF(K4="",0,K4)=MP4,$LX$1,IF(S4+IF(K4="",0,K4)=LT4,$LB$1,IF(S4+IF(K4="",0,K4)=KX4,$KF$1,IF(S4+IF(K4="",0,K4)=KB4,$JJ$1,IF(S4+IF(K4="",0,K4)=JF4,$IN$1,IF(S4+IF(K4="",0,K4)=IJ4,$HR$1,IF(S4+IF(K4="",0,K4)=HN4,$GV$1,IF(S4+IF(K4="",0,K4)=GR4,$FZ$1,IF(S4+IF(K4="",0,K4)=FV4,$FD$1,IF(S4+IF(K4="",0,K4)=EZ4,$EH$1,IF(S4+IF(K4="",0,K4)=ED4,$DL$1)))))))))))),IF(S4=DK4,IF(S4+IF(Q4="",0,Q4)=NN4,$MT$1,IF(S4+IF(Q4="",0,Q4)=MR4,$LX$1,IF(S4+IF(Q4="",0,Q4)=LV4,$LB$1,IF(S4+IF(Q4="",0,Q4)=KZ4,$KF$1,IF(S4+IF(Q4="",0,Q4)=KD4,$JJ$1,IF(S4+IF(Q4="",0,Q4)=JH4,$IN$1,IF(S4+IF(Q4="",0,Q4)=IL4,$HR$1,IF(S4+IF(Q4="",0,Q4)=HP4,$GV$1,IF(S4+IF(Q4="",0,Q4)=GT4,$FZ$1,IF(S4+IF(Q4="",0,Q4)=FX4,$FD$1,IF(S4+IF(Q4="",0,Q4)=FB4,$EH$1,IF(S4+IF(Q4="",0,Q4)=EF4,$DL$1)))))))))))))))))</f>
        <v>2020 Olympic Games (July 30, 2021)</v>
      </c>
      <c r="V4" s="69">
        <v>18.5</v>
      </c>
      <c r="W4" s="69">
        <v>9.8000000000000007</v>
      </c>
      <c r="X4" s="69">
        <v>4.8</v>
      </c>
      <c r="Y4" s="69">
        <v>16.895</v>
      </c>
      <c r="Z4" s="69">
        <v>0</v>
      </c>
      <c r="AA4" s="69">
        <v>15.6</v>
      </c>
      <c r="AB4" s="69">
        <v>9.5</v>
      </c>
      <c r="AC4" s="69">
        <v>14.9</v>
      </c>
      <c r="AD4" s="69">
        <v>15.84</v>
      </c>
      <c r="AE4" s="69">
        <v>0</v>
      </c>
      <c r="AF4" s="69">
        <v>16.399999999999999</v>
      </c>
      <c r="AG4" s="69">
        <v>9.6</v>
      </c>
      <c r="AH4" s="69">
        <v>14.9</v>
      </c>
      <c r="AI4" s="69">
        <v>15.755000000000001</v>
      </c>
      <c r="AJ4" s="69">
        <v>0</v>
      </c>
      <c r="AK4" s="69">
        <v>16.100000000000001</v>
      </c>
      <c r="AL4" s="69">
        <v>9.4</v>
      </c>
      <c r="AM4" s="69">
        <v>13.8</v>
      </c>
      <c r="AN4" s="69">
        <v>15.545</v>
      </c>
      <c r="AO4" s="69">
        <v>0</v>
      </c>
      <c r="AP4" s="80"/>
      <c r="AQ4" s="11">
        <f>IF(SUM(V4:Y4)-Z4&gt;0,SUM(V4:Y4)-Z4,"")</f>
        <v>49.995000000000005</v>
      </c>
      <c r="AR4" s="11">
        <f>IF(AC4&gt;0,AC4,"")</f>
        <v>14.9</v>
      </c>
      <c r="AS4" s="11">
        <f>IF(SUM(AA4:AD4)-AE4&gt;0,SUM(AA4:AD4)-AE4,"")</f>
        <v>55.84</v>
      </c>
      <c r="AT4" s="11">
        <f>IF(AH4&gt;0,AH4,"")</f>
        <v>14.9</v>
      </c>
      <c r="AU4" s="11">
        <f>IF(SUM(AF4:AI4)-AJ4&gt;0,SUM(AF4:AI4)-AJ4,"")</f>
        <v>56.655000000000001</v>
      </c>
      <c r="AV4" s="11">
        <f>IF(AQ4="",IF(MAX(AS4,AU4)&gt;0,MAX(AS4,AU4),""),MAX(AS4,AU4)+AQ4)</f>
        <v>106.65</v>
      </c>
      <c r="AW4" s="11">
        <f>IF(AM4&gt;0,AM4,"")</f>
        <v>13.8</v>
      </c>
      <c r="AX4" s="11">
        <f>IF(SUM(AK4:AN4)-AO4&gt;0,SUM(AK4:AN4)-AO4,"")</f>
        <v>54.844999999999999</v>
      </c>
      <c r="AY4" s="11">
        <f>IF(SUM(AV4,AX4)&gt;0,SUM(AV4,AX4),"")</f>
        <v>161.495</v>
      </c>
      <c r="AZ4" s="75">
        <v>18.100000000000001</v>
      </c>
      <c r="BA4" s="75">
        <v>9.3000000000000007</v>
      </c>
      <c r="BB4" s="75">
        <v>4.7</v>
      </c>
      <c r="BC4" s="75">
        <v>16.695</v>
      </c>
      <c r="BD4" s="75">
        <v>0</v>
      </c>
      <c r="BE4" s="75">
        <v>15.5</v>
      </c>
      <c r="BF4" s="75">
        <v>8.3000000000000007</v>
      </c>
      <c r="BG4" s="75">
        <v>11.8</v>
      </c>
      <c r="BH4" s="75">
        <v>16.395</v>
      </c>
      <c r="BI4" s="75">
        <v>0</v>
      </c>
      <c r="BJ4" s="75">
        <v>15.9</v>
      </c>
      <c r="BK4" s="75">
        <v>9.1999999999999993</v>
      </c>
      <c r="BL4" s="75">
        <v>13.3</v>
      </c>
      <c r="BM4" s="75">
        <v>15.93</v>
      </c>
      <c r="BN4" s="75">
        <v>0</v>
      </c>
      <c r="BO4" s="75">
        <v>16.5</v>
      </c>
      <c r="BP4" s="75">
        <v>9.3000000000000007</v>
      </c>
      <c r="BQ4" s="75">
        <v>13.6</v>
      </c>
      <c r="BR4" s="75">
        <v>15.595000000000001</v>
      </c>
      <c r="BS4" s="75">
        <v>0</v>
      </c>
      <c r="BT4" s="81"/>
      <c r="BU4" s="14">
        <f>IF(SUM(AZ4:BC4)-BD4&gt;0,SUM(AZ4:BC4)-BD4,"")</f>
        <v>48.795000000000002</v>
      </c>
      <c r="BV4" s="14">
        <f>IF(BG4&gt;0,BG4,"")</f>
        <v>11.8</v>
      </c>
      <c r="BW4" s="14">
        <f>IF(SUM(BE4:BH4)-BI4&gt;0,SUM(BE4:BH4)-BI4,"")</f>
        <v>51.995000000000005</v>
      </c>
      <c r="BX4" s="14">
        <f>IF(BL4&gt;0,BL4,"")</f>
        <v>13.3</v>
      </c>
      <c r="BY4" s="14">
        <f>IF(SUM(BJ4:BM4)-BN4&gt;0,SUM(BJ4:BM4)-BN4,"")</f>
        <v>54.330000000000005</v>
      </c>
      <c r="BZ4" s="14">
        <f>IF(BU4="",IF(MAX(BW4,BY4)&gt;0,MAX(BW4,BY4),""),MAX(BW4,BY4)+BU4)</f>
        <v>103.125</v>
      </c>
      <c r="CA4" s="14">
        <f>IF(BQ4&gt;0,BQ4,"")</f>
        <v>13.6</v>
      </c>
      <c r="CB4" s="14">
        <f>IF(SUM(BO4:BR4)-BS4&gt;0,SUM(BO4:BR4)-BS4,"")</f>
        <v>54.994999999999997</v>
      </c>
      <c r="CC4" s="14">
        <f>IF(SUM(BZ4,CB4)&gt;0,SUM(BZ4,CB4),"")</f>
        <v>158.12</v>
      </c>
      <c r="CD4" s="69"/>
      <c r="CE4" s="69"/>
      <c r="CF4" s="69"/>
      <c r="CG4" s="69"/>
      <c r="CH4" s="69"/>
      <c r="CI4" s="69"/>
      <c r="CJ4" s="69"/>
      <c r="CK4" s="69"/>
      <c r="CL4" s="69"/>
      <c r="CM4" s="69"/>
      <c r="CN4" s="69"/>
      <c r="CO4" s="69"/>
      <c r="CP4" s="69"/>
      <c r="CQ4" s="69"/>
      <c r="CR4" s="69"/>
      <c r="CS4" s="69"/>
      <c r="CT4" s="69"/>
      <c r="CU4" s="69"/>
      <c r="CV4" s="69"/>
      <c r="CW4" s="69"/>
      <c r="CX4" s="80"/>
      <c r="CY4" s="11" t="str">
        <f>IF(SUM(CD4:CG4)-CH4&gt;0,SUM(CD4:CG4)-CH4,"")</f>
        <v/>
      </c>
      <c r="CZ4" s="11" t="str">
        <f>IF(CK4&gt;0,CK4,"")</f>
        <v/>
      </c>
      <c r="DA4" s="11" t="str">
        <f>IF(SUM(CI4:CL4)-CM4&gt;0,SUM(CI4:CL4)-CM4,"")</f>
        <v/>
      </c>
      <c r="DB4" s="11" t="str">
        <f>IF(CP4&gt;0,CP4,"")</f>
        <v/>
      </c>
      <c r="DC4" s="11" t="str">
        <f>IF(SUM(CN4:CQ4)-CR4&gt;0,SUM(CN4:CQ4)-CR4,"")</f>
        <v/>
      </c>
      <c r="DD4" s="11" t="str">
        <f>IF(CY4="",IF(MAX(DA4,DC4)&gt;0,MAX(DA4,DC4),""),MAX(DA4,DC4)+CY4)</f>
        <v/>
      </c>
      <c r="DE4" s="11" t="str">
        <f>IF(CU4&gt;0,CU4,"")</f>
        <v/>
      </c>
      <c r="DF4" s="11" t="str">
        <f>IF(SUM(CS4:CV4)-CW4&gt;0,SUM(CS4:CV4)-CW4,"")</f>
        <v/>
      </c>
      <c r="DG4" s="11" t="str">
        <f>IF(SUM(DD4,DF4)&gt;0,SUM(DD4,DF4),"")</f>
        <v/>
      </c>
      <c r="DH4" s="24">
        <f>IF(MAX(EB4,EX4,FT4,GP4,HL4,IH4,JD4,JZ4,KV4,LR4,MN4,NJ4)-IF(M4="",0,M4)&gt;0.001,MAX(EB4,EX4,FT4,GP4,HL4,IH4,JD4,JZ4,KV4,LR4,MN4,NJ4)-IF(M4="",0,M4),"")</f>
        <v>4.49999999999946E-2</v>
      </c>
      <c r="DI4" s="24" t="str">
        <f>IF(MAX(EC4,EY4,FU4,GQ4,HM4,II4,JE4,KA4,KW4,LS4,MO4,NK4)-IF(O4="",0,O4)&gt;0.001,MAX(EC4,EY4,FU4,GQ4,HM4,II4,JE4,KA4,KW4,LS4,MO4,NK4)-IF(O4="",0,O4),"")</f>
        <v/>
      </c>
      <c r="DJ4" s="24" t="str">
        <f>IF(MAX(ED4,EZ4,FV4,GR4,HN4,IJ4,JF4,KB4,KX4,LT4,MP4,NL4)-IF(K4="",0,K4)&gt;0.001,MAX(ED4,EZ4,FV4,GR4,HN4,IJ4,JF4,KB4,KX4,LT4,MP4,NL4)-IF(K4="",0,K4),"")</f>
        <v/>
      </c>
      <c r="DK4" s="24">
        <f>IF(MAX(EF4,FB4,FX4,GT4,HP4,IL4,JH4,KD4,KZ4,LV4,MR4,NN4)-IF(Q4="",0,Q4)&gt;0.001,MAX(EF4,FB4,FX4,GT4,HP4,IL4,JH4,KD4,KZ4,LV4,MR4,NN4)-IF(Q4="",0,Q4),"")</f>
        <v>0.46499999999999631</v>
      </c>
      <c r="DL4" s="37"/>
      <c r="DM4" s="37"/>
      <c r="DN4" s="37"/>
      <c r="DO4" s="37"/>
      <c r="DP4" s="37"/>
      <c r="DQ4" s="37"/>
      <c r="DR4" s="37"/>
      <c r="DS4" s="37"/>
      <c r="DT4" s="37"/>
      <c r="DU4" s="37"/>
      <c r="DV4" s="37"/>
      <c r="DW4" s="37"/>
      <c r="DX4" s="37"/>
      <c r="DY4" s="37"/>
      <c r="DZ4" s="37"/>
      <c r="EA4" s="11" t="str">
        <f>IF(DS4&gt;0,DS4,"")</f>
        <v/>
      </c>
      <c r="EB4" s="11" t="str">
        <f>IF(SUM(DL4:DO4)-DP4&gt;0,SUM(DL4:DO4)-DP4,"")</f>
        <v/>
      </c>
      <c r="EC4" s="11" t="str">
        <f>IF(SUM(DQ4:DT4)-DU4&gt;0,SUM(DQ4:DT4)-DU4,"")</f>
        <v/>
      </c>
      <c r="ED4" s="11" t="str">
        <f>IF(SUM(EB4:EC4)&gt;0,SUM(EB4:EC4),"")</f>
        <v/>
      </c>
      <c r="EE4" s="11" t="str">
        <f>IF(DX4&gt;0,DX4,"")</f>
        <v/>
      </c>
      <c r="EF4" s="11" t="str">
        <f>IF(SUM(DV4:DY4)-DZ4&gt;0,SUM(DV4:DY4)-DZ4,"")</f>
        <v/>
      </c>
      <c r="EG4" s="11" t="str">
        <f>IF(SUM(ED4,EF4)&gt;0,SUM(ED4,EF4),"")</f>
        <v/>
      </c>
      <c r="EH4" s="38">
        <v>18.100000000000001</v>
      </c>
      <c r="EI4" s="38">
        <v>9.4</v>
      </c>
      <c r="EJ4" s="38">
        <v>4.8</v>
      </c>
      <c r="EK4" s="38">
        <v>16.54</v>
      </c>
      <c r="EL4" s="38">
        <v>0</v>
      </c>
      <c r="EM4" s="38">
        <v>15.5</v>
      </c>
      <c r="EN4" s="38">
        <v>9.5</v>
      </c>
      <c r="EO4" s="38">
        <v>14.9</v>
      </c>
      <c r="EP4" s="38">
        <v>15.695</v>
      </c>
      <c r="EQ4" s="38">
        <v>0</v>
      </c>
      <c r="ER4" s="38">
        <v>15.6</v>
      </c>
      <c r="ES4" s="38">
        <v>9.1999999999999993</v>
      </c>
      <c r="ET4" s="38">
        <v>14.9</v>
      </c>
      <c r="EU4" s="38">
        <v>15.76</v>
      </c>
      <c r="EV4" s="38">
        <v>0</v>
      </c>
      <c r="EW4" s="14">
        <f>IF(EO4&gt;0,EO4,"")</f>
        <v>14.9</v>
      </c>
      <c r="EX4" s="14">
        <f>IF(SUM(EH4:EK4)-EL4&gt;0,SUM(EH4:EK4)-EL4,"")</f>
        <v>48.839999999999996</v>
      </c>
      <c r="EY4" s="14">
        <f>IF(SUM(EM4:EP4)-EQ4&gt;0,SUM(EM4:EP4)-EQ4,"")</f>
        <v>55.594999999999999</v>
      </c>
      <c r="EZ4" s="14">
        <f>IF(SUM(EX4:EY4)&gt;0,SUM(EX4:EY4),"")</f>
        <v>104.435</v>
      </c>
      <c r="FA4" s="14">
        <f>IF(ET4&gt;0,ET4,"")</f>
        <v>14.9</v>
      </c>
      <c r="FB4" s="14">
        <f>IF(SUM(ER4:EU4)-EV4&gt;0,SUM(ER4:EU4)-EV4,"")</f>
        <v>55.459999999999994</v>
      </c>
      <c r="FC4" s="14">
        <f>IF(SUM(EZ4,FB4)&gt;0,SUM(EZ4,FB4),"")</f>
        <v>159.89499999999998</v>
      </c>
      <c r="FD4" s="37"/>
      <c r="FE4" s="37"/>
      <c r="FF4" s="37"/>
      <c r="FG4" s="37"/>
      <c r="FH4" s="37"/>
      <c r="FI4" s="37"/>
      <c r="FJ4" s="37"/>
      <c r="FK4" s="37"/>
      <c r="FL4" s="37"/>
      <c r="FM4" s="37"/>
      <c r="FN4" s="37"/>
      <c r="FO4" s="37"/>
      <c r="FP4" s="37"/>
      <c r="FQ4" s="37"/>
      <c r="FR4" s="37"/>
      <c r="FS4" s="11" t="str">
        <f>IF(FK4&gt;0,FK4,"")</f>
        <v/>
      </c>
      <c r="FT4" s="11" t="str">
        <f>IF(SUM(FD4:FG4)-FH4&gt;0,SUM(FD4:FG4)-FH4,"")</f>
        <v/>
      </c>
      <c r="FU4" s="11" t="str">
        <f>IF(SUM(FI4:FL4)-FM4&gt;0,SUM(FI4:FL4)-FM4,"")</f>
        <v/>
      </c>
      <c r="FV4" s="11" t="str">
        <f>IF(SUM(FT4:FU4)&gt;0,SUM(FT4:FU4),"")</f>
        <v/>
      </c>
      <c r="FW4" s="11" t="str">
        <f>IF(FP4&gt;0,FP4,"")</f>
        <v/>
      </c>
      <c r="FX4" s="11" t="str">
        <f>IF(SUM(FN4:FQ4)-FR4&gt;0,SUM(FN4:FQ4)-FR4,"")</f>
        <v/>
      </c>
      <c r="FY4" s="11" t="str">
        <f>IF(SUM(FV4,FX4)&gt;0,SUM(FV4,FX4),"")</f>
        <v/>
      </c>
      <c r="FZ4" s="38"/>
      <c r="GA4" s="38"/>
      <c r="GB4" s="38"/>
      <c r="GC4" s="38"/>
      <c r="GD4" s="38"/>
      <c r="GE4" s="38"/>
      <c r="GF4" s="38"/>
      <c r="GG4" s="38"/>
      <c r="GH4" s="38"/>
      <c r="GI4" s="38"/>
      <c r="GJ4" s="38"/>
      <c r="GK4" s="38"/>
      <c r="GL4" s="38"/>
      <c r="GM4" s="38"/>
      <c r="GN4" s="38"/>
      <c r="GO4" s="14" t="str">
        <f>IF(GG4&gt;0,GG4,"")</f>
        <v/>
      </c>
      <c r="GP4" s="14" t="str">
        <f>IF(SUM(FZ4:GC4)-GD4&gt;0,SUM(FZ4:GC4)-GD4,"")</f>
        <v/>
      </c>
      <c r="GQ4" s="14" t="str">
        <f>IF(SUM(GE4:GH4)-GI4&gt;0,SUM(GE4:GH4)-GI4,"")</f>
        <v/>
      </c>
      <c r="GR4" s="14" t="str">
        <f>IF(SUM(GP4:GQ4)&gt;0,SUM(GP4:GQ4),"")</f>
        <v/>
      </c>
      <c r="GS4" s="14" t="str">
        <f>IF(GL4&gt;0,GL4,"")</f>
        <v/>
      </c>
      <c r="GT4" s="14" t="str">
        <f>IF(SUM(GJ4:GM4)-GN4&gt;0,SUM(GJ4:GM4)-GN4,"")</f>
        <v/>
      </c>
      <c r="GU4" s="14" t="str">
        <f>IF(SUM(GR4,GT4)&gt;0,SUM(GR4,GT4),"")</f>
        <v/>
      </c>
      <c r="GV4" s="37"/>
      <c r="GW4" s="37"/>
      <c r="GX4" s="37"/>
      <c r="GY4" s="37"/>
      <c r="GZ4" s="37"/>
      <c r="HA4" s="37"/>
      <c r="HB4" s="37"/>
      <c r="HC4" s="37"/>
      <c r="HD4" s="37"/>
      <c r="HE4" s="37"/>
      <c r="HF4" s="37"/>
      <c r="HG4" s="37"/>
      <c r="HH4" s="37"/>
      <c r="HI4" s="37"/>
      <c r="HJ4" s="37"/>
      <c r="HK4" s="11" t="str">
        <f>IF(HC4&gt;0,HC4,"")</f>
        <v/>
      </c>
      <c r="HL4" s="11" t="str">
        <f>IF(SUM(GV4:GY4)-GZ4&gt;0,SUM(GV4:GY4)-GZ4,"")</f>
        <v/>
      </c>
      <c r="HM4" s="11" t="str">
        <f>IF(SUM(HA4:HD4)-HE4&gt;0,SUM(HA4:HD4)-HE4,"")</f>
        <v/>
      </c>
      <c r="HN4" s="11" t="str">
        <f>IF(SUM(HL4:HM4)&gt;0,SUM(HL4:HM4),"")</f>
        <v/>
      </c>
      <c r="HO4" s="11" t="str">
        <f>IF(HH4&gt;0,HH4,"")</f>
        <v/>
      </c>
      <c r="HP4" s="11" t="str">
        <f>IF(SUM(HF4:HI4)-HJ4&gt;0,SUM(HF4:HI4)-HJ4,"")</f>
        <v/>
      </c>
      <c r="HQ4" s="11" t="str">
        <f>IF(SUM(HN4,HP4)&gt;0,SUM(HN4,HP4),"")</f>
        <v/>
      </c>
      <c r="HR4" s="38"/>
      <c r="HS4" s="38"/>
      <c r="HT4" s="38"/>
      <c r="HU4" s="38"/>
      <c r="HV4" s="38"/>
      <c r="HW4" s="38"/>
      <c r="HX4" s="38"/>
      <c r="HY4" s="38"/>
      <c r="HZ4" s="38"/>
      <c r="IA4" s="38"/>
      <c r="IB4" s="38"/>
      <c r="IC4" s="38"/>
      <c r="ID4" s="38"/>
      <c r="IE4" s="38"/>
      <c r="IF4" s="38"/>
      <c r="IG4" s="14" t="str">
        <f>IF(HY4&gt;0,HY4,"")</f>
        <v/>
      </c>
      <c r="IH4" s="14" t="str">
        <f>IF(SUM(HR4:HU4)-HV4&gt;0,SUM(HR4:HU4)-HV4,"")</f>
        <v/>
      </c>
      <c r="II4" s="14" t="str">
        <f>IF(SUM(HW4:HZ4)-IA4&gt;0,SUM(HW4:HZ4)-IA4,"")</f>
        <v/>
      </c>
      <c r="IJ4" s="14" t="str">
        <f>IF(SUM(IH4:II4)&gt;0,SUM(IH4:II4),"")</f>
        <v/>
      </c>
      <c r="IK4" s="14" t="str">
        <f>IF(ID4&gt;0,ID4,"")</f>
        <v/>
      </c>
      <c r="IL4" s="14" t="str">
        <f>IF(SUM(IB4:IE4)-IF4&gt;0,SUM(IB4:IE4)-IF4,"")</f>
        <v/>
      </c>
      <c r="IM4" s="14" t="str">
        <f>IF(SUM(IJ4,IL4)&gt;0,SUM(IJ4,IL4),"")</f>
        <v/>
      </c>
      <c r="IN4" s="37"/>
      <c r="IO4" s="37"/>
      <c r="IP4" s="37"/>
      <c r="IQ4" s="37"/>
      <c r="IR4" s="37"/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11" t="str">
        <f>IF(IU4&gt;0,IU4,"")</f>
        <v/>
      </c>
      <c r="JD4" s="11" t="str">
        <f>IF(SUM(IN4:IQ4)-IR4&gt;0,SUM(IN4:IQ4)-IR4,"")</f>
        <v/>
      </c>
      <c r="JE4" s="11" t="str">
        <f>IF(SUM(IS4:IV4)-IW4&gt;0,SUM(IS4:IV4)-IW4,"")</f>
        <v/>
      </c>
      <c r="JF4" s="11" t="str">
        <f>IF(SUM(JD4:JE4)&gt;0,SUM(JD4:JE4),"")</f>
        <v/>
      </c>
      <c r="JG4" s="11" t="str">
        <f>IF(IZ4&gt;0,IZ4,"")</f>
        <v/>
      </c>
      <c r="JH4" s="11" t="str">
        <f>IF(SUM(IX4:JA4)-JB4&gt;0,SUM(IX4:JA4)-JB4,"")</f>
        <v/>
      </c>
      <c r="JI4" s="11" t="str">
        <f>IF(SUM(JF4,JH4)&gt;0,SUM(JF4,JH4),"")</f>
        <v/>
      </c>
      <c r="JJ4" s="38"/>
      <c r="JK4" s="38"/>
      <c r="JL4" s="38"/>
      <c r="JM4" s="38"/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14" t="str">
        <f>IF(JQ4&gt;0,JQ4,"")</f>
        <v/>
      </c>
      <c r="JZ4" s="14" t="str">
        <f>IF(SUM(JJ4:JM4)-JN4&gt;0,SUM(JJ4:JM4)-JN4,"")</f>
        <v/>
      </c>
      <c r="KA4" s="14" t="str">
        <f>IF(SUM(JO4:JR4)-JS4&gt;0,SUM(JO4:JR4)-JS4,"")</f>
        <v/>
      </c>
      <c r="KB4" s="14" t="str">
        <f>IF(SUM(JZ4:KA4)&gt;0,SUM(JZ4:KA4),"")</f>
        <v/>
      </c>
      <c r="KC4" s="14" t="str">
        <f>IF(JV4&gt;0,JV4,"")</f>
        <v/>
      </c>
      <c r="KD4" s="14" t="str">
        <f>IF(SUM(JT4:JW4)-JX4&gt;0,SUM(JT4:JW4)-JX4,"")</f>
        <v/>
      </c>
      <c r="KE4" s="14" t="str">
        <f>IF(SUM(KB4,KD4)&gt;0,SUM(KB4,KD4),"")</f>
        <v/>
      </c>
      <c r="KF4" s="37"/>
      <c r="KG4" s="37"/>
      <c r="KH4" s="37"/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11" t="str">
        <f>IF(KM4&gt;0,KM4,"")</f>
        <v/>
      </c>
      <c r="KV4" s="11" t="str">
        <f>IF(SUM(KF4:KI4)-KJ4&gt;0,SUM(KF4:KI4)-KJ4,"")</f>
        <v/>
      </c>
      <c r="KW4" s="11" t="str">
        <f>IF(SUM(KK4:KN4)-KO4&gt;0,SUM(KK4:KN4)-KO4,"")</f>
        <v/>
      </c>
      <c r="KX4" s="11" t="str">
        <f>IF(SUM(KV4:KW4)&gt;0,SUM(KV4:KW4),"")</f>
        <v/>
      </c>
      <c r="KY4" s="11" t="str">
        <f>IF(KR4&gt;0,KR4,"")</f>
        <v/>
      </c>
      <c r="KZ4" s="11" t="str">
        <f>IF(SUM(KP4:KS4)-KT4&gt;0,SUM(KP4:KS4)-KT4,"")</f>
        <v/>
      </c>
      <c r="LA4" s="11" t="str">
        <f>IF(SUM(KX4,KZ4)&gt;0,SUM(KX4,KZ4),"")</f>
        <v/>
      </c>
      <c r="LB4" s="38"/>
      <c r="LC4" s="38"/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14" t="str">
        <f>IF(LI4&gt;0,LI4,"")</f>
        <v/>
      </c>
      <c r="LR4" s="14" t="str">
        <f>IF(SUM(LB4:LE4)-LF4&gt;0,SUM(LB4:LE4)-LF4,"")</f>
        <v/>
      </c>
      <c r="LS4" s="14" t="str">
        <f>IF(SUM(LG4:LJ4)-LK4&gt;0,SUM(LG4:LJ4)-LK4,"")</f>
        <v/>
      </c>
      <c r="LT4" s="14" t="str">
        <f>IF(SUM(LR4:LS4)&gt;0,SUM(LR4:LS4),"")</f>
        <v/>
      </c>
      <c r="LU4" s="14" t="str">
        <f>IF(LN4&gt;0,LN4,"")</f>
        <v/>
      </c>
      <c r="LV4" s="14" t="str">
        <f>IF(SUM(LL4:LO4)-LP4&gt;0,SUM(LL4:LO4)-LP4,"")</f>
        <v/>
      </c>
      <c r="LW4" s="14" t="str">
        <f>IF(SUM(LT4,LV4)&gt;0,SUM(LT4,LV4),"")</f>
        <v/>
      </c>
      <c r="LX4" s="37"/>
      <c r="LY4" s="37"/>
      <c r="LZ4" s="37"/>
      <c r="MA4" s="37"/>
      <c r="MB4" s="37"/>
      <c r="MC4" s="37"/>
      <c r="MD4" s="37"/>
      <c r="ME4" s="37"/>
      <c r="MF4" s="37"/>
      <c r="MG4" s="37"/>
      <c r="MH4" s="37"/>
      <c r="MI4" s="37"/>
      <c r="MJ4" s="37"/>
      <c r="MK4" s="37"/>
      <c r="ML4" s="37"/>
      <c r="MM4" s="11" t="str">
        <f>IF(ME4&gt;0,ME4,"")</f>
        <v/>
      </c>
      <c r="MN4" s="11" t="str">
        <f>IF(SUM(LX4:MA4)-MB4&gt;0,SUM(LX4:MA4)-MB4,"")</f>
        <v/>
      </c>
      <c r="MO4" s="11" t="str">
        <f>IF(SUM(MC4:MF4)-MG4&gt;0,SUM(MC4:MF4)-MG4,"")</f>
        <v/>
      </c>
      <c r="MP4" s="11" t="str">
        <f>IF(SUM(MN4:MO4)&gt;0,SUM(MN4:MO4),"")</f>
        <v/>
      </c>
      <c r="MQ4" s="11" t="str">
        <f>IF(MJ4&gt;0,MJ4,"")</f>
        <v/>
      </c>
      <c r="MR4" s="11" t="str">
        <f>IF(SUM(MH4:MK4)-ML4&gt;0,SUM(MH4:MK4)-ML4,"")</f>
        <v/>
      </c>
      <c r="MS4" s="11" t="str">
        <f>IF(SUM(MP4,MR4)&gt;0,SUM(MP4,MR4),"")</f>
        <v/>
      </c>
      <c r="MT4" s="38"/>
      <c r="MU4" s="38"/>
      <c r="MV4" s="38"/>
      <c r="MW4" s="38"/>
      <c r="MX4" s="38"/>
      <c r="MY4" s="38"/>
      <c r="MZ4" s="38"/>
      <c r="NA4" s="38"/>
      <c r="NB4" s="38"/>
      <c r="NC4" s="38"/>
      <c r="ND4" s="38"/>
      <c r="NE4" s="38"/>
      <c r="NF4" s="38"/>
      <c r="NG4" s="38"/>
      <c r="NH4" s="38"/>
      <c r="NI4" s="14" t="str">
        <f>IF(NA4&gt;0,NA4,"")</f>
        <v/>
      </c>
      <c r="NJ4" s="14" t="str">
        <f>IF(SUM(MT4:MW4)-MX4&gt;0,SUM(MT4:MW4)-MX4,"")</f>
        <v/>
      </c>
      <c r="NK4" s="14" t="str">
        <f>IF(SUM(MY4:NB4)-NC4&gt;0,SUM(MY4:NB4)-NC4,"")</f>
        <v/>
      </c>
      <c r="NL4" s="14" t="str">
        <f>IF(SUM(NJ4:NK4)&gt;0,SUM(NJ4:NK4),"")</f>
        <v/>
      </c>
      <c r="NM4" s="14" t="str">
        <f>IF(NF4&gt;0,NF4,"")</f>
        <v/>
      </c>
      <c r="NN4" s="14" t="str">
        <f>IF(SUM(ND4:NG4)-NH4&gt;0,SUM(ND4:NG4)-NH4,"")</f>
        <v/>
      </c>
      <c r="NO4" s="14" t="str">
        <f>IF(SUM(NL4,NN4)&gt;0,SUM(NL4,NN4),"")</f>
        <v/>
      </c>
      <c r="NP4" s="69">
        <f>IF($CX4="P",CD4,(CD4+AZ4)/2)</f>
        <v>9.0500000000000007</v>
      </c>
      <c r="NQ4" s="69">
        <f>IF($CX4="P",CE4,(CE4+BA4)/2)</f>
        <v>4.6500000000000004</v>
      </c>
      <c r="NR4" s="69">
        <f>IF($CX4="P",CF4,(CF4+BB4)/2)</f>
        <v>2.35</v>
      </c>
      <c r="NS4" s="69">
        <f>IF($CX4="P",CG4,(CG4+BC4)/2)</f>
        <v>8.3475000000000001</v>
      </c>
      <c r="NT4" s="69">
        <f>IF($CX4="P",CH4,(CH4+BD4)/2)</f>
        <v>0</v>
      </c>
      <c r="NU4" s="69">
        <f>IF($CX4="P",CI4,(CI4+BE4)/2)</f>
        <v>7.75</v>
      </c>
      <c r="NV4" s="69">
        <f>IF($CX4="P",CJ4,(CJ4+BF4)/2)</f>
        <v>4.1500000000000004</v>
      </c>
      <c r="NW4" s="69">
        <f>IF($CX4="P",CK4,(CK4+BG4)/2)</f>
        <v>5.9</v>
      </c>
      <c r="NX4" s="69">
        <f>IF($CX4="P",CL4,(CL4+BH4)/2)</f>
        <v>8.1974999999999998</v>
      </c>
      <c r="NY4" s="69">
        <f>IF($CX4="P",CM4,(CM4+BI4)/2)</f>
        <v>0</v>
      </c>
      <c r="NZ4" s="69">
        <f>IF($CX4="P",CN4,(CN4+BJ4)/2)</f>
        <v>7.95</v>
      </c>
      <c r="OA4" s="69">
        <f>IF($CX4="P",CO4,(CO4+BK4)/2)</f>
        <v>4.5999999999999996</v>
      </c>
      <c r="OB4" s="69">
        <f>IF($CX4="P",CP4,(CP4+BL4)/2)</f>
        <v>6.65</v>
      </c>
      <c r="OC4" s="69">
        <f>IF($CX4="P",CQ4,(CQ4+BM4)/2)</f>
        <v>7.9649999999999999</v>
      </c>
      <c r="OD4" s="69">
        <f>IF($CX4="P",CR4,(CR4+BN4)/2)</f>
        <v>0</v>
      </c>
      <c r="OE4" s="69">
        <f>IF($CX4="P",CS4,(CS4+BO4)/2)</f>
        <v>8.25</v>
      </c>
      <c r="OF4" s="69">
        <f>IF($CX4="P",CT4,(CT4+BP4)/2)</f>
        <v>4.6500000000000004</v>
      </c>
      <c r="OG4" s="69">
        <f>IF($CX4="P",CU4,(CU4+BQ4)/2)</f>
        <v>6.8</v>
      </c>
      <c r="OH4" s="69">
        <f>IF($CX4="P",CV4,(CV4+BR4)/2)</f>
        <v>7.7975000000000003</v>
      </c>
      <c r="OI4" s="69">
        <f>IF($CX4="P",CW4,(CW4+BS4)/2)</f>
        <v>0</v>
      </c>
      <c r="OJ4" s="80" t="s">
        <v>74</v>
      </c>
      <c r="OK4" s="11">
        <f>IF(SUM(NP4:NS4)-NT4&gt;0,SUM(NP4:NS4)-NT4,"")</f>
        <v>24.397500000000001</v>
      </c>
      <c r="OL4" s="11">
        <f>IF(NW4&gt;0,NW4,"")</f>
        <v>5.9</v>
      </c>
      <c r="OM4" s="11">
        <f>IF(SUM(NU4:NX4)-NY4&gt;0,SUM(NU4:NX4)-NY4,"")</f>
        <v>25.997500000000002</v>
      </c>
      <c r="ON4" s="11">
        <f>IF(OB4&gt;0,OB4,"")</f>
        <v>6.65</v>
      </c>
      <c r="OO4" s="11">
        <f>IF(SUM(NZ4:OC4)-OD4&gt;0,SUM(NZ4:OC4)-OD4,"")</f>
        <v>27.165000000000003</v>
      </c>
      <c r="OP4" s="11">
        <f>IF(OR(OK4&lt;&gt;"",OM4&lt;&gt;"",OO4&lt;&gt;""),OK4+MAX(OM4,OO4),"")</f>
        <v>51.5625</v>
      </c>
      <c r="OQ4" s="11">
        <f>IF(OG4&gt;0,OG4,"")</f>
        <v>6.8</v>
      </c>
      <c r="OR4" s="11">
        <f t="shared" ref="OR4:OR14" si="0">IF(SUM(OE4:OH4)-OI4&gt;0,SUM(OE4:OH4)-OI4,"")</f>
        <v>27.497499999999999</v>
      </c>
      <c r="OS4" s="11">
        <f>IF(SUM(OP4,OR4)&gt;0,SUM(OP4,OR4),"")</f>
        <v>79.06</v>
      </c>
    </row>
    <row r="5" spans="1:409" x14ac:dyDescent="0.2">
      <c r="A5" s="5" cm="1">
        <f t="array" ref="A5">IF(AND(G5&lt;&gt;"",H5&lt;&gt;""),SUMPRODUCT((G$4:G$15&lt;&gt;"")*(H$4:H$15&lt;&gt;"")*(E$4:E$15&gt;E5))+1,IF(H5&lt;&gt;"",SUMPRODUCT((I$4:I$15="No DD")*(E$4:E$15&gt;E5))+1+SUMPRODUCT((G$4:G$15&lt;&gt;"")*(H$4:H$15&lt;&gt;"")),""))</f>
        <v>2</v>
      </c>
      <c r="B5" s="127" t="s">
        <v>31</v>
      </c>
      <c r="C5" s="5" t="s">
        <v>9</v>
      </c>
      <c r="D5" s="5">
        <v>1997</v>
      </c>
      <c r="E5" s="15">
        <f>SUM(K5:S5)</f>
        <v>263.58999999999997</v>
      </c>
      <c r="F5" s="3" t="str">
        <f>IF(G5&lt;&gt;"","P","")</f>
        <v>P</v>
      </c>
      <c r="G5" s="125" t="str">
        <f>IF(OR(AND(AR5&gt;=AY$20,AR5&lt;&gt;"",AP5=""),AND(AT5&gt;=AY$20,AT5&lt;&gt;"",AP5=""),AND(AW5&gt;=AY$20,AW5&lt;&gt;"",AP5=""),AND(BV5&gt;=CC$20,BV5&lt;&gt;"",BT5=""),AND(BX5&gt;=CC$20,BX5&lt;&gt;"",BT5=""),AND(CA5&gt;=CC$20,CA5&lt;&gt;"",BT5=""),AND(CZ5&gt;=DG$20,CZ5&lt;&gt;"",CX5=""),AND(DB5&gt;=DG$20,DB5&lt;&gt;"",CX5=""),AND(DE5&gt;=DG$20,DE5&lt;&gt;"",CX5=""),AND(EA5&gt;=EG$20,EA5&lt;&gt;""),AND(EE5&gt;=EG$20,EE5&lt;&gt;""),AND(EW5&gt;=FC$20,EW5&lt;&gt;""),AND(FA5&gt;=FC$20,FA5&lt;&gt;""),AND(FS5&gt;=FY$20,FS5&lt;&gt;""),AND(FW5&gt;=FY$20,FW5&lt;&gt;""),AND(GO5&gt;=GU$20,GO5&lt;&gt;""),AND(GS5&gt;=GU$20,GS5&lt;&gt;""),AND(HK5&gt;=HQ$20,HK5&lt;&gt;""),AND(HO5&gt;=HQ$20,HO5&lt;&gt;""),AND(IG5&gt;=IM$20,IG5&lt;&gt;""),AND(IK5&gt;=IM$20,IK5&lt;&gt;""),AND(JC5&gt;=JI$20,JC5&lt;&gt;""),AND(JG5&gt;=JI$20,JG5&lt;&gt;""),AND(JY5&gt;=KE$20,JY5&lt;&gt;""),AND(KC5&gt;=KE$20,KC5&lt;&gt;""),AND(KU5&gt;=LA$20,KU5&lt;&gt;""),AND(KY5&gt;=LA$20,KY5&lt;&gt;""),AND(LQ5&gt;=LW$20,LQ5&lt;&gt;""),AND(LU5&gt;=LW$20,LU5&lt;&gt;""),AND(MM5&gt;=MS$20,MM5&lt;&gt;""),AND(MQ5&gt;=MS$20,MQ5&lt;&gt;""),AND(NI5&gt;=NO$20,NI5&lt;&gt;""),AND(NM5&gt;=NO$20,NM5&lt;&gt;"")),"Merit",IF(OR(AND(AR5&gt;=AY$19,AR5&lt;&gt;"",AP5=""),AND(AT5&gt;=AY$19,AT5&lt;&gt;"",AP5=""),AND(AW5&gt;=AY$19,AW5&lt;&gt;"",AP5=""),AND(BV5&gt;=CC$19,BV5&lt;&gt;"",BT5=""),AND(BX5&gt;=CC$19,BX5&lt;&gt;"",BT5=""),AND(CA5&gt;=CC$19,CA5&lt;&gt;"",BT5=""),AND(CZ5&gt;=DG$19,CZ5&lt;&gt;"",CX5=""),AND(DB5&gt;=DG$19,DB5&lt;&gt;"",CX5=""),AND(DE5&gt;=DG$19,DE5&lt;&gt;"",CX5=""),AND(EA5&gt;=EG$19,EA5&lt;&gt;""),AND(EE5&gt;=EG$19,EE5&lt;&gt;""),AND(EW5&gt;=FC$19,EW5&lt;&gt;""),AND(FA5&gt;=FC$19,FA5&lt;&gt;""),AND(FS5&gt;=FY$19,FS5&lt;&gt;""),AND(FW5&gt;=FY$19,FW5&lt;&gt;""),AND(GO5&gt;=GU$19,GO5&lt;&gt;""),AND(GS5&gt;=GU$19,GS5&lt;&gt;""),AND(HK5&gt;=HQ$19,HK5&lt;&gt;""),AND(HO5&gt;=HQ$19,HO5&lt;&gt;""),AND(IG5&gt;=IM$19,IG5&lt;&gt;""),AND(IK5&gt;=IM$19,IK5&lt;&gt;""),AND(JC5&gt;=JI$19,JC5&lt;&gt;""),AND(JG5&gt;=JI$19,JG5&lt;&gt;""),AND(JY5&gt;=KE$19,JY5&lt;&gt;""),AND(KC5&gt;=KE$19,KC5&lt;&gt;""),AND(KU5&gt;=LA$19,KU5&lt;&gt;""),AND(KY5&gt;=LA$19,KY5&lt;&gt;""),AND(LQ5&gt;=LW$19,LQ5&lt;&gt;""),AND(LU5&gt;=LW$19,LU5&lt;&gt;""),AND(MM5&gt;=MS$19,MM5&lt;&gt;""),AND(MQ5&gt;=MS$19,MQ5&lt;&gt;""),AND(NI5&gt;=NO$19,NI5&lt;&gt;""),AND(NM5&gt;=NO$19,NM5&lt;&gt;"")),"Excellence",IF(OR(AND(AR5&gt;=AY$18,AR5&lt;&gt;"",AP5=""),AND(AT5&gt;=AY$18,AT5&lt;&gt;"",AP5=""),AND(AW5&gt;=AY$18,AW5&lt;&gt;"",AP5=""),AND(BV5&gt;=CC$18,BV5&lt;&gt;"",BT5=""),AND(BX5&gt;=CC$18,BX5&lt;&gt;"",BT5=""),AND(CA5&gt;=CC$18,CA5&lt;&gt;"",BT5=""),AND(CZ5&gt;=DG$18,CZ5&lt;&gt;"",CX5=""),AND(DB5&gt;=DG$18,DB5&lt;&gt;"",CX5=""),AND(DE5&gt;=DG$18,DE5&lt;&gt;"",CX5=""),AND(EA5&gt;=EG$18,EA5&lt;&gt;""),AND(EE5&gt;=EG$18,EE5&lt;&gt;""),AND(EW5&gt;=FC$18,EW5&lt;&gt;""),AND(FA5&gt;=FC$18,FA5&lt;&gt;""),AND(FS5&gt;=FY$18,FS5&lt;&gt;""),AND(FW5&gt;=FY$18,FW5&lt;&gt;""),AND(GO5&gt;=GU$18,GO5&lt;&gt;""),AND(GS5&gt;=GU$18,GS5&lt;&gt;""),AND(HK5&gt;=HQ$18,HK5&lt;&gt;""),AND(HO5&gt;=HQ$18,HO5&lt;&gt;""),AND(IG5&gt;=IM$18,IG5&lt;&gt;""),AND(IK5&gt;=IM$18,IK5&lt;&gt;""),AND(JC5&gt;=JI$18,JC5&lt;&gt;""),AND(JG5&gt;=JI$18,JG5&lt;&gt;""),AND(JY5&gt;=KE$18,JY5&lt;&gt;""),AND(KC5&gt;=KE$18,KC5&lt;&gt;""),AND(KU5&gt;=LA$18,KU5&lt;&gt;""),AND(KY5&gt;=LA$18,KY5&lt;&gt;""),AND(LQ5&gt;=LW$18,LQ5&lt;&gt;""),AND(LU5&gt;=LW$18,LU5&lt;&gt;""),AND(MM5&gt;=MS$18,MM5&lt;&gt;""),AND(MQ5&gt;=MS$18,MQ5&lt;&gt;""),AND(NI5&gt;=NO$18,NI5&lt;&gt;""),AND(NM5&gt;=NO$18,NM5&lt;&gt;"")),"Worlds Team",IF(OR(AND(AR5&gt;=AY$17,AR5&lt;&gt;"",AP5=""),AND(AT5&gt;=AY$17,AT5&lt;&gt;"",AP5=""),AND(AW5&gt;=AY$17,AW5&lt;&gt;"",AP5=""),AND(BV5&gt;=CC$17,BV5&lt;&gt;"",BT5=""),AND(BX5&gt;=CC$17,BX5&lt;&gt;"",BT5=""),AND(CA5&gt;=CC$17,CA5&lt;&gt;"",BT5=""),AND(CZ5&gt;=DG$17,CZ5&lt;&gt;"",CX5=""),AND(DB5&gt;=DG$17,DB5&lt;&gt;"",CX5=""),AND(DE5&gt;=DG$17,DE5&lt;&gt;"",CX5=""),AND(EA5&gt;=EG$17,EA5&lt;&gt;""),AND(EE5&gt;=EG$17,EE5&lt;&gt;""),AND(EW5&gt;=FC$17,EW5&lt;&gt;""),AND(FA5&gt;=FC$17,FA5&lt;&gt;""),AND(FS5&gt;=FY$17,FS5&lt;&gt;""),AND(FW5&gt;=FY$17,FW5&lt;&gt;""),AND(GO5&gt;=GU$17,GO5&lt;&gt;""),AND(GS5&gt;=GU$17,GS5&lt;&gt;""),AND(HK5&gt;=HQ$17,HK5&lt;&gt;""),AND(HO5&gt;=HQ$17,HO5&lt;&gt;""),AND(IG5&gt;=IM$17,IG5&lt;&gt;""),AND(IK5&gt;=IM$17,IK5&lt;&gt;""),AND(JC5&gt;=JI$17,JC5&lt;&gt;""),AND(JG5&gt;=JI$17,JG5&lt;&gt;""),AND(JY5&gt;=KE$17,JY5&lt;&gt;""),AND(KC5&gt;=KE$17,KC5&lt;&gt;""),AND(KU5&gt;=LA$17,KU5&lt;&gt;""),AND(KY5&gt;=LA$17,KY5&lt;&gt;""),AND(LQ5&gt;=LW$17,LQ5&lt;&gt;""),AND(LU5&gt;=LW$17,LU5&lt;&gt;""),AND(MM5&gt;=MS$17,MM5&lt;&gt;""),AND(MQ5&gt;=MS$17,MQ5&lt;&gt;""),AND(NI5&gt;=NO$17,NI5&lt;&gt;""),AND(NM5&gt;=NO$17,NM5&lt;&gt;"")),"National Team",""))))</f>
        <v>Merit</v>
      </c>
      <c r="H5" s="125" t="str">
        <f>IF(OR(AND(AS5&gt;=AY$24,AS5&lt;&gt;"",AP5=""),AND(AU5&gt;=AY$24,AU5&lt;&gt;"",AP5=""),AND(AX5&gt;=AY$24,AX5&lt;&gt;"",AP5=""),AND(BW5&gt;=CC$24,BW5&lt;&gt;"",BT5=""),AND(BY5&gt;=CC$24,BY5&lt;&gt;"",BT5=""),AND(CB5&gt;=CC$24,CB5&lt;&gt;"",BT5=""),AND(DA5&gt;=DG$24,DA5&lt;&gt;"",CX5=""),AND(DC5&gt;=DG$24,DC5&lt;&gt;"",CX5=""),AND(DF5&gt;=DG$24,DF5&lt;&gt;"",CX5=""),AND(EC5&gt;=EG$24,EC5&lt;&gt;""),AND(EF5&gt;=EG$24,EF5&lt;&gt;""),AND(EY5&gt;=FC$24,EY5&lt;&gt;""),AND(FB5&gt;=FC$24,FB5&lt;&gt;""),AND(FU5&gt;=FY$24,FU5&lt;&gt;""),AND(FX5&gt;=FY$24,FX5&lt;&gt;""),AND(GQ5&gt;=GU$24,GQ5&lt;&gt;""),AND(GT5&gt;=GU$24,GT5&lt;&gt;""),AND(HM5&gt;=HQ$24,HM5&lt;&gt;""),AND(HP5&gt;=HQ$24,HP5&lt;&gt;""),AND(II5&gt;=IM$24,II5&lt;&gt;""),AND(IL5&gt;=IM$24,IL5&lt;&gt;""),AND(JE5&gt;=JI$24,JE5&lt;&gt;""),AND(JH5&gt;=JI$24,JH5&lt;&gt;""),AND(KA5&gt;=KE$24,KA5&lt;&gt;""),AND(KD5&gt;=KE$24,KD5&lt;&gt;""),AND(KW5&gt;=LA$24,KW5&lt;&gt;""),AND(KZ5&gt;=LA$24,KZ5&lt;&gt;""),AND(LS5&gt;=LW$24,LS5&lt;&gt;""),AND(LV5&gt;=LW$24,LV5&lt;&gt;""),AND(MO5&gt;=MS$24,MO5&lt;&gt;""),AND(MR5&gt;=MS$24,MR5&lt;&gt;""),AND(NK5&gt;=NO$24,NK5&lt;&gt;""),AND(NN5&gt;=NO$24,NN5&lt;&gt;"")),"Merit",IF(OR(AND(AS5&gt;=AY$23,AS5&lt;&gt;"",AP5=""),AND(AU5&gt;=AY$23,AU5&lt;&gt;"",AP5=""),AND(AX5&gt;=AY$23,AX5&lt;&gt;"",AP5=""),AND(BW5&gt;=CC$23,BW5&lt;&gt;"",BT5=""),AND(BY5&gt;=CC$23,BY5&lt;&gt;"",BT5=""),AND(CB5&gt;=CC$23,CB5&lt;&gt;"",BT5=""),AND(DA5&gt;=DG$23,DA5&lt;&gt;"",CX5=""),AND(DC5&gt;=DG$23,DC5&lt;&gt;"",CX5=""),AND(DF5&gt;=DG$23,DF5&lt;&gt;"",CX5=""),AND(EC5&gt;=EG$23,EC5&lt;&gt;""),AND(EF5&gt;=EG$23,EF5&lt;&gt;""),AND(EY5&gt;=FC$23,EY5&lt;&gt;""),AND(FB5&gt;=FC$23,FB5&lt;&gt;""),AND(FU5&gt;=FY$23,FU5&lt;&gt;""),AND(FX5&gt;=FY$23,FX5&lt;&gt;""),AND(GQ5&gt;=GU$23,GQ5&lt;&gt;""),AND(GT5&gt;=GU$23,GT5&lt;&gt;""),AND(HM5&gt;=HQ$23,HM5&lt;&gt;""),AND(HP5&gt;=HQ$23,HP5&lt;&gt;""),AND(II5&gt;=IM$23,II5&lt;&gt;""),AND(IL5&gt;=IM$23,IL5&lt;&gt;""),AND(JE5&gt;=JI$23,JE5&lt;&gt;""),AND(JH5&gt;=JI$23,JH5&lt;&gt;""),AND(KA5&gt;=KE$23,KA5&lt;&gt;""),AND(KD5&gt;=KE$23,KD5&lt;&gt;""),AND(KW5&gt;=LA$23,KW5&lt;&gt;""),AND(KZ5&gt;=LA$23,KZ5&lt;&gt;""),AND(LS5&gt;=LW$23,LS5&lt;&gt;""),AND(LV5&gt;=LW$23,LV5&lt;&gt;""),AND(MO5&gt;=MS$23,MO5&lt;&gt;""),AND(MR5&gt;=MS$23,MR5&lt;&gt;""),AND(NK5&gt;=NO$23,NK5&lt;&gt;""),AND(NN5&gt;=NO$23,NN5&lt;&gt;"")),"Excellence",IF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"Worlds Team",IF(OR(AND(AV5&gt;=AY$21,AV5&lt;&gt;"",AP5=""),AND(BZ5&gt;=CC$21,BZ5&lt;&gt;"",BT5=""),AND(DD5&gt;=DG$21,DD5&lt;&gt;"",CX5=""),AND(ED5&gt;=EG$21,ED5&lt;&gt;""),AND(EZ5&gt;=FC$21,EZ5&lt;&gt;""),AND(FV5&gt;=FY$21,FV5&lt;&gt;""),AND(GR5&gt;=GU$21,GR5&lt;&gt;""),AND(HN5&gt;=HQ$21,HN5&lt;&gt;""),AND(IJ5&gt;=IM$21,IJ5&lt;&gt;""),AND(JF5&gt;=JI$21,JF5&lt;&gt;""),AND(KB5&gt;=KE$21,KB5&lt;&gt;""),AND(KX5&gt;=LA$21,KX5&lt;&gt;""),AND(LT5&gt;=LW$21,LT5&lt;&gt;""),AND(MP5&gt;=MS$21,MP5&lt;&gt;""),AND(NL5&gt;=NO$21,NL5&lt;&gt;"")),"National Team",""))))</f>
        <v>Merit</v>
      </c>
      <c r="I5" s="126" t="str">
        <f>IF(AND(G5="Merit",H5="Merit"),"Merit",IF(AND(OR(G5="Merit",G5="Excellence"),OR(H5="Merit",H5="Excellence")),"Excellence",IF(AND(OR(G5="Merit",G5="Excellence",G5="Worlds Team"),OR(H5="Merit",H5="Excellence",H5="Worlds Team")),"Worlds Team",IF(AND(OR(G5="Merit",G5="Excellence",G5="Worlds Team",G5="National Team"),OR(H5="Merit",H5="Excellence",H5="Worlds Team",H5="National Team")),"National Team",IF(OR(H5="Merit",H5="Excellence",H5="Worlds Team",H5="National Team"),"No DD","")))))</f>
        <v>Merit</v>
      </c>
      <c r="J5" s="3" t="str">
        <f>IF(AND(OR(AND(AV5&gt;=AY$22,AV5&lt;&gt;"",AP5=""),AND(BZ5&gt;=CC$22,BZ5&lt;&gt;"",BT5=""),AND(DD5&gt;=DG$22,DD5&lt;&gt;"",CX5=""),AND(ED5&gt;=EG$22,ED5&lt;&gt;""),AND(EZ5&gt;=FC$22,EZ5&lt;&gt;""),AND(FV5&gt;=FY$22,FV5&lt;&gt;""),AND(GR5&gt;=GU$22,GR5&lt;&gt;""),AND(HN5&gt;=HQ$22,HN5&lt;&gt;""),AND(IJ5&gt;=IM$22,IJ5&lt;&gt;""),AND(JF5&gt;=JI$22,JF5&lt;&gt;""),AND(KB5&gt;=KE$22,KB5&lt;&gt;""),AND(KX5&gt;=LA$22,KX5&lt;&gt;""),AND(LT5&gt;=LW$22,LT5&lt;&gt;""),AND(MP5&gt;=MS$22,MP5&lt;&gt;""),AND(NL5&gt;=NO$22,NL5&lt;&gt;"")),OR(G5="Worlds Team",G5="Excellence",G5="Merit")),"P","")</f>
        <v>P</v>
      </c>
      <c r="K5" s="14">
        <f>IF(MAX(AV5,BZ5,DD5)&gt;0,MAX(AV5,BZ5,DD5),0)</f>
        <v>104.28999999999999</v>
      </c>
      <c r="L5" s="14" t="str">
        <f>IF(K5=0,"",IF(K5=DD5,$CD$1,IF(K5=BZ5,$AZ$1,IF(K5=AV5,$V$1,""))))</f>
        <v>2021 Canadian Championships</v>
      </c>
      <c r="M5" s="14">
        <f>IF($K5=$AV5,MAX(BU5,CY5),IF($K5=$BZ5,MAX(AQ5,CY5),IF($K5=$DD5,MAX(AQ5,BU5),MAX(AQ5,BU5,CY5))))</f>
        <v>49.344999999999999</v>
      </c>
      <c r="N5" s="14" t="str">
        <f>IF(M5=0,"",IF(AND(M5=CY5,$L5&lt;&gt;$CD$1),$CD$1,IF(AND(M5=BU5,$L5&lt;&gt;$AZ$1),$AZ$1,IF(AND(M5=AQ5,$L5&lt;&gt;$V$1),$V$1,""))))</f>
        <v>2021 2nd Virtual Technical Trial</v>
      </c>
      <c r="O5" s="14">
        <f>IF(K5-N(AQ5)=AS5,MAX(AU5,BW5,BY5,DA5,DC5),IF(K5-N(AQ5)=AU5,MAX(AS5,BW5,BY5,DA5,DC5),IF(K5-N(BU5)=BW5,MAX(AS5,AU5,BY5,DA5,DC5),IF(K5-N(BU5)=BY5,MAX(AS5,AU5,BW5,DA5,DC5),IF(K5-N(CY5)=DA5,MAX(AS5,AU5,BW5,BY5,DC5),IF(K5-N(CY5)=DC5,MAX(AS5,AU5,BW5,BY5,DA5),MAX(AS5,AU5,BW5,BY5,DA5,DC5)))))))</f>
        <v>54.555000000000007</v>
      </c>
      <c r="P5" s="14" t="str">
        <f>IF(O5=0,"",IF(OR(O5=DC5,O5=DA5),$CD$1,IF(OR(O5=BY5,O5=BW5),$AZ$1,IF(OR(O5=AU5,O5=AS5),$V$1,""))))</f>
        <v>2021 Canadian Championships</v>
      </c>
      <c r="Q5" s="14">
        <f>MAX(AX5,CB5,DF5)</f>
        <v>54.519999999999996</v>
      </c>
      <c r="R5" s="14" t="str">
        <f>IF(Q5=0,"",IF(Q5=DF5,$CD$1,IF(Q5=CB5,$AZ$1,IF(Q5=AX5,$V$1,""))))</f>
        <v>2021 Canadian Championships</v>
      </c>
      <c r="S5" s="14">
        <f>IF(MAX(DH5,DI5,DJ5,DK5)&gt;0,MAX(DH5,DI5,DJ5,DK5),"")</f>
        <v>0.88000000000000256</v>
      </c>
      <c r="T5" s="25" t="str">
        <f>IF(S5="","",IF(S5=DH5,"(Vol 1)",IF(S5=DI5,"(Vol 2)",IF(S5=DJ5,"(Prelim)",IF(S5=DK5,"(Final)")))))</f>
        <v>(Final)</v>
      </c>
      <c r="U5" s="14" t="str">
        <f>IF(S5="","",IF(S5=DH5,IF(S5+IF(M5="",0,M5)=NJ5,$MT$1,IF(S5+IF(M5="",0,M5)=MN5,$LX$1,IF(S5+IF(M5="",0,M5)=LR5,$LB$1,IF(S5+IF(M5="",0,M5)=KV5,$KF$1,IF(S5+IF(M5="",0,M5)=JZ5,$JJ$1,IF(S5+IF(M5="",0,M5)=JD5,$IN$1,IF(S5+IF(M5="",0,M5)=IH5,$HR$1,IF(S5+IF(M5="",0,M5)=HL5,$GV$1,IF(S5+IF(M5="",0,M5)=GP5,$FZ$1,IF(S5+IF(M5="",0,M5)=FT5,$FD$1,IF(S5+IF(M5="",0,M5)=EX5,$EH$1,IF(S5+IF(M5="",0,M5)=EB5,$DL$1)))))))))))),IF(S5=DI5,IF(S5+IF(O5="",0,O5)=NK5,$MT$1,IF(S5+IF(O5="",0,O5)=MO5,$LX$1,IF(S5+IF(O5="",0,O5)=LS5,$LB$1,IF(S5+IF(O5="",0,O5)=KW5,$KF$1,IF(S5+IF(O5="",0,O5)=KA5,$JJ$1,IF(S5+IF(O5="",0,O5)=JE5,$IN$1,IF(S5+IF(O5="",0,O5)=II5,$HR$1,IF(S5+IF(O5="",0,O5)=HM5,$GV$1,IF(S5+IF(O5="",0,O5)=GQ5,$FZ$1,IF(S5+IF(O5="",0,O5)=FU5,$FD$1,IF(S5+IF(O5="",0,O5)=EY5,$EH$1,IF(S5+IF(O5="",0,O5)=EC5,$DL$1)))))))))))),IF(S5=DJ5,IF(S5+IF(K5="",0,K5)=NL5,$MT$1,IF(S5+IF(K5="",0,K5)=MP5,$LX$1,IF(S5+IF(K5="",0,K5)=LT5,$LB$1,IF(S5+IF(K5="",0,K5)=KX5,$KF$1,IF(S5+IF(K5="",0,K5)=KB5,$JJ$1,IF(S5+IF(K5="",0,K5)=JF5,$IN$1,IF(S5+IF(K5="",0,K5)=IJ5,$HR$1,IF(S5+IF(K5="",0,K5)=HN5,$GV$1,IF(S5+IF(K5="",0,K5)=GR5,$FZ$1,IF(S5+IF(K5="",0,K5)=FV5,$FD$1,IF(S5+IF(K5="",0,K5)=EZ5,$EH$1,IF(S5+IF(K5="",0,K5)=ED5,$DL$1)))))))))))),IF(S5=DK5,IF(S5+IF(Q5="",0,Q5)=NN5,$MT$1,IF(S5+IF(Q5="",0,Q5)=MR5,$LX$1,IF(S5+IF(Q5="",0,Q5)=LV5,$LB$1,IF(S5+IF(Q5="",0,Q5)=KZ5,$KF$1,IF(S5+IF(Q5="",0,Q5)=KD5,$JJ$1,IF(S5+IF(Q5="",0,Q5)=JH5,$IN$1,IF(S5+IF(Q5="",0,Q5)=IL5,$HR$1,IF(S5+IF(Q5="",0,Q5)=HP5,$GV$1,IF(S5+IF(Q5="",0,Q5)=GT5,$FZ$1,IF(S5+IF(Q5="",0,Q5)=FX5,$FD$1,IF(S5+IF(Q5="",0,Q5)=FB5,$EH$1,IF(S5+IF(Q5="",0,Q5)=EF5,$DL$1)))))))))))))))))</f>
        <v>2021 World Cup ITA/Olympic Technical Trial (June 4/9)</v>
      </c>
      <c r="V5" s="69">
        <v>18.399999999999999</v>
      </c>
      <c r="W5" s="69">
        <v>9.5</v>
      </c>
      <c r="X5" s="69">
        <v>4.5999999999999996</v>
      </c>
      <c r="Y5" s="69">
        <v>16.844999999999999</v>
      </c>
      <c r="Z5" s="69">
        <v>0</v>
      </c>
      <c r="AA5" s="69">
        <v>16.2</v>
      </c>
      <c r="AB5" s="69">
        <v>8.8000000000000007</v>
      </c>
      <c r="AC5" s="69">
        <v>13.2</v>
      </c>
      <c r="AD5" s="69">
        <v>15.795</v>
      </c>
      <c r="AE5" s="69">
        <v>0</v>
      </c>
      <c r="AF5" s="69">
        <v>16.100000000000001</v>
      </c>
      <c r="AG5" s="69">
        <v>9</v>
      </c>
      <c r="AH5" s="69">
        <v>14</v>
      </c>
      <c r="AI5" s="69">
        <v>15.295</v>
      </c>
      <c r="AJ5" s="69">
        <v>0</v>
      </c>
      <c r="AK5" s="69">
        <v>16.100000000000001</v>
      </c>
      <c r="AL5" s="69">
        <v>8.9</v>
      </c>
      <c r="AM5" s="69">
        <v>13.8</v>
      </c>
      <c r="AN5" s="69">
        <v>15.08</v>
      </c>
      <c r="AO5" s="69">
        <v>0</v>
      </c>
      <c r="AP5" s="80"/>
      <c r="AQ5" s="11">
        <f>IF(SUM(V5:Y5)-Z5&gt;0,SUM(V5:Y5)-Z5,"")</f>
        <v>49.344999999999999</v>
      </c>
      <c r="AR5" s="11">
        <f>IF(AC5&gt;0,AC5,"")</f>
        <v>13.2</v>
      </c>
      <c r="AS5" s="11">
        <f>IF(SUM(AA5:AD5)-AE5&gt;0,SUM(AA5:AD5)-AE5,"")</f>
        <v>53.995000000000005</v>
      </c>
      <c r="AT5" s="11">
        <f>IF(AH5&gt;0,AH5,"")</f>
        <v>14</v>
      </c>
      <c r="AU5" s="11">
        <f>IF(SUM(AF5:AI5)-AJ5&gt;0,SUM(AF5:AI5)-AJ5,"")</f>
        <v>54.395000000000003</v>
      </c>
      <c r="AV5" s="11">
        <f>IF(AQ5="",IF(MAX(AS5,AU5)&gt;0,MAX(AS5,AU5),""),MAX(AS5,AU5)+AQ5)</f>
        <v>103.74000000000001</v>
      </c>
      <c r="AW5" s="11">
        <f>IF(AM5&gt;0,AM5,"")</f>
        <v>13.8</v>
      </c>
      <c r="AX5" s="11">
        <f>IF(SUM(AK5:AN5)-AO5&gt;0,SUM(AK5:AN5)-AO5,"")</f>
        <v>53.879999999999995</v>
      </c>
      <c r="AY5" s="11">
        <f>IF(SUM(AV5,AX5)&gt;0,SUM(AV5,AX5),"")</f>
        <v>157.62</v>
      </c>
      <c r="AZ5" s="75">
        <v>18.299999999999997</v>
      </c>
      <c r="BA5" s="75">
        <v>9.4499999999999993</v>
      </c>
      <c r="BB5" s="75">
        <v>4.5999999999999996</v>
      </c>
      <c r="BC5" s="75">
        <v>16.862499999999997</v>
      </c>
      <c r="BD5" s="75">
        <v>0</v>
      </c>
      <c r="BE5" s="75">
        <v>16.399999999999999</v>
      </c>
      <c r="BF5" s="75">
        <v>8.9750000000000014</v>
      </c>
      <c r="BG5" s="75">
        <v>13.3</v>
      </c>
      <c r="BH5" s="75">
        <v>15.657499999999999</v>
      </c>
      <c r="BI5" s="75">
        <v>0</v>
      </c>
      <c r="BJ5" s="75">
        <v>12.05</v>
      </c>
      <c r="BK5" s="75">
        <v>6.8</v>
      </c>
      <c r="BL5" s="75">
        <v>10.8</v>
      </c>
      <c r="BM5" s="75">
        <v>11.727499999999999</v>
      </c>
      <c r="BN5" s="75">
        <v>0</v>
      </c>
      <c r="BO5" s="75">
        <v>15.15</v>
      </c>
      <c r="BP5" s="75">
        <v>9.1999999999999993</v>
      </c>
      <c r="BQ5" s="75">
        <v>13.45</v>
      </c>
      <c r="BR5" s="75">
        <v>15.18</v>
      </c>
      <c r="BS5" s="75">
        <v>0</v>
      </c>
      <c r="BT5" s="81" t="s">
        <v>74</v>
      </c>
      <c r="BU5" s="14">
        <f>IF(SUM(AZ5:BC5)-BD5&gt;0,SUM(AZ5:BC5)-BD5,"")</f>
        <v>49.212499999999991</v>
      </c>
      <c r="BV5" s="14">
        <f>IF(BG5&gt;0,BG5,"")</f>
        <v>13.3</v>
      </c>
      <c r="BW5" s="14">
        <f>IF(SUM(BE5:BH5)-BI5&gt;0,SUM(BE5:BH5)-BI5,"")</f>
        <v>54.332499999999996</v>
      </c>
      <c r="BX5" s="14">
        <f>IF(BL5&gt;0,BL5,"")</f>
        <v>10.8</v>
      </c>
      <c r="BY5" s="14">
        <f>IF(SUM(BJ5:BM5)-BN5&gt;0,SUM(BJ5:BM5)-BN5,"")</f>
        <v>41.377499999999998</v>
      </c>
      <c r="BZ5" s="14">
        <f>IF(BU5="",IF(MAX(BW5,BY5)&gt;0,MAX(BW5,BY5),""),MAX(BW5,BY5)+BU5)</f>
        <v>103.54499999999999</v>
      </c>
      <c r="CA5" s="14">
        <f>IF(BQ5&gt;0,BQ5,"")</f>
        <v>13.45</v>
      </c>
      <c r="CB5" s="14">
        <f>IF(SUM(BO5:BR5)-BS5&gt;0,SUM(BO5:BR5)-BS5,"")</f>
        <v>52.98</v>
      </c>
      <c r="CC5" s="14">
        <f>IF(SUM(BZ5,CB5)&gt;0,SUM(BZ5,CB5),"")</f>
        <v>156.52499999999998</v>
      </c>
      <c r="CD5" s="69">
        <v>18.2</v>
      </c>
      <c r="CE5" s="69">
        <v>9.4</v>
      </c>
      <c r="CF5" s="69">
        <v>4.5999999999999996</v>
      </c>
      <c r="CG5" s="69">
        <v>16.805</v>
      </c>
      <c r="CH5" s="69">
        <v>0</v>
      </c>
      <c r="CI5" s="69">
        <v>16.2</v>
      </c>
      <c r="CJ5" s="69">
        <v>9.1999999999999993</v>
      </c>
      <c r="CK5" s="69">
        <v>14.4</v>
      </c>
      <c r="CL5" s="69">
        <v>15.484999999999999</v>
      </c>
      <c r="CM5" s="69">
        <v>0</v>
      </c>
      <c r="CN5" s="69">
        <v>15.9</v>
      </c>
      <c r="CO5" s="69">
        <v>8.9</v>
      </c>
      <c r="CP5" s="69">
        <v>14.4</v>
      </c>
      <c r="CQ5" s="69">
        <v>15.355</v>
      </c>
      <c r="CR5" s="69">
        <v>0</v>
      </c>
      <c r="CS5" s="69">
        <v>16.2</v>
      </c>
      <c r="CT5" s="69">
        <v>9.1999999999999993</v>
      </c>
      <c r="CU5" s="69">
        <v>13.6</v>
      </c>
      <c r="CV5" s="69">
        <v>15.52</v>
      </c>
      <c r="CW5" s="69">
        <v>0</v>
      </c>
      <c r="CX5" s="80"/>
      <c r="CY5" s="11">
        <f>IF(SUM(CD5:CG5)-CH5&gt;0,SUM(CD5:CG5)-CH5,"")</f>
        <v>49.005000000000003</v>
      </c>
      <c r="CZ5" s="11">
        <f>IF(CK5&gt;0,CK5,"")</f>
        <v>14.4</v>
      </c>
      <c r="DA5" s="11">
        <f>IF(SUM(CI5:CL5)-CM5&gt;0,SUM(CI5:CL5)-CM5,"")</f>
        <v>55.284999999999997</v>
      </c>
      <c r="DB5" s="11">
        <f>IF(CP5&gt;0,CP5,"")</f>
        <v>14.4</v>
      </c>
      <c r="DC5" s="11">
        <f>IF(SUM(CN5:CQ5)-CR5&gt;0,SUM(CN5:CQ5)-CR5,"")</f>
        <v>54.555000000000007</v>
      </c>
      <c r="DD5" s="11">
        <f>IF(CY5="",IF(MAX(DA5,DC5)&gt;0,MAX(DA5,DC5),""),MAX(DA5,DC5)+CY5)</f>
        <v>104.28999999999999</v>
      </c>
      <c r="DE5" s="11">
        <f>IF(CU5&gt;0,CU5,"")</f>
        <v>13.6</v>
      </c>
      <c r="DF5" s="11">
        <f>IF(SUM(CS5:CV5)-CW5&gt;0,SUM(CS5:CV5)-CW5,"")</f>
        <v>54.519999999999996</v>
      </c>
      <c r="DG5" s="11">
        <f>IF(SUM(DD5,DF5)&gt;0,SUM(DD5,DF5),"")</f>
        <v>158.81</v>
      </c>
      <c r="DH5" s="24" t="str">
        <f>IF(MAX(EB5,EX5,FT5,GP5,HL5,IH5,JD5,JZ5,KV5,LR5,MN5,NJ5)-IF(M5="",0,M5)&gt;0.001,MAX(EB5,EX5,FT5,GP5,HL5,IH5,JD5,JZ5,KV5,LR5,MN5,NJ5)-IF(M5="",0,M5),"")</f>
        <v/>
      </c>
      <c r="DI5" s="24">
        <f>IF(MAX(EC5,EY5,FU5,GQ5,HM5,II5,JE5,KA5,KW5,LS5,MO5,NK5)-IF(O5="",0,O5)&gt;0.001,MAX(EC5,EY5,FU5,GQ5,HM5,II5,JE5,KA5,KW5,LS5,MO5,NK5)-IF(O5="",0,O5),"")</f>
        <v>0.34499999999999176</v>
      </c>
      <c r="DJ5" s="24" t="str">
        <f>IF(MAX(ED5,EZ5,FV5,GR5,HN5,IJ5,JF5,KB5,KX5,LT5,MP5,NL5)-IF(K5="",0,K5)&gt;0.001,MAX(ED5,EZ5,FV5,GR5,HN5,IJ5,JF5,KB5,KX5,LT5,MP5,NL5)-IF(K5="",0,K5),"")</f>
        <v/>
      </c>
      <c r="DK5" s="24">
        <f>IF(MAX(EF5,FB5,FX5,GT5,HP5,IL5,JH5,KD5,KZ5,LV5,MR5,NN5)-IF(Q5="",0,Q5)&gt;0.001,MAX(EF5,FB5,FX5,GT5,HP5,IL5,JH5,KD5,KZ5,LV5,MR5,NN5)-IF(Q5="",0,Q5),"")</f>
        <v>0.88000000000000256</v>
      </c>
      <c r="DL5" s="37">
        <v>18.100000000000001</v>
      </c>
      <c r="DM5" s="37">
        <v>8.9</v>
      </c>
      <c r="DN5" s="37">
        <v>4.5999999999999996</v>
      </c>
      <c r="DO5" s="37">
        <v>16.760000000000002</v>
      </c>
      <c r="DP5" s="37">
        <v>0</v>
      </c>
      <c r="DQ5" s="37">
        <v>15.7</v>
      </c>
      <c r="DR5" s="37">
        <v>9.1999999999999993</v>
      </c>
      <c r="DS5" s="37">
        <v>14.4</v>
      </c>
      <c r="DT5" s="37">
        <v>15.6</v>
      </c>
      <c r="DU5" s="37">
        <v>0</v>
      </c>
      <c r="DV5" s="37">
        <v>16.100000000000001</v>
      </c>
      <c r="DW5" s="37">
        <v>9.5</v>
      </c>
      <c r="DX5" s="37">
        <v>14.4</v>
      </c>
      <c r="DY5" s="37">
        <v>15.4</v>
      </c>
      <c r="DZ5" s="37">
        <v>0</v>
      </c>
      <c r="EA5" s="11">
        <f>IF(DS5&gt;0,DS5,"")</f>
        <v>14.4</v>
      </c>
      <c r="EB5" s="11">
        <f>IF(SUM(DL5:DO5)-DP5&gt;0,SUM(DL5:DO5)-DP5,"")</f>
        <v>48.36</v>
      </c>
      <c r="EC5" s="11">
        <f>IF(SUM(DQ5:DT5)-DU5&gt;0,SUM(DQ5:DT5)-DU5,"")</f>
        <v>54.9</v>
      </c>
      <c r="ED5" s="11">
        <f>IF(SUM(EB5:EC5)&gt;0,SUM(EB5:EC5),"")</f>
        <v>103.25999999999999</v>
      </c>
      <c r="EE5" s="11">
        <f>IF(DX5&gt;0,DX5,"")</f>
        <v>14.4</v>
      </c>
      <c r="EF5" s="11">
        <f>IF(SUM(DV5:DY5)-DZ5&gt;0,SUM(DV5:DY5)-DZ5,"")</f>
        <v>55.4</v>
      </c>
      <c r="EG5" s="11">
        <f>IF(SUM(ED5,EF5)&gt;0,SUM(ED5,EF5),"")</f>
        <v>158.66</v>
      </c>
      <c r="EH5" s="38"/>
      <c r="EI5" s="38"/>
      <c r="EJ5" s="38"/>
      <c r="EK5" s="38"/>
      <c r="EL5" s="38"/>
      <c r="EM5" s="38"/>
      <c r="EN5" s="38"/>
      <c r="EO5" s="38"/>
      <c r="EP5" s="38"/>
      <c r="EQ5" s="38"/>
      <c r="ER5" s="38"/>
      <c r="ES5" s="38"/>
      <c r="ET5" s="38"/>
      <c r="EU5" s="38"/>
      <c r="EV5" s="38"/>
      <c r="EW5" s="14" t="str">
        <f>IF(EO5&gt;0,EO5,"")</f>
        <v/>
      </c>
      <c r="EX5" s="14" t="str">
        <f>IF(SUM(EH5:EK5)-EL5&gt;0,SUM(EH5:EK5)-EL5,"")</f>
        <v/>
      </c>
      <c r="EY5" s="14" t="str">
        <f>IF(SUM(EM5:EP5)-EQ5&gt;0,SUM(EM5:EP5)-EQ5,"")</f>
        <v/>
      </c>
      <c r="EZ5" s="14" t="str">
        <f>IF(SUM(EX5:EY5)&gt;0,SUM(EX5:EY5),"")</f>
        <v/>
      </c>
      <c r="FA5" s="14" t="str">
        <f>IF(ET5&gt;0,ET5,"")</f>
        <v/>
      </c>
      <c r="FB5" s="14" t="str">
        <f>IF(SUM(ER5:EU5)-EV5&gt;0,SUM(ER5:EU5)-EV5,"")</f>
        <v/>
      </c>
      <c r="FC5" s="14" t="str">
        <f>IF(SUM(EZ5,FB5)&gt;0,SUM(EZ5,FB5),"")</f>
        <v/>
      </c>
      <c r="FD5" s="37"/>
      <c r="FE5" s="37"/>
      <c r="FF5" s="37"/>
      <c r="FG5" s="37"/>
      <c r="FH5" s="37"/>
      <c r="FI5" s="37"/>
      <c r="FJ5" s="37"/>
      <c r="FK5" s="37"/>
      <c r="FL5" s="37"/>
      <c r="FM5" s="37"/>
      <c r="FN5" s="37"/>
      <c r="FO5" s="37"/>
      <c r="FP5" s="37"/>
      <c r="FQ5" s="37"/>
      <c r="FR5" s="37"/>
      <c r="FS5" s="11" t="str">
        <f>IF(FK5&gt;0,FK5,"")</f>
        <v/>
      </c>
      <c r="FT5" s="11" t="str">
        <f>IF(SUM(FD5:FG5)-FH5&gt;0,SUM(FD5:FG5)-FH5,"")</f>
        <v/>
      </c>
      <c r="FU5" s="11" t="str">
        <f>IF(SUM(FI5:FL5)-FM5&gt;0,SUM(FI5:FL5)-FM5,"")</f>
        <v/>
      </c>
      <c r="FV5" s="11" t="str">
        <f>IF(SUM(FT5:FU5)&gt;0,SUM(FT5:FU5),"")</f>
        <v/>
      </c>
      <c r="FW5" s="11" t="str">
        <f>IF(FP5&gt;0,FP5,"")</f>
        <v/>
      </c>
      <c r="FX5" s="11" t="str">
        <f>IF(SUM(FN5:FQ5)-FR5&gt;0,SUM(FN5:FQ5)-FR5,"")</f>
        <v/>
      </c>
      <c r="FY5" s="11" t="str">
        <f>IF(SUM(FV5,FX5)&gt;0,SUM(FV5,FX5),"")</f>
        <v/>
      </c>
      <c r="FZ5" s="38"/>
      <c r="GA5" s="38"/>
      <c r="GB5" s="38"/>
      <c r="GC5" s="38"/>
      <c r="GD5" s="38"/>
      <c r="GE5" s="38"/>
      <c r="GF5" s="38"/>
      <c r="GG5" s="38"/>
      <c r="GH5" s="38"/>
      <c r="GI5" s="38"/>
      <c r="GJ5" s="38"/>
      <c r="GK5" s="38"/>
      <c r="GL5" s="38"/>
      <c r="GM5" s="38"/>
      <c r="GN5" s="38"/>
      <c r="GO5" s="14" t="str">
        <f>IF(GG5&gt;0,GG5,"")</f>
        <v/>
      </c>
      <c r="GP5" s="14" t="str">
        <f>IF(SUM(FZ5:GC5)-GD5&gt;0,SUM(FZ5:GC5)-GD5,"")</f>
        <v/>
      </c>
      <c r="GQ5" s="14" t="str">
        <f>IF(SUM(GE5:GH5)-GI5&gt;0,SUM(GE5:GH5)-GI5,"")</f>
        <v/>
      </c>
      <c r="GR5" s="14" t="str">
        <f>IF(SUM(GP5:GQ5)&gt;0,SUM(GP5:GQ5),"")</f>
        <v/>
      </c>
      <c r="GS5" s="14" t="str">
        <f>IF(GL5&gt;0,GL5,"")</f>
        <v/>
      </c>
      <c r="GT5" s="14" t="str">
        <f>IF(SUM(GJ5:GM5)-GN5&gt;0,SUM(GJ5:GM5)-GN5,"")</f>
        <v/>
      </c>
      <c r="GU5" s="14" t="str">
        <f>IF(SUM(GR5,GT5)&gt;0,SUM(GR5,GT5),"")</f>
        <v/>
      </c>
      <c r="GV5" s="37"/>
      <c r="GW5" s="37"/>
      <c r="GX5" s="37"/>
      <c r="GY5" s="37"/>
      <c r="GZ5" s="37"/>
      <c r="HA5" s="37"/>
      <c r="HB5" s="37"/>
      <c r="HC5" s="37"/>
      <c r="HD5" s="37"/>
      <c r="HE5" s="37"/>
      <c r="HF5" s="37"/>
      <c r="HG5" s="37"/>
      <c r="HH5" s="37"/>
      <c r="HI5" s="37"/>
      <c r="HJ5" s="37"/>
      <c r="HK5" s="11" t="str">
        <f>IF(HC5&gt;0,HC5,"")</f>
        <v/>
      </c>
      <c r="HL5" s="11" t="str">
        <f>IF(SUM(GV5:GY5)-GZ5&gt;0,SUM(GV5:GY5)-GZ5,"")</f>
        <v/>
      </c>
      <c r="HM5" s="11" t="str">
        <f>IF(SUM(HA5:HD5)-HE5&gt;0,SUM(HA5:HD5)-HE5,"")</f>
        <v/>
      </c>
      <c r="HN5" s="11" t="str">
        <f>IF(SUM(HL5:HM5)&gt;0,SUM(HL5:HM5),"")</f>
        <v/>
      </c>
      <c r="HO5" s="11" t="str">
        <f>IF(HH5&gt;0,HH5,"")</f>
        <v/>
      </c>
      <c r="HP5" s="11" t="str">
        <f>IF(SUM(HF5:HI5)-HJ5&gt;0,SUM(HF5:HI5)-HJ5,"")</f>
        <v/>
      </c>
      <c r="HQ5" s="11" t="str">
        <f>IF(SUM(HN5,HP5)&gt;0,SUM(HN5,HP5),"")</f>
        <v/>
      </c>
      <c r="HR5" s="38"/>
      <c r="HS5" s="38"/>
      <c r="HT5" s="38"/>
      <c r="HU5" s="38"/>
      <c r="HV5" s="38"/>
      <c r="HW5" s="38"/>
      <c r="HX5" s="38"/>
      <c r="HY5" s="38"/>
      <c r="HZ5" s="38"/>
      <c r="IA5" s="38"/>
      <c r="IB5" s="38"/>
      <c r="IC5" s="38"/>
      <c r="ID5" s="38"/>
      <c r="IE5" s="38"/>
      <c r="IF5" s="38"/>
      <c r="IG5" s="14" t="str">
        <f>IF(HY5&gt;0,HY5,"")</f>
        <v/>
      </c>
      <c r="IH5" s="14" t="str">
        <f>IF(SUM(HR5:HU5)-HV5&gt;0,SUM(HR5:HU5)-HV5,"")</f>
        <v/>
      </c>
      <c r="II5" s="14" t="str">
        <f>IF(SUM(HW5:HZ5)-IA5&gt;0,SUM(HW5:HZ5)-IA5,"")</f>
        <v/>
      </c>
      <c r="IJ5" s="14" t="str">
        <f>IF(SUM(IH5:II5)&gt;0,SUM(IH5:II5),"")</f>
        <v/>
      </c>
      <c r="IK5" s="14" t="str">
        <f>IF(ID5&gt;0,ID5,"")</f>
        <v/>
      </c>
      <c r="IL5" s="14" t="str">
        <f>IF(SUM(IB5:IE5)-IF5&gt;0,SUM(IB5:IE5)-IF5,"")</f>
        <v/>
      </c>
      <c r="IM5" s="14" t="str">
        <f>IF(SUM(IJ5,IL5)&gt;0,SUM(IJ5,IL5),"")</f>
        <v/>
      </c>
      <c r="IN5" s="37"/>
      <c r="IO5" s="37"/>
      <c r="IP5" s="37"/>
      <c r="IQ5" s="37"/>
      <c r="IR5" s="37"/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11" t="str">
        <f>IF(IU5&gt;0,IU5,"")</f>
        <v/>
      </c>
      <c r="JD5" s="11" t="str">
        <f>IF(SUM(IN5:IQ5)-IR5&gt;0,SUM(IN5:IQ5)-IR5,"")</f>
        <v/>
      </c>
      <c r="JE5" s="11" t="str">
        <f>IF(SUM(IS5:IV5)-IW5&gt;0,SUM(IS5:IV5)-IW5,"")</f>
        <v/>
      </c>
      <c r="JF5" s="11" t="str">
        <f>IF(SUM(JD5:JE5)&gt;0,SUM(JD5:JE5),"")</f>
        <v/>
      </c>
      <c r="JG5" s="11" t="str">
        <f>IF(IZ5&gt;0,IZ5,"")</f>
        <v/>
      </c>
      <c r="JH5" s="11" t="str">
        <f>IF(SUM(IX5:JA5)-JB5&gt;0,SUM(IX5:JA5)-JB5,"")</f>
        <v/>
      </c>
      <c r="JI5" s="11" t="str">
        <f>IF(SUM(JF5,JH5)&gt;0,SUM(JF5,JH5),"")</f>
        <v/>
      </c>
      <c r="JJ5" s="38"/>
      <c r="JK5" s="38"/>
      <c r="JL5" s="38"/>
      <c r="JM5" s="38"/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14" t="str">
        <f>IF(JQ5&gt;0,JQ5,"")</f>
        <v/>
      </c>
      <c r="JZ5" s="14" t="str">
        <f>IF(SUM(JJ5:JM5)-JN5&gt;0,SUM(JJ5:JM5)-JN5,"")</f>
        <v/>
      </c>
      <c r="KA5" s="14" t="str">
        <f>IF(SUM(JO5:JR5)-JS5&gt;0,SUM(JO5:JR5)-JS5,"")</f>
        <v/>
      </c>
      <c r="KB5" s="14" t="str">
        <f>IF(SUM(JZ5:KA5)&gt;0,SUM(JZ5:KA5),"")</f>
        <v/>
      </c>
      <c r="KC5" s="14" t="str">
        <f>IF(JV5&gt;0,JV5,"")</f>
        <v/>
      </c>
      <c r="KD5" s="14" t="str">
        <f>IF(SUM(JT5:JW5)-JX5&gt;0,SUM(JT5:JW5)-JX5,"")</f>
        <v/>
      </c>
      <c r="KE5" s="14" t="str">
        <f>IF(SUM(KB5,KD5)&gt;0,SUM(KB5,KD5),"")</f>
        <v/>
      </c>
      <c r="KF5" s="37"/>
      <c r="KG5" s="37"/>
      <c r="KH5" s="37"/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11" t="str">
        <f>IF(KM5&gt;0,KM5,"")</f>
        <v/>
      </c>
      <c r="KV5" s="11" t="str">
        <f>IF(SUM(KF5:KI5)-KJ5&gt;0,SUM(KF5:KI5)-KJ5,"")</f>
        <v/>
      </c>
      <c r="KW5" s="11" t="str">
        <f>IF(SUM(KK5:KN5)-KO5&gt;0,SUM(KK5:KN5)-KO5,"")</f>
        <v/>
      </c>
      <c r="KX5" s="11" t="str">
        <f>IF(SUM(KV5:KW5)&gt;0,SUM(KV5:KW5),"")</f>
        <v/>
      </c>
      <c r="KY5" s="11" t="str">
        <f>IF(KR5&gt;0,KR5,"")</f>
        <v/>
      </c>
      <c r="KZ5" s="11" t="str">
        <f>IF(SUM(KP5:KS5)-KT5&gt;0,SUM(KP5:KS5)-KT5,"")</f>
        <v/>
      </c>
      <c r="LA5" s="11" t="str">
        <f>IF(SUM(KX5,KZ5)&gt;0,SUM(KX5,KZ5),"")</f>
        <v/>
      </c>
      <c r="LB5" s="38"/>
      <c r="LC5" s="38"/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14" t="str">
        <f>IF(LI5&gt;0,LI5,"")</f>
        <v/>
      </c>
      <c r="LR5" s="14" t="str">
        <f>IF(SUM(LB5:LE5)-LF5&gt;0,SUM(LB5:LE5)-LF5,"")</f>
        <v/>
      </c>
      <c r="LS5" s="14" t="str">
        <f>IF(SUM(LG5:LJ5)-LK5&gt;0,SUM(LG5:LJ5)-LK5,"")</f>
        <v/>
      </c>
      <c r="LT5" s="14" t="str">
        <f>IF(SUM(LR5:LS5)&gt;0,SUM(LR5:LS5),"")</f>
        <v/>
      </c>
      <c r="LU5" s="14" t="str">
        <f>IF(LN5&gt;0,LN5,"")</f>
        <v/>
      </c>
      <c r="LV5" s="14" t="str">
        <f>IF(SUM(LL5:LO5)-LP5&gt;0,SUM(LL5:LO5)-LP5,"")</f>
        <v/>
      </c>
      <c r="LW5" s="14" t="str">
        <f>IF(SUM(LT5,LV5)&gt;0,SUM(LT5,LV5),"")</f>
        <v/>
      </c>
      <c r="LX5" s="37"/>
      <c r="LY5" s="37"/>
      <c r="LZ5" s="37"/>
      <c r="MA5" s="37"/>
      <c r="MB5" s="37"/>
      <c r="MC5" s="37"/>
      <c r="MD5" s="37"/>
      <c r="ME5" s="37"/>
      <c r="MF5" s="37"/>
      <c r="MG5" s="37"/>
      <c r="MH5" s="37"/>
      <c r="MI5" s="37"/>
      <c r="MJ5" s="37"/>
      <c r="MK5" s="37"/>
      <c r="ML5" s="37"/>
      <c r="MM5" s="11" t="str">
        <f>IF(ME5&gt;0,ME5,"")</f>
        <v/>
      </c>
      <c r="MN5" s="11" t="str">
        <f>IF(SUM(LX5:MA5)-MB5&gt;0,SUM(LX5:MA5)-MB5,"")</f>
        <v/>
      </c>
      <c r="MO5" s="11" t="str">
        <f>IF(SUM(MC5:MF5)-MG5&gt;0,SUM(MC5:MF5)-MG5,"")</f>
        <v/>
      </c>
      <c r="MP5" s="11" t="str">
        <f>IF(SUM(MN5:MO5)&gt;0,SUM(MN5:MO5),"")</f>
        <v/>
      </c>
      <c r="MQ5" s="11" t="str">
        <f>IF(MJ5&gt;0,MJ5,"")</f>
        <v/>
      </c>
      <c r="MR5" s="11" t="str">
        <f>IF(SUM(MH5:MK5)-ML5&gt;0,SUM(MH5:MK5)-ML5,"")</f>
        <v/>
      </c>
      <c r="MS5" s="11" t="str">
        <f>IF(SUM(MP5,MR5)&gt;0,SUM(MP5,MR5),"")</f>
        <v/>
      </c>
      <c r="MT5" s="38"/>
      <c r="MU5" s="38"/>
      <c r="MV5" s="38"/>
      <c r="MW5" s="38"/>
      <c r="MX5" s="38"/>
      <c r="MY5" s="38"/>
      <c r="MZ5" s="38"/>
      <c r="NA5" s="38"/>
      <c r="NB5" s="38"/>
      <c r="NC5" s="38"/>
      <c r="ND5" s="38"/>
      <c r="NE5" s="38"/>
      <c r="NF5" s="38"/>
      <c r="NG5" s="38"/>
      <c r="NH5" s="38"/>
      <c r="NI5" s="14" t="str">
        <f>IF(NA5&gt;0,NA5,"")</f>
        <v/>
      </c>
      <c r="NJ5" s="14" t="str">
        <f>IF(SUM(MT5:MW5)-MX5&gt;0,SUM(MT5:MW5)-MX5,"")</f>
        <v/>
      </c>
      <c r="NK5" s="14" t="str">
        <f>IF(SUM(MY5:NB5)-NC5&gt;0,SUM(MY5:NB5)-NC5,"")</f>
        <v/>
      </c>
      <c r="NL5" s="14" t="str">
        <f>IF(SUM(NJ5:NK5)&gt;0,SUM(NJ5:NK5),"")</f>
        <v/>
      </c>
      <c r="NM5" s="14" t="str">
        <f>IF(NF5&gt;0,NF5,"")</f>
        <v/>
      </c>
      <c r="NN5" s="14" t="str">
        <f>IF(SUM(ND5:NG5)-NH5&gt;0,SUM(ND5:NG5)-NH5,"")</f>
        <v/>
      </c>
      <c r="NO5" s="14" t="str">
        <f>IF(SUM(NL5,NN5)&gt;0,SUM(NL5,NN5),"")</f>
        <v/>
      </c>
      <c r="NP5" s="69">
        <f>IF($CX5="P",CD5,(CD5+AZ5)/2)</f>
        <v>18.25</v>
      </c>
      <c r="NQ5" s="69">
        <f>IF($CX5="P",CE5,(CE5+BA5)/2)</f>
        <v>9.4250000000000007</v>
      </c>
      <c r="NR5" s="69">
        <f>IF($CX5="P",CF5,(CF5+BB5)/2)</f>
        <v>4.5999999999999996</v>
      </c>
      <c r="NS5" s="69">
        <f>IF($CX5="P",CG5,(CG5+BC5)/2)</f>
        <v>16.833749999999998</v>
      </c>
      <c r="NT5" s="69">
        <f>IF($CX5="P",CH5,(CH5+BD5)/2)</f>
        <v>0</v>
      </c>
      <c r="NU5" s="69">
        <f>IF($CX5="P",CI5,(CI5+BE5)/2)</f>
        <v>16.299999999999997</v>
      </c>
      <c r="NV5" s="69">
        <f>IF($CX5="P",CJ5,(CJ5+BF5)/2)</f>
        <v>9.0875000000000004</v>
      </c>
      <c r="NW5" s="69">
        <f>IF($CX5="P",CK5,(CK5+BG5)/2)</f>
        <v>13.850000000000001</v>
      </c>
      <c r="NX5" s="69">
        <f>IF($CX5="P",CL5,(CL5+BH5)/2)</f>
        <v>15.571249999999999</v>
      </c>
      <c r="NY5" s="69">
        <f>IF($CX5="P",CM5,(CM5+BI5)/2)</f>
        <v>0</v>
      </c>
      <c r="NZ5" s="69">
        <f>IF($CX5="P",CN5,(CN5+BJ5)/2)</f>
        <v>13.975000000000001</v>
      </c>
      <c r="OA5" s="69">
        <f>IF($CX5="P",CO5,(CO5+BK5)/2)</f>
        <v>7.85</v>
      </c>
      <c r="OB5" s="69">
        <f>IF($CX5="P",CP5,(CP5+BL5)/2)</f>
        <v>12.600000000000001</v>
      </c>
      <c r="OC5" s="69">
        <f>IF($CX5="P",CQ5,(CQ5+BM5)/2)</f>
        <v>13.54125</v>
      </c>
      <c r="OD5" s="69">
        <f>IF($CX5="P",CR5,(CR5+BN5)/2)</f>
        <v>0</v>
      </c>
      <c r="OE5" s="69">
        <f>IF($CX5="P",CS5,(CS5+BO5)/2)</f>
        <v>15.675000000000001</v>
      </c>
      <c r="OF5" s="69">
        <f>IF($CX5="P",CT5,(CT5+BP5)/2)</f>
        <v>9.1999999999999993</v>
      </c>
      <c r="OG5" s="69">
        <f>IF($CX5="P",CU5,(CU5+BQ5)/2)</f>
        <v>13.524999999999999</v>
      </c>
      <c r="OH5" s="69">
        <f>IF($CX5="P",CV5,(CV5+BR5)/2)</f>
        <v>15.35</v>
      </c>
      <c r="OI5" s="69">
        <f>IF($CX5="P",CW5,(CW5+BS5)/2)</f>
        <v>0</v>
      </c>
      <c r="OJ5" s="80" t="s">
        <v>74</v>
      </c>
      <c r="OK5" s="11">
        <f>IF(SUM(NP5:NS5)-NT5&gt;0,SUM(NP5:NS5)-NT5,"")</f>
        <v>49.108750000000001</v>
      </c>
      <c r="OL5" s="11">
        <f>IF(NW5&gt;0,NW5,"")</f>
        <v>13.850000000000001</v>
      </c>
      <c r="OM5" s="11">
        <f>IF(SUM(NU5:NX5)-NY5&gt;0,SUM(NU5:NX5)-NY5,"")</f>
        <v>54.808749999999996</v>
      </c>
      <c r="ON5" s="11">
        <f>IF(OB5&gt;0,OB5,"")</f>
        <v>12.600000000000001</v>
      </c>
      <c r="OO5" s="11">
        <f>IF(SUM(NZ5:OC5)-OD5&gt;0,SUM(NZ5:OC5)-OD5,"")</f>
        <v>47.966250000000002</v>
      </c>
      <c r="OP5" s="11">
        <f>IF(OR(OK5&lt;&gt;"",OM5&lt;&gt;"",OO5&lt;&gt;""),OK5+MAX(OM5,OO5),"")</f>
        <v>103.91749999999999</v>
      </c>
      <c r="OQ5" s="11">
        <f>IF(OG5&gt;0,OG5,"")</f>
        <v>13.524999999999999</v>
      </c>
      <c r="OR5" s="11">
        <f t="shared" si="0"/>
        <v>53.75</v>
      </c>
      <c r="OS5" s="11">
        <f t="shared" ref="OS5:OS14" si="1">IF(SUM(OP5,OR5)&gt;0,SUM(OP5,OR5),"")</f>
        <v>157.66749999999999</v>
      </c>
    </row>
    <row r="6" spans="1:409" x14ac:dyDescent="0.2">
      <c r="A6" s="5" cm="1">
        <f t="array" ref="A6">IF(AND(G6&lt;&gt;"",H6&lt;&gt;""),SUMPRODUCT((G$4:G$15&lt;&gt;"")*(H$4:H$15&lt;&gt;"")*(E$4:E$15&gt;E6))+1,IF(H6&lt;&gt;"",SUMPRODUCT((I$4:I$15="No DD")*(E$4:E$15&gt;E6))+1+SUMPRODUCT((G$4:G$15&lt;&gt;"")*(H$4:H$15&lt;&gt;"")),""))</f>
        <v>3</v>
      </c>
      <c r="B6" s="127" t="s">
        <v>30</v>
      </c>
      <c r="C6" s="5" t="s">
        <v>9</v>
      </c>
      <c r="D6" s="5">
        <v>1998</v>
      </c>
      <c r="E6" s="15">
        <f>SUM(K6:S6)</f>
        <v>261.82</v>
      </c>
      <c r="F6" s="3" t="str">
        <f>IF(G6&lt;&gt;"","P","")</f>
        <v>P</v>
      </c>
      <c r="G6" s="125" t="str">
        <f>IF(OR(AND(AR6&gt;=AY$20,AR6&lt;&gt;"",AP6=""),AND(AT6&gt;=AY$20,AT6&lt;&gt;"",AP6=""),AND(AW6&gt;=AY$20,AW6&lt;&gt;"",AP6=""),AND(BV6&gt;=CC$20,BV6&lt;&gt;"",BT6=""),AND(BX6&gt;=CC$20,BX6&lt;&gt;"",BT6=""),AND(CA6&gt;=CC$20,CA6&lt;&gt;"",BT6=""),AND(CZ6&gt;=DG$20,CZ6&lt;&gt;"",CX6=""),AND(DB6&gt;=DG$20,DB6&lt;&gt;"",CX6=""),AND(DE6&gt;=DG$20,DE6&lt;&gt;"",CX6=""),AND(EA6&gt;=EG$20,EA6&lt;&gt;""),AND(EE6&gt;=EG$20,EE6&lt;&gt;""),AND(EW6&gt;=FC$20,EW6&lt;&gt;""),AND(FA6&gt;=FC$20,FA6&lt;&gt;""),AND(FS6&gt;=FY$20,FS6&lt;&gt;""),AND(FW6&gt;=FY$20,FW6&lt;&gt;""),AND(GO6&gt;=GU$20,GO6&lt;&gt;""),AND(GS6&gt;=GU$20,GS6&lt;&gt;""),AND(HK6&gt;=HQ$20,HK6&lt;&gt;""),AND(HO6&gt;=HQ$20,HO6&lt;&gt;""),AND(IG6&gt;=IM$20,IG6&lt;&gt;""),AND(IK6&gt;=IM$20,IK6&lt;&gt;""),AND(JC6&gt;=JI$20,JC6&lt;&gt;""),AND(JG6&gt;=JI$20,JG6&lt;&gt;""),AND(JY6&gt;=KE$20,JY6&lt;&gt;""),AND(KC6&gt;=KE$20,KC6&lt;&gt;""),AND(KU6&gt;=LA$20,KU6&lt;&gt;""),AND(KY6&gt;=LA$20,KY6&lt;&gt;""),AND(LQ6&gt;=LW$20,LQ6&lt;&gt;""),AND(LU6&gt;=LW$20,LU6&lt;&gt;""),AND(MM6&gt;=MS$20,MM6&lt;&gt;""),AND(MQ6&gt;=MS$20,MQ6&lt;&gt;""),AND(NI6&gt;=NO$20,NI6&lt;&gt;""),AND(NM6&gt;=NO$20,NM6&lt;&gt;"")),"Merit",IF(OR(AND(AR6&gt;=AY$19,AR6&lt;&gt;"",AP6=""),AND(AT6&gt;=AY$19,AT6&lt;&gt;"",AP6=""),AND(AW6&gt;=AY$19,AW6&lt;&gt;"",AP6=""),AND(BV6&gt;=CC$19,BV6&lt;&gt;"",BT6=""),AND(BX6&gt;=CC$19,BX6&lt;&gt;"",BT6=""),AND(CA6&gt;=CC$19,CA6&lt;&gt;"",BT6=""),AND(CZ6&gt;=DG$19,CZ6&lt;&gt;"",CX6=""),AND(DB6&gt;=DG$19,DB6&lt;&gt;"",CX6=""),AND(DE6&gt;=DG$19,DE6&lt;&gt;"",CX6=""),AND(EA6&gt;=EG$19,EA6&lt;&gt;""),AND(EE6&gt;=EG$19,EE6&lt;&gt;""),AND(EW6&gt;=FC$19,EW6&lt;&gt;""),AND(FA6&gt;=FC$19,FA6&lt;&gt;""),AND(FS6&gt;=FY$19,FS6&lt;&gt;""),AND(FW6&gt;=FY$19,FW6&lt;&gt;""),AND(GO6&gt;=GU$19,GO6&lt;&gt;""),AND(GS6&gt;=GU$19,GS6&lt;&gt;""),AND(HK6&gt;=HQ$19,HK6&lt;&gt;""),AND(HO6&gt;=HQ$19,HO6&lt;&gt;""),AND(IG6&gt;=IM$19,IG6&lt;&gt;""),AND(IK6&gt;=IM$19,IK6&lt;&gt;""),AND(JC6&gt;=JI$19,JC6&lt;&gt;""),AND(JG6&gt;=JI$19,JG6&lt;&gt;""),AND(JY6&gt;=KE$19,JY6&lt;&gt;""),AND(KC6&gt;=KE$19,KC6&lt;&gt;""),AND(KU6&gt;=LA$19,KU6&lt;&gt;""),AND(KY6&gt;=LA$19,KY6&lt;&gt;""),AND(LQ6&gt;=LW$19,LQ6&lt;&gt;""),AND(LU6&gt;=LW$19,LU6&lt;&gt;""),AND(MM6&gt;=MS$19,MM6&lt;&gt;""),AND(MQ6&gt;=MS$19,MQ6&lt;&gt;""),AND(NI6&gt;=NO$19,NI6&lt;&gt;""),AND(NM6&gt;=NO$19,NM6&lt;&gt;"")),"Excellence",IF(OR(AND(AR6&gt;=AY$18,AR6&lt;&gt;"",AP6=""),AND(AT6&gt;=AY$18,AT6&lt;&gt;"",AP6=""),AND(AW6&gt;=AY$18,AW6&lt;&gt;"",AP6=""),AND(BV6&gt;=CC$18,BV6&lt;&gt;"",BT6=""),AND(BX6&gt;=CC$18,BX6&lt;&gt;"",BT6=""),AND(CA6&gt;=CC$18,CA6&lt;&gt;"",BT6=""),AND(CZ6&gt;=DG$18,CZ6&lt;&gt;"",CX6=""),AND(DB6&gt;=DG$18,DB6&lt;&gt;"",CX6=""),AND(DE6&gt;=DG$18,DE6&lt;&gt;"",CX6=""),AND(EA6&gt;=EG$18,EA6&lt;&gt;""),AND(EE6&gt;=EG$18,EE6&lt;&gt;""),AND(EW6&gt;=FC$18,EW6&lt;&gt;""),AND(FA6&gt;=FC$18,FA6&lt;&gt;""),AND(FS6&gt;=FY$18,FS6&lt;&gt;""),AND(FW6&gt;=FY$18,FW6&lt;&gt;""),AND(GO6&gt;=GU$18,GO6&lt;&gt;""),AND(GS6&gt;=GU$18,GS6&lt;&gt;""),AND(HK6&gt;=HQ$18,HK6&lt;&gt;""),AND(HO6&gt;=HQ$18,HO6&lt;&gt;""),AND(IG6&gt;=IM$18,IG6&lt;&gt;""),AND(IK6&gt;=IM$18,IK6&lt;&gt;""),AND(JC6&gt;=JI$18,JC6&lt;&gt;""),AND(JG6&gt;=JI$18,JG6&lt;&gt;""),AND(JY6&gt;=KE$18,JY6&lt;&gt;""),AND(KC6&gt;=KE$18,KC6&lt;&gt;""),AND(KU6&gt;=LA$18,KU6&lt;&gt;""),AND(KY6&gt;=LA$18,KY6&lt;&gt;""),AND(LQ6&gt;=LW$18,LQ6&lt;&gt;""),AND(LU6&gt;=LW$18,LU6&lt;&gt;""),AND(MM6&gt;=MS$18,MM6&lt;&gt;""),AND(MQ6&gt;=MS$18,MQ6&lt;&gt;""),AND(NI6&gt;=NO$18,NI6&lt;&gt;""),AND(NM6&gt;=NO$18,NM6&lt;&gt;"")),"Worlds Team",IF(OR(AND(AR6&gt;=AY$17,AR6&lt;&gt;"",AP6=""),AND(AT6&gt;=AY$17,AT6&lt;&gt;"",AP6=""),AND(AW6&gt;=AY$17,AW6&lt;&gt;"",AP6=""),AND(BV6&gt;=CC$17,BV6&lt;&gt;"",BT6=""),AND(BX6&gt;=CC$17,BX6&lt;&gt;"",BT6=""),AND(CA6&gt;=CC$17,CA6&lt;&gt;"",BT6=""),AND(CZ6&gt;=DG$17,CZ6&lt;&gt;"",CX6=""),AND(DB6&gt;=DG$17,DB6&lt;&gt;"",CX6=""),AND(DE6&gt;=DG$17,DE6&lt;&gt;"",CX6=""),AND(EA6&gt;=EG$17,EA6&lt;&gt;""),AND(EE6&gt;=EG$17,EE6&lt;&gt;""),AND(EW6&gt;=FC$17,EW6&lt;&gt;""),AND(FA6&gt;=FC$17,FA6&lt;&gt;""),AND(FS6&gt;=FY$17,FS6&lt;&gt;""),AND(FW6&gt;=FY$17,FW6&lt;&gt;""),AND(GO6&gt;=GU$17,GO6&lt;&gt;""),AND(GS6&gt;=GU$17,GS6&lt;&gt;""),AND(HK6&gt;=HQ$17,HK6&lt;&gt;""),AND(HO6&gt;=HQ$17,HO6&lt;&gt;""),AND(IG6&gt;=IM$17,IG6&lt;&gt;""),AND(IK6&gt;=IM$17,IK6&lt;&gt;""),AND(JC6&gt;=JI$17,JC6&lt;&gt;""),AND(JG6&gt;=JI$17,JG6&lt;&gt;""),AND(JY6&gt;=KE$17,JY6&lt;&gt;""),AND(KC6&gt;=KE$17,KC6&lt;&gt;""),AND(KU6&gt;=LA$17,KU6&lt;&gt;""),AND(KY6&gt;=LA$17,KY6&lt;&gt;""),AND(LQ6&gt;=LW$17,LQ6&lt;&gt;""),AND(LU6&gt;=LW$17,LU6&lt;&gt;""),AND(MM6&gt;=MS$17,MM6&lt;&gt;""),AND(MQ6&gt;=MS$17,MQ6&lt;&gt;""),AND(NI6&gt;=NO$17,NI6&lt;&gt;""),AND(NM6&gt;=NO$17,NM6&lt;&gt;"")),"National Team",""))))</f>
        <v>Merit</v>
      </c>
      <c r="H6" s="125" t="str">
        <f>IF(OR(AND(AS6&gt;=AY$24,AS6&lt;&gt;"",AP6=""),AND(AU6&gt;=AY$24,AU6&lt;&gt;"",AP6=""),AND(AX6&gt;=AY$24,AX6&lt;&gt;"",AP6=""),AND(BW6&gt;=CC$24,BW6&lt;&gt;"",BT6=""),AND(BY6&gt;=CC$24,BY6&lt;&gt;"",BT6=""),AND(CB6&gt;=CC$24,CB6&lt;&gt;"",BT6=""),AND(DA6&gt;=DG$24,DA6&lt;&gt;"",CX6=""),AND(DC6&gt;=DG$24,DC6&lt;&gt;"",CX6=""),AND(DF6&gt;=DG$24,DF6&lt;&gt;"",CX6=""),AND(EC6&gt;=EG$24,EC6&lt;&gt;""),AND(EF6&gt;=EG$24,EF6&lt;&gt;""),AND(EY6&gt;=FC$24,EY6&lt;&gt;""),AND(FB6&gt;=FC$24,FB6&lt;&gt;""),AND(FU6&gt;=FY$24,FU6&lt;&gt;""),AND(FX6&gt;=FY$24,FX6&lt;&gt;""),AND(GQ6&gt;=GU$24,GQ6&lt;&gt;""),AND(GT6&gt;=GU$24,GT6&lt;&gt;""),AND(HM6&gt;=HQ$24,HM6&lt;&gt;""),AND(HP6&gt;=HQ$24,HP6&lt;&gt;""),AND(II6&gt;=IM$24,II6&lt;&gt;""),AND(IL6&gt;=IM$24,IL6&lt;&gt;""),AND(JE6&gt;=JI$24,JE6&lt;&gt;""),AND(JH6&gt;=JI$24,JH6&lt;&gt;""),AND(KA6&gt;=KE$24,KA6&lt;&gt;""),AND(KD6&gt;=KE$24,KD6&lt;&gt;""),AND(KW6&gt;=LA$24,KW6&lt;&gt;""),AND(KZ6&gt;=LA$24,KZ6&lt;&gt;""),AND(LS6&gt;=LW$24,LS6&lt;&gt;""),AND(LV6&gt;=LW$24,LV6&lt;&gt;""),AND(MO6&gt;=MS$24,MO6&lt;&gt;""),AND(MR6&gt;=MS$24,MR6&lt;&gt;""),AND(NK6&gt;=NO$24,NK6&lt;&gt;""),AND(NN6&gt;=NO$24,NN6&lt;&gt;"")),"Merit",IF(OR(AND(AS6&gt;=AY$23,AS6&lt;&gt;"",AP6=""),AND(AU6&gt;=AY$23,AU6&lt;&gt;"",AP6=""),AND(AX6&gt;=AY$23,AX6&lt;&gt;"",AP6=""),AND(BW6&gt;=CC$23,BW6&lt;&gt;"",BT6=""),AND(BY6&gt;=CC$23,BY6&lt;&gt;"",BT6=""),AND(CB6&gt;=CC$23,CB6&lt;&gt;"",BT6=""),AND(DA6&gt;=DG$23,DA6&lt;&gt;"",CX6=""),AND(DC6&gt;=DG$23,DC6&lt;&gt;"",CX6=""),AND(DF6&gt;=DG$23,DF6&lt;&gt;"",CX6=""),AND(EC6&gt;=EG$23,EC6&lt;&gt;""),AND(EF6&gt;=EG$23,EF6&lt;&gt;""),AND(EY6&gt;=FC$23,EY6&lt;&gt;""),AND(FB6&gt;=FC$23,FB6&lt;&gt;""),AND(FU6&gt;=FY$23,FU6&lt;&gt;""),AND(FX6&gt;=FY$23,FX6&lt;&gt;""),AND(GQ6&gt;=GU$23,GQ6&lt;&gt;""),AND(GT6&gt;=GU$23,GT6&lt;&gt;""),AND(HM6&gt;=HQ$23,HM6&lt;&gt;""),AND(HP6&gt;=HQ$23,HP6&lt;&gt;""),AND(II6&gt;=IM$23,II6&lt;&gt;""),AND(IL6&gt;=IM$23,IL6&lt;&gt;""),AND(JE6&gt;=JI$23,JE6&lt;&gt;""),AND(JH6&gt;=JI$23,JH6&lt;&gt;""),AND(KA6&gt;=KE$23,KA6&lt;&gt;""),AND(KD6&gt;=KE$23,KD6&lt;&gt;""),AND(KW6&gt;=LA$23,KW6&lt;&gt;""),AND(KZ6&gt;=LA$23,KZ6&lt;&gt;""),AND(LS6&gt;=LW$23,LS6&lt;&gt;""),AND(LV6&gt;=LW$23,LV6&lt;&gt;""),AND(MO6&gt;=MS$23,MO6&lt;&gt;""),AND(MR6&gt;=MS$23,MR6&lt;&gt;""),AND(NK6&gt;=NO$23,NK6&lt;&gt;""),AND(NN6&gt;=NO$23,NN6&lt;&gt;"")),"Excellence",IF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"Worlds Team",IF(OR(AND(AV6&gt;=AY$21,AV6&lt;&gt;"",AP6=""),AND(BZ6&gt;=CC$21,BZ6&lt;&gt;"",BT6=""),AND(DD6&gt;=DG$21,DD6&lt;&gt;"",CX6=""),AND(ED6&gt;=EG$21,ED6&lt;&gt;""),AND(EZ6&gt;=FC$21,EZ6&lt;&gt;""),AND(FV6&gt;=FY$21,FV6&lt;&gt;""),AND(GR6&gt;=GU$21,GR6&lt;&gt;""),AND(HN6&gt;=HQ$21,HN6&lt;&gt;""),AND(IJ6&gt;=IM$21,IJ6&lt;&gt;""),AND(JF6&gt;=JI$21,JF6&lt;&gt;""),AND(KB6&gt;=KE$21,KB6&lt;&gt;""),AND(KX6&gt;=LA$21,KX6&lt;&gt;""),AND(LT6&gt;=LW$21,LT6&lt;&gt;""),AND(MP6&gt;=MS$21,MP6&lt;&gt;""),AND(NL6&gt;=NO$21,NL6&lt;&gt;"")),"National Team",""))))</f>
        <v>Merit</v>
      </c>
      <c r="I6" s="126" t="str">
        <f>IF(AND(G6="Merit",H6="Merit"),"Merit",IF(AND(OR(G6="Merit",G6="Excellence"),OR(H6="Merit",H6="Excellence")),"Excellence",IF(AND(OR(G6="Merit",G6="Excellence",G6="Worlds Team"),OR(H6="Merit",H6="Excellence",H6="Worlds Team")),"Worlds Team",IF(AND(OR(G6="Merit",G6="Excellence",G6="Worlds Team",G6="National Team"),OR(H6="Merit",H6="Excellence",H6="Worlds Team",H6="National Team")),"National Team",IF(OR(H6="Merit",H6="Excellence",H6="Worlds Team",H6="National Team"),"No DD","")))))</f>
        <v>Merit</v>
      </c>
      <c r="J6" s="3" t="str">
        <f>IF(AND(OR(AND(AV6&gt;=AY$22,AV6&lt;&gt;"",AP6=""),AND(BZ6&gt;=CC$22,BZ6&lt;&gt;"",BT6=""),AND(DD6&gt;=DG$22,DD6&lt;&gt;"",CX6=""),AND(ED6&gt;=EG$22,ED6&lt;&gt;""),AND(EZ6&gt;=FC$22,EZ6&lt;&gt;""),AND(FV6&gt;=FY$22,FV6&lt;&gt;""),AND(GR6&gt;=GU$22,GR6&lt;&gt;""),AND(HN6&gt;=HQ$22,HN6&lt;&gt;""),AND(IJ6&gt;=IM$22,IJ6&lt;&gt;""),AND(JF6&gt;=JI$22,JF6&lt;&gt;""),AND(KB6&gt;=KE$22,KB6&lt;&gt;""),AND(KX6&gt;=LA$22,KX6&lt;&gt;""),AND(LT6&gt;=LW$22,LT6&lt;&gt;""),AND(MP6&gt;=MS$22,MP6&lt;&gt;""),AND(NL6&gt;=NO$22,NL6&lt;&gt;"")),OR(G6="Worlds Team",G6="Excellence",G6="Merit")),"P","")</f>
        <v>P</v>
      </c>
      <c r="K6" s="14">
        <f>IF(MAX(AV6,BZ6,DD6)&gt;0,MAX(AV6,BZ6,DD6),0)</f>
        <v>103.97</v>
      </c>
      <c r="L6" s="14" t="str">
        <f>IF(K6=0,"",IF(K6=DD6,$CD$1,IF(K6=BZ6,$AZ$1,IF(K6=AV6,$V$1,""))))</f>
        <v>2021 Canadian Championships</v>
      </c>
      <c r="M6" s="14">
        <f>IF($K6=$AV6,MAX(BU6,CY6),IF($K6=$BZ6,MAX(AQ6,CY6),IF($K6=$DD6,MAX(AQ6,BU6),MAX(AQ6,BU6,CY6))))</f>
        <v>47.002499999999998</v>
      </c>
      <c r="N6" s="14" t="str">
        <f>IF(M6=0,"",IF(AND(M6=CY6,$L6&lt;&gt;$CD$1),$CD$1,IF(AND(M6=BU6,$L6&lt;&gt;$AZ$1),$AZ$1,IF(AND(M6=AQ6,$L6&lt;&gt;$V$1),$V$1,""))))</f>
        <v>2021 Elite Canada</v>
      </c>
      <c r="O6" s="14">
        <f>IF(K6-N(AQ6)=AS6,MAX(AU6,BW6,BY6,DA6,DC6),IF(K6-N(AQ6)=AU6,MAX(AS6,BW6,BY6,DA6,DC6),IF(K6-N(BU6)=BW6,MAX(AS6,AU6,BY6,DA6,DC6),IF(K6-N(BU6)=BY6,MAX(AS6,AU6,BW6,DA6,DC6),IF(K6-N(CY6)=DA6,MAX(AS6,AU6,BW6,BY6,DC6),IF(K6-N(CY6)=DC6,MAX(AS6,AU6,BW6,BY6,DA6),MAX(AS6,AU6,BW6,BY6,DA6,DC6)))))))</f>
        <v>54.400000000000006</v>
      </c>
      <c r="P6" s="14" t="str">
        <f>IF(O6=0,"",IF(OR(O6=DC6,O6=DA6),$CD$1,IF(OR(O6=BY6,O6=BW6),$AZ$1,IF(OR(O6=AU6,O6=AS6),$V$1,""))))</f>
        <v>2021 Elite Canada</v>
      </c>
      <c r="Q6" s="14">
        <f>MAX(AX6,CB6,DF6)</f>
        <v>55.050000000000004</v>
      </c>
      <c r="R6" s="14" t="str">
        <f>IF(Q6=0,"",IF(Q6=DF6,$CD$1,IF(Q6=CB6,$AZ$1,IF(Q6=AX6,$V$1,""))))</f>
        <v>2021 Canadian Championships</v>
      </c>
      <c r="S6" s="14">
        <f>IF(MAX(DH6,DI6,DJ6,DK6)&gt;0,MAX(DH6,DI6,DJ6,DK6),"")</f>
        <v>1.3975000000000009</v>
      </c>
      <c r="T6" s="25" t="str">
        <f>IF(S6="","",IF(S6=DH6,"(Vol 1)",IF(S6=DI6,"(Vol 2)",IF(S6=DJ6,"(Prelim)",IF(S6=DK6,"(Final)")))))</f>
        <v>(Vol 1)</v>
      </c>
      <c r="U6" s="14" t="str">
        <f>IF(S6="","",IF(S6=DH6,IF(S6+IF(M6="",0,M6)=NJ6,$MT$1,IF(S6+IF(M6="",0,M6)=MN6,$LX$1,IF(S6+IF(M6="",0,M6)=LR6,$LB$1,IF(S6+IF(M6="",0,M6)=KV6,$KF$1,IF(S6+IF(M6="",0,M6)=JZ6,$JJ$1,IF(S6+IF(M6="",0,M6)=JD6,$IN$1,IF(S6+IF(M6="",0,M6)=IH6,$HR$1,IF(S6+IF(M6="",0,M6)=HL6,$GV$1,IF(S6+IF(M6="",0,M6)=GP6,$FZ$1,IF(S6+IF(M6="",0,M6)=FT6,$FD$1,IF(S6+IF(M6="",0,M6)=EX6,$EH$1,IF(S6+IF(M6="",0,M6)=EB6,$DL$1)))))))))))),IF(S6=DI6,IF(S6+IF(O6="",0,O6)=NK6,$MT$1,IF(S6+IF(O6="",0,O6)=MO6,$LX$1,IF(S6+IF(O6="",0,O6)=LS6,$LB$1,IF(S6+IF(O6="",0,O6)=KW6,$KF$1,IF(S6+IF(O6="",0,O6)=KA6,$JJ$1,IF(S6+IF(O6="",0,O6)=JE6,$IN$1,IF(S6+IF(O6="",0,O6)=II6,$HR$1,IF(S6+IF(O6="",0,O6)=HM6,$GV$1,IF(S6+IF(O6="",0,O6)=GQ6,$FZ$1,IF(S6+IF(O6="",0,O6)=FU6,$FD$1,IF(S6+IF(O6="",0,O6)=EY6,$EH$1,IF(S6+IF(O6="",0,O6)=EC6,$DL$1)))))))))))),IF(S6=DJ6,IF(S6+IF(K6="",0,K6)=NL6,$MT$1,IF(S6+IF(K6="",0,K6)=MP6,$LX$1,IF(S6+IF(K6="",0,K6)=LT6,$LB$1,IF(S6+IF(K6="",0,K6)=KX6,$KF$1,IF(S6+IF(K6="",0,K6)=KB6,$JJ$1,IF(S6+IF(K6="",0,K6)=JF6,$IN$1,IF(S6+IF(K6="",0,K6)=IJ6,$HR$1,IF(S6+IF(K6="",0,K6)=HN6,$GV$1,IF(S6+IF(K6="",0,K6)=GR6,$FZ$1,IF(S6+IF(K6="",0,K6)=FV6,$FD$1,IF(S6+IF(K6="",0,K6)=EZ6,$EH$1,IF(S6+IF(K6="",0,K6)=ED6,$DL$1)))))))))))),IF(S6=DK6,IF(S6+IF(Q6="",0,Q6)=NN6,$MT$1,IF(S6+IF(Q6="",0,Q6)=MR6,$LX$1,IF(S6+IF(Q6="",0,Q6)=LV6,$LB$1,IF(S6+IF(Q6="",0,Q6)=KZ6,$KF$1,IF(S6+IF(Q6="",0,Q6)=KD6,$JJ$1,IF(S6+IF(Q6="",0,Q6)=JH6,$IN$1,IF(S6+IF(Q6="",0,Q6)=IL6,$HR$1,IF(S6+IF(Q6="",0,Q6)=HP6,$GV$1,IF(S6+IF(Q6="",0,Q6)=GT6,$FZ$1,IF(S6+IF(Q6="",0,Q6)=FX6,$FD$1,IF(S6+IF(Q6="",0,Q6)=FB6,$EH$1,IF(S6+IF(Q6="",0,Q6)=EF6,$DL$1)))))))))))))))))</f>
        <v>2021 World Cup ITA/Olympic Technical Trial (June 4/9)</v>
      </c>
      <c r="V6" s="69">
        <v>16.399999999999999</v>
      </c>
      <c r="W6" s="69">
        <v>9.5</v>
      </c>
      <c r="X6" s="69">
        <v>4.4000000000000004</v>
      </c>
      <c r="Y6" s="69">
        <v>16.145</v>
      </c>
      <c r="Z6" s="69">
        <v>0</v>
      </c>
      <c r="AA6" s="69">
        <v>16</v>
      </c>
      <c r="AB6" s="69">
        <v>9</v>
      </c>
      <c r="AC6" s="69">
        <v>12.5</v>
      </c>
      <c r="AD6" s="69">
        <v>14.89</v>
      </c>
      <c r="AE6" s="69">
        <v>0.6</v>
      </c>
      <c r="AF6" s="69">
        <v>16.899999999999999</v>
      </c>
      <c r="AG6" s="69">
        <v>9</v>
      </c>
      <c r="AH6" s="69">
        <v>13.3</v>
      </c>
      <c r="AI6" s="69">
        <v>14.96</v>
      </c>
      <c r="AJ6" s="69">
        <v>0</v>
      </c>
      <c r="AK6" s="69">
        <v>16.600000000000001</v>
      </c>
      <c r="AL6" s="69">
        <v>9</v>
      </c>
      <c r="AM6" s="69">
        <v>13.3</v>
      </c>
      <c r="AN6" s="69">
        <v>14.91</v>
      </c>
      <c r="AO6" s="69">
        <v>0</v>
      </c>
      <c r="AP6" s="80"/>
      <c r="AQ6" s="11">
        <f>IF(SUM(V6:Y6)-Z6&gt;0,SUM(V6:Y6)-Z6,"")</f>
        <v>46.444999999999993</v>
      </c>
      <c r="AR6" s="11">
        <f>IF(AC6&gt;0,AC6,"")</f>
        <v>12.5</v>
      </c>
      <c r="AS6" s="11">
        <f>IF(SUM(AA6:AD6)-AE6&gt;0,SUM(AA6:AD6)-AE6,"")</f>
        <v>51.79</v>
      </c>
      <c r="AT6" s="11">
        <f>IF(AH6&gt;0,AH6,"")</f>
        <v>13.3</v>
      </c>
      <c r="AU6" s="11">
        <f>IF(SUM(AF6:AI6)-AJ6&gt;0,SUM(AF6:AI6)-AJ6,"")</f>
        <v>54.160000000000004</v>
      </c>
      <c r="AV6" s="11">
        <f>IF(AQ6="",IF(MAX(AS6,AU6)&gt;0,MAX(AS6,AU6),""),MAX(AS6,AU6)+AQ6)</f>
        <v>100.60499999999999</v>
      </c>
      <c r="AW6" s="11">
        <f>IF(AM6&gt;0,AM6,"")</f>
        <v>13.3</v>
      </c>
      <c r="AX6" s="11">
        <f>IF(SUM(AK6:AN6)-AO6&gt;0,SUM(AK6:AN6)-AO6,"")</f>
        <v>53.81</v>
      </c>
      <c r="AY6" s="11">
        <f>IF(SUM(AV6,AX6)&gt;0,SUM(AV6,AX6),"")</f>
        <v>154.41499999999999</v>
      </c>
      <c r="AZ6" s="75">
        <v>17.049999999999997</v>
      </c>
      <c r="BA6" s="75">
        <v>9.4</v>
      </c>
      <c r="BB6" s="75">
        <v>4.4000000000000004</v>
      </c>
      <c r="BC6" s="75">
        <v>16.1525</v>
      </c>
      <c r="BD6" s="75">
        <v>0</v>
      </c>
      <c r="BE6" s="75">
        <v>16.149999999999999</v>
      </c>
      <c r="BF6" s="75">
        <v>9.1999999999999993</v>
      </c>
      <c r="BG6" s="75">
        <v>12.6</v>
      </c>
      <c r="BH6" s="75">
        <v>15.164999999999999</v>
      </c>
      <c r="BI6" s="75">
        <v>0.3</v>
      </c>
      <c r="BJ6" s="75">
        <v>16.850000000000001</v>
      </c>
      <c r="BK6" s="75">
        <v>9.25</v>
      </c>
      <c r="BL6" s="75">
        <v>13.3</v>
      </c>
      <c r="BM6" s="75">
        <v>15</v>
      </c>
      <c r="BN6" s="75">
        <v>0</v>
      </c>
      <c r="BO6" s="75">
        <v>17</v>
      </c>
      <c r="BP6" s="75">
        <v>9.4</v>
      </c>
      <c r="BQ6" s="75">
        <v>13.3</v>
      </c>
      <c r="BR6" s="75">
        <v>15.015000000000001</v>
      </c>
      <c r="BS6" s="75">
        <v>0</v>
      </c>
      <c r="BT6" s="81" t="s">
        <v>74</v>
      </c>
      <c r="BU6" s="14">
        <f>IF(SUM(AZ6:BC6)-BD6&gt;0,SUM(AZ6:BC6)-BD6,"")</f>
        <v>47.002499999999998</v>
      </c>
      <c r="BV6" s="14">
        <f>IF(BG6&gt;0,BG6,"")</f>
        <v>12.6</v>
      </c>
      <c r="BW6" s="14">
        <f>IF(SUM(BE6:BH6)-BI6&gt;0,SUM(BE6:BH6)-BI6,"")</f>
        <v>52.814999999999998</v>
      </c>
      <c r="BX6" s="14">
        <f>IF(BL6&gt;0,BL6,"")</f>
        <v>13.3</v>
      </c>
      <c r="BY6" s="14">
        <f>IF(SUM(BJ6:BM6)-BN6&gt;0,SUM(BJ6:BM6)-BN6,"")</f>
        <v>54.400000000000006</v>
      </c>
      <c r="BZ6" s="14">
        <f>IF(BU6="",IF(MAX(BW6,BY6)&gt;0,MAX(BW6,BY6),""),MAX(BW6,BY6)+BU6)</f>
        <v>101.4025</v>
      </c>
      <c r="CA6" s="14">
        <f>IF(BQ6&gt;0,BQ6,"")</f>
        <v>13.3</v>
      </c>
      <c r="CB6" s="14">
        <f>IF(SUM(BO6:BR6)-BS6&gt;0,SUM(BO6:BR6)-BS6,"")</f>
        <v>54.715000000000003</v>
      </c>
      <c r="CC6" s="14">
        <f>IF(SUM(BZ6,CB6)&gt;0,SUM(BZ6,CB6),"")</f>
        <v>156.11750000000001</v>
      </c>
      <c r="CD6" s="69">
        <v>18.100000000000001</v>
      </c>
      <c r="CE6" s="69">
        <v>9.9</v>
      </c>
      <c r="CF6" s="69">
        <v>4.5999999999999996</v>
      </c>
      <c r="CG6" s="69">
        <v>16.170000000000002</v>
      </c>
      <c r="CH6" s="69">
        <v>0</v>
      </c>
      <c r="CI6" s="69">
        <v>16.600000000000001</v>
      </c>
      <c r="CJ6" s="69">
        <v>9.1999999999999993</v>
      </c>
      <c r="CK6" s="69">
        <v>13.7</v>
      </c>
      <c r="CL6" s="69">
        <v>14.885</v>
      </c>
      <c r="CM6" s="69">
        <v>0</v>
      </c>
      <c r="CN6" s="69">
        <v>16.899999999999999</v>
      </c>
      <c r="CO6" s="69">
        <v>9.5</v>
      </c>
      <c r="CP6" s="69">
        <v>13.7</v>
      </c>
      <c r="CQ6" s="69">
        <v>15.1</v>
      </c>
      <c r="CR6" s="69">
        <v>0</v>
      </c>
      <c r="CS6" s="69">
        <v>16.7</v>
      </c>
      <c r="CT6" s="69">
        <v>9.5</v>
      </c>
      <c r="CU6" s="69">
        <v>14</v>
      </c>
      <c r="CV6" s="69">
        <v>14.85</v>
      </c>
      <c r="CW6" s="69">
        <v>0</v>
      </c>
      <c r="CX6" s="80"/>
      <c r="CY6" s="11">
        <f>IF(SUM(CD6:CG6)-CH6&gt;0,SUM(CD6:CG6)-CH6,"")</f>
        <v>48.77</v>
      </c>
      <c r="CZ6" s="11">
        <f>IF(CK6&gt;0,CK6,"")</f>
        <v>13.7</v>
      </c>
      <c r="DA6" s="11">
        <f>IF(SUM(CI6:CL6)-CM6&gt;0,SUM(CI6:CL6)-CM6,"")</f>
        <v>54.384999999999998</v>
      </c>
      <c r="DB6" s="11">
        <f>IF(CP6&gt;0,CP6,"")</f>
        <v>13.7</v>
      </c>
      <c r="DC6" s="11">
        <f>IF(SUM(CN6:CQ6)-CR6&gt;0,SUM(CN6:CQ6)-CR6,"")</f>
        <v>55.199999999999996</v>
      </c>
      <c r="DD6" s="11">
        <f>IF(CY6="",IF(MAX(DA6,DC6)&gt;0,MAX(DA6,DC6),""),MAX(DA6,DC6)+CY6)</f>
        <v>103.97</v>
      </c>
      <c r="DE6" s="11">
        <f>IF(CU6&gt;0,CU6,"")</f>
        <v>14</v>
      </c>
      <c r="DF6" s="11">
        <f>IF(SUM(CS6:CV6)-CW6&gt;0,SUM(CS6:CV6)-CW6,"")</f>
        <v>55.050000000000004</v>
      </c>
      <c r="DG6" s="11">
        <f>IF(SUM(DD6,DF6)&gt;0,SUM(DD6,DF6),"")</f>
        <v>159.02000000000001</v>
      </c>
      <c r="DH6" s="24">
        <f>IF(MAX(EB6,EX6,FT6,GP6,HL6,IH6,JD6,JZ6,KV6,LR6,MN6,NJ6)-IF(M6="",0,M6)&gt;0.001,MAX(EB6,EX6,FT6,GP6,HL6,IH6,JD6,JZ6,KV6,LR6,MN6,NJ6)-IF(M6="",0,M6),"")</f>
        <v>1.3975000000000009</v>
      </c>
      <c r="DI6" s="24">
        <f>IF(MAX(EC6,EY6,FU6,GQ6,HM6,II6,JE6,KA6,KW6,LS6,MO6,NK6)-IF(O6="",0,O6)&gt;0.001,MAX(EC6,EY6,FU6,GQ6,HM6,II6,JE6,KA6,KW6,LS6,MO6,NK6)-IF(O6="",0,O6),"")</f>
        <v>0.21999999999999176</v>
      </c>
      <c r="DJ6" s="24" t="str">
        <f>IF(MAX(ED6,EZ6,FV6,GR6,HN6,IJ6,JF6,KB6,KX6,LT6,MP6,NL6)-IF(K6="",0,K6)&gt;0.001,MAX(ED6,EZ6,FV6,GR6,HN6,IJ6,JF6,KB6,KX6,LT6,MP6,NL6)-IF(K6="",0,K6),"")</f>
        <v/>
      </c>
      <c r="DK6" s="24" t="str">
        <f>IF(MAX(EF6,FB6,FX6,GT6,HP6,IL6,JH6,KD6,KZ6,LV6,MR6,NN6)-IF(Q6="",0,Q6)&gt;0.001,MAX(EF6,FB6,FX6,GT6,HP6,IL6,JH6,KD6,KZ6,LV6,MR6,NN6)-IF(Q6="",0,Q6),"")</f>
        <v/>
      </c>
      <c r="DL6" s="37">
        <v>18.399999999999999</v>
      </c>
      <c r="DM6" s="37">
        <v>9.4</v>
      </c>
      <c r="DN6" s="37">
        <v>4.5999999999999996</v>
      </c>
      <c r="DO6" s="37">
        <v>16</v>
      </c>
      <c r="DP6" s="37">
        <v>0</v>
      </c>
      <c r="DQ6" s="37">
        <v>16.5</v>
      </c>
      <c r="DR6" s="37">
        <v>9.4</v>
      </c>
      <c r="DS6" s="37">
        <v>14</v>
      </c>
      <c r="DT6" s="37">
        <v>14.72</v>
      </c>
      <c r="DU6" s="37">
        <v>0</v>
      </c>
      <c r="DV6" s="37">
        <v>16.100000000000001</v>
      </c>
      <c r="DW6" s="37">
        <v>9</v>
      </c>
      <c r="DX6" s="37">
        <v>13.8</v>
      </c>
      <c r="DY6" s="37">
        <v>14.76</v>
      </c>
      <c r="DZ6" s="37">
        <v>0</v>
      </c>
      <c r="EA6" s="11">
        <f>IF(DS6&gt;0,DS6,"")</f>
        <v>14</v>
      </c>
      <c r="EB6" s="11">
        <f>IF(SUM(DL6:DO6)-DP6&gt;0,SUM(DL6:DO6)-DP6,"")</f>
        <v>48.4</v>
      </c>
      <c r="EC6" s="11">
        <f>IF(SUM(DQ6:DT6)-DU6&gt;0,SUM(DQ6:DT6)-DU6,"")</f>
        <v>54.62</v>
      </c>
      <c r="ED6" s="11">
        <f>IF(SUM(EB6:EC6)&gt;0,SUM(EB6:EC6),"")</f>
        <v>103.02</v>
      </c>
      <c r="EE6" s="11">
        <f>IF(DX6&gt;0,DX6,"")</f>
        <v>13.8</v>
      </c>
      <c r="EF6" s="11">
        <f>IF(SUM(DV6:DY6)-DZ6&gt;0,SUM(DV6:DY6)-DZ6,"")</f>
        <v>53.660000000000004</v>
      </c>
      <c r="EG6" s="11">
        <f>IF(SUM(ED6,EF6)&gt;0,SUM(ED6,EF6),"")</f>
        <v>156.68</v>
      </c>
      <c r="EH6" s="38"/>
      <c r="EI6" s="38"/>
      <c r="EJ6" s="38"/>
      <c r="EK6" s="38"/>
      <c r="EL6" s="38"/>
      <c r="EM6" s="38"/>
      <c r="EN6" s="38"/>
      <c r="EO6" s="38"/>
      <c r="EP6" s="38"/>
      <c r="EQ6" s="38"/>
      <c r="ER6" s="38"/>
      <c r="ES6" s="38"/>
      <c r="ET6" s="38"/>
      <c r="EU6" s="38"/>
      <c r="EV6" s="38"/>
      <c r="EW6" s="14" t="str">
        <f>IF(EO6&gt;0,EO6,"")</f>
        <v/>
      </c>
      <c r="EX6" s="14" t="str">
        <f>IF(SUM(EH6:EK6)-EL6&gt;0,SUM(EH6:EK6)-EL6,"")</f>
        <v/>
      </c>
      <c r="EY6" s="14" t="str">
        <f>IF(SUM(EM6:EP6)-EQ6&gt;0,SUM(EM6:EP6)-EQ6,"")</f>
        <v/>
      </c>
      <c r="EZ6" s="14" t="str">
        <f>IF(SUM(EX6:EY6)&gt;0,SUM(EX6:EY6),"")</f>
        <v/>
      </c>
      <c r="FA6" s="14" t="str">
        <f>IF(ET6&gt;0,ET6,"")</f>
        <v/>
      </c>
      <c r="FB6" s="14" t="str">
        <f>IF(SUM(ER6:EU6)-EV6&gt;0,SUM(ER6:EU6)-EV6,"")</f>
        <v/>
      </c>
      <c r="FC6" s="14" t="str">
        <f>IF(SUM(EZ6,FB6)&gt;0,SUM(EZ6,FB6),"")</f>
        <v/>
      </c>
      <c r="FD6" s="37"/>
      <c r="FE6" s="37"/>
      <c r="FF6" s="37"/>
      <c r="FG6" s="37"/>
      <c r="FH6" s="37"/>
      <c r="FI6" s="37"/>
      <c r="FJ6" s="37"/>
      <c r="FK6" s="37"/>
      <c r="FL6" s="37"/>
      <c r="FM6" s="37"/>
      <c r="FN6" s="37"/>
      <c r="FO6" s="37"/>
      <c r="FP6" s="37"/>
      <c r="FQ6" s="37"/>
      <c r="FR6" s="37"/>
      <c r="FS6" s="11" t="str">
        <f>IF(FK6&gt;0,FK6,"")</f>
        <v/>
      </c>
      <c r="FT6" s="11" t="str">
        <f>IF(SUM(FD6:FG6)-FH6&gt;0,SUM(FD6:FG6)-FH6,"")</f>
        <v/>
      </c>
      <c r="FU6" s="11" t="str">
        <f>IF(SUM(FI6:FL6)-FM6&gt;0,SUM(FI6:FL6)-FM6,"")</f>
        <v/>
      </c>
      <c r="FV6" s="11" t="str">
        <f>IF(SUM(FT6:FU6)&gt;0,SUM(FT6:FU6),"")</f>
        <v/>
      </c>
      <c r="FW6" s="11" t="str">
        <f>IF(FP6&gt;0,FP6,"")</f>
        <v/>
      </c>
      <c r="FX6" s="11" t="str">
        <f>IF(SUM(FN6:FQ6)-FR6&gt;0,SUM(FN6:FQ6)-FR6,"")</f>
        <v/>
      </c>
      <c r="FY6" s="11" t="str">
        <f>IF(SUM(FV6,FX6)&gt;0,SUM(FV6,FX6),"")</f>
        <v/>
      </c>
      <c r="FZ6" s="38"/>
      <c r="GA6" s="38"/>
      <c r="GB6" s="38"/>
      <c r="GC6" s="38"/>
      <c r="GD6" s="38"/>
      <c r="GE6" s="38"/>
      <c r="GF6" s="38"/>
      <c r="GG6" s="38"/>
      <c r="GH6" s="38"/>
      <c r="GI6" s="38"/>
      <c r="GJ6" s="38"/>
      <c r="GK6" s="38"/>
      <c r="GL6" s="38"/>
      <c r="GM6" s="38"/>
      <c r="GN6" s="38"/>
      <c r="GO6" s="14" t="str">
        <f>IF(GG6&gt;0,GG6,"")</f>
        <v/>
      </c>
      <c r="GP6" s="14" t="str">
        <f>IF(SUM(FZ6:GC6)-GD6&gt;0,SUM(FZ6:GC6)-GD6,"")</f>
        <v/>
      </c>
      <c r="GQ6" s="14" t="str">
        <f>IF(SUM(GE6:GH6)-GI6&gt;0,SUM(GE6:GH6)-GI6,"")</f>
        <v/>
      </c>
      <c r="GR6" s="14" t="str">
        <f>IF(SUM(GP6:GQ6)&gt;0,SUM(GP6:GQ6),"")</f>
        <v/>
      </c>
      <c r="GS6" s="14" t="str">
        <f>IF(GL6&gt;0,GL6,"")</f>
        <v/>
      </c>
      <c r="GT6" s="14" t="str">
        <f>IF(SUM(GJ6:GM6)-GN6&gt;0,SUM(GJ6:GM6)-GN6,"")</f>
        <v/>
      </c>
      <c r="GU6" s="14" t="str">
        <f>IF(SUM(GR6,GT6)&gt;0,SUM(GR6,GT6),"")</f>
        <v/>
      </c>
      <c r="GV6" s="37"/>
      <c r="GW6" s="37"/>
      <c r="GX6" s="37"/>
      <c r="GY6" s="37"/>
      <c r="GZ6" s="37"/>
      <c r="HA6" s="37"/>
      <c r="HB6" s="37"/>
      <c r="HC6" s="37"/>
      <c r="HD6" s="37"/>
      <c r="HE6" s="37"/>
      <c r="HF6" s="37"/>
      <c r="HG6" s="37"/>
      <c r="HH6" s="37"/>
      <c r="HI6" s="37"/>
      <c r="HJ6" s="37"/>
      <c r="HK6" s="11" t="str">
        <f>IF(HC6&gt;0,HC6,"")</f>
        <v/>
      </c>
      <c r="HL6" s="11" t="str">
        <f>IF(SUM(GV6:GY6)-GZ6&gt;0,SUM(GV6:GY6)-GZ6,"")</f>
        <v/>
      </c>
      <c r="HM6" s="11" t="str">
        <f>IF(SUM(HA6:HD6)-HE6&gt;0,SUM(HA6:HD6)-HE6,"")</f>
        <v/>
      </c>
      <c r="HN6" s="11" t="str">
        <f>IF(SUM(HL6:HM6)&gt;0,SUM(HL6:HM6),"")</f>
        <v/>
      </c>
      <c r="HO6" s="11" t="str">
        <f>IF(HH6&gt;0,HH6,"")</f>
        <v/>
      </c>
      <c r="HP6" s="11" t="str">
        <f>IF(SUM(HF6:HI6)-HJ6&gt;0,SUM(HF6:HI6)-HJ6,"")</f>
        <v/>
      </c>
      <c r="HQ6" s="11" t="str">
        <f>IF(SUM(HN6,HP6)&gt;0,SUM(HN6,HP6),"")</f>
        <v/>
      </c>
      <c r="HR6" s="38"/>
      <c r="HS6" s="38"/>
      <c r="HT6" s="38"/>
      <c r="HU6" s="38"/>
      <c r="HV6" s="38"/>
      <c r="HW6" s="38"/>
      <c r="HX6" s="38"/>
      <c r="HY6" s="38"/>
      <c r="HZ6" s="38"/>
      <c r="IA6" s="38"/>
      <c r="IB6" s="38"/>
      <c r="IC6" s="38"/>
      <c r="ID6" s="38"/>
      <c r="IE6" s="38"/>
      <c r="IF6" s="38"/>
      <c r="IG6" s="14" t="str">
        <f>IF(HY6&gt;0,HY6,"")</f>
        <v/>
      </c>
      <c r="IH6" s="14" t="str">
        <f>IF(SUM(HR6:HU6)-HV6&gt;0,SUM(HR6:HU6)-HV6,"")</f>
        <v/>
      </c>
      <c r="II6" s="14" t="str">
        <f>IF(SUM(HW6:HZ6)-IA6&gt;0,SUM(HW6:HZ6)-IA6,"")</f>
        <v/>
      </c>
      <c r="IJ6" s="14" t="str">
        <f>IF(SUM(IH6:II6)&gt;0,SUM(IH6:II6),"")</f>
        <v/>
      </c>
      <c r="IK6" s="14" t="str">
        <f>IF(ID6&gt;0,ID6,"")</f>
        <v/>
      </c>
      <c r="IL6" s="14" t="str">
        <f>IF(SUM(IB6:IE6)-IF6&gt;0,SUM(IB6:IE6)-IF6,"")</f>
        <v/>
      </c>
      <c r="IM6" s="14" t="str">
        <f>IF(SUM(IJ6,IL6)&gt;0,SUM(IJ6,IL6),"")</f>
        <v/>
      </c>
      <c r="IN6" s="37"/>
      <c r="IO6" s="37"/>
      <c r="IP6" s="37"/>
      <c r="IQ6" s="37"/>
      <c r="IR6" s="37"/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11" t="str">
        <f>IF(IU6&gt;0,IU6,"")</f>
        <v/>
      </c>
      <c r="JD6" s="11" t="str">
        <f>IF(SUM(IN6:IQ6)-IR6&gt;0,SUM(IN6:IQ6)-IR6,"")</f>
        <v/>
      </c>
      <c r="JE6" s="11" t="str">
        <f>IF(SUM(IS6:IV6)-IW6&gt;0,SUM(IS6:IV6)-IW6,"")</f>
        <v/>
      </c>
      <c r="JF6" s="11" t="str">
        <f>IF(SUM(JD6:JE6)&gt;0,SUM(JD6:JE6),"")</f>
        <v/>
      </c>
      <c r="JG6" s="11" t="str">
        <f>IF(IZ6&gt;0,IZ6,"")</f>
        <v/>
      </c>
      <c r="JH6" s="11" t="str">
        <f>IF(SUM(IX6:JA6)-JB6&gt;0,SUM(IX6:JA6)-JB6,"")</f>
        <v/>
      </c>
      <c r="JI6" s="11" t="str">
        <f>IF(SUM(JF6,JH6)&gt;0,SUM(JF6,JH6),"")</f>
        <v/>
      </c>
      <c r="JJ6" s="38"/>
      <c r="JK6" s="38"/>
      <c r="JL6" s="38"/>
      <c r="JM6" s="38"/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14" t="str">
        <f>IF(JQ6&gt;0,JQ6,"")</f>
        <v/>
      </c>
      <c r="JZ6" s="14" t="str">
        <f>IF(SUM(JJ6:JM6)-JN6&gt;0,SUM(JJ6:JM6)-JN6,"")</f>
        <v/>
      </c>
      <c r="KA6" s="14" t="str">
        <f>IF(SUM(JO6:JR6)-JS6&gt;0,SUM(JO6:JR6)-JS6,"")</f>
        <v/>
      </c>
      <c r="KB6" s="14" t="str">
        <f>IF(SUM(JZ6:KA6)&gt;0,SUM(JZ6:KA6),"")</f>
        <v/>
      </c>
      <c r="KC6" s="14" t="str">
        <f>IF(JV6&gt;0,JV6,"")</f>
        <v/>
      </c>
      <c r="KD6" s="14" t="str">
        <f>IF(SUM(JT6:JW6)-JX6&gt;0,SUM(JT6:JW6)-JX6,"")</f>
        <v/>
      </c>
      <c r="KE6" s="14" t="str">
        <f>IF(SUM(KB6,KD6)&gt;0,SUM(KB6,KD6),"")</f>
        <v/>
      </c>
      <c r="KF6" s="37"/>
      <c r="KG6" s="37"/>
      <c r="KH6" s="37"/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11" t="str">
        <f>IF(KM6&gt;0,KM6,"")</f>
        <v/>
      </c>
      <c r="KV6" s="11" t="str">
        <f>IF(SUM(KF6:KI6)-KJ6&gt;0,SUM(KF6:KI6)-KJ6,"")</f>
        <v/>
      </c>
      <c r="KW6" s="11" t="str">
        <f>IF(SUM(KK6:KN6)-KO6&gt;0,SUM(KK6:KN6)-KO6,"")</f>
        <v/>
      </c>
      <c r="KX6" s="11" t="str">
        <f>IF(SUM(KV6:KW6)&gt;0,SUM(KV6:KW6),"")</f>
        <v/>
      </c>
      <c r="KY6" s="11" t="str">
        <f>IF(KR6&gt;0,KR6,"")</f>
        <v/>
      </c>
      <c r="KZ6" s="11" t="str">
        <f>IF(SUM(KP6:KS6)-KT6&gt;0,SUM(KP6:KS6)-KT6,"")</f>
        <v/>
      </c>
      <c r="LA6" s="11" t="str">
        <f>IF(SUM(KX6,KZ6)&gt;0,SUM(KX6,KZ6),"")</f>
        <v/>
      </c>
      <c r="LB6" s="38"/>
      <c r="LC6" s="38"/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14" t="str">
        <f>IF(LI6&gt;0,LI6,"")</f>
        <v/>
      </c>
      <c r="LR6" s="14" t="str">
        <f>IF(SUM(LB6:LE6)-LF6&gt;0,SUM(LB6:LE6)-LF6,"")</f>
        <v/>
      </c>
      <c r="LS6" s="14" t="str">
        <f>IF(SUM(LG6:LJ6)-LK6&gt;0,SUM(LG6:LJ6)-LK6,"")</f>
        <v/>
      </c>
      <c r="LT6" s="14" t="str">
        <f>IF(SUM(LR6:LS6)&gt;0,SUM(LR6:LS6),"")</f>
        <v/>
      </c>
      <c r="LU6" s="14" t="str">
        <f>IF(LN6&gt;0,LN6,"")</f>
        <v/>
      </c>
      <c r="LV6" s="14" t="str">
        <f>IF(SUM(LL6:LO6)-LP6&gt;0,SUM(LL6:LO6)-LP6,"")</f>
        <v/>
      </c>
      <c r="LW6" s="14" t="str">
        <f>IF(SUM(LT6,LV6)&gt;0,SUM(LT6,LV6),"")</f>
        <v/>
      </c>
      <c r="LX6" s="37"/>
      <c r="LY6" s="37"/>
      <c r="LZ6" s="37"/>
      <c r="MA6" s="37"/>
      <c r="MB6" s="37"/>
      <c r="MC6" s="37"/>
      <c r="MD6" s="37"/>
      <c r="ME6" s="37"/>
      <c r="MF6" s="37"/>
      <c r="MG6" s="37"/>
      <c r="MH6" s="37"/>
      <c r="MI6" s="37"/>
      <c r="MJ6" s="37"/>
      <c r="MK6" s="37"/>
      <c r="ML6" s="37"/>
      <c r="MM6" s="11" t="str">
        <f>IF(ME6&gt;0,ME6,"")</f>
        <v/>
      </c>
      <c r="MN6" s="11" t="str">
        <f>IF(SUM(LX6:MA6)-MB6&gt;0,SUM(LX6:MA6)-MB6,"")</f>
        <v/>
      </c>
      <c r="MO6" s="11" t="str">
        <f>IF(SUM(MC6:MF6)-MG6&gt;0,SUM(MC6:MF6)-MG6,"")</f>
        <v/>
      </c>
      <c r="MP6" s="11" t="str">
        <f>IF(SUM(MN6:MO6)&gt;0,SUM(MN6:MO6),"")</f>
        <v/>
      </c>
      <c r="MQ6" s="11" t="str">
        <f>IF(MJ6&gt;0,MJ6,"")</f>
        <v/>
      </c>
      <c r="MR6" s="11" t="str">
        <f>IF(SUM(MH6:MK6)-ML6&gt;0,SUM(MH6:MK6)-ML6,"")</f>
        <v/>
      </c>
      <c r="MS6" s="11" t="str">
        <f>IF(SUM(MP6,MR6)&gt;0,SUM(MP6,MR6),"")</f>
        <v/>
      </c>
      <c r="MT6" s="38"/>
      <c r="MU6" s="38"/>
      <c r="MV6" s="38"/>
      <c r="MW6" s="38"/>
      <c r="MX6" s="38"/>
      <c r="MY6" s="38"/>
      <c r="MZ6" s="38"/>
      <c r="NA6" s="38"/>
      <c r="NB6" s="38"/>
      <c r="NC6" s="38"/>
      <c r="ND6" s="38"/>
      <c r="NE6" s="38"/>
      <c r="NF6" s="38"/>
      <c r="NG6" s="38"/>
      <c r="NH6" s="38"/>
      <c r="NI6" s="14" t="str">
        <f>IF(NA6&gt;0,NA6,"")</f>
        <v/>
      </c>
      <c r="NJ6" s="14" t="str">
        <f>IF(SUM(MT6:MW6)-MX6&gt;0,SUM(MT6:MW6)-MX6,"")</f>
        <v/>
      </c>
      <c r="NK6" s="14" t="str">
        <f>IF(SUM(MY6:NB6)-NC6&gt;0,SUM(MY6:NB6)-NC6,"")</f>
        <v/>
      </c>
      <c r="NL6" s="14" t="str">
        <f>IF(SUM(NJ6:NK6)&gt;0,SUM(NJ6:NK6),"")</f>
        <v/>
      </c>
      <c r="NM6" s="14" t="str">
        <f>IF(NF6&gt;0,NF6,"")</f>
        <v/>
      </c>
      <c r="NN6" s="14" t="str">
        <f>IF(SUM(ND6:NG6)-NH6&gt;0,SUM(ND6:NG6)-NH6,"")</f>
        <v/>
      </c>
      <c r="NO6" s="14" t="str">
        <f>IF(SUM(NL6,NN6)&gt;0,SUM(NL6,NN6),"")</f>
        <v/>
      </c>
      <c r="NP6" s="69">
        <f>IF($CX6="P",CD6,(CD6+AZ6)/2)</f>
        <v>17.574999999999999</v>
      </c>
      <c r="NQ6" s="69">
        <f>IF($CX6="P",CE6,(CE6+BA6)/2)</f>
        <v>9.65</v>
      </c>
      <c r="NR6" s="69">
        <f>IF($CX6="P",CF6,(CF6+BB6)/2)</f>
        <v>4.5</v>
      </c>
      <c r="NS6" s="69">
        <f>IF($CX6="P",CG6,(CG6+BC6)/2)</f>
        <v>16.161250000000003</v>
      </c>
      <c r="NT6" s="69">
        <f>IF($CX6="P",CH6,(CH6+BD6)/2)</f>
        <v>0</v>
      </c>
      <c r="NU6" s="69">
        <f>IF($CX6="P",CI6,(CI6+BE6)/2)</f>
        <v>16.375</v>
      </c>
      <c r="NV6" s="69">
        <f>IF($CX6="P",CJ6,(CJ6+BF6)/2)</f>
        <v>9.1999999999999993</v>
      </c>
      <c r="NW6" s="69">
        <f>IF($CX6="P",CK6,(CK6+BG6)/2)</f>
        <v>13.149999999999999</v>
      </c>
      <c r="NX6" s="69">
        <f>IF($CX6="P",CL6,(CL6+BH6)/2)</f>
        <v>15.024999999999999</v>
      </c>
      <c r="NY6" s="69">
        <f>IF($CX6="P",CM6,(CM6+BI6)/2)</f>
        <v>0.15</v>
      </c>
      <c r="NZ6" s="69">
        <f>IF($CX6="P",CN6,(CN6+BJ6)/2)</f>
        <v>16.875</v>
      </c>
      <c r="OA6" s="69">
        <f>IF($CX6="P",CO6,(CO6+BK6)/2)</f>
        <v>9.375</v>
      </c>
      <c r="OB6" s="69">
        <f>IF($CX6="P",CP6,(CP6+BL6)/2)</f>
        <v>13.5</v>
      </c>
      <c r="OC6" s="69">
        <f>IF($CX6="P",CQ6,(CQ6+BM6)/2)</f>
        <v>15.05</v>
      </c>
      <c r="OD6" s="69">
        <f>IF($CX6="P",CR6,(CR6+BN6)/2)</f>
        <v>0</v>
      </c>
      <c r="OE6" s="69">
        <f>IF($CX6="P",CS6,(CS6+BO6)/2)</f>
        <v>16.850000000000001</v>
      </c>
      <c r="OF6" s="69">
        <f>IF($CX6="P",CT6,(CT6+BP6)/2)</f>
        <v>9.4499999999999993</v>
      </c>
      <c r="OG6" s="69">
        <f>IF($CX6="P",CU6,(CU6+BQ6)/2)</f>
        <v>13.65</v>
      </c>
      <c r="OH6" s="69">
        <f>IF($CX6="P",CV6,(CV6+BR6)/2)</f>
        <v>14.932500000000001</v>
      </c>
      <c r="OI6" s="69">
        <f>IF($CX6="P",CW6,(CW6+BS6)/2)</f>
        <v>0</v>
      </c>
      <c r="OJ6" s="80" t="s">
        <v>74</v>
      </c>
      <c r="OK6" s="11">
        <f>IF(SUM(NP6:NS6)-NT6&gt;0,SUM(NP6:NS6)-NT6,"")</f>
        <v>47.886250000000004</v>
      </c>
      <c r="OL6" s="11">
        <f>IF(NW6&gt;0,NW6,"")</f>
        <v>13.149999999999999</v>
      </c>
      <c r="OM6" s="11">
        <f>IF(SUM(NU6:NX6)-NY6&gt;0,SUM(NU6:NX6)-NY6,"")</f>
        <v>53.599999999999994</v>
      </c>
      <c r="ON6" s="11">
        <f>IF(OB6&gt;0,OB6,"")</f>
        <v>13.5</v>
      </c>
      <c r="OO6" s="11">
        <f>IF(SUM(NZ6:OC6)-OD6&gt;0,SUM(NZ6:OC6)-OD6,"")</f>
        <v>54.8</v>
      </c>
      <c r="OP6" s="11">
        <f>IF(OR(OK6&lt;&gt;"",OM6&lt;&gt;"",OO6&lt;&gt;""),OK6+MAX(OM6,OO6),"")</f>
        <v>102.68625</v>
      </c>
      <c r="OQ6" s="11">
        <f>IF(OG6&gt;0,OG6,"")</f>
        <v>13.65</v>
      </c>
      <c r="OR6" s="11">
        <f t="shared" si="0"/>
        <v>54.882500000000007</v>
      </c>
      <c r="OS6" s="11">
        <f t="shared" si="1"/>
        <v>157.56875000000002</v>
      </c>
    </row>
    <row r="7" spans="1:409" x14ac:dyDescent="0.2">
      <c r="A7" s="5" cm="1">
        <f t="array" ref="A7">IF(AND(G7&lt;&gt;"",H7&lt;&gt;""),SUMPRODUCT((G$4:G$15&lt;&gt;"")*(H$4:H$15&lt;&gt;"")*(E$4:E$15&gt;E7))+1,IF(H7&lt;&gt;"",SUMPRODUCT((I$4:I$15="No DD")*(E$4:E$15&gt;E7))+1+SUMPRODUCT((G$4:G$15&lt;&gt;"")*(H$4:H$15&lt;&gt;"")),""))</f>
        <v>4</v>
      </c>
      <c r="B7" s="127" t="s">
        <v>34</v>
      </c>
      <c r="C7" s="5" t="s">
        <v>3</v>
      </c>
      <c r="D7" s="5">
        <v>1998</v>
      </c>
      <c r="E7" s="15">
        <f>SUM(K7:S7)</f>
        <v>261.30500000000001</v>
      </c>
      <c r="F7" s="3" t="str">
        <f>IF(G7&lt;&gt;"","P","")</f>
        <v>P</v>
      </c>
      <c r="G7" s="125" t="str">
        <f>IF(OR(AND(AR7&gt;=AY$20,AR7&lt;&gt;"",AP7=""),AND(AT7&gt;=AY$20,AT7&lt;&gt;"",AP7=""),AND(AW7&gt;=AY$20,AW7&lt;&gt;"",AP7=""),AND(BV7&gt;=CC$20,BV7&lt;&gt;"",BT7=""),AND(BX7&gt;=CC$20,BX7&lt;&gt;"",BT7=""),AND(CA7&gt;=CC$20,CA7&lt;&gt;"",BT7=""),AND(CZ7&gt;=DG$20,CZ7&lt;&gt;"",CX7=""),AND(DB7&gt;=DG$20,DB7&lt;&gt;"",CX7=""),AND(DE7&gt;=DG$20,DE7&lt;&gt;"",CX7=""),AND(EA7&gt;=EG$20,EA7&lt;&gt;""),AND(EE7&gt;=EG$20,EE7&lt;&gt;""),AND(EW7&gt;=FC$20,EW7&lt;&gt;""),AND(FA7&gt;=FC$20,FA7&lt;&gt;""),AND(FS7&gt;=FY$20,FS7&lt;&gt;""),AND(FW7&gt;=FY$20,FW7&lt;&gt;""),AND(GO7&gt;=GU$20,GO7&lt;&gt;""),AND(GS7&gt;=GU$20,GS7&lt;&gt;""),AND(HK7&gt;=HQ$20,HK7&lt;&gt;""),AND(HO7&gt;=HQ$20,HO7&lt;&gt;""),AND(IG7&gt;=IM$20,IG7&lt;&gt;""),AND(IK7&gt;=IM$20,IK7&lt;&gt;""),AND(JC7&gt;=JI$20,JC7&lt;&gt;""),AND(JG7&gt;=JI$20,JG7&lt;&gt;""),AND(JY7&gt;=KE$20,JY7&lt;&gt;""),AND(KC7&gt;=KE$20,KC7&lt;&gt;""),AND(KU7&gt;=LA$20,KU7&lt;&gt;""),AND(KY7&gt;=LA$20,KY7&lt;&gt;""),AND(LQ7&gt;=LW$20,LQ7&lt;&gt;""),AND(LU7&gt;=LW$20,LU7&lt;&gt;""),AND(MM7&gt;=MS$20,MM7&lt;&gt;""),AND(MQ7&gt;=MS$20,MQ7&lt;&gt;""),AND(NI7&gt;=NO$20,NI7&lt;&gt;""),AND(NM7&gt;=NO$20,NM7&lt;&gt;"")),"Merit",IF(OR(AND(AR7&gt;=AY$19,AR7&lt;&gt;"",AP7=""),AND(AT7&gt;=AY$19,AT7&lt;&gt;"",AP7=""),AND(AW7&gt;=AY$19,AW7&lt;&gt;"",AP7=""),AND(BV7&gt;=CC$19,BV7&lt;&gt;"",BT7=""),AND(BX7&gt;=CC$19,BX7&lt;&gt;"",BT7=""),AND(CA7&gt;=CC$19,CA7&lt;&gt;"",BT7=""),AND(CZ7&gt;=DG$19,CZ7&lt;&gt;"",CX7=""),AND(DB7&gt;=DG$19,DB7&lt;&gt;"",CX7=""),AND(DE7&gt;=DG$19,DE7&lt;&gt;"",CX7=""),AND(EA7&gt;=EG$19,EA7&lt;&gt;""),AND(EE7&gt;=EG$19,EE7&lt;&gt;""),AND(EW7&gt;=FC$19,EW7&lt;&gt;""),AND(FA7&gt;=FC$19,FA7&lt;&gt;""),AND(FS7&gt;=FY$19,FS7&lt;&gt;""),AND(FW7&gt;=FY$19,FW7&lt;&gt;""),AND(GO7&gt;=GU$19,GO7&lt;&gt;""),AND(GS7&gt;=GU$19,GS7&lt;&gt;""),AND(HK7&gt;=HQ$19,HK7&lt;&gt;""),AND(HO7&gt;=HQ$19,HO7&lt;&gt;""),AND(IG7&gt;=IM$19,IG7&lt;&gt;""),AND(IK7&gt;=IM$19,IK7&lt;&gt;""),AND(JC7&gt;=JI$19,JC7&lt;&gt;""),AND(JG7&gt;=JI$19,JG7&lt;&gt;""),AND(JY7&gt;=KE$19,JY7&lt;&gt;""),AND(KC7&gt;=KE$19,KC7&lt;&gt;""),AND(KU7&gt;=LA$19,KU7&lt;&gt;""),AND(KY7&gt;=LA$19,KY7&lt;&gt;""),AND(LQ7&gt;=LW$19,LQ7&lt;&gt;""),AND(LU7&gt;=LW$19,LU7&lt;&gt;""),AND(MM7&gt;=MS$19,MM7&lt;&gt;""),AND(MQ7&gt;=MS$19,MQ7&lt;&gt;""),AND(NI7&gt;=NO$19,NI7&lt;&gt;""),AND(NM7&gt;=NO$19,NM7&lt;&gt;"")),"Excellence",IF(OR(AND(AR7&gt;=AY$18,AR7&lt;&gt;"",AP7=""),AND(AT7&gt;=AY$18,AT7&lt;&gt;"",AP7=""),AND(AW7&gt;=AY$18,AW7&lt;&gt;"",AP7=""),AND(BV7&gt;=CC$18,BV7&lt;&gt;"",BT7=""),AND(BX7&gt;=CC$18,BX7&lt;&gt;"",BT7=""),AND(CA7&gt;=CC$18,CA7&lt;&gt;"",BT7=""),AND(CZ7&gt;=DG$18,CZ7&lt;&gt;"",CX7=""),AND(DB7&gt;=DG$18,DB7&lt;&gt;"",CX7=""),AND(DE7&gt;=DG$18,DE7&lt;&gt;"",CX7=""),AND(EA7&gt;=EG$18,EA7&lt;&gt;""),AND(EE7&gt;=EG$18,EE7&lt;&gt;""),AND(EW7&gt;=FC$18,EW7&lt;&gt;""),AND(FA7&gt;=FC$18,FA7&lt;&gt;""),AND(FS7&gt;=FY$18,FS7&lt;&gt;""),AND(FW7&gt;=FY$18,FW7&lt;&gt;""),AND(GO7&gt;=GU$18,GO7&lt;&gt;""),AND(GS7&gt;=GU$18,GS7&lt;&gt;""),AND(HK7&gt;=HQ$18,HK7&lt;&gt;""),AND(HO7&gt;=HQ$18,HO7&lt;&gt;""),AND(IG7&gt;=IM$18,IG7&lt;&gt;""),AND(IK7&gt;=IM$18,IK7&lt;&gt;""),AND(JC7&gt;=JI$18,JC7&lt;&gt;""),AND(JG7&gt;=JI$18,JG7&lt;&gt;""),AND(JY7&gt;=KE$18,JY7&lt;&gt;""),AND(KC7&gt;=KE$18,KC7&lt;&gt;""),AND(KU7&gt;=LA$18,KU7&lt;&gt;""),AND(KY7&gt;=LA$18,KY7&lt;&gt;""),AND(LQ7&gt;=LW$18,LQ7&lt;&gt;""),AND(LU7&gt;=LW$18,LU7&lt;&gt;""),AND(MM7&gt;=MS$18,MM7&lt;&gt;""),AND(MQ7&gt;=MS$18,MQ7&lt;&gt;""),AND(NI7&gt;=NO$18,NI7&lt;&gt;""),AND(NM7&gt;=NO$18,NM7&lt;&gt;"")),"Worlds Team",IF(OR(AND(AR7&gt;=AY$17,AR7&lt;&gt;"",AP7=""),AND(AT7&gt;=AY$17,AT7&lt;&gt;"",AP7=""),AND(AW7&gt;=AY$17,AW7&lt;&gt;"",AP7=""),AND(BV7&gt;=CC$17,BV7&lt;&gt;"",BT7=""),AND(BX7&gt;=CC$17,BX7&lt;&gt;"",BT7=""),AND(CA7&gt;=CC$17,CA7&lt;&gt;"",BT7=""),AND(CZ7&gt;=DG$17,CZ7&lt;&gt;"",CX7=""),AND(DB7&gt;=DG$17,DB7&lt;&gt;"",CX7=""),AND(DE7&gt;=DG$17,DE7&lt;&gt;"",CX7=""),AND(EA7&gt;=EG$17,EA7&lt;&gt;""),AND(EE7&gt;=EG$17,EE7&lt;&gt;""),AND(EW7&gt;=FC$17,EW7&lt;&gt;""),AND(FA7&gt;=FC$17,FA7&lt;&gt;""),AND(FS7&gt;=FY$17,FS7&lt;&gt;""),AND(FW7&gt;=FY$17,FW7&lt;&gt;""),AND(GO7&gt;=GU$17,GO7&lt;&gt;""),AND(GS7&gt;=GU$17,GS7&lt;&gt;""),AND(HK7&gt;=HQ$17,HK7&lt;&gt;""),AND(HO7&gt;=HQ$17,HO7&lt;&gt;""),AND(IG7&gt;=IM$17,IG7&lt;&gt;""),AND(IK7&gt;=IM$17,IK7&lt;&gt;""),AND(JC7&gt;=JI$17,JC7&lt;&gt;""),AND(JG7&gt;=JI$17,JG7&lt;&gt;""),AND(JY7&gt;=KE$17,JY7&lt;&gt;""),AND(KC7&gt;=KE$17,KC7&lt;&gt;""),AND(KU7&gt;=LA$17,KU7&lt;&gt;""),AND(KY7&gt;=LA$17,KY7&lt;&gt;""),AND(LQ7&gt;=LW$17,LQ7&lt;&gt;""),AND(LU7&gt;=LW$17,LU7&lt;&gt;""),AND(MM7&gt;=MS$17,MM7&lt;&gt;""),AND(MQ7&gt;=MS$17,MQ7&lt;&gt;""),AND(NI7&gt;=NO$17,NI7&lt;&gt;""),AND(NM7&gt;=NO$17,NM7&lt;&gt;"")),"National Team",""))))</f>
        <v>Merit</v>
      </c>
      <c r="H7" s="125" t="str">
        <f>IF(OR(AND(AS7&gt;=AY$24,AS7&lt;&gt;"",AP7=""),AND(AU7&gt;=AY$24,AU7&lt;&gt;"",AP7=""),AND(AX7&gt;=AY$24,AX7&lt;&gt;"",AP7=""),AND(BW7&gt;=CC$24,BW7&lt;&gt;"",BT7=""),AND(BY7&gt;=CC$24,BY7&lt;&gt;"",BT7=""),AND(CB7&gt;=CC$24,CB7&lt;&gt;"",BT7=""),AND(DA7&gt;=DG$24,DA7&lt;&gt;"",CX7=""),AND(DC7&gt;=DG$24,DC7&lt;&gt;"",CX7=""),AND(DF7&gt;=DG$24,DF7&lt;&gt;"",CX7=""),AND(EC7&gt;=EG$24,EC7&lt;&gt;""),AND(EF7&gt;=EG$24,EF7&lt;&gt;""),AND(EY7&gt;=FC$24,EY7&lt;&gt;""),AND(FB7&gt;=FC$24,FB7&lt;&gt;""),AND(FU7&gt;=FY$24,FU7&lt;&gt;""),AND(FX7&gt;=FY$24,FX7&lt;&gt;""),AND(GQ7&gt;=GU$24,GQ7&lt;&gt;""),AND(GT7&gt;=GU$24,GT7&lt;&gt;""),AND(HM7&gt;=HQ$24,HM7&lt;&gt;""),AND(HP7&gt;=HQ$24,HP7&lt;&gt;""),AND(II7&gt;=IM$24,II7&lt;&gt;""),AND(IL7&gt;=IM$24,IL7&lt;&gt;""),AND(JE7&gt;=JI$24,JE7&lt;&gt;""),AND(JH7&gt;=JI$24,JH7&lt;&gt;""),AND(KA7&gt;=KE$24,KA7&lt;&gt;""),AND(KD7&gt;=KE$24,KD7&lt;&gt;""),AND(KW7&gt;=LA$24,KW7&lt;&gt;""),AND(KZ7&gt;=LA$24,KZ7&lt;&gt;""),AND(LS7&gt;=LW$24,LS7&lt;&gt;""),AND(LV7&gt;=LW$24,LV7&lt;&gt;""),AND(MO7&gt;=MS$24,MO7&lt;&gt;""),AND(MR7&gt;=MS$24,MR7&lt;&gt;""),AND(NK7&gt;=NO$24,NK7&lt;&gt;""),AND(NN7&gt;=NO$24,NN7&lt;&gt;"")),"Merit",IF(OR(AND(AS7&gt;=AY$23,AS7&lt;&gt;"",AP7=""),AND(AU7&gt;=AY$23,AU7&lt;&gt;"",AP7=""),AND(AX7&gt;=AY$23,AX7&lt;&gt;"",AP7=""),AND(BW7&gt;=CC$23,BW7&lt;&gt;"",BT7=""),AND(BY7&gt;=CC$23,BY7&lt;&gt;"",BT7=""),AND(CB7&gt;=CC$23,CB7&lt;&gt;"",BT7=""),AND(DA7&gt;=DG$23,DA7&lt;&gt;"",CX7=""),AND(DC7&gt;=DG$23,DC7&lt;&gt;"",CX7=""),AND(DF7&gt;=DG$23,DF7&lt;&gt;"",CX7=""),AND(EC7&gt;=EG$23,EC7&lt;&gt;""),AND(EF7&gt;=EG$23,EF7&lt;&gt;""),AND(EY7&gt;=FC$23,EY7&lt;&gt;""),AND(FB7&gt;=FC$23,FB7&lt;&gt;""),AND(FU7&gt;=FY$23,FU7&lt;&gt;""),AND(FX7&gt;=FY$23,FX7&lt;&gt;""),AND(GQ7&gt;=GU$23,GQ7&lt;&gt;""),AND(GT7&gt;=GU$23,GT7&lt;&gt;""),AND(HM7&gt;=HQ$23,HM7&lt;&gt;""),AND(HP7&gt;=HQ$23,HP7&lt;&gt;""),AND(II7&gt;=IM$23,II7&lt;&gt;""),AND(IL7&gt;=IM$23,IL7&lt;&gt;""),AND(JE7&gt;=JI$23,JE7&lt;&gt;""),AND(JH7&gt;=JI$23,JH7&lt;&gt;""),AND(KA7&gt;=KE$23,KA7&lt;&gt;""),AND(KD7&gt;=KE$23,KD7&lt;&gt;""),AND(KW7&gt;=LA$23,KW7&lt;&gt;""),AND(KZ7&gt;=LA$23,KZ7&lt;&gt;""),AND(LS7&gt;=LW$23,LS7&lt;&gt;""),AND(LV7&gt;=LW$23,LV7&lt;&gt;""),AND(MO7&gt;=MS$23,MO7&lt;&gt;""),AND(MR7&gt;=MS$23,MR7&lt;&gt;""),AND(NK7&gt;=NO$23,NK7&lt;&gt;""),AND(NN7&gt;=NO$23,NN7&lt;&gt;"")),"Excellence",IF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"Worlds Team",IF(OR(AND(AV7&gt;=AY$21,AV7&lt;&gt;"",AP7=""),AND(BZ7&gt;=CC$21,BZ7&lt;&gt;"",BT7=""),AND(DD7&gt;=DG$21,DD7&lt;&gt;"",CX7=""),AND(ED7&gt;=EG$21,ED7&lt;&gt;""),AND(EZ7&gt;=FC$21,EZ7&lt;&gt;""),AND(FV7&gt;=FY$21,FV7&lt;&gt;""),AND(GR7&gt;=GU$21,GR7&lt;&gt;""),AND(HN7&gt;=HQ$21,HN7&lt;&gt;""),AND(IJ7&gt;=IM$21,IJ7&lt;&gt;""),AND(JF7&gt;=JI$21,JF7&lt;&gt;""),AND(KB7&gt;=KE$21,KB7&lt;&gt;""),AND(KX7&gt;=LA$21,KX7&lt;&gt;""),AND(LT7&gt;=LW$21,LT7&lt;&gt;""),AND(MP7&gt;=MS$21,MP7&lt;&gt;""),AND(NL7&gt;=NO$21,NL7&lt;&gt;"")),"National Team",""))))</f>
        <v>Merit</v>
      </c>
      <c r="I7" s="126" t="str">
        <f>IF(AND(G7="Merit",H7="Merit"),"Merit",IF(AND(OR(G7="Merit",G7="Excellence"),OR(H7="Merit",H7="Excellence")),"Excellence",IF(AND(OR(G7="Merit",G7="Excellence",G7="Worlds Team"),OR(H7="Merit",H7="Excellence",H7="Worlds Team")),"Worlds Team",IF(AND(OR(G7="Merit",G7="Excellence",G7="Worlds Team",G7="National Team"),OR(H7="Merit",H7="Excellence",H7="Worlds Team",H7="National Team")),"National Team",IF(OR(H7="Merit",H7="Excellence",H7="Worlds Team",H7="National Team"),"No DD","")))))</f>
        <v>Merit</v>
      </c>
      <c r="J7" s="3" t="str">
        <f>IF(AND(OR(AND(AV7&gt;=AY$22,AV7&lt;&gt;"",AP7=""),AND(BZ7&gt;=CC$22,BZ7&lt;&gt;"",BT7=""),AND(DD7&gt;=DG$22,DD7&lt;&gt;"",CX7=""),AND(ED7&gt;=EG$22,ED7&lt;&gt;""),AND(EZ7&gt;=FC$22,EZ7&lt;&gt;""),AND(FV7&gt;=FY$22,FV7&lt;&gt;""),AND(GR7&gt;=GU$22,GR7&lt;&gt;""),AND(HN7&gt;=HQ$22,HN7&lt;&gt;""),AND(IJ7&gt;=IM$22,IJ7&lt;&gt;""),AND(JF7&gt;=JI$22,JF7&lt;&gt;""),AND(KB7&gt;=KE$22,KB7&lt;&gt;""),AND(KX7&gt;=LA$22,KX7&lt;&gt;""),AND(LT7&gt;=LW$22,LT7&lt;&gt;""),AND(MP7&gt;=MS$22,MP7&lt;&gt;""),AND(NL7&gt;=NO$22,NL7&lt;&gt;"")),OR(G7="Worlds Team",G7="Excellence",G7="Merit")),"P","")</f>
        <v>P</v>
      </c>
      <c r="K7" s="14">
        <f>IF(MAX(AV7,BZ7,DD7)&gt;0,MAX(AV7,BZ7,DD7),0)</f>
        <v>103.53</v>
      </c>
      <c r="L7" s="14" t="str">
        <f>IF(K7=0,"",IF(K7=DD7,$CD$1,IF(K7=BZ7,$AZ$1,IF(K7=AV7,$V$1,""))))</f>
        <v>2021 Canadian Championships</v>
      </c>
      <c r="M7" s="14">
        <f>IF($K7=$AV7,MAX(BU7,CY7),IF($K7=$BZ7,MAX(AQ7,CY7),IF($K7=$DD7,MAX(AQ7,BU7),MAX(AQ7,BU7,CY7))))</f>
        <v>47.875</v>
      </c>
      <c r="N7" s="14" t="str">
        <f>IF(M7=0,"",IF(AND(M7=CY7,$L7&lt;&gt;$CD$1),$CD$1,IF(AND(M7=BU7,$L7&lt;&gt;$AZ$1),$AZ$1,IF(AND(M7=AQ7,$L7&lt;&gt;$V$1),$V$1,""))))</f>
        <v>2021 Elite Canada</v>
      </c>
      <c r="O7" s="14">
        <f>IF(K7-N(AQ7)=AS7,MAX(AU7,BW7,BY7,DA7,DC7),IF(K7-N(AQ7)=AU7,MAX(AS7,BW7,BY7,DA7,DC7),IF(K7-N(BU7)=BW7,MAX(AS7,AU7,BY7,DA7,DC7),IF(K7-N(BU7)=BY7,MAX(AS7,AU7,BW7,DA7,DC7),IF(K7-N(CY7)=DA7,MAX(AS7,AU7,BW7,BY7,DC7),IF(K7-N(CY7)=DC7,MAX(AS7,AU7,BW7,BY7,DA7),MAX(AS7,AU7,BW7,BY7,DA7,DC7)))))))</f>
        <v>54.51</v>
      </c>
      <c r="P7" s="14" t="str">
        <f>IF(O7=0,"",IF(OR(O7=DC7,O7=DA7),$CD$1,IF(OR(O7=BY7,O7=BW7),$AZ$1,IF(OR(O7=AU7,O7=AS7),$V$1,""))))</f>
        <v>2021 Elite Canada</v>
      </c>
      <c r="Q7" s="14">
        <f>MAX(AX7,CB7,DF7)</f>
        <v>55.389999999999993</v>
      </c>
      <c r="R7" s="14" t="str">
        <f>IF(Q7=0,"",IF(Q7=DF7,$CD$1,IF(Q7=CB7,$AZ$1,IF(Q7=AX7,$V$1,""))))</f>
        <v>2021 2nd Virtual Technical Trial</v>
      </c>
      <c r="S7" s="14" t="str">
        <f>IF(MAX(DH7,DI7,DJ7,DK7)&gt;0,MAX(DH7,DI7,DJ7,DK7),"")</f>
        <v/>
      </c>
      <c r="T7" s="25" t="str">
        <f>IF(S7="","",IF(S7=DH7,"(Vol 1)",IF(S7=DI7,"(Vol 2)",IF(S7=DJ7,"(Prelim)",IF(S7=DK7,"(Final)")))))</f>
        <v/>
      </c>
      <c r="U7" s="14" t="str">
        <f>IF(S7="","",IF(S7=DH7,IF(S7+IF(M7="",0,M7)=NJ7,$MT$1,IF(S7+IF(M7="",0,M7)=MN7,$LX$1,IF(S7+IF(M7="",0,M7)=LR7,$LB$1,IF(S7+IF(M7="",0,M7)=KV7,$KF$1,IF(S7+IF(M7="",0,M7)=JZ7,$JJ$1,IF(S7+IF(M7="",0,M7)=JD7,$IN$1,IF(S7+IF(M7="",0,M7)=IH7,$HR$1,IF(S7+IF(M7="",0,M7)=HL7,$GV$1,IF(S7+IF(M7="",0,M7)=GP7,$FZ$1,IF(S7+IF(M7="",0,M7)=FT7,$FD$1,IF(S7+IF(M7="",0,M7)=EX7,$EH$1,IF(S7+IF(M7="",0,M7)=EB7,$DL$1)))))))))))),IF(S7=DI7,IF(S7+IF(O7="",0,O7)=NK7,$MT$1,IF(S7+IF(O7="",0,O7)=MO7,$LX$1,IF(S7+IF(O7="",0,O7)=LS7,$LB$1,IF(S7+IF(O7="",0,O7)=KW7,$KF$1,IF(S7+IF(O7="",0,O7)=KA7,$JJ$1,IF(S7+IF(O7="",0,O7)=JE7,$IN$1,IF(S7+IF(O7="",0,O7)=II7,$HR$1,IF(S7+IF(O7="",0,O7)=HM7,$GV$1,IF(S7+IF(O7="",0,O7)=GQ7,$FZ$1,IF(S7+IF(O7="",0,O7)=FU7,$FD$1,IF(S7+IF(O7="",0,O7)=EY7,$EH$1,IF(S7+IF(O7="",0,O7)=EC7,$DL$1)))))))))))),IF(S7=DJ7,IF(S7+IF(K7="",0,K7)=NL7,$MT$1,IF(S7+IF(K7="",0,K7)=MP7,$LX$1,IF(S7+IF(K7="",0,K7)=LT7,$LB$1,IF(S7+IF(K7="",0,K7)=KX7,$KF$1,IF(S7+IF(K7="",0,K7)=KB7,$JJ$1,IF(S7+IF(K7="",0,K7)=JF7,$IN$1,IF(S7+IF(K7="",0,K7)=IJ7,$HR$1,IF(S7+IF(K7="",0,K7)=HN7,$GV$1,IF(S7+IF(K7="",0,K7)=GR7,$FZ$1,IF(S7+IF(K7="",0,K7)=FV7,$FD$1,IF(S7+IF(K7="",0,K7)=EZ7,$EH$1,IF(S7+IF(K7="",0,K7)=ED7,$DL$1)))))))))))),IF(S7=DK7,IF(S7+IF(Q7="",0,Q7)=NN7,$MT$1,IF(S7+IF(Q7="",0,Q7)=MR7,$LX$1,IF(S7+IF(Q7="",0,Q7)=LV7,$LB$1,IF(S7+IF(Q7="",0,Q7)=KZ7,$KF$1,IF(S7+IF(Q7="",0,Q7)=KD7,$JJ$1,IF(S7+IF(Q7="",0,Q7)=JH7,$IN$1,IF(S7+IF(Q7="",0,Q7)=IL7,$HR$1,IF(S7+IF(Q7="",0,Q7)=HP7,$GV$1,IF(S7+IF(Q7="",0,Q7)=GT7,$FZ$1,IF(S7+IF(Q7="",0,Q7)=FX7,$FD$1,IF(S7+IF(Q7="",0,Q7)=FB7,$EH$1,IF(S7+IF(Q7="",0,Q7)=EF7,$DL$1)))))))))))))))))</f>
        <v/>
      </c>
      <c r="V7" s="69">
        <v>16.5</v>
      </c>
      <c r="W7" s="69">
        <v>9.1</v>
      </c>
      <c r="X7" s="69">
        <v>5.8</v>
      </c>
      <c r="Y7" s="69">
        <v>15.81</v>
      </c>
      <c r="Z7" s="69">
        <v>0</v>
      </c>
      <c r="AA7" s="69">
        <v>1.4</v>
      </c>
      <c r="AB7" s="69">
        <v>0.9</v>
      </c>
      <c r="AC7" s="69">
        <v>2</v>
      </c>
      <c r="AD7" s="69">
        <v>1.665</v>
      </c>
      <c r="AE7" s="69">
        <v>0</v>
      </c>
      <c r="AF7" s="69">
        <v>15.9</v>
      </c>
      <c r="AG7" s="69">
        <v>9.4</v>
      </c>
      <c r="AH7" s="69">
        <v>13.8</v>
      </c>
      <c r="AI7" s="69">
        <v>15.074999999999999</v>
      </c>
      <c r="AJ7" s="69">
        <v>0</v>
      </c>
      <c r="AK7" s="69">
        <v>16.899999999999999</v>
      </c>
      <c r="AL7" s="69">
        <v>9.4</v>
      </c>
      <c r="AM7" s="69">
        <v>13.8</v>
      </c>
      <c r="AN7" s="69">
        <v>15.29</v>
      </c>
      <c r="AO7" s="69">
        <v>0</v>
      </c>
      <c r="AP7" s="80"/>
      <c r="AQ7" s="11">
        <f>IF(SUM(V7:Y7)-Z7&gt;0,SUM(V7:Y7)-Z7,"")</f>
        <v>47.21</v>
      </c>
      <c r="AR7" s="11">
        <f>IF(AC7&gt;0,AC7,"")</f>
        <v>2</v>
      </c>
      <c r="AS7" s="11">
        <f>IF(SUM(AA7:AD7)-AE7&gt;0,SUM(AA7:AD7)-AE7,"")</f>
        <v>5.9649999999999999</v>
      </c>
      <c r="AT7" s="11">
        <f>IF(AH7&gt;0,AH7,"")</f>
        <v>13.8</v>
      </c>
      <c r="AU7" s="11">
        <f>IF(SUM(AF7:AI7)-AJ7&gt;0,SUM(AF7:AI7)-AJ7,"")</f>
        <v>54.174999999999997</v>
      </c>
      <c r="AV7" s="11">
        <f>IF(AQ7="",IF(MAX(AS7,AU7)&gt;0,MAX(AS7,AU7),""),MAX(AS7,AU7)+AQ7)</f>
        <v>101.38499999999999</v>
      </c>
      <c r="AW7" s="11">
        <f>IF(AM7&gt;0,AM7,"")</f>
        <v>13.8</v>
      </c>
      <c r="AX7" s="11">
        <f>IF(SUM(AK7:AN7)-AO7&gt;0,SUM(AK7:AN7)-AO7,"")</f>
        <v>55.389999999999993</v>
      </c>
      <c r="AY7" s="11">
        <f>IF(SUM(AV7,AX7)&gt;0,SUM(AV7,AX7),"")</f>
        <v>156.77499999999998</v>
      </c>
      <c r="AZ7" s="75">
        <v>16.8</v>
      </c>
      <c r="BA7" s="75">
        <v>9.3000000000000007</v>
      </c>
      <c r="BB7" s="75">
        <v>5.8</v>
      </c>
      <c r="BC7" s="75">
        <v>15.975</v>
      </c>
      <c r="BD7" s="75">
        <v>0</v>
      </c>
      <c r="BE7" s="75">
        <v>16</v>
      </c>
      <c r="BF7" s="75">
        <v>9.3000000000000007</v>
      </c>
      <c r="BG7" s="75">
        <v>13.8</v>
      </c>
      <c r="BH7" s="75">
        <v>15.244999999999999</v>
      </c>
      <c r="BI7" s="75">
        <v>0</v>
      </c>
      <c r="BJ7" s="75">
        <v>16.3</v>
      </c>
      <c r="BK7" s="75">
        <v>9.1999999999999993</v>
      </c>
      <c r="BL7" s="75">
        <v>13.8</v>
      </c>
      <c r="BM7" s="75">
        <v>15.21</v>
      </c>
      <c r="BN7" s="75">
        <v>0</v>
      </c>
      <c r="BO7" s="75">
        <v>16.600000000000001</v>
      </c>
      <c r="BP7" s="75">
        <v>9.3000000000000007</v>
      </c>
      <c r="BQ7" s="75">
        <v>13.8</v>
      </c>
      <c r="BR7" s="75">
        <v>15.4</v>
      </c>
      <c r="BS7" s="75">
        <v>0</v>
      </c>
      <c r="BT7" s="81"/>
      <c r="BU7" s="14">
        <f>IF(SUM(AZ7:BC7)-BD7&gt;0,SUM(AZ7:BC7)-BD7,"")</f>
        <v>47.875</v>
      </c>
      <c r="BV7" s="14">
        <f>IF(BG7&gt;0,BG7,"")</f>
        <v>13.8</v>
      </c>
      <c r="BW7" s="14">
        <f>IF(SUM(BE7:BH7)-BI7&gt;0,SUM(BE7:BH7)-BI7,"")</f>
        <v>54.344999999999999</v>
      </c>
      <c r="BX7" s="14">
        <f>IF(BL7&gt;0,BL7,"")</f>
        <v>13.8</v>
      </c>
      <c r="BY7" s="14">
        <f>IF(SUM(BJ7:BM7)-BN7&gt;0,SUM(BJ7:BM7)-BN7,"")</f>
        <v>54.51</v>
      </c>
      <c r="BZ7" s="14">
        <f>IF(BU7="",IF(MAX(BW7,BY7)&gt;0,MAX(BW7,BY7),""),MAX(BW7,BY7)+BU7)</f>
        <v>102.38499999999999</v>
      </c>
      <c r="CA7" s="14">
        <f>IF(BQ7&gt;0,BQ7,"")</f>
        <v>13.8</v>
      </c>
      <c r="CB7" s="14">
        <f>IF(SUM(BO7:BR7)-BS7&gt;0,SUM(BO7:BR7)-BS7,"")</f>
        <v>55.1</v>
      </c>
      <c r="CC7" s="14">
        <f>IF(SUM(BZ7,CB7)&gt;0,SUM(BZ7,CB7),"")</f>
        <v>157.48499999999999</v>
      </c>
      <c r="CD7" s="69">
        <v>17.399999999999999</v>
      </c>
      <c r="CE7" s="69">
        <v>9.4</v>
      </c>
      <c r="CF7" s="69">
        <v>5.8</v>
      </c>
      <c r="CG7" s="69">
        <v>16.100000000000001</v>
      </c>
      <c r="CH7" s="69">
        <v>0</v>
      </c>
      <c r="CI7" s="69">
        <v>7.2</v>
      </c>
      <c r="CJ7" s="69">
        <v>4.4000000000000004</v>
      </c>
      <c r="CK7" s="69">
        <v>7.4</v>
      </c>
      <c r="CL7" s="69">
        <v>7.8</v>
      </c>
      <c r="CM7" s="69">
        <v>0</v>
      </c>
      <c r="CN7" s="69">
        <v>16.2</v>
      </c>
      <c r="CO7" s="69">
        <v>9.6</v>
      </c>
      <c r="CP7" s="69">
        <v>13.8</v>
      </c>
      <c r="CQ7" s="69">
        <v>15.23</v>
      </c>
      <c r="CR7" s="69">
        <v>0</v>
      </c>
      <c r="CS7" s="69">
        <v>15.9</v>
      </c>
      <c r="CT7" s="69">
        <v>9.1999999999999993</v>
      </c>
      <c r="CU7" s="69">
        <v>14.2</v>
      </c>
      <c r="CV7" s="69">
        <v>15.4</v>
      </c>
      <c r="CW7" s="69">
        <v>0</v>
      </c>
      <c r="CX7" s="80"/>
      <c r="CY7" s="11">
        <f>IF(SUM(CD7:CG7)-CH7&gt;0,SUM(CD7:CG7)-CH7,"")</f>
        <v>48.699999999999996</v>
      </c>
      <c r="CZ7" s="11">
        <f>IF(CK7&gt;0,CK7,"")</f>
        <v>7.4</v>
      </c>
      <c r="DA7" s="11">
        <f>IF(SUM(CI7:CL7)-CM7&gt;0,SUM(CI7:CL7)-CM7,"")</f>
        <v>26.8</v>
      </c>
      <c r="DB7" s="11">
        <f>IF(CP7&gt;0,CP7,"")</f>
        <v>13.8</v>
      </c>
      <c r="DC7" s="11">
        <f>IF(SUM(CN7:CQ7)-CR7&gt;0,SUM(CN7:CQ7)-CR7,"")</f>
        <v>54.83</v>
      </c>
      <c r="DD7" s="11">
        <f>IF(CY7="",IF(MAX(DA7,DC7)&gt;0,MAX(DA7,DC7),""),MAX(DA7,DC7)+CY7)</f>
        <v>103.53</v>
      </c>
      <c r="DE7" s="11">
        <f>IF(CU7&gt;0,CU7,"")</f>
        <v>14.2</v>
      </c>
      <c r="DF7" s="11">
        <f>IF(SUM(CS7:CV7)-CW7&gt;0,SUM(CS7:CV7)-CW7,"")</f>
        <v>54.699999999999996</v>
      </c>
      <c r="DG7" s="11">
        <f>IF(SUM(DD7,DF7)&gt;0,SUM(DD7,DF7),"")</f>
        <v>158.22999999999999</v>
      </c>
      <c r="DH7" s="24" t="str">
        <f>IF(MAX(EB7,EX7,FT7,GP7,HL7,IH7,JD7,JZ7,KV7,LR7,MN7,NJ7)-IF(M7="",0,M7)&gt;0.001,MAX(EB7,EX7,FT7,GP7,HL7,IH7,JD7,JZ7,KV7,LR7,MN7,NJ7)-IF(M7="",0,M7),"")</f>
        <v/>
      </c>
      <c r="DI7" s="24" t="str">
        <f>IF(MAX(EC7,EY7,FU7,GQ7,HM7,II7,JE7,KA7,KW7,LS7,MO7,NK7)-IF(O7="",0,O7)&gt;0.001,MAX(EC7,EY7,FU7,GQ7,HM7,II7,JE7,KA7,KW7,LS7,MO7,NK7)-IF(O7="",0,O7),"")</f>
        <v/>
      </c>
      <c r="DJ7" s="24" t="str">
        <f>IF(MAX(ED7,EZ7,FV7,GR7,HN7,IJ7,JF7,KB7,KX7,LT7,MP7,NL7)-IF(K7="",0,K7)&gt;0.001,MAX(ED7,EZ7,FV7,GR7,HN7,IJ7,JF7,KB7,KX7,LT7,MP7,NL7)-IF(K7="",0,K7),"")</f>
        <v/>
      </c>
      <c r="DK7" s="24" t="str">
        <f>IF(MAX(EF7,FB7,FX7,GT7,HP7,IL7,JH7,KD7,KZ7,LV7,MR7,NN7)-IF(Q7="",0,Q7)&gt;0.001,MAX(EF7,FB7,FX7,GT7,HP7,IL7,JH7,KD7,KZ7,LV7,MR7,NN7)-IF(Q7="",0,Q7),"")</f>
        <v/>
      </c>
      <c r="DL7" s="37"/>
      <c r="DM7" s="37"/>
      <c r="DN7" s="37"/>
      <c r="DO7" s="37"/>
      <c r="DP7" s="37"/>
      <c r="DQ7" s="37"/>
      <c r="DR7" s="37"/>
      <c r="DS7" s="37"/>
      <c r="DT7" s="37"/>
      <c r="DU7" s="37"/>
      <c r="DV7" s="37"/>
      <c r="DW7" s="37"/>
      <c r="DX7" s="37"/>
      <c r="DY7" s="37"/>
      <c r="DZ7" s="37"/>
      <c r="EA7" s="11" t="str">
        <f>IF(DS7&gt;0,DS7,"")</f>
        <v/>
      </c>
      <c r="EB7" s="11" t="str">
        <f>IF(SUM(DL7:DO7)-DP7&gt;0,SUM(DL7:DO7)-DP7,"")</f>
        <v/>
      </c>
      <c r="EC7" s="11" t="str">
        <f>IF(SUM(DQ7:DT7)-DU7&gt;0,SUM(DQ7:DT7)-DU7,"")</f>
        <v/>
      </c>
      <c r="ED7" s="11" t="str">
        <f>IF(SUM(EB7:EC7)&gt;0,SUM(EB7:EC7),"")</f>
        <v/>
      </c>
      <c r="EE7" s="11" t="str">
        <f>IF(DX7&gt;0,DX7,"")</f>
        <v/>
      </c>
      <c r="EF7" s="11" t="str">
        <f>IF(SUM(DV7:DY7)-DZ7&gt;0,SUM(DV7:DY7)-DZ7,"")</f>
        <v/>
      </c>
      <c r="EG7" s="11" t="str">
        <f>IF(SUM(ED7,EF7)&gt;0,SUM(ED7,EF7),"")</f>
        <v/>
      </c>
      <c r="EH7" s="38"/>
      <c r="EI7" s="38"/>
      <c r="EJ7" s="38"/>
      <c r="EK7" s="38"/>
      <c r="EL7" s="38"/>
      <c r="EM7" s="38"/>
      <c r="EN7" s="38"/>
      <c r="EO7" s="38"/>
      <c r="EP7" s="38"/>
      <c r="EQ7" s="38"/>
      <c r="ER7" s="38"/>
      <c r="ES7" s="38"/>
      <c r="ET7" s="38"/>
      <c r="EU7" s="38"/>
      <c r="EV7" s="38"/>
      <c r="EW7" s="14" t="str">
        <f>IF(EO7&gt;0,EO7,"")</f>
        <v/>
      </c>
      <c r="EX7" s="14" t="str">
        <f>IF(SUM(EH7:EK7)-EL7&gt;0,SUM(EH7:EK7)-EL7,"")</f>
        <v/>
      </c>
      <c r="EY7" s="14" t="str">
        <f>IF(SUM(EM7:EP7)-EQ7&gt;0,SUM(EM7:EP7)-EQ7,"")</f>
        <v/>
      </c>
      <c r="EZ7" s="14" t="str">
        <f>IF(SUM(EX7:EY7)&gt;0,SUM(EX7:EY7),"")</f>
        <v/>
      </c>
      <c r="FA7" s="14" t="str">
        <f>IF(ET7&gt;0,ET7,"")</f>
        <v/>
      </c>
      <c r="FB7" s="14" t="str">
        <f>IF(SUM(ER7:EU7)-EV7&gt;0,SUM(ER7:EU7)-EV7,"")</f>
        <v/>
      </c>
      <c r="FC7" s="14" t="str">
        <f>IF(SUM(EZ7,FB7)&gt;0,SUM(EZ7,FB7),"")</f>
        <v/>
      </c>
      <c r="FD7" s="37"/>
      <c r="FE7" s="37"/>
      <c r="FF7" s="37"/>
      <c r="FG7" s="37"/>
      <c r="FH7" s="37"/>
      <c r="FI7" s="37"/>
      <c r="FJ7" s="37"/>
      <c r="FK7" s="37"/>
      <c r="FL7" s="37"/>
      <c r="FM7" s="37"/>
      <c r="FN7" s="37"/>
      <c r="FO7" s="37"/>
      <c r="FP7" s="37"/>
      <c r="FQ7" s="37"/>
      <c r="FR7" s="37"/>
      <c r="FS7" s="11" t="str">
        <f>IF(FK7&gt;0,FK7,"")</f>
        <v/>
      </c>
      <c r="FT7" s="11" t="str">
        <f>IF(SUM(FD7:FG7)-FH7&gt;0,SUM(FD7:FG7)-FH7,"")</f>
        <v/>
      </c>
      <c r="FU7" s="11" t="str">
        <f>IF(SUM(FI7:FL7)-FM7&gt;0,SUM(FI7:FL7)-FM7,"")</f>
        <v/>
      </c>
      <c r="FV7" s="11" t="str">
        <f>IF(SUM(FT7:FU7)&gt;0,SUM(FT7:FU7),"")</f>
        <v/>
      </c>
      <c r="FW7" s="11" t="str">
        <f>IF(FP7&gt;0,FP7,"")</f>
        <v/>
      </c>
      <c r="FX7" s="11" t="str">
        <f>IF(SUM(FN7:FQ7)-FR7&gt;0,SUM(FN7:FQ7)-FR7,"")</f>
        <v/>
      </c>
      <c r="FY7" s="11" t="str">
        <f>IF(SUM(FV7,FX7)&gt;0,SUM(FV7,FX7),"")</f>
        <v/>
      </c>
      <c r="FZ7" s="38"/>
      <c r="GA7" s="38"/>
      <c r="GB7" s="38"/>
      <c r="GC7" s="38"/>
      <c r="GD7" s="38"/>
      <c r="GE7" s="38"/>
      <c r="GF7" s="38"/>
      <c r="GG7" s="38"/>
      <c r="GH7" s="38"/>
      <c r="GI7" s="38"/>
      <c r="GJ7" s="38"/>
      <c r="GK7" s="38"/>
      <c r="GL7" s="38"/>
      <c r="GM7" s="38"/>
      <c r="GN7" s="38"/>
      <c r="GO7" s="14" t="str">
        <f>IF(GG7&gt;0,GG7,"")</f>
        <v/>
      </c>
      <c r="GP7" s="14" t="str">
        <f>IF(SUM(FZ7:GC7)-GD7&gt;0,SUM(FZ7:GC7)-GD7,"")</f>
        <v/>
      </c>
      <c r="GQ7" s="14" t="str">
        <f>IF(SUM(GE7:GH7)-GI7&gt;0,SUM(GE7:GH7)-GI7,"")</f>
        <v/>
      </c>
      <c r="GR7" s="14" t="str">
        <f>IF(SUM(GP7:GQ7)&gt;0,SUM(GP7:GQ7),"")</f>
        <v/>
      </c>
      <c r="GS7" s="14" t="str">
        <f>IF(GL7&gt;0,GL7,"")</f>
        <v/>
      </c>
      <c r="GT7" s="14" t="str">
        <f>IF(SUM(GJ7:GM7)-GN7&gt;0,SUM(GJ7:GM7)-GN7,"")</f>
        <v/>
      </c>
      <c r="GU7" s="14" t="str">
        <f>IF(SUM(GR7,GT7)&gt;0,SUM(GR7,GT7),"")</f>
        <v/>
      </c>
      <c r="GV7" s="37"/>
      <c r="GW7" s="37"/>
      <c r="GX7" s="37"/>
      <c r="GY7" s="37"/>
      <c r="GZ7" s="37"/>
      <c r="HA7" s="37"/>
      <c r="HB7" s="37"/>
      <c r="HC7" s="37"/>
      <c r="HD7" s="37"/>
      <c r="HE7" s="37"/>
      <c r="HF7" s="37"/>
      <c r="HG7" s="37"/>
      <c r="HH7" s="37"/>
      <c r="HI7" s="37"/>
      <c r="HJ7" s="37"/>
      <c r="HK7" s="11" t="str">
        <f>IF(HC7&gt;0,HC7,"")</f>
        <v/>
      </c>
      <c r="HL7" s="11" t="str">
        <f>IF(SUM(GV7:GY7)-GZ7&gt;0,SUM(GV7:GY7)-GZ7,"")</f>
        <v/>
      </c>
      <c r="HM7" s="11" t="str">
        <f>IF(SUM(HA7:HD7)-HE7&gt;0,SUM(HA7:HD7)-HE7,"")</f>
        <v/>
      </c>
      <c r="HN7" s="11" t="str">
        <f>IF(SUM(HL7:HM7)&gt;0,SUM(HL7:HM7),"")</f>
        <v/>
      </c>
      <c r="HO7" s="11" t="str">
        <f>IF(HH7&gt;0,HH7,"")</f>
        <v/>
      </c>
      <c r="HP7" s="11" t="str">
        <f>IF(SUM(HF7:HI7)-HJ7&gt;0,SUM(HF7:HI7)-HJ7,"")</f>
        <v/>
      </c>
      <c r="HQ7" s="11" t="str">
        <f>IF(SUM(HN7,HP7)&gt;0,SUM(HN7,HP7),"")</f>
        <v/>
      </c>
      <c r="HR7" s="38"/>
      <c r="HS7" s="38"/>
      <c r="HT7" s="38"/>
      <c r="HU7" s="38"/>
      <c r="HV7" s="38"/>
      <c r="HW7" s="38"/>
      <c r="HX7" s="38"/>
      <c r="HY7" s="38"/>
      <c r="HZ7" s="38"/>
      <c r="IA7" s="38"/>
      <c r="IB7" s="38"/>
      <c r="IC7" s="38"/>
      <c r="ID7" s="38"/>
      <c r="IE7" s="38"/>
      <c r="IF7" s="38"/>
      <c r="IG7" s="14" t="str">
        <f>IF(HY7&gt;0,HY7,"")</f>
        <v/>
      </c>
      <c r="IH7" s="14" t="str">
        <f>IF(SUM(HR7:HU7)-HV7&gt;0,SUM(HR7:HU7)-HV7,"")</f>
        <v/>
      </c>
      <c r="II7" s="14" t="str">
        <f>IF(SUM(HW7:HZ7)-IA7&gt;0,SUM(HW7:HZ7)-IA7,"")</f>
        <v/>
      </c>
      <c r="IJ7" s="14" t="str">
        <f>IF(SUM(IH7:II7)&gt;0,SUM(IH7:II7),"")</f>
        <v/>
      </c>
      <c r="IK7" s="14" t="str">
        <f>IF(ID7&gt;0,ID7,"")</f>
        <v/>
      </c>
      <c r="IL7" s="14" t="str">
        <f>IF(SUM(IB7:IE7)-IF7&gt;0,SUM(IB7:IE7)-IF7,"")</f>
        <v/>
      </c>
      <c r="IM7" s="14" t="str">
        <f>IF(SUM(IJ7,IL7)&gt;0,SUM(IJ7,IL7),"")</f>
        <v/>
      </c>
      <c r="IN7" s="37"/>
      <c r="IO7" s="37"/>
      <c r="IP7" s="37"/>
      <c r="IQ7" s="37"/>
      <c r="IR7" s="37"/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11" t="str">
        <f>IF(IU7&gt;0,IU7,"")</f>
        <v/>
      </c>
      <c r="JD7" s="11" t="str">
        <f>IF(SUM(IN7:IQ7)-IR7&gt;0,SUM(IN7:IQ7)-IR7,"")</f>
        <v/>
      </c>
      <c r="JE7" s="11" t="str">
        <f>IF(SUM(IS7:IV7)-IW7&gt;0,SUM(IS7:IV7)-IW7,"")</f>
        <v/>
      </c>
      <c r="JF7" s="11" t="str">
        <f>IF(SUM(JD7:JE7)&gt;0,SUM(JD7:JE7),"")</f>
        <v/>
      </c>
      <c r="JG7" s="11" t="str">
        <f>IF(IZ7&gt;0,IZ7,"")</f>
        <v/>
      </c>
      <c r="JH7" s="11" t="str">
        <f>IF(SUM(IX7:JA7)-JB7&gt;0,SUM(IX7:JA7)-JB7,"")</f>
        <v/>
      </c>
      <c r="JI7" s="11" t="str">
        <f>IF(SUM(JF7,JH7)&gt;0,SUM(JF7,JH7),"")</f>
        <v/>
      </c>
      <c r="JJ7" s="38"/>
      <c r="JK7" s="38"/>
      <c r="JL7" s="38"/>
      <c r="JM7" s="38"/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14" t="str">
        <f>IF(JQ7&gt;0,JQ7,"")</f>
        <v/>
      </c>
      <c r="JZ7" s="14" t="str">
        <f>IF(SUM(JJ7:JM7)-JN7&gt;0,SUM(JJ7:JM7)-JN7,"")</f>
        <v/>
      </c>
      <c r="KA7" s="14" t="str">
        <f>IF(SUM(JO7:JR7)-JS7&gt;0,SUM(JO7:JR7)-JS7,"")</f>
        <v/>
      </c>
      <c r="KB7" s="14" t="str">
        <f>IF(SUM(JZ7:KA7)&gt;0,SUM(JZ7:KA7),"")</f>
        <v/>
      </c>
      <c r="KC7" s="14" t="str">
        <f>IF(JV7&gt;0,JV7,"")</f>
        <v/>
      </c>
      <c r="KD7" s="14" t="str">
        <f>IF(SUM(JT7:JW7)-JX7&gt;0,SUM(JT7:JW7)-JX7,"")</f>
        <v/>
      </c>
      <c r="KE7" s="14" t="str">
        <f>IF(SUM(KB7,KD7)&gt;0,SUM(KB7,KD7),"")</f>
        <v/>
      </c>
      <c r="KF7" s="37"/>
      <c r="KG7" s="37"/>
      <c r="KH7" s="37"/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11" t="str">
        <f>IF(KM7&gt;0,KM7,"")</f>
        <v/>
      </c>
      <c r="KV7" s="11" t="str">
        <f>IF(SUM(KF7:KI7)-KJ7&gt;0,SUM(KF7:KI7)-KJ7,"")</f>
        <v/>
      </c>
      <c r="KW7" s="11" t="str">
        <f>IF(SUM(KK7:KN7)-KO7&gt;0,SUM(KK7:KN7)-KO7,"")</f>
        <v/>
      </c>
      <c r="KX7" s="11" t="str">
        <f>IF(SUM(KV7:KW7)&gt;0,SUM(KV7:KW7),"")</f>
        <v/>
      </c>
      <c r="KY7" s="11" t="str">
        <f>IF(KR7&gt;0,KR7,"")</f>
        <v/>
      </c>
      <c r="KZ7" s="11" t="str">
        <f>IF(SUM(KP7:KS7)-KT7&gt;0,SUM(KP7:KS7)-KT7,"")</f>
        <v/>
      </c>
      <c r="LA7" s="11" t="str">
        <f>IF(SUM(KX7,KZ7)&gt;0,SUM(KX7,KZ7),"")</f>
        <v/>
      </c>
      <c r="LB7" s="38"/>
      <c r="LC7" s="38"/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14" t="str">
        <f>IF(LI7&gt;0,LI7,"")</f>
        <v/>
      </c>
      <c r="LR7" s="14" t="str">
        <f>IF(SUM(LB7:LE7)-LF7&gt;0,SUM(LB7:LE7)-LF7,"")</f>
        <v/>
      </c>
      <c r="LS7" s="14" t="str">
        <f>IF(SUM(LG7:LJ7)-LK7&gt;0,SUM(LG7:LJ7)-LK7,"")</f>
        <v/>
      </c>
      <c r="LT7" s="14" t="str">
        <f>IF(SUM(LR7:LS7)&gt;0,SUM(LR7:LS7),"")</f>
        <v/>
      </c>
      <c r="LU7" s="14" t="str">
        <f>IF(LN7&gt;0,LN7,"")</f>
        <v/>
      </c>
      <c r="LV7" s="14" t="str">
        <f>IF(SUM(LL7:LO7)-LP7&gt;0,SUM(LL7:LO7)-LP7,"")</f>
        <v/>
      </c>
      <c r="LW7" s="14" t="str">
        <f>IF(SUM(LT7,LV7)&gt;0,SUM(LT7,LV7),"")</f>
        <v/>
      </c>
      <c r="LX7" s="37"/>
      <c r="LY7" s="37"/>
      <c r="LZ7" s="37"/>
      <c r="MA7" s="37"/>
      <c r="MB7" s="37"/>
      <c r="MC7" s="37"/>
      <c r="MD7" s="37"/>
      <c r="ME7" s="37"/>
      <c r="MF7" s="37"/>
      <c r="MG7" s="37"/>
      <c r="MH7" s="37"/>
      <c r="MI7" s="37"/>
      <c r="MJ7" s="37"/>
      <c r="MK7" s="37"/>
      <c r="ML7" s="37"/>
      <c r="MM7" s="11" t="str">
        <f>IF(ME7&gt;0,ME7,"")</f>
        <v/>
      </c>
      <c r="MN7" s="11" t="str">
        <f>IF(SUM(LX7:MA7)-MB7&gt;0,SUM(LX7:MA7)-MB7,"")</f>
        <v/>
      </c>
      <c r="MO7" s="11" t="str">
        <f>IF(SUM(MC7:MF7)-MG7&gt;0,SUM(MC7:MF7)-MG7,"")</f>
        <v/>
      </c>
      <c r="MP7" s="11" t="str">
        <f>IF(SUM(MN7:MO7)&gt;0,SUM(MN7:MO7),"")</f>
        <v/>
      </c>
      <c r="MQ7" s="11" t="str">
        <f>IF(MJ7&gt;0,MJ7,"")</f>
        <v/>
      </c>
      <c r="MR7" s="11" t="str">
        <f>IF(SUM(MH7:MK7)-ML7&gt;0,SUM(MH7:MK7)-ML7,"")</f>
        <v/>
      </c>
      <c r="MS7" s="11" t="str">
        <f>IF(SUM(MP7,MR7)&gt;0,SUM(MP7,MR7),"")</f>
        <v/>
      </c>
      <c r="MT7" s="38"/>
      <c r="MU7" s="38"/>
      <c r="MV7" s="38"/>
      <c r="MW7" s="38"/>
      <c r="MX7" s="38"/>
      <c r="MY7" s="38"/>
      <c r="MZ7" s="38"/>
      <c r="NA7" s="38"/>
      <c r="NB7" s="38"/>
      <c r="NC7" s="38"/>
      <c r="ND7" s="38"/>
      <c r="NE7" s="38"/>
      <c r="NF7" s="38"/>
      <c r="NG7" s="38"/>
      <c r="NH7" s="38"/>
      <c r="NI7" s="14" t="str">
        <f>IF(NA7&gt;0,NA7,"")</f>
        <v/>
      </c>
      <c r="NJ7" s="14" t="str">
        <f>IF(SUM(MT7:MW7)-MX7&gt;0,SUM(MT7:MW7)-MX7,"")</f>
        <v/>
      </c>
      <c r="NK7" s="14" t="str">
        <f>IF(SUM(MY7:NB7)-NC7&gt;0,SUM(MY7:NB7)-NC7,"")</f>
        <v/>
      </c>
      <c r="NL7" s="14" t="str">
        <f>IF(SUM(NJ7:NK7)&gt;0,SUM(NJ7:NK7),"")</f>
        <v/>
      </c>
      <c r="NM7" s="14" t="str">
        <f>IF(NF7&gt;0,NF7,"")</f>
        <v/>
      </c>
      <c r="NN7" s="14" t="str">
        <f>IF(SUM(ND7:NG7)-NH7&gt;0,SUM(ND7:NG7)-NH7,"")</f>
        <v/>
      </c>
      <c r="NO7" s="14" t="str">
        <f>IF(SUM(NL7,NN7)&gt;0,SUM(NL7,NN7),"")</f>
        <v/>
      </c>
      <c r="NP7" s="69">
        <f>IF($CX7="P",CD7,(CD7+AZ7)/2)</f>
        <v>17.100000000000001</v>
      </c>
      <c r="NQ7" s="69">
        <f>IF($CX7="P",CE7,(CE7+BA7)/2)</f>
        <v>9.3500000000000014</v>
      </c>
      <c r="NR7" s="69">
        <f>IF($CX7="P",CF7,(CF7+BB7)/2)</f>
        <v>5.8</v>
      </c>
      <c r="NS7" s="69">
        <f>IF($CX7="P",CG7,(CG7+BC7)/2)</f>
        <v>16.037500000000001</v>
      </c>
      <c r="NT7" s="69">
        <f>IF($CX7="P",CH7,(CH7+BD7)/2)</f>
        <v>0</v>
      </c>
      <c r="NU7" s="69">
        <f>IF($CX7="P",CI7,(CI7+BE7)/2)</f>
        <v>11.6</v>
      </c>
      <c r="NV7" s="69">
        <f>IF($CX7="P",CJ7,(CJ7+BF7)/2)</f>
        <v>6.8500000000000005</v>
      </c>
      <c r="NW7" s="69">
        <f>IF($CX7="P",CK7,(CK7+BG7)/2)</f>
        <v>10.600000000000001</v>
      </c>
      <c r="NX7" s="69">
        <f>IF($CX7="P",CL7,(CL7+BH7)/2)</f>
        <v>11.522499999999999</v>
      </c>
      <c r="NY7" s="69">
        <f>IF($CX7="P",CM7,(CM7+BI7)/2)</f>
        <v>0</v>
      </c>
      <c r="NZ7" s="69">
        <f>IF($CX7="P",CN7,(CN7+BJ7)/2)</f>
        <v>16.25</v>
      </c>
      <c r="OA7" s="69">
        <f>IF($CX7="P",CO7,(CO7+BK7)/2)</f>
        <v>9.3999999999999986</v>
      </c>
      <c r="OB7" s="69">
        <f>IF($CX7="P",CP7,(CP7+BL7)/2)</f>
        <v>13.8</v>
      </c>
      <c r="OC7" s="69">
        <f>IF($CX7="P",CQ7,(CQ7+BM7)/2)</f>
        <v>15.22</v>
      </c>
      <c r="OD7" s="69">
        <f>IF($CX7="P",CR7,(CR7+BN7)/2)</f>
        <v>0</v>
      </c>
      <c r="OE7" s="69">
        <f>IF($CX7="P",CS7,(CS7+BO7)/2)</f>
        <v>16.25</v>
      </c>
      <c r="OF7" s="69">
        <f>IF($CX7="P",CT7,(CT7+BP7)/2)</f>
        <v>9.25</v>
      </c>
      <c r="OG7" s="69">
        <f>IF($CX7="P",CU7,(CU7+BQ7)/2)</f>
        <v>14</v>
      </c>
      <c r="OH7" s="69">
        <f>IF($CX7="P",CV7,(CV7+BR7)/2)</f>
        <v>15.4</v>
      </c>
      <c r="OI7" s="69">
        <f>IF($CX7="P",CW7,(CW7+BS7)/2)</f>
        <v>0</v>
      </c>
      <c r="OJ7" s="80" t="s">
        <v>74</v>
      </c>
      <c r="OK7" s="11">
        <f>IF(SUM(NP7:NS7)-NT7&gt;0,SUM(NP7:NS7)-NT7,"")</f>
        <v>48.287500000000001</v>
      </c>
      <c r="OL7" s="11">
        <f>IF(NW7&gt;0,NW7,"")</f>
        <v>10.600000000000001</v>
      </c>
      <c r="OM7" s="11">
        <f>IF(SUM(NU7:NX7)-NY7&gt;0,SUM(NU7:NX7)-NY7,"")</f>
        <v>40.572499999999998</v>
      </c>
      <c r="ON7" s="11">
        <f>IF(OB7&gt;0,OB7,"")</f>
        <v>13.8</v>
      </c>
      <c r="OO7" s="11">
        <f>IF(SUM(NZ7:OC7)-OD7&gt;0,SUM(NZ7:OC7)-OD7,"")</f>
        <v>54.67</v>
      </c>
      <c r="OP7" s="11">
        <f>IF(OR(OK7&lt;&gt;"",OM7&lt;&gt;"",OO7&lt;&gt;""),OK7+MAX(OM7,OO7),"")</f>
        <v>102.95750000000001</v>
      </c>
      <c r="OQ7" s="11">
        <f>IF(OG7&gt;0,OG7,"")</f>
        <v>14</v>
      </c>
      <c r="OR7" s="11">
        <f t="shared" si="0"/>
        <v>54.9</v>
      </c>
      <c r="OS7" s="11">
        <f t="shared" si="1"/>
        <v>157.85750000000002</v>
      </c>
    </row>
    <row r="8" spans="1:409" x14ac:dyDescent="0.2">
      <c r="A8" s="5" cm="1">
        <f t="array" ref="A8">IF(AND(G8&lt;&gt;"",H8&lt;&gt;""),SUMPRODUCT((G$4:G$15&lt;&gt;"")*(H$4:H$15&lt;&gt;"")*(E$4:E$15&gt;E8))+1,IF(H8&lt;&gt;"",SUMPRODUCT((I$4:I$15="No DD")*(E$4:E$15&gt;E8))+1+SUMPRODUCT((G$4:G$15&lt;&gt;"")*(H$4:H$15&lt;&gt;"")),""))</f>
        <v>5</v>
      </c>
      <c r="B8" s="127" t="s">
        <v>32</v>
      </c>
      <c r="C8" s="5" t="s">
        <v>6</v>
      </c>
      <c r="D8" s="5">
        <v>1992</v>
      </c>
      <c r="E8" s="15">
        <f>SUM(K8:S8)</f>
        <v>260.70500000000004</v>
      </c>
      <c r="F8" s="3" t="str">
        <f>IF(G8&lt;&gt;"","P","")</f>
        <v>P</v>
      </c>
      <c r="G8" s="125" t="str">
        <f>IF(OR(AND(AR8&gt;=AY$20,AR8&lt;&gt;"",AP8=""),AND(AT8&gt;=AY$20,AT8&lt;&gt;"",AP8=""),AND(AW8&gt;=AY$20,AW8&lt;&gt;"",AP8=""),AND(BV8&gt;=CC$20,BV8&lt;&gt;"",BT8=""),AND(BX8&gt;=CC$20,BX8&lt;&gt;"",BT8=""),AND(CA8&gt;=CC$20,CA8&lt;&gt;"",BT8=""),AND(CZ8&gt;=DG$20,CZ8&lt;&gt;"",CX8=""),AND(DB8&gt;=DG$20,DB8&lt;&gt;"",CX8=""),AND(DE8&gt;=DG$20,DE8&lt;&gt;"",CX8=""),AND(EA8&gt;=EG$20,EA8&lt;&gt;""),AND(EE8&gt;=EG$20,EE8&lt;&gt;""),AND(EW8&gt;=FC$20,EW8&lt;&gt;""),AND(FA8&gt;=FC$20,FA8&lt;&gt;""),AND(FS8&gt;=FY$20,FS8&lt;&gt;""),AND(FW8&gt;=FY$20,FW8&lt;&gt;""),AND(GO8&gt;=GU$20,GO8&lt;&gt;""),AND(GS8&gt;=GU$20,GS8&lt;&gt;""),AND(HK8&gt;=HQ$20,HK8&lt;&gt;""),AND(HO8&gt;=HQ$20,HO8&lt;&gt;""),AND(IG8&gt;=IM$20,IG8&lt;&gt;""),AND(IK8&gt;=IM$20,IK8&lt;&gt;""),AND(JC8&gt;=JI$20,JC8&lt;&gt;""),AND(JG8&gt;=JI$20,JG8&lt;&gt;""),AND(JY8&gt;=KE$20,JY8&lt;&gt;""),AND(KC8&gt;=KE$20,KC8&lt;&gt;""),AND(KU8&gt;=LA$20,KU8&lt;&gt;""),AND(KY8&gt;=LA$20,KY8&lt;&gt;""),AND(LQ8&gt;=LW$20,LQ8&lt;&gt;""),AND(LU8&gt;=LW$20,LU8&lt;&gt;""),AND(MM8&gt;=MS$20,MM8&lt;&gt;""),AND(MQ8&gt;=MS$20,MQ8&lt;&gt;""),AND(NI8&gt;=NO$20,NI8&lt;&gt;""),AND(NM8&gt;=NO$20,NM8&lt;&gt;"")),"Merit",IF(OR(AND(AR8&gt;=AY$19,AR8&lt;&gt;"",AP8=""),AND(AT8&gt;=AY$19,AT8&lt;&gt;"",AP8=""),AND(AW8&gt;=AY$19,AW8&lt;&gt;"",AP8=""),AND(BV8&gt;=CC$19,BV8&lt;&gt;"",BT8=""),AND(BX8&gt;=CC$19,BX8&lt;&gt;"",BT8=""),AND(CA8&gt;=CC$19,CA8&lt;&gt;"",BT8=""),AND(CZ8&gt;=DG$19,CZ8&lt;&gt;"",CX8=""),AND(DB8&gt;=DG$19,DB8&lt;&gt;"",CX8=""),AND(DE8&gt;=DG$19,DE8&lt;&gt;"",CX8=""),AND(EA8&gt;=EG$19,EA8&lt;&gt;""),AND(EE8&gt;=EG$19,EE8&lt;&gt;""),AND(EW8&gt;=FC$19,EW8&lt;&gt;""),AND(FA8&gt;=FC$19,FA8&lt;&gt;""),AND(FS8&gt;=FY$19,FS8&lt;&gt;""),AND(FW8&gt;=FY$19,FW8&lt;&gt;""),AND(GO8&gt;=GU$19,GO8&lt;&gt;""),AND(GS8&gt;=GU$19,GS8&lt;&gt;""),AND(HK8&gt;=HQ$19,HK8&lt;&gt;""),AND(HO8&gt;=HQ$19,HO8&lt;&gt;""),AND(IG8&gt;=IM$19,IG8&lt;&gt;""),AND(IK8&gt;=IM$19,IK8&lt;&gt;""),AND(JC8&gt;=JI$19,JC8&lt;&gt;""),AND(JG8&gt;=JI$19,JG8&lt;&gt;""),AND(JY8&gt;=KE$19,JY8&lt;&gt;""),AND(KC8&gt;=KE$19,KC8&lt;&gt;""),AND(KU8&gt;=LA$19,KU8&lt;&gt;""),AND(KY8&gt;=LA$19,KY8&lt;&gt;""),AND(LQ8&gt;=LW$19,LQ8&lt;&gt;""),AND(LU8&gt;=LW$19,LU8&lt;&gt;""),AND(MM8&gt;=MS$19,MM8&lt;&gt;""),AND(MQ8&gt;=MS$19,MQ8&lt;&gt;""),AND(NI8&gt;=NO$19,NI8&lt;&gt;""),AND(NM8&gt;=NO$19,NM8&lt;&gt;"")),"Excellence",IF(OR(AND(AR8&gt;=AY$18,AR8&lt;&gt;"",AP8=""),AND(AT8&gt;=AY$18,AT8&lt;&gt;"",AP8=""),AND(AW8&gt;=AY$18,AW8&lt;&gt;"",AP8=""),AND(BV8&gt;=CC$18,BV8&lt;&gt;"",BT8=""),AND(BX8&gt;=CC$18,BX8&lt;&gt;"",BT8=""),AND(CA8&gt;=CC$18,CA8&lt;&gt;"",BT8=""),AND(CZ8&gt;=DG$18,CZ8&lt;&gt;"",CX8=""),AND(DB8&gt;=DG$18,DB8&lt;&gt;"",CX8=""),AND(DE8&gt;=DG$18,DE8&lt;&gt;"",CX8=""),AND(EA8&gt;=EG$18,EA8&lt;&gt;""),AND(EE8&gt;=EG$18,EE8&lt;&gt;""),AND(EW8&gt;=FC$18,EW8&lt;&gt;""),AND(FA8&gt;=FC$18,FA8&lt;&gt;""),AND(FS8&gt;=FY$18,FS8&lt;&gt;""),AND(FW8&gt;=FY$18,FW8&lt;&gt;""),AND(GO8&gt;=GU$18,GO8&lt;&gt;""),AND(GS8&gt;=GU$18,GS8&lt;&gt;""),AND(HK8&gt;=HQ$18,HK8&lt;&gt;""),AND(HO8&gt;=HQ$18,HO8&lt;&gt;""),AND(IG8&gt;=IM$18,IG8&lt;&gt;""),AND(IK8&gt;=IM$18,IK8&lt;&gt;""),AND(JC8&gt;=JI$18,JC8&lt;&gt;""),AND(JG8&gt;=JI$18,JG8&lt;&gt;""),AND(JY8&gt;=KE$18,JY8&lt;&gt;""),AND(KC8&gt;=KE$18,KC8&lt;&gt;""),AND(KU8&gt;=LA$18,KU8&lt;&gt;""),AND(KY8&gt;=LA$18,KY8&lt;&gt;""),AND(LQ8&gt;=LW$18,LQ8&lt;&gt;""),AND(LU8&gt;=LW$18,LU8&lt;&gt;""),AND(MM8&gt;=MS$18,MM8&lt;&gt;""),AND(MQ8&gt;=MS$18,MQ8&lt;&gt;""),AND(NI8&gt;=NO$18,NI8&lt;&gt;""),AND(NM8&gt;=NO$18,NM8&lt;&gt;"")),"Worlds Team",IF(OR(AND(AR8&gt;=AY$17,AR8&lt;&gt;"",AP8=""),AND(AT8&gt;=AY$17,AT8&lt;&gt;"",AP8=""),AND(AW8&gt;=AY$17,AW8&lt;&gt;"",AP8=""),AND(BV8&gt;=CC$17,BV8&lt;&gt;"",BT8=""),AND(BX8&gt;=CC$17,BX8&lt;&gt;"",BT8=""),AND(CA8&gt;=CC$17,CA8&lt;&gt;"",BT8=""),AND(CZ8&gt;=DG$17,CZ8&lt;&gt;"",CX8=""),AND(DB8&gt;=DG$17,DB8&lt;&gt;"",CX8=""),AND(DE8&gt;=DG$17,DE8&lt;&gt;"",CX8=""),AND(EA8&gt;=EG$17,EA8&lt;&gt;""),AND(EE8&gt;=EG$17,EE8&lt;&gt;""),AND(EW8&gt;=FC$17,EW8&lt;&gt;""),AND(FA8&gt;=FC$17,FA8&lt;&gt;""),AND(FS8&gt;=FY$17,FS8&lt;&gt;""),AND(FW8&gt;=FY$17,FW8&lt;&gt;""),AND(GO8&gt;=GU$17,GO8&lt;&gt;""),AND(GS8&gt;=GU$17,GS8&lt;&gt;""),AND(HK8&gt;=HQ$17,HK8&lt;&gt;""),AND(HO8&gt;=HQ$17,HO8&lt;&gt;""),AND(IG8&gt;=IM$17,IG8&lt;&gt;""),AND(IK8&gt;=IM$17,IK8&lt;&gt;""),AND(JC8&gt;=JI$17,JC8&lt;&gt;""),AND(JG8&gt;=JI$17,JG8&lt;&gt;""),AND(JY8&gt;=KE$17,JY8&lt;&gt;""),AND(KC8&gt;=KE$17,KC8&lt;&gt;""),AND(KU8&gt;=LA$17,KU8&lt;&gt;""),AND(KY8&gt;=LA$17,KY8&lt;&gt;""),AND(LQ8&gt;=LW$17,LQ8&lt;&gt;""),AND(LU8&gt;=LW$17,LU8&lt;&gt;""),AND(MM8&gt;=MS$17,MM8&lt;&gt;""),AND(MQ8&gt;=MS$17,MQ8&lt;&gt;""),AND(NI8&gt;=NO$17,NI8&lt;&gt;""),AND(NM8&gt;=NO$17,NM8&lt;&gt;"")),"National Team",""))))</f>
        <v>Merit</v>
      </c>
      <c r="H8" s="125" t="str">
        <f>IF(OR(AND(AS8&gt;=AY$24,AS8&lt;&gt;"",AP8=""),AND(AU8&gt;=AY$24,AU8&lt;&gt;"",AP8=""),AND(AX8&gt;=AY$24,AX8&lt;&gt;"",AP8=""),AND(BW8&gt;=CC$24,BW8&lt;&gt;"",BT8=""),AND(BY8&gt;=CC$24,BY8&lt;&gt;"",BT8=""),AND(CB8&gt;=CC$24,CB8&lt;&gt;"",BT8=""),AND(DA8&gt;=DG$24,DA8&lt;&gt;"",CX8=""),AND(DC8&gt;=DG$24,DC8&lt;&gt;"",CX8=""),AND(DF8&gt;=DG$24,DF8&lt;&gt;"",CX8=""),AND(EC8&gt;=EG$24,EC8&lt;&gt;""),AND(EF8&gt;=EG$24,EF8&lt;&gt;""),AND(EY8&gt;=FC$24,EY8&lt;&gt;""),AND(FB8&gt;=FC$24,FB8&lt;&gt;""),AND(FU8&gt;=FY$24,FU8&lt;&gt;""),AND(FX8&gt;=FY$24,FX8&lt;&gt;""),AND(GQ8&gt;=GU$24,GQ8&lt;&gt;""),AND(GT8&gt;=GU$24,GT8&lt;&gt;""),AND(HM8&gt;=HQ$24,HM8&lt;&gt;""),AND(HP8&gt;=HQ$24,HP8&lt;&gt;""),AND(II8&gt;=IM$24,II8&lt;&gt;""),AND(IL8&gt;=IM$24,IL8&lt;&gt;""),AND(JE8&gt;=JI$24,JE8&lt;&gt;""),AND(JH8&gt;=JI$24,JH8&lt;&gt;""),AND(KA8&gt;=KE$24,KA8&lt;&gt;""),AND(KD8&gt;=KE$24,KD8&lt;&gt;""),AND(KW8&gt;=LA$24,KW8&lt;&gt;""),AND(KZ8&gt;=LA$24,KZ8&lt;&gt;""),AND(LS8&gt;=LW$24,LS8&lt;&gt;""),AND(LV8&gt;=LW$24,LV8&lt;&gt;""),AND(MO8&gt;=MS$24,MO8&lt;&gt;""),AND(MR8&gt;=MS$24,MR8&lt;&gt;""),AND(NK8&gt;=NO$24,NK8&lt;&gt;""),AND(NN8&gt;=NO$24,NN8&lt;&gt;"")),"Merit",IF(OR(AND(AS8&gt;=AY$23,AS8&lt;&gt;"",AP8=""),AND(AU8&gt;=AY$23,AU8&lt;&gt;"",AP8=""),AND(AX8&gt;=AY$23,AX8&lt;&gt;"",AP8=""),AND(BW8&gt;=CC$23,BW8&lt;&gt;"",BT8=""),AND(BY8&gt;=CC$23,BY8&lt;&gt;"",BT8=""),AND(CB8&gt;=CC$23,CB8&lt;&gt;"",BT8=""),AND(DA8&gt;=DG$23,DA8&lt;&gt;"",CX8=""),AND(DC8&gt;=DG$23,DC8&lt;&gt;"",CX8=""),AND(DF8&gt;=DG$23,DF8&lt;&gt;"",CX8=""),AND(EC8&gt;=EG$23,EC8&lt;&gt;""),AND(EF8&gt;=EG$23,EF8&lt;&gt;""),AND(EY8&gt;=FC$23,EY8&lt;&gt;""),AND(FB8&gt;=FC$23,FB8&lt;&gt;""),AND(FU8&gt;=FY$23,FU8&lt;&gt;""),AND(FX8&gt;=FY$23,FX8&lt;&gt;""),AND(GQ8&gt;=GU$23,GQ8&lt;&gt;""),AND(GT8&gt;=GU$23,GT8&lt;&gt;""),AND(HM8&gt;=HQ$23,HM8&lt;&gt;""),AND(HP8&gt;=HQ$23,HP8&lt;&gt;""),AND(II8&gt;=IM$23,II8&lt;&gt;""),AND(IL8&gt;=IM$23,IL8&lt;&gt;""),AND(JE8&gt;=JI$23,JE8&lt;&gt;""),AND(JH8&gt;=JI$23,JH8&lt;&gt;""),AND(KA8&gt;=KE$23,KA8&lt;&gt;""),AND(KD8&gt;=KE$23,KD8&lt;&gt;""),AND(KW8&gt;=LA$23,KW8&lt;&gt;""),AND(KZ8&gt;=LA$23,KZ8&lt;&gt;""),AND(LS8&gt;=LW$23,LS8&lt;&gt;""),AND(LV8&gt;=LW$23,LV8&lt;&gt;""),AND(MO8&gt;=MS$23,MO8&lt;&gt;""),AND(MR8&gt;=MS$23,MR8&lt;&gt;""),AND(NK8&gt;=NO$23,NK8&lt;&gt;""),AND(NN8&gt;=NO$23,NN8&lt;&gt;"")),"Excellence",IF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"Worlds Team",IF(OR(AND(AV8&gt;=AY$21,AV8&lt;&gt;"",AP8=""),AND(BZ8&gt;=CC$21,BZ8&lt;&gt;"",BT8=""),AND(DD8&gt;=DG$21,DD8&lt;&gt;"",CX8=""),AND(ED8&gt;=EG$21,ED8&lt;&gt;""),AND(EZ8&gt;=FC$21,EZ8&lt;&gt;""),AND(FV8&gt;=FY$21,FV8&lt;&gt;""),AND(GR8&gt;=GU$21,GR8&lt;&gt;""),AND(HN8&gt;=HQ$21,HN8&lt;&gt;""),AND(IJ8&gt;=IM$21,IJ8&lt;&gt;""),AND(JF8&gt;=JI$21,JF8&lt;&gt;""),AND(KB8&gt;=KE$21,KB8&lt;&gt;""),AND(KX8&gt;=LA$21,KX8&lt;&gt;""),AND(LT8&gt;=LW$21,LT8&lt;&gt;""),AND(MP8&gt;=MS$21,MP8&lt;&gt;""),AND(NL8&gt;=NO$21,NL8&lt;&gt;"")),"National Team",""))))</f>
        <v>Merit</v>
      </c>
      <c r="I8" s="126" t="str">
        <f>IF(AND(G8="Merit",H8="Merit"),"Merit",IF(AND(OR(G8="Merit",G8="Excellence"),OR(H8="Merit",H8="Excellence")),"Excellence",IF(AND(OR(G8="Merit",G8="Excellence",G8="Worlds Team"),OR(H8="Merit",H8="Excellence",H8="Worlds Team")),"Worlds Team",IF(AND(OR(G8="Merit",G8="Excellence",G8="Worlds Team",G8="National Team"),OR(H8="Merit",H8="Excellence",H8="Worlds Team",H8="National Team")),"National Team",IF(OR(H8="Merit",H8="Excellence",H8="Worlds Team",H8="National Team"),"No DD","")))))</f>
        <v>Merit</v>
      </c>
      <c r="J8" s="3" t="str">
        <f>IF(AND(OR(AND(AV8&gt;=AY$22,AV8&lt;&gt;"",AP8=""),AND(BZ8&gt;=CC$22,BZ8&lt;&gt;"",BT8=""),AND(DD8&gt;=DG$22,DD8&lt;&gt;"",CX8=""),AND(ED8&gt;=EG$22,ED8&lt;&gt;""),AND(EZ8&gt;=FC$22,EZ8&lt;&gt;""),AND(FV8&gt;=FY$22,FV8&lt;&gt;""),AND(GR8&gt;=GU$22,GR8&lt;&gt;""),AND(HN8&gt;=HQ$22,HN8&lt;&gt;""),AND(IJ8&gt;=IM$22,IJ8&lt;&gt;""),AND(JF8&gt;=JI$22,JF8&lt;&gt;""),AND(KB8&gt;=KE$22,KB8&lt;&gt;""),AND(KX8&gt;=LA$22,KX8&lt;&gt;""),AND(LT8&gt;=LW$22,LT8&lt;&gt;""),AND(MP8&gt;=MS$22,MP8&lt;&gt;""),AND(NL8&gt;=NO$22,NL8&lt;&gt;"")),OR(G8="Worlds Team",G8="Excellence",G8="Merit")),"P","")</f>
        <v>P</v>
      </c>
      <c r="K8" s="14">
        <f>IF(MAX(AV8,BZ8,DD8)&gt;0,MAX(AV8,BZ8,DD8),0)</f>
        <v>103.66500000000001</v>
      </c>
      <c r="L8" s="14" t="str">
        <f>IF(K8=0,"",IF(K8=DD8,$CD$1,IF(K8=BZ8,$AZ$1,IF(K8=AV8,$V$1,""))))</f>
        <v>2021 2nd Virtual Technical Trial</v>
      </c>
      <c r="M8" s="14">
        <f>IF($K8=$AV8,MAX(BU8,CY8),IF($K8=$BZ8,MAX(AQ8,CY8),IF($K8=$DD8,MAX(AQ8,BU8),MAX(AQ8,BU8,CY8))))</f>
        <v>48.165000000000006</v>
      </c>
      <c r="N8" s="14" t="str">
        <f>IF(M8=0,"",IF(AND(M8=CY8,$L8&lt;&gt;$CD$1),$CD$1,IF(AND(M8=BU8,$L8&lt;&gt;$AZ$1),$AZ$1,IF(AND(M8=AQ8,$L8&lt;&gt;$V$1),$V$1,""))))</f>
        <v>2021 Elite Canada</v>
      </c>
      <c r="O8" s="14">
        <f>IF(K8-N(AQ8)=AS8,MAX(AU8,BW8,BY8,DA8,DC8),IF(K8-N(AQ8)=AU8,MAX(AS8,BW8,BY8,DA8,DC8),IF(K8-N(BU8)=BW8,MAX(AS8,AU8,BY8,DA8,DC8),IF(K8-N(BU8)=BY8,MAX(AS8,AU8,BW8,DA8,DC8),IF(K8-N(CY8)=DA8,MAX(AS8,AU8,BW8,BY8,DC8),IF(K8-N(CY8)=DC8,MAX(AS8,AU8,BW8,BY8,DA8),MAX(AS8,AU8,BW8,BY8,DA8,DC8)))))))</f>
        <v>54.215000000000003</v>
      </c>
      <c r="P8" s="14" t="str">
        <f>IF(O8=0,"",IF(OR(O8=DC8,O8=DA8),$CD$1,IF(OR(O8=BY8,O8=BW8),$AZ$1,IF(OR(O8=AU8,O8=AS8),$V$1,""))))</f>
        <v>2021 Elite Canada</v>
      </c>
      <c r="Q8" s="14">
        <f>MAX(AX8,CB8,DF8)</f>
        <v>51.790000000000006</v>
      </c>
      <c r="R8" s="14" t="str">
        <f>IF(Q8=0,"",IF(Q8=DF8,$CD$1,IF(Q8=CB8,$AZ$1,IF(Q8=AX8,$V$1,""))))</f>
        <v>2021 Canadian Championships</v>
      </c>
      <c r="S8" s="14">
        <f>IF(MAX(DH8,DI8,DJ8,DK8)&gt;0,MAX(DH8,DI8,DJ8,DK8),"")</f>
        <v>2.8699999999999903</v>
      </c>
      <c r="T8" s="25" t="str">
        <f>IF(S8="","",IF(S8=DH8,"(Vol 1)",IF(S8=DI8,"(Vol 2)",IF(S8=DJ8,"(Prelim)",IF(S8=DK8,"(Final)")))))</f>
        <v>(Final)</v>
      </c>
      <c r="U8" s="14" t="str">
        <f>IF(S8="","",IF(S8=DH8,IF(S8+IF(M8="",0,M8)=NJ8,$MT$1,IF(S8+IF(M8="",0,M8)=MN8,$LX$1,IF(S8+IF(M8="",0,M8)=LR8,$LB$1,IF(S8+IF(M8="",0,M8)=KV8,$KF$1,IF(S8+IF(M8="",0,M8)=JZ8,$JJ$1,IF(S8+IF(M8="",0,M8)=JD8,$IN$1,IF(S8+IF(M8="",0,M8)=IH8,$HR$1,IF(S8+IF(M8="",0,M8)=HL8,$GV$1,IF(S8+IF(M8="",0,M8)=GP8,$FZ$1,IF(S8+IF(M8="",0,M8)=FT8,$FD$1,IF(S8+IF(M8="",0,M8)=EX8,$EH$1,IF(S8+IF(M8="",0,M8)=EB8,$DL$1)))))))))))),IF(S8=DI8,IF(S8+IF(O8="",0,O8)=NK8,$MT$1,IF(S8+IF(O8="",0,O8)=MO8,$LX$1,IF(S8+IF(O8="",0,O8)=LS8,$LB$1,IF(S8+IF(O8="",0,O8)=KW8,$KF$1,IF(S8+IF(O8="",0,O8)=KA8,$JJ$1,IF(S8+IF(O8="",0,O8)=JE8,$IN$1,IF(S8+IF(O8="",0,O8)=II8,$HR$1,IF(S8+IF(O8="",0,O8)=HM8,$GV$1,IF(S8+IF(O8="",0,O8)=GQ8,$FZ$1,IF(S8+IF(O8="",0,O8)=FU8,$FD$1,IF(S8+IF(O8="",0,O8)=EY8,$EH$1,IF(S8+IF(O8="",0,O8)=EC8,$DL$1)))))))))))),IF(S8=DJ8,IF(S8+IF(K8="",0,K8)=NL8,$MT$1,IF(S8+IF(K8="",0,K8)=MP8,$LX$1,IF(S8+IF(K8="",0,K8)=LT8,$LB$1,IF(S8+IF(K8="",0,K8)=KX8,$KF$1,IF(S8+IF(K8="",0,K8)=KB8,$JJ$1,IF(S8+IF(K8="",0,K8)=JF8,$IN$1,IF(S8+IF(K8="",0,K8)=IJ8,$HR$1,IF(S8+IF(K8="",0,K8)=HN8,$GV$1,IF(S8+IF(K8="",0,K8)=GR8,$FZ$1,IF(S8+IF(K8="",0,K8)=FV8,$FD$1,IF(S8+IF(K8="",0,K8)=EZ8,$EH$1,IF(S8+IF(K8="",0,K8)=ED8,$DL$1)))))))))))),IF(S8=DK8,IF(S8+IF(Q8="",0,Q8)=NN8,$MT$1,IF(S8+IF(Q8="",0,Q8)=MR8,$LX$1,IF(S8+IF(Q8="",0,Q8)=LV8,$LB$1,IF(S8+IF(Q8="",0,Q8)=KZ8,$KF$1,IF(S8+IF(Q8="",0,Q8)=KD8,$JJ$1,IF(S8+IF(Q8="",0,Q8)=JH8,$IN$1,IF(S8+IF(Q8="",0,Q8)=IL8,$HR$1,IF(S8+IF(Q8="",0,Q8)=HP8,$GV$1,IF(S8+IF(Q8="",0,Q8)=GT8,$FZ$1,IF(S8+IF(Q8="",0,Q8)=FX8,$FD$1,IF(S8+IF(Q8="",0,Q8)=FB8,$EH$1,IF(S8+IF(Q8="",0,Q8)=EF8,$DL$1)))))))))))))))))</f>
        <v>2021 World Cup ITA/Olympic Technical Trial (June 4/9)</v>
      </c>
      <c r="V8" s="69">
        <v>18.100000000000001</v>
      </c>
      <c r="W8" s="69">
        <v>9.1999999999999993</v>
      </c>
      <c r="X8" s="69">
        <v>5</v>
      </c>
      <c r="Y8" s="69">
        <v>16.324999999999999</v>
      </c>
      <c r="Z8" s="69">
        <v>0</v>
      </c>
      <c r="AA8" s="69">
        <v>15.7</v>
      </c>
      <c r="AB8" s="69">
        <v>8.6999999999999993</v>
      </c>
      <c r="AC8" s="69">
        <v>14.2</v>
      </c>
      <c r="AD8" s="69">
        <v>15.39</v>
      </c>
      <c r="AE8" s="69">
        <v>0</v>
      </c>
      <c r="AF8" s="69">
        <v>15.4</v>
      </c>
      <c r="AG8" s="69">
        <v>9.5</v>
      </c>
      <c r="AH8" s="69">
        <v>14.8</v>
      </c>
      <c r="AI8" s="69">
        <v>15.34</v>
      </c>
      <c r="AJ8" s="69">
        <v>0</v>
      </c>
      <c r="AK8" s="69">
        <v>10.4</v>
      </c>
      <c r="AL8" s="69">
        <v>6.7</v>
      </c>
      <c r="AM8" s="69">
        <v>11.1</v>
      </c>
      <c r="AN8" s="69">
        <v>10.91</v>
      </c>
      <c r="AO8" s="69">
        <v>0</v>
      </c>
      <c r="AP8" s="80"/>
      <c r="AQ8" s="11">
        <f>IF(SUM(V8:Y8)-Z8&gt;0,SUM(V8:Y8)-Z8,"")</f>
        <v>48.625</v>
      </c>
      <c r="AR8" s="11">
        <f>IF(AC8&gt;0,AC8,"")</f>
        <v>14.2</v>
      </c>
      <c r="AS8" s="11">
        <f>IF(SUM(AA8:AD8)-AE8&gt;0,SUM(AA8:AD8)-AE8,"")</f>
        <v>53.989999999999995</v>
      </c>
      <c r="AT8" s="11">
        <f>IF(AH8&gt;0,AH8,"")</f>
        <v>14.8</v>
      </c>
      <c r="AU8" s="11">
        <f>IF(SUM(AF8:AI8)-AJ8&gt;0,SUM(AF8:AI8)-AJ8,"")</f>
        <v>55.040000000000006</v>
      </c>
      <c r="AV8" s="11">
        <f>IF(AQ8="",IF(MAX(AS8,AU8)&gt;0,MAX(AS8,AU8),""),MAX(AS8,AU8)+AQ8)</f>
        <v>103.66500000000001</v>
      </c>
      <c r="AW8" s="11">
        <f>IF(AM8&gt;0,AM8,"")</f>
        <v>11.1</v>
      </c>
      <c r="AX8" s="11">
        <f>IF(SUM(AK8:AN8)-AO8&gt;0,SUM(AK8:AN8)-AO8,"")</f>
        <v>39.11</v>
      </c>
      <c r="AY8" s="11">
        <f>IF(SUM(AV8,AX8)&gt;0,SUM(AV8,AX8),"")</f>
        <v>142.77500000000001</v>
      </c>
      <c r="AZ8" s="75">
        <v>17.600000000000001</v>
      </c>
      <c r="BA8" s="75">
        <v>9.35</v>
      </c>
      <c r="BB8" s="75">
        <v>5</v>
      </c>
      <c r="BC8" s="75">
        <v>16.215</v>
      </c>
      <c r="BD8" s="75">
        <v>0</v>
      </c>
      <c r="BE8" s="75">
        <v>15.5</v>
      </c>
      <c r="BF8" s="75">
        <v>9.1750000000000007</v>
      </c>
      <c r="BG8" s="75">
        <v>14.2</v>
      </c>
      <c r="BH8" s="75">
        <v>15.34</v>
      </c>
      <c r="BI8" s="75">
        <v>0</v>
      </c>
      <c r="BJ8" s="75">
        <v>7.7</v>
      </c>
      <c r="BK8" s="75">
        <v>4.75</v>
      </c>
      <c r="BL8" s="75">
        <v>7.4</v>
      </c>
      <c r="BM8" s="75">
        <v>7.67</v>
      </c>
      <c r="BN8" s="75">
        <v>0</v>
      </c>
      <c r="BO8" s="75">
        <v>12.8</v>
      </c>
      <c r="BP8" s="75">
        <v>7.9749999999999996</v>
      </c>
      <c r="BQ8" s="75">
        <v>12.649999999999999</v>
      </c>
      <c r="BR8" s="75">
        <v>12.940000000000001</v>
      </c>
      <c r="BS8" s="75">
        <v>0</v>
      </c>
      <c r="BT8" s="81" t="s">
        <v>74</v>
      </c>
      <c r="BU8" s="14">
        <f>IF(SUM(AZ8:BC8)-BD8&gt;0,SUM(AZ8:BC8)-BD8,"")</f>
        <v>48.165000000000006</v>
      </c>
      <c r="BV8" s="14">
        <f>IF(BG8&gt;0,BG8,"")</f>
        <v>14.2</v>
      </c>
      <c r="BW8" s="14">
        <f>IF(SUM(BE8:BH8)-BI8&gt;0,SUM(BE8:BH8)-BI8,"")</f>
        <v>54.215000000000003</v>
      </c>
      <c r="BX8" s="14">
        <f>IF(BL8&gt;0,BL8,"")</f>
        <v>7.4</v>
      </c>
      <c r="BY8" s="14">
        <f>IF(SUM(BJ8:BM8)-BN8&gt;0,SUM(BJ8:BM8)-BN8,"")</f>
        <v>27.520000000000003</v>
      </c>
      <c r="BZ8" s="14">
        <f>IF(BU8="",IF(MAX(BW8,BY8)&gt;0,MAX(BW8,BY8),""),MAX(BW8,BY8)+BU8)</f>
        <v>102.38000000000001</v>
      </c>
      <c r="CA8" s="14">
        <f>IF(BQ8&gt;0,BQ8,"")</f>
        <v>12.649999999999999</v>
      </c>
      <c r="CB8" s="14">
        <f>IF(SUM(BO8:BR8)-BS8&gt;0,SUM(BO8:BR8)-BS8,"")</f>
        <v>46.364999999999995</v>
      </c>
      <c r="CC8" s="14">
        <f>IF(SUM(BZ8,CB8)&gt;0,SUM(BZ8,CB8),"")</f>
        <v>148.745</v>
      </c>
      <c r="CD8" s="69">
        <v>18</v>
      </c>
      <c r="CE8" s="69">
        <v>9.3000000000000007</v>
      </c>
      <c r="CF8" s="69">
        <v>4.5999999999999996</v>
      </c>
      <c r="CG8" s="69">
        <v>15.675000000000001</v>
      </c>
      <c r="CH8" s="69">
        <v>0</v>
      </c>
      <c r="CI8" s="69">
        <v>14.7</v>
      </c>
      <c r="CJ8" s="69">
        <v>9.1999999999999993</v>
      </c>
      <c r="CK8" s="69">
        <v>14</v>
      </c>
      <c r="CL8" s="69">
        <v>15.04</v>
      </c>
      <c r="CM8" s="69">
        <v>0</v>
      </c>
      <c r="CN8" s="69">
        <v>15.4</v>
      </c>
      <c r="CO8" s="69">
        <v>9.5</v>
      </c>
      <c r="CP8" s="69">
        <v>13.5</v>
      </c>
      <c r="CQ8" s="69">
        <v>15.045</v>
      </c>
      <c r="CR8" s="69">
        <v>0</v>
      </c>
      <c r="CS8" s="69">
        <v>13.8</v>
      </c>
      <c r="CT8" s="69">
        <v>9.1999999999999993</v>
      </c>
      <c r="CU8" s="69">
        <v>14.2</v>
      </c>
      <c r="CV8" s="69">
        <v>14.59</v>
      </c>
      <c r="CW8" s="69">
        <v>0</v>
      </c>
      <c r="CX8" s="80"/>
      <c r="CY8" s="11">
        <f>IF(SUM(CD8:CG8)-CH8&gt;0,SUM(CD8:CG8)-CH8,"")</f>
        <v>47.575000000000003</v>
      </c>
      <c r="CZ8" s="11">
        <f>IF(CK8&gt;0,CK8,"")</f>
        <v>14</v>
      </c>
      <c r="DA8" s="11">
        <f>IF(SUM(CI8:CL8)-CM8&gt;0,SUM(CI8:CL8)-CM8,"")</f>
        <v>52.94</v>
      </c>
      <c r="DB8" s="11">
        <f>IF(CP8&gt;0,CP8,"")</f>
        <v>13.5</v>
      </c>
      <c r="DC8" s="11">
        <f>IF(SUM(CN8:CQ8)-CR8&gt;0,SUM(CN8:CQ8)-CR8,"")</f>
        <v>53.445</v>
      </c>
      <c r="DD8" s="11">
        <f>IF(CY8="",IF(MAX(DA8,DC8)&gt;0,MAX(DA8,DC8),""),MAX(DA8,DC8)+CY8)</f>
        <v>101.02000000000001</v>
      </c>
      <c r="DE8" s="11">
        <f>IF(CU8&gt;0,CU8,"")</f>
        <v>14.2</v>
      </c>
      <c r="DF8" s="11">
        <f>IF(SUM(CS8:CV8)-CW8&gt;0,SUM(CS8:CV8)-CW8,"")</f>
        <v>51.790000000000006</v>
      </c>
      <c r="DG8" s="11">
        <f>IF(SUM(DD8,DF8)&gt;0,SUM(DD8,DF8),"")</f>
        <v>152.81</v>
      </c>
      <c r="DH8" s="24">
        <f>IF(MAX(EB8,EX8,FT8,GP8,HL8,IH8,JD8,JZ8,KV8,LR8,MN8,NJ8)-IF(M8="",0,M8)&gt;0.001,MAX(EB8,EX8,FT8,GP8,HL8,IH8,JD8,JZ8,KV8,LR8,MN8,NJ8)-IF(M8="",0,M8),"")</f>
        <v>1.1349999999999909</v>
      </c>
      <c r="DI8" s="24">
        <f>IF(MAX(EC8,EY8,FU8,GQ8,HM8,II8,JE8,KA8,KW8,LS8,MO8,NK8)-IF(O8="",0,O8)&gt;0.001,MAX(EC8,EY8,FU8,GQ8,HM8,II8,JE8,KA8,KW8,LS8,MO8,NK8)-IF(O8="",0,O8),"")</f>
        <v>1.5349999999999966</v>
      </c>
      <c r="DJ8" s="24">
        <f>IF(MAX(ED8,EZ8,FV8,GR8,HN8,IJ8,JF8,KB8,KX8,LT8,MP8,NL8)-IF(K8="",0,K8)&gt;0.001,MAX(ED8,EZ8,FV8,GR8,HN8,IJ8,JF8,KB8,KX8,LT8,MP8,NL8)-IF(K8="",0,K8),"")</f>
        <v>1.3849999999999909</v>
      </c>
      <c r="DK8" s="24">
        <f>IF(MAX(EF8,FB8,FX8,GT8,HP8,IL8,JH8,KD8,KZ8,LV8,MR8,NN8)-IF(Q8="",0,Q8)&gt;0.001,MAX(EF8,FB8,FX8,GT8,HP8,IL8,JH8,KD8,KZ8,LV8,MR8,NN8)-IF(Q8="",0,Q8),"")</f>
        <v>2.8699999999999903</v>
      </c>
      <c r="DL8" s="37">
        <v>17.899999999999999</v>
      </c>
      <c r="DM8" s="37">
        <v>9.6</v>
      </c>
      <c r="DN8" s="37">
        <v>5.4</v>
      </c>
      <c r="DO8" s="37">
        <v>16.399999999999999</v>
      </c>
      <c r="DP8" s="37">
        <v>0</v>
      </c>
      <c r="DQ8" s="37">
        <v>15.8</v>
      </c>
      <c r="DR8" s="37">
        <v>9.6999999999999993</v>
      </c>
      <c r="DS8" s="37">
        <v>14.8</v>
      </c>
      <c r="DT8" s="37">
        <v>15.45</v>
      </c>
      <c r="DU8" s="37">
        <v>0</v>
      </c>
      <c r="DV8" s="37">
        <v>15.5</v>
      </c>
      <c r="DW8" s="37">
        <v>9.1999999999999993</v>
      </c>
      <c r="DX8" s="37">
        <v>14.8</v>
      </c>
      <c r="DY8" s="37">
        <v>15.16</v>
      </c>
      <c r="DZ8" s="37">
        <v>0</v>
      </c>
      <c r="EA8" s="11">
        <f>IF(DS8&gt;0,DS8,"")</f>
        <v>14.8</v>
      </c>
      <c r="EB8" s="11">
        <f>IF(SUM(DL8:DO8)-DP8&gt;0,SUM(DL8:DO8)-DP8,"")</f>
        <v>49.3</v>
      </c>
      <c r="EC8" s="11">
        <f>IF(SUM(DQ8:DT8)-DU8&gt;0,SUM(DQ8:DT8)-DU8,"")</f>
        <v>55.75</v>
      </c>
      <c r="ED8" s="11">
        <f>IF(SUM(EB8:EC8)&gt;0,SUM(EB8:EC8),"")</f>
        <v>105.05</v>
      </c>
      <c r="EE8" s="11">
        <f>IF(DX8&gt;0,DX8,"")</f>
        <v>14.8</v>
      </c>
      <c r="EF8" s="11">
        <f>IF(SUM(DV8:DY8)-DZ8&gt;0,SUM(DV8:DY8)-DZ8,"")</f>
        <v>54.66</v>
      </c>
      <c r="EG8" s="11">
        <f>IF(SUM(ED8,EF8)&gt;0,SUM(ED8,EF8),"")</f>
        <v>159.70999999999998</v>
      </c>
      <c r="EH8" s="38">
        <v>17.600000000000001</v>
      </c>
      <c r="EI8" s="38">
        <v>9.6</v>
      </c>
      <c r="EJ8" s="38">
        <v>5</v>
      </c>
      <c r="EK8" s="38">
        <v>16.135000000000002</v>
      </c>
      <c r="EL8" s="38">
        <v>0</v>
      </c>
      <c r="EM8" s="38">
        <v>2.8</v>
      </c>
      <c r="EN8" s="38">
        <v>1.7</v>
      </c>
      <c r="EO8" s="38">
        <v>3.4</v>
      </c>
      <c r="EP8" s="38">
        <v>3.31</v>
      </c>
      <c r="EQ8" s="38">
        <v>0</v>
      </c>
      <c r="ER8" s="38"/>
      <c r="ES8" s="38"/>
      <c r="ET8" s="38"/>
      <c r="EU8" s="38"/>
      <c r="EV8" s="38"/>
      <c r="EW8" s="14">
        <f>IF(EO8&gt;0,EO8,"")</f>
        <v>3.4</v>
      </c>
      <c r="EX8" s="14">
        <f>IF(SUM(EH8:EK8)-EL8&gt;0,SUM(EH8:EK8)-EL8,"")</f>
        <v>48.335000000000008</v>
      </c>
      <c r="EY8" s="14">
        <f>IF(SUM(EM8:EP8)-EQ8&gt;0,SUM(EM8:EP8)-EQ8,"")</f>
        <v>11.21</v>
      </c>
      <c r="EZ8" s="14">
        <f>IF(SUM(EX8:EY8)&gt;0,SUM(EX8:EY8),"")</f>
        <v>59.545000000000009</v>
      </c>
      <c r="FA8" s="14" t="str">
        <f>IF(ET8&gt;0,ET8,"")</f>
        <v/>
      </c>
      <c r="FB8" s="14" t="str">
        <f>IF(SUM(ER8:EU8)-EV8&gt;0,SUM(ER8:EU8)-EV8,"")</f>
        <v/>
      </c>
      <c r="FC8" s="14">
        <f>IF(SUM(EZ8,FB8)&gt;0,SUM(EZ8,FB8),"")</f>
        <v>59.545000000000009</v>
      </c>
      <c r="FD8" s="37"/>
      <c r="FE8" s="37"/>
      <c r="FF8" s="37"/>
      <c r="FG8" s="37"/>
      <c r="FH8" s="37"/>
      <c r="FI8" s="37"/>
      <c r="FJ8" s="37"/>
      <c r="FK8" s="37"/>
      <c r="FL8" s="37"/>
      <c r="FM8" s="37"/>
      <c r="FN8" s="37"/>
      <c r="FO8" s="37"/>
      <c r="FP8" s="37"/>
      <c r="FQ8" s="37"/>
      <c r="FR8" s="37"/>
      <c r="FS8" s="11" t="str">
        <f>IF(FK8&gt;0,FK8,"")</f>
        <v/>
      </c>
      <c r="FT8" s="11" t="str">
        <f>IF(SUM(FD8:FG8)-FH8&gt;0,SUM(FD8:FG8)-FH8,"")</f>
        <v/>
      </c>
      <c r="FU8" s="11" t="str">
        <f>IF(SUM(FI8:FL8)-FM8&gt;0,SUM(FI8:FL8)-FM8,"")</f>
        <v/>
      </c>
      <c r="FV8" s="11" t="str">
        <f>IF(SUM(FT8:FU8)&gt;0,SUM(FT8:FU8),"")</f>
        <v/>
      </c>
      <c r="FW8" s="11" t="str">
        <f>IF(FP8&gt;0,FP8,"")</f>
        <v/>
      </c>
      <c r="FX8" s="11" t="str">
        <f>IF(SUM(FN8:FQ8)-FR8&gt;0,SUM(FN8:FQ8)-FR8,"")</f>
        <v/>
      </c>
      <c r="FY8" s="11" t="str">
        <f>IF(SUM(FV8,FX8)&gt;0,SUM(FV8,FX8),"")</f>
        <v/>
      </c>
      <c r="FZ8" s="38"/>
      <c r="GA8" s="38"/>
      <c r="GB8" s="38"/>
      <c r="GC8" s="38"/>
      <c r="GD8" s="38"/>
      <c r="GE8" s="38"/>
      <c r="GF8" s="38"/>
      <c r="GG8" s="38"/>
      <c r="GH8" s="38"/>
      <c r="GI8" s="38"/>
      <c r="GJ8" s="38"/>
      <c r="GK8" s="38"/>
      <c r="GL8" s="38"/>
      <c r="GM8" s="38"/>
      <c r="GN8" s="38"/>
      <c r="GO8" s="14" t="str">
        <f>IF(GG8&gt;0,GG8,"")</f>
        <v/>
      </c>
      <c r="GP8" s="14" t="str">
        <f>IF(SUM(FZ8:GC8)-GD8&gt;0,SUM(FZ8:GC8)-GD8,"")</f>
        <v/>
      </c>
      <c r="GQ8" s="14" t="str">
        <f>IF(SUM(GE8:GH8)-GI8&gt;0,SUM(GE8:GH8)-GI8,"")</f>
        <v/>
      </c>
      <c r="GR8" s="14" t="str">
        <f>IF(SUM(GP8:GQ8)&gt;0,SUM(GP8:GQ8),"")</f>
        <v/>
      </c>
      <c r="GS8" s="14" t="str">
        <f>IF(GL8&gt;0,GL8,"")</f>
        <v/>
      </c>
      <c r="GT8" s="14" t="str">
        <f>IF(SUM(GJ8:GM8)-GN8&gt;0,SUM(GJ8:GM8)-GN8,"")</f>
        <v/>
      </c>
      <c r="GU8" s="14" t="str">
        <f>IF(SUM(GR8,GT8)&gt;0,SUM(GR8,GT8),"")</f>
        <v/>
      </c>
      <c r="GV8" s="37"/>
      <c r="GW8" s="37"/>
      <c r="GX8" s="37"/>
      <c r="GY8" s="37"/>
      <c r="GZ8" s="37"/>
      <c r="HA8" s="37"/>
      <c r="HB8" s="37"/>
      <c r="HC8" s="37"/>
      <c r="HD8" s="37"/>
      <c r="HE8" s="37"/>
      <c r="HF8" s="37"/>
      <c r="HG8" s="37"/>
      <c r="HH8" s="37"/>
      <c r="HI8" s="37"/>
      <c r="HJ8" s="37"/>
      <c r="HK8" s="11" t="str">
        <f>IF(HC8&gt;0,HC8,"")</f>
        <v/>
      </c>
      <c r="HL8" s="11" t="str">
        <f>IF(SUM(GV8:GY8)-GZ8&gt;0,SUM(GV8:GY8)-GZ8,"")</f>
        <v/>
      </c>
      <c r="HM8" s="11" t="str">
        <f>IF(SUM(HA8:HD8)-HE8&gt;0,SUM(HA8:HD8)-HE8,"")</f>
        <v/>
      </c>
      <c r="HN8" s="11" t="str">
        <f>IF(SUM(HL8:HM8)&gt;0,SUM(HL8:HM8),"")</f>
        <v/>
      </c>
      <c r="HO8" s="11" t="str">
        <f>IF(HH8&gt;0,HH8,"")</f>
        <v/>
      </c>
      <c r="HP8" s="11" t="str">
        <f>IF(SUM(HF8:HI8)-HJ8&gt;0,SUM(HF8:HI8)-HJ8,"")</f>
        <v/>
      </c>
      <c r="HQ8" s="11" t="str">
        <f>IF(SUM(HN8,HP8)&gt;0,SUM(HN8,HP8),"")</f>
        <v/>
      </c>
      <c r="HR8" s="38"/>
      <c r="HS8" s="38"/>
      <c r="HT8" s="38"/>
      <c r="HU8" s="38"/>
      <c r="HV8" s="38"/>
      <c r="HW8" s="38"/>
      <c r="HX8" s="38"/>
      <c r="HY8" s="38"/>
      <c r="HZ8" s="38"/>
      <c r="IA8" s="38"/>
      <c r="IB8" s="38"/>
      <c r="IC8" s="38"/>
      <c r="ID8" s="38"/>
      <c r="IE8" s="38"/>
      <c r="IF8" s="38"/>
      <c r="IG8" s="14" t="str">
        <f>IF(HY8&gt;0,HY8,"")</f>
        <v/>
      </c>
      <c r="IH8" s="14" t="str">
        <f>IF(SUM(HR8:HU8)-HV8&gt;0,SUM(HR8:HU8)-HV8,"")</f>
        <v/>
      </c>
      <c r="II8" s="14" t="str">
        <f>IF(SUM(HW8:HZ8)-IA8&gt;0,SUM(HW8:HZ8)-IA8,"")</f>
        <v/>
      </c>
      <c r="IJ8" s="14" t="str">
        <f>IF(SUM(IH8:II8)&gt;0,SUM(IH8:II8),"")</f>
        <v/>
      </c>
      <c r="IK8" s="14" t="str">
        <f>IF(ID8&gt;0,ID8,"")</f>
        <v/>
      </c>
      <c r="IL8" s="14" t="str">
        <f>IF(SUM(IB8:IE8)-IF8&gt;0,SUM(IB8:IE8)-IF8,"")</f>
        <v/>
      </c>
      <c r="IM8" s="14" t="str">
        <f>IF(SUM(IJ8,IL8)&gt;0,SUM(IJ8,IL8),"")</f>
        <v/>
      </c>
      <c r="IN8" s="37"/>
      <c r="IO8" s="37"/>
      <c r="IP8" s="37"/>
      <c r="IQ8" s="37"/>
      <c r="IR8" s="37"/>
      <c r="IS8" s="37"/>
      <c r="IT8" s="37"/>
      <c r="IU8" s="37"/>
      <c r="IV8" s="37"/>
      <c r="IW8" s="37"/>
      <c r="IX8" s="37"/>
      <c r="IY8" s="37"/>
      <c r="IZ8" s="37"/>
      <c r="JA8" s="37"/>
      <c r="JB8" s="37"/>
      <c r="JC8" s="11" t="str">
        <f>IF(IU8&gt;0,IU8,"")</f>
        <v/>
      </c>
      <c r="JD8" s="11" t="str">
        <f>IF(SUM(IN8:IQ8)-IR8&gt;0,SUM(IN8:IQ8)-IR8,"")</f>
        <v/>
      </c>
      <c r="JE8" s="11" t="str">
        <f>IF(SUM(IS8:IV8)-IW8&gt;0,SUM(IS8:IV8)-IW8,"")</f>
        <v/>
      </c>
      <c r="JF8" s="11" t="str">
        <f>IF(SUM(JD8:JE8)&gt;0,SUM(JD8:JE8),"")</f>
        <v/>
      </c>
      <c r="JG8" s="11" t="str">
        <f>IF(IZ8&gt;0,IZ8,"")</f>
        <v/>
      </c>
      <c r="JH8" s="11" t="str">
        <f>IF(SUM(IX8:JA8)-JB8&gt;0,SUM(IX8:JA8)-JB8,"")</f>
        <v/>
      </c>
      <c r="JI8" s="11" t="str">
        <f>IF(SUM(JF8,JH8)&gt;0,SUM(JF8,JH8),"")</f>
        <v/>
      </c>
      <c r="JJ8" s="38"/>
      <c r="JK8" s="38"/>
      <c r="JL8" s="38"/>
      <c r="JM8" s="38"/>
      <c r="JN8" s="38"/>
      <c r="JO8" s="38"/>
      <c r="JP8" s="38"/>
      <c r="JQ8" s="38"/>
      <c r="JR8" s="38"/>
      <c r="JS8" s="38"/>
      <c r="JT8" s="38"/>
      <c r="JU8" s="38"/>
      <c r="JV8" s="38"/>
      <c r="JW8" s="38"/>
      <c r="JX8" s="38"/>
      <c r="JY8" s="14" t="str">
        <f>IF(JQ8&gt;0,JQ8,"")</f>
        <v/>
      </c>
      <c r="JZ8" s="14" t="str">
        <f>IF(SUM(JJ8:JM8)-JN8&gt;0,SUM(JJ8:JM8)-JN8,"")</f>
        <v/>
      </c>
      <c r="KA8" s="14" t="str">
        <f>IF(SUM(JO8:JR8)-JS8&gt;0,SUM(JO8:JR8)-JS8,"")</f>
        <v/>
      </c>
      <c r="KB8" s="14" t="str">
        <f>IF(SUM(JZ8:KA8)&gt;0,SUM(JZ8:KA8),"")</f>
        <v/>
      </c>
      <c r="KC8" s="14" t="str">
        <f>IF(JV8&gt;0,JV8,"")</f>
        <v/>
      </c>
      <c r="KD8" s="14" t="str">
        <f>IF(SUM(JT8:JW8)-JX8&gt;0,SUM(JT8:JW8)-JX8,"")</f>
        <v/>
      </c>
      <c r="KE8" s="14" t="str">
        <f>IF(SUM(KB8,KD8)&gt;0,SUM(KB8,KD8),"")</f>
        <v/>
      </c>
      <c r="KF8" s="37"/>
      <c r="KG8" s="37"/>
      <c r="KH8" s="37"/>
      <c r="KI8" s="37"/>
      <c r="KJ8" s="37"/>
      <c r="KK8" s="37"/>
      <c r="KL8" s="37"/>
      <c r="KM8" s="37"/>
      <c r="KN8" s="37"/>
      <c r="KO8" s="37"/>
      <c r="KP8" s="37"/>
      <c r="KQ8" s="37"/>
      <c r="KR8" s="37"/>
      <c r="KS8" s="37"/>
      <c r="KT8" s="37"/>
      <c r="KU8" s="11" t="str">
        <f>IF(KM8&gt;0,KM8,"")</f>
        <v/>
      </c>
      <c r="KV8" s="11" t="str">
        <f>IF(SUM(KF8:KI8)-KJ8&gt;0,SUM(KF8:KI8)-KJ8,"")</f>
        <v/>
      </c>
      <c r="KW8" s="11" t="str">
        <f>IF(SUM(KK8:KN8)-KO8&gt;0,SUM(KK8:KN8)-KO8,"")</f>
        <v/>
      </c>
      <c r="KX8" s="11" t="str">
        <f>IF(SUM(KV8:KW8)&gt;0,SUM(KV8:KW8),"")</f>
        <v/>
      </c>
      <c r="KY8" s="11" t="str">
        <f>IF(KR8&gt;0,KR8,"")</f>
        <v/>
      </c>
      <c r="KZ8" s="11" t="str">
        <f>IF(SUM(KP8:KS8)-KT8&gt;0,SUM(KP8:KS8)-KT8,"")</f>
        <v/>
      </c>
      <c r="LA8" s="11" t="str">
        <f>IF(SUM(KX8,KZ8)&gt;0,SUM(KX8,KZ8),"")</f>
        <v/>
      </c>
      <c r="LB8" s="38"/>
      <c r="LC8" s="38"/>
      <c r="LD8" s="38"/>
      <c r="LE8" s="38"/>
      <c r="LF8" s="38"/>
      <c r="LG8" s="38"/>
      <c r="LH8" s="38"/>
      <c r="LI8" s="38"/>
      <c r="LJ8" s="38"/>
      <c r="LK8" s="38"/>
      <c r="LL8" s="38"/>
      <c r="LM8" s="38"/>
      <c r="LN8" s="38"/>
      <c r="LO8" s="38"/>
      <c r="LP8" s="38"/>
      <c r="LQ8" s="14" t="str">
        <f>IF(LI8&gt;0,LI8,"")</f>
        <v/>
      </c>
      <c r="LR8" s="14" t="str">
        <f>IF(SUM(LB8:LE8)-LF8&gt;0,SUM(LB8:LE8)-LF8,"")</f>
        <v/>
      </c>
      <c r="LS8" s="14" t="str">
        <f>IF(SUM(LG8:LJ8)-LK8&gt;0,SUM(LG8:LJ8)-LK8,"")</f>
        <v/>
      </c>
      <c r="LT8" s="14" t="str">
        <f>IF(SUM(LR8:LS8)&gt;0,SUM(LR8:LS8),"")</f>
        <v/>
      </c>
      <c r="LU8" s="14" t="str">
        <f>IF(LN8&gt;0,LN8,"")</f>
        <v/>
      </c>
      <c r="LV8" s="14" t="str">
        <f>IF(SUM(LL8:LO8)-LP8&gt;0,SUM(LL8:LO8)-LP8,"")</f>
        <v/>
      </c>
      <c r="LW8" s="14" t="str">
        <f>IF(SUM(LT8,LV8)&gt;0,SUM(LT8,LV8),"")</f>
        <v/>
      </c>
      <c r="LX8" s="37"/>
      <c r="LY8" s="37"/>
      <c r="LZ8" s="37"/>
      <c r="MA8" s="37"/>
      <c r="MB8" s="37"/>
      <c r="MC8" s="37"/>
      <c r="MD8" s="37"/>
      <c r="ME8" s="37"/>
      <c r="MF8" s="37"/>
      <c r="MG8" s="37"/>
      <c r="MH8" s="37"/>
      <c r="MI8" s="37"/>
      <c r="MJ8" s="37"/>
      <c r="MK8" s="37"/>
      <c r="ML8" s="37"/>
      <c r="MM8" s="11" t="str">
        <f>IF(ME8&gt;0,ME8,"")</f>
        <v/>
      </c>
      <c r="MN8" s="11" t="str">
        <f>IF(SUM(LX8:MA8)-MB8&gt;0,SUM(LX8:MA8)-MB8,"")</f>
        <v/>
      </c>
      <c r="MO8" s="11" t="str">
        <f>IF(SUM(MC8:MF8)-MG8&gt;0,SUM(MC8:MF8)-MG8,"")</f>
        <v/>
      </c>
      <c r="MP8" s="11" t="str">
        <f>IF(SUM(MN8:MO8)&gt;0,SUM(MN8:MO8),"")</f>
        <v/>
      </c>
      <c r="MQ8" s="11" t="str">
        <f>IF(MJ8&gt;0,MJ8,"")</f>
        <v/>
      </c>
      <c r="MR8" s="11" t="str">
        <f>IF(SUM(MH8:MK8)-ML8&gt;0,SUM(MH8:MK8)-ML8,"")</f>
        <v/>
      </c>
      <c r="MS8" s="11" t="str">
        <f>IF(SUM(MP8,MR8)&gt;0,SUM(MP8,MR8),"")</f>
        <v/>
      </c>
      <c r="MT8" s="38"/>
      <c r="MU8" s="38"/>
      <c r="MV8" s="38"/>
      <c r="MW8" s="38"/>
      <c r="MX8" s="38"/>
      <c r="MY8" s="38"/>
      <c r="MZ8" s="38"/>
      <c r="NA8" s="38"/>
      <c r="NB8" s="38"/>
      <c r="NC8" s="38"/>
      <c r="ND8" s="38"/>
      <c r="NE8" s="38"/>
      <c r="NF8" s="38"/>
      <c r="NG8" s="38"/>
      <c r="NH8" s="38"/>
      <c r="NI8" s="14" t="str">
        <f>IF(NA8&gt;0,NA8,"")</f>
        <v/>
      </c>
      <c r="NJ8" s="14" t="str">
        <f>IF(SUM(MT8:MW8)-MX8&gt;0,SUM(MT8:MW8)-MX8,"")</f>
        <v/>
      </c>
      <c r="NK8" s="14" t="str">
        <f>IF(SUM(MY8:NB8)-NC8&gt;0,SUM(MY8:NB8)-NC8,"")</f>
        <v/>
      </c>
      <c r="NL8" s="14" t="str">
        <f>IF(SUM(NJ8:NK8)&gt;0,SUM(NJ8:NK8),"")</f>
        <v/>
      </c>
      <c r="NM8" s="14" t="str">
        <f>IF(NF8&gt;0,NF8,"")</f>
        <v/>
      </c>
      <c r="NN8" s="14" t="str">
        <f>IF(SUM(ND8:NG8)-NH8&gt;0,SUM(ND8:NG8)-NH8,"")</f>
        <v/>
      </c>
      <c r="NO8" s="14" t="str">
        <f>IF(SUM(NL8,NN8)&gt;0,SUM(NL8,NN8),"")</f>
        <v/>
      </c>
      <c r="NP8" s="69">
        <f>IF($CX8="P",CD8,(CD8+AZ8)/2)</f>
        <v>17.8</v>
      </c>
      <c r="NQ8" s="69">
        <f>IF($CX8="P",CE8,(CE8+BA8)/2)</f>
        <v>9.3249999999999993</v>
      </c>
      <c r="NR8" s="69">
        <f>IF($CX8="P",CF8,(CF8+BB8)/2)</f>
        <v>4.8</v>
      </c>
      <c r="NS8" s="69">
        <f>IF($CX8="P",CG8,(CG8+BC8)/2)</f>
        <v>15.945</v>
      </c>
      <c r="NT8" s="69">
        <f>IF($CX8="P",CH8,(CH8+BD8)/2)</f>
        <v>0</v>
      </c>
      <c r="NU8" s="69">
        <f>IF($CX8="P",CI8,(CI8+BE8)/2)</f>
        <v>15.1</v>
      </c>
      <c r="NV8" s="69">
        <f>IF($CX8="P",CJ8,(CJ8+BF8)/2)</f>
        <v>9.1875</v>
      </c>
      <c r="NW8" s="69">
        <f>IF($CX8="P",CK8,(CK8+BG8)/2)</f>
        <v>14.1</v>
      </c>
      <c r="NX8" s="69">
        <f>IF($CX8="P",CL8,(CL8+BH8)/2)</f>
        <v>15.19</v>
      </c>
      <c r="NY8" s="69">
        <f>IF($CX8="P",CM8,(CM8+BI8)/2)</f>
        <v>0</v>
      </c>
      <c r="NZ8" s="69">
        <f>IF($CX8="P",CN8,(CN8+BJ8)/2)</f>
        <v>11.55</v>
      </c>
      <c r="OA8" s="69">
        <f>IF($CX8="P",CO8,(CO8+BK8)/2)</f>
        <v>7.125</v>
      </c>
      <c r="OB8" s="69">
        <f>IF($CX8="P",CP8,(CP8+BL8)/2)</f>
        <v>10.45</v>
      </c>
      <c r="OC8" s="69">
        <f>IF($CX8="P",CQ8,(CQ8+BM8)/2)</f>
        <v>11.3575</v>
      </c>
      <c r="OD8" s="69">
        <f>IF($CX8="P",CR8,(CR8+BN8)/2)</f>
        <v>0</v>
      </c>
      <c r="OE8" s="69">
        <f>IF($CX8="P",CS8,(CS8+BO8)/2)</f>
        <v>13.3</v>
      </c>
      <c r="OF8" s="69">
        <f>IF($CX8="P",CT8,(CT8+BP8)/2)</f>
        <v>8.5874999999999986</v>
      </c>
      <c r="OG8" s="69">
        <f>IF($CX8="P",CU8,(CU8+BQ8)/2)</f>
        <v>13.424999999999999</v>
      </c>
      <c r="OH8" s="69">
        <f>IF($CX8="P",CV8,(CV8+BR8)/2)</f>
        <v>13.765000000000001</v>
      </c>
      <c r="OI8" s="69">
        <f>IF($CX8="P",CW8,(CW8+BS8)/2)</f>
        <v>0</v>
      </c>
      <c r="OJ8" s="80" t="s">
        <v>74</v>
      </c>
      <c r="OK8" s="11">
        <f>IF(SUM(NP8:NS8)-NT8&gt;0,SUM(NP8:NS8)-NT8,"")</f>
        <v>47.870000000000005</v>
      </c>
      <c r="OL8" s="11">
        <f>IF(NW8&gt;0,NW8,"")</f>
        <v>14.1</v>
      </c>
      <c r="OM8" s="11">
        <f>IF(SUM(NU8:NX8)-NY8&gt;0,SUM(NU8:NX8)-NY8,"")</f>
        <v>53.577500000000001</v>
      </c>
      <c r="ON8" s="11">
        <f>IF(OB8&gt;0,OB8,"")</f>
        <v>10.45</v>
      </c>
      <c r="OO8" s="11">
        <f>IF(SUM(NZ8:OC8)-OD8&gt;0,SUM(NZ8:OC8)-OD8,"")</f>
        <v>40.482500000000002</v>
      </c>
      <c r="OP8" s="11">
        <f>IF(OR(OK8&lt;&gt;"",OM8&lt;&gt;"",OO8&lt;&gt;""),OK8+MAX(OM8,OO8),"")</f>
        <v>101.44750000000001</v>
      </c>
      <c r="OQ8" s="11">
        <f>IF(OG8&gt;0,OG8,"")</f>
        <v>13.424999999999999</v>
      </c>
      <c r="OR8" s="11">
        <f t="shared" si="0"/>
        <v>49.077500000000001</v>
      </c>
      <c r="OS8" s="11">
        <f t="shared" si="1"/>
        <v>150.52500000000001</v>
      </c>
    </row>
    <row r="9" spans="1:409" x14ac:dyDescent="0.2">
      <c r="A9" s="5" cm="1">
        <f t="array" ref="A9">IF(AND(G9&lt;&gt;"",H9&lt;&gt;""),SUMPRODUCT((G$4:G$15&lt;&gt;"")*(H$4:H$15&lt;&gt;"")*(E$4:E$15&gt;E9))+1,IF(H9&lt;&gt;"",SUMPRODUCT((I$4:I$15="No DD")*(E$4:E$15&gt;E9))+1+SUMPRODUCT((G$4:G$15&lt;&gt;"")*(H$4:H$15&lt;&gt;"")),""))</f>
        <v>6</v>
      </c>
      <c r="B9" s="127" t="s">
        <v>90</v>
      </c>
      <c r="C9" s="5" t="s">
        <v>9</v>
      </c>
      <c r="D9" s="5">
        <v>2000</v>
      </c>
      <c r="E9" s="15">
        <f>SUM(K9:S9)</f>
        <v>251.125</v>
      </c>
      <c r="F9" s="3" t="str">
        <f>IF(G9&lt;&gt;"","P","")</f>
        <v>P</v>
      </c>
      <c r="G9" s="125" t="str">
        <f>IF(OR(AND(AR9&gt;=AY$20,AR9&lt;&gt;"",AP9=""),AND(AT9&gt;=AY$20,AT9&lt;&gt;"",AP9=""),AND(AW9&gt;=AY$20,AW9&lt;&gt;"",AP9=""),AND(BV9&gt;=CC$20,BV9&lt;&gt;"",BT9=""),AND(BX9&gt;=CC$20,BX9&lt;&gt;"",BT9=""),AND(CA9&gt;=CC$20,CA9&lt;&gt;"",BT9=""),AND(CZ9&gt;=DG$20,CZ9&lt;&gt;"",CX9=""),AND(DB9&gt;=DG$20,DB9&lt;&gt;"",CX9=""),AND(DE9&gt;=DG$20,DE9&lt;&gt;"",CX9=""),AND(EA9&gt;=EG$20,EA9&lt;&gt;""),AND(EE9&gt;=EG$20,EE9&lt;&gt;""),AND(EW9&gt;=FC$20,EW9&lt;&gt;""),AND(FA9&gt;=FC$20,FA9&lt;&gt;""),AND(FS9&gt;=FY$20,FS9&lt;&gt;""),AND(FW9&gt;=FY$20,FW9&lt;&gt;""),AND(GO9&gt;=GU$20,GO9&lt;&gt;""),AND(GS9&gt;=GU$20,GS9&lt;&gt;""),AND(HK9&gt;=HQ$20,HK9&lt;&gt;""),AND(HO9&gt;=HQ$20,HO9&lt;&gt;""),AND(IG9&gt;=IM$20,IG9&lt;&gt;""),AND(IK9&gt;=IM$20,IK9&lt;&gt;""),AND(JC9&gt;=JI$20,JC9&lt;&gt;""),AND(JG9&gt;=JI$20,JG9&lt;&gt;""),AND(JY9&gt;=KE$20,JY9&lt;&gt;""),AND(KC9&gt;=KE$20,KC9&lt;&gt;""),AND(KU9&gt;=LA$20,KU9&lt;&gt;""),AND(KY9&gt;=LA$20,KY9&lt;&gt;""),AND(LQ9&gt;=LW$20,LQ9&lt;&gt;""),AND(LU9&gt;=LW$20,LU9&lt;&gt;""),AND(MM9&gt;=MS$20,MM9&lt;&gt;""),AND(MQ9&gt;=MS$20,MQ9&lt;&gt;""),AND(NI9&gt;=NO$20,NI9&lt;&gt;""),AND(NM9&gt;=NO$20,NM9&lt;&gt;"")),"Merit",IF(OR(AND(AR9&gt;=AY$19,AR9&lt;&gt;"",AP9=""),AND(AT9&gt;=AY$19,AT9&lt;&gt;"",AP9=""),AND(AW9&gt;=AY$19,AW9&lt;&gt;"",AP9=""),AND(BV9&gt;=CC$19,BV9&lt;&gt;"",BT9=""),AND(BX9&gt;=CC$19,BX9&lt;&gt;"",BT9=""),AND(CA9&gt;=CC$19,CA9&lt;&gt;"",BT9=""),AND(CZ9&gt;=DG$19,CZ9&lt;&gt;"",CX9=""),AND(DB9&gt;=DG$19,DB9&lt;&gt;"",CX9=""),AND(DE9&gt;=DG$19,DE9&lt;&gt;"",CX9=""),AND(EA9&gt;=EG$19,EA9&lt;&gt;""),AND(EE9&gt;=EG$19,EE9&lt;&gt;""),AND(EW9&gt;=FC$19,EW9&lt;&gt;""),AND(FA9&gt;=FC$19,FA9&lt;&gt;""),AND(FS9&gt;=FY$19,FS9&lt;&gt;""),AND(FW9&gt;=FY$19,FW9&lt;&gt;""),AND(GO9&gt;=GU$19,GO9&lt;&gt;""),AND(GS9&gt;=GU$19,GS9&lt;&gt;""),AND(HK9&gt;=HQ$19,HK9&lt;&gt;""),AND(HO9&gt;=HQ$19,HO9&lt;&gt;""),AND(IG9&gt;=IM$19,IG9&lt;&gt;""),AND(IK9&gt;=IM$19,IK9&lt;&gt;""),AND(JC9&gt;=JI$19,JC9&lt;&gt;""),AND(JG9&gt;=JI$19,JG9&lt;&gt;""),AND(JY9&gt;=KE$19,JY9&lt;&gt;""),AND(KC9&gt;=KE$19,KC9&lt;&gt;""),AND(KU9&gt;=LA$19,KU9&lt;&gt;""),AND(KY9&gt;=LA$19,KY9&lt;&gt;""),AND(LQ9&gt;=LW$19,LQ9&lt;&gt;""),AND(LU9&gt;=LW$19,LU9&lt;&gt;""),AND(MM9&gt;=MS$19,MM9&lt;&gt;""),AND(MQ9&gt;=MS$19,MQ9&lt;&gt;""),AND(NI9&gt;=NO$19,NI9&lt;&gt;""),AND(NM9&gt;=NO$19,NM9&lt;&gt;"")),"Excellence",IF(OR(AND(AR9&gt;=AY$18,AR9&lt;&gt;"",AP9=""),AND(AT9&gt;=AY$18,AT9&lt;&gt;"",AP9=""),AND(AW9&gt;=AY$18,AW9&lt;&gt;"",AP9=""),AND(BV9&gt;=CC$18,BV9&lt;&gt;"",BT9=""),AND(BX9&gt;=CC$18,BX9&lt;&gt;"",BT9=""),AND(CA9&gt;=CC$18,CA9&lt;&gt;"",BT9=""),AND(CZ9&gt;=DG$18,CZ9&lt;&gt;"",CX9=""),AND(DB9&gt;=DG$18,DB9&lt;&gt;"",CX9=""),AND(DE9&gt;=DG$18,DE9&lt;&gt;"",CX9=""),AND(EA9&gt;=EG$18,EA9&lt;&gt;""),AND(EE9&gt;=EG$18,EE9&lt;&gt;""),AND(EW9&gt;=FC$18,EW9&lt;&gt;""),AND(FA9&gt;=FC$18,FA9&lt;&gt;""),AND(FS9&gt;=FY$18,FS9&lt;&gt;""),AND(FW9&gt;=FY$18,FW9&lt;&gt;""),AND(GO9&gt;=GU$18,GO9&lt;&gt;""),AND(GS9&gt;=GU$18,GS9&lt;&gt;""),AND(HK9&gt;=HQ$18,HK9&lt;&gt;""),AND(HO9&gt;=HQ$18,HO9&lt;&gt;""),AND(IG9&gt;=IM$18,IG9&lt;&gt;""),AND(IK9&gt;=IM$18,IK9&lt;&gt;""),AND(JC9&gt;=JI$18,JC9&lt;&gt;""),AND(JG9&gt;=JI$18,JG9&lt;&gt;""),AND(JY9&gt;=KE$18,JY9&lt;&gt;""),AND(KC9&gt;=KE$18,KC9&lt;&gt;""),AND(KU9&gt;=LA$18,KU9&lt;&gt;""),AND(KY9&gt;=LA$18,KY9&lt;&gt;""),AND(LQ9&gt;=LW$18,LQ9&lt;&gt;""),AND(LU9&gt;=LW$18,LU9&lt;&gt;""),AND(MM9&gt;=MS$18,MM9&lt;&gt;""),AND(MQ9&gt;=MS$18,MQ9&lt;&gt;""),AND(NI9&gt;=NO$18,NI9&lt;&gt;""),AND(NM9&gt;=NO$18,NM9&lt;&gt;"")),"Worlds Team",IF(OR(AND(AR9&gt;=AY$17,AR9&lt;&gt;"",AP9=""),AND(AT9&gt;=AY$17,AT9&lt;&gt;"",AP9=""),AND(AW9&gt;=AY$17,AW9&lt;&gt;"",AP9=""),AND(BV9&gt;=CC$17,BV9&lt;&gt;"",BT9=""),AND(BX9&gt;=CC$17,BX9&lt;&gt;"",BT9=""),AND(CA9&gt;=CC$17,CA9&lt;&gt;"",BT9=""),AND(CZ9&gt;=DG$17,CZ9&lt;&gt;"",CX9=""),AND(DB9&gt;=DG$17,DB9&lt;&gt;"",CX9=""),AND(DE9&gt;=DG$17,DE9&lt;&gt;"",CX9=""),AND(EA9&gt;=EG$17,EA9&lt;&gt;""),AND(EE9&gt;=EG$17,EE9&lt;&gt;""),AND(EW9&gt;=FC$17,EW9&lt;&gt;""),AND(FA9&gt;=FC$17,FA9&lt;&gt;""),AND(FS9&gt;=FY$17,FS9&lt;&gt;""),AND(FW9&gt;=FY$17,FW9&lt;&gt;""),AND(GO9&gt;=GU$17,GO9&lt;&gt;""),AND(GS9&gt;=GU$17,GS9&lt;&gt;""),AND(HK9&gt;=HQ$17,HK9&lt;&gt;""),AND(HO9&gt;=HQ$17,HO9&lt;&gt;""),AND(IG9&gt;=IM$17,IG9&lt;&gt;""),AND(IK9&gt;=IM$17,IK9&lt;&gt;""),AND(JC9&gt;=JI$17,JC9&lt;&gt;""),AND(JG9&gt;=JI$17,JG9&lt;&gt;""),AND(JY9&gt;=KE$17,JY9&lt;&gt;""),AND(KC9&gt;=KE$17,KC9&lt;&gt;""),AND(KU9&gt;=LA$17,KU9&lt;&gt;""),AND(KY9&gt;=LA$17,KY9&lt;&gt;""),AND(LQ9&gt;=LW$17,LQ9&lt;&gt;""),AND(LU9&gt;=LW$17,LU9&lt;&gt;""),AND(MM9&gt;=MS$17,MM9&lt;&gt;""),AND(MQ9&gt;=MS$17,MQ9&lt;&gt;""),AND(NI9&gt;=NO$17,NI9&lt;&gt;""),AND(NM9&gt;=NO$17,NM9&lt;&gt;"")),"National Team",""))))</f>
        <v>National Team</v>
      </c>
      <c r="H9" s="125" t="str">
        <f>IF(OR(AND(AS9&gt;=AY$24,AS9&lt;&gt;"",AP9=""),AND(AU9&gt;=AY$24,AU9&lt;&gt;"",AP9=""),AND(AX9&gt;=AY$24,AX9&lt;&gt;"",AP9=""),AND(BW9&gt;=CC$24,BW9&lt;&gt;"",BT9=""),AND(BY9&gt;=CC$24,BY9&lt;&gt;"",BT9=""),AND(CB9&gt;=CC$24,CB9&lt;&gt;"",BT9=""),AND(DA9&gt;=DG$24,DA9&lt;&gt;"",CX9=""),AND(DC9&gt;=DG$24,DC9&lt;&gt;"",CX9=""),AND(DF9&gt;=DG$24,DF9&lt;&gt;"",CX9=""),AND(EC9&gt;=EG$24,EC9&lt;&gt;""),AND(EF9&gt;=EG$24,EF9&lt;&gt;""),AND(EY9&gt;=FC$24,EY9&lt;&gt;""),AND(FB9&gt;=FC$24,FB9&lt;&gt;""),AND(FU9&gt;=FY$24,FU9&lt;&gt;""),AND(FX9&gt;=FY$24,FX9&lt;&gt;""),AND(GQ9&gt;=GU$24,GQ9&lt;&gt;""),AND(GT9&gt;=GU$24,GT9&lt;&gt;""),AND(HM9&gt;=HQ$24,HM9&lt;&gt;""),AND(HP9&gt;=HQ$24,HP9&lt;&gt;""),AND(II9&gt;=IM$24,II9&lt;&gt;""),AND(IL9&gt;=IM$24,IL9&lt;&gt;""),AND(JE9&gt;=JI$24,JE9&lt;&gt;""),AND(JH9&gt;=JI$24,JH9&lt;&gt;""),AND(KA9&gt;=KE$24,KA9&lt;&gt;""),AND(KD9&gt;=KE$24,KD9&lt;&gt;""),AND(KW9&gt;=LA$24,KW9&lt;&gt;""),AND(KZ9&gt;=LA$24,KZ9&lt;&gt;""),AND(LS9&gt;=LW$24,LS9&lt;&gt;""),AND(LV9&gt;=LW$24,LV9&lt;&gt;""),AND(MO9&gt;=MS$24,MO9&lt;&gt;""),AND(MR9&gt;=MS$24,MR9&lt;&gt;""),AND(NK9&gt;=NO$24,NK9&lt;&gt;""),AND(NN9&gt;=NO$24,NN9&lt;&gt;"")),"Merit",IF(OR(AND(AS9&gt;=AY$23,AS9&lt;&gt;"",AP9=""),AND(AU9&gt;=AY$23,AU9&lt;&gt;"",AP9=""),AND(AX9&gt;=AY$23,AX9&lt;&gt;"",AP9=""),AND(BW9&gt;=CC$23,BW9&lt;&gt;"",BT9=""),AND(BY9&gt;=CC$23,BY9&lt;&gt;"",BT9=""),AND(CB9&gt;=CC$23,CB9&lt;&gt;"",BT9=""),AND(DA9&gt;=DG$23,DA9&lt;&gt;"",CX9=""),AND(DC9&gt;=DG$23,DC9&lt;&gt;"",CX9=""),AND(DF9&gt;=DG$23,DF9&lt;&gt;"",CX9=""),AND(EC9&gt;=EG$23,EC9&lt;&gt;""),AND(EF9&gt;=EG$23,EF9&lt;&gt;""),AND(EY9&gt;=FC$23,EY9&lt;&gt;""),AND(FB9&gt;=FC$23,FB9&lt;&gt;""),AND(FU9&gt;=FY$23,FU9&lt;&gt;""),AND(FX9&gt;=FY$23,FX9&lt;&gt;""),AND(GQ9&gt;=GU$23,GQ9&lt;&gt;""),AND(GT9&gt;=GU$23,GT9&lt;&gt;""),AND(HM9&gt;=HQ$23,HM9&lt;&gt;""),AND(HP9&gt;=HQ$23,HP9&lt;&gt;""),AND(II9&gt;=IM$23,II9&lt;&gt;""),AND(IL9&gt;=IM$23,IL9&lt;&gt;""),AND(JE9&gt;=JI$23,JE9&lt;&gt;""),AND(JH9&gt;=JI$23,JH9&lt;&gt;""),AND(KA9&gt;=KE$23,KA9&lt;&gt;""),AND(KD9&gt;=KE$23,KD9&lt;&gt;""),AND(KW9&gt;=LA$23,KW9&lt;&gt;""),AND(KZ9&gt;=LA$23,KZ9&lt;&gt;""),AND(LS9&gt;=LW$23,LS9&lt;&gt;""),AND(LV9&gt;=LW$23,LV9&lt;&gt;""),AND(MO9&gt;=MS$23,MO9&lt;&gt;""),AND(MR9&gt;=MS$23,MR9&lt;&gt;""),AND(NK9&gt;=NO$23,NK9&lt;&gt;""),AND(NN9&gt;=NO$23,NN9&lt;&gt;"")),"Excellence",IF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"Worlds Team",IF(OR(AND(AV9&gt;=AY$21,AV9&lt;&gt;"",AP9=""),AND(BZ9&gt;=CC$21,BZ9&lt;&gt;"",BT9=""),AND(DD9&gt;=DG$21,DD9&lt;&gt;"",CX9=""),AND(ED9&gt;=EG$21,ED9&lt;&gt;""),AND(EZ9&gt;=FC$21,EZ9&lt;&gt;""),AND(FV9&gt;=FY$21,FV9&lt;&gt;""),AND(GR9&gt;=GU$21,GR9&lt;&gt;""),AND(HN9&gt;=HQ$21,HN9&lt;&gt;""),AND(IJ9&gt;=IM$21,IJ9&lt;&gt;""),AND(JF9&gt;=JI$21,JF9&lt;&gt;""),AND(KB9&gt;=KE$21,KB9&lt;&gt;""),AND(KX9&gt;=LA$21,KX9&lt;&gt;""),AND(LT9&gt;=LW$21,LT9&lt;&gt;""),AND(MP9&gt;=MS$21,MP9&lt;&gt;""),AND(NL9&gt;=NO$21,NL9&lt;&gt;"")),"National Team",""))))</f>
        <v>Worlds Team</v>
      </c>
      <c r="I9" s="126" t="str">
        <f>IF(AND(G9="Merit",H9="Merit"),"Merit",IF(AND(OR(G9="Merit",G9="Excellence"),OR(H9="Merit",H9="Excellence")),"Excellence",IF(AND(OR(G9="Merit",G9="Excellence",G9="Worlds Team"),OR(H9="Merit",H9="Excellence",H9="Worlds Team")),"Worlds Team",IF(AND(OR(G9="Merit",G9="Excellence",G9="Worlds Team",G9="National Team"),OR(H9="Merit",H9="Excellence",H9="Worlds Team",H9="National Team")),"National Team",IF(OR(H9="Merit",H9="Excellence",H9="Worlds Team",H9="National Team"),"No DD","")))))</f>
        <v>National Team</v>
      </c>
      <c r="J9" s="3" t="str">
        <f>IF(AND(OR(AND(AV9&gt;=AY$22,AV9&lt;&gt;"",AP9=""),AND(BZ9&gt;=CC$22,BZ9&lt;&gt;"",BT9=""),AND(DD9&gt;=DG$22,DD9&lt;&gt;"",CX9=""),AND(ED9&gt;=EG$22,ED9&lt;&gt;""),AND(EZ9&gt;=FC$22,EZ9&lt;&gt;""),AND(FV9&gt;=FY$22,FV9&lt;&gt;""),AND(GR9&gt;=GU$22,GR9&lt;&gt;""),AND(HN9&gt;=HQ$22,HN9&lt;&gt;""),AND(IJ9&gt;=IM$22,IJ9&lt;&gt;""),AND(JF9&gt;=JI$22,JF9&lt;&gt;""),AND(KB9&gt;=KE$22,KB9&lt;&gt;""),AND(KX9&gt;=LA$22,KX9&lt;&gt;""),AND(LT9&gt;=LW$22,LT9&lt;&gt;""),AND(MP9&gt;=MS$22,MP9&lt;&gt;""),AND(NL9&gt;=NO$22,NL9&lt;&gt;"")),OR(G9="Worlds Team",G9="Excellence",G9="Merit")),"P","")</f>
        <v/>
      </c>
      <c r="K9" s="14">
        <f>IF(MAX(AV9,BZ9,DD9)&gt;0,MAX(AV9,BZ9,DD9),0)</f>
        <v>100.02</v>
      </c>
      <c r="L9" s="14" t="str">
        <f>IF(K9=0,"",IF(K9=DD9,$CD$1,IF(K9=BZ9,$AZ$1,IF(K9=AV9,$V$1,""))))</f>
        <v>2021 Canadian Championships</v>
      </c>
      <c r="M9" s="14">
        <f>IF($K9=$AV9,MAX(BU9,CY9),IF($K9=$BZ9,MAX(AQ9,CY9),IF($K9=$DD9,MAX(AQ9,BU9),MAX(AQ9,BU9,CY9))))</f>
        <v>46.37</v>
      </c>
      <c r="N9" s="14" t="str">
        <f>IF(M9=0,"",IF(AND(M9=CY9,$L9&lt;&gt;$CD$1),$CD$1,IF(AND(M9=BU9,$L9&lt;&gt;$AZ$1),$AZ$1,IF(AND(M9=AQ9,$L9&lt;&gt;$V$1),$V$1,""))))</f>
        <v>2021 Elite Canada</v>
      </c>
      <c r="O9" s="14">
        <f>IF(K9-N(AQ9)=AS9,MAX(AU9,BW9,BY9,DA9,DC9),IF(K9-N(AQ9)=AU9,MAX(AS9,BW9,BY9,DA9,DC9),IF(K9-N(BU9)=BW9,MAX(AS9,AU9,BY9,DA9,DC9),IF(K9-N(BU9)=BY9,MAX(AS9,AU9,BW9,DA9,DC9),IF(K9-N(CY9)=DA9,MAX(AS9,AU9,BW9,BY9,DC9),IF(K9-N(CY9)=DC9,MAX(AS9,AU9,BW9,BY9,DA9),MAX(AS9,AU9,BW9,BY9,DA9,DC9)))))))</f>
        <v>52.75</v>
      </c>
      <c r="P9" s="14" t="str">
        <f>IF(O9=0,"",IF(OR(O9=DC9,O9=DA9),$CD$1,IF(OR(O9=BY9,O9=BW9),$AZ$1,IF(OR(O9=AU9,O9=AS9),$V$1,""))))</f>
        <v>2021 Elite Canada</v>
      </c>
      <c r="Q9" s="14">
        <f>MAX(AX9,CB9,DF9)</f>
        <v>51.984999999999999</v>
      </c>
      <c r="R9" s="14" t="str">
        <f>IF(Q9=0,"",IF(Q9=DF9,$CD$1,IF(Q9=CB9,$AZ$1,IF(Q9=AX9,$V$1,""))))</f>
        <v>2021 Elite Canada</v>
      </c>
      <c r="S9" s="14" t="str">
        <f>IF(MAX(DH9,DI9,DJ9,DK9)&gt;0,MAX(DH9,DI9,DJ9,DK9),"")</f>
        <v/>
      </c>
      <c r="T9" s="25" t="str">
        <f>IF(S9="","",IF(S9=DH9,"(Vol 1)",IF(S9=DI9,"(Vol 2)",IF(S9=DJ9,"(Prelim)",IF(S9=DK9,"(Final)")))))</f>
        <v/>
      </c>
      <c r="U9" s="14" t="str">
        <f>IF(S9="","",IF(S9=DH9,IF(S9+IF(M9="",0,M9)=NJ9,$MT$1,IF(S9+IF(M9="",0,M9)=MN9,$LX$1,IF(S9+IF(M9="",0,M9)=LR9,$LB$1,IF(S9+IF(M9="",0,M9)=KV9,$KF$1,IF(S9+IF(M9="",0,M9)=JZ9,$JJ$1,IF(S9+IF(M9="",0,M9)=JD9,$IN$1,IF(S9+IF(M9="",0,M9)=IH9,$HR$1,IF(S9+IF(M9="",0,M9)=HL9,$GV$1,IF(S9+IF(M9="",0,M9)=GP9,$FZ$1,IF(S9+IF(M9="",0,M9)=FT9,$FD$1,IF(S9+IF(M9="",0,M9)=EX9,$EH$1,IF(S9+IF(M9="",0,M9)=EB9,$DL$1)))))))))))),IF(S9=DI9,IF(S9+IF(O9="",0,O9)=NK9,$MT$1,IF(S9+IF(O9="",0,O9)=MO9,$LX$1,IF(S9+IF(O9="",0,O9)=LS9,$LB$1,IF(S9+IF(O9="",0,O9)=KW9,$KF$1,IF(S9+IF(O9="",0,O9)=KA9,$JJ$1,IF(S9+IF(O9="",0,O9)=JE9,$IN$1,IF(S9+IF(O9="",0,O9)=II9,$HR$1,IF(S9+IF(O9="",0,O9)=HM9,$GV$1,IF(S9+IF(O9="",0,O9)=GQ9,$FZ$1,IF(S9+IF(O9="",0,O9)=FU9,$FD$1,IF(S9+IF(O9="",0,O9)=EY9,$EH$1,IF(S9+IF(O9="",0,O9)=EC9,$DL$1)))))))))))),IF(S9=DJ9,IF(S9+IF(K9="",0,K9)=NL9,$MT$1,IF(S9+IF(K9="",0,K9)=MP9,$LX$1,IF(S9+IF(K9="",0,K9)=LT9,$LB$1,IF(S9+IF(K9="",0,K9)=KX9,$KF$1,IF(S9+IF(K9="",0,K9)=KB9,$JJ$1,IF(S9+IF(K9="",0,K9)=JF9,$IN$1,IF(S9+IF(K9="",0,K9)=IJ9,$HR$1,IF(S9+IF(K9="",0,K9)=HN9,$GV$1,IF(S9+IF(K9="",0,K9)=GR9,$FZ$1,IF(S9+IF(K9="",0,K9)=FV9,$FD$1,IF(S9+IF(K9="",0,K9)=EZ9,$EH$1,IF(S9+IF(K9="",0,K9)=ED9,$DL$1)))))))))))),IF(S9=DK9,IF(S9+IF(Q9="",0,Q9)=NN9,$MT$1,IF(S9+IF(Q9="",0,Q9)=MR9,$LX$1,IF(S9+IF(Q9="",0,Q9)=LV9,$LB$1,IF(S9+IF(Q9="",0,Q9)=KZ9,$KF$1,IF(S9+IF(Q9="",0,Q9)=KD9,$JJ$1,IF(S9+IF(Q9="",0,Q9)=JH9,$IN$1,IF(S9+IF(Q9="",0,Q9)=IL9,$HR$1,IF(S9+IF(Q9="",0,Q9)=HP9,$GV$1,IF(S9+IF(Q9="",0,Q9)=GT9,$FZ$1,IF(S9+IF(Q9="",0,Q9)=FX9,$FD$1,IF(S9+IF(Q9="",0,Q9)=FB9,$EH$1,IF(S9+IF(Q9="",0,Q9)=EF9,$DL$1)))))))))))))))))</f>
        <v/>
      </c>
      <c r="V9" s="69">
        <v>17.3</v>
      </c>
      <c r="W9" s="69">
        <v>9.1999999999999993</v>
      </c>
      <c r="X9" s="69">
        <v>3.2</v>
      </c>
      <c r="Y9" s="69">
        <v>15.725</v>
      </c>
      <c r="Z9" s="69">
        <v>0</v>
      </c>
      <c r="AA9" s="69">
        <v>15.2</v>
      </c>
      <c r="AB9" s="69">
        <v>9.1</v>
      </c>
      <c r="AC9" s="69">
        <v>11.5</v>
      </c>
      <c r="AD9" s="69">
        <v>14.595000000000001</v>
      </c>
      <c r="AE9" s="69">
        <v>0</v>
      </c>
      <c r="AF9" s="69">
        <v>14.9</v>
      </c>
      <c r="AG9" s="69">
        <v>9</v>
      </c>
      <c r="AH9" s="69">
        <v>11.3</v>
      </c>
      <c r="AI9" s="69">
        <v>14.61</v>
      </c>
      <c r="AJ9" s="69">
        <v>0.6</v>
      </c>
      <c r="AK9" s="69">
        <v>9.4</v>
      </c>
      <c r="AL9" s="69">
        <v>4.8</v>
      </c>
      <c r="AM9" s="69">
        <v>7.9</v>
      </c>
      <c r="AN9" s="69">
        <v>9.0150000000000006</v>
      </c>
      <c r="AO9" s="69">
        <v>0</v>
      </c>
      <c r="AP9" s="80"/>
      <c r="AQ9" s="11">
        <f>IF(SUM(V9:Y9)-Z9&gt;0,SUM(V9:Y9)-Z9,"")</f>
        <v>45.424999999999997</v>
      </c>
      <c r="AR9" s="11">
        <f>IF(AC9&gt;0,AC9,"")</f>
        <v>11.5</v>
      </c>
      <c r="AS9" s="11">
        <f>IF(SUM(AA9:AD9)-AE9&gt;0,SUM(AA9:AD9)-AE9,"")</f>
        <v>50.394999999999996</v>
      </c>
      <c r="AT9" s="11">
        <f>IF(AH9&gt;0,AH9,"")</f>
        <v>11.3</v>
      </c>
      <c r="AU9" s="11">
        <f>IF(SUM(AF9:AI9)-AJ9&gt;0,SUM(AF9:AI9)-AJ9,"")</f>
        <v>49.21</v>
      </c>
      <c r="AV9" s="11">
        <f>IF(AQ9="",IF(MAX(AS9,AU9)&gt;0,MAX(AS9,AU9),""),MAX(AS9,AU9)+AQ9)</f>
        <v>95.82</v>
      </c>
      <c r="AW9" s="11">
        <f>IF(AM9&gt;0,AM9,"")</f>
        <v>7.9</v>
      </c>
      <c r="AX9" s="11">
        <f>IF(SUM(AK9:AN9)-AO9&gt;0,SUM(AK9:AN9)-AO9,"")</f>
        <v>31.115000000000002</v>
      </c>
      <c r="AY9" s="11">
        <f>IF(SUM(AV9,AX9)&gt;0,SUM(AV9,AX9),"")</f>
        <v>126.935</v>
      </c>
      <c r="AZ9" s="75">
        <v>18</v>
      </c>
      <c r="BA9" s="75">
        <v>9.3000000000000007</v>
      </c>
      <c r="BB9" s="75">
        <v>3.4</v>
      </c>
      <c r="BC9" s="75">
        <v>15.67</v>
      </c>
      <c r="BD9" s="75">
        <v>0</v>
      </c>
      <c r="BE9" s="75">
        <v>16.8</v>
      </c>
      <c r="BF9" s="75">
        <v>9.6</v>
      </c>
      <c r="BG9" s="75">
        <v>11.5</v>
      </c>
      <c r="BH9" s="75">
        <v>14.85</v>
      </c>
      <c r="BI9" s="75">
        <v>0</v>
      </c>
      <c r="BJ9" s="75">
        <v>15.1</v>
      </c>
      <c r="BK9" s="75">
        <v>8.8000000000000007</v>
      </c>
      <c r="BL9" s="75">
        <v>12.2</v>
      </c>
      <c r="BM9" s="75">
        <v>14.585000000000001</v>
      </c>
      <c r="BN9" s="75">
        <v>0</v>
      </c>
      <c r="BO9" s="75">
        <v>15.6</v>
      </c>
      <c r="BP9" s="75">
        <v>9.6</v>
      </c>
      <c r="BQ9" s="75">
        <v>12.2</v>
      </c>
      <c r="BR9" s="75">
        <v>14.585000000000001</v>
      </c>
      <c r="BS9" s="75">
        <v>0</v>
      </c>
      <c r="BT9" s="81"/>
      <c r="BU9" s="14">
        <f>IF(SUM(AZ9:BC9)-BD9&gt;0,SUM(AZ9:BC9)-BD9,"")</f>
        <v>46.37</v>
      </c>
      <c r="BV9" s="14">
        <f>IF(BG9&gt;0,BG9,"")</f>
        <v>11.5</v>
      </c>
      <c r="BW9" s="14">
        <f>IF(SUM(BE9:BH9)-BI9&gt;0,SUM(BE9:BH9)-BI9,"")</f>
        <v>52.75</v>
      </c>
      <c r="BX9" s="14">
        <f>IF(BL9&gt;0,BL9,"")</f>
        <v>12.2</v>
      </c>
      <c r="BY9" s="14">
        <f>IF(SUM(BJ9:BM9)-BN9&gt;0,SUM(BJ9:BM9)-BN9,"")</f>
        <v>50.684999999999995</v>
      </c>
      <c r="BZ9" s="14">
        <f>IF(BU9="",IF(MAX(BW9,BY9)&gt;0,MAX(BW9,BY9),""),MAX(BW9,BY9)+BU9)</f>
        <v>99.12</v>
      </c>
      <c r="CA9" s="14">
        <f>IF(BQ9&gt;0,BQ9,"")</f>
        <v>12.2</v>
      </c>
      <c r="CB9" s="14">
        <f>IF(SUM(BO9:BR9)-BS9&gt;0,SUM(BO9:BR9)-BS9,"")</f>
        <v>51.984999999999999</v>
      </c>
      <c r="CC9" s="14">
        <f>IF(SUM(BZ9,CB9)&gt;0,SUM(BZ9,CB9),"")</f>
        <v>151.10500000000002</v>
      </c>
      <c r="CD9" s="69">
        <v>18.399999999999999</v>
      </c>
      <c r="CE9" s="69">
        <v>9.6999999999999993</v>
      </c>
      <c r="CF9" s="69">
        <v>3.4</v>
      </c>
      <c r="CG9" s="69">
        <v>15.984999999999999</v>
      </c>
      <c r="CH9" s="69">
        <v>0</v>
      </c>
      <c r="CI9" s="69">
        <v>15.7</v>
      </c>
      <c r="CJ9" s="69">
        <v>8.8000000000000007</v>
      </c>
      <c r="CK9" s="69">
        <v>10.6</v>
      </c>
      <c r="CL9" s="69">
        <v>14.8</v>
      </c>
      <c r="CM9" s="69">
        <v>0</v>
      </c>
      <c r="CN9" s="69">
        <v>16.399999999999999</v>
      </c>
      <c r="CO9" s="69">
        <v>9</v>
      </c>
      <c r="CP9" s="69">
        <v>12.2</v>
      </c>
      <c r="CQ9" s="69">
        <v>14.935</v>
      </c>
      <c r="CR9" s="69">
        <v>0</v>
      </c>
      <c r="CS9" s="69">
        <v>13.6</v>
      </c>
      <c r="CT9" s="69">
        <v>8.1999999999999993</v>
      </c>
      <c r="CU9" s="69">
        <v>11</v>
      </c>
      <c r="CV9" s="69">
        <v>12.05</v>
      </c>
      <c r="CW9" s="69">
        <v>0</v>
      </c>
      <c r="CX9" s="80"/>
      <c r="CY9" s="11">
        <f>IF(SUM(CD9:CG9)-CH9&gt;0,SUM(CD9:CG9)-CH9,"")</f>
        <v>47.484999999999999</v>
      </c>
      <c r="CZ9" s="11">
        <f>IF(CK9&gt;0,CK9,"")</f>
        <v>10.6</v>
      </c>
      <c r="DA9" s="11">
        <f>IF(SUM(CI9:CL9)-CM9&gt;0,SUM(CI9:CL9)-CM9,"")</f>
        <v>49.900000000000006</v>
      </c>
      <c r="DB9" s="11">
        <f>IF(CP9&gt;0,CP9,"")</f>
        <v>12.2</v>
      </c>
      <c r="DC9" s="11">
        <f>IF(SUM(CN9:CQ9)-CR9&gt;0,SUM(CN9:CQ9)-CR9,"")</f>
        <v>52.534999999999997</v>
      </c>
      <c r="DD9" s="11">
        <f>IF(CY9="",IF(MAX(DA9,DC9)&gt;0,MAX(DA9,DC9),""),MAX(DA9,DC9)+CY9)</f>
        <v>100.02</v>
      </c>
      <c r="DE9" s="11">
        <f>IF(CU9&gt;0,CU9,"")</f>
        <v>11</v>
      </c>
      <c r="DF9" s="11">
        <f>IF(SUM(CS9:CV9)-CW9&gt;0,SUM(CS9:CV9)-CW9,"")</f>
        <v>44.849999999999994</v>
      </c>
      <c r="DG9" s="11">
        <f>IF(SUM(DD9,DF9)&gt;0,SUM(DD9,DF9),"")</f>
        <v>144.87</v>
      </c>
      <c r="DH9" s="24" t="str">
        <f>IF(MAX(EB9,EX9,FT9,GP9,HL9,IH9,JD9,JZ9,KV9,LR9,MN9,NJ9)-IF(M9="",0,M9)&gt;0.001,MAX(EB9,EX9,FT9,GP9,HL9,IH9,JD9,JZ9,KV9,LR9,MN9,NJ9)-IF(M9="",0,M9),"")</f>
        <v/>
      </c>
      <c r="DI9" s="24" t="str">
        <f>IF(MAX(EC9,EY9,FU9,GQ9,HM9,II9,JE9,KA9,KW9,LS9,MO9,NK9)-IF(O9="",0,O9)&gt;0.001,MAX(EC9,EY9,FU9,GQ9,HM9,II9,JE9,KA9,KW9,LS9,MO9,NK9)-IF(O9="",0,O9),"")</f>
        <v/>
      </c>
      <c r="DJ9" s="24" t="str">
        <f>IF(MAX(ED9,EZ9,FV9,GR9,HN9,IJ9,JF9,KB9,KX9,LT9,MP9,NL9)-IF(K9="",0,K9)&gt;0.001,MAX(ED9,EZ9,FV9,GR9,HN9,IJ9,JF9,KB9,KX9,LT9,MP9,NL9)-IF(K9="",0,K9),"")</f>
        <v/>
      </c>
      <c r="DK9" s="24" t="str">
        <f>IF(MAX(EF9,FB9,FX9,GT9,HP9,IL9,JH9,KD9,KZ9,LV9,MR9,NN9)-IF(Q9="",0,Q9)&gt;0.001,MAX(EF9,FB9,FX9,GT9,HP9,IL9,JH9,KD9,KZ9,LV9,MR9,NN9)-IF(Q9="",0,Q9),"")</f>
        <v/>
      </c>
      <c r="DL9" s="37"/>
      <c r="DM9" s="37"/>
      <c r="DN9" s="37"/>
      <c r="DO9" s="37"/>
      <c r="DP9" s="37"/>
      <c r="DQ9" s="37"/>
      <c r="DR9" s="37"/>
      <c r="DS9" s="37"/>
      <c r="DT9" s="37"/>
      <c r="DU9" s="37"/>
      <c r="DV9" s="37"/>
      <c r="DW9" s="37"/>
      <c r="DX9" s="37"/>
      <c r="DY9" s="37"/>
      <c r="DZ9" s="37"/>
      <c r="EA9" s="11" t="str">
        <f>IF(DS9&gt;0,DS9,"")</f>
        <v/>
      </c>
      <c r="EB9" s="11" t="str">
        <f>IF(SUM(DL9:DO9)-DP9&gt;0,SUM(DL9:DO9)-DP9,"")</f>
        <v/>
      </c>
      <c r="EC9" s="11" t="str">
        <f>IF(SUM(DQ9:DT9)-DU9&gt;0,SUM(DQ9:DT9)-DU9,"")</f>
        <v/>
      </c>
      <c r="ED9" s="11" t="str">
        <f>IF(SUM(EB9:EC9)&gt;0,SUM(EB9:EC9),"")</f>
        <v/>
      </c>
      <c r="EE9" s="11" t="str">
        <f>IF(DX9&gt;0,DX9,"")</f>
        <v/>
      </c>
      <c r="EF9" s="11" t="str">
        <f>IF(SUM(DV9:DY9)-DZ9&gt;0,SUM(DV9:DY9)-DZ9,"")</f>
        <v/>
      </c>
      <c r="EG9" s="11" t="str">
        <f>IF(SUM(ED9,EF9)&gt;0,SUM(ED9,EF9),"")</f>
        <v/>
      </c>
      <c r="EH9" s="38"/>
      <c r="EI9" s="38"/>
      <c r="EJ9" s="38"/>
      <c r="EK9" s="38"/>
      <c r="EL9" s="38"/>
      <c r="EM9" s="38"/>
      <c r="EN9" s="38"/>
      <c r="EO9" s="38"/>
      <c r="EP9" s="38"/>
      <c r="EQ9" s="38"/>
      <c r="ER9" s="38"/>
      <c r="ES9" s="38"/>
      <c r="ET9" s="38"/>
      <c r="EU9" s="38"/>
      <c r="EV9" s="38"/>
      <c r="EW9" s="14" t="str">
        <f>IF(EO9&gt;0,EO9,"")</f>
        <v/>
      </c>
      <c r="EX9" s="14" t="str">
        <f>IF(SUM(EH9:EK9)-EL9&gt;0,SUM(EH9:EK9)-EL9,"")</f>
        <v/>
      </c>
      <c r="EY9" s="14" t="str">
        <f>IF(SUM(EM9:EP9)-EQ9&gt;0,SUM(EM9:EP9)-EQ9,"")</f>
        <v/>
      </c>
      <c r="EZ9" s="14" t="str">
        <f>IF(SUM(EX9:EY9)&gt;0,SUM(EX9:EY9),"")</f>
        <v/>
      </c>
      <c r="FA9" s="14" t="str">
        <f>IF(ET9&gt;0,ET9,"")</f>
        <v/>
      </c>
      <c r="FB9" s="14" t="str">
        <f>IF(SUM(ER9:EU9)-EV9&gt;0,SUM(ER9:EU9)-EV9,"")</f>
        <v/>
      </c>
      <c r="FC9" s="14" t="str">
        <f>IF(SUM(EZ9,FB9)&gt;0,SUM(EZ9,FB9),"")</f>
        <v/>
      </c>
      <c r="FD9" s="37"/>
      <c r="FE9" s="37"/>
      <c r="FF9" s="37"/>
      <c r="FG9" s="37"/>
      <c r="FH9" s="37"/>
      <c r="FI9" s="37"/>
      <c r="FJ9" s="37"/>
      <c r="FK9" s="37"/>
      <c r="FL9" s="37"/>
      <c r="FM9" s="37"/>
      <c r="FN9" s="37"/>
      <c r="FO9" s="37"/>
      <c r="FP9" s="37"/>
      <c r="FQ9" s="37"/>
      <c r="FR9" s="37"/>
      <c r="FS9" s="11" t="str">
        <f>IF(FK9&gt;0,FK9,"")</f>
        <v/>
      </c>
      <c r="FT9" s="11" t="str">
        <f>IF(SUM(FD9:FG9)-FH9&gt;0,SUM(FD9:FG9)-FH9,"")</f>
        <v/>
      </c>
      <c r="FU9" s="11" t="str">
        <f>IF(SUM(FI9:FL9)-FM9&gt;0,SUM(FI9:FL9)-FM9,"")</f>
        <v/>
      </c>
      <c r="FV9" s="11" t="str">
        <f>IF(SUM(FT9:FU9)&gt;0,SUM(FT9:FU9),"")</f>
        <v/>
      </c>
      <c r="FW9" s="11" t="str">
        <f>IF(FP9&gt;0,FP9,"")</f>
        <v/>
      </c>
      <c r="FX9" s="11" t="str">
        <f>IF(SUM(FN9:FQ9)-FR9&gt;0,SUM(FN9:FQ9)-FR9,"")</f>
        <v/>
      </c>
      <c r="FY9" s="11" t="str">
        <f>IF(SUM(FV9,FX9)&gt;0,SUM(FV9,FX9),"")</f>
        <v/>
      </c>
      <c r="FZ9" s="38"/>
      <c r="GA9" s="38"/>
      <c r="GB9" s="38"/>
      <c r="GC9" s="38"/>
      <c r="GD9" s="38"/>
      <c r="GE9" s="38"/>
      <c r="GF9" s="38"/>
      <c r="GG9" s="38"/>
      <c r="GH9" s="38"/>
      <c r="GI9" s="38"/>
      <c r="GJ9" s="38"/>
      <c r="GK9" s="38"/>
      <c r="GL9" s="38"/>
      <c r="GM9" s="38"/>
      <c r="GN9" s="38"/>
      <c r="GO9" s="14" t="str">
        <f>IF(GG9&gt;0,GG9,"")</f>
        <v/>
      </c>
      <c r="GP9" s="14" t="str">
        <f>IF(SUM(FZ9:GC9)-GD9&gt;0,SUM(FZ9:GC9)-GD9,"")</f>
        <v/>
      </c>
      <c r="GQ9" s="14" t="str">
        <f>IF(SUM(GE9:GH9)-GI9&gt;0,SUM(GE9:GH9)-GI9,"")</f>
        <v/>
      </c>
      <c r="GR9" s="14" t="str">
        <f>IF(SUM(GP9:GQ9)&gt;0,SUM(GP9:GQ9),"")</f>
        <v/>
      </c>
      <c r="GS9" s="14" t="str">
        <f>IF(GL9&gt;0,GL9,"")</f>
        <v/>
      </c>
      <c r="GT9" s="14" t="str">
        <f>IF(SUM(GJ9:GM9)-GN9&gt;0,SUM(GJ9:GM9)-GN9,"")</f>
        <v/>
      </c>
      <c r="GU9" s="14" t="str">
        <f>IF(SUM(GR9,GT9)&gt;0,SUM(GR9,GT9),"")</f>
        <v/>
      </c>
      <c r="GV9" s="37"/>
      <c r="GW9" s="37"/>
      <c r="GX9" s="37"/>
      <c r="GY9" s="37"/>
      <c r="GZ9" s="37"/>
      <c r="HA9" s="37"/>
      <c r="HB9" s="37"/>
      <c r="HC9" s="37"/>
      <c r="HD9" s="37"/>
      <c r="HE9" s="37"/>
      <c r="HF9" s="37"/>
      <c r="HG9" s="37"/>
      <c r="HH9" s="37"/>
      <c r="HI9" s="37"/>
      <c r="HJ9" s="37"/>
      <c r="HK9" s="11" t="str">
        <f>IF(HC9&gt;0,HC9,"")</f>
        <v/>
      </c>
      <c r="HL9" s="11" t="str">
        <f>IF(SUM(GV9:GY9)-GZ9&gt;0,SUM(GV9:GY9)-GZ9,"")</f>
        <v/>
      </c>
      <c r="HM9" s="11" t="str">
        <f>IF(SUM(HA9:HD9)-HE9&gt;0,SUM(HA9:HD9)-HE9,"")</f>
        <v/>
      </c>
      <c r="HN9" s="11" t="str">
        <f>IF(SUM(HL9:HM9)&gt;0,SUM(HL9:HM9),"")</f>
        <v/>
      </c>
      <c r="HO9" s="11" t="str">
        <f>IF(HH9&gt;0,HH9,"")</f>
        <v/>
      </c>
      <c r="HP9" s="11" t="str">
        <f>IF(SUM(HF9:HI9)-HJ9&gt;0,SUM(HF9:HI9)-HJ9,"")</f>
        <v/>
      </c>
      <c r="HQ9" s="11" t="str">
        <f>IF(SUM(HN9,HP9)&gt;0,SUM(HN9,HP9),"")</f>
        <v/>
      </c>
      <c r="HR9" s="38"/>
      <c r="HS9" s="38"/>
      <c r="HT9" s="38"/>
      <c r="HU9" s="38"/>
      <c r="HV9" s="38"/>
      <c r="HW9" s="38"/>
      <c r="HX9" s="38"/>
      <c r="HY9" s="38"/>
      <c r="HZ9" s="38"/>
      <c r="IA9" s="38"/>
      <c r="IB9" s="38"/>
      <c r="IC9" s="38"/>
      <c r="ID9" s="38"/>
      <c r="IE9" s="38"/>
      <c r="IF9" s="38"/>
      <c r="IG9" s="14" t="str">
        <f>IF(HY9&gt;0,HY9,"")</f>
        <v/>
      </c>
      <c r="IH9" s="14" t="str">
        <f>IF(SUM(HR9:HU9)-HV9&gt;0,SUM(HR9:HU9)-HV9,"")</f>
        <v/>
      </c>
      <c r="II9" s="14" t="str">
        <f>IF(SUM(HW9:HZ9)-IA9&gt;0,SUM(HW9:HZ9)-IA9,"")</f>
        <v/>
      </c>
      <c r="IJ9" s="14" t="str">
        <f>IF(SUM(IH9:II9)&gt;0,SUM(IH9:II9),"")</f>
        <v/>
      </c>
      <c r="IK9" s="14" t="str">
        <f>IF(ID9&gt;0,ID9,"")</f>
        <v/>
      </c>
      <c r="IL9" s="14" t="str">
        <f>IF(SUM(IB9:IE9)-IF9&gt;0,SUM(IB9:IE9)-IF9,"")</f>
        <v/>
      </c>
      <c r="IM9" s="14" t="str">
        <f>IF(SUM(IJ9,IL9)&gt;0,SUM(IJ9,IL9),"")</f>
        <v/>
      </c>
      <c r="IN9" s="37"/>
      <c r="IO9" s="37"/>
      <c r="IP9" s="37"/>
      <c r="IQ9" s="37"/>
      <c r="IR9" s="37"/>
      <c r="IS9" s="37"/>
      <c r="IT9" s="37"/>
      <c r="IU9" s="37"/>
      <c r="IV9" s="37"/>
      <c r="IW9" s="37"/>
      <c r="IX9" s="37"/>
      <c r="IY9" s="37"/>
      <c r="IZ9" s="37"/>
      <c r="JA9" s="37"/>
      <c r="JB9" s="37"/>
      <c r="JC9" s="11" t="str">
        <f>IF(IU9&gt;0,IU9,"")</f>
        <v/>
      </c>
      <c r="JD9" s="11" t="str">
        <f>IF(SUM(IN9:IQ9)-IR9&gt;0,SUM(IN9:IQ9)-IR9,"")</f>
        <v/>
      </c>
      <c r="JE9" s="11" t="str">
        <f>IF(SUM(IS9:IV9)-IW9&gt;0,SUM(IS9:IV9)-IW9,"")</f>
        <v/>
      </c>
      <c r="JF9" s="11" t="str">
        <f>IF(SUM(JD9:JE9)&gt;0,SUM(JD9:JE9),"")</f>
        <v/>
      </c>
      <c r="JG9" s="11" t="str">
        <f>IF(IZ9&gt;0,IZ9,"")</f>
        <v/>
      </c>
      <c r="JH9" s="11" t="str">
        <f>IF(SUM(IX9:JA9)-JB9&gt;0,SUM(IX9:JA9)-JB9,"")</f>
        <v/>
      </c>
      <c r="JI9" s="11" t="str">
        <f>IF(SUM(JF9,JH9)&gt;0,SUM(JF9,JH9),"")</f>
        <v/>
      </c>
      <c r="JJ9" s="38"/>
      <c r="JK9" s="38"/>
      <c r="JL9" s="38"/>
      <c r="JM9" s="38"/>
      <c r="JN9" s="38"/>
      <c r="JO9" s="38"/>
      <c r="JP9" s="38"/>
      <c r="JQ9" s="38"/>
      <c r="JR9" s="38"/>
      <c r="JS9" s="38"/>
      <c r="JT9" s="38"/>
      <c r="JU9" s="38"/>
      <c r="JV9" s="38"/>
      <c r="JW9" s="38"/>
      <c r="JX9" s="38"/>
      <c r="JY9" s="14" t="str">
        <f>IF(JQ9&gt;0,JQ9,"")</f>
        <v/>
      </c>
      <c r="JZ9" s="14" t="str">
        <f>IF(SUM(JJ9:JM9)-JN9&gt;0,SUM(JJ9:JM9)-JN9,"")</f>
        <v/>
      </c>
      <c r="KA9" s="14" t="str">
        <f>IF(SUM(JO9:JR9)-JS9&gt;0,SUM(JO9:JR9)-JS9,"")</f>
        <v/>
      </c>
      <c r="KB9" s="14" t="str">
        <f>IF(SUM(JZ9:KA9)&gt;0,SUM(JZ9:KA9),"")</f>
        <v/>
      </c>
      <c r="KC9" s="14" t="str">
        <f>IF(JV9&gt;0,JV9,"")</f>
        <v/>
      </c>
      <c r="KD9" s="14" t="str">
        <f>IF(SUM(JT9:JW9)-JX9&gt;0,SUM(JT9:JW9)-JX9,"")</f>
        <v/>
      </c>
      <c r="KE9" s="14" t="str">
        <f>IF(SUM(KB9,KD9)&gt;0,SUM(KB9,KD9),"")</f>
        <v/>
      </c>
      <c r="KF9" s="37"/>
      <c r="KG9" s="37"/>
      <c r="KH9" s="37"/>
      <c r="KI9" s="37"/>
      <c r="KJ9" s="37"/>
      <c r="KK9" s="37"/>
      <c r="KL9" s="37"/>
      <c r="KM9" s="37"/>
      <c r="KN9" s="37"/>
      <c r="KO9" s="37"/>
      <c r="KP9" s="37"/>
      <c r="KQ9" s="37"/>
      <c r="KR9" s="37"/>
      <c r="KS9" s="37"/>
      <c r="KT9" s="37"/>
      <c r="KU9" s="11" t="str">
        <f>IF(KM9&gt;0,KM9,"")</f>
        <v/>
      </c>
      <c r="KV9" s="11" t="str">
        <f>IF(SUM(KF9:KI9)-KJ9&gt;0,SUM(KF9:KI9)-KJ9,"")</f>
        <v/>
      </c>
      <c r="KW9" s="11" t="str">
        <f>IF(SUM(KK9:KN9)-KO9&gt;0,SUM(KK9:KN9)-KO9,"")</f>
        <v/>
      </c>
      <c r="KX9" s="11" t="str">
        <f>IF(SUM(KV9:KW9)&gt;0,SUM(KV9:KW9),"")</f>
        <v/>
      </c>
      <c r="KY9" s="11" t="str">
        <f>IF(KR9&gt;0,KR9,"")</f>
        <v/>
      </c>
      <c r="KZ9" s="11" t="str">
        <f>IF(SUM(KP9:KS9)-KT9&gt;0,SUM(KP9:KS9)-KT9,"")</f>
        <v/>
      </c>
      <c r="LA9" s="11" t="str">
        <f>IF(SUM(KX9,KZ9)&gt;0,SUM(KX9,KZ9),"")</f>
        <v/>
      </c>
      <c r="LB9" s="38"/>
      <c r="LC9" s="38"/>
      <c r="LD9" s="38"/>
      <c r="LE9" s="38"/>
      <c r="LF9" s="38"/>
      <c r="LG9" s="38"/>
      <c r="LH9" s="38"/>
      <c r="LI9" s="38"/>
      <c r="LJ9" s="38"/>
      <c r="LK9" s="38"/>
      <c r="LL9" s="38"/>
      <c r="LM9" s="38"/>
      <c r="LN9" s="38"/>
      <c r="LO9" s="38"/>
      <c r="LP9" s="38"/>
      <c r="LQ9" s="14" t="str">
        <f>IF(LI9&gt;0,LI9,"")</f>
        <v/>
      </c>
      <c r="LR9" s="14" t="str">
        <f>IF(SUM(LB9:LE9)-LF9&gt;0,SUM(LB9:LE9)-LF9,"")</f>
        <v/>
      </c>
      <c r="LS9" s="14" t="str">
        <f>IF(SUM(LG9:LJ9)-LK9&gt;0,SUM(LG9:LJ9)-LK9,"")</f>
        <v/>
      </c>
      <c r="LT9" s="14" t="str">
        <f>IF(SUM(LR9:LS9)&gt;0,SUM(LR9:LS9),"")</f>
        <v/>
      </c>
      <c r="LU9" s="14" t="str">
        <f>IF(LN9&gt;0,LN9,"")</f>
        <v/>
      </c>
      <c r="LV9" s="14" t="str">
        <f>IF(SUM(LL9:LO9)-LP9&gt;0,SUM(LL9:LO9)-LP9,"")</f>
        <v/>
      </c>
      <c r="LW9" s="14" t="str">
        <f>IF(SUM(LT9,LV9)&gt;0,SUM(LT9,LV9),"")</f>
        <v/>
      </c>
      <c r="LX9" s="37"/>
      <c r="LY9" s="37"/>
      <c r="LZ9" s="37"/>
      <c r="MA9" s="37"/>
      <c r="MB9" s="37"/>
      <c r="MC9" s="37"/>
      <c r="MD9" s="37"/>
      <c r="ME9" s="37"/>
      <c r="MF9" s="37"/>
      <c r="MG9" s="37"/>
      <c r="MH9" s="37"/>
      <c r="MI9" s="37"/>
      <c r="MJ9" s="37"/>
      <c r="MK9" s="37"/>
      <c r="ML9" s="37"/>
      <c r="MM9" s="11" t="str">
        <f>IF(ME9&gt;0,ME9,"")</f>
        <v/>
      </c>
      <c r="MN9" s="11" t="str">
        <f>IF(SUM(LX9:MA9)-MB9&gt;0,SUM(LX9:MA9)-MB9,"")</f>
        <v/>
      </c>
      <c r="MO9" s="11" t="str">
        <f>IF(SUM(MC9:MF9)-MG9&gt;0,SUM(MC9:MF9)-MG9,"")</f>
        <v/>
      </c>
      <c r="MP9" s="11" t="str">
        <f>IF(SUM(MN9:MO9)&gt;0,SUM(MN9:MO9),"")</f>
        <v/>
      </c>
      <c r="MQ9" s="11" t="str">
        <f>IF(MJ9&gt;0,MJ9,"")</f>
        <v/>
      </c>
      <c r="MR9" s="11" t="str">
        <f>IF(SUM(MH9:MK9)-ML9&gt;0,SUM(MH9:MK9)-ML9,"")</f>
        <v/>
      </c>
      <c r="MS9" s="11" t="str">
        <f>IF(SUM(MP9,MR9)&gt;0,SUM(MP9,MR9),"")</f>
        <v/>
      </c>
      <c r="MT9" s="38"/>
      <c r="MU9" s="38"/>
      <c r="MV9" s="38"/>
      <c r="MW9" s="38"/>
      <c r="MX9" s="38"/>
      <c r="MY9" s="38"/>
      <c r="MZ9" s="38"/>
      <c r="NA9" s="38"/>
      <c r="NB9" s="38"/>
      <c r="NC9" s="38"/>
      <c r="ND9" s="38"/>
      <c r="NE9" s="38"/>
      <c r="NF9" s="38"/>
      <c r="NG9" s="38"/>
      <c r="NH9" s="38"/>
      <c r="NI9" s="14" t="str">
        <f>IF(NA9&gt;0,NA9,"")</f>
        <v/>
      </c>
      <c r="NJ9" s="14" t="str">
        <f>IF(SUM(MT9:MW9)-MX9&gt;0,SUM(MT9:MW9)-MX9,"")</f>
        <v/>
      </c>
      <c r="NK9" s="14" t="str">
        <f>IF(SUM(MY9:NB9)-NC9&gt;0,SUM(MY9:NB9)-NC9,"")</f>
        <v/>
      </c>
      <c r="NL9" s="14" t="str">
        <f>IF(SUM(NJ9:NK9)&gt;0,SUM(NJ9:NK9),"")</f>
        <v/>
      </c>
      <c r="NM9" s="14" t="str">
        <f>IF(NF9&gt;0,NF9,"")</f>
        <v/>
      </c>
      <c r="NN9" s="14" t="str">
        <f>IF(SUM(ND9:NG9)-NH9&gt;0,SUM(ND9:NG9)-NH9,"")</f>
        <v/>
      </c>
      <c r="NO9" s="14" t="str">
        <f>IF(SUM(NL9,NN9)&gt;0,SUM(NL9,NN9),"")</f>
        <v/>
      </c>
      <c r="NP9" s="69">
        <f>IF($CX9="P",CD9,(CD9+AZ9)/2)</f>
        <v>18.2</v>
      </c>
      <c r="NQ9" s="69">
        <f>IF($CX9="P",CE9,(CE9+BA9)/2)</f>
        <v>9.5</v>
      </c>
      <c r="NR9" s="69">
        <f>IF($CX9="P",CF9,(CF9+BB9)/2)</f>
        <v>3.4</v>
      </c>
      <c r="NS9" s="69">
        <f>IF($CX9="P",CG9,(CG9+BC9)/2)</f>
        <v>15.827500000000001</v>
      </c>
      <c r="NT9" s="69">
        <f>IF($CX9="P",CH9,(CH9+BD9)/2)</f>
        <v>0</v>
      </c>
      <c r="NU9" s="69">
        <f>IF($CX9="P",CI9,(CI9+BE9)/2)</f>
        <v>16.25</v>
      </c>
      <c r="NV9" s="69">
        <f>IF($CX9="P",CJ9,(CJ9+BF9)/2)</f>
        <v>9.1999999999999993</v>
      </c>
      <c r="NW9" s="69">
        <f>IF($CX9="P",CK9,(CK9+BG9)/2)</f>
        <v>11.05</v>
      </c>
      <c r="NX9" s="69">
        <f>IF($CX9="P",CL9,(CL9+BH9)/2)</f>
        <v>14.824999999999999</v>
      </c>
      <c r="NY9" s="69">
        <f>IF($CX9="P",CM9,(CM9+BI9)/2)</f>
        <v>0</v>
      </c>
      <c r="NZ9" s="69">
        <f>IF($CX9="P",CN9,(CN9+BJ9)/2)</f>
        <v>15.75</v>
      </c>
      <c r="OA9" s="69">
        <f>IF($CX9="P",CO9,(CO9+BK9)/2)</f>
        <v>8.9</v>
      </c>
      <c r="OB9" s="69">
        <f>IF($CX9="P",CP9,(CP9+BL9)/2)</f>
        <v>12.2</v>
      </c>
      <c r="OC9" s="69">
        <f>IF($CX9="P",CQ9,(CQ9+BM9)/2)</f>
        <v>14.760000000000002</v>
      </c>
      <c r="OD9" s="69">
        <f>IF($CX9="P",CR9,(CR9+BN9)/2)</f>
        <v>0</v>
      </c>
      <c r="OE9" s="69">
        <f>IF($CX9="P",CS9,(CS9+BO9)/2)</f>
        <v>14.6</v>
      </c>
      <c r="OF9" s="69">
        <f>IF($CX9="P",CT9,(CT9+BP9)/2)</f>
        <v>8.8999999999999986</v>
      </c>
      <c r="OG9" s="69">
        <f>IF($CX9="P",CU9,(CU9+BQ9)/2)</f>
        <v>11.6</v>
      </c>
      <c r="OH9" s="69">
        <f>IF($CX9="P",CV9,(CV9+BR9)/2)</f>
        <v>13.317500000000001</v>
      </c>
      <c r="OI9" s="69">
        <f>IF($CX9="P",CW9,(CW9+BS9)/2)</f>
        <v>0</v>
      </c>
      <c r="OJ9" s="80" t="s">
        <v>74</v>
      </c>
      <c r="OK9" s="11">
        <f>IF(SUM(NP9:NS9)-NT9&gt;0,SUM(NP9:NS9)-NT9,"")</f>
        <v>46.927499999999995</v>
      </c>
      <c r="OL9" s="11">
        <f>IF(NW9&gt;0,NW9,"")</f>
        <v>11.05</v>
      </c>
      <c r="OM9" s="11">
        <f>IF(SUM(NU9:NX9)-NY9&gt;0,SUM(NU9:NX9)-NY9,"")</f>
        <v>51.325000000000003</v>
      </c>
      <c r="ON9" s="11">
        <f>IF(OB9&gt;0,OB9,"")</f>
        <v>12.2</v>
      </c>
      <c r="OO9" s="11">
        <f>IF(SUM(NZ9:OC9)-OD9&gt;0,SUM(NZ9:OC9)-OD9,"")</f>
        <v>51.61</v>
      </c>
      <c r="OP9" s="11">
        <f>IF(OR(OK9&lt;&gt;"",OM9&lt;&gt;"",OO9&lt;&gt;""),OK9+MAX(OM9,OO9),"")</f>
        <v>98.537499999999994</v>
      </c>
      <c r="OQ9" s="11">
        <f>IF(OG9&gt;0,OG9,"")</f>
        <v>11.6</v>
      </c>
      <c r="OR9" s="11">
        <f t="shared" si="0"/>
        <v>48.417500000000004</v>
      </c>
      <c r="OS9" s="11">
        <f t="shared" si="1"/>
        <v>146.95499999999998</v>
      </c>
    </row>
    <row r="10" spans="1:409" x14ac:dyDescent="0.2">
      <c r="A10" s="5" cm="1">
        <f t="array" ref="A10">IF(AND(G10&lt;&gt;"",H10&lt;&gt;""),SUMPRODUCT((G$4:G$15&lt;&gt;"")*(H$4:H$15&lt;&gt;"")*(E$4:E$15&gt;E10))+1,IF(H10&lt;&gt;"",SUMPRODUCT((I$4:I$15="No DD")*(E$4:E$15&gt;E10))+1+SUMPRODUCT((G$4:G$15&lt;&gt;"")*(H$4:H$15&lt;&gt;"")),""))</f>
        <v>7</v>
      </c>
      <c r="B10" s="127" t="s">
        <v>113</v>
      </c>
      <c r="C10" s="5" t="s">
        <v>6</v>
      </c>
      <c r="D10" s="5">
        <v>2002</v>
      </c>
      <c r="E10" s="15">
        <f>SUM(K10:S10)</f>
        <v>242.21499999999997</v>
      </c>
      <c r="F10" s="3" t="str">
        <f>IF(G10&lt;&gt;"","P","")</f>
        <v>P</v>
      </c>
      <c r="G10" s="125" t="str">
        <f>IF(OR(AND(AR10&gt;=AY$20,AR10&lt;&gt;"",AP10=""),AND(AT10&gt;=AY$20,AT10&lt;&gt;"",AP10=""),AND(AW10&gt;=AY$20,AW10&lt;&gt;"",AP10=""),AND(BV10&gt;=CC$20,BV10&lt;&gt;"",BT10=""),AND(BX10&gt;=CC$20,BX10&lt;&gt;"",BT10=""),AND(CA10&gt;=CC$20,CA10&lt;&gt;"",BT10=""),AND(CZ10&gt;=DG$20,CZ10&lt;&gt;"",CX10=""),AND(DB10&gt;=DG$20,DB10&lt;&gt;"",CX10=""),AND(DE10&gt;=DG$20,DE10&lt;&gt;"",CX10=""),AND(EA10&gt;=EG$20,EA10&lt;&gt;""),AND(EE10&gt;=EG$20,EE10&lt;&gt;""),AND(EW10&gt;=FC$20,EW10&lt;&gt;""),AND(FA10&gt;=FC$20,FA10&lt;&gt;""),AND(FS10&gt;=FY$20,FS10&lt;&gt;""),AND(FW10&gt;=FY$20,FW10&lt;&gt;""),AND(GO10&gt;=GU$20,GO10&lt;&gt;""),AND(GS10&gt;=GU$20,GS10&lt;&gt;""),AND(HK10&gt;=HQ$20,HK10&lt;&gt;""),AND(HO10&gt;=HQ$20,HO10&lt;&gt;""),AND(IG10&gt;=IM$20,IG10&lt;&gt;""),AND(IK10&gt;=IM$20,IK10&lt;&gt;""),AND(JC10&gt;=JI$20,JC10&lt;&gt;""),AND(JG10&gt;=JI$20,JG10&lt;&gt;""),AND(JY10&gt;=KE$20,JY10&lt;&gt;""),AND(KC10&gt;=KE$20,KC10&lt;&gt;""),AND(KU10&gt;=LA$20,KU10&lt;&gt;""),AND(KY10&gt;=LA$20,KY10&lt;&gt;""),AND(LQ10&gt;=LW$20,LQ10&lt;&gt;""),AND(LU10&gt;=LW$20,LU10&lt;&gt;""),AND(MM10&gt;=MS$20,MM10&lt;&gt;""),AND(MQ10&gt;=MS$20,MQ10&lt;&gt;""),AND(NI10&gt;=NO$20,NI10&lt;&gt;""),AND(NM10&gt;=NO$20,NM10&lt;&gt;"")),"Merit",IF(OR(AND(AR10&gt;=AY$19,AR10&lt;&gt;"",AP10=""),AND(AT10&gt;=AY$19,AT10&lt;&gt;"",AP10=""),AND(AW10&gt;=AY$19,AW10&lt;&gt;"",AP10=""),AND(BV10&gt;=CC$19,BV10&lt;&gt;"",BT10=""),AND(BX10&gt;=CC$19,BX10&lt;&gt;"",BT10=""),AND(CA10&gt;=CC$19,CA10&lt;&gt;"",BT10=""),AND(CZ10&gt;=DG$19,CZ10&lt;&gt;"",CX10=""),AND(DB10&gt;=DG$19,DB10&lt;&gt;"",CX10=""),AND(DE10&gt;=DG$19,DE10&lt;&gt;"",CX10=""),AND(EA10&gt;=EG$19,EA10&lt;&gt;""),AND(EE10&gt;=EG$19,EE10&lt;&gt;""),AND(EW10&gt;=FC$19,EW10&lt;&gt;""),AND(FA10&gt;=FC$19,FA10&lt;&gt;""),AND(FS10&gt;=FY$19,FS10&lt;&gt;""),AND(FW10&gt;=FY$19,FW10&lt;&gt;""),AND(GO10&gt;=GU$19,GO10&lt;&gt;""),AND(GS10&gt;=GU$19,GS10&lt;&gt;""),AND(HK10&gt;=HQ$19,HK10&lt;&gt;""),AND(HO10&gt;=HQ$19,HO10&lt;&gt;""),AND(IG10&gt;=IM$19,IG10&lt;&gt;""),AND(IK10&gt;=IM$19,IK10&lt;&gt;""),AND(JC10&gt;=JI$19,JC10&lt;&gt;""),AND(JG10&gt;=JI$19,JG10&lt;&gt;""),AND(JY10&gt;=KE$19,JY10&lt;&gt;""),AND(KC10&gt;=KE$19,KC10&lt;&gt;""),AND(KU10&gt;=LA$19,KU10&lt;&gt;""),AND(KY10&gt;=LA$19,KY10&lt;&gt;""),AND(LQ10&gt;=LW$19,LQ10&lt;&gt;""),AND(LU10&gt;=LW$19,LU10&lt;&gt;""),AND(MM10&gt;=MS$19,MM10&lt;&gt;""),AND(MQ10&gt;=MS$19,MQ10&lt;&gt;""),AND(NI10&gt;=NO$19,NI10&lt;&gt;""),AND(NM10&gt;=NO$19,NM10&lt;&gt;"")),"Excellence",IF(OR(AND(AR10&gt;=AY$18,AR10&lt;&gt;"",AP10=""),AND(AT10&gt;=AY$18,AT10&lt;&gt;"",AP10=""),AND(AW10&gt;=AY$18,AW10&lt;&gt;"",AP10=""),AND(BV10&gt;=CC$18,BV10&lt;&gt;"",BT10=""),AND(BX10&gt;=CC$18,BX10&lt;&gt;"",BT10=""),AND(CA10&gt;=CC$18,CA10&lt;&gt;"",BT10=""),AND(CZ10&gt;=DG$18,CZ10&lt;&gt;"",CX10=""),AND(DB10&gt;=DG$18,DB10&lt;&gt;"",CX10=""),AND(DE10&gt;=DG$18,DE10&lt;&gt;"",CX10=""),AND(EA10&gt;=EG$18,EA10&lt;&gt;""),AND(EE10&gt;=EG$18,EE10&lt;&gt;""),AND(EW10&gt;=FC$18,EW10&lt;&gt;""),AND(FA10&gt;=FC$18,FA10&lt;&gt;""),AND(FS10&gt;=FY$18,FS10&lt;&gt;""),AND(FW10&gt;=FY$18,FW10&lt;&gt;""),AND(GO10&gt;=GU$18,GO10&lt;&gt;""),AND(GS10&gt;=GU$18,GS10&lt;&gt;""),AND(HK10&gt;=HQ$18,HK10&lt;&gt;""),AND(HO10&gt;=HQ$18,HO10&lt;&gt;""),AND(IG10&gt;=IM$18,IG10&lt;&gt;""),AND(IK10&gt;=IM$18,IK10&lt;&gt;""),AND(JC10&gt;=JI$18,JC10&lt;&gt;""),AND(JG10&gt;=JI$18,JG10&lt;&gt;""),AND(JY10&gt;=KE$18,JY10&lt;&gt;""),AND(KC10&gt;=KE$18,KC10&lt;&gt;""),AND(KU10&gt;=LA$18,KU10&lt;&gt;""),AND(KY10&gt;=LA$18,KY10&lt;&gt;""),AND(LQ10&gt;=LW$18,LQ10&lt;&gt;""),AND(LU10&gt;=LW$18,LU10&lt;&gt;""),AND(MM10&gt;=MS$18,MM10&lt;&gt;""),AND(MQ10&gt;=MS$18,MQ10&lt;&gt;""),AND(NI10&gt;=NO$18,NI10&lt;&gt;""),AND(NM10&gt;=NO$18,NM10&lt;&gt;"")),"Worlds Team",IF(OR(AND(AR10&gt;=AY$17,AR10&lt;&gt;"",AP10=""),AND(AT10&gt;=AY$17,AT10&lt;&gt;"",AP10=""),AND(AW10&gt;=AY$17,AW10&lt;&gt;"",AP10=""),AND(BV10&gt;=CC$17,BV10&lt;&gt;"",BT10=""),AND(BX10&gt;=CC$17,BX10&lt;&gt;"",BT10=""),AND(CA10&gt;=CC$17,CA10&lt;&gt;"",BT10=""),AND(CZ10&gt;=DG$17,CZ10&lt;&gt;"",CX10=""),AND(DB10&gt;=DG$17,DB10&lt;&gt;"",CX10=""),AND(DE10&gt;=DG$17,DE10&lt;&gt;"",CX10=""),AND(EA10&gt;=EG$17,EA10&lt;&gt;""),AND(EE10&gt;=EG$17,EE10&lt;&gt;""),AND(EW10&gt;=FC$17,EW10&lt;&gt;""),AND(FA10&gt;=FC$17,FA10&lt;&gt;""),AND(FS10&gt;=FY$17,FS10&lt;&gt;""),AND(FW10&gt;=FY$17,FW10&lt;&gt;""),AND(GO10&gt;=GU$17,GO10&lt;&gt;""),AND(GS10&gt;=GU$17,GS10&lt;&gt;""),AND(HK10&gt;=HQ$17,HK10&lt;&gt;""),AND(HO10&gt;=HQ$17,HO10&lt;&gt;""),AND(IG10&gt;=IM$17,IG10&lt;&gt;""),AND(IK10&gt;=IM$17,IK10&lt;&gt;""),AND(JC10&gt;=JI$17,JC10&lt;&gt;""),AND(JG10&gt;=JI$17,JG10&lt;&gt;""),AND(JY10&gt;=KE$17,JY10&lt;&gt;""),AND(KC10&gt;=KE$17,KC10&lt;&gt;""),AND(KU10&gt;=LA$17,KU10&lt;&gt;""),AND(KY10&gt;=LA$17,KY10&lt;&gt;""),AND(LQ10&gt;=LW$17,LQ10&lt;&gt;""),AND(LU10&gt;=LW$17,LU10&lt;&gt;""),AND(MM10&gt;=MS$17,MM10&lt;&gt;""),AND(MQ10&gt;=MS$17,MQ10&lt;&gt;""),AND(NI10&gt;=NO$17,NI10&lt;&gt;""),AND(NM10&gt;=NO$17,NM10&lt;&gt;"")),"National Team",""))))</f>
        <v>National Team</v>
      </c>
      <c r="H10" s="125" t="str">
        <f>IF(OR(AND(AS10&gt;=AY$24,AS10&lt;&gt;"",AP10=""),AND(AU10&gt;=AY$24,AU10&lt;&gt;"",AP10=""),AND(AX10&gt;=AY$24,AX10&lt;&gt;"",AP10=""),AND(BW10&gt;=CC$24,BW10&lt;&gt;"",BT10=""),AND(BY10&gt;=CC$24,BY10&lt;&gt;"",BT10=""),AND(CB10&gt;=CC$24,CB10&lt;&gt;"",BT10=""),AND(DA10&gt;=DG$24,DA10&lt;&gt;"",CX10=""),AND(DC10&gt;=DG$24,DC10&lt;&gt;"",CX10=""),AND(DF10&gt;=DG$24,DF10&lt;&gt;"",CX10=""),AND(EC10&gt;=EG$24,EC10&lt;&gt;""),AND(EF10&gt;=EG$24,EF10&lt;&gt;""),AND(EY10&gt;=FC$24,EY10&lt;&gt;""),AND(FB10&gt;=FC$24,FB10&lt;&gt;""),AND(FU10&gt;=FY$24,FU10&lt;&gt;""),AND(FX10&gt;=FY$24,FX10&lt;&gt;""),AND(GQ10&gt;=GU$24,GQ10&lt;&gt;""),AND(GT10&gt;=GU$24,GT10&lt;&gt;""),AND(HM10&gt;=HQ$24,HM10&lt;&gt;""),AND(HP10&gt;=HQ$24,HP10&lt;&gt;""),AND(II10&gt;=IM$24,II10&lt;&gt;""),AND(IL10&gt;=IM$24,IL10&lt;&gt;""),AND(JE10&gt;=JI$24,JE10&lt;&gt;""),AND(JH10&gt;=JI$24,JH10&lt;&gt;""),AND(KA10&gt;=KE$24,KA10&lt;&gt;""),AND(KD10&gt;=KE$24,KD10&lt;&gt;""),AND(KW10&gt;=LA$24,KW10&lt;&gt;""),AND(KZ10&gt;=LA$24,KZ10&lt;&gt;""),AND(LS10&gt;=LW$24,LS10&lt;&gt;""),AND(LV10&gt;=LW$24,LV10&lt;&gt;""),AND(MO10&gt;=MS$24,MO10&lt;&gt;""),AND(MR10&gt;=MS$24,MR10&lt;&gt;""),AND(NK10&gt;=NO$24,NK10&lt;&gt;""),AND(NN10&gt;=NO$24,NN10&lt;&gt;"")),"Merit",IF(OR(AND(AS10&gt;=AY$23,AS10&lt;&gt;"",AP10=""),AND(AU10&gt;=AY$23,AU10&lt;&gt;"",AP10=""),AND(AX10&gt;=AY$23,AX10&lt;&gt;"",AP10=""),AND(BW10&gt;=CC$23,BW10&lt;&gt;"",BT10=""),AND(BY10&gt;=CC$23,BY10&lt;&gt;"",BT10=""),AND(CB10&gt;=CC$23,CB10&lt;&gt;"",BT10=""),AND(DA10&gt;=DG$23,DA10&lt;&gt;"",CX10=""),AND(DC10&gt;=DG$23,DC10&lt;&gt;"",CX10=""),AND(DF10&gt;=DG$23,DF10&lt;&gt;"",CX10=""),AND(EC10&gt;=EG$23,EC10&lt;&gt;""),AND(EF10&gt;=EG$23,EF10&lt;&gt;""),AND(EY10&gt;=FC$23,EY10&lt;&gt;""),AND(FB10&gt;=FC$23,FB10&lt;&gt;""),AND(FU10&gt;=FY$23,FU10&lt;&gt;""),AND(FX10&gt;=FY$23,FX10&lt;&gt;""),AND(GQ10&gt;=GU$23,GQ10&lt;&gt;""),AND(GT10&gt;=GU$23,GT10&lt;&gt;""),AND(HM10&gt;=HQ$23,HM10&lt;&gt;""),AND(HP10&gt;=HQ$23,HP10&lt;&gt;""),AND(II10&gt;=IM$23,II10&lt;&gt;""),AND(IL10&gt;=IM$23,IL10&lt;&gt;""),AND(JE10&gt;=JI$23,JE10&lt;&gt;""),AND(JH10&gt;=JI$23,JH10&lt;&gt;""),AND(KA10&gt;=KE$23,KA10&lt;&gt;""),AND(KD10&gt;=KE$23,KD10&lt;&gt;""),AND(KW10&gt;=LA$23,KW10&lt;&gt;""),AND(KZ10&gt;=LA$23,KZ10&lt;&gt;""),AND(LS10&gt;=LW$23,LS10&lt;&gt;""),AND(LV10&gt;=LW$23,LV10&lt;&gt;""),AND(MO10&gt;=MS$23,MO10&lt;&gt;""),AND(MR10&gt;=MS$23,MR10&lt;&gt;""),AND(NK10&gt;=NO$23,NK10&lt;&gt;""),AND(NN10&gt;=NO$23,NN10&lt;&gt;"")),"Excellence",IF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"Worlds Team",IF(OR(AND(AV10&gt;=AY$21,AV10&lt;&gt;"",AP10=""),AND(BZ10&gt;=CC$21,BZ10&lt;&gt;"",BT10=""),AND(DD10&gt;=DG$21,DD10&lt;&gt;"",CX10=""),AND(ED10&gt;=EG$21,ED10&lt;&gt;""),AND(EZ10&gt;=FC$21,EZ10&lt;&gt;""),AND(FV10&gt;=FY$21,FV10&lt;&gt;""),AND(GR10&gt;=GU$21,GR10&lt;&gt;""),AND(HN10&gt;=HQ$21,HN10&lt;&gt;""),AND(IJ10&gt;=IM$21,IJ10&lt;&gt;""),AND(JF10&gt;=JI$21,JF10&lt;&gt;""),AND(KB10&gt;=KE$21,KB10&lt;&gt;""),AND(KX10&gt;=LA$21,KX10&lt;&gt;""),AND(LT10&gt;=LW$21,LT10&lt;&gt;""),AND(MP10&gt;=MS$21,MP10&lt;&gt;""),AND(NL10&gt;=NO$21,NL10&lt;&gt;"")),"National Team",""))))</f>
        <v>National Team</v>
      </c>
      <c r="I10" s="126" t="str">
        <f>IF(AND(G10="Merit",H10="Merit"),"Merit",IF(AND(OR(G10="Merit",G10="Excellence"),OR(H10="Merit",H10="Excellence")),"Excellence",IF(AND(OR(G10="Merit",G10="Excellence",G10="Worlds Team"),OR(H10="Merit",H10="Excellence",H10="Worlds Team")),"Worlds Team",IF(AND(OR(G10="Merit",G10="Excellence",G10="Worlds Team",G10="National Team"),OR(H10="Merit",H10="Excellence",H10="Worlds Team",H10="National Team")),"National Team",IF(OR(H10="Merit",H10="Excellence",H10="Worlds Team",H10="National Team"),"No DD","")))))</f>
        <v>National Team</v>
      </c>
      <c r="J10" s="3" t="str">
        <f>IF(AND(OR(AND(AV10&gt;=AY$22,AV10&lt;&gt;"",AP10=""),AND(BZ10&gt;=CC$22,BZ10&lt;&gt;"",BT10=""),AND(DD10&gt;=DG$22,DD10&lt;&gt;"",CX10=""),AND(ED10&gt;=EG$22,ED10&lt;&gt;""),AND(EZ10&gt;=FC$22,EZ10&lt;&gt;""),AND(FV10&gt;=FY$22,FV10&lt;&gt;""),AND(GR10&gt;=GU$22,GR10&lt;&gt;""),AND(HN10&gt;=HQ$22,HN10&lt;&gt;""),AND(IJ10&gt;=IM$22,IJ10&lt;&gt;""),AND(JF10&gt;=JI$22,JF10&lt;&gt;""),AND(KB10&gt;=KE$22,KB10&lt;&gt;""),AND(KX10&gt;=LA$22,KX10&lt;&gt;""),AND(LT10&gt;=LW$22,LT10&lt;&gt;""),AND(MP10&gt;=MS$22,MP10&lt;&gt;""),AND(NL10&gt;=NO$22,NL10&lt;&gt;"")),OR(G10="Worlds Team",G10="Excellence",G10="Merit")),"P","")</f>
        <v/>
      </c>
      <c r="K10" s="14">
        <f>IF(MAX(AV10,BZ10,DD10)&gt;0,MAX(AV10,BZ10,DD10),0)</f>
        <v>97.289999999999992</v>
      </c>
      <c r="L10" s="14" t="str">
        <f>IF(K10=0,"",IF(K10=DD10,$CD$1,IF(K10=BZ10,$AZ$1,IF(K10=AV10,$V$1,""))))</f>
        <v>2021 Elite Canada</v>
      </c>
      <c r="M10" s="14">
        <f>IF($K10=$AV10,MAX(BU10,CY10),IF($K10=$BZ10,MAX(AQ10,CY10),IF($K10=$DD10,MAX(AQ10,BU10),MAX(AQ10,BU10,CY10))))</f>
        <v>45.669999999999995</v>
      </c>
      <c r="N10" s="14" t="str">
        <f>IF(M10=0,"",IF(AND(M10=CY10,$L10&lt;&gt;$CD$1),$CD$1,IF(AND(M10=BU10,$L10&lt;&gt;$AZ$1),$AZ$1,IF(AND(M10=AQ10,$L10&lt;&gt;$V$1),$V$1,""))))</f>
        <v>2021 Canadian Championships</v>
      </c>
      <c r="O10" s="14">
        <f>IF(K10-N(AQ10)=AS10,MAX(AU10,BW10,BY10,DA10,DC10),IF(K10-N(AQ10)=AU10,MAX(AS10,BW10,BY10,DA10,DC10),IF(K10-N(BU10)=BW10,MAX(AS10,AU10,BY10,DA10,DC10),IF(K10-N(BU10)=BY10,MAX(AS10,AU10,BW10,DA10,DC10),IF(K10-N(CY10)=DA10,MAX(AS10,AU10,BW10,BY10,DC10),IF(K10-N(CY10)=DC10,MAX(AS10,AU10,BW10,BY10,DA10),MAX(AS10,AU10,BW10,BY10,DA10,DC10)))))))</f>
        <v>50.564999999999998</v>
      </c>
      <c r="P10" s="14" t="str">
        <f>IF(O10=0,"",IF(OR(O10=DC10,O10=DA10),$CD$1,IF(OR(O10=BY10,O10=BW10),$AZ$1,IF(OR(O10=AU10,O10=AS10),$V$1,""))))</f>
        <v>2021 Elite Canada</v>
      </c>
      <c r="Q10" s="14">
        <f>MAX(AX10,CB10,DF10)</f>
        <v>48.69</v>
      </c>
      <c r="R10" s="14" t="str">
        <f>IF(Q10=0,"",IF(Q10=DF10,$CD$1,IF(Q10=CB10,$AZ$1,IF(Q10=AX10,$V$1,""))))</f>
        <v>2021 2nd Virtual Technical Trial</v>
      </c>
      <c r="S10" s="14" t="str">
        <f>IF(MAX(DH10,DI10,DJ10,DK10)&gt;0,MAX(DH10,DI10,DJ10,DK10),"")</f>
        <v/>
      </c>
      <c r="T10" s="25" t="str">
        <f>IF(S10="","",IF(S10=DH10,"(Vol 1)",IF(S10=DI10,"(Vol 2)",IF(S10=DJ10,"(Prelim)",IF(S10=DK10,"(Final)")))))</f>
        <v/>
      </c>
      <c r="U10" s="14" t="str">
        <f>IF(S10="","",IF(S10=DH10,IF(S10+IF(M10="",0,M10)=NJ10,$MT$1,IF(S10+IF(M10="",0,M10)=MN10,$LX$1,IF(S10+IF(M10="",0,M10)=LR10,$LB$1,IF(S10+IF(M10="",0,M10)=KV10,$KF$1,IF(S10+IF(M10="",0,M10)=JZ10,$JJ$1,IF(S10+IF(M10="",0,M10)=JD10,$IN$1,IF(S10+IF(M10="",0,M10)=IH10,$HR$1,IF(S10+IF(M10="",0,M10)=HL10,$GV$1,IF(S10+IF(M10="",0,M10)=GP10,$FZ$1,IF(S10+IF(M10="",0,M10)=FT10,$FD$1,IF(S10+IF(M10="",0,M10)=EX10,$EH$1,IF(S10+IF(M10="",0,M10)=EB10,$DL$1)))))))))))),IF(S10=DI10,IF(S10+IF(O10="",0,O10)=NK10,$MT$1,IF(S10+IF(O10="",0,O10)=MO10,$LX$1,IF(S10+IF(O10="",0,O10)=LS10,$LB$1,IF(S10+IF(O10="",0,O10)=KW10,$KF$1,IF(S10+IF(O10="",0,O10)=KA10,$JJ$1,IF(S10+IF(O10="",0,O10)=JE10,$IN$1,IF(S10+IF(O10="",0,O10)=II10,$HR$1,IF(S10+IF(O10="",0,O10)=HM10,$GV$1,IF(S10+IF(O10="",0,O10)=GQ10,$FZ$1,IF(S10+IF(O10="",0,O10)=FU10,$FD$1,IF(S10+IF(O10="",0,O10)=EY10,$EH$1,IF(S10+IF(O10="",0,O10)=EC10,$DL$1)))))))))))),IF(S10=DJ10,IF(S10+IF(K10="",0,K10)=NL10,$MT$1,IF(S10+IF(K10="",0,K10)=MP10,$LX$1,IF(S10+IF(K10="",0,K10)=LT10,$LB$1,IF(S10+IF(K10="",0,K10)=KX10,$KF$1,IF(S10+IF(K10="",0,K10)=KB10,$JJ$1,IF(S10+IF(K10="",0,K10)=JF10,$IN$1,IF(S10+IF(K10="",0,K10)=IJ10,$HR$1,IF(S10+IF(K10="",0,K10)=HN10,$GV$1,IF(S10+IF(K10="",0,K10)=GR10,$FZ$1,IF(S10+IF(K10="",0,K10)=FV10,$FD$1,IF(S10+IF(K10="",0,K10)=EZ10,$EH$1,IF(S10+IF(K10="",0,K10)=ED10,$DL$1)))))))))))),IF(S10=DK10,IF(S10+IF(Q10="",0,Q10)=NN10,$MT$1,IF(S10+IF(Q10="",0,Q10)=MR10,$LX$1,IF(S10+IF(Q10="",0,Q10)=LV10,$LB$1,IF(S10+IF(Q10="",0,Q10)=KZ10,$KF$1,IF(S10+IF(Q10="",0,Q10)=KD10,$JJ$1,IF(S10+IF(Q10="",0,Q10)=JH10,$IN$1,IF(S10+IF(Q10="",0,Q10)=IL10,$HR$1,IF(S10+IF(Q10="",0,Q10)=HP10,$GV$1,IF(S10+IF(Q10="",0,Q10)=GT10,$FZ$1,IF(S10+IF(Q10="",0,Q10)=FX10,$FD$1,IF(S10+IF(Q10="",0,Q10)=FB10,$EH$1,IF(S10+IF(Q10="",0,Q10)=EF10,$DL$1)))))))))))))))))</f>
        <v/>
      </c>
      <c r="V10" s="69">
        <v>16.3</v>
      </c>
      <c r="W10" s="69">
        <v>9.6</v>
      </c>
      <c r="X10" s="69">
        <v>4.7</v>
      </c>
      <c r="Y10" s="69">
        <v>14.69</v>
      </c>
      <c r="Z10" s="69">
        <v>0</v>
      </c>
      <c r="AA10" s="69">
        <v>13</v>
      </c>
      <c r="AB10" s="69">
        <v>9.1</v>
      </c>
      <c r="AC10" s="69">
        <v>12</v>
      </c>
      <c r="AD10" s="69">
        <v>13.96</v>
      </c>
      <c r="AE10" s="69">
        <v>0</v>
      </c>
      <c r="AF10" s="69">
        <v>14.1</v>
      </c>
      <c r="AG10" s="69">
        <v>9</v>
      </c>
      <c r="AH10" s="69">
        <v>12</v>
      </c>
      <c r="AI10" s="69">
        <v>14.19</v>
      </c>
      <c r="AJ10" s="69">
        <v>0</v>
      </c>
      <c r="AK10" s="69">
        <v>13.1</v>
      </c>
      <c r="AL10" s="69">
        <v>9</v>
      </c>
      <c r="AM10" s="69">
        <v>12.7</v>
      </c>
      <c r="AN10" s="69">
        <v>13.89</v>
      </c>
      <c r="AO10" s="69">
        <v>0</v>
      </c>
      <c r="AP10" s="80"/>
      <c r="AQ10" s="11">
        <f>IF(SUM(V10:Y10)-Z10&gt;0,SUM(V10:Y10)-Z10,"")</f>
        <v>45.29</v>
      </c>
      <c r="AR10" s="11">
        <f>IF(AC10&gt;0,AC10,"")</f>
        <v>12</v>
      </c>
      <c r="AS10" s="11">
        <f>IF(SUM(AA10:AD10)-AE10&gt;0,SUM(AA10:AD10)-AE10,"")</f>
        <v>48.06</v>
      </c>
      <c r="AT10" s="11">
        <f>IF(AH10&gt;0,AH10,"")</f>
        <v>12</v>
      </c>
      <c r="AU10" s="11">
        <f>IF(SUM(AF10:AI10)-AJ10&gt;0,SUM(AF10:AI10)-AJ10,"")</f>
        <v>49.29</v>
      </c>
      <c r="AV10" s="11">
        <f>IF(AQ10="",IF(MAX(AS10,AU10)&gt;0,MAX(AS10,AU10),""),MAX(AS10,AU10)+AQ10)</f>
        <v>94.58</v>
      </c>
      <c r="AW10" s="11">
        <f>IF(AM10&gt;0,AM10,"")</f>
        <v>12.7</v>
      </c>
      <c r="AX10" s="11">
        <f>IF(SUM(AK10:AN10)-AO10&gt;0,SUM(AK10:AN10)-AO10,"")</f>
        <v>48.69</v>
      </c>
      <c r="AY10" s="11">
        <f>IF(SUM(AV10,AX10)&gt;0,SUM(AV10,AX10),"")</f>
        <v>143.26999999999998</v>
      </c>
      <c r="AZ10" s="75">
        <v>17.7</v>
      </c>
      <c r="BA10" s="75">
        <v>9.5</v>
      </c>
      <c r="BB10" s="75">
        <v>3.9</v>
      </c>
      <c r="BC10" s="75">
        <v>15.395</v>
      </c>
      <c r="BD10" s="75">
        <v>0</v>
      </c>
      <c r="BE10" s="75">
        <v>14.7</v>
      </c>
      <c r="BF10" s="75">
        <v>9</v>
      </c>
      <c r="BG10" s="75">
        <v>12.7</v>
      </c>
      <c r="BH10" s="75">
        <v>14.395</v>
      </c>
      <c r="BI10" s="75">
        <v>0</v>
      </c>
      <c r="BJ10" s="75">
        <v>14.5</v>
      </c>
      <c r="BK10" s="75">
        <v>9.1</v>
      </c>
      <c r="BL10" s="75">
        <v>12.7</v>
      </c>
      <c r="BM10" s="75">
        <v>14.265000000000001</v>
      </c>
      <c r="BN10" s="75">
        <v>0</v>
      </c>
      <c r="BO10" s="75">
        <v>14.4</v>
      </c>
      <c r="BP10" s="75">
        <v>8.5</v>
      </c>
      <c r="BQ10" s="75">
        <v>11.4</v>
      </c>
      <c r="BR10" s="75">
        <v>13.994999999999999</v>
      </c>
      <c r="BS10" s="75">
        <v>0</v>
      </c>
      <c r="BT10" s="81"/>
      <c r="BU10" s="14">
        <f>IF(SUM(AZ10:BC10)-BD10&gt;0,SUM(AZ10:BC10)-BD10,"")</f>
        <v>46.494999999999997</v>
      </c>
      <c r="BV10" s="14">
        <f>IF(BG10&gt;0,BG10,"")</f>
        <v>12.7</v>
      </c>
      <c r="BW10" s="14">
        <f>IF(SUM(BE10:BH10)-BI10&gt;0,SUM(BE10:BH10)-BI10,"")</f>
        <v>50.795000000000002</v>
      </c>
      <c r="BX10" s="14">
        <f>IF(BL10&gt;0,BL10,"")</f>
        <v>12.7</v>
      </c>
      <c r="BY10" s="14">
        <f>IF(SUM(BJ10:BM10)-BN10&gt;0,SUM(BJ10:BM10)-BN10,"")</f>
        <v>50.564999999999998</v>
      </c>
      <c r="BZ10" s="14">
        <f>IF(BU10="",IF(MAX(BW10,BY10)&gt;0,MAX(BW10,BY10),""),MAX(BW10,BY10)+BU10)</f>
        <v>97.289999999999992</v>
      </c>
      <c r="CA10" s="14">
        <f>IF(BQ10&gt;0,BQ10,"")</f>
        <v>11.4</v>
      </c>
      <c r="CB10" s="14">
        <f>IF(SUM(BO10:BR10)-BS10&gt;0,SUM(BO10:BR10)-BS10,"")</f>
        <v>48.294999999999995</v>
      </c>
      <c r="CC10" s="14">
        <f>IF(SUM(BZ10,CB10)&gt;0,SUM(BZ10,CB10),"")</f>
        <v>145.58499999999998</v>
      </c>
      <c r="CD10" s="69">
        <v>17.2</v>
      </c>
      <c r="CE10" s="69">
        <v>9.6</v>
      </c>
      <c r="CF10" s="69">
        <v>3.7</v>
      </c>
      <c r="CG10" s="69">
        <v>15.17</v>
      </c>
      <c r="CH10" s="69">
        <v>0</v>
      </c>
      <c r="CI10" s="69">
        <v>11.8</v>
      </c>
      <c r="CJ10" s="69">
        <v>8.3000000000000007</v>
      </c>
      <c r="CK10" s="69">
        <v>11.2</v>
      </c>
      <c r="CL10" s="69">
        <v>12.154999999999999</v>
      </c>
      <c r="CM10" s="69">
        <v>0</v>
      </c>
      <c r="CN10" s="69">
        <v>4.2</v>
      </c>
      <c r="CO10" s="69">
        <v>2.7</v>
      </c>
      <c r="CP10" s="69">
        <v>3.4</v>
      </c>
      <c r="CQ10" s="69">
        <v>4.4950000000000001</v>
      </c>
      <c r="CR10" s="69">
        <v>0</v>
      </c>
      <c r="CS10" s="69">
        <v>12.2</v>
      </c>
      <c r="CT10" s="69">
        <v>8.1999999999999993</v>
      </c>
      <c r="CU10" s="69">
        <v>11.5</v>
      </c>
      <c r="CV10" s="69">
        <v>12.61</v>
      </c>
      <c r="CW10" s="69">
        <v>0</v>
      </c>
      <c r="CX10" s="80"/>
      <c r="CY10" s="11">
        <f>IF(SUM(CD10:CG10)-CH10&gt;0,SUM(CD10:CG10)-CH10,"")</f>
        <v>45.669999999999995</v>
      </c>
      <c r="CZ10" s="11">
        <f>IF(CK10&gt;0,CK10,"")</f>
        <v>11.2</v>
      </c>
      <c r="DA10" s="11">
        <f>IF(SUM(CI10:CL10)-CM10&gt;0,SUM(CI10:CL10)-CM10,"")</f>
        <v>43.454999999999998</v>
      </c>
      <c r="DB10" s="11">
        <f>IF(CP10&gt;0,CP10,"")</f>
        <v>3.4</v>
      </c>
      <c r="DC10" s="11">
        <f>IF(SUM(CN10:CQ10)-CR10&gt;0,SUM(CN10:CQ10)-CR10,"")</f>
        <v>14.795000000000002</v>
      </c>
      <c r="DD10" s="11">
        <f>IF(CY10="",IF(MAX(DA10,DC10)&gt;0,MAX(DA10,DC10),""),MAX(DA10,DC10)+CY10)</f>
        <v>89.125</v>
      </c>
      <c r="DE10" s="11">
        <f>IF(CU10&gt;0,CU10,"")</f>
        <v>11.5</v>
      </c>
      <c r="DF10" s="11">
        <f>IF(SUM(CS10:CV10)-CW10&gt;0,SUM(CS10:CV10)-CW10,"")</f>
        <v>44.51</v>
      </c>
      <c r="DG10" s="11">
        <f>IF(SUM(DD10,DF10)&gt;0,SUM(DD10,DF10),"")</f>
        <v>133.63499999999999</v>
      </c>
      <c r="DH10" s="24" t="str">
        <f>IF(MAX(EB10,EX10,FT10,GP10,HL10,IH10,JD10,JZ10,KV10,LR10,MN10,NJ10)-IF(M10="",0,M10)&gt;0.001,MAX(EB10,EX10,FT10,GP10,HL10,IH10,JD10,JZ10,KV10,LR10,MN10,NJ10)-IF(M10="",0,M10),"")</f>
        <v/>
      </c>
      <c r="DI10" s="24" t="str">
        <f>IF(MAX(EC10,EY10,FU10,GQ10,HM10,II10,JE10,KA10,KW10,LS10,MO10,NK10)-IF(O10="",0,O10)&gt;0.001,MAX(EC10,EY10,FU10,GQ10,HM10,II10,JE10,KA10,KW10,LS10,MO10,NK10)-IF(O10="",0,O10),"")</f>
        <v/>
      </c>
      <c r="DJ10" s="24" t="str">
        <f>IF(MAX(ED10,EZ10,FV10,GR10,HN10,IJ10,JF10,KB10,KX10,LT10,MP10,NL10)-IF(K10="",0,K10)&gt;0.001,MAX(ED10,EZ10,FV10,GR10,HN10,IJ10,JF10,KB10,KX10,LT10,MP10,NL10)-IF(K10="",0,K10),"")</f>
        <v/>
      </c>
      <c r="DK10" s="24" t="str">
        <f>IF(MAX(EF10,FB10,FX10,GT10,HP10,IL10,JH10,KD10,KZ10,LV10,MR10,NN10)-IF(Q10="",0,Q10)&gt;0.001,MAX(EF10,FB10,FX10,GT10,HP10,IL10,JH10,KD10,KZ10,LV10,MR10,NN10)-IF(Q10="",0,Q10),"")</f>
        <v/>
      </c>
      <c r="DL10" s="37"/>
      <c r="DM10" s="37"/>
      <c r="DN10" s="37"/>
      <c r="DO10" s="37"/>
      <c r="DP10" s="37"/>
      <c r="DQ10" s="37"/>
      <c r="DR10" s="37"/>
      <c r="DS10" s="37"/>
      <c r="DT10" s="37"/>
      <c r="DU10" s="37"/>
      <c r="DV10" s="37"/>
      <c r="DW10" s="37"/>
      <c r="DX10" s="37"/>
      <c r="DY10" s="37"/>
      <c r="DZ10" s="37"/>
      <c r="EA10" s="11" t="str">
        <f>IF(DS10&gt;0,DS10,"")</f>
        <v/>
      </c>
      <c r="EB10" s="11" t="str">
        <f>IF(SUM(DL10:DO10)-DP10&gt;0,SUM(DL10:DO10)-DP10,"")</f>
        <v/>
      </c>
      <c r="EC10" s="11" t="str">
        <f>IF(SUM(DQ10:DT10)-DU10&gt;0,SUM(DQ10:DT10)-DU10,"")</f>
        <v/>
      </c>
      <c r="ED10" s="11" t="str">
        <f>IF(SUM(EB10:EC10)&gt;0,SUM(EB10:EC10),"")</f>
        <v/>
      </c>
      <c r="EE10" s="11" t="str">
        <f>IF(DX10&gt;0,DX10,"")</f>
        <v/>
      </c>
      <c r="EF10" s="11" t="str">
        <f>IF(SUM(DV10:DY10)-DZ10&gt;0,SUM(DV10:DY10)-DZ10,"")</f>
        <v/>
      </c>
      <c r="EG10" s="11" t="str">
        <f>IF(SUM(ED10,EF10)&gt;0,SUM(ED10,EF10),"")</f>
        <v/>
      </c>
      <c r="EH10" s="38"/>
      <c r="EI10" s="38"/>
      <c r="EJ10" s="38"/>
      <c r="EK10" s="38"/>
      <c r="EL10" s="38"/>
      <c r="EM10" s="38"/>
      <c r="EN10" s="38"/>
      <c r="EO10" s="38"/>
      <c r="EP10" s="38"/>
      <c r="EQ10" s="38"/>
      <c r="ER10" s="38"/>
      <c r="ES10" s="38"/>
      <c r="ET10" s="38"/>
      <c r="EU10" s="38"/>
      <c r="EV10" s="38"/>
      <c r="EW10" s="14" t="str">
        <f>IF(EO10&gt;0,EO10,"")</f>
        <v/>
      </c>
      <c r="EX10" s="14" t="str">
        <f>IF(SUM(EH10:EK10)-EL10&gt;0,SUM(EH10:EK10)-EL10,"")</f>
        <v/>
      </c>
      <c r="EY10" s="14" t="str">
        <f>IF(SUM(EM10:EP10)-EQ10&gt;0,SUM(EM10:EP10)-EQ10,"")</f>
        <v/>
      </c>
      <c r="EZ10" s="14" t="str">
        <f>IF(SUM(EX10:EY10)&gt;0,SUM(EX10:EY10),"")</f>
        <v/>
      </c>
      <c r="FA10" s="14" t="str">
        <f>IF(ET10&gt;0,ET10,"")</f>
        <v/>
      </c>
      <c r="FB10" s="14" t="str">
        <f>IF(SUM(ER10:EU10)-EV10&gt;0,SUM(ER10:EU10)-EV10,"")</f>
        <v/>
      </c>
      <c r="FC10" s="14" t="str">
        <f>IF(SUM(EZ10,FB10)&gt;0,SUM(EZ10,FB10),"")</f>
        <v/>
      </c>
      <c r="FD10" s="37"/>
      <c r="FE10" s="37"/>
      <c r="FF10" s="37"/>
      <c r="FG10" s="37"/>
      <c r="FH10" s="37"/>
      <c r="FI10" s="37"/>
      <c r="FJ10" s="37"/>
      <c r="FK10" s="37"/>
      <c r="FL10" s="37"/>
      <c r="FM10" s="37"/>
      <c r="FN10" s="37"/>
      <c r="FO10" s="37"/>
      <c r="FP10" s="37"/>
      <c r="FQ10" s="37"/>
      <c r="FR10" s="37"/>
      <c r="FS10" s="11" t="str">
        <f>IF(FK10&gt;0,FK10,"")</f>
        <v/>
      </c>
      <c r="FT10" s="11" t="str">
        <f>IF(SUM(FD10:FG10)-FH10&gt;0,SUM(FD10:FG10)-FH10,"")</f>
        <v/>
      </c>
      <c r="FU10" s="11" t="str">
        <f>IF(SUM(FI10:FL10)-FM10&gt;0,SUM(FI10:FL10)-FM10,"")</f>
        <v/>
      </c>
      <c r="FV10" s="11" t="str">
        <f>IF(SUM(FT10:FU10)&gt;0,SUM(FT10:FU10),"")</f>
        <v/>
      </c>
      <c r="FW10" s="11" t="str">
        <f>IF(FP10&gt;0,FP10,"")</f>
        <v/>
      </c>
      <c r="FX10" s="11" t="str">
        <f>IF(SUM(FN10:FQ10)-FR10&gt;0,SUM(FN10:FQ10)-FR10,"")</f>
        <v/>
      </c>
      <c r="FY10" s="11" t="str">
        <f>IF(SUM(FV10,FX10)&gt;0,SUM(FV10,FX10),"")</f>
        <v/>
      </c>
      <c r="FZ10" s="38"/>
      <c r="GA10" s="38"/>
      <c r="GB10" s="38"/>
      <c r="GC10" s="38"/>
      <c r="GD10" s="38"/>
      <c r="GE10" s="38"/>
      <c r="GF10" s="38"/>
      <c r="GG10" s="38"/>
      <c r="GH10" s="38"/>
      <c r="GI10" s="38"/>
      <c r="GJ10" s="38"/>
      <c r="GK10" s="38"/>
      <c r="GL10" s="38"/>
      <c r="GM10" s="38"/>
      <c r="GN10" s="38"/>
      <c r="GO10" s="14" t="str">
        <f>IF(GG10&gt;0,GG10,"")</f>
        <v/>
      </c>
      <c r="GP10" s="14" t="str">
        <f>IF(SUM(FZ10:GC10)-GD10&gt;0,SUM(FZ10:GC10)-GD10,"")</f>
        <v/>
      </c>
      <c r="GQ10" s="14" t="str">
        <f>IF(SUM(GE10:GH10)-GI10&gt;0,SUM(GE10:GH10)-GI10,"")</f>
        <v/>
      </c>
      <c r="GR10" s="14" t="str">
        <f>IF(SUM(GP10:GQ10)&gt;0,SUM(GP10:GQ10),"")</f>
        <v/>
      </c>
      <c r="GS10" s="14" t="str">
        <f>IF(GL10&gt;0,GL10,"")</f>
        <v/>
      </c>
      <c r="GT10" s="14" t="str">
        <f>IF(SUM(GJ10:GM10)-GN10&gt;0,SUM(GJ10:GM10)-GN10,"")</f>
        <v/>
      </c>
      <c r="GU10" s="14" t="str">
        <f>IF(SUM(GR10,GT10)&gt;0,SUM(GR10,GT10),"")</f>
        <v/>
      </c>
      <c r="GV10" s="37"/>
      <c r="GW10" s="37"/>
      <c r="GX10" s="37"/>
      <c r="GY10" s="37"/>
      <c r="GZ10" s="37"/>
      <c r="HA10" s="37"/>
      <c r="HB10" s="37"/>
      <c r="HC10" s="37"/>
      <c r="HD10" s="37"/>
      <c r="HE10" s="37"/>
      <c r="HF10" s="37"/>
      <c r="HG10" s="37"/>
      <c r="HH10" s="37"/>
      <c r="HI10" s="37"/>
      <c r="HJ10" s="37"/>
      <c r="HK10" s="11" t="str">
        <f>IF(HC10&gt;0,HC10,"")</f>
        <v/>
      </c>
      <c r="HL10" s="11" t="str">
        <f>IF(SUM(GV10:GY10)-GZ10&gt;0,SUM(GV10:GY10)-GZ10,"")</f>
        <v/>
      </c>
      <c r="HM10" s="11" t="str">
        <f>IF(SUM(HA10:HD10)-HE10&gt;0,SUM(HA10:HD10)-HE10,"")</f>
        <v/>
      </c>
      <c r="HN10" s="11" t="str">
        <f>IF(SUM(HL10:HM10)&gt;0,SUM(HL10:HM10),"")</f>
        <v/>
      </c>
      <c r="HO10" s="11" t="str">
        <f>IF(HH10&gt;0,HH10,"")</f>
        <v/>
      </c>
      <c r="HP10" s="11" t="str">
        <f>IF(SUM(HF10:HI10)-HJ10&gt;0,SUM(HF10:HI10)-HJ10,"")</f>
        <v/>
      </c>
      <c r="HQ10" s="11" t="str">
        <f>IF(SUM(HN10,HP10)&gt;0,SUM(HN10,HP10),"")</f>
        <v/>
      </c>
      <c r="HR10" s="38"/>
      <c r="HS10" s="38"/>
      <c r="HT10" s="38"/>
      <c r="HU10" s="38"/>
      <c r="HV10" s="38"/>
      <c r="HW10" s="38"/>
      <c r="HX10" s="38"/>
      <c r="HY10" s="38"/>
      <c r="HZ10" s="38"/>
      <c r="IA10" s="38"/>
      <c r="IB10" s="38"/>
      <c r="IC10" s="38"/>
      <c r="ID10" s="38"/>
      <c r="IE10" s="38"/>
      <c r="IF10" s="38"/>
      <c r="IG10" s="14" t="str">
        <f>IF(HY10&gt;0,HY10,"")</f>
        <v/>
      </c>
      <c r="IH10" s="14" t="str">
        <f>IF(SUM(HR10:HU10)-HV10&gt;0,SUM(HR10:HU10)-HV10,"")</f>
        <v/>
      </c>
      <c r="II10" s="14" t="str">
        <f>IF(SUM(HW10:HZ10)-IA10&gt;0,SUM(HW10:HZ10)-IA10,"")</f>
        <v/>
      </c>
      <c r="IJ10" s="14" t="str">
        <f>IF(SUM(IH10:II10)&gt;0,SUM(IH10:II10),"")</f>
        <v/>
      </c>
      <c r="IK10" s="14" t="str">
        <f>IF(ID10&gt;0,ID10,"")</f>
        <v/>
      </c>
      <c r="IL10" s="14" t="str">
        <f>IF(SUM(IB10:IE10)-IF10&gt;0,SUM(IB10:IE10)-IF10,"")</f>
        <v/>
      </c>
      <c r="IM10" s="14" t="str">
        <f>IF(SUM(IJ10,IL10)&gt;0,SUM(IJ10,IL10),"")</f>
        <v/>
      </c>
      <c r="IN10" s="37"/>
      <c r="IO10" s="37"/>
      <c r="IP10" s="37"/>
      <c r="IQ10" s="37"/>
      <c r="IR10" s="37"/>
      <c r="IS10" s="37"/>
      <c r="IT10" s="37"/>
      <c r="IU10" s="37"/>
      <c r="IV10" s="37"/>
      <c r="IW10" s="37"/>
      <c r="IX10" s="37"/>
      <c r="IY10" s="37"/>
      <c r="IZ10" s="37"/>
      <c r="JA10" s="37"/>
      <c r="JB10" s="37"/>
      <c r="JC10" s="11" t="str">
        <f>IF(IU10&gt;0,IU10,"")</f>
        <v/>
      </c>
      <c r="JD10" s="11" t="str">
        <f>IF(SUM(IN10:IQ10)-IR10&gt;0,SUM(IN10:IQ10)-IR10,"")</f>
        <v/>
      </c>
      <c r="JE10" s="11" t="str">
        <f>IF(SUM(IS10:IV10)-IW10&gt;0,SUM(IS10:IV10)-IW10,"")</f>
        <v/>
      </c>
      <c r="JF10" s="11" t="str">
        <f>IF(SUM(JD10:JE10)&gt;0,SUM(JD10:JE10),"")</f>
        <v/>
      </c>
      <c r="JG10" s="11" t="str">
        <f>IF(IZ10&gt;0,IZ10,"")</f>
        <v/>
      </c>
      <c r="JH10" s="11" t="str">
        <f>IF(SUM(IX10:JA10)-JB10&gt;0,SUM(IX10:JA10)-JB10,"")</f>
        <v/>
      </c>
      <c r="JI10" s="11" t="str">
        <f>IF(SUM(JF10,JH10)&gt;0,SUM(JF10,JH10),"")</f>
        <v/>
      </c>
      <c r="JJ10" s="38"/>
      <c r="JK10" s="38"/>
      <c r="JL10" s="38"/>
      <c r="JM10" s="38"/>
      <c r="JN10" s="38"/>
      <c r="JO10" s="38"/>
      <c r="JP10" s="38"/>
      <c r="JQ10" s="38"/>
      <c r="JR10" s="38"/>
      <c r="JS10" s="38"/>
      <c r="JT10" s="38"/>
      <c r="JU10" s="38"/>
      <c r="JV10" s="38"/>
      <c r="JW10" s="38"/>
      <c r="JX10" s="38"/>
      <c r="JY10" s="14" t="str">
        <f>IF(JQ10&gt;0,JQ10,"")</f>
        <v/>
      </c>
      <c r="JZ10" s="14" t="str">
        <f>IF(SUM(JJ10:JM10)-JN10&gt;0,SUM(JJ10:JM10)-JN10,"")</f>
        <v/>
      </c>
      <c r="KA10" s="14" t="str">
        <f>IF(SUM(JO10:JR10)-JS10&gt;0,SUM(JO10:JR10)-JS10,"")</f>
        <v/>
      </c>
      <c r="KB10" s="14" t="str">
        <f>IF(SUM(JZ10:KA10)&gt;0,SUM(JZ10:KA10),"")</f>
        <v/>
      </c>
      <c r="KC10" s="14" t="str">
        <f>IF(JV10&gt;0,JV10,"")</f>
        <v/>
      </c>
      <c r="KD10" s="14" t="str">
        <f>IF(SUM(JT10:JW10)-JX10&gt;0,SUM(JT10:JW10)-JX10,"")</f>
        <v/>
      </c>
      <c r="KE10" s="14" t="str">
        <f>IF(SUM(KB10,KD10)&gt;0,SUM(KB10,KD10),"")</f>
        <v/>
      </c>
      <c r="KF10" s="37"/>
      <c r="KG10" s="37"/>
      <c r="KH10" s="37"/>
      <c r="KI10" s="37"/>
      <c r="KJ10" s="37"/>
      <c r="KK10" s="37"/>
      <c r="KL10" s="37"/>
      <c r="KM10" s="37"/>
      <c r="KN10" s="37"/>
      <c r="KO10" s="37"/>
      <c r="KP10" s="37"/>
      <c r="KQ10" s="37"/>
      <c r="KR10" s="37"/>
      <c r="KS10" s="37"/>
      <c r="KT10" s="37"/>
      <c r="KU10" s="11" t="str">
        <f>IF(KM10&gt;0,KM10,"")</f>
        <v/>
      </c>
      <c r="KV10" s="11" t="str">
        <f>IF(SUM(KF10:KI10)-KJ10&gt;0,SUM(KF10:KI10)-KJ10,"")</f>
        <v/>
      </c>
      <c r="KW10" s="11" t="str">
        <f>IF(SUM(KK10:KN10)-KO10&gt;0,SUM(KK10:KN10)-KO10,"")</f>
        <v/>
      </c>
      <c r="KX10" s="11" t="str">
        <f>IF(SUM(KV10:KW10)&gt;0,SUM(KV10:KW10),"")</f>
        <v/>
      </c>
      <c r="KY10" s="11" t="str">
        <f>IF(KR10&gt;0,KR10,"")</f>
        <v/>
      </c>
      <c r="KZ10" s="11" t="str">
        <f>IF(SUM(KP10:KS10)-KT10&gt;0,SUM(KP10:KS10)-KT10,"")</f>
        <v/>
      </c>
      <c r="LA10" s="11" t="str">
        <f>IF(SUM(KX10,KZ10)&gt;0,SUM(KX10,KZ10),"")</f>
        <v/>
      </c>
      <c r="LB10" s="38"/>
      <c r="LC10" s="38"/>
      <c r="LD10" s="38"/>
      <c r="LE10" s="38"/>
      <c r="LF10" s="38"/>
      <c r="LG10" s="38"/>
      <c r="LH10" s="38"/>
      <c r="LI10" s="38"/>
      <c r="LJ10" s="38"/>
      <c r="LK10" s="38"/>
      <c r="LL10" s="38"/>
      <c r="LM10" s="38"/>
      <c r="LN10" s="38"/>
      <c r="LO10" s="38"/>
      <c r="LP10" s="38"/>
      <c r="LQ10" s="14" t="str">
        <f>IF(LI10&gt;0,LI10,"")</f>
        <v/>
      </c>
      <c r="LR10" s="14" t="str">
        <f>IF(SUM(LB10:LE10)-LF10&gt;0,SUM(LB10:LE10)-LF10,"")</f>
        <v/>
      </c>
      <c r="LS10" s="14" t="str">
        <f>IF(SUM(LG10:LJ10)-LK10&gt;0,SUM(LG10:LJ10)-LK10,"")</f>
        <v/>
      </c>
      <c r="LT10" s="14" t="str">
        <f>IF(SUM(LR10:LS10)&gt;0,SUM(LR10:LS10),"")</f>
        <v/>
      </c>
      <c r="LU10" s="14" t="str">
        <f>IF(LN10&gt;0,LN10,"")</f>
        <v/>
      </c>
      <c r="LV10" s="14" t="str">
        <f>IF(SUM(LL10:LO10)-LP10&gt;0,SUM(LL10:LO10)-LP10,"")</f>
        <v/>
      </c>
      <c r="LW10" s="14" t="str">
        <f>IF(SUM(LT10,LV10)&gt;0,SUM(LT10,LV10),"")</f>
        <v/>
      </c>
      <c r="LX10" s="37"/>
      <c r="LY10" s="37"/>
      <c r="LZ10" s="37"/>
      <c r="MA10" s="37"/>
      <c r="MB10" s="37"/>
      <c r="MC10" s="37"/>
      <c r="MD10" s="37"/>
      <c r="ME10" s="37"/>
      <c r="MF10" s="37"/>
      <c r="MG10" s="37"/>
      <c r="MH10" s="37"/>
      <c r="MI10" s="37"/>
      <c r="MJ10" s="37"/>
      <c r="MK10" s="37"/>
      <c r="ML10" s="37"/>
      <c r="MM10" s="11" t="str">
        <f>IF(ME10&gt;0,ME10,"")</f>
        <v/>
      </c>
      <c r="MN10" s="11" t="str">
        <f>IF(SUM(LX10:MA10)-MB10&gt;0,SUM(LX10:MA10)-MB10,"")</f>
        <v/>
      </c>
      <c r="MO10" s="11" t="str">
        <f>IF(SUM(MC10:MF10)-MG10&gt;0,SUM(MC10:MF10)-MG10,"")</f>
        <v/>
      </c>
      <c r="MP10" s="11" t="str">
        <f>IF(SUM(MN10:MO10)&gt;0,SUM(MN10:MO10),"")</f>
        <v/>
      </c>
      <c r="MQ10" s="11" t="str">
        <f>IF(MJ10&gt;0,MJ10,"")</f>
        <v/>
      </c>
      <c r="MR10" s="11" t="str">
        <f>IF(SUM(MH10:MK10)-ML10&gt;0,SUM(MH10:MK10)-ML10,"")</f>
        <v/>
      </c>
      <c r="MS10" s="11" t="str">
        <f>IF(SUM(MP10,MR10)&gt;0,SUM(MP10,MR10),"")</f>
        <v/>
      </c>
      <c r="MT10" s="38"/>
      <c r="MU10" s="38"/>
      <c r="MV10" s="38"/>
      <c r="MW10" s="38"/>
      <c r="MX10" s="38"/>
      <c r="MY10" s="38"/>
      <c r="MZ10" s="38"/>
      <c r="NA10" s="38"/>
      <c r="NB10" s="38"/>
      <c r="NC10" s="38"/>
      <c r="ND10" s="38"/>
      <c r="NE10" s="38"/>
      <c r="NF10" s="38"/>
      <c r="NG10" s="38"/>
      <c r="NH10" s="38"/>
      <c r="NI10" s="14" t="str">
        <f>IF(NA10&gt;0,NA10,"")</f>
        <v/>
      </c>
      <c r="NJ10" s="14" t="str">
        <f>IF(SUM(MT10:MW10)-MX10&gt;0,SUM(MT10:MW10)-MX10,"")</f>
        <v/>
      </c>
      <c r="NK10" s="14" t="str">
        <f>IF(SUM(MY10:NB10)-NC10&gt;0,SUM(MY10:NB10)-NC10,"")</f>
        <v/>
      </c>
      <c r="NL10" s="14" t="str">
        <f>IF(SUM(NJ10:NK10)&gt;0,SUM(NJ10:NK10),"")</f>
        <v/>
      </c>
      <c r="NM10" s="14" t="str">
        <f>IF(NF10&gt;0,NF10,"")</f>
        <v/>
      </c>
      <c r="NN10" s="14" t="str">
        <f>IF(SUM(ND10:NG10)-NH10&gt;0,SUM(ND10:NG10)-NH10,"")</f>
        <v/>
      </c>
      <c r="NO10" s="14" t="str">
        <f>IF(SUM(NL10,NN10)&gt;0,SUM(NL10,NN10),"")</f>
        <v/>
      </c>
      <c r="NP10" s="69">
        <f>IF($CX10="P",CD10,(CD10+AZ10)/2)</f>
        <v>17.45</v>
      </c>
      <c r="NQ10" s="69">
        <f>IF($CX10="P",CE10,(CE10+BA10)/2)</f>
        <v>9.5500000000000007</v>
      </c>
      <c r="NR10" s="69">
        <f>IF($CX10="P",CF10,(CF10+BB10)/2)</f>
        <v>3.8</v>
      </c>
      <c r="NS10" s="69">
        <f>IF($CX10="P",CG10,(CG10+BC10)/2)</f>
        <v>15.282499999999999</v>
      </c>
      <c r="NT10" s="69">
        <f>IF($CX10="P",CH10,(CH10+BD10)/2)</f>
        <v>0</v>
      </c>
      <c r="NU10" s="69">
        <f>IF($CX10="P",CI10,(CI10+BE10)/2)</f>
        <v>13.25</v>
      </c>
      <c r="NV10" s="69">
        <f>IF($CX10="P",CJ10,(CJ10+BF10)/2)</f>
        <v>8.65</v>
      </c>
      <c r="NW10" s="69">
        <f>IF($CX10="P",CK10,(CK10+BG10)/2)</f>
        <v>11.95</v>
      </c>
      <c r="NX10" s="69">
        <f>IF($CX10="P",CL10,(CL10+BH10)/2)</f>
        <v>13.274999999999999</v>
      </c>
      <c r="NY10" s="69">
        <f>IF($CX10="P",CM10,(CM10+BI10)/2)</f>
        <v>0</v>
      </c>
      <c r="NZ10" s="69">
        <f>IF($CX10="P",CN10,(CN10+BJ10)/2)</f>
        <v>9.35</v>
      </c>
      <c r="OA10" s="69">
        <f>IF($CX10="P",CO10,(CO10+BK10)/2)</f>
        <v>5.9</v>
      </c>
      <c r="OB10" s="69">
        <f>IF($CX10="P",CP10,(CP10+BL10)/2)</f>
        <v>8.0499999999999989</v>
      </c>
      <c r="OC10" s="69">
        <f>IF($CX10="P",CQ10,(CQ10+BM10)/2)</f>
        <v>9.3800000000000008</v>
      </c>
      <c r="OD10" s="69">
        <f>IF($CX10="P",CR10,(CR10+BN10)/2)</f>
        <v>0</v>
      </c>
      <c r="OE10" s="69">
        <f>IF($CX10="P",CS10,(CS10+BO10)/2)</f>
        <v>13.3</v>
      </c>
      <c r="OF10" s="69">
        <f>IF($CX10="P",CT10,(CT10+BP10)/2)</f>
        <v>8.35</v>
      </c>
      <c r="OG10" s="69">
        <f>IF($CX10="P",CU10,(CU10+BQ10)/2)</f>
        <v>11.45</v>
      </c>
      <c r="OH10" s="69">
        <f>IF($CX10="P",CV10,(CV10+BR10)/2)</f>
        <v>13.302499999999998</v>
      </c>
      <c r="OI10" s="69">
        <f>IF($CX10="P",CW10,(CW10+BS10)/2)</f>
        <v>0</v>
      </c>
      <c r="OJ10" s="80" t="s">
        <v>74</v>
      </c>
      <c r="OK10" s="11">
        <f>IF(SUM(NP10:NS10)-NT10&gt;0,SUM(NP10:NS10)-NT10,"")</f>
        <v>46.082499999999996</v>
      </c>
      <c r="OL10" s="11">
        <f>IF(NW10&gt;0,NW10,"")</f>
        <v>11.95</v>
      </c>
      <c r="OM10" s="11">
        <f>IF(SUM(NU10:NX10)-NY10&gt;0,SUM(NU10:NX10)-NY10,"")</f>
        <v>47.124999999999993</v>
      </c>
      <c r="ON10" s="11">
        <f>IF(OB10&gt;0,OB10,"")</f>
        <v>8.0499999999999989</v>
      </c>
      <c r="OO10" s="11">
        <f>IF(SUM(NZ10:OC10)-OD10&gt;0,SUM(NZ10:OC10)-OD10,"")</f>
        <v>32.68</v>
      </c>
      <c r="OP10" s="11">
        <f>IF(OR(OK10&lt;&gt;"",OM10&lt;&gt;"",OO10&lt;&gt;""),OK10+MAX(OM10,OO10),"")</f>
        <v>93.207499999999982</v>
      </c>
      <c r="OQ10" s="11">
        <f>IF(OG10&gt;0,OG10,"")</f>
        <v>11.45</v>
      </c>
      <c r="OR10" s="11">
        <f t="shared" si="0"/>
        <v>46.402499999999989</v>
      </c>
      <c r="OS10" s="11">
        <f t="shared" si="1"/>
        <v>139.60999999999996</v>
      </c>
    </row>
    <row r="11" spans="1:409" x14ac:dyDescent="0.2">
      <c r="A11" s="5" t="str" cm="1">
        <f t="array" ref="A11">IF(AND(G11&lt;&gt;"",H11&lt;&gt;""),SUMPRODUCT((G$4:G$15&lt;&gt;"")*(H$4:H$15&lt;&gt;"")*(E$4:E$15&gt;E11))+1,IF(H11&lt;&gt;"",SUMPRODUCT((I$4:I$15="No DD")*(E$4:E$15&gt;E11))+1+SUMPRODUCT((G$4:G$15&lt;&gt;"")*(H$4:H$15&lt;&gt;"")),""))</f>
        <v/>
      </c>
      <c r="B11" s="127" t="s">
        <v>96</v>
      </c>
      <c r="C11" s="5" t="s">
        <v>6</v>
      </c>
      <c r="D11" s="5">
        <v>2001</v>
      </c>
      <c r="E11" s="15">
        <f>SUM(K11:S11)</f>
        <v>241.26000000000002</v>
      </c>
      <c r="F11" s="3" t="str">
        <f>IF(G11&lt;&gt;"","P","")</f>
        <v>P</v>
      </c>
      <c r="G11" s="125" t="str">
        <f>IF(OR(AND(AR11&gt;=AY$20,AR11&lt;&gt;"",AP11=""),AND(AT11&gt;=AY$20,AT11&lt;&gt;"",AP11=""),AND(AW11&gt;=AY$20,AW11&lt;&gt;"",AP11=""),AND(BV11&gt;=CC$20,BV11&lt;&gt;"",BT11=""),AND(BX11&gt;=CC$20,BX11&lt;&gt;"",BT11=""),AND(CA11&gt;=CC$20,CA11&lt;&gt;"",BT11=""),AND(CZ11&gt;=DG$20,CZ11&lt;&gt;"",CX11=""),AND(DB11&gt;=DG$20,DB11&lt;&gt;"",CX11=""),AND(DE11&gt;=DG$20,DE11&lt;&gt;"",CX11=""),AND(EA11&gt;=EG$20,EA11&lt;&gt;""),AND(EE11&gt;=EG$20,EE11&lt;&gt;""),AND(EW11&gt;=FC$20,EW11&lt;&gt;""),AND(FA11&gt;=FC$20,FA11&lt;&gt;""),AND(FS11&gt;=FY$20,FS11&lt;&gt;""),AND(FW11&gt;=FY$20,FW11&lt;&gt;""),AND(GO11&gt;=GU$20,GO11&lt;&gt;""),AND(GS11&gt;=GU$20,GS11&lt;&gt;""),AND(HK11&gt;=HQ$20,HK11&lt;&gt;""),AND(HO11&gt;=HQ$20,HO11&lt;&gt;""),AND(IG11&gt;=IM$20,IG11&lt;&gt;""),AND(IK11&gt;=IM$20,IK11&lt;&gt;""),AND(JC11&gt;=JI$20,JC11&lt;&gt;""),AND(JG11&gt;=JI$20,JG11&lt;&gt;""),AND(JY11&gt;=KE$20,JY11&lt;&gt;""),AND(KC11&gt;=KE$20,KC11&lt;&gt;""),AND(KU11&gt;=LA$20,KU11&lt;&gt;""),AND(KY11&gt;=LA$20,KY11&lt;&gt;""),AND(LQ11&gt;=LW$20,LQ11&lt;&gt;""),AND(LU11&gt;=LW$20,LU11&lt;&gt;""),AND(MM11&gt;=MS$20,MM11&lt;&gt;""),AND(MQ11&gt;=MS$20,MQ11&lt;&gt;""),AND(NI11&gt;=NO$20,NI11&lt;&gt;""),AND(NM11&gt;=NO$20,NM11&lt;&gt;"")),"Merit",IF(OR(AND(AR11&gt;=AY$19,AR11&lt;&gt;"",AP11=""),AND(AT11&gt;=AY$19,AT11&lt;&gt;"",AP11=""),AND(AW11&gt;=AY$19,AW11&lt;&gt;"",AP11=""),AND(BV11&gt;=CC$19,BV11&lt;&gt;"",BT11=""),AND(BX11&gt;=CC$19,BX11&lt;&gt;"",BT11=""),AND(CA11&gt;=CC$19,CA11&lt;&gt;"",BT11=""),AND(CZ11&gt;=DG$19,CZ11&lt;&gt;"",CX11=""),AND(DB11&gt;=DG$19,DB11&lt;&gt;"",CX11=""),AND(DE11&gt;=DG$19,DE11&lt;&gt;"",CX11=""),AND(EA11&gt;=EG$19,EA11&lt;&gt;""),AND(EE11&gt;=EG$19,EE11&lt;&gt;""),AND(EW11&gt;=FC$19,EW11&lt;&gt;""),AND(FA11&gt;=FC$19,FA11&lt;&gt;""),AND(FS11&gt;=FY$19,FS11&lt;&gt;""),AND(FW11&gt;=FY$19,FW11&lt;&gt;""),AND(GO11&gt;=GU$19,GO11&lt;&gt;""),AND(GS11&gt;=GU$19,GS11&lt;&gt;""),AND(HK11&gt;=HQ$19,HK11&lt;&gt;""),AND(HO11&gt;=HQ$19,HO11&lt;&gt;""),AND(IG11&gt;=IM$19,IG11&lt;&gt;""),AND(IK11&gt;=IM$19,IK11&lt;&gt;""),AND(JC11&gt;=JI$19,JC11&lt;&gt;""),AND(JG11&gt;=JI$19,JG11&lt;&gt;""),AND(JY11&gt;=KE$19,JY11&lt;&gt;""),AND(KC11&gt;=KE$19,KC11&lt;&gt;""),AND(KU11&gt;=LA$19,KU11&lt;&gt;""),AND(KY11&gt;=LA$19,KY11&lt;&gt;""),AND(LQ11&gt;=LW$19,LQ11&lt;&gt;""),AND(LU11&gt;=LW$19,LU11&lt;&gt;""),AND(MM11&gt;=MS$19,MM11&lt;&gt;""),AND(MQ11&gt;=MS$19,MQ11&lt;&gt;""),AND(NI11&gt;=NO$19,NI11&lt;&gt;""),AND(NM11&gt;=NO$19,NM11&lt;&gt;"")),"Excellence",IF(OR(AND(AR11&gt;=AY$18,AR11&lt;&gt;"",AP11=""),AND(AT11&gt;=AY$18,AT11&lt;&gt;"",AP11=""),AND(AW11&gt;=AY$18,AW11&lt;&gt;"",AP11=""),AND(BV11&gt;=CC$18,BV11&lt;&gt;"",BT11=""),AND(BX11&gt;=CC$18,BX11&lt;&gt;"",BT11=""),AND(CA11&gt;=CC$18,CA11&lt;&gt;"",BT11=""),AND(CZ11&gt;=DG$18,CZ11&lt;&gt;"",CX11=""),AND(DB11&gt;=DG$18,DB11&lt;&gt;"",CX11=""),AND(DE11&gt;=DG$18,DE11&lt;&gt;"",CX11=""),AND(EA11&gt;=EG$18,EA11&lt;&gt;""),AND(EE11&gt;=EG$18,EE11&lt;&gt;""),AND(EW11&gt;=FC$18,EW11&lt;&gt;""),AND(FA11&gt;=FC$18,FA11&lt;&gt;""),AND(FS11&gt;=FY$18,FS11&lt;&gt;""),AND(FW11&gt;=FY$18,FW11&lt;&gt;""),AND(GO11&gt;=GU$18,GO11&lt;&gt;""),AND(GS11&gt;=GU$18,GS11&lt;&gt;""),AND(HK11&gt;=HQ$18,HK11&lt;&gt;""),AND(HO11&gt;=HQ$18,HO11&lt;&gt;""),AND(IG11&gt;=IM$18,IG11&lt;&gt;""),AND(IK11&gt;=IM$18,IK11&lt;&gt;""),AND(JC11&gt;=JI$18,JC11&lt;&gt;""),AND(JG11&gt;=JI$18,JG11&lt;&gt;""),AND(JY11&gt;=KE$18,JY11&lt;&gt;""),AND(KC11&gt;=KE$18,KC11&lt;&gt;""),AND(KU11&gt;=LA$18,KU11&lt;&gt;""),AND(KY11&gt;=LA$18,KY11&lt;&gt;""),AND(LQ11&gt;=LW$18,LQ11&lt;&gt;""),AND(LU11&gt;=LW$18,LU11&lt;&gt;""),AND(MM11&gt;=MS$18,MM11&lt;&gt;""),AND(MQ11&gt;=MS$18,MQ11&lt;&gt;""),AND(NI11&gt;=NO$18,NI11&lt;&gt;""),AND(NM11&gt;=NO$18,NM11&lt;&gt;"")),"Worlds Team",IF(OR(AND(AR11&gt;=AY$17,AR11&lt;&gt;"",AP11=""),AND(AT11&gt;=AY$17,AT11&lt;&gt;"",AP11=""),AND(AW11&gt;=AY$17,AW11&lt;&gt;"",AP11=""),AND(BV11&gt;=CC$17,BV11&lt;&gt;"",BT11=""),AND(BX11&gt;=CC$17,BX11&lt;&gt;"",BT11=""),AND(CA11&gt;=CC$17,CA11&lt;&gt;"",BT11=""),AND(CZ11&gt;=DG$17,CZ11&lt;&gt;"",CX11=""),AND(DB11&gt;=DG$17,DB11&lt;&gt;"",CX11=""),AND(DE11&gt;=DG$17,DE11&lt;&gt;"",CX11=""),AND(EA11&gt;=EG$17,EA11&lt;&gt;""),AND(EE11&gt;=EG$17,EE11&lt;&gt;""),AND(EW11&gt;=FC$17,EW11&lt;&gt;""),AND(FA11&gt;=FC$17,FA11&lt;&gt;""),AND(FS11&gt;=FY$17,FS11&lt;&gt;""),AND(FW11&gt;=FY$17,FW11&lt;&gt;""),AND(GO11&gt;=GU$17,GO11&lt;&gt;""),AND(GS11&gt;=GU$17,GS11&lt;&gt;""),AND(HK11&gt;=HQ$17,HK11&lt;&gt;""),AND(HO11&gt;=HQ$17,HO11&lt;&gt;""),AND(IG11&gt;=IM$17,IG11&lt;&gt;""),AND(IK11&gt;=IM$17,IK11&lt;&gt;""),AND(JC11&gt;=JI$17,JC11&lt;&gt;""),AND(JG11&gt;=JI$17,JG11&lt;&gt;""),AND(JY11&gt;=KE$17,JY11&lt;&gt;""),AND(KC11&gt;=KE$17,KC11&lt;&gt;""),AND(KU11&gt;=LA$17,KU11&lt;&gt;""),AND(KY11&gt;=LA$17,KY11&lt;&gt;""),AND(LQ11&gt;=LW$17,LQ11&lt;&gt;""),AND(LU11&gt;=LW$17,LU11&lt;&gt;""),AND(MM11&gt;=MS$17,MM11&lt;&gt;""),AND(MQ11&gt;=MS$17,MQ11&lt;&gt;""),AND(NI11&gt;=NO$17,NI11&lt;&gt;""),AND(NM11&gt;=NO$17,NM11&lt;&gt;"")),"National Team",""))))</f>
        <v>Merit</v>
      </c>
      <c r="H11" s="125" t="str">
        <f>IF(OR(AND(AS11&gt;=AY$24,AS11&lt;&gt;"",AP11=""),AND(AU11&gt;=AY$24,AU11&lt;&gt;"",AP11=""),AND(AX11&gt;=AY$24,AX11&lt;&gt;"",AP11=""),AND(BW11&gt;=CC$24,BW11&lt;&gt;"",BT11=""),AND(BY11&gt;=CC$24,BY11&lt;&gt;"",BT11=""),AND(CB11&gt;=CC$24,CB11&lt;&gt;"",BT11=""),AND(DA11&gt;=DG$24,DA11&lt;&gt;"",CX11=""),AND(DC11&gt;=DG$24,DC11&lt;&gt;"",CX11=""),AND(DF11&gt;=DG$24,DF11&lt;&gt;"",CX11=""),AND(EC11&gt;=EG$24,EC11&lt;&gt;""),AND(EF11&gt;=EG$24,EF11&lt;&gt;""),AND(EY11&gt;=FC$24,EY11&lt;&gt;""),AND(FB11&gt;=FC$24,FB11&lt;&gt;""),AND(FU11&gt;=FY$24,FU11&lt;&gt;""),AND(FX11&gt;=FY$24,FX11&lt;&gt;""),AND(GQ11&gt;=GU$24,GQ11&lt;&gt;""),AND(GT11&gt;=GU$24,GT11&lt;&gt;""),AND(HM11&gt;=HQ$24,HM11&lt;&gt;""),AND(HP11&gt;=HQ$24,HP11&lt;&gt;""),AND(II11&gt;=IM$24,II11&lt;&gt;""),AND(IL11&gt;=IM$24,IL11&lt;&gt;""),AND(JE11&gt;=JI$24,JE11&lt;&gt;""),AND(JH11&gt;=JI$24,JH11&lt;&gt;""),AND(KA11&gt;=KE$24,KA11&lt;&gt;""),AND(KD11&gt;=KE$24,KD11&lt;&gt;""),AND(KW11&gt;=LA$24,KW11&lt;&gt;""),AND(KZ11&gt;=LA$24,KZ11&lt;&gt;""),AND(LS11&gt;=LW$24,LS11&lt;&gt;""),AND(LV11&gt;=LW$24,LV11&lt;&gt;""),AND(MO11&gt;=MS$24,MO11&lt;&gt;""),AND(MR11&gt;=MS$24,MR11&lt;&gt;""),AND(NK11&gt;=NO$24,NK11&lt;&gt;""),AND(NN11&gt;=NO$24,NN11&lt;&gt;"")),"Merit",IF(OR(AND(AS11&gt;=AY$23,AS11&lt;&gt;"",AP11=""),AND(AU11&gt;=AY$23,AU11&lt;&gt;"",AP11=""),AND(AX11&gt;=AY$23,AX11&lt;&gt;"",AP11=""),AND(BW11&gt;=CC$23,BW11&lt;&gt;"",BT11=""),AND(BY11&gt;=CC$23,BY11&lt;&gt;"",BT11=""),AND(CB11&gt;=CC$23,CB11&lt;&gt;"",BT11=""),AND(DA11&gt;=DG$23,DA11&lt;&gt;"",CX11=""),AND(DC11&gt;=DG$23,DC11&lt;&gt;"",CX11=""),AND(DF11&gt;=DG$23,DF11&lt;&gt;"",CX11=""),AND(EC11&gt;=EG$23,EC11&lt;&gt;""),AND(EF11&gt;=EG$23,EF11&lt;&gt;""),AND(EY11&gt;=FC$23,EY11&lt;&gt;""),AND(FB11&gt;=FC$23,FB11&lt;&gt;""),AND(FU11&gt;=FY$23,FU11&lt;&gt;""),AND(FX11&gt;=FY$23,FX11&lt;&gt;""),AND(GQ11&gt;=GU$23,GQ11&lt;&gt;""),AND(GT11&gt;=GU$23,GT11&lt;&gt;""),AND(HM11&gt;=HQ$23,HM11&lt;&gt;""),AND(HP11&gt;=HQ$23,HP11&lt;&gt;""),AND(II11&gt;=IM$23,II11&lt;&gt;""),AND(IL11&gt;=IM$23,IL11&lt;&gt;""),AND(JE11&gt;=JI$23,JE11&lt;&gt;""),AND(JH11&gt;=JI$23,JH11&lt;&gt;""),AND(KA11&gt;=KE$23,KA11&lt;&gt;""),AND(KD11&gt;=KE$23,KD11&lt;&gt;""),AND(KW11&gt;=LA$23,KW11&lt;&gt;""),AND(KZ11&gt;=LA$23,KZ11&lt;&gt;""),AND(LS11&gt;=LW$23,LS11&lt;&gt;""),AND(LV11&gt;=LW$23,LV11&lt;&gt;""),AND(MO11&gt;=MS$23,MO11&lt;&gt;""),AND(MR11&gt;=MS$23,MR11&lt;&gt;""),AND(NK11&gt;=NO$23,NK11&lt;&gt;""),AND(NN11&gt;=NO$23,NN11&lt;&gt;"")),"Excellence",IF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"Worlds Team",IF(OR(AND(AV11&gt;=AY$21,AV11&lt;&gt;"",AP11=""),AND(BZ11&gt;=CC$21,BZ11&lt;&gt;"",BT11=""),AND(DD11&gt;=DG$21,DD11&lt;&gt;"",CX11=""),AND(ED11&gt;=EG$21,ED11&lt;&gt;""),AND(EZ11&gt;=FC$21,EZ11&lt;&gt;""),AND(FV11&gt;=FY$21,FV11&lt;&gt;""),AND(GR11&gt;=GU$21,GR11&lt;&gt;""),AND(HN11&gt;=HQ$21,HN11&lt;&gt;""),AND(IJ11&gt;=IM$21,IJ11&lt;&gt;""),AND(JF11&gt;=JI$21,JF11&lt;&gt;""),AND(KB11&gt;=KE$21,KB11&lt;&gt;""),AND(KX11&gt;=LA$21,KX11&lt;&gt;""),AND(LT11&gt;=LW$21,LT11&lt;&gt;""),AND(MP11&gt;=MS$21,MP11&lt;&gt;""),AND(NL11&gt;=NO$21,NL11&lt;&gt;"")),"National Team",""))))</f>
        <v/>
      </c>
      <c r="I11" s="126" t="str">
        <f>IF(AND(G11="Merit",H11="Merit"),"Merit",IF(AND(OR(G11="Merit",G11="Excellence"),OR(H11="Merit",H11="Excellence")),"Excellence",IF(AND(OR(G11="Merit",G11="Excellence",G11="Worlds Team"),OR(H11="Merit",H11="Excellence",H11="Worlds Team")),"Worlds Team",IF(AND(OR(G11="Merit",G11="Excellence",G11="Worlds Team",G11="National Team"),OR(H11="Merit",H11="Excellence",H11="Worlds Team",H11="National Team")),"National Team",IF(OR(H11="Merit",H11="Excellence",H11="Worlds Team",H11="National Team"),"No DD","")))))</f>
        <v/>
      </c>
      <c r="J11" s="3" t="str">
        <f>IF(AND(OR(AND(AV11&gt;=AY$22,AV11&lt;&gt;"",AP11=""),AND(BZ11&gt;=CC$22,BZ11&lt;&gt;"",BT11=""),AND(DD11&gt;=DG$22,DD11&lt;&gt;"",CX11=""),AND(ED11&gt;=EG$22,ED11&lt;&gt;""),AND(EZ11&gt;=FC$22,EZ11&lt;&gt;""),AND(FV11&gt;=FY$22,FV11&lt;&gt;""),AND(GR11&gt;=GU$22,GR11&lt;&gt;""),AND(HN11&gt;=HQ$22,HN11&lt;&gt;""),AND(IJ11&gt;=IM$22,IJ11&lt;&gt;""),AND(JF11&gt;=JI$22,JF11&lt;&gt;""),AND(KB11&gt;=KE$22,KB11&lt;&gt;""),AND(KX11&gt;=LA$22,KX11&lt;&gt;""),AND(LT11&gt;=LW$22,LT11&lt;&gt;""),AND(MP11&gt;=MS$22,MP11&lt;&gt;""),AND(NL11&gt;=NO$22,NL11&lt;&gt;"")),OR(G11="Worlds Team",G11="Excellence",G11="Merit")),"P","")</f>
        <v/>
      </c>
      <c r="K11" s="14">
        <f>IF(MAX(AV11,BZ11,DD11)&gt;0,MAX(AV11,BZ11,DD11),0)</f>
        <v>94.210000000000008</v>
      </c>
      <c r="L11" s="14" t="str">
        <f>IF(K11=0,"",IF(K11=DD11,$CD$1,IF(K11=BZ11,$AZ$1,IF(K11=AV11,$V$1,""))))</f>
        <v>2021 Elite Canada</v>
      </c>
      <c r="M11" s="14">
        <f>IF($K11=$AV11,MAX(BU11,CY11),IF($K11=$BZ11,MAX(AQ11,CY11),IF($K11=$DD11,MAX(AQ11,BU11),MAX(AQ11,BU11,CY11))))</f>
        <v>45.625</v>
      </c>
      <c r="N11" s="14" t="str">
        <f>IF(M11=0,"",IF(AND(M11=CY11,$L11&lt;&gt;$CD$1),$CD$1,IF(AND(M11=BU11,$L11&lt;&gt;$AZ$1),$AZ$1,IF(AND(M11=AQ11,$L11&lt;&gt;$V$1),$V$1,""))))</f>
        <v>2021 2nd Virtual Technical Trial</v>
      </c>
      <c r="O11" s="14">
        <f>IF(K11-N(AQ11)=AS11,MAX(AU11,BW11,BY11,DA11,DC11),IF(K11-N(AQ11)=AU11,MAX(AS11,BW11,BY11,DA11,DC11),IF(K11-N(BU11)=BW11,MAX(AS11,AU11,BY11,DA11,DC11),IF(K11-N(BU11)=BY11,MAX(AS11,AU11,BW11,DA11,DC11),IF(K11-N(CY11)=DA11,MAX(AS11,AU11,BW11,BY11,DC11),IF(K11-N(CY11)=DC11,MAX(AS11,AU11,BW11,BY11,DA11),MAX(AS11,AU11,BW11,BY11,DA11,DC11)))))))</f>
        <v>49.865000000000002</v>
      </c>
      <c r="P11" s="14" t="str">
        <f>IF(O11=0,"",IF(OR(O11=DC11,O11=DA11),$CD$1,IF(OR(O11=BY11,O11=BW11),$AZ$1,IF(OR(O11=AU11,O11=AS11),$V$1,""))))</f>
        <v>2021 Elite Canada</v>
      </c>
      <c r="Q11" s="14">
        <f>MAX(AX11,CB11,DF11)</f>
        <v>51.56</v>
      </c>
      <c r="R11" s="14" t="str">
        <f>IF(Q11=0,"",IF(Q11=DF11,$CD$1,IF(Q11=CB11,$AZ$1,IF(Q11=AX11,$V$1,""))))</f>
        <v>2021 Elite Canada</v>
      </c>
      <c r="S11" s="14" t="str">
        <f>IF(MAX(DH11,DI11,DJ11,DK11)&gt;0,MAX(DH11,DI11,DJ11,DK11),"")</f>
        <v/>
      </c>
      <c r="T11" s="25" t="str">
        <f>IF(S11="","",IF(S11=DH11,"(Vol 1)",IF(S11=DI11,"(Vol 2)",IF(S11=DJ11,"(Prelim)",IF(S11=DK11,"(Final)")))))</f>
        <v/>
      </c>
      <c r="U11" s="14" t="str">
        <f>IF(S11="","",IF(S11=DH11,IF(S11+IF(M11="",0,M11)=NJ11,$MT$1,IF(S11+IF(M11="",0,M11)=MN11,$LX$1,IF(S11+IF(M11="",0,M11)=LR11,$LB$1,IF(S11+IF(M11="",0,M11)=KV11,$KF$1,IF(S11+IF(M11="",0,M11)=JZ11,$JJ$1,IF(S11+IF(M11="",0,M11)=JD11,$IN$1,IF(S11+IF(M11="",0,M11)=IH11,$HR$1,IF(S11+IF(M11="",0,M11)=HL11,$GV$1,IF(S11+IF(M11="",0,M11)=GP11,$FZ$1,IF(S11+IF(M11="",0,M11)=FT11,$FD$1,IF(S11+IF(M11="",0,M11)=EX11,$EH$1,IF(S11+IF(M11="",0,M11)=EB11,$DL$1)))))))))))),IF(S11=DI11,IF(S11+IF(O11="",0,O11)=NK11,$MT$1,IF(S11+IF(O11="",0,O11)=MO11,$LX$1,IF(S11+IF(O11="",0,O11)=LS11,$LB$1,IF(S11+IF(O11="",0,O11)=KW11,$KF$1,IF(S11+IF(O11="",0,O11)=KA11,$JJ$1,IF(S11+IF(O11="",0,O11)=JE11,$IN$1,IF(S11+IF(O11="",0,O11)=II11,$HR$1,IF(S11+IF(O11="",0,O11)=HM11,$GV$1,IF(S11+IF(O11="",0,O11)=GQ11,$FZ$1,IF(S11+IF(O11="",0,O11)=FU11,$FD$1,IF(S11+IF(O11="",0,O11)=EY11,$EH$1,IF(S11+IF(O11="",0,O11)=EC11,$DL$1)))))))))))),IF(S11=DJ11,IF(S11+IF(K11="",0,K11)=NL11,$MT$1,IF(S11+IF(K11="",0,K11)=MP11,$LX$1,IF(S11+IF(K11="",0,K11)=LT11,$LB$1,IF(S11+IF(K11="",0,K11)=KX11,$KF$1,IF(S11+IF(K11="",0,K11)=KB11,$JJ$1,IF(S11+IF(K11="",0,K11)=JF11,$IN$1,IF(S11+IF(K11="",0,K11)=IJ11,$HR$1,IF(S11+IF(K11="",0,K11)=HN11,$GV$1,IF(S11+IF(K11="",0,K11)=GR11,$FZ$1,IF(S11+IF(K11="",0,K11)=FV11,$FD$1,IF(S11+IF(K11="",0,K11)=EZ11,$EH$1,IF(S11+IF(K11="",0,K11)=ED11,$DL$1)))))))))))),IF(S11=DK11,IF(S11+IF(Q11="",0,Q11)=NN11,$MT$1,IF(S11+IF(Q11="",0,Q11)=MR11,$LX$1,IF(S11+IF(Q11="",0,Q11)=LV11,$LB$1,IF(S11+IF(Q11="",0,Q11)=KZ11,$KF$1,IF(S11+IF(Q11="",0,Q11)=KD11,$JJ$1,IF(S11+IF(Q11="",0,Q11)=JH11,$IN$1,IF(S11+IF(Q11="",0,Q11)=IL11,$HR$1,IF(S11+IF(Q11="",0,Q11)=HP11,$GV$1,IF(S11+IF(Q11="",0,Q11)=GT11,$FZ$1,IF(S11+IF(Q11="",0,Q11)=FX11,$FD$1,IF(S11+IF(Q11="",0,Q11)=FB11,$EH$1,IF(S11+IF(Q11="",0,Q11)=EF11,$DL$1)))))))))))))))))</f>
        <v/>
      </c>
      <c r="V11" s="69">
        <v>17.2</v>
      </c>
      <c r="W11" s="69">
        <v>9.1999999999999993</v>
      </c>
      <c r="X11" s="69">
        <v>3.9</v>
      </c>
      <c r="Y11" s="69">
        <v>15.324999999999999</v>
      </c>
      <c r="Z11" s="69">
        <v>0</v>
      </c>
      <c r="AA11" s="69">
        <v>2.5</v>
      </c>
      <c r="AB11" s="69">
        <v>1.9</v>
      </c>
      <c r="AC11" s="69">
        <v>3.1</v>
      </c>
      <c r="AD11" s="69">
        <v>3.18</v>
      </c>
      <c r="AE11" s="69">
        <v>0</v>
      </c>
      <c r="AF11" s="69">
        <v>9</v>
      </c>
      <c r="AG11" s="69">
        <v>6.4</v>
      </c>
      <c r="AH11" s="69">
        <v>8.3000000000000007</v>
      </c>
      <c r="AI11" s="69">
        <v>10.46</v>
      </c>
      <c r="AJ11" s="69">
        <v>0</v>
      </c>
      <c r="AK11" s="69">
        <v>5.8</v>
      </c>
      <c r="AL11" s="69">
        <v>4.4000000000000004</v>
      </c>
      <c r="AM11" s="69">
        <v>6.7</v>
      </c>
      <c r="AN11" s="69">
        <v>7.2249999999999996</v>
      </c>
      <c r="AO11" s="69">
        <v>0</v>
      </c>
      <c r="AP11" s="80"/>
      <c r="AQ11" s="11">
        <f>IF(SUM(V11:Y11)-Z11&gt;0,SUM(V11:Y11)-Z11,"")</f>
        <v>45.625</v>
      </c>
      <c r="AR11" s="11">
        <f>IF(AC11&gt;0,AC11,"")</f>
        <v>3.1</v>
      </c>
      <c r="AS11" s="11">
        <f>IF(SUM(AA11:AD11)-AE11&gt;0,SUM(AA11:AD11)-AE11,"")</f>
        <v>10.68</v>
      </c>
      <c r="AT11" s="11">
        <f>IF(AH11&gt;0,AH11,"")</f>
        <v>8.3000000000000007</v>
      </c>
      <c r="AU11" s="11">
        <f>IF(SUM(AF11:AI11)-AJ11&gt;0,SUM(AF11:AI11)-AJ11,"")</f>
        <v>34.160000000000004</v>
      </c>
      <c r="AV11" s="11">
        <f>IF(AQ11="",IF(MAX(AS11,AU11)&gt;0,MAX(AS11,AU11),""),MAX(AS11,AU11)+AQ11)</f>
        <v>79.784999999999997</v>
      </c>
      <c r="AW11" s="11">
        <f>IF(AM11&gt;0,AM11,"")</f>
        <v>6.7</v>
      </c>
      <c r="AX11" s="11">
        <f>IF(SUM(AK11:AN11)-AO11&gt;0,SUM(AK11:AN11)-AO11,"")</f>
        <v>24.125</v>
      </c>
      <c r="AY11" s="11">
        <f>IF(SUM(AV11,AX11)&gt;0,SUM(AV11,AX11),"")</f>
        <v>103.91</v>
      </c>
      <c r="AZ11" s="75">
        <v>15.6</v>
      </c>
      <c r="BA11" s="75">
        <v>9.1</v>
      </c>
      <c r="BB11" s="75">
        <v>3.7</v>
      </c>
      <c r="BC11" s="75">
        <v>15.08</v>
      </c>
      <c r="BD11" s="75">
        <v>0</v>
      </c>
      <c r="BE11" s="75">
        <v>13</v>
      </c>
      <c r="BF11" s="75">
        <v>9.1999999999999993</v>
      </c>
      <c r="BG11" s="75">
        <v>13.3</v>
      </c>
      <c r="BH11" s="75">
        <v>14.365</v>
      </c>
      <c r="BI11" s="75">
        <v>0</v>
      </c>
      <c r="BJ11" s="75">
        <v>13.5</v>
      </c>
      <c r="BK11" s="75">
        <v>9.3000000000000007</v>
      </c>
      <c r="BL11" s="75">
        <v>13.3</v>
      </c>
      <c r="BM11" s="75">
        <v>14.63</v>
      </c>
      <c r="BN11" s="75">
        <v>0</v>
      </c>
      <c r="BO11" s="75">
        <v>14</v>
      </c>
      <c r="BP11" s="75">
        <v>9.6</v>
      </c>
      <c r="BQ11" s="75">
        <v>13.3</v>
      </c>
      <c r="BR11" s="75">
        <v>14.66</v>
      </c>
      <c r="BS11" s="75">
        <v>0</v>
      </c>
      <c r="BT11" s="81"/>
      <c r="BU11" s="14">
        <f>IF(SUM(AZ11:BC11)-BD11&gt;0,SUM(AZ11:BC11)-BD11,"")</f>
        <v>43.48</v>
      </c>
      <c r="BV11" s="14">
        <f>IF(BG11&gt;0,BG11,"")</f>
        <v>13.3</v>
      </c>
      <c r="BW11" s="14">
        <f>IF(SUM(BE11:BH11)-BI11&gt;0,SUM(BE11:BH11)-BI11,"")</f>
        <v>49.865000000000002</v>
      </c>
      <c r="BX11" s="14">
        <f>IF(BL11&gt;0,BL11,"")</f>
        <v>13.3</v>
      </c>
      <c r="BY11" s="14">
        <f>IF(SUM(BJ11:BM11)-BN11&gt;0,SUM(BJ11:BM11)-BN11,"")</f>
        <v>50.730000000000004</v>
      </c>
      <c r="BZ11" s="14">
        <f>IF(BU11="",IF(MAX(BW11,BY11)&gt;0,MAX(BW11,BY11),""),MAX(BW11,BY11)+BU11)</f>
        <v>94.210000000000008</v>
      </c>
      <c r="CA11" s="14">
        <f>IF(BQ11&gt;0,BQ11,"")</f>
        <v>13.3</v>
      </c>
      <c r="CB11" s="14">
        <f>IF(SUM(BO11:BR11)-BS11&gt;0,SUM(BO11:BR11)-BS11,"")</f>
        <v>51.56</v>
      </c>
      <c r="CC11" s="14">
        <f>IF(SUM(BZ11,CB11)&gt;0,SUM(BZ11,CB11),"")</f>
        <v>145.77000000000001</v>
      </c>
      <c r="CD11" s="69">
        <v>16.3</v>
      </c>
      <c r="CE11" s="69">
        <v>8.6999999999999993</v>
      </c>
      <c r="CF11" s="69">
        <v>3.5</v>
      </c>
      <c r="CG11" s="69">
        <v>15.31</v>
      </c>
      <c r="CH11" s="69">
        <v>0</v>
      </c>
      <c r="CI11" s="69">
        <v>11.8</v>
      </c>
      <c r="CJ11" s="69">
        <v>8.5</v>
      </c>
      <c r="CK11" s="69">
        <v>11.9</v>
      </c>
      <c r="CL11" s="69">
        <v>14.21</v>
      </c>
      <c r="CM11" s="69">
        <v>0</v>
      </c>
      <c r="CN11" s="69">
        <v>6.6</v>
      </c>
      <c r="CO11" s="69">
        <v>4.4000000000000004</v>
      </c>
      <c r="CP11" s="69">
        <v>7.1</v>
      </c>
      <c r="CQ11" s="69">
        <v>7.5949999999999998</v>
      </c>
      <c r="CR11" s="69">
        <v>0</v>
      </c>
      <c r="CS11" s="69">
        <v>10.8</v>
      </c>
      <c r="CT11" s="69">
        <v>8.4</v>
      </c>
      <c r="CU11" s="69">
        <v>11.7</v>
      </c>
      <c r="CV11" s="69">
        <v>13.29</v>
      </c>
      <c r="CW11" s="69">
        <v>0</v>
      </c>
      <c r="CX11" s="80"/>
      <c r="CY11" s="11">
        <f>IF(SUM(CD11:CG11)-CH11&gt;0,SUM(CD11:CG11)-CH11,"")</f>
        <v>43.81</v>
      </c>
      <c r="CZ11" s="11">
        <f>IF(CK11&gt;0,CK11,"")</f>
        <v>11.9</v>
      </c>
      <c r="DA11" s="11">
        <f>IF(SUM(CI11:CL11)-CM11&gt;0,SUM(CI11:CL11)-CM11,"")</f>
        <v>46.410000000000004</v>
      </c>
      <c r="DB11" s="11">
        <f>IF(CP11&gt;0,CP11,"")</f>
        <v>7.1</v>
      </c>
      <c r="DC11" s="11">
        <f>IF(SUM(CN11:CQ11)-CR11&gt;0,SUM(CN11:CQ11)-CR11,"")</f>
        <v>25.695</v>
      </c>
      <c r="DD11" s="11">
        <f>IF(CY11="",IF(MAX(DA11,DC11)&gt;0,MAX(DA11,DC11),""),MAX(DA11,DC11)+CY11)</f>
        <v>90.22</v>
      </c>
      <c r="DE11" s="11">
        <f>IF(CU11&gt;0,CU11,"")</f>
        <v>11.7</v>
      </c>
      <c r="DF11" s="11">
        <f>IF(SUM(CS11:CV11)-CW11&gt;0,SUM(CS11:CV11)-CW11,"")</f>
        <v>44.19</v>
      </c>
      <c r="DG11" s="11">
        <f>IF(SUM(DD11,DF11)&gt;0,SUM(DD11,DF11),"")</f>
        <v>134.41</v>
      </c>
      <c r="DH11" s="24" t="str">
        <f>IF(MAX(EB11,EX11,FT11,GP11,HL11,IH11,JD11,JZ11,KV11,LR11,MN11,NJ11)-IF(M11="",0,M11)&gt;0.001,MAX(EB11,EX11,FT11,GP11,HL11,IH11,JD11,JZ11,KV11,LR11,MN11,NJ11)-IF(M11="",0,M11),"")</f>
        <v/>
      </c>
      <c r="DI11" s="24" t="str">
        <f>IF(MAX(EC11,EY11,FU11,GQ11,HM11,II11,JE11,KA11,KW11,LS11,MO11,NK11)-IF(O11="",0,O11)&gt;0.001,MAX(EC11,EY11,FU11,GQ11,HM11,II11,JE11,KA11,KW11,LS11,MO11,NK11)-IF(O11="",0,O11),"")</f>
        <v/>
      </c>
      <c r="DJ11" s="24" t="str">
        <f>IF(MAX(ED11,EZ11,FV11,GR11,HN11,IJ11,JF11,KB11,KX11,LT11,MP11,NL11)-IF(K11="",0,K11)&gt;0.001,MAX(ED11,EZ11,FV11,GR11,HN11,IJ11,JF11,KB11,KX11,LT11,MP11,NL11)-IF(K11="",0,K11),"")</f>
        <v/>
      </c>
      <c r="DK11" s="24" t="str">
        <f>IF(MAX(EF11,FB11,FX11,GT11,HP11,IL11,JH11,KD11,KZ11,LV11,MR11,NN11)-IF(Q11="",0,Q11)&gt;0.001,MAX(EF11,FB11,FX11,GT11,HP11,IL11,JH11,KD11,KZ11,LV11,MR11,NN11)-IF(Q11="",0,Q11),"")</f>
        <v/>
      </c>
      <c r="DL11" s="37"/>
      <c r="DM11" s="37"/>
      <c r="DN11" s="37"/>
      <c r="DO11" s="37"/>
      <c r="DP11" s="37"/>
      <c r="DQ11" s="37"/>
      <c r="DR11" s="37"/>
      <c r="DS11" s="37"/>
      <c r="DT11" s="37"/>
      <c r="DU11" s="37"/>
      <c r="DV11" s="37"/>
      <c r="DW11" s="37"/>
      <c r="DX11" s="37"/>
      <c r="DY11" s="37"/>
      <c r="DZ11" s="37"/>
      <c r="EA11" s="11" t="str">
        <f>IF(DS11&gt;0,DS11,"")</f>
        <v/>
      </c>
      <c r="EB11" s="11" t="str">
        <f>IF(SUM(DL11:DO11)-DP11&gt;0,SUM(DL11:DO11)-DP11,"")</f>
        <v/>
      </c>
      <c r="EC11" s="11" t="str">
        <f>IF(SUM(DQ11:DT11)-DU11&gt;0,SUM(DQ11:DT11)-DU11,"")</f>
        <v/>
      </c>
      <c r="ED11" s="11" t="str">
        <f>IF(SUM(EB11:EC11)&gt;0,SUM(EB11:EC11),"")</f>
        <v/>
      </c>
      <c r="EE11" s="11" t="str">
        <f>IF(DX11&gt;0,DX11,"")</f>
        <v/>
      </c>
      <c r="EF11" s="11" t="str">
        <f>IF(SUM(DV11:DY11)-DZ11&gt;0,SUM(DV11:DY11)-DZ11,"")</f>
        <v/>
      </c>
      <c r="EG11" s="11" t="str">
        <f>IF(SUM(ED11,EF11)&gt;0,SUM(ED11,EF11),"")</f>
        <v/>
      </c>
      <c r="EH11" s="38"/>
      <c r="EI11" s="38"/>
      <c r="EJ11" s="38"/>
      <c r="EK11" s="38"/>
      <c r="EL11" s="38"/>
      <c r="EM11" s="38"/>
      <c r="EN11" s="38"/>
      <c r="EO11" s="38"/>
      <c r="EP11" s="38"/>
      <c r="EQ11" s="38"/>
      <c r="ER11" s="38"/>
      <c r="ES11" s="38"/>
      <c r="ET11" s="38"/>
      <c r="EU11" s="38"/>
      <c r="EV11" s="38"/>
      <c r="EW11" s="14" t="str">
        <f>IF(EO11&gt;0,EO11,"")</f>
        <v/>
      </c>
      <c r="EX11" s="14" t="str">
        <f>IF(SUM(EH11:EK11)-EL11&gt;0,SUM(EH11:EK11)-EL11,"")</f>
        <v/>
      </c>
      <c r="EY11" s="14" t="str">
        <f>IF(SUM(EM11:EP11)-EQ11&gt;0,SUM(EM11:EP11)-EQ11,"")</f>
        <v/>
      </c>
      <c r="EZ11" s="14" t="str">
        <f>IF(SUM(EX11:EY11)&gt;0,SUM(EX11:EY11),"")</f>
        <v/>
      </c>
      <c r="FA11" s="14" t="str">
        <f>IF(ET11&gt;0,ET11,"")</f>
        <v/>
      </c>
      <c r="FB11" s="14" t="str">
        <f>IF(SUM(ER11:EU11)-EV11&gt;0,SUM(ER11:EU11)-EV11,"")</f>
        <v/>
      </c>
      <c r="FC11" s="14" t="str">
        <f>IF(SUM(EZ11,FB11)&gt;0,SUM(EZ11,FB11),"")</f>
        <v/>
      </c>
      <c r="FD11" s="37"/>
      <c r="FE11" s="37"/>
      <c r="FF11" s="37"/>
      <c r="FG11" s="37"/>
      <c r="FH11" s="37"/>
      <c r="FI11" s="37"/>
      <c r="FJ11" s="37"/>
      <c r="FK11" s="37"/>
      <c r="FL11" s="37"/>
      <c r="FM11" s="37"/>
      <c r="FN11" s="37"/>
      <c r="FO11" s="37"/>
      <c r="FP11" s="37"/>
      <c r="FQ11" s="37"/>
      <c r="FR11" s="37"/>
      <c r="FS11" s="11" t="str">
        <f>IF(FK11&gt;0,FK11,"")</f>
        <v/>
      </c>
      <c r="FT11" s="11" t="str">
        <f>IF(SUM(FD11:FG11)-FH11&gt;0,SUM(FD11:FG11)-FH11,"")</f>
        <v/>
      </c>
      <c r="FU11" s="11" t="str">
        <f>IF(SUM(FI11:FL11)-FM11&gt;0,SUM(FI11:FL11)-FM11,"")</f>
        <v/>
      </c>
      <c r="FV11" s="11" t="str">
        <f>IF(SUM(FT11:FU11)&gt;0,SUM(FT11:FU11),"")</f>
        <v/>
      </c>
      <c r="FW11" s="11" t="str">
        <f>IF(FP11&gt;0,FP11,"")</f>
        <v/>
      </c>
      <c r="FX11" s="11" t="str">
        <f>IF(SUM(FN11:FQ11)-FR11&gt;0,SUM(FN11:FQ11)-FR11,"")</f>
        <v/>
      </c>
      <c r="FY11" s="11" t="str">
        <f>IF(SUM(FV11,FX11)&gt;0,SUM(FV11,FX11),"")</f>
        <v/>
      </c>
      <c r="FZ11" s="38"/>
      <c r="GA11" s="38"/>
      <c r="GB11" s="38"/>
      <c r="GC11" s="38"/>
      <c r="GD11" s="38"/>
      <c r="GE11" s="38"/>
      <c r="GF11" s="38"/>
      <c r="GG11" s="38"/>
      <c r="GH11" s="38"/>
      <c r="GI11" s="38"/>
      <c r="GJ11" s="38"/>
      <c r="GK11" s="38"/>
      <c r="GL11" s="38"/>
      <c r="GM11" s="38"/>
      <c r="GN11" s="38"/>
      <c r="GO11" s="14" t="str">
        <f>IF(GG11&gt;0,GG11,"")</f>
        <v/>
      </c>
      <c r="GP11" s="14" t="str">
        <f>IF(SUM(FZ11:GC11)-GD11&gt;0,SUM(FZ11:GC11)-GD11,"")</f>
        <v/>
      </c>
      <c r="GQ11" s="14" t="str">
        <f>IF(SUM(GE11:GH11)-GI11&gt;0,SUM(GE11:GH11)-GI11,"")</f>
        <v/>
      </c>
      <c r="GR11" s="14" t="str">
        <f>IF(SUM(GP11:GQ11)&gt;0,SUM(GP11:GQ11),"")</f>
        <v/>
      </c>
      <c r="GS11" s="14" t="str">
        <f>IF(GL11&gt;0,GL11,"")</f>
        <v/>
      </c>
      <c r="GT11" s="14" t="str">
        <f>IF(SUM(GJ11:GM11)-GN11&gt;0,SUM(GJ11:GM11)-GN11,"")</f>
        <v/>
      </c>
      <c r="GU11" s="14" t="str">
        <f>IF(SUM(GR11,GT11)&gt;0,SUM(GR11,GT11),"")</f>
        <v/>
      </c>
      <c r="GV11" s="37"/>
      <c r="GW11" s="37"/>
      <c r="GX11" s="37"/>
      <c r="GY11" s="37"/>
      <c r="GZ11" s="37"/>
      <c r="HA11" s="37"/>
      <c r="HB11" s="37"/>
      <c r="HC11" s="37"/>
      <c r="HD11" s="37"/>
      <c r="HE11" s="37"/>
      <c r="HF11" s="37"/>
      <c r="HG11" s="37"/>
      <c r="HH11" s="37"/>
      <c r="HI11" s="37"/>
      <c r="HJ11" s="37"/>
      <c r="HK11" s="11" t="str">
        <f>IF(HC11&gt;0,HC11,"")</f>
        <v/>
      </c>
      <c r="HL11" s="11" t="str">
        <f>IF(SUM(GV11:GY11)-GZ11&gt;0,SUM(GV11:GY11)-GZ11,"")</f>
        <v/>
      </c>
      <c r="HM11" s="11" t="str">
        <f>IF(SUM(HA11:HD11)-HE11&gt;0,SUM(HA11:HD11)-HE11,"")</f>
        <v/>
      </c>
      <c r="HN11" s="11" t="str">
        <f>IF(SUM(HL11:HM11)&gt;0,SUM(HL11:HM11),"")</f>
        <v/>
      </c>
      <c r="HO11" s="11" t="str">
        <f>IF(HH11&gt;0,HH11,"")</f>
        <v/>
      </c>
      <c r="HP11" s="11" t="str">
        <f>IF(SUM(HF11:HI11)-HJ11&gt;0,SUM(HF11:HI11)-HJ11,"")</f>
        <v/>
      </c>
      <c r="HQ11" s="11" t="str">
        <f>IF(SUM(HN11,HP11)&gt;0,SUM(HN11,HP11),"")</f>
        <v/>
      </c>
      <c r="HR11" s="38"/>
      <c r="HS11" s="38"/>
      <c r="HT11" s="38"/>
      <c r="HU11" s="38"/>
      <c r="HV11" s="38"/>
      <c r="HW11" s="38"/>
      <c r="HX11" s="38"/>
      <c r="HY11" s="38"/>
      <c r="HZ11" s="38"/>
      <c r="IA11" s="38"/>
      <c r="IB11" s="38"/>
      <c r="IC11" s="38"/>
      <c r="ID11" s="38"/>
      <c r="IE11" s="38"/>
      <c r="IF11" s="38"/>
      <c r="IG11" s="14" t="str">
        <f>IF(HY11&gt;0,HY11,"")</f>
        <v/>
      </c>
      <c r="IH11" s="14" t="str">
        <f>IF(SUM(HR11:HU11)-HV11&gt;0,SUM(HR11:HU11)-HV11,"")</f>
        <v/>
      </c>
      <c r="II11" s="14" t="str">
        <f>IF(SUM(HW11:HZ11)-IA11&gt;0,SUM(HW11:HZ11)-IA11,"")</f>
        <v/>
      </c>
      <c r="IJ11" s="14" t="str">
        <f>IF(SUM(IH11:II11)&gt;0,SUM(IH11:II11),"")</f>
        <v/>
      </c>
      <c r="IK11" s="14" t="str">
        <f>IF(ID11&gt;0,ID11,"")</f>
        <v/>
      </c>
      <c r="IL11" s="14" t="str">
        <f>IF(SUM(IB11:IE11)-IF11&gt;0,SUM(IB11:IE11)-IF11,"")</f>
        <v/>
      </c>
      <c r="IM11" s="14" t="str">
        <f>IF(SUM(IJ11,IL11)&gt;0,SUM(IJ11,IL11),"")</f>
        <v/>
      </c>
      <c r="IN11" s="37"/>
      <c r="IO11" s="37"/>
      <c r="IP11" s="37"/>
      <c r="IQ11" s="37"/>
      <c r="IR11" s="37"/>
      <c r="IS11" s="37"/>
      <c r="IT11" s="37"/>
      <c r="IU11" s="37"/>
      <c r="IV11" s="37"/>
      <c r="IW11" s="37"/>
      <c r="IX11" s="37"/>
      <c r="IY11" s="37"/>
      <c r="IZ11" s="37"/>
      <c r="JA11" s="37"/>
      <c r="JB11" s="37"/>
      <c r="JC11" s="11" t="str">
        <f>IF(IU11&gt;0,IU11,"")</f>
        <v/>
      </c>
      <c r="JD11" s="11" t="str">
        <f>IF(SUM(IN11:IQ11)-IR11&gt;0,SUM(IN11:IQ11)-IR11,"")</f>
        <v/>
      </c>
      <c r="JE11" s="11" t="str">
        <f>IF(SUM(IS11:IV11)-IW11&gt;0,SUM(IS11:IV11)-IW11,"")</f>
        <v/>
      </c>
      <c r="JF11" s="11" t="str">
        <f>IF(SUM(JD11:JE11)&gt;0,SUM(JD11:JE11),"")</f>
        <v/>
      </c>
      <c r="JG11" s="11" t="str">
        <f>IF(IZ11&gt;0,IZ11,"")</f>
        <v/>
      </c>
      <c r="JH11" s="11" t="str">
        <f>IF(SUM(IX11:JA11)-JB11&gt;0,SUM(IX11:JA11)-JB11,"")</f>
        <v/>
      </c>
      <c r="JI11" s="11" t="str">
        <f>IF(SUM(JF11,JH11)&gt;0,SUM(JF11,JH11),"")</f>
        <v/>
      </c>
      <c r="JJ11" s="38"/>
      <c r="JK11" s="38"/>
      <c r="JL11" s="38"/>
      <c r="JM11" s="38"/>
      <c r="JN11" s="38"/>
      <c r="JO11" s="38"/>
      <c r="JP11" s="38"/>
      <c r="JQ11" s="38"/>
      <c r="JR11" s="38"/>
      <c r="JS11" s="38"/>
      <c r="JT11" s="38"/>
      <c r="JU11" s="38"/>
      <c r="JV11" s="38"/>
      <c r="JW11" s="38"/>
      <c r="JX11" s="38"/>
      <c r="JY11" s="14" t="str">
        <f>IF(JQ11&gt;0,JQ11,"")</f>
        <v/>
      </c>
      <c r="JZ11" s="14" t="str">
        <f>IF(SUM(JJ11:JM11)-JN11&gt;0,SUM(JJ11:JM11)-JN11,"")</f>
        <v/>
      </c>
      <c r="KA11" s="14" t="str">
        <f>IF(SUM(JO11:JR11)-JS11&gt;0,SUM(JO11:JR11)-JS11,"")</f>
        <v/>
      </c>
      <c r="KB11" s="14" t="str">
        <f>IF(SUM(JZ11:KA11)&gt;0,SUM(JZ11:KA11),"")</f>
        <v/>
      </c>
      <c r="KC11" s="14" t="str">
        <f>IF(JV11&gt;0,JV11,"")</f>
        <v/>
      </c>
      <c r="KD11" s="14" t="str">
        <f>IF(SUM(JT11:JW11)-JX11&gt;0,SUM(JT11:JW11)-JX11,"")</f>
        <v/>
      </c>
      <c r="KE11" s="14" t="str">
        <f>IF(SUM(KB11,KD11)&gt;0,SUM(KB11,KD11),"")</f>
        <v/>
      </c>
      <c r="KF11" s="37"/>
      <c r="KG11" s="37"/>
      <c r="KH11" s="37"/>
      <c r="KI11" s="37"/>
      <c r="KJ11" s="37"/>
      <c r="KK11" s="37"/>
      <c r="KL11" s="37"/>
      <c r="KM11" s="37"/>
      <c r="KN11" s="37"/>
      <c r="KO11" s="37"/>
      <c r="KP11" s="37"/>
      <c r="KQ11" s="37"/>
      <c r="KR11" s="37"/>
      <c r="KS11" s="37"/>
      <c r="KT11" s="37"/>
      <c r="KU11" s="11" t="str">
        <f>IF(KM11&gt;0,KM11,"")</f>
        <v/>
      </c>
      <c r="KV11" s="11" t="str">
        <f>IF(SUM(KF11:KI11)-KJ11&gt;0,SUM(KF11:KI11)-KJ11,"")</f>
        <v/>
      </c>
      <c r="KW11" s="11" t="str">
        <f>IF(SUM(KK11:KN11)-KO11&gt;0,SUM(KK11:KN11)-KO11,"")</f>
        <v/>
      </c>
      <c r="KX11" s="11" t="str">
        <f>IF(SUM(KV11:KW11)&gt;0,SUM(KV11:KW11),"")</f>
        <v/>
      </c>
      <c r="KY11" s="11" t="str">
        <f>IF(KR11&gt;0,KR11,"")</f>
        <v/>
      </c>
      <c r="KZ11" s="11" t="str">
        <f>IF(SUM(KP11:KS11)-KT11&gt;0,SUM(KP11:KS11)-KT11,"")</f>
        <v/>
      </c>
      <c r="LA11" s="11" t="str">
        <f>IF(SUM(KX11,KZ11)&gt;0,SUM(KX11,KZ11),"")</f>
        <v/>
      </c>
      <c r="LB11" s="38"/>
      <c r="LC11" s="38"/>
      <c r="LD11" s="38"/>
      <c r="LE11" s="38"/>
      <c r="LF11" s="38"/>
      <c r="LG11" s="38"/>
      <c r="LH11" s="38"/>
      <c r="LI11" s="38"/>
      <c r="LJ11" s="38"/>
      <c r="LK11" s="38"/>
      <c r="LL11" s="38"/>
      <c r="LM11" s="38"/>
      <c r="LN11" s="38"/>
      <c r="LO11" s="38"/>
      <c r="LP11" s="38"/>
      <c r="LQ11" s="14" t="str">
        <f>IF(LI11&gt;0,LI11,"")</f>
        <v/>
      </c>
      <c r="LR11" s="14" t="str">
        <f>IF(SUM(LB11:LE11)-LF11&gt;0,SUM(LB11:LE11)-LF11,"")</f>
        <v/>
      </c>
      <c r="LS11" s="14" t="str">
        <f>IF(SUM(LG11:LJ11)-LK11&gt;0,SUM(LG11:LJ11)-LK11,"")</f>
        <v/>
      </c>
      <c r="LT11" s="14" t="str">
        <f>IF(SUM(LR11:LS11)&gt;0,SUM(LR11:LS11),"")</f>
        <v/>
      </c>
      <c r="LU11" s="14" t="str">
        <f>IF(LN11&gt;0,LN11,"")</f>
        <v/>
      </c>
      <c r="LV11" s="14" t="str">
        <f>IF(SUM(LL11:LO11)-LP11&gt;0,SUM(LL11:LO11)-LP11,"")</f>
        <v/>
      </c>
      <c r="LW11" s="14" t="str">
        <f>IF(SUM(LT11,LV11)&gt;0,SUM(LT11,LV11),"")</f>
        <v/>
      </c>
      <c r="LX11" s="37"/>
      <c r="LY11" s="37"/>
      <c r="LZ11" s="37"/>
      <c r="MA11" s="37"/>
      <c r="MB11" s="37"/>
      <c r="MC11" s="37"/>
      <c r="MD11" s="37"/>
      <c r="ME11" s="37"/>
      <c r="MF11" s="37"/>
      <c r="MG11" s="37"/>
      <c r="MH11" s="37"/>
      <c r="MI11" s="37"/>
      <c r="MJ11" s="37"/>
      <c r="MK11" s="37"/>
      <c r="ML11" s="37"/>
      <c r="MM11" s="11" t="str">
        <f>IF(ME11&gt;0,ME11,"")</f>
        <v/>
      </c>
      <c r="MN11" s="11" t="str">
        <f>IF(SUM(LX11:MA11)-MB11&gt;0,SUM(LX11:MA11)-MB11,"")</f>
        <v/>
      </c>
      <c r="MO11" s="11" t="str">
        <f>IF(SUM(MC11:MF11)-MG11&gt;0,SUM(MC11:MF11)-MG11,"")</f>
        <v/>
      </c>
      <c r="MP11" s="11" t="str">
        <f>IF(SUM(MN11:MO11)&gt;0,SUM(MN11:MO11),"")</f>
        <v/>
      </c>
      <c r="MQ11" s="11" t="str">
        <f>IF(MJ11&gt;0,MJ11,"")</f>
        <v/>
      </c>
      <c r="MR11" s="11" t="str">
        <f>IF(SUM(MH11:MK11)-ML11&gt;0,SUM(MH11:MK11)-ML11,"")</f>
        <v/>
      </c>
      <c r="MS11" s="11" t="str">
        <f>IF(SUM(MP11,MR11)&gt;0,SUM(MP11,MR11),"")</f>
        <v/>
      </c>
      <c r="MT11" s="38"/>
      <c r="MU11" s="38"/>
      <c r="MV11" s="38"/>
      <c r="MW11" s="38"/>
      <c r="MX11" s="38"/>
      <c r="MY11" s="38"/>
      <c r="MZ11" s="38"/>
      <c r="NA11" s="38"/>
      <c r="NB11" s="38"/>
      <c r="NC11" s="38"/>
      <c r="ND11" s="38"/>
      <c r="NE11" s="38"/>
      <c r="NF11" s="38"/>
      <c r="NG11" s="38"/>
      <c r="NH11" s="38"/>
      <c r="NI11" s="14" t="str">
        <f>IF(NA11&gt;0,NA11,"")</f>
        <v/>
      </c>
      <c r="NJ11" s="14" t="str">
        <f>IF(SUM(MT11:MW11)-MX11&gt;0,SUM(MT11:MW11)-MX11,"")</f>
        <v/>
      </c>
      <c r="NK11" s="14" t="str">
        <f>IF(SUM(MY11:NB11)-NC11&gt;0,SUM(MY11:NB11)-NC11,"")</f>
        <v/>
      </c>
      <c r="NL11" s="14" t="str">
        <f>IF(SUM(NJ11:NK11)&gt;0,SUM(NJ11:NK11),"")</f>
        <v/>
      </c>
      <c r="NM11" s="14" t="str">
        <f>IF(NF11&gt;0,NF11,"")</f>
        <v/>
      </c>
      <c r="NN11" s="14" t="str">
        <f>IF(SUM(ND11:NG11)-NH11&gt;0,SUM(ND11:NG11)-NH11,"")</f>
        <v/>
      </c>
      <c r="NO11" s="14" t="str">
        <f>IF(SUM(NL11,NN11)&gt;0,SUM(NL11,NN11),"")</f>
        <v/>
      </c>
      <c r="NP11" s="69">
        <f>IF($CX11="P",CD11,(CD11+AZ11)/2)</f>
        <v>15.95</v>
      </c>
      <c r="NQ11" s="69">
        <f>IF($CX11="P",CE11,(CE11+BA11)/2)</f>
        <v>8.8999999999999986</v>
      </c>
      <c r="NR11" s="69">
        <f>IF($CX11="P",CF11,(CF11+BB11)/2)</f>
        <v>3.6</v>
      </c>
      <c r="NS11" s="69">
        <f>IF($CX11="P",CG11,(CG11+BC11)/2)</f>
        <v>15.195</v>
      </c>
      <c r="NT11" s="69">
        <f>IF($CX11="P",CH11,(CH11+BD11)/2)</f>
        <v>0</v>
      </c>
      <c r="NU11" s="69">
        <f>IF($CX11="P",CI11,(CI11+BE11)/2)</f>
        <v>12.4</v>
      </c>
      <c r="NV11" s="69">
        <f>IF($CX11="P",CJ11,(CJ11+BF11)/2)</f>
        <v>8.85</v>
      </c>
      <c r="NW11" s="69">
        <f>IF($CX11="P",CK11,(CK11+BG11)/2)</f>
        <v>12.600000000000001</v>
      </c>
      <c r="NX11" s="69">
        <f>IF($CX11="P",CL11,(CL11+BH11)/2)</f>
        <v>14.287500000000001</v>
      </c>
      <c r="NY11" s="69">
        <f>IF($CX11="P",CM11,(CM11+BI11)/2)</f>
        <v>0</v>
      </c>
      <c r="NZ11" s="69">
        <f>IF($CX11="P",CN11,(CN11+BJ11)/2)</f>
        <v>10.050000000000001</v>
      </c>
      <c r="OA11" s="69">
        <f>IF($CX11="P",CO11,(CO11+BK11)/2)</f>
        <v>6.8500000000000005</v>
      </c>
      <c r="OB11" s="69">
        <f>IF($CX11="P",CP11,(CP11+BL11)/2)</f>
        <v>10.199999999999999</v>
      </c>
      <c r="OC11" s="69">
        <f>IF($CX11="P",CQ11,(CQ11+BM11)/2)</f>
        <v>11.112500000000001</v>
      </c>
      <c r="OD11" s="69">
        <f>IF($CX11="P",CR11,(CR11+BN11)/2)</f>
        <v>0</v>
      </c>
      <c r="OE11" s="69">
        <f>IF($CX11="P",CS11,(CS11+BO11)/2)</f>
        <v>12.4</v>
      </c>
      <c r="OF11" s="69">
        <f>IF($CX11="P",CT11,(CT11+BP11)/2)</f>
        <v>9</v>
      </c>
      <c r="OG11" s="69">
        <f>IF($CX11="P",CU11,(CU11+BQ11)/2)</f>
        <v>12.5</v>
      </c>
      <c r="OH11" s="69">
        <f>IF($CX11="P",CV11,(CV11+BR11)/2)</f>
        <v>13.975</v>
      </c>
      <c r="OI11" s="69">
        <f>IF($CX11="P",CW11,(CW11+BS11)/2)</f>
        <v>0</v>
      </c>
      <c r="OJ11" s="80" t="s">
        <v>74</v>
      </c>
      <c r="OK11" s="11">
        <f>IF(SUM(NP11:NS11)-NT11&gt;0,SUM(NP11:NS11)-NT11,"")</f>
        <v>43.644999999999996</v>
      </c>
      <c r="OL11" s="11">
        <f>IF(NW11&gt;0,NW11,"")</f>
        <v>12.600000000000001</v>
      </c>
      <c r="OM11" s="11">
        <f>IF(SUM(NU11:NX11)-NY11&gt;0,SUM(NU11:NX11)-NY11,"")</f>
        <v>48.137500000000003</v>
      </c>
      <c r="ON11" s="11">
        <f>IF(OB11&gt;0,OB11,"")</f>
        <v>10.199999999999999</v>
      </c>
      <c r="OO11" s="11">
        <f>IF(SUM(NZ11:OC11)-OD11&gt;0,SUM(NZ11:OC11)-OD11,"")</f>
        <v>38.212500000000006</v>
      </c>
      <c r="OP11" s="11">
        <f>IF(OR(OK11&lt;&gt;"",OM11&lt;&gt;"",OO11&lt;&gt;""),OK11+MAX(OM11,OO11),"")</f>
        <v>91.782499999999999</v>
      </c>
      <c r="OQ11" s="11">
        <f>IF(OG11&gt;0,OG11,"")</f>
        <v>12.5</v>
      </c>
      <c r="OR11" s="11">
        <f t="shared" si="0"/>
        <v>47.875</v>
      </c>
      <c r="OS11" s="11">
        <f t="shared" si="1"/>
        <v>139.6575</v>
      </c>
    </row>
    <row r="12" spans="1:409" x14ac:dyDescent="0.2">
      <c r="A12" s="5" cm="1">
        <f t="array" ref="A12">IF(AND(G12&lt;&gt;"",H12&lt;&gt;""),SUMPRODUCT((G$4:G$15&lt;&gt;"")*(H$4:H$15&lt;&gt;"")*(E$4:E$15&gt;E12))+1,IF(H12&lt;&gt;"",SUMPRODUCT((I$4:I$15="No DD")*(E$4:E$15&gt;E12))+1+SUMPRODUCT((G$4:G$15&lt;&gt;"")*(H$4:H$15&lt;&gt;"")),""))</f>
        <v>8</v>
      </c>
      <c r="B12" s="127" t="s">
        <v>89</v>
      </c>
      <c r="C12" s="5" t="s">
        <v>3</v>
      </c>
      <c r="D12" s="5">
        <v>1993</v>
      </c>
      <c r="E12" s="15">
        <f>SUM(K12:S12)</f>
        <v>202.13499999999999</v>
      </c>
      <c r="F12" s="3" t="str">
        <f>IF(G12&lt;&gt;"","P","")</f>
        <v>P</v>
      </c>
      <c r="G12" s="125" t="str">
        <f>IF(OR(AND(AR12&gt;=AY$20,AR12&lt;&gt;"",AP12=""),AND(AT12&gt;=AY$20,AT12&lt;&gt;"",AP12=""),AND(AW12&gt;=AY$20,AW12&lt;&gt;"",AP12=""),AND(BV12&gt;=CC$20,BV12&lt;&gt;"",BT12=""),AND(BX12&gt;=CC$20,BX12&lt;&gt;"",BT12=""),AND(CA12&gt;=CC$20,CA12&lt;&gt;"",BT12=""),AND(CZ12&gt;=DG$20,CZ12&lt;&gt;"",CX12=""),AND(DB12&gt;=DG$20,DB12&lt;&gt;"",CX12=""),AND(DE12&gt;=DG$20,DE12&lt;&gt;"",CX12=""),AND(EA12&gt;=EG$20,EA12&lt;&gt;""),AND(EE12&gt;=EG$20,EE12&lt;&gt;""),AND(EW12&gt;=FC$20,EW12&lt;&gt;""),AND(FA12&gt;=FC$20,FA12&lt;&gt;""),AND(FS12&gt;=FY$20,FS12&lt;&gt;""),AND(FW12&gt;=FY$20,FW12&lt;&gt;""),AND(GO12&gt;=GU$20,GO12&lt;&gt;""),AND(GS12&gt;=GU$20,GS12&lt;&gt;""),AND(HK12&gt;=HQ$20,HK12&lt;&gt;""),AND(HO12&gt;=HQ$20,HO12&lt;&gt;""),AND(IG12&gt;=IM$20,IG12&lt;&gt;""),AND(IK12&gt;=IM$20,IK12&lt;&gt;""),AND(JC12&gt;=JI$20,JC12&lt;&gt;""),AND(JG12&gt;=JI$20,JG12&lt;&gt;""),AND(JY12&gt;=KE$20,JY12&lt;&gt;""),AND(KC12&gt;=KE$20,KC12&lt;&gt;""),AND(KU12&gt;=LA$20,KU12&lt;&gt;""),AND(KY12&gt;=LA$20,KY12&lt;&gt;""),AND(LQ12&gt;=LW$20,LQ12&lt;&gt;""),AND(LU12&gt;=LW$20,LU12&lt;&gt;""),AND(MM12&gt;=MS$20,MM12&lt;&gt;""),AND(MQ12&gt;=MS$20,MQ12&lt;&gt;""),AND(NI12&gt;=NO$20,NI12&lt;&gt;""),AND(NM12&gt;=NO$20,NM12&lt;&gt;"")),"Merit",IF(OR(AND(AR12&gt;=AY$19,AR12&lt;&gt;"",AP12=""),AND(AT12&gt;=AY$19,AT12&lt;&gt;"",AP12=""),AND(AW12&gt;=AY$19,AW12&lt;&gt;"",AP12=""),AND(BV12&gt;=CC$19,BV12&lt;&gt;"",BT12=""),AND(BX12&gt;=CC$19,BX12&lt;&gt;"",BT12=""),AND(CA12&gt;=CC$19,CA12&lt;&gt;"",BT12=""),AND(CZ12&gt;=DG$19,CZ12&lt;&gt;"",CX12=""),AND(DB12&gt;=DG$19,DB12&lt;&gt;"",CX12=""),AND(DE12&gt;=DG$19,DE12&lt;&gt;"",CX12=""),AND(EA12&gt;=EG$19,EA12&lt;&gt;""),AND(EE12&gt;=EG$19,EE12&lt;&gt;""),AND(EW12&gt;=FC$19,EW12&lt;&gt;""),AND(FA12&gt;=FC$19,FA12&lt;&gt;""),AND(FS12&gt;=FY$19,FS12&lt;&gt;""),AND(FW12&gt;=FY$19,FW12&lt;&gt;""),AND(GO12&gt;=GU$19,GO12&lt;&gt;""),AND(GS12&gt;=GU$19,GS12&lt;&gt;""),AND(HK12&gt;=HQ$19,HK12&lt;&gt;""),AND(HO12&gt;=HQ$19,HO12&lt;&gt;""),AND(IG12&gt;=IM$19,IG12&lt;&gt;""),AND(IK12&gt;=IM$19,IK12&lt;&gt;""),AND(JC12&gt;=JI$19,JC12&lt;&gt;""),AND(JG12&gt;=JI$19,JG12&lt;&gt;""),AND(JY12&gt;=KE$19,JY12&lt;&gt;""),AND(KC12&gt;=KE$19,KC12&lt;&gt;""),AND(KU12&gt;=LA$19,KU12&lt;&gt;""),AND(KY12&gt;=LA$19,KY12&lt;&gt;""),AND(LQ12&gt;=LW$19,LQ12&lt;&gt;""),AND(LU12&gt;=LW$19,LU12&lt;&gt;""),AND(MM12&gt;=MS$19,MM12&lt;&gt;""),AND(MQ12&gt;=MS$19,MQ12&lt;&gt;""),AND(NI12&gt;=NO$19,NI12&lt;&gt;""),AND(NM12&gt;=NO$19,NM12&lt;&gt;"")),"Excellence",IF(OR(AND(AR12&gt;=AY$18,AR12&lt;&gt;"",AP12=""),AND(AT12&gt;=AY$18,AT12&lt;&gt;"",AP12=""),AND(AW12&gt;=AY$18,AW12&lt;&gt;"",AP12=""),AND(BV12&gt;=CC$18,BV12&lt;&gt;"",BT12=""),AND(BX12&gt;=CC$18,BX12&lt;&gt;"",BT12=""),AND(CA12&gt;=CC$18,CA12&lt;&gt;"",BT12=""),AND(CZ12&gt;=DG$18,CZ12&lt;&gt;"",CX12=""),AND(DB12&gt;=DG$18,DB12&lt;&gt;"",CX12=""),AND(DE12&gt;=DG$18,DE12&lt;&gt;"",CX12=""),AND(EA12&gt;=EG$18,EA12&lt;&gt;""),AND(EE12&gt;=EG$18,EE12&lt;&gt;""),AND(EW12&gt;=FC$18,EW12&lt;&gt;""),AND(FA12&gt;=FC$18,FA12&lt;&gt;""),AND(FS12&gt;=FY$18,FS12&lt;&gt;""),AND(FW12&gt;=FY$18,FW12&lt;&gt;""),AND(GO12&gt;=GU$18,GO12&lt;&gt;""),AND(GS12&gt;=GU$18,GS12&lt;&gt;""),AND(HK12&gt;=HQ$18,HK12&lt;&gt;""),AND(HO12&gt;=HQ$18,HO12&lt;&gt;""),AND(IG12&gt;=IM$18,IG12&lt;&gt;""),AND(IK12&gt;=IM$18,IK12&lt;&gt;""),AND(JC12&gt;=JI$18,JC12&lt;&gt;""),AND(JG12&gt;=JI$18,JG12&lt;&gt;""),AND(JY12&gt;=KE$18,JY12&lt;&gt;""),AND(KC12&gt;=KE$18,KC12&lt;&gt;""),AND(KU12&gt;=LA$18,KU12&lt;&gt;""),AND(KY12&gt;=LA$18,KY12&lt;&gt;""),AND(LQ12&gt;=LW$18,LQ12&lt;&gt;""),AND(LU12&gt;=LW$18,LU12&lt;&gt;""),AND(MM12&gt;=MS$18,MM12&lt;&gt;""),AND(MQ12&gt;=MS$18,MQ12&lt;&gt;""),AND(NI12&gt;=NO$18,NI12&lt;&gt;""),AND(NM12&gt;=NO$18,NM12&lt;&gt;"")),"Worlds Team",IF(OR(AND(AR12&gt;=AY$17,AR12&lt;&gt;"",AP12=""),AND(AT12&gt;=AY$17,AT12&lt;&gt;"",AP12=""),AND(AW12&gt;=AY$17,AW12&lt;&gt;"",AP12=""),AND(BV12&gt;=CC$17,BV12&lt;&gt;"",BT12=""),AND(BX12&gt;=CC$17,BX12&lt;&gt;"",BT12=""),AND(CA12&gt;=CC$17,CA12&lt;&gt;"",BT12=""),AND(CZ12&gt;=DG$17,CZ12&lt;&gt;"",CX12=""),AND(DB12&gt;=DG$17,DB12&lt;&gt;"",CX12=""),AND(DE12&gt;=DG$17,DE12&lt;&gt;"",CX12=""),AND(EA12&gt;=EG$17,EA12&lt;&gt;""),AND(EE12&gt;=EG$17,EE12&lt;&gt;""),AND(EW12&gt;=FC$17,EW12&lt;&gt;""),AND(FA12&gt;=FC$17,FA12&lt;&gt;""),AND(FS12&gt;=FY$17,FS12&lt;&gt;""),AND(FW12&gt;=FY$17,FW12&lt;&gt;""),AND(GO12&gt;=GU$17,GO12&lt;&gt;""),AND(GS12&gt;=GU$17,GS12&lt;&gt;""),AND(HK12&gt;=HQ$17,HK12&lt;&gt;""),AND(HO12&gt;=HQ$17,HO12&lt;&gt;""),AND(IG12&gt;=IM$17,IG12&lt;&gt;""),AND(IK12&gt;=IM$17,IK12&lt;&gt;""),AND(JC12&gt;=JI$17,JC12&lt;&gt;""),AND(JG12&gt;=JI$17,JG12&lt;&gt;""),AND(JY12&gt;=KE$17,JY12&lt;&gt;""),AND(KC12&gt;=KE$17,KC12&lt;&gt;""),AND(KU12&gt;=LA$17,KU12&lt;&gt;""),AND(KY12&gt;=LA$17,KY12&lt;&gt;""),AND(LQ12&gt;=LW$17,LQ12&lt;&gt;""),AND(LU12&gt;=LW$17,LU12&lt;&gt;""),AND(MM12&gt;=MS$17,MM12&lt;&gt;""),AND(MQ12&gt;=MS$17,MQ12&lt;&gt;""),AND(NI12&gt;=NO$17,NI12&lt;&gt;""),AND(NM12&gt;=NO$17,NM12&lt;&gt;"")),"National Team",""))))</f>
        <v>National Team</v>
      </c>
      <c r="H12" s="125" t="str">
        <f>IF(OR(AND(AS12&gt;=AY$24,AS12&lt;&gt;"",AP12=""),AND(AU12&gt;=AY$24,AU12&lt;&gt;"",AP12=""),AND(AX12&gt;=AY$24,AX12&lt;&gt;"",AP12=""),AND(BW12&gt;=CC$24,BW12&lt;&gt;"",BT12=""),AND(BY12&gt;=CC$24,BY12&lt;&gt;"",BT12=""),AND(CB12&gt;=CC$24,CB12&lt;&gt;"",BT12=""),AND(DA12&gt;=DG$24,DA12&lt;&gt;"",CX12=""),AND(DC12&gt;=DG$24,DC12&lt;&gt;"",CX12=""),AND(DF12&gt;=DG$24,DF12&lt;&gt;"",CX12=""),AND(EC12&gt;=EG$24,EC12&lt;&gt;""),AND(EF12&gt;=EG$24,EF12&lt;&gt;""),AND(EY12&gt;=FC$24,EY12&lt;&gt;""),AND(FB12&gt;=FC$24,FB12&lt;&gt;""),AND(FU12&gt;=FY$24,FU12&lt;&gt;""),AND(FX12&gt;=FY$24,FX12&lt;&gt;""),AND(GQ12&gt;=GU$24,GQ12&lt;&gt;""),AND(GT12&gt;=GU$24,GT12&lt;&gt;""),AND(HM12&gt;=HQ$24,HM12&lt;&gt;""),AND(HP12&gt;=HQ$24,HP12&lt;&gt;""),AND(II12&gt;=IM$24,II12&lt;&gt;""),AND(IL12&gt;=IM$24,IL12&lt;&gt;""),AND(JE12&gt;=JI$24,JE12&lt;&gt;""),AND(JH12&gt;=JI$24,JH12&lt;&gt;""),AND(KA12&gt;=KE$24,KA12&lt;&gt;""),AND(KD12&gt;=KE$24,KD12&lt;&gt;""),AND(KW12&gt;=LA$24,KW12&lt;&gt;""),AND(KZ12&gt;=LA$24,KZ12&lt;&gt;""),AND(LS12&gt;=LW$24,LS12&lt;&gt;""),AND(LV12&gt;=LW$24,LV12&lt;&gt;""),AND(MO12&gt;=MS$24,MO12&lt;&gt;""),AND(MR12&gt;=MS$24,MR12&lt;&gt;""),AND(NK12&gt;=NO$24,NK12&lt;&gt;""),AND(NN12&gt;=NO$24,NN12&lt;&gt;"")),"Merit",IF(OR(AND(AS12&gt;=AY$23,AS12&lt;&gt;"",AP12=""),AND(AU12&gt;=AY$23,AU12&lt;&gt;"",AP12=""),AND(AX12&gt;=AY$23,AX12&lt;&gt;"",AP12=""),AND(BW12&gt;=CC$23,BW12&lt;&gt;"",BT12=""),AND(BY12&gt;=CC$23,BY12&lt;&gt;"",BT12=""),AND(CB12&gt;=CC$23,CB12&lt;&gt;"",BT12=""),AND(DA12&gt;=DG$23,DA12&lt;&gt;"",CX12=""),AND(DC12&gt;=DG$23,DC12&lt;&gt;"",CX12=""),AND(DF12&gt;=DG$23,DF12&lt;&gt;"",CX12=""),AND(EC12&gt;=EG$23,EC12&lt;&gt;""),AND(EF12&gt;=EG$23,EF12&lt;&gt;""),AND(EY12&gt;=FC$23,EY12&lt;&gt;""),AND(FB12&gt;=FC$23,FB12&lt;&gt;""),AND(FU12&gt;=FY$23,FU12&lt;&gt;""),AND(FX12&gt;=FY$23,FX12&lt;&gt;""),AND(GQ12&gt;=GU$23,GQ12&lt;&gt;""),AND(GT12&gt;=GU$23,GT12&lt;&gt;""),AND(HM12&gt;=HQ$23,HM12&lt;&gt;""),AND(HP12&gt;=HQ$23,HP12&lt;&gt;""),AND(II12&gt;=IM$23,II12&lt;&gt;""),AND(IL12&gt;=IM$23,IL12&lt;&gt;""),AND(JE12&gt;=JI$23,JE12&lt;&gt;""),AND(JH12&gt;=JI$23,JH12&lt;&gt;""),AND(KA12&gt;=KE$23,KA12&lt;&gt;""),AND(KD12&gt;=KE$23,KD12&lt;&gt;""),AND(KW12&gt;=LA$23,KW12&lt;&gt;""),AND(KZ12&gt;=LA$23,KZ12&lt;&gt;""),AND(LS12&gt;=LW$23,LS12&lt;&gt;""),AND(LV12&gt;=LW$23,LV12&lt;&gt;""),AND(MO12&gt;=MS$23,MO12&lt;&gt;""),AND(MR12&gt;=MS$23,MR12&lt;&gt;""),AND(NK12&gt;=NO$23,NK12&lt;&gt;""),AND(NN12&gt;=NO$23,NN12&lt;&gt;"")),"Excellence",IF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"Worlds Team",IF(OR(AND(AV12&gt;=AY$21,AV12&lt;&gt;"",AP12=""),AND(BZ12&gt;=CC$21,BZ12&lt;&gt;"",BT12=""),AND(DD12&gt;=DG$21,DD12&lt;&gt;"",CX12=""),AND(ED12&gt;=EG$21,ED12&lt;&gt;""),AND(EZ12&gt;=FC$21,EZ12&lt;&gt;""),AND(FV12&gt;=FY$21,FV12&lt;&gt;""),AND(GR12&gt;=GU$21,GR12&lt;&gt;""),AND(HN12&gt;=HQ$21,HN12&lt;&gt;""),AND(IJ12&gt;=IM$21,IJ12&lt;&gt;""),AND(JF12&gt;=JI$21,JF12&lt;&gt;""),AND(KB12&gt;=KE$21,KB12&lt;&gt;""),AND(KX12&gt;=LA$21,KX12&lt;&gt;""),AND(LT12&gt;=LW$21,LT12&lt;&gt;""),AND(MP12&gt;=MS$21,MP12&lt;&gt;""),AND(NL12&gt;=NO$21,NL12&lt;&gt;"")),"National Team",""))))</f>
        <v>Worlds Team</v>
      </c>
      <c r="I12" s="126" t="str">
        <f>IF(AND(G12="Merit",H12="Merit"),"Merit",IF(AND(OR(G12="Merit",G12="Excellence"),OR(H12="Merit",H12="Excellence")),"Excellence",IF(AND(OR(G12="Merit",G12="Excellence",G12="Worlds Team"),OR(H12="Merit",H12="Excellence",H12="Worlds Team")),"Worlds Team",IF(AND(OR(G12="Merit",G12="Excellence",G12="Worlds Team",G12="National Team"),OR(H12="Merit",H12="Excellence",H12="Worlds Team",H12="National Team")),"National Team",IF(OR(H12="Merit",H12="Excellence",H12="Worlds Team",H12="National Team"),"No DD","")))))</f>
        <v>National Team</v>
      </c>
      <c r="J12" s="3" t="str">
        <f>IF(AND(OR(AND(AV12&gt;=AY$22,AV12&lt;&gt;"",AP12=""),AND(BZ12&gt;=CC$22,BZ12&lt;&gt;"",BT12=""),AND(DD12&gt;=DG$22,DD12&lt;&gt;"",CX12=""),AND(ED12&gt;=EG$22,ED12&lt;&gt;""),AND(EZ12&gt;=FC$22,EZ12&lt;&gt;""),AND(FV12&gt;=FY$22,FV12&lt;&gt;""),AND(GR12&gt;=GU$22,GR12&lt;&gt;""),AND(HN12&gt;=HQ$22,HN12&lt;&gt;""),AND(IJ12&gt;=IM$22,IJ12&lt;&gt;""),AND(JF12&gt;=JI$22,JF12&lt;&gt;""),AND(KB12&gt;=KE$22,KB12&lt;&gt;""),AND(KX12&gt;=LA$22,KX12&lt;&gt;""),AND(LT12&gt;=LW$22,LT12&lt;&gt;""),AND(MP12&gt;=MS$22,MP12&lt;&gt;""),AND(NL12&gt;=NO$22,NL12&lt;&gt;"")),OR(G12="Worlds Team",G12="Excellence",G12="Merit")),"P","")</f>
        <v/>
      </c>
      <c r="K12" s="14">
        <f>IF(MAX(AV12,BZ12,DD12)&gt;0,MAX(AV12,BZ12,DD12),0)</f>
        <v>99.85</v>
      </c>
      <c r="L12" s="14" t="str">
        <f>IF(K12=0,"",IF(K12=DD12,$CD$1,IF(K12=BZ12,$AZ$1,IF(K12=AV12,$V$1,""))))</f>
        <v>2021 2nd Virtual Technical Trial</v>
      </c>
      <c r="M12" s="14">
        <f>IF($K12=$AV12,MAX(BU12,CY12),IF($K12=$BZ12,MAX(AQ12,CY12),IF($K12=$DD12,MAX(AQ12,BU12),MAX(AQ12,BU12,CY12))))</f>
        <v>0</v>
      </c>
      <c r="N12" s="14" t="str">
        <f>IF(M12=0,"",IF(AND(M12=CY12,$L12&lt;&gt;$CD$1),$CD$1,IF(AND(M12=BU12,$L12&lt;&gt;$AZ$1),$AZ$1,IF(AND(M12=AQ12,$L12&lt;&gt;$V$1),$V$1,""))))</f>
        <v/>
      </c>
      <c r="O12" s="14">
        <f>IF(K12-N(AQ12)=AS12,MAX(AU12,BW12,BY12,DA12,DC12),IF(K12-N(AQ12)=AU12,MAX(AS12,BW12,BY12,DA12,DC12),IF(K12-N(BU12)=BW12,MAX(AS12,AU12,BY12,DA12,DC12),IF(K12-N(BU12)=BY12,MAX(AS12,AU12,BW12,DA12,DC12),IF(K12-N(CY12)=DA12,MAX(AS12,AU12,BW12,BY12,DC12),IF(K12-N(CY12)=DC12,MAX(AS12,AU12,BW12,BY12,DA12),MAX(AS12,AU12,BW12,BY12,DA12,DC12)))))))</f>
        <v>51.69</v>
      </c>
      <c r="P12" s="14" t="str">
        <f>IF(O12=0,"",IF(OR(O12=DC12,O12=DA12),$CD$1,IF(OR(O12=BY12,O12=BW12),$AZ$1,IF(OR(O12=AU12,O12=AS12),$V$1,""))))</f>
        <v>2021 2nd Virtual Technical Trial</v>
      </c>
      <c r="Q12" s="14">
        <f>MAX(AX12,CB12,DF12)</f>
        <v>50.594999999999999</v>
      </c>
      <c r="R12" s="14" t="str">
        <f>IF(Q12=0,"",IF(Q12=DF12,$CD$1,IF(Q12=CB12,$AZ$1,IF(Q12=AX12,$V$1,""))))</f>
        <v>2021 2nd Virtual Technical Trial</v>
      </c>
      <c r="S12" s="14" t="str">
        <f>IF(MAX(DH12,DI12,DJ12,DK12)&gt;0,MAX(DH12,DI12,DJ12,DK12),"")</f>
        <v/>
      </c>
      <c r="T12" s="25" t="str">
        <f>IF(S12="","",IF(S12=DH12,"(Vol 1)",IF(S12=DI12,"(Vol 2)",IF(S12=DJ12,"(Prelim)",IF(S12=DK12,"(Final)")))))</f>
        <v/>
      </c>
      <c r="U12" s="14" t="str">
        <f>IF(S12="","",IF(S12=DH12,IF(S12+IF(M12="",0,M12)=NJ12,$MT$1,IF(S12+IF(M12="",0,M12)=MN12,$LX$1,IF(S12+IF(M12="",0,M12)=LR12,$LB$1,IF(S12+IF(M12="",0,M12)=KV12,$KF$1,IF(S12+IF(M12="",0,M12)=JZ12,$JJ$1,IF(S12+IF(M12="",0,M12)=JD12,$IN$1,IF(S12+IF(M12="",0,M12)=IH12,$HR$1,IF(S12+IF(M12="",0,M12)=HL12,$GV$1,IF(S12+IF(M12="",0,M12)=GP12,$FZ$1,IF(S12+IF(M12="",0,M12)=FT12,$FD$1,IF(S12+IF(M12="",0,M12)=EX12,$EH$1,IF(S12+IF(M12="",0,M12)=EB12,$DL$1)))))))))))),IF(S12=DI12,IF(S12+IF(O12="",0,O12)=NK12,$MT$1,IF(S12+IF(O12="",0,O12)=MO12,$LX$1,IF(S12+IF(O12="",0,O12)=LS12,$LB$1,IF(S12+IF(O12="",0,O12)=KW12,$KF$1,IF(S12+IF(O12="",0,O12)=KA12,$JJ$1,IF(S12+IF(O12="",0,O12)=JE12,$IN$1,IF(S12+IF(O12="",0,O12)=II12,$HR$1,IF(S12+IF(O12="",0,O12)=HM12,$GV$1,IF(S12+IF(O12="",0,O12)=GQ12,$FZ$1,IF(S12+IF(O12="",0,O12)=FU12,$FD$1,IF(S12+IF(O12="",0,O12)=EY12,$EH$1,IF(S12+IF(O12="",0,O12)=EC12,$DL$1)))))))))))),IF(S12=DJ12,IF(S12+IF(K12="",0,K12)=NL12,$MT$1,IF(S12+IF(K12="",0,K12)=MP12,$LX$1,IF(S12+IF(K12="",0,K12)=LT12,$LB$1,IF(S12+IF(K12="",0,K12)=KX12,$KF$1,IF(S12+IF(K12="",0,K12)=KB12,$JJ$1,IF(S12+IF(K12="",0,K12)=JF12,$IN$1,IF(S12+IF(K12="",0,K12)=IJ12,$HR$1,IF(S12+IF(K12="",0,K12)=HN12,$GV$1,IF(S12+IF(K12="",0,K12)=GR12,$FZ$1,IF(S12+IF(K12="",0,K12)=FV12,$FD$1,IF(S12+IF(K12="",0,K12)=EZ12,$EH$1,IF(S12+IF(K12="",0,K12)=ED12,$DL$1)))))))))))),IF(S12=DK12,IF(S12+IF(Q12="",0,Q12)=NN12,$MT$1,IF(S12+IF(Q12="",0,Q12)=MR12,$LX$1,IF(S12+IF(Q12="",0,Q12)=LV12,$LB$1,IF(S12+IF(Q12="",0,Q12)=KZ12,$KF$1,IF(S12+IF(Q12="",0,Q12)=KD12,$JJ$1,IF(S12+IF(Q12="",0,Q12)=JH12,$IN$1,IF(S12+IF(Q12="",0,Q12)=IL12,$HR$1,IF(S12+IF(Q12="",0,Q12)=HP12,$GV$1,IF(S12+IF(Q12="",0,Q12)=GT12,$FZ$1,IF(S12+IF(Q12="",0,Q12)=FX12,$FD$1,IF(S12+IF(Q12="",0,Q12)=FB12,$EH$1,IF(S12+IF(Q12="",0,Q12)=EF12,$DL$1)))))))))))))))))</f>
        <v/>
      </c>
      <c r="V12" s="69">
        <v>18.399999999999999</v>
      </c>
      <c r="W12" s="69">
        <v>9.3000000000000007</v>
      </c>
      <c r="X12" s="69">
        <v>3.2</v>
      </c>
      <c r="Y12" s="69">
        <v>16.21</v>
      </c>
      <c r="Z12" s="69">
        <v>0</v>
      </c>
      <c r="AA12" s="69">
        <v>15.3</v>
      </c>
      <c r="AB12" s="69">
        <v>9.1999999999999993</v>
      </c>
      <c r="AC12" s="69">
        <v>12.4</v>
      </c>
      <c r="AD12" s="69">
        <v>14.79</v>
      </c>
      <c r="AE12" s="69">
        <v>0</v>
      </c>
      <c r="AF12" s="69">
        <v>16.100000000000001</v>
      </c>
      <c r="AG12" s="69">
        <v>9.3000000000000007</v>
      </c>
      <c r="AH12" s="69">
        <v>12.4</v>
      </c>
      <c r="AI12" s="69">
        <v>14.94</v>
      </c>
      <c r="AJ12" s="69">
        <v>0</v>
      </c>
      <c r="AK12" s="69">
        <v>13.9</v>
      </c>
      <c r="AL12" s="69">
        <v>9.4</v>
      </c>
      <c r="AM12" s="69">
        <v>12.4</v>
      </c>
      <c r="AN12" s="69">
        <v>14.895</v>
      </c>
      <c r="AO12" s="69">
        <v>0</v>
      </c>
      <c r="AP12" s="80"/>
      <c r="AQ12" s="11">
        <f>IF(SUM(V12:Y12)-Z12&gt;0,SUM(V12:Y12)-Z12,"")</f>
        <v>47.11</v>
      </c>
      <c r="AR12" s="11">
        <f>IF(AC12&gt;0,AC12,"")</f>
        <v>12.4</v>
      </c>
      <c r="AS12" s="11">
        <f>IF(SUM(AA12:AD12)-AE12&gt;0,SUM(AA12:AD12)-AE12,"")</f>
        <v>51.69</v>
      </c>
      <c r="AT12" s="11">
        <f>IF(AH12&gt;0,AH12,"")</f>
        <v>12.4</v>
      </c>
      <c r="AU12" s="11">
        <f>IF(SUM(AF12:AI12)-AJ12&gt;0,SUM(AF12:AI12)-AJ12,"")</f>
        <v>52.74</v>
      </c>
      <c r="AV12" s="11">
        <f>IF(AQ12="",IF(MAX(AS12,AU12)&gt;0,MAX(AS12,AU12),""),MAX(AS12,AU12)+AQ12)</f>
        <v>99.85</v>
      </c>
      <c r="AW12" s="11">
        <f>IF(AM12&gt;0,AM12,"")</f>
        <v>12.4</v>
      </c>
      <c r="AX12" s="11">
        <f>IF(SUM(AK12:AN12)-AO12&gt;0,SUM(AK12:AN12)-AO12,"")</f>
        <v>50.594999999999999</v>
      </c>
      <c r="AY12" s="11">
        <f>IF(SUM(AV12,AX12)&gt;0,SUM(AV12,AX12),"")</f>
        <v>150.44499999999999</v>
      </c>
      <c r="AZ12" s="75"/>
      <c r="BA12" s="75"/>
      <c r="BB12" s="75"/>
      <c r="BC12" s="75"/>
      <c r="BD12" s="75"/>
      <c r="BE12" s="75"/>
      <c r="BF12" s="75"/>
      <c r="BG12" s="75"/>
      <c r="BH12" s="75"/>
      <c r="BI12" s="75"/>
      <c r="BJ12" s="75"/>
      <c r="BK12" s="75"/>
      <c r="BL12" s="75"/>
      <c r="BM12" s="75"/>
      <c r="BN12" s="75"/>
      <c r="BO12" s="75"/>
      <c r="BP12" s="75"/>
      <c r="BQ12" s="75"/>
      <c r="BR12" s="75"/>
      <c r="BS12" s="75"/>
      <c r="BT12" s="81"/>
      <c r="BU12" s="14" t="str">
        <f>IF(SUM(AZ12:BC12)-BD12&gt;0,SUM(AZ12:BC12)-BD12,"")</f>
        <v/>
      </c>
      <c r="BV12" s="14" t="str">
        <f>IF(BG12&gt;0,BG12,"")</f>
        <v/>
      </c>
      <c r="BW12" s="14" t="str">
        <f>IF(SUM(BE12:BH12)-BI12&gt;0,SUM(BE12:BH12)-BI12,"")</f>
        <v/>
      </c>
      <c r="BX12" s="14" t="str">
        <f>IF(BL12&gt;0,BL12,"")</f>
        <v/>
      </c>
      <c r="BY12" s="14" t="str">
        <f>IF(SUM(BJ12:BM12)-BN12&gt;0,SUM(BJ12:BM12)-BN12,"")</f>
        <v/>
      </c>
      <c r="BZ12" s="14" t="str">
        <f>IF(BU12="",IF(MAX(BW12,BY12)&gt;0,MAX(BW12,BY12),""),MAX(BW12,BY12)+BU12)</f>
        <v/>
      </c>
      <c r="CA12" s="14" t="str">
        <f>IF(BQ12&gt;0,BQ12,"")</f>
        <v/>
      </c>
      <c r="CB12" s="14" t="str">
        <f>IF(SUM(BO12:BR12)-BS12&gt;0,SUM(BO12:BR12)-BS12,"")</f>
        <v/>
      </c>
      <c r="CC12" s="14" t="str">
        <f>IF(SUM(BZ12,CB12)&gt;0,SUM(BZ12,CB12),"")</f>
        <v/>
      </c>
      <c r="CD12" s="69"/>
      <c r="CE12" s="69"/>
      <c r="CF12" s="69"/>
      <c r="CG12" s="69"/>
      <c r="CH12" s="69"/>
      <c r="CI12" s="69"/>
      <c r="CJ12" s="69"/>
      <c r="CK12" s="69"/>
      <c r="CL12" s="69"/>
      <c r="CM12" s="69"/>
      <c r="CN12" s="69"/>
      <c r="CO12" s="69"/>
      <c r="CP12" s="69"/>
      <c r="CQ12" s="69"/>
      <c r="CR12" s="69"/>
      <c r="CS12" s="69"/>
      <c r="CT12" s="69"/>
      <c r="CU12" s="69"/>
      <c r="CV12" s="69"/>
      <c r="CW12" s="69"/>
      <c r="CX12" s="80"/>
      <c r="CY12" s="11" t="str">
        <f>IF(SUM(CD12:CG12)-CH12&gt;0,SUM(CD12:CG12)-CH12,"")</f>
        <v/>
      </c>
      <c r="CZ12" s="11" t="str">
        <f>IF(CK12&gt;0,CK12,"")</f>
        <v/>
      </c>
      <c r="DA12" s="11" t="str">
        <f>IF(SUM(CI12:CL12)-CM12&gt;0,SUM(CI12:CL12)-CM12,"")</f>
        <v/>
      </c>
      <c r="DB12" s="11" t="str">
        <f>IF(CP12&gt;0,CP12,"")</f>
        <v/>
      </c>
      <c r="DC12" s="11" t="str">
        <f>IF(SUM(CN12:CQ12)-CR12&gt;0,SUM(CN12:CQ12)-CR12,"")</f>
        <v/>
      </c>
      <c r="DD12" s="11" t="str">
        <f>IF(CY12="",IF(MAX(DA12,DC12)&gt;0,MAX(DA12,DC12),""),MAX(DA12,DC12)+CY12)</f>
        <v/>
      </c>
      <c r="DE12" s="11" t="str">
        <f>IF(CU12&gt;0,CU12,"")</f>
        <v/>
      </c>
      <c r="DF12" s="11" t="str">
        <f>IF(SUM(CS12:CV12)-CW12&gt;0,SUM(CS12:CV12)-CW12,"")</f>
        <v/>
      </c>
      <c r="DG12" s="11" t="str">
        <f>IF(SUM(DD12,DF12)&gt;0,SUM(DD12,DF12),"")</f>
        <v/>
      </c>
      <c r="DH12" s="24" t="str">
        <f>IF(MAX(EB12,EX12,FT12,GP12,HL12,IH12,JD12,JZ12,KV12,LR12,MN12,NJ12)-IF(M12="",0,M12)&gt;0.001,MAX(EB12,EX12,FT12,GP12,HL12,IH12,JD12,JZ12,KV12,LR12,MN12,NJ12)-IF(M12="",0,M12),"")</f>
        <v/>
      </c>
      <c r="DI12" s="24" t="str">
        <f>IF(MAX(EC12,EY12,FU12,GQ12,HM12,II12,JE12,KA12,KW12,LS12,MO12,NK12)-IF(O12="",0,O12)&gt;0.001,MAX(EC12,EY12,FU12,GQ12,HM12,II12,JE12,KA12,KW12,LS12,MO12,NK12)-IF(O12="",0,O12),"")</f>
        <v/>
      </c>
      <c r="DJ12" s="24" t="str">
        <f>IF(MAX(ED12,EZ12,FV12,GR12,HN12,IJ12,JF12,KB12,KX12,LT12,MP12,NL12)-IF(K12="",0,K12)&gt;0.001,MAX(ED12,EZ12,FV12,GR12,HN12,IJ12,JF12,KB12,KX12,LT12,MP12,NL12)-IF(K12="",0,K12),"")</f>
        <v/>
      </c>
      <c r="DK12" s="24" t="str">
        <f>IF(MAX(EF12,FB12,FX12,GT12,HP12,IL12,JH12,KD12,KZ12,LV12,MR12,NN12)-IF(Q12="",0,Q12)&gt;0.001,MAX(EF12,FB12,FX12,GT12,HP12,IL12,JH12,KD12,KZ12,LV12,MR12,NN12)-IF(Q12="",0,Q12),"")</f>
        <v/>
      </c>
      <c r="DL12" s="37"/>
      <c r="DM12" s="37"/>
      <c r="DN12" s="37"/>
      <c r="DO12" s="37"/>
      <c r="DP12" s="37"/>
      <c r="DQ12" s="37"/>
      <c r="DR12" s="37"/>
      <c r="DS12" s="37"/>
      <c r="DT12" s="37"/>
      <c r="DU12" s="37"/>
      <c r="DV12" s="37"/>
      <c r="DW12" s="37"/>
      <c r="DX12" s="37"/>
      <c r="DY12" s="37"/>
      <c r="DZ12" s="37"/>
      <c r="EA12" s="11" t="str">
        <f>IF(DS12&gt;0,DS12,"")</f>
        <v/>
      </c>
      <c r="EB12" s="11" t="str">
        <f>IF(SUM(DL12:DO12)-DP12&gt;0,SUM(DL12:DO12)-DP12,"")</f>
        <v/>
      </c>
      <c r="EC12" s="11" t="str">
        <f>IF(SUM(DQ12:DT12)-DU12&gt;0,SUM(DQ12:DT12)-DU12,"")</f>
        <v/>
      </c>
      <c r="ED12" s="11" t="str">
        <f>IF(SUM(EB12:EC12)&gt;0,SUM(EB12:EC12),"")</f>
        <v/>
      </c>
      <c r="EE12" s="11" t="str">
        <f>IF(DX12&gt;0,DX12,"")</f>
        <v/>
      </c>
      <c r="EF12" s="11" t="str">
        <f>IF(SUM(DV12:DY12)-DZ12&gt;0,SUM(DV12:DY12)-DZ12,"")</f>
        <v/>
      </c>
      <c r="EG12" s="11" t="str">
        <f>IF(SUM(ED12,EF12)&gt;0,SUM(ED12,EF12),"")</f>
        <v/>
      </c>
      <c r="EH12" s="38"/>
      <c r="EI12" s="38"/>
      <c r="EJ12" s="38"/>
      <c r="EK12" s="38"/>
      <c r="EL12" s="38"/>
      <c r="EM12" s="38"/>
      <c r="EN12" s="38"/>
      <c r="EO12" s="38"/>
      <c r="EP12" s="38"/>
      <c r="EQ12" s="38"/>
      <c r="ER12" s="38"/>
      <c r="ES12" s="38"/>
      <c r="ET12" s="38"/>
      <c r="EU12" s="38"/>
      <c r="EV12" s="38"/>
      <c r="EW12" s="14" t="str">
        <f>IF(EO12&gt;0,EO12,"")</f>
        <v/>
      </c>
      <c r="EX12" s="14" t="str">
        <f>IF(SUM(EH12:EK12)-EL12&gt;0,SUM(EH12:EK12)-EL12,"")</f>
        <v/>
      </c>
      <c r="EY12" s="14" t="str">
        <f>IF(SUM(EM12:EP12)-EQ12&gt;0,SUM(EM12:EP12)-EQ12,"")</f>
        <v/>
      </c>
      <c r="EZ12" s="14" t="str">
        <f>IF(SUM(EX12:EY12)&gt;0,SUM(EX12:EY12),"")</f>
        <v/>
      </c>
      <c r="FA12" s="14" t="str">
        <f>IF(ET12&gt;0,ET12,"")</f>
        <v/>
      </c>
      <c r="FB12" s="14" t="str">
        <f>IF(SUM(ER12:EU12)-EV12&gt;0,SUM(ER12:EU12)-EV12,"")</f>
        <v/>
      </c>
      <c r="FC12" s="14" t="str">
        <f>IF(SUM(EZ12,FB12)&gt;0,SUM(EZ12,FB12),"")</f>
        <v/>
      </c>
      <c r="FD12" s="37"/>
      <c r="FE12" s="37"/>
      <c r="FF12" s="37"/>
      <c r="FG12" s="37"/>
      <c r="FH12" s="37"/>
      <c r="FI12" s="37"/>
      <c r="FJ12" s="37"/>
      <c r="FK12" s="37"/>
      <c r="FL12" s="37"/>
      <c r="FM12" s="37"/>
      <c r="FN12" s="37"/>
      <c r="FO12" s="37"/>
      <c r="FP12" s="37"/>
      <c r="FQ12" s="37"/>
      <c r="FR12" s="37"/>
      <c r="FS12" s="11" t="str">
        <f>IF(FK12&gt;0,FK12,"")</f>
        <v/>
      </c>
      <c r="FT12" s="11" t="str">
        <f>IF(SUM(FD12:FG12)-FH12&gt;0,SUM(FD12:FG12)-FH12,"")</f>
        <v/>
      </c>
      <c r="FU12" s="11" t="str">
        <f>IF(SUM(FI12:FL12)-FM12&gt;0,SUM(FI12:FL12)-FM12,"")</f>
        <v/>
      </c>
      <c r="FV12" s="11" t="str">
        <f>IF(SUM(FT12:FU12)&gt;0,SUM(FT12:FU12),"")</f>
        <v/>
      </c>
      <c r="FW12" s="11" t="str">
        <f>IF(FP12&gt;0,FP12,"")</f>
        <v/>
      </c>
      <c r="FX12" s="11" t="str">
        <f>IF(SUM(FN12:FQ12)-FR12&gt;0,SUM(FN12:FQ12)-FR12,"")</f>
        <v/>
      </c>
      <c r="FY12" s="11" t="str">
        <f>IF(SUM(FV12,FX12)&gt;0,SUM(FV12,FX12),"")</f>
        <v/>
      </c>
      <c r="FZ12" s="38"/>
      <c r="GA12" s="38"/>
      <c r="GB12" s="38"/>
      <c r="GC12" s="38"/>
      <c r="GD12" s="38"/>
      <c r="GE12" s="38"/>
      <c r="GF12" s="38"/>
      <c r="GG12" s="38"/>
      <c r="GH12" s="38"/>
      <c r="GI12" s="38"/>
      <c r="GJ12" s="38"/>
      <c r="GK12" s="38"/>
      <c r="GL12" s="38"/>
      <c r="GM12" s="38"/>
      <c r="GN12" s="38"/>
      <c r="GO12" s="14" t="str">
        <f>IF(GG12&gt;0,GG12,"")</f>
        <v/>
      </c>
      <c r="GP12" s="14" t="str">
        <f>IF(SUM(FZ12:GC12)-GD12&gt;0,SUM(FZ12:GC12)-GD12,"")</f>
        <v/>
      </c>
      <c r="GQ12" s="14" t="str">
        <f>IF(SUM(GE12:GH12)-GI12&gt;0,SUM(GE12:GH12)-GI12,"")</f>
        <v/>
      </c>
      <c r="GR12" s="14" t="str">
        <f>IF(SUM(GP12:GQ12)&gt;0,SUM(GP12:GQ12),"")</f>
        <v/>
      </c>
      <c r="GS12" s="14" t="str">
        <f>IF(GL12&gt;0,GL12,"")</f>
        <v/>
      </c>
      <c r="GT12" s="14" t="str">
        <f>IF(SUM(GJ12:GM12)-GN12&gt;0,SUM(GJ12:GM12)-GN12,"")</f>
        <v/>
      </c>
      <c r="GU12" s="14" t="str">
        <f>IF(SUM(GR12,GT12)&gt;0,SUM(GR12,GT12),"")</f>
        <v/>
      </c>
      <c r="GV12" s="37"/>
      <c r="GW12" s="37"/>
      <c r="GX12" s="37"/>
      <c r="GY12" s="37"/>
      <c r="GZ12" s="37"/>
      <c r="HA12" s="37"/>
      <c r="HB12" s="37"/>
      <c r="HC12" s="37"/>
      <c r="HD12" s="37"/>
      <c r="HE12" s="37"/>
      <c r="HF12" s="37"/>
      <c r="HG12" s="37"/>
      <c r="HH12" s="37"/>
      <c r="HI12" s="37"/>
      <c r="HJ12" s="37"/>
      <c r="HK12" s="11" t="str">
        <f>IF(HC12&gt;0,HC12,"")</f>
        <v/>
      </c>
      <c r="HL12" s="11" t="str">
        <f>IF(SUM(GV12:GY12)-GZ12&gt;0,SUM(GV12:GY12)-GZ12,"")</f>
        <v/>
      </c>
      <c r="HM12" s="11" t="str">
        <f>IF(SUM(HA12:HD12)-HE12&gt;0,SUM(HA12:HD12)-HE12,"")</f>
        <v/>
      </c>
      <c r="HN12" s="11" t="str">
        <f>IF(SUM(HL12:HM12)&gt;0,SUM(HL12:HM12),"")</f>
        <v/>
      </c>
      <c r="HO12" s="11" t="str">
        <f>IF(HH12&gt;0,HH12,"")</f>
        <v/>
      </c>
      <c r="HP12" s="11" t="str">
        <f>IF(SUM(HF12:HI12)-HJ12&gt;0,SUM(HF12:HI12)-HJ12,"")</f>
        <v/>
      </c>
      <c r="HQ12" s="11" t="str">
        <f>IF(SUM(HN12,HP12)&gt;0,SUM(HN12,HP12),"")</f>
        <v/>
      </c>
      <c r="HR12" s="38"/>
      <c r="HS12" s="38"/>
      <c r="HT12" s="38"/>
      <c r="HU12" s="38"/>
      <c r="HV12" s="38"/>
      <c r="HW12" s="38"/>
      <c r="HX12" s="38"/>
      <c r="HY12" s="38"/>
      <c r="HZ12" s="38"/>
      <c r="IA12" s="38"/>
      <c r="IB12" s="38"/>
      <c r="IC12" s="38"/>
      <c r="ID12" s="38"/>
      <c r="IE12" s="38"/>
      <c r="IF12" s="38"/>
      <c r="IG12" s="14" t="str">
        <f>IF(HY12&gt;0,HY12,"")</f>
        <v/>
      </c>
      <c r="IH12" s="14" t="str">
        <f>IF(SUM(HR12:HU12)-HV12&gt;0,SUM(HR12:HU12)-HV12,"")</f>
        <v/>
      </c>
      <c r="II12" s="14" t="str">
        <f>IF(SUM(HW12:HZ12)-IA12&gt;0,SUM(HW12:HZ12)-IA12,"")</f>
        <v/>
      </c>
      <c r="IJ12" s="14" t="str">
        <f>IF(SUM(IH12:II12)&gt;0,SUM(IH12:II12),"")</f>
        <v/>
      </c>
      <c r="IK12" s="14" t="str">
        <f>IF(ID12&gt;0,ID12,"")</f>
        <v/>
      </c>
      <c r="IL12" s="14" t="str">
        <f>IF(SUM(IB12:IE12)-IF12&gt;0,SUM(IB12:IE12)-IF12,"")</f>
        <v/>
      </c>
      <c r="IM12" s="14" t="str">
        <f>IF(SUM(IJ12,IL12)&gt;0,SUM(IJ12,IL12),"")</f>
        <v/>
      </c>
      <c r="IN12" s="37"/>
      <c r="IO12" s="37"/>
      <c r="IP12" s="37"/>
      <c r="IQ12" s="37"/>
      <c r="IR12" s="37"/>
      <c r="IS12" s="37"/>
      <c r="IT12" s="37"/>
      <c r="IU12" s="37"/>
      <c r="IV12" s="37"/>
      <c r="IW12" s="37"/>
      <c r="IX12" s="37"/>
      <c r="IY12" s="37"/>
      <c r="IZ12" s="37"/>
      <c r="JA12" s="37"/>
      <c r="JB12" s="37"/>
      <c r="JC12" s="11" t="str">
        <f>IF(IU12&gt;0,IU12,"")</f>
        <v/>
      </c>
      <c r="JD12" s="11" t="str">
        <f>IF(SUM(IN12:IQ12)-IR12&gt;0,SUM(IN12:IQ12)-IR12,"")</f>
        <v/>
      </c>
      <c r="JE12" s="11" t="str">
        <f>IF(SUM(IS12:IV12)-IW12&gt;0,SUM(IS12:IV12)-IW12,"")</f>
        <v/>
      </c>
      <c r="JF12" s="11" t="str">
        <f>IF(SUM(JD12:JE12)&gt;0,SUM(JD12:JE12),"")</f>
        <v/>
      </c>
      <c r="JG12" s="11" t="str">
        <f>IF(IZ12&gt;0,IZ12,"")</f>
        <v/>
      </c>
      <c r="JH12" s="11" t="str">
        <f>IF(SUM(IX12:JA12)-JB12&gt;0,SUM(IX12:JA12)-JB12,"")</f>
        <v/>
      </c>
      <c r="JI12" s="11" t="str">
        <f>IF(SUM(JF12,JH12)&gt;0,SUM(JF12,JH12),"")</f>
        <v/>
      </c>
      <c r="JJ12" s="38"/>
      <c r="JK12" s="38"/>
      <c r="JL12" s="38"/>
      <c r="JM12" s="38"/>
      <c r="JN12" s="38"/>
      <c r="JO12" s="38"/>
      <c r="JP12" s="38"/>
      <c r="JQ12" s="38"/>
      <c r="JR12" s="38"/>
      <c r="JS12" s="38"/>
      <c r="JT12" s="38"/>
      <c r="JU12" s="38"/>
      <c r="JV12" s="38"/>
      <c r="JW12" s="38"/>
      <c r="JX12" s="38"/>
      <c r="JY12" s="14" t="str">
        <f>IF(JQ12&gt;0,JQ12,"")</f>
        <v/>
      </c>
      <c r="JZ12" s="14" t="str">
        <f>IF(SUM(JJ12:JM12)-JN12&gt;0,SUM(JJ12:JM12)-JN12,"")</f>
        <v/>
      </c>
      <c r="KA12" s="14" t="str">
        <f>IF(SUM(JO12:JR12)-JS12&gt;0,SUM(JO12:JR12)-JS12,"")</f>
        <v/>
      </c>
      <c r="KB12" s="14" t="str">
        <f>IF(SUM(JZ12:KA12)&gt;0,SUM(JZ12:KA12),"")</f>
        <v/>
      </c>
      <c r="KC12" s="14" t="str">
        <f>IF(JV12&gt;0,JV12,"")</f>
        <v/>
      </c>
      <c r="KD12" s="14" t="str">
        <f>IF(SUM(JT12:JW12)-JX12&gt;0,SUM(JT12:JW12)-JX12,"")</f>
        <v/>
      </c>
      <c r="KE12" s="14" t="str">
        <f>IF(SUM(KB12,KD12)&gt;0,SUM(KB12,KD12),"")</f>
        <v/>
      </c>
      <c r="KF12" s="37"/>
      <c r="KG12" s="37"/>
      <c r="KH12" s="37"/>
      <c r="KI12" s="37"/>
      <c r="KJ12" s="37"/>
      <c r="KK12" s="37"/>
      <c r="KL12" s="37"/>
      <c r="KM12" s="37"/>
      <c r="KN12" s="37"/>
      <c r="KO12" s="37"/>
      <c r="KP12" s="37"/>
      <c r="KQ12" s="37"/>
      <c r="KR12" s="37"/>
      <c r="KS12" s="37"/>
      <c r="KT12" s="37"/>
      <c r="KU12" s="11" t="str">
        <f>IF(KM12&gt;0,KM12,"")</f>
        <v/>
      </c>
      <c r="KV12" s="11" t="str">
        <f>IF(SUM(KF12:KI12)-KJ12&gt;0,SUM(KF12:KI12)-KJ12,"")</f>
        <v/>
      </c>
      <c r="KW12" s="11" t="str">
        <f>IF(SUM(KK12:KN12)-KO12&gt;0,SUM(KK12:KN12)-KO12,"")</f>
        <v/>
      </c>
      <c r="KX12" s="11" t="str">
        <f>IF(SUM(KV12:KW12)&gt;0,SUM(KV12:KW12),"")</f>
        <v/>
      </c>
      <c r="KY12" s="11" t="str">
        <f>IF(KR12&gt;0,KR12,"")</f>
        <v/>
      </c>
      <c r="KZ12" s="11" t="str">
        <f>IF(SUM(KP12:KS12)-KT12&gt;0,SUM(KP12:KS12)-KT12,"")</f>
        <v/>
      </c>
      <c r="LA12" s="11" t="str">
        <f>IF(SUM(KX12,KZ12)&gt;0,SUM(KX12,KZ12),"")</f>
        <v/>
      </c>
      <c r="LB12" s="38"/>
      <c r="LC12" s="38"/>
      <c r="LD12" s="38"/>
      <c r="LE12" s="38"/>
      <c r="LF12" s="38"/>
      <c r="LG12" s="38"/>
      <c r="LH12" s="38"/>
      <c r="LI12" s="38"/>
      <c r="LJ12" s="38"/>
      <c r="LK12" s="38"/>
      <c r="LL12" s="38"/>
      <c r="LM12" s="38"/>
      <c r="LN12" s="38"/>
      <c r="LO12" s="38"/>
      <c r="LP12" s="38"/>
      <c r="LQ12" s="14" t="str">
        <f>IF(LI12&gt;0,LI12,"")</f>
        <v/>
      </c>
      <c r="LR12" s="14" t="str">
        <f>IF(SUM(LB12:LE12)-LF12&gt;0,SUM(LB12:LE12)-LF12,"")</f>
        <v/>
      </c>
      <c r="LS12" s="14" t="str">
        <f>IF(SUM(LG12:LJ12)-LK12&gt;0,SUM(LG12:LJ12)-LK12,"")</f>
        <v/>
      </c>
      <c r="LT12" s="14" t="str">
        <f>IF(SUM(LR12:LS12)&gt;0,SUM(LR12:LS12),"")</f>
        <v/>
      </c>
      <c r="LU12" s="14" t="str">
        <f>IF(LN12&gt;0,LN12,"")</f>
        <v/>
      </c>
      <c r="LV12" s="14" t="str">
        <f>IF(SUM(LL12:LO12)-LP12&gt;0,SUM(LL12:LO12)-LP12,"")</f>
        <v/>
      </c>
      <c r="LW12" s="14" t="str">
        <f>IF(SUM(LT12,LV12)&gt;0,SUM(LT12,LV12),"")</f>
        <v/>
      </c>
      <c r="LX12" s="37"/>
      <c r="LY12" s="37"/>
      <c r="LZ12" s="37"/>
      <c r="MA12" s="37"/>
      <c r="MB12" s="37"/>
      <c r="MC12" s="37"/>
      <c r="MD12" s="37"/>
      <c r="ME12" s="37"/>
      <c r="MF12" s="37"/>
      <c r="MG12" s="37"/>
      <c r="MH12" s="37"/>
      <c r="MI12" s="37"/>
      <c r="MJ12" s="37"/>
      <c r="MK12" s="37"/>
      <c r="ML12" s="37"/>
      <c r="MM12" s="11" t="str">
        <f>IF(ME12&gt;0,ME12,"")</f>
        <v/>
      </c>
      <c r="MN12" s="11" t="str">
        <f>IF(SUM(LX12:MA12)-MB12&gt;0,SUM(LX12:MA12)-MB12,"")</f>
        <v/>
      </c>
      <c r="MO12" s="11" t="str">
        <f>IF(SUM(MC12:MF12)-MG12&gt;0,SUM(MC12:MF12)-MG12,"")</f>
        <v/>
      </c>
      <c r="MP12" s="11" t="str">
        <f>IF(SUM(MN12:MO12)&gt;0,SUM(MN12:MO12),"")</f>
        <v/>
      </c>
      <c r="MQ12" s="11" t="str">
        <f>IF(MJ12&gt;0,MJ12,"")</f>
        <v/>
      </c>
      <c r="MR12" s="11" t="str">
        <f>IF(SUM(MH12:MK12)-ML12&gt;0,SUM(MH12:MK12)-ML12,"")</f>
        <v/>
      </c>
      <c r="MS12" s="11" t="str">
        <f>IF(SUM(MP12,MR12)&gt;0,SUM(MP12,MR12),"")</f>
        <v/>
      </c>
      <c r="MT12" s="38"/>
      <c r="MU12" s="38"/>
      <c r="MV12" s="38"/>
      <c r="MW12" s="38"/>
      <c r="MX12" s="38"/>
      <c r="MY12" s="38"/>
      <c r="MZ12" s="38"/>
      <c r="NA12" s="38"/>
      <c r="NB12" s="38"/>
      <c r="NC12" s="38"/>
      <c r="ND12" s="38"/>
      <c r="NE12" s="38"/>
      <c r="NF12" s="38"/>
      <c r="NG12" s="38"/>
      <c r="NH12" s="38"/>
      <c r="NI12" s="14" t="str">
        <f>IF(NA12&gt;0,NA12,"")</f>
        <v/>
      </c>
      <c r="NJ12" s="14" t="str">
        <f>IF(SUM(MT12:MW12)-MX12&gt;0,SUM(MT12:MW12)-MX12,"")</f>
        <v/>
      </c>
      <c r="NK12" s="14" t="str">
        <f>IF(SUM(MY12:NB12)-NC12&gt;0,SUM(MY12:NB12)-NC12,"")</f>
        <v/>
      </c>
      <c r="NL12" s="14" t="str">
        <f>IF(SUM(NJ12:NK12)&gt;0,SUM(NJ12:NK12),"")</f>
        <v/>
      </c>
      <c r="NM12" s="14" t="str">
        <f>IF(NF12&gt;0,NF12,"")</f>
        <v/>
      </c>
      <c r="NN12" s="14" t="str">
        <f>IF(SUM(ND12:NG12)-NH12&gt;0,SUM(ND12:NG12)-NH12,"")</f>
        <v/>
      </c>
      <c r="NO12" s="14" t="str">
        <f>IF(SUM(NL12,NN12)&gt;0,SUM(NL12,NN12),"")</f>
        <v/>
      </c>
      <c r="NP12" s="69">
        <f>IF($CX12="P",CD12,(CD12+AZ12)/2)</f>
        <v>0</v>
      </c>
      <c r="NQ12" s="69">
        <f>IF($CX12="P",CE12,(CE12+BA12)/2)</f>
        <v>0</v>
      </c>
      <c r="NR12" s="69">
        <f>IF($CX12="P",CF12,(CF12+BB12)/2)</f>
        <v>0</v>
      </c>
      <c r="NS12" s="69">
        <f>IF($CX12="P",CG12,(CG12+BC12)/2)</f>
        <v>0</v>
      </c>
      <c r="NT12" s="69">
        <f>IF($CX12="P",CH12,(CH12+BD12)/2)</f>
        <v>0</v>
      </c>
      <c r="NU12" s="69">
        <f>IF($CX12="P",CI12,(CI12+BE12)/2)</f>
        <v>0</v>
      </c>
      <c r="NV12" s="69">
        <f>IF($CX12="P",CJ12,(CJ12+BF12)/2)</f>
        <v>0</v>
      </c>
      <c r="NW12" s="69">
        <f>IF($CX12="P",CK12,(CK12+BG12)/2)</f>
        <v>0</v>
      </c>
      <c r="NX12" s="69">
        <f>IF($CX12="P",CL12,(CL12+BH12)/2)</f>
        <v>0</v>
      </c>
      <c r="NY12" s="69">
        <f>IF($CX12="P",CM12,(CM12+BI12)/2)</f>
        <v>0</v>
      </c>
      <c r="NZ12" s="69">
        <f>IF($CX12="P",CN12,(CN12+BJ12)/2)</f>
        <v>0</v>
      </c>
      <c r="OA12" s="69">
        <f>IF($CX12="P",CO12,(CO12+BK12)/2)</f>
        <v>0</v>
      </c>
      <c r="OB12" s="69">
        <f>IF($CX12="P",CP12,(CP12+BL12)/2)</f>
        <v>0</v>
      </c>
      <c r="OC12" s="69">
        <f>IF($CX12="P",CQ12,(CQ12+BM12)/2)</f>
        <v>0</v>
      </c>
      <c r="OD12" s="69">
        <f>IF($CX12="P",CR12,(CR12+BN12)/2)</f>
        <v>0</v>
      </c>
      <c r="OE12" s="69">
        <f>IF($CX12="P",CS12,(CS12+BO12)/2)</f>
        <v>0</v>
      </c>
      <c r="OF12" s="69">
        <f>IF($CX12="P",CT12,(CT12+BP12)/2)</f>
        <v>0</v>
      </c>
      <c r="OG12" s="69">
        <f>IF($CX12="P",CU12,(CU12+BQ12)/2)</f>
        <v>0</v>
      </c>
      <c r="OH12" s="69">
        <f>IF($CX12="P",CV12,(CV12+BR12)/2)</f>
        <v>0</v>
      </c>
      <c r="OI12" s="69">
        <f>IF($CX12="P",CW12,(CW12+BS12)/2)</f>
        <v>0</v>
      </c>
      <c r="OJ12" s="80" t="s">
        <v>74</v>
      </c>
      <c r="OK12" s="11" t="str">
        <f>IF(SUM(NP12:NS12)-NT12&gt;0,SUM(NP12:NS12)-NT12,"")</f>
        <v/>
      </c>
      <c r="OL12" s="11" t="str">
        <f>IF(NW12&gt;0,NW12,"")</f>
        <v/>
      </c>
      <c r="OM12" s="11" t="str">
        <f>IF(SUM(NU12:NX12)-NY12&gt;0,SUM(NU12:NX12)-NY12,"")</f>
        <v/>
      </c>
      <c r="ON12" s="11" t="str">
        <f>IF(OB12&gt;0,OB12,"")</f>
        <v/>
      </c>
      <c r="OO12" s="11" t="str">
        <f>IF(SUM(NZ12:OC12)-OD12&gt;0,SUM(NZ12:OC12)-OD12,"")</f>
        <v/>
      </c>
      <c r="OP12" s="11" t="str">
        <f>IF(OR(OK12&lt;&gt;"",OM12&lt;&gt;"",OO12&lt;&gt;""),OK12+MAX(OM12,OO12),"")</f>
        <v/>
      </c>
      <c r="OQ12" s="11" t="str">
        <f>IF(OG12&gt;0,OG12,"")</f>
        <v/>
      </c>
      <c r="OR12" s="11" t="str">
        <f t="shared" si="0"/>
        <v/>
      </c>
      <c r="OS12" s="11" t="str">
        <f t="shared" si="1"/>
        <v/>
      </c>
    </row>
    <row r="13" spans="1:409" x14ac:dyDescent="0.2">
      <c r="A13" s="5" t="str" cm="1">
        <f t="array" ref="A13">IF(AND(G13&lt;&gt;"",H13&lt;&gt;""),SUMPRODUCT((G$4:G$15&lt;&gt;"")*(H$4:H$15&lt;&gt;"")*(E$4:E$15&gt;E13))+1,IF(H13&lt;&gt;"",SUMPRODUCT((I$4:I$15="No DD")*(E$4:E$15&gt;E13))+1+SUMPRODUCT((G$4:G$15&lt;&gt;"")*(H$4:H$15&lt;&gt;"")),""))</f>
        <v/>
      </c>
      <c r="B13" s="127" t="s">
        <v>112</v>
      </c>
      <c r="C13" s="5" t="s">
        <v>3</v>
      </c>
      <c r="D13" s="5">
        <v>2002</v>
      </c>
      <c r="E13" s="15">
        <f>SUM(K13:S13)</f>
        <v>225.55999999999997</v>
      </c>
      <c r="F13" s="3" t="str">
        <f>IF(G13&lt;&gt;"","P","")</f>
        <v/>
      </c>
      <c r="G13" s="125" t="str">
        <f>IF(OR(AND(AR13&gt;=AY$20,AR13&lt;&gt;"",AP13=""),AND(AT13&gt;=AY$20,AT13&lt;&gt;"",AP13=""),AND(AW13&gt;=AY$20,AW13&lt;&gt;"",AP13=""),AND(BV13&gt;=CC$20,BV13&lt;&gt;"",BT13=""),AND(BX13&gt;=CC$20,BX13&lt;&gt;"",BT13=""),AND(CA13&gt;=CC$20,CA13&lt;&gt;"",BT13=""),AND(CZ13&gt;=DG$20,CZ13&lt;&gt;"",CX13=""),AND(DB13&gt;=DG$20,DB13&lt;&gt;"",CX13=""),AND(DE13&gt;=DG$20,DE13&lt;&gt;"",CX13=""),AND(EA13&gt;=EG$20,EA13&lt;&gt;""),AND(EE13&gt;=EG$20,EE13&lt;&gt;""),AND(EW13&gt;=FC$20,EW13&lt;&gt;""),AND(FA13&gt;=FC$20,FA13&lt;&gt;""),AND(FS13&gt;=FY$20,FS13&lt;&gt;""),AND(FW13&gt;=FY$20,FW13&lt;&gt;""),AND(GO13&gt;=GU$20,GO13&lt;&gt;""),AND(GS13&gt;=GU$20,GS13&lt;&gt;""),AND(HK13&gt;=HQ$20,HK13&lt;&gt;""),AND(HO13&gt;=HQ$20,HO13&lt;&gt;""),AND(IG13&gt;=IM$20,IG13&lt;&gt;""),AND(IK13&gt;=IM$20,IK13&lt;&gt;""),AND(JC13&gt;=JI$20,JC13&lt;&gt;""),AND(JG13&gt;=JI$20,JG13&lt;&gt;""),AND(JY13&gt;=KE$20,JY13&lt;&gt;""),AND(KC13&gt;=KE$20,KC13&lt;&gt;""),AND(KU13&gt;=LA$20,KU13&lt;&gt;""),AND(KY13&gt;=LA$20,KY13&lt;&gt;""),AND(LQ13&gt;=LW$20,LQ13&lt;&gt;""),AND(LU13&gt;=LW$20,LU13&lt;&gt;""),AND(MM13&gt;=MS$20,MM13&lt;&gt;""),AND(MQ13&gt;=MS$20,MQ13&lt;&gt;""),AND(NI13&gt;=NO$20,NI13&lt;&gt;""),AND(NM13&gt;=NO$20,NM13&lt;&gt;"")),"Merit",IF(OR(AND(AR13&gt;=AY$19,AR13&lt;&gt;"",AP13=""),AND(AT13&gt;=AY$19,AT13&lt;&gt;"",AP13=""),AND(AW13&gt;=AY$19,AW13&lt;&gt;"",AP13=""),AND(BV13&gt;=CC$19,BV13&lt;&gt;"",BT13=""),AND(BX13&gt;=CC$19,BX13&lt;&gt;"",BT13=""),AND(CA13&gt;=CC$19,CA13&lt;&gt;"",BT13=""),AND(CZ13&gt;=DG$19,CZ13&lt;&gt;"",CX13=""),AND(DB13&gt;=DG$19,DB13&lt;&gt;"",CX13=""),AND(DE13&gt;=DG$19,DE13&lt;&gt;"",CX13=""),AND(EA13&gt;=EG$19,EA13&lt;&gt;""),AND(EE13&gt;=EG$19,EE13&lt;&gt;""),AND(EW13&gt;=FC$19,EW13&lt;&gt;""),AND(FA13&gt;=FC$19,FA13&lt;&gt;""),AND(FS13&gt;=FY$19,FS13&lt;&gt;""),AND(FW13&gt;=FY$19,FW13&lt;&gt;""),AND(GO13&gt;=GU$19,GO13&lt;&gt;""),AND(GS13&gt;=GU$19,GS13&lt;&gt;""),AND(HK13&gt;=HQ$19,HK13&lt;&gt;""),AND(HO13&gt;=HQ$19,HO13&lt;&gt;""),AND(IG13&gt;=IM$19,IG13&lt;&gt;""),AND(IK13&gt;=IM$19,IK13&lt;&gt;""),AND(JC13&gt;=JI$19,JC13&lt;&gt;""),AND(JG13&gt;=JI$19,JG13&lt;&gt;""),AND(JY13&gt;=KE$19,JY13&lt;&gt;""),AND(KC13&gt;=KE$19,KC13&lt;&gt;""),AND(KU13&gt;=LA$19,KU13&lt;&gt;""),AND(KY13&gt;=LA$19,KY13&lt;&gt;""),AND(LQ13&gt;=LW$19,LQ13&lt;&gt;""),AND(LU13&gt;=LW$19,LU13&lt;&gt;""),AND(MM13&gt;=MS$19,MM13&lt;&gt;""),AND(MQ13&gt;=MS$19,MQ13&lt;&gt;""),AND(NI13&gt;=NO$19,NI13&lt;&gt;""),AND(NM13&gt;=NO$19,NM13&lt;&gt;"")),"Excellence",IF(OR(AND(AR13&gt;=AY$18,AR13&lt;&gt;"",AP13=""),AND(AT13&gt;=AY$18,AT13&lt;&gt;"",AP13=""),AND(AW13&gt;=AY$18,AW13&lt;&gt;"",AP13=""),AND(BV13&gt;=CC$18,BV13&lt;&gt;"",BT13=""),AND(BX13&gt;=CC$18,BX13&lt;&gt;"",BT13=""),AND(CA13&gt;=CC$18,CA13&lt;&gt;"",BT13=""),AND(CZ13&gt;=DG$18,CZ13&lt;&gt;"",CX13=""),AND(DB13&gt;=DG$18,DB13&lt;&gt;"",CX13=""),AND(DE13&gt;=DG$18,DE13&lt;&gt;"",CX13=""),AND(EA13&gt;=EG$18,EA13&lt;&gt;""),AND(EE13&gt;=EG$18,EE13&lt;&gt;""),AND(EW13&gt;=FC$18,EW13&lt;&gt;""),AND(FA13&gt;=FC$18,FA13&lt;&gt;""),AND(FS13&gt;=FY$18,FS13&lt;&gt;""),AND(FW13&gt;=FY$18,FW13&lt;&gt;""),AND(GO13&gt;=GU$18,GO13&lt;&gt;""),AND(GS13&gt;=GU$18,GS13&lt;&gt;""),AND(HK13&gt;=HQ$18,HK13&lt;&gt;""),AND(HO13&gt;=HQ$18,HO13&lt;&gt;""),AND(IG13&gt;=IM$18,IG13&lt;&gt;""),AND(IK13&gt;=IM$18,IK13&lt;&gt;""),AND(JC13&gt;=JI$18,JC13&lt;&gt;""),AND(JG13&gt;=JI$18,JG13&lt;&gt;""),AND(JY13&gt;=KE$18,JY13&lt;&gt;""),AND(KC13&gt;=KE$18,KC13&lt;&gt;""),AND(KU13&gt;=LA$18,KU13&lt;&gt;""),AND(KY13&gt;=LA$18,KY13&lt;&gt;""),AND(LQ13&gt;=LW$18,LQ13&lt;&gt;""),AND(LU13&gt;=LW$18,LU13&lt;&gt;""),AND(MM13&gt;=MS$18,MM13&lt;&gt;""),AND(MQ13&gt;=MS$18,MQ13&lt;&gt;""),AND(NI13&gt;=NO$18,NI13&lt;&gt;""),AND(NM13&gt;=NO$18,NM13&lt;&gt;"")),"Worlds Team",IF(OR(AND(AR13&gt;=AY$17,AR13&lt;&gt;"",AP13=""),AND(AT13&gt;=AY$17,AT13&lt;&gt;"",AP13=""),AND(AW13&gt;=AY$17,AW13&lt;&gt;"",AP13=""),AND(BV13&gt;=CC$17,BV13&lt;&gt;"",BT13=""),AND(BX13&gt;=CC$17,BX13&lt;&gt;"",BT13=""),AND(CA13&gt;=CC$17,CA13&lt;&gt;"",BT13=""),AND(CZ13&gt;=DG$17,CZ13&lt;&gt;"",CX13=""),AND(DB13&gt;=DG$17,DB13&lt;&gt;"",CX13=""),AND(DE13&gt;=DG$17,DE13&lt;&gt;"",CX13=""),AND(EA13&gt;=EG$17,EA13&lt;&gt;""),AND(EE13&gt;=EG$17,EE13&lt;&gt;""),AND(EW13&gt;=FC$17,EW13&lt;&gt;""),AND(FA13&gt;=FC$17,FA13&lt;&gt;""),AND(FS13&gt;=FY$17,FS13&lt;&gt;""),AND(FW13&gt;=FY$17,FW13&lt;&gt;""),AND(GO13&gt;=GU$17,GO13&lt;&gt;""),AND(GS13&gt;=GU$17,GS13&lt;&gt;""),AND(HK13&gt;=HQ$17,HK13&lt;&gt;""),AND(HO13&gt;=HQ$17,HO13&lt;&gt;""),AND(IG13&gt;=IM$17,IG13&lt;&gt;""),AND(IK13&gt;=IM$17,IK13&lt;&gt;""),AND(JC13&gt;=JI$17,JC13&lt;&gt;""),AND(JG13&gt;=JI$17,JG13&lt;&gt;""),AND(JY13&gt;=KE$17,JY13&lt;&gt;""),AND(KC13&gt;=KE$17,KC13&lt;&gt;""),AND(KU13&gt;=LA$17,KU13&lt;&gt;""),AND(KY13&gt;=LA$17,KY13&lt;&gt;""),AND(LQ13&gt;=LW$17,LQ13&lt;&gt;""),AND(LU13&gt;=LW$17,LU13&lt;&gt;""),AND(MM13&gt;=MS$17,MM13&lt;&gt;""),AND(MQ13&gt;=MS$17,MQ13&lt;&gt;""),AND(NI13&gt;=NO$17,NI13&lt;&gt;""),AND(NM13&gt;=NO$17,NM13&lt;&gt;"")),"National Team",""))))</f>
        <v/>
      </c>
      <c r="H13" s="125" t="str">
        <f>IF(OR(AND(AS13&gt;=AY$24,AS13&lt;&gt;"",AP13=""),AND(AU13&gt;=AY$24,AU13&lt;&gt;"",AP13=""),AND(AX13&gt;=AY$24,AX13&lt;&gt;"",AP13=""),AND(BW13&gt;=CC$24,BW13&lt;&gt;"",BT13=""),AND(BY13&gt;=CC$24,BY13&lt;&gt;"",BT13=""),AND(CB13&gt;=CC$24,CB13&lt;&gt;"",BT13=""),AND(DA13&gt;=DG$24,DA13&lt;&gt;"",CX13=""),AND(DC13&gt;=DG$24,DC13&lt;&gt;"",CX13=""),AND(DF13&gt;=DG$24,DF13&lt;&gt;"",CX13=""),AND(EC13&gt;=EG$24,EC13&lt;&gt;""),AND(EF13&gt;=EG$24,EF13&lt;&gt;""),AND(EY13&gt;=FC$24,EY13&lt;&gt;""),AND(FB13&gt;=FC$24,FB13&lt;&gt;""),AND(FU13&gt;=FY$24,FU13&lt;&gt;""),AND(FX13&gt;=FY$24,FX13&lt;&gt;""),AND(GQ13&gt;=GU$24,GQ13&lt;&gt;""),AND(GT13&gt;=GU$24,GT13&lt;&gt;""),AND(HM13&gt;=HQ$24,HM13&lt;&gt;""),AND(HP13&gt;=HQ$24,HP13&lt;&gt;""),AND(II13&gt;=IM$24,II13&lt;&gt;""),AND(IL13&gt;=IM$24,IL13&lt;&gt;""),AND(JE13&gt;=JI$24,JE13&lt;&gt;""),AND(JH13&gt;=JI$24,JH13&lt;&gt;""),AND(KA13&gt;=KE$24,KA13&lt;&gt;""),AND(KD13&gt;=KE$24,KD13&lt;&gt;""),AND(KW13&gt;=LA$24,KW13&lt;&gt;""),AND(KZ13&gt;=LA$24,KZ13&lt;&gt;""),AND(LS13&gt;=LW$24,LS13&lt;&gt;""),AND(LV13&gt;=LW$24,LV13&lt;&gt;""),AND(MO13&gt;=MS$24,MO13&lt;&gt;""),AND(MR13&gt;=MS$24,MR13&lt;&gt;""),AND(NK13&gt;=NO$24,NK13&lt;&gt;""),AND(NN13&gt;=NO$24,NN13&lt;&gt;"")),"Merit",IF(OR(AND(AS13&gt;=AY$23,AS13&lt;&gt;"",AP13=""),AND(AU13&gt;=AY$23,AU13&lt;&gt;"",AP13=""),AND(AX13&gt;=AY$23,AX13&lt;&gt;"",AP13=""),AND(BW13&gt;=CC$23,BW13&lt;&gt;"",BT13=""),AND(BY13&gt;=CC$23,BY13&lt;&gt;"",BT13=""),AND(CB13&gt;=CC$23,CB13&lt;&gt;"",BT13=""),AND(DA13&gt;=DG$23,DA13&lt;&gt;"",CX13=""),AND(DC13&gt;=DG$23,DC13&lt;&gt;"",CX13=""),AND(DF13&gt;=DG$23,DF13&lt;&gt;"",CX13=""),AND(EC13&gt;=EG$23,EC13&lt;&gt;""),AND(EF13&gt;=EG$23,EF13&lt;&gt;""),AND(EY13&gt;=FC$23,EY13&lt;&gt;""),AND(FB13&gt;=FC$23,FB13&lt;&gt;""),AND(FU13&gt;=FY$23,FU13&lt;&gt;""),AND(FX13&gt;=FY$23,FX13&lt;&gt;""),AND(GQ13&gt;=GU$23,GQ13&lt;&gt;""),AND(GT13&gt;=GU$23,GT13&lt;&gt;""),AND(HM13&gt;=HQ$23,HM13&lt;&gt;""),AND(HP13&gt;=HQ$23,HP13&lt;&gt;""),AND(II13&gt;=IM$23,II13&lt;&gt;""),AND(IL13&gt;=IM$23,IL13&lt;&gt;""),AND(JE13&gt;=JI$23,JE13&lt;&gt;""),AND(JH13&gt;=JI$23,JH13&lt;&gt;""),AND(KA13&gt;=KE$23,KA13&lt;&gt;""),AND(KD13&gt;=KE$23,KD13&lt;&gt;""),AND(KW13&gt;=LA$23,KW13&lt;&gt;""),AND(KZ13&gt;=LA$23,KZ13&lt;&gt;""),AND(LS13&gt;=LW$23,LS13&lt;&gt;""),AND(LV13&gt;=LW$23,LV13&lt;&gt;""),AND(MO13&gt;=MS$23,MO13&lt;&gt;""),AND(MR13&gt;=MS$23,MR13&lt;&gt;""),AND(NK13&gt;=NO$23,NK13&lt;&gt;""),AND(NN13&gt;=NO$23,NN13&lt;&gt;"")),"Excellence",IF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"Worlds Team",IF(OR(AND(AV13&gt;=AY$21,AV13&lt;&gt;"",AP13=""),AND(BZ13&gt;=CC$21,BZ13&lt;&gt;"",BT13=""),AND(DD13&gt;=DG$21,DD13&lt;&gt;"",CX13=""),AND(ED13&gt;=EG$21,ED13&lt;&gt;""),AND(EZ13&gt;=FC$21,EZ13&lt;&gt;""),AND(FV13&gt;=FY$21,FV13&lt;&gt;""),AND(GR13&gt;=GU$21,GR13&lt;&gt;""),AND(HN13&gt;=HQ$21,HN13&lt;&gt;""),AND(IJ13&gt;=IM$21,IJ13&lt;&gt;""),AND(JF13&gt;=JI$21,JF13&lt;&gt;""),AND(KB13&gt;=KE$21,KB13&lt;&gt;""),AND(KX13&gt;=LA$21,KX13&lt;&gt;""),AND(LT13&gt;=LW$21,LT13&lt;&gt;""),AND(MP13&gt;=MS$21,MP13&lt;&gt;""),AND(NL13&gt;=NO$21,NL13&lt;&gt;"")),"National Team",""))))</f>
        <v/>
      </c>
      <c r="I13" s="126" t="str">
        <f>IF(AND(G13="Merit",H13="Merit"),"Merit",IF(AND(OR(G13="Merit",G13="Excellence"),OR(H13="Merit",H13="Excellence")),"Excellence",IF(AND(OR(G13="Merit",G13="Excellence",G13="Worlds Team"),OR(H13="Merit",H13="Excellence",H13="Worlds Team")),"Worlds Team",IF(AND(OR(G13="Merit",G13="Excellence",G13="Worlds Team",G13="National Team"),OR(H13="Merit",H13="Excellence",H13="Worlds Team",H13="National Team")),"National Team",IF(OR(H13="Merit",H13="Excellence",H13="Worlds Team",H13="National Team"),"No DD","")))))</f>
        <v/>
      </c>
      <c r="J13" s="3" t="str">
        <f>IF(AND(OR(AND(AV13&gt;=AY$22,AV13&lt;&gt;"",AP13=""),AND(BZ13&gt;=CC$22,BZ13&lt;&gt;"",BT13=""),AND(DD13&gt;=DG$22,DD13&lt;&gt;"",CX13=""),AND(ED13&gt;=EG$22,ED13&lt;&gt;""),AND(EZ13&gt;=FC$22,EZ13&lt;&gt;""),AND(FV13&gt;=FY$22,FV13&lt;&gt;""),AND(GR13&gt;=GU$22,GR13&lt;&gt;""),AND(HN13&gt;=HQ$22,HN13&lt;&gt;""),AND(IJ13&gt;=IM$22,IJ13&lt;&gt;""),AND(JF13&gt;=JI$22,JF13&lt;&gt;""),AND(KB13&gt;=KE$22,KB13&lt;&gt;""),AND(KX13&gt;=LA$22,KX13&lt;&gt;""),AND(LT13&gt;=LW$22,LT13&lt;&gt;""),AND(MP13&gt;=MS$22,MP13&lt;&gt;""),AND(NL13&gt;=NO$22,NL13&lt;&gt;"")),OR(G13="Worlds Team",G13="Excellence",G13="Merit")),"P","")</f>
        <v/>
      </c>
      <c r="K13" s="14">
        <f>IF(MAX(AV13,BZ13,DD13)&gt;0,MAX(AV13,BZ13,DD13),0)</f>
        <v>88.94</v>
      </c>
      <c r="L13" s="14" t="str">
        <f>IF(K13=0,"",IF(K13=DD13,$CD$1,IF(K13=BZ13,$AZ$1,IF(K13=AV13,$V$1,""))))</f>
        <v>2021 Elite Canada</v>
      </c>
      <c r="M13" s="14">
        <f>IF($K13=$AV13,MAX(BU13,CY13),IF($K13=$BZ13,MAX(AQ13,CY13),IF($K13=$DD13,MAX(AQ13,BU13),MAX(AQ13,BU13,CY13))))</f>
        <v>44.164999999999999</v>
      </c>
      <c r="N13" s="14" t="str">
        <f>IF(M13=0,"",IF(AND(M13=CY13,$L13&lt;&gt;$CD$1),$CD$1,IF(AND(M13=BU13,$L13&lt;&gt;$AZ$1),$AZ$1,IF(AND(M13=AQ13,$L13&lt;&gt;$V$1),$V$1,""))))</f>
        <v>2021 Canadian Championships</v>
      </c>
      <c r="O13" s="14">
        <f>IF(K13-N(AQ13)=AS13,MAX(AU13,BW13,BY13,DA13,DC13),IF(K13-N(AQ13)=AU13,MAX(AS13,BW13,BY13,DA13,DC13),IF(K13-N(BU13)=BW13,MAX(AS13,AU13,BY13,DA13,DC13),IF(K13-N(BU13)=BY13,MAX(AS13,AU13,BW13,DA13,DC13),IF(K13-N(CY13)=DA13,MAX(AS13,AU13,BW13,BY13,DC13),IF(K13-N(CY13)=DC13,MAX(AS13,AU13,BW13,BY13,DA13),MAX(AS13,AU13,BW13,BY13,DA13,DC13)))))))</f>
        <v>46.389999999999993</v>
      </c>
      <c r="P13" s="14" t="str">
        <f>IF(O13=0,"",IF(OR(O13=DC13,O13=DA13),$CD$1,IF(OR(O13=BY13,O13=BW13),$AZ$1,IF(OR(O13=AU13,O13=AS13),$V$1,""))))</f>
        <v>2021 2nd Virtual Technical Trial</v>
      </c>
      <c r="Q13" s="14">
        <f>MAX(AX13,CB13,DF13)</f>
        <v>46.064999999999998</v>
      </c>
      <c r="R13" s="14" t="str">
        <f>IF(Q13=0,"",IF(Q13=DF13,$CD$1,IF(Q13=CB13,$AZ$1,IF(Q13=AX13,$V$1,""))))</f>
        <v>2021 Canadian Championships</v>
      </c>
      <c r="S13" s="14" t="str">
        <f>IF(MAX(DH13,DI13,DJ13,DK13)&gt;0,MAX(DH13,DI13,DJ13,DK13),"")</f>
        <v/>
      </c>
      <c r="T13" s="25" t="str">
        <f>IF(S13="","",IF(S13=DH13,"(Vol 1)",IF(S13=DI13,"(Vol 2)",IF(S13=DJ13,"(Prelim)",IF(S13=DK13,"(Final)")))))</f>
        <v/>
      </c>
      <c r="U13" s="14" t="str">
        <f>IF(S13="","",IF(S13=DH13,IF(S13+IF(M13="",0,M13)=NJ13,$MT$1,IF(S13+IF(M13="",0,M13)=MN13,$LX$1,IF(S13+IF(M13="",0,M13)=LR13,$LB$1,IF(S13+IF(M13="",0,M13)=KV13,$KF$1,IF(S13+IF(M13="",0,M13)=JZ13,$JJ$1,IF(S13+IF(M13="",0,M13)=JD13,$IN$1,IF(S13+IF(M13="",0,M13)=IH13,$HR$1,IF(S13+IF(M13="",0,M13)=HL13,$GV$1,IF(S13+IF(M13="",0,M13)=GP13,$FZ$1,IF(S13+IF(M13="",0,M13)=FT13,$FD$1,IF(S13+IF(M13="",0,M13)=EX13,$EH$1,IF(S13+IF(M13="",0,M13)=EB13,$DL$1)))))))))))),IF(S13=DI13,IF(S13+IF(O13="",0,O13)=NK13,$MT$1,IF(S13+IF(O13="",0,O13)=MO13,$LX$1,IF(S13+IF(O13="",0,O13)=LS13,$LB$1,IF(S13+IF(O13="",0,O13)=KW13,$KF$1,IF(S13+IF(O13="",0,O13)=KA13,$JJ$1,IF(S13+IF(O13="",0,O13)=JE13,$IN$1,IF(S13+IF(O13="",0,O13)=II13,$HR$1,IF(S13+IF(O13="",0,O13)=HM13,$GV$1,IF(S13+IF(O13="",0,O13)=GQ13,$FZ$1,IF(S13+IF(O13="",0,O13)=FU13,$FD$1,IF(S13+IF(O13="",0,O13)=EY13,$EH$1,IF(S13+IF(O13="",0,O13)=EC13,$DL$1)))))))))))),IF(S13=DJ13,IF(S13+IF(K13="",0,K13)=NL13,$MT$1,IF(S13+IF(K13="",0,K13)=MP13,$LX$1,IF(S13+IF(K13="",0,K13)=LT13,$LB$1,IF(S13+IF(K13="",0,K13)=KX13,$KF$1,IF(S13+IF(K13="",0,K13)=KB13,$JJ$1,IF(S13+IF(K13="",0,K13)=JF13,$IN$1,IF(S13+IF(K13="",0,K13)=IJ13,$HR$1,IF(S13+IF(K13="",0,K13)=HN13,$GV$1,IF(S13+IF(K13="",0,K13)=GR13,$FZ$1,IF(S13+IF(K13="",0,K13)=FV13,$FD$1,IF(S13+IF(K13="",0,K13)=EZ13,$EH$1,IF(S13+IF(K13="",0,K13)=ED13,$DL$1)))))))))))),IF(S13=DK13,IF(S13+IF(Q13="",0,Q13)=NN13,$MT$1,IF(S13+IF(Q13="",0,Q13)=MR13,$LX$1,IF(S13+IF(Q13="",0,Q13)=LV13,$LB$1,IF(S13+IF(Q13="",0,Q13)=KZ13,$KF$1,IF(S13+IF(Q13="",0,Q13)=KD13,$JJ$1,IF(S13+IF(Q13="",0,Q13)=JH13,$IN$1,IF(S13+IF(Q13="",0,Q13)=IL13,$HR$1,IF(S13+IF(Q13="",0,Q13)=HP13,$GV$1,IF(S13+IF(Q13="",0,Q13)=GT13,$FZ$1,IF(S13+IF(Q13="",0,Q13)=FX13,$FD$1,IF(S13+IF(Q13="",0,Q13)=FB13,$EH$1,IF(S13+IF(Q13="",0,Q13)=EF13,$DL$1)))))))))))))))))</f>
        <v/>
      </c>
      <c r="V13" s="69">
        <v>2.9</v>
      </c>
      <c r="W13" s="69">
        <v>1.6</v>
      </c>
      <c r="X13" s="69">
        <v>1.5</v>
      </c>
      <c r="Y13" s="69">
        <v>2.85</v>
      </c>
      <c r="Z13" s="69">
        <v>0</v>
      </c>
      <c r="AA13" s="69">
        <v>11.8</v>
      </c>
      <c r="AB13" s="69">
        <v>7.9</v>
      </c>
      <c r="AC13" s="69">
        <v>9.1</v>
      </c>
      <c r="AD13" s="69">
        <v>12.605</v>
      </c>
      <c r="AE13" s="69">
        <v>0</v>
      </c>
      <c r="AF13" s="69">
        <v>13.7</v>
      </c>
      <c r="AG13" s="69">
        <v>9.1</v>
      </c>
      <c r="AH13" s="69">
        <v>10.5</v>
      </c>
      <c r="AI13" s="69">
        <v>13.79</v>
      </c>
      <c r="AJ13" s="69">
        <v>0.7</v>
      </c>
      <c r="AK13" s="69">
        <v>13.4</v>
      </c>
      <c r="AL13" s="69">
        <v>8.8000000000000007</v>
      </c>
      <c r="AM13" s="69">
        <v>9.8000000000000007</v>
      </c>
      <c r="AN13" s="69">
        <v>13.975</v>
      </c>
      <c r="AO13" s="69">
        <v>1.4</v>
      </c>
      <c r="AP13" s="80"/>
      <c r="AQ13" s="11">
        <f>IF(SUM(V13:Y13)-Z13&gt;0,SUM(V13:Y13)-Z13,"")</f>
        <v>8.85</v>
      </c>
      <c r="AR13" s="11">
        <f>IF(AC13&gt;0,AC13,"")</f>
        <v>9.1</v>
      </c>
      <c r="AS13" s="11">
        <f>IF(SUM(AA13:AD13)-AE13&gt;0,SUM(AA13:AD13)-AE13,"")</f>
        <v>41.405000000000001</v>
      </c>
      <c r="AT13" s="11">
        <f>IF(AH13&gt;0,AH13,"")</f>
        <v>10.5</v>
      </c>
      <c r="AU13" s="11">
        <f>IF(SUM(AF13:AI13)-AJ13&gt;0,SUM(AF13:AI13)-AJ13,"")</f>
        <v>46.389999999999993</v>
      </c>
      <c r="AV13" s="11">
        <f>IF(AQ13="",IF(MAX(AS13,AU13)&gt;0,MAX(AS13,AU13),""),MAX(AS13,AU13)+AQ13)</f>
        <v>55.239999999999995</v>
      </c>
      <c r="AW13" s="11">
        <f>IF(AM13&gt;0,AM13,"")</f>
        <v>9.8000000000000007</v>
      </c>
      <c r="AX13" s="11">
        <f>IF(SUM(AK13:AN13)-AO13&gt;0,SUM(AK13:AN13)-AO13,"")</f>
        <v>44.575000000000003</v>
      </c>
      <c r="AY13" s="11">
        <f>IF(SUM(AV13,AX13)&gt;0,SUM(AV13,AX13),"")</f>
        <v>99.814999999999998</v>
      </c>
      <c r="AZ13" s="75">
        <v>16</v>
      </c>
      <c r="BA13" s="75">
        <v>9.4</v>
      </c>
      <c r="BB13" s="75">
        <v>4</v>
      </c>
      <c r="BC13" s="75">
        <v>14.795</v>
      </c>
      <c r="BD13" s="75">
        <v>0.2</v>
      </c>
      <c r="BE13" s="75">
        <v>15.2</v>
      </c>
      <c r="BF13" s="75">
        <v>9.3000000000000007</v>
      </c>
      <c r="BG13" s="75">
        <v>8.6</v>
      </c>
      <c r="BH13" s="75">
        <v>14.645</v>
      </c>
      <c r="BI13" s="75">
        <v>2.8</v>
      </c>
      <c r="BJ13" s="75">
        <v>0</v>
      </c>
      <c r="BK13" s="75">
        <v>0</v>
      </c>
      <c r="BL13" s="75">
        <v>0</v>
      </c>
      <c r="BM13" s="75">
        <v>0</v>
      </c>
      <c r="BN13" s="75">
        <v>0</v>
      </c>
      <c r="BO13" s="75">
        <v>14.8</v>
      </c>
      <c r="BP13" s="75">
        <v>9.1</v>
      </c>
      <c r="BQ13" s="75">
        <v>9.1999999999999993</v>
      </c>
      <c r="BR13" s="75">
        <v>14.175000000000001</v>
      </c>
      <c r="BS13" s="75">
        <v>2.2000000000000002</v>
      </c>
      <c r="BT13" s="81"/>
      <c r="BU13" s="14">
        <f>IF(SUM(AZ13:BC13)-BD13&gt;0,SUM(AZ13:BC13)-BD13,"")</f>
        <v>43.994999999999997</v>
      </c>
      <c r="BV13" s="14">
        <f>IF(BG13&gt;0,BG13,"")</f>
        <v>8.6</v>
      </c>
      <c r="BW13" s="14">
        <f>IF(SUM(BE13:BH13)-BI13&gt;0,SUM(BE13:BH13)-BI13,"")</f>
        <v>44.945000000000007</v>
      </c>
      <c r="BX13" s="14" t="str">
        <f>IF(BL13&gt;0,BL13,"")</f>
        <v/>
      </c>
      <c r="BY13" s="14" t="str">
        <f>IF(SUM(BJ13:BM13)-BN13&gt;0,SUM(BJ13:BM13)-BN13,"")</f>
        <v/>
      </c>
      <c r="BZ13" s="14">
        <f>IF(BU13="",IF(MAX(BW13,BY13)&gt;0,MAX(BW13,BY13),""),MAX(BW13,BY13)+BU13)</f>
        <v>88.94</v>
      </c>
      <c r="CA13" s="14">
        <f>IF(BQ13&gt;0,BQ13,"")</f>
        <v>9.1999999999999993</v>
      </c>
      <c r="CB13" s="14">
        <f>IF(SUM(BO13:BR13)-BS13&gt;0,SUM(BO13:BR13)-BS13,"")</f>
        <v>45.074999999999989</v>
      </c>
      <c r="CC13" s="14">
        <f>IF(SUM(BZ13,CB13)&gt;0,SUM(BZ13,CB13),"")</f>
        <v>134.01499999999999</v>
      </c>
      <c r="CD13" s="69">
        <v>15.8</v>
      </c>
      <c r="CE13" s="69">
        <v>9.5</v>
      </c>
      <c r="CF13" s="69">
        <v>4</v>
      </c>
      <c r="CG13" s="69">
        <v>14.865</v>
      </c>
      <c r="CH13" s="69">
        <v>0</v>
      </c>
      <c r="CI13" s="69">
        <v>2.6</v>
      </c>
      <c r="CJ13" s="69">
        <v>1.7</v>
      </c>
      <c r="CK13" s="69">
        <v>2.7</v>
      </c>
      <c r="CL13" s="69">
        <v>3.03</v>
      </c>
      <c r="CM13" s="69">
        <v>0</v>
      </c>
      <c r="CN13" s="69">
        <v>11.3</v>
      </c>
      <c r="CO13" s="69">
        <v>6.7</v>
      </c>
      <c r="CP13" s="69">
        <v>7</v>
      </c>
      <c r="CQ13" s="69">
        <v>11.715</v>
      </c>
      <c r="CR13" s="69">
        <v>0</v>
      </c>
      <c r="CS13" s="69">
        <v>13.4</v>
      </c>
      <c r="CT13" s="69">
        <v>8.9</v>
      </c>
      <c r="CU13" s="69">
        <v>10.5</v>
      </c>
      <c r="CV13" s="69">
        <v>13.965</v>
      </c>
      <c r="CW13" s="69">
        <v>0.7</v>
      </c>
      <c r="CX13" s="80"/>
      <c r="CY13" s="11">
        <f>IF(SUM(CD13:CG13)-CH13&gt;0,SUM(CD13:CG13)-CH13,"")</f>
        <v>44.164999999999999</v>
      </c>
      <c r="CZ13" s="11">
        <f>IF(CK13&gt;0,CK13,"")</f>
        <v>2.7</v>
      </c>
      <c r="DA13" s="11">
        <f>IF(SUM(CI13:CL13)-CM13&gt;0,SUM(CI13:CL13)-CM13,"")</f>
        <v>10.029999999999999</v>
      </c>
      <c r="DB13" s="11">
        <f>IF(CP13&gt;0,CP13,"")</f>
        <v>7</v>
      </c>
      <c r="DC13" s="11">
        <f>IF(SUM(CN13:CQ13)-CR13&gt;0,SUM(CN13:CQ13)-CR13,"")</f>
        <v>36.715000000000003</v>
      </c>
      <c r="DD13" s="11">
        <f>IF(CY13="",IF(MAX(DA13,DC13)&gt;0,MAX(DA13,DC13),""),MAX(DA13,DC13)+CY13)</f>
        <v>80.88</v>
      </c>
      <c r="DE13" s="11">
        <f>IF(CU13&gt;0,CU13,"")</f>
        <v>10.5</v>
      </c>
      <c r="DF13" s="11">
        <f>IF(SUM(CS13:CV13)-CW13&gt;0,SUM(CS13:CV13)-CW13,"")</f>
        <v>46.064999999999998</v>
      </c>
      <c r="DG13" s="11">
        <f>IF(SUM(DD13,DF13)&gt;0,SUM(DD13,DF13),"")</f>
        <v>126.94499999999999</v>
      </c>
      <c r="DH13" s="24" t="str">
        <f>IF(MAX(EB13,EX13,FT13,GP13,HL13,IH13,JD13,JZ13,KV13,LR13,MN13,NJ13)-IF(M13="",0,M13)&gt;0.001,MAX(EB13,EX13,FT13,GP13,HL13,IH13,JD13,JZ13,KV13,LR13,MN13,NJ13)-IF(M13="",0,M13),"")</f>
        <v/>
      </c>
      <c r="DI13" s="24" t="str">
        <f>IF(MAX(EC13,EY13,FU13,GQ13,HM13,II13,JE13,KA13,KW13,LS13,MO13,NK13)-IF(O13="",0,O13)&gt;0.001,MAX(EC13,EY13,FU13,GQ13,HM13,II13,JE13,KA13,KW13,LS13,MO13,NK13)-IF(O13="",0,O13),"")</f>
        <v/>
      </c>
      <c r="DJ13" s="24" t="str">
        <f>IF(MAX(ED13,EZ13,FV13,GR13,HN13,IJ13,JF13,KB13,KX13,LT13,MP13,NL13)-IF(K13="",0,K13)&gt;0.001,MAX(ED13,EZ13,FV13,GR13,HN13,IJ13,JF13,KB13,KX13,LT13,MP13,NL13)-IF(K13="",0,K13),"")</f>
        <v/>
      </c>
      <c r="DK13" s="24" t="str">
        <f>IF(MAX(EF13,FB13,FX13,GT13,HP13,IL13,JH13,KD13,KZ13,LV13,MR13,NN13)-IF(Q13="",0,Q13)&gt;0.001,MAX(EF13,FB13,FX13,GT13,HP13,IL13,JH13,KD13,KZ13,LV13,MR13,NN13)-IF(Q13="",0,Q13),"")</f>
        <v/>
      </c>
      <c r="DL13" s="37"/>
      <c r="DM13" s="37"/>
      <c r="DN13" s="37"/>
      <c r="DO13" s="37"/>
      <c r="DP13" s="37"/>
      <c r="DQ13" s="37"/>
      <c r="DR13" s="37"/>
      <c r="DS13" s="37"/>
      <c r="DT13" s="37"/>
      <c r="DU13" s="37"/>
      <c r="DV13" s="37"/>
      <c r="DW13" s="37"/>
      <c r="DX13" s="37"/>
      <c r="DY13" s="37"/>
      <c r="DZ13" s="37"/>
      <c r="EA13" s="11" t="str">
        <f>IF(DS13&gt;0,DS13,"")</f>
        <v/>
      </c>
      <c r="EB13" s="11" t="str">
        <f>IF(SUM(DL13:DO13)-DP13&gt;0,SUM(DL13:DO13)-DP13,"")</f>
        <v/>
      </c>
      <c r="EC13" s="11" t="str">
        <f>IF(SUM(DQ13:DT13)-DU13&gt;0,SUM(DQ13:DT13)-DU13,"")</f>
        <v/>
      </c>
      <c r="ED13" s="11" t="str">
        <f>IF(SUM(EB13:EC13)&gt;0,SUM(EB13:EC13),"")</f>
        <v/>
      </c>
      <c r="EE13" s="11" t="str">
        <f>IF(DX13&gt;0,DX13,"")</f>
        <v/>
      </c>
      <c r="EF13" s="11" t="str">
        <f>IF(SUM(DV13:DY13)-DZ13&gt;0,SUM(DV13:DY13)-DZ13,"")</f>
        <v/>
      </c>
      <c r="EG13" s="11" t="str">
        <f>IF(SUM(ED13,EF13)&gt;0,SUM(ED13,EF13),"")</f>
        <v/>
      </c>
      <c r="EH13" s="38"/>
      <c r="EI13" s="38"/>
      <c r="EJ13" s="38"/>
      <c r="EK13" s="38"/>
      <c r="EL13" s="38"/>
      <c r="EM13" s="38"/>
      <c r="EN13" s="38"/>
      <c r="EO13" s="38"/>
      <c r="EP13" s="38"/>
      <c r="EQ13" s="38"/>
      <c r="ER13" s="38"/>
      <c r="ES13" s="38"/>
      <c r="ET13" s="38"/>
      <c r="EU13" s="38"/>
      <c r="EV13" s="38"/>
      <c r="EW13" s="14" t="str">
        <f>IF(EO13&gt;0,EO13,"")</f>
        <v/>
      </c>
      <c r="EX13" s="14" t="str">
        <f>IF(SUM(EH13:EK13)-EL13&gt;0,SUM(EH13:EK13)-EL13,"")</f>
        <v/>
      </c>
      <c r="EY13" s="14" t="str">
        <f>IF(SUM(EM13:EP13)-EQ13&gt;0,SUM(EM13:EP13)-EQ13,"")</f>
        <v/>
      </c>
      <c r="EZ13" s="14" t="str">
        <f>IF(SUM(EX13:EY13)&gt;0,SUM(EX13:EY13),"")</f>
        <v/>
      </c>
      <c r="FA13" s="14" t="str">
        <f>IF(ET13&gt;0,ET13,"")</f>
        <v/>
      </c>
      <c r="FB13" s="14" t="str">
        <f>IF(SUM(ER13:EU13)-EV13&gt;0,SUM(ER13:EU13)-EV13,"")</f>
        <v/>
      </c>
      <c r="FC13" s="14" t="str">
        <f>IF(SUM(EZ13,FB13)&gt;0,SUM(EZ13,FB13),"")</f>
        <v/>
      </c>
      <c r="FD13" s="37"/>
      <c r="FE13" s="37"/>
      <c r="FF13" s="37"/>
      <c r="FG13" s="37"/>
      <c r="FH13" s="37"/>
      <c r="FI13" s="37"/>
      <c r="FJ13" s="37"/>
      <c r="FK13" s="37"/>
      <c r="FL13" s="37"/>
      <c r="FM13" s="37"/>
      <c r="FN13" s="37"/>
      <c r="FO13" s="37"/>
      <c r="FP13" s="37"/>
      <c r="FQ13" s="37"/>
      <c r="FR13" s="37"/>
      <c r="FS13" s="11" t="str">
        <f>IF(FK13&gt;0,FK13,"")</f>
        <v/>
      </c>
      <c r="FT13" s="11" t="str">
        <f>IF(SUM(FD13:FG13)-FH13&gt;0,SUM(FD13:FG13)-FH13,"")</f>
        <v/>
      </c>
      <c r="FU13" s="11" t="str">
        <f>IF(SUM(FI13:FL13)-FM13&gt;0,SUM(FI13:FL13)-FM13,"")</f>
        <v/>
      </c>
      <c r="FV13" s="11" t="str">
        <f>IF(SUM(FT13:FU13)&gt;0,SUM(FT13:FU13),"")</f>
        <v/>
      </c>
      <c r="FW13" s="11" t="str">
        <f>IF(FP13&gt;0,FP13,"")</f>
        <v/>
      </c>
      <c r="FX13" s="11" t="str">
        <f>IF(SUM(FN13:FQ13)-FR13&gt;0,SUM(FN13:FQ13)-FR13,"")</f>
        <v/>
      </c>
      <c r="FY13" s="11" t="str">
        <f>IF(SUM(FV13,FX13)&gt;0,SUM(FV13,FX13),"")</f>
        <v/>
      </c>
      <c r="FZ13" s="38"/>
      <c r="GA13" s="38"/>
      <c r="GB13" s="38"/>
      <c r="GC13" s="38"/>
      <c r="GD13" s="38"/>
      <c r="GE13" s="38"/>
      <c r="GF13" s="38"/>
      <c r="GG13" s="38"/>
      <c r="GH13" s="38"/>
      <c r="GI13" s="38"/>
      <c r="GJ13" s="38"/>
      <c r="GK13" s="38"/>
      <c r="GL13" s="38"/>
      <c r="GM13" s="38"/>
      <c r="GN13" s="38"/>
      <c r="GO13" s="14" t="str">
        <f>IF(GG13&gt;0,GG13,"")</f>
        <v/>
      </c>
      <c r="GP13" s="14" t="str">
        <f>IF(SUM(FZ13:GC13)-GD13&gt;0,SUM(FZ13:GC13)-GD13,"")</f>
        <v/>
      </c>
      <c r="GQ13" s="14" t="str">
        <f>IF(SUM(GE13:GH13)-GI13&gt;0,SUM(GE13:GH13)-GI13,"")</f>
        <v/>
      </c>
      <c r="GR13" s="14" t="str">
        <f>IF(SUM(GP13:GQ13)&gt;0,SUM(GP13:GQ13),"")</f>
        <v/>
      </c>
      <c r="GS13" s="14" t="str">
        <f>IF(GL13&gt;0,GL13,"")</f>
        <v/>
      </c>
      <c r="GT13" s="14" t="str">
        <f>IF(SUM(GJ13:GM13)-GN13&gt;0,SUM(GJ13:GM13)-GN13,"")</f>
        <v/>
      </c>
      <c r="GU13" s="14" t="str">
        <f>IF(SUM(GR13,GT13)&gt;0,SUM(GR13,GT13),"")</f>
        <v/>
      </c>
      <c r="GV13" s="37"/>
      <c r="GW13" s="37"/>
      <c r="GX13" s="37"/>
      <c r="GY13" s="37"/>
      <c r="GZ13" s="37"/>
      <c r="HA13" s="37"/>
      <c r="HB13" s="37"/>
      <c r="HC13" s="37"/>
      <c r="HD13" s="37"/>
      <c r="HE13" s="37"/>
      <c r="HF13" s="37"/>
      <c r="HG13" s="37"/>
      <c r="HH13" s="37"/>
      <c r="HI13" s="37"/>
      <c r="HJ13" s="37"/>
      <c r="HK13" s="11" t="str">
        <f>IF(HC13&gt;0,HC13,"")</f>
        <v/>
      </c>
      <c r="HL13" s="11" t="str">
        <f>IF(SUM(GV13:GY13)-GZ13&gt;0,SUM(GV13:GY13)-GZ13,"")</f>
        <v/>
      </c>
      <c r="HM13" s="11" t="str">
        <f>IF(SUM(HA13:HD13)-HE13&gt;0,SUM(HA13:HD13)-HE13,"")</f>
        <v/>
      </c>
      <c r="HN13" s="11" t="str">
        <f>IF(SUM(HL13:HM13)&gt;0,SUM(HL13:HM13),"")</f>
        <v/>
      </c>
      <c r="HO13" s="11" t="str">
        <f>IF(HH13&gt;0,HH13,"")</f>
        <v/>
      </c>
      <c r="HP13" s="11" t="str">
        <f>IF(SUM(HF13:HI13)-HJ13&gt;0,SUM(HF13:HI13)-HJ13,"")</f>
        <v/>
      </c>
      <c r="HQ13" s="11" t="str">
        <f>IF(SUM(HN13,HP13)&gt;0,SUM(HN13,HP13),"")</f>
        <v/>
      </c>
      <c r="HR13" s="38"/>
      <c r="HS13" s="38"/>
      <c r="HT13" s="38"/>
      <c r="HU13" s="38"/>
      <c r="HV13" s="38"/>
      <c r="HW13" s="38"/>
      <c r="HX13" s="38"/>
      <c r="HY13" s="38"/>
      <c r="HZ13" s="38"/>
      <c r="IA13" s="38"/>
      <c r="IB13" s="38"/>
      <c r="IC13" s="38"/>
      <c r="ID13" s="38"/>
      <c r="IE13" s="38"/>
      <c r="IF13" s="38"/>
      <c r="IG13" s="14" t="str">
        <f>IF(HY13&gt;0,HY13,"")</f>
        <v/>
      </c>
      <c r="IH13" s="14" t="str">
        <f>IF(SUM(HR13:HU13)-HV13&gt;0,SUM(HR13:HU13)-HV13,"")</f>
        <v/>
      </c>
      <c r="II13" s="14" t="str">
        <f>IF(SUM(HW13:HZ13)-IA13&gt;0,SUM(HW13:HZ13)-IA13,"")</f>
        <v/>
      </c>
      <c r="IJ13" s="14" t="str">
        <f>IF(SUM(IH13:II13)&gt;0,SUM(IH13:II13),"")</f>
        <v/>
      </c>
      <c r="IK13" s="14" t="str">
        <f>IF(ID13&gt;0,ID13,"")</f>
        <v/>
      </c>
      <c r="IL13" s="14" t="str">
        <f>IF(SUM(IB13:IE13)-IF13&gt;0,SUM(IB13:IE13)-IF13,"")</f>
        <v/>
      </c>
      <c r="IM13" s="14" t="str">
        <f>IF(SUM(IJ13,IL13)&gt;0,SUM(IJ13,IL13),"")</f>
        <v/>
      </c>
      <c r="IN13" s="37"/>
      <c r="IO13" s="37"/>
      <c r="IP13" s="37"/>
      <c r="IQ13" s="37"/>
      <c r="IR13" s="37"/>
      <c r="IS13" s="37"/>
      <c r="IT13" s="37"/>
      <c r="IU13" s="37"/>
      <c r="IV13" s="37"/>
      <c r="IW13" s="37"/>
      <c r="IX13" s="37"/>
      <c r="IY13" s="37"/>
      <c r="IZ13" s="37"/>
      <c r="JA13" s="37"/>
      <c r="JB13" s="37"/>
      <c r="JC13" s="11" t="str">
        <f>IF(IU13&gt;0,IU13,"")</f>
        <v/>
      </c>
      <c r="JD13" s="11" t="str">
        <f>IF(SUM(IN13:IQ13)-IR13&gt;0,SUM(IN13:IQ13)-IR13,"")</f>
        <v/>
      </c>
      <c r="JE13" s="11" t="str">
        <f>IF(SUM(IS13:IV13)-IW13&gt;0,SUM(IS13:IV13)-IW13,"")</f>
        <v/>
      </c>
      <c r="JF13" s="11" t="str">
        <f>IF(SUM(JD13:JE13)&gt;0,SUM(JD13:JE13),"")</f>
        <v/>
      </c>
      <c r="JG13" s="11" t="str">
        <f>IF(IZ13&gt;0,IZ13,"")</f>
        <v/>
      </c>
      <c r="JH13" s="11" t="str">
        <f>IF(SUM(IX13:JA13)-JB13&gt;0,SUM(IX13:JA13)-JB13,"")</f>
        <v/>
      </c>
      <c r="JI13" s="11" t="str">
        <f>IF(SUM(JF13,JH13)&gt;0,SUM(JF13,JH13),"")</f>
        <v/>
      </c>
      <c r="JJ13" s="38"/>
      <c r="JK13" s="38"/>
      <c r="JL13" s="38"/>
      <c r="JM13" s="38"/>
      <c r="JN13" s="38"/>
      <c r="JO13" s="38"/>
      <c r="JP13" s="38"/>
      <c r="JQ13" s="38"/>
      <c r="JR13" s="38"/>
      <c r="JS13" s="38"/>
      <c r="JT13" s="38"/>
      <c r="JU13" s="38"/>
      <c r="JV13" s="38"/>
      <c r="JW13" s="38"/>
      <c r="JX13" s="38"/>
      <c r="JY13" s="14" t="str">
        <f>IF(JQ13&gt;0,JQ13,"")</f>
        <v/>
      </c>
      <c r="JZ13" s="14" t="str">
        <f>IF(SUM(JJ13:JM13)-JN13&gt;0,SUM(JJ13:JM13)-JN13,"")</f>
        <v/>
      </c>
      <c r="KA13" s="14" t="str">
        <f>IF(SUM(JO13:JR13)-JS13&gt;0,SUM(JO13:JR13)-JS13,"")</f>
        <v/>
      </c>
      <c r="KB13" s="14" t="str">
        <f>IF(SUM(JZ13:KA13)&gt;0,SUM(JZ13:KA13),"")</f>
        <v/>
      </c>
      <c r="KC13" s="14" t="str">
        <f>IF(JV13&gt;0,JV13,"")</f>
        <v/>
      </c>
      <c r="KD13" s="14" t="str">
        <f>IF(SUM(JT13:JW13)-JX13&gt;0,SUM(JT13:JW13)-JX13,"")</f>
        <v/>
      </c>
      <c r="KE13" s="14" t="str">
        <f>IF(SUM(KB13,KD13)&gt;0,SUM(KB13,KD13),"")</f>
        <v/>
      </c>
      <c r="KF13" s="37"/>
      <c r="KG13" s="37"/>
      <c r="KH13" s="37"/>
      <c r="KI13" s="37"/>
      <c r="KJ13" s="37"/>
      <c r="KK13" s="37"/>
      <c r="KL13" s="37"/>
      <c r="KM13" s="37"/>
      <c r="KN13" s="37"/>
      <c r="KO13" s="37"/>
      <c r="KP13" s="37"/>
      <c r="KQ13" s="37"/>
      <c r="KR13" s="37"/>
      <c r="KS13" s="37"/>
      <c r="KT13" s="37"/>
      <c r="KU13" s="11" t="str">
        <f>IF(KM13&gt;0,KM13,"")</f>
        <v/>
      </c>
      <c r="KV13" s="11" t="str">
        <f>IF(SUM(KF13:KI13)-KJ13&gt;0,SUM(KF13:KI13)-KJ13,"")</f>
        <v/>
      </c>
      <c r="KW13" s="11" t="str">
        <f>IF(SUM(KK13:KN13)-KO13&gt;0,SUM(KK13:KN13)-KO13,"")</f>
        <v/>
      </c>
      <c r="KX13" s="11" t="str">
        <f>IF(SUM(KV13:KW13)&gt;0,SUM(KV13:KW13),"")</f>
        <v/>
      </c>
      <c r="KY13" s="11" t="str">
        <f>IF(KR13&gt;0,KR13,"")</f>
        <v/>
      </c>
      <c r="KZ13" s="11" t="str">
        <f>IF(SUM(KP13:KS13)-KT13&gt;0,SUM(KP13:KS13)-KT13,"")</f>
        <v/>
      </c>
      <c r="LA13" s="11" t="str">
        <f>IF(SUM(KX13,KZ13)&gt;0,SUM(KX13,KZ13),"")</f>
        <v/>
      </c>
      <c r="LB13" s="38"/>
      <c r="LC13" s="38"/>
      <c r="LD13" s="38"/>
      <c r="LE13" s="38"/>
      <c r="LF13" s="38"/>
      <c r="LG13" s="38"/>
      <c r="LH13" s="38"/>
      <c r="LI13" s="38"/>
      <c r="LJ13" s="38"/>
      <c r="LK13" s="38"/>
      <c r="LL13" s="38"/>
      <c r="LM13" s="38"/>
      <c r="LN13" s="38"/>
      <c r="LO13" s="38"/>
      <c r="LP13" s="38"/>
      <c r="LQ13" s="14" t="str">
        <f>IF(LI13&gt;0,LI13,"")</f>
        <v/>
      </c>
      <c r="LR13" s="14" t="str">
        <f>IF(SUM(LB13:LE13)-LF13&gt;0,SUM(LB13:LE13)-LF13,"")</f>
        <v/>
      </c>
      <c r="LS13" s="14" t="str">
        <f>IF(SUM(LG13:LJ13)-LK13&gt;0,SUM(LG13:LJ13)-LK13,"")</f>
        <v/>
      </c>
      <c r="LT13" s="14" t="str">
        <f>IF(SUM(LR13:LS13)&gt;0,SUM(LR13:LS13),"")</f>
        <v/>
      </c>
      <c r="LU13" s="14" t="str">
        <f>IF(LN13&gt;0,LN13,"")</f>
        <v/>
      </c>
      <c r="LV13" s="14" t="str">
        <f>IF(SUM(LL13:LO13)-LP13&gt;0,SUM(LL13:LO13)-LP13,"")</f>
        <v/>
      </c>
      <c r="LW13" s="14" t="str">
        <f>IF(SUM(LT13,LV13)&gt;0,SUM(LT13,LV13),"")</f>
        <v/>
      </c>
      <c r="LX13" s="37"/>
      <c r="LY13" s="37"/>
      <c r="LZ13" s="37"/>
      <c r="MA13" s="37"/>
      <c r="MB13" s="37"/>
      <c r="MC13" s="37"/>
      <c r="MD13" s="37"/>
      <c r="ME13" s="37"/>
      <c r="MF13" s="37"/>
      <c r="MG13" s="37"/>
      <c r="MH13" s="37"/>
      <c r="MI13" s="37"/>
      <c r="MJ13" s="37"/>
      <c r="MK13" s="37"/>
      <c r="ML13" s="37"/>
      <c r="MM13" s="11" t="str">
        <f>IF(ME13&gt;0,ME13,"")</f>
        <v/>
      </c>
      <c r="MN13" s="11" t="str">
        <f>IF(SUM(LX13:MA13)-MB13&gt;0,SUM(LX13:MA13)-MB13,"")</f>
        <v/>
      </c>
      <c r="MO13" s="11" t="str">
        <f>IF(SUM(MC13:MF13)-MG13&gt;0,SUM(MC13:MF13)-MG13,"")</f>
        <v/>
      </c>
      <c r="MP13" s="11" t="str">
        <f>IF(SUM(MN13:MO13)&gt;0,SUM(MN13:MO13),"")</f>
        <v/>
      </c>
      <c r="MQ13" s="11" t="str">
        <f>IF(MJ13&gt;0,MJ13,"")</f>
        <v/>
      </c>
      <c r="MR13" s="11" t="str">
        <f>IF(SUM(MH13:MK13)-ML13&gt;0,SUM(MH13:MK13)-ML13,"")</f>
        <v/>
      </c>
      <c r="MS13" s="11" t="str">
        <f>IF(SUM(MP13,MR13)&gt;0,SUM(MP13,MR13),"")</f>
        <v/>
      </c>
      <c r="MT13" s="38"/>
      <c r="MU13" s="38"/>
      <c r="MV13" s="38"/>
      <c r="MW13" s="38"/>
      <c r="MX13" s="38"/>
      <c r="MY13" s="38"/>
      <c r="MZ13" s="38"/>
      <c r="NA13" s="38"/>
      <c r="NB13" s="38"/>
      <c r="NC13" s="38"/>
      <c r="ND13" s="38"/>
      <c r="NE13" s="38"/>
      <c r="NF13" s="38"/>
      <c r="NG13" s="38"/>
      <c r="NH13" s="38"/>
      <c r="NI13" s="14" t="str">
        <f>IF(NA13&gt;0,NA13,"")</f>
        <v/>
      </c>
      <c r="NJ13" s="14" t="str">
        <f>IF(SUM(MT13:MW13)-MX13&gt;0,SUM(MT13:MW13)-MX13,"")</f>
        <v/>
      </c>
      <c r="NK13" s="14" t="str">
        <f>IF(SUM(MY13:NB13)-NC13&gt;0,SUM(MY13:NB13)-NC13,"")</f>
        <v/>
      </c>
      <c r="NL13" s="14" t="str">
        <f>IF(SUM(NJ13:NK13)&gt;0,SUM(NJ13:NK13),"")</f>
        <v/>
      </c>
      <c r="NM13" s="14" t="str">
        <f>IF(NF13&gt;0,NF13,"")</f>
        <v/>
      </c>
      <c r="NN13" s="14" t="str">
        <f>IF(SUM(ND13:NG13)-NH13&gt;0,SUM(ND13:NG13)-NH13,"")</f>
        <v/>
      </c>
      <c r="NO13" s="14" t="str">
        <f>IF(SUM(NL13,NN13)&gt;0,SUM(NL13,NN13),"")</f>
        <v/>
      </c>
      <c r="NP13" s="69">
        <f>IF($CX13="P",CD13,(CD13+AZ13)/2)</f>
        <v>15.9</v>
      </c>
      <c r="NQ13" s="69">
        <f>IF($CX13="P",CE13,(CE13+BA13)/2)</f>
        <v>9.4499999999999993</v>
      </c>
      <c r="NR13" s="69">
        <f>IF($CX13="P",CF13,(CF13+BB13)/2)</f>
        <v>4</v>
      </c>
      <c r="NS13" s="69">
        <f>IF($CX13="P",CG13,(CG13+BC13)/2)</f>
        <v>14.83</v>
      </c>
      <c r="NT13" s="69">
        <f>IF($CX13="P",CH13,(CH13+BD13)/2)</f>
        <v>0.1</v>
      </c>
      <c r="NU13" s="69">
        <f>IF($CX13="P",CI13,(CI13+BE13)/2)</f>
        <v>8.9</v>
      </c>
      <c r="NV13" s="69">
        <f>IF($CX13="P",CJ13,(CJ13+BF13)/2)</f>
        <v>5.5</v>
      </c>
      <c r="NW13" s="69">
        <f>IF($CX13="P",CK13,(CK13+BG13)/2)</f>
        <v>5.65</v>
      </c>
      <c r="NX13" s="69">
        <f>IF($CX13="P",CL13,(CL13+BH13)/2)</f>
        <v>8.8375000000000004</v>
      </c>
      <c r="NY13" s="69">
        <f>IF($CX13="P",CM13,(CM13+BI13)/2)</f>
        <v>1.4</v>
      </c>
      <c r="NZ13" s="69">
        <f>IF($CX13="P",CN13,(CN13+BJ13)/2)</f>
        <v>5.65</v>
      </c>
      <c r="OA13" s="69">
        <f>IF($CX13="P",CO13,(CO13+BK13)/2)</f>
        <v>3.35</v>
      </c>
      <c r="OB13" s="69">
        <f>IF($CX13="P",CP13,(CP13+BL13)/2)</f>
        <v>3.5</v>
      </c>
      <c r="OC13" s="69">
        <f>IF($CX13="P",CQ13,(CQ13+BM13)/2)</f>
        <v>5.8574999999999999</v>
      </c>
      <c r="OD13" s="69">
        <f>IF($CX13="P",CR13,(CR13+BN13)/2)</f>
        <v>0</v>
      </c>
      <c r="OE13" s="69">
        <f>IF($CX13="P",CS13,(CS13+BO13)/2)</f>
        <v>14.100000000000001</v>
      </c>
      <c r="OF13" s="69">
        <f>IF($CX13="P",CT13,(CT13+BP13)/2)</f>
        <v>9</v>
      </c>
      <c r="OG13" s="69">
        <f>IF($CX13="P",CU13,(CU13+BQ13)/2)</f>
        <v>9.85</v>
      </c>
      <c r="OH13" s="69">
        <f>IF($CX13="P",CV13,(CV13+BR13)/2)</f>
        <v>14.07</v>
      </c>
      <c r="OI13" s="69">
        <f>IF($CX13="P",CW13,(CW13+BS13)/2)</f>
        <v>1.4500000000000002</v>
      </c>
      <c r="OJ13" s="80" t="s">
        <v>74</v>
      </c>
      <c r="OK13" s="11">
        <f>IF(SUM(NP13:NS13)-NT13&gt;0,SUM(NP13:NS13)-NT13,"")</f>
        <v>44.08</v>
      </c>
      <c r="OL13" s="11">
        <f>IF(NW13&gt;0,NW13,"")</f>
        <v>5.65</v>
      </c>
      <c r="OM13" s="11">
        <f>IF(SUM(NU13:NX13)-NY13&gt;0,SUM(NU13:NX13)-NY13,"")</f>
        <v>27.487500000000004</v>
      </c>
      <c r="ON13" s="11">
        <f>IF(OB13&gt;0,OB13,"")</f>
        <v>3.5</v>
      </c>
      <c r="OO13" s="11">
        <f>IF(SUM(NZ13:OC13)-OD13&gt;0,SUM(NZ13:OC13)-OD13,"")</f>
        <v>18.357500000000002</v>
      </c>
      <c r="OP13" s="11">
        <f>IF(OR(OK13&lt;&gt;"",OM13&lt;&gt;"",OO13&lt;&gt;""),OK13+MAX(OM13,OO13),"")</f>
        <v>71.567499999999995</v>
      </c>
      <c r="OQ13" s="11">
        <f>IF(OG13&gt;0,OG13,"")</f>
        <v>9.85</v>
      </c>
      <c r="OR13" s="11">
        <f t="shared" si="0"/>
        <v>45.57</v>
      </c>
      <c r="OS13" s="11">
        <f t="shared" si="1"/>
        <v>117.13749999999999</v>
      </c>
    </row>
    <row r="14" spans="1:409" x14ac:dyDescent="0.2">
      <c r="A14" s="5" t="str" cm="1">
        <f t="array" ref="A14">IF(AND(G14&lt;&gt;"",H14&lt;&gt;""),SUMPRODUCT((G$4:G$15&lt;&gt;"")*(H$4:H$15&lt;&gt;"")*(E$4:E$15&gt;E14))+1,IF(H14&lt;&gt;"",SUMPRODUCT((I$4:I$15="No DD")*(E$4:E$15&gt;E14))+1+SUMPRODUCT((G$4:G$15&lt;&gt;"")*(H$4:H$15&lt;&gt;"")),""))</f>
        <v/>
      </c>
      <c r="B14" s="127" t="s">
        <v>33</v>
      </c>
      <c r="C14" s="5" t="s">
        <v>3</v>
      </c>
      <c r="D14" s="5">
        <v>1995</v>
      </c>
      <c r="E14" s="15">
        <f>SUM(K14:S14)</f>
        <v>138.04</v>
      </c>
      <c r="F14" s="3" t="str">
        <f>IF(G14&lt;&gt;"","P","")</f>
        <v/>
      </c>
      <c r="G14" s="125" t="str">
        <f>IF(OR(AND(AR14&gt;=AY$20,AR14&lt;&gt;"",AP14=""),AND(AT14&gt;=AY$20,AT14&lt;&gt;"",AP14=""),AND(AW14&gt;=AY$20,AW14&lt;&gt;"",AP14=""),AND(BV14&gt;=CC$20,BV14&lt;&gt;"",BT14=""),AND(BX14&gt;=CC$20,BX14&lt;&gt;"",BT14=""),AND(CA14&gt;=CC$20,CA14&lt;&gt;"",BT14=""),AND(CZ14&gt;=DG$20,CZ14&lt;&gt;"",CX14=""),AND(DB14&gt;=DG$20,DB14&lt;&gt;"",CX14=""),AND(DE14&gt;=DG$20,DE14&lt;&gt;"",CX14=""),AND(EA14&gt;=EG$20,EA14&lt;&gt;""),AND(EE14&gt;=EG$20,EE14&lt;&gt;""),AND(EW14&gt;=FC$20,EW14&lt;&gt;""),AND(FA14&gt;=FC$20,FA14&lt;&gt;""),AND(FS14&gt;=FY$20,FS14&lt;&gt;""),AND(FW14&gt;=FY$20,FW14&lt;&gt;""),AND(GO14&gt;=GU$20,GO14&lt;&gt;""),AND(GS14&gt;=GU$20,GS14&lt;&gt;""),AND(HK14&gt;=HQ$20,HK14&lt;&gt;""),AND(HO14&gt;=HQ$20,HO14&lt;&gt;""),AND(IG14&gt;=IM$20,IG14&lt;&gt;""),AND(IK14&gt;=IM$20,IK14&lt;&gt;""),AND(JC14&gt;=JI$20,JC14&lt;&gt;""),AND(JG14&gt;=JI$20,JG14&lt;&gt;""),AND(JY14&gt;=KE$20,JY14&lt;&gt;""),AND(KC14&gt;=KE$20,KC14&lt;&gt;""),AND(KU14&gt;=LA$20,KU14&lt;&gt;""),AND(KY14&gt;=LA$20,KY14&lt;&gt;""),AND(LQ14&gt;=LW$20,LQ14&lt;&gt;""),AND(LU14&gt;=LW$20,LU14&lt;&gt;""),AND(MM14&gt;=MS$20,MM14&lt;&gt;""),AND(MQ14&gt;=MS$20,MQ14&lt;&gt;""),AND(NI14&gt;=NO$20,NI14&lt;&gt;""),AND(NM14&gt;=NO$20,NM14&lt;&gt;"")),"Merit",IF(OR(AND(AR14&gt;=AY$19,AR14&lt;&gt;"",AP14=""),AND(AT14&gt;=AY$19,AT14&lt;&gt;"",AP14=""),AND(AW14&gt;=AY$19,AW14&lt;&gt;"",AP14=""),AND(BV14&gt;=CC$19,BV14&lt;&gt;"",BT14=""),AND(BX14&gt;=CC$19,BX14&lt;&gt;"",BT14=""),AND(CA14&gt;=CC$19,CA14&lt;&gt;"",BT14=""),AND(CZ14&gt;=DG$19,CZ14&lt;&gt;"",CX14=""),AND(DB14&gt;=DG$19,DB14&lt;&gt;"",CX14=""),AND(DE14&gt;=DG$19,DE14&lt;&gt;"",CX14=""),AND(EA14&gt;=EG$19,EA14&lt;&gt;""),AND(EE14&gt;=EG$19,EE14&lt;&gt;""),AND(EW14&gt;=FC$19,EW14&lt;&gt;""),AND(FA14&gt;=FC$19,FA14&lt;&gt;""),AND(FS14&gt;=FY$19,FS14&lt;&gt;""),AND(FW14&gt;=FY$19,FW14&lt;&gt;""),AND(GO14&gt;=GU$19,GO14&lt;&gt;""),AND(GS14&gt;=GU$19,GS14&lt;&gt;""),AND(HK14&gt;=HQ$19,HK14&lt;&gt;""),AND(HO14&gt;=HQ$19,HO14&lt;&gt;""),AND(IG14&gt;=IM$19,IG14&lt;&gt;""),AND(IK14&gt;=IM$19,IK14&lt;&gt;""),AND(JC14&gt;=JI$19,JC14&lt;&gt;""),AND(JG14&gt;=JI$19,JG14&lt;&gt;""),AND(JY14&gt;=KE$19,JY14&lt;&gt;""),AND(KC14&gt;=KE$19,KC14&lt;&gt;""),AND(KU14&gt;=LA$19,KU14&lt;&gt;""),AND(KY14&gt;=LA$19,KY14&lt;&gt;""),AND(LQ14&gt;=LW$19,LQ14&lt;&gt;""),AND(LU14&gt;=LW$19,LU14&lt;&gt;""),AND(MM14&gt;=MS$19,MM14&lt;&gt;""),AND(MQ14&gt;=MS$19,MQ14&lt;&gt;""),AND(NI14&gt;=NO$19,NI14&lt;&gt;""),AND(NM14&gt;=NO$19,NM14&lt;&gt;"")),"Excellence",IF(OR(AND(AR14&gt;=AY$18,AR14&lt;&gt;"",AP14=""),AND(AT14&gt;=AY$18,AT14&lt;&gt;"",AP14=""),AND(AW14&gt;=AY$18,AW14&lt;&gt;"",AP14=""),AND(BV14&gt;=CC$18,BV14&lt;&gt;"",BT14=""),AND(BX14&gt;=CC$18,BX14&lt;&gt;"",BT14=""),AND(CA14&gt;=CC$18,CA14&lt;&gt;"",BT14=""),AND(CZ14&gt;=DG$18,CZ14&lt;&gt;"",CX14=""),AND(DB14&gt;=DG$18,DB14&lt;&gt;"",CX14=""),AND(DE14&gt;=DG$18,DE14&lt;&gt;"",CX14=""),AND(EA14&gt;=EG$18,EA14&lt;&gt;""),AND(EE14&gt;=EG$18,EE14&lt;&gt;""),AND(EW14&gt;=FC$18,EW14&lt;&gt;""),AND(FA14&gt;=FC$18,FA14&lt;&gt;""),AND(FS14&gt;=FY$18,FS14&lt;&gt;""),AND(FW14&gt;=FY$18,FW14&lt;&gt;""),AND(GO14&gt;=GU$18,GO14&lt;&gt;""),AND(GS14&gt;=GU$18,GS14&lt;&gt;""),AND(HK14&gt;=HQ$18,HK14&lt;&gt;""),AND(HO14&gt;=HQ$18,HO14&lt;&gt;""),AND(IG14&gt;=IM$18,IG14&lt;&gt;""),AND(IK14&gt;=IM$18,IK14&lt;&gt;""),AND(JC14&gt;=JI$18,JC14&lt;&gt;""),AND(JG14&gt;=JI$18,JG14&lt;&gt;""),AND(JY14&gt;=KE$18,JY14&lt;&gt;""),AND(KC14&gt;=KE$18,KC14&lt;&gt;""),AND(KU14&gt;=LA$18,KU14&lt;&gt;""),AND(KY14&gt;=LA$18,KY14&lt;&gt;""),AND(LQ14&gt;=LW$18,LQ14&lt;&gt;""),AND(LU14&gt;=LW$18,LU14&lt;&gt;""),AND(MM14&gt;=MS$18,MM14&lt;&gt;""),AND(MQ14&gt;=MS$18,MQ14&lt;&gt;""),AND(NI14&gt;=NO$18,NI14&lt;&gt;""),AND(NM14&gt;=NO$18,NM14&lt;&gt;"")),"Worlds Team",IF(OR(AND(AR14&gt;=AY$17,AR14&lt;&gt;"",AP14=""),AND(AT14&gt;=AY$17,AT14&lt;&gt;"",AP14=""),AND(AW14&gt;=AY$17,AW14&lt;&gt;"",AP14=""),AND(BV14&gt;=CC$17,BV14&lt;&gt;"",BT14=""),AND(BX14&gt;=CC$17,BX14&lt;&gt;"",BT14=""),AND(CA14&gt;=CC$17,CA14&lt;&gt;"",BT14=""),AND(CZ14&gt;=DG$17,CZ14&lt;&gt;"",CX14=""),AND(DB14&gt;=DG$17,DB14&lt;&gt;"",CX14=""),AND(DE14&gt;=DG$17,DE14&lt;&gt;"",CX14=""),AND(EA14&gt;=EG$17,EA14&lt;&gt;""),AND(EE14&gt;=EG$17,EE14&lt;&gt;""),AND(EW14&gt;=FC$17,EW14&lt;&gt;""),AND(FA14&gt;=FC$17,FA14&lt;&gt;""),AND(FS14&gt;=FY$17,FS14&lt;&gt;""),AND(FW14&gt;=FY$17,FW14&lt;&gt;""),AND(GO14&gt;=GU$17,GO14&lt;&gt;""),AND(GS14&gt;=GU$17,GS14&lt;&gt;""),AND(HK14&gt;=HQ$17,HK14&lt;&gt;""),AND(HO14&gt;=HQ$17,HO14&lt;&gt;""),AND(IG14&gt;=IM$17,IG14&lt;&gt;""),AND(IK14&gt;=IM$17,IK14&lt;&gt;""),AND(JC14&gt;=JI$17,JC14&lt;&gt;""),AND(JG14&gt;=JI$17,JG14&lt;&gt;""),AND(JY14&gt;=KE$17,JY14&lt;&gt;""),AND(KC14&gt;=KE$17,KC14&lt;&gt;""),AND(KU14&gt;=LA$17,KU14&lt;&gt;""),AND(KY14&gt;=LA$17,KY14&lt;&gt;""),AND(LQ14&gt;=LW$17,LQ14&lt;&gt;""),AND(LU14&gt;=LW$17,LU14&lt;&gt;""),AND(MM14&gt;=MS$17,MM14&lt;&gt;""),AND(MQ14&gt;=MS$17,MQ14&lt;&gt;""),AND(NI14&gt;=NO$17,NI14&lt;&gt;""),AND(NM14&gt;=NO$17,NM14&lt;&gt;"")),"National Team",""))))</f>
        <v/>
      </c>
      <c r="H14" s="125" t="str">
        <f>IF(OR(AND(AS14&gt;=AY$24,AS14&lt;&gt;"",AP14=""),AND(AU14&gt;=AY$24,AU14&lt;&gt;"",AP14=""),AND(AX14&gt;=AY$24,AX14&lt;&gt;"",AP14=""),AND(BW14&gt;=CC$24,BW14&lt;&gt;"",BT14=""),AND(BY14&gt;=CC$24,BY14&lt;&gt;"",BT14=""),AND(CB14&gt;=CC$24,CB14&lt;&gt;"",BT14=""),AND(DA14&gt;=DG$24,DA14&lt;&gt;"",CX14=""),AND(DC14&gt;=DG$24,DC14&lt;&gt;"",CX14=""),AND(DF14&gt;=DG$24,DF14&lt;&gt;"",CX14=""),AND(EC14&gt;=EG$24,EC14&lt;&gt;""),AND(EF14&gt;=EG$24,EF14&lt;&gt;""),AND(EY14&gt;=FC$24,EY14&lt;&gt;""),AND(FB14&gt;=FC$24,FB14&lt;&gt;""),AND(FU14&gt;=FY$24,FU14&lt;&gt;""),AND(FX14&gt;=FY$24,FX14&lt;&gt;""),AND(GQ14&gt;=GU$24,GQ14&lt;&gt;""),AND(GT14&gt;=GU$24,GT14&lt;&gt;""),AND(HM14&gt;=HQ$24,HM14&lt;&gt;""),AND(HP14&gt;=HQ$24,HP14&lt;&gt;""),AND(II14&gt;=IM$24,II14&lt;&gt;""),AND(IL14&gt;=IM$24,IL14&lt;&gt;""),AND(JE14&gt;=JI$24,JE14&lt;&gt;""),AND(JH14&gt;=JI$24,JH14&lt;&gt;""),AND(KA14&gt;=KE$24,KA14&lt;&gt;""),AND(KD14&gt;=KE$24,KD14&lt;&gt;""),AND(KW14&gt;=LA$24,KW14&lt;&gt;""),AND(KZ14&gt;=LA$24,KZ14&lt;&gt;""),AND(LS14&gt;=LW$24,LS14&lt;&gt;""),AND(LV14&gt;=LW$24,LV14&lt;&gt;""),AND(MO14&gt;=MS$24,MO14&lt;&gt;""),AND(MR14&gt;=MS$24,MR14&lt;&gt;""),AND(NK14&gt;=NO$24,NK14&lt;&gt;""),AND(NN14&gt;=NO$24,NN14&lt;&gt;"")),"Merit",IF(OR(AND(AS14&gt;=AY$23,AS14&lt;&gt;"",AP14=""),AND(AU14&gt;=AY$23,AU14&lt;&gt;"",AP14=""),AND(AX14&gt;=AY$23,AX14&lt;&gt;"",AP14=""),AND(BW14&gt;=CC$23,BW14&lt;&gt;"",BT14=""),AND(BY14&gt;=CC$23,BY14&lt;&gt;"",BT14=""),AND(CB14&gt;=CC$23,CB14&lt;&gt;"",BT14=""),AND(DA14&gt;=DG$23,DA14&lt;&gt;"",CX14=""),AND(DC14&gt;=DG$23,DC14&lt;&gt;"",CX14=""),AND(DF14&gt;=DG$23,DF14&lt;&gt;"",CX14=""),AND(EC14&gt;=EG$23,EC14&lt;&gt;""),AND(EF14&gt;=EG$23,EF14&lt;&gt;""),AND(EY14&gt;=FC$23,EY14&lt;&gt;""),AND(FB14&gt;=FC$23,FB14&lt;&gt;""),AND(FU14&gt;=FY$23,FU14&lt;&gt;""),AND(FX14&gt;=FY$23,FX14&lt;&gt;""),AND(GQ14&gt;=GU$23,GQ14&lt;&gt;""),AND(GT14&gt;=GU$23,GT14&lt;&gt;""),AND(HM14&gt;=HQ$23,HM14&lt;&gt;""),AND(HP14&gt;=HQ$23,HP14&lt;&gt;""),AND(II14&gt;=IM$23,II14&lt;&gt;""),AND(IL14&gt;=IM$23,IL14&lt;&gt;""),AND(JE14&gt;=JI$23,JE14&lt;&gt;""),AND(JH14&gt;=JI$23,JH14&lt;&gt;""),AND(KA14&gt;=KE$23,KA14&lt;&gt;""),AND(KD14&gt;=KE$23,KD14&lt;&gt;""),AND(KW14&gt;=LA$23,KW14&lt;&gt;""),AND(KZ14&gt;=LA$23,KZ14&lt;&gt;""),AND(LS14&gt;=LW$23,LS14&lt;&gt;""),AND(LV14&gt;=LW$23,LV14&lt;&gt;""),AND(MO14&gt;=MS$23,MO14&lt;&gt;""),AND(MR14&gt;=MS$23,MR14&lt;&gt;""),AND(NK14&gt;=NO$23,NK14&lt;&gt;""),AND(NN14&gt;=NO$23,NN14&lt;&gt;"")),"Excellence",IF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"Worlds Team",IF(OR(AND(AV14&gt;=AY$21,AV14&lt;&gt;"",AP14=""),AND(BZ14&gt;=CC$21,BZ14&lt;&gt;"",BT14=""),AND(DD14&gt;=DG$21,DD14&lt;&gt;"",CX14=""),AND(ED14&gt;=EG$21,ED14&lt;&gt;""),AND(EZ14&gt;=FC$21,EZ14&lt;&gt;""),AND(FV14&gt;=FY$21,FV14&lt;&gt;""),AND(GR14&gt;=GU$21,GR14&lt;&gt;""),AND(HN14&gt;=HQ$21,HN14&lt;&gt;""),AND(IJ14&gt;=IM$21,IJ14&lt;&gt;""),AND(JF14&gt;=JI$21,JF14&lt;&gt;""),AND(KB14&gt;=KE$21,KB14&lt;&gt;""),AND(KX14&gt;=LA$21,KX14&lt;&gt;""),AND(LT14&gt;=LW$21,LT14&lt;&gt;""),AND(MP14&gt;=MS$21,MP14&lt;&gt;""),AND(NL14&gt;=NO$21,NL14&lt;&gt;"")),"National Team",""))))</f>
        <v/>
      </c>
      <c r="I14" s="126" t="str">
        <f>IF(AND(G14="Merit",H14="Merit"),"Merit",IF(AND(OR(G14="Merit",G14="Excellence"),OR(H14="Merit",H14="Excellence")),"Excellence",IF(AND(OR(G14="Merit",G14="Excellence",G14="Worlds Team"),OR(H14="Merit",H14="Excellence",H14="Worlds Team")),"Worlds Team",IF(AND(OR(G14="Merit",G14="Excellence",G14="Worlds Team",G14="National Team"),OR(H14="Merit",H14="Excellence",H14="Worlds Team",H14="National Team")),"National Team",IF(OR(H14="Merit",H14="Excellence",H14="Worlds Team",H14="National Team"),"No DD","")))))</f>
        <v/>
      </c>
      <c r="J14" s="3" t="str">
        <f>IF(AND(OR(AND(AV14&gt;=AY$22,AV14&lt;&gt;"",AP14=""),AND(BZ14&gt;=CC$22,BZ14&lt;&gt;"",BT14=""),AND(DD14&gt;=DG$22,DD14&lt;&gt;"",CX14=""),AND(ED14&gt;=EG$22,ED14&lt;&gt;""),AND(EZ14&gt;=FC$22,EZ14&lt;&gt;""),AND(FV14&gt;=FY$22,FV14&lt;&gt;""),AND(GR14&gt;=GU$22,GR14&lt;&gt;""),AND(HN14&gt;=HQ$22,HN14&lt;&gt;""),AND(IJ14&gt;=IM$22,IJ14&lt;&gt;""),AND(JF14&gt;=JI$22,JF14&lt;&gt;""),AND(KB14&gt;=KE$22,KB14&lt;&gt;""),AND(KX14&gt;=LA$22,KX14&lt;&gt;""),AND(LT14&gt;=LW$22,LT14&lt;&gt;""),AND(MP14&gt;=MS$22,MP14&lt;&gt;""),AND(NL14&gt;=NO$22,NL14&lt;&gt;"")),OR(G14="Worlds Team",G14="Excellence",G14="Merit")),"P","")</f>
        <v/>
      </c>
      <c r="K14" s="14">
        <f>IF(MAX(AV14,BZ14,DD14)&gt;0,MAX(AV14,BZ14,DD14),0)</f>
        <v>83.715000000000003</v>
      </c>
      <c r="L14" s="14" t="str">
        <f>IF(K14=0,"",IF(K14=DD14,$CD$1,IF(K14=BZ14,$AZ$1,IF(K14=AV14,$V$1,""))))</f>
        <v>2021 2nd Virtual Technical Trial</v>
      </c>
      <c r="M14" s="14">
        <f>IF($K14=$AV14,MAX(BU14,CY14),IF($K14=$BZ14,MAX(AQ14,CY14),IF($K14=$DD14,MAX(AQ14,BU14),MAX(AQ14,BU14,CY14))))</f>
        <v>0</v>
      </c>
      <c r="N14" s="14" t="str">
        <f>IF(M14=0,"",IF(AND(M14=CY14,$L14&lt;&gt;$CD$1),$CD$1,IF(AND(M14=BU14,$L14&lt;&gt;$AZ$1),$AZ$1,IF(AND(M14=AQ14,$L14&lt;&gt;$V$1),$V$1,""))))</f>
        <v/>
      </c>
      <c r="O14" s="14">
        <f>IF(K14-N(AQ14)=AS14,MAX(AU14,BW14,BY14,DA14,DC14),IF(K14-N(AQ14)=AU14,MAX(AS14,BW14,BY14,DA14,DC14),IF(K14-N(BU14)=BW14,MAX(AS14,AU14,BY14,DA14,DC14),IF(K14-N(BU14)=BY14,MAX(AS14,AU14,BW14,DA14,DC14),IF(K14-N(CY14)=DA14,MAX(AS14,AU14,BW14,BY14,DC14),IF(K14-N(CY14)=DC14,MAX(AS14,AU14,BW14,BY14,DA14),MAX(AS14,AU14,BW14,BY14,DA14,DC14)))))))</f>
        <v>45.074999999999996</v>
      </c>
      <c r="P14" s="14" t="str">
        <f>IF(O14=0,"",IF(OR(O14=DC14,O14=DA14),$CD$1,IF(OR(O14=BY14,O14=BW14),$AZ$1,IF(OR(O14=AU14,O14=AS14),$V$1,""))))</f>
        <v>2021 2nd Virtual Technical Trial</v>
      </c>
      <c r="Q14" s="14">
        <f>MAX(AX14,CB14,DF14)</f>
        <v>9.25</v>
      </c>
      <c r="R14" s="14" t="str">
        <f>IF(Q14=0,"",IF(Q14=DF14,$CD$1,IF(Q14=CB14,$AZ$1,IF(Q14=AX14,$V$1,""))))</f>
        <v>2021 2nd Virtual Technical Trial</v>
      </c>
      <c r="S14" s="14" t="str">
        <f>IF(MAX(DH14,DI14,DJ14,DK14)&gt;0,MAX(DH14,DI14,DJ14,DK14),"")</f>
        <v/>
      </c>
      <c r="T14" s="25" t="str">
        <f>IF(S14="","",IF(S14=DH14,"(Vol 1)",IF(S14=DI14,"(Vol 2)",IF(S14=DJ14,"(Prelim)",IF(S14=DK14,"(Final)")))))</f>
        <v/>
      </c>
      <c r="U14" s="14" t="str">
        <f>IF(S14="","",IF(S14=DH14,IF(S14+IF(M14="",0,M14)=NJ14,$MT$1,IF(S14+IF(M14="",0,M14)=MN14,$LX$1,IF(S14+IF(M14="",0,M14)=LR14,$LB$1,IF(S14+IF(M14="",0,M14)=KV14,$KF$1,IF(S14+IF(M14="",0,M14)=JZ14,$JJ$1,IF(S14+IF(M14="",0,M14)=JD14,$IN$1,IF(S14+IF(M14="",0,M14)=IH14,$HR$1,IF(S14+IF(M14="",0,M14)=HL14,$GV$1,IF(S14+IF(M14="",0,M14)=GP14,$FZ$1,IF(S14+IF(M14="",0,M14)=FT14,$FD$1,IF(S14+IF(M14="",0,M14)=EX14,$EH$1,IF(S14+IF(M14="",0,M14)=EB14,$DL$1)))))))))))),IF(S14=DI14,IF(S14+IF(O14="",0,O14)=NK14,$MT$1,IF(S14+IF(O14="",0,O14)=MO14,$LX$1,IF(S14+IF(O14="",0,O14)=LS14,$LB$1,IF(S14+IF(O14="",0,O14)=KW14,$KF$1,IF(S14+IF(O14="",0,O14)=KA14,$JJ$1,IF(S14+IF(O14="",0,O14)=JE14,$IN$1,IF(S14+IF(O14="",0,O14)=II14,$HR$1,IF(S14+IF(O14="",0,O14)=HM14,$GV$1,IF(S14+IF(O14="",0,O14)=GQ14,$FZ$1,IF(S14+IF(O14="",0,O14)=FU14,$FD$1,IF(S14+IF(O14="",0,O14)=EY14,$EH$1,IF(S14+IF(O14="",0,O14)=EC14,$DL$1)))))))))))),IF(S14=DJ14,IF(S14+IF(K14="",0,K14)=NL14,$MT$1,IF(S14+IF(K14="",0,K14)=MP14,$LX$1,IF(S14+IF(K14="",0,K14)=LT14,$LB$1,IF(S14+IF(K14="",0,K14)=KX14,$KF$1,IF(S14+IF(K14="",0,K14)=KB14,$JJ$1,IF(S14+IF(K14="",0,K14)=JF14,$IN$1,IF(S14+IF(K14="",0,K14)=IJ14,$HR$1,IF(S14+IF(K14="",0,K14)=HN14,$GV$1,IF(S14+IF(K14="",0,K14)=GR14,$FZ$1,IF(S14+IF(K14="",0,K14)=FV14,$FD$1,IF(S14+IF(K14="",0,K14)=EZ14,$EH$1,IF(S14+IF(K14="",0,K14)=ED14,$DL$1)))))))))))),IF(S14=DK14,IF(S14+IF(Q14="",0,Q14)=NN14,$MT$1,IF(S14+IF(Q14="",0,Q14)=MR14,$LX$1,IF(S14+IF(Q14="",0,Q14)=LV14,$LB$1,IF(S14+IF(Q14="",0,Q14)=KZ14,$KF$1,IF(S14+IF(Q14="",0,Q14)=KD14,$JJ$1,IF(S14+IF(Q14="",0,Q14)=JH14,$IN$1,IF(S14+IF(Q14="",0,Q14)=IL14,$HR$1,IF(S14+IF(Q14="",0,Q14)=HP14,$GV$1,IF(S14+IF(Q14="",0,Q14)=GT14,$FZ$1,IF(S14+IF(Q14="",0,Q14)=FX14,$FD$1,IF(S14+IF(Q14="",0,Q14)=FB14,$EH$1,IF(S14+IF(Q14="",0,Q14)=EF14,$DL$1)))))))))))))))))</f>
        <v/>
      </c>
      <c r="V14" s="69">
        <v>13.9</v>
      </c>
      <c r="W14" s="69">
        <v>7.4</v>
      </c>
      <c r="X14" s="69">
        <v>1.3</v>
      </c>
      <c r="Y14" s="69">
        <v>13.11</v>
      </c>
      <c r="Z14" s="69">
        <v>0</v>
      </c>
      <c r="AA14" s="69">
        <v>14.3</v>
      </c>
      <c r="AB14" s="69">
        <v>9.1999999999999993</v>
      </c>
      <c r="AC14" s="69">
        <v>10.3</v>
      </c>
      <c r="AD14" s="69">
        <v>15.105</v>
      </c>
      <c r="AE14" s="69">
        <v>0.9</v>
      </c>
      <c r="AF14" s="69">
        <v>14.1</v>
      </c>
      <c r="AG14" s="69">
        <v>8.8000000000000007</v>
      </c>
      <c r="AH14" s="69">
        <v>9.1999999999999993</v>
      </c>
      <c r="AI14" s="69">
        <v>14.975</v>
      </c>
      <c r="AJ14" s="69">
        <v>2</v>
      </c>
      <c r="AK14" s="69">
        <v>2.6</v>
      </c>
      <c r="AL14" s="69">
        <v>1.6</v>
      </c>
      <c r="AM14" s="69">
        <v>2</v>
      </c>
      <c r="AN14" s="69">
        <v>3.05</v>
      </c>
      <c r="AO14" s="69">
        <v>0</v>
      </c>
      <c r="AP14" s="80"/>
      <c r="AQ14" s="11">
        <f>IF(SUM(V14:Y14)-Z14&gt;0,SUM(V14:Y14)-Z14,"")</f>
        <v>35.71</v>
      </c>
      <c r="AR14" s="11">
        <f>IF(AC14&gt;0,AC14,"")</f>
        <v>10.3</v>
      </c>
      <c r="AS14" s="11">
        <f>IF(SUM(AA14:AD14)-AE14&gt;0,SUM(AA14:AD14)-AE14,"")</f>
        <v>48.005000000000003</v>
      </c>
      <c r="AT14" s="11">
        <f>IF(AH14&gt;0,AH14,"")</f>
        <v>9.1999999999999993</v>
      </c>
      <c r="AU14" s="11">
        <f>IF(SUM(AF14:AI14)-AJ14&gt;0,SUM(AF14:AI14)-AJ14,"")</f>
        <v>45.074999999999996</v>
      </c>
      <c r="AV14" s="11">
        <f>IF(AQ14="",IF(MAX(AS14,AU14)&gt;0,MAX(AS14,AU14),""),MAX(AS14,AU14)+AQ14)</f>
        <v>83.715000000000003</v>
      </c>
      <c r="AW14" s="11">
        <f>IF(AM14&gt;0,AM14,"")</f>
        <v>2</v>
      </c>
      <c r="AX14" s="11">
        <f>IF(SUM(AK14:AN14)-AO14&gt;0,SUM(AK14:AN14)-AO14,"")</f>
        <v>9.25</v>
      </c>
      <c r="AY14" s="11">
        <f>IF(SUM(AV14,AX14)&gt;0,SUM(AV14,AX14),"")</f>
        <v>92.965000000000003</v>
      </c>
      <c r="AZ14" s="75"/>
      <c r="BA14" s="75"/>
      <c r="BB14" s="75"/>
      <c r="BC14" s="75"/>
      <c r="BD14" s="75"/>
      <c r="BE14" s="75"/>
      <c r="BF14" s="75"/>
      <c r="BG14" s="75"/>
      <c r="BH14" s="75"/>
      <c r="BI14" s="75"/>
      <c r="BJ14" s="75"/>
      <c r="BK14" s="75"/>
      <c r="BL14" s="75"/>
      <c r="BM14" s="75"/>
      <c r="BN14" s="75"/>
      <c r="BO14" s="75"/>
      <c r="BP14" s="75"/>
      <c r="BQ14" s="75"/>
      <c r="BR14" s="75"/>
      <c r="BS14" s="75"/>
      <c r="BT14" s="81"/>
      <c r="BU14" s="14" t="str">
        <f>IF(SUM(AZ14:BC14)-BD14&gt;0,SUM(AZ14:BC14)-BD14,"")</f>
        <v/>
      </c>
      <c r="BV14" s="14" t="str">
        <f>IF(BG14&gt;0,BG14,"")</f>
        <v/>
      </c>
      <c r="BW14" s="14" t="str">
        <f>IF(SUM(BE14:BH14)-BI14&gt;0,SUM(BE14:BH14)-BI14,"")</f>
        <v/>
      </c>
      <c r="BX14" s="14" t="str">
        <f>IF(BL14&gt;0,BL14,"")</f>
        <v/>
      </c>
      <c r="BY14" s="14" t="str">
        <f>IF(SUM(BJ14:BM14)-BN14&gt;0,SUM(BJ14:BM14)-BN14,"")</f>
        <v/>
      </c>
      <c r="BZ14" s="14" t="str">
        <f>IF(BU14="",IF(MAX(BW14,BY14)&gt;0,MAX(BW14,BY14),""),MAX(BW14,BY14)+BU14)</f>
        <v/>
      </c>
      <c r="CA14" s="14" t="str">
        <f>IF(BQ14&gt;0,BQ14,"")</f>
        <v/>
      </c>
      <c r="CB14" s="14" t="str">
        <f>IF(SUM(BO14:BR14)-BS14&gt;0,SUM(BO14:BR14)-BS14,"")</f>
        <v/>
      </c>
      <c r="CC14" s="14" t="str">
        <f>IF(SUM(BZ14,CB14)&gt;0,SUM(BZ14,CB14),"")</f>
        <v/>
      </c>
      <c r="CD14" s="69"/>
      <c r="CE14" s="69"/>
      <c r="CF14" s="69"/>
      <c r="CG14" s="69"/>
      <c r="CH14" s="69"/>
      <c r="CI14" s="69"/>
      <c r="CJ14" s="69"/>
      <c r="CK14" s="69"/>
      <c r="CL14" s="69"/>
      <c r="CM14" s="69"/>
      <c r="CN14" s="69"/>
      <c r="CO14" s="69"/>
      <c r="CP14" s="69"/>
      <c r="CQ14" s="69"/>
      <c r="CR14" s="69"/>
      <c r="CS14" s="69"/>
      <c r="CT14" s="69"/>
      <c r="CU14" s="69"/>
      <c r="CV14" s="69"/>
      <c r="CW14" s="69"/>
      <c r="CX14" s="80"/>
      <c r="CY14" s="11" t="str">
        <f>IF(SUM(CD14:CG14)-CH14&gt;0,SUM(CD14:CG14)-CH14,"")</f>
        <v/>
      </c>
      <c r="CZ14" s="11" t="str">
        <f>IF(CK14&gt;0,CK14,"")</f>
        <v/>
      </c>
      <c r="DA14" s="11" t="str">
        <f>IF(SUM(CI14:CL14)-CM14&gt;0,SUM(CI14:CL14)-CM14,"")</f>
        <v/>
      </c>
      <c r="DB14" s="11" t="str">
        <f>IF(CP14&gt;0,CP14,"")</f>
        <v/>
      </c>
      <c r="DC14" s="11" t="str">
        <f>IF(SUM(CN14:CQ14)-CR14&gt;0,SUM(CN14:CQ14)-CR14,"")</f>
        <v/>
      </c>
      <c r="DD14" s="11" t="str">
        <f>IF(CY14="",IF(MAX(DA14,DC14)&gt;0,MAX(DA14,DC14),""),MAX(DA14,DC14)+CY14)</f>
        <v/>
      </c>
      <c r="DE14" s="11" t="str">
        <f>IF(CU14&gt;0,CU14,"")</f>
        <v/>
      </c>
      <c r="DF14" s="11" t="str">
        <f>IF(SUM(CS14:CV14)-CW14&gt;0,SUM(CS14:CV14)-CW14,"")</f>
        <v/>
      </c>
      <c r="DG14" s="11" t="str">
        <f>IF(SUM(DD14,DF14)&gt;0,SUM(DD14,DF14),"")</f>
        <v/>
      </c>
      <c r="DH14" s="24" t="str">
        <f>IF(MAX(EB14,EX14,FT14,GP14,HL14,IH14,JD14,JZ14,KV14,LR14,MN14,NJ14)-IF(M14="",0,M14)&gt;0.001,MAX(EB14,EX14,FT14,GP14,HL14,IH14,JD14,JZ14,KV14,LR14,MN14,NJ14)-IF(M14="",0,M14),"")</f>
        <v/>
      </c>
      <c r="DI14" s="24" t="str">
        <f>IF(MAX(EC14,EY14,FU14,GQ14,HM14,II14,JE14,KA14,KW14,LS14,MO14,NK14)-IF(O14="",0,O14)&gt;0.001,MAX(EC14,EY14,FU14,GQ14,HM14,II14,JE14,KA14,KW14,LS14,MO14,NK14)-IF(O14="",0,O14),"")</f>
        <v/>
      </c>
      <c r="DJ14" s="24" t="str">
        <f>IF(MAX(ED14,EZ14,FV14,GR14,HN14,IJ14,JF14,KB14,KX14,LT14,MP14,NL14)-IF(K14="",0,K14)&gt;0.001,MAX(ED14,EZ14,FV14,GR14,HN14,IJ14,JF14,KB14,KX14,LT14,MP14,NL14)-IF(K14="",0,K14),"")</f>
        <v/>
      </c>
      <c r="DK14" s="24" t="str">
        <f>IF(MAX(EF14,FB14,FX14,GT14,HP14,IL14,JH14,KD14,KZ14,LV14,MR14,NN14)-IF(Q14="",0,Q14)&gt;0.001,MAX(EF14,FB14,FX14,GT14,HP14,IL14,JH14,KD14,KZ14,LV14,MR14,NN14)-IF(Q14="",0,Q14),"")</f>
        <v/>
      </c>
      <c r="DL14" s="37"/>
      <c r="DM14" s="37"/>
      <c r="DN14" s="37"/>
      <c r="DO14" s="37"/>
      <c r="DP14" s="37"/>
      <c r="DQ14" s="37"/>
      <c r="DR14" s="37"/>
      <c r="DS14" s="37"/>
      <c r="DT14" s="37"/>
      <c r="DU14" s="37"/>
      <c r="DV14" s="37"/>
      <c r="DW14" s="37"/>
      <c r="DX14" s="37"/>
      <c r="DY14" s="37"/>
      <c r="DZ14" s="37"/>
      <c r="EA14" s="11" t="str">
        <f>IF(DS14&gt;0,DS14,"")</f>
        <v/>
      </c>
      <c r="EB14" s="11" t="str">
        <f>IF(SUM(DL14:DO14)-DP14&gt;0,SUM(DL14:DO14)-DP14,"")</f>
        <v/>
      </c>
      <c r="EC14" s="11" t="str">
        <f>IF(SUM(DQ14:DT14)-DU14&gt;0,SUM(DQ14:DT14)-DU14,"")</f>
        <v/>
      </c>
      <c r="ED14" s="11" t="str">
        <f>IF(SUM(EB14:EC14)&gt;0,SUM(EB14:EC14),"")</f>
        <v/>
      </c>
      <c r="EE14" s="11" t="str">
        <f>IF(DX14&gt;0,DX14,"")</f>
        <v/>
      </c>
      <c r="EF14" s="11" t="str">
        <f>IF(SUM(DV14:DY14)-DZ14&gt;0,SUM(DV14:DY14)-DZ14,"")</f>
        <v/>
      </c>
      <c r="EG14" s="11" t="str">
        <f>IF(SUM(ED14,EF14)&gt;0,SUM(ED14,EF14),"")</f>
        <v/>
      </c>
      <c r="EH14" s="38"/>
      <c r="EI14" s="38"/>
      <c r="EJ14" s="38"/>
      <c r="EK14" s="38"/>
      <c r="EL14" s="38"/>
      <c r="EM14" s="38"/>
      <c r="EN14" s="38"/>
      <c r="EO14" s="38"/>
      <c r="EP14" s="38"/>
      <c r="EQ14" s="38"/>
      <c r="ER14" s="38"/>
      <c r="ES14" s="38"/>
      <c r="ET14" s="38"/>
      <c r="EU14" s="38"/>
      <c r="EV14" s="38"/>
      <c r="EW14" s="14" t="str">
        <f>IF(EO14&gt;0,EO14,"")</f>
        <v/>
      </c>
      <c r="EX14" s="14" t="str">
        <f>IF(SUM(EH14:EK14)-EL14&gt;0,SUM(EH14:EK14)-EL14,"")</f>
        <v/>
      </c>
      <c r="EY14" s="14" t="str">
        <f>IF(SUM(EM14:EP14)-EQ14&gt;0,SUM(EM14:EP14)-EQ14,"")</f>
        <v/>
      </c>
      <c r="EZ14" s="14" t="str">
        <f>IF(SUM(EX14:EY14)&gt;0,SUM(EX14:EY14),"")</f>
        <v/>
      </c>
      <c r="FA14" s="14" t="str">
        <f>IF(ET14&gt;0,ET14,"")</f>
        <v/>
      </c>
      <c r="FB14" s="14" t="str">
        <f>IF(SUM(ER14:EU14)-EV14&gt;0,SUM(ER14:EU14)-EV14,"")</f>
        <v/>
      </c>
      <c r="FC14" s="14" t="str">
        <f>IF(SUM(EZ14,FB14)&gt;0,SUM(EZ14,FB14),"")</f>
        <v/>
      </c>
      <c r="FD14" s="37"/>
      <c r="FE14" s="37"/>
      <c r="FF14" s="37"/>
      <c r="FG14" s="37"/>
      <c r="FH14" s="37"/>
      <c r="FI14" s="37"/>
      <c r="FJ14" s="37"/>
      <c r="FK14" s="37"/>
      <c r="FL14" s="37"/>
      <c r="FM14" s="37"/>
      <c r="FN14" s="37"/>
      <c r="FO14" s="37"/>
      <c r="FP14" s="37"/>
      <c r="FQ14" s="37"/>
      <c r="FR14" s="37"/>
      <c r="FS14" s="11" t="str">
        <f>IF(FK14&gt;0,FK14,"")</f>
        <v/>
      </c>
      <c r="FT14" s="11" t="str">
        <f>IF(SUM(FD14:FG14)-FH14&gt;0,SUM(FD14:FG14)-FH14,"")</f>
        <v/>
      </c>
      <c r="FU14" s="11" t="str">
        <f>IF(SUM(FI14:FL14)-FM14&gt;0,SUM(FI14:FL14)-FM14,"")</f>
        <v/>
      </c>
      <c r="FV14" s="11" t="str">
        <f>IF(SUM(FT14:FU14)&gt;0,SUM(FT14:FU14),"")</f>
        <v/>
      </c>
      <c r="FW14" s="11" t="str">
        <f>IF(FP14&gt;0,FP14,"")</f>
        <v/>
      </c>
      <c r="FX14" s="11" t="str">
        <f>IF(SUM(FN14:FQ14)-FR14&gt;0,SUM(FN14:FQ14)-FR14,"")</f>
        <v/>
      </c>
      <c r="FY14" s="11" t="str">
        <f>IF(SUM(FV14,FX14)&gt;0,SUM(FV14,FX14),"")</f>
        <v/>
      </c>
      <c r="FZ14" s="38"/>
      <c r="GA14" s="38"/>
      <c r="GB14" s="38"/>
      <c r="GC14" s="38"/>
      <c r="GD14" s="38"/>
      <c r="GE14" s="38"/>
      <c r="GF14" s="38"/>
      <c r="GG14" s="38"/>
      <c r="GH14" s="38"/>
      <c r="GI14" s="38"/>
      <c r="GJ14" s="38"/>
      <c r="GK14" s="38"/>
      <c r="GL14" s="38"/>
      <c r="GM14" s="38"/>
      <c r="GN14" s="38"/>
      <c r="GO14" s="14" t="str">
        <f>IF(GG14&gt;0,GG14,"")</f>
        <v/>
      </c>
      <c r="GP14" s="14" t="str">
        <f>IF(SUM(FZ14:GC14)-GD14&gt;0,SUM(FZ14:GC14)-GD14,"")</f>
        <v/>
      </c>
      <c r="GQ14" s="14" t="str">
        <f>IF(SUM(GE14:GH14)-GI14&gt;0,SUM(GE14:GH14)-GI14,"")</f>
        <v/>
      </c>
      <c r="GR14" s="14" t="str">
        <f>IF(SUM(GP14:GQ14)&gt;0,SUM(GP14:GQ14),"")</f>
        <v/>
      </c>
      <c r="GS14" s="14" t="str">
        <f>IF(GL14&gt;0,GL14,"")</f>
        <v/>
      </c>
      <c r="GT14" s="14" t="str">
        <f>IF(SUM(GJ14:GM14)-GN14&gt;0,SUM(GJ14:GM14)-GN14,"")</f>
        <v/>
      </c>
      <c r="GU14" s="14" t="str">
        <f>IF(SUM(GR14,GT14)&gt;0,SUM(GR14,GT14),"")</f>
        <v/>
      </c>
      <c r="GV14" s="37"/>
      <c r="GW14" s="37"/>
      <c r="GX14" s="37"/>
      <c r="GY14" s="37"/>
      <c r="GZ14" s="37"/>
      <c r="HA14" s="37"/>
      <c r="HB14" s="37"/>
      <c r="HC14" s="37"/>
      <c r="HD14" s="37"/>
      <c r="HE14" s="37"/>
      <c r="HF14" s="37"/>
      <c r="HG14" s="37"/>
      <c r="HH14" s="37"/>
      <c r="HI14" s="37"/>
      <c r="HJ14" s="37"/>
      <c r="HK14" s="11" t="str">
        <f>IF(HC14&gt;0,HC14,"")</f>
        <v/>
      </c>
      <c r="HL14" s="11" t="str">
        <f>IF(SUM(GV14:GY14)-GZ14&gt;0,SUM(GV14:GY14)-GZ14,"")</f>
        <v/>
      </c>
      <c r="HM14" s="11" t="str">
        <f>IF(SUM(HA14:HD14)-HE14&gt;0,SUM(HA14:HD14)-HE14,"")</f>
        <v/>
      </c>
      <c r="HN14" s="11" t="str">
        <f>IF(SUM(HL14:HM14)&gt;0,SUM(HL14:HM14),"")</f>
        <v/>
      </c>
      <c r="HO14" s="11" t="str">
        <f>IF(HH14&gt;0,HH14,"")</f>
        <v/>
      </c>
      <c r="HP14" s="11" t="str">
        <f>IF(SUM(HF14:HI14)-HJ14&gt;0,SUM(HF14:HI14)-HJ14,"")</f>
        <v/>
      </c>
      <c r="HQ14" s="11" t="str">
        <f>IF(SUM(HN14,HP14)&gt;0,SUM(HN14,HP14),"")</f>
        <v/>
      </c>
      <c r="HR14" s="38"/>
      <c r="HS14" s="38"/>
      <c r="HT14" s="38"/>
      <c r="HU14" s="38"/>
      <c r="HV14" s="38"/>
      <c r="HW14" s="38"/>
      <c r="HX14" s="38"/>
      <c r="HY14" s="38"/>
      <c r="HZ14" s="38"/>
      <c r="IA14" s="38"/>
      <c r="IB14" s="38"/>
      <c r="IC14" s="38"/>
      <c r="ID14" s="38"/>
      <c r="IE14" s="38"/>
      <c r="IF14" s="38"/>
      <c r="IG14" s="14" t="str">
        <f>IF(HY14&gt;0,HY14,"")</f>
        <v/>
      </c>
      <c r="IH14" s="14" t="str">
        <f>IF(SUM(HR14:HU14)-HV14&gt;0,SUM(HR14:HU14)-HV14,"")</f>
        <v/>
      </c>
      <c r="II14" s="14" t="str">
        <f>IF(SUM(HW14:HZ14)-IA14&gt;0,SUM(HW14:HZ14)-IA14,"")</f>
        <v/>
      </c>
      <c r="IJ14" s="14" t="str">
        <f>IF(SUM(IH14:II14)&gt;0,SUM(IH14:II14),"")</f>
        <v/>
      </c>
      <c r="IK14" s="14" t="str">
        <f>IF(ID14&gt;0,ID14,"")</f>
        <v/>
      </c>
      <c r="IL14" s="14" t="str">
        <f>IF(SUM(IB14:IE14)-IF14&gt;0,SUM(IB14:IE14)-IF14,"")</f>
        <v/>
      </c>
      <c r="IM14" s="14" t="str">
        <f>IF(SUM(IJ14,IL14)&gt;0,SUM(IJ14,IL14),"")</f>
        <v/>
      </c>
      <c r="IN14" s="37"/>
      <c r="IO14" s="37"/>
      <c r="IP14" s="37"/>
      <c r="IQ14" s="37"/>
      <c r="IR14" s="37"/>
      <c r="IS14" s="37"/>
      <c r="IT14" s="37"/>
      <c r="IU14" s="37"/>
      <c r="IV14" s="37"/>
      <c r="IW14" s="37"/>
      <c r="IX14" s="37"/>
      <c r="IY14" s="37"/>
      <c r="IZ14" s="37"/>
      <c r="JA14" s="37"/>
      <c r="JB14" s="37"/>
      <c r="JC14" s="11" t="str">
        <f>IF(IU14&gt;0,IU14,"")</f>
        <v/>
      </c>
      <c r="JD14" s="11" t="str">
        <f>IF(SUM(IN14:IQ14)-IR14&gt;0,SUM(IN14:IQ14)-IR14,"")</f>
        <v/>
      </c>
      <c r="JE14" s="11" t="str">
        <f>IF(SUM(IS14:IV14)-IW14&gt;0,SUM(IS14:IV14)-IW14,"")</f>
        <v/>
      </c>
      <c r="JF14" s="11" t="str">
        <f>IF(SUM(JD14:JE14)&gt;0,SUM(JD14:JE14),"")</f>
        <v/>
      </c>
      <c r="JG14" s="11" t="str">
        <f>IF(IZ14&gt;0,IZ14,"")</f>
        <v/>
      </c>
      <c r="JH14" s="11" t="str">
        <f>IF(SUM(IX14:JA14)-JB14&gt;0,SUM(IX14:JA14)-JB14,"")</f>
        <v/>
      </c>
      <c r="JI14" s="11" t="str">
        <f>IF(SUM(JF14,JH14)&gt;0,SUM(JF14,JH14),"")</f>
        <v/>
      </c>
      <c r="JJ14" s="38"/>
      <c r="JK14" s="38"/>
      <c r="JL14" s="38"/>
      <c r="JM14" s="38"/>
      <c r="JN14" s="38"/>
      <c r="JO14" s="38"/>
      <c r="JP14" s="38"/>
      <c r="JQ14" s="38"/>
      <c r="JR14" s="38"/>
      <c r="JS14" s="38"/>
      <c r="JT14" s="38"/>
      <c r="JU14" s="38"/>
      <c r="JV14" s="38"/>
      <c r="JW14" s="38"/>
      <c r="JX14" s="38"/>
      <c r="JY14" s="14" t="str">
        <f>IF(JQ14&gt;0,JQ14,"")</f>
        <v/>
      </c>
      <c r="JZ14" s="14" t="str">
        <f>IF(SUM(JJ14:JM14)-JN14&gt;0,SUM(JJ14:JM14)-JN14,"")</f>
        <v/>
      </c>
      <c r="KA14" s="14" t="str">
        <f>IF(SUM(JO14:JR14)-JS14&gt;0,SUM(JO14:JR14)-JS14,"")</f>
        <v/>
      </c>
      <c r="KB14" s="14" t="str">
        <f>IF(SUM(JZ14:KA14)&gt;0,SUM(JZ14:KA14),"")</f>
        <v/>
      </c>
      <c r="KC14" s="14" t="str">
        <f>IF(JV14&gt;0,JV14,"")</f>
        <v/>
      </c>
      <c r="KD14" s="14" t="str">
        <f>IF(SUM(JT14:JW14)-JX14&gt;0,SUM(JT14:JW14)-JX14,"")</f>
        <v/>
      </c>
      <c r="KE14" s="14" t="str">
        <f>IF(SUM(KB14,KD14)&gt;0,SUM(KB14,KD14),"")</f>
        <v/>
      </c>
      <c r="KF14" s="37"/>
      <c r="KG14" s="37"/>
      <c r="KH14" s="37"/>
      <c r="KI14" s="37"/>
      <c r="KJ14" s="37"/>
      <c r="KK14" s="37"/>
      <c r="KL14" s="37"/>
      <c r="KM14" s="37"/>
      <c r="KN14" s="37"/>
      <c r="KO14" s="37"/>
      <c r="KP14" s="37"/>
      <c r="KQ14" s="37"/>
      <c r="KR14" s="37"/>
      <c r="KS14" s="37"/>
      <c r="KT14" s="37"/>
      <c r="KU14" s="11" t="str">
        <f>IF(KM14&gt;0,KM14,"")</f>
        <v/>
      </c>
      <c r="KV14" s="11" t="str">
        <f>IF(SUM(KF14:KI14)-KJ14&gt;0,SUM(KF14:KI14)-KJ14,"")</f>
        <v/>
      </c>
      <c r="KW14" s="11" t="str">
        <f>IF(SUM(KK14:KN14)-KO14&gt;0,SUM(KK14:KN14)-KO14,"")</f>
        <v/>
      </c>
      <c r="KX14" s="11" t="str">
        <f>IF(SUM(KV14:KW14)&gt;0,SUM(KV14:KW14),"")</f>
        <v/>
      </c>
      <c r="KY14" s="11" t="str">
        <f>IF(KR14&gt;0,KR14,"")</f>
        <v/>
      </c>
      <c r="KZ14" s="11" t="str">
        <f>IF(SUM(KP14:KS14)-KT14&gt;0,SUM(KP14:KS14)-KT14,"")</f>
        <v/>
      </c>
      <c r="LA14" s="11" t="str">
        <f>IF(SUM(KX14,KZ14)&gt;0,SUM(KX14,KZ14),"")</f>
        <v/>
      </c>
      <c r="LB14" s="38"/>
      <c r="LC14" s="38"/>
      <c r="LD14" s="38"/>
      <c r="LE14" s="38"/>
      <c r="LF14" s="38"/>
      <c r="LG14" s="38"/>
      <c r="LH14" s="38"/>
      <c r="LI14" s="38"/>
      <c r="LJ14" s="38"/>
      <c r="LK14" s="38"/>
      <c r="LL14" s="38"/>
      <c r="LM14" s="38"/>
      <c r="LN14" s="38"/>
      <c r="LO14" s="38"/>
      <c r="LP14" s="38"/>
      <c r="LQ14" s="14" t="str">
        <f>IF(LI14&gt;0,LI14,"")</f>
        <v/>
      </c>
      <c r="LR14" s="14" t="str">
        <f>IF(SUM(LB14:LE14)-LF14&gt;0,SUM(LB14:LE14)-LF14,"")</f>
        <v/>
      </c>
      <c r="LS14" s="14" t="str">
        <f>IF(SUM(LG14:LJ14)-LK14&gt;0,SUM(LG14:LJ14)-LK14,"")</f>
        <v/>
      </c>
      <c r="LT14" s="14" t="str">
        <f>IF(SUM(LR14:LS14)&gt;0,SUM(LR14:LS14),"")</f>
        <v/>
      </c>
      <c r="LU14" s="14" t="str">
        <f>IF(LN14&gt;0,LN14,"")</f>
        <v/>
      </c>
      <c r="LV14" s="14" t="str">
        <f>IF(SUM(LL14:LO14)-LP14&gt;0,SUM(LL14:LO14)-LP14,"")</f>
        <v/>
      </c>
      <c r="LW14" s="14" t="str">
        <f>IF(SUM(LT14,LV14)&gt;0,SUM(LT14,LV14),"")</f>
        <v/>
      </c>
      <c r="LX14" s="37"/>
      <c r="LY14" s="37"/>
      <c r="LZ14" s="37"/>
      <c r="MA14" s="37"/>
      <c r="MB14" s="37"/>
      <c r="MC14" s="37"/>
      <c r="MD14" s="37"/>
      <c r="ME14" s="37"/>
      <c r="MF14" s="37"/>
      <c r="MG14" s="37"/>
      <c r="MH14" s="37"/>
      <c r="MI14" s="37"/>
      <c r="MJ14" s="37"/>
      <c r="MK14" s="37"/>
      <c r="ML14" s="37"/>
      <c r="MM14" s="11" t="str">
        <f>IF(ME14&gt;0,ME14,"")</f>
        <v/>
      </c>
      <c r="MN14" s="11" t="str">
        <f>IF(SUM(LX14:MA14)-MB14&gt;0,SUM(LX14:MA14)-MB14,"")</f>
        <v/>
      </c>
      <c r="MO14" s="11" t="str">
        <f>IF(SUM(MC14:MF14)-MG14&gt;0,SUM(MC14:MF14)-MG14,"")</f>
        <v/>
      </c>
      <c r="MP14" s="11" t="str">
        <f>IF(SUM(MN14:MO14)&gt;0,SUM(MN14:MO14),"")</f>
        <v/>
      </c>
      <c r="MQ14" s="11" t="str">
        <f>IF(MJ14&gt;0,MJ14,"")</f>
        <v/>
      </c>
      <c r="MR14" s="11" t="str">
        <f>IF(SUM(MH14:MK14)-ML14&gt;0,SUM(MH14:MK14)-ML14,"")</f>
        <v/>
      </c>
      <c r="MS14" s="11" t="str">
        <f>IF(SUM(MP14,MR14)&gt;0,SUM(MP14,MR14),"")</f>
        <v/>
      </c>
      <c r="MT14" s="38"/>
      <c r="MU14" s="38"/>
      <c r="MV14" s="38"/>
      <c r="MW14" s="38"/>
      <c r="MX14" s="38"/>
      <c r="MY14" s="38"/>
      <c r="MZ14" s="38"/>
      <c r="NA14" s="38"/>
      <c r="NB14" s="38"/>
      <c r="NC14" s="38"/>
      <c r="ND14" s="38"/>
      <c r="NE14" s="38"/>
      <c r="NF14" s="38"/>
      <c r="NG14" s="38"/>
      <c r="NH14" s="38"/>
      <c r="NI14" s="14" t="str">
        <f>IF(NA14&gt;0,NA14,"")</f>
        <v/>
      </c>
      <c r="NJ14" s="14" t="str">
        <f>IF(SUM(MT14:MW14)-MX14&gt;0,SUM(MT14:MW14)-MX14,"")</f>
        <v/>
      </c>
      <c r="NK14" s="14" t="str">
        <f>IF(SUM(MY14:NB14)-NC14&gt;0,SUM(MY14:NB14)-NC14,"")</f>
        <v/>
      </c>
      <c r="NL14" s="14" t="str">
        <f>IF(SUM(NJ14:NK14)&gt;0,SUM(NJ14:NK14),"")</f>
        <v/>
      </c>
      <c r="NM14" s="14" t="str">
        <f>IF(NF14&gt;0,NF14,"")</f>
        <v/>
      </c>
      <c r="NN14" s="14" t="str">
        <f>IF(SUM(ND14:NG14)-NH14&gt;0,SUM(ND14:NG14)-NH14,"")</f>
        <v/>
      </c>
      <c r="NO14" s="14" t="str">
        <f>IF(SUM(NL14,NN14)&gt;0,SUM(NL14,NN14),"")</f>
        <v/>
      </c>
      <c r="NP14" s="69">
        <f>IF($CX14="P",CD14,(CD14+AZ14)/2)</f>
        <v>0</v>
      </c>
      <c r="NQ14" s="69">
        <f>IF($CX14="P",CE14,(CE14+BA14)/2)</f>
        <v>0</v>
      </c>
      <c r="NR14" s="69">
        <f>IF($CX14="P",CF14,(CF14+BB14)/2)</f>
        <v>0</v>
      </c>
      <c r="NS14" s="69">
        <f>IF($CX14="P",CG14,(CG14+BC14)/2)</f>
        <v>0</v>
      </c>
      <c r="NT14" s="69">
        <f>IF($CX14="P",CH14,(CH14+BD14)/2)</f>
        <v>0</v>
      </c>
      <c r="NU14" s="69">
        <f>IF($CX14="P",CI14,(CI14+BE14)/2)</f>
        <v>0</v>
      </c>
      <c r="NV14" s="69">
        <f>IF($CX14="P",CJ14,(CJ14+BF14)/2)</f>
        <v>0</v>
      </c>
      <c r="NW14" s="69">
        <f>IF($CX14="P",CK14,(CK14+BG14)/2)</f>
        <v>0</v>
      </c>
      <c r="NX14" s="69">
        <f>IF($CX14="P",CL14,(CL14+BH14)/2)</f>
        <v>0</v>
      </c>
      <c r="NY14" s="69">
        <f>IF($CX14="P",CM14,(CM14+BI14)/2)</f>
        <v>0</v>
      </c>
      <c r="NZ14" s="69">
        <f>IF($CX14="P",CN14,(CN14+BJ14)/2)</f>
        <v>0</v>
      </c>
      <c r="OA14" s="69">
        <f>IF($CX14="P",CO14,(CO14+BK14)/2)</f>
        <v>0</v>
      </c>
      <c r="OB14" s="69">
        <f>IF($CX14="P",CP14,(CP14+BL14)/2)</f>
        <v>0</v>
      </c>
      <c r="OC14" s="69">
        <f>IF($CX14="P",CQ14,(CQ14+BM14)/2)</f>
        <v>0</v>
      </c>
      <c r="OD14" s="69">
        <f>IF($CX14="P",CR14,(CR14+BN14)/2)</f>
        <v>0</v>
      </c>
      <c r="OE14" s="69">
        <f>IF($CX14="P",CS14,(CS14+BO14)/2)</f>
        <v>0</v>
      </c>
      <c r="OF14" s="69">
        <f>IF($CX14="P",CT14,(CT14+BP14)/2)</f>
        <v>0</v>
      </c>
      <c r="OG14" s="69">
        <f>IF($CX14="P",CU14,(CU14+BQ14)/2)</f>
        <v>0</v>
      </c>
      <c r="OH14" s="69">
        <f>IF($CX14="P",CV14,(CV14+BR14)/2)</f>
        <v>0</v>
      </c>
      <c r="OI14" s="69">
        <f>IF($CX14="P",CW14,(CW14+BS14)/2)</f>
        <v>0</v>
      </c>
      <c r="OJ14" s="80" t="s">
        <v>74</v>
      </c>
      <c r="OK14" s="11" t="str">
        <f>IF(SUM(NP14:NS14)-NT14&gt;0,SUM(NP14:NS14)-NT14,"")</f>
        <v/>
      </c>
      <c r="OL14" s="11" t="str">
        <f>IF(NW14&gt;0,NW14,"")</f>
        <v/>
      </c>
      <c r="OM14" s="11" t="str">
        <f>IF(SUM(NU14:NX14)-NY14&gt;0,SUM(NU14:NX14)-NY14,"")</f>
        <v/>
      </c>
      <c r="ON14" s="11" t="str">
        <f>IF(OB14&gt;0,OB14,"")</f>
        <v/>
      </c>
      <c r="OO14" s="11" t="str">
        <f>IF(SUM(NZ14:OC14)-OD14&gt;0,SUM(NZ14:OC14)-OD14,"")</f>
        <v/>
      </c>
      <c r="OP14" s="11" t="str">
        <f>IF(OR(OK14&lt;&gt;"",OM14&lt;&gt;"",OO14&lt;&gt;""),OK14+MAX(OM14,OO14),"")</f>
        <v/>
      </c>
      <c r="OQ14" s="11" t="str">
        <f>IF(OG14&gt;0,OG14,"")</f>
        <v/>
      </c>
      <c r="OR14" s="11" t="str">
        <f t="shared" si="0"/>
        <v/>
      </c>
      <c r="OS14" s="11" t="str">
        <f t="shared" si="1"/>
        <v/>
      </c>
    </row>
    <row r="15" spans="1:409" x14ac:dyDescent="0.2">
      <c r="B15" s="6"/>
      <c r="D15" s="1"/>
    </row>
    <row r="16" spans="1:409" x14ac:dyDescent="0.2">
      <c r="H16" s="125"/>
      <c r="J16" s="125"/>
    </row>
    <row r="17" spans="1:379" x14ac:dyDescent="0.2">
      <c r="B17" s="70" t="s">
        <v>70</v>
      </c>
      <c r="C17" s="56"/>
      <c r="H17" s="3"/>
      <c r="AR17" s="124"/>
      <c r="AS17" s="124"/>
      <c r="AT17" s="124"/>
      <c r="AW17" s="54"/>
      <c r="AY17" s="64">
        <v>12.2</v>
      </c>
      <c r="BV17" s="124"/>
      <c r="BW17" s="124"/>
      <c r="BX17" s="124"/>
      <c r="CA17" s="54"/>
      <c r="CC17" s="64">
        <v>12.2</v>
      </c>
      <c r="CZ17" s="124"/>
      <c r="DA17" s="124"/>
      <c r="DB17" s="124"/>
      <c r="DE17" s="54"/>
      <c r="DG17" s="64">
        <v>12.2</v>
      </c>
      <c r="EA17" s="56"/>
      <c r="EE17" s="54"/>
      <c r="EG17" s="64">
        <v>12.2</v>
      </c>
      <c r="EW17" s="56"/>
      <c r="FA17" s="54"/>
      <c r="FC17" s="64">
        <v>12.2</v>
      </c>
      <c r="FS17" s="56"/>
      <c r="FW17" s="54"/>
      <c r="FY17" s="64">
        <v>12.2</v>
      </c>
      <c r="GO17" s="56"/>
      <c r="GS17" s="54"/>
      <c r="GU17" s="64">
        <v>12.2</v>
      </c>
      <c r="HK17" s="56"/>
      <c r="HO17" s="54"/>
      <c r="HQ17" s="64">
        <v>12.2</v>
      </c>
      <c r="IG17" s="56"/>
      <c r="IK17" s="54"/>
      <c r="IM17" s="64">
        <v>12.2</v>
      </c>
      <c r="JC17" s="56"/>
      <c r="JG17" s="54"/>
      <c r="JI17" s="64">
        <v>12.2</v>
      </c>
      <c r="JY17" s="56"/>
      <c r="KC17" s="54"/>
      <c r="KE17" s="64">
        <v>12.2</v>
      </c>
      <c r="KU17" s="56"/>
      <c r="KY17" s="54"/>
      <c r="LA17" s="64">
        <v>12.2</v>
      </c>
      <c r="LQ17" s="56"/>
      <c r="LU17" s="54"/>
      <c r="LW17" s="64">
        <v>12.2</v>
      </c>
      <c r="MM17" s="56"/>
      <c r="MQ17" s="54"/>
      <c r="MS17" s="64">
        <v>12.2</v>
      </c>
      <c r="NI17" s="56"/>
      <c r="NM17" s="54"/>
      <c r="NO17" s="64">
        <v>12.2</v>
      </c>
    </row>
    <row r="18" spans="1:379" x14ac:dyDescent="0.2">
      <c r="B18" s="91" t="s">
        <v>69</v>
      </c>
      <c r="C18" s="56"/>
      <c r="AR18" s="124"/>
      <c r="AS18" s="124"/>
      <c r="AT18" s="124"/>
      <c r="AW18" s="54"/>
      <c r="AY18" s="93">
        <v>13.1</v>
      </c>
      <c r="BV18" s="124"/>
      <c r="BW18" s="124"/>
      <c r="BX18" s="124"/>
      <c r="CA18" s="54"/>
      <c r="CC18" s="93">
        <v>13.1</v>
      </c>
      <c r="CZ18" s="124"/>
      <c r="DA18" s="124"/>
      <c r="DB18" s="124"/>
      <c r="DE18" s="54"/>
      <c r="DG18" s="93">
        <v>13.1</v>
      </c>
      <c r="EA18" s="56"/>
      <c r="EE18" s="54"/>
      <c r="EG18" s="93">
        <v>13.1</v>
      </c>
      <c r="EW18" s="56"/>
      <c r="FA18" s="54"/>
      <c r="FC18" s="93">
        <v>13.1</v>
      </c>
      <c r="FS18" s="56"/>
      <c r="FW18" s="54"/>
      <c r="FY18" s="93">
        <v>13.1</v>
      </c>
      <c r="GO18" s="56"/>
      <c r="GS18" s="54"/>
      <c r="GU18" s="93">
        <v>13.1</v>
      </c>
      <c r="HK18" s="56"/>
      <c r="HO18" s="54"/>
      <c r="HQ18" s="93">
        <v>13.1</v>
      </c>
      <c r="IG18" s="56"/>
      <c r="IK18" s="54"/>
      <c r="IM18" s="93">
        <v>13.1</v>
      </c>
      <c r="JC18" s="56"/>
      <c r="JG18" s="54"/>
      <c r="JI18" s="93">
        <v>13.1</v>
      </c>
      <c r="JY18" s="56"/>
      <c r="KC18" s="54"/>
      <c r="KE18" s="93">
        <v>13.1</v>
      </c>
      <c r="KU18" s="56"/>
      <c r="KY18" s="54"/>
      <c r="LA18" s="93">
        <v>13.1</v>
      </c>
      <c r="LQ18" s="56"/>
      <c r="LU18" s="54"/>
      <c r="LW18" s="93">
        <v>13.1</v>
      </c>
      <c r="MM18" s="56"/>
      <c r="MQ18" s="54"/>
      <c r="MS18" s="93">
        <v>13.1</v>
      </c>
      <c r="NI18" s="56"/>
      <c r="NM18" s="54"/>
      <c r="NO18" s="93">
        <v>13.1</v>
      </c>
    </row>
    <row r="19" spans="1:379" x14ac:dyDescent="0.2">
      <c r="A19" s="56"/>
      <c r="B19" s="92" t="s">
        <v>86</v>
      </c>
      <c r="C19" s="56"/>
      <c r="AR19" s="124"/>
      <c r="AS19" s="124"/>
      <c r="AT19" s="124"/>
      <c r="AV19" s="54"/>
      <c r="AW19" s="54"/>
      <c r="AX19" s="54"/>
      <c r="AY19" s="94">
        <v>13.1</v>
      </c>
      <c r="BV19" s="124"/>
      <c r="BW19" s="124"/>
      <c r="BX19" s="124"/>
      <c r="CA19" s="54"/>
      <c r="CC19" s="94">
        <v>13.1</v>
      </c>
      <c r="CZ19" s="124"/>
      <c r="DA19" s="124"/>
      <c r="DB19" s="124"/>
      <c r="DD19" s="54"/>
      <c r="DE19" s="54"/>
      <c r="DF19" s="54"/>
      <c r="DG19" s="94">
        <v>13.1</v>
      </c>
      <c r="EA19" s="56"/>
      <c r="EE19" s="54"/>
      <c r="EG19" s="94">
        <v>13.1</v>
      </c>
      <c r="EW19" s="56"/>
      <c r="FA19" s="54"/>
      <c r="FC19" s="94">
        <v>13.1</v>
      </c>
      <c r="FS19" s="56"/>
      <c r="FW19" s="54"/>
      <c r="FY19" s="94">
        <v>13.1</v>
      </c>
      <c r="GO19" s="56"/>
      <c r="GS19" s="54"/>
      <c r="GU19" s="94">
        <v>13.1</v>
      </c>
      <c r="HK19" s="56"/>
      <c r="HO19" s="54"/>
      <c r="HQ19" s="94">
        <v>13.1</v>
      </c>
      <c r="IG19" s="56"/>
      <c r="IK19" s="54"/>
      <c r="IM19" s="94">
        <v>13.1</v>
      </c>
      <c r="JC19" s="56"/>
      <c r="JG19" s="54"/>
      <c r="JI19" s="94">
        <v>13.1</v>
      </c>
      <c r="JY19" s="56"/>
      <c r="KC19" s="54"/>
      <c r="KE19" s="94">
        <v>13.1</v>
      </c>
      <c r="KU19" s="56"/>
      <c r="KY19" s="54"/>
      <c r="LA19" s="94">
        <v>13.1</v>
      </c>
      <c r="LQ19" s="56"/>
      <c r="LU19" s="54"/>
      <c r="LW19" s="94">
        <v>13.1</v>
      </c>
      <c r="MM19" s="56"/>
      <c r="MQ19" s="54"/>
      <c r="MS19" s="94">
        <v>13.1</v>
      </c>
      <c r="NI19" s="56"/>
      <c r="NM19" s="54"/>
      <c r="NO19" s="94">
        <v>13.1</v>
      </c>
    </row>
    <row r="20" spans="1:379" x14ac:dyDescent="0.2">
      <c r="A20" s="56"/>
      <c r="B20" s="120" t="s">
        <v>102</v>
      </c>
      <c r="C20" s="56"/>
      <c r="AR20" s="124"/>
      <c r="AS20" s="124"/>
      <c r="AT20" s="124"/>
      <c r="AV20" s="54"/>
      <c r="AW20" s="54"/>
      <c r="AX20" s="54"/>
      <c r="AY20" s="121">
        <v>13.1</v>
      </c>
      <c r="BV20" s="124"/>
      <c r="BW20" s="124"/>
      <c r="BX20" s="124"/>
      <c r="CA20" s="54"/>
      <c r="CC20" s="121">
        <v>13.1</v>
      </c>
      <c r="CZ20" s="124"/>
      <c r="DA20" s="124"/>
      <c r="DB20" s="124"/>
      <c r="DD20" s="54"/>
      <c r="DE20" s="54"/>
      <c r="DF20" s="54"/>
      <c r="DG20" s="121">
        <v>13.1</v>
      </c>
      <c r="EA20" s="56"/>
      <c r="EE20" s="54"/>
      <c r="EG20" s="121">
        <v>13.1</v>
      </c>
      <c r="EW20" s="56"/>
      <c r="FA20" s="54"/>
      <c r="FC20" s="121">
        <v>13.1</v>
      </c>
      <c r="FS20" s="56"/>
      <c r="FW20" s="54"/>
      <c r="FY20" s="121">
        <v>13.1</v>
      </c>
      <c r="GO20" s="56"/>
      <c r="GS20" s="54"/>
      <c r="GU20" s="121">
        <v>13.1</v>
      </c>
      <c r="HK20" s="56"/>
      <c r="HO20" s="54"/>
      <c r="HQ20" s="121">
        <v>13.1</v>
      </c>
      <c r="IG20" s="56"/>
      <c r="IK20" s="54"/>
      <c r="IM20" s="121">
        <v>13.1</v>
      </c>
      <c r="JC20" s="56"/>
      <c r="JG20" s="54"/>
      <c r="JI20" s="121">
        <v>13.1</v>
      </c>
      <c r="JY20" s="56"/>
      <c r="KC20" s="54"/>
      <c r="KE20" s="121">
        <v>13.1</v>
      </c>
      <c r="KU20" s="56"/>
      <c r="KY20" s="54"/>
      <c r="LA20" s="121">
        <v>13.1</v>
      </c>
      <c r="LQ20" s="56"/>
      <c r="LU20" s="54"/>
      <c r="LW20" s="121">
        <v>13.1</v>
      </c>
      <c r="MM20" s="56"/>
      <c r="MQ20" s="54"/>
      <c r="MS20" s="121">
        <v>13.1</v>
      </c>
      <c r="NI20" s="56"/>
      <c r="NM20" s="54"/>
      <c r="NO20" s="121">
        <v>13.1</v>
      </c>
    </row>
    <row r="21" spans="1:379" x14ac:dyDescent="0.2">
      <c r="A21" s="56"/>
      <c r="B21" s="118" t="s">
        <v>67</v>
      </c>
      <c r="C21" s="56"/>
      <c r="O21" s="2"/>
      <c r="AR21" s="124"/>
      <c r="AS21" s="124"/>
      <c r="AT21" s="124"/>
      <c r="AV21" s="54"/>
      <c r="AW21" s="54"/>
      <c r="AX21" s="54"/>
      <c r="AY21" s="119">
        <v>95.5</v>
      </c>
      <c r="BV21" s="124"/>
      <c r="BW21" s="124"/>
      <c r="BX21" s="124"/>
      <c r="CA21" s="54"/>
      <c r="CC21" s="119">
        <v>95.5</v>
      </c>
      <c r="CZ21" s="124"/>
      <c r="DA21" s="124"/>
      <c r="DB21" s="124"/>
      <c r="DD21" s="54"/>
      <c r="DE21" s="54"/>
      <c r="DF21" s="54"/>
      <c r="DG21" s="119">
        <v>95.5</v>
      </c>
      <c r="EA21" s="56"/>
      <c r="EE21" s="54"/>
      <c r="EG21" s="119">
        <v>95.5</v>
      </c>
      <c r="EW21" s="56"/>
      <c r="FA21" s="54"/>
      <c r="FC21" s="119">
        <v>95.5</v>
      </c>
      <c r="FS21" s="56"/>
      <c r="FW21" s="54"/>
      <c r="FY21" s="119">
        <v>95.5</v>
      </c>
      <c r="GO21" s="56"/>
      <c r="GS21" s="54"/>
      <c r="GU21" s="119">
        <v>95.5</v>
      </c>
      <c r="HK21" s="56"/>
      <c r="HO21" s="54"/>
      <c r="HQ21" s="119">
        <v>95.5</v>
      </c>
      <c r="IG21" s="56"/>
      <c r="IK21" s="54"/>
      <c r="IM21" s="119">
        <v>95.5</v>
      </c>
      <c r="JC21" s="56"/>
      <c r="JG21" s="54"/>
      <c r="JI21" s="119">
        <v>95.5</v>
      </c>
      <c r="JY21" s="56"/>
      <c r="KC21" s="54"/>
      <c r="KE21" s="119">
        <v>95.5</v>
      </c>
      <c r="KU21" s="56"/>
      <c r="KY21" s="54"/>
      <c r="LA21" s="119">
        <v>95.5</v>
      </c>
      <c r="LQ21" s="56"/>
      <c r="LU21" s="54"/>
      <c r="LW21" s="119">
        <v>95.5</v>
      </c>
      <c r="MM21" s="56"/>
      <c r="MQ21" s="54"/>
      <c r="MS21" s="119">
        <v>95.5</v>
      </c>
      <c r="NI21" s="56"/>
      <c r="NM21" s="54"/>
      <c r="NO21" s="119">
        <v>95.5</v>
      </c>
    </row>
    <row r="22" spans="1:379" x14ac:dyDescent="0.2">
      <c r="A22" s="56"/>
      <c r="B22" s="72" t="s">
        <v>68</v>
      </c>
      <c r="C22" s="56"/>
      <c r="O22" s="2"/>
      <c r="AR22" s="124"/>
      <c r="AS22" s="124"/>
      <c r="AT22" s="124"/>
      <c r="AV22" s="54"/>
      <c r="AW22" s="54"/>
      <c r="AX22" s="54"/>
      <c r="AY22" s="66">
        <v>97.5</v>
      </c>
      <c r="BV22" s="124"/>
      <c r="BW22" s="124"/>
      <c r="BX22" s="124"/>
      <c r="CA22" s="54"/>
      <c r="CC22" s="66">
        <v>97.5</v>
      </c>
      <c r="CZ22" s="124"/>
      <c r="DA22" s="124"/>
      <c r="DB22" s="124"/>
      <c r="DD22" s="54"/>
      <c r="DE22" s="54"/>
      <c r="DF22" s="54"/>
      <c r="DG22" s="66">
        <v>97.5</v>
      </c>
      <c r="EA22" s="56"/>
      <c r="EE22" s="54"/>
      <c r="EG22" s="66">
        <v>97.5</v>
      </c>
      <c r="EW22" s="56"/>
      <c r="FA22" s="54"/>
      <c r="FC22" s="66">
        <v>97.5</v>
      </c>
      <c r="FS22" s="56"/>
      <c r="FW22" s="54"/>
      <c r="FY22" s="66">
        <v>97.5</v>
      </c>
      <c r="GO22" s="56"/>
      <c r="GS22" s="54"/>
      <c r="GU22" s="66">
        <v>97.5</v>
      </c>
      <c r="HK22" s="56"/>
      <c r="HO22" s="54"/>
      <c r="HQ22" s="66">
        <v>97.5</v>
      </c>
      <c r="IG22" s="56"/>
      <c r="IK22" s="54"/>
      <c r="IM22" s="66">
        <v>97.5</v>
      </c>
      <c r="JC22" s="56"/>
      <c r="JG22" s="54"/>
      <c r="JI22" s="66">
        <v>97.5</v>
      </c>
      <c r="JY22" s="56"/>
      <c r="KC22" s="54"/>
      <c r="KE22" s="66">
        <v>97.5</v>
      </c>
      <c r="KU22" s="56"/>
      <c r="KY22" s="54"/>
      <c r="LA22" s="66">
        <v>97.5</v>
      </c>
      <c r="LQ22" s="56"/>
      <c r="LU22" s="54"/>
      <c r="LW22" s="66">
        <v>97.5</v>
      </c>
      <c r="MM22" s="56"/>
      <c r="MQ22" s="54"/>
      <c r="MS22" s="66">
        <v>97.5</v>
      </c>
      <c r="NI22" s="56"/>
      <c r="NM22" s="54"/>
      <c r="NO22" s="66">
        <v>97.5</v>
      </c>
    </row>
    <row r="23" spans="1:379" x14ac:dyDescent="0.2">
      <c r="A23" s="56"/>
      <c r="B23" s="116" t="s">
        <v>84</v>
      </c>
      <c r="C23" s="56"/>
      <c r="AR23" s="124"/>
      <c r="AS23" s="124"/>
      <c r="AT23" s="124"/>
      <c r="AV23" s="54"/>
      <c r="AW23" s="54"/>
      <c r="AX23" s="130"/>
      <c r="AY23" s="117">
        <v>53</v>
      </c>
      <c r="BV23" s="124"/>
      <c r="BW23" s="124"/>
      <c r="BX23" s="124"/>
      <c r="CA23" s="54"/>
      <c r="CB23" s="129"/>
      <c r="CC23" s="117">
        <v>53</v>
      </c>
      <c r="CZ23" s="124"/>
      <c r="DA23" s="124"/>
      <c r="DB23" s="124"/>
      <c r="DD23" s="54"/>
      <c r="DE23" s="54"/>
      <c r="DF23" s="54"/>
      <c r="DG23" s="117">
        <v>53</v>
      </c>
      <c r="EA23" s="56"/>
      <c r="EE23" s="54"/>
      <c r="EG23" s="117">
        <v>53</v>
      </c>
      <c r="EW23" s="56"/>
      <c r="FA23" s="54"/>
      <c r="FC23" s="117">
        <v>53</v>
      </c>
      <c r="FS23" s="56"/>
      <c r="FW23" s="54"/>
      <c r="FY23" s="117">
        <v>53</v>
      </c>
      <c r="GO23" s="56"/>
      <c r="GS23" s="54"/>
      <c r="GT23" s="129"/>
      <c r="GU23" s="117">
        <v>53</v>
      </c>
      <c r="HK23" s="56"/>
      <c r="HO23" s="54"/>
      <c r="HP23" s="129"/>
      <c r="HQ23" s="117">
        <v>53</v>
      </c>
      <c r="IG23" s="56"/>
      <c r="IK23" s="54"/>
      <c r="IM23" s="117">
        <v>53</v>
      </c>
      <c r="JC23" s="56"/>
      <c r="JG23" s="54"/>
      <c r="JI23" s="117">
        <v>53</v>
      </c>
      <c r="JY23" s="56"/>
      <c r="KC23" s="54"/>
      <c r="KD23" s="131"/>
      <c r="KE23" s="117">
        <v>53</v>
      </c>
      <c r="KU23" s="56"/>
      <c r="KY23" s="54"/>
      <c r="LA23" s="117">
        <v>53</v>
      </c>
      <c r="LQ23" s="56"/>
      <c r="LU23" s="54"/>
      <c r="LW23" s="117">
        <v>53</v>
      </c>
      <c r="MM23" s="56"/>
      <c r="MQ23" s="54"/>
      <c r="MR23" s="131"/>
      <c r="MS23" s="117">
        <v>53</v>
      </c>
      <c r="NI23" s="56"/>
      <c r="NM23" s="54"/>
      <c r="NO23" s="117">
        <v>53</v>
      </c>
    </row>
    <row r="24" spans="1:379" x14ac:dyDescent="0.2">
      <c r="A24" s="56"/>
      <c r="B24" s="74" t="s">
        <v>51</v>
      </c>
      <c r="C24" s="56"/>
      <c r="O24" s="2"/>
      <c r="AR24" s="124"/>
      <c r="AS24" s="124"/>
      <c r="AT24" s="124"/>
      <c r="AV24" s="54"/>
      <c r="AW24" s="54"/>
      <c r="AX24" s="54"/>
      <c r="AY24" s="68">
        <v>54.5</v>
      </c>
      <c r="BV24" s="124"/>
      <c r="BW24" s="124"/>
      <c r="BX24" s="124"/>
      <c r="CA24" s="54"/>
      <c r="CC24" s="68">
        <v>54.5</v>
      </c>
      <c r="CZ24" s="124"/>
      <c r="DA24" s="124"/>
      <c r="DB24" s="124"/>
      <c r="DD24" s="54"/>
      <c r="DE24" s="54"/>
      <c r="DF24" s="54"/>
      <c r="DG24" s="68">
        <v>54.5</v>
      </c>
      <c r="EA24" s="56"/>
      <c r="EE24" s="54"/>
      <c r="EG24" s="68">
        <v>54.5</v>
      </c>
      <c r="EW24" s="56"/>
      <c r="FA24" s="54"/>
      <c r="FC24" s="68">
        <v>54.5</v>
      </c>
      <c r="FS24" s="56"/>
      <c r="FW24" s="54"/>
      <c r="FY24" s="68">
        <v>54.5</v>
      </c>
      <c r="GO24" s="56"/>
      <c r="GS24" s="54"/>
      <c r="GT24" s="129"/>
      <c r="GU24" s="68">
        <v>54.5</v>
      </c>
      <c r="HK24" s="56"/>
      <c r="HO24" s="54"/>
      <c r="HQ24" s="68">
        <v>54.5</v>
      </c>
      <c r="IG24" s="56"/>
      <c r="IK24" s="54"/>
      <c r="IM24" s="68">
        <v>54.5</v>
      </c>
      <c r="JC24" s="56"/>
      <c r="JG24" s="54"/>
      <c r="JI24" s="68">
        <v>54.5</v>
      </c>
      <c r="JY24" s="56"/>
      <c r="KC24" s="54"/>
      <c r="KE24" s="68">
        <v>54.5</v>
      </c>
      <c r="KU24" s="56"/>
      <c r="KY24" s="54"/>
      <c r="LA24" s="68">
        <v>54.5</v>
      </c>
      <c r="LQ24" s="56"/>
      <c r="LU24" s="54"/>
      <c r="LW24" s="68">
        <v>54.5</v>
      </c>
      <c r="MM24" s="56"/>
      <c r="MQ24" s="54"/>
      <c r="MS24" s="68">
        <v>54.5</v>
      </c>
      <c r="NI24" s="56"/>
      <c r="NM24" s="54"/>
      <c r="NO24" s="68">
        <v>54.5</v>
      </c>
    </row>
    <row r="25" spans="1:379" x14ac:dyDescent="0.2">
      <c r="B25" s="82" t="s">
        <v>75</v>
      </c>
      <c r="C25" s="2"/>
      <c r="AU25" s="54"/>
      <c r="AV25" s="54"/>
      <c r="AX25" s="54"/>
      <c r="DC25" s="54"/>
      <c r="DD25" s="54"/>
      <c r="DF25" s="54"/>
      <c r="EX25" s="54"/>
    </row>
    <row r="26" spans="1:379" x14ac:dyDescent="0.2">
      <c r="A26" s="56"/>
      <c r="B26" s="56"/>
      <c r="C26" s="55"/>
      <c r="AQ26" s="54"/>
      <c r="AR26" s="54"/>
      <c r="AS26" s="54"/>
      <c r="AT26" s="54"/>
      <c r="AU26" s="54"/>
      <c r="AV26" s="54"/>
      <c r="AX26" s="54"/>
      <c r="CY26" s="54"/>
      <c r="CZ26" s="54"/>
      <c r="DA26" s="54"/>
      <c r="DB26" s="54"/>
      <c r="DC26" s="54"/>
      <c r="DD26" s="54"/>
      <c r="DF26" s="54"/>
    </row>
    <row r="27" spans="1:379" ht="17" x14ac:dyDescent="0.2">
      <c r="A27" s="56"/>
      <c r="B27" s="56"/>
      <c r="C27" s="55"/>
      <c r="S27" s="19"/>
      <c r="T27" s="19"/>
      <c r="AQ27" s="54"/>
      <c r="AR27" s="54"/>
      <c r="AS27" s="54"/>
      <c r="AT27" s="54"/>
      <c r="AU27" s="54"/>
      <c r="AV27" s="54"/>
      <c r="AX27" s="54"/>
      <c r="CY27" s="54"/>
      <c r="CZ27" s="54"/>
      <c r="DA27" s="54"/>
      <c r="DB27" s="54"/>
      <c r="DC27" s="54"/>
      <c r="DD27" s="54"/>
      <c r="DF27" s="54"/>
    </row>
    <row r="28" spans="1:379" ht="17" x14ac:dyDescent="0.2">
      <c r="A28" s="56"/>
      <c r="B28" s="56"/>
      <c r="C28" s="55"/>
      <c r="S28" s="19"/>
      <c r="AQ28" s="54"/>
      <c r="AR28" s="54"/>
      <c r="AS28" s="54"/>
      <c r="AT28" s="54"/>
      <c r="AU28" s="54"/>
      <c r="AV28" s="54"/>
      <c r="AX28" s="54"/>
      <c r="CY28" s="54"/>
      <c r="CZ28" s="54"/>
      <c r="DA28" s="54"/>
      <c r="DB28" s="54"/>
      <c r="DC28" s="54"/>
      <c r="DD28" s="54"/>
      <c r="DF28" s="54"/>
    </row>
    <row r="29" spans="1:379" ht="17" x14ac:dyDescent="0.2">
      <c r="S29" s="19"/>
      <c r="T29" s="19"/>
      <c r="AQ29" s="54"/>
      <c r="AR29" s="54"/>
      <c r="AS29" s="54"/>
      <c r="AT29" s="54"/>
      <c r="AU29" s="54"/>
      <c r="AV29" s="54"/>
      <c r="AX29" s="54"/>
      <c r="CY29" s="54"/>
      <c r="CZ29" s="54"/>
      <c r="DA29" s="54"/>
      <c r="DB29" s="54"/>
      <c r="DC29" s="54"/>
      <c r="DD29" s="54"/>
      <c r="DF29" s="54"/>
    </row>
    <row r="30" spans="1:379" ht="17" x14ac:dyDescent="0.2">
      <c r="S30" s="19"/>
      <c r="T30" s="19"/>
      <c r="AQ30" s="54"/>
      <c r="AR30" s="54"/>
      <c r="AS30" s="54"/>
      <c r="AT30" s="54"/>
      <c r="AU30" s="54"/>
      <c r="AV30" s="54"/>
      <c r="AX30" s="54"/>
      <c r="CY30" s="54"/>
      <c r="CZ30" s="54"/>
      <c r="DA30" s="54"/>
      <c r="DB30" s="54"/>
      <c r="DC30" s="54"/>
      <c r="DD30" s="54"/>
      <c r="DF30" s="54"/>
    </row>
    <row r="31" spans="1:379" ht="17" x14ac:dyDescent="0.2">
      <c r="S31" s="19"/>
      <c r="T31" s="19"/>
      <c r="AQ31" s="54"/>
      <c r="AR31" s="54"/>
      <c r="AS31" s="54"/>
      <c r="AT31" s="54"/>
      <c r="AU31" s="54"/>
      <c r="AV31" s="54"/>
      <c r="AX31" s="54"/>
      <c r="CY31" s="54"/>
      <c r="CZ31" s="54"/>
      <c r="DA31" s="54"/>
      <c r="DB31" s="54"/>
      <c r="DC31" s="54"/>
      <c r="DD31" s="54"/>
      <c r="DF31" s="54"/>
    </row>
    <row r="32" spans="1:379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  <row r="37" spans="19:21" ht="17" x14ac:dyDescent="0.2">
      <c r="S37" s="19"/>
      <c r="T37" s="19"/>
      <c r="U37" s="19"/>
    </row>
    <row r="38" spans="19:21" ht="17" x14ac:dyDescent="0.2">
      <c r="S38" s="19"/>
      <c r="T38" s="19"/>
      <c r="U38" s="19"/>
    </row>
    <row r="39" spans="19:21" ht="17" x14ac:dyDescent="0.2">
      <c r="S39" s="19"/>
      <c r="T39" s="19"/>
      <c r="U39" s="19"/>
    </row>
    <row r="40" spans="19:21" ht="17" x14ac:dyDescent="0.2">
      <c r="S40" s="19"/>
      <c r="T40" s="19"/>
      <c r="U40" s="19"/>
    </row>
    <row r="41" spans="19:21" ht="17" x14ac:dyDescent="0.2">
      <c r="S41" s="19"/>
      <c r="T41" s="19"/>
      <c r="U41" s="19"/>
    </row>
    <row r="42" spans="19:21" ht="17" x14ac:dyDescent="0.2">
      <c r="S42" s="19"/>
      <c r="T42" s="19"/>
      <c r="U42" s="19"/>
    </row>
    <row r="43" spans="19:21" ht="17" x14ac:dyDescent="0.2">
      <c r="S43" s="19"/>
      <c r="T43" s="19"/>
      <c r="U43" s="19"/>
    </row>
    <row r="44" spans="19:21" ht="17" x14ac:dyDescent="0.2">
      <c r="S44" s="19"/>
      <c r="T44" s="19"/>
      <c r="U44" s="19"/>
    </row>
    <row r="45" spans="19:21" ht="17" x14ac:dyDescent="0.2">
      <c r="S45" s="19"/>
      <c r="T45" s="19"/>
      <c r="U45" s="19"/>
    </row>
    <row r="46" spans="19:21" ht="17" x14ac:dyDescent="0.2">
      <c r="S46" s="19"/>
      <c r="T46" s="19"/>
      <c r="U46" s="19"/>
    </row>
  </sheetData>
  <sheetProtection sheet="1" formatCells="0" formatColumns="0" formatRows="0"/>
  <autoFilter ref="A1:OQ14" xr:uid="{2603457A-9827-FF42-9E76-DDB831110F01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1" showButton="0"/>
    <filterColumn colId="112" showButton="0"/>
    <filterColumn colId="113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sortState xmlns:xlrd2="http://schemas.microsoft.com/office/spreadsheetml/2017/richdata2" ref="A4:OQ14">
      <sortCondition descending="1" ref="F1:F15"/>
    </sortState>
  </autoFilter>
  <mergeCells count="90">
    <mergeCell ref="NP2:NT2"/>
    <mergeCell ref="NU2:NY2"/>
    <mergeCell ref="NZ2:OD2"/>
    <mergeCell ref="OE2:OI2"/>
    <mergeCell ref="LX2:MB2"/>
    <mergeCell ref="MC2:MG2"/>
    <mergeCell ref="MH2:ML2"/>
    <mergeCell ref="MT2:MX2"/>
    <mergeCell ref="MY2:NC2"/>
    <mergeCell ref="ND2:NH2"/>
    <mergeCell ref="LL2:LP2"/>
    <mergeCell ref="IN2:IR2"/>
    <mergeCell ref="IS2:IW2"/>
    <mergeCell ref="IX2:JB2"/>
    <mergeCell ref="JJ2:JN2"/>
    <mergeCell ref="JO2:JS2"/>
    <mergeCell ref="JT2:JX2"/>
    <mergeCell ref="KF2:KJ2"/>
    <mergeCell ref="KK2:KO2"/>
    <mergeCell ref="KP2:KT2"/>
    <mergeCell ref="LB2:LF2"/>
    <mergeCell ref="LG2:LK2"/>
    <mergeCell ref="IB2:IF2"/>
    <mergeCell ref="FD2:FH2"/>
    <mergeCell ref="FI2:FM2"/>
    <mergeCell ref="FN2:FR2"/>
    <mergeCell ref="FZ2:GD2"/>
    <mergeCell ref="GE2:GI2"/>
    <mergeCell ref="GJ2:GN2"/>
    <mergeCell ref="GV2:GZ2"/>
    <mergeCell ref="HA2:HE2"/>
    <mergeCell ref="HF2:HJ2"/>
    <mergeCell ref="HR2:HV2"/>
    <mergeCell ref="HW2:IA2"/>
    <mergeCell ref="DL2:DP2"/>
    <mergeCell ref="DQ2:DU2"/>
    <mergeCell ref="DV2:DZ2"/>
    <mergeCell ref="EH2:EL2"/>
    <mergeCell ref="EM2:EQ2"/>
    <mergeCell ref="ER2:EV2"/>
    <mergeCell ref="NP1:OQ1"/>
    <mergeCell ref="V2:Z2"/>
    <mergeCell ref="AA2:AE2"/>
    <mergeCell ref="AF2:AJ2"/>
    <mergeCell ref="AK2:AO2"/>
    <mergeCell ref="AZ2:BD2"/>
    <mergeCell ref="BE2:BI2"/>
    <mergeCell ref="BJ2:BN2"/>
    <mergeCell ref="BO2:BS2"/>
    <mergeCell ref="CD2:CH2"/>
    <mergeCell ref="IN1:JI1"/>
    <mergeCell ref="JJ1:KE1"/>
    <mergeCell ref="KF1:LA1"/>
    <mergeCell ref="LB1:LW1"/>
    <mergeCell ref="LX1:MS1"/>
    <mergeCell ref="MT1:NO1"/>
    <mergeCell ref="DL1:EG1"/>
    <mergeCell ref="EH1:FC1"/>
    <mergeCell ref="FD1:FY1"/>
    <mergeCell ref="FZ1:GU1"/>
    <mergeCell ref="GV1:HQ1"/>
    <mergeCell ref="HR1:IM1"/>
    <mergeCell ref="DH1:DK1"/>
    <mergeCell ref="CI2:CM2"/>
    <mergeCell ref="CN2:CR2"/>
    <mergeCell ref="CS2:CW2"/>
    <mergeCell ref="N1:N3"/>
    <mergeCell ref="O1:O3"/>
    <mergeCell ref="P1:P3"/>
    <mergeCell ref="Q1:Q3"/>
    <mergeCell ref="R1:R3"/>
    <mergeCell ref="S1:S3"/>
    <mergeCell ref="T1:T3"/>
    <mergeCell ref="U1:U3"/>
    <mergeCell ref="V1:AY1"/>
    <mergeCell ref="AZ1:CC1"/>
    <mergeCell ref="CD1:DG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conditionalFormatting sqref="I1:I1048576">
    <cfRule type="containsText" dxfId="173" priority="10" operator="containsText" text="No DD">
      <formula>NOT(ISERROR(SEARCH("No DD",I1)))</formula>
    </cfRule>
    <cfRule type="containsText" dxfId="172" priority="11" operator="containsText" text="Merit">
      <formula>NOT(ISERROR(SEARCH("Merit",I1)))</formula>
    </cfRule>
    <cfRule type="containsText" dxfId="171" priority="12" operator="containsText" text="Excellence">
      <formula>NOT(ISERROR(SEARCH("Excellence",I1)))</formula>
    </cfRule>
    <cfRule type="containsText" dxfId="170" priority="13" operator="containsText" text="Worlds Team">
      <formula>NOT(ISERROR(SEARCH("Worlds Team",I1)))</formula>
    </cfRule>
    <cfRule type="containsText" dxfId="169" priority="14" operator="containsText" text="National Team">
      <formula>NOT(ISERROR(SEARCH("National Team",I1)))</formula>
    </cfRule>
  </conditionalFormatting>
  <conditionalFormatting sqref="V4:AY14">
    <cfRule type="expression" dxfId="168" priority="7" stopIfTrue="1">
      <formula>IF($AP4&lt;&gt;"",1,0)</formula>
    </cfRule>
  </conditionalFormatting>
  <conditionalFormatting sqref="AZ4:CC14">
    <cfRule type="expression" dxfId="167" priority="8" stopIfTrue="1">
      <formula>IF($BT4&lt;&gt;"",1,0)</formula>
    </cfRule>
  </conditionalFormatting>
  <conditionalFormatting sqref="N1:N1048576 R1:R1048576 L1:L1048576 P1:P1048576">
    <cfRule type="expression" dxfId="166" priority="15">
      <formula>IF(L1=$CD$1,1,0)</formula>
    </cfRule>
    <cfRule type="expression" dxfId="165" priority="16">
      <formula>IF(L1=$AZ$1,1,0)</formula>
    </cfRule>
    <cfRule type="expression" dxfId="164" priority="17">
      <formula>IF(L1=$V$1,1,0)</formula>
    </cfRule>
  </conditionalFormatting>
  <conditionalFormatting sqref="A1:A1048576">
    <cfRule type="expression" dxfId="163" priority="42">
      <formula>AND(H1&lt;&gt;"",G1="")</formula>
    </cfRule>
  </conditionalFormatting>
  <conditionalFormatting sqref="CD4:DG14">
    <cfRule type="expression" dxfId="162" priority="9" stopIfTrue="1">
      <formula>IF($CX4&lt;&gt;"",1,0)</formula>
    </cfRule>
  </conditionalFormatting>
  <conditionalFormatting sqref="GT25:GT1048576 HP24:HP1048576 KD24:KD1048576 MR24:MR1048576 AX1:AX1048576 CB1:CB1048576 DF1:DF1048576 EF1:EF1048576 FB1:FB1048576 FX1:FX1048576 GT1:GT22 HP1:HP22 IL1:IL1048576 JH1:JH1048576 KD1:KD22 KZ1:KZ1048576 LV1:LV1048576 MR1:MR22 NN1:NN1048576">
    <cfRule type="cellIs" dxfId="161" priority="37578" operator="between">
      <formula>AY$24</formula>
      <formula>1000</formula>
    </cfRule>
    <cfRule type="cellIs" dxfId="160" priority="37579" operator="between">
      <formula>AY$23</formula>
      <formula>AY$24</formula>
    </cfRule>
  </conditionalFormatting>
  <conditionalFormatting sqref="AU1:AU1048576 BY1:BY1048576 DC1:DC1048576 EC1:EC1048576 EY1:EY1048576 FU1:FU1048576 GQ1:GQ1048576 HM1:HM1048576 II1:II1048576 JE1:JE1048576 KA1:KA1048576 KW1:KW1048576 LS1:LS1048576 MO1:MO1048576 NK1:NK1048576">
    <cfRule type="cellIs" dxfId="159" priority="47731" operator="between">
      <formula>AY$24</formula>
      <formula>1000</formula>
    </cfRule>
    <cfRule type="cellIs" dxfId="158" priority="47732" operator="between">
      <formula>AY$23</formula>
      <formula>AY$24</formula>
    </cfRule>
  </conditionalFormatting>
  <conditionalFormatting sqref="AV1:AV1048576 BZ1:BZ1048576 DD1:DD1048576 ED1:ED1048576 EZ1:EZ1048576 FV1:FV1048576 GR1:GR1048576 HN1:HN1048576 IJ1:IJ1048576 JF1:JF1048576 KB1:KB1048576 KX1:KX1048576 LT1:LT1048576 MP1:MP1048576 NL1:NL1048576">
    <cfRule type="cellIs" dxfId="157" priority="47821" operator="between">
      <formula>AY$22</formula>
      <formula>1000</formula>
    </cfRule>
    <cfRule type="cellIs" dxfId="156" priority="47822" operator="between">
      <formula>AY$21</formula>
      <formula>AY$22</formula>
    </cfRule>
  </conditionalFormatting>
  <conditionalFormatting sqref="EA1:EA1048576 EW1:EW1048576 FS1:FS1048576 GO1:GO1048576 HK1:HK1048576 IG1:IG1048576 JC1:JC1048576 JY1:JY1048576 KU1:KU1048576 LQ1:LQ1048576 MM1:MM1048576 NI1:NI1048576">
    <cfRule type="cellIs" dxfId="155" priority="47911" operator="between">
      <formula>EG$20</formula>
      <formula>1000</formula>
    </cfRule>
    <cfRule type="cellIs" dxfId="154" priority="47912" operator="between">
      <formula>EG$19</formula>
      <formula>EG$20</formula>
    </cfRule>
    <cfRule type="cellIs" dxfId="153" priority="47913" operator="between">
      <formula>EG$18</formula>
      <formula>EG$19</formula>
    </cfRule>
    <cfRule type="cellIs" dxfId="152" priority="47914" operator="between">
      <formula>EG$17</formula>
      <formula>EG$18</formula>
    </cfRule>
  </conditionalFormatting>
  <conditionalFormatting sqref="AR1:AR1048576 BV1:BV1048576 CZ1:CZ1048576">
    <cfRule type="cellIs" dxfId="151" priority="48055" operator="between">
      <formula>AY$20</formula>
      <formula>1000</formula>
    </cfRule>
    <cfRule type="cellIs" dxfId="150" priority="48056" operator="between">
      <formula>AY$19</formula>
      <formula>AY$20</formula>
    </cfRule>
    <cfRule type="cellIs" dxfId="149" priority="48057" operator="between">
      <formula>AY$18</formula>
      <formula>AY$19</formula>
    </cfRule>
    <cfRule type="cellIs" dxfId="148" priority="48058" operator="between">
      <formula>AY$17</formula>
      <formula>AY$18</formula>
    </cfRule>
  </conditionalFormatting>
  <conditionalFormatting sqref="AS1:AS1048576 BW1:BW1048576 DA1:DA1048576">
    <cfRule type="cellIs" dxfId="147" priority="48091" operator="between">
      <formula>AY$24</formula>
      <formula>1000</formula>
    </cfRule>
    <cfRule type="cellIs" dxfId="146" priority="48092" operator="between">
      <formula>AY$23</formula>
      <formula>AY$24</formula>
    </cfRule>
  </conditionalFormatting>
  <conditionalFormatting sqref="AT1:AT1048576 BX1:BX1048576 DB1:DB1048576">
    <cfRule type="cellIs" dxfId="145" priority="48109" operator="between">
      <formula>AY$20</formula>
      <formula>1000</formula>
    </cfRule>
    <cfRule type="cellIs" dxfId="144" priority="48110" operator="between">
      <formula>AY$19</formula>
      <formula>AY$20</formula>
    </cfRule>
    <cfRule type="cellIs" dxfId="143" priority="48111" operator="between">
      <formula>AY$18</formula>
      <formula>AY$19</formula>
    </cfRule>
    <cfRule type="cellIs" dxfId="142" priority="48112" operator="between">
      <formula>AY$17</formula>
      <formula>AY$18</formula>
    </cfRule>
  </conditionalFormatting>
  <conditionalFormatting sqref="AW1:AW1048576 DE1:DE1048576 CA1:CA1048576 EE1:EE1048576 FA1:FA1048576 FW1:FW1048576 GS1:GS1048576 HO1:HO1048576 IK1:IK1048576 JG1:JG1048576 KC1:KC1048576 KY1:KY1048576 LU1:LU1048576 MQ1:MQ1048576 NM1:NM1048576">
    <cfRule type="cellIs" dxfId="141" priority="48145" operator="between">
      <formula>AY$20</formula>
      <formula>1000</formula>
    </cfRule>
    <cfRule type="cellIs" dxfId="140" priority="48146" operator="between">
      <formula>AY$19</formula>
      <formula>AY$20</formula>
    </cfRule>
    <cfRule type="cellIs" dxfId="139" priority="48147" operator="between">
      <formula>AY$18</formula>
      <formula>AY$19</formula>
    </cfRule>
    <cfRule type="cellIs" dxfId="138" priority="48148" operator="between">
      <formula>AY$17</formula>
      <formula>AY$18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142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78"/>
      <c r="AL2" s="58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79"/>
      <c r="BI2" s="57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09"/>
      <c r="CF2" s="109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8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20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21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20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21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20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21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20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21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20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21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20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02"/>
      <c r="NK2" s="10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58" t="s">
        <v>19</v>
      </c>
      <c r="W3" s="58" t="s">
        <v>20</v>
      </c>
      <c r="X3" s="58" t="s">
        <v>11</v>
      </c>
      <c r="Y3" s="58" t="s">
        <v>48</v>
      </c>
      <c r="Z3" s="58" t="s">
        <v>40</v>
      </c>
      <c r="AA3" s="58" t="s">
        <v>19</v>
      </c>
      <c r="AB3" s="58" t="s">
        <v>20</v>
      </c>
      <c r="AC3" s="58" t="s">
        <v>11</v>
      </c>
      <c r="AD3" s="58" t="s">
        <v>48</v>
      </c>
      <c r="AE3" s="58" t="s">
        <v>40</v>
      </c>
      <c r="AF3" s="58" t="s">
        <v>19</v>
      </c>
      <c r="AG3" s="58" t="s">
        <v>20</v>
      </c>
      <c r="AH3" s="58" t="s">
        <v>11</v>
      </c>
      <c r="AI3" s="58" t="s">
        <v>48</v>
      </c>
      <c r="AJ3" s="58" t="s">
        <v>40</v>
      </c>
      <c r="AK3" s="78" t="s">
        <v>73</v>
      </c>
      <c r="AL3" s="10"/>
      <c r="AM3" s="9"/>
      <c r="AN3" s="9"/>
      <c r="AO3" s="9"/>
      <c r="AP3" s="9"/>
      <c r="AQ3" s="10"/>
      <c r="AR3" s="10"/>
      <c r="AS3" s="57" t="s">
        <v>19</v>
      </c>
      <c r="AT3" s="57" t="s">
        <v>20</v>
      </c>
      <c r="AU3" s="57" t="s">
        <v>11</v>
      </c>
      <c r="AV3" s="57" t="s">
        <v>48</v>
      </c>
      <c r="AW3" s="57" t="s">
        <v>40</v>
      </c>
      <c r="AX3" s="57" t="s">
        <v>19</v>
      </c>
      <c r="AY3" s="57" t="s">
        <v>20</v>
      </c>
      <c r="AZ3" s="57" t="s">
        <v>11</v>
      </c>
      <c r="BA3" s="57" t="s">
        <v>48</v>
      </c>
      <c r="BB3" s="57" t="s">
        <v>40</v>
      </c>
      <c r="BC3" s="57" t="s">
        <v>19</v>
      </c>
      <c r="BD3" s="57" t="s">
        <v>20</v>
      </c>
      <c r="BE3" s="57" t="s">
        <v>11</v>
      </c>
      <c r="BF3" s="57" t="s">
        <v>48</v>
      </c>
      <c r="BG3" s="57" t="s">
        <v>40</v>
      </c>
      <c r="BH3" s="79" t="s">
        <v>73</v>
      </c>
      <c r="BI3" s="13"/>
      <c r="BJ3" s="12"/>
      <c r="BK3" s="12"/>
      <c r="BL3" s="12"/>
      <c r="BM3" s="12"/>
      <c r="BN3" s="13"/>
      <c r="BO3" s="13"/>
      <c r="BP3" s="109" t="s">
        <v>19</v>
      </c>
      <c r="BQ3" s="109" t="s">
        <v>20</v>
      </c>
      <c r="BR3" s="109" t="s">
        <v>11</v>
      </c>
      <c r="BS3" s="109" t="s">
        <v>48</v>
      </c>
      <c r="BT3" s="109" t="s">
        <v>40</v>
      </c>
      <c r="BU3" s="109" t="s">
        <v>19</v>
      </c>
      <c r="BV3" s="109" t="s">
        <v>20</v>
      </c>
      <c r="BW3" s="109" t="s">
        <v>11</v>
      </c>
      <c r="BX3" s="109" t="s">
        <v>48</v>
      </c>
      <c r="BY3" s="109" t="s">
        <v>40</v>
      </c>
      <c r="BZ3" s="109" t="s">
        <v>19</v>
      </c>
      <c r="CA3" s="109" t="s">
        <v>20</v>
      </c>
      <c r="CB3" s="109" t="s">
        <v>11</v>
      </c>
      <c r="CC3" s="109" t="s">
        <v>48</v>
      </c>
      <c r="CD3" s="109" t="s">
        <v>40</v>
      </c>
      <c r="CE3" s="109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29" t="s">
        <v>19</v>
      </c>
      <c r="CR3" s="29" t="s">
        <v>20</v>
      </c>
      <c r="CS3" s="29" t="s">
        <v>11</v>
      </c>
      <c r="CT3" s="32" t="s">
        <v>48</v>
      </c>
      <c r="CU3" s="48" t="s">
        <v>40</v>
      </c>
      <c r="CV3" s="29" t="s">
        <v>19</v>
      </c>
      <c r="CW3" s="29" t="s">
        <v>20</v>
      </c>
      <c r="CX3" s="29" t="s">
        <v>11</v>
      </c>
      <c r="CY3" s="32" t="s">
        <v>48</v>
      </c>
      <c r="CZ3" s="48" t="s">
        <v>40</v>
      </c>
      <c r="DA3" s="29" t="s">
        <v>19</v>
      </c>
      <c r="DB3" s="29" t="s">
        <v>20</v>
      </c>
      <c r="DC3" s="29" t="s">
        <v>11</v>
      </c>
      <c r="DD3" s="32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28" t="s">
        <v>19</v>
      </c>
      <c r="DN3" s="28" t="s">
        <v>20</v>
      </c>
      <c r="DO3" s="28" t="s">
        <v>11</v>
      </c>
      <c r="DP3" s="33" t="s">
        <v>48</v>
      </c>
      <c r="DQ3" s="50" t="s">
        <v>40</v>
      </c>
      <c r="DR3" s="28" t="s">
        <v>19</v>
      </c>
      <c r="DS3" s="28" t="s">
        <v>20</v>
      </c>
      <c r="DT3" s="28" t="s">
        <v>11</v>
      </c>
      <c r="DU3" s="33" t="s">
        <v>48</v>
      </c>
      <c r="DV3" s="50" t="s">
        <v>40</v>
      </c>
      <c r="DW3" s="28" t="s">
        <v>19</v>
      </c>
      <c r="DX3" s="28" t="s">
        <v>20</v>
      </c>
      <c r="DY3" s="28" t="s">
        <v>11</v>
      </c>
      <c r="DZ3" s="33" t="s">
        <v>48</v>
      </c>
      <c r="EA3" s="50" t="s">
        <v>40</v>
      </c>
      <c r="EB3" s="13"/>
      <c r="EC3" s="12"/>
      <c r="ED3" s="12"/>
      <c r="EE3" s="12"/>
      <c r="EF3" s="12"/>
      <c r="EG3" s="13"/>
      <c r="EH3" s="13"/>
      <c r="EI3" s="29" t="s">
        <v>19</v>
      </c>
      <c r="EJ3" s="29" t="s">
        <v>20</v>
      </c>
      <c r="EK3" s="29" t="s">
        <v>11</v>
      </c>
      <c r="EL3" s="34" t="s">
        <v>48</v>
      </c>
      <c r="EM3" s="49" t="s">
        <v>40</v>
      </c>
      <c r="EN3" s="29" t="s">
        <v>19</v>
      </c>
      <c r="EO3" s="29" t="s">
        <v>20</v>
      </c>
      <c r="EP3" s="29" t="s">
        <v>11</v>
      </c>
      <c r="EQ3" s="34" t="s">
        <v>48</v>
      </c>
      <c r="ER3" s="49" t="s">
        <v>40</v>
      </c>
      <c r="ES3" s="29" t="s">
        <v>19</v>
      </c>
      <c r="ET3" s="29" t="s">
        <v>20</v>
      </c>
      <c r="EU3" s="29" t="s">
        <v>11</v>
      </c>
      <c r="EV3" s="34" t="s">
        <v>48</v>
      </c>
      <c r="EW3" s="49" t="s">
        <v>40</v>
      </c>
      <c r="EX3" s="10"/>
      <c r="EY3" s="9"/>
      <c r="EZ3" s="9"/>
      <c r="FA3" s="9"/>
      <c r="FB3" s="9"/>
      <c r="FC3" s="10"/>
      <c r="FD3" s="10"/>
      <c r="FE3" s="28" t="s">
        <v>19</v>
      </c>
      <c r="FF3" s="28" t="s">
        <v>20</v>
      </c>
      <c r="FG3" s="28" t="s">
        <v>11</v>
      </c>
      <c r="FH3" s="33" t="s">
        <v>48</v>
      </c>
      <c r="FI3" s="50" t="s">
        <v>40</v>
      </c>
      <c r="FJ3" s="28" t="s">
        <v>19</v>
      </c>
      <c r="FK3" s="28" t="s">
        <v>20</v>
      </c>
      <c r="FL3" s="28" t="s">
        <v>11</v>
      </c>
      <c r="FM3" s="33" t="s">
        <v>48</v>
      </c>
      <c r="FN3" s="50" t="s">
        <v>40</v>
      </c>
      <c r="FO3" s="28" t="s">
        <v>19</v>
      </c>
      <c r="FP3" s="28" t="s">
        <v>20</v>
      </c>
      <c r="FQ3" s="28" t="s">
        <v>11</v>
      </c>
      <c r="FR3" s="33" t="s">
        <v>48</v>
      </c>
      <c r="FS3" s="50" t="s">
        <v>40</v>
      </c>
      <c r="FT3" s="13"/>
      <c r="FU3" s="12"/>
      <c r="FV3" s="12"/>
      <c r="FW3" s="12"/>
      <c r="FX3" s="12"/>
      <c r="FY3" s="13"/>
      <c r="FZ3" s="13"/>
      <c r="GA3" s="29" t="s">
        <v>19</v>
      </c>
      <c r="GB3" s="29" t="s">
        <v>20</v>
      </c>
      <c r="GC3" s="29" t="s">
        <v>11</v>
      </c>
      <c r="GD3" s="34" t="s">
        <v>48</v>
      </c>
      <c r="GE3" s="49" t="s">
        <v>40</v>
      </c>
      <c r="GF3" s="29" t="s">
        <v>19</v>
      </c>
      <c r="GG3" s="29" t="s">
        <v>20</v>
      </c>
      <c r="GH3" s="29" t="s">
        <v>11</v>
      </c>
      <c r="GI3" s="34" t="s">
        <v>48</v>
      </c>
      <c r="GJ3" s="49" t="s">
        <v>40</v>
      </c>
      <c r="GK3" s="29" t="s">
        <v>19</v>
      </c>
      <c r="GL3" s="29" t="s">
        <v>20</v>
      </c>
      <c r="GM3" s="29" t="s">
        <v>11</v>
      </c>
      <c r="GN3" s="34" t="s">
        <v>48</v>
      </c>
      <c r="GO3" s="49" t="s">
        <v>40</v>
      </c>
      <c r="GP3" s="10"/>
      <c r="GQ3" s="9"/>
      <c r="GR3" s="9"/>
      <c r="GS3" s="9"/>
      <c r="GT3" s="9"/>
      <c r="GU3" s="10"/>
      <c r="GV3" s="10"/>
      <c r="GW3" s="28" t="s">
        <v>19</v>
      </c>
      <c r="GX3" s="28" t="s">
        <v>20</v>
      </c>
      <c r="GY3" s="28" t="s">
        <v>11</v>
      </c>
      <c r="GZ3" s="33" t="s">
        <v>48</v>
      </c>
      <c r="HA3" s="50" t="s">
        <v>40</v>
      </c>
      <c r="HB3" s="28" t="s">
        <v>19</v>
      </c>
      <c r="HC3" s="28" t="s">
        <v>20</v>
      </c>
      <c r="HD3" s="28" t="s">
        <v>11</v>
      </c>
      <c r="HE3" s="33" t="s">
        <v>48</v>
      </c>
      <c r="HF3" s="50" t="s">
        <v>40</v>
      </c>
      <c r="HG3" s="28" t="s">
        <v>19</v>
      </c>
      <c r="HH3" s="28" t="s">
        <v>20</v>
      </c>
      <c r="HI3" s="28" t="s">
        <v>11</v>
      </c>
      <c r="HJ3" s="33" t="s">
        <v>48</v>
      </c>
      <c r="HK3" s="50" t="s">
        <v>40</v>
      </c>
      <c r="HL3" s="13"/>
      <c r="HM3" s="12"/>
      <c r="HN3" s="12"/>
      <c r="HO3" s="12"/>
      <c r="HP3" s="12"/>
      <c r="HQ3" s="13"/>
      <c r="HR3" s="13"/>
      <c r="HS3" s="29" t="s">
        <v>19</v>
      </c>
      <c r="HT3" s="29" t="s">
        <v>20</v>
      </c>
      <c r="HU3" s="29" t="s">
        <v>11</v>
      </c>
      <c r="HV3" s="34" t="s">
        <v>48</v>
      </c>
      <c r="HW3" s="49" t="s">
        <v>40</v>
      </c>
      <c r="HX3" s="29" t="s">
        <v>19</v>
      </c>
      <c r="HY3" s="29" t="s">
        <v>20</v>
      </c>
      <c r="HZ3" s="29" t="s">
        <v>11</v>
      </c>
      <c r="IA3" s="34" t="s">
        <v>48</v>
      </c>
      <c r="IB3" s="49" t="s">
        <v>40</v>
      </c>
      <c r="IC3" s="29" t="s">
        <v>19</v>
      </c>
      <c r="ID3" s="29" t="s">
        <v>20</v>
      </c>
      <c r="IE3" s="29" t="s">
        <v>11</v>
      </c>
      <c r="IF3" s="34" t="s">
        <v>48</v>
      </c>
      <c r="IG3" s="49" t="s">
        <v>40</v>
      </c>
      <c r="IH3" s="10"/>
      <c r="II3" s="9"/>
      <c r="IJ3" s="9"/>
      <c r="IK3" s="9"/>
      <c r="IL3" s="9"/>
      <c r="IM3" s="10"/>
      <c r="IN3" s="10"/>
      <c r="IO3" s="28" t="s">
        <v>19</v>
      </c>
      <c r="IP3" s="28" t="s">
        <v>20</v>
      </c>
      <c r="IQ3" s="28" t="s">
        <v>11</v>
      </c>
      <c r="IR3" s="33" t="s">
        <v>48</v>
      </c>
      <c r="IS3" s="50" t="s">
        <v>40</v>
      </c>
      <c r="IT3" s="28" t="s">
        <v>19</v>
      </c>
      <c r="IU3" s="28" t="s">
        <v>20</v>
      </c>
      <c r="IV3" s="28" t="s">
        <v>11</v>
      </c>
      <c r="IW3" s="33" t="s">
        <v>48</v>
      </c>
      <c r="IX3" s="50" t="s">
        <v>40</v>
      </c>
      <c r="IY3" s="28" t="s">
        <v>19</v>
      </c>
      <c r="IZ3" s="28" t="s">
        <v>20</v>
      </c>
      <c r="JA3" s="28" t="s">
        <v>11</v>
      </c>
      <c r="JB3" s="33" t="s">
        <v>48</v>
      </c>
      <c r="JC3" s="50" t="s">
        <v>40</v>
      </c>
      <c r="JD3" s="13"/>
      <c r="JE3" s="12"/>
      <c r="JF3" s="12"/>
      <c r="JG3" s="12"/>
      <c r="JH3" s="12"/>
      <c r="JI3" s="13"/>
      <c r="JJ3" s="13"/>
      <c r="JK3" s="29" t="s">
        <v>19</v>
      </c>
      <c r="JL3" s="29" t="s">
        <v>20</v>
      </c>
      <c r="JM3" s="29" t="s">
        <v>11</v>
      </c>
      <c r="JN3" s="34" t="s">
        <v>48</v>
      </c>
      <c r="JO3" s="49" t="s">
        <v>40</v>
      </c>
      <c r="JP3" s="29" t="s">
        <v>19</v>
      </c>
      <c r="JQ3" s="29" t="s">
        <v>20</v>
      </c>
      <c r="JR3" s="29" t="s">
        <v>11</v>
      </c>
      <c r="JS3" s="34" t="s">
        <v>48</v>
      </c>
      <c r="JT3" s="49" t="s">
        <v>40</v>
      </c>
      <c r="JU3" s="29" t="s">
        <v>19</v>
      </c>
      <c r="JV3" s="29" t="s">
        <v>20</v>
      </c>
      <c r="JW3" s="29" t="s">
        <v>11</v>
      </c>
      <c r="JX3" s="34" t="s">
        <v>48</v>
      </c>
      <c r="JY3" s="49" t="s">
        <v>40</v>
      </c>
      <c r="JZ3" s="10"/>
      <c r="KA3" s="9"/>
      <c r="KB3" s="9"/>
      <c r="KC3" s="9"/>
      <c r="KD3" s="9"/>
      <c r="KE3" s="10"/>
      <c r="KF3" s="10"/>
      <c r="KG3" s="28" t="s">
        <v>19</v>
      </c>
      <c r="KH3" s="28" t="s">
        <v>20</v>
      </c>
      <c r="KI3" s="28" t="s">
        <v>11</v>
      </c>
      <c r="KJ3" s="33" t="s">
        <v>48</v>
      </c>
      <c r="KK3" s="50" t="s">
        <v>40</v>
      </c>
      <c r="KL3" s="28" t="s">
        <v>19</v>
      </c>
      <c r="KM3" s="28" t="s">
        <v>20</v>
      </c>
      <c r="KN3" s="28" t="s">
        <v>11</v>
      </c>
      <c r="KO3" s="33" t="s">
        <v>48</v>
      </c>
      <c r="KP3" s="50" t="s">
        <v>40</v>
      </c>
      <c r="KQ3" s="28" t="s">
        <v>19</v>
      </c>
      <c r="KR3" s="28" t="s">
        <v>20</v>
      </c>
      <c r="KS3" s="28" t="s">
        <v>11</v>
      </c>
      <c r="KT3" s="33" t="s">
        <v>48</v>
      </c>
      <c r="KU3" s="50" t="s">
        <v>40</v>
      </c>
      <c r="KV3" s="13"/>
      <c r="KW3" s="12"/>
      <c r="KX3" s="12"/>
      <c r="KY3" s="12"/>
      <c r="KZ3" s="12"/>
      <c r="LA3" s="13"/>
      <c r="LB3" s="13"/>
      <c r="LC3" s="29" t="s">
        <v>19</v>
      </c>
      <c r="LD3" s="29" t="s">
        <v>20</v>
      </c>
      <c r="LE3" s="29" t="s">
        <v>11</v>
      </c>
      <c r="LF3" s="34" t="s">
        <v>48</v>
      </c>
      <c r="LG3" s="49" t="s">
        <v>40</v>
      </c>
      <c r="LH3" s="29" t="s">
        <v>19</v>
      </c>
      <c r="LI3" s="29" t="s">
        <v>20</v>
      </c>
      <c r="LJ3" s="29" t="s">
        <v>11</v>
      </c>
      <c r="LK3" s="34" t="s">
        <v>48</v>
      </c>
      <c r="LL3" s="49" t="s">
        <v>40</v>
      </c>
      <c r="LM3" s="29" t="s">
        <v>19</v>
      </c>
      <c r="LN3" s="29" t="s">
        <v>20</v>
      </c>
      <c r="LO3" s="29" t="s">
        <v>11</v>
      </c>
      <c r="LP3" s="34" t="s">
        <v>48</v>
      </c>
      <c r="LQ3" s="49" t="s">
        <v>40</v>
      </c>
      <c r="LR3" s="10"/>
      <c r="LS3" s="9"/>
      <c r="LT3" s="9"/>
      <c r="LU3" s="9"/>
      <c r="LV3" s="9"/>
      <c r="LW3" s="10"/>
      <c r="LX3" s="10"/>
      <c r="LY3" s="28" t="s">
        <v>19</v>
      </c>
      <c r="LZ3" s="28" t="s">
        <v>20</v>
      </c>
      <c r="MA3" s="28" t="s">
        <v>11</v>
      </c>
      <c r="MB3" s="33" t="s">
        <v>48</v>
      </c>
      <c r="MC3" s="50" t="s">
        <v>40</v>
      </c>
      <c r="MD3" s="47" t="s">
        <v>19</v>
      </c>
      <c r="ME3" s="28" t="s">
        <v>20</v>
      </c>
      <c r="MF3" s="28" t="s">
        <v>11</v>
      </c>
      <c r="MG3" s="33" t="s">
        <v>48</v>
      </c>
      <c r="MH3" s="50" t="s">
        <v>40</v>
      </c>
      <c r="MI3" s="28" t="s">
        <v>19</v>
      </c>
      <c r="MJ3" s="28" t="s">
        <v>20</v>
      </c>
      <c r="MK3" s="28" t="s">
        <v>11</v>
      </c>
      <c r="ML3" s="33" t="s">
        <v>48</v>
      </c>
      <c r="MM3" s="50" t="s">
        <v>40</v>
      </c>
      <c r="MN3" s="13"/>
      <c r="MO3" s="12"/>
      <c r="MP3" s="12"/>
      <c r="MQ3" s="12"/>
      <c r="MR3" s="12"/>
      <c r="MS3" s="13"/>
      <c r="MT3" s="13"/>
      <c r="MU3" s="102" t="s">
        <v>19</v>
      </c>
      <c r="MV3" s="102" t="s">
        <v>20</v>
      </c>
      <c r="MW3" s="102" t="s">
        <v>11</v>
      </c>
      <c r="MX3" s="102" t="s">
        <v>21</v>
      </c>
      <c r="MY3" s="102" t="s">
        <v>40</v>
      </c>
      <c r="MZ3" s="102" t="s">
        <v>19</v>
      </c>
      <c r="NA3" s="102" t="s">
        <v>20</v>
      </c>
      <c r="NB3" s="102" t="s">
        <v>11</v>
      </c>
      <c r="NC3" s="102" t="s">
        <v>21</v>
      </c>
      <c r="ND3" s="102" t="s">
        <v>40</v>
      </c>
      <c r="NE3" s="102" t="s">
        <v>19</v>
      </c>
      <c r="NF3" s="102" t="s">
        <v>20</v>
      </c>
      <c r="NG3" s="102" t="s">
        <v>11</v>
      </c>
      <c r="NH3" s="102" t="s">
        <v>21</v>
      </c>
      <c r="NI3" s="102" t="s">
        <v>40</v>
      </c>
      <c r="NJ3" s="10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8" t="s">
        <v>140</v>
      </c>
      <c r="C4" s="4"/>
      <c r="D4" s="27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13.5</v>
      </c>
      <c r="BI7" s="56"/>
      <c r="BO7" s="64">
        <v>13.5</v>
      </c>
      <c r="CF7" s="56"/>
      <c r="CL7" s="64">
        <v>13.5</v>
      </c>
      <c r="DF7" s="56"/>
      <c r="DL7" s="64">
        <v>13.5</v>
      </c>
      <c r="EB7" s="56"/>
      <c r="EH7" s="64">
        <v>13.5</v>
      </c>
      <c r="EX7" s="56"/>
      <c r="FD7" s="64">
        <v>13.5</v>
      </c>
      <c r="FT7" s="56"/>
      <c r="FZ7" s="64">
        <v>13.5</v>
      </c>
      <c r="GP7" s="56"/>
      <c r="GV7" s="64">
        <v>13.5</v>
      </c>
      <c r="HL7" s="56"/>
      <c r="HR7" s="64">
        <v>13.5</v>
      </c>
      <c r="IH7" s="56"/>
      <c r="IN7" s="64">
        <v>13.5</v>
      </c>
      <c r="JD7" s="56"/>
      <c r="JJ7" s="64">
        <v>13.5</v>
      </c>
      <c r="JZ7" s="56"/>
      <c r="KF7" s="64">
        <v>13.5</v>
      </c>
      <c r="KV7" s="56"/>
      <c r="LB7" s="64">
        <v>13.5</v>
      </c>
      <c r="LR7" s="56"/>
      <c r="LX7" s="64">
        <v>13.5</v>
      </c>
      <c r="MN7" s="56"/>
      <c r="MT7" s="64">
        <v>13.5</v>
      </c>
    </row>
    <row r="8" spans="1:381" x14ac:dyDescent="0.2">
      <c r="B8" s="91" t="s">
        <v>69</v>
      </c>
      <c r="AL8" s="56"/>
      <c r="AR8" s="93">
        <v>14.4</v>
      </c>
      <c r="BI8" s="56"/>
      <c r="BO8" s="93">
        <v>14.4</v>
      </c>
      <c r="CF8" s="56"/>
      <c r="CL8" s="93">
        <v>14.4</v>
      </c>
      <c r="DF8" s="56"/>
      <c r="DL8" s="93">
        <v>14.4</v>
      </c>
      <c r="EB8" s="56"/>
      <c r="EH8" s="93">
        <v>14.4</v>
      </c>
      <c r="EX8" s="56"/>
      <c r="FD8" s="93">
        <v>14.4</v>
      </c>
      <c r="FT8" s="56"/>
      <c r="FZ8" s="93">
        <v>14.4</v>
      </c>
      <c r="GP8" s="56"/>
      <c r="GV8" s="93">
        <v>14.4</v>
      </c>
      <c r="HL8" s="56"/>
      <c r="HR8" s="93">
        <v>14.4</v>
      </c>
      <c r="IH8" s="56"/>
      <c r="IN8" s="93">
        <v>14.4</v>
      </c>
      <c r="JD8" s="56"/>
      <c r="JJ8" s="93">
        <v>14.4</v>
      </c>
      <c r="JZ8" s="56"/>
      <c r="KF8" s="93">
        <v>14.4</v>
      </c>
      <c r="KV8" s="56"/>
      <c r="LB8" s="93">
        <v>14.4</v>
      </c>
      <c r="LR8" s="56"/>
      <c r="LX8" s="93">
        <v>14.4</v>
      </c>
      <c r="MN8" s="56"/>
      <c r="MT8" s="93">
        <v>14.4</v>
      </c>
    </row>
    <row r="9" spans="1:381" x14ac:dyDescent="0.2">
      <c r="A9" s="56"/>
      <c r="B9" s="92" t="s">
        <v>86</v>
      </c>
      <c r="C9" s="55"/>
      <c r="AL9" s="56"/>
      <c r="AR9" s="94">
        <v>15.4</v>
      </c>
      <c r="BI9" s="56"/>
      <c r="BO9" s="94">
        <v>15.4</v>
      </c>
      <c r="CF9" s="56"/>
      <c r="CL9" s="94">
        <v>15.4</v>
      </c>
      <c r="DF9" s="56"/>
      <c r="DL9" s="94">
        <v>15.4</v>
      </c>
      <c r="EB9" s="56"/>
      <c r="EH9" s="94">
        <v>15.4</v>
      </c>
      <c r="EX9" s="56"/>
      <c r="FD9" s="94">
        <v>15.4</v>
      </c>
      <c r="FT9" s="56"/>
      <c r="FZ9" s="94">
        <v>15.4</v>
      </c>
      <c r="GP9" s="56"/>
      <c r="GV9" s="94">
        <v>15.4</v>
      </c>
      <c r="HL9" s="56"/>
      <c r="HR9" s="94">
        <v>15.4</v>
      </c>
      <c r="IH9" s="56"/>
      <c r="IN9" s="94">
        <v>15.4</v>
      </c>
      <c r="JD9" s="56"/>
      <c r="JJ9" s="94">
        <v>15.4</v>
      </c>
      <c r="JZ9" s="56"/>
      <c r="KF9" s="94">
        <v>15.4</v>
      </c>
      <c r="KV9" s="56"/>
      <c r="LB9" s="94">
        <v>15.4</v>
      </c>
      <c r="LR9" s="56"/>
      <c r="LX9" s="94">
        <v>15.4</v>
      </c>
      <c r="MN9" s="56"/>
      <c r="MT9" s="94">
        <v>15.4</v>
      </c>
    </row>
    <row r="10" spans="1:381" x14ac:dyDescent="0.2">
      <c r="A10" s="56"/>
      <c r="B10" s="120" t="s">
        <v>102</v>
      </c>
      <c r="C10" s="55"/>
      <c r="AL10" s="56"/>
      <c r="AR10" s="121">
        <v>15.4</v>
      </c>
      <c r="BI10" s="56"/>
      <c r="BO10" s="121">
        <v>15.4</v>
      </c>
      <c r="CF10" s="56"/>
      <c r="CL10" s="121">
        <v>15.4</v>
      </c>
      <c r="DF10" s="56"/>
      <c r="DL10" s="121">
        <v>15.4</v>
      </c>
      <c r="EB10" s="56"/>
      <c r="EH10" s="121">
        <v>15.4</v>
      </c>
      <c r="EX10" s="56"/>
      <c r="FD10" s="121">
        <v>15.4</v>
      </c>
      <c r="FT10" s="56"/>
      <c r="FZ10" s="121">
        <v>15.4</v>
      </c>
      <c r="GP10" s="56"/>
      <c r="GV10" s="121">
        <v>15.4</v>
      </c>
      <c r="HL10" s="56"/>
      <c r="HR10" s="121">
        <v>15.4</v>
      </c>
      <c r="IH10" s="56"/>
      <c r="IN10" s="121">
        <v>15.4</v>
      </c>
      <c r="JD10" s="56"/>
      <c r="JJ10" s="121">
        <v>15.4</v>
      </c>
      <c r="JZ10" s="56"/>
      <c r="KF10" s="121">
        <v>15.4</v>
      </c>
      <c r="KV10" s="56"/>
      <c r="LB10" s="121">
        <v>15.4</v>
      </c>
      <c r="LR10" s="56"/>
      <c r="LX10" s="121">
        <v>15.4</v>
      </c>
      <c r="MN10" s="56"/>
      <c r="MT10" s="121">
        <v>15.4</v>
      </c>
    </row>
    <row r="11" spans="1:381" x14ac:dyDescent="0.2">
      <c r="A11" s="56"/>
      <c r="B11" s="118" t="s">
        <v>67</v>
      </c>
      <c r="C11" s="55"/>
      <c r="AL11" s="56"/>
      <c r="AR11" s="119">
        <v>87.7</v>
      </c>
      <c r="BI11" s="56"/>
      <c r="BO11" s="119">
        <v>87.7</v>
      </c>
      <c r="CF11" s="56"/>
      <c r="CL11" s="119">
        <v>87.7</v>
      </c>
      <c r="DF11" s="56"/>
      <c r="DL11" s="119">
        <v>87.7</v>
      </c>
      <c r="EB11" s="56"/>
      <c r="EH11" s="119">
        <v>87.7</v>
      </c>
      <c r="EX11" s="56"/>
      <c r="FD11" s="119">
        <v>87.7</v>
      </c>
      <c r="FT11" s="56"/>
      <c r="FZ11" s="119">
        <v>87.7</v>
      </c>
      <c r="GP11" s="56"/>
      <c r="GV11" s="119">
        <v>87.7</v>
      </c>
      <c r="HL11" s="56"/>
      <c r="HR11" s="119">
        <v>87.7</v>
      </c>
      <c r="IH11" s="56"/>
      <c r="IN11" s="119">
        <v>87.7</v>
      </c>
      <c r="JD11" s="56"/>
      <c r="JJ11" s="119">
        <v>87.7</v>
      </c>
      <c r="JZ11" s="56"/>
      <c r="KF11" s="119">
        <v>87.7</v>
      </c>
      <c r="KV11" s="56"/>
      <c r="LB11" s="119">
        <v>87.7</v>
      </c>
      <c r="LR11" s="56"/>
      <c r="LX11" s="119">
        <v>87.7</v>
      </c>
      <c r="MN11" s="56"/>
      <c r="MT11" s="119">
        <v>87.7</v>
      </c>
    </row>
    <row r="12" spans="1:381" x14ac:dyDescent="0.2">
      <c r="A12" s="56"/>
      <c r="B12" s="72" t="s">
        <v>68</v>
      </c>
      <c r="C12" s="55"/>
      <c r="AL12" s="56"/>
      <c r="AR12" s="66">
        <v>89.7</v>
      </c>
      <c r="BI12" s="56"/>
      <c r="BO12" s="66">
        <v>89.7</v>
      </c>
      <c r="CF12" s="56"/>
      <c r="CL12" s="66">
        <v>89.7</v>
      </c>
      <c r="DF12" s="56"/>
      <c r="DL12" s="66">
        <v>89.7</v>
      </c>
      <c r="EB12" s="56"/>
      <c r="EH12" s="66">
        <v>89.7</v>
      </c>
      <c r="EX12" s="56"/>
      <c r="FD12" s="66">
        <v>89.7</v>
      </c>
      <c r="FT12" s="56"/>
      <c r="FZ12" s="66">
        <v>89.7</v>
      </c>
      <c r="GP12" s="56"/>
      <c r="GV12" s="66">
        <v>89.7</v>
      </c>
      <c r="HL12" s="56"/>
      <c r="HR12" s="66">
        <v>89.7</v>
      </c>
      <c r="IH12" s="56"/>
      <c r="IN12" s="66">
        <v>89.7</v>
      </c>
      <c r="JD12" s="56"/>
      <c r="JJ12" s="66">
        <v>89.7</v>
      </c>
      <c r="JZ12" s="56"/>
      <c r="KF12" s="66">
        <v>89.7</v>
      </c>
      <c r="KV12" s="56"/>
      <c r="LB12" s="66">
        <v>89.7</v>
      </c>
      <c r="LR12" s="56"/>
      <c r="LX12" s="66">
        <v>89.7</v>
      </c>
      <c r="MN12" s="56"/>
      <c r="MT12" s="66">
        <v>89.7</v>
      </c>
    </row>
    <row r="13" spans="1:381" x14ac:dyDescent="0.2">
      <c r="A13" s="56"/>
      <c r="B13" s="116" t="s">
        <v>84</v>
      </c>
      <c r="C13" s="55"/>
      <c r="AL13" s="56"/>
      <c r="AQ13" s="130"/>
      <c r="AR13" s="117">
        <v>49</v>
      </c>
      <c r="BI13" s="56"/>
      <c r="BO13" s="117">
        <v>49</v>
      </c>
      <c r="CF13" s="56"/>
      <c r="CL13" s="117">
        <v>49</v>
      </c>
      <c r="DF13" s="56"/>
      <c r="DL13" s="117">
        <v>49</v>
      </c>
      <c r="EB13" s="56"/>
      <c r="EH13" s="117">
        <v>49</v>
      </c>
      <c r="EX13" s="56"/>
      <c r="FD13" s="117">
        <v>49</v>
      </c>
      <c r="FT13" s="56"/>
      <c r="FZ13" s="117">
        <v>49</v>
      </c>
      <c r="GP13" s="56"/>
      <c r="GV13" s="117">
        <v>49</v>
      </c>
      <c r="HL13" s="56"/>
      <c r="HR13" s="117">
        <v>49</v>
      </c>
      <c r="IH13" s="56"/>
      <c r="IN13" s="117">
        <v>49</v>
      </c>
      <c r="JD13" s="56"/>
      <c r="JJ13" s="117">
        <v>49</v>
      </c>
      <c r="JZ13" s="56"/>
      <c r="KF13" s="117">
        <v>49</v>
      </c>
      <c r="KV13" s="56"/>
      <c r="LB13" s="117">
        <v>49</v>
      </c>
      <c r="LR13" s="56"/>
      <c r="LX13" s="117">
        <v>49</v>
      </c>
      <c r="MN13" s="56"/>
      <c r="MT13" s="117">
        <v>49</v>
      </c>
    </row>
    <row r="14" spans="1:381" x14ac:dyDescent="0.2">
      <c r="A14" s="56"/>
      <c r="B14" s="74" t="s">
        <v>51</v>
      </c>
      <c r="C14" s="55"/>
      <c r="AL14" s="56"/>
      <c r="AR14" s="68">
        <v>50.2</v>
      </c>
      <c r="BI14" s="56"/>
      <c r="BO14" s="68">
        <v>50.2</v>
      </c>
      <c r="CF14" s="56"/>
      <c r="CL14" s="68">
        <v>50.2</v>
      </c>
      <c r="DF14" s="56"/>
      <c r="DL14" s="68">
        <v>50.2</v>
      </c>
      <c r="EB14" s="56"/>
      <c r="EH14" s="68">
        <v>50.2</v>
      </c>
      <c r="EX14" s="56"/>
      <c r="FD14" s="68">
        <v>50.2</v>
      </c>
      <c r="FT14" s="56"/>
      <c r="FZ14" s="68">
        <v>50.2</v>
      </c>
      <c r="GP14" s="56"/>
      <c r="GV14" s="68">
        <v>50.2</v>
      </c>
      <c r="HL14" s="56"/>
      <c r="HR14" s="68">
        <v>50.2</v>
      </c>
      <c r="IH14" s="56"/>
      <c r="IN14" s="68">
        <v>50.2</v>
      </c>
      <c r="JD14" s="56"/>
      <c r="JJ14" s="68">
        <v>50.2</v>
      </c>
      <c r="JZ14" s="56"/>
      <c r="KF14" s="68">
        <v>50.2</v>
      </c>
      <c r="KV14" s="56"/>
      <c r="LB14" s="68">
        <v>50.2</v>
      </c>
      <c r="LR14" s="56"/>
      <c r="LX14" s="68">
        <v>50.2</v>
      </c>
      <c r="MN14" s="56"/>
      <c r="MT14" s="68">
        <v>50.2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4">
      <sortCondition descending="1" ref="F1:F5"/>
    </sortState>
  </autoFilter>
  <mergeCells count="86">
    <mergeCell ref="AS1:BO1"/>
    <mergeCell ref="AF2:AJ2"/>
    <mergeCell ref="BC2:BG2"/>
    <mergeCell ref="EI1:FD1"/>
    <mergeCell ref="O1:O3"/>
    <mergeCell ref="CM1:CP1"/>
    <mergeCell ref="CQ1:DL1"/>
    <mergeCell ref="T1:T3"/>
    <mergeCell ref="U1:U3"/>
    <mergeCell ref="V1:AR1"/>
    <mergeCell ref="AA2:AE2"/>
    <mergeCell ref="V2:Z2"/>
    <mergeCell ref="DW2:EA2"/>
    <mergeCell ref="DR2:DV2"/>
    <mergeCell ref="DM2:DQ2"/>
    <mergeCell ref="DA2:DE2"/>
    <mergeCell ref="N1:N3"/>
    <mergeCell ref="L1:L3"/>
    <mergeCell ref="M1:M3"/>
    <mergeCell ref="MU1:NQ1"/>
    <mergeCell ref="MU2:MY2"/>
    <mergeCell ref="MZ2:ND2"/>
    <mergeCell ref="NE2:NI2"/>
    <mergeCell ref="P1:P3"/>
    <mergeCell ref="CV2:CZ2"/>
    <mergeCell ref="CQ2:CU2"/>
    <mergeCell ref="AX2:BB2"/>
    <mergeCell ref="AS2:AW2"/>
    <mergeCell ref="R1:R3"/>
    <mergeCell ref="Q1:Q3"/>
    <mergeCell ref="S1:S3"/>
    <mergeCell ref="DM1:EH1"/>
    <mergeCell ref="G1:G3"/>
    <mergeCell ref="H1:H3"/>
    <mergeCell ref="I1:I3"/>
    <mergeCell ref="K1:K3"/>
    <mergeCell ref="J1:J3"/>
    <mergeCell ref="A1:A3"/>
    <mergeCell ref="B1:B3"/>
    <mergeCell ref="C1:C3"/>
    <mergeCell ref="D1:D3"/>
    <mergeCell ref="E1:E3"/>
    <mergeCell ref="GF2:GJ2"/>
    <mergeCell ref="GA2:GE2"/>
    <mergeCell ref="BP1:CL1"/>
    <mergeCell ref="BP2:BT2"/>
    <mergeCell ref="BU2:BY2"/>
    <mergeCell ref="BZ2:CD2"/>
    <mergeCell ref="EI2:EM2"/>
    <mergeCell ref="IC2:IG2"/>
    <mergeCell ref="HS1:IN1"/>
    <mergeCell ref="HX2:IB2"/>
    <mergeCell ref="HS2:HW2"/>
    <mergeCell ref="EN2:ER2"/>
    <mergeCell ref="FE1:FZ1"/>
    <mergeCell ref="FO2:FS2"/>
    <mergeCell ref="FJ2:FN2"/>
    <mergeCell ref="FE2:FI2"/>
    <mergeCell ref="ES2:EW2"/>
    <mergeCell ref="GA1:GV1"/>
    <mergeCell ref="GW1:HR1"/>
    <mergeCell ref="HG2:HK2"/>
    <mergeCell ref="HB2:HF2"/>
    <mergeCell ref="GW2:HA2"/>
    <mergeCell ref="GK2:GO2"/>
    <mergeCell ref="LY1:MT1"/>
    <mergeCell ref="MI2:MM2"/>
    <mergeCell ref="MD2:MH2"/>
    <mergeCell ref="LY2:MC2"/>
    <mergeCell ref="LM2:LQ2"/>
    <mergeCell ref="F1:F3"/>
    <mergeCell ref="LH2:LL2"/>
    <mergeCell ref="LC2:LG2"/>
    <mergeCell ref="JK1:KF1"/>
    <mergeCell ref="KG1:LB1"/>
    <mergeCell ref="KQ2:KU2"/>
    <mergeCell ref="KL2:KP2"/>
    <mergeCell ref="KG2:KK2"/>
    <mergeCell ref="JU2:JY2"/>
    <mergeCell ref="JP2:JT2"/>
    <mergeCell ref="JK2:JO2"/>
    <mergeCell ref="LC1:LX1"/>
    <mergeCell ref="IO1:JJ1"/>
    <mergeCell ref="IY2:JC2"/>
    <mergeCell ref="IT2:IX2"/>
    <mergeCell ref="IO2:IS2"/>
  </mergeCells>
  <phoneticPr fontId="22" type="noConversion"/>
  <conditionalFormatting sqref="V4:AR4">
    <cfRule type="expression" dxfId="137" priority="3" stopIfTrue="1">
      <formula>IF($AK4&lt;&gt;"",1,0)</formula>
    </cfRule>
  </conditionalFormatting>
  <conditionalFormatting sqref="AS4:BO4">
    <cfRule type="expression" dxfId="136" priority="4" stopIfTrue="1">
      <formula>IF($BH4&lt;&gt;"",1,0)</formula>
    </cfRule>
  </conditionalFormatting>
  <conditionalFormatting sqref="L1:L1048576 R1:R1048576 N1:N1048576 P1:P1048576">
    <cfRule type="expression" dxfId="135" priority="12">
      <formula>IF(L1=$BP$1,1,0)</formula>
    </cfRule>
    <cfRule type="expression" dxfId="134" priority="13">
      <formula>IF(L1=$AS$1,1,0)</formula>
    </cfRule>
    <cfRule type="expression" dxfId="133" priority="41">
      <formula>IF(L1=$V$1,1,0)</formula>
    </cfRule>
  </conditionalFormatting>
  <conditionalFormatting sqref="I1:I1048576">
    <cfRule type="containsText" dxfId="132" priority="7" operator="containsText" text="No DD">
      <formula>NOT(ISERROR(SEARCH("No DD",I1)))</formula>
    </cfRule>
    <cfRule type="containsText" dxfId="131" priority="8" operator="containsText" text="Merit">
      <formula>NOT(ISERROR(SEARCH("Merit",I1)))</formula>
    </cfRule>
    <cfRule type="containsText" dxfId="130" priority="9" operator="containsText" text="Excellence">
      <formula>NOT(ISERROR(SEARCH("Excellence",I1)))</formula>
    </cfRule>
    <cfRule type="containsText" dxfId="129" priority="10" operator="containsText" text="Worlds Team">
      <formula>NOT(ISERROR(SEARCH("Worlds Team",I1)))</formula>
    </cfRule>
    <cfRule type="containsText" dxfId="128" priority="11" operator="containsText" text="National Team">
      <formula>NOT(ISERROR(SEARCH("National Team",I1)))</formula>
    </cfRule>
  </conditionalFormatting>
  <conditionalFormatting sqref="BP4:CL4">
    <cfRule type="expression" dxfId="127" priority="5" stopIfTrue="1">
      <formula>IF($CE4&lt;&gt;"",1,0)</formula>
    </cfRule>
  </conditionalFormatting>
  <conditionalFormatting sqref="AQ14:AQ1048576 AQ1:AQ12 BN1:BN1048576 CK1:CK1048576 DK1:DK1048576 EG1:EG1048576 FC1:FC1048576 FY1:FY1048576 GU1:GU1048576 HQ1:HQ1048576 IM1:IM1048576 JI1:JI1048576 KE1:KE1048576 LA1:LA1048576 LW1:LW1048576 MS1:MS1048576">
    <cfRule type="cellIs" dxfId="126" priority="37912" operator="between">
      <formula>AR$14</formula>
      <formula>1000</formula>
    </cfRule>
    <cfRule type="cellIs" dxfId="125" priority="37913" operator="between">
      <formula>AR$13</formula>
      <formula>AR$14</formula>
    </cfRule>
  </conditionalFormatting>
  <conditionalFormatting sqref="A1:A1048576">
    <cfRule type="expression" dxfId="124" priority="37920">
      <formula>AND(H1&lt;&gt;"",G1="")</formula>
    </cfRule>
  </conditionalFormatting>
  <conditionalFormatting sqref="AQ13">
    <cfRule type="cellIs" dxfId="123" priority="1" operator="between">
      <formula>AR$19</formula>
      <formula>1000</formula>
    </cfRule>
    <cfRule type="cellIs" dxfId="122" priority="2" operator="between">
      <formula>AR$18</formula>
      <formula>AR$19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121" priority="48721" operator="between">
      <formula>AR$10</formula>
      <formula>1000</formula>
    </cfRule>
    <cfRule type="cellIs" dxfId="120" priority="48722" operator="between">
      <formula>AR$9</formula>
      <formula>AR$10</formula>
    </cfRule>
    <cfRule type="cellIs" dxfId="119" priority="48723" operator="between">
      <formula>AR$8</formula>
      <formula>AR$9</formula>
    </cfRule>
    <cfRule type="cellIs" dxfId="118" priority="48724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117" priority="48901" operator="between">
      <formula>AR$14</formula>
      <formula>1000</formula>
    </cfRule>
    <cfRule type="cellIs" dxfId="116" priority="48902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115" priority="48991" operator="between">
      <formula>AR$12</formula>
      <formula>1000</formula>
    </cfRule>
    <cfRule type="cellIs" dxfId="114" priority="48992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113" priority="49081" operator="between">
      <formula>AR$10</formula>
      <formula>1000</formula>
    </cfRule>
    <cfRule type="cellIs" dxfId="112" priority="49082" operator="between">
      <formula>AR$9</formula>
      <formula>AR$10</formula>
    </cfRule>
    <cfRule type="cellIs" dxfId="111" priority="49083" operator="between">
      <formula>AR$8</formula>
      <formula>AR$9</formula>
    </cfRule>
    <cfRule type="cellIs" dxfId="110" priority="49084" operator="between">
      <formula>AR$7</formula>
      <formula>AR$8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EE965C-65FB-064C-9E10-09F8F7EB9F35}">
  <sheetPr codeName="Sheet11"/>
  <dimension ref="A1:NQ36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2.5" bestFit="1" customWidth="1"/>
    <col min="3" max="3" width="8.1640625" bestFit="1" customWidth="1"/>
    <col min="4" max="4" width="11.33203125" customWidth="1"/>
    <col min="6" max="6" width="14.1640625" hidden="1" customWidth="1"/>
    <col min="7" max="7" width="14.1640625" bestFit="1" customWidth="1"/>
    <col min="8" max="8" width="18.5" bestFit="1" customWidth="1"/>
    <col min="9" max="9" width="13.33203125" style="126" bestFit="1" customWidth="1"/>
    <col min="10" max="10" width="19" bestFit="1" customWidth="1"/>
    <col min="12" max="12" width="20.5" bestFit="1" customWidth="1"/>
    <col min="14" max="14" width="20.5" bestFit="1" customWidth="1"/>
    <col min="16" max="16" width="20.5" bestFit="1" customWidth="1"/>
    <col min="18" max="18" width="20.5" bestFit="1" customWidth="1"/>
    <col min="19" max="19" width="24.6640625" customWidth="1"/>
    <col min="20" max="20" width="13" bestFit="1" customWidth="1"/>
    <col min="21" max="21" width="51.1640625" bestFit="1" customWidth="1"/>
    <col min="22" max="37" width="10.83203125" hidden="1" customWidth="1"/>
    <col min="38" max="44" width="10.83203125" customWidth="1"/>
    <col min="45" max="60" width="10.83203125" hidden="1" customWidth="1"/>
    <col min="61" max="67" width="10.83203125" customWidth="1"/>
    <col min="68" max="83" width="10.83203125" hidden="1" customWidth="1"/>
    <col min="84" max="90" width="10.83203125" customWidth="1"/>
    <col min="95" max="381" width="10.83203125" hidden="1" customWidth="1"/>
  </cols>
  <sheetData>
    <row r="1" spans="1:38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1" t="s">
        <v>110</v>
      </c>
      <c r="G1" s="141" t="s">
        <v>108</v>
      </c>
      <c r="H1" s="141" t="s">
        <v>109</v>
      </c>
      <c r="I1" s="141" t="s">
        <v>13</v>
      </c>
      <c r="J1" s="141" t="s">
        <v>119</v>
      </c>
      <c r="K1" s="142" t="s">
        <v>14</v>
      </c>
      <c r="L1" s="142" t="s">
        <v>49</v>
      </c>
      <c r="M1" s="142" t="s">
        <v>15</v>
      </c>
      <c r="N1" s="142" t="s">
        <v>49</v>
      </c>
      <c r="O1" s="142" t="s">
        <v>16</v>
      </c>
      <c r="P1" s="142" t="s">
        <v>49</v>
      </c>
      <c r="Q1" s="142" t="s">
        <v>17</v>
      </c>
      <c r="R1" s="142" t="s">
        <v>49</v>
      </c>
      <c r="S1" s="143" t="s">
        <v>18</v>
      </c>
      <c r="T1" s="142" t="s">
        <v>50</v>
      </c>
      <c r="U1" s="142" t="s">
        <v>49</v>
      </c>
      <c r="V1" s="138" t="s">
        <v>121</v>
      </c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8"/>
      <c r="AN1" s="138"/>
      <c r="AO1" s="138"/>
      <c r="AP1" s="138"/>
      <c r="AQ1" s="138"/>
      <c r="AR1" s="138"/>
      <c r="AS1" s="139" t="s">
        <v>133</v>
      </c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9"/>
      <c r="BJ1" s="139"/>
      <c r="BK1" s="139"/>
      <c r="BL1" s="139"/>
      <c r="BM1" s="139"/>
      <c r="BN1" s="139"/>
      <c r="BO1" s="139"/>
      <c r="BP1" s="138" t="s">
        <v>142</v>
      </c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38"/>
      <c r="CF1" s="138"/>
      <c r="CG1" s="138"/>
      <c r="CH1" s="138"/>
      <c r="CI1" s="138"/>
      <c r="CJ1" s="138"/>
      <c r="CK1" s="138"/>
      <c r="CL1" s="138"/>
      <c r="CM1" s="140" t="s">
        <v>18</v>
      </c>
      <c r="CN1" s="140"/>
      <c r="CO1" s="140"/>
      <c r="CP1" s="140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8"/>
      <c r="DC1" s="138"/>
      <c r="DD1" s="138"/>
      <c r="DE1" s="138"/>
      <c r="DF1" s="138"/>
      <c r="DG1" s="138"/>
      <c r="DH1" s="138"/>
      <c r="DI1" s="138"/>
      <c r="DJ1" s="138"/>
      <c r="DK1" s="138"/>
      <c r="DL1" s="138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9"/>
      <c r="DX1" s="139"/>
      <c r="DY1" s="139"/>
      <c r="DZ1" s="139"/>
      <c r="EA1" s="139"/>
      <c r="EB1" s="139"/>
      <c r="EC1" s="139"/>
      <c r="ED1" s="139"/>
      <c r="EE1" s="139"/>
      <c r="EF1" s="139"/>
      <c r="EG1" s="139"/>
      <c r="EH1" s="139"/>
      <c r="EI1" s="138"/>
      <c r="EJ1" s="138"/>
      <c r="EK1" s="138"/>
      <c r="EL1" s="138"/>
      <c r="EM1" s="138"/>
      <c r="EN1" s="138"/>
      <c r="EO1" s="138"/>
      <c r="EP1" s="138"/>
      <c r="EQ1" s="138"/>
      <c r="ER1" s="138"/>
      <c r="ES1" s="138"/>
      <c r="ET1" s="138"/>
      <c r="EU1" s="138"/>
      <c r="EV1" s="138"/>
      <c r="EW1" s="138"/>
      <c r="EX1" s="138"/>
      <c r="EY1" s="138"/>
      <c r="EZ1" s="138"/>
      <c r="FA1" s="138"/>
      <c r="FB1" s="138"/>
      <c r="FC1" s="138"/>
      <c r="FD1" s="138"/>
      <c r="FE1" s="139"/>
      <c r="FF1" s="139"/>
      <c r="FG1" s="139"/>
      <c r="FH1" s="139"/>
      <c r="FI1" s="139"/>
      <c r="FJ1" s="139"/>
      <c r="FK1" s="139"/>
      <c r="FL1" s="139"/>
      <c r="FM1" s="139"/>
      <c r="FN1" s="139"/>
      <c r="FO1" s="139"/>
      <c r="FP1" s="139"/>
      <c r="FQ1" s="139"/>
      <c r="FR1" s="139"/>
      <c r="FS1" s="139"/>
      <c r="FT1" s="139"/>
      <c r="FU1" s="139"/>
      <c r="FV1" s="139"/>
      <c r="FW1" s="139"/>
      <c r="FX1" s="139"/>
      <c r="FY1" s="139"/>
      <c r="FZ1" s="139"/>
      <c r="GA1" s="138"/>
      <c r="GB1" s="138"/>
      <c r="GC1" s="138"/>
      <c r="GD1" s="138"/>
      <c r="GE1" s="138"/>
      <c r="GF1" s="138"/>
      <c r="GG1" s="138"/>
      <c r="GH1" s="138"/>
      <c r="GI1" s="138"/>
      <c r="GJ1" s="138"/>
      <c r="GK1" s="138"/>
      <c r="GL1" s="138"/>
      <c r="GM1" s="138"/>
      <c r="GN1" s="138"/>
      <c r="GO1" s="138"/>
      <c r="GP1" s="138"/>
      <c r="GQ1" s="138"/>
      <c r="GR1" s="138"/>
      <c r="GS1" s="138"/>
      <c r="GT1" s="138"/>
      <c r="GU1" s="138"/>
      <c r="GV1" s="138"/>
      <c r="GW1" s="139"/>
      <c r="GX1" s="139"/>
      <c r="GY1" s="139"/>
      <c r="GZ1" s="139"/>
      <c r="HA1" s="139"/>
      <c r="HB1" s="139"/>
      <c r="HC1" s="139"/>
      <c r="HD1" s="139"/>
      <c r="HE1" s="139"/>
      <c r="HF1" s="139"/>
      <c r="HG1" s="139"/>
      <c r="HH1" s="139"/>
      <c r="HI1" s="139"/>
      <c r="HJ1" s="139"/>
      <c r="HK1" s="139"/>
      <c r="HL1" s="139"/>
      <c r="HM1" s="139"/>
      <c r="HN1" s="139"/>
      <c r="HO1" s="139"/>
      <c r="HP1" s="139"/>
      <c r="HQ1" s="139"/>
      <c r="HR1" s="139"/>
      <c r="HS1" s="138"/>
      <c r="HT1" s="138"/>
      <c r="HU1" s="138"/>
      <c r="HV1" s="138"/>
      <c r="HW1" s="138"/>
      <c r="HX1" s="138"/>
      <c r="HY1" s="138"/>
      <c r="HZ1" s="138"/>
      <c r="IA1" s="138"/>
      <c r="IB1" s="138"/>
      <c r="IC1" s="138"/>
      <c r="ID1" s="138"/>
      <c r="IE1" s="138"/>
      <c r="IF1" s="138"/>
      <c r="IG1" s="138"/>
      <c r="IH1" s="138"/>
      <c r="II1" s="138"/>
      <c r="IJ1" s="138"/>
      <c r="IK1" s="138"/>
      <c r="IL1" s="138"/>
      <c r="IM1" s="138"/>
      <c r="IN1" s="138"/>
      <c r="IO1" s="139"/>
      <c r="IP1" s="139"/>
      <c r="IQ1" s="139"/>
      <c r="IR1" s="139"/>
      <c r="IS1" s="139"/>
      <c r="IT1" s="139"/>
      <c r="IU1" s="139"/>
      <c r="IV1" s="139"/>
      <c r="IW1" s="139"/>
      <c r="IX1" s="139"/>
      <c r="IY1" s="139"/>
      <c r="IZ1" s="139"/>
      <c r="JA1" s="139"/>
      <c r="JB1" s="139"/>
      <c r="JC1" s="139"/>
      <c r="JD1" s="139"/>
      <c r="JE1" s="139"/>
      <c r="JF1" s="139"/>
      <c r="JG1" s="139"/>
      <c r="JH1" s="139"/>
      <c r="JI1" s="139"/>
      <c r="JJ1" s="139"/>
      <c r="JK1" s="138"/>
      <c r="JL1" s="138"/>
      <c r="JM1" s="138"/>
      <c r="JN1" s="138"/>
      <c r="JO1" s="138"/>
      <c r="JP1" s="138"/>
      <c r="JQ1" s="138"/>
      <c r="JR1" s="138"/>
      <c r="JS1" s="138"/>
      <c r="JT1" s="138"/>
      <c r="JU1" s="138"/>
      <c r="JV1" s="138"/>
      <c r="JW1" s="138"/>
      <c r="JX1" s="138"/>
      <c r="JY1" s="138"/>
      <c r="JZ1" s="138"/>
      <c r="KA1" s="138"/>
      <c r="KB1" s="138"/>
      <c r="KC1" s="138"/>
      <c r="KD1" s="138"/>
      <c r="KE1" s="138"/>
      <c r="KF1" s="138"/>
      <c r="KG1" s="139"/>
      <c r="KH1" s="139"/>
      <c r="KI1" s="139"/>
      <c r="KJ1" s="139"/>
      <c r="KK1" s="139"/>
      <c r="KL1" s="139"/>
      <c r="KM1" s="139"/>
      <c r="KN1" s="139"/>
      <c r="KO1" s="139"/>
      <c r="KP1" s="139"/>
      <c r="KQ1" s="139"/>
      <c r="KR1" s="139"/>
      <c r="KS1" s="139"/>
      <c r="KT1" s="139"/>
      <c r="KU1" s="139"/>
      <c r="KV1" s="139"/>
      <c r="KW1" s="139"/>
      <c r="KX1" s="139"/>
      <c r="KY1" s="139"/>
      <c r="KZ1" s="139"/>
      <c r="LA1" s="139"/>
      <c r="LB1" s="139"/>
      <c r="LC1" s="138"/>
      <c r="LD1" s="138"/>
      <c r="LE1" s="138"/>
      <c r="LF1" s="138"/>
      <c r="LG1" s="138"/>
      <c r="LH1" s="138"/>
      <c r="LI1" s="138"/>
      <c r="LJ1" s="138"/>
      <c r="LK1" s="138"/>
      <c r="LL1" s="138"/>
      <c r="LM1" s="138"/>
      <c r="LN1" s="138"/>
      <c r="LO1" s="138"/>
      <c r="LP1" s="138"/>
      <c r="LQ1" s="138"/>
      <c r="LR1" s="138"/>
      <c r="LS1" s="138"/>
      <c r="LT1" s="138"/>
      <c r="LU1" s="138"/>
      <c r="LV1" s="138"/>
      <c r="LW1" s="138"/>
      <c r="LX1" s="138"/>
      <c r="LY1" s="139"/>
      <c r="LZ1" s="139"/>
      <c r="MA1" s="139"/>
      <c r="MB1" s="139"/>
      <c r="MC1" s="139"/>
      <c r="MD1" s="139"/>
      <c r="ME1" s="139"/>
      <c r="MF1" s="139"/>
      <c r="MG1" s="139"/>
      <c r="MH1" s="139"/>
      <c r="MI1" s="139"/>
      <c r="MJ1" s="139"/>
      <c r="MK1" s="139"/>
      <c r="ML1" s="139"/>
      <c r="MM1" s="139"/>
      <c r="MN1" s="139"/>
      <c r="MO1" s="139"/>
      <c r="MP1" s="139"/>
      <c r="MQ1" s="139"/>
      <c r="MR1" s="139"/>
      <c r="MS1" s="139"/>
      <c r="MT1" s="139"/>
      <c r="MU1" s="138" t="s">
        <v>87</v>
      </c>
      <c r="MV1" s="138"/>
      <c r="MW1" s="138"/>
      <c r="MX1" s="138"/>
      <c r="MY1" s="138"/>
      <c r="MZ1" s="138"/>
      <c r="NA1" s="138"/>
      <c r="NB1" s="138"/>
      <c r="NC1" s="138"/>
      <c r="ND1" s="138"/>
      <c r="NE1" s="138"/>
      <c r="NF1" s="138"/>
      <c r="NG1" s="138"/>
      <c r="NH1" s="138"/>
      <c r="NI1" s="138"/>
      <c r="NJ1" s="138"/>
      <c r="NK1" s="138"/>
      <c r="NL1" s="138"/>
      <c r="NM1" s="138"/>
      <c r="NN1" s="138"/>
      <c r="NO1" s="138"/>
      <c r="NP1" s="138"/>
      <c r="NQ1" s="138"/>
    </row>
    <row r="2" spans="1:381" x14ac:dyDescent="0.2">
      <c r="A2" s="141"/>
      <c r="B2" s="141"/>
      <c r="C2" s="141"/>
      <c r="D2" s="141"/>
      <c r="E2" s="141"/>
      <c r="F2" s="141"/>
      <c r="G2" s="141"/>
      <c r="H2" s="141"/>
      <c r="I2" s="141"/>
      <c r="J2" s="141"/>
      <c r="K2" s="142"/>
      <c r="L2" s="142"/>
      <c r="M2" s="142"/>
      <c r="N2" s="142"/>
      <c r="O2" s="142"/>
      <c r="P2" s="142"/>
      <c r="Q2" s="142"/>
      <c r="R2" s="142"/>
      <c r="S2" s="143"/>
      <c r="T2" s="142"/>
      <c r="U2" s="142"/>
      <c r="V2" s="137" t="s">
        <v>23</v>
      </c>
      <c r="W2" s="137"/>
      <c r="X2" s="137"/>
      <c r="Y2" s="137"/>
      <c r="Z2" s="137"/>
      <c r="AA2" s="137" t="s">
        <v>24</v>
      </c>
      <c r="AB2" s="137"/>
      <c r="AC2" s="137"/>
      <c r="AD2" s="137"/>
      <c r="AE2" s="137"/>
      <c r="AF2" s="137" t="s">
        <v>27</v>
      </c>
      <c r="AG2" s="137"/>
      <c r="AH2" s="137"/>
      <c r="AI2" s="137"/>
      <c r="AJ2" s="137"/>
      <c r="AK2" s="112"/>
      <c r="AL2" s="112" t="s">
        <v>81</v>
      </c>
      <c r="AM2" s="9" t="s">
        <v>25</v>
      </c>
      <c r="AN2" s="9" t="s">
        <v>26</v>
      </c>
      <c r="AO2" s="9" t="s">
        <v>28</v>
      </c>
      <c r="AP2" s="9" t="s">
        <v>92</v>
      </c>
      <c r="AQ2" s="9" t="s">
        <v>27</v>
      </c>
      <c r="AR2" s="9" t="s">
        <v>22</v>
      </c>
      <c r="AS2" s="136" t="s">
        <v>23</v>
      </c>
      <c r="AT2" s="136"/>
      <c r="AU2" s="136"/>
      <c r="AV2" s="136"/>
      <c r="AW2" s="136"/>
      <c r="AX2" s="136" t="s">
        <v>24</v>
      </c>
      <c r="AY2" s="136"/>
      <c r="AZ2" s="136"/>
      <c r="BA2" s="136"/>
      <c r="BB2" s="136"/>
      <c r="BC2" s="136" t="s">
        <v>27</v>
      </c>
      <c r="BD2" s="136"/>
      <c r="BE2" s="136"/>
      <c r="BF2" s="136"/>
      <c r="BG2" s="136"/>
      <c r="BH2" s="113"/>
      <c r="BI2" s="113" t="s">
        <v>81</v>
      </c>
      <c r="BJ2" s="12" t="s">
        <v>25</v>
      </c>
      <c r="BK2" s="12" t="s">
        <v>26</v>
      </c>
      <c r="BL2" s="12" t="s">
        <v>28</v>
      </c>
      <c r="BM2" s="12" t="s">
        <v>92</v>
      </c>
      <c r="BN2" s="12" t="s">
        <v>27</v>
      </c>
      <c r="BO2" s="12" t="s">
        <v>22</v>
      </c>
      <c r="BP2" s="137" t="s">
        <v>23</v>
      </c>
      <c r="BQ2" s="137"/>
      <c r="BR2" s="137"/>
      <c r="BS2" s="137"/>
      <c r="BT2" s="137"/>
      <c r="BU2" s="137" t="s">
        <v>24</v>
      </c>
      <c r="BV2" s="137"/>
      <c r="BW2" s="137"/>
      <c r="BX2" s="137"/>
      <c r="BY2" s="137"/>
      <c r="BZ2" s="137" t="s">
        <v>27</v>
      </c>
      <c r="CA2" s="137"/>
      <c r="CB2" s="137"/>
      <c r="CC2" s="137"/>
      <c r="CD2" s="137"/>
      <c r="CE2" s="112"/>
      <c r="CF2" s="112" t="s">
        <v>81</v>
      </c>
      <c r="CG2" s="9" t="s">
        <v>25</v>
      </c>
      <c r="CH2" s="9" t="s">
        <v>26</v>
      </c>
      <c r="CI2" s="9" t="s">
        <v>28</v>
      </c>
      <c r="CJ2" s="9" t="s">
        <v>92</v>
      </c>
      <c r="CK2" s="9" t="s">
        <v>27</v>
      </c>
      <c r="CL2" s="9" t="s">
        <v>22</v>
      </c>
      <c r="CM2" s="22" t="s">
        <v>25</v>
      </c>
      <c r="CN2" s="22" t="s">
        <v>26</v>
      </c>
      <c r="CO2" s="22" t="s">
        <v>28</v>
      </c>
      <c r="CP2" s="22" t="s">
        <v>27</v>
      </c>
      <c r="CQ2" s="137" t="s">
        <v>23</v>
      </c>
      <c r="CR2" s="137"/>
      <c r="CS2" s="137"/>
      <c r="CT2" s="137"/>
      <c r="CU2" s="137"/>
      <c r="CV2" s="137" t="s">
        <v>24</v>
      </c>
      <c r="CW2" s="137"/>
      <c r="CX2" s="137"/>
      <c r="CY2" s="137"/>
      <c r="CZ2" s="137"/>
      <c r="DA2" s="137" t="s">
        <v>27</v>
      </c>
      <c r="DB2" s="137"/>
      <c r="DC2" s="137"/>
      <c r="DD2" s="137"/>
      <c r="DE2" s="137"/>
      <c r="DF2" s="112" t="s">
        <v>81</v>
      </c>
      <c r="DG2" s="9" t="s">
        <v>25</v>
      </c>
      <c r="DH2" s="9" t="s">
        <v>26</v>
      </c>
      <c r="DI2" s="9" t="s">
        <v>28</v>
      </c>
      <c r="DJ2" s="9" t="s">
        <v>92</v>
      </c>
      <c r="DK2" s="9" t="s">
        <v>27</v>
      </c>
      <c r="DL2" s="9" t="s">
        <v>22</v>
      </c>
      <c r="DM2" s="136" t="s">
        <v>23</v>
      </c>
      <c r="DN2" s="136"/>
      <c r="DO2" s="136"/>
      <c r="DP2" s="136"/>
      <c r="DQ2" s="136"/>
      <c r="DR2" s="136" t="s">
        <v>24</v>
      </c>
      <c r="DS2" s="136"/>
      <c r="DT2" s="136"/>
      <c r="DU2" s="136"/>
      <c r="DV2" s="136"/>
      <c r="DW2" s="136" t="s">
        <v>27</v>
      </c>
      <c r="DX2" s="136"/>
      <c r="DY2" s="136"/>
      <c r="DZ2" s="136"/>
      <c r="EA2" s="136"/>
      <c r="EB2" s="113" t="s">
        <v>81</v>
      </c>
      <c r="EC2" s="12" t="s">
        <v>25</v>
      </c>
      <c r="ED2" s="12" t="s">
        <v>26</v>
      </c>
      <c r="EE2" s="12" t="s">
        <v>28</v>
      </c>
      <c r="EF2" s="12" t="s">
        <v>92</v>
      </c>
      <c r="EG2" s="12" t="s">
        <v>27</v>
      </c>
      <c r="EH2" s="12" t="s">
        <v>22</v>
      </c>
      <c r="EI2" s="137" t="s">
        <v>23</v>
      </c>
      <c r="EJ2" s="137"/>
      <c r="EK2" s="137"/>
      <c r="EL2" s="137"/>
      <c r="EM2" s="137"/>
      <c r="EN2" s="137" t="s">
        <v>24</v>
      </c>
      <c r="EO2" s="137"/>
      <c r="EP2" s="137"/>
      <c r="EQ2" s="137"/>
      <c r="ER2" s="137"/>
      <c r="ES2" s="137" t="s">
        <v>27</v>
      </c>
      <c r="ET2" s="137"/>
      <c r="EU2" s="137"/>
      <c r="EV2" s="137"/>
      <c r="EW2" s="137"/>
      <c r="EX2" s="112" t="s">
        <v>81</v>
      </c>
      <c r="EY2" s="9" t="s">
        <v>25</v>
      </c>
      <c r="EZ2" s="9" t="s">
        <v>26</v>
      </c>
      <c r="FA2" s="9" t="s">
        <v>28</v>
      </c>
      <c r="FB2" s="9" t="s">
        <v>92</v>
      </c>
      <c r="FC2" s="9" t="s">
        <v>27</v>
      </c>
      <c r="FD2" s="9" t="s">
        <v>22</v>
      </c>
      <c r="FE2" s="136" t="s">
        <v>23</v>
      </c>
      <c r="FF2" s="136"/>
      <c r="FG2" s="136"/>
      <c r="FH2" s="136"/>
      <c r="FI2" s="136"/>
      <c r="FJ2" s="136" t="s">
        <v>24</v>
      </c>
      <c r="FK2" s="136"/>
      <c r="FL2" s="136"/>
      <c r="FM2" s="136"/>
      <c r="FN2" s="136"/>
      <c r="FO2" s="136" t="s">
        <v>27</v>
      </c>
      <c r="FP2" s="136"/>
      <c r="FQ2" s="136"/>
      <c r="FR2" s="136"/>
      <c r="FS2" s="136"/>
      <c r="FT2" s="113" t="s">
        <v>81</v>
      </c>
      <c r="FU2" s="12" t="s">
        <v>25</v>
      </c>
      <c r="FV2" s="12" t="s">
        <v>26</v>
      </c>
      <c r="FW2" s="12" t="s">
        <v>28</v>
      </c>
      <c r="FX2" s="12" t="s">
        <v>92</v>
      </c>
      <c r="FY2" s="12" t="s">
        <v>27</v>
      </c>
      <c r="FZ2" s="12" t="s">
        <v>22</v>
      </c>
      <c r="GA2" s="137" t="s">
        <v>23</v>
      </c>
      <c r="GB2" s="137"/>
      <c r="GC2" s="137"/>
      <c r="GD2" s="137"/>
      <c r="GE2" s="137"/>
      <c r="GF2" s="137" t="s">
        <v>24</v>
      </c>
      <c r="GG2" s="137"/>
      <c r="GH2" s="137"/>
      <c r="GI2" s="137"/>
      <c r="GJ2" s="137"/>
      <c r="GK2" s="137" t="s">
        <v>27</v>
      </c>
      <c r="GL2" s="137"/>
      <c r="GM2" s="137"/>
      <c r="GN2" s="137"/>
      <c r="GO2" s="137"/>
      <c r="GP2" s="112" t="s">
        <v>81</v>
      </c>
      <c r="GQ2" s="9" t="s">
        <v>25</v>
      </c>
      <c r="GR2" s="9" t="s">
        <v>26</v>
      </c>
      <c r="GS2" s="9" t="s">
        <v>28</v>
      </c>
      <c r="GT2" s="9" t="s">
        <v>92</v>
      </c>
      <c r="GU2" s="9" t="s">
        <v>27</v>
      </c>
      <c r="GV2" s="9" t="s">
        <v>22</v>
      </c>
      <c r="GW2" s="136" t="s">
        <v>23</v>
      </c>
      <c r="GX2" s="136"/>
      <c r="GY2" s="136"/>
      <c r="GZ2" s="136"/>
      <c r="HA2" s="136"/>
      <c r="HB2" s="136" t="s">
        <v>24</v>
      </c>
      <c r="HC2" s="136"/>
      <c r="HD2" s="136"/>
      <c r="HE2" s="136"/>
      <c r="HF2" s="136"/>
      <c r="HG2" s="136" t="s">
        <v>27</v>
      </c>
      <c r="HH2" s="136"/>
      <c r="HI2" s="136"/>
      <c r="HJ2" s="136"/>
      <c r="HK2" s="136"/>
      <c r="HL2" s="113" t="s">
        <v>81</v>
      </c>
      <c r="HM2" s="12" t="s">
        <v>25</v>
      </c>
      <c r="HN2" s="12" t="s">
        <v>26</v>
      </c>
      <c r="HO2" s="12" t="s">
        <v>28</v>
      </c>
      <c r="HP2" s="12" t="s">
        <v>92</v>
      </c>
      <c r="HQ2" s="12" t="s">
        <v>27</v>
      </c>
      <c r="HR2" s="12" t="s">
        <v>22</v>
      </c>
      <c r="HS2" s="137" t="s">
        <v>23</v>
      </c>
      <c r="HT2" s="137"/>
      <c r="HU2" s="137"/>
      <c r="HV2" s="137"/>
      <c r="HW2" s="137"/>
      <c r="HX2" s="137" t="s">
        <v>24</v>
      </c>
      <c r="HY2" s="137"/>
      <c r="HZ2" s="137"/>
      <c r="IA2" s="137"/>
      <c r="IB2" s="137"/>
      <c r="IC2" s="137" t="s">
        <v>27</v>
      </c>
      <c r="ID2" s="137"/>
      <c r="IE2" s="137"/>
      <c r="IF2" s="137"/>
      <c r="IG2" s="137"/>
      <c r="IH2" s="112" t="s">
        <v>81</v>
      </c>
      <c r="II2" s="9" t="s">
        <v>25</v>
      </c>
      <c r="IJ2" s="9" t="s">
        <v>26</v>
      </c>
      <c r="IK2" s="9" t="s">
        <v>28</v>
      </c>
      <c r="IL2" s="9" t="s">
        <v>92</v>
      </c>
      <c r="IM2" s="9" t="s">
        <v>27</v>
      </c>
      <c r="IN2" s="9" t="s">
        <v>22</v>
      </c>
      <c r="IO2" s="136" t="s">
        <v>23</v>
      </c>
      <c r="IP2" s="136"/>
      <c r="IQ2" s="136"/>
      <c r="IR2" s="136"/>
      <c r="IS2" s="136"/>
      <c r="IT2" s="136" t="s">
        <v>24</v>
      </c>
      <c r="IU2" s="136"/>
      <c r="IV2" s="136"/>
      <c r="IW2" s="136"/>
      <c r="IX2" s="136"/>
      <c r="IY2" s="136" t="s">
        <v>27</v>
      </c>
      <c r="IZ2" s="136"/>
      <c r="JA2" s="136"/>
      <c r="JB2" s="136"/>
      <c r="JC2" s="136"/>
      <c r="JD2" s="113" t="s">
        <v>81</v>
      </c>
      <c r="JE2" s="12" t="s">
        <v>25</v>
      </c>
      <c r="JF2" s="12" t="s">
        <v>26</v>
      </c>
      <c r="JG2" s="12" t="s">
        <v>28</v>
      </c>
      <c r="JH2" s="12" t="s">
        <v>92</v>
      </c>
      <c r="JI2" s="12" t="s">
        <v>27</v>
      </c>
      <c r="JJ2" s="12" t="s">
        <v>22</v>
      </c>
      <c r="JK2" s="137" t="s">
        <v>23</v>
      </c>
      <c r="JL2" s="137"/>
      <c r="JM2" s="137"/>
      <c r="JN2" s="137"/>
      <c r="JO2" s="137"/>
      <c r="JP2" s="137" t="s">
        <v>24</v>
      </c>
      <c r="JQ2" s="137"/>
      <c r="JR2" s="137"/>
      <c r="JS2" s="137"/>
      <c r="JT2" s="137"/>
      <c r="JU2" s="137" t="s">
        <v>27</v>
      </c>
      <c r="JV2" s="137"/>
      <c r="JW2" s="137"/>
      <c r="JX2" s="137"/>
      <c r="JY2" s="137"/>
      <c r="JZ2" s="112" t="s">
        <v>81</v>
      </c>
      <c r="KA2" s="9" t="s">
        <v>25</v>
      </c>
      <c r="KB2" s="9" t="s">
        <v>26</v>
      </c>
      <c r="KC2" s="9" t="s">
        <v>28</v>
      </c>
      <c r="KD2" s="9" t="s">
        <v>92</v>
      </c>
      <c r="KE2" s="9" t="s">
        <v>27</v>
      </c>
      <c r="KF2" s="9" t="s">
        <v>22</v>
      </c>
      <c r="KG2" s="136" t="s">
        <v>23</v>
      </c>
      <c r="KH2" s="136"/>
      <c r="KI2" s="136"/>
      <c r="KJ2" s="136"/>
      <c r="KK2" s="136"/>
      <c r="KL2" s="136" t="s">
        <v>24</v>
      </c>
      <c r="KM2" s="136"/>
      <c r="KN2" s="136"/>
      <c r="KO2" s="136"/>
      <c r="KP2" s="136"/>
      <c r="KQ2" s="136" t="s">
        <v>27</v>
      </c>
      <c r="KR2" s="136"/>
      <c r="KS2" s="136"/>
      <c r="KT2" s="136"/>
      <c r="KU2" s="136"/>
      <c r="KV2" s="113" t="s">
        <v>81</v>
      </c>
      <c r="KW2" s="12" t="s">
        <v>25</v>
      </c>
      <c r="KX2" s="12" t="s">
        <v>26</v>
      </c>
      <c r="KY2" s="12" t="s">
        <v>28</v>
      </c>
      <c r="KZ2" s="12" t="s">
        <v>92</v>
      </c>
      <c r="LA2" s="12" t="s">
        <v>27</v>
      </c>
      <c r="LB2" s="12" t="s">
        <v>22</v>
      </c>
      <c r="LC2" s="137" t="s">
        <v>23</v>
      </c>
      <c r="LD2" s="137"/>
      <c r="LE2" s="137"/>
      <c r="LF2" s="137"/>
      <c r="LG2" s="137"/>
      <c r="LH2" s="137" t="s">
        <v>24</v>
      </c>
      <c r="LI2" s="137"/>
      <c r="LJ2" s="137"/>
      <c r="LK2" s="137"/>
      <c r="LL2" s="137"/>
      <c r="LM2" s="137" t="s">
        <v>27</v>
      </c>
      <c r="LN2" s="137"/>
      <c r="LO2" s="137"/>
      <c r="LP2" s="137"/>
      <c r="LQ2" s="137"/>
      <c r="LR2" s="112" t="s">
        <v>81</v>
      </c>
      <c r="LS2" s="9" t="s">
        <v>25</v>
      </c>
      <c r="LT2" s="9" t="s">
        <v>26</v>
      </c>
      <c r="LU2" s="9" t="s">
        <v>28</v>
      </c>
      <c r="LV2" s="9" t="s">
        <v>92</v>
      </c>
      <c r="LW2" s="9" t="s">
        <v>27</v>
      </c>
      <c r="LX2" s="9" t="s">
        <v>22</v>
      </c>
      <c r="LY2" s="136" t="s">
        <v>23</v>
      </c>
      <c r="LZ2" s="136"/>
      <c r="MA2" s="136"/>
      <c r="MB2" s="136"/>
      <c r="MC2" s="136"/>
      <c r="MD2" s="136" t="s">
        <v>24</v>
      </c>
      <c r="ME2" s="136"/>
      <c r="MF2" s="136"/>
      <c r="MG2" s="136"/>
      <c r="MH2" s="136"/>
      <c r="MI2" s="136" t="s">
        <v>27</v>
      </c>
      <c r="MJ2" s="136"/>
      <c r="MK2" s="136"/>
      <c r="ML2" s="136"/>
      <c r="MM2" s="136"/>
      <c r="MN2" s="113" t="s">
        <v>81</v>
      </c>
      <c r="MO2" s="12" t="s">
        <v>25</v>
      </c>
      <c r="MP2" s="12" t="s">
        <v>26</v>
      </c>
      <c r="MQ2" s="12" t="s">
        <v>28</v>
      </c>
      <c r="MR2" s="12" t="s">
        <v>92</v>
      </c>
      <c r="MS2" s="12" t="s">
        <v>27</v>
      </c>
      <c r="MT2" s="12" t="s">
        <v>22</v>
      </c>
      <c r="MU2" s="137" t="s">
        <v>23</v>
      </c>
      <c r="MV2" s="137"/>
      <c r="MW2" s="137"/>
      <c r="MX2" s="137"/>
      <c r="MY2" s="137"/>
      <c r="MZ2" s="137" t="s">
        <v>24</v>
      </c>
      <c r="NA2" s="137"/>
      <c r="NB2" s="137"/>
      <c r="NC2" s="137"/>
      <c r="ND2" s="137"/>
      <c r="NE2" s="137" t="s">
        <v>27</v>
      </c>
      <c r="NF2" s="137"/>
      <c r="NG2" s="137"/>
      <c r="NH2" s="137"/>
      <c r="NI2" s="137"/>
      <c r="NJ2" s="112"/>
      <c r="NK2" s="112" t="s">
        <v>81</v>
      </c>
      <c r="NL2" s="9" t="s">
        <v>25</v>
      </c>
      <c r="NM2" s="9" t="s">
        <v>26</v>
      </c>
      <c r="NN2" s="9" t="s">
        <v>28</v>
      </c>
      <c r="NO2" s="9" t="s">
        <v>92</v>
      </c>
      <c r="NP2" s="9" t="s">
        <v>27</v>
      </c>
      <c r="NQ2" s="9" t="s">
        <v>22</v>
      </c>
    </row>
    <row r="3" spans="1:381" x14ac:dyDescent="0.2">
      <c r="A3" s="141"/>
      <c r="B3" s="141"/>
      <c r="C3" s="141"/>
      <c r="D3" s="141"/>
      <c r="E3" s="141"/>
      <c r="F3" s="141"/>
      <c r="G3" s="141"/>
      <c r="H3" s="141"/>
      <c r="I3" s="141"/>
      <c r="J3" s="141"/>
      <c r="K3" s="142"/>
      <c r="L3" s="142"/>
      <c r="M3" s="142"/>
      <c r="N3" s="142"/>
      <c r="O3" s="142"/>
      <c r="P3" s="142"/>
      <c r="Q3" s="142"/>
      <c r="R3" s="142"/>
      <c r="S3" s="143"/>
      <c r="T3" s="142"/>
      <c r="U3" s="142"/>
      <c r="V3" s="112" t="s">
        <v>19</v>
      </c>
      <c r="W3" s="112" t="s">
        <v>20</v>
      </c>
      <c r="X3" s="112" t="s">
        <v>11</v>
      </c>
      <c r="Y3" s="112" t="s">
        <v>48</v>
      </c>
      <c r="Z3" s="112" t="s">
        <v>40</v>
      </c>
      <c r="AA3" s="112" t="s">
        <v>19</v>
      </c>
      <c r="AB3" s="112" t="s">
        <v>20</v>
      </c>
      <c r="AC3" s="112" t="s">
        <v>11</v>
      </c>
      <c r="AD3" s="112" t="s">
        <v>48</v>
      </c>
      <c r="AE3" s="112" t="s">
        <v>40</v>
      </c>
      <c r="AF3" s="112" t="s">
        <v>19</v>
      </c>
      <c r="AG3" s="112" t="s">
        <v>20</v>
      </c>
      <c r="AH3" s="112" t="s">
        <v>11</v>
      </c>
      <c r="AI3" s="112" t="s">
        <v>48</v>
      </c>
      <c r="AJ3" s="112" t="s">
        <v>40</v>
      </c>
      <c r="AK3" s="112" t="s">
        <v>73</v>
      </c>
      <c r="AL3" s="10"/>
      <c r="AM3" s="9"/>
      <c r="AN3" s="9"/>
      <c r="AO3" s="9"/>
      <c r="AP3" s="9"/>
      <c r="AQ3" s="10"/>
      <c r="AR3" s="10"/>
      <c r="AS3" s="113" t="s">
        <v>19</v>
      </c>
      <c r="AT3" s="113" t="s">
        <v>20</v>
      </c>
      <c r="AU3" s="113" t="s">
        <v>11</v>
      </c>
      <c r="AV3" s="113" t="s">
        <v>48</v>
      </c>
      <c r="AW3" s="113" t="s">
        <v>40</v>
      </c>
      <c r="AX3" s="113" t="s">
        <v>19</v>
      </c>
      <c r="AY3" s="113" t="s">
        <v>20</v>
      </c>
      <c r="AZ3" s="113" t="s">
        <v>11</v>
      </c>
      <c r="BA3" s="113" t="s">
        <v>48</v>
      </c>
      <c r="BB3" s="113" t="s">
        <v>40</v>
      </c>
      <c r="BC3" s="113" t="s">
        <v>19</v>
      </c>
      <c r="BD3" s="113" t="s">
        <v>20</v>
      </c>
      <c r="BE3" s="113" t="s">
        <v>11</v>
      </c>
      <c r="BF3" s="113" t="s">
        <v>48</v>
      </c>
      <c r="BG3" s="113" t="s">
        <v>40</v>
      </c>
      <c r="BH3" s="113" t="s">
        <v>73</v>
      </c>
      <c r="BI3" s="13"/>
      <c r="BJ3" s="12"/>
      <c r="BK3" s="12"/>
      <c r="BL3" s="12"/>
      <c r="BM3" s="12"/>
      <c r="BN3" s="13"/>
      <c r="BO3" s="13"/>
      <c r="BP3" s="112" t="s">
        <v>19</v>
      </c>
      <c r="BQ3" s="112" t="s">
        <v>20</v>
      </c>
      <c r="BR3" s="112" t="s">
        <v>11</v>
      </c>
      <c r="BS3" s="112" t="s">
        <v>48</v>
      </c>
      <c r="BT3" s="112" t="s">
        <v>40</v>
      </c>
      <c r="BU3" s="112" t="s">
        <v>19</v>
      </c>
      <c r="BV3" s="112" t="s">
        <v>20</v>
      </c>
      <c r="BW3" s="112" t="s">
        <v>11</v>
      </c>
      <c r="BX3" s="112" t="s">
        <v>48</v>
      </c>
      <c r="BY3" s="112" t="s">
        <v>40</v>
      </c>
      <c r="BZ3" s="112" t="s">
        <v>19</v>
      </c>
      <c r="CA3" s="112" t="s">
        <v>20</v>
      </c>
      <c r="CB3" s="112" t="s">
        <v>11</v>
      </c>
      <c r="CC3" s="112" t="s">
        <v>48</v>
      </c>
      <c r="CD3" s="112" t="s">
        <v>40</v>
      </c>
      <c r="CE3" s="112" t="s">
        <v>73</v>
      </c>
      <c r="CF3" s="10"/>
      <c r="CG3" s="9"/>
      <c r="CH3" s="9"/>
      <c r="CI3" s="9"/>
      <c r="CJ3" s="9"/>
      <c r="CK3" s="10"/>
      <c r="CL3" s="10"/>
      <c r="CM3" s="23"/>
      <c r="CN3" s="23"/>
      <c r="CO3" s="23"/>
      <c r="CP3" s="23"/>
      <c r="CQ3" s="112" t="s">
        <v>19</v>
      </c>
      <c r="CR3" s="112" t="s">
        <v>20</v>
      </c>
      <c r="CS3" s="112" t="s">
        <v>11</v>
      </c>
      <c r="CT3" s="48" t="s">
        <v>48</v>
      </c>
      <c r="CU3" s="48" t="s">
        <v>40</v>
      </c>
      <c r="CV3" s="112" t="s">
        <v>19</v>
      </c>
      <c r="CW3" s="112" t="s">
        <v>20</v>
      </c>
      <c r="CX3" s="112" t="s">
        <v>11</v>
      </c>
      <c r="CY3" s="48" t="s">
        <v>48</v>
      </c>
      <c r="CZ3" s="48" t="s">
        <v>40</v>
      </c>
      <c r="DA3" s="112" t="s">
        <v>19</v>
      </c>
      <c r="DB3" s="112" t="s">
        <v>20</v>
      </c>
      <c r="DC3" s="112" t="s">
        <v>11</v>
      </c>
      <c r="DD3" s="48" t="s">
        <v>48</v>
      </c>
      <c r="DE3" s="48" t="s">
        <v>40</v>
      </c>
      <c r="DF3" s="10"/>
      <c r="DG3" s="9"/>
      <c r="DH3" s="9"/>
      <c r="DI3" s="9"/>
      <c r="DJ3" s="9"/>
      <c r="DK3" s="10"/>
      <c r="DL3" s="10"/>
      <c r="DM3" s="113" t="s">
        <v>19</v>
      </c>
      <c r="DN3" s="113" t="s">
        <v>20</v>
      </c>
      <c r="DO3" s="113" t="s">
        <v>11</v>
      </c>
      <c r="DP3" s="115" t="s">
        <v>48</v>
      </c>
      <c r="DQ3" s="115" t="s">
        <v>40</v>
      </c>
      <c r="DR3" s="113" t="s">
        <v>19</v>
      </c>
      <c r="DS3" s="113" t="s">
        <v>20</v>
      </c>
      <c r="DT3" s="113" t="s">
        <v>11</v>
      </c>
      <c r="DU3" s="115" t="s">
        <v>48</v>
      </c>
      <c r="DV3" s="115" t="s">
        <v>40</v>
      </c>
      <c r="DW3" s="113" t="s">
        <v>19</v>
      </c>
      <c r="DX3" s="113" t="s">
        <v>20</v>
      </c>
      <c r="DY3" s="113" t="s">
        <v>11</v>
      </c>
      <c r="DZ3" s="115" t="s">
        <v>48</v>
      </c>
      <c r="EA3" s="115" t="s">
        <v>40</v>
      </c>
      <c r="EB3" s="13"/>
      <c r="EC3" s="12"/>
      <c r="ED3" s="12"/>
      <c r="EE3" s="12"/>
      <c r="EF3" s="12"/>
      <c r="EG3" s="13"/>
      <c r="EH3" s="13"/>
      <c r="EI3" s="112" t="s">
        <v>19</v>
      </c>
      <c r="EJ3" s="112" t="s">
        <v>20</v>
      </c>
      <c r="EK3" s="112" t="s">
        <v>11</v>
      </c>
      <c r="EL3" s="114" t="s">
        <v>48</v>
      </c>
      <c r="EM3" s="114" t="s">
        <v>40</v>
      </c>
      <c r="EN3" s="112" t="s">
        <v>19</v>
      </c>
      <c r="EO3" s="112" t="s">
        <v>20</v>
      </c>
      <c r="EP3" s="112" t="s">
        <v>11</v>
      </c>
      <c r="EQ3" s="114" t="s">
        <v>48</v>
      </c>
      <c r="ER3" s="114" t="s">
        <v>40</v>
      </c>
      <c r="ES3" s="112" t="s">
        <v>19</v>
      </c>
      <c r="ET3" s="112" t="s">
        <v>20</v>
      </c>
      <c r="EU3" s="112" t="s">
        <v>11</v>
      </c>
      <c r="EV3" s="114" t="s">
        <v>48</v>
      </c>
      <c r="EW3" s="114" t="s">
        <v>40</v>
      </c>
      <c r="EX3" s="10"/>
      <c r="EY3" s="9"/>
      <c r="EZ3" s="9"/>
      <c r="FA3" s="9"/>
      <c r="FB3" s="9"/>
      <c r="FC3" s="10"/>
      <c r="FD3" s="10"/>
      <c r="FE3" s="113" t="s">
        <v>19</v>
      </c>
      <c r="FF3" s="113" t="s">
        <v>20</v>
      </c>
      <c r="FG3" s="113" t="s">
        <v>11</v>
      </c>
      <c r="FH3" s="115" t="s">
        <v>48</v>
      </c>
      <c r="FI3" s="115" t="s">
        <v>40</v>
      </c>
      <c r="FJ3" s="113" t="s">
        <v>19</v>
      </c>
      <c r="FK3" s="113" t="s">
        <v>20</v>
      </c>
      <c r="FL3" s="113" t="s">
        <v>11</v>
      </c>
      <c r="FM3" s="115" t="s">
        <v>48</v>
      </c>
      <c r="FN3" s="115" t="s">
        <v>40</v>
      </c>
      <c r="FO3" s="113" t="s">
        <v>19</v>
      </c>
      <c r="FP3" s="113" t="s">
        <v>20</v>
      </c>
      <c r="FQ3" s="113" t="s">
        <v>11</v>
      </c>
      <c r="FR3" s="115" t="s">
        <v>48</v>
      </c>
      <c r="FS3" s="115" t="s">
        <v>40</v>
      </c>
      <c r="FT3" s="13"/>
      <c r="FU3" s="12"/>
      <c r="FV3" s="12"/>
      <c r="FW3" s="12"/>
      <c r="FX3" s="12"/>
      <c r="FY3" s="13"/>
      <c r="FZ3" s="13"/>
      <c r="GA3" s="112" t="s">
        <v>19</v>
      </c>
      <c r="GB3" s="112" t="s">
        <v>20</v>
      </c>
      <c r="GC3" s="112" t="s">
        <v>11</v>
      </c>
      <c r="GD3" s="114" t="s">
        <v>48</v>
      </c>
      <c r="GE3" s="114" t="s">
        <v>40</v>
      </c>
      <c r="GF3" s="112" t="s">
        <v>19</v>
      </c>
      <c r="GG3" s="112" t="s">
        <v>20</v>
      </c>
      <c r="GH3" s="112" t="s">
        <v>11</v>
      </c>
      <c r="GI3" s="114" t="s">
        <v>48</v>
      </c>
      <c r="GJ3" s="114" t="s">
        <v>40</v>
      </c>
      <c r="GK3" s="112" t="s">
        <v>19</v>
      </c>
      <c r="GL3" s="112" t="s">
        <v>20</v>
      </c>
      <c r="GM3" s="112" t="s">
        <v>11</v>
      </c>
      <c r="GN3" s="114" t="s">
        <v>48</v>
      </c>
      <c r="GO3" s="114" t="s">
        <v>40</v>
      </c>
      <c r="GP3" s="10"/>
      <c r="GQ3" s="9"/>
      <c r="GR3" s="9"/>
      <c r="GS3" s="9"/>
      <c r="GT3" s="9"/>
      <c r="GU3" s="10"/>
      <c r="GV3" s="10"/>
      <c r="GW3" s="113" t="s">
        <v>19</v>
      </c>
      <c r="GX3" s="113" t="s">
        <v>20</v>
      </c>
      <c r="GY3" s="113" t="s">
        <v>11</v>
      </c>
      <c r="GZ3" s="115" t="s">
        <v>48</v>
      </c>
      <c r="HA3" s="115" t="s">
        <v>40</v>
      </c>
      <c r="HB3" s="113" t="s">
        <v>19</v>
      </c>
      <c r="HC3" s="113" t="s">
        <v>20</v>
      </c>
      <c r="HD3" s="113" t="s">
        <v>11</v>
      </c>
      <c r="HE3" s="115" t="s">
        <v>48</v>
      </c>
      <c r="HF3" s="115" t="s">
        <v>40</v>
      </c>
      <c r="HG3" s="113" t="s">
        <v>19</v>
      </c>
      <c r="HH3" s="113" t="s">
        <v>20</v>
      </c>
      <c r="HI3" s="113" t="s">
        <v>11</v>
      </c>
      <c r="HJ3" s="115" t="s">
        <v>48</v>
      </c>
      <c r="HK3" s="115" t="s">
        <v>40</v>
      </c>
      <c r="HL3" s="13"/>
      <c r="HM3" s="12"/>
      <c r="HN3" s="12"/>
      <c r="HO3" s="12"/>
      <c r="HP3" s="12"/>
      <c r="HQ3" s="13"/>
      <c r="HR3" s="13"/>
      <c r="HS3" s="112" t="s">
        <v>19</v>
      </c>
      <c r="HT3" s="112" t="s">
        <v>20</v>
      </c>
      <c r="HU3" s="112" t="s">
        <v>11</v>
      </c>
      <c r="HV3" s="114" t="s">
        <v>48</v>
      </c>
      <c r="HW3" s="114" t="s">
        <v>40</v>
      </c>
      <c r="HX3" s="112" t="s">
        <v>19</v>
      </c>
      <c r="HY3" s="112" t="s">
        <v>20</v>
      </c>
      <c r="HZ3" s="112" t="s">
        <v>11</v>
      </c>
      <c r="IA3" s="114" t="s">
        <v>48</v>
      </c>
      <c r="IB3" s="114" t="s">
        <v>40</v>
      </c>
      <c r="IC3" s="112" t="s">
        <v>19</v>
      </c>
      <c r="ID3" s="112" t="s">
        <v>20</v>
      </c>
      <c r="IE3" s="112" t="s">
        <v>11</v>
      </c>
      <c r="IF3" s="114" t="s">
        <v>48</v>
      </c>
      <c r="IG3" s="114" t="s">
        <v>40</v>
      </c>
      <c r="IH3" s="10"/>
      <c r="II3" s="9"/>
      <c r="IJ3" s="9"/>
      <c r="IK3" s="9"/>
      <c r="IL3" s="9"/>
      <c r="IM3" s="10"/>
      <c r="IN3" s="10"/>
      <c r="IO3" s="113" t="s">
        <v>19</v>
      </c>
      <c r="IP3" s="113" t="s">
        <v>20</v>
      </c>
      <c r="IQ3" s="113" t="s">
        <v>11</v>
      </c>
      <c r="IR3" s="115" t="s">
        <v>48</v>
      </c>
      <c r="IS3" s="115" t="s">
        <v>40</v>
      </c>
      <c r="IT3" s="113" t="s">
        <v>19</v>
      </c>
      <c r="IU3" s="113" t="s">
        <v>20</v>
      </c>
      <c r="IV3" s="113" t="s">
        <v>11</v>
      </c>
      <c r="IW3" s="115" t="s">
        <v>48</v>
      </c>
      <c r="IX3" s="115" t="s">
        <v>40</v>
      </c>
      <c r="IY3" s="113" t="s">
        <v>19</v>
      </c>
      <c r="IZ3" s="113" t="s">
        <v>20</v>
      </c>
      <c r="JA3" s="113" t="s">
        <v>11</v>
      </c>
      <c r="JB3" s="115" t="s">
        <v>48</v>
      </c>
      <c r="JC3" s="115" t="s">
        <v>40</v>
      </c>
      <c r="JD3" s="13"/>
      <c r="JE3" s="12"/>
      <c r="JF3" s="12"/>
      <c r="JG3" s="12"/>
      <c r="JH3" s="12"/>
      <c r="JI3" s="13"/>
      <c r="JJ3" s="13"/>
      <c r="JK3" s="112" t="s">
        <v>19</v>
      </c>
      <c r="JL3" s="112" t="s">
        <v>20</v>
      </c>
      <c r="JM3" s="112" t="s">
        <v>11</v>
      </c>
      <c r="JN3" s="114" t="s">
        <v>48</v>
      </c>
      <c r="JO3" s="114" t="s">
        <v>40</v>
      </c>
      <c r="JP3" s="112" t="s">
        <v>19</v>
      </c>
      <c r="JQ3" s="112" t="s">
        <v>20</v>
      </c>
      <c r="JR3" s="112" t="s">
        <v>11</v>
      </c>
      <c r="JS3" s="114" t="s">
        <v>48</v>
      </c>
      <c r="JT3" s="114" t="s">
        <v>40</v>
      </c>
      <c r="JU3" s="112" t="s">
        <v>19</v>
      </c>
      <c r="JV3" s="112" t="s">
        <v>20</v>
      </c>
      <c r="JW3" s="112" t="s">
        <v>11</v>
      </c>
      <c r="JX3" s="114" t="s">
        <v>48</v>
      </c>
      <c r="JY3" s="114" t="s">
        <v>40</v>
      </c>
      <c r="JZ3" s="10"/>
      <c r="KA3" s="9"/>
      <c r="KB3" s="9"/>
      <c r="KC3" s="9"/>
      <c r="KD3" s="9"/>
      <c r="KE3" s="10"/>
      <c r="KF3" s="10"/>
      <c r="KG3" s="113" t="s">
        <v>19</v>
      </c>
      <c r="KH3" s="113" t="s">
        <v>20</v>
      </c>
      <c r="KI3" s="113" t="s">
        <v>11</v>
      </c>
      <c r="KJ3" s="115" t="s">
        <v>48</v>
      </c>
      <c r="KK3" s="115" t="s">
        <v>40</v>
      </c>
      <c r="KL3" s="113" t="s">
        <v>19</v>
      </c>
      <c r="KM3" s="113" t="s">
        <v>20</v>
      </c>
      <c r="KN3" s="113" t="s">
        <v>11</v>
      </c>
      <c r="KO3" s="115" t="s">
        <v>48</v>
      </c>
      <c r="KP3" s="115" t="s">
        <v>40</v>
      </c>
      <c r="KQ3" s="113" t="s">
        <v>19</v>
      </c>
      <c r="KR3" s="113" t="s">
        <v>20</v>
      </c>
      <c r="KS3" s="113" t="s">
        <v>11</v>
      </c>
      <c r="KT3" s="115" t="s">
        <v>48</v>
      </c>
      <c r="KU3" s="115" t="s">
        <v>40</v>
      </c>
      <c r="KV3" s="13"/>
      <c r="KW3" s="12"/>
      <c r="KX3" s="12"/>
      <c r="KY3" s="12"/>
      <c r="KZ3" s="12"/>
      <c r="LA3" s="13"/>
      <c r="LB3" s="13"/>
      <c r="LC3" s="112" t="s">
        <v>19</v>
      </c>
      <c r="LD3" s="112" t="s">
        <v>20</v>
      </c>
      <c r="LE3" s="112" t="s">
        <v>11</v>
      </c>
      <c r="LF3" s="114" t="s">
        <v>48</v>
      </c>
      <c r="LG3" s="114" t="s">
        <v>40</v>
      </c>
      <c r="LH3" s="112" t="s">
        <v>19</v>
      </c>
      <c r="LI3" s="112" t="s">
        <v>20</v>
      </c>
      <c r="LJ3" s="112" t="s">
        <v>11</v>
      </c>
      <c r="LK3" s="114" t="s">
        <v>48</v>
      </c>
      <c r="LL3" s="114" t="s">
        <v>40</v>
      </c>
      <c r="LM3" s="112" t="s">
        <v>19</v>
      </c>
      <c r="LN3" s="112" t="s">
        <v>20</v>
      </c>
      <c r="LO3" s="112" t="s">
        <v>11</v>
      </c>
      <c r="LP3" s="114" t="s">
        <v>48</v>
      </c>
      <c r="LQ3" s="114" t="s">
        <v>40</v>
      </c>
      <c r="LR3" s="10"/>
      <c r="LS3" s="9"/>
      <c r="LT3" s="9"/>
      <c r="LU3" s="9"/>
      <c r="LV3" s="9"/>
      <c r="LW3" s="10"/>
      <c r="LX3" s="10"/>
      <c r="LY3" s="113" t="s">
        <v>19</v>
      </c>
      <c r="LZ3" s="113" t="s">
        <v>20</v>
      </c>
      <c r="MA3" s="113" t="s">
        <v>11</v>
      </c>
      <c r="MB3" s="115" t="s">
        <v>48</v>
      </c>
      <c r="MC3" s="115" t="s">
        <v>40</v>
      </c>
      <c r="MD3" s="113" t="s">
        <v>19</v>
      </c>
      <c r="ME3" s="113" t="s">
        <v>20</v>
      </c>
      <c r="MF3" s="113" t="s">
        <v>11</v>
      </c>
      <c r="MG3" s="115" t="s">
        <v>48</v>
      </c>
      <c r="MH3" s="115" t="s">
        <v>40</v>
      </c>
      <c r="MI3" s="113" t="s">
        <v>19</v>
      </c>
      <c r="MJ3" s="113" t="s">
        <v>20</v>
      </c>
      <c r="MK3" s="113" t="s">
        <v>11</v>
      </c>
      <c r="ML3" s="115" t="s">
        <v>48</v>
      </c>
      <c r="MM3" s="115" t="s">
        <v>40</v>
      </c>
      <c r="MN3" s="13"/>
      <c r="MO3" s="12"/>
      <c r="MP3" s="12"/>
      <c r="MQ3" s="12"/>
      <c r="MR3" s="12"/>
      <c r="MS3" s="13"/>
      <c r="MT3" s="13"/>
      <c r="MU3" s="112" t="s">
        <v>19</v>
      </c>
      <c r="MV3" s="112" t="s">
        <v>20</v>
      </c>
      <c r="MW3" s="112" t="s">
        <v>11</v>
      </c>
      <c r="MX3" s="112" t="s">
        <v>21</v>
      </c>
      <c r="MY3" s="112" t="s">
        <v>40</v>
      </c>
      <c r="MZ3" s="112" t="s">
        <v>19</v>
      </c>
      <c r="NA3" s="112" t="s">
        <v>20</v>
      </c>
      <c r="NB3" s="112" t="s">
        <v>11</v>
      </c>
      <c r="NC3" s="112" t="s">
        <v>21</v>
      </c>
      <c r="ND3" s="112" t="s">
        <v>40</v>
      </c>
      <c r="NE3" s="112" t="s">
        <v>19</v>
      </c>
      <c r="NF3" s="112" t="s">
        <v>20</v>
      </c>
      <c r="NG3" s="112" t="s">
        <v>11</v>
      </c>
      <c r="NH3" s="112" t="s">
        <v>21</v>
      </c>
      <c r="NI3" s="112" t="s">
        <v>40</v>
      </c>
      <c r="NJ3" s="112" t="s">
        <v>73</v>
      </c>
      <c r="NK3" s="10"/>
      <c r="NL3" s="9"/>
      <c r="NM3" s="9"/>
      <c r="NN3" s="9"/>
      <c r="NO3" s="9"/>
      <c r="NP3" s="10"/>
      <c r="NQ3" s="10"/>
    </row>
    <row r="4" spans="1:381" x14ac:dyDescent="0.2">
      <c r="A4" s="5" t="str" cm="1">
        <f t="array" ref="A4">IF(AND(G4&lt;&gt;"",H4&lt;&gt;""),SUMPRODUCT((G$4:G$5&lt;&gt;"")*(H$4:H$5&lt;&gt;"")*(E$4:E$5&gt;E4))+1,IF(H4&lt;&gt;"",SUMPRODUCT((I$4:I$5="No DD")*(E$4:E$5&gt;E4))+1+SUMPRODUCT((G$4:G$5&lt;&gt;"")*(H$4:H$5&lt;&gt;"")),""))</f>
        <v/>
      </c>
      <c r="B4" s="127" t="s">
        <v>140</v>
      </c>
      <c r="C4" s="5"/>
      <c r="D4" s="5"/>
      <c r="E4" s="15">
        <f>SUM(K4:S4)</f>
        <v>0</v>
      </c>
      <c r="F4" s="3" t="str">
        <f>IF(G4&lt;&gt;"","P","")</f>
        <v/>
      </c>
      <c r="G4" s="125" t="str">
        <f>IF(OR(AND(AL4&gt;=AR$10,AL4&lt;&gt;"",AK4=""),AND(AP4&gt;=AR$10,AP4&lt;&gt;"",AK4=""),AND(BI4&gt;=BO$10,BI4&lt;&gt;"",BH4=""),AND(BM4&gt;=BO$10,BM4&lt;&gt;"",BH4=""),AND(CF4&gt;=CL$10,CF4&lt;&gt;"",CE4=""),AND(CJ4&gt;=CL$10,CJ4&lt;&gt;"",CE4=""),AND(DF4&gt;=DL$10,DF4&lt;&gt;""),AND(DJ4&gt;=DL$10,DJ4&lt;&gt;""),AND(EB4&gt;=EH$10,EB4&lt;&gt;""),AND(EF4&gt;=EH$10,EF4&lt;&gt;""),AND(EX4&gt;=FD$10,EX4&lt;&gt;""),AND(FB4&gt;=FD$10,FB4&lt;&gt;""),AND(FT4&gt;=FZ$10,FT4&lt;&gt;""),AND(FX4&gt;=FZ$10,FX4&lt;&gt;""),AND(GP4&gt;=GV$10,GP4&lt;&gt;""),AND(GT4&gt;=GV$10,GT4&lt;&gt;""),AND(HL4&gt;=HR$10,HL4&lt;&gt;""),AND(HP4&gt;=HR$10,HP4&lt;&gt;""),AND(IH4&gt;=IN$10,IH4&lt;&gt;""),AND(IL4&gt;=IN$10,IL4&lt;&gt;""),AND(JD4&gt;=JJ$10,JD4&lt;&gt;""),AND(JH4&gt;=JJ$10,JH4&lt;&gt;""),AND(JZ4&gt;=KF$10,JZ4&lt;&gt;""),AND(KD4&gt;=KF$10,KD4&lt;&gt;""),AND(KV4&gt;=LB$10,KV4&lt;&gt;""),AND(KZ4&gt;=LB$10,KZ4&lt;&gt;""),AND(LR4&gt;=LX$10,LR4&lt;&gt;""),AND(LV4&gt;=LX$10,LV4&lt;&gt;""),AND(MN4&gt;=MT$10,MN4&lt;&gt;""),AND(MR4&gt;=MT$10,MR4&lt;&gt;"")),"Merit",IF(OR(AND(AL4&gt;=AR$9,AL4&lt;&gt;"",AK4=""),AND(AP4&gt;=AR$9,AP4&lt;&gt;"",AK4=""),AND(BI4&gt;=BO$9,BI4&lt;&gt;"",BH4=""),AND(BM4&gt;=BO$9,BM4&lt;&gt;"",BH4=""),AND(CF4&gt;=CL$9,CF4&lt;&gt;"",CE4=""),AND(CJ4&gt;=CL$9,CJ4&lt;&gt;"",CE4=""),AND(DF4&gt;=DL$9,DF4&lt;&gt;""),AND(DJ4&gt;=DL$9,DJ4&lt;&gt;""),AND(EB4&gt;=EH$9,EB4&lt;&gt;""),AND(EF4&gt;=EH$9,EF4&lt;&gt;""),AND(EX4&gt;=FD$9,EX4&lt;&gt;""),AND(FB4&gt;=FD$9,FB4&lt;&gt;""),AND(FT4&gt;=FZ$9,FT4&lt;&gt;""),AND(FX4&gt;=FZ$9,FX4&lt;&gt;""),AND(GP4&gt;=GV$9,GP4&lt;&gt;""),AND(GT4&gt;=GV$9,GT4&lt;&gt;""),AND(HL4&gt;=HR$9,HL4&lt;&gt;""),AND(HP4&gt;=HR$9,HP4&lt;&gt;""),AND(IH4&gt;=IN$9,IH4&lt;&gt;""),AND(IL4&gt;=IN$9,IL4&lt;&gt;""),AND(JD4&gt;=JJ$9,JD4&lt;&gt;""),AND(JH4&gt;=JJ$9,JH4&lt;&gt;""),AND(JZ4&gt;=KF$9,JZ4&lt;&gt;""),AND(KD4&gt;=KF$9,KD4&lt;&gt;""),AND(KV4&gt;=LB$9,KV4&lt;&gt;""),AND(KZ4&gt;=LB$9,KZ4&lt;&gt;""),AND(LR4&gt;=LX$9,LR4&lt;&gt;""),AND(LV4&gt;=LX$9,LV4&lt;&gt;""),AND(MN4&gt;=MT$9,MN4&lt;&gt;""),AND(MR4&gt;=MT$9,MR4&lt;&gt;"")),"Excellence",IF(OR(AND(AL4&gt;=AR$8,AL4&lt;&gt;"",AK4=""),AND(AP4&gt;=AR$8,AP4&lt;&gt;"",AK4=""),AND(BI4&gt;=BO$8,BI4&lt;&gt;"",BH4=""),AND(BM4&gt;=BO$8,BM4&lt;&gt;"",BH4=""),AND(CF4&gt;=CL$8,CF4&lt;&gt;"",CE4=""),AND(CJ4&gt;=CL$8,CJ4&lt;&gt;"",CE4=""),AND(DF4&gt;=DL$8,DF4&lt;&gt;""),AND(DJ4&gt;=DL$8,DJ4&lt;&gt;""),AND(EB4&gt;=EH$8,EB4&lt;&gt;""),AND(EF4&gt;=EH$8,EF4&lt;&gt;""),AND(EX4&gt;=FD$8,EX4&lt;&gt;""),AND(FB4&gt;=FD$8,FB4&lt;&gt;""),AND(FT4&gt;=FZ$8,FT4&lt;&gt;""),AND(FX4&gt;=FZ$8,FX4&lt;&gt;""),AND(GP4&gt;=GV$8,GP4&lt;&gt;""),AND(GT4&gt;=GV$8,GT4&lt;&gt;""),AND(HL4&gt;=HR$8,HL4&lt;&gt;""),AND(HP4&gt;=HR$8,HP4&lt;&gt;""),AND(IH4&gt;=IN$8,IH4&lt;&gt;""),AND(IL4&gt;=IN$8,IL4&lt;&gt;""),AND(JD4&gt;=JJ$8,JD4&lt;&gt;""),AND(JH4&gt;=JJ$8,JH4&lt;&gt;""),AND(JZ4&gt;=KF$8,JZ4&lt;&gt;""),AND(KD4&gt;=KF$8,KD4&lt;&gt;""),AND(KV4&gt;=LB$8,KV4&lt;&gt;""),AND(KZ4&gt;=LB$8,KZ4&lt;&gt;""),AND(LR4&gt;=LX$8,LR4&lt;&gt;""),AND(LV4&gt;=LX$8,LV4&lt;&gt;""),AND(MN4&gt;=MT$8,MN4&lt;&gt;""),AND(MR4&gt;=MT$8,MR4&lt;&gt;"")),"Worlds Team",IF(OR(AND(AL4&gt;=AR$7,AL4&lt;&gt;"",AK4=""),AND(AP4&gt;=AR$7,AP4&lt;&gt;"",AK4=""),AND(BI4&gt;=BO$7,BI4&lt;&gt;"",BH4=""),AND(BM4&gt;=BO$7,BM4&lt;&gt;"",BH4=""),AND(CF4&gt;=CL$7,CF4&lt;&gt;"",CE4=""),AND(CJ4&gt;=CL$7,CJ4&lt;&gt;"",CE4=""),AND(DF4&gt;=DL$7,DF4&lt;&gt;""),AND(DJ4&gt;=DL$7,DJ4&lt;&gt;""),AND(EB4&gt;=EH$7,EB4&lt;&gt;""),AND(EF4&gt;=EH$7,EF4&lt;&gt;""),AND(EX4&gt;=FD$7,EX4&lt;&gt;""),AND(FB4&gt;=FD$7,FB4&lt;&gt;""),AND(FT4&gt;=FZ$7,FT4&lt;&gt;""),AND(FX4&gt;=FZ$7,FX4&lt;&gt;""),AND(GP4&gt;=GV$7,GP4&lt;&gt;""),AND(GT4&gt;=GV$7,GT4&lt;&gt;""),AND(HL4&gt;=HR$7,HL4&lt;&gt;""),AND(HP4&gt;=HR$7,HP4&lt;&gt;""),AND(IH4&gt;=IN$7,IH4&lt;&gt;""),AND(IL4&gt;=IN$7,IL4&lt;&gt;""),AND(JD4&gt;=JJ$7,JD4&lt;&gt;""),AND(JH4&gt;=JJ$7,JH4&lt;&gt;""),AND(JZ4&gt;=KF$7,JZ4&lt;&gt;""),AND(KD4&gt;=KF$7,KD4&lt;&gt;""),AND(KV4&gt;=LB$7,KV4&lt;&gt;""),AND(KZ4&gt;=LB$7,KZ4&lt;&gt;""),AND(LR4&gt;=LX$7,LR4&lt;&gt;""),AND(LV4&gt;=LX$7,LV4&lt;&gt;""),AND(MN4&gt;=MT$7,MN4&lt;&gt;""),AND(MR4&gt;=MT$7,MR4&lt;&gt;"")),"National Team",""))))</f>
        <v/>
      </c>
      <c r="H4" s="125" t="str">
        <f>IF(OR(AND(AN4&gt;=AR$14,AN4&lt;&gt;"",AK4=""),AND(AQ4&gt;=AR$14,AQ4&lt;&gt;"",AK4=""),AND(BK4&gt;=BO$14,BK4&lt;&gt;"",BH4=""),AND(BN4&gt;=BO$14,BN4&lt;&gt;"",BH4=""),AND(CH4&gt;=CL$14,CH4&lt;&gt;"",CE4=""),AND(CK4&gt;=CL$14,CE4&lt;&gt;"",CE4=""),AND(DH4&gt;=DL$14,DH4&lt;&gt;""),AND(DK4&gt;=DL$14,DK4&lt;&gt;""),AND(ED4&gt;=EH$14,ED4&lt;&gt;""),AND(EG4&gt;=EH$14,EG4&lt;&gt;""),AND(EZ4&gt;=FD$14,EZ4&lt;&gt;""),AND(FC4&gt;=FD$14,FC4&lt;&gt;""),AND(FV4&gt;=FZ$14,FV4&lt;&gt;""),AND(FY4&gt;=FZ$14,FY4&lt;&gt;""),AND(GR4&gt;=GV$14,GR4&lt;&gt;""),AND(GU4&gt;=GV$14,GU4&lt;&gt;""),AND(HN4&gt;=HR$14,HN4&lt;&gt;""),AND(HQ4&gt;=HR$14,HQ4&lt;&gt;""),AND(IJ4&gt;=IN$14,IJ4&lt;&gt;""),AND(IM4&gt;=IN$14,IM4&lt;&gt;""),AND(JF4&gt;=JJ$14,JF4&lt;&gt;""),AND(JI4&gt;=JJ$14,JI4&lt;&gt;""),AND(KB4&gt;=KF$14,KB4&lt;&gt;""),AND(KE4&gt;=KF$14,KE4&lt;&gt;""),AND(KX4&gt;=LB$14,KX4&lt;&gt;""),AND(LA4&gt;=LB$14,LA4&lt;&gt;""),AND(LT4&gt;=LX$14,LT4&lt;&gt;""),AND(LW4&gt;=LX$14,LW4&lt;&gt;""),AND(MP4&gt;=MT$14,MP4&lt;&gt;""),AND(MS4&gt;=MT$14,MS4&lt;&gt;"")),"Merit",IF(OR(AND(AN4&gt;=AR$13,AN4&lt;&gt;"",AK4=""),AND(AQ4&gt;=AR$13,AQ4&lt;&gt;"",AK4=""),AND(BK4&gt;=BO$13,BK4&lt;&gt;"",BH4=""),AND(BN4&gt;=BO$13,BN4&lt;&gt;"",BH4=""),AND(CH4&gt;=CL$13,CH4&lt;&gt;"",CE4=""),AND(CK4&gt;=CL$13,CE4&lt;&gt;"",CE4=""),AND(DH4&gt;=DL$13,DH4&lt;&gt;""),AND(DK4&gt;=DL$13,DK4&lt;&gt;""),AND(ED4&gt;=EH$13,ED4&lt;&gt;""),AND(EG4&gt;=EH$13,EG4&lt;&gt;""),AND(EZ4&gt;=FD$13,EZ4&lt;&gt;""),AND(FC4&gt;=FD$13,FC4&lt;&gt;""),AND(FV4&gt;=FZ$13,FV4&lt;&gt;""),AND(FY4&gt;=FZ$13,FY4&lt;&gt;""),AND(GR4&gt;=GV$13,GR4&lt;&gt;""),AND(GU4&gt;=GV$13,GU4&lt;&gt;""),AND(HN4&gt;=HR$13,HN4&lt;&gt;""),AND(HQ4&gt;=HR$13,HQ4&lt;&gt;""),AND(IJ4&gt;=IN$13,IJ4&lt;&gt;""),AND(IM4&gt;=IN$13,IM4&lt;&gt;""),AND(JF4&gt;=JJ$13,JF4&lt;&gt;""),AND(JI4&gt;=JJ$13,JI4&lt;&gt;""),AND(KB4&gt;=KF$13,KB4&lt;&gt;""),AND(KE4&gt;=KF$13,KE4&lt;&gt;""),AND(KX4&gt;=LB$13,KX4&lt;&gt;""),AND(LA4&gt;=LB$13,LA4&lt;&gt;""),AND(LT4&gt;=LX$13,LT4&lt;&gt;""),AND(LW4&gt;=LX$13,LW4&lt;&gt;""),AND(MP4&gt;=MT$13,MP4&lt;&gt;""),AND(MS4&gt;=MT$13,MS4&lt;&gt;"")),"Excellence",IF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"Worlds Team",IF(OR(AND(AO4&gt;=AR$11,AO4&lt;&gt;"",AK4=""),AND(BL4&gt;=BO$11,BL4&lt;&gt;"",BH4=""),AND(CI4&gt;=CL$11,CI4&lt;&gt;"",CE4=""),AND(DI4&gt;=DL$11,DI4&lt;&gt;""),AND(EE4&gt;=EH$11,EE4&lt;&gt;""),AND(FA4&gt;=FD$11,FA4&lt;&gt;""),AND(FW4&gt;=FZ$11,FW4&lt;&gt;""),AND(GS4&gt;=GV$11,GS4&lt;&gt;""),AND(HO4&gt;=HR$11,HO4&lt;&gt;""),AND(IK4&gt;=IN$11,IK4&lt;&gt;""),AND(JG4&gt;=JJ$11,JG4&lt;&gt;""),AND(KC4&gt;=KF$11,KC4&lt;&gt;""),AND(KY4&gt;=LB$11,KY4&lt;&gt;""),AND(LU4&gt;=LX$11,LU4&lt;&gt;""),AND(MQ4&gt;=MT$11,MQ4&lt;&gt;"")),"National Team",""))))</f>
        <v/>
      </c>
      <c r="I4" s="126" t="str">
        <f>IF(AND(G4="Merit",H4="Merit"),"Merit",IF(AND(OR(G4="Merit",G4="Excellence"),OR(H4="Merit",H4="Excellence")),"Excellence",IF(AND(OR(G4="Merit",G4="Excellence",G4="Worlds Team"),OR(H4="Merit",H4="Excellence",H4="Worlds Team")),"Worlds Team",IF(AND(OR(G4="Merit",G4="Excellence",G4="Worlds Team",G4="National Team"),OR(H4="Merit",H4="Excellence",H4="Worlds Team",H4="National Team")),"National Team",IF(OR(H4="Merit",H4="Excellence",H4="Worlds Team",H4="National Team"),"No DD","")))))</f>
        <v/>
      </c>
      <c r="J4" s="3" t="str">
        <f>IF(AND(OR(AND(AO4&gt;=AR$12,AO4&lt;&gt;"",AK4=""),AND(BL4&gt;=BO$12,BL4&lt;&gt;"",BH4=""),AND(CI4&gt;=CL$12,CI4&lt;&gt;"",CE4=""),AND(DI4&gt;=DL$12,DI4&lt;&gt;""),AND(EE4&gt;=EH$12,EE4&lt;&gt;""),AND(FA4&gt;=FD$12,FA4&lt;&gt;""),AND(FW4&gt;=FZ$12,FW4&lt;&gt;""),AND(GS4&gt;=GV$12,GS4&lt;&gt;""),AND(HO4&gt;=HR$12,HO4&lt;&gt;""),AND(IK4&gt;=IN$12,IK4&lt;&gt;""),AND(JG4&gt;=JJ$12,JG4&lt;&gt;""),AND(KC4&gt;=KF$12,KC4&lt;&gt;""),AND(KY4&gt;=LB$12,KY4&lt;&gt;""),AND(LU4&gt;=LX$12,LU4&lt;&gt;""),AND(MQ4&gt;=MT$12,MQ4&lt;&gt;"")),OR(G4="Worlds Team",G4="Excellence",G4="Merit")),"P","")</f>
        <v/>
      </c>
      <c r="K4" s="14">
        <f>MAX(AO4,BL4,CI4)</f>
        <v>0</v>
      </c>
      <c r="L4" s="14" t="str">
        <f>IF(K4=0,"",IF(K4=CI4,$BP$1,IF(K4=BL4,$AS$1,IF(K4=AO4,$V$1,""))))</f>
        <v/>
      </c>
      <c r="M4" s="14">
        <f>IF($K4=$AO4,MAX(BJ4,CG4),IF($K4=$BL4,MAX(AM4,CG4),IF($K4=$CI4,MAX(AM4,BJ4),MAX(AM4,BJ4,CG4))))</f>
        <v>0</v>
      </c>
      <c r="N4" s="14" t="str">
        <f>IF(M4=0,"",IF(AND(M4=CG4,$L4&lt;&gt;$BP$1),$BP$1,IF(AND(M4=BJ4,$L4&lt;&gt;$AS$1),$AS$1,IF(AND(M4=AM4,$L4&lt;&gt;$V$1),$V$1,""))))</f>
        <v/>
      </c>
      <c r="O4" s="14">
        <f>IF($K4=$AO4,MAX(CH4,BK4),IF($K4=$BL4,MAX(AN4,CH4),IF($K4=$CI4,MAX(AN4,BK4),MAX(AN4,BK4,CH4))))</f>
        <v>0</v>
      </c>
      <c r="P4" s="14" t="str">
        <f>IF(O4=0,"",IF(AND(O4=CH4,$L4&lt;&gt;$BP$1),$BP$1,IF(AND(O4=BK4,$L4&lt;&gt;$AS$1),$AS$1,IF(AND(O4=AN4,$L4&lt;&gt;$V$1),$V$1,""))))</f>
        <v/>
      </c>
      <c r="Q4" s="14">
        <f>MAX(AQ4,BN4,CK4)</f>
        <v>0</v>
      </c>
      <c r="R4" s="14" t="str">
        <f>IF(Q4=0,"",IF(Q4=CK4,$BP$1,IF(Q4=BN4,$AS$1,IF(Q4=AQ4,$V$1,""))))</f>
        <v/>
      </c>
      <c r="S4" s="14" t="str">
        <f>IF(MAX(CM4,CN4,CO4,CP4)&gt;0,MAX(CM4,CN4,CO4,CP4),"")</f>
        <v/>
      </c>
      <c r="T4" s="25" t="str">
        <f>IF(S4="","",IF(S4=CM4,"(Vol 1)",IF(S4=CN4,"(Vol 2)",IF(S4=CO4,"(Prelim)",IF(S4=CP4,"(Final)")))))</f>
        <v/>
      </c>
      <c r="U4" s="14" t="str">
        <f>IF(S4="","",IF(S4=CM4,IF(S4+IF(M4="",0,M4)=MO4,$LY$1,IF(S4+IF(M4="",0,M4)=LS4,$LC$1,IF(S4+IF(M4="",0,M4)=KW4,$KG$1,IF(S4+IF(M4="",0,M4)=KA4,$JK$1,IF(S4+IF(M4="",0,M4)=JE4,$IO$1,IF(S4+IF(M4="",0,M4)=II4,$HS$1,IF(S4+IF(M4="",0,M4)=HM4,$GW$1,IF(S4+IF(M4="",0,M4)=GQ4,$GA$1,IF(S4+IF(M4="",0,M4)=FU4,$FE$1,IF(S4+IF(M4="",0,M4)=EY4,$EI$1,IF(S4+IF(M4="",0,M4)=EC4,$DM$1,IF(S4+IF(M4="",0,M4)=DG4,$CQ$1)))))))))))),IF(S4=CN4,IF(S4+IF(O4="",0,O4)=MP4,$LY$1,IF(S4+IF(O4="",0,O4)=LT4,$LC$1,IF(S4+IF(O4="",0,O4)=KX4,$KG$1,IF(S4+IF(O4="",0,O4)=KB4,$JK$1,IF(S4+IF(O4="",0,O4)=JF4,$IO$1,IF(S4+IF(O4="",0,O4)=IJ4,$HS$1,IF(S4+IF(O4="",0,O4)=HN4,$GW$1,IF(S4+IF(O4="",0,O4)=GR4,$GA$1,IF(S4+IF(O4="",0,O4)=FV4,$FE$1,IF(S4+IF(O4="",0,O4)=EZ4,$EI$1,IF(S4+IF(O4="",0,O4)=ED4,$DM$1,IF(S4+IF(O4="",0,O4)=DH4,$CQ$1)))))))))))),IF(S4=CO4,IF(S4+IF(K4="",0,K4)=MQ4,$LY$1,IF(S4+IF(K4="",0,K4)=LU4,$LC$1,IF(S4+IF(K4="",0,K4)=KY4,$KG$1,IF(S4+IF(K4="",0,K4)=KC4,$JK$1,IF(S4+IF(K4="",0,K4)=JG4,$IO$1,IF(S4+IF(K4="",0,K4)=IK4,$HS$1,IF(S4+IF(K4="",0,K4)=HO4,$GW$1,IF(S4+IF(K4="",0,K4)=GS4,$GA$1,IF(S4+IF(K4="",0,K4)=FW4,$FE$1,IF(S4+IF(K4="",0,K4)=FA4,$EI$1,IF(S4+IF(K4="",0,K4)=EE4,$DM$1,IF(S4+IF(K4="",0,K4)=DI4,$CQ$1)))))))))))),IF(S4=CP4,IF(S4+IF(Q4="",0,Q4)=MS4,$LY$1,IF(S4+IF(Q4="",0,Q4)=LW4,$LC$1,IF(S4+IF(Q4="",0,Q4)=LA4,$KG$1,IF(S4+IF(Q4="",0,Q4)=KE4,$JK$1,IF(S4+IF(Q4="",0,Q4)=JI4,$IO$1,IF(S4+IF(Q4="",0,Q4)=IM4,$HS$1,IF(S4+IF(Q4="",0,Q4)=HQ4,$GW$1,IF(S4+IF(Q4="",0,Q4)=GU4,$GA$1,IF(S4+IF(Q4="",0,Q4)=FY4,$FE$1,IF(S4+IF(Q4="",0,Q4)=FC4,$EI$1,IF(S4+IF(Q4="",0,Q4)=EG4,$DM$1,IF(S4+IF(Q4="",0,Q4)=DK4,$CQ$1)))))))))))))))))</f>
        <v/>
      </c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  <c r="AG4" s="39"/>
      <c r="AH4" s="39"/>
      <c r="AI4" s="39"/>
      <c r="AJ4" s="39"/>
      <c r="AK4" s="80"/>
      <c r="AL4" s="11" t="str">
        <f>IF(AC4&gt;0,AC4,"")</f>
        <v/>
      </c>
      <c r="AM4" s="11" t="str">
        <f>IF(SUM(V4:Y4)-Z4&gt;0,SUM(V4:Y4)-Z4,"")</f>
        <v/>
      </c>
      <c r="AN4" s="11" t="str">
        <f>IF(SUM(AA4:AD4)-AE4&gt;0,SUM(AA4:AD4)-AE4,"")</f>
        <v/>
      </c>
      <c r="AO4" s="11" t="str">
        <f>IF(SUM(AM4:AN4)&gt;0,SUM(AM4:AN4),"")</f>
        <v/>
      </c>
      <c r="AP4" s="11" t="str">
        <f>IF(AH4&gt;0,AH4,"")</f>
        <v/>
      </c>
      <c r="AQ4" s="11" t="str">
        <f>IF(SUM(AF4:AI4)-AJ4&gt;0,SUM(AF4:AI4)-AJ4,"")</f>
        <v/>
      </c>
      <c r="AR4" s="11" t="str">
        <f>IF(SUM(AO4,AQ4)&gt;0,SUM(AO4,AQ4),"")</f>
        <v/>
      </c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81"/>
      <c r="BI4" s="14" t="str">
        <f>IF(AZ4&gt;0,AZ4,"")</f>
        <v/>
      </c>
      <c r="BJ4" s="14" t="str">
        <f>IF(SUM(AS4:AV4)-AW4&gt;0,SUM(AS4:AV4)-AW4,"")</f>
        <v/>
      </c>
      <c r="BK4" s="14" t="str">
        <f>IF(SUM(AX4:BA4)-BB4&gt;0,SUM(AX4:BA4)-BB4,"")</f>
        <v/>
      </c>
      <c r="BL4" s="14" t="str">
        <f>IF(SUM(BJ4:BK4)&gt;0,SUM(BJ4:BK4),"")</f>
        <v/>
      </c>
      <c r="BM4" s="14" t="str">
        <f>IF(BE4&gt;0,BE4,"")</f>
        <v/>
      </c>
      <c r="BN4" s="14" t="str">
        <f>IF(SUM(BC4:BF4)-BG4&gt;0,SUM(BC4:BF4)-BG4,"")</f>
        <v/>
      </c>
      <c r="BO4" s="14" t="str">
        <f>IF(SUM(BL4,BN4)&gt;0,SUM(BL4,BN4),"")</f>
        <v/>
      </c>
      <c r="BP4" s="39"/>
      <c r="BQ4" s="39"/>
      <c r="BR4" s="39"/>
      <c r="BS4" s="39"/>
      <c r="BT4" s="39"/>
      <c r="BU4" s="39"/>
      <c r="BV4" s="39"/>
      <c r="BW4" s="39"/>
      <c r="BX4" s="39"/>
      <c r="BY4" s="39"/>
      <c r="BZ4" s="39"/>
      <c r="CA4" s="39"/>
      <c r="CB4" s="39"/>
      <c r="CC4" s="39"/>
      <c r="CD4" s="39"/>
      <c r="CE4" s="80"/>
      <c r="CF4" s="11" t="str">
        <f>IF(BW4&gt;0,BW4,"")</f>
        <v/>
      </c>
      <c r="CG4" s="11" t="str">
        <f>IF(SUM(BP4:BS4)-BT4&gt;0,SUM(BP4:BS4)-BT4,"")</f>
        <v/>
      </c>
      <c r="CH4" s="11" t="str">
        <f>IF(SUM(BU4:BX4)-BY4&gt;0,SUM(BU4:BX4)-BY4,"")</f>
        <v/>
      </c>
      <c r="CI4" s="11" t="str">
        <f>IF(SUM(CG4:CH4)&gt;0,SUM(CG4:CH4),"")</f>
        <v/>
      </c>
      <c r="CJ4" s="11" t="str">
        <f>IF(CB4&gt;0,CB4,"")</f>
        <v/>
      </c>
      <c r="CK4" s="11" t="str">
        <f>IF(SUM(BZ4:CC4)-CD4&gt;0,SUM(BZ4:CC4)-CD4,"")</f>
        <v/>
      </c>
      <c r="CL4" s="11" t="str">
        <f>IF(SUM(CI4,CK4)&gt;0,SUM(CI4,CK4),"")</f>
        <v/>
      </c>
      <c r="CM4" s="24" t="str">
        <f>IF(MAX(DG4,EC4,EY4,FU4,GQ4,HM4,II4,JE4,KA4,KW4,LS4,MO4)-IF(M4="",0,M4)&gt;0.001,MAX(DG4,EC4,EY4,FU4,GQ4,HM4,II4,JE4,KA4,KW4,LS4,MO4)-IF(M4="",0,M4),"")</f>
        <v/>
      </c>
      <c r="CN4" s="24" t="str">
        <f>IF(MAX(DH4,ED4,EZ4,FV4,GR4,HN4,IJ4,JF4,KB4,KX4,LT4,MP4)-IF(O4="",0,O4)&gt;0.001,MAX(DH4,ED4,EZ4,FV4,GR4,HN4,IJ4,JF4,KB4,KX4,LT4,MP4)-IF(O4="",0,O4),"")</f>
        <v/>
      </c>
      <c r="CO4" s="24" t="str">
        <f>IF(MAX(DI4,EE4,FA4,FW4,GS4,HO4,IK4,JG4,KC4,KY4,LU4,MQ4)-IF(K4="",0,K4)&gt;0.001,MAX(DI4,EE4,FA4,FW4,GS4,HO4,IK4,JG4,KC4,KY4,LU4,MQ4)-IF(K4="",0,K4),"")</f>
        <v/>
      </c>
      <c r="CP4" s="24" t="str">
        <f>IF(MAX(DK4,EG4,FC4,FY4,GU4,HQ4,IM4,JI4,KE4,LA4,LW4,MS4)-IF(Q4="",0,Q4)&gt;0.001,MAX(DK4,EG4,FC4,FY4,GU4,HQ4,IM4,JI4,KE4,LA4,LW4,MS4)-IF(Q4="",0,Q4),"")</f>
        <v/>
      </c>
      <c r="CQ4" s="37"/>
      <c r="CR4" s="37"/>
      <c r="CS4" s="37"/>
      <c r="CT4" s="37"/>
      <c r="CU4" s="37"/>
      <c r="CV4" s="37"/>
      <c r="CW4" s="37"/>
      <c r="CX4" s="37"/>
      <c r="CY4" s="37"/>
      <c r="CZ4" s="37"/>
      <c r="DA4" s="37"/>
      <c r="DB4" s="37"/>
      <c r="DC4" s="37"/>
      <c r="DD4" s="37"/>
      <c r="DE4" s="37"/>
      <c r="DF4" s="11" t="str">
        <f>IF(CX4&gt;0,CX4,"")</f>
        <v/>
      </c>
      <c r="DG4" s="11" t="str">
        <f>IF(SUM(CQ4:CT4)-CU4&gt;0,SUM(CQ4:CT4)-CU4,"")</f>
        <v/>
      </c>
      <c r="DH4" s="11" t="str">
        <f>IF(SUM(CV4:CY4)-CZ4&gt;0,SUM(CV4:CY4)-CZ4,"")</f>
        <v/>
      </c>
      <c r="DI4" s="11" t="str">
        <f>IF(SUM(DG4:DH4)&gt;0,SUM(DG4:DH4),"")</f>
        <v/>
      </c>
      <c r="DJ4" s="11" t="str">
        <f>IF(DC4&gt;0,DC4,"")</f>
        <v/>
      </c>
      <c r="DK4" s="11" t="str">
        <f>IF(SUM(DA4:DD4)-DE4&gt;0,SUM(DA4:DD4)-DE4,"")</f>
        <v/>
      </c>
      <c r="DL4" s="11" t="str">
        <f>IF(SUM(DI4,DK4)&gt;0,SUM(DI4,DK4),"")</f>
        <v/>
      </c>
      <c r="DM4" s="38"/>
      <c r="DN4" s="38"/>
      <c r="DO4" s="38"/>
      <c r="DP4" s="38"/>
      <c r="DQ4" s="38"/>
      <c r="DR4" s="38"/>
      <c r="DS4" s="38"/>
      <c r="DT4" s="38"/>
      <c r="DU4" s="38"/>
      <c r="DV4" s="38"/>
      <c r="DW4" s="38"/>
      <c r="DX4" s="38"/>
      <c r="DY4" s="38"/>
      <c r="DZ4" s="38"/>
      <c r="EA4" s="38"/>
      <c r="EB4" s="14" t="str">
        <f>IF(DT4&gt;0,DT4,"")</f>
        <v/>
      </c>
      <c r="EC4" s="14" t="str">
        <f>IF(SUM(DM4:DP4)-DQ4&gt;0,SUM(DM4:DP4)-DQ4,"")</f>
        <v/>
      </c>
      <c r="ED4" s="14" t="str">
        <f>IF(SUM(DR4:DU4)-DV4&gt;0,SUM(DR4:DU4)-DV4,"")</f>
        <v/>
      </c>
      <c r="EE4" s="14" t="str">
        <f>IF(SUM(EC4:ED4)&gt;0,SUM(EC4:ED4),"")</f>
        <v/>
      </c>
      <c r="EF4" s="14" t="str">
        <f>IF(DY4&gt;0,DY4,"")</f>
        <v/>
      </c>
      <c r="EG4" s="14" t="str">
        <f>IF(SUM(DW4:DZ4)-EA4&gt;0,SUM(DW4:DZ4)-EA4,"")</f>
        <v/>
      </c>
      <c r="EH4" s="14" t="str">
        <f>IF(SUM(EE4,EG4)&gt;0,SUM(EE4,EG4),"")</f>
        <v/>
      </c>
      <c r="EI4" s="37"/>
      <c r="EJ4" s="37"/>
      <c r="EK4" s="37"/>
      <c r="EL4" s="37"/>
      <c r="EM4" s="37"/>
      <c r="EN4" s="37"/>
      <c r="EO4" s="37"/>
      <c r="EP4" s="37"/>
      <c r="EQ4" s="37"/>
      <c r="ER4" s="37"/>
      <c r="ES4" s="37"/>
      <c r="ET4" s="37"/>
      <c r="EU4" s="37"/>
      <c r="EV4" s="37"/>
      <c r="EW4" s="37"/>
      <c r="EX4" s="11" t="str">
        <f>IF(EP4&gt;0,EP4,"")</f>
        <v/>
      </c>
      <c r="EY4" s="11" t="str">
        <f>IF(SUM(EI4:EL4)-EM4&gt;0,SUM(EI4:EL4)-EM4,"")</f>
        <v/>
      </c>
      <c r="EZ4" s="11" t="str">
        <f>IF(SUM(EN4:EQ4)-ER4&gt;0,SUM(EN4:EQ4)-ER4,"")</f>
        <v/>
      </c>
      <c r="FA4" s="11" t="str">
        <f>IF(SUM(EY4:EZ4)&gt;0,SUM(EY4:EZ4),"")</f>
        <v/>
      </c>
      <c r="FB4" s="11" t="str">
        <f>IF(EU4&gt;0,EU4,"")</f>
        <v/>
      </c>
      <c r="FC4" s="11" t="str">
        <f>IF(SUM(ES4:EV4)-EW4&gt;0,SUM(ES4:EV4)-EW4,"")</f>
        <v/>
      </c>
      <c r="FD4" s="11" t="str">
        <f>IF(SUM(FA4,FC4)&gt;0,SUM(FA4,FC4),"")</f>
        <v/>
      </c>
      <c r="FE4" s="38"/>
      <c r="FF4" s="38"/>
      <c r="FG4" s="38"/>
      <c r="FH4" s="38"/>
      <c r="FI4" s="38"/>
      <c r="FJ4" s="38"/>
      <c r="FK4" s="38"/>
      <c r="FL4" s="38"/>
      <c r="FM4" s="38"/>
      <c r="FN4" s="38"/>
      <c r="FO4" s="38"/>
      <c r="FP4" s="38"/>
      <c r="FQ4" s="38"/>
      <c r="FR4" s="38"/>
      <c r="FS4" s="38"/>
      <c r="FT4" s="14" t="str">
        <f>IF(FL4&gt;0,FL4,"")</f>
        <v/>
      </c>
      <c r="FU4" s="14" t="str">
        <f>IF(SUM(FE4:FH4)-FI4&gt;0,SUM(FE4:FH4)-FI4,"")</f>
        <v/>
      </c>
      <c r="FV4" s="14" t="str">
        <f>IF(SUM(FJ4:FM4)-FN4&gt;0,SUM(FJ4:FM4)-FN4,"")</f>
        <v/>
      </c>
      <c r="FW4" s="14" t="str">
        <f>IF(SUM(FU4:FV4)&gt;0,SUM(FU4:FV4),"")</f>
        <v/>
      </c>
      <c r="FX4" s="14" t="str">
        <f>IF(FQ4&gt;0,FQ4,"")</f>
        <v/>
      </c>
      <c r="FY4" s="14" t="str">
        <f>IF(SUM(FO4:FR4)-FS4&gt;0,SUM(FO4:FR4)-FS4,"")</f>
        <v/>
      </c>
      <c r="FZ4" s="14" t="str">
        <f>IF(SUM(FW4,FY4)&gt;0,SUM(FW4,FY4),"")</f>
        <v/>
      </c>
      <c r="GA4" s="37"/>
      <c r="GB4" s="37"/>
      <c r="GC4" s="37"/>
      <c r="GD4" s="37"/>
      <c r="GE4" s="37"/>
      <c r="GF4" s="37"/>
      <c r="GG4" s="37"/>
      <c r="GH4" s="37"/>
      <c r="GI4" s="37"/>
      <c r="GJ4" s="37"/>
      <c r="GK4" s="37"/>
      <c r="GL4" s="37"/>
      <c r="GM4" s="37"/>
      <c r="GN4" s="37"/>
      <c r="GO4" s="37"/>
      <c r="GP4" s="11" t="str">
        <f>IF(GH4&gt;0,GH4,"")</f>
        <v/>
      </c>
      <c r="GQ4" s="11" t="str">
        <f>IF(SUM(GA4:GD4)-GE4&gt;0,SUM(GA4:GD4)-GE4,"")</f>
        <v/>
      </c>
      <c r="GR4" s="11" t="str">
        <f>IF(SUM(GF4:GI4)-GJ4&gt;0,SUM(GF4:GI4)-GJ4,"")</f>
        <v/>
      </c>
      <c r="GS4" s="11" t="str">
        <f>IF(SUM(GQ4:GR4)&gt;0,SUM(GQ4:GR4),"")</f>
        <v/>
      </c>
      <c r="GT4" s="11" t="str">
        <f>IF(GM4&gt;0,GM4,"")</f>
        <v/>
      </c>
      <c r="GU4" s="11" t="str">
        <f>IF(SUM(GK4:GN4)-GO4&gt;0,SUM(GK4:GN4)-GO4,"")</f>
        <v/>
      </c>
      <c r="GV4" s="11" t="str">
        <f>IF(SUM(GS4,GU4)&gt;0,SUM(GS4,GU4),"")</f>
        <v/>
      </c>
      <c r="GW4" s="38"/>
      <c r="GX4" s="38"/>
      <c r="GY4" s="38"/>
      <c r="GZ4" s="38"/>
      <c r="HA4" s="38"/>
      <c r="HB4" s="38"/>
      <c r="HC4" s="38"/>
      <c r="HD4" s="38"/>
      <c r="HE4" s="38"/>
      <c r="HF4" s="38"/>
      <c r="HG4" s="38"/>
      <c r="HH4" s="38"/>
      <c r="HI4" s="38"/>
      <c r="HJ4" s="38"/>
      <c r="HK4" s="38"/>
      <c r="HL4" s="14" t="str">
        <f>IF(HD4&gt;0,HD4,"")</f>
        <v/>
      </c>
      <c r="HM4" s="14" t="str">
        <f>IF(SUM(GW4:GZ4)-HA4&gt;0,SUM(GW4:GZ4)-HA4,"")</f>
        <v/>
      </c>
      <c r="HN4" s="14" t="str">
        <f>IF(SUM(HB4:HE4)-HF4&gt;0,SUM(HB4:HE4)-HF4,"")</f>
        <v/>
      </c>
      <c r="HO4" s="14" t="str">
        <f>IF(SUM(HM4:HN4)&gt;0,SUM(HM4:HN4),"")</f>
        <v/>
      </c>
      <c r="HP4" s="14" t="str">
        <f>IF(HI4&gt;0,HI4,"")</f>
        <v/>
      </c>
      <c r="HQ4" s="14" t="str">
        <f>IF(SUM(HG4:HJ4)-HK4&gt;0,SUM(HG4:HJ4)-HK4,"")</f>
        <v/>
      </c>
      <c r="HR4" s="14" t="str">
        <f>IF(SUM(HO4,HQ4)&gt;0,SUM(HO4,HQ4),"")</f>
        <v/>
      </c>
      <c r="HS4" s="37"/>
      <c r="HT4" s="37"/>
      <c r="HU4" s="37"/>
      <c r="HV4" s="37"/>
      <c r="HW4" s="37"/>
      <c r="HX4" s="37"/>
      <c r="HY4" s="37"/>
      <c r="HZ4" s="37"/>
      <c r="IA4" s="37"/>
      <c r="IB4" s="37"/>
      <c r="IC4" s="37"/>
      <c r="ID4" s="37"/>
      <c r="IE4" s="37"/>
      <c r="IF4" s="37"/>
      <c r="IG4" s="37"/>
      <c r="IH4" s="11" t="str">
        <f>IF(HZ4&gt;0,HZ4,"")</f>
        <v/>
      </c>
      <c r="II4" s="11" t="str">
        <f>IF(SUM(HS4:HV4)-HW4&gt;0,SUM(HS4:HV4)-HW4,"")</f>
        <v/>
      </c>
      <c r="IJ4" s="11" t="str">
        <f>IF(SUM(HX4:IA4)-IB4&gt;0,SUM(HX4:IA4)-IB4,"")</f>
        <v/>
      </c>
      <c r="IK4" s="11" t="str">
        <f>IF(SUM(II4:IJ4)&gt;0,SUM(II4:IJ4),"")</f>
        <v/>
      </c>
      <c r="IL4" s="11" t="str">
        <f>IF(IE4&gt;0,IE4,"")</f>
        <v/>
      </c>
      <c r="IM4" s="11" t="str">
        <f>IF(SUM(IC4:IF4)-IG4&gt;0,SUM(IC4:IF4)-IG4,"")</f>
        <v/>
      </c>
      <c r="IN4" s="11" t="str">
        <f>IF(SUM(IK4,IM4)&gt;0,SUM(IK4,IM4),"")</f>
        <v/>
      </c>
      <c r="IO4" s="38"/>
      <c r="IP4" s="38"/>
      <c r="IQ4" s="38"/>
      <c r="IR4" s="38"/>
      <c r="IS4" s="38"/>
      <c r="IT4" s="38"/>
      <c r="IU4" s="38"/>
      <c r="IV4" s="38"/>
      <c r="IW4" s="38"/>
      <c r="IX4" s="38"/>
      <c r="IY4" s="38"/>
      <c r="IZ4" s="38"/>
      <c r="JA4" s="38"/>
      <c r="JB4" s="38"/>
      <c r="JC4" s="38"/>
      <c r="JD4" s="14" t="str">
        <f>IF(IV4&gt;0,IV4,"")</f>
        <v/>
      </c>
      <c r="JE4" s="14" t="str">
        <f>IF(SUM(IO4:IR4)-IS4&gt;0,SUM(IO4:IR4)-IS4,"")</f>
        <v/>
      </c>
      <c r="JF4" s="14" t="str">
        <f>IF(SUM(IT4:IW4)-IX4&gt;0,SUM(IT4:IW4)-IX4,"")</f>
        <v/>
      </c>
      <c r="JG4" s="14" t="str">
        <f>IF(SUM(JE4:JF4)&gt;0,SUM(JE4:JF4),"")</f>
        <v/>
      </c>
      <c r="JH4" s="14" t="str">
        <f>IF(JA4&gt;0,JA4,"")</f>
        <v/>
      </c>
      <c r="JI4" s="14" t="str">
        <f>IF(SUM(IY4:JB4)-JC4&gt;0,SUM(IY4:JB4)-JC4,"")</f>
        <v/>
      </c>
      <c r="JJ4" s="14" t="str">
        <f>IF(SUM(JG4,JI4)&gt;0,SUM(JG4,JI4),"")</f>
        <v/>
      </c>
      <c r="JK4" s="37"/>
      <c r="JL4" s="37"/>
      <c r="JM4" s="37"/>
      <c r="JN4" s="37"/>
      <c r="JO4" s="37"/>
      <c r="JP4" s="37"/>
      <c r="JQ4" s="37"/>
      <c r="JR4" s="37"/>
      <c r="JS4" s="37"/>
      <c r="JT4" s="37"/>
      <c r="JU4" s="37"/>
      <c r="JV4" s="37"/>
      <c r="JW4" s="37"/>
      <c r="JX4" s="37"/>
      <c r="JY4" s="37"/>
      <c r="JZ4" s="11" t="str">
        <f>IF(JR4&gt;0,JR4,"")</f>
        <v/>
      </c>
      <c r="KA4" s="11" t="str">
        <f>IF(SUM(JK4:JN4)-JO4&gt;0,SUM(JK4:JN4)-JO4,"")</f>
        <v/>
      </c>
      <c r="KB4" s="11" t="str">
        <f>IF(SUM(JP4:JS4)-JT4&gt;0,SUM(JP4:JS4)-JT4,"")</f>
        <v/>
      </c>
      <c r="KC4" s="11" t="str">
        <f>IF(SUM(KA4:KB4)&gt;0,SUM(KA4:KB4),"")</f>
        <v/>
      </c>
      <c r="KD4" s="11" t="str">
        <f>IF(JW4&gt;0,JW4,"")</f>
        <v/>
      </c>
      <c r="KE4" s="11" t="str">
        <f>IF(SUM(JU4:JX4)-JY4&gt;0,SUM(JU4:JX4)-JY4,"")</f>
        <v/>
      </c>
      <c r="KF4" s="11" t="str">
        <f>IF(SUM(KC4,KE4)&gt;0,SUM(KC4,KE4),"")</f>
        <v/>
      </c>
      <c r="KG4" s="38"/>
      <c r="KH4" s="38"/>
      <c r="KI4" s="38"/>
      <c r="KJ4" s="38"/>
      <c r="KK4" s="38"/>
      <c r="KL4" s="38"/>
      <c r="KM4" s="38"/>
      <c r="KN4" s="38"/>
      <c r="KO4" s="38"/>
      <c r="KP4" s="38"/>
      <c r="KQ4" s="38"/>
      <c r="KR4" s="38"/>
      <c r="KS4" s="38"/>
      <c r="KT4" s="38"/>
      <c r="KU4" s="38"/>
      <c r="KV4" s="14" t="str">
        <f>IF(KN4&gt;0,KN4,"")</f>
        <v/>
      </c>
      <c r="KW4" s="14" t="str">
        <f>IF(SUM(KG4:KJ4)-KK4&gt;0,SUM(KG4:KJ4)-KK4,"")</f>
        <v/>
      </c>
      <c r="KX4" s="14" t="str">
        <f>IF(SUM(KL4:KO4)-KP4&gt;0,SUM(KL4:KO4)-KP4,"")</f>
        <v/>
      </c>
      <c r="KY4" s="14" t="str">
        <f>IF(SUM(KW4:KX4)&gt;0,SUM(KW4:KX4),"")</f>
        <v/>
      </c>
      <c r="KZ4" s="14" t="str">
        <f>IF(KS4&gt;0,KS4,"")</f>
        <v/>
      </c>
      <c r="LA4" s="14" t="str">
        <f>IF(SUM(KQ4:KT4)-KU4&gt;0,SUM(KQ4:KT4)-KU4,"")</f>
        <v/>
      </c>
      <c r="LB4" s="14" t="str">
        <f>IF(SUM(KY4,LA4)&gt;0,SUM(KY4,LA4),"")</f>
        <v/>
      </c>
      <c r="LC4" s="37"/>
      <c r="LD4" s="37"/>
      <c r="LE4" s="37"/>
      <c r="LF4" s="37"/>
      <c r="LG4" s="37"/>
      <c r="LH4" s="37"/>
      <c r="LI4" s="37"/>
      <c r="LJ4" s="37"/>
      <c r="LK4" s="37"/>
      <c r="LL4" s="37"/>
      <c r="LM4" s="37"/>
      <c r="LN4" s="37"/>
      <c r="LO4" s="37"/>
      <c r="LP4" s="37"/>
      <c r="LQ4" s="37"/>
      <c r="LR4" s="11" t="str">
        <f>IF(LJ4&gt;0,LJ4,"")</f>
        <v/>
      </c>
      <c r="LS4" s="11" t="str">
        <f>IF(SUM(LC4:LF4)-LG4&gt;0,SUM(LC4:LF4)-LG4,"")</f>
        <v/>
      </c>
      <c r="LT4" s="11" t="str">
        <f>IF(SUM(LH4:LK4)-LL4&gt;0,SUM(LH4:LK4)-LL4,"")</f>
        <v/>
      </c>
      <c r="LU4" s="11" t="str">
        <f>IF(SUM(LS4:LT4)&gt;0,SUM(LS4:LT4),"")</f>
        <v/>
      </c>
      <c r="LV4" s="11" t="str">
        <f>IF(LO4&gt;0,LO4,"")</f>
        <v/>
      </c>
      <c r="LW4" s="11" t="str">
        <f>IF(SUM(LM4:LP4)-LQ4&gt;0,SUM(LM4:LP4)-LQ4,"")</f>
        <v/>
      </c>
      <c r="LX4" s="11" t="str">
        <f>IF(SUM(LU4,LW4)&gt;0,SUM(LU4,LW4),"")</f>
        <v/>
      </c>
      <c r="LY4" s="38"/>
      <c r="LZ4" s="38"/>
      <c r="MA4" s="38"/>
      <c r="MB4" s="38"/>
      <c r="MC4" s="38"/>
      <c r="MD4" s="38"/>
      <c r="ME4" s="38"/>
      <c r="MF4" s="38"/>
      <c r="MG4" s="38"/>
      <c r="MH4" s="38"/>
      <c r="MI4" s="38"/>
      <c r="MJ4" s="38"/>
      <c r="MK4" s="38"/>
      <c r="ML4" s="38"/>
      <c r="MM4" s="38"/>
      <c r="MN4" s="14" t="str">
        <f>IF(MF4&gt;0,MF4,"")</f>
        <v/>
      </c>
      <c r="MO4" s="14" t="str">
        <f>IF(SUM(LY4:MB4)-MC4&gt;0,SUM(LY4:MB4)-MC4,"")</f>
        <v/>
      </c>
      <c r="MP4" s="14" t="str">
        <f>IF(SUM(MD4:MG4)-MH4&gt;0,SUM(MD4:MG4)-MH4,"")</f>
        <v/>
      </c>
      <c r="MQ4" s="14" t="str">
        <f>IF(SUM(MO4:MP4)&gt;0,SUM(MO4:MP4),"")</f>
        <v/>
      </c>
      <c r="MR4" s="14" t="str">
        <f>IF(MK4&gt;0,MK4,"")</f>
        <v/>
      </c>
      <c r="MS4" s="14" t="str">
        <f>IF(SUM(MI4:ML4)-MM4&gt;0,SUM(MI4:ML4)-MM4,"")</f>
        <v/>
      </c>
      <c r="MT4" s="14" t="str">
        <f>IF(SUM(MQ4,MS4)&gt;0,SUM(MQ4,MS4),"")</f>
        <v/>
      </c>
      <c r="MU4" s="69">
        <f t="shared" ref="MU4:NI4" si="0">IF($CE4="P",BP4,(BP4+AS4)/2)</f>
        <v>0</v>
      </c>
      <c r="MV4" s="69">
        <f t="shared" si="0"/>
        <v>0</v>
      </c>
      <c r="MW4" s="69">
        <f t="shared" si="0"/>
        <v>0</v>
      </c>
      <c r="MX4" s="69">
        <f t="shared" si="0"/>
        <v>0</v>
      </c>
      <c r="MY4" s="69">
        <f t="shared" si="0"/>
        <v>0</v>
      </c>
      <c r="MZ4" s="69">
        <f t="shared" si="0"/>
        <v>0</v>
      </c>
      <c r="NA4" s="69">
        <f t="shared" si="0"/>
        <v>0</v>
      </c>
      <c r="NB4" s="69">
        <f t="shared" si="0"/>
        <v>0</v>
      </c>
      <c r="NC4" s="69">
        <f t="shared" si="0"/>
        <v>0</v>
      </c>
      <c r="ND4" s="69">
        <f t="shared" si="0"/>
        <v>0</v>
      </c>
      <c r="NE4" s="69">
        <f t="shared" si="0"/>
        <v>0</v>
      </c>
      <c r="NF4" s="69">
        <f t="shared" si="0"/>
        <v>0</v>
      </c>
      <c r="NG4" s="69">
        <f t="shared" si="0"/>
        <v>0</v>
      </c>
      <c r="NH4" s="69">
        <f t="shared" si="0"/>
        <v>0</v>
      </c>
      <c r="NI4" s="69">
        <f t="shared" si="0"/>
        <v>0</v>
      </c>
      <c r="NJ4" s="80" t="s">
        <v>74</v>
      </c>
      <c r="NK4" s="11" t="str">
        <f>IF(NB4&gt;0,NB4,"")</f>
        <v/>
      </c>
      <c r="NL4" s="11" t="str">
        <f>IF(SUM(MU4:MX4)-MY4&gt;0,SUM(MU4:MX4)-MY4,"")</f>
        <v/>
      </c>
      <c r="NM4" s="11" t="str">
        <f>IF(SUM(MZ4:NC4)-ND4&gt;0,SUM(MZ4:NC4)-ND4,"")</f>
        <v/>
      </c>
      <c r="NN4" s="11" t="str">
        <f>IF(SUM(NL4:NM4)&gt;0,SUM(NL4:NM4),"")</f>
        <v/>
      </c>
      <c r="NO4" s="11" t="str">
        <f>IF(NG4&gt;0,NG4,"")</f>
        <v/>
      </c>
      <c r="NP4" s="11" t="str">
        <f>IF(SUM(NE4:NH4)-NI4&gt;0,SUM(NE4:NH4)-NI4,"")</f>
        <v/>
      </c>
      <c r="NQ4" s="11" t="str">
        <f>IF(SUM(NN4,NP4)&gt;0,SUM(NN4,NP4),"")</f>
        <v/>
      </c>
    </row>
    <row r="5" spans="1:381" x14ac:dyDescent="0.2">
      <c r="D5" s="1"/>
      <c r="T5" s="26"/>
    </row>
    <row r="7" spans="1:381" x14ac:dyDescent="0.2">
      <c r="B7" s="70" t="s">
        <v>70</v>
      </c>
      <c r="AL7" s="56"/>
      <c r="AR7" s="64">
        <v>11.2</v>
      </c>
      <c r="BI7" s="56"/>
      <c r="BO7" s="64">
        <v>11.2</v>
      </c>
      <c r="CF7" s="56"/>
      <c r="CL7" s="64">
        <v>11.2</v>
      </c>
      <c r="DF7" s="56"/>
      <c r="DL7" s="64">
        <v>11.2</v>
      </c>
      <c r="EB7" s="56"/>
      <c r="EH7" s="64">
        <v>11.2</v>
      </c>
      <c r="EX7" s="56"/>
      <c r="FD7" s="64">
        <v>11.2</v>
      </c>
      <c r="FT7" s="56"/>
      <c r="FZ7" s="64">
        <v>11.2</v>
      </c>
      <c r="GP7" s="56"/>
      <c r="GV7" s="64">
        <v>11.2</v>
      </c>
      <c r="HL7" s="56"/>
      <c r="HR7" s="64">
        <v>11.2</v>
      </c>
      <c r="IH7" s="56"/>
      <c r="IN7" s="64">
        <v>11.2</v>
      </c>
      <c r="JD7" s="56"/>
      <c r="JJ7" s="64">
        <v>11.2</v>
      </c>
      <c r="JZ7" s="56"/>
      <c r="KF7" s="64">
        <v>11.2</v>
      </c>
      <c r="KV7" s="56"/>
      <c r="LB7" s="64">
        <v>11.2</v>
      </c>
      <c r="LR7" s="56"/>
      <c r="LX7" s="64">
        <v>11.2</v>
      </c>
      <c r="MN7" s="56"/>
      <c r="MT7" s="64">
        <v>11.2</v>
      </c>
    </row>
    <row r="8" spans="1:381" x14ac:dyDescent="0.2">
      <c r="B8" s="91" t="s">
        <v>69</v>
      </c>
      <c r="AL8" s="56"/>
      <c r="AR8" s="93">
        <v>12</v>
      </c>
      <c r="BI8" s="56"/>
      <c r="BO8" s="93">
        <v>12</v>
      </c>
      <c r="CF8" s="56"/>
      <c r="CL8" s="93">
        <v>12</v>
      </c>
      <c r="DF8" s="56"/>
      <c r="DL8" s="93">
        <v>12</v>
      </c>
      <c r="EB8" s="56"/>
      <c r="EH8" s="93">
        <v>12</v>
      </c>
      <c r="EX8" s="56"/>
      <c r="FD8" s="93">
        <v>12</v>
      </c>
      <c r="FT8" s="56"/>
      <c r="FZ8" s="93">
        <v>12</v>
      </c>
      <c r="GP8" s="56"/>
      <c r="GV8" s="93">
        <v>12</v>
      </c>
      <c r="HL8" s="56"/>
      <c r="HR8" s="93">
        <v>12</v>
      </c>
      <c r="IH8" s="56"/>
      <c r="IN8" s="93">
        <v>12</v>
      </c>
      <c r="JD8" s="56"/>
      <c r="JJ8" s="93">
        <v>12</v>
      </c>
      <c r="JZ8" s="56"/>
      <c r="KF8" s="93">
        <v>12</v>
      </c>
      <c r="KV8" s="56"/>
      <c r="LB8" s="93">
        <v>12</v>
      </c>
      <c r="LR8" s="56"/>
      <c r="LX8" s="93">
        <v>12</v>
      </c>
      <c r="MN8" s="56"/>
      <c r="MT8" s="93">
        <v>12</v>
      </c>
    </row>
    <row r="9" spans="1:381" x14ac:dyDescent="0.2">
      <c r="A9" s="56"/>
      <c r="B9" s="92" t="s">
        <v>86</v>
      </c>
      <c r="C9" s="55"/>
      <c r="AL9" s="56"/>
      <c r="AR9" s="94">
        <v>12</v>
      </c>
      <c r="BI9" s="56"/>
      <c r="BO9" s="94">
        <v>12</v>
      </c>
      <c r="CF9" s="56"/>
      <c r="CL9" s="94">
        <v>12</v>
      </c>
      <c r="DF9" s="56"/>
      <c r="DL9" s="94">
        <v>12</v>
      </c>
      <c r="EB9" s="56"/>
      <c r="EH9" s="94">
        <v>12</v>
      </c>
      <c r="EX9" s="56"/>
      <c r="FD9" s="94">
        <v>12</v>
      </c>
      <c r="FT9" s="56"/>
      <c r="FZ9" s="94">
        <v>12</v>
      </c>
      <c r="GP9" s="56"/>
      <c r="GV9" s="94">
        <v>12</v>
      </c>
      <c r="HL9" s="56"/>
      <c r="HR9" s="94">
        <v>12</v>
      </c>
      <c r="IH9" s="56"/>
      <c r="IN9" s="94">
        <v>12</v>
      </c>
      <c r="JD9" s="56"/>
      <c r="JJ9" s="94">
        <v>12</v>
      </c>
      <c r="JZ9" s="56"/>
      <c r="KF9" s="94">
        <v>12</v>
      </c>
      <c r="KV9" s="56"/>
      <c r="LB9" s="94">
        <v>12</v>
      </c>
      <c r="LR9" s="56"/>
      <c r="LX9" s="94">
        <v>12</v>
      </c>
      <c r="MN9" s="56"/>
      <c r="MT9" s="94">
        <v>12</v>
      </c>
    </row>
    <row r="10" spans="1:381" x14ac:dyDescent="0.2">
      <c r="A10" s="56"/>
      <c r="B10" s="120" t="s">
        <v>102</v>
      </c>
      <c r="C10" s="55"/>
      <c r="AL10" s="56"/>
      <c r="AR10" s="121">
        <v>12</v>
      </c>
      <c r="BI10" s="56"/>
      <c r="BO10" s="121">
        <v>12</v>
      </c>
      <c r="CF10" s="56"/>
      <c r="CL10" s="121">
        <v>12</v>
      </c>
      <c r="DF10" s="56"/>
      <c r="DL10" s="121">
        <v>12</v>
      </c>
      <c r="EB10" s="56"/>
      <c r="EH10" s="121">
        <v>12</v>
      </c>
      <c r="EX10" s="56"/>
      <c r="FD10" s="121">
        <v>12</v>
      </c>
      <c r="FT10" s="56"/>
      <c r="FZ10" s="121">
        <v>12</v>
      </c>
      <c r="GP10" s="56"/>
      <c r="GV10" s="121">
        <v>12</v>
      </c>
      <c r="HL10" s="56"/>
      <c r="HR10" s="121">
        <v>12</v>
      </c>
      <c r="IH10" s="56"/>
      <c r="IN10" s="121">
        <v>12</v>
      </c>
      <c r="JD10" s="56"/>
      <c r="JJ10" s="121">
        <v>12</v>
      </c>
      <c r="JZ10" s="56"/>
      <c r="KF10" s="121">
        <v>12</v>
      </c>
      <c r="KV10" s="56"/>
      <c r="LB10" s="121">
        <v>12</v>
      </c>
      <c r="LR10" s="56"/>
      <c r="LX10" s="121">
        <v>12</v>
      </c>
      <c r="MN10" s="56"/>
      <c r="MT10" s="121">
        <v>12</v>
      </c>
    </row>
    <row r="11" spans="1:381" x14ac:dyDescent="0.2">
      <c r="A11" s="56"/>
      <c r="B11" s="118" t="s">
        <v>67</v>
      </c>
      <c r="C11" s="55"/>
      <c r="AL11" s="56"/>
      <c r="AR11" s="119">
        <v>81.400000000000006</v>
      </c>
      <c r="BI11" s="56"/>
      <c r="BO11" s="119">
        <v>81.400000000000006</v>
      </c>
      <c r="CF11" s="56"/>
      <c r="CL11" s="119">
        <v>81.400000000000006</v>
      </c>
      <c r="DF11" s="56"/>
      <c r="DL11" s="119">
        <v>81.400000000000006</v>
      </c>
      <c r="EB11" s="56"/>
      <c r="EH11" s="119">
        <v>81.400000000000006</v>
      </c>
      <c r="EX11" s="56"/>
      <c r="FD11" s="119">
        <v>81.400000000000006</v>
      </c>
      <c r="FT11" s="56"/>
      <c r="FZ11" s="119">
        <v>81.400000000000006</v>
      </c>
      <c r="GP11" s="56"/>
      <c r="GV11" s="119">
        <v>81.400000000000006</v>
      </c>
      <c r="HL11" s="56"/>
      <c r="HR11" s="119">
        <v>81.400000000000006</v>
      </c>
      <c r="IH11" s="56"/>
      <c r="IN11" s="119">
        <v>81.400000000000006</v>
      </c>
      <c r="JD11" s="56"/>
      <c r="JJ11" s="119">
        <v>81.400000000000006</v>
      </c>
      <c r="JZ11" s="56"/>
      <c r="KF11" s="119">
        <v>81.400000000000006</v>
      </c>
      <c r="KV11" s="56"/>
      <c r="LB11" s="119">
        <v>81.400000000000006</v>
      </c>
      <c r="LR11" s="56"/>
      <c r="LX11" s="119">
        <v>81.400000000000006</v>
      </c>
      <c r="MN11" s="56"/>
      <c r="MT11" s="119">
        <v>81.400000000000006</v>
      </c>
    </row>
    <row r="12" spans="1:381" x14ac:dyDescent="0.2">
      <c r="A12" s="56"/>
      <c r="B12" s="72" t="s">
        <v>68</v>
      </c>
      <c r="C12" s="55"/>
      <c r="AL12" s="56"/>
      <c r="AR12" s="66">
        <v>83.4</v>
      </c>
      <c r="BI12" s="56"/>
      <c r="BO12" s="66">
        <v>83.4</v>
      </c>
      <c r="CF12" s="56"/>
      <c r="CL12" s="66">
        <v>83.4</v>
      </c>
      <c r="DF12" s="56"/>
      <c r="DL12" s="66">
        <v>83.4</v>
      </c>
      <c r="EB12" s="56"/>
      <c r="EH12" s="66">
        <v>83.4</v>
      </c>
      <c r="EX12" s="56"/>
      <c r="FD12" s="66">
        <v>83.4</v>
      </c>
      <c r="FT12" s="56"/>
      <c r="FZ12" s="66">
        <v>83.4</v>
      </c>
      <c r="GP12" s="56"/>
      <c r="GV12" s="66">
        <v>83.4</v>
      </c>
      <c r="HL12" s="56"/>
      <c r="HR12" s="66">
        <v>83.4</v>
      </c>
      <c r="IH12" s="56"/>
      <c r="IN12" s="66">
        <v>83.4</v>
      </c>
      <c r="JD12" s="56"/>
      <c r="JJ12" s="66">
        <v>83.4</v>
      </c>
      <c r="JZ12" s="56"/>
      <c r="KF12" s="66">
        <v>83.4</v>
      </c>
      <c r="KV12" s="56"/>
      <c r="LB12" s="66">
        <v>83.4</v>
      </c>
      <c r="LR12" s="56"/>
      <c r="LX12" s="66">
        <v>83.4</v>
      </c>
      <c r="MN12" s="56"/>
      <c r="MT12" s="66">
        <v>83.4</v>
      </c>
    </row>
    <row r="13" spans="1:381" x14ac:dyDescent="0.2">
      <c r="A13" s="56"/>
      <c r="B13" s="116" t="s">
        <v>84</v>
      </c>
      <c r="C13" s="55"/>
      <c r="AL13" s="56"/>
      <c r="AR13" s="117">
        <v>45.7</v>
      </c>
      <c r="BI13" s="56"/>
      <c r="BN13" s="129"/>
      <c r="BO13" s="117">
        <v>45.7</v>
      </c>
      <c r="CF13" s="56"/>
      <c r="CL13" s="117">
        <v>45.7</v>
      </c>
      <c r="DF13" s="56"/>
      <c r="DL13" s="117">
        <v>45.7</v>
      </c>
      <c r="EB13" s="56"/>
      <c r="EH13" s="117">
        <v>45.7</v>
      </c>
      <c r="EX13" s="56"/>
      <c r="FC13" s="130"/>
      <c r="FD13" s="117">
        <v>45.7</v>
      </c>
      <c r="FT13" s="56"/>
      <c r="FZ13" s="117">
        <v>45.7</v>
      </c>
      <c r="GP13" s="56"/>
      <c r="GV13" s="117">
        <v>45.7</v>
      </c>
      <c r="HL13" s="56"/>
      <c r="HR13" s="117">
        <v>45.7</v>
      </c>
      <c r="IH13" s="56"/>
      <c r="IN13" s="117">
        <v>45.7</v>
      </c>
      <c r="JD13" s="56"/>
      <c r="JJ13" s="117">
        <v>45.7</v>
      </c>
      <c r="JZ13" s="56"/>
      <c r="KF13" s="117">
        <v>45.7</v>
      </c>
      <c r="KV13" s="56"/>
      <c r="LB13" s="117">
        <v>45.7</v>
      </c>
      <c r="LR13" s="56"/>
      <c r="LX13" s="117">
        <v>45.7</v>
      </c>
      <c r="MN13" s="56"/>
      <c r="MT13" s="117">
        <v>45.7</v>
      </c>
    </row>
    <row r="14" spans="1:381" x14ac:dyDescent="0.2">
      <c r="A14" s="56"/>
      <c r="B14" s="74" t="s">
        <v>51</v>
      </c>
      <c r="C14" s="55"/>
      <c r="AL14" s="56"/>
      <c r="AR14" s="68">
        <v>46.8</v>
      </c>
      <c r="BI14" s="56"/>
      <c r="BN14" s="130"/>
      <c r="BO14" s="68">
        <v>46.8</v>
      </c>
      <c r="CF14" s="56"/>
      <c r="CL14" s="68">
        <v>46.8</v>
      </c>
      <c r="DF14" s="56"/>
      <c r="DL14" s="68">
        <v>46.8</v>
      </c>
      <c r="EB14" s="56"/>
      <c r="EG14" s="130"/>
      <c r="EH14" s="68">
        <v>46.8</v>
      </c>
      <c r="EX14" s="56"/>
      <c r="FD14" s="68">
        <v>46.8</v>
      </c>
      <c r="FT14" s="56"/>
      <c r="FY14" s="133"/>
      <c r="FZ14" s="68">
        <v>46.8</v>
      </c>
      <c r="GP14" s="56"/>
      <c r="GV14" s="68">
        <v>46.8</v>
      </c>
      <c r="HL14" s="56"/>
      <c r="HR14" s="68">
        <v>46.8</v>
      </c>
      <c r="IH14" s="56"/>
      <c r="IN14" s="68">
        <v>46.8</v>
      </c>
      <c r="JD14" s="56"/>
      <c r="JJ14" s="68">
        <v>46.8</v>
      </c>
      <c r="JZ14" s="56"/>
      <c r="KF14" s="68">
        <v>46.8</v>
      </c>
      <c r="KV14" s="56"/>
      <c r="LB14" s="68">
        <v>46.8</v>
      </c>
      <c r="LR14" s="56"/>
      <c r="LX14" s="68">
        <v>46.8</v>
      </c>
      <c r="MN14" s="56"/>
      <c r="MT14" s="68">
        <v>46.8</v>
      </c>
    </row>
    <row r="15" spans="1:381" x14ac:dyDescent="0.2">
      <c r="B15" s="82" t="s">
        <v>75</v>
      </c>
      <c r="C15" s="2"/>
      <c r="DG15" s="54"/>
    </row>
    <row r="16" spans="1:381" x14ac:dyDescent="0.2">
      <c r="A16" s="56"/>
      <c r="B16" s="56"/>
      <c r="C16" s="55"/>
    </row>
    <row r="17" spans="1:21" ht="17" x14ac:dyDescent="0.2">
      <c r="A17" s="56"/>
      <c r="B17" s="56"/>
      <c r="C17" s="55"/>
      <c r="S17" s="19"/>
      <c r="T17" s="19"/>
      <c r="U17" s="19"/>
    </row>
    <row r="18" spans="1:21" ht="17" x14ac:dyDescent="0.2">
      <c r="A18" s="56"/>
      <c r="B18" s="56"/>
      <c r="C18" s="55"/>
      <c r="S18" s="19"/>
      <c r="T18" s="19"/>
      <c r="U18" s="19"/>
    </row>
    <row r="19" spans="1:21" ht="17" x14ac:dyDescent="0.2">
      <c r="S19" s="19"/>
      <c r="T19" s="19"/>
      <c r="U19" s="19"/>
    </row>
    <row r="20" spans="1:21" ht="17" x14ac:dyDescent="0.2">
      <c r="S20" s="19"/>
      <c r="T20" s="19"/>
      <c r="U20" s="19"/>
    </row>
    <row r="21" spans="1:21" ht="17" x14ac:dyDescent="0.2">
      <c r="S21" s="19"/>
      <c r="T21" s="19"/>
      <c r="U21" s="19"/>
    </row>
    <row r="22" spans="1:21" ht="17" x14ac:dyDescent="0.2">
      <c r="S22" s="19"/>
      <c r="T22" s="19"/>
      <c r="U22" s="19"/>
    </row>
    <row r="23" spans="1:21" ht="17" x14ac:dyDescent="0.2">
      <c r="S23" s="19"/>
      <c r="T23" s="19"/>
      <c r="U23" s="19"/>
    </row>
    <row r="24" spans="1:21" ht="17" x14ac:dyDescent="0.2">
      <c r="S24" s="19"/>
      <c r="T24" s="19"/>
      <c r="U24" s="19"/>
    </row>
    <row r="25" spans="1:21" ht="17" x14ac:dyDescent="0.2">
      <c r="S25" s="19"/>
      <c r="T25" s="19"/>
      <c r="U25" s="19"/>
    </row>
    <row r="26" spans="1:21" ht="17" x14ac:dyDescent="0.2">
      <c r="S26" s="19"/>
      <c r="T26" s="19"/>
      <c r="U26" s="19"/>
    </row>
    <row r="27" spans="1:21" ht="17" x14ac:dyDescent="0.2">
      <c r="S27" s="19"/>
      <c r="T27" s="19"/>
      <c r="U27" s="19"/>
    </row>
    <row r="28" spans="1:21" ht="17" x14ac:dyDescent="0.2">
      <c r="S28" s="19"/>
      <c r="T28" s="19"/>
      <c r="U28" s="19"/>
    </row>
    <row r="29" spans="1:21" ht="17" x14ac:dyDescent="0.2">
      <c r="S29" s="19"/>
      <c r="T29" s="19"/>
      <c r="U29" s="19"/>
    </row>
    <row r="30" spans="1:21" ht="17" x14ac:dyDescent="0.2">
      <c r="S30" s="19"/>
      <c r="T30" s="19"/>
      <c r="U30" s="19"/>
    </row>
    <row r="31" spans="1:21" ht="17" x14ac:dyDescent="0.2">
      <c r="S31" s="19"/>
      <c r="T31" s="19"/>
      <c r="U31" s="19"/>
    </row>
    <row r="32" spans="1:21" ht="17" x14ac:dyDescent="0.2">
      <c r="S32" s="19"/>
      <c r="T32" s="19"/>
      <c r="U32" s="19"/>
    </row>
    <row r="33" spans="19:21" ht="17" x14ac:dyDescent="0.2">
      <c r="S33" s="19"/>
      <c r="T33" s="19"/>
      <c r="U33" s="19"/>
    </row>
    <row r="34" spans="19:21" ht="17" x14ac:dyDescent="0.2">
      <c r="S34" s="19"/>
      <c r="T34" s="19"/>
      <c r="U34" s="19"/>
    </row>
    <row r="35" spans="19:21" ht="17" x14ac:dyDescent="0.2">
      <c r="S35" s="19"/>
      <c r="T35" s="19"/>
      <c r="U35" s="19"/>
    </row>
    <row r="36" spans="19:21" ht="17" x14ac:dyDescent="0.2">
      <c r="S36" s="19"/>
      <c r="T36" s="19"/>
      <c r="U36" s="19"/>
    </row>
  </sheetData>
  <sheetProtection sheet="1" formatCells="0" formatColumns="0" formatRows="0"/>
  <autoFilter ref="A1:NQ4" xr:uid="{AE4FD1AF-3A2D-F34C-B2FB-785747FBF47E}"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90" showButton="0"/>
    <filterColumn colId="91" showButton="0"/>
    <filterColumn colId="92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sortState xmlns:xlrd2="http://schemas.microsoft.com/office/spreadsheetml/2017/richdata2" ref="A4:NQ4">
      <sortCondition descending="1" ref="F1:F5"/>
    </sortState>
  </autoFilter>
  <mergeCells count="86">
    <mergeCell ref="MU2:MY2"/>
    <mergeCell ref="MZ2:ND2"/>
    <mergeCell ref="NE2:NI2"/>
    <mergeCell ref="LC2:LG2"/>
    <mergeCell ref="LH2:LL2"/>
    <mergeCell ref="LM2:LQ2"/>
    <mergeCell ref="LY2:MC2"/>
    <mergeCell ref="MD2:MH2"/>
    <mergeCell ref="MI2:MM2"/>
    <mergeCell ref="KQ2:KU2"/>
    <mergeCell ref="HS2:HW2"/>
    <mergeCell ref="HX2:IB2"/>
    <mergeCell ref="IC2:IG2"/>
    <mergeCell ref="IO2:IS2"/>
    <mergeCell ref="IT2:IX2"/>
    <mergeCell ref="IY2:JC2"/>
    <mergeCell ref="JK2:JO2"/>
    <mergeCell ref="JP2:JT2"/>
    <mergeCell ref="JU2:JY2"/>
    <mergeCell ref="KG2:KK2"/>
    <mergeCell ref="KL2:KP2"/>
    <mergeCell ref="HG2:HK2"/>
    <mergeCell ref="EI2:EM2"/>
    <mergeCell ref="EN2:ER2"/>
    <mergeCell ref="ES2:EW2"/>
    <mergeCell ref="FE2:FI2"/>
    <mergeCell ref="FJ2:FN2"/>
    <mergeCell ref="FO2:FS2"/>
    <mergeCell ref="GA2:GE2"/>
    <mergeCell ref="GF2:GJ2"/>
    <mergeCell ref="GK2:GO2"/>
    <mergeCell ref="GW2:HA2"/>
    <mergeCell ref="HB2:HF2"/>
    <mergeCell ref="CQ2:CU2"/>
    <mergeCell ref="CV2:CZ2"/>
    <mergeCell ref="DA2:DE2"/>
    <mergeCell ref="DM2:DQ2"/>
    <mergeCell ref="DR2:DV2"/>
    <mergeCell ref="DW2:EA2"/>
    <mergeCell ref="MU1:NQ1"/>
    <mergeCell ref="V2:Z2"/>
    <mergeCell ref="AA2:AE2"/>
    <mergeCell ref="AF2:AJ2"/>
    <mergeCell ref="AS2:AW2"/>
    <mergeCell ref="AX2:BB2"/>
    <mergeCell ref="BC2:BG2"/>
    <mergeCell ref="BP2:BT2"/>
    <mergeCell ref="BU2:BY2"/>
    <mergeCell ref="BZ2:CD2"/>
    <mergeCell ref="HS1:IN1"/>
    <mergeCell ref="IO1:JJ1"/>
    <mergeCell ref="JK1:KF1"/>
    <mergeCell ref="KG1:LB1"/>
    <mergeCell ref="LC1:LX1"/>
    <mergeCell ref="LY1:MT1"/>
    <mergeCell ref="CQ1:DL1"/>
    <mergeCell ref="DM1:EH1"/>
    <mergeCell ref="EI1:FD1"/>
    <mergeCell ref="FE1:FZ1"/>
    <mergeCell ref="GA1:GV1"/>
    <mergeCell ref="GW1:HR1"/>
    <mergeCell ref="CM1:CP1"/>
    <mergeCell ref="N1:N3"/>
    <mergeCell ref="O1:O3"/>
    <mergeCell ref="P1:P3"/>
    <mergeCell ref="Q1:Q3"/>
    <mergeCell ref="R1:R3"/>
    <mergeCell ref="S1:S3"/>
    <mergeCell ref="T1:T3"/>
    <mergeCell ref="U1:U3"/>
    <mergeCell ref="V1:AR1"/>
    <mergeCell ref="AS1:BO1"/>
    <mergeCell ref="BP1:CL1"/>
    <mergeCell ref="M1:M3"/>
    <mergeCell ref="A1:A3"/>
    <mergeCell ref="B1:B3"/>
    <mergeCell ref="C1:C3"/>
    <mergeCell ref="D1:D3"/>
    <mergeCell ref="E1:E3"/>
    <mergeCell ref="G1:G3"/>
    <mergeCell ref="H1:H3"/>
    <mergeCell ref="I1:I3"/>
    <mergeCell ref="J1:J3"/>
    <mergeCell ref="K1:K3"/>
    <mergeCell ref="L1:L3"/>
    <mergeCell ref="F1:F3"/>
  </mergeCells>
  <phoneticPr fontId="22" type="noConversion"/>
  <conditionalFormatting sqref="V4:AR4">
    <cfRule type="expression" dxfId="109" priority="7" stopIfTrue="1">
      <formula>IF($AK4&lt;&gt;"",1,0)</formula>
    </cfRule>
  </conditionalFormatting>
  <conditionalFormatting sqref="AS4:BO4">
    <cfRule type="expression" dxfId="108" priority="8" stopIfTrue="1">
      <formula>IF($BH4&lt;&gt;"",1,0)</formula>
    </cfRule>
  </conditionalFormatting>
  <conditionalFormatting sqref="L1:L1048576 R1:R1048576 N1:N1048576 P1:P1048576">
    <cfRule type="expression" dxfId="107" priority="15">
      <formula>IF(L1=$BP$1,1,0)</formula>
    </cfRule>
    <cfRule type="expression" dxfId="106" priority="16">
      <formula>IF(L1=$AS$1,1,0)</formula>
    </cfRule>
    <cfRule type="expression" dxfId="105" priority="17">
      <formula>IF(L1=$V$1,1,0)</formula>
    </cfRule>
  </conditionalFormatting>
  <conditionalFormatting sqref="I1:I1048576">
    <cfRule type="containsText" dxfId="104" priority="10" operator="containsText" text="No DD">
      <formula>NOT(ISERROR(SEARCH("No DD",I1)))</formula>
    </cfRule>
    <cfRule type="containsText" dxfId="103" priority="11" operator="containsText" text="Merit">
      <formula>NOT(ISERROR(SEARCH("Merit",I1)))</formula>
    </cfRule>
    <cfRule type="containsText" dxfId="102" priority="12" operator="containsText" text="Excellence">
      <formula>NOT(ISERROR(SEARCH("Excellence",I1)))</formula>
    </cfRule>
    <cfRule type="containsText" dxfId="101" priority="13" operator="containsText" text="Worlds Team">
      <formula>NOT(ISERROR(SEARCH("Worlds Team",I1)))</formula>
    </cfRule>
    <cfRule type="containsText" dxfId="100" priority="14" operator="containsText" text="National Team">
      <formula>NOT(ISERROR(SEARCH("National Team",I1)))</formula>
    </cfRule>
  </conditionalFormatting>
  <conditionalFormatting sqref="BP4:CL4">
    <cfRule type="expression" dxfId="99" priority="9" stopIfTrue="1">
      <formula>IF($CE4&lt;&gt;"",1,0)</formula>
    </cfRule>
  </conditionalFormatting>
  <conditionalFormatting sqref="A1:A1048576">
    <cfRule type="expression" dxfId="98" priority="32">
      <formula>AND(H1&lt;&gt;"",G1="")</formula>
    </cfRule>
  </conditionalFormatting>
  <conditionalFormatting sqref="BN15:BN1048576 AQ1:AQ1048576 BN1:BN13 CK1:CK1048576 DK1:DK1048576 EG1:EG13 FC1:FC12 FY1:FY13 GU1:GU1048576 HQ1:HQ1048576 IM1:IM1048576 JI1:JI1048576 KE1:KE1048576 LA1:LA1048576 LW1:LW1048576 MS1:MS1048576 EG15:EG1048576 FC14:FC1048576 FY15:FY1048576">
    <cfRule type="cellIs" dxfId="97" priority="38252" operator="between">
      <formula>AR$14</formula>
      <formula>1000</formula>
    </cfRule>
    <cfRule type="cellIs" dxfId="96" priority="38253" operator="between">
      <formula>AR$13</formula>
      <formula>AR$14</formula>
    </cfRule>
  </conditionalFormatting>
  <conditionalFormatting sqref="EG14">
    <cfRule type="cellIs" dxfId="95" priority="3" operator="between">
      <formula>EH$16</formula>
      <formula>1000</formula>
    </cfRule>
    <cfRule type="cellIs" dxfId="94" priority="4" operator="between">
      <formula>EH$15</formula>
      <formula>EH$16</formula>
    </cfRule>
  </conditionalFormatting>
  <conditionalFormatting sqref="FC13">
    <cfRule type="cellIs" dxfId="93" priority="1" operator="between">
      <formula>FD$16</formula>
      <formula>1000</formula>
    </cfRule>
    <cfRule type="cellIs" dxfId="92" priority="2" operator="between">
      <formula>FD$15</formula>
      <formula>FD$16</formula>
    </cfRule>
  </conditionalFormatting>
  <conditionalFormatting sqref="AL1:AL1048576 BI1:BI1048576 CF1:CF1048576 DF1:DF1048576 EB1:EB1048576 EX1:EX1048576 FT1:FT1048576 GP1:GP1048576 HL1:HL1048576 IH1:IH1048576 JD1:JD1048576 JZ1:JZ1048576 KV1:KV1048576 LR1:LR1048576 MN1:MN1048576">
    <cfRule type="cellIs" dxfId="91" priority="49230" operator="between">
      <formula>AR$10</formula>
      <formula>1000</formula>
    </cfRule>
    <cfRule type="cellIs" dxfId="90" priority="49231" operator="between">
      <formula>AR$9</formula>
      <formula>AR$10</formula>
    </cfRule>
    <cfRule type="cellIs" dxfId="89" priority="49232" operator="between">
      <formula>AR$8</formula>
      <formula>AR$9</formula>
    </cfRule>
    <cfRule type="cellIs" dxfId="88" priority="49233" operator="between">
      <formula>AR$7</formula>
      <formula>AR$8</formula>
    </cfRule>
  </conditionalFormatting>
  <conditionalFormatting sqref="AN1:AN1048576 BK1:BK1048576 CH1:CH1048576 DH1:DH1048576 ED1:ED1048576 EZ1:EZ1048576 FV1:FV1048576 GR1:GR1048576 HN1:HN1048576 IJ1:IJ1048576 JF1:JF1048576 KB1:KB1048576 KX1:KX1048576 LT1:LT1048576 MP1:MP1048576">
    <cfRule type="cellIs" dxfId="87" priority="49410" operator="between">
      <formula>AR$14</formula>
      <formula>1000</formula>
    </cfRule>
    <cfRule type="cellIs" dxfId="86" priority="49411" operator="between">
      <formula>AR$13</formula>
      <formula>AR$14</formula>
    </cfRule>
  </conditionalFormatting>
  <conditionalFormatting sqref="AO1:AO1048576 BL1:BL1048576 CI1:CI1048576 DI1:DI1048576 EE1:EE1048576 FA1:FA1048576 FW1:FW1048576 GS1:GS1048576 HO1:HO1048576 IK1:IK1048576 JG1:JG1048576 KC1:KC1048576 KY1:KY1048576 LU1:LU1048576 MQ1:MQ1048576">
    <cfRule type="cellIs" dxfId="85" priority="49500" operator="between">
      <formula>AR$12</formula>
      <formula>1000</formula>
    </cfRule>
    <cfRule type="cellIs" dxfId="84" priority="49501" operator="between">
      <formula>AR$11</formula>
      <formula>AR$12</formula>
    </cfRule>
  </conditionalFormatting>
  <conditionalFormatting sqref="AP1:AP1048576 BM1:BM1048576 CJ1:CJ1048576 DJ1:DJ1048576 EF1:EF1048576 FB1:FB1048576 FX1:FX1048576 GT1:GT1048576 HP1:HP1048576 IL1:IL1048576 JH1:JH1048576 KD1:KD1048576 KZ1:KZ1048576 LV1:LV1048576 MR1:MR1048576">
    <cfRule type="cellIs" dxfId="83" priority="49590" operator="between">
      <formula>AR$10</formula>
      <formula>1000</formula>
    </cfRule>
    <cfRule type="cellIs" dxfId="82" priority="49591" operator="between">
      <formula>AR$9</formula>
      <formula>AR$10</formula>
    </cfRule>
    <cfRule type="cellIs" dxfId="81" priority="49592" operator="between">
      <formula>AR$8</formula>
      <formula>AR$9</formula>
    </cfRule>
    <cfRule type="cellIs" dxfId="80" priority="49593" operator="between">
      <formula>AR$7</formula>
      <formula>AR$8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/>
  <dimension ref="A1:MT37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5" customWidth="1"/>
    <col min="6" max="6" width="16.1640625" customWidth="1"/>
    <col min="8" max="8" width="13.33203125" style="126" bestFit="1" customWidth="1"/>
    <col min="9" max="9" width="15.16406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31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IF(AND(F4="P",G4="P"),SUMPRODUCT((F$4:F$6="P")*(G$4:G$6="P")*(E$4:E$6&gt;E4))+1,IF(G4="P",SUMPRODUCT((F$4:F$6="")*(G$4:G$6="P")*(E$4:E$6&gt;E4))+1+SUMPRODUCT((F$4:F$6="P")*(G$4:G$6="P")),""))</f>
        <v>1</v>
      </c>
      <c r="B4" s="6" t="s">
        <v>114</v>
      </c>
      <c r="C4" s="7" t="s">
        <v>5</v>
      </c>
      <c r="D4" s="27">
        <v>2002</v>
      </c>
      <c r="E4" s="15">
        <f>SUM(J4:N4)</f>
        <v>128</v>
      </c>
      <c r="F4" s="3" t="str">
        <f>IF(OR(AND(AH4&gt;=AL$8,AI4&gt;=AL$12,AI4&lt;&gt;"",AG4=""),AND(BD4&gt;=BH$8,BE4&gt;=BH$12,BE4&lt;&gt;"",BC4=""),AND(BZ4&gt;=CD$8,CA4&gt;=CD$12,CA4&lt;&gt;"",BY4=""),AND(CW4&gt;=DA$8,CX4&gt;=DA$12,CX4&lt;&gt;""),AND(DR4&gt;=DV$8,DS4&gt;=DV$12,DS4&lt;&gt;""),AND(EM4&gt;=EQ$8,EN4&gt;=EQ$12,EN4&lt;&gt;""),AND(FH4&gt;=FL$8,FI4&gt;=FL$12,FI4&lt;&gt;""),AND(GC4&gt;=GG$8,GD4&gt;=GG$12,GD4&lt;&gt;""),AND(GX4&gt;=HB$8,GY4&gt;=HB$12,GY4&lt;&gt;""),AND(HS4&gt;=HW$8,HT4&gt;=HW$12,HT4&lt;&gt;""),AND(IN4&gt;=IR$8,IO4&gt;=IR$12,IO4&lt;&gt;""),AND(JI4&gt;=JM$8,JJ4&gt;=JM$12,JJ4&lt;&gt;""),AND(KD4&gt;=KH$8,KE4&gt;=KH$12,KE4&lt;&gt;""),AND(KY4&gt;=LC$8,KZ4&gt;=LC$12,KZ4&lt;&gt;""),AND(LT4&gt;=LX$8,LU4&gt;=LX$12,LU4&lt;&gt;"")),"P","")</f>
        <v>P</v>
      </c>
      <c r="G4" s="3" t="str">
        <f>IF(OR(AND(AI4&gt;=AL$12,AI4&lt;&gt;"",AG4=""),AND(BE4&gt;=BH$12,BE4&lt;&gt;"",BC4=""),AND(CA4&gt;=CD$12,CA4&lt;&gt;"",BY4=""),AND(CX4&gt;=DA$12,CX4&lt;&gt;""),AND(DS4&gt;=DV$12,DS4&lt;&gt;""),AND(EN4&gt;=EQ$12,EN4&lt;&gt;""),AND(FI4&gt;=FL$12,FI4&lt;&gt;""),AND(GD4&gt;=GG$12,GD4&lt;&gt;""),AND(GY4&gt;=HB$12,GY4&lt;&gt;""),AND(HT4&gt;=HW$12,HT4&lt;&gt;""),AND(IO4&gt;=IR$12,IO4&lt;&gt;""),AND(JJ4&gt;=JM$12,JJ4&lt;&gt;""),AND(KE4&gt;=KH$12,KE4&lt;&gt;""),AND(KZ4&gt;=LC$12,KZ4&lt;&gt;""),AND(LU4&gt;=LX$12,LU4&lt;&gt;"")),"P","")</f>
        <v>P</v>
      </c>
      <c r="H4" s="126" t="str">
        <f>IF(AND(G4="P",F4=""),"No DD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Merit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Excellence",IF(OR(AND(AI4&gt;=AL$13,AI4&lt;&gt;"",AH4&gt;=AL$9,AH4&lt;&gt;"",AG4=""),AND(BE4&gt;=BH$13,BE4&lt;&gt;"",BD4&gt;=BH$9,BD4&lt;&gt;"",BC4=""),AND(CA4&gt;=CD$13,CA4&lt;&gt;"",BZ4&gt;=CD$9,BZ4&lt;&gt;"",BY4=""),AND(CX4&gt;=DA$13,CX4&lt;&gt;"",CW4&gt;=DA$9,CW4&lt;&gt;""),AND(DS4&gt;=DV$13,DS4&lt;&gt;"",DR4&gt;=DV$9,DR4&lt;&gt;""),AND(EN4&gt;=EQ$13,EN4&lt;&gt;"",EM4&gt;=EQ$9,EM4&lt;&gt;""),AND(FI4&gt;=FL$13,FI4&lt;&gt;"",FH4&gt;=FL$9,FH4&lt;&gt;""),AND(GD4&gt;=GG$13,GD4&lt;&gt;"",GC4&gt;=GG$9,GC4&lt;&gt;""),AND(GY4&gt;=HB$13,GY4&lt;&gt;"",GX4&gt;=HB$9,GX4&lt;&gt;""),AND(HT4&gt;=HW$13,HT4&lt;&gt;"",HS4&gt;=HW$9,HS4&lt;&gt;""),AND(IO4&gt;=IR$13,IO4&lt;&gt;"",IN4&gt;=IR$9,IN4&lt;&gt;""),AND(JJ4&gt;=JM$13,JJ4&lt;&gt;"",JI4&gt;=JM$9,JI4&lt;&gt;""),AND(KE4&gt;=KH$13,KE4&lt;&gt;"",KD4&gt;=KH$9,KD4&lt;&gt;""),AND(KZ4&gt;=LC$13,KZ4&lt;&gt;"",KY4&gt;=LC$9,KY4&lt;&gt;""),AND(LU4&gt;=LX$13,LU4&lt;&gt;"",LT4&gt;=LX$9,LT4&lt;&gt;"")),"Worlds Team",IF(OR(AND(AI4&gt;=AL$12,AI4&lt;&gt;"",AH4&gt;=AL$8,AH4&lt;&gt;"",AG4=""),AND(BE4&gt;=BH$12,BE4&lt;&gt;"",BD4&gt;=BH$8,BD4&lt;&gt;"",BC4=""),AND(CA4&gt;=CD$12,CA4&lt;&gt;"",BZ4&gt;=CD$8,BZ4&lt;&gt;"",BY4=""),AND(CX4&gt;=DA$12,CX4&lt;&gt;"",CW4&gt;=DA$8,CW4&lt;&gt;""),AND(DS4&gt;=DV$12,DS4&lt;&gt;"",DR4&gt;=DV$8,DR4&lt;&gt;""),AND(EN4&gt;=EQ$12,EN4&lt;&gt;"",EM4&gt;=EQ$8,EM4&lt;&gt;""),AND(FI4&gt;=FL$12,FI4&lt;&gt;"",FH4&gt;=FL$8,FH4&lt;&gt;""),AND(GD4&gt;=GG$12,GD4&lt;&gt;"",GC4&gt;=GG$8,GC4&lt;&gt;""),AND(GY4&gt;=HB$12,GY4&lt;&gt;"",GX4&gt;=HB$8,GX4&lt;&gt;""),AND(HT4&gt;=HW$12,HT4&lt;&gt;"",HS4&gt;=HW$8,HS4&lt;&gt;""),AND(IO4&gt;=IR$12,IO4&lt;&gt;"",IN4&gt;=IR$8,IN4&lt;&gt;""),AND(JJ4&gt;=JM$12,JJ4&lt;&gt;"",JI4&gt;=JM$8,JI4&lt;&gt;""),AND(KE4&gt;=KH$12,KE4&lt;&gt;"",KD4&gt;=KH$8,KD4&lt;&gt;""),AND(KZ4&gt;=LC$12,KZ4&lt;&gt;"",KY4&gt;=LC$8,KY4&lt;&gt;""),AND(LU4&gt;=LX$12,LU4&lt;&gt;"",LT4&gt;=LX$8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63.9</v>
      </c>
      <c r="K4" s="14" t="str">
        <f>IF(J4=0,"",IF(J4=CA4,$BI$1,IF(J4=BE4,$AM$1,IF(J4=AI4,$Q$1,""))))</f>
        <v>2021 Elite Canada</v>
      </c>
      <c r="L4" s="14">
        <f>MAX(AK4,BG4,CC4)</f>
        <v>64.099999999999994</v>
      </c>
      <c r="M4" s="14" t="str">
        <f>IF(L4=0,"",IF(J4=CC4,$BI$1,IF(L4=BG4,$AM$1,IF(L4=AK4,$Q$1,""))))</f>
        <v>2021 Elite Canada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5">
        <v>27.2</v>
      </c>
      <c r="R4" s="45">
        <v>5.8</v>
      </c>
      <c r="S4" s="45">
        <v>0</v>
      </c>
      <c r="T4" s="45">
        <v>0</v>
      </c>
      <c r="U4" s="45">
        <v>24.7</v>
      </c>
      <c r="V4" s="45">
        <v>6.1</v>
      </c>
      <c r="W4" s="45">
        <v>0.3</v>
      </c>
      <c r="X4" s="45">
        <v>0</v>
      </c>
      <c r="Y4" s="45">
        <v>25.8</v>
      </c>
      <c r="Z4" s="45">
        <v>5.4</v>
      </c>
      <c r="AA4" s="45">
        <v>0.1</v>
      </c>
      <c r="AB4" s="45">
        <v>0</v>
      </c>
      <c r="AC4" s="45">
        <v>26.4</v>
      </c>
      <c r="AD4" s="45">
        <v>6.1</v>
      </c>
      <c r="AE4" s="45">
        <v>0</v>
      </c>
      <c r="AF4" s="45">
        <v>0</v>
      </c>
      <c r="AG4" s="80"/>
      <c r="AH4" s="11">
        <f>IF(SUM(R4,V4)&gt;0,SUM(R4,V4),"")</f>
        <v>11.899999999999999</v>
      </c>
      <c r="AI4" s="11">
        <f>IF(SUM(Q4:R4,T4:V4,X4)-S4-W4&gt;0,SUM(Q4:R4,T4:V4,X4)-S4-W4,"")</f>
        <v>63.500000000000007</v>
      </c>
      <c r="AJ4" s="11">
        <f>IF(SUM(Z4,AD4)&gt;0,SUM(Z4,AD4),"")</f>
        <v>11.5</v>
      </c>
      <c r="AK4" s="11">
        <f>IF(SUM(Y4:Z4,AB4:AD4,AF4)-SUM(AA4,AE4)&gt;0,SUM(Y4:Z4,AB4:AD4,AF4)-SUM(AA4,AE4),"")</f>
        <v>63.6</v>
      </c>
      <c r="AL4" s="11">
        <f>IF(SUM(AI4,AK4)&gt;0,SUM(AI4,AK4),"")</f>
        <v>127.10000000000001</v>
      </c>
      <c r="AM4" s="38">
        <v>26.3</v>
      </c>
      <c r="AN4" s="38">
        <v>5.8</v>
      </c>
      <c r="AO4" s="38">
        <v>0</v>
      </c>
      <c r="AP4" s="38">
        <v>0</v>
      </c>
      <c r="AQ4" s="38">
        <v>25.7</v>
      </c>
      <c r="AR4" s="38">
        <v>6.1</v>
      </c>
      <c r="AS4" s="38">
        <v>0</v>
      </c>
      <c r="AT4" s="38">
        <v>0</v>
      </c>
      <c r="AU4" s="38">
        <v>26.4</v>
      </c>
      <c r="AV4" s="38">
        <v>6.9</v>
      </c>
      <c r="AW4" s="38">
        <v>0</v>
      </c>
      <c r="AX4" s="38">
        <v>0</v>
      </c>
      <c r="AY4" s="38">
        <v>25.1</v>
      </c>
      <c r="AZ4" s="38">
        <v>5.7</v>
      </c>
      <c r="BA4" s="38">
        <v>0</v>
      </c>
      <c r="BB4" s="38">
        <v>0</v>
      </c>
      <c r="BC4" s="81"/>
      <c r="BD4" s="14">
        <f>IF(SUM(AN4,AR4)&gt;0,SUM(AN4,AR4),"")</f>
        <v>11.899999999999999</v>
      </c>
      <c r="BE4" s="14">
        <f>IF(SUM(AM4:AN4,AP4:AR4,AT4)-AO4-AS4&gt;0,SUM(AM4:AN4,AP4:AR4,AT4)-AO4-AS4,"")</f>
        <v>63.9</v>
      </c>
      <c r="BF4" s="14">
        <f>IF(SUM(AV4,AZ4)&gt;0,SUM(AV4,AZ4),"")</f>
        <v>12.600000000000001</v>
      </c>
      <c r="BG4" s="14">
        <f>IF(SUM(AU4:AV4,AX4:AZ4,BB4)-SUM(AW4,BA4)&gt;0,SUM(AU4:AV4,AX4:AZ4,BB4)-SUM(AW4,BA4),"")</f>
        <v>64.099999999999994</v>
      </c>
      <c r="BH4" s="14">
        <f>IF(SUM(BE4,BG4)&gt;0,SUM(BE4,BG4),"")</f>
        <v>128</v>
      </c>
      <c r="BI4" s="45">
        <v>23.7</v>
      </c>
      <c r="BJ4" s="45">
        <v>3</v>
      </c>
      <c r="BK4" s="45">
        <v>0</v>
      </c>
      <c r="BL4" s="45">
        <v>0</v>
      </c>
      <c r="BM4" s="45">
        <v>20.3</v>
      </c>
      <c r="BN4" s="45">
        <v>3.7</v>
      </c>
      <c r="BO4" s="45">
        <v>0</v>
      </c>
      <c r="BP4" s="45">
        <v>0</v>
      </c>
      <c r="BQ4" s="45"/>
      <c r="BR4" s="45"/>
      <c r="BS4" s="45"/>
      <c r="BT4" s="45"/>
      <c r="BU4" s="45"/>
      <c r="BV4" s="45"/>
      <c r="BW4" s="45"/>
      <c r="BX4" s="45"/>
      <c r="BY4" s="80"/>
      <c r="BZ4" s="11">
        <f>IF(SUM(BJ4,BN4)&gt;0,SUM(BJ4,BN4),"")</f>
        <v>6.7</v>
      </c>
      <c r="CA4" s="11">
        <f>IF(SUM(BI4:BJ4,BL4:BN4,BP4)-BK4-BO4&gt;0,SUM(BI4:BJ4,BL4:BN4,BP4)-BK4-BO4,"")</f>
        <v>50.7</v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>
        <f>IF(SUM(CA4,CC4)&gt;0,SUM(CA4,CC4),"")</f>
        <v>50.7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/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25</v>
      </c>
      <c r="LZ4" s="69">
        <f>IF($BY4="P",BJ4,(BJ4+AN4)/2)</f>
        <v>4.4000000000000004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23</v>
      </c>
      <c r="MD4" s="69">
        <f>IF($BY4="P",BN4,(BN4+AR4)/2)</f>
        <v>4.9000000000000004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13.2</v>
      </c>
      <c r="MH4" s="69">
        <f>IF($BY4="P",BR4,(BR4+AV4)/2)</f>
        <v>3.45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12.55</v>
      </c>
      <c r="ML4" s="69">
        <f>IF($BY4="P",BV4,(BV4+AZ4)/2)</f>
        <v>2.85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9.3000000000000007</v>
      </c>
      <c r="MQ4" s="11">
        <f>IF(SUM(LY4:LZ4,MB4:MD4,MF4)-MA4-ME4&gt;0,SUM(LY4:LZ4,MB4:MD4,MF4)-MA4-ME4,"")</f>
        <v>57.3</v>
      </c>
      <c r="MR4" s="11">
        <f>IF(SUM(MH4,ML4)&gt;0,SUM(MH4,ML4),"")</f>
        <v>6.3000000000000007</v>
      </c>
      <c r="MS4" s="11">
        <f>IF(SUM(MG4:MH4,MJ4:ML4,MN4)-SUM(MI4,MM4)&gt;0,SUM(MG4:MH4,MJ4:ML4,MN4)-SUM(MI4,MM4),"")</f>
        <v>32.049999999999997</v>
      </c>
      <c r="MT4" s="11">
        <f>IF(SUM(MQ4,MS4)&gt;0,SUM(MQ4,MS4),"")</f>
        <v>89.35</v>
      </c>
    </row>
    <row r="5" spans="1:358" x14ac:dyDescent="0.2">
      <c r="A5" s="5" t="str">
        <f>IF(AND(F5="P",G5="P"),SUMPRODUCT((F$4:F$6="P")*(G$4:G$6="P")*(E$4:E$6&gt;E5))+1,IF(G5="P",SUMPRODUCT((F$4:F$6="")*(G$4:G$6="P")*(E$4:E$6&gt;E5))+1+SUMPRODUCT((F$4:F$6="P")*(G$4:G$6="P")),""))</f>
        <v/>
      </c>
      <c r="B5" s="6" t="s">
        <v>47</v>
      </c>
      <c r="C5" s="7" t="s">
        <v>5</v>
      </c>
      <c r="D5" s="27">
        <v>1997</v>
      </c>
      <c r="E5" s="15">
        <f>SUM(J5:N5)</f>
        <v>122.6</v>
      </c>
      <c r="F5" s="3" t="str">
        <f>IF(OR(AND(AH5&gt;=AL$8,AI5&gt;=AL$12,AI5&lt;&gt;"",AG5=""),AND(BD5&gt;=BH$8,BE5&gt;=BH$12,BE5&lt;&gt;"",BC5=""),AND(BZ5&gt;=CD$8,CA5&gt;=CD$12,CA5&lt;&gt;"",BY5=""),AND(CW5&gt;=DA$8,CX5&gt;=DA$12,CX5&lt;&gt;""),AND(DR5&gt;=DV$8,DS5&gt;=DV$12,DS5&lt;&gt;""),AND(EM5&gt;=EQ$8,EN5&gt;=EQ$12,EN5&lt;&gt;""),AND(FH5&gt;=FL$8,FI5&gt;=FL$12,FI5&lt;&gt;""),AND(GC5&gt;=GG$8,GD5&gt;=GG$12,GD5&lt;&gt;""),AND(GX5&gt;=HB$8,GY5&gt;=HB$12,GY5&lt;&gt;""),AND(HS5&gt;=HW$8,HT5&gt;=HW$12,HT5&lt;&gt;""),AND(IN5&gt;=IR$8,IO5&gt;=IR$12,IO5&lt;&gt;""),AND(JI5&gt;=JM$8,JJ5&gt;=JM$12,JJ5&lt;&gt;""),AND(KD5&gt;=KH$8,KE5&gt;=KH$12,KE5&lt;&gt;""),AND(KY5&gt;=LC$8,KZ5&gt;=LC$12,KZ5&lt;&gt;""),AND(LT5&gt;=LX$8,LU5&gt;=LX$12,LU5&lt;&gt;"")),"P","")</f>
        <v/>
      </c>
      <c r="G5" s="3" t="str">
        <f>IF(OR(AND(AI5&gt;=AL$12,AI5&lt;&gt;"",AG5=""),AND(BE5&gt;=BH$12,BE5&lt;&gt;"",BC5=""),AND(CA5&gt;=CD$12,CA5&lt;&gt;"",BY5=""),AND(CX5&gt;=DA$12,CX5&lt;&gt;""),AND(DS5&gt;=DV$12,DS5&lt;&gt;""),AND(EN5&gt;=EQ$12,EN5&lt;&gt;""),AND(FI5&gt;=FL$12,FI5&lt;&gt;""),AND(GD5&gt;=GG$12,GD5&lt;&gt;""),AND(GY5&gt;=HB$12,GY5&lt;&gt;""),AND(HT5&gt;=HW$12,HT5&lt;&gt;""),AND(IO5&gt;=IR$12,IO5&lt;&gt;""),AND(JJ5&gt;=JM$12,JJ5&lt;&gt;""),AND(KE5&gt;=KH$12,KE5&lt;&gt;""),AND(KZ5&gt;=LC$12,KZ5&lt;&gt;""),AND(LU5&gt;=LX$12,LU5&lt;&gt;"")),"P","")</f>
        <v/>
      </c>
      <c r="H5" s="126" t="str">
        <f>IF(AND(G5="P",F5=""),"No DD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Merit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Excellence",IF(OR(AND(AI5&gt;=AL$13,AI5&lt;&gt;"",AH5&gt;=AL$9,AH5&lt;&gt;"",AG5=""),AND(BE5&gt;=BH$13,BE5&lt;&gt;"",BD5&gt;=BH$9,BD5&lt;&gt;"",BC5=""),AND(CA5&gt;=CD$13,CA5&lt;&gt;"",BZ5&gt;=CD$9,BZ5&lt;&gt;"",BY5=""),AND(CX5&gt;=DA$13,CX5&lt;&gt;"",CW5&gt;=DA$9,CW5&lt;&gt;""),AND(DS5&gt;=DV$13,DS5&lt;&gt;"",DR5&gt;=DV$9,DR5&lt;&gt;""),AND(EN5&gt;=EQ$13,EN5&lt;&gt;"",EM5&gt;=EQ$9,EM5&lt;&gt;""),AND(FI5&gt;=FL$13,FI5&lt;&gt;"",FH5&gt;=FL$9,FH5&lt;&gt;""),AND(GD5&gt;=GG$13,GD5&lt;&gt;"",GC5&gt;=GG$9,GC5&lt;&gt;""),AND(GY5&gt;=HB$13,GY5&lt;&gt;"",GX5&gt;=HB$9,GX5&lt;&gt;""),AND(HT5&gt;=HW$13,HT5&lt;&gt;"",HS5&gt;=HW$9,HS5&lt;&gt;""),AND(IO5&gt;=IR$13,IO5&lt;&gt;"",IN5&gt;=IR$9,IN5&lt;&gt;""),AND(JJ5&gt;=JM$13,JJ5&lt;&gt;"",JI5&gt;=JM$9,JI5&lt;&gt;""),AND(KE5&gt;=KH$13,KE5&lt;&gt;"",KD5&gt;=KH$9,KD5&lt;&gt;""),AND(KZ5&gt;=LC$13,KZ5&lt;&gt;"",KY5&gt;=LC$9,KY5&lt;&gt;""),AND(LU5&gt;=LX$13,LU5&lt;&gt;"",LT5&gt;=LX$9,LT5&lt;&gt;"")),"Worlds Team",IF(OR(AND(AI5&gt;=AL$12,AI5&lt;&gt;"",AH5&gt;=AL$8,AH5&lt;&gt;"",AG5=""),AND(BE5&gt;=BH$12,BE5&lt;&gt;"",BD5&gt;=BH$8,BD5&lt;&gt;"",BC5=""),AND(CA5&gt;=CD$12,CA5&lt;&gt;"",BZ5&gt;=CD$8,BZ5&lt;&gt;"",BY5=""),AND(CX5&gt;=DA$12,CX5&lt;&gt;"",CW5&gt;=DA$8,CW5&lt;&gt;""),AND(DS5&gt;=DV$12,DS5&lt;&gt;"",DR5&gt;=DV$8,DR5&lt;&gt;""),AND(EN5&gt;=EQ$12,EN5&lt;&gt;"",EM5&gt;=EQ$8,EM5&lt;&gt;""),AND(FI5&gt;=FL$12,FI5&lt;&gt;"",FH5&gt;=FL$8,FH5&lt;&gt;""),AND(GD5&gt;=GG$12,GD5&lt;&gt;"",GC5&gt;=GG$8,GC5&lt;&gt;""),AND(GY5&gt;=HB$12,GY5&lt;&gt;"",GX5&gt;=HB$8,GX5&lt;&gt;""),AND(HT5&gt;=HW$12,HT5&lt;&gt;"",HS5&gt;=HW$8,HS5&lt;&gt;""),AND(IO5&gt;=IR$12,IO5&lt;&gt;"",IN5&gt;=IR$8,IN5&lt;&gt;""),AND(JJ5&gt;=JM$12,JJ5&lt;&gt;"",JI5&gt;=JM$8,JI5&lt;&gt;""),AND(KE5&gt;=KH$12,KE5&lt;&gt;"",KD5&gt;=KH$8,KD5&lt;&gt;""),AND(KZ5&gt;=LC$12,KZ5&lt;&gt;"",KY5&gt;=LC$8,KY5&lt;&gt;""),AND(LU5&gt;=LX$12,LU5&lt;&gt;"",LT5&gt;=LX$8,LT5&lt;&gt;"")),"National Team","")))))</f>
        <v/>
      </c>
      <c r="I5" s="3" t="str">
        <f>IF(OR(H5="Worlds Team",H5="Excellence",H5="Merit"),"P","")</f>
        <v/>
      </c>
      <c r="J5" s="14">
        <f>MAX(AI5,BE5,CA5)</f>
        <v>61.5</v>
      </c>
      <c r="K5" s="14" t="str">
        <f>IF(J5=0,"",IF(J5=CA5,$BI$1,IF(J5=BE5,$AM$1,IF(J5=AI5,$Q$1,""))))</f>
        <v>2021 2nd Virtual Technical Trial</v>
      </c>
      <c r="L5" s="14">
        <f>MAX(AK5,BG5,CC5)</f>
        <v>61.1</v>
      </c>
      <c r="M5" s="14" t="str">
        <f>IF(L5=0,"",IF(J5=CC5,$BI$1,IF(L5=BG5,$AM$1,IF(L5=AK5,$Q$1,""))))</f>
        <v>2021 2nd Virtual Technical Trial</v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5">
        <v>25.3</v>
      </c>
      <c r="R5" s="45">
        <v>5.8</v>
      </c>
      <c r="S5" s="45">
        <v>0</v>
      </c>
      <c r="T5" s="45">
        <v>0</v>
      </c>
      <c r="U5" s="45">
        <v>24.5</v>
      </c>
      <c r="V5" s="45">
        <v>5.9</v>
      </c>
      <c r="W5" s="45">
        <v>0</v>
      </c>
      <c r="X5" s="45">
        <v>0</v>
      </c>
      <c r="Y5" s="45">
        <v>25.1</v>
      </c>
      <c r="Z5" s="45">
        <v>5.8</v>
      </c>
      <c r="AA5" s="45">
        <v>0</v>
      </c>
      <c r="AB5" s="45">
        <v>0</v>
      </c>
      <c r="AC5" s="45">
        <v>24.3</v>
      </c>
      <c r="AD5" s="45">
        <v>5.9</v>
      </c>
      <c r="AE5" s="45">
        <v>0</v>
      </c>
      <c r="AF5" s="45">
        <v>0</v>
      </c>
      <c r="AG5" s="80"/>
      <c r="AH5" s="11">
        <f>IF(SUM(R5,V5)&gt;0,SUM(R5,V5),"")</f>
        <v>11.7</v>
      </c>
      <c r="AI5" s="11">
        <f>IF(SUM(Q5:R5,T5:V5,X5)-S5-W5&gt;0,SUM(Q5:R5,T5:V5,X5)-S5-W5,"")</f>
        <v>61.5</v>
      </c>
      <c r="AJ5" s="11">
        <f>IF(SUM(Z5,AD5)&gt;0,SUM(Z5,AD5),"")</f>
        <v>11.7</v>
      </c>
      <c r="AK5" s="11">
        <f>IF(SUM(Y5:Z5,AB5:AD5,AF5)-SUM(AA5,AE5)&gt;0,SUM(Y5:Z5,AB5:AD5,AF5)-SUM(AA5,AE5),"")</f>
        <v>61.1</v>
      </c>
      <c r="AL5" s="11">
        <f>IF(SUM(AI5,AK5)&gt;0,SUM(AI5,AK5),"")</f>
        <v>122.6</v>
      </c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38"/>
      <c r="BC5" s="81"/>
      <c r="BD5" s="14" t="str">
        <f>IF(SUM(AN5,AR5)&gt;0,SUM(AN5,AR5),"")</f>
        <v/>
      </c>
      <c r="BE5" s="14" t="str">
        <f>IF(SUM(AM5:AN5,AP5:AR5,AT5)-AO5-AS5&gt;0,SUM(AM5:AN5,AP5:AR5,AT5)-AO5-AS5,"")</f>
        <v/>
      </c>
      <c r="BF5" s="14" t="str">
        <f>IF(SUM(AV5,AZ5)&gt;0,SUM(AV5,AZ5),"")</f>
        <v/>
      </c>
      <c r="BG5" s="14" t="str">
        <f>IF(SUM(AU5:AV5,AX5:AZ5,BB5)-SUM(AW5,BA5)&gt;0,SUM(AU5:AV5,AX5:AZ5,BB5)-SUM(AW5,BA5),"")</f>
        <v/>
      </c>
      <c r="BH5" s="14" t="str">
        <f>IF(SUM(BE5,BG5)&gt;0,SUM(BE5,BG5),"")</f>
        <v/>
      </c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80"/>
      <c r="BZ5" s="11" t="str">
        <f>IF(SUM(BJ5,BN5)&gt;0,SUM(BJ5,BN5),"")</f>
        <v/>
      </c>
      <c r="CA5" s="11" t="str">
        <f>IF(SUM(BI5:BJ5,BL5:BN5,BP5)-BK5-BO5&gt;0,SUM(BI5:BJ5,BL5:BN5,BP5)-BK5-BO5,"")</f>
        <v/>
      </c>
      <c r="CB5" s="11" t="str">
        <f>IF(SUM(BR5,BV5)&gt;0,SUM(BR5,BV5),"")</f>
        <v/>
      </c>
      <c r="CC5" s="11" t="str">
        <f>IF(SUM(BQ5:BR5,BT5:BV5,BX5)-SUM(BS5,BW5)&gt;0,SUM(BQ5:BR5,BT5:BV5,BX5)-SUM(BS5,BW5),"")</f>
        <v/>
      </c>
      <c r="CD5" s="11" t="str">
        <f>IF(SUM(CA5,CC5)&gt;0,SUM(CA5,CC5),"")</f>
        <v/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/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0</v>
      </c>
      <c r="LZ5" s="69">
        <f>IF($BY5="P",BJ5,(BJ5+AN5)/2)</f>
        <v>0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0</v>
      </c>
      <c r="MD5" s="69">
        <f>IF($BY5="P",BN5,(BN5+AR5)/2)</f>
        <v>0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0</v>
      </c>
      <c r="MH5" s="69">
        <f>IF($BY5="P",BR5,(BR5+AV5)/2)</f>
        <v>0</v>
      </c>
      <c r="MI5" s="69">
        <f>IF($BY5="P",BS5,(BS5+AW5)/2)</f>
        <v>0</v>
      </c>
      <c r="MJ5" s="69">
        <f>IF($BY5="P",BT5,(BT5+AX5)/2)</f>
        <v>0</v>
      </c>
      <c r="MK5" s="69">
        <f>IF($BY5="P",BU5,(BU5+AY5)/2)</f>
        <v>0</v>
      </c>
      <c r="ML5" s="69">
        <f>IF($BY5="P",BV5,(BV5+AZ5)/2)</f>
        <v>0</v>
      </c>
      <c r="MM5" s="69">
        <f>IF($BY5="P",BW5,(BW5+BA5)/2)</f>
        <v>0</v>
      </c>
      <c r="MN5" s="69">
        <f>IF($BY5="P",BX5,(BX5+BB5)/2)</f>
        <v>0</v>
      </c>
      <c r="MO5" s="80" t="s">
        <v>74</v>
      </c>
      <c r="MP5" s="11" t="str">
        <f>IF(SUM(LZ5,MD5)&gt;0,SUM(LZ5,MD5),"")</f>
        <v/>
      </c>
      <c r="MQ5" s="11" t="str">
        <f>IF(SUM(LY5:LZ5,MB5:MD5,MF5)-MA5-ME5&gt;0,SUM(LY5:LZ5,MB5:MD5,MF5)-MA5-ME5,"")</f>
        <v/>
      </c>
      <c r="MR5" s="11" t="str">
        <f>IF(SUM(MH5,ML5)&gt;0,SUM(MH5,ML5),"")</f>
        <v/>
      </c>
      <c r="MS5" s="11" t="str">
        <f>IF(SUM(MG5:MH5,MJ5:ML5,MN5)-SUM(MI5,MM5)&gt;0,SUM(MG5:MH5,MJ5:ML5,MN5)-SUM(MI5,MM5),"")</f>
        <v/>
      </c>
      <c r="MT5" s="11" t="str">
        <f>IF(SUM(MQ5,MS5)&gt;0,SUM(MQ5,MS5),"")</f>
        <v/>
      </c>
    </row>
    <row r="6" spans="1:358" x14ac:dyDescent="0.2">
      <c r="D6" s="1"/>
    </row>
    <row r="8" spans="1:358" x14ac:dyDescent="0.2">
      <c r="B8" s="70" t="s">
        <v>70</v>
      </c>
      <c r="AH8" s="56"/>
      <c r="AL8" s="64">
        <v>10.3</v>
      </c>
      <c r="BD8" s="56"/>
      <c r="BH8" s="64">
        <v>10.3</v>
      </c>
      <c r="BZ8" s="56"/>
      <c r="CD8" s="64">
        <v>10.3</v>
      </c>
      <c r="CW8" s="56"/>
      <c r="DA8" s="64">
        <v>10.3</v>
      </c>
      <c r="DR8" s="56"/>
      <c r="DV8" s="64">
        <v>10.3</v>
      </c>
      <c r="EM8" s="56"/>
      <c r="EQ8" s="64">
        <v>10.3</v>
      </c>
      <c r="FH8" s="56"/>
      <c r="FL8" s="64">
        <v>10.3</v>
      </c>
      <c r="GC8" s="56"/>
      <c r="GG8" s="64">
        <v>10.3</v>
      </c>
      <c r="GX8" s="56"/>
      <c r="HB8" s="64">
        <v>10.3</v>
      </c>
      <c r="HS8" s="56"/>
      <c r="HW8" s="64">
        <v>10.3</v>
      </c>
      <c r="IN8" s="56"/>
      <c r="IR8" s="64">
        <v>10.3</v>
      </c>
      <c r="JI8" s="56"/>
      <c r="JM8" s="64">
        <v>10.3</v>
      </c>
      <c r="KD8" s="56"/>
      <c r="KH8" s="64">
        <v>10.3</v>
      </c>
      <c r="KY8" s="56"/>
      <c r="LC8" s="64">
        <v>10.3</v>
      </c>
      <c r="LT8" s="56"/>
      <c r="LX8" s="64">
        <v>10.3</v>
      </c>
    </row>
    <row r="9" spans="1:358" x14ac:dyDescent="0.2">
      <c r="B9" s="91" t="s">
        <v>69</v>
      </c>
      <c r="AH9" s="56"/>
      <c r="AL9" s="93">
        <v>11</v>
      </c>
      <c r="BD9" s="56"/>
      <c r="BH9" s="93">
        <v>11</v>
      </c>
      <c r="BZ9" s="56"/>
      <c r="CD9" s="93">
        <v>11</v>
      </c>
      <c r="CW9" s="56"/>
      <c r="DA9" s="93">
        <v>11</v>
      </c>
      <c r="DR9" s="56"/>
      <c r="DV9" s="93">
        <v>11</v>
      </c>
      <c r="EM9" s="56"/>
      <c r="EQ9" s="93">
        <v>11</v>
      </c>
      <c r="FH9" s="56"/>
      <c r="FL9" s="93">
        <v>11</v>
      </c>
      <c r="GC9" s="56"/>
      <c r="GG9" s="93">
        <v>11</v>
      </c>
      <c r="GX9" s="56"/>
      <c r="HB9" s="93">
        <v>11</v>
      </c>
      <c r="HS9" s="56"/>
      <c r="HW9" s="93">
        <v>11</v>
      </c>
      <c r="IN9" s="56"/>
      <c r="IR9" s="93">
        <v>11</v>
      </c>
      <c r="JI9" s="56"/>
      <c r="JM9" s="93">
        <v>11</v>
      </c>
      <c r="KD9" s="56"/>
      <c r="KH9" s="93">
        <v>11</v>
      </c>
      <c r="KY9" s="56"/>
      <c r="LC9" s="93">
        <v>11</v>
      </c>
      <c r="LT9" s="56"/>
      <c r="LX9" s="93">
        <v>11</v>
      </c>
    </row>
    <row r="10" spans="1:358" x14ac:dyDescent="0.2">
      <c r="A10" s="56"/>
      <c r="B10" s="92" t="s">
        <v>86</v>
      </c>
      <c r="C10" s="55"/>
      <c r="AH10" s="56"/>
      <c r="AL10" s="94">
        <v>12.7</v>
      </c>
      <c r="BD10" s="56"/>
      <c r="BH10" s="94">
        <v>12.7</v>
      </c>
      <c r="BZ10" s="56"/>
      <c r="CD10" s="94">
        <v>12.7</v>
      </c>
      <c r="CW10" s="56"/>
      <c r="DA10" s="94">
        <v>12.7</v>
      </c>
      <c r="DR10" s="56"/>
      <c r="DV10" s="94">
        <v>12.7</v>
      </c>
      <c r="EM10" s="56"/>
      <c r="EQ10" s="94">
        <v>12.7</v>
      </c>
      <c r="FH10" s="56"/>
      <c r="FL10" s="94">
        <v>12.7</v>
      </c>
      <c r="GC10" s="56"/>
      <c r="GG10" s="94">
        <v>12.7</v>
      </c>
      <c r="GX10" s="56"/>
      <c r="HB10" s="94">
        <v>12.7</v>
      </c>
      <c r="HS10" s="56"/>
      <c r="HW10" s="94">
        <v>12.7</v>
      </c>
      <c r="IN10" s="56"/>
      <c r="IR10" s="94">
        <v>12.7</v>
      </c>
      <c r="JI10" s="56"/>
      <c r="JM10" s="94">
        <v>12.7</v>
      </c>
      <c r="KD10" s="56"/>
      <c r="KH10" s="94">
        <v>12.7</v>
      </c>
      <c r="KY10" s="56"/>
      <c r="LC10" s="94">
        <v>12.7</v>
      </c>
      <c r="LT10" s="56"/>
      <c r="LX10" s="94">
        <v>12.7</v>
      </c>
    </row>
    <row r="11" spans="1:358" x14ac:dyDescent="0.2">
      <c r="A11" s="56"/>
      <c r="B11" s="120" t="s">
        <v>102</v>
      </c>
      <c r="C11" s="55"/>
      <c r="AH11" s="56"/>
      <c r="AL11" s="121">
        <v>15.2</v>
      </c>
      <c r="BD11" s="56"/>
      <c r="BH11" s="121">
        <v>15.2</v>
      </c>
      <c r="BZ11" s="56"/>
      <c r="CD11" s="121">
        <v>15.2</v>
      </c>
      <c r="CW11" s="56"/>
      <c r="DA11" s="121">
        <v>15.2</v>
      </c>
      <c r="DR11" s="56"/>
      <c r="DV11" s="121">
        <v>15.2</v>
      </c>
      <c r="EM11" s="56"/>
      <c r="EQ11" s="121">
        <v>15.2</v>
      </c>
      <c r="FH11" s="56"/>
      <c r="FL11" s="121">
        <v>15.2</v>
      </c>
      <c r="GC11" s="56"/>
      <c r="GG11" s="121">
        <v>15.2</v>
      </c>
      <c r="GX11" s="56"/>
      <c r="HB11" s="121">
        <v>15.2</v>
      </c>
      <c r="HS11" s="56"/>
      <c r="HW11" s="121">
        <v>15.2</v>
      </c>
      <c r="IN11" s="56"/>
      <c r="IR11" s="121">
        <v>15.2</v>
      </c>
      <c r="JI11" s="56"/>
      <c r="JM11" s="121">
        <v>15.2</v>
      </c>
      <c r="KD11" s="56"/>
      <c r="KH11" s="121">
        <v>15.2</v>
      </c>
      <c r="KY11" s="56"/>
      <c r="LC11" s="121">
        <v>15.2</v>
      </c>
      <c r="LT11" s="56"/>
      <c r="LX11" s="121">
        <v>15.2</v>
      </c>
    </row>
    <row r="12" spans="1:358" x14ac:dyDescent="0.2">
      <c r="A12" s="56"/>
      <c r="B12" s="118" t="s">
        <v>67</v>
      </c>
      <c r="C12" s="55"/>
      <c r="AH12" s="56"/>
      <c r="AL12" s="119">
        <v>62.8</v>
      </c>
      <c r="BD12" s="56"/>
      <c r="BH12" s="119">
        <v>62.8</v>
      </c>
      <c r="BZ12" s="56"/>
      <c r="CD12" s="119">
        <v>62.8</v>
      </c>
      <c r="CW12" s="56"/>
      <c r="DA12" s="119">
        <v>62.8</v>
      </c>
      <c r="DR12" s="56"/>
      <c r="DV12" s="119">
        <v>62.8</v>
      </c>
      <c r="EM12" s="56"/>
      <c r="EQ12" s="119">
        <v>62.8</v>
      </c>
      <c r="FH12" s="56"/>
      <c r="FL12" s="119">
        <v>62.8</v>
      </c>
      <c r="GC12" s="56"/>
      <c r="GG12" s="119">
        <v>62.8</v>
      </c>
      <c r="GX12" s="56"/>
      <c r="HB12" s="119">
        <v>62.8</v>
      </c>
      <c r="HS12" s="56"/>
      <c r="HW12" s="119">
        <v>62.8</v>
      </c>
      <c r="IN12" s="56"/>
      <c r="IR12" s="119">
        <v>62.8</v>
      </c>
      <c r="JI12" s="56"/>
      <c r="JM12" s="119">
        <v>62.8</v>
      </c>
      <c r="KD12" s="56"/>
      <c r="KH12" s="119">
        <v>62.8</v>
      </c>
      <c r="KY12" s="56"/>
      <c r="LC12" s="119">
        <v>62.8</v>
      </c>
      <c r="LT12" s="56"/>
      <c r="LX12" s="119">
        <v>62.8</v>
      </c>
    </row>
    <row r="13" spans="1:358" x14ac:dyDescent="0.2">
      <c r="A13" s="56"/>
      <c r="B13" s="72" t="s">
        <v>68</v>
      </c>
      <c r="C13" s="55"/>
      <c r="AH13" s="56"/>
      <c r="AL13" s="66">
        <v>65.599999999999994</v>
      </c>
      <c r="BD13" s="56"/>
      <c r="BH13" s="66">
        <v>65.599999999999994</v>
      </c>
      <c r="BZ13" s="56"/>
      <c r="CD13" s="66">
        <v>65.599999999999994</v>
      </c>
      <c r="CW13" s="56"/>
      <c r="DA13" s="66">
        <v>65.599999999999994</v>
      </c>
      <c r="DR13" s="56"/>
      <c r="DV13" s="66">
        <v>65.599999999999994</v>
      </c>
      <c r="EM13" s="56"/>
      <c r="EQ13" s="66">
        <v>65.599999999999994</v>
      </c>
      <c r="FH13" s="56"/>
      <c r="FL13" s="66">
        <v>65.599999999999994</v>
      </c>
      <c r="GC13" s="56"/>
      <c r="GG13" s="66">
        <v>65.599999999999994</v>
      </c>
      <c r="GX13" s="56"/>
      <c r="HB13" s="66">
        <v>65.599999999999994</v>
      </c>
      <c r="HS13" s="56"/>
      <c r="HW13" s="66">
        <v>65.599999999999994</v>
      </c>
      <c r="IN13" s="56"/>
      <c r="IR13" s="66">
        <v>65.599999999999994</v>
      </c>
      <c r="JI13" s="56"/>
      <c r="JM13" s="66">
        <v>65.599999999999994</v>
      </c>
      <c r="KD13" s="56"/>
      <c r="KH13" s="66">
        <v>65.599999999999994</v>
      </c>
      <c r="KY13" s="56"/>
      <c r="LC13" s="66">
        <v>65.599999999999994</v>
      </c>
      <c r="LT13" s="56"/>
      <c r="LX13" s="66">
        <v>65.599999999999994</v>
      </c>
    </row>
    <row r="14" spans="1:358" x14ac:dyDescent="0.2">
      <c r="A14" s="56"/>
      <c r="B14" s="116" t="s">
        <v>84</v>
      </c>
      <c r="C14" s="55"/>
      <c r="AH14" s="56"/>
      <c r="AL14" s="117">
        <v>67.900000000000006</v>
      </c>
      <c r="BD14" s="56"/>
      <c r="BH14" s="117">
        <v>67.900000000000006</v>
      </c>
      <c r="BZ14" s="56"/>
      <c r="CD14" s="117">
        <v>67.900000000000006</v>
      </c>
      <c r="CW14" s="56"/>
      <c r="DA14" s="117">
        <v>67.900000000000006</v>
      </c>
      <c r="DR14" s="56"/>
      <c r="DV14" s="117">
        <v>67.900000000000006</v>
      </c>
      <c r="EM14" s="56"/>
      <c r="EQ14" s="117">
        <v>67.900000000000006</v>
      </c>
      <c r="FH14" s="56"/>
      <c r="FL14" s="117">
        <v>67.900000000000006</v>
      </c>
      <c r="GC14" s="56"/>
      <c r="GG14" s="117">
        <v>67.900000000000006</v>
      </c>
      <c r="GX14" s="56"/>
      <c r="HB14" s="117">
        <v>67.900000000000006</v>
      </c>
      <c r="HS14" s="56"/>
      <c r="HW14" s="117">
        <v>67.900000000000006</v>
      </c>
      <c r="IN14" s="56"/>
      <c r="IR14" s="117">
        <v>67.900000000000006</v>
      </c>
      <c r="JI14" s="56"/>
      <c r="JM14" s="117">
        <v>67.900000000000006</v>
      </c>
      <c r="KD14" s="56"/>
      <c r="KH14" s="117">
        <v>67.900000000000006</v>
      </c>
      <c r="KY14" s="56"/>
      <c r="LC14" s="117">
        <v>67.900000000000006</v>
      </c>
      <c r="LT14" s="56"/>
      <c r="LX14" s="117">
        <v>67.900000000000006</v>
      </c>
    </row>
    <row r="15" spans="1:358" x14ac:dyDescent="0.2">
      <c r="A15" s="56"/>
      <c r="B15" s="74" t="s">
        <v>51</v>
      </c>
      <c r="C15" s="55"/>
      <c r="AH15" s="56"/>
      <c r="AL15" s="68">
        <v>71.599999999999994</v>
      </c>
      <c r="BD15" s="56"/>
      <c r="BH15" s="68">
        <v>71.599999999999994</v>
      </c>
      <c r="BZ15" s="56"/>
      <c r="CD15" s="68">
        <v>71.599999999999994</v>
      </c>
      <c r="CW15" s="56"/>
      <c r="DA15" s="68">
        <v>71.599999999999994</v>
      </c>
      <c r="DR15" s="56"/>
      <c r="DV15" s="68">
        <v>71.599999999999994</v>
      </c>
      <c r="EM15" s="56"/>
      <c r="EQ15" s="68">
        <v>71.599999999999994</v>
      </c>
      <c r="FH15" s="56"/>
      <c r="FL15" s="68">
        <v>71.599999999999994</v>
      </c>
      <c r="GC15" s="56"/>
      <c r="GG15" s="68">
        <v>71.599999999999994</v>
      </c>
      <c r="GX15" s="56"/>
      <c r="HB15" s="68">
        <v>71.599999999999994</v>
      </c>
      <c r="HS15" s="56"/>
      <c r="HW15" s="68">
        <v>71.599999999999994</v>
      </c>
      <c r="IN15" s="56"/>
      <c r="IR15" s="68">
        <v>71.599999999999994</v>
      </c>
      <c r="JI15" s="56"/>
      <c r="JM15" s="68">
        <v>71.599999999999994</v>
      </c>
      <c r="KD15" s="56"/>
      <c r="KH15" s="68">
        <v>71.599999999999994</v>
      </c>
      <c r="KY15" s="56"/>
      <c r="LC15" s="68">
        <v>71.599999999999994</v>
      </c>
      <c r="LT15" s="56"/>
      <c r="LX15" s="68">
        <v>71.599999999999994</v>
      </c>
    </row>
    <row r="16" spans="1:358" x14ac:dyDescent="0.2">
      <c r="B16" s="82" t="s">
        <v>75</v>
      </c>
      <c r="C16" s="2"/>
    </row>
    <row r="17" spans="1:16" x14ac:dyDescent="0.2">
      <c r="A17" s="56"/>
      <c r="B17" s="56"/>
      <c r="C17" s="55"/>
    </row>
    <row r="18" spans="1:16" ht="17" x14ac:dyDescent="0.2">
      <c r="A18" s="56"/>
      <c r="B18" s="56"/>
      <c r="C18" s="55"/>
      <c r="N18" s="19"/>
      <c r="O18" s="19"/>
      <c r="P18" s="19"/>
    </row>
    <row r="19" spans="1:16" ht="17" x14ac:dyDescent="0.2">
      <c r="A19" s="56"/>
      <c r="B19" s="56"/>
      <c r="C19" s="55"/>
      <c r="N19" s="19"/>
      <c r="O19" s="19"/>
      <c r="P19" s="19"/>
    </row>
    <row r="20" spans="1:16" ht="17" x14ac:dyDescent="0.2">
      <c r="N20" s="19"/>
      <c r="O20" s="19"/>
      <c r="P20" s="19"/>
    </row>
    <row r="21" spans="1:16" ht="17" x14ac:dyDescent="0.2">
      <c r="N21" s="19"/>
      <c r="O21" s="19"/>
      <c r="P21" s="19"/>
    </row>
    <row r="22" spans="1:16" ht="17" x14ac:dyDescent="0.2">
      <c r="N22" s="19"/>
      <c r="O22" s="19"/>
      <c r="P22" s="19"/>
    </row>
    <row r="23" spans="1:16" ht="17" x14ac:dyDescent="0.2">
      <c r="N23" s="19"/>
      <c r="O23" s="19"/>
      <c r="P23" s="19"/>
    </row>
    <row r="24" spans="1:16" ht="17" x14ac:dyDescent="0.2">
      <c r="N24" s="19"/>
      <c r="O24" s="19"/>
      <c r="P24" s="19"/>
    </row>
    <row r="25" spans="1:16" ht="17" x14ac:dyDescent="0.2">
      <c r="N25" s="19"/>
      <c r="O25" s="19"/>
      <c r="P25" s="19"/>
    </row>
    <row r="26" spans="1:16" ht="17" x14ac:dyDescent="0.2">
      <c r="N26" s="19"/>
      <c r="O26" s="19"/>
      <c r="P26" s="19"/>
    </row>
    <row r="27" spans="1:16" ht="17" x14ac:dyDescent="0.2">
      <c r="N27" s="19"/>
      <c r="O27" s="19"/>
      <c r="P27" s="19"/>
    </row>
    <row r="28" spans="1:16" ht="17" x14ac:dyDescent="0.2">
      <c r="N28" s="19"/>
      <c r="O28" s="19"/>
      <c r="P28" s="19"/>
    </row>
    <row r="29" spans="1:16" ht="17" x14ac:dyDescent="0.2">
      <c r="N29" s="19"/>
      <c r="O29" s="19"/>
      <c r="P29" s="19"/>
    </row>
    <row r="30" spans="1:16" ht="17" x14ac:dyDescent="0.2">
      <c r="N30" s="19"/>
      <c r="O30" s="19"/>
      <c r="P30" s="19"/>
    </row>
    <row r="31" spans="1:16" ht="17" x14ac:dyDescent="0.2">
      <c r="N31" s="19"/>
      <c r="O31" s="19"/>
      <c r="P31" s="19"/>
    </row>
    <row r="32" spans="1:16" ht="17" x14ac:dyDescent="0.2">
      <c r="N32" s="19"/>
      <c r="O32" s="19"/>
      <c r="P32" s="19"/>
    </row>
    <row r="33" spans="14:16" ht="17" x14ac:dyDescent="0.2">
      <c r="N33" s="19"/>
      <c r="O33" s="19"/>
      <c r="P33" s="19"/>
    </row>
    <row r="34" spans="14:16" ht="17" x14ac:dyDescent="0.2">
      <c r="N34" s="19"/>
      <c r="O34" s="19"/>
      <c r="P34" s="19"/>
    </row>
    <row r="35" spans="14:16" ht="17" x14ac:dyDescent="0.2">
      <c r="N35" s="19"/>
      <c r="O35" s="19"/>
      <c r="P35" s="19"/>
    </row>
    <row r="36" spans="14:16" ht="17" x14ac:dyDescent="0.2">
      <c r="N36" s="19"/>
      <c r="O36" s="19"/>
      <c r="P36" s="19"/>
    </row>
    <row r="37" spans="14:16" ht="17" x14ac:dyDescent="0.2">
      <c r="N37" s="19"/>
      <c r="O37" s="19"/>
      <c r="P37" s="19"/>
    </row>
  </sheetData>
  <sheetProtection sheet="1" formatCells="0" formatColumns="0" formatRows="0"/>
  <autoFilter ref="A1:MT5" xr:uid="{03F0432C-F54E-7F45-9ECC-C2A425818962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5">
      <sortCondition descending="1" ref="F1:F6"/>
    </sortState>
  </autoFilter>
  <mergeCells count="97">
    <mergeCell ref="LY1:MT1"/>
    <mergeCell ref="LY2:MB2"/>
    <mergeCell ref="MC2:MF2"/>
    <mergeCell ref="MG2:MJ2"/>
    <mergeCell ref="MK2:MN2"/>
    <mergeCell ref="P1:P3"/>
    <mergeCell ref="K1:K3"/>
    <mergeCell ref="L1:L3"/>
    <mergeCell ref="M1:M3"/>
    <mergeCell ref="O1:O3"/>
    <mergeCell ref="N1:N3"/>
    <mergeCell ref="A1:A3"/>
    <mergeCell ref="B1:B3"/>
    <mergeCell ref="C1:C3"/>
    <mergeCell ref="D1:D3"/>
    <mergeCell ref="E1:E3"/>
    <mergeCell ref="I1:I3"/>
    <mergeCell ref="G1:G3"/>
    <mergeCell ref="H1:H3"/>
    <mergeCell ref="J1:J3"/>
    <mergeCell ref="F1:F3"/>
    <mergeCell ref="DW1:EQ1"/>
    <mergeCell ref="AY2:BB2"/>
    <mergeCell ref="Q2:T2"/>
    <mergeCell ref="U2:X2"/>
    <mergeCell ref="AC2:AF2"/>
    <mergeCell ref="AM2:AP2"/>
    <mergeCell ref="AQ2:AT2"/>
    <mergeCell ref="Y2:AB2"/>
    <mergeCell ref="AU2:AX2"/>
    <mergeCell ref="CE1:CF1"/>
    <mergeCell ref="DB1:DV1"/>
    <mergeCell ref="DB2:DE2"/>
    <mergeCell ref="CK2:CN2"/>
    <mergeCell ref="CO2:CR2"/>
    <mergeCell ref="CS2:CV2"/>
    <mergeCell ref="BI1:CD1"/>
    <mergeCell ref="ER2:EU2"/>
    <mergeCell ref="EV2:EY2"/>
    <mergeCell ref="EZ2:FC2"/>
    <mergeCell ref="FD2:FG2"/>
    <mergeCell ref="Q1:AL1"/>
    <mergeCell ref="AM1:BH1"/>
    <mergeCell ref="ER1:FL1"/>
    <mergeCell ref="DW2:DZ2"/>
    <mergeCell ref="EA2:ED2"/>
    <mergeCell ref="EE2:EH2"/>
    <mergeCell ref="DF2:DI2"/>
    <mergeCell ref="DJ2:DM2"/>
    <mergeCell ref="DN2:DQ2"/>
    <mergeCell ref="CG1:DA1"/>
    <mergeCell ref="EI2:EL2"/>
    <mergeCell ref="CG2:CJ2"/>
    <mergeCell ref="FM1:GG1"/>
    <mergeCell ref="GH1:HB1"/>
    <mergeCell ref="FM2:FP2"/>
    <mergeCell ref="FQ2:FT2"/>
    <mergeCell ref="FU2:FX2"/>
    <mergeCell ref="FY2:GB2"/>
    <mergeCell ref="GH2:GK2"/>
    <mergeCell ref="GL2:GO2"/>
    <mergeCell ref="GP2:GS2"/>
    <mergeCell ref="GT2:GW2"/>
    <mergeCell ref="HX1:IR1"/>
    <mergeCell ref="HC2:HF2"/>
    <mergeCell ref="HG2:HJ2"/>
    <mergeCell ref="HK2:HN2"/>
    <mergeCell ref="HO2:HR2"/>
    <mergeCell ref="HX2:IA2"/>
    <mergeCell ref="IB2:IE2"/>
    <mergeCell ref="IF2:II2"/>
    <mergeCell ref="IJ2:IM2"/>
    <mergeCell ref="LD1:LX1"/>
    <mergeCell ref="KI2:KL2"/>
    <mergeCell ref="KM2:KP2"/>
    <mergeCell ref="KQ2:KT2"/>
    <mergeCell ref="KU2:KX2"/>
    <mergeCell ref="LD2:LG2"/>
    <mergeCell ref="LH2:LK2"/>
    <mergeCell ref="LL2:LO2"/>
    <mergeCell ref="LP2:LS2"/>
    <mergeCell ref="BI2:BL2"/>
    <mergeCell ref="BM2:BP2"/>
    <mergeCell ref="BQ2:BT2"/>
    <mergeCell ref="BU2:BX2"/>
    <mergeCell ref="KI1:LC1"/>
    <mergeCell ref="IS1:JM1"/>
    <mergeCell ref="JN1:KH1"/>
    <mergeCell ref="IS2:IV2"/>
    <mergeCell ref="IW2:IZ2"/>
    <mergeCell ref="JA2:JD2"/>
    <mergeCell ref="JE2:JH2"/>
    <mergeCell ref="JN2:JQ2"/>
    <mergeCell ref="JR2:JU2"/>
    <mergeCell ref="JV2:JY2"/>
    <mergeCell ref="JZ2:KC2"/>
    <mergeCell ref="HC1:HW1"/>
  </mergeCells>
  <conditionalFormatting sqref="Q4:AL5">
    <cfRule type="expression" dxfId="79" priority="1" stopIfTrue="1">
      <formula>IF($AG4&lt;&gt;"",1,0)</formula>
    </cfRule>
  </conditionalFormatting>
  <conditionalFormatting sqref="AM4:BH5">
    <cfRule type="expression" dxfId="78" priority="2" stopIfTrue="1">
      <formula>IF($BC4&lt;&gt;"",1,0)</formula>
    </cfRule>
  </conditionalFormatting>
  <conditionalFormatting sqref="K1:K1048576 M1:M1048576">
    <cfRule type="expression" dxfId="77" priority="36231">
      <formula>IF(K1=$BI$1,1,0)</formula>
    </cfRule>
    <cfRule type="expression" dxfId="76" priority="36232">
      <formula>IF(K1=$AM$1,1,0)</formula>
    </cfRule>
    <cfRule type="expression" dxfId="75" priority="36233">
      <formula>IF(K1=$Q$1,1,0)</formula>
    </cfRule>
  </conditionalFormatting>
  <conditionalFormatting sqref="BI4:CD5">
    <cfRule type="expression" dxfId="74" priority="3" stopIfTrue="1">
      <formula>IF($AG4&lt;&gt;"",1,0)</formula>
    </cfRule>
  </conditionalFormatting>
  <conditionalFormatting sqref="A1:A1048576">
    <cfRule type="expression" dxfId="73" priority="38430">
      <formula>AND(G1="P",F1="")</formula>
    </cfRule>
  </conditionalFormatting>
  <conditionalFormatting sqref="H1:H1048576">
    <cfRule type="containsText" dxfId="72" priority="5" operator="containsText" text="No DD">
      <formula>NOT(ISERROR(SEARCH("No DD",H1)))</formula>
    </cfRule>
    <cfRule type="containsText" dxfId="71" priority="6" operator="containsText" text="Merit">
      <formula>NOT(ISERROR(SEARCH("Merit",H1)))</formula>
    </cfRule>
    <cfRule type="containsText" dxfId="70" priority="20" operator="containsText" text="Excellence">
      <formula>NOT(ISERROR(SEARCH("Excellence",H1)))</formula>
    </cfRule>
    <cfRule type="containsText" dxfId="69" priority="29" operator="containsText" text="Worlds Team">
      <formula>NOT(ISERROR(SEARCH("Worlds Team",H1)))</formula>
    </cfRule>
    <cfRule type="containsText" dxfId="68" priority="32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67" priority="49615" operator="between">
      <formula>AL$11</formula>
      <formula>1000</formula>
    </cfRule>
    <cfRule type="cellIs" dxfId="66" priority="49616" operator="between">
      <formula>AL$10</formula>
      <formula>AL$11</formula>
    </cfRule>
    <cfRule type="cellIs" dxfId="65" priority="49617" operator="between">
      <formula>AL$9</formula>
      <formula>AL$10</formula>
    </cfRule>
    <cfRule type="cellIs" dxfId="64" priority="49618" operator="between">
      <formula>AL$8</formula>
      <formula>AL$9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63" priority="49795" operator="between">
      <formula>AL$15</formula>
      <formula>1000</formula>
    </cfRule>
    <cfRule type="cellIs" dxfId="62" priority="49796" operator="between">
      <formula>AL$14</formula>
      <formula>AL$15</formula>
    </cfRule>
    <cfRule type="cellIs" dxfId="61" priority="49797" operator="between">
      <formula>AL$13</formula>
      <formula>AL$14</formula>
    </cfRule>
    <cfRule type="cellIs" dxfId="60" priority="49798" operator="between">
      <formula>AL$12</formula>
      <formula>AL$13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MT22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2" customWidth="1"/>
    <col min="6" max="6" width="16.33203125" customWidth="1"/>
    <col min="8" max="8" width="13.33203125" style="126" bestFit="1" customWidth="1"/>
    <col min="9" max="9" width="15.33203125" customWidth="1"/>
    <col min="11" max="11" width="20.5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29.5" bestFit="1" customWidth="1"/>
    <col min="17" max="33" width="10.83203125" hidden="1" customWidth="1"/>
    <col min="34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2" t="s">
        <v>14</v>
      </c>
      <c r="K1" s="142" t="s">
        <v>49</v>
      </c>
      <c r="L1" s="142" t="s">
        <v>17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38"/>
      <c r="CH1" s="138"/>
      <c r="CI1" s="138"/>
      <c r="CJ1" s="138"/>
      <c r="CK1" s="138"/>
      <c r="CL1" s="138"/>
      <c r="CM1" s="138"/>
      <c r="CN1" s="138"/>
      <c r="CO1" s="138"/>
      <c r="CP1" s="138"/>
      <c r="CQ1" s="138"/>
      <c r="CR1" s="138"/>
      <c r="CS1" s="138"/>
      <c r="CT1" s="138"/>
      <c r="CU1" s="138"/>
      <c r="CV1" s="138"/>
      <c r="CW1" s="138"/>
      <c r="CX1" s="138"/>
      <c r="CY1" s="138"/>
      <c r="CZ1" s="138"/>
      <c r="DA1" s="138"/>
      <c r="DB1" s="139"/>
      <c r="DC1" s="139"/>
      <c r="DD1" s="139"/>
      <c r="DE1" s="139"/>
      <c r="DF1" s="139"/>
      <c r="DG1" s="139"/>
      <c r="DH1" s="139"/>
      <c r="DI1" s="139"/>
      <c r="DJ1" s="139"/>
      <c r="DK1" s="139"/>
      <c r="DL1" s="139"/>
      <c r="DM1" s="139"/>
      <c r="DN1" s="139"/>
      <c r="DO1" s="139"/>
      <c r="DP1" s="139"/>
      <c r="DQ1" s="139"/>
      <c r="DR1" s="139"/>
      <c r="DS1" s="139"/>
      <c r="DT1" s="139"/>
      <c r="DU1" s="139"/>
      <c r="DV1" s="139"/>
      <c r="DW1" s="138"/>
      <c r="DX1" s="138"/>
      <c r="DY1" s="138"/>
      <c r="DZ1" s="138"/>
      <c r="EA1" s="138"/>
      <c r="EB1" s="138"/>
      <c r="EC1" s="138"/>
      <c r="ED1" s="138"/>
      <c r="EE1" s="138"/>
      <c r="EF1" s="138"/>
      <c r="EG1" s="138"/>
      <c r="EH1" s="138"/>
      <c r="EI1" s="138"/>
      <c r="EJ1" s="138"/>
      <c r="EK1" s="138"/>
      <c r="EL1" s="138"/>
      <c r="EM1" s="138"/>
      <c r="EN1" s="138"/>
      <c r="EO1" s="138"/>
      <c r="EP1" s="138"/>
      <c r="EQ1" s="138"/>
      <c r="ER1" s="139"/>
      <c r="ES1" s="139"/>
      <c r="ET1" s="139"/>
      <c r="EU1" s="139"/>
      <c r="EV1" s="139"/>
      <c r="EW1" s="139"/>
      <c r="EX1" s="139"/>
      <c r="EY1" s="139"/>
      <c r="EZ1" s="139"/>
      <c r="FA1" s="139"/>
      <c r="FB1" s="139"/>
      <c r="FC1" s="139"/>
      <c r="FD1" s="139"/>
      <c r="FE1" s="139"/>
      <c r="FF1" s="139"/>
      <c r="FG1" s="139"/>
      <c r="FH1" s="139"/>
      <c r="FI1" s="139"/>
      <c r="FJ1" s="139"/>
      <c r="FK1" s="139"/>
      <c r="FL1" s="139"/>
      <c r="FM1" s="138"/>
      <c r="FN1" s="138"/>
      <c r="FO1" s="138"/>
      <c r="FP1" s="138"/>
      <c r="FQ1" s="138"/>
      <c r="FR1" s="138"/>
      <c r="FS1" s="138"/>
      <c r="FT1" s="138"/>
      <c r="FU1" s="138"/>
      <c r="FV1" s="138"/>
      <c r="FW1" s="138"/>
      <c r="FX1" s="138"/>
      <c r="FY1" s="138"/>
      <c r="FZ1" s="138"/>
      <c r="GA1" s="138"/>
      <c r="GB1" s="138"/>
      <c r="GC1" s="138"/>
      <c r="GD1" s="138"/>
      <c r="GE1" s="138"/>
      <c r="GF1" s="138"/>
      <c r="GG1" s="138"/>
      <c r="GH1" s="139"/>
      <c r="GI1" s="139"/>
      <c r="GJ1" s="139"/>
      <c r="GK1" s="139"/>
      <c r="GL1" s="139"/>
      <c r="GM1" s="139"/>
      <c r="GN1" s="139"/>
      <c r="GO1" s="139"/>
      <c r="GP1" s="139"/>
      <c r="GQ1" s="139"/>
      <c r="GR1" s="139"/>
      <c r="GS1" s="139"/>
      <c r="GT1" s="139"/>
      <c r="GU1" s="139"/>
      <c r="GV1" s="139"/>
      <c r="GW1" s="139"/>
      <c r="GX1" s="139"/>
      <c r="GY1" s="139"/>
      <c r="GZ1" s="139"/>
      <c r="HA1" s="139"/>
      <c r="HB1" s="139"/>
      <c r="HC1" s="138"/>
      <c r="HD1" s="138"/>
      <c r="HE1" s="138"/>
      <c r="HF1" s="138"/>
      <c r="HG1" s="138"/>
      <c r="HH1" s="138"/>
      <c r="HI1" s="138"/>
      <c r="HJ1" s="138"/>
      <c r="HK1" s="138"/>
      <c r="HL1" s="138"/>
      <c r="HM1" s="138"/>
      <c r="HN1" s="138"/>
      <c r="HO1" s="138"/>
      <c r="HP1" s="138"/>
      <c r="HQ1" s="138"/>
      <c r="HR1" s="138"/>
      <c r="HS1" s="138"/>
      <c r="HT1" s="138"/>
      <c r="HU1" s="138"/>
      <c r="HV1" s="138"/>
      <c r="HW1" s="138"/>
      <c r="HX1" s="139"/>
      <c r="HY1" s="139"/>
      <c r="HZ1" s="139"/>
      <c r="IA1" s="139"/>
      <c r="IB1" s="139"/>
      <c r="IC1" s="139"/>
      <c r="ID1" s="139"/>
      <c r="IE1" s="139"/>
      <c r="IF1" s="139"/>
      <c r="IG1" s="139"/>
      <c r="IH1" s="139"/>
      <c r="II1" s="139"/>
      <c r="IJ1" s="139"/>
      <c r="IK1" s="139"/>
      <c r="IL1" s="139"/>
      <c r="IM1" s="139"/>
      <c r="IN1" s="139"/>
      <c r="IO1" s="139"/>
      <c r="IP1" s="139"/>
      <c r="IQ1" s="139"/>
      <c r="IR1" s="139"/>
      <c r="IS1" s="138"/>
      <c r="IT1" s="138"/>
      <c r="IU1" s="138"/>
      <c r="IV1" s="138"/>
      <c r="IW1" s="138"/>
      <c r="IX1" s="138"/>
      <c r="IY1" s="138"/>
      <c r="IZ1" s="138"/>
      <c r="JA1" s="138"/>
      <c r="JB1" s="138"/>
      <c r="JC1" s="138"/>
      <c r="JD1" s="138"/>
      <c r="JE1" s="138"/>
      <c r="JF1" s="138"/>
      <c r="JG1" s="138"/>
      <c r="JH1" s="138"/>
      <c r="JI1" s="138"/>
      <c r="JJ1" s="138"/>
      <c r="JK1" s="138"/>
      <c r="JL1" s="138"/>
      <c r="JM1" s="138"/>
      <c r="JN1" s="139"/>
      <c r="JO1" s="139"/>
      <c r="JP1" s="139"/>
      <c r="JQ1" s="139"/>
      <c r="JR1" s="139"/>
      <c r="JS1" s="139"/>
      <c r="JT1" s="139"/>
      <c r="JU1" s="139"/>
      <c r="JV1" s="139"/>
      <c r="JW1" s="139"/>
      <c r="JX1" s="139"/>
      <c r="JY1" s="139"/>
      <c r="JZ1" s="139"/>
      <c r="KA1" s="139"/>
      <c r="KB1" s="139"/>
      <c r="KC1" s="139"/>
      <c r="KD1" s="139"/>
      <c r="KE1" s="139"/>
      <c r="KF1" s="139"/>
      <c r="KG1" s="139"/>
      <c r="KH1" s="139"/>
      <c r="KI1" s="138"/>
      <c r="KJ1" s="138"/>
      <c r="KK1" s="138"/>
      <c r="KL1" s="138"/>
      <c r="KM1" s="138"/>
      <c r="KN1" s="138"/>
      <c r="KO1" s="138"/>
      <c r="KP1" s="138"/>
      <c r="KQ1" s="138"/>
      <c r="KR1" s="138"/>
      <c r="KS1" s="138"/>
      <c r="KT1" s="138"/>
      <c r="KU1" s="138"/>
      <c r="KV1" s="138"/>
      <c r="KW1" s="138"/>
      <c r="KX1" s="138"/>
      <c r="KY1" s="138"/>
      <c r="KZ1" s="138"/>
      <c r="LA1" s="138"/>
      <c r="LB1" s="138"/>
      <c r="LC1" s="138"/>
      <c r="LD1" s="139"/>
      <c r="LE1" s="139"/>
      <c r="LF1" s="139"/>
      <c r="LG1" s="139"/>
      <c r="LH1" s="139"/>
      <c r="LI1" s="139"/>
      <c r="LJ1" s="139"/>
      <c r="LK1" s="139"/>
      <c r="LL1" s="139"/>
      <c r="LM1" s="139"/>
      <c r="LN1" s="139"/>
      <c r="LO1" s="139"/>
      <c r="LP1" s="139"/>
      <c r="LQ1" s="139"/>
      <c r="LR1" s="139"/>
      <c r="LS1" s="139"/>
      <c r="LT1" s="139"/>
      <c r="LU1" s="139"/>
      <c r="LV1" s="139"/>
      <c r="LW1" s="139"/>
      <c r="LX1" s="13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2"/>
      <c r="K2" s="142"/>
      <c r="L2" s="142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58" t="s">
        <v>29</v>
      </c>
      <c r="AI2" s="9" t="s">
        <v>28</v>
      </c>
      <c r="AJ2" s="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46" t="s">
        <v>44</v>
      </c>
      <c r="AZ2" s="146"/>
      <c r="BA2" s="146"/>
      <c r="BB2" s="146"/>
      <c r="BC2" s="79"/>
      <c r="BD2" s="57" t="s">
        <v>29</v>
      </c>
      <c r="BE2" s="12" t="s">
        <v>28</v>
      </c>
      <c r="BF2" s="12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9" t="s">
        <v>92</v>
      </c>
      <c r="CC2" s="9" t="s">
        <v>27</v>
      </c>
      <c r="CD2" s="9" t="s">
        <v>22</v>
      </c>
      <c r="CE2" s="22" t="s">
        <v>28</v>
      </c>
      <c r="CF2" s="22" t="s">
        <v>27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5" t="s">
        <v>44</v>
      </c>
      <c r="CT2" s="145"/>
      <c r="CU2" s="145"/>
      <c r="CV2" s="145"/>
      <c r="CW2" s="58" t="s">
        <v>29</v>
      </c>
      <c r="CX2" s="9" t="s">
        <v>28</v>
      </c>
      <c r="CY2" s="9" t="s">
        <v>92</v>
      </c>
      <c r="CZ2" s="9" t="s">
        <v>27</v>
      </c>
      <c r="DA2" s="9" t="s">
        <v>22</v>
      </c>
      <c r="DB2" s="136" t="s">
        <v>39</v>
      </c>
      <c r="DC2" s="136"/>
      <c r="DD2" s="136"/>
      <c r="DE2" s="136"/>
      <c r="DF2" s="136" t="s">
        <v>42</v>
      </c>
      <c r="DG2" s="136"/>
      <c r="DH2" s="136"/>
      <c r="DI2" s="136"/>
      <c r="DJ2" s="136" t="s">
        <v>43</v>
      </c>
      <c r="DK2" s="136"/>
      <c r="DL2" s="136"/>
      <c r="DM2" s="136"/>
      <c r="DN2" s="146" t="s">
        <v>44</v>
      </c>
      <c r="DO2" s="146"/>
      <c r="DP2" s="146"/>
      <c r="DQ2" s="146"/>
      <c r="DR2" s="57" t="s">
        <v>29</v>
      </c>
      <c r="DS2" s="12" t="s">
        <v>28</v>
      </c>
      <c r="DT2" s="12" t="s">
        <v>92</v>
      </c>
      <c r="DU2" s="12" t="s">
        <v>27</v>
      </c>
      <c r="DV2" s="12" t="s">
        <v>22</v>
      </c>
      <c r="DW2" s="137" t="s">
        <v>39</v>
      </c>
      <c r="DX2" s="137"/>
      <c r="DY2" s="137"/>
      <c r="DZ2" s="137"/>
      <c r="EA2" s="137" t="s">
        <v>42</v>
      </c>
      <c r="EB2" s="137"/>
      <c r="EC2" s="137"/>
      <c r="ED2" s="137"/>
      <c r="EE2" s="137" t="s">
        <v>43</v>
      </c>
      <c r="EF2" s="137"/>
      <c r="EG2" s="137"/>
      <c r="EH2" s="137"/>
      <c r="EI2" s="145" t="s">
        <v>44</v>
      </c>
      <c r="EJ2" s="145"/>
      <c r="EK2" s="145"/>
      <c r="EL2" s="145"/>
      <c r="EM2" s="58" t="s">
        <v>29</v>
      </c>
      <c r="EN2" s="9" t="s">
        <v>28</v>
      </c>
      <c r="EO2" s="9" t="s">
        <v>92</v>
      </c>
      <c r="EP2" s="9" t="s">
        <v>27</v>
      </c>
      <c r="EQ2" s="9" t="s">
        <v>22</v>
      </c>
      <c r="ER2" s="136" t="s">
        <v>39</v>
      </c>
      <c r="ES2" s="136"/>
      <c r="ET2" s="136"/>
      <c r="EU2" s="136"/>
      <c r="EV2" s="136" t="s">
        <v>42</v>
      </c>
      <c r="EW2" s="136"/>
      <c r="EX2" s="136"/>
      <c r="EY2" s="136"/>
      <c r="EZ2" s="136" t="s">
        <v>43</v>
      </c>
      <c r="FA2" s="136"/>
      <c r="FB2" s="136"/>
      <c r="FC2" s="136"/>
      <c r="FD2" s="146" t="s">
        <v>44</v>
      </c>
      <c r="FE2" s="146"/>
      <c r="FF2" s="146"/>
      <c r="FG2" s="146"/>
      <c r="FH2" s="20" t="s">
        <v>29</v>
      </c>
      <c r="FI2" s="12" t="s">
        <v>28</v>
      </c>
      <c r="FJ2" s="12" t="s">
        <v>92</v>
      </c>
      <c r="FK2" s="12" t="s">
        <v>27</v>
      </c>
      <c r="FL2" s="12" t="s">
        <v>22</v>
      </c>
      <c r="FM2" s="137" t="s">
        <v>39</v>
      </c>
      <c r="FN2" s="137"/>
      <c r="FO2" s="137"/>
      <c r="FP2" s="137"/>
      <c r="FQ2" s="137" t="s">
        <v>42</v>
      </c>
      <c r="FR2" s="137"/>
      <c r="FS2" s="137"/>
      <c r="FT2" s="137"/>
      <c r="FU2" s="137" t="s">
        <v>43</v>
      </c>
      <c r="FV2" s="137"/>
      <c r="FW2" s="137"/>
      <c r="FX2" s="137"/>
      <c r="FY2" s="145" t="s">
        <v>44</v>
      </c>
      <c r="FZ2" s="145"/>
      <c r="GA2" s="145"/>
      <c r="GB2" s="145"/>
      <c r="GC2" s="21" t="s">
        <v>29</v>
      </c>
      <c r="GD2" s="9" t="s">
        <v>28</v>
      </c>
      <c r="GE2" s="9" t="s">
        <v>92</v>
      </c>
      <c r="GF2" s="9" t="s">
        <v>27</v>
      </c>
      <c r="GG2" s="9" t="s">
        <v>22</v>
      </c>
      <c r="GH2" s="136" t="s">
        <v>39</v>
      </c>
      <c r="GI2" s="136"/>
      <c r="GJ2" s="136"/>
      <c r="GK2" s="136"/>
      <c r="GL2" s="136" t="s">
        <v>42</v>
      </c>
      <c r="GM2" s="136"/>
      <c r="GN2" s="136"/>
      <c r="GO2" s="136"/>
      <c r="GP2" s="136" t="s">
        <v>43</v>
      </c>
      <c r="GQ2" s="136"/>
      <c r="GR2" s="136"/>
      <c r="GS2" s="136"/>
      <c r="GT2" s="146" t="s">
        <v>44</v>
      </c>
      <c r="GU2" s="146"/>
      <c r="GV2" s="146"/>
      <c r="GW2" s="146"/>
      <c r="GX2" s="20" t="s">
        <v>29</v>
      </c>
      <c r="GY2" s="12" t="s">
        <v>28</v>
      </c>
      <c r="GZ2" s="12" t="s">
        <v>92</v>
      </c>
      <c r="HA2" s="12" t="s">
        <v>27</v>
      </c>
      <c r="HB2" s="12" t="s">
        <v>22</v>
      </c>
      <c r="HC2" s="137" t="s">
        <v>39</v>
      </c>
      <c r="HD2" s="137"/>
      <c r="HE2" s="137"/>
      <c r="HF2" s="137"/>
      <c r="HG2" s="137" t="s">
        <v>42</v>
      </c>
      <c r="HH2" s="137"/>
      <c r="HI2" s="137"/>
      <c r="HJ2" s="137"/>
      <c r="HK2" s="137" t="s">
        <v>43</v>
      </c>
      <c r="HL2" s="137"/>
      <c r="HM2" s="137"/>
      <c r="HN2" s="137"/>
      <c r="HO2" s="145" t="s">
        <v>44</v>
      </c>
      <c r="HP2" s="145"/>
      <c r="HQ2" s="145"/>
      <c r="HR2" s="145"/>
      <c r="HS2" s="21" t="s">
        <v>29</v>
      </c>
      <c r="HT2" s="9" t="s">
        <v>28</v>
      </c>
      <c r="HU2" s="9" t="s">
        <v>92</v>
      </c>
      <c r="HV2" s="9" t="s">
        <v>27</v>
      </c>
      <c r="HW2" s="9" t="s">
        <v>22</v>
      </c>
      <c r="HX2" s="136" t="s">
        <v>39</v>
      </c>
      <c r="HY2" s="136"/>
      <c r="HZ2" s="136"/>
      <c r="IA2" s="136"/>
      <c r="IB2" s="136" t="s">
        <v>42</v>
      </c>
      <c r="IC2" s="136"/>
      <c r="ID2" s="136"/>
      <c r="IE2" s="136"/>
      <c r="IF2" s="136" t="s">
        <v>43</v>
      </c>
      <c r="IG2" s="136"/>
      <c r="IH2" s="136"/>
      <c r="II2" s="136"/>
      <c r="IJ2" s="146" t="s">
        <v>44</v>
      </c>
      <c r="IK2" s="146"/>
      <c r="IL2" s="146"/>
      <c r="IM2" s="146"/>
      <c r="IN2" s="20" t="s">
        <v>29</v>
      </c>
      <c r="IO2" s="12" t="s">
        <v>28</v>
      </c>
      <c r="IP2" s="12" t="s">
        <v>92</v>
      </c>
      <c r="IQ2" s="12" t="s">
        <v>27</v>
      </c>
      <c r="IR2" s="12" t="s">
        <v>22</v>
      </c>
      <c r="IS2" s="137" t="s">
        <v>39</v>
      </c>
      <c r="IT2" s="137"/>
      <c r="IU2" s="137"/>
      <c r="IV2" s="137"/>
      <c r="IW2" s="137" t="s">
        <v>42</v>
      </c>
      <c r="IX2" s="137"/>
      <c r="IY2" s="137"/>
      <c r="IZ2" s="137"/>
      <c r="JA2" s="137" t="s">
        <v>43</v>
      </c>
      <c r="JB2" s="137"/>
      <c r="JC2" s="137"/>
      <c r="JD2" s="137"/>
      <c r="JE2" s="145" t="s">
        <v>44</v>
      </c>
      <c r="JF2" s="145"/>
      <c r="JG2" s="145"/>
      <c r="JH2" s="145"/>
      <c r="JI2" s="21" t="s">
        <v>29</v>
      </c>
      <c r="JJ2" s="9" t="s">
        <v>28</v>
      </c>
      <c r="JK2" s="9" t="s">
        <v>92</v>
      </c>
      <c r="JL2" s="9" t="s">
        <v>27</v>
      </c>
      <c r="JM2" s="9" t="s">
        <v>22</v>
      </c>
      <c r="JN2" s="136" t="s">
        <v>39</v>
      </c>
      <c r="JO2" s="136"/>
      <c r="JP2" s="136"/>
      <c r="JQ2" s="136"/>
      <c r="JR2" s="136" t="s">
        <v>42</v>
      </c>
      <c r="JS2" s="136"/>
      <c r="JT2" s="136"/>
      <c r="JU2" s="136"/>
      <c r="JV2" s="136" t="s">
        <v>43</v>
      </c>
      <c r="JW2" s="136"/>
      <c r="JX2" s="136"/>
      <c r="JY2" s="136"/>
      <c r="JZ2" s="146" t="s">
        <v>44</v>
      </c>
      <c r="KA2" s="146"/>
      <c r="KB2" s="146"/>
      <c r="KC2" s="146"/>
      <c r="KD2" s="20" t="s">
        <v>29</v>
      </c>
      <c r="KE2" s="12" t="s">
        <v>28</v>
      </c>
      <c r="KF2" s="12" t="s">
        <v>92</v>
      </c>
      <c r="KG2" s="12" t="s">
        <v>27</v>
      </c>
      <c r="KH2" s="12" t="s">
        <v>22</v>
      </c>
      <c r="KI2" s="137" t="s">
        <v>39</v>
      </c>
      <c r="KJ2" s="137"/>
      <c r="KK2" s="137"/>
      <c r="KL2" s="137"/>
      <c r="KM2" s="137" t="s">
        <v>42</v>
      </c>
      <c r="KN2" s="137"/>
      <c r="KO2" s="137"/>
      <c r="KP2" s="137"/>
      <c r="KQ2" s="137" t="s">
        <v>43</v>
      </c>
      <c r="KR2" s="137"/>
      <c r="KS2" s="137"/>
      <c r="KT2" s="137"/>
      <c r="KU2" s="145" t="s">
        <v>44</v>
      </c>
      <c r="KV2" s="145"/>
      <c r="KW2" s="145"/>
      <c r="KX2" s="145"/>
      <c r="KY2" s="21" t="s">
        <v>29</v>
      </c>
      <c r="KZ2" s="9" t="s">
        <v>28</v>
      </c>
      <c r="LA2" s="9" t="s">
        <v>92</v>
      </c>
      <c r="LB2" s="9" t="s">
        <v>27</v>
      </c>
      <c r="LC2" s="9" t="s">
        <v>22</v>
      </c>
      <c r="LD2" s="136" t="s">
        <v>39</v>
      </c>
      <c r="LE2" s="136"/>
      <c r="LF2" s="136"/>
      <c r="LG2" s="136"/>
      <c r="LH2" s="136" t="s">
        <v>42</v>
      </c>
      <c r="LI2" s="136"/>
      <c r="LJ2" s="136"/>
      <c r="LK2" s="136"/>
      <c r="LL2" s="136" t="s">
        <v>43</v>
      </c>
      <c r="LM2" s="136"/>
      <c r="LN2" s="136"/>
      <c r="LO2" s="136"/>
      <c r="LP2" s="146" t="s">
        <v>44</v>
      </c>
      <c r="LQ2" s="146"/>
      <c r="LR2" s="146"/>
      <c r="LS2" s="146"/>
      <c r="LT2" s="20" t="s">
        <v>29</v>
      </c>
      <c r="LU2" s="12" t="s">
        <v>28</v>
      </c>
      <c r="LV2" s="12" t="s">
        <v>92</v>
      </c>
      <c r="LW2" s="12" t="s">
        <v>27</v>
      </c>
      <c r="LX2" s="12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9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2"/>
      <c r="K3" s="142"/>
      <c r="L3" s="142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9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59" t="s">
        <v>19</v>
      </c>
      <c r="AZ3" s="59" t="s">
        <v>11</v>
      </c>
      <c r="BA3" s="59" t="s">
        <v>40</v>
      </c>
      <c r="BB3" s="59" t="s">
        <v>41</v>
      </c>
      <c r="BC3" s="79" t="s">
        <v>73</v>
      </c>
      <c r="BD3" s="13"/>
      <c r="BE3" s="12"/>
      <c r="BF3" s="12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9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0" t="s">
        <v>19</v>
      </c>
      <c r="CT3" s="60" t="s">
        <v>11</v>
      </c>
      <c r="CU3" s="60" t="s">
        <v>40</v>
      </c>
      <c r="CV3" s="60" t="s">
        <v>41</v>
      </c>
      <c r="CW3" s="10"/>
      <c r="CX3" s="9"/>
      <c r="CY3" s="9"/>
      <c r="CZ3" s="10"/>
      <c r="DA3" s="10"/>
      <c r="DB3" s="57" t="s">
        <v>19</v>
      </c>
      <c r="DC3" s="57" t="s">
        <v>11</v>
      </c>
      <c r="DD3" s="57" t="s">
        <v>40</v>
      </c>
      <c r="DE3" s="57" t="s">
        <v>41</v>
      </c>
      <c r="DF3" s="57" t="s">
        <v>19</v>
      </c>
      <c r="DG3" s="57" t="s">
        <v>11</v>
      </c>
      <c r="DH3" s="57" t="s">
        <v>40</v>
      </c>
      <c r="DI3" s="57" t="s">
        <v>41</v>
      </c>
      <c r="DJ3" s="57" t="s">
        <v>19</v>
      </c>
      <c r="DK3" s="57" t="s">
        <v>11</v>
      </c>
      <c r="DL3" s="57" t="s">
        <v>40</v>
      </c>
      <c r="DM3" s="57" t="s">
        <v>41</v>
      </c>
      <c r="DN3" s="59" t="s">
        <v>19</v>
      </c>
      <c r="DO3" s="59" t="s">
        <v>11</v>
      </c>
      <c r="DP3" s="59" t="s">
        <v>40</v>
      </c>
      <c r="DQ3" s="59" t="s">
        <v>41</v>
      </c>
      <c r="DR3" s="13"/>
      <c r="DS3" s="12"/>
      <c r="DT3" s="12"/>
      <c r="DU3" s="13"/>
      <c r="DV3" s="13"/>
      <c r="DW3" s="58" t="s">
        <v>19</v>
      </c>
      <c r="DX3" s="58" t="s">
        <v>11</v>
      </c>
      <c r="DY3" s="58" t="s">
        <v>40</v>
      </c>
      <c r="DZ3" s="58" t="s">
        <v>41</v>
      </c>
      <c r="EA3" s="58" t="s">
        <v>19</v>
      </c>
      <c r="EB3" s="58" t="s">
        <v>11</v>
      </c>
      <c r="EC3" s="58" t="s">
        <v>40</v>
      </c>
      <c r="ED3" s="58" t="s">
        <v>41</v>
      </c>
      <c r="EE3" s="58" t="s">
        <v>19</v>
      </c>
      <c r="EF3" s="58" t="s">
        <v>11</v>
      </c>
      <c r="EG3" s="58" t="s">
        <v>40</v>
      </c>
      <c r="EH3" s="58" t="s">
        <v>41</v>
      </c>
      <c r="EI3" s="60" t="s">
        <v>19</v>
      </c>
      <c r="EJ3" s="60" t="s">
        <v>11</v>
      </c>
      <c r="EK3" s="60" t="s">
        <v>40</v>
      </c>
      <c r="EL3" s="60" t="s">
        <v>41</v>
      </c>
      <c r="EM3" s="10"/>
      <c r="EN3" s="9"/>
      <c r="EO3" s="9"/>
      <c r="EP3" s="10"/>
      <c r="EQ3" s="10"/>
      <c r="ER3" s="28" t="s">
        <v>19</v>
      </c>
      <c r="ES3" s="28" t="s">
        <v>11</v>
      </c>
      <c r="ET3" s="28" t="s">
        <v>40</v>
      </c>
      <c r="EU3" s="28" t="s">
        <v>41</v>
      </c>
      <c r="EV3" s="28" t="s">
        <v>19</v>
      </c>
      <c r="EW3" s="28" t="s">
        <v>11</v>
      </c>
      <c r="EX3" s="28" t="s">
        <v>40</v>
      </c>
      <c r="EY3" s="28" t="s">
        <v>41</v>
      </c>
      <c r="EZ3" s="28" t="s">
        <v>19</v>
      </c>
      <c r="FA3" s="28" t="s">
        <v>11</v>
      </c>
      <c r="FB3" s="28" t="s">
        <v>40</v>
      </c>
      <c r="FC3" s="28" t="s">
        <v>41</v>
      </c>
      <c r="FD3" s="31" t="s">
        <v>19</v>
      </c>
      <c r="FE3" s="31" t="s">
        <v>11</v>
      </c>
      <c r="FF3" s="31" t="s">
        <v>40</v>
      </c>
      <c r="FG3" s="31" t="s">
        <v>41</v>
      </c>
      <c r="FH3" s="13"/>
      <c r="FI3" s="12"/>
      <c r="FJ3" s="12"/>
      <c r="FK3" s="13"/>
      <c r="FL3" s="13"/>
      <c r="FM3" s="29" t="s">
        <v>19</v>
      </c>
      <c r="FN3" s="29" t="s">
        <v>11</v>
      </c>
      <c r="FO3" s="29" t="s">
        <v>40</v>
      </c>
      <c r="FP3" s="29" t="s">
        <v>41</v>
      </c>
      <c r="FQ3" s="29" t="s">
        <v>19</v>
      </c>
      <c r="FR3" s="29" t="s">
        <v>11</v>
      </c>
      <c r="FS3" s="29" t="s">
        <v>40</v>
      </c>
      <c r="FT3" s="29" t="s">
        <v>41</v>
      </c>
      <c r="FU3" s="29" t="s">
        <v>19</v>
      </c>
      <c r="FV3" s="29" t="s">
        <v>11</v>
      </c>
      <c r="FW3" s="29" t="s">
        <v>40</v>
      </c>
      <c r="FX3" s="29" t="s">
        <v>41</v>
      </c>
      <c r="FY3" s="30" t="s">
        <v>19</v>
      </c>
      <c r="FZ3" s="30" t="s">
        <v>11</v>
      </c>
      <c r="GA3" s="30" t="s">
        <v>40</v>
      </c>
      <c r="GB3" s="30" t="s">
        <v>41</v>
      </c>
      <c r="GC3" s="10"/>
      <c r="GD3" s="9"/>
      <c r="GE3" s="9"/>
      <c r="GF3" s="10"/>
      <c r="GG3" s="10"/>
      <c r="GH3" s="28" t="s">
        <v>19</v>
      </c>
      <c r="GI3" s="28" t="s">
        <v>11</v>
      </c>
      <c r="GJ3" s="28" t="s">
        <v>40</v>
      </c>
      <c r="GK3" s="28" t="s">
        <v>41</v>
      </c>
      <c r="GL3" s="28" t="s">
        <v>19</v>
      </c>
      <c r="GM3" s="28" t="s">
        <v>11</v>
      </c>
      <c r="GN3" s="28" t="s">
        <v>40</v>
      </c>
      <c r="GO3" s="28" t="s">
        <v>41</v>
      </c>
      <c r="GP3" s="28" t="s">
        <v>19</v>
      </c>
      <c r="GQ3" s="28" t="s">
        <v>11</v>
      </c>
      <c r="GR3" s="28" t="s">
        <v>40</v>
      </c>
      <c r="GS3" s="28" t="s">
        <v>41</v>
      </c>
      <c r="GT3" s="31" t="s">
        <v>19</v>
      </c>
      <c r="GU3" s="31" t="s">
        <v>11</v>
      </c>
      <c r="GV3" s="31" t="s">
        <v>40</v>
      </c>
      <c r="GW3" s="31" t="s">
        <v>41</v>
      </c>
      <c r="GX3" s="13"/>
      <c r="GY3" s="12"/>
      <c r="GZ3" s="12"/>
      <c r="HA3" s="13"/>
      <c r="HB3" s="13"/>
      <c r="HC3" s="29" t="s">
        <v>19</v>
      </c>
      <c r="HD3" s="29" t="s">
        <v>11</v>
      </c>
      <c r="HE3" s="29" t="s">
        <v>40</v>
      </c>
      <c r="HF3" s="29" t="s">
        <v>41</v>
      </c>
      <c r="HG3" s="29" t="s">
        <v>19</v>
      </c>
      <c r="HH3" s="29" t="s">
        <v>11</v>
      </c>
      <c r="HI3" s="29" t="s">
        <v>40</v>
      </c>
      <c r="HJ3" s="29" t="s">
        <v>41</v>
      </c>
      <c r="HK3" s="29" t="s">
        <v>19</v>
      </c>
      <c r="HL3" s="29" t="s">
        <v>11</v>
      </c>
      <c r="HM3" s="29" t="s">
        <v>40</v>
      </c>
      <c r="HN3" s="29" t="s">
        <v>41</v>
      </c>
      <c r="HO3" s="30" t="s">
        <v>19</v>
      </c>
      <c r="HP3" s="30" t="s">
        <v>11</v>
      </c>
      <c r="HQ3" s="30" t="s">
        <v>40</v>
      </c>
      <c r="HR3" s="30" t="s">
        <v>41</v>
      </c>
      <c r="HS3" s="10"/>
      <c r="HT3" s="9"/>
      <c r="HU3" s="9"/>
      <c r="HV3" s="10"/>
      <c r="HW3" s="10"/>
      <c r="HX3" s="28" t="s">
        <v>19</v>
      </c>
      <c r="HY3" s="28" t="s">
        <v>11</v>
      </c>
      <c r="HZ3" s="28" t="s">
        <v>40</v>
      </c>
      <c r="IA3" s="28" t="s">
        <v>41</v>
      </c>
      <c r="IB3" s="28" t="s">
        <v>19</v>
      </c>
      <c r="IC3" s="28" t="s">
        <v>11</v>
      </c>
      <c r="ID3" s="28" t="s">
        <v>40</v>
      </c>
      <c r="IE3" s="28" t="s">
        <v>41</v>
      </c>
      <c r="IF3" s="28" t="s">
        <v>19</v>
      </c>
      <c r="IG3" s="28" t="s">
        <v>11</v>
      </c>
      <c r="IH3" s="28" t="s">
        <v>40</v>
      </c>
      <c r="II3" s="28" t="s">
        <v>41</v>
      </c>
      <c r="IJ3" s="31" t="s">
        <v>19</v>
      </c>
      <c r="IK3" s="31" t="s">
        <v>11</v>
      </c>
      <c r="IL3" s="31" t="s">
        <v>40</v>
      </c>
      <c r="IM3" s="31" t="s">
        <v>41</v>
      </c>
      <c r="IN3" s="13"/>
      <c r="IO3" s="12"/>
      <c r="IP3" s="12"/>
      <c r="IQ3" s="13"/>
      <c r="IR3" s="13"/>
      <c r="IS3" s="29" t="s">
        <v>19</v>
      </c>
      <c r="IT3" s="29" t="s">
        <v>11</v>
      </c>
      <c r="IU3" s="29" t="s">
        <v>40</v>
      </c>
      <c r="IV3" s="29" t="s">
        <v>41</v>
      </c>
      <c r="IW3" s="29" t="s">
        <v>19</v>
      </c>
      <c r="IX3" s="29" t="s">
        <v>11</v>
      </c>
      <c r="IY3" s="29" t="s">
        <v>40</v>
      </c>
      <c r="IZ3" s="29" t="s">
        <v>41</v>
      </c>
      <c r="JA3" s="29" t="s">
        <v>19</v>
      </c>
      <c r="JB3" s="29" t="s">
        <v>11</v>
      </c>
      <c r="JC3" s="29" t="s">
        <v>40</v>
      </c>
      <c r="JD3" s="29" t="s">
        <v>41</v>
      </c>
      <c r="JE3" s="30" t="s">
        <v>19</v>
      </c>
      <c r="JF3" s="30" t="s">
        <v>11</v>
      </c>
      <c r="JG3" s="30" t="s">
        <v>40</v>
      </c>
      <c r="JH3" s="30" t="s">
        <v>41</v>
      </c>
      <c r="JI3" s="10"/>
      <c r="JJ3" s="9"/>
      <c r="JK3" s="9"/>
      <c r="JL3" s="10"/>
      <c r="JM3" s="10"/>
      <c r="JN3" s="28" t="s">
        <v>19</v>
      </c>
      <c r="JO3" s="28" t="s">
        <v>11</v>
      </c>
      <c r="JP3" s="28" t="s">
        <v>40</v>
      </c>
      <c r="JQ3" s="28" t="s">
        <v>41</v>
      </c>
      <c r="JR3" s="28" t="s">
        <v>19</v>
      </c>
      <c r="JS3" s="28" t="s">
        <v>11</v>
      </c>
      <c r="JT3" s="28" t="s">
        <v>40</v>
      </c>
      <c r="JU3" s="28" t="s">
        <v>41</v>
      </c>
      <c r="JV3" s="28" t="s">
        <v>19</v>
      </c>
      <c r="JW3" s="28" t="s">
        <v>11</v>
      </c>
      <c r="JX3" s="28" t="s">
        <v>40</v>
      </c>
      <c r="JY3" s="28" t="s">
        <v>41</v>
      </c>
      <c r="JZ3" s="31" t="s">
        <v>19</v>
      </c>
      <c r="KA3" s="31" t="s">
        <v>11</v>
      </c>
      <c r="KB3" s="31" t="s">
        <v>40</v>
      </c>
      <c r="KC3" s="31" t="s">
        <v>41</v>
      </c>
      <c r="KD3" s="13"/>
      <c r="KE3" s="12"/>
      <c r="KF3" s="12"/>
      <c r="KG3" s="13"/>
      <c r="KH3" s="13"/>
      <c r="KI3" s="29" t="s">
        <v>19</v>
      </c>
      <c r="KJ3" s="29" t="s">
        <v>11</v>
      </c>
      <c r="KK3" s="29" t="s">
        <v>40</v>
      </c>
      <c r="KL3" s="29" t="s">
        <v>41</v>
      </c>
      <c r="KM3" s="29" t="s">
        <v>19</v>
      </c>
      <c r="KN3" s="29" t="s">
        <v>11</v>
      </c>
      <c r="KO3" s="29" t="s">
        <v>40</v>
      </c>
      <c r="KP3" s="29" t="s">
        <v>41</v>
      </c>
      <c r="KQ3" s="29" t="s">
        <v>19</v>
      </c>
      <c r="KR3" s="29" t="s">
        <v>11</v>
      </c>
      <c r="KS3" s="29" t="s">
        <v>40</v>
      </c>
      <c r="KT3" s="29" t="s">
        <v>41</v>
      </c>
      <c r="KU3" s="30" t="s">
        <v>19</v>
      </c>
      <c r="KV3" s="30" t="s">
        <v>11</v>
      </c>
      <c r="KW3" s="30" t="s">
        <v>40</v>
      </c>
      <c r="KX3" s="30" t="s">
        <v>41</v>
      </c>
      <c r="KY3" s="10"/>
      <c r="KZ3" s="9"/>
      <c r="LA3" s="9"/>
      <c r="LB3" s="10"/>
      <c r="LC3" s="10"/>
      <c r="LD3" s="28" t="s">
        <v>19</v>
      </c>
      <c r="LE3" s="28" t="s">
        <v>11</v>
      </c>
      <c r="LF3" s="28" t="s">
        <v>40</v>
      </c>
      <c r="LG3" s="28" t="s">
        <v>41</v>
      </c>
      <c r="LH3" s="28" t="s">
        <v>19</v>
      </c>
      <c r="LI3" s="28" t="s">
        <v>11</v>
      </c>
      <c r="LJ3" s="28" t="s">
        <v>40</v>
      </c>
      <c r="LK3" s="28" t="s">
        <v>41</v>
      </c>
      <c r="LL3" s="28" t="s">
        <v>19</v>
      </c>
      <c r="LM3" s="28" t="s">
        <v>11</v>
      </c>
      <c r="LN3" s="28" t="s">
        <v>40</v>
      </c>
      <c r="LO3" s="28" t="s">
        <v>41</v>
      </c>
      <c r="LP3" s="31" t="s">
        <v>19</v>
      </c>
      <c r="LQ3" s="31" t="s">
        <v>11</v>
      </c>
      <c r="LR3" s="31" t="s">
        <v>40</v>
      </c>
      <c r="LS3" s="31" t="s">
        <v>41</v>
      </c>
      <c r="LT3" s="13"/>
      <c r="LU3" s="12"/>
      <c r="LV3" s="12"/>
      <c r="LW3" s="13"/>
      <c r="LX3" s="13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9"/>
      <c r="MS3" s="10"/>
      <c r="MT3" s="10"/>
    </row>
    <row r="4" spans="1:358" x14ac:dyDescent="0.2">
      <c r="A4" s="5">
        <f>IF(AND(F4="P",G4="P"),SUMPRODUCT((F$4:F$8="P")*(G$4:G$8="P")*(E$4:E$8&gt;E4))+1,IF(G4="P",SUMPRODUCT((F$4:F$8="")*(G$4:G$8="P")*(E$4:E$8&gt;E4))+1+SUMPRODUCT((F$4:F$8="P")*(G$4:G$8="P")),""))</f>
        <v>1</v>
      </c>
      <c r="B4" s="6" t="s">
        <v>72</v>
      </c>
      <c r="C4" s="7" t="s">
        <v>3</v>
      </c>
      <c r="D4" s="27">
        <v>2000</v>
      </c>
      <c r="E4" s="15">
        <f>SUM(J4:N4)</f>
        <v>120.8</v>
      </c>
      <c r="F4" s="3" t="str">
        <f>IF(OR(AND(AH4&gt;=AL$10,AI4&gt;=AL$14,AI4&lt;&gt;"",AG4=""),AND(BD4&gt;=BH$10,BE4&gt;=BH$14,BE4&lt;&gt;"",BC4=""),AND(BZ4&gt;=CD$10,CA4&gt;=CD$14,CA4&lt;&gt;"",BY4=""),AND(CW4&gt;=DA$10,CX4&gt;=DA$14,CX4&lt;&gt;""),AND(DR4&gt;=DV$10,DS4&gt;=DV$14,DS4&lt;&gt;""),AND(EM4&gt;=EQ$10,EN4&gt;=EQ$14,EN4&lt;&gt;""),AND(FH4&gt;=FL$10,FI4&gt;=FL$14,FI4&lt;&gt;""),AND(GC4&gt;=GG$10,GD4&gt;=GG$14,GD4&lt;&gt;""),AND(GX4&gt;=HB$10,GY4&gt;=HB$14,GY4&lt;&gt;""),AND(HS4&gt;=HW$10,HT4&gt;=HW$14,HT4&lt;&gt;""),AND(IN4&gt;=IR$10,IO4&gt;=IR$14,IO4&lt;&gt;""),AND(JI4&gt;=JM$10,JJ4&gt;=JM$14,JJ4&lt;&gt;""),AND(KD4&gt;=KH$10,KE4&gt;=KH$14,KE4&lt;&gt;""),AND(KY4&gt;=LC$10,KZ4&gt;=LC$14,KZ4&lt;&gt;""),AND(LT4&gt;=LX$10,LU4&gt;=LX$14,LU4&lt;&gt;"")),"P","")</f>
        <v>P</v>
      </c>
      <c r="G4" s="3" t="str">
        <f>IF(OR(AND(AI4&gt;=AL$14,AI4&lt;&gt;"",AG4=""),AND(BE4&gt;=BH$14,BE4&lt;&gt;"",BC4=""),AND(CA4&gt;=CD$14,CA4&lt;&gt;"",BY4=""),AND(CX4&gt;=DA$14,CX4&lt;&gt;""),AND(DS4&gt;=DV$14,DS4&lt;&gt;""),AND(EN4&gt;=EQ$14,EN4&lt;&gt;""),AND(FI4&gt;=FL$14,FI4&lt;&gt;""),AND(GD4&gt;=GG$14,GD4&lt;&gt;""),AND(GY4&gt;=HB$14,GY4&lt;&gt;""),AND(HT4&gt;=HW$14,HT4&lt;&gt;""),AND(IO4&gt;=IR$14,IO4&lt;&gt;""),AND(JJ4&gt;=JM$14,JJ4&lt;&gt;""),AND(KE4&gt;=KH$14,KE4&lt;&gt;""),AND(KZ4&gt;=LC$14,KZ4&lt;&gt;""),AND(LU4&gt;=LX$14,LU4&lt;&gt;"")),"P","")</f>
        <v>P</v>
      </c>
      <c r="H4" s="126" t="str">
        <f>IF(AND(G4="P",F4=""),"No DD",IF(OR(AND(AI4&gt;=AL$17,AI4&lt;&gt;"",AH4&gt;=AL$13,AH4&lt;&gt;"",AG4=""),AND(BE4&gt;=BH$17,BE4&lt;&gt;"",BD4&gt;=BH$13,BD4&lt;&gt;"",BC4=""),AND(CA4&gt;=CD$17,CA4&lt;&gt;"",BZ4&gt;=CD$13,BZ4&lt;&gt;"",BY4=""),AND(CX4&gt;=DA$17,CX4&lt;&gt;"",CW4&gt;=DA$13,CW4&lt;&gt;""),AND(DS4&gt;=DV$17,DS4&lt;&gt;"",DR4&gt;=DV$13,DR4&lt;&gt;""),AND(EN4&gt;=EQ$17,EN4&lt;&gt;"",EM4&gt;=EQ$13,EM4&lt;&gt;""),AND(FI4&gt;=FL$17,FI4&lt;&gt;"",FH4&gt;=FL$13,FH4&lt;&gt;""),AND(GD4&gt;=GG$17,GD4&lt;&gt;"",GC4&gt;=GG$13,GC4&lt;&gt;""),AND(GY4&gt;=HB$17,GY4&lt;&gt;"",GX4&gt;=HB$13,GX4&lt;&gt;""),AND(HT4&gt;=HW$17,HT4&lt;&gt;"",HS4&gt;=HW$13,HS4&lt;&gt;""),AND(IO4&gt;=IR$17,IO4&lt;&gt;"",IN4&gt;=IR$13,IN4&lt;&gt;""),AND(JJ4&gt;=JM$17,JJ4&lt;&gt;"",JI4&gt;=JM$13,JI4&lt;&gt;""),AND(KE4&gt;=KH$17,KE4&lt;&gt;"",KD4&gt;=KH$13,KD4&lt;&gt;""),AND(KZ4&gt;=LC$17,KZ4&lt;&gt;"",KY4&gt;=LC$13,KY4&lt;&gt;""),AND(LU4&gt;=LX$17,LU4&lt;&gt;"",LT4&gt;=LX$13,LT4&lt;&gt;"")),"Merit",IF(OR(AND(AI4&gt;=AL$16,AI4&lt;&gt;"",AH4&gt;=AL$12,AH4&lt;&gt;"",AG4=""),AND(BE4&gt;=BH$16,BE4&lt;&gt;"",BD4&gt;=BH$12,BD4&lt;&gt;"",BC4=""),AND(CA4&gt;=CD$16,CA4&lt;&gt;"",BZ4&gt;=CD$12,BZ4&lt;&gt;"",BY4=""),AND(CX4&gt;=DA$16,CX4&lt;&gt;"",CW4&gt;=DA$12,CW4&lt;&gt;""),AND(DS4&gt;=DV$16,DS4&lt;&gt;"",DR4&gt;=DV$12,DR4&lt;&gt;""),AND(EN4&gt;=EQ$16,EN4&lt;&gt;"",EM4&gt;=EQ$12,EM4&lt;&gt;""),AND(FI4&gt;=FL$16,FI4&lt;&gt;"",FH4&gt;=FL$12,FH4&lt;&gt;""),AND(GD4&gt;=GG$16,GD4&lt;&gt;"",GC4&gt;=GG$12,GC4&lt;&gt;""),AND(GY4&gt;=HB$16,GY4&lt;&gt;"",GX4&gt;=HB$12,GX4&lt;&gt;""),AND(HT4&gt;=HW$16,HT4&lt;&gt;"",HS4&gt;=HW$12,HS4&lt;&gt;""),AND(IO4&gt;=IR$16,IO4&lt;&gt;"",IN4&gt;=IR$12,IN4&lt;&gt;""),AND(JJ4&gt;=JM$16,JJ4&lt;&gt;"",JI4&gt;=JM$12,JI4&lt;&gt;""),AND(KE4&gt;=KH$16,KE4&lt;&gt;"",KD4&gt;=KH$12,KD4&lt;&gt;""),AND(KZ4&gt;=LC$16,KZ4&lt;&gt;"",KY4&gt;=LC$12,KY4&lt;&gt;""),AND(LU4&gt;=LX$16,LU4&lt;&gt;"",LT4&gt;=LX$12,LT4&lt;&gt;"")),"Excellence",IF(OR(AND(AI4&gt;=AL$15,AI4&lt;&gt;"",AH4&gt;=AL$11,AH4&lt;&gt;"",AG4=""),AND(BE4&gt;=BH$15,BE4&lt;&gt;"",BD4&gt;=BH$11,BD4&lt;&gt;"",BC4=""),AND(CA4&gt;=CD$15,CA4&lt;&gt;"",BZ4&gt;=CD$11,BZ4&lt;&gt;"",BY4=""),AND(CX4&gt;=DA$15,CX4&lt;&gt;"",CW4&gt;=DA$11,CW4&lt;&gt;""),AND(DS4&gt;=DV$15,DS4&lt;&gt;"",DR4&gt;=DV$11,DR4&lt;&gt;""),AND(EN4&gt;=EQ$15,EN4&lt;&gt;"",EM4&gt;=EQ$11,EM4&lt;&gt;""),AND(FI4&gt;=FL$15,FI4&lt;&gt;"",FH4&gt;=FL$11,FH4&lt;&gt;""),AND(GD4&gt;=GG$15,GD4&lt;&gt;"",GC4&gt;=GG$11,GC4&lt;&gt;""),AND(GY4&gt;=HB$15,GY4&lt;&gt;"",GX4&gt;=HB$11,GX4&lt;&gt;""),AND(HT4&gt;=HW$15,HT4&lt;&gt;"",HS4&gt;=HW$11,HS4&lt;&gt;""),AND(IO4&gt;=IR$15,IO4&lt;&gt;"",IN4&gt;=IR$11,IN4&lt;&gt;""),AND(JJ4&gt;=JM$15,JJ4&lt;&gt;"",JI4&gt;=JM$11,JI4&lt;&gt;""),AND(KE4&gt;=KH$15,KE4&lt;&gt;"",KD4&gt;=KH$11,KD4&lt;&gt;""),AND(KZ4&gt;=LC$15,KZ4&lt;&gt;"",KY4&gt;=LC$11,KY4&lt;&gt;""),AND(LU4&gt;=LX$15,LU4&lt;&gt;"",LT4&gt;=LX$11,LT4&lt;&gt;"")),"Worlds Team",IF(OR(AND(AI4&gt;=AL$14,AI4&lt;&gt;"",AH4&gt;=AL$10,AH4&lt;&gt;"",AG4=""),AND(BE4&gt;=BH$14,BE4&lt;&gt;"",BD4&gt;=BH$10,BD4&lt;&gt;"",BC4=""),AND(CA4&gt;=CD$14,CA4&lt;&gt;"",BZ4&gt;=CD$10,BZ4&lt;&gt;"",BY4=""),AND(CX4&gt;=DA$14,CX4&lt;&gt;"",CW4&gt;=DA$10,CW4&lt;&gt;""),AND(DS4&gt;=DV$14,DS4&lt;&gt;"",DR4&gt;=DV$10,DR4&lt;&gt;""),AND(EN4&gt;=EQ$14,EN4&lt;&gt;"",EM4&gt;=EQ$10,EM4&lt;&gt;""),AND(FI4&gt;=FL$14,FI4&lt;&gt;"",FH4&gt;=FL$10,FH4&lt;&gt;""),AND(GD4&gt;=GG$14,GD4&lt;&gt;"",GC4&gt;=GG$10,GC4&lt;&gt;""),AND(GY4&gt;=HB$14,GY4&lt;&gt;"",GX4&gt;=HB$10,GX4&lt;&gt;""),AND(HT4&gt;=HW$14,HT4&lt;&gt;"",HS4&gt;=HW$10,HS4&lt;&gt;""),AND(IO4&gt;=IR$14,IO4&lt;&gt;"",IN4&gt;=IR$10,IN4&lt;&gt;""),AND(JJ4&gt;=JM$14,JJ4&lt;&gt;"",JI4&gt;=JM$10,JI4&lt;&gt;""),AND(KE4&gt;=KH$14,KE4&lt;&gt;"",KD4&gt;=KH$10,KD4&lt;&gt;""),AND(KZ4&gt;=LC$14,KZ4&lt;&gt;"",KY4&gt;=LC$10,KY4&lt;&gt;""),AND(LU4&gt;=LX$14,LU4&lt;&gt;"",LT4&gt;=LX$10,LT4&lt;&gt;"")),"National Team","")))))</f>
        <v>National Team</v>
      </c>
      <c r="I4" s="3" t="str">
        <f>IF(OR(H4="Worlds Team",H4="Excellence",H4="Merit"),"P","")</f>
        <v/>
      </c>
      <c r="J4" s="14">
        <f>MAX(AI4,BE4,CA4)</f>
        <v>60.9</v>
      </c>
      <c r="K4" s="14" t="str">
        <f>IF(J4=0,"",IF(J4=CA4,$BI$1,IF(J4=BE4,$AM$1,IF(J4=AI4,$Q$1,""))))</f>
        <v>2021 2nd Virtual Technical Trial</v>
      </c>
      <c r="L4" s="14">
        <f>MAX(AK4,BG4,CC4)</f>
        <v>59.9</v>
      </c>
      <c r="M4" s="14" t="str">
        <f>IF(L4=0,"",IF(J4=CC4,$BI$1,IF(L4=BG4,$AM$1,IF(L4=AK4,$Q$1,""))))</f>
        <v>2021 2nd Virtual Technical Trial</v>
      </c>
      <c r="N4" s="14" t="str">
        <f>IF(MAX(CE4:CF4)&gt;0,MAX(CE4:CF4),"")</f>
        <v/>
      </c>
      <c r="O4" s="25" t="str">
        <f>IF(N4="","",IF(N4=CE4,"(Prelim)",IF(N4=CF4,"(Final)")))</f>
        <v/>
      </c>
      <c r="P4" s="14" t="str">
        <f>IF(N4="","",IF(N4=CE4,IF(N4+IF(J4="",0,J4)=LU4,$LD$1,IF(N4+IF(J4="",0,J4)=KZ4,$KI$1,IF(N4+IF(J4="",0,J4)=KE4,$JN$1,IF(N4+IF(J4="",0,J4)=JJ4,$IS$1,IF(N4+IF(J4="",0,J4)=IO4,$HX$1,IF(N4+IF(J4="",0,J4)=HT4,$HC$1,IF(N4+IF(J4="",0,J4)=GY4,$GH$1,IF(N4+IF(J4="",0,J4)=GD4,$FM$1,IF(N4+IF(J4="",0,J4)=FI4,$ER$1,IF(N4+IF(J4="",0,J4)=EN4,$DW$1,IF(N4+IF(J4="",0,J4)=DS4,$DB$1,IF(N4+IF(J4="",0,J4)=CX4,$CG$1)))))))))))),IF(N4=CF4,IF(N4+IF(L4="",0,L4)=LW4,$LD$1,IF(N4+IF(L4="",0,L4)=LB4,$KI$1,IF(N4+IF(L4="",0,L4)=KG4,$JN$1,IF(N4+IF(L4="",0,L4)=JL4,$IS$1,IF(N4+IF(L4="",0,L4)=IQ4,$HX$1,IF(N4+IF(L4="",0,L4)=HV4,$HC$1,IF(N4+IF(L4="",0,L4)=HA4,$GH$1,IF(N4+IF(L4="",0,L4)=GF4,$FM$1,IF(N4+IF(L4="",0,L4)=FK4,$ER$1,IF(N4+IF(L4="",0,L4)=EP4,$DW$1,IF(N4+IF(L4="",0,L4)=DU4,$DB$1,IF(N4+IF(L4="",0,L4)=CZ4,$CG$1)))))))))))))))</f>
        <v/>
      </c>
      <c r="Q4" s="41">
        <v>26.3</v>
      </c>
      <c r="R4" s="41">
        <v>3.6</v>
      </c>
      <c r="S4" s="41">
        <v>0</v>
      </c>
      <c r="T4" s="41">
        <v>0</v>
      </c>
      <c r="U4" s="41">
        <v>26.2</v>
      </c>
      <c r="V4" s="41">
        <v>4.5</v>
      </c>
      <c r="W4" s="41">
        <v>0</v>
      </c>
      <c r="X4" s="41">
        <v>0.3</v>
      </c>
      <c r="Y4" s="41">
        <v>26.7</v>
      </c>
      <c r="Z4" s="41">
        <v>3.2</v>
      </c>
      <c r="AA4" s="41">
        <v>0.4</v>
      </c>
      <c r="AB4" s="41">
        <v>0</v>
      </c>
      <c r="AC4" s="41">
        <v>25.6</v>
      </c>
      <c r="AD4" s="41">
        <v>4.5</v>
      </c>
      <c r="AE4" s="41">
        <v>0</v>
      </c>
      <c r="AF4" s="41">
        <v>0.3</v>
      </c>
      <c r="AG4" s="80"/>
      <c r="AH4" s="11">
        <f>IF(SUM(R4,V4)&gt;0,SUM(R4,V4),"")</f>
        <v>8.1</v>
      </c>
      <c r="AI4" s="11">
        <f>IF(SUM(Q4:R4,T4:V4,X4)-S4-W4&gt;0,SUM(Q4:R4,T4:V4,X4)-S4-W4,"")</f>
        <v>60.9</v>
      </c>
      <c r="AJ4" s="11">
        <f>IF(SUM(Z4,AD4)&gt;0,SUM(Z4,AD4),"")</f>
        <v>7.7</v>
      </c>
      <c r="AK4" s="11">
        <f>IF(SUM(Y4:Z4,AB4:AD4,AF4)-SUM(AA4,AE4)&gt;0,SUM(Y4:Z4,AB4:AD4,AF4)-SUM(AA4,AE4),"")</f>
        <v>59.9</v>
      </c>
      <c r="AL4" s="11">
        <f>IF(SUM(AI4,AK4)&gt;0,SUM(AI4,AK4),"")</f>
        <v>120.8</v>
      </c>
      <c r="AM4" s="38"/>
      <c r="AN4" s="38"/>
      <c r="AO4" s="38"/>
      <c r="AP4" s="38"/>
      <c r="AQ4" s="38"/>
      <c r="AR4" s="38"/>
      <c r="AS4" s="38"/>
      <c r="AT4" s="38"/>
      <c r="AU4" s="38"/>
      <c r="AV4" s="38"/>
      <c r="AW4" s="38"/>
      <c r="AX4" s="38"/>
      <c r="AY4" s="38"/>
      <c r="AZ4" s="38"/>
      <c r="BA4" s="38"/>
      <c r="BB4" s="38"/>
      <c r="BC4" s="81"/>
      <c r="BD4" s="14" t="str">
        <f>IF(SUM(AN4,AR4)&gt;0,SUM(AN4,AR4),"")</f>
        <v/>
      </c>
      <c r="BE4" s="14" t="str">
        <f>IF(SUM(AM4:AN4,AP4:AR4,AT4)-AO4-AS4&gt;0,SUM(AM4:AN4,AP4:AR4,AT4)-AO4-AS4,"")</f>
        <v/>
      </c>
      <c r="BF4" s="14" t="str">
        <f>IF(SUM(AV4,AZ4)&gt;0,SUM(AV4,AZ4),"")</f>
        <v/>
      </c>
      <c r="BG4" s="14" t="str">
        <f>IF(SUM(AU4:AV4,AX4:AZ4,BB4)-SUM(AW4,BA4)&gt;0,SUM(AU4:AV4,AX4:AZ4,BB4)-SUM(AW4,BA4),"")</f>
        <v/>
      </c>
      <c r="BH4" s="14" t="str">
        <f>IF(SUM(BE4,BG4)&gt;0,SUM(BE4,BG4),"")</f>
        <v/>
      </c>
      <c r="BI4" s="41"/>
      <c r="BJ4" s="41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80"/>
      <c r="BZ4" s="11" t="str">
        <f>IF(SUM(BJ4,BN4)&gt;0,SUM(BJ4,BN4),"")</f>
        <v/>
      </c>
      <c r="CA4" s="11" t="str">
        <f>IF(SUM(BI4:BJ4,BL4:BN4,BP4)-BK4-BO4&gt;0,SUM(BI4:BJ4,BL4:BN4,BP4)-BK4-BO4,"")</f>
        <v/>
      </c>
      <c r="CB4" s="11" t="str">
        <f>IF(SUM(BR4,BV4)&gt;0,SUM(BR4,BV4),"")</f>
        <v/>
      </c>
      <c r="CC4" s="11" t="str">
        <f>IF(SUM(BQ4:BR4,BT4:BV4,BX4)-SUM(BS4,BW4)&gt;0,SUM(BQ4:BR4,BT4:BV4,BX4)-SUM(BS4,BW4),"")</f>
        <v/>
      </c>
      <c r="CD4" s="11" t="str">
        <f>IF(SUM(CA4,CC4)&gt;0,SUM(CA4,CC4),"")</f>
        <v/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IF(MAX(CZ4,DU4,EP4,FK4,GF4,HA4,HV4,IQ4,JL4,KG4,LB4,LW4)-IF(L4="",0,L4)&gt;0.001,MAX(CZ4,DU4,EP4,FK4,GF4,HA4,HV4,IQ4,JL4,KG4,LB4,LW4)-IF(L4="",0,L4),"")</f>
        <v/>
      </c>
      <c r="CG4" s="37"/>
      <c r="CH4" s="37"/>
      <c r="CI4" s="37"/>
      <c r="CJ4" s="37"/>
      <c r="CK4" s="37"/>
      <c r="CL4" s="37"/>
      <c r="CM4" s="37"/>
      <c r="CN4" s="37"/>
      <c r="CO4" s="37"/>
      <c r="CP4" s="37"/>
      <c r="CQ4" s="37"/>
      <c r="CR4" s="37"/>
      <c r="CS4" s="37"/>
      <c r="CT4" s="37"/>
      <c r="CU4" s="37"/>
      <c r="CV4" s="37"/>
      <c r="CW4" s="11" t="str">
        <f>IF(SUM(CH4,CL4)&gt;0,SUM(CH4,CL4),"")</f>
        <v/>
      </c>
      <c r="CX4" s="11" t="str">
        <f>IF(SUM(CG4:CH4,CJ4:CL4,CN4)-CI4-CM4&gt;0,SUM(CG4:CH4,CJ4:CL4,CN4)-CI4-CM4,"")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38"/>
      <c r="DC4" s="38"/>
      <c r="DD4" s="38"/>
      <c r="DE4" s="38"/>
      <c r="DF4" s="38"/>
      <c r="DG4" s="38"/>
      <c r="DH4" s="38"/>
      <c r="DI4" s="38"/>
      <c r="DJ4" s="38"/>
      <c r="DK4" s="38"/>
      <c r="DL4" s="38"/>
      <c r="DM4" s="38"/>
      <c r="DN4" s="38"/>
      <c r="DO4" s="38"/>
      <c r="DP4" s="38"/>
      <c r="DQ4" s="38"/>
      <c r="DR4" s="14" t="str">
        <f>IF(SUM(DC4,DG4)&gt;0,SUM(DC4,DG4),"")</f>
        <v/>
      </c>
      <c r="DS4" s="14" t="str">
        <f>IF(SUM(DB4:DC4,DE4:DG4,DI4)-DD4-DH4&gt;0,SUM(DB4:DC4,DE4:DG4,DI4)-DD4-DH4,"")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37"/>
      <c r="DX4" s="37"/>
      <c r="DY4" s="37"/>
      <c r="DZ4" s="37"/>
      <c r="EA4" s="37"/>
      <c r="EB4" s="37"/>
      <c r="EC4" s="37"/>
      <c r="ED4" s="37"/>
      <c r="EE4" s="37"/>
      <c r="EF4" s="37"/>
      <c r="EG4" s="37"/>
      <c r="EH4" s="37"/>
      <c r="EI4" s="37"/>
      <c r="EJ4" s="37"/>
      <c r="EK4" s="37"/>
      <c r="EL4" s="37"/>
      <c r="EM4" s="11" t="str">
        <f>IF(SUM(DX4,EB4)&gt;0,SUM(DX4,EB4),"")</f>
        <v/>
      </c>
      <c r="EN4" s="11" t="str">
        <f>IF(SUM(DW4:DX4,DZ4:EB4,ED4)-DY4-EC4&gt;0,SUM(DW4:DX4,DZ4:EB4,ED4)-DY4-EC4,"")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38"/>
      <c r="ES4" s="38"/>
      <c r="ET4" s="38"/>
      <c r="EU4" s="38"/>
      <c r="EV4" s="38"/>
      <c r="EW4" s="38"/>
      <c r="EX4" s="38"/>
      <c r="EY4" s="38"/>
      <c r="EZ4" s="38"/>
      <c r="FA4" s="38"/>
      <c r="FB4" s="38"/>
      <c r="FC4" s="38"/>
      <c r="FD4" s="38"/>
      <c r="FE4" s="38"/>
      <c r="FF4" s="38"/>
      <c r="FG4" s="38"/>
      <c r="FH4" s="14" t="str">
        <f>IF(SUM(ES4,EW4)&gt;0,SUM(ES4,EW4),"")</f>
        <v/>
      </c>
      <c r="FI4" s="14" t="str">
        <f>IF(SUM(ER4:ES4,EU4:EW4,EY4)-ET4-EX4&gt;0,SUM(ER4:ES4,EU4:EW4,EY4)-ET4-EX4,"")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37"/>
      <c r="FN4" s="37"/>
      <c r="FO4" s="37"/>
      <c r="FP4" s="37"/>
      <c r="FQ4" s="37"/>
      <c r="FR4" s="37"/>
      <c r="FS4" s="37"/>
      <c r="FT4" s="37"/>
      <c r="FU4" s="37"/>
      <c r="FV4" s="37"/>
      <c r="FW4" s="37"/>
      <c r="FX4" s="37"/>
      <c r="FY4" s="37"/>
      <c r="FZ4" s="37"/>
      <c r="GA4" s="37"/>
      <c r="GB4" s="37"/>
      <c r="GC4" s="11" t="str">
        <f>IF(SUM(FN4,FR4)&gt;0,SUM(FN4,FR4),"")</f>
        <v/>
      </c>
      <c r="GD4" s="11" t="str">
        <f>IF(SUM(FM4:FN4,FP4:FR4,FT4)-FO4-FS4&gt;0,SUM(FM4:FN4,FP4:FR4,FT4)-FO4-FS4,"")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38"/>
      <c r="GI4" s="38"/>
      <c r="GJ4" s="38"/>
      <c r="GK4" s="38"/>
      <c r="GL4" s="38"/>
      <c r="GM4" s="38"/>
      <c r="GN4" s="38"/>
      <c r="GO4" s="38"/>
      <c r="GP4" s="38"/>
      <c r="GQ4" s="38"/>
      <c r="GR4" s="38"/>
      <c r="GS4" s="38"/>
      <c r="GT4" s="38"/>
      <c r="GU4" s="38"/>
      <c r="GV4" s="38"/>
      <c r="GW4" s="38"/>
      <c r="GX4" s="14" t="str">
        <f>IF(SUM(GI4,GM4)&gt;0,SUM(GI4,GM4),"")</f>
        <v/>
      </c>
      <c r="GY4" s="14" t="str">
        <f>IF(SUM(GH4:GI4,GK4:GM4,GO4)-GJ4-GN4&gt;0,SUM(GH4:GI4,GK4:GM4,GO4)-GJ4-GN4,"")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37"/>
      <c r="HD4" s="37"/>
      <c r="HE4" s="37"/>
      <c r="HF4" s="37"/>
      <c r="HG4" s="37"/>
      <c r="HH4" s="37"/>
      <c r="HI4" s="37"/>
      <c r="HJ4" s="37"/>
      <c r="HK4" s="37"/>
      <c r="HL4" s="37"/>
      <c r="HM4" s="37"/>
      <c r="HN4" s="37"/>
      <c r="HO4" s="37"/>
      <c r="HP4" s="37"/>
      <c r="HQ4" s="37"/>
      <c r="HR4" s="37"/>
      <c r="HS4" s="11" t="str">
        <f>IF(SUM(HD4,HH4)&gt;0,SUM(HD4,HH4),"")</f>
        <v/>
      </c>
      <c r="HT4" s="11" t="str">
        <f>IF(SUM(HC4:HD4,HF4:HH4,HJ4)-HE4-HI4&gt;0,SUM(HC4:HD4,HF4:HH4,HJ4)-HE4-HI4,"")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38"/>
      <c r="HY4" s="38"/>
      <c r="HZ4" s="38"/>
      <c r="IA4" s="38"/>
      <c r="IB4" s="38"/>
      <c r="IC4" s="38"/>
      <c r="ID4" s="38"/>
      <c r="IE4" s="38"/>
      <c r="IF4" s="38"/>
      <c r="IG4" s="38"/>
      <c r="IH4" s="38"/>
      <c r="II4" s="38"/>
      <c r="IJ4" s="38"/>
      <c r="IK4" s="38"/>
      <c r="IL4" s="38"/>
      <c r="IM4" s="38"/>
      <c r="IN4" s="14" t="str">
        <f>IF(SUM(HY4,IC4)&gt;0,SUM(HY4,IC4),"")</f>
        <v/>
      </c>
      <c r="IO4" s="14" t="str">
        <f>IF(SUM(HX4:HY4,IA4:IC4,IE4)-HZ4-ID4&gt;0,SUM(HX4:HY4,IA4:IC4,IE4)-HZ4-ID4,"")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37"/>
      <c r="IT4" s="37"/>
      <c r="IU4" s="37"/>
      <c r="IV4" s="37"/>
      <c r="IW4" s="37"/>
      <c r="IX4" s="37"/>
      <c r="IY4" s="37"/>
      <c r="IZ4" s="37"/>
      <c r="JA4" s="37"/>
      <c r="JB4" s="37"/>
      <c r="JC4" s="37"/>
      <c r="JD4" s="37"/>
      <c r="JE4" s="37"/>
      <c r="JF4" s="37"/>
      <c r="JG4" s="37"/>
      <c r="JH4" s="37"/>
      <c r="JI4" s="11" t="str">
        <f>IF(SUM(IT4,IX4)&gt;0,SUM(IT4,IX4),"")</f>
        <v/>
      </c>
      <c r="JJ4" s="11" t="str">
        <f>IF(SUM(IS4:IT4,IV4:IX4,IZ4)-IU4-IY4&gt;0,SUM(IS4:IT4,IV4:IX4,IZ4)-IU4-IY4,"")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38"/>
      <c r="JO4" s="38"/>
      <c r="JP4" s="38"/>
      <c r="JQ4" s="38"/>
      <c r="JR4" s="38"/>
      <c r="JS4" s="38"/>
      <c r="JT4" s="38"/>
      <c r="JU4" s="38"/>
      <c r="JV4" s="38"/>
      <c r="JW4" s="38"/>
      <c r="JX4" s="38"/>
      <c r="JY4" s="38"/>
      <c r="JZ4" s="38"/>
      <c r="KA4" s="38"/>
      <c r="KB4" s="38"/>
      <c r="KC4" s="38"/>
      <c r="KD4" s="14" t="str">
        <f>IF(SUM(JO4,JS4)&gt;0,SUM(JO4,JS4),"")</f>
        <v/>
      </c>
      <c r="KE4" s="14" t="str">
        <f>IF(SUM(JN4:JO4,JQ4:JS4,JU4)-JP4-JT4&gt;0,SUM(JN4:JO4,JQ4:JS4,JU4)-JP4-JT4,"")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37"/>
      <c r="KJ4" s="37"/>
      <c r="KK4" s="37"/>
      <c r="KL4" s="37"/>
      <c r="KM4" s="37"/>
      <c r="KN4" s="37"/>
      <c r="KO4" s="37"/>
      <c r="KP4" s="37"/>
      <c r="KQ4" s="37"/>
      <c r="KR4" s="37"/>
      <c r="KS4" s="37"/>
      <c r="KT4" s="37"/>
      <c r="KU4" s="37"/>
      <c r="KV4" s="37"/>
      <c r="KW4" s="37"/>
      <c r="KX4" s="37"/>
      <c r="KY4" s="11" t="str">
        <f>IF(SUM(KJ4,KN4)&gt;0,SUM(KJ4,KN4),"")</f>
        <v/>
      </c>
      <c r="KZ4" s="11" t="str">
        <f>IF(SUM(KI4:KJ4,KL4:KN4,KP4)-KK4-KO4&gt;0,SUM(KI4:KJ4,KL4:KN4,KP4)-KK4-KO4,"")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38"/>
      <c r="LE4" s="38"/>
      <c r="LF4" s="38"/>
      <c r="LG4" s="38"/>
      <c r="LH4" s="38"/>
      <c r="LI4" s="38"/>
      <c r="LJ4" s="38"/>
      <c r="LK4" s="38"/>
      <c r="LL4" s="38"/>
      <c r="LM4" s="38"/>
      <c r="LN4" s="38"/>
      <c r="LO4" s="38"/>
      <c r="LP4" s="38"/>
      <c r="LQ4" s="38"/>
      <c r="LR4" s="38"/>
      <c r="LS4" s="38"/>
      <c r="LT4" s="14" t="str">
        <f>IF(SUM(LE4,LI4)&gt;0,SUM(LE4,LI4),"")</f>
        <v/>
      </c>
      <c r="LU4" s="14" t="str">
        <f>IF(SUM(LD4:LE4,LG4:LI4,LK4)-LF4-LJ4&gt;0,SUM(LD4:LE4,LG4:LI4,LK4)-LF4-LJ4,"")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0</v>
      </c>
      <c r="LZ4" s="69">
        <f>IF($BY4="P",BJ4,(BJ4+AN4)/2)</f>
        <v>0</v>
      </c>
      <c r="MA4" s="69">
        <f>IF($BY4="P",BK4,(BK4+AO4)/2)</f>
        <v>0</v>
      </c>
      <c r="MB4" s="69">
        <f>IF($BY4="P",BL4,(BL4+AP4)/2)</f>
        <v>0</v>
      </c>
      <c r="MC4" s="69">
        <f>IF($BY4="P",BM4,(BM4+AQ4)/2)</f>
        <v>0</v>
      </c>
      <c r="MD4" s="69">
        <f>IF($BY4="P",BN4,(BN4+AR4)/2)</f>
        <v>0</v>
      </c>
      <c r="ME4" s="69">
        <f>IF($BY4="P",BO4,(BO4+AS4)/2)</f>
        <v>0</v>
      </c>
      <c r="MF4" s="69">
        <f>IF($BY4="P",BP4,(BP4+AT4)/2)</f>
        <v>0</v>
      </c>
      <c r="MG4" s="69">
        <f>IF($BY4="P",BQ4,(BQ4+AU4)/2)</f>
        <v>0</v>
      </c>
      <c r="MH4" s="69">
        <f>IF($BY4="P",BR4,(BR4+AV4)/2)</f>
        <v>0</v>
      </c>
      <c r="MI4" s="69">
        <f>IF($BY4="P",BS4,(BS4+AW4)/2)</f>
        <v>0</v>
      </c>
      <c r="MJ4" s="69">
        <f>IF($BY4="P",BT4,(BT4+AX4)/2)</f>
        <v>0</v>
      </c>
      <c r="MK4" s="69">
        <f>IF($BY4="P",BU4,(BU4+AY4)/2)</f>
        <v>0</v>
      </c>
      <c r="ML4" s="69">
        <f>IF($BY4="P",BV4,(BV4+AZ4)/2)</f>
        <v>0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 t="str">
        <f>IF(SUM(LZ4,MD4)&gt;0,SUM(LZ4,MD4),"")</f>
        <v/>
      </c>
      <c r="MQ4" s="11" t="str">
        <f>IF(SUM(LY4:LZ4,MB4:MD4,MF4)-MA4-ME4&gt;0,SUM(LY4:LZ4,MB4:MD4,MF4)-MA4-ME4,"")</f>
        <v/>
      </c>
      <c r="MR4" s="11" t="str">
        <f>IF(SUM(MH4,ML4)&gt;0,SUM(MH4,ML4),"")</f>
        <v/>
      </c>
      <c r="MS4" s="11" t="str">
        <f>IF(SUM(MG4:MH4,MJ4:ML4,MN4)-SUM(MI4,MM4)&gt;0,SUM(MG4:MH4,MJ4:ML4,MN4)-SUM(MI4,MM4),"")</f>
        <v/>
      </c>
      <c r="MT4" s="11" t="str">
        <f>IF(SUM(MQ4,MS4)&gt;0,SUM(MQ4,MS4),"")</f>
        <v/>
      </c>
    </row>
    <row r="5" spans="1:358" x14ac:dyDescent="0.2">
      <c r="A5" s="5" t="str">
        <f>IF(AND(F5="P",G5="P"),SUMPRODUCT((F$4:F$8="P")*(G$4:G$8="P")*(E$4:E$8&gt;E5))+1,IF(G5="P",SUMPRODUCT((F$4:F$8="")*(G$4:G$8="P")*(E$4:E$8&gt;E5))+1+SUMPRODUCT((F$4:F$8="P")*(G$4:G$8="P")),""))</f>
        <v/>
      </c>
      <c r="B5" s="6" t="s">
        <v>144</v>
      </c>
      <c r="C5" s="7" t="s">
        <v>3</v>
      </c>
      <c r="D5" s="27">
        <v>2003</v>
      </c>
      <c r="E5" s="15">
        <f>SUM(J5:N5)</f>
        <v>120.69999999999999</v>
      </c>
      <c r="F5" s="3" t="str">
        <f>IF(OR(AND(AH5&gt;=AL$10,AI5&gt;=AL$14,AI5&lt;&gt;"",AG5=""),AND(BD5&gt;=BH$10,BE5&gt;=BH$14,BE5&lt;&gt;"",BC5=""),AND(BZ5&gt;=CD$10,CA5&gt;=CD$14,CA5&lt;&gt;"",BY5=""),AND(CW5&gt;=DA$10,CX5&gt;=DA$14,CX5&lt;&gt;""),AND(DR5&gt;=DV$10,DS5&gt;=DV$14,DS5&lt;&gt;""),AND(EM5&gt;=EQ$10,EN5&gt;=EQ$14,EN5&lt;&gt;""),AND(FH5&gt;=FL$10,FI5&gt;=FL$14,FI5&lt;&gt;""),AND(GC5&gt;=GG$10,GD5&gt;=GG$14,GD5&lt;&gt;""),AND(GX5&gt;=HB$10,GY5&gt;=HB$14,GY5&lt;&gt;""),AND(HS5&gt;=HW$10,HT5&gt;=HW$14,HT5&lt;&gt;""),AND(IN5&gt;=IR$10,IO5&gt;=IR$14,IO5&lt;&gt;""),AND(JI5&gt;=JM$10,JJ5&gt;=JM$14,JJ5&lt;&gt;""),AND(KD5&gt;=KH$10,KE5&gt;=KH$14,KE5&lt;&gt;""),AND(KY5&gt;=LC$10,KZ5&gt;=LC$14,KZ5&lt;&gt;""),AND(LT5&gt;=LX$10,LU5&gt;=LX$14,LU5&lt;&gt;"")),"P","")</f>
        <v/>
      </c>
      <c r="G5" s="3" t="str">
        <f>IF(OR(AND(AI5&gt;=AL$14,AI5&lt;&gt;"",AG5=""),AND(BE5&gt;=BH$14,BE5&lt;&gt;"",BC5=""),AND(CA5&gt;=CD$14,CA5&lt;&gt;"",BY5=""),AND(CX5&gt;=DA$14,CX5&lt;&gt;""),AND(DS5&gt;=DV$14,DS5&lt;&gt;""),AND(EN5&gt;=EQ$14,EN5&lt;&gt;""),AND(FI5&gt;=FL$14,FI5&lt;&gt;""),AND(GD5&gt;=GG$14,GD5&lt;&gt;""),AND(GY5&gt;=HB$14,GY5&lt;&gt;""),AND(HT5&gt;=HW$14,HT5&lt;&gt;""),AND(IO5&gt;=IR$14,IO5&lt;&gt;""),AND(JJ5&gt;=JM$14,JJ5&lt;&gt;""),AND(KE5&gt;=KH$14,KE5&lt;&gt;""),AND(KZ5&gt;=LC$14,KZ5&lt;&gt;""),AND(LU5&gt;=LX$14,LU5&lt;&gt;"")),"P","")</f>
        <v/>
      </c>
      <c r="H5" s="126" t="str">
        <f>IF(AND(G5="P",F5=""),"No DD",IF(OR(AND(AI5&gt;=AL$17,AI5&lt;&gt;"",AH5&gt;=AL$13,AH5&lt;&gt;"",AG5=""),AND(BE5&gt;=BH$17,BE5&lt;&gt;"",BD5&gt;=BH$13,BD5&lt;&gt;"",BC5=""),AND(CA5&gt;=CD$17,CA5&lt;&gt;"",BZ5&gt;=CD$13,BZ5&lt;&gt;"",BY5=""),AND(CX5&gt;=DA$17,CX5&lt;&gt;"",CW5&gt;=DA$13,CW5&lt;&gt;""),AND(DS5&gt;=DV$17,DS5&lt;&gt;"",DR5&gt;=DV$13,DR5&lt;&gt;""),AND(EN5&gt;=EQ$17,EN5&lt;&gt;"",EM5&gt;=EQ$13,EM5&lt;&gt;""),AND(FI5&gt;=FL$17,FI5&lt;&gt;"",FH5&gt;=FL$13,FH5&lt;&gt;""),AND(GD5&gt;=GG$17,GD5&lt;&gt;"",GC5&gt;=GG$13,GC5&lt;&gt;""),AND(GY5&gt;=HB$17,GY5&lt;&gt;"",GX5&gt;=HB$13,GX5&lt;&gt;""),AND(HT5&gt;=HW$17,HT5&lt;&gt;"",HS5&gt;=HW$13,HS5&lt;&gt;""),AND(IO5&gt;=IR$17,IO5&lt;&gt;"",IN5&gt;=IR$13,IN5&lt;&gt;""),AND(JJ5&gt;=JM$17,JJ5&lt;&gt;"",JI5&gt;=JM$13,JI5&lt;&gt;""),AND(KE5&gt;=KH$17,KE5&lt;&gt;"",KD5&gt;=KH$13,KD5&lt;&gt;""),AND(KZ5&gt;=LC$17,KZ5&lt;&gt;"",KY5&gt;=LC$13,KY5&lt;&gt;""),AND(LU5&gt;=LX$17,LU5&lt;&gt;"",LT5&gt;=LX$13,LT5&lt;&gt;"")),"Merit",IF(OR(AND(AI5&gt;=AL$16,AI5&lt;&gt;"",AH5&gt;=AL$12,AH5&lt;&gt;"",AG5=""),AND(BE5&gt;=BH$16,BE5&lt;&gt;"",BD5&gt;=BH$12,BD5&lt;&gt;"",BC5=""),AND(CA5&gt;=CD$16,CA5&lt;&gt;"",BZ5&gt;=CD$12,BZ5&lt;&gt;"",BY5=""),AND(CX5&gt;=DA$16,CX5&lt;&gt;"",CW5&gt;=DA$12,CW5&lt;&gt;""),AND(DS5&gt;=DV$16,DS5&lt;&gt;"",DR5&gt;=DV$12,DR5&lt;&gt;""),AND(EN5&gt;=EQ$16,EN5&lt;&gt;"",EM5&gt;=EQ$12,EM5&lt;&gt;""),AND(FI5&gt;=FL$16,FI5&lt;&gt;"",FH5&gt;=FL$12,FH5&lt;&gt;""),AND(GD5&gt;=GG$16,GD5&lt;&gt;"",GC5&gt;=GG$12,GC5&lt;&gt;""),AND(GY5&gt;=HB$16,GY5&lt;&gt;"",GX5&gt;=HB$12,GX5&lt;&gt;""),AND(HT5&gt;=HW$16,HT5&lt;&gt;"",HS5&gt;=HW$12,HS5&lt;&gt;""),AND(IO5&gt;=IR$16,IO5&lt;&gt;"",IN5&gt;=IR$12,IN5&lt;&gt;""),AND(JJ5&gt;=JM$16,JJ5&lt;&gt;"",JI5&gt;=JM$12,JI5&lt;&gt;""),AND(KE5&gt;=KH$16,KE5&lt;&gt;"",KD5&gt;=KH$12,KD5&lt;&gt;""),AND(KZ5&gt;=LC$16,KZ5&lt;&gt;"",KY5&gt;=LC$12,KY5&lt;&gt;""),AND(LU5&gt;=LX$16,LU5&lt;&gt;"",LT5&gt;=LX$12,LT5&lt;&gt;"")),"Excellence",IF(OR(AND(AI5&gt;=AL$15,AI5&lt;&gt;"",AH5&gt;=AL$11,AH5&lt;&gt;"",AG5=""),AND(BE5&gt;=BH$15,BE5&lt;&gt;"",BD5&gt;=BH$11,BD5&lt;&gt;"",BC5=""),AND(CA5&gt;=CD$15,CA5&lt;&gt;"",BZ5&gt;=CD$11,BZ5&lt;&gt;"",BY5=""),AND(CX5&gt;=DA$15,CX5&lt;&gt;"",CW5&gt;=DA$11,CW5&lt;&gt;""),AND(DS5&gt;=DV$15,DS5&lt;&gt;"",DR5&gt;=DV$11,DR5&lt;&gt;""),AND(EN5&gt;=EQ$15,EN5&lt;&gt;"",EM5&gt;=EQ$11,EM5&lt;&gt;""),AND(FI5&gt;=FL$15,FI5&lt;&gt;"",FH5&gt;=FL$11,FH5&lt;&gt;""),AND(GD5&gt;=GG$15,GD5&lt;&gt;"",GC5&gt;=GG$11,GC5&lt;&gt;""),AND(GY5&gt;=HB$15,GY5&lt;&gt;"",GX5&gt;=HB$11,GX5&lt;&gt;""),AND(HT5&gt;=HW$15,HT5&lt;&gt;"",HS5&gt;=HW$11,HS5&lt;&gt;""),AND(IO5&gt;=IR$15,IO5&lt;&gt;"",IN5&gt;=IR$11,IN5&lt;&gt;""),AND(JJ5&gt;=JM$15,JJ5&lt;&gt;"",JI5&gt;=JM$11,JI5&lt;&gt;""),AND(KE5&gt;=KH$15,KE5&lt;&gt;"",KD5&gt;=KH$11,KD5&lt;&gt;""),AND(KZ5&gt;=LC$15,KZ5&lt;&gt;"",KY5&gt;=LC$11,KY5&lt;&gt;""),AND(LU5&gt;=LX$15,LU5&lt;&gt;"",LT5&gt;=LX$11,LT5&lt;&gt;"")),"Worlds Team",IF(OR(AND(AI5&gt;=AL$14,AI5&lt;&gt;"",AH5&gt;=AL$10,AH5&lt;&gt;"",AG5=""),AND(BE5&gt;=BH$14,BE5&lt;&gt;"",BD5&gt;=BH$10,BD5&lt;&gt;"",BC5=""),AND(CA5&gt;=CD$14,CA5&lt;&gt;"",BZ5&gt;=CD$10,BZ5&lt;&gt;"",BY5=""),AND(CX5&gt;=DA$14,CX5&lt;&gt;"",CW5&gt;=DA$10,CW5&lt;&gt;""),AND(DS5&gt;=DV$14,DS5&lt;&gt;"",DR5&gt;=DV$10,DR5&lt;&gt;""),AND(EN5&gt;=EQ$14,EN5&lt;&gt;"",EM5&gt;=EQ$10,EM5&lt;&gt;""),AND(FI5&gt;=FL$14,FI5&lt;&gt;"",FH5&gt;=FL$10,FH5&lt;&gt;""),AND(GD5&gt;=GG$14,GD5&lt;&gt;"",GC5&gt;=GG$10,GC5&lt;&gt;""),AND(GY5&gt;=HB$14,GY5&lt;&gt;"",GX5&gt;=HB$10,GX5&lt;&gt;""),AND(HT5&gt;=HW$14,HT5&lt;&gt;"",HS5&gt;=HW$10,HS5&lt;&gt;""),AND(IO5&gt;=IR$14,IO5&lt;&gt;"",IN5&gt;=IR$10,IN5&lt;&gt;""),AND(JJ5&gt;=JM$14,JJ5&lt;&gt;"",JI5&gt;=JM$10,JI5&lt;&gt;""),AND(KE5&gt;=KH$14,KE5&lt;&gt;"",KD5&gt;=KH$10,KD5&lt;&gt;""),AND(KZ5&gt;=LC$14,KZ5&lt;&gt;"",KY5&gt;=LC$10,KY5&lt;&gt;""),AND(LU5&gt;=LX$14,LU5&lt;&gt;"",LT5&gt;=LX$10,LT5&lt;&gt;"")),"National Team","")))))</f>
        <v/>
      </c>
      <c r="I5" s="3" t="str">
        <f>IF(OR(H5="Worlds Team",H5="Excellence",H5="Merit"),"P","")</f>
        <v/>
      </c>
      <c r="J5" s="14">
        <f>MAX(AI5,BE5,CA5)</f>
        <v>59.999999999999993</v>
      </c>
      <c r="K5" s="14" t="str">
        <f>IF(J5=0,"",IF(J5=CA5,$BI$1,IF(J5=BE5,$AM$1,IF(J5=AI5,$Q$1,""))))</f>
        <v>2021 Canadian Championships</v>
      </c>
      <c r="L5" s="14">
        <f>MAX(AK5,BG5,CC5)</f>
        <v>60.699999999999996</v>
      </c>
      <c r="M5" s="14" t="str">
        <f>IF(L5=0,"",IF(J5=CC5,$BI$1,IF(L5=BG5,$AM$1,IF(L5=AK5,$Q$1,""))))</f>
        <v/>
      </c>
      <c r="N5" s="14" t="str">
        <f>IF(MAX(CE5:CF5)&gt;0,MAX(CE5:CF5),"")</f>
        <v/>
      </c>
      <c r="O5" s="25" t="str">
        <f>IF(N5="","",IF(N5=CE5,"(Prelim)",IF(N5=CF5,"(Final)")))</f>
        <v/>
      </c>
      <c r="P5" s="14" t="str">
        <f>IF(N5="","",IF(N5=CE5,IF(N5+IF(J5="",0,J5)=LU5,$LD$1,IF(N5+IF(J5="",0,J5)=KZ5,$KI$1,IF(N5+IF(J5="",0,J5)=KE5,$JN$1,IF(N5+IF(J5="",0,J5)=JJ5,$IS$1,IF(N5+IF(J5="",0,J5)=IO5,$HX$1,IF(N5+IF(J5="",0,J5)=HT5,$HC$1,IF(N5+IF(J5="",0,J5)=GY5,$GH$1,IF(N5+IF(J5="",0,J5)=GD5,$FM$1,IF(N5+IF(J5="",0,J5)=FI5,$ER$1,IF(N5+IF(J5="",0,J5)=EN5,$DW$1,IF(N5+IF(J5="",0,J5)=DS5,$DB$1,IF(N5+IF(J5="",0,J5)=CX5,$CG$1)))))))))))),IF(N5=CF5,IF(N5+IF(L5="",0,L5)=LW5,$LD$1,IF(N5+IF(L5="",0,L5)=LB5,$KI$1,IF(N5+IF(L5="",0,L5)=KG5,$JN$1,IF(N5+IF(L5="",0,L5)=JL5,$IS$1,IF(N5+IF(L5="",0,L5)=IQ5,$HX$1,IF(N5+IF(L5="",0,L5)=HV5,$HC$1,IF(N5+IF(L5="",0,L5)=HA5,$GH$1,IF(N5+IF(L5="",0,L5)=GF5,$FM$1,IF(N5+IF(L5="",0,L5)=FK5,$ER$1,IF(N5+IF(L5="",0,L5)=EP5,$DW$1,IF(N5+IF(L5="",0,L5)=DU5,$DB$1,IF(N5+IF(L5="",0,L5)=CZ5,$CG$1)))))))))))))))</f>
        <v/>
      </c>
      <c r="Q5" s="41"/>
      <c r="R5" s="41"/>
      <c r="S5" s="41"/>
      <c r="T5" s="41"/>
      <c r="U5" s="41"/>
      <c r="V5" s="41"/>
      <c r="W5" s="41"/>
      <c r="X5" s="41"/>
      <c r="Y5" s="41"/>
      <c r="Z5" s="41"/>
      <c r="AA5" s="41"/>
      <c r="AB5" s="41"/>
      <c r="AC5" s="41"/>
      <c r="AD5" s="41"/>
      <c r="AE5" s="41"/>
      <c r="AF5" s="41"/>
      <c r="AG5" s="80"/>
      <c r="AH5" s="11" t="str">
        <f>IF(SUM(R5,V5)&gt;0,SUM(R5,V5),"")</f>
        <v/>
      </c>
      <c r="AI5" s="11" t="str">
        <f>IF(SUM(Q5:R5,T5:V5,X5)-S5-W5&gt;0,SUM(Q5:R5,T5:V5,X5)-S5-W5,"")</f>
        <v/>
      </c>
      <c r="AJ5" s="11" t="str">
        <f>IF(SUM(Z5,AD5)&gt;0,SUM(Z5,AD5),"")</f>
        <v/>
      </c>
      <c r="AK5" s="11" t="str">
        <f>IF(SUM(Y5:Z5,AB5:AD5,AF5)-SUM(AA5,AE5)&gt;0,SUM(Y5:Z5,AB5:AD5,AF5)-SUM(AA5,AE5),"")</f>
        <v/>
      </c>
      <c r="AL5" s="11" t="str">
        <f>IF(SUM(AI5,AK5)&gt;0,SUM(AI5,AK5),"")</f>
        <v/>
      </c>
      <c r="AM5" s="38">
        <v>25.4</v>
      </c>
      <c r="AN5" s="38">
        <v>4.0999999999999996</v>
      </c>
      <c r="AO5" s="38">
        <v>0.3</v>
      </c>
      <c r="AP5" s="38">
        <v>0.3</v>
      </c>
      <c r="AQ5" s="38">
        <v>25.3</v>
      </c>
      <c r="AR5" s="38">
        <v>3.9</v>
      </c>
      <c r="AS5" s="38">
        <v>0</v>
      </c>
      <c r="AT5" s="38">
        <v>0.3</v>
      </c>
      <c r="AU5" s="38">
        <v>25.7</v>
      </c>
      <c r="AV5" s="38">
        <v>4.0999999999999996</v>
      </c>
      <c r="AW5" s="38">
        <v>0.3</v>
      </c>
      <c r="AX5" s="38">
        <v>0.3</v>
      </c>
      <c r="AY5" s="38">
        <v>25.1</v>
      </c>
      <c r="AZ5" s="38">
        <v>3.9</v>
      </c>
      <c r="BA5" s="38">
        <v>0.3</v>
      </c>
      <c r="BB5" s="38">
        <v>0.3</v>
      </c>
      <c r="BC5" s="81"/>
      <c r="BD5" s="14">
        <f>IF(SUM(AN5,AR5)&gt;0,SUM(AN5,AR5),"")</f>
        <v>8</v>
      </c>
      <c r="BE5" s="14">
        <f>IF(SUM(AM5:AN5,AP5:AR5,AT5)-AO5-AS5&gt;0,SUM(AM5:AN5,AP5:AR5,AT5)-AO5-AS5,"")</f>
        <v>59</v>
      </c>
      <c r="BF5" s="14">
        <f>IF(SUM(AV5,AZ5)&gt;0,SUM(AV5,AZ5),"")</f>
        <v>8</v>
      </c>
      <c r="BG5" s="14">
        <f>IF(SUM(AU5:AV5,AX5:AZ5,BB5)-SUM(AW5,BA5)&gt;0,SUM(AU5:AV5,AX5:AZ5,BB5)-SUM(AW5,BA5),"")</f>
        <v>58.8</v>
      </c>
      <c r="BH5" s="14">
        <f>IF(SUM(BE5,BG5)&gt;0,SUM(BE5,BG5),"")</f>
        <v>117.8</v>
      </c>
      <c r="BI5" s="41">
        <v>25.5</v>
      </c>
      <c r="BJ5" s="41">
        <v>3.9</v>
      </c>
      <c r="BK5" s="41">
        <v>0</v>
      </c>
      <c r="BL5" s="41">
        <v>0.3</v>
      </c>
      <c r="BM5" s="41">
        <v>25.9</v>
      </c>
      <c r="BN5" s="41">
        <v>4.0999999999999996</v>
      </c>
      <c r="BO5" s="41">
        <v>0</v>
      </c>
      <c r="BP5" s="41">
        <v>0.3</v>
      </c>
      <c r="BQ5" s="41">
        <v>26.1</v>
      </c>
      <c r="BR5" s="41">
        <v>3.9</v>
      </c>
      <c r="BS5" s="41">
        <v>0</v>
      </c>
      <c r="BT5" s="41">
        <v>0.3</v>
      </c>
      <c r="BU5" s="41">
        <v>26</v>
      </c>
      <c r="BV5" s="41">
        <v>4.0999999999999996</v>
      </c>
      <c r="BW5" s="41">
        <v>0</v>
      </c>
      <c r="BX5" s="41">
        <v>0.3</v>
      </c>
      <c r="BY5" s="80"/>
      <c r="BZ5" s="11">
        <f>IF(SUM(BJ5,BN5)&gt;0,SUM(BJ5,BN5),"")</f>
        <v>8</v>
      </c>
      <c r="CA5" s="11">
        <f>IF(SUM(BI5:BJ5,BL5:BN5,BP5)-BK5-BO5&gt;0,SUM(BI5:BJ5,BL5:BN5,BP5)-BK5-BO5,"")</f>
        <v>59.999999999999993</v>
      </c>
      <c r="CB5" s="11">
        <f>IF(SUM(BR5,BV5)&gt;0,SUM(BR5,BV5),"")</f>
        <v>8</v>
      </c>
      <c r="CC5" s="11">
        <f>IF(SUM(BQ5:BR5,BT5:BV5,BX5)-SUM(BS5,BW5)&gt;0,SUM(BQ5:BR5,BT5:BV5,BX5)-SUM(BS5,BW5),"")</f>
        <v>60.699999999999996</v>
      </c>
      <c r="CD5" s="11">
        <f>IF(SUM(CA5,CC5)&gt;0,SUM(CA5,CC5),"")</f>
        <v>120.69999999999999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IF(MAX(CZ5,DU5,EP5,FK5,GF5,HA5,HV5,IQ5,JL5,KG5,LB5,LW5)-IF(L5="",0,L5)&gt;0.001,MAX(CZ5,DU5,EP5,FK5,GF5,HA5,HV5,IQ5,JL5,KG5,LB5,LW5)-IF(L5="",0,L5),"")</f>
        <v/>
      </c>
      <c r="CG5" s="37"/>
      <c r="CH5" s="37"/>
      <c r="CI5" s="37"/>
      <c r="CJ5" s="37"/>
      <c r="CK5" s="37"/>
      <c r="CL5" s="37"/>
      <c r="CM5" s="37"/>
      <c r="CN5" s="37"/>
      <c r="CO5" s="37"/>
      <c r="CP5" s="37"/>
      <c r="CQ5" s="37"/>
      <c r="CR5" s="37"/>
      <c r="CS5" s="37"/>
      <c r="CT5" s="37"/>
      <c r="CU5" s="37"/>
      <c r="CV5" s="37"/>
      <c r="CW5" s="11" t="str">
        <f>IF(SUM(CH5,CL5)&gt;0,SUM(CH5,CL5),"")</f>
        <v/>
      </c>
      <c r="CX5" s="11" t="str">
        <f>IF(SUM(CG5:CH5,CJ5:CL5,CN5)-CI5-CM5&gt;0,SUM(CG5:CH5,CJ5:CL5,CN5)-CI5-CM5,"")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38"/>
      <c r="DC5" s="38"/>
      <c r="DD5" s="38"/>
      <c r="DE5" s="38"/>
      <c r="DF5" s="38"/>
      <c r="DG5" s="38"/>
      <c r="DH5" s="38"/>
      <c r="DI5" s="38"/>
      <c r="DJ5" s="38"/>
      <c r="DK5" s="38"/>
      <c r="DL5" s="38"/>
      <c r="DM5" s="38"/>
      <c r="DN5" s="38"/>
      <c r="DO5" s="38"/>
      <c r="DP5" s="38"/>
      <c r="DQ5" s="38"/>
      <c r="DR5" s="14" t="str">
        <f>IF(SUM(DC5,DG5)&gt;0,SUM(DC5,DG5),"")</f>
        <v/>
      </c>
      <c r="DS5" s="14" t="str">
        <f>IF(SUM(DB5:DC5,DE5:DG5,DI5)-DD5-DH5&gt;0,SUM(DB5:DC5,DE5:DG5,DI5)-DD5-DH5,"")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37"/>
      <c r="DX5" s="37"/>
      <c r="DY5" s="37"/>
      <c r="DZ5" s="37"/>
      <c r="EA5" s="37"/>
      <c r="EB5" s="37"/>
      <c r="EC5" s="37"/>
      <c r="ED5" s="37"/>
      <c r="EE5" s="37"/>
      <c r="EF5" s="37"/>
      <c r="EG5" s="37"/>
      <c r="EH5" s="37"/>
      <c r="EI5" s="37"/>
      <c r="EJ5" s="37"/>
      <c r="EK5" s="37"/>
      <c r="EL5" s="37"/>
      <c r="EM5" s="11" t="str">
        <f>IF(SUM(DX5,EB5)&gt;0,SUM(DX5,EB5),"")</f>
        <v/>
      </c>
      <c r="EN5" s="11" t="str">
        <f>IF(SUM(DW5:DX5,DZ5:EB5,ED5)-DY5-EC5&gt;0,SUM(DW5:DX5,DZ5:EB5,ED5)-DY5-EC5,"")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38"/>
      <c r="ES5" s="38"/>
      <c r="ET5" s="38"/>
      <c r="EU5" s="38"/>
      <c r="EV5" s="38"/>
      <c r="EW5" s="38"/>
      <c r="EX5" s="38"/>
      <c r="EY5" s="38"/>
      <c r="EZ5" s="38"/>
      <c r="FA5" s="38"/>
      <c r="FB5" s="38"/>
      <c r="FC5" s="38"/>
      <c r="FD5" s="38"/>
      <c r="FE5" s="38"/>
      <c r="FF5" s="38"/>
      <c r="FG5" s="38"/>
      <c r="FH5" s="14" t="str">
        <f>IF(SUM(ES5,EW5)&gt;0,SUM(ES5,EW5),"")</f>
        <v/>
      </c>
      <c r="FI5" s="14" t="str">
        <f>IF(SUM(ER5:ES5,EU5:EW5,EY5)-ET5-EX5&gt;0,SUM(ER5:ES5,EU5:EW5,EY5)-ET5-EX5,"")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37"/>
      <c r="FN5" s="37"/>
      <c r="FO5" s="37"/>
      <c r="FP5" s="37"/>
      <c r="FQ5" s="37"/>
      <c r="FR5" s="37"/>
      <c r="FS5" s="37"/>
      <c r="FT5" s="37"/>
      <c r="FU5" s="37"/>
      <c r="FV5" s="37"/>
      <c r="FW5" s="37"/>
      <c r="FX5" s="37"/>
      <c r="FY5" s="37"/>
      <c r="FZ5" s="37"/>
      <c r="GA5" s="37"/>
      <c r="GB5" s="37"/>
      <c r="GC5" s="11" t="str">
        <f>IF(SUM(FN5,FR5)&gt;0,SUM(FN5,FR5),"")</f>
        <v/>
      </c>
      <c r="GD5" s="11" t="str">
        <f>IF(SUM(FM5:FN5,FP5:FR5,FT5)-FO5-FS5&gt;0,SUM(FM5:FN5,FP5:FR5,FT5)-FO5-FS5,"")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38"/>
      <c r="GI5" s="38"/>
      <c r="GJ5" s="38"/>
      <c r="GK5" s="38"/>
      <c r="GL5" s="38"/>
      <c r="GM5" s="38"/>
      <c r="GN5" s="38"/>
      <c r="GO5" s="38"/>
      <c r="GP5" s="38"/>
      <c r="GQ5" s="38"/>
      <c r="GR5" s="38"/>
      <c r="GS5" s="38"/>
      <c r="GT5" s="38"/>
      <c r="GU5" s="38"/>
      <c r="GV5" s="38"/>
      <c r="GW5" s="38"/>
      <c r="GX5" s="14" t="str">
        <f>IF(SUM(GI5,GM5)&gt;0,SUM(GI5,GM5),"")</f>
        <v/>
      </c>
      <c r="GY5" s="14" t="str">
        <f>IF(SUM(GH5:GI5,GK5:GM5,GO5)-GJ5-GN5&gt;0,SUM(GH5:GI5,GK5:GM5,GO5)-GJ5-GN5,"")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37"/>
      <c r="HD5" s="37"/>
      <c r="HE5" s="37"/>
      <c r="HF5" s="37"/>
      <c r="HG5" s="37"/>
      <c r="HH5" s="37"/>
      <c r="HI5" s="37"/>
      <c r="HJ5" s="37"/>
      <c r="HK5" s="37"/>
      <c r="HL5" s="37"/>
      <c r="HM5" s="37"/>
      <c r="HN5" s="37"/>
      <c r="HO5" s="37"/>
      <c r="HP5" s="37"/>
      <c r="HQ5" s="37"/>
      <c r="HR5" s="37"/>
      <c r="HS5" s="11" t="str">
        <f>IF(SUM(HD5,HH5)&gt;0,SUM(HD5,HH5),"")</f>
        <v/>
      </c>
      <c r="HT5" s="11" t="str">
        <f>IF(SUM(HC5:HD5,HF5:HH5,HJ5)-HE5-HI5&gt;0,SUM(HC5:HD5,HF5:HH5,HJ5)-HE5-HI5,"")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38"/>
      <c r="HY5" s="38"/>
      <c r="HZ5" s="38"/>
      <c r="IA5" s="38"/>
      <c r="IB5" s="38"/>
      <c r="IC5" s="38"/>
      <c r="ID5" s="38"/>
      <c r="IE5" s="38"/>
      <c r="IF5" s="38"/>
      <c r="IG5" s="38"/>
      <c r="IH5" s="38"/>
      <c r="II5" s="38"/>
      <c r="IJ5" s="38"/>
      <c r="IK5" s="38"/>
      <c r="IL5" s="38"/>
      <c r="IM5" s="38"/>
      <c r="IN5" s="14" t="str">
        <f>IF(SUM(HY5,IC5)&gt;0,SUM(HY5,IC5),"")</f>
        <v/>
      </c>
      <c r="IO5" s="14" t="str">
        <f>IF(SUM(HX5:HY5,IA5:IC5,IE5)-HZ5-ID5&gt;0,SUM(HX5:HY5,IA5:IC5,IE5)-HZ5-ID5,"")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37"/>
      <c r="IT5" s="37"/>
      <c r="IU5" s="37"/>
      <c r="IV5" s="37"/>
      <c r="IW5" s="37"/>
      <c r="IX5" s="37"/>
      <c r="IY5" s="37"/>
      <c r="IZ5" s="37"/>
      <c r="JA5" s="37"/>
      <c r="JB5" s="37"/>
      <c r="JC5" s="37"/>
      <c r="JD5" s="37"/>
      <c r="JE5" s="37"/>
      <c r="JF5" s="37"/>
      <c r="JG5" s="37"/>
      <c r="JH5" s="37"/>
      <c r="JI5" s="11" t="str">
        <f>IF(SUM(IT5,IX5)&gt;0,SUM(IT5,IX5),"")</f>
        <v/>
      </c>
      <c r="JJ5" s="11" t="str">
        <f>IF(SUM(IS5:IT5,IV5:IX5,IZ5)-IU5-IY5&gt;0,SUM(IS5:IT5,IV5:IX5,IZ5)-IU5-IY5,"")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38"/>
      <c r="JO5" s="38"/>
      <c r="JP5" s="38"/>
      <c r="JQ5" s="38"/>
      <c r="JR5" s="38"/>
      <c r="JS5" s="38"/>
      <c r="JT5" s="38"/>
      <c r="JU5" s="38"/>
      <c r="JV5" s="38"/>
      <c r="JW5" s="38"/>
      <c r="JX5" s="38"/>
      <c r="JY5" s="38"/>
      <c r="JZ5" s="38"/>
      <c r="KA5" s="38"/>
      <c r="KB5" s="38"/>
      <c r="KC5" s="38"/>
      <c r="KD5" s="14" t="str">
        <f>IF(SUM(JO5,JS5)&gt;0,SUM(JO5,JS5),"")</f>
        <v/>
      </c>
      <c r="KE5" s="14" t="str">
        <f>IF(SUM(JN5:JO5,JQ5:JS5,JU5)-JP5-JT5&gt;0,SUM(JN5:JO5,JQ5:JS5,JU5)-JP5-JT5,"")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37"/>
      <c r="KJ5" s="37"/>
      <c r="KK5" s="37"/>
      <c r="KL5" s="37"/>
      <c r="KM5" s="37"/>
      <c r="KN5" s="37"/>
      <c r="KO5" s="37"/>
      <c r="KP5" s="37"/>
      <c r="KQ5" s="37"/>
      <c r="KR5" s="37"/>
      <c r="KS5" s="37"/>
      <c r="KT5" s="37"/>
      <c r="KU5" s="37"/>
      <c r="KV5" s="37"/>
      <c r="KW5" s="37"/>
      <c r="KX5" s="37"/>
      <c r="KY5" s="11" t="str">
        <f>IF(SUM(KJ5,KN5)&gt;0,SUM(KJ5,KN5),"")</f>
        <v/>
      </c>
      <c r="KZ5" s="11" t="str">
        <f>IF(SUM(KI5:KJ5,KL5:KN5,KP5)-KK5-KO5&gt;0,SUM(KI5:KJ5,KL5:KN5,KP5)-KK5-KO5,"")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38"/>
      <c r="LE5" s="38"/>
      <c r="LF5" s="38"/>
      <c r="LG5" s="38"/>
      <c r="LH5" s="38"/>
      <c r="LI5" s="38"/>
      <c r="LJ5" s="38"/>
      <c r="LK5" s="38"/>
      <c r="LL5" s="38"/>
      <c r="LM5" s="38"/>
      <c r="LN5" s="38"/>
      <c r="LO5" s="38"/>
      <c r="LP5" s="38"/>
      <c r="LQ5" s="38"/>
      <c r="LR5" s="38"/>
      <c r="LS5" s="38"/>
      <c r="LT5" s="14" t="str">
        <f>IF(SUM(LE5,LI5)&gt;0,SUM(LE5,LI5),"")</f>
        <v/>
      </c>
      <c r="LU5" s="14" t="str">
        <f>IF(SUM(LD5:LE5,LG5:LI5,LK5)-LF5-LJ5&gt;0,SUM(LD5:LE5,LG5:LI5,LK5)-LF5-LJ5,"")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25.45</v>
      </c>
      <c r="LZ5" s="69">
        <f>IF($BY5="P",BJ5,(BJ5+AN5)/2)</f>
        <v>4</v>
      </c>
      <c r="MA5" s="69">
        <f>IF($BY5="P",BK5,(BK5+AO5)/2)</f>
        <v>0.15</v>
      </c>
      <c r="MB5" s="69">
        <f>IF($BY5="P",BL5,(BL5+AP5)/2)</f>
        <v>0.3</v>
      </c>
      <c r="MC5" s="69">
        <f>IF($BY5="P",BM5,(BM5+AQ5)/2)</f>
        <v>25.6</v>
      </c>
      <c r="MD5" s="69">
        <f>IF($BY5="P",BN5,(BN5+AR5)/2)</f>
        <v>4</v>
      </c>
      <c r="ME5" s="69">
        <f>IF($BY5="P",BO5,(BO5+AS5)/2)</f>
        <v>0</v>
      </c>
      <c r="MF5" s="69">
        <f>IF($BY5="P",BP5,(BP5+AT5)/2)</f>
        <v>0.3</v>
      </c>
      <c r="MG5" s="69">
        <f>IF($BY5="P",BQ5,(BQ5+AU5)/2)</f>
        <v>25.9</v>
      </c>
      <c r="MH5" s="69">
        <f>IF($BY5="P",BR5,(BR5+AV5)/2)</f>
        <v>4</v>
      </c>
      <c r="MI5" s="69">
        <f>IF($BY5="P",BS5,(BS5+AW5)/2)</f>
        <v>0.15</v>
      </c>
      <c r="MJ5" s="69">
        <f>IF($BY5="P",BT5,(BT5+AX5)/2)</f>
        <v>0.3</v>
      </c>
      <c r="MK5" s="69">
        <f>IF($BY5="P",BU5,(BU5+AY5)/2)</f>
        <v>25.55</v>
      </c>
      <c r="ML5" s="69">
        <f>IF($BY5="P",BV5,(BV5+AZ5)/2)</f>
        <v>4</v>
      </c>
      <c r="MM5" s="69">
        <f>IF($BY5="P",BW5,(BW5+BA5)/2)</f>
        <v>0.15</v>
      </c>
      <c r="MN5" s="69">
        <f>IF($BY5="P",BX5,(BX5+BB5)/2)</f>
        <v>0.3</v>
      </c>
      <c r="MO5" s="80" t="s">
        <v>74</v>
      </c>
      <c r="MP5" s="11">
        <f>IF(SUM(LZ5,MD5)&gt;0,SUM(LZ5,MD5),"")</f>
        <v>8</v>
      </c>
      <c r="MQ5" s="11">
        <f>IF(SUM(LY5:LZ5,MB5:MD5,MF5)-MA5-ME5&gt;0,SUM(LY5:LZ5,MB5:MD5,MF5)-MA5-ME5,"")</f>
        <v>59.5</v>
      </c>
      <c r="MR5" s="11">
        <f>IF(SUM(MH5,ML5)&gt;0,SUM(MH5,ML5),"")</f>
        <v>8</v>
      </c>
      <c r="MS5" s="11">
        <f>IF(SUM(MG5:MH5,MJ5:ML5,MN5)-SUM(MI5,MM5)&gt;0,SUM(MG5:MH5,MJ5:ML5,MN5)-SUM(MI5,MM5),"")</f>
        <v>59.75</v>
      </c>
      <c r="MT5" s="11">
        <f>IF(SUM(MQ5,MS5)&gt;0,SUM(MQ5,MS5),"")</f>
        <v>119.25</v>
      </c>
    </row>
    <row r="6" spans="1:358" x14ac:dyDescent="0.2">
      <c r="A6" s="5" t="str">
        <f>IF(AND(F6="P",G6="P"),SUMPRODUCT((F$4:F$8="P")*(G$4:G$8="P")*(E$4:E$8&gt;E6))+1,IF(G6="P",SUMPRODUCT((F$4:F$8="")*(G$4:G$8="P")*(E$4:E$8&gt;E6))+1+SUMPRODUCT((F$4:F$8="P")*(G$4:G$8="P")),""))</f>
        <v/>
      </c>
      <c r="B6" s="6" t="s">
        <v>100</v>
      </c>
      <c r="C6" s="7" t="s">
        <v>3</v>
      </c>
      <c r="D6" s="27">
        <v>2003</v>
      </c>
      <c r="E6" s="15">
        <f>SUM(J6:N6)</f>
        <v>117.9</v>
      </c>
      <c r="F6" s="3" t="str">
        <f>IF(OR(AND(AH6&gt;=AL$10,AI6&gt;=AL$14,AI6&lt;&gt;"",AG6=""),AND(BD6&gt;=BH$10,BE6&gt;=BH$14,BE6&lt;&gt;"",BC6=""),AND(BZ6&gt;=CD$10,CA6&gt;=CD$14,CA6&lt;&gt;"",BY6=""),AND(CW6&gt;=DA$10,CX6&gt;=DA$14,CX6&lt;&gt;""),AND(DR6&gt;=DV$10,DS6&gt;=DV$14,DS6&lt;&gt;""),AND(EM6&gt;=EQ$10,EN6&gt;=EQ$14,EN6&lt;&gt;""),AND(FH6&gt;=FL$10,FI6&gt;=FL$14,FI6&lt;&gt;""),AND(GC6&gt;=GG$10,GD6&gt;=GG$14,GD6&lt;&gt;""),AND(GX6&gt;=HB$10,GY6&gt;=HB$14,GY6&lt;&gt;""),AND(HS6&gt;=HW$10,HT6&gt;=HW$14,HT6&lt;&gt;""),AND(IN6&gt;=IR$10,IO6&gt;=IR$14,IO6&lt;&gt;""),AND(JI6&gt;=JM$10,JJ6&gt;=JM$14,JJ6&lt;&gt;""),AND(KD6&gt;=KH$10,KE6&gt;=KH$14,KE6&lt;&gt;""),AND(KY6&gt;=LC$10,KZ6&gt;=LC$14,KZ6&lt;&gt;""),AND(LT6&gt;=LX$10,LU6&gt;=LX$14,LU6&lt;&gt;"")),"P","")</f>
        <v/>
      </c>
      <c r="G6" s="3" t="str">
        <f>IF(OR(AND(AI6&gt;=AL$14,AI6&lt;&gt;"",AG6=""),AND(BE6&gt;=BH$14,BE6&lt;&gt;"",BC6=""),AND(CA6&gt;=CD$14,CA6&lt;&gt;"",BY6=""),AND(CX6&gt;=DA$14,CX6&lt;&gt;""),AND(DS6&gt;=DV$14,DS6&lt;&gt;""),AND(EN6&gt;=EQ$14,EN6&lt;&gt;""),AND(FI6&gt;=FL$14,FI6&lt;&gt;""),AND(GD6&gt;=GG$14,GD6&lt;&gt;""),AND(GY6&gt;=HB$14,GY6&lt;&gt;""),AND(HT6&gt;=HW$14,HT6&lt;&gt;""),AND(IO6&gt;=IR$14,IO6&lt;&gt;""),AND(JJ6&gt;=JM$14,JJ6&lt;&gt;""),AND(KE6&gt;=KH$14,KE6&lt;&gt;""),AND(KZ6&gt;=LC$14,KZ6&lt;&gt;""),AND(LU6&gt;=LX$14,LU6&lt;&gt;"")),"P","")</f>
        <v/>
      </c>
      <c r="H6" s="126" t="str">
        <f>IF(AND(G6="P",F6=""),"No DD",IF(OR(AND(AI6&gt;=AL$17,AI6&lt;&gt;"",AH6&gt;=AL$13,AH6&lt;&gt;"",AG6=""),AND(BE6&gt;=BH$17,BE6&lt;&gt;"",BD6&gt;=BH$13,BD6&lt;&gt;"",BC6=""),AND(CA6&gt;=CD$17,CA6&lt;&gt;"",BZ6&gt;=CD$13,BZ6&lt;&gt;"",BY6=""),AND(CX6&gt;=DA$17,CX6&lt;&gt;"",CW6&gt;=DA$13,CW6&lt;&gt;""),AND(DS6&gt;=DV$17,DS6&lt;&gt;"",DR6&gt;=DV$13,DR6&lt;&gt;""),AND(EN6&gt;=EQ$17,EN6&lt;&gt;"",EM6&gt;=EQ$13,EM6&lt;&gt;""),AND(FI6&gt;=FL$17,FI6&lt;&gt;"",FH6&gt;=FL$13,FH6&lt;&gt;""),AND(GD6&gt;=GG$17,GD6&lt;&gt;"",GC6&gt;=GG$13,GC6&lt;&gt;""),AND(GY6&gt;=HB$17,GY6&lt;&gt;"",GX6&gt;=HB$13,GX6&lt;&gt;""),AND(HT6&gt;=HW$17,HT6&lt;&gt;"",HS6&gt;=HW$13,HS6&lt;&gt;""),AND(IO6&gt;=IR$17,IO6&lt;&gt;"",IN6&gt;=IR$13,IN6&lt;&gt;""),AND(JJ6&gt;=JM$17,JJ6&lt;&gt;"",JI6&gt;=JM$13,JI6&lt;&gt;""),AND(KE6&gt;=KH$17,KE6&lt;&gt;"",KD6&gt;=KH$13,KD6&lt;&gt;""),AND(KZ6&gt;=LC$17,KZ6&lt;&gt;"",KY6&gt;=LC$13,KY6&lt;&gt;""),AND(LU6&gt;=LX$17,LU6&lt;&gt;"",LT6&gt;=LX$13,LT6&lt;&gt;"")),"Merit",IF(OR(AND(AI6&gt;=AL$16,AI6&lt;&gt;"",AH6&gt;=AL$12,AH6&lt;&gt;"",AG6=""),AND(BE6&gt;=BH$16,BE6&lt;&gt;"",BD6&gt;=BH$12,BD6&lt;&gt;"",BC6=""),AND(CA6&gt;=CD$16,CA6&lt;&gt;"",BZ6&gt;=CD$12,BZ6&lt;&gt;"",BY6=""),AND(CX6&gt;=DA$16,CX6&lt;&gt;"",CW6&gt;=DA$12,CW6&lt;&gt;""),AND(DS6&gt;=DV$16,DS6&lt;&gt;"",DR6&gt;=DV$12,DR6&lt;&gt;""),AND(EN6&gt;=EQ$16,EN6&lt;&gt;"",EM6&gt;=EQ$12,EM6&lt;&gt;""),AND(FI6&gt;=FL$16,FI6&lt;&gt;"",FH6&gt;=FL$12,FH6&lt;&gt;""),AND(GD6&gt;=GG$16,GD6&lt;&gt;"",GC6&gt;=GG$12,GC6&lt;&gt;""),AND(GY6&gt;=HB$16,GY6&lt;&gt;"",GX6&gt;=HB$12,GX6&lt;&gt;""),AND(HT6&gt;=HW$16,HT6&lt;&gt;"",HS6&gt;=HW$12,HS6&lt;&gt;""),AND(IO6&gt;=IR$16,IO6&lt;&gt;"",IN6&gt;=IR$12,IN6&lt;&gt;""),AND(JJ6&gt;=JM$16,JJ6&lt;&gt;"",JI6&gt;=JM$12,JI6&lt;&gt;""),AND(KE6&gt;=KH$16,KE6&lt;&gt;"",KD6&gt;=KH$12,KD6&lt;&gt;""),AND(KZ6&gt;=LC$16,KZ6&lt;&gt;"",KY6&gt;=LC$12,KY6&lt;&gt;""),AND(LU6&gt;=LX$16,LU6&lt;&gt;"",LT6&gt;=LX$12,LT6&lt;&gt;"")),"Excellence",IF(OR(AND(AI6&gt;=AL$15,AI6&lt;&gt;"",AH6&gt;=AL$11,AH6&lt;&gt;"",AG6=""),AND(BE6&gt;=BH$15,BE6&lt;&gt;"",BD6&gt;=BH$11,BD6&lt;&gt;"",BC6=""),AND(CA6&gt;=CD$15,CA6&lt;&gt;"",BZ6&gt;=CD$11,BZ6&lt;&gt;"",BY6=""),AND(CX6&gt;=DA$15,CX6&lt;&gt;"",CW6&gt;=DA$11,CW6&lt;&gt;""),AND(DS6&gt;=DV$15,DS6&lt;&gt;"",DR6&gt;=DV$11,DR6&lt;&gt;""),AND(EN6&gt;=EQ$15,EN6&lt;&gt;"",EM6&gt;=EQ$11,EM6&lt;&gt;""),AND(FI6&gt;=FL$15,FI6&lt;&gt;"",FH6&gt;=FL$11,FH6&lt;&gt;""),AND(GD6&gt;=GG$15,GD6&lt;&gt;"",GC6&gt;=GG$11,GC6&lt;&gt;""),AND(GY6&gt;=HB$15,GY6&lt;&gt;"",GX6&gt;=HB$11,GX6&lt;&gt;""),AND(HT6&gt;=HW$15,HT6&lt;&gt;"",HS6&gt;=HW$11,HS6&lt;&gt;""),AND(IO6&gt;=IR$15,IO6&lt;&gt;"",IN6&gt;=IR$11,IN6&lt;&gt;""),AND(JJ6&gt;=JM$15,JJ6&lt;&gt;"",JI6&gt;=JM$11,JI6&lt;&gt;""),AND(KE6&gt;=KH$15,KE6&lt;&gt;"",KD6&gt;=KH$11,KD6&lt;&gt;""),AND(KZ6&gt;=LC$15,KZ6&lt;&gt;"",KY6&gt;=LC$11,KY6&lt;&gt;""),AND(LU6&gt;=LX$15,LU6&lt;&gt;"",LT6&gt;=LX$11,LT6&lt;&gt;"")),"Worlds Team",IF(OR(AND(AI6&gt;=AL$14,AI6&lt;&gt;"",AH6&gt;=AL$10,AH6&lt;&gt;"",AG6=""),AND(BE6&gt;=BH$14,BE6&lt;&gt;"",BD6&gt;=BH$10,BD6&lt;&gt;"",BC6=""),AND(CA6&gt;=CD$14,CA6&lt;&gt;"",BZ6&gt;=CD$10,BZ6&lt;&gt;"",BY6=""),AND(CX6&gt;=DA$14,CX6&lt;&gt;"",CW6&gt;=DA$10,CW6&lt;&gt;""),AND(DS6&gt;=DV$14,DS6&lt;&gt;"",DR6&gt;=DV$10,DR6&lt;&gt;""),AND(EN6&gt;=EQ$14,EN6&lt;&gt;"",EM6&gt;=EQ$10,EM6&lt;&gt;""),AND(FI6&gt;=FL$14,FI6&lt;&gt;"",FH6&gt;=FL$10,FH6&lt;&gt;""),AND(GD6&gt;=GG$14,GD6&lt;&gt;"",GC6&gt;=GG$10,GC6&lt;&gt;""),AND(GY6&gt;=HB$14,GY6&lt;&gt;"",GX6&gt;=HB$10,GX6&lt;&gt;""),AND(HT6&gt;=HW$14,HT6&lt;&gt;"",HS6&gt;=HW$10,HS6&lt;&gt;""),AND(IO6&gt;=IR$14,IO6&lt;&gt;"",IN6&gt;=IR$10,IN6&lt;&gt;""),AND(JJ6&gt;=JM$14,JJ6&lt;&gt;"",JI6&gt;=JM$10,JI6&lt;&gt;""),AND(KE6&gt;=KH$14,KE6&lt;&gt;"",KD6&gt;=KH$10,KD6&lt;&gt;""),AND(KZ6&gt;=LC$14,KZ6&lt;&gt;"",KY6&gt;=LC$10,KY6&lt;&gt;""),AND(LU6&gt;=LX$14,LU6&lt;&gt;"",LT6&gt;=LX$10,LT6&lt;&gt;"")),"National Team","")))))</f>
        <v/>
      </c>
      <c r="I6" s="3" t="str">
        <f>IF(OR(H6="Worlds Team",H6="Excellence",H6="Merit"),"P","")</f>
        <v/>
      </c>
      <c r="J6" s="14">
        <f>MAX(AI6,BE6,CA6)</f>
        <v>58.7</v>
      </c>
      <c r="K6" s="14" t="str">
        <f>IF(J6=0,"",IF(J6=CA6,$BI$1,IF(J6=BE6,$AM$1,IF(J6=AI6,$Q$1,""))))</f>
        <v>2021 Canadian Championships</v>
      </c>
      <c r="L6" s="14">
        <f>MAX(AK6,BG6,CC6)</f>
        <v>59.199999999999996</v>
      </c>
      <c r="M6" s="14" t="str">
        <f>IF(L6=0,"",IF(J6=CC6,$BI$1,IF(L6=BG6,$AM$1,IF(L6=AK6,$Q$1,""))))</f>
        <v/>
      </c>
      <c r="N6" s="14" t="str">
        <f>IF(MAX(CE6:CF6)&gt;0,MAX(CE6:CF6),"")</f>
        <v/>
      </c>
      <c r="O6" s="25" t="str">
        <f>IF(N6="","",IF(N6=CE6,"(Prelim)",IF(N6=CF6,"(Final)")))</f>
        <v/>
      </c>
      <c r="P6" s="14" t="str">
        <f>IF(N6="","",IF(N6=CE6,IF(N6+IF(J6="",0,J6)=LU6,$LD$1,IF(N6+IF(J6="",0,J6)=KZ6,$KI$1,IF(N6+IF(J6="",0,J6)=KE6,$JN$1,IF(N6+IF(J6="",0,J6)=JJ6,$IS$1,IF(N6+IF(J6="",0,J6)=IO6,$HX$1,IF(N6+IF(J6="",0,J6)=HT6,$HC$1,IF(N6+IF(J6="",0,J6)=GY6,$GH$1,IF(N6+IF(J6="",0,J6)=GD6,$FM$1,IF(N6+IF(J6="",0,J6)=FI6,$ER$1,IF(N6+IF(J6="",0,J6)=EN6,$DW$1,IF(N6+IF(J6="",0,J6)=DS6,$DB$1,IF(N6+IF(J6="",0,J6)=CX6,$CG$1)))))))))))),IF(N6=CF6,IF(N6+IF(L6="",0,L6)=LW6,$LD$1,IF(N6+IF(L6="",0,L6)=LB6,$KI$1,IF(N6+IF(L6="",0,L6)=KG6,$JN$1,IF(N6+IF(L6="",0,L6)=JL6,$IS$1,IF(N6+IF(L6="",0,L6)=IQ6,$HX$1,IF(N6+IF(L6="",0,L6)=HV6,$HC$1,IF(N6+IF(L6="",0,L6)=HA6,$GH$1,IF(N6+IF(L6="",0,L6)=GF6,$FM$1,IF(N6+IF(L6="",0,L6)=FK6,$ER$1,IF(N6+IF(L6="",0,L6)=EP6,$DW$1,IF(N6+IF(L6="",0,L6)=DU6,$DB$1,IF(N6+IF(L6="",0,L6)=CZ6,$CG$1)))))))))))))))</f>
        <v/>
      </c>
      <c r="Q6" s="41">
        <v>26</v>
      </c>
      <c r="R6" s="41">
        <v>3.6</v>
      </c>
      <c r="S6" s="41">
        <v>0</v>
      </c>
      <c r="T6" s="41">
        <v>0</v>
      </c>
      <c r="U6" s="41">
        <v>24.2</v>
      </c>
      <c r="V6" s="41">
        <v>4.5</v>
      </c>
      <c r="W6" s="41">
        <v>0</v>
      </c>
      <c r="X6" s="41">
        <v>0.3</v>
      </c>
      <c r="Y6" s="41">
        <v>25.6</v>
      </c>
      <c r="Z6" s="41">
        <v>3.6</v>
      </c>
      <c r="AA6" s="41">
        <v>0</v>
      </c>
      <c r="AB6" s="41">
        <v>0</v>
      </c>
      <c r="AC6" s="41">
        <v>24.4</v>
      </c>
      <c r="AD6" s="41">
        <v>4.3</v>
      </c>
      <c r="AE6" s="41">
        <v>0</v>
      </c>
      <c r="AF6" s="41">
        <v>0.3</v>
      </c>
      <c r="AG6" s="80"/>
      <c r="AH6" s="11">
        <f>IF(SUM(R6,V6)&gt;0,SUM(R6,V6),"")</f>
        <v>8.1</v>
      </c>
      <c r="AI6" s="11">
        <f>IF(SUM(Q6:R6,T6:V6,X6)-S6-W6&gt;0,SUM(Q6:R6,T6:V6,X6)-S6-W6,"")</f>
        <v>58.599999999999994</v>
      </c>
      <c r="AJ6" s="11">
        <f>IF(SUM(Z6,AD6)&gt;0,SUM(Z6,AD6),"")</f>
        <v>7.9</v>
      </c>
      <c r="AK6" s="11">
        <f>IF(SUM(Y6:Z6,AB6:AD6,AF6)-SUM(AA6,AE6)&gt;0,SUM(Y6:Z6,AB6:AD6,AF6)-SUM(AA6,AE6),"")</f>
        <v>58.199999999999996</v>
      </c>
      <c r="AL6" s="11">
        <f>IF(SUM(AI6,AK6)&gt;0,SUM(AI6,AK6),"")</f>
        <v>116.79999999999998</v>
      </c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81"/>
      <c r="BD6" s="14" t="str">
        <f>IF(SUM(AN6,AR6)&gt;0,SUM(AN6,AR6),"")</f>
        <v/>
      </c>
      <c r="BE6" s="14" t="str">
        <f>IF(SUM(AM6:AN6,AP6:AR6,AT6)-AO6-AS6&gt;0,SUM(AM6:AN6,AP6:AR6,AT6)-AO6-AS6,"")</f>
        <v/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 t="str">
        <f>IF(SUM(BE6,BG6)&gt;0,SUM(BE6,BG6),"")</f>
        <v/>
      </c>
      <c r="BI6" s="41">
        <v>25.5</v>
      </c>
      <c r="BJ6" s="41">
        <v>3.6</v>
      </c>
      <c r="BK6" s="41">
        <v>0.3</v>
      </c>
      <c r="BL6" s="41">
        <v>0</v>
      </c>
      <c r="BM6" s="41">
        <v>25.4</v>
      </c>
      <c r="BN6" s="41">
        <v>4.5</v>
      </c>
      <c r="BO6" s="41">
        <v>0.3</v>
      </c>
      <c r="BP6" s="41">
        <v>0.3</v>
      </c>
      <c r="BQ6" s="41">
        <v>26.3</v>
      </c>
      <c r="BR6" s="41">
        <v>3.6</v>
      </c>
      <c r="BS6" s="41">
        <v>0.3</v>
      </c>
      <c r="BT6" s="41">
        <v>0</v>
      </c>
      <c r="BU6" s="41">
        <v>25.1</v>
      </c>
      <c r="BV6" s="41">
        <v>4.5</v>
      </c>
      <c r="BW6" s="41">
        <v>0.3</v>
      </c>
      <c r="BX6" s="41">
        <v>0.3</v>
      </c>
      <c r="BY6" s="80"/>
      <c r="BZ6" s="11">
        <f>IF(SUM(BJ6,BN6)&gt;0,SUM(BJ6,BN6),"")</f>
        <v>8.1</v>
      </c>
      <c r="CA6" s="11">
        <f>IF(SUM(BI6:BJ6,BL6:BN6,BP6)-BK6-BO6&gt;0,SUM(BI6:BJ6,BL6:BN6,BP6)-BK6-BO6,"")</f>
        <v>58.7</v>
      </c>
      <c r="CB6" s="11">
        <f>IF(SUM(BR6,BV6)&gt;0,SUM(BR6,BV6),"")</f>
        <v>8.1</v>
      </c>
      <c r="CC6" s="11">
        <f>IF(SUM(BQ6:BR6,BT6:BV6,BX6)-SUM(BS6,BW6)&gt;0,SUM(BQ6:BR6,BT6:BV6,BX6)-SUM(BS6,BW6),"")</f>
        <v>59.199999999999996</v>
      </c>
      <c r="CD6" s="11">
        <f>IF(SUM(CA6,CC6)&gt;0,SUM(CA6,CC6),"")</f>
        <v>117.9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IF(MAX(CZ6,DU6,EP6,FK6,GF6,HA6,HV6,IQ6,JL6,KG6,LB6,LW6)-IF(L6="",0,L6)&gt;0.001,MAX(CZ6,DU6,EP6,FK6,GF6,HA6,HV6,IQ6,JL6,KG6,LB6,LW6)-IF(L6="",0,L6),"")</f>
        <v/>
      </c>
      <c r="CG6" s="37"/>
      <c r="CH6" s="37"/>
      <c r="CI6" s="37"/>
      <c r="CJ6" s="37"/>
      <c r="CK6" s="37"/>
      <c r="CL6" s="37"/>
      <c r="CM6" s="37"/>
      <c r="CN6" s="37"/>
      <c r="CO6" s="37"/>
      <c r="CP6" s="37"/>
      <c r="CQ6" s="37"/>
      <c r="CR6" s="37"/>
      <c r="CS6" s="37"/>
      <c r="CT6" s="37"/>
      <c r="CU6" s="37"/>
      <c r="CV6" s="37"/>
      <c r="CW6" s="11" t="str">
        <f>IF(SUM(CH6,CL6)&gt;0,SUM(CH6,CL6),"")</f>
        <v/>
      </c>
      <c r="CX6" s="11" t="str">
        <f>IF(SUM(CG6:CH6,CJ6:CL6,CN6)-CI6-CM6&gt;0,SUM(CG6:CH6,CJ6:CL6,CN6)-CI6-CM6,"")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38"/>
      <c r="DC6" s="38"/>
      <c r="DD6" s="38"/>
      <c r="DE6" s="38"/>
      <c r="DF6" s="38"/>
      <c r="DG6" s="38"/>
      <c r="DH6" s="38"/>
      <c r="DI6" s="38"/>
      <c r="DJ6" s="38"/>
      <c r="DK6" s="38"/>
      <c r="DL6" s="38"/>
      <c r="DM6" s="38"/>
      <c r="DN6" s="38"/>
      <c r="DO6" s="38"/>
      <c r="DP6" s="38"/>
      <c r="DQ6" s="38"/>
      <c r="DR6" s="14" t="str">
        <f>IF(SUM(DC6,DG6)&gt;0,SUM(DC6,DG6),"")</f>
        <v/>
      </c>
      <c r="DS6" s="14" t="str">
        <f>IF(SUM(DB6:DC6,DE6:DG6,DI6)-DD6-DH6&gt;0,SUM(DB6:DC6,DE6:DG6,DI6)-DD6-DH6,"")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37"/>
      <c r="DX6" s="37"/>
      <c r="DY6" s="37"/>
      <c r="DZ6" s="37"/>
      <c r="EA6" s="37"/>
      <c r="EB6" s="37"/>
      <c r="EC6" s="37"/>
      <c r="ED6" s="37"/>
      <c r="EE6" s="37"/>
      <c r="EF6" s="37"/>
      <c r="EG6" s="37"/>
      <c r="EH6" s="37"/>
      <c r="EI6" s="37"/>
      <c r="EJ6" s="37"/>
      <c r="EK6" s="37"/>
      <c r="EL6" s="37"/>
      <c r="EM6" s="11" t="str">
        <f>IF(SUM(DX6,EB6)&gt;0,SUM(DX6,EB6),"")</f>
        <v/>
      </c>
      <c r="EN6" s="11" t="str">
        <f>IF(SUM(DW6:DX6,DZ6:EB6,ED6)-DY6-EC6&gt;0,SUM(DW6:DX6,DZ6:EB6,ED6)-DY6-EC6,"")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38"/>
      <c r="ES6" s="38"/>
      <c r="ET6" s="38"/>
      <c r="EU6" s="38"/>
      <c r="EV6" s="38"/>
      <c r="EW6" s="38"/>
      <c r="EX6" s="38"/>
      <c r="EY6" s="38"/>
      <c r="EZ6" s="38"/>
      <c r="FA6" s="38"/>
      <c r="FB6" s="38"/>
      <c r="FC6" s="38"/>
      <c r="FD6" s="38"/>
      <c r="FE6" s="38"/>
      <c r="FF6" s="38"/>
      <c r="FG6" s="38"/>
      <c r="FH6" s="14" t="str">
        <f>IF(SUM(ES6,EW6)&gt;0,SUM(ES6,EW6),"")</f>
        <v/>
      </c>
      <c r="FI6" s="14" t="str">
        <f>IF(SUM(ER6:ES6,EU6:EW6,EY6)-ET6-EX6&gt;0,SUM(ER6:ES6,EU6:EW6,EY6)-ET6-EX6,"")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37"/>
      <c r="FN6" s="37"/>
      <c r="FO6" s="37"/>
      <c r="FP6" s="37"/>
      <c r="FQ6" s="37"/>
      <c r="FR6" s="37"/>
      <c r="FS6" s="37"/>
      <c r="FT6" s="37"/>
      <c r="FU6" s="37"/>
      <c r="FV6" s="37"/>
      <c r="FW6" s="37"/>
      <c r="FX6" s="37"/>
      <c r="FY6" s="37"/>
      <c r="FZ6" s="37"/>
      <c r="GA6" s="37"/>
      <c r="GB6" s="37"/>
      <c r="GC6" s="11" t="str">
        <f>IF(SUM(FN6,FR6)&gt;0,SUM(FN6,FR6),"")</f>
        <v/>
      </c>
      <c r="GD6" s="11" t="str">
        <f>IF(SUM(FM6:FN6,FP6:FR6,FT6)-FO6-FS6&gt;0,SUM(FM6:FN6,FP6:FR6,FT6)-FO6-FS6,"")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38"/>
      <c r="GI6" s="38"/>
      <c r="GJ6" s="38"/>
      <c r="GK6" s="38"/>
      <c r="GL6" s="38"/>
      <c r="GM6" s="38"/>
      <c r="GN6" s="38"/>
      <c r="GO6" s="38"/>
      <c r="GP6" s="38"/>
      <c r="GQ6" s="38"/>
      <c r="GR6" s="38"/>
      <c r="GS6" s="38"/>
      <c r="GT6" s="38"/>
      <c r="GU6" s="38"/>
      <c r="GV6" s="38"/>
      <c r="GW6" s="38"/>
      <c r="GX6" s="14" t="str">
        <f>IF(SUM(GI6,GM6)&gt;0,SUM(GI6,GM6),"")</f>
        <v/>
      </c>
      <c r="GY6" s="14" t="str">
        <f>IF(SUM(GH6:GI6,GK6:GM6,GO6)-GJ6-GN6&gt;0,SUM(GH6:GI6,GK6:GM6,GO6)-GJ6-GN6,"")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37"/>
      <c r="HD6" s="37"/>
      <c r="HE6" s="37"/>
      <c r="HF6" s="37"/>
      <c r="HG6" s="37"/>
      <c r="HH6" s="37"/>
      <c r="HI6" s="37"/>
      <c r="HJ6" s="37"/>
      <c r="HK6" s="37"/>
      <c r="HL6" s="37"/>
      <c r="HM6" s="37"/>
      <c r="HN6" s="37"/>
      <c r="HO6" s="37"/>
      <c r="HP6" s="37"/>
      <c r="HQ6" s="37"/>
      <c r="HR6" s="37"/>
      <c r="HS6" s="11" t="str">
        <f>IF(SUM(HD6,HH6)&gt;0,SUM(HD6,HH6),"")</f>
        <v/>
      </c>
      <c r="HT6" s="11" t="str">
        <f>IF(SUM(HC6:HD6,HF6:HH6,HJ6)-HE6-HI6&gt;0,SUM(HC6:HD6,HF6:HH6,HJ6)-HE6-HI6,"")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38"/>
      <c r="HY6" s="38"/>
      <c r="HZ6" s="38"/>
      <c r="IA6" s="38"/>
      <c r="IB6" s="38"/>
      <c r="IC6" s="38"/>
      <c r="ID6" s="38"/>
      <c r="IE6" s="38"/>
      <c r="IF6" s="38"/>
      <c r="IG6" s="38"/>
      <c r="IH6" s="38"/>
      <c r="II6" s="38"/>
      <c r="IJ6" s="38"/>
      <c r="IK6" s="38"/>
      <c r="IL6" s="38"/>
      <c r="IM6" s="38"/>
      <c r="IN6" s="14" t="str">
        <f>IF(SUM(HY6,IC6)&gt;0,SUM(HY6,IC6),"")</f>
        <v/>
      </c>
      <c r="IO6" s="14" t="str">
        <f>IF(SUM(HX6:HY6,IA6:IC6,IE6)-HZ6-ID6&gt;0,SUM(HX6:HY6,IA6:IC6,IE6)-HZ6-ID6,"")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37"/>
      <c r="IT6" s="37"/>
      <c r="IU6" s="37"/>
      <c r="IV6" s="37"/>
      <c r="IW6" s="37"/>
      <c r="IX6" s="37"/>
      <c r="IY6" s="37"/>
      <c r="IZ6" s="37"/>
      <c r="JA6" s="37"/>
      <c r="JB6" s="37"/>
      <c r="JC6" s="37"/>
      <c r="JD6" s="37"/>
      <c r="JE6" s="37"/>
      <c r="JF6" s="37"/>
      <c r="JG6" s="37"/>
      <c r="JH6" s="37"/>
      <c r="JI6" s="11" t="str">
        <f>IF(SUM(IT6,IX6)&gt;0,SUM(IT6,IX6),"")</f>
        <v/>
      </c>
      <c r="JJ6" s="11" t="str">
        <f>IF(SUM(IS6:IT6,IV6:IX6,IZ6)-IU6-IY6&gt;0,SUM(IS6:IT6,IV6:IX6,IZ6)-IU6-IY6,"")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38"/>
      <c r="JO6" s="38"/>
      <c r="JP6" s="38"/>
      <c r="JQ6" s="38"/>
      <c r="JR6" s="38"/>
      <c r="JS6" s="38"/>
      <c r="JT6" s="38"/>
      <c r="JU6" s="38"/>
      <c r="JV6" s="38"/>
      <c r="JW6" s="38"/>
      <c r="JX6" s="38"/>
      <c r="JY6" s="38"/>
      <c r="JZ6" s="38"/>
      <c r="KA6" s="38"/>
      <c r="KB6" s="38"/>
      <c r="KC6" s="38"/>
      <c r="KD6" s="14" t="str">
        <f>IF(SUM(JO6,JS6)&gt;0,SUM(JO6,JS6),"")</f>
        <v/>
      </c>
      <c r="KE6" s="14" t="str">
        <f>IF(SUM(JN6:JO6,JQ6:JS6,JU6)-JP6-JT6&gt;0,SUM(JN6:JO6,JQ6:JS6,JU6)-JP6-JT6,"")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37"/>
      <c r="KJ6" s="37"/>
      <c r="KK6" s="37"/>
      <c r="KL6" s="37"/>
      <c r="KM6" s="37"/>
      <c r="KN6" s="37"/>
      <c r="KO6" s="37"/>
      <c r="KP6" s="37"/>
      <c r="KQ6" s="37"/>
      <c r="KR6" s="37"/>
      <c r="KS6" s="37"/>
      <c r="KT6" s="37"/>
      <c r="KU6" s="37"/>
      <c r="KV6" s="37"/>
      <c r="KW6" s="37"/>
      <c r="KX6" s="37"/>
      <c r="KY6" s="11" t="str">
        <f>IF(SUM(KJ6,KN6)&gt;0,SUM(KJ6,KN6),"")</f>
        <v/>
      </c>
      <c r="KZ6" s="11" t="str">
        <f>IF(SUM(KI6:KJ6,KL6:KN6,KP6)-KK6-KO6&gt;0,SUM(KI6:KJ6,KL6:KN6,KP6)-KK6-KO6,"")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38"/>
      <c r="LE6" s="38"/>
      <c r="LF6" s="38"/>
      <c r="LG6" s="38"/>
      <c r="LH6" s="38"/>
      <c r="LI6" s="38"/>
      <c r="LJ6" s="38"/>
      <c r="LK6" s="38"/>
      <c r="LL6" s="38"/>
      <c r="LM6" s="38"/>
      <c r="LN6" s="38"/>
      <c r="LO6" s="38"/>
      <c r="LP6" s="38"/>
      <c r="LQ6" s="38"/>
      <c r="LR6" s="38"/>
      <c r="LS6" s="38"/>
      <c r="LT6" s="14" t="str">
        <f>IF(SUM(LE6,LI6)&gt;0,SUM(LE6,LI6),"")</f>
        <v/>
      </c>
      <c r="LU6" s="14" t="str">
        <f>IF(SUM(LD6:LE6,LG6:LI6,LK6)-LF6-LJ6&gt;0,SUM(LD6:LE6,LG6:LI6,LK6)-LF6-LJ6,"")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12.75</v>
      </c>
      <c r="LZ6" s="69">
        <f>IF($BY6="P",BJ6,(BJ6+AN6)/2)</f>
        <v>1.8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12.7</v>
      </c>
      <c r="MD6" s="69">
        <f>IF($BY6="P",BN6,(BN6+AR6)/2)</f>
        <v>2.25</v>
      </c>
      <c r="ME6" s="69">
        <f>IF($BY6="P",BO6,(BO6+AS6)/2)</f>
        <v>0.15</v>
      </c>
      <c r="MF6" s="69">
        <f>IF($BY6="P",BP6,(BP6+AT6)/2)</f>
        <v>0.15</v>
      </c>
      <c r="MG6" s="69">
        <f>IF($BY6="P",BQ6,(BQ6+AU6)/2)</f>
        <v>13.15</v>
      </c>
      <c r="MH6" s="69">
        <f>IF($BY6="P",BR6,(BR6+AV6)/2)</f>
        <v>1.8</v>
      </c>
      <c r="MI6" s="69">
        <f>IF($BY6="P",BS6,(BS6+AW6)/2)</f>
        <v>0.15</v>
      </c>
      <c r="MJ6" s="69">
        <f>IF($BY6="P",BT6,(BT6+AX6)/2)</f>
        <v>0</v>
      </c>
      <c r="MK6" s="69">
        <f>IF($BY6="P",BU6,(BU6+AY6)/2)</f>
        <v>12.55</v>
      </c>
      <c r="ML6" s="69">
        <f>IF($BY6="P",BV6,(BV6+AZ6)/2)</f>
        <v>2.25</v>
      </c>
      <c r="MM6" s="69">
        <f>IF($BY6="P",BW6,(BW6+BA6)/2)</f>
        <v>0.15</v>
      </c>
      <c r="MN6" s="69">
        <f>IF($BY6="P",BX6,(BX6+BB6)/2)</f>
        <v>0.15</v>
      </c>
      <c r="MO6" s="80" t="s">
        <v>74</v>
      </c>
      <c r="MP6" s="11">
        <f>IF(SUM(LZ6,MD6)&gt;0,SUM(LZ6,MD6),"")</f>
        <v>4.05</v>
      </c>
      <c r="MQ6" s="11">
        <f>IF(SUM(LY6:LZ6,MB6:MD6,MF6)-MA6-ME6&gt;0,SUM(LY6:LZ6,MB6:MD6,MF6)-MA6-ME6,"")</f>
        <v>29.35</v>
      </c>
      <c r="MR6" s="11">
        <f>IF(SUM(MH6,ML6)&gt;0,SUM(MH6,ML6),"")</f>
        <v>4.05</v>
      </c>
      <c r="MS6" s="11">
        <f>IF(SUM(MG6:MH6,MJ6:ML6,MN6)-SUM(MI6,MM6)&gt;0,SUM(MG6:MH6,MJ6:ML6,MN6)-SUM(MI6,MM6),"")</f>
        <v>29.599999999999998</v>
      </c>
      <c r="MT6" s="11">
        <f>IF(SUM(MQ6,MS6)&gt;0,SUM(MQ6,MS6),"")</f>
        <v>58.95</v>
      </c>
    </row>
    <row r="7" spans="1:358" x14ac:dyDescent="0.2">
      <c r="A7" s="5" t="str">
        <f>IF(AND(F7="P",G7="P"),SUMPRODUCT((F$4:F$8="P")*(G$4:G$8="P")*(E$4:E$8&gt;E7))+1,IF(G7="P",SUMPRODUCT((F$4:F$8="")*(G$4:G$8="P")*(E$4:E$8&gt;E7))+1+SUMPRODUCT((F$4:F$8="P")*(G$4:G$8="P")),""))</f>
        <v/>
      </c>
      <c r="B7" s="6" t="s">
        <v>131</v>
      </c>
      <c r="C7" s="7" t="s">
        <v>3</v>
      </c>
      <c r="D7" s="27">
        <v>2004</v>
      </c>
      <c r="E7" s="15">
        <f>SUM(J7:N7)</f>
        <v>115.6</v>
      </c>
      <c r="F7" s="3" t="str">
        <f>IF(OR(AND(AH7&gt;=AL$10,AI7&gt;=AL$14,AI7&lt;&gt;"",AG7=""),AND(BD7&gt;=BH$10,BE7&gt;=BH$14,BE7&lt;&gt;"",BC7=""),AND(BZ7&gt;=CD$10,CA7&gt;=CD$14,CA7&lt;&gt;"",BY7=""),AND(CW7&gt;=DA$10,CX7&gt;=DA$14,CX7&lt;&gt;""),AND(DR7&gt;=DV$10,DS7&gt;=DV$14,DS7&lt;&gt;""),AND(EM7&gt;=EQ$10,EN7&gt;=EQ$14,EN7&lt;&gt;""),AND(FH7&gt;=FL$10,FI7&gt;=FL$14,FI7&lt;&gt;""),AND(GC7&gt;=GG$10,GD7&gt;=GG$14,GD7&lt;&gt;""),AND(GX7&gt;=HB$10,GY7&gt;=HB$14,GY7&lt;&gt;""),AND(HS7&gt;=HW$10,HT7&gt;=HW$14,HT7&lt;&gt;""),AND(IN7&gt;=IR$10,IO7&gt;=IR$14,IO7&lt;&gt;""),AND(JI7&gt;=JM$10,JJ7&gt;=JM$14,JJ7&lt;&gt;""),AND(KD7&gt;=KH$10,KE7&gt;=KH$14,KE7&lt;&gt;""),AND(KY7&gt;=LC$10,KZ7&gt;=LC$14,KZ7&lt;&gt;""),AND(LT7&gt;=LX$10,LU7&gt;=LX$14,LU7&lt;&gt;"")),"P","")</f>
        <v/>
      </c>
      <c r="G7" s="3" t="str">
        <f>IF(OR(AND(AI7&gt;=AL$14,AI7&lt;&gt;"",AG7=""),AND(BE7&gt;=BH$14,BE7&lt;&gt;"",BC7=""),AND(CA7&gt;=CD$14,CA7&lt;&gt;"",BY7=""),AND(CX7&gt;=DA$14,CX7&lt;&gt;""),AND(DS7&gt;=DV$14,DS7&lt;&gt;""),AND(EN7&gt;=EQ$14,EN7&lt;&gt;""),AND(FI7&gt;=FL$14,FI7&lt;&gt;""),AND(GD7&gt;=GG$14,GD7&lt;&gt;""),AND(GY7&gt;=HB$14,GY7&lt;&gt;""),AND(HT7&gt;=HW$14,HT7&lt;&gt;""),AND(IO7&gt;=IR$14,IO7&lt;&gt;""),AND(JJ7&gt;=JM$14,JJ7&lt;&gt;""),AND(KE7&gt;=KH$14,KE7&lt;&gt;""),AND(KZ7&gt;=LC$14,KZ7&lt;&gt;""),AND(LU7&gt;=LX$14,LU7&lt;&gt;"")),"P","")</f>
        <v/>
      </c>
      <c r="H7" s="126" t="str">
        <f>IF(AND(G7="P",F7=""),"No DD",IF(OR(AND(AI7&gt;=AL$17,AI7&lt;&gt;"",AH7&gt;=AL$13,AH7&lt;&gt;"",AG7=""),AND(BE7&gt;=BH$17,BE7&lt;&gt;"",BD7&gt;=BH$13,BD7&lt;&gt;"",BC7=""),AND(CA7&gt;=CD$17,CA7&lt;&gt;"",BZ7&gt;=CD$13,BZ7&lt;&gt;"",BY7=""),AND(CX7&gt;=DA$17,CX7&lt;&gt;"",CW7&gt;=DA$13,CW7&lt;&gt;""),AND(DS7&gt;=DV$17,DS7&lt;&gt;"",DR7&gt;=DV$13,DR7&lt;&gt;""),AND(EN7&gt;=EQ$17,EN7&lt;&gt;"",EM7&gt;=EQ$13,EM7&lt;&gt;""),AND(FI7&gt;=FL$17,FI7&lt;&gt;"",FH7&gt;=FL$13,FH7&lt;&gt;""),AND(GD7&gt;=GG$17,GD7&lt;&gt;"",GC7&gt;=GG$13,GC7&lt;&gt;""),AND(GY7&gt;=HB$17,GY7&lt;&gt;"",GX7&gt;=HB$13,GX7&lt;&gt;""),AND(HT7&gt;=HW$17,HT7&lt;&gt;"",HS7&gt;=HW$13,HS7&lt;&gt;""),AND(IO7&gt;=IR$17,IO7&lt;&gt;"",IN7&gt;=IR$13,IN7&lt;&gt;""),AND(JJ7&gt;=JM$17,JJ7&lt;&gt;"",JI7&gt;=JM$13,JI7&lt;&gt;""),AND(KE7&gt;=KH$17,KE7&lt;&gt;"",KD7&gt;=KH$13,KD7&lt;&gt;""),AND(KZ7&gt;=LC$17,KZ7&lt;&gt;"",KY7&gt;=LC$13,KY7&lt;&gt;""),AND(LU7&gt;=LX$17,LU7&lt;&gt;"",LT7&gt;=LX$13,LT7&lt;&gt;"")),"Merit",IF(OR(AND(AI7&gt;=AL$16,AI7&lt;&gt;"",AH7&gt;=AL$12,AH7&lt;&gt;"",AG7=""),AND(BE7&gt;=BH$16,BE7&lt;&gt;"",BD7&gt;=BH$12,BD7&lt;&gt;"",BC7=""),AND(CA7&gt;=CD$16,CA7&lt;&gt;"",BZ7&gt;=CD$12,BZ7&lt;&gt;"",BY7=""),AND(CX7&gt;=DA$16,CX7&lt;&gt;"",CW7&gt;=DA$12,CW7&lt;&gt;""),AND(DS7&gt;=DV$16,DS7&lt;&gt;"",DR7&gt;=DV$12,DR7&lt;&gt;""),AND(EN7&gt;=EQ$16,EN7&lt;&gt;"",EM7&gt;=EQ$12,EM7&lt;&gt;""),AND(FI7&gt;=FL$16,FI7&lt;&gt;"",FH7&gt;=FL$12,FH7&lt;&gt;""),AND(GD7&gt;=GG$16,GD7&lt;&gt;"",GC7&gt;=GG$12,GC7&lt;&gt;""),AND(GY7&gt;=HB$16,GY7&lt;&gt;"",GX7&gt;=HB$12,GX7&lt;&gt;""),AND(HT7&gt;=HW$16,HT7&lt;&gt;"",HS7&gt;=HW$12,HS7&lt;&gt;""),AND(IO7&gt;=IR$16,IO7&lt;&gt;"",IN7&gt;=IR$12,IN7&lt;&gt;""),AND(JJ7&gt;=JM$16,JJ7&lt;&gt;"",JI7&gt;=JM$12,JI7&lt;&gt;""),AND(KE7&gt;=KH$16,KE7&lt;&gt;"",KD7&gt;=KH$12,KD7&lt;&gt;""),AND(KZ7&gt;=LC$16,KZ7&lt;&gt;"",KY7&gt;=LC$12,KY7&lt;&gt;""),AND(LU7&gt;=LX$16,LU7&lt;&gt;"",LT7&gt;=LX$12,LT7&lt;&gt;"")),"Excellence",IF(OR(AND(AI7&gt;=AL$15,AI7&lt;&gt;"",AH7&gt;=AL$11,AH7&lt;&gt;"",AG7=""),AND(BE7&gt;=BH$15,BE7&lt;&gt;"",BD7&gt;=BH$11,BD7&lt;&gt;"",BC7=""),AND(CA7&gt;=CD$15,CA7&lt;&gt;"",BZ7&gt;=CD$11,BZ7&lt;&gt;"",BY7=""),AND(CX7&gt;=DA$15,CX7&lt;&gt;"",CW7&gt;=DA$11,CW7&lt;&gt;""),AND(DS7&gt;=DV$15,DS7&lt;&gt;"",DR7&gt;=DV$11,DR7&lt;&gt;""),AND(EN7&gt;=EQ$15,EN7&lt;&gt;"",EM7&gt;=EQ$11,EM7&lt;&gt;""),AND(FI7&gt;=FL$15,FI7&lt;&gt;"",FH7&gt;=FL$11,FH7&lt;&gt;""),AND(GD7&gt;=GG$15,GD7&lt;&gt;"",GC7&gt;=GG$11,GC7&lt;&gt;""),AND(GY7&gt;=HB$15,GY7&lt;&gt;"",GX7&gt;=HB$11,GX7&lt;&gt;""),AND(HT7&gt;=HW$15,HT7&lt;&gt;"",HS7&gt;=HW$11,HS7&lt;&gt;""),AND(IO7&gt;=IR$15,IO7&lt;&gt;"",IN7&gt;=IR$11,IN7&lt;&gt;""),AND(JJ7&gt;=JM$15,JJ7&lt;&gt;"",JI7&gt;=JM$11,JI7&lt;&gt;""),AND(KE7&gt;=KH$15,KE7&lt;&gt;"",KD7&gt;=KH$11,KD7&lt;&gt;""),AND(KZ7&gt;=LC$15,KZ7&lt;&gt;"",KY7&gt;=LC$11,KY7&lt;&gt;""),AND(LU7&gt;=LX$15,LU7&lt;&gt;"",LT7&gt;=LX$11,LT7&lt;&gt;"")),"Worlds Team",IF(OR(AND(AI7&gt;=AL$14,AI7&lt;&gt;"",AH7&gt;=AL$10,AH7&lt;&gt;"",AG7=""),AND(BE7&gt;=BH$14,BE7&lt;&gt;"",BD7&gt;=BH$10,BD7&lt;&gt;"",BC7=""),AND(CA7&gt;=CD$14,CA7&lt;&gt;"",BZ7&gt;=CD$10,BZ7&lt;&gt;"",BY7=""),AND(CX7&gt;=DA$14,CX7&lt;&gt;"",CW7&gt;=DA$10,CW7&lt;&gt;""),AND(DS7&gt;=DV$14,DS7&lt;&gt;"",DR7&gt;=DV$10,DR7&lt;&gt;""),AND(EN7&gt;=EQ$14,EN7&lt;&gt;"",EM7&gt;=EQ$10,EM7&lt;&gt;""),AND(FI7&gt;=FL$14,FI7&lt;&gt;"",FH7&gt;=FL$10,FH7&lt;&gt;""),AND(GD7&gt;=GG$14,GD7&lt;&gt;"",GC7&gt;=GG$10,GC7&lt;&gt;""),AND(GY7&gt;=HB$14,GY7&lt;&gt;"",GX7&gt;=HB$10,GX7&lt;&gt;""),AND(HT7&gt;=HW$14,HT7&lt;&gt;"",HS7&gt;=HW$10,HS7&lt;&gt;""),AND(IO7&gt;=IR$14,IO7&lt;&gt;"",IN7&gt;=IR$10,IN7&lt;&gt;""),AND(JJ7&gt;=JM$14,JJ7&lt;&gt;"",JI7&gt;=JM$10,JI7&lt;&gt;""),AND(KE7&gt;=KH$14,KE7&lt;&gt;"",KD7&gt;=KH$10,KD7&lt;&gt;""),AND(KZ7&gt;=LC$14,KZ7&lt;&gt;"",KY7&gt;=LC$10,KY7&lt;&gt;""),AND(LU7&gt;=LX$14,LU7&lt;&gt;"",LT7&gt;=LX$10,LT7&lt;&gt;"")),"National Team","")))))</f>
        <v/>
      </c>
      <c r="I7" s="3" t="str">
        <f>IF(OR(H7="Worlds Team",H7="Excellence",H7="Merit"),"P","")</f>
        <v/>
      </c>
      <c r="J7" s="14">
        <f>MAX(AI7,BE7,CA7)</f>
        <v>57.699999999999996</v>
      </c>
      <c r="K7" s="14" t="str">
        <f>IF(J7=0,"",IF(J7=CA7,$BI$1,IF(J7=BE7,$AM$1,IF(J7=AI7,$Q$1,""))))</f>
        <v>2021 2nd Virtual Technical Trial</v>
      </c>
      <c r="L7" s="14">
        <f>MAX(AK7,BG7,CC7)</f>
        <v>57.9</v>
      </c>
      <c r="M7" s="14" t="str">
        <f>IF(L7=0,"",IF(J7=CC7,$BI$1,IF(L7=BG7,$AM$1,IF(L7=AK7,$Q$1,""))))</f>
        <v>2021 2nd Virtual Technical Trial</v>
      </c>
      <c r="N7" s="14" t="str">
        <f>IF(MAX(CE7:CF7)&gt;0,MAX(CE7:CF7),"")</f>
        <v/>
      </c>
      <c r="O7" s="25" t="str">
        <f>IF(N7="","",IF(N7=CE7,"(Prelim)",IF(N7=CF7,"(Final)")))</f>
        <v/>
      </c>
      <c r="P7" s="14" t="str">
        <f>IF(N7="","",IF(N7=CE7,IF(N7+IF(J7="",0,J7)=LU7,$LD$1,IF(N7+IF(J7="",0,J7)=KZ7,$KI$1,IF(N7+IF(J7="",0,J7)=KE7,$JN$1,IF(N7+IF(J7="",0,J7)=JJ7,$IS$1,IF(N7+IF(J7="",0,J7)=IO7,$HX$1,IF(N7+IF(J7="",0,J7)=HT7,$HC$1,IF(N7+IF(J7="",0,J7)=GY7,$GH$1,IF(N7+IF(J7="",0,J7)=GD7,$FM$1,IF(N7+IF(J7="",0,J7)=FI7,$ER$1,IF(N7+IF(J7="",0,J7)=EN7,$DW$1,IF(N7+IF(J7="",0,J7)=DS7,$DB$1,IF(N7+IF(J7="",0,J7)=CX7,$CG$1)))))))))))),IF(N7=CF7,IF(N7+IF(L7="",0,L7)=LW7,$LD$1,IF(N7+IF(L7="",0,L7)=LB7,$KI$1,IF(N7+IF(L7="",0,L7)=KG7,$JN$1,IF(N7+IF(L7="",0,L7)=JL7,$IS$1,IF(N7+IF(L7="",0,L7)=IQ7,$HX$1,IF(N7+IF(L7="",0,L7)=HV7,$HC$1,IF(N7+IF(L7="",0,L7)=HA7,$GH$1,IF(N7+IF(L7="",0,L7)=GF7,$FM$1,IF(N7+IF(L7="",0,L7)=FK7,$ER$1,IF(N7+IF(L7="",0,L7)=EP7,$DW$1,IF(N7+IF(L7="",0,L7)=DU7,$DB$1,IF(N7+IF(L7="",0,L7)=CZ7,$CG$1)))))))))))))))</f>
        <v/>
      </c>
      <c r="Q7" s="41">
        <v>25.6</v>
      </c>
      <c r="R7" s="41">
        <v>3.6</v>
      </c>
      <c r="S7" s="41">
        <v>0</v>
      </c>
      <c r="T7" s="41">
        <v>0</v>
      </c>
      <c r="U7" s="41">
        <v>23.9</v>
      </c>
      <c r="V7" s="41">
        <v>4.3</v>
      </c>
      <c r="W7" s="41">
        <v>0</v>
      </c>
      <c r="X7" s="41">
        <v>0.3</v>
      </c>
      <c r="Y7" s="41">
        <v>25.6</v>
      </c>
      <c r="Z7" s="41">
        <v>3.2</v>
      </c>
      <c r="AA7" s="41">
        <v>0.4</v>
      </c>
      <c r="AB7" s="41">
        <v>0</v>
      </c>
      <c r="AC7" s="41">
        <v>24.9</v>
      </c>
      <c r="AD7" s="41">
        <v>4.3</v>
      </c>
      <c r="AE7" s="41">
        <v>0</v>
      </c>
      <c r="AF7" s="41">
        <v>0.3</v>
      </c>
      <c r="AG7" s="80"/>
      <c r="AH7" s="11">
        <f>IF(SUM(R7,V7)&gt;0,SUM(R7,V7),"")</f>
        <v>7.9</v>
      </c>
      <c r="AI7" s="11">
        <f>IF(SUM(Q7:R7,T7:V7,X7)-S7-W7&gt;0,SUM(Q7:R7,T7:V7,X7)-S7-W7,"")</f>
        <v>57.699999999999996</v>
      </c>
      <c r="AJ7" s="11">
        <f>IF(SUM(Z7,AD7)&gt;0,SUM(Z7,AD7),"")</f>
        <v>7.5</v>
      </c>
      <c r="AK7" s="11">
        <f>IF(SUM(Y7:Z7,AB7:AD7,AF7)-SUM(AA7,AE7)&gt;0,SUM(Y7:Z7,AB7:AD7,AF7)-SUM(AA7,AE7),"")</f>
        <v>57.9</v>
      </c>
      <c r="AL7" s="11">
        <f>IF(SUM(AI7,AK7)&gt;0,SUM(AI7,AK7),"")</f>
        <v>115.6</v>
      </c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81"/>
      <c r="BD7" s="14" t="str">
        <f>IF(SUM(AN7,AR7)&gt;0,SUM(AN7,AR7),"")</f>
        <v/>
      </c>
      <c r="BE7" s="14" t="str">
        <f>IF(SUM(AM7:AN7,AP7:AR7,AT7)-AO7-AS7&gt;0,SUM(AM7:AN7,AP7:AR7,AT7)-AO7-AS7,"")</f>
        <v/>
      </c>
      <c r="BF7" s="14" t="str">
        <f>IF(SUM(AV7,AZ7)&gt;0,SUM(AV7,AZ7),"")</f>
        <v/>
      </c>
      <c r="BG7" s="14" t="str">
        <f>IF(SUM(AU7:AV7,AX7:AZ7,BB7)-SUM(AW7,BA7)&gt;0,SUM(AU7:AV7,AX7:AZ7,BB7)-SUM(AW7,BA7),"")</f>
        <v/>
      </c>
      <c r="BH7" s="14" t="str">
        <f>IF(SUM(BE7,BG7)&gt;0,SUM(BE7,BG7),"")</f>
        <v/>
      </c>
      <c r="BI7" s="41"/>
      <c r="BJ7" s="41"/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80"/>
      <c r="BZ7" s="11" t="str">
        <f>IF(SUM(BJ7,BN7)&gt;0,SUM(BJ7,BN7),"")</f>
        <v/>
      </c>
      <c r="CA7" s="11" t="str">
        <f>IF(SUM(BI7:BJ7,BL7:BN7,BP7)-BK7-BO7&gt;0,SUM(BI7:BJ7,BL7:BN7,BP7)-BK7-BO7,"")</f>
        <v/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 t="str">
        <f>IF(SUM(CA7,CC7)&gt;0,SUM(CA7,CC7),"")</f>
        <v/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IF(MAX(CZ7,DU7,EP7,FK7,GF7,HA7,HV7,IQ7,JL7,KG7,LB7,LW7)-IF(L7="",0,L7)&gt;0.001,MAX(CZ7,DU7,EP7,FK7,GF7,HA7,HV7,IQ7,JL7,KG7,LB7,LW7)-IF(L7="",0,L7),"")</f>
        <v/>
      </c>
      <c r="CG7" s="37"/>
      <c r="CH7" s="37"/>
      <c r="CI7" s="37"/>
      <c r="CJ7" s="37"/>
      <c r="CK7" s="37"/>
      <c r="CL7" s="37"/>
      <c r="CM7" s="37"/>
      <c r="CN7" s="37"/>
      <c r="CO7" s="37"/>
      <c r="CP7" s="37"/>
      <c r="CQ7" s="37"/>
      <c r="CR7" s="37"/>
      <c r="CS7" s="37"/>
      <c r="CT7" s="37"/>
      <c r="CU7" s="37"/>
      <c r="CV7" s="37"/>
      <c r="CW7" s="11" t="str">
        <f>IF(SUM(CH7,CL7)&gt;0,SUM(CH7,CL7),"")</f>
        <v/>
      </c>
      <c r="CX7" s="11" t="str">
        <f>IF(SUM(CG7:CH7,CJ7:CL7,CN7)-CI7-CM7&gt;0,SUM(CG7:CH7,CJ7:CL7,CN7)-CI7-CM7,"")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38"/>
      <c r="DC7" s="38"/>
      <c r="DD7" s="38"/>
      <c r="DE7" s="38"/>
      <c r="DF7" s="38"/>
      <c r="DG7" s="38"/>
      <c r="DH7" s="38"/>
      <c r="DI7" s="38"/>
      <c r="DJ7" s="38"/>
      <c r="DK7" s="38"/>
      <c r="DL7" s="38"/>
      <c r="DM7" s="38"/>
      <c r="DN7" s="38"/>
      <c r="DO7" s="38"/>
      <c r="DP7" s="38"/>
      <c r="DQ7" s="38"/>
      <c r="DR7" s="14" t="str">
        <f>IF(SUM(DC7,DG7)&gt;0,SUM(DC7,DG7),"")</f>
        <v/>
      </c>
      <c r="DS7" s="14" t="str">
        <f>IF(SUM(DB7:DC7,DE7:DG7,DI7)-DD7-DH7&gt;0,SUM(DB7:DC7,DE7:DG7,DI7)-DD7-DH7,"")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37"/>
      <c r="DX7" s="37"/>
      <c r="DY7" s="37"/>
      <c r="DZ7" s="37"/>
      <c r="EA7" s="37"/>
      <c r="EB7" s="37"/>
      <c r="EC7" s="37"/>
      <c r="ED7" s="37"/>
      <c r="EE7" s="37"/>
      <c r="EF7" s="37"/>
      <c r="EG7" s="37"/>
      <c r="EH7" s="37"/>
      <c r="EI7" s="37"/>
      <c r="EJ7" s="37"/>
      <c r="EK7" s="37"/>
      <c r="EL7" s="37"/>
      <c r="EM7" s="11" t="str">
        <f>IF(SUM(DX7,EB7)&gt;0,SUM(DX7,EB7),"")</f>
        <v/>
      </c>
      <c r="EN7" s="11" t="str">
        <f>IF(SUM(DW7:DX7,DZ7:EB7,ED7)-DY7-EC7&gt;0,SUM(DW7:DX7,DZ7:EB7,ED7)-DY7-EC7,"")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38"/>
      <c r="ES7" s="38"/>
      <c r="ET7" s="38"/>
      <c r="EU7" s="38"/>
      <c r="EV7" s="38"/>
      <c r="EW7" s="38"/>
      <c r="EX7" s="38"/>
      <c r="EY7" s="38"/>
      <c r="EZ7" s="38"/>
      <c r="FA7" s="38"/>
      <c r="FB7" s="38"/>
      <c r="FC7" s="38"/>
      <c r="FD7" s="38"/>
      <c r="FE7" s="38"/>
      <c r="FF7" s="38"/>
      <c r="FG7" s="38"/>
      <c r="FH7" s="14" t="str">
        <f>IF(SUM(ES7,EW7)&gt;0,SUM(ES7,EW7),"")</f>
        <v/>
      </c>
      <c r="FI7" s="14" t="str">
        <f>IF(SUM(ER7:ES7,EU7:EW7,EY7)-ET7-EX7&gt;0,SUM(ER7:ES7,EU7:EW7,EY7)-ET7-EX7,"")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37"/>
      <c r="FN7" s="37"/>
      <c r="FO7" s="37"/>
      <c r="FP7" s="37"/>
      <c r="FQ7" s="37"/>
      <c r="FR7" s="37"/>
      <c r="FS7" s="37"/>
      <c r="FT7" s="37"/>
      <c r="FU7" s="37"/>
      <c r="FV7" s="37"/>
      <c r="FW7" s="37"/>
      <c r="FX7" s="37"/>
      <c r="FY7" s="37"/>
      <c r="FZ7" s="37"/>
      <c r="GA7" s="37"/>
      <c r="GB7" s="37"/>
      <c r="GC7" s="11" t="str">
        <f>IF(SUM(FN7,FR7)&gt;0,SUM(FN7,FR7),"")</f>
        <v/>
      </c>
      <c r="GD7" s="11" t="str">
        <f>IF(SUM(FM7:FN7,FP7:FR7,FT7)-FO7-FS7&gt;0,SUM(FM7:FN7,FP7:FR7,FT7)-FO7-FS7,"")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38"/>
      <c r="GI7" s="38"/>
      <c r="GJ7" s="38"/>
      <c r="GK7" s="38"/>
      <c r="GL7" s="38"/>
      <c r="GM7" s="38"/>
      <c r="GN7" s="38"/>
      <c r="GO7" s="38"/>
      <c r="GP7" s="38"/>
      <c r="GQ7" s="38"/>
      <c r="GR7" s="38"/>
      <c r="GS7" s="38"/>
      <c r="GT7" s="38"/>
      <c r="GU7" s="38"/>
      <c r="GV7" s="38"/>
      <c r="GW7" s="38"/>
      <c r="GX7" s="14" t="str">
        <f>IF(SUM(GI7,GM7)&gt;0,SUM(GI7,GM7),"")</f>
        <v/>
      </c>
      <c r="GY7" s="14" t="str">
        <f>IF(SUM(GH7:GI7,GK7:GM7,GO7)-GJ7-GN7&gt;0,SUM(GH7:GI7,GK7:GM7,GO7)-GJ7-GN7,"")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37"/>
      <c r="HD7" s="37"/>
      <c r="HE7" s="37"/>
      <c r="HF7" s="37"/>
      <c r="HG7" s="37"/>
      <c r="HH7" s="37"/>
      <c r="HI7" s="37"/>
      <c r="HJ7" s="37"/>
      <c r="HK7" s="37"/>
      <c r="HL7" s="37"/>
      <c r="HM7" s="37"/>
      <c r="HN7" s="37"/>
      <c r="HO7" s="37"/>
      <c r="HP7" s="37"/>
      <c r="HQ7" s="37"/>
      <c r="HR7" s="37"/>
      <c r="HS7" s="11" t="str">
        <f>IF(SUM(HD7,HH7)&gt;0,SUM(HD7,HH7),"")</f>
        <v/>
      </c>
      <c r="HT7" s="11" t="str">
        <f>IF(SUM(HC7:HD7,HF7:HH7,HJ7)-HE7-HI7&gt;0,SUM(HC7:HD7,HF7:HH7,HJ7)-HE7-HI7,"")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38"/>
      <c r="HY7" s="38"/>
      <c r="HZ7" s="38"/>
      <c r="IA7" s="38"/>
      <c r="IB7" s="38"/>
      <c r="IC7" s="38"/>
      <c r="ID7" s="38"/>
      <c r="IE7" s="38"/>
      <c r="IF7" s="38"/>
      <c r="IG7" s="38"/>
      <c r="IH7" s="38"/>
      <c r="II7" s="38"/>
      <c r="IJ7" s="38"/>
      <c r="IK7" s="38"/>
      <c r="IL7" s="38"/>
      <c r="IM7" s="38"/>
      <c r="IN7" s="14" t="str">
        <f>IF(SUM(HY7,IC7)&gt;0,SUM(HY7,IC7),"")</f>
        <v/>
      </c>
      <c r="IO7" s="14" t="str">
        <f>IF(SUM(HX7:HY7,IA7:IC7,IE7)-HZ7-ID7&gt;0,SUM(HX7:HY7,IA7:IC7,IE7)-HZ7-ID7,"")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37"/>
      <c r="IT7" s="37"/>
      <c r="IU7" s="37"/>
      <c r="IV7" s="37"/>
      <c r="IW7" s="37"/>
      <c r="IX7" s="37"/>
      <c r="IY7" s="37"/>
      <c r="IZ7" s="37"/>
      <c r="JA7" s="37"/>
      <c r="JB7" s="37"/>
      <c r="JC7" s="37"/>
      <c r="JD7" s="37"/>
      <c r="JE7" s="37"/>
      <c r="JF7" s="37"/>
      <c r="JG7" s="37"/>
      <c r="JH7" s="37"/>
      <c r="JI7" s="11" t="str">
        <f>IF(SUM(IT7,IX7)&gt;0,SUM(IT7,IX7),"")</f>
        <v/>
      </c>
      <c r="JJ7" s="11" t="str">
        <f>IF(SUM(IS7:IT7,IV7:IX7,IZ7)-IU7-IY7&gt;0,SUM(IS7:IT7,IV7:IX7,IZ7)-IU7-IY7,"")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38"/>
      <c r="JO7" s="38"/>
      <c r="JP7" s="38"/>
      <c r="JQ7" s="38"/>
      <c r="JR7" s="38"/>
      <c r="JS7" s="38"/>
      <c r="JT7" s="38"/>
      <c r="JU7" s="38"/>
      <c r="JV7" s="38"/>
      <c r="JW7" s="38"/>
      <c r="JX7" s="38"/>
      <c r="JY7" s="38"/>
      <c r="JZ7" s="38"/>
      <c r="KA7" s="38"/>
      <c r="KB7" s="38"/>
      <c r="KC7" s="38"/>
      <c r="KD7" s="14" t="str">
        <f>IF(SUM(JO7,JS7)&gt;0,SUM(JO7,JS7),"")</f>
        <v/>
      </c>
      <c r="KE7" s="14" t="str">
        <f>IF(SUM(JN7:JO7,JQ7:JS7,JU7)-JP7-JT7&gt;0,SUM(JN7:JO7,JQ7:JS7,JU7)-JP7-JT7,"")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37"/>
      <c r="KJ7" s="37"/>
      <c r="KK7" s="37"/>
      <c r="KL7" s="37"/>
      <c r="KM7" s="37"/>
      <c r="KN7" s="37"/>
      <c r="KO7" s="37"/>
      <c r="KP7" s="37"/>
      <c r="KQ7" s="37"/>
      <c r="KR7" s="37"/>
      <c r="KS7" s="37"/>
      <c r="KT7" s="37"/>
      <c r="KU7" s="37"/>
      <c r="KV7" s="37"/>
      <c r="KW7" s="37"/>
      <c r="KX7" s="37"/>
      <c r="KY7" s="11" t="str">
        <f>IF(SUM(KJ7,KN7)&gt;0,SUM(KJ7,KN7),"")</f>
        <v/>
      </c>
      <c r="KZ7" s="11" t="str">
        <f>IF(SUM(KI7:KJ7,KL7:KN7,KP7)-KK7-KO7&gt;0,SUM(KI7:KJ7,KL7:KN7,KP7)-KK7-KO7,"")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38"/>
      <c r="LE7" s="38"/>
      <c r="LF7" s="38"/>
      <c r="LG7" s="38"/>
      <c r="LH7" s="38"/>
      <c r="LI7" s="38"/>
      <c r="LJ7" s="38"/>
      <c r="LK7" s="38"/>
      <c r="LL7" s="38"/>
      <c r="LM7" s="38"/>
      <c r="LN7" s="38"/>
      <c r="LO7" s="38"/>
      <c r="LP7" s="38"/>
      <c r="LQ7" s="38"/>
      <c r="LR7" s="38"/>
      <c r="LS7" s="38"/>
      <c r="LT7" s="14" t="str">
        <f>IF(SUM(LE7,LI7)&gt;0,SUM(LE7,LI7),"")</f>
        <v/>
      </c>
      <c r="LU7" s="14" t="str">
        <f>IF(SUM(LD7:LE7,LG7:LI7,LK7)-LF7-LJ7&gt;0,SUM(LD7:LE7,LG7:LI7,LK7)-LF7-LJ7,"")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0</v>
      </c>
      <c r="LZ7" s="69">
        <f>IF($BY7="P",BJ7,(BJ7+AN7)/2)</f>
        <v>0</v>
      </c>
      <c r="MA7" s="69">
        <f>IF($BY7="P",BK7,(BK7+AO7)/2)</f>
        <v>0</v>
      </c>
      <c r="MB7" s="69">
        <f>IF($BY7="P",BL7,(BL7+AP7)/2)</f>
        <v>0</v>
      </c>
      <c r="MC7" s="69">
        <f>IF($BY7="P",BM7,(BM7+AQ7)/2)</f>
        <v>0</v>
      </c>
      <c r="MD7" s="69">
        <f>IF($BY7="P",BN7,(BN7+AR7)/2)</f>
        <v>0</v>
      </c>
      <c r="ME7" s="69">
        <f>IF($BY7="P",BO7,(BO7+AS7)/2)</f>
        <v>0</v>
      </c>
      <c r="MF7" s="69">
        <f>IF($BY7="P",BP7,(BP7+AT7)/2)</f>
        <v>0</v>
      </c>
      <c r="MG7" s="69">
        <f>IF($BY7="P",BQ7,(BQ7+AU7)/2)</f>
        <v>0</v>
      </c>
      <c r="MH7" s="69">
        <f>IF($BY7="P",BR7,(BR7+AV7)/2)</f>
        <v>0</v>
      </c>
      <c r="MI7" s="69">
        <f>IF($BY7="P",BS7,(BS7+AW7)/2)</f>
        <v>0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 t="str">
        <f>IF(SUM(LZ7,MD7)&gt;0,SUM(LZ7,MD7),"")</f>
        <v/>
      </c>
      <c r="MQ7" s="11" t="str">
        <f>IF(SUM(LY7:LZ7,MB7:MD7,MF7)-MA7-ME7&gt;0,SUM(LY7:LZ7,MB7:MD7,MF7)-MA7-ME7,"")</f>
        <v/>
      </c>
      <c r="MR7" s="11" t="str">
        <f>IF(SUM(MH7,ML7)&gt;0,SUM(MH7,ML7),"")</f>
        <v/>
      </c>
      <c r="MS7" s="11" t="str">
        <f>IF(SUM(MG7:MH7,MJ7:ML7,MN7)-SUM(MI7,MM7)&gt;0,SUM(MG7:MH7,MJ7:ML7,MN7)-SUM(MI7,MM7),"")</f>
        <v/>
      </c>
      <c r="MT7" s="11" t="str">
        <f>IF(SUM(MQ7,MS7)&gt;0,SUM(MQ7,MS7),"")</f>
        <v/>
      </c>
    </row>
    <row r="8" spans="1:358" ht="17" x14ac:dyDescent="0.2">
      <c r="N8" s="19"/>
      <c r="O8" s="19"/>
      <c r="P8" s="19"/>
      <c r="JN8" s="42"/>
      <c r="JO8" s="42"/>
      <c r="JP8" s="42"/>
      <c r="JQ8" s="42"/>
      <c r="JR8" s="42"/>
      <c r="JS8" s="42"/>
      <c r="JT8" s="42"/>
      <c r="JU8" s="42"/>
      <c r="JV8" s="42"/>
      <c r="JW8" s="42"/>
      <c r="JX8" s="42"/>
      <c r="JY8" s="42"/>
      <c r="JZ8" s="42"/>
      <c r="KA8" s="42"/>
      <c r="KB8" s="42"/>
      <c r="KC8" s="42"/>
    </row>
    <row r="9" spans="1:358" ht="17" x14ac:dyDescent="0.2">
      <c r="N9" s="19"/>
      <c r="O9" s="19"/>
      <c r="P9" s="19"/>
    </row>
    <row r="10" spans="1:358" ht="17" x14ac:dyDescent="0.2">
      <c r="B10" s="70" t="s">
        <v>70</v>
      </c>
      <c r="N10" s="19"/>
      <c r="O10" s="19"/>
      <c r="P10" s="19"/>
      <c r="AH10" s="56"/>
      <c r="AL10" s="64">
        <v>7.6</v>
      </c>
      <c r="BD10" s="56"/>
      <c r="BH10" s="64">
        <v>7.6</v>
      </c>
      <c r="BZ10" s="56"/>
      <c r="CD10" s="64">
        <v>7.6</v>
      </c>
      <c r="CW10" s="56"/>
      <c r="DA10" s="64">
        <v>7.6</v>
      </c>
      <c r="DR10" s="56"/>
      <c r="DV10" s="64">
        <v>7.6</v>
      </c>
      <c r="EM10" s="56"/>
      <c r="EQ10" s="64">
        <v>7.6</v>
      </c>
      <c r="FH10" s="56"/>
      <c r="FL10" s="64">
        <v>7.6</v>
      </c>
      <c r="GC10" s="56"/>
      <c r="GG10" s="64">
        <v>7.6</v>
      </c>
      <c r="GX10" s="56"/>
      <c r="HB10" s="64">
        <v>7.6</v>
      </c>
      <c r="HS10" s="56"/>
      <c r="HW10" s="64">
        <v>7.6</v>
      </c>
      <c r="IN10" s="56"/>
      <c r="IR10" s="64">
        <v>7.6</v>
      </c>
      <c r="JI10" s="56"/>
      <c r="JM10" s="64">
        <v>7.6</v>
      </c>
      <c r="KD10" s="56"/>
      <c r="KH10" s="64">
        <v>7.6</v>
      </c>
      <c r="KY10" s="56"/>
      <c r="LC10" s="64">
        <v>7.6</v>
      </c>
      <c r="LT10" s="56"/>
      <c r="LX10" s="64">
        <v>7.6</v>
      </c>
    </row>
    <row r="11" spans="1:358" ht="17" x14ac:dyDescent="0.2">
      <c r="B11" s="91" t="s">
        <v>69</v>
      </c>
      <c r="N11" s="19"/>
      <c r="O11" s="19"/>
      <c r="P11" s="19"/>
      <c r="AH11" s="56"/>
      <c r="AL11" s="93">
        <v>7.9</v>
      </c>
      <c r="BD11" s="56"/>
      <c r="BH11" s="93">
        <v>7.9</v>
      </c>
      <c r="BZ11" s="56"/>
      <c r="CD11" s="93">
        <v>7.9</v>
      </c>
      <c r="CW11" s="56"/>
      <c r="DA11" s="93">
        <v>7.9</v>
      </c>
      <c r="DR11" s="56"/>
      <c r="DV11" s="93">
        <v>7.9</v>
      </c>
      <c r="EM11" s="56"/>
      <c r="EQ11" s="93">
        <v>7.9</v>
      </c>
      <c r="FH11" s="56"/>
      <c r="FL11" s="93">
        <v>7.9</v>
      </c>
      <c r="GC11" s="56"/>
      <c r="GG11" s="93">
        <v>7.9</v>
      </c>
      <c r="GX11" s="56"/>
      <c r="HB11" s="93">
        <v>7.9</v>
      </c>
      <c r="HS11" s="56"/>
      <c r="HW11" s="93">
        <v>7.9</v>
      </c>
      <c r="IN11" s="56"/>
      <c r="IR11" s="93">
        <v>7.9</v>
      </c>
      <c r="JI11" s="56"/>
      <c r="JM11" s="93">
        <v>7.9</v>
      </c>
      <c r="KD11" s="56"/>
      <c r="KH11" s="93">
        <v>7.9</v>
      </c>
      <c r="KY11" s="56"/>
      <c r="LC11" s="93">
        <v>7.9</v>
      </c>
      <c r="LT11" s="56"/>
      <c r="LX11" s="93">
        <v>7.9</v>
      </c>
    </row>
    <row r="12" spans="1:358" ht="17" x14ac:dyDescent="0.2">
      <c r="A12" s="56"/>
      <c r="B12" s="92" t="s">
        <v>86</v>
      </c>
      <c r="C12" s="55"/>
      <c r="N12" s="19"/>
      <c r="O12" s="19"/>
      <c r="P12" s="19"/>
      <c r="AH12" s="56"/>
      <c r="AL12" s="94">
        <v>10.6</v>
      </c>
      <c r="BD12" s="56"/>
      <c r="BH12" s="94">
        <v>10.6</v>
      </c>
      <c r="BZ12" s="56"/>
      <c r="CD12" s="94">
        <v>10.6</v>
      </c>
      <c r="CW12" s="56"/>
      <c r="DA12" s="94">
        <v>10.6</v>
      </c>
      <c r="DR12" s="56"/>
      <c r="DV12" s="94">
        <v>10.6</v>
      </c>
      <c r="EM12" s="56"/>
      <c r="EQ12" s="94">
        <v>10.6</v>
      </c>
      <c r="FH12" s="56"/>
      <c r="FL12" s="94">
        <v>10.6</v>
      </c>
      <c r="GC12" s="56"/>
      <c r="GG12" s="94">
        <v>10.6</v>
      </c>
      <c r="GX12" s="56"/>
      <c r="HB12" s="94">
        <v>10.6</v>
      </c>
      <c r="HS12" s="56"/>
      <c r="HW12" s="94">
        <v>10.6</v>
      </c>
      <c r="IN12" s="56"/>
      <c r="IR12" s="94">
        <v>10.6</v>
      </c>
      <c r="JI12" s="56"/>
      <c r="JM12" s="94">
        <v>10.6</v>
      </c>
      <c r="KD12" s="56"/>
      <c r="KH12" s="94">
        <v>10.6</v>
      </c>
      <c r="KY12" s="56"/>
      <c r="LC12" s="94">
        <v>10.6</v>
      </c>
      <c r="LT12" s="56"/>
      <c r="LX12" s="94">
        <v>10.6</v>
      </c>
    </row>
    <row r="13" spans="1:358" ht="17" x14ac:dyDescent="0.2">
      <c r="A13" s="56"/>
      <c r="B13" s="120" t="s">
        <v>102</v>
      </c>
      <c r="C13" s="55"/>
      <c r="N13" s="19"/>
      <c r="O13" s="19"/>
      <c r="P13" s="19"/>
      <c r="AH13" s="56"/>
      <c r="AL13" s="121">
        <v>11.2</v>
      </c>
      <c r="BD13" s="56"/>
      <c r="BH13" s="121">
        <v>11.2</v>
      </c>
      <c r="BZ13" s="56"/>
      <c r="CD13" s="121">
        <v>11.2</v>
      </c>
      <c r="CW13" s="56"/>
      <c r="DA13" s="121">
        <v>11.2</v>
      </c>
      <c r="DR13" s="56"/>
      <c r="DV13" s="121">
        <v>11.2</v>
      </c>
      <c r="EM13" s="56"/>
      <c r="EQ13" s="121">
        <v>11.2</v>
      </c>
      <c r="FH13" s="56"/>
      <c r="FL13" s="121">
        <v>11.2</v>
      </c>
      <c r="GC13" s="56"/>
      <c r="GG13" s="121">
        <v>11.2</v>
      </c>
      <c r="GX13" s="56"/>
      <c r="HB13" s="121">
        <v>11.2</v>
      </c>
      <c r="HS13" s="56"/>
      <c r="HW13" s="121">
        <v>11.2</v>
      </c>
      <c r="IN13" s="56"/>
      <c r="IR13" s="121">
        <v>11.2</v>
      </c>
      <c r="JI13" s="56"/>
      <c r="JM13" s="121">
        <v>11.2</v>
      </c>
      <c r="KD13" s="56"/>
      <c r="KH13" s="121">
        <v>11.2</v>
      </c>
      <c r="KY13" s="56"/>
      <c r="LC13" s="121">
        <v>11.2</v>
      </c>
      <c r="LT13" s="56"/>
      <c r="LX13" s="121">
        <v>11.2</v>
      </c>
    </row>
    <row r="14" spans="1:358" ht="17" x14ac:dyDescent="0.2">
      <c r="A14" s="56"/>
      <c r="B14" s="118" t="s">
        <v>67</v>
      </c>
      <c r="C14" s="55"/>
      <c r="N14" s="19"/>
      <c r="O14" s="19"/>
      <c r="P14" s="19"/>
      <c r="AH14" s="56"/>
      <c r="AL14" s="119">
        <v>60.4</v>
      </c>
      <c r="BD14" s="56"/>
      <c r="BH14" s="119">
        <v>60.4</v>
      </c>
      <c r="BZ14" s="56"/>
      <c r="CD14" s="119">
        <v>60.4</v>
      </c>
      <c r="CW14" s="56"/>
      <c r="DA14" s="119">
        <v>60.4</v>
      </c>
      <c r="DR14" s="56"/>
      <c r="DV14" s="119">
        <v>60.4</v>
      </c>
      <c r="EM14" s="56"/>
      <c r="EQ14" s="119">
        <v>60.4</v>
      </c>
      <c r="FH14" s="56"/>
      <c r="FL14" s="119">
        <v>60.4</v>
      </c>
      <c r="GC14" s="56"/>
      <c r="GG14" s="119">
        <v>60.4</v>
      </c>
      <c r="GX14" s="56"/>
      <c r="HB14" s="119">
        <v>60.4</v>
      </c>
      <c r="HS14" s="56"/>
      <c r="HW14" s="119">
        <v>60.4</v>
      </c>
      <c r="IN14" s="56"/>
      <c r="IR14" s="119">
        <v>60.4</v>
      </c>
      <c r="JI14" s="56"/>
      <c r="JM14" s="119">
        <v>60.4</v>
      </c>
      <c r="KD14" s="56"/>
      <c r="KH14" s="119">
        <v>60.4</v>
      </c>
      <c r="KY14" s="56"/>
      <c r="LC14" s="119">
        <v>60.4</v>
      </c>
      <c r="LT14" s="56"/>
      <c r="LX14" s="119">
        <v>60.4</v>
      </c>
    </row>
    <row r="15" spans="1:358" ht="17" x14ac:dyDescent="0.2">
      <c r="A15" s="56"/>
      <c r="B15" s="72" t="s">
        <v>68</v>
      </c>
      <c r="C15" s="55"/>
      <c r="N15" s="19"/>
      <c r="O15" s="19"/>
      <c r="P15" s="19"/>
      <c r="AH15" s="56"/>
      <c r="AL15" s="66">
        <v>61.6</v>
      </c>
      <c r="BD15" s="56"/>
      <c r="BH15" s="66">
        <v>61.6</v>
      </c>
      <c r="BZ15" s="56"/>
      <c r="CD15" s="66">
        <v>61.6</v>
      </c>
      <c r="CW15" s="56"/>
      <c r="DA15" s="66">
        <v>61.6</v>
      </c>
      <c r="DR15" s="56"/>
      <c r="DV15" s="66">
        <v>61.6</v>
      </c>
      <c r="EM15" s="56"/>
      <c r="EQ15" s="66">
        <v>61.6</v>
      </c>
      <c r="FH15" s="56"/>
      <c r="FL15" s="66">
        <v>61.6</v>
      </c>
      <c r="GC15" s="56"/>
      <c r="GG15" s="66">
        <v>61.6</v>
      </c>
      <c r="GX15" s="56"/>
      <c r="HB15" s="66">
        <v>61.6</v>
      </c>
      <c r="HS15" s="56"/>
      <c r="HW15" s="66">
        <v>61.6</v>
      </c>
      <c r="IN15" s="56"/>
      <c r="IR15" s="66">
        <v>61.6</v>
      </c>
      <c r="JI15" s="56"/>
      <c r="JM15" s="66">
        <v>61.6</v>
      </c>
      <c r="KD15" s="56"/>
      <c r="KH15" s="66">
        <v>61.6</v>
      </c>
      <c r="KY15" s="56"/>
      <c r="LC15" s="66">
        <v>61.6</v>
      </c>
      <c r="LT15" s="56"/>
      <c r="LX15" s="66">
        <v>61.6</v>
      </c>
    </row>
    <row r="16" spans="1:358" ht="17" x14ac:dyDescent="0.2">
      <c r="A16" s="56"/>
      <c r="B16" s="116" t="s">
        <v>84</v>
      </c>
      <c r="C16" s="55"/>
      <c r="N16" s="19"/>
      <c r="O16" s="19"/>
      <c r="P16" s="19"/>
      <c r="AH16" s="56"/>
      <c r="AL16" s="117">
        <v>63.7</v>
      </c>
      <c r="BD16" s="56"/>
      <c r="BH16" s="117">
        <v>63.7</v>
      </c>
      <c r="BZ16" s="56"/>
      <c r="CD16" s="117">
        <v>63.7</v>
      </c>
      <c r="CW16" s="56"/>
      <c r="DA16" s="117">
        <v>63.7</v>
      </c>
      <c r="DR16" s="56"/>
      <c r="DV16" s="117">
        <v>63.7</v>
      </c>
      <c r="EM16" s="56"/>
      <c r="EQ16" s="117">
        <v>63.7</v>
      </c>
      <c r="FH16" s="56"/>
      <c r="FL16" s="117">
        <v>63.7</v>
      </c>
      <c r="GC16" s="56"/>
      <c r="GG16" s="117">
        <v>63.7</v>
      </c>
      <c r="GX16" s="56"/>
      <c r="HB16" s="117">
        <v>63.7</v>
      </c>
      <c r="HS16" s="56"/>
      <c r="HW16" s="117">
        <v>63.7</v>
      </c>
      <c r="IN16" s="56"/>
      <c r="IR16" s="117">
        <v>63.7</v>
      </c>
      <c r="JI16" s="56"/>
      <c r="JM16" s="117">
        <v>63.7</v>
      </c>
      <c r="KD16" s="56"/>
      <c r="KH16" s="117">
        <v>63.7</v>
      </c>
      <c r="KY16" s="56"/>
      <c r="LC16" s="117">
        <v>63.7</v>
      </c>
      <c r="LT16" s="56"/>
      <c r="LX16" s="117">
        <v>63.7</v>
      </c>
    </row>
    <row r="17" spans="1:336" ht="17" x14ac:dyDescent="0.2">
      <c r="A17" s="56"/>
      <c r="B17" s="74" t="s">
        <v>51</v>
      </c>
      <c r="C17" s="55"/>
      <c r="N17" s="19"/>
      <c r="O17" s="19"/>
      <c r="P17" s="19"/>
      <c r="AH17" s="56"/>
      <c r="AL17" s="68">
        <v>64.900000000000006</v>
      </c>
      <c r="BD17" s="56"/>
      <c r="BH17" s="68">
        <v>64.900000000000006</v>
      </c>
      <c r="BZ17" s="56"/>
      <c r="CD17" s="68">
        <v>64.900000000000006</v>
      </c>
      <c r="CW17" s="56"/>
      <c r="DA17" s="68">
        <v>64.900000000000006</v>
      </c>
      <c r="DR17" s="56"/>
      <c r="DV17" s="68">
        <v>64.900000000000006</v>
      </c>
      <c r="EM17" s="56"/>
      <c r="EQ17" s="68">
        <v>64.900000000000006</v>
      </c>
      <c r="FH17" s="56"/>
      <c r="FL17" s="68">
        <v>64.900000000000006</v>
      </c>
      <c r="GC17" s="56"/>
      <c r="GG17" s="68">
        <v>64.900000000000006</v>
      </c>
      <c r="GX17" s="56"/>
      <c r="HB17" s="68">
        <v>64.900000000000006</v>
      </c>
      <c r="HS17" s="56"/>
      <c r="HW17" s="68">
        <v>64.900000000000006</v>
      </c>
      <c r="IN17" s="56"/>
      <c r="IR17" s="68">
        <v>64.900000000000006</v>
      </c>
      <c r="JI17" s="56"/>
      <c r="JM17" s="68">
        <v>64.900000000000006</v>
      </c>
      <c r="KD17" s="56"/>
      <c r="KH17" s="68">
        <v>64.900000000000006</v>
      </c>
      <c r="KY17" s="56"/>
      <c r="LC17" s="68">
        <v>64.900000000000006</v>
      </c>
      <c r="LT17" s="56"/>
      <c r="LX17" s="68">
        <v>64.900000000000006</v>
      </c>
    </row>
    <row r="18" spans="1:336" x14ac:dyDescent="0.2">
      <c r="B18" s="82" t="s">
        <v>75</v>
      </c>
      <c r="C18" s="2"/>
    </row>
    <row r="19" spans="1:336" x14ac:dyDescent="0.2">
      <c r="A19" s="56"/>
      <c r="B19" s="56"/>
      <c r="C19" s="55"/>
    </row>
    <row r="20" spans="1:336" x14ac:dyDescent="0.2">
      <c r="A20" s="56"/>
      <c r="B20" s="56"/>
      <c r="C20" s="55"/>
    </row>
    <row r="21" spans="1:336" x14ac:dyDescent="0.2">
      <c r="A21" s="56"/>
      <c r="B21" s="56"/>
      <c r="C21" s="55"/>
    </row>
    <row r="22" spans="1:336" x14ac:dyDescent="0.2">
      <c r="A22" s="6"/>
      <c r="B22" s="6"/>
      <c r="C22" s="6"/>
    </row>
  </sheetData>
  <sheetProtection sheet="1" formatCells="0" formatColumns="0" formatRows="0"/>
  <autoFilter ref="A1:MT6" xr:uid="{BB9C3AB3-2D15-174E-B900-3E2F789706E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7">
      <sortCondition descending="1" ref="F1:F8"/>
    </sortState>
  </autoFilter>
  <mergeCells count="97">
    <mergeCell ref="LY1:MT1"/>
    <mergeCell ref="LY2:MB2"/>
    <mergeCell ref="MC2:MF2"/>
    <mergeCell ref="MG2:MJ2"/>
    <mergeCell ref="MK2:MN2"/>
    <mergeCell ref="A1:A3"/>
    <mergeCell ref="AU2:AX2"/>
    <mergeCell ref="B1:B3"/>
    <mergeCell ref="C1:C3"/>
    <mergeCell ref="D1:D3"/>
    <mergeCell ref="E1:E3"/>
    <mergeCell ref="Q2:T2"/>
    <mergeCell ref="K1:K3"/>
    <mergeCell ref="M1:M3"/>
    <mergeCell ref="O1:O3"/>
    <mergeCell ref="P1:P3"/>
    <mergeCell ref="L1:L3"/>
    <mergeCell ref="N1:N3"/>
    <mergeCell ref="I1:I3"/>
    <mergeCell ref="G1:G3"/>
    <mergeCell ref="H1:H3"/>
    <mergeCell ref="J1:J3"/>
    <mergeCell ref="AY2:BB2"/>
    <mergeCell ref="Q1:AL1"/>
    <mergeCell ref="AM1:BH1"/>
    <mergeCell ref="U2:X2"/>
    <mergeCell ref="Y2:AB2"/>
    <mergeCell ref="AC2:AF2"/>
    <mergeCell ref="AM2:AP2"/>
    <mergeCell ref="AQ2:AT2"/>
    <mergeCell ref="HC2:HF2"/>
    <mergeCell ref="HG2:HJ2"/>
    <mergeCell ref="DW1:EQ1"/>
    <mergeCell ref="CK2:CN2"/>
    <mergeCell ref="CO2:CR2"/>
    <mergeCell ref="CS2:CV2"/>
    <mergeCell ref="GL2:GO2"/>
    <mergeCell ref="GP2:GS2"/>
    <mergeCell ref="GT2:GW2"/>
    <mergeCell ref="DB1:DV1"/>
    <mergeCell ref="DB2:DE2"/>
    <mergeCell ref="DF2:DI2"/>
    <mergeCell ref="DJ2:DM2"/>
    <mergeCell ref="DN2:DQ2"/>
    <mergeCell ref="CE1:CF1"/>
    <mergeCell ref="CG1:DA1"/>
    <mergeCell ref="FM2:FP2"/>
    <mergeCell ref="GH2:GK2"/>
    <mergeCell ref="EI2:EL2"/>
    <mergeCell ref="ER2:EU2"/>
    <mergeCell ref="EV2:EY2"/>
    <mergeCell ref="EZ2:FC2"/>
    <mergeCell ref="FD2:FG2"/>
    <mergeCell ref="IS1:JM1"/>
    <mergeCell ref="JN1:KH1"/>
    <mergeCell ref="KI1:LC1"/>
    <mergeCell ref="LD1:LX1"/>
    <mergeCell ref="IF2:II2"/>
    <mergeCell ref="IJ2:IM2"/>
    <mergeCell ref="IS2:IV2"/>
    <mergeCell ref="IW2:IZ2"/>
    <mergeCell ref="JA2:JD2"/>
    <mergeCell ref="HX1:IR1"/>
    <mergeCell ref="JE2:JH2"/>
    <mergeCell ref="JN2:JQ2"/>
    <mergeCell ref="JR2:JU2"/>
    <mergeCell ref="JV2:JY2"/>
    <mergeCell ref="JZ2:KC2"/>
    <mergeCell ref="LH2:LK2"/>
    <mergeCell ref="LL2:LO2"/>
    <mergeCell ref="LP2:LS2"/>
    <mergeCell ref="KI2:KL2"/>
    <mergeCell ref="KM2:KP2"/>
    <mergeCell ref="KQ2:KT2"/>
    <mergeCell ref="KU2:KX2"/>
    <mergeCell ref="LD2:LG2"/>
    <mergeCell ref="F1:F3"/>
    <mergeCell ref="HK2:HN2"/>
    <mergeCell ref="HO2:HR2"/>
    <mergeCell ref="HX2:IA2"/>
    <mergeCell ref="IB2:IE2"/>
    <mergeCell ref="FQ2:FT2"/>
    <mergeCell ref="FU2:FX2"/>
    <mergeCell ref="FY2:GB2"/>
    <mergeCell ref="ER1:FL1"/>
    <mergeCell ref="FM1:GG1"/>
    <mergeCell ref="GH1:HB1"/>
    <mergeCell ref="HC1:HW1"/>
    <mergeCell ref="DW2:DZ2"/>
    <mergeCell ref="EA2:ED2"/>
    <mergeCell ref="EE2:EH2"/>
    <mergeCell ref="CG2:CJ2"/>
    <mergeCell ref="BI1:CD1"/>
    <mergeCell ref="BI2:BL2"/>
    <mergeCell ref="BM2:BP2"/>
    <mergeCell ref="BQ2:BT2"/>
    <mergeCell ref="BU2:BX2"/>
  </mergeCells>
  <conditionalFormatting sqref="Q4:AL7">
    <cfRule type="expression" dxfId="59" priority="1" stopIfTrue="1">
      <formula>IF($AG4&lt;&gt;"",1,0)</formula>
    </cfRule>
  </conditionalFormatting>
  <conditionalFormatting sqref="AM4:BH7">
    <cfRule type="expression" dxfId="58" priority="2" stopIfTrue="1">
      <formula>IF($BC4&lt;&gt;"",1,0)</formula>
    </cfRule>
  </conditionalFormatting>
  <conditionalFormatting sqref="M1:M1048576 K1:K1048576">
    <cfRule type="expression" dxfId="57" priority="36244">
      <formula>IF(K1=$BI$1,1,0)</formula>
    </cfRule>
    <cfRule type="expression" dxfId="56" priority="36245">
      <formula>IF(K1=$AM$1,1,0)</formula>
    </cfRule>
    <cfRule type="expression" dxfId="55" priority="36246">
      <formula>IF(K1=$Q$1,1,0)</formula>
    </cfRule>
  </conditionalFormatting>
  <conditionalFormatting sqref="BI4:CD7">
    <cfRule type="expression" dxfId="54" priority="3" stopIfTrue="1">
      <formula>IF($BY4&lt;&gt;"",1,0)</formula>
    </cfRule>
  </conditionalFormatting>
  <conditionalFormatting sqref="A1:A1048576">
    <cfRule type="expression" dxfId="53" priority="38431">
      <formula>AND(G1="P",F1="")</formula>
    </cfRule>
  </conditionalFormatting>
  <conditionalFormatting sqref="H1:H1048576">
    <cfRule type="containsText" dxfId="52" priority="5" operator="containsText" text="No DD">
      <formula>NOT(ISERROR(SEARCH("No DD",H1)))</formula>
    </cfRule>
    <cfRule type="containsText" dxfId="51" priority="6" operator="containsText" text="Merit">
      <formula>NOT(ISERROR(SEARCH("Merit",H1)))</formula>
    </cfRule>
    <cfRule type="containsText" dxfId="50" priority="14" operator="containsText" text="Excellence">
      <formula>NOT(ISERROR(SEARCH("Excellence",H1)))</formula>
    </cfRule>
    <cfRule type="containsText" dxfId="49" priority="15" operator="containsText" text="Worlds Team">
      <formula>NOT(ISERROR(SEARCH("Worlds Team",H1)))</formula>
    </cfRule>
    <cfRule type="containsText" dxfId="48" priority="16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47" priority="49838" operator="between">
      <formula>AL$13</formula>
      <formula>1000</formula>
    </cfRule>
    <cfRule type="cellIs" dxfId="46" priority="49839" operator="between">
      <formula>AL$12</formula>
      <formula>AL$13</formula>
    </cfRule>
    <cfRule type="cellIs" dxfId="45" priority="49840" operator="between">
      <formula>AL$11</formula>
      <formula>AL$12</formula>
    </cfRule>
    <cfRule type="cellIs" dxfId="44" priority="49841" operator="between">
      <formula>AL$10</formula>
      <formula>AL$11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43" priority="50018" operator="between">
      <formula>AL$17</formula>
      <formula>1000</formula>
    </cfRule>
    <cfRule type="cellIs" dxfId="42" priority="50019" operator="between">
      <formula>AL$16</formula>
      <formula>AL$17</formula>
    </cfRule>
    <cfRule type="cellIs" dxfId="41" priority="50020" operator="between">
      <formula>AL$15</formula>
      <formula>AL$16</formula>
    </cfRule>
    <cfRule type="cellIs" dxfId="40" priority="50021" operator="between">
      <formula>AL$14</formula>
      <formula>AL$15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7"/>
  <dimension ref="A1:MT29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1640625" bestFit="1" customWidth="1"/>
    <col min="11" max="11" width="27" bestFit="1" customWidth="1"/>
    <col min="13" max="13" width="27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57" width="10.83203125" customWidth="1"/>
    <col min="59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78"/>
      <c r="AH2" s="87" t="s">
        <v>29</v>
      </c>
      <c r="AI2" s="9" t="s">
        <v>28</v>
      </c>
      <c r="AJ2" s="58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79"/>
      <c r="BD2" s="88" t="s">
        <v>29</v>
      </c>
      <c r="BE2" s="12" t="s">
        <v>28</v>
      </c>
      <c r="BF2" s="88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87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88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87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88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87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9" t="s">
        <v>29</v>
      </c>
      <c r="GY2" s="16" t="s">
        <v>28</v>
      </c>
      <c r="GZ2" s="89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90" t="s">
        <v>29</v>
      </c>
      <c r="HT2" s="17" t="s">
        <v>28</v>
      </c>
      <c r="HU2" s="90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9" t="s">
        <v>29</v>
      </c>
      <c r="IO2" s="16" t="s">
        <v>28</v>
      </c>
      <c r="IP2" s="89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90" t="s">
        <v>29</v>
      </c>
      <c r="JJ2" s="17" t="s">
        <v>28</v>
      </c>
      <c r="JK2" s="90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9" t="s">
        <v>29</v>
      </c>
      <c r="KE2" s="16" t="s">
        <v>28</v>
      </c>
      <c r="KF2" s="89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90" t="s">
        <v>29</v>
      </c>
      <c r="KZ2" s="17" t="s">
        <v>28</v>
      </c>
      <c r="LA2" s="90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9" t="s">
        <v>29</v>
      </c>
      <c r="LU2" s="16" t="s">
        <v>28</v>
      </c>
      <c r="LV2" s="89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58" t="s">
        <v>19</v>
      </c>
      <c r="R3" s="58" t="s">
        <v>11</v>
      </c>
      <c r="S3" s="58" t="s">
        <v>40</v>
      </c>
      <c r="T3" s="58" t="s">
        <v>41</v>
      </c>
      <c r="U3" s="58" t="s">
        <v>19</v>
      </c>
      <c r="V3" s="58" t="s">
        <v>11</v>
      </c>
      <c r="W3" s="58" t="s">
        <v>40</v>
      </c>
      <c r="X3" s="58" t="s">
        <v>41</v>
      </c>
      <c r="Y3" s="58" t="s">
        <v>19</v>
      </c>
      <c r="Z3" s="58" t="s">
        <v>11</v>
      </c>
      <c r="AA3" s="58" t="s">
        <v>40</v>
      </c>
      <c r="AB3" s="58" t="s">
        <v>41</v>
      </c>
      <c r="AC3" s="61" t="s">
        <v>19</v>
      </c>
      <c r="AD3" s="61" t="s">
        <v>11</v>
      </c>
      <c r="AE3" s="61" t="s">
        <v>40</v>
      </c>
      <c r="AF3" s="61" t="s">
        <v>41</v>
      </c>
      <c r="AG3" s="78" t="s">
        <v>73</v>
      </c>
      <c r="AH3" s="10"/>
      <c r="AI3" s="9"/>
      <c r="AJ3" s="10"/>
      <c r="AK3" s="10"/>
      <c r="AL3" s="10"/>
      <c r="AM3" s="57" t="s">
        <v>19</v>
      </c>
      <c r="AN3" s="57" t="s">
        <v>11</v>
      </c>
      <c r="AO3" s="57" t="s">
        <v>40</v>
      </c>
      <c r="AP3" s="57" t="s">
        <v>41</v>
      </c>
      <c r="AQ3" s="57" t="s">
        <v>19</v>
      </c>
      <c r="AR3" s="57" t="s">
        <v>11</v>
      </c>
      <c r="AS3" s="57" t="s">
        <v>40</v>
      </c>
      <c r="AT3" s="57" t="s">
        <v>41</v>
      </c>
      <c r="AU3" s="57" t="s">
        <v>19</v>
      </c>
      <c r="AV3" s="57" t="s">
        <v>11</v>
      </c>
      <c r="AW3" s="57" t="s">
        <v>40</v>
      </c>
      <c r="AX3" s="57" t="s">
        <v>41</v>
      </c>
      <c r="AY3" s="62" t="s">
        <v>19</v>
      </c>
      <c r="AZ3" s="62" t="s">
        <v>11</v>
      </c>
      <c r="BA3" s="62" t="s">
        <v>40</v>
      </c>
      <c r="BB3" s="62" t="s">
        <v>41</v>
      </c>
      <c r="BC3" s="79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58" t="s">
        <v>19</v>
      </c>
      <c r="CH3" s="58" t="s">
        <v>11</v>
      </c>
      <c r="CI3" s="58" t="s">
        <v>40</v>
      </c>
      <c r="CJ3" s="58" t="s">
        <v>41</v>
      </c>
      <c r="CK3" s="58" t="s">
        <v>19</v>
      </c>
      <c r="CL3" s="58" t="s">
        <v>11</v>
      </c>
      <c r="CM3" s="58" t="s">
        <v>40</v>
      </c>
      <c r="CN3" s="58" t="s">
        <v>41</v>
      </c>
      <c r="CO3" s="58" t="s">
        <v>19</v>
      </c>
      <c r="CP3" s="58" t="s">
        <v>11</v>
      </c>
      <c r="CQ3" s="58" t="s">
        <v>40</v>
      </c>
      <c r="CR3" s="58" t="s">
        <v>41</v>
      </c>
      <c r="CS3" s="61" t="s">
        <v>19</v>
      </c>
      <c r="CT3" s="61" t="s">
        <v>11</v>
      </c>
      <c r="CU3" s="61" t="s">
        <v>40</v>
      </c>
      <c r="CV3" s="61" t="s">
        <v>41</v>
      </c>
      <c r="CW3" s="10"/>
      <c r="CX3" s="9"/>
      <c r="CY3" s="10"/>
      <c r="CZ3" s="10"/>
      <c r="DA3" s="10"/>
      <c r="DB3" s="62" t="s">
        <v>19</v>
      </c>
      <c r="DC3" s="62" t="s">
        <v>11</v>
      </c>
      <c r="DD3" s="62" t="s">
        <v>40</v>
      </c>
      <c r="DE3" s="62" t="s">
        <v>41</v>
      </c>
      <c r="DF3" s="62" t="s">
        <v>19</v>
      </c>
      <c r="DG3" s="62" t="s">
        <v>11</v>
      </c>
      <c r="DH3" s="62" t="s">
        <v>40</v>
      </c>
      <c r="DI3" s="62" t="s">
        <v>41</v>
      </c>
      <c r="DJ3" s="62" t="s">
        <v>19</v>
      </c>
      <c r="DK3" s="62" t="s">
        <v>11</v>
      </c>
      <c r="DL3" s="62" t="s">
        <v>40</v>
      </c>
      <c r="DM3" s="62" t="s">
        <v>41</v>
      </c>
      <c r="DN3" s="62" t="s">
        <v>19</v>
      </c>
      <c r="DO3" s="62" t="s">
        <v>11</v>
      </c>
      <c r="DP3" s="62" t="s">
        <v>40</v>
      </c>
      <c r="DQ3" s="62" t="s">
        <v>41</v>
      </c>
      <c r="DR3" s="13"/>
      <c r="DS3" s="16"/>
      <c r="DT3" s="13"/>
      <c r="DU3" s="16"/>
      <c r="DV3" s="16"/>
      <c r="DW3" s="61" t="s">
        <v>19</v>
      </c>
      <c r="DX3" s="61" t="s">
        <v>11</v>
      </c>
      <c r="DY3" s="61" t="s">
        <v>40</v>
      </c>
      <c r="DZ3" s="61" t="s">
        <v>41</v>
      </c>
      <c r="EA3" s="61" t="s">
        <v>19</v>
      </c>
      <c r="EB3" s="61" t="s">
        <v>11</v>
      </c>
      <c r="EC3" s="61" t="s">
        <v>40</v>
      </c>
      <c r="ED3" s="61" t="s">
        <v>41</v>
      </c>
      <c r="EE3" s="61" t="s">
        <v>19</v>
      </c>
      <c r="EF3" s="61" t="s">
        <v>11</v>
      </c>
      <c r="EG3" s="61" t="s">
        <v>40</v>
      </c>
      <c r="EH3" s="61" t="s">
        <v>41</v>
      </c>
      <c r="EI3" s="61" t="s">
        <v>19</v>
      </c>
      <c r="EJ3" s="61" t="s">
        <v>11</v>
      </c>
      <c r="EK3" s="61" t="s">
        <v>40</v>
      </c>
      <c r="EL3" s="61" t="s">
        <v>41</v>
      </c>
      <c r="EM3" s="10"/>
      <c r="EN3" s="17"/>
      <c r="EO3" s="10"/>
      <c r="EP3" s="17"/>
      <c r="EQ3" s="17"/>
      <c r="ER3" s="62" t="s">
        <v>19</v>
      </c>
      <c r="ES3" s="62" t="s">
        <v>11</v>
      </c>
      <c r="ET3" s="62" t="s">
        <v>40</v>
      </c>
      <c r="EU3" s="62" t="s">
        <v>41</v>
      </c>
      <c r="EV3" s="62" t="s">
        <v>19</v>
      </c>
      <c r="EW3" s="62" t="s">
        <v>11</v>
      </c>
      <c r="EX3" s="62" t="s">
        <v>40</v>
      </c>
      <c r="EY3" s="62" t="s">
        <v>41</v>
      </c>
      <c r="EZ3" s="62" t="s">
        <v>19</v>
      </c>
      <c r="FA3" s="62" t="s">
        <v>11</v>
      </c>
      <c r="FB3" s="62" t="s">
        <v>40</v>
      </c>
      <c r="FC3" s="62" t="s">
        <v>41</v>
      </c>
      <c r="FD3" s="62" t="s">
        <v>19</v>
      </c>
      <c r="FE3" s="62" t="s">
        <v>11</v>
      </c>
      <c r="FF3" s="62" t="s">
        <v>40</v>
      </c>
      <c r="FG3" s="62" t="s">
        <v>41</v>
      </c>
      <c r="FH3" s="13"/>
      <c r="FI3" s="16"/>
      <c r="FJ3" s="13"/>
      <c r="FK3" s="16"/>
      <c r="FL3" s="16"/>
      <c r="FM3" s="34" t="s">
        <v>19</v>
      </c>
      <c r="FN3" s="34" t="s">
        <v>11</v>
      </c>
      <c r="FO3" s="34" t="s">
        <v>40</v>
      </c>
      <c r="FP3" s="34" t="s">
        <v>41</v>
      </c>
      <c r="FQ3" s="34" t="s">
        <v>19</v>
      </c>
      <c r="FR3" s="34" t="s">
        <v>11</v>
      </c>
      <c r="FS3" s="34" t="s">
        <v>40</v>
      </c>
      <c r="FT3" s="34" t="s">
        <v>41</v>
      </c>
      <c r="FU3" s="34" t="s">
        <v>19</v>
      </c>
      <c r="FV3" s="34" t="s">
        <v>11</v>
      </c>
      <c r="FW3" s="34" t="s">
        <v>40</v>
      </c>
      <c r="FX3" s="34" t="s">
        <v>41</v>
      </c>
      <c r="FY3" s="34" t="s">
        <v>19</v>
      </c>
      <c r="FZ3" s="34" t="s">
        <v>11</v>
      </c>
      <c r="GA3" s="34" t="s">
        <v>40</v>
      </c>
      <c r="GB3" s="34" t="s">
        <v>41</v>
      </c>
      <c r="GC3" s="10"/>
      <c r="GD3" s="17"/>
      <c r="GE3" s="10"/>
      <c r="GF3" s="17"/>
      <c r="GG3" s="17"/>
      <c r="GH3" s="33" t="s">
        <v>19</v>
      </c>
      <c r="GI3" s="33" t="s">
        <v>11</v>
      </c>
      <c r="GJ3" s="33" t="s">
        <v>40</v>
      </c>
      <c r="GK3" s="33" t="s">
        <v>41</v>
      </c>
      <c r="GL3" s="33" t="s">
        <v>19</v>
      </c>
      <c r="GM3" s="33" t="s">
        <v>11</v>
      </c>
      <c r="GN3" s="33" t="s">
        <v>40</v>
      </c>
      <c r="GO3" s="33" t="s">
        <v>41</v>
      </c>
      <c r="GP3" s="33" t="s">
        <v>19</v>
      </c>
      <c r="GQ3" s="33" t="s">
        <v>11</v>
      </c>
      <c r="GR3" s="33" t="s">
        <v>40</v>
      </c>
      <c r="GS3" s="33" t="s">
        <v>41</v>
      </c>
      <c r="GT3" s="33" t="s">
        <v>19</v>
      </c>
      <c r="GU3" s="33" t="s">
        <v>11</v>
      </c>
      <c r="GV3" s="33" t="s">
        <v>40</v>
      </c>
      <c r="GW3" s="33" t="s">
        <v>41</v>
      </c>
      <c r="GX3" s="13"/>
      <c r="GY3" s="16"/>
      <c r="GZ3" s="13"/>
      <c r="HA3" s="16"/>
      <c r="HB3" s="16"/>
      <c r="HC3" s="34" t="s">
        <v>19</v>
      </c>
      <c r="HD3" s="34" t="s">
        <v>11</v>
      </c>
      <c r="HE3" s="34" t="s">
        <v>40</v>
      </c>
      <c r="HF3" s="34" t="s">
        <v>41</v>
      </c>
      <c r="HG3" s="34" t="s">
        <v>19</v>
      </c>
      <c r="HH3" s="34" t="s">
        <v>11</v>
      </c>
      <c r="HI3" s="34" t="s">
        <v>40</v>
      </c>
      <c r="HJ3" s="34" t="s">
        <v>41</v>
      </c>
      <c r="HK3" s="34" t="s">
        <v>19</v>
      </c>
      <c r="HL3" s="34" t="s">
        <v>11</v>
      </c>
      <c r="HM3" s="34" t="s">
        <v>40</v>
      </c>
      <c r="HN3" s="34" t="s">
        <v>41</v>
      </c>
      <c r="HO3" s="34" t="s">
        <v>19</v>
      </c>
      <c r="HP3" s="34" t="s">
        <v>11</v>
      </c>
      <c r="HQ3" s="34" t="s">
        <v>40</v>
      </c>
      <c r="HR3" s="34" t="s">
        <v>41</v>
      </c>
      <c r="HS3" s="10"/>
      <c r="HT3" s="17"/>
      <c r="HU3" s="10"/>
      <c r="HV3" s="17"/>
      <c r="HW3" s="17"/>
      <c r="HX3" s="33" t="s">
        <v>19</v>
      </c>
      <c r="HY3" s="33" t="s">
        <v>11</v>
      </c>
      <c r="HZ3" s="33" t="s">
        <v>40</v>
      </c>
      <c r="IA3" s="33" t="s">
        <v>41</v>
      </c>
      <c r="IB3" s="33" t="s">
        <v>19</v>
      </c>
      <c r="IC3" s="33" t="s">
        <v>11</v>
      </c>
      <c r="ID3" s="33" t="s">
        <v>40</v>
      </c>
      <c r="IE3" s="33" t="s">
        <v>41</v>
      </c>
      <c r="IF3" s="33" t="s">
        <v>19</v>
      </c>
      <c r="IG3" s="33" t="s">
        <v>11</v>
      </c>
      <c r="IH3" s="33" t="s">
        <v>40</v>
      </c>
      <c r="II3" s="33" t="s">
        <v>41</v>
      </c>
      <c r="IJ3" s="33" t="s">
        <v>19</v>
      </c>
      <c r="IK3" s="33" t="s">
        <v>11</v>
      </c>
      <c r="IL3" s="33" t="s">
        <v>40</v>
      </c>
      <c r="IM3" s="33" t="s">
        <v>41</v>
      </c>
      <c r="IN3" s="13"/>
      <c r="IO3" s="16"/>
      <c r="IP3" s="13"/>
      <c r="IQ3" s="16"/>
      <c r="IR3" s="16"/>
      <c r="IS3" s="34" t="s">
        <v>19</v>
      </c>
      <c r="IT3" s="34" t="s">
        <v>11</v>
      </c>
      <c r="IU3" s="34" t="s">
        <v>40</v>
      </c>
      <c r="IV3" s="34" t="s">
        <v>41</v>
      </c>
      <c r="IW3" s="34" t="s">
        <v>19</v>
      </c>
      <c r="IX3" s="34" t="s">
        <v>11</v>
      </c>
      <c r="IY3" s="34" t="s">
        <v>40</v>
      </c>
      <c r="IZ3" s="34" t="s">
        <v>41</v>
      </c>
      <c r="JA3" s="34" t="s">
        <v>19</v>
      </c>
      <c r="JB3" s="34" t="s">
        <v>11</v>
      </c>
      <c r="JC3" s="34" t="s">
        <v>40</v>
      </c>
      <c r="JD3" s="34" t="s">
        <v>41</v>
      </c>
      <c r="JE3" s="34" t="s">
        <v>19</v>
      </c>
      <c r="JF3" s="34" t="s">
        <v>11</v>
      </c>
      <c r="JG3" s="34" t="s">
        <v>40</v>
      </c>
      <c r="JH3" s="34" t="s">
        <v>41</v>
      </c>
      <c r="JI3" s="10"/>
      <c r="JJ3" s="17"/>
      <c r="JK3" s="10"/>
      <c r="JL3" s="17"/>
      <c r="JM3" s="17"/>
      <c r="JN3" s="33" t="s">
        <v>19</v>
      </c>
      <c r="JO3" s="33" t="s">
        <v>11</v>
      </c>
      <c r="JP3" s="33" t="s">
        <v>40</v>
      </c>
      <c r="JQ3" s="33" t="s">
        <v>41</v>
      </c>
      <c r="JR3" s="33" t="s">
        <v>19</v>
      </c>
      <c r="JS3" s="33" t="s">
        <v>11</v>
      </c>
      <c r="JT3" s="33" t="s">
        <v>40</v>
      </c>
      <c r="JU3" s="33" t="s">
        <v>41</v>
      </c>
      <c r="JV3" s="33" t="s">
        <v>19</v>
      </c>
      <c r="JW3" s="33" t="s">
        <v>11</v>
      </c>
      <c r="JX3" s="33" t="s">
        <v>40</v>
      </c>
      <c r="JY3" s="33" t="s">
        <v>41</v>
      </c>
      <c r="JZ3" s="33" t="s">
        <v>19</v>
      </c>
      <c r="KA3" s="33" t="s">
        <v>11</v>
      </c>
      <c r="KB3" s="33" t="s">
        <v>40</v>
      </c>
      <c r="KC3" s="33" t="s">
        <v>41</v>
      </c>
      <c r="KD3" s="13"/>
      <c r="KE3" s="16"/>
      <c r="KF3" s="13"/>
      <c r="KG3" s="16"/>
      <c r="KH3" s="16"/>
      <c r="KI3" s="34" t="s">
        <v>19</v>
      </c>
      <c r="KJ3" s="34" t="s">
        <v>11</v>
      </c>
      <c r="KK3" s="34" t="s">
        <v>40</v>
      </c>
      <c r="KL3" s="34" t="s">
        <v>41</v>
      </c>
      <c r="KM3" s="34" t="s">
        <v>19</v>
      </c>
      <c r="KN3" s="34" t="s">
        <v>11</v>
      </c>
      <c r="KO3" s="34" t="s">
        <v>40</v>
      </c>
      <c r="KP3" s="34" t="s">
        <v>41</v>
      </c>
      <c r="KQ3" s="34" t="s">
        <v>19</v>
      </c>
      <c r="KR3" s="34" t="s">
        <v>11</v>
      </c>
      <c r="KS3" s="34" t="s">
        <v>40</v>
      </c>
      <c r="KT3" s="34" t="s">
        <v>41</v>
      </c>
      <c r="KU3" s="34" t="s">
        <v>19</v>
      </c>
      <c r="KV3" s="34" t="s">
        <v>11</v>
      </c>
      <c r="KW3" s="34" t="s">
        <v>40</v>
      </c>
      <c r="KX3" s="34" t="s">
        <v>41</v>
      </c>
      <c r="KY3" s="10"/>
      <c r="KZ3" s="17"/>
      <c r="LA3" s="10"/>
      <c r="LB3" s="17"/>
      <c r="LC3" s="17"/>
      <c r="LD3" s="33" t="s">
        <v>19</v>
      </c>
      <c r="LE3" s="33" t="s">
        <v>11</v>
      </c>
      <c r="LF3" s="33" t="s">
        <v>40</v>
      </c>
      <c r="LG3" s="33" t="s">
        <v>41</v>
      </c>
      <c r="LH3" s="33" t="s">
        <v>19</v>
      </c>
      <c r="LI3" s="33" t="s">
        <v>11</v>
      </c>
      <c r="LJ3" s="33" t="s">
        <v>40</v>
      </c>
      <c r="LK3" s="33" t="s">
        <v>41</v>
      </c>
      <c r="LL3" s="33" t="s">
        <v>19</v>
      </c>
      <c r="LM3" s="33" t="s">
        <v>11</v>
      </c>
      <c r="LN3" s="33" t="s">
        <v>40</v>
      </c>
      <c r="LO3" s="33" t="s">
        <v>41</v>
      </c>
      <c r="LP3" s="33" t="s">
        <v>19</v>
      </c>
      <c r="LQ3" s="33" t="s">
        <v>11</v>
      </c>
      <c r="LR3" s="33" t="s">
        <v>40</v>
      </c>
      <c r="LS3" s="33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IF(AND(F4="P",G4="P"),SUMPRODUCT((F$4:F$16="P")*(G$4:G$16="P")*(E$4:E$16&gt;E4))+1,IF(G4="P",SUMPRODUCT((F$4:F$16="")*(G$4:G$16="P")*(E$4:E$16&gt;E4))+1+SUMPRODUCT((F$4:F$16="P")*(G$4:G$16="P")),""))</f>
        <v>1</v>
      </c>
      <c r="B4" s="8" t="s">
        <v>101</v>
      </c>
      <c r="C4" s="4" t="s">
        <v>3</v>
      </c>
      <c r="D4" s="5">
        <v>2003</v>
      </c>
      <c r="E4" s="15">
        <f>SUM(J4:N4)</f>
        <v>222.89999999999998</v>
      </c>
      <c r="F4" s="3" t="str">
        <f>IF(OR(AND(AH4&gt;=AL$18,AI4&gt;=AL$22,AI4&lt;&gt;"",AG4=""),AND(BD4&gt;=BH$18,BE4&gt;=BH$22,BE4&lt;&gt;"",BC4=""),AND(BZ4&gt;=CD$18,CA4&gt;=CD$22,CA4&lt;&gt;"",BY4=""),AND(CW4&gt;=DA$18,CX4&gt;=DA$22,CX4&lt;&gt;""),AND(DR4&gt;=DV$18,DS4&gt;=DV$22,DS4&lt;&gt;""),AND(EM4&gt;=EQ$18,EN4&gt;=EQ$22,EN4&lt;&gt;""),AND(FH4&gt;=FL$18,FI4&gt;=FL$22,FI4&lt;&gt;""),AND(GC4&gt;=GG$18,GD4&gt;=GG$22,GD4&lt;&gt;""),AND(GX4&gt;=HB$18,GY4&gt;=HB$22,GY4&lt;&gt;""),AND(HS4&gt;=HW$18,HT4&gt;=HW$22,HT4&lt;&gt;""),AND(IN4&gt;=IR$18,IO4&gt;=IR$22,IO4&lt;&gt;""),AND(JI4&gt;=JM$18,JJ4&gt;=JM$22,JJ4&lt;&gt;""),AND(KD4&gt;=KH$18,KE4&gt;=KH$22,KE4&lt;&gt;""),AND(KY4&gt;=LC$18,KZ4&gt;=LC$22,KZ4&lt;&gt;""),AND(LT4&gt;=LX$18,LU4&gt;=LX$22,LU4&lt;&gt;"")),"P","")</f>
        <v>P</v>
      </c>
      <c r="G4" s="3" t="str">
        <f>IF(OR(AND(AI4&gt;=AL$22,AI4&lt;&gt;"",AG4=""),AND(BE4&gt;=BH$22,BE4&lt;&gt;"",BC4=""),AND(CA4&gt;=CD$22,CA4&lt;&gt;"",BY4=""),AND(CX4&gt;=DA$22,CX4&lt;&gt;""),AND(DS4&gt;=DV$22,DS4&lt;&gt;""),AND(EN4&gt;=EQ$22,EN4&lt;&gt;""),AND(FI4&gt;=FL$22,FI4&lt;&gt;""),AND(GD4&gt;=GG$22,GD4&lt;&gt;""),AND(GY4&gt;=HB$22,GY4&lt;&gt;""),AND(HT4&gt;=HW$22,HT4&lt;&gt;""),AND(IO4&gt;=IR$22,IO4&lt;&gt;""),AND(JJ4&gt;=JM$22,JJ4&lt;&gt;""),AND(KE4&gt;=KH$22,KE4&lt;&gt;""),AND(KZ4&gt;=LC$22,KZ4&lt;&gt;""),AND(LU4&gt;=LX$22,LU4&lt;&gt;"")),"P","")</f>
        <v>P</v>
      </c>
      <c r="H4" s="126" t="str">
        <f>IF(AND(G4="P",F4=""),"No DD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Merit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Excellence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Worlds Team",IF(OR(AND(AH4&gt;=AL$18,AH4&lt;&gt;"",AI4&gt;=AL$22,AI4&lt;&gt;"",AG4=""),AND(BD4&gt;=BH$18,BD4&lt;&gt;"",BE4&gt;=BH$22,BE4&lt;&gt;"",BC4=""),AND(BZ4&gt;=CD$18,BZ4&lt;&gt;"",CA4&gt;=CD$22,CA4&lt;&gt;"",BY4=""),AND(CW4&gt;=DA$18,CW4&lt;&gt;"",CX4&gt;=DA$22,CX4&lt;&gt;""),AND(DR4&gt;=DV$18,DR4&lt;&gt;"",DS4&gt;=DV$22,DS4&lt;&gt;""),AND(EM4&gt;=EQ$18,EM4&lt;&gt;"",EN4&gt;=EQ$22,EN4&lt;&gt;""),AND(FH4&gt;=FL$18,FH4&lt;&gt;"",FI4&gt;=FL$22,FI4&lt;&gt;""),AND(GC4&gt;=GG$18,GC4&lt;&gt;"",GD4&gt;=GG$22,GD4&lt;&gt;""),AND(GX4&gt;=HB$18,GX4&lt;&gt;"",GY4&gt;=HB$22,GY4&lt;&gt;""),AND(HS4&gt;=HW$18,HS4&lt;&gt;"",HT4&gt;=HW$22,HT4&lt;&gt;""),AND(IN4&gt;=IR$18,IN4&lt;&gt;"",IO4&gt;=IR$22,IO4&lt;&gt;""),AND(JI4&gt;=JM$18,JI4&lt;&gt;"",JJ4&gt;=JM$22,JJ4&lt;&gt;""),AND(KD4&gt;=KH$18,KD4&lt;&gt;"",KE4&gt;=KH$22,KE4&lt;&gt;""),AND(KY4&gt;=LC$18,KY4&lt;&gt;"",KZ4&gt;=LC$22,KZ4&lt;&gt;""),AND(LT4&gt;=LX$18,LT4&lt;&gt;"",LU4&gt;=LX$22,LU4&lt;&gt;"")),"National Team","")))))</f>
        <v>Merit</v>
      </c>
      <c r="I4" s="3" t="str">
        <f>IF(OR(H4="Worlds Team",H4="Excellence",H4="Merit"),"P","")</f>
        <v>P</v>
      </c>
      <c r="J4" s="14">
        <f>MAX(AI4,BE4,CA4)</f>
        <v>76.499999999999986</v>
      </c>
      <c r="K4" s="14" t="str">
        <f>IF(J4=0,"",IF(J4=CA4,$BI$1,IF(J4=BE4,$AM$1,IF(J4=AI4,$Q$1,""))))</f>
        <v>2021 Canadian Championships</v>
      </c>
      <c r="L4" s="14">
        <f>IF(J4=AI4,MAX(BH4,CD4),IF(J4=BE4,MAX(AL4,CD4),MAX(AL4,BH4)))</f>
        <v>146.4</v>
      </c>
      <c r="M4" s="14" t="str">
        <f>IF(L4=0,"",IF(AND(J4&lt;&gt;CA4,L4=CD4),$BI$1,IF(AND(J4&lt;&gt;BE4,L4=BH4),$AM$1,IF(L4=AL4,$Q$1,""))))</f>
        <v>2021 Elite Canada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25.2</v>
      </c>
      <c r="R4" s="69">
        <v>9.1999999999999993</v>
      </c>
      <c r="S4" s="69">
        <v>1.2</v>
      </c>
      <c r="T4" s="69">
        <v>0.3</v>
      </c>
      <c r="U4" s="69">
        <v>27.8</v>
      </c>
      <c r="V4" s="69">
        <v>9.1999999999999993</v>
      </c>
      <c r="W4" s="69">
        <v>1.2</v>
      </c>
      <c r="X4" s="69">
        <v>0.3</v>
      </c>
      <c r="Y4" s="69">
        <v>25.6</v>
      </c>
      <c r="Z4" s="69">
        <v>8.1</v>
      </c>
      <c r="AA4" s="69">
        <v>0.3</v>
      </c>
      <c r="AB4" s="69">
        <v>0.3</v>
      </c>
      <c r="AC4" s="69">
        <v>27.7</v>
      </c>
      <c r="AD4" s="69">
        <v>8.1</v>
      </c>
      <c r="AE4" s="69">
        <v>0</v>
      </c>
      <c r="AF4" s="69">
        <v>0</v>
      </c>
      <c r="AG4" s="80"/>
      <c r="AH4" s="11">
        <f>IF(SUM(R4,V4)&gt;0,SUM(R4,V4),"")</f>
        <v>18.399999999999999</v>
      </c>
      <c r="AI4" s="11">
        <f>IF(SUM(Q4:R4,T4:V4,X4)-SUM(S4,W4)&gt;0,SUM(Q4:R4,T4:V4,X4)-SUM(S4,W4),"")</f>
        <v>69.599999999999994</v>
      </c>
      <c r="AJ4" s="11">
        <f>IF(SUM(Z4,AD4)&gt;0,SUM(Z4,AD4),"")</f>
        <v>16.2</v>
      </c>
      <c r="AK4" s="11">
        <f>IF(SUM(Y4:Z4,AB4:AD4,AF4)-SUM(AA4,AE4)&gt;0,SUM(Y4:Z4,AB4:AD4,AF4)-SUM(AA4,AE4),"")</f>
        <v>69.5</v>
      </c>
      <c r="AL4" s="11">
        <f>IF(SUM(AI4,AK4)&gt;0,SUM(AI4,AK4),"")</f>
        <v>139.1</v>
      </c>
      <c r="AM4" s="38">
        <v>28.4</v>
      </c>
      <c r="AN4" s="38">
        <v>9.1999999999999993</v>
      </c>
      <c r="AO4" s="38">
        <v>0</v>
      </c>
      <c r="AP4" s="38">
        <v>0.3</v>
      </c>
      <c r="AQ4" s="38">
        <v>28.6</v>
      </c>
      <c r="AR4" s="38">
        <v>9.1999999999999993</v>
      </c>
      <c r="AS4" s="38">
        <v>0</v>
      </c>
      <c r="AT4" s="38">
        <v>0.3</v>
      </c>
      <c r="AU4" s="38">
        <v>28.3</v>
      </c>
      <c r="AV4" s="38">
        <v>8.1</v>
      </c>
      <c r="AW4" s="38">
        <v>0</v>
      </c>
      <c r="AX4" s="38">
        <v>0.3</v>
      </c>
      <c r="AY4" s="38">
        <v>27.3</v>
      </c>
      <c r="AZ4" s="38">
        <v>6.4</v>
      </c>
      <c r="BA4" s="38">
        <v>0</v>
      </c>
      <c r="BB4" s="38">
        <v>0</v>
      </c>
      <c r="BC4" s="81"/>
      <c r="BD4" s="14">
        <f>IF(SUM(AN4,AR4)&gt;0,SUM(AN4,AR4),"")</f>
        <v>18.399999999999999</v>
      </c>
      <c r="BE4" s="14">
        <f>IF(SUM(AM4:AN4,AP4:AR4,AT4)-SUM(AO4,AS4)&gt;0,SUM(AM4:AN4,AP4:AR4,AT4)-SUM(AO4,AS4),"")</f>
        <v>76</v>
      </c>
      <c r="BF4" s="14">
        <f>IF(SUM(AV4,AZ4)&gt;0,SUM(AV4,AZ4),"")</f>
        <v>14.5</v>
      </c>
      <c r="BG4" s="14">
        <f>IF(SUM(AU4:AV4,AX4:AZ4,BB4)-SUM(AW4,BA4)&gt;0,SUM(AU4:AV4,AX4:AZ4,BB4)-SUM(AW4,BA4),"")</f>
        <v>70.400000000000006</v>
      </c>
      <c r="BH4" s="14">
        <f>IF(SUM(BE4,BG4)&gt;0,SUM(BE4,BG4),"")</f>
        <v>146.4</v>
      </c>
      <c r="BI4" s="69">
        <v>28.9</v>
      </c>
      <c r="BJ4" s="69">
        <v>9.1999999999999993</v>
      </c>
      <c r="BK4" s="69">
        <v>0.3</v>
      </c>
      <c r="BL4" s="69">
        <v>0.3</v>
      </c>
      <c r="BM4" s="69">
        <v>28.9</v>
      </c>
      <c r="BN4" s="69">
        <v>9.1999999999999993</v>
      </c>
      <c r="BO4" s="69">
        <v>0</v>
      </c>
      <c r="BP4" s="69">
        <v>0.3</v>
      </c>
      <c r="BQ4" s="69">
        <v>20.5</v>
      </c>
      <c r="BR4" s="69">
        <v>2.8</v>
      </c>
      <c r="BS4" s="69">
        <v>0</v>
      </c>
      <c r="BT4" s="69">
        <v>0</v>
      </c>
      <c r="BU4" s="69">
        <v>20.7</v>
      </c>
      <c r="BV4" s="69">
        <v>3.6</v>
      </c>
      <c r="BW4" s="69">
        <v>0</v>
      </c>
      <c r="BX4" s="69">
        <v>0</v>
      </c>
      <c r="BY4" s="80"/>
      <c r="BZ4" s="11">
        <f>IF(SUM(BJ4,BN4)&gt;0,SUM(BJ4,BN4),"")</f>
        <v>18.399999999999999</v>
      </c>
      <c r="CA4" s="11">
        <f>IF(SUM(BI4:BJ4,BL4:BN4,BP4)-SUM(BK4,BO4)&gt;0,SUM(BI4:BJ4,BL4:BN4,BP4)-SUM(BK4,BO4),"")</f>
        <v>76.499999999999986</v>
      </c>
      <c r="CB4" s="11">
        <f>IF(SUM(BR4,BV4)&gt;0,SUM(BR4,BV4),"")</f>
        <v>6.4</v>
      </c>
      <c r="CC4" s="11">
        <f>IF(SUM(BQ4:BR4,BT4:BV4,BX4)-SUM(BS4,BW4)&gt;0,SUM(BQ4:BR4,BT4:BV4,BX4)-SUM(BS4,BW4),"")</f>
        <v>47.6</v>
      </c>
      <c r="CD4" s="11">
        <f>IF(SUM(CA4,CC4)&gt;0,SUM(CA4,CC4),"")</f>
        <v>124.1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28.65</v>
      </c>
      <c r="LZ4" s="69">
        <f>IF($BY4="P",BJ4,(BJ4+AN4)/2)</f>
        <v>9.1999999999999993</v>
      </c>
      <c r="MA4" s="69">
        <f>IF($BY4="P",BK4,(BK4+AO4)/2)</f>
        <v>0.15</v>
      </c>
      <c r="MB4" s="69">
        <f>IF($BY4="P",BL4,(BL4+AP4)/2)</f>
        <v>0.3</v>
      </c>
      <c r="MC4" s="69">
        <f>IF($BY4="P",BM4,(BM4+AQ4)/2)</f>
        <v>28.75</v>
      </c>
      <c r="MD4" s="69">
        <f>IF($BY4="P",BN4,(BN4+AR4)/2)</f>
        <v>9.1999999999999993</v>
      </c>
      <c r="ME4" s="69">
        <f>IF($BY4="P",BO4,(BO4+AS4)/2)</f>
        <v>0</v>
      </c>
      <c r="MF4" s="69">
        <f>IF($BY4="P",BP4,(BP4+AT4)/2)</f>
        <v>0.3</v>
      </c>
      <c r="MG4" s="69">
        <f>IF($BY4="P",BQ4,(BQ4+AU4)/2)</f>
        <v>24.4</v>
      </c>
      <c r="MH4" s="69">
        <f>IF($BY4="P",BR4,(BR4+AV4)/2)</f>
        <v>5.4499999999999993</v>
      </c>
      <c r="MI4" s="69">
        <f>IF($BY4="P",BS4,(BS4+AW4)/2)</f>
        <v>0</v>
      </c>
      <c r="MJ4" s="69">
        <f>IF($BY4="P",BT4,(BT4+AX4)/2)</f>
        <v>0.15</v>
      </c>
      <c r="MK4" s="69">
        <f>IF($BY4="P",BU4,(BU4+AY4)/2)</f>
        <v>24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18.399999999999999</v>
      </c>
      <c r="MQ4" s="11">
        <f>IF(SUM(LY4:LZ4,MB4:MD4,MF4)-SUM(MA4,ME4)&gt;0,SUM(LY4:LZ4,MB4:MD4,MF4)-SUM(MA4,ME4),"")</f>
        <v>76.249999999999986</v>
      </c>
      <c r="MR4" s="11">
        <f>IF(SUM(MH4,ML4)&gt;0,SUM(MH4,ML4),"")</f>
        <v>10.45</v>
      </c>
      <c r="MS4" s="11">
        <f>IF(SUM(MG4:MH4,MJ4:ML4,MN4)-SUM(MI4,MM4)&gt;0,SUM(MG4:MH4,MJ4:ML4,MN4)-SUM(MI4,MM4),"")</f>
        <v>59</v>
      </c>
      <c r="MT4" s="11">
        <f>IF(SUM(MQ4,MS4)&gt;0,SUM(MQ4,MS4),"")</f>
        <v>135.25</v>
      </c>
    </row>
    <row r="5" spans="1:358" x14ac:dyDescent="0.2">
      <c r="A5" s="5">
        <f>IF(AND(F5="P",G5="P"),SUMPRODUCT((F$4:F$16="P")*(G$4:G$16="P")*(E$4:E$16&gt;E5))+1,IF(G5="P",SUMPRODUCT((F$4:F$16="")*(G$4:G$16="P")*(E$4:E$16&gt;E5))+1+SUMPRODUCT((F$4:F$16="P")*(G$4:G$16="P")),""))</f>
        <v>2</v>
      </c>
      <c r="B5" s="8" t="s">
        <v>122</v>
      </c>
      <c r="C5" s="4" t="s">
        <v>6</v>
      </c>
      <c r="D5" s="5">
        <v>2003</v>
      </c>
      <c r="E5" s="15">
        <f>SUM(J5:N5)</f>
        <v>220.1</v>
      </c>
      <c r="F5" s="3" t="str">
        <f>IF(OR(AND(AH5&gt;=AL$18,AI5&gt;=AL$22,AI5&lt;&gt;"",AG5=""),AND(BD5&gt;=BH$18,BE5&gt;=BH$22,BE5&lt;&gt;"",BC5=""),AND(BZ5&gt;=CD$18,CA5&gt;=CD$22,CA5&lt;&gt;"",BY5=""),AND(CW5&gt;=DA$18,CX5&gt;=DA$22,CX5&lt;&gt;""),AND(DR5&gt;=DV$18,DS5&gt;=DV$22,DS5&lt;&gt;""),AND(EM5&gt;=EQ$18,EN5&gt;=EQ$22,EN5&lt;&gt;""),AND(FH5&gt;=FL$18,FI5&gt;=FL$22,FI5&lt;&gt;""),AND(GC5&gt;=GG$18,GD5&gt;=GG$22,GD5&lt;&gt;""),AND(GX5&gt;=HB$18,GY5&gt;=HB$22,GY5&lt;&gt;""),AND(HS5&gt;=HW$18,HT5&gt;=HW$22,HT5&lt;&gt;""),AND(IN5&gt;=IR$18,IO5&gt;=IR$22,IO5&lt;&gt;""),AND(JI5&gt;=JM$18,JJ5&gt;=JM$22,JJ5&lt;&gt;""),AND(KD5&gt;=KH$18,KE5&gt;=KH$22,KE5&lt;&gt;""),AND(KY5&gt;=LC$18,KZ5&gt;=LC$22,KZ5&lt;&gt;""),AND(LT5&gt;=LX$18,LU5&gt;=LX$22,LU5&lt;&gt;"")),"P","")</f>
        <v>P</v>
      </c>
      <c r="G5" s="3" t="str">
        <f>IF(OR(AND(AI5&gt;=AL$22,AI5&lt;&gt;"",AG5=""),AND(BE5&gt;=BH$22,BE5&lt;&gt;"",BC5=""),AND(CA5&gt;=CD$22,CA5&lt;&gt;"",BY5=""),AND(CX5&gt;=DA$22,CX5&lt;&gt;""),AND(DS5&gt;=DV$22,DS5&lt;&gt;""),AND(EN5&gt;=EQ$22,EN5&lt;&gt;""),AND(FI5&gt;=FL$22,FI5&lt;&gt;""),AND(GD5&gt;=GG$22,GD5&lt;&gt;""),AND(GY5&gt;=HB$22,GY5&lt;&gt;""),AND(HT5&gt;=HW$22,HT5&lt;&gt;""),AND(IO5&gt;=IR$22,IO5&lt;&gt;""),AND(JJ5&gt;=JM$22,JJ5&lt;&gt;""),AND(KE5&gt;=KH$22,KE5&lt;&gt;""),AND(KZ5&gt;=LC$22,KZ5&lt;&gt;""),AND(LU5&gt;=LX$22,LU5&lt;&gt;"")),"P","")</f>
        <v>P</v>
      </c>
      <c r="H5" s="126" t="str">
        <f>IF(AND(G5="P",F5=""),"No DD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Merit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Excellence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Worlds Team",IF(OR(AND(AH5&gt;=AL$18,AH5&lt;&gt;"",AI5&gt;=AL$22,AI5&lt;&gt;"",AG5=""),AND(BD5&gt;=BH$18,BD5&lt;&gt;"",BE5&gt;=BH$22,BE5&lt;&gt;"",BC5=""),AND(BZ5&gt;=CD$18,BZ5&lt;&gt;"",CA5&gt;=CD$22,CA5&lt;&gt;"",BY5=""),AND(CW5&gt;=DA$18,CW5&lt;&gt;"",CX5&gt;=DA$22,CX5&lt;&gt;""),AND(DR5&gt;=DV$18,DR5&lt;&gt;"",DS5&gt;=DV$22,DS5&lt;&gt;""),AND(EM5&gt;=EQ$18,EM5&lt;&gt;"",EN5&gt;=EQ$22,EN5&lt;&gt;""),AND(FH5&gt;=FL$18,FH5&lt;&gt;"",FI5&gt;=FL$22,FI5&lt;&gt;""),AND(GC5&gt;=GG$18,GC5&lt;&gt;"",GD5&gt;=GG$22,GD5&lt;&gt;""),AND(GX5&gt;=HB$18,GX5&lt;&gt;"",GY5&gt;=HB$22,GY5&lt;&gt;""),AND(HS5&gt;=HW$18,HS5&lt;&gt;"",HT5&gt;=HW$22,HT5&lt;&gt;""),AND(IN5&gt;=IR$18,IN5&lt;&gt;"",IO5&gt;=IR$22,IO5&lt;&gt;""),AND(JI5&gt;=JM$18,JI5&lt;&gt;"",JJ5&gt;=JM$22,JJ5&lt;&gt;""),AND(KD5&gt;=KH$18,KD5&lt;&gt;"",KE5&gt;=KH$22,KE5&lt;&gt;""),AND(KY5&gt;=LC$18,KY5&lt;&gt;"",KZ5&gt;=LC$22,KZ5&lt;&gt;""),AND(LT5&gt;=LX$18,LT5&lt;&gt;"",LU5&gt;=LX$22,LU5&lt;&gt;"")),"National Team","")))))</f>
        <v>Excellence</v>
      </c>
      <c r="I5" s="3" t="str">
        <f>IF(OR(H5="Worlds Team",H5="Excellence",H5="Merit"),"P","")</f>
        <v>P</v>
      </c>
      <c r="J5" s="14">
        <f>MAX(AI5,BE5,CA5)</f>
        <v>74.599999999999994</v>
      </c>
      <c r="K5" s="14" t="str">
        <f>IF(J5=0,"",IF(J5=CA5,$BI$1,IF(J5=BE5,$AM$1,IF(J5=AI5,$Q$1,""))))</f>
        <v>2021 Elite Canada</v>
      </c>
      <c r="L5" s="14">
        <f>IF(J5=AI5,MAX(BH5,CD5),IF(J5=BE5,MAX(AL5,CD5),MAX(AL5,BH5)))</f>
        <v>145.5</v>
      </c>
      <c r="M5" s="14" t="str">
        <f>IF(L5=0,"",IF(AND(J5&lt;&gt;CA5,L5=CD5),$BI$1,IF(AND(J5&lt;&gt;BE5,L5=BH5),$AM$1,IF(L5=AL5,$Q$1,""))))</f>
        <v>2021 2nd Virtual Technical Trial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28.8</v>
      </c>
      <c r="R5" s="69">
        <v>8</v>
      </c>
      <c r="S5" s="69">
        <v>0</v>
      </c>
      <c r="T5" s="69">
        <v>0.3</v>
      </c>
      <c r="U5" s="69">
        <v>28.6</v>
      </c>
      <c r="V5" s="69">
        <v>8.4</v>
      </c>
      <c r="W5" s="69">
        <v>0.9</v>
      </c>
      <c r="X5" s="69">
        <v>0</v>
      </c>
      <c r="Y5" s="69">
        <v>27.8</v>
      </c>
      <c r="Z5" s="69">
        <v>8.1</v>
      </c>
      <c r="AA5" s="69">
        <v>0</v>
      </c>
      <c r="AB5" s="69">
        <v>0</v>
      </c>
      <c r="AC5" s="69">
        <v>28</v>
      </c>
      <c r="AD5" s="69">
        <v>8.4</v>
      </c>
      <c r="AE5" s="69">
        <v>0.3</v>
      </c>
      <c r="AF5" s="69">
        <v>0.3</v>
      </c>
      <c r="AG5" s="80"/>
      <c r="AH5" s="11">
        <f>IF(SUM(R5,V5)&gt;0,SUM(R5,V5),"")</f>
        <v>16.399999999999999</v>
      </c>
      <c r="AI5" s="11">
        <f>IF(SUM(Q5:R5,T5:V5,X5)-SUM(S5,W5)&gt;0,SUM(Q5:R5,T5:V5,X5)-SUM(S5,W5),"")</f>
        <v>73.199999999999989</v>
      </c>
      <c r="AJ5" s="11">
        <f>IF(SUM(Z5,AD5)&gt;0,SUM(Z5,AD5),"")</f>
        <v>16.5</v>
      </c>
      <c r="AK5" s="11">
        <f>IF(SUM(Y5:Z5,AB5:AD5,AF5)-SUM(AA5,AE5)&gt;0,SUM(Y5:Z5,AB5:AD5,AF5)-SUM(AA5,AE5),"")</f>
        <v>72.3</v>
      </c>
      <c r="AL5" s="11">
        <f>IF(SUM(AI5,AK5)&gt;0,SUM(AI5,AK5),"")</f>
        <v>145.5</v>
      </c>
      <c r="AM5" s="38">
        <v>28.5</v>
      </c>
      <c r="AN5" s="38">
        <v>8.8000000000000007</v>
      </c>
      <c r="AO5" s="38">
        <v>0</v>
      </c>
      <c r="AP5" s="38">
        <v>0.3</v>
      </c>
      <c r="AQ5" s="38">
        <v>28.6</v>
      </c>
      <c r="AR5" s="38">
        <v>8.4</v>
      </c>
      <c r="AS5" s="38">
        <v>0</v>
      </c>
      <c r="AT5" s="38">
        <v>0</v>
      </c>
      <c r="AU5" s="38">
        <v>20.100000000000001</v>
      </c>
      <c r="AV5" s="38">
        <v>4.8</v>
      </c>
      <c r="AW5" s="38">
        <v>0</v>
      </c>
      <c r="AX5" s="38">
        <v>0.3</v>
      </c>
      <c r="AY5" s="38">
        <v>27.5</v>
      </c>
      <c r="AZ5" s="38">
        <v>8.9</v>
      </c>
      <c r="BA5" s="38">
        <v>0</v>
      </c>
      <c r="BB5" s="38">
        <v>0.3</v>
      </c>
      <c r="BC5" s="81"/>
      <c r="BD5" s="14">
        <f>IF(SUM(AN5,AR5)&gt;0,SUM(AN5,AR5),"")</f>
        <v>17.200000000000003</v>
      </c>
      <c r="BE5" s="14">
        <f>IF(SUM(AM5:AN5,AP5:AR5,AT5)-SUM(AO5,AS5)&gt;0,SUM(AM5:AN5,AP5:AR5,AT5)-SUM(AO5,AS5),"")</f>
        <v>74.599999999999994</v>
      </c>
      <c r="BF5" s="14">
        <f>IF(SUM(AV5,AZ5)&gt;0,SUM(AV5,AZ5),"")</f>
        <v>13.7</v>
      </c>
      <c r="BG5" s="14">
        <f>IF(SUM(AU5:AV5,AX5:AZ5,BB5)-SUM(AW5,BA5)&gt;0,SUM(AU5:AV5,AX5:AZ5,BB5)-SUM(AW5,BA5),"")</f>
        <v>61.9</v>
      </c>
      <c r="BH5" s="14">
        <f>IF(SUM(BE5,BG5)&gt;0,SUM(BE5,BG5),"")</f>
        <v>136.5</v>
      </c>
      <c r="BI5" s="69">
        <v>29</v>
      </c>
      <c r="BJ5" s="69">
        <v>9.1999999999999993</v>
      </c>
      <c r="BK5" s="69">
        <v>0</v>
      </c>
      <c r="BL5" s="69">
        <v>0.3</v>
      </c>
      <c r="BM5" s="69">
        <v>27.5</v>
      </c>
      <c r="BN5" s="69">
        <v>6.8</v>
      </c>
      <c r="BO5" s="69">
        <v>1.5</v>
      </c>
      <c r="BP5" s="69">
        <v>0</v>
      </c>
      <c r="BQ5" s="69">
        <v>29.2</v>
      </c>
      <c r="BR5" s="69">
        <v>7.2</v>
      </c>
      <c r="BS5" s="69">
        <v>0.9</v>
      </c>
      <c r="BT5" s="69">
        <v>0</v>
      </c>
      <c r="BU5" s="69">
        <v>28.7</v>
      </c>
      <c r="BV5" s="69">
        <v>7.2</v>
      </c>
      <c r="BW5" s="69">
        <v>0.9</v>
      </c>
      <c r="BX5" s="69">
        <v>0</v>
      </c>
      <c r="BY5" s="80"/>
      <c r="BZ5" s="11">
        <f>IF(SUM(BJ5,BN5)&gt;0,SUM(BJ5,BN5),"")</f>
        <v>16</v>
      </c>
      <c r="CA5" s="11">
        <f>IF(SUM(BI5:BJ5,BL5:BN5,BP5)-SUM(BK5,BO5)&gt;0,SUM(BI5:BJ5,BL5:BN5,BP5)-SUM(BK5,BO5),"")</f>
        <v>71.3</v>
      </c>
      <c r="CB5" s="11">
        <f>IF(SUM(BR5,BV5)&gt;0,SUM(BR5,BV5),"")</f>
        <v>14.4</v>
      </c>
      <c r="CC5" s="11">
        <f>IF(SUM(BQ5:BR5,BT5:BV5,BX5)-SUM(BS5,BW5)&gt;0,SUM(BQ5:BR5,BT5:BV5,BX5)-SUM(BS5,BW5),"")</f>
        <v>70.5</v>
      </c>
      <c r="CD5" s="11">
        <f>IF(SUM(CA5,CC5)&gt;0,SUM(CA5,CC5),"")</f>
        <v>141.80000000000001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28.75</v>
      </c>
      <c r="LZ5" s="69">
        <f>IF($BY5="P",BJ5,(BJ5+AN5)/2)</f>
        <v>9</v>
      </c>
      <c r="MA5" s="69">
        <f>IF($BY5="P",BK5,(BK5+AO5)/2)</f>
        <v>0</v>
      </c>
      <c r="MB5" s="69">
        <f>IF($BY5="P",BL5,(BL5+AP5)/2)</f>
        <v>0.3</v>
      </c>
      <c r="MC5" s="69">
        <f>IF($BY5="P",BM5,(BM5+AQ5)/2)</f>
        <v>28.05</v>
      </c>
      <c r="MD5" s="69">
        <f>IF($BY5="P",BN5,(BN5+AR5)/2)</f>
        <v>7.6</v>
      </c>
      <c r="ME5" s="69">
        <f>IF($BY5="P",BO5,(BO5+AS5)/2)</f>
        <v>0.75</v>
      </c>
      <c r="MF5" s="69">
        <f>IF($BY5="P",BP5,(BP5+AT5)/2)</f>
        <v>0</v>
      </c>
      <c r="MG5" s="69">
        <f>IF($BY5="P",BQ5,(BQ5+AU5)/2)</f>
        <v>24.65</v>
      </c>
      <c r="MH5" s="69">
        <f>IF($BY5="P",BR5,(BR5+AV5)/2)</f>
        <v>6</v>
      </c>
      <c r="MI5" s="69">
        <f>IF($BY5="P",BS5,(BS5+AW5)/2)</f>
        <v>0.45</v>
      </c>
      <c r="MJ5" s="69">
        <f>IF($BY5="P",BT5,(BT5+AX5)/2)</f>
        <v>0.15</v>
      </c>
      <c r="MK5" s="69">
        <f>IF($BY5="P",BU5,(BU5+AY5)/2)</f>
        <v>28.1</v>
      </c>
      <c r="ML5" s="69">
        <f>IF($BY5="P",BV5,(BV5+AZ5)/2)</f>
        <v>8.0500000000000007</v>
      </c>
      <c r="MM5" s="69">
        <f>IF($BY5="P",BW5,(BW5+BA5)/2)</f>
        <v>0.45</v>
      </c>
      <c r="MN5" s="69">
        <f>IF($BY5="P",BX5,(BX5+BB5)/2)</f>
        <v>0.15</v>
      </c>
      <c r="MO5" s="80" t="s">
        <v>74</v>
      </c>
      <c r="MP5" s="11">
        <f>IF(SUM(LZ5,MD5)&gt;0,SUM(LZ5,MD5),"")</f>
        <v>16.600000000000001</v>
      </c>
      <c r="MQ5" s="11">
        <f>IF(SUM(LY5:LZ5,MB5:MD5,MF5)-SUM(MA5,ME5)&gt;0,SUM(LY5:LZ5,MB5:MD5,MF5)-SUM(MA5,ME5),"")</f>
        <v>72.949999999999989</v>
      </c>
      <c r="MR5" s="11">
        <f>IF(SUM(MH5,ML5)&gt;0,SUM(MH5,ML5),"")</f>
        <v>14.05</v>
      </c>
      <c r="MS5" s="11">
        <f>IF(SUM(MG5:MH5,MJ5:ML5,MN5)-SUM(MI5,MM5)&gt;0,SUM(MG5:MH5,MJ5:ML5,MN5)-SUM(MI5,MM5),"")</f>
        <v>66.2</v>
      </c>
      <c r="MT5" s="11">
        <f>IF(SUM(MQ5,MS5)&gt;0,SUM(MQ5,MS5),"")</f>
        <v>139.14999999999998</v>
      </c>
    </row>
    <row r="6" spans="1:358" x14ac:dyDescent="0.2">
      <c r="A6" s="5">
        <f>IF(AND(F6="P",G6="P"),SUMPRODUCT((F$4:F$16="P")*(G$4:G$16="P")*(E$4:E$16&gt;E6))+1,IF(G6="P",SUMPRODUCT((F$4:F$16="")*(G$4:G$16="P")*(E$4:E$16&gt;E6))+1+SUMPRODUCT((F$4:F$16="P")*(G$4:G$16="P")),""))</f>
        <v>3</v>
      </c>
      <c r="B6" s="8" t="s">
        <v>114</v>
      </c>
      <c r="C6" s="4" t="s">
        <v>5</v>
      </c>
      <c r="D6" s="5">
        <v>2002</v>
      </c>
      <c r="E6" s="15">
        <f>SUM(J6:N6)</f>
        <v>212.1</v>
      </c>
      <c r="F6" s="3" t="str">
        <f>IF(OR(AND(AH6&gt;=AL$18,AI6&gt;=AL$22,AI6&lt;&gt;"",AG6=""),AND(BD6&gt;=BH$18,BE6&gt;=BH$22,BE6&lt;&gt;"",BC6=""),AND(BZ6&gt;=CD$18,CA6&gt;=CD$22,CA6&lt;&gt;"",BY6=""),AND(CW6&gt;=DA$18,CX6&gt;=DA$22,CX6&lt;&gt;""),AND(DR6&gt;=DV$18,DS6&gt;=DV$22,DS6&lt;&gt;""),AND(EM6&gt;=EQ$18,EN6&gt;=EQ$22,EN6&lt;&gt;""),AND(FH6&gt;=FL$18,FI6&gt;=FL$22,FI6&lt;&gt;""),AND(GC6&gt;=GG$18,GD6&gt;=GG$22,GD6&lt;&gt;""),AND(GX6&gt;=HB$18,GY6&gt;=HB$22,GY6&lt;&gt;""),AND(HS6&gt;=HW$18,HT6&gt;=HW$22,HT6&lt;&gt;""),AND(IN6&gt;=IR$18,IO6&gt;=IR$22,IO6&lt;&gt;""),AND(JI6&gt;=JM$18,JJ6&gt;=JM$22,JJ6&lt;&gt;""),AND(KD6&gt;=KH$18,KE6&gt;=KH$22,KE6&lt;&gt;""),AND(KY6&gt;=LC$18,KZ6&gt;=LC$22,KZ6&lt;&gt;""),AND(LT6&gt;=LX$18,LU6&gt;=LX$22,LU6&lt;&gt;"")),"P","")</f>
        <v>P</v>
      </c>
      <c r="G6" s="3" t="str">
        <f>IF(OR(AND(AI6&gt;=AL$22,AI6&lt;&gt;"",AG6=""),AND(BE6&gt;=BH$22,BE6&lt;&gt;"",BC6=""),AND(CA6&gt;=CD$22,CA6&lt;&gt;"",BY6=""),AND(CX6&gt;=DA$22,CX6&lt;&gt;""),AND(DS6&gt;=DV$22,DS6&lt;&gt;""),AND(EN6&gt;=EQ$22,EN6&lt;&gt;""),AND(FI6&gt;=FL$22,FI6&lt;&gt;""),AND(GD6&gt;=GG$22,GD6&lt;&gt;""),AND(GY6&gt;=HB$22,GY6&lt;&gt;""),AND(HT6&gt;=HW$22,HT6&lt;&gt;""),AND(IO6&gt;=IR$22,IO6&lt;&gt;""),AND(JJ6&gt;=JM$22,JJ6&lt;&gt;""),AND(KE6&gt;=KH$22,KE6&lt;&gt;""),AND(KZ6&gt;=LC$22,KZ6&lt;&gt;""),AND(LU6&gt;=LX$22,LU6&lt;&gt;"")),"P","")</f>
        <v>P</v>
      </c>
      <c r="H6" s="126" t="str">
        <f>IF(AND(G6="P",F6=""),"No DD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Merit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Excellence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Worlds Team",IF(OR(AND(AH6&gt;=AL$18,AH6&lt;&gt;"",AI6&gt;=AL$22,AI6&lt;&gt;"",AG6=""),AND(BD6&gt;=BH$18,BD6&lt;&gt;"",BE6&gt;=BH$22,BE6&lt;&gt;"",BC6=""),AND(BZ6&gt;=CD$18,BZ6&lt;&gt;"",CA6&gt;=CD$22,CA6&lt;&gt;"",BY6=""),AND(CW6&gt;=DA$18,CW6&lt;&gt;"",CX6&gt;=DA$22,CX6&lt;&gt;""),AND(DR6&gt;=DV$18,DR6&lt;&gt;"",DS6&gt;=DV$22,DS6&lt;&gt;""),AND(EM6&gt;=EQ$18,EM6&lt;&gt;"",EN6&gt;=EQ$22,EN6&lt;&gt;""),AND(FH6&gt;=FL$18,FH6&lt;&gt;"",FI6&gt;=FL$22,FI6&lt;&gt;""),AND(GC6&gt;=GG$18,GC6&lt;&gt;"",GD6&gt;=GG$22,GD6&lt;&gt;""),AND(GX6&gt;=HB$18,GX6&lt;&gt;"",GY6&gt;=HB$22,GY6&lt;&gt;""),AND(HS6&gt;=HW$18,HS6&lt;&gt;"",HT6&gt;=HW$22,HT6&lt;&gt;""),AND(IN6&gt;=IR$18,IN6&lt;&gt;"",IO6&gt;=IR$22,IO6&lt;&gt;""),AND(JI6&gt;=JM$18,JI6&lt;&gt;"",JJ6&gt;=JM$22,JJ6&lt;&gt;""),AND(KD6&gt;=KH$18,KD6&lt;&gt;"",KE6&gt;=KH$22,KE6&lt;&gt;""),AND(KY6&gt;=LC$18,KY6&lt;&gt;"",KZ6&gt;=LC$22,KZ6&lt;&gt;""),AND(LT6&gt;=LX$18,LT6&lt;&gt;"",LU6&gt;=LX$22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71.400000000000006</v>
      </c>
      <c r="K6" s="14" t="str">
        <f>IF(J6=0,"",IF(J6=CA6,$BI$1,IF(J6=BE6,$AM$1,IF(J6=AI6,$Q$1,""))))</f>
        <v>2021 2nd Virtual Technical Trial</v>
      </c>
      <c r="L6" s="14">
        <f>IF(J6=AI6,MAX(BH6,CD6),IF(J6=BE6,MAX(AL6,CD6),MAX(AL6,BH6)))</f>
        <v>140.69999999999999</v>
      </c>
      <c r="M6" s="14" t="str">
        <f>IF(L6=0,"",IF(AND(J6&lt;&gt;CA6,L6=CD6),$BI$1,IF(AND(J6&lt;&gt;BE6,L6=BH6),$AM$1,IF(L6=AL6,$Q$1,""))))</f>
        <v>2021 Elite Canada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28.5</v>
      </c>
      <c r="R6" s="69">
        <v>7.2</v>
      </c>
      <c r="S6" s="69">
        <v>0</v>
      </c>
      <c r="T6" s="69">
        <v>0</v>
      </c>
      <c r="U6" s="69">
        <v>28</v>
      </c>
      <c r="V6" s="69">
        <v>7.7</v>
      </c>
      <c r="W6" s="69">
        <v>0.3</v>
      </c>
      <c r="X6" s="69">
        <v>0.3</v>
      </c>
      <c r="Y6" s="69">
        <v>0</v>
      </c>
      <c r="Z6" s="69">
        <v>0</v>
      </c>
      <c r="AA6" s="69">
        <v>0</v>
      </c>
      <c r="AB6" s="69">
        <v>0</v>
      </c>
      <c r="AC6" s="69">
        <v>27.9</v>
      </c>
      <c r="AD6" s="69">
        <v>8.1</v>
      </c>
      <c r="AE6" s="69">
        <v>0.9</v>
      </c>
      <c r="AF6" s="69">
        <v>0</v>
      </c>
      <c r="AG6" s="80"/>
      <c r="AH6" s="11">
        <f>IF(SUM(R6,V6)&gt;0,SUM(R6,V6),"")</f>
        <v>14.9</v>
      </c>
      <c r="AI6" s="11">
        <f>IF(SUM(Q6:R6,T6:V6,X6)-SUM(S6,W6)&gt;0,SUM(Q6:R6,T6:V6,X6)-SUM(S6,W6),"")</f>
        <v>71.400000000000006</v>
      </c>
      <c r="AJ6" s="11">
        <f>IF(SUM(Z6,AD6)&gt;0,SUM(Z6,AD6),"")</f>
        <v>8.1</v>
      </c>
      <c r="AK6" s="11">
        <f>IF(SUM(Y6:Z6,AB6:AD6,AF6)-SUM(AA6,AE6)&gt;0,SUM(Y6:Z6,AB6:AD6,AF6)-SUM(AA6,AE6),"")</f>
        <v>35.1</v>
      </c>
      <c r="AL6" s="11">
        <f>IF(SUM(AI6,AK6)&gt;0,SUM(AI6,AK6),"")</f>
        <v>106.5</v>
      </c>
      <c r="AM6" s="38">
        <v>27.9</v>
      </c>
      <c r="AN6" s="38">
        <v>7.2</v>
      </c>
      <c r="AO6" s="38">
        <v>0.3</v>
      </c>
      <c r="AP6" s="38">
        <v>0</v>
      </c>
      <c r="AQ6" s="38">
        <v>27.9</v>
      </c>
      <c r="AR6" s="38">
        <v>7.2</v>
      </c>
      <c r="AS6" s="38">
        <v>0</v>
      </c>
      <c r="AT6" s="38">
        <v>0</v>
      </c>
      <c r="AU6" s="38">
        <v>26.8</v>
      </c>
      <c r="AV6" s="38">
        <v>8.1</v>
      </c>
      <c r="AW6" s="38">
        <v>0</v>
      </c>
      <c r="AX6" s="38">
        <v>0</v>
      </c>
      <c r="AY6" s="38">
        <v>27.9</v>
      </c>
      <c r="AZ6" s="38">
        <v>7.7</v>
      </c>
      <c r="BA6" s="38">
        <v>0</v>
      </c>
      <c r="BB6" s="38">
        <v>0.3</v>
      </c>
      <c r="BC6" s="81"/>
      <c r="BD6" s="14">
        <f>IF(SUM(AN6,AR6)&gt;0,SUM(AN6,AR6),"")</f>
        <v>14.4</v>
      </c>
      <c r="BE6" s="14">
        <f>IF(SUM(AM6:AN6,AP6:AR6,AT6)-SUM(AO6,AS6)&gt;0,SUM(AM6:AN6,AP6:AR6,AT6)-SUM(AO6,AS6),"")</f>
        <v>69.900000000000006</v>
      </c>
      <c r="BF6" s="14">
        <f>IF(SUM(AV6,AZ6)&gt;0,SUM(AV6,AZ6),"")</f>
        <v>15.8</v>
      </c>
      <c r="BG6" s="14">
        <f>IF(SUM(AU6:AV6,AX6:AZ6,BB6)-SUM(AW6,BA6)&gt;0,SUM(AU6:AV6,AX6:AZ6,BB6)-SUM(AW6,BA6),"")</f>
        <v>70.8</v>
      </c>
      <c r="BH6" s="14">
        <f>IF(SUM(BE6,BG6)&gt;0,SUM(BE6,BG6),"")</f>
        <v>140.69999999999999</v>
      </c>
      <c r="BI6" s="69">
        <v>27.7</v>
      </c>
      <c r="BJ6" s="69">
        <v>8.4</v>
      </c>
      <c r="BK6" s="69">
        <v>0</v>
      </c>
      <c r="BL6" s="69">
        <v>0</v>
      </c>
      <c r="BM6" s="69">
        <v>20.399999999999999</v>
      </c>
      <c r="BN6" s="69">
        <v>2.8</v>
      </c>
      <c r="BO6" s="69">
        <v>0</v>
      </c>
      <c r="BP6" s="69">
        <v>0</v>
      </c>
      <c r="BQ6" s="69"/>
      <c r="BR6" s="69"/>
      <c r="BS6" s="69"/>
      <c r="BT6" s="69"/>
      <c r="BU6" s="69"/>
      <c r="BV6" s="69"/>
      <c r="BW6" s="69"/>
      <c r="BX6" s="69"/>
      <c r="BY6" s="80"/>
      <c r="BZ6" s="11">
        <f>IF(SUM(BJ6,BN6)&gt;0,SUM(BJ6,BN6),"")</f>
        <v>11.2</v>
      </c>
      <c r="CA6" s="11">
        <f>IF(SUM(BI6:BJ6,BL6:BN6,BP6)-SUM(BK6,BO6)&gt;0,SUM(BI6:BJ6,BL6:BN6,BP6)-SUM(BK6,BO6),"")</f>
        <v>59.3</v>
      </c>
      <c r="CB6" s="11" t="str">
        <f>IF(SUM(BR6,BV6)&gt;0,SUM(BR6,BV6),"")</f>
        <v/>
      </c>
      <c r="CC6" s="11" t="str">
        <f>IF(SUM(BQ6:BR6,BT6:BV6,BX6)-SUM(BS6,BW6)&gt;0,SUM(BQ6:BR6,BT6:BV6,BX6)-SUM(BS6,BW6),"")</f>
        <v/>
      </c>
      <c r="CD6" s="11">
        <f>IF(SUM(CA6,CC6)&gt;0,SUM(CA6,CC6),"")</f>
        <v>59.3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7.8000000000000007</v>
      </c>
      <c r="MA6" s="69">
        <f>IF($BY6="P",BK6,(BK6+AO6)/2)</f>
        <v>0.15</v>
      </c>
      <c r="MB6" s="69">
        <f>IF($BY6="P",BL6,(BL6+AP6)/2)</f>
        <v>0</v>
      </c>
      <c r="MC6" s="69">
        <f>IF($BY6="P",BM6,(BM6+AQ6)/2)</f>
        <v>24.15</v>
      </c>
      <c r="MD6" s="69">
        <f>IF($BY6="P",BN6,(BN6+AR6)/2)</f>
        <v>5</v>
      </c>
      <c r="ME6" s="69">
        <f>IF($BY6="P",BO6,(BO6+AS6)/2)</f>
        <v>0</v>
      </c>
      <c r="MF6" s="69">
        <f>IF($BY6="P",BP6,(BP6+AT6)/2)</f>
        <v>0</v>
      </c>
      <c r="MG6" s="69">
        <f>IF($BY6="P",BQ6,(BQ6+AU6)/2)</f>
        <v>13.4</v>
      </c>
      <c r="MH6" s="69">
        <f>IF($BY6="P",BR6,(BR6+AV6)/2)</f>
        <v>4.05</v>
      </c>
      <c r="MI6" s="69">
        <f>IF($BY6="P",BS6,(BS6+AW6)/2)</f>
        <v>0</v>
      </c>
      <c r="MJ6" s="69">
        <f>IF($BY6="P",BT6,(BT6+AX6)/2)</f>
        <v>0</v>
      </c>
      <c r="MK6" s="69">
        <f>IF($BY6="P",BU6,(BU6+AY6)/2)</f>
        <v>13.95</v>
      </c>
      <c r="ML6" s="69">
        <f>IF($BY6="P",BV6,(BV6+AZ6)/2)</f>
        <v>3.85</v>
      </c>
      <c r="MM6" s="69">
        <f>IF($BY6="P",BW6,(BW6+BA6)/2)</f>
        <v>0</v>
      </c>
      <c r="MN6" s="69">
        <f>IF($BY6="P",BX6,(BX6+BB6)/2)</f>
        <v>0.15</v>
      </c>
      <c r="MO6" s="80" t="s">
        <v>74</v>
      </c>
      <c r="MP6" s="11">
        <f>IF(SUM(LZ6,MD6)&gt;0,SUM(LZ6,MD6),"")</f>
        <v>12.8</v>
      </c>
      <c r="MQ6" s="11">
        <f>IF(SUM(LY6:LZ6,MB6:MD6,MF6)-SUM(MA6,ME6)&gt;0,SUM(LY6:LZ6,MB6:MD6,MF6)-SUM(MA6,ME6),"")</f>
        <v>64.599999999999994</v>
      </c>
      <c r="MR6" s="11">
        <f>IF(SUM(MH6,ML6)&gt;0,SUM(MH6,ML6),"")</f>
        <v>7.9</v>
      </c>
      <c r="MS6" s="11">
        <f>IF(SUM(MG6:MH6,MJ6:ML6,MN6)-SUM(MI6,MM6)&gt;0,SUM(MG6:MH6,MJ6:ML6,MN6)-SUM(MI6,MM6),"")</f>
        <v>35.4</v>
      </c>
      <c r="MT6" s="11">
        <f>IF(SUM(MQ6,MS6)&gt;0,SUM(MQ6,MS6),"")</f>
        <v>100</v>
      </c>
    </row>
    <row r="7" spans="1:358" x14ac:dyDescent="0.2">
      <c r="A7" s="5">
        <f>IF(AND(F7="P",G7="P"),SUMPRODUCT((F$4:F$16="P")*(G$4:G$16="P")*(E$4:E$16&gt;E7))+1,IF(G7="P",SUMPRODUCT((F$4:F$16="")*(G$4:G$16="P")*(E$4:E$16&gt;E7))+1+SUMPRODUCT((F$4:F$16="P")*(G$4:G$16="P")),""))</f>
        <v>4</v>
      </c>
      <c r="B7" s="8" t="s">
        <v>117</v>
      </c>
      <c r="C7" s="4" t="s">
        <v>5</v>
      </c>
      <c r="D7" s="5">
        <v>2003</v>
      </c>
      <c r="E7" s="15">
        <f>SUM(J7:N7)</f>
        <v>209.4</v>
      </c>
      <c r="F7" s="3" t="str">
        <f>IF(OR(AND(AH7&gt;=AL$18,AI7&gt;=AL$22,AI7&lt;&gt;"",AG7=""),AND(BD7&gt;=BH$18,BE7&gt;=BH$22,BE7&lt;&gt;"",BC7=""),AND(BZ7&gt;=CD$18,CA7&gt;=CD$22,CA7&lt;&gt;"",BY7=""),AND(CW7&gt;=DA$18,CX7&gt;=DA$22,CX7&lt;&gt;""),AND(DR7&gt;=DV$18,DS7&gt;=DV$22,DS7&lt;&gt;""),AND(EM7&gt;=EQ$18,EN7&gt;=EQ$22,EN7&lt;&gt;""),AND(FH7&gt;=FL$18,FI7&gt;=FL$22,FI7&lt;&gt;""),AND(GC7&gt;=GG$18,GD7&gt;=GG$22,GD7&lt;&gt;""),AND(GX7&gt;=HB$18,GY7&gt;=HB$22,GY7&lt;&gt;""),AND(HS7&gt;=HW$18,HT7&gt;=HW$22,HT7&lt;&gt;""),AND(IN7&gt;=IR$18,IO7&gt;=IR$22,IO7&lt;&gt;""),AND(JI7&gt;=JM$18,JJ7&gt;=JM$22,JJ7&lt;&gt;""),AND(KD7&gt;=KH$18,KE7&gt;=KH$22,KE7&lt;&gt;""),AND(KY7&gt;=LC$18,KZ7&gt;=LC$22,KZ7&lt;&gt;""),AND(LT7&gt;=LX$18,LU7&gt;=LX$22,LU7&lt;&gt;"")),"P","")</f>
        <v>P</v>
      </c>
      <c r="G7" s="3" t="str">
        <f>IF(OR(AND(AI7&gt;=AL$22,AI7&lt;&gt;"",AG7=""),AND(BE7&gt;=BH$22,BE7&lt;&gt;"",BC7=""),AND(CA7&gt;=CD$22,CA7&lt;&gt;"",BY7=""),AND(CX7&gt;=DA$22,CX7&lt;&gt;""),AND(DS7&gt;=DV$22,DS7&lt;&gt;""),AND(EN7&gt;=EQ$22,EN7&lt;&gt;""),AND(FI7&gt;=FL$22,FI7&lt;&gt;""),AND(GD7&gt;=GG$22,GD7&lt;&gt;""),AND(GY7&gt;=HB$22,GY7&lt;&gt;""),AND(HT7&gt;=HW$22,HT7&lt;&gt;""),AND(IO7&gt;=IR$22,IO7&lt;&gt;""),AND(JJ7&gt;=JM$22,JJ7&lt;&gt;""),AND(KE7&gt;=KH$22,KE7&lt;&gt;""),AND(KZ7&gt;=LC$22,KZ7&lt;&gt;""),AND(LU7&gt;=LX$22,LU7&lt;&gt;"")),"P","")</f>
        <v>P</v>
      </c>
      <c r="H7" s="126" t="str">
        <f>IF(AND(G7="P",F7=""),"No DD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Merit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Excellence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Worlds Team",IF(OR(AND(AH7&gt;=AL$18,AH7&lt;&gt;"",AI7&gt;=AL$22,AI7&lt;&gt;"",AG7=""),AND(BD7&gt;=BH$18,BD7&lt;&gt;"",BE7&gt;=BH$22,BE7&lt;&gt;"",BC7=""),AND(BZ7&gt;=CD$18,BZ7&lt;&gt;"",CA7&gt;=CD$22,CA7&lt;&gt;"",BY7=""),AND(CW7&gt;=DA$18,CW7&lt;&gt;"",CX7&gt;=DA$22,CX7&lt;&gt;""),AND(DR7&gt;=DV$18,DR7&lt;&gt;"",DS7&gt;=DV$22,DS7&lt;&gt;""),AND(EM7&gt;=EQ$18,EM7&lt;&gt;"",EN7&gt;=EQ$22,EN7&lt;&gt;""),AND(FH7&gt;=FL$18,FH7&lt;&gt;"",FI7&gt;=FL$22,FI7&lt;&gt;""),AND(GC7&gt;=GG$18,GC7&lt;&gt;"",GD7&gt;=GG$22,GD7&lt;&gt;""),AND(GX7&gt;=HB$18,GX7&lt;&gt;"",GY7&gt;=HB$22,GY7&lt;&gt;""),AND(HS7&gt;=HW$18,HS7&lt;&gt;"",HT7&gt;=HW$22,HT7&lt;&gt;""),AND(IN7&gt;=IR$18,IN7&lt;&gt;"",IO7&gt;=IR$22,IO7&lt;&gt;""),AND(JI7&gt;=JM$18,JI7&lt;&gt;"",JJ7&gt;=JM$22,JJ7&lt;&gt;""),AND(KD7&gt;=KH$18,KD7&lt;&gt;"",KE7&gt;=KH$22,KE7&lt;&gt;""),AND(KY7&gt;=LC$18,KY7&lt;&gt;"",KZ7&gt;=LC$22,KZ7&lt;&gt;""),AND(LT7&gt;=LX$18,LT7&lt;&gt;"",LU7&gt;=LX$22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70.5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138.9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28.2</v>
      </c>
      <c r="R7" s="69">
        <v>7.6</v>
      </c>
      <c r="S7" s="69">
        <v>1.2</v>
      </c>
      <c r="T7" s="69">
        <v>0</v>
      </c>
      <c r="U7" s="69">
        <v>28.7</v>
      </c>
      <c r="V7" s="69">
        <v>7.2</v>
      </c>
      <c r="W7" s="69">
        <v>0</v>
      </c>
      <c r="X7" s="69">
        <v>0</v>
      </c>
      <c r="Y7" s="69">
        <v>28.4</v>
      </c>
      <c r="Z7" s="69">
        <v>6</v>
      </c>
      <c r="AA7" s="69">
        <v>1.2</v>
      </c>
      <c r="AB7" s="69">
        <v>0</v>
      </c>
      <c r="AC7" s="69">
        <v>27.7</v>
      </c>
      <c r="AD7" s="69">
        <v>6.8</v>
      </c>
      <c r="AE7" s="69">
        <v>0.3</v>
      </c>
      <c r="AF7" s="69">
        <v>0</v>
      </c>
      <c r="AG7" s="80"/>
      <c r="AH7" s="11">
        <f>IF(SUM(R7,V7)&gt;0,SUM(R7,V7),"")</f>
        <v>14.8</v>
      </c>
      <c r="AI7" s="11">
        <f>IF(SUM(Q7:R7,T7:V7,X7)-SUM(S7,W7)&gt;0,SUM(Q7:R7,T7:V7,X7)-SUM(S7,W7),"")</f>
        <v>70.5</v>
      </c>
      <c r="AJ7" s="11">
        <f>IF(SUM(Z7,AD7)&gt;0,SUM(Z7,AD7),"")</f>
        <v>12.8</v>
      </c>
      <c r="AK7" s="11">
        <f>IF(SUM(Y7:Z7,AB7:AD7,AF7)-SUM(AA7,AE7)&gt;0,SUM(Y7:Z7,AB7:AD7,AF7)-SUM(AA7,AE7),"")</f>
        <v>67.399999999999991</v>
      </c>
      <c r="AL7" s="11">
        <f>IF(SUM(AI7,AK7)&gt;0,SUM(AI7,AK7),"")</f>
        <v>137.89999999999998</v>
      </c>
      <c r="AM7" s="38">
        <v>28</v>
      </c>
      <c r="AN7" s="38">
        <v>7.6</v>
      </c>
      <c r="AO7" s="38">
        <v>0.9</v>
      </c>
      <c r="AP7" s="38">
        <v>0</v>
      </c>
      <c r="AQ7" s="38">
        <v>27.9</v>
      </c>
      <c r="AR7" s="38">
        <v>7.2</v>
      </c>
      <c r="AS7" s="38">
        <v>0.9</v>
      </c>
      <c r="AT7" s="38">
        <v>0</v>
      </c>
      <c r="AU7" s="38">
        <v>28</v>
      </c>
      <c r="AV7" s="38">
        <v>7.6</v>
      </c>
      <c r="AW7" s="38">
        <v>0.3</v>
      </c>
      <c r="AX7" s="38">
        <v>0</v>
      </c>
      <c r="AY7" s="38">
        <v>28.1</v>
      </c>
      <c r="AZ7" s="38">
        <v>7.2</v>
      </c>
      <c r="BA7" s="38">
        <v>0.9</v>
      </c>
      <c r="BB7" s="38">
        <v>0.3</v>
      </c>
      <c r="BC7" s="81"/>
      <c r="BD7" s="14">
        <f>IF(SUM(AN7,AR7)&gt;0,SUM(AN7,AR7),"")</f>
        <v>14.8</v>
      </c>
      <c r="BE7" s="14">
        <f>IF(SUM(AM7:AN7,AP7:AR7,AT7)-SUM(AO7,AS7)&gt;0,SUM(AM7:AN7,AP7:AR7,AT7)-SUM(AO7,AS7),"")</f>
        <v>68.900000000000006</v>
      </c>
      <c r="BF7" s="14">
        <f>IF(SUM(AV7,AZ7)&gt;0,SUM(AV7,AZ7),"")</f>
        <v>14.8</v>
      </c>
      <c r="BG7" s="14">
        <f>IF(SUM(AU7:AV7,AX7:AZ7,BB7)-SUM(AW7,BA7)&gt;0,SUM(AU7:AV7,AX7:AZ7,BB7)-SUM(AW7,BA7),"")</f>
        <v>70</v>
      </c>
      <c r="BH7" s="14">
        <f>IF(SUM(BE7,BG7)&gt;0,SUM(BE7,BG7),"")</f>
        <v>138.9</v>
      </c>
      <c r="BI7" s="69">
        <v>27.6</v>
      </c>
      <c r="BJ7" s="69">
        <v>6.8</v>
      </c>
      <c r="BK7" s="69">
        <v>0.3</v>
      </c>
      <c r="BL7" s="69">
        <v>0</v>
      </c>
      <c r="BM7" s="69">
        <v>27.3</v>
      </c>
      <c r="BN7" s="69">
        <v>3.9</v>
      </c>
      <c r="BO7" s="69">
        <v>2.1</v>
      </c>
      <c r="BP7" s="69">
        <v>0</v>
      </c>
      <c r="BQ7" s="69">
        <v>26.9</v>
      </c>
      <c r="BR7" s="69">
        <v>8</v>
      </c>
      <c r="BS7" s="69">
        <v>1.5</v>
      </c>
      <c r="BT7" s="69">
        <v>0</v>
      </c>
      <c r="BU7" s="69">
        <v>28</v>
      </c>
      <c r="BV7" s="69">
        <v>7.2</v>
      </c>
      <c r="BW7" s="69">
        <v>0</v>
      </c>
      <c r="BX7" s="69">
        <v>0</v>
      </c>
      <c r="BY7" s="80"/>
      <c r="BZ7" s="11">
        <f>IF(SUM(BJ7,BN7)&gt;0,SUM(BJ7,BN7),"")</f>
        <v>10.7</v>
      </c>
      <c r="CA7" s="11">
        <f>IF(SUM(BI7:BJ7,BL7:BN7,BP7)-SUM(BK7,BO7)&gt;0,SUM(BI7:BJ7,BL7:BN7,BP7)-SUM(BK7,BO7),"")</f>
        <v>63.20000000000001</v>
      </c>
      <c r="CB7" s="11">
        <f>IF(SUM(BR7,BV7)&gt;0,SUM(BR7,BV7),"")</f>
        <v>15.2</v>
      </c>
      <c r="CC7" s="11">
        <f>IF(SUM(BQ7:BR7,BT7:BV7,BX7)-SUM(BS7,BW7)&gt;0,SUM(BQ7:BR7,BT7:BV7,BX7)-SUM(BS7,BW7),"")</f>
        <v>68.599999999999994</v>
      </c>
      <c r="CD7" s="11">
        <f>IF(SUM(CA7,CC7)&gt;0,SUM(CA7,CC7),"")</f>
        <v>131.80000000000001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27.8</v>
      </c>
      <c r="LZ7" s="69">
        <f>IF($BY7="P",BJ7,(BJ7+AN7)/2)</f>
        <v>7.1999999999999993</v>
      </c>
      <c r="MA7" s="69">
        <f>IF($BY7="P",BK7,(BK7+AO7)/2)</f>
        <v>0.6</v>
      </c>
      <c r="MB7" s="69">
        <f>IF($BY7="P",BL7,(BL7+AP7)/2)</f>
        <v>0</v>
      </c>
      <c r="MC7" s="69">
        <f>IF($BY7="P",BM7,(BM7+AQ7)/2)</f>
        <v>27.6</v>
      </c>
      <c r="MD7" s="69">
        <f>IF($BY7="P",BN7,(BN7+AR7)/2)</f>
        <v>5.55</v>
      </c>
      <c r="ME7" s="69">
        <f>IF($BY7="P",BO7,(BO7+AS7)/2)</f>
        <v>1.5</v>
      </c>
      <c r="MF7" s="69">
        <f>IF($BY7="P",BP7,(BP7+AT7)/2)</f>
        <v>0</v>
      </c>
      <c r="MG7" s="69">
        <f>IF($BY7="P",BQ7,(BQ7+AU7)/2)</f>
        <v>27.45</v>
      </c>
      <c r="MH7" s="69">
        <f>IF($BY7="P",BR7,(BR7+AV7)/2)</f>
        <v>7.8</v>
      </c>
      <c r="MI7" s="69">
        <f>IF($BY7="P",BS7,(BS7+AW7)/2)</f>
        <v>0.9</v>
      </c>
      <c r="MJ7" s="69">
        <f>IF($BY7="P",BT7,(BT7+AX7)/2)</f>
        <v>0</v>
      </c>
      <c r="MK7" s="69">
        <f>IF($BY7="P",BU7,(BU7+AY7)/2)</f>
        <v>28.05</v>
      </c>
      <c r="ML7" s="69">
        <f>IF($BY7="P",BV7,(BV7+AZ7)/2)</f>
        <v>7.2</v>
      </c>
      <c r="MM7" s="69">
        <f>IF($BY7="P",BW7,(BW7+BA7)/2)</f>
        <v>0.45</v>
      </c>
      <c r="MN7" s="69">
        <f>IF($BY7="P",BX7,(BX7+BB7)/2)</f>
        <v>0.15</v>
      </c>
      <c r="MO7" s="80" t="s">
        <v>74</v>
      </c>
      <c r="MP7" s="11">
        <f>IF(SUM(LZ7,MD7)&gt;0,SUM(LZ7,MD7),"")</f>
        <v>12.75</v>
      </c>
      <c r="MQ7" s="11">
        <f>IF(SUM(LY7:LZ7,MB7:MD7,MF7)-SUM(MA7,ME7)&gt;0,SUM(LY7:LZ7,MB7:MD7,MF7)-SUM(MA7,ME7),"")</f>
        <v>66.050000000000011</v>
      </c>
      <c r="MR7" s="11">
        <f>IF(SUM(MH7,ML7)&gt;0,SUM(MH7,ML7),"")</f>
        <v>15</v>
      </c>
      <c r="MS7" s="11">
        <f>IF(SUM(MG7:MH7,MJ7:ML7,MN7)-SUM(MI7,MM7)&gt;0,SUM(MG7:MH7,MJ7:ML7,MN7)-SUM(MI7,MM7),"")</f>
        <v>69.300000000000011</v>
      </c>
      <c r="MT7" s="11">
        <f>IF(SUM(MQ7,MS7)&gt;0,SUM(MQ7,MS7),"")</f>
        <v>135.35000000000002</v>
      </c>
    </row>
    <row r="8" spans="1:358" x14ac:dyDescent="0.2">
      <c r="A8" s="5" t="str">
        <f>IF(AND(F8="P",G8="P"),SUMPRODUCT((F$4:F$16="P")*(G$4:G$16="P")*(E$4:E$16&gt;E8))+1,IF(G8="P",SUMPRODUCT((F$4:F$16="")*(G$4:G$16="P")*(E$4:E$16&gt;E8))+1+SUMPRODUCT((F$4:F$16="P")*(G$4:G$16="P")),""))</f>
        <v/>
      </c>
      <c r="B8" s="8" t="s">
        <v>46</v>
      </c>
      <c r="C8" s="4" t="s">
        <v>9</v>
      </c>
      <c r="D8" s="5">
        <v>1998</v>
      </c>
      <c r="E8" s="15">
        <f>SUM(J8:N8)</f>
        <v>203.10000000000002</v>
      </c>
      <c r="F8" s="3" t="str">
        <f>IF(OR(AND(AH8&gt;=AL$18,AI8&gt;=AL$22,AI8&lt;&gt;"",AG8=""),AND(BD8&gt;=BH$18,BE8&gt;=BH$22,BE8&lt;&gt;"",BC8=""),AND(BZ8&gt;=CD$18,CA8&gt;=CD$22,CA8&lt;&gt;"",BY8=""),AND(CW8&gt;=DA$18,CX8&gt;=DA$22,CX8&lt;&gt;""),AND(DR8&gt;=DV$18,DS8&gt;=DV$22,DS8&lt;&gt;""),AND(EM8&gt;=EQ$18,EN8&gt;=EQ$22,EN8&lt;&gt;""),AND(FH8&gt;=FL$18,FI8&gt;=FL$22,FI8&lt;&gt;""),AND(GC8&gt;=GG$18,GD8&gt;=GG$22,GD8&lt;&gt;""),AND(GX8&gt;=HB$18,GY8&gt;=HB$22,GY8&lt;&gt;""),AND(HS8&gt;=HW$18,HT8&gt;=HW$22,HT8&lt;&gt;""),AND(IN8&gt;=IR$18,IO8&gt;=IR$22,IO8&lt;&gt;""),AND(JI8&gt;=JM$18,JJ8&gt;=JM$22,JJ8&lt;&gt;""),AND(KD8&gt;=KH$18,KE8&gt;=KH$22,KE8&lt;&gt;""),AND(KY8&gt;=LC$18,KZ8&gt;=LC$22,KZ8&lt;&gt;""),AND(LT8&gt;=LX$18,LU8&gt;=LX$22,LU8&lt;&gt;"")),"P","")</f>
        <v/>
      </c>
      <c r="G8" s="3" t="str">
        <f>IF(OR(AND(AI8&gt;=AL$22,AI8&lt;&gt;"",AG8=""),AND(BE8&gt;=BH$22,BE8&lt;&gt;"",BC8=""),AND(CA8&gt;=CD$22,CA8&lt;&gt;"",BY8=""),AND(CX8&gt;=DA$22,CX8&lt;&gt;""),AND(DS8&gt;=DV$22,DS8&lt;&gt;""),AND(EN8&gt;=EQ$22,EN8&lt;&gt;""),AND(FI8&gt;=FL$22,FI8&lt;&gt;""),AND(GD8&gt;=GG$22,GD8&lt;&gt;""),AND(GY8&gt;=HB$22,GY8&lt;&gt;""),AND(HT8&gt;=HW$22,HT8&lt;&gt;""),AND(IO8&gt;=IR$22,IO8&lt;&gt;""),AND(JJ8&gt;=JM$22,JJ8&lt;&gt;""),AND(KE8&gt;=KH$22,KE8&lt;&gt;""),AND(KZ8&gt;=LC$22,KZ8&lt;&gt;""),AND(LU8&gt;=LX$22,LU8&lt;&gt;"")),"P","")</f>
        <v/>
      </c>
      <c r="H8" s="126" t="str">
        <f>IF(AND(G8="P",F8=""),"No DD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Merit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Excellence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Worlds Team",IF(OR(AND(AH8&gt;=AL$18,AH8&lt;&gt;"",AI8&gt;=AL$22,AI8&lt;&gt;"",AG8=""),AND(BD8&gt;=BH$18,BD8&lt;&gt;"",BE8&gt;=BH$22,BE8&lt;&gt;"",BC8=""),AND(BZ8&gt;=CD$18,BZ8&lt;&gt;"",CA8&gt;=CD$22,CA8&lt;&gt;"",BY8=""),AND(CW8&gt;=DA$18,CW8&lt;&gt;"",CX8&gt;=DA$22,CX8&lt;&gt;""),AND(DR8&gt;=DV$18,DR8&lt;&gt;"",DS8&gt;=DV$22,DS8&lt;&gt;""),AND(EM8&gt;=EQ$18,EM8&lt;&gt;"",EN8&gt;=EQ$22,EN8&lt;&gt;""),AND(FH8&gt;=FL$18,FH8&lt;&gt;"",FI8&gt;=FL$22,FI8&lt;&gt;""),AND(GC8&gt;=GG$18,GC8&lt;&gt;"",GD8&gt;=GG$22,GD8&lt;&gt;""),AND(GX8&gt;=HB$18,GX8&lt;&gt;"",GY8&gt;=HB$22,GY8&lt;&gt;""),AND(HS8&gt;=HW$18,HS8&lt;&gt;"",HT8&gt;=HW$22,HT8&lt;&gt;""),AND(IN8&gt;=IR$18,IN8&lt;&gt;"",IO8&gt;=IR$22,IO8&lt;&gt;""),AND(JI8&gt;=JM$18,JI8&lt;&gt;"",JJ8&gt;=JM$22,JJ8&lt;&gt;""),AND(KD8&gt;=KH$18,KD8&lt;&gt;"",KE8&gt;=KH$22,KE8&lt;&gt;""),AND(KY8&gt;=LC$18,KY8&lt;&gt;"",KZ8&gt;=LC$22,KZ8&lt;&gt;""),AND(LT8&gt;=LX$18,LT8&lt;&gt;"",LU8&gt;=LX$22,LU8&lt;&gt;"")),"National Team","")))))</f>
        <v/>
      </c>
      <c r="I8" s="3" t="str">
        <f>IF(OR(H8="Worlds Team",H8="Excellence",H8="Merit"),"P","")</f>
        <v/>
      </c>
      <c r="J8" s="14">
        <f>MAX(AI8,BE8,CA8)</f>
        <v>69</v>
      </c>
      <c r="K8" s="14" t="str">
        <f>IF(J8=0,"",IF(J8=CA8,$BI$1,IF(J8=BE8,$AM$1,IF(J8=AI8,$Q$1,""))))</f>
        <v>2021 Canadian Championships</v>
      </c>
      <c r="L8" s="14">
        <f>IF(J8=AI8,MAX(BH8,CD8),IF(J8=BE8,MAX(AL8,CD8),MAX(AL8,BH8)))</f>
        <v>134.10000000000002</v>
      </c>
      <c r="M8" s="14" t="str">
        <f>IF(L8=0,"",IF(AND(J8&lt;&gt;CA8,L8=CD8),$BI$1,IF(AND(J8&lt;&gt;BE8,L8=BH8),$AM$1,IF(L8=AL8,$Q$1,""))))</f>
        <v>2021 2nd Virtual Technical Trial</v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>
        <v>25.2</v>
      </c>
      <c r="R8" s="69">
        <v>8.4</v>
      </c>
      <c r="S8" s="69">
        <v>1.2</v>
      </c>
      <c r="T8" s="69">
        <v>0</v>
      </c>
      <c r="U8" s="69">
        <v>28.1</v>
      </c>
      <c r="V8" s="69">
        <v>6.8</v>
      </c>
      <c r="W8" s="69">
        <v>0</v>
      </c>
      <c r="X8" s="69">
        <v>0</v>
      </c>
      <c r="Y8" s="69">
        <v>28.1</v>
      </c>
      <c r="Z8" s="69">
        <v>5.2</v>
      </c>
      <c r="AA8" s="69">
        <v>0.8</v>
      </c>
      <c r="AB8" s="69">
        <v>0</v>
      </c>
      <c r="AC8" s="69">
        <v>27.4</v>
      </c>
      <c r="AD8" s="69">
        <v>7.2</v>
      </c>
      <c r="AE8" s="69">
        <v>0.3</v>
      </c>
      <c r="AF8" s="69">
        <v>0</v>
      </c>
      <c r="AG8" s="80"/>
      <c r="AH8" s="11">
        <f>IF(SUM(R8,V8)&gt;0,SUM(R8,V8),"")</f>
        <v>15.2</v>
      </c>
      <c r="AI8" s="11">
        <f>IF(SUM(Q8:R8,T8:V8,X8)-SUM(S8,W8)&gt;0,SUM(Q8:R8,T8:V8,X8)-SUM(S8,W8),"")</f>
        <v>67.3</v>
      </c>
      <c r="AJ8" s="11">
        <f>IF(SUM(Z8,AD8)&gt;0,SUM(Z8,AD8),"")</f>
        <v>12.4</v>
      </c>
      <c r="AK8" s="11">
        <f>IF(SUM(Y8:Z8,AB8:AD8,AF8)-SUM(AA8,AE8)&gt;0,SUM(Y8:Z8,AB8:AD8,AF8)-SUM(AA8,AE8),"")</f>
        <v>66.800000000000011</v>
      </c>
      <c r="AL8" s="11">
        <f>IF(SUM(AI8,AK8)&gt;0,SUM(AI8,AK8),"")</f>
        <v>134.10000000000002</v>
      </c>
      <c r="AM8" s="38">
        <v>28.5</v>
      </c>
      <c r="AN8" s="38">
        <v>6</v>
      </c>
      <c r="AO8" s="38">
        <v>0.3</v>
      </c>
      <c r="AP8" s="38">
        <v>0</v>
      </c>
      <c r="AQ8" s="38">
        <v>28.4</v>
      </c>
      <c r="AR8" s="38">
        <v>7.2</v>
      </c>
      <c r="AS8" s="38">
        <v>0.9</v>
      </c>
      <c r="AT8" s="38">
        <v>0</v>
      </c>
      <c r="AU8" s="38">
        <v>19.8</v>
      </c>
      <c r="AV8" s="38">
        <v>3.2</v>
      </c>
      <c r="AW8" s="38">
        <v>0</v>
      </c>
      <c r="AX8" s="38">
        <v>0</v>
      </c>
      <c r="AY8" s="38">
        <v>28</v>
      </c>
      <c r="AZ8" s="38">
        <v>6.8</v>
      </c>
      <c r="BA8" s="38">
        <v>0.9</v>
      </c>
      <c r="BB8" s="38">
        <v>0</v>
      </c>
      <c r="BC8" s="81"/>
      <c r="BD8" s="14">
        <f>IF(SUM(AN8,AR8)&gt;0,SUM(AN8,AR8),"")</f>
        <v>13.2</v>
      </c>
      <c r="BE8" s="14">
        <f>IF(SUM(AM8:AN8,AP8:AR8,AT8)-SUM(AO8,AS8)&gt;0,SUM(AM8:AN8,AP8:AR8,AT8)-SUM(AO8,AS8),"")</f>
        <v>68.899999999999991</v>
      </c>
      <c r="BF8" s="14">
        <f>IF(SUM(AV8,AZ8)&gt;0,SUM(AV8,AZ8),"")</f>
        <v>10</v>
      </c>
      <c r="BG8" s="14">
        <f>IF(SUM(AU8:AV8,AX8:AZ8,BB8)-SUM(AW8,BA8)&gt;0,SUM(AU8:AV8,AX8:AZ8,BB8)-SUM(AW8,BA8),"")</f>
        <v>56.9</v>
      </c>
      <c r="BH8" s="14">
        <f>IF(SUM(BE8,BG8)&gt;0,SUM(BE8,BG8),"")</f>
        <v>125.79999999999998</v>
      </c>
      <c r="BI8" s="69">
        <v>28</v>
      </c>
      <c r="BJ8" s="69">
        <v>6.4</v>
      </c>
      <c r="BK8" s="69">
        <v>0</v>
      </c>
      <c r="BL8" s="69">
        <v>0</v>
      </c>
      <c r="BM8" s="69">
        <v>28.1</v>
      </c>
      <c r="BN8" s="69">
        <v>6.8</v>
      </c>
      <c r="BO8" s="69">
        <v>0.3</v>
      </c>
      <c r="BP8" s="69">
        <v>0</v>
      </c>
      <c r="BQ8" s="69">
        <v>27.5</v>
      </c>
      <c r="BR8" s="69">
        <v>6.8</v>
      </c>
      <c r="BS8" s="69">
        <v>0</v>
      </c>
      <c r="BT8" s="69">
        <v>0</v>
      </c>
      <c r="BU8" s="69">
        <v>27.2</v>
      </c>
      <c r="BV8" s="69">
        <v>5.2</v>
      </c>
      <c r="BW8" s="69">
        <v>1.1000000000000001</v>
      </c>
      <c r="BX8" s="69">
        <v>0</v>
      </c>
      <c r="BY8" s="80"/>
      <c r="BZ8" s="11">
        <f>IF(SUM(BJ8,BN8)&gt;0,SUM(BJ8,BN8),"")</f>
        <v>13.2</v>
      </c>
      <c r="CA8" s="11">
        <f>IF(SUM(BI8:BJ8,BL8:BN8,BP8)-SUM(BK8,BO8)&gt;0,SUM(BI8:BJ8,BL8:BN8,BP8)-SUM(BK8,BO8),"")</f>
        <v>69</v>
      </c>
      <c r="CB8" s="11">
        <f>IF(SUM(BR8,BV8)&gt;0,SUM(BR8,BV8),"")</f>
        <v>12</v>
      </c>
      <c r="CC8" s="11">
        <f>IF(SUM(BQ8:BR8,BT8:BV8,BX8)-SUM(BS8,BW8)&gt;0,SUM(BQ8:BR8,BT8:BV8,BX8)-SUM(BS8,BW8),"")</f>
        <v>65.600000000000009</v>
      </c>
      <c r="CD8" s="11">
        <f>IF(SUM(CA8,CC8)&gt;0,SUM(CA8,CC8),"")</f>
        <v>134.60000000000002</v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28.25</v>
      </c>
      <c r="LZ8" s="69">
        <f>IF($BY8="P",BJ8,(BJ8+AN8)/2)</f>
        <v>6.2</v>
      </c>
      <c r="MA8" s="69">
        <f>IF($BY8="P",BK8,(BK8+AO8)/2)</f>
        <v>0.15</v>
      </c>
      <c r="MB8" s="69">
        <f>IF($BY8="P",BL8,(BL8+AP8)/2)</f>
        <v>0</v>
      </c>
      <c r="MC8" s="69">
        <f>IF($BY8="P",BM8,(BM8+AQ8)/2)</f>
        <v>28.25</v>
      </c>
      <c r="MD8" s="69">
        <f>IF($BY8="P",BN8,(BN8+AR8)/2)</f>
        <v>7</v>
      </c>
      <c r="ME8" s="69">
        <f>IF($BY8="P",BO8,(BO8+AS8)/2)</f>
        <v>0.6</v>
      </c>
      <c r="MF8" s="69">
        <f>IF($BY8="P",BP8,(BP8+AT8)/2)</f>
        <v>0</v>
      </c>
      <c r="MG8" s="69">
        <f>IF($BY8="P",BQ8,(BQ8+AU8)/2)</f>
        <v>23.65</v>
      </c>
      <c r="MH8" s="69">
        <f>IF($BY8="P",BR8,(BR8+AV8)/2)</f>
        <v>5</v>
      </c>
      <c r="MI8" s="69">
        <f>IF($BY8="P",BS8,(BS8+AW8)/2)</f>
        <v>0</v>
      </c>
      <c r="MJ8" s="69">
        <f>IF($BY8="P",BT8,(BT8+AX8)/2)</f>
        <v>0</v>
      </c>
      <c r="MK8" s="69">
        <f>IF($BY8="P",BU8,(BU8+AY8)/2)</f>
        <v>27.6</v>
      </c>
      <c r="ML8" s="69">
        <f>IF($BY8="P",BV8,(BV8+AZ8)/2)</f>
        <v>6</v>
      </c>
      <c r="MM8" s="69">
        <f>IF($BY8="P",BW8,(BW8+BA8)/2)</f>
        <v>1</v>
      </c>
      <c r="MN8" s="69">
        <f>IF($BY8="P",BX8,(BX8+BB8)/2)</f>
        <v>0</v>
      </c>
      <c r="MO8" s="80" t="s">
        <v>74</v>
      </c>
      <c r="MP8" s="11">
        <f>IF(SUM(LZ8,MD8)&gt;0,SUM(LZ8,MD8),"")</f>
        <v>13.2</v>
      </c>
      <c r="MQ8" s="11">
        <f>IF(SUM(LY8:LZ8,MB8:MD8,MF8)-SUM(MA8,ME8)&gt;0,SUM(LY8:LZ8,MB8:MD8,MF8)-SUM(MA8,ME8),"")</f>
        <v>68.95</v>
      </c>
      <c r="MR8" s="11">
        <f>IF(SUM(MH8,ML8)&gt;0,SUM(MH8,ML8),"")</f>
        <v>11</v>
      </c>
      <c r="MS8" s="11">
        <f>IF(SUM(MG8:MH8,MJ8:ML8,MN8)-SUM(MI8,MM8)&gt;0,SUM(MG8:MH8,MJ8:ML8,MN8)-SUM(MI8,MM8),"")</f>
        <v>61.25</v>
      </c>
      <c r="MT8" s="11">
        <f>IF(SUM(MQ8,MS8)&gt;0,SUM(MQ8,MS8),"")</f>
        <v>130.19999999999999</v>
      </c>
    </row>
    <row r="9" spans="1:358" x14ac:dyDescent="0.2">
      <c r="A9" s="5" t="str">
        <f>IF(AND(F9="P",G9="P"),SUMPRODUCT((F$4:F$16="P")*(G$4:G$16="P")*(E$4:E$16&gt;E9))+1,IF(G9="P",SUMPRODUCT((F$4:F$16="")*(G$4:G$16="P")*(E$4:E$16&gt;E9))+1+SUMPRODUCT((F$4:F$16="P")*(G$4:G$16="P")),""))</f>
        <v/>
      </c>
      <c r="B9" s="8" t="s">
        <v>125</v>
      </c>
      <c r="C9" s="4" t="s">
        <v>6</v>
      </c>
      <c r="D9" s="5">
        <v>2003</v>
      </c>
      <c r="E9" s="15">
        <f>SUM(J9:N9)</f>
        <v>194.2</v>
      </c>
      <c r="F9" s="3" t="str">
        <f>IF(OR(AND(AH9&gt;=AL$18,AI9&gt;=AL$22,AI9&lt;&gt;"",AG9=""),AND(BD9&gt;=BH$18,BE9&gt;=BH$22,BE9&lt;&gt;"",BC9=""),AND(BZ9&gt;=CD$18,CA9&gt;=CD$22,CA9&lt;&gt;"",BY9=""),AND(CW9&gt;=DA$18,CX9&gt;=DA$22,CX9&lt;&gt;""),AND(DR9&gt;=DV$18,DS9&gt;=DV$22,DS9&lt;&gt;""),AND(EM9&gt;=EQ$18,EN9&gt;=EQ$22,EN9&lt;&gt;""),AND(FH9&gt;=FL$18,FI9&gt;=FL$22,FI9&lt;&gt;""),AND(GC9&gt;=GG$18,GD9&gt;=GG$22,GD9&lt;&gt;""),AND(GX9&gt;=HB$18,GY9&gt;=HB$22,GY9&lt;&gt;""),AND(HS9&gt;=HW$18,HT9&gt;=HW$22,HT9&lt;&gt;""),AND(IN9&gt;=IR$18,IO9&gt;=IR$22,IO9&lt;&gt;""),AND(JI9&gt;=JM$18,JJ9&gt;=JM$22,JJ9&lt;&gt;""),AND(KD9&gt;=KH$18,KE9&gt;=KH$22,KE9&lt;&gt;""),AND(KY9&gt;=LC$18,KZ9&gt;=LC$22,KZ9&lt;&gt;""),AND(LT9&gt;=LX$18,LU9&gt;=LX$22,LU9&lt;&gt;"")),"P","")</f>
        <v/>
      </c>
      <c r="G9" s="3" t="str">
        <f>IF(OR(AND(AI9&gt;=AL$22,AI9&lt;&gt;"",AG9=""),AND(BE9&gt;=BH$22,BE9&lt;&gt;"",BC9=""),AND(CA9&gt;=CD$22,CA9&lt;&gt;"",BY9=""),AND(CX9&gt;=DA$22,CX9&lt;&gt;""),AND(DS9&gt;=DV$22,DS9&lt;&gt;""),AND(EN9&gt;=EQ$22,EN9&lt;&gt;""),AND(FI9&gt;=FL$22,FI9&lt;&gt;""),AND(GD9&gt;=GG$22,GD9&lt;&gt;""),AND(GY9&gt;=HB$22,GY9&lt;&gt;""),AND(HT9&gt;=HW$22,HT9&lt;&gt;""),AND(IO9&gt;=IR$22,IO9&lt;&gt;""),AND(JJ9&gt;=JM$22,JJ9&lt;&gt;""),AND(KE9&gt;=KH$22,KE9&lt;&gt;""),AND(KZ9&gt;=LC$22,KZ9&lt;&gt;""),AND(LU9&gt;=LX$22,LU9&lt;&gt;"")),"P","")</f>
        <v/>
      </c>
      <c r="H9" s="126" t="str">
        <f>IF(AND(G9="P",F9=""),"No DD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Merit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Excellence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Worlds Team",IF(OR(AND(AH9&gt;=AL$18,AH9&lt;&gt;"",AI9&gt;=AL$22,AI9&lt;&gt;"",AG9=""),AND(BD9&gt;=BH$18,BD9&lt;&gt;"",BE9&gt;=BH$22,BE9&lt;&gt;"",BC9=""),AND(BZ9&gt;=CD$18,BZ9&lt;&gt;"",CA9&gt;=CD$22,CA9&lt;&gt;"",BY9=""),AND(CW9&gt;=DA$18,CW9&lt;&gt;"",CX9&gt;=DA$22,CX9&lt;&gt;""),AND(DR9&gt;=DV$18,DR9&lt;&gt;"",DS9&gt;=DV$22,DS9&lt;&gt;""),AND(EM9&gt;=EQ$18,EM9&lt;&gt;"",EN9&gt;=EQ$22,EN9&lt;&gt;""),AND(FH9&gt;=FL$18,FH9&lt;&gt;"",FI9&gt;=FL$22,FI9&lt;&gt;""),AND(GC9&gt;=GG$18,GC9&lt;&gt;"",GD9&gt;=GG$22,GD9&lt;&gt;""),AND(GX9&gt;=HB$18,GX9&lt;&gt;"",GY9&gt;=HB$22,GY9&lt;&gt;""),AND(HS9&gt;=HW$18,HS9&lt;&gt;"",HT9&gt;=HW$22,HT9&lt;&gt;""),AND(IN9&gt;=IR$18,IN9&lt;&gt;"",IO9&gt;=IR$22,IO9&lt;&gt;""),AND(JI9&gt;=JM$18,JI9&lt;&gt;"",JJ9&gt;=JM$22,JJ9&lt;&gt;""),AND(KD9&gt;=KH$18,KD9&lt;&gt;"",KE9&gt;=KH$22,KE9&lt;&gt;""),AND(KY9&gt;=LC$18,KY9&lt;&gt;"",KZ9&gt;=LC$22,KZ9&lt;&gt;""),AND(LT9&gt;=LX$18,LT9&lt;&gt;"",LU9&gt;=LX$22,LU9&lt;&gt;"")),"National Team","")))))</f>
        <v/>
      </c>
      <c r="I9" s="3" t="str">
        <f>IF(OR(H9="Worlds Team",H9="Excellence",H9="Merit"),"P","")</f>
        <v/>
      </c>
      <c r="J9" s="14">
        <f>MAX(AI9,BE9,CA9)</f>
        <v>69.199999999999989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125.00000000000001</v>
      </c>
      <c r="M9" s="14" t="str">
        <f>IF(L9=0,"",IF(AND(J9&lt;&gt;CA9,L9=CD9),$BI$1,IF(AND(J9&lt;&gt;BE9,L9=BH9),$AM$1,IF(L9=AL9,$Q$1,""))))</f>
        <v>2021 Elite Canada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28.2</v>
      </c>
      <c r="R9" s="69">
        <v>7.2</v>
      </c>
      <c r="S9" s="69">
        <v>0.9</v>
      </c>
      <c r="T9" s="69">
        <v>0</v>
      </c>
      <c r="U9" s="69">
        <v>20.100000000000001</v>
      </c>
      <c r="V9" s="69">
        <v>3.2</v>
      </c>
      <c r="W9" s="69">
        <v>0</v>
      </c>
      <c r="X9" s="69">
        <v>0</v>
      </c>
      <c r="Y9" s="69">
        <v>28</v>
      </c>
      <c r="Z9" s="69">
        <v>6.9</v>
      </c>
      <c r="AA9" s="69">
        <v>0</v>
      </c>
      <c r="AB9" s="69">
        <v>0</v>
      </c>
      <c r="AC9" s="69">
        <v>28.6</v>
      </c>
      <c r="AD9" s="69">
        <v>4.3</v>
      </c>
      <c r="AE9" s="69">
        <v>1.7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57.800000000000004</v>
      </c>
      <c r="AJ9" s="11">
        <f>IF(SUM(Z9,AD9)&gt;0,SUM(Z9,AD9),"")</f>
        <v>11.2</v>
      </c>
      <c r="AK9" s="11">
        <f>IF(SUM(Y9:Z9,AB9:AD9,AF9)-SUM(AA9,AE9)&gt;0,SUM(Y9:Z9,AB9:AD9,AF9)-SUM(AA9,AE9),"")</f>
        <v>66.099999999999994</v>
      </c>
      <c r="AL9" s="11">
        <f>IF(SUM(AI9,AK9)&gt;0,SUM(AI9,AK9),"")</f>
        <v>123.9</v>
      </c>
      <c r="AM9" s="38">
        <v>27.8</v>
      </c>
      <c r="AN9" s="38">
        <v>7.3</v>
      </c>
      <c r="AO9" s="38">
        <v>0.3</v>
      </c>
      <c r="AP9" s="38">
        <v>0</v>
      </c>
      <c r="AQ9" s="38">
        <v>28.1</v>
      </c>
      <c r="AR9" s="38">
        <v>6</v>
      </c>
      <c r="AS9" s="38">
        <v>0.3</v>
      </c>
      <c r="AT9" s="38">
        <v>0</v>
      </c>
      <c r="AU9" s="38">
        <v>27.9</v>
      </c>
      <c r="AV9" s="38">
        <v>3.5</v>
      </c>
      <c r="AW9" s="38">
        <v>2.5</v>
      </c>
      <c r="AX9" s="38">
        <v>0</v>
      </c>
      <c r="AY9" s="38">
        <v>27.3</v>
      </c>
      <c r="AZ9" s="38">
        <v>3.1</v>
      </c>
      <c r="BA9" s="38">
        <v>2.9</v>
      </c>
      <c r="BB9" s="38">
        <v>0</v>
      </c>
      <c r="BC9" s="81"/>
      <c r="BD9" s="14">
        <f>IF(SUM(AN9,AR9)&gt;0,SUM(AN9,AR9),"")</f>
        <v>13.3</v>
      </c>
      <c r="BE9" s="14">
        <f>IF(SUM(AM9:AN9,AP9:AR9,AT9)-SUM(AO9,AS9)&gt;0,SUM(AM9:AN9,AP9:AR9,AT9)-SUM(AO9,AS9),"")</f>
        <v>68.600000000000009</v>
      </c>
      <c r="BF9" s="14">
        <f>IF(SUM(AV9,AZ9)&gt;0,SUM(AV9,AZ9),"")</f>
        <v>6.6</v>
      </c>
      <c r="BG9" s="14">
        <f>IF(SUM(AU9:AV9,AX9:AZ9,BB9)-SUM(AW9,BA9)&gt;0,SUM(AU9:AV9,AX9:AZ9,BB9)-SUM(AW9,BA9),"")</f>
        <v>56.400000000000006</v>
      </c>
      <c r="BH9" s="14">
        <f>IF(SUM(BE9,BG9)&gt;0,SUM(BE9,BG9),"")</f>
        <v>125.00000000000001</v>
      </c>
      <c r="BI9" s="69">
        <v>28.2</v>
      </c>
      <c r="BJ9" s="69">
        <v>5.6</v>
      </c>
      <c r="BK9" s="69">
        <v>0.4</v>
      </c>
      <c r="BL9" s="69">
        <v>0</v>
      </c>
      <c r="BM9" s="69">
        <v>28.1</v>
      </c>
      <c r="BN9" s="69">
        <v>7.7</v>
      </c>
      <c r="BO9" s="69">
        <v>0</v>
      </c>
      <c r="BP9" s="69">
        <v>0</v>
      </c>
      <c r="BQ9" s="69">
        <v>0</v>
      </c>
      <c r="BR9" s="69">
        <v>0</v>
      </c>
      <c r="BS9" s="69">
        <v>0</v>
      </c>
      <c r="BT9" s="69">
        <v>0</v>
      </c>
      <c r="BU9" s="69">
        <v>20</v>
      </c>
      <c r="BV9" s="69">
        <v>2.4</v>
      </c>
      <c r="BW9" s="69">
        <v>0</v>
      </c>
      <c r="BX9" s="69">
        <v>0</v>
      </c>
      <c r="BY9" s="80"/>
      <c r="BZ9" s="11">
        <f>IF(SUM(BJ9,BN9)&gt;0,SUM(BJ9,BN9),"")</f>
        <v>13.3</v>
      </c>
      <c r="CA9" s="11">
        <f>IF(SUM(BI9:BJ9,BL9:BN9,BP9)-SUM(BK9,BO9)&gt;0,SUM(BI9:BJ9,BL9:BN9,BP9)-SUM(BK9,BO9),"")</f>
        <v>69.199999999999989</v>
      </c>
      <c r="CB9" s="11">
        <f>IF(SUM(BR9,BV9)&gt;0,SUM(BR9,BV9),"")</f>
        <v>2.4</v>
      </c>
      <c r="CC9" s="11">
        <f>IF(SUM(BQ9:BR9,BT9:BV9,BX9)-SUM(BS9,BW9)&gt;0,SUM(BQ9:BR9,BT9:BV9,BX9)-SUM(BS9,BW9),"")</f>
        <v>22.4</v>
      </c>
      <c r="CD9" s="11">
        <f>IF(SUM(CA9,CC9)&gt;0,SUM(CA9,CC9),"")</f>
        <v>91.6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</v>
      </c>
      <c r="LZ9" s="69">
        <f>IF($BY9="P",BJ9,(BJ9+AN9)/2)</f>
        <v>6.4499999999999993</v>
      </c>
      <c r="MA9" s="69">
        <f>IF($BY9="P",BK9,(BK9+AO9)/2)</f>
        <v>0.35</v>
      </c>
      <c r="MB9" s="69">
        <f>IF($BY9="P",BL9,(BL9+AP9)/2)</f>
        <v>0</v>
      </c>
      <c r="MC9" s="69">
        <f>IF($BY9="P",BM9,(BM9+AQ9)/2)</f>
        <v>28.1</v>
      </c>
      <c r="MD9" s="69">
        <f>IF($BY9="P",BN9,(BN9+AR9)/2)</f>
        <v>6.85</v>
      </c>
      <c r="ME9" s="69">
        <f>IF($BY9="P",BO9,(BO9+AS9)/2)</f>
        <v>0.15</v>
      </c>
      <c r="MF9" s="69">
        <f>IF($BY9="P",BP9,(BP9+AT9)/2)</f>
        <v>0</v>
      </c>
      <c r="MG9" s="69">
        <f>IF($BY9="P",BQ9,(BQ9+AU9)/2)</f>
        <v>13.95</v>
      </c>
      <c r="MH9" s="69">
        <f>IF($BY9="P",BR9,(BR9+AV9)/2)</f>
        <v>1.75</v>
      </c>
      <c r="MI9" s="69">
        <f>IF($BY9="P",BS9,(BS9+AW9)/2)</f>
        <v>1.25</v>
      </c>
      <c r="MJ9" s="69">
        <f>IF($BY9="P",BT9,(BT9+AX9)/2)</f>
        <v>0</v>
      </c>
      <c r="MK9" s="69">
        <f>IF($BY9="P",BU9,(BU9+AY9)/2)</f>
        <v>23.65</v>
      </c>
      <c r="ML9" s="69">
        <f>IF($BY9="P",BV9,(BV9+AZ9)/2)</f>
        <v>2.75</v>
      </c>
      <c r="MM9" s="69">
        <f>IF($BY9="P",BW9,(BW9+BA9)/2)</f>
        <v>1.45</v>
      </c>
      <c r="MN9" s="69">
        <f>IF($BY9="P",BX9,(BX9+BB9)/2)</f>
        <v>0</v>
      </c>
      <c r="MO9" s="80" t="s">
        <v>74</v>
      </c>
      <c r="MP9" s="11">
        <f>IF(SUM(LZ9,MD9)&gt;0,SUM(LZ9,MD9),"")</f>
        <v>13.299999999999999</v>
      </c>
      <c r="MQ9" s="11">
        <f>IF(SUM(LY9:LZ9,MB9:MD9,MF9)-SUM(MA9,ME9)&gt;0,SUM(LY9:LZ9,MB9:MD9,MF9)-SUM(MA9,ME9),"")</f>
        <v>68.900000000000006</v>
      </c>
      <c r="MR9" s="11">
        <f>IF(SUM(MH9,ML9)&gt;0,SUM(MH9,ML9),"")</f>
        <v>4.5</v>
      </c>
      <c r="MS9" s="11">
        <f>IF(SUM(MG9:MH9,MJ9:ML9,MN9)-SUM(MI9,MM9)&gt;0,SUM(MG9:MH9,MJ9:ML9,MN9)-SUM(MI9,MM9),"")</f>
        <v>39.399999999999991</v>
      </c>
      <c r="MT9" s="11">
        <f>IF(SUM(MQ9,MS9)&gt;0,SUM(MQ9,MS9),"")</f>
        <v>108.3</v>
      </c>
    </row>
    <row r="10" spans="1:358" x14ac:dyDescent="0.2">
      <c r="A10" s="5" t="str">
        <f>IF(AND(F10="P",G10="P"),SUMPRODUCT((F$4:F$16="P")*(G$4:G$16="P")*(E$4:E$16&gt;E10))+1,IF(G10="P",SUMPRODUCT((F$4:F$16="")*(G$4:G$16="P")*(E$4:E$16&gt;E10))+1+SUMPRODUCT((F$4:F$16="P")*(G$4:G$16="P")),""))</f>
        <v/>
      </c>
      <c r="B10" s="8" t="s">
        <v>124</v>
      </c>
      <c r="C10" s="4" t="s">
        <v>9</v>
      </c>
      <c r="D10" s="5">
        <v>2000</v>
      </c>
      <c r="E10" s="15">
        <f>SUM(J10:N10)</f>
        <v>193.10000000000002</v>
      </c>
      <c r="F10" s="3" t="str">
        <f>IF(OR(AND(AH10&gt;=AL$18,AI10&gt;=AL$22,AI10&lt;&gt;"",AG10=""),AND(BD10&gt;=BH$18,BE10&gt;=BH$22,BE10&lt;&gt;"",BC10=""),AND(BZ10&gt;=CD$18,CA10&gt;=CD$22,CA10&lt;&gt;"",BY10=""),AND(CW10&gt;=DA$18,CX10&gt;=DA$22,CX10&lt;&gt;""),AND(DR10&gt;=DV$18,DS10&gt;=DV$22,DS10&lt;&gt;""),AND(EM10&gt;=EQ$18,EN10&gt;=EQ$22,EN10&lt;&gt;""),AND(FH10&gt;=FL$18,FI10&gt;=FL$22,FI10&lt;&gt;""),AND(GC10&gt;=GG$18,GD10&gt;=GG$22,GD10&lt;&gt;""),AND(GX10&gt;=HB$18,GY10&gt;=HB$22,GY10&lt;&gt;""),AND(HS10&gt;=HW$18,HT10&gt;=HW$22,HT10&lt;&gt;""),AND(IN10&gt;=IR$18,IO10&gt;=IR$22,IO10&lt;&gt;""),AND(JI10&gt;=JM$18,JJ10&gt;=JM$22,JJ10&lt;&gt;""),AND(KD10&gt;=KH$18,KE10&gt;=KH$22,KE10&lt;&gt;""),AND(KY10&gt;=LC$18,KZ10&gt;=LC$22,KZ10&lt;&gt;""),AND(LT10&gt;=LX$18,LU10&gt;=LX$22,LU10&lt;&gt;"")),"P","")</f>
        <v/>
      </c>
      <c r="G10" s="3" t="str">
        <f>IF(OR(AND(AI10&gt;=AL$22,AI10&lt;&gt;"",AG10=""),AND(BE10&gt;=BH$22,BE10&lt;&gt;"",BC10=""),AND(CA10&gt;=CD$22,CA10&lt;&gt;"",BY10=""),AND(CX10&gt;=DA$22,CX10&lt;&gt;""),AND(DS10&gt;=DV$22,DS10&lt;&gt;""),AND(EN10&gt;=EQ$22,EN10&lt;&gt;""),AND(FI10&gt;=FL$22,FI10&lt;&gt;""),AND(GD10&gt;=GG$22,GD10&lt;&gt;""),AND(GY10&gt;=HB$22,GY10&lt;&gt;""),AND(HT10&gt;=HW$22,HT10&lt;&gt;""),AND(IO10&gt;=IR$22,IO10&lt;&gt;""),AND(JJ10&gt;=JM$22,JJ10&lt;&gt;""),AND(KE10&gt;=KH$22,KE10&lt;&gt;""),AND(KZ10&gt;=LC$22,KZ10&lt;&gt;""),AND(LU10&gt;=LX$22,LU10&lt;&gt;"")),"P","")</f>
        <v/>
      </c>
      <c r="H10" s="126" t="str">
        <f>IF(AND(G10="P",F10=""),"No DD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Merit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Excellence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Worlds Team",IF(OR(AND(AH10&gt;=AL$18,AH10&lt;&gt;"",AI10&gt;=AL$22,AI10&lt;&gt;"",AG10=""),AND(BD10&gt;=BH$18,BD10&lt;&gt;"",BE10&gt;=BH$22,BE10&lt;&gt;"",BC10=""),AND(BZ10&gt;=CD$18,BZ10&lt;&gt;"",CA10&gt;=CD$22,CA10&lt;&gt;"",BY10=""),AND(CW10&gt;=DA$18,CW10&lt;&gt;"",CX10&gt;=DA$22,CX10&lt;&gt;""),AND(DR10&gt;=DV$18,DR10&lt;&gt;"",DS10&gt;=DV$22,DS10&lt;&gt;""),AND(EM10&gt;=EQ$18,EM10&lt;&gt;"",EN10&gt;=EQ$22,EN10&lt;&gt;""),AND(FH10&gt;=FL$18,FH10&lt;&gt;"",FI10&gt;=FL$22,FI10&lt;&gt;""),AND(GC10&gt;=GG$18,GC10&lt;&gt;"",GD10&gt;=GG$22,GD10&lt;&gt;""),AND(GX10&gt;=HB$18,GX10&lt;&gt;"",GY10&gt;=HB$22,GY10&lt;&gt;""),AND(HS10&gt;=HW$18,HS10&lt;&gt;"",HT10&gt;=HW$22,HT10&lt;&gt;""),AND(IN10&gt;=IR$18,IN10&lt;&gt;"",IO10&gt;=IR$22,IO10&lt;&gt;""),AND(JI10&gt;=JM$18,JI10&lt;&gt;"",JJ10&gt;=JM$22,JJ10&lt;&gt;""),AND(KD10&gt;=KH$18,KD10&lt;&gt;"",KE10&gt;=KH$22,KE10&lt;&gt;""),AND(KY10&gt;=LC$18,KY10&lt;&gt;"",KZ10&gt;=LC$22,KZ10&lt;&gt;""),AND(LT10&gt;=LX$18,LT10&lt;&gt;"",LU10&gt;=LX$22,LU10&lt;&gt;"")),"National Team","")))))</f>
        <v/>
      </c>
      <c r="I10" s="3" t="str">
        <f>IF(OR(H10="Worlds Team",H10="Excellence",H10="Merit"),"P","")</f>
        <v/>
      </c>
      <c r="J10" s="14">
        <f>MAX(AI10,BE10,CA10)</f>
        <v>65.500000000000014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127.6</v>
      </c>
      <c r="M10" s="14" t="str">
        <f>IF(L10=0,"",IF(AND(J10&lt;&gt;CA10,L10=CD10),$BI$1,IF(AND(J10&lt;&gt;BE10,L10=BH10),$AM$1,IF(L10=AL10,$Q$1,""))))</f>
        <v>2021 Canadian Championships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25.6</v>
      </c>
      <c r="R10" s="69">
        <v>7.6</v>
      </c>
      <c r="S10" s="69">
        <v>1.5</v>
      </c>
      <c r="T10" s="69">
        <v>0</v>
      </c>
      <c r="U10" s="69">
        <v>27.7</v>
      </c>
      <c r="V10" s="69">
        <v>6.4</v>
      </c>
      <c r="W10" s="69">
        <v>0.3</v>
      </c>
      <c r="X10" s="69">
        <v>0</v>
      </c>
      <c r="Y10" s="69">
        <v>26.8</v>
      </c>
      <c r="Z10" s="69">
        <v>6.4</v>
      </c>
      <c r="AA10" s="69">
        <v>0.3</v>
      </c>
      <c r="AB10" s="69">
        <v>0</v>
      </c>
      <c r="AC10" s="69">
        <v>28</v>
      </c>
      <c r="AD10" s="69">
        <v>2.4</v>
      </c>
      <c r="AE10" s="69">
        <v>3.9</v>
      </c>
      <c r="AF10" s="69">
        <v>0</v>
      </c>
      <c r="AG10" s="80"/>
      <c r="AH10" s="11">
        <f>IF(SUM(R10,V10)&gt;0,SUM(R10,V10),"")</f>
        <v>14</v>
      </c>
      <c r="AI10" s="11">
        <f>IF(SUM(Q10:R10,T10:V10,X10)-SUM(S10,W10)&gt;0,SUM(Q10:R10,T10:V10,X10)-SUM(S10,W10),"")</f>
        <v>65.500000000000014</v>
      </c>
      <c r="AJ10" s="11">
        <f>IF(SUM(Z10,AD10)&gt;0,SUM(Z10,AD10),"")</f>
        <v>8.8000000000000007</v>
      </c>
      <c r="AK10" s="11">
        <f>IF(SUM(Y10:Z10,AB10:AD10,AF10)-SUM(AA10,AE10)&gt;0,SUM(Y10:Z10,AB10:AD10,AF10)-SUM(AA10,AE10),"")</f>
        <v>59.4</v>
      </c>
      <c r="AL10" s="11">
        <f>IF(SUM(AI10,AK10)&gt;0,SUM(AI10,AK10),"")</f>
        <v>124.9</v>
      </c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81"/>
      <c r="BD10" s="14" t="str">
        <f>IF(SUM(AN10,AR10)&gt;0,SUM(AN10,AR10),"")</f>
        <v/>
      </c>
      <c r="BE10" s="14" t="str">
        <f>IF(SUM(AM10:AN10,AP10:AR10,AT10)-SUM(AO10,AS10)&gt;0,SUM(AM10:AN10,AP10:AR10,AT10)-SUM(AO10,AS10),"")</f>
        <v/>
      </c>
      <c r="BF10" s="14" t="str">
        <f>IF(SUM(AV10,AZ10)&gt;0,SUM(AV10,AZ10),"")</f>
        <v/>
      </c>
      <c r="BG10" s="14" t="str">
        <f>IF(SUM(AU10:AV10,AX10:AZ10,BB10)-SUM(AW10,BA10)&gt;0,SUM(AU10:AV10,AX10:AZ10,BB10)-SUM(AW10,BA10),"")</f>
        <v/>
      </c>
      <c r="BH10" s="14" t="str">
        <f>IF(SUM(BE10,BG10)&gt;0,SUM(BE10,BG10),"")</f>
        <v/>
      </c>
      <c r="BI10" s="69">
        <v>25.7</v>
      </c>
      <c r="BJ10" s="69">
        <v>6</v>
      </c>
      <c r="BK10" s="69">
        <v>1.8</v>
      </c>
      <c r="BL10" s="69">
        <v>0</v>
      </c>
      <c r="BM10" s="69">
        <v>28</v>
      </c>
      <c r="BN10" s="69">
        <v>6</v>
      </c>
      <c r="BO10" s="69">
        <v>0.3</v>
      </c>
      <c r="BP10" s="69">
        <v>0</v>
      </c>
      <c r="BQ10" s="69">
        <v>27.2</v>
      </c>
      <c r="BR10" s="69">
        <v>6</v>
      </c>
      <c r="BS10" s="69">
        <v>0.3</v>
      </c>
      <c r="BT10" s="69">
        <v>0</v>
      </c>
      <c r="BU10" s="69">
        <v>27.9</v>
      </c>
      <c r="BV10" s="69">
        <v>4.5999999999999996</v>
      </c>
      <c r="BW10" s="69">
        <v>1.4</v>
      </c>
      <c r="BX10" s="69">
        <v>0</v>
      </c>
      <c r="BY10" s="80"/>
      <c r="BZ10" s="11">
        <f>IF(SUM(BJ10,BN10)&gt;0,SUM(BJ10,BN10),"")</f>
        <v>12</v>
      </c>
      <c r="CA10" s="11">
        <f>IF(SUM(BI10:BJ10,BL10:BN10,BP10)-SUM(BK10,BO10)&gt;0,SUM(BI10:BJ10,BL10:BN10,BP10)-SUM(BK10,BO10),"")</f>
        <v>63.6</v>
      </c>
      <c r="CB10" s="11">
        <f>IF(SUM(BR10,BV10)&gt;0,SUM(BR10,BV10),"")</f>
        <v>10.6</v>
      </c>
      <c r="CC10" s="11">
        <f>IF(SUM(BQ10:BR10,BT10:BV10,BX10)-SUM(BS10,BW10)&gt;0,SUM(BQ10:BR10,BT10:BV10,BX10)-SUM(BS10,BW10),"")</f>
        <v>64</v>
      </c>
      <c r="CD10" s="11">
        <f>IF(SUM(CA10,CC10)&gt;0,SUM(CA10,CC10),"")</f>
        <v>127.6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12.85</v>
      </c>
      <c r="LZ10" s="69">
        <f>IF($BY10="P",BJ10,(BJ10+AN10)/2)</f>
        <v>3</v>
      </c>
      <c r="MA10" s="69">
        <f>IF($BY10="P",BK10,(BK10+AO10)/2)</f>
        <v>0.9</v>
      </c>
      <c r="MB10" s="69">
        <f>IF($BY10="P",BL10,(BL10+AP10)/2)</f>
        <v>0</v>
      </c>
      <c r="MC10" s="69">
        <f>IF($BY10="P",BM10,(BM10+AQ10)/2)</f>
        <v>14</v>
      </c>
      <c r="MD10" s="69">
        <f>IF($BY10="P",BN10,(BN10+AR10)/2)</f>
        <v>3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13.6</v>
      </c>
      <c r="MH10" s="69">
        <f>IF($BY10="P",BR10,(BR10+AV10)/2)</f>
        <v>3</v>
      </c>
      <c r="MI10" s="69">
        <f>IF($BY10="P",BS10,(BS10+AW10)/2)</f>
        <v>0.15</v>
      </c>
      <c r="MJ10" s="69">
        <f>IF($BY10="P",BT10,(BT10+AX10)/2)</f>
        <v>0</v>
      </c>
      <c r="MK10" s="69">
        <f>IF($BY10="P",BU10,(BU10+AY10)/2)</f>
        <v>13.95</v>
      </c>
      <c r="ML10" s="69">
        <f>IF($BY10="P",BV10,(BV10+AZ10)/2)</f>
        <v>2.2999999999999998</v>
      </c>
      <c r="MM10" s="69">
        <f>IF($BY10="P",BW10,(BW10+BA10)/2)</f>
        <v>0.7</v>
      </c>
      <c r="MN10" s="69">
        <f>IF($BY10="P",BX10,(BX10+BB10)/2)</f>
        <v>0</v>
      </c>
      <c r="MO10" s="80" t="s">
        <v>74</v>
      </c>
      <c r="MP10" s="11">
        <f>IF(SUM(LZ10,MD10)&gt;0,SUM(LZ10,MD10),"")</f>
        <v>6</v>
      </c>
      <c r="MQ10" s="11">
        <f>IF(SUM(LY10:LZ10,MB10:MD10,MF10)-SUM(MA10,ME10)&gt;0,SUM(LY10:LZ10,MB10:MD10,MF10)-SUM(MA10,ME10),"")</f>
        <v>31.8</v>
      </c>
      <c r="MR10" s="11">
        <f>IF(SUM(MH10,ML10)&gt;0,SUM(MH10,ML10),"")</f>
        <v>5.3</v>
      </c>
      <c r="MS10" s="11">
        <f>IF(SUM(MG10:MH10,MJ10:ML10,MN10)-SUM(MI10,MM10)&gt;0,SUM(MG10:MH10,MJ10:ML10,MN10)-SUM(MI10,MM10),"")</f>
        <v>32</v>
      </c>
      <c r="MT10" s="11">
        <f>IF(SUM(MQ10,MS10)&gt;0,SUM(MQ10,MS10),"")</f>
        <v>63.8</v>
      </c>
    </row>
    <row r="11" spans="1:358" x14ac:dyDescent="0.2">
      <c r="A11" s="5" t="str">
        <f>IF(AND(F11="P",G11="P"),SUMPRODUCT((F$4:F$16="P")*(G$4:G$16="P")*(E$4:E$16&gt;E11))+1,IF(G11="P",SUMPRODUCT((F$4:F$16="")*(G$4:G$16="P")*(E$4:E$16&gt;E11))+1+SUMPRODUCT((F$4:F$16="P")*(G$4:G$16="P")),""))</f>
        <v/>
      </c>
      <c r="B11" s="8" t="s">
        <v>10</v>
      </c>
      <c r="C11" s="4" t="s">
        <v>5</v>
      </c>
      <c r="D11" s="5">
        <v>1994</v>
      </c>
      <c r="E11" s="15">
        <f>SUM(J11:N11)</f>
        <v>181.10000000000002</v>
      </c>
      <c r="F11" s="3" t="str">
        <f>IF(OR(AND(AH11&gt;=AL$18,AI11&gt;=AL$22,AI11&lt;&gt;"",AG11=""),AND(BD11&gt;=BH$18,BE11&gt;=BH$22,BE11&lt;&gt;"",BC11=""),AND(BZ11&gt;=CD$18,CA11&gt;=CD$22,CA11&lt;&gt;"",BY11=""),AND(CW11&gt;=DA$18,CX11&gt;=DA$22,CX11&lt;&gt;""),AND(DR11&gt;=DV$18,DS11&gt;=DV$22,DS11&lt;&gt;""),AND(EM11&gt;=EQ$18,EN11&gt;=EQ$22,EN11&lt;&gt;""),AND(FH11&gt;=FL$18,FI11&gt;=FL$22,FI11&lt;&gt;""),AND(GC11&gt;=GG$18,GD11&gt;=GG$22,GD11&lt;&gt;""),AND(GX11&gt;=HB$18,GY11&gt;=HB$22,GY11&lt;&gt;""),AND(HS11&gt;=HW$18,HT11&gt;=HW$22,HT11&lt;&gt;""),AND(IN11&gt;=IR$18,IO11&gt;=IR$22,IO11&lt;&gt;""),AND(JI11&gt;=JM$18,JJ11&gt;=JM$22,JJ11&lt;&gt;""),AND(KD11&gt;=KH$18,KE11&gt;=KH$22,KE11&lt;&gt;""),AND(KY11&gt;=LC$18,KZ11&gt;=LC$22,KZ11&lt;&gt;""),AND(LT11&gt;=LX$18,LU11&gt;=LX$22,LU11&lt;&gt;"")),"P","")</f>
        <v/>
      </c>
      <c r="G11" s="3" t="str">
        <f>IF(OR(AND(AI11&gt;=AL$22,AI11&lt;&gt;"",AG11=""),AND(BE11&gt;=BH$22,BE11&lt;&gt;"",BC11=""),AND(CA11&gt;=CD$22,CA11&lt;&gt;"",BY11=""),AND(CX11&gt;=DA$22,CX11&lt;&gt;""),AND(DS11&gt;=DV$22,DS11&lt;&gt;""),AND(EN11&gt;=EQ$22,EN11&lt;&gt;""),AND(FI11&gt;=FL$22,FI11&lt;&gt;""),AND(GD11&gt;=GG$22,GD11&lt;&gt;""),AND(GY11&gt;=HB$22,GY11&lt;&gt;""),AND(HT11&gt;=HW$22,HT11&lt;&gt;""),AND(IO11&gt;=IR$22,IO11&lt;&gt;""),AND(JJ11&gt;=JM$22,JJ11&lt;&gt;""),AND(KE11&gt;=KH$22,KE11&lt;&gt;""),AND(KZ11&gt;=LC$22,KZ11&lt;&gt;""),AND(LU11&gt;=LX$22,LU11&lt;&gt;"")),"P","")</f>
        <v/>
      </c>
      <c r="H11" s="126" t="str">
        <f>IF(AND(G11="P",F11=""),"No DD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Merit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Excellence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Worlds Team",IF(OR(AND(AH11&gt;=AL$18,AH11&lt;&gt;"",AI11&gt;=AL$22,AI11&lt;&gt;"",AG11=""),AND(BD11&gt;=BH$18,BD11&lt;&gt;"",BE11&gt;=BH$22,BE11&lt;&gt;"",BC11=""),AND(BZ11&gt;=CD$18,BZ11&lt;&gt;"",CA11&gt;=CD$22,CA11&lt;&gt;"",BY11=""),AND(CW11&gt;=DA$18,CW11&lt;&gt;"",CX11&gt;=DA$22,CX11&lt;&gt;""),AND(DR11&gt;=DV$18,DR11&lt;&gt;"",DS11&gt;=DV$22,DS11&lt;&gt;""),AND(EM11&gt;=EQ$18,EM11&lt;&gt;"",EN11&gt;=EQ$22,EN11&lt;&gt;""),AND(FH11&gt;=FL$18,FH11&lt;&gt;"",FI11&gt;=FL$22,FI11&lt;&gt;""),AND(GC11&gt;=GG$18,GC11&lt;&gt;"",GD11&gt;=GG$22,GD11&lt;&gt;""),AND(GX11&gt;=HB$18,GX11&lt;&gt;"",GY11&gt;=HB$22,GY11&lt;&gt;""),AND(HS11&gt;=HW$18,HS11&lt;&gt;"",HT11&gt;=HW$22,HT11&lt;&gt;""),AND(IN11&gt;=IR$18,IN11&lt;&gt;"",IO11&gt;=IR$22,IO11&lt;&gt;""),AND(JI11&gt;=JM$18,JI11&lt;&gt;"",JJ11&gt;=JM$22,JJ11&lt;&gt;""),AND(KD11&gt;=KH$18,KD11&lt;&gt;"",KE11&gt;=KH$22,KE11&lt;&gt;""),AND(KY11&gt;=LC$18,KY11&lt;&gt;"",KZ11&gt;=LC$22,KZ11&lt;&gt;""),AND(LT11&gt;=LX$18,LT11&lt;&gt;"",LU11&gt;=LX$22,LU11&lt;&gt;"")),"National Team","")))))</f>
        <v/>
      </c>
      <c r="I11" s="3" t="str">
        <f>IF(OR(H11="Worlds Team",H11="Excellence",H11="Merit"),"P","")</f>
        <v/>
      </c>
      <c r="J11" s="14">
        <f>MAX(AI11,BE11,CA11)</f>
        <v>64.7</v>
      </c>
      <c r="K11" s="14" t="str">
        <f>IF(J11=0,"",IF(J11=CA11,$BI$1,IF(J11=BE11,$AM$1,IF(J11=AI11,$Q$1,""))))</f>
        <v>2021 Elite Canada</v>
      </c>
      <c r="L11" s="14">
        <f>IF(J11=AI11,MAX(BH11,CD11),IF(J11=BE11,MAX(AL11,CD11),MAX(AL11,BH11)))</f>
        <v>116.4</v>
      </c>
      <c r="M11" s="14" t="str">
        <f>IF(L11=0,"",IF(AND(J11&lt;&gt;CA11,L11=CD11),$BI$1,IF(AND(J11&lt;&gt;BE11,L11=BH11),$AM$1,IF(L11=AL11,$Q$1,""))))</f>
        <v>2021 2nd Virtual Technical Trial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20.3</v>
      </c>
      <c r="R11" s="69">
        <v>4</v>
      </c>
      <c r="S11" s="69">
        <v>0</v>
      </c>
      <c r="T11" s="69">
        <v>0</v>
      </c>
      <c r="U11" s="69">
        <v>28.2</v>
      </c>
      <c r="V11" s="69">
        <v>7.2</v>
      </c>
      <c r="W11" s="69">
        <v>0.3</v>
      </c>
      <c r="X11" s="69">
        <v>0</v>
      </c>
      <c r="Y11" s="69">
        <v>20.399999999999999</v>
      </c>
      <c r="Z11" s="69">
        <v>2.8</v>
      </c>
      <c r="AA11" s="69">
        <v>0</v>
      </c>
      <c r="AB11" s="69">
        <v>0</v>
      </c>
      <c r="AC11" s="69">
        <v>27.3</v>
      </c>
      <c r="AD11" s="69">
        <v>6.8</v>
      </c>
      <c r="AE11" s="69">
        <v>0.3</v>
      </c>
      <c r="AF11" s="69">
        <v>0</v>
      </c>
      <c r="AG11" s="80"/>
      <c r="AH11" s="11">
        <f>IF(SUM(R11,V11)&gt;0,SUM(R11,V11),"")</f>
        <v>11.2</v>
      </c>
      <c r="AI11" s="11">
        <f>IF(SUM(Q11:R11,T11:V11,X11)-SUM(S11,W11)&gt;0,SUM(Q11:R11,T11:V11,X11)-SUM(S11,W11),"")</f>
        <v>59.400000000000006</v>
      </c>
      <c r="AJ11" s="11">
        <f>IF(SUM(Z11,AD11)&gt;0,SUM(Z11,AD11),"")</f>
        <v>9.6</v>
      </c>
      <c r="AK11" s="11">
        <f>IF(SUM(Y11:Z11,AB11:AD11,AF11)-SUM(AA11,AE11)&gt;0,SUM(Y11:Z11,AB11:AD11,AF11)-SUM(AA11,AE11),"")</f>
        <v>57</v>
      </c>
      <c r="AL11" s="11">
        <f>IF(SUM(AI11,AK11)&gt;0,SUM(AI11,AK11),"")</f>
        <v>116.4</v>
      </c>
      <c r="AM11" s="38">
        <v>24.1</v>
      </c>
      <c r="AN11" s="38">
        <v>5.8</v>
      </c>
      <c r="AO11" s="38">
        <v>0.15</v>
      </c>
      <c r="AP11" s="38">
        <v>0</v>
      </c>
      <c r="AQ11" s="38">
        <v>27.9</v>
      </c>
      <c r="AR11" s="38">
        <v>7.2</v>
      </c>
      <c r="AS11" s="38">
        <v>0.15</v>
      </c>
      <c r="AT11" s="38">
        <v>0</v>
      </c>
      <c r="AU11" s="38">
        <v>24.2</v>
      </c>
      <c r="AV11" s="38">
        <v>4.8499999999999996</v>
      </c>
      <c r="AW11" s="38">
        <v>0</v>
      </c>
      <c r="AX11" s="38">
        <v>0</v>
      </c>
      <c r="AY11" s="38">
        <v>27.15</v>
      </c>
      <c r="AZ11" s="38">
        <v>7</v>
      </c>
      <c r="BA11" s="38">
        <v>0.3</v>
      </c>
      <c r="BB11" s="38">
        <v>0</v>
      </c>
      <c r="BC11" s="81" t="s">
        <v>74</v>
      </c>
      <c r="BD11" s="14">
        <f>IF(SUM(AN11,AR11)&gt;0,SUM(AN11,AR11),"")</f>
        <v>13</v>
      </c>
      <c r="BE11" s="14">
        <f>IF(SUM(AM11:AN11,AP11:AR11,AT11)-SUM(AO11,AS11)&gt;0,SUM(AM11:AN11,AP11:AR11,AT11)-SUM(AO11,AS11),"")</f>
        <v>64.7</v>
      </c>
      <c r="BF11" s="14">
        <f>IF(SUM(AV11,AZ11)&gt;0,SUM(AV11,AZ11),"")</f>
        <v>11.85</v>
      </c>
      <c r="BG11" s="14">
        <f>IF(SUM(AU11:AV11,AX11:AZ11,BB11)-SUM(AW11,BA11)&gt;0,SUM(AU11:AV11,AX11:AZ11,BB11)-SUM(AW11,BA11),"")</f>
        <v>62.9</v>
      </c>
      <c r="BH11" s="14">
        <f>IF(SUM(BE11,BG11)&gt;0,SUM(BE11,BG11),"")</f>
        <v>127.6</v>
      </c>
      <c r="BI11" s="69">
        <v>20.2</v>
      </c>
      <c r="BJ11" s="69">
        <v>2.8</v>
      </c>
      <c r="BK11" s="69">
        <v>0</v>
      </c>
      <c r="BL11" s="69">
        <v>0</v>
      </c>
      <c r="BM11" s="69">
        <v>28.3</v>
      </c>
      <c r="BN11" s="69">
        <v>7.6</v>
      </c>
      <c r="BO11" s="69">
        <v>0.9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10.399999999999999</v>
      </c>
      <c r="CA11" s="11">
        <f>IF(SUM(BI11:BJ11,BL11:BN11,BP11)-SUM(BK11,BO11)&gt;0,SUM(BI11:BJ11,BL11:BN11,BP11)-SUM(BK11,BO11),"")</f>
        <v>58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58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22.15</v>
      </c>
      <c r="LZ11" s="69">
        <f>IF($BY11="P",BJ11,(BJ11+AN11)/2)</f>
        <v>4.3</v>
      </c>
      <c r="MA11" s="69">
        <f>IF($BY11="P",BK11,(BK11+AO11)/2)</f>
        <v>7.4999999999999997E-2</v>
      </c>
      <c r="MB11" s="69">
        <f>IF($BY11="P",BL11,(BL11+AP11)/2)</f>
        <v>0</v>
      </c>
      <c r="MC11" s="69">
        <f>IF($BY11="P",BM11,(BM11+AQ11)/2)</f>
        <v>28.1</v>
      </c>
      <c r="MD11" s="69">
        <f>IF($BY11="P",BN11,(BN11+AR11)/2)</f>
        <v>7.4</v>
      </c>
      <c r="ME11" s="69">
        <f>IF($BY11="P",BO11,(BO11+AS11)/2)</f>
        <v>0.52500000000000002</v>
      </c>
      <c r="MF11" s="69">
        <f>IF($BY11="P",BP11,(BP11+AT11)/2)</f>
        <v>0</v>
      </c>
      <c r="MG11" s="69">
        <f>IF($BY11="P",BQ11,(BQ11+AU11)/2)</f>
        <v>12.1</v>
      </c>
      <c r="MH11" s="69">
        <f>IF($BY11="P",BR11,(BR11+AV11)/2)</f>
        <v>2.4249999999999998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13.574999999999999</v>
      </c>
      <c r="ML11" s="69">
        <f>IF($BY11="P",BV11,(BV11+AZ11)/2)</f>
        <v>3.5</v>
      </c>
      <c r="MM11" s="69">
        <f>IF($BY11="P",BW11,(BW11+BA11)/2)</f>
        <v>0.15</v>
      </c>
      <c r="MN11" s="69">
        <f>IF($BY11="P",BX11,(BX11+BB11)/2)</f>
        <v>0</v>
      </c>
      <c r="MO11" s="80" t="s">
        <v>74</v>
      </c>
      <c r="MP11" s="11">
        <f>IF(SUM(LZ11,MD11)&gt;0,SUM(LZ11,MD11),"")</f>
        <v>11.7</v>
      </c>
      <c r="MQ11" s="11">
        <f>IF(SUM(LY11:LZ11,MB11:MD11,MF11)-SUM(MA11,ME11)&gt;0,SUM(LY11:LZ11,MB11:MD11,MF11)-SUM(MA11,ME11),"")</f>
        <v>61.349999999999994</v>
      </c>
      <c r="MR11" s="11">
        <f>IF(SUM(MH11,ML11)&gt;0,SUM(MH11,ML11),"")</f>
        <v>5.9249999999999998</v>
      </c>
      <c r="MS11" s="11">
        <f>IF(SUM(MG11:MH11,MJ11:ML11,MN11)-SUM(MI11,MM11)&gt;0,SUM(MG11:MH11,MJ11:ML11,MN11)-SUM(MI11,MM11),"")</f>
        <v>31.45</v>
      </c>
      <c r="MT11" s="11">
        <f>IF(SUM(MQ11,MS11)&gt;0,SUM(MQ11,MS11),"")</f>
        <v>92.8</v>
      </c>
    </row>
    <row r="12" spans="1:358" x14ac:dyDescent="0.2">
      <c r="A12" s="5" t="str">
        <f>IF(AND(F12="P",G12="P"),SUMPRODUCT((F$4:F$16="P")*(G$4:G$16="P")*(E$4:E$16&gt;E12))+1,IF(G12="P",SUMPRODUCT((F$4:F$16="")*(G$4:G$16="P")*(E$4:E$16&gt;E12))+1+SUMPRODUCT((F$4:F$16="P")*(G$4:G$16="P")),""))</f>
        <v/>
      </c>
      <c r="B12" s="8" t="s">
        <v>118</v>
      </c>
      <c r="C12" s="4" t="s">
        <v>6</v>
      </c>
      <c r="D12" s="5">
        <v>2002</v>
      </c>
      <c r="E12" s="15">
        <f>SUM(J12:N12)</f>
        <v>67.2</v>
      </c>
      <c r="F12" s="3" t="str">
        <f>IF(OR(AND(AH12&gt;=AL$18,AI12&gt;=AL$22,AI12&lt;&gt;"",AG12=""),AND(BD12&gt;=BH$18,BE12&gt;=BH$22,BE12&lt;&gt;"",BC12=""),AND(BZ12&gt;=CD$18,CA12&gt;=CD$22,CA12&lt;&gt;"",BY12=""),AND(CW12&gt;=DA$18,CX12&gt;=DA$22,CX12&lt;&gt;""),AND(DR12&gt;=DV$18,DS12&gt;=DV$22,DS12&lt;&gt;""),AND(EM12&gt;=EQ$18,EN12&gt;=EQ$22,EN12&lt;&gt;""),AND(FH12&gt;=FL$18,FI12&gt;=FL$22,FI12&lt;&gt;""),AND(GC12&gt;=GG$18,GD12&gt;=GG$22,GD12&lt;&gt;""),AND(GX12&gt;=HB$18,GY12&gt;=HB$22,GY12&lt;&gt;""),AND(HS12&gt;=HW$18,HT12&gt;=HW$22,HT12&lt;&gt;""),AND(IN12&gt;=IR$18,IO12&gt;=IR$22,IO12&lt;&gt;""),AND(JI12&gt;=JM$18,JJ12&gt;=JM$22,JJ12&lt;&gt;""),AND(KD12&gt;=KH$18,KE12&gt;=KH$22,KE12&lt;&gt;""),AND(KY12&gt;=LC$18,KZ12&gt;=LC$22,KZ12&lt;&gt;""),AND(LT12&gt;=LX$18,LU12&gt;=LX$22,LU12&lt;&gt;"")),"P","")</f>
        <v/>
      </c>
      <c r="G12" s="3" t="str">
        <f>IF(OR(AND(AI12&gt;=AL$22,AI12&lt;&gt;"",AG12=""),AND(BE12&gt;=BH$22,BE12&lt;&gt;"",BC12=""),AND(CA12&gt;=CD$22,CA12&lt;&gt;"",BY12=""),AND(CX12&gt;=DA$22,CX12&lt;&gt;""),AND(DS12&gt;=DV$22,DS12&lt;&gt;""),AND(EN12&gt;=EQ$22,EN12&lt;&gt;""),AND(FI12&gt;=FL$22,FI12&lt;&gt;""),AND(GD12&gt;=GG$22,GD12&lt;&gt;""),AND(GY12&gt;=HB$22,GY12&lt;&gt;""),AND(HT12&gt;=HW$22,HT12&lt;&gt;""),AND(IO12&gt;=IR$22,IO12&lt;&gt;""),AND(JJ12&gt;=JM$22,JJ12&lt;&gt;""),AND(KE12&gt;=KH$22,KE12&lt;&gt;""),AND(KZ12&gt;=LC$22,KZ12&lt;&gt;""),AND(LU12&gt;=LX$22,LU12&lt;&gt;"")),"P","")</f>
        <v/>
      </c>
      <c r="H12" s="126" t="str">
        <f>IF(AND(G12="P",F12=""),"No DD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Merit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Excellence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Worlds Team",IF(OR(AND(AH12&gt;=AL$18,AH12&lt;&gt;"",AI12&gt;=AL$22,AI12&lt;&gt;"",AG12=""),AND(BD12&gt;=BH$18,BD12&lt;&gt;"",BE12&gt;=BH$22,BE12&lt;&gt;"",BC12=""),AND(BZ12&gt;=CD$18,BZ12&lt;&gt;"",CA12&gt;=CD$22,CA12&lt;&gt;"",BY12=""),AND(CW12&gt;=DA$18,CW12&lt;&gt;"",CX12&gt;=DA$22,CX12&lt;&gt;""),AND(DR12&gt;=DV$18,DR12&lt;&gt;"",DS12&gt;=DV$22,DS12&lt;&gt;""),AND(EM12&gt;=EQ$18,EM12&lt;&gt;"",EN12&gt;=EQ$22,EN12&lt;&gt;""),AND(FH12&gt;=FL$18,FH12&lt;&gt;"",FI12&gt;=FL$22,FI12&lt;&gt;""),AND(GC12&gt;=GG$18,GC12&lt;&gt;"",GD12&gt;=GG$22,GD12&lt;&gt;""),AND(GX12&gt;=HB$18,GX12&lt;&gt;"",GY12&gt;=HB$22,GY12&lt;&gt;""),AND(HS12&gt;=HW$18,HS12&lt;&gt;"",HT12&gt;=HW$22,HT12&lt;&gt;""),AND(IN12&gt;=IR$18,IN12&lt;&gt;"",IO12&gt;=IR$22,IO12&lt;&gt;""),AND(JI12&gt;=JM$18,JI12&lt;&gt;"",JJ12&gt;=JM$22,JJ12&lt;&gt;""),AND(KD12&gt;=KH$18,KD12&lt;&gt;"",KE12&gt;=KH$22,KE12&lt;&gt;""),AND(KY12&gt;=LC$18,KY12&lt;&gt;"",KZ12&gt;=LC$22,KZ12&lt;&gt;""),AND(LT12&gt;=LX$18,LT12&lt;&gt;"",LU12&gt;=LX$22,LU12&lt;&gt;"")),"National Team","")))))</f>
        <v/>
      </c>
      <c r="I12" s="3" t="str">
        <f>IF(OR(H12="Worlds Team",H12="Excellence",H12="Merit"),"P","")</f>
        <v/>
      </c>
      <c r="J12" s="14">
        <f>MAX(AI12,BE12,CA12)</f>
        <v>67.2</v>
      </c>
      <c r="K12" s="14" t="str">
        <f>IF(J12=0,"",IF(J12=CA12,$BI$1,IF(J12=BE12,$AM$1,IF(J12=AI12,$Q$1,""))))</f>
        <v>2021 Canadian Championships</v>
      </c>
      <c r="L12" s="14">
        <f>IF(J12=AI12,MAX(BH12,CD12),IF(J12=BE12,MAX(AL12,CD12),MAX(AL12,BH12)))</f>
        <v>0</v>
      </c>
      <c r="M12" s="14" t="str">
        <f>IF(L12=0,"",IF(AND(J12&lt;&gt;CA12,L12=CD12),$BI$1,IF(AND(J12&lt;&gt;BE12,L12=BH12),$AM$1,IF(L12=AL12,$Q$1,""))))</f>
        <v/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/>
      <c r="R12" s="69"/>
      <c r="S12" s="69"/>
      <c r="T12" s="69"/>
      <c r="U12" s="69"/>
      <c r="V12" s="69"/>
      <c r="W12" s="69"/>
      <c r="X12" s="69"/>
      <c r="Y12" s="69"/>
      <c r="Z12" s="69"/>
      <c r="AA12" s="69"/>
      <c r="AB12" s="69"/>
      <c r="AC12" s="69"/>
      <c r="AD12" s="69"/>
      <c r="AE12" s="69"/>
      <c r="AF12" s="69"/>
      <c r="AG12" s="80"/>
      <c r="AH12" s="11" t="str">
        <f>IF(SUM(R12,V12)&gt;0,SUM(R12,V12),"")</f>
        <v/>
      </c>
      <c r="AI12" s="11" t="str">
        <f>IF(SUM(Q12:R12,T12:V12,X12)-SUM(S12,W12)&gt;0,SUM(Q12:R12,T12:V12,X12)-SUM(S12,W12),"")</f>
        <v/>
      </c>
      <c r="AJ12" s="11" t="str">
        <f>IF(SUM(Z12,AD12)&gt;0,SUM(Z12,AD12),"")</f>
        <v/>
      </c>
      <c r="AK12" s="11" t="str">
        <f>IF(SUM(Y12:Z12,AB12:AD12,AF12)-SUM(AA12,AE12)&gt;0,SUM(Y12:Z12,AB12:AD12,AF12)-SUM(AA12,AE12),"")</f>
        <v/>
      </c>
      <c r="AL12" s="11" t="str">
        <f>IF(SUM(AI12,AK12)&gt;0,SUM(AI12,AK12),"")</f>
        <v/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27.6</v>
      </c>
      <c r="BJ12" s="69">
        <v>6</v>
      </c>
      <c r="BK12" s="69">
        <v>0</v>
      </c>
      <c r="BL12" s="69">
        <v>0</v>
      </c>
      <c r="BM12" s="69">
        <v>27.9</v>
      </c>
      <c r="BN12" s="69">
        <v>6</v>
      </c>
      <c r="BO12" s="69">
        <v>0.3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12</v>
      </c>
      <c r="CA12" s="11">
        <f>IF(SUM(BI12:BJ12,BL12:BN12,BP12)-SUM(BK12,BO12)&gt;0,SUM(BI12:BJ12,BL12:BN12,BP12)-SUM(BK12,BO12),"")</f>
        <v>67.2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67.2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13.8</v>
      </c>
      <c r="LZ12" s="69">
        <f>IF($BY12="P",BJ12,(BJ12+AN12)/2)</f>
        <v>3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13.95</v>
      </c>
      <c r="MD12" s="69">
        <f>IF($BY12="P",BN12,(BN12+AR12)/2)</f>
        <v>3</v>
      </c>
      <c r="ME12" s="69">
        <f>IF($BY12="P",BO12,(BO12+AS12)/2)</f>
        <v>0.15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6</v>
      </c>
      <c r="MQ12" s="11">
        <f>IF(SUM(LY12:LZ12,MB12:MD12,MF12)-SUM(MA12,ME12)&gt;0,SUM(LY12:LZ12,MB12:MD12,MF12)-SUM(MA12,ME12),"")</f>
        <v>33.6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33.6</v>
      </c>
    </row>
    <row r="13" spans="1:358" x14ac:dyDescent="0.2">
      <c r="A13" s="5" t="str">
        <f>IF(AND(F13="P",G13="P"),SUMPRODUCT((F$4:F$16="P")*(G$4:G$16="P")*(E$4:E$16&gt;E13))+1,IF(G13="P",SUMPRODUCT((F$4:F$16="")*(G$4:G$16="P")*(E$4:E$16&gt;E13))+1+SUMPRODUCT((F$4:F$16="P")*(G$4:G$16="P")),""))</f>
        <v/>
      </c>
      <c r="B13" s="8" t="s">
        <v>145</v>
      </c>
      <c r="C13" s="4" t="s">
        <v>3</v>
      </c>
      <c r="D13" s="5">
        <v>2000</v>
      </c>
      <c r="E13" s="15">
        <f>SUM(J13:N13)</f>
        <v>65.899999999999991</v>
      </c>
      <c r="F13" s="3" t="str">
        <f>IF(OR(AND(AH13&gt;=AL$18,AI13&gt;=AL$22,AI13&lt;&gt;"",AG13=""),AND(BD13&gt;=BH$18,BE13&gt;=BH$22,BE13&lt;&gt;"",BC13=""),AND(BZ13&gt;=CD$18,CA13&gt;=CD$22,CA13&lt;&gt;"",BY13=""),AND(CW13&gt;=DA$18,CX13&gt;=DA$22,CX13&lt;&gt;""),AND(DR13&gt;=DV$18,DS13&gt;=DV$22,DS13&lt;&gt;""),AND(EM13&gt;=EQ$18,EN13&gt;=EQ$22,EN13&lt;&gt;""),AND(FH13&gt;=FL$18,FI13&gt;=FL$22,FI13&lt;&gt;""),AND(GC13&gt;=GG$18,GD13&gt;=GG$22,GD13&lt;&gt;""),AND(GX13&gt;=HB$18,GY13&gt;=HB$22,GY13&lt;&gt;""),AND(HS13&gt;=HW$18,HT13&gt;=HW$22,HT13&lt;&gt;""),AND(IN13&gt;=IR$18,IO13&gt;=IR$22,IO13&lt;&gt;""),AND(JI13&gt;=JM$18,JJ13&gt;=JM$22,JJ13&lt;&gt;""),AND(KD13&gt;=KH$18,KE13&gt;=KH$22,KE13&lt;&gt;""),AND(KY13&gt;=LC$18,KZ13&gt;=LC$22,KZ13&lt;&gt;""),AND(LT13&gt;=LX$18,LU13&gt;=LX$22,LU13&lt;&gt;"")),"P","")</f>
        <v/>
      </c>
      <c r="G13" s="3" t="str">
        <f>IF(OR(AND(AI13&gt;=AL$22,AI13&lt;&gt;"",AG13=""),AND(BE13&gt;=BH$22,BE13&lt;&gt;"",BC13=""),AND(CA13&gt;=CD$22,CA13&lt;&gt;"",BY13=""),AND(CX13&gt;=DA$22,CX13&lt;&gt;""),AND(DS13&gt;=DV$22,DS13&lt;&gt;""),AND(EN13&gt;=EQ$22,EN13&lt;&gt;""),AND(FI13&gt;=FL$22,FI13&lt;&gt;""),AND(GD13&gt;=GG$22,GD13&lt;&gt;""),AND(GY13&gt;=HB$22,GY13&lt;&gt;""),AND(HT13&gt;=HW$22,HT13&lt;&gt;""),AND(IO13&gt;=IR$22,IO13&lt;&gt;""),AND(JJ13&gt;=JM$22,JJ13&lt;&gt;""),AND(KE13&gt;=KH$22,KE13&lt;&gt;""),AND(KZ13&gt;=LC$22,KZ13&lt;&gt;""),AND(LU13&gt;=LX$22,LU13&lt;&gt;"")),"P","")</f>
        <v/>
      </c>
      <c r="H13" s="126" t="str">
        <f>IF(AND(G13="P",F13=""),"No DD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Merit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Excellence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Worlds Team",IF(OR(AND(AH13&gt;=AL$18,AH13&lt;&gt;"",AI13&gt;=AL$22,AI13&lt;&gt;"",AG13=""),AND(BD13&gt;=BH$18,BD13&lt;&gt;"",BE13&gt;=BH$22,BE13&lt;&gt;"",BC13=""),AND(BZ13&gt;=CD$18,BZ13&lt;&gt;"",CA13&gt;=CD$22,CA13&lt;&gt;"",BY13=""),AND(CW13&gt;=DA$18,CW13&lt;&gt;"",CX13&gt;=DA$22,CX13&lt;&gt;""),AND(DR13&gt;=DV$18,DR13&lt;&gt;"",DS13&gt;=DV$22,DS13&lt;&gt;""),AND(EM13&gt;=EQ$18,EM13&lt;&gt;"",EN13&gt;=EQ$22,EN13&lt;&gt;""),AND(FH13&gt;=FL$18,FH13&lt;&gt;"",FI13&gt;=FL$22,FI13&lt;&gt;""),AND(GC13&gt;=GG$18,GC13&lt;&gt;"",GD13&gt;=GG$22,GD13&lt;&gt;""),AND(GX13&gt;=HB$18,GX13&lt;&gt;"",GY13&gt;=HB$22,GY13&lt;&gt;""),AND(HS13&gt;=HW$18,HS13&lt;&gt;"",HT13&gt;=HW$22,HT13&lt;&gt;""),AND(IN13&gt;=IR$18,IN13&lt;&gt;"",IO13&gt;=IR$22,IO13&lt;&gt;""),AND(JI13&gt;=JM$18,JI13&lt;&gt;"",JJ13&gt;=JM$22,JJ13&lt;&gt;""),AND(KD13&gt;=KH$18,KD13&lt;&gt;"",KE13&gt;=KH$22,KE13&lt;&gt;""),AND(KY13&gt;=LC$18,KY13&lt;&gt;"",KZ13&gt;=LC$22,KZ13&lt;&gt;""),AND(LT13&gt;=LX$18,LT13&lt;&gt;"",LU13&gt;=LX$22,LU13&lt;&gt;"")),"National Team","")))))</f>
        <v/>
      </c>
      <c r="I13" s="3" t="str">
        <f>IF(OR(H13="Worlds Team",H13="Excellence",H13="Merit"),"P","")</f>
        <v/>
      </c>
      <c r="J13" s="14">
        <f>MAX(AI13,BE13,CA13)</f>
        <v>65.899999999999991</v>
      </c>
      <c r="K13" s="14" t="str">
        <f>IF(J13=0,"",IF(J13=CA13,$BI$1,IF(J13=BE13,$AM$1,IF(J13=AI13,$Q$1,""))))</f>
        <v>2021 Canadian Championships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/>
      <c r="R13" s="69"/>
      <c r="S13" s="69"/>
      <c r="T13" s="69"/>
      <c r="U13" s="69"/>
      <c r="V13" s="69"/>
      <c r="W13" s="69"/>
      <c r="X13" s="69"/>
      <c r="Y13" s="69"/>
      <c r="Z13" s="69"/>
      <c r="AA13" s="69"/>
      <c r="AB13" s="69"/>
      <c r="AC13" s="69"/>
      <c r="AD13" s="69"/>
      <c r="AE13" s="69"/>
      <c r="AF13" s="69"/>
      <c r="AG13" s="80"/>
      <c r="AH13" s="11" t="str">
        <f>IF(SUM(R13,V13)&gt;0,SUM(R13,V13),"")</f>
        <v/>
      </c>
      <c r="AI13" s="11" t="str">
        <f>IF(SUM(Q13:R13,T13:V13,X13)-SUM(S13,W13)&gt;0,SUM(Q13:R13,T13:V13,X13)-SUM(S13,W13),"")</f>
        <v/>
      </c>
      <c r="AJ13" s="11" t="str">
        <f>IF(SUM(Z13,AD13)&gt;0,SUM(Z13,AD13),"")</f>
        <v/>
      </c>
      <c r="AK13" s="11" t="str">
        <f>IF(SUM(Y13:Z13,AB13:AD13,AF13)-SUM(AA13,AE13)&gt;0,SUM(Y13:Z13,AB13:AD13,AF13)-SUM(AA13,AE13),"")</f>
        <v/>
      </c>
      <c r="AL13" s="11" t="str">
        <f>IF(SUM(AI13,AK13)&gt;0,SUM(AI13,AK13),"")</f>
        <v/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>
        <v>27.4</v>
      </c>
      <c r="BJ13" s="69">
        <v>6.8</v>
      </c>
      <c r="BK13" s="69">
        <v>0.3</v>
      </c>
      <c r="BL13" s="69">
        <v>0</v>
      </c>
      <c r="BM13" s="69">
        <v>27.2</v>
      </c>
      <c r="BN13" s="69">
        <v>6</v>
      </c>
      <c r="BO13" s="69">
        <v>1.2</v>
      </c>
      <c r="BP13" s="69">
        <v>0</v>
      </c>
      <c r="BQ13" s="69">
        <v>19.600000000000001</v>
      </c>
      <c r="BR13" s="69">
        <v>3.2</v>
      </c>
      <c r="BS13" s="69">
        <v>0</v>
      </c>
      <c r="BT13" s="69">
        <v>0</v>
      </c>
      <c r="BU13" s="69">
        <v>27.8</v>
      </c>
      <c r="BV13" s="69">
        <v>6.8</v>
      </c>
      <c r="BW13" s="69">
        <v>0.9</v>
      </c>
      <c r="BX13" s="69">
        <v>0</v>
      </c>
      <c r="BY13" s="80"/>
      <c r="BZ13" s="11">
        <f>IF(SUM(BJ13,BN13)&gt;0,SUM(BJ13,BN13),"")</f>
        <v>12.8</v>
      </c>
      <c r="CA13" s="11">
        <f>IF(SUM(BI13:BJ13,BL13:BN13,BP13)-SUM(BK13,BO13)&gt;0,SUM(BI13:BJ13,BL13:BN13,BP13)-SUM(BK13,BO13),"")</f>
        <v>65.899999999999991</v>
      </c>
      <c r="CB13" s="11">
        <f>IF(SUM(BR13,BV13)&gt;0,SUM(BR13,BV13),"")</f>
        <v>10</v>
      </c>
      <c r="CC13" s="11">
        <f>IF(SUM(BQ13:BR13,BT13:BV13,BX13)-SUM(BS13,BW13)&gt;0,SUM(BQ13:BR13,BT13:BV13,BX13)-SUM(BS13,BW13),"")</f>
        <v>56.5</v>
      </c>
      <c r="CD13" s="11">
        <f>IF(SUM(CA13,CC13)&gt;0,SUM(CA13,CC13),"")</f>
        <v>122.39999999999999</v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13.7</v>
      </c>
      <c r="LZ13" s="69">
        <f>IF($BY13="P",BJ13,(BJ13+AN13)/2)</f>
        <v>3.4</v>
      </c>
      <c r="MA13" s="69">
        <f>IF($BY13="P",BK13,(BK13+AO13)/2)</f>
        <v>0.15</v>
      </c>
      <c r="MB13" s="69">
        <f>IF($BY13="P",BL13,(BL13+AP13)/2)</f>
        <v>0</v>
      </c>
      <c r="MC13" s="69">
        <f>IF($BY13="P",BM13,(BM13+AQ13)/2)</f>
        <v>13.6</v>
      </c>
      <c r="MD13" s="69">
        <f>IF($BY13="P",BN13,(BN13+AR13)/2)</f>
        <v>3</v>
      </c>
      <c r="ME13" s="69">
        <f>IF($BY13="P",BO13,(BO13+AS13)/2)</f>
        <v>0.6</v>
      </c>
      <c r="MF13" s="69">
        <f>IF($BY13="P",BP13,(BP13+AT13)/2)</f>
        <v>0</v>
      </c>
      <c r="MG13" s="69">
        <f>IF($BY13="P",BQ13,(BQ13+AU13)/2)</f>
        <v>9.8000000000000007</v>
      </c>
      <c r="MH13" s="69">
        <f>IF($BY13="P",BR13,(BR13+AV13)/2)</f>
        <v>1.6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13.9</v>
      </c>
      <c r="ML13" s="69">
        <f>IF($BY13="P",BV13,(BV13+AZ13)/2)</f>
        <v>3.4</v>
      </c>
      <c r="MM13" s="69">
        <f>IF($BY13="P",BW13,(BW13+BA13)/2)</f>
        <v>0.45</v>
      </c>
      <c r="MN13" s="69">
        <f>IF($BY13="P",BX13,(BX13+BB13)/2)</f>
        <v>0</v>
      </c>
      <c r="MO13" s="80" t="s">
        <v>74</v>
      </c>
      <c r="MP13" s="11">
        <f>IF(SUM(LZ13,MD13)&gt;0,SUM(LZ13,MD13),"")</f>
        <v>6.4</v>
      </c>
      <c r="MQ13" s="11">
        <f>IF(SUM(LY13:LZ13,MB13:MD13,MF13)-SUM(MA13,ME13)&gt;0,SUM(LY13:LZ13,MB13:MD13,MF13)-SUM(MA13,ME13),"")</f>
        <v>32.949999999999996</v>
      </c>
      <c r="MR13" s="11">
        <f>IF(SUM(MH13,ML13)&gt;0,SUM(MH13,ML13),"")</f>
        <v>5</v>
      </c>
      <c r="MS13" s="11">
        <f>IF(SUM(MG13:MH13,MJ13:ML13,MN13)-SUM(MI13,MM13)&gt;0,SUM(MG13:MH13,MJ13:ML13,MN13)-SUM(MI13,MM13),"")</f>
        <v>28.25</v>
      </c>
      <c r="MT13" s="11">
        <f>IF(SUM(MQ13,MS13)&gt;0,SUM(MQ13,MS13),"")</f>
        <v>61.199999999999996</v>
      </c>
    </row>
    <row r="14" spans="1:358" x14ac:dyDescent="0.2">
      <c r="A14" s="5" t="str">
        <f>IF(AND(F14="P",G14="P"),SUMPRODUCT((F$4:F$16="P")*(G$4:G$16="P")*(E$4:E$16&gt;E14))+1,IF(G14="P",SUMPRODUCT((F$4:F$16="")*(G$4:G$16="P")*(E$4:E$16&gt;E14))+1+SUMPRODUCT((F$4:F$16="P")*(G$4:G$16="P")),""))</f>
        <v/>
      </c>
      <c r="B14" s="8" t="s">
        <v>123</v>
      </c>
      <c r="C14" s="4" t="s">
        <v>98</v>
      </c>
      <c r="D14" s="5">
        <v>2000</v>
      </c>
      <c r="E14" s="15">
        <f>SUM(J14:N14)</f>
        <v>64.3</v>
      </c>
      <c r="F14" s="3" t="str">
        <f>IF(OR(AND(AH14&gt;=AL$18,AI14&gt;=AL$22,AI14&lt;&gt;"",AG14=""),AND(BD14&gt;=BH$18,BE14&gt;=BH$22,BE14&lt;&gt;"",BC14=""),AND(BZ14&gt;=CD$18,CA14&gt;=CD$22,CA14&lt;&gt;"",BY14=""),AND(CW14&gt;=DA$18,CX14&gt;=DA$22,CX14&lt;&gt;""),AND(DR14&gt;=DV$18,DS14&gt;=DV$22,DS14&lt;&gt;""),AND(EM14&gt;=EQ$18,EN14&gt;=EQ$22,EN14&lt;&gt;""),AND(FH14&gt;=FL$18,FI14&gt;=FL$22,FI14&lt;&gt;""),AND(GC14&gt;=GG$18,GD14&gt;=GG$22,GD14&lt;&gt;""),AND(GX14&gt;=HB$18,GY14&gt;=HB$22,GY14&lt;&gt;""),AND(HS14&gt;=HW$18,HT14&gt;=HW$22,HT14&lt;&gt;""),AND(IN14&gt;=IR$18,IO14&gt;=IR$22,IO14&lt;&gt;""),AND(JI14&gt;=JM$18,JJ14&gt;=JM$22,JJ14&lt;&gt;""),AND(KD14&gt;=KH$18,KE14&gt;=KH$22,KE14&lt;&gt;""),AND(KY14&gt;=LC$18,KZ14&gt;=LC$22,KZ14&lt;&gt;""),AND(LT14&gt;=LX$18,LU14&gt;=LX$22,LU14&lt;&gt;"")),"P","")</f>
        <v/>
      </c>
      <c r="G14" s="3" t="str">
        <f>IF(OR(AND(AI14&gt;=AL$22,AI14&lt;&gt;"",AG14=""),AND(BE14&gt;=BH$22,BE14&lt;&gt;"",BC14=""),AND(CA14&gt;=CD$22,CA14&lt;&gt;"",BY14=""),AND(CX14&gt;=DA$22,CX14&lt;&gt;""),AND(DS14&gt;=DV$22,DS14&lt;&gt;""),AND(EN14&gt;=EQ$22,EN14&lt;&gt;""),AND(FI14&gt;=FL$22,FI14&lt;&gt;""),AND(GD14&gt;=GG$22,GD14&lt;&gt;""),AND(GY14&gt;=HB$22,GY14&lt;&gt;""),AND(HT14&gt;=HW$22,HT14&lt;&gt;""),AND(IO14&gt;=IR$22,IO14&lt;&gt;""),AND(JJ14&gt;=JM$22,JJ14&lt;&gt;""),AND(KE14&gt;=KH$22,KE14&lt;&gt;""),AND(KZ14&gt;=LC$22,KZ14&lt;&gt;""),AND(LU14&gt;=LX$22,LU14&lt;&gt;"")),"P","")</f>
        <v/>
      </c>
      <c r="H14" s="126" t="str">
        <f>IF(AND(G14="P",F14=""),"No DD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Merit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Excellence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Worlds Team",IF(OR(AND(AH14&gt;=AL$18,AH14&lt;&gt;"",AI14&gt;=AL$22,AI14&lt;&gt;"",AG14=""),AND(BD14&gt;=BH$18,BD14&lt;&gt;"",BE14&gt;=BH$22,BE14&lt;&gt;"",BC14=""),AND(BZ14&gt;=CD$18,BZ14&lt;&gt;"",CA14&gt;=CD$22,CA14&lt;&gt;"",BY14=""),AND(CW14&gt;=DA$18,CW14&lt;&gt;"",CX14&gt;=DA$22,CX14&lt;&gt;""),AND(DR14&gt;=DV$18,DR14&lt;&gt;"",DS14&gt;=DV$22,DS14&lt;&gt;""),AND(EM14&gt;=EQ$18,EM14&lt;&gt;"",EN14&gt;=EQ$22,EN14&lt;&gt;""),AND(FH14&gt;=FL$18,FH14&lt;&gt;"",FI14&gt;=FL$22,FI14&lt;&gt;""),AND(GC14&gt;=GG$18,GC14&lt;&gt;"",GD14&gt;=GG$22,GD14&lt;&gt;""),AND(GX14&gt;=HB$18,GX14&lt;&gt;"",GY14&gt;=HB$22,GY14&lt;&gt;""),AND(HS14&gt;=HW$18,HS14&lt;&gt;"",HT14&gt;=HW$22,HT14&lt;&gt;""),AND(IN14&gt;=IR$18,IN14&lt;&gt;"",IO14&gt;=IR$22,IO14&lt;&gt;""),AND(JI14&gt;=JM$18,JI14&lt;&gt;"",JJ14&gt;=JM$22,JJ14&lt;&gt;""),AND(KD14&gt;=KH$18,KD14&lt;&gt;"",KE14&gt;=KH$22,KE14&lt;&gt;""),AND(KY14&gt;=LC$18,KY14&lt;&gt;"",KZ14&gt;=LC$22,KZ14&lt;&gt;""),AND(LT14&gt;=LX$18,LT14&lt;&gt;"",LU14&gt;=LX$22,LU14&lt;&gt;"")),"National Team","")))))</f>
        <v/>
      </c>
      <c r="I14" s="3" t="str">
        <f>IF(OR(H14="Worlds Team",H14="Excellence",H14="Merit"),"P","")</f>
        <v/>
      </c>
      <c r="J14" s="14">
        <f>MAX(AI14,BE14,CA14)</f>
        <v>64.3</v>
      </c>
      <c r="K14" s="14" t="str">
        <f>IF(J14=0,"",IF(J14=CA14,$BI$1,IF(J14=BE14,$AM$1,IF(J14=AI14,$Q$1,""))))</f>
        <v>2021 2nd Virtual Technical Trial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>
        <v>27</v>
      </c>
      <c r="R14" s="69">
        <v>5.6</v>
      </c>
      <c r="S14" s="69">
        <v>1.9</v>
      </c>
      <c r="T14" s="69">
        <v>0</v>
      </c>
      <c r="U14" s="69">
        <v>27.9</v>
      </c>
      <c r="V14" s="69">
        <v>6</v>
      </c>
      <c r="W14" s="69">
        <v>0.3</v>
      </c>
      <c r="X14" s="69">
        <v>0</v>
      </c>
      <c r="Y14" s="69">
        <v>28.4</v>
      </c>
      <c r="Z14" s="69">
        <v>7.2</v>
      </c>
      <c r="AA14" s="69">
        <v>0.3</v>
      </c>
      <c r="AB14" s="69">
        <v>0</v>
      </c>
      <c r="AC14" s="69">
        <v>24.5</v>
      </c>
      <c r="AD14" s="69">
        <v>7.2</v>
      </c>
      <c r="AE14" s="69">
        <v>1.2</v>
      </c>
      <c r="AF14" s="69">
        <v>0</v>
      </c>
      <c r="AG14" s="80"/>
      <c r="AH14" s="11">
        <f>IF(SUM(R14,V14)&gt;0,SUM(R14,V14),"")</f>
        <v>11.6</v>
      </c>
      <c r="AI14" s="11">
        <f>IF(SUM(Q14:R14,T14:V14,X14)-SUM(S14,W14)&gt;0,SUM(Q14:R14,T14:V14,X14)-SUM(S14,W14),"")</f>
        <v>64.3</v>
      </c>
      <c r="AJ14" s="11">
        <f>IF(SUM(Z14,AD14)&gt;0,SUM(Z14,AD14),"")</f>
        <v>14.4</v>
      </c>
      <c r="AK14" s="11">
        <f>IF(SUM(Y14:Z14,AB14:AD14,AF14)-SUM(AA14,AE14)&gt;0,SUM(Y14:Z14,AB14:AD14,AF14)-SUM(AA14,AE14),"")</f>
        <v>65.8</v>
      </c>
      <c r="AL14" s="11">
        <f>IF(SUM(AI14,AK14)&gt;0,SUM(AI14,AK14),"")</f>
        <v>130.1</v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/>
      <c r="BJ14" s="69"/>
      <c r="BK14" s="69"/>
      <c r="BL14" s="69"/>
      <c r="BM14" s="69"/>
      <c r="BN14" s="69"/>
      <c r="BO14" s="69"/>
      <c r="BP14" s="69"/>
      <c r="BQ14" s="69"/>
      <c r="BR14" s="69"/>
      <c r="BS14" s="69"/>
      <c r="BT14" s="69"/>
      <c r="BU14" s="69"/>
      <c r="BV14" s="69"/>
      <c r="BW14" s="69"/>
      <c r="BX14" s="69"/>
      <c r="BY14" s="80"/>
      <c r="BZ14" s="11" t="str">
        <f>IF(SUM(BJ14,BN14)&gt;0,SUM(BJ14,BN14),"")</f>
        <v/>
      </c>
      <c r="CA14" s="11" t="str">
        <f>IF(SUM(BI14:BJ14,BL14:BN14,BP14)-SUM(BK14,BO14)&gt;0,SUM(BI14:BJ14,BL14:BN14,BP14)-SUM(BK14,BO14),"")</f>
        <v/>
      </c>
      <c r="CB14" s="11" t="str">
        <f>IF(SUM(BR14,BV14)&gt;0,SUM(BR14,BV14),"")</f>
        <v/>
      </c>
      <c r="CC14" s="11" t="str">
        <f>IF(SUM(BQ14:BR14,BT14:BV14,BX14)-SUM(BS14,BW14)&gt;0,SUM(BQ14:BR14,BT14:BV14,BX14)-SUM(BS14,BW14),"")</f>
        <v/>
      </c>
      <c r="CD14" s="11" t="str">
        <f>IF(SUM(CA14,CC14)&gt;0,SUM(CA14,CC14),"")</f>
        <v/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0</v>
      </c>
      <c r="LZ14" s="69">
        <f>IF($BY14="P",BJ14,(BJ14+AN14)/2)</f>
        <v>0</v>
      </c>
      <c r="MA14" s="69">
        <f>IF($BY14="P",BK14,(BK14+AO14)/2)</f>
        <v>0</v>
      </c>
      <c r="MB14" s="69">
        <f>IF($BY14="P",BL14,(BL14+AP14)/2)</f>
        <v>0</v>
      </c>
      <c r="MC14" s="69">
        <f>IF($BY14="P",BM14,(BM14+AQ14)/2)</f>
        <v>0</v>
      </c>
      <c r="MD14" s="69">
        <f>IF($BY14="P",BN14,(BN14+AR14)/2)</f>
        <v>0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0</v>
      </c>
      <c r="MH14" s="69">
        <f>IF($BY14="P",BR14,(BR14+AV14)/2)</f>
        <v>0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0</v>
      </c>
      <c r="ML14" s="69">
        <f>IF($BY14="P",BV14,(BV14+AZ14)/2)</f>
        <v>0</v>
      </c>
      <c r="MM14" s="69">
        <f>IF($BY14="P",BW14,(BW14+BA14)/2)</f>
        <v>0</v>
      </c>
      <c r="MN14" s="69">
        <f>IF($BY14="P",BX14,(BX14+BB14)/2)</f>
        <v>0</v>
      </c>
      <c r="MO14" s="80" t="s">
        <v>74</v>
      </c>
      <c r="MP14" s="11" t="str">
        <f>IF(SUM(LZ14,MD14)&gt;0,SUM(LZ14,MD14),"")</f>
        <v/>
      </c>
      <c r="MQ14" s="11" t="str">
        <f>IF(SUM(LY14:LZ14,MB14:MD14,MF14)-SUM(MA14,ME14)&gt;0,SUM(LY14:LZ14,MB14:MD14,MF14)-SUM(MA14,ME14),"")</f>
        <v/>
      </c>
      <c r="MR14" s="11" t="str">
        <f>IF(SUM(MH14,ML14)&gt;0,SUM(MH14,ML14),"")</f>
        <v/>
      </c>
      <c r="MS14" s="11" t="str">
        <f>IF(SUM(MG14:MH14,MJ14:ML14,MN14)-SUM(MI14,MM14)&gt;0,SUM(MG14:MH14,MJ14:ML14,MN14)-SUM(MI14,MM14),"")</f>
        <v/>
      </c>
      <c r="MT14" s="11" t="str">
        <f>IF(SUM(MQ14,MS14)&gt;0,SUM(MQ14,MS14),"")</f>
        <v/>
      </c>
    </row>
    <row r="15" spans="1:358" x14ac:dyDescent="0.2">
      <c r="A15" s="5" t="str">
        <f>IF(AND(F15="P",G15="P"),SUMPRODUCT((F$4:F$16="P")*(G$4:G$16="P")*(E$4:E$16&gt;E15))+1,IF(G15="P",SUMPRODUCT((F$4:F$16="")*(G$4:G$16="P")*(E$4:E$16&gt;E15))+1+SUMPRODUCT((F$4:F$16="P")*(G$4:G$16="P")),""))</f>
        <v/>
      </c>
      <c r="B15" s="8" t="s">
        <v>126</v>
      </c>
      <c r="C15" s="4" t="s">
        <v>6</v>
      </c>
      <c r="D15" s="5">
        <v>2001</v>
      </c>
      <c r="E15" s="15">
        <f>SUM(J15:N15)</f>
        <v>57.9</v>
      </c>
      <c r="F15" s="3" t="str">
        <f>IF(OR(AND(AH15&gt;=AL$18,AI15&gt;=AL$22,AI15&lt;&gt;"",AG15=""),AND(BD15&gt;=BH$18,BE15&gt;=BH$22,BE15&lt;&gt;"",BC15=""),AND(BZ15&gt;=CD$18,CA15&gt;=CD$22,CA15&lt;&gt;"",BY15=""),AND(CW15&gt;=DA$18,CX15&gt;=DA$22,CX15&lt;&gt;""),AND(DR15&gt;=DV$18,DS15&gt;=DV$22,DS15&lt;&gt;""),AND(EM15&gt;=EQ$18,EN15&gt;=EQ$22,EN15&lt;&gt;""),AND(FH15&gt;=FL$18,FI15&gt;=FL$22,FI15&lt;&gt;""),AND(GC15&gt;=GG$18,GD15&gt;=GG$22,GD15&lt;&gt;""),AND(GX15&gt;=HB$18,GY15&gt;=HB$22,GY15&lt;&gt;""),AND(HS15&gt;=HW$18,HT15&gt;=HW$22,HT15&lt;&gt;""),AND(IN15&gt;=IR$18,IO15&gt;=IR$22,IO15&lt;&gt;""),AND(JI15&gt;=JM$18,JJ15&gt;=JM$22,JJ15&lt;&gt;""),AND(KD15&gt;=KH$18,KE15&gt;=KH$22,KE15&lt;&gt;""),AND(KY15&gt;=LC$18,KZ15&gt;=LC$22,KZ15&lt;&gt;""),AND(LT15&gt;=LX$18,LU15&gt;=LX$22,LU15&lt;&gt;"")),"P","")</f>
        <v/>
      </c>
      <c r="G15" s="3" t="str">
        <f>IF(OR(AND(AI15&gt;=AL$22,AI15&lt;&gt;"",AG15=""),AND(BE15&gt;=BH$22,BE15&lt;&gt;"",BC15=""),AND(CA15&gt;=CD$22,CA15&lt;&gt;"",BY15=""),AND(CX15&gt;=DA$22,CX15&lt;&gt;""),AND(DS15&gt;=DV$22,DS15&lt;&gt;""),AND(EN15&gt;=EQ$22,EN15&lt;&gt;""),AND(FI15&gt;=FL$22,FI15&lt;&gt;""),AND(GD15&gt;=GG$22,GD15&lt;&gt;""),AND(GY15&gt;=HB$22,GY15&lt;&gt;""),AND(HT15&gt;=HW$22,HT15&lt;&gt;""),AND(IO15&gt;=IR$22,IO15&lt;&gt;""),AND(JJ15&gt;=JM$22,JJ15&lt;&gt;""),AND(KE15&gt;=KH$22,KE15&lt;&gt;""),AND(KZ15&gt;=LC$22,KZ15&lt;&gt;""),AND(LU15&gt;=LX$22,LU15&lt;&gt;"")),"P","")</f>
        <v/>
      </c>
      <c r="H15" s="126" t="str">
        <f>IF(AND(G15="P",F15=""),"No DD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Merit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Excellence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Worlds Team",IF(OR(AND(AH15&gt;=AL$18,AH15&lt;&gt;"",AI15&gt;=AL$22,AI15&lt;&gt;"",AG15=""),AND(BD15&gt;=BH$18,BD15&lt;&gt;"",BE15&gt;=BH$22,BE15&lt;&gt;"",BC15=""),AND(BZ15&gt;=CD$18,BZ15&lt;&gt;"",CA15&gt;=CD$22,CA15&lt;&gt;"",BY15=""),AND(CW15&gt;=DA$18,CW15&lt;&gt;"",CX15&gt;=DA$22,CX15&lt;&gt;""),AND(DR15&gt;=DV$18,DR15&lt;&gt;"",DS15&gt;=DV$22,DS15&lt;&gt;""),AND(EM15&gt;=EQ$18,EM15&lt;&gt;"",EN15&gt;=EQ$22,EN15&lt;&gt;""),AND(FH15&gt;=FL$18,FH15&lt;&gt;"",FI15&gt;=FL$22,FI15&lt;&gt;""),AND(GC15&gt;=GG$18,GC15&lt;&gt;"",GD15&gt;=GG$22,GD15&lt;&gt;""),AND(GX15&gt;=HB$18,GX15&lt;&gt;"",GY15&gt;=HB$22,GY15&lt;&gt;""),AND(HS15&gt;=HW$18,HS15&lt;&gt;"",HT15&gt;=HW$22,HT15&lt;&gt;""),AND(IN15&gt;=IR$18,IN15&lt;&gt;"",IO15&gt;=IR$22,IO15&lt;&gt;""),AND(JI15&gt;=JM$18,JI15&lt;&gt;"",JJ15&gt;=JM$22,JJ15&lt;&gt;""),AND(KD15&gt;=KH$18,KD15&lt;&gt;"",KE15&gt;=KH$22,KE15&lt;&gt;""),AND(KY15&gt;=LC$18,KY15&lt;&gt;"",KZ15&gt;=LC$22,KZ15&lt;&gt;""),AND(LT15&gt;=LX$18,LT15&lt;&gt;"",LU15&gt;=LX$22,LU15&lt;&gt;"")),"National Team","")))))</f>
        <v/>
      </c>
      <c r="I15" s="3" t="str">
        <f>IF(OR(H15="Worlds Team",H15="Excellence",H15="Merit"),"P","")</f>
        <v/>
      </c>
      <c r="J15" s="14">
        <f>MAX(AI15,BE15,CA15)</f>
        <v>57.9</v>
      </c>
      <c r="K15" s="14" t="str">
        <f>IF(J15=0,"",IF(J15=CA15,$BI$1,IF(J15=BE15,$AM$1,IF(J15=AI15,$Q$1,""))))</f>
        <v>2021 2nd Virtual Technical Trial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>
        <v>28.1</v>
      </c>
      <c r="R15" s="69">
        <v>4.8</v>
      </c>
      <c r="S15" s="69">
        <v>2.7</v>
      </c>
      <c r="T15" s="69">
        <v>0</v>
      </c>
      <c r="U15" s="69">
        <v>27.6</v>
      </c>
      <c r="V15" s="69">
        <v>3.8</v>
      </c>
      <c r="W15" s="69">
        <v>3.7</v>
      </c>
      <c r="X15" s="69">
        <v>0</v>
      </c>
      <c r="Y15" s="69">
        <v>20.399999999999999</v>
      </c>
      <c r="Z15" s="69">
        <v>2.4</v>
      </c>
      <c r="AA15" s="69">
        <v>0</v>
      </c>
      <c r="AB15" s="69">
        <v>0</v>
      </c>
      <c r="AC15" s="69">
        <v>20.2</v>
      </c>
      <c r="AD15" s="69">
        <v>4</v>
      </c>
      <c r="AE15" s="69">
        <v>0</v>
      </c>
      <c r="AF15" s="69">
        <v>0</v>
      </c>
      <c r="AG15" s="80"/>
      <c r="AH15" s="11">
        <f>IF(SUM(R15,V15)&gt;0,SUM(R15,V15),"")</f>
        <v>8.6</v>
      </c>
      <c r="AI15" s="11">
        <f>IF(SUM(Q15:R15,T15:V15,X15)-SUM(S15,W15)&gt;0,SUM(Q15:R15,T15:V15,X15)-SUM(S15,W15),"")</f>
        <v>57.9</v>
      </c>
      <c r="AJ15" s="11">
        <f>IF(SUM(Z15,AD15)&gt;0,SUM(Z15,AD15),"")</f>
        <v>6.4</v>
      </c>
      <c r="AK15" s="11">
        <f>IF(SUM(Y15:Z15,AB15:AD15,AF15)-SUM(AA15,AE15)&gt;0,SUM(Y15:Z15,AB15:AD15,AF15)-SUM(AA15,AE15),"")</f>
        <v>47</v>
      </c>
      <c r="AL15" s="11">
        <f>IF(SUM(AI15,AK15)&gt;0,SUM(AI15,AK15),"")</f>
        <v>104.9</v>
      </c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81"/>
      <c r="BD15" s="14" t="str">
        <f>IF(SUM(AN15,AR15)&gt;0,SUM(AN15,AR15),"")</f>
        <v/>
      </c>
      <c r="BE15" s="14" t="str">
        <f>IF(SUM(AM15:AN15,AP15:AR15,AT15)-SUM(AO15,AS15)&gt;0,SUM(AM15:AN15,AP15:AR15,AT15)-SUM(AO15,AS15),"")</f>
        <v/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 t="str">
        <f>IF(SUM(BE15,BG15)&gt;0,SUM(BE15,BG15),"")</f>
        <v/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0</v>
      </c>
      <c r="LZ15" s="69">
        <f>IF($BY15="P",BJ15,(BJ15+AN15)/2)</f>
        <v>0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0</v>
      </c>
      <c r="MD15" s="69">
        <f>IF($BY15="P",BN15,(BN15+AR15)/2)</f>
        <v>0</v>
      </c>
      <c r="ME15" s="69">
        <f>IF($BY15="P",BO15,(BO15+AS15)/2)</f>
        <v>0</v>
      </c>
      <c r="MF15" s="69">
        <f>IF($BY15="P",BP15,(BP15+AT15)/2)</f>
        <v>0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 t="str">
        <f>IF(SUM(LZ15,MD15)&gt;0,SUM(LZ15,MD15),"")</f>
        <v/>
      </c>
      <c r="MQ15" s="11" t="str">
        <f>IF(SUM(LY15:LZ15,MB15:MD15,MF15)-SUM(MA15,ME15)&gt;0,SUM(LY15:LZ15,MB15:MD15,MF15)-SUM(MA15,ME15),"")</f>
        <v/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 t="str">
        <f>IF(SUM(MQ15,MS15)&gt;0,SUM(MQ15,MS15),"")</f>
        <v/>
      </c>
    </row>
    <row r="18" spans="1:336" x14ac:dyDescent="0.2">
      <c r="B18" s="70" t="s">
        <v>70</v>
      </c>
      <c r="AH18" s="56"/>
      <c r="AJ18" s="56"/>
      <c r="AL18" s="64">
        <v>14.4</v>
      </c>
      <c r="BD18" s="56"/>
      <c r="BF18" s="56"/>
      <c r="BH18" s="64">
        <v>14.4</v>
      </c>
      <c r="BZ18" s="56"/>
      <c r="CB18" s="56"/>
      <c r="CD18" s="64">
        <v>14.4</v>
      </c>
      <c r="CW18" s="56"/>
      <c r="CY18" s="56"/>
      <c r="DA18" s="64">
        <v>14.4</v>
      </c>
      <c r="DR18" s="56"/>
      <c r="DT18" s="56"/>
      <c r="DV18" s="64">
        <v>14.4</v>
      </c>
      <c r="EM18" s="56"/>
      <c r="EO18" s="56"/>
      <c r="EQ18" s="64">
        <v>14.4</v>
      </c>
      <c r="FH18" s="56"/>
      <c r="FJ18" s="56"/>
      <c r="FL18" s="64">
        <v>14.4</v>
      </c>
      <c r="GC18" s="56"/>
      <c r="GE18" s="56"/>
      <c r="GG18" s="64">
        <v>14.4</v>
      </c>
      <c r="GX18" s="56"/>
      <c r="GZ18" s="56"/>
      <c r="HB18" s="64">
        <v>14.4</v>
      </c>
      <c r="HS18" s="56"/>
      <c r="HU18" s="56"/>
      <c r="HW18" s="64">
        <v>14.4</v>
      </c>
      <c r="IN18" s="56"/>
      <c r="IP18" s="56"/>
      <c r="IR18" s="64">
        <v>14.4</v>
      </c>
      <c r="JI18" s="56"/>
      <c r="JK18" s="56"/>
      <c r="JM18" s="64">
        <v>14.4</v>
      </c>
      <c r="KD18" s="56"/>
      <c r="KF18" s="56"/>
      <c r="KH18" s="64">
        <v>14.4</v>
      </c>
      <c r="KY18" s="56"/>
      <c r="LA18" s="56"/>
      <c r="LC18" s="64">
        <v>14.4</v>
      </c>
      <c r="LT18" s="56"/>
      <c r="LV18" s="56"/>
      <c r="LX18" s="64">
        <v>14.4</v>
      </c>
    </row>
    <row r="19" spans="1:336" x14ac:dyDescent="0.2">
      <c r="B19" s="91" t="s">
        <v>69</v>
      </c>
      <c r="AH19" s="56"/>
      <c r="AJ19" s="56"/>
      <c r="AL19" s="104">
        <v>14.8</v>
      </c>
      <c r="BD19" s="56"/>
      <c r="BF19" s="56"/>
      <c r="BH19" s="104">
        <v>14.8</v>
      </c>
      <c r="BZ19" s="56"/>
      <c r="CB19" s="56"/>
      <c r="CD19" s="104">
        <v>14.8</v>
      </c>
      <c r="CW19" s="56"/>
      <c r="CY19" s="56"/>
      <c r="DA19" s="104">
        <v>14.8</v>
      </c>
      <c r="DR19" s="56"/>
      <c r="DT19" s="56"/>
      <c r="DV19" s="104">
        <v>14.8</v>
      </c>
      <c r="EM19" s="56"/>
      <c r="EO19" s="56"/>
      <c r="EQ19" s="104">
        <v>14.8</v>
      </c>
      <c r="FH19" s="56"/>
      <c r="FJ19" s="56"/>
      <c r="FL19" s="104">
        <v>14.8</v>
      </c>
      <c r="GC19" s="56"/>
      <c r="GE19" s="56"/>
      <c r="GG19" s="104">
        <v>14.8</v>
      </c>
      <c r="GX19" s="56"/>
      <c r="GZ19" s="56"/>
      <c r="HB19" s="104">
        <v>14.8</v>
      </c>
      <c r="HS19" s="56"/>
      <c r="HU19" s="56"/>
      <c r="HW19" s="104">
        <v>14.8</v>
      </c>
      <c r="IN19" s="56"/>
      <c r="IP19" s="56"/>
      <c r="IR19" s="104">
        <v>14.8</v>
      </c>
      <c r="JI19" s="56"/>
      <c r="JK19" s="56"/>
      <c r="JM19" s="104">
        <v>14.8</v>
      </c>
      <c r="KD19" s="56"/>
      <c r="KF19" s="56"/>
      <c r="KH19" s="104">
        <v>14.8</v>
      </c>
      <c r="KY19" s="56"/>
      <c r="LA19" s="56"/>
      <c r="LC19" s="104">
        <v>14.8</v>
      </c>
      <c r="LT19" s="56"/>
      <c r="LV19" s="56"/>
      <c r="LX19" s="104">
        <v>14.8</v>
      </c>
    </row>
    <row r="20" spans="1:336" x14ac:dyDescent="0.2">
      <c r="A20" s="56"/>
      <c r="B20" s="92" t="s">
        <v>86</v>
      </c>
      <c r="C20" s="55"/>
      <c r="AH20" s="56"/>
      <c r="AJ20" s="56"/>
      <c r="AK20" s="129"/>
      <c r="AL20" s="105">
        <v>15.6</v>
      </c>
      <c r="BD20" s="56"/>
      <c r="BF20" s="56"/>
      <c r="BG20" s="129"/>
      <c r="BH20" s="105">
        <v>15.6</v>
      </c>
      <c r="BZ20" s="56"/>
      <c r="CB20" s="56"/>
      <c r="CD20" s="105">
        <v>15.6</v>
      </c>
      <c r="CW20" s="56"/>
      <c r="CY20" s="56"/>
      <c r="DA20" s="105">
        <v>15.6</v>
      </c>
      <c r="DR20" s="56"/>
      <c r="DT20" s="56"/>
      <c r="DV20" s="105">
        <v>15.6</v>
      </c>
      <c r="EM20" s="56"/>
      <c r="EO20" s="56"/>
      <c r="EQ20" s="105">
        <v>15.6</v>
      </c>
      <c r="FH20" s="56"/>
      <c r="FJ20" s="56"/>
      <c r="FL20" s="105">
        <v>15.6</v>
      </c>
      <c r="GC20" s="56"/>
      <c r="GE20" s="56"/>
      <c r="GG20" s="105">
        <v>15.6</v>
      </c>
      <c r="GX20" s="56"/>
      <c r="GZ20" s="56"/>
      <c r="HB20" s="105">
        <v>15.6</v>
      </c>
      <c r="HS20" s="56"/>
      <c r="HU20" s="56"/>
      <c r="HW20" s="105">
        <v>15.6</v>
      </c>
      <c r="IN20" s="56"/>
      <c r="IP20" s="56"/>
      <c r="IR20" s="105">
        <v>15.6</v>
      </c>
      <c r="JI20" s="56"/>
      <c r="JK20" s="56"/>
      <c r="JM20" s="105">
        <v>15.6</v>
      </c>
      <c r="KD20" s="56"/>
      <c r="KF20" s="56"/>
      <c r="KH20" s="105">
        <v>15.6</v>
      </c>
      <c r="KY20" s="56"/>
      <c r="LA20" s="56"/>
      <c r="LC20" s="105">
        <v>15.6</v>
      </c>
      <c r="LT20" s="56"/>
      <c r="LV20" s="56"/>
      <c r="LX20" s="105">
        <v>15.6</v>
      </c>
    </row>
    <row r="21" spans="1:336" x14ac:dyDescent="0.2">
      <c r="A21" s="56"/>
      <c r="B21" s="71" t="s">
        <v>102</v>
      </c>
      <c r="C21" s="55"/>
      <c r="AH21" s="56"/>
      <c r="AJ21" s="56"/>
      <c r="AL21" s="65">
        <v>17.600000000000001</v>
      </c>
      <c r="BD21" s="56"/>
      <c r="BF21" s="56"/>
      <c r="BH21" s="65">
        <v>17.600000000000001</v>
      </c>
      <c r="BZ21" s="56"/>
      <c r="CB21" s="56"/>
      <c r="CD21" s="65">
        <v>17.600000000000001</v>
      </c>
      <c r="CW21" s="56"/>
      <c r="CY21" s="56"/>
      <c r="DA21" s="65">
        <v>17.600000000000001</v>
      </c>
      <c r="DR21" s="56"/>
      <c r="DT21" s="56"/>
      <c r="DV21" s="65">
        <v>17.600000000000001</v>
      </c>
      <c r="EM21" s="56"/>
      <c r="EO21" s="56"/>
      <c r="EP21" s="129"/>
      <c r="EQ21" s="65">
        <v>17.600000000000001</v>
      </c>
      <c r="FH21" s="56"/>
      <c r="FJ21" s="56"/>
      <c r="FL21" s="65">
        <v>17.600000000000001</v>
      </c>
      <c r="GC21" s="56"/>
      <c r="GE21" s="56"/>
      <c r="GG21" s="65">
        <v>17.600000000000001</v>
      </c>
      <c r="GX21" s="56"/>
      <c r="GZ21" s="56"/>
      <c r="HB21" s="65">
        <v>17.600000000000001</v>
      </c>
      <c r="HS21" s="56"/>
      <c r="HU21" s="56"/>
      <c r="HW21" s="65">
        <v>17.600000000000001</v>
      </c>
      <c r="IN21" s="56"/>
      <c r="IP21" s="56"/>
      <c r="IR21" s="65">
        <v>17.600000000000001</v>
      </c>
      <c r="JI21" s="56"/>
      <c r="JK21" s="56"/>
      <c r="JM21" s="65">
        <v>17.600000000000001</v>
      </c>
      <c r="KD21" s="56"/>
      <c r="KF21" s="56"/>
      <c r="KH21" s="65">
        <v>17.600000000000001</v>
      </c>
      <c r="KY21" s="56"/>
      <c r="LA21" s="56"/>
      <c r="LC21" s="65">
        <v>17.600000000000001</v>
      </c>
      <c r="LT21" s="56"/>
      <c r="LV21" s="56"/>
      <c r="LX21" s="65">
        <v>17.600000000000001</v>
      </c>
    </row>
    <row r="22" spans="1:336" x14ac:dyDescent="0.2">
      <c r="A22" s="56"/>
      <c r="B22" s="73" t="s">
        <v>67</v>
      </c>
      <c r="C22" s="55"/>
      <c r="AH22" s="56"/>
      <c r="AJ22" s="56"/>
      <c r="AL22" s="67">
        <v>69.599999999999994</v>
      </c>
      <c r="BD22" s="56"/>
      <c r="BF22" s="56"/>
      <c r="BH22" s="67">
        <v>69.599999999999994</v>
      </c>
      <c r="BZ22" s="56"/>
      <c r="CB22" s="56"/>
      <c r="CD22" s="67">
        <v>69.599999999999994</v>
      </c>
      <c r="CW22" s="56"/>
      <c r="CY22" s="56"/>
      <c r="DA22" s="67">
        <v>69.599999999999994</v>
      </c>
      <c r="DR22" s="56"/>
      <c r="DT22" s="56"/>
      <c r="DV22" s="67">
        <v>69.599999999999994</v>
      </c>
      <c r="EM22" s="56"/>
      <c r="EO22" s="56"/>
      <c r="EQ22" s="67">
        <v>69.599999999999994</v>
      </c>
      <c r="FH22" s="56"/>
      <c r="FJ22" s="56"/>
      <c r="FL22" s="67">
        <v>69.599999999999994</v>
      </c>
      <c r="GC22" s="56"/>
      <c r="GE22" s="56"/>
      <c r="GG22" s="67">
        <v>69.599999999999994</v>
      </c>
      <c r="GX22" s="56"/>
      <c r="GZ22" s="56"/>
      <c r="HB22" s="67">
        <v>69.599999999999994</v>
      </c>
      <c r="HS22" s="56"/>
      <c r="HU22" s="56"/>
      <c r="HW22" s="67">
        <v>69.599999999999994</v>
      </c>
      <c r="IN22" s="56"/>
      <c r="IP22" s="56"/>
      <c r="IR22" s="67">
        <v>69.599999999999994</v>
      </c>
      <c r="JI22" s="56"/>
      <c r="JK22" s="56"/>
      <c r="JM22" s="67">
        <v>69.599999999999994</v>
      </c>
      <c r="KD22" s="56"/>
      <c r="KF22" s="56"/>
      <c r="KH22" s="67">
        <v>69.599999999999994</v>
      </c>
      <c r="KY22" s="56"/>
      <c r="LA22" s="56"/>
      <c r="LC22" s="67">
        <v>69.599999999999994</v>
      </c>
      <c r="LT22" s="56"/>
      <c r="LV22" s="56"/>
      <c r="LX22" s="67">
        <v>69.599999999999994</v>
      </c>
    </row>
    <row r="23" spans="1:336" x14ac:dyDescent="0.2">
      <c r="A23" s="56"/>
      <c r="B23" s="72" t="s">
        <v>68</v>
      </c>
      <c r="C23" s="55"/>
      <c r="AH23" s="56"/>
      <c r="AJ23" s="56"/>
      <c r="AL23" s="66">
        <v>70.599999999999994</v>
      </c>
      <c r="BD23" s="56"/>
      <c r="BF23" s="56"/>
      <c r="BH23" s="66">
        <v>70.599999999999994</v>
      </c>
      <c r="BZ23" s="56"/>
      <c r="CB23" s="56"/>
      <c r="CD23" s="66">
        <v>70.599999999999994</v>
      </c>
      <c r="CW23" s="56"/>
      <c r="CY23" s="56"/>
      <c r="DA23" s="66">
        <v>70.599999999999994</v>
      </c>
      <c r="DR23" s="56"/>
      <c r="DT23" s="56"/>
      <c r="DV23" s="66">
        <v>70.599999999999994</v>
      </c>
      <c r="EM23" s="56"/>
      <c r="EO23" s="56"/>
      <c r="EQ23" s="66">
        <v>70.599999999999994</v>
      </c>
      <c r="FH23" s="56"/>
      <c r="FJ23" s="56"/>
      <c r="FL23" s="66">
        <v>70.599999999999994</v>
      </c>
      <c r="GC23" s="56"/>
      <c r="GE23" s="56"/>
      <c r="GG23" s="66">
        <v>70.599999999999994</v>
      </c>
      <c r="GX23" s="56"/>
      <c r="GZ23" s="56"/>
      <c r="HB23" s="66">
        <v>70.599999999999994</v>
      </c>
      <c r="HS23" s="56"/>
      <c r="HU23" s="56"/>
      <c r="HW23" s="66">
        <v>70.599999999999994</v>
      </c>
      <c r="IN23" s="56"/>
      <c r="IP23" s="56"/>
      <c r="IR23" s="66">
        <v>70.599999999999994</v>
      </c>
      <c r="JI23" s="56"/>
      <c r="JK23" s="56"/>
      <c r="JM23" s="66">
        <v>70.599999999999994</v>
      </c>
      <c r="KD23" s="56"/>
      <c r="KF23" s="56"/>
      <c r="KH23" s="66">
        <v>70.599999999999994</v>
      </c>
      <c r="KY23" s="56"/>
      <c r="LA23" s="56"/>
      <c r="LC23" s="66">
        <v>70.599999999999994</v>
      </c>
      <c r="LT23" s="56"/>
      <c r="LV23" s="56"/>
      <c r="LX23" s="66">
        <v>70.599999999999994</v>
      </c>
    </row>
    <row r="24" spans="1:336" x14ac:dyDescent="0.2">
      <c r="A24" s="56"/>
      <c r="B24" s="116" t="s">
        <v>84</v>
      </c>
      <c r="C24" s="55"/>
      <c r="AH24" s="56"/>
      <c r="AJ24" s="56"/>
      <c r="AK24" s="129"/>
      <c r="AL24" s="117">
        <v>72.599999999999994</v>
      </c>
      <c r="BD24" s="56"/>
      <c r="BF24" s="56"/>
      <c r="BG24" s="129"/>
      <c r="BH24" s="117">
        <v>72.599999999999994</v>
      </c>
      <c r="BZ24" s="56"/>
      <c r="CB24" s="56"/>
      <c r="CD24" s="117">
        <v>72.599999999999994</v>
      </c>
      <c r="CW24" s="56"/>
      <c r="CY24" s="56"/>
      <c r="DA24" s="117">
        <v>72.599999999999994</v>
      </c>
      <c r="DR24" s="56"/>
      <c r="DT24" s="56"/>
      <c r="DV24" s="117">
        <v>72.599999999999994</v>
      </c>
      <c r="EM24" s="56"/>
      <c r="EO24" s="56"/>
      <c r="EQ24" s="117">
        <v>72.599999999999994</v>
      </c>
      <c r="FH24" s="56"/>
      <c r="FJ24" s="56"/>
      <c r="FK24" s="129"/>
      <c r="FL24" s="117">
        <v>72.599999999999994</v>
      </c>
      <c r="GC24" s="56"/>
      <c r="GE24" s="56"/>
      <c r="GG24" s="117">
        <v>72.599999999999994</v>
      </c>
      <c r="GX24" s="56"/>
      <c r="GZ24" s="56"/>
      <c r="HB24" s="117">
        <v>72.599999999999994</v>
      </c>
      <c r="HS24" s="56"/>
      <c r="HU24" s="56"/>
      <c r="HW24" s="117">
        <v>72.599999999999994</v>
      </c>
      <c r="IN24" s="56"/>
      <c r="IP24" s="56"/>
      <c r="IR24" s="117">
        <v>72.599999999999994</v>
      </c>
      <c r="JI24" s="56"/>
      <c r="JK24" s="56"/>
      <c r="JM24" s="117">
        <v>72.599999999999994</v>
      </c>
      <c r="KD24" s="56"/>
      <c r="KF24" s="56"/>
      <c r="KH24" s="117">
        <v>72.599999999999994</v>
      </c>
      <c r="KY24" s="56"/>
      <c r="LA24" s="56"/>
      <c r="LC24" s="117">
        <v>72.599999999999994</v>
      </c>
      <c r="LT24" s="56"/>
      <c r="LV24" s="56"/>
      <c r="LX24" s="117">
        <v>72.599999999999994</v>
      </c>
    </row>
    <row r="25" spans="1:336" x14ac:dyDescent="0.2">
      <c r="A25" s="56"/>
      <c r="B25" s="74" t="s">
        <v>51</v>
      </c>
      <c r="C25" s="55"/>
      <c r="AH25" s="56"/>
      <c r="AJ25" s="56"/>
      <c r="AL25" s="68">
        <v>74.3</v>
      </c>
      <c r="BD25" s="56"/>
      <c r="BF25" s="56"/>
      <c r="BH25" s="68">
        <v>74.3</v>
      </c>
      <c r="BZ25" s="56"/>
      <c r="CB25" s="56"/>
      <c r="CD25" s="68">
        <v>74.3</v>
      </c>
      <c r="CW25" s="56"/>
      <c r="CY25" s="56"/>
      <c r="DA25" s="68">
        <v>74.3</v>
      </c>
      <c r="DR25" s="56"/>
      <c r="DT25" s="56"/>
      <c r="DV25" s="68">
        <v>74.3</v>
      </c>
      <c r="EM25" s="56"/>
      <c r="EO25" s="56"/>
      <c r="EP25" s="129"/>
      <c r="EQ25" s="68">
        <v>74.3</v>
      </c>
      <c r="FH25" s="56"/>
      <c r="FJ25" s="56"/>
      <c r="FL25" s="68">
        <v>74.3</v>
      </c>
      <c r="GC25" s="56"/>
      <c r="GE25" s="56"/>
      <c r="GG25" s="68">
        <v>74.3</v>
      </c>
      <c r="GX25" s="56"/>
      <c r="GZ25" s="56"/>
      <c r="HB25" s="68">
        <v>74.3</v>
      </c>
      <c r="HS25" s="56"/>
      <c r="HU25" s="56"/>
      <c r="HW25" s="68">
        <v>74.3</v>
      </c>
      <c r="IN25" s="56"/>
      <c r="IP25" s="56"/>
      <c r="IR25" s="68">
        <v>74.3</v>
      </c>
      <c r="JI25" s="56"/>
      <c r="JK25" s="56"/>
      <c r="JM25" s="68">
        <v>74.3</v>
      </c>
      <c r="KD25" s="56"/>
      <c r="KF25" s="56"/>
      <c r="KH25" s="68">
        <v>74.3</v>
      </c>
      <c r="KY25" s="56"/>
      <c r="LA25" s="56"/>
      <c r="LC25" s="68">
        <v>74.3</v>
      </c>
      <c r="LT25" s="56"/>
      <c r="LV25" s="56"/>
      <c r="LX25" s="68">
        <v>74.3</v>
      </c>
    </row>
    <row r="26" spans="1:336" x14ac:dyDescent="0.2">
      <c r="B26" s="82" t="s">
        <v>75</v>
      </c>
      <c r="C26" s="2"/>
      <c r="CX26" s="6"/>
      <c r="KE26" s="6"/>
    </row>
    <row r="27" spans="1:336" x14ac:dyDescent="0.2">
      <c r="A27" s="56"/>
      <c r="B27" s="56"/>
      <c r="C27" s="55"/>
    </row>
    <row r="28" spans="1:336" x14ac:dyDescent="0.2">
      <c r="A28" s="56"/>
      <c r="B28" s="56"/>
      <c r="C28" s="55"/>
    </row>
    <row r="29" spans="1:336" x14ac:dyDescent="0.2">
      <c r="A29" s="56"/>
      <c r="B29" s="56"/>
      <c r="C29" s="55"/>
    </row>
  </sheetData>
  <sheetProtection sheet="1" formatCells="0" formatColumns="0" formatRows="0"/>
  <autoFilter ref="A1:MT15" xr:uid="{D760B576-5B0F-AB48-9AF8-312B8BAFEA6D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5">
      <sortCondition descending="1" ref="F1:F16"/>
    </sortState>
  </autoFilter>
  <mergeCells count="97">
    <mergeCell ref="LY1:MT1"/>
    <mergeCell ref="LY2:MB2"/>
    <mergeCell ref="MC2:MF2"/>
    <mergeCell ref="MG2:MJ2"/>
    <mergeCell ref="MK2:MN2"/>
    <mergeCell ref="CE1:CF1"/>
    <mergeCell ref="DF2:DI2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BI1:CD1"/>
    <mergeCell ref="BI2:BL2"/>
    <mergeCell ref="BM2:BP2"/>
    <mergeCell ref="BQ2:BT2"/>
    <mergeCell ref="BU2:BX2"/>
    <mergeCell ref="EA2:ED2"/>
    <mergeCell ref="EE2:EH2"/>
    <mergeCell ref="EI2:EL2"/>
    <mergeCell ref="CG1:DA1"/>
    <mergeCell ref="DB1:DV1"/>
    <mergeCell ref="DN2:DQ2"/>
    <mergeCell ref="CG2:CJ2"/>
    <mergeCell ref="CK2:CN2"/>
    <mergeCell ref="CO2:CR2"/>
    <mergeCell ref="CS2:CV2"/>
    <mergeCell ref="DB2:DE2"/>
    <mergeCell ref="DW1:EQ1"/>
    <mergeCell ref="DW2:DZ2"/>
    <mergeCell ref="A1:A3"/>
    <mergeCell ref="B1:B3"/>
    <mergeCell ref="C1:C3"/>
    <mergeCell ref="E1:E3"/>
    <mergeCell ref="I1:I3"/>
    <mergeCell ref="F1:F3"/>
    <mergeCell ref="D1:D3"/>
    <mergeCell ref="G1:G3"/>
    <mergeCell ref="FM1:GG1"/>
    <mergeCell ref="ER2:EU2"/>
    <mergeCell ref="EV2:EY2"/>
    <mergeCell ref="EZ2:FC2"/>
    <mergeCell ref="FD2:FG2"/>
    <mergeCell ref="FM2:FP2"/>
    <mergeCell ref="FQ2:FT2"/>
    <mergeCell ref="FU2:FX2"/>
    <mergeCell ref="FY2:GB2"/>
    <mergeCell ref="ER1:FL1"/>
    <mergeCell ref="GH1:HB1"/>
    <mergeCell ref="HC1:HW1"/>
    <mergeCell ref="GH2:GK2"/>
    <mergeCell ref="GL2:GO2"/>
    <mergeCell ref="GP2:GS2"/>
    <mergeCell ref="GT2:GW2"/>
    <mergeCell ref="HC2:HF2"/>
    <mergeCell ref="HG2:HJ2"/>
    <mergeCell ref="HK2:HN2"/>
    <mergeCell ref="HO2:HR2"/>
    <mergeCell ref="HX1:IR1"/>
    <mergeCell ref="IS1:JM1"/>
    <mergeCell ref="HX2:IA2"/>
    <mergeCell ref="IB2:IE2"/>
    <mergeCell ref="IF2:II2"/>
    <mergeCell ref="IJ2:IM2"/>
    <mergeCell ref="IS2:IV2"/>
    <mergeCell ref="IW2:IZ2"/>
    <mergeCell ref="JA2:JD2"/>
    <mergeCell ref="JE2:JH2"/>
    <mergeCell ref="JN1:KH1"/>
    <mergeCell ref="KI1:LC1"/>
    <mergeCell ref="JN2:JQ2"/>
    <mergeCell ref="JR2:JU2"/>
    <mergeCell ref="JV2:JY2"/>
    <mergeCell ref="JZ2:KC2"/>
    <mergeCell ref="KI2:KL2"/>
    <mergeCell ref="KM2:KP2"/>
    <mergeCell ref="KQ2:KT2"/>
    <mergeCell ref="KU2:KX2"/>
    <mergeCell ref="LD1:LX1"/>
    <mergeCell ref="LD2:LG2"/>
    <mergeCell ref="LH2:LK2"/>
    <mergeCell ref="LL2:LO2"/>
    <mergeCell ref="LP2:LS2"/>
    <mergeCell ref="P1:P3"/>
    <mergeCell ref="Q1:AL1"/>
    <mergeCell ref="AM1:BH1"/>
    <mergeCell ref="O1:O3"/>
    <mergeCell ref="H1:H3"/>
    <mergeCell ref="J1:J3"/>
    <mergeCell ref="L1:L3"/>
    <mergeCell ref="N1:N3"/>
    <mergeCell ref="K1:K3"/>
    <mergeCell ref="M1:M3"/>
  </mergeCells>
  <conditionalFormatting sqref="AM4:BH15">
    <cfRule type="expression" dxfId="39" priority="3" stopIfTrue="1">
      <formula>IF($BC4&lt;&gt;"",1,0)</formula>
    </cfRule>
  </conditionalFormatting>
  <conditionalFormatting sqref="Q4:AL15">
    <cfRule type="expression" dxfId="38" priority="1" stopIfTrue="1">
      <formula>IF($AG4&lt;&gt;"",1,0)</formula>
    </cfRule>
  </conditionalFormatting>
  <conditionalFormatting sqref="K1:K1048576 M1:M1048576">
    <cfRule type="expression" dxfId="37" priority="36335">
      <formula>IF(K1=$BI$1,1,0)</formula>
    </cfRule>
    <cfRule type="expression" dxfId="36" priority="36601">
      <formula>IF(K1=$AM$1,1,0)</formula>
    </cfRule>
    <cfRule type="expression" dxfId="35" priority="36602">
      <formula>IF(K1=$Q$1,1,0)</formula>
    </cfRule>
  </conditionalFormatting>
  <conditionalFormatting sqref="BI4:CD15">
    <cfRule type="expression" dxfId="34" priority="2" stopIfTrue="1">
      <formula>IF($BY4&lt;&gt;"",1,0)</formula>
    </cfRule>
  </conditionalFormatting>
  <conditionalFormatting sqref="A1:A1048576">
    <cfRule type="expression" dxfId="33" priority="38432">
      <formula>AND(G1="P",F1="")</formula>
    </cfRule>
  </conditionalFormatting>
  <conditionalFormatting sqref="H1:H1048576">
    <cfRule type="containsText" dxfId="32" priority="5" operator="containsText" text="No DD">
      <formula>NOT(ISERROR(SEARCH("No DD",H1)))</formula>
    </cfRule>
    <cfRule type="containsText" dxfId="31" priority="6" operator="containsText" text="Merit">
      <formula>NOT(ISERROR(SEARCH("Merit",H1)))</formula>
    </cfRule>
    <cfRule type="containsText" dxfId="30" priority="26" operator="containsText" text="Excellence">
      <formula>NOT(ISERROR(SEARCH("Excellence",H1)))</formula>
    </cfRule>
    <cfRule type="containsText" dxfId="29" priority="27" operator="containsText" text="Worlds Team">
      <formula>NOT(ISERROR(SEARCH("Worlds Team",H1)))</formula>
    </cfRule>
    <cfRule type="containsText" dxfId="28" priority="28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27" priority="50061" operator="between">
      <formula>AL$21</formula>
      <formula>1000</formula>
    </cfRule>
    <cfRule type="cellIs" dxfId="26" priority="50062" operator="between">
      <formula>AL$20</formula>
      <formula>AL$21</formula>
    </cfRule>
    <cfRule type="cellIs" dxfId="25" priority="50063" operator="between">
      <formula>AL$19</formula>
      <formula>AL$20</formula>
    </cfRule>
    <cfRule type="cellIs" dxfId="24" priority="50064" operator="between">
      <formula>AL$18</formula>
      <formula>AL$19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23" priority="50241" operator="between">
      <formula>AL$25</formula>
      <formula>1000</formula>
    </cfRule>
    <cfRule type="cellIs" dxfId="22" priority="50242" operator="between">
      <formula>AL$24</formula>
      <formula>AL$25</formula>
    </cfRule>
    <cfRule type="cellIs" dxfId="21" priority="50243" operator="between">
      <formula>AL$23</formula>
      <formula>AL$24</formula>
    </cfRule>
    <cfRule type="cellIs" dxfId="20" priority="50244" operator="between">
      <formula>AL$22</formula>
      <formula>AL$23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E1F594-8680-D546-B3F5-C3E5E4A8E4B9}">
  <sheetPr codeName="Sheet10"/>
  <dimension ref="A1:MT30"/>
  <sheetViews>
    <sheetView workbookViewId="0">
      <pane xSplit="3" topLeftCell="D1" activePane="topRight" state="frozen"/>
      <selection pane="topRight" sqref="A1:A3"/>
    </sheetView>
  </sheetViews>
  <sheetFormatPr baseColWidth="10" defaultRowHeight="16" x14ac:dyDescent="0.2"/>
  <cols>
    <col min="2" max="2" width="21.33203125" bestFit="1" customWidth="1"/>
    <col min="3" max="3" width="8.1640625" bestFit="1" customWidth="1"/>
    <col min="4" max="4" width="11.33203125" customWidth="1"/>
    <col min="6" max="6" width="16.1640625" customWidth="1"/>
    <col min="8" max="8" width="13.33203125" style="126" bestFit="1" customWidth="1"/>
    <col min="9" max="9" width="17.33203125" bestFit="1" customWidth="1"/>
    <col min="11" max="11" width="27" bestFit="1" customWidth="1"/>
    <col min="13" max="13" width="20.5" bestFit="1" customWidth="1"/>
    <col min="14" max="14" width="24.6640625" bestFit="1" customWidth="1"/>
    <col min="15" max="15" width="13" bestFit="1" customWidth="1"/>
    <col min="16" max="16" width="53.1640625" bestFit="1" customWidth="1"/>
    <col min="17" max="33" width="10.83203125" hidden="1" customWidth="1"/>
    <col min="34" max="34" width="10.83203125" customWidth="1"/>
    <col min="37" max="38" width="10.83203125" customWidth="1"/>
    <col min="39" max="55" width="10.83203125" hidden="1" customWidth="1"/>
    <col min="56" max="60" width="10.83203125" customWidth="1"/>
    <col min="61" max="77" width="10.83203125" hidden="1" customWidth="1"/>
    <col min="78" max="78" width="10.83203125" customWidth="1"/>
    <col min="81" max="82" width="10.83203125" customWidth="1"/>
    <col min="85" max="358" width="10.83203125" hidden="1" customWidth="1"/>
  </cols>
  <sheetData>
    <row r="1" spans="1:358" ht="16" customHeight="1" x14ac:dyDescent="0.2">
      <c r="A1" s="141" t="s">
        <v>1</v>
      </c>
      <c r="B1" s="141" t="s">
        <v>37</v>
      </c>
      <c r="C1" s="141" t="s">
        <v>0</v>
      </c>
      <c r="D1" s="141" t="s">
        <v>76</v>
      </c>
      <c r="E1" s="141" t="s">
        <v>2</v>
      </c>
      <c r="F1" s="147" t="s">
        <v>83</v>
      </c>
      <c r="G1" s="147" t="s">
        <v>12</v>
      </c>
      <c r="H1" s="141" t="s">
        <v>13</v>
      </c>
      <c r="I1" s="147" t="s">
        <v>119</v>
      </c>
      <c r="J1" s="148" t="s">
        <v>14</v>
      </c>
      <c r="K1" s="142" t="s">
        <v>49</v>
      </c>
      <c r="L1" s="148" t="s">
        <v>132</v>
      </c>
      <c r="M1" s="142" t="s">
        <v>49</v>
      </c>
      <c r="N1" s="143" t="s">
        <v>18</v>
      </c>
      <c r="O1" s="142" t="s">
        <v>50</v>
      </c>
      <c r="P1" s="142" t="s">
        <v>49</v>
      </c>
      <c r="Q1" s="138" t="s">
        <v>121</v>
      </c>
      <c r="R1" s="138"/>
      <c r="S1" s="138"/>
      <c r="T1" s="138"/>
      <c r="U1" s="138"/>
      <c r="V1" s="138"/>
      <c r="W1" s="138"/>
      <c r="X1" s="138"/>
      <c r="Y1" s="138"/>
      <c r="Z1" s="138"/>
      <c r="AA1" s="138"/>
      <c r="AB1" s="138"/>
      <c r="AC1" s="138"/>
      <c r="AD1" s="138"/>
      <c r="AE1" s="138"/>
      <c r="AF1" s="138"/>
      <c r="AG1" s="138"/>
      <c r="AH1" s="138"/>
      <c r="AI1" s="138"/>
      <c r="AJ1" s="138"/>
      <c r="AK1" s="138"/>
      <c r="AL1" s="138"/>
      <c r="AM1" s="139" t="s">
        <v>133</v>
      </c>
      <c r="AN1" s="139"/>
      <c r="AO1" s="139"/>
      <c r="AP1" s="139"/>
      <c r="AQ1" s="139"/>
      <c r="AR1" s="139"/>
      <c r="AS1" s="139"/>
      <c r="AT1" s="139"/>
      <c r="AU1" s="139"/>
      <c r="AV1" s="139"/>
      <c r="AW1" s="139"/>
      <c r="AX1" s="139"/>
      <c r="AY1" s="139"/>
      <c r="AZ1" s="139"/>
      <c r="BA1" s="139"/>
      <c r="BB1" s="139"/>
      <c r="BC1" s="139"/>
      <c r="BD1" s="139"/>
      <c r="BE1" s="139"/>
      <c r="BF1" s="139"/>
      <c r="BG1" s="139"/>
      <c r="BH1" s="139"/>
      <c r="BI1" s="138" t="s">
        <v>142</v>
      </c>
      <c r="BJ1" s="138"/>
      <c r="BK1" s="138"/>
      <c r="BL1" s="138"/>
      <c r="BM1" s="138"/>
      <c r="BN1" s="138"/>
      <c r="BO1" s="138"/>
      <c r="BP1" s="138"/>
      <c r="BQ1" s="138"/>
      <c r="BR1" s="138"/>
      <c r="BS1" s="138"/>
      <c r="BT1" s="138"/>
      <c r="BU1" s="138"/>
      <c r="BV1" s="138"/>
      <c r="BW1" s="138"/>
      <c r="BX1" s="138"/>
      <c r="BY1" s="138"/>
      <c r="BZ1" s="138"/>
      <c r="CA1" s="138"/>
      <c r="CB1" s="138"/>
      <c r="CC1" s="138"/>
      <c r="CD1" s="138"/>
      <c r="CE1" s="140" t="s">
        <v>82</v>
      </c>
      <c r="CF1" s="140"/>
      <c r="CG1" s="151"/>
      <c r="CH1" s="151"/>
      <c r="CI1" s="151"/>
      <c r="CJ1" s="151"/>
      <c r="CK1" s="151"/>
      <c r="CL1" s="151"/>
      <c r="CM1" s="151"/>
      <c r="CN1" s="151"/>
      <c r="CO1" s="151"/>
      <c r="CP1" s="151"/>
      <c r="CQ1" s="151"/>
      <c r="CR1" s="151"/>
      <c r="CS1" s="151"/>
      <c r="CT1" s="151"/>
      <c r="CU1" s="151"/>
      <c r="CV1" s="151"/>
      <c r="CW1" s="151"/>
      <c r="CX1" s="151"/>
      <c r="CY1" s="151"/>
      <c r="CZ1" s="151"/>
      <c r="DA1" s="151"/>
      <c r="DB1" s="149"/>
      <c r="DC1" s="149"/>
      <c r="DD1" s="149"/>
      <c r="DE1" s="149"/>
      <c r="DF1" s="149"/>
      <c r="DG1" s="149"/>
      <c r="DH1" s="149"/>
      <c r="DI1" s="149"/>
      <c r="DJ1" s="149"/>
      <c r="DK1" s="149"/>
      <c r="DL1" s="149"/>
      <c r="DM1" s="149"/>
      <c r="DN1" s="149"/>
      <c r="DO1" s="149"/>
      <c r="DP1" s="149"/>
      <c r="DQ1" s="149"/>
      <c r="DR1" s="149"/>
      <c r="DS1" s="149"/>
      <c r="DT1" s="149"/>
      <c r="DU1" s="149"/>
      <c r="DV1" s="149"/>
      <c r="DW1" s="151"/>
      <c r="DX1" s="151"/>
      <c r="DY1" s="151"/>
      <c r="DZ1" s="151"/>
      <c r="EA1" s="151"/>
      <c r="EB1" s="151"/>
      <c r="EC1" s="151"/>
      <c r="ED1" s="151"/>
      <c r="EE1" s="151"/>
      <c r="EF1" s="151"/>
      <c r="EG1" s="151"/>
      <c r="EH1" s="151"/>
      <c r="EI1" s="151"/>
      <c r="EJ1" s="151"/>
      <c r="EK1" s="151"/>
      <c r="EL1" s="151"/>
      <c r="EM1" s="151"/>
      <c r="EN1" s="151"/>
      <c r="EO1" s="151"/>
      <c r="EP1" s="151"/>
      <c r="EQ1" s="151"/>
      <c r="ER1" s="149"/>
      <c r="ES1" s="149"/>
      <c r="ET1" s="149"/>
      <c r="EU1" s="149"/>
      <c r="EV1" s="149"/>
      <c r="EW1" s="149"/>
      <c r="EX1" s="149"/>
      <c r="EY1" s="149"/>
      <c r="EZ1" s="149"/>
      <c r="FA1" s="149"/>
      <c r="FB1" s="149"/>
      <c r="FC1" s="149"/>
      <c r="FD1" s="149"/>
      <c r="FE1" s="149"/>
      <c r="FF1" s="149"/>
      <c r="FG1" s="149"/>
      <c r="FH1" s="149"/>
      <c r="FI1" s="149"/>
      <c r="FJ1" s="149"/>
      <c r="FK1" s="149"/>
      <c r="FL1" s="149"/>
      <c r="FM1" s="151"/>
      <c r="FN1" s="151"/>
      <c r="FO1" s="151"/>
      <c r="FP1" s="151"/>
      <c r="FQ1" s="151"/>
      <c r="FR1" s="151"/>
      <c r="FS1" s="151"/>
      <c r="FT1" s="151"/>
      <c r="FU1" s="151"/>
      <c r="FV1" s="151"/>
      <c r="FW1" s="151"/>
      <c r="FX1" s="151"/>
      <c r="FY1" s="151"/>
      <c r="FZ1" s="151"/>
      <c r="GA1" s="151"/>
      <c r="GB1" s="151"/>
      <c r="GC1" s="151"/>
      <c r="GD1" s="151"/>
      <c r="GE1" s="151"/>
      <c r="GF1" s="151"/>
      <c r="GG1" s="151"/>
      <c r="GH1" s="149"/>
      <c r="GI1" s="149"/>
      <c r="GJ1" s="149"/>
      <c r="GK1" s="149"/>
      <c r="GL1" s="149"/>
      <c r="GM1" s="149"/>
      <c r="GN1" s="149"/>
      <c r="GO1" s="149"/>
      <c r="GP1" s="149"/>
      <c r="GQ1" s="149"/>
      <c r="GR1" s="149"/>
      <c r="GS1" s="149"/>
      <c r="GT1" s="149"/>
      <c r="GU1" s="149"/>
      <c r="GV1" s="149"/>
      <c r="GW1" s="149"/>
      <c r="GX1" s="149"/>
      <c r="GY1" s="149"/>
      <c r="GZ1" s="149"/>
      <c r="HA1" s="149"/>
      <c r="HB1" s="149"/>
      <c r="HC1" s="151"/>
      <c r="HD1" s="151"/>
      <c r="HE1" s="151"/>
      <c r="HF1" s="151"/>
      <c r="HG1" s="151"/>
      <c r="HH1" s="151"/>
      <c r="HI1" s="151"/>
      <c r="HJ1" s="151"/>
      <c r="HK1" s="151"/>
      <c r="HL1" s="151"/>
      <c r="HM1" s="151"/>
      <c r="HN1" s="151"/>
      <c r="HO1" s="151"/>
      <c r="HP1" s="151"/>
      <c r="HQ1" s="151"/>
      <c r="HR1" s="151"/>
      <c r="HS1" s="151"/>
      <c r="HT1" s="151"/>
      <c r="HU1" s="151"/>
      <c r="HV1" s="151"/>
      <c r="HW1" s="151"/>
      <c r="HX1" s="149"/>
      <c r="HY1" s="149"/>
      <c r="HZ1" s="149"/>
      <c r="IA1" s="149"/>
      <c r="IB1" s="149"/>
      <c r="IC1" s="149"/>
      <c r="ID1" s="149"/>
      <c r="IE1" s="149"/>
      <c r="IF1" s="149"/>
      <c r="IG1" s="149"/>
      <c r="IH1" s="149"/>
      <c r="II1" s="149"/>
      <c r="IJ1" s="149"/>
      <c r="IK1" s="149"/>
      <c r="IL1" s="149"/>
      <c r="IM1" s="149"/>
      <c r="IN1" s="149"/>
      <c r="IO1" s="149"/>
      <c r="IP1" s="149"/>
      <c r="IQ1" s="149"/>
      <c r="IR1" s="149"/>
      <c r="IS1" s="151"/>
      <c r="IT1" s="151"/>
      <c r="IU1" s="151"/>
      <c r="IV1" s="151"/>
      <c r="IW1" s="151"/>
      <c r="IX1" s="151"/>
      <c r="IY1" s="151"/>
      <c r="IZ1" s="151"/>
      <c r="JA1" s="151"/>
      <c r="JB1" s="151"/>
      <c r="JC1" s="151"/>
      <c r="JD1" s="151"/>
      <c r="JE1" s="151"/>
      <c r="JF1" s="151"/>
      <c r="JG1" s="151"/>
      <c r="JH1" s="151"/>
      <c r="JI1" s="151"/>
      <c r="JJ1" s="151"/>
      <c r="JK1" s="151"/>
      <c r="JL1" s="151"/>
      <c r="JM1" s="151"/>
      <c r="JN1" s="149"/>
      <c r="JO1" s="149"/>
      <c r="JP1" s="149"/>
      <c r="JQ1" s="149"/>
      <c r="JR1" s="149"/>
      <c r="JS1" s="149"/>
      <c r="JT1" s="149"/>
      <c r="JU1" s="149"/>
      <c r="JV1" s="149"/>
      <c r="JW1" s="149"/>
      <c r="JX1" s="149"/>
      <c r="JY1" s="149"/>
      <c r="JZ1" s="149"/>
      <c r="KA1" s="149"/>
      <c r="KB1" s="149"/>
      <c r="KC1" s="149"/>
      <c r="KD1" s="149"/>
      <c r="KE1" s="149"/>
      <c r="KF1" s="149"/>
      <c r="KG1" s="149"/>
      <c r="KH1" s="149"/>
      <c r="KI1" s="151"/>
      <c r="KJ1" s="151"/>
      <c r="KK1" s="151"/>
      <c r="KL1" s="151"/>
      <c r="KM1" s="151"/>
      <c r="KN1" s="151"/>
      <c r="KO1" s="151"/>
      <c r="KP1" s="151"/>
      <c r="KQ1" s="151"/>
      <c r="KR1" s="151"/>
      <c r="KS1" s="151"/>
      <c r="KT1" s="151"/>
      <c r="KU1" s="151"/>
      <c r="KV1" s="151"/>
      <c r="KW1" s="151"/>
      <c r="KX1" s="151"/>
      <c r="KY1" s="151"/>
      <c r="KZ1" s="151"/>
      <c r="LA1" s="151"/>
      <c r="LB1" s="151"/>
      <c r="LC1" s="151"/>
      <c r="LD1" s="149"/>
      <c r="LE1" s="149"/>
      <c r="LF1" s="149"/>
      <c r="LG1" s="149"/>
      <c r="LH1" s="149"/>
      <c r="LI1" s="149"/>
      <c r="LJ1" s="149"/>
      <c r="LK1" s="149"/>
      <c r="LL1" s="149"/>
      <c r="LM1" s="149"/>
      <c r="LN1" s="149"/>
      <c r="LO1" s="149"/>
      <c r="LP1" s="149"/>
      <c r="LQ1" s="149"/>
      <c r="LR1" s="149"/>
      <c r="LS1" s="149"/>
      <c r="LT1" s="149"/>
      <c r="LU1" s="149"/>
      <c r="LV1" s="149"/>
      <c r="LW1" s="149"/>
      <c r="LX1" s="149"/>
      <c r="LY1" s="138" t="s">
        <v>87</v>
      </c>
      <c r="LZ1" s="138"/>
      <c r="MA1" s="138"/>
      <c r="MB1" s="138"/>
      <c r="MC1" s="138"/>
      <c r="MD1" s="138"/>
      <c r="ME1" s="138"/>
      <c r="MF1" s="138"/>
      <c r="MG1" s="138"/>
      <c r="MH1" s="138"/>
      <c r="MI1" s="138"/>
      <c r="MJ1" s="138"/>
      <c r="MK1" s="138"/>
      <c r="ML1" s="138"/>
      <c r="MM1" s="138"/>
      <c r="MN1" s="138"/>
      <c r="MO1" s="138"/>
      <c r="MP1" s="138"/>
      <c r="MQ1" s="138"/>
      <c r="MR1" s="138"/>
      <c r="MS1" s="138"/>
      <c r="MT1" s="138"/>
    </row>
    <row r="2" spans="1:358" x14ac:dyDescent="0.2">
      <c r="A2" s="141"/>
      <c r="B2" s="141"/>
      <c r="C2" s="141"/>
      <c r="D2" s="141"/>
      <c r="E2" s="141"/>
      <c r="F2" s="147"/>
      <c r="G2" s="147"/>
      <c r="H2" s="141"/>
      <c r="I2" s="147"/>
      <c r="J2" s="148"/>
      <c r="K2" s="142"/>
      <c r="L2" s="148"/>
      <c r="M2" s="142"/>
      <c r="N2" s="143"/>
      <c r="O2" s="142"/>
      <c r="P2" s="142"/>
      <c r="Q2" s="137" t="s">
        <v>39</v>
      </c>
      <c r="R2" s="137"/>
      <c r="S2" s="137"/>
      <c r="T2" s="137"/>
      <c r="U2" s="137" t="s">
        <v>42</v>
      </c>
      <c r="V2" s="137"/>
      <c r="W2" s="137"/>
      <c r="X2" s="137"/>
      <c r="Y2" s="137" t="s">
        <v>43</v>
      </c>
      <c r="Z2" s="137"/>
      <c r="AA2" s="137"/>
      <c r="AB2" s="137"/>
      <c r="AC2" s="144" t="s">
        <v>44</v>
      </c>
      <c r="AD2" s="144"/>
      <c r="AE2" s="144"/>
      <c r="AF2" s="144"/>
      <c r="AG2" s="84"/>
      <c r="AH2" s="87" t="s">
        <v>29</v>
      </c>
      <c r="AI2" s="9" t="s">
        <v>28</v>
      </c>
      <c r="AJ2" s="109" t="s">
        <v>92</v>
      </c>
      <c r="AK2" s="9" t="s">
        <v>27</v>
      </c>
      <c r="AL2" s="9" t="s">
        <v>22</v>
      </c>
      <c r="AM2" s="136" t="s">
        <v>39</v>
      </c>
      <c r="AN2" s="136"/>
      <c r="AO2" s="136"/>
      <c r="AP2" s="136"/>
      <c r="AQ2" s="136" t="s">
        <v>42</v>
      </c>
      <c r="AR2" s="136"/>
      <c r="AS2" s="136"/>
      <c r="AT2" s="136"/>
      <c r="AU2" s="136" t="s">
        <v>43</v>
      </c>
      <c r="AV2" s="136"/>
      <c r="AW2" s="136"/>
      <c r="AX2" s="136"/>
      <c r="AY2" s="150" t="s">
        <v>44</v>
      </c>
      <c r="AZ2" s="150"/>
      <c r="BA2" s="150"/>
      <c r="BB2" s="150"/>
      <c r="BC2" s="83"/>
      <c r="BD2" s="88" t="s">
        <v>29</v>
      </c>
      <c r="BE2" s="12" t="s">
        <v>28</v>
      </c>
      <c r="BF2" s="110" t="s">
        <v>92</v>
      </c>
      <c r="BG2" s="12" t="s">
        <v>27</v>
      </c>
      <c r="BH2" s="12" t="s">
        <v>22</v>
      </c>
      <c r="BI2" s="137" t="s">
        <v>39</v>
      </c>
      <c r="BJ2" s="137"/>
      <c r="BK2" s="137"/>
      <c r="BL2" s="137"/>
      <c r="BM2" s="137" t="s">
        <v>42</v>
      </c>
      <c r="BN2" s="137"/>
      <c r="BO2" s="137"/>
      <c r="BP2" s="137"/>
      <c r="BQ2" s="137" t="s">
        <v>43</v>
      </c>
      <c r="BR2" s="137"/>
      <c r="BS2" s="137"/>
      <c r="BT2" s="137"/>
      <c r="BU2" s="144" t="s">
        <v>44</v>
      </c>
      <c r="BV2" s="144"/>
      <c r="BW2" s="144"/>
      <c r="BX2" s="144"/>
      <c r="BY2" s="109"/>
      <c r="BZ2" s="109" t="s">
        <v>29</v>
      </c>
      <c r="CA2" s="9" t="s">
        <v>28</v>
      </c>
      <c r="CB2" s="109" t="s">
        <v>92</v>
      </c>
      <c r="CC2" s="9" t="s">
        <v>27</v>
      </c>
      <c r="CD2" s="9" t="s">
        <v>22</v>
      </c>
      <c r="CE2" s="22" t="s">
        <v>28</v>
      </c>
      <c r="CF2" s="22" t="s">
        <v>85</v>
      </c>
      <c r="CG2" s="137" t="s">
        <v>39</v>
      </c>
      <c r="CH2" s="137"/>
      <c r="CI2" s="137"/>
      <c r="CJ2" s="137"/>
      <c r="CK2" s="137" t="s">
        <v>42</v>
      </c>
      <c r="CL2" s="137"/>
      <c r="CM2" s="137"/>
      <c r="CN2" s="137"/>
      <c r="CO2" s="137" t="s">
        <v>43</v>
      </c>
      <c r="CP2" s="137"/>
      <c r="CQ2" s="137"/>
      <c r="CR2" s="137"/>
      <c r="CS2" s="144" t="s">
        <v>44</v>
      </c>
      <c r="CT2" s="144"/>
      <c r="CU2" s="144"/>
      <c r="CV2" s="144"/>
      <c r="CW2" s="87" t="s">
        <v>29</v>
      </c>
      <c r="CX2" s="9" t="s">
        <v>28</v>
      </c>
      <c r="CY2" s="109" t="s">
        <v>92</v>
      </c>
      <c r="CZ2" s="9" t="s">
        <v>27</v>
      </c>
      <c r="DA2" s="9" t="s">
        <v>22</v>
      </c>
      <c r="DB2" s="150" t="s">
        <v>39</v>
      </c>
      <c r="DC2" s="150"/>
      <c r="DD2" s="150"/>
      <c r="DE2" s="150"/>
      <c r="DF2" s="150" t="s">
        <v>42</v>
      </c>
      <c r="DG2" s="150"/>
      <c r="DH2" s="150"/>
      <c r="DI2" s="150"/>
      <c r="DJ2" s="150" t="s">
        <v>43</v>
      </c>
      <c r="DK2" s="150"/>
      <c r="DL2" s="150"/>
      <c r="DM2" s="150"/>
      <c r="DN2" s="150" t="s">
        <v>44</v>
      </c>
      <c r="DO2" s="150"/>
      <c r="DP2" s="150"/>
      <c r="DQ2" s="150"/>
      <c r="DR2" s="88" t="s">
        <v>29</v>
      </c>
      <c r="DS2" s="16" t="s">
        <v>28</v>
      </c>
      <c r="DT2" s="110" t="s">
        <v>92</v>
      </c>
      <c r="DU2" s="16" t="s">
        <v>27</v>
      </c>
      <c r="DV2" s="16" t="s">
        <v>22</v>
      </c>
      <c r="DW2" s="144" t="s">
        <v>39</v>
      </c>
      <c r="DX2" s="144"/>
      <c r="DY2" s="144"/>
      <c r="DZ2" s="144"/>
      <c r="EA2" s="144" t="s">
        <v>42</v>
      </c>
      <c r="EB2" s="144"/>
      <c r="EC2" s="144"/>
      <c r="ED2" s="144"/>
      <c r="EE2" s="144" t="s">
        <v>43</v>
      </c>
      <c r="EF2" s="144"/>
      <c r="EG2" s="144"/>
      <c r="EH2" s="144"/>
      <c r="EI2" s="144" t="s">
        <v>44</v>
      </c>
      <c r="EJ2" s="144"/>
      <c r="EK2" s="144"/>
      <c r="EL2" s="144"/>
      <c r="EM2" s="87" t="s">
        <v>29</v>
      </c>
      <c r="EN2" s="17" t="s">
        <v>28</v>
      </c>
      <c r="EO2" s="109" t="s">
        <v>92</v>
      </c>
      <c r="EP2" s="17" t="s">
        <v>27</v>
      </c>
      <c r="EQ2" s="17" t="s">
        <v>22</v>
      </c>
      <c r="ER2" s="150" t="s">
        <v>39</v>
      </c>
      <c r="ES2" s="150"/>
      <c r="ET2" s="150"/>
      <c r="EU2" s="150"/>
      <c r="EV2" s="150" t="s">
        <v>42</v>
      </c>
      <c r="EW2" s="150"/>
      <c r="EX2" s="150"/>
      <c r="EY2" s="150"/>
      <c r="EZ2" s="150" t="s">
        <v>43</v>
      </c>
      <c r="FA2" s="150"/>
      <c r="FB2" s="150"/>
      <c r="FC2" s="150"/>
      <c r="FD2" s="150" t="s">
        <v>44</v>
      </c>
      <c r="FE2" s="150"/>
      <c r="FF2" s="150"/>
      <c r="FG2" s="150"/>
      <c r="FH2" s="88" t="s">
        <v>29</v>
      </c>
      <c r="FI2" s="16" t="s">
        <v>28</v>
      </c>
      <c r="FJ2" s="110" t="s">
        <v>92</v>
      </c>
      <c r="FK2" s="16" t="s">
        <v>27</v>
      </c>
      <c r="FL2" s="16" t="s">
        <v>22</v>
      </c>
      <c r="FM2" s="144" t="s">
        <v>39</v>
      </c>
      <c r="FN2" s="144"/>
      <c r="FO2" s="144"/>
      <c r="FP2" s="144"/>
      <c r="FQ2" s="144" t="s">
        <v>42</v>
      </c>
      <c r="FR2" s="144"/>
      <c r="FS2" s="144"/>
      <c r="FT2" s="144"/>
      <c r="FU2" s="144" t="s">
        <v>43</v>
      </c>
      <c r="FV2" s="144"/>
      <c r="FW2" s="144"/>
      <c r="FX2" s="144"/>
      <c r="FY2" s="144" t="s">
        <v>44</v>
      </c>
      <c r="FZ2" s="144"/>
      <c r="GA2" s="144"/>
      <c r="GB2" s="144"/>
      <c r="GC2" s="87" t="s">
        <v>29</v>
      </c>
      <c r="GD2" s="17" t="s">
        <v>28</v>
      </c>
      <c r="GE2" s="109" t="s">
        <v>92</v>
      </c>
      <c r="GF2" s="17" t="s">
        <v>27</v>
      </c>
      <c r="GG2" s="17" t="s">
        <v>22</v>
      </c>
      <c r="GH2" s="150" t="s">
        <v>39</v>
      </c>
      <c r="GI2" s="150"/>
      <c r="GJ2" s="150"/>
      <c r="GK2" s="150"/>
      <c r="GL2" s="150" t="s">
        <v>42</v>
      </c>
      <c r="GM2" s="150"/>
      <c r="GN2" s="150"/>
      <c r="GO2" s="150"/>
      <c r="GP2" s="150" t="s">
        <v>43</v>
      </c>
      <c r="GQ2" s="150"/>
      <c r="GR2" s="150"/>
      <c r="GS2" s="150"/>
      <c r="GT2" s="150" t="s">
        <v>44</v>
      </c>
      <c r="GU2" s="150"/>
      <c r="GV2" s="150"/>
      <c r="GW2" s="150"/>
      <c r="GX2" s="88" t="s">
        <v>29</v>
      </c>
      <c r="GY2" s="16" t="s">
        <v>28</v>
      </c>
      <c r="GZ2" s="110" t="s">
        <v>92</v>
      </c>
      <c r="HA2" s="16" t="s">
        <v>27</v>
      </c>
      <c r="HB2" s="16" t="s">
        <v>22</v>
      </c>
      <c r="HC2" s="144" t="s">
        <v>39</v>
      </c>
      <c r="HD2" s="144"/>
      <c r="HE2" s="144"/>
      <c r="HF2" s="144"/>
      <c r="HG2" s="144" t="s">
        <v>42</v>
      </c>
      <c r="HH2" s="144"/>
      <c r="HI2" s="144"/>
      <c r="HJ2" s="144"/>
      <c r="HK2" s="144" t="s">
        <v>43</v>
      </c>
      <c r="HL2" s="144"/>
      <c r="HM2" s="144"/>
      <c r="HN2" s="144"/>
      <c r="HO2" s="144" t="s">
        <v>44</v>
      </c>
      <c r="HP2" s="144"/>
      <c r="HQ2" s="144"/>
      <c r="HR2" s="144"/>
      <c r="HS2" s="87" t="s">
        <v>29</v>
      </c>
      <c r="HT2" s="17" t="s">
        <v>28</v>
      </c>
      <c r="HU2" s="109" t="s">
        <v>92</v>
      </c>
      <c r="HV2" s="17" t="s">
        <v>27</v>
      </c>
      <c r="HW2" s="17" t="s">
        <v>22</v>
      </c>
      <c r="HX2" s="150" t="s">
        <v>39</v>
      </c>
      <c r="HY2" s="150"/>
      <c r="HZ2" s="150"/>
      <c r="IA2" s="150"/>
      <c r="IB2" s="150" t="s">
        <v>42</v>
      </c>
      <c r="IC2" s="150"/>
      <c r="ID2" s="150"/>
      <c r="IE2" s="150"/>
      <c r="IF2" s="150" t="s">
        <v>43</v>
      </c>
      <c r="IG2" s="150"/>
      <c r="IH2" s="150"/>
      <c r="II2" s="150"/>
      <c r="IJ2" s="150" t="s">
        <v>44</v>
      </c>
      <c r="IK2" s="150"/>
      <c r="IL2" s="150"/>
      <c r="IM2" s="150"/>
      <c r="IN2" s="88" t="s">
        <v>29</v>
      </c>
      <c r="IO2" s="16" t="s">
        <v>28</v>
      </c>
      <c r="IP2" s="110" t="s">
        <v>92</v>
      </c>
      <c r="IQ2" s="16" t="s">
        <v>27</v>
      </c>
      <c r="IR2" s="16" t="s">
        <v>22</v>
      </c>
      <c r="IS2" s="144" t="s">
        <v>39</v>
      </c>
      <c r="IT2" s="144"/>
      <c r="IU2" s="144"/>
      <c r="IV2" s="144"/>
      <c r="IW2" s="144" t="s">
        <v>42</v>
      </c>
      <c r="IX2" s="144"/>
      <c r="IY2" s="144"/>
      <c r="IZ2" s="144"/>
      <c r="JA2" s="144" t="s">
        <v>43</v>
      </c>
      <c r="JB2" s="144"/>
      <c r="JC2" s="144"/>
      <c r="JD2" s="144"/>
      <c r="JE2" s="144" t="s">
        <v>44</v>
      </c>
      <c r="JF2" s="144"/>
      <c r="JG2" s="144"/>
      <c r="JH2" s="144"/>
      <c r="JI2" s="87" t="s">
        <v>29</v>
      </c>
      <c r="JJ2" s="17" t="s">
        <v>28</v>
      </c>
      <c r="JK2" s="109" t="s">
        <v>92</v>
      </c>
      <c r="JL2" s="17" t="s">
        <v>27</v>
      </c>
      <c r="JM2" s="17" t="s">
        <v>22</v>
      </c>
      <c r="JN2" s="150" t="s">
        <v>39</v>
      </c>
      <c r="JO2" s="150"/>
      <c r="JP2" s="150"/>
      <c r="JQ2" s="150"/>
      <c r="JR2" s="150" t="s">
        <v>42</v>
      </c>
      <c r="JS2" s="150"/>
      <c r="JT2" s="150"/>
      <c r="JU2" s="150"/>
      <c r="JV2" s="150" t="s">
        <v>43</v>
      </c>
      <c r="JW2" s="150"/>
      <c r="JX2" s="150"/>
      <c r="JY2" s="150"/>
      <c r="JZ2" s="150" t="s">
        <v>44</v>
      </c>
      <c r="KA2" s="150"/>
      <c r="KB2" s="150"/>
      <c r="KC2" s="150"/>
      <c r="KD2" s="88" t="s">
        <v>29</v>
      </c>
      <c r="KE2" s="16" t="s">
        <v>28</v>
      </c>
      <c r="KF2" s="110" t="s">
        <v>92</v>
      </c>
      <c r="KG2" s="16" t="s">
        <v>27</v>
      </c>
      <c r="KH2" s="16" t="s">
        <v>22</v>
      </c>
      <c r="KI2" s="144" t="s">
        <v>39</v>
      </c>
      <c r="KJ2" s="144"/>
      <c r="KK2" s="144"/>
      <c r="KL2" s="144"/>
      <c r="KM2" s="144" t="s">
        <v>42</v>
      </c>
      <c r="KN2" s="144"/>
      <c r="KO2" s="144"/>
      <c r="KP2" s="144"/>
      <c r="KQ2" s="144" t="s">
        <v>43</v>
      </c>
      <c r="KR2" s="144"/>
      <c r="KS2" s="144"/>
      <c r="KT2" s="144"/>
      <c r="KU2" s="144" t="s">
        <v>44</v>
      </c>
      <c r="KV2" s="144"/>
      <c r="KW2" s="144"/>
      <c r="KX2" s="144"/>
      <c r="KY2" s="87" t="s">
        <v>29</v>
      </c>
      <c r="KZ2" s="17" t="s">
        <v>28</v>
      </c>
      <c r="LA2" s="109" t="s">
        <v>92</v>
      </c>
      <c r="LB2" s="17" t="s">
        <v>27</v>
      </c>
      <c r="LC2" s="17" t="s">
        <v>22</v>
      </c>
      <c r="LD2" s="150" t="s">
        <v>39</v>
      </c>
      <c r="LE2" s="150"/>
      <c r="LF2" s="150"/>
      <c r="LG2" s="150"/>
      <c r="LH2" s="150" t="s">
        <v>42</v>
      </c>
      <c r="LI2" s="150"/>
      <c r="LJ2" s="150"/>
      <c r="LK2" s="150"/>
      <c r="LL2" s="150" t="s">
        <v>43</v>
      </c>
      <c r="LM2" s="150"/>
      <c r="LN2" s="150"/>
      <c r="LO2" s="150"/>
      <c r="LP2" s="150" t="s">
        <v>44</v>
      </c>
      <c r="LQ2" s="150"/>
      <c r="LR2" s="150"/>
      <c r="LS2" s="150"/>
      <c r="LT2" s="88" t="s">
        <v>29</v>
      </c>
      <c r="LU2" s="16" t="s">
        <v>28</v>
      </c>
      <c r="LV2" s="110" t="s">
        <v>92</v>
      </c>
      <c r="LW2" s="16" t="s">
        <v>27</v>
      </c>
      <c r="LX2" s="16" t="s">
        <v>22</v>
      </c>
      <c r="LY2" s="137" t="s">
        <v>39</v>
      </c>
      <c r="LZ2" s="137"/>
      <c r="MA2" s="137"/>
      <c r="MB2" s="137"/>
      <c r="MC2" s="137" t="s">
        <v>42</v>
      </c>
      <c r="MD2" s="137"/>
      <c r="ME2" s="137"/>
      <c r="MF2" s="137"/>
      <c r="MG2" s="137" t="s">
        <v>43</v>
      </c>
      <c r="MH2" s="137"/>
      <c r="MI2" s="137"/>
      <c r="MJ2" s="137"/>
      <c r="MK2" s="144" t="s">
        <v>44</v>
      </c>
      <c r="ML2" s="144"/>
      <c r="MM2" s="144"/>
      <c r="MN2" s="144"/>
      <c r="MO2" s="102"/>
      <c r="MP2" s="102" t="s">
        <v>29</v>
      </c>
      <c r="MQ2" s="9" t="s">
        <v>28</v>
      </c>
      <c r="MR2" s="102" t="s">
        <v>92</v>
      </c>
      <c r="MS2" s="9" t="s">
        <v>27</v>
      </c>
      <c r="MT2" s="9" t="s">
        <v>22</v>
      </c>
    </row>
    <row r="3" spans="1:358" x14ac:dyDescent="0.2">
      <c r="A3" s="141"/>
      <c r="B3" s="141"/>
      <c r="C3" s="141"/>
      <c r="D3" s="141"/>
      <c r="E3" s="141"/>
      <c r="F3" s="147"/>
      <c r="G3" s="147"/>
      <c r="H3" s="141"/>
      <c r="I3" s="147"/>
      <c r="J3" s="148"/>
      <c r="K3" s="142"/>
      <c r="L3" s="148"/>
      <c r="M3" s="142"/>
      <c r="N3" s="143"/>
      <c r="O3" s="142"/>
      <c r="P3" s="142"/>
      <c r="Q3" s="84" t="s">
        <v>19</v>
      </c>
      <c r="R3" s="84" t="s">
        <v>11</v>
      </c>
      <c r="S3" s="84" t="s">
        <v>40</v>
      </c>
      <c r="T3" s="84" t="s">
        <v>41</v>
      </c>
      <c r="U3" s="84" t="s">
        <v>19</v>
      </c>
      <c r="V3" s="84" t="s">
        <v>11</v>
      </c>
      <c r="W3" s="84" t="s">
        <v>40</v>
      </c>
      <c r="X3" s="84" t="s">
        <v>41</v>
      </c>
      <c r="Y3" s="84" t="s">
        <v>19</v>
      </c>
      <c r="Z3" s="84" t="s">
        <v>11</v>
      </c>
      <c r="AA3" s="84" t="s">
        <v>40</v>
      </c>
      <c r="AB3" s="84" t="s">
        <v>41</v>
      </c>
      <c r="AC3" s="85" t="s">
        <v>19</v>
      </c>
      <c r="AD3" s="85" t="s">
        <v>11</v>
      </c>
      <c r="AE3" s="85" t="s">
        <v>40</v>
      </c>
      <c r="AF3" s="85" t="s">
        <v>41</v>
      </c>
      <c r="AG3" s="84" t="s">
        <v>73</v>
      </c>
      <c r="AH3" s="10"/>
      <c r="AI3" s="9"/>
      <c r="AJ3" s="10"/>
      <c r="AK3" s="10"/>
      <c r="AL3" s="10"/>
      <c r="AM3" s="83" t="s">
        <v>19</v>
      </c>
      <c r="AN3" s="83" t="s">
        <v>11</v>
      </c>
      <c r="AO3" s="83" t="s">
        <v>40</v>
      </c>
      <c r="AP3" s="83" t="s">
        <v>41</v>
      </c>
      <c r="AQ3" s="83" t="s">
        <v>19</v>
      </c>
      <c r="AR3" s="83" t="s">
        <v>11</v>
      </c>
      <c r="AS3" s="83" t="s">
        <v>40</v>
      </c>
      <c r="AT3" s="83" t="s">
        <v>41</v>
      </c>
      <c r="AU3" s="83" t="s">
        <v>19</v>
      </c>
      <c r="AV3" s="83" t="s">
        <v>11</v>
      </c>
      <c r="AW3" s="83" t="s">
        <v>40</v>
      </c>
      <c r="AX3" s="83" t="s">
        <v>41</v>
      </c>
      <c r="AY3" s="86" t="s">
        <v>19</v>
      </c>
      <c r="AZ3" s="86" t="s">
        <v>11</v>
      </c>
      <c r="BA3" s="86" t="s">
        <v>40</v>
      </c>
      <c r="BB3" s="86" t="s">
        <v>41</v>
      </c>
      <c r="BC3" s="83" t="s">
        <v>73</v>
      </c>
      <c r="BD3" s="13"/>
      <c r="BE3" s="12"/>
      <c r="BF3" s="13"/>
      <c r="BG3" s="13"/>
      <c r="BH3" s="13"/>
      <c r="BI3" s="109" t="s">
        <v>19</v>
      </c>
      <c r="BJ3" s="109" t="s">
        <v>11</v>
      </c>
      <c r="BK3" s="109" t="s">
        <v>40</v>
      </c>
      <c r="BL3" s="109" t="s">
        <v>41</v>
      </c>
      <c r="BM3" s="109" t="s">
        <v>19</v>
      </c>
      <c r="BN3" s="109" t="s">
        <v>11</v>
      </c>
      <c r="BO3" s="109" t="s">
        <v>40</v>
      </c>
      <c r="BP3" s="109" t="s">
        <v>41</v>
      </c>
      <c r="BQ3" s="109" t="s">
        <v>19</v>
      </c>
      <c r="BR3" s="109" t="s">
        <v>11</v>
      </c>
      <c r="BS3" s="109" t="s">
        <v>40</v>
      </c>
      <c r="BT3" s="109" t="s">
        <v>41</v>
      </c>
      <c r="BU3" s="111" t="s">
        <v>19</v>
      </c>
      <c r="BV3" s="111" t="s">
        <v>11</v>
      </c>
      <c r="BW3" s="111" t="s">
        <v>40</v>
      </c>
      <c r="BX3" s="111" t="s">
        <v>41</v>
      </c>
      <c r="BY3" s="109" t="s">
        <v>73</v>
      </c>
      <c r="BZ3" s="10"/>
      <c r="CA3" s="9"/>
      <c r="CB3" s="10"/>
      <c r="CC3" s="10"/>
      <c r="CD3" s="10"/>
      <c r="CE3" s="23"/>
      <c r="CF3" s="23"/>
      <c r="CG3" s="84" t="s">
        <v>19</v>
      </c>
      <c r="CH3" s="84" t="s">
        <v>11</v>
      </c>
      <c r="CI3" s="84" t="s">
        <v>40</v>
      </c>
      <c r="CJ3" s="84" t="s">
        <v>41</v>
      </c>
      <c r="CK3" s="84" t="s">
        <v>19</v>
      </c>
      <c r="CL3" s="84" t="s">
        <v>11</v>
      </c>
      <c r="CM3" s="84" t="s">
        <v>40</v>
      </c>
      <c r="CN3" s="84" t="s">
        <v>41</v>
      </c>
      <c r="CO3" s="84" t="s">
        <v>19</v>
      </c>
      <c r="CP3" s="84" t="s">
        <v>11</v>
      </c>
      <c r="CQ3" s="84" t="s">
        <v>40</v>
      </c>
      <c r="CR3" s="84" t="s">
        <v>41</v>
      </c>
      <c r="CS3" s="85" t="s">
        <v>19</v>
      </c>
      <c r="CT3" s="85" t="s">
        <v>11</v>
      </c>
      <c r="CU3" s="85" t="s">
        <v>40</v>
      </c>
      <c r="CV3" s="85" t="s">
        <v>41</v>
      </c>
      <c r="CW3" s="10"/>
      <c r="CX3" s="9"/>
      <c r="CY3" s="10"/>
      <c r="CZ3" s="10"/>
      <c r="DA3" s="10"/>
      <c r="DB3" s="86" t="s">
        <v>19</v>
      </c>
      <c r="DC3" s="86" t="s">
        <v>11</v>
      </c>
      <c r="DD3" s="86" t="s">
        <v>40</v>
      </c>
      <c r="DE3" s="86" t="s">
        <v>41</v>
      </c>
      <c r="DF3" s="86" t="s">
        <v>19</v>
      </c>
      <c r="DG3" s="86" t="s">
        <v>11</v>
      </c>
      <c r="DH3" s="86" t="s">
        <v>40</v>
      </c>
      <c r="DI3" s="86" t="s">
        <v>41</v>
      </c>
      <c r="DJ3" s="86" t="s">
        <v>19</v>
      </c>
      <c r="DK3" s="86" t="s">
        <v>11</v>
      </c>
      <c r="DL3" s="86" t="s">
        <v>40</v>
      </c>
      <c r="DM3" s="86" t="s">
        <v>41</v>
      </c>
      <c r="DN3" s="86" t="s">
        <v>19</v>
      </c>
      <c r="DO3" s="86" t="s">
        <v>11</v>
      </c>
      <c r="DP3" s="86" t="s">
        <v>40</v>
      </c>
      <c r="DQ3" s="86" t="s">
        <v>41</v>
      </c>
      <c r="DR3" s="13"/>
      <c r="DS3" s="16"/>
      <c r="DT3" s="13"/>
      <c r="DU3" s="16"/>
      <c r="DV3" s="16"/>
      <c r="DW3" s="85" t="s">
        <v>19</v>
      </c>
      <c r="DX3" s="85" t="s">
        <v>11</v>
      </c>
      <c r="DY3" s="85" t="s">
        <v>40</v>
      </c>
      <c r="DZ3" s="85" t="s">
        <v>41</v>
      </c>
      <c r="EA3" s="85" t="s">
        <v>19</v>
      </c>
      <c r="EB3" s="85" t="s">
        <v>11</v>
      </c>
      <c r="EC3" s="85" t="s">
        <v>40</v>
      </c>
      <c r="ED3" s="85" t="s">
        <v>41</v>
      </c>
      <c r="EE3" s="85" t="s">
        <v>19</v>
      </c>
      <c r="EF3" s="85" t="s">
        <v>11</v>
      </c>
      <c r="EG3" s="85" t="s">
        <v>40</v>
      </c>
      <c r="EH3" s="85" t="s">
        <v>41</v>
      </c>
      <c r="EI3" s="85" t="s">
        <v>19</v>
      </c>
      <c r="EJ3" s="85" t="s">
        <v>11</v>
      </c>
      <c r="EK3" s="85" t="s">
        <v>40</v>
      </c>
      <c r="EL3" s="85" t="s">
        <v>41</v>
      </c>
      <c r="EM3" s="10"/>
      <c r="EN3" s="17"/>
      <c r="EO3" s="10"/>
      <c r="EP3" s="17"/>
      <c r="EQ3" s="17"/>
      <c r="ER3" s="86" t="s">
        <v>19</v>
      </c>
      <c r="ES3" s="86" t="s">
        <v>11</v>
      </c>
      <c r="ET3" s="86" t="s">
        <v>40</v>
      </c>
      <c r="EU3" s="86" t="s">
        <v>41</v>
      </c>
      <c r="EV3" s="86" t="s">
        <v>19</v>
      </c>
      <c r="EW3" s="86" t="s">
        <v>11</v>
      </c>
      <c r="EX3" s="86" t="s">
        <v>40</v>
      </c>
      <c r="EY3" s="86" t="s">
        <v>41</v>
      </c>
      <c r="EZ3" s="86" t="s">
        <v>19</v>
      </c>
      <c r="FA3" s="86" t="s">
        <v>11</v>
      </c>
      <c r="FB3" s="86" t="s">
        <v>40</v>
      </c>
      <c r="FC3" s="86" t="s">
        <v>41</v>
      </c>
      <c r="FD3" s="86" t="s">
        <v>19</v>
      </c>
      <c r="FE3" s="86" t="s">
        <v>11</v>
      </c>
      <c r="FF3" s="86" t="s">
        <v>40</v>
      </c>
      <c r="FG3" s="86" t="s">
        <v>41</v>
      </c>
      <c r="FH3" s="13"/>
      <c r="FI3" s="16"/>
      <c r="FJ3" s="13"/>
      <c r="FK3" s="16"/>
      <c r="FL3" s="16"/>
      <c r="FM3" s="85" t="s">
        <v>19</v>
      </c>
      <c r="FN3" s="85" t="s">
        <v>11</v>
      </c>
      <c r="FO3" s="85" t="s">
        <v>40</v>
      </c>
      <c r="FP3" s="85" t="s">
        <v>41</v>
      </c>
      <c r="FQ3" s="85" t="s">
        <v>19</v>
      </c>
      <c r="FR3" s="85" t="s">
        <v>11</v>
      </c>
      <c r="FS3" s="85" t="s">
        <v>40</v>
      </c>
      <c r="FT3" s="85" t="s">
        <v>41</v>
      </c>
      <c r="FU3" s="85" t="s">
        <v>19</v>
      </c>
      <c r="FV3" s="85" t="s">
        <v>11</v>
      </c>
      <c r="FW3" s="85" t="s">
        <v>40</v>
      </c>
      <c r="FX3" s="85" t="s">
        <v>41</v>
      </c>
      <c r="FY3" s="85" t="s">
        <v>19</v>
      </c>
      <c r="FZ3" s="85" t="s">
        <v>11</v>
      </c>
      <c r="GA3" s="85" t="s">
        <v>40</v>
      </c>
      <c r="GB3" s="85" t="s">
        <v>41</v>
      </c>
      <c r="GC3" s="10"/>
      <c r="GD3" s="17"/>
      <c r="GE3" s="10"/>
      <c r="GF3" s="17"/>
      <c r="GG3" s="17"/>
      <c r="GH3" s="86" t="s">
        <v>19</v>
      </c>
      <c r="GI3" s="86" t="s">
        <v>11</v>
      </c>
      <c r="GJ3" s="86" t="s">
        <v>40</v>
      </c>
      <c r="GK3" s="86" t="s">
        <v>41</v>
      </c>
      <c r="GL3" s="86" t="s">
        <v>19</v>
      </c>
      <c r="GM3" s="86" t="s">
        <v>11</v>
      </c>
      <c r="GN3" s="86" t="s">
        <v>40</v>
      </c>
      <c r="GO3" s="86" t="s">
        <v>41</v>
      </c>
      <c r="GP3" s="86" t="s">
        <v>19</v>
      </c>
      <c r="GQ3" s="86" t="s">
        <v>11</v>
      </c>
      <c r="GR3" s="86" t="s">
        <v>40</v>
      </c>
      <c r="GS3" s="86" t="s">
        <v>41</v>
      </c>
      <c r="GT3" s="86" t="s">
        <v>19</v>
      </c>
      <c r="GU3" s="86" t="s">
        <v>11</v>
      </c>
      <c r="GV3" s="86" t="s">
        <v>40</v>
      </c>
      <c r="GW3" s="86" t="s">
        <v>41</v>
      </c>
      <c r="GX3" s="13"/>
      <c r="GY3" s="16"/>
      <c r="GZ3" s="13"/>
      <c r="HA3" s="16"/>
      <c r="HB3" s="16"/>
      <c r="HC3" s="85" t="s">
        <v>19</v>
      </c>
      <c r="HD3" s="85" t="s">
        <v>11</v>
      </c>
      <c r="HE3" s="85" t="s">
        <v>40</v>
      </c>
      <c r="HF3" s="85" t="s">
        <v>41</v>
      </c>
      <c r="HG3" s="85" t="s">
        <v>19</v>
      </c>
      <c r="HH3" s="85" t="s">
        <v>11</v>
      </c>
      <c r="HI3" s="85" t="s">
        <v>40</v>
      </c>
      <c r="HJ3" s="85" t="s">
        <v>41</v>
      </c>
      <c r="HK3" s="85" t="s">
        <v>19</v>
      </c>
      <c r="HL3" s="85" t="s">
        <v>11</v>
      </c>
      <c r="HM3" s="85" t="s">
        <v>40</v>
      </c>
      <c r="HN3" s="85" t="s">
        <v>41</v>
      </c>
      <c r="HO3" s="85" t="s">
        <v>19</v>
      </c>
      <c r="HP3" s="85" t="s">
        <v>11</v>
      </c>
      <c r="HQ3" s="85" t="s">
        <v>40</v>
      </c>
      <c r="HR3" s="85" t="s">
        <v>41</v>
      </c>
      <c r="HS3" s="10"/>
      <c r="HT3" s="17"/>
      <c r="HU3" s="10"/>
      <c r="HV3" s="17"/>
      <c r="HW3" s="17"/>
      <c r="HX3" s="86" t="s">
        <v>19</v>
      </c>
      <c r="HY3" s="86" t="s">
        <v>11</v>
      </c>
      <c r="HZ3" s="86" t="s">
        <v>40</v>
      </c>
      <c r="IA3" s="86" t="s">
        <v>41</v>
      </c>
      <c r="IB3" s="86" t="s">
        <v>19</v>
      </c>
      <c r="IC3" s="86" t="s">
        <v>11</v>
      </c>
      <c r="ID3" s="86" t="s">
        <v>40</v>
      </c>
      <c r="IE3" s="86" t="s">
        <v>41</v>
      </c>
      <c r="IF3" s="86" t="s">
        <v>19</v>
      </c>
      <c r="IG3" s="86" t="s">
        <v>11</v>
      </c>
      <c r="IH3" s="86" t="s">
        <v>40</v>
      </c>
      <c r="II3" s="86" t="s">
        <v>41</v>
      </c>
      <c r="IJ3" s="86" t="s">
        <v>19</v>
      </c>
      <c r="IK3" s="86" t="s">
        <v>11</v>
      </c>
      <c r="IL3" s="86" t="s">
        <v>40</v>
      </c>
      <c r="IM3" s="86" t="s">
        <v>41</v>
      </c>
      <c r="IN3" s="13"/>
      <c r="IO3" s="16"/>
      <c r="IP3" s="13"/>
      <c r="IQ3" s="16"/>
      <c r="IR3" s="16"/>
      <c r="IS3" s="85" t="s">
        <v>19</v>
      </c>
      <c r="IT3" s="85" t="s">
        <v>11</v>
      </c>
      <c r="IU3" s="85" t="s">
        <v>40</v>
      </c>
      <c r="IV3" s="85" t="s">
        <v>41</v>
      </c>
      <c r="IW3" s="85" t="s">
        <v>19</v>
      </c>
      <c r="IX3" s="85" t="s">
        <v>11</v>
      </c>
      <c r="IY3" s="85" t="s">
        <v>40</v>
      </c>
      <c r="IZ3" s="85" t="s">
        <v>41</v>
      </c>
      <c r="JA3" s="85" t="s">
        <v>19</v>
      </c>
      <c r="JB3" s="85" t="s">
        <v>11</v>
      </c>
      <c r="JC3" s="85" t="s">
        <v>40</v>
      </c>
      <c r="JD3" s="85" t="s">
        <v>41</v>
      </c>
      <c r="JE3" s="85" t="s">
        <v>19</v>
      </c>
      <c r="JF3" s="85" t="s">
        <v>11</v>
      </c>
      <c r="JG3" s="85" t="s">
        <v>40</v>
      </c>
      <c r="JH3" s="85" t="s">
        <v>41</v>
      </c>
      <c r="JI3" s="10"/>
      <c r="JJ3" s="17"/>
      <c r="JK3" s="10"/>
      <c r="JL3" s="17"/>
      <c r="JM3" s="17"/>
      <c r="JN3" s="86" t="s">
        <v>19</v>
      </c>
      <c r="JO3" s="86" t="s">
        <v>11</v>
      </c>
      <c r="JP3" s="86" t="s">
        <v>40</v>
      </c>
      <c r="JQ3" s="86" t="s">
        <v>41</v>
      </c>
      <c r="JR3" s="86" t="s">
        <v>19</v>
      </c>
      <c r="JS3" s="86" t="s">
        <v>11</v>
      </c>
      <c r="JT3" s="86" t="s">
        <v>40</v>
      </c>
      <c r="JU3" s="86" t="s">
        <v>41</v>
      </c>
      <c r="JV3" s="86" t="s">
        <v>19</v>
      </c>
      <c r="JW3" s="86" t="s">
        <v>11</v>
      </c>
      <c r="JX3" s="86" t="s">
        <v>40</v>
      </c>
      <c r="JY3" s="86" t="s">
        <v>41</v>
      </c>
      <c r="JZ3" s="86" t="s">
        <v>19</v>
      </c>
      <c r="KA3" s="86" t="s">
        <v>11</v>
      </c>
      <c r="KB3" s="86" t="s">
        <v>40</v>
      </c>
      <c r="KC3" s="86" t="s">
        <v>41</v>
      </c>
      <c r="KD3" s="13"/>
      <c r="KE3" s="16"/>
      <c r="KF3" s="13"/>
      <c r="KG3" s="16"/>
      <c r="KH3" s="16"/>
      <c r="KI3" s="85" t="s">
        <v>19</v>
      </c>
      <c r="KJ3" s="85" t="s">
        <v>11</v>
      </c>
      <c r="KK3" s="85" t="s">
        <v>40</v>
      </c>
      <c r="KL3" s="85" t="s">
        <v>41</v>
      </c>
      <c r="KM3" s="85" t="s">
        <v>19</v>
      </c>
      <c r="KN3" s="85" t="s">
        <v>11</v>
      </c>
      <c r="KO3" s="85" t="s">
        <v>40</v>
      </c>
      <c r="KP3" s="85" t="s">
        <v>41</v>
      </c>
      <c r="KQ3" s="85" t="s">
        <v>19</v>
      </c>
      <c r="KR3" s="85" t="s">
        <v>11</v>
      </c>
      <c r="KS3" s="85" t="s">
        <v>40</v>
      </c>
      <c r="KT3" s="85" t="s">
        <v>41</v>
      </c>
      <c r="KU3" s="85" t="s">
        <v>19</v>
      </c>
      <c r="KV3" s="85" t="s">
        <v>11</v>
      </c>
      <c r="KW3" s="85" t="s">
        <v>40</v>
      </c>
      <c r="KX3" s="85" t="s">
        <v>41</v>
      </c>
      <c r="KY3" s="10"/>
      <c r="KZ3" s="17"/>
      <c r="LA3" s="10"/>
      <c r="LB3" s="17"/>
      <c r="LC3" s="17"/>
      <c r="LD3" s="86" t="s">
        <v>19</v>
      </c>
      <c r="LE3" s="86" t="s">
        <v>11</v>
      </c>
      <c r="LF3" s="86" t="s">
        <v>40</v>
      </c>
      <c r="LG3" s="86" t="s">
        <v>41</v>
      </c>
      <c r="LH3" s="86" t="s">
        <v>19</v>
      </c>
      <c r="LI3" s="86" t="s">
        <v>11</v>
      </c>
      <c r="LJ3" s="86" t="s">
        <v>40</v>
      </c>
      <c r="LK3" s="86" t="s">
        <v>41</v>
      </c>
      <c r="LL3" s="86" t="s">
        <v>19</v>
      </c>
      <c r="LM3" s="86" t="s">
        <v>11</v>
      </c>
      <c r="LN3" s="86" t="s">
        <v>40</v>
      </c>
      <c r="LO3" s="86" t="s">
        <v>41</v>
      </c>
      <c r="LP3" s="86" t="s">
        <v>19</v>
      </c>
      <c r="LQ3" s="86" t="s">
        <v>11</v>
      </c>
      <c r="LR3" s="86" t="s">
        <v>40</v>
      </c>
      <c r="LS3" s="86" t="s">
        <v>41</v>
      </c>
      <c r="LT3" s="13"/>
      <c r="LU3" s="16"/>
      <c r="LV3" s="13"/>
      <c r="LW3" s="16"/>
      <c r="LX3" s="16"/>
      <c r="LY3" s="102" t="s">
        <v>19</v>
      </c>
      <c r="LZ3" s="102" t="s">
        <v>11</v>
      </c>
      <c r="MA3" s="102" t="s">
        <v>40</v>
      </c>
      <c r="MB3" s="102" t="s">
        <v>41</v>
      </c>
      <c r="MC3" s="102" t="s">
        <v>19</v>
      </c>
      <c r="MD3" s="102" t="s">
        <v>11</v>
      </c>
      <c r="ME3" s="102" t="s">
        <v>40</v>
      </c>
      <c r="MF3" s="102" t="s">
        <v>41</v>
      </c>
      <c r="MG3" s="102" t="s">
        <v>19</v>
      </c>
      <c r="MH3" s="102" t="s">
        <v>11</v>
      </c>
      <c r="MI3" s="102" t="s">
        <v>40</v>
      </c>
      <c r="MJ3" s="102" t="s">
        <v>41</v>
      </c>
      <c r="MK3" s="103" t="s">
        <v>19</v>
      </c>
      <c r="ML3" s="103" t="s">
        <v>11</v>
      </c>
      <c r="MM3" s="103" t="s">
        <v>40</v>
      </c>
      <c r="MN3" s="103" t="s">
        <v>41</v>
      </c>
      <c r="MO3" s="102" t="s">
        <v>73</v>
      </c>
      <c r="MP3" s="10"/>
      <c r="MQ3" s="9"/>
      <c r="MR3" s="10"/>
      <c r="MS3" s="10"/>
      <c r="MT3" s="10"/>
    </row>
    <row r="4" spans="1:358" x14ac:dyDescent="0.2">
      <c r="A4" s="5">
        <f>IF(AND(F4="P",G4="P"),SUMPRODUCT((F$4:F$17="P")*(G$4:G$17="P")*(E$4:E$17&gt;E4))+1,IF(G4="P",SUMPRODUCT((F$4:F$17="")*(G$4:G$17="P")*(E$4:E$17&gt;E4))+1+SUMPRODUCT((F$4:F$17="P")*(G$4:G$17="P")),""))</f>
        <v>1</v>
      </c>
      <c r="B4" s="8" t="s">
        <v>116</v>
      </c>
      <c r="C4" s="4" t="s">
        <v>6</v>
      </c>
      <c r="D4" s="5">
        <v>1996</v>
      </c>
      <c r="E4" s="15">
        <f>SUM(J4:N4)</f>
        <v>200.6</v>
      </c>
      <c r="F4" s="3" t="str">
        <f>IF(OR(AND(AH4&gt;=AL$19,AI4&gt;=AL$23,AI4&lt;&gt;"",AG4=""),AND(BD4&gt;=BH$19,BE4&gt;=BH$23,BE4&lt;&gt;"",BC4=""),AND(BZ4&gt;=CD$19,CA4&gt;=CD$23,CA4&lt;&gt;"",BY4=""),AND(CW4&gt;=DA$19,CX4&gt;=DA$23,CX4&lt;&gt;""),AND(DR4&gt;=DV$19,DS4&gt;=DV$23,DS4&lt;&gt;""),AND(EM4&gt;=EQ$19,EN4&gt;=EQ$23,EN4&lt;&gt;""),AND(FH4&gt;=FL$19,FI4&gt;=FL$23,FI4&lt;&gt;""),AND(GC4&gt;=GG$19,GD4&gt;=GG$23,GD4&lt;&gt;""),AND(GX4&gt;=HB$19,GY4&gt;=HB$23,GY4&lt;&gt;""),AND(HS4&gt;=HW$19,HT4&gt;=HW$23,HT4&lt;&gt;""),AND(IN4&gt;=IR$19,IO4&gt;=IR$23,IO4&lt;&gt;""),AND(JI4&gt;=JM$19,JJ4&gt;=JM$23,JJ4&lt;&gt;""),AND(KD4&gt;=KH$19,KE4&gt;=KH$23,KE4&lt;&gt;""),AND(KY4&gt;=LC$19,KZ4&gt;=LC$23,KZ4&lt;&gt;""),AND(LT4&gt;=LX$19,LU4&gt;=LX$23,LU4&lt;&gt;"")),"P","")</f>
        <v>P</v>
      </c>
      <c r="G4" s="3" t="str">
        <f>IF(OR(AND(AI4&gt;=AL$23,AI4&lt;&gt;"",AG4=""),AND(BE4&gt;=BH$23,BE4&lt;&gt;"",BC4=""),AND(CA4&gt;=CD$23,CA4&lt;&gt;"",BY4=""),AND(CX4&gt;=DA$23,CX4&lt;&gt;""),AND(DS4&gt;=DV$23,DS4&lt;&gt;""),AND(EN4&gt;=EQ$23,EN4&lt;&gt;""),AND(FI4&gt;=FL$23,FI4&lt;&gt;""),AND(GD4&gt;=GG$23,GD4&lt;&gt;""),AND(GY4&gt;=HB$23,GY4&lt;&gt;""),AND(HT4&gt;=HW$23,HT4&lt;&gt;""),AND(IO4&gt;=IR$23,IO4&lt;&gt;""),AND(JJ4&gt;=JM$23,JJ4&lt;&gt;""),AND(KE4&gt;=KH$23,KE4&lt;&gt;""),AND(KZ4&gt;=LC$23,KZ4&lt;&gt;""),AND(LU4&gt;=LX$23,LU4&lt;&gt;"")),"P","")</f>
        <v>P</v>
      </c>
      <c r="H4" s="126" t="str">
        <f>IF(AND(G4="P",F4=""),"No DD",IF(OR(AND(AH4&gt;=AL$22,AH4&lt;&gt;"",AI4&gt;=AL$26,AI4&lt;&gt;"",AG4=""),AND(BD4&gt;=BH$22,BD4&lt;&gt;"",BE4&gt;=BH$26,BE4&lt;&gt;"",BC4=""),AND(BZ4&gt;=CD$22,BZ4&lt;&gt;"",CA4&gt;=CD$26,CA4&lt;&gt;"",BY4=""),AND(CW4&gt;=DA$22,CW4&lt;&gt;"",CX4&gt;=DA$26,CX4&lt;&gt;""),AND(DR4&gt;=DV$22,DR4&lt;&gt;"",DS4&gt;=DV$26,DS4&lt;&gt;""),AND(EM4&gt;=EQ$22,EM4&lt;&gt;"",EN4&gt;=EQ$26,EN4&lt;&gt;""),AND(FH4&gt;=FL$22,FH4&lt;&gt;"",FI4&gt;=FL$26,FI4&lt;&gt;""),AND(GC4&gt;=GG$22,GC4&lt;&gt;"",GD4&gt;=GG$26,GD4&lt;&gt;""),AND(GX4&gt;=HB$22,GX4&lt;&gt;"",GY4&gt;=HB$26,GY4&lt;&gt;""),AND(HS4&gt;=HW$22,HS4&lt;&gt;"",HT4&gt;=HW$26,HT4&lt;&gt;""),AND(IN4&gt;=IR$22,IN4&lt;&gt;"",IO4&gt;=IR$26,IO4&lt;&gt;""),AND(JI4&gt;=JM$22,JI4&lt;&gt;"",JJ4&gt;=JM$26,JJ4&lt;&gt;""),AND(KD4&gt;=KH$22,KD4&lt;&gt;"",KE4&gt;=KH$26,KE4&lt;&gt;""),AND(KY4&gt;=LC$22,KY4&lt;&gt;"",KZ4&gt;=LC$26,KZ4&lt;&gt;""),AND(LT4&gt;=LX$22,LT4&lt;&gt;"",LU4&gt;=LX$26,LU4&lt;&gt;"")),"Merit",IF(OR(AND(AH4&gt;=AL$21,AH4&lt;&gt;"",AI4&gt;=AL$25,AI4&lt;&gt;"",AG4=""),AND(BD4&gt;=BH$21,BD4&lt;&gt;"",BE4&gt;=BH$25,BE4&lt;&gt;"",BC4=""),AND(BZ4&gt;=CD$21,BZ4&lt;&gt;"",CA4&gt;=CD$25,CA4&lt;&gt;"",BY4=""),AND(CW4&gt;=DA$21,CW4&lt;&gt;"",CX4&gt;=DA$25,CX4&lt;&gt;""),AND(DR4&gt;=DV$21,DR4&lt;&gt;"",DS4&gt;=DV$25,DS4&lt;&gt;""),AND(EM4&gt;=EQ$21,EM4&lt;&gt;"",EN4&gt;=EQ$25,EN4&lt;&gt;""),AND(FH4&gt;=FL$21,FH4&lt;&gt;"",FI4&gt;=FL$25,FI4&lt;&gt;""),AND(GC4&gt;=GG$21,GC4&lt;&gt;"",GD4&gt;=GG$25,GD4&lt;&gt;""),AND(GX4&gt;=HB$21,GX4&lt;&gt;"",GY4&gt;=HB$25,GY4&lt;&gt;""),AND(HS4&gt;=HW$21,HS4&lt;&gt;"",HT4&gt;=HW$25,HT4&lt;&gt;""),AND(IN4&gt;=IR$21,IN4&lt;&gt;"",IO4&gt;=IR$25,IO4&lt;&gt;""),AND(JI4&gt;=JM$21,JI4&lt;&gt;"",JJ4&gt;=JM$25,JJ4&lt;&gt;""),AND(KD4&gt;=KH$21,KD4&lt;&gt;"",KE4&gt;=KH$25,KE4&lt;&gt;""),AND(KY4&gt;=LC$21,KY4&lt;&gt;"",KZ4&gt;=LC$25,KZ4&lt;&gt;""),AND(LT4&gt;=LX$21,LT4&lt;&gt;"",LU4&gt;=LX$25,LU4&lt;&gt;"")),"Excellence",IF(OR(AND(AH4&gt;=AL$20,AH4&lt;&gt;"",AI4&gt;=AL$24,AI4&lt;&gt;"",AG4=""),AND(BD4&gt;=BH$20,BD4&lt;&gt;"",BE4&gt;=BH$24,BE4&lt;&gt;"",BC4=""),AND(BZ4&gt;=CD$20,BZ4&lt;&gt;"",CA4&gt;=CD$24,CA4&lt;&gt;"",BY4=""),AND(CW4&gt;=DA$20,CW4&lt;&gt;"",CX4&gt;=DA$24,CX4&lt;&gt;""),AND(DR4&gt;=DV$20,DR4&lt;&gt;"",DS4&gt;=DV$24,DS4&lt;&gt;""),AND(EM4&gt;=EQ$20,EM4&lt;&gt;"",EN4&gt;=EQ$24,EN4&lt;&gt;""),AND(FH4&gt;=FL$20,FH4&lt;&gt;"",FI4&gt;=FL$24,FI4&lt;&gt;""),AND(GC4&gt;=GG$20,GC4&lt;&gt;"",GD4&gt;=GG$24,GD4&lt;&gt;""),AND(GX4&gt;=HB$20,GX4&lt;&gt;"",GY4&gt;=HB$24,GY4&lt;&gt;""),AND(HS4&gt;=HW$20,HS4&lt;&gt;"",HT4&gt;=HW$24,HT4&lt;&gt;""),AND(IN4&gt;=IR$20,IN4&lt;&gt;"",IO4&gt;=IR$24,IO4&lt;&gt;""),AND(JI4&gt;=JM$20,JI4&lt;&gt;"",JJ4&gt;=JM$24,JJ4&lt;&gt;""),AND(KD4&gt;=KH$20,KD4&lt;&gt;"",KE4&gt;=KH$24,KE4&lt;&gt;""),AND(KY4&gt;=LC$20,KY4&lt;&gt;"",KZ4&gt;=LC$24,KZ4&lt;&gt;""),AND(LT4&gt;=LX$20,LT4&lt;&gt;"",LU4&gt;=LX$24,LU4&lt;&gt;"")),"Worlds Team",IF(OR(AND(AH4&gt;=AL$19,AH4&lt;&gt;"",AI4&gt;=AL$23,AI4&lt;&gt;"",AG4=""),AND(BD4&gt;=BH$19,BD4&lt;&gt;"",BE4&gt;=BH$23,BE4&lt;&gt;"",BC4=""),AND(BZ4&gt;=CD$19,BZ4&lt;&gt;"",CA4&gt;=CD$23,CA4&lt;&gt;"",BY4=""),AND(CW4&gt;=DA$19,CW4&lt;&gt;"",CX4&gt;=DA$23,CX4&lt;&gt;""),AND(DR4&gt;=DV$19,DR4&lt;&gt;"",DS4&gt;=DV$23,DS4&lt;&gt;""),AND(EM4&gt;=EQ$19,EM4&lt;&gt;"",EN4&gt;=EQ$23,EN4&lt;&gt;""),AND(FH4&gt;=FL$19,FH4&lt;&gt;"",FI4&gt;=FL$23,FI4&lt;&gt;""),AND(GC4&gt;=GG$19,GC4&lt;&gt;"",GD4&gt;=GG$23,GD4&lt;&gt;""),AND(GX4&gt;=HB$19,GX4&lt;&gt;"",GY4&gt;=HB$23,GY4&lt;&gt;""),AND(HS4&gt;=HW$19,HS4&lt;&gt;"",HT4&gt;=HW$23,HT4&lt;&gt;""),AND(IN4&gt;=IR$19,IN4&lt;&gt;"",IO4&gt;=IR$23,IO4&lt;&gt;""),AND(JI4&gt;=JM$19,JI4&lt;&gt;"",JJ4&gt;=JM$23,JJ4&lt;&gt;""),AND(KD4&gt;=KH$19,KD4&lt;&gt;"",KE4&gt;=KH$23,KE4&lt;&gt;""),AND(KY4&gt;=LC$19,KY4&lt;&gt;"",KZ4&gt;=LC$23,KZ4&lt;&gt;""),AND(LT4&gt;=LX$19,LT4&lt;&gt;"",LU4&gt;=LX$23,LU4&lt;&gt;"")),"National Team","")))))</f>
        <v>Worlds Team</v>
      </c>
      <c r="I4" s="3" t="str">
        <f>IF(OR(H4="Worlds Team",H4="Excellence",H4="Merit"),"P","")</f>
        <v>P</v>
      </c>
      <c r="J4" s="14">
        <f>MAX(AI4,BE4,CA4)</f>
        <v>68.599999999999994</v>
      </c>
      <c r="K4" s="14" t="str">
        <f>IF(J4=0,"",IF(J4=CA4,$BI$1,IF(J4=BE4,$AM$1,IF(J4=AI4,$Q$1,""))))</f>
        <v>2021 Elite Canada</v>
      </c>
      <c r="L4" s="14">
        <f>IF(J4=AI4,MAX(BH4,CD4),IF(J4=BE4,MAX(AL4,CD4),MAX(AL4,BH4)))</f>
        <v>132</v>
      </c>
      <c r="M4" s="14" t="str">
        <f>IF(L4=0,"",IF(AND(J4&lt;&gt;CA4,L4=CD4),$BI$1,IF(AND(J4&lt;&gt;BE4,L4=BH4),$AM$1,IF(L4=AL4,$Q$1,""))))</f>
        <v>2021 Canadian Championships</v>
      </c>
      <c r="N4" s="14" t="str">
        <f>IF(MAX(CE4:CF4)&gt;0,MAX(CE4:CF4),"")</f>
        <v/>
      </c>
      <c r="O4" s="25" t="str">
        <f>IF(N4="","",IF(N4=CE4,"(Prelim)",IF(N4=CF4,"(4 Pass)")))</f>
        <v/>
      </c>
      <c r="P4" s="14" t="str">
        <f>IF(N4="","",IF(N4=CE4,IF(N4+IF(J4="",0,J4)=CX4,$CG$1,IF(N4+IF(J4="",0,J4)=DS4,$DB$1,IF(N4+IF(J4="",0,J4)=EN4,$DW$1,IF(N4+IF(J4="",0,J4)=FI4,$ER$1,IF(N4+IF(J4="",0,J4)=GD4,$FM$1,IF(N4+IF(J4="",0,J4)=GY4,$GH$1,IF(N4+IF(J4="",0,J4)=HT4,$HC$1,IF(N4+IF(J4="",0,J4)=IO4,$HX$1,IF(N4+IF(J4="",0,J4)=JJ4,$IS$1,IF(N4+IF(J4="",0,J4)=KE4,$JN$1,IF(N4+IF(J4="",0,J4)=KZ4,$KI$1,IF(N4+IF(J4="",0,J4)=LU4,$LD$1)))))))))))),IF(N4=CF4,IF(N4+IF(L4="",0,L4)=DA4,$CG$1,IF(N4+IF(L4="",0,L4)=DV4,$DB$1,IF(N4+IF(L4="",0,L4)=EQ4,$DW$1,IF(N4+IF(L4="",0,L4)=FL4,$ER$1,IF(N4+IF(L4="",0,L4)=GG4,$FM$1,IF(N4+IF(L4="",0,L4)=HB4,$GH$1,IF(N4+IF(L4="",0,L4)=HW4,$HC$1,IF(N4+IF(L4="",0,L4)=IR4,$HX$1,IF(N4+IF(L4="",0,L4)=JM4,$IS$1,IF(N4+IF(L4="",0,L4)=KH4,$JN$1,IF(N4+IF(L4="",0,L4)=LC4,$KI$1,IF(N4+IF(L4="",0,L4)=LX4,$LD$1)))))))))))))))</f>
        <v/>
      </c>
      <c r="Q4" s="69">
        <v>27.4</v>
      </c>
      <c r="R4" s="69">
        <v>6</v>
      </c>
      <c r="S4" s="69">
        <v>0.3</v>
      </c>
      <c r="T4" s="69">
        <v>0</v>
      </c>
      <c r="U4" s="69">
        <v>28.1</v>
      </c>
      <c r="V4" s="69">
        <v>5.6</v>
      </c>
      <c r="W4" s="69">
        <v>0</v>
      </c>
      <c r="X4" s="69">
        <v>0</v>
      </c>
      <c r="Y4" s="69">
        <v>27.4</v>
      </c>
      <c r="Z4" s="69">
        <v>4.8</v>
      </c>
      <c r="AA4" s="69">
        <v>0.3</v>
      </c>
      <c r="AB4" s="69">
        <v>0</v>
      </c>
      <c r="AC4" s="69">
        <v>27.6</v>
      </c>
      <c r="AD4" s="69">
        <v>4.8</v>
      </c>
      <c r="AE4" s="69">
        <v>0</v>
      </c>
      <c r="AF4" s="69">
        <v>0</v>
      </c>
      <c r="AG4" s="80"/>
      <c r="AH4" s="11">
        <f>IF(SUM(R4,V4)&gt;0,SUM(R4,V4),"")</f>
        <v>11.6</v>
      </c>
      <c r="AI4" s="11">
        <f>IF(SUM(Q4:R4,T4:V4,X4)-SUM(S4,W4)&gt;0,SUM(Q4:R4,T4:V4,X4)-SUM(S4,W4),"")</f>
        <v>66.8</v>
      </c>
      <c r="AJ4" s="11">
        <f>IF(SUM(Z4,AD4)&gt;0,SUM(Z4,AD4),"")</f>
        <v>9.6</v>
      </c>
      <c r="AK4" s="11">
        <f>IF(SUM(Y4:Z4,AB4:AD4,AF4)-SUM(AA4,AE4)&gt;0,SUM(Y4:Z4,AB4:AD4,AF4)-SUM(AA4,AE4),"")</f>
        <v>64.3</v>
      </c>
      <c r="AL4" s="11">
        <f>IF(SUM(AI4,AK4)&gt;0,SUM(AI4,AK4),"")</f>
        <v>131.1</v>
      </c>
      <c r="AM4" s="38">
        <v>28.3</v>
      </c>
      <c r="AN4" s="38">
        <v>6</v>
      </c>
      <c r="AO4" s="38">
        <v>0</v>
      </c>
      <c r="AP4" s="38">
        <v>0</v>
      </c>
      <c r="AQ4" s="38">
        <v>28.7</v>
      </c>
      <c r="AR4" s="38">
        <v>5.6</v>
      </c>
      <c r="AS4" s="38">
        <v>0</v>
      </c>
      <c r="AT4" s="38">
        <v>0</v>
      </c>
      <c r="AU4" s="38">
        <v>19.7</v>
      </c>
      <c r="AV4" s="38">
        <v>3.2</v>
      </c>
      <c r="AW4" s="38">
        <v>0.3</v>
      </c>
      <c r="AX4" s="38">
        <v>0.3</v>
      </c>
      <c r="AY4" s="38">
        <v>28.2</v>
      </c>
      <c r="AZ4" s="38">
        <v>4.8</v>
      </c>
      <c r="BA4" s="38">
        <v>0</v>
      </c>
      <c r="BB4" s="38">
        <v>0</v>
      </c>
      <c r="BC4" s="81"/>
      <c r="BD4" s="14">
        <f>IF(SUM(AN4,AR4)&gt;0,SUM(AN4,AR4),"")</f>
        <v>11.6</v>
      </c>
      <c r="BE4" s="14">
        <f>IF(SUM(AM4:AN4,AP4:AR4,AT4)-SUM(AO4,AS4)&gt;0,SUM(AM4:AN4,AP4:AR4,AT4)-SUM(AO4,AS4),"")</f>
        <v>68.599999999999994</v>
      </c>
      <c r="BF4" s="14">
        <f>IF(SUM(AV4,AZ4)&gt;0,SUM(AV4,AZ4),"")</f>
        <v>8</v>
      </c>
      <c r="BG4" s="14">
        <f>IF(SUM(AU4:AV4,AX4:AZ4,BB4)-SUM(AW4,BA4)&gt;0,SUM(AU4:AV4,AX4:AZ4,BB4)-SUM(AW4,BA4),"")</f>
        <v>55.9</v>
      </c>
      <c r="BH4" s="14">
        <f>IF(SUM(BE4,BG4)&gt;0,SUM(BE4,BG4),"")</f>
        <v>124.5</v>
      </c>
      <c r="BI4" s="69">
        <v>27.5</v>
      </c>
      <c r="BJ4" s="69">
        <v>4.4000000000000004</v>
      </c>
      <c r="BK4" s="69">
        <v>0.3</v>
      </c>
      <c r="BL4" s="69">
        <v>0</v>
      </c>
      <c r="BM4" s="69">
        <v>27.6</v>
      </c>
      <c r="BN4" s="69">
        <v>6.4</v>
      </c>
      <c r="BO4" s="69">
        <v>0.3</v>
      </c>
      <c r="BP4" s="69">
        <v>0</v>
      </c>
      <c r="BQ4" s="69">
        <v>28.3</v>
      </c>
      <c r="BR4" s="69">
        <v>5.2</v>
      </c>
      <c r="BS4" s="69">
        <v>0</v>
      </c>
      <c r="BT4" s="69">
        <v>0</v>
      </c>
      <c r="BU4" s="69">
        <v>28</v>
      </c>
      <c r="BV4" s="69">
        <v>5.2</v>
      </c>
      <c r="BW4" s="69">
        <v>0</v>
      </c>
      <c r="BX4" s="69">
        <v>0</v>
      </c>
      <c r="BY4" s="80"/>
      <c r="BZ4" s="11">
        <f>IF(SUM(BJ4,BN4)&gt;0,SUM(BJ4,BN4),"")</f>
        <v>10.8</v>
      </c>
      <c r="CA4" s="11">
        <f>IF(SUM(BI4:BJ4,BL4:BN4,BP4)-SUM(BK4,BO4)&gt;0,SUM(BI4:BJ4,BL4:BN4,BP4)-SUM(BK4,BO4),"")</f>
        <v>65.300000000000011</v>
      </c>
      <c r="CB4" s="11">
        <f>IF(SUM(BR4,BV4)&gt;0,SUM(BR4,BV4),"")</f>
        <v>10.4</v>
      </c>
      <c r="CC4" s="11">
        <f>IF(SUM(BQ4:BR4,BT4:BV4,BX4)-SUM(BS4,BW4)&gt;0,SUM(BQ4:BR4,BT4:BV4,BX4)-SUM(BS4,BW4),"")</f>
        <v>66.7</v>
      </c>
      <c r="CD4" s="11">
        <f>IF(SUM(CA4,CC4)&gt;0,SUM(CA4,CC4),"")</f>
        <v>132</v>
      </c>
      <c r="CE4" s="24" t="str">
        <f>IF(MAX(CX4,DS4,EN4,FI4,GD4,GY4,HT4,IO4,JJ4,KE4,KZ4,LU4)-IF(J4="",0,J4)&gt;0.001,MAX(CX4,DS4,EN4,FI4,GD4,GY4,HT4,IO4,JJ4,KE4,KZ4,LU4)-IF(J4="",0,J4),"")</f>
        <v/>
      </c>
      <c r="CF4" s="24" t="str">
        <f>IF(MAX(DA4,DV4,EQ4,FL4,GG4,HB4,HW4,IR4,JM4,KH4,LC4,LX4)-IF(L4="",0,L4)&gt;0.001,MAX(DA4,DV4,EQ4,FL4,GG4,HB4,HW4,IR4,JM4,KH4,LC4,LX4)-IF(L4="",0,L4),"")</f>
        <v/>
      </c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11" t="str">
        <f>IF(SUM(CH4,CL4)&gt;0,SUM(CH4,CL4),"")</f>
        <v/>
      </c>
      <c r="CX4" s="11" t="str">
        <f>IF(SUM(CG4:CH4,CJ4:CL4,CN4)-SUM(CI4,CM4)&gt;0,SUM(CG4:CH4,CJ4:CL4,CN4)-SUM(CI4,CM4),"")</f>
        <v/>
      </c>
      <c r="CY4" s="11" t="str">
        <f>IF(SUM(CP4,CT4)&gt;0,SUM(CP4,CT4),"")</f>
        <v/>
      </c>
      <c r="CZ4" s="11" t="str">
        <f>IF(SUM(CO4:CP4,CR4:CT4,CV4)-SUM(CQ4,CU4)&gt;0,SUM(CO4:CP4,CR4:CT4,CV4)-SUM(CQ4,CU4),"")</f>
        <v/>
      </c>
      <c r="DA4" s="11" t="str">
        <f>IF(SUM(CX4,CZ4)&gt;0,SUM(CX4,CZ4),"")</f>
        <v/>
      </c>
      <c r="DB4" s="43"/>
      <c r="DC4" s="43"/>
      <c r="DD4" s="43"/>
      <c r="DE4" s="43"/>
      <c r="DF4" s="43"/>
      <c r="DG4" s="43"/>
      <c r="DH4" s="43"/>
      <c r="DI4" s="43"/>
      <c r="DJ4" s="43"/>
      <c r="DK4" s="43"/>
      <c r="DL4" s="43"/>
      <c r="DM4" s="43"/>
      <c r="DN4" s="43"/>
      <c r="DO4" s="43"/>
      <c r="DP4" s="43"/>
      <c r="DQ4" s="43"/>
      <c r="DR4" s="14" t="str">
        <f>IF(SUM(DC4,DG4)&gt;0,SUM(DC4,DG4),"")</f>
        <v/>
      </c>
      <c r="DS4" s="14" t="str">
        <f>IF(SUM(DB4:DC4,DE4:DG4,DI4)-SUM(DD4,DH4)&gt;0,SUM(DB4:DC4,DE4:DG4,DI4)-SUM(DD4,DH4),"")</f>
        <v/>
      </c>
      <c r="DT4" s="14" t="str">
        <f>IF(SUM(DK4,DO4)&gt;0,SUM(DK4,DO4),"")</f>
        <v/>
      </c>
      <c r="DU4" s="14" t="str">
        <f>IF(SUM(DJ4:DK4,DM4:DO4,DQ4)-SUM(DL4,DP4)&gt;0,SUM(DJ4:DK4,DM4:DO4,DQ4)-SUM(DL4,DP4),"")</f>
        <v/>
      </c>
      <c r="DV4" s="14" t="str">
        <f>IF(SUM(DS4,DU4)&gt;0,SUM(DS4,DU4),"")</f>
        <v/>
      </c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11" t="str">
        <f>IF(SUM(DX4,EB4)&gt;0,SUM(DX4,EB4),"")</f>
        <v/>
      </c>
      <c r="EN4" s="11" t="str">
        <f>IF(SUM(DW4:DX4,DZ4:EB4,ED4)-SUM(DY4,EC4)&gt;0,SUM(DW4:DX4,DZ4:EB4,ED4)-SUM(DY4,EC4),"")</f>
        <v/>
      </c>
      <c r="EO4" s="11" t="str">
        <f>IF(SUM(EF4,EJ4)&gt;0,SUM(EF4,EJ4),"")</f>
        <v/>
      </c>
      <c r="EP4" s="11" t="str">
        <f>IF(SUM(EE4:EF4,EH4:EJ4,EL4)-SUM(EG4,EK4)&gt;0,SUM(EE4:EF4,EH4:EJ4,EL4)-SUM(EG4,EK4),"")</f>
        <v/>
      </c>
      <c r="EQ4" s="11" t="str">
        <f>IF(SUM(EN4,EP4)&gt;0,SUM(EN4,EP4),"")</f>
        <v/>
      </c>
      <c r="ER4" s="43"/>
      <c r="ES4" s="43"/>
      <c r="ET4" s="43"/>
      <c r="EU4" s="43"/>
      <c r="EV4" s="43"/>
      <c r="EW4" s="43"/>
      <c r="EX4" s="43"/>
      <c r="EY4" s="43"/>
      <c r="EZ4" s="43"/>
      <c r="FA4" s="43"/>
      <c r="FB4" s="43"/>
      <c r="FC4" s="43"/>
      <c r="FD4" s="43"/>
      <c r="FE4" s="43"/>
      <c r="FF4" s="43"/>
      <c r="FG4" s="43"/>
      <c r="FH4" s="14" t="str">
        <f>IF(SUM(ES4,EW4)&gt;0,SUM(ES4,EW4),"")</f>
        <v/>
      </c>
      <c r="FI4" s="14" t="str">
        <f>IF(SUM(ER4:ES4,EU4:EW4,EY4)-SUM(ET4,EX4)&gt;0,SUM(ER4:ES4,EU4:EW4,EY4)-SUM(ET4,EX4),"")</f>
        <v/>
      </c>
      <c r="FJ4" s="14" t="str">
        <f>IF(SUM(FA4,FE4)&gt;0,SUM(FA4,FE4),"")</f>
        <v/>
      </c>
      <c r="FK4" s="14" t="str">
        <f>IF(SUM(EZ4:FA4,FC4:FE4,FG4)-SUM(FB4,FF4)&gt;0,SUM(EZ4:FA4,FC4:FE4,FG4)-SUM(FB4,FF4),"")</f>
        <v/>
      </c>
      <c r="FL4" s="14" t="str">
        <f>IF(SUM(FI4,FK4)&gt;0,SUM(FI4,FK4),"")</f>
        <v/>
      </c>
      <c r="FM4" s="44"/>
      <c r="FN4" s="44"/>
      <c r="FO4" s="44"/>
      <c r="FP4" s="44"/>
      <c r="FQ4" s="44"/>
      <c r="FR4" s="44"/>
      <c r="FS4" s="44"/>
      <c r="FT4" s="44"/>
      <c r="FU4" s="44"/>
      <c r="FV4" s="44"/>
      <c r="FW4" s="44"/>
      <c r="FX4" s="44"/>
      <c r="FY4" s="44"/>
      <c r="FZ4" s="44"/>
      <c r="GA4" s="44"/>
      <c r="GB4" s="44"/>
      <c r="GC4" s="11" t="str">
        <f>IF(SUM(FN4,FR4)&gt;0,SUM(FN4,FR4),"")</f>
        <v/>
      </c>
      <c r="GD4" s="11" t="str">
        <f>IF(SUM(FM4:FN4,FP4:FR4,FT4)-SUM(FO4,FS4)&gt;0,SUM(FM4:FN4,FP4:FR4,FT4)-SUM(FO4,FS4),"")</f>
        <v/>
      </c>
      <c r="GE4" s="11" t="str">
        <f>IF(SUM(FV4,FZ4)&gt;0,SUM(FV4,FZ4),"")</f>
        <v/>
      </c>
      <c r="GF4" s="11" t="str">
        <f>IF(SUM(FU4:FV4,FX4:FZ4,GB4)-SUM(FW4,GA4)&gt;0,SUM(FU4:FV4,FX4:FZ4,GB4)-SUM(FW4,GA4),"")</f>
        <v/>
      </c>
      <c r="GG4" s="11" t="str">
        <f>IF(SUM(GD4,GF4)&gt;0,SUM(GD4,GF4),"")</f>
        <v/>
      </c>
      <c r="GH4" s="43"/>
      <c r="GI4" s="43"/>
      <c r="GJ4" s="43"/>
      <c r="GK4" s="43"/>
      <c r="GL4" s="43"/>
      <c r="GM4" s="43"/>
      <c r="GN4" s="43"/>
      <c r="GO4" s="43"/>
      <c r="GP4" s="43"/>
      <c r="GQ4" s="43"/>
      <c r="GR4" s="43"/>
      <c r="GS4" s="43"/>
      <c r="GT4" s="43"/>
      <c r="GU4" s="43"/>
      <c r="GV4" s="43"/>
      <c r="GW4" s="43"/>
      <c r="GX4" s="14" t="str">
        <f>IF(SUM(GI4,GM4)&gt;0,SUM(GI4,GM4),"")</f>
        <v/>
      </c>
      <c r="GY4" s="14" t="str">
        <f>IF(SUM(GH4:GI4,GK4:GM4,GO4)-SUM(GJ4,GN4)&gt;0,SUM(GH4:GI4,GK4:GM4,GO4)-SUM(GJ4,GN4),"")</f>
        <v/>
      </c>
      <c r="GZ4" s="14" t="str">
        <f>IF(SUM(GQ4,GU4)&gt;0,SUM(GQ4,GU4),"")</f>
        <v/>
      </c>
      <c r="HA4" s="14" t="str">
        <f>IF(SUM(GP4:GQ4,GS4:GU4,GW4)-SUM(GR4,GV4)&gt;0,SUM(GP4:GQ4,GS4:GU4,GW4)-SUM(GR4,GV4),"")</f>
        <v/>
      </c>
      <c r="HB4" s="14" t="str">
        <f>IF(SUM(GY4,HA4)&gt;0,SUM(GY4,HA4),"")</f>
        <v/>
      </c>
      <c r="HC4" s="44"/>
      <c r="HD4" s="44"/>
      <c r="HE4" s="44"/>
      <c r="HF4" s="44"/>
      <c r="HG4" s="44"/>
      <c r="HH4" s="44"/>
      <c r="HI4" s="44"/>
      <c r="HJ4" s="44"/>
      <c r="HK4" s="44"/>
      <c r="HL4" s="44"/>
      <c r="HM4" s="44"/>
      <c r="HN4" s="44"/>
      <c r="HO4" s="44"/>
      <c r="HP4" s="44"/>
      <c r="HQ4" s="44"/>
      <c r="HR4" s="44"/>
      <c r="HS4" s="11" t="str">
        <f>IF(SUM(HD4,HH4)&gt;0,SUM(HD4,HH4),"")</f>
        <v/>
      </c>
      <c r="HT4" s="11" t="str">
        <f>IF(SUM(HC4:HD4,HF4:HH4,HJ4)-SUM(HE4,HI4)&gt;0,SUM(HC4:HD4,HF4:HH4,HJ4)-SUM(HE4,HI4),"")</f>
        <v/>
      </c>
      <c r="HU4" s="11" t="str">
        <f>IF(SUM(HL4,HP4)&gt;0,SUM(HL4,HP4),"")</f>
        <v/>
      </c>
      <c r="HV4" s="11" t="str">
        <f>IF(SUM(HK4:HL4,HN4:HP4,HR4)-SUM(HM4,HQ4)&gt;0,SUM(HK4:HL4,HN4:HP4,HR4)-SUM(HM4,HQ4),"")</f>
        <v/>
      </c>
      <c r="HW4" s="11" t="str">
        <f>IF(SUM(HT4,HV4)&gt;0,SUM(HT4,HV4),"")</f>
        <v/>
      </c>
      <c r="HX4" s="43"/>
      <c r="HY4" s="43"/>
      <c r="HZ4" s="43"/>
      <c r="IA4" s="43"/>
      <c r="IB4" s="43"/>
      <c r="IC4" s="43"/>
      <c r="ID4" s="43"/>
      <c r="IE4" s="43"/>
      <c r="IF4" s="43"/>
      <c r="IG4" s="43"/>
      <c r="IH4" s="43"/>
      <c r="II4" s="43"/>
      <c r="IJ4" s="43"/>
      <c r="IK4" s="43"/>
      <c r="IL4" s="43"/>
      <c r="IM4" s="43"/>
      <c r="IN4" s="14" t="str">
        <f>IF(SUM(HY4,IC4)&gt;0,SUM(HY4,IC4),"")</f>
        <v/>
      </c>
      <c r="IO4" s="14" t="str">
        <f>IF(SUM(HX4:HY4,IA4:IC4,IE4)-SUM(HZ4,ID4)&gt;0,SUM(HX4:HY4,IA4:IC4,IE4)-SUM(HZ4,ID4),"")</f>
        <v/>
      </c>
      <c r="IP4" s="14" t="str">
        <f>IF(SUM(IG4,IK4)&gt;0,SUM(IG4,IK4),"")</f>
        <v/>
      </c>
      <c r="IQ4" s="14" t="str">
        <f>IF(SUM(IF4:IG4,II4:IK4,IM4)-SUM(IH4,IL4)&gt;0,SUM(IF4:IG4,II4:IK4,IM4)-SUM(IH4,IL4),"")</f>
        <v/>
      </c>
      <c r="IR4" s="14" t="str">
        <f>IF(SUM(IO4,IQ4)&gt;0,SUM(IO4,IQ4),"")</f>
        <v/>
      </c>
      <c r="IS4" s="44"/>
      <c r="IT4" s="44"/>
      <c r="IU4" s="44"/>
      <c r="IV4" s="44"/>
      <c r="IW4" s="44"/>
      <c r="IX4" s="44"/>
      <c r="IY4" s="44"/>
      <c r="IZ4" s="44"/>
      <c r="JA4" s="44"/>
      <c r="JB4" s="44"/>
      <c r="JC4" s="44"/>
      <c r="JD4" s="44"/>
      <c r="JE4" s="44"/>
      <c r="JF4" s="44"/>
      <c r="JG4" s="44"/>
      <c r="JH4" s="44"/>
      <c r="JI4" s="11" t="str">
        <f>IF(SUM(IT4,IX4)&gt;0,SUM(IT4,IX4),"")</f>
        <v/>
      </c>
      <c r="JJ4" s="11" t="str">
        <f>IF(SUM(IS4:IT4,IV4:IX4,IZ4)-SUM(IU4,IY4)&gt;0,SUM(IS4:IT4,IV4:IX4,IZ4)-SUM(IU4,IY4),"")</f>
        <v/>
      </c>
      <c r="JK4" s="11" t="str">
        <f>IF(SUM(JB4,JF4)&gt;0,SUM(JB4,JF4),"")</f>
        <v/>
      </c>
      <c r="JL4" s="11" t="str">
        <f>IF(SUM(JA4:JB4,JD4:JF4,JH4)-SUM(JC4,JG4)&gt;0,SUM(JA4:JB4,JD4:JF4,JH4)-SUM(JC4,JG4),"")</f>
        <v/>
      </c>
      <c r="JM4" s="11" t="str">
        <f>IF(SUM(JJ4,JL4)&gt;0,SUM(JJ4,JL4),"")</f>
        <v/>
      </c>
      <c r="JN4" s="43"/>
      <c r="JO4" s="43"/>
      <c r="JP4" s="43"/>
      <c r="JQ4" s="43"/>
      <c r="JR4" s="43"/>
      <c r="JS4" s="43"/>
      <c r="JT4" s="43"/>
      <c r="JU4" s="43"/>
      <c r="JV4" s="43"/>
      <c r="JW4" s="43"/>
      <c r="JX4" s="43"/>
      <c r="JY4" s="43"/>
      <c r="JZ4" s="43"/>
      <c r="KA4" s="43"/>
      <c r="KB4" s="43"/>
      <c r="KC4" s="43"/>
      <c r="KD4" s="14" t="str">
        <f>IF(SUM(JO4,JS4)&gt;0,SUM(JO4,JS4),"")</f>
        <v/>
      </c>
      <c r="KE4" s="14" t="str">
        <f>IF(SUM(JN4:JO4,JQ4:JS4,JU4)-SUM(JP4,JT4)&gt;0,SUM(JN4:JO4,JQ4:JS4,JU4)-SUM(JP4,JT4),"")</f>
        <v/>
      </c>
      <c r="KF4" s="14" t="str">
        <f>IF(SUM(JW4,KA4)&gt;0,SUM(JW4,KA4),"")</f>
        <v/>
      </c>
      <c r="KG4" s="14" t="str">
        <f>IF(SUM(JV4:JW4,JY4:KA4,KC4)-SUM(JX4,KB4)&gt;0,SUM(JV4:JW4,JY4:KA4,KC4)-SUM(JX4,KB4),"")</f>
        <v/>
      </c>
      <c r="KH4" s="14" t="str">
        <f>IF(SUM(KE4,KG4)&gt;0,SUM(KE4,KG4),"")</f>
        <v/>
      </c>
      <c r="KI4" s="44"/>
      <c r="KJ4" s="44"/>
      <c r="KK4" s="44"/>
      <c r="KL4" s="44"/>
      <c r="KM4" s="44"/>
      <c r="KN4" s="44"/>
      <c r="KO4" s="44"/>
      <c r="KP4" s="44"/>
      <c r="KQ4" s="44"/>
      <c r="KR4" s="44"/>
      <c r="KS4" s="44"/>
      <c r="KT4" s="44"/>
      <c r="KU4" s="44"/>
      <c r="KV4" s="44"/>
      <c r="KW4" s="44"/>
      <c r="KX4" s="44"/>
      <c r="KY4" s="11" t="str">
        <f>IF(SUM(KJ4,KN4)&gt;0,SUM(KJ4,KN4),"")</f>
        <v/>
      </c>
      <c r="KZ4" s="11" t="str">
        <f>IF(SUM(KI4:KJ4,KL4:KN4,KP4)-SUM(KK4,KO4)&gt;0,SUM(KI4:KJ4,KL4:KN4,KP4)-SUM(KK4,KO4),"")</f>
        <v/>
      </c>
      <c r="LA4" s="11" t="str">
        <f>IF(SUM(KR4,KV4)&gt;0,SUM(KR4,KV4),"")</f>
        <v/>
      </c>
      <c r="LB4" s="11" t="str">
        <f>IF(SUM(KQ4:KR4,KT4:KV4,KX4)-SUM(KS4,KW4)&gt;0,SUM(KQ4:KR4,KT4:KV4,KX4)-SUM(KS4,KW4),"")</f>
        <v/>
      </c>
      <c r="LC4" s="11" t="str">
        <f>IF(SUM(KZ4,LB4)&gt;0,SUM(KZ4,LB4),"")</f>
        <v/>
      </c>
      <c r="LD4" s="43"/>
      <c r="LE4" s="43"/>
      <c r="LF4" s="43"/>
      <c r="LG4" s="43"/>
      <c r="LH4" s="43"/>
      <c r="LI4" s="43"/>
      <c r="LJ4" s="43"/>
      <c r="LK4" s="43"/>
      <c r="LL4" s="43"/>
      <c r="LM4" s="43"/>
      <c r="LN4" s="43"/>
      <c r="LO4" s="43"/>
      <c r="LP4" s="43"/>
      <c r="LQ4" s="43"/>
      <c r="LR4" s="43"/>
      <c r="LS4" s="43"/>
      <c r="LT4" s="14" t="str">
        <f>IF(SUM(LE4,LI4)&gt;0,SUM(LE4,LI4),"")</f>
        <v/>
      </c>
      <c r="LU4" s="14" t="str">
        <f>IF(SUM(LD4:LE4,LG4:LI4,LK4)-SUM(LF4,LJ4)&gt;0,SUM(LD4:LE4,LG4:LI4,LK4)-SUM(LF4,LJ4),"")</f>
        <v/>
      </c>
      <c r="LV4" s="14" t="str">
        <f>IF(SUM(LM4,LQ4)&gt;0,SUM(LM4,LQ4),"")</f>
        <v/>
      </c>
      <c r="LW4" s="14" t="str">
        <f>IF(SUM(LL4:LM4,LO4:LQ4,LS4)-SUM(LN4,LR4)&gt;0,SUM(LL4:LM4,LO4:LQ4,LS4)-SUM(LN4,LR4),"")</f>
        <v/>
      </c>
      <c r="LX4" s="14" t="str">
        <f>IF(SUM(LU4,LW4)&gt;0,SUM(LU4,LW4),"")</f>
        <v/>
      </c>
      <c r="LY4" s="69">
        <f>IF($BY4="P",BI4,(BI4+AM4)/2)</f>
        <v>27.9</v>
      </c>
      <c r="LZ4" s="69">
        <f>IF($BY4="P",BJ4,(BJ4+AN4)/2)</f>
        <v>5.2</v>
      </c>
      <c r="MA4" s="69">
        <f>IF($BY4="P",BK4,(BK4+AO4)/2)</f>
        <v>0.15</v>
      </c>
      <c r="MB4" s="69">
        <f>IF($BY4="P",BL4,(BL4+AP4)/2)</f>
        <v>0</v>
      </c>
      <c r="MC4" s="69">
        <f>IF($BY4="P",BM4,(BM4+AQ4)/2)</f>
        <v>28.15</v>
      </c>
      <c r="MD4" s="69">
        <f>IF($BY4="P",BN4,(BN4+AR4)/2)</f>
        <v>6</v>
      </c>
      <c r="ME4" s="69">
        <f>IF($BY4="P",BO4,(BO4+AS4)/2)</f>
        <v>0.15</v>
      </c>
      <c r="MF4" s="69">
        <f>IF($BY4="P",BP4,(BP4+AT4)/2)</f>
        <v>0</v>
      </c>
      <c r="MG4" s="69">
        <f>IF($BY4="P",BQ4,(BQ4+AU4)/2)</f>
        <v>24</v>
      </c>
      <c r="MH4" s="69">
        <f>IF($BY4="P",BR4,(BR4+AV4)/2)</f>
        <v>4.2</v>
      </c>
      <c r="MI4" s="69">
        <f>IF($BY4="P",BS4,(BS4+AW4)/2)</f>
        <v>0.15</v>
      </c>
      <c r="MJ4" s="69">
        <f>IF($BY4="P",BT4,(BT4+AX4)/2)</f>
        <v>0.15</v>
      </c>
      <c r="MK4" s="69">
        <f>IF($BY4="P",BU4,(BU4+AY4)/2)</f>
        <v>28.1</v>
      </c>
      <c r="ML4" s="69">
        <f>IF($BY4="P",BV4,(BV4+AZ4)/2)</f>
        <v>5</v>
      </c>
      <c r="MM4" s="69">
        <f>IF($BY4="P",BW4,(BW4+BA4)/2)</f>
        <v>0</v>
      </c>
      <c r="MN4" s="69">
        <f>IF($BY4="P",BX4,(BX4+BB4)/2)</f>
        <v>0</v>
      </c>
      <c r="MO4" s="80" t="s">
        <v>74</v>
      </c>
      <c r="MP4" s="11">
        <f>IF(SUM(LZ4,MD4)&gt;0,SUM(LZ4,MD4),"")</f>
        <v>11.2</v>
      </c>
      <c r="MQ4" s="11">
        <f>IF(SUM(LY4:LZ4,MB4:MD4,MF4)-SUM(MA4,ME4)&gt;0,SUM(LY4:LZ4,MB4:MD4,MF4)-SUM(MA4,ME4),"")</f>
        <v>66.95</v>
      </c>
      <c r="MR4" s="11">
        <f>IF(SUM(MH4,ML4)&gt;0,SUM(MH4,ML4),"")</f>
        <v>9.1999999999999993</v>
      </c>
      <c r="MS4" s="11">
        <f>IF(SUM(MG4:MH4,MJ4:ML4,MN4)-SUM(MI4,MM4)&gt;0,SUM(MG4:MH4,MJ4:ML4,MN4)-SUM(MI4,MM4),"")</f>
        <v>61.300000000000004</v>
      </c>
      <c r="MT4" s="11">
        <f>IF(SUM(MQ4,MS4)&gt;0,SUM(MQ4,MS4),"")</f>
        <v>128.25</v>
      </c>
    </row>
    <row r="5" spans="1:358" x14ac:dyDescent="0.2">
      <c r="A5" s="5">
        <f>IF(AND(F5="P",G5="P"),SUMPRODUCT((F$4:F$17="P")*(G$4:G$17="P")*(E$4:E$17&gt;E5))+1,IF(G5="P",SUMPRODUCT((F$4:F$17="")*(G$4:G$17="P")*(E$4:E$17&gt;E5))+1+SUMPRODUCT((F$4:F$17="P")*(G$4:G$17="P")),""))</f>
        <v>2</v>
      </c>
      <c r="B5" s="8" t="s">
        <v>137</v>
      </c>
      <c r="C5" s="4" t="s">
        <v>55</v>
      </c>
      <c r="D5" s="5">
        <v>2002</v>
      </c>
      <c r="E5" s="15">
        <f>SUM(J5:N5)</f>
        <v>199</v>
      </c>
      <c r="F5" s="3" t="str">
        <f>IF(OR(AND(AH5&gt;=AL$19,AI5&gt;=AL$23,AI5&lt;&gt;"",AG5=""),AND(BD5&gt;=BH$19,BE5&gt;=BH$23,BE5&lt;&gt;"",BC5=""),AND(BZ5&gt;=CD$19,CA5&gt;=CD$23,CA5&lt;&gt;"",BY5=""),AND(CW5&gt;=DA$19,CX5&gt;=DA$23,CX5&lt;&gt;""),AND(DR5&gt;=DV$19,DS5&gt;=DV$23,DS5&lt;&gt;""),AND(EM5&gt;=EQ$19,EN5&gt;=EQ$23,EN5&lt;&gt;""),AND(FH5&gt;=FL$19,FI5&gt;=FL$23,FI5&lt;&gt;""),AND(GC5&gt;=GG$19,GD5&gt;=GG$23,GD5&lt;&gt;""),AND(GX5&gt;=HB$19,GY5&gt;=HB$23,GY5&lt;&gt;""),AND(HS5&gt;=HW$19,HT5&gt;=HW$23,HT5&lt;&gt;""),AND(IN5&gt;=IR$19,IO5&gt;=IR$23,IO5&lt;&gt;""),AND(JI5&gt;=JM$19,JJ5&gt;=JM$23,JJ5&lt;&gt;""),AND(KD5&gt;=KH$19,KE5&gt;=KH$23,KE5&lt;&gt;""),AND(KY5&gt;=LC$19,KZ5&gt;=LC$23,KZ5&lt;&gt;""),AND(LT5&gt;=LX$19,LU5&gt;=LX$23,LU5&lt;&gt;"")),"P","")</f>
        <v>P</v>
      </c>
      <c r="G5" s="3" t="str">
        <f>IF(OR(AND(AI5&gt;=AL$23,AI5&lt;&gt;"",AG5=""),AND(BE5&gt;=BH$23,BE5&lt;&gt;"",BC5=""),AND(CA5&gt;=CD$23,CA5&lt;&gt;"",BY5=""),AND(CX5&gt;=DA$23,CX5&lt;&gt;""),AND(DS5&gt;=DV$23,DS5&lt;&gt;""),AND(EN5&gt;=EQ$23,EN5&lt;&gt;""),AND(FI5&gt;=FL$23,FI5&lt;&gt;""),AND(GD5&gt;=GG$23,GD5&lt;&gt;""),AND(GY5&gt;=HB$23,GY5&lt;&gt;""),AND(HT5&gt;=HW$23,HT5&lt;&gt;""),AND(IO5&gt;=IR$23,IO5&lt;&gt;""),AND(JJ5&gt;=JM$23,JJ5&lt;&gt;""),AND(KE5&gt;=KH$23,KE5&lt;&gt;""),AND(KZ5&gt;=LC$23,KZ5&lt;&gt;""),AND(LU5&gt;=LX$23,LU5&lt;&gt;"")),"P","")</f>
        <v>P</v>
      </c>
      <c r="H5" s="126" t="str">
        <f>IF(AND(G5="P",F5=""),"No DD",IF(OR(AND(AH5&gt;=AL$22,AH5&lt;&gt;"",AI5&gt;=AL$26,AI5&lt;&gt;"",AG5=""),AND(BD5&gt;=BH$22,BD5&lt;&gt;"",BE5&gt;=BH$26,BE5&lt;&gt;"",BC5=""),AND(BZ5&gt;=CD$22,BZ5&lt;&gt;"",CA5&gt;=CD$26,CA5&lt;&gt;"",BY5=""),AND(CW5&gt;=DA$22,CW5&lt;&gt;"",CX5&gt;=DA$26,CX5&lt;&gt;""),AND(DR5&gt;=DV$22,DR5&lt;&gt;"",DS5&gt;=DV$26,DS5&lt;&gt;""),AND(EM5&gt;=EQ$22,EM5&lt;&gt;"",EN5&gt;=EQ$26,EN5&lt;&gt;""),AND(FH5&gt;=FL$22,FH5&lt;&gt;"",FI5&gt;=FL$26,FI5&lt;&gt;""),AND(GC5&gt;=GG$22,GC5&lt;&gt;"",GD5&gt;=GG$26,GD5&lt;&gt;""),AND(GX5&gt;=HB$22,GX5&lt;&gt;"",GY5&gt;=HB$26,GY5&lt;&gt;""),AND(HS5&gt;=HW$22,HS5&lt;&gt;"",HT5&gt;=HW$26,HT5&lt;&gt;""),AND(IN5&gt;=IR$22,IN5&lt;&gt;"",IO5&gt;=IR$26,IO5&lt;&gt;""),AND(JI5&gt;=JM$22,JI5&lt;&gt;"",JJ5&gt;=JM$26,JJ5&lt;&gt;""),AND(KD5&gt;=KH$22,KD5&lt;&gt;"",KE5&gt;=KH$26,KE5&lt;&gt;""),AND(KY5&gt;=LC$22,KY5&lt;&gt;"",KZ5&gt;=LC$26,KZ5&lt;&gt;""),AND(LT5&gt;=LX$22,LT5&lt;&gt;"",LU5&gt;=LX$26,LU5&lt;&gt;"")),"Merit",IF(OR(AND(AH5&gt;=AL$21,AH5&lt;&gt;"",AI5&gt;=AL$25,AI5&lt;&gt;"",AG5=""),AND(BD5&gt;=BH$21,BD5&lt;&gt;"",BE5&gt;=BH$25,BE5&lt;&gt;"",BC5=""),AND(BZ5&gt;=CD$21,BZ5&lt;&gt;"",CA5&gt;=CD$25,CA5&lt;&gt;"",BY5=""),AND(CW5&gt;=DA$21,CW5&lt;&gt;"",CX5&gt;=DA$25,CX5&lt;&gt;""),AND(DR5&gt;=DV$21,DR5&lt;&gt;"",DS5&gt;=DV$25,DS5&lt;&gt;""),AND(EM5&gt;=EQ$21,EM5&lt;&gt;"",EN5&gt;=EQ$25,EN5&lt;&gt;""),AND(FH5&gt;=FL$21,FH5&lt;&gt;"",FI5&gt;=FL$25,FI5&lt;&gt;""),AND(GC5&gt;=GG$21,GC5&lt;&gt;"",GD5&gt;=GG$25,GD5&lt;&gt;""),AND(GX5&gt;=HB$21,GX5&lt;&gt;"",GY5&gt;=HB$25,GY5&lt;&gt;""),AND(HS5&gt;=HW$21,HS5&lt;&gt;"",HT5&gt;=HW$25,HT5&lt;&gt;""),AND(IN5&gt;=IR$21,IN5&lt;&gt;"",IO5&gt;=IR$25,IO5&lt;&gt;""),AND(JI5&gt;=JM$21,JI5&lt;&gt;"",JJ5&gt;=JM$25,JJ5&lt;&gt;""),AND(KD5&gt;=KH$21,KD5&lt;&gt;"",KE5&gt;=KH$25,KE5&lt;&gt;""),AND(KY5&gt;=LC$21,KY5&lt;&gt;"",KZ5&gt;=LC$25,KZ5&lt;&gt;""),AND(LT5&gt;=LX$21,LT5&lt;&gt;"",LU5&gt;=LX$25,LU5&lt;&gt;"")),"Excellence",IF(OR(AND(AH5&gt;=AL$20,AH5&lt;&gt;"",AI5&gt;=AL$24,AI5&lt;&gt;"",AG5=""),AND(BD5&gt;=BH$20,BD5&lt;&gt;"",BE5&gt;=BH$24,BE5&lt;&gt;"",BC5=""),AND(BZ5&gt;=CD$20,BZ5&lt;&gt;"",CA5&gt;=CD$24,CA5&lt;&gt;"",BY5=""),AND(CW5&gt;=DA$20,CW5&lt;&gt;"",CX5&gt;=DA$24,CX5&lt;&gt;""),AND(DR5&gt;=DV$20,DR5&lt;&gt;"",DS5&gt;=DV$24,DS5&lt;&gt;""),AND(EM5&gt;=EQ$20,EM5&lt;&gt;"",EN5&gt;=EQ$24,EN5&lt;&gt;""),AND(FH5&gt;=FL$20,FH5&lt;&gt;"",FI5&gt;=FL$24,FI5&lt;&gt;""),AND(GC5&gt;=GG$20,GC5&lt;&gt;"",GD5&gt;=GG$24,GD5&lt;&gt;""),AND(GX5&gt;=HB$20,GX5&lt;&gt;"",GY5&gt;=HB$24,GY5&lt;&gt;""),AND(HS5&gt;=HW$20,HS5&lt;&gt;"",HT5&gt;=HW$24,HT5&lt;&gt;""),AND(IN5&gt;=IR$20,IN5&lt;&gt;"",IO5&gt;=IR$24,IO5&lt;&gt;""),AND(JI5&gt;=JM$20,JI5&lt;&gt;"",JJ5&gt;=JM$24,JJ5&lt;&gt;""),AND(KD5&gt;=KH$20,KD5&lt;&gt;"",KE5&gt;=KH$24,KE5&lt;&gt;""),AND(KY5&gt;=LC$20,KY5&lt;&gt;"",KZ5&gt;=LC$24,KZ5&lt;&gt;""),AND(LT5&gt;=LX$20,LT5&lt;&gt;"",LU5&gt;=LX$24,LU5&lt;&gt;"")),"Worlds Team",IF(OR(AND(AH5&gt;=AL$19,AH5&lt;&gt;"",AI5&gt;=AL$23,AI5&lt;&gt;"",AG5=""),AND(BD5&gt;=BH$19,BD5&lt;&gt;"",BE5&gt;=BH$23,BE5&lt;&gt;"",BC5=""),AND(BZ5&gt;=CD$19,BZ5&lt;&gt;"",CA5&gt;=CD$23,CA5&lt;&gt;"",BY5=""),AND(CW5&gt;=DA$19,CW5&lt;&gt;"",CX5&gt;=DA$23,CX5&lt;&gt;""),AND(DR5&gt;=DV$19,DR5&lt;&gt;"",DS5&gt;=DV$23,DS5&lt;&gt;""),AND(EM5&gt;=EQ$19,EM5&lt;&gt;"",EN5&gt;=EQ$23,EN5&lt;&gt;""),AND(FH5&gt;=FL$19,FH5&lt;&gt;"",FI5&gt;=FL$23,FI5&lt;&gt;""),AND(GC5&gt;=GG$19,GC5&lt;&gt;"",GD5&gt;=GG$23,GD5&lt;&gt;""),AND(GX5&gt;=HB$19,GX5&lt;&gt;"",GY5&gt;=HB$23,GY5&lt;&gt;""),AND(HS5&gt;=HW$19,HS5&lt;&gt;"",HT5&gt;=HW$23,HT5&lt;&gt;""),AND(IN5&gt;=IR$19,IN5&lt;&gt;"",IO5&gt;=IR$23,IO5&lt;&gt;""),AND(JI5&gt;=JM$19,JI5&lt;&gt;"",JJ5&gt;=JM$23,JJ5&lt;&gt;""),AND(KD5&gt;=KH$19,KD5&lt;&gt;"",KE5&gt;=KH$23,KE5&lt;&gt;""),AND(KY5&gt;=LC$19,KY5&lt;&gt;"",KZ5&gt;=LC$23,KZ5&lt;&gt;""),AND(LT5&gt;=LX$19,LT5&lt;&gt;"",LU5&gt;=LX$23,LU5&lt;&gt;"")),"National Team","")))))</f>
        <v>National Team</v>
      </c>
      <c r="I5" s="3" t="str">
        <f>IF(OR(H5="Worlds Team",H5="Excellence",H5="Merit"),"P","")</f>
        <v/>
      </c>
      <c r="J5" s="14">
        <f>MAX(AI5,BE5,CA5)</f>
        <v>67.3</v>
      </c>
      <c r="K5" s="14" t="str">
        <f>IF(J5=0,"",IF(J5=CA5,$BI$1,IF(J5=BE5,$AM$1,IF(J5=AI5,$Q$1,""))))</f>
        <v>2021 Canadian Championships</v>
      </c>
      <c r="L5" s="14">
        <f>IF(J5=AI5,MAX(BH5,CD5),IF(J5=BE5,MAX(AL5,CD5),MAX(AL5,BH5)))</f>
        <v>131.69999999999999</v>
      </c>
      <c r="M5" s="14" t="str">
        <f>IF(L5=0,"",IF(AND(J5&lt;&gt;CA5,L5=CD5),$BI$1,IF(AND(J5&lt;&gt;BE5,L5=BH5),$AM$1,IF(L5=AL5,$Q$1,""))))</f>
        <v>2021 Elite Canada</v>
      </c>
      <c r="N5" s="14" t="str">
        <f>IF(MAX(CE5:CF5)&gt;0,MAX(CE5:CF5),"")</f>
        <v/>
      </c>
      <c r="O5" s="25" t="str">
        <f>IF(N5="","",IF(N5=CE5,"(Prelim)",IF(N5=CF5,"(4 Pass)")))</f>
        <v/>
      </c>
      <c r="P5" s="14" t="str">
        <f>IF(N5="","",IF(N5=CE5,IF(N5+IF(J5="",0,J5)=CX5,$CG$1,IF(N5+IF(J5="",0,J5)=DS5,$DB$1,IF(N5+IF(J5="",0,J5)=EN5,$DW$1,IF(N5+IF(J5="",0,J5)=FI5,$ER$1,IF(N5+IF(J5="",0,J5)=GD5,$FM$1,IF(N5+IF(J5="",0,J5)=GY5,$GH$1,IF(N5+IF(J5="",0,J5)=HT5,$HC$1,IF(N5+IF(J5="",0,J5)=IO5,$HX$1,IF(N5+IF(J5="",0,J5)=JJ5,$IS$1,IF(N5+IF(J5="",0,J5)=KE5,$JN$1,IF(N5+IF(J5="",0,J5)=KZ5,$KI$1,IF(N5+IF(J5="",0,J5)=LU5,$LD$1)))))))))))),IF(N5=CF5,IF(N5+IF(L5="",0,L5)=DA5,$CG$1,IF(N5+IF(L5="",0,L5)=DV5,$DB$1,IF(N5+IF(L5="",0,L5)=EQ5,$DW$1,IF(N5+IF(L5="",0,L5)=FL5,$ER$1,IF(N5+IF(L5="",0,L5)=GG5,$FM$1,IF(N5+IF(L5="",0,L5)=HB5,$GH$1,IF(N5+IF(L5="",0,L5)=HW5,$HC$1,IF(N5+IF(L5="",0,L5)=IR5,$HX$1,IF(N5+IF(L5="",0,L5)=JM5,$IS$1,IF(N5+IF(L5="",0,L5)=KH5,$JN$1,IF(N5+IF(L5="",0,L5)=LC5,$KI$1,IF(N5+IF(L5="",0,L5)=LX5,$LD$1)))))))))))))))</f>
        <v/>
      </c>
      <c r="Q5" s="69">
        <v>27.2</v>
      </c>
      <c r="R5" s="69">
        <v>5.6</v>
      </c>
      <c r="S5" s="69">
        <v>0.3</v>
      </c>
      <c r="T5" s="69">
        <v>0</v>
      </c>
      <c r="U5" s="69">
        <v>27.9</v>
      </c>
      <c r="V5" s="69">
        <v>5.2</v>
      </c>
      <c r="W5" s="69">
        <v>0.3</v>
      </c>
      <c r="X5" s="69">
        <v>0</v>
      </c>
      <c r="Y5" s="69">
        <v>0</v>
      </c>
      <c r="Z5" s="69">
        <v>0</v>
      </c>
      <c r="AA5" s="69">
        <v>0</v>
      </c>
      <c r="AB5" s="69">
        <v>0</v>
      </c>
      <c r="AC5" s="69">
        <v>28.5</v>
      </c>
      <c r="AD5" s="69">
        <v>4.3</v>
      </c>
      <c r="AE5" s="69">
        <v>0</v>
      </c>
      <c r="AF5" s="69">
        <v>0</v>
      </c>
      <c r="AG5" s="80"/>
      <c r="AH5" s="11">
        <f>IF(SUM(R5,V5)&gt;0,SUM(R5,V5),"")</f>
        <v>10.8</v>
      </c>
      <c r="AI5" s="11">
        <f>IF(SUM(Q5:R5,T5:V5,X5)-SUM(S5,W5)&gt;0,SUM(Q5:R5,T5:V5,X5)-SUM(S5,W5),"")</f>
        <v>65.3</v>
      </c>
      <c r="AJ5" s="11">
        <f>IF(SUM(Z5,AD5)&gt;0,SUM(Z5,AD5),"")</f>
        <v>4.3</v>
      </c>
      <c r="AK5" s="11">
        <f>IF(SUM(Y5:Z5,AB5:AD5,AF5)-SUM(AA5,AE5)&gt;0,SUM(Y5:Z5,AB5:AD5,AF5)-SUM(AA5,AE5),"")</f>
        <v>32.799999999999997</v>
      </c>
      <c r="AL5" s="11">
        <f>IF(SUM(AI5,AK5)&gt;0,SUM(AI5,AK5),"")</f>
        <v>98.1</v>
      </c>
      <c r="AM5" s="38">
        <v>28</v>
      </c>
      <c r="AN5" s="38">
        <v>5.6</v>
      </c>
      <c r="AO5" s="38">
        <v>0</v>
      </c>
      <c r="AP5" s="38">
        <v>0</v>
      </c>
      <c r="AQ5" s="38">
        <v>27.3</v>
      </c>
      <c r="AR5" s="38">
        <v>5.6</v>
      </c>
      <c r="AS5" s="38">
        <v>0</v>
      </c>
      <c r="AT5" s="38">
        <v>0</v>
      </c>
      <c r="AU5" s="38">
        <v>27.8</v>
      </c>
      <c r="AV5" s="38">
        <v>5.2</v>
      </c>
      <c r="AW5" s="38">
        <v>0.9</v>
      </c>
      <c r="AX5" s="38">
        <v>0</v>
      </c>
      <c r="AY5" s="38">
        <v>27.6</v>
      </c>
      <c r="AZ5" s="38">
        <v>5.2</v>
      </c>
      <c r="BA5" s="38">
        <v>0</v>
      </c>
      <c r="BB5" s="38">
        <v>0.3</v>
      </c>
      <c r="BC5" s="81"/>
      <c r="BD5" s="14">
        <f>IF(SUM(AN5,AR5)&gt;0,SUM(AN5,AR5),"")</f>
        <v>11.2</v>
      </c>
      <c r="BE5" s="14">
        <f>IF(SUM(AM5:AN5,AP5:AR5,AT5)-SUM(AO5,AS5)&gt;0,SUM(AM5:AN5,AP5:AR5,AT5)-SUM(AO5,AS5),"")</f>
        <v>66.5</v>
      </c>
      <c r="BF5" s="14">
        <f>IF(SUM(AV5,AZ5)&gt;0,SUM(AV5,AZ5),"")</f>
        <v>10.4</v>
      </c>
      <c r="BG5" s="14">
        <f>IF(SUM(AU5:AV5,AX5:AZ5,BB5)-SUM(AW5,BA5)&gt;0,SUM(AU5:AV5,AX5:AZ5,BB5)-SUM(AW5,BA5),"")</f>
        <v>65.199999999999989</v>
      </c>
      <c r="BH5" s="14">
        <f>IF(SUM(BE5,BG5)&gt;0,SUM(BE5,BG5),"")</f>
        <v>131.69999999999999</v>
      </c>
      <c r="BI5" s="69">
        <v>28.1</v>
      </c>
      <c r="BJ5" s="69">
        <v>5.6</v>
      </c>
      <c r="BK5" s="69">
        <v>0</v>
      </c>
      <c r="BL5" s="69">
        <v>0</v>
      </c>
      <c r="BM5" s="69">
        <v>28</v>
      </c>
      <c r="BN5" s="69">
        <v>5.6</v>
      </c>
      <c r="BO5" s="69">
        <v>0</v>
      </c>
      <c r="BP5" s="69">
        <v>0</v>
      </c>
      <c r="BQ5" s="69">
        <v>27.9</v>
      </c>
      <c r="BR5" s="69">
        <v>3</v>
      </c>
      <c r="BS5" s="69">
        <v>1.4</v>
      </c>
      <c r="BT5" s="69">
        <v>0</v>
      </c>
      <c r="BU5" s="69">
        <v>19.7</v>
      </c>
      <c r="BV5" s="69">
        <v>3.2</v>
      </c>
      <c r="BW5" s="69">
        <v>0</v>
      </c>
      <c r="BX5" s="69">
        <v>0.3</v>
      </c>
      <c r="BY5" s="80"/>
      <c r="BZ5" s="11">
        <f>IF(SUM(BJ5,BN5)&gt;0,SUM(BJ5,BN5),"")</f>
        <v>11.2</v>
      </c>
      <c r="CA5" s="11">
        <f>IF(SUM(BI5:BJ5,BL5:BN5,BP5)-SUM(BK5,BO5)&gt;0,SUM(BI5:BJ5,BL5:BN5,BP5)-SUM(BK5,BO5),"")</f>
        <v>67.3</v>
      </c>
      <c r="CB5" s="11">
        <f>IF(SUM(BR5,BV5)&gt;0,SUM(BR5,BV5),"")</f>
        <v>6.2</v>
      </c>
      <c r="CC5" s="11">
        <f>IF(SUM(BQ5:BR5,BT5:BV5,BX5)-SUM(BS5,BW5)&gt;0,SUM(BQ5:BR5,BT5:BV5,BX5)-SUM(BS5,BW5),"")</f>
        <v>52.699999999999996</v>
      </c>
      <c r="CD5" s="11">
        <f>IF(SUM(CA5,CC5)&gt;0,SUM(CA5,CC5),"")</f>
        <v>120</v>
      </c>
      <c r="CE5" s="24" t="str">
        <f>IF(MAX(CX5,DS5,EN5,FI5,GD5,GY5,HT5,IO5,JJ5,KE5,KZ5,LU5)-IF(J5="",0,J5)&gt;0.001,MAX(CX5,DS5,EN5,FI5,GD5,GY5,HT5,IO5,JJ5,KE5,KZ5,LU5)-IF(J5="",0,J5),"")</f>
        <v/>
      </c>
      <c r="CF5" s="24" t="str">
        <f>IF(MAX(DA5,DV5,EQ5,FL5,GG5,HB5,HW5,IR5,JM5,KH5,LC5,LX5)-IF(L5="",0,L5)&gt;0.001,MAX(DA5,DV5,EQ5,FL5,GG5,HB5,HW5,IR5,JM5,KH5,LC5,LX5)-IF(L5="",0,L5),"")</f>
        <v/>
      </c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11" t="str">
        <f>IF(SUM(CH5,CL5)&gt;0,SUM(CH5,CL5),"")</f>
        <v/>
      </c>
      <c r="CX5" s="11" t="str">
        <f>IF(SUM(CG5:CH5,CJ5:CL5,CN5)-SUM(CI5,CM5)&gt;0,SUM(CG5:CH5,CJ5:CL5,CN5)-SUM(CI5,CM5),"")</f>
        <v/>
      </c>
      <c r="CY5" s="11" t="str">
        <f>IF(SUM(CP5,CT5)&gt;0,SUM(CP5,CT5),"")</f>
        <v/>
      </c>
      <c r="CZ5" s="11" t="str">
        <f>IF(SUM(CO5:CP5,CR5:CT5,CV5)-SUM(CQ5,CU5)&gt;0,SUM(CO5:CP5,CR5:CT5,CV5)-SUM(CQ5,CU5),"")</f>
        <v/>
      </c>
      <c r="DA5" s="11" t="str">
        <f>IF(SUM(CX5,CZ5)&gt;0,SUM(CX5,CZ5),"")</f>
        <v/>
      </c>
      <c r="DB5" s="43"/>
      <c r="DC5" s="43"/>
      <c r="DD5" s="43"/>
      <c r="DE5" s="43"/>
      <c r="DF5" s="43"/>
      <c r="DG5" s="43"/>
      <c r="DH5" s="43"/>
      <c r="DI5" s="43"/>
      <c r="DJ5" s="43"/>
      <c r="DK5" s="43"/>
      <c r="DL5" s="43"/>
      <c r="DM5" s="43"/>
      <c r="DN5" s="43"/>
      <c r="DO5" s="43"/>
      <c r="DP5" s="43"/>
      <c r="DQ5" s="43"/>
      <c r="DR5" s="14" t="str">
        <f>IF(SUM(DC5,DG5)&gt;0,SUM(DC5,DG5),"")</f>
        <v/>
      </c>
      <c r="DS5" s="14" t="str">
        <f>IF(SUM(DB5:DC5,DE5:DG5,DI5)-SUM(DD5,DH5)&gt;0,SUM(DB5:DC5,DE5:DG5,DI5)-SUM(DD5,DH5),"")</f>
        <v/>
      </c>
      <c r="DT5" s="14" t="str">
        <f>IF(SUM(DK5,DO5)&gt;0,SUM(DK5,DO5),"")</f>
        <v/>
      </c>
      <c r="DU5" s="14" t="str">
        <f>IF(SUM(DJ5:DK5,DM5:DO5,DQ5)-SUM(DL5,DP5)&gt;0,SUM(DJ5:DK5,DM5:DO5,DQ5)-SUM(DL5,DP5),"")</f>
        <v/>
      </c>
      <c r="DV5" s="14" t="str">
        <f>IF(SUM(DS5,DU5)&gt;0,SUM(DS5,DU5),"")</f>
        <v/>
      </c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11" t="str">
        <f>IF(SUM(DX5,EB5)&gt;0,SUM(DX5,EB5),"")</f>
        <v/>
      </c>
      <c r="EN5" s="11" t="str">
        <f>IF(SUM(DW5:DX5,DZ5:EB5,ED5)-SUM(DY5,EC5)&gt;0,SUM(DW5:DX5,DZ5:EB5,ED5)-SUM(DY5,EC5),"")</f>
        <v/>
      </c>
      <c r="EO5" s="11" t="str">
        <f>IF(SUM(EF5,EJ5)&gt;0,SUM(EF5,EJ5),"")</f>
        <v/>
      </c>
      <c r="EP5" s="11" t="str">
        <f>IF(SUM(EE5:EF5,EH5:EJ5,EL5)-SUM(EG5,EK5)&gt;0,SUM(EE5:EF5,EH5:EJ5,EL5)-SUM(EG5,EK5),"")</f>
        <v/>
      </c>
      <c r="EQ5" s="11" t="str">
        <f>IF(SUM(EN5,EP5)&gt;0,SUM(EN5,EP5),"")</f>
        <v/>
      </c>
      <c r="ER5" s="43"/>
      <c r="ES5" s="43"/>
      <c r="ET5" s="43"/>
      <c r="EU5" s="43"/>
      <c r="EV5" s="43"/>
      <c r="EW5" s="43"/>
      <c r="EX5" s="43"/>
      <c r="EY5" s="43"/>
      <c r="EZ5" s="43"/>
      <c r="FA5" s="43"/>
      <c r="FB5" s="43"/>
      <c r="FC5" s="43"/>
      <c r="FD5" s="43"/>
      <c r="FE5" s="43"/>
      <c r="FF5" s="43"/>
      <c r="FG5" s="43"/>
      <c r="FH5" s="14" t="str">
        <f>IF(SUM(ES5,EW5)&gt;0,SUM(ES5,EW5),"")</f>
        <v/>
      </c>
      <c r="FI5" s="14" t="str">
        <f>IF(SUM(ER5:ES5,EU5:EW5,EY5)-SUM(ET5,EX5)&gt;0,SUM(ER5:ES5,EU5:EW5,EY5)-SUM(ET5,EX5),"")</f>
        <v/>
      </c>
      <c r="FJ5" s="14" t="str">
        <f>IF(SUM(FA5,FE5)&gt;0,SUM(FA5,FE5),"")</f>
        <v/>
      </c>
      <c r="FK5" s="14" t="str">
        <f>IF(SUM(EZ5:FA5,FC5:FE5,FG5)-SUM(FB5,FF5)&gt;0,SUM(EZ5:FA5,FC5:FE5,FG5)-SUM(FB5,FF5),"")</f>
        <v/>
      </c>
      <c r="FL5" s="14" t="str">
        <f>IF(SUM(FI5,FK5)&gt;0,SUM(FI5,FK5),"")</f>
        <v/>
      </c>
      <c r="FM5" s="44"/>
      <c r="FN5" s="44"/>
      <c r="FO5" s="44"/>
      <c r="FP5" s="44"/>
      <c r="FQ5" s="44"/>
      <c r="FR5" s="44"/>
      <c r="FS5" s="44"/>
      <c r="FT5" s="44"/>
      <c r="FU5" s="44"/>
      <c r="FV5" s="44"/>
      <c r="FW5" s="44"/>
      <c r="FX5" s="44"/>
      <c r="FY5" s="44"/>
      <c r="FZ5" s="44"/>
      <c r="GA5" s="44"/>
      <c r="GB5" s="44"/>
      <c r="GC5" s="11" t="str">
        <f>IF(SUM(FN5,FR5)&gt;0,SUM(FN5,FR5),"")</f>
        <v/>
      </c>
      <c r="GD5" s="11" t="str">
        <f>IF(SUM(FM5:FN5,FP5:FR5,FT5)-SUM(FO5,FS5)&gt;0,SUM(FM5:FN5,FP5:FR5,FT5)-SUM(FO5,FS5),"")</f>
        <v/>
      </c>
      <c r="GE5" s="11" t="str">
        <f>IF(SUM(FV5,FZ5)&gt;0,SUM(FV5,FZ5),"")</f>
        <v/>
      </c>
      <c r="GF5" s="11" t="str">
        <f>IF(SUM(FU5:FV5,FX5:FZ5,GB5)-SUM(FW5,GA5)&gt;0,SUM(FU5:FV5,FX5:FZ5,GB5)-SUM(FW5,GA5),"")</f>
        <v/>
      </c>
      <c r="GG5" s="11" t="str">
        <f>IF(SUM(GD5,GF5)&gt;0,SUM(GD5,GF5),"")</f>
        <v/>
      </c>
      <c r="GH5" s="43"/>
      <c r="GI5" s="43"/>
      <c r="GJ5" s="43"/>
      <c r="GK5" s="43"/>
      <c r="GL5" s="43"/>
      <c r="GM5" s="43"/>
      <c r="GN5" s="43"/>
      <c r="GO5" s="43"/>
      <c r="GP5" s="43"/>
      <c r="GQ5" s="43"/>
      <c r="GR5" s="43"/>
      <c r="GS5" s="43"/>
      <c r="GT5" s="43"/>
      <c r="GU5" s="43"/>
      <c r="GV5" s="43"/>
      <c r="GW5" s="43"/>
      <c r="GX5" s="14" t="str">
        <f>IF(SUM(GI5,GM5)&gt;0,SUM(GI5,GM5),"")</f>
        <v/>
      </c>
      <c r="GY5" s="14" t="str">
        <f>IF(SUM(GH5:GI5,GK5:GM5,GO5)-SUM(GJ5,GN5)&gt;0,SUM(GH5:GI5,GK5:GM5,GO5)-SUM(GJ5,GN5),"")</f>
        <v/>
      </c>
      <c r="GZ5" s="14" t="str">
        <f>IF(SUM(GQ5,GU5)&gt;0,SUM(GQ5,GU5),"")</f>
        <v/>
      </c>
      <c r="HA5" s="14" t="str">
        <f>IF(SUM(GP5:GQ5,GS5:GU5,GW5)-SUM(GR5,GV5)&gt;0,SUM(GP5:GQ5,GS5:GU5,GW5)-SUM(GR5,GV5),"")</f>
        <v/>
      </c>
      <c r="HB5" s="14" t="str">
        <f>IF(SUM(GY5,HA5)&gt;0,SUM(GY5,HA5),"")</f>
        <v/>
      </c>
      <c r="HC5" s="44"/>
      <c r="HD5" s="44"/>
      <c r="HE5" s="44"/>
      <c r="HF5" s="44"/>
      <c r="HG5" s="44"/>
      <c r="HH5" s="44"/>
      <c r="HI5" s="44"/>
      <c r="HJ5" s="44"/>
      <c r="HK5" s="44"/>
      <c r="HL5" s="44"/>
      <c r="HM5" s="44"/>
      <c r="HN5" s="44"/>
      <c r="HO5" s="44"/>
      <c r="HP5" s="44"/>
      <c r="HQ5" s="44"/>
      <c r="HR5" s="44"/>
      <c r="HS5" s="11" t="str">
        <f>IF(SUM(HD5,HH5)&gt;0,SUM(HD5,HH5),"")</f>
        <v/>
      </c>
      <c r="HT5" s="11" t="str">
        <f>IF(SUM(HC5:HD5,HF5:HH5,HJ5)-SUM(HE5,HI5)&gt;0,SUM(HC5:HD5,HF5:HH5,HJ5)-SUM(HE5,HI5),"")</f>
        <v/>
      </c>
      <c r="HU5" s="11" t="str">
        <f>IF(SUM(HL5,HP5)&gt;0,SUM(HL5,HP5),"")</f>
        <v/>
      </c>
      <c r="HV5" s="11" t="str">
        <f>IF(SUM(HK5:HL5,HN5:HP5,HR5)-SUM(HM5,HQ5)&gt;0,SUM(HK5:HL5,HN5:HP5,HR5)-SUM(HM5,HQ5),"")</f>
        <v/>
      </c>
      <c r="HW5" s="11" t="str">
        <f>IF(SUM(HT5,HV5)&gt;0,SUM(HT5,HV5),"")</f>
        <v/>
      </c>
      <c r="HX5" s="43"/>
      <c r="HY5" s="43"/>
      <c r="HZ5" s="43"/>
      <c r="IA5" s="43"/>
      <c r="IB5" s="43"/>
      <c r="IC5" s="43"/>
      <c r="ID5" s="43"/>
      <c r="IE5" s="43"/>
      <c r="IF5" s="43"/>
      <c r="IG5" s="43"/>
      <c r="IH5" s="43"/>
      <c r="II5" s="43"/>
      <c r="IJ5" s="43"/>
      <c r="IK5" s="43"/>
      <c r="IL5" s="43"/>
      <c r="IM5" s="43"/>
      <c r="IN5" s="14" t="str">
        <f>IF(SUM(HY5,IC5)&gt;0,SUM(HY5,IC5),"")</f>
        <v/>
      </c>
      <c r="IO5" s="14" t="str">
        <f>IF(SUM(HX5:HY5,IA5:IC5,IE5)-SUM(HZ5,ID5)&gt;0,SUM(HX5:HY5,IA5:IC5,IE5)-SUM(HZ5,ID5),"")</f>
        <v/>
      </c>
      <c r="IP5" s="14" t="str">
        <f>IF(SUM(IG5,IK5)&gt;0,SUM(IG5,IK5),"")</f>
        <v/>
      </c>
      <c r="IQ5" s="14" t="str">
        <f>IF(SUM(IF5:IG5,II5:IK5,IM5)-SUM(IH5,IL5)&gt;0,SUM(IF5:IG5,II5:IK5,IM5)-SUM(IH5,IL5),"")</f>
        <v/>
      </c>
      <c r="IR5" s="14" t="str">
        <f>IF(SUM(IO5,IQ5)&gt;0,SUM(IO5,IQ5),"")</f>
        <v/>
      </c>
      <c r="IS5" s="44"/>
      <c r="IT5" s="44"/>
      <c r="IU5" s="44"/>
      <c r="IV5" s="44"/>
      <c r="IW5" s="44"/>
      <c r="IX5" s="44"/>
      <c r="IY5" s="44"/>
      <c r="IZ5" s="44"/>
      <c r="JA5" s="44"/>
      <c r="JB5" s="44"/>
      <c r="JC5" s="44"/>
      <c r="JD5" s="44"/>
      <c r="JE5" s="44"/>
      <c r="JF5" s="44"/>
      <c r="JG5" s="44"/>
      <c r="JH5" s="44"/>
      <c r="JI5" s="11" t="str">
        <f>IF(SUM(IT5,IX5)&gt;0,SUM(IT5,IX5),"")</f>
        <v/>
      </c>
      <c r="JJ5" s="11" t="str">
        <f>IF(SUM(IS5:IT5,IV5:IX5,IZ5)-SUM(IU5,IY5)&gt;0,SUM(IS5:IT5,IV5:IX5,IZ5)-SUM(IU5,IY5),"")</f>
        <v/>
      </c>
      <c r="JK5" s="11" t="str">
        <f>IF(SUM(JB5,JF5)&gt;0,SUM(JB5,JF5),"")</f>
        <v/>
      </c>
      <c r="JL5" s="11" t="str">
        <f>IF(SUM(JA5:JB5,JD5:JF5,JH5)-SUM(JC5,JG5)&gt;0,SUM(JA5:JB5,JD5:JF5,JH5)-SUM(JC5,JG5),"")</f>
        <v/>
      </c>
      <c r="JM5" s="11" t="str">
        <f>IF(SUM(JJ5,JL5)&gt;0,SUM(JJ5,JL5),"")</f>
        <v/>
      </c>
      <c r="JN5" s="43"/>
      <c r="JO5" s="43"/>
      <c r="JP5" s="43"/>
      <c r="JQ5" s="43"/>
      <c r="JR5" s="43"/>
      <c r="JS5" s="43"/>
      <c r="JT5" s="43"/>
      <c r="JU5" s="43"/>
      <c r="JV5" s="43"/>
      <c r="JW5" s="43"/>
      <c r="JX5" s="43"/>
      <c r="JY5" s="43"/>
      <c r="JZ5" s="43"/>
      <c r="KA5" s="43"/>
      <c r="KB5" s="43"/>
      <c r="KC5" s="43"/>
      <c r="KD5" s="14" t="str">
        <f>IF(SUM(JO5,JS5)&gt;0,SUM(JO5,JS5),"")</f>
        <v/>
      </c>
      <c r="KE5" s="14" t="str">
        <f>IF(SUM(JN5:JO5,JQ5:JS5,JU5)-SUM(JP5,JT5)&gt;0,SUM(JN5:JO5,JQ5:JS5,JU5)-SUM(JP5,JT5),"")</f>
        <v/>
      </c>
      <c r="KF5" s="14" t="str">
        <f>IF(SUM(JW5,KA5)&gt;0,SUM(JW5,KA5),"")</f>
        <v/>
      </c>
      <c r="KG5" s="14" t="str">
        <f>IF(SUM(JV5:JW5,JY5:KA5,KC5)-SUM(JX5,KB5)&gt;0,SUM(JV5:JW5,JY5:KA5,KC5)-SUM(JX5,KB5),"")</f>
        <v/>
      </c>
      <c r="KH5" s="14" t="str">
        <f>IF(SUM(KE5,KG5)&gt;0,SUM(KE5,KG5),"")</f>
        <v/>
      </c>
      <c r="KI5" s="44"/>
      <c r="KJ5" s="44"/>
      <c r="KK5" s="44"/>
      <c r="KL5" s="44"/>
      <c r="KM5" s="44"/>
      <c r="KN5" s="44"/>
      <c r="KO5" s="44"/>
      <c r="KP5" s="44"/>
      <c r="KQ5" s="44"/>
      <c r="KR5" s="44"/>
      <c r="KS5" s="44"/>
      <c r="KT5" s="44"/>
      <c r="KU5" s="44"/>
      <c r="KV5" s="44"/>
      <c r="KW5" s="44"/>
      <c r="KX5" s="44"/>
      <c r="KY5" s="11" t="str">
        <f>IF(SUM(KJ5,KN5)&gt;0,SUM(KJ5,KN5),"")</f>
        <v/>
      </c>
      <c r="KZ5" s="11" t="str">
        <f>IF(SUM(KI5:KJ5,KL5:KN5,KP5)-SUM(KK5,KO5)&gt;0,SUM(KI5:KJ5,KL5:KN5,KP5)-SUM(KK5,KO5),"")</f>
        <v/>
      </c>
      <c r="LA5" s="11" t="str">
        <f>IF(SUM(KR5,KV5)&gt;0,SUM(KR5,KV5),"")</f>
        <v/>
      </c>
      <c r="LB5" s="11" t="str">
        <f>IF(SUM(KQ5:KR5,KT5:KV5,KX5)-SUM(KS5,KW5)&gt;0,SUM(KQ5:KR5,KT5:KV5,KX5)-SUM(KS5,KW5),"")</f>
        <v/>
      </c>
      <c r="LC5" s="11" t="str">
        <f>IF(SUM(KZ5,LB5)&gt;0,SUM(KZ5,LB5),"")</f>
        <v/>
      </c>
      <c r="LD5" s="43"/>
      <c r="LE5" s="43"/>
      <c r="LF5" s="43"/>
      <c r="LG5" s="43"/>
      <c r="LH5" s="43"/>
      <c r="LI5" s="43"/>
      <c r="LJ5" s="43"/>
      <c r="LK5" s="43"/>
      <c r="LL5" s="43"/>
      <c r="LM5" s="43"/>
      <c r="LN5" s="43"/>
      <c r="LO5" s="43"/>
      <c r="LP5" s="43"/>
      <c r="LQ5" s="43"/>
      <c r="LR5" s="43"/>
      <c r="LS5" s="43"/>
      <c r="LT5" s="14" t="str">
        <f>IF(SUM(LE5,LI5)&gt;0,SUM(LE5,LI5),"")</f>
        <v/>
      </c>
      <c r="LU5" s="14" t="str">
        <f>IF(SUM(LD5:LE5,LG5:LI5,LK5)-SUM(LF5,LJ5)&gt;0,SUM(LD5:LE5,LG5:LI5,LK5)-SUM(LF5,LJ5),"")</f>
        <v/>
      </c>
      <c r="LV5" s="14" t="str">
        <f>IF(SUM(LM5,LQ5)&gt;0,SUM(LM5,LQ5),"")</f>
        <v/>
      </c>
      <c r="LW5" s="14" t="str">
        <f>IF(SUM(LL5:LM5,LO5:LQ5,LS5)-SUM(LN5,LR5)&gt;0,SUM(LL5:LM5,LO5:LQ5,LS5)-SUM(LN5,LR5),"")</f>
        <v/>
      </c>
      <c r="LX5" s="14" t="str">
        <f>IF(SUM(LU5,LW5)&gt;0,SUM(LU5,LW5),"")</f>
        <v/>
      </c>
      <c r="LY5" s="69">
        <f>IF($BY5="P",BI5,(BI5+AM5)/2)</f>
        <v>28.05</v>
      </c>
      <c r="LZ5" s="69">
        <f>IF($BY5="P",BJ5,(BJ5+AN5)/2)</f>
        <v>5.6</v>
      </c>
      <c r="MA5" s="69">
        <f>IF($BY5="P",BK5,(BK5+AO5)/2)</f>
        <v>0</v>
      </c>
      <c r="MB5" s="69">
        <f>IF($BY5="P",BL5,(BL5+AP5)/2)</f>
        <v>0</v>
      </c>
      <c r="MC5" s="69">
        <f>IF($BY5="P",BM5,(BM5+AQ5)/2)</f>
        <v>27.65</v>
      </c>
      <c r="MD5" s="69">
        <f>IF($BY5="P",BN5,(BN5+AR5)/2)</f>
        <v>5.6</v>
      </c>
      <c r="ME5" s="69">
        <f>IF($BY5="P",BO5,(BO5+AS5)/2)</f>
        <v>0</v>
      </c>
      <c r="MF5" s="69">
        <f>IF($BY5="P",BP5,(BP5+AT5)/2)</f>
        <v>0</v>
      </c>
      <c r="MG5" s="69">
        <f>IF($BY5="P",BQ5,(BQ5+AU5)/2)</f>
        <v>27.85</v>
      </c>
      <c r="MH5" s="69">
        <f>IF($BY5="P",BR5,(BR5+AV5)/2)</f>
        <v>4.0999999999999996</v>
      </c>
      <c r="MI5" s="69">
        <f>IF($BY5="P",BS5,(BS5+AW5)/2)</f>
        <v>1.1499999999999999</v>
      </c>
      <c r="MJ5" s="69">
        <f>IF($BY5="P",BT5,(BT5+AX5)/2)</f>
        <v>0</v>
      </c>
      <c r="MK5" s="69">
        <f>IF($BY5="P",BU5,(BU5+AY5)/2)</f>
        <v>23.65</v>
      </c>
      <c r="ML5" s="69">
        <f>IF($BY5="P",BV5,(BV5+AZ5)/2)</f>
        <v>4.2</v>
      </c>
      <c r="MM5" s="69">
        <f>IF($BY5="P",BW5,(BW5+BA5)/2)</f>
        <v>0</v>
      </c>
      <c r="MN5" s="69">
        <f>IF($BY5="P",BX5,(BX5+BB5)/2)</f>
        <v>0.3</v>
      </c>
      <c r="MO5" s="80" t="s">
        <v>74</v>
      </c>
      <c r="MP5" s="11">
        <f>IF(SUM(LZ5,MD5)&gt;0,SUM(LZ5,MD5),"")</f>
        <v>11.2</v>
      </c>
      <c r="MQ5" s="11">
        <f>IF(SUM(LY5:LZ5,MB5:MD5,MF5)-SUM(MA5,ME5)&gt;0,SUM(LY5:LZ5,MB5:MD5,MF5)-SUM(MA5,ME5),"")</f>
        <v>66.899999999999991</v>
      </c>
      <c r="MR5" s="11">
        <f>IF(SUM(MH5,ML5)&gt;0,SUM(MH5,ML5),"")</f>
        <v>8.3000000000000007</v>
      </c>
      <c r="MS5" s="11">
        <f>IF(SUM(MG5:MH5,MJ5:ML5,MN5)-SUM(MI5,MM5)&gt;0,SUM(MG5:MH5,MJ5:ML5,MN5)-SUM(MI5,MM5),"")</f>
        <v>58.95</v>
      </c>
      <c r="MT5" s="11">
        <f>IF(SUM(MQ5,MS5)&gt;0,SUM(MQ5,MS5),"")</f>
        <v>125.85</v>
      </c>
    </row>
    <row r="6" spans="1:358" x14ac:dyDescent="0.2">
      <c r="A6" s="5">
        <f>IF(AND(F6="P",G6="P"),SUMPRODUCT((F$4:F$17="P")*(G$4:G$17="P")*(E$4:E$17&gt;E6))+1,IF(G6="P",SUMPRODUCT((F$4:F$17="")*(G$4:G$17="P")*(E$4:E$17&gt;E6))+1+SUMPRODUCT((F$4:F$17="P")*(G$4:G$17="P")),""))</f>
        <v>3</v>
      </c>
      <c r="B6" s="8" t="s">
        <v>96</v>
      </c>
      <c r="C6" s="4" t="s">
        <v>6</v>
      </c>
      <c r="D6" s="5">
        <v>2001</v>
      </c>
      <c r="E6" s="15">
        <f>SUM(J6:N6)</f>
        <v>176.39999999999998</v>
      </c>
      <c r="F6" s="3" t="str">
        <f>IF(OR(AND(AH6&gt;=AL$19,AI6&gt;=AL$23,AI6&lt;&gt;"",AG6=""),AND(BD6&gt;=BH$19,BE6&gt;=BH$23,BE6&lt;&gt;"",BC6=""),AND(BZ6&gt;=CD$19,CA6&gt;=CD$23,CA6&lt;&gt;"",BY6=""),AND(CW6&gt;=DA$19,CX6&gt;=DA$23,CX6&lt;&gt;""),AND(DR6&gt;=DV$19,DS6&gt;=DV$23,DS6&lt;&gt;""),AND(EM6&gt;=EQ$19,EN6&gt;=EQ$23,EN6&lt;&gt;""),AND(FH6&gt;=FL$19,FI6&gt;=FL$23,FI6&lt;&gt;""),AND(GC6&gt;=GG$19,GD6&gt;=GG$23,GD6&lt;&gt;""),AND(GX6&gt;=HB$19,GY6&gt;=HB$23,GY6&lt;&gt;""),AND(HS6&gt;=HW$19,HT6&gt;=HW$23,HT6&lt;&gt;""),AND(IN6&gt;=IR$19,IO6&gt;=IR$23,IO6&lt;&gt;""),AND(JI6&gt;=JM$19,JJ6&gt;=JM$23,JJ6&lt;&gt;""),AND(KD6&gt;=KH$19,KE6&gt;=KH$23,KE6&lt;&gt;""),AND(KY6&gt;=LC$19,KZ6&gt;=LC$23,KZ6&lt;&gt;""),AND(LT6&gt;=LX$19,LU6&gt;=LX$23,LU6&lt;&gt;"")),"P","")</f>
        <v>P</v>
      </c>
      <c r="G6" s="3" t="str">
        <f>IF(OR(AND(AI6&gt;=AL$23,AI6&lt;&gt;"",AG6=""),AND(BE6&gt;=BH$23,BE6&lt;&gt;"",BC6=""),AND(CA6&gt;=CD$23,CA6&lt;&gt;"",BY6=""),AND(CX6&gt;=DA$23,CX6&lt;&gt;""),AND(DS6&gt;=DV$23,DS6&lt;&gt;""),AND(EN6&gt;=EQ$23,EN6&lt;&gt;""),AND(FI6&gt;=FL$23,FI6&lt;&gt;""),AND(GD6&gt;=GG$23,GD6&lt;&gt;""),AND(GY6&gt;=HB$23,GY6&lt;&gt;""),AND(HT6&gt;=HW$23,HT6&lt;&gt;""),AND(IO6&gt;=IR$23,IO6&lt;&gt;""),AND(JJ6&gt;=JM$23,JJ6&lt;&gt;""),AND(KE6&gt;=KH$23,KE6&lt;&gt;""),AND(KZ6&gt;=LC$23,KZ6&lt;&gt;""),AND(LU6&gt;=LX$23,LU6&lt;&gt;"")),"P","")</f>
        <v>P</v>
      </c>
      <c r="H6" s="126" t="str">
        <f>IF(AND(G6="P",F6=""),"No DD",IF(OR(AND(AH6&gt;=AL$22,AH6&lt;&gt;"",AI6&gt;=AL$26,AI6&lt;&gt;"",AG6=""),AND(BD6&gt;=BH$22,BD6&lt;&gt;"",BE6&gt;=BH$26,BE6&lt;&gt;"",BC6=""),AND(BZ6&gt;=CD$22,BZ6&lt;&gt;"",CA6&gt;=CD$26,CA6&lt;&gt;"",BY6=""),AND(CW6&gt;=DA$22,CW6&lt;&gt;"",CX6&gt;=DA$26,CX6&lt;&gt;""),AND(DR6&gt;=DV$22,DR6&lt;&gt;"",DS6&gt;=DV$26,DS6&lt;&gt;""),AND(EM6&gt;=EQ$22,EM6&lt;&gt;"",EN6&gt;=EQ$26,EN6&lt;&gt;""),AND(FH6&gt;=FL$22,FH6&lt;&gt;"",FI6&gt;=FL$26,FI6&lt;&gt;""),AND(GC6&gt;=GG$22,GC6&lt;&gt;"",GD6&gt;=GG$26,GD6&lt;&gt;""),AND(GX6&gt;=HB$22,GX6&lt;&gt;"",GY6&gt;=HB$26,GY6&lt;&gt;""),AND(HS6&gt;=HW$22,HS6&lt;&gt;"",HT6&gt;=HW$26,HT6&lt;&gt;""),AND(IN6&gt;=IR$22,IN6&lt;&gt;"",IO6&gt;=IR$26,IO6&lt;&gt;""),AND(JI6&gt;=JM$22,JI6&lt;&gt;"",JJ6&gt;=JM$26,JJ6&lt;&gt;""),AND(KD6&gt;=KH$22,KD6&lt;&gt;"",KE6&gt;=KH$26,KE6&lt;&gt;""),AND(KY6&gt;=LC$22,KY6&lt;&gt;"",KZ6&gt;=LC$26,KZ6&lt;&gt;""),AND(LT6&gt;=LX$22,LT6&lt;&gt;"",LU6&gt;=LX$26,LU6&lt;&gt;"")),"Merit",IF(OR(AND(AH6&gt;=AL$21,AH6&lt;&gt;"",AI6&gt;=AL$25,AI6&lt;&gt;"",AG6=""),AND(BD6&gt;=BH$21,BD6&lt;&gt;"",BE6&gt;=BH$25,BE6&lt;&gt;"",BC6=""),AND(BZ6&gt;=CD$21,BZ6&lt;&gt;"",CA6&gt;=CD$25,CA6&lt;&gt;"",BY6=""),AND(CW6&gt;=DA$21,CW6&lt;&gt;"",CX6&gt;=DA$25,CX6&lt;&gt;""),AND(DR6&gt;=DV$21,DR6&lt;&gt;"",DS6&gt;=DV$25,DS6&lt;&gt;""),AND(EM6&gt;=EQ$21,EM6&lt;&gt;"",EN6&gt;=EQ$25,EN6&lt;&gt;""),AND(FH6&gt;=FL$21,FH6&lt;&gt;"",FI6&gt;=FL$25,FI6&lt;&gt;""),AND(GC6&gt;=GG$21,GC6&lt;&gt;"",GD6&gt;=GG$25,GD6&lt;&gt;""),AND(GX6&gt;=HB$21,GX6&lt;&gt;"",GY6&gt;=HB$25,GY6&lt;&gt;""),AND(HS6&gt;=HW$21,HS6&lt;&gt;"",HT6&gt;=HW$25,HT6&lt;&gt;""),AND(IN6&gt;=IR$21,IN6&lt;&gt;"",IO6&gt;=IR$25,IO6&lt;&gt;""),AND(JI6&gt;=JM$21,JI6&lt;&gt;"",JJ6&gt;=JM$25,JJ6&lt;&gt;""),AND(KD6&gt;=KH$21,KD6&lt;&gt;"",KE6&gt;=KH$25,KE6&lt;&gt;""),AND(KY6&gt;=LC$21,KY6&lt;&gt;"",KZ6&gt;=LC$25,KZ6&lt;&gt;""),AND(LT6&gt;=LX$21,LT6&lt;&gt;"",LU6&gt;=LX$25,LU6&lt;&gt;"")),"Excellence",IF(OR(AND(AH6&gt;=AL$20,AH6&lt;&gt;"",AI6&gt;=AL$24,AI6&lt;&gt;"",AG6=""),AND(BD6&gt;=BH$20,BD6&lt;&gt;"",BE6&gt;=BH$24,BE6&lt;&gt;"",BC6=""),AND(BZ6&gt;=CD$20,BZ6&lt;&gt;"",CA6&gt;=CD$24,CA6&lt;&gt;"",BY6=""),AND(CW6&gt;=DA$20,CW6&lt;&gt;"",CX6&gt;=DA$24,CX6&lt;&gt;""),AND(DR6&gt;=DV$20,DR6&lt;&gt;"",DS6&gt;=DV$24,DS6&lt;&gt;""),AND(EM6&gt;=EQ$20,EM6&lt;&gt;"",EN6&gt;=EQ$24,EN6&lt;&gt;""),AND(FH6&gt;=FL$20,FH6&lt;&gt;"",FI6&gt;=FL$24,FI6&lt;&gt;""),AND(GC6&gt;=GG$20,GC6&lt;&gt;"",GD6&gt;=GG$24,GD6&lt;&gt;""),AND(GX6&gt;=HB$20,GX6&lt;&gt;"",GY6&gt;=HB$24,GY6&lt;&gt;""),AND(HS6&gt;=HW$20,HS6&lt;&gt;"",HT6&gt;=HW$24,HT6&lt;&gt;""),AND(IN6&gt;=IR$20,IN6&lt;&gt;"",IO6&gt;=IR$24,IO6&lt;&gt;""),AND(JI6&gt;=JM$20,JI6&lt;&gt;"",JJ6&gt;=JM$24,JJ6&lt;&gt;""),AND(KD6&gt;=KH$20,KD6&lt;&gt;"",KE6&gt;=KH$24,KE6&lt;&gt;""),AND(KY6&gt;=LC$20,KY6&lt;&gt;"",KZ6&gt;=LC$24,KZ6&lt;&gt;""),AND(LT6&gt;=LX$20,LT6&lt;&gt;"",LU6&gt;=LX$24,LU6&lt;&gt;"")),"Worlds Team",IF(OR(AND(AH6&gt;=AL$19,AH6&lt;&gt;"",AI6&gt;=AL$23,AI6&lt;&gt;"",AG6=""),AND(BD6&gt;=BH$19,BD6&lt;&gt;"",BE6&gt;=BH$23,BE6&lt;&gt;"",BC6=""),AND(BZ6&gt;=CD$19,BZ6&lt;&gt;"",CA6&gt;=CD$23,CA6&lt;&gt;"",BY6=""),AND(CW6&gt;=DA$19,CW6&lt;&gt;"",CX6&gt;=DA$23,CX6&lt;&gt;""),AND(DR6&gt;=DV$19,DR6&lt;&gt;"",DS6&gt;=DV$23,DS6&lt;&gt;""),AND(EM6&gt;=EQ$19,EM6&lt;&gt;"",EN6&gt;=EQ$23,EN6&lt;&gt;""),AND(FH6&gt;=FL$19,FH6&lt;&gt;"",FI6&gt;=FL$23,FI6&lt;&gt;""),AND(GC6&gt;=GG$19,GC6&lt;&gt;"",GD6&gt;=GG$23,GD6&lt;&gt;""),AND(GX6&gt;=HB$19,GX6&lt;&gt;"",GY6&gt;=HB$23,GY6&lt;&gt;""),AND(HS6&gt;=HW$19,HS6&lt;&gt;"",HT6&gt;=HW$23,HT6&lt;&gt;""),AND(IN6&gt;=IR$19,IN6&lt;&gt;"",IO6&gt;=IR$23,IO6&lt;&gt;""),AND(JI6&gt;=JM$19,JI6&lt;&gt;"",JJ6&gt;=JM$23,JJ6&lt;&gt;""),AND(KD6&gt;=KH$19,KD6&lt;&gt;"",KE6&gt;=KH$23,KE6&lt;&gt;""),AND(KY6&gt;=LC$19,KY6&lt;&gt;"",KZ6&gt;=LC$23,KZ6&lt;&gt;""),AND(LT6&gt;=LX$19,LT6&lt;&gt;"",LU6&gt;=LX$23,LU6&lt;&gt;"")),"National Team","")))))</f>
        <v>Worlds Team</v>
      </c>
      <c r="I6" s="3" t="str">
        <f>IF(OR(H6="Worlds Team",H6="Excellence",H6="Merit"),"P","")</f>
        <v>P</v>
      </c>
      <c r="J6" s="14">
        <f>MAX(AI6,BE6,CA6)</f>
        <v>67.999999999999986</v>
      </c>
      <c r="K6" s="14" t="str">
        <f>IF(J6=0,"",IF(J6=CA6,$BI$1,IF(J6=BE6,$AM$1,IF(J6=AI6,$Q$1,""))))</f>
        <v>2021 Canadian Championships</v>
      </c>
      <c r="L6" s="14">
        <f>IF(J6=AI6,MAX(BH6,CD6),IF(J6=BE6,MAX(AL6,CD6),MAX(AL6,BH6)))</f>
        <v>108.39999999999999</v>
      </c>
      <c r="M6" s="14" t="str">
        <f>IF(L6=0,"",IF(AND(J6&lt;&gt;CA6,L6=CD6),$BI$1,IF(AND(J6&lt;&gt;BE6,L6=BH6),$AM$1,IF(L6=AL6,$Q$1,""))))</f>
        <v>2021 2nd Virtual Technical Trial</v>
      </c>
      <c r="N6" s="14" t="str">
        <f>IF(MAX(CE6:CF6)&gt;0,MAX(CE6:CF6),"")</f>
        <v/>
      </c>
      <c r="O6" s="25" t="str">
        <f>IF(N6="","",IF(N6=CE6,"(Prelim)",IF(N6=CF6,"(4 Pass)")))</f>
        <v/>
      </c>
      <c r="P6" s="14" t="str">
        <f>IF(N6="","",IF(N6=CE6,IF(N6+IF(J6="",0,J6)=CX6,$CG$1,IF(N6+IF(J6="",0,J6)=DS6,$DB$1,IF(N6+IF(J6="",0,J6)=EN6,$DW$1,IF(N6+IF(J6="",0,J6)=FI6,$ER$1,IF(N6+IF(J6="",0,J6)=GD6,$FM$1,IF(N6+IF(J6="",0,J6)=GY6,$GH$1,IF(N6+IF(J6="",0,J6)=HT6,$HC$1,IF(N6+IF(J6="",0,J6)=IO6,$HX$1,IF(N6+IF(J6="",0,J6)=JJ6,$IS$1,IF(N6+IF(J6="",0,J6)=KE6,$JN$1,IF(N6+IF(J6="",0,J6)=KZ6,$KI$1,IF(N6+IF(J6="",0,J6)=LU6,$LD$1)))))))))))),IF(N6=CF6,IF(N6+IF(L6="",0,L6)=DA6,$CG$1,IF(N6+IF(L6="",0,L6)=DV6,$DB$1,IF(N6+IF(L6="",0,L6)=EQ6,$DW$1,IF(N6+IF(L6="",0,L6)=FL6,$ER$1,IF(N6+IF(L6="",0,L6)=GG6,$FM$1,IF(N6+IF(L6="",0,L6)=HB6,$GH$1,IF(N6+IF(L6="",0,L6)=HW6,$HC$1,IF(N6+IF(L6="",0,L6)=IR6,$HX$1,IF(N6+IF(L6="",0,L6)=JM6,$IS$1,IF(N6+IF(L6="",0,L6)=KH6,$JN$1,IF(N6+IF(L6="",0,L6)=LC6,$KI$1,IF(N6+IF(L6="",0,L6)=LX6,$LD$1)))))))))))))))</f>
        <v/>
      </c>
      <c r="Q6" s="69">
        <v>19.8</v>
      </c>
      <c r="R6" s="69">
        <v>2.4</v>
      </c>
      <c r="S6" s="69">
        <v>0</v>
      </c>
      <c r="T6" s="69">
        <v>0</v>
      </c>
      <c r="U6" s="69">
        <v>19.600000000000001</v>
      </c>
      <c r="V6" s="69">
        <v>2.8</v>
      </c>
      <c r="W6" s="69">
        <v>0</v>
      </c>
      <c r="X6" s="69">
        <v>0</v>
      </c>
      <c r="Y6" s="69">
        <v>27.9</v>
      </c>
      <c r="Z6" s="69">
        <v>4.3</v>
      </c>
      <c r="AA6" s="69">
        <v>0.4</v>
      </c>
      <c r="AB6" s="69">
        <v>0.3</v>
      </c>
      <c r="AC6" s="69">
        <v>27.1</v>
      </c>
      <c r="AD6" s="69">
        <v>5.2</v>
      </c>
      <c r="AE6" s="69">
        <v>0.9</v>
      </c>
      <c r="AF6" s="69">
        <v>0.3</v>
      </c>
      <c r="AG6" s="80"/>
      <c r="AH6" s="11">
        <f>IF(SUM(R6,V6)&gt;0,SUM(R6,V6),"")</f>
        <v>5.1999999999999993</v>
      </c>
      <c r="AI6" s="11">
        <f>IF(SUM(Q6:R6,T6:V6,X6)-SUM(S6,W6)&gt;0,SUM(Q6:R6,T6:V6,X6)-SUM(S6,W6),"")</f>
        <v>44.599999999999994</v>
      </c>
      <c r="AJ6" s="11">
        <f>IF(SUM(Z6,AD6)&gt;0,SUM(Z6,AD6),"")</f>
        <v>9.5</v>
      </c>
      <c r="AK6" s="11">
        <f>IF(SUM(Y6:Z6,AB6:AD6,AF6)-SUM(AA6,AE6)&gt;0,SUM(Y6:Z6,AB6:AD6,AF6)-SUM(AA6,AE6),"")</f>
        <v>63.8</v>
      </c>
      <c r="AL6" s="11">
        <f>IF(SUM(AI6,AK6)&gt;0,SUM(AI6,AK6),"")</f>
        <v>108.39999999999999</v>
      </c>
      <c r="AM6" s="38">
        <v>27.4</v>
      </c>
      <c r="AN6" s="38">
        <v>6.4</v>
      </c>
      <c r="AO6" s="38">
        <v>0</v>
      </c>
      <c r="AP6" s="38">
        <v>0</v>
      </c>
      <c r="AQ6" s="38">
        <v>19.7</v>
      </c>
      <c r="AR6" s="38">
        <v>2.4</v>
      </c>
      <c r="AS6" s="38">
        <v>0</v>
      </c>
      <c r="AT6" s="38">
        <v>0</v>
      </c>
      <c r="AU6" s="38"/>
      <c r="AV6" s="38"/>
      <c r="AW6" s="38"/>
      <c r="AX6" s="38"/>
      <c r="AY6" s="38"/>
      <c r="AZ6" s="38"/>
      <c r="BA6" s="38"/>
      <c r="BB6" s="38"/>
      <c r="BC6" s="81"/>
      <c r="BD6" s="14">
        <f>IF(SUM(AN6,AR6)&gt;0,SUM(AN6,AR6),"")</f>
        <v>8.8000000000000007</v>
      </c>
      <c r="BE6" s="14">
        <f>IF(SUM(AM6:AN6,AP6:AR6,AT6)-SUM(AO6,AS6)&gt;0,SUM(AM6:AN6,AP6:AR6,AT6)-SUM(AO6,AS6),"")</f>
        <v>55.9</v>
      </c>
      <c r="BF6" s="14" t="str">
        <f>IF(SUM(AV6,AZ6)&gt;0,SUM(AV6,AZ6),"")</f>
        <v/>
      </c>
      <c r="BG6" s="14" t="str">
        <f>IF(SUM(AU6:AV6,AX6:AZ6,BB6)-SUM(AW6,BA6)&gt;0,SUM(AU6:AV6,AX6:AZ6,BB6)-SUM(AW6,BA6),"")</f>
        <v/>
      </c>
      <c r="BH6" s="14">
        <f>IF(SUM(BE6,BG6)&gt;0,SUM(BE6,BG6),"")</f>
        <v>55.9</v>
      </c>
      <c r="BI6" s="69">
        <v>28.2</v>
      </c>
      <c r="BJ6" s="69">
        <v>6.4</v>
      </c>
      <c r="BK6" s="69">
        <v>0</v>
      </c>
      <c r="BL6" s="69">
        <v>0</v>
      </c>
      <c r="BM6" s="69">
        <v>28</v>
      </c>
      <c r="BN6" s="69">
        <v>6</v>
      </c>
      <c r="BO6" s="69">
        <v>0.9</v>
      </c>
      <c r="BP6" s="69">
        <v>0.3</v>
      </c>
      <c r="BQ6" s="69">
        <v>26.9</v>
      </c>
      <c r="BR6" s="69">
        <v>3.1</v>
      </c>
      <c r="BS6" s="69">
        <v>2.5</v>
      </c>
      <c r="BT6" s="69">
        <v>0</v>
      </c>
      <c r="BU6" s="69">
        <v>0</v>
      </c>
      <c r="BV6" s="69">
        <v>0</v>
      </c>
      <c r="BW6" s="69">
        <v>0</v>
      </c>
      <c r="BX6" s="69">
        <v>0</v>
      </c>
      <c r="BY6" s="80"/>
      <c r="BZ6" s="11">
        <f>IF(SUM(BJ6,BN6)&gt;0,SUM(BJ6,BN6),"")</f>
        <v>12.4</v>
      </c>
      <c r="CA6" s="11">
        <f>IF(SUM(BI6:BJ6,BL6:BN6,BP6)-SUM(BK6,BO6)&gt;0,SUM(BI6:BJ6,BL6:BN6,BP6)-SUM(BK6,BO6),"")</f>
        <v>67.999999999999986</v>
      </c>
      <c r="CB6" s="11">
        <f>IF(SUM(BR6,BV6)&gt;0,SUM(BR6,BV6),"")</f>
        <v>3.1</v>
      </c>
      <c r="CC6" s="11">
        <f>IF(SUM(BQ6:BR6,BT6:BV6,BX6)-SUM(BS6,BW6)&gt;0,SUM(BQ6:BR6,BT6:BV6,BX6)-SUM(BS6,BW6),"")</f>
        <v>27.5</v>
      </c>
      <c r="CD6" s="11">
        <f>IF(SUM(CA6,CC6)&gt;0,SUM(CA6,CC6),"")</f>
        <v>95.499999999999986</v>
      </c>
      <c r="CE6" s="24" t="str">
        <f>IF(MAX(CX6,DS6,EN6,FI6,GD6,GY6,HT6,IO6,JJ6,KE6,KZ6,LU6)-IF(J6="",0,J6)&gt;0.001,MAX(CX6,DS6,EN6,FI6,GD6,GY6,HT6,IO6,JJ6,KE6,KZ6,LU6)-IF(J6="",0,J6),"")</f>
        <v/>
      </c>
      <c r="CF6" s="24" t="str">
        <f>IF(MAX(DA6,DV6,EQ6,FL6,GG6,HB6,HW6,IR6,JM6,KH6,LC6,LX6)-IF(L6="",0,L6)&gt;0.001,MAX(DA6,DV6,EQ6,FL6,GG6,HB6,HW6,IR6,JM6,KH6,LC6,LX6)-IF(L6="",0,L6),"")</f>
        <v/>
      </c>
      <c r="CG6" s="44"/>
      <c r="CH6" s="44"/>
      <c r="CI6" s="44"/>
      <c r="CJ6" s="44"/>
      <c r="CK6" s="44"/>
      <c r="CL6" s="44"/>
      <c r="CM6" s="44"/>
      <c r="CN6" s="44"/>
      <c r="CO6" s="44"/>
      <c r="CP6" s="44"/>
      <c r="CQ6" s="44"/>
      <c r="CR6" s="44"/>
      <c r="CS6" s="44"/>
      <c r="CT6" s="44"/>
      <c r="CU6" s="44"/>
      <c r="CV6" s="44"/>
      <c r="CW6" s="11" t="str">
        <f>IF(SUM(CH6,CL6)&gt;0,SUM(CH6,CL6),"")</f>
        <v/>
      </c>
      <c r="CX6" s="11" t="str">
        <f>IF(SUM(CG6:CH6,CJ6:CL6,CN6)-SUM(CI6,CM6)&gt;0,SUM(CG6:CH6,CJ6:CL6,CN6)-SUM(CI6,CM6),"")</f>
        <v/>
      </c>
      <c r="CY6" s="11" t="str">
        <f>IF(SUM(CP6,CT6)&gt;0,SUM(CP6,CT6),"")</f>
        <v/>
      </c>
      <c r="CZ6" s="11" t="str">
        <f>IF(SUM(CO6:CP6,CR6:CT6,CV6)-SUM(CQ6,CU6)&gt;0,SUM(CO6:CP6,CR6:CT6,CV6)-SUM(CQ6,CU6),"")</f>
        <v/>
      </c>
      <c r="DA6" s="11" t="str">
        <f>IF(SUM(CX6,CZ6)&gt;0,SUM(CX6,CZ6),"")</f>
        <v/>
      </c>
      <c r="DB6" s="43"/>
      <c r="DC6" s="43"/>
      <c r="DD6" s="43"/>
      <c r="DE6" s="43"/>
      <c r="DF6" s="43"/>
      <c r="DG6" s="43"/>
      <c r="DH6" s="43"/>
      <c r="DI6" s="43"/>
      <c r="DJ6" s="43"/>
      <c r="DK6" s="43"/>
      <c r="DL6" s="43"/>
      <c r="DM6" s="43"/>
      <c r="DN6" s="43"/>
      <c r="DO6" s="43"/>
      <c r="DP6" s="43"/>
      <c r="DQ6" s="43"/>
      <c r="DR6" s="14" t="str">
        <f>IF(SUM(DC6,DG6)&gt;0,SUM(DC6,DG6),"")</f>
        <v/>
      </c>
      <c r="DS6" s="14" t="str">
        <f>IF(SUM(DB6:DC6,DE6:DG6,DI6)-SUM(DD6,DH6)&gt;0,SUM(DB6:DC6,DE6:DG6,DI6)-SUM(DD6,DH6),"")</f>
        <v/>
      </c>
      <c r="DT6" s="14" t="str">
        <f>IF(SUM(DK6,DO6)&gt;0,SUM(DK6,DO6),"")</f>
        <v/>
      </c>
      <c r="DU6" s="14" t="str">
        <f>IF(SUM(DJ6:DK6,DM6:DO6,DQ6)-SUM(DL6,DP6)&gt;0,SUM(DJ6:DK6,DM6:DO6,DQ6)-SUM(DL6,DP6),"")</f>
        <v/>
      </c>
      <c r="DV6" s="14" t="str">
        <f>IF(SUM(DS6,DU6)&gt;0,SUM(DS6,DU6),"")</f>
        <v/>
      </c>
      <c r="DW6" s="44"/>
      <c r="DX6" s="44"/>
      <c r="DY6" s="44"/>
      <c r="DZ6" s="44"/>
      <c r="EA6" s="44"/>
      <c r="EB6" s="44"/>
      <c r="EC6" s="44"/>
      <c r="ED6" s="44"/>
      <c r="EE6" s="44"/>
      <c r="EF6" s="44"/>
      <c r="EG6" s="44"/>
      <c r="EH6" s="44"/>
      <c r="EI6" s="44"/>
      <c r="EJ6" s="44"/>
      <c r="EK6" s="44"/>
      <c r="EL6" s="44"/>
      <c r="EM6" s="11" t="str">
        <f>IF(SUM(DX6,EB6)&gt;0,SUM(DX6,EB6),"")</f>
        <v/>
      </c>
      <c r="EN6" s="11" t="str">
        <f>IF(SUM(DW6:DX6,DZ6:EB6,ED6)-SUM(DY6,EC6)&gt;0,SUM(DW6:DX6,DZ6:EB6,ED6)-SUM(DY6,EC6),"")</f>
        <v/>
      </c>
      <c r="EO6" s="11" t="str">
        <f>IF(SUM(EF6,EJ6)&gt;0,SUM(EF6,EJ6),"")</f>
        <v/>
      </c>
      <c r="EP6" s="11" t="str">
        <f>IF(SUM(EE6:EF6,EH6:EJ6,EL6)-SUM(EG6,EK6)&gt;0,SUM(EE6:EF6,EH6:EJ6,EL6)-SUM(EG6,EK6),"")</f>
        <v/>
      </c>
      <c r="EQ6" s="11" t="str">
        <f>IF(SUM(EN6,EP6)&gt;0,SUM(EN6,EP6),"")</f>
        <v/>
      </c>
      <c r="ER6" s="43"/>
      <c r="ES6" s="43"/>
      <c r="ET6" s="43"/>
      <c r="EU6" s="43"/>
      <c r="EV6" s="43"/>
      <c r="EW6" s="43"/>
      <c r="EX6" s="43"/>
      <c r="EY6" s="43"/>
      <c r="EZ6" s="43"/>
      <c r="FA6" s="43"/>
      <c r="FB6" s="43"/>
      <c r="FC6" s="43"/>
      <c r="FD6" s="43"/>
      <c r="FE6" s="43"/>
      <c r="FF6" s="43"/>
      <c r="FG6" s="43"/>
      <c r="FH6" s="14" t="str">
        <f>IF(SUM(ES6,EW6)&gt;0,SUM(ES6,EW6),"")</f>
        <v/>
      </c>
      <c r="FI6" s="14" t="str">
        <f>IF(SUM(ER6:ES6,EU6:EW6,EY6)-SUM(ET6,EX6)&gt;0,SUM(ER6:ES6,EU6:EW6,EY6)-SUM(ET6,EX6),"")</f>
        <v/>
      </c>
      <c r="FJ6" s="14" t="str">
        <f>IF(SUM(FA6,FE6)&gt;0,SUM(FA6,FE6),"")</f>
        <v/>
      </c>
      <c r="FK6" s="14" t="str">
        <f>IF(SUM(EZ6:FA6,FC6:FE6,FG6)-SUM(FB6,FF6)&gt;0,SUM(EZ6:FA6,FC6:FE6,FG6)-SUM(FB6,FF6),"")</f>
        <v/>
      </c>
      <c r="FL6" s="14" t="str">
        <f>IF(SUM(FI6,FK6)&gt;0,SUM(FI6,FK6),"")</f>
        <v/>
      </c>
      <c r="FM6" s="44"/>
      <c r="FN6" s="44"/>
      <c r="FO6" s="44"/>
      <c r="FP6" s="44"/>
      <c r="FQ6" s="44"/>
      <c r="FR6" s="44"/>
      <c r="FS6" s="44"/>
      <c r="FT6" s="44"/>
      <c r="FU6" s="44"/>
      <c r="FV6" s="44"/>
      <c r="FW6" s="44"/>
      <c r="FX6" s="44"/>
      <c r="FY6" s="44"/>
      <c r="FZ6" s="44"/>
      <c r="GA6" s="44"/>
      <c r="GB6" s="44"/>
      <c r="GC6" s="11" t="str">
        <f>IF(SUM(FN6,FR6)&gt;0,SUM(FN6,FR6),"")</f>
        <v/>
      </c>
      <c r="GD6" s="11" t="str">
        <f>IF(SUM(FM6:FN6,FP6:FR6,FT6)-SUM(FO6,FS6)&gt;0,SUM(FM6:FN6,FP6:FR6,FT6)-SUM(FO6,FS6),"")</f>
        <v/>
      </c>
      <c r="GE6" s="11" t="str">
        <f>IF(SUM(FV6,FZ6)&gt;0,SUM(FV6,FZ6),"")</f>
        <v/>
      </c>
      <c r="GF6" s="11" t="str">
        <f>IF(SUM(FU6:FV6,FX6:FZ6,GB6)-SUM(FW6,GA6)&gt;0,SUM(FU6:FV6,FX6:FZ6,GB6)-SUM(FW6,GA6),"")</f>
        <v/>
      </c>
      <c r="GG6" s="11" t="str">
        <f>IF(SUM(GD6,GF6)&gt;0,SUM(GD6,GF6),"")</f>
        <v/>
      </c>
      <c r="GH6" s="43"/>
      <c r="GI6" s="43"/>
      <c r="GJ6" s="43"/>
      <c r="GK6" s="43"/>
      <c r="GL6" s="43"/>
      <c r="GM6" s="43"/>
      <c r="GN6" s="43"/>
      <c r="GO6" s="43"/>
      <c r="GP6" s="43"/>
      <c r="GQ6" s="43"/>
      <c r="GR6" s="43"/>
      <c r="GS6" s="43"/>
      <c r="GT6" s="43"/>
      <c r="GU6" s="43"/>
      <c r="GV6" s="43"/>
      <c r="GW6" s="43"/>
      <c r="GX6" s="14" t="str">
        <f>IF(SUM(GI6,GM6)&gt;0,SUM(GI6,GM6),"")</f>
        <v/>
      </c>
      <c r="GY6" s="14" t="str">
        <f>IF(SUM(GH6:GI6,GK6:GM6,GO6)-SUM(GJ6,GN6)&gt;0,SUM(GH6:GI6,GK6:GM6,GO6)-SUM(GJ6,GN6),"")</f>
        <v/>
      </c>
      <c r="GZ6" s="14" t="str">
        <f>IF(SUM(GQ6,GU6)&gt;0,SUM(GQ6,GU6),"")</f>
        <v/>
      </c>
      <c r="HA6" s="14" t="str">
        <f>IF(SUM(GP6:GQ6,GS6:GU6,GW6)-SUM(GR6,GV6)&gt;0,SUM(GP6:GQ6,GS6:GU6,GW6)-SUM(GR6,GV6),"")</f>
        <v/>
      </c>
      <c r="HB6" s="14" t="str">
        <f>IF(SUM(GY6,HA6)&gt;0,SUM(GY6,HA6),"")</f>
        <v/>
      </c>
      <c r="HC6" s="44"/>
      <c r="HD6" s="44"/>
      <c r="HE6" s="44"/>
      <c r="HF6" s="44"/>
      <c r="HG6" s="44"/>
      <c r="HH6" s="44"/>
      <c r="HI6" s="44"/>
      <c r="HJ6" s="44"/>
      <c r="HK6" s="44"/>
      <c r="HL6" s="44"/>
      <c r="HM6" s="44"/>
      <c r="HN6" s="44"/>
      <c r="HO6" s="44"/>
      <c r="HP6" s="44"/>
      <c r="HQ6" s="44"/>
      <c r="HR6" s="44"/>
      <c r="HS6" s="11" t="str">
        <f>IF(SUM(HD6,HH6)&gt;0,SUM(HD6,HH6),"")</f>
        <v/>
      </c>
      <c r="HT6" s="11" t="str">
        <f>IF(SUM(HC6:HD6,HF6:HH6,HJ6)-SUM(HE6,HI6)&gt;0,SUM(HC6:HD6,HF6:HH6,HJ6)-SUM(HE6,HI6),"")</f>
        <v/>
      </c>
      <c r="HU6" s="11" t="str">
        <f>IF(SUM(HL6,HP6)&gt;0,SUM(HL6,HP6),"")</f>
        <v/>
      </c>
      <c r="HV6" s="11" t="str">
        <f>IF(SUM(HK6:HL6,HN6:HP6,HR6)-SUM(HM6,HQ6)&gt;0,SUM(HK6:HL6,HN6:HP6,HR6)-SUM(HM6,HQ6),"")</f>
        <v/>
      </c>
      <c r="HW6" s="11" t="str">
        <f>IF(SUM(HT6,HV6)&gt;0,SUM(HT6,HV6),"")</f>
        <v/>
      </c>
      <c r="HX6" s="43"/>
      <c r="HY6" s="43"/>
      <c r="HZ6" s="43"/>
      <c r="IA6" s="43"/>
      <c r="IB6" s="43"/>
      <c r="IC6" s="43"/>
      <c r="ID6" s="43"/>
      <c r="IE6" s="43"/>
      <c r="IF6" s="43"/>
      <c r="IG6" s="43"/>
      <c r="IH6" s="43"/>
      <c r="II6" s="43"/>
      <c r="IJ6" s="43"/>
      <c r="IK6" s="43"/>
      <c r="IL6" s="43"/>
      <c r="IM6" s="43"/>
      <c r="IN6" s="14" t="str">
        <f>IF(SUM(HY6,IC6)&gt;0,SUM(HY6,IC6),"")</f>
        <v/>
      </c>
      <c r="IO6" s="14" t="str">
        <f>IF(SUM(HX6:HY6,IA6:IC6,IE6)-SUM(HZ6,ID6)&gt;0,SUM(HX6:HY6,IA6:IC6,IE6)-SUM(HZ6,ID6),"")</f>
        <v/>
      </c>
      <c r="IP6" s="14" t="str">
        <f>IF(SUM(IG6,IK6)&gt;0,SUM(IG6,IK6),"")</f>
        <v/>
      </c>
      <c r="IQ6" s="14" t="str">
        <f>IF(SUM(IF6:IG6,II6:IK6,IM6)-SUM(IH6,IL6)&gt;0,SUM(IF6:IG6,II6:IK6,IM6)-SUM(IH6,IL6),"")</f>
        <v/>
      </c>
      <c r="IR6" s="14" t="str">
        <f>IF(SUM(IO6,IQ6)&gt;0,SUM(IO6,IQ6),"")</f>
        <v/>
      </c>
      <c r="IS6" s="44"/>
      <c r="IT6" s="44"/>
      <c r="IU6" s="44"/>
      <c r="IV6" s="44"/>
      <c r="IW6" s="44"/>
      <c r="IX6" s="44"/>
      <c r="IY6" s="44"/>
      <c r="IZ6" s="44"/>
      <c r="JA6" s="44"/>
      <c r="JB6" s="44"/>
      <c r="JC6" s="44"/>
      <c r="JD6" s="44"/>
      <c r="JE6" s="44"/>
      <c r="JF6" s="44"/>
      <c r="JG6" s="44"/>
      <c r="JH6" s="44"/>
      <c r="JI6" s="11" t="str">
        <f>IF(SUM(IT6,IX6)&gt;0,SUM(IT6,IX6),"")</f>
        <v/>
      </c>
      <c r="JJ6" s="11" t="str">
        <f>IF(SUM(IS6:IT6,IV6:IX6,IZ6)-SUM(IU6,IY6)&gt;0,SUM(IS6:IT6,IV6:IX6,IZ6)-SUM(IU6,IY6),"")</f>
        <v/>
      </c>
      <c r="JK6" s="11" t="str">
        <f>IF(SUM(JB6,JF6)&gt;0,SUM(JB6,JF6),"")</f>
        <v/>
      </c>
      <c r="JL6" s="11" t="str">
        <f>IF(SUM(JA6:JB6,JD6:JF6,JH6)-SUM(JC6,JG6)&gt;0,SUM(JA6:JB6,JD6:JF6,JH6)-SUM(JC6,JG6),"")</f>
        <v/>
      </c>
      <c r="JM6" s="11" t="str">
        <f>IF(SUM(JJ6,JL6)&gt;0,SUM(JJ6,JL6),"")</f>
        <v/>
      </c>
      <c r="JN6" s="43"/>
      <c r="JO6" s="43"/>
      <c r="JP6" s="43"/>
      <c r="JQ6" s="43"/>
      <c r="JR6" s="43"/>
      <c r="JS6" s="43"/>
      <c r="JT6" s="43"/>
      <c r="JU6" s="43"/>
      <c r="JV6" s="43"/>
      <c r="JW6" s="43"/>
      <c r="JX6" s="43"/>
      <c r="JY6" s="43"/>
      <c r="JZ6" s="43"/>
      <c r="KA6" s="43"/>
      <c r="KB6" s="43"/>
      <c r="KC6" s="43"/>
      <c r="KD6" s="14" t="str">
        <f>IF(SUM(JO6,JS6)&gt;0,SUM(JO6,JS6),"")</f>
        <v/>
      </c>
      <c r="KE6" s="14" t="str">
        <f>IF(SUM(JN6:JO6,JQ6:JS6,JU6)-SUM(JP6,JT6)&gt;0,SUM(JN6:JO6,JQ6:JS6,JU6)-SUM(JP6,JT6),"")</f>
        <v/>
      </c>
      <c r="KF6" s="14" t="str">
        <f>IF(SUM(JW6,KA6)&gt;0,SUM(JW6,KA6),"")</f>
        <v/>
      </c>
      <c r="KG6" s="14" t="str">
        <f>IF(SUM(JV6:JW6,JY6:KA6,KC6)-SUM(JX6,KB6)&gt;0,SUM(JV6:JW6,JY6:KA6,KC6)-SUM(JX6,KB6),"")</f>
        <v/>
      </c>
      <c r="KH6" s="14" t="str">
        <f>IF(SUM(KE6,KG6)&gt;0,SUM(KE6,KG6),"")</f>
        <v/>
      </c>
      <c r="KI6" s="44"/>
      <c r="KJ6" s="44"/>
      <c r="KK6" s="44"/>
      <c r="KL6" s="44"/>
      <c r="KM6" s="44"/>
      <c r="KN6" s="44"/>
      <c r="KO6" s="44"/>
      <c r="KP6" s="44"/>
      <c r="KQ6" s="44"/>
      <c r="KR6" s="44"/>
      <c r="KS6" s="44"/>
      <c r="KT6" s="44"/>
      <c r="KU6" s="44"/>
      <c r="KV6" s="44"/>
      <c r="KW6" s="44"/>
      <c r="KX6" s="44"/>
      <c r="KY6" s="11" t="str">
        <f>IF(SUM(KJ6,KN6)&gt;0,SUM(KJ6,KN6),"")</f>
        <v/>
      </c>
      <c r="KZ6" s="11" t="str">
        <f>IF(SUM(KI6:KJ6,KL6:KN6,KP6)-SUM(KK6,KO6)&gt;0,SUM(KI6:KJ6,KL6:KN6,KP6)-SUM(KK6,KO6),"")</f>
        <v/>
      </c>
      <c r="LA6" s="11" t="str">
        <f>IF(SUM(KR6,KV6)&gt;0,SUM(KR6,KV6),"")</f>
        <v/>
      </c>
      <c r="LB6" s="11" t="str">
        <f>IF(SUM(KQ6:KR6,KT6:KV6,KX6)-SUM(KS6,KW6)&gt;0,SUM(KQ6:KR6,KT6:KV6,KX6)-SUM(KS6,KW6),"")</f>
        <v/>
      </c>
      <c r="LC6" s="11" t="str">
        <f>IF(SUM(KZ6,LB6)&gt;0,SUM(KZ6,LB6),"")</f>
        <v/>
      </c>
      <c r="LD6" s="43"/>
      <c r="LE6" s="43"/>
      <c r="LF6" s="43"/>
      <c r="LG6" s="43"/>
      <c r="LH6" s="43"/>
      <c r="LI6" s="43"/>
      <c r="LJ6" s="43"/>
      <c r="LK6" s="43"/>
      <c r="LL6" s="43"/>
      <c r="LM6" s="43"/>
      <c r="LN6" s="43"/>
      <c r="LO6" s="43"/>
      <c r="LP6" s="43"/>
      <c r="LQ6" s="43"/>
      <c r="LR6" s="43"/>
      <c r="LS6" s="43"/>
      <c r="LT6" s="14" t="str">
        <f>IF(SUM(LE6,LI6)&gt;0,SUM(LE6,LI6),"")</f>
        <v/>
      </c>
      <c r="LU6" s="14" t="str">
        <f>IF(SUM(LD6:LE6,LG6:LI6,LK6)-SUM(LF6,LJ6)&gt;0,SUM(LD6:LE6,LG6:LI6,LK6)-SUM(LF6,LJ6),"")</f>
        <v/>
      </c>
      <c r="LV6" s="14" t="str">
        <f>IF(SUM(LM6,LQ6)&gt;0,SUM(LM6,LQ6),"")</f>
        <v/>
      </c>
      <c r="LW6" s="14" t="str">
        <f>IF(SUM(LL6:LM6,LO6:LQ6,LS6)-SUM(LN6,LR6)&gt;0,SUM(LL6:LM6,LO6:LQ6,LS6)-SUM(LN6,LR6),"")</f>
        <v/>
      </c>
      <c r="LX6" s="14" t="str">
        <f>IF(SUM(LU6,LW6)&gt;0,SUM(LU6,LW6),"")</f>
        <v/>
      </c>
      <c r="LY6" s="69">
        <f>IF($BY6="P",BI6,(BI6+AM6)/2)</f>
        <v>27.799999999999997</v>
      </c>
      <c r="LZ6" s="69">
        <f>IF($BY6="P",BJ6,(BJ6+AN6)/2)</f>
        <v>6.4</v>
      </c>
      <c r="MA6" s="69">
        <f>IF($BY6="P",BK6,(BK6+AO6)/2)</f>
        <v>0</v>
      </c>
      <c r="MB6" s="69">
        <f>IF($BY6="P",BL6,(BL6+AP6)/2)</f>
        <v>0</v>
      </c>
      <c r="MC6" s="69">
        <f>IF($BY6="P",BM6,(BM6+AQ6)/2)</f>
        <v>23.85</v>
      </c>
      <c r="MD6" s="69">
        <f>IF($BY6="P",BN6,(BN6+AR6)/2)</f>
        <v>4.2</v>
      </c>
      <c r="ME6" s="69">
        <f>IF($BY6="P",BO6,(BO6+AS6)/2)</f>
        <v>0.45</v>
      </c>
      <c r="MF6" s="69">
        <f>IF($BY6="P",BP6,(BP6+AT6)/2)</f>
        <v>0.15</v>
      </c>
      <c r="MG6" s="69">
        <f>IF($BY6="P",BQ6,(BQ6+AU6)/2)</f>
        <v>13.45</v>
      </c>
      <c r="MH6" s="69">
        <f>IF($BY6="P",BR6,(BR6+AV6)/2)</f>
        <v>1.55</v>
      </c>
      <c r="MI6" s="69">
        <f>IF($BY6="P",BS6,(BS6+AW6)/2)</f>
        <v>1.25</v>
      </c>
      <c r="MJ6" s="69">
        <f>IF($BY6="P",BT6,(BT6+AX6)/2)</f>
        <v>0</v>
      </c>
      <c r="MK6" s="69">
        <f>IF($BY6="P",BU6,(BU6+AY6)/2)</f>
        <v>0</v>
      </c>
      <c r="ML6" s="69">
        <f>IF($BY6="P",BV6,(BV6+AZ6)/2)</f>
        <v>0</v>
      </c>
      <c r="MM6" s="69">
        <f>IF($BY6="P",BW6,(BW6+BA6)/2)</f>
        <v>0</v>
      </c>
      <c r="MN6" s="69">
        <f>IF($BY6="P",BX6,(BX6+BB6)/2)</f>
        <v>0</v>
      </c>
      <c r="MO6" s="80" t="s">
        <v>74</v>
      </c>
      <c r="MP6" s="11">
        <f>IF(SUM(LZ6,MD6)&gt;0,SUM(LZ6,MD6),"")</f>
        <v>10.600000000000001</v>
      </c>
      <c r="MQ6" s="11">
        <f>IF(SUM(LY6:LZ6,MB6:MD6,MF6)-SUM(MA6,ME6)&gt;0,SUM(LY6:LZ6,MB6:MD6,MF6)-SUM(MA6,ME6),"")</f>
        <v>61.949999999999996</v>
      </c>
      <c r="MR6" s="11">
        <f>IF(SUM(MH6,ML6)&gt;0,SUM(MH6,ML6),"")</f>
        <v>1.55</v>
      </c>
      <c r="MS6" s="11">
        <f>IF(SUM(MG6:MH6,MJ6:ML6,MN6)-SUM(MI6,MM6)&gt;0,SUM(MG6:MH6,MJ6:ML6,MN6)-SUM(MI6,MM6),"")</f>
        <v>13.75</v>
      </c>
      <c r="MT6" s="11">
        <f>IF(SUM(MQ6,MS6)&gt;0,SUM(MQ6,MS6),"")</f>
        <v>75.699999999999989</v>
      </c>
    </row>
    <row r="7" spans="1:358" x14ac:dyDescent="0.2">
      <c r="A7" s="5">
        <f>IF(AND(F7="P",G7="P"),SUMPRODUCT((F$4:F$17="P")*(G$4:G$17="P")*(E$4:E$17&gt;E7))+1,IF(G7="P",SUMPRODUCT((F$4:F$17="")*(G$4:G$17="P")*(E$4:E$17&gt;E7))+1+SUMPRODUCT((F$4:F$17="P")*(G$4:G$17="P")),""))</f>
        <v>4</v>
      </c>
      <c r="B7" s="8" t="s">
        <v>115</v>
      </c>
      <c r="C7" s="4" t="s">
        <v>5</v>
      </c>
      <c r="D7" s="5">
        <v>2003</v>
      </c>
      <c r="E7" s="15">
        <f>SUM(J7:N7)</f>
        <v>161</v>
      </c>
      <c r="F7" s="3" t="str">
        <f>IF(OR(AND(AH7&gt;=AL$19,AI7&gt;=AL$23,AI7&lt;&gt;"",AG7=""),AND(BD7&gt;=BH$19,BE7&gt;=BH$23,BE7&lt;&gt;"",BC7=""),AND(BZ7&gt;=CD$19,CA7&gt;=CD$23,CA7&lt;&gt;"",BY7=""),AND(CW7&gt;=DA$19,CX7&gt;=DA$23,CX7&lt;&gt;""),AND(DR7&gt;=DV$19,DS7&gt;=DV$23,DS7&lt;&gt;""),AND(EM7&gt;=EQ$19,EN7&gt;=EQ$23,EN7&lt;&gt;""),AND(FH7&gt;=FL$19,FI7&gt;=FL$23,FI7&lt;&gt;""),AND(GC7&gt;=GG$19,GD7&gt;=GG$23,GD7&lt;&gt;""),AND(GX7&gt;=HB$19,GY7&gt;=HB$23,GY7&lt;&gt;""),AND(HS7&gt;=HW$19,HT7&gt;=HW$23,HT7&lt;&gt;""),AND(IN7&gt;=IR$19,IO7&gt;=IR$23,IO7&lt;&gt;""),AND(JI7&gt;=JM$19,JJ7&gt;=JM$23,JJ7&lt;&gt;""),AND(KD7&gt;=KH$19,KE7&gt;=KH$23,KE7&lt;&gt;""),AND(KY7&gt;=LC$19,KZ7&gt;=LC$23,KZ7&lt;&gt;""),AND(LT7&gt;=LX$19,LU7&gt;=LX$23,LU7&lt;&gt;"")),"P","")</f>
        <v>P</v>
      </c>
      <c r="G7" s="3" t="str">
        <f>IF(OR(AND(AI7&gt;=AL$23,AI7&lt;&gt;"",AG7=""),AND(BE7&gt;=BH$23,BE7&lt;&gt;"",BC7=""),AND(CA7&gt;=CD$23,CA7&lt;&gt;"",BY7=""),AND(CX7&gt;=DA$23,CX7&lt;&gt;""),AND(DS7&gt;=DV$23,DS7&lt;&gt;""),AND(EN7&gt;=EQ$23,EN7&lt;&gt;""),AND(FI7&gt;=FL$23,FI7&lt;&gt;""),AND(GD7&gt;=GG$23,GD7&lt;&gt;""),AND(GY7&gt;=HB$23,GY7&lt;&gt;""),AND(HT7&gt;=HW$23,HT7&lt;&gt;""),AND(IO7&gt;=IR$23,IO7&lt;&gt;""),AND(JJ7&gt;=JM$23,JJ7&lt;&gt;""),AND(KE7&gt;=KH$23,KE7&lt;&gt;""),AND(KZ7&gt;=LC$23,KZ7&lt;&gt;""),AND(LU7&gt;=LX$23,LU7&lt;&gt;"")),"P","")</f>
        <v>P</v>
      </c>
      <c r="H7" s="126" t="str">
        <f>IF(AND(G7="P",F7=""),"No DD",IF(OR(AND(AH7&gt;=AL$22,AH7&lt;&gt;"",AI7&gt;=AL$26,AI7&lt;&gt;"",AG7=""),AND(BD7&gt;=BH$22,BD7&lt;&gt;"",BE7&gt;=BH$26,BE7&lt;&gt;"",BC7=""),AND(BZ7&gt;=CD$22,BZ7&lt;&gt;"",CA7&gt;=CD$26,CA7&lt;&gt;"",BY7=""),AND(CW7&gt;=DA$22,CW7&lt;&gt;"",CX7&gt;=DA$26,CX7&lt;&gt;""),AND(DR7&gt;=DV$22,DR7&lt;&gt;"",DS7&gt;=DV$26,DS7&lt;&gt;""),AND(EM7&gt;=EQ$22,EM7&lt;&gt;"",EN7&gt;=EQ$26,EN7&lt;&gt;""),AND(FH7&gt;=FL$22,FH7&lt;&gt;"",FI7&gt;=FL$26,FI7&lt;&gt;""),AND(GC7&gt;=GG$22,GC7&lt;&gt;"",GD7&gt;=GG$26,GD7&lt;&gt;""),AND(GX7&gt;=HB$22,GX7&lt;&gt;"",GY7&gt;=HB$26,GY7&lt;&gt;""),AND(HS7&gt;=HW$22,HS7&lt;&gt;"",HT7&gt;=HW$26,HT7&lt;&gt;""),AND(IN7&gt;=IR$22,IN7&lt;&gt;"",IO7&gt;=IR$26,IO7&lt;&gt;""),AND(JI7&gt;=JM$22,JI7&lt;&gt;"",JJ7&gt;=JM$26,JJ7&lt;&gt;""),AND(KD7&gt;=KH$22,KD7&lt;&gt;"",KE7&gt;=KH$26,KE7&lt;&gt;""),AND(KY7&gt;=LC$22,KY7&lt;&gt;"",KZ7&gt;=LC$26,KZ7&lt;&gt;""),AND(LT7&gt;=LX$22,LT7&lt;&gt;"",LU7&gt;=LX$26,LU7&lt;&gt;"")),"Merit",IF(OR(AND(AH7&gt;=AL$21,AH7&lt;&gt;"",AI7&gt;=AL$25,AI7&lt;&gt;"",AG7=""),AND(BD7&gt;=BH$21,BD7&lt;&gt;"",BE7&gt;=BH$25,BE7&lt;&gt;"",BC7=""),AND(BZ7&gt;=CD$21,BZ7&lt;&gt;"",CA7&gt;=CD$25,CA7&lt;&gt;"",BY7=""),AND(CW7&gt;=DA$21,CW7&lt;&gt;"",CX7&gt;=DA$25,CX7&lt;&gt;""),AND(DR7&gt;=DV$21,DR7&lt;&gt;"",DS7&gt;=DV$25,DS7&lt;&gt;""),AND(EM7&gt;=EQ$21,EM7&lt;&gt;"",EN7&gt;=EQ$25,EN7&lt;&gt;""),AND(FH7&gt;=FL$21,FH7&lt;&gt;"",FI7&gt;=FL$25,FI7&lt;&gt;""),AND(GC7&gt;=GG$21,GC7&lt;&gt;"",GD7&gt;=GG$25,GD7&lt;&gt;""),AND(GX7&gt;=HB$21,GX7&lt;&gt;"",GY7&gt;=HB$25,GY7&lt;&gt;""),AND(HS7&gt;=HW$21,HS7&lt;&gt;"",HT7&gt;=HW$25,HT7&lt;&gt;""),AND(IN7&gt;=IR$21,IN7&lt;&gt;"",IO7&gt;=IR$25,IO7&lt;&gt;""),AND(JI7&gt;=JM$21,JI7&lt;&gt;"",JJ7&gt;=JM$25,JJ7&lt;&gt;""),AND(KD7&gt;=KH$21,KD7&lt;&gt;"",KE7&gt;=KH$25,KE7&lt;&gt;""),AND(KY7&gt;=LC$21,KY7&lt;&gt;"",KZ7&gt;=LC$25,KZ7&lt;&gt;""),AND(LT7&gt;=LX$21,LT7&lt;&gt;"",LU7&gt;=LX$25,LU7&lt;&gt;"")),"Excellence",IF(OR(AND(AH7&gt;=AL$20,AH7&lt;&gt;"",AI7&gt;=AL$24,AI7&lt;&gt;"",AG7=""),AND(BD7&gt;=BH$20,BD7&lt;&gt;"",BE7&gt;=BH$24,BE7&lt;&gt;"",BC7=""),AND(BZ7&gt;=CD$20,BZ7&lt;&gt;"",CA7&gt;=CD$24,CA7&lt;&gt;"",BY7=""),AND(CW7&gt;=DA$20,CW7&lt;&gt;"",CX7&gt;=DA$24,CX7&lt;&gt;""),AND(DR7&gt;=DV$20,DR7&lt;&gt;"",DS7&gt;=DV$24,DS7&lt;&gt;""),AND(EM7&gt;=EQ$20,EM7&lt;&gt;"",EN7&gt;=EQ$24,EN7&lt;&gt;""),AND(FH7&gt;=FL$20,FH7&lt;&gt;"",FI7&gt;=FL$24,FI7&lt;&gt;""),AND(GC7&gt;=GG$20,GC7&lt;&gt;"",GD7&gt;=GG$24,GD7&lt;&gt;""),AND(GX7&gt;=HB$20,GX7&lt;&gt;"",GY7&gt;=HB$24,GY7&lt;&gt;""),AND(HS7&gt;=HW$20,HS7&lt;&gt;"",HT7&gt;=HW$24,HT7&lt;&gt;""),AND(IN7&gt;=IR$20,IN7&lt;&gt;"",IO7&gt;=IR$24,IO7&lt;&gt;""),AND(JI7&gt;=JM$20,JI7&lt;&gt;"",JJ7&gt;=JM$24,JJ7&lt;&gt;""),AND(KD7&gt;=KH$20,KD7&lt;&gt;"",KE7&gt;=KH$24,KE7&lt;&gt;""),AND(KY7&gt;=LC$20,KY7&lt;&gt;"",KZ7&gt;=LC$24,KZ7&lt;&gt;""),AND(LT7&gt;=LX$20,LT7&lt;&gt;"",LU7&gt;=LX$24,LU7&lt;&gt;"")),"Worlds Team",IF(OR(AND(AH7&gt;=AL$19,AH7&lt;&gt;"",AI7&gt;=AL$23,AI7&lt;&gt;"",AG7=""),AND(BD7&gt;=BH$19,BD7&lt;&gt;"",BE7&gt;=BH$23,BE7&lt;&gt;"",BC7=""),AND(BZ7&gt;=CD$19,BZ7&lt;&gt;"",CA7&gt;=CD$23,CA7&lt;&gt;"",BY7=""),AND(CW7&gt;=DA$19,CW7&lt;&gt;"",CX7&gt;=DA$23,CX7&lt;&gt;""),AND(DR7&gt;=DV$19,DR7&lt;&gt;"",DS7&gt;=DV$23,DS7&lt;&gt;""),AND(EM7&gt;=EQ$19,EM7&lt;&gt;"",EN7&gt;=EQ$23,EN7&lt;&gt;""),AND(FH7&gt;=FL$19,FH7&lt;&gt;"",FI7&gt;=FL$23,FI7&lt;&gt;""),AND(GC7&gt;=GG$19,GC7&lt;&gt;"",GD7&gt;=GG$23,GD7&lt;&gt;""),AND(GX7&gt;=HB$19,GX7&lt;&gt;"",GY7&gt;=HB$23,GY7&lt;&gt;""),AND(HS7&gt;=HW$19,HS7&lt;&gt;"",HT7&gt;=HW$23,HT7&lt;&gt;""),AND(IN7&gt;=IR$19,IN7&lt;&gt;"",IO7&gt;=IR$23,IO7&lt;&gt;""),AND(JI7&gt;=JM$19,JI7&lt;&gt;"",JJ7&gt;=JM$23,JJ7&lt;&gt;""),AND(KD7&gt;=KH$19,KD7&lt;&gt;"",KE7&gt;=KH$23,KE7&lt;&gt;""),AND(KY7&gt;=LC$19,KY7&lt;&gt;"",KZ7&gt;=LC$23,KZ7&lt;&gt;""),AND(LT7&gt;=LX$19,LT7&lt;&gt;"",LU7&gt;=LX$23,LU7&lt;&gt;"")),"National Team","")))))</f>
        <v>National Team</v>
      </c>
      <c r="I7" s="3" t="str">
        <f>IF(OR(H7="Worlds Team",H7="Excellence",H7="Merit"),"P","")</f>
        <v/>
      </c>
      <c r="J7" s="14">
        <f>MAX(AI7,BE7,CA7)</f>
        <v>66.900000000000006</v>
      </c>
      <c r="K7" s="14" t="str">
        <f>IF(J7=0,"",IF(J7=CA7,$BI$1,IF(J7=BE7,$AM$1,IF(J7=AI7,$Q$1,""))))</f>
        <v>2021 2nd Virtual Technical Trial</v>
      </c>
      <c r="L7" s="14">
        <f>IF(J7=AI7,MAX(BH7,CD7),IF(J7=BE7,MAX(AL7,CD7),MAX(AL7,BH7)))</f>
        <v>94.1</v>
      </c>
      <c r="M7" s="14" t="str">
        <f>IF(L7=0,"",IF(AND(J7&lt;&gt;CA7,L7=CD7),$BI$1,IF(AND(J7&lt;&gt;BE7,L7=BH7),$AM$1,IF(L7=AL7,$Q$1,""))))</f>
        <v>2021 Elite Canada</v>
      </c>
      <c r="N7" s="14" t="str">
        <f>IF(MAX(CE7:CF7)&gt;0,MAX(CE7:CF7),"")</f>
        <v/>
      </c>
      <c r="O7" s="25" t="str">
        <f>IF(N7="","",IF(N7=CE7,"(Prelim)",IF(N7=CF7,"(4 Pass)")))</f>
        <v/>
      </c>
      <c r="P7" s="14" t="str">
        <f>IF(N7="","",IF(N7=CE7,IF(N7+IF(J7="",0,J7)=CX7,$CG$1,IF(N7+IF(J7="",0,J7)=DS7,$DB$1,IF(N7+IF(J7="",0,J7)=EN7,$DW$1,IF(N7+IF(J7="",0,J7)=FI7,$ER$1,IF(N7+IF(J7="",0,J7)=GD7,$FM$1,IF(N7+IF(J7="",0,J7)=GY7,$GH$1,IF(N7+IF(J7="",0,J7)=HT7,$HC$1,IF(N7+IF(J7="",0,J7)=IO7,$HX$1,IF(N7+IF(J7="",0,J7)=JJ7,$IS$1,IF(N7+IF(J7="",0,J7)=KE7,$JN$1,IF(N7+IF(J7="",0,J7)=KZ7,$KI$1,IF(N7+IF(J7="",0,J7)=LU7,$LD$1)))))))))))),IF(N7=CF7,IF(N7+IF(L7="",0,L7)=DA7,$CG$1,IF(N7+IF(L7="",0,L7)=DV7,$DB$1,IF(N7+IF(L7="",0,L7)=EQ7,$DW$1,IF(N7+IF(L7="",0,L7)=FL7,$ER$1,IF(N7+IF(L7="",0,L7)=GG7,$FM$1,IF(N7+IF(L7="",0,L7)=HB7,$GH$1,IF(N7+IF(L7="",0,L7)=HW7,$HC$1,IF(N7+IF(L7="",0,L7)=IR7,$HX$1,IF(N7+IF(L7="",0,L7)=JM7,$IS$1,IF(N7+IF(L7="",0,L7)=KH7,$JN$1,IF(N7+IF(L7="",0,L7)=LC7,$KI$1,IF(N7+IF(L7="",0,L7)=LX7,$LD$1)))))))))))))))</f>
        <v/>
      </c>
      <c r="Q7" s="69">
        <v>28.1</v>
      </c>
      <c r="R7" s="69">
        <v>5.6</v>
      </c>
      <c r="S7" s="69">
        <v>0</v>
      </c>
      <c r="T7" s="69">
        <v>0</v>
      </c>
      <c r="U7" s="69">
        <v>27.5</v>
      </c>
      <c r="V7" s="69">
        <v>6</v>
      </c>
      <c r="W7" s="69">
        <v>0.3</v>
      </c>
      <c r="X7" s="69">
        <v>0</v>
      </c>
      <c r="Y7" s="69">
        <v>27</v>
      </c>
      <c r="Z7" s="69">
        <v>5.6</v>
      </c>
      <c r="AA7" s="69">
        <v>0.9</v>
      </c>
      <c r="AB7" s="69">
        <v>0</v>
      </c>
      <c r="AC7" s="69">
        <v>26.5</v>
      </c>
      <c r="AD7" s="69">
        <v>4.4000000000000004</v>
      </c>
      <c r="AE7" s="69">
        <v>0</v>
      </c>
      <c r="AF7" s="69">
        <v>0</v>
      </c>
      <c r="AG7" s="80"/>
      <c r="AH7" s="11">
        <f>IF(SUM(R7,V7)&gt;0,SUM(R7,V7),"")</f>
        <v>11.6</v>
      </c>
      <c r="AI7" s="11">
        <f>IF(SUM(Q7:R7,T7:V7,X7)-SUM(S7,W7)&gt;0,SUM(Q7:R7,T7:V7,X7)-SUM(S7,W7),"")</f>
        <v>66.900000000000006</v>
      </c>
      <c r="AJ7" s="11">
        <f>IF(SUM(Z7,AD7)&gt;0,SUM(Z7,AD7),"")</f>
        <v>10</v>
      </c>
      <c r="AK7" s="11">
        <f>IF(SUM(Y7:Z7,AB7:AD7,AF7)-SUM(AA7,AE7)&gt;0,SUM(Y7:Z7,AB7:AD7,AF7)-SUM(AA7,AE7),"")</f>
        <v>62.6</v>
      </c>
      <c r="AL7" s="11">
        <f>IF(SUM(AI7,AK7)&gt;0,SUM(AI7,AK7),"")</f>
        <v>129.5</v>
      </c>
      <c r="AM7" s="38">
        <v>27.3</v>
      </c>
      <c r="AN7" s="38">
        <v>6</v>
      </c>
      <c r="AO7" s="38">
        <v>0.3</v>
      </c>
      <c r="AP7" s="38">
        <v>0</v>
      </c>
      <c r="AQ7" s="38">
        <v>27.1</v>
      </c>
      <c r="AR7" s="38">
        <v>3.6</v>
      </c>
      <c r="AS7" s="38">
        <v>1.7</v>
      </c>
      <c r="AT7" s="38">
        <v>0.3</v>
      </c>
      <c r="AU7" s="38">
        <v>27.7</v>
      </c>
      <c r="AV7" s="38">
        <v>4.4000000000000004</v>
      </c>
      <c r="AW7" s="38">
        <v>0.3</v>
      </c>
      <c r="AX7" s="38">
        <v>0</v>
      </c>
      <c r="AY7" s="38">
        <v>0</v>
      </c>
      <c r="AZ7" s="38">
        <v>0</v>
      </c>
      <c r="BA7" s="38">
        <v>0</v>
      </c>
      <c r="BB7" s="38">
        <v>0</v>
      </c>
      <c r="BC7" s="81"/>
      <c r="BD7" s="14">
        <f>IF(SUM(AN7,AR7)&gt;0,SUM(AN7,AR7),"")</f>
        <v>9.6</v>
      </c>
      <c r="BE7" s="14">
        <f>IF(SUM(AM7:AN7,AP7:AR7,AT7)-SUM(AO7,AS7)&gt;0,SUM(AM7:AN7,AP7:AR7,AT7)-SUM(AO7,AS7),"")</f>
        <v>62.3</v>
      </c>
      <c r="BF7" s="14">
        <f>IF(SUM(AV7,AZ7)&gt;0,SUM(AV7,AZ7),"")</f>
        <v>4.4000000000000004</v>
      </c>
      <c r="BG7" s="14">
        <f>IF(SUM(AU7:AV7,AX7:AZ7,BB7)-SUM(AW7,BA7)&gt;0,SUM(AU7:AV7,AX7:AZ7,BB7)-SUM(AW7,BA7),"")</f>
        <v>31.8</v>
      </c>
      <c r="BH7" s="14">
        <f>IF(SUM(BE7,BG7)&gt;0,SUM(BE7,BG7),"")</f>
        <v>94.1</v>
      </c>
      <c r="BI7" s="69">
        <v>27.9</v>
      </c>
      <c r="BJ7" s="69">
        <v>5.6</v>
      </c>
      <c r="BK7" s="69">
        <v>0</v>
      </c>
      <c r="BL7" s="69">
        <v>0</v>
      </c>
      <c r="BM7" s="69">
        <v>19.8</v>
      </c>
      <c r="BN7" s="69">
        <v>2.4</v>
      </c>
      <c r="BO7" s="69">
        <v>0</v>
      </c>
      <c r="BP7" s="69">
        <v>0</v>
      </c>
      <c r="BQ7" s="69"/>
      <c r="BR7" s="69"/>
      <c r="BS7" s="69"/>
      <c r="BT7" s="69"/>
      <c r="BU7" s="69"/>
      <c r="BV7" s="69"/>
      <c r="BW7" s="69"/>
      <c r="BX7" s="69"/>
      <c r="BY7" s="80"/>
      <c r="BZ7" s="11">
        <f>IF(SUM(BJ7,BN7)&gt;0,SUM(BJ7,BN7),"")</f>
        <v>8</v>
      </c>
      <c r="CA7" s="11">
        <f>IF(SUM(BI7:BJ7,BL7:BN7,BP7)-SUM(BK7,BO7)&gt;0,SUM(BI7:BJ7,BL7:BN7,BP7)-SUM(BK7,BO7),"")</f>
        <v>55.699999999999996</v>
      </c>
      <c r="CB7" s="11" t="str">
        <f>IF(SUM(BR7,BV7)&gt;0,SUM(BR7,BV7),"")</f>
        <v/>
      </c>
      <c r="CC7" s="11" t="str">
        <f>IF(SUM(BQ7:BR7,BT7:BV7,BX7)-SUM(BS7,BW7)&gt;0,SUM(BQ7:BR7,BT7:BV7,BX7)-SUM(BS7,BW7),"")</f>
        <v/>
      </c>
      <c r="CD7" s="11">
        <f>IF(SUM(CA7,CC7)&gt;0,SUM(CA7,CC7),"")</f>
        <v>55.699999999999996</v>
      </c>
      <c r="CE7" s="24" t="str">
        <f>IF(MAX(CX7,DS7,EN7,FI7,GD7,GY7,HT7,IO7,JJ7,KE7,KZ7,LU7)-IF(J7="",0,J7)&gt;0.001,MAX(CX7,DS7,EN7,FI7,GD7,GY7,HT7,IO7,JJ7,KE7,KZ7,LU7)-IF(J7="",0,J7),"")</f>
        <v/>
      </c>
      <c r="CF7" s="24" t="str">
        <f>IF(MAX(DA7,DV7,EQ7,FL7,GG7,HB7,HW7,IR7,JM7,KH7,LC7,LX7)-IF(L7="",0,L7)&gt;0.001,MAX(DA7,DV7,EQ7,FL7,GG7,HB7,HW7,IR7,JM7,KH7,LC7,LX7)-IF(L7="",0,L7),"")</f>
        <v/>
      </c>
      <c r="CG7" s="44"/>
      <c r="CH7" s="44"/>
      <c r="CI7" s="44"/>
      <c r="CJ7" s="44"/>
      <c r="CK7" s="44"/>
      <c r="CL7" s="44"/>
      <c r="CM7" s="44"/>
      <c r="CN7" s="44"/>
      <c r="CO7" s="44"/>
      <c r="CP7" s="44"/>
      <c r="CQ7" s="44"/>
      <c r="CR7" s="44"/>
      <c r="CS7" s="44"/>
      <c r="CT7" s="44"/>
      <c r="CU7" s="44"/>
      <c r="CV7" s="44"/>
      <c r="CW7" s="11" t="str">
        <f>IF(SUM(CH7,CL7)&gt;0,SUM(CH7,CL7),"")</f>
        <v/>
      </c>
      <c r="CX7" s="11" t="str">
        <f>IF(SUM(CG7:CH7,CJ7:CL7,CN7)-SUM(CI7,CM7)&gt;0,SUM(CG7:CH7,CJ7:CL7,CN7)-SUM(CI7,CM7),"")</f>
        <v/>
      </c>
      <c r="CY7" s="11" t="str">
        <f>IF(SUM(CP7,CT7)&gt;0,SUM(CP7,CT7),"")</f>
        <v/>
      </c>
      <c r="CZ7" s="11" t="str">
        <f>IF(SUM(CO7:CP7,CR7:CT7,CV7)-SUM(CQ7,CU7)&gt;0,SUM(CO7:CP7,CR7:CT7,CV7)-SUM(CQ7,CU7),"")</f>
        <v/>
      </c>
      <c r="DA7" s="11" t="str">
        <f>IF(SUM(CX7,CZ7)&gt;0,SUM(CX7,CZ7),"")</f>
        <v/>
      </c>
      <c r="DB7" s="43"/>
      <c r="DC7" s="43"/>
      <c r="DD7" s="43"/>
      <c r="DE7" s="43"/>
      <c r="DF7" s="43"/>
      <c r="DG7" s="43"/>
      <c r="DH7" s="43"/>
      <c r="DI7" s="43"/>
      <c r="DJ7" s="43"/>
      <c r="DK7" s="43"/>
      <c r="DL7" s="43"/>
      <c r="DM7" s="43"/>
      <c r="DN7" s="43"/>
      <c r="DO7" s="43"/>
      <c r="DP7" s="43"/>
      <c r="DQ7" s="43"/>
      <c r="DR7" s="14" t="str">
        <f>IF(SUM(DC7,DG7)&gt;0,SUM(DC7,DG7),"")</f>
        <v/>
      </c>
      <c r="DS7" s="14" t="str">
        <f>IF(SUM(DB7:DC7,DE7:DG7,DI7)-SUM(DD7,DH7)&gt;0,SUM(DB7:DC7,DE7:DG7,DI7)-SUM(DD7,DH7),"")</f>
        <v/>
      </c>
      <c r="DT7" s="14" t="str">
        <f>IF(SUM(DK7,DO7)&gt;0,SUM(DK7,DO7),"")</f>
        <v/>
      </c>
      <c r="DU7" s="14" t="str">
        <f>IF(SUM(DJ7:DK7,DM7:DO7,DQ7)-SUM(DL7,DP7)&gt;0,SUM(DJ7:DK7,DM7:DO7,DQ7)-SUM(DL7,DP7),"")</f>
        <v/>
      </c>
      <c r="DV7" s="14" t="str">
        <f>IF(SUM(DS7,DU7)&gt;0,SUM(DS7,DU7),"")</f>
        <v/>
      </c>
      <c r="DW7" s="44"/>
      <c r="DX7" s="44"/>
      <c r="DY7" s="44"/>
      <c r="DZ7" s="44"/>
      <c r="EA7" s="44"/>
      <c r="EB7" s="44"/>
      <c r="EC7" s="44"/>
      <c r="ED7" s="44"/>
      <c r="EE7" s="44"/>
      <c r="EF7" s="44"/>
      <c r="EG7" s="44"/>
      <c r="EH7" s="44"/>
      <c r="EI7" s="44"/>
      <c r="EJ7" s="44"/>
      <c r="EK7" s="44"/>
      <c r="EL7" s="44"/>
      <c r="EM7" s="11" t="str">
        <f>IF(SUM(DX7,EB7)&gt;0,SUM(DX7,EB7),"")</f>
        <v/>
      </c>
      <c r="EN7" s="11" t="str">
        <f>IF(SUM(DW7:DX7,DZ7:EB7,ED7)-SUM(DY7,EC7)&gt;0,SUM(DW7:DX7,DZ7:EB7,ED7)-SUM(DY7,EC7),"")</f>
        <v/>
      </c>
      <c r="EO7" s="11" t="str">
        <f>IF(SUM(EF7,EJ7)&gt;0,SUM(EF7,EJ7),"")</f>
        <v/>
      </c>
      <c r="EP7" s="11" t="str">
        <f>IF(SUM(EE7:EF7,EH7:EJ7,EL7)-SUM(EG7,EK7)&gt;0,SUM(EE7:EF7,EH7:EJ7,EL7)-SUM(EG7,EK7),"")</f>
        <v/>
      </c>
      <c r="EQ7" s="11" t="str">
        <f>IF(SUM(EN7,EP7)&gt;0,SUM(EN7,EP7),"")</f>
        <v/>
      </c>
      <c r="ER7" s="43"/>
      <c r="ES7" s="43"/>
      <c r="ET7" s="43"/>
      <c r="EU7" s="43"/>
      <c r="EV7" s="43"/>
      <c r="EW7" s="43"/>
      <c r="EX7" s="43"/>
      <c r="EY7" s="43"/>
      <c r="EZ7" s="43"/>
      <c r="FA7" s="43"/>
      <c r="FB7" s="43"/>
      <c r="FC7" s="43"/>
      <c r="FD7" s="43"/>
      <c r="FE7" s="43"/>
      <c r="FF7" s="43"/>
      <c r="FG7" s="43"/>
      <c r="FH7" s="14" t="str">
        <f>IF(SUM(ES7,EW7)&gt;0,SUM(ES7,EW7),"")</f>
        <v/>
      </c>
      <c r="FI7" s="14" t="str">
        <f>IF(SUM(ER7:ES7,EU7:EW7,EY7)-SUM(ET7,EX7)&gt;0,SUM(ER7:ES7,EU7:EW7,EY7)-SUM(ET7,EX7),"")</f>
        <v/>
      </c>
      <c r="FJ7" s="14" t="str">
        <f>IF(SUM(FA7,FE7)&gt;0,SUM(FA7,FE7),"")</f>
        <v/>
      </c>
      <c r="FK7" s="14" t="str">
        <f>IF(SUM(EZ7:FA7,FC7:FE7,FG7)-SUM(FB7,FF7)&gt;0,SUM(EZ7:FA7,FC7:FE7,FG7)-SUM(FB7,FF7),"")</f>
        <v/>
      </c>
      <c r="FL7" s="14" t="str">
        <f>IF(SUM(FI7,FK7)&gt;0,SUM(FI7,FK7),"")</f>
        <v/>
      </c>
      <c r="FM7" s="44"/>
      <c r="FN7" s="44"/>
      <c r="FO7" s="44"/>
      <c r="FP7" s="44"/>
      <c r="FQ7" s="44"/>
      <c r="FR7" s="44"/>
      <c r="FS7" s="44"/>
      <c r="FT7" s="44"/>
      <c r="FU7" s="44"/>
      <c r="FV7" s="44"/>
      <c r="FW7" s="44"/>
      <c r="FX7" s="44"/>
      <c r="FY7" s="44"/>
      <c r="FZ7" s="44"/>
      <c r="GA7" s="44"/>
      <c r="GB7" s="44"/>
      <c r="GC7" s="11" t="str">
        <f>IF(SUM(FN7,FR7)&gt;0,SUM(FN7,FR7),"")</f>
        <v/>
      </c>
      <c r="GD7" s="11" t="str">
        <f>IF(SUM(FM7:FN7,FP7:FR7,FT7)-SUM(FO7,FS7)&gt;0,SUM(FM7:FN7,FP7:FR7,FT7)-SUM(FO7,FS7),"")</f>
        <v/>
      </c>
      <c r="GE7" s="11" t="str">
        <f>IF(SUM(FV7,FZ7)&gt;0,SUM(FV7,FZ7),"")</f>
        <v/>
      </c>
      <c r="GF7" s="11" t="str">
        <f>IF(SUM(FU7:FV7,FX7:FZ7,GB7)-SUM(FW7,GA7)&gt;0,SUM(FU7:FV7,FX7:FZ7,GB7)-SUM(FW7,GA7),"")</f>
        <v/>
      </c>
      <c r="GG7" s="11" t="str">
        <f>IF(SUM(GD7,GF7)&gt;0,SUM(GD7,GF7),"")</f>
        <v/>
      </c>
      <c r="GH7" s="43"/>
      <c r="GI7" s="43"/>
      <c r="GJ7" s="43"/>
      <c r="GK7" s="43"/>
      <c r="GL7" s="43"/>
      <c r="GM7" s="43"/>
      <c r="GN7" s="43"/>
      <c r="GO7" s="43"/>
      <c r="GP7" s="43"/>
      <c r="GQ7" s="43"/>
      <c r="GR7" s="43"/>
      <c r="GS7" s="43"/>
      <c r="GT7" s="43"/>
      <c r="GU7" s="43"/>
      <c r="GV7" s="43"/>
      <c r="GW7" s="43"/>
      <c r="GX7" s="14" t="str">
        <f>IF(SUM(GI7,GM7)&gt;0,SUM(GI7,GM7),"")</f>
        <v/>
      </c>
      <c r="GY7" s="14" t="str">
        <f>IF(SUM(GH7:GI7,GK7:GM7,GO7)-SUM(GJ7,GN7)&gt;0,SUM(GH7:GI7,GK7:GM7,GO7)-SUM(GJ7,GN7),"")</f>
        <v/>
      </c>
      <c r="GZ7" s="14" t="str">
        <f>IF(SUM(GQ7,GU7)&gt;0,SUM(GQ7,GU7),"")</f>
        <v/>
      </c>
      <c r="HA7" s="14" t="str">
        <f>IF(SUM(GP7:GQ7,GS7:GU7,GW7)-SUM(GR7,GV7)&gt;0,SUM(GP7:GQ7,GS7:GU7,GW7)-SUM(GR7,GV7),"")</f>
        <v/>
      </c>
      <c r="HB7" s="14" t="str">
        <f>IF(SUM(GY7,HA7)&gt;0,SUM(GY7,HA7),"")</f>
        <v/>
      </c>
      <c r="HC7" s="44"/>
      <c r="HD7" s="44"/>
      <c r="HE7" s="44"/>
      <c r="HF7" s="44"/>
      <c r="HG7" s="44"/>
      <c r="HH7" s="44"/>
      <c r="HI7" s="44"/>
      <c r="HJ7" s="44"/>
      <c r="HK7" s="44"/>
      <c r="HL7" s="44"/>
      <c r="HM7" s="44"/>
      <c r="HN7" s="44"/>
      <c r="HO7" s="44"/>
      <c r="HP7" s="44"/>
      <c r="HQ7" s="44"/>
      <c r="HR7" s="44"/>
      <c r="HS7" s="11" t="str">
        <f>IF(SUM(HD7,HH7)&gt;0,SUM(HD7,HH7),"")</f>
        <v/>
      </c>
      <c r="HT7" s="11" t="str">
        <f>IF(SUM(HC7:HD7,HF7:HH7,HJ7)-SUM(HE7,HI7)&gt;0,SUM(HC7:HD7,HF7:HH7,HJ7)-SUM(HE7,HI7),"")</f>
        <v/>
      </c>
      <c r="HU7" s="11" t="str">
        <f>IF(SUM(HL7,HP7)&gt;0,SUM(HL7,HP7),"")</f>
        <v/>
      </c>
      <c r="HV7" s="11" t="str">
        <f>IF(SUM(HK7:HL7,HN7:HP7,HR7)-SUM(HM7,HQ7)&gt;0,SUM(HK7:HL7,HN7:HP7,HR7)-SUM(HM7,HQ7),"")</f>
        <v/>
      </c>
      <c r="HW7" s="11" t="str">
        <f>IF(SUM(HT7,HV7)&gt;0,SUM(HT7,HV7),"")</f>
        <v/>
      </c>
      <c r="HX7" s="43"/>
      <c r="HY7" s="43"/>
      <c r="HZ7" s="43"/>
      <c r="IA7" s="43"/>
      <c r="IB7" s="43"/>
      <c r="IC7" s="43"/>
      <c r="ID7" s="43"/>
      <c r="IE7" s="43"/>
      <c r="IF7" s="43"/>
      <c r="IG7" s="43"/>
      <c r="IH7" s="43"/>
      <c r="II7" s="43"/>
      <c r="IJ7" s="43"/>
      <c r="IK7" s="43"/>
      <c r="IL7" s="43"/>
      <c r="IM7" s="43"/>
      <c r="IN7" s="14" t="str">
        <f>IF(SUM(HY7,IC7)&gt;0,SUM(HY7,IC7),"")</f>
        <v/>
      </c>
      <c r="IO7" s="14" t="str">
        <f>IF(SUM(HX7:HY7,IA7:IC7,IE7)-SUM(HZ7,ID7)&gt;0,SUM(HX7:HY7,IA7:IC7,IE7)-SUM(HZ7,ID7),"")</f>
        <v/>
      </c>
      <c r="IP7" s="14" t="str">
        <f>IF(SUM(IG7,IK7)&gt;0,SUM(IG7,IK7),"")</f>
        <v/>
      </c>
      <c r="IQ7" s="14" t="str">
        <f>IF(SUM(IF7:IG7,II7:IK7,IM7)-SUM(IH7,IL7)&gt;0,SUM(IF7:IG7,II7:IK7,IM7)-SUM(IH7,IL7),"")</f>
        <v/>
      </c>
      <c r="IR7" s="14" t="str">
        <f>IF(SUM(IO7,IQ7)&gt;0,SUM(IO7,IQ7),"")</f>
        <v/>
      </c>
      <c r="IS7" s="44"/>
      <c r="IT7" s="44"/>
      <c r="IU7" s="44"/>
      <c r="IV7" s="44"/>
      <c r="IW7" s="44"/>
      <c r="IX7" s="44"/>
      <c r="IY7" s="44"/>
      <c r="IZ7" s="44"/>
      <c r="JA7" s="44"/>
      <c r="JB7" s="44"/>
      <c r="JC7" s="44"/>
      <c r="JD7" s="44"/>
      <c r="JE7" s="44"/>
      <c r="JF7" s="44"/>
      <c r="JG7" s="44"/>
      <c r="JH7" s="44"/>
      <c r="JI7" s="11" t="str">
        <f>IF(SUM(IT7,IX7)&gt;0,SUM(IT7,IX7),"")</f>
        <v/>
      </c>
      <c r="JJ7" s="11" t="str">
        <f>IF(SUM(IS7:IT7,IV7:IX7,IZ7)-SUM(IU7,IY7)&gt;0,SUM(IS7:IT7,IV7:IX7,IZ7)-SUM(IU7,IY7),"")</f>
        <v/>
      </c>
      <c r="JK7" s="11" t="str">
        <f>IF(SUM(JB7,JF7)&gt;0,SUM(JB7,JF7),"")</f>
        <v/>
      </c>
      <c r="JL7" s="11" t="str">
        <f>IF(SUM(JA7:JB7,JD7:JF7,JH7)-SUM(JC7,JG7)&gt;0,SUM(JA7:JB7,JD7:JF7,JH7)-SUM(JC7,JG7),"")</f>
        <v/>
      </c>
      <c r="JM7" s="11" t="str">
        <f>IF(SUM(JJ7,JL7)&gt;0,SUM(JJ7,JL7),"")</f>
        <v/>
      </c>
      <c r="JN7" s="43"/>
      <c r="JO7" s="43"/>
      <c r="JP7" s="43"/>
      <c r="JQ7" s="43"/>
      <c r="JR7" s="43"/>
      <c r="JS7" s="43"/>
      <c r="JT7" s="43"/>
      <c r="JU7" s="43"/>
      <c r="JV7" s="43"/>
      <c r="JW7" s="43"/>
      <c r="JX7" s="43"/>
      <c r="JY7" s="43"/>
      <c r="JZ7" s="43"/>
      <c r="KA7" s="43"/>
      <c r="KB7" s="43"/>
      <c r="KC7" s="43"/>
      <c r="KD7" s="14" t="str">
        <f>IF(SUM(JO7,JS7)&gt;0,SUM(JO7,JS7),"")</f>
        <v/>
      </c>
      <c r="KE7" s="14" t="str">
        <f>IF(SUM(JN7:JO7,JQ7:JS7,JU7)-SUM(JP7,JT7)&gt;0,SUM(JN7:JO7,JQ7:JS7,JU7)-SUM(JP7,JT7),"")</f>
        <v/>
      </c>
      <c r="KF7" s="14" t="str">
        <f>IF(SUM(JW7,KA7)&gt;0,SUM(JW7,KA7),"")</f>
        <v/>
      </c>
      <c r="KG7" s="14" t="str">
        <f>IF(SUM(JV7:JW7,JY7:KA7,KC7)-SUM(JX7,KB7)&gt;0,SUM(JV7:JW7,JY7:KA7,KC7)-SUM(JX7,KB7),"")</f>
        <v/>
      </c>
      <c r="KH7" s="14" t="str">
        <f>IF(SUM(KE7,KG7)&gt;0,SUM(KE7,KG7),"")</f>
        <v/>
      </c>
      <c r="KI7" s="44"/>
      <c r="KJ7" s="44"/>
      <c r="KK7" s="44"/>
      <c r="KL7" s="44"/>
      <c r="KM7" s="44"/>
      <c r="KN7" s="44"/>
      <c r="KO7" s="44"/>
      <c r="KP7" s="44"/>
      <c r="KQ7" s="44"/>
      <c r="KR7" s="44"/>
      <c r="KS7" s="44"/>
      <c r="KT7" s="44"/>
      <c r="KU7" s="44"/>
      <c r="KV7" s="44"/>
      <c r="KW7" s="44"/>
      <c r="KX7" s="44"/>
      <c r="KY7" s="11" t="str">
        <f>IF(SUM(KJ7,KN7)&gt;0,SUM(KJ7,KN7),"")</f>
        <v/>
      </c>
      <c r="KZ7" s="11" t="str">
        <f>IF(SUM(KI7:KJ7,KL7:KN7,KP7)-SUM(KK7,KO7)&gt;0,SUM(KI7:KJ7,KL7:KN7,KP7)-SUM(KK7,KO7),"")</f>
        <v/>
      </c>
      <c r="LA7" s="11" t="str">
        <f>IF(SUM(KR7,KV7)&gt;0,SUM(KR7,KV7),"")</f>
        <v/>
      </c>
      <c r="LB7" s="11" t="str">
        <f>IF(SUM(KQ7:KR7,KT7:KV7,KX7)-SUM(KS7,KW7)&gt;0,SUM(KQ7:KR7,KT7:KV7,KX7)-SUM(KS7,KW7),"")</f>
        <v/>
      </c>
      <c r="LC7" s="11" t="str">
        <f>IF(SUM(KZ7,LB7)&gt;0,SUM(KZ7,LB7),"")</f>
        <v/>
      </c>
      <c r="LD7" s="43"/>
      <c r="LE7" s="43"/>
      <c r="LF7" s="43"/>
      <c r="LG7" s="43"/>
      <c r="LH7" s="43"/>
      <c r="LI7" s="43"/>
      <c r="LJ7" s="43"/>
      <c r="LK7" s="43"/>
      <c r="LL7" s="43"/>
      <c r="LM7" s="43"/>
      <c r="LN7" s="43"/>
      <c r="LO7" s="43"/>
      <c r="LP7" s="43"/>
      <c r="LQ7" s="43"/>
      <c r="LR7" s="43"/>
      <c r="LS7" s="43"/>
      <c r="LT7" s="14" t="str">
        <f>IF(SUM(LE7,LI7)&gt;0,SUM(LE7,LI7),"")</f>
        <v/>
      </c>
      <c r="LU7" s="14" t="str">
        <f>IF(SUM(LD7:LE7,LG7:LI7,LK7)-SUM(LF7,LJ7)&gt;0,SUM(LD7:LE7,LG7:LI7,LK7)-SUM(LF7,LJ7),"")</f>
        <v/>
      </c>
      <c r="LV7" s="14" t="str">
        <f>IF(SUM(LM7,LQ7)&gt;0,SUM(LM7,LQ7),"")</f>
        <v/>
      </c>
      <c r="LW7" s="14" t="str">
        <f>IF(SUM(LL7:LM7,LO7:LQ7,LS7)-SUM(LN7,LR7)&gt;0,SUM(LL7:LM7,LO7:LQ7,LS7)-SUM(LN7,LR7),"")</f>
        <v/>
      </c>
      <c r="LX7" s="14" t="str">
        <f>IF(SUM(LU7,LW7)&gt;0,SUM(LU7,LW7),"")</f>
        <v/>
      </c>
      <c r="LY7" s="69">
        <f>IF($BY7="P",BI7,(BI7+AM7)/2)</f>
        <v>27.6</v>
      </c>
      <c r="LZ7" s="69">
        <f>IF($BY7="P",BJ7,(BJ7+AN7)/2)</f>
        <v>5.8</v>
      </c>
      <c r="MA7" s="69">
        <f>IF($BY7="P",BK7,(BK7+AO7)/2)</f>
        <v>0.15</v>
      </c>
      <c r="MB7" s="69">
        <f>IF($BY7="P",BL7,(BL7+AP7)/2)</f>
        <v>0</v>
      </c>
      <c r="MC7" s="69">
        <f>IF($BY7="P",BM7,(BM7+AQ7)/2)</f>
        <v>23.450000000000003</v>
      </c>
      <c r="MD7" s="69">
        <f>IF($BY7="P",BN7,(BN7+AR7)/2)</f>
        <v>3</v>
      </c>
      <c r="ME7" s="69">
        <f>IF($BY7="P",BO7,(BO7+AS7)/2)</f>
        <v>0.85</v>
      </c>
      <c r="MF7" s="69">
        <f>IF($BY7="P",BP7,(BP7+AT7)/2)</f>
        <v>0.15</v>
      </c>
      <c r="MG7" s="69">
        <f>IF($BY7="P",BQ7,(BQ7+AU7)/2)</f>
        <v>13.85</v>
      </c>
      <c r="MH7" s="69">
        <f>IF($BY7="P",BR7,(BR7+AV7)/2)</f>
        <v>2.2000000000000002</v>
      </c>
      <c r="MI7" s="69">
        <f>IF($BY7="P",BS7,(BS7+AW7)/2)</f>
        <v>0.15</v>
      </c>
      <c r="MJ7" s="69">
        <f>IF($BY7="P",BT7,(BT7+AX7)/2)</f>
        <v>0</v>
      </c>
      <c r="MK7" s="69">
        <f>IF($BY7="P",BU7,(BU7+AY7)/2)</f>
        <v>0</v>
      </c>
      <c r="ML7" s="69">
        <f>IF($BY7="P",BV7,(BV7+AZ7)/2)</f>
        <v>0</v>
      </c>
      <c r="MM7" s="69">
        <f>IF($BY7="P",BW7,(BW7+BA7)/2)</f>
        <v>0</v>
      </c>
      <c r="MN7" s="69">
        <f>IF($BY7="P",BX7,(BX7+BB7)/2)</f>
        <v>0</v>
      </c>
      <c r="MO7" s="80" t="s">
        <v>74</v>
      </c>
      <c r="MP7" s="11">
        <f>IF(SUM(LZ7,MD7)&gt;0,SUM(LZ7,MD7),"")</f>
        <v>8.8000000000000007</v>
      </c>
      <c r="MQ7" s="11">
        <f>IF(SUM(LY7:LZ7,MB7:MD7,MF7)-SUM(MA7,ME7)&gt;0,SUM(LY7:LZ7,MB7:MD7,MF7)-SUM(MA7,ME7),"")</f>
        <v>59</v>
      </c>
      <c r="MR7" s="11">
        <f>IF(SUM(MH7,ML7)&gt;0,SUM(MH7,ML7),"")</f>
        <v>2.2000000000000002</v>
      </c>
      <c r="MS7" s="11">
        <f>IF(SUM(MG7:MH7,MJ7:ML7,MN7)-SUM(MI7,MM7)&gt;0,SUM(MG7:MH7,MJ7:ML7,MN7)-SUM(MI7,MM7),"")</f>
        <v>15.9</v>
      </c>
      <c r="MT7" s="11">
        <f>IF(SUM(MQ7,MS7)&gt;0,SUM(MQ7,MS7),"")</f>
        <v>74.900000000000006</v>
      </c>
    </row>
    <row r="8" spans="1:358" x14ac:dyDescent="0.2">
      <c r="A8" s="5">
        <f>IF(AND(F8="P",G8="P"),SUMPRODUCT((F$4:F$17="P")*(G$4:G$17="P")*(E$4:E$17&gt;E8))+1,IF(G8="P",SUMPRODUCT((F$4:F$17="")*(G$4:G$17="P")*(E$4:E$17&gt;E8))+1+SUMPRODUCT((F$4:F$17="P")*(G$4:G$17="P")),""))</f>
        <v>5</v>
      </c>
      <c r="B8" s="8" t="s">
        <v>36</v>
      </c>
      <c r="C8" s="4" t="s">
        <v>9</v>
      </c>
      <c r="D8" s="5">
        <v>1998</v>
      </c>
      <c r="E8" s="15">
        <f>SUM(J8:N8)</f>
        <v>66.800000000000011</v>
      </c>
      <c r="F8" s="3" t="str">
        <f>IF(OR(AND(AH8&gt;=AL$19,AI8&gt;=AL$23,AI8&lt;&gt;"",AG8=""),AND(BD8&gt;=BH$19,BE8&gt;=BH$23,BE8&lt;&gt;"",BC8=""),AND(BZ8&gt;=CD$19,CA8&gt;=CD$23,CA8&lt;&gt;"",BY8=""),AND(CW8&gt;=DA$19,CX8&gt;=DA$23,CX8&lt;&gt;""),AND(DR8&gt;=DV$19,DS8&gt;=DV$23,DS8&lt;&gt;""),AND(EM8&gt;=EQ$19,EN8&gt;=EQ$23,EN8&lt;&gt;""),AND(FH8&gt;=FL$19,FI8&gt;=FL$23,FI8&lt;&gt;""),AND(GC8&gt;=GG$19,GD8&gt;=GG$23,GD8&lt;&gt;""),AND(GX8&gt;=HB$19,GY8&gt;=HB$23,GY8&lt;&gt;""),AND(HS8&gt;=HW$19,HT8&gt;=HW$23,HT8&lt;&gt;""),AND(IN8&gt;=IR$19,IO8&gt;=IR$23,IO8&lt;&gt;""),AND(JI8&gt;=JM$19,JJ8&gt;=JM$23,JJ8&lt;&gt;""),AND(KD8&gt;=KH$19,KE8&gt;=KH$23,KE8&lt;&gt;""),AND(KY8&gt;=LC$19,KZ8&gt;=LC$23,KZ8&lt;&gt;""),AND(LT8&gt;=LX$19,LU8&gt;=LX$23,LU8&lt;&gt;"")),"P","")</f>
        <v>P</v>
      </c>
      <c r="G8" s="3" t="str">
        <f>IF(OR(AND(AI8&gt;=AL$23,AI8&lt;&gt;"",AG8=""),AND(BE8&gt;=BH$23,BE8&lt;&gt;"",BC8=""),AND(CA8&gt;=CD$23,CA8&lt;&gt;"",BY8=""),AND(CX8&gt;=DA$23,CX8&lt;&gt;""),AND(DS8&gt;=DV$23,DS8&lt;&gt;""),AND(EN8&gt;=EQ$23,EN8&lt;&gt;""),AND(FI8&gt;=FL$23,FI8&lt;&gt;""),AND(GD8&gt;=GG$23,GD8&lt;&gt;""),AND(GY8&gt;=HB$23,GY8&lt;&gt;""),AND(HT8&gt;=HW$23,HT8&lt;&gt;""),AND(IO8&gt;=IR$23,IO8&lt;&gt;""),AND(JJ8&gt;=JM$23,JJ8&lt;&gt;""),AND(KE8&gt;=KH$23,KE8&lt;&gt;""),AND(KZ8&gt;=LC$23,KZ8&lt;&gt;""),AND(LU8&gt;=LX$23,LU8&lt;&gt;"")),"P","")</f>
        <v>P</v>
      </c>
      <c r="H8" s="126" t="str">
        <f>IF(AND(G8="P",F8=""),"No DD",IF(OR(AND(AH8&gt;=AL$22,AH8&lt;&gt;"",AI8&gt;=AL$26,AI8&lt;&gt;"",AG8=""),AND(BD8&gt;=BH$22,BD8&lt;&gt;"",BE8&gt;=BH$26,BE8&lt;&gt;"",BC8=""),AND(BZ8&gt;=CD$22,BZ8&lt;&gt;"",CA8&gt;=CD$26,CA8&lt;&gt;"",BY8=""),AND(CW8&gt;=DA$22,CW8&lt;&gt;"",CX8&gt;=DA$26,CX8&lt;&gt;""),AND(DR8&gt;=DV$22,DR8&lt;&gt;"",DS8&gt;=DV$26,DS8&lt;&gt;""),AND(EM8&gt;=EQ$22,EM8&lt;&gt;"",EN8&gt;=EQ$26,EN8&lt;&gt;""),AND(FH8&gt;=FL$22,FH8&lt;&gt;"",FI8&gt;=FL$26,FI8&lt;&gt;""),AND(GC8&gt;=GG$22,GC8&lt;&gt;"",GD8&gt;=GG$26,GD8&lt;&gt;""),AND(GX8&gt;=HB$22,GX8&lt;&gt;"",GY8&gt;=HB$26,GY8&lt;&gt;""),AND(HS8&gt;=HW$22,HS8&lt;&gt;"",HT8&gt;=HW$26,HT8&lt;&gt;""),AND(IN8&gt;=IR$22,IN8&lt;&gt;"",IO8&gt;=IR$26,IO8&lt;&gt;""),AND(JI8&gt;=JM$22,JI8&lt;&gt;"",JJ8&gt;=JM$26,JJ8&lt;&gt;""),AND(KD8&gt;=KH$22,KD8&lt;&gt;"",KE8&gt;=KH$26,KE8&lt;&gt;""),AND(KY8&gt;=LC$22,KY8&lt;&gt;"",KZ8&gt;=LC$26,KZ8&lt;&gt;""),AND(LT8&gt;=LX$22,LT8&lt;&gt;"",LU8&gt;=LX$26,LU8&lt;&gt;"")),"Merit",IF(OR(AND(AH8&gt;=AL$21,AH8&lt;&gt;"",AI8&gt;=AL$25,AI8&lt;&gt;"",AG8=""),AND(BD8&gt;=BH$21,BD8&lt;&gt;"",BE8&gt;=BH$25,BE8&lt;&gt;"",BC8=""),AND(BZ8&gt;=CD$21,BZ8&lt;&gt;"",CA8&gt;=CD$25,CA8&lt;&gt;"",BY8=""),AND(CW8&gt;=DA$21,CW8&lt;&gt;"",CX8&gt;=DA$25,CX8&lt;&gt;""),AND(DR8&gt;=DV$21,DR8&lt;&gt;"",DS8&gt;=DV$25,DS8&lt;&gt;""),AND(EM8&gt;=EQ$21,EM8&lt;&gt;"",EN8&gt;=EQ$25,EN8&lt;&gt;""),AND(FH8&gt;=FL$21,FH8&lt;&gt;"",FI8&gt;=FL$25,FI8&lt;&gt;""),AND(GC8&gt;=GG$21,GC8&lt;&gt;"",GD8&gt;=GG$25,GD8&lt;&gt;""),AND(GX8&gt;=HB$21,GX8&lt;&gt;"",GY8&gt;=HB$25,GY8&lt;&gt;""),AND(HS8&gt;=HW$21,HS8&lt;&gt;"",HT8&gt;=HW$25,HT8&lt;&gt;""),AND(IN8&gt;=IR$21,IN8&lt;&gt;"",IO8&gt;=IR$25,IO8&lt;&gt;""),AND(JI8&gt;=JM$21,JI8&lt;&gt;"",JJ8&gt;=JM$25,JJ8&lt;&gt;""),AND(KD8&gt;=KH$21,KD8&lt;&gt;"",KE8&gt;=KH$25,KE8&lt;&gt;""),AND(KY8&gt;=LC$21,KY8&lt;&gt;"",KZ8&gt;=LC$25,KZ8&lt;&gt;""),AND(LT8&gt;=LX$21,LT8&lt;&gt;"",LU8&gt;=LX$25,LU8&lt;&gt;"")),"Excellence",IF(OR(AND(AH8&gt;=AL$20,AH8&lt;&gt;"",AI8&gt;=AL$24,AI8&lt;&gt;"",AG8=""),AND(BD8&gt;=BH$20,BD8&lt;&gt;"",BE8&gt;=BH$24,BE8&lt;&gt;"",BC8=""),AND(BZ8&gt;=CD$20,BZ8&lt;&gt;"",CA8&gt;=CD$24,CA8&lt;&gt;"",BY8=""),AND(CW8&gt;=DA$20,CW8&lt;&gt;"",CX8&gt;=DA$24,CX8&lt;&gt;""),AND(DR8&gt;=DV$20,DR8&lt;&gt;"",DS8&gt;=DV$24,DS8&lt;&gt;""),AND(EM8&gt;=EQ$20,EM8&lt;&gt;"",EN8&gt;=EQ$24,EN8&lt;&gt;""),AND(FH8&gt;=FL$20,FH8&lt;&gt;"",FI8&gt;=FL$24,FI8&lt;&gt;""),AND(GC8&gt;=GG$20,GC8&lt;&gt;"",GD8&gt;=GG$24,GD8&lt;&gt;""),AND(GX8&gt;=HB$20,GX8&lt;&gt;"",GY8&gt;=HB$24,GY8&lt;&gt;""),AND(HS8&gt;=HW$20,HS8&lt;&gt;"",HT8&gt;=HW$24,HT8&lt;&gt;""),AND(IN8&gt;=IR$20,IN8&lt;&gt;"",IO8&gt;=IR$24,IO8&lt;&gt;""),AND(JI8&gt;=JM$20,JI8&lt;&gt;"",JJ8&gt;=JM$24,JJ8&lt;&gt;""),AND(KD8&gt;=KH$20,KD8&lt;&gt;"",KE8&gt;=KH$24,KE8&lt;&gt;""),AND(KY8&gt;=LC$20,KY8&lt;&gt;"",KZ8&gt;=LC$24,KZ8&lt;&gt;""),AND(LT8&gt;=LX$20,LT8&lt;&gt;"",LU8&gt;=LX$24,LU8&lt;&gt;"")),"Worlds Team",IF(OR(AND(AH8&gt;=AL$19,AH8&lt;&gt;"",AI8&gt;=AL$23,AI8&lt;&gt;"",AG8=""),AND(BD8&gt;=BH$19,BD8&lt;&gt;"",BE8&gt;=BH$23,BE8&lt;&gt;"",BC8=""),AND(BZ8&gt;=CD$19,BZ8&lt;&gt;"",CA8&gt;=CD$23,CA8&lt;&gt;"",BY8=""),AND(CW8&gt;=DA$19,CW8&lt;&gt;"",CX8&gt;=DA$23,CX8&lt;&gt;""),AND(DR8&gt;=DV$19,DR8&lt;&gt;"",DS8&gt;=DV$23,DS8&lt;&gt;""),AND(EM8&gt;=EQ$19,EM8&lt;&gt;"",EN8&gt;=EQ$23,EN8&lt;&gt;""),AND(FH8&gt;=FL$19,FH8&lt;&gt;"",FI8&gt;=FL$23,FI8&lt;&gt;""),AND(GC8&gt;=GG$19,GC8&lt;&gt;"",GD8&gt;=GG$23,GD8&lt;&gt;""),AND(GX8&gt;=HB$19,GX8&lt;&gt;"",GY8&gt;=HB$23,GY8&lt;&gt;""),AND(HS8&gt;=HW$19,HS8&lt;&gt;"",HT8&gt;=HW$23,HT8&lt;&gt;""),AND(IN8&gt;=IR$19,IN8&lt;&gt;"",IO8&gt;=IR$23,IO8&lt;&gt;""),AND(JI8&gt;=JM$19,JI8&lt;&gt;"",JJ8&gt;=JM$23,JJ8&lt;&gt;""),AND(KD8&gt;=KH$19,KD8&lt;&gt;"",KE8&gt;=KH$23,KE8&lt;&gt;""),AND(KY8&gt;=LC$19,KY8&lt;&gt;"",KZ8&gt;=LC$23,KZ8&lt;&gt;""),AND(LT8&gt;=LX$19,LT8&lt;&gt;"",LU8&gt;=LX$23,LU8&lt;&gt;"")),"National Team","")))))</f>
        <v>National Team</v>
      </c>
      <c r="I8" s="3" t="str">
        <f>IF(OR(H8="Worlds Team",H8="Excellence",H8="Merit"),"P","")</f>
        <v/>
      </c>
      <c r="J8" s="14">
        <f>MAX(AI8,BE8,CA8)</f>
        <v>66.800000000000011</v>
      </c>
      <c r="K8" s="14" t="str">
        <f>IF(J8=0,"",IF(J8=CA8,$BI$1,IF(J8=BE8,$AM$1,IF(J8=AI8,$Q$1,""))))</f>
        <v>2021 Elite Canada</v>
      </c>
      <c r="L8" s="14">
        <f>IF(J8=AI8,MAX(BH8,CD8),IF(J8=BE8,MAX(AL8,CD8),MAX(AL8,BH8)))</f>
        <v>0</v>
      </c>
      <c r="M8" s="14" t="str">
        <f>IF(L8=0,"",IF(AND(J8&lt;&gt;CA8,L8=CD8),$BI$1,IF(AND(J8&lt;&gt;BE8,L8=BH8),$AM$1,IF(L8=AL8,$Q$1,""))))</f>
        <v/>
      </c>
      <c r="N8" s="14" t="str">
        <f>IF(MAX(CE8:CF8)&gt;0,MAX(CE8:CF8),"")</f>
        <v/>
      </c>
      <c r="O8" s="25" t="str">
        <f>IF(N8="","",IF(N8=CE8,"(Prelim)",IF(N8=CF8,"(4 Pass)")))</f>
        <v/>
      </c>
      <c r="P8" s="14" t="str">
        <f>IF(N8="","",IF(N8=CE8,IF(N8+IF(J8="",0,J8)=CX8,$CG$1,IF(N8+IF(J8="",0,J8)=DS8,$DB$1,IF(N8+IF(J8="",0,J8)=EN8,$DW$1,IF(N8+IF(J8="",0,J8)=FI8,$ER$1,IF(N8+IF(J8="",0,J8)=GD8,$FM$1,IF(N8+IF(J8="",0,J8)=GY8,$GH$1,IF(N8+IF(J8="",0,J8)=HT8,$HC$1,IF(N8+IF(J8="",0,J8)=IO8,$HX$1,IF(N8+IF(J8="",0,J8)=JJ8,$IS$1,IF(N8+IF(J8="",0,J8)=KE8,$JN$1,IF(N8+IF(J8="",0,J8)=KZ8,$KI$1,IF(N8+IF(J8="",0,J8)=LU8,$LD$1)))))))))))),IF(N8=CF8,IF(N8+IF(L8="",0,L8)=DA8,$CG$1,IF(N8+IF(L8="",0,L8)=DV8,$DB$1,IF(N8+IF(L8="",0,L8)=EQ8,$DW$1,IF(N8+IF(L8="",0,L8)=FL8,$ER$1,IF(N8+IF(L8="",0,L8)=GG8,$FM$1,IF(N8+IF(L8="",0,L8)=HB8,$GH$1,IF(N8+IF(L8="",0,L8)=HW8,$HC$1,IF(N8+IF(L8="",0,L8)=IR8,$HX$1,IF(N8+IF(L8="",0,L8)=JM8,$IS$1,IF(N8+IF(L8="",0,L8)=KH8,$JN$1,IF(N8+IF(L8="",0,L8)=LC8,$KI$1,IF(N8+IF(L8="",0,L8)=LX8,$LD$1)))))))))))))))</f>
        <v/>
      </c>
      <c r="Q8" s="69"/>
      <c r="R8" s="69"/>
      <c r="S8" s="69"/>
      <c r="T8" s="69"/>
      <c r="U8" s="69"/>
      <c r="V8" s="69"/>
      <c r="W8" s="69"/>
      <c r="X8" s="69"/>
      <c r="Y8" s="69"/>
      <c r="Z8" s="69"/>
      <c r="AA8" s="69"/>
      <c r="AB8" s="69"/>
      <c r="AC8" s="69"/>
      <c r="AD8" s="69"/>
      <c r="AE8" s="69"/>
      <c r="AF8" s="69"/>
      <c r="AG8" s="80"/>
      <c r="AH8" s="11" t="str">
        <f>IF(SUM(R8,V8)&gt;0,SUM(R8,V8),"")</f>
        <v/>
      </c>
      <c r="AI8" s="11" t="str">
        <f>IF(SUM(Q8:R8,T8:V8,X8)-SUM(S8,W8)&gt;0,SUM(Q8:R8,T8:V8,X8)-SUM(S8,W8),"")</f>
        <v/>
      </c>
      <c r="AJ8" s="11" t="str">
        <f>IF(SUM(Z8,AD8)&gt;0,SUM(Z8,AD8),"")</f>
        <v/>
      </c>
      <c r="AK8" s="11" t="str">
        <f>IF(SUM(Y8:Z8,AB8:AD8,AF8)-SUM(AA8,AE8)&gt;0,SUM(Y8:Z8,AB8:AD8,AF8)-SUM(AA8,AE8),"")</f>
        <v/>
      </c>
      <c r="AL8" s="11" t="str">
        <f>IF(SUM(AI8,AK8)&gt;0,SUM(AI8,AK8),"")</f>
        <v/>
      </c>
      <c r="AM8" s="38">
        <v>28.3</v>
      </c>
      <c r="AN8" s="38">
        <v>5.2</v>
      </c>
      <c r="AO8" s="38">
        <v>0.2</v>
      </c>
      <c r="AP8" s="38">
        <v>0</v>
      </c>
      <c r="AQ8" s="38">
        <v>28.4</v>
      </c>
      <c r="AR8" s="38">
        <v>6</v>
      </c>
      <c r="AS8" s="38">
        <v>0.9</v>
      </c>
      <c r="AT8" s="38">
        <v>0</v>
      </c>
      <c r="AU8" s="38">
        <v>28</v>
      </c>
      <c r="AV8" s="38">
        <v>5.2</v>
      </c>
      <c r="AW8" s="38">
        <v>0.9</v>
      </c>
      <c r="AX8" s="38">
        <v>0</v>
      </c>
      <c r="AY8" s="38">
        <v>28.3</v>
      </c>
      <c r="AZ8" s="38">
        <v>5.2</v>
      </c>
      <c r="BA8" s="38">
        <v>0.9</v>
      </c>
      <c r="BB8" s="38">
        <v>0</v>
      </c>
      <c r="BC8" s="81"/>
      <c r="BD8" s="14">
        <f>IF(SUM(AN8,AR8)&gt;0,SUM(AN8,AR8),"")</f>
        <v>11.2</v>
      </c>
      <c r="BE8" s="14">
        <f>IF(SUM(AM8:AN8,AP8:AR8,AT8)-SUM(AO8,AS8)&gt;0,SUM(AM8:AN8,AP8:AR8,AT8)-SUM(AO8,AS8),"")</f>
        <v>66.800000000000011</v>
      </c>
      <c r="BF8" s="14">
        <f>IF(SUM(AV8,AZ8)&gt;0,SUM(AV8,AZ8),"")</f>
        <v>10.4</v>
      </c>
      <c r="BG8" s="14">
        <f>IF(SUM(AU8:AV8,AX8:AZ8,BB8)-SUM(AW8,BA8)&gt;0,SUM(AU8:AV8,AX8:AZ8,BB8)-SUM(AW8,BA8),"")</f>
        <v>64.900000000000006</v>
      </c>
      <c r="BH8" s="14">
        <f>IF(SUM(BE8,BG8)&gt;0,SUM(BE8,BG8),"")</f>
        <v>131.70000000000002</v>
      </c>
      <c r="BI8" s="69"/>
      <c r="BJ8" s="69"/>
      <c r="BK8" s="69"/>
      <c r="BL8" s="69"/>
      <c r="BM8" s="69"/>
      <c r="BN8" s="69"/>
      <c r="BO8" s="69"/>
      <c r="BP8" s="69"/>
      <c r="BQ8" s="69"/>
      <c r="BR8" s="69"/>
      <c r="BS8" s="69"/>
      <c r="BT8" s="69"/>
      <c r="BU8" s="69"/>
      <c r="BV8" s="69"/>
      <c r="BW8" s="69"/>
      <c r="BX8" s="69"/>
      <c r="BY8" s="80"/>
      <c r="BZ8" s="11" t="str">
        <f>IF(SUM(BJ8,BN8)&gt;0,SUM(BJ8,BN8),"")</f>
        <v/>
      </c>
      <c r="CA8" s="11" t="str">
        <f>IF(SUM(BI8:BJ8,BL8:BN8,BP8)-SUM(BK8,BO8)&gt;0,SUM(BI8:BJ8,BL8:BN8,BP8)-SUM(BK8,BO8),"")</f>
        <v/>
      </c>
      <c r="CB8" s="11" t="str">
        <f>IF(SUM(BR8,BV8)&gt;0,SUM(BR8,BV8),"")</f>
        <v/>
      </c>
      <c r="CC8" s="11" t="str">
        <f>IF(SUM(BQ8:BR8,BT8:BV8,BX8)-SUM(BS8,BW8)&gt;0,SUM(BQ8:BR8,BT8:BV8,BX8)-SUM(BS8,BW8),"")</f>
        <v/>
      </c>
      <c r="CD8" s="11" t="str">
        <f>IF(SUM(CA8,CC8)&gt;0,SUM(CA8,CC8),"")</f>
        <v/>
      </c>
      <c r="CE8" s="24" t="str">
        <f>IF(MAX(CX8,DS8,EN8,FI8,GD8,GY8,HT8,IO8,JJ8,KE8,KZ8,LU8)-IF(J8="",0,J8)&gt;0.001,MAX(CX8,DS8,EN8,FI8,GD8,GY8,HT8,IO8,JJ8,KE8,KZ8,LU8)-IF(J8="",0,J8),"")</f>
        <v/>
      </c>
      <c r="CF8" s="24" t="str">
        <f>IF(MAX(DA8,DV8,EQ8,FL8,GG8,HB8,HW8,IR8,JM8,KH8,LC8,LX8)-IF(L8="",0,L8)&gt;0.001,MAX(DA8,DV8,EQ8,FL8,GG8,HB8,HW8,IR8,JM8,KH8,LC8,LX8)-IF(L8="",0,L8),"")</f>
        <v/>
      </c>
      <c r="CG8" s="44"/>
      <c r="CH8" s="44"/>
      <c r="CI8" s="44"/>
      <c r="CJ8" s="44"/>
      <c r="CK8" s="44"/>
      <c r="CL8" s="44"/>
      <c r="CM8" s="44"/>
      <c r="CN8" s="44"/>
      <c r="CO8" s="44"/>
      <c r="CP8" s="44"/>
      <c r="CQ8" s="44"/>
      <c r="CR8" s="44"/>
      <c r="CS8" s="44"/>
      <c r="CT8" s="44"/>
      <c r="CU8" s="44"/>
      <c r="CV8" s="44"/>
      <c r="CW8" s="11" t="str">
        <f>IF(SUM(CH8,CL8)&gt;0,SUM(CH8,CL8),"")</f>
        <v/>
      </c>
      <c r="CX8" s="11" t="str">
        <f>IF(SUM(CG8:CH8,CJ8:CL8,CN8)-SUM(CI8,CM8)&gt;0,SUM(CG8:CH8,CJ8:CL8,CN8)-SUM(CI8,CM8),"")</f>
        <v/>
      </c>
      <c r="CY8" s="11" t="str">
        <f>IF(SUM(CP8,CT8)&gt;0,SUM(CP8,CT8),"")</f>
        <v/>
      </c>
      <c r="CZ8" s="11" t="str">
        <f>IF(SUM(CO8:CP8,CR8:CT8,CV8)-SUM(CQ8,CU8)&gt;0,SUM(CO8:CP8,CR8:CT8,CV8)-SUM(CQ8,CU8),"")</f>
        <v/>
      </c>
      <c r="DA8" s="11" t="str">
        <f>IF(SUM(CX8,CZ8)&gt;0,SUM(CX8,CZ8),"")</f>
        <v/>
      </c>
      <c r="DB8" s="43"/>
      <c r="DC8" s="43"/>
      <c r="DD8" s="43"/>
      <c r="DE8" s="43"/>
      <c r="DF8" s="43"/>
      <c r="DG8" s="43"/>
      <c r="DH8" s="43"/>
      <c r="DI8" s="43"/>
      <c r="DJ8" s="43"/>
      <c r="DK8" s="43"/>
      <c r="DL8" s="43"/>
      <c r="DM8" s="43"/>
      <c r="DN8" s="43"/>
      <c r="DO8" s="43"/>
      <c r="DP8" s="43"/>
      <c r="DQ8" s="43"/>
      <c r="DR8" s="14" t="str">
        <f>IF(SUM(DC8,DG8)&gt;0,SUM(DC8,DG8),"")</f>
        <v/>
      </c>
      <c r="DS8" s="14" t="str">
        <f>IF(SUM(DB8:DC8,DE8:DG8,DI8)-SUM(DD8,DH8)&gt;0,SUM(DB8:DC8,DE8:DG8,DI8)-SUM(DD8,DH8),"")</f>
        <v/>
      </c>
      <c r="DT8" s="14" t="str">
        <f>IF(SUM(DK8,DO8)&gt;0,SUM(DK8,DO8),"")</f>
        <v/>
      </c>
      <c r="DU8" s="14" t="str">
        <f>IF(SUM(DJ8:DK8,DM8:DO8,DQ8)-SUM(DL8,DP8)&gt;0,SUM(DJ8:DK8,DM8:DO8,DQ8)-SUM(DL8,DP8),"")</f>
        <v/>
      </c>
      <c r="DV8" s="14" t="str">
        <f>IF(SUM(DS8,DU8)&gt;0,SUM(DS8,DU8),"")</f>
        <v/>
      </c>
      <c r="DW8" s="44"/>
      <c r="DX8" s="44"/>
      <c r="DY8" s="44"/>
      <c r="DZ8" s="44"/>
      <c r="EA8" s="44"/>
      <c r="EB8" s="44"/>
      <c r="EC8" s="44"/>
      <c r="ED8" s="44"/>
      <c r="EE8" s="44"/>
      <c r="EF8" s="44"/>
      <c r="EG8" s="44"/>
      <c r="EH8" s="44"/>
      <c r="EI8" s="44"/>
      <c r="EJ8" s="44"/>
      <c r="EK8" s="44"/>
      <c r="EL8" s="44"/>
      <c r="EM8" s="11" t="str">
        <f>IF(SUM(DX8,EB8)&gt;0,SUM(DX8,EB8),"")</f>
        <v/>
      </c>
      <c r="EN8" s="11" t="str">
        <f>IF(SUM(DW8:DX8,DZ8:EB8,ED8)-SUM(DY8,EC8)&gt;0,SUM(DW8:DX8,DZ8:EB8,ED8)-SUM(DY8,EC8),"")</f>
        <v/>
      </c>
      <c r="EO8" s="11" t="str">
        <f>IF(SUM(EF8,EJ8)&gt;0,SUM(EF8,EJ8),"")</f>
        <v/>
      </c>
      <c r="EP8" s="11" t="str">
        <f>IF(SUM(EE8:EF8,EH8:EJ8,EL8)-SUM(EG8,EK8)&gt;0,SUM(EE8:EF8,EH8:EJ8,EL8)-SUM(EG8,EK8),"")</f>
        <v/>
      </c>
      <c r="EQ8" s="11" t="str">
        <f>IF(SUM(EN8,EP8)&gt;0,SUM(EN8,EP8),"")</f>
        <v/>
      </c>
      <c r="ER8" s="43"/>
      <c r="ES8" s="43"/>
      <c r="ET8" s="43"/>
      <c r="EU8" s="43"/>
      <c r="EV8" s="43"/>
      <c r="EW8" s="43"/>
      <c r="EX8" s="43"/>
      <c r="EY8" s="43"/>
      <c r="EZ8" s="43"/>
      <c r="FA8" s="43"/>
      <c r="FB8" s="43"/>
      <c r="FC8" s="43"/>
      <c r="FD8" s="43"/>
      <c r="FE8" s="43"/>
      <c r="FF8" s="43"/>
      <c r="FG8" s="43"/>
      <c r="FH8" s="14" t="str">
        <f>IF(SUM(ES8,EW8)&gt;0,SUM(ES8,EW8),"")</f>
        <v/>
      </c>
      <c r="FI8" s="14" t="str">
        <f>IF(SUM(ER8:ES8,EU8:EW8,EY8)-SUM(ET8,EX8)&gt;0,SUM(ER8:ES8,EU8:EW8,EY8)-SUM(ET8,EX8),"")</f>
        <v/>
      </c>
      <c r="FJ8" s="14" t="str">
        <f>IF(SUM(FA8,FE8)&gt;0,SUM(FA8,FE8),"")</f>
        <v/>
      </c>
      <c r="FK8" s="14" t="str">
        <f>IF(SUM(EZ8:FA8,FC8:FE8,FG8)-SUM(FB8,FF8)&gt;0,SUM(EZ8:FA8,FC8:FE8,FG8)-SUM(FB8,FF8),"")</f>
        <v/>
      </c>
      <c r="FL8" s="14" t="str">
        <f>IF(SUM(FI8,FK8)&gt;0,SUM(FI8,FK8),"")</f>
        <v/>
      </c>
      <c r="FM8" s="44"/>
      <c r="FN8" s="44"/>
      <c r="FO8" s="44"/>
      <c r="FP8" s="44"/>
      <c r="FQ8" s="44"/>
      <c r="FR8" s="44"/>
      <c r="FS8" s="44"/>
      <c r="FT8" s="44"/>
      <c r="FU8" s="44"/>
      <c r="FV8" s="44"/>
      <c r="FW8" s="44"/>
      <c r="FX8" s="44"/>
      <c r="FY8" s="44"/>
      <c r="FZ8" s="44"/>
      <c r="GA8" s="44"/>
      <c r="GB8" s="44"/>
      <c r="GC8" s="11" t="str">
        <f>IF(SUM(FN8,FR8)&gt;0,SUM(FN8,FR8),"")</f>
        <v/>
      </c>
      <c r="GD8" s="11" t="str">
        <f>IF(SUM(FM8:FN8,FP8:FR8,FT8)-SUM(FO8,FS8)&gt;0,SUM(FM8:FN8,FP8:FR8,FT8)-SUM(FO8,FS8),"")</f>
        <v/>
      </c>
      <c r="GE8" s="11" t="str">
        <f>IF(SUM(FV8,FZ8)&gt;0,SUM(FV8,FZ8),"")</f>
        <v/>
      </c>
      <c r="GF8" s="11" t="str">
        <f>IF(SUM(FU8:FV8,FX8:FZ8,GB8)-SUM(FW8,GA8)&gt;0,SUM(FU8:FV8,FX8:FZ8,GB8)-SUM(FW8,GA8),"")</f>
        <v/>
      </c>
      <c r="GG8" s="11" t="str">
        <f>IF(SUM(GD8,GF8)&gt;0,SUM(GD8,GF8),"")</f>
        <v/>
      </c>
      <c r="GH8" s="43"/>
      <c r="GI8" s="43"/>
      <c r="GJ8" s="43"/>
      <c r="GK8" s="43"/>
      <c r="GL8" s="43"/>
      <c r="GM8" s="43"/>
      <c r="GN8" s="43"/>
      <c r="GO8" s="43"/>
      <c r="GP8" s="43"/>
      <c r="GQ8" s="43"/>
      <c r="GR8" s="43"/>
      <c r="GS8" s="43"/>
      <c r="GT8" s="43"/>
      <c r="GU8" s="43"/>
      <c r="GV8" s="43"/>
      <c r="GW8" s="43"/>
      <c r="GX8" s="14" t="str">
        <f>IF(SUM(GI8,GM8)&gt;0,SUM(GI8,GM8),"")</f>
        <v/>
      </c>
      <c r="GY8" s="14" t="str">
        <f>IF(SUM(GH8:GI8,GK8:GM8,GO8)-SUM(GJ8,GN8)&gt;0,SUM(GH8:GI8,GK8:GM8,GO8)-SUM(GJ8,GN8),"")</f>
        <v/>
      </c>
      <c r="GZ8" s="14" t="str">
        <f>IF(SUM(GQ8,GU8)&gt;0,SUM(GQ8,GU8),"")</f>
        <v/>
      </c>
      <c r="HA8" s="14" t="str">
        <f>IF(SUM(GP8:GQ8,GS8:GU8,GW8)-SUM(GR8,GV8)&gt;0,SUM(GP8:GQ8,GS8:GU8,GW8)-SUM(GR8,GV8),"")</f>
        <v/>
      </c>
      <c r="HB8" s="14" t="str">
        <f>IF(SUM(GY8,HA8)&gt;0,SUM(GY8,HA8),"")</f>
        <v/>
      </c>
      <c r="HC8" s="44"/>
      <c r="HD8" s="44"/>
      <c r="HE8" s="44"/>
      <c r="HF8" s="44"/>
      <c r="HG8" s="44"/>
      <c r="HH8" s="44"/>
      <c r="HI8" s="44"/>
      <c r="HJ8" s="44"/>
      <c r="HK8" s="44"/>
      <c r="HL8" s="44"/>
      <c r="HM8" s="44"/>
      <c r="HN8" s="44"/>
      <c r="HO8" s="44"/>
      <c r="HP8" s="44"/>
      <c r="HQ8" s="44"/>
      <c r="HR8" s="44"/>
      <c r="HS8" s="11" t="str">
        <f>IF(SUM(HD8,HH8)&gt;0,SUM(HD8,HH8),"")</f>
        <v/>
      </c>
      <c r="HT8" s="11" t="str">
        <f>IF(SUM(HC8:HD8,HF8:HH8,HJ8)-SUM(HE8,HI8)&gt;0,SUM(HC8:HD8,HF8:HH8,HJ8)-SUM(HE8,HI8),"")</f>
        <v/>
      </c>
      <c r="HU8" s="11" t="str">
        <f>IF(SUM(HL8,HP8)&gt;0,SUM(HL8,HP8),"")</f>
        <v/>
      </c>
      <c r="HV8" s="11" t="str">
        <f>IF(SUM(HK8:HL8,HN8:HP8,HR8)-SUM(HM8,HQ8)&gt;0,SUM(HK8:HL8,HN8:HP8,HR8)-SUM(HM8,HQ8),"")</f>
        <v/>
      </c>
      <c r="HW8" s="11" t="str">
        <f>IF(SUM(HT8,HV8)&gt;0,SUM(HT8,HV8),"")</f>
        <v/>
      </c>
      <c r="HX8" s="43"/>
      <c r="HY8" s="43"/>
      <c r="HZ8" s="43"/>
      <c r="IA8" s="43"/>
      <c r="IB8" s="43"/>
      <c r="IC8" s="43"/>
      <c r="ID8" s="43"/>
      <c r="IE8" s="43"/>
      <c r="IF8" s="43"/>
      <c r="IG8" s="43"/>
      <c r="IH8" s="43"/>
      <c r="II8" s="43"/>
      <c r="IJ8" s="43"/>
      <c r="IK8" s="43"/>
      <c r="IL8" s="43"/>
      <c r="IM8" s="43"/>
      <c r="IN8" s="14" t="str">
        <f>IF(SUM(HY8,IC8)&gt;0,SUM(HY8,IC8),"")</f>
        <v/>
      </c>
      <c r="IO8" s="14" t="str">
        <f>IF(SUM(HX8:HY8,IA8:IC8,IE8)-SUM(HZ8,ID8)&gt;0,SUM(HX8:HY8,IA8:IC8,IE8)-SUM(HZ8,ID8),"")</f>
        <v/>
      </c>
      <c r="IP8" s="14" t="str">
        <f>IF(SUM(IG8,IK8)&gt;0,SUM(IG8,IK8),"")</f>
        <v/>
      </c>
      <c r="IQ8" s="14" t="str">
        <f>IF(SUM(IF8:IG8,II8:IK8,IM8)-SUM(IH8,IL8)&gt;0,SUM(IF8:IG8,II8:IK8,IM8)-SUM(IH8,IL8),"")</f>
        <v/>
      </c>
      <c r="IR8" s="14" t="str">
        <f>IF(SUM(IO8,IQ8)&gt;0,SUM(IO8,IQ8),"")</f>
        <v/>
      </c>
      <c r="IS8" s="44"/>
      <c r="IT8" s="44"/>
      <c r="IU8" s="44"/>
      <c r="IV8" s="44"/>
      <c r="IW8" s="44"/>
      <c r="IX8" s="44"/>
      <c r="IY8" s="44"/>
      <c r="IZ8" s="44"/>
      <c r="JA8" s="44"/>
      <c r="JB8" s="44"/>
      <c r="JC8" s="44"/>
      <c r="JD8" s="44"/>
      <c r="JE8" s="44"/>
      <c r="JF8" s="44"/>
      <c r="JG8" s="44"/>
      <c r="JH8" s="44"/>
      <c r="JI8" s="11" t="str">
        <f>IF(SUM(IT8,IX8)&gt;0,SUM(IT8,IX8),"")</f>
        <v/>
      </c>
      <c r="JJ8" s="11" t="str">
        <f>IF(SUM(IS8:IT8,IV8:IX8,IZ8)-SUM(IU8,IY8)&gt;0,SUM(IS8:IT8,IV8:IX8,IZ8)-SUM(IU8,IY8),"")</f>
        <v/>
      </c>
      <c r="JK8" s="11" t="str">
        <f>IF(SUM(JB8,JF8)&gt;0,SUM(JB8,JF8),"")</f>
        <v/>
      </c>
      <c r="JL8" s="11" t="str">
        <f>IF(SUM(JA8:JB8,JD8:JF8,JH8)-SUM(JC8,JG8)&gt;0,SUM(JA8:JB8,JD8:JF8,JH8)-SUM(JC8,JG8),"")</f>
        <v/>
      </c>
      <c r="JM8" s="11" t="str">
        <f>IF(SUM(JJ8,JL8)&gt;0,SUM(JJ8,JL8),"")</f>
        <v/>
      </c>
      <c r="JN8" s="43"/>
      <c r="JO8" s="43"/>
      <c r="JP8" s="43"/>
      <c r="JQ8" s="43"/>
      <c r="JR8" s="43"/>
      <c r="JS8" s="43"/>
      <c r="JT8" s="43"/>
      <c r="JU8" s="43"/>
      <c r="JV8" s="43"/>
      <c r="JW8" s="43"/>
      <c r="JX8" s="43"/>
      <c r="JY8" s="43"/>
      <c r="JZ8" s="43"/>
      <c r="KA8" s="43"/>
      <c r="KB8" s="43"/>
      <c r="KC8" s="43"/>
      <c r="KD8" s="14" t="str">
        <f>IF(SUM(JO8,JS8)&gt;0,SUM(JO8,JS8),"")</f>
        <v/>
      </c>
      <c r="KE8" s="14" t="str">
        <f>IF(SUM(JN8:JO8,JQ8:JS8,JU8)-SUM(JP8,JT8)&gt;0,SUM(JN8:JO8,JQ8:JS8,JU8)-SUM(JP8,JT8),"")</f>
        <v/>
      </c>
      <c r="KF8" s="14" t="str">
        <f>IF(SUM(JW8,KA8)&gt;0,SUM(JW8,KA8),"")</f>
        <v/>
      </c>
      <c r="KG8" s="14" t="str">
        <f>IF(SUM(JV8:JW8,JY8:KA8,KC8)-SUM(JX8,KB8)&gt;0,SUM(JV8:JW8,JY8:KA8,KC8)-SUM(JX8,KB8),"")</f>
        <v/>
      </c>
      <c r="KH8" s="14" t="str">
        <f>IF(SUM(KE8,KG8)&gt;0,SUM(KE8,KG8),"")</f>
        <v/>
      </c>
      <c r="KI8" s="44"/>
      <c r="KJ8" s="44"/>
      <c r="KK8" s="44"/>
      <c r="KL8" s="44"/>
      <c r="KM8" s="44"/>
      <c r="KN8" s="44"/>
      <c r="KO8" s="44"/>
      <c r="KP8" s="44"/>
      <c r="KQ8" s="44"/>
      <c r="KR8" s="44"/>
      <c r="KS8" s="44"/>
      <c r="KT8" s="44"/>
      <c r="KU8" s="44"/>
      <c r="KV8" s="44"/>
      <c r="KW8" s="44"/>
      <c r="KX8" s="44"/>
      <c r="KY8" s="11" t="str">
        <f>IF(SUM(KJ8,KN8)&gt;0,SUM(KJ8,KN8),"")</f>
        <v/>
      </c>
      <c r="KZ8" s="11" t="str">
        <f>IF(SUM(KI8:KJ8,KL8:KN8,KP8)-SUM(KK8,KO8)&gt;0,SUM(KI8:KJ8,KL8:KN8,KP8)-SUM(KK8,KO8),"")</f>
        <v/>
      </c>
      <c r="LA8" s="11" t="str">
        <f>IF(SUM(KR8,KV8)&gt;0,SUM(KR8,KV8),"")</f>
        <v/>
      </c>
      <c r="LB8" s="11" t="str">
        <f>IF(SUM(KQ8:KR8,KT8:KV8,KX8)-SUM(KS8,KW8)&gt;0,SUM(KQ8:KR8,KT8:KV8,KX8)-SUM(KS8,KW8),"")</f>
        <v/>
      </c>
      <c r="LC8" s="11" t="str">
        <f>IF(SUM(KZ8,LB8)&gt;0,SUM(KZ8,LB8),"")</f>
        <v/>
      </c>
      <c r="LD8" s="43"/>
      <c r="LE8" s="43"/>
      <c r="LF8" s="43"/>
      <c r="LG8" s="43"/>
      <c r="LH8" s="43"/>
      <c r="LI8" s="43"/>
      <c r="LJ8" s="43"/>
      <c r="LK8" s="43"/>
      <c r="LL8" s="43"/>
      <c r="LM8" s="43"/>
      <c r="LN8" s="43"/>
      <c r="LO8" s="43"/>
      <c r="LP8" s="43"/>
      <c r="LQ8" s="43"/>
      <c r="LR8" s="43"/>
      <c r="LS8" s="43"/>
      <c r="LT8" s="14" t="str">
        <f>IF(SUM(LE8,LI8)&gt;0,SUM(LE8,LI8),"")</f>
        <v/>
      </c>
      <c r="LU8" s="14" t="str">
        <f>IF(SUM(LD8:LE8,LG8:LI8,LK8)-SUM(LF8,LJ8)&gt;0,SUM(LD8:LE8,LG8:LI8,LK8)-SUM(LF8,LJ8),"")</f>
        <v/>
      </c>
      <c r="LV8" s="14" t="str">
        <f>IF(SUM(LM8,LQ8)&gt;0,SUM(LM8,LQ8),"")</f>
        <v/>
      </c>
      <c r="LW8" s="14" t="str">
        <f>IF(SUM(LL8:LM8,LO8:LQ8,LS8)-SUM(LN8,LR8)&gt;0,SUM(LL8:LM8,LO8:LQ8,LS8)-SUM(LN8,LR8),"")</f>
        <v/>
      </c>
      <c r="LX8" s="14" t="str">
        <f>IF(SUM(LU8,LW8)&gt;0,SUM(LU8,LW8),"")</f>
        <v/>
      </c>
      <c r="LY8" s="69">
        <f>IF($BY8="P",BI8,(BI8+AM8)/2)</f>
        <v>14.15</v>
      </c>
      <c r="LZ8" s="69">
        <f>IF($BY8="P",BJ8,(BJ8+AN8)/2)</f>
        <v>2.6</v>
      </c>
      <c r="MA8" s="69">
        <f>IF($BY8="P",BK8,(BK8+AO8)/2)</f>
        <v>0.1</v>
      </c>
      <c r="MB8" s="69">
        <f>IF($BY8="P",BL8,(BL8+AP8)/2)</f>
        <v>0</v>
      </c>
      <c r="MC8" s="69">
        <f>IF($BY8="P",BM8,(BM8+AQ8)/2)</f>
        <v>14.2</v>
      </c>
      <c r="MD8" s="69">
        <f>IF($BY8="P",BN8,(BN8+AR8)/2)</f>
        <v>3</v>
      </c>
      <c r="ME8" s="69">
        <f>IF($BY8="P",BO8,(BO8+AS8)/2)</f>
        <v>0.45</v>
      </c>
      <c r="MF8" s="69">
        <f>IF($BY8="P",BP8,(BP8+AT8)/2)</f>
        <v>0</v>
      </c>
      <c r="MG8" s="69">
        <f>IF($BY8="P",BQ8,(BQ8+AU8)/2)</f>
        <v>14</v>
      </c>
      <c r="MH8" s="69">
        <f>IF($BY8="P",BR8,(BR8+AV8)/2)</f>
        <v>2.6</v>
      </c>
      <c r="MI8" s="69">
        <f>IF($BY8="P",BS8,(BS8+AW8)/2)</f>
        <v>0.45</v>
      </c>
      <c r="MJ8" s="69">
        <f>IF($BY8="P",BT8,(BT8+AX8)/2)</f>
        <v>0</v>
      </c>
      <c r="MK8" s="69">
        <f>IF($BY8="P",BU8,(BU8+AY8)/2)</f>
        <v>14.15</v>
      </c>
      <c r="ML8" s="69">
        <f>IF($BY8="P",BV8,(BV8+AZ8)/2)</f>
        <v>2.6</v>
      </c>
      <c r="MM8" s="69">
        <f>IF($BY8="P",BW8,(BW8+BA8)/2)</f>
        <v>0.45</v>
      </c>
      <c r="MN8" s="69">
        <f>IF($BY8="P",BX8,(BX8+BB8)/2)</f>
        <v>0</v>
      </c>
      <c r="MO8" s="80" t="s">
        <v>74</v>
      </c>
      <c r="MP8" s="11">
        <f>IF(SUM(LZ8,MD8)&gt;0,SUM(LZ8,MD8),"")</f>
        <v>5.6</v>
      </c>
      <c r="MQ8" s="11">
        <f>IF(SUM(LY8:LZ8,MB8:MD8,MF8)-SUM(MA8,ME8)&gt;0,SUM(LY8:LZ8,MB8:MD8,MF8)-SUM(MA8,ME8),"")</f>
        <v>33.400000000000006</v>
      </c>
      <c r="MR8" s="11">
        <f>IF(SUM(MH8,ML8)&gt;0,SUM(MH8,ML8),"")</f>
        <v>5.2</v>
      </c>
      <c r="MS8" s="11">
        <f>IF(SUM(MG8:MH8,MJ8:ML8,MN8)-SUM(MI8,MM8)&gt;0,SUM(MG8:MH8,MJ8:ML8,MN8)-SUM(MI8,MM8),"")</f>
        <v>32.450000000000003</v>
      </c>
      <c r="MT8" s="11">
        <f>IF(SUM(MQ8,MS8)&gt;0,SUM(MQ8,MS8),"")</f>
        <v>65.850000000000009</v>
      </c>
    </row>
    <row r="9" spans="1:358" x14ac:dyDescent="0.2">
      <c r="A9" s="5">
        <f>IF(AND(F9="P",G9="P"),SUMPRODUCT((F$4:F$17="P")*(G$4:G$17="P")*(E$4:E$17&gt;E9))+1,IF(G9="P",SUMPRODUCT((F$4:F$17="")*(G$4:G$17="P")*(E$4:E$17&gt;E9))+1+SUMPRODUCT((F$4:F$17="P")*(G$4:G$17="P")),""))</f>
        <v>6</v>
      </c>
      <c r="B9" s="8" t="s">
        <v>138</v>
      </c>
      <c r="C9" s="4" t="s">
        <v>6</v>
      </c>
      <c r="D9" s="5">
        <v>2004</v>
      </c>
      <c r="E9" s="15">
        <f>SUM(J9:N9)</f>
        <v>199</v>
      </c>
      <c r="F9" s="3" t="str">
        <f>IF(OR(AND(AH9&gt;=AL$19,AI9&gt;=AL$23,AI9&lt;&gt;"",AG9=""),AND(BD9&gt;=BH$19,BE9&gt;=BH$23,BE9&lt;&gt;"",BC9=""),AND(BZ9&gt;=CD$19,CA9&gt;=CD$23,CA9&lt;&gt;"",BY9=""),AND(CW9&gt;=DA$19,CX9&gt;=DA$23,CX9&lt;&gt;""),AND(DR9&gt;=DV$19,DS9&gt;=DV$23,DS9&lt;&gt;""),AND(EM9&gt;=EQ$19,EN9&gt;=EQ$23,EN9&lt;&gt;""),AND(FH9&gt;=FL$19,FI9&gt;=FL$23,FI9&lt;&gt;""),AND(GC9&gt;=GG$19,GD9&gt;=GG$23,GD9&lt;&gt;""),AND(GX9&gt;=HB$19,GY9&gt;=HB$23,GY9&lt;&gt;""),AND(HS9&gt;=HW$19,HT9&gt;=HW$23,HT9&lt;&gt;""),AND(IN9&gt;=IR$19,IO9&gt;=IR$23,IO9&lt;&gt;""),AND(JI9&gt;=JM$19,JJ9&gt;=JM$23,JJ9&lt;&gt;""),AND(KD9&gt;=KH$19,KE9&gt;=KH$23,KE9&lt;&gt;""),AND(KY9&gt;=LC$19,KZ9&gt;=LC$23,KZ9&lt;&gt;""),AND(LT9&gt;=LX$19,LU9&gt;=LX$23,LU9&lt;&gt;"")),"P","")</f>
        <v/>
      </c>
      <c r="G9" s="3" t="str">
        <f>IF(OR(AND(AI9&gt;=AL$23,AI9&lt;&gt;"",AG9=""),AND(BE9&gt;=BH$23,BE9&lt;&gt;"",BC9=""),AND(CA9&gt;=CD$23,CA9&lt;&gt;"",BY9=""),AND(CX9&gt;=DA$23,CX9&lt;&gt;""),AND(DS9&gt;=DV$23,DS9&lt;&gt;""),AND(EN9&gt;=EQ$23,EN9&lt;&gt;""),AND(FI9&gt;=FL$23,FI9&lt;&gt;""),AND(GD9&gt;=GG$23,GD9&lt;&gt;""),AND(GY9&gt;=HB$23,GY9&lt;&gt;""),AND(HT9&gt;=HW$23,HT9&lt;&gt;""),AND(IO9&gt;=IR$23,IO9&lt;&gt;""),AND(JJ9&gt;=JM$23,JJ9&lt;&gt;""),AND(KE9&gt;=KH$23,KE9&lt;&gt;""),AND(KZ9&gt;=LC$23,KZ9&lt;&gt;""),AND(LU9&gt;=LX$23,LU9&lt;&gt;"")),"P","")</f>
        <v>P</v>
      </c>
      <c r="H9" s="126" t="str">
        <f>IF(AND(G9="P",F9=""),"No DD",IF(OR(AND(AH9&gt;=AL$22,AH9&lt;&gt;"",AI9&gt;=AL$26,AI9&lt;&gt;"",AG9=""),AND(BD9&gt;=BH$22,BD9&lt;&gt;"",BE9&gt;=BH$26,BE9&lt;&gt;"",BC9=""),AND(BZ9&gt;=CD$22,BZ9&lt;&gt;"",CA9&gt;=CD$26,CA9&lt;&gt;"",BY9=""),AND(CW9&gt;=DA$22,CW9&lt;&gt;"",CX9&gt;=DA$26,CX9&lt;&gt;""),AND(DR9&gt;=DV$22,DR9&lt;&gt;"",DS9&gt;=DV$26,DS9&lt;&gt;""),AND(EM9&gt;=EQ$22,EM9&lt;&gt;"",EN9&gt;=EQ$26,EN9&lt;&gt;""),AND(FH9&gt;=FL$22,FH9&lt;&gt;"",FI9&gt;=FL$26,FI9&lt;&gt;""),AND(GC9&gt;=GG$22,GC9&lt;&gt;"",GD9&gt;=GG$26,GD9&lt;&gt;""),AND(GX9&gt;=HB$22,GX9&lt;&gt;"",GY9&gt;=HB$26,GY9&lt;&gt;""),AND(HS9&gt;=HW$22,HS9&lt;&gt;"",HT9&gt;=HW$26,HT9&lt;&gt;""),AND(IN9&gt;=IR$22,IN9&lt;&gt;"",IO9&gt;=IR$26,IO9&lt;&gt;""),AND(JI9&gt;=JM$22,JI9&lt;&gt;"",JJ9&gt;=JM$26,JJ9&lt;&gt;""),AND(KD9&gt;=KH$22,KD9&lt;&gt;"",KE9&gt;=KH$26,KE9&lt;&gt;""),AND(KY9&gt;=LC$22,KY9&lt;&gt;"",KZ9&gt;=LC$26,KZ9&lt;&gt;""),AND(LT9&gt;=LX$22,LT9&lt;&gt;"",LU9&gt;=LX$26,LU9&lt;&gt;"")),"Merit",IF(OR(AND(AH9&gt;=AL$21,AH9&lt;&gt;"",AI9&gt;=AL$25,AI9&lt;&gt;"",AG9=""),AND(BD9&gt;=BH$21,BD9&lt;&gt;"",BE9&gt;=BH$25,BE9&lt;&gt;"",BC9=""),AND(BZ9&gt;=CD$21,BZ9&lt;&gt;"",CA9&gt;=CD$25,CA9&lt;&gt;"",BY9=""),AND(CW9&gt;=DA$21,CW9&lt;&gt;"",CX9&gt;=DA$25,CX9&lt;&gt;""),AND(DR9&gt;=DV$21,DR9&lt;&gt;"",DS9&gt;=DV$25,DS9&lt;&gt;""),AND(EM9&gt;=EQ$21,EM9&lt;&gt;"",EN9&gt;=EQ$25,EN9&lt;&gt;""),AND(FH9&gt;=FL$21,FH9&lt;&gt;"",FI9&gt;=FL$25,FI9&lt;&gt;""),AND(GC9&gt;=GG$21,GC9&lt;&gt;"",GD9&gt;=GG$25,GD9&lt;&gt;""),AND(GX9&gt;=HB$21,GX9&lt;&gt;"",GY9&gt;=HB$25,GY9&lt;&gt;""),AND(HS9&gt;=HW$21,HS9&lt;&gt;"",HT9&gt;=HW$25,HT9&lt;&gt;""),AND(IN9&gt;=IR$21,IN9&lt;&gt;"",IO9&gt;=IR$25,IO9&lt;&gt;""),AND(JI9&gt;=JM$21,JI9&lt;&gt;"",JJ9&gt;=JM$25,JJ9&lt;&gt;""),AND(KD9&gt;=KH$21,KD9&lt;&gt;"",KE9&gt;=KH$25,KE9&lt;&gt;""),AND(KY9&gt;=LC$21,KY9&lt;&gt;"",KZ9&gt;=LC$25,KZ9&lt;&gt;""),AND(LT9&gt;=LX$21,LT9&lt;&gt;"",LU9&gt;=LX$25,LU9&lt;&gt;"")),"Excellence",IF(OR(AND(AH9&gt;=AL$20,AH9&lt;&gt;"",AI9&gt;=AL$24,AI9&lt;&gt;"",AG9=""),AND(BD9&gt;=BH$20,BD9&lt;&gt;"",BE9&gt;=BH$24,BE9&lt;&gt;"",BC9=""),AND(BZ9&gt;=CD$20,BZ9&lt;&gt;"",CA9&gt;=CD$24,CA9&lt;&gt;"",BY9=""),AND(CW9&gt;=DA$20,CW9&lt;&gt;"",CX9&gt;=DA$24,CX9&lt;&gt;""),AND(DR9&gt;=DV$20,DR9&lt;&gt;"",DS9&gt;=DV$24,DS9&lt;&gt;""),AND(EM9&gt;=EQ$20,EM9&lt;&gt;"",EN9&gt;=EQ$24,EN9&lt;&gt;""),AND(FH9&gt;=FL$20,FH9&lt;&gt;"",FI9&gt;=FL$24,FI9&lt;&gt;""),AND(GC9&gt;=GG$20,GC9&lt;&gt;"",GD9&gt;=GG$24,GD9&lt;&gt;""),AND(GX9&gt;=HB$20,GX9&lt;&gt;"",GY9&gt;=HB$24,GY9&lt;&gt;""),AND(HS9&gt;=HW$20,HS9&lt;&gt;"",HT9&gt;=HW$24,HT9&lt;&gt;""),AND(IN9&gt;=IR$20,IN9&lt;&gt;"",IO9&gt;=IR$24,IO9&lt;&gt;""),AND(JI9&gt;=JM$20,JI9&lt;&gt;"",JJ9&gt;=JM$24,JJ9&lt;&gt;""),AND(KD9&gt;=KH$20,KD9&lt;&gt;"",KE9&gt;=KH$24,KE9&lt;&gt;""),AND(KY9&gt;=LC$20,KY9&lt;&gt;"",KZ9&gt;=LC$24,KZ9&lt;&gt;""),AND(LT9&gt;=LX$20,LT9&lt;&gt;"",LU9&gt;=LX$24,LU9&lt;&gt;"")),"Worlds Team",IF(OR(AND(AH9&gt;=AL$19,AH9&lt;&gt;"",AI9&gt;=AL$23,AI9&lt;&gt;"",AG9=""),AND(BD9&gt;=BH$19,BD9&lt;&gt;"",BE9&gt;=BH$23,BE9&lt;&gt;"",BC9=""),AND(BZ9&gt;=CD$19,BZ9&lt;&gt;"",CA9&gt;=CD$23,CA9&lt;&gt;"",BY9=""),AND(CW9&gt;=DA$19,CW9&lt;&gt;"",CX9&gt;=DA$23,CX9&lt;&gt;""),AND(DR9&gt;=DV$19,DR9&lt;&gt;"",DS9&gt;=DV$23,DS9&lt;&gt;""),AND(EM9&gt;=EQ$19,EM9&lt;&gt;"",EN9&gt;=EQ$23,EN9&lt;&gt;""),AND(FH9&gt;=FL$19,FH9&lt;&gt;"",FI9&gt;=FL$23,FI9&lt;&gt;""),AND(GC9&gt;=GG$19,GC9&lt;&gt;"",GD9&gt;=GG$23,GD9&lt;&gt;""),AND(GX9&gt;=HB$19,GX9&lt;&gt;"",GY9&gt;=HB$23,GY9&lt;&gt;""),AND(HS9&gt;=HW$19,HS9&lt;&gt;"",HT9&gt;=HW$23,HT9&lt;&gt;""),AND(IN9&gt;=IR$19,IN9&lt;&gt;"",IO9&gt;=IR$23,IO9&lt;&gt;""),AND(JI9&gt;=JM$19,JI9&lt;&gt;"",JJ9&gt;=JM$23,JJ9&lt;&gt;""),AND(KD9&gt;=KH$19,KD9&lt;&gt;"",KE9&gt;=KH$23,KE9&lt;&gt;""),AND(KY9&gt;=LC$19,KY9&lt;&gt;"",KZ9&gt;=LC$23,KZ9&lt;&gt;""),AND(LT9&gt;=LX$19,LT9&lt;&gt;"",LU9&gt;=LX$23,LU9&lt;&gt;"")),"National Team","")))))</f>
        <v>No DD</v>
      </c>
      <c r="I9" s="3" t="str">
        <f>IF(OR(H9="Worlds Team",H9="Excellence",H9="Merit"),"P","")</f>
        <v/>
      </c>
      <c r="J9" s="14">
        <f>MAX(AI9,BE9,CA9)</f>
        <v>67.3</v>
      </c>
      <c r="K9" s="14" t="str">
        <f>IF(J9=0,"",IF(J9=CA9,$BI$1,IF(J9=BE9,$AM$1,IF(J9=AI9,$Q$1,""))))</f>
        <v>2021 Canadian Championships</v>
      </c>
      <c r="L9" s="14">
        <f>IF(J9=AI9,MAX(BH9,CD9),IF(J9=BE9,MAX(AL9,CD9),MAX(AL9,BH9)))</f>
        <v>131.70000000000002</v>
      </c>
      <c r="M9" s="14" t="str">
        <f>IF(L9=0,"",IF(AND(J9&lt;&gt;CA9,L9=CD9),$BI$1,IF(AND(J9&lt;&gt;BE9,L9=BH9),$AM$1,IF(L9=AL9,$Q$1,""))))</f>
        <v>2021 2nd Virtual Technical Trial</v>
      </c>
      <c r="N9" s="14" t="str">
        <f>IF(MAX(CE9:CF9)&gt;0,MAX(CE9:CF9),"")</f>
        <v/>
      </c>
      <c r="O9" s="25" t="str">
        <f>IF(N9="","",IF(N9=CE9,"(Prelim)",IF(N9=CF9,"(4 Pass)")))</f>
        <v/>
      </c>
      <c r="P9" s="14" t="str">
        <f>IF(N9="","",IF(N9=CE9,IF(N9+IF(J9="",0,J9)=CX9,$CG$1,IF(N9+IF(J9="",0,J9)=DS9,$DB$1,IF(N9+IF(J9="",0,J9)=EN9,$DW$1,IF(N9+IF(J9="",0,J9)=FI9,$ER$1,IF(N9+IF(J9="",0,J9)=GD9,$FM$1,IF(N9+IF(J9="",0,J9)=GY9,$GH$1,IF(N9+IF(J9="",0,J9)=HT9,$HC$1,IF(N9+IF(J9="",0,J9)=IO9,$HX$1,IF(N9+IF(J9="",0,J9)=JJ9,$IS$1,IF(N9+IF(J9="",0,J9)=KE9,$JN$1,IF(N9+IF(J9="",0,J9)=KZ9,$KI$1,IF(N9+IF(J9="",0,J9)=LU9,$LD$1)))))))))))),IF(N9=CF9,IF(N9+IF(L9="",0,L9)=DA9,$CG$1,IF(N9+IF(L9="",0,L9)=DV9,$DB$1,IF(N9+IF(L9="",0,L9)=EQ9,$DW$1,IF(N9+IF(L9="",0,L9)=FL9,$ER$1,IF(N9+IF(L9="",0,L9)=GG9,$FM$1,IF(N9+IF(L9="",0,L9)=HB9,$GH$1,IF(N9+IF(L9="",0,L9)=HW9,$HC$1,IF(N9+IF(L9="",0,L9)=IR9,$HX$1,IF(N9+IF(L9="",0,L9)=JM9,$IS$1,IF(N9+IF(L9="",0,L9)=KH9,$JN$1,IF(N9+IF(L9="",0,L9)=LC9,$KI$1,IF(N9+IF(L9="",0,L9)=LX9,$LD$1)))))))))))))))</f>
        <v/>
      </c>
      <c r="Q9" s="69">
        <v>28.5</v>
      </c>
      <c r="R9" s="69">
        <v>5.2</v>
      </c>
      <c r="S9" s="69">
        <v>0</v>
      </c>
      <c r="T9" s="69">
        <v>0</v>
      </c>
      <c r="U9" s="69">
        <v>28.5</v>
      </c>
      <c r="V9" s="69">
        <v>5.2</v>
      </c>
      <c r="W9" s="69">
        <v>0.3</v>
      </c>
      <c r="X9" s="69">
        <v>0</v>
      </c>
      <c r="Y9" s="69">
        <v>28</v>
      </c>
      <c r="Z9" s="69">
        <v>4.4000000000000004</v>
      </c>
      <c r="AA9" s="69">
        <v>0</v>
      </c>
      <c r="AB9" s="69">
        <v>0</v>
      </c>
      <c r="AC9" s="69">
        <v>28.8</v>
      </c>
      <c r="AD9" s="69">
        <v>3.7</v>
      </c>
      <c r="AE9" s="69">
        <v>0.3</v>
      </c>
      <c r="AF9" s="69">
        <v>0</v>
      </c>
      <c r="AG9" s="80"/>
      <c r="AH9" s="11">
        <f>IF(SUM(R9,V9)&gt;0,SUM(R9,V9),"")</f>
        <v>10.4</v>
      </c>
      <c r="AI9" s="11">
        <f>IF(SUM(Q9:R9,T9:V9,X9)-SUM(S9,W9)&gt;0,SUM(Q9:R9,T9:V9,X9)-SUM(S9,W9),"")</f>
        <v>67.100000000000009</v>
      </c>
      <c r="AJ9" s="11">
        <f>IF(SUM(Z9,AD9)&gt;0,SUM(Z9,AD9),"")</f>
        <v>8.1000000000000014</v>
      </c>
      <c r="AK9" s="11">
        <f>IF(SUM(Y9:Z9,AB9:AD9,AF9)-SUM(AA9,AE9)&gt;0,SUM(Y9:Z9,AB9:AD9,AF9)-SUM(AA9,AE9),"")</f>
        <v>64.600000000000009</v>
      </c>
      <c r="AL9" s="11">
        <f>IF(SUM(AI9,AK9)&gt;0,SUM(AI9,AK9),"")</f>
        <v>131.70000000000002</v>
      </c>
      <c r="AM9" s="38">
        <v>28.3</v>
      </c>
      <c r="AN9" s="38">
        <v>5.2</v>
      </c>
      <c r="AO9" s="38">
        <v>1.2</v>
      </c>
      <c r="AP9" s="38">
        <v>0</v>
      </c>
      <c r="AQ9" s="38">
        <v>28.2</v>
      </c>
      <c r="AR9" s="38">
        <v>5.6</v>
      </c>
      <c r="AS9" s="38">
        <v>0.9</v>
      </c>
      <c r="AT9" s="38">
        <v>0</v>
      </c>
      <c r="AU9" s="38">
        <v>27.7</v>
      </c>
      <c r="AV9" s="38">
        <v>4.8</v>
      </c>
      <c r="AW9" s="38">
        <v>0.9</v>
      </c>
      <c r="AX9" s="38">
        <v>0</v>
      </c>
      <c r="AY9" s="38">
        <v>27.6</v>
      </c>
      <c r="AZ9" s="38">
        <v>3.5</v>
      </c>
      <c r="BA9" s="38">
        <v>1.2</v>
      </c>
      <c r="BB9" s="38">
        <v>0</v>
      </c>
      <c r="BC9" s="81"/>
      <c r="BD9" s="14">
        <f>IF(SUM(AN9,AR9)&gt;0,SUM(AN9,AR9),"")</f>
        <v>10.8</v>
      </c>
      <c r="BE9" s="14">
        <f>IF(SUM(AM9:AN9,AP9:AR9,AT9)-SUM(AO9,AS9)&gt;0,SUM(AM9:AN9,AP9:AR9,AT9)-SUM(AO9,AS9),"")</f>
        <v>65.2</v>
      </c>
      <c r="BF9" s="14">
        <f>IF(SUM(AV9,AZ9)&gt;0,SUM(AV9,AZ9),"")</f>
        <v>8.3000000000000007</v>
      </c>
      <c r="BG9" s="14">
        <f>IF(SUM(AU9:AV9,AX9:AZ9,BB9)-SUM(AW9,BA9)&gt;0,SUM(AU9:AV9,AX9:AZ9,BB9)-SUM(AW9,BA9),"")</f>
        <v>61.5</v>
      </c>
      <c r="BH9" s="14">
        <f>IF(SUM(BE9,BG9)&gt;0,SUM(BE9,BG9),"")</f>
        <v>126.7</v>
      </c>
      <c r="BI9" s="69">
        <v>28.4</v>
      </c>
      <c r="BJ9" s="69">
        <v>5.2</v>
      </c>
      <c r="BK9" s="69">
        <v>0</v>
      </c>
      <c r="BL9" s="69">
        <v>0</v>
      </c>
      <c r="BM9" s="69">
        <v>28.5</v>
      </c>
      <c r="BN9" s="69">
        <v>5.2</v>
      </c>
      <c r="BO9" s="69">
        <v>0</v>
      </c>
      <c r="BP9" s="69">
        <v>0</v>
      </c>
      <c r="BQ9" s="69">
        <v>27.5</v>
      </c>
      <c r="BR9" s="69">
        <v>5.2</v>
      </c>
      <c r="BS9" s="69">
        <v>0</v>
      </c>
      <c r="BT9" s="69">
        <v>0</v>
      </c>
      <c r="BU9" s="69">
        <v>27.6</v>
      </c>
      <c r="BV9" s="69">
        <v>4.8</v>
      </c>
      <c r="BW9" s="69">
        <v>0</v>
      </c>
      <c r="BX9" s="69">
        <v>0</v>
      </c>
      <c r="BY9" s="80"/>
      <c r="BZ9" s="11">
        <f>IF(SUM(BJ9,BN9)&gt;0,SUM(BJ9,BN9),"")</f>
        <v>10.4</v>
      </c>
      <c r="CA9" s="11">
        <f>IF(SUM(BI9:BJ9,BL9:BN9,BP9)-SUM(BK9,BO9)&gt;0,SUM(BI9:BJ9,BL9:BN9,BP9)-SUM(BK9,BO9),"")</f>
        <v>67.3</v>
      </c>
      <c r="CB9" s="11">
        <f>IF(SUM(BR9,BV9)&gt;0,SUM(BR9,BV9),"")</f>
        <v>10</v>
      </c>
      <c r="CC9" s="11">
        <f>IF(SUM(BQ9:BR9,BT9:BV9,BX9)-SUM(BS9,BW9)&gt;0,SUM(BQ9:BR9,BT9:BV9,BX9)-SUM(BS9,BW9),"")</f>
        <v>65.100000000000009</v>
      </c>
      <c r="CD9" s="11">
        <f>IF(SUM(CA9,CC9)&gt;0,SUM(CA9,CC9),"")</f>
        <v>132.4</v>
      </c>
      <c r="CE9" s="24" t="str">
        <f>IF(MAX(CX9,DS9,EN9,FI9,GD9,GY9,HT9,IO9,JJ9,KE9,KZ9,LU9)-IF(J9="",0,J9)&gt;0.001,MAX(CX9,DS9,EN9,FI9,GD9,GY9,HT9,IO9,JJ9,KE9,KZ9,LU9)-IF(J9="",0,J9),"")</f>
        <v/>
      </c>
      <c r="CF9" s="24" t="str">
        <f>IF(MAX(DA9,DV9,EQ9,FL9,GG9,HB9,HW9,IR9,JM9,KH9,LC9,LX9)-IF(L9="",0,L9)&gt;0.001,MAX(DA9,DV9,EQ9,FL9,GG9,HB9,HW9,IR9,JM9,KH9,LC9,LX9)-IF(L9="",0,L9),"")</f>
        <v/>
      </c>
      <c r="CG9" s="44"/>
      <c r="CH9" s="44"/>
      <c r="CI9" s="44"/>
      <c r="CJ9" s="44"/>
      <c r="CK9" s="44"/>
      <c r="CL9" s="44"/>
      <c r="CM9" s="44"/>
      <c r="CN9" s="44"/>
      <c r="CO9" s="44"/>
      <c r="CP9" s="44"/>
      <c r="CQ9" s="44"/>
      <c r="CR9" s="44"/>
      <c r="CS9" s="44"/>
      <c r="CT9" s="44"/>
      <c r="CU9" s="44"/>
      <c r="CV9" s="44"/>
      <c r="CW9" s="11" t="str">
        <f>IF(SUM(CH9,CL9)&gt;0,SUM(CH9,CL9),"")</f>
        <v/>
      </c>
      <c r="CX9" s="11" t="str">
        <f>IF(SUM(CG9:CH9,CJ9:CL9,CN9)-SUM(CI9,CM9)&gt;0,SUM(CG9:CH9,CJ9:CL9,CN9)-SUM(CI9,CM9),"")</f>
        <v/>
      </c>
      <c r="CY9" s="11" t="str">
        <f>IF(SUM(CP9,CT9)&gt;0,SUM(CP9,CT9),"")</f>
        <v/>
      </c>
      <c r="CZ9" s="11" t="str">
        <f>IF(SUM(CO9:CP9,CR9:CT9,CV9)-SUM(CQ9,CU9)&gt;0,SUM(CO9:CP9,CR9:CT9,CV9)-SUM(CQ9,CU9),"")</f>
        <v/>
      </c>
      <c r="DA9" s="11" t="str">
        <f>IF(SUM(CX9,CZ9)&gt;0,SUM(CX9,CZ9),"")</f>
        <v/>
      </c>
      <c r="DB9" s="43"/>
      <c r="DC9" s="43"/>
      <c r="DD9" s="43"/>
      <c r="DE9" s="43"/>
      <c r="DF9" s="43"/>
      <c r="DG9" s="43"/>
      <c r="DH9" s="43"/>
      <c r="DI9" s="43"/>
      <c r="DJ9" s="43"/>
      <c r="DK9" s="43"/>
      <c r="DL9" s="43"/>
      <c r="DM9" s="43"/>
      <c r="DN9" s="43"/>
      <c r="DO9" s="43"/>
      <c r="DP9" s="43"/>
      <c r="DQ9" s="43"/>
      <c r="DR9" s="14" t="str">
        <f>IF(SUM(DC9,DG9)&gt;0,SUM(DC9,DG9),"")</f>
        <v/>
      </c>
      <c r="DS9" s="14" t="str">
        <f>IF(SUM(DB9:DC9,DE9:DG9,DI9)-SUM(DD9,DH9)&gt;0,SUM(DB9:DC9,DE9:DG9,DI9)-SUM(DD9,DH9),"")</f>
        <v/>
      </c>
      <c r="DT9" s="14" t="str">
        <f>IF(SUM(DK9,DO9)&gt;0,SUM(DK9,DO9),"")</f>
        <v/>
      </c>
      <c r="DU9" s="14" t="str">
        <f>IF(SUM(DJ9:DK9,DM9:DO9,DQ9)-SUM(DL9,DP9)&gt;0,SUM(DJ9:DK9,DM9:DO9,DQ9)-SUM(DL9,DP9),"")</f>
        <v/>
      </c>
      <c r="DV9" s="14" t="str">
        <f>IF(SUM(DS9,DU9)&gt;0,SUM(DS9,DU9),"")</f>
        <v/>
      </c>
      <c r="DW9" s="44"/>
      <c r="DX9" s="44"/>
      <c r="DY9" s="44"/>
      <c r="DZ9" s="44"/>
      <c r="EA9" s="44"/>
      <c r="EB9" s="44"/>
      <c r="EC9" s="44"/>
      <c r="ED9" s="44"/>
      <c r="EE9" s="44"/>
      <c r="EF9" s="44"/>
      <c r="EG9" s="44"/>
      <c r="EH9" s="44"/>
      <c r="EI9" s="44"/>
      <c r="EJ9" s="44"/>
      <c r="EK9" s="44"/>
      <c r="EL9" s="44"/>
      <c r="EM9" s="11" t="str">
        <f>IF(SUM(DX9,EB9)&gt;0,SUM(DX9,EB9),"")</f>
        <v/>
      </c>
      <c r="EN9" s="11" t="str">
        <f>IF(SUM(DW9:DX9,DZ9:EB9,ED9)-SUM(DY9,EC9)&gt;0,SUM(DW9:DX9,DZ9:EB9,ED9)-SUM(DY9,EC9),"")</f>
        <v/>
      </c>
      <c r="EO9" s="11" t="str">
        <f>IF(SUM(EF9,EJ9)&gt;0,SUM(EF9,EJ9),"")</f>
        <v/>
      </c>
      <c r="EP9" s="11" t="str">
        <f>IF(SUM(EE9:EF9,EH9:EJ9,EL9)-SUM(EG9,EK9)&gt;0,SUM(EE9:EF9,EH9:EJ9,EL9)-SUM(EG9,EK9),"")</f>
        <v/>
      </c>
      <c r="EQ9" s="11" t="str">
        <f>IF(SUM(EN9,EP9)&gt;0,SUM(EN9,EP9),"")</f>
        <v/>
      </c>
      <c r="ER9" s="43"/>
      <c r="ES9" s="43"/>
      <c r="ET9" s="43"/>
      <c r="EU9" s="43"/>
      <c r="EV9" s="43"/>
      <c r="EW9" s="43"/>
      <c r="EX9" s="43"/>
      <c r="EY9" s="43"/>
      <c r="EZ9" s="43"/>
      <c r="FA9" s="43"/>
      <c r="FB9" s="43"/>
      <c r="FC9" s="43"/>
      <c r="FD9" s="43"/>
      <c r="FE9" s="43"/>
      <c r="FF9" s="43"/>
      <c r="FG9" s="43"/>
      <c r="FH9" s="14" t="str">
        <f>IF(SUM(ES9,EW9)&gt;0,SUM(ES9,EW9),"")</f>
        <v/>
      </c>
      <c r="FI9" s="14" t="str">
        <f>IF(SUM(ER9:ES9,EU9:EW9,EY9)-SUM(ET9,EX9)&gt;0,SUM(ER9:ES9,EU9:EW9,EY9)-SUM(ET9,EX9),"")</f>
        <v/>
      </c>
      <c r="FJ9" s="14" t="str">
        <f>IF(SUM(FA9,FE9)&gt;0,SUM(FA9,FE9),"")</f>
        <v/>
      </c>
      <c r="FK9" s="14" t="str">
        <f>IF(SUM(EZ9:FA9,FC9:FE9,FG9)-SUM(FB9,FF9)&gt;0,SUM(EZ9:FA9,FC9:FE9,FG9)-SUM(FB9,FF9),"")</f>
        <v/>
      </c>
      <c r="FL9" s="14" t="str">
        <f>IF(SUM(FI9,FK9)&gt;0,SUM(FI9,FK9),"")</f>
        <v/>
      </c>
      <c r="FM9" s="44"/>
      <c r="FN9" s="44"/>
      <c r="FO9" s="44"/>
      <c r="FP9" s="44"/>
      <c r="FQ9" s="44"/>
      <c r="FR9" s="44"/>
      <c r="FS9" s="44"/>
      <c r="FT9" s="44"/>
      <c r="FU9" s="44"/>
      <c r="FV9" s="44"/>
      <c r="FW9" s="44"/>
      <c r="FX9" s="44"/>
      <c r="FY9" s="44"/>
      <c r="FZ9" s="44"/>
      <c r="GA9" s="44"/>
      <c r="GB9" s="44"/>
      <c r="GC9" s="11" t="str">
        <f>IF(SUM(FN9,FR9)&gt;0,SUM(FN9,FR9),"")</f>
        <v/>
      </c>
      <c r="GD9" s="11" t="str">
        <f>IF(SUM(FM9:FN9,FP9:FR9,FT9)-SUM(FO9,FS9)&gt;0,SUM(FM9:FN9,FP9:FR9,FT9)-SUM(FO9,FS9),"")</f>
        <v/>
      </c>
      <c r="GE9" s="11" t="str">
        <f>IF(SUM(FV9,FZ9)&gt;0,SUM(FV9,FZ9),"")</f>
        <v/>
      </c>
      <c r="GF9" s="11" t="str">
        <f>IF(SUM(FU9:FV9,FX9:FZ9,GB9)-SUM(FW9,GA9)&gt;0,SUM(FU9:FV9,FX9:FZ9,GB9)-SUM(FW9,GA9),"")</f>
        <v/>
      </c>
      <c r="GG9" s="11" t="str">
        <f>IF(SUM(GD9,GF9)&gt;0,SUM(GD9,GF9),"")</f>
        <v/>
      </c>
      <c r="GH9" s="43"/>
      <c r="GI9" s="43"/>
      <c r="GJ9" s="43"/>
      <c r="GK9" s="43"/>
      <c r="GL9" s="43"/>
      <c r="GM9" s="43"/>
      <c r="GN9" s="43"/>
      <c r="GO9" s="43"/>
      <c r="GP9" s="43"/>
      <c r="GQ9" s="43"/>
      <c r="GR9" s="43"/>
      <c r="GS9" s="43"/>
      <c r="GT9" s="43"/>
      <c r="GU9" s="43"/>
      <c r="GV9" s="43"/>
      <c r="GW9" s="43"/>
      <c r="GX9" s="14" t="str">
        <f>IF(SUM(GI9,GM9)&gt;0,SUM(GI9,GM9),"")</f>
        <v/>
      </c>
      <c r="GY9" s="14" t="str">
        <f>IF(SUM(GH9:GI9,GK9:GM9,GO9)-SUM(GJ9,GN9)&gt;0,SUM(GH9:GI9,GK9:GM9,GO9)-SUM(GJ9,GN9),"")</f>
        <v/>
      </c>
      <c r="GZ9" s="14" t="str">
        <f>IF(SUM(GQ9,GU9)&gt;0,SUM(GQ9,GU9),"")</f>
        <v/>
      </c>
      <c r="HA9" s="14" t="str">
        <f>IF(SUM(GP9:GQ9,GS9:GU9,GW9)-SUM(GR9,GV9)&gt;0,SUM(GP9:GQ9,GS9:GU9,GW9)-SUM(GR9,GV9),"")</f>
        <v/>
      </c>
      <c r="HB9" s="14" t="str">
        <f>IF(SUM(GY9,HA9)&gt;0,SUM(GY9,HA9),"")</f>
        <v/>
      </c>
      <c r="HC9" s="44"/>
      <c r="HD9" s="44"/>
      <c r="HE9" s="44"/>
      <c r="HF9" s="44"/>
      <c r="HG9" s="44"/>
      <c r="HH9" s="44"/>
      <c r="HI9" s="44"/>
      <c r="HJ9" s="44"/>
      <c r="HK9" s="44"/>
      <c r="HL9" s="44"/>
      <c r="HM9" s="44"/>
      <c r="HN9" s="44"/>
      <c r="HO9" s="44"/>
      <c r="HP9" s="44"/>
      <c r="HQ9" s="44"/>
      <c r="HR9" s="44"/>
      <c r="HS9" s="11" t="str">
        <f>IF(SUM(HD9,HH9)&gt;0,SUM(HD9,HH9),"")</f>
        <v/>
      </c>
      <c r="HT9" s="11" t="str">
        <f>IF(SUM(HC9:HD9,HF9:HH9,HJ9)-SUM(HE9,HI9)&gt;0,SUM(HC9:HD9,HF9:HH9,HJ9)-SUM(HE9,HI9),"")</f>
        <v/>
      </c>
      <c r="HU9" s="11" t="str">
        <f>IF(SUM(HL9,HP9)&gt;0,SUM(HL9,HP9),"")</f>
        <v/>
      </c>
      <c r="HV9" s="11" t="str">
        <f>IF(SUM(HK9:HL9,HN9:HP9,HR9)-SUM(HM9,HQ9)&gt;0,SUM(HK9:HL9,HN9:HP9,HR9)-SUM(HM9,HQ9),"")</f>
        <v/>
      </c>
      <c r="HW9" s="11" t="str">
        <f>IF(SUM(HT9,HV9)&gt;0,SUM(HT9,HV9),"")</f>
        <v/>
      </c>
      <c r="HX9" s="43"/>
      <c r="HY9" s="43"/>
      <c r="HZ9" s="43"/>
      <c r="IA9" s="43"/>
      <c r="IB9" s="43"/>
      <c r="IC9" s="43"/>
      <c r="ID9" s="43"/>
      <c r="IE9" s="43"/>
      <c r="IF9" s="43"/>
      <c r="IG9" s="43"/>
      <c r="IH9" s="43"/>
      <c r="II9" s="43"/>
      <c r="IJ9" s="43"/>
      <c r="IK9" s="43"/>
      <c r="IL9" s="43"/>
      <c r="IM9" s="43"/>
      <c r="IN9" s="14" t="str">
        <f>IF(SUM(HY9,IC9)&gt;0,SUM(HY9,IC9),"")</f>
        <v/>
      </c>
      <c r="IO9" s="14" t="str">
        <f>IF(SUM(HX9:HY9,IA9:IC9,IE9)-SUM(HZ9,ID9)&gt;0,SUM(HX9:HY9,IA9:IC9,IE9)-SUM(HZ9,ID9),"")</f>
        <v/>
      </c>
      <c r="IP9" s="14" t="str">
        <f>IF(SUM(IG9,IK9)&gt;0,SUM(IG9,IK9),"")</f>
        <v/>
      </c>
      <c r="IQ9" s="14" t="str">
        <f>IF(SUM(IF9:IG9,II9:IK9,IM9)-SUM(IH9,IL9)&gt;0,SUM(IF9:IG9,II9:IK9,IM9)-SUM(IH9,IL9),"")</f>
        <v/>
      </c>
      <c r="IR9" s="14" t="str">
        <f>IF(SUM(IO9,IQ9)&gt;0,SUM(IO9,IQ9),"")</f>
        <v/>
      </c>
      <c r="IS9" s="44"/>
      <c r="IT9" s="44"/>
      <c r="IU9" s="44"/>
      <c r="IV9" s="44"/>
      <c r="IW9" s="44"/>
      <c r="IX9" s="44"/>
      <c r="IY9" s="44"/>
      <c r="IZ9" s="44"/>
      <c r="JA9" s="44"/>
      <c r="JB9" s="44"/>
      <c r="JC9" s="44"/>
      <c r="JD9" s="44"/>
      <c r="JE9" s="44"/>
      <c r="JF9" s="44"/>
      <c r="JG9" s="44"/>
      <c r="JH9" s="44"/>
      <c r="JI9" s="11" t="str">
        <f>IF(SUM(IT9,IX9)&gt;0,SUM(IT9,IX9),"")</f>
        <v/>
      </c>
      <c r="JJ9" s="11" t="str">
        <f>IF(SUM(IS9:IT9,IV9:IX9,IZ9)-SUM(IU9,IY9)&gt;0,SUM(IS9:IT9,IV9:IX9,IZ9)-SUM(IU9,IY9),"")</f>
        <v/>
      </c>
      <c r="JK9" s="11" t="str">
        <f>IF(SUM(JB9,JF9)&gt;0,SUM(JB9,JF9),"")</f>
        <v/>
      </c>
      <c r="JL9" s="11" t="str">
        <f>IF(SUM(JA9:JB9,JD9:JF9,JH9)-SUM(JC9,JG9)&gt;0,SUM(JA9:JB9,JD9:JF9,JH9)-SUM(JC9,JG9),"")</f>
        <v/>
      </c>
      <c r="JM9" s="11" t="str">
        <f>IF(SUM(JJ9,JL9)&gt;0,SUM(JJ9,JL9),"")</f>
        <v/>
      </c>
      <c r="JN9" s="43"/>
      <c r="JO9" s="43"/>
      <c r="JP9" s="43"/>
      <c r="JQ9" s="43"/>
      <c r="JR9" s="43"/>
      <c r="JS9" s="43"/>
      <c r="JT9" s="43"/>
      <c r="JU9" s="43"/>
      <c r="JV9" s="43"/>
      <c r="JW9" s="43"/>
      <c r="JX9" s="43"/>
      <c r="JY9" s="43"/>
      <c r="JZ9" s="43"/>
      <c r="KA9" s="43"/>
      <c r="KB9" s="43"/>
      <c r="KC9" s="43"/>
      <c r="KD9" s="14" t="str">
        <f>IF(SUM(JO9,JS9)&gt;0,SUM(JO9,JS9),"")</f>
        <v/>
      </c>
      <c r="KE9" s="14" t="str">
        <f>IF(SUM(JN9:JO9,JQ9:JS9,JU9)-SUM(JP9,JT9)&gt;0,SUM(JN9:JO9,JQ9:JS9,JU9)-SUM(JP9,JT9),"")</f>
        <v/>
      </c>
      <c r="KF9" s="14" t="str">
        <f>IF(SUM(JW9,KA9)&gt;0,SUM(JW9,KA9),"")</f>
        <v/>
      </c>
      <c r="KG9" s="14" t="str">
        <f>IF(SUM(JV9:JW9,JY9:KA9,KC9)-SUM(JX9,KB9)&gt;0,SUM(JV9:JW9,JY9:KA9,KC9)-SUM(JX9,KB9),"")</f>
        <v/>
      </c>
      <c r="KH9" s="14" t="str">
        <f>IF(SUM(KE9,KG9)&gt;0,SUM(KE9,KG9),"")</f>
        <v/>
      </c>
      <c r="KI9" s="44"/>
      <c r="KJ9" s="44"/>
      <c r="KK9" s="44"/>
      <c r="KL9" s="44"/>
      <c r="KM9" s="44"/>
      <c r="KN9" s="44"/>
      <c r="KO9" s="44"/>
      <c r="KP9" s="44"/>
      <c r="KQ9" s="44"/>
      <c r="KR9" s="44"/>
      <c r="KS9" s="44"/>
      <c r="KT9" s="44"/>
      <c r="KU9" s="44"/>
      <c r="KV9" s="44"/>
      <c r="KW9" s="44"/>
      <c r="KX9" s="44"/>
      <c r="KY9" s="11" t="str">
        <f>IF(SUM(KJ9,KN9)&gt;0,SUM(KJ9,KN9),"")</f>
        <v/>
      </c>
      <c r="KZ9" s="11" t="str">
        <f>IF(SUM(KI9:KJ9,KL9:KN9,KP9)-SUM(KK9,KO9)&gt;0,SUM(KI9:KJ9,KL9:KN9,KP9)-SUM(KK9,KO9),"")</f>
        <v/>
      </c>
      <c r="LA9" s="11" t="str">
        <f>IF(SUM(KR9,KV9)&gt;0,SUM(KR9,KV9),"")</f>
        <v/>
      </c>
      <c r="LB9" s="11" t="str">
        <f>IF(SUM(KQ9:KR9,KT9:KV9,KX9)-SUM(KS9,KW9)&gt;0,SUM(KQ9:KR9,KT9:KV9,KX9)-SUM(KS9,KW9),"")</f>
        <v/>
      </c>
      <c r="LC9" s="11" t="str">
        <f>IF(SUM(KZ9,LB9)&gt;0,SUM(KZ9,LB9),"")</f>
        <v/>
      </c>
      <c r="LD9" s="43"/>
      <c r="LE9" s="43"/>
      <c r="LF9" s="43"/>
      <c r="LG9" s="43"/>
      <c r="LH9" s="43"/>
      <c r="LI9" s="43"/>
      <c r="LJ9" s="43"/>
      <c r="LK9" s="43"/>
      <c r="LL9" s="43"/>
      <c r="LM9" s="43"/>
      <c r="LN9" s="43"/>
      <c r="LO9" s="43"/>
      <c r="LP9" s="43"/>
      <c r="LQ9" s="43"/>
      <c r="LR9" s="43"/>
      <c r="LS9" s="43"/>
      <c r="LT9" s="14" t="str">
        <f>IF(SUM(LE9,LI9)&gt;0,SUM(LE9,LI9),"")</f>
        <v/>
      </c>
      <c r="LU9" s="14" t="str">
        <f>IF(SUM(LD9:LE9,LG9:LI9,LK9)-SUM(LF9,LJ9)&gt;0,SUM(LD9:LE9,LG9:LI9,LK9)-SUM(LF9,LJ9),"")</f>
        <v/>
      </c>
      <c r="LV9" s="14" t="str">
        <f>IF(SUM(LM9,LQ9)&gt;0,SUM(LM9,LQ9),"")</f>
        <v/>
      </c>
      <c r="LW9" s="14" t="str">
        <f>IF(SUM(LL9:LM9,LO9:LQ9,LS9)-SUM(LN9,LR9)&gt;0,SUM(LL9:LM9,LO9:LQ9,LS9)-SUM(LN9,LR9),"")</f>
        <v/>
      </c>
      <c r="LX9" s="14" t="str">
        <f>IF(SUM(LU9,LW9)&gt;0,SUM(LU9,LW9),"")</f>
        <v/>
      </c>
      <c r="LY9" s="69">
        <f>IF($BY9="P",BI9,(BI9+AM9)/2)</f>
        <v>28.35</v>
      </c>
      <c r="LZ9" s="69">
        <f>IF($BY9="P",BJ9,(BJ9+AN9)/2)</f>
        <v>5.2</v>
      </c>
      <c r="MA9" s="69">
        <f>IF($BY9="P",BK9,(BK9+AO9)/2)</f>
        <v>0.6</v>
      </c>
      <c r="MB9" s="69">
        <f>IF($BY9="P",BL9,(BL9+AP9)/2)</f>
        <v>0</v>
      </c>
      <c r="MC9" s="69">
        <f>IF($BY9="P",BM9,(BM9+AQ9)/2)</f>
        <v>28.35</v>
      </c>
      <c r="MD9" s="69">
        <f>IF($BY9="P",BN9,(BN9+AR9)/2)</f>
        <v>5.4</v>
      </c>
      <c r="ME9" s="69">
        <f>IF($BY9="P",BO9,(BO9+AS9)/2)</f>
        <v>0.45</v>
      </c>
      <c r="MF9" s="69">
        <f>IF($BY9="P",BP9,(BP9+AT9)/2)</f>
        <v>0</v>
      </c>
      <c r="MG9" s="69">
        <f>IF($BY9="P",BQ9,(BQ9+AU9)/2)</f>
        <v>27.6</v>
      </c>
      <c r="MH9" s="69">
        <f>IF($BY9="P",BR9,(BR9+AV9)/2)</f>
        <v>5</v>
      </c>
      <c r="MI9" s="69">
        <f>IF($BY9="P",BS9,(BS9+AW9)/2)</f>
        <v>0.45</v>
      </c>
      <c r="MJ9" s="69">
        <f>IF($BY9="P",BT9,(BT9+AX9)/2)</f>
        <v>0</v>
      </c>
      <c r="MK9" s="69">
        <f>IF($BY9="P",BU9,(BU9+AY9)/2)</f>
        <v>27.6</v>
      </c>
      <c r="ML9" s="69">
        <f>IF($BY9="P",BV9,(BV9+AZ9)/2)</f>
        <v>4.1500000000000004</v>
      </c>
      <c r="MM9" s="69">
        <f>IF($BY9="P",BW9,(BW9+BA9)/2)</f>
        <v>0.6</v>
      </c>
      <c r="MN9" s="69">
        <f>IF($BY9="P",BX9,(BX9+BB9)/2)</f>
        <v>0</v>
      </c>
      <c r="MO9" s="80" t="s">
        <v>74</v>
      </c>
      <c r="MP9" s="11">
        <f>IF(SUM(LZ9,MD9)&gt;0,SUM(LZ9,MD9),"")</f>
        <v>10.600000000000001</v>
      </c>
      <c r="MQ9" s="11">
        <f>IF(SUM(LY9:LZ9,MB9:MD9,MF9)-SUM(MA9,ME9)&gt;0,SUM(LY9:LZ9,MB9:MD9,MF9)-SUM(MA9,ME9),"")</f>
        <v>66.250000000000014</v>
      </c>
      <c r="MR9" s="11">
        <f>IF(SUM(MH9,ML9)&gt;0,SUM(MH9,ML9),"")</f>
        <v>9.15</v>
      </c>
      <c r="MS9" s="11">
        <f>IF(SUM(MG9:MH9,MJ9:ML9,MN9)-SUM(MI9,MM9)&gt;0,SUM(MG9:MH9,MJ9:ML9,MN9)-SUM(MI9,MM9),"")</f>
        <v>63.300000000000011</v>
      </c>
      <c r="MT9" s="11">
        <f>IF(SUM(MQ9,MS9)&gt;0,SUM(MQ9,MS9),"")</f>
        <v>129.55000000000001</v>
      </c>
    </row>
    <row r="10" spans="1:358" x14ac:dyDescent="0.2">
      <c r="A10" s="5" t="str">
        <f>IF(AND(F10="P",G10="P"),SUMPRODUCT((F$4:F$17="P")*(G$4:G$17="P")*(E$4:E$17&gt;E10))+1,IF(G10="P",SUMPRODUCT((F$4:F$17="")*(G$4:G$17="P")*(E$4:E$17&gt;E10))+1+SUMPRODUCT((F$4:F$17="P")*(G$4:G$17="P")),""))</f>
        <v/>
      </c>
      <c r="B10" s="8" t="s">
        <v>97</v>
      </c>
      <c r="C10" s="4" t="s">
        <v>6</v>
      </c>
      <c r="D10" s="5">
        <v>2001</v>
      </c>
      <c r="E10" s="15">
        <f>SUM(J10:N10)</f>
        <v>192.89999999999998</v>
      </c>
      <c r="F10" s="3" t="str">
        <f>IF(OR(AND(AH10&gt;=AL$19,AI10&gt;=AL$23,AI10&lt;&gt;"",AG10=""),AND(BD10&gt;=BH$19,BE10&gt;=BH$23,BE10&lt;&gt;"",BC10=""),AND(BZ10&gt;=CD$19,CA10&gt;=CD$23,CA10&lt;&gt;"",BY10=""),AND(CW10&gt;=DA$19,CX10&gt;=DA$23,CX10&lt;&gt;""),AND(DR10&gt;=DV$19,DS10&gt;=DV$23,DS10&lt;&gt;""),AND(EM10&gt;=EQ$19,EN10&gt;=EQ$23,EN10&lt;&gt;""),AND(FH10&gt;=FL$19,FI10&gt;=FL$23,FI10&lt;&gt;""),AND(GC10&gt;=GG$19,GD10&gt;=GG$23,GD10&lt;&gt;""),AND(GX10&gt;=HB$19,GY10&gt;=HB$23,GY10&lt;&gt;""),AND(HS10&gt;=HW$19,HT10&gt;=HW$23,HT10&lt;&gt;""),AND(IN10&gt;=IR$19,IO10&gt;=IR$23,IO10&lt;&gt;""),AND(JI10&gt;=JM$19,JJ10&gt;=JM$23,JJ10&lt;&gt;""),AND(KD10&gt;=KH$19,KE10&gt;=KH$23,KE10&lt;&gt;""),AND(KY10&gt;=LC$19,KZ10&gt;=LC$23,KZ10&lt;&gt;""),AND(LT10&gt;=LX$19,LU10&gt;=LX$23,LU10&lt;&gt;"")),"P","")</f>
        <v/>
      </c>
      <c r="G10" s="3" t="str">
        <f>IF(OR(AND(AI10&gt;=AL$23,AI10&lt;&gt;"",AG10=""),AND(BE10&gt;=BH$23,BE10&lt;&gt;"",BC10=""),AND(CA10&gt;=CD$23,CA10&lt;&gt;"",BY10=""),AND(CX10&gt;=DA$23,CX10&lt;&gt;""),AND(DS10&gt;=DV$23,DS10&lt;&gt;""),AND(EN10&gt;=EQ$23,EN10&lt;&gt;""),AND(FI10&gt;=FL$23,FI10&lt;&gt;""),AND(GD10&gt;=GG$23,GD10&lt;&gt;""),AND(GY10&gt;=HB$23,GY10&lt;&gt;""),AND(HT10&gt;=HW$23,HT10&lt;&gt;""),AND(IO10&gt;=IR$23,IO10&lt;&gt;""),AND(JJ10&gt;=JM$23,JJ10&lt;&gt;""),AND(KE10&gt;=KH$23,KE10&lt;&gt;""),AND(KZ10&gt;=LC$23,KZ10&lt;&gt;""),AND(LU10&gt;=LX$23,LU10&lt;&gt;"")),"P","")</f>
        <v/>
      </c>
      <c r="H10" s="126" t="str">
        <f>IF(AND(G10="P",F10=""),"No DD",IF(OR(AND(AH10&gt;=AL$22,AH10&lt;&gt;"",AI10&gt;=AL$26,AI10&lt;&gt;"",AG10=""),AND(BD10&gt;=BH$22,BD10&lt;&gt;"",BE10&gt;=BH$26,BE10&lt;&gt;"",BC10=""),AND(BZ10&gt;=CD$22,BZ10&lt;&gt;"",CA10&gt;=CD$26,CA10&lt;&gt;"",BY10=""),AND(CW10&gt;=DA$22,CW10&lt;&gt;"",CX10&gt;=DA$26,CX10&lt;&gt;""),AND(DR10&gt;=DV$22,DR10&lt;&gt;"",DS10&gt;=DV$26,DS10&lt;&gt;""),AND(EM10&gt;=EQ$22,EM10&lt;&gt;"",EN10&gt;=EQ$26,EN10&lt;&gt;""),AND(FH10&gt;=FL$22,FH10&lt;&gt;"",FI10&gt;=FL$26,FI10&lt;&gt;""),AND(GC10&gt;=GG$22,GC10&lt;&gt;"",GD10&gt;=GG$26,GD10&lt;&gt;""),AND(GX10&gt;=HB$22,GX10&lt;&gt;"",GY10&gt;=HB$26,GY10&lt;&gt;""),AND(HS10&gt;=HW$22,HS10&lt;&gt;"",HT10&gt;=HW$26,HT10&lt;&gt;""),AND(IN10&gt;=IR$22,IN10&lt;&gt;"",IO10&gt;=IR$26,IO10&lt;&gt;""),AND(JI10&gt;=JM$22,JI10&lt;&gt;"",JJ10&gt;=JM$26,JJ10&lt;&gt;""),AND(KD10&gt;=KH$22,KD10&lt;&gt;"",KE10&gt;=KH$26,KE10&lt;&gt;""),AND(KY10&gt;=LC$22,KY10&lt;&gt;"",KZ10&gt;=LC$26,KZ10&lt;&gt;""),AND(LT10&gt;=LX$22,LT10&lt;&gt;"",LU10&gt;=LX$26,LU10&lt;&gt;"")),"Merit",IF(OR(AND(AH10&gt;=AL$21,AH10&lt;&gt;"",AI10&gt;=AL$25,AI10&lt;&gt;"",AG10=""),AND(BD10&gt;=BH$21,BD10&lt;&gt;"",BE10&gt;=BH$25,BE10&lt;&gt;"",BC10=""),AND(BZ10&gt;=CD$21,BZ10&lt;&gt;"",CA10&gt;=CD$25,CA10&lt;&gt;"",BY10=""),AND(CW10&gt;=DA$21,CW10&lt;&gt;"",CX10&gt;=DA$25,CX10&lt;&gt;""),AND(DR10&gt;=DV$21,DR10&lt;&gt;"",DS10&gt;=DV$25,DS10&lt;&gt;""),AND(EM10&gt;=EQ$21,EM10&lt;&gt;"",EN10&gt;=EQ$25,EN10&lt;&gt;""),AND(FH10&gt;=FL$21,FH10&lt;&gt;"",FI10&gt;=FL$25,FI10&lt;&gt;""),AND(GC10&gt;=GG$21,GC10&lt;&gt;"",GD10&gt;=GG$25,GD10&lt;&gt;""),AND(GX10&gt;=HB$21,GX10&lt;&gt;"",GY10&gt;=HB$25,GY10&lt;&gt;""),AND(HS10&gt;=HW$21,HS10&lt;&gt;"",HT10&gt;=HW$25,HT10&lt;&gt;""),AND(IN10&gt;=IR$21,IN10&lt;&gt;"",IO10&gt;=IR$25,IO10&lt;&gt;""),AND(JI10&gt;=JM$21,JI10&lt;&gt;"",JJ10&gt;=JM$25,JJ10&lt;&gt;""),AND(KD10&gt;=KH$21,KD10&lt;&gt;"",KE10&gt;=KH$25,KE10&lt;&gt;""),AND(KY10&gt;=LC$21,KY10&lt;&gt;"",KZ10&gt;=LC$25,KZ10&lt;&gt;""),AND(LT10&gt;=LX$21,LT10&lt;&gt;"",LU10&gt;=LX$25,LU10&lt;&gt;"")),"Excellence",IF(OR(AND(AH10&gt;=AL$20,AH10&lt;&gt;"",AI10&gt;=AL$24,AI10&lt;&gt;"",AG10=""),AND(BD10&gt;=BH$20,BD10&lt;&gt;"",BE10&gt;=BH$24,BE10&lt;&gt;"",BC10=""),AND(BZ10&gt;=CD$20,BZ10&lt;&gt;"",CA10&gt;=CD$24,CA10&lt;&gt;"",BY10=""),AND(CW10&gt;=DA$20,CW10&lt;&gt;"",CX10&gt;=DA$24,CX10&lt;&gt;""),AND(DR10&gt;=DV$20,DR10&lt;&gt;"",DS10&gt;=DV$24,DS10&lt;&gt;""),AND(EM10&gt;=EQ$20,EM10&lt;&gt;"",EN10&gt;=EQ$24,EN10&lt;&gt;""),AND(FH10&gt;=FL$20,FH10&lt;&gt;"",FI10&gt;=FL$24,FI10&lt;&gt;""),AND(GC10&gt;=GG$20,GC10&lt;&gt;"",GD10&gt;=GG$24,GD10&lt;&gt;""),AND(GX10&gt;=HB$20,GX10&lt;&gt;"",GY10&gt;=HB$24,GY10&lt;&gt;""),AND(HS10&gt;=HW$20,HS10&lt;&gt;"",HT10&gt;=HW$24,HT10&lt;&gt;""),AND(IN10&gt;=IR$20,IN10&lt;&gt;"",IO10&gt;=IR$24,IO10&lt;&gt;""),AND(JI10&gt;=JM$20,JI10&lt;&gt;"",JJ10&gt;=JM$24,JJ10&lt;&gt;""),AND(KD10&gt;=KH$20,KD10&lt;&gt;"",KE10&gt;=KH$24,KE10&lt;&gt;""),AND(KY10&gt;=LC$20,KY10&lt;&gt;"",KZ10&gt;=LC$24,KZ10&lt;&gt;""),AND(LT10&gt;=LX$20,LT10&lt;&gt;"",LU10&gt;=LX$24,LU10&lt;&gt;"")),"Worlds Team",IF(OR(AND(AH10&gt;=AL$19,AH10&lt;&gt;"",AI10&gt;=AL$23,AI10&lt;&gt;"",AG10=""),AND(BD10&gt;=BH$19,BD10&lt;&gt;"",BE10&gt;=BH$23,BE10&lt;&gt;"",BC10=""),AND(BZ10&gt;=CD$19,BZ10&lt;&gt;"",CA10&gt;=CD$23,CA10&lt;&gt;"",BY10=""),AND(CW10&gt;=DA$19,CW10&lt;&gt;"",CX10&gt;=DA$23,CX10&lt;&gt;""),AND(DR10&gt;=DV$19,DR10&lt;&gt;"",DS10&gt;=DV$23,DS10&lt;&gt;""),AND(EM10&gt;=EQ$19,EM10&lt;&gt;"",EN10&gt;=EQ$23,EN10&lt;&gt;""),AND(FH10&gt;=FL$19,FH10&lt;&gt;"",FI10&gt;=FL$23,FI10&lt;&gt;""),AND(GC10&gt;=GG$19,GC10&lt;&gt;"",GD10&gt;=GG$23,GD10&lt;&gt;""),AND(GX10&gt;=HB$19,GX10&lt;&gt;"",GY10&gt;=HB$23,GY10&lt;&gt;""),AND(HS10&gt;=HW$19,HS10&lt;&gt;"",HT10&gt;=HW$23,HT10&lt;&gt;""),AND(IN10&gt;=IR$19,IN10&lt;&gt;"",IO10&gt;=IR$23,IO10&lt;&gt;""),AND(JI10&gt;=JM$19,JI10&lt;&gt;"",JJ10&gt;=JM$23,JJ10&lt;&gt;""),AND(KD10&gt;=KH$19,KD10&lt;&gt;"",KE10&gt;=KH$23,KE10&lt;&gt;""),AND(KY10&gt;=LC$19,KY10&lt;&gt;"",KZ10&gt;=LC$23,KZ10&lt;&gt;""),AND(LT10&gt;=LX$19,LT10&lt;&gt;"",LU10&gt;=LX$23,LU10&lt;&gt;"")),"National Team","")))))</f>
        <v/>
      </c>
      <c r="I10" s="3" t="str">
        <f>IF(OR(H10="Worlds Team",H10="Excellence",H10="Merit"),"P","")</f>
        <v/>
      </c>
      <c r="J10" s="14">
        <f>MAX(AI10,BE10,CA10)</f>
        <v>64.3</v>
      </c>
      <c r="K10" s="14" t="str">
        <f>IF(J10=0,"",IF(J10=CA10,$BI$1,IF(J10=BE10,$AM$1,IF(J10=AI10,$Q$1,""))))</f>
        <v>2021 2nd Virtual Technical Trial</v>
      </c>
      <c r="L10" s="14">
        <f>IF(J10=AI10,MAX(BH10,CD10),IF(J10=BE10,MAX(AL10,CD10),MAX(AL10,BH10)))</f>
        <v>128.6</v>
      </c>
      <c r="M10" s="14" t="str">
        <f>IF(L10=0,"",IF(AND(J10&lt;&gt;CA10,L10=CD10),$BI$1,IF(AND(J10&lt;&gt;BE10,L10=BH10),$AM$1,IF(L10=AL10,$Q$1,""))))</f>
        <v>2021 Elite Canada</v>
      </c>
      <c r="N10" s="14" t="str">
        <f>IF(MAX(CE10:CF10)&gt;0,MAX(CE10:CF10),"")</f>
        <v/>
      </c>
      <c r="O10" s="25" t="str">
        <f>IF(N10="","",IF(N10=CE10,"(Prelim)",IF(N10=CF10,"(4 Pass)")))</f>
        <v/>
      </c>
      <c r="P10" s="14" t="str">
        <f>IF(N10="","",IF(N10=CE10,IF(N10+IF(J10="",0,J10)=CX10,$CG$1,IF(N10+IF(J10="",0,J10)=DS10,$DB$1,IF(N10+IF(J10="",0,J10)=EN10,$DW$1,IF(N10+IF(J10="",0,J10)=FI10,$ER$1,IF(N10+IF(J10="",0,J10)=GD10,$FM$1,IF(N10+IF(J10="",0,J10)=GY10,$GH$1,IF(N10+IF(J10="",0,J10)=HT10,$HC$1,IF(N10+IF(J10="",0,J10)=IO10,$HX$1,IF(N10+IF(J10="",0,J10)=JJ10,$IS$1,IF(N10+IF(J10="",0,J10)=KE10,$JN$1,IF(N10+IF(J10="",0,J10)=KZ10,$KI$1,IF(N10+IF(J10="",0,J10)=LU10,$LD$1)))))))))))),IF(N10=CF10,IF(N10+IF(L10="",0,L10)=DA10,$CG$1,IF(N10+IF(L10="",0,L10)=DV10,$DB$1,IF(N10+IF(L10="",0,L10)=EQ10,$DW$1,IF(N10+IF(L10="",0,L10)=FL10,$ER$1,IF(N10+IF(L10="",0,L10)=GG10,$FM$1,IF(N10+IF(L10="",0,L10)=HB10,$GH$1,IF(N10+IF(L10="",0,L10)=HW10,$HC$1,IF(N10+IF(L10="",0,L10)=IR10,$HX$1,IF(N10+IF(L10="",0,L10)=JM10,$IS$1,IF(N10+IF(L10="",0,L10)=KH10,$JN$1,IF(N10+IF(L10="",0,L10)=LC10,$KI$1,IF(N10+IF(L10="",0,L10)=LX10,$LD$1)))))))))))))))</f>
        <v/>
      </c>
      <c r="Q10" s="69">
        <v>27.9</v>
      </c>
      <c r="R10" s="69">
        <v>5.6</v>
      </c>
      <c r="S10" s="69">
        <v>0.9</v>
      </c>
      <c r="T10" s="69">
        <v>0</v>
      </c>
      <c r="U10" s="69">
        <v>27.4</v>
      </c>
      <c r="V10" s="69">
        <v>5.2</v>
      </c>
      <c r="W10" s="69">
        <v>0.9</v>
      </c>
      <c r="X10" s="69">
        <v>0</v>
      </c>
      <c r="Y10" s="69">
        <v>27.8</v>
      </c>
      <c r="Z10" s="69">
        <v>4.8</v>
      </c>
      <c r="AA10" s="69">
        <v>0.9</v>
      </c>
      <c r="AB10" s="69">
        <v>0</v>
      </c>
      <c r="AC10" s="69">
        <v>27.9</v>
      </c>
      <c r="AD10" s="69">
        <v>4.8</v>
      </c>
      <c r="AE10" s="69">
        <v>0</v>
      </c>
      <c r="AF10" s="69">
        <v>0</v>
      </c>
      <c r="AG10" s="80"/>
      <c r="AH10" s="11">
        <f>IF(SUM(R10,V10)&gt;0,SUM(R10,V10),"")</f>
        <v>10.8</v>
      </c>
      <c r="AI10" s="11">
        <f>IF(SUM(Q10:R10,T10:V10,X10)-SUM(S10,W10)&gt;0,SUM(Q10:R10,T10:V10,X10)-SUM(S10,W10),"")</f>
        <v>64.3</v>
      </c>
      <c r="AJ10" s="11">
        <f>IF(SUM(Z10,AD10)&gt;0,SUM(Z10,AD10),"")</f>
        <v>9.6</v>
      </c>
      <c r="AK10" s="11">
        <f>IF(SUM(Y10:Z10,AB10:AD10,AF10)-SUM(AA10,AE10)&gt;0,SUM(Y10:Z10,AB10:AD10,AF10)-SUM(AA10,AE10),"")</f>
        <v>64.399999999999991</v>
      </c>
      <c r="AL10" s="11">
        <f>IF(SUM(AI10,AK10)&gt;0,SUM(AI10,AK10),"")</f>
        <v>128.69999999999999</v>
      </c>
      <c r="AM10" s="38">
        <v>27.2</v>
      </c>
      <c r="AN10" s="38">
        <v>5.6</v>
      </c>
      <c r="AO10" s="38">
        <v>0.9</v>
      </c>
      <c r="AP10" s="38">
        <v>0</v>
      </c>
      <c r="AQ10" s="38">
        <v>27.1</v>
      </c>
      <c r="AR10" s="38">
        <v>5.2</v>
      </c>
      <c r="AS10" s="38">
        <v>0</v>
      </c>
      <c r="AT10" s="38">
        <v>0</v>
      </c>
      <c r="AU10" s="38">
        <v>27.3</v>
      </c>
      <c r="AV10" s="38">
        <v>5.6</v>
      </c>
      <c r="AW10" s="38">
        <v>0.3</v>
      </c>
      <c r="AX10" s="38">
        <v>0</v>
      </c>
      <c r="AY10" s="38">
        <v>26.6</v>
      </c>
      <c r="AZ10" s="38">
        <v>5.2</v>
      </c>
      <c r="BA10" s="38">
        <v>0</v>
      </c>
      <c r="BB10" s="38">
        <v>0</v>
      </c>
      <c r="BC10" s="81"/>
      <c r="BD10" s="14">
        <f>IF(SUM(AN10,AR10)&gt;0,SUM(AN10,AR10),"")</f>
        <v>10.8</v>
      </c>
      <c r="BE10" s="14">
        <f>IF(SUM(AM10:AN10,AP10:AR10,AT10)-SUM(AO10,AS10)&gt;0,SUM(AM10:AN10,AP10:AR10,AT10)-SUM(AO10,AS10),"")</f>
        <v>64.199999999999989</v>
      </c>
      <c r="BF10" s="14">
        <f>IF(SUM(AV10,AZ10)&gt;0,SUM(AV10,AZ10),"")</f>
        <v>10.8</v>
      </c>
      <c r="BG10" s="14">
        <f>IF(SUM(AU10:AV10,AX10:AZ10,BB10)-SUM(AW10,BA10)&gt;0,SUM(AU10:AV10,AX10:AZ10,BB10)-SUM(AW10,BA10),"")</f>
        <v>64.400000000000006</v>
      </c>
      <c r="BH10" s="14">
        <f>IF(SUM(BE10,BG10)&gt;0,SUM(BE10,BG10),"")</f>
        <v>128.6</v>
      </c>
      <c r="BI10" s="69">
        <v>27.9</v>
      </c>
      <c r="BJ10" s="69">
        <v>5.6</v>
      </c>
      <c r="BK10" s="69">
        <v>0</v>
      </c>
      <c r="BL10" s="69">
        <v>0</v>
      </c>
      <c r="BM10" s="69">
        <v>24.7</v>
      </c>
      <c r="BN10" s="69">
        <v>5.6</v>
      </c>
      <c r="BO10" s="69">
        <v>0.3</v>
      </c>
      <c r="BP10" s="69">
        <v>0</v>
      </c>
      <c r="BQ10" s="69">
        <v>26.4</v>
      </c>
      <c r="BR10" s="69">
        <v>5.2</v>
      </c>
      <c r="BS10" s="69">
        <v>1.2</v>
      </c>
      <c r="BT10" s="69">
        <v>0</v>
      </c>
      <c r="BU10" s="69">
        <v>27.7</v>
      </c>
      <c r="BV10" s="69">
        <v>5.2</v>
      </c>
      <c r="BW10" s="69">
        <v>0.9</v>
      </c>
      <c r="BX10" s="69">
        <v>0</v>
      </c>
      <c r="BY10" s="80"/>
      <c r="BZ10" s="11">
        <f>IF(SUM(BJ10,BN10)&gt;0,SUM(BJ10,BN10),"")</f>
        <v>11.2</v>
      </c>
      <c r="CA10" s="11">
        <f>IF(SUM(BI10:BJ10,BL10:BN10,BP10)-SUM(BK10,BO10)&gt;0,SUM(BI10:BJ10,BL10:BN10,BP10)-SUM(BK10,BO10),"")</f>
        <v>63.500000000000007</v>
      </c>
      <c r="CB10" s="11">
        <f>IF(SUM(BR10,BV10)&gt;0,SUM(BR10,BV10),"")</f>
        <v>10.4</v>
      </c>
      <c r="CC10" s="11">
        <f>IF(SUM(BQ10:BR10,BT10:BV10,BX10)-SUM(BS10,BW10)&gt;0,SUM(BQ10:BR10,BT10:BV10,BX10)-SUM(BS10,BW10),"")</f>
        <v>62.4</v>
      </c>
      <c r="CD10" s="11">
        <f>IF(SUM(CA10,CC10)&gt;0,SUM(CA10,CC10),"")</f>
        <v>125.9</v>
      </c>
      <c r="CE10" s="24" t="str">
        <f>IF(MAX(CX10,DS10,EN10,FI10,GD10,GY10,HT10,IO10,JJ10,KE10,KZ10,LU10)-IF(J10="",0,J10)&gt;0.001,MAX(CX10,DS10,EN10,FI10,GD10,GY10,HT10,IO10,JJ10,KE10,KZ10,LU10)-IF(J10="",0,J10),"")</f>
        <v/>
      </c>
      <c r="CF10" s="24" t="str">
        <f>IF(MAX(DA10,DV10,EQ10,FL10,GG10,HB10,HW10,IR10,JM10,KH10,LC10,LX10)-IF(L10="",0,L10)&gt;0.001,MAX(DA10,DV10,EQ10,FL10,GG10,HB10,HW10,IR10,JM10,KH10,LC10,LX10)-IF(L10="",0,L10),"")</f>
        <v/>
      </c>
      <c r="CG10" s="44"/>
      <c r="CH10" s="44"/>
      <c r="CI10" s="44"/>
      <c r="CJ10" s="44"/>
      <c r="CK10" s="44"/>
      <c r="CL10" s="44"/>
      <c r="CM10" s="44"/>
      <c r="CN10" s="44"/>
      <c r="CO10" s="44"/>
      <c r="CP10" s="44"/>
      <c r="CQ10" s="44"/>
      <c r="CR10" s="44"/>
      <c r="CS10" s="44"/>
      <c r="CT10" s="44"/>
      <c r="CU10" s="44"/>
      <c r="CV10" s="44"/>
      <c r="CW10" s="11" t="str">
        <f>IF(SUM(CH10,CL10)&gt;0,SUM(CH10,CL10),"")</f>
        <v/>
      </c>
      <c r="CX10" s="11" t="str">
        <f>IF(SUM(CG10:CH10,CJ10:CL10,CN10)-SUM(CI10,CM10)&gt;0,SUM(CG10:CH10,CJ10:CL10,CN10)-SUM(CI10,CM10),"")</f>
        <v/>
      </c>
      <c r="CY10" s="11" t="str">
        <f>IF(SUM(CP10,CT10)&gt;0,SUM(CP10,CT10),"")</f>
        <v/>
      </c>
      <c r="CZ10" s="11" t="str">
        <f>IF(SUM(CO10:CP10,CR10:CT10,CV10)-SUM(CQ10,CU10)&gt;0,SUM(CO10:CP10,CR10:CT10,CV10)-SUM(CQ10,CU10),"")</f>
        <v/>
      </c>
      <c r="DA10" s="11" t="str">
        <f>IF(SUM(CX10,CZ10)&gt;0,SUM(CX10,CZ10),"")</f>
        <v/>
      </c>
      <c r="DB10" s="43"/>
      <c r="DC10" s="43"/>
      <c r="DD10" s="43"/>
      <c r="DE10" s="43"/>
      <c r="DF10" s="43"/>
      <c r="DG10" s="43"/>
      <c r="DH10" s="43"/>
      <c r="DI10" s="43"/>
      <c r="DJ10" s="43"/>
      <c r="DK10" s="43"/>
      <c r="DL10" s="43"/>
      <c r="DM10" s="43"/>
      <c r="DN10" s="43"/>
      <c r="DO10" s="43"/>
      <c r="DP10" s="43"/>
      <c r="DQ10" s="43"/>
      <c r="DR10" s="14" t="str">
        <f>IF(SUM(DC10,DG10)&gt;0,SUM(DC10,DG10),"")</f>
        <v/>
      </c>
      <c r="DS10" s="14" t="str">
        <f>IF(SUM(DB10:DC10,DE10:DG10,DI10)-SUM(DD10,DH10)&gt;0,SUM(DB10:DC10,DE10:DG10,DI10)-SUM(DD10,DH10),"")</f>
        <v/>
      </c>
      <c r="DT10" s="14" t="str">
        <f>IF(SUM(DK10,DO10)&gt;0,SUM(DK10,DO10),"")</f>
        <v/>
      </c>
      <c r="DU10" s="14" t="str">
        <f>IF(SUM(DJ10:DK10,DM10:DO10,DQ10)-SUM(DL10,DP10)&gt;0,SUM(DJ10:DK10,DM10:DO10,DQ10)-SUM(DL10,DP10),"")</f>
        <v/>
      </c>
      <c r="DV10" s="14" t="str">
        <f>IF(SUM(DS10,DU10)&gt;0,SUM(DS10,DU10),"")</f>
        <v/>
      </c>
      <c r="DW10" s="44"/>
      <c r="DX10" s="44"/>
      <c r="DY10" s="44"/>
      <c r="DZ10" s="44"/>
      <c r="EA10" s="44"/>
      <c r="EB10" s="44"/>
      <c r="EC10" s="44"/>
      <c r="ED10" s="44"/>
      <c r="EE10" s="44"/>
      <c r="EF10" s="44"/>
      <c r="EG10" s="44"/>
      <c r="EH10" s="44"/>
      <c r="EI10" s="44"/>
      <c r="EJ10" s="44"/>
      <c r="EK10" s="44"/>
      <c r="EL10" s="44"/>
      <c r="EM10" s="11" t="str">
        <f>IF(SUM(DX10,EB10)&gt;0,SUM(DX10,EB10),"")</f>
        <v/>
      </c>
      <c r="EN10" s="11" t="str">
        <f>IF(SUM(DW10:DX10,DZ10:EB10,ED10)-SUM(DY10,EC10)&gt;0,SUM(DW10:DX10,DZ10:EB10,ED10)-SUM(DY10,EC10),"")</f>
        <v/>
      </c>
      <c r="EO10" s="11" t="str">
        <f>IF(SUM(EF10,EJ10)&gt;0,SUM(EF10,EJ10),"")</f>
        <v/>
      </c>
      <c r="EP10" s="11" t="str">
        <f>IF(SUM(EE10:EF10,EH10:EJ10,EL10)-SUM(EG10,EK10)&gt;0,SUM(EE10:EF10,EH10:EJ10,EL10)-SUM(EG10,EK10),"")</f>
        <v/>
      </c>
      <c r="EQ10" s="11" t="str">
        <f>IF(SUM(EN10,EP10)&gt;0,SUM(EN10,EP10),"")</f>
        <v/>
      </c>
      <c r="ER10" s="43"/>
      <c r="ES10" s="43"/>
      <c r="ET10" s="43"/>
      <c r="EU10" s="43"/>
      <c r="EV10" s="43"/>
      <c r="EW10" s="43"/>
      <c r="EX10" s="43"/>
      <c r="EY10" s="43"/>
      <c r="EZ10" s="43"/>
      <c r="FA10" s="43"/>
      <c r="FB10" s="43"/>
      <c r="FC10" s="43"/>
      <c r="FD10" s="43"/>
      <c r="FE10" s="43"/>
      <c r="FF10" s="43"/>
      <c r="FG10" s="43"/>
      <c r="FH10" s="14" t="str">
        <f>IF(SUM(ES10,EW10)&gt;0,SUM(ES10,EW10),"")</f>
        <v/>
      </c>
      <c r="FI10" s="14" t="str">
        <f>IF(SUM(ER10:ES10,EU10:EW10,EY10)-SUM(ET10,EX10)&gt;0,SUM(ER10:ES10,EU10:EW10,EY10)-SUM(ET10,EX10),"")</f>
        <v/>
      </c>
      <c r="FJ10" s="14" t="str">
        <f>IF(SUM(FA10,FE10)&gt;0,SUM(FA10,FE10),"")</f>
        <v/>
      </c>
      <c r="FK10" s="14" t="str">
        <f>IF(SUM(EZ10:FA10,FC10:FE10,FG10)-SUM(FB10,FF10)&gt;0,SUM(EZ10:FA10,FC10:FE10,FG10)-SUM(FB10,FF10),"")</f>
        <v/>
      </c>
      <c r="FL10" s="14" t="str">
        <f>IF(SUM(FI10,FK10)&gt;0,SUM(FI10,FK10),"")</f>
        <v/>
      </c>
      <c r="FM10" s="44"/>
      <c r="FN10" s="44"/>
      <c r="FO10" s="44"/>
      <c r="FP10" s="44"/>
      <c r="FQ10" s="44"/>
      <c r="FR10" s="44"/>
      <c r="FS10" s="44"/>
      <c r="FT10" s="44"/>
      <c r="FU10" s="44"/>
      <c r="FV10" s="44"/>
      <c r="FW10" s="44"/>
      <c r="FX10" s="44"/>
      <c r="FY10" s="44"/>
      <c r="FZ10" s="44"/>
      <c r="GA10" s="44"/>
      <c r="GB10" s="44"/>
      <c r="GC10" s="11" t="str">
        <f>IF(SUM(FN10,FR10)&gt;0,SUM(FN10,FR10),"")</f>
        <v/>
      </c>
      <c r="GD10" s="11" t="str">
        <f>IF(SUM(FM10:FN10,FP10:FR10,FT10)-SUM(FO10,FS10)&gt;0,SUM(FM10:FN10,FP10:FR10,FT10)-SUM(FO10,FS10),"")</f>
        <v/>
      </c>
      <c r="GE10" s="11" t="str">
        <f>IF(SUM(FV10,FZ10)&gt;0,SUM(FV10,FZ10),"")</f>
        <v/>
      </c>
      <c r="GF10" s="11" t="str">
        <f>IF(SUM(FU10:FV10,FX10:FZ10,GB10)-SUM(FW10,GA10)&gt;0,SUM(FU10:FV10,FX10:FZ10,GB10)-SUM(FW10,GA10),"")</f>
        <v/>
      </c>
      <c r="GG10" s="11" t="str">
        <f>IF(SUM(GD10,GF10)&gt;0,SUM(GD10,GF10),"")</f>
        <v/>
      </c>
      <c r="GH10" s="43"/>
      <c r="GI10" s="43"/>
      <c r="GJ10" s="43"/>
      <c r="GK10" s="43"/>
      <c r="GL10" s="43"/>
      <c r="GM10" s="43"/>
      <c r="GN10" s="43"/>
      <c r="GO10" s="43"/>
      <c r="GP10" s="43"/>
      <c r="GQ10" s="43"/>
      <c r="GR10" s="43"/>
      <c r="GS10" s="43"/>
      <c r="GT10" s="43"/>
      <c r="GU10" s="43"/>
      <c r="GV10" s="43"/>
      <c r="GW10" s="43"/>
      <c r="GX10" s="14" t="str">
        <f>IF(SUM(GI10,GM10)&gt;0,SUM(GI10,GM10),"")</f>
        <v/>
      </c>
      <c r="GY10" s="14" t="str">
        <f>IF(SUM(GH10:GI10,GK10:GM10,GO10)-SUM(GJ10,GN10)&gt;0,SUM(GH10:GI10,GK10:GM10,GO10)-SUM(GJ10,GN10),"")</f>
        <v/>
      </c>
      <c r="GZ10" s="14" t="str">
        <f>IF(SUM(GQ10,GU10)&gt;0,SUM(GQ10,GU10),"")</f>
        <v/>
      </c>
      <c r="HA10" s="14" t="str">
        <f>IF(SUM(GP10:GQ10,GS10:GU10,GW10)-SUM(GR10,GV10)&gt;0,SUM(GP10:GQ10,GS10:GU10,GW10)-SUM(GR10,GV10),"")</f>
        <v/>
      </c>
      <c r="HB10" s="14" t="str">
        <f>IF(SUM(GY10,HA10)&gt;0,SUM(GY10,HA10),"")</f>
        <v/>
      </c>
      <c r="HC10" s="44"/>
      <c r="HD10" s="44"/>
      <c r="HE10" s="44"/>
      <c r="HF10" s="44"/>
      <c r="HG10" s="44"/>
      <c r="HH10" s="44"/>
      <c r="HI10" s="44"/>
      <c r="HJ10" s="44"/>
      <c r="HK10" s="44"/>
      <c r="HL10" s="44"/>
      <c r="HM10" s="44"/>
      <c r="HN10" s="44"/>
      <c r="HO10" s="44"/>
      <c r="HP10" s="44"/>
      <c r="HQ10" s="44"/>
      <c r="HR10" s="44"/>
      <c r="HS10" s="11" t="str">
        <f>IF(SUM(HD10,HH10)&gt;0,SUM(HD10,HH10),"")</f>
        <v/>
      </c>
      <c r="HT10" s="11" t="str">
        <f>IF(SUM(HC10:HD10,HF10:HH10,HJ10)-SUM(HE10,HI10)&gt;0,SUM(HC10:HD10,HF10:HH10,HJ10)-SUM(HE10,HI10),"")</f>
        <v/>
      </c>
      <c r="HU10" s="11" t="str">
        <f>IF(SUM(HL10,HP10)&gt;0,SUM(HL10,HP10),"")</f>
        <v/>
      </c>
      <c r="HV10" s="11" t="str">
        <f>IF(SUM(HK10:HL10,HN10:HP10,HR10)-SUM(HM10,HQ10)&gt;0,SUM(HK10:HL10,HN10:HP10,HR10)-SUM(HM10,HQ10),"")</f>
        <v/>
      </c>
      <c r="HW10" s="11" t="str">
        <f>IF(SUM(HT10,HV10)&gt;0,SUM(HT10,HV10),"")</f>
        <v/>
      </c>
      <c r="HX10" s="43"/>
      <c r="HY10" s="43"/>
      <c r="HZ10" s="43"/>
      <c r="IA10" s="43"/>
      <c r="IB10" s="43"/>
      <c r="IC10" s="43"/>
      <c r="ID10" s="43"/>
      <c r="IE10" s="43"/>
      <c r="IF10" s="43"/>
      <c r="IG10" s="43"/>
      <c r="IH10" s="43"/>
      <c r="II10" s="43"/>
      <c r="IJ10" s="43"/>
      <c r="IK10" s="43"/>
      <c r="IL10" s="43"/>
      <c r="IM10" s="43"/>
      <c r="IN10" s="14" t="str">
        <f>IF(SUM(HY10,IC10)&gt;0,SUM(HY10,IC10),"")</f>
        <v/>
      </c>
      <c r="IO10" s="14" t="str">
        <f>IF(SUM(HX10:HY10,IA10:IC10,IE10)-SUM(HZ10,ID10)&gt;0,SUM(HX10:HY10,IA10:IC10,IE10)-SUM(HZ10,ID10),"")</f>
        <v/>
      </c>
      <c r="IP10" s="14" t="str">
        <f>IF(SUM(IG10,IK10)&gt;0,SUM(IG10,IK10),"")</f>
        <v/>
      </c>
      <c r="IQ10" s="14" t="str">
        <f>IF(SUM(IF10:IG10,II10:IK10,IM10)-SUM(IH10,IL10)&gt;0,SUM(IF10:IG10,II10:IK10,IM10)-SUM(IH10,IL10),"")</f>
        <v/>
      </c>
      <c r="IR10" s="14" t="str">
        <f>IF(SUM(IO10,IQ10)&gt;0,SUM(IO10,IQ10),"")</f>
        <v/>
      </c>
      <c r="IS10" s="44"/>
      <c r="IT10" s="44"/>
      <c r="IU10" s="44"/>
      <c r="IV10" s="44"/>
      <c r="IW10" s="44"/>
      <c r="IX10" s="44"/>
      <c r="IY10" s="44"/>
      <c r="IZ10" s="44"/>
      <c r="JA10" s="44"/>
      <c r="JB10" s="44"/>
      <c r="JC10" s="44"/>
      <c r="JD10" s="44"/>
      <c r="JE10" s="44"/>
      <c r="JF10" s="44"/>
      <c r="JG10" s="44"/>
      <c r="JH10" s="44"/>
      <c r="JI10" s="11" t="str">
        <f>IF(SUM(IT10,IX10)&gt;0,SUM(IT10,IX10),"")</f>
        <v/>
      </c>
      <c r="JJ10" s="11" t="str">
        <f>IF(SUM(IS10:IT10,IV10:IX10,IZ10)-SUM(IU10,IY10)&gt;0,SUM(IS10:IT10,IV10:IX10,IZ10)-SUM(IU10,IY10),"")</f>
        <v/>
      </c>
      <c r="JK10" s="11" t="str">
        <f>IF(SUM(JB10,JF10)&gt;0,SUM(JB10,JF10),"")</f>
        <v/>
      </c>
      <c r="JL10" s="11" t="str">
        <f>IF(SUM(JA10:JB10,JD10:JF10,JH10)-SUM(JC10,JG10)&gt;0,SUM(JA10:JB10,JD10:JF10,JH10)-SUM(JC10,JG10),"")</f>
        <v/>
      </c>
      <c r="JM10" s="11" t="str">
        <f>IF(SUM(JJ10,JL10)&gt;0,SUM(JJ10,JL10),"")</f>
        <v/>
      </c>
      <c r="JN10" s="43"/>
      <c r="JO10" s="43"/>
      <c r="JP10" s="43"/>
      <c r="JQ10" s="43"/>
      <c r="JR10" s="43"/>
      <c r="JS10" s="43"/>
      <c r="JT10" s="43"/>
      <c r="JU10" s="43"/>
      <c r="JV10" s="43"/>
      <c r="JW10" s="43"/>
      <c r="JX10" s="43"/>
      <c r="JY10" s="43"/>
      <c r="JZ10" s="43"/>
      <c r="KA10" s="43"/>
      <c r="KB10" s="43"/>
      <c r="KC10" s="43"/>
      <c r="KD10" s="14" t="str">
        <f>IF(SUM(JO10,JS10)&gt;0,SUM(JO10,JS10),"")</f>
        <v/>
      </c>
      <c r="KE10" s="14" t="str">
        <f>IF(SUM(JN10:JO10,JQ10:JS10,JU10)-SUM(JP10,JT10)&gt;0,SUM(JN10:JO10,JQ10:JS10,JU10)-SUM(JP10,JT10),"")</f>
        <v/>
      </c>
      <c r="KF10" s="14" t="str">
        <f>IF(SUM(JW10,KA10)&gt;0,SUM(JW10,KA10),"")</f>
        <v/>
      </c>
      <c r="KG10" s="14" t="str">
        <f>IF(SUM(JV10:JW10,JY10:KA10,KC10)-SUM(JX10,KB10)&gt;0,SUM(JV10:JW10,JY10:KA10,KC10)-SUM(JX10,KB10),"")</f>
        <v/>
      </c>
      <c r="KH10" s="14" t="str">
        <f>IF(SUM(KE10,KG10)&gt;0,SUM(KE10,KG10),"")</f>
        <v/>
      </c>
      <c r="KI10" s="44"/>
      <c r="KJ10" s="44"/>
      <c r="KK10" s="44"/>
      <c r="KL10" s="44"/>
      <c r="KM10" s="44"/>
      <c r="KN10" s="44"/>
      <c r="KO10" s="44"/>
      <c r="KP10" s="44"/>
      <c r="KQ10" s="44"/>
      <c r="KR10" s="44"/>
      <c r="KS10" s="44"/>
      <c r="KT10" s="44"/>
      <c r="KU10" s="44"/>
      <c r="KV10" s="44"/>
      <c r="KW10" s="44"/>
      <c r="KX10" s="44"/>
      <c r="KY10" s="11" t="str">
        <f>IF(SUM(KJ10,KN10)&gt;0,SUM(KJ10,KN10),"")</f>
        <v/>
      </c>
      <c r="KZ10" s="11" t="str">
        <f>IF(SUM(KI10:KJ10,KL10:KN10,KP10)-SUM(KK10,KO10)&gt;0,SUM(KI10:KJ10,KL10:KN10,KP10)-SUM(KK10,KO10),"")</f>
        <v/>
      </c>
      <c r="LA10" s="11" t="str">
        <f>IF(SUM(KR10,KV10)&gt;0,SUM(KR10,KV10),"")</f>
        <v/>
      </c>
      <c r="LB10" s="11" t="str">
        <f>IF(SUM(KQ10:KR10,KT10:KV10,KX10)-SUM(KS10,KW10)&gt;0,SUM(KQ10:KR10,KT10:KV10,KX10)-SUM(KS10,KW10),"")</f>
        <v/>
      </c>
      <c r="LC10" s="11" t="str">
        <f>IF(SUM(KZ10,LB10)&gt;0,SUM(KZ10,LB10),"")</f>
        <v/>
      </c>
      <c r="LD10" s="43"/>
      <c r="LE10" s="43"/>
      <c r="LF10" s="43"/>
      <c r="LG10" s="43"/>
      <c r="LH10" s="43"/>
      <c r="LI10" s="43"/>
      <c r="LJ10" s="43"/>
      <c r="LK10" s="43"/>
      <c r="LL10" s="43"/>
      <c r="LM10" s="43"/>
      <c r="LN10" s="43"/>
      <c r="LO10" s="43"/>
      <c r="LP10" s="43"/>
      <c r="LQ10" s="43"/>
      <c r="LR10" s="43"/>
      <c r="LS10" s="43"/>
      <c r="LT10" s="14" t="str">
        <f>IF(SUM(LE10,LI10)&gt;0,SUM(LE10,LI10),"")</f>
        <v/>
      </c>
      <c r="LU10" s="14" t="str">
        <f>IF(SUM(LD10:LE10,LG10:LI10,LK10)-SUM(LF10,LJ10)&gt;0,SUM(LD10:LE10,LG10:LI10,LK10)-SUM(LF10,LJ10),"")</f>
        <v/>
      </c>
      <c r="LV10" s="14" t="str">
        <f>IF(SUM(LM10,LQ10)&gt;0,SUM(LM10,LQ10),"")</f>
        <v/>
      </c>
      <c r="LW10" s="14" t="str">
        <f>IF(SUM(LL10:LM10,LO10:LQ10,LS10)-SUM(LN10,LR10)&gt;0,SUM(LL10:LM10,LO10:LQ10,LS10)-SUM(LN10,LR10),"")</f>
        <v/>
      </c>
      <c r="LX10" s="14" t="str">
        <f>IF(SUM(LU10,LW10)&gt;0,SUM(LU10,LW10),"")</f>
        <v/>
      </c>
      <c r="LY10" s="69">
        <f>IF($BY10="P",BI10,(BI10+AM10)/2)</f>
        <v>27.549999999999997</v>
      </c>
      <c r="LZ10" s="69">
        <f>IF($BY10="P",BJ10,(BJ10+AN10)/2)</f>
        <v>5.6</v>
      </c>
      <c r="MA10" s="69">
        <f>IF($BY10="P",BK10,(BK10+AO10)/2)</f>
        <v>0.45</v>
      </c>
      <c r="MB10" s="69">
        <f>IF($BY10="P",BL10,(BL10+AP10)/2)</f>
        <v>0</v>
      </c>
      <c r="MC10" s="69">
        <f>IF($BY10="P",BM10,(BM10+AQ10)/2)</f>
        <v>25.9</v>
      </c>
      <c r="MD10" s="69">
        <f>IF($BY10="P",BN10,(BN10+AR10)/2)</f>
        <v>5.4</v>
      </c>
      <c r="ME10" s="69">
        <f>IF($BY10="P",BO10,(BO10+AS10)/2)</f>
        <v>0.15</v>
      </c>
      <c r="MF10" s="69">
        <f>IF($BY10="P",BP10,(BP10+AT10)/2)</f>
        <v>0</v>
      </c>
      <c r="MG10" s="69">
        <f>IF($BY10="P",BQ10,(BQ10+AU10)/2)</f>
        <v>26.85</v>
      </c>
      <c r="MH10" s="69">
        <f>IF($BY10="P",BR10,(BR10+AV10)/2)</f>
        <v>5.4</v>
      </c>
      <c r="MI10" s="69">
        <f>IF($BY10="P",BS10,(BS10+AW10)/2)</f>
        <v>0.75</v>
      </c>
      <c r="MJ10" s="69">
        <f>IF($BY10="P",BT10,(BT10+AX10)/2)</f>
        <v>0</v>
      </c>
      <c r="MK10" s="69">
        <f>IF($BY10="P",BU10,(BU10+AY10)/2)</f>
        <v>27.15</v>
      </c>
      <c r="ML10" s="69">
        <f>IF($BY10="P",BV10,(BV10+AZ10)/2)</f>
        <v>5.2</v>
      </c>
      <c r="MM10" s="69">
        <f>IF($BY10="P",BW10,(BW10+BA10)/2)</f>
        <v>0.45</v>
      </c>
      <c r="MN10" s="69">
        <f>IF($BY10="P",BX10,(BX10+BB10)/2)</f>
        <v>0</v>
      </c>
      <c r="MO10" s="80" t="s">
        <v>74</v>
      </c>
      <c r="MP10" s="11">
        <f>IF(SUM(LZ10,MD10)&gt;0,SUM(LZ10,MD10),"")</f>
        <v>11</v>
      </c>
      <c r="MQ10" s="11">
        <f>IF(SUM(LY10:LZ10,MB10:MD10,MF10)-SUM(MA10,ME10)&gt;0,SUM(LY10:LZ10,MB10:MD10,MF10)-SUM(MA10,ME10),"")</f>
        <v>63.85</v>
      </c>
      <c r="MR10" s="11">
        <f>IF(SUM(MH10,ML10)&gt;0,SUM(MH10,ML10),"")</f>
        <v>10.600000000000001</v>
      </c>
      <c r="MS10" s="11">
        <f>IF(SUM(MG10:MH10,MJ10:ML10,MN10)-SUM(MI10,MM10)&gt;0,SUM(MG10:MH10,MJ10:ML10,MN10)-SUM(MI10,MM10),"")</f>
        <v>63.399999999999991</v>
      </c>
      <c r="MT10" s="11">
        <f>IF(SUM(MQ10,MS10)&gt;0,SUM(MQ10,MS10),"")</f>
        <v>127.25</v>
      </c>
    </row>
    <row r="11" spans="1:358" x14ac:dyDescent="0.2">
      <c r="A11" s="5" t="str">
        <f>IF(AND(F11="P",G11="P"),SUMPRODUCT((F$4:F$17="P")*(G$4:G$17="P")*(E$4:E$17&gt;E11))+1,IF(G11="P",SUMPRODUCT((F$4:F$17="")*(G$4:G$17="P")*(E$4:E$17&gt;E11))+1+SUMPRODUCT((F$4:F$17="P")*(G$4:G$17="P")),""))</f>
        <v/>
      </c>
      <c r="B11" s="8" t="s">
        <v>128</v>
      </c>
      <c r="C11" s="4" t="s">
        <v>6</v>
      </c>
      <c r="D11" s="5">
        <v>2003</v>
      </c>
      <c r="E11" s="15">
        <f>SUM(J11:N11)</f>
        <v>119.1</v>
      </c>
      <c r="F11" s="3" t="str">
        <f>IF(OR(AND(AH11&gt;=AL$19,AI11&gt;=AL$23,AI11&lt;&gt;"",AG11=""),AND(BD11&gt;=BH$19,BE11&gt;=BH$23,BE11&lt;&gt;"",BC11=""),AND(BZ11&gt;=CD$19,CA11&gt;=CD$23,CA11&lt;&gt;"",BY11=""),AND(CW11&gt;=DA$19,CX11&gt;=DA$23,CX11&lt;&gt;""),AND(DR11&gt;=DV$19,DS11&gt;=DV$23,DS11&lt;&gt;""),AND(EM11&gt;=EQ$19,EN11&gt;=EQ$23,EN11&lt;&gt;""),AND(FH11&gt;=FL$19,FI11&gt;=FL$23,FI11&lt;&gt;""),AND(GC11&gt;=GG$19,GD11&gt;=GG$23,GD11&lt;&gt;""),AND(GX11&gt;=HB$19,GY11&gt;=HB$23,GY11&lt;&gt;""),AND(HS11&gt;=HW$19,HT11&gt;=HW$23,HT11&lt;&gt;""),AND(IN11&gt;=IR$19,IO11&gt;=IR$23,IO11&lt;&gt;""),AND(JI11&gt;=JM$19,JJ11&gt;=JM$23,JJ11&lt;&gt;""),AND(KD11&gt;=KH$19,KE11&gt;=KH$23,KE11&lt;&gt;""),AND(KY11&gt;=LC$19,KZ11&gt;=LC$23,KZ11&lt;&gt;""),AND(LT11&gt;=LX$19,LU11&gt;=LX$23,LU11&lt;&gt;"")),"P","")</f>
        <v/>
      </c>
      <c r="G11" s="3" t="str">
        <f>IF(OR(AND(AI11&gt;=AL$23,AI11&lt;&gt;"",AG11=""),AND(BE11&gt;=BH$23,BE11&lt;&gt;"",BC11=""),AND(CA11&gt;=CD$23,CA11&lt;&gt;"",BY11=""),AND(CX11&gt;=DA$23,CX11&lt;&gt;""),AND(DS11&gt;=DV$23,DS11&lt;&gt;""),AND(EN11&gt;=EQ$23,EN11&lt;&gt;""),AND(FI11&gt;=FL$23,FI11&lt;&gt;""),AND(GD11&gt;=GG$23,GD11&lt;&gt;""),AND(GY11&gt;=HB$23,GY11&lt;&gt;""),AND(HT11&gt;=HW$23,HT11&lt;&gt;""),AND(IO11&gt;=IR$23,IO11&lt;&gt;""),AND(JJ11&gt;=JM$23,JJ11&lt;&gt;""),AND(KE11&gt;=KH$23,KE11&lt;&gt;""),AND(KZ11&gt;=LC$23,KZ11&lt;&gt;""),AND(LU11&gt;=LX$23,LU11&lt;&gt;"")),"P","")</f>
        <v/>
      </c>
      <c r="H11" s="126" t="str">
        <f>IF(AND(G11="P",F11=""),"No DD",IF(OR(AND(AH11&gt;=AL$22,AH11&lt;&gt;"",AI11&gt;=AL$26,AI11&lt;&gt;"",AG11=""),AND(BD11&gt;=BH$22,BD11&lt;&gt;"",BE11&gt;=BH$26,BE11&lt;&gt;"",BC11=""),AND(BZ11&gt;=CD$22,BZ11&lt;&gt;"",CA11&gt;=CD$26,CA11&lt;&gt;"",BY11=""),AND(CW11&gt;=DA$22,CW11&lt;&gt;"",CX11&gt;=DA$26,CX11&lt;&gt;""),AND(DR11&gt;=DV$22,DR11&lt;&gt;"",DS11&gt;=DV$26,DS11&lt;&gt;""),AND(EM11&gt;=EQ$22,EM11&lt;&gt;"",EN11&gt;=EQ$26,EN11&lt;&gt;""),AND(FH11&gt;=FL$22,FH11&lt;&gt;"",FI11&gt;=FL$26,FI11&lt;&gt;""),AND(GC11&gt;=GG$22,GC11&lt;&gt;"",GD11&gt;=GG$26,GD11&lt;&gt;""),AND(GX11&gt;=HB$22,GX11&lt;&gt;"",GY11&gt;=HB$26,GY11&lt;&gt;""),AND(HS11&gt;=HW$22,HS11&lt;&gt;"",HT11&gt;=HW$26,HT11&lt;&gt;""),AND(IN11&gt;=IR$22,IN11&lt;&gt;"",IO11&gt;=IR$26,IO11&lt;&gt;""),AND(JI11&gt;=JM$22,JI11&lt;&gt;"",JJ11&gt;=JM$26,JJ11&lt;&gt;""),AND(KD11&gt;=KH$22,KD11&lt;&gt;"",KE11&gt;=KH$26,KE11&lt;&gt;""),AND(KY11&gt;=LC$22,KY11&lt;&gt;"",KZ11&gt;=LC$26,KZ11&lt;&gt;""),AND(LT11&gt;=LX$22,LT11&lt;&gt;"",LU11&gt;=LX$26,LU11&lt;&gt;"")),"Merit",IF(OR(AND(AH11&gt;=AL$21,AH11&lt;&gt;"",AI11&gt;=AL$25,AI11&lt;&gt;"",AG11=""),AND(BD11&gt;=BH$21,BD11&lt;&gt;"",BE11&gt;=BH$25,BE11&lt;&gt;"",BC11=""),AND(BZ11&gt;=CD$21,BZ11&lt;&gt;"",CA11&gt;=CD$25,CA11&lt;&gt;"",BY11=""),AND(CW11&gt;=DA$21,CW11&lt;&gt;"",CX11&gt;=DA$25,CX11&lt;&gt;""),AND(DR11&gt;=DV$21,DR11&lt;&gt;"",DS11&gt;=DV$25,DS11&lt;&gt;""),AND(EM11&gt;=EQ$21,EM11&lt;&gt;"",EN11&gt;=EQ$25,EN11&lt;&gt;""),AND(FH11&gt;=FL$21,FH11&lt;&gt;"",FI11&gt;=FL$25,FI11&lt;&gt;""),AND(GC11&gt;=GG$21,GC11&lt;&gt;"",GD11&gt;=GG$25,GD11&lt;&gt;""),AND(GX11&gt;=HB$21,GX11&lt;&gt;"",GY11&gt;=HB$25,GY11&lt;&gt;""),AND(HS11&gt;=HW$21,HS11&lt;&gt;"",HT11&gt;=HW$25,HT11&lt;&gt;""),AND(IN11&gt;=IR$21,IN11&lt;&gt;"",IO11&gt;=IR$25,IO11&lt;&gt;""),AND(JI11&gt;=JM$21,JI11&lt;&gt;"",JJ11&gt;=JM$25,JJ11&lt;&gt;""),AND(KD11&gt;=KH$21,KD11&lt;&gt;"",KE11&gt;=KH$25,KE11&lt;&gt;""),AND(KY11&gt;=LC$21,KY11&lt;&gt;"",KZ11&gt;=LC$25,KZ11&lt;&gt;""),AND(LT11&gt;=LX$21,LT11&lt;&gt;"",LU11&gt;=LX$25,LU11&lt;&gt;"")),"Excellence",IF(OR(AND(AH11&gt;=AL$20,AH11&lt;&gt;"",AI11&gt;=AL$24,AI11&lt;&gt;"",AG11=""),AND(BD11&gt;=BH$20,BD11&lt;&gt;"",BE11&gt;=BH$24,BE11&lt;&gt;"",BC11=""),AND(BZ11&gt;=CD$20,BZ11&lt;&gt;"",CA11&gt;=CD$24,CA11&lt;&gt;"",BY11=""),AND(CW11&gt;=DA$20,CW11&lt;&gt;"",CX11&gt;=DA$24,CX11&lt;&gt;""),AND(DR11&gt;=DV$20,DR11&lt;&gt;"",DS11&gt;=DV$24,DS11&lt;&gt;""),AND(EM11&gt;=EQ$20,EM11&lt;&gt;"",EN11&gt;=EQ$24,EN11&lt;&gt;""),AND(FH11&gt;=FL$20,FH11&lt;&gt;"",FI11&gt;=FL$24,FI11&lt;&gt;""),AND(GC11&gt;=GG$20,GC11&lt;&gt;"",GD11&gt;=GG$24,GD11&lt;&gt;""),AND(GX11&gt;=HB$20,GX11&lt;&gt;"",GY11&gt;=HB$24,GY11&lt;&gt;""),AND(HS11&gt;=HW$20,HS11&lt;&gt;"",HT11&gt;=HW$24,HT11&lt;&gt;""),AND(IN11&gt;=IR$20,IN11&lt;&gt;"",IO11&gt;=IR$24,IO11&lt;&gt;""),AND(JI11&gt;=JM$20,JI11&lt;&gt;"",JJ11&gt;=JM$24,JJ11&lt;&gt;""),AND(KD11&gt;=KH$20,KD11&lt;&gt;"",KE11&gt;=KH$24,KE11&lt;&gt;""),AND(KY11&gt;=LC$20,KY11&lt;&gt;"",KZ11&gt;=LC$24,KZ11&lt;&gt;""),AND(LT11&gt;=LX$20,LT11&lt;&gt;"",LU11&gt;=LX$24,LU11&lt;&gt;"")),"Worlds Team",IF(OR(AND(AH11&gt;=AL$19,AH11&lt;&gt;"",AI11&gt;=AL$23,AI11&lt;&gt;"",AG11=""),AND(BD11&gt;=BH$19,BD11&lt;&gt;"",BE11&gt;=BH$23,BE11&lt;&gt;"",BC11=""),AND(BZ11&gt;=CD$19,BZ11&lt;&gt;"",CA11&gt;=CD$23,CA11&lt;&gt;"",BY11=""),AND(CW11&gt;=DA$19,CW11&lt;&gt;"",CX11&gt;=DA$23,CX11&lt;&gt;""),AND(DR11&gt;=DV$19,DR11&lt;&gt;"",DS11&gt;=DV$23,DS11&lt;&gt;""),AND(EM11&gt;=EQ$19,EM11&lt;&gt;"",EN11&gt;=EQ$23,EN11&lt;&gt;""),AND(FH11&gt;=FL$19,FH11&lt;&gt;"",FI11&gt;=FL$23,FI11&lt;&gt;""),AND(GC11&gt;=GG$19,GC11&lt;&gt;"",GD11&gt;=GG$23,GD11&lt;&gt;""),AND(GX11&gt;=HB$19,GX11&lt;&gt;"",GY11&gt;=HB$23,GY11&lt;&gt;""),AND(HS11&gt;=HW$19,HS11&lt;&gt;"",HT11&gt;=HW$23,HT11&lt;&gt;""),AND(IN11&gt;=IR$19,IN11&lt;&gt;"",IO11&gt;=IR$23,IO11&lt;&gt;""),AND(JI11&gt;=JM$19,JI11&lt;&gt;"",JJ11&gt;=JM$23,JJ11&lt;&gt;""),AND(KD11&gt;=KH$19,KD11&lt;&gt;"",KE11&gt;=KH$23,KE11&lt;&gt;""),AND(KY11&gt;=LC$19,KY11&lt;&gt;"",KZ11&gt;=LC$23,KZ11&lt;&gt;""),AND(LT11&gt;=LX$19,LT11&lt;&gt;"",LU11&gt;=LX$23,LU11&lt;&gt;"")),"National Team","")))))</f>
        <v/>
      </c>
      <c r="I11" s="3" t="str">
        <f>IF(OR(H11="Worlds Team",H11="Excellence",H11="Merit"),"P","")</f>
        <v/>
      </c>
      <c r="J11" s="14">
        <f>MAX(AI11,BE11,CA11)</f>
        <v>62.899999999999991</v>
      </c>
      <c r="K11" s="14" t="str">
        <f>IF(J11=0,"",IF(J11=CA11,$BI$1,IF(J11=BE11,$AM$1,IF(J11=AI11,$Q$1,""))))</f>
        <v>2021 2nd Virtual Technical Trial</v>
      </c>
      <c r="L11" s="14">
        <f>IF(J11=AI11,MAX(BH11,CD11),IF(J11=BE11,MAX(AL11,CD11),MAX(AL11,BH11)))</f>
        <v>56.199999999999996</v>
      </c>
      <c r="M11" s="14" t="str">
        <f>IF(L11=0,"",IF(AND(J11&lt;&gt;CA11,L11=CD11),$BI$1,IF(AND(J11&lt;&gt;BE11,L11=BH11),$AM$1,IF(L11=AL11,$Q$1,""))))</f>
        <v>2021 Elite Canada</v>
      </c>
      <c r="N11" s="14" t="str">
        <f>IF(MAX(CE11:CF11)&gt;0,MAX(CE11:CF11),"")</f>
        <v/>
      </c>
      <c r="O11" s="25" t="str">
        <f>IF(N11="","",IF(N11=CE11,"(Prelim)",IF(N11=CF11,"(4 Pass)")))</f>
        <v/>
      </c>
      <c r="P11" s="14" t="str">
        <f>IF(N11="","",IF(N11=CE11,IF(N11+IF(J11="",0,J11)=CX11,$CG$1,IF(N11+IF(J11="",0,J11)=DS11,$DB$1,IF(N11+IF(J11="",0,J11)=EN11,$DW$1,IF(N11+IF(J11="",0,J11)=FI11,$ER$1,IF(N11+IF(J11="",0,J11)=GD11,$FM$1,IF(N11+IF(J11="",0,J11)=GY11,$GH$1,IF(N11+IF(J11="",0,J11)=HT11,$HC$1,IF(N11+IF(J11="",0,J11)=IO11,$HX$1,IF(N11+IF(J11="",0,J11)=JJ11,$IS$1,IF(N11+IF(J11="",0,J11)=KE11,$JN$1,IF(N11+IF(J11="",0,J11)=KZ11,$KI$1,IF(N11+IF(J11="",0,J11)=LU11,$LD$1)))))))))))),IF(N11=CF11,IF(N11+IF(L11="",0,L11)=DA11,$CG$1,IF(N11+IF(L11="",0,L11)=DV11,$DB$1,IF(N11+IF(L11="",0,L11)=EQ11,$DW$1,IF(N11+IF(L11="",0,L11)=FL11,$ER$1,IF(N11+IF(L11="",0,L11)=GG11,$FM$1,IF(N11+IF(L11="",0,L11)=HB11,$GH$1,IF(N11+IF(L11="",0,L11)=HW11,$HC$1,IF(N11+IF(L11="",0,L11)=IR11,$HX$1,IF(N11+IF(L11="",0,L11)=JM11,$IS$1,IF(N11+IF(L11="",0,L11)=KH11,$JN$1,IF(N11+IF(L11="",0,L11)=LC11,$KI$1,IF(N11+IF(L11="",0,L11)=LX11,$LD$1)))))))))))))))</f>
        <v/>
      </c>
      <c r="Q11" s="69">
        <v>27.3</v>
      </c>
      <c r="R11" s="69">
        <v>6</v>
      </c>
      <c r="S11" s="69">
        <v>0.9</v>
      </c>
      <c r="T11" s="69">
        <v>0</v>
      </c>
      <c r="U11" s="69">
        <v>25.2</v>
      </c>
      <c r="V11" s="69">
        <v>5.6</v>
      </c>
      <c r="W11" s="69">
        <v>0.3</v>
      </c>
      <c r="X11" s="69">
        <v>0</v>
      </c>
      <c r="Y11" s="69">
        <v>27.1</v>
      </c>
      <c r="Z11" s="69">
        <v>4.8</v>
      </c>
      <c r="AA11" s="69">
        <v>0.3</v>
      </c>
      <c r="AB11" s="69">
        <v>0</v>
      </c>
      <c r="AC11" s="69">
        <v>27.4</v>
      </c>
      <c r="AD11" s="69">
        <v>4.8</v>
      </c>
      <c r="AE11" s="69">
        <v>0</v>
      </c>
      <c r="AF11" s="69">
        <v>0</v>
      </c>
      <c r="AG11" s="80"/>
      <c r="AH11" s="11">
        <f>IF(SUM(R11,V11)&gt;0,SUM(R11,V11),"")</f>
        <v>11.6</v>
      </c>
      <c r="AI11" s="11">
        <f>IF(SUM(Q11:R11,T11:V11,X11)-SUM(S11,W11)&gt;0,SUM(Q11:R11,T11:V11,X11)-SUM(S11,W11),"")</f>
        <v>62.899999999999991</v>
      </c>
      <c r="AJ11" s="11">
        <f>IF(SUM(Z11,AD11)&gt;0,SUM(Z11,AD11),"")</f>
        <v>9.6</v>
      </c>
      <c r="AK11" s="11">
        <f>IF(SUM(Y11:Z11,AB11:AD11,AF11)-SUM(AA11,AE11)&gt;0,SUM(Y11:Z11,AB11:AD11,AF11)-SUM(AA11,AE11),"")</f>
        <v>63.8</v>
      </c>
      <c r="AL11" s="11">
        <f>IF(SUM(AI11,AK11)&gt;0,SUM(AI11,AK11),"")</f>
        <v>126.69999999999999</v>
      </c>
      <c r="AM11" s="38">
        <v>24.8</v>
      </c>
      <c r="AN11" s="38">
        <v>6</v>
      </c>
      <c r="AO11" s="38">
        <v>0.3</v>
      </c>
      <c r="AP11" s="38">
        <v>0</v>
      </c>
      <c r="AQ11" s="38">
        <v>24.8</v>
      </c>
      <c r="AR11" s="38">
        <v>2.8</v>
      </c>
      <c r="AS11" s="38">
        <v>1.9</v>
      </c>
      <c r="AT11" s="38">
        <v>0</v>
      </c>
      <c r="AU11" s="38"/>
      <c r="AV11" s="38"/>
      <c r="AW11" s="38"/>
      <c r="AX11" s="38"/>
      <c r="AY11" s="38"/>
      <c r="AZ11" s="38"/>
      <c r="BA11" s="38"/>
      <c r="BB11" s="38"/>
      <c r="BC11" s="81"/>
      <c r="BD11" s="14">
        <f>IF(SUM(AN11,AR11)&gt;0,SUM(AN11,AR11),"")</f>
        <v>8.8000000000000007</v>
      </c>
      <c r="BE11" s="14">
        <f>IF(SUM(AM11:AN11,AP11:AR11,AT11)-SUM(AO11,AS11)&gt;0,SUM(AM11:AN11,AP11:AR11,AT11)-SUM(AO11,AS11),"")</f>
        <v>56.199999999999996</v>
      </c>
      <c r="BF11" s="14" t="str">
        <f>IF(SUM(AV11,AZ11)&gt;0,SUM(AV11,AZ11),"")</f>
        <v/>
      </c>
      <c r="BG11" s="14" t="str">
        <f>IF(SUM(AU11:AV11,AX11:AZ11,BB11)-SUM(AW11,BA11)&gt;0,SUM(AU11:AV11,AX11:AZ11,BB11)-SUM(AW11,BA11),"")</f>
        <v/>
      </c>
      <c r="BH11" s="14">
        <f>IF(SUM(BE11,BG11)&gt;0,SUM(BE11,BG11),"")</f>
        <v>56.199999999999996</v>
      </c>
      <c r="BI11" s="69">
        <v>19.8</v>
      </c>
      <c r="BJ11" s="69">
        <v>2.4</v>
      </c>
      <c r="BK11" s="69">
        <v>0</v>
      </c>
      <c r="BL11" s="69">
        <v>0</v>
      </c>
      <c r="BM11" s="69">
        <v>0</v>
      </c>
      <c r="BN11" s="69">
        <v>0</v>
      </c>
      <c r="BO11" s="69">
        <v>0</v>
      </c>
      <c r="BP11" s="69">
        <v>0</v>
      </c>
      <c r="BQ11" s="69"/>
      <c r="BR11" s="69"/>
      <c r="BS11" s="69"/>
      <c r="BT11" s="69"/>
      <c r="BU11" s="69"/>
      <c r="BV11" s="69"/>
      <c r="BW11" s="69"/>
      <c r="BX11" s="69"/>
      <c r="BY11" s="80"/>
      <c r="BZ11" s="11">
        <f>IF(SUM(BJ11,BN11)&gt;0,SUM(BJ11,BN11),"")</f>
        <v>2.4</v>
      </c>
      <c r="CA11" s="11">
        <f>IF(SUM(BI11:BJ11,BL11:BN11,BP11)-SUM(BK11,BO11)&gt;0,SUM(BI11:BJ11,BL11:BN11,BP11)-SUM(BK11,BO11),"")</f>
        <v>22.2</v>
      </c>
      <c r="CB11" s="11" t="str">
        <f>IF(SUM(BR11,BV11)&gt;0,SUM(BR11,BV11),"")</f>
        <v/>
      </c>
      <c r="CC11" s="11" t="str">
        <f>IF(SUM(BQ11:BR11,BT11:BV11,BX11)-SUM(BS11,BW11)&gt;0,SUM(BQ11:BR11,BT11:BV11,BX11)-SUM(BS11,BW11),"")</f>
        <v/>
      </c>
      <c r="CD11" s="11">
        <f>IF(SUM(CA11,CC11)&gt;0,SUM(CA11,CC11),"")</f>
        <v>22.2</v>
      </c>
      <c r="CE11" s="24" t="str">
        <f>IF(MAX(CX11,DS11,EN11,FI11,GD11,GY11,HT11,IO11,JJ11,KE11,KZ11,LU11)-IF(J11="",0,J11)&gt;0.001,MAX(CX11,DS11,EN11,FI11,GD11,GY11,HT11,IO11,JJ11,KE11,KZ11,LU11)-IF(J11="",0,J11),"")</f>
        <v/>
      </c>
      <c r="CF11" s="24" t="str">
        <f>IF(MAX(DA11,DV11,EQ11,FL11,GG11,HB11,HW11,IR11,JM11,KH11,LC11,LX11)-IF(L11="",0,L11)&gt;0.001,MAX(DA11,DV11,EQ11,FL11,GG11,HB11,HW11,IR11,JM11,KH11,LC11,LX11)-IF(L11="",0,L11),"")</f>
        <v/>
      </c>
      <c r="CG11" s="44"/>
      <c r="CH11" s="44"/>
      <c r="CI11" s="44"/>
      <c r="CJ11" s="44"/>
      <c r="CK11" s="44"/>
      <c r="CL11" s="44"/>
      <c r="CM11" s="44"/>
      <c r="CN11" s="44"/>
      <c r="CO11" s="44"/>
      <c r="CP11" s="44"/>
      <c r="CQ11" s="44"/>
      <c r="CR11" s="44"/>
      <c r="CS11" s="44"/>
      <c r="CT11" s="44"/>
      <c r="CU11" s="44"/>
      <c r="CV11" s="44"/>
      <c r="CW11" s="11" t="str">
        <f>IF(SUM(CH11,CL11)&gt;0,SUM(CH11,CL11),"")</f>
        <v/>
      </c>
      <c r="CX11" s="11" t="str">
        <f>IF(SUM(CG11:CH11,CJ11:CL11,CN11)-SUM(CI11,CM11)&gt;0,SUM(CG11:CH11,CJ11:CL11,CN11)-SUM(CI11,CM11),"")</f>
        <v/>
      </c>
      <c r="CY11" s="11" t="str">
        <f>IF(SUM(CP11,CT11)&gt;0,SUM(CP11,CT11),"")</f>
        <v/>
      </c>
      <c r="CZ11" s="11" t="str">
        <f>IF(SUM(CO11:CP11,CR11:CT11,CV11)-SUM(CQ11,CU11)&gt;0,SUM(CO11:CP11,CR11:CT11,CV11)-SUM(CQ11,CU11),"")</f>
        <v/>
      </c>
      <c r="DA11" s="11" t="str">
        <f>IF(SUM(CX11,CZ11)&gt;0,SUM(CX11,CZ11),"")</f>
        <v/>
      </c>
      <c r="DB11" s="43"/>
      <c r="DC11" s="43"/>
      <c r="DD11" s="43"/>
      <c r="DE11" s="43"/>
      <c r="DF11" s="43"/>
      <c r="DG11" s="43"/>
      <c r="DH11" s="43"/>
      <c r="DI11" s="43"/>
      <c r="DJ11" s="43"/>
      <c r="DK11" s="43"/>
      <c r="DL11" s="43"/>
      <c r="DM11" s="43"/>
      <c r="DN11" s="43"/>
      <c r="DO11" s="43"/>
      <c r="DP11" s="43"/>
      <c r="DQ11" s="43"/>
      <c r="DR11" s="14" t="str">
        <f>IF(SUM(DC11,DG11)&gt;0,SUM(DC11,DG11),"")</f>
        <v/>
      </c>
      <c r="DS11" s="14" t="str">
        <f>IF(SUM(DB11:DC11,DE11:DG11,DI11)-SUM(DD11,DH11)&gt;0,SUM(DB11:DC11,DE11:DG11,DI11)-SUM(DD11,DH11),"")</f>
        <v/>
      </c>
      <c r="DT11" s="14" t="str">
        <f>IF(SUM(DK11,DO11)&gt;0,SUM(DK11,DO11),"")</f>
        <v/>
      </c>
      <c r="DU11" s="14" t="str">
        <f>IF(SUM(DJ11:DK11,DM11:DO11,DQ11)-SUM(DL11,DP11)&gt;0,SUM(DJ11:DK11,DM11:DO11,DQ11)-SUM(DL11,DP11),"")</f>
        <v/>
      </c>
      <c r="DV11" s="14" t="str">
        <f>IF(SUM(DS11,DU11)&gt;0,SUM(DS11,DU11),"")</f>
        <v/>
      </c>
      <c r="DW11" s="44"/>
      <c r="DX11" s="44"/>
      <c r="DY11" s="44"/>
      <c r="DZ11" s="44"/>
      <c r="EA11" s="44"/>
      <c r="EB11" s="44"/>
      <c r="EC11" s="44"/>
      <c r="ED11" s="44"/>
      <c r="EE11" s="44"/>
      <c r="EF11" s="44"/>
      <c r="EG11" s="44"/>
      <c r="EH11" s="44"/>
      <c r="EI11" s="44"/>
      <c r="EJ11" s="44"/>
      <c r="EK11" s="44"/>
      <c r="EL11" s="44"/>
      <c r="EM11" s="11" t="str">
        <f>IF(SUM(DX11,EB11)&gt;0,SUM(DX11,EB11),"")</f>
        <v/>
      </c>
      <c r="EN11" s="11" t="str">
        <f>IF(SUM(DW11:DX11,DZ11:EB11,ED11)-SUM(DY11,EC11)&gt;0,SUM(DW11:DX11,DZ11:EB11,ED11)-SUM(DY11,EC11),"")</f>
        <v/>
      </c>
      <c r="EO11" s="11" t="str">
        <f>IF(SUM(EF11,EJ11)&gt;0,SUM(EF11,EJ11),"")</f>
        <v/>
      </c>
      <c r="EP11" s="11" t="str">
        <f>IF(SUM(EE11:EF11,EH11:EJ11,EL11)-SUM(EG11,EK11)&gt;0,SUM(EE11:EF11,EH11:EJ11,EL11)-SUM(EG11,EK11),"")</f>
        <v/>
      </c>
      <c r="EQ11" s="11" t="str">
        <f>IF(SUM(EN11,EP11)&gt;0,SUM(EN11,EP11),"")</f>
        <v/>
      </c>
      <c r="ER11" s="43"/>
      <c r="ES11" s="43"/>
      <c r="ET11" s="43"/>
      <c r="EU11" s="43"/>
      <c r="EV11" s="43"/>
      <c r="EW11" s="43"/>
      <c r="EX11" s="43"/>
      <c r="EY11" s="43"/>
      <c r="EZ11" s="43"/>
      <c r="FA11" s="43"/>
      <c r="FB11" s="43"/>
      <c r="FC11" s="43"/>
      <c r="FD11" s="43"/>
      <c r="FE11" s="43"/>
      <c r="FF11" s="43"/>
      <c r="FG11" s="43"/>
      <c r="FH11" s="14" t="str">
        <f>IF(SUM(ES11,EW11)&gt;0,SUM(ES11,EW11),"")</f>
        <v/>
      </c>
      <c r="FI11" s="14" t="str">
        <f>IF(SUM(ER11:ES11,EU11:EW11,EY11)-SUM(ET11,EX11)&gt;0,SUM(ER11:ES11,EU11:EW11,EY11)-SUM(ET11,EX11),"")</f>
        <v/>
      </c>
      <c r="FJ11" s="14" t="str">
        <f>IF(SUM(FA11,FE11)&gt;0,SUM(FA11,FE11),"")</f>
        <v/>
      </c>
      <c r="FK11" s="14" t="str">
        <f>IF(SUM(EZ11:FA11,FC11:FE11,FG11)-SUM(FB11,FF11)&gt;0,SUM(EZ11:FA11,FC11:FE11,FG11)-SUM(FB11,FF11),"")</f>
        <v/>
      </c>
      <c r="FL11" s="14" t="str">
        <f>IF(SUM(FI11,FK11)&gt;0,SUM(FI11,FK11),"")</f>
        <v/>
      </c>
      <c r="FM11" s="44"/>
      <c r="FN11" s="44"/>
      <c r="FO11" s="44"/>
      <c r="FP11" s="44"/>
      <c r="FQ11" s="44"/>
      <c r="FR11" s="44"/>
      <c r="FS11" s="44"/>
      <c r="FT11" s="44"/>
      <c r="FU11" s="44"/>
      <c r="FV11" s="44"/>
      <c r="FW11" s="44"/>
      <c r="FX11" s="44"/>
      <c r="FY11" s="44"/>
      <c r="FZ11" s="44"/>
      <c r="GA11" s="44"/>
      <c r="GB11" s="44"/>
      <c r="GC11" s="11" t="str">
        <f>IF(SUM(FN11,FR11)&gt;0,SUM(FN11,FR11),"")</f>
        <v/>
      </c>
      <c r="GD11" s="11" t="str">
        <f>IF(SUM(FM11:FN11,FP11:FR11,FT11)-SUM(FO11,FS11)&gt;0,SUM(FM11:FN11,FP11:FR11,FT11)-SUM(FO11,FS11),"")</f>
        <v/>
      </c>
      <c r="GE11" s="11" t="str">
        <f>IF(SUM(FV11,FZ11)&gt;0,SUM(FV11,FZ11),"")</f>
        <v/>
      </c>
      <c r="GF11" s="11" t="str">
        <f>IF(SUM(FU11:FV11,FX11:FZ11,GB11)-SUM(FW11,GA11)&gt;0,SUM(FU11:FV11,FX11:FZ11,GB11)-SUM(FW11,GA11),"")</f>
        <v/>
      </c>
      <c r="GG11" s="11" t="str">
        <f>IF(SUM(GD11,GF11)&gt;0,SUM(GD11,GF11),"")</f>
        <v/>
      </c>
      <c r="GH11" s="43"/>
      <c r="GI11" s="43"/>
      <c r="GJ11" s="43"/>
      <c r="GK11" s="43"/>
      <c r="GL11" s="43"/>
      <c r="GM11" s="43"/>
      <c r="GN11" s="43"/>
      <c r="GO11" s="43"/>
      <c r="GP11" s="43"/>
      <c r="GQ11" s="43"/>
      <c r="GR11" s="43"/>
      <c r="GS11" s="43"/>
      <c r="GT11" s="43"/>
      <c r="GU11" s="43"/>
      <c r="GV11" s="43"/>
      <c r="GW11" s="43"/>
      <c r="GX11" s="14" t="str">
        <f>IF(SUM(GI11,GM11)&gt;0,SUM(GI11,GM11),"")</f>
        <v/>
      </c>
      <c r="GY11" s="14" t="str">
        <f>IF(SUM(GH11:GI11,GK11:GM11,GO11)-SUM(GJ11,GN11)&gt;0,SUM(GH11:GI11,GK11:GM11,GO11)-SUM(GJ11,GN11),"")</f>
        <v/>
      </c>
      <c r="GZ11" s="14" t="str">
        <f>IF(SUM(GQ11,GU11)&gt;0,SUM(GQ11,GU11),"")</f>
        <v/>
      </c>
      <c r="HA11" s="14" t="str">
        <f>IF(SUM(GP11:GQ11,GS11:GU11,GW11)-SUM(GR11,GV11)&gt;0,SUM(GP11:GQ11,GS11:GU11,GW11)-SUM(GR11,GV11),"")</f>
        <v/>
      </c>
      <c r="HB11" s="14" t="str">
        <f>IF(SUM(GY11,HA11)&gt;0,SUM(GY11,HA11),"")</f>
        <v/>
      </c>
      <c r="HC11" s="44"/>
      <c r="HD11" s="44"/>
      <c r="HE11" s="44"/>
      <c r="HF11" s="44"/>
      <c r="HG11" s="44"/>
      <c r="HH11" s="44"/>
      <c r="HI11" s="44"/>
      <c r="HJ11" s="44"/>
      <c r="HK11" s="44"/>
      <c r="HL11" s="44"/>
      <c r="HM11" s="44"/>
      <c r="HN11" s="44"/>
      <c r="HO11" s="44"/>
      <c r="HP11" s="44"/>
      <c r="HQ11" s="44"/>
      <c r="HR11" s="44"/>
      <c r="HS11" s="11" t="str">
        <f>IF(SUM(HD11,HH11)&gt;0,SUM(HD11,HH11),"")</f>
        <v/>
      </c>
      <c r="HT11" s="11" t="str">
        <f>IF(SUM(HC11:HD11,HF11:HH11,HJ11)-SUM(HE11,HI11)&gt;0,SUM(HC11:HD11,HF11:HH11,HJ11)-SUM(HE11,HI11),"")</f>
        <v/>
      </c>
      <c r="HU11" s="11" t="str">
        <f>IF(SUM(HL11,HP11)&gt;0,SUM(HL11,HP11),"")</f>
        <v/>
      </c>
      <c r="HV11" s="11" t="str">
        <f>IF(SUM(HK11:HL11,HN11:HP11,HR11)-SUM(HM11,HQ11)&gt;0,SUM(HK11:HL11,HN11:HP11,HR11)-SUM(HM11,HQ11),"")</f>
        <v/>
      </c>
      <c r="HW11" s="11" t="str">
        <f>IF(SUM(HT11,HV11)&gt;0,SUM(HT11,HV11),"")</f>
        <v/>
      </c>
      <c r="HX11" s="43"/>
      <c r="HY11" s="43"/>
      <c r="HZ11" s="43"/>
      <c r="IA11" s="43"/>
      <c r="IB11" s="43"/>
      <c r="IC11" s="43"/>
      <c r="ID11" s="43"/>
      <c r="IE11" s="43"/>
      <c r="IF11" s="43"/>
      <c r="IG11" s="43"/>
      <c r="IH11" s="43"/>
      <c r="II11" s="43"/>
      <c r="IJ11" s="43"/>
      <c r="IK11" s="43"/>
      <c r="IL11" s="43"/>
      <c r="IM11" s="43"/>
      <c r="IN11" s="14" t="str">
        <f>IF(SUM(HY11,IC11)&gt;0,SUM(HY11,IC11),"")</f>
        <v/>
      </c>
      <c r="IO11" s="14" t="str">
        <f>IF(SUM(HX11:HY11,IA11:IC11,IE11)-SUM(HZ11,ID11)&gt;0,SUM(HX11:HY11,IA11:IC11,IE11)-SUM(HZ11,ID11),"")</f>
        <v/>
      </c>
      <c r="IP11" s="14" t="str">
        <f>IF(SUM(IG11,IK11)&gt;0,SUM(IG11,IK11),"")</f>
        <v/>
      </c>
      <c r="IQ11" s="14" t="str">
        <f>IF(SUM(IF11:IG11,II11:IK11,IM11)-SUM(IH11,IL11)&gt;0,SUM(IF11:IG11,II11:IK11,IM11)-SUM(IH11,IL11),"")</f>
        <v/>
      </c>
      <c r="IR11" s="14" t="str">
        <f>IF(SUM(IO11,IQ11)&gt;0,SUM(IO11,IQ11),"")</f>
        <v/>
      </c>
      <c r="IS11" s="44"/>
      <c r="IT11" s="44"/>
      <c r="IU11" s="44"/>
      <c r="IV11" s="44"/>
      <c r="IW11" s="44"/>
      <c r="IX11" s="44"/>
      <c r="IY11" s="44"/>
      <c r="IZ11" s="44"/>
      <c r="JA11" s="44"/>
      <c r="JB11" s="44"/>
      <c r="JC11" s="44"/>
      <c r="JD11" s="44"/>
      <c r="JE11" s="44"/>
      <c r="JF11" s="44"/>
      <c r="JG11" s="44"/>
      <c r="JH11" s="44"/>
      <c r="JI11" s="11" t="str">
        <f>IF(SUM(IT11,IX11)&gt;0,SUM(IT11,IX11),"")</f>
        <v/>
      </c>
      <c r="JJ11" s="11" t="str">
        <f>IF(SUM(IS11:IT11,IV11:IX11,IZ11)-SUM(IU11,IY11)&gt;0,SUM(IS11:IT11,IV11:IX11,IZ11)-SUM(IU11,IY11),"")</f>
        <v/>
      </c>
      <c r="JK11" s="11" t="str">
        <f>IF(SUM(JB11,JF11)&gt;0,SUM(JB11,JF11),"")</f>
        <v/>
      </c>
      <c r="JL11" s="11" t="str">
        <f>IF(SUM(JA11:JB11,JD11:JF11,JH11)-SUM(JC11,JG11)&gt;0,SUM(JA11:JB11,JD11:JF11,JH11)-SUM(JC11,JG11),"")</f>
        <v/>
      </c>
      <c r="JM11" s="11" t="str">
        <f>IF(SUM(JJ11,JL11)&gt;0,SUM(JJ11,JL11),"")</f>
        <v/>
      </c>
      <c r="JN11" s="43"/>
      <c r="JO11" s="43"/>
      <c r="JP11" s="43"/>
      <c r="JQ11" s="43"/>
      <c r="JR11" s="43"/>
      <c r="JS11" s="43"/>
      <c r="JT11" s="43"/>
      <c r="JU11" s="43"/>
      <c r="JV11" s="43"/>
      <c r="JW11" s="43"/>
      <c r="JX11" s="43"/>
      <c r="JY11" s="43"/>
      <c r="JZ11" s="43"/>
      <c r="KA11" s="43"/>
      <c r="KB11" s="43"/>
      <c r="KC11" s="43"/>
      <c r="KD11" s="14" t="str">
        <f>IF(SUM(JO11,JS11)&gt;0,SUM(JO11,JS11),"")</f>
        <v/>
      </c>
      <c r="KE11" s="14" t="str">
        <f>IF(SUM(JN11:JO11,JQ11:JS11,JU11)-SUM(JP11,JT11)&gt;0,SUM(JN11:JO11,JQ11:JS11,JU11)-SUM(JP11,JT11),"")</f>
        <v/>
      </c>
      <c r="KF11" s="14" t="str">
        <f>IF(SUM(JW11,KA11)&gt;0,SUM(JW11,KA11),"")</f>
        <v/>
      </c>
      <c r="KG11" s="14" t="str">
        <f>IF(SUM(JV11:JW11,JY11:KA11,KC11)-SUM(JX11,KB11)&gt;0,SUM(JV11:JW11,JY11:KA11,KC11)-SUM(JX11,KB11),"")</f>
        <v/>
      </c>
      <c r="KH11" s="14" t="str">
        <f>IF(SUM(KE11,KG11)&gt;0,SUM(KE11,KG11),"")</f>
        <v/>
      </c>
      <c r="KI11" s="44"/>
      <c r="KJ11" s="44"/>
      <c r="KK11" s="44"/>
      <c r="KL11" s="44"/>
      <c r="KM11" s="44"/>
      <c r="KN11" s="44"/>
      <c r="KO11" s="44"/>
      <c r="KP11" s="44"/>
      <c r="KQ11" s="44"/>
      <c r="KR11" s="44"/>
      <c r="KS11" s="44"/>
      <c r="KT11" s="44"/>
      <c r="KU11" s="44"/>
      <c r="KV11" s="44"/>
      <c r="KW11" s="44"/>
      <c r="KX11" s="44"/>
      <c r="KY11" s="11" t="str">
        <f>IF(SUM(KJ11,KN11)&gt;0,SUM(KJ11,KN11),"")</f>
        <v/>
      </c>
      <c r="KZ11" s="11" t="str">
        <f>IF(SUM(KI11:KJ11,KL11:KN11,KP11)-SUM(KK11,KO11)&gt;0,SUM(KI11:KJ11,KL11:KN11,KP11)-SUM(KK11,KO11),"")</f>
        <v/>
      </c>
      <c r="LA11" s="11" t="str">
        <f>IF(SUM(KR11,KV11)&gt;0,SUM(KR11,KV11),"")</f>
        <v/>
      </c>
      <c r="LB11" s="11" t="str">
        <f>IF(SUM(KQ11:KR11,KT11:KV11,KX11)-SUM(KS11,KW11)&gt;0,SUM(KQ11:KR11,KT11:KV11,KX11)-SUM(KS11,KW11),"")</f>
        <v/>
      </c>
      <c r="LC11" s="11" t="str">
        <f>IF(SUM(KZ11,LB11)&gt;0,SUM(KZ11,LB11),"")</f>
        <v/>
      </c>
      <c r="LD11" s="43"/>
      <c r="LE11" s="43"/>
      <c r="LF11" s="43"/>
      <c r="LG11" s="43"/>
      <c r="LH11" s="43"/>
      <c r="LI11" s="43"/>
      <c r="LJ11" s="43"/>
      <c r="LK11" s="43"/>
      <c r="LL11" s="43"/>
      <c r="LM11" s="43"/>
      <c r="LN11" s="43"/>
      <c r="LO11" s="43"/>
      <c r="LP11" s="43"/>
      <c r="LQ11" s="43"/>
      <c r="LR11" s="43"/>
      <c r="LS11" s="43"/>
      <c r="LT11" s="14" t="str">
        <f>IF(SUM(LE11,LI11)&gt;0,SUM(LE11,LI11),"")</f>
        <v/>
      </c>
      <c r="LU11" s="14" t="str">
        <f>IF(SUM(LD11:LE11,LG11:LI11,LK11)-SUM(LF11,LJ11)&gt;0,SUM(LD11:LE11,LG11:LI11,LK11)-SUM(LF11,LJ11),"")</f>
        <v/>
      </c>
      <c r="LV11" s="14" t="str">
        <f>IF(SUM(LM11,LQ11)&gt;0,SUM(LM11,LQ11),"")</f>
        <v/>
      </c>
      <c r="LW11" s="14" t="str">
        <f>IF(SUM(LL11:LM11,LO11:LQ11,LS11)-SUM(LN11,LR11)&gt;0,SUM(LL11:LM11,LO11:LQ11,LS11)-SUM(LN11,LR11),"")</f>
        <v/>
      </c>
      <c r="LX11" s="14" t="str">
        <f>IF(SUM(LU11,LW11)&gt;0,SUM(LU11,LW11),"")</f>
        <v/>
      </c>
      <c r="LY11" s="69">
        <f>IF($BY11="P",BI11,(BI11+AM11)/2)</f>
        <v>22.3</v>
      </c>
      <c r="LZ11" s="69">
        <f>IF($BY11="P",BJ11,(BJ11+AN11)/2)</f>
        <v>4.2</v>
      </c>
      <c r="MA11" s="69">
        <f>IF($BY11="P",BK11,(BK11+AO11)/2)</f>
        <v>0.15</v>
      </c>
      <c r="MB11" s="69">
        <f>IF($BY11="P",BL11,(BL11+AP11)/2)</f>
        <v>0</v>
      </c>
      <c r="MC11" s="69">
        <f>IF($BY11="P",BM11,(BM11+AQ11)/2)</f>
        <v>12.4</v>
      </c>
      <c r="MD11" s="69">
        <f>IF($BY11="P",BN11,(BN11+AR11)/2)</f>
        <v>1.4</v>
      </c>
      <c r="ME11" s="69">
        <f>IF($BY11="P",BO11,(BO11+AS11)/2)</f>
        <v>0.95</v>
      </c>
      <c r="MF11" s="69">
        <f>IF($BY11="P",BP11,(BP11+AT11)/2)</f>
        <v>0</v>
      </c>
      <c r="MG11" s="69">
        <f>IF($BY11="P",BQ11,(BQ11+AU11)/2)</f>
        <v>0</v>
      </c>
      <c r="MH11" s="69">
        <f>IF($BY11="P",BR11,(BR11+AV11)/2)</f>
        <v>0</v>
      </c>
      <c r="MI11" s="69">
        <f>IF($BY11="P",BS11,(BS11+AW11)/2)</f>
        <v>0</v>
      </c>
      <c r="MJ11" s="69">
        <f>IF($BY11="P",BT11,(BT11+AX11)/2)</f>
        <v>0</v>
      </c>
      <c r="MK11" s="69">
        <f>IF($BY11="P",BU11,(BU11+AY11)/2)</f>
        <v>0</v>
      </c>
      <c r="ML11" s="69">
        <f>IF($BY11="P",BV11,(BV11+AZ11)/2)</f>
        <v>0</v>
      </c>
      <c r="MM11" s="69">
        <f>IF($BY11="P",BW11,(BW11+BA11)/2)</f>
        <v>0</v>
      </c>
      <c r="MN11" s="69">
        <f>IF($BY11="P",BX11,(BX11+BB11)/2)</f>
        <v>0</v>
      </c>
      <c r="MO11" s="80" t="s">
        <v>74</v>
      </c>
      <c r="MP11" s="11">
        <f>IF(SUM(LZ11,MD11)&gt;0,SUM(LZ11,MD11),"")</f>
        <v>5.6</v>
      </c>
      <c r="MQ11" s="11">
        <f>IF(SUM(LY11:LZ11,MB11:MD11,MF11)-SUM(MA11,ME11)&gt;0,SUM(LY11:LZ11,MB11:MD11,MF11)-SUM(MA11,ME11),"")</f>
        <v>39.199999999999996</v>
      </c>
      <c r="MR11" s="11" t="str">
        <f>IF(SUM(MH11,ML11)&gt;0,SUM(MH11,ML11),"")</f>
        <v/>
      </c>
      <c r="MS11" s="11" t="str">
        <f>IF(SUM(MG11:MH11,MJ11:ML11,MN11)-SUM(MI11,MM11)&gt;0,SUM(MG11:MH11,MJ11:ML11,MN11)-SUM(MI11,MM11),"")</f>
        <v/>
      </c>
      <c r="MT11" s="11">
        <f>IF(SUM(MQ11,MS11)&gt;0,SUM(MQ11,MS11),"")</f>
        <v>39.199999999999996</v>
      </c>
    </row>
    <row r="12" spans="1:358" x14ac:dyDescent="0.2">
      <c r="A12" s="5" t="str">
        <f>IF(AND(F12="P",G12="P"),SUMPRODUCT((F$4:F$17="P")*(G$4:G$17="P")*(E$4:E$17&gt;E12))+1,IF(G12="P",SUMPRODUCT((F$4:F$17="")*(G$4:G$17="P")*(E$4:E$17&gt;E12))+1+SUMPRODUCT((F$4:F$17="P")*(G$4:G$17="P")),""))</f>
        <v/>
      </c>
      <c r="B12" s="8" t="s">
        <v>127</v>
      </c>
      <c r="C12" s="4" t="s">
        <v>6</v>
      </c>
      <c r="D12" s="5">
        <v>2003</v>
      </c>
      <c r="E12" s="15">
        <f>SUM(J12:N12)</f>
        <v>117.79999999999998</v>
      </c>
      <c r="F12" s="3" t="str">
        <f>IF(OR(AND(AH12&gt;=AL$19,AI12&gt;=AL$23,AI12&lt;&gt;"",AG12=""),AND(BD12&gt;=BH$19,BE12&gt;=BH$23,BE12&lt;&gt;"",BC12=""),AND(BZ12&gt;=CD$19,CA12&gt;=CD$23,CA12&lt;&gt;"",BY12=""),AND(CW12&gt;=DA$19,CX12&gt;=DA$23,CX12&lt;&gt;""),AND(DR12&gt;=DV$19,DS12&gt;=DV$23,DS12&lt;&gt;""),AND(EM12&gt;=EQ$19,EN12&gt;=EQ$23,EN12&lt;&gt;""),AND(FH12&gt;=FL$19,FI12&gt;=FL$23,FI12&lt;&gt;""),AND(GC12&gt;=GG$19,GD12&gt;=GG$23,GD12&lt;&gt;""),AND(GX12&gt;=HB$19,GY12&gt;=HB$23,GY12&lt;&gt;""),AND(HS12&gt;=HW$19,HT12&gt;=HW$23,HT12&lt;&gt;""),AND(IN12&gt;=IR$19,IO12&gt;=IR$23,IO12&lt;&gt;""),AND(JI12&gt;=JM$19,JJ12&gt;=JM$23,JJ12&lt;&gt;""),AND(KD12&gt;=KH$19,KE12&gt;=KH$23,KE12&lt;&gt;""),AND(KY12&gt;=LC$19,KZ12&gt;=LC$23,KZ12&lt;&gt;""),AND(LT12&gt;=LX$19,LU12&gt;=LX$23,LU12&lt;&gt;"")),"P","")</f>
        <v/>
      </c>
      <c r="G12" s="3" t="str">
        <f>IF(OR(AND(AI12&gt;=AL$23,AI12&lt;&gt;"",AG12=""),AND(BE12&gt;=BH$23,BE12&lt;&gt;"",BC12=""),AND(CA12&gt;=CD$23,CA12&lt;&gt;"",BY12=""),AND(CX12&gt;=DA$23,CX12&lt;&gt;""),AND(DS12&gt;=DV$23,DS12&lt;&gt;""),AND(EN12&gt;=EQ$23,EN12&lt;&gt;""),AND(FI12&gt;=FL$23,FI12&lt;&gt;""),AND(GD12&gt;=GG$23,GD12&lt;&gt;""),AND(GY12&gt;=HB$23,GY12&lt;&gt;""),AND(HT12&gt;=HW$23,HT12&lt;&gt;""),AND(IO12&gt;=IR$23,IO12&lt;&gt;""),AND(JJ12&gt;=JM$23,JJ12&lt;&gt;""),AND(KE12&gt;=KH$23,KE12&lt;&gt;""),AND(KZ12&gt;=LC$23,KZ12&lt;&gt;""),AND(LU12&gt;=LX$23,LU12&lt;&gt;"")),"P","")</f>
        <v/>
      </c>
      <c r="H12" s="126" t="str">
        <f>IF(AND(G12="P",F12=""),"No DD",IF(OR(AND(AH12&gt;=AL$22,AH12&lt;&gt;"",AI12&gt;=AL$26,AI12&lt;&gt;"",AG12=""),AND(BD12&gt;=BH$22,BD12&lt;&gt;"",BE12&gt;=BH$26,BE12&lt;&gt;"",BC12=""),AND(BZ12&gt;=CD$22,BZ12&lt;&gt;"",CA12&gt;=CD$26,CA12&lt;&gt;"",BY12=""),AND(CW12&gt;=DA$22,CW12&lt;&gt;"",CX12&gt;=DA$26,CX12&lt;&gt;""),AND(DR12&gt;=DV$22,DR12&lt;&gt;"",DS12&gt;=DV$26,DS12&lt;&gt;""),AND(EM12&gt;=EQ$22,EM12&lt;&gt;"",EN12&gt;=EQ$26,EN12&lt;&gt;""),AND(FH12&gt;=FL$22,FH12&lt;&gt;"",FI12&gt;=FL$26,FI12&lt;&gt;""),AND(GC12&gt;=GG$22,GC12&lt;&gt;"",GD12&gt;=GG$26,GD12&lt;&gt;""),AND(GX12&gt;=HB$22,GX12&lt;&gt;"",GY12&gt;=HB$26,GY12&lt;&gt;""),AND(HS12&gt;=HW$22,HS12&lt;&gt;"",HT12&gt;=HW$26,HT12&lt;&gt;""),AND(IN12&gt;=IR$22,IN12&lt;&gt;"",IO12&gt;=IR$26,IO12&lt;&gt;""),AND(JI12&gt;=JM$22,JI12&lt;&gt;"",JJ12&gt;=JM$26,JJ12&lt;&gt;""),AND(KD12&gt;=KH$22,KD12&lt;&gt;"",KE12&gt;=KH$26,KE12&lt;&gt;""),AND(KY12&gt;=LC$22,KY12&lt;&gt;"",KZ12&gt;=LC$26,KZ12&lt;&gt;""),AND(LT12&gt;=LX$22,LT12&lt;&gt;"",LU12&gt;=LX$26,LU12&lt;&gt;"")),"Merit",IF(OR(AND(AH12&gt;=AL$21,AH12&lt;&gt;"",AI12&gt;=AL$25,AI12&lt;&gt;"",AG12=""),AND(BD12&gt;=BH$21,BD12&lt;&gt;"",BE12&gt;=BH$25,BE12&lt;&gt;"",BC12=""),AND(BZ12&gt;=CD$21,BZ12&lt;&gt;"",CA12&gt;=CD$25,CA12&lt;&gt;"",BY12=""),AND(CW12&gt;=DA$21,CW12&lt;&gt;"",CX12&gt;=DA$25,CX12&lt;&gt;""),AND(DR12&gt;=DV$21,DR12&lt;&gt;"",DS12&gt;=DV$25,DS12&lt;&gt;""),AND(EM12&gt;=EQ$21,EM12&lt;&gt;"",EN12&gt;=EQ$25,EN12&lt;&gt;""),AND(FH12&gt;=FL$21,FH12&lt;&gt;"",FI12&gt;=FL$25,FI12&lt;&gt;""),AND(GC12&gt;=GG$21,GC12&lt;&gt;"",GD12&gt;=GG$25,GD12&lt;&gt;""),AND(GX12&gt;=HB$21,GX12&lt;&gt;"",GY12&gt;=HB$25,GY12&lt;&gt;""),AND(HS12&gt;=HW$21,HS12&lt;&gt;"",HT12&gt;=HW$25,HT12&lt;&gt;""),AND(IN12&gt;=IR$21,IN12&lt;&gt;"",IO12&gt;=IR$25,IO12&lt;&gt;""),AND(JI12&gt;=JM$21,JI12&lt;&gt;"",JJ12&gt;=JM$25,JJ12&lt;&gt;""),AND(KD12&gt;=KH$21,KD12&lt;&gt;"",KE12&gt;=KH$25,KE12&lt;&gt;""),AND(KY12&gt;=LC$21,KY12&lt;&gt;"",KZ12&gt;=LC$25,KZ12&lt;&gt;""),AND(LT12&gt;=LX$21,LT12&lt;&gt;"",LU12&gt;=LX$25,LU12&lt;&gt;"")),"Excellence",IF(OR(AND(AH12&gt;=AL$20,AH12&lt;&gt;"",AI12&gt;=AL$24,AI12&lt;&gt;"",AG12=""),AND(BD12&gt;=BH$20,BD12&lt;&gt;"",BE12&gt;=BH$24,BE12&lt;&gt;"",BC12=""),AND(BZ12&gt;=CD$20,BZ12&lt;&gt;"",CA12&gt;=CD$24,CA12&lt;&gt;"",BY12=""),AND(CW12&gt;=DA$20,CW12&lt;&gt;"",CX12&gt;=DA$24,CX12&lt;&gt;""),AND(DR12&gt;=DV$20,DR12&lt;&gt;"",DS12&gt;=DV$24,DS12&lt;&gt;""),AND(EM12&gt;=EQ$20,EM12&lt;&gt;"",EN12&gt;=EQ$24,EN12&lt;&gt;""),AND(FH12&gt;=FL$20,FH12&lt;&gt;"",FI12&gt;=FL$24,FI12&lt;&gt;""),AND(GC12&gt;=GG$20,GC12&lt;&gt;"",GD12&gt;=GG$24,GD12&lt;&gt;""),AND(GX12&gt;=HB$20,GX12&lt;&gt;"",GY12&gt;=HB$24,GY12&lt;&gt;""),AND(HS12&gt;=HW$20,HS12&lt;&gt;"",HT12&gt;=HW$24,HT12&lt;&gt;""),AND(IN12&gt;=IR$20,IN12&lt;&gt;"",IO12&gt;=IR$24,IO12&lt;&gt;""),AND(JI12&gt;=JM$20,JI12&lt;&gt;"",JJ12&gt;=JM$24,JJ12&lt;&gt;""),AND(KD12&gt;=KH$20,KD12&lt;&gt;"",KE12&gt;=KH$24,KE12&lt;&gt;""),AND(KY12&gt;=LC$20,KY12&lt;&gt;"",KZ12&gt;=LC$24,KZ12&lt;&gt;""),AND(LT12&gt;=LX$20,LT12&lt;&gt;"",LU12&gt;=LX$24,LU12&lt;&gt;"")),"Worlds Team",IF(OR(AND(AH12&gt;=AL$19,AH12&lt;&gt;"",AI12&gt;=AL$23,AI12&lt;&gt;"",AG12=""),AND(BD12&gt;=BH$19,BD12&lt;&gt;"",BE12&gt;=BH$23,BE12&lt;&gt;"",BC12=""),AND(BZ12&gt;=CD$19,BZ12&lt;&gt;"",CA12&gt;=CD$23,CA12&lt;&gt;"",BY12=""),AND(CW12&gt;=DA$19,CW12&lt;&gt;"",CX12&gt;=DA$23,CX12&lt;&gt;""),AND(DR12&gt;=DV$19,DR12&lt;&gt;"",DS12&gt;=DV$23,DS12&lt;&gt;""),AND(EM12&gt;=EQ$19,EM12&lt;&gt;"",EN12&gt;=EQ$23,EN12&lt;&gt;""),AND(FH12&gt;=FL$19,FH12&lt;&gt;"",FI12&gt;=FL$23,FI12&lt;&gt;""),AND(GC12&gt;=GG$19,GC12&lt;&gt;"",GD12&gt;=GG$23,GD12&lt;&gt;""),AND(GX12&gt;=HB$19,GX12&lt;&gt;"",GY12&gt;=HB$23,GY12&lt;&gt;""),AND(HS12&gt;=HW$19,HS12&lt;&gt;"",HT12&gt;=HW$23,HT12&lt;&gt;""),AND(IN12&gt;=IR$19,IN12&lt;&gt;"",IO12&gt;=IR$23,IO12&lt;&gt;""),AND(JI12&gt;=JM$19,JI12&lt;&gt;"",JJ12&gt;=JM$23,JJ12&lt;&gt;""),AND(KD12&gt;=KH$19,KD12&lt;&gt;"",KE12&gt;=KH$23,KE12&lt;&gt;""),AND(KY12&gt;=LC$19,KY12&lt;&gt;"",KZ12&gt;=LC$23,KZ12&lt;&gt;""),AND(LT12&gt;=LX$19,LT12&lt;&gt;"",LU12&gt;=LX$23,LU12&lt;&gt;"")),"National Team","")))))</f>
        <v/>
      </c>
      <c r="I12" s="3" t="str">
        <f>IF(OR(H12="Worlds Team",H12="Excellence",H12="Merit"),"P","")</f>
        <v/>
      </c>
      <c r="J12" s="14">
        <f>MAX(AI12,BE12,CA12)</f>
        <v>62.599999999999994</v>
      </c>
      <c r="K12" s="14" t="str">
        <f>IF(J12=0,"",IF(J12=CA12,$BI$1,IF(J12=BE12,$AM$1,IF(J12=AI12,$Q$1,""))))</f>
        <v>2021 2nd Virtual Technical Trial</v>
      </c>
      <c r="L12" s="14">
        <f>IF(J12=AI12,MAX(BH12,CD12),IF(J12=BE12,MAX(AL12,CD12),MAX(AL12,BH12)))</f>
        <v>55.199999999999996</v>
      </c>
      <c r="M12" s="14" t="str">
        <f>IF(L12=0,"",IF(AND(J12&lt;&gt;CA12,L12=CD12),$BI$1,IF(AND(J12&lt;&gt;BE12,L12=BH12),$AM$1,IF(L12=AL12,$Q$1,""))))</f>
        <v>2021 Canadian Championships</v>
      </c>
      <c r="N12" s="14" t="str">
        <f>IF(MAX(CE12:CF12)&gt;0,MAX(CE12:CF12),"")</f>
        <v/>
      </c>
      <c r="O12" s="25" t="str">
        <f>IF(N12="","",IF(N12=CE12,"(Prelim)",IF(N12=CF12,"(4 Pass)")))</f>
        <v/>
      </c>
      <c r="P12" s="14" t="str">
        <f>IF(N12="","",IF(N12=CE12,IF(N12+IF(J12="",0,J12)=CX12,$CG$1,IF(N12+IF(J12="",0,J12)=DS12,$DB$1,IF(N12+IF(J12="",0,J12)=EN12,$DW$1,IF(N12+IF(J12="",0,J12)=FI12,$ER$1,IF(N12+IF(J12="",0,J12)=GD12,$FM$1,IF(N12+IF(J12="",0,J12)=GY12,$GH$1,IF(N12+IF(J12="",0,J12)=HT12,$HC$1,IF(N12+IF(J12="",0,J12)=IO12,$HX$1,IF(N12+IF(J12="",0,J12)=JJ12,$IS$1,IF(N12+IF(J12="",0,J12)=KE12,$JN$1,IF(N12+IF(J12="",0,J12)=KZ12,$KI$1,IF(N12+IF(J12="",0,J12)=LU12,$LD$1)))))))))))),IF(N12=CF12,IF(N12+IF(L12="",0,L12)=DA12,$CG$1,IF(N12+IF(L12="",0,L12)=DV12,$DB$1,IF(N12+IF(L12="",0,L12)=EQ12,$DW$1,IF(N12+IF(L12="",0,L12)=FL12,$ER$1,IF(N12+IF(L12="",0,L12)=GG12,$FM$1,IF(N12+IF(L12="",0,L12)=HB12,$GH$1,IF(N12+IF(L12="",0,L12)=HW12,$HC$1,IF(N12+IF(L12="",0,L12)=IR12,$HX$1,IF(N12+IF(L12="",0,L12)=JM12,$IS$1,IF(N12+IF(L12="",0,L12)=KH12,$JN$1,IF(N12+IF(L12="",0,L12)=LC12,$KI$1,IF(N12+IF(L12="",0,L12)=LX12,$LD$1)))))))))))))))</f>
        <v/>
      </c>
      <c r="Q12" s="69">
        <v>24.9</v>
      </c>
      <c r="R12" s="69">
        <v>6</v>
      </c>
      <c r="S12" s="69">
        <v>1.8</v>
      </c>
      <c r="T12" s="69">
        <v>0</v>
      </c>
      <c r="U12" s="69">
        <v>27.9</v>
      </c>
      <c r="V12" s="69">
        <v>5.6</v>
      </c>
      <c r="W12" s="69">
        <v>0</v>
      </c>
      <c r="X12" s="69">
        <v>0</v>
      </c>
      <c r="Y12" s="69">
        <v>19.8</v>
      </c>
      <c r="Z12" s="69">
        <v>2.4</v>
      </c>
      <c r="AA12" s="69">
        <v>0</v>
      </c>
      <c r="AB12" s="69">
        <v>0</v>
      </c>
      <c r="AC12" s="69">
        <v>27.7</v>
      </c>
      <c r="AD12" s="69">
        <v>5.2</v>
      </c>
      <c r="AE12" s="69">
        <v>0</v>
      </c>
      <c r="AF12" s="69">
        <v>0</v>
      </c>
      <c r="AG12" s="80"/>
      <c r="AH12" s="11">
        <f>IF(SUM(R12,V12)&gt;0,SUM(R12,V12),"")</f>
        <v>11.6</v>
      </c>
      <c r="AI12" s="11">
        <f>IF(SUM(Q12:R12,T12:V12,X12)-SUM(S12,W12)&gt;0,SUM(Q12:R12,T12:V12,X12)-SUM(S12,W12),"")</f>
        <v>62.599999999999994</v>
      </c>
      <c r="AJ12" s="11">
        <f>IF(SUM(Z12,AD12)&gt;0,SUM(Z12,AD12),"")</f>
        <v>7.6</v>
      </c>
      <c r="AK12" s="11">
        <f>IF(SUM(Y12:Z12,AB12:AD12,AF12)-SUM(AA12,AE12)&gt;0,SUM(Y12:Z12,AB12:AD12,AF12)-SUM(AA12,AE12),"")</f>
        <v>55.1</v>
      </c>
      <c r="AL12" s="11">
        <f>IF(SUM(AI12,AK12)&gt;0,SUM(AI12,AK12),"")</f>
        <v>117.69999999999999</v>
      </c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81"/>
      <c r="BD12" s="14" t="str">
        <f>IF(SUM(AN12,AR12)&gt;0,SUM(AN12,AR12),"")</f>
        <v/>
      </c>
      <c r="BE12" s="14" t="str">
        <f>IF(SUM(AM12:AN12,AP12:AR12,AT12)-SUM(AO12,AS12)&gt;0,SUM(AM12:AN12,AP12:AR12,AT12)-SUM(AO12,AS12),"")</f>
        <v/>
      </c>
      <c r="BF12" s="14" t="str">
        <f>IF(SUM(AV12,AZ12)&gt;0,SUM(AV12,AZ12),"")</f>
        <v/>
      </c>
      <c r="BG12" s="14" t="str">
        <f>IF(SUM(AU12:AV12,AX12:AZ12,BB12)-SUM(AW12,BA12)&gt;0,SUM(AU12:AV12,AX12:AZ12,BB12)-SUM(AW12,BA12),"")</f>
        <v/>
      </c>
      <c r="BH12" s="14" t="str">
        <f>IF(SUM(BE12,BG12)&gt;0,SUM(BE12,BG12),"")</f>
        <v/>
      </c>
      <c r="BI12" s="69">
        <v>20</v>
      </c>
      <c r="BJ12" s="69">
        <v>2.4</v>
      </c>
      <c r="BK12" s="69">
        <v>0</v>
      </c>
      <c r="BL12" s="69">
        <v>0</v>
      </c>
      <c r="BM12" s="69">
        <v>27.2</v>
      </c>
      <c r="BN12" s="69">
        <v>5.6</v>
      </c>
      <c r="BO12" s="69">
        <v>0</v>
      </c>
      <c r="BP12" s="69">
        <v>0</v>
      </c>
      <c r="BQ12" s="69"/>
      <c r="BR12" s="69"/>
      <c r="BS12" s="69"/>
      <c r="BT12" s="69"/>
      <c r="BU12" s="69"/>
      <c r="BV12" s="69"/>
      <c r="BW12" s="69"/>
      <c r="BX12" s="69"/>
      <c r="BY12" s="80"/>
      <c r="BZ12" s="11">
        <f>IF(SUM(BJ12,BN12)&gt;0,SUM(BJ12,BN12),"")</f>
        <v>8</v>
      </c>
      <c r="CA12" s="11">
        <f>IF(SUM(BI12:BJ12,BL12:BN12,BP12)-SUM(BK12,BO12)&gt;0,SUM(BI12:BJ12,BL12:BN12,BP12)-SUM(BK12,BO12),"")</f>
        <v>55.199999999999996</v>
      </c>
      <c r="CB12" s="11" t="str">
        <f>IF(SUM(BR12,BV12)&gt;0,SUM(BR12,BV12),"")</f>
        <v/>
      </c>
      <c r="CC12" s="11" t="str">
        <f>IF(SUM(BQ12:BR12,BT12:BV12,BX12)-SUM(BS12,BW12)&gt;0,SUM(BQ12:BR12,BT12:BV12,BX12)-SUM(BS12,BW12),"")</f>
        <v/>
      </c>
      <c r="CD12" s="11">
        <f>IF(SUM(CA12,CC12)&gt;0,SUM(CA12,CC12),"")</f>
        <v>55.199999999999996</v>
      </c>
      <c r="CE12" s="24" t="str">
        <f>IF(MAX(CX12,DS12,EN12,FI12,GD12,GY12,HT12,IO12,JJ12,KE12,KZ12,LU12)-IF(J12="",0,J12)&gt;0.001,MAX(CX12,DS12,EN12,FI12,GD12,GY12,HT12,IO12,JJ12,KE12,KZ12,LU12)-IF(J12="",0,J12),"")</f>
        <v/>
      </c>
      <c r="CF12" s="24" t="str">
        <f>IF(MAX(DA12,DV12,EQ12,FL12,GG12,HB12,HW12,IR12,JM12,KH12,LC12,LX12)-IF(L12="",0,L12)&gt;0.001,MAX(DA12,DV12,EQ12,FL12,GG12,HB12,HW12,IR12,JM12,KH12,LC12,LX12)-IF(L12="",0,L12),"")</f>
        <v/>
      </c>
      <c r="CG12" s="44"/>
      <c r="CH12" s="44"/>
      <c r="CI12" s="44"/>
      <c r="CJ12" s="44"/>
      <c r="CK12" s="44"/>
      <c r="CL12" s="44"/>
      <c r="CM12" s="44"/>
      <c r="CN12" s="44"/>
      <c r="CO12" s="44"/>
      <c r="CP12" s="44"/>
      <c r="CQ12" s="44"/>
      <c r="CR12" s="44"/>
      <c r="CS12" s="44"/>
      <c r="CT12" s="44"/>
      <c r="CU12" s="44"/>
      <c r="CV12" s="44"/>
      <c r="CW12" s="11" t="str">
        <f>IF(SUM(CH12,CL12)&gt;0,SUM(CH12,CL12),"")</f>
        <v/>
      </c>
      <c r="CX12" s="11" t="str">
        <f>IF(SUM(CG12:CH12,CJ12:CL12,CN12)-SUM(CI12,CM12)&gt;0,SUM(CG12:CH12,CJ12:CL12,CN12)-SUM(CI12,CM12),"")</f>
        <v/>
      </c>
      <c r="CY12" s="11" t="str">
        <f>IF(SUM(CP12,CT12)&gt;0,SUM(CP12,CT12),"")</f>
        <v/>
      </c>
      <c r="CZ12" s="11" t="str">
        <f>IF(SUM(CO12:CP12,CR12:CT12,CV12)-SUM(CQ12,CU12)&gt;0,SUM(CO12:CP12,CR12:CT12,CV12)-SUM(CQ12,CU12),"")</f>
        <v/>
      </c>
      <c r="DA12" s="11" t="str">
        <f>IF(SUM(CX12,CZ12)&gt;0,SUM(CX12,CZ12),"")</f>
        <v/>
      </c>
      <c r="DB12" s="43"/>
      <c r="DC12" s="43"/>
      <c r="DD12" s="43"/>
      <c r="DE12" s="43"/>
      <c r="DF12" s="43"/>
      <c r="DG12" s="43"/>
      <c r="DH12" s="43"/>
      <c r="DI12" s="43"/>
      <c r="DJ12" s="43"/>
      <c r="DK12" s="43"/>
      <c r="DL12" s="43"/>
      <c r="DM12" s="43"/>
      <c r="DN12" s="43"/>
      <c r="DO12" s="43"/>
      <c r="DP12" s="43"/>
      <c r="DQ12" s="43"/>
      <c r="DR12" s="14" t="str">
        <f>IF(SUM(DC12,DG12)&gt;0,SUM(DC12,DG12),"")</f>
        <v/>
      </c>
      <c r="DS12" s="14" t="str">
        <f>IF(SUM(DB12:DC12,DE12:DG12,DI12)-SUM(DD12,DH12)&gt;0,SUM(DB12:DC12,DE12:DG12,DI12)-SUM(DD12,DH12),"")</f>
        <v/>
      </c>
      <c r="DT12" s="14" t="str">
        <f>IF(SUM(DK12,DO12)&gt;0,SUM(DK12,DO12),"")</f>
        <v/>
      </c>
      <c r="DU12" s="14" t="str">
        <f>IF(SUM(DJ12:DK12,DM12:DO12,DQ12)-SUM(DL12,DP12)&gt;0,SUM(DJ12:DK12,DM12:DO12,DQ12)-SUM(DL12,DP12),"")</f>
        <v/>
      </c>
      <c r="DV12" s="14" t="str">
        <f>IF(SUM(DS12,DU12)&gt;0,SUM(DS12,DU12),"")</f>
        <v/>
      </c>
      <c r="DW12" s="44"/>
      <c r="DX12" s="44"/>
      <c r="DY12" s="44"/>
      <c r="DZ12" s="44"/>
      <c r="EA12" s="44"/>
      <c r="EB12" s="44"/>
      <c r="EC12" s="44"/>
      <c r="ED12" s="44"/>
      <c r="EE12" s="44"/>
      <c r="EF12" s="44"/>
      <c r="EG12" s="44"/>
      <c r="EH12" s="44"/>
      <c r="EI12" s="44"/>
      <c r="EJ12" s="44"/>
      <c r="EK12" s="44"/>
      <c r="EL12" s="44"/>
      <c r="EM12" s="11" t="str">
        <f>IF(SUM(DX12,EB12)&gt;0,SUM(DX12,EB12),"")</f>
        <v/>
      </c>
      <c r="EN12" s="11" t="str">
        <f>IF(SUM(DW12:DX12,DZ12:EB12,ED12)-SUM(DY12,EC12)&gt;0,SUM(DW12:DX12,DZ12:EB12,ED12)-SUM(DY12,EC12),"")</f>
        <v/>
      </c>
      <c r="EO12" s="11" t="str">
        <f>IF(SUM(EF12,EJ12)&gt;0,SUM(EF12,EJ12),"")</f>
        <v/>
      </c>
      <c r="EP12" s="11" t="str">
        <f>IF(SUM(EE12:EF12,EH12:EJ12,EL12)-SUM(EG12,EK12)&gt;0,SUM(EE12:EF12,EH12:EJ12,EL12)-SUM(EG12,EK12),"")</f>
        <v/>
      </c>
      <c r="EQ12" s="11" t="str">
        <f>IF(SUM(EN12,EP12)&gt;0,SUM(EN12,EP12),"")</f>
        <v/>
      </c>
      <c r="ER12" s="43"/>
      <c r="ES12" s="43"/>
      <c r="ET12" s="43"/>
      <c r="EU12" s="43"/>
      <c r="EV12" s="43"/>
      <c r="EW12" s="43"/>
      <c r="EX12" s="43"/>
      <c r="EY12" s="43"/>
      <c r="EZ12" s="43"/>
      <c r="FA12" s="43"/>
      <c r="FB12" s="43"/>
      <c r="FC12" s="43"/>
      <c r="FD12" s="43"/>
      <c r="FE12" s="43"/>
      <c r="FF12" s="43"/>
      <c r="FG12" s="43"/>
      <c r="FH12" s="14" t="str">
        <f>IF(SUM(ES12,EW12)&gt;0,SUM(ES12,EW12),"")</f>
        <v/>
      </c>
      <c r="FI12" s="14" t="str">
        <f>IF(SUM(ER12:ES12,EU12:EW12,EY12)-SUM(ET12,EX12)&gt;0,SUM(ER12:ES12,EU12:EW12,EY12)-SUM(ET12,EX12),"")</f>
        <v/>
      </c>
      <c r="FJ12" s="14" t="str">
        <f>IF(SUM(FA12,FE12)&gt;0,SUM(FA12,FE12),"")</f>
        <v/>
      </c>
      <c r="FK12" s="14" t="str">
        <f>IF(SUM(EZ12:FA12,FC12:FE12,FG12)-SUM(FB12,FF12)&gt;0,SUM(EZ12:FA12,FC12:FE12,FG12)-SUM(FB12,FF12),"")</f>
        <v/>
      </c>
      <c r="FL12" s="14" t="str">
        <f>IF(SUM(FI12,FK12)&gt;0,SUM(FI12,FK12),"")</f>
        <v/>
      </c>
      <c r="FM12" s="44"/>
      <c r="FN12" s="44"/>
      <c r="FO12" s="44"/>
      <c r="FP12" s="44"/>
      <c r="FQ12" s="44"/>
      <c r="FR12" s="44"/>
      <c r="FS12" s="44"/>
      <c r="FT12" s="44"/>
      <c r="FU12" s="44"/>
      <c r="FV12" s="44"/>
      <c r="FW12" s="44"/>
      <c r="FX12" s="44"/>
      <c r="FY12" s="44"/>
      <c r="FZ12" s="44"/>
      <c r="GA12" s="44"/>
      <c r="GB12" s="44"/>
      <c r="GC12" s="11" t="str">
        <f>IF(SUM(FN12,FR12)&gt;0,SUM(FN12,FR12),"")</f>
        <v/>
      </c>
      <c r="GD12" s="11" t="str">
        <f>IF(SUM(FM12:FN12,FP12:FR12,FT12)-SUM(FO12,FS12)&gt;0,SUM(FM12:FN12,FP12:FR12,FT12)-SUM(FO12,FS12),"")</f>
        <v/>
      </c>
      <c r="GE12" s="11" t="str">
        <f>IF(SUM(FV12,FZ12)&gt;0,SUM(FV12,FZ12),"")</f>
        <v/>
      </c>
      <c r="GF12" s="11" t="str">
        <f>IF(SUM(FU12:FV12,FX12:FZ12,GB12)-SUM(FW12,GA12)&gt;0,SUM(FU12:FV12,FX12:FZ12,GB12)-SUM(FW12,GA12),"")</f>
        <v/>
      </c>
      <c r="GG12" s="11" t="str">
        <f>IF(SUM(GD12,GF12)&gt;0,SUM(GD12,GF12),"")</f>
        <v/>
      </c>
      <c r="GH12" s="43"/>
      <c r="GI12" s="43"/>
      <c r="GJ12" s="43"/>
      <c r="GK12" s="43"/>
      <c r="GL12" s="43"/>
      <c r="GM12" s="43"/>
      <c r="GN12" s="43"/>
      <c r="GO12" s="43"/>
      <c r="GP12" s="43"/>
      <c r="GQ12" s="43"/>
      <c r="GR12" s="43"/>
      <c r="GS12" s="43"/>
      <c r="GT12" s="43"/>
      <c r="GU12" s="43"/>
      <c r="GV12" s="43"/>
      <c r="GW12" s="43"/>
      <c r="GX12" s="14" t="str">
        <f>IF(SUM(GI12,GM12)&gt;0,SUM(GI12,GM12),"")</f>
        <v/>
      </c>
      <c r="GY12" s="14" t="str">
        <f>IF(SUM(GH12:GI12,GK12:GM12,GO12)-SUM(GJ12,GN12)&gt;0,SUM(GH12:GI12,GK12:GM12,GO12)-SUM(GJ12,GN12),"")</f>
        <v/>
      </c>
      <c r="GZ12" s="14" t="str">
        <f>IF(SUM(GQ12,GU12)&gt;0,SUM(GQ12,GU12),"")</f>
        <v/>
      </c>
      <c r="HA12" s="14" t="str">
        <f>IF(SUM(GP12:GQ12,GS12:GU12,GW12)-SUM(GR12,GV12)&gt;0,SUM(GP12:GQ12,GS12:GU12,GW12)-SUM(GR12,GV12),"")</f>
        <v/>
      </c>
      <c r="HB12" s="14" t="str">
        <f>IF(SUM(GY12,HA12)&gt;0,SUM(GY12,HA12),"")</f>
        <v/>
      </c>
      <c r="HC12" s="44"/>
      <c r="HD12" s="44"/>
      <c r="HE12" s="44"/>
      <c r="HF12" s="44"/>
      <c r="HG12" s="44"/>
      <c r="HH12" s="44"/>
      <c r="HI12" s="44"/>
      <c r="HJ12" s="44"/>
      <c r="HK12" s="44"/>
      <c r="HL12" s="44"/>
      <c r="HM12" s="44"/>
      <c r="HN12" s="44"/>
      <c r="HO12" s="44"/>
      <c r="HP12" s="44"/>
      <c r="HQ12" s="44"/>
      <c r="HR12" s="44"/>
      <c r="HS12" s="11" t="str">
        <f>IF(SUM(HD12,HH12)&gt;0,SUM(HD12,HH12),"")</f>
        <v/>
      </c>
      <c r="HT12" s="11" t="str">
        <f>IF(SUM(HC12:HD12,HF12:HH12,HJ12)-SUM(HE12,HI12)&gt;0,SUM(HC12:HD12,HF12:HH12,HJ12)-SUM(HE12,HI12),"")</f>
        <v/>
      </c>
      <c r="HU12" s="11" t="str">
        <f>IF(SUM(HL12,HP12)&gt;0,SUM(HL12,HP12),"")</f>
        <v/>
      </c>
      <c r="HV12" s="11" t="str">
        <f>IF(SUM(HK12:HL12,HN12:HP12,HR12)-SUM(HM12,HQ12)&gt;0,SUM(HK12:HL12,HN12:HP12,HR12)-SUM(HM12,HQ12),"")</f>
        <v/>
      </c>
      <c r="HW12" s="11" t="str">
        <f>IF(SUM(HT12,HV12)&gt;0,SUM(HT12,HV12),"")</f>
        <v/>
      </c>
      <c r="HX12" s="43"/>
      <c r="HY12" s="43"/>
      <c r="HZ12" s="43"/>
      <c r="IA12" s="43"/>
      <c r="IB12" s="43"/>
      <c r="IC12" s="43"/>
      <c r="ID12" s="43"/>
      <c r="IE12" s="43"/>
      <c r="IF12" s="43"/>
      <c r="IG12" s="43"/>
      <c r="IH12" s="43"/>
      <c r="II12" s="43"/>
      <c r="IJ12" s="43"/>
      <c r="IK12" s="43"/>
      <c r="IL12" s="43"/>
      <c r="IM12" s="43"/>
      <c r="IN12" s="14" t="str">
        <f>IF(SUM(HY12,IC12)&gt;0,SUM(HY12,IC12),"")</f>
        <v/>
      </c>
      <c r="IO12" s="14" t="str">
        <f>IF(SUM(HX12:HY12,IA12:IC12,IE12)-SUM(HZ12,ID12)&gt;0,SUM(HX12:HY12,IA12:IC12,IE12)-SUM(HZ12,ID12),"")</f>
        <v/>
      </c>
      <c r="IP12" s="14" t="str">
        <f>IF(SUM(IG12,IK12)&gt;0,SUM(IG12,IK12),"")</f>
        <v/>
      </c>
      <c r="IQ12" s="14" t="str">
        <f>IF(SUM(IF12:IG12,II12:IK12,IM12)-SUM(IH12,IL12)&gt;0,SUM(IF12:IG12,II12:IK12,IM12)-SUM(IH12,IL12),"")</f>
        <v/>
      </c>
      <c r="IR12" s="14" t="str">
        <f>IF(SUM(IO12,IQ12)&gt;0,SUM(IO12,IQ12),"")</f>
        <v/>
      </c>
      <c r="IS12" s="44"/>
      <c r="IT12" s="44"/>
      <c r="IU12" s="44"/>
      <c r="IV12" s="44"/>
      <c r="IW12" s="44"/>
      <c r="IX12" s="44"/>
      <c r="IY12" s="44"/>
      <c r="IZ12" s="44"/>
      <c r="JA12" s="44"/>
      <c r="JB12" s="44"/>
      <c r="JC12" s="44"/>
      <c r="JD12" s="44"/>
      <c r="JE12" s="44"/>
      <c r="JF12" s="44"/>
      <c r="JG12" s="44"/>
      <c r="JH12" s="44"/>
      <c r="JI12" s="11" t="str">
        <f>IF(SUM(IT12,IX12)&gt;0,SUM(IT12,IX12),"")</f>
        <v/>
      </c>
      <c r="JJ12" s="11" t="str">
        <f>IF(SUM(IS12:IT12,IV12:IX12,IZ12)-SUM(IU12,IY12)&gt;0,SUM(IS12:IT12,IV12:IX12,IZ12)-SUM(IU12,IY12),"")</f>
        <v/>
      </c>
      <c r="JK12" s="11" t="str">
        <f>IF(SUM(JB12,JF12)&gt;0,SUM(JB12,JF12),"")</f>
        <v/>
      </c>
      <c r="JL12" s="11" t="str">
        <f>IF(SUM(JA12:JB12,JD12:JF12,JH12)-SUM(JC12,JG12)&gt;0,SUM(JA12:JB12,JD12:JF12,JH12)-SUM(JC12,JG12),"")</f>
        <v/>
      </c>
      <c r="JM12" s="11" t="str">
        <f>IF(SUM(JJ12,JL12)&gt;0,SUM(JJ12,JL12),"")</f>
        <v/>
      </c>
      <c r="JN12" s="43"/>
      <c r="JO12" s="43"/>
      <c r="JP12" s="43"/>
      <c r="JQ12" s="43"/>
      <c r="JR12" s="43"/>
      <c r="JS12" s="43"/>
      <c r="JT12" s="43"/>
      <c r="JU12" s="43"/>
      <c r="JV12" s="43"/>
      <c r="JW12" s="43"/>
      <c r="JX12" s="43"/>
      <c r="JY12" s="43"/>
      <c r="JZ12" s="43"/>
      <c r="KA12" s="43"/>
      <c r="KB12" s="43"/>
      <c r="KC12" s="43"/>
      <c r="KD12" s="14" t="str">
        <f>IF(SUM(JO12,JS12)&gt;0,SUM(JO12,JS12),"")</f>
        <v/>
      </c>
      <c r="KE12" s="14" t="str">
        <f>IF(SUM(JN12:JO12,JQ12:JS12,JU12)-SUM(JP12,JT12)&gt;0,SUM(JN12:JO12,JQ12:JS12,JU12)-SUM(JP12,JT12),"")</f>
        <v/>
      </c>
      <c r="KF12" s="14" t="str">
        <f>IF(SUM(JW12,KA12)&gt;0,SUM(JW12,KA12),"")</f>
        <v/>
      </c>
      <c r="KG12" s="14" t="str">
        <f>IF(SUM(JV12:JW12,JY12:KA12,KC12)-SUM(JX12,KB12)&gt;0,SUM(JV12:JW12,JY12:KA12,KC12)-SUM(JX12,KB12),"")</f>
        <v/>
      </c>
      <c r="KH12" s="14" t="str">
        <f>IF(SUM(KE12,KG12)&gt;0,SUM(KE12,KG12),"")</f>
        <v/>
      </c>
      <c r="KI12" s="44"/>
      <c r="KJ12" s="44"/>
      <c r="KK12" s="44"/>
      <c r="KL12" s="44"/>
      <c r="KM12" s="44"/>
      <c r="KN12" s="44"/>
      <c r="KO12" s="44"/>
      <c r="KP12" s="44"/>
      <c r="KQ12" s="44"/>
      <c r="KR12" s="44"/>
      <c r="KS12" s="44"/>
      <c r="KT12" s="44"/>
      <c r="KU12" s="44"/>
      <c r="KV12" s="44"/>
      <c r="KW12" s="44"/>
      <c r="KX12" s="44"/>
      <c r="KY12" s="11" t="str">
        <f>IF(SUM(KJ12,KN12)&gt;0,SUM(KJ12,KN12),"")</f>
        <v/>
      </c>
      <c r="KZ12" s="11" t="str">
        <f>IF(SUM(KI12:KJ12,KL12:KN12,KP12)-SUM(KK12,KO12)&gt;0,SUM(KI12:KJ12,KL12:KN12,KP12)-SUM(KK12,KO12),"")</f>
        <v/>
      </c>
      <c r="LA12" s="11" t="str">
        <f>IF(SUM(KR12,KV12)&gt;0,SUM(KR12,KV12),"")</f>
        <v/>
      </c>
      <c r="LB12" s="11" t="str">
        <f>IF(SUM(KQ12:KR12,KT12:KV12,KX12)-SUM(KS12,KW12)&gt;0,SUM(KQ12:KR12,KT12:KV12,KX12)-SUM(KS12,KW12),"")</f>
        <v/>
      </c>
      <c r="LC12" s="11" t="str">
        <f>IF(SUM(KZ12,LB12)&gt;0,SUM(KZ12,LB12),"")</f>
        <v/>
      </c>
      <c r="LD12" s="43"/>
      <c r="LE12" s="43"/>
      <c r="LF12" s="43"/>
      <c r="LG12" s="43"/>
      <c r="LH12" s="43"/>
      <c r="LI12" s="43"/>
      <c r="LJ12" s="43"/>
      <c r="LK12" s="43"/>
      <c r="LL12" s="43"/>
      <c r="LM12" s="43"/>
      <c r="LN12" s="43"/>
      <c r="LO12" s="43"/>
      <c r="LP12" s="43"/>
      <c r="LQ12" s="43"/>
      <c r="LR12" s="43"/>
      <c r="LS12" s="43"/>
      <c r="LT12" s="14" t="str">
        <f>IF(SUM(LE12,LI12)&gt;0,SUM(LE12,LI12),"")</f>
        <v/>
      </c>
      <c r="LU12" s="14" t="str">
        <f>IF(SUM(LD12:LE12,LG12:LI12,LK12)-SUM(LF12,LJ12)&gt;0,SUM(LD12:LE12,LG12:LI12,LK12)-SUM(LF12,LJ12),"")</f>
        <v/>
      </c>
      <c r="LV12" s="14" t="str">
        <f>IF(SUM(LM12,LQ12)&gt;0,SUM(LM12,LQ12),"")</f>
        <v/>
      </c>
      <c r="LW12" s="14" t="str">
        <f>IF(SUM(LL12:LM12,LO12:LQ12,LS12)-SUM(LN12,LR12)&gt;0,SUM(LL12:LM12,LO12:LQ12,LS12)-SUM(LN12,LR12),"")</f>
        <v/>
      </c>
      <c r="LX12" s="14" t="str">
        <f>IF(SUM(LU12,LW12)&gt;0,SUM(LU12,LW12),"")</f>
        <v/>
      </c>
      <c r="LY12" s="69">
        <f>IF($BY12="P",BI12,(BI12+AM12)/2)</f>
        <v>10</v>
      </c>
      <c r="LZ12" s="69">
        <f>IF($BY12="P",BJ12,(BJ12+AN12)/2)</f>
        <v>1.2</v>
      </c>
      <c r="MA12" s="69">
        <f>IF($BY12="P",BK12,(BK12+AO12)/2)</f>
        <v>0</v>
      </c>
      <c r="MB12" s="69">
        <f>IF($BY12="P",BL12,(BL12+AP12)/2)</f>
        <v>0</v>
      </c>
      <c r="MC12" s="69">
        <f>IF($BY12="P",BM12,(BM12+AQ12)/2)</f>
        <v>13.6</v>
      </c>
      <c r="MD12" s="69">
        <f>IF($BY12="P",BN12,(BN12+AR12)/2)</f>
        <v>2.8</v>
      </c>
      <c r="ME12" s="69">
        <f>IF($BY12="P",BO12,(BO12+AS12)/2)</f>
        <v>0</v>
      </c>
      <c r="MF12" s="69">
        <f>IF($BY12="P",BP12,(BP12+AT12)/2)</f>
        <v>0</v>
      </c>
      <c r="MG12" s="69">
        <f>IF($BY12="P",BQ12,(BQ12+AU12)/2)</f>
        <v>0</v>
      </c>
      <c r="MH12" s="69">
        <f>IF($BY12="P",BR12,(BR12+AV12)/2)</f>
        <v>0</v>
      </c>
      <c r="MI12" s="69">
        <f>IF($BY12="P",BS12,(BS12+AW12)/2)</f>
        <v>0</v>
      </c>
      <c r="MJ12" s="69">
        <f>IF($BY12="P",BT12,(BT12+AX12)/2)</f>
        <v>0</v>
      </c>
      <c r="MK12" s="69">
        <f>IF($BY12="P",BU12,(BU12+AY12)/2)</f>
        <v>0</v>
      </c>
      <c r="ML12" s="69">
        <f>IF($BY12="P",BV12,(BV12+AZ12)/2)</f>
        <v>0</v>
      </c>
      <c r="MM12" s="69">
        <f>IF($BY12="P",BW12,(BW12+BA12)/2)</f>
        <v>0</v>
      </c>
      <c r="MN12" s="69">
        <f>IF($BY12="P",BX12,(BX12+BB12)/2)</f>
        <v>0</v>
      </c>
      <c r="MO12" s="80" t="s">
        <v>74</v>
      </c>
      <c r="MP12" s="11">
        <f>IF(SUM(LZ12,MD12)&gt;0,SUM(LZ12,MD12),"")</f>
        <v>4</v>
      </c>
      <c r="MQ12" s="11">
        <f>IF(SUM(LY12:LZ12,MB12:MD12,MF12)-SUM(MA12,ME12)&gt;0,SUM(LY12:LZ12,MB12:MD12,MF12)-SUM(MA12,ME12),"")</f>
        <v>27.599999999999998</v>
      </c>
      <c r="MR12" s="11" t="str">
        <f>IF(SUM(MH12,ML12)&gt;0,SUM(MH12,ML12),"")</f>
        <v/>
      </c>
      <c r="MS12" s="11" t="str">
        <f>IF(SUM(MG12:MH12,MJ12:ML12,MN12)-SUM(MI12,MM12)&gt;0,SUM(MG12:MH12,MJ12:ML12,MN12)-SUM(MI12,MM12),"")</f>
        <v/>
      </c>
      <c r="MT12" s="11">
        <f>IF(SUM(MQ12,MS12)&gt;0,SUM(MQ12,MS12),"")</f>
        <v>27.599999999999998</v>
      </c>
    </row>
    <row r="13" spans="1:358" x14ac:dyDescent="0.2">
      <c r="A13" s="5" t="str">
        <f>IF(AND(F13="P",G13="P"),SUMPRODUCT((F$4:F$17="P")*(G$4:G$17="P")*(E$4:E$17&gt;E13))+1,IF(G13="P",SUMPRODUCT((F$4:F$17="")*(G$4:G$17="P")*(E$4:E$17&gt;E13))+1+SUMPRODUCT((F$4:F$17="P")*(G$4:G$17="P")),""))</f>
        <v/>
      </c>
      <c r="B13" s="8" t="s">
        <v>91</v>
      </c>
      <c r="C13" s="4" t="s">
        <v>5</v>
      </c>
      <c r="D13" s="5">
        <v>2000</v>
      </c>
      <c r="E13" s="15">
        <f>SUM(J13:N13)</f>
        <v>66.399999999999991</v>
      </c>
      <c r="F13" s="3" t="str">
        <f>IF(OR(AND(AH13&gt;=AL$19,AI13&gt;=AL$23,AI13&lt;&gt;"",AG13=""),AND(BD13&gt;=BH$19,BE13&gt;=BH$23,BE13&lt;&gt;"",BC13=""),AND(BZ13&gt;=CD$19,CA13&gt;=CD$23,CA13&lt;&gt;"",BY13=""),AND(CW13&gt;=DA$19,CX13&gt;=DA$23,CX13&lt;&gt;""),AND(DR13&gt;=DV$19,DS13&gt;=DV$23,DS13&lt;&gt;""),AND(EM13&gt;=EQ$19,EN13&gt;=EQ$23,EN13&lt;&gt;""),AND(FH13&gt;=FL$19,FI13&gt;=FL$23,FI13&lt;&gt;""),AND(GC13&gt;=GG$19,GD13&gt;=GG$23,GD13&lt;&gt;""),AND(GX13&gt;=HB$19,GY13&gt;=HB$23,GY13&lt;&gt;""),AND(HS13&gt;=HW$19,HT13&gt;=HW$23,HT13&lt;&gt;""),AND(IN13&gt;=IR$19,IO13&gt;=IR$23,IO13&lt;&gt;""),AND(JI13&gt;=JM$19,JJ13&gt;=JM$23,JJ13&lt;&gt;""),AND(KD13&gt;=KH$19,KE13&gt;=KH$23,KE13&lt;&gt;""),AND(KY13&gt;=LC$19,KZ13&gt;=LC$23,KZ13&lt;&gt;""),AND(LT13&gt;=LX$19,LU13&gt;=LX$23,LU13&lt;&gt;"")),"P","")</f>
        <v/>
      </c>
      <c r="G13" s="3" t="str">
        <f>IF(OR(AND(AI13&gt;=AL$23,AI13&lt;&gt;"",AG13=""),AND(BE13&gt;=BH$23,BE13&lt;&gt;"",BC13=""),AND(CA13&gt;=CD$23,CA13&lt;&gt;"",BY13=""),AND(CX13&gt;=DA$23,CX13&lt;&gt;""),AND(DS13&gt;=DV$23,DS13&lt;&gt;""),AND(EN13&gt;=EQ$23,EN13&lt;&gt;""),AND(FI13&gt;=FL$23,FI13&lt;&gt;""),AND(GD13&gt;=GG$23,GD13&lt;&gt;""),AND(GY13&gt;=HB$23,GY13&lt;&gt;""),AND(HT13&gt;=HW$23,HT13&lt;&gt;""),AND(IO13&gt;=IR$23,IO13&lt;&gt;""),AND(JJ13&gt;=JM$23,JJ13&lt;&gt;""),AND(KE13&gt;=KH$23,KE13&lt;&gt;""),AND(KZ13&gt;=LC$23,KZ13&lt;&gt;""),AND(LU13&gt;=LX$23,LU13&lt;&gt;"")),"P","")</f>
        <v/>
      </c>
      <c r="H13" s="126" t="str">
        <f>IF(AND(G13="P",F13=""),"No DD",IF(OR(AND(AH13&gt;=AL$22,AH13&lt;&gt;"",AI13&gt;=AL$26,AI13&lt;&gt;"",AG13=""),AND(BD13&gt;=BH$22,BD13&lt;&gt;"",BE13&gt;=BH$26,BE13&lt;&gt;"",BC13=""),AND(BZ13&gt;=CD$22,BZ13&lt;&gt;"",CA13&gt;=CD$26,CA13&lt;&gt;"",BY13=""),AND(CW13&gt;=DA$22,CW13&lt;&gt;"",CX13&gt;=DA$26,CX13&lt;&gt;""),AND(DR13&gt;=DV$22,DR13&lt;&gt;"",DS13&gt;=DV$26,DS13&lt;&gt;""),AND(EM13&gt;=EQ$22,EM13&lt;&gt;"",EN13&gt;=EQ$26,EN13&lt;&gt;""),AND(FH13&gt;=FL$22,FH13&lt;&gt;"",FI13&gt;=FL$26,FI13&lt;&gt;""),AND(GC13&gt;=GG$22,GC13&lt;&gt;"",GD13&gt;=GG$26,GD13&lt;&gt;""),AND(GX13&gt;=HB$22,GX13&lt;&gt;"",GY13&gt;=HB$26,GY13&lt;&gt;""),AND(HS13&gt;=HW$22,HS13&lt;&gt;"",HT13&gt;=HW$26,HT13&lt;&gt;""),AND(IN13&gt;=IR$22,IN13&lt;&gt;"",IO13&gt;=IR$26,IO13&lt;&gt;""),AND(JI13&gt;=JM$22,JI13&lt;&gt;"",JJ13&gt;=JM$26,JJ13&lt;&gt;""),AND(KD13&gt;=KH$22,KD13&lt;&gt;"",KE13&gt;=KH$26,KE13&lt;&gt;""),AND(KY13&gt;=LC$22,KY13&lt;&gt;"",KZ13&gt;=LC$26,KZ13&lt;&gt;""),AND(LT13&gt;=LX$22,LT13&lt;&gt;"",LU13&gt;=LX$26,LU13&lt;&gt;"")),"Merit",IF(OR(AND(AH13&gt;=AL$21,AH13&lt;&gt;"",AI13&gt;=AL$25,AI13&lt;&gt;"",AG13=""),AND(BD13&gt;=BH$21,BD13&lt;&gt;"",BE13&gt;=BH$25,BE13&lt;&gt;"",BC13=""),AND(BZ13&gt;=CD$21,BZ13&lt;&gt;"",CA13&gt;=CD$25,CA13&lt;&gt;"",BY13=""),AND(CW13&gt;=DA$21,CW13&lt;&gt;"",CX13&gt;=DA$25,CX13&lt;&gt;""),AND(DR13&gt;=DV$21,DR13&lt;&gt;"",DS13&gt;=DV$25,DS13&lt;&gt;""),AND(EM13&gt;=EQ$21,EM13&lt;&gt;"",EN13&gt;=EQ$25,EN13&lt;&gt;""),AND(FH13&gt;=FL$21,FH13&lt;&gt;"",FI13&gt;=FL$25,FI13&lt;&gt;""),AND(GC13&gt;=GG$21,GC13&lt;&gt;"",GD13&gt;=GG$25,GD13&lt;&gt;""),AND(GX13&gt;=HB$21,GX13&lt;&gt;"",GY13&gt;=HB$25,GY13&lt;&gt;""),AND(HS13&gt;=HW$21,HS13&lt;&gt;"",HT13&gt;=HW$25,HT13&lt;&gt;""),AND(IN13&gt;=IR$21,IN13&lt;&gt;"",IO13&gt;=IR$25,IO13&lt;&gt;""),AND(JI13&gt;=JM$21,JI13&lt;&gt;"",JJ13&gt;=JM$25,JJ13&lt;&gt;""),AND(KD13&gt;=KH$21,KD13&lt;&gt;"",KE13&gt;=KH$25,KE13&lt;&gt;""),AND(KY13&gt;=LC$21,KY13&lt;&gt;"",KZ13&gt;=LC$25,KZ13&lt;&gt;""),AND(LT13&gt;=LX$21,LT13&lt;&gt;"",LU13&gt;=LX$25,LU13&lt;&gt;"")),"Excellence",IF(OR(AND(AH13&gt;=AL$20,AH13&lt;&gt;"",AI13&gt;=AL$24,AI13&lt;&gt;"",AG13=""),AND(BD13&gt;=BH$20,BD13&lt;&gt;"",BE13&gt;=BH$24,BE13&lt;&gt;"",BC13=""),AND(BZ13&gt;=CD$20,BZ13&lt;&gt;"",CA13&gt;=CD$24,CA13&lt;&gt;"",BY13=""),AND(CW13&gt;=DA$20,CW13&lt;&gt;"",CX13&gt;=DA$24,CX13&lt;&gt;""),AND(DR13&gt;=DV$20,DR13&lt;&gt;"",DS13&gt;=DV$24,DS13&lt;&gt;""),AND(EM13&gt;=EQ$20,EM13&lt;&gt;"",EN13&gt;=EQ$24,EN13&lt;&gt;""),AND(FH13&gt;=FL$20,FH13&lt;&gt;"",FI13&gt;=FL$24,FI13&lt;&gt;""),AND(GC13&gt;=GG$20,GC13&lt;&gt;"",GD13&gt;=GG$24,GD13&lt;&gt;""),AND(GX13&gt;=HB$20,GX13&lt;&gt;"",GY13&gt;=HB$24,GY13&lt;&gt;""),AND(HS13&gt;=HW$20,HS13&lt;&gt;"",HT13&gt;=HW$24,HT13&lt;&gt;""),AND(IN13&gt;=IR$20,IN13&lt;&gt;"",IO13&gt;=IR$24,IO13&lt;&gt;""),AND(JI13&gt;=JM$20,JI13&lt;&gt;"",JJ13&gt;=JM$24,JJ13&lt;&gt;""),AND(KD13&gt;=KH$20,KD13&lt;&gt;"",KE13&gt;=KH$24,KE13&lt;&gt;""),AND(KY13&gt;=LC$20,KY13&lt;&gt;"",KZ13&gt;=LC$24,KZ13&lt;&gt;""),AND(LT13&gt;=LX$20,LT13&lt;&gt;"",LU13&gt;=LX$24,LU13&lt;&gt;"")),"Worlds Team",IF(OR(AND(AH13&gt;=AL$19,AH13&lt;&gt;"",AI13&gt;=AL$23,AI13&lt;&gt;"",AG13=""),AND(BD13&gt;=BH$19,BD13&lt;&gt;"",BE13&gt;=BH$23,BE13&lt;&gt;"",BC13=""),AND(BZ13&gt;=CD$19,BZ13&lt;&gt;"",CA13&gt;=CD$23,CA13&lt;&gt;"",BY13=""),AND(CW13&gt;=DA$19,CW13&lt;&gt;"",CX13&gt;=DA$23,CX13&lt;&gt;""),AND(DR13&gt;=DV$19,DR13&lt;&gt;"",DS13&gt;=DV$23,DS13&lt;&gt;""),AND(EM13&gt;=EQ$19,EM13&lt;&gt;"",EN13&gt;=EQ$23,EN13&lt;&gt;""),AND(FH13&gt;=FL$19,FH13&lt;&gt;"",FI13&gt;=FL$23,FI13&lt;&gt;""),AND(GC13&gt;=GG$19,GC13&lt;&gt;"",GD13&gt;=GG$23,GD13&lt;&gt;""),AND(GX13&gt;=HB$19,GX13&lt;&gt;"",GY13&gt;=HB$23,GY13&lt;&gt;""),AND(HS13&gt;=HW$19,HS13&lt;&gt;"",HT13&gt;=HW$23,HT13&lt;&gt;""),AND(IN13&gt;=IR$19,IN13&lt;&gt;"",IO13&gt;=IR$23,IO13&lt;&gt;""),AND(JI13&gt;=JM$19,JI13&lt;&gt;"",JJ13&gt;=JM$23,JJ13&lt;&gt;""),AND(KD13&gt;=KH$19,KD13&lt;&gt;"",KE13&gt;=KH$23,KE13&lt;&gt;""),AND(KY13&gt;=LC$19,KY13&lt;&gt;"",KZ13&gt;=LC$23,KZ13&lt;&gt;""),AND(LT13&gt;=LX$19,LT13&lt;&gt;"",LU13&gt;=LX$23,LU13&lt;&gt;"")),"National Team","")))))</f>
        <v/>
      </c>
      <c r="I13" s="3" t="str">
        <f>IF(OR(H13="Worlds Team",H13="Excellence",H13="Merit"),"P","")</f>
        <v/>
      </c>
      <c r="J13" s="14">
        <f>MAX(AI13,BE13,CA13)</f>
        <v>66.399999999999991</v>
      </c>
      <c r="K13" s="14" t="str">
        <f>IF(J13=0,"",IF(J13=CA13,$BI$1,IF(J13=BE13,$AM$1,IF(J13=AI13,$Q$1,""))))</f>
        <v>2021 2nd Virtual Technical Trial</v>
      </c>
      <c r="L13" s="14">
        <f>IF(J13=AI13,MAX(BH13,CD13),IF(J13=BE13,MAX(AL13,CD13),MAX(AL13,BH13)))</f>
        <v>0</v>
      </c>
      <c r="M13" s="14" t="str">
        <f>IF(L13=0,"",IF(AND(J13&lt;&gt;CA13,L13=CD13),$BI$1,IF(AND(J13&lt;&gt;BE13,L13=BH13),$AM$1,IF(L13=AL13,$Q$1,""))))</f>
        <v/>
      </c>
      <c r="N13" s="14" t="str">
        <f>IF(MAX(CE13:CF13)&gt;0,MAX(CE13:CF13),"")</f>
        <v/>
      </c>
      <c r="O13" s="25" t="str">
        <f>IF(N13="","",IF(N13=CE13,"(Prelim)",IF(N13=CF13,"(4 Pass)")))</f>
        <v/>
      </c>
      <c r="P13" s="14" t="str">
        <f>IF(N13="","",IF(N13=CE13,IF(N13+IF(J13="",0,J13)=CX13,$CG$1,IF(N13+IF(J13="",0,J13)=DS13,$DB$1,IF(N13+IF(J13="",0,J13)=EN13,$DW$1,IF(N13+IF(J13="",0,J13)=FI13,$ER$1,IF(N13+IF(J13="",0,J13)=GD13,$FM$1,IF(N13+IF(J13="",0,J13)=GY13,$GH$1,IF(N13+IF(J13="",0,J13)=HT13,$HC$1,IF(N13+IF(J13="",0,J13)=IO13,$HX$1,IF(N13+IF(J13="",0,J13)=JJ13,$IS$1,IF(N13+IF(J13="",0,J13)=KE13,$JN$1,IF(N13+IF(J13="",0,J13)=KZ13,$KI$1,IF(N13+IF(J13="",0,J13)=LU13,$LD$1)))))))))))),IF(N13=CF13,IF(N13+IF(L13="",0,L13)=DA13,$CG$1,IF(N13+IF(L13="",0,L13)=DV13,$DB$1,IF(N13+IF(L13="",0,L13)=EQ13,$DW$1,IF(N13+IF(L13="",0,L13)=FL13,$ER$1,IF(N13+IF(L13="",0,L13)=GG13,$FM$1,IF(N13+IF(L13="",0,L13)=HB13,$GH$1,IF(N13+IF(L13="",0,L13)=HW13,$HC$1,IF(N13+IF(L13="",0,L13)=IR13,$HX$1,IF(N13+IF(L13="",0,L13)=JM13,$IS$1,IF(N13+IF(L13="",0,L13)=KH13,$JN$1,IF(N13+IF(L13="",0,L13)=LC13,$KI$1,IF(N13+IF(L13="",0,L13)=LX13,$LD$1)))))))))))))))</f>
        <v/>
      </c>
      <c r="Q13" s="69">
        <v>27.3</v>
      </c>
      <c r="R13" s="69">
        <v>6</v>
      </c>
      <c r="S13" s="69">
        <v>0.3</v>
      </c>
      <c r="T13" s="69">
        <v>0</v>
      </c>
      <c r="U13" s="69">
        <v>27.8</v>
      </c>
      <c r="V13" s="69">
        <v>5.6</v>
      </c>
      <c r="W13" s="69">
        <v>0</v>
      </c>
      <c r="X13" s="69">
        <v>0</v>
      </c>
      <c r="Y13" s="69">
        <v>28</v>
      </c>
      <c r="Z13" s="69">
        <v>5.2</v>
      </c>
      <c r="AA13" s="69">
        <v>0</v>
      </c>
      <c r="AB13" s="69">
        <v>0</v>
      </c>
      <c r="AC13" s="69">
        <v>27.5</v>
      </c>
      <c r="AD13" s="69">
        <v>2</v>
      </c>
      <c r="AE13" s="69">
        <v>2.4</v>
      </c>
      <c r="AF13" s="69">
        <v>0</v>
      </c>
      <c r="AG13" s="80"/>
      <c r="AH13" s="11">
        <f>IF(SUM(R13,V13)&gt;0,SUM(R13,V13),"")</f>
        <v>11.6</v>
      </c>
      <c r="AI13" s="11">
        <f>IF(SUM(Q13:R13,T13:V13,X13)-SUM(S13,W13)&gt;0,SUM(Q13:R13,T13:V13,X13)-SUM(S13,W13),"")</f>
        <v>66.399999999999991</v>
      </c>
      <c r="AJ13" s="11">
        <f>IF(SUM(Z13,AD13)&gt;0,SUM(Z13,AD13),"")</f>
        <v>7.2</v>
      </c>
      <c r="AK13" s="11">
        <f>IF(SUM(Y13:Z13,AB13:AD13,AF13)-SUM(AA13,AE13)&gt;0,SUM(Y13:Z13,AB13:AD13,AF13)-SUM(AA13,AE13),"")</f>
        <v>60.300000000000004</v>
      </c>
      <c r="AL13" s="11">
        <f>IF(SUM(AI13,AK13)&gt;0,SUM(AI13,AK13),"")</f>
        <v>126.69999999999999</v>
      </c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81"/>
      <c r="BD13" s="14" t="str">
        <f>IF(SUM(AN13,AR13)&gt;0,SUM(AN13,AR13),"")</f>
        <v/>
      </c>
      <c r="BE13" s="14" t="str">
        <f>IF(SUM(AM13:AN13,AP13:AR13,AT13)-SUM(AO13,AS13)&gt;0,SUM(AM13:AN13,AP13:AR13,AT13)-SUM(AO13,AS13),"")</f>
        <v/>
      </c>
      <c r="BF13" s="14" t="str">
        <f>IF(SUM(AV13,AZ13)&gt;0,SUM(AV13,AZ13),"")</f>
        <v/>
      </c>
      <c r="BG13" s="14" t="str">
        <f>IF(SUM(AU13:AV13,AX13:AZ13,BB13)-SUM(AW13,BA13)&gt;0,SUM(AU13:AV13,AX13:AZ13,BB13)-SUM(AW13,BA13),"")</f>
        <v/>
      </c>
      <c r="BH13" s="14" t="str">
        <f>IF(SUM(BE13,BG13)&gt;0,SUM(BE13,BG13),"")</f>
        <v/>
      </c>
      <c r="BI13" s="69"/>
      <c r="BJ13" s="69"/>
      <c r="BK13" s="69"/>
      <c r="BL13" s="69"/>
      <c r="BM13" s="69"/>
      <c r="BN13" s="69"/>
      <c r="BO13" s="69"/>
      <c r="BP13" s="69"/>
      <c r="BQ13" s="69"/>
      <c r="BR13" s="69"/>
      <c r="BS13" s="69"/>
      <c r="BT13" s="69"/>
      <c r="BU13" s="69"/>
      <c r="BV13" s="69"/>
      <c r="BW13" s="69"/>
      <c r="BX13" s="69"/>
      <c r="BY13" s="80"/>
      <c r="BZ13" s="11" t="str">
        <f>IF(SUM(BJ13,BN13)&gt;0,SUM(BJ13,BN13),"")</f>
        <v/>
      </c>
      <c r="CA13" s="11" t="str">
        <f>IF(SUM(BI13:BJ13,BL13:BN13,BP13)-SUM(BK13,BO13)&gt;0,SUM(BI13:BJ13,BL13:BN13,BP13)-SUM(BK13,BO13),"")</f>
        <v/>
      </c>
      <c r="CB13" s="11" t="str">
        <f>IF(SUM(BR13,BV13)&gt;0,SUM(BR13,BV13),"")</f>
        <v/>
      </c>
      <c r="CC13" s="11" t="str">
        <f>IF(SUM(BQ13:BR13,BT13:BV13,BX13)-SUM(BS13,BW13)&gt;0,SUM(BQ13:BR13,BT13:BV13,BX13)-SUM(BS13,BW13),"")</f>
        <v/>
      </c>
      <c r="CD13" s="11" t="str">
        <f>IF(SUM(CA13,CC13)&gt;0,SUM(CA13,CC13),"")</f>
        <v/>
      </c>
      <c r="CE13" s="24" t="str">
        <f>IF(MAX(CX13,DS13,EN13,FI13,GD13,GY13,HT13,IO13,JJ13,KE13,KZ13,LU13)-IF(J13="",0,J13)&gt;0.001,MAX(CX13,DS13,EN13,FI13,GD13,GY13,HT13,IO13,JJ13,KE13,KZ13,LU13)-IF(J13="",0,J13),"")</f>
        <v/>
      </c>
      <c r="CF13" s="24" t="str">
        <f>IF(MAX(DA13,DV13,EQ13,FL13,GG13,HB13,HW13,IR13,JM13,KH13,LC13,LX13)-IF(L13="",0,L13)&gt;0.001,MAX(DA13,DV13,EQ13,FL13,GG13,HB13,HW13,IR13,JM13,KH13,LC13,LX13)-IF(L13="",0,L13),"")</f>
        <v/>
      </c>
      <c r="CG13" s="44"/>
      <c r="CH13" s="44"/>
      <c r="CI13" s="44"/>
      <c r="CJ13" s="44"/>
      <c r="CK13" s="44"/>
      <c r="CL13" s="44"/>
      <c r="CM13" s="44"/>
      <c r="CN13" s="44"/>
      <c r="CO13" s="44"/>
      <c r="CP13" s="44"/>
      <c r="CQ13" s="44"/>
      <c r="CR13" s="44"/>
      <c r="CS13" s="44"/>
      <c r="CT13" s="44"/>
      <c r="CU13" s="44"/>
      <c r="CV13" s="44"/>
      <c r="CW13" s="11" t="str">
        <f>IF(SUM(CH13,CL13)&gt;0,SUM(CH13,CL13),"")</f>
        <v/>
      </c>
      <c r="CX13" s="11" t="str">
        <f>IF(SUM(CG13:CH13,CJ13:CL13,CN13)-SUM(CI13,CM13)&gt;0,SUM(CG13:CH13,CJ13:CL13,CN13)-SUM(CI13,CM13),"")</f>
        <v/>
      </c>
      <c r="CY13" s="11" t="str">
        <f>IF(SUM(CP13,CT13)&gt;0,SUM(CP13,CT13),"")</f>
        <v/>
      </c>
      <c r="CZ13" s="11" t="str">
        <f>IF(SUM(CO13:CP13,CR13:CT13,CV13)-SUM(CQ13,CU13)&gt;0,SUM(CO13:CP13,CR13:CT13,CV13)-SUM(CQ13,CU13),"")</f>
        <v/>
      </c>
      <c r="DA13" s="11" t="str">
        <f>IF(SUM(CX13,CZ13)&gt;0,SUM(CX13,CZ13),"")</f>
        <v/>
      </c>
      <c r="DB13" s="43"/>
      <c r="DC13" s="43"/>
      <c r="DD13" s="43"/>
      <c r="DE13" s="43"/>
      <c r="DF13" s="43"/>
      <c r="DG13" s="43"/>
      <c r="DH13" s="43"/>
      <c r="DI13" s="43"/>
      <c r="DJ13" s="43"/>
      <c r="DK13" s="43"/>
      <c r="DL13" s="43"/>
      <c r="DM13" s="43"/>
      <c r="DN13" s="43"/>
      <c r="DO13" s="43"/>
      <c r="DP13" s="43"/>
      <c r="DQ13" s="43"/>
      <c r="DR13" s="14" t="str">
        <f>IF(SUM(DC13,DG13)&gt;0,SUM(DC13,DG13),"")</f>
        <v/>
      </c>
      <c r="DS13" s="14" t="str">
        <f>IF(SUM(DB13:DC13,DE13:DG13,DI13)-SUM(DD13,DH13)&gt;0,SUM(DB13:DC13,DE13:DG13,DI13)-SUM(DD13,DH13),"")</f>
        <v/>
      </c>
      <c r="DT13" s="14" t="str">
        <f>IF(SUM(DK13,DO13)&gt;0,SUM(DK13,DO13),"")</f>
        <v/>
      </c>
      <c r="DU13" s="14" t="str">
        <f>IF(SUM(DJ13:DK13,DM13:DO13,DQ13)-SUM(DL13,DP13)&gt;0,SUM(DJ13:DK13,DM13:DO13,DQ13)-SUM(DL13,DP13),"")</f>
        <v/>
      </c>
      <c r="DV13" s="14" t="str">
        <f>IF(SUM(DS13,DU13)&gt;0,SUM(DS13,DU13),"")</f>
        <v/>
      </c>
      <c r="DW13" s="44"/>
      <c r="DX13" s="44"/>
      <c r="DY13" s="44"/>
      <c r="DZ13" s="44"/>
      <c r="EA13" s="44"/>
      <c r="EB13" s="44"/>
      <c r="EC13" s="44"/>
      <c r="ED13" s="44"/>
      <c r="EE13" s="44"/>
      <c r="EF13" s="44"/>
      <c r="EG13" s="44"/>
      <c r="EH13" s="44"/>
      <c r="EI13" s="44"/>
      <c r="EJ13" s="44"/>
      <c r="EK13" s="44"/>
      <c r="EL13" s="44"/>
      <c r="EM13" s="11" t="str">
        <f>IF(SUM(DX13,EB13)&gt;0,SUM(DX13,EB13),"")</f>
        <v/>
      </c>
      <c r="EN13" s="11" t="str">
        <f>IF(SUM(DW13:DX13,DZ13:EB13,ED13)-SUM(DY13,EC13)&gt;0,SUM(DW13:DX13,DZ13:EB13,ED13)-SUM(DY13,EC13),"")</f>
        <v/>
      </c>
      <c r="EO13" s="11" t="str">
        <f>IF(SUM(EF13,EJ13)&gt;0,SUM(EF13,EJ13),"")</f>
        <v/>
      </c>
      <c r="EP13" s="11" t="str">
        <f>IF(SUM(EE13:EF13,EH13:EJ13,EL13)-SUM(EG13,EK13)&gt;0,SUM(EE13:EF13,EH13:EJ13,EL13)-SUM(EG13,EK13),"")</f>
        <v/>
      </c>
      <c r="EQ13" s="11" t="str">
        <f>IF(SUM(EN13,EP13)&gt;0,SUM(EN13,EP13),"")</f>
        <v/>
      </c>
      <c r="ER13" s="43"/>
      <c r="ES13" s="43"/>
      <c r="ET13" s="43"/>
      <c r="EU13" s="43"/>
      <c r="EV13" s="43"/>
      <c r="EW13" s="43"/>
      <c r="EX13" s="43"/>
      <c r="EY13" s="43"/>
      <c r="EZ13" s="43"/>
      <c r="FA13" s="43"/>
      <c r="FB13" s="43"/>
      <c r="FC13" s="43"/>
      <c r="FD13" s="43"/>
      <c r="FE13" s="43"/>
      <c r="FF13" s="43"/>
      <c r="FG13" s="43"/>
      <c r="FH13" s="14" t="str">
        <f>IF(SUM(ES13,EW13)&gt;0,SUM(ES13,EW13),"")</f>
        <v/>
      </c>
      <c r="FI13" s="14" t="str">
        <f>IF(SUM(ER13:ES13,EU13:EW13,EY13)-SUM(ET13,EX13)&gt;0,SUM(ER13:ES13,EU13:EW13,EY13)-SUM(ET13,EX13),"")</f>
        <v/>
      </c>
      <c r="FJ13" s="14" t="str">
        <f>IF(SUM(FA13,FE13)&gt;0,SUM(FA13,FE13),"")</f>
        <v/>
      </c>
      <c r="FK13" s="14" t="str">
        <f>IF(SUM(EZ13:FA13,FC13:FE13,FG13)-SUM(FB13,FF13)&gt;0,SUM(EZ13:FA13,FC13:FE13,FG13)-SUM(FB13,FF13),"")</f>
        <v/>
      </c>
      <c r="FL13" s="14" t="str">
        <f>IF(SUM(FI13,FK13)&gt;0,SUM(FI13,FK13),"")</f>
        <v/>
      </c>
      <c r="FM13" s="44"/>
      <c r="FN13" s="44"/>
      <c r="FO13" s="44"/>
      <c r="FP13" s="44"/>
      <c r="FQ13" s="44"/>
      <c r="FR13" s="44"/>
      <c r="FS13" s="44"/>
      <c r="FT13" s="44"/>
      <c r="FU13" s="44"/>
      <c r="FV13" s="44"/>
      <c r="FW13" s="44"/>
      <c r="FX13" s="44"/>
      <c r="FY13" s="44"/>
      <c r="FZ13" s="44"/>
      <c r="GA13" s="44"/>
      <c r="GB13" s="44"/>
      <c r="GC13" s="11" t="str">
        <f>IF(SUM(FN13,FR13)&gt;0,SUM(FN13,FR13),"")</f>
        <v/>
      </c>
      <c r="GD13" s="11" t="str">
        <f>IF(SUM(FM13:FN13,FP13:FR13,FT13)-SUM(FO13,FS13)&gt;0,SUM(FM13:FN13,FP13:FR13,FT13)-SUM(FO13,FS13),"")</f>
        <v/>
      </c>
      <c r="GE13" s="11" t="str">
        <f>IF(SUM(FV13,FZ13)&gt;0,SUM(FV13,FZ13),"")</f>
        <v/>
      </c>
      <c r="GF13" s="11" t="str">
        <f>IF(SUM(FU13:FV13,FX13:FZ13,GB13)-SUM(FW13,GA13)&gt;0,SUM(FU13:FV13,FX13:FZ13,GB13)-SUM(FW13,GA13),"")</f>
        <v/>
      </c>
      <c r="GG13" s="11" t="str">
        <f>IF(SUM(GD13,GF13)&gt;0,SUM(GD13,GF13),"")</f>
        <v/>
      </c>
      <c r="GH13" s="43"/>
      <c r="GI13" s="43"/>
      <c r="GJ13" s="43"/>
      <c r="GK13" s="43"/>
      <c r="GL13" s="43"/>
      <c r="GM13" s="43"/>
      <c r="GN13" s="43"/>
      <c r="GO13" s="43"/>
      <c r="GP13" s="43"/>
      <c r="GQ13" s="43"/>
      <c r="GR13" s="43"/>
      <c r="GS13" s="43"/>
      <c r="GT13" s="43"/>
      <c r="GU13" s="43"/>
      <c r="GV13" s="43"/>
      <c r="GW13" s="43"/>
      <c r="GX13" s="14" t="str">
        <f>IF(SUM(GI13,GM13)&gt;0,SUM(GI13,GM13),"")</f>
        <v/>
      </c>
      <c r="GY13" s="14" t="str">
        <f>IF(SUM(GH13:GI13,GK13:GM13,GO13)-SUM(GJ13,GN13)&gt;0,SUM(GH13:GI13,GK13:GM13,GO13)-SUM(GJ13,GN13),"")</f>
        <v/>
      </c>
      <c r="GZ13" s="14" t="str">
        <f>IF(SUM(GQ13,GU13)&gt;0,SUM(GQ13,GU13),"")</f>
        <v/>
      </c>
      <c r="HA13" s="14" t="str">
        <f>IF(SUM(GP13:GQ13,GS13:GU13,GW13)-SUM(GR13,GV13)&gt;0,SUM(GP13:GQ13,GS13:GU13,GW13)-SUM(GR13,GV13),"")</f>
        <v/>
      </c>
      <c r="HB13" s="14" t="str">
        <f>IF(SUM(GY13,HA13)&gt;0,SUM(GY13,HA13),"")</f>
        <v/>
      </c>
      <c r="HC13" s="44"/>
      <c r="HD13" s="44"/>
      <c r="HE13" s="44"/>
      <c r="HF13" s="44"/>
      <c r="HG13" s="44"/>
      <c r="HH13" s="44"/>
      <c r="HI13" s="44"/>
      <c r="HJ13" s="44"/>
      <c r="HK13" s="44"/>
      <c r="HL13" s="44"/>
      <c r="HM13" s="44"/>
      <c r="HN13" s="44"/>
      <c r="HO13" s="44"/>
      <c r="HP13" s="44"/>
      <c r="HQ13" s="44"/>
      <c r="HR13" s="44"/>
      <c r="HS13" s="11" t="str">
        <f>IF(SUM(HD13,HH13)&gt;0,SUM(HD13,HH13),"")</f>
        <v/>
      </c>
      <c r="HT13" s="11" t="str">
        <f>IF(SUM(HC13:HD13,HF13:HH13,HJ13)-SUM(HE13,HI13)&gt;0,SUM(HC13:HD13,HF13:HH13,HJ13)-SUM(HE13,HI13),"")</f>
        <v/>
      </c>
      <c r="HU13" s="11" t="str">
        <f>IF(SUM(HL13,HP13)&gt;0,SUM(HL13,HP13),"")</f>
        <v/>
      </c>
      <c r="HV13" s="11" t="str">
        <f>IF(SUM(HK13:HL13,HN13:HP13,HR13)-SUM(HM13,HQ13)&gt;0,SUM(HK13:HL13,HN13:HP13,HR13)-SUM(HM13,HQ13),"")</f>
        <v/>
      </c>
      <c r="HW13" s="11" t="str">
        <f>IF(SUM(HT13,HV13)&gt;0,SUM(HT13,HV13),"")</f>
        <v/>
      </c>
      <c r="HX13" s="43"/>
      <c r="HY13" s="43"/>
      <c r="HZ13" s="43"/>
      <c r="IA13" s="43"/>
      <c r="IB13" s="43"/>
      <c r="IC13" s="43"/>
      <c r="ID13" s="43"/>
      <c r="IE13" s="43"/>
      <c r="IF13" s="43"/>
      <c r="IG13" s="43"/>
      <c r="IH13" s="43"/>
      <c r="II13" s="43"/>
      <c r="IJ13" s="43"/>
      <c r="IK13" s="43"/>
      <c r="IL13" s="43"/>
      <c r="IM13" s="43"/>
      <c r="IN13" s="14" t="str">
        <f>IF(SUM(HY13,IC13)&gt;0,SUM(HY13,IC13),"")</f>
        <v/>
      </c>
      <c r="IO13" s="14" t="str">
        <f>IF(SUM(HX13:HY13,IA13:IC13,IE13)-SUM(HZ13,ID13)&gt;0,SUM(HX13:HY13,IA13:IC13,IE13)-SUM(HZ13,ID13),"")</f>
        <v/>
      </c>
      <c r="IP13" s="14" t="str">
        <f>IF(SUM(IG13,IK13)&gt;0,SUM(IG13,IK13),"")</f>
        <v/>
      </c>
      <c r="IQ13" s="14" t="str">
        <f>IF(SUM(IF13:IG13,II13:IK13,IM13)-SUM(IH13,IL13)&gt;0,SUM(IF13:IG13,II13:IK13,IM13)-SUM(IH13,IL13),"")</f>
        <v/>
      </c>
      <c r="IR13" s="14" t="str">
        <f>IF(SUM(IO13,IQ13)&gt;0,SUM(IO13,IQ13),"")</f>
        <v/>
      </c>
      <c r="IS13" s="44"/>
      <c r="IT13" s="44"/>
      <c r="IU13" s="44"/>
      <c r="IV13" s="44"/>
      <c r="IW13" s="44"/>
      <c r="IX13" s="44"/>
      <c r="IY13" s="44"/>
      <c r="IZ13" s="44"/>
      <c r="JA13" s="44"/>
      <c r="JB13" s="44"/>
      <c r="JC13" s="44"/>
      <c r="JD13" s="44"/>
      <c r="JE13" s="44"/>
      <c r="JF13" s="44"/>
      <c r="JG13" s="44"/>
      <c r="JH13" s="44"/>
      <c r="JI13" s="11" t="str">
        <f>IF(SUM(IT13,IX13)&gt;0,SUM(IT13,IX13),"")</f>
        <v/>
      </c>
      <c r="JJ13" s="11" t="str">
        <f>IF(SUM(IS13:IT13,IV13:IX13,IZ13)-SUM(IU13,IY13)&gt;0,SUM(IS13:IT13,IV13:IX13,IZ13)-SUM(IU13,IY13),"")</f>
        <v/>
      </c>
      <c r="JK13" s="11" t="str">
        <f>IF(SUM(JB13,JF13)&gt;0,SUM(JB13,JF13),"")</f>
        <v/>
      </c>
      <c r="JL13" s="11" t="str">
        <f>IF(SUM(JA13:JB13,JD13:JF13,JH13)-SUM(JC13,JG13)&gt;0,SUM(JA13:JB13,JD13:JF13,JH13)-SUM(JC13,JG13),"")</f>
        <v/>
      </c>
      <c r="JM13" s="11" t="str">
        <f>IF(SUM(JJ13,JL13)&gt;0,SUM(JJ13,JL13),"")</f>
        <v/>
      </c>
      <c r="JN13" s="43"/>
      <c r="JO13" s="43"/>
      <c r="JP13" s="43"/>
      <c r="JQ13" s="43"/>
      <c r="JR13" s="43"/>
      <c r="JS13" s="43"/>
      <c r="JT13" s="43"/>
      <c r="JU13" s="43"/>
      <c r="JV13" s="43"/>
      <c r="JW13" s="43"/>
      <c r="JX13" s="43"/>
      <c r="JY13" s="43"/>
      <c r="JZ13" s="43"/>
      <c r="KA13" s="43"/>
      <c r="KB13" s="43"/>
      <c r="KC13" s="43"/>
      <c r="KD13" s="14" t="str">
        <f>IF(SUM(JO13,JS13)&gt;0,SUM(JO13,JS13),"")</f>
        <v/>
      </c>
      <c r="KE13" s="14" t="str">
        <f>IF(SUM(JN13:JO13,JQ13:JS13,JU13)-SUM(JP13,JT13)&gt;0,SUM(JN13:JO13,JQ13:JS13,JU13)-SUM(JP13,JT13),"")</f>
        <v/>
      </c>
      <c r="KF13" s="14" t="str">
        <f>IF(SUM(JW13,KA13)&gt;0,SUM(JW13,KA13),"")</f>
        <v/>
      </c>
      <c r="KG13" s="14" t="str">
        <f>IF(SUM(JV13:JW13,JY13:KA13,KC13)-SUM(JX13,KB13)&gt;0,SUM(JV13:JW13,JY13:KA13,KC13)-SUM(JX13,KB13),"")</f>
        <v/>
      </c>
      <c r="KH13" s="14" t="str">
        <f>IF(SUM(KE13,KG13)&gt;0,SUM(KE13,KG13),"")</f>
        <v/>
      </c>
      <c r="KI13" s="44"/>
      <c r="KJ13" s="44"/>
      <c r="KK13" s="44"/>
      <c r="KL13" s="44"/>
      <c r="KM13" s="44"/>
      <c r="KN13" s="44"/>
      <c r="KO13" s="44"/>
      <c r="KP13" s="44"/>
      <c r="KQ13" s="44"/>
      <c r="KR13" s="44"/>
      <c r="KS13" s="44"/>
      <c r="KT13" s="44"/>
      <c r="KU13" s="44"/>
      <c r="KV13" s="44"/>
      <c r="KW13" s="44"/>
      <c r="KX13" s="44"/>
      <c r="KY13" s="11" t="str">
        <f>IF(SUM(KJ13,KN13)&gt;0,SUM(KJ13,KN13),"")</f>
        <v/>
      </c>
      <c r="KZ13" s="11" t="str">
        <f>IF(SUM(KI13:KJ13,KL13:KN13,KP13)-SUM(KK13,KO13)&gt;0,SUM(KI13:KJ13,KL13:KN13,KP13)-SUM(KK13,KO13),"")</f>
        <v/>
      </c>
      <c r="LA13" s="11" t="str">
        <f>IF(SUM(KR13,KV13)&gt;0,SUM(KR13,KV13),"")</f>
        <v/>
      </c>
      <c r="LB13" s="11" t="str">
        <f>IF(SUM(KQ13:KR13,KT13:KV13,KX13)-SUM(KS13,KW13)&gt;0,SUM(KQ13:KR13,KT13:KV13,KX13)-SUM(KS13,KW13),"")</f>
        <v/>
      </c>
      <c r="LC13" s="11" t="str">
        <f>IF(SUM(KZ13,LB13)&gt;0,SUM(KZ13,LB13),"")</f>
        <v/>
      </c>
      <c r="LD13" s="43"/>
      <c r="LE13" s="43"/>
      <c r="LF13" s="43"/>
      <c r="LG13" s="43"/>
      <c r="LH13" s="43"/>
      <c r="LI13" s="43"/>
      <c r="LJ13" s="43"/>
      <c r="LK13" s="43"/>
      <c r="LL13" s="43"/>
      <c r="LM13" s="43"/>
      <c r="LN13" s="43"/>
      <c r="LO13" s="43"/>
      <c r="LP13" s="43"/>
      <c r="LQ13" s="43"/>
      <c r="LR13" s="43"/>
      <c r="LS13" s="43"/>
      <c r="LT13" s="14" t="str">
        <f>IF(SUM(LE13,LI13)&gt;0,SUM(LE13,LI13),"")</f>
        <v/>
      </c>
      <c r="LU13" s="14" t="str">
        <f>IF(SUM(LD13:LE13,LG13:LI13,LK13)-SUM(LF13,LJ13)&gt;0,SUM(LD13:LE13,LG13:LI13,LK13)-SUM(LF13,LJ13),"")</f>
        <v/>
      </c>
      <c r="LV13" s="14" t="str">
        <f>IF(SUM(LM13,LQ13)&gt;0,SUM(LM13,LQ13),"")</f>
        <v/>
      </c>
      <c r="LW13" s="14" t="str">
        <f>IF(SUM(LL13:LM13,LO13:LQ13,LS13)-SUM(LN13,LR13)&gt;0,SUM(LL13:LM13,LO13:LQ13,LS13)-SUM(LN13,LR13),"")</f>
        <v/>
      </c>
      <c r="LX13" s="14" t="str">
        <f>IF(SUM(LU13,LW13)&gt;0,SUM(LU13,LW13),"")</f>
        <v/>
      </c>
      <c r="LY13" s="69">
        <f>IF($BY13="P",BI13,(BI13+AM13)/2)</f>
        <v>0</v>
      </c>
      <c r="LZ13" s="69">
        <f>IF($BY13="P",BJ13,(BJ13+AN13)/2)</f>
        <v>0</v>
      </c>
      <c r="MA13" s="69">
        <f>IF($BY13="P",BK13,(BK13+AO13)/2)</f>
        <v>0</v>
      </c>
      <c r="MB13" s="69">
        <f>IF($BY13="P",BL13,(BL13+AP13)/2)</f>
        <v>0</v>
      </c>
      <c r="MC13" s="69">
        <f>IF($BY13="P",BM13,(BM13+AQ13)/2)</f>
        <v>0</v>
      </c>
      <c r="MD13" s="69">
        <f>IF($BY13="P",BN13,(BN13+AR13)/2)</f>
        <v>0</v>
      </c>
      <c r="ME13" s="69">
        <f>IF($BY13="P",BO13,(BO13+AS13)/2)</f>
        <v>0</v>
      </c>
      <c r="MF13" s="69">
        <f>IF($BY13="P",BP13,(BP13+AT13)/2)</f>
        <v>0</v>
      </c>
      <c r="MG13" s="69">
        <f>IF($BY13="P",BQ13,(BQ13+AU13)/2)</f>
        <v>0</v>
      </c>
      <c r="MH13" s="69">
        <f>IF($BY13="P",BR13,(BR13+AV13)/2)</f>
        <v>0</v>
      </c>
      <c r="MI13" s="69">
        <f>IF($BY13="P",BS13,(BS13+AW13)/2)</f>
        <v>0</v>
      </c>
      <c r="MJ13" s="69">
        <f>IF($BY13="P",BT13,(BT13+AX13)/2)</f>
        <v>0</v>
      </c>
      <c r="MK13" s="69">
        <f>IF($BY13="P",BU13,(BU13+AY13)/2)</f>
        <v>0</v>
      </c>
      <c r="ML13" s="69">
        <f>IF($BY13="P",BV13,(BV13+AZ13)/2)</f>
        <v>0</v>
      </c>
      <c r="MM13" s="69">
        <f>IF($BY13="P",BW13,(BW13+BA13)/2)</f>
        <v>0</v>
      </c>
      <c r="MN13" s="69">
        <f>IF($BY13="P",BX13,(BX13+BB13)/2)</f>
        <v>0</v>
      </c>
      <c r="MO13" s="80" t="s">
        <v>74</v>
      </c>
      <c r="MP13" s="11" t="str">
        <f>IF(SUM(LZ13,MD13)&gt;0,SUM(LZ13,MD13),"")</f>
        <v/>
      </c>
      <c r="MQ13" s="11" t="str">
        <f>IF(SUM(LY13:LZ13,MB13:MD13,MF13)-SUM(MA13,ME13)&gt;0,SUM(LY13:LZ13,MB13:MD13,MF13)-SUM(MA13,ME13),"")</f>
        <v/>
      </c>
      <c r="MR13" s="11" t="str">
        <f>IF(SUM(MH13,ML13)&gt;0,SUM(MH13,ML13),"")</f>
        <v/>
      </c>
      <c r="MS13" s="11" t="str">
        <f>IF(SUM(MG13:MH13,MJ13:ML13,MN13)-SUM(MI13,MM13)&gt;0,SUM(MG13:MH13,MJ13:ML13,MN13)-SUM(MI13,MM13),"")</f>
        <v/>
      </c>
      <c r="MT13" s="11" t="str">
        <f>IF(SUM(MQ13,MS13)&gt;0,SUM(MQ13,MS13),"")</f>
        <v/>
      </c>
    </row>
    <row r="14" spans="1:358" x14ac:dyDescent="0.2">
      <c r="A14" s="5" t="str">
        <f>IF(AND(F14="P",G14="P"),SUMPRODUCT((F$4:F$17="P")*(G$4:G$17="P")*(E$4:E$17&gt;E14))+1,IF(G14="P",SUMPRODUCT((F$4:F$17="")*(G$4:G$17="P")*(E$4:E$17&gt;E14))+1+SUMPRODUCT((F$4:F$17="P")*(G$4:G$17="P")),""))</f>
        <v/>
      </c>
      <c r="B14" s="8" t="s">
        <v>146</v>
      </c>
      <c r="C14" s="4" t="s">
        <v>5</v>
      </c>
      <c r="D14" s="5">
        <v>1999</v>
      </c>
      <c r="E14" s="15">
        <f>SUM(J14:N14)</f>
        <v>65.599999999999994</v>
      </c>
      <c r="F14" s="3" t="str">
        <f>IF(OR(AND(AH14&gt;=AL$19,AI14&gt;=AL$23,AI14&lt;&gt;"",AG14=""),AND(BD14&gt;=BH$19,BE14&gt;=BH$23,BE14&lt;&gt;"",BC14=""),AND(BZ14&gt;=CD$19,CA14&gt;=CD$23,CA14&lt;&gt;"",BY14=""),AND(CW14&gt;=DA$19,CX14&gt;=DA$23,CX14&lt;&gt;""),AND(DR14&gt;=DV$19,DS14&gt;=DV$23,DS14&lt;&gt;""),AND(EM14&gt;=EQ$19,EN14&gt;=EQ$23,EN14&lt;&gt;""),AND(FH14&gt;=FL$19,FI14&gt;=FL$23,FI14&lt;&gt;""),AND(GC14&gt;=GG$19,GD14&gt;=GG$23,GD14&lt;&gt;""),AND(GX14&gt;=HB$19,GY14&gt;=HB$23,GY14&lt;&gt;""),AND(HS14&gt;=HW$19,HT14&gt;=HW$23,HT14&lt;&gt;""),AND(IN14&gt;=IR$19,IO14&gt;=IR$23,IO14&lt;&gt;""),AND(JI14&gt;=JM$19,JJ14&gt;=JM$23,JJ14&lt;&gt;""),AND(KD14&gt;=KH$19,KE14&gt;=KH$23,KE14&lt;&gt;""),AND(KY14&gt;=LC$19,KZ14&gt;=LC$23,KZ14&lt;&gt;""),AND(LT14&gt;=LX$19,LU14&gt;=LX$23,LU14&lt;&gt;"")),"P","")</f>
        <v/>
      </c>
      <c r="G14" s="3" t="str">
        <f>IF(OR(AND(AI14&gt;=AL$23,AI14&lt;&gt;"",AG14=""),AND(BE14&gt;=BH$23,BE14&lt;&gt;"",BC14=""),AND(CA14&gt;=CD$23,CA14&lt;&gt;"",BY14=""),AND(CX14&gt;=DA$23,CX14&lt;&gt;""),AND(DS14&gt;=DV$23,DS14&lt;&gt;""),AND(EN14&gt;=EQ$23,EN14&lt;&gt;""),AND(FI14&gt;=FL$23,FI14&lt;&gt;""),AND(GD14&gt;=GG$23,GD14&lt;&gt;""),AND(GY14&gt;=HB$23,GY14&lt;&gt;""),AND(HT14&gt;=HW$23,HT14&lt;&gt;""),AND(IO14&gt;=IR$23,IO14&lt;&gt;""),AND(JJ14&gt;=JM$23,JJ14&lt;&gt;""),AND(KE14&gt;=KH$23,KE14&lt;&gt;""),AND(KZ14&gt;=LC$23,KZ14&lt;&gt;""),AND(LU14&gt;=LX$23,LU14&lt;&gt;"")),"P","")</f>
        <v/>
      </c>
      <c r="H14" s="126" t="str">
        <f>IF(AND(G14="P",F14=""),"No DD",IF(OR(AND(AH14&gt;=AL$22,AH14&lt;&gt;"",AI14&gt;=AL$26,AI14&lt;&gt;"",AG14=""),AND(BD14&gt;=BH$22,BD14&lt;&gt;"",BE14&gt;=BH$26,BE14&lt;&gt;"",BC14=""),AND(BZ14&gt;=CD$22,BZ14&lt;&gt;"",CA14&gt;=CD$26,CA14&lt;&gt;"",BY14=""),AND(CW14&gt;=DA$22,CW14&lt;&gt;"",CX14&gt;=DA$26,CX14&lt;&gt;""),AND(DR14&gt;=DV$22,DR14&lt;&gt;"",DS14&gt;=DV$26,DS14&lt;&gt;""),AND(EM14&gt;=EQ$22,EM14&lt;&gt;"",EN14&gt;=EQ$26,EN14&lt;&gt;""),AND(FH14&gt;=FL$22,FH14&lt;&gt;"",FI14&gt;=FL$26,FI14&lt;&gt;""),AND(GC14&gt;=GG$22,GC14&lt;&gt;"",GD14&gt;=GG$26,GD14&lt;&gt;""),AND(GX14&gt;=HB$22,GX14&lt;&gt;"",GY14&gt;=HB$26,GY14&lt;&gt;""),AND(HS14&gt;=HW$22,HS14&lt;&gt;"",HT14&gt;=HW$26,HT14&lt;&gt;""),AND(IN14&gt;=IR$22,IN14&lt;&gt;"",IO14&gt;=IR$26,IO14&lt;&gt;""),AND(JI14&gt;=JM$22,JI14&lt;&gt;"",JJ14&gt;=JM$26,JJ14&lt;&gt;""),AND(KD14&gt;=KH$22,KD14&lt;&gt;"",KE14&gt;=KH$26,KE14&lt;&gt;""),AND(KY14&gt;=LC$22,KY14&lt;&gt;"",KZ14&gt;=LC$26,KZ14&lt;&gt;""),AND(LT14&gt;=LX$22,LT14&lt;&gt;"",LU14&gt;=LX$26,LU14&lt;&gt;"")),"Merit",IF(OR(AND(AH14&gt;=AL$21,AH14&lt;&gt;"",AI14&gt;=AL$25,AI14&lt;&gt;"",AG14=""),AND(BD14&gt;=BH$21,BD14&lt;&gt;"",BE14&gt;=BH$25,BE14&lt;&gt;"",BC14=""),AND(BZ14&gt;=CD$21,BZ14&lt;&gt;"",CA14&gt;=CD$25,CA14&lt;&gt;"",BY14=""),AND(CW14&gt;=DA$21,CW14&lt;&gt;"",CX14&gt;=DA$25,CX14&lt;&gt;""),AND(DR14&gt;=DV$21,DR14&lt;&gt;"",DS14&gt;=DV$25,DS14&lt;&gt;""),AND(EM14&gt;=EQ$21,EM14&lt;&gt;"",EN14&gt;=EQ$25,EN14&lt;&gt;""),AND(FH14&gt;=FL$21,FH14&lt;&gt;"",FI14&gt;=FL$25,FI14&lt;&gt;""),AND(GC14&gt;=GG$21,GC14&lt;&gt;"",GD14&gt;=GG$25,GD14&lt;&gt;""),AND(GX14&gt;=HB$21,GX14&lt;&gt;"",GY14&gt;=HB$25,GY14&lt;&gt;""),AND(HS14&gt;=HW$21,HS14&lt;&gt;"",HT14&gt;=HW$25,HT14&lt;&gt;""),AND(IN14&gt;=IR$21,IN14&lt;&gt;"",IO14&gt;=IR$25,IO14&lt;&gt;""),AND(JI14&gt;=JM$21,JI14&lt;&gt;"",JJ14&gt;=JM$25,JJ14&lt;&gt;""),AND(KD14&gt;=KH$21,KD14&lt;&gt;"",KE14&gt;=KH$25,KE14&lt;&gt;""),AND(KY14&gt;=LC$21,KY14&lt;&gt;"",KZ14&gt;=LC$25,KZ14&lt;&gt;""),AND(LT14&gt;=LX$21,LT14&lt;&gt;"",LU14&gt;=LX$25,LU14&lt;&gt;"")),"Excellence",IF(OR(AND(AH14&gt;=AL$20,AH14&lt;&gt;"",AI14&gt;=AL$24,AI14&lt;&gt;"",AG14=""),AND(BD14&gt;=BH$20,BD14&lt;&gt;"",BE14&gt;=BH$24,BE14&lt;&gt;"",BC14=""),AND(BZ14&gt;=CD$20,BZ14&lt;&gt;"",CA14&gt;=CD$24,CA14&lt;&gt;"",BY14=""),AND(CW14&gt;=DA$20,CW14&lt;&gt;"",CX14&gt;=DA$24,CX14&lt;&gt;""),AND(DR14&gt;=DV$20,DR14&lt;&gt;"",DS14&gt;=DV$24,DS14&lt;&gt;""),AND(EM14&gt;=EQ$20,EM14&lt;&gt;"",EN14&gt;=EQ$24,EN14&lt;&gt;""),AND(FH14&gt;=FL$20,FH14&lt;&gt;"",FI14&gt;=FL$24,FI14&lt;&gt;""),AND(GC14&gt;=GG$20,GC14&lt;&gt;"",GD14&gt;=GG$24,GD14&lt;&gt;""),AND(GX14&gt;=HB$20,GX14&lt;&gt;"",GY14&gt;=HB$24,GY14&lt;&gt;""),AND(HS14&gt;=HW$20,HS14&lt;&gt;"",HT14&gt;=HW$24,HT14&lt;&gt;""),AND(IN14&gt;=IR$20,IN14&lt;&gt;"",IO14&gt;=IR$24,IO14&lt;&gt;""),AND(JI14&gt;=JM$20,JI14&lt;&gt;"",JJ14&gt;=JM$24,JJ14&lt;&gt;""),AND(KD14&gt;=KH$20,KD14&lt;&gt;"",KE14&gt;=KH$24,KE14&lt;&gt;""),AND(KY14&gt;=LC$20,KY14&lt;&gt;"",KZ14&gt;=LC$24,KZ14&lt;&gt;""),AND(LT14&gt;=LX$20,LT14&lt;&gt;"",LU14&gt;=LX$24,LU14&lt;&gt;"")),"Worlds Team",IF(OR(AND(AH14&gt;=AL$19,AH14&lt;&gt;"",AI14&gt;=AL$23,AI14&lt;&gt;"",AG14=""),AND(BD14&gt;=BH$19,BD14&lt;&gt;"",BE14&gt;=BH$23,BE14&lt;&gt;"",BC14=""),AND(BZ14&gt;=CD$19,BZ14&lt;&gt;"",CA14&gt;=CD$23,CA14&lt;&gt;"",BY14=""),AND(CW14&gt;=DA$19,CW14&lt;&gt;"",CX14&gt;=DA$23,CX14&lt;&gt;""),AND(DR14&gt;=DV$19,DR14&lt;&gt;"",DS14&gt;=DV$23,DS14&lt;&gt;""),AND(EM14&gt;=EQ$19,EM14&lt;&gt;"",EN14&gt;=EQ$23,EN14&lt;&gt;""),AND(FH14&gt;=FL$19,FH14&lt;&gt;"",FI14&gt;=FL$23,FI14&lt;&gt;""),AND(GC14&gt;=GG$19,GC14&lt;&gt;"",GD14&gt;=GG$23,GD14&lt;&gt;""),AND(GX14&gt;=HB$19,GX14&lt;&gt;"",GY14&gt;=HB$23,GY14&lt;&gt;""),AND(HS14&gt;=HW$19,HS14&lt;&gt;"",HT14&gt;=HW$23,HT14&lt;&gt;""),AND(IN14&gt;=IR$19,IN14&lt;&gt;"",IO14&gt;=IR$23,IO14&lt;&gt;""),AND(JI14&gt;=JM$19,JI14&lt;&gt;"",JJ14&gt;=JM$23,JJ14&lt;&gt;""),AND(KD14&gt;=KH$19,KD14&lt;&gt;"",KE14&gt;=KH$23,KE14&lt;&gt;""),AND(KY14&gt;=LC$19,KY14&lt;&gt;"",KZ14&gt;=LC$23,KZ14&lt;&gt;""),AND(LT14&gt;=LX$19,LT14&lt;&gt;"",LU14&gt;=LX$23,LU14&lt;&gt;"")),"National Team","")))))</f>
        <v/>
      </c>
      <c r="I14" s="3" t="str">
        <f>IF(OR(H14="Worlds Team",H14="Excellence",H14="Merit"),"P","")</f>
        <v/>
      </c>
      <c r="J14" s="14">
        <f>MAX(AI14,BE14,CA14)</f>
        <v>65.599999999999994</v>
      </c>
      <c r="K14" s="14" t="str">
        <f>IF(J14=0,"",IF(J14=CA14,$BI$1,IF(J14=BE14,$AM$1,IF(J14=AI14,$Q$1,""))))</f>
        <v>2021 Canadian Championships</v>
      </c>
      <c r="L14" s="14">
        <f>IF(J14=AI14,MAX(BH14,CD14),IF(J14=BE14,MAX(AL14,CD14),MAX(AL14,BH14)))</f>
        <v>0</v>
      </c>
      <c r="M14" s="14" t="str">
        <f>IF(L14=0,"",IF(AND(J14&lt;&gt;CA14,L14=CD14),$BI$1,IF(AND(J14&lt;&gt;BE14,L14=BH14),$AM$1,IF(L14=AL14,$Q$1,""))))</f>
        <v/>
      </c>
      <c r="N14" s="14" t="str">
        <f>IF(MAX(CE14:CF14)&gt;0,MAX(CE14:CF14),"")</f>
        <v/>
      </c>
      <c r="O14" s="25" t="str">
        <f>IF(N14="","",IF(N14=CE14,"(Prelim)",IF(N14=CF14,"(4 Pass)")))</f>
        <v/>
      </c>
      <c r="P14" s="14" t="str">
        <f>IF(N14="","",IF(N14=CE14,IF(N14+IF(J14="",0,J14)=CX14,$CG$1,IF(N14+IF(J14="",0,J14)=DS14,$DB$1,IF(N14+IF(J14="",0,J14)=EN14,$DW$1,IF(N14+IF(J14="",0,J14)=FI14,$ER$1,IF(N14+IF(J14="",0,J14)=GD14,$FM$1,IF(N14+IF(J14="",0,J14)=GY14,$GH$1,IF(N14+IF(J14="",0,J14)=HT14,$HC$1,IF(N14+IF(J14="",0,J14)=IO14,$HX$1,IF(N14+IF(J14="",0,J14)=JJ14,$IS$1,IF(N14+IF(J14="",0,J14)=KE14,$JN$1,IF(N14+IF(J14="",0,J14)=KZ14,$KI$1,IF(N14+IF(J14="",0,J14)=LU14,$LD$1)))))))))))),IF(N14=CF14,IF(N14+IF(L14="",0,L14)=DA14,$CG$1,IF(N14+IF(L14="",0,L14)=DV14,$DB$1,IF(N14+IF(L14="",0,L14)=EQ14,$DW$1,IF(N14+IF(L14="",0,L14)=FL14,$ER$1,IF(N14+IF(L14="",0,L14)=GG14,$FM$1,IF(N14+IF(L14="",0,L14)=HB14,$GH$1,IF(N14+IF(L14="",0,L14)=HW14,$HC$1,IF(N14+IF(L14="",0,L14)=IR14,$HX$1,IF(N14+IF(L14="",0,L14)=JM14,$IS$1,IF(N14+IF(L14="",0,L14)=KH14,$JN$1,IF(N14+IF(L14="",0,L14)=LC14,$KI$1,IF(N14+IF(L14="",0,L14)=LX14,$LD$1)))))))))))))))</f>
        <v/>
      </c>
      <c r="Q14" s="69"/>
      <c r="R14" s="69"/>
      <c r="S14" s="69"/>
      <c r="T14" s="69"/>
      <c r="U14" s="69"/>
      <c r="V14" s="69"/>
      <c r="W14" s="69"/>
      <c r="X14" s="69"/>
      <c r="Y14" s="69"/>
      <c r="Z14" s="69"/>
      <c r="AA14" s="69"/>
      <c r="AB14" s="69"/>
      <c r="AC14" s="69"/>
      <c r="AD14" s="69"/>
      <c r="AE14" s="69"/>
      <c r="AF14" s="69"/>
      <c r="AG14" s="80"/>
      <c r="AH14" s="11" t="str">
        <f>IF(SUM(R14,V14)&gt;0,SUM(R14,V14),"")</f>
        <v/>
      </c>
      <c r="AI14" s="11" t="str">
        <f>IF(SUM(Q14:R14,T14:V14,X14)-SUM(S14,W14)&gt;0,SUM(Q14:R14,T14:V14,X14)-SUM(S14,W14),"")</f>
        <v/>
      </c>
      <c r="AJ14" s="11" t="str">
        <f>IF(SUM(Z14,AD14)&gt;0,SUM(Z14,AD14),"")</f>
        <v/>
      </c>
      <c r="AK14" s="11" t="str">
        <f>IF(SUM(Y14:Z14,AB14:AD14,AF14)-SUM(AA14,AE14)&gt;0,SUM(Y14:Z14,AB14:AD14,AF14)-SUM(AA14,AE14),"")</f>
        <v/>
      </c>
      <c r="AL14" s="11" t="str">
        <f>IF(SUM(AI14,AK14)&gt;0,SUM(AI14,AK14),"")</f>
        <v/>
      </c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81"/>
      <c r="BD14" s="14" t="str">
        <f>IF(SUM(AN14,AR14)&gt;0,SUM(AN14,AR14),"")</f>
        <v/>
      </c>
      <c r="BE14" s="14" t="str">
        <f>IF(SUM(AM14:AN14,AP14:AR14,AT14)-SUM(AO14,AS14)&gt;0,SUM(AM14:AN14,AP14:AR14,AT14)-SUM(AO14,AS14),"")</f>
        <v/>
      </c>
      <c r="BF14" s="14" t="str">
        <f>IF(SUM(AV14,AZ14)&gt;0,SUM(AV14,AZ14),"")</f>
        <v/>
      </c>
      <c r="BG14" s="14" t="str">
        <f>IF(SUM(AU14:AV14,AX14:AZ14,BB14)-SUM(AW14,BA14)&gt;0,SUM(AU14:AV14,AX14:AZ14,BB14)-SUM(AW14,BA14),"")</f>
        <v/>
      </c>
      <c r="BH14" s="14" t="str">
        <f>IF(SUM(BE14,BG14)&gt;0,SUM(BE14,BG14),"")</f>
        <v/>
      </c>
      <c r="BI14" s="69">
        <v>28.3</v>
      </c>
      <c r="BJ14" s="69">
        <v>4.8</v>
      </c>
      <c r="BK14" s="69">
        <v>0.9</v>
      </c>
      <c r="BL14" s="69">
        <v>0</v>
      </c>
      <c r="BM14" s="69">
        <v>28.6</v>
      </c>
      <c r="BN14" s="69">
        <v>4.8</v>
      </c>
      <c r="BO14" s="69">
        <v>0</v>
      </c>
      <c r="BP14" s="69">
        <v>0</v>
      </c>
      <c r="BQ14" s="69">
        <v>20.100000000000001</v>
      </c>
      <c r="BR14" s="69">
        <v>2.8</v>
      </c>
      <c r="BS14" s="69">
        <v>0</v>
      </c>
      <c r="BT14" s="69">
        <v>0</v>
      </c>
      <c r="BU14" s="69">
        <v>28.3</v>
      </c>
      <c r="BV14" s="69">
        <v>3</v>
      </c>
      <c r="BW14" s="69">
        <v>1.4</v>
      </c>
      <c r="BX14" s="69">
        <v>0</v>
      </c>
      <c r="BY14" s="80"/>
      <c r="BZ14" s="11">
        <f>IF(SUM(BJ14,BN14)&gt;0,SUM(BJ14,BN14),"")</f>
        <v>9.6</v>
      </c>
      <c r="CA14" s="11">
        <f>IF(SUM(BI14:BJ14,BL14:BN14,BP14)-SUM(BK14,BO14)&gt;0,SUM(BI14:BJ14,BL14:BN14,BP14)-SUM(BK14,BO14),"")</f>
        <v>65.599999999999994</v>
      </c>
      <c r="CB14" s="11">
        <f>IF(SUM(BR14,BV14)&gt;0,SUM(BR14,BV14),"")</f>
        <v>5.8</v>
      </c>
      <c r="CC14" s="11">
        <f>IF(SUM(BQ14:BR14,BT14:BV14,BX14)-SUM(BS14,BW14)&gt;0,SUM(BQ14:BR14,BT14:BV14,BX14)-SUM(BS14,BW14),"")</f>
        <v>52.800000000000004</v>
      </c>
      <c r="CD14" s="11">
        <f>IF(SUM(CA14,CC14)&gt;0,SUM(CA14,CC14),"")</f>
        <v>118.4</v>
      </c>
      <c r="CE14" s="24" t="str">
        <f>IF(MAX(CX14,DS14,EN14,FI14,GD14,GY14,HT14,IO14,JJ14,KE14,KZ14,LU14)-IF(J14="",0,J14)&gt;0.001,MAX(CX14,DS14,EN14,FI14,GD14,GY14,HT14,IO14,JJ14,KE14,KZ14,LU14)-IF(J14="",0,J14),"")</f>
        <v/>
      </c>
      <c r="CF14" s="24" t="str">
        <f>IF(MAX(DA14,DV14,EQ14,FL14,GG14,HB14,HW14,IR14,JM14,KH14,LC14,LX14)-IF(L14="",0,L14)&gt;0.001,MAX(DA14,DV14,EQ14,FL14,GG14,HB14,HW14,IR14,JM14,KH14,LC14,LX14)-IF(L14="",0,L14),"")</f>
        <v/>
      </c>
      <c r="CG14" s="44"/>
      <c r="CH14" s="44"/>
      <c r="CI14" s="44"/>
      <c r="CJ14" s="44"/>
      <c r="CK14" s="44"/>
      <c r="CL14" s="44"/>
      <c r="CM14" s="44"/>
      <c r="CN14" s="44"/>
      <c r="CO14" s="44"/>
      <c r="CP14" s="44"/>
      <c r="CQ14" s="44"/>
      <c r="CR14" s="44"/>
      <c r="CS14" s="44"/>
      <c r="CT14" s="44"/>
      <c r="CU14" s="44"/>
      <c r="CV14" s="44"/>
      <c r="CW14" s="11" t="str">
        <f>IF(SUM(CH14,CL14)&gt;0,SUM(CH14,CL14),"")</f>
        <v/>
      </c>
      <c r="CX14" s="11" t="str">
        <f>IF(SUM(CG14:CH14,CJ14:CL14,CN14)-SUM(CI14,CM14)&gt;0,SUM(CG14:CH14,CJ14:CL14,CN14)-SUM(CI14,CM14),"")</f>
        <v/>
      </c>
      <c r="CY14" s="11" t="str">
        <f>IF(SUM(CP14,CT14)&gt;0,SUM(CP14,CT14),"")</f>
        <v/>
      </c>
      <c r="CZ14" s="11" t="str">
        <f>IF(SUM(CO14:CP14,CR14:CT14,CV14)-SUM(CQ14,CU14)&gt;0,SUM(CO14:CP14,CR14:CT14,CV14)-SUM(CQ14,CU14),"")</f>
        <v/>
      </c>
      <c r="DA14" s="11" t="str">
        <f>IF(SUM(CX14,CZ14)&gt;0,SUM(CX14,CZ14),"")</f>
        <v/>
      </c>
      <c r="DB14" s="43"/>
      <c r="DC14" s="43"/>
      <c r="DD14" s="43"/>
      <c r="DE14" s="43"/>
      <c r="DF14" s="43"/>
      <c r="DG14" s="43"/>
      <c r="DH14" s="43"/>
      <c r="DI14" s="43"/>
      <c r="DJ14" s="43"/>
      <c r="DK14" s="43"/>
      <c r="DL14" s="43"/>
      <c r="DM14" s="43"/>
      <c r="DN14" s="43"/>
      <c r="DO14" s="43"/>
      <c r="DP14" s="43"/>
      <c r="DQ14" s="43"/>
      <c r="DR14" s="14" t="str">
        <f>IF(SUM(DC14,DG14)&gt;0,SUM(DC14,DG14),"")</f>
        <v/>
      </c>
      <c r="DS14" s="14" t="str">
        <f>IF(SUM(DB14:DC14,DE14:DG14,DI14)-SUM(DD14,DH14)&gt;0,SUM(DB14:DC14,DE14:DG14,DI14)-SUM(DD14,DH14),"")</f>
        <v/>
      </c>
      <c r="DT14" s="14" t="str">
        <f>IF(SUM(DK14,DO14)&gt;0,SUM(DK14,DO14),"")</f>
        <v/>
      </c>
      <c r="DU14" s="14" t="str">
        <f>IF(SUM(DJ14:DK14,DM14:DO14,DQ14)-SUM(DL14,DP14)&gt;0,SUM(DJ14:DK14,DM14:DO14,DQ14)-SUM(DL14,DP14),"")</f>
        <v/>
      </c>
      <c r="DV14" s="14" t="str">
        <f>IF(SUM(DS14,DU14)&gt;0,SUM(DS14,DU14),"")</f>
        <v/>
      </c>
      <c r="DW14" s="44"/>
      <c r="DX14" s="44"/>
      <c r="DY14" s="44"/>
      <c r="DZ14" s="44"/>
      <c r="EA14" s="44"/>
      <c r="EB14" s="44"/>
      <c r="EC14" s="44"/>
      <c r="ED14" s="44"/>
      <c r="EE14" s="44"/>
      <c r="EF14" s="44"/>
      <c r="EG14" s="44"/>
      <c r="EH14" s="44"/>
      <c r="EI14" s="44"/>
      <c r="EJ14" s="44"/>
      <c r="EK14" s="44"/>
      <c r="EL14" s="44"/>
      <c r="EM14" s="11" t="str">
        <f>IF(SUM(DX14,EB14)&gt;0,SUM(DX14,EB14),"")</f>
        <v/>
      </c>
      <c r="EN14" s="11" t="str">
        <f>IF(SUM(DW14:DX14,DZ14:EB14,ED14)-SUM(DY14,EC14)&gt;0,SUM(DW14:DX14,DZ14:EB14,ED14)-SUM(DY14,EC14),"")</f>
        <v/>
      </c>
      <c r="EO14" s="11" t="str">
        <f>IF(SUM(EF14,EJ14)&gt;0,SUM(EF14,EJ14),"")</f>
        <v/>
      </c>
      <c r="EP14" s="11" t="str">
        <f>IF(SUM(EE14:EF14,EH14:EJ14,EL14)-SUM(EG14,EK14)&gt;0,SUM(EE14:EF14,EH14:EJ14,EL14)-SUM(EG14,EK14),"")</f>
        <v/>
      </c>
      <c r="EQ14" s="11" t="str">
        <f>IF(SUM(EN14,EP14)&gt;0,SUM(EN14,EP14),"")</f>
        <v/>
      </c>
      <c r="ER14" s="43"/>
      <c r="ES14" s="43"/>
      <c r="ET14" s="43"/>
      <c r="EU14" s="43"/>
      <c r="EV14" s="43"/>
      <c r="EW14" s="43"/>
      <c r="EX14" s="43"/>
      <c r="EY14" s="43"/>
      <c r="EZ14" s="43"/>
      <c r="FA14" s="43"/>
      <c r="FB14" s="43"/>
      <c r="FC14" s="43"/>
      <c r="FD14" s="43"/>
      <c r="FE14" s="43"/>
      <c r="FF14" s="43"/>
      <c r="FG14" s="43"/>
      <c r="FH14" s="14" t="str">
        <f>IF(SUM(ES14,EW14)&gt;0,SUM(ES14,EW14),"")</f>
        <v/>
      </c>
      <c r="FI14" s="14" t="str">
        <f>IF(SUM(ER14:ES14,EU14:EW14,EY14)-SUM(ET14,EX14)&gt;0,SUM(ER14:ES14,EU14:EW14,EY14)-SUM(ET14,EX14),"")</f>
        <v/>
      </c>
      <c r="FJ14" s="14" t="str">
        <f>IF(SUM(FA14,FE14)&gt;0,SUM(FA14,FE14),"")</f>
        <v/>
      </c>
      <c r="FK14" s="14" t="str">
        <f>IF(SUM(EZ14:FA14,FC14:FE14,FG14)-SUM(FB14,FF14)&gt;0,SUM(EZ14:FA14,FC14:FE14,FG14)-SUM(FB14,FF14),"")</f>
        <v/>
      </c>
      <c r="FL14" s="14" t="str">
        <f>IF(SUM(FI14,FK14)&gt;0,SUM(FI14,FK14),"")</f>
        <v/>
      </c>
      <c r="FM14" s="44"/>
      <c r="FN14" s="44"/>
      <c r="FO14" s="44"/>
      <c r="FP14" s="44"/>
      <c r="FQ14" s="44"/>
      <c r="FR14" s="44"/>
      <c r="FS14" s="44"/>
      <c r="FT14" s="44"/>
      <c r="FU14" s="44"/>
      <c r="FV14" s="44"/>
      <c r="FW14" s="44"/>
      <c r="FX14" s="44"/>
      <c r="FY14" s="44"/>
      <c r="FZ14" s="44"/>
      <c r="GA14" s="44"/>
      <c r="GB14" s="44"/>
      <c r="GC14" s="11" t="str">
        <f>IF(SUM(FN14,FR14)&gt;0,SUM(FN14,FR14),"")</f>
        <v/>
      </c>
      <c r="GD14" s="11" t="str">
        <f>IF(SUM(FM14:FN14,FP14:FR14,FT14)-SUM(FO14,FS14)&gt;0,SUM(FM14:FN14,FP14:FR14,FT14)-SUM(FO14,FS14),"")</f>
        <v/>
      </c>
      <c r="GE14" s="11" t="str">
        <f>IF(SUM(FV14,FZ14)&gt;0,SUM(FV14,FZ14),"")</f>
        <v/>
      </c>
      <c r="GF14" s="11" t="str">
        <f>IF(SUM(FU14:FV14,FX14:FZ14,GB14)-SUM(FW14,GA14)&gt;0,SUM(FU14:FV14,FX14:FZ14,GB14)-SUM(FW14,GA14),"")</f>
        <v/>
      </c>
      <c r="GG14" s="11" t="str">
        <f>IF(SUM(GD14,GF14)&gt;0,SUM(GD14,GF14),"")</f>
        <v/>
      </c>
      <c r="GH14" s="43"/>
      <c r="GI14" s="43"/>
      <c r="GJ14" s="43"/>
      <c r="GK14" s="43"/>
      <c r="GL14" s="43"/>
      <c r="GM14" s="43"/>
      <c r="GN14" s="43"/>
      <c r="GO14" s="43"/>
      <c r="GP14" s="43"/>
      <c r="GQ14" s="43"/>
      <c r="GR14" s="43"/>
      <c r="GS14" s="43"/>
      <c r="GT14" s="43"/>
      <c r="GU14" s="43"/>
      <c r="GV14" s="43"/>
      <c r="GW14" s="43"/>
      <c r="GX14" s="14" t="str">
        <f>IF(SUM(GI14,GM14)&gt;0,SUM(GI14,GM14),"")</f>
        <v/>
      </c>
      <c r="GY14" s="14" t="str">
        <f>IF(SUM(GH14:GI14,GK14:GM14,GO14)-SUM(GJ14,GN14)&gt;0,SUM(GH14:GI14,GK14:GM14,GO14)-SUM(GJ14,GN14),"")</f>
        <v/>
      </c>
      <c r="GZ14" s="14" t="str">
        <f>IF(SUM(GQ14,GU14)&gt;0,SUM(GQ14,GU14),"")</f>
        <v/>
      </c>
      <c r="HA14" s="14" t="str">
        <f>IF(SUM(GP14:GQ14,GS14:GU14,GW14)-SUM(GR14,GV14)&gt;0,SUM(GP14:GQ14,GS14:GU14,GW14)-SUM(GR14,GV14),"")</f>
        <v/>
      </c>
      <c r="HB14" s="14" t="str">
        <f>IF(SUM(GY14,HA14)&gt;0,SUM(GY14,HA14),"")</f>
        <v/>
      </c>
      <c r="HC14" s="44"/>
      <c r="HD14" s="44"/>
      <c r="HE14" s="44"/>
      <c r="HF14" s="44"/>
      <c r="HG14" s="44"/>
      <c r="HH14" s="44"/>
      <c r="HI14" s="44"/>
      <c r="HJ14" s="44"/>
      <c r="HK14" s="44"/>
      <c r="HL14" s="44"/>
      <c r="HM14" s="44"/>
      <c r="HN14" s="44"/>
      <c r="HO14" s="44"/>
      <c r="HP14" s="44"/>
      <c r="HQ14" s="44"/>
      <c r="HR14" s="44"/>
      <c r="HS14" s="11" t="str">
        <f>IF(SUM(HD14,HH14)&gt;0,SUM(HD14,HH14),"")</f>
        <v/>
      </c>
      <c r="HT14" s="11" t="str">
        <f>IF(SUM(HC14:HD14,HF14:HH14,HJ14)-SUM(HE14,HI14)&gt;0,SUM(HC14:HD14,HF14:HH14,HJ14)-SUM(HE14,HI14),"")</f>
        <v/>
      </c>
      <c r="HU14" s="11" t="str">
        <f>IF(SUM(HL14,HP14)&gt;0,SUM(HL14,HP14),"")</f>
        <v/>
      </c>
      <c r="HV14" s="11" t="str">
        <f>IF(SUM(HK14:HL14,HN14:HP14,HR14)-SUM(HM14,HQ14)&gt;0,SUM(HK14:HL14,HN14:HP14,HR14)-SUM(HM14,HQ14),"")</f>
        <v/>
      </c>
      <c r="HW14" s="11" t="str">
        <f>IF(SUM(HT14,HV14)&gt;0,SUM(HT14,HV14),"")</f>
        <v/>
      </c>
      <c r="HX14" s="43"/>
      <c r="HY14" s="43"/>
      <c r="HZ14" s="43"/>
      <c r="IA14" s="43"/>
      <c r="IB14" s="43"/>
      <c r="IC14" s="43"/>
      <c r="ID14" s="43"/>
      <c r="IE14" s="43"/>
      <c r="IF14" s="43"/>
      <c r="IG14" s="43"/>
      <c r="IH14" s="43"/>
      <c r="II14" s="43"/>
      <c r="IJ14" s="43"/>
      <c r="IK14" s="43"/>
      <c r="IL14" s="43"/>
      <c r="IM14" s="43"/>
      <c r="IN14" s="14" t="str">
        <f>IF(SUM(HY14,IC14)&gt;0,SUM(HY14,IC14),"")</f>
        <v/>
      </c>
      <c r="IO14" s="14" t="str">
        <f>IF(SUM(HX14:HY14,IA14:IC14,IE14)-SUM(HZ14,ID14)&gt;0,SUM(HX14:HY14,IA14:IC14,IE14)-SUM(HZ14,ID14),"")</f>
        <v/>
      </c>
      <c r="IP14" s="14" t="str">
        <f>IF(SUM(IG14,IK14)&gt;0,SUM(IG14,IK14),"")</f>
        <v/>
      </c>
      <c r="IQ14" s="14" t="str">
        <f>IF(SUM(IF14:IG14,II14:IK14,IM14)-SUM(IH14,IL14)&gt;0,SUM(IF14:IG14,II14:IK14,IM14)-SUM(IH14,IL14),"")</f>
        <v/>
      </c>
      <c r="IR14" s="14" t="str">
        <f>IF(SUM(IO14,IQ14)&gt;0,SUM(IO14,IQ14),"")</f>
        <v/>
      </c>
      <c r="IS14" s="44"/>
      <c r="IT14" s="44"/>
      <c r="IU14" s="44"/>
      <c r="IV14" s="44"/>
      <c r="IW14" s="44"/>
      <c r="IX14" s="44"/>
      <c r="IY14" s="44"/>
      <c r="IZ14" s="44"/>
      <c r="JA14" s="44"/>
      <c r="JB14" s="44"/>
      <c r="JC14" s="44"/>
      <c r="JD14" s="44"/>
      <c r="JE14" s="44"/>
      <c r="JF14" s="44"/>
      <c r="JG14" s="44"/>
      <c r="JH14" s="44"/>
      <c r="JI14" s="11" t="str">
        <f>IF(SUM(IT14,IX14)&gt;0,SUM(IT14,IX14),"")</f>
        <v/>
      </c>
      <c r="JJ14" s="11" t="str">
        <f>IF(SUM(IS14:IT14,IV14:IX14,IZ14)-SUM(IU14,IY14)&gt;0,SUM(IS14:IT14,IV14:IX14,IZ14)-SUM(IU14,IY14),"")</f>
        <v/>
      </c>
      <c r="JK14" s="11" t="str">
        <f>IF(SUM(JB14,JF14)&gt;0,SUM(JB14,JF14),"")</f>
        <v/>
      </c>
      <c r="JL14" s="11" t="str">
        <f>IF(SUM(JA14:JB14,JD14:JF14,JH14)-SUM(JC14,JG14)&gt;0,SUM(JA14:JB14,JD14:JF14,JH14)-SUM(JC14,JG14),"")</f>
        <v/>
      </c>
      <c r="JM14" s="11" t="str">
        <f>IF(SUM(JJ14,JL14)&gt;0,SUM(JJ14,JL14),"")</f>
        <v/>
      </c>
      <c r="JN14" s="43"/>
      <c r="JO14" s="43"/>
      <c r="JP14" s="43"/>
      <c r="JQ14" s="43"/>
      <c r="JR14" s="43"/>
      <c r="JS14" s="43"/>
      <c r="JT14" s="43"/>
      <c r="JU14" s="43"/>
      <c r="JV14" s="43"/>
      <c r="JW14" s="43"/>
      <c r="JX14" s="43"/>
      <c r="JY14" s="43"/>
      <c r="JZ14" s="43"/>
      <c r="KA14" s="43"/>
      <c r="KB14" s="43"/>
      <c r="KC14" s="43"/>
      <c r="KD14" s="14" t="str">
        <f>IF(SUM(JO14,JS14)&gt;0,SUM(JO14,JS14),"")</f>
        <v/>
      </c>
      <c r="KE14" s="14" t="str">
        <f>IF(SUM(JN14:JO14,JQ14:JS14,JU14)-SUM(JP14,JT14)&gt;0,SUM(JN14:JO14,JQ14:JS14,JU14)-SUM(JP14,JT14),"")</f>
        <v/>
      </c>
      <c r="KF14" s="14" t="str">
        <f>IF(SUM(JW14,KA14)&gt;0,SUM(JW14,KA14),"")</f>
        <v/>
      </c>
      <c r="KG14" s="14" t="str">
        <f>IF(SUM(JV14:JW14,JY14:KA14,KC14)-SUM(JX14,KB14)&gt;0,SUM(JV14:JW14,JY14:KA14,KC14)-SUM(JX14,KB14),"")</f>
        <v/>
      </c>
      <c r="KH14" s="14" t="str">
        <f>IF(SUM(KE14,KG14)&gt;0,SUM(KE14,KG14),"")</f>
        <v/>
      </c>
      <c r="KI14" s="44"/>
      <c r="KJ14" s="44"/>
      <c r="KK14" s="44"/>
      <c r="KL14" s="44"/>
      <c r="KM14" s="44"/>
      <c r="KN14" s="44"/>
      <c r="KO14" s="44"/>
      <c r="KP14" s="44"/>
      <c r="KQ14" s="44"/>
      <c r="KR14" s="44"/>
      <c r="KS14" s="44"/>
      <c r="KT14" s="44"/>
      <c r="KU14" s="44"/>
      <c r="KV14" s="44"/>
      <c r="KW14" s="44"/>
      <c r="KX14" s="44"/>
      <c r="KY14" s="11" t="str">
        <f>IF(SUM(KJ14,KN14)&gt;0,SUM(KJ14,KN14),"")</f>
        <v/>
      </c>
      <c r="KZ14" s="11" t="str">
        <f>IF(SUM(KI14:KJ14,KL14:KN14,KP14)-SUM(KK14,KO14)&gt;0,SUM(KI14:KJ14,KL14:KN14,KP14)-SUM(KK14,KO14),"")</f>
        <v/>
      </c>
      <c r="LA14" s="11" t="str">
        <f>IF(SUM(KR14,KV14)&gt;0,SUM(KR14,KV14),"")</f>
        <v/>
      </c>
      <c r="LB14" s="11" t="str">
        <f>IF(SUM(KQ14:KR14,KT14:KV14,KX14)-SUM(KS14,KW14)&gt;0,SUM(KQ14:KR14,KT14:KV14,KX14)-SUM(KS14,KW14),"")</f>
        <v/>
      </c>
      <c r="LC14" s="11" t="str">
        <f>IF(SUM(KZ14,LB14)&gt;0,SUM(KZ14,LB14),"")</f>
        <v/>
      </c>
      <c r="LD14" s="43"/>
      <c r="LE14" s="43"/>
      <c r="LF14" s="43"/>
      <c r="LG14" s="43"/>
      <c r="LH14" s="43"/>
      <c r="LI14" s="43"/>
      <c r="LJ14" s="43"/>
      <c r="LK14" s="43"/>
      <c r="LL14" s="43"/>
      <c r="LM14" s="43"/>
      <c r="LN14" s="43"/>
      <c r="LO14" s="43"/>
      <c r="LP14" s="43"/>
      <c r="LQ14" s="43"/>
      <c r="LR14" s="43"/>
      <c r="LS14" s="43"/>
      <c r="LT14" s="14" t="str">
        <f>IF(SUM(LE14,LI14)&gt;0,SUM(LE14,LI14),"")</f>
        <v/>
      </c>
      <c r="LU14" s="14" t="str">
        <f>IF(SUM(LD14:LE14,LG14:LI14,LK14)-SUM(LF14,LJ14)&gt;0,SUM(LD14:LE14,LG14:LI14,LK14)-SUM(LF14,LJ14),"")</f>
        <v/>
      </c>
      <c r="LV14" s="14" t="str">
        <f>IF(SUM(LM14,LQ14)&gt;0,SUM(LM14,LQ14),"")</f>
        <v/>
      </c>
      <c r="LW14" s="14" t="str">
        <f>IF(SUM(LL14:LM14,LO14:LQ14,LS14)-SUM(LN14,LR14)&gt;0,SUM(LL14:LM14,LO14:LQ14,LS14)-SUM(LN14,LR14),"")</f>
        <v/>
      </c>
      <c r="LX14" s="14" t="str">
        <f>IF(SUM(LU14,LW14)&gt;0,SUM(LU14,LW14),"")</f>
        <v/>
      </c>
      <c r="LY14" s="69">
        <f>IF($BY14="P",BI14,(BI14+AM14)/2)</f>
        <v>14.15</v>
      </c>
      <c r="LZ14" s="69">
        <f>IF($BY14="P",BJ14,(BJ14+AN14)/2)</f>
        <v>2.4</v>
      </c>
      <c r="MA14" s="69">
        <f>IF($BY14="P",BK14,(BK14+AO14)/2)</f>
        <v>0.45</v>
      </c>
      <c r="MB14" s="69">
        <f>IF($BY14="P",BL14,(BL14+AP14)/2)</f>
        <v>0</v>
      </c>
      <c r="MC14" s="69">
        <f>IF($BY14="P",BM14,(BM14+AQ14)/2)</f>
        <v>14.3</v>
      </c>
      <c r="MD14" s="69">
        <f>IF($BY14="P",BN14,(BN14+AR14)/2)</f>
        <v>2.4</v>
      </c>
      <c r="ME14" s="69">
        <f>IF($BY14="P",BO14,(BO14+AS14)/2)</f>
        <v>0</v>
      </c>
      <c r="MF14" s="69">
        <f>IF($BY14="P",BP14,(BP14+AT14)/2)</f>
        <v>0</v>
      </c>
      <c r="MG14" s="69">
        <f>IF($BY14="P",BQ14,(BQ14+AU14)/2)</f>
        <v>10.050000000000001</v>
      </c>
      <c r="MH14" s="69">
        <f>IF($BY14="P",BR14,(BR14+AV14)/2)</f>
        <v>1.4</v>
      </c>
      <c r="MI14" s="69">
        <f>IF($BY14="P",BS14,(BS14+AW14)/2)</f>
        <v>0</v>
      </c>
      <c r="MJ14" s="69">
        <f>IF($BY14="P",BT14,(BT14+AX14)/2)</f>
        <v>0</v>
      </c>
      <c r="MK14" s="69">
        <f>IF($BY14="P",BU14,(BU14+AY14)/2)</f>
        <v>14.15</v>
      </c>
      <c r="ML14" s="69">
        <f>IF($BY14="P",BV14,(BV14+AZ14)/2)</f>
        <v>1.5</v>
      </c>
      <c r="MM14" s="69">
        <f>IF($BY14="P",BW14,(BW14+BA14)/2)</f>
        <v>0.7</v>
      </c>
      <c r="MN14" s="69">
        <f>IF($BY14="P",BX14,(BX14+BB14)/2)</f>
        <v>0</v>
      </c>
      <c r="MO14" s="80" t="s">
        <v>74</v>
      </c>
      <c r="MP14" s="11">
        <f>IF(SUM(LZ14,MD14)&gt;0,SUM(LZ14,MD14),"")</f>
        <v>4.8</v>
      </c>
      <c r="MQ14" s="11">
        <f>IF(SUM(LY14:LZ14,MB14:MD14,MF14)-SUM(MA14,ME14)&gt;0,SUM(LY14:LZ14,MB14:MD14,MF14)-SUM(MA14,ME14),"")</f>
        <v>32.799999999999997</v>
      </c>
      <c r="MR14" s="11">
        <f>IF(SUM(MH14,ML14)&gt;0,SUM(MH14,ML14),"")</f>
        <v>2.9</v>
      </c>
      <c r="MS14" s="11">
        <f>IF(SUM(MG14:MH14,MJ14:ML14,MN14)-SUM(MI14,MM14)&gt;0,SUM(MG14:MH14,MJ14:ML14,MN14)-SUM(MI14,MM14),"")</f>
        <v>26.400000000000002</v>
      </c>
      <c r="MT14" s="11">
        <f>IF(SUM(MQ14,MS14)&gt;0,SUM(MQ14,MS14),"")</f>
        <v>59.2</v>
      </c>
    </row>
    <row r="15" spans="1:358" x14ac:dyDescent="0.2">
      <c r="A15" s="5" t="str">
        <f>IF(AND(F15="P",G15="P"),SUMPRODUCT((F$4:F$17="P")*(G$4:G$17="P")*(E$4:E$17&gt;E15))+1,IF(G15="P",SUMPRODUCT((F$4:F$17="")*(G$4:G$17="P")*(E$4:E$17&gt;E15))+1+SUMPRODUCT((F$4:F$17="P")*(G$4:G$17="P")),""))</f>
        <v/>
      </c>
      <c r="B15" s="8" t="s">
        <v>139</v>
      </c>
      <c r="C15" s="4" t="s">
        <v>9</v>
      </c>
      <c r="D15" s="5">
        <v>1995</v>
      </c>
      <c r="E15" s="15">
        <f>SUM(J15:N15)</f>
        <v>55.7</v>
      </c>
      <c r="F15" s="3" t="str">
        <f>IF(OR(AND(AH15&gt;=AL$19,AI15&gt;=AL$23,AI15&lt;&gt;"",AG15=""),AND(BD15&gt;=BH$19,BE15&gt;=BH$23,BE15&lt;&gt;"",BC15=""),AND(BZ15&gt;=CD$19,CA15&gt;=CD$23,CA15&lt;&gt;"",BY15=""),AND(CW15&gt;=DA$19,CX15&gt;=DA$23,CX15&lt;&gt;""),AND(DR15&gt;=DV$19,DS15&gt;=DV$23,DS15&lt;&gt;""),AND(EM15&gt;=EQ$19,EN15&gt;=EQ$23,EN15&lt;&gt;""),AND(FH15&gt;=FL$19,FI15&gt;=FL$23,FI15&lt;&gt;""),AND(GC15&gt;=GG$19,GD15&gt;=GG$23,GD15&lt;&gt;""),AND(GX15&gt;=HB$19,GY15&gt;=HB$23,GY15&lt;&gt;""),AND(HS15&gt;=HW$19,HT15&gt;=HW$23,HT15&lt;&gt;""),AND(IN15&gt;=IR$19,IO15&gt;=IR$23,IO15&lt;&gt;""),AND(JI15&gt;=JM$19,JJ15&gt;=JM$23,JJ15&lt;&gt;""),AND(KD15&gt;=KH$19,KE15&gt;=KH$23,KE15&lt;&gt;""),AND(KY15&gt;=LC$19,KZ15&gt;=LC$23,KZ15&lt;&gt;""),AND(LT15&gt;=LX$19,LU15&gt;=LX$23,LU15&lt;&gt;"")),"P","")</f>
        <v/>
      </c>
      <c r="G15" s="3" t="str">
        <f>IF(OR(AND(AI15&gt;=AL$23,AI15&lt;&gt;"",AG15=""),AND(BE15&gt;=BH$23,BE15&lt;&gt;"",BC15=""),AND(CA15&gt;=CD$23,CA15&lt;&gt;"",BY15=""),AND(CX15&gt;=DA$23,CX15&lt;&gt;""),AND(DS15&gt;=DV$23,DS15&lt;&gt;""),AND(EN15&gt;=EQ$23,EN15&lt;&gt;""),AND(FI15&gt;=FL$23,FI15&lt;&gt;""),AND(GD15&gt;=GG$23,GD15&lt;&gt;""),AND(GY15&gt;=HB$23,GY15&lt;&gt;""),AND(HT15&gt;=HW$23,HT15&lt;&gt;""),AND(IO15&gt;=IR$23,IO15&lt;&gt;""),AND(JJ15&gt;=JM$23,JJ15&lt;&gt;""),AND(KE15&gt;=KH$23,KE15&lt;&gt;""),AND(KZ15&gt;=LC$23,KZ15&lt;&gt;""),AND(LU15&gt;=LX$23,LU15&lt;&gt;"")),"P","")</f>
        <v/>
      </c>
      <c r="H15" s="126" t="str">
        <f>IF(AND(G15="P",F15=""),"No DD",IF(OR(AND(AH15&gt;=AL$22,AH15&lt;&gt;"",AI15&gt;=AL$26,AI15&lt;&gt;"",AG15=""),AND(BD15&gt;=BH$22,BD15&lt;&gt;"",BE15&gt;=BH$26,BE15&lt;&gt;"",BC15=""),AND(BZ15&gt;=CD$22,BZ15&lt;&gt;"",CA15&gt;=CD$26,CA15&lt;&gt;"",BY15=""),AND(CW15&gt;=DA$22,CW15&lt;&gt;"",CX15&gt;=DA$26,CX15&lt;&gt;""),AND(DR15&gt;=DV$22,DR15&lt;&gt;"",DS15&gt;=DV$26,DS15&lt;&gt;""),AND(EM15&gt;=EQ$22,EM15&lt;&gt;"",EN15&gt;=EQ$26,EN15&lt;&gt;""),AND(FH15&gt;=FL$22,FH15&lt;&gt;"",FI15&gt;=FL$26,FI15&lt;&gt;""),AND(GC15&gt;=GG$22,GC15&lt;&gt;"",GD15&gt;=GG$26,GD15&lt;&gt;""),AND(GX15&gt;=HB$22,GX15&lt;&gt;"",GY15&gt;=HB$26,GY15&lt;&gt;""),AND(HS15&gt;=HW$22,HS15&lt;&gt;"",HT15&gt;=HW$26,HT15&lt;&gt;""),AND(IN15&gt;=IR$22,IN15&lt;&gt;"",IO15&gt;=IR$26,IO15&lt;&gt;""),AND(JI15&gt;=JM$22,JI15&lt;&gt;"",JJ15&gt;=JM$26,JJ15&lt;&gt;""),AND(KD15&gt;=KH$22,KD15&lt;&gt;"",KE15&gt;=KH$26,KE15&lt;&gt;""),AND(KY15&gt;=LC$22,KY15&lt;&gt;"",KZ15&gt;=LC$26,KZ15&lt;&gt;""),AND(LT15&gt;=LX$22,LT15&lt;&gt;"",LU15&gt;=LX$26,LU15&lt;&gt;"")),"Merit",IF(OR(AND(AH15&gt;=AL$21,AH15&lt;&gt;"",AI15&gt;=AL$25,AI15&lt;&gt;"",AG15=""),AND(BD15&gt;=BH$21,BD15&lt;&gt;"",BE15&gt;=BH$25,BE15&lt;&gt;"",BC15=""),AND(BZ15&gt;=CD$21,BZ15&lt;&gt;"",CA15&gt;=CD$25,CA15&lt;&gt;"",BY15=""),AND(CW15&gt;=DA$21,CW15&lt;&gt;"",CX15&gt;=DA$25,CX15&lt;&gt;""),AND(DR15&gt;=DV$21,DR15&lt;&gt;"",DS15&gt;=DV$25,DS15&lt;&gt;""),AND(EM15&gt;=EQ$21,EM15&lt;&gt;"",EN15&gt;=EQ$25,EN15&lt;&gt;""),AND(FH15&gt;=FL$21,FH15&lt;&gt;"",FI15&gt;=FL$25,FI15&lt;&gt;""),AND(GC15&gt;=GG$21,GC15&lt;&gt;"",GD15&gt;=GG$25,GD15&lt;&gt;""),AND(GX15&gt;=HB$21,GX15&lt;&gt;"",GY15&gt;=HB$25,GY15&lt;&gt;""),AND(HS15&gt;=HW$21,HS15&lt;&gt;"",HT15&gt;=HW$25,HT15&lt;&gt;""),AND(IN15&gt;=IR$21,IN15&lt;&gt;"",IO15&gt;=IR$25,IO15&lt;&gt;""),AND(JI15&gt;=JM$21,JI15&lt;&gt;"",JJ15&gt;=JM$25,JJ15&lt;&gt;""),AND(KD15&gt;=KH$21,KD15&lt;&gt;"",KE15&gt;=KH$25,KE15&lt;&gt;""),AND(KY15&gt;=LC$21,KY15&lt;&gt;"",KZ15&gt;=LC$25,KZ15&lt;&gt;""),AND(LT15&gt;=LX$21,LT15&lt;&gt;"",LU15&gt;=LX$25,LU15&lt;&gt;"")),"Excellence",IF(OR(AND(AH15&gt;=AL$20,AH15&lt;&gt;"",AI15&gt;=AL$24,AI15&lt;&gt;"",AG15=""),AND(BD15&gt;=BH$20,BD15&lt;&gt;"",BE15&gt;=BH$24,BE15&lt;&gt;"",BC15=""),AND(BZ15&gt;=CD$20,BZ15&lt;&gt;"",CA15&gt;=CD$24,CA15&lt;&gt;"",BY15=""),AND(CW15&gt;=DA$20,CW15&lt;&gt;"",CX15&gt;=DA$24,CX15&lt;&gt;""),AND(DR15&gt;=DV$20,DR15&lt;&gt;"",DS15&gt;=DV$24,DS15&lt;&gt;""),AND(EM15&gt;=EQ$20,EM15&lt;&gt;"",EN15&gt;=EQ$24,EN15&lt;&gt;""),AND(FH15&gt;=FL$20,FH15&lt;&gt;"",FI15&gt;=FL$24,FI15&lt;&gt;""),AND(GC15&gt;=GG$20,GC15&lt;&gt;"",GD15&gt;=GG$24,GD15&lt;&gt;""),AND(GX15&gt;=HB$20,GX15&lt;&gt;"",GY15&gt;=HB$24,GY15&lt;&gt;""),AND(HS15&gt;=HW$20,HS15&lt;&gt;"",HT15&gt;=HW$24,HT15&lt;&gt;""),AND(IN15&gt;=IR$20,IN15&lt;&gt;"",IO15&gt;=IR$24,IO15&lt;&gt;""),AND(JI15&gt;=JM$20,JI15&lt;&gt;"",JJ15&gt;=JM$24,JJ15&lt;&gt;""),AND(KD15&gt;=KH$20,KD15&lt;&gt;"",KE15&gt;=KH$24,KE15&lt;&gt;""),AND(KY15&gt;=LC$20,KY15&lt;&gt;"",KZ15&gt;=LC$24,KZ15&lt;&gt;""),AND(LT15&gt;=LX$20,LT15&lt;&gt;"",LU15&gt;=LX$24,LU15&lt;&gt;"")),"Worlds Team",IF(OR(AND(AH15&gt;=AL$19,AH15&lt;&gt;"",AI15&gt;=AL$23,AI15&lt;&gt;"",AG15=""),AND(BD15&gt;=BH$19,BD15&lt;&gt;"",BE15&gt;=BH$23,BE15&lt;&gt;"",BC15=""),AND(BZ15&gt;=CD$19,BZ15&lt;&gt;"",CA15&gt;=CD$23,CA15&lt;&gt;"",BY15=""),AND(CW15&gt;=DA$19,CW15&lt;&gt;"",CX15&gt;=DA$23,CX15&lt;&gt;""),AND(DR15&gt;=DV$19,DR15&lt;&gt;"",DS15&gt;=DV$23,DS15&lt;&gt;""),AND(EM15&gt;=EQ$19,EM15&lt;&gt;"",EN15&gt;=EQ$23,EN15&lt;&gt;""),AND(FH15&gt;=FL$19,FH15&lt;&gt;"",FI15&gt;=FL$23,FI15&lt;&gt;""),AND(GC15&gt;=GG$19,GC15&lt;&gt;"",GD15&gt;=GG$23,GD15&lt;&gt;""),AND(GX15&gt;=HB$19,GX15&lt;&gt;"",GY15&gt;=HB$23,GY15&lt;&gt;""),AND(HS15&gt;=HW$19,HS15&lt;&gt;"",HT15&gt;=HW$23,HT15&lt;&gt;""),AND(IN15&gt;=IR$19,IN15&lt;&gt;"",IO15&gt;=IR$23,IO15&lt;&gt;""),AND(JI15&gt;=JM$19,JI15&lt;&gt;"",JJ15&gt;=JM$23,JJ15&lt;&gt;""),AND(KD15&gt;=KH$19,KD15&lt;&gt;"",KE15&gt;=KH$23,KE15&lt;&gt;""),AND(KY15&gt;=LC$19,KY15&lt;&gt;"",KZ15&gt;=LC$23,KZ15&lt;&gt;""),AND(LT15&gt;=LX$19,LT15&lt;&gt;"",LU15&gt;=LX$23,LU15&lt;&gt;"")),"National Team","")))))</f>
        <v/>
      </c>
      <c r="I15" s="3" t="str">
        <f>IF(OR(H15="Worlds Team",H15="Excellence",H15="Merit"),"P","")</f>
        <v/>
      </c>
      <c r="J15" s="14">
        <f>MAX(AI15,BE15,CA15)</f>
        <v>55.7</v>
      </c>
      <c r="K15" s="14" t="str">
        <f>IF(J15=0,"",IF(J15=CA15,$BI$1,IF(J15=BE15,$AM$1,IF(J15=AI15,$Q$1,""))))</f>
        <v>2021 Elite Canada</v>
      </c>
      <c r="L15" s="14">
        <f>IF(J15=AI15,MAX(BH15,CD15),IF(J15=BE15,MAX(AL15,CD15),MAX(AL15,BH15)))</f>
        <v>0</v>
      </c>
      <c r="M15" s="14" t="str">
        <f>IF(L15=0,"",IF(AND(J15&lt;&gt;CA15,L15=CD15),$BI$1,IF(AND(J15&lt;&gt;BE15,L15=BH15),$AM$1,IF(L15=AL15,$Q$1,""))))</f>
        <v/>
      </c>
      <c r="N15" s="14" t="str">
        <f>IF(MAX(CE15:CF15)&gt;0,MAX(CE15:CF15),"")</f>
        <v/>
      </c>
      <c r="O15" s="25" t="str">
        <f>IF(N15="","",IF(N15=CE15,"(Prelim)",IF(N15=CF15,"(4 Pass)")))</f>
        <v/>
      </c>
      <c r="P15" s="14" t="str">
        <f>IF(N15="","",IF(N15=CE15,IF(N15+IF(J15="",0,J15)=CX15,$CG$1,IF(N15+IF(J15="",0,J15)=DS15,$DB$1,IF(N15+IF(J15="",0,J15)=EN15,$DW$1,IF(N15+IF(J15="",0,J15)=FI15,$ER$1,IF(N15+IF(J15="",0,J15)=GD15,$FM$1,IF(N15+IF(J15="",0,J15)=GY15,$GH$1,IF(N15+IF(J15="",0,J15)=HT15,$HC$1,IF(N15+IF(J15="",0,J15)=IO15,$HX$1,IF(N15+IF(J15="",0,J15)=JJ15,$IS$1,IF(N15+IF(J15="",0,J15)=KE15,$JN$1,IF(N15+IF(J15="",0,J15)=KZ15,$KI$1,IF(N15+IF(J15="",0,J15)=LU15,$LD$1)))))))))))),IF(N15=CF15,IF(N15+IF(L15="",0,L15)=DA15,$CG$1,IF(N15+IF(L15="",0,L15)=DV15,$DB$1,IF(N15+IF(L15="",0,L15)=EQ15,$DW$1,IF(N15+IF(L15="",0,L15)=FL15,$ER$1,IF(N15+IF(L15="",0,L15)=GG15,$FM$1,IF(N15+IF(L15="",0,L15)=HB15,$GH$1,IF(N15+IF(L15="",0,L15)=HW15,$HC$1,IF(N15+IF(L15="",0,L15)=IR15,$HX$1,IF(N15+IF(L15="",0,L15)=JM15,$IS$1,IF(N15+IF(L15="",0,L15)=KH15,$JN$1,IF(N15+IF(L15="",0,L15)=LC15,$KI$1,IF(N15+IF(L15="",0,L15)=LX15,$LD$1)))))))))))))))</f>
        <v/>
      </c>
      <c r="Q15" s="69"/>
      <c r="R15" s="69"/>
      <c r="S15" s="69"/>
      <c r="T15" s="69"/>
      <c r="U15" s="69"/>
      <c r="V15" s="69"/>
      <c r="W15" s="69"/>
      <c r="X15" s="69"/>
      <c r="Y15" s="69"/>
      <c r="Z15" s="69"/>
      <c r="AA15" s="69"/>
      <c r="AB15" s="69"/>
      <c r="AC15" s="69"/>
      <c r="AD15" s="69"/>
      <c r="AE15" s="69"/>
      <c r="AF15" s="69"/>
      <c r="AG15" s="80"/>
      <c r="AH15" s="11" t="str">
        <f>IF(SUM(R15,V15)&gt;0,SUM(R15,V15),"")</f>
        <v/>
      </c>
      <c r="AI15" s="11" t="str">
        <f>IF(SUM(Q15:R15,T15:V15,X15)-SUM(S15,W15)&gt;0,SUM(Q15:R15,T15:V15,X15)-SUM(S15,W15),"")</f>
        <v/>
      </c>
      <c r="AJ15" s="11" t="str">
        <f>IF(SUM(Z15,AD15)&gt;0,SUM(Z15,AD15),"")</f>
        <v/>
      </c>
      <c r="AK15" s="11" t="str">
        <f>IF(SUM(Y15:Z15,AB15:AD15,AF15)-SUM(AA15,AE15)&gt;0,SUM(Y15:Z15,AB15:AD15,AF15)-SUM(AA15,AE15),"")</f>
        <v/>
      </c>
      <c r="AL15" s="11" t="str">
        <f>IF(SUM(AI15,AK15)&gt;0,SUM(AI15,AK15),"")</f>
        <v/>
      </c>
      <c r="AM15" s="38">
        <v>19.899999999999999</v>
      </c>
      <c r="AN15" s="38">
        <v>2.8</v>
      </c>
      <c r="AO15" s="38">
        <v>0</v>
      </c>
      <c r="AP15" s="38">
        <v>0</v>
      </c>
      <c r="AQ15" s="38">
        <v>28</v>
      </c>
      <c r="AR15" s="38">
        <v>5.6</v>
      </c>
      <c r="AS15" s="38">
        <v>0.9</v>
      </c>
      <c r="AT15" s="38">
        <v>0.3</v>
      </c>
      <c r="AU15" s="38"/>
      <c r="AV15" s="38"/>
      <c r="AW15" s="38"/>
      <c r="AX15" s="38"/>
      <c r="AY15" s="38"/>
      <c r="AZ15" s="38"/>
      <c r="BA15" s="38"/>
      <c r="BB15" s="38"/>
      <c r="BC15" s="81"/>
      <c r="BD15" s="14">
        <f>IF(SUM(AN15,AR15)&gt;0,SUM(AN15,AR15),"")</f>
        <v>8.3999999999999986</v>
      </c>
      <c r="BE15" s="14">
        <f>IF(SUM(AM15:AN15,AP15:AR15,AT15)-SUM(AO15,AS15)&gt;0,SUM(AM15:AN15,AP15:AR15,AT15)-SUM(AO15,AS15),"")</f>
        <v>55.7</v>
      </c>
      <c r="BF15" s="14" t="str">
        <f>IF(SUM(AV15,AZ15)&gt;0,SUM(AV15,AZ15),"")</f>
        <v/>
      </c>
      <c r="BG15" s="14" t="str">
        <f>IF(SUM(AU15:AV15,AX15:AZ15,BB15)-SUM(AW15,BA15)&gt;0,SUM(AU15:AV15,AX15:AZ15,BB15)-SUM(AW15,BA15),"")</f>
        <v/>
      </c>
      <c r="BH15" s="14">
        <f>IF(SUM(BE15,BG15)&gt;0,SUM(BE15,BG15),"")</f>
        <v>55.7</v>
      </c>
      <c r="BI15" s="69"/>
      <c r="BJ15" s="69"/>
      <c r="BK15" s="69"/>
      <c r="BL15" s="69"/>
      <c r="BM15" s="69"/>
      <c r="BN15" s="69"/>
      <c r="BO15" s="69"/>
      <c r="BP15" s="69"/>
      <c r="BQ15" s="69"/>
      <c r="BR15" s="69"/>
      <c r="BS15" s="69"/>
      <c r="BT15" s="69"/>
      <c r="BU15" s="69"/>
      <c r="BV15" s="69"/>
      <c r="BW15" s="69"/>
      <c r="BX15" s="69"/>
      <c r="BY15" s="80"/>
      <c r="BZ15" s="11" t="str">
        <f>IF(SUM(BJ15,BN15)&gt;0,SUM(BJ15,BN15),"")</f>
        <v/>
      </c>
      <c r="CA15" s="11" t="str">
        <f>IF(SUM(BI15:BJ15,BL15:BN15,BP15)-SUM(BK15,BO15)&gt;0,SUM(BI15:BJ15,BL15:BN15,BP15)-SUM(BK15,BO15),"")</f>
        <v/>
      </c>
      <c r="CB15" s="11" t="str">
        <f>IF(SUM(BR15,BV15)&gt;0,SUM(BR15,BV15),"")</f>
        <v/>
      </c>
      <c r="CC15" s="11" t="str">
        <f>IF(SUM(BQ15:BR15,BT15:BV15,BX15)-SUM(BS15,BW15)&gt;0,SUM(BQ15:BR15,BT15:BV15,BX15)-SUM(BS15,BW15),"")</f>
        <v/>
      </c>
      <c r="CD15" s="11" t="str">
        <f>IF(SUM(CA15,CC15)&gt;0,SUM(CA15,CC15),"")</f>
        <v/>
      </c>
      <c r="CE15" s="24" t="str">
        <f>IF(MAX(CX15,DS15,EN15,FI15,GD15,GY15,HT15,IO15,JJ15,KE15,KZ15,LU15)-IF(J15="",0,J15)&gt;0.001,MAX(CX15,DS15,EN15,FI15,GD15,GY15,HT15,IO15,JJ15,KE15,KZ15,LU15)-IF(J15="",0,J15),"")</f>
        <v/>
      </c>
      <c r="CF15" s="24" t="str">
        <f>IF(MAX(DA15,DV15,EQ15,FL15,GG15,HB15,HW15,IR15,JM15,KH15,LC15,LX15)-IF(L15="",0,L15)&gt;0.001,MAX(DA15,DV15,EQ15,FL15,GG15,HB15,HW15,IR15,JM15,KH15,LC15,LX15)-IF(L15="",0,L15),"")</f>
        <v/>
      </c>
      <c r="CG15" s="44"/>
      <c r="CH15" s="44"/>
      <c r="CI15" s="44"/>
      <c r="CJ15" s="44"/>
      <c r="CK15" s="44"/>
      <c r="CL15" s="44"/>
      <c r="CM15" s="44"/>
      <c r="CN15" s="44"/>
      <c r="CO15" s="44"/>
      <c r="CP15" s="44"/>
      <c r="CQ15" s="44"/>
      <c r="CR15" s="44"/>
      <c r="CS15" s="44"/>
      <c r="CT15" s="44"/>
      <c r="CU15" s="44"/>
      <c r="CV15" s="44"/>
      <c r="CW15" s="11" t="str">
        <f>IF(SUM(CH15,CL15)&gt;0,SUM(CH15,CL15),"")</f>
        <v/>
      </c>
      <c r="CX15" s="11" t="str">
        <f>IF(SUM(CG15:CH15,CJ15:CL15,CN15)-SUM(CI15,CM15)&gt;0,SUM(CG15:CH15,CJ15:CL15,CN15)-SUM(CI15,CM15),"")</f>
        <v/>
      </c>
      <c r="CY15" s="11" t="str">
        <f>IF(SUM(CP15,CT15)&gt;0,SUM(CP15,CT15),"")</f>
        <v/>
      </c>
      <c r="CZ15" s="11" t="str">
        <f>IF(SUM(CO15:CP15,CR15:CT15,CV15)-SUM(CQ15,CU15)&gt;0,SUM(CO15:CP15,CR15:CT15,CV15)-SUM(CQ15,CU15),"")</f>
        <v/>
      </c>
      <c r="DA15" s="11" t="str">
        <f>IF(SUM(CX15,CZ15)&gt;0,SUM(CX15,CZ15),"")</f>
        <v/>
      </c>
      <c r="DB15" s="43"/>
      <c r="DC15" s="43"/>
      <c r="DD15" s="43"/>
      <c r="DE15" s="43"/>
      <c r="DF15" s="43"/>
      <c r="DG15" s="43"/>
      <c r="DH15" s="43"/>
      <c r="DI15" s="43"/>
      <c r="DJ15" s="43"/>
      <c r="DK15" s="43"/>
      <c r="DL15" s="43"/>
      <c r="DM15" s="43"/>
      <c r="DN15" s="43"/>
      <c r="DO15" s="43"/>
      <c r="DP15" s="43"/>
      <c r="DQ15" s="43"/>
      <c r="DR15" s="14" t="str">
        <f>IF(SUM(DC15,DG15)&gt;0,SUM(DC15,DG15),"")</f>
        <v/>
      </c>
      <c r="DS15" s="14" t="str">
        <f>IF(SUM(DB15:DC15,DE15:DG15,DI15)-SUM(DD15,DH15)&gt;0,SUM(DB15:DC15,DE15:DG15,DI15)-SUM(DD15,DH15),"")</f>
        <v/>
      </c>
      <c r="DT15" s="14" t="str">
        <f>IF(SUM(DK15,DO15)&gt;0,SUM(DK15,DO15),"")</f>
        <v/>
      </c>
      <c r="DU15" s="14" t="str">
        <f>IF(SUM(DJ15:DK15,DM15:DO15,DQ15)-SUM(DL15,DP15)&gt;0,SUM(DJ15:DK15,DM15:DO15,DQ15)-SUM(DL15,DP15),"")</f>
        <v/>
      </c>
      <c r="DV15" s="14" t="str">
        <f>IF(SUM(DS15,DU15)&gt;0,SUM(DS15,DU15),"")</f>
        <v/>
      </c>
      <c r="DW15" s="44"/>
      <c r="DX15" s="44"/>
      <c r="DY15" s="44"/>
      <c r="DZ15" s="44"/>
      <c r="EA15" s="44"/>
      <c r="EB15" s="44"/>
      <c r="EC15" s="44"/>
      <c r="ED15" s="44"/>
      <c r="EE15" s="44"/>
      <c r="EF15" s="44"/>
      <c r="EG15" s="44"/>
      <c r="EH15" s="44"/>
      <c r="EI15" s="44"/>
      <c r="EJ15" s="44"/>
      <c r="EK15" s="44"/>
      <c r="EL15" s="44"/>
      <c r="EM15" s="11" t="str">
        <f>IF(SUM(DX15,EB15)&gt;0,SUM(DX15,EB15),"")</f>
        <v/>
      </c>
      <c r="EN15" s="11" t="str">
        <f>IF(SUM(DW15:DX15,DZ15:EB15,ED15)-SUM(DY15,EC15)&gt;0,SUM(DW15:DX15,DZ15:EB15,ED15)-SUM(DY15,EC15),"")</f>
        <v/>
      </c>
      <c r="EO15" s="11" t="str">
        <f>IF(SUM(EF15,EJ15)&gt;0,SUM(EF15,EJ15),"")</f>
        <v/>
      </c>
      <c r="EP15" s="11" t="str">
        <f>IF(SUM(EE15:EF15,EH15:EJ15,EL15)-SUM(EG15,EK15)&gt;0,SUM(EE15:EF15,EH15:EJ15,EL15)-SUM(EG15,EK15),"")</f>
        <v/>
      </c>
      <c r="EQ15" s="11" t="str">
        <f>IF(SUM(EN15,EP15)&gt;0,SUM(EN15,EP15),"")</f>
        <v/>
      </c>
      <c r="ER15" s="43"/>
      <c r="ES15" s="43"/>
      <c r="ET15" s="43"/>
      <c r="EU15" s="43"/>
      <c r="EV15" s="43"/>
      <c r="EW15" s="43"/>
      <c r="EX15" s="43"/>
      <c r="EY15" s="43"/>
      <c r="EZ15" s="43"/>
      <c r="FA15" s="43"/>
      <c r="FB15" s="43"/>
      <c r="FC15" s="43"/>
      <c r="FD15" s="43"/>
      <c r="FE15" s="43"/>
      <c r="FF15" s="43"/>
      <c r="FG15" s="43"/>
      <c r="FH15" s="14" t="str">
        <f>IF(SUM(ES15,EW15)&gt;0,SUM(ES15,EW15),"")</f>
        <v/>
      </c>
      <c r="FI15" s="14" t="str">
        <f>IF(SUM(ER15:ES15,EU15:EW15,EY15)-SUM(ET15,EX15)&gt;0,SUM(ER15:ES15,EU15:EW15,EY15)-SUM(ET15,EX15),"")</f>
        <v/>
      </c>
      <c r="FJ15" s="14" t="str">
        <f>IF(SUM(FA15,FE15)&gt;0,SUM(FA15,FE15),"")</f>
        <v/>
      </c>
      <c r="FK15" s="14" t="str">
        <f>IF(SUM(EZ15:FA15,FC15:FE15,FG15)-SUM(FB15,FF15)&gt;0,SUM(EZ15:FA15,FC15:FE15,FG15)-SUM(FB15,FF15),"")</f>
        <v/>
      </c>
      <c r="FL15" s="14" t="str">
        <f>IF(SUM(FI15,FK15)&gt;0,SUM(FI15,FK15),"")</f>
        <v/>
      </c>
      <c r="FM15" s="44"/>
      <c r="FN15" s="44"/>
      <c r="FO15" s="44"/>
      <c r="FP15" s="44"/>
      <c r="FQ15" s="44"/>
      <c r="FR15" s="44"/>
      <c r="FS15" s="44"/>
      <c r="FT15" s="44"/>
      <c r="FU15" s="44"/>
      <c r="FV15" s="44"/>
      <c r="FW15" s="44"/>
      <c r="FX15" s="44"/>
      <c r="FY15" s="44"/>
      <c r="FZ15" s="44"/>
      <c r="GA15" s="44"/>
      <c r="GB15" s="44"/>
      <c r="GC15" s="11" t="str">
        <f>IF(SUM(FN15,FR15)&gt;0,SUM(FN15,FR15),"")</f>
        <v/>
      </c>
      <c r="GD15" s="11" t="str">
        <f>IF(SUM(FM15:FN15,FP15:FR15,FT15)-SUM(FO15,FS15)&gt;0,SUM(FM15:FN15,FP15:FR15,FT15)-SUM(FO15,FS15),"")</f>
        <v/>
      </c>
      <c r="GE15" s="11" t="str">
        <f>IF(SUM(FV15,FZ15)&gt;0,SUM(FV15,FZ15),"")</f>
        <v/>
      </c>
      <c r="GF15" s="11" t="str">
        <f>IF(SUM(FU15:FV15,FX15:FZ15,GB15)-SUM(FW15,GA15)&gt;0,SUM(FU15:FV15,FX15:FZ15,GB15)-SUM(FW15,GA15),"")</f>
        <v/>
      </c>
      <c r="GG15" s="11" t="str">
        <f>IF(SUM(GD15,GF15)&gt;0,SUM(GD15,GF15),"")</f>
        <v/>
      </c>
      <c r="GH15" s="43"/>
      <c r="GI15" s="43"/>
      <c r="GJ15" s="43"/>
      <c r="GK15" s="43"/>
      <c r="GL15" s="43"/>
      <c r="GM15" s="43"/>
      <c r="GN15" s="43"/>
      <c r="GO15" s="43"/>
      <c r="GP15" s="43"/>
      <c r="GQ15" s="43"/>
      <c r="GR15" s="43"/>
      <c r="GS15" s="43"/>
      <c r="GT15" s="43"/>
      <c r="GU15" s="43"/>
      <c r="GV15" s="43"/>
      <c r="GW15" s="43"/>
      <c r="GX15" s="14" t="str">
        <f>IF(SUM(GI15,GM15)&gt;0,SUM(GI15,GM15),"")</f>
        <v/>
      </c>
      <c r="GY15" s="14" t="str">
        <f>IF(SUM(GH15:GI15,GK15:GM15,GO15)-SUM(GJ15,GN15)&gt;0,SUM(GH15:GI15,GK15:GM15,GO15)-SUM(GJ15,GN15),"")</f>
        <v/>
      </c>
      <c r="GZ15" s="14" t="str">
        <f>IF(SUM(GQ15,GU15)&gt;0,SUM(GQ15,GU15),"")</f>
        <v/>
      </c>
      <c r="HA15" s="14" t="str">
        <f>IF(SUM(GP15:GQ15,GS15:GU15,GW15)-SUM(GR15,GV15)&gt;0,SUM(GP15:GQ15,GS15:GU15,GW15)-SUM(GR15,GV15),"")</f>
        <v/>
      </c>
      <c r="HB15" s="14" t="str">
        <f>IF(SUM(GY15,HA15)&gt;0,SUM(GY15,HA15),"")</f>
        <v/>
      </c>
      <c r="HC15" s="44"/>
      <c r="HD15" s="44"/>
      <c r="HE15" s="44"/>
      <c r="HF15" s="44"/>
      <c r="HG15" s="44"/>
      <c r="HH15" s="44"/>
      <c r="HI15" s="44"/>
      <c r="HJ15" s="44"/>
      <c r="HK15" s="44"/>
      <c r="HL15" s="44"/>
      <c r="HM15" s="44"/>
      <c r="HN15" s="44"/>
      <c r="HO15" s="44"/>
      <c r="HP15" s="44"/>
      <c r="HQ15" s="44"/>
      <c r="HR15" s="44"/>
      <c r="HS15" s="11" t="str">
        <f>IF(SUM(HD15,HH15)&gt;0,SUM(HD15,HH15),"")</f>
        <v/>
      </c>
      <c r="HT15" s="11" t="str">
        <f>IF(SUM(HC15:HD15,HF15:HH15,HJ15)-SUM(HE15,HI15)&gt;0,SUM(HC15:HD15,HF15:HH15,HJ15)-SUM(HE15,HI15),"")</f>
        <v/>
      </c>
      <c r="HU15" s="11" t="str">
        <f>IF(SUM(HL15,HP15)&gt;0,SUM(HL15,HP15),"")</f>
        <v/>
      </c>
      <c r="HV15" s="11" t="str">
        <f>IF(SUM(HK15:HL15,HN15:HP15,HR15)-SUM(HM15,HQ15)&gt;0,SUM(HK15:HL15,HN15:HP15,HR15)-SUM(HM15,HQ15),"")</f>
        <v/>
      </c>
      <c r="HW15" s="11" t="str">
        <f>IF(SUM(HT15,HV15)&gt;0,SUM(HT15,HV15),"")</f>
        <v/>
      </c>
      <c r="HX15" s="43"/>
      <c r="HY15" s="43"/>
      <c r="HZ15" s="43"/>
      <c r="IA15" s="43"/>
      <c r="IB15" s="43"/>
      <c r="IC15" s="43"/>
      <c r="ID15" s="43"/>
      <c r="IE15" s="43"/>
      <c r="IF15" s="43"/>
      <c r="IG15" s="43"/>
      <c r="IH15" s="43"/>
      <c r="II15" s="43"/>
      <c r="IJ15" s="43"/>
      <c r="IK15" s="43"/>
      <c r="IL15" s="43"/>
      <c r="IM15" s="43"/>
      <c r="IN15" s="14" t="str">
        <f>IF(SUM(HY15,IC15)&gt;0,SUM(HY15,IC15),"")</f>
        <v/>
      </c>
      <c r="IO15" s="14" t="str">
        <f>IF(SUM(HX15:HY15,IA15:IC15,IE15)-SUM(HZ15,ID15)&gt;0,SUM(HX15:HY15,IA15:IC15,IE15)-SUM(HZ15,ID15),"")</f>
        <v/>
      </c>
      <c r="IP15" s="14" t="str">
        <f>IF(SUM(IG15,IK15)&gt;0,SUM(IG15,IK15),"")</f>
        <v/>
      </c>
      <c r="IQ15" s="14" t="str">
        <f>IF(SUM(IF15:IG15,II15:IK15,IM15)-SUM(IH15,IL15)&gt;0,SUM(IF15:IG15,II15:IK15,IM15)-SUM(IH15,IL15),"")</f>
        <v/>
      </c>
      <c r="IR15" s="14" t="str">
        <f>IF(SUM(IO15,IQ15)&gt;0,SUM(IO15,IQ15),"")</f>
        <v/>
      </c>
      <c r="IS15" s="44"/>
      <c r="IT15" s="44"/>
      <c r="IU15" s="44"/>
      <c r="IV15" s="44"/>
      <c r="IW15" s="44"/>
      <c r="IX15" s="44"/>
      <c r="IY15" s="44"/>
      <c r="IZ15" s="44"/>
      <c r="JA15" s="44"/>
      <c r="JB15" s="44"/>
      <c r="JC15" s="44"/>
      <c r="JD15" s="44"/>
      <c r="JE15" s="44"/>
      <c r="JF15" s="44"/>
      <c r="JG15" s="44"/>
      <c r="JH15" s="44"/>
      <c r="JI15" s="11" t="str">
        <f>IF(SUM(IT15,IX15)&gt;0,SUM(IT15,IX15),"")</f>
        <v/>
      </c>
      <c r="JJ15" s="11" t="str">
        <f>IF(SUM(IS15:IT15,IV15:IX15,IZ15)-SUM(IU15,IY15)&gt;0,SUM(IS15:IT15,IV15:IX15,IZ15)-SUM(IU15,IY15),"")</f>
        <v/>
      </c>
      <c r="JK15" s="11" t="str">
        <f>IF(SUM(JB15,JF15)&gt;0,SUM(JB15,JF15),"")</f>
        <v/>
      </c>
      <c r="JL15" s="11" t="str">
        <f>IF(SUM(JA15:JB15,JD15:JF15,JH15)-SUM(JC15,JG15)&gt;0,SUM(JA15:JB15,JD15:JF15,JH15)-SUM(JC15,JG15),"")</f>
        <v/>
      </c>
      <c r="JM15" s="11" t="str">
        <f>IF(SUM(JJ15,JL15)&gt;0,SUM(JJ15,JL15),"")</f>
        <v/>
      </c>
      <c r="JN15" s="43"/>
      <c r="JO15" s="43"/>
      <c r="JP15" s="43"/>
      <c r="JQ15" s="43"/>
      <c r="JR15" s="43"/>
      <c r="JS15" s="43"/>
      <c r="JT15" s="43"/>
      <c r="JU15" s="43"/>
      <c r="JV15" s="43"/>
      <c r="JW15" s="43"/>
      <c r="JX15" s="43"/>
      <c r="JY15" s="43"/>
      <c r="JZ15" s="43"/>
      <c r="KA15" s="43"/>
      <c r="KB15" s="43"/>
      <c r="KC15" s="43"/>
      <c r="KD15" s="14" t="str">
        <f>IF(SUM(JO15,JS15)&gt;0,SUM(JO15,JS15),"")</f>
        <v/>
      </c>
      <c r="KE15" s="14" t="str">
        <f>IF(SUM(JN15:JO15,JQ15:JS15,JU15)-SUM(JP15,JT15)&gt;0,SUM(JN15:JO15,JQ15:JS15,JU15)-SUM(JP15,JT15),"")</f>
        <v/>
      </c>
      <c r="KF15" s="14" t="str">
        <f>IF(SUM(JW15,KA15)&gt;0,SUM(JW15,KA15),"")</f>
        <v/>
      </c>
      <c r="KG15" s="14" t="str">
        <f>IF(SUM(JV15:JW15,JY15:KA15,KC15)-SUM(JX15,KB15)&gt;0,SUM(JV15:JW15,JY15:KA15,KC15)-SUM(JX15,KB15),"")</f>
        <v/>
      </c>
      <c r="KH15" s="14" t="str">
        <f>IF(SUM(KE15,KG15)&gt;0,SUM(KE15,KG15),"")</f>
        <v/>
      </c>
      <c r="KI15" s="44"/>
      <c r="KJ15" s="44"/>
      <c r="KK15" s="44"/>
      <c r="KL15" s="44"/>
      <c r="KM15" s="44"/>
      <c r="KN15" s="44"/>
      <c r="KO15" s="44"/>
      <c r="KP15" s="44"/>
      <c r="KQ15" s="44"/>
      <c r="KR15" s="44"/>
      <c r="KS15" s="44"/>
      <c r="KT15" s="44"/>
      <c r="KU15" s="44"/>
      <c r="KV15" s="44"/>
      <c r="KW15" s="44"/>
      <c r="KX15" s="44"/>
      <c r="KY15" s="11" t="str">
        <f>IF(SUM(KJ15,KN15)&gt;0,SUM(KJ15,KN15),"")</f>
        <v/>
      </c>
      <c r="KZ15" s="11" t="str">
        <f>IF(SUM(KI15:KJ15,KL15:KN15,KP15)-SUM(KK15,KO15)&gt;0,SUM(KI15:KJ15,KL15:KN15,KP15)-SUM(KK15,KO15),"")</f>
        <v/>
      </c>
      <c r="LA15" s="11" t="str">
        <f>IF(SUM(KR15,KV15)&gt;0,SUM(KR15,KV15),"")</f>
        <v/>
      </c>
      <c r="LB15" s="11" t="str">
        <f>IF(SUM(KQ15:KR15,KT15:KV15,KX15)-SUM(KS15,KW15)&gt;0,SUM(KQ15:KR15,KT15:KV15,KX15)-SUM(KS15,KW15),"")</f>
        <v/>
      </c>
      <c r="LC15" s="11" t="str">
        <f>IF(SUM(KZ15,LB15)&gt;0,SUM(KZ15,LB15),"")</f>
        <v/>
      </c>
      <c r="LD15" s="43"/>
      <c r="LE15" s="43"/>
      <c r="LF15" s="43"/>
      <c r="LG15" s="43"/>
      <c r="LH15" s="43"/>
      <c r="LI15" s="43"/>
      <c r="LJ15" s="43"/>
      <c r="LK15" s="43"/>
      <c r="LL15" s="43"/>
      <c r="LM15" s="43"/>
      <c r="LN15" s="43"/>
      <c r="LO15" s="43"/>
      <c r="LP15" s="43"/>
      <c r="LQ15" s="43"/>
      <c r="LR15" s="43"/>
      <c r="LS15" s="43"/>
      <c r="LT15" s="14" t="str">
        <f>IF(SUM(LE15,LI15)&gt;0,SUM(LE15,LI15),"")</f>
        <v/>
      </c>
      <c r="LU15" s="14" t="str">
        <f>IF(SUM(LD15:LE15,LG15:LI15,LK15)-SUM(LF15,LJ15)&gt;0,SUM(LD15:LE15,LG15:LI15,LK15)-SUM(LF15,LJ15),"")</f>
        <v/>
      </c>
      <c r="LV15" s="14" t="str">
        <f>IF(SUM(LM15,LQ15)&gt;0,SUM(LM15,LQ15),"")</f>
        <v/>
      </c>
      <c r="LW15" s="14" t="str">
        <f>IF(SUM(LL15:LM15,LO15:LQ15,LS15)-SUM(LN15,LR15)&gt;0,SUM(LL15:LM15,LO15:LQ15,LS15)-SUM(LN15,LR15),"")</f>
        <v/>
      </c>
      <c r="LX15" s="14" t="str">
        <f>IF(SUM(LU15,LW15)&gt;0,SUM(LU15,LW15),"")</f>
        <v/>
      </c>
      <c r="LY15" s="69">
        <f>IF($BY15="P",BI15,(BI15+AM15)/2)</f>
        <v>9.9499999999999993</v>
      </c>
      <c r="LZ15" s="69">
        <f>IF($BY15="P",BJ15,(BJ15+AN15)/2)</f>
        <v>1.4</v>
      </c>
      <c r="MA15" s="69">
        <f>IF($BY15="P",BK15,(BK15+AO15)/2)</f>
        <v>0</v>
      </c>
      <c r="MB15" s="69">
        <f>IF($BY15="P",BL15,(BL15+AP15)/2)</f>
        <v>0</v>
      </c>
      <c r="MC15" s="69">
        <f>IF($BY15="P",BM15,(BM15+AQ15)/2)</f>
        <v>14</v>
      </c>
      <c r="MD15" s="69">
        <f>IF($BY15="P",BN15,(BN15+AR15)/2)</f>
        <v>2.8</v>
      </c>
      <c r="ME15" s="69">
        <f>IF($BY15="P",BO15,(BO15+AS15)/2)</f>
        <v>0.45</v>
      </c>
      <c r="MF15" s="69">
        <f>IF($BY15="P",BP15,(BP15+AT15)/2)</f>
        <v>0.15</v>
      </c>
      <c r="MG15" s="69">
        <f>IF($BY15="P",BQ15,(BQ15+AU15)/2)</f>
        <v>0</v>
      </c>
      <c r="MH15" s="69">
        <f>IF($BY15="P",BR15,(BR15+AV15)/2)</f>
        <v>0</v>
      </c>
      <c r="MI15" s="69">
        <f>IF($BY15="P",BS15,(BS15+AW15)/2)</f>
        <v>0</v>
      </c>
      <c r="MJ15" s="69">
        <f>IF($BY15="P",BT15,(BT15+AX15)/2)</f>
        <v>0</v>
      </c>
      <c r="MK15" s="69">
        <f>IF($BY15="P",BU15,(BU15+AY15)/2)</f>
        <v>0</v>
      </c>
      <c r="ML15" s="69">
        <f>IF($BY15="P",BV15,(BV15+AZ15)/2)</f>
        <v>0</v>
      </c>
      <c r="MM15" s="69">
        <f>IF($BY15="P",BW15,(BW15+BA15)/2)</f>
        <v>0</v>
      </c>
      <c r="MN15" s="69">
        <f>IF($BY15="P",BX15,(BX15+BB15)/2)</f>
        <v>0</v>
      </c>
      <c r="MO15" s="80" t="s">
        <v>74</v>
      </c>
      <c r="MP15" s="11">
        <f>IF(SUM(LZ15,MD15)&gt;0,SUM(LZ15,MD15),"")</f>
        <v>4.1999999999999993</v>
      </c>
      <c r="MQ15" s="11">
        <f>IF(SUM(LY15:LZ15,MB15:MD15,MF15)-SUM(MA15,ME15)&gt;0,SUM(LY15:LZ15,MB15:MD15,MF15)-SUM(MA15,ME15),"")</f>
        <v>27.85</v>
      </c>
      <c r="MR15" s="11" t="str">
        <f>IF(SUM(MH15,ML15)&gt;0,SUM(MH15,ML15),"")</f>
        <v/>
      </c>
      <c r="MS15" s="11" t="str">
        <f>IF(SUM(MG15:MH15,MJ15:ML15,MN15)-SUM(MI15,MM15)&gt;0,SUM(MG15:MH15,MJ15:ML15,MN15)-SUM(MI15,MM15),"")</f>
        <v/>
      </c>
      <c r="MT15" s="11">
        <f>IF(SUM(MQ15,MS15)&gt;0,SUM(MQ15,MS15),"")</f>
        <v>27.85</v>
      </c>
    </row>
    <row r="16" spans="1:358" x14ac:dyDescent="0.2">
      <c r="A16" s="5" t="str">
        <f>IF(AND(F16="P",G16="P"),SUMPRODUCT((F$4:F$17="P")*(G$4:G$17="P")*(E$4:E$17&gt;E16))+1,IF(G16="P",SUMPRODUCT((F$4:F$17="")*(G$4:G$17="P")*(E$4:E$17&gt;E16))+1+SUMPRODUCT((F$4:F$17="P")*(G$4:G$17="P")),""))</f>
        <v/>
      </c>
      <c r="B16" s="8" t="s">
        <v>45</v>
      </c>
      <c r="C16" s="4" t="s">
        <v>3</v>
      </c>
      <c r="D16" s="5">
        <v>1994</v>
      </c>
      <c r="E16" s="15">
        <f>SUM(J16:N16)</f>
        <v>35.6</v>
      </c>
      <c r="F16" s="3" t="str">
        <f>IF(OR(AND(AH16&gt;=AL$19,AI16&gt;=AL$23,AI16&lt;&gt;"",AG16=""),AND(BD16&gt;=BH$19,BE16&gt;=BH$23,BE16&lt;&gt;"",BC16=""),AND(BZ16&gt;=CD$19,CA16&gt;=CD$23,CA16&lt;&gt;"",BY16=""),AND(CW16&gt;=DA$19,CX16&gt;=DA$23,CX16&lt;&gt;""),AND(DR16&gt;=DV$19,DS16&gt;=DV$23,DS16&lt;&gt;""),AND(EM16&gt;=EQ$19,EN16&gt;=EQ$23,EN16&lt;&gt;""),AND(FH16&gt;=FL$19,FI16&gt;=FL$23,FI16&lt;&gt;""),AND(GC16&gt;=GG$19,GD16&gt;=GG$23,GD16&lt;&gt;""),AND(GX16&gt;=HB$19,GY16&gt;=HB$23,GY16&lt;&gt;""),AND(HS16&gt;=HW$19,HT16&gt;=HW$23,HT16&lt;&gt;""),AND(IN16&gt;=IR$19,IO16&gt;=IR$23,IO16&lt;&gt;""),AND(JI16&gt;=JM$19,JJ16&gt;=JM$23,JJ16&lt;&gt;""),AND(KD16&gt;=KH$19,KE16&gt;=KH$23,KE16&lt;&gt;""),AND(KY16&gt;=LC$19,KZ16&gt;=LC$23,KZ16&lt;&gt;""),AND(LT16&gt;=LX$19,LU16&gt;=LX$23,LU16&lt;&gt;"")),"P","")</f>
        <v/>
      </c>
      <c r="G16" s="3" t="str">
        <f>IF(OR(AND(AI16&gt;=AL$23,AI16&lt;&gt;"",AG16=""),AND(BE16&gt;=BH$23,BE16&lt;&gt;"",BC16=""),AND(CA16&gt;=CD$23,CA16&lt;&gt;"",BY16=""),AND(CX16&gt;=DA$23,CX16&lt;&gt;""),AND(DS16&gt;=DV$23,DS16&lt;&gt;""),AND(EN16&gt;=EQ$23,EN16&lt;&gt;""),AND(FI16&gt;=FL$23,FI16&lt;&gt;""),AND(GD16&gt;=GG$23,GD16&lt;&gt;""),AND(GY16&gt;=HB$23,GY16&lt;&gt;""),AND(HT16&gt;=HW$23,HT16&lt;&gt;""),AND(IO16&gt;=IR$23,IO16&lt;&gt;""),AND(JJ16&gt;=JM$23,JJ16&lt;&gt;""),AND(KE16&gt;=KH$23,KE16&lt;&gt;""),AND(KZ16&gt;=LC$23,KZ16&lt;&gt;""),AND(LU16&gt;=LX$23,LU16&lt;&gt;"")),"P","")</f>
        <v/>
      </c>
      <c r="H16" s="126" t="str">
        <f>IF(AND(G16="P",F16=""),"No DD",IF(OR(AND(AH16&gt;=AL$22,AH16&lt;&gt;"",AI16&gt;=AL$26,AI16&lt;&gt;"",AG16=""),AND(BD16&gt;=BH$22,BD16&lt;&gt;"",BE16&gt;=BH$26,BE16&lt;&gt;"",BC16=""),AND(BZ16&gt;=CD$22,BZ16&lt;&gt;"",CA16&gt;=CD$26,CA16&lt;&gt;"",BY16=""),AND(CW16&gt;=DA$22,CW16&lt;&gt;"",CX16&gt;=DA$26,CX16&lt;&gt;""),AND(DR16&gt;=DV$22,DR16&lt;&gt;"",DS16&gt;=DV$26,DS16&lt;&gt;""),AND(EM16&gt;=EQ$22,EM16&lt;&gt;"",EN16&gt;=EQ$26,EN16&lt;&gt;""),AND(FH16&gt;=FL$22,FH16&lt;&gt;"",FI16&gt;=FL$26,FI16&lt;&gt;""),AND(GC16&gt;=GG$22,GC16&lt;&gt;"",GD16&gt;=GG$26,GD16&lt;&gt;""),AND(GX16&gt;=HB$22,GX16&lt;&gt;"",GY16&gt;=HB$26,GY16&lt;&gt;""),AND(HS16&gt;=HW$22,HS16&lt;&gt;"",HT16&gt;=HW$26,HT16&lt;&gt;""),AND(IN16&gt;=IR$22,IN16&lt;&gt;"",IO16&gt;=IR$26,IO16&lt;&gt;""),AND(JI16&gt;=JM$22,JI16&lt;&gt;"",JJ16&gt;=JM$26,JJ16&lt;&gt;""),AND(KD16&gt;=KH$22,KD16&lt;&gt;"",KE16&gt;=KH$26,KE16&lt;&gt;""),AND(KY16&gt;=LC$22,KY16&lt;&gt;"",KZ16&gt;=LC$26,KZ16&lt;&gt;""),AND(LT16&gt;=LX$22,LT16&lt;&gt;"",LU16&gt;=LX$26,LU16&lt;&gt;"")),"Merit",IF(OR(AND(AH16&gt;=AL$21,AH16&lt;&gt;"",AI16&gt;=AL$25,AI16&lt;&gt;"",AG16=""),AND(BD16&gt;=BH$21,BD16&lt;&gt;"",BE16&gt;=BH$25,BE16&lt;&gt;"",BC16=""),AND(BZ16&gt;=CD$21,BZ16&lt;&gt;"",CA16&gt;=CD$25,CA16&lt;&gt;"",BY16=""),AND(CW16&gt;=DA$21,CW16&lt;&gt;"",CX16&gt;=DA$25,CX16&lt;&gt;""),AND(DR16&gt;=DV$21,DR16&lt;&gt;"",DS16&gt;=DV$25,DS16&lt;&gt;""),AND(EM16&gt;=EQ$21,EM16&lt;&gt;"",EN16&gt;=EQ$25,EN16&lt;&gt;""),AND(FH16&gt;=FL$21,FH16&lt;&gt;"",FI16&gt;=FL$25,FI16&lt;&gt;""),AND(GC16&gt;=GG$21,GC16&lt;&gt;"",GD16&gt;=GG$25,GD16&lt;&gt;""),AND(GX16&gt;=HB$21,GX16&lt;&gt;"",GY16&gt;=HB$25,GY16&lt;&gt;""),AND(HS16&gt;=HW$21,HS16&lt;&gt;"",HT16&gt;=HW$25,HT16&lt;&gt;""),AND(IN16&gt;=IR$21,IN16&lt;&gt;"",IO16&gt;=IR$25,IO16&lt;&gt;""),AND(JI16&gt;=JM$21,JI16&lt;&gt;"",JJ16&gt;=JM$25,JJ16&lt;&gt;""),AND(KD16&gt;=KH$21,KD16&lt;&gt;"",KE16&gt;=KH$25,KE16&lt;&gt;""),AND(KY16&gt;=LC$21,KY16&lt;&gt;"",KZ16&gt;=LC$25,KZ16&lt;&gt;""),AND(LT16&gt;=LX$21,LT16&lt;&gt;"",LU16&gt;=LX$25,LU16&lt;&gt;"")),"Excellence",IF(OR(AND(AH16&gt;=AL$20,AH16&lt;&gt;"",AI16&gt;=AL$24,AI16&lt;&gt;"",AG16=""),AND(BD16&gt;=BH$20,BD16&lt;&gt;"",BE16&gt;=BH$24,BE16&lt;&gt;"",BC16=""),AND(BZ16&gt;=CD$20,BZ16&lt;&gt;"",CA16&gt;=CD$24,CA16&lt;&gt;"",BY16=""),AND(CW16&gt;=DA$20,CW16&lt;&gt;"",CX16&gt;=DA$24,CX16&lt;&gt;""),AND(DR16&gt;=DV$20,DR16&lt;&gt;"",DS16&gt;=DV$24,DS16&lt;&gt;""),AND(EM16&gt;=EQ$20,EM16&lt;&gt;"",EN16&gt;=EQ$24,EN16&lt;&gt;""),AND(FH16&gt;=FL$20,FH16&lt;&gt;"",FI16&gt;=FL$24,FI16&lt;&gt;""),AND(GC16&gt;=GG$20,GC16&lt;&gt;"",GD16&gt;=GG$24,GD16&lt;&gt;""),AND(GX16&gt;=HB$20,GX16&lt;&gt;"",GY16&gt;=HB$24,GY16&lt;&gt;""),AND(HS16&gt;=HW$20,HS16&lt;&gt;"",HT16&gt;=HW$24,HT16&lt;&gt;""),AND(IN16&gt;=IR$20,IN16&lt;&gt;"",IO16&gt;=IR$24,IO16&lt;&gt;""),AND(JI16&gt;=JM$20,JI16&lt;&gt;"",JJ16&gt;=JM$24,JJ16&lt;&gt;""),AND(KD16&gt;=KH$20,KD16&lt;&gt;"",KE16&gt;=KH$24,KE16&lt;&gt;""),AND(KY16&gt;=LC$20,KY16&lt;&gt;"",KZ16&gt;=LC$24,KZ16&lt;&gt;""),AND(LT16&gt;=LX$20,LT16&lt;&gt;"",LU16&gt;=LX$24,LU16&lt;&gt;"")),"Worlds Team",IF(OR(AND(AH16&gt;=AL$19,AH16&lt;&gt;"",AI16&gt;=AL$23,AI16&lt;&gt;"",AG16=""),AND(BD16&gt;=BH$19,BD16&lt;&gt;"",BE16&gt;=BH$23,BE16&lt;&gt;"",BC16=""),AND(BZ16&gt;=CD$19,BZ16&lt;&gt;"",CA16&gt;=CD$23,CA16&lt;&gt;"",BY16=""),AND(CW16&gt;=DA$19,CW16&lt;&gt;"",CX16&gt;=DA$23,CX16&lt;&gt;""),AND(DR16&gt;=DV$19,DR16&lt;&gt;"",DS16&gt;=DV$23,DS16&lt;&gt;""),AND(EM16&gt;=EQ$19,EM16&lt;&gt;"",EN16&gt;=EQ$23,EN16&lt;&gt;""),AND(FH16&gt;=FL$19,FH16&lt;&gt;"",FI16&gt;=FL$23,FI16&lt;&gt;""),AND(GC16&gt;=GG$19,GC16&lt;&gt;"",GD16&gt;=GG$23,GD16&lt;&gt;""),AND(GX16&gt;=HB$19,GX16&lt;&gt;"",GY16&gt;=HB$23,GY16&lt;&gt;""),AND(HS16&gt;=HW$19,HS16&lt;&gt;"",HT16&gt;=HW$23,HT16&lt;&gt;""),AND(IN16&gt;=IR$19,IN16&lt;&gt;"",IO16&gt;=IR$23,IO16&lt;&gt;""),AND(JI16&gt;=JM$19,JI16&lt;&gt;"",JJ16&gt;=JM$23,JJ16&lt;&gt;""),AND(KD16&gt;=KH$19,KD16&lt;&gt;"",KE16&gt;=KH$23,KE16&lt;&gt;""),AND(KY16&gt;=LC$19,KY16&lt;&gt;"",KZ16&gt;=LC$23,KZ16&lt;&gt;""),AND(LT16&gt;=LX$19,LT16&lt;&gt;"",LU16&gt;=LX$23,LU16&lt;&gt;"")),"National Team","")))))</f>
        <v/>
      </c>
      <c r="I16" s="3" t="str">
        <f>IF(OR(H16="Worlds Team",H16="Excellence",H16="Merit"),"P","")</f>
        <v/>
      </c>
      <c r="J16" s="14">
        <f>MAX(AI16,BE16,CA16)</f>
        <v>35.6</v>
      </c>
      <c r="K16" s="14" t="str">
        <f>IF(J16=0,"",IF(J16=CA16,$BI$1,IF(J16=BE16,$AM$1,IF(J16=AI16,$Q$1,""))))</f>
        <v>2021 2nd Virtual Technical Trial</v>
      </c>
      <c r="L16" s="14">
        <f>IF(J16=AI16,MAX(BH16,CD16),IF(J16=BE16,MAX(AL16,CD16),MAX(AL16,BH16)))</f>
        <v>0</v>
      </c>
      <c r="M16" s="14" t="str">
        <f>IF(L16=0,"",IF(AND(J16&lt;&gt;CA16,L16=CD16),$BI$1,IF(AND(J16&lt;&gt;BE16,L16=BH16),$AM$1,IF(L16=AL16,$Q$1,""))))</f>
        <v/>
      </c>
      <c r="N16" s="14" t="str">
        <f>IF(MAX(CE16:CF16)&gt;0,MAX(CE16:CF16),"")</f>
        <v/>
      </c>
      <c r="O16" s="25" t="str">
        <f>IF(N16="","",IF(N16=CE16,"(Prelim)",IF(N16=CF16,"(4 Pass)")))</f>
        <v/>
      </c>
      <c r="P16" s="14" t="str">
        <f>IF(N16="","",IF(N16=CE16,IF(N16+IF(J16="",0,J16)=CX16,$CG$1,IF(N16+IF(J16="",0,J16)=DS16,$DB$1,IF(N16+IF(J16="",0,J16)=EN16,$DW$1,IF(N16+IF(J16="",0,J16)=FI16,$ER$1,IF(N16+IF(J16="",0,J16)=GD16,$FM$1,IF(N16+IF(J16="",0,J16)=GY16,$GH$1,IF(N16+IF(J16="",0,J16)=HT16,$HC$1,IF(N16+IF(J16="",0,J16)=IO16,$HX$1,IF(N16+IF(J16="",0,J16)=JJ16,$IS$1,IF(N16+IF(J16="",0,J16)=KE16,$JN$1,IF(N16+IF(J16="",0,J16)=KZ16,$KI$1,IF(N16+IF(J16="",0,J16)=LU16,$LD$1)))))))))))),IF(N16=CF16,IF(N16+IF(L16="",0,L16)=DA16,$CG$1,IF(N16+IF(L16="",0,L16)=DV16,$DB$1,IF(N16+IF(L16="",0,L16)=EQ16,$DW$1,IF(N16+IF(L16="",0,L16)=FL16,$ER$1,IF(N16+IF(L16="",0,L16)=GG16,$FM$1,IF(N16+IF(L16="",0,L16)=HB16,$GH$1,IF(N16+IF(L16="",0,L16)=HW16,$HC$1,IF(N16+IF(L16="",0,L16)=IR16,$HX$1,IF(N16+IF(L16="",0,L16)=JM16,$IS$1,IF(N16+IF(L16="",0,L16)=KH16,$JN$1,IF(N16+IF(L16="",0,L16)=LC16,$KI$1,IF(N16+IF(L16="",0,L16)=LX16,$LD$1)))))))))))))))</f>
        <v/>
      </c>
      <c r="Q16" s="69">
        <v>14.15</v>
      </c>
      <c r="R16" s="69">
        <v>3.6</v>
      </c>
      <c r="S16" s="69">
        <v>0</v>
      </c>
      <c r="T16" s="69">
        <v>0.15</v>
      </c>
      <c r="U16" s="69">
        <v>14.05</v>
      </c>
      <c r="V16" s="69">
        <v>3.4</v>
      </c>
      <c r="W16" s="69">
        <v>0</v>
      </c>
      <c r="X16" s="69">
        <v>0.25</v>
      </c>
      <c r="Y16" s="69">
        <v>14.4</v>
      </c>
      <c r="Z16" s="69">
        <v>3</v>
      </c>
      <c r="AA16" s="69">
        <v>0.15</v>
      </c>
      <c r="AB16" s="69">
        <v>0.15</v>
      </c>
      <c r="AC16" s="69">
        <v>13.7</v>
      </c>
      <c r="AD16" s="69">
        <v>3</v>
      </c>
      <c r="AE16" s="69">
        <v>0.15</v>
      </c>
      <c r="AF16" s="69">
        <v>0.25</v>
      </c>
      <c r="AG16" s="80" t="s">
        <v>74</v>
      </c>
      <c r="AH16" s="11">
        <f>IF(SUM(R16,V16)&gt;0,SUM(R16,V16),"")</f>
        <v>7</v>
      </c>
      <c r="AI16" s="11">
        <f>IF(SUM(Q16:R16,T16:V16,X16)-SUM(S16,W16)&gt;0,SUM(Q16:R16,T16:V16,X16)-SUM(S16,W16),"")</f>
        <v>35.6</v>
      </c>
      <c r="AJ16" s="11">
        <f>IF(SUM(Z16,AD16)&gt;0,SUM(Z16,AD16),"")</f>
        <v>6</v>
      </c>
      <c r="AK16" s="11">
        <f>IF(SUM(Y16:Z16,AB16:AD16,AF16)-SUM(AA16,AE16)&gt;0,SUM(Y16:Z16,AB16:AD16,AF16)-SUM(AA16,AE16),"")</f>
        <v>34.200000000000003</v>
      </c>
      <c r="AL16" s="11">
        <f>IF(SUM(AI16,AK16)&gt;0,SUM(AI16,AK16),"")</f>
        <v>69.800000000000011</v>
      </c>
      <c r="AM16" s="38"/>
      <c r="AN16" s="38"/>
      <c r="AO16" s="38"/>
      <c r="AP16" s="38"/>
      <c r="AQ16" s="38"/>
      <c r="AR16" s="38"/>
      <c r="AS16" s="38"/>
      <c r="AT16" s="38"/>
      <c r="AU16" s="38"/>
      <c r="AV16" s="38"/>
      <c r="AW16" s="38"/>
      <c r="AX16" s="38"/>
      <c r="AY16" s="38"/>
      <c r="AZ16" s="38"/>
      <c r="BA16" s="38"/>
      <c r="BB16" s="38"/>
      <c r="BC16" s="81"/>
      <c r="BD16" s="14" t="str">
        <f>IF(SUM(AN16,AR16)&gt;0,SUM(AN16,AR16),"")</f>
        <v/>
      </c>
      <c r="BE16" s="14" t="str">
        <f>IF(SUM(AM16:AN16,AP16:AR16,AT16)-SUM(AO16,AS16)&gt;0,SUM(AM16:AN16,AP16:AR16,AT16)-SUM(AO16,AS16),"")</f>
        <v/>
      </c>
      <c r="BF16" s="14" t="str">
        <f>IF(SUM(AV16,AZ16)&gt;0,SUM(AV16,AZ16),"")</f>
        <v/>
      </c>
      <c r="BG16" s="14" t="str">
        <f>IF(SUM(AU16:AV16,AX16:AZ16,BB16)-SUM(AW16,BA16)&gt;0,SUM(AU16:AV16,AX16:AZ16,BB16)-SUM(AW16,BA16),"")</f>
        <v/>
      </c>
      <c r="BH16" s="14" t="str">
        <f>IF(SUM(BE16,BG16)&gt;0,SUM(BE16,BG16),"")</f>
        <v/>
      </c>
      <c r="BI16" s="69"/>
      <c r="BJ16" s="69"/>
      <c r="BK16" s="69"/>
      <c r="BL16" s="69"/>
      <c r="BM16" s="69"/>
      <c r="BN16" s="69"/>
      <c r="BO16" s="69"/>
      <c r="BP16" s="69"/>
      <c r="BQ16" s="69"/>
      <c r="BR16" s="69"/>
      <c r="BS16" s="69"/>
      <c r="BT16" s="69"/>
      <c r="BU16" s="69"/>
      <c r="BV16" s="69"/>
      <c r="BW16" s="69"/>
      <c r="BX16" s="69"/>
      <c r="BY16" s="80"/>
      <c r="BZ16" s="11" t="str">
        <f>IF(SUM(BJ16,BN16)&gt;0,SUM(BJ16,BN16),"")</f>
        <v/>
      </c>
      <c r="CA16" s="11" t="str">
        <f>IF(SUM(BI16:BJ16,BL16:BN16,BP16)-SUM(BK16,BO16)&gt;0,SUM(BI16:BJ16,BL16:BN16,BP16)-SUM(BK16,BO16),"")</f>
        <v/>
      </c>
      <c r="CB16" s="11" t="str">
        <f>IF(SUM(BR16,BV16)&gt;0,SUM(BR16,BV16),"")</f>
        <v/>
      </c>
      <c r="CC16" s="11" t="str">
        <f>IF(SUM(BQ16:BR16,BT16:BV16,BX16)-SUM(BS16,BW16)&gt;0,SUM(BQ16:BR16,BT16:BV16,BX16)-SUM(BS16,BW16),"")</f>
        <v/>
      </c>
      <c r="CD16" s="11" t="str">
        <f>IF(SUM(CA16,CC16)&gt;0,SUM(CA16,CC16),"")</f>
        <v/>
      </c>
      <c r="CE16" s="24" t="str">
        <f>IF(MAX(CX16,DS16,EN16,FI16,GD16,GY16,HT16,IO16,JJ16,KE16,KZ16,LU16)-IF(J16="",0,J16)&gt;0.001,MAX(CX16,DS16,EN16,FI16,GD16,GY16,HT16,IO16,JJ16,KE16,KZ16,LU16)-IF(J16="",0,J16),"")</f>
        <v/>
      </c>
      <c r="CF16" s="24" t="str">
        <f>IF(MAX(DA16,DV16,EQ16,FL16,GG16,HB16,HW16,IR16,JM16,KH16,LC16,LX16)-IF(L16="",0,L16)&gt;0.001,MAX(DA16,DV16,EQ16,FL16,GG16,HB16,HW16,IR16,JM16,KH16,LC16,LX16)-IF(L16="",0,L16),"")</f>
        <v/>
      </c>
      <c r="CG16" s="44"/>
      <c r="CH16" s="44"/>
      <c r="CI16" s="44"/>
      <c r="CJ16" s="44"/>
      <c r="CK16" s="44"/>
      <c r="CL16" s="44"/>
      <c r="CM16" s="44"/>
      <c r="CN16" s="44"/>
      <c r="CO16" s="44"/>
      <c r="CP16" s="44"/>
      <c r="CQ16" s="44"/>
      <c r="CR16" s="44"/>
      <c r="CS16" s="44"/>
      <c r="CT16" s="44"/>
      <c r="CU16" s="44"/>
      <c r="CV16" s="44"/>
      <c r="CW16" s="11" t="str">
        <f>IF(SUM(CH16,CL16)&gt;0,SUM(CH16,CL16),"")</f>
        <v/>
      </c>
      <c r="CX16" s="11" t="str">
        <f>IF(SUM(CG16:CH16,CJ16:CL16,CN16)-SUM(CI16,CM16)&gt;0,SUM(CG16:CH16,CJ16:CL16,CN16)-SUM(CI16,CM16),"")</f>
        <v/>
      </c>
      <c r="CY16" s="11" t="str">
        <f>IF(SUM(CP16,CT16)&gt;0,SUM(CP16,CT16),"")</f>
        <v/>
      </c>
      <c r="CZ16" s="11" t="str">
        <f>IF(SUM(CO16:CP16,CR16:CT16,CV16)-SUM(CQ16,CU16)&gt;0,SUM(CO16:CP16,CR16:CT16,CV16)-SUM(CQ16,CU16),"")</f>
        <v/>
      </c>
      <c r="DA16" s="11" t="str">
        <f>IF(SUM(CX16,CZ16)&gt;0,SUM(CX16,CZ16),"")</f>
        <v/>
      </c>
      <c r="DB16" s="43"/>
      <c r="DC16" s="43"/>
      <c r="DD16" s="43"/>
      <c r="DE16" s="43"/>
      <c r="DF16" s="43"/>
      <c r="DG16" s="43"/>
      <c r="DH16" s="43"/>
      <c r="DI16" s="43"/>
      <c r="DJ16" s="43"/>
      <c r="DK16" s="43"/>
      <c r="DL16" s="43"/>
      <c r="DM16" s="43"/>
      <c r="DN16" s="43"/>
      <c r="DO16" s="43"/>
      <c r="DP16" s="43"/>
      <c r="DQ16" s="43"/>
      <c r="DR16" s="14" t="str">
        <f>IF(SUM(DC16,DG16)&gt;0,SUM(DC16,DG16),"")</f>
        <v/>
      </c>
      <c r="DS16" s="14" t="str">
        <f>IF(SUM(DB16:DC16,DE16:DG16,DI16)-SUM(DD16,DH16)&gt;0,SUM(DB16:DC16,DE16:DG16,DI16)-SUM(DD16,DH16),"")</f>
        <v/>
      </c>
      <c r="DT16" s="14" t="str">
        <f>IF(SUM(DK16,DO16)&gt;0,SUM(DK16,DO16),"")</f>
        <v/>
      </c>
      <c r="DU16" s="14" t="str">
        <f>IF(SUM(DJ16:DK16,DM16:DO16,DQ16)-SUM(DL16,DP16)&gt;0,SUM(DJ16:DK16,DM16:DO16,DQ16)-SUM(DL16,DP16),"")</f>
        <v/>
      </c>
      <c r="DV16" s="14" t="str">
        <f>IF(SUM(DS16,DU16)&gt;0,SUM(DS16,DU16),"")</f>
        <v/>
      </c>
      <c r="DW16" s="44"/>
      <c r="DX16" s="44"/>
      <c r="DY16" s="44"/>
      <c r="DZ16" s="44"/>
      <c r="EA16" s="44"/>
      <c r="EB16" s="44"/>
      <c r="EC16" s="44"/>
      <c r="ED16" s="44"/>
      <c r="EE16" s="44"/>
      <c r="EF16" s="44"/>
      <c r="EG16" s="44"/>
      <c r="EH16" s="44"/>
      <c r="EI16" s="44"/>
      <c r="EJ16" s="44"/>
      <c r="EK16" s="44"/>
      <c r="EL16" s="44"/>
      <c r="EM16" s="11" t="str">
        <f>IF(SUM(DX16,EB16)&gt;0,SUM(DX16,EB16),"")</f>
        <v/>
      </c>
      <c r="EN16" s="11" t="str">
        <f>IF(SUM(DW16:DX16,DZ16:EB16,ED16)-SUM(DY16,EC16)&gt;0,SUM(DW16:DX16,DZ16:EB16,ED16)-SUM(DY16,EC16),"")</f>
        <v/>
      </c>
      <c r="EO16" s="11" t="str">
        <f>IF(SUM(EF16,EJ16)&gt;0,SUM(EF16,EJ16),"")</f>
        <v/>
      </c>
      <c r="EP16" s="11" t="str">
        <f>IF(SUM(EE16:EF16,EH16:EJ16,EL16)-SUM(EG16,EK16)&gt;0,SUM(EE16:EF16,EH16:EJ16,EL16)-SUM(EG16,EK16),"")</f>
        <v/>
      </c>
      <c r="EQ16" s="11" t="str">
        <f>IF(SUM(EN16,EP16)&gt;0,SUM(EN16,EP16),"")</f>
        <v/>
      </c>
      <c r="ER16" s="43"/>
      <c r="ES16" s="43"/>
      <c r="ET16" s="43"/>
      <c r="EU16" s="43"/>
      <c r="EV16" s="43"/>
      <c r="EW16" s="43"/>
      <c r="EX16" s="43"/>
      <c r="EY16" s="43"/>
      <c r="EZ16" s="43"/>
      <c r="FA16" s="43"/>
      <c r="FB16" s="43"/>
      <c r="FC16" s="43"/>
      <c r="FD16" s="43"/>
      <c r="FE16" s="43"/>
      <c r="FF16" s="43"/>
      <c r="FG16" s="43"/>
      <c r="FH16" s="14" t="str">
        <f>IF(SUM(ES16,EW16)&gt;0,SUM(ES16,EW16),"")</f>
        <v/>
      </c>
      <c r="FI16" s="14" t="str">
        <f>IF(SUM(ER16:ES16,EU16:EW16,EY16)-SUM(ET16,EX16)&gt;0,SUM(ER16:ES16,EU16:EW16,EY16)-SUM(ET16,EX16),"")</f>
        <v/>
      </c>
      <c r="FJ16" s="14" t="str">
        <f>IF(SUM(FA16,FE16)&gt;0,SUM(FA16,FE16),"")</f>
        <v/>
      </c>
      <c r="FK16" s="14" t="str">
        <f>IF(SUM(EZ16:FA16,FC16:FE16,FG16)-SUM(FB16,FF16)&gt;0,SUM(EZ16:FA16,FC16:FE16,FG16)-SUM(FB16,FF16),"")</f>
        <v/>
      </c>
      <c r="FL16" s="14" t="str">
        <f>IF(SUM(FI16,FK16)&gt;0,SUM(FI16,FK16),"")</f>
        <v/>
      </c>
      <c r="FM16" s="44"/>
      <c r="FN16" s="44"/>
      <c r="FO16" s="44"/>
      <c r="FP16" s="44"/>
      <c r="FQ16" s="44"/>
      <c r="FR16" s="44"/>
      <c r="FS16" s="44"/>
      <c r="FT16" s="44"/>
      <c r="FU16" s="44"/>
      <c r="FV16" s="44"/>
      <c r="FW16" s="44"/>
      <c r="FX16" s="44"/>
      <c r="FY16" s="44"/>
      <c r="FZ16" s="44"/>
      <c r="GA16" s="44"/>
      <c r="GB16" s="44"/>
      <c r="GC16" s="11" t="str">
        <f>IF(SUM(FN16,FR16)&gt;0,SUM(FN16,FR16),"")</f>
        <v/>
      </c>
      <c r="GD16" s="11" t="str">
        <f>IF(SUM(FM16:FN16,FP16:FR16,FT16)-SUM(FO16,FS16)&gt;0,SUM(FM16:FN16,FP16:FR16,FT16)-SUM(FO16,FS16),"")</f>
        <v/>
      </c>
      <c r="GE16" s="11" t="str">
        <f>IF(SUM(FV16,FZ16)&gt;0,SUM(FV16,FZ16),"")</f>
        <v/>
      </c>
      <c r="GF16" s="11" t="str">
        <f>IF(SUM(FU16:FV16,FX16:FZ16,GB16)-SUM(FW16,GA16)&gt;0,SUM(FU16:FV16,FX16:FZ16,GB16)-SUM(FW16,GA16),"")</f>
        <v/>
      </c>
      <c r="GG16" s="11" t="str">
        <f>IF(SUM(GD16,GF16)&gt;0,SUM(GD16,GF16),"")</f>
        <v/>
      </c>
      <c r="GH16" s="43"/>
      <c r="GI16" s="43"/>
      <c r="GJ16" s="43"/>
      <c r="GK16" s="43"/>
      <c r="GL16" s="43"/>
      <c r="GM16" s="43"/>
      <c r="GN16" s="43"/>
      <c r="GO16" s="43"/>
      <c r="GP16" s="43"/>
      <c r="GQ16" s="43"/>
      <c r="GR16" s="43"/>
      <c r="GS16" s="43"/>
      <c r="GT16" s="43"/>
      <c r="GU16" s="43"/>
      <c r="GV16" s="43"/>
      <c r="GW16" s="43"/>
      <c r="GX16" s="14" t="str">
        <f>IF(SUM(GI16,GM16)&gt;0,SUM(GI16,GM16),"")</f>
        <v/>
      </c>
      <c r="GY16" s="14" t="str">
        <f>IF(SUM(GH16:GI16,GK16:GM16,GO16)-SUM(GJ16,GN16)&gt;0,SUM(GH16:GI16,GK16:GM16,GO16)-SUM(GJ16,GN16),"")</f>
        <v/>
      </c>
      <c r="GZ16" s="14" t="str">
        <f>IF(SUM(GQ16,GU16)&gt;0,SUM(GQ16,GU16),"")</f>
        <v/>
      </c>
      <c r="HA16" s="14" t="str">
        <f>IF(SUM(GP16:GQ16,GS16:GU16,GW16)-SUM(GR16,GV16)&gt;0,SUM(GP16:GQ16,GS16:GU16,GW16)-SUM(GR16,GV16),"")</f>
        <v/>
      </c>
      <c r="HB16" s="14" t="str">
        <f>IF(SUM(GY16,HA16)&gt;0,SUM(GY16,HA16),"")</f>
        <v/>
      </c>
      <c r="HC16" s="44"/>
      <c r="HD16" s="44"/>
      <c r="HE16" s="44"/>
      <c r="HF16" s="44"/>
      <c r="HG16" s="44"/>
      <c r="HH16" s="44"/>
      <c r="HI16" s="44"/>
      <c r="HJ16" s="44"/>
      <c r="HK16" s="44"/>
      <c r="HL16" s="44"/>
      <c r="HM16" s="44"/>
      <c r="HN16" s="44"/>
      <c r="HO16" s="44"/>
      <c r="HP16" s="44"/>
      <c r="HQ16" s="44"/>
      <c r="HR16" s="44"/>
      <c r="HS16" s="11" t="str">
        <f>IF(SUM(HD16,HH16)&gt;0,SUM(HD16,HH16),"")</f>
        <v/>
      </c>
      <c r="HT16" s="11" t="str">
        <f>IF(SUM(HC16:HD16,HF16:HH16,HJ16)-SUM(HE16,HI16)&gt;0,SUM(HC16:HD16,HF16:HH16,HJ16)-SUM(HE16,HI16),"")</f>
        <v/>
      </c>
      <c r="HU16" s="11" t="str">
        <f>IF(SUM(HL16,HP16)&gt;0,SUM(HL16,HP16),"")</f>
        <v/>
      </c>
      <c r="HV16" s="11" t="str">
        <f>IF(SUM(HK16:HL16,HN16:HP16,HR16)-SUM(HM16,HQ16)&gt;0,SUM(HK16:HL16,HN16:HP16,HR16)-SUM(HM16,HQ16),"")</f>
        <v/>
      </c>
      <c r="HW16" s="11" t="str">
        <f>IF(SUM(HT16,HV16)&gt;0,SUM(HT16,HV16),"")</f>
        <v/>
      </c>
      <c r="HX16" s="43"/>
      <c r="HY16" s="43"/>
      <c r="HZ16" s="43"/>
      <c r="IA16" s="43"/>
      <c r="IB16" s="43"/>
      <c r="IC16" s="43"/>
      <c r="ID16" s="43"/>
      <c r="IE16" s="43"/>
      <c r="IF16" s="43"/>
      <c r="IG16" s="43"/>
      <c r="IH16" s="43"/>
      <c r="II16" s="43"/>
      <c r="IJ16" s="43"/>
      <c r="IK16" s="43"/>
      <c r="IL16" s="43"/>
      <c r="IM16" s="43"/>
      <c r="IN16" s="14" t="str">
        <f>IF(SUM(HY16,IC16)&gt;0,SUM(HY16,IC16),"")</f>
        <v/>
      </c>
      <c r="IO16" s="14" t="str">
        <f>IF(SUM(HX16:HY16,IA16:IC16,IE16)-SUM(HZ16,ID16)&gt;0,SUM(HX16:HY16,IA16:IC16,IE16)-SUM(HZ16,ID16),"")</f>
        <v/>
      </c>
      <c r="IP16" s="14" t="str">
        <f>IF(SUM(IG16,IK16)&gt;0,SUM(IG16,IK16),"")</f>
        <v/>
      </c>
      <c r="IQ16" s="14" t="str">
        <f>IF(SUM(IF16:IG16,II16:IK16,IM16)-SUM(IH16,IL16)&gt;0,SUM(IF16:IG16,II16:IK16,IM16)-SUM(IH16,IL16),"")</f>
        <v/>
      </c>
      <c r="IR16" s="14" t="str">
        <f>IF(SUM(IO16,IQ16)&gt;0,SUM(IO16,IQ16),"")</f>
        <v/>
      </c>
      <c r="IS16" s="44"/>
      <c r="IT16" s="44"/>
      <c r="IU16" s="44"/>
      <c r="IV16" s="44"/>
      <c r="IW16" s="44"/>
      <c r="IX16" s="44"/>
      <c r="IY16" s="44"/>
      <c r="IZ16" s="44"/>
      <c r="JA16" s="44"/>
      <c r="JB16" s="44"/>
      <c r="JC16" s="44"/>
      <c r="JD16" s="44"/>
      <c r="JE16" s="44"/>
      <c r="JF16" s="44"/>
      <c r="JG16" s="44"/>
      <c r="JH16" s="44"/>
      <c r="JI16" s="11" t="str">
        <f>IF(SUM(IT16,IX16)&gt;0,SUM(IT16,IX16),"")</f>
        <v/>
      </c>
      <c r="JJ16" s="11" t="str">
        <f>IF(SUM(IS16:IT16,IV16:IX16,IZ16)-SUM(IU16,IY16)&gt;0,SUM(IS16:IT16,IV16:IX16,IZ16)-SUM(IU16,IY16),"")</f>
        <v/>
      </c>
      <c r="JK16" s="11" t="str">
        <f>IF(SUM(JB16,JF16)&gt;0,SUM(JB16,JF16),"")</f>
        <v/>
      </c>
      <c r="JL16" s="11" t="str">
        <f>IF(SUM(JA16:JB16,JD16:JF16,JH16)-SUM(JC16,JG16)&gt;0,SUM(JA16:JB16,JD16:JF16,JH16)-SUM(JC16,JG16),"")</f>
        <v/>
      </c>
      <c r="JM16" s="11" t="str">
        <f>IF(SUM(JJ16,JL16)&gt;0,SUM(JJ16,JL16),"")</f>
        <v/>
      </c>
      <c r="JN16" s="43"/>
      <c r="JO16" s="43"/>
      <c r="JP16" s="43"/>
      <c r="JQ16" s="43"/>
      <c r="JR16" s="43"/>
      <c r="JS16" s="43"/>
      <c r="JT16" s="43"/>
      <c r="JU16" s="43"/>
      <c r="JV16" s="43"/>
      <c r="JW16" s="43"/>
      <c r="JX16" s="43"/>
      <c r="JY16" s="43"/>
      <c r="JZ16" s="43"/>
      <c r="KA16" s="43"/>
      <c r="KB16" s="43"/>
      <c r="KC16" s="43"/>
      <c r="KD16" s="14" t="str">
        <f>IF(SUM(JO16,JS16)&gt;0,SUM(JO16,JS16),"")</f>
        <v/>
      </c>
      <c r="KE16" s="14" t="str">
        <f>IF(SUM(JN16:JO16,JQ16:JS16,JU16)-SUM(JP16,JT16)&gt;0,SUM(JN16:JO16,JQ16:JS16,JU16)-SUM(JP16,JT16),"")</f>
        <v/>
      </c>
      <c r="KF16" s="14" t="str">
        <f>IF(SUM(JW16,KA16)&gt;0,SUM(JW16,KA16),"")</f>
        <v/>
      </c>
      <c r="KG16" s="14" t="str">
        <f>IF(SUM(JV16:JW16,JY16:KA16,KC16)-SUM(JX16,KB16)&gt;0,SUM(JV16:JW16,JY16:KA16,KC16)-SUM(JX16,KB16),"")</f>
        <v/>
      </c>
      <c r="KH16" s="14" t="str">
        <f>IF(SUM(KE16,KG16)&gt;0,SUM(KE16,KG16),"")</f>
        <v/>
      </c>
      <c r="KI16" s="44"/>
      <c r="KJ16" s="44"/>
      <c r="KK16" s="44"/>
      <c r="KL16" s="44"/>
      <c r="KM16" s="44"/>
      <c r="KN16" s="44"/>
      <c r="KO16" s="44"/>
      <c r="KP16" s="44"/>
      <c r="KQ16" s="44"/>
      <c r="KR16" s="44"/>
      <c r="KS16" s="44"/>
      <c r="KT16" s="44"/>
      <c r="KU16" s="44"/>
      <c r="KV16" s="44"/>
      <c r="KW16" s="44"/>
      <c r="KX16" s="44"/>
      <c r="KY16" s="11" t="str">
        <f>IF(SUM(KJ16,KN16)&gt;0,SUM(KJ16,KN16),"")</f>
        <v/>
      </c>
      <c r="KZ16" s="11" t="str">
        <f>IF(SUM(KI16:KJ16,KL16:KN16,KP16)-SUM(KK16,KO16)&gt;0,SUM(KI16:KJ16,KL16:KN16,KP16)-SUM(KK16,KO16),"")</f>
        <v/>
      </c>
      <c r="LA16" s="11" t="str">
        <f>IF(SUM(KR16,KV16)&gt;0,SUM(KR16,KV16),"")</f>
        <v/>
      </c>
      <c r="LB16" s="11" t="str">
        <f>IF(SUM(KQ16:KR16,KT16:KV16,KX16)-SUM(KS16,KW16)&gt;0,SUM(KQ16:KR16,KT16:KV16,KX16)-SUM(KS16,KW16),"")</f>
        <v/>
      </c>
      <c r="LC16" s="11" t="str">
        <f>IF(SUM(KZ16,LB16)&gt;0,SUM(KZ16,LB16),"")</f>
        <v/>
      </c>
      <c r="LD16" s="43"/>
      <c r="LE16" s="43"/>
      <c r="LF16" s="43"/>
      <c r="LG16" s="43"/>
      <c r="LH16" s="43"/>
      <c r="LI16" s="43"/>
      <c r="LJ16" s="43"/>
      <c r="LK16" s="43"/>
      <c r="LL16" s="43"/>
      <c r="LM16" s="43"/>
      <c r="LN16" s="43"/>
      <c r="LO16" s="43"/>
      <c r="LP16" s="43"/>
      <c r="LQ16" s="43"/>
      <c r="LR16" s="43"/>
      <c r="LS16" s="43"/>
      <c r="LT16" s="14" t="str">
        <f>IF(SUM(LE16,LI16)&gt;0,SUM(LE16,LI16),"")</f>
        <v/>
      </c>
      <c r="LU16" s="14" t="str">
        <f>IF(SUM(LD16:LE16,LG16:LI16,LK16)-SUM(LF16,LJ16)&gt;0,SUM(LD16:LE16,LG16:LI16,LK16)-SUM(LF16,LJ16),"")</f>
        <v/>
      </c>
      <c r="LV16" s="14" t="str">
        <f>IF(SUM(LM16,LQ16)&gt;0,SUM(LM16,LQ16),"")</f>
        <v/>
      </c>
      <c r="LW16" s="14" t="str">
        <f>IF(SUM(LL16:LM16,LO16:LQ16,LS16)-SUM(LN16,LR16)&gt;0,SUM(LL16:LM16,LO16:LQ16,LS16)-SUM(LN16,LR16),"")</f>
        <v/>
      </c>
      <c r="LX16" s="14" t="str">
        <f>IF(SUM(LU16,LW16)&gt;0,SUM(LU16,LW16),"")</f>
        <v/>
      </c>
      <c r="LY16" s="69">
        <f>IF($BY16="P",BI16,(BI16+AM16)/2)</f>
        <v>0</v>
      </c>
      <c r="LZ16" s="69">
        <f>IF($BY16="P",BJ16,(BJ16+AN16)/2)</f>
        <v>0</v>
      </c>
      <c r="MA16" s="69">
        <f>IF($BY16="P",BK16,(BK16+AO16)/2)</f>
        <v>0</v>
      </c>
      <c r="MB16" s="69">
        <f>IF($BY16="P",BL16,(BL16+AP16)/2)</f>
        <v>0</v>
      </c>
      <c r="MC16" s="69">
        <f>IF($BY16="P",BM16,(BM16+AQ16)/2)</f>
        <v>0</v>
      </c>
      <c r="MD16" s="69">
        <f>IF($BY16="P",BN16,(BN16+AR16)/2)</f>
        <v>0</v>
      </c>
      <c r="ME16" s="69">
        <f>IF($BY16="P",BO16,(BO16+AS16)/2)</f>
        <v>0</v>
      </c>
      <c r="MF16" s="69">
        <f>IF($BY16="P",BP16,(BP16+AT16)/2)</f>
        <v>0</v>
      </c>
      <c r="MG16" s="69">
        <f>IF($BY16="P",BQ16,(BQ16+AU16)/2)</f>
        <v>0</v>
      </c>
      <c r="MH16" s="69">
        <f>IF($BY16="P",BR16,(BR16+AV16)/2)</f>
        <v>0</v>
      </c>
      <c r="MI16" s="69">
        <f>IF($BY16="P",BS16,(BS16+AW16)/2)</f>
        <v>0</v>
      </c>
      <c r="MJ16" s="69">
        <f>IF($BY16="P",BT16,(BT16+AX16)/2)</f>
        <v>0</v>
      </c>
      <c r="MK16" s="69">
        <f>IF($BY16="P",BU16,(BU16+AY16)/2)</f>
        <v>0</v>
      </c>
      <c r="ML16" s="69">
        <f>IF($BY16="P",BV16,(BV16+AZ16)/2)</f>
        <v>0</v>
      </c>
      <c r="MM16" s="69">
        <f>IF($BY16="P",BW16,(BW16+BA16)/2)</f>
        <v>0</v>
      </c>
      <c r="MN16" s="69">
        <f>IF($BY16="P",BX16,(BX16+BB16)/2)</f>
        <v>0</v>
      </c>
      <c r="MO16" s="80" t="s">
        <v>74</v>
      </c>
      <c r="MP16" s="11" t="str">
        <f>IF(SUM(LZ16,MD16)&gt;0,SUM(LZ16,MD16),"")</f>
        <v/>
      </c>
      <c r="MQ16" s="11" t="str">
        <f>IF(SUM(LY16:LZ16,MB16:MD16,MF16)-SUM(MA16,ME16)&gt;0,SUM(LY16:LZ16,MB16:MD16,MF16)-SUM(MA16,ME16),"")</f>
        <v/>
      </c>
      <c r="MR16" s="11" t="str">
        <f>IF(SUM(MH16,ML16)&gt;0,SUM(MH16,ML16),"")</f>
        <v/>
      </c>
      <c r="MS16" s="11" t="str">
        <f>IF(SUM(MG16:MH16,MJ16:ML16,MN16)-SUM(MI16,MM16)&gt;0,SUM(MG16:MH16,MJ16:ML16,MN16)-SUM(MI16,MM16),"")</f>
        <v/>
      </c>
      <c r="MT16" s="11" t="str">
        <f>IF(SUM(MQ16,MS16)&gt;0,SUM(MQ16,MS16),"")</f>
        <v/>
      </c>
    </row>
    <row r="17" spans="1:336" s="53" customFormat="1" x14ac:dyDescent="0.2">
      <c r="A17" s="7"/>
      <c r="B17" s="8"/>
      <c r="C17" s="4"/>
      <c r="D17" s="7"/>
      <c r="E17" s="95"/>
      <c r="F17" s="96"/>
      <c r="G17" s="96"/>
      <c r="H17" s="132"/>
      <c r="I17" s="96"/>
      <c r="J17" s="54"/>
      <c r="K17" s="54"/>
      <c r="L17" s="54"/>
      <c r="M17" s="54"/>
      <c r="N17" s="54"/>
      <c r="O17" s="97"/>
      <c r="P17" s="54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9"/>
      <c r="AH17" s="54"/>
      <c r="AI17" s="54"/>
      <c r="AJ17" s="54"/>
      <c r="AK17" s="54"/>
      <c r="AL17" s="54"/>
      <c r="AM17" s="100"/>
      <c r="AN17" s="100"/>
      <c r="AO17" s="100"/>
      <c r="AP17" s="100"/>
      <c r="AQ17" s="100"/>
      <c r="AR17" s="100"/>
      <c r="AS17" s="100"/>
      <c r="AT17" s="100"/>
      <c r="AU17" s="100"/>
      <c r="AV17" s="100"/>
      <c r="AW17" s="100"/>
      <c r="AX17" s="100"/>
      <c r="AY17" s="100"/>
      <c r="AZ17" s="100"/>
      <c r="BA17" s="100"/>
      <c r="BB17" s="100"/>
      <c r="BC17" s="99"/>
      <c r="BD17" s="54"/>
      <c r="BE17" s="54"/>
      <c r="BF17" s="54"/>
      <c r="BG17" s="54"/>
      <c r="BH17" s="54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9"/>
      <c r="BZ17" s="54"/>
      <c r="CA17" s="54"/>
      <c r="CB17" s="54"/>
      <c r="CC17" s="54"/>
      <c r="CD17" s="54"/>
      <c r="CE17" s="54"/>
      <c r="CF17" s="54"/>
      <c r="CG17" s="101"/>
      <c r="CH17" s="101"/>
      <c r="CI17" s="101"/>
      <c r="CJ17" s="101"/>
      <c r="CK17" s="101"/>
      <c r="CL17" s="101"/>
      <c r="CM17" s="101"/>
      <c r="CN17" s="101"/>
      <c r="CO17" s="101"/>
      <c r="CP17" s="101"/>
      <c r="CQ17" s="101"/>
      <c r="CR17" s="101"/>
      <c r="CS17" s="101"/>
      <c r="CT17" s="101"/>
      <c r="CU17" s="101"/>
      <c r="CV17" s="101"/>
      <c r="CW17" s="54"/>
      <c r="CX17" s="54"/>
      <c r="CY17" s="54"/>
      <c r="CZ17" s="54"/>
      <c r="DA17" s="54"/>
      <c r="DB17" s="101"/>
      <c r="DC17" s="101"/>
      <c r="DD17" s="101"/>
      <c r="DE17" s="101"/>
      <c r="DF17" s="101"/>
      <c r="DG17" s="101"/>
      <c r="DH17" s="101"/>
      <c r="DI17" s="101"/>
      <c r="DJ17" s="101"/>
      <c r="DK17" s="101"/>
      <c r="DL17" s="101"/>
      <c r="DM17" s="101"/>
      <c r="DN17" s="101"/>
      <c r="DO17" s="101"/>
      <c r="DP17" s="101"/>
      <c r="DQ17" s="101"/>
      <c r="DR17" s="54"/>
      <c r="DS17" s="54"/>
      <c r="DT17" s="54"/>
      <c r="DU17" s="54"/>
      <c r="DV17" s="54"/>
      <c r="DW17" s="101"/>
      <c r="DX17" s="101"/>
      <c r="DY17" s="101"/>
      <c r="DZ17" s="101"/>
      <c r="EA17" s="101"/>
      <c r="EB17" s="101"/>
      <c r="EC17" s="101"/>
      <c r="ED17" s="101"/>
      <c r="EE17" s="101"/>
      <c r="EF17" s="101"/>
      <c r="EG17" s="101"/>
      <c r="EH17" s="101"/>
      <c r="EI17" s="101"/>
      <c r="EJ17" s="101"/>
      <c r="EK17" s="101"/>
      <c r="EL17" s="101"/>
      <c r="EM17" s="54"/>
      <c r="EN17" s="54"/>
      <c r="EO17" s="54"/>
      <c r="EP17" s="54"/>
      <c r="EQ17" s="54"/>
      <c r="ER17" s="101"/>
      <c r="ES17" s="101"/>
      <c r="ET17" s="101"/>
      <c r="EU17" s="101"/>
      <c r="EV17" s="101"/>
      <c r="EW17" s="101"/>
      <c r="EX17" s="101"/>
      <c r="EY17" s="101"/>
      <c r="EZ17" s="101"/>
      <c r="FA17" s="101"/>
      <c r="FB17" s="101"/>
      <c r="FC17" s="101"/>
      <c r="FD17" s="101"/>
      <c r="FE17" s="101"/>
      <c r="FF17" s="101"/>
      <c r="FG17" s="101"/>
      <c r="FH17" s="54"/>
      <c r="FI17" s="54"/>
      <c r="FJ17" s="54"/>
      <c r="FK17" s="54"/>
      <c r="FL17" s="54"/>
      <c r="FM17" s="101"/>
      <c r="FN17" s="101"/>
      <c r="FO17" s="101"/>
      <c r="FP17" s="101"/>
      <c r="FQ17" s="101"/>
      <c r="FR17" s="101"/>
      <c r="FS17" s="101"/>
      <c r="FT17" s="101"/>
      <c r="FU17" s="101"/>
      <c r="FV17" s="101"/>
      <c r="FW17" s="101"/>
      <c r="FX17" s="101"/>
      <c r="FY17" s="101"/>
      <c r="FZ17" s="101"/>
      <c r="GA17" s="101"/>
      <c r="GB17" s="101"/>
      <c r="GC17" s="54"/>
      <c r="GD17" s="54"/>
      <c r="GE17" s="54"/>
      <c r="GF17" s="54"/>
      <c r="GG17" s="54"/>
      <c r="GH17" s="101"/>
      <c r="GI17" s="101"/>
      <c r="GJ17" s="101"/>
      <c r="GK17" s="101"/>
      <c r="GL17" s="101"/>
      <c r="GM17" s="101"/>
      <c r="GN17" s="101"/>
      <c r="GO17" s="101"/>
      <c r="GP17" s="101"/>
      <c r="GQ17" s="101"/>
      <c r="GR17" s="101"/>
      <c r="GS17" s="101"/>
      <c r="GT17" s="101"/>
      <c r="GU17" s="101"/>
      <c r="GV17" s="101"/>
      <c r="GW17" s="101"/>
      <c r="GX17" s="54"/>
      <c r="GY17" s="54"/>
      <c r="GZ17" s="54"/>
      <c r="HA17" s="54"/>
      <c r="HB17" s="54"/>
      <c r="HC17" s="101"/>
      <c r="HD17" s="101"/>
      <c r="HE17" s="101"/>
      <c r="HF17" s="101"/>
      <c r="HG17" s="101"/>
      <c r="HH17" s="101"/>
      <c r="HI17" s="101"/>
      <c r="HJ17" s="101"/>
      <c r="HK17" s="101"/>
      <c r="HL17" s="101"/>
      <c r="HM17" s="101"/>
      <c r="HN17" s="101"/>
      <c r="HO17" s="101"/>
      <c r="HP17" s="101"/>
      <c r="HQ17" s="101"/>
      <c r="HR17" s="101"/>
      <c r="HS17" s="54"/>
      <c r="HT17" s="54"/>
      <c r="HU17" s="54"/>
      <c r="HV17" s="54"/>
      <c r="HW17" s="54"/>
      <c r="HX17" s="101"/>
      <c r="HY17" s="101"/>
      <c r="HZ17" s="101"/>
      <c r="IA17" s="101"/>
      <c r="IB17" s="101"/>
      <c r="IC17" s="101"/>
      <c r="ID17" s="101"/>
      <c r="IE17" s="101"/>
      <c r="IF17" s="101"/>
      <c r="IG17" s="101"/>
      <c r="IH17" s="101"/>
      <c r="II17" s="101"/>
      <c r="IJ17" s="101"/>
      <c r="IK17" s="101"/>
      <c r="IL17" s="101"/>
      <c r="IM17" s="101"/>
      <c r="IN17" s="54"/>
      <c r="IO17" s="54"/>
      <c r="IP17" s="54"/>
      <c r="IQ17" s="54"/>
      <c r="IR17" s="54"/>
      <c r="IS17" s="101"/>
      <c r="IT17" s="101"/>
      <c r="IU17" s="101"/>
      <c r="IV17" s="101"/>
      <c r="IW17" s="101"/>
      <c r="IX17" s="101"/>
      <c r="IY17" s="101"/>
      <c r="IZ17" s="101"/>
      <c r="JA17" s="101"/>
      <c r="JB17" s="101"/>
      <c r="JC17" s="101"/>
      <c r="JD17" s="101"/>
      <c r="JE17" s="101"/>
      <c r="JF17" s="101"/>
      <c r="JG17" s="101"/>
      <c r="JH17" s="101"/>
      <c r="JI17" s="54"/>
      <c r="JJ17" s="54"/>
      <c r="JK17" s="54"/>
      <c r="JL17" s="54"/>
      <c r="JM17" s="54"/>
      <c r="JN17" s="101"/>
      <c r="JO17" s="101"/>
      <c r="JP17" s="101"/>
      <c r="JQ17" s="101"/>
      <c r="JR17" s="101"/>
      <c r="JS17" s="101"/>
      <c r="JT17" s="101"/>
      <c r="JU17" s="101"/>
      <c r="JV17" s="101"/>
      <c r="JW17" s="101"/>
      <c r="JX17" s="101"/>
      <c r="JY17" s="101"/>
      <c r="JZ17" s="101"/>
      <c r="KA17" s="101"/>
      <c r="KB17" s="101"/>
      <c r="KC17" s="101"/>
      <c r="KD17" s="54"/>
      <c r="KE17" s="54"/>
      <c r="KF17" s="54"/>
      <c r="KG17" s="54"/>
      <c r="KH17" s="54"/>
      <c r="KI17" s="101"/>
      <c r="KJ17" s="101"/>
      <c r="KK17" s="101"/>
      <c r="KL17" s="101"/>
      <c r="KM17" s="101"/>
      <c r="KN17" s="101"/>
      <c r="KO17" s="101"/>
      <c r="KP17" s="101"/>
      <c r="KQ17" s="101"/>
      <c r="KR17" s="101"/>
      <c r="KS17" s="101"/>
      <c r="KT17" s="101"/>
      <c r="KU17" s="101"/>
      <c r="KV17" s="101"/>
      <c r="KW17" s="101"/>
      <c r="KX17" s="101"/>
      <c r="KY17" s="54"/>
      <c r="KZ17" s="54"/>
      <c r="LA17" s="54"/>
      <c r="LB17" s="54"/>
      <c r="LC17" s="54"/>
      <c r="LD17" s="101"/>
      <c r="LE17" s="101"/>
      <c r="LF17" s="101"/>
      <c r="LG17" s="101"/>
      <c r="LH17" s="101"/>
      <c r="LI17" s="101"/>
      <c r="LJ17" s="101"/>
      <c r="LK17" s="101"/>
      <c r="LL17" s="101"/>
      <c r="LM17" s="101"/>
      <c r="LN17" s="101"/>
      <c r="LO17" s="101"/>
      <c r="LP17" s="101"/>
      <c r="LQ17" s="101"/>
      <c r="LR17" s="101"/>
      <c r="LS17" s="101"/>
      <c r="LT17" s="54"/>
      <c r="LU17" s="54"/>
      <c r="LV17" s="54"/>
      <c r="LW17" s="54"/>
      <c r="LX17" s="54"/>
    </row>
    <row r="18" spans="1:336" x14ac:dyDescent="0.2">
      <c r="AH18" s="54"/>
      <c r="AJ18" s="54"/>
      <c r="BD18" s="54"/>
      <c r="BF18" s="54"/>
      <c r="BZ18" s="54"/>
      <c r="CB18" s="54"/>
      <c r="CW18" s="54"/>
      <c r="CY18" s="54"/>
      <c r="DR18" s="54"/>
      <c r="DT18" s="54"/>
      <c r="EM18" s="54"/>
      <c r="EO18" s="54"/>
      <c r="FH18" s="54"/>
      <c r="FJ18" s="54"/>
      <c r="GC18" s="54"/>
      <c r="GE18" s="54"/>
      <c r="GX18" s="54"/>
      <c r="GZ18" s="54"/>
      <c r="HS18" s="54"/>
      <c r="HU18" s="54"/>
      <c r="IN18" s="54"/>
      <c r="IP18" s="54"/>
      <c r="JI18" s="54"/>
      <c r="JK18" s="54"/>
      <c r="KD18" s="54"/>
      <c r="KF18" s="54"/>
      <c r="KY18" s="54"/>
      <c r="LA18" s="54"/>
      <c r="LT18" s="54"/>
      <c r="LV18" s="54"/>
    </row>
    <row r="19" spans="1:336" x14ac:dyDescent="0.2">
      <c r="B19" s="70" t="s">
        <v>70</v>
      </c>
      <c r="AH19" s="54"/>
      <c r="AJ19" s="54"/>
      <c r="AL19" s="64">
        <v>10.8</v>
      </c>
      <c r="BD19" s="54"/>
      <c r="BF19" s="54"/>
      <c r="BH19" s="64">
        <v>10.8</v>
      </c>
      <c r="BZ19" s="54"/>
      <c r="CB19" s="54"/>
      <c r="CD19" s="64">
        <v>10.8</v>
      </c>
      <c r="CW19" s="54"/>
      <c r="CY19" s="54"/>
      <c r="DA19" s="64">
        <v>10.8</v>
      </c>
      <c r="DR19" s="54"/>
      <c r="DT19" s="54"/>
      <c r="DV19" s="64">
        <v>10.8</v>
      </c>
      <c r="EM19" s="54"/>
      <c r="EO19" s="54"/>
      <c r="EQ19" s="64">
        <v>10.8</v>
      </c>
      <c r="FH19" s="54"/>
      <c r="FJ19" s="54"/>
      <c r="FL19" s="64">
        <v>10.8</v>
      </c>
      <c r="GC19" s="54"/>
      <c r="GE19" s="54"/>
      <c r="GG19" s="64">
        <v>10.8</v>
      </c>
      <c r="GX19" s="54"/>
      <c r="GZ19" s="54"/>
      <c r="HB19" s="64">
        <v>10.8</v>
      </c>
      <c r="HS19" s="54"/>
      <c r="HU19" s="54"/>
      <c r="HW19" s="64">
        <v>10.8</v>
      </c>
      <c r="IN19" s="54"/>
      <c r="IP19" s="54"/>
      <c r="IR19" s="64">
        <v>10.8</v>
      </c>
      <c r="JI19" s="54"/>
      <c r="JK19" s="54"/>
      <c r="JM19" s="64">
        <v>10.8</v>
      </c>
      <c r="KD19" s="54"/>
      <c r="KF19" s="54"/>
      <c r="KH19" s="64">
        <v>10.8</v>
      </c>
      <c r="KY19" s="54"/>
      <c r="LA19" s="54"/>
      <c r="LC19" s="64">
        <v>10.8</v>
      </c>
      <c r="LT19" s="54"/>
      <c r="LV19" s="54"/>
      <c r="LX19" s="64">
        <v>10.8</v>
      </c>
    </row>
    <row r="20" spans="1:336" x14ac:dyDescent="0.2">
      <c r="B20" s="91" t="s">
        <v>69</v>
      </c>
      <c r="AH20" s="54"/>
      <c r="AJ20" s="54"/>
      <c r="AL20" s="93">
        <v>11.2</v>
      </c>
      <c r="BD20" s="54"/>
      <c r="BF20" s="54"/>
      <c r="BH20" s="93">
        <v>11.2</v>
      </c>
      <c r="BZ20" s="54"/>
      <c r="CB20" s="54"/>
      <c r="CD20" s="93">
        <v>11.2</v>
      </c>
      <c r="CW20" s="54"/>
      <c r="CY20" s="54"/>
      <c r="DA20" s="93">
        <v>11.2</v>
      </c>
      <c r="DR20" s="54"/>
      <c r="DT20" s="54"/>
      <c r="DV20" s="93">
        <v>11.2</v>
      </c>
      <c r="EM20" s="54"/>
      <c r="EO20" s="54"/>
      <c r="EQ20" s="93">
        <v>11.2</v>
      </c>
      <c r="FH20" s="54"/>
      <c r="FJ20" s="54"/>
      <c r="FL20" s="93">
        <v>11.2</v>
      </c>
      <c r="GC20" s="54"/>
      <c r="GE20" s="54"/>
      <c r="GG20" s="93">
        <v>11.2</v>
      </c>
      <c r="GX20" s="54"/>
      <c r="GZ20" s="54"/>
      <c r="HB20" s="93">
        <v>11.2</v>
      </c>
      <c r="HS20" s="54"/>
      <c r="HU20" s="54"/>
      <c r="HW20" s="93">
        <v>11.2</v>
      </c>
      <c r="IN20" s="54"/>
      <c r="IP20" s="54"/>
      <c r="IR20" s="93">
        <v>11.2</v>
      </c>
      <c r="JI20" s="54"/>
      <c r="JK20" s="54"/>
      <c r="JM20" s="93">
        <v>11.2</v>
      </c>
      <c r="KD20" s="54"/>
      <c r="KF20" s="54"/>
      <c r="KH20" s="93">
        <v>11.2</v>
      </c>
      <c r="KY20" s="54"/>
      <c r="LA20" s="54"/>
      <c r="LC20" s="93">
        <v>11.2</v>
      </c>
      <c r="LT20" s="54"/>
      <c r="LV20" s="54"/>
      <c r="LX20" s="93">
        <v>11.2</v>
      </c>
    </row>
    <row r="21" spans="1:336" x14ac:dyDescent="0.2">
      <c r="A21" s="56"/>
      <c r="B21" s="92" t="s">
        <v>86</v>
      </c>
      <c r="C21" s="55"/>
      <c r="AL21" s="94">
        <v>11.6</v>
      </c>
      <c r="BG21" s="129"/>
      <c r="BH21" s="94">
        <v>11.6</v>
      </c>
      <c r="CD21" s="94">
        <v>11.6</v>
      </c>
      <c r="DA21" s="94">
        <v>11.6</v>
      </c>
      <c r="DU21" s="129"/>
      <c r="DV21" s="94">
        <v>11.6</v>
      </c>
      <c r="EQ21" s="94">
        <v>11.6</v>
      </c>
      <c r="FL21" s="94">
        <v>11.6</v>
      </c>
      <c r="GG21" s="94">
        <v>11.6</v>
      </c>
      <c r="HB21" s="94">
        <v>11.6</v>
      </c>
      <c r="HW21" s="94">
        <v>11.6</v>
      </c>
      <c r="IR21" s="94">
        <v>11.6</v>
      </c>
      <c r="JM21" s="94">
        <v>11.6</v>
      </c>
      <c r="KH21" s="94">
        <v>11.6</v>
      </c>
      <c r="LC21" s="94">
        <v>11.6</v>
      </c>
      <c r="LX21" s="94">
        <v>11.6</v>
      </c>
    </row>
    <row r="22" spans="1:336" x14ac:dyDescent="0.2">
      <c r="A22" s="56"/>
      <c r="B22" s="71" t="s">
        <v>102</v>
      </c>
      <c r="C22" s="55"/>
      <c r="AK22" s="129"/>
      <c r="AL22" s="65">
        <v>12</v>
      </c>
      <c r="BG22" s="129"/>
      <c r="BH22" s="65">
        <v>12</v>
      </c>
      <c r="CD22" s="65">
        <v>12</v>
      </c>
      <c r="DA22" s="65">
        <v>12</v>
      </c>
      <c r="DV22" s="65">
        <v>12</v>
      </c>
      <c r="EQ22" s="65">
        <v>12</v>
      </c>
      <c r="FL22" s="65">
        <v>12</v>
      </c>
      <c r="GG22" s="65">
        <v>12</v>
      </c>
      <c r="HB22" s="65">
        <v>12</v>
      </c>
      <c r="HW22" s="65">
        <v>12</v>
      </c>
      <c r="IR22" s="65">
        <v>12</v>
      </c>
      <c r="JM22" s="65">
        <v>12</v>
      </c>
      <c r="KH22" s="65">
        <v>12</v>
      </c>
      <c r="LC22" s="65">
        <v>12</v>
      </c>
      <c r="LX22" s="65">
        <v>12</v>
      </c>
    </row>
    <row r="23" spans="1:336" x14ac:dyDescent="0.2">
      <c r="A23" s="56"/>
      <c r="B23" s="73" t="s">
        <v>67</v>
      </c>
      <c r="C23" s="55"/>
      <c r="AH23" s="56"/>
      <c r="AJ23" s="56"/>
      <c r="AL23" s="67">
        <v>66.599999999999994</v>
      </c>
      <c r="BD23" s="56"/>
      <c r="BF23" s="56"/>
      <c r="BH23" s="67">
        <v>66.599999999999994</v>
      </c>
      <c r="BZ23" s="56"/>
      <c r="CB23" s="56"/>
      <c r="CD23" s="67">
        <v>66.599999999999994</v>
      </c>
      <c r="CW23" s="56"/>
      <c r="CY23" s="56"/>
      <c r="DA23" s="67">
        <v>66.599999999999994</v>
      </c>
      <c r="DR23" s="56"/>
      <c r="DT23" s="56"/>
      <c r="DV23" s="67">
        <v>66.599999999999994</v>
      </c>
      <c r="EM23" s="56"/>
      <c r="EO23" s="56"/>
      <c r="EQ23" s="67">
        <v>66.599999999999994</v>
      </c>
      <c r="FH23" s="56"/>
      <c r="FJ23" s="56"/>
      <c r="FL23" s="67">
        <v>66.599999999999994</v>
      </c>
      <c r="GC23" s="56"/>
      <c r="GE23" s="56"/>
      <c r="GG23" s="67">
        <v>66.599999999999994</v>
      </c>
      <c r="GX23" s="56"/>
      <c r="GZ23" s="56"/>
      <c r="HB23" s="67">
        <v>66.599999999999994</v>
      </c>
      <c r="HS23" s="56"/>
      <c r="HU23" s="56"/>
      <c r="HW23" s="67">
        <v>66.599999999999994</v>
      </c>
      <c r="IN23" s="56"/>
      <c r="IP23" s="56"/>
      <c r="IR23" s="67">
        <v>66.599999999999994</v>
      </c>
      <c r="JI23" s="56"/>
      <c r="JK23" s="56"/>
      <c r="JM23" s="67">
        <v>66.599999999999994</v>
      </c>
      <c r="KD23" s="56"/>
      <c r="KF23" s="56"/>
      <c r="KH23" s="67">
        <v>66.599999999999994</v>
      </c>
      <c r="KY23" s="56"/>
      <c r="LA23" s="56"/>
      <c r="LC23" s="67">
        <v>66.599999999999994</v>
      </c>
      <c r="LT23" s="56"/>
      <c r="LV23" s="56"/>
      <c r="LX23" s="67">
        <v>66.599999999999994</v>
      </c>
    </row>
    <row r="24" spans="1:336" x14ac:dyDescent="0.2">
      <c r="A24" s="56"/>
      <c r="B24" s="72" t="s">
        <v>68</v>
      </c>
      <c r="C24" s="55"/>
      <c r="AH24" s="56"/>
      <c r="AJ24" s="56"/>
      <c r="AL24" s="66">
        <v>67.599999999999994</v>
      </c>
      <c r="BD24" s="56"/>
      <c r="BF24" s="56"/>
      <c r="BH24" s="66">
        <v>67.599999999999994</v>
      </c>
      <c r="BZ24" s="56"/>
      <c r="CB24" s="56"/>
      <c r="CD24" s="66">
        <v>67.599999999999994</v>
      </c>
      <c r="CW24" s="56"/>
      <c r="CY24" s="56"/>
      <c r="DA24" s="66">
        <v>67.599999999999994</v>
      </c>
      <c r="DR24" s="56"/>
      <c r="DT24" s="56"/>
      <c r="DV24" s="66">
        <v>67.599999999999994</v>
      </c>
      <c r="EM24" s="56"/>
      <c r="EO24" s="56"/>
      <c r="EQ24" s="66">
        <v>67.599999999999994</v>
      </c>
      <c r="FH24" s="56"/>
      <c r="FJ24" s="56"/>
      <c r="FL24" s="66">
        <v>67.599999999999994</v>
      </c>
      <c r="GC24" s="56"/>
      <c r="GE24" s="56"/>
      <c r="GG24" s="66">
        <v>67.599999999999994</v>
      </c>
      <c r="GX24" s="56"/>
      <c r="GZ24" s="56"/>
      <c r="HB24" s="66">
        <v>67.599999999999994</v>
      </c>
      <c r="HS24" s="56"/>
      <c r="HU24" s="56"/>
      <c r="HW24" s="66">
        <v>67.599999999999994</v>
      </c>
      <c r="IN24" s="56"/>
      <c r="IP24" s="56"/>
      <c r="IR24" s="66">
        <v>67.599999999999994</v>
      </c>
      <c r="JI24" s="56"/>
      <c r="JK24" s="56"/>
      <c r="JM24" s="66">
        <v>67.599999999999994</v>
      </c>
      <c r="KD24" s="56"/>
      <c r="KF24" s="56"/>
      <c r="KH24" s="66">
        <v>67.599999999999994</v>
      </c>
      <c r="KY24" s="56"/>
      <c r="LA24" s="56"/>
      <c r="LC24" s="66">
        <v>67.599999999999994</v>
      </c>
      <c r="LT24" s="56"/>
      <c r="LV24" s="56"/>
      <c r="LX24" s="66">
        <v>67.599999999999994</v>
      </c>
    </row>
    <row r="25" spans="1:336" x14ac:dyDescent="0.2">
      <c r="A25" s="56"/>
      <c r="B25" s="116" t="s">
        <v>84</v>
      </c>
      <c r="C25" s="55"/>
      <c r="AH25" s="56"/>
      <c r="AJ25" s="56"/>
      <c r="AL25" s="117">
        <v>68.900000000000006</v>
      </c>
      <c r="BD25" s="56"/>
      <c r="BF25" s="56"/>
      <c r="BG25" s="129"/>
      <c r="BH25" s="117">
        <v>68.900000000000006</v>
      </c>
      <c r="BZ25" s="56"/>
      <c r="CB25" s="56"/>
      <c r="CD25" s="117">
        <v>68.900000000000006</v>
      </c>
      <c r="CW25" s="56"/>
      <c r="CY25" s="56"/>
      <c r="DA25" s="117">
        <v>68.900000000000006</v>
      </c>
      <c r="DR25" s="56"/>
      <c r="DT25" s="56"/>
      <c r="DU25" s="129"/>
      <c r="DV25" s="117">
        <v>68.900000000000006</v>
      </c>
      <c r="EM25" s="56"/>
      <c r="EO25" s="56"/>
      <c r="EQ25" s="117">
        <v>68.900000000000006</v>
      </c>
      <c r="FH25" s="56"/>
      <c r="FJ25" s="56"/>
      <c r="FL25" s="117">
        <v>68.900000000000006</v>
      </c>
      <c r="GC25" s="56"/>
      <c r="GE25" s="56"/>
      <c r="GG25" s="117">
        <v>68.900000000000006</v>
      </c>
      <c r="GX25" s="56"/>
      <c r="GZ25" s="56"/>
      <c r="HB25" s="117">
        <v>68.900000000000006</v>
      </c>
      <c r="HS25" s="56"/>
      <c r="HU25" s="56"/>
      <c r="HW25" s="117">
        <v>68.900000000000006</v>
      </c>
      <c r="IN25" s="56"/>
      <c r="IP25" s="56"/>
      <c r="IR25" s="117">
        <v>68.900000000000006</v>
      </c>
      <c r="JI25" s="56"/>
      <c r="JK25" s="56"/>
      <c r="JM25" s="117">
        <v>68.900000000000006</v>
      </c>
      <c r="KD25" s="56"/>
      <c r="KF25" s="56"/>
      <c r="KH25" s="117">
        <v>68.900000000000006</v>
      </c>
      <c r="KY25" s="56"/>
      <c r="LA25" s="56"/>
      <c r="LC25" s="117">
        <v>68.900000000000006</v>
      </c>
      <c r="LT25" s="56"/>
      <c r="LV25" s="56"/>
      <c r="LX25" s="117">
        <v>68.900000000000006</v>
      </c>
    </row>
    <row r="26" spans="1:336" x14ac:dyDescent="0.2">
      <c r="A26" s="56"/>
      <c r="B26" s="74" t="s">
        <v>51</v>
      </c>
      <c r="C26" s="55"/>
      <c r="AH26" s="56"/>
      <c r="AJ26" s="56"/>
      <c r="AK26" s="129"/>
      <c r="AL26" s="68">
        <v>69.900000000000006</v>
      </c>
      <c r="BD26" s="56"/>
      <c r="BF26" s="56"/>
      <c r="BG26" s="129"/>
      <c r="BH26" s="68">
        <v>69.900000000000006</v>
      </c>
      <c r="BZ26" s="56"/>
      <c r="CB26" s="56"/>
      <c r="CD26" s="68">
        <v>69.900000000000006</v>
      </c>
      <c r="CW26" s="56"/>
      <c r="CY26" s="56"/>
      <c r="DA26" s="68">
        <v>69.900000000000006</v>
      </c>
      <c r="DR26" s="56"/>
      <c r="DT26" s="56"/>
      <c r="DV26" s="68">
        <v>69.900000000000006</v>
      </c>
      <c r="EM26" s="56"/>
      <c r="EO26" s="56"/>
      <c r="EQ26" s="68">
        <v>69.900000000000006</v>
      </c>
      <c r="FH26" s="56"/>
      <c r="FJ26" s="56"/>
      <c r="FL26" s="68">
        <v>69.900000000000006</v>
      </c>
      <c r="GC26" s="56"/>
      <c r="GE26" s="56"/>
      <c r="GG26" s="68">
        <v>69.900000000000006</v>
      </c>
      <c r="GX26" s="56"/>
      <c r="GZ26" s="56"/>
      <c r="HB26" s="68">
        <v>69.900000000000006</v>
      </c>
      <c r="HS26" s="56"/>
      <c r="HU26" s="56"/>
      <c r="HW26" s="68">
        <v>69.900000000000006</v>
      </c>
      <c r="IN26" s="56"/>
      <c r="IP26" s="56"/>
      <c r="IR26" s="68">
        <v>69.900000000000006</v>
      </c>
      <c r="JI26" s="56"/>
      <c r="JK26" s="56"/>
      <c r="JM26" s="68">
        <v>69.900000000000006</v>
      </c>
      <c r="KD26" s="56"/>
      <c r="KF26" s="56"/>
      <c r="KH26" s="68">
        <v>69.900000000000006</v>
      </c>
      <c r="KY26" s="56"/>
      <c r="LA26" s="56"/>
      <c r="LC26" s="68">
        <v>69.900000000000006</v>
      </c>
      <c r="LT26" s="56"/>
      <c r="LV26" s="56"/>
      <c r="LX26" s="68">
        <v>69.900000000000006</v>
      </c>
    </row>
    <row r="27" spans="1:336" x14ac:dyDescent="0.2">
      <c r="B27" s="82" t="s">
        <v>75</v>
      </c>
      <c r="C27" s="2"/>
      <c r="AH27" s="56"/>
      <c r="AJ27" s="56"/>
      <c r="BD27" s="56"/>
      <c r="BF27" s="56"/>
      <c r="BZ27" s="56"/>
      <c r="CB27" s="56"/>
      <c r="CW27" s="56"/>
      <c r="CX27" s="6"/>
      <c r="CY27" s="56"/>
      <c r="DR27" s="56"/>
      <c r="DT27" s="56"/>
      <c r="EM27" s="56"/>
      <c r="EO27" s="56"/>
      <c r="FH27" s="56"/>
      <c r="FJ27" s="56"/>
      <c r="GC27" s="56"/>
      <c r="GE27" s="56"/>
      <c r="GX27" s="56"/>
      <c r="GZ27" s="56"/>
      <c r="HS27" s="56"/>
      <c r="HU27" s="56"/>
      <c r="IN27" s="56"/>
      <c r="IP27" s="56"/>
      <c r="JI27" s="56"/>
      <c r="JK27" s="56"/>
      <c r="KD27" s="56"/>
      <c r="KE27" s="6"/>
      <c r="KF27" s="56"/>
      <c r="KY27" s="56"/>
      <c r="LA27" s="56"/>
      <c r="LT27" s="56"/>
      <c r="LV27" s="56"/>
    </row>
    <row r="28" spans="1:336" x14ac:dyDescent="0.2">
      <c r="A28" s="56"/>
      <c r="B28" s="56"/>
      <c r="C28" s="55"/>
      <c r="AH28" s="56"/>
      <c r="AJ28" s="56"/>
      <c r="BD28" s="56"/>
      <c r="BF28" s="56"/>
      <c r="BZ28" s="56"/>
      <c r="CB28" s="56"/>
      <c r="CW28" s="56"/>
      <c r="CY28" s="56"/>
      <c r="DR28" s="56"/>
      <c r="DT28" s="56"/>
      <c r="EM28" s="56"/>
      <c r="EO28" s="56"/>
      <c r="FH28" s="56"/>
      <c r="FJ28" s="56"/>
      <c r="GC28" s="56"/>
      <c r="GE28" s="56"/>
      <c r="GX28" s="56"/>
      <c r="GZ28" s="56"/>
      <c r="HS28" s="56"/>
      <c r="HU28" s="56"/>
      <c r="IN28" s="56"/>
      <c r="IP28" s="56"/>
      <c r="JI28" s="56"/>
      <c r="JK28" s="56"/>
      <c r="KD28" s="56"/>
      <c r="KF28" s="56"/>
      <c r="KY28" s="56"/>
      <c r="LA28" s="56"/>
      <c r="LT28" s="56"/>
      <c r="LV28" s="56"/>
    </row>
    <row r="29" spans="1:336" x14ac:dyDescent="0.2">
      <c r="A29" s="56"/>
      <c r="B29" s="56"/>
      <c r="C29" s="55"/>
      <c r="AH29" s="56"/>
      <c r="AJ29" s="56"/>
      <c r="BD29" s="56"/>
      <c r="BF29" s="56"/>
      <c r="BZ29" s="56"/>
      <c r="CB29" s="56"/>
      <c r="CW29" s="56"/>
      <c r="CY29" s="56"/>
      <c r="DR29" s="56"/>
      <c r="DT29" s="56"/>
      <c r="EM29" s="56"/>
      <c r="EO29" s="56"/>
      <c r="FH29" s="56"/>
      <c r="FJ29" s="56"/>
      <c r="GC29" s="56"/>
      <c r="GE29" s="56"/>
      <c r="GX29" s="56"/>
      <c r="GZ29" s="56"/>
      <c r="HS29" s="56"/>
      <c r="HU29" s="56"/>
      <c r="IN29" s="56"/>
      <c r="IP29" s="56"/>
      <c r="JI29" s="56"/>
      <c r="JK29" s="56"/>
      <c r="KD29" s="56"/>
      <c r="KF29" s="56"/>
      <c r="KY29" s="56"/>
      <c r="LA29" s="56"/>
      <c r="LT29" s="56"/>
      <c r="LV29" s="56"/>
    </row>
    <row r="30" spans="1:336" x14ac:dyDescent="0.2">
      <c r="A30" s="56"/>
      <c r="B30" s="56"/>
      <c r="C30" s="55"/>
    </row>
  </sheetData>
  <sheetProtection sheet="1" formatCells="0" formatColumns="0" formatRows="0"/>
  <autoFilter ref="A1:MT12" xr:uid="{96F39759-B9E5-B14C-8DD9-3F4D1E5BD921}">
    <filterColumn colId="16" showButton="0"/>
    <filterColumn colId="17" showButton="0"/>
    <filterColumn colId="18" showButton="0"/>
    <filterColumn colId="19" showButton="0"/>
    <filterColumn colId="20" showButton="0"/>
    <filterColumn colId="21" showButton="0"/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0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79" showButton="0"/>
    <filterColumn colId="80" showButton="0"/>
    <filterColumn colId="82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sortState xmlns:xlrd2="http://schemas.microsoft.com/office/spreadsheetml/2017/richdata2" ref="A4:MT16">
      <sortCondition descending="1" ref="F1:F17"/>
    </sortState>
  </autoFilter>
  <mergeCells count="97">
    <mergeCell ref="LY1:MT1"/>
    <mergeCell ref="LY2:MB2"/>
    <mergeCell ref="MC2:MF2"/>
    <mergeCell ref="MG2:MJ2"/>
    <mergeCell ref="MK2:MN2"/>
    <mergeCell ref="KU2:KX2"/>
    <mergeCell ref="LD2:LG2"/>
    <mergeCell ref="LH2:LK2"/>
    <mergeCell ref="LL2:LO2"/>
    <mergeCell ref="LP2:LS2"/>
    <mergeCell ref="KQ2:KT2"/>
    <mergeCell ref="IJ2:IM2"/>
    <mergeCell ref="IS2:IV2"/>
    <mergeCell ref="IW2:IZ2"/>
    <mergeCell ref="JA2:JD2"/>
    <mergeCell ref="JE2:JH2"/>
    <mergeCell ref="JN2:JQ2"/>
    <mergeCell ref="JR2:JU2"/>
    <mergeCell ref="JV2:JY2"/>
    <mergeCell ref="JZ2:KC2"/>
    <mergeCell ref="KI2:KL2"/>
    <mergeCell ref="KM2:KP2"/>
    <mergeCell ref="IF2:II2"/>
    <mergeCell ref="FY2:GB2"/>
    <mergeCell ref="GH2:GK2"/>
    <mergeCell ref="GL2:GO2"/>
    <mergeCell ref="GP2:GS2"/>
    <mergeCell ref="GT2:GW2"/>
    <mergeCell ref="HC2:HF2"/>
    <mergeCell ref="HG2:HJ2"/>
    <mergeCell ref="HK2:HN2"/>
    <mergeCell ref="HO2:HR2"/>
    <mergeCell ref="HX2:IA2"/>
    <mergeCell ref="IB2:IE2"/>
    <mergeCell ref="DF2:DI2"/>
    <mergeCell ref="FU2:FX2"/>
    <mergeCell ref="DN2:DQ2"/>
    <mergeCell ref="DW2:DZ2"/>
    <mergeCell ref="EA2:ED2"/>
    <mergeCell ref="EE2:EH2"/>
    <mergeCell ref="EI2:EL2"/>
    <mergeCell ref="ER2:EU2"/>
    <mergeCell ref="EV2:EY2"/>
    <mergeCell ref="EZ2:FC2"/>
    <mergeCell ref="FD2:FG2"/>
    <mergeCell ref="FM2:FP2"/>
    <mergeCell ref="FQ2:FT2"/>
    <mergeCell ref="FM1:GG1"/>
    <mergeCell ref="GH1:HB1"/>
    <mergeCell ref="DJ2:DM2"/>
    <mergeCell ref="Q2:T2"/>
    <mergeCell ref="U2:X2"/>
    <mergeCell ref="Y2:AB2"/>
    <mergeCell ref="AC2:AF2"/>
    <mergeCell ref="AM2:AP2"/>
    <mergeCell ref="AQ2:AT2"/>
    <mergeCell ref="AU2:AX2"/>
    <mergeCell ref="AY2:BB2"/>
    <mergeCell ref="CG2:CJ2"/>
    <mergeCell ref="CK2:CN2"/>
    <mergeCell ref="CO2:CR2"/>
    <mergeCell ref="CS2:CV2"/>
    <mergeCell ref="DB2:DE2"/>
    <mergeCell ref="CE1:CF1"/>
    <mergeCell ref="CG1:DA1"/>
    <mergeCell ref="DB1:DV1"/>
    <mergeCell ref="DW1:EQ1"/>
    <mergeCell ref="ER1:FL1"/>
    <mergeCell ref="AM1:BH1"/>
    <mergeCell ref="I1:I3"/>
    <mergeCell ref="G1:G3"/>
    <mergeCell ref="H1:H3"/>
    <mergeCell ref="J1:J3"/>
    <mergeCell ref="K1:K3"/>
    <mergeCell ref="L1:L3"/>
    <mergeCell ref="M1:M3"/>
    <mergeCell ref="N1:N3"/>
    <mergeCell ref="O1:O3"/>
    <mergeCell ref="P1:P3"/>
    <mergeCell ref="Q1:AL1"/>
    <mergeCell ref="F1:F3"/>
    <mergeCell ref="A1:A3"/>
    <mergeCell ref="B1:B3"/>
    <mergeCell ref="C1:C3"/>
    <mergeCell ref="D1:D3"/>
    <mergeCell ref="E1:E3"/>
    <mergeCell ref="BI1:CD1"/>
    <mergeCell ref="BI2:BL2"/>
    <mergeCell ref="BM2:BP2"/>
    <mergeCell ref="BQ2:BT2"/>
    <mergeCell ref="BU2:BX2"/>
    <mergeCell ref="LD1:LX1"/>
    <mergeCell ref="JN1:KH1"/>
    <mergeCell ref="IS1:JM1"/>
    <mergeCell ref="HX1:IR1"/>
    <mergeCell ref="HC1:HW1"/>
    <mergeCell ref="KI1:LC1"/>
  </mergeCells>
  <conditionalFormatting sqref="AM4:BH16">
    <cfRule type="expression" dxfId="19" priority="2" stopIfTrue="1">
      <formula>IF($BC4&lt;&gt;"",1,0)</formula>
    </cfRule>
  </conditionalFormatting>
  <conditionalFormatting sqref="Q4:AL16">
    <cfRule type="expression" dxfId="18" priority="1" stopIfTrue="1">
      <formula>IF($AG4&lt;&gt;"",1,0)</formula>
    </cfRule>
  </conditionalFormatting>
  <conditionalFormatting sqref="K1:K1048576 M1:M1048576">
    <cfRule type="expression" dxfId="17" priority="36484">
      <formula>IF(K1=$BI$1,1,0)</formula>
    </cfRule>
    <cfRule type="expression" dxfId="16" priority="36485">
      <formula>IF(K1=$AM$1,1,0)</formula>
    </cfRule>
    <cfRule type="expression" dxfId="15" priority="36486">
      <formula>IF(K1=$Q$1,1,0)</formula>
    </cfRule>
  </conditionalFormatting>
  <conditionalFormatting sqref="BI4:CD16">
    <cfRule type="expression" dxfId="14" priority="3" stopIfTrue="1">
      <formula>IF($BY4&lt;&gt;"",1,0)</formula>
    </cfRule>
  </conditionalFormatting>
  <conditionalFormatting sqref="A1:A1048576">
    <cfRule type="expression" dxfId="13" priority="38433">
      <formula>AND(G1="P",F1="")</formula>
    </cfRule>
  </conditionalFormatting>
  <conditionalFormatting sqref="H1:H1048576">
    <cfRule type="containsText" dxfId="12" priority="5" operator="containsText" text="No DD">
      <formula>NOT(ISERROR(SEARCH("No DD",H1)))</formula>
    </cfRule>
    <cfRule type="containsText" dxfId="11" priority="6" operator="containsText" text="Merit">
      <formula>NOT(ISERROR(SEARCH("Merit",H1)))</formula>
    </cfRule>
    <cfRule type="containsText" dxfId="10" priority="7" operator="containsText" text="Excellence">
      <formula>NOT(ISERROR(SEARCH("Excellence",H1)))</formula>
    </cfRule>
    <cfRule type="containsText" dxfId="9" priority="8" operator="containsText" text="Worlds Team">
      <formula>NOT(ISERROR(SEARCH("Worlds Team",H1)))</formula>
    </cfRule>
    <cfRule type="containsText" dxfId="8" priority="9" operator="containsText" text="National Team">
      <formula>NOT(ISERROR(SEARCH("National Team",H1)))</formula>
    </cfRule>
  </conditionalFormatting>
  <conditionalFormatting sqref="AH1:AH1048576 BD1:BD1048576 BZ1:BZ1048576 CW1:CW1048576 DR1:DR1048576 EM1:EM1048576 FH1:FH1048576 GC1:GC1048576 GX1:GX1048576 HS1:HS1048576 IN1:IN1048576 JI1:JI1048576 KD1:KD1048576 KY1:KY1048576 LT1:LT1048576">
    <cfRule type="cellIs" dxfId="7" priority="48392" operator="between">
      <formula>AL$22</formula>
      <formula>1000</formula>
    </cfRule>
    <cfRule type="cellIs" dxfId="6" priority="48393" operator="between">
      <formula>AL$21</formula>
      <formula>AL$22</formula>
    </cfRule>
    <cfRule type="cellIs" dxfId="5" priority="48394" operator="between">
      <formula>AL$20</formula>
      <formula>AL$21</formula>
    </cfRule>
    <cfRule type="cellIs" dxfId="4" priority="48395" operator="between">
      <formula>AL$19</formula>
      <formula>AL$20</formula>
    </cfRule>
  </conditionalFormatting>
  <conditionalFormatting sqref="AI1:AI1048576 BE1:BE1048576 CA1:CA1048576 CX1:CX1048576 DS1:DS1048576 EN1:EN1048576 FI1:FI1048576 GD1:GD1048576 GY1:GY1048576 HT1:HT1048576 IO1:IO1048576 JJ1:JJ1048576 KE1:KE1048576 KZ1:KZ1048576 LU1:LU1048576">
    <cfRule type="cellIs" dxfId="3" priority="48572" operator="between">
      <formula>AL$26</formula>
      <formula>1000</formula>
    </cfRule>
    <cfRule type="cellIs" dxfId="2" priority="48573" operator="between">
      <formula>AL$25</formula>
      <formula>AL$26</formula>
    </cfRule>
    <cfRule type="cellIs" dxfId="1" priority="48574" operator="between">
      <formula>AL$24</formula>
      <formula>AL$25</formula>
    </cfRule>
    <cfRule type="cellIs" dxfId="0" priority="48575" operator="between">
      <formula>AL$23</formula>
      <formula>AL$24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Info</vt:lpstr>
      <vt:lpstr>TRA-M</vt:lpstr>
      <vt:lpstr>TRA-W</vt:lpstr>
      <vt:lpstr>SYN-M</vt:lpstr>
      <vt:lpstr>SYN-W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2021-10-15T02:47:36Z</dcterms:modified>
</cp:coreProperties>
</file>